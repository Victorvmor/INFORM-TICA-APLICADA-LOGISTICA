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02ED7403-95F4-4230-A60E-3F485D100BB6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fornecedores" sheetId="1" r:id="rId1"/>
    <sheet name="Planilha2" sheetId="3" r:id="rId2"/>
    <sheet name="Planilha1" sheetId="2" r:id="rId3"/>
  </sheets>
  <calcPr calcId="191029"/>
  <pivotCaches>
    <pivotCache cacheId="4" r:id="rId4"/>
  </pivotCaches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G8887" i="1" l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C2" i="2" l="1"/>
  <c r="B2" i="2"/>
  <c r="B3" i="2"/>
  <c r="B4" i="2"/>
  <c r="B5" i="2"/>
  <c r="B6" i="2"/>
  <c r="B9" i="2"/>
  <c r="B7" i="2"/>
  <c r="B8" i="2"/>
  <c r="B13" i="2"/>
  <c r="B12" i="2"/>
  <c r="B10" i="2"/>
  <c r="B11" i="2"/>
</calcChain>
</file>

<file path=xl/sharedStrings.xml><?xml version="1.0" encoding="utf-8"?>
<sst xmlns="http://schemas.openxmlformats.org/spreadsheetml/2006/main" count="34176" uniqueCount="34095">
  <si>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</si>
  <si>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</si>
  <si>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</si>
  <si>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</si>
  <si>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</si>
  <si>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</si>
  <si>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</si>
  <si>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 CASA DE EQUIPAMENTOS DO PORTAO AUTOMATICO LTDA ME</t>
  </si>
  <si>
    <t>01.419.531/0001-86</t>
  </si>
  <si>
    <t>A. DE A. PEREIRA LTDA</t>
  </si>
  <si>
    <t>67.825.190/0001-57</t>
  </si>
  <si>
    <t>A M COMERCIO DE MADEIRAS LTDA</t>
  </si>
  <si>
    <t>49.836.542/0001-98</t>
  </si>
  <si>
    <t>A. M. PRESTACAO DE SERVICOS LTDA</t>
  </si>
  <si>
    <t>18.347.265/0001-26</t>
  </si>
  <si>
    <t>AAP CONSULT ENGENHARIA E REGULARIZAÇÕES LTDA</t>
  </si>
  <si>
    <t>49.922.516/0001-82</t>
  </si>
  <si>
    <t>AARON SALES DE ALMEIDA</t>
  </si>
  <si>
    <t>316.068.668-00</t>
  </si>
  <si>
    <t>ABBOTT LABORATORIOS DO BRASIL LTDA</t>
  </si>
  <si>
    <t>56.998.701/0033-01</t>
  </si>
  <si>
    <t>56.998.701/0034-84</t>
  </si>
  <si>
    <t>ABBVIE FARMACEUTICA LTDA.</t>
  </si>
  <si>
    <t>15.800.545/0004-00</t>
  </si>
  <si>
    <t>ABC DO VALE TRANSPORTES LTDA</t>
  </si>
  <si>
    <t>22.399.193/0001-38</t>
  </si>
  <si>
    <t>ABC TRANSPORTES COLETIVOS VALE PARAIBA LTDA</t>
  </si>
  <si>
    <t>45.176.864/0001-05</t>
  </si>
  <si>
    <t>ABIGAIR ANDRADE DO CARMO</t>
  </si>
  <si>
    <t>515.520.518-20</t>
  </si>
  <si>
    <t>ABILIO AUGUSTO CEPEDA NETO</t>
  </si>
  <si>
    <t>215.391.918-50</t>
  </si>
  <si>
    <t>ABNER PEREIRA DE ARAUJO</t>
  </si>
  <si>
    <t>387.033.528-97</t>
  </si>
  <si>
    <t>ABRAAO FALCAO DO NASCIMENTO</t>
  </si>
  <si>
    <t>338.348.648-62</t>
  </si>
  <si>
    <t>ABRAAO MARTINS ROMERO</t>
  </si>
  <si>
    <t>535.999.128-31</t>
  </si>
  <si>
    <t>ABS ENGENHARIA LTDA</t>
  </si>
  <si>
    <t>10.862.424/0001-19</t>
  </si>
  <si>
    <t>ABSOLUTA SAUDE IMP. EXP. E COMERCIO DE PRODUTOS PARA SAUDE LTDA</t>
  </si>
  <si>
    <t>30.082.076/0001-74</t>
  </si>
  <si>
    <t>ACACIA COMERCIO DE MEDICAMENTOS LTDA</t>
  </si>
  <si>
    <t>03.945.035/0001-91</t>
  </si>
  <si>
    <t>ACACIO ALEXANDRE DOS SANTOS</t>
  </si>
  <si>
    <t>371.601.778-78</t>
  </si>
  <si>
    <t>ACADEMIA DE BOMBEIRO CIVIL ARCO DE FOGO LTDA</t>
  </si>
  <si>
    <t>26.769.365/0001-79</t>
  </si>
  <si>
    <t>ACAF- ASSOC. DOS CLUBES AMADORES DE FUT. SJC</t>
  </si>
  <si>
    <t>04.533.920/0001-26</t>
  </si>
  <si>
    <t>ACEPLUS BRASIL LTDA</t>
  </si>
  <si>
    <t>06.201.994/0001-90</t>
  </si>
  <si>
    <t>ACF DISTRIBUIDORA DE LIVROS E MATERIAIS PEDAGOGICOS LTDA</t>
  </si>
  <si>
    <t>10.267.574/0001-84</t>
  </si>
  <si>
    <t>AÇOS JOSEENSE LTDA</t>
  </si>
  <si>
    <t>14.024.950/0001-60</t>
  </si>
  <si>
    <t>ACQUA BRILHO LAVANDERIA LTDA</t>
  </si>
  <si>
    <t>36.774.430/0001-08</t>
  </si>
  <si>
    <t>ACQUACONTROLL COMERCIO E SERVICOS LTDA</t>
  </si>
  <si>
    <t>05.280.695/0001-26</t>
  </si>
  <si>
    <t>ACRIBOM PLASTICOS LTDA</t>
  </si>
  <si>
    <t>08.684.902/0001-04</t>
  </si>
  <si>
    <t>ACRILICO STORE LTDA</t>
  </si>
  <si>
    <t>52.712.872/0001-86</t>
  </si>
  <si>
    <t>Acrimade personalizados LTDA</t>
  </si>
  <si>
    <t>40.618.286/0001-98</t>
  </si>
  <si>
    <t>ACS  INDUSTRIA AERONÁUTICA S.A</t>
  </si>
  <si>
    <t>07.923.069/0001-36</t>
  </si>
  <si>
    <t>ACTA MEDICINA DIAGNOSTICA LTDA</t>
  </si>
  <si>
    <t>04.109.493/0001-53</t>
  </si>
  <si>
    <t>ADAILTON SILVA SANTOS</t>
  </si>
  <si>
    <t>302.731.138-79</t>
  </si>
  <si>
    <t>ADALBERTO SOARES COSTA</t>
  </si>
  <si>
    <t>286.047.228-23</t>
  </si>
  <si>
    <t>ADALTON WILLIAM DA CUNHA</t>
  </si>
  <si>
    <t>262.784.228-59</t>
  </si>
  <si>
    <t>ADAM DOUGLAS SEBASTIAO PINTO</t>
  </si>
  <si>
    <t>352.894.528-18</t>
  </si>
  <si>
    <t>ADAM ROSA RAMOS</t>
  </si>
  <si>
    <t>134.989.207-66</t>
  </si>
  <si>
    <t>ADAO VIEIRA DIAS</t>
  </si>
  <si>
    <t>851.547.846-34</t>
  </si>
  <si>
    <t>ADAPTADAS COMERCIAL LTDA</t>
  </si>
  <si>
    <t>16.443.812/0001-41</t>
  </si>
  <si>
    <t>ADARILSON THIAGO DA SILVA</t>
  </si>
  <si>
    <t>316.677.278-26</t>
  </si>
  <si>
    <t>ADAURI MARTINS DA SILVA</t>
  </si>
  <si>
    <t>916.986.937-53</t>
  </si>
  <si>
    <t>ADDED COMPUTER &amp; TELEPHONY COMERCIO E SERVICOS LTDA</t>
  </si>
  <si>
    <t>03.989.599/0001-26</t>
  </si>
  <si>
    <t>ADEILMA MOREIRA RAMOS VIEIRA</t>
  </si>
  <si>
    <t>013.921.433-06</t>
  </si>
  <si>
    <t>ADEILSON CURY DE ARAUJO NETO</t>
  </si>
  <si>
    <t>374.937.678-66</t>
  </si>
  <si>
    <t>ADEILSON JOSE DE AQUINO</t>
  </si>
  <si>
    <t>282.112.784-72</t>
  </si>
  <si>
    <t>ADELANDIA RIBEIRO DOS SANTOS</t>
  </si>
  <si>
    <t>062.529.418-16</t>
  </si>
  <si>
    <t>ADELITA PEDROZA MACHADO DA SILVA</t>
  </si>
  <si>
    <t>778.145.504-59</t>
  </si>
  <si>
    <t>ADELSON FEIRAS E EVENTOS LTDA</t>
  </si>
  <si>
    <t>01.171.919/0001-00</t>
  </si>
  <si>
    <t>ADEMAR BATISTA LEMES</t>
  </si>
  <si>
    <t>144.668.888-76</t>
  </si>
  <si>
    <t>ADEMAR BEZERRA DA SILVA</t>
  </si>
  <si>
    <t>035.564.888-17</t>
  </si>
  <si>
    <t>ADEMAR LOURENÇO MIRANDA</t>
  </si>
  <si>
    <t>072.399.168-55</t>
  </si>
  <si>
    <t>ADEMIR FERREIRA</t>
  </si>
  <si>
    <t>150.097.768-39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</si>
  <si>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</si>
  <si>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</si>
  <si>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</si>
  <si>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</si>
  <si>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</si>
  <si>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</si>
  <si>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</si>
  <si>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</si>
  <si>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</si>
  <si>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</si>
  <si>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</si>
  <si>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</si>
  <si>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APARECIDO BENEDICTO</t>
  </si>
  <si>
    <t>295.552.848-06</t>
  </si>
  <si>
    <t>ADILSON ARICE JUNIOR</t>
  </si>
  <si>
    <t>168.709.518-37</t>
  </si>
  <si>
    <t>ADILSON CALDAS OLIVEIRA</t>
  </si>
  <si>
    <t>479.819.538-39</t>
  </si>
  <si>
    <t>ADILSON DONIZETTI DE ANDRADE</t>
  </si>
  <si>
    <t>071.294.898-80</t>
  </si>
  <si>
    <t>ADILSON GALDINO DOS SANTOS</t>
  </si>
  <si>
    <t>159.427.868-79</t>
  </si>
  <si>
    <t>ADILSON GOMES DA SILVA JUNIOR</t>
  </si>
  <si>
    <t>380.375.428-31</t>
  </si>
  <si>
    <t>Adilson Inácio Silva Santos</t>
  </si>
  <si>
    <t>583.953.608-35</t>
  </si>
  <si>
    <t>ADILSON MONTEIRO GODOY</t>
  </si>
  <si>
    <t>121.864.868-65</t>
  </si>
  <si>
    <t>ADILSON NARESI RODRIGUES CARAÇA</t>
  </si>
  <si>
    <t>245.931.298-93</t>
  </si>
  <si>
    <t>ADILSON VIEIRA FAGUNDES</t>
  </si>
  <si>
    <t>095.813.948-26</t>
  </si>
  <si>
    <t>ADISTEC BRASIL INFORMATICA LTDA</t>
  </si>
  <si>
    <t>15.457.043/0001-78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</si>
  <si>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</si>
  <si>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</si>
  <si>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</si>
  <si>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</si>
  <si>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</si>
  <si>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</si>
  <si>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</si>
  <si>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</si>
  <si>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</si>
  <si>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</si>
  <si>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CASTRO DE JESUS KOVACS</t>
  </si>
  <si>
    <t>322.737.098-03</t>
  </si>
  <si>
    <t>ADOLFO DE MENDONCA FILIPE</t>
  </si>
  <si>
    <t>051.155.328-59</t>
  </si>
  <si>
    <t>ADOLFO QUERINO LUIZ</t>
  </si>
  <si>
    <t>265.553.848-08</t>
  </si>
  <si>
    <t>ADONIAS PEREIRA LIMA</t>
  </si>
  <si>
    <t>124.874.238-97</t>
  </si>
  <si>
    <t>Adoniram Carey de Oliveira</t>
  </si>
  <si>
    <t>533.069.238-50</t>
  </si>
  <si>
    <t>ADR TRANSPORTES E LOCACOES LTDA</t>
  </si>
  <si>
    <t>13.777.808/0001-21</t>
  </si>
  <si>
    <t>Adrian Felipe Medeiros Simão</t>
  </si>
  <si>
    <t>515.631.128-84</t>
  </si>
  <si>
    <t>ADRIANA ALVES ANDRADE</t>
  </si>
  <si>
    <t>219.373.378-39</t>
  </si>
  <si>
    <t>ADRIANA APARECIDA DE MOURA</t>
  </si>
  <si>
    <t>213.993.278-10</t>
  </si>
  <si>
    <t>ADRIANA APARECIDA GOMES</t>
  </si>
  <si>
    <t>372.777.768-01</t>
  </si>
  <si>
    <t>ADRIANA CAMARGO DRAGO</t>
  </si>
  <si>
    <t>257.833.118-98</t>
  </si>
  <si>
    <t>ADRIANA CANDIDA BERNARDES</t>
  </si>
  <si>
    <t>223.742.608-28</t>
  </si>
  <si>
    <t>ADRIANA CRISTINA DA COSTA OLIVEIRA LOPES</t>
  </si>
  <si>
    <t>339.416.658-55</t>
  </si>
  <si>
    <t>ADRIANA CRISTINA DA ROCHA SUZUKI</t>
  </si>
  <si>
    <t>245.974.668-78</t>
  </si>
  <si>
    <t>ADRIANA CRISTINA MENDONCA RIBEIRO</t>
  </si>
  <si>
    <t>222.307.388-36</t>
  </si>
  <si>
    <t>ADRIANA DA SILVA SILVA</t>
  </si>
  <si>
    <t>334.130.958-62</t>
  </si>
  <si>
    <t>ADRIANA DE FATIMA PORTELA MARINS</t>
  </si>
  <si>
    <t>318.959.798-70</t>
  </si>
  <si>
    <t>ADRIANA DE SOUZA VENANCIO MARIA</t>
  </si>
  <si>
    <t>094.166.216-09</t>
  </si>
  <si>
    <t>ADRIANA DOS SANTOS FERNANDES</t>
  </si>
  <si>
    <t>131.901.508-50</t>
  </si>
  <si>
    <t>ADRIANA FERREIRA CARDOSO</t>
  </si>
  <si>
    <t>028.793.475-64</t>
  </si>
  <si>
    <t>ADRIANA FRANCO DA SILVA</t>
  </si>
  <si>
    <t>159.622.878-43</t>
  </si>
  <si>
    <t>ADRIANA GOMES PEREIRA MARTINS</t>
  </si>
  <si>
    <t>034.288.556-12</t>
  </si>
  <si>
    <t>ADRIANA LUCIA DE MELO BERNARDINO</t>
  </si>
  <si>
    <t>098.557.578-66</t>
  </si>
  <si>
    <t>ADRIANA MARIA DE FREITAS MAIA</t>
  </si>
  <si>
    <t>376.586.088-31</t>
  </si>
  <si>
    <t>ADRIANA MONICA DE LIMA SANTOS</t>
  </si>
  <si>
    <t>103.111.998-10</t>
  </si>
  <si>
    <t>ADRIANA REGINA DE SOUSA CESAR</t>
  </si>
  <si>
    <t>353.322.058-30</t>
  </si>
  <si>
    <t>ADRIANA RODRIGUES DA SILVA</t>
  </si>
  <si>
    <t>413.714.318-84</t>
  </si>
  <si>
    <t>ADRIANA SILVA DE ALENCAR RAMOS</t>
  </si>
  <si>
    <t>118.263.028-67</t>
  </si>
  <si>
    <t>Adriano Américo Denani</t>
  </si>
  <si>
    <t>544.904.178-02</t>
  </si>
  <si>
    <t>ADRIANO HENRIQUE ALVES QUEIROZ</t>
  </si>
  <si>
    <t>355.570.678-09</t>
  </si>
  <si>
    <t>ADRIANO JOSE DIAMANTINO</t>
  </si>
  <si>
    <t>348.410.808-80</t>
  </si>
  <si>
    <t>ADRIANO JOSE GONCALVES CAMPOS</t>
  </si>
  <si>
    <t>199.123.708-13</t>
  </si>
  <si>
    <t>ADRIANO JOSE MARTINS DA SILVA</t>
  </si>
  <si>
    <t>292.270.678-84</t>
  </si>
  <si>
    <t>ADRIANO MATUNAGA NASCIMENTO</t>
  </si>
  <si>
    <t>305.636.118-47</t>
  </si>
  <si>
    <t>ADRIANO MAURICIO FERREIRA</t>
  </si>
  <si>
    <t>276.810.898-70</t>
  </si>
  <si>
    <t>ADRIANO MOREIRA DA ROCHA</t>
  </si>
  <si>
    <t>073.959.238-63</t>
  </si>
  <si>
    <t>ADRIANO PEREIRA SOARES</t>
  </si>
  <si>
    <t>700.239.126-77</t>
  </si>
  <si>
    <t>ADRIANO REIS DE SOUZA SILVA</t>
  </si>
  <si>
    <t>102.484.236-30</t>
  </si>
  <si>
    <t>ADRIANO RIBEIRO BETI</t>
  </si>
  <si>
    <t>183.797.218-45</t>
  </si>
  <si>
    <t>ADRIANO SANTOS SALVADOR</t>
  </si>
  <si>
    <t>499.820.468-88</t>
  </si>
  <si>
    <t>ADRIANO ZUZA ALVES</t>
  </si>
  <si>
    <t>300.160.658-40</t>
  </si>
  <si>
    <t>ADRIEL FERNANDES DA CONCEIÇÃO</t>
  </si>
  <si>
    <t>183.962.378-08</t>
  </si>
  <si>
    <t>Adriel Joselter dos Santos</t>
  </si>
  <si>
    <t>430.901.588-33</t>
  </si>
  <si>
    <t>ADRIELE LEMES DA SILVA EPIFANIO CARNEIRO</t>
  </si>
  <si>
    <t>461.491.698-80</t>
  </si>
  <si>
    <t>ADRIELE LILIAN SOARES DE ARAUJO</t>
  </si>
  <si>
    <t>461.077.098-94</t>
  </si>
  <si>
    <t>Adrieli Lucia Carreira Lemes dos Santos</t>
  </si>
  <si>
    <t>465.752.328-76</t>
  </si>
  <si>
    <t>ADRIELLE APARECIDA GOMES ROSA</t>
  </si>
  <si>
    <t>512.262.578-60</t>
  </si>
  <si>
    <t>Adrielly Barrankievecz</t>
  </si>
  <si>
    <t>122.954.139-07</t>
  </si>
  <si>
    <t>ADRIELLY CAROLINI DE SOUZA</t>
  </si>
  <si>
    <t>431.921.438-27</t>
  </si>
  <si>
    <t>Adyel Felipe Pereira Borges</t>
  </si>
  <si>
    <t>425.477.888-02</t>
  </si>
  <si>
    <t>AECIO ARAUJO PORTO FILHO</t>
  </si>
  <si>
    <t>183.879.768-81</t>
  </si>
  <si>
    <t>A.F.A PIRES EMPREENDIMENTOS IMOBILIARIOS LTDA</t>
  </si>
  <si>
    <t>16.555.516/0001-32</t>
  </si>
  <si>
    <t>AFM COMERCIAL E SERVICOS LTDA</t>
  </si>
  <si>
    <t>36.630.690/0001-00</t>
  </si>
  <si>
    <t>Afonso Campos Pacheco</t>
  </si>
  <si>
    <t>441.280.118-78</t>
  </si>
  <si>
    <t>AFRANIA RAMALHO MUNIZ</t>
  </si>
  <si>
    <t>636.688.742-04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</si>
  <si>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</si>
  <si>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</si>
  <si>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</si>
  <si>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</si>
  <si>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</si>
  <si>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</si>
  <si>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Agda Mansur</t>
  </si>
  <si>
    <t>400.902.958-70</t>
  </si>
  <si>
    <t>AGÊNCIA DE AGUAS DO ESTADO DE SÃO PAULO</t>
  </si>
  <si>
    <t>46.853.800/0001-56</t>
  </si>
  <si>
    <t>AGLON COMERCIO E REPRESENTACOES LTDA</t>
  </si>
  <si>
    <t>65.817.900/0001-71</t>
  </si>
  <si>
    <t>AGNALDO CIRILO DA SILVA</t>
  </si>
  <si>
    <t>183.810.588-30</t>
  </si>
  <si>
    <t>AGNALDO RODRIGO DE OLIVEIRA</t>
  </si>
  <si>
    <t>150.141.908-04</t>
  </si>
  <si>
    <t>AGNES SANT ANA</t>
  </si>
  <si>
    <t>480.979.658-28</t>
  </si>
  <si>
    <t>AGREGUE SOLUTIONS LTDA</t>
  </si>
  <si>
    <t>20.938.855/0001-75</t>
  </si>
  <si>
    <t>AGRITERRA SERVICOS AMBIENTAIS LTDA</t>
  </si>
  <si>
    <t>01.603.682/0001-90</t>
  </si>
  <si>
    <t>AGRO ZAIDAN COMERCIAL LTDA</t>
  </si>
  <si>
    <t>50.630.988/0001-40</t>
  </si>
  <si>
    <t>AGROPECUÁRIA BOA SAFRA LTDA</t>
  </si>
  <si>
    <t>41.937.665/0001-03</t>
  </si>
  <si>
    <t>AGROTOOLS GESTAO E MONITORAMENTO GEO-ESPACIAL DE RISCOS S.A</t>
  </si>
  <si>
    <t>08.808.179/0002-09</t>
  </si>
  <si>
    <t>AGUINALDO DO AMARAL DE CARVALHO</t>
  </si>
  <si>
    <t>040.272.478-09</t>
  </si>
  <si>
    <t>AILTON ANTONIO MAIA</t>
  </si>
  <si>
    <t>843.632.828-00</t>
  </si>
  <si>
    <t>AILTON DA SILVA</t>
  </si>
  <si>
    <t>494.470.688-04</t>
  </si>
  <si>
    <t>AILTON DA SILVA BRAGA</t>
  </si>
  <si>
    <t>159.593.398-03</t>
  </si>
  <si>
    <t>AILTON LIMA</t>
  </si>
  <si>
    <t>060.061.468-94</t>
  </si>
  <si>
    <t>AIMEE ISABELLI DO NASCIMENTO ARAUJO</t>
  </si>
  <si>
    <t>507.821.818-13</t>
  </si>
  <si>
    <t>AIR LIQUIDE BRASIL LTDA</t>
  </si>
  <si>
    <t>00.331.788/0022-43</t>
  </si>
  <si>
    <t>AIRMED LTDA</t>
  </si>
  <si>
    <t>23.637.718/0001-99</t>
  </si>
  <si>
    <t>ALAIDE RODRIGUES SILVA QUINTANILHA 10955420873</t>
  </si>
  <si>
    <t>44.350.838/0001-80</t>
  </si>
  <si>
    <t>ALAINE CRISTIANE FRANCO DE SOUZA</t>
  </si>
  <si>
    <t>419.261.388-30</t>
  </si>
  <si>
    <t>ALAIR SILVA FREITAS DIAS</t>
  </si>
  <si>
    <t>886.962.438-20</t>
  </si>
  <si>
    <t>ALAMEDA PLANTAS COMERCIO DE MUDAS LTDA</t>
  </si>
  <si>
    <t>42.415.585/0001-50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</si>
  <si>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</si>
  <si>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</si>
  <si>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</si>
  <si>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</si>
  <si>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</si>
  <si>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</si>
  <si>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CARLOS LOPES ALBRES</t>
  </si>
  <si>
    <t>183.872.568-70</t>
  </si>
  <si>
    <t>ALAN CARLOS LOPES ALBRES - ME</t>
  </si>
  <si>
    <t>02.973.995/0001-00</t>
  </si>
  <si>
    <t>ALAN CESAR RIBEIRO</t>
  </si>
  <si>
    <t>278.191.288-36</t>
  </si>
  <si>
    <t>ALAN DA SILVA CAMPOS</t>
  </si>
  <si>
    <t>299.055.888-84</t>
  </si>
  <si>
    <t>ALAN GOMES</t>
  </si>
  <si>
    <t>217.814.688-00</t>
  </si>
  <si>
    <t>ALAN LUIZ DOS SANTOS</t>
  </si>
  <si>
    <t>268.379.288-30</t>
  </si>
  <si>
    <t>ALAN MACIEL DE LUCA</t>
  </si>
  <si>
    <t>310.191.998-30</t>
  </si>
  <si>
    <t>ALAN RANIERI DOS SANTOS</t>
  </si>
  <si>
    <t>322.400.698-64</t>
  </si>
  <si>
    <t>ALAN RODRIGUES</t>
  </si>
  <si>
    <t>268.240.308-56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</si>
  <si>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</si>
  <si>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</si>
  <si>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</si>
  <si>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</si>
  <si>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</si>
  <si>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</si>
  <si>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</si>
  <si>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</si>
  <si>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</si>
  <si>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</si>
  <si>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</si>
  <si>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</si>
  <si>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</si>
  <si>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</si>
  <si>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</si>
  <si>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</si>
  <si>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</si>
  <si>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</si>
  <si>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</si>
  <si>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</si>
  <si>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</si>
  <si>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</si>
  <si>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DONIZETTI SOARES</t>
  </si>
  <si>
    <t>268.730.038-16</t>
  </si>
  <si>
    <t>ALBERTO GARCIA VINHOSA ARONOVICH</t>
  </si>
  <si>
    <t>448.770.348-46</t>
  </si>
  <si>
    <t>ALBERTO IVES DA ROCHA MOURAO NETO</t>
  </si>
  <si>
    <t>015.259.626-71</t>
  </si>
  <si>
    <t>ALBERTO MARCEL DE MOURA</t>
  </si>
  <si>
    <t>382.058.488-90</t>
  </si>
  <si>
    <t>ALC MORAES COMERCIAL LTDA.</t>
  </si>
  <si>
    <t>46.339.373/0001-92</t>
  </si>
  <si>
    <t>ALCENE FERNANDO DOS SANTOS</t>
  </si>
  <si>
    <t>336.311.178-92</t>
  </si>
  <si>
    <t>Alcione Maria da Silva</t>
  </si>
  <si>
    <t>037.178.576-65</t>
  </si>
  <si>
    <t>ALDENI LOPES PINHEIRO RODRIGUES</t>
  </si>
  <si>
    <t>245.441.218-76</t>
  </si>
  <si>
    <t>ALEA COMERCIAL LTDA</t>
  </si>
  <si>
    <t>12.011.917/0003-32</t>
  </si>
  <si>
    <t>ALECSANDRO OLIVEIRA DOMINGOS</t>
  </si>
  <si>
    <t>715.647.284-47</t>
  </si>
  <si>
    <t>ALECSSANDRO APARECIDO SILVERIO</t>
  </si>
  <si>
    <t>338.881.778-20</t>
  </si>
  <si>
    <t>ALEFE FERNANDO MOREIRA MARCIANO</t>
  </si>
  <si>
    <t>447.309.738-28</t>
  </si>
  <si>
    <t>ALESSANDRA APARECIDA DA SILVA PEREIRA</t>
  </si>
  <si>
    <t>338.516.738-83</t>
  </si>
  <si>
    <t>ALESSANDRA APARECIDA DA SILVA SANTOS</t>
  </si>
  <si>
    <t>199.185.288-69</t>
  </si>
  <si>
    <t>ALESSANDRA APARECIDA DE OLIVEIRA SILVA</t>
  </si>
  <si>
    <t>222.986.428-93</t>
  </si>
  <si>
    <t>ALESSANDRA APARECIDA DE SOUZA</t>
  </si>
  <si>
    <t>223.661.008-41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</si>
  <si>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</si>
  <si>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</si>
  <si>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</si>
  <si>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</si>
  <si>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</si>
  <si>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</si>
  <si>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DE OLIVEIRA SANTOS</t>
  </si>
  <si>
    <t>308.662.958-44</t>
  </si>
  <si>
    <t>Alessandra de Sousa Nogueira</t>
  </si>
  <si>
    <t>608.526.833-59</t>
  </si>
  <si>
    <t>ALESSANDRA DOS SANTOS</t>
  </si>
  <si>
    <t>252.247.078-70</t>
  </si>
  <si>
    <t>ALESSANDRA PATRICIA DE LIMA</t>
  </si>
  <si>
    <t>251.229.538-99</t>
  </si>
  <si>
    <t>ALESSANDRA REGINA VAZ</t>
  </si>
  <si>
    <t>223.255.938-60</t>
  </si>
  <si>
    <t>ALESSANDRA ROBERTO DE MORAES BATISTA</t>
  </si>
  <si>
    <t>416.885.148-64</t>
  </si>
  <si>
    <t>ALESSANDRA SILVA BARBOSA</t>
  </si>
  <si>
    <t>199.118.968-03</t>
  </si>
  <si>
    <t>ALESSANDRO APARECIDO MIRACHI</t>
  </si>
  <si>
    <t>183.881.508-20</t>
  </si>
  <si>
    <t>ALESSANDRO DA SILVA PEREIRA</t>
  </si>
  <si>
    <t>553.386.168-82</t>
  </si>
  <si>
    <t>ALESSANDRO DOS SANTOS TOSSETTO</t>
  </si>
  <si>
    <t>233.419.748-30</t>
  </si>
  <si>
    <t>ALESSANDRO LEMOS RIBEIRO</t>
  </si>
  <si>
    <t>109.795.638-52</t>
  </si>
  <si>
    <t>ALESSANDRO MENDES TEIXEIRA</t>
  </si>
  <si>
    <t>327.628.398-07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</si>
  <si>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</si>
  <si>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</si>
  <si>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</si>
  <si>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</si>
  <si>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</si>
  <si>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</si>
  <si>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MELO SOUSA</t>
  </si>
  <si>
    <t>133.858.317-41</t>
  </si>
  <si>
    <t>ALEX DE PAULA</t>
  </si>
  <si>
    <t>224.452.228-85</t>
  </si>
  <si>
    <t>ALEX GOMES CHAGAS</t>
  </si>
  <si>
    <t>235.538.668-45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</si>
  <si>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</si>
  <si>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</si>
  <si>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</si>
  <si>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</si>
  <si>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</si>
  <si>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</si>
  <si>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MACHADO VENTURA</t>
  </si>
  <si>
    <t>225.928.188-55</t>
  </si>
  <si>
    <t>ALEX MONTEIRO DE OLIVEIRA</t>
  </si>
  <si>
    <t>275.649.324-49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</si>
  <si>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</si>
  <si>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</si>
  <si>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</si>
  <si>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</si>
  <si>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</si>
  <si>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</si>
  <si>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</si>
  <si>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</si>
  <si>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ROGER DA SILVA MATOS</t>
  </si>
  <si>
    <t>391.323.138-29</t>
  </si>
  <si>
    <t>ALEX ROMANO DA COSTA RODRIGUES</t>
  </si>
  <si>
    <t>523.531.398-41</t>
  </si>
  <si>
    <t>ALEX SANDRO MELLO DA COSTA</t>
  </si>
  <si>
    <t>083.339.237-98</t>
  </si>
  <si>
    <t>ALEXANDER DE ALMEIDA MENDES</t>
  </si>
  <si>
    <t>201.957.488-83</t>
  </si>
  <si>
    <t>ALEXANDER DEL JESUS GOMEZ DUBEN</t>
  </si>
  <si>
    <t>707.575.102-64</t>
  </si>
  <si>
    <t>ALEXANDER MIKE SOUZA MAURICIO</t>
  </si>
  <si>
    <t>463.490.858-17</t>
  </si>
  <si>
    <t>ALEXANDRA ALVES DOS SANTOS</t>
  </si>
  <si>
    <t>266.420.818-70</t>
  </si>
  <si>
    <t>ALEXANDRA APARECIDA VIEIRA</t>
  </si>
  <si>
    <t>000.265.316-82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</si>
  <si>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</si>
  <si>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</si>
  <si>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</si>
  <si>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</si>
  <si>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</si>
  <si>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</si>
  <si>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ALEXANDRA MACIEL DA SILVEIRA MORAES</t>
  </si>
  <si>
    <t>338.153.098-40</t>
  </si>
  <si>
    <t>ALEXANDRA MARIA DE SOUZA CASTRO</t>
  </si>
  <si>
    <t>445.273.898-23</t>
  </si>
  <si>
    <t>ALEXANDRA TICIANE PEREIRA CAMILLO SILVA</t>
  </si>
  <si>
    <t>440.148.908-05</t>
  </si>
  <si>
    <t>ALEXANDRE BLANCO NEMA</t>
  </si>
  <si>
    <t>201.893.828-21</t>
  </si>
  <si>
    <t>Alexandre de Carvalho Peruchi</t>
  </si>
  <si>
    <t>387.446.598-57</t>
  </si>
  <si>
    <t>ALEXANDRE DE OLIVEIRA</t>
  </si>
  <si>
    <t>260.846.078-02</t>
  </si>
  <si>
    <t>ALEXANDRE DO NASCIMENTO</t>
  </si>
  <si>
    <t>233.738.628-76</t>
  </si>
  <si>
    <t>ALEXANDRE DOS SANTOS CARLOS</t>
  </si>
  <si>
    <t>248.440.948-66</t>
  </si>
  <si>
    <t>ALEXANDRE EDUARDO DIAS DE ARAUJO</t>
  </si>
  <si>
    <t>00.331.737/0001-97</t>
  </si>
  <si>
    <t>ALEXANDRE ETCHEBEUR</t>
  </si>
  <si>
    <t>098.638.548-40</t>
  </si>
  <si>
    <t>ALEXANDRE FAQUINE</t>
  </si>
  <si>
    <t>381.082.498-48</t>
  </si>
  <si>
    <t>ALEXANDRE FRANCISCO DA SILVA</t>
  </si>
  <si>
    <t>415.379.958-04</t>
  </si>
  <si>
    <t>ALEXANDRE GOMES DOS SANTOS NUNES</t>
  </si>
  <si>
    <t>414.681.948-28</t>
  </si>
  <si>
    <t>ALEXANDRE JOAQUIM DE JESUS</t>
  </si>
  <si>
    <t>478.437.798-09</t>
  </si>
  <si>
    <t xml:space="preserve">ALEXANDRE JOSE NUNES DA SILVA	</t>
  </si>
  <si>
    <t>395.399.458-10</t>
  </si>
  <si>
    <t>ALEXANDRE KENJI KATAYAMA</t>
  </si>
  <si>
    <t>150.104.708-61</t>
  </si>
  <si>
    <t>ALEXANDRE LIMA SIQUEIRA</t>
  </si>
  <si>
    <t>072.377.968-60</t>
  </si>
  <si>
    <t>ALEXANDRE NOGUEIRA ANACLETO</t>
  </si>
  <si>
    <t>318.805.028-36</t>
  </si>
  <si>
    <t>ALEXANDRE NUNES FERREIRA</t>
  </si>
  <si>
    <t>249.343.158-88</t>
  </si>
  <si>
    <t>ALEXANDRE PEIXOTO FERREIRA</t>
  </si>
  <si>
    <t>199.222.428-50</t>
  </si>
  <si>
    <t>ALEXANDRE PEREIRA DA SILVA JANUCCI</t>
  </si>
  <si>
    <t>144.669.568-98</t>
  </si>
  <si>
    <t>ALEXANDRE ROBERTO MIRANDA</t>
  </si>
  <si>
    <t>35.110.666/0001-87</t>
  </si>
  <si>
    <t>ALEXANDRE RODOLFO DE SOUZA</t>
  </si>
  <si>
    <t>074.958.958-29</t>
  </si>
  <si>
    <t>ALEXANDRE RODOLFO DOS SANTOS</t>
  </si>
  <si>
    <t>201.950.818-46</t>
  </si>
  <si>
    <t>ALEXANDRE RODRIGUES MAGALHÃES</t>
  </si>
  <si>
    <t>276.083.438-77</t>
  </si>
  <si>
    <t>ALEXANDRE SANTOS DIAS</t>
  </si>
  <si>
    <t>272.443.678-48</t>
  </si>
  <si>
    <t>ALEXANDRE SANTOS PINHEIRO</t>
  </si>
  <si>
    <t>120.478.199-03</t>
  </si>
  <si>
    <t>ALEXIA FABIANA DOS SANTOS COSTA</t>
  </si>
  <si>
    <t>452.090.018-22</t>
  </si>
  <si>
    <t>ALEXIA VALLENTINA SANTOS SILVA GARCIA</t>
  </si>
  <si>
    <t>602.738.818-84</t>
  </si>
  <si>
    <t>ALEXSANDER ROGERIO GUARDIA FERREIRA</t>
  </si>
  <si>
    <t>150.243.488-18</t>
  </si>
  <si>
    <t>ALEXSANDRA GOMES TOLEDO</t>
  </si>
  <si>
    <t>221.728.068-62</t>
  </si>
  <si>
    <t>ALEXSANDRO DA COSTA LOURENCO</t>
  </si>
  <si>
    <t>272.141.218-32</t>
  </si>
  <si>
    <t>ALEXSANDRO INACIO</t>
  </si>
  <si>
    <t>437.142.488-03</t>
  </si>
  <si>
    <t>ALEXSANDRO LOPES VIEIRA</t>
  </si>
  <si>
    <t>159.656.908-51</t>
  </si>
  <si>
    <t>ALEXSEY RODRIGUES NEVES</t>
  </si>
  <si>
    <t>842.138.179-20</t>
  </si>
  <si>
    <t>ALFALAGOS LTDA</t>
  </si>
  <si>
    <t>05.194.502/0004-67</t>
  </si>
  <si>
    <t>05.194.502/0001-14</t>
  </si>
  <si>
    <t>ALFASEG COMERCIO DE PRODUTOS E EQUIPAMENTOS DE SEGURANÇA LTDA</t>
  </si>
  <si>
    <t>04.521.504/0001-08</t>
  </si>
  <si>
    <t>ALFREDO APARECIDO BRAGA</t>
  </si>
  <si>
    <t>066.967.708-60</t>
  </si>
  <si>
    <t>ALFREDO HILUANY NETO</t>
  </si>
  <si>
    <t>468.117.608-77</t>
  </si>
  <si>
    <t>ALGAR TELECOM S/A</t>
  </si>
  <si>
    <t>71.208.516/0001-74</t>
  </si>
  <si>
    <t>ALIANCA COMERCIO E DISTRIBUICAO LTDA</t>
  </si>
  <si>
    <t>31.486.195/0001-55</t>
  </si>
  <si>
    <t>ALIANZA GERENCIAMENTO E ENGENHARIA LTDA</t>
  </si>
  <si>
    <t>09.303.529/0001-59</t>
  </si>
  <si>
    <t>ALICE BEATRIZ CARDOSO DE SOUZA</t>
  </si>
  <si>
    <t>540.327.538-06</t>
  </si>
  <si>
    <t>ALICE CARINA DE OLIVEIRA</t>
  </si>
  <si>
    <t>493.744.028-40</t>
  </si>
  <si>
    <t>ALICE DA SILVA CURSINO</t>
  </si>
  <si>
    <t>062.430.818-93</t>
  </si>
  <si>
    <t>ALICE DE OLIVEIRA FERNANDES</t>
  </si>
  <si>
    <t>150.387.708-60</t>
  </si>
  <si>
    <t>Alice Jaqueline da Silva Pio Silveira</t>
  </si>
  <si>
    <t>150.399.809-65</t>
  </si>
  <si>
    <t>ALICE MARIA DE ARAUJO</t>
  </si>
  <si>
    <t>407.003.318-16</t>
  </si>
  <si>
    <t>ALICE PIRES GOUVEA</t>
  </si>
  <si>
    <t>451.846.368-46</t>
  </si>
  <si>
    <t>ALIKSON FERZOLA PINHO RABELO</t>
  </si>
  <si>
    <t>138.868.637-60</t>
  </si>
  <si>
    <t>ALINE APARECIDA CUSTODIO GOMES</t>
  </si>
  <si>
    <t>379.741.488-96</t>
  </si>
  <si>
    <t>ALINE APARECIDA FARIA DE SOUZA</t>
  </si>
  <si>
    <t>364.635.898-02</t>
  </si>
  <si>
    <t>ALINE APARECIDA SANTOS</t>
  </si>
  <si>
    <t>390.240.348-92</t>
  </si>
  <si>
    <t>ALINE AUXILIADORA ARANTES DE OLIVEIRA</t>
  </si>
  <si>
    <t>282.565.378-09</t>
  </si>
  <si>
    <t>ALINE BAPTISTA RODRIGUES RIBEIRO</t>
  </si>
  <si>
    <t>228.337.288-75</t>
  </si>
  <si>
    <t>ALINE CECILIA RODRIGUES DAS NEVES</t>
  </si>
  <si>
    <t>312.393.938-30</t>
  </si>
  <si>
    <t>ALINE CENTENARO CINTRA LTDA</t>
  </si>
  <si>
    <t>52.881.049/0001-02</t>
  </si>
  <si>
    <t>ALINE CRISTINA FIGUEIREDO ROQUE</t>
  </si>
  <si>
    <t>358.394.088-16</t>
  </si>
  <si>
    <t>ALINE CRISTINA TEIXEIRA DA SILVA GONÇALVES</t>
  </si>
  <si>
    <t>009.557.064-08</t>
  </si>
  <si>
    <t>ALINE DA SILVA CAVALCANTI</t>
  </si>
  <si>
    <t>083.201.484-21</t>
  </si>
  <si>
    <t>ALINE DALACQUA MOSKO</t>
  </si>
  <si>
    <t>350.942.348-89</t>
  </si>
  <si>
    <t>ALINE DE ANDRADE CAMPOS MAGALHAES</t>
  </si>
  <si>
    <t>310.153.318-07</t>
  </si>
  <si>
    <t>ALINE DE OLIVEIRA MARIANO</t>
  </si>
  <si>
    <t>449.321.588-74</t>
  </si>
  <si>
    <t>ALINE DE SOUZA VOTO</t>
  </si>
  <si>
    <t>417.689.598-54</t>
  </si>
  <si>
    <t>ALINE DO AMARAL SANTOS - ME</t>
  </si>
  <si>
    <t>16.624.328/0001-19</t>
  </si>
  <si>
    <t>ALINE DO PRADO NIEMES</t>
  </si>
  <si>
    <t>470.426.528-51</t>
  </si>
  <si>
    <t>ALINE EVELYN DA COSTA</t>
  </si>
  <si>
    <t>326.395.668-06</t>
  </si>
  <si>
    <t>ALINE FRANCIELE DA SILVA</t>
  </si>
  <si>
    <t>430.651.928-70</t>
  </si>
  <si>
    <t>ALINE FREITAS PROENCA</t>
  </si>
  <si>
    <t>379.382.778-00</t>
  </si>
  <si>
    <t>ALINE GABRIELA GORIA</t>
  </si>
  <si>
    <t>320.641.518-77</t>
  </si>
  <si>
    <t>ALINE GABRIELE OLIVEIRA BRIGNOLI SANTANA</t>
  </si>
  <si>
    <t>495.588.308-79</t>
  </si>
  <si>
    <t>Aline Hecht Cardoso</t>
  </si>
  <si>
    <t>343.956.988-83</t>
  </si>
  <si>
    <t>ALINE MAGNOLIA DA SILVA</t>
  </si>
  <si>
    <t>415.478.208-88</t>
  </si>
  <si>
    <t>ALINE MARCELE PEREIRA DE SOUZA MARIA</t>
  </si>
  <si>
    <t>339.171.928-10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</si>
  <si>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</si>
  <si>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</si>
  <si>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</si>
  <si>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</si>
  <si>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</si>
  <si>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</si>
  <si>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OLIVEIRA DA SILVA</t>
  </si>
  <si>
    <t>483.518.548-08</t>
  </si>
  <si>
    <t>ALINE OLIVEIRA DIAS</t>
  </si>
  <si>
    <t>218.895.578-11</t>
  </si>
  <si>
    <t>ALINE OLIVEIRA DOS SANTOS</t>
  </si>
  <si>
    <t>348.711.408-90</t>
  </si>
  <si>
    <t>ALINE PAULA DA SILVA SOUZA</t>
  </si>
  <si>
    <t>397.177.458-03</t>
  </si>
  <si>
    <t>ALINE PRESTES FERREIRA</t>
  </si>
  <si>
    <t>414.682.028-63</t>
  </si>
  <si>
    <t>ALINE REGINA PAES DA SILVA GRACA</t>
  </si>
  <si>
    <t>440.934.228-26</t>
  </si>
  <si>
    <t>ALINE SILVA RODRIGUES</t>
  </si>
  <si>
    <t>322.468.308-26</t>
  </si>
  <si>
    <t>ALINE VITORINO SOARES BARROS</t>
  </si>
  <si>
    <t>381.756.208-03</t>
  </si>
  <si>
    <t>ALIRIO ANDERSON DOS SANTOS</t>
  </si>
  <si>
    <t>199.260.138-05</t>
  </si>
  <si>
    <t>ALISON AUGUSTO RODRIGUES</t>
  </si>
  <si>
    <t>418.369.628-35</t>
  </si>
  <si>
    <t>Alisson Bruno Santana Sobrinho</t>
  </si>
  <si>
    <t>039.158.191-07</t>
  </si>
  <si>
    <t>Alisson Cauã Silva Barros</t>
  </si>
  <si>
    <t>504.128.938-78</t>
  </si>
  <si>
    <t>ALISSON DA ROCHA LOMBARDI</t>
  </si>
  <si>
    <t>406.177.168-03</t>
  </si>
  <si>
    <t>ALISSON FLORES DA SILVA</t>
  </si>
  <si>
    <t>389.934.418-98</t>
  </si>
  <si>
    <t>ALISSON LUIS FERREIRA</t>
  </si>
  <si>
    <t>449.754.748-59</t>
  </si>
  <si>
    <t>ALLAN FELIPE FELIX DA SILVA</t>
  </si>
  <si>
    <t>371.572.838-83</t>
  </si>
  <si>
    <t>ALLAN FRANCIS MOREIRA DA SILVA</t>
  </si>
  <si>
    <t>219.600.288-71</t>
  </si>
  <si>
    <t>ALLAN IGOR MORENO SILVA</t>
  </si>
  <si>
    <t>033.803.173-14</t>
  </si>
  <si>
    <t>ALLAN KRIS SOARES DE ALMEIDA</t>
  </si>
  <si>
    <t>408.817.198-54</t>
  </si>
  <si>
    <t>ALLAN PHILIPPE SANTOS GOPFERT PINTO ELIAS</t>
  </si>
  <si>
    <t>366.023.358-71</t>
  </si>
  <si>
    <t>ALLAN VASCONCELLOS DE CASTRO</t>
  </si>
  <si>
    <t>130.540.027-56</t>
  </si>
  <si>
    <t>Allana Chagas da Silva</t>
  </si>
  <si>
    <t>142.798.807-27</t>
  </si>
  <si>
    <t>ALLEXANDER VINICIUS OLIVEIRA DA SILVA SANTOS</t>
  </si>
  <si>
    <t>481.038.148-06</t>
  </si>
  <si>
    <t>ALLNEED COMERCIO LTDA</t>
  </si>
  <si>
    <t>19.932.380/0001-20</t>
  </si>
  <si>
    <t>ALMERINDA MEDEIROS DA CRUZ</t>
  </si>
  <si>
    <t>272.593.688-88</t>
  </si>
  <si>
    <t>ALMIR ADILSON DA ROSA</t>
  </si>
  <si>
    <t>144.581.788-81</t>
  </si>
  <si>
    <t>ALMIR DE FREITAS BARCELAR</t>
  </si>
  <si>
    <t>121.849.968-07</t>
  </si>
  <si>
    <t>ALMIR DE OLIVEIRA SANTOS SILVA</t>
  </si>
  <si>
    <t>138.395.228-03</t>
  </si>
  <si>
    <t>ALMIR DOS SANTOS DIAS</t>
  </si>
  <si>
    <t>350.291.498-21</t>
  </si>
  <si>
    <t>ALMIR MEDEIROS NETO</t>
  </si>
  <si>
    <t>215.781.018-83</t>
  </si>
  <si>
    <t>ALOISIO NORMAN DE CASTRO</t>
  </si>
  <si>
    <t>080.997.058-90</t>
  </si>
  <si>
    <t>ALPHA ELETRO LTDA</t>
  </si>
  <si>
    <t>29.784.415/0001-85</t>
  </si>
  <si>
    <t>ALQUILABOR COMERCIAL LTDA EPP</t>
  </si>
  <si>
    <t>01.351.837/0001-48</t>
  </si>
  <si>
    <t>ALTAIR DA SILVA RIBEIRO</t>
  </si>
  <si>
    <t>278.310.778-39</t>
  </si>
  <si>
    <t>Altamires de Mattos Silva</t>
  </si>
  <si>
    <t>161.852.737-13</t>
  </si>
  <si>
    <t>ALTBIT INFORMATICA COMERCIO E SERVICOS LTDA</t>
  </si>
  <si>
    <t>01.427.687/0001-09</t>
  </si>
  <si>
    <t>ALUISIO JUNIO ALVES FERREIRA</t>
  </si>
  <si>
    <t>232.591.138-19</t>
  </si>
  <si>
    <t>ALUIZO FERNANDO DA SILVA</t>
  </si>
  <si>
    <t>396.557.458-21</t>
  </si>
  <si>
    <t>ALVARO BORGES LIMA JUNIOR</t>
  </si>
  <si>
    <t>287.723.288-35</t>
  </si>
  <si>
    <t>ALVARO LUCIO TRAMBAIOLI GIUNCHETTI</t>
  </si>
  <si>
    <t>336.087.658-08</t>
  </si>
  <si>
    <t>ALVES &amp; CABRAL LTDA - EPP</t>
  </si>
  <si>
    <t>06.241.041/0001-56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</si>
  <si>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</si>
  <si>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</si>
  <si>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</si>
  <si>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</si>
  <si>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</si>
  <si>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</si>
  <si>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ALYSON ISMAEL G. FERREIRA DE LIMA</t>
  </si>
  <si>
    <t>399.002.878-27</t>
  </si>
  <si>
    <t>ALYSSON DANILO FARIA CARVALHO</t>
  </si>
  <si>
    <t>451.402.328-04</t>
  </si>
  <si>
    <t>ALZIRA MARIA DE SOUZA BASSI</t>
  </si>
  <si>
    <t>975.814.538-04</t>
  </si>
  <si>
    <t>A.M. MARQUES PRODUTOS PARA LABORATORIO LTDA</t>
  </si>
  <si>
    <t>24.842.922/0001-04</t>
  </si>
  <si>
    <t>AMADOR DO PRADO NETO</t>
  </si>
  <si>
    <t>197.098.208-00</t>
  </si>
  <si>
    <t>AMANDA ALVES</t>
  </si>
  <si>
    <t>087.449.356-09</t>
  </si>
  <si>
    <t>AMANDA APARECIDA DA SILVA</t>
  </si>
  <si>
    <t>321.833.378-42</t>
  </si>
  <si>
    <t>AMANDA APARECIDA NUNES</t>
  </si>
  <si>
    <t>352.474.458-30</t>
  </si>
  <si>
    <t>AMANDA BEZERRA DE ALCANTARA</t>
  </si>
  <si>
    <t>547.764.078-25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</si>
  <si>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</si>
  <si>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</si>
  <si>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</si>
  <si>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</si>
  <si>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</si>
  <si>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</si>
  <si>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</si>
  <si>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</si>
  <si>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DA SILVA TOMAZ FARIA</t>
  </si>
  <si>
    <t>397.577.888-13</t>
  </si>
  <si>
    <t>AMANDA CRISTINA DE AZEVEDO</t>
  </si>
  <si>
    <t>257.537.908-36</t>
  </si>
  <si>
    <t>AMANDA CRISTINA DE CAMARGO</t>
  </si>
  <si>
    <t>419.735.978-02</t>
  </si>
  <si>
    <t>AMANDA CRISTINA DE OLIVEIRA SILVA</t>
  </si>
  <si>
    <t>447.472.138-13</t>
  </si>
  <si>
    <t>AMANDA CRISTINA MARTINS CONSTANTINO</t>
  </si>
  <si>
    <t>386.886.578-07</t>
  </si>
  <si>
    <t>AMANDA CRISTINA MOLINARI VIEIRA</t>
  </si>
  <si>
    <t>433.292.128-37</t>
  </si>
  <si>
    <t>AMANDA CRISTINA RANGEL RAMOS BARBOSA</t>
  </si>
  <si>
    <t>355.139.358-30</t>
  </si>
  <si>
    <t>AMANDA DA SILVA</t>
  </si>
  <si>
    <t>412.432.298-45</t>
  </si>
  <si>
    <t>AMANDA DANIELLI MOTTA REIS CUNHA</t>
  </si>
  <si>
    <t>39.521.870/0001-41</t>
  </si>
  <si>
    <t>AMANDA DE FATIMA ANDRADE GONCALVES</t>
  </si>
  <si>
    <t>428.003.548-28</t>
  </si>
  <si>
    <t>AMANDA DE OLIVEIRA RIBEIRO FAVARO</t>
  </si>
  <si>
    <t>403.445.228-57</t>
  </si>
  <si>
    <t>AMANDA DE SOUZA CORPA</t>
  </si>
  <si>
    <t>344.232.698-21</t>
  </si>
  <si>
    <t>AMANDA DO PRADO MOREIRA</t>
  </si>
  <si>
    <t>486.419.218-93</t>
  </si>
  <si>
    <t>Amanda Elen Celestino Geraldo</t>
  </si>
  <si>
    <t>495.082.958-05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</si>
  <si>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</si>
  <si>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</si>
  <si>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</si>
  <si>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</si>
  <si>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</si>
  <si>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</si>
  <si>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</si>
  <si>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</si>
  <si>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GRAZIELLE DIAS NUNES</t>
  </si>
  <si>
    <t>380.972.868-31</t>
  </si>
  <si>
    <t>AMANDA HARUNA ANZAI</t>
  </si>
  <si>
    <t>228.129.678-46</t>
  </si>
  <si>
    <t>AMANDA KELLY CAMILO</t>
  </si>
  <si>
    <t>410.550.238-79</t>
  </si>
  <si>
    <t>Amanda Kunkel</t>
  </si>
  <si>
    <t>106.555.139-81</t>
  </si>
  <si>
    <t>AMANDA LAIS QUINTUS D ARRIGO</t>
  </si>
  <si>
    <t>844.901.870-68</t>
  </si>
  <si>
    <t>AMANDA NASCIMENTO PEREIRA GARCIA</t>
  </si>
  <si>
    <t>314.261.998-48</t>
  </si>
  <si>
    <t>AMANDA QUERES ALVES SILVA</t>
  </si>
  <si>
    <t>369.097.998-60</t>
  </si>
  <si>
    <t>Amanda Ramos da Graça Mares</t>
  </si>
  <si>
    <t>449.435.968-86</t>
  </si>
  <si>
    <t>AMANDA VALERIA PEREIRA LAFAIETE</t>
  </si>
  <si>
    <t>387.655.698-81</t>
  </si>
  <si>
    <t>AMARILDO MONTEIRO JUNIOR</t>
  </si>
  <si>
    <t>384.340.368-60</t>
  </si>
  <si>
    <t>AMATHEUS HENRIQUE BATISTA</t>
  </si>
  <si>
    <t>093.934.596-06</t>
  </si>
  <si>
    <t>AMAURI DE ASSIS PEREIRA</t>
  </si>
  <si>
    <t>581.199.818-04</t>
  </si>
  <si>
    <t>AMAURY LUCAS DA COSTA</t>
  </si>
  <si>
    <t>406.169.578-90</t>
  </si>
  <si>
    <t>AMB DISTRIBUIDORA DE MEDICAMENTO E PRODUTOS HOSPITALARES LTDA</t>
  </si>
  <si>
    <t>37.885.137/0001-80</t>
  </si>
  <si>
    <t>AMC SAUDE COMERCIAL HOSPITALAR LTDA</t>
  </si>
  <si>
    <t>33.551.382/0001-09</t>
  </si>
  <si>
    <t>AMERICA NET LTDA</t>
  </si>
  <si>
    <t>01.778.972/0001-74</t>
  </si>
  <si>
    <t>AMEX COMERCIAL ELETRICA LTDA - ME</t>
  </si>
  <si>
    <t>10.895.888/0001-21</t>
  </si>
  <si>
    <t>AML SERVICOS GRAFICOS DIGITAIS LTDA</t>
  </si>
  <si>
    <t>31.045.376/0001-46</t>
  </si>
  <si>
    <t>AMP COMERCIO DE PRODUTOS HOSPITALARES LTDA</t>
  </si>
  <si>
    <t>35.253.171/0001-07</t>
  </si>
  <si>
    <t>AMR COMERCIO DE FERRAGENS E FERRAMENTAS LTDA</t>
  </si>
  <si>
    <t>48.373.687/0001-37</t>
  </si>
  <si>
    <t>AMR COMERCIO E SERVICOS LTDA</t>
  </si>
  <si>
    <t>45.667.808/0001-65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</si>
  <si>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</si>
  <si>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</si>
  <si>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</si>
  <si>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</si>
  <si>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</si>
  <si>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</si>
  <si>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</si>
  <si>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</si>
  <si>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</si>
  <si>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</si>
  <si>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Andrade Silva</t>
  </si>
  <si>
    <t>549.478.228-05</t>
  </si>
  <si>
    <t>ANA BEATRIZ BARBOZA DE CARVALHO</t>
  </si>
  <si>
    <t>502.401.268-23</t>
  </si>
  <si>
    <t>ANA BEATRIZ CARNEIRO CASTRO FERREIRA</t>
  </si>
  <si>
    <t>518.864.668-40</t>
  </si>
  <si>
    <t>Ana Beatriz Custódio Silva</t>
  </si>
  <si>
    <t>499.684.818-90</t>
  </si>
  <si>
    <t>ANA BEATRIZ DA SILVA</t>
  </si>
  <si>
    <t>449.025.988-33</t>
  </si>
  <si>
    <t>ANA BEATRIZ DA SILVA GUIMARAES</t>
  </si>
  <si>
    <t>405.414.518-39</t>
  </si>
  <si>
    <t>Ana Beatriz de Oliveira Vitoriano</t>
  </si>
  <si>
    <t>546.735.048-01</t>
  </si>
  <si>
    <t>ANA BEATRIZ DE SIQUEIRA</t>
  </si>
  <si>
    <t>445.121.928-08</t>
  </si>
  <si>
    <t>ANA BEATRIZ FERNANDES DE PAULA</t>
  </si>
  <si>
    <t>436.642.498-36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</si>
  <si>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</si>
  <si>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</si>
  <si>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</si>
  <si>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</si>
  <si>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</si>
  <si>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</si>
  <si>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MALATESTA ALVIM FERREIRA</t>
  </si>
  <si>
    <t>274.560.008-75</t>
  </si>
  <si>
    <t>ANA BEATRIZ NUNES MENDONCA</t>
  </si>
  <si>
    <t>521.693.138-42</t>
  </si>
  <si>
    <t>ANA BEATRIZ PLINIO CORILOW</t>
  </si>
  <si>
    <t>528.082.128-44</t>
  </si>
  <si>
    <t>ANA BEATRIZ SILVA RAFAEL</t>
  </si>
  <si>
    <t>453.843.108-71</t>
  </si>
  <si>
    <t>ANA BEATRIZ SOUSA MARCONDES SILVA</t>
  </si>
  <si>
    <t>515.337.358-40</t>
  </si>
  <si>
    <t>ANA CAROLINA ALMEIDA DA SILVA</t>
  </si>
  <si>
    <t>499.778.988-71</t>
  </si>
  <si>
    <t>ANA CAROLINA AQUINO VERGILIO</t>
  </si>
  <si>
    <t>476.036.168-59</t>
  </si>
  <si>
    <t>Ana Carolina Christine Silva</t>
  </si>
  <si>
    <t>540.349.668-82</t>
  </si>
  <si>
    <t>ANA CAROLINA COSTA PEREIRA</t>
  </si>
  <si>
    <t>426.510.658-70</t>
  </si>
  <si>
    <t>ANA CAROLINA DE PAULA MORAIS</t>
  </si>
  <si>
    <t>502.671.028-01</t>
  </si>
  <si>
    <t>ANA CAROLINA DE ROSSI</t>
  </si>
  <si>
    <t>333.128.158-19</t>
  </si>
  <si>
    <t>ANA CAROLINA DE SOUZA PRADO</t>
  </si>
  <si>
    <t>477.786.488-06</t>
  </si>
  <si>
    <t>ANA CAROLINA DO AMARAL SOARES</t>
  </si>
  <si>
    <t>412.857.628-00</t>
  </si>
  <si>
    <t>Ana Carolina dos Santos</t>
  </si>
  <si>
    <t>067.569.691-70</t>
  </si>
  <si>
    <t>Ana Carolina Esteves Pavão</t>
  </si>
  <si>
    <t>192.425.297-02</t>
  </si>
  <si>
    <t>ANA CAROLINA FELICIANO DE SOUSA</t>
  </si>
  <si>
    <t>456.620.478-20</t>
  </si>
  <si>
    <t>ANA CAROLINA FONTES CORDEIRO</t>
  </si>
  <si>
    <t>150.019.667-36</t>
  </si>
  <si>
    <t>ANA CAROLINA GOUVEIA REGIS</t>
  </si>
  <si>
    <t>393.176.078-29</t>
  </si>
  <si>
    <t>ANA CAROLINA MELLO ANTUNES DOS SAN</t>
  </si>
  <si>
    <t>347.074.948-54</t>
  </si>
  <si>
    <t>ANA CAROLINA MENDES DA SILVA</t>
  </si>
  <si>
    <t>440.183.268-07</t>
  </si>
  <si>
    <t>ANA CAROLINA MORAES</t>
  </si>
  <si>
    <t>398.527.018-00</t>
  </si>
  <si>
    <t>ANA CAROLINA PENELUPPI HORAK SAVOLDELLI</t>
  </si>
  <si>
    <t>312.382.668-60</t>
  </si>
  <si>
    <t>ANA CAROLINA PEREIRA DA SILVA</t>
  </si>
  <si>
    <t>471.764.048-95</t>
  </si>
  <si>
    <t>ANA CAROLINA SANTOS ALVES</t>
  </si>
  <si>
    <t>517.741.078-13</t>
  </si>
  <si>
    <t>Ana Carolina Santos Pereira</t>
  </si>
  <si>
    <t>498.601.918-08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</si>
  <si>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</si>
  <si>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</si>
  <si>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</si>
  <si>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</si>
  <si>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</si>
  <si>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</si>
  <si>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FATIMA DA SILVA NOGUEIRA</t>
  </si>
  <si>
    <t>414.116.758-43</t>
  </si>
  <si>
    <t>ANA CAROLINE FERREIRA DA SILVA</t>
  </si>
  <si>
    <t>435.101.138-61</t>
  </si>
  <si>
    <t>ANA CAROLINE JANUARIO PEDRO</t>
  </si>
  <si>
    <t>352.595.228-77</t>
  </si>
  <si>
    <t>ANA CAROLINE SELLARI RODRIGUES</t>
  </si>
  <si>
    <t>439.799.028-03</t>
  </si>
  <si>
    <t>ANA CAROLINY MARIA LINS RIBEIRO</t>
  </si>
  <si>
    <t>488.377.478-37</t>
  </si>
  <si>
    <t>ANA CAROLYNE APARECIDA SILVA MARTINS</t>
  </si>
  <si>
    <t>433.756.688-05</t>
  </si>
  <si>
    <t>Ana Cecília Goulart Ramos</t>
  </si>
  <si>
    <t>395.120.348-08</t>
  </si>
  <si>
    <t>ANA CLARA ALVES COSTA</t>
  </si>
  <si>
    <t>548.903.718-00</t>
  </si>
  <si>
    <t>ANA CLARA AZEVEDO DOS SANTOS</t>
  </si>
  <si>
    <t>513.662.368-31</t>
  </si>
  <si>
    <t>ANA CLARA BARBOSA DA SILVA</t>
  </si>
  <si>
    <t>048.179.033-09</t>
  </si>
  <si>
    <t>Ana Clara de Almeida Amaro</t>
  </si>
  <si>
    <t>169.017.357-23</t>
  </si>
  <si>
    <t>ANA CLARA DIAS GALDINI</t>
  </si>
  <si>
    <t>572.881.318-66</t>
  </si>
  <si>
    <t>ANA CLARA FERNANDES DS SANTOS</t>
  </si>
  <si>
    <t>527.119.688-71</t>
  </si>
  <si>
    <t>ANA CLARA FREITAS DE SOUZA CARLOS</t>
  </si>
  <si>
    <t>523.898.708-05</t>
  </si>
  <si>
    <t>ANA CLARA GOBIS VERGES BATISTA DE OLIVEIRA VENANCIO</t>
  </si>
  <si>
    <t>478.046.178-28</t>
  </si>
  <si>
    <t>ANA CLARA GUICARDE DA MOTTA</t>
  </si>
  <si>
    <t>538.844.808-80</t>
  </si>
  <si>
    <t>Ana Clara Jesus Barbosa dos Santos</t>
  </si>
  <si>
    <t>463.037.468-02</t>
  </si>
  <si>
    <t>ANA CLARA MONTEIRO DE SIQUEIRA</t>
  </si>
  <si>
    <t>436.017.558-23</t>
  </si>
  <si>
    <t>ANA CLARA NUNES DOS SANTOS</t>
  </si>
  <si>
    <t>511.461.338-39</t>
  </si>
  <si>
    <t>ANA CLARA OLIVEIRA NUNES</t>
  </si>
  <si>
    <t>147.434.907-23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</si>
  <si>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</si>
  <si>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</si>
  <si>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</si>
  <si>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</si>
  <si>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</si>
  <si>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</si>
  <si>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</si>
  <si>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</si>
  <si>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DE PAIVA SILVA</t>
  </si>
  <si>
    <t>387.448.868-37</t>
  </si>
  <si>
    <t>ANA CLAUDIA DOS SANTOS</t>
  </si>
  <si>
    <t>289.064.438-38</t>
  </si>
  <si>
    <t>ANA CLAUDIA OLIVEIRA MANCILHA</t>
  </si>
  <si>
    <t>446.871.978-84</t>
  </si>
  <si>
    <t>ANA CLAUDIA SANTOS LEANDRO FRANCA</t>
  </si>
  <si>
    <t>381.303.038-50</t>
  </si>
  <si>
    <t>ANA CRISTINA BARAUNA DA CONCEIÇÃO</t>
  </si>
  <si>
    <t>797.720.725-72</t>
  </si>
  <si>
    <t>ANA CRISTINA DA SILVA</t>
  </si>
  <si>
    <t>185.715.238-78</t>
  </si>
  <si>
    <t>ANA CRISTINA DE OLIVEIRA MARQUES</t>
  </si>
  <si>
    <t>080.925.288-02</t>
  </si>
  <si>
    <t>ANA CRISTINA FERREIRA</t>
  </si>
  <si>
    <t>303.392.308-94</t>
  </si>
  <si>
    <t>Ana Cristina Oliveira da Silva</t>
  </si>
  <si>
    <t>071.263.578-50</t>
  </si>
  <si>
    <t>ANA CRISTINE VITORIO DA SILVA</t>
  </si>
  <si>
    <t>225.432.558-26</t>
  </si>
  <si>
    <t>ANA DELMA RAYMUNDO</t>
  </si>
  <si>
    <t>030.631.898-98</t>
  </si>
  <si>
    <t>ANA ELOISA RAMOS SALES</t>
  </si>
  <si>
    <t>476.631.518-95</t>
  </si>
  <si>
    <t>ANA FERNANDA MARTINS MELO BORGES</t>
  </si>
  <si>
    <t>407.589.418-54</t>
  </si>
  <si>
    <t>Ana Flavia Bonani</t>
  </si>
  <si>
    <t>443.352.908-70</t>
  </si>
  <si>
    <t>ANA FLAVIA CARDOSO OLIVEIRA</t>
  </si>
  <si>
    <t>466.401.478-31</t>
  </si>
  <si>
    <t>ANA FLAVIA DE PAULA SOARES</t>
  </si>
  <si>
    <t>268.386.198-22</t>
  </si>
  <si>
    <t>ANA FLAVIA DORNA TASSETTO</t>
  </si>
  <si>
    <t>162.741.008-22</t>
  </si>
  <si>
    <t>ANA FLAVIA MARQUES DA CUNHA</t>
  </si>
  <si>
    <t>436.735.348-66</t>
  </si>
  <si>
    <t>ANA FLAVIA RIBEIRO MOREIRA</t>
  </si>
  <si>
    <t>521.568.798-69</t>
  </si>
  <si>
    <t>ANA GABRIELA AMORIM</t>
  </si>
  <si>
    <t>521.455.968-28</t>
  </si>
  <si>
    <t>ANA GABRIELA CORDEIRO DE MORAES</t>
  </si>
  <si>
    <t>479.935.878-24</t>
  </si>
  <si>
    <t>ANA GABRIELA FERNANDES DIAS</t>
  </si>
  <si>
    <t>491.404.318-19</t>
  </si>
  <si>
    <t>ANA GABRIELA RIBEIRO DA SILVA</t>
  </si>
  <si>
    <t>496.122.838-93</t>
  </si>
  <si>
    <t>ANA GABRIELA SANTOS MAIA</t>
  </si>
  <si>
    <t>091.094.021-52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</si>
  <si>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</si>
  <si>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</si>
  <si>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</si>
  <si>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</si>
  <si>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</si>
  <si>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</si>
  <si>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GIULIA MAGACHO RIOS</t>
  </si>
  <si>
    <t>485.226.258-67</t>
  </si>
  <si>
    <t>ANA GRAZIELA DE MELO SILVA</t>
  </si>
  <si>
    <t>520.681.088-60</t>
  </si>
  <si>
    <t>ANA HELENA COSTA MACHADO ATAIDE</t>
  </si>
  <si>
    <t>056.770.086-05</t>
  </si>
  <si>
    <t>ANA HELENA DA SILVA</t>
  </si>
  <si>
    <t>005.300.898-74</t>
  </si>
  <si>
    <t>ANA HELOÍSA CUSTÓDIO SILVA</t>
  </si>
  <si>
    <t>499.684.628-37</t>
  </si>
  <si>
    <t>ANA ISABEL FAZOLO TAVARES COSTA</t>
  </si>
  <si>
    <t>544.867.158-61</t>
  </si>
  <si>
    <t>ANA JULIA AMORIM</t>
  </si>
  <si>
    <t>539.563.188-70</t>
  </si>
  <si>
    <t>ANA JULIA BARBOSA DA SILVA</t>
  </si>
  <si>
    <t>479.489.278-08</t>
  </si>
  <si>
    <t>Ana Júlia Batista Bastos</t>
  </si>
  <si>
    <t>491.901.168-79</t>
  </si>
  <si>
    <t>ANA JULIA COSTA MACEDO</t>
  </si>
  <si>
    <t>482.876.078-41</t>
  </si>
  <si>
    <t>ANA JULIA DA ANUNCIACAO</t>
  </si>
  <si>
    <t>533.509.148-70</t>
  </si>
  <si>
    <t>Ana Júlia de Almeida</t>
  </si>
  <si>
    <t>132.323.286-95</t>
  </si>
  <si>
    <t>Ana Julia de Almeida Tarife</t>
  </si>
  <si>
    <t>522.264.228-38</t>
  </si>
  <si>
    <t>ANA JULIA DE OLIVEIRA ABREU</t>
  </si>
  <si>
    <t>570.313.528-19</t>
  </si>
  <si>
    <t>Ana Julia de Oliveira Machado</t>
  </si>
  <si>
    <t>150.162.797-05</t>
  </si>
  <si>
    <t>ANA JULIA DOS SANTOS</t>
  </si>
  <si>
    <t>452.944.938-61</t>
  </si>
  <si>
    <t>ANA JULIA DOS SANTOS BARBOSA</t>
  </si>
  <si>
    <t>442.129.428-44</t>
  </si>
  <si>
    <t>Ana Júlia Rodrigues da Silva</t>
  </si>
  <si>
    <t>132.731.704-41</t>
  </si>
  <si>
    <t>ANA JULIA TENORIO PEDROSO</t>
  </si>
  <si>
    <t>521.961.418-52</t>
  </si>
  <si>
    <t>ANA KAROLINA VENANCIO GUEDES</t>
  </si>
  <si>
    <t>501.333.088-20</t>
  </si>
  <si>
    <t>ANA KAROLINE DE OLIVEIRA NUNES</t>
  </si>
  <si>
    <t>423.301.118-19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</si>
  <si>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</si>
  <si>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</si>
  <si>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</si>
  <si>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</si>
  <si>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</si>
  <si>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</si>
  <si>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LAURA PEGO CANELA</t>
  </si>
  <si>
    <t>057.900.828-23</t>
  </si>
  <si>
    <t>ANA LIVIA COIMBRA ROSA DA SILVA</t>
  </si>
  <si>
    <t>601.440.288-83</t>
  </si>
  <si>
    <t>ANA LIVIA DE SOUZA LUCAS</t>
  </si>
  <si>
    <t>452.450.638-16</t>
  </si>
  <si>
    <t>Ana Lívia dos Santos Pereira</t>
  </si>
  <si>
    <t>589.530.558-06</t>
  </si>
  <si>
    <t>Ana Lua Alves Arruda</t>
  </si>
  <si>
    <t>030.217.231-95</t>
  </si>
  <si>
    <t>ANA LUCIA ALVES BRITO</t>
  </si>
  <si>
    <t>292.994.113-87</t>
  </si>
  <si>
    <t>ANA LUCIA DE ALVARENGA MONTEIRO VITOR</t>
  </si>
  <si>
    <t>088.446.328-10</t>
  </si>
  <si>
    <t>ANA LUCIA DE FARIA SANTOS</t>
  </si>
  <si>
    <t>258.548.578-12</t>
  </si>
  <si>
    <t>ANA LUCIA GONCALVES RIBEIRO</t>
  </si>
  <si>
    <t>110.204.708-28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</si>
  <si>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</si>
  <si>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</si>
  <si>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</si>
  <si>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</si>
  <si>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</si>
  <si>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</si>
  <si>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</si>
  <si>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</si>
  <si>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DE OLIVEIRA PINTO</t>
  </si>
  <si>
    <t>437.925.568-98</t>
  </si>
  <si>
    <t>ANA LUIZA GONSALVES MACIEL</t>
  </si>
  <si>
    <t>512.739.138-41</t>
  </si>
  <si>
    <t>ANA LUIZA MARTINEZ DE AZEVEDO CASTRO</t>
  </si>
  <si>
    <t>443.145.028-94</t>
  </si>
  <si>
    <t>ANA LUIZA SANCHES DE FARIA</t>
  </si>
  <si>
    <t>412.784.698-42</t>
  </si>
  <si>
    <t>ANA LUIZA SANTIAGO</t>
  </si>
  <si>
    <t>556.120.488-23</t>
  </si>
  <si>
    <t>ANA MARCIA LIMA DOS SANTOS</t>
  </si>
  <si>
    <t>512.835.388-57</t>
  </si>
  <si>
    <t>ANA MARCIA OLIVEIRA DE CARVALHO</t>
  </si>
  <si>
    <t>788.629.148-49</t>
  </si>
  <si>
    <t>ANA MARIA COSTA ARAUJO</t>
  </si>
  <si>
    <t>396.779.328-10</t>
  </si>
  <si>
    <t>ANA MARIA COURA DE CASTRO</t>
  </si>
  <si>
    <t>060.110.276-28</t>
  </si>
  <si>
    <t>ANA MARIA DA SILVA</t>
  </si>
  <si>
    <t>254.488.578-50</t>
  </si>
  <si>
    <t>ANA MARIA DE OLIVEIRA</t>
  </si>
  <si>
    <t>048.145.958-83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</si>
  <si>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</si>
  <si>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</si>
  <si>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</si>
  <si>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</si>
  <si>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</si>
  <si>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</si>
  <si>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</si>
  <si>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</si>
  <si>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MARIA SILVA MARCONDES</t>
  </si>
  <si>
    <t>062.497.358-10</t>
  </si>
  <si>
    <t>Ana Martins Diniz</t>
  </si>
  <si>
    <t>395.697.778-50</t>
  </si>
  <si>
    <t>ANA MIKIKO FUKUDA KAWASAKI</t>
  </si>
  <si>
    <t>056.260.528-28</t>
  </si>
  <si>
    <t>ANA PAULA APARECIDA DIONISIO</t>
  </si>
  <si>
    <t>381.759.888-27</t>
  </si>
  <si>
    <t>Ana Paula Araújo Brito</t>
  </si>
  <si>
    <t>357.108.508-61</t>
  </si>
  <si>
    <t>ANA PAULA BRAGA VIEIRA</t>
  </si>
  <si>
    <t>352.492.328-33</t>
  </si>
  <si>
    <t>ANA PAULA BUENO DA SILVA</t>
  </si>
  <si>
    <t>284.717.238-67</t>
  </si>
  <si>
    <t>ANA PAULA CANDIDA FERREIRA</t>
  </si>
  <si>
    <t>352.857.038-59</t>
  </si>
  <si>
    <t>ANA PAULA COELHO</t>
  </si>
  <si>
    <t>152.028.748-80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</si>
  <si>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</si>
  <si>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</si>
  <si>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</si>
  <si>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</si>
  <si>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</si>
  <si>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</si>
  <si>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CARVALHO SANTANIELLI</t>
  </si>
  <si>
    <t>343.111.608-60</t>
  </si>
  <si>
    <t>ANA PAULA DE CARVALHO SILVA</t>
  </si>
  <si>
    <t>159.588.398-37</t>
  </si>
  <si>
    <t>Ana Paula de Jesus Costa</t>
  </si>
  <si>
    <t>417.933.198-55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</si>
  <si>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</si>
  <si>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</si>
  <si>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</si>
  <si>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</si>
  <si>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</si>
  <si>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</si>
  <si>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DOS SANTOS</t>
  </si>
  <si>
    <t>231.497.938-90</t>
  </si>
  <si>
    <t>ANA PAULA DOS SANTOS SIQUEIRA FERREIRA</t>
  </si>
  <si>
    <t>389.673.528-40</t>
  </si>
  <si>
    <t>ANA PAULA FERREIRA</t>
  </si>
  <si>
    <t>216.606.958-48</t>
  </si>
  <si>
    <t>ANA PAULA FERREIRA D SILVA OLIVEIRA</t>
  </si>
  <si>
    <t>944.363.045-15</t>
  </si>
  <si>
    <t>Ana Paula Finco Silva</t>
  </si>
  <si>
    <t>130.702.946-93</t>
  </si>
  <si>
    <t>ANA PAULA GONZAGA</t>
  </si>
  <si>
    <t>216.357.178-50</t>
  </si>
  <si>
    <t>ANA PAULA LOPES</t>
  </si>
  <si>
    <t>367.954.668-84</t>
  </si>
  <si>
    <t>ANA PAULA MARIANO</t>
  </si>
  <si>
    <t>251.242.448-01</t>
  </si>
  <si>
    <t>ANA PAULA MARTINS COELHO</t>
  </si>
  <si>
    <t>143.338.636-43</t>
  </si>
  <si>
    <t>ANA PAULA MARTINS NOGUEIRA</t>
  </si>
  <si>
    <t>224.478.188-74</t>
  </si>
  <si>
    <t>ANA PAULA MUNIZ MARQUES</t>
  </si>
  <si>
    <t>424.688.558-41</t>
  </si>
  <si>
    <t>ANA PAULA PEREIRA DA CRUZ SANTOS</t>
  </si>
  <si>
    <t>323.387.308-52</t>
  </si>
  <si>
    <t>ANA PAULA RAMOS CARDOSO</t>
  </si>
  <si>
    <t>502.974.458-47</t>
  </si>
  <si>
    <t>ANA PAULA RAMOS RIBEIRO</t>
  </si>
  <si>
    <t>377.585.148-80</t>
  </si>
  <si>
    <t>ANA PAULA RIBEIRO</t>
  </si>
  <si>
    <t>295.846.978-62</t>
  </si>
  <si>
    <t>ANA PAULA RODRIGUES NETO</t>
  </si>
  <si>
    <t>368.661.208-96</t>
  </si>
  <si>
    <t>ANA PAULA SANTOS</t>
  </si>
  <si>
    <t>358.772.498-94</t>
  </si>
  <si>
    <t>ANA PAULA SILVA RIBEIRO</t>
  </si>
  <si>
    <t>037.331.913-40</t>
  </si>
  <si>
    <t>ANA PAULA SIMOES DA SILVA DE ALCANTARA MOREIRA</t>
  </si>
  <si>
    <t>295.563.808-09</t>
  </si>
  <si>
    <t>ANA PAULA SOARES PACIFICO</t>
  </si>
  <si>
    <t>317.741.578-10</t>
  </si>
  <si>
    <t>ANA PAULA SOUZA DE MENDONCA MARQUES</t>
  </si>
  <si>
    <t>026.835.054-00</t>
  </si>
  <si>
    <t>ANA RITA DE CASSIA BIGARATO</t>
  </si>
  <si>
    <t>475.940.125-34</t>
  </si>
  <si>
    <t>ANA RITA FURRIEL BRUNO</t>
  </si>
  <si>
    <t>162.279.897-03</t>
  </si>
  <si>
    <t>ANA ROSA RODRIGUES DE SOUZA</t>
  </si>
  <si>
    <t>098.436.788-85</t>
  </si>
  <si>
    <t>ANA RUTHE MENDES CAETANO</t>
  </si>
  <si>
    <t>098.758.094-97</t>
  </si>
  <si>
    <t>ANA TEREZA JACINTO FURTADO FIGUEIREDO</t>
  </si>
  <si>
    <t>471.500.248-58</t>
  </si>
  <si>
    <t>ANA VALERIA ALVES</t>
  </si>
  <si>
    <t>272.802.108-21</t>
  </si>
  <si>
    <t>ANA VERA MARTINS</t>
  </si>
  <si>
    <t>250.434.898-39</t>
  </si>
  <si>
    <t>Ana Victória Rudgeri de Oliveira</t>
  </si>
  <si>
    <t>706.643.891-47</t>
  </si>
  <si>
    <t>ANAELE SOBREIRA PEREIRA</t>
  </si>
  <si>
    <t>320.773.488-01</t>
  </si>
  <si>
    <t>ANAJUR PARTICIPACOES LTDA</t>
  </si>
  <si>
    <t>56.376.098/0001-30</t>
  </si>
  <si>
    <t>ANALUCIA PANDINI</t>
  </si>
  <si>
    <t>083.278.228-96</t>
  </si>
  <si>
    <t>ANANDA MORATELLI RAMOS</t>
  </si>
  <si>
    <t>474.693.448-70</t>
  </si>
  <si>
    <t>ANANIAS TEODORO FREIRE</t>
  </si>
  <si>
    <t>361.164.568-04</t>
  </si>
  <si>
    <t>ANBIOTON IMPORTADORA LTDA</t>
  </si>
  <si>
    <t>11.260.846/0001-87</t>
  </si>
  <si>
    <t>ANCELMO VALENTIM</t>
  </si>
  <si>
    <t>312.249.518-08</t>
  </si>
  <si>
    <t>ANDERSON APARECIDO GARCIA</t>
  </si>
  <si>
    <t>321.937.208-27</t>
  </si>
  <si>
    <t>ANDERSON BARBOSA TEIXEIRA</t>
  </si>
  <si>
    <t>219.301.238-50</t>
  </si>
  <si>
    <t>ANDERSON BELIZARIO REZENDE</t>
  </si>
  <si>
    <t>350.523.568-70</t>
  </si>
  <si>
    <t>ANDERSON CONCEICAO BARBOZA</t>
  </si>
  <si>
    <t>003.567.827-51</t>
  </si>
  <si>
    <t>ANDERSON DE CARVALHO SERIO</t>
  </si>
  <si>
    <t>388.786.988-57</t>
  </si>
  <si>
    <t>ANDERSON DE CASTRO SANTOS</t>
  </si>
  <si>
    <t>310.286.958-02</t>
  </si>
  <si>
    <t>Anderson de Paula Alcantara</t>
  </si>
  <si>
    <t>250.007.838-83</t>
  </si>
  <si>
    <t>ANDERSON FRANCISCO DE CARVALHO VITOR</t>
  </si>
  <si>
    <t>312.724.888-10</t>
  </si>
  <si>
    <t>ANDERSON GERMANO DA SILVA</t>
  </si>
  <si>
    <t>228.920.048-45</t>
  </si>
  <si>
    <t>ANDERSON GONCALVES</t>
  </si>
  <si>
    <t>382.046.638-03</t>
  </si>
  <si>
    <t>ANDERSON HENRIQUE CAETANO</t>
  </si>
  <si>
    <t>266.422.098-50</t>
  </si>
  <si>
    <t>ANDERSON HENRIQUE FONSECA ALVES</t>
  </si>
  <si>
    <t>382.531.498-75</t>
  </si>
  <si>
    <t>ANDERSON HENRIQUE GIMENEZ DA SILVA</t>
  </si>
  <si>
    <t>502.425.708-10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</si>
  <si>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</si>
  <si>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</si>
  <si>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</si>
  <si>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</si>
  <si>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</si>
  <si>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</si>
  <si>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</si>
  <si>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</si>
  <si>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RODRIGUES ALMEIDA</t>
  </si>
  <si>
    <t>109.598.638-42</t>
  </si>
  <si>
    <t>ANDERSON RODRIGUES DA SILVA</t>
  </si>
  <si>
    <t>341.063.098-82</t>
  </si>
  <si>
    <t>ANDERSON SILVA DE OLIVEIRA</t>
  </si>
  <si>
    <t>030.096.092-13</t>
  </si>
  <si>
    <t>ANDERSON SILVA GUERRA BARREIRO</t>
  </si>
  <si>
    <t>444.928.998-63</t>
  </si>
  <si>
    <t>ANDRA MARIA FARIAS HIGINO</t>
  </si>
  <si>
    <t>974.165.503-78</t>
  </si>
  <si>
    <t>ANDRE ALLAN BARROS TOLEDO</t>
  </si>
  <si>
    <t>183.884.168-71</t>
  </si>
  <si>
    <t>ANDRE APARECIDO DE SOUZA IVO</t>
  </si>
  <si>
    <t>219.449.538-09</t>
  </si>
  <si>
    <t>André Barbieri</t>
  </si>
  <si>
    <t>517.680.538-39</t>
  </si>
  <si>
    <t>ANDRE CAMPOS CEDOTTE</t>
  </si>
  <si>
    <t>398.769.308-85</t>
  </si>
  <si>
    <t>ANDRÉ CLAUDIO BOTELHO DANTAS</t>
  </si>
  <si>
    <t>019.222.681-94</t>
  </si>
  <si>
    <t>ANDRE COELHO XAVIER</t>
  </si>
  <si>
    <t>486.529.058-35</t>
  </si>
  <si>
    <t>ANDRE DA MOTA LISBOA DE ANDRADE</t>
  </si>
  <si>
    <t>348.201.578-33</t>
  </si>
  <si>
    <t>André de Almeida Cruz</t>
  </si>
  <si>
    <t>516.931.328-42</t>
  </si>
  <si>
    <t>ANDRE DE FRANCA CAMPOS</t>
  </si>
  <si>
    <t>176.545.428-01</t>
  </si>
  <si>
    <t>ANDRE FRANCO FORTUNATO</t>
  </si>
  <si>
    <t>282.509.698-98</t>
  </si>
  <si>
    <t>ANDRE GUIMARAES</t>
  </si>
  <si>
    <t>256.467.168-37</t>
  </si>
  <si>
    <t>André Gustavo Dalmolin</t>
  </si>
  <si>
    <t>107.397.459-64</t>
  </si>
  <si>
    <t>ANDRE HENRIQUE DOS SANTOS</t>
  </si>
  <si>
    <t>248.993.528-32</t>
  </si>
  <si>
    <t>ANDRE IGOR GRACIANO DE OLIVEIRA</t>
  </si>
  <si>
    <t>522.886.908-52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</si>
  <si>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</si>
  <si>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</si>
  <si>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</si>
  <si>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</si>
  <si>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</si>
  <si>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</si>
  <si>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</si>
  <si>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</si>
  <si>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</si>
  <si>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</si>
  <si>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</si>
  <si>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</si>
  <si>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ANDRÉ LUIS SILVEIRA PELIN</t>
  </si>
  <si>
    <t>268.942.578-50</t>
  </si>
  <si>
    <t>ANDRE LUIS STUANI MACHADO</t>
  </si>
  <si>
    <t>327.752.068-40</t>
  </si>
  <si>
    <t>ANDRE LUIZ CANDIDO</t>
  </si>
  <si>
    <t>378.849.978-86</t>
  </si>
  <si>
    <t>ANDRE LUIZ DA COSTA MONTEIRO</t>
  </si>
  <si>
    <t>401.402.598-56</t>
  </si>
  <si>
    <t>ANDRE LUIZ DA SILVA</t>
  </si>
  <si>
    <t>264.850.048-07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</si>
  <si>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</si>
  <si>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</si>
  <si>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</si>
  <si>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</si>
  <si>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</si>
  <si>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</si>
  <si>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SILVA</t>
  </si>
  <si>
    <t>121.834.887-94</t>
  </si>
  <si>
    <t>ANDRE LUIZ SOARES</t>
  </si>
  <si>
    <t>279.705.688-40</t>
  </si>
  <si>
    <t>280.068.708-88</t>
  </si>
  <si>
    <t>André Luiz Vaccarelli Araújo</t>
  </si>
  <si>
    <t>442.962.698-79</t>
  </si>
  <si>
    <t>ANDRE LUIZ VIEIRA DA SILVA</t>
  </si>
  <si>
    <t>332.277.498-82</t>
  </si>
  <si>
    <t>ANDRE MIRANDA NATALI</t>
  </si>
  <si>
    <t>243.283.398-85</t>
  </si>
  <si>
    <t>ANDRÉ PANINI ALBISSÚ-EPP</t>
  </si>
  <si>
    <t>08.885.380/0001-09</t>
  </si>
  <si>
    <t>ANDRE RICARDO JULIAO</t>
  </si>
  <si>
    <t>294.811.438-13</t>
  </si>
  <si>
    <t>ANDRE STEFANELLI MARTINS</t>
  </si>
  <si>
    <t>328.562.188-57</t>
  </si>
  <si>
    <t>ANDRÉ TONDATO DA SILVA</t>
  </si>
  <si>
    <t>305.752.928-30</t>
  </si>
  <si>
    <t>ANDREA ALVES MORAIS</t>
  </si>
  <si>
    <t>249.868.318-60</t>
  </si>
  <si>
    <t>ANDREA ANDRADE DIAS PUPPIO</t>
  </si>
  <si>
    <t>144.575.488-63</t>
  </si>
  <si>
    <t>ANDREA BAH  MORENO</t>
  </si>
  <si>
    <t>162.745.078-50</t>
  </si>
  <si>
    <t>ANDREA CAVALCANTE DA MOTTA MORCIANI</t>
  </si>
  <si>
    <t>251.246.788-01</t>
  </si>
  <si>
    <t>ANDREA CRISTINA RODRIGUES RIBEIRO</t>
  </si>
  <si>
    <t>183.931.618-78</t>
  </si>
  <si>
    <t>ANDREA FERNANDA MARTINS DE SOUZA BRITO</t>
  </si>
  <si>
    <t>416.911.118-48</t>
  </si>
  <si>
    <t>ANDREA GOMES FILIPE DE AZEVEDO</t>
  </si>
  <si>
    <t>159.508.778-88</t>
  </si>
  <si>
    <t>ANDREA LIMA DE SOUZA</t>
  </si>
  <si>
    <t>363.147.158-06</t>
  </si>
  <si>
    <t>ANDREA MARCIA LOPES</t>
  </si>
  <si>
    <t>124.668.188-92</t>
  </si>
  <si>
    <t>ANDREA SUNDFELD</t>
  </si>
  <si>
    <t>121.853.658-60</t>
  </si>
  <si>
    <t>ANDREI BARBOSA DE ARAUJO</t>
  </si>
  <si>
    <t>311.074.768-52</t>
  </si>
  <si>
    <t>Andrei Dias Ferreira</t>
  </si>
  <si>
    <t>129.559.897-38</t>
  </si>
  <si>
    <t>ANDREIA ALESSANDRA ANASTACIO MOURA</t>
  </si>
  <si>
    <t>299.148.378-40</t>
  </si>
  <si>
    <t>ANDREIA APARECIDA DE PAULA</t>
  </si>
  <si>
    <t>223.280.138-13</t>
  </si>
  <si>
    <t>ANDREIA APARECIDA HOFACHER SALLES DA COSTA</t>
  </si>
  <si>
    <t>278.760.318-11</t>
  </si>
  <si>
    <t>ANDREIA APARECIDA SOUZA PAULA</t>
  </si>
  <si>
    <t>335.788.458-50</t>
  </si>
  <si>
    <t>ANDREIA DE LIMA COSTA</t>
  </si>
  <si>
    <t>330.778.208-89</t>
  </si>
  <si>
    <t>ANDREIA DOS SANTOS ALVES SOUZA</t>
  </si>
  <si>
    <t>311.624.698-03</t>
  </si>
  <si>
    <t>ANDREIA GONCALVES MARCHEZE</t>
  </si>
  <si>
    <t>150.147.188-09</t>
  </si>
  <si>
    <t>ANDREIA MELLO DE OLIVEIRA</t>
  </si>
  <si>
    <t>339.399.888-98</t>
  </si>
  <si>
    <t>ANDREIA OLIVEIRA DE JESUS</t>
  </si>
  <si>
    <t>348.389.088-22</t>
  </si>
  <si>
    <t>ANDREIA PAGANO DA SILVA</t>
  </si>
  <si>
    <t>486.935.668-65</t>
  </si>
  <si>
    <t>ANDREIA PAULA PEREIRA</t>
  </si>
  <si>
    <t>307.582.398-82</t>
  </si>
  <si>
    <t>ANDREIA RAMOS DA SILVA</t>
  </si>
  <si>
    <t>407.758.298-97</t>
  </si>
  <si>
    <t>ANDREIA TOMADON DAMACENO</t>
  </si>
  <si>
    <t>218.070.428-39</t>
  </si>
  <si>
    <t>ANDRESA MARA DE CASTRO</t>
  </si>
  <si>
    <t>310.777.588-63</t>
  </si>
  <si>
    <t>ANDRESSA CARLA HILARIO EDUARDO</t>
  </si>
  <si>
    <t>387.362.378-17</t>
  </si>
  <si>
    <t>ANDRESSA CAROLINE SILVA</t>
  </si>
  <si>
    <t>416.334.298-22</t>
  </si>
  <si>
    <t>ANDRESSA CRISTINA DA SILVA VARGAS</t>
  </si>
  <si>
    <t>403.911.228-86</t>
  </si>
  <si>
    <t>ANDRESSA CRISTINA LOPES DA CRUZ</t>
  </si>
  <si>
    <t>380.701.278-80</t>
  </si>
  <si>
    <t>ANDRESSA DANIELLE CARVALHO SILVA</t>
  </si>
  <si>
    <t>406.022.458-85</t>
  </si>
  <si>
    <t>ANDRESSA TAIANE SILVERIO</t>
  </si>
  <si>
    <t>469.995.468-51</t>
  </si>
  <si>
    <t>Andressa Vitória Alves de Souza</t>
  </si>
  <si>
    <t>509.788.178-85</t>
  </si>
  <si>
    <t>ANDRESSA VIVIANY REGIS ARAUJO</t>
  </si>
  <si>
    <t>400.315.208-55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</si>
  <si>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</si>
  <si>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</si>
  <si>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</si>
  <si>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</si>
  <si>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</si>
  <si>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</si>
  <si>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</si>
  <si>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</si>
  <si>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ANDREZA FERNANDA GOMES</t>
  </si>
  <si>
    <t>220.924.618-00</t>
  </si>
  <si>
    <t>ANDRIEL LUIZ DA SILVA</t>
  </si>
  <si>
    <t>367.704.448-01</t>
  </si>
  <si>
    <t>ANDRIELE MARIA APARECIDA FARIA SANTOS</t>
  </si>
  <si>
    <t>478.777.508-11</t>
  </si>
  <si>
    <t>ANGELA APARECIDA MALACHIAS MENDES</t>
  </si>
  <si>
    <t>382.706.558-56</t>
  </si>
  <si>
    <t>ANGELA BARBOSA DA SILVA</t>
  </si>
  <si>
    <t>490.853.874-34</t>
  </si>
  <si>
    <t>ANGELA CRISTINA DE PAIVA</t>
  </si>
  <si>
    <t>098.628.338-07</t>
  </si>
  <si>
    <t>ANGELA CRISTINA MARCO DOS REIS</t>
  </si>
  <si>
    <t>312.589.368-28</t>
  </si>
  <si>
    <t>ANGELA CRISTINE FERNANDES</t>
  </si>
  <si>
    <t>368.359.388-11</t>
  </si>
  <si>
    <t>ANGELA GUEDES DA SILVA</t>
  </si>
  <si>
    <t>669.648.734-49</t>
  </si>
  <si>
    <t>ANGELA JUNQUEIRA ESCOBAR SOUZA</t>
  </si>
  <si>
    <t>266.422.748-30</t>
  </si>
  <si>
    <t>ANGELA MARIA DIAS</t>
  </si>
  <si>
    <t>114.945.988-33</t>
  </si>
  <si>
    <t>ANGELA MARIA DINIZ</t>
  </si>
  <si>
    <t>277.615.198-54</t>
  </si>
  <si>
    <t>ANGELICA APARECIDA RODRIGUES SALES</t>
  </si>
  <si>
    <t>336.457.818-46</t>
  </si>
  <si>
    <t>ANGELICA CRISTINA FERREIRA JOY</t>
  </si>
  <si>
    <t>377.421.468-94</t>
  </si>
  <si>
    <t>ANGELICA GONCALVES DOS SANTOS</t>
  </si>
  <si>
    <t>361.572.718-50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</si>
  <si>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</si>
  <si>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</si>
  <si>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</si>
  <si>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</si>
  <si>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</si>
  <si>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</si>
  <si>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ANGELIKI FERNANDA IOANNIS MARTINS DA MOTTA</t>
  </si>
  <si>
    <t>121.840.918-55</t>
  </si>
  <si>
    <t>ANGELINA GOMES CARVALHO</t>
  </si>
  <si>
    <t>512.397.148-31</t>
  </si>
  <si>
    <t>ANGELITA APARECIDA ROSALINO</t>
  </si>
  <si>
    <t>317.799.238-05</t>
  </si>
  <si>
    <t>ANGELO FABIO ALEXANDRE</t>
  </si>
  <si>
    <t>310.533.408-42</t>
  </si>
  <si>
    <t>ANGELO FABRICIO DE CARVALHO</t>
  </si>
  <si>
    <t>281.979.318-52</t>
  </si>
  <si>
    <t>ANGELO JUNIO GUERRA</t>
  </si>
  <si>
    <t>218.025.438-56</t>
  </si>
  <si>
    <t>ANGELO MOISES DOS SANTOS ROSA</t>
  </si>
  <si>
    <t>365.793.588-66</t>
  </si>
  <si>
    <t>ANHANGUERA COMÉRCIO DE FERRAMENTAS LTDA.</t>
  </si>
  <si>
    <t>00.565.813/0001-29</t>
  </si>
  <si>
    <t>ANIATIARA CRISOSTOMO DOS SANTOS</t>
  </si>
  <si>
    <t>404.235.598-69</t>
  </si>
  <si>
    <t xml:space="preserve">ANIELE CRISTINA CORREA	</t>
  </si>
  <si>
    <t>369.069.798-09</t>
  </si>
  <si>
    <t>ANILCELIA SANTOS PIRES</t>
  </si>
  <si>
    <t>144.680.648-03</t>
  </si>
  <si>
    <t>ANIMAGE DIAGNOSTICO VETERINARIO ANDREA PIUCCI MARIANO LTDA</t>
  </si>
  <si>
    <t>13.929.788/0001-67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</si>
  <si>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</si>
  <si>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</si>
  <si>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</si>
  <si>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</si>
  <si>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</si>
  <si>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</si>
  <si>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G. DOS SANTOS</t>
  </si>
  <si>
    <t>429.335.948-62</t>
  </si>
  <si>
    <t>ANNA BEATRIZ ITANI ORTEGA</t>
  </si>
  <si>
    <t>330.343.918-46</t>
  </si>
  <si>
    <t>Anna Beatriz Marinho Aranda</t>
  </si>
  <si>
    <t>484.450.978-06</t>
  </si>
  <si>
    <t>ANNA BEATRIZ RODRIGUES SILVA</t>
  </si>
  <si>
    <t>436.654.408-31</t>
  </si>
  <si>
    <t>ANNA BEATRIZ SOARES APARECIDO</t>
  </si>
  <si>
    <t>487.987.928-22</t>
  </si>
  <si>
    <t>ANNA CAROLINE DIAS MARTINS</t>
  </si>
  <si>
    <t>482.704.888-60</t>
  </si>
  <si>
    <t>ANNA ELEINE ALVES DOS SANTOS</t>
  </si>
  <si>
    <t>345.896.338-33</t>
  </si>
  <si>
    <t>ANNA JULIA FERNANDES VIEIRA</t>
  </si>
  <si>
    <t>403.219.948-50</t>
  </si>
  <si>
    <t>ANNA JULIA PATAIO</t>
  </si>
  <si>
    <t>480.596.818-42</t>
  </si>
  <si>
    <t>ANNA LARA CORREA MACHADO</t>
  </si>
  <si>
    <t>496.360.568-62</t>
  </si>
  <si>
    <t>Anna Luisa Andrade Rodrigues da Silva</t>
  </si>
  <si>
    <t>533.074.998-07</t>
  </si>
  <si>
    <t>ANNA LUIZA COSTA SILVA</t>
  </si>
  <si>
    <t>500.233.678-73</t>
  </si>
  <si>
    <t>ANNA PAULA PEREIRA HULLE MATEUS</t>
  </si>
  <si>
    <t>022.817.227-67</t>
  </si>
  <si>
    <t>Anna Rita Miranda Andrade</t>
  </si>
  <si>
    <t>078.075.011-03</t>
  </si>
  <si>
    <t>ANNE CAROLINE DIAS LEME</t>
  </si>
  <si>
    <t>486.618.878-28</t>
  </si>
  <si>
    <t>Anne Caroline Stroppa Soares</t>
  </si>
  <si>
    <t>545.038.618-40</t>
  </si>
  <si>
    <t>ANNE JOSIELE ALVES DANTAS</t>
  </si>
  <si>
    <t>402.943.028-75</t>
  </si>
  <si>
    <t>ANNY SPADARI CORSI OHASHI</t>
  </si>
  <si>
    <t>427.153.528-16</t>
  </si>
  <si>
    <t>ANSELMO ADRIANO GUEDES MUNIZ BARR</t>
  </si>
  <si>
    <t>399.465.978-70</t>
  </si>
  <si>
    <t>Anthony Henrique Ascencio de Aquino</t>
  </si>
  <si>
    <t>481.512.408-65</t>
  </si>
  <si>
    <t>ANTIBIOTICOS DO BRASIL LTDA</t>
  </si>
  <si>
    <t>05.439.635/0004-56</t>
  </si>
  <si>
    <t>ANTONIA ALICE MARQUES</t>
  </si>
  <si>
    <t>039.774.568-06</t>
  </si>
  <si>
    <t>ANTONIA AP DOS SANTOS ROSA</t>
  </si>
  <si>
    <t>378.634.868-58</t>
  </si>
  <si>
    <t>ANTONIA APARECIDA SOTERIO DE SENA</t>
  </si>
  <si>
    <t>055.613.838-41</t>
  </si>
  <si>
    <t>Antonia Dias Silva Nogueira</t>
  </si>
  <si>
    <t>449.345.803-87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</si>
  <si>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</si>
  <si>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</si>
  <si>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</si>
  <si>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</si>
  <si>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</si>
  <si>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</si>
  <si>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CANDIDO ALVES</t>
  </si>
  <si>
    <t>602.046.728-72</t>
  </si>
  <si>
    <t>ANTONIO CARLOS  FELIX DOS SANTOS</t>
  </si>
  <si>
    <t>215.005.718-22</t>
  </si>
  <si>
    <t>ANTONIO CARLOS BATISTA BISPO</t>
  </si>
  <si>
    <t>019.390.865-40</t>
  </si>
  <si>
    <t>ANTONIO CARLOS CARRILO</t>
  </si>
  <si>
    <t>144.693.158-77</t>
  </si>
  <si>
    <t>ANTONIO CARLOS DA SILVA</t>
  </si>
  <si>
    <t>230.272.738-09</t>
  </si>
  <si>
    <t>ANTONIO CARLOS DE MAGALHAES</t>
  </si>
  <si>
    <t>253.077.738-11</t>
  </si>
  <si>
    <t>ANTONIO CARLOS DE SOUZA PINTO 14163995832</t>
  </si>
  <si>
    <t>22.507.579/0001-16</t>
  </si>
  <si>
    <t>ANTONIO CARLOS DOS SANTOS</t>
  </si>
  <si>
    <t>071.292.688-75</t>
  </si>
  <si>
    <t>ANTONIO CARLOS VENTURA FERNANDES</t>
  </si>
  <si>
    <t>044.186.988-25</t>
  </si>
  <si>
    <t>ANTONIO CLAUDIO ALVES JUNIOR</t>
  </si>
  <si>
    <t>111.664.187-90</t>
  </si>
  <si>
    <t>ANTONIO CRISTIAN NOGUEIRA MEDEIROS</t>
  </si>
  <si>
    <t>309.860.748-37</t>
  </si>
  <si>
    <t>ANTONIO DA CUNHA CAMPELLO</t>
  </si>
  <si>
    <t>010.461.078-60</t>
  </si>
  <si>
    <t>ANTONIO DA HORA ALVES</t>
  </si>
  <si>
    <t>421.675.488-00</t>
  </si>
  <si>
    <t>ANTONIO DANTAS</t>
  </si>
  <si>
    <t>019.694.388-43</t>
  </si>
  <si>
    <t>ANTONIO DARCIO DA SILVA</t>
  </si>
  <si>
    <t>596.167.502-59</t>
  </si>
  <si>
    <t>ANTONIO DAVI LIMA DO AMARAL</t>
  </si>
  <si>
    <t>389.565.558-93</t>
  </si>
  <si>
    <t>ANTONIO DE OLIVEIRA PINTO</t>
  </si>
  <si>
    <t>605.845.808-00</t>
  </si>
  <si>
    <t>ANTONIO DOS SANTOS</t>
  </si>
  <si>
    <t>121.823.838-08</t>
  </si>
  <si>
    <t>ANTONIO EDINALDO SILVA MARIANO</t>
  </si>
  <si>
    <t>009.563.653-61</t>
  </si>
  <si>
    <t>ANTONIO FRANCINEUDO FERNANDES FELIX</t>
  </si>
  <si>
    <t>332.881.488-46</t>
  </si>
  <si>
    <t>ANTONIO GEOVANE RIBEIRO</t>
  </si>
  <si>
    <t>016.492.096-06</t>
  </si>
  <si>
    <t>ANTONIO GOMES DA SILVA</t>
  </si>
  <si>
    <t>945.648.253-72</t>
  </si>
  <si>
    <t>ANTONIO GONCALVES DE LIMA</t>
  </si>
  <si>
    <t>332.638.498-08</t>
  </si>
  <si>
    <t>ANTONIO HENRIQUE DE ALCANTARA</t>
  </si>
  <si>
    <t>288.910.698-50</t>
  </si>
  <si>
    <t>ANTONIO HENRIQUE LIMA NOGUEIRA</t>
  </si>
  <si>
    <t>495.662.848-02</t>
  </si>
  <si>
    <t>ANTONIO HENRIQUE VIEIRA DA SILVA</t>
  </si>
  <si>
    <t>037.672.681-40</t>
  </si>
  <si>
    <t>ANTONIO JERONIMO GUIMARAES FORTES</t>
  </si>
  <si>
    <t>659.803.798-00</t>
  </si>
  <si>
    <t>ANTONIO JOSE DINIZ</t>
  </si>
  <si>
    <t>738.166.208-68</t>
  </si>
  <si>
    <t>ANTONIO JUNIOR LUCAS</t>
  </si>
  <si>
    <t>106.604.926-28</t>
  </si>
  <si>
    <t>ANTONIO KAZUO UEDA</t>
  </si>
  <si>
    <t>080.997.258-16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</si>
  <si>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</si>
  <si>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</si>
  <si>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</si>
  <si>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</si>
  <si>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</si>
  <si>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</si>
  <si>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MARCUS ARAUJO MORENO</t>
  </si>
  <si>
    <t>940.698.835-68</t>
  </si>
  <si>
    <t>ANTONIO PENARIOL NETO 50953480801</t>
  </si>
  <si>
    <t>45.946.856/0001-92</t>
  </si>
  <si>
    <t>ANTONIO PEREIRA DA SILVA</t>
  </si>
  <si>
    <t>352.285.188-94</t>
  </si>
  <si>
    <t>Antônio Pereira Pires Júnior</t>
  </si>
  <si>
    <t>410.428.428-92</t>
  </si>
  <si>
    <t>Antônio Ricardo Ferreira do Nascimento</t>
  </si>
  <si>
    <t>342.115.288-82</t>
  </si>
  <si>
    <t>ANTONIO SALGADO RIBEIRO</t>
  </si>
  <si>
    <t>431.340.218-70</t>
  </si>
  <si>
    <t>ANTONIO SÉRGIO VIEIRA AVELAR BITTENCOURT</t>
  </si>
  <si>
    <t>830.621.908-25</t>
  </si>
  <si>
    <t>ANTONIO VIEIRA DA SILVA NETO</t>
  </si>
  <si>
    <t>850.360.057-91</t>
  </si>
  <si>
    <t>ANTONIO WILSON DA SILVA PEREIRA</t>
  </si>
  <si>
    <t>379.727.808-03</t>
  </si>
  <si>
    <t>ANTONY GAEL SILVA DO NASCIMENTO</t>
  </si>
  <si>
    <t>087.434.218-06</t>
  </si>
  <si>
    <t>AP DA SILVA JANUCCI TRANSPORTES LTDA</t>
  </si>
  <si>
    <t>51.849.755/0001-04</t>
  </si>
  <si>
    <t>AP SIST AUTOMACAO COMERCIAL LTDA</t>
  </si>
  <si>
    <t>43.103.272/0001-20</t>
  </si>
  <si>
    <t>APARECIDA DE FATIMA DOS SANTOS DA SILVA VALERIO</t>
  </si>
  <si>
    <t>201.885.758-47</t>
  </si>
  <si>
    <t>APARECIDA MIE UCHINO</t>
  </si>
  <si>
    <t>788.917.368-72</t>
  </si>
  <si>
    <t>APARECIDA VAZ DE CAMPOS DE PAULA</t>
  </si>
  <si>
    <t>026.223.118-26</t>
  </si>
  <si>
    <t>APARECIDO CANAVER</t>
  </si>
  <si>
    <t>019.131.088-30</t>
  </si>
  <si>
    <t>APARECIDO JORGE FERNANDES</t>
  </si>
  <si>
    <t>877.092.528-34</t>
  </si>
  <si>
    <t>APARICIO PINTO</t>
  </si>
  <si>
    <t>203.263.199-72</t>
  </si>
  <si>
    <t>APEC SJC AUTOMATIZACAO E ZELADORIA LTDA</t>
  </si>
  <si>
    <t>45.491.142/0001-37</t>
  </si>
  <si>
    <t>APM EE PROFA. ANA HERONDINA SOARES SCHYCHOF</t>
  </si>
  <si>
    <t>65.047.086/0001-53</t>
  </si>
  <si>
    <t>APOIO IDEAL MEDICAMENTOS LTDA</t>
  </si>
  <si>
    <t>33.318.076/0001-19</t>
  </si>
  <si>
    <t>APRENDER EDUCACAO LTDA</t>
  </si>
  <si>
    <t>10.259.928/0001-49</t>
  </si>
  <si>
    <t>APROLUVAS CONFECÇÕES, IMPORTAÇÃO E EXPORTAÇÃO DE EQUIPAMENTOS DE PROTEÇÃO LTDA</t>
  </si>
  <si>
    <t>26.491.082/0001-08</t>
  </si>
  <si>
    <t>AQUARIUS NEW VIAGENS E TURISMO LTDA</t>
  </si>
  <si>
    <t>09.185.297/0001-81</t>
  </si>
  <si>
    <t>AQUILA MORGADO MARTINS CARVALHO</t>
  </si>
  <si>
    <t>364.200.948-44</t>
  </si>
  <si>
    <t>ARAMED COMERCIAL HOSPITALAR EIRELI</t>
  </si>
  <si>
    <t>24.479.444/0001-10</t>
  </si>
  <si>
    <t>ARCHELEIGAR &amp; NASCIMENTO LTDA</t>
  </si>
  <si>
    <t>09.254.180/0001-02</t>
  </si>
  <si>
    <t>ARENDRA PAULA DEBAZ</t>
  </si>
  <si>
    <t>280.731.068-09</t>
  </si>
  <si>
    <t>ARETUZA DINIZ DE ALMEIDA</t>
  </si>
  <si>
    <t>312.210.128-94</t>
  </si>
  <si>
    <t>ARGEMIRA PEREIRA NIETO</t>
  </si>
  <si>
    <t>247.191.018-10</t>
  </si>
  <si>
    <t>ARGUS PRODUTOS E SISTEMAS CONTRA INCENDIO LTDA</t>
  </si>
  <si>
    <t>12.096.667/0001-19</t>
  </si>
  <si>
    <t>Ari Henrique Leonor Pinto Lara</t>
  </si>
  <si>
    <t>446.542.158-32</t>
  </si>
  <si>
    <t>ARIADNA FLORENTINO</t>
  </si>
  <si>
    <t>433.686.938-32</t>
  </si>
  <si>
    <t>ARIADNE DOS REIS SILVA</t>
  </si>
  <si>
    <t>489.405.758-14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</si>
  <si>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</si>
  <si>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</si>
  <si>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</si>
  <si>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</si>
  <si>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</si>
  <si>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</si>
  <si>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</si>
  <si>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</si>
  <si>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</si>
  <si>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</si>
  <si>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</si>
  <si>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</si>
  <si>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</si>
  <si>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</si>
  <si>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Cristian Ferreira de Castro</t>
  </si>
  <si>
    <t>898.469.072-49</t>
  </si>
  <si>
    <t>ARIEL MORAIS DUTRA TARANTI</t>
  </si>
  <si>
    <t>422.750.378-70</t>
  </si>
  <si>
    <t>Ariel Roberth Longo</t>
  </si>
  <si>
    <t>364.213.928-06</t>
  </si>
  <si>
    <t>ARIELE CARDOSO DOS SANTOS</t>
  </si>
  <si>
    <t>473.030.338-58</t>
  </si>
  <si>
    <t>ARINEDE APOSTOLO EVANGELISTA</t>
  </si>
  <si>
    <t>178.480.488-61</t>
  </si>
  <si>
    <t>ARINEDE APOSTOLO EVANGELISTA LIMA</t>
  </si>
  <si>
    <t>ARIOVANIA MORILHA SILVEIRA SANO</t>
  </si>
  <si>
    <t>312.636.028-94</t>
  </si>
  <si>
    <t>ARKLOK EQUIPAMENTOS DE INFORMÁTICA S.A</t>
  </si>
  <si>
    <t>10.489.713/0001-14</t>
  </si>
  <si>
    <t>ARLETE APARECIDA DE MORAES</t>
  </si>
  <si>
    <t>788.692.428-20</t>
  </si>
  <si>
    <t>ARLETE CRISTINA PEREIRA DOS SANTOS</t>
  </si>
  <si>
    <t>805.358.954-53</t>
  </si>
  <si>
    <t>ARLETE DOS SANTOS LANZILOTI</t>
  </si>
  <si>
    <t>185.636.148-94</t>
  </si>
  <si>
    <t>ARLINDO FRANCISCO VALENTIM DE SOUZ</t>
  </si>
  <si>
    <t>016.019.756-27</t>
  </si>
  <si>
    <t>ARLINDO PEREIRA BENICIO DE ALMEIDA</t>
  </si>
  <si>
    <t>219.377.908-27</t>
  </si>
  <si>
    <t>ARLINDO PINTO</t>
  </si>
  <si>
    <t>338.039.948-53</t>
  </si>
  <si>
    <t>ARMAFILE GERENCIAMENTO E ARMAZENAGEM DE DOCUMENTOS LTDA</t>
  </si>
  <si>
    <t>06.907.138/0001-55</t>
  </si>
  <si>
    <t>ARMANDO DE MEDEIROS JARDIM</t>
  </si>
  <si>
    <t>036.487.108-34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</si>
  <si>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</si>
  <si>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</si>
  <si>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</si>
  <si>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</si>
  <si>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</si>
  <si>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</si>
  <si>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</si>
  <si>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</si>
  <si>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Arnaldo Isaac Javier Gonzalez Ayala</t>
  </si>
  <si>
    <t>901.871.408-98</t>
  </si>
  <si>
    <t>ARNOBIO MONTEIRO DE OLIVEIRA</t>
  </si>
  <si>
    <t>426.981.204-44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</si>
  <si>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</si>
  <si>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</si>
  <si>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</si>
  <si>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</si>
  <si>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</si>
  <si>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</si>
  <si>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ARTE ARENA ESTAMPARIA LTDA</t>
  </si>
  <si>
    <t>46.745.203/0001-08</t>
  </si>
  <si>
    <t>Arthur Alves Genes Silveira</t>
  </si>
  <si>
    <t>501.759.138-97</t>
  </si>
  <si>
    <t>ARTHUR BARBOZA DA SILVA</t>
  </si>
  <si>
    <t>393.035.778-09</t>
  </si>
  <si>
    <t>Arthur Barboza da Silva</t>
  </si>
  <si>
    <t>ARTHUR BERNARDO MALAQUIAS</t>
  </si>
  <si>
    <t>512.323.458-65</t>
  </si>
  <si>
    <t>ARTHUR BRAVO DE OLIVEIRA</t>
  </si>
  <si>
    <t>020.825.366-10</t>
  </si>
  <si>
    <t>ARTHUR BUSTAMANTE DOS SANTOS</t>
  </si>
  <si>
    <t>529.210.928-24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</si>
  <si>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</si>
  <si>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</si>
  <si>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</si>
  <si>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</si>
  <si>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</si>
  <si>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</si>
  <si>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</si>
  <si>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</si>
  <si>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</si>
  <si>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</si>
  <si>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Moreira Patry</t>
  </si>
  <si>
    <t>552.013.458-83</t>
  </si>
  <si>
    <t>ARTSHOW SOM E ILUMINACAO LTDA</t>
  </si>
  <si>
    <t>13.663.895/0001-96</t>
  </si>
  <si>
    <t>ARTUR RODRIGO SALLES</t>
  </si>
  <si>
    <t>323.196.458-02</t>
  </si>
  <si>
    <t>ARUANA MARIA DA CRUZ CARVALHO</t>
  </si>
  <si>
    <t>437.072.868-19</t>
  </si>
  <si>
    <t>ARVORE DE LIVROS COMERCIO, DISTRIBUICAO E SERVICOS S/A</t>
  </si>
  <si>
    <t>19.004.863/0001-65</t>
  </si>
  <si>
    <t>ARY MOREIRA DE SILVA FORTES</t>
  </si>
  <si>
    <t>699.401.006-63</t>
  </si>
  <si>
    <t>Ashley Alencar Schwartz</t>
  </si>
  <si>
    <t>100.127.829-12</t>
  </si>
  <si>
    <t>ASLI COMERCIAL LTDA</t>
  </si>
  <si>
    <t>01.578.276/0001-14</t>
  </si>
  <si>
    <t>ASOCIACION INTERNACIONAL DE CIUDADES EDUCADORAS</t>
  </si>
  <si>
    <t>S/N.001.533-24</t>
  </si>
  <si>
    <t>ASS DE ENGENHEIROS E ARQUITETOS DE SAO JOSE DOS CAMPOS</t>
  </si>
  <si>
    <t>48.273.361/0001-38</t>
  </si>
  <si>
    <t>ASSESSORIA PUBLICA TREINAMENTOS LTDA</t>
  </si>
  <si>
    <t>33.536.785/0001-70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</si>
  <si>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</si>
  <si>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</si>
  <si>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</si>
  <si>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</si>
  <si>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</si>
  <si>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</si>
  <si>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</si>
  <si>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</si>
  <si>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</si>
  <si>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</si>
  <si>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</si>
  <si>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</si>
  <si>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ALPHA PARA EDUCACAO ESPECIAL</t>
  </si>
  <si>
    <t>19.136.655/0001-10</t>
  </si>
  <si>
    <t>ASSOCIACAO AMIGOS DA BIBLIOTECA</t>
  </si>
  <si>
    <t>06.894.681/0001-65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</si>
  <si>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</si>
  <si>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</si>
  <si>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</si>
  <si>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</si>
  <si>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</si>
  <si>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</si>
  <si>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</si>
  <si>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</si>
  <si>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ASSOCIAÇÃO BRASIL DIGITAL</t>
  </si>
  <si>
    <t>32.163.645/0001-31</t>
  </si>
  <si>
    <t>ASSOCIACAO BRASILEIRA DE COHABS E AGENTES PUBLICOS DE HABITACAO - ABC</t>
  </si>
  <si>
    <t>42.328.708/0001-16</t>
  </si>
  <si>
    <t>ASSOCIACAO BRASILEIRA DE MODALIDADES MISTAS DE TREINAMENTO - ABMMT</t>
  </si>
  <si>
    <t>31.343.744/0001-32</t>
  </si>
  <si>
    <t>ASSOCIACAO BRASILEIRA DE PROTECAO AO INDIVIDUO - ABRAPI</t>
  </si>
  <si>
    <t>35.252.296/0001-12</t>
  </si>
  <si>
    <t>ASSOCIAÇÃO BUNKYO SÃO JOSÉ DOS CAMPOS</t>
  </si>
  <si>
    <t>57.522.229/0001-03</t>
  </si>
  <si>
    <t>ASSOCIACAO CASA DA BENCAO MISSIONARIA</t>
  </si>
  <si>
    <t>33.764.944/0001-94</t>
  </si>
  <si>
    <t>ASSOCIACAO CELEBREIROS</t>
  </si>
  <si>
    <t>03.159.024/0001-86</t>
  </si>
  <si>
    <t>ASSOCIACAO COMUNITARIA FENIX</t>
  </si>
  <si>
    <t>13.445.287/0002-96</t>
  </si>
  <si>
    <t>ASSOCIACAO CRISTÃ EDUCACIONAL MEU SEGUNDO LAR</t>
  </si>
  <si>
    <t>04.331.885/0001-62</t>
  </si>
  <si>
    <t>ASSOCIACAO CULTURAL E ESPORTIVA MELO FUTEBOL CLUBE</t>
  </si>
  <si>
    <t>24.444.410/0001-90</t>
  </si>
  <si>
    <t>ASSOCIACAO DAS PESSOAS PORTADORAS DE DEFICIENCIAS DE SAO JOSE DOS CAMPOS - A.P.P.D.S.J.C.</t>
  </si>
  <si>
    <t>08.074.883/0001-96</t>
  </si>
  <si>
    <t>ASSOCIACAO DAS SECRETARIAS MUNICIPAIS DE FINANCAS DO ESTADO DE SAO PAULO - ASSEFIN-SP</t>
  </si>
  <si>
    <t>34.563.782/0001-99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</si>
  <si>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</si>
  <si>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</si>
  <si>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</si>
  <si>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</si>
  <si>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</si>
  <si>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</si>
  <si>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</si>
  <si>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</si>
  <si>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DE PROPRIETARIOS DO RESERVA DO PARATEHY</t>
  </si>
  <si>
    <t>07.015.550/0001-23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</si>
  <si>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</si>
  <si>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</si>
  <si>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</si>
  <si>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</si>
  <si>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EDUCATIVA E CULTURAL CIDADE SPORTS</t>
  </si>
  <si>
    <t>48.367.763/0001-00</t>
  </si>
  <si>
    <t>ASSOCIACAO ESPORTIVA RUGBY CLUBE</t>
  </si>
  <si>
    <t>04.195.216/0001-00</t>
  </si>
  <si>
    <t>ASSOCIAÇÃO ESPORTIVA SÃO JOSE JETS DE FUTEBOL AMERICANO</t>
  </si>
  <si>
    <t>52.437.320/0001-07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</si>
  <si>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</si>
  <si>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</si>
  <si>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</si>
  <si>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</si>
  <si>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</si>
  <si>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</si>
  <si>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</si>
  <si>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</si>
  <si>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</si>
  <si>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</si>
  <si>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</si>
  <si>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</si>
  <si>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NACIONAL DE MUNICIPIOS E MEIO AMBIENTE</t>
  </si>
  <si>
    <t>03.657.079/0001-16</t>
  </si>
  <si>
    <t>ASSOCIACAO NACIONAL DE TECNOLOGIA DO AMBIENTE CONSTRUIDO-ANTAC</t>
  </si>
  <si>
    <t>59.838.045/0001-82</t>
  </si>
  <si>
    <t>ASSOCIACAO NOSSA CASA DE ACOLHIDA</t>
  </si>
  <si>
    <t>00.033.715/0001-40</t>
  </si>
  <si>
    <t>ASSOCIACAO PARA SINDROME DE DOWN SJC</t>
  </si>
  <si>
    <t>61.868.832/0001-19</t>
  </si>
  <si>
    <t>ASSOCIAÇÃO PARQUE TECNOLOGICO DE SÃO JOSÉ DOS CAMPOS</t>
  </si>
  <si>
    <t>09.105.890/0001-70</t>
  </si>
  <si>
    <t>ASSOCIAÇÃO PRIVADA DE FIEIS - COMUNIDADE MAGNIFICAT</t>
  </si>
  <si>
    <t>53.315.164/0001-74</t>
  </si>
  <si>
    <t>ASSOCIACAO SEM FINS LUCRATIVOS DOS VOLUNTARIOS EM PROL DO BOM HUMOR</t>
  </si>
  <si>
    <t>13.345.776/0001-95</t>
  </si>
  <si>
    <t>ASSOCIACAO TERRITORIO SAO FRANCISCO XAVIER</t>
  </si>
  <si>
    <t>45.653.536/0001-44</t>
  </si>
  <si>
    <t>ASSOCIACAO VIRGEM DE GUADALUPE</t>
  </si>
  <si>
    <t>20.149.598/0001-92</t>
  </si>
  <si>
    <t>ASSOCIACAO YAMAZAKI DE JUDO DE SAO JOSE DOS CAMPOS</t>
  </si>
  <si>
    <t>14.265.145/0001-29</t>
  </si>
  <si>
    <t>A-TABUENSE PRODUTOS ALIMENTICIOS LTDA</t>
  </si>
  <si>
    <t>47.456.397/0001-94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</si>
  <si>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</si>
  <si>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</si>
  <si>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</si>
  <si>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</si>
  <si>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</si>
  <si>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</si>
  <si>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ATILIO AFONSO DE MARTINI</t>
  </si>
  <si>
    <t>073.204.308-51</t>
  </si>
  <si>
    <t>ATITUDE SOLUÇÕES DIGITAIS LTDA EPP</t>
  </si>
  <si>
    <t>11.229.488/0001-40</t>
  </si>
  <si>
    <t>ATIVA COMERCIAL HOSPITALAR LTDA</t>
  </si>
  <si>
    <t>04.274.988/0001-38</t>
  </si>
  <si>
    <t>04.274.988/0002-19</t>
  </si>
  <si>
    <t>AT&amp;WP COMERCIAL LTDA</t>
  </si>
  <si>
    <t>10.653.680/0001-04</t>
  </si>
  <si>
    <t>AUCORA PROJETOS E INSTALACOES LTDA</t>
  </si>
  <si>
    <t>24.415.198/0001-32</t>
  </si>
  <si>
    <t>AUDENICE DA SILVA DE CARVALHO</t>
  </si>
  <si>
    <t>228.717.578-44</t>
  </si>
  <si>
    <t>AUDIO SAO JOSE SOLUCOES AUDITIVAS LTDA</t>
  </si>
  <si>
    <t>28.503.119/0001-04</t>
  </si>
  <si>
    <t>AUDIOLOGICO LAB. CALIBRACAO E MANUTENCAO LTDA</t>
  </si>
  <si>
    <t>06.179.065/0001-22</t>
  </si>
  <si>
    <t>AUDIOTEXT SERVICOS E CIA LTDA</t>
  </si>
  <si>
    <t>17.429.373/0001-85</t>
  </si>
  <si>
    <t>AUDREY BARTA DE SANTANA</t>
  </si>
  <si>
    <t>420.554.868-02</t>
  </si>
  <si>
    <t>AUGUSTO ALVES MOREIRA</t>
  </si>
  <si>
    <t>739.514.718-91</t>
  </si>
  <si>
    <t>AUGUSTO ARAUJO MOREIRA ROCHA</t>
  </si>
  <si>
    <t>528.826.608-55</t>
  </si>
  <si>
    <t>AUGUSTO FERNANDO DA SILVA NETO</t>
  </si>
  <si>
    <t>367.621.288-66</t>
  </si>
  <si>
    <t>AUGUSTO FERREIRA DOS SANTOS</t>
  </si>
  <si>
    <t>020.520.218-76</t>
  </si>
  <si>
    <t>AUGUSTO HENRIQUE MACIEL FERREIRA</t>
  </si>
  <si>
    <t>572.514.558-11</t>
  </si>
  <si>
    <t>AUGUSTO SANTANA SIQUEIRA</t>
  </si>
  <si>
    <t>513.954.638-83</t>
  </si>
  <si>
    <t>AUREA ALVES FERREIRA TEIXEIRA</t>
  </si>
  <si>
    <t>183.931.738-84</t>
  </si>
  <si>
    <t>AUREA DUTRA LOPES</t>
  </si>
  <si>
    <t>071.297.968-98</t>
  </si>
  <si>
    <t>AURELIO CARVALHO DE OLIVEIRA</t>
  </si>
  <si>
    <t>312.563.048-75</t>
  </si>
  <si>
    <t>AURINO GOMES BORGES</t>
  </si>
  <si>
    <t>026.049.048-29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</si>
  <si>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</si>
  <si>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</si>
  <si>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</si>
  <si>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</si>
  <si>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</si>
  <si>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</si>
  <si>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</si>
  <si>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</si>
  <si>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 VIACAO MIAMI LTDA</t>
  </si>
  <si>
    <t>27.761.435/0001-05</t>
  </si>
  <si>
    <t>AUTO VITRAIS SANTANA LTDA</t>
  </si>
  <si>
    <t>10.376.061/0001-01</t>
  </si>
  <si>
    <t>AUTOMATED PRECISION METROLOGIA APLICADA LTDA</t>
  </si>
  <si>
    <t>17.238.474/0001-79</t>
  </si>
  <si>
    <t>AUTOPAGE GESTAO DA INFORMACAO LTDA</t>
  </si>
  <si>
    <t>19.321.380/0001-94</t>
  </si>
  <si>
    <t>AUTOVALE AR CONDICIONADO AUTOMOTIVO LTDA - ME</t>
  </si>
  <si>
    <t>02.016.803/0001-60</t>
  </si>
  <si>
    <t>AVANILDA CAMARGO SOARES</t>
  </si>
  <si>
    <t>150.093.838-61</t>
  </si>
  <si>
    <t>AVAREMED DISTRIBUIDORA DE MEDICAMENTOS LTDA</t>
  </si>
  <si>
    <t>11.195.057/0001-00</t>
  </si>
  <si>
    <t>AVENIDA COMERCIO DE MATERIAIS DE CONSTRUCAO LTDA ME</t>
  </si>
  <si>
    <t>13.218.893/0001-98</t>
  </si>
  <si>
    <t>AVILA SERVICOS DE COMPUTACAO LTDA</t>
  </si>
  <si>
    <t>04.304.599/0001-08</t>
  </si>
  <si>
    <t>AVS LOCACOES LTDA</t>
  </si>
  <si>
    <t>15.520.241/0001-39</t>
  </si>
  <si>
    <t>AWL GRAFICA E SERVICOS LTDA</t>
  </si>
  <si>
    <t>05.314.928/0001-64</t>
  </si>
  <si>
    <t>AXMED EQUIPAMENTOS MEDICOS HOSPITALARES LTDA EPP</t>
  </si>
  <si>
    <t>04.130.211/0001-08</t>
  </si>
  <si>
    <t>AYLSON DOS SANTOS MOTA JUNIOR</t>
  </si>
  <si>
    <t>369.339.998-07</t>
  </si>
  <si>
    <t>AYME TRANSPORTADORA LTDA - ME</t>
  </si>
  <si>
    <t>19.296.200/0001-61</t>
  </si>
  <si>
    <t>AYOUB PECAS E MANUTENCOES LTDA</t>
  </si>
  <si>
    <t>41.030.435/0001-66</t>
  </si>
  <si>
    <t>AZELITA MARTINS DE MELO</t>
  </si>
  <si>
    <t>199.194.088-24</t>
  </si>
  <si>
    <t>A7 MEGA LAVANDERIA LTDA</t>
  </si>
  <si>
    <t>48.138.329/0001-40</t>
  </si>
  <si>
    <t>A7X MEGA LAVANDERIA LTDA</t>
  </si>
  <si>
    <t>60.005.694/0001-81</t>
  </si>
  <si>
    <t>B. A. DE CARVALHO COMERCIO DE HIDRAULICA E ELETRICA LTDA</t>
  </si>
  <si>
    <t>25.140.208/0001-37</t>
  </si>
  <si>
    <t>B. D. R. COMERCIO DE EQUIPAMENTOS LTDA</t>
  </si>
  <si>
    <t>52.496.119/0001-09</t>
  </si>
  <si>
    <t>B. L. BARROS &amp; CIA LTDA - ME</t>
  </si>
  <si>
    <t>05.026.039/0001-00</t>
  </si>
  <si>
    <t>B ROSSI COMERCIO DE VARIEDADES LTDA</t>
  </si>
  <si>
    <t>29.515.967/0001-98</t>
  </si>
  <si>
    <t>BACCIOTTI SILVEIRA &amp; CIA LTDA EPP</t>
  </si>
  <si>
    <t>66.029.133/0001-07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</si>
  <si>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</si>
  <si>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</si>
  <si>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</si>
  <si>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</si>
  <si>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</si>
  <si>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</si>
  <si>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</si>
  <si>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</si>
  <si>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</si>
  <si>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00.000.000/0001-91</t>
  </si>
  <si>
    <t>00.000.000/0175-90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</si>
  <si>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</si>
  <si>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</si>
  <si>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</si>
  <si>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</si>
  <si>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</si>
  <si>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</si>
  <si>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 DO ANISIO SJCAMPOS LTDA</t>
  </si>
  <si>
    <t>02.140.466/0001-18</t>
  </si>
  <si>
    <t>BARBARA APARECIDA TEODORO ALCANTARA</t>
  </si>
  <si>
    <t>366.399.248-97</t>
  </si>
  <si>
    <t>BARBARA BAZILIO DE SOUZA</t>
  </si>
  <si>
    <t>401.885.068-96</t>
  </si>
  <si>
    <t>BARBARA CRISTINA DE MOURA SOUZA</t>
  </si>
  <si>
    <t>477.855.758-19</t>
  </si>
  <si>
    <t>BARBARA CRISTINA DOS SANTOS NASCIMENTO</t>
  </si>
  <si>
    <t>430.745.648-30</t>
  </si>
  <si>
    <t>BARBARA CRISTINE DOS SANTOS FERRARI</t>
  </si>
  <si>
    <t>390.052.478-51</t>
  </si>
  <si>
    <t>Barbara Danielle Fernandes de Andrade Yared</t>
  </si>
  <si>
    <t>338.040.138-21</t>
  </si>
  <si>
    <t>BARBARA DAS GRACAS KYRIACOPOULOS ROSA</t>
  </si>
  <si>
    <t>215.624.598-30</t>
  </si>
  <si>
    <t>BÁRBARA DE SOUSA ALVES FERREIRA</t>
  </si>
  <si>
    <t>141.275.797-57</t>
  </si>
  <si>
    <t>BARBARA FARIA RIBEIRO</t>
  </si>
  <si>
    <t>437.982.228-19</t>
  </si>
  <si>
    <t>BARBARA GABRIELLE DA SILVA THEOPHILO</t>
  </si>
  <si>
    <t>589.624.158-52</t>
  </si>
  <si>
    <t>BARBARA GRAFANASSI DE SOUZA</t>
  </si>
  <si>
    <t>362.904.728-95</t>
  </si>
  <si>
    <t>BARBARA HELOISA CUNHA SILVA</t>
  </si>
  <si>
    <t>396.941.238-28</t>
  </si>
  <si>
    <t>BARBARA KATHLEEN SALES MENDES BARBEDO</t>
  </si>
  <si>
    <t>400.419.168-83</t>
  </si>
  <si>
    <t>BARBARA KESSELEN MOURA DA SILVA DE OLIVEIRA</t>
  </si>
  <si>
    <t>424.751.378-86</t>
  </si>
  <si>
    <t>BARBARA LUCAS FERREIRA</t>
  </si>
  <si>
    <t>227.074.968-55</t>
  </si>
  <si>
    <t>Bárbara Marina Terra de Oliveira</t>
  </si>
  <si>
    <t>033.900.920-99</t>
  </si>
  <si>
    <t>Bárbara Schlichting Bittencourt</t>
  </si>
  <si>
    <t>104.970.799-09</t>
  </si>
  <si>
    <t>BAROMED LTDA</t>
  </si>
  <si>
    <t>03.707.812/0001-60</t>
  </si>
  <si>
    <t>BARUSP TECNOLOGIA EM CONCRETO ASFALTICO LTDA</t>
  </si>
  <si>
    <t>17.000.410/0001-35</t>
  </si>
  <si>
    <t>BASEMED COMERCIO ATACADISTA DE PRODUTOS MEDICOS E HOSPITALARES LTDA</t>
  </si>
  <si>
    <t>07.429.534/0001-87</t>
  </si>
  <si>
    <t>BATIAM ADMINISTRADORA DE BENS EIRELI</t>
  </si>
  <si>
    <t>24.020.332/0001-04</t>
  </si>
  <si>
    <t>BATUTA EVENTOS LTDA</t>
  </si>
  <si>
    <t>28.420.162/0001-06</t>
  </si>
  <si>
    <t>B.B BANCO DE INVESTIMENTO S/A</t>
  </si>
  <si>
    <t>24.933.830/0001-30</t>
  </si>
  <si>
    <t>BD BIJOS E DOMINGUEZ OFTALMOLOGIA S/S</t>
  </si>
  <si>
    <t>25.104.542/0001-35</t>
  </si>
  <si>
    <t>BEATRIS DE CAMPOS FREITAS TERRA</t>
  </si>
  <si>
    <t>395.686.648-74</t>
  </si>
  <si>
    <t>BEATRIZ ALVES ARAUJO</t>
  </si>
  <si>
    <t>444.209.958-82</t>
  </si>
  <si>
    <t>Beatriz Aparecida Alves</t>
  </si>
  <si>
    <t>076.431.599-47</t>
  </si>
  <si>
    <t>BEATRIZ APARECIDA GOMES</t>
  </si>
  <si>
    <t>309.350.418-00</t>
  </si>
  <si>
    <t>BEATRIZ APARECIDA SIQUEIRA CARDOSO</t>
  </si>
  <si>
    <t>476.480.218-03</t>
  </si>
  <si>
    <t>BEATRIZ CAMPOS PEREIRA</t>
  </si>
  <si>
    <t>413.294.488-39</t>
  </si>
  <si>
    <t>BEATRIZ CATARINE SCHINKAREW OSSES</t>
  </si>
  <si>
    <t>398.778.028-21</t>
  </si>
  <si>
    <t>BEATRIZ DA SILVA GONCALVES FONSECA</t>
  </si>
  <si>
    <t>471.891.098-62</t>
  </si>
  <si>
    <t>BEATRIZ DE ANDRADE AMORIM</t>
  </si>
  <si>
    <t>347.101.218-42</t>
  </si>
  <si>
    <t>BEATRIZ DE PAULA FIGUEIREDO</t>
  </si>
  <si>
    <t>469.537.558-30</t>
  </si>
  <si>
    <t>BEATRIZ DE SOUZA CAMPOS</t>
  </si>
  <si>
    <t>477.883.608-13</t>
  </si>
  <si>
    <t>BEATRIZ DONIZETTI SILVA</t>
  </si>
  <si>
    <t>478.768.558-90</t>
  </si>
  <si>
    <t>Beatriz Escobar Ferreira dos Santos</t>
  </si>
  <si>
    <t>519.890.338-81</t>
  </si>
  <si>
    <t>BEATRIZ FAGUNDES COLNAGO</t>
  </si>
  <si>
    <t>425.970.758-26</t>
  </si>
  <si>
    <t>BEATRIZ FERNANDA DE ANDRADE DA SILVA TAVEIRA</t>
  </si>
  <si>
    <t>428.594.828-14</t>
  </si>
  <si>
    <t>Beatriz Fernandes</t>
  </si>
  <si>
    <t>537.924.018-60</t>
  </si>
  <si>
    <t>Beatriz Galvão dos Santos</t>
  </si>
  <si>
    <t>476.153.188-66</t>
  </si>
  <si>
    <t>BEATRIZ GERONIMO DIAS DA SILVA</t>
  </si>
  <si>
    <t>483.681.438-37</t>
  </si>
  <si>
    <t>BEATRIZ GOMES DE SOUSA</t>
  </si>
  <si>
    <t>494.918.888-70</t>
  </si>
  <si>
    <t>BEATRIZ LEANDRO DA SILVA SANTOS SOUZA</t>
  </si>
  <si>
    <t>545.891.808-80</t>
  </si>
  <si>
    <t>BEATRIZ MARIA DE OLIVEIRA NASCIMENTO</t>
  </si>
  <si>
    <t>418.662.498-43</t>
  </si>
  <si>
    <t>BEATRIZ MARIA PEREIRA DA SILVA</t>
  </si>
  <si>
    <t>030.493.368-62</t>
  </si>
  <si>
    <t>Beatriz Miguel</t>
  </si>
  <si>
    <t>444.665.038-69</t>
  </si>
  <si>
    <t>BEATRIZ OLIVEIRA CALIXTO</t>
  </si>
  <si>
    <t>428.297.368-42</t>
  </si>
  <si>
    <t>BEATRIZ REINHOLD DE ALMEIDA</t>
  </si>
  <si>
    <t>026.109.098-45</t>
  </si>
  <si>
    <t>Beatriz Santana Costa</t>
  </si>
  <si>
    <t>533.405.488-03</t>
  </si>
  <si>
    <t>BEATRIZ SENA DA SILVA</t>
  </si>
  <si>
    <t>504.321.988-22</t>
  </si>
  <si>
    <t>BEATRIZ TREVIZANO</t>
  </si>
  <si>
    <t>487.453.988-28</t>
  </si>
  <si>
    <t>BECKER &amp; BECKER SJCAMPOS S/C LTDA</t>
  </si>
  <si>
    <t>04.860.523/0001-69</t>
  </si>
  <si>
    <t>BELA TINTAS LTDA</t>
  </si>
  <si>
    <t>01.154.956/0007-04</t>
  </si>
  <si>
    <t>Belinda Ayelen Bobadilla Pereira</t>
  </si>
  <si>
    <t>900.582.148-52</t>
  </si>
  <si>
    <t>BEM MED HOSPITALAR LTDA</t>
  </si>
  <si>
    <t>18.806.050/0001-26</t>
  </si>
  <si>
    <t>BENAZZI &amp; FORTES SOCIEDADE DE ADVOGADOS</t>
  </si>
  <si>
    <t>36.624.703/0001-38</t>
  </si>
  <si>
    <t>BENE DISTRIBUIDORA COMERCIAL LTDA</t>
  </si>
  <si>
    <t>40.083.861/0001-03</t>
  </si>
  <si>
    <t>BENEDICTO FIRMINO DO PRADO</t>
  </si>
  <si>
    <t>221.880.968-00</t>
  </si>
  <si>
    <t>BENEDITA DONIZETTI BORGES LOPES</t>
  </si>
  <si>
    <t>072.437.208-38</t>
  </si>
  <si>
    <t>BENEDITO APARECIDO DOS SANTOS</t>
  </si>
  <si>
    <t>831.393.978-87</t>
  </si>
  <si>
    <t>BENEDITO CANDIDO DA SILVA</t>
  </si>
  <si>
    <t>162.785.448-73</t>
  </si>
  <si>
    <t>BENEDITO GOMES DOS SANTOS</t>
  </si>
  <si>
    <t>286.074.048-14</t>
  </si>
  <si>
    <t>BENEDITO IZAEL DOS SANTOS</t>
  </si>
  <si>
    <t>440.313.946-91</t>
  </si>
  <si>
    <t>BENEDITO JOSE RODRIGUES</t>
  </si>
  <si>
    <t>286.856.956-00</t>
  </si>
  <si>
    <t>BENEDITO JULIO MARCONDES</t>
  </si>
  <si>
    <t>065.671.918-48</t>
  </si>
  <si>
    <t>BENEDITO LUCIANO DA SILVA FILHO</t>
  </si>
  <si>
    <t>062.430.268-76</t>
  </si>
  <si>
    <t>BENEDITO PAULINO CARVALHO</t>
  </si>
  <si>
    <t>692.975.687-34</t>
  </si>
  <si>
    <t>BENEDITO UBIRACI MARQUES</t>
  </si>
  <si>
    <t>081.105.428-40</t>
  </si>
  <si>
    <t>BENICIO PNEUS LTDA</t>
  </si>
  <si>
    <t>39.535.062/0001-33</t>
  </si>
  <si>
    <t>BERKLEY INTERNATIONAL DO BRASIL SEGUROS S.A.</t>
  </si>
  <si>
    <t>07.021.544/0001-89</t>
  </si>
  <si>
    <t>Bernadete de Jesus Oliveira Machado</t>
  </si>
  <si>
    <t>636.828.425-00</t>
  </si>
  <si>
    <t>Bernardo Antonio Monteiro Santos de Almeida</t>
  </si>
  <si>
    <t>118.479.849-40</t>
  </si>
  <si>
    <t>Bernardo Chassot Rainoni Ferreira</t>
  </si>
  <si>
    <t>204.299.567-38</t>
  </si>
  <si>
    <t>Bernardo Ferreira de Assis</t>
  </si>
  <si>
    <t>110.035.237-65</t>
  </si>
  <si>
    <t>BETHAVILLE CONSTRUTORA E INCORPORADORA LTDA</t>
  </si>
  <si>
    <t>84.327.295/0001-03</t>
  </si>
  <si>
    <t>BEZERRA DOS SANTOS &amp; SANTOS TRANSPORTES LTDA</t>
  </si>
  <si>
    <t>64.944.010/0001-68</t>
  </si>
  <si>
    <t>BIANCA CORREA DE ANDRADE</t>
  </si>
  <si>
    <t>512.556.888-07</t>
  </si>
  <si>
    <t>BIANCA DE MORAIS LOPES FRANCO</t>
  </si>
  <si>
    <t>322.595.678-35</t>
  </si>
  <si>
    <t>BIANCA FREIRE DA SILVA</t>
  </si>
  <si>
    <t>267.867.398-73</t>
  </si>
  <si>
    <t>BIANCA ISABELLY DA SILVA</t>
  </si>
  <si>
    <t>481.838.808-43</t>
  </si>
  <si>
    <t>BIANCA KELLY FERNANDES</t>
  </si>
  <si>
    <t>385.763.038-84</t>
  </si>
  <si>
    <t>BIANCA NEGREIROS SANCHES</t>
  </si>
  <si>
    <t>558.887.268-18</t>
  </si>
  <si>
    <t>BIANCA RAFAELLA DE SOUZA</t>
  </si>
  <si>
    <t>466.595.078-41</t>
  </si>
  <si>
    <t>BIANCA SANTOS SILVEIRA</t>
  </si>
  <si>
    <t>466.538.088-07</t>
  </si>
  <si>
    <t>BIANCA SOARES DA SILVA FREITAS</t>
  </si>
  <si>
    <t>522.491.268-79</t>
  </si>
  <si>
    <t>Bianca Sousa dos Anjos</t>
  </si>
  <si>
    <t>485.833.828-24</t>
  </si>
  <si>
    <t>BIANCA ZACCHE RIBEIRO KUMAKURA</t>
  </si>
  <si>
    <t>398.728.118-90</t>
  </si>
  <si>
    <t>BIANNCA VIEIRA DA SILVA</t>
  </si>
  <si>
    <t>486.330.878-71</t>
  </si>
  <si>
    <t>BIDDEN COMERCIAL LTDA.</t>
  </si>
  <si>
    <t>36.181.473/0001-80</t>
  </si>
  <si>
    <t>BIGNARDI - INDÚSTRIA E COMERCIO DE PAPEIS E ARTEFATOS LTDA</t>
  </si>
  <si>
    <t>61.192.522/0010-18</t>
  </si>
  <si>
    <t>BIGNARDI-IND. E COM. DE PAPÉIS E ARTEFATOS LTDA.</t>
  </si>
  <si>
    <t>61.192.522/0005-50</t>
  </si>
  <si>
    <t>BINDER COMUNICACAO LTDA</t>
  </si>
  <si>
    <t>72.190.242/0002-87</t>
  </si>
  <si>
    <t>BIO ADVANCE DIAGNOSTICOS LTDA. EPP</t>
  </si>
  <si>
    <t>09.593.438/0001-03</t>
  </si>
  <si>
    <t>BIOBASE INDUSTRIA E COMERCIO LTDA</t>
  </si>
  <si>
    <t>05.216.859/0001-56</t>
  </si>
  <si>
    <t>BIOESSENCIA - FARMACIA DE MANIPULACAO LTDA</t>
  </si>
  <si>
    <t>60.936.309/0001-10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</si>
  <si>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</si>
  <si>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</si>
  <si>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</si>
  <si>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</si>
  <si>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</si>
  <si>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</si>
  <si>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BIOMOVEMENT AMBIENTAL LTDA</t>
  </si>
  <si>
    <t>05.573.061/0001-61</t>
  </si>
  <si>
    <t>BIOSSOM ASSISTENCIA MEDICA LTDA</t>
  </si>
  <si>
    <t>01.636.718/0001-31</t>
  </si>
  <si>
    <t>BIROLINI &amp; PRUDENTE SERVICOS MEDICOS</t>
  </si>
  <si>
    <t>04.465.949/0001-18</t>
  </si>
  <si>
    <t>BITTENCOURT &amp; IRAPUAN ENGENHARIA LTDA</t>
  </si>
  <si>
    <t>10.770.737/0001-47</t>
  </si>
  <si>
    <t>BJP COMERCIO E DISTRIBUICAO DE ALIMENTOS LTDA</t>
  </si>
  <si>
    <t>28.255.113/0001-57</t>
  </si>
  <si>
    <t>BK CONSULTORIA E SERVIÇOS LTDA</t>
  </si>
  <si>
    <t>03.022.122/0001-77</t>
  </si>
  <si>
    <t>BLACK TSHIRT LICITACOES E ASSESSORIA LTDA</t>
  </si>
  <si>
    <t>39.344.423/0001-64</t>
  </si>
  <si>
    <t>BLAU FARMACEUTICA S/A</t>
  </si>
  <si>
    <t>58.430.828/0001-60</t>
  </si>
  <si>
    <t>BLOW SHOW TORONTO LTDA</t>
  </si>
  <si>
    <t>47.549.460/0001-37</t>
  </si>
  <si>
    <t>BLUE ANGELS EMERGENCIAS LTDA</t>
  </si>
  <si>
    <t>48.938.226/0001-64</t>
  </si>
  <si>
    <t>BOA SORTE &amp; SIRLENE MECANICA LTDA - ME</t>
  </si>
  <si>
    <t>04.064.081/0001-44</t>
  </si>
  <si>
    <t>BOA VISTA ALIMENTOS LTDA</t>
  </si>
  <si>
    <t>38.383.058/0001-34</t>
  </si>
  <si>
    <t>BONFIM SANTOS DA COSTA</t>
  </si>
  <si>
    <t>844.571.121-00</t>
  </si>
  <si>
    <t>BONIFACIO KASUNORI KAWASAKI</t>
  </si>
  <si>
    <t>340.615.928-15</t>
  </si>
  <si>
    <t>BOTELHO &amp; NEVES CONSTRUÇÕES E REFORMAS LTDA</t>
  </si>
  <si>
    <t>51.397.820/0001-08</t>
  </si>
  <si>
    <t>B.R. HOSP DISTRIBUIDORA LTDA</t>
  </si>
  <si>
    <t>42.125.513/0001-79</t>
  </si>
  <si>
    <t>BRASCONTROL IND E COM LTDA</t>
  </si>
  <si>
    <t>59.454.686/0001-33</t>
  </si>
  <si>
    <t>BRASFISIO COMERCIO DE EQUIPAMENTOS FISIOTERAPEUTICOS LTDA</t>
  </si>
  <si>
    <t>01.068.993/0001-04</t>
  </si>
  <si>
    <t>BRASIL FARMAON MEDICAMENTOS FARMACEUTICOS LTDA</t>
  </si>
  <si>
    <t>40.254.918/0001-81</t>
  </si>
  <si>
    <t>BRASITUR EVENTOS E TURISMO LTDA</t>
  </si>
  <si>
    <t>23.361.387/0001-07</t>
  </si>
  <si>
    <t>BRASOFTWARE INFORMATICA LTDA</t>
  </si>
  <si>
    <t>57.142.978/0001-05</t>
  </si>
  <si>
    <t>BRAXPEL DISTRIBUIDORA LTDA</t>
  </si>
  <si>
    <t>02.971.907/0001-23</t>
  </si>
  <si>
    <t>Brayan Fernando Barros Brito</t>
  </si>
  <si>
    <t>205.814.507-01</t>
  </si>
  <si>
    <t>BRAYAN MONTEIRO MOREIRA</t>
  </si>
  <si>
    <t>524.951.848-63</t>
  </si>
  <si>
    <t>BRAZ DA SILVA JACINTO</t>
  </si>
  <si>
    <t>279.818.048-17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</si>
  <si>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</si>
  <si>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</si>
  <si>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</si>
  <si>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</si>
  <si>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</si>
  <si>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</si>
  <si>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GABRIELLE PEREIRA DOS SANTOS</t>
  </si>
  <si>
    <t>509.894.118-00</t>
  </si>
  <si>
    <t>Brenda Gabrielli de Almeida Mendes</t>
  </si>
  <si>
    <t>165.678.456-43</t>
  </si>
  <si>
    <t>BRENDA MIONI FREIRE PEREIRA</t>
  </si>
  <si>
    <t>388.335.898-38</t>
  </si>
  <si>
    <t>BRENDA SAYURI MACHADO TSUNODA</t>
  </si>
  <si>
    <t>473.772.108-50</t>
  </si>
  <si>
    <t>BRENDA STEPHANIE ARMANDO DE OLIVEIRA</t>
  </si>
  <si>
    <t>476.384.758-95</t>
  </si>
  <si>
    <t>BRENNO COLONESE DOMINGUES</t>
  </si>
  <si>
    <t>398.798.318-37</t>
  </si>
  <si>
    <t>Brenno Miranda Pereira</t>
  </si>
  <si>
    <t>560.505.808-80</t>
  </si>
  <si>
    <t>BRENNO RAMOS LISBOA</t>
  </si>
  <si>
    <t>413.509.848-76</t>
  </si>
  <si>
    <t>BRENO ANTONIO MARCONDES</t>
  </si>
  <si>
    <t>438.762.688-77</t>
  </si>
  <si>
    <t>BRENO AUGUSTO FERREIRA</t>
  </si>
  <si>
    <t>427.210.318-05</t>
  </si>
  <si>
    <t>Breno Berlamino Pereira de Oliveira</t>
  </si>
  <si>
    <t>166.756.466-80</t>
  </si>
  <si>
    <t>Breno dos Santos Pereira</t>
  </si>
  <si>
    <t>542.646.608-40</t>
  </si>
  <si>
    <t>BRENO VARGAS DA SILVA</t>
  </si>
  <si>
    <t>013.118.306-00</t>
  </si>
  <si>
    <t>BRERA CONSTRUTORA LTDA</t>
  </si>
  <si>
    <t>54.611.836/0001-51</t>
  </si>
  <si>
    <t>BRISTOL-MYERS SQUIBB FARMACEUTICA LTDA</t>
  </si>
  <si>
    <t>56.998.982/0031-22</t>
  </si>
  <si>
    <t>BRONISLAVA CASSIANO</t>
  </si>
  <si>
    <t>772.741.566-91</t>
  </si>
  <si>
    <t>BRS SUPRIMENTOS CORPORATIVOS S/A</t>
  </si>
  <si>
    <t>03.746.938/0016-20</t>
  </si>
  <si>
    <t>BRUCE CARDENUTO</t>
  </si>
  <si>
    <t>436.057.428-23</t>
  </si>
  <si>
    <t>Bruna Alexandra Kortz</t>
  </si>
  <si>
    <t>024.561.880-55</t>
  </si>
  <si>
    <t>Bruna Amarante da Silva</t>
  </si>
  <si>
    <t>117.686.077-10</t>
  </si>
  <si>
    <t>BRUNA ANTERO CANDIDO</t>
  </si>
  <si>
    <t>483.766.138-63</t>
  </si>
  <si>
    <t>BRUNA APARECIDA DE PAULA DOS SANTOS</t>
  </si>
  <si>
    <t>489.687.348-36</t>
  </si>
  <si>
    <t>BRUNA BARISSON SILVERIO</t>
  </si>
  <si>
    <t>511.802.218-50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</si>
  <si>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</si>
  <si>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</si>
  <si>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</si>
  <si>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</si>
  <si>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</si>
  <si>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</si>
  <si>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ANDRADE CORREIA</t>
  </si>
  <si>
    <t>544.499.008-39</t>
  </si>
  <si>
    <t>BRUNA DE ANDRADE PEREIRA NUNES</t>
  </si>
  <si>
    <t>479.508.588-93</t>
  </si>
  <si>
    <t>BRUNA DE CARVALHO LOPES</t>
  </si>
  <si>
    <t>412.746.218-36</t>
  </si>
  <si>
    <t>BRUNA DE CASSIA G. M. SUZUKI</t>
  </si>
  <si>
    <t>345.453.538-78</t>
  </si>
  <si>
    <t>BRUNA DE PAULA MACEDO</t>
  </si>
  <si>
    <t>441.544.128-92</t>
  </si>
  <si>
    <t>BRUNA ELISA CORREA DA SILVA</t>
  </si>
  <si>
    <t>408.764.948-23</t>
  </si>
  <si>
    <t>BRUNA GONÇALVES PEREIRA DA SILVA</t>
  </si>
  <si>
    <t>427.069.158-11</t>
  </si>
  <si>
    <t>BRUNA LUCIA DOMINGOS GALDINO RAMOS</t>
  </si>
  <si>
    <t>374.475.098-17</t>
  </si>
  <si>
    <t>BRUNA MADELEINE DA SILVA SIMPLICIO FLOR</t>
  </si>
  <si>
    <t>404.393.348-70</t>
  </si>
  <si>
    <t>BRUNA MAIARA DA SILVA</t>
  </si>
  <si>
    <t>406.916.348-40</t>
  </si>
  <si>
    <t>BRUNA MANTEZI WEISSMANN DOS SANTOS</t>
  </si>
  <si>
    <t>518.271.268-50</t>
  </si>
  <si>
    <t>BRUNA MARQUES PINTO</t>
  </si>
  <si>
    <t>416.038.178-24</t>
  </si>
  <si>
    <t>BRUNA NATALIA DE OLIVEIRA SANTOS</t>
  </si>
  <si>
    <t>412.342.748-09</t>
  </si>
  <si>
    <t>BRUNA NATHALIA MALAQUIAS DA SILVA</t>
  </si>
  <si>
    <t>481.282.318-80</t>
  </si>
  <si>
    <t>BRUNA PEREIRA BORGES</t>
  </si>
  <si>
    <t>475.827.758-30</t>
  </si>
  <si>
    <t>BRUNA RAFAELA DO PRADO FERNANDES</t>
  </si>
  <si>
    <t>413.668.718-47</t>
  </si>
  <si>
    <t>BRUNA RAMOS WANDERLEY</t>
  </si>
  <si>
    <t>534.542.058-08</t>
  </si>
  <si>
    <t>BRUNA RODRIGUES CABRAL</t>
  </si>
  <si>
    <t>358.876.368-66</t>
  </si>
  <si>
    <t>Bruna Rodrigues Machado</t>
  </si>
  <si>
    <t>442.114.138-05</t>
  </si>
  <si>
    <t>BRUNA ROSA DE OLIVEIRA</t>
  </si>
  <si>
    <t>344.464.688-71</t>
  </si>
  <si>
    <t>BRUNA TEIXEIRA SILVA MELO</t>
  </si>
  <si>
    <t>421.758.498-99</t>
  </si>
  <si>
    <t>BRUNA VEREDIANA ROMANO CARVALHO</t>
  </si>
  <si>
    <t>423.583.508-42</t>
  </si>
  <si>
    <t>BRUNA VITORIA DO AMARAL</t>
  </si>
  <si>
    <t>519.194.208-60</t>
  </si>
  <si>
    <t>Bruna Waldow Xavier</t>
  </si>
  <si>
    <t>472.480.288-00</t>
  </si>
  <si>
    <t>BRUNELLA RUDECK BRUNELLO PAIVA</t>
  </si>
  <si>
    <t>416.143.898-29</t>
  </si>
  <si>
    <t>BRUNO ALISSON DE SOUSA</t>
  </si>
  <si>
    <t>456.965.388-00</t>
  </si>
  <si>
    <t>BRUNO ALVES DE ARAUJO</t>
  </si>
  <si>
    <t>361.386.678-16</t>
  </si>
  <si>
    <t>Bruno Alves de Castro</t>
  </si>
  <si>
    <t>080.673.409-43</t>
  </si>
  <si>
    <t>BRUNO AURELIO FERREIRA</t>
  </si>
  <si>
    <t>372.048.918-30</t>
  </si>
  <si>
    <t>BRUNO BATISTA SANTOS</t>
  </si>
  <si>
    <t>215.040.988-70</t>
  </si>
  <si>
    <t>BRUNO BIELLA DE SOUZA VALLE BORGES DE ALVARENGA</t>
  </si>
  <si>
    <t>440.762.558-95</t>
  </si>
  <si>
    <t>Bruno Borovoy Bringuenti</t>
  </si>
  <si>
    <t>116.650.757-24</t>
  </si>
  <si>
    <t>BRUNO CESAR DO AMARAL</t>
  </si>
  <si>
    <t>263.701.168-82</t>
  </si>
  <si>
    <t>Bruno Cesar Watanabe</t>
  </si>
  <si>
    <t>458.978.738-52</t>
  </si>
  <si>
    <t>BRUNO DE ABREU MORAES</t>
  </si>
  <si>
    <t>215.759.348-92</t>
  </si>
  <si>
    <t>BRUNO DE OLIVEIRA GOTO</t>
  </si>
  <si>
    <t>431.194.608-26</t>
  </si>
  <si>
    <t>BRUNO DE OLIVEIRA SOARES</t>
  </si>
  <si>
    <t>432.750.188-33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</si>
  <si>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</si>
  <si>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</si>
  <si>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</si>
  <si>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</si>
  <si>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</si>
  <si>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</si>
  <si>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</si>
  <si>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</si>
  <si>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FERRAZ GUERRA</t>
  </si>
  <si>
    <t>361.141.778-51</t>
  </si>
  <si>
    <t>BRUNO FREDERICO DOS SANTOS 34021052844</t>
  </si>
  <si>
    <t>17.448.884/0001-44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</si>
  <si>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</si>
  <si>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</si>
  <si>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</si>
  <si>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</si>
  <si>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</si>
  <si>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</si>
  <si>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KHOURI MOTA</t>
  </si>
  <si>
    <t>406.405.758-97</t>
  </si>
  <si>
    <t>BRUNO MARCIO DOS REIS DIAS</t>
  </si>
  <si>
    <t>345.638.798-94</t>
  </si>
  <si>
    <t>BRUNO MARTINS LEMES</t>
  </si>
  <si>
    <t>132.580.986-11</t>
  </si>
  <si>
    <t>Bruno Melli Neto</t>
  </si>
  <si>
    <t>436.495.788-75</t>
  </si>
  <si>
    <t>Bruno Paixão de Castro</t>
  </si>
  <si>
    <t>467.919.268-21</t>
  </si>
  <si>
    <t>BRUNO RAFAEL TEIXEIRA DO NASCIMENTO</t>
  </si>
  <si>
    <t>456.155.068-22</t>
  </si>
  <si>
    <t>BRUNO RAMOS DE SIQUEIRA</t>
  </si>
  <si>
    <t>427.599.258-03</t>
  </si>
  <si>
    <t>BRUNO RIBEIRO FORESTI</t>
  </si>
  <si>
    <t>159.310.336-02</t>
  </si>
  <si>
    <t>BRUNO RICARDO LAURINDO DA CUNHA LARANJEIRA</t>
  </si>
  <si>
    <t>321.271.068-30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</si>
  <si>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</si>
  <si>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</si>
  <si>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</si>
  <si>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</si>
  <si>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</si>
  <si>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</si>
  <si>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ROSSETTI DOS SANTOS</t>
  </si>
  <si>
    <t>398.999.358-59</t>
  </si>
  <si>
    <t>BRUNO SILVA DA CRUZ</t>
  </si>
  <si>
    <t>336.945.618-46</t>
  </si>
  <si>
    <t>BRUNO SOARES BRANCO</t>
  </si>
  <si>
    <t>440.381.678-95</t>
  </si>
  <si>
    <t>BRUNO SOARES BRASIL</t>
  </si>
  <si>
    <t>221.504.588-45</t>
  </si>
  <si>
    <t>BRUNO SORDI ADAI</t>
  </si>
  <si>
    <t>364.848.938-02</t>
  </si>
  <si>
    <t>Bruno Tomageski de Faria</t>
  </si>
  <si>
    <t>391.861.588-05</t>
  </si>
  <si>
    <t>BRUNO ULISSES DE MACEDO ALVES</t>
  </si>
  <si>
    <t>359.081.208-71</t>
  </si>
  <si>
    <t>BRUNO VINICIUS RAMOS</t>
  </si>
  <si>
    <t>444.287.098-54</t>
  </si>
  <si>
    <t>BRYAN ALEX DAS NEVES</t>
  </si>
  <si>
    <t>512.973.058-50</t>
  </si>
  <si>
    <t>Bryan Thomaz dos Santos</t>
  </si>
  <si>
    <t>187.170.097-31</t>
  </si>
  <si>
    <t>BT EQUIPAMENTOS INDUSTRIAIS LTDA</t>
  </si>
  <si>
    <t>01.852.612/0001-75</t>
  </si>
  <si>
    <t>BTT ENGENHARIA SS</t>
  </si>
  <si>
    <t>35.450.292/0001-49</t>
  </si>
  <si>
    <t>BUFF COMERCIO E SOLUCOES LTDA</t>
  </si>
  <si>
    <t>00.638.358/0001-44</t>
  </si>
  <si>
    <t>BUNZL EQUIPAMENTOS PARA PROTECAO INDIVIDUAL LTDA</t>
  </si>
  <si>
    <t>43.854.777/0001-26</t>
  </si>
  <si>
    <t>C &amp; J INOVACAO TECNOLOGICA LTDA</t>
  </si>
  <si>
    <t>12.381.327/0001-30</t>
  </si>
  <si>
    <t>C ALMEIDA ELISEU SERVICOS MEDICOS LTDA.</t>
  </si>
  <si>
    <t>41.154.805/0001-77</t>
  </si>
  <si>
    <t>C. C. KATSUMOTO LTDA</t>
  </si>
  <si>
    <t>10.596.600/0001-18</t>
  </si>
  <si>
    <t>C R CARLOTO PECAS E SERVICOS LTDA</t>
  </si>
  <si>
    <t>04.982.434/0001-95</t>
  </si>
  <si>
    <t>C. T. AGOSTINHO TELHAS LTDA</t>
  </si>
  <si>
    <t>11.741.045/0001-33</t>
  </si>
  <si>
    <t>CABELLO &amp; CABELLO COMERCIAL LTDA</t>
  </si>
  <si>
    <t>03.663.632/0001-23</t>
  </si>
  <si>
    <t>CACILDA SUELI RIBEIRO</t>
  </si>
  <si>
    <t>772.489.376-49</t>
  </si>
  <si>
    <t>CACO COMERCIAL DE FRUTAS LTDA</t>
  </si>
  <si>
    <t>60.795.978/0002-08</t>
  </si>
  <si>
    <t>CADMIEL DA SILVA TURUTE</t>
  </si>
  <si>
    <t>518.759.038-36</t>
  </si>
  <si>
    <t>Caetano Neves Martins</t>
  </si>
  <si>
    <t>482.509.588-70</t>
  </si>
  <si>
    <t>CAFE COLISEU LTDA</t>
  </si>
  <si>
    <t>42.619.993/0001-24</t>
  </si>
  <si>
    <t>Caike Wallace da Silva</t>
  </si>
  <si>
    <t>534.119.638-40</t>
  </si>
  <si>
    <t>CAILAINE FERNANDA DE MORAIS</t>
  </si>
  <si>
    <t>557.222.348-42</t>
  </si>
  <si>
    <t>CAILANE NAIARA SILVA DE OLIVEIRA</t>
  </si>
  <si>
    <t>363.627.268-39</t>
  </si>
  <si>
    <t>CAINÃ GUIMARÃES DE OLIVEIRA</t>
  </si>
  <si>
    <t>069.729.011-54</t>
  </si>
  <si>
    <t>Cainã Lucas da Costa Monteiro</t>
  </si>
  <si>
    <t>480.161.588-03</t>
  </si>
  <si>
    <t>CAIO CESAR DE MATOS CAIRES</t>
  </si>
  <si>
    <t>368.764.668-84</t>
  </si>
  <si>
    <t>CAIO CESAR TEIXEIRA BITENCOURT</t>
  </si>
  <si>
    <t>103.696.687-90</t>
  </si>
  <si>
    <t>CAIO HENRIQUE ALVES PINTO BRIGIDA</t>
  </si>
  <si>
    <t>350.804.128-01</t>
  </si>
  <si>
    <t>CAIO HENRIQUE DIAS FERREIRA</t>
  </si>
  <si>
    <t>389.900.378-08</t>
  </si>
  <si>
    <t>CAIO HENRIQUE GOMES DE OLIVEIRA</t>
  </si>
  <si>
    <t>478.607.978-28</t>
  </si>
  <si>
    <t>Caio Henrique Lucas dos Santos</t>
  </si>
  <si>
    <t>422.293.318-09</t>
  </si>
  <si>
    <t>Caio Henrique Oliveira Rocha</t>
  </si>
  <si>
    <t>865.639.625-05</t>
  </si>
  <si>
    <t>Caio Lucas de Souza Argemiro</t>
  </si>
  <si>
    <t>164.399.467-06</t>
  </si>
  <si>
    <t>CAIO NASCIMENTO DE CARVALHO</t>
  </si>
  <si>
    <t>442.241.168-39</t>
  </si>
  <si>
    <t>CAIO RICARDO SERRA JUNIOR</t>
  </si>
  <si>
    <t>258.999.878-39</t>
  </si>
  <si>
    <t>Caio Vinícius Dias Silva</t>
  </si>
  <si>
    <t>566.508.808-09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</si>
  <si>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</si>
  <si>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</si>
  <si>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</si>
  <si>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</si>
  <si>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</si>
  <si>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</si>
  <si>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CALCUTA ARQUITETURA LTDA</t>
  </si>
  <si>
    <t>41.586.825/0001-17</t>
  </si>
  <si>
    <t>CALI AMBIENTAL LIMPEZA E CONSERVAÇÃO S.A.</t>
  </si>
  <si>
    <t>33.143.327/0001-71</t>
  </si>
  <si>
    <t>CAMARA DE COMERCIALIZACAO DE ENERGIA ELETRICA - CCEE</t>
  </si>
  <si>
    <t>03.034.433/0001-56</t>
  </si>
  <si>
    <t>CAMILA ALVES DA COSTA</t>
  </si>
  <si>
    <t>400.120.468-17</t>
  </si>
  <si>
    <t>CAMILA APARECIDA DOS REIS CARDOSO</t>
  </si>
  <si>
    <t>421.899.978-36</t>
  </si>
  <si>
    <t>CAMILA BATISTA DE SOUZA</t>
  </si>
  <si>
    <t>386.687.398-08</t>
  </si>
  <si>
    <t>CAMILA CASSIA NASCIMENTO</t>
  </si>
  <si>
    <t>515.270.848-50</t>
  </si>
  <si>
    <t>CAMILA CATHARINA CAMILLO RODRIGUES</t>
  </si>
  <si>
    <t>145.106.057-22</t>
  </si>
  <si>
    <t>CAMILA CRISTINA DE SOUSA</t>
  </si>
  <si>
    <t>477.377.208-55</t>
  </si>
  <si>
    <t>CAMILA DA SILVA LIMA</t>
  </si>
  <si>
    <t>390.266.268-94</t>
  </si>
  <si>
    <t>CAMILA DA SILVA LOPES</t>
  </si>
  <si>
    <t>075.064.426-55</t>
  </si>
  <si>
    <t>CAMILA DE CLAUDIO MORAIS</t>
  </si>
  <si>
    <t>307.394.068-50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</si>
  <si>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</si>
  <si>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</si>
  <si>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</si>
  <si>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</si>
  <si>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</si>
  <si>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</si>
  <si>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FERNANDA SANTOS DE LIMA</t>
  </si>
  <si>
    <t>424.260.808-09</t>
  </si>
  <si>
    <t>CAMILA INHESTA VIELL</t>
  </si>
  <si>
    <t>559.618.528-06</t>
  </si>
  <si>
    <t>CAMILA KELLY DE ASSIS LIMA</t>
  </si>
  <si>
    <t>364.520.628-08</t>
  </si>
  <si>
    <t>Camila Kuranaga da Rosa</t>
  </si>
  <si>
    <t>238.224.238-82</t>
  </si>
  <si>
    <t>CAMILA MEKARU</t>
  </si>
  <si>
    <t>381.141.428-39</t>
  </si>
  <si>
    <t>CAMILA PIRES DOS SANTOS</t>
  </si>
  <si>
    <t>321.610.898-89</t>
  </si>
  <si>
    <t>CAMILA PIRES EVANGELISTA</t>
  </si>
  <si>
    <t>432.179.188-00</t>
  </si>
  <si>
    <t>CAMILA PRESTES FERREIRA CABRAL</t>
  </si>
  <si>
    <t>414.682.008-10</t>
  </si>
  <si>
    <t>CAMILA SILVA BEZERRA</t>
  </si>
  <si>
    <t>413.263.078-19</t>
  </si>
  <si>
    <t>Camila Souza da Silva</t>
  </si>
  <si>
    <t>530.480.468-60</t>
  </si>
  <si>
    <t>CAMILA TAMIRES BARBOSA DIAS</t>
  </si>
  <si>
    <t>463.036.028-00</t>
  </si>
  <si>
    <t>CAMILA VIANA FONSECA</t>
  </si>
  <si>
    <t>533.821.678-75</t>
  </si>
  <si>
    <t>CAMILA VITORIO DA SILVA</t>
  </si>
  <si>
    <t>390.080.658-60</t>
  </si>
  <si>
    <t>CAMILA YUKARI YASUDA</t>
  </si>
  <si>
    <t>469.846.918-00</t>
  </si>
  <si>
    <t>Camile Peinador Schneider</t>
  </si>
  <si>
    <t>467.830.478-90</t>
  </si>
  <si>
    <t>Camilla Luiza Nascimento</t>
  </si>
  <si>
    <t>109.859.455-08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</si>
  <si>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</si>
  <si>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</si>
  <si>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</si>
  <si>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</si>
  <si>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</si>
  <si>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</si>
  <si>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CAMILLY VICTORIA MARTINS DA SILVA</t>
  </si>
  <si>
    <t>569.639.038-24</t>
  </si>
  <si>
    <t>CAMILLY VICTORIA PEREIRA COSTA</t>
  </si>
  <si>
    <t>436.715.388-64</t>
  </si>
  <si>
    <t>CAMILLY VITORIA ABREU DE FREITAS</t>
  </si>
  <si>
    <t>016.400.296-05</t>
  </si>
  <si>
    <t>CAMILO FELIPE ALVARENGA ROMERO</t>
  </si>
  <si>
    <t>369.028.078-84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</si>
  <si>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</si>
  <si>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</si>
  <si>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</si>
  <si>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</si>
  <si>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</si>
  <si>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</si>
  <si>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</si>
  <si>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</si>
  <si>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</si>
  <si>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</si>
  <si>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</si>
  <si>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</si>
  <si>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52.763.893/0004-73</t>
  </si>
  <si>
    <t>CAPUA GERACAO DE ENERGIA SPE LTDA</t>
  </si>
  <si>
    <t>43.576.004/0001-25</t>
  </si>
  <si>
    <t>CARDIOMED - SERVICOS DE DIAGN. E TRAT. EM CARDIOLOGIA SS LTDA</t>
  </si>
  <si>
    <t>04.465.549/0001-02</t>
  </si>
  <si>
    <t>CARDIORITMO- CLINICA DE ARRITMIAS CARDI.S/C LTD</t>
  </si>
  <si>
    <t>61.878.476/0001-14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</si>
  <si>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</si>
  <si>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</si>
  <si>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</si>
  <si>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</si>
  <si>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</si>
  <si>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</si>
  <si>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</si>
  <si>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</si>
  <si>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Machado Almasan</t>
  </si>
  <si>
    <t>228.432.498-30</t>
  </si>
  <si>
    <t>CARINA MARTINIANO DE JESUS PERES</t>
  </si>
  <si>
    <t>379.953.868-26</t>
  </si>
  <si>
    <t>CARINA SECO PEIXOTO</t>
  </si>
  <si>
    <t>341.458.048-99</t>
  </si>
  <si>
    <t>CARLA ASSUNÇÃO CALASANS</t>
  </si>
  <si>
    <t>406.065.768-94</t>
  </si>
  <si>
    <t>CARLA CHRISTINA PERES DOS SANTOS</t>
  </si>
  <si>
    <t>466.345.578-61</t>
  </si>
  <si>
    <t>CARLA GABRIELA MONTEIRO DE BARROS</t>
  </si>
  <si>
    <t>261.968.508-73</t>
  </si>
  <si>
    <t>Carla Ivana Lourenço da Silva</t>
  </si>
  <si>
    <t>387.858.218-88</t>
  </si>
  <si>
    <t>CARLA LUIZ DE LIMA</t>
  </si>
  <si>
    <t>382.706.948-35</t>
  </si>
  <si>
    <t>CARLA REGINA DOS SANTOS PRADO</t>
  </si>
  <si>
    <t>185.705.048-70</t>
  </si>
  <si>
    <t>CARLA TATIANE GONCALVES</t>
  </si>
  <si>
    <t>382.833.638-83</t>
  </si>
  <si>
    <t>CARLA VILHENA LOURO</t>
  </si>
  <si>
    <t>220.194.298-61</t>
  </si>
  <si>
    <t>Carlos Alberto Aparecido Barbosa</t>
  </si>
  <si>
    <t>218.663.798-79</t>
  </si>
  <si>
    <t>CARLOS ALBERTO BOSINI</t>
  </si>
  <si>
    <t>134.510.218-62</t>
  </si>
  <si>
    <t>Carlos Alberto Cristóvão dos Santos</t>
  </si>
  <si>
    <t>290.453.508-07</t>
  </si>
  <si>
    <t>CARLOS ALBERTO DE LIMA</t>
  </si>
  <si>
    <t>056.679.916-24</t>
  </si>
  <si>
    <t>CARLOS ALBERTO DE MORAIS JUNIOR</t>
  </si>
  <si>
    <t>421.211.978-18</t>
  </si>
  <si>
    <t>CARLOS ALBERTO FERRO</t>
  </si>
  <si>
    <t>053.218.088-72</t>
  </si>
  <si>
    <t>CARLOS ALBERTO LESSA DA SILVA</t>
  </si>
  <si>
    <t>010.744.645-67</t>
  </si>
  <si>
    <t>CARLOS ALBERTO MOLINA</t>
  </si>
  <si>
    <t>464.349.338-00</t>
  </si>
  <si>
    <t>CARLOS ALBERTO PEREIRA DA COSTA RODRIGUES DE ANDRADE</t>
  </si>
  <si>
    <t>391.401.028-23</t>
  </si>
  <si>
    <t>CARLOS ALBERTO SILVA DOS SANTOS</t>
  </si>
  <si>
    <t>078.217.624-07</t>
  </si>
  <si>
    <t>CARLOS ALEXANDRE APARECIDO RAMOS</t>
  </si>
  <si>
    <t>348.502.548-88</t>
  </si>
  <si>
    <t>CARLOS ALEXANDRE CLAUDINO LORENA</t>
  </si>
  <si>
    <t>222.326.018-70</t>
  </si>
  <si>
    <t>CARLOS ANDRES FERNANDEZ</t>
  </si>
  <si>
    <t>242.264.578-03</t>
  </si>
  <si>
    <t>CARLOS APARECIDO DE MORAES</t>
  </si>
  <si>
    <t>065.185.798-89</t>
  </si>
  <si>
    <t xml:space="preserve">CARLOS AUGUSTO DA SILVA	</t>
  </si>
  <si>
    <t>233.004.888-26</t>
  </si>
  <si>
    <t>CARLOS AUGUSTO DE CASTRO FREITAS</t>
  </si>
  <si>
    <t>404.244.528-47</t>
  </si>
  <si>
    <t>CARLOS AURIMAR DE BRITO</t>
  </si>
  <si>
    <t>019.218.938-77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</si>
  <si>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</si>
  <si>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</si>
  <si>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</si>
  <si>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</si>
  <si>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</si>
  <si>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</si>
  <si>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DIMAS DE LIMA</t>
  </si>
  <si>
    <t>789.214.068-91</t>
  </si>
  <si>
    <t>CARLOS EDUARDO BUSTAMANTE PORTES</t>
  </si>
  <si>
    <t>261.776.328-58</t>
  </si>
  <si>
    <t>CARLOS EDUARDO CORREA DA SILVA</t>
  </si>
  <si>
    <t>655.416.856-72</t>
  </si>
  <si>
    <t>Carlos Eduardo da Silva Prado</t>
  </si>
  <si>
    <t>513.479.438-38</t>
  </si>
  <si>
    <t>Carlos Eduardo da Silva Silveira</t>
  </si>
  <si>
    <t>490.749.408-46</t>
  </si>
  <si>
    <t>CARLOS EDUARDO ESTEVAM</t>
  </si>
  <si>
    <t>314.104.158-05</t>
  </si>
  <si>
    <t>CARLOS EDUARDO FERREIRA</t>
  </si>
  <si>
    <t>221.698.348-93</t>
  </si>
  <si>
    <t>CARLOS EDUARDO GOMES CAMELO</t>
  </si>
  <si>
    <t>256.838.988-54</t>
  </si>
  <si>
    <t>CARLOS EDUARDO GRACIANO HORIKAWA</t>
  </si>
  <si>
    <t>549.306.118-06</t>
  </si>
  <si>
    <t>Carlos Eduardo Loeffer Brum de Lima</t>
  </si>
  <si>
    <t>511.794.448-84</t>
  </si>
  <si>
    <t>CARLOS EDUARDO RIBEIRO DOS SANTOS</t>
  </si>
  <si>
    <t>260.876.088-00</t>
  </si>
  <si>
    <t>CARLOS FELIPE SANTOS VENINO</t>
  </si>
  <si>
    <t>532.005.818-75</t>
  </si>
  <si>
    <t>CARLOS FERNANDO RONDINA MATEUS</t>
  </si>
  <si>
    <t>074.645.568-28</t>
  </si>
  <si>
    <t>CARLOS FRANCISCO FERREIRA DE ALMEIDA</t>
  </si>
  <si>
    <t>281.284.048-06</t>
  </si>
  <si>
    <t>CARLOS HENRIQUE DE ASSIS PEREIRA</t>
  </si>
  <si>
    <t>555.201.568-16</t>
  </si>
  <si>
    <t>CARLOS HENRIQUE DE OLIVEIRA RANGEL</t>
  </si>
  <si>
    <t>252.714.348-26</t>
  </si>
  <si>
    <t>Carlos Henrique Gonçalves da Cruz</t>
  </si>
  <si>
    <t>529.141.838-95</t>
  </si>
  <si>
    <t>CARLOS HENRIQUE KROSKINSQUE PAULINO</t>
  </si>
  <si>
    <t>299.322.888-96</t>
  </si>
  <si>
    <t>Carlos Henrique Rodrigues de Castro</t>
  </si>
  <si>
    <t>107.918.119-99</t>
  </si>
  <si>
    <t>CARLOS IGOR PAULINO GONCALVES</t>
  </si>
  <si>
    <t>457.435.408-96</t>
  </si>
  <si>
    <t>CARLOS JOSE DOMINGOS OLIVEIRA</t>
  </si>
  <si>
    <t>251.268.828-30</t>
  </si>
  <si>
    <t>CARLOS JOSE FERNANDES</t>
  </si>
  <si>
    <t>282.347.868-06</t>
  </si>
  <si>
    <t>CARLOS JOSE FERREIRA SANTANA</t>
  </si>
  <si>
    <t>247.533.808-31</t>
  </si>
  <si>
    <t>CARLOS KIRA YAMAZAKI</t>
  </si>
  <si>
    <t>162.843.908-40</t>
  </si>
  <si>
    <t>CARLOS LINDO DE GODOY</t>
  </si>
  <si>
    <t>713.002.368-68</t>
  </si>
  <si>
    <t>CARLOS MAGNO KAVASK NUNES DA SILVA</t>
  </si>
  <si>
    <t>256.969.018-08</t>
  </si>
  <si>
    <t>CARLOS MAGNO LOPES DE MELO</t>
  </si>
  <si>
    <t>098.672.708-35</t>
  </si>
  <si>
    <t>Carlos Manoel Gomes da Silva</t>
  </si>
  <si>
    <t>513.826.068-50</t>
  </si>
  <si>
    <t>CARLOS MARCELO LIMA DE FREITAS</t>
  </si>
  <si>
    <t>201.864.168-90</t>
  </si>
  <si>
    <t>CARLOS MAX DA SILVA WERNECK</t>
  </si>
  <si>
    <t>038.587.927-05</t>
  </si>
  <si>
    <t>Carlos Miguel do Nascimento Barreto</t>
  </si>
  <si>
    <t>196.758.647-02</t>
  </si>
  <si>
    <t>Carlos Mikael Silva dos Santos</t>
  </si>
  <si>
    <t>508.110.678-07</t>
  </si>
  <si>
    <t>CARLOS NAVAS CASTILLO</t>
  </si>
  <si>
    <t>039.923.868-99</t>
  </si>
  <si>
    <t>CARLOS RENATO DE CAMPOS</t>
  </si>
  <si>
    <t>293.144.568-11</t>
  </si>
  <si>
    <t>CARLOS RIBEIRO DOS SANTOS</t>
  </si>
  <si>
    <t>066.493.108-16</t>
  </si>
  <si>
    <t>CARLOS ROBERTO CORTELASSI</t>
  </si>
  <si>
    <t>430.031.689-91</t>
  </si>
  <si>
    <t>CARLOS ROBERTO COSTA BARROS JUNIO</t>
  </si>
  <si>
    <t>201.857.358-60</t>
  </si>
  <si>
    <t>Carlos Roberto da Rosa</t>
  </si>
  <si>
    <t>396.137.127-04</t>
  </si>
  <si>
    <t>CARLOS ROBERTO DA SILVA</t>
  </si>
  <si>
    <t>040.887.718-93</t>
  </si>
  <si>
    <t>CARLOS ROBERTO FERNANDES ESTEVES</t>
  </si>
  <si>
    <t>012.823.058-40</t>
  </si>
  <si>
    <t>CARLOS ROBERTO GONÇALVES</t>
  </si>
  <si>
    <t>063.913.048-82</t>
  </si>
  <si>
    <t>CARLOS ROBERTO TEIXEIRA</t>
  </si>
  <si>
    <t>976.878.558-68</t>
  </si>
  <si>
    <t>CARLOS TADEU COSTA DA SILVA</t>
  </si>
  <si>
    <t>003.616.427-50</t>
  </si>
  <si>
    <t>CARLOS TRAJANO SILVA</t>
  </si>
  <si>
    <t>484.260.754-87</t>
  </si>
  <si>
    <t>CARMELITA SCIPPA DE SOUZA</t>
  </si>
  <si>
    <t>081.273.098-42</t>
  </si>
  <si>
    <t>CARMELITAS DCJ LAR SAO JOSE</t>
  </si>
  <si>
    <t>53.323.226/0001-90</t>
  </si>
  <si>
    <t>CARMEM LUCIA DEZIDERA RIU</t>
  </si>
  <si>
    <t>337.561.968-52</t>
  </si>
  <si>
    <t>CARMEN VITORIA DOS SANTOS</t>
  </si>
  <si>
    <t>270.745.188-67</t>
  </si>
  <si>
    <t>CARMINO TIERA JUNIOR</t>
  </si>
  <si>
    <t>063.437.938-01</t>
  </si>
  <si>
    <t>CAROLAINE SANTOS ARAUJO</t>
  </si>
  <si>
    <t>533.723.998-89</t>
  </si>
  <si>
    <t>CAROLAINI ZEFINO PEREIRA TEIXEIRA</t>
  </si>
  <si>
    <t>107.609.069-98</t>
  </si>
  <si>
    <t>CAROLINA APARECIDA DE AZEVEDO SOUSA GERALDO</t>
  </si>
  <si>
    <t>356.395.368-61</t>
  </si>
  <si>
    <t>Carolina Aparecida de Azevedo Sousa Geraldo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</si>
  <si>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</si>
  <si>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</si>
  <si>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</si>
  <si>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</si>
  <si>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</si>
  <si>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</si>
  <si>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DE MORAES VIEIRA</t>
  </si>
  <si>
    <t>396.978.638-06</t>
  </si>
  <si>
    <t>CAROLINA DOS SANTOS RIBEIRO</t>
  </si>
  <si>
    <t>426.500.808-92</t>
  </si>
  <si>
    <t>CAROLINA DOS SANTOS SOARES</t>
  </si>
  <si>
    <t>452.317.418-09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</si>
  <si>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</si>
  <si>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</si>
  <si>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</si>
  <si>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</si>
  <si>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</si>
  <si>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</si>
  <si>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MARIA MARQUES REIS</t>
  </si>
  <si>
    <t>369.197.478-39</t>
  </si>
  <si>
    <t>CAROLINA SANCHES VIEIRA</t>
  </si>
  <si>
    <t>373.399.698-45</t>
  </si>
  <si>
    <t>Carolina Silva Pereira</t>
  </si>
  <si>
    <t>447.225.268-69</t>
  </si>
  <si>
    <t>CAROLINE ANDRE PASCHOALINI DE PAULA</t>
  </si>
  <si>
    <t>17.680.957/0001-29</t>
  </si>
  <si>
    <t>CAROLINE APARECIDA PIMENTA COELHO</t>
  </si>
  <si>
    <t>430.387.938-09</t>
  </si>
  <si>
    <t>CAROLINE BEZERRA FUKUOKA</t>
  </si>
  <si>
    <t>225.188.588-90</t>
  </si>
  <si>
    <t>CAROLINE CRISTINA PEREIRA</t>
  </si>
  <si>
    <t>442.617.338-89</t>
  </si>
  <si>
    <t>CAROLINE DE OLIVEIRA CARNEIRO</t>
  </si>
  <si>
    <t>399.434.868-48</t>
  </si>
  <si>
    <t>CAROLINE DOS SANTOS DA SILVA</t>
  </si>
  <si>
    <t>479.015.588-90</t>
  </si>
  <si>
    <t>Caroline Gomes dos Santos</t>
  </si>
  <si>
    <t>051.490.981-16</t>
  </si>
  <si>
    <t>Caroline Ladaga da Silva</t>
  </si>
  <si>
    <t>151.185.557-60</t>
  </si>
  <si>
    <t>CAROLINE LEMES DUARTE OLIVEIRA</t>
  </si>
  <si>
    <t>498.658.608-48</t>
  </si>
  <si>
    <t>Caroline Martins Santos</t>
  </si>
  <si>
    <t>334.282.198-13</t>
  </si>
  <si>
    <t>CAROLINE ROBERTA DE PAULA ALMEIDA</t>
  </si>
  <si>
    <t>471.173.558-59</t>
  </si>
  <si>
    <t>CAROLINE SERAFIM</t>
  </si>
  <si>
    <t>521.787.008-70</t>
  </si>
  <si>
    <t>CARP - PROTEÇÃO RADIOLOGICA LTDA</t>
  </si>
  <si>
    <t>02.811.369/0001-00</t>
  </si>
  <si>
    <t>CARREIRA SOCIEDADE DE ADVOGADOS</t>
  </si>
  <si>
    <t>12.357.031/0001-83</t>
  </si>
  <si>
    <t>CARVALHO FONSECA VISTORIAS LTDA</t>
  </si>
  <si>
    <t>43.377.956/0001-10</t>
  </si>
  <si>
    <t>CASA DA SOGRA COMERCIO VAREJISTA LTDA</t>
  </si>
  <si>
    <t>13.021.891/0001-04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</si>
  <si>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</si>
  <si>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</si>
  <si>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</si>
  <si>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</si>
  <si>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</si>
  <si>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</si>
  <si>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casa dos motores chapeco</t>
  </si>
  <si>
    <t>01.605.298/0001-26</t>
  </si>
  <si>
    <t>CASEPAFE-CENTRO DE ASS.SOCIAL EVANG. PALAVRA DE FE</t>
  </si>
  <si>
    <t>04.439.432/0001-54</t>
  </si>
  <si>
    <t>CASSIA SILVA PATRICIO</t>
  </si>
  <si>
    <t>474.287.718-70</t>
  </si>
  <si>
    <t>CASSIANA DIEZ ALVES</t>
  </si>
  <si>
    <t>290.853.868-70</t>
  </si>
  <si>
    <t>CASSIANO RAGAGNIN</t>
  </si>
  <si>
    <t>283.468.498-77</t>
  </si>
  <si>
    <t>CASSIANO RAMOS GONZALEZ</t>
  </si>
  <si>
    <t>528.341.948-74</t>
  </si>
  <si>
    <t>CASSILAINE MENDES LIMA</t>
  </si>
  <si>
    <t>098.491.886-85</t>
  </si>
  <si>
    <t>CASSIO AUGUSTO CANCELLA VIEIRA</t>
  </si>
  <si>
    <t>077.607.996-40</t>
  </si>
  <si>
    <t>CASSIO DE OLIVEIRA MORAIS</t>
  </si>
  <si>
    <t>408.277.038-05</t>
  </si>
  <si>
    <t>CASSIO FERNANDO PINHEIRO URANO</t>
  </si>
  <si>
    <t>173.260.238-75</t>
  </si>
  <si>
    <t>CASTELLO LOCACOES AUDIOVISUAIS LTDA-ME</t>
  </si>
  <si>
    <t>06.202.651/0001-40</t>
  </si>
  <si>
    <t>CASTRO &amp; SANTOS CONTROLADORA DE PRA</t>
  </si>
  <si>
    <t>19.343.311/0001-81</t>
  </si>
  <si>
    <t>CASTRO ARANTES QUIMICAS INDUSTRIAL LTDA</t>
  </si>
  <si>
    <t>11.202.638/0001-21</t>
  </si>
  <si>
    <t>CASTRO E CASTRO COMERCIO E IMPORTACAO LTDA</t>
  </si>
  <si>
    <t>08.198.623/0002-03</t>
  </si>
  <si>
    <t>CATARINA APOLINARIO DOS SANTOS</t>
  </si>
  <si>
    <t>476.117.239-87</t>
  </si>
  <si>
    <t>Cauã Braga Moreira Rabello</t>
  </si>
  <si>
    <t>135.791.157-23</t>
  </si>
  <si>
    <t>Cauã Davi Bazilio Gonçalves de Almeida</t>
  </si>
  <si>
    <t>411.350.528-40</t>
  </si>
  <si>
    <t>CAUÃ DURVAL DOS SANTOS</t>
  </si>
  <si>
    <t>571.614.098-02</t>
  </si>
  <si>
    <t>CAUANE CRISTINA DOS SANTOS</t>
  </si>
  <si>
    <t>494.113.078-25</t>
  </si>
  <si>
    <t>CAUANE GONCALVES DE OLIVEIRA</t>
  </si>
  <si>
    <t>489.834.528-03</t>
  </si>
  <si>
    <t>Cauane Merielen dos Santos Américo</t>
  </si>
  <si>
    <t>574.781.888-00</t>
  </si>
  <si>
    <t>Cauane Paula Miranda da Silva</t>
  </si>
  <si>
    <t>182.599.397-11</t>
  </si>
  <si>
    <t>Cauê Brandão dos Santos</t>
  </si>
  <si>
    <t>519.001.788-50</t>
  </si>
  <si>
    <t>CAUE DA SILVA LAURENTINO</t>
  </si>
  <si>
    <t>433.808.658-00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</si>
  <si>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</si>
  <si>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</si>
  <si>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</si>
  <si>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</si>
  <si>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</si>
  <si>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</si>
  <si>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C&amp;B COMERCIO DE ROUPAS E CONFECCOES LTDA</t>
  </si>
  <si>
    <t>19.923.430/0001-03</t>
  </si>
  <si>
    <t>CBAA ASFALTOS LTDA</t>
  </si>
  <si>
    <t>05.099.585/0006-77</t>
  </si>
  <si>
    <t>C.B.S. MEDICO CIENTIFICA LTDA</t>
  </si>
  <si>
    <t>48.791.685/0001-68</t>
  </si>
  <si>
    <t>CBTS COMERCIAL BRASILEIRA DE TUBOS  E SANEAMENTO EIRELI.- EPP</t>
  </si>
  <si>
    <t>00.869.442/0001-79</t>
  </si>
  <si>
    <t>CCFP SERVICOS DE TECNOLOGIA DA INFORMACAO LTDA</t>
  </si>
  <si>
    <t>26.014.866/0001-45</t>
  </si>
  <si>
    <t>CCR - CENTRAL DAS COOPERATIVAS DE RESIDUOS SOLIDOS DE SAO JOSE DOS CAMPOS</t>
  </si>
  <si>
    <t>28.906.260/0001-40</t>
  </si>
  <si>
    <t>CCX SOLUCOES LTDA</t>
  </si>
  <si>
    <t>56.046.878/0001-12</t>
  </si>
  <si>
    <t>CDB COMERCIO E SERVICOS LTDA</t>
  </si>
  <si>
    <t>32.234.829/0001-45</t>
  </si>
  <si>
    <t>CEAN LOPES DE MATOS</t>
  </si>
  <si>
    <t>735.496.812-91</t>
  </si>
  <si>
    <t>CECILIA LADEIA SANTANA</t>
  </si>
  <si>
    <t>124.971.786-82</t>
  </si>
  <si>
    <t>CECILIA MARIA DE SOUZA CALIXTO</t>
  </si>
  <si>
    <t>976.726.888-04</t>
  </si>
  <si>
    <t>CECILIA PEREIRA</t>
  </si>
  <si>
    <t>215.352.128-96</t>
  </si>
  <si>
    <t>CEIME - SERVICOS, SOLUCOES E COMERCIO DE INSTRUMENTOS LTDA</t>
  </si>
  <si>
    <t>33.699.134/0001-00</t>
  </si>
  <si>
    <t>CELEBRAR COBRANCA E CONSULTORIA LTDA ME</t>
  </si>
  <si>
    <t>22.106.571/0001-48</t>
  </si>
  <si>
    <t>CELIA APARECIDA DE SOUZA</t>
  </si>
  <si>
    <t>099.353.178-46</t>
  </si>
  <si>
    <t>CELIA APARECIDA RAMOS</t>
  </si>
  <si>
    <t>080.970.268-13</t>
  </si>
  <si>
    <t>CELIA CRISTINA DE SOUSA RAMOS</t>
  </si>
  <si>
    <t>159.426.668-90</t>
  </si>
  <si>
    <t>CELIA DA SILVA OLIVEIRA</t>
  </si>
  <si>
    <t>044.186.508-90</t>
  </si>
  <si>
    <t>CÉLIA DO ESPÍRITO SANTO DE JESUS</t>
  </si>
  <si>
    <t>138.401.028-98</t>
  </si>
  <si>
    <t>CELIA FATIMA TAVARES BATISTA PEREIRA</t>
  </si>
  <si>
    <t>291.534.018-83</t>
  </si>
  <si>
    <t>CELIA FELIPE DOS SANTOS</t>
  </si>
  <si>
    <t>322.119.868-03</t>
  </si>
  <si>
    <t>CELIA REGINA FERREIRA BITTENCOURT</t>
  </si>
  <si>
    <t>284.225.878-90</t>
  </si>
  <si>
    <t>CELIANA RODRIGUES VITORIO CARVALHO</t>
  </si>
  <si>
    <t>218.653.248-41</t>
  </si>
  <si>
    <t>CELIANE VICTORIA CANDIDO DA SILVA</t>
  </si>
  <si>
    <t>436.129.998-69</t>
  </si>
  <si>
    <t>CELIO FERREIRA</t>
  </si>
  <si>
    <t>055.280.688-94</t>
  </si>
  <si>
    <t>CELLIER ALIMENTOS DO BRASIL LTDA</t>
  </si>
  <si>
    <t>64.812.373/0001-40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</si>
  <si>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</si>
  <si>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</si>
  <si>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</si>
  <si>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</si>
  <si>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</si>
  <si>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</si>
  <si>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</si>
  <si>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</si>
  <si>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RIBEIRO DE MORAES</t>
  </si>
  <si>
    <t>071.289.548-56</t>
  </si>
  <si>
    <t>CELSO RICARDO DE ABREU</t>
  </si>
  <si>
    <t>214.861.898-90</t>
  </si>
  <si>
    <t>CELSO RICARDO DE JESUS</t>
  </si>
  <si>
    <t>185.649.878-64</t>
  </si>
  <si>
    <t>CELSO WASHINGTON DOS SANTOS</t>
  </si>
  <si>
    <t>249.026.768-00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</si>
  <si>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</si>
  <si>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</si>
  <si>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</si>
  <si>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</si>
  <si>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</si>
  <si>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</si>
  <si>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CENTERLAB CENTRAL LABORATORIOS LTDA</t>
  </si>
  <si>
    <t>56.036.718/0001-92</t>
  </si>
  <si>
    <t>CENTERMEDI COMERCIO DE PRODUTOS HOSPITALARES LTDA</t>
  </si>
  <si>
    <t>03.652.030/0001-70</t>
  </si>
  <si>
    <t>CENTRAL BRASIL INSTRUMENTOS DE MEDICAO LTDA</t>
  </si>
  <si>
    <t>21.137.143/0001-10</t>
  </si>
  <si>
    <t>CENTRALINF DIGITALIZACAO E SOLUCOES EM GED LTDA</t>
  </si>
  <si>
    <t>07.086.850/0001-01</t>
  </si>
  <si>
    <t>CENTRO AUTOMOTIVO ANDERSON DE OLIVEIRA LTDA</t>
  </si>
  <si>
    <t>09.489.128/0001-35</t>
  </si>
  <si>
    <t>CENTRO DANDARA DE PROMOTORAS LEGAIS POPULARES</t>
  </si>
  <si>
    <t>05.054.061/0001-55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</si>
  <si>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</si>
  <si>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</si>
  <si>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</si>
  <si>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</si>
  <si>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ESTUDOS E PESQUISAS DR JOAO AMORIM</t>
  </si>
  <si>
    <t>66.518.267/0047-66</t>
  </si>
  <si>
    <t>66.518.267/0043-32</t>
  </si>
  <si>
    <t>CENTRO DE FISIOTERAPIA MONTE SINAI LTDA - ME</t>
  </si>
  <si>
    <t>10.842.197/0001-60</t>
  </si>
  <si>
    <t>10.842.197/0002-40</t>
  </si>
  <si>
    <t>CENTRO DE INTEGRACAO EMPRESA ESCOLA - CIEE</t>
  </si>
  <si>
    <t>61.600.839/0002-36</t>
  </si>
  <si>
    <t>CENTRO DE OFTALMOLOGIA ESPECIALIZADA SCANNAVINO LTDA</t>
  </si>
  <si>
    <t>97.543.298/0001-18</t>
  </si>
  <si>
    <t>CENTRO DE VALORIZACAO DA VIDA</t>
  </si>
  <si>
    <t>61.956.496/0002-47</t>
  </si>
  <si>
    <t>CENTRO DE VALORIZAÇÃO DA VIDA</t>
  </si>
  <si>
    <t>61.956.496/0001-66</t>
  </si>
  <si>
    <t>CENTRO DIAGNOSTICO ANDRADE LTDA</t>
  </si>
  <si>
    <t>07.185.057/0001-51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</si>
  <si>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</si>
  <si>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</si>
  <si>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</si>
  <si>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</si>
  <si>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</si>
  <si>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</si>
  <si>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</si>
  <si>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</si>
  <si>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</si>
  <si>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</si>
  <si>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 VETERINÁRIO PAIOL SÃO JOSÉ DOS CAMPOS LTDA</t>
  </si>
  <si>
    <t>49.247.749/0001-27</t>
  </si>
  <si>
    <t>CENTROESTE CARNES E DERIVADOS LTDA</t>
  </si>
  <si>
    <t>03.802.108/0001-96</t>
  </si>
  <si>
    <t>CENTRUMED EQUIPAMENTOS HOSPITALARES E MATERIAIS DESCARTAVEIS EIRELI</t>
  </si>
  <si>
    <t>23.237.834/0001-10</t>
  </si>
  <si>
    <t>CEPALAB LABORATORIOS S.A</t>
  </si>
  <si>
    <t>02.248.312/0001-44</t>
  </si>
  <si>
    <t>CERRO TORRE EQUIPAMENTOS ESPORTIVOS EIRELI</t>
  </si>
  <si>
    <t>18.534.947/0001-48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</si>
  <si>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</si>
  <si>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</si>
  <si>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</si>
  <si>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</si>
  <si>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</si>
  <si>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</si>
  <si>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Costa</t>
  </si>
  <si>
    <t>072.924.011-80</t>
  </si>
  <si>
    <t>CESAR AUGUSTO MOREIRA DA SILVA</t>
  </si>
  <si>
    <t>183.455.118-80</t>
  </si>
  <si>
    <t xml:space="preserve">CESAR AUGUSTO PEREIRA FLORENTINO	</t>
  </si>
  <si>
    <t>367.125.858-64</t>
  </si>
  <si>
    <t>CESAR AUGUSTO VILELA</t>
  </si>
  <si>
    <t>369.099.298-29</t>
  </si>
  <si>
    <t>CESAR FERNANDES AFONSO</t>
  </si>
  <si>
    <t>375.389.888-07</t>
  </si>
  <si>
    <t>CESAR RICARDO RABELO AMORIM</t>
  </si>
  <si>
    <t>159.514.678-45</t>
  </si>
  <si>
    <t>CESCORF EQUIPAMENTOS PARA ESPORTE LTDA</t>
  </si>
  <si>
    <t>87.965.893/0001-98</t>
  </si>
  <si>
    <t>CETESB COMPANHIA AMBIENTAL DO ESTADO DE SAO PAULO</t>
  </si>
  <si>
    <t>43.776.491/0001-70</t>
  </si>
  <si>
    <t>CG IMOVEIS E PARTICIPACOES LTDA EPP</t>
  </si>
  <si>
    <t>83.544.718/0001-76</t>
  </si>
  <si>
    <t>CGK SISTEMAS DE INFORMAÇÃO LTDA.</t>
  </si>
  <si>
    <t>91.421.511/0001-32</t>
  </si>
  <si>
    <t>CHAIENE BENEVIDES CHARA</t>
  </si>
  <si>
    <t>393.501.718-99</t>
  </si>
  <si>
    <t>CHARLES BERGER LOPES JUNIOR</t>
  </si>
  <si>
    <t>528.831.858-16</t>
  </si>
  <si>
    <t>CHARLES DE SOUZA</t>
  </si>
  <si>
    <t>225.136.538-90</t>
  </si>
  <si>
    <t>CHARLES EDUARDO DA SILVA SERVIÇOS AUTOMOTIVOS</t>
  </si>
  <si>
    <t>12.126.731/0001-67</t>
  </si>
  <si>
    <t>CHARLES OENDER MONTEIRO SILVA</t>
  </si>
  <si>
    <t>352.831.088-05</t>
  </si>
  <si>
    <t>Charles Pedro Pinto</t>
  </si>
  <si>
    <t>061.101.646-07</t>
  </si>
  <si>
    <t>CHARLES PIRES LOPES</t>
  </si>
  <si>
    <t>374.650.128-80</t>
  </si>
  <si>
    <t>Charles Vilas Boas Simoes</t>
  </si>
  <si>
    <t>336.432.058-64</t>
  </si>
  <si>
    <t>CHAVEIRO DO VALE COML LTDA ME</t>
  </si>
  <si>
    <t>00.862.949/0001-09</t>
  </si>
  <si>
    <t>CHAYENNE THAMIRIS SILVA RIBEIRO</t>
  </si>
  <si>
    <t>467.178.488-20</t>
  </si>
  <si>
    <t>CHIESI FARMACEUTICA LTDA</t>
  </si>
  <si>
    <t>61.363.032/0015-41</t>
  </si>
  <si>
    <t>CHILLER BRASIL AR CONDICIONADO LTDA</t>
  </si>
  <si>
    <t>53.243.938/0001-07</t>
  </si>
  <si>
    <t>CHIONE MOREIRA KAXIMOTO</t>
  </si>
  <si>
    <t>345.379.218-11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</si>
  <si>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</si>
  <si>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</si>
  <si>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</si>
  <si>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</si>
  <si>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</si>
  <si>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</si>
  <si>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AMARO RANGEL</t>
  </si>
  <si>
    <t>837.395.134-20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</si>
  <si>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</si>
  <si>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</si>
  <si>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</si>
  <si>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</si>
  <si>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</si>
  <si>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</si>
  <si>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JHONADABE S. MACHADO</t>
  </si>
  <si>
    <t>459.774.038-44</t>
  </si>
  <si>
    <t>CHRISTIAN LACERDA VIEIRA SOCIEDADE INDIVIDUAL DE ADVOCACIA</t>
  </si>
  <si>
    <t>30.568.850/0001-51</t>
  </si>
  <si>
    <t>Christian Pontes Tavares</t>
  </si>
  <si>
    <t>137.008.447-19</t>
  </si>
  <si>
    <t>CHRISTIAN RODRIGUES SOTERO</t>
  </si>
  <si>
    <t>360.975.018-97</t>
  </si>
  <si>
    <t>CHRISTIANA DOS SANTOS CABRAL</t>
  </si>
  <si>
    <t>882.036.622-34</t>
  </si>
  <si>
    <t>CHRISTIANE APARECIDA RODRIGUES</t>
  </si>
  <si>
    <t>407.002.868-45</t>
  </si>
  <si>
    <t>CHRISTIANE CAETANO DIAS</t>
  </si>
  <si>
    <t>885.368.827-00</t>
  </si>
  <si>
    <t>CHRISTIANO RIBEIRO DA SILVA</t>
  </si>
  <si>
    <t>278.344.888-21</t>
  </si>
  <si>
    <t>CHRISTINE SILVA ROSKOWINSKI</t>
  </si>
  <si>
    <t>407.492.918-00</t>
  </si>
  <si>
    <t>CHRISTOPHER HANI COSTA SOUSA</t>
  </si>
  <si>
    <t>121.385.227-76</t>
  </si>
  <si>
    <t>CHRISTOPHER RAFAEL SEGURA</t>
  </si>
  <si>
    <t>599.435.178-40</t>
  </si>
  <si>
    <t>CHRYSTIANE MENDES BICUDO</t>
  </si>
  <si>
    <t>072.442.508-00</t>
  </si>
  <si>
    <t>CIA DA FLOR LTDA</t>
  </si>
  <si>
    <t>13.164.990/0001-45</t>
  </si>
  <si>
    <t>CIA DE SANEAMENTO BASICO DO ESTADO DE SAO PAULO  SABESP</t>
  </si>
  <si>
    <t>43.776.517/0001-80</t>
  </si>
  <si>
    <t>CIAMED DISTRIBUIDORA DE MEDICAMENTOS LTDA</t>
  </si>
  <si>
    <t>05.782.733/0001-49</t>
  </si>
  <si>
    <t>05.782.733/0002-20</t>
  </si>
  <si>
    <t>CIBELE ANDREIA GONCALVES</t>
  </si>
  <si>
    <t>263.246.028-00</t>
  </si>
  <si>
    <t>CIBELE PRISCILA DA SILVA</t>
  </si>
  <si>
    <t>318.252.288-41</t>
  </si>
  <si>
    <t>CICERA APARECIDA DE FREITAS</t>
  </si>
  <si>
    <t>886.219.446-34</t>
  </si>
  <si>
    <t>CICERO EVANDRO ACIOLE</t>
  </si>
  <si>
    <t>022.236.644-31</t>
  </si>
  <si>
    <t>CICERO HENRIQUE PEDRO SARMENTO  25127504855</t>
  </si>
  <si>
    <t>29.126.337/0001-21</t>
  </si>
  <si>
    <t>CICERO LOURENÇO DA CRUZ SILVA</t>
  </si>
  <si>
    <t>253.320.968-60</t>
  </si>
  <si>
    <t>CICERO LUIZ DA SILVA</t>
  </si>
  <si>
    <t>109.767.268-90</t>
  </si>
  <si>
    <t>CICERO MANOEL PEREIRA</t>
  </si>
  <si>
    <t>069.192.404-08</t>
  </si>
  <si>
    <t>CICERO VIEIRA FAGUNDES</t>
  </si>
  <si>
    <t>213.678.728-47</t>
  </si>
  <si>
    <t>CIDADE NATUREZA TRANSPORTES E TURISMO EIRELI EPP</t>
  </si>
  <si>
    <t>53.401.659/0001-16</t>
  </si>
  <si>
    <t>CIDINEI APARECIDA BORGES DA COSTA</t>
  </si>
  <si>
    <t>150.241.098-21</t>
  </si>
  <si>
    <t>CIENTIFICALAB PRODUTOS LABORATORIAIS E SISTEMAS LTDA</t>
  </si>
  <si>
    <t>04.539.279/0001-37</t>
  </si>
  <si>
    <t>CIEX DO BRASIL INDUSTRIA E COMERCIO DE PRODUTOS CIRURGICOS LTDA</t>
  </si>
  <si>
    <t>93.480.192/0001-61</t>
  </si>
  <si>
    <t>CILEIA DE CASSIA PEREIRA</t>
  </si>
  <si>
    <t>934.686.106-10</t>
  </si>
  <si>
    <t>CIMED INDUSTRIA S.A.</t>
  </si>
  <si>
    <t>02.814.497/0007-00</t>
  </si>
  <si>
    <t>02.814.497/0012-60</t>
  </si>
  <si>
    <t>CINDY DE SOUZA BRANDAO</t>
  </si>
  <si>
    <t>219.401.668-61</t>
  </si>
  <si>
    <t>CINTHIA BONATO ZAGATTO</t>
  </si>
  <si>
    <t>406.887.978-81</t>
  </si>
  <si>
    <t>CINTHIA GOMES CHAGAS</t>
  </si>
  <si>
    <t>429.515.388-55</t>
  </si>
  <si>
    <t>CINTHIA LUANA DA SILVA CORREIA NASCIMENTO</t>
  </si>
  <si>
    <t>438.004.448-36</t>
  </si>
  <si>
    <t>CINTHIA SCARPA BUSTAMANTE BARUEL</t>
  </si>
  <si>
    <t>220.045.258-60</t>
  </si>
  <si>
    <t>CINTIA APARECIDA BRITO MELEGARI</t>
  </si>
  <si>
    <t>217.900.078-28</t>
  </si>
  <si>
    <t>CINTIA CRISTINA COSTA</t>
  </si>
  <si>
    <t>400.564.128-86</t>
  </si>
  <si>
    <t>CINTIA FIRMINO COSTA GONÇALVES</t>
  </si>
  <si>
    <t>387.951.178-06</t>
  </si>
  <si>
    <t>Cíntia Guimarães Gomes de Toledo</t>
  </si>
  <si>
    <t>274.770.368-10</t>
  </si>
  <si>
    <t>CINTIA MARA DA SILVA REIS LIMA</t>
  </si>
  <si>
    <t>274.581.668-35</t>
  </si>
  <si>
    <t>CINTIA RIBEIRO NASCIMENTO DOS SANTOS</t>
  </si>
  <si>
    <t>325.233.618-92</t>
  </si>
  <si>
    <t>CINTRA &amp; IKEGAWA MATERIAIS DE CONSTRUCOES LTDA ME</t>
  </si>
  <si>
    <t>11.576.245/0001-88</t>
  </si>
  <si>
    <t>CIRO OSMAR EGIDIO FERREIRA</t>
  </si>
  <si>
    <t>502.613.636-20</t>
  </si>
  <si>
    <t>CIRO PIVA  DOS SANTOS SILVA</t>
  </si>
  <si>
    <t>312.151.848-83</t>
  </si>
  <si>
    <t>CIRURGICA OLIMPIO - LTDA</t>
  </si>
  <si>
    <t>01.140.868/0001-50</t>
  </si>
  <si>
    <t>CIRURGICA SAO FELIPE PRODUTOS PARA SAUDE LTDA</t>
  </si>
  <si>
    <t>07.626.776/0001-60</t>
  </si>
  <si>
    <t>CIRURGICA SAO JOSE LTDA</t>
  </si>
  <si>
    <t>55.309.074/0001-04</t>
  </si>
  <si>
    <t>CIRURGICA ULTRAMED COMERCIO DE EQUIPAMENTOS MEDICOS E HOSPITALARES LTDA</t>
  </si>
  <si>
    <t>51.639.559/0001-05</t>
  </si>
  <si>
    <t>CIRURGICA UNIAO LTDA</t>
  </si>
  <si>
    <t>04.063.331/0001-21</t>
  </si>
  <si>
    <t>CIRUVALE COMERCIO DE MATERIAL CIRURGICO LTDA</t>
  </si>
  <si>
    <t>48.286.728/0001-58</t>
  </si>
  <si>
    <t>CIRUWAL ATACADISTA LTDA</t>
  </si>
  <si>
    <t>58.251.076/0001-70</t>
  </si>
  <si>
    <t>CITY CLEAN COM. EQUIPAMENTOS LTDA</t>
  </si>
  <si>
    <t>48.256.518/0001-17</t>
  </si>
  <si>
    <t>CJG OBRAS E TERRAPLANAGEM LTDA</t>
  </si>
  <si>
    <t>24.869.086/0001-51</t>
  </si>
  <si>
    <t>C.L.A TRANSPORTES DE PASSAGEIROS LTDA</t>
  </si>
  <si>
    <t>21.919.463/0001-21</t>
  </si>
  <si>
    <t>CLARA CAMAROZANO OLIVEIRA</t>
  </si>
  <si>
    <t>397.367.988-60</t>
  </si>
  <si>
    <t>CLARA CAMILA DE SOUZA BORGES</t>
  </si>
  <si>
    <t>709.349.414-59</t>
  </si>
  <si>
    <t>Clara Fabiana Sartori de Sousa</t>
  </si>
  <si>
    <t>386.132.918-21</t>
  </si>
  <si>
    <t>Clara França de Alcantara Rosa</t>
  </si>
  <si>
    <t>492.607.658-62</t>
  </si>
  <si>
    <t>CLARA NOBREGA DE BARROS</t>
  </si>
  <si>
    <t>095.191.564-96</t>
  </si>
  <si>
    <t>CLARALANE DE AS FERREIRA</t>
  </si>
  <si>
    <t>082.796.745-43</t>
  </si>
  <si>
    <t>CLARICE DE JESUS DE SILVESTRE</t>
  </si>
  <si>
    <t>380.459.138-86</t>
  </si>
  <si>
    <t>CLARICE ROCHA ARESTA</t>
  </si>
  <si>
    <t>073.689.277-05</t>
  </si>
  <si>
    <t>CLARICE RODRIGUES</t>
  </si>
  <si>
    <t>199.247.828-79</t>
  </si>
  <si>
    <t>CLARICY LAVINIA SANTOS SILVA</t>
  </si>
  <si>
    <t>534.001.258-14</t>
  </si>
  <si>
    <t>CLARISSA SALLES COSTA FERREIRA</t>
  </si>
  <si>
    <t>052.844.177-98</t>
  </si>
  <si>
    <t>CLARO NXT TELECOMUNICACOES S/A</t>
  </si>
  <si>
    <t>66.970.229/0001-67</t>
  </si>
  <si>
    <t>CLARO S.A.</t>
  </si>
  <si>
    <t>40.432.544/0001-47</t>
  </si>
  <si>
    <t>CLARYSSE LOPES CARDOSO</t>
  </si>
  <si>
    <t>442.429.238-05</t>
  </si>
  <si>
    <t>CLASI TRANSPORTES LTDA ME</t>
  </si>
  <si>
    <t>06.232.957/0001-40</t>
  </si>
  <si>
    <t>CLAUDECIR GUSSAO</t>
  </si>
  <si>
    <t>287.170.348-50</t>
  </si>
  <si>
    <t>CLAUDEMIR DE SOUSA</t>
  </si>
  <si>
    <t>183.821.278-78</t>
  </si>
  <si>
    <t>CLAUDEMIR FLORENTINO DA SILVA</t>
  </si>
  <si>
    <t>121.841.478-26</t>
  </si>
  <si>
    <t>CLAUDEMIR RUFINO</t>
  </si>
  <si>
    <t>062.535.118-58</t>
  </si>
  <si>
    <t>CLAUDENICE DA SILVA MIRANDA</t>
  </si>
  <si>
    <t>071.294.878-36</t>
  </si>
  <si>
    <t>CLAUDETE APARECIDA XAVIER</t>
  </si>
  <si>
    <t>093.948.148-09</t>
  </si>
  <si>
    <t>CLAUDETE BENEDITA ALVES</t>
  </si>
  <si>
    <t>072.401.138-25</t>
  </si>
  <si>
    <t>CLAUDETE FERNANDES BONIMANI</t>
  </si>
  <si>
    <t>019.312.058-50</t>
  </si>
  <si>
    <t>CLAUDETE MOREIRA DA SILVA</t>
  </si>
  <si>
    <t>385.469.758-92</t>
  </si>
  <si>
    <t>CLAUDIA APARECIDA DE MORAES ALMEIDA</t>
  </si>
  <si>
    <t>216.345.118-67</t>
  </si>
  <si>
    <t>CLAUDIA APARECIDA DE OLIVEIRA MAIA</t>
  </si>
  <si>
    <t>382.927.548-06</t>
  </si>
  <si>
    <t>CLAUDIA APARECIDA PEDROSO COSTERMANI</t>
  </si>
  <si>
    <t>258.558.938-20</t>
  </si>
  <si>
    <t>CLAUDIA DA PENHA MACHADO SOUZA</t>
  </si>
  <si>
    <t>162.839.238-01</t>
  </si>
  <si>
    <t>CLAUDIA MARIA SILVA MELEGARI</t>
  </si>
  <si>
    <t>731.491.873-20</t>
  </si>
  <si>
    <t>CLAUDIA MATTIOTTI DE OLIVEIRA BONNET</t>
  </si>
  <si>
    <t>098.674.778-55</t>
  </si>
  <si>
    <t>CLAUDIA REGINA DE LIMA</t>
  </si>
  <si>
    <t>144.664.828-10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</si>
  <si>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</si>
  <si>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</si>
  <si>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</si>
  <si>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</si>
  <si>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</si>
  <si>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</si>
  <si>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Claudia Satomi Tahira Takasaki</t>
  </si>
  <si>
    <t>173.671.868-17</t>
  </si>
  <si>
    <t>CLAUDIA VALERIA FERREIRA COSTA</t>
  </si>
  <si>
    <t>082.098.788-32</t>
  </si>
  <si>
    <t>CLAUDIA VALERIA RODRIGUES</t>
  </si>
  <si>
    <t>270.793.208-60</t>
  </si>
  <si>
    <t>CLAUDIANE PEREIRA RIEHL DA SILVA</t>
  </si>
  <si>
    <t>235.890.848-71</t>
  </si>
  <si>
    <t>CLAUDIANE SEVERINA DE LIMA</t>
  </si>
  <si>
    <t>199.117.798-40</t>
  </si>
  <si>
    <t>CLAUDICEIA MEIRE DOS SANTOS</t>
  </si>
  <si>
    <t>369.278.358-22</t>
  </si>
  <si>
    <t>CLAUDIELEN MORAIS FELIX</t>
  </si>
  <si>
    <t>362.759.688-93</t>
  </si>
  <si>
    <t>CLAUDINEI MARCELINO</t>
  </si>
  <si>
    <t>183.824.348-86</t>
  </si>
  <si>
    <t>CLAUDINEI MARCOS RODRIGUES DE OLIVEIRA</t>
  </si>
  <si>
    <t>292.942.358-74</t>
  </si>
  <si>
    <t>CLAUDINEI MONTE SIAO</t>
  </si>
  <si>
    <t>265.098.238-10</t>
  </si>
  <si>
    <t>CLAUDIO ALEXANDRE SOARES</t>
  </si>
  <si>
    <t>050.930.398-61</t>
  </si>
  <si>
    <t>CLAUDIO ANTONIO AULISIO MAIA</t>
  </si>
  <si>
    <t>052.693.368-20</t>
  </si>
  <si>
    <t>CLAUDIO BATISTA TEIXEIRA</t>
  </si>
  <si>
    <t>323.164.478-05</t>
  </si>
  <si>
    <t>CLAUDIO BRINO</t>
  </si>
  <si>
    <t>040.431.118-00</t>
  </si>
  <si>
    <t>CLAUDIO CALASANS CAMARGO</t>
  </si>
  <si>
    <t>044.186.908-40</t>
  </si>
  <si>
    <t>CLAUDIO CALASANS CAMARGO JUNIOR</t>
  </si>
  <si>
    <t>321.522.288-47</t>
  </si>
  <si>
    <t>CLAUDIO DA LUZ DE SOUZA</t>
  </si>
  <si>
    <t>121.826.008-41</t>
  </si>
  <si>
    <t>CLAUDIO GOMES DA SILVA</t>
  </si>
  <si>
    <t>268.070.208-56</t>
  </si>
  <si>
    <t>CLAUDIO HENRIQUE MENDONCA</t>
  </si>
  <si>
    <t>052.707.268-07</t>
  </si>
  <si>
    <t>CLAUDIO JOSE VIEIRA DE SALLES PUPO</t>
  </si>
  <si>
    <t>663.982.667-49</t>
  </si>
  <si>
    <t>CLAUDIO LESSA DE OLIVEIRA</t>
  </si>
  <si>
    <t>019.391.098-50</t>
  </si>
  <si>
    <t>CLÁUDIO LÚCIO REZENDE JACINTO</t>
  </si>
  <si>
    <t>025.663.238-36</t>
  </si>
  <si>
    <t>CLAUDIO LUIZ GIORDANI</t>
  </si>
  <si>
    <t>397.550.610-53</t>
  </si>
  <si>
    <t>CLAUDIO NATAL DE ARAUJO TEIXEIRA</t>
  </si>
  <si>
    <t>136.878.538-70</t>
  </si>
  <si>
    <t>CLAUDIO PEREIRA DE SOUSA</t>
  </si>
  <si>
    <t>711.416.425-49</t>
  </si>
  <si>
    <t>CLAUDIO PINHEIRO DA SILVA JUNIOR</t>
  </si>
  <si>
    <t>256.667.748-40</t>
  </si>
  <si>
    <t>CLAUDIO PINHEIRO DA SILVA JUNIOR 25666774840</t>
  </si>
  <si>
    <t>31.399.354/0001-84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</si>
  <si>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</si>
  <si>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</si>
  <si>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</si>
  <si>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</si>
  <si>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</si>
  <si>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</si>
  <si>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RODRIGUES FILHO</t>
  </si>
  <si>
    <t>887.566.618-00</t>
  </si>
  <si>
    <t>Claudio Vinicius Tomageski de Faria</t>
  </si>
  <si>
    <t>378.703.218-50</t>
  </si>
  <si>
    <t>CLAUDIO YUITI ANDO</t>
  </si>
  <si>
    <t>162.781.168-04</t>
  </si>
  <si>
    <t>CLAUDIRENE MARIA CEZAR</t>
  </si>
  <si>
    <t>314.693.338-13</t>
  </si>
  <si>
    <t>CLAYTON ALVES DE ALMEIDA</t>
  </si>
  <si>
    <t>222.383.358-62</t>
  </si>
  <si>
    <t>CLAYTON DOS REIS MALERBA</t>
  </si>
  <si>
    <t>230.368.838-86</t>
  </si>
  <si>
    <t>CLAYTON JAIR MENDES FRANCISCO</t>
  </si>
  <si>
    <t>334.157.038-19</t>
  </si>
  <si>
    <t>CLAYTON MARTINS DE TOLEDO</t>
  </si>
  <si>
    <t>277.627.238-38</t>
  </si>
  <si>
    <t>CLAYTON RODOLFO DE ALMEIDA</t>
  </si>
  <si>
    <t>389.275.768-29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</si>
  <si>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</si>
  <si>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</si>
  <si>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</si>
  <si>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</si>
  <si>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</si>
  <si>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</si>
  <si>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</si>
  <si>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</si>
  <si>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</si>
  <si>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</si>
  <si>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</si>
  <si>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</si>
  <si>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DOS SANTOS ARAUJO</t>
  </si>
  <si>
    <t>669.616.532-00</t>
  </si>
  <si>
    <t>CLEBERSON MARCELLO BATISTA</t>
  </si>
  <si>
    <t>434.478.428-65</t>
  </si>
  <si>
    <t>CLEBIANA RODRIGUES BATISTA</t>
  </si>
  <si>
    <t>340.880.868-64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</si>
  <si>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</si>
  <si>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</si>
  <si>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</si>
  <si>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</si>
  <si>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</si>
  <si>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</si>
  <si>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CLEDSON LUIZ VANDERLEI CALACA</t>
  </si>
  <si>
    <t>375.429.418-01</t>
  </si>
  <si>
    <t>CLEIDE ALVES DE LIMA MARTINS</t>
  </si>
  <si>
    <t>104.336.018-25</t>
  </si>
  <si>
    <t>CLEIDE ANGELO GOMES</t>
  </si>
  <si>
    <t>374.289.068-90</t>
  </si>
  <si>
    <t>CLEIDE APARECIDA BATIM DE LIMA</t>
  </si>
  <si>
    <t>215.235.068-57</t>
  </si>
  <si>
    <t>CLEIDE SILVA DE SOUSA</t>
  </si>
  <si>
    <t>276.211.678-31</t>
  </si>
  <si>
    <t>CLEIDE SOUSA SILVA BARROS</t>
  </si>
  <si>
    <t>671.593.035-04</t>
  </si>
  <si>
    <t>CLEIDEMARA DE LIMA MENINO</t>
  </si>
  <si>
    <t>347.052.978-73</t>
  </si>
  <si>
    <t>Cleidymara Gonçalves Guimarães Xavier</t>
  </si>
  <si>
    <t>448.919.008-57</t>
  </si>
  <si>
    <t>CLEITON FLAMINIO DA SILVA SANTOS</t>
  </si>
  <si>
    <t>297.450.468-09</t>
  </si>
  <si>
    <t>CLEITON LEMES BUENO DA COSTA</t>
  </si>
  <si>
    <t>224.424.238-20</t>
  </si>
  <si>
    <t>CLEITON RIBEIRO DO NASCIMENTO</t>
  </si>
  <si>
    <t>097.968.246-04</t>
  </si>
  <si>
    <t>CLEMESON SANOS FERREIRA</t>
  </si>
  <si>
    <t>493.186.368-06</t>
  </si>
  <si>
    <t>CLENIRA AMBROSIO LEITE</t>
  </si>
  <si>
    <t>005.318.068-20</t>
  </si>
  <si>
    <t>CLEODETE NUNES BRAZ</t>
  </si>
  <si>
    <t>248.001.858-07</t>
  </si>
  <si>
    <t>CLEONICE ANTONIA LOPES XAVIER</t>
  </si>
  <si>
    <t>098.618.068-81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</si>
  <si>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</si>
  <si>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</si>
  <si>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</si>
  <si>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</si>
  <si>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</si>
  <si>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</si>
  <si>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</si>
  <si>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</si>
  <si>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CLEUSA MORAIS DA SILVA</t>
  </si>
  <si>
    <t>109.829.088-73</t>
  </si>
  <si>
    <t>CLEUZA DIAS MARTINS</t>
  </si>
  <si>
    <t>745.977.790-00</t>
  </si>
  <si>
    <t>CLEVERSON LINKE JUNIOR</t>
  </si>
  <si>
    <t>375.466.618-54</t>
  </si>
  <si>
    <t>CLEYRE CARMEN DE LIMA - MATR. 27688-9</t>
  </si>
  <si>
    <t>144.726.908-02</t>
  </si>
  <si>
    <t>CLEZIA ELIAM MORAIS DAS FLORES SILVA</t>
  </si>
  <si>
    <t>163.744.548-20</t>
  </si>
  <si>
    <t>CLINICA CAVALIERI LTDA</t>
  </si>
  <si>
    <t>34.719.240/0001-62</t>
  </si>
  <si>
    <t>CLINICA DE AUDIOLOGIA PATRICIA DE SOUZA DIAS LTDA</t>
  </si>
  <si>
    <t>03.790.575/0001-43</t>
  </si>
  <si>
    <t>CLINICA DE AVALIACAO PSICOLOGICA MAZARIOLLI LTDA</t>
  </si>
  <si>
    <t>47.459.982/0001-48</t>
  </si>
  <si>
    <t>CLINICA DR. MARIO SERGIO LEONE CARREGOSA LTDA</t>
  </si>
  <si>
    <t>60.558.681/0001-30</t>
  </si>
  <si>
    <t>CLINICA INTEGRADA DRA. FABIANA BORGES ODONTOLOGIA LTDA</t>
  </si>
  <si>
    <t>37.666.270/0001-46</t>
  </si>
  <si>
    <t>CLINICA MARTINEZ &amp; KRUMENAUER LTDA</t>
  </si>
  <si>
    <t>22.120.088/0001-18</t>
  </si>
  <si>
    <t>CLINICA MAURIEN SENHORINI LTDA</t>
  </si>
  <si>
    <t>46.016.793/0001-38</t>
  </si>
  <si>
    <t>CLINICA MEDICA DRA. LUCIANA ALVARENGA CEDARO EIRELI</t>
  </si>
  <si>
    <t>23.490.877/0001-03</t>
  </si>
  <si>
    <t>CLINICA MULTIDISCIPLINAR SER &amp; SABER LTDA</t>
  </si>
  <si>
    <t>41.024.655/0001-87</t>
  </si>
  <si>
    <t>CLINICA NOGUEIRA SAÚDE ANIMAL LTDA</t>
  </si>
  <si>
    <t>31.500.639/0001-60</t>
  </si>
  <si>
    <t>CLINICA SATELITE  LTDA</t>
  </si>
  <si>
    <t>57.530.057/0001-10</t>
  </si>
  <si>
    <t>CLINICAO VETERINARIA FRANCHISING LTDA</t>
  </si>
  <si>
    <t>00.256.854/0001-33</t>
  </si>
  <si>
    <t>CLIQUE ESPORTE COMERCIO DE MATERIAIS ESPORTIVOS LTDA</t>
  </si>
  <si>
    <t>22.770.164/0001-30</t>
  </si>
  <si>
    <t>CLKM TRANSPORTES LTDA</t>
  </si>
  <si>
    <t>49.204.553/0001-55</t>
  </si>
  <si>
    <t>CLOVES PINTO DE MENDONCA JUNIOR</t>
  </si>
  <si>
    <t>229.134.718-70</t>
  </si>
  <si>
    <t>CLOVIS ROBERTO ALVES BARBOSA JUNIOR</t>
  </si>
  <si>
    <t>390.419.068-78</t>
  </si>
  <si>
    <t>CLS EXTINTORES E ENGENHARIA DE COMBATE A INCENDIO LTDA</t>
  </si>
  <si>
    <t>21.205.134/0001-19</t>
  </si>
  <si>
    <t>CLUBE DE CICLISMO DE SAO JOSE DOS CAMPOS</t>
  </si>
  <si>
    <t>04.252.371/0001-11</t>
  </si>
  <si>
    <t>CM DA SILVA REIS LIMA TRANSPORTES</t>
  </si>
  <si>
    <t>41.473.308/0001-31</t>
  </si>
  <si>
    <t>CM HOSPITALAR S. A.</t>
  </si>
  <si>
    <t>12.420.164/0021-09</t>
  </si>
  <si>
    <t>C.M. HOSPITALAR S.A.</t>
  </si>
  <si>
    <t>12.420.164/0001-57</t>
  </si>
  <si>
    <t>CM HOSPITALAR S.A.</t>
  </si>
  <si>
    <t>12.420.164/0005-80</t>
  </si>
  <si>
    <t>CMC - MODULOS CONSTRUTIVOS LTDA.</t>
  </si>
  <si>
    <t>10.279.488/0001-91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</si>
  <si>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</si>
  <si>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</si>
  <si>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</si>
  <si>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</si>
  <si>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</si>
  <si>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</si>
  <si>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</si>
  <si>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02.794.555/0005-01</t>
  </si>
  <si>
    <t>02.794.555/0004-20</t>
  </si>
  <si>
    <t>COMERCIAL &amp; SERVICOS COSTA LTDA</t>
  </si>
  <si>
    <t>39.324.214/0001-59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</si>
  <si>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</si>
  <si>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</si>
  <si>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</si>
  <si>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</si>
  <si>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ANGELO PRODUTOS PARA SAUDE LTDA</t>
  </si>
  <si>
    <t>42.493.755/0001-15</t>
  </si>
  <si>
    <t>COMERCIAL DEBECHE TEXTIL EIRELLI - ME</t>
  </si>
  <si>
    <t>08.974.702/0001-88</t>
  </si>
  <si>
    <t>COMERCIAL DENETOS PRODUTOS ALIMENTICIOS E DE LIMPEZA LTDA</t>
  </si>
  <si>
    <t>07.651.454/0001-71</t>
  </si>
  <si>
    <t>COMERCIAL LEMOS &amp; VIEIRA LTDA</t>
  </si>
  <si>
    <t>45.194.580/0001-33</t>
  </si>
  <si>
    <t>COMERCIAL NEW SPIDER LTDA</t>
  </si>
  <si>
    <t>48.189.254/0001-26</t>
  </si>
  <si>
    <t>COMERCIAL PABLOS LTDA</t>
  </si>
  <si>
    <t>40.851.102/0001-35</t>
  </si>
  <si>
    <t>COMERCIAL PROTE SOLDA DO V. EQUIP.DE PROT. EIRELI</t>
  </si>
  <si>
    <t>04.323.582/0001-06</t>
  </si>
  <si>
    <t>COMERCIAL RIFARMA DE MEDICAMENTOS LTDA</t>
  </si>
  <si>
    <t>39.906.592/0001-40</t>
  </si>
  <si>
    <t>COMERCIAL SUL MINEIRA DE ALIMENTOS LTDA</t>
  </si>
  <si>
    <t>11.478.867/0001-73</t>
  </si>
  <si>
    <t>COMERCIAL TEXTIL DFM EIRELI</t>
  </si>
  <si>
    <t>19.980.359/0001-09</t>
  </si>
  <si>
    <t>COMERCIAL TRITON FLEX LTDA -ME</t>
  </si>
  <si>
    <t>19.833.855/0001-21</t>
  </si>
  <si>
    <t>COMERCIAL 3 ALBE LTDA</t>
  </si>
  <si>
    <t>74.400.052/0001-91</t>
  </si>
  <si>
    <t>COMERCIO BOI BRASIL DE CARNES LTDA</t>
  </si>
  <si>
    <t>57.913.236/0001-36</t>
  </si>
  <si>
    <t>COMERCIO DE PRODUTOS DE LIMPEZA D. PRADO LTDA</t>
  </si>
  <si>
    <t>08.103.754/0001-89</t>
  </si>
  <si>
    <t>COMERCIO E INDUSTRIA DE PECAS DE METAIS E FUNDICAO BEST YORK LTDA</t>
  </si>
  <si>
    <t>10.725.811/0001-03</t>
  </si>
  <si>
    <t>COMGAS - CIA. DE GAS DE SAO PAULO</t>
  </si>
  <si>
    <t>61.856.571/0001-17</t>
  </si>
  <si>
    <t>COMPANHIA BRASILEIRA DE CARTUCHOS</t>
  </si>
  <si>
    <t>57.494.031/0001-63</t>
  </si>
  <si>
    <t>57.494.031/0010-54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</si>
  <si>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</si>
  <si>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</si>
  <si>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</si>
  <si>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</si>
  <si>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COMPANHIA DE PROCESSAMENTO DE DADOS DO ESTADO DE SAO PAULO - PRODESP</t>
  </si>
  <si>
    <t>62.577.929/0114-12</t>
  </si>
  <si>
    <t>COMPEC GALASSO ENGENHARIA CONSTRUÇOES LTDA</t>
  </si>
  <si>
    <t>09.033.330/0001-58</t>
  </si>
  <si>
    <t>COMPEX TECNOLOGIA LTDA</t>
  </si>
  <si>
    <t>03.391.625/0004-62</t>
  </si>
  <si>
    <t>COMPRANDOMAIS COMERCIO DE PESCADOS E PRODUTOS ALIMENTICIOS LTDA</t>
  </si>
  <si>
    <t>23.248.814/0001-45</t>
  </si>
  <si>
    <t>COMPREHENSE DO BRASIL  ENGENHARIA CLINICA  MANUTENÇAO E EQUIPAMENTOS HOSPITALARES LTDA</t>
  </si>
  <si>
    <t>08.441.389/0001-12</t>
  </si>
  <si>
    <t>COMUNIDADE TERAPEUTICA BOAS NOVAS</t>
  </si>
  <si>
    <t>20.716.225/0001-56</t>
  </si>
  <si>
    <t>CONDE HOLDINGS LTDA</t>
  </si>
  <si>
    <t>10.264.525/0001-98</t>
  </si>
  <si>
    <t>CONDOMINIO CONJUNTO SOLAR ANDORINHAS E SOLAR DOS COLIBRIS</t>
  </si>
  <si>
    <t>45.390.135/0001-49</t>
  </si>
  <si>
    <t>CONDOMINIO EDIFICIO ATLANTA</t>
  </si>
  <si>
    <t>03.592.454/0001-97</t>
  </si>
  <si>
    <t>CONDOMINIO EDIFICIO SAINT JAMES</t>
  </si>
  <si>
    <t>53.315.776/0001-67</t>
  </si>
  <si>
    <t>CONDOMINIO EDIFICIO TURIM</t>
  </si>
  <si>
    <t>69.112.324/0001-18</t>
  </si>
  <si>
    <t>CONDOMINIO MORADA DOS PASSAROS</t>
  </si>
  <si>
    <t>48.820.748/0001-67</t>
  </si>
  <si>
    <t>CONEKKTA TREINAMENTO E DESENVOLVIMENTO PROFISSIONAL LTDA</t>
  </si>
  <si>
    <t>22.480.270/0001-80</t>
  </si>
  <si>
    <t>CONFECTEX CONFECCOES LTDA</t>
  </si>
  <si>
    <t>42.937.652/0001-05</t>
  </si>
  <si>
    <t>CONFECTIL CONFECCOES DE MALHAS E UNIFORMES LTDA</t>
  </si>
  <si>
    <t>28.072.275/0001-50</t>
  </si>
  <si>
    <t>CONNECT PROJETOS E MONTAGENS INDUSTRIAIS LTDA.</t>
  </si>
  <si>
    <t>21.345.374/0001-19</t>
  </si>
  <si>
    <t>CONQUISTA DISTRIBUIDORA DE MEDICAMENTOS E PRODUTOS HOSPITALARES LTDA</t>
  </si>
  <si>
    <t>12.418.191/0001-95</t>
  </si>
  <si>
    <t>CONS. SEC. MUN.DE SAUDE EST.SP-DR.SEBASTIAO MORAES</t>
  </si>
  <si>
    <t>59.995.241/0001-60</t>
  </si>
  <si>
    <t>CONSELHO DE ARQUITETURA E URBANISMO DE SAO PAULO -CAU/SP-</t>
  </si>
  <si>
    <t>15.131.560/0001-52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</si>
  <si>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</si>
  <si>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</si>
  <si>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</si>
  <si>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</si>
  <si>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CONSELHO REGIONAL DOS TECNICOS INDUSTRIAIS DO ESTADO DE SAO PAULO</t>
  </si>
  <si>
    <t>33.093.248/0001-01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</si>
  <si>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</si>
  <si>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</si>
  <si>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</si>
  <si>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</si>
  <si>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PUBLICO AGENCIA AMBIENTAL DO VALE DO PARAIBA</t>
  </si>
  <si>
    <t>45.082.421/0001-47</t>
  </si>
  <si>
    <t>CONSORCIO 1 2 3</t>
  </si>
  <si>
    <t>10.295.212/0001-05</t>
  </si>
  <si>
    <t>CONSTRUTORA BUGRE LTDA - EPP</t>
  </si>
  <si>
    <t>05.562.987/0001-51</t>
  </si>
  <si>
    <t>CONSTRUTORA COSTA JUNIOR LTDA</t>
  </si>
  <si>
    <t>00.904.946/0001-82</t>
  </si>
  <si>
    <t>CONTROLE SERVICOS E COMERCIO DE INFORMATICA LTDA</t>
  </si>
  <si>
    <t>10.592.584/0002-76</t>
  </si>
  <si>
    <t>CONTROLLER SEGURANCA PRIVADA LTDA</t>
  </si>
  <si>
    <t>51.416.060/0001-20</t>
  </si>
  <si>
    <t>CONVATEC BRASIL LTDA</t>
  </si>
  <si>
    <t>09.603.161/0004-97</t>
  </si>
  <si>
    <t>COOP LATIC. DO  MEDIO VALE DO PARAIBA</t>
  </si>
  <si>
    <t>46.632.451/0001-42</t>
  </si>
  <si>
    <t>COOPERATIVA AGRICULTURA FAMILIAR DE SETE BARRAS - COOPAFASB</t>
  </si>
  <si>
    <t>16.952.545/0001-38</t>
  </si>
  <si>
    <t>COOPERATIVA DE PROD. E IND. E COM. AGROP. DOS ASSENTADOS E AGRICULTORES FAM. REGIAO NOROESTE DE SP</t>
  </si>
  <si>
    <t>04.455.745/0001-04</t>
  </si>
  <si>
    <t>COOPERATIVA DE PRODUÇÃO E COMERC. DOS PEQUENOS PRODUTORES RURAIS DO ESTADO DE SÃO PAULO - COOPCRESP</t>
  </si>
  <si>
    <t>24.201.681/0001-14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</si>
  <si>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</si>
  <si>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</si>
  <si>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</si>
  <si>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</si>
  <si>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TRANSPORTE DE PASSAGEIROS E CARGAS DE SÃO JOSÉ DOS CAMPOS COOPERTESC</t>
  </si>
  <si>
    <t>18.148.870/0001-78</t>
  </si>
  <si>
    <t>COOPERATIVA DOS AGRICULTORES QUILOMBOLAS DO VALE DO RIBEIRA - COOPERQUIVALE</t>
  </si>
  <si>
    <t>17.839.149/0001-61</t>
  </si>
  <si>
    <t>COOPERATIVA DOS PRODUTORES RURAIS DO VALE DO PARAIBA</t>
  </si>
  <si>
    <t>19.698.031/0001-96</t>
  </si>
  <si>
    <t>COOPERATIVA DOS TRABALHADORES DA REFORMA AGRARIA TERRA LIVRE LTDA</t>
  </si>
  <si>
    <t>10.568.281/0001-37</t>
  </si>
  <si>
    <t>COOPERATIVA LATICINIOS DE SAO JOSE DOS CAMPOS</t>
  </si>
  <si>
    <t>60.179.462/0001-40</t>
  </si>
  <si>
    <t>COOPERATIVA REGIONAL DE COMERCIALIZAÇÃO DO EXTREMO OESTE - COOPEROESTE</t>
  </si>
  <si>
    <t>01.435.328/0001-01</t>
  </si>
  <si>
    <t>COPCENTRO SOLUCOES GRAFICAS LTDA</t>
  </si>
  <si>
    <t>53.324.182/0001-12</t>
  </si>
  <si>
    <t>COPOLFOOD COMERCIO DE PRODUTOS ALIMENTICIO LTDA</t>
  </si>
  <si>
    <t>12.799.986/0001-90</t>
  </si>
  <si>
    <t>COR E TINTAS COMERCIO LTDA</t>
  </si>
  <si>
    <t>13.437.808/0001-82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</si>
  <si>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</si>
  <si>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</si>
  <si>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</si>
  <si>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</si>
  <si>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</si>
  <si>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</si>
  <si>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COSMA JERONIMA DE FREITAS</t>
  </si>
  <si>
    <t>074.961.278-92</t>
  </si>
  <si>
    <t>COSME DAMIÃO MOREIRA</t>
  </si>
  <si>
    <t>071.190.698-02</t>
  </si>
  <si>
    <t>COSME RABELO</t>
  </si>
  <si>
    <t>247.582.918-45</t>
  </si>
  <si>
    <t>COTTON MED PRODUTOS HOSPITALARES IMPORTACAO E EXPORTACAO LTDA - EPP</t>
  </si>
  <si>
    <t>11.667.036/0001-40</t>
  </si>
  <si>
    <t>COZI REIS LTDA</t>
  </si>
  <si>
    <t>41.551.026/0001-05</t>
  </si>
  <si>
    <t>CPE COMERCIO DE EQUIPAMENTOS TOPOGRAFICOS LTDA</t>
  </si>
  <si>
    <t>18.323.709/0021-37</t>
  </si>
  <si>
    <t>CPE EQUIPAMENTOS TOPOGRAFICOS LTDA</t>
  </si>
  <si>
    <t>18.323.709/0001-93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</si>
  <si>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</si>
  <si>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</si>
  <si>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</si>
  <si>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</si>
  <si>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</si>
  <si>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</si>
  <si>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</si>
  <si>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</si>
  <si>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</si>
  <si>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</si>
  <si>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</si>
  <si>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</si>
  <si>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</si>
  <si>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</si>
  <si>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</si>
  <si>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</si>
  <si>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</si>
  <si>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</si>
  <si>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Cristiam Cauam da Rosa Machado</t>
  </si>
  <si>
    <t>600.715.030-56</t>
  </si>
  <si>
    <t>CRISTIAN ALEXANDRE DA SILVA</t>
  </si>
  <si>
    <t>262.391.268-88</t>
  </si>
  <si>
    <t>CRISTIAN APARECIDO JOSAFAT</t>
  </si>
  <si>
    <t>287.374.348-45</t>
  </si>
  <si>
    <t>CRISTIAN DOUGLAS DE SOUZA MORENO</t>
  </si>
  <si>
    <t>220.370.528-04</t>
  </si>
  <si>
    <t>CRISTIAN DOUGLAS DO CARMO SANTOS</t>
  </si>
  <si>
    <t>470.492.688-52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</si>
  <si>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</si>
  <si>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</si>
  <si>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</si>
  <si>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</si>
  <si>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</si>
  <si>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</si>
  <si>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</si>
  <si>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</si>
  <si>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</si>
  <si>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</si>
  <si>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CABRAL SANT ANA</t>
  </si>
  <si>
    <t>303.059.558-70</t>
  </si>
  <si>
    <t>CRISTIANE APARECIDA CLAUDINO LOBO</t>
  </si>
  <si>
    <t>162.689.028-58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</si>
  <si>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</si>
  <si>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</si>
  <si>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</si>
  <si>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</si>
  <si>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</si>
  <si>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</si>
  <si>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</si>
  <si>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</si>
  <si>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ARAUJO RODRIGUES TOSTES</t>
  </si>
  <si>
    <t>259.026.968-44</t>
  </si>
  <si>
    <t>CRISTIANE DE OLIVEIRA SANTOS</t>
  </si>
  <si>
    <t>376.646.298-96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</si>
  <si>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</si>
  <si>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</si>
  <si>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</si>
  <si>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</si>
  <si>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</si>
  <si>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</si>
  <si>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</si>
  <si>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</si>
  <si>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</si>
  <si>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</si>
  <si>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NAIARA FABIANO DINAMARCO</t>
  </si>
  <si>
    <t>356.451.738-30</t>
  </si>
  <si>
    <t>CRISTIANE ROBERTA DOS SANTOS LOPES</t>
  </si>
  <si>
    <t>293.533.068-41</t>
  </si>
  <si>
    <t>CRISTIANE SILVA DE SOUZA</t>
  </si>
  <si>
    <t>389.698.288-50</t>
  </si>
  <si>
    <t>CRISTIANE TRAMBAIOLI PEREIRA</t>
  </si>
  <si>
    <t>323.506.408-76</t>
  </si>
  <si>
    <t>CRISTIANO ALVARENGA BATISTA</t>
  </si>
  <si>
    <t>162.855.048-14</t>
  </si>
  <si>
    <t>CRISTIANO ALVES CALADO</t>
  </si>
  <si>
    <t>282.354.268-03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</si>
  <si>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</si>
  <si>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</si>
  <si>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</si>
  <si>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</si>
  <si>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</si>
  <si>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</si>
  <si>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</si>
  <si>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</si>
  <si>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</si>
  <si>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</si>
  <si>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LUIS BARBOSA</t>
  </si>
  <si>
    <t>258.035.728-96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</si>
  <si>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</si>
  <si>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</si>
  <si>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</si>
  <si>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</si>
  <si>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</si>
  <si>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</si>
  <si>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</si>
  <si>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</si>
  <si>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</si>
  <si>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</si>
  <si>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</si>
  <si>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</si>
  <si>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CRISTINA DIAS BALDIN</t>
  </si>
  <si>
    <t>991.960.268-04</t>
  </si>
  <si>
    <t>CRISTINA LUCAS PEREIRA</t>
  </si>
  <si>
    <t>446.566.023-53</t>
  </si>
  <si>
    <t>CRISTINA MARIA DE ALMEIDA</t>
  </si>
  <si>
    <t>258.406.468-57</t>
  </si>
  <si>
    <t>CRISTINE YURI MITZUIAMA</t>
  </si>
  <si>
    <t>460.762.198-66</t>
  </si>
  <si>
    <t>CRISTOFE MONTEIRO DOS REIS</t>
  </si>
  <si>
    <t>088.550.796-70</t>
  </si>
  <si>
    <t>CRISTOVAO MACHADO FONTENELE</t>
  </si>
  <si>
    <t>474.487.093-72</t>
  </si>
  <si>
    <t>CRONOMASTER COMERCIO DE ACESSORIOS AUTOMOTIVOS LTDA</t>
  </si>
  <si>
    <t>04.121.379/0001-49</t>
  </si>
  <si>
    <t>CRUZADA  ASSISTENCIAL PADRE JOAO GUIMARAES</t>
  </si>
  <si>
    <t>47.536.495/0001-31</t>
  </si>
  <si>
    <t>CS BRASIL FROTAS LTDA</t>
  </si>
  <si>
    <t>27.595.780/0001-16</t>
  </si>
  <si>
    <t>CS COMERCIO DE CEREAIS LTDA</t>
  </si>
  <si>
    <t>19.079.553/0001-00</t>
  </si>
  <si>
    <t>CTEEP - COMPANHIA DE TRANSMISSAO DE ENERGIA ELETRICA PAULISTA</t>
  </si>
  <si>
    <t>02.998.611/0001-04</t>
  </si>
  <si>
    <t>CTH EMPREENDIMENTOS IMOBILIARIOS LTDA.</t>
  </si>
  <si>
    <t>01.255.051/0001-27</t>
  </si>
  <si>
    <t>CUNHA EMPREENDIMENTOS IMOBILIARIOS LTDA</t>
  </si>
  <si>
    <t>57.220.325/0001-05</t>
  </si>
  <si>
    <t>CURSO ALBERTO SANTOS DUMONT</t>
  </si>
  <si>
    <t>02.839.255/0001-78</t>
  </si>
  <si>
    <t>CYNARA DA SILVA CARVALHO</t>
  </si>
  <si>
    <t>385.469.618-32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</si>
  <si>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</si>
  <si>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</si>
  <si>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</si>
  <si>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</si>
  <si>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</si>
  <si>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</si>
  <si>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 C PEREIRA MOTOS LTDA</t>
  </si>
  <si>
    <t>27.512.528/0001-04</t>
  </si>
  <si>
    <t>D RAMOS DE SOUZA  - ME</t>
  </si>
  <si>
    <t>12.555.123/0001-78</t>
  </si>
  <si>
    <t>DA FAZENDA MADEIRAS LTDA</t>
  </si>
  <si>
    <t>05.473.900/0001-70</t>
  </si>
  <si>
    <t>DA PRAIA CONSULTING LTDA</t>
  </si>
  <si>
    <t>43.910.693/0001-62</t>
  </si>
  <si>
    <t>DAFNE DE MORAES</t>
  </si>
  <si>
    <t>442.083.198-79</t>
  </si>
  <si>
    <t>DAIANE ALVES RIBEIRO</t>
  </si>
  <si>
    <t>462.739.898-00</t>
  </si>
  <si>
    <t>Daiane Cruz Almeida Barbosa</t>
  </si>
  <si>
    <t>443.174.358-88</t>
  </si>
  <si>
    <t>DAIANE GOMES DA SILVA SOUZA</t>
  </si>
  <si>
    <t>372.363.988-70</t>
  </si>
  <si>
    <t>DAIANE KELI DO PILAR</t>
  </si>
  <si>
    <t>339.955.398-66</t>
  </si>
  <si>
    <t>DAIANE RIBEIRO MENEZES DOS SANTOS</t>
  </si>
  <si>
    <t>459.282.948-40</t>
  </si>
  <si>
    <t>DAIANE ROSA DA COSTA MELLO</t>
  </si>
  <si>
    <t>390.596.638-70</t>
  </si>
  <si>
    <t>Daiany Vasconcellos Serafim</t>
  </si>
  <si>
    <t>134.659.757-07</t>
  </si>
  <si>
    <t>DAIR MARQUES PEREIRA</t>
  </si>
  <si>
    <t>246.139.908-58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</si>
  <si>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</si>
  <si>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</si>
  <si>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</si>
  <si>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</si>
  <si>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</si>
  <si>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</si>
  <si>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</si>
  <si>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</si>
  <si>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</si>
  <si>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</si>
  <si>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</si>
  <si>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</si>
  <si>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</si>
  <si>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</si>
  <si>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 POZZO ADVOGADOS</t>
  </si>
  <si>
    <t>01.546.213/0001-86</t>
  </si>
  <si>
    <t>DALEN SUPRIMENTOS PARA INFORMATICA E PAPELARIA EIRELI EPP</t>
  </si>
  <si>
    <t>22.791.023/0001-02</t>
  </si>
  <si>
    <t>DALILA CARMO DE JESUS</t>
  </si>
  <si>
    <t>534.153.608-81</t>
  </si>
  <si>
    <t>DALMA CAMPOS DA CUNHA PORTES</t>
  </si>
  <si>
    <t>046.486.357-01</t>
  </si>
  <si>
    <t>DALTON OTA DUARTE</t>
  </si>
  <si>
    <t>218.207.808-80</t>
  </si>
  <si>
    <t>DALVA APARECIDA DE SIQUEIRA DOS SANTOS</t>
  </si>
  <si>
    <t>331.576.878-16</t>
  </si>
  <si>
    <t>DAMARA BRUNA GRAFANASSI ISHIKAWA</t>
  </si>
  <si>
    <t>463.690.188-64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</si>
  <si>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</si>
  <si>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</si>
  <si>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</si>
  <si>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</si>
  <si>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</si>
  <si>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</si>
  <si>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DANIDELMA MARQUES</t>
  </si>
  <si>
    <t>312.757.998-50</t>
  </si>
  <si>
    <t>DANIEL ALEXANDRE DE SOUSA TREVISAN</t>
  </si>
  <si>
    <t>503.976.028-04</t>
  </si>
  <si>
    <t>DANIEL ANGELO DOS SANTOS</t>
  </si>
  <si>
    <t>318.775.258-63</t>
  </si>
  <si>
    <t>DANIEL ANTONIO ALVES DE ALMEIDA RIBEIRO</t>
  </si>
  <si>
    <t>345.736.578-43</t>
  </si>
  <si>
    <t>DANIEL ANTUNES DAVID</t>
  </si>
  <si>
    <t>324.654.628-22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</si>
  <si>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</si>
  <si>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</si>
  <si>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</si>
  <si>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</si>
  <si>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</si>
  <si>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</si>
  <si>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</si>
  <si>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</si>
  <si>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</si>
  <si>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</si>
  <si>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COSTA SANTOS</t>
  </si>
  <si>
    <t>404.740.488-88</t>
  </si>
  <si>
    <t>DANIEL CUSTODIO DA SILVA</t>
  </si>
  <si>
    <t>327.810.378-50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</si>
  <si>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</si>
  <si>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</si>
  <si>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</si>
  <si>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</si>
  <si>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</si>
  <si>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</si>
  <si>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 CARMO TRALLI</t>
  </si>
  <si>
    <t>254.561.158-16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</si>
  <si>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</si>
  <si>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</si>
  <si>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</si>
  <si>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</si>
  <si>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</si>
  <si>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</si>
  <si>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</si>
  <si>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</si>
  <si>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</si>
  <si>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</si>
  <si>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</si>
  <si>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</si>
  <si>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</si>
  <si>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</si>
  <si>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HENRIQUE SALES</t>
  </si>
  <si>
    <t>087.613.596-37</t>
  </si>
  <si>
    <t>DANIEL JOSE ROLDAO</t>
  </si>
  <si>
    <t>221.188.698-19</t>
  </si>
  <si>
    <t>DANIEL LAFALCE DE LIMA</t>
  </si>
  <si>
    <t>391.418.768-90</t>
  </si>
  <si>
    <t>DANIEL LOURENCO</t>
  </si>
  <si>
    <t>319.453.468-84</t>
  </si>
  <si>
    <t>DANIEL MATURANA MIDDLETON</t>
  </si>
  <si>
    <t>704.976.421-31</t>
  </si>
  <si>
    <t>DANIEL MENDES SILVA</t>
  </si>
  <si>
    <t>533.023.558-82</t>
  </si>
  <si>
    <t>DANIEL MENEZES DE ALMEIDA ZEM</t>
  </si>
  <si>
    <t>455.189.148-73</t>
  </si>
  <si>
    <t>DANIEL MIGUEL DA SILVA</t>
  </si>
  <si>
    <t>396.453.438-28</t>
  </si>
  <si>
    <t>DANIEL NAHSSEN</t>
  </si>
  <si>
    <t>248.458.678-77</t>
  </si>
  <si>
    <t>DANIEL NASCIMENTO MENEGALLI</t>
  </si>
  <si>
    <t>321.658.908-02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</si>
  <si>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</si>
  <si>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</si>
  <si>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</si>
  <si>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</si>
  <si>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</si>
  <si>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</si>
  <si>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</si>
  <si>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</si>
  <si>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</si>
  <si>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</si>
  <si>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 VENEZIANI VANTINE</t>
  </si>
  <si>
    <t>260.895.348-46</t>
  </si>
  <si>
    <t>DANIELA AKEMI MURATA</t>
  </si>
  <si>
    <t>350.192.568-97</t>
  </si>
  <si>
    <t>DANIELA CABRAL FERNANDES</t>
  </si>
  <si>
    <t>476.962.358-50</t>
  </si>
  <si>
    <t>DANIELA COSTA CAMARGO</t>
  </si>
  <si>
    <t>183.941.708-03</t>
  </si>
  <si>
    <t>DANIELA CRISTINA DA SILVA</t>
  </si>
  <si>
    <t>222.722.538-65</t>
  </si>
  <si>
    <t>DANIELA CRISTINA SOUZA SANTOS LTDA</t>
  </si>
  <si>
    <t>15.329.061/0001-74</t>
  </si>
  <si>
    <t>DANIELA DA SILVA ANDREOTTI</t>
  </si>
  <si>
    <t>457.726.618-09</t>
  </si>
  <si>
    <t>DANIELA DO NASCIMENTO DE JESUS</t>
  </si>
  <si>
    <t>299.424.228-11</t>
  </si>
  <si>
    <t>DANIELA FERREIRA OLIVEIRA DE PAULA</t>
  </si>
  <si>
    <t>324.222.128-16</t>
  </si>
  <si>
    <t>DANIELA GONÇALVES DOS SANTOS</t>
  </si>
  <si>
    <t>317.465.888-88</t>
  </si>
  <si>
    <t>DANIELA PAIVA DE CARVALHO</t>
  </si>
  <si>
    <t>257.171.438-42</t>
  </si>
  <si>
    <t>DANIELA PORTO LUIZ VENANCIO</t>
  </si>
  <si>
    <t>281.803.698-46</t>
  </si>
  <si>
    <t>DANIELA SOARES MODESTO</t>
  </si>
  <si>
    <t>117.341.959-40</t>
  </si>
  <si>
    <t>DANIELA YOZZI DE LOS SANTOS</t>
  </si>
  <si>
    <t>214.781.918-21</t>
  </si>
  <si>
    <t>DANIELE APARECIDA FARIA DOS SANTOS SOUZA</t>
  </si>
  <si>
    <t>318.113.798-77</t>
  </si>
  <si>
    <t>DANIELE BARBOSA DE SOUZA</t>
  </si>
  <si>
    <t>362.369.678-14</t>
  </si>
  <si>
    <t>DANIELE CRISTINA DA SILVA</t>
  </si>
  <si>
    <t>438.865.068-43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</si>
  <si>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</si>
  <si>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</si>
  <si>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</si>
  <si>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</si>
  <si>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</si>
  <si>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</si>
  <si>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FREITAS DE MENEZES</t>
  </si>
  <si>
    <t>101.132.874-70</t>
  </si>
  <si>
    <t>DANIELE REIS SANTANA</t>
  </si>
  <si>
    <t>402.166.278-26</t>
  </si>
  <si>
    <t>DANIELE ROSA DA SILVA DE PAIVA</t>
  </si>
  <si>
    <t>297.257.868-66</t>
  </si>
  <si>
    <t>DANIELE ROSA GUIMARÃES</t>
  </si>
  <si>
    <t>224.637.818-40</t>
  </si>
  <si>
    <t>DANIELI ALVES</t>
  </si>
  <si>
    <t>348.969.838-07</t>
  </si>
  <si>
    <t>DANIELI VALENTIM MOREIRA</t>
  </si>
  <si>
    <t>493.319.598-69</t>
  </si>
  <si>
    <t>DANIELLA FERNANDA MOREIRA CRECENCIO DOS SANTOS</t>
  </si>
  <si>
    <t>042.811.788-05</t>
  </si>
  <si>
    <t xml:space="preserve">DANIELLA FERNANDA MOREIRA CRECENCIO DOS SANTOS	</t>
  </si>
  <si>
    <t>432.093.558-60</t>
  </si>
  <si>
    <t>DANIELLE  CAMBRAIA BOTELHO</t>
  </si>
  <si>
    <t>400.442.168-31</t>
  </si>
  <si>
    <t>DANIELLE ALVES GUIMARAES SILVA</t>
  </si>
  <si>
    <t>305.981.618-21</t>
  </si>
  <si>
    <t>DANIELLE AP. DE SIQUEIRA DOS SANTOS</t>
  </si>
  <si>
    <t>323.672.638-50</t>
  </si>
  <si>
    <t>DANIELLE CAROLINE COLEN RODRIGUES</t>
  </si>
  <si>
    <t>409.018.298-03</t>
  </si>
  <si>
    <t>DANIELLE DE CASTRO PRIANTI</t>
  </si>
  <si>
    <t>416.202.498-71</t>
  </si>
  <si>
    <t>DANIELLE DE OLIVEIRA SANTANA</t>
  </si>
  <si>
    <t>341.762.818-04</t>
  </si>
  <si>
    <t>DANIELLE DOS SANTOS LUCIO</t>
  </si>
  <si>
    <t>483.588.848-00</t>
  </si>
  <si>
    <t>Danielle Gonçalves Roncatto</t>
  </si>
  <si>
    <t>454.253.918-03</t>
  </si>
  <si>
    <t>DANIELLE LARISSA VIEIRA MOURA</t>
  </si>
  <si>
    <t>375.368.218-75</t>
  </si>
  <si>
    <t>DANIELLE SOUZA COSTA REZENDE</t>
  </si>
  <si>
    <t>018.300.801-48</t>
  </si>
  <si>
    <t>Danielle Vieira Lameu</t>
  </si>
  <si>
    <t>440.905.838-02</t>
  </si>
  <si>
    <t>DANIELLE VIGANO CAETANO</t>
  </si>
  <si>
    <t>337.920.998-88</t>
  </si>
  <si>
    <t>DANIELLE VITORIA FERREIRA SOUSA</t>
  </si>
  <si>
    <t>556.927.978-44</t>
  </si>
  <si>
    <t>DANILA DE ANDRADE EUFRAZINO DE MORAES</t>
  </si>
  <si>
    <t>402.443.828-08</t>
  </si>
  <si>
    <t>DANILLIS NOGUEIRA DE BRITO</t>
  </si>
  <si>
    <t>076.909.494-52</t>
  </si>
  <si>
    <t>DANILO ARAUJO SIQUEIRA EMBOAVA</t>
  </si>
  <si>
    <t>363.564.808-66</t>
  </si>
  <si>
    <t>DANILO CAMILO BRITO</t>
  </si>
  <si>
    <t>083.406.884-21</t>
  </si>
  <si>
    <t>DANILO CARVALHO SOUZA</t>
  </si>
  <si>
    <t>413.372.298-14</t>
  </si>
  <si>
    <t>Danilo Cesar Tostes</t>
  </si>
  <si>
    <t>339.880.448-90</t>
  </si>
  <si>
    <t>DANILO DA SILVA BANHO</t>
  </si>
  <si>
    <t>387.122.438-33</t>
  </si>
  <si>
    <t>Danilo da Silva Oliveira</t>
  </si>
  <si>
    <t>191.157.087-05</t>
  </si>
  <si>
    <t>DANILO DOS SANTOS CARMO BARROS</t>
  </si>
  <si>
    <t>397.695.108-07</t>
  </si>
  <si>
    <t>DANILO FARIA DA ROSA</t>
  </si>
  <si>
    <t>366.900.188-30</t>
  </si>
  <si>
    <t>DANILO FERNANDES FELIX PALACIO</t>
  </si>
  <si>
    <t>360.040.298-66</t>
  </si>
  <si>
    <t>DANILO HECHT FERNANDES</t>
  </si>
  <si>
    <t>291.911.288-03</t>
  </si>
  <si>
    <t>Danilo Klinton Bandeira Fonseca</t>
  </si>
  <si>
    <t>548.673.908-79</t>
  </si>
  <si>
    <t>DANILO MENDES DE OLIVEIRA</t>
  </si>
  <si>
    <t>062.186.946-58</t>
  </si>
  <si>
    <t>DANILO RODRIGUES CORDOVA XAVIER</t>
  </si>
  <si>
    <t>478.899.658-85</t>
  </si>
  <si>
    <t>DANILO TOMA</t>
  </si>
  <si>
    <t>081.620.439-00</t>
  </si>
  <si>
    <t>DANILO YURI DOS SANTOS</t>
  </si>
  <si>
    <t>337.726.288-18</t>
  </si>
  <si>
    <t>DANTON JOSE FORTES VILLAS BOAS</t>
  </si>
  <si>
    <t>040.893.078-05</t>
  </si>
  <si>
    <t>DANUBIA BARROS DE LIMA</t>
  </si>
  <si>
    <t>303.422.838-47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</si>
  <si>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</si>
  <si>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</si>
  <si>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</si>
  <si>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</si>
  <si>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</si>
  <si>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</si>
  <si>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</si>
  <si>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</si>
  <si>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DARIO LUIZ RODRIGUES FERREIRA</t>
  </si>
  <si>
    <t>342.043.338-77</t>
  </si>
  <si>
    <t>DARLAN PEREIRA TRINDADE</t>
  </si>
  <si>
    <t>047.308.086-90</t>
  </si>
  <si>
    <t>DASNEVES CRISTIANE DE LIMA SANTOS</t>
  </si>
  <si>
    <t>433.209.798-09</t>
  </si>
  <si>
    <t>DAT SOLUCOES EM TECNOLOGIA LTDA</t>
  </si>
  <si>
    <t>23.031.618/0001-14</t>
  </si>
  <si>
    <t>DATAMARIS BRASIL TECNOLOGIA AGROPECUARIA LTDA</t>
  </si>
  <si>
    <t>00.397.330/0001-62</t>
  </si>
  <si>
    <t>DAURI PACIFICO INACIO DE FARIA</t>
  </si>
  <si>
    <t>396.143.618-59</t>
  </si>
  <si>
    <t>Davi Aron Gonçalves</t>
  </si>
  <si>
    <t>524.191.338-62</t>
  </si>
  <si>
    <t>DAVI DANILO DA SILVA</t>
  </si>
  <si>
    <t>511.975.438-48</t>
  </si>
  <si>
    <t>DAVI DE ARAUJO OLIVEIRA</t>
  </si>
  <si>
    <t>525.098.958-69</t>
  </si>
  <si>
    <t>DAVI DOS REIS CAMPOS BORGES</t>
  </si>
  <si>
    <t>230.780.108-13</t>
  </si>
  <si>
    <t>DAVI JORGE GUTIERREZ</t>
  </si>
  <si>
    <t>319.081.718-98</t>
  </si>
  <si>
    <t>Davi Maia Silva</t>
  </si>
  <si>
    <t>549.413.948-44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</si>
  <si>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</si>
  <si>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</si>
  <si>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</si>
  <si>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</si>
  <si>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</si>
  <si>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</si>
  <si>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</si>
  <si>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</si>
  <si>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RIBEIRO DA SILVA</t>
  </si>
  <si>
    <t>596.715.148-63</t>
  </si>
  <si>
    <t>DAVI SANTOS FERNANDES</t>
  </si>
  <si>
    <t>339.310.608-29</t>
  </si>
  <si>
    <t>DAVI SILVA SOUZA</t>
  </si>
  <si>
    <t>661.280.138-72</t>
  </si>
  <si>
    <t>DAVI XAVIER SILVA</t>
  </si>
  <si>
    <t>469.435.708-54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</si>
  <si>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</si>
  <si>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</si>
  <si>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</si>
  <si>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</si>
  <si>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</si>
  <si>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</si>
  <si>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Eduardo Silva</t>
  </si>
  <si>
    <t>112.027.576-85</t>
  </si>
  <si>
    <t>DAVID JORGE ANGELO AUTO PECAS - ME</t>
  </si>
  <si>
    <t>13.325.653/0001-92</t>
  </si>
  <si>
    <t>DAVID LOURENÇO DA COSTA</t>
  </si>
  <si>
    <t>414.999.658-00</t>
  </si>
  <si>
    <t>DAVID PACIFICO INACIO DE FARIA</t>
  </si>
  <si>
    <t>390.153.338-90</t>
  </si>
  <si>
    <t>DAVID R C BARBOSA</t>
  </si>
  <si>
    <t>18.522.893/0001-09</t>
  </si>
  <si>
    <t>DAVID RICO FREITAS</t>
  </si>
  <si>
    <t>347.921.468-10</t>
  </si>
  <si>
    <t>DAVID RODOLFO CAMPOS BARBOSA</t>
  </si>
  <si>
    <t>217.005.878-89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</si>
  <si>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</si>
  <si>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</si>
  <si>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</si>
  <si>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</si>
  <si>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</si>
  <si>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</si>
  <si>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DAYANA SILVA BIANCK</t>
  </si>
  <si>
    <t>325.620.978-58</t>
  </si>
  <si>
    <t>DAYANE CRISTINE LIVIS RIBEIRO</t>
  </si>
  <si>
    <t>111.122.766-70</t>
  </si>
  <si>
    <t>DAYSE RODRIGUES DE LIMA - ME</t>
  </si>
  <si>
    <t>01.180.905/0001-53</t>
  </si>
  <si>
    <t>DC AR IMPORT-EXPORT, INDUSTRIA, COMERCIO, MANUTENCAO E REPRESENTACAO LTDA</t>
  </si>
  <si>
    <t>04.815.313/0001-59</t>
  </si>
  <si>
    <t>DD3 IMPORTACAO E COMERCIO DE UTILIDADES LTDA</t>
  </si>
  <si>
    <t>35.997.489/0001-00</t>
  </si>
  <si>
    <t>DE PAULI COMERCIO REPRESENTACOES IMPORTACAO E EXPORTACAO LTDA.</t>
  </si>
  <si>
    <t>03.951.140/0001-33</t>
  </si>
  <si>
    <t>DEBORA CRISTIANE DA SILVA</t>
  </si>
  <si>
    <t>343.372.608-62</t>
  </si>
  <si>
    <t>DEBORA CRISTIANE MARTINS</t>
  </si>
  <si>
    <t>276.103.998-09</t>
  </si>
  <si>
    <t>DEBORA CRISTINA BIASI LOPES</t>
  </si>
  <si>
    <t>262.565.788-05</t>
  </si>
  <si>
    <t>DEBORA CRISTINA TEIXEIRA DE SIQUEIRA</t>
  </si>
  <si>
    <t>373.225.038-56</t>
  </si>
  <si>
    <t>Debora Cristina Teixeira Mattos Borges</t>
  </si>
  <si>
    <t>622.657.686-34</t>
  </si>
  <si>
    <t>DEBORA IVONE DE MORAIS</t>
  </si>
  <si>
    <t>199.187.828-11</t>
  </si>
  <si>
    <t>DEBORA MACEDO MIRANTE E SILVA</t>
  </si>
  <si>
    <t>329.295.908-07</t>
  </si>
  <si>
    <t>DEBORA MACIEL LOPES TORRES</t>
  </si>
  <si>
    <t>223.172.588-60</t>
  </si>
  <si>
    <t>DÉBORA MARIA LUZ ANDRÉ</t>
  </si>
  <si>
    <t>393.364.068-76</t>
  </si>
  <si>
    <t>DEBORA MARTINS MACHADO</t>
  </si>
  <si>
    <t>372.831.378-58</t>
  </si>
  <si>
    <t>DEBORA PINTO DE OLIVEIRA</t>
  </si>
  <si>
    <t>133.604.127-70</t>
  </si>
  <si>
    <t>DEBORA REGIANE BARBOSA DE SOUZA</t>
  </si>
  <si>
    <t>377.660.718-19</t>
  </si>
  <si>
    <t>Debora Vieira Costa</t>
  </si>
  <si>
    <t>085.356.883-90</t>
  </si>
  <si>
    <t>Débora Vitória de Castro Paim</t>
  </si>
  <si>
    <t>567.236.858-14</t>
  </si>
  <si>
    <t>DEBORAH CRISTINA RIBEIRO</t>
  </si>
  <si>
    <t>393.157.608-67</t>
  </si>
  <si>
    <t>DEBORAH LORRAINE DE OLIVEIRA</t>
  </si>
  <si>
    <t>474.357.058-10</t>
  </si>
  <si>
    <t>DEBORAH RIBEIRO DE CAMARGO</t>
  </si>
  <si>
    <t>471.731.948-65</t>
  </si>
  <si>
    <t>DECIO CASTILHO CEBALLOS</t>
  </si>
  <si>
    <t>977.188.318-68</t>
  </si>
  <si>
    <t>DECIO CLAIR PEREIRA</t>
  </si>
  <si>
    <t>019.689.518-90</t>
  </si>
  <si>
    <t>DECLINK - DESENVOLVIMENTO E CONSULTORIA DE INFORMATICA LTDA</t>
  </si>
  <si>
    <t>74.039.116/0001-70</t>
  </si>
  <si>
    <t>DECORHOUSE COM. E DECOR. LTDA - ME</t>
  </si>
  <si>
    <t>57.429.839/0001-67</t>
  </si>
  <si>
    <t>DEDREX TECNOLOGIA EM SERVIÇOS LTDA</t>
  </si>
  <si>
    <t>27.017.199/0001-17</t>
  </si>
  <si>
    <t>DEFENSORIA PUBLICA DA UNIAO</t>
  </si>
  <si>
    <t>00.375.114/0001-16</t>
  </si>
  <si>
    <t>DEFENSORIA PUBLICA DO ESTADO DE SAO PAULO</t>
  </si>
  <si>
    <t>08.036.157/0001-89</t>
  </si>
  <si>
    <t>DEISE APARECIDA MOREIRA LOPES</t>
  </si>
  <si>
    <t>263.254.298-77</t>
  </si>
  <si>
    <t>DEISE SOUZA DE AMORIM</t>
  </si>
  <si>
    <t>320.573.898-55</t>
  </si>
  <si>
    <t>DEIVID DI LATTER SOUZA</t>
  </si>
  <si>
    <t>271.562.258-98</t>
  </si>
  <si>
    <t>DEIVID DIAS DE ALMEIDA CESAR</t>
  </si>
  <si>
    <t>340.055.278-09</t>
  </si>
  <si>
    <t>Deivid Mota Silveira</t>
  </si>
  <si>
    <t>023.693.841-07</t>
  </si>
  <si>
    <t>DEL FRANCE ROUPAS E ACESSORIOS LTDA - EPP</t>
  </si>
  <si>
    <t>04.520.878/0001-09</t>
  </si>
  <si>
    <t>DELAINE ALEXANDRA SILVA SIMENIKIN</t>
  </si>
  <si>
    <t>388.635.018-58</t>
  </si>
  <si>
    <t>DELFINA DE LIMA GONCALVES</t>
  </si>
  <si>
    <t>788.813.238-34</t>
  </si>
  <si>
    <t>DELGADO SERVIÇOS VETERINÁRIOS LTDA</t>
  </si>
  <si>
    <t>51.705.467/0001-78</t>
  </si>
  <si>
    <t>DELSO ROSA DE MIRANDA</t>
  </si>
  <si>
    <t>162.769.348-36</t>
  </si>
  <si>
    <t>DELTA PRODUTOS E SERVICOS LTDA</t>
  </si>
  <si>
    <t>11.676.271/0001-88</t>
  </si>
  <si>
    <t>DELUCCA CENTRO AUTOMOTIVO LTDA</t>
  </si>
  <si>
    <t>51.293.704/0001-30</t>
  </si>
  <si>
    <t>DEMETRIUS LEANDRO DA COSTA</t>
  </si>
  <si>
    <t>162.822.388-03</t>
  </si>
  <si>
    <t>DEMETRIUS RODRIGO SANT ANNA ALVES</t>
  </si>
  <si>
    <t>325.644.628-04</t>
  </si>
  <si>
    <t>DENAC COMERCIO DE PECAS PARA TRATORES LTDA</t>
  </si>
  <si>
    <t>52.018.330/0001-08</t>
  </si>
  <si>
    <t>DENIEVERSON DIAS MOREIRA</t>
  </si>
  <si>
    <t>357.599.228-23</t>
  </si>
  <si>
    <t>DENILSON ANTONIO DA ROSA</t>
  </si>
  <si>
    <t>065.187.318-50</t>
  </si>
  <si>
    <t>DENILSON DOS SANTOS SOUSA</t>
  </si>
  <si>
    <t>388.977.128-94</t>
  </si>
  <si>
    <t>Denilson Gomes</t>
  </si>
  <si>
    <t>121.835.118-77</t>
  </si>
  <si>
    <t>DENILZA DE JESUS RODRIGUES FELICIO DE JESUS</t>
  </si>
  <si>
    <t>376.825.358-90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</si>
  <si>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</si>
  <si>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</si>
  <si>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</si>
  <si>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</si>
  <si>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</si>
  <si>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</si>
  <si>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SANTOS GONCALVES</t>
  </si>
  <si>
    <t>397.103.758-57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</si>
  <si>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</si>
  <si>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</si>
  <si>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</si>
  <si>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</si>
  <si>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</si>
  <si>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</si>
  <si>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AUGUSTA DOS SANTOS</t>
  </si>
  <si>
    <t>159.499.458-75</t>
  </si>
  <si>
    <t>DENISE CRISTINA DE MOURA</t>
  </si>
  <si>
    <t>434.634.598-09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</si>
  <si>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</si>
  <si>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</si>
  <si>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</si>
  <si>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</si>
  <si>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</si>
  <si>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</si>
  <si>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GOMES DOS SANTOS</t>
  </si>
  <si>
    <t>222.922.268-63</t>
  </si>
  <si>
    <t>DENISE LEITE CABRAL</t>
  </si>
  <si>
    <t>347.637.798-93</t>
  </si>
  <si>
    <t>DENTAL CONCEITO COMERCIO DE PRODUTOS ODONTOLOGICOS MEDICOS E HOSPITALARES LTDA</t>
  </si>
  <si>
    <t>29.084.363/0001-34</t>
  </si>
  <si>
    <t>DENTAL IPO LTDA</t>
  </si>
  <si>
    <t>50.567.060/0001-69</t>
  </si>
  <si>
    <t>DENTAL MED SUL ARTIGOS ODONTOLÓGICOS LTDA</t>
  </si>
  <si>
    <t>02.477.571/0001-47</t>
  </si>
  <si>
    <t>DENTAL OPEN - COMERCIO DE PRODUTOS ODONTOLOGICOS LTDA - EPP</t>
  </si>
  <si>
    <t>08.849.206/0001-00</t>
  </si>
  <si>
    <t>DENTAL PREMIUM LTDA.</t>
  </si>
  <si>
    <t>35.215.257/0001-45</t>
  </si>
  <si>
    <t>DENTAL PRIME PRODUTOS ODONTOLOGICOS MEDICOS HOSPITALARES - LTDA</t>
  </si>
  <si>
    <t>21.504.525/0001-34</t>
  </si>
  <si>
    <t>DEPOSITO CACULA JACAREI MAT. P/ CONSTR. LTDA</t>
  </si>
  <si>
    <t>50.467.885/0001-01</t>
  </si>
  <si>
    <t>DEPOSITO UNIVERSAL LTDA - EPP</t>
  </si>
  <si>
    <t>60.189.701/0001-42</t>
  </si>
  <si>
    <t>DERCI DE FATIMA DE MORAIS ELEUTERIO OLIVEIRA</t>
  </si>
  <si>
    <t>159.606.408-05</t>
  </si>
  <si>
    <t>DEREK FABRIZIO DE OLIVEIRA BASTOS</t>
  </si>
  <si>
    <t>403.918.958-26</t>
  </si>
  <si>
    <t>DERICK MARIANO DA SILVA</t>
  </si>
  <si>
    <t>533.031.598-07</t>
  </si>
  <si>
    <t>DERIK LUIZ FERNANDES DA SILVA</t>
  </si>
  <si>
    <t>404.040.448-32</t>
  </si>
  <si>
    <t>DERLI MACHADO FERREIRA</t>
  </si>
  <si>
    <t>573.180.779-53</t>
  </si>
  <si>
    <t>DESENTUPIDORA GOMES LTDA</t>
  </si>
  <si>
    <t>08.333.371/0001-05</t>
  </si>
  <si>
    <t>DESENTUPIDORA HIDRO-PRIMOS LTDA</t>
  </si>
  <si>
    <t>14.814.094/0001-47</t>
  </si>
  <si>
    <t>DESENVOLVE SP - AGENCIA DE FOMENTO DO ESTADO DE SAO PAULO S.A.</t>
  </si>
  <si>
    <t>10.663.610/0001-29</t>
  </si>
  <si>
    <t>Desiree da Silva Leonardo</t>
  </si>
  <si>
    <t>431.233.008-54</t>
  </si>
  <si>
    <t>DEVANILCE PIETRAROIA DA SILVA ALMEIDA</t>
  </si>
  <si>
    <t>162.678.398-50</t>
  </si>
  <si>
    <t>DEVISON SANTOS DA SILVA</t>
  </si>
  <si>
    <t>450.313.968-14</t>
  </si>
  <si>
    <t>DEWI DO BRASIL ENGENHARIA E COMÉRCIO DE ENERGIA EOLICA E SOLAR LTDA</t>
  </si>
  <si>
    <t>06.353.807/0001-94</t>
  </si>
  <si>
    <t>DEYSIANE DOS SANTOS GOMES RACHEL</t>
  </si>
  <si>
    <t>443.199.448-36</t>
  </si>
  <si>
    <t>DGR CLINICA MEDICA E CIRURGIA LTDA</t>
  </si>
  <si>
    <t>15.643.470/0001-40</t>
  </si>
  <si>
    <t>DHR MORAES ENGENHARIA LTDA</t>
  </si>
  <si>
    <t>28.197.147/0001-32</t>
  </si>
  <si>
    <t>DIABETICOS LTDA</t>
  </si>
  <si>
    <t>28.675.331/0001-40</t>
  </si>
  <si>
    <t>DIANA MICHELLE PEREIRA</t>
  </si>
  <si>
    <t>343.992.158-10</t>
  </si>
  <si>
    <t>DIANA OLIMPIA BANDEIRA</t>
  </si>
  <si>
    <t>390.419.178-02</t>
  </si>
  <si>
    <t>DIANA REGINA SILVA RIBEIRO</t>
  </si>
  <si>
    <t>522.940.368-32</t>
  </si>
  <si>
    <t>DIANA ROCHA DA SILVA</t>
  </si>
  <si>
    <t>399.024.428-03</t>
  </si>
  <si>
    <t>DIANA RODRIGUES DE SOUZA</t>
  </si>
  <si>
    <t>387.378.398-37</t>
  </si>
  <si>
    <t>DIANA SILVA DE SOUZA</t>
  </si>
  <si>
    <t>295.143.828-11</t>
  </si>
  <si>
    <t>DIANA VALERIA DE OLIVEIRA MOURA</t>
  </si>
  <si>
    <t>344.461.628-70</t>
  </si>
  <si>
    <t>DIANE  BARBOSA BORGES</t>
  </si>
  <si>
    <t>376.754.488-12</t>
  </si>
  <si>
    <t>DIANE APARECIDA DE PAULA BORGES</t>
  </si>
  <si>
    <t>380.267.158-96</t>
  </si>
  <si>
    <t>DIANE DE SOUZA RODRIGUES</t>
  </si>
  <si>
    <t>324.259.948-90</t>
  </si>
  <si>
    <t>DIANNE DA SILVA</t>
  </si>
  <si>
    <t>294.443.188-93</t>
  </si>
  <si>
    <t>DIEGO APARECIDO CUSTODIO ELISBAO</t>
  </si>
  <si>
    <t>396.778.988-84</t>
  </si>
  <si>
    <t>DIEGO BATISTA DA SILVA</t>
  </si>
  <si>
    <t>413.835.018-74</t>
  </si>
  <si>
    <t>DIEGO BRAGA TECNOLOGIA DA INFORMAÇÃO</t>
  </si>
  <si>
    <t>47.008.157/0001-27</t>
  </si>
  <si>
    <t>DIEGO CESAR DOS SANTOS</t>
  </si>
  <si>
    <t>391.180.398-20</t>
  </si>
  <si>
    <t>DIEGO DA SILVA BRITO</t>
  </si>
  <si>
    <t>360.251.158-85</t>
  </si>
  <si>
    <t>DIEGO DAVID ALVES</t>
  </si>
  <si>
    <t>275.767.128-64</t>
  </si>
  <si>
    <t>DIEGO DE ASSIS SANTANA</t>
  </si>
  <si>
    <t>225.403.888-50</t>
  </si>
  <si>
    <t>DIEGO DE LIMA DA SILVA</t>
  </si>
  <si>
    <t>363.856.518-19</t>
  </si>
  <si>
    <t>Diego do Nascimento David</t>
  </si>
  <si>
    <t>119.615.936-02</t>
  </si>
  <si>
    <t>DIEGO FERNANDO DOS SANTOS ALMEIDA</t>
  </si>
  <si>
    <t>340.393.128-56</t>
  </si>
  <si>
    <t>DIEGO FONSECA ANTUNES</t>
  </si>
  <si>
    <t>371.059.098-11</t>
  </si>
  <si>
    <t>Diego Guimaraes de Aquino</t>
  </si>
  <si>
    <t>167.461.896-43</t>
  </si>
  <si>
    <t>DIEGO HENRIQUE DA SILVA</t>
  </si>
  <si>
    <t>359.139.498-03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</si>
  <si>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</si>
  <si>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</si>
  <si>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</si>
  <si>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</si>
  <si>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</si>
  <si>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</si>
  <si>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NEGRAO RECIFE</t>
  </si>
  <si>
    <t>317.269.108-06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</si>
  <si>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</si>
  <si>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</si>
  <si>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</si>
  <si>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</si>
  <si>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</si>
  <si>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</si>
  <si>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</si>
  <si>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</si>
  <si>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</si>
  <si>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</si>
  <si>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Ricardo de Oliveira</t>
  </si>
  <si>
    <t>474.425.468-38</t>
  </si>
  <si>
    <t>DIEGO RODRIGUES</t>
  </si>
  <si>
    <t>511.153.098-38</t>
  </si>
  <si>
    <t>DIEGO RODRIGUES MARCONDES</t>
  </si>
  <si>
    <t>349.738.888-26</t>
  </si>
  <si>
    <t>DIEGO SANTOS CARNEIRO</t>
  </si>
  <si>
    <t>386.371.278-19</t>
  </si>
  <si>
    <t>DIEGO TOMAZ DE OLIVEIRA</t>
  </si>
  <si>
    <t>368.738.088-22</t>
  </si>
  <si>
    <t>DIEGO WILLIAM DA SILVA NEVES</t>
  </si>
  <si>
    <t>355.286.518-75</t>
  </si>
  <si>
    <t>DIEMERT &amp; MARCO TRANSPORTES LTDA</t>
  </si>
  <si>
    <t>42.261.109/0001-22</t>
  </si>
  <si>
    <t>DIGICON S A CONTROLE ELETRONICO PARA MECANICA</t>
  </si>
  <si>
    <t>88.020.102/0001-10</t>
  </si>
  <si>
    <t>DIGICON S/A - CONTROLE ELET. P/ MECANICA</t>
  </si>
  <si>
    <t>88.020.102/0002-09</t>
  </si>
  <si>
    <t>DIGIPLAN TECNOLOGIA LTDA</t>
  </si>
  <si>
    <t>31.772.291/0001-60</t>
  </si>
  <si>
    <t>DIGITAL HOME LTDA</t>
  </si>
  <si>
    <t>51.204.249/0001-50</t>
  </si>
  <si>
    <t>DIGITALNET BRASIL SISTEMAS DE COLABORAÇÃO LTDA.</t>
  </si>
  <si>
    <t>05.933.907/0001-27</t>
  </si>
  <si>
    <t>DILMA DE JESUS CERQUEIRA</t>
  </si>
  <si>
    <t>051.592.655-89</t>
  </si>
  <si>
    <t>DILMA ROSA MARQUES</t>
  </si>
  <si>
    <t>355.667.228-65</t>
  </si>
  <si>
    <t>DIMAS DA GAMA RODRIGUES</t>
  </si>
  <si>
    <t>787.811.248-72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</si>
  <si>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</si>
  <si>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</si>
  <si>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</si>
  <si>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</si>
  <si>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</si>
  <si>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</si>
  <si>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</si>
  <si>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</si>
  <si>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</si>
  <si>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</si>
  <si>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</si>
  <si>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</si>
  <si>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</si>
  <si>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</si>
  <si>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</si>
  <si>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</si>
  <si>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DIOGENILA MARIA GONÇALVES DE SOUZA SILVA</t>
  </si>
  <si>
    <t>607.722.808-78</t>
  </si>
  <si>
    <t>DIOGO AMAZONAS ALMEIDA</t>
  </si>
  <si>
    <t>308.952.738-37</t>
  </si>
  <si>
    <t>DIOGO HENRIQUE GORIA CUSTODIO</t>
  </si>
  <si>
    <t>362.590.138-25</t>
  </si>
  <si>
    <t>Diogo Luiz Afonso dos Santos</t>
  </si>
  <si>
    <t>383.040.628-28</t>
  </si>
  <si>
    <t>DIOGO LUIZ MARTINS BRAGA</t>
  </si>
  <si>
    <t>079.850.697-04</t>
  </si>
  <si>
    <t>DIOGO NUNES SORDI</t>
  </si>
  <si>
    <t>487.856.948-43</t>
  </si>
  <si>
    <t>DIOGO PEDROSA DA ROCHA</t>
  </si>
  <si>
    <t>435.968.958-63</t>
  </si>
  <si>
    <t>DIOGO SIDRAQUE MOREIRA PINTO</t>
  </si>
  <si>
    <t>369.035.338-69</t>
  </si>
  <si>
    <t>DIOMARA MARIA LUIZ</t>
  </si>
  <si>
    <t>121.840.688-70</t>
  </si>
  <si>
    <t>DIONE HANNAS DE CARVALHO</t>
  </si>
  <si>
    <t>906.111.286-91</t>
  </si>
  <si>
    <t>DIONILIA GALVAO FREIRE DIVINO</t>
  </si>
  <si>
    <t>291.912.888-43</t>
  </si>
  <si>
    <t>DIONISIO SAMUEL DOS SANTOS LEAO</t>
  </si>
  <si>
    <t>470.231.578-16</t>
  </si>
  <si>
    <t>Dioniza Maria da Silva</t>
  </si>
  <si>
    <t>253.459.328-59</t>
  </si>
  <si>
    <t>DIRCE ARAUJO DE SOUZA MARTINS</t>
  </si>
  <si>
    <t>353.610.028-79</t>
  </si>
  <si>
    <t>DIRCEU ALVES DE BRITO</t>
  </si>
  <si>
    <t>223.706.998-09</t>
  </si>
  <si>
    <t>DIRLENE ROCHA FERNANDES</t>
  </si>
  <si>
    <t>159.629.408-65</t>
  </si>
  <si>
    <t>DISPEMEC DISTR. PECAS MECANICAS LTDA</t>
  </si>
  <si>
    <t>48.271.332/0001-37</t>
  </si>
  <si>
    <t>DISTRIBUIDORA ÁGUA BOA LTDA</t>
  </si>
  <si>
    <t>44.223.526/0001-06</t>
  </si>
  <si>
    <t>DISTRIBUIDORA BRAZLIMP LTDA</t>
  </si>
  <si>
    <t>26.844.478/0001-91</t>
  </si>
  <si>
    <t>DISTRIBUIDORA DE DESCARTAVEIS E PRODUTOS DE LIMPEZA VITORIA LTDA</t>
  </si>
  <si>
    <t>60.619.358/0001-29</t>
  </si>
  <si>
    <t>DISTRIBUIDORA DE MEDICAMENTOS BACKES LTDA</t>
  </si>
  <si>
    <t>25.279.552/0001-01</t>
  </si>
  <si>
    <t>DIUSNELDA MATOS</t>
  </si>
  <si>
    <t>099.877.428-66</t>
  </si>
  <si>
    <t>DIVALDO DOS SANTOS BRAZ FILHO</t>
  </si>
  <si>
    <t>378.318.618-82</t>
  </si>
  <si>
    <t>DJALMA ALVES ROCHA</t>
  </si>
  <si>
    <t>288.311.118-92</t>
  </si>
  <si>
    <t>DJALMA GONÇALVES DA CUNHA LORENO</t>
  </si>
  <si>
    <t>402.349.268-05</t>
  </si>
  <si>
    <t>DJANIR JOSE DINIZ</t>
  </si>
  <si>
    <t>159.620.938-01</t>
  </si>
  <si>
    <t>DJANIRA CARNEIRO DE LIMA SOUZA</t>
  </si>
  <si>
    <t>019.547.578-08</t>
  </si>
  <si>
    <t>DLLB COMÉRCIO E SERVIÇOS DE INFORMÁ</t>
  </si>
  <si>
    <t>28.569.290/0001-08</t>
  </si>
  <si>
    <t>DNA ALMEIDA SERVICOS DE TRANSPORTES LTDA</t>
  </si>
  <si>
    <t>49.329.913/0001-45</t>
  </si>
  <si>
    <t>DOMENICA CINTRA GOULART DA SILVA</t>
  </si>
  <si>
    <t>334.867.058-65</t>
  </si>
  <si>
    <t>DOMENICO BRINDES PROMOCIONAIS LTDA</t>
  </si>
  <si>
    <t>11.649.507/0001-97</t>
  </si>
  <si>
    <t>Domingos Guarnieri Bisneto</t>
  </si>
  <si>
    <t>420.195.828-05</t>
  </si>
  <si>
    <t>DOMINGUES &amp; QUINA FISIOTERAPIA LTDA</t>
  </si>
  <si>
    <t>13.014.720/0001-58</t>
  </si>
  <si>
    <t>DOMINIC VITORIA COSTA</t>
  </si>
  <si>
    <t>464.702.108-48</t>
  </si>
  <si>
    <t>DOMINIQUE MORAES SOUSA</t>
  </si>
  <si>
    <t>106.645.078-16</t>
  </si>
  <si>
    <t>DONIZETE DE PAULA SANTOS</t>
  </si>
  <si>
    <t>901.761.628-87</t>
  </si>
  <si>
    <t>DONIZETE JOAO FRANGIOTTI</t>
  </si>
  <si>
    <t>527.553.479-53</t>
  </si>
  <si>
    <t>Donizeti Pereira dos Santos</t>
  </si>
  <si>
    <t>170.228.018-78</t>
  </si>
  <si>
    <t>DONIZETTI APARECIDO BARBOSA</t>
  </si>
  <si>
    <t>999.699.558-53</t>
  </si>
  <si>
    <t>DORA DEL PILAR KCOMT DOS SANTOS</t>
  </si>
  <si>
    <t>233.446.118-01</t>
  </si>
  <si>
    <t>DORALICE DO PRADO</t>
  </si>
  <si>
    <t>026.137.498-22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</si>
  <si>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</si>
  <si>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</si>
  <si>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</si>
  <si>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</si>
  <si>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</si>
  <si>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</si>
  <si>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</si>
  <si>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</si>
  <si>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</si>
  <si>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</si>
  <si>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</si>
  <si>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</si>
  <si>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</si>
  <si>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</si>
  <si>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</si>
  <si>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</si>
  <si>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Faria Mello</t>
  </si>
  <si>
    <t>162.856.748-17</t>
  </si>
  <si>
    <t>DOUGLAS FERNANDO BOTELHO DE CAMP</t>
  </si>
  <si>
    <t>159.630.368-95</t>
  </si>
  <si>
    <t>DOUGLAS FREITAS DE AQUINO</t>
  </si>
  <si>
    <t>380.352.728-70</t>
  </si>
  <si>
    <t>DOUGLAS HENRIQUE DE ABREU SILVA</t>
  </si>
  <si>
    <t>388.504.958-97</t>
  </si>
  <si>
    <t>DOUGLAS HENRIQUE DOS REIS</t>
  </si>
  <si>
    <t>276.744.578-50</t>
  </si>
  <si>
    <t>DOUGLAS JEREMIAS DO CARMO</t>
  </si>
  <si>
    <t>316.828.598-60</t>
  </si>
  <si>
    <t>DOUGLAS LAZZARINI DUTRA</t>
  </si>
  <si>
    <t>335.396.688-96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</si>
  <si>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</si>
  <si>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</si>
  <si>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</si>
  <si>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</si>
  <si>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</si>
  <si>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</si>
  <si>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</si>
  <si>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</si>
  <si>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Sandoval Vieira</t>
  </si>
  <si>
    <t>096.128.635-04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</si>
  <si>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</si>
  <si>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</si>
  <si>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</si>
  <si>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</si>
  <si>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</si>
  <si>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</si>
  <si>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</si>
  <si>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</si>
  <si>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DOUGLAS WILLIAM BATISTA DA SILVA</t>
  </si>
  <si>
    <t>388.951.148-17</t>
  </si>
  <si>
    <t>DOUGLAS WILLIAM DA SILVA CALIXTO</t>
  </si>
  <si>
    <t>386.217.528-67</t>
  </si>
  <si>
    <t>DR. RUBENS ESCUDERO ODONTOLOGIA LTDA</t>
  </si>
  <si>
    <t>53.944.998/0001-49</t>
  </si>
  <si>
    <t>DRIELE BERNARDES LUIZ</t>
  </si>
  <si>
    <t>462.721.938-58</t>
  </si>
  <si>
    <t>DRIELI COSTA CUTRIM RODRIGUES</t>
  </si>
  <si>
    <t>496.451.628-82</t>
  </si>
  <si>
    <t>DRIELLEN FERNANDA OLIVEIRA</t>
  </si>
  <si>
    <t>357.335.208-17</t>
  </si>
  <si>
    <t>DROGAFONTE LTDA</t>
  </si>
  <si>
    <t>08.778.201/0001-26</t>
  </si>
  <si>
    <t>DROGARIA AMARAL SOCIEDADE UNIPESSOAL LTDA</t>
  </si>
  <si>
    <t>51.336.832/0001-14</t>
  </si>
  <si>
    <t>DROGARIA DO WAL LTDA</t>
  </si>
  <si>
    <t>45.028.728/0001-60</t>
  </si>
  <si>
    <t>DROGARIA SAO LUCAS SJCAMPOS LTDA</t>
  </si>
  <si>
    <t>55.304.471/0001-85</t>
  </si>
  <si>
    <t>DROGARIAS MOREIRA E OLIVEIRA LTDA</t>
  </si>
  <si>
    <t>47.550.314/0001-21</t>
  </si>
  <si>
    <t>DSF - DESENVOLVIMENTO DE SISTEMAS FISCAIS LTDA</t>
  </si>
  <si>
    <t>02.646.676/0001-82</t>
  </si>
  <si>
    <t>DUBEK ENGENHARIA E CONSTRUCAO LTDA</t>
  </si>
  <si>
    <t>57.843.757/0001-64</t>
  </si>
  <si>
    <t>DULCELENA FERREIRA</t>
  </si>
  <si>
    <t>109.586.598-69</t>
  </si>
  <si>
    <t>DULCINEIA APARECIDA TOMAZ PEDRO</t>
  </si>
  <si>
    <t>598.875.679-49</t>
  </si>
  <si>
    <t>DULCINEIA DE OLIVEIRA RAMOS</t>
  </si>
  <si>
    <t>077.343.858-00</t>
  </si>
  <si>
    <t>DULCINEIA ERNESTO ALMEIDA</t>
  </si>
  <si>
    <t>159.412.258-06</t>
  </si>
  <si>
    <t>DUPATRI HOSPITALAR COMERCIO, IMPORTACAO E EXPORTACAO LTDA.</t>
  </si>
  <si>
    <t>04.027.894/0007-50</t>
  </si>
  <si>
    <t>Dyun Thiago Kimura</t>
  </si>
  <si>
    <t>380.518.068-32</t>
  </si>
  <si>
    <t>DZ NOVE DISTRIBUIDORA DE EQUIPAMENTOS E ACESSORIOS LTDA</t>
  </si>
  <si>
    <t>45.275.148/0001-77</t>
  </si>
  <si>
    <t>E. A. REGULARIZAÇÃO IMOBILIARIA LTDA</t>
  </si>
  <si>
    <t>56.659.070/0001-00</t>
  </si>
  <si>
    <t>E D ESPORTE DEZ</t>
  </si>
  <si>
    <t>15.231.258/0001-76</t>
  </si>
  <si>
    <t>E L MACHADO MEDICAMENTOS LTDA.</t>
  </si>
  <si>
    <t>08.734.023/0001-31</t>
  </si>
  <si>
    <t>E. MICHELE TENEDINI ARQUITETURA</t>
  </si>
  <si>
    <t>54.991.257/0001-81</t>
  </si>
  <si>
    <t>E X M CONSTRUTORA E INCORPORADORA LTDA</t>
  </si>
  <si>
    <t>06.319.581/0001-05</t>
  </si>
  <si>
    <t>EANACUNHA COMERCIO E SERVICOS DE ARTIGOS DO VESTUARIO E ACESSORIOS LTDA</t>
  </si>
  <si>
    <t>09.401.499/0001-13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</si>
  <si>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</si>
  <si>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</si>
  <si>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</si>
  <si>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</si>
  <si>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</si>
  <si>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</si>
  <si>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EBTS EMPRESA BRASILEIRA DE TECNOLOGIAS E SISTEMAS</t>
  </si>
  <si>
    <t>10.506.271/0001-77</t>
  </si>
  <si>
    <t>ECCO LIBERTY SOLUCOES AMBIENTAIS LTDA</t>
  </si>
  <si>
    <t>19.142.746/0001-68</t>
  </si>
  <si>
    <t>ECO AMERICAS RECICLAGEM E SERVICOS LTDA</t>
  </si>
  <si>
    <t>19.559.584/0001-68</t>
  </si>
  <si>
    <t>ECO SYSTEM SERVICOS INTEGRADOS LTDA - EPP</t>
  </si>
  <si>
    <t>58.454.588/0001-33</t>
  </si>
  <si>
    <t>ECO 1000RECICLAGEM DE SUCATAS COM E SERV ADM E EMPRESARIAIS EIRELI</t>
  </si>
  <si>
    <t>16.724.931/0001-72</t>
  </si>
  <si>
    <t>ECOEX PARTICIPACOES EIRELI</t>
  </si>
  <si>
    <t>07.862.024/0001-07</t>
  </si>
  <si>
    <t>ECOFOREST INDUSTRIA E COMERCIO DE PLASTICOS LTDA</t>
  </si>
  <si>
    <t>24.803.547/0001-93</t>
  </si>
  <si>
    <t>ECOLIMP SISTEMA DE HIGIENE LTDA</t>
  </si>
  <si>
    <t>05.467.061/0001-87</t>
  </si>
  <si>
    <t>ECOO DIVULGACOES COMERCIAIS LTDA</t>
  </si>
  <si>
    <t>96.488.879/0001-31</t>
  </si>
  <si>
    <t>ECOVALE CONSULTORIA AGROAMBIENTAL LTDA</t>
  </si>
  <si>
    <t>12.464.155/0001-68</t>
  </si>
  <si>
    <t>ED WILSON LANDIM CASSAL</t>
  </si>
  <si>
    <t>183.931.848-19</t>
  </si>
  <si>
    <t>EDCARLOS GONÇALVES DA SILVA BARBOSA</t>
  </si>
  <si>
    <t>264.795.538-70</t>
  </si>
  <si>
    <t>EDEILZA TRINDADE DOS SANTOS</t>
  </si>
  <si>
    <t>036.945.665-38</t>
  </si>
  <si>
    <t>EDELCIO MOTA DE ANDRADE</t>
  </si>
  <si>
    <t>288.624.928-98</t>
  </si>
  <si>
    <t>Edemilson Gutz dos Santos</t>
  </si>
  <si>
    <t>075.906.079-75</t>
  </si>
  <si>
    <t>EDEN LAR</t>
  </si>
  <si>
    <t>60.214.913/0001-32</t>
  </si>
  <si>
    <t>EDEN ROSSI DE LIMA JUNIOR</t>
  </si>
  <si>
    <t>352.742.428-80</t>
  </si>
  <si>
    <t>EDER COSTA RAMOS</t>
  </si>
  <si>
    <t>306.491.928-85</t>
  </si>
  <si>
    <t>EDER DA SILVA SANTOS</t>
  </si>
  <si>
    <t>341.963.468-47</t>
  </si>
  <si>
    <t>EDER HENRIQUE DOS SANTOS</t>
  </si>
  <si>
    <t>144.572.588-65</t>
  </si>
  <si>
    <t>EDER PRADO REDUA</t>
  </si>
  <si>
    <t>046.898.058-06</t>
  </si>
  <si>
    <t>EDERSON ALEX DE CARVALHO</t>
  </si>
  <si>
    <t>377.794.458-01</t>
  </si>
  <si>
    <t>EDERSON FERNANDES DONIZETI ALVES</t>
  </si>
  <si>
    <t>421.890.588-64</t>
  </si>
  <si>
    <t>EDEVALDO DE OLIVEIRA SAMUEL</t>
  </si>
  <si>
    <t>026.103.318-27</t>
  </si>
  <si>
    <t>EDGAR APARECIDO DOS SANTOS</t>
  </si>
  <si>
    <t>222.163.438-11</t>
  </si>
  <si>
    <t>EDGAR DE ANDRADE JUNIOR</t>
  </si>
  <si>
    <t>294.233.618-89</t>
  </si>
  <si>
    <t>EDGARD JOSE LUIZ</t>
  </si>
  <si>
    <t>075.444.978-52</t>
  </si>
  <si>
    <t>EDGARD NOVAES DOMINGUES</t>
  </si>
  <si>
    <t>300.988.248-30</t>
  </si>
  <si>
    <t>EDICLEIA GOMES DOS SANTOS</t>
  </si>
  <si>
    <t>365.976.848-00</t>
  </si>
  <si>
    <t>EDIFICIO SANTORINI</t>
  </si>
  <si>
    <t>04.350.996/0001-16</t>
  </si>
  <si>
    <t>EDIFICIO TERRAZZO DI JAVA</t>
  </si>
  <si>
    <t>40.139.656/0001-04</t>
  </si>
  <si>
    <t>EDILAINE DE OLIVEIRA SILVA SANTOS</t>
  </si>
  <si>
    <t>346.643.848-90</t>
  </si>
  <si>
    <t>EDILAN AZEVEDO DE OLIVEIRA</t>
  </si>
  <si>
    <t>426.178.408-40</t>
  </si>
  <si>
    <t>Edilania da Silva Bezerra</t>
  </si>
  <si>
    <t>864.982.435-89</t>
  </si>
  <si>
    <t>EDILANIA DO NASCIMENTO</t>
  </si>
  <si>
    <t>272.878.918-59</t>
  </si>
  <si>
    <t>EDILEA M DE OLIVEIRA SERVICOS ADMINISTRATIVOS</t>
  </si>
  <si>
    <t>48.846.043/0001-19</t>
  </si>
  <si>
    <t>EDILEINE DE CARVALHO BREVES</t>
  </si>
  <si>
    <t>162.680.878-36</t>
  </si>
  <si>
    <t>EDILENE APARECIDA DE GODOI</t>
  </si>
  <si>
    <t>081.247.898-35</t>
  </si>
  <si>
    <t>EDILENE GUEDES DE OLIVEIRA DA SILVA</t>
  </si>
  <si>
    <t>319.817.168-74</t>
  </si>
  <si>
    <t>EDILENE MARTIMIANO GONCALVES</t>
  </si>
  <si>
    <t>071.293.468-50</t>
  </si>
  <si>
    <t>EDILEUSA BARBOSA DA SILVA</t>
  </si>
  <si>
    <t>451.304.418-77</t>
  </si>
  <si>
    <t>EDILSON LUIS DE OLIVEIRA</t>
  </si>
  <si>
    <t>265.359.008-51</t>
  </si>
  <si>
    <t>EDILSON VIEIRA DOS SANTOS</t>
  </si>
  <si>
    <t>401.418.138-30</t>
  </si>
  <si>
    <t>EDINALDO DA SILVA GOULART</t>
  </si>
  <si>
    <t>250.700.348-04</t>
  </si>
  <si>
    <t>Edinaldo da Silva Pereira</t>
  </si>
  <si>
    <t>368.662.048-01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</si>
  <si>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</si>
  <si>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</si>
  <si>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</si>
  <si>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</si>
  <si>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</si>
  <si>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</si>
  <si>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</si>
  <si>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</si>
  <si>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EDITAL COMERCIO DE ARTEFATOS DE PAPEL E GRAFICA LTDA</t>
  </si>
  <si>
    <t>08.845.263/0001-03</t>
  </si>
  <si>
    <t>EDITORA WMF MARTINS FONTES LTDA</t>
  </si>
  <si>
    <t>08.463.170/0003-86</t>
  </si>
  <si>
    <t>EDIVALDO SILVIO MARQUES</t>
  </si>
  <si>
    <t>121.852.968-76</t>
  </si>
  <si>
    <t>EDIVAN DA SILVA ALVES</t>
  </si>
  <si>
    <t>274.474.548-00</t>
  </si>
  <si>
    <t>EDIVAN DA SILVA COSTA</t>
  </si>
  <si>
    <t>364.884.898-44</t>
  </si>
  <si>
    <t>EDJANE JESUS LEAL</t>
  </si>
  <si>
    <t>224.600.188-94</t>
  </si>
  <si>
    <t>EDLAINE ROSA ESTEVÃO</t>
  </si>
  <si>
    <t>216.920.228-57</t>
  </si>
  <si>
    <t>EDLEUZA MARIA RIBEIRO</t>
  </si>
  <si>
    <t>614.053.104-72</t>
  </si>
  <si>
    <t>EDMAR OTT</t>
  </si>
  <si>
    <t>072.444.248-09</t>
  </si>
  <si>
    <t>EDMARA ALICE FERREIRA LUCAS</t>
  </si>
  <si>
    <t>299.557.568-37</t>
  </si>
  <si>
    <t>EDMARA APARECIDA DA SILVA</t>
  </si>
  <si>
    <t>216.505.348-09</t>
  </si>
  <si>
    <t>EDMARCOS SILVA VELOSO</t>
  </si>
  <si>
    <t>012.306.636-06</t>
  </si>
  <si>
    <t>Edmeire Sousa Gonsalves</t>
  </si>
  <si>
    <t>264.088.078-01</t>
  </si>
  <si>
    <t>EDMILSON DE JESUS DA SILVA</t>
  </si>
  <si>
    <t>258.329.118-14</t>
  </si>
  <si>
    <t>EDMILSON PORFIRIO DA SILVA LOCAÇÃO E CONSTRUÇÃO CIVIL ME</t>
  </si>
  <si>
    <t>04.859.525/0001-38</t>
  </si>
  <si>
    <t>EDMILSON RAMOS DOS SANTOS SCANDOLA</t>
  </si>
  <si>
    <t>146.034.488-05</t>
  </si>
  <si>
    <t>EDMILSON SILVEIRA DOS SANTOS</t>
  </si>
  <si>
    <t>199.104.508-52</t>
  </si>
  <si>
    <t>EDNA APARECIDA DOS SANTOS</t>
  </si>
  <si>
    <t>234.796.798-38</t>
  </si>
  <si>
    <t>EDNA AUGUSTA DOS SANTOS CUNHA</t>
  </si>
  <si>
    <t>093.924.488-80</t>
  </si>
  <si>
    <t>EDNA DE CASTRO SOUSA</t>
  </si>
  <si>
    <t>14.867.236/0001-34</t>
  </si>
  <si>
    <t>EDNA FONSECA RIBEIRO</t>
  </si>
  <si>
    <t>274.782.498-50</t>
  </si>
  <si>
    <t>EDNA GOMES SILVA</t>
  </si>
  <si>
    <t>159.417.728-74</t>
  </si>
  <si>
    <t>EDNA MARIA VILELA HILARIO</t>
  </si>
  <si>
    <t>082.988.268-50</t>
  </si>
  <si>
    <t>EDNA MARQUES LIMA SOUZA</t>
  </si>
  <si>
    <t>078.435.917-29</t>
  </si>
  <si>
    <t>EDNA OLIVEIRA DA RESSURREICAO FIGUEIREDO</t>
  </si>
  <si>
    <t>087.402.738-14</t>
  </si>
  <si>
    <t>EDNA RAYMUNDO DE SOUZA</t>
  </si>
  <si>
    <t>250.101.608-46</t>
  </si>
  <si>
    <t>EDNA SILVA RIBEIRO</t>
  </si>
  <si>
    <t>337.364.688-06</t>
  </si>
  <si>
    <t>EDNALDA FRANCISCA DE SOUZA</t>
  </si>
  <si>
    <t>256.990.768-59</t>
  </si>
  <si>
    <t>EDNELSON ANTONIO RODRIGUES</t>
  </si>
  <si>
    <t>093.283.036-64</t>
  </si>
  <si>
    <t>EDNILSON JOSE SCARPARO</t>
  </si>
  <si>
    <t>261.132.068-31</t>
  </si>
  <si>
    <t>EDP SAO PAULO DISTRIBUICAO DE ENERGIA S.A.</t>
  </si>
  <si>
    <t>02.302.100/0001-06</t>
  </si>
  <si>
    <t>EDRES EDUARDO DE SOUZA MOREIRA</t>
  </si>
  <si>
    <t>408.938.328-55</t>
  </si>
  <si>
    <t>EDSON ALMEIDA SERAFIM</t>
  </si>
  <si>
    <t>159.587.078-41</t>
  </si>
  <si>
    <t>EDSON ARAUJO PONTES</t>
  </si>
  <si>
    <t>183.923.848-81</t>
  </si>
  <si>
    <t>EDSON BRAGA DOS SANTOS</t>
  </si>
  <si>
    <t>289.688.718-09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</si>
  <si>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</si>
  <si>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</si>
  <si>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</si>
  <si>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</si>
  <si>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</si>
  <si>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</si>
  <si>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</si>
  <si>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</si>
  <si>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DE PAULA SILVA</t>
  </si>
  <si>
    <t>218.594.848-24</t>
  </si>
  <si>
    <t>EDSON DO CARMO RODRIGUES</t>
  </si>
  <si>
    <t>199.237.558-51</t>
  </si>
  <si>
    <t>EDSON INACIO DAMASIO</t>
  </si>
  <si>
    <t>314.145.028-50</t>
  </si>
  <si>
    <t>EDSON JOSE ANTUNES</t>
  </si>
  <si>
    <t>013.507.868-70</t>
  </si>
  <si>
    <t>EDSON JOSE VIEIRA</t>
  </si>
  <si>
    <t>268.422.828-02</t>
  </si>
  <si>
    <t>EDSON JUNIO DE MARINS</t>
  </si>
  <si>
    <t>448.105.178-70</t>
  </si>
  <si>
    <t>EDSON JUNIO SOUZA DA PAIXÃO</t>
  </si>
  <si>
    <t>144.483.856-39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</si>
  <si>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</si>
  <si>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</si>
  <si>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</si>
  <si>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</si>
  <si>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</si>
  <si>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</si>
  <si>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</si>
  <si>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</si>
  <si>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SAMPAIO DA SILVA</t>
  </si>
  <si>
    <t>076.584.258-00</t>
  </si>
  <si>
    <t>EDUARD SOGHOMONYAN</t>
  </si>
  <si>
    <t>236.044.428-00</t>
  </si>
  <si>
    <t>EDUARDA ALVES SAMPAIO SILVA</t>
  </si>
  <si>
    <t>488.087.198-20</t>
  </si>
  <si>
    <t>EDUARDA BRAGA DE SOUZA</t>
  </si>
  <si>
    <t>505.078.568-56</t>
  </si>
  <si>
    <t>EDUARDA LANDIM DA SILVA</t>
  </si>
  <si>
    <t>445.209.888-61</t>
  </si>
  <si>
    <t>EDUARDA SOUZA DARMIELI SANTOS</t>
  </si>
  <si>
    <t>109.506.579-30</t>
  </si>
  <si>
    <t>EDUARDO &amp; FERNANDO ODONTOLOGIA LTDA</t>
  </si>
  <si>
    <t>21.744.949/0001-76</t>
  </si>
  <si>
    <t>EDUARDO ALEXANDRE ASSUNCAO DOS SANTOS</t>
  </si>
  <si>
    <t>499.827.898-30</t>
  </si>
  <si>
    <t>EDUARDO AMORIM DE SEIXAS</t>
  </si>
  <si>
    <t>454.247.198-56</t>
  </si>
  <si>
    <t>EDUARDO BARBOSA DE MIRANDA</t>
  </si>
  <si>
    <t>230.390.098-00</t>
  </si>
  <si>
    <t>EDUARDO BARTOLOMEI ORRU</t>
  </si>
  <si>
    <t>644.618.906-00</t>
  </si>
  <si>
    <t>Eduardo Borovec Polli</t>
  </si>
  <si>
    <t>528.530.568-30</t>
  </si>
  <si>
    <t>EDUARDO CARIS</t>
  </si>
  <si>
    <t>401.335.268-01</t>
  </si>
  <si>
    <t>EDUARDO CASTILHO DE OLIVEIRA SILVA</t>
  </si>
  <si>
    <t>329.652.298-09</t>
  </si>
  <si>
    <t>EDUARDO CORREA BARBOSA</t>
  </si>
  <si>
    <t>384.422.208-10</t>
  </si>
  <si>
    <t>EDUARDO CORREIA DE LIMA</t>
  </si>
  <si>
    <t>250.101.958-01</t>
  </si>
  <si>
    <t>EDUARDO CUNHA MONTESI</t>
  </si>
  <si>
    <t>053.826.258-32</t>
  </si>
  <si>
    <t>Eduardo da Veiga Alves</t>
  </si>
  <si>
    <t>106.437.429-80</t>
  </si>
  <si>
    <t>EDUARDO DANTAS BRINO</t>
  </si>
  <si>
    <t>249.894.678-09</t>
  </si>
  <si>
    <t>EDUARDO DE ABREU NASCIMENTO</t>
  </si>
  <si>
    <t>638.361.229-87</t>
  </si>
  <si>
    <t>EDUARDO DE OLIVEIRA RIBEIRO</t>
  </si>
  <si>
    <t>503.919.068-95</t>
  </si>
  <si>
    <t>EDUARDO DE OLIVEIRA SILVA</t>
  </si>
  <si>
    <t>284.388.368-79</t>
  </si>
  <si>
    <t>Eduardo de Souza e Vieira</t>
  </si>
  <si>
    <t>701.486.236-70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</si>
  <si>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</si>
  <si>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</si>
  <si>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</si>
  <si>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</si>
  <si>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</si>
  <si>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</si>
  <si>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H. CASSIANO MOTTA</t>
  </si>
  <si>
    <t>385.550.818-66</t>
  </si>
  <si>
    <t>Eduardo Henrique Cunha de Barros</t>
  </si>
  <si>
    <t>426.636.208-07</t>
  </si>
  <si>
    <t>EDUARDO HENRIQUE SANTOS DO VALE</t>
  </si>
  <si>
    <t>486.968.218-40</t>
  </si>
  <si>
    <t>EDUARDO IWAO GARCIA REIS KUNIHIRO</t>
  </si>
  <si>
    <t>448.698.598-23</t>
  </si>
  <si>
    <t>EDUARDO LEAL TEODORO</t>
  </si>
  <si>
    <t>322.002.808-07</t>
  </si>
  <si>
    <t>Eduardo Mascarenhas dos Santos</t>
  </si>
  <si>
    <t>083.274.825-05</t>
  </si>
  <si>
    <t>EDUARDO MORENO QUEIROGA DE ASSIS</t>
  </si>
  <si>
    <t>564.588.458-20</t>
  </si>
  <si>
    <t>EDUARDO OLIVEIRA D ANGELO</t>
  </si>
  <si>
    <t>019.688.498-58</t>
  </si>
  <si>
    <t>EDUARDO OTERI FACADIO DE MELO</t>
  </si>
  <si>
    <t>221.716.798-75</t>
  </si>
  <si>
    <t>EDUARDO RIVAIL MARQUES</t>
  </si>
  <si>
    <t>270.186.568-93</t>
  </si>
  <si>
    <t>EDUARDO RODRIGUES DE LIMA TRANSPORTES LTDA</t>
  </si>
  <si>
    <t>11.025.312/0001-76</t>
  </si>
  <si>
    <t>EDUARDO SALOMAO OLIVEIRA BRITO</t>
  </si>
  <si>
    <t>039.962.184-94</t>
  </si>
  <si>
    <t>Eduardo Santos Machado</t>
  </si>
  <si>
    <t>046.086.600-12</t>
  </si>
  <si>
    <t>EDVALDO CARDOSO DOS SANTOS</t>
  </si>
  <si>
    <t>199.250.238-23</t>
  </si>
  <si>
    <t>Edvaldo Firme da Cruz Junior</t>
  </si>
  <si>
    <t>430.950.788-38</t>
  </si>
  <si>
    <t>EDVALDO LINO DA SILVA</t>
  </si>
  <si>
    <t>916.688.758-53</t>
  </si>
  <si>
    <t>EDVALDO MASCARENHAS SANTOS</t>
  </si>
  <si>
    <t>194.238.018-62</t>
  </si>
  <si>
    <t>EDVALDO SERAFIM RODRIGUES</t>
  </si>
  <si>
    <t>044.172.238-58</t>
  </si>
  <si>
    <t>EDVAN DA SILVA DORNELAS</t>
  </si>
  <si>
    <t>117.851.947-39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</si>
  <si>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</si>
  <si>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</si>
  <si>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</si>
  <si>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</si>
  <si>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</si>
  <si>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</si>
  <si>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EDVANIO PEREIRA NEVES</t>
  </si>
  <si>
    <t>354.887.138-08</t>
  </si>
  <si>
    <t>EDVELTO AMARO</t>
  </si>
  <si>
    <t>323.925.958-36</t>
  </si>
  <si>
    <t>EDVILSON DE MATOS RIBEIRO</t>
  </si>
  <si>
    <t>303.740.248-20</t>
  </si>
  <si>
    <t>EDWARD SEBASTIAO FELIX</t>
  </si>
  <si>
    <t>831.309.008-10</t>
  </si>
  <si>
    <t>EDY VICTOR OLIVEIRA ARAÚJO</t>
  </si>
  <si>
    <t>451.785.978-93</t>
  </si>
  <si>
    <t>EFRATA COMERCIAL LTDA - EPP</t>
  </si>
  <si>
    <t>68.170.836/0001-78</t>
  </si>
  <si>
    <t>EGLE GOMES VALLE</t>
  </si>
  <si>
    <t>128.335.778-00</t>
  </si>
  <si>
    <t>EIDER JUNIO PARENTE COSTA</t>
  </si>
  <si>
    <t>229.989.168-48</t>
  </si>
  <si>
    <t>Eimilly Barreto dos Santos</t>
  </si>
  <si>
    <t>591.056.638-57</t>
  </si>
  <si>
    <t>EISHELLA RUBIA SILVA DA CRUZ</t>
  </si>
  <si>
    <t>153.459.596-17</t>
  </si>
  <si>
    <t>ELAINE ALVES PESSOA</t>
  </si>
  <si>
    <t>405.196.808-12</t>
  </si>
  <si>
    <t>ELAINE APARECIDA MARGIOTTI</t>
  </si>
  <si>
    <t>199.191.578-05</t>
  </si>
  <si>
    <t>ELAINE BATISTA SANTOS ARRUDA</t>
  </si>
  <si>
    <t>274.291.328-98</t>
  </si>
  <si>
    <t>ELAINE CAMPOS MACHADO MATHIAS</t>
  </si>
  <si>
    <t>312.859.308-60</t>
  </si>
  <si>
    <t>ELAINE CRISTINA BACELLAR CORRES</t>
  </si>
  <si>
    <t>159.600.938-12</t>
  </si>
  <si>
    <t>ELAINE CRISTINA BORGES RIBEIRO</t>
  </si>
  <si>
    <t>269.814.008-98</t>
  </si>
  <si>
    <t>ELAINE CRISTINA BRITO FONSECA</t>
  </si>
  <si>
    <t>185.741.158-78</t>
  </si>
  <si>
    <t>ELAINE CRISTINA DOS SANTOS CHAGAS</t>
  </si>
  <si>
    <t>252.106.818-74</t>
  </si>
  <si>
    <t>ELAINE CRISTINA NASCIMENTO RODRIGUES</t>
  </si>
  <si>
    <t>220.078.718-90</t>
  </si>
  <si>
    <t>ELAINE CRISTINA RIBEIRO LOPES</t>
  </si>
  <si>
    <t>272.172.258-17</t>
  </si>
  <si>
    <t>ELAINE CRISTINA SPARTANI</t>
  </si>
  <si>
    <t>106.122.228-45</t>
  </si>
  <si>
    <t>ELAINE CRISTINA VIEIRA</t>
  </si>
  <si>
    <t>316.870.038-07</t>
  </si>
  <si>
    <t>ELAINE EULALIA SILVA DOS SANTOS</t>
  </si>
  <si>
    <t>277.641.548-65</t>
  </si>
  <si>
    <t>ELAINE MANTOVANI DOS SANTOS CORREA</t>
  </si>
  <si>
    <t>285.603.008-48</t>
  </si>
  <si>
    <t>ELAINE OLIVEIRA SOUZA</t>
  </si>
  <si>
    <t>010.237.351-56</t>
  </si>
  <si>
    <t>ELAINE PEDROSO MACEDO</t>
  </si>
  <si>
    <t>327.470.878-08</t>
  </si>
  <si>
    <t>ELAINE RODRIGUES DE LIMA</t>
  </si>
  <si>
    <t>253.476.398-90</t>
  </si>
  <si>
    <t>ELAINE RODRIGUES SOCIEDADE INDIVIDUAL DE ADVOCACIA</t>
  </si>
  <si>
    <t>42.951.845/0001-02</t>
  </si>
  <si>
    <t>ELAINE SIMONE MIRANDA DA SILVA</t>
  </si>
  <si>
    <t>262.573.958-44</t>
  </si>
  <si>
    <t>ELASTIM MABORIN SOLUCOES PARA MANUTENCAO INDUSTRIAL LTDA</t>
  </si>
  <si>
    <t>21.354.944/0001-37</t>
  </si>
  <si>
    <t>ELB PRODUCOES E EVENTOS LTDA</t>
  </si>
  <si>
    <t>47.135.246/0001-34</t>
  </si>
  <si>
    <t>ELBA HELOISA APARECIDA MARTINS RIBEIRO DA SILVA</t>
  </si>
  <si>
    <t>060.546.616-55</t>
  </si>
  <si>
    <t>ELBA MARIA DA SILVA ALENCAR</t>
  </si>
  <si>
    <t>823.911.734-15</t>
  </si>
  <si>
    <t>Elcio Marques da Luz</t>
  </si>
  <si>
    <t>257.355.928-90</t>
  </si>
  <si>
    <t>ELDER LORENA DOS SANTOS</t>
  </si>
  <si>
    <t>400.232.638-14</t>
  </si>
  <si>
    <t>ELEGRAN MATERIAIS LTDA</t>
  </si>
  <si>
    <t>22.960.688/0001-94</t>
  </si>
  <si>
    <t>ELEN CRISTINA DA SILVA LOPES</t>
  </si>
  <si>
    <t>424.713.448-52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</si>
  <si>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</si>
  <si>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</si>
  <si>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</si>
  <si>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</si>
  <si>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</si>
  <si>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</si>
  <si>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ELENICE SILVA GABARDON</t>
  </si>
  <si>
    <t>109.772.278-39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</si>
  <si>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</si>
  <si>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</si>
  <si>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</si>
  <si>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</si>
  <si>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</si>
  <si>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</si>
  <si>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ELETROCODEX COMERCIO DE MATERIAIS ELETRICOS LTDA EPP</t>
  </si>
  <si>
    <t>15.043.632/0001-00</t>
  </si>
  <si>
    <t>ELFA MEDICAMENTOS S.A.</t>
  </si>
  <si>
    <t>09.053.134/0001-45</t>
  </si>
  <si>
    <t>ELI CARLOS OLIVEIRA MOTA</t>
  </si>
  <si>
    <t>151.571.088-26</t>
  </si>
  <si>
    <t>ELIABE SANTOS DOS ANJOS</t>
  </si>
  <si>
    <t>244.701.198-90</t>
  </si>
  <si>
    <t>ELIAH FARMACIA DE MANIPULAÇÃO LTDA.</t>
  </si>
  <si>
    <t>68.577.063/0001-49</t>
  </si>
  <si>
    <t>ELIANA ALVES DOS SANTOS</t>
  </si>
  <si>
    <t>075.076.568-29</t>
  </si>
  <si>
    <t>ELIANA APARECIDA DA SILVA</t>
  </si>
  <si>
    <t>046.579.638-99</t>
  </si>
  <si>
    <t>ELIANA APARECIDA FELIX</t>
  </si>
  <si>
    <t>420.994.448-38</t>
  </si>
  <si>
    <t>ELIANA APARECIDA GOMES DA SILVA</t>
  </si>
  <si>
    <t>214.847.518-50</t>
  </si>
  <si>
    <t>ELIANA APARECIDA PAULA DOS SANTOS</t>
  </si>
  <si>
    <t>093.943.808-92</t>
  </si>
  <si>
    <t>ELIANA APARECIDA VIEIRA</t>
  </si>
  <si>
    <t>977.182.898-34</t>
  </si>
  <si>
    <t>ELIANA DE MORAIS</t>
  </si>
  <si>
    <t>214.840.168-82</t>
  </si>
  <si>
    <t>ELIANA DE OLIVEIRA</t>
  </si>
  <si>
    <t>252.107.998-75</t>
  </si>
  <si>
    <t>ELIANA DE SOUZA PAULA</t>
  </si>
  <si>
    <t>266.062.128-47</t>
  </si>
  <si>
    <t>ELIANA DOS SANTOS QUINTANILHA</t>
  </si>
  <si>
    <t>037.843.898-05</t>
  </si>
  <si>
    <t>ELIANA LIMA DE ARAUJO</t>
  </si>
  <si>
    <t>343.053.308-22</t>
  </si>
  <si>
    <t>ELIANA RAMOS FRAGA</t>
  </si>
  <si>
    <t>283.105.488-50</t>
  </si>
  <si>
    <t>ELIANA RODRIGUES DA SILVA</t>
  </si>
  <si>
    <t>125.742.967-10</t>
  </si>
  <si>
    <t>ELIANA SALETTI DE MORAES</t>
  </si>
  <si>
    <t>062.536.118-01</t>
  </si>
  <si>
    <t>ELIANE APARECIDA SILVA CHAGAS</t>
  </si>
  <si>
    <t>185.797.818-84</t>
  </si>
  <si>
    <t>ELIANE CRISTINA DE OLIVEIRA</t>
  </si>
  <si>
    <t>000.744.437-04</t>
  </si>
  <si>
    <t>ELIANE DE SANTANA FREITAS</t>
  </si>
  <si>
    <t>334.517.488-00</t>
  </si>
  <si>
    <t>ELIANE FERRERIA DOS SANTOS</t>
  </si>
  <si>
    <t>224.712.778-96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</si>
  <si>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</si>
  <si>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</si>
  <si>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</si>
  <si>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</si>
  <si>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</si>
  <si>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</si>
  <si>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RIBEIRO NUNES</t>
  </si>
  <si>
    <t>378.358.918-59</t>
  </si>
  <si>
    <t>ELIANE SHIRLEY ALBINO 06524547802</t>
  </si>
  <si>
    <t>23.016.232/0001-33</t>
  </si>
  <si>
    <t>ELIANGELA VILLA TEIXEIRA</t>
  </si>
  <si>
    <t>278.383.958-01</t>
  </si>
  <si>
    <t>ELIAS ANTONIO DE MARTINS</t>
  </si>
  <si>
    <t>372.730.538-05</t>
  </si>
  <si>
    <t>ELIAS GOMES DOS SANTOS</t>
  </si>
  <si>
    <t>392.474.227-87</t>
  </si>
  <si>
    <t>ELIAS MANOEL DA SILVA JUNIOR</t>
  </si>
  <si>
    <t>308.912.828-40</t>
  </si>
  <si>
    <t>ELIAS MARCOS DOS SANTOS</t>
  </si>
  <si>
    <t>254.593.708-84</t>
  </si>
  <si>
    <t>ELIAS PEREIRA JACINTHO</t>
  </si>
  <si>
    <t>379.799.768-00</t>
  </si>
  <si>
    <t>ELICARLA GAMA DA SILVA</t>
  </si>
  <si>
    <t>435.403.218-02</t>
  </si>
  <si>
    <t>ELIDISLEI DOS SANTOS</t>
  </si>
  <si>
    <t>150.305.488-82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</si>
  <si>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</si>
  <si>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</si>
  <si>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</si>
  <si>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</si>
  <si>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</si>
  <si>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</si>
  <si>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ELIEZER ZAC</t>
  </si>
  <si>
    <t>138.102.786-53</t>
  </si>
  <si>
    <t>ELINALDA MENDES BISPO</t>
  </si>
  <si>
    <t>277.203.078-44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</si>
  <si>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</si>
  <si>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</si>
  <si>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</si>
  <si>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</si>
  <si>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</si>
  <si>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</si>
  <si>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ELIO MOREIRA DA SILVA FILHO</t>
  </si>
  <si>
    <t>543.735.226-34</t>
  </si>
  <si>
    <t>ELIS VASCONCELOS MELLO PEREIRA DOS SANTOS</t>
  </si>
  <si>
    <t>415.986.748-03</t>
  </si>
  <si>
    <t>ELISA ANCELIA DA SILVA</t>
  </si>
  <si>
    <t>421.952.028-74</t>
  </si>
  <si>
    <t>ELISA COPPIO PINOTTI</t>
  </si>
  <si>
    <t>331.839.488-26</t>
  </si>
  <si>
    <t>ELISA DE ANDRADE GAMA</t>
  </si>
  <si>
    <t>266.903.018-18</t>
  </si>
  <si>
    <t>ELISA MATAYOSHI ASANOME</t>
  </si>
  <si>
    <t>066.104.568-44</t>
  </si>
  <si>
    <t>ELISABETE DA SILVA FEITOSA</t>
  </si>
  <si>
    <t>360.213.498-90</t>
  </si>
  <si>
    <t>ELISABETE DOS SANTOS MAIA</t>
  </si>
  <si>
    <t>247.809.098-80</t>
  </si>
  <si>
    <t>ELISABETE PAULA COSTA</t>
  </si>
  <si>
    <t>093.948.748-95</t>
  </si>
  <si>
    <t>ELISABETH APARECIDA DE GODOY</t>
  </si>
  <si>
    <t>336.688.888-17</t>
  </si>
  <si>
    <t>ELISABETH BUENO DE CAMARGO</t>
  </si>
  <si>
    <t>161.998.018-57</t>
  </si>
  <si>
    <t>ELISABETH PEREIRA</t>
  </si>
  <si>
    <t>789.509.618-49</t>
  </si>
  <si>
    <t>ELISAMA DE LIMA AURELIANO</t>
  </si>
  <si>
    <t>376.211.858-21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</si>
  <si>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</si>
  <si>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</si>
  <si>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</si>
  <si>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</si>
  <si>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</si>
  <si>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</si>
  <si>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APARECIDA DA SILVA</t>
  </si>
  <si>
    <t>257.707.558-81</t>
  </si>
  <si>
    <t>ELISANGELA APARECIDA FARIA PELIN</t>
  </si>
  <si>
    <t>264.917.268-19</t>
  </si>
  <si>
    <t>ELISANGELA APARECIDA RODRIGUES</t>
  </si>
  <si>
    <t>378.888.778-85</t>
  </si>
  <si>
    <t>ELISANGELA DE FATIMA FARIA RIBEIRO</t>
  </si>
  <si>
    <t>261.133.918-09</t>
  </si>
  <si>
    <t>ELISANGELA DE FATIMA MACHADO</t>
  </si>
  <si>
    <t>367.954.728-50</t>
  </si>
  <si>
    <t>ELISANGELA FERREIRA</t>
  </si>
  <si>
    <t>292.763.968-02</t>
  </si>
  <si>
    <t>ELISANGELA GARCIA ALFONSO DOS SANTOS</t>
  </si>
  <si>
    <t>054.199.971-00</t>
  </si>
  <si>
    <t>ELISANGELA MACHADO SANTOS</t>
  </si>
  <si>
    <t>283.299.248-07</t>
  </si>
  <si>
    <t>ELISANGELA MARIA DA SILVA</t>
  </si>
  <si>
    <t>218.301.278-10</t>
  </si>
  <si>
    <t>ELISANGELA OLIVEIRA SANTOS PINHEIRO</t>
  </si>
  <si>
    <t>397.318.498-40</t>
  </si>
  <si>
    <t>ELISANGELA RIBEIRO DE LIMA</t>
  </si>
  <si>
    <t>323.674.678-54</t>
  </si>
  <si>
    <t>ELISANGELA SOARES DE ARAUJO</t>
  </si>
  <si>
    <t>863.668.903-15</t>
  </si>
  <si>
    <t>ELISSANDRO MARCOS FLORENTINO</t>
  </si>
  <si>
    <t>701.057.586-04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</si>
  <si>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</si>
  <si>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</si>
  <si>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</si>
  <si>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</si>
  <si>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</si>
  <si>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</si>
  <si>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APARECIDA RIBEIRO</t>
  </si>
  <si>
    <t>290.750.298-02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</si>
  <si>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</si>
  <si>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</si>
  <si>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</si>
  <si>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</si>
  <si>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</si>
  <si>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</si>
  <si>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ELIZABETH VITORIA SANTOS DOS REIS</t>
  </si>
  <si>
    <t>461.321.328-21</t>
  </si>
  <si>
    <t>ELIZANGELA RODRIGUES LOPES</t>
  </si>
  <si>
    <t>222.467.308-64</t>
  </si>
  <si>
    <t>ELIZETE BARBOSA DIAS</t>
  </si>
  <si>
    <t>224.920.288-52</t>
  </si>
  <si>
    <t>ELIZIANA NUNES DA SILVA</t>
  </si>
  <si>
    <t>266.428.068-67</t>
  </si>
  <si>
    <t>ELLEN DE MORAES SANTOS</t>
  </si>
  <si>
    <t>525.039.658-57</t>
  </si>
  <si>
    <t>ELLEN JESSICA AVELINO SANTOS</t>
  </si>
  <si>
    <t>430.322.368-94</t>
  </si>
  <si>
    <t>ELLEN LOMBARDI FERA</t>
  </si>
  <si>
    <t>444.621.358-06</t>
  </si>
  <si>
    <t>ELLEN PEREIRA DOS SANTOS</t>
  </si>
  <si>
    <t>478.729.608-69</t>
  </si>
  <si>
    <t>ELOAH MANUELLY SILVA RODRIGUES</t>
  </si>
  <si>
    <t>547.701.208-00</t>
  </si>
  <si>
    <t>ELOART METAIS LTDA</t>
  </si>
  <si>
    <t>26.194.954/0001-76</t>
  </si>
  <si>
    <t>ELOIR MOREIRA</t>
  </si>
  <si>
    <t>421.026.347-87</t>
  </si>
  <si>
    <t>ELOISA CRISTINA GARBIN TECIDOS ME</t>
  </si>
  <si>
    <t>08.258.300/0001-87</t>
  </si>
  <si>
    <t>ELORA DANAN EDITILIOES DA SILVA</t>
  </si>
  <si>
    <t>435.058.548-67</t>
  </si>
  <si>
    <t>ELSO FERNANDES SOUTA</t>
  </si>
  <si>
    <t>062.498.598-96</t>
  </si>
  <si>
    <t>ELTON APARECIDO JESUS RESTA</t>
  </si>
  <si>
    <t>328.503.048-83</t>
  </si>
  <si>
    <t>ELTON APARECIDO SHIVA DOS SANTOS</t>
  </si>
  <si>
    <t>340.895.768-14</t>
  </si>
  <si>
    <t>ELTON CORREA DUARTE</t>
  </si>
  <si>
    <t>109.749.488-88</t>
  </si>
  <si>
    <t>ELTON COSTA ALMEIDA</t>
  </si>
  <si>
    <t>075.866.538-52</t>
  </si>
  <si>
    <t>ELTON EVANGELISTA FERREIRA</t>
  </si>
  <si>
    <t>341.427.728-05</t>
  </si>
  <si>
    <t>ELUANA MOREIRA ROSA DA CUNHA</t>
  </si>
  <si>
    <t>392.585.438-07</t>
  </si>
  <si>
    <t>Élvis Carlos dos Santos Pereira</t>
  </si>
  <si>
    <t>448.810.988-88</t>
  </si>
  <si>
    <t>ELVIS GOMES ALVES DE LIMA</t>
  </si>
  <si>
    <t>452.031.938-27</t>
  </si>
  <si>
    <t>ELVIS MOTA DE ANDRADE</t>
  </si>
  <si>
    <t>255.498.158-26</t>
  </si>
  <si>
    <t>ELZA MARIA LUIZ</t>
  </si>
  <si>
    <t>109.589.458-70</t>
  </si>
  <si>
    <t>ELZA MARQUES DE MORAIS</t>
  </si>
  <si>
    <t>212.805.518-01</t>
  </si>
  <si>
    <t>ELZA MENDES</t>
  </si>
  <si>
    <t>004.576.531-67</t>
  </si>
  <si>
    <t>ELZENI DE LUCENA SILVA DA SILVA</t>
  </si>
  <si>
    <t>888.264.302-68</t>
  </si>
  <si>
    <t>Emanuel Araujo Coutinho Santos</t>
  </si>
  <si>
    <t>452.902.868-29</t>
  </si>
  <si>
    <t>EMANUEL DALMASO DA SILVA</t>
  </si>
  <si>
    <t>130.441.827-86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</si>
  <si>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</si>
  <si>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</si>
  <si>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</si>
  <si>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</si>
  <si>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</si>
  <si>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</si>
  <si>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</si>
  <si>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</si>
  <si>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EMANUELLY WALQUIRIA LUNA DA SILVA</t>
  </si>
  <si>
    <t>053.927.332-55</t>
  </si>
  <si>
    <t>EMBRAER - EMPRESA BRASILEIRA DE AERONAUTICA S/A</t>
  </si>
  <si>
    <t>07.689.002/0001-89</t>
  </si>
  <si>
    <t>EMBRATOP  GEO-TECNOLOGIAS LTDA</t>
  </si>
  <si>
    <t>03.497.158/0001-07</t>
  </si>
  <si>
    <t>EMERSON ANTONIO DA SILVA</t>
  </si>
  <si>
    <t>349.458.798-18</t>
  </si>
  <si>
    <t>EMERSON DA SILVA ARAUJO</t>
  </si>
  <si>
    <t>353.393.938-36</t>
  </si>
  <si>
    <t>EMERSON DE ALMEIDA</t>
  </si>
  <si>
    <t>383.224.678-93</t>
  </si>
  <si>
    <t>EMERSON DE LIMA BUENO</t>
  </si>
  <si>
    <t>090.378.349-57</t>
  </si>
  <si>
    <t>EMERSON ERNESTO DA SILVA</t>
  </si>
  <si>
    <t>095.956.844-14</t>
  </si>
  <si>
    <t>EMERSON MOISES</t>
  </si>
  <si>
    <t>183.854.618-92</t>
  </si>
  <si>
    <t>EMERSON NATALINO ALVES RICARDO</t>
  </si>
  <si>
    <t>150.174.398-89</t>
  </si>
  <si>
    <t>EMERSON RIVER BEZERRA DOS SANTOS SILVA</t>
  </si>
  <si>
    <t>259.536.578-97</t>
  </si>
  <si>
    <t>EMERSON ROBERTO DE MIRANDA</t>
  </si>
  <si>
    <t>114.553.348-55</t>
  </si>
  <si>
    <t>EMERSON SANTOS DA SILVA</t>
  </si>
  <si>
    <t>366.129.168-85</t>
  </si>
  <si>
    <t>EMERSON VICTOR FERREIRA FEITOSA</t>
  </si>
  <si>
    <t>536.628.178-45</t>
  </si>
  <si>
    <t>EMIGE MATERIAIS ODONTOLOGICOS LTDA</t>
  </si>
  <si>
    <t>71.505.564/0001-24</t>
  </si>
  <si>
    <t>EMILIANA DE TOLEDO OLIVEIRA NASCIMENTO</t>
  </si>
  <si>
    <t>270.861.178-03</t>
  </si>
  <si>
    <t>EMILLY DE ECA SPINOLA PONTES DE AGUIAR</t>
  </si>
  <si>
    <t>480.668.528-35</t>
  </si>
  <si>
    <t>EMILTON VIEIRA DA SILVA</t>
  </si>
  <si>
    <t>001.053.468-70</t>
  </si>
  <si>
    <t>EMILY CAROLINE DE LIMA MORAES</t>
  </si>
  <si>
    <t>505.062.068-66</t>
  </si>
  <si>
    <t>EMILY CONCEICAO DA SILVA</t>
  </si>
  <si>
    <t>423.829.928-08</t>
  </si>
  <si>
    <t>EMILY KARINE MOREIRA DA SILVA BATISTA</t>
  </si>
  <si>
    <t>051.613.592-93</t>
  </si>
  <si>
    <t>EMILY MARIA TOMAZ RODRIGUES</t>
  </si>
  <si>
    <t>470.808.328-96</t>
  </si>
  <si>
    <t>EMILY PIRES NOVAKOSKI</t>
  </si>
  <si>
    <t>502.275.088-07</t>
  </si>
  <si>
    <t>Emily Rafaela Canuto</t>
  </si>
  <si>
    <t>427.632.068-24</t>
  </si>
  <si>
    <t>Emilyn Thauana Schweickardt Haas</t>
  </si>
  <si>
    <t>053.465.420-78</t>
  </si>
  <si>
    <t>EMPREENDAVALE EVENTOS E NEGOCIOS LTDA</t>
  </si>
  <si>
    <t>55.362.146/0001-79</t>
  </si>
  <si>
    <t>EMPREENDIMENTO TRIUNO LTDA</t>
  </si>
  <si>
    <t>36.254.768/0001-39</t>
  </si>
  <si>
    <t>EMPREENDIMENTOS ANTONI CONSTRUCOES LTDA</t>
  </si>
  <si>
    <t>12.539.171/0001-72</t>
  </si>
  <si>
    <t>EMPRESA BRASILEIRA DE CORREIOS E TELEGRAFOS</t>
  </si>
  <si>
    <t>34.028.316/7101-51</t>
  </si>
  <si>
    <t>34.028.316/0001-03</t>
  </si>
  <si>
    <t>EMPRESA DE ONIBUS PASSARO MARRON LTDA</t>
  </si>
  <si>
    <t>61.563.557/0001-25</t>
  </si>
  <si>
    <t>EMPRESA SERGIPANA DE GESTAO IMOBILIARIA LTDA</t>
  </si>
  <si>
    <t>26.759.768/0001-37</t>
  </si>
  <si>
    <t>ENEDINA DE FATIMA PEREIRA FERRAZ</t>
  </si>
  <si>
    <t>035.564.618-89</t>
  </si>
  <si>
    <t>ENERGIZOU COMERCIALIZADORA DE ENERGIA S.A.</t>
  </si>
  <si>
    <t>30.693.787/0001-85</t>
  </si>
  <si>
    <t>ENERGYTECH BRASIL MANUTENCAO DE NO-BREAKS E GERADORES LTDA.</t>
  </si>
  <si>
    <t>24.798.024/0001-04</t>
  </si>
  <si>
    <t>ENGEMAIS EMPREENDIMENTOS E PARTICIPACOES LTDA</t>
  </si>
  <si>
    <t>39.826.859/0001-90</t>
  </si>
  <si>
    <t>ENGENHO AMBIENTAL CONSULTORIA E ASSESSORIA LTDA</t>
  </si>
  <si>
    <t>26.812.631/0001-07</t>
  </si>
  <si>
    <t>engeprag - controle de pragas urbanas ltda</t>
  </si>
  <si>
    <t>15.552.523/0001-18</t>
  </si>
  <si>
    <t>ENGHEALTH SOLUCOES LTDA</t>
  </si>
  <si>
    <t>33.845.564/0001-84</t>
  </si>
  <si>
    <t>ENGINEERING DO BRASIL SA</t>
  </si>
  <si>
    <t>09.433.094/0001-67</t>
  </si>
  <si>
    <t>ENIA PONTES ALVARENGA PEREIRA</t>
  </si>
  <si>
    <t>252.488.938-60</t>
  </si>
  <si>
    <t>ENILSON DA SILVA CARVALHO</t>
  </si>
  <si>
    <t>541.834.644-04</t>
  </si>
  <si>
    <t>ENILSON JOSE RODRIGUES</t>
  </si>
  <si>
    <t>259.537.738-89</t>
  </si>
  <si>
    <t>ENIO JOSE SILVA CAMPOS LOBO</t>
  </si>
  <si>
    <t>284.597.398-56</t>
  </si>
  <si>
    <t>ENIO VIEIRA MAMEDE FACILITY LTDA</t>
  </si>
  <si>
    <t>22.072.926/0001-25</t>
  </si>
  <si>
    <t>Enriko Pierri Modolo Granco</t>
  </si>
  <si>
    <t>481.514.928-30</t>
  </si>
  <si>
    <t>ENTEK EQUIPAMENTOS TAUBATE LTDA</t>
  </si>
  <si>
    <t>03.440.213/0001-22</t>
  </si>
  <si>
    <t>ENTHEOS PRESTACAO DE SERVICOS LTDA</t>
  </si>
  <si>
    <t>11.087.456/0001-57</t>
  </si>
  <si>
    <t>ENZO BARUEL DOS SANTOS</t>
  </si>
  <si>
    <t>543.658.898-00</t>
  </si>
  <si>
    <t>ENZO DE SOUZA FELIX</t>
  </si>
  <si>
    <t>210.618.117-51</t>
  </si>
  <si>
    <t>ENZO FERNANDES GASPARETTO</t>
  </si>
  <si>
    <t>431.346.988-54</t>
  </si>
  <si>
    <t>ENZO GONCALVES YOKOYAMA</t>
  </si>
  <si>
    <t>425.702.458-52</t>
  </si>
  <si>
    <t>EPB LONDRINA COMERCIO E IMPORTAÇÃO DE ESQUIPAMENTOS HOSPITALAR LTDA</t>
  </si>
  <si>
    <t>22.540.455/0001-32</t>
  </si>
  <si>
    <t>EQUIPAM EQUIPAMENTOS E ARTIGOS LTDA</t>
  </si>
  <si>
    <t>36.277.221/0001-59</t>
  </si>
  <si>
    <t>EQUIPANDOLOJA INSTALACOES COMERCIAIS LTDA</t>
  </si>
  <si>
    <t>11.744.701/0001-51</t>
  </si>
  <si>
    <t>EQUIVALE EQUIPAMENTOS DE PROTECAO LTDA</t>
  </si>
  <si>
    <t>07.477.122/0001-12</t>
  </si>
  <si>
    <t>ERACLES DURANTE</t>
  </si>
  <si>
    <t>929.991.669-15</t>
  </si>
  <si>
    <t>ERALDO CEZAR DA SILVA FILHO</t>
  </si>
  <si>
    <t>218.455.478-29</t>
  </si>
  <si>
    <t>ERASMO ASSUNCAO DAS NEVES</t>
  </si>
  <si>
    <t>887.293.113-49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</si>
  <si>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</si>
  <si>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</si>
  <si>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</si>
  <si>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</si>
  <si>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</si>
  <si>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</si>
  <si>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 ZANARDI</t>
  </si>
  <si>
    <t>17.305.330/0001-98</t>
  </si>
  <si>
    <t>ERICA BATISTA PEREIRA RESSATTI</t>
  </si>
  <si>
    <t>316.850.238-35</t>
  </si>
  <si>
    <t>ERICA FABILENE BOCALARI</t>
  </si>
  <si>
    <t>282.962.288-07</t>
  </si>
  <si>
    <t>ERICA GABRIELA CUSTODIO SIMOES</t>
  </si>
  <si>
    <t>528.770.038-50</t>
  </si>
  <si>
    <t>ERICA GOMES</t>
  </si>
  <si>
    <t>218.278.958-88</t>
  </si>
  <si>
    <t>ERICA RODRIGUES DE BARROS</t>
  </si>
  <si>
    <t>360.422.788-78</t>
  </si>
  <si>
    <t>ERICK ALVES PEREIRA</t>
  </si>
  <si>
    <t>400.232.508-36</t>
  </si>
  <si>
    <t>Erick Faustino Ramiro Filho</t>
  </si>
  <si>
    <t>528.722.218-16</t>
  </si>
  <si>
    <t>ERICK FERNANDO DE OLIVEIRA RIOS</t>
  </si>
  <si>
    <t>530.040.068-80</t>
  </si>
  <si>
    <t>Erick Rodrigues Pereira Fagundes</t>
  </si>
  <si>
    <t>375.811.878-61</t>
  </si>
  <si>
    <t>Erick Vinícius Batista Fernandes</t>
  </si>
  <si>
    <t>085.737.374-92</t>
  </si>
  <si>
    <t>ERICK VINICIUS DE SOUZA MORENO</t>
  </si>
  <si>
    <t>545.527.858-42</t>
  </si>
  <si>
    <t>ERICO LUIZ REMPEL</t>
  </si>
  <si>
    <t>260.586.088-48</t>
  </si>
  <si>
    <t>ERICSSON CRUZ MOLINA</t>
  </si>
  <si>
    <t>403.707.698-56</t>
  </si>
  <si>
    <t>ERIKA ALVES TORQUATO PASCUCCI</t>
  </si>
  <si>
    <t>348.067.128-41</t>
  </si>
  <si>
    <t>ERIKA APARECIDA DE GODOI PATRIOTA</t>
  </si>
  <si>
    <t>278.994.738-45</t>
  </si>
  <si>
    <t>ERIKA APARECIDA MACHADO PODDIS</t>
  </si>
  <si>
    <t>344.027.238-92</t>
  </si>
  <si>
    <t>ERIKA APDA SANTOS DA SILVA OLIVEIRA</t>
  </si>
  <si>
    <t>263.265.258-88</t>
  </si>
  <si>
    <t>ERIKA AUGUSTA VON ANCKEN</t>
  </si>
  <si>
    <t>183.810.098-98</t>
  </si>
  <si>
    <t>ERIKA CHRISTIANE DE OLIVEIRA</t>
  </si>
  <si>
    <t>144.668.438-56</t>
  </si>
  <si>
    <t>ERIKA CRISTINA LEMES DOS SANTOS</t>
  </si>
  <si>
    <t>337.106.388-79</t>
  </si>
  <si>
    <t>ERIKA DE CASTRO FERREIRA DOMINGUES</t>
  </si>
  <si>
    <t>279.854.428-98</t>
  </si>
  <si>
    <t>ERIKA DE FATIMA NUNES</t>
  </si>
  <si>
    <t>317.508.538-50</t>
  </si>
  <si>
    <t>ERIKA FELIX RIBEIRO</t>
  </si>
  <si>
    <t>290.878.528-51</t>
  </si>
  <si>
    <t>ERIKA FERNANDA FIGUEIREDO DA SILVA</t>
  </si>
  <si>
    <t>276.586.428-43</t>
  </si>
  <si>
    <t>ERIKA NUNES MIOTTO BISONI</t>
  </si>
  <si>
    <t>401.955.158-89</t>
  </si>
  <si>
    <t>ERIKA OLIVEIRA RODRIGUES DE ABREU</t>
  </si>
  <si>
    <t>519.742.018-99</t>
  </si>
  <si>
    <t>ERIKA TATIANE PEREIRA RODRIGUES</t>
  </si>
  <si>
    <t>216.193.438-43</t>
  </si>
  <si>
    <t>ERIKA VALERIA MOREIRA URIAS</t>
  </si>
  <si>
    <t>596.374.098-31</t>
  </si>
  <si>
    <t>ERIKA VANESSA RAMOS CARDOSO</t>
  </si>
  <si>
    <t>228.329.838-55</t>
  </si>
  <si>
    <t>ERIQUE DOURADO DE OLIVEIRA</t>
  </si>
  <si>
    <t>355.389.168-80</t>
  </si>
  <si>
    <t>ERIVAL TELECOMUNICAÇÕES COMERCIO E REPRESENTAÇÃO. LTDA</t>
  </si>
  <si>
    <t>64.606.486/0001-99</t>
  </si>
  <si>
    <t>ERIVANIA MARIA DOS SANTOS</t>
  </si>
  <si>
    <t>121.167.824-57</t>
  </si>
  <si>
    <t>ERLANO GUIMARAES CORDEIRO</t>
  </si>
  <si>
    <t>030.497.753-51</t>
  </si>
  <si>
    <t>ERLLIN SOUZA MONTEIRO</t>
  </si>
  <si>
    <t>941.037.636-04</t>
  </si>
  <si>
    <t>ERMINIA MIOKO OGUMA</t>
  </si>
  <si>
    <t>584.267.958-20</t>
  </si>
  <si>
    <t>ERNANDES BATISTA FERREIRA</t>
  </si>
  <si>
    <t>219.413.718-17</t>
  </si>
  <si>
    <t>ERNESTO MORENO ALDANA</t>
  </si>
  <si>
    <t>029.843.538-11</t>
  </si>
  <si>
    <t>ERNESTO PORTO SACCO</t>
  </si>
  <si>
    <t>416.025.808-55</t>
  </si>
  <si>
    <t>ERNESTO SIMONCELLO</t>
  </si>
  <si>
    <t>691.690.398-87</t>
  </si>
  <si>
    <t>ERON FERNANDES DA SILVA</t>
  </si>
  <si>
    <t>352.831.398-67</t>
  </si>
  <si>
    <t>ERONDINA CARVALHO DE CAMARGO</t>
  </si>
  <si>
    <t>183.853.378-81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</si>
  <si>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</si>
  <si>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</si>
  <si>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</si>
  <si>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</si>
  <si>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ESDRAS CONSTRUTORA E INCORPORADORA LTDA</t>
  </si>
  <si>
    <t>08.698.950/0001-43</t>
  </si>
  <si>
    <t>ESN PRESTACAO DE SERVICOS GUARARAPES LTDA</t>
  </si>
  <si>
    <t>17.849.323/0001-57</t>
  </si>
  <si>
    <t>ESOFER COMERCIO DE PRODUTOS SIDERURGICOS LTDA</t>
  </si>
  <si>
    <t>53.765.673/0001-07</t>
  </si>
  <si>
    <t>ESPACO MULTIDISCIPLINAR G E G LTDA</t>
  </si>
  <si>
    <t>47.628.630/0001-79</t>
  </si>
  <si>
    <t>ESPER &amp; FLORENCIO ASSISTENCIA E SERVICO LTDA - EPP</t>
  </si>
  <si>
    <t>11.297.973/0001-50</t>
  </si>
  <si>
    <t>ESTEFANE ALEX SANTANA</t>
  </si>
  <si>
    <t>062.518.508-09</t>
  </si>
  <si>
    <t>ESTEFANO APARECIDO DOS SANTOS</t>
  </si>
  <si>
    <t>216.920.398-22</t>
  </si>
  <si>
    <t>ESTELA RODRIGUES DE MORAES JORGE</t>
  </si>
  <si>
    <t>384.384.328-75</t>
  </si>
  <si>
    <t>ESTER BRUNO DA SILVA</t>
  </si>
  <si>
    <t>259.541.618-95</t>
  </si>
  <si>
    <t>ESTER DE ASSIS PASSOS OTONI</t>
  </si>
  <si>
    <t>359.865.278-01</t>
  </si>
  <si>
    <t>ESTER OLIVEIRA ROSA</t>
  </si>
  <si>
    <t>480.524.198-59</t>
  </si>
  <si>
    <t>Ester Ribeiro</t>
  </si>
  <si>
    <t>456.163.248-41</t>
  </si>
  <si>
    <t>ESTER SANTANA LINHARES SILVA</t>
  </si>
  <si>
    <t>472.757.508-64</t>
  </si>
  <si>
    <t>ESTHER DE SOUZA MILLA FARIA</t>
  </si>
  <si>
    <t>523.597.708-45</t>
  </si>
  <si>
    <t>ESTHER SILVA RODRIGUES</t>
  </si>
  <si>
    <t>416.644.018-73</t>
  </si>
  <si>
    <t>ESTOQUE-FER COMERCIO DE FERRAGENS E FERRAMENTAS LTDA.</t>
  </si>
  <si>
    <t>14.862.541/0001-33</t>
  </si>
  <si>
    <t>EUCLYDES LEAL NAZARIO DE SOUZA</t>
  </si>
  <si>
    <t>413.149.428-08</t>
  </si>
  <si>
    <t>EUNICE DA SILVA DE SOUZA</t>
  </si>
  <si>
    <t>138.367.098-64</t>
  </si>
  <si>
    <t>EUNICE DE FATIMA SANTOS RAFAEL</t>
  </si>
  <si>
    <t>062.500.488-47</t>
  </si>
  <si>
    <t>EUNICE MARCONDES BORGES</t>
  </si>
  <si>
    <t>134.313.968-60</t>
  </si>
  <si>
    <t>EUNICE OLIVEIRA DOS SANTOS</t>
  </si>
  <si>
    <t>417.731.525-72</t>
  </si>
  <si>
    <t>EURIDICE CUNHA DE MORAIS</t>
  </si>
  <si>
    <t>183.801.578-77</t>
  </si>
  <si>
    <t>EUZEBIO ALVES DA SILVA</t>
  </si>
  <si>
    <t>410.035.418-52</t>
  </si>
  <si>
    <t>EVA APARECIDA DE OLIVEIRA PEREIRA ME</t>
  </si>
  <si>
    <t>05.970.988/0001-35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</si>
  <si>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</si>
  <si>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</si>
  <si>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</si>
  <si>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</si>
  <si>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</si>
  <si>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</si>
  <si>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</si>
  <si>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</si>
  <si>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 RUBIA FERNANDES PEREIRA</t>
  </si>
  <si>
    <t>435.508.578-37</t>
  </si>
  <si>
    <t>EVAIR AUGUSTO VIEIRA</t>
  </si>
  <si>
    <t>055.659.898-92</t>
  </si>
  <si>
    <t>EVANDRO BATISTA SWARRA</t>
  </si>
  <si>
    <t>410.155.698-97</t>
  </si>
  <si>
    <t>EVANDRO DE SOUSA BRAZ</t>
  </si>
  <si>
    <t>372.074.168-06</t>
  </si>
  <si>
    <t>EVANDRO DE SOUZA CARVALHO</t>
  </si>
  <si>
    <t>374.325.058-61</t>
  </si>
  <si>
    <t>EVANGELINA OLIVEIRA DONATO</t>
  </si>
  <si>
    <t>072.436.488-94</t>
  </si>
  <si>
    <t>EVANIR NUNES FERREIRA</t>
  </si>
  <si>
    <t>054.110.058-09</t>
  </si>
  <si>
    <t>EVE SPROVIERI DE MELO</t>
  </si>
  <si>
    <t>284.730.748-66</t>
  </si>
  <si>
    <t>Evelin de Souza Teles</t>
  </si>
  <si>
    <t>319.973.288-79</t>
  </si>
  <si>
    <t>EVELINE LIRA ALMEIDA SANTOS</t>
  </si>
  <si>
    <t>348.556.448-62</t>
  </si>
  <si>
    <t>Evellyn Amboni Maculan</t>
  </si>
  <si>
    <t>137.293.609-22</t>
  </si>
  <si>
    <t>Evelyn Alves da Conceição</t>
  </si>
  <si>
    <t>286.114.068-26</t>
  </si>
  <si>
    <t>EVELYN DE OLIVEIRA ALVES SENA 42383832812</t>
  </si>
  <si>
    <t>44.858.419/0001-54</t>
  </si>
  <si>
    <t>EVELYN GONZAGA DE SOUZA GALVÃO</t>
  </si>
  <si>
    <t>438.405.938-83</t>
  </si>
  <si>
    <t>EVELYN NUNES SOARES</t>
  </si>
  <si>
    <t>501.939.948-52</t>
  </si>
  <si>
    <t>EVELYN SAMIRA CAVALCANTE FONSECA</t>
  </si>
  <si>
    <t>518.558.768-76</t>
  </si>
  <si>
    <t>EVENIR DE ARAUJO PINTO</t>
  </si>
  <si>
    <t>276.226.058-24</t>
  </si>
  <si>
    <t>EVENTOS E SABORES INOVA SIMPLES (I.S.)</t>
  </si>
  <si>
    <t>52.133.016/0001-76</t>
  </si>
  <si>
    <t>EVERALDO BISPO DE SOUZA</t>
  </si>
  <si>
    <t>581.414.308-82</t>
  </si>
  <si>
    <t>EVERALDO DE CARVALHO</t>
  </si>
  <si>
    <t>019.447.848-37</t>
  </si>
  <si>
    <t>EVERSON LUIZ CERQUEIRA MACIEL</t>
  </si>
  <si>
    <t>336.770.098-39</t>
  </si>
  <si>
    <t>EVERSON RODRIGO FRANCO DA CUNHA</t>
  </si>
  <si>
    <t>356.793.858-48</t>
  </si>
  <si>
    <t>EVERSON TENORIO CAMARGO</t>
  </si>
  <si>
    <t>222.881.148-35</t>
  </si>
  <si>
    <t>EVERTON ANTONIO DA COSTA</t>
  </si>
  <si>
    <t>222.446.788-57</t>
  </si>
  <si>
    <t>EVERTON ANTONIO GONÇALVES</t>
  </si>
  <si>
    <t>315.807.968-26</t>
  </si>
  <si>
    <t>EVERTON DA SILVA MARCOLINO</t>
  </si>
  <si>
    <t>337.237.948-90</t>
  </si>
  <si>
    <t>EVERTON FERNANDES DONIZETI</t>
  </si>
  <si>
    <t>387.708.208-48</t>
  </si>
  <si>
    <t>EVERTON LUCIANO CARVALHO DE OLIVEIRA</t>
  </si>
  <si>
    <t>265.224.428-09</t>
  </si>
  <si>
    <t>EVERTON MATIAS QUIRINO</t>
  </si>
  <si>
    <t>325.213.558-28</t>
  </si>
  <si>
    <t>EVONILSON REIS DA SILVA</t>
  </si>
  <si>
    <t>654.701.333-20</t>
  </si>
  <si>
    <t>EWERTON FERREIRA AMARO</t>
  </si>
  <si>
    <t>376.400.808-35</t>
  </si>
  <si>
    <t>EXACTA MANUTENCAO EM EQUIPAMENTOS LTDA</t>
  </si>
  <si>
    <t>18.363.596/0001-50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</si>
  <si>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</si>
  <si>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</si>
  <si>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</si>
  <si>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</si>
  <si>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</si>
  <si>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</si>
  <si>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</si>
  <si>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</si>
  <si>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</si>
  <si>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</si>
  <si>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EZEQUIEL MOISES DA SILVA</t>
  </si>
  <si>
    <t>374.755.618-36</t>
  </si>
  <si>
    <t>EZIO GIANEZI BERTOLINI</t>
  </si>
  <si>
    <t>064.213.938-53</t>
  </si>
  <si>
    <t>EZS SERVICOS MEDICOS -  ME</t>
  </si>
  <si>
    <t>04.902.190/0001-93</t>
  </si>
  <si>
    <t>F &amp; C COMERCIO E ASSESSORIA ADMINISTRATIVA LTDA</t>
  </si>
  <si>
    <t>04.679.541/0001-49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</si>
  <si>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</si>
  <si>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</si>
  <si>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</si>
  <si>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</si>
  <si>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</si>
  <si>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</si>
  <si>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</si>
  <si>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</si>
  <si>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 S DIONISIO ZELADORIA PATRIMONIAL</t>
  </si>
  <si>
    <t>40.726.205/0001-73</t>
  </si>
  <si>
    <t>FABIA MAGALHAES TERRA</t>
  </si>
  <si>
    <t>256.136.578-66</t>
  </si>
  <si>
    <t>FABIANA APARECIDA DOS SANTOS COUTINHO</t>
  </si>
  <si>
    <t>269.139.638-07</t>
  </si>
  <si>
    <t>FABIANA APARECIDA PORTO MENDES NASCIMENTO</t>
  </si>
  <si>
    <t>291.579.578-94</t>
  </si>
  <si>
    <t>FABIANA APARECIDA ROCHA VIANA</t>
  </si>
  <si>
    <t>333.328.898-26</t>
  </si>
  <si>
    <t>FABIANA BASTOS DONEDA LOUREIRO</t>
  </si>
  <si>
    <t>166.980.178-09</t>
  </si>
  <si>
    <t>FABIANA DA ROCHA DUTRA</t>
  </si>
  <si>
    <t>392.420.208-77</t>
  </si>
  <si>
    <t>FABIANA DA SILVA</t>
  </si>
  <si>
    <t>328.983.818-88</t>
  </si>
  <si>
    <t>FABIANA DE FREITAS SILVA AUGUSTO</t>
  </si>
  <si>
    <t>262.475.518-78</t>
  </si>
  <si>
    <t>FABIANA DOS SANTOS SOUZA</t>
  </si>
  <si>
    <t>329.203.158-38</t>
  </si>
  <si>
    <t>FABIANA FELIX DO AMARAL E SILVA</t>
  </si>
  <si>
    <t>250.708.018-30</t>
  </si>
  <si>
    <t>FABIANA FERREIRA DE SOUZA MELLO</t>
  </si>
  <si>
    <t>278.396.868-18</t>
  </si>
  <si>
    <t>FABIANA LARANJEIRA DUARTE</t>
  </si>
  <si>
    <t>369.444.448-36</t>
  </si>
  <si>
    <t>FABIANA LUCENA DE VASCONCELOS</t>
  </si>
  <si>
    <t>225.198.468-28</t>
  </si>
  <si>
    <t>FABIANA LUSTOSA ALVES</t>
  </si>
  <si>
    <t>295.511.778-19</t>
  </si>
  <si>
    <t>FABIANA MARIA PENARIOL</t>
  </si>
  <si>
    <t>257.797.318-70</t>
  </si>
  <si>
    <t>FABIANA MARIA ROBERTO DE OLIVEIRA</t>
  </si>
  <si>
    <t>260.927.488-27</t>
  </si>
  <si>
    <t>FABIANA MENDES GONCALVES</t>
  </si>
  <si>
    <t>253.498.608-28</t>
  </si>
  <si>
    <t>FABIANA MONIQUE MIRANDA LEITE</t>
  </si>
  <si>
    <t>437.407.458-94</t>
  </si>
  <si>
    <t>FABIANA NAPOLI DE LIMA</t>
  </si>
  <si>
    <t>317.657.588-23</t>
  </si>
  <si>
    <t>FABIANA RAMOS DE OLIVEIRA</t>
  </si>
  <si>
    <t>443.866.988-09</t>
  </si>
  <si>
    <t>FABIANA SANTOS DA SILVA</t>
  </si>
  <si>
    <t>352.284.858-64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</si>
  <si>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</si>
  <si>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</si>
  <si>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</si>
  <si>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</si>
  <si>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</si>
  <si>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</si>
  <si>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FABIANE FERNANDES DE CAMPOS</t>
  </si>
  <si>
    <t>446.698.648-74</t>
  </si>
  <si>
    <t>FABIANO ALBERTO DA SILVA</t>
  </si>
  <si>
    <t>360.604.688-02</t>
  </si>
  <si>
    <t>FABIANO DA SILVA CARLOS</t>
  </si>
  <si>
    <t>042.367.729-22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</si>
  <si>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</si>
  <si>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</si>
  <si>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</si>
  <si>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</si>
  <si>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</si>
  <si>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</si>
  <si>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</si>
  <si>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</si>
  <si>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</si>
  <si>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</si>
  <si>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AUGUSTO BARBOZA DE CARVALHO</t>
  </si>
  <si>
    <t>159.444.658-08</t>
  </si>
  <si>
    <t>FABIO AUGUSTO FAGUNDES</t>
  </si>
  <si>
    <t>262.721.948-03</t>
  </si>
  <si>
    <t>FABIO BATISTA RIBEIRO RODRIGUES</t>
  </si>
  <si>
    <t>387.049.678-95</t>
  </si>
  <si>
    <t>Fabio Bicalho Junior</t>
  </si>
  <si>
    <t>459.256.198-89</t>
  </si>
  <si>
    <t>Fabio Cesar Pereira da Silva Junior</t>
  </si>
  <si>
    <t>705.820.602-30</t>
  </si>
  <si>
    <t>FABIO DA SILVA SANTOS</t>
  </si>
  <si>
    <t>159.418.648-09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</si>
  <si>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</si>
  <si>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</si>
  <si>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</si>
  <si>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</si>
  <si>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</si>
  <si>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</si>
  <si>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</si>
  <si>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</si>
  <si>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</si>
  <si>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</si>
  <si>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>FABIO DO SANTOS LEITE</t>
  </si>
  <si>
    <t>293.682.908-90</t>
  </si>
  <si>
    <t>FABIO DONDEO ORIGO</t>
  </si>
  <si>
    <t>190.549.018-61</t>
  </si>
  <si>
    <t xml:space="preserve">FABIO HENRIQUE PEREIRA LUSTOSA DA S	</t>
  </si>
  <si>
    <t>353.462.818-78</t>
  </si>
  <si>
    <t>FABIO HENRIQUE RIVELO SIMIAO</t>
  </si>
  <si>
    <t>395.087.218-39</t>
  </si>
  <si>
    <t>FÁBIO LIMA DE SOUZA</t>
  </si>
  <si>
    <t>224.258.468-59</t>
  </si>
  <si>
    <t>FABIO LIUITI FUTAGAWA</t>
  </si>
  <si>
    <t>228.731.498-92</t>
  </si>
  <si>
    <t>FABIO LUIZ DE ALMEIDA</t>
  </si>
  <si>
    <t>219.773.288-90</t>
  </si>
  <si>
    <t>FABIO LUIZ DO PRADO</t>
  </si>
  <si>
    <t>262.476.488-71</t>
  </si>
  <si>
    <t>FABIO LUIZ FERREIRA</t>
  </si>
  <si>
    <t>126.638.816-86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</si>
  <si>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</si>
  <si>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</si>
  <si>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</si>
  <si>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</si>
  <si>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</si>
  <si>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</si>
  <si>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</si>
  <si>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</si>
  <si>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RODOLFO DIAS CHAVES JUNIOR</t>
  </si>
  <si>
    <t>385.963.158-61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</si>
  <si>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</si>
  <si>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</si>
  <si>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</si>
  <si>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</si>
  <si>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</si>
  <si>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</si>
  <si>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</si>
  <si>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</si>
  <si>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 SANTOS OLIVEIRA</t>
  </si>
  <si>
    <t>971.709.765-87</t>
  </si>
  <si>
    <t>FABIO SANTOS ROCHA</t>
  </si>
  <si>
    <t>042.488.675-83</t>
  </si>
  <si>
    <t>FABIOLA DE SOUZA VIEIRA</t>
  </si>
  <si>
    <t>098.115.486-76</t>
  </si>
  <si>
    <t>FABIOLA HELENA SOARES SANTANA</t>
  </si>
  <si>
    <t>465.413.378-02</t>
  </si>
  <si>
    <t>FABIOLA SANDRA E SOUZA</t>
  </si>
  <si>
    <t>225.362.538-80</t>
  </si>
  <si>
    <t>FABIULA MASIERO</t>
  </si>
  <si>
    <t>991.893.302-00</t>
  </si>
  <si>
    <t>FABRICIA RIBEIRO RAMOS</t>
  </si>
  <si>
    <t>358.671.938-88</t>
  </si>
  <si>
    <t>Fabricio Arruda Rosario</t>
  </si>
  <si>
    <t>403.346.078-09</t>
  </si>
  <si>
    <t>FABRICIO DA SILVA COSTA</t>
  </si>
  <si>
    <t>412.908.928-57</t>
  </si>
  <si>
    <t>FABRICIO DE NOVAES KUCINSKIS</t>
  </si>
  <si>
    <t>269.455.908-52</t>
  </si>
  <si>
    <t>FABRICIO DE RAMOS E CIA LTDA EPP</t>
  </si>
  <si>
    <t>15.725.489/0001-36</t>
  </si>
  <si>
    <t>FABRICIO FLÁVIO RIBEIRO DOS SANTOS</t>
  </si>
  <si>
    <t>228.979.368-00</t>
  </si>
  <si>
    <t>FABRICIO ITAMAR DE MORAES</t>
  </si>
  <si>
    <t>258.097.438-54</t>
  </si>
  <si>
    <t>FABRICIO LUCIO DA SILVA</t>
  </si>
  <si>
    <t>421.642.418-00</t>
  </si>
  <si>
    <t>FABRICIO PEREIRA SANTOS</t>
  </si>
  <si>
    <t>411.451.768-52</t>
  </si>
  <si>
    <t>FABRINA JANNE NEVES DA SILVA</t>
  </si>
  <si>
    <t>392.904.748-90</t>
  </si>
  <si>
    <t>FABRINA MORAIS FERREIRA</t>
  </si>
  <si>
    <t>374.964.948-01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</si>
  <si>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</si>
  <si>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</si>
  <si>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</si>
  <si>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</si>
  <si>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</si>
  <si>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</si>
  <si>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FAMILIA MAGALHAES E CIA LOJA DE VARIEDADES LTDA.</t>
  </si>
  <si>
    <t>33.492.360/0001-07</t>
  </si>
  <si>
    <t>FARLEY FAGNE DE FARIA</t>
  </si>
  <si>
    <t>173.773.958-50</t>
  </si>
  <si>
    <t>FARMA 2 PRODUTOS PARA SAUDE LTDA</t>
  </si>
  <si>
    <t>24.826.631/0003-94</t>
  </si>
  <si>
    <t>FARMA 2 PRODUTOS PARA SAÚDE LTDA</t>
  </si>
  <si>
    <t>24.826.631/0001-22</t>
  </si>
  <si>
    <t>FARMACE INDÚSTRIA QUIMICO-FARMACÊUTICA CEARENSE LTDA</t>
  </si>
  <si>
    <t>06.628.333/0001-46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</si>
  <si>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</si>
  <si>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</si>
  <si>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</si>
  <si>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</si>
  <si>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</si>
  <si>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</si>
  <si>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RODRIGUES MACIEL</t>
  </si>
  <si>
    <t>019.335.498-58</t>
  </si>
  <si>
    <t>FATIMA MARIA DOS SANTOS</t>
  </si>
  <si>
    <t>150.311.908-41</t>
  </si>
  <si>
    <t>FATIMA REGINA RIBEIRO DE OLIVEIRA</t>
  </si>
  <si>
    <t>882.479.617-68</t>
  </si>
  <si>
    <t>FAUSTO ANTONIO MAGALHAES</t>
  </si>
  <si>
    <t>599.140.098-91</t>
  </si>
  <si>
    <t>FAVA INDUSTRIA E COMERCIO DE PRODUTOS HOSPITLARES E ODONTOLOGICOS LTDA</t>
  </si>
  <si>
    <t>05.953.172/0001-01</t>
  </si>
  <si>
    <t>FBF CONSTRUÇÕES E SERVIÇOS LTDA</t>
  </si>
  <si>
    <t>02.542.939/0001-03</t>
  </si>
  <si>
    <t>FBPREV MULTIPATROCINADO</t>
  </si>
  <si>
    <t>48.307.779/0001-19</t>
  </si>
  <si>
    <t>FCL SOLUÇÃO EM LIMPEZA</t>
  </si>
  <si>
    <t>22.751.136/0001-76</t>
  </si>
  <si>
    <t>FEBE S.R.L</t>
  </si>
  <si>
    <t>16.885.700/0001-40</t>
  </si>
  <si>
    <t>FEDERACAO ESPIRITA DO ESTADO DE SAO PAULO</t>
  </si>
  <si>
    <t>61.669.966/0008-87</t>
  </si>
  <si>
    <t>FEIGEL ABRAHÃO &amp; MANTOVANI LTDA</t>
  </si>
  <si>
    <t>01.267.588/0001-07</t>
  </si>
  <si>
    <t>FELAP MAQUINAS E EQUIPAMENTOS LTDA</t>
  </si>
  <si>
    <t>60.886.447/0001-31</t>
  </si>
  <si>
    <t>FELIPE ALERSON GORIA MIONI</t>
  </si>
  <si>
    <t>470.766.338-92</t>
  </si>
  <si>
    <t>FELIPE ALOIS SILVA GONCALVES</t>
  </si>
  <si>
    <t>164.176.517-89</t>
  </si>
  <si>
    <t>FELIPE ANTUNES</t>
  </si>
  <si>
    <t>397.079.008-57</t>
  </si>
  <si>
    <t>Felipe Aparecido Brito Ronzani</t>
  </si>
  <si>
    <t>428.543.848-81</t>
  </si>
  <si>
    <t>FELIPE ARTUR SANTOS</t>
  </si>
  <si>
    <t>319.712.418-90</t>
  </si>
  <si>
    <t>FELIPE AUGUSTO DE OLIVEIRA SILVA</t>
  </si>
  <si>
    <t>351.312.128-80</t>
  </si>
  <si>
    <t>FELIPE AUGUSTO OLIVEIRA SILVA</t>
  </si>
  <si>
    <t>412.706.638-52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</si>
  <si>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</si>
  <si>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</si>
  <si>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</si>
  <si>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</si>
  <si>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</si>
  <si>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</si>
  <si>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</si>
  <si>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</si>
  <si>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Carvalho de Jesus</t>
  </si>
  <si>
    <t>530.167.238-08</t>
  </si>
  <si>
    <t>FELIPE CHAGAS MACHADO</t>
  </si>
  <si>
    <t>349.510.218-38</t>
  </si>
  <si>
    <t>FELIPE DA SILVA DELLA ROSA</t>
  </si>
  <si>
    <t>334.038.988-81</t>
  </si>
  <si>
    <t>FELIPE DE CASTRO GONZAGA</t>
  </si>
  <si>
    <t>477.001.618-28</t>
  </si>
  <si>
    <t>FELIPE DELFINO UCHOA</t>
  </si>
  <si>
    <t>404.373.578-21</t>
  </si>
  <si>
    <t>FELIPE EMANUEL DAS NEVES</t>
  </si>
  <si>
    <t>386.316.638-83</t>
  </si>
  <si>
    <t>FELIPE FABIAN DE FARIA</t>
  </si>
  <si>
    <t>421.980.678-46</t>
  </si>
  <si>
    <t>FELIPE FORTES CAMPOS</t>
  </si>
  <si>
    <t>545.014.188-26</t>
  </si>
  <si>
    <t>FELIPE GUILHERME DE FREITAS SILVA</t>
  </si>
  <si>
    <t>380.564.488-45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</si>
  <si>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</si>
  <si>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</si>
  <si>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</si>
  <si>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</si>
  <si>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</si>
  <si>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</si>
  <si>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</si>
  <si>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</si>
  <si>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LIMA DE SOUZA</t>
  </si>
  <si>
    <t>397.097.808-40</t>
  </si>
  <si>
    <t>FELIPE MACENA CUSTODIO</t>
  </si>
  <si>
    <t>403.199.108-81</t>
  </si>
  <si>
    <t>Felipe Marinelo Rebelo</t>
  </si>
  <si>
    <t>388.940.888-55</t>
  </si>
  <si>
    <t>FELIPE MIGUEL RAMOS PEREIRA</t>
  </si>
  <si>
    <t>438.854.448-52</t>
  </si>
  <si>
    <t>Felipe Morais Silva</t>
  </si>
  <si>
    <t>355.016.288-05</t>
  </si>
  <si>
    <t>Felipe Natan dos Santos Gomes</t>
  </si>
  <si>
    <t>168.815.176-10</t>
  </si>
  <si>
    <t>FELIPE NUNES DE OLIVEIRA</t>
  </si>
  <si>
    <t>452.845.418-12</t>
  </si>
  <si>
    <t>FELIPE OFENHEJM MASCARENHAS</t>
  </si>
  <si>
    <t>284.909.688-10</t>
  </si>
  <si>
    <t>FELIPE PEREIRA DE SOUZA FILHO</t>
  </si>
  <si>
    <t>109.756.878-40</t>
  </si>
  <si>
    <t>FELIPE PEREIRA FIGUEIREDO</t>
  </si>
  <si>
    <t>363.167.498-80</t>
  </si>
  <si>
    <t>FELIPE RIQUELME MACHADO NOBRE</t>
  </si>
  <si>
    <t>021.717.232-62</t>
  </si>
  <si>
    <t>FELIPE SANDOVAL RUIVO</t>
  </si>
  <si>
    <t>465.146.448-30</t>
  </si>
  <si>
    <t>FELIPE SANTANA SAMPRON</t>
  </si>
  <si>
    <t>362.407.438-52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</si>
  <si>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</si>
  <si>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</si>
  <si>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</si>
  <si>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</si>
  <si>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</si>
  <si>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</si>
  <si>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THIAGO MARTINS SILVA</t>
  </si>
  <si>
    <t>390.004.018-44</t>
  </si>
  <si>
    <t>Felipe Vinicius Gomes Araujo</t>
  </si>
  <si>
    <t>475.226.638-57</t>
  </si>
  <si>
    <t>FELIX DOS S. FARIA HUMMEL CAPU</t>
  </si>
  <si>
    <t>538.931.528-65</t>
  </si>
  <si>
    <t>FENIX SERVICOS TERCEIRIZADOS LTDA</t>
  </si>
  <si>
    <t>57.269.906/0001-23</t>
  </si>
  <si>
    <t>FENOMAD COMERCIO DE MATERIAIS PARA CONSTRUCAO LTDA</t>
  </si>
  <si>
    <t>51.534.379/0001-50</t>
  </si>
  <si>
    <t>FERGAVI COMERCIAL LTDA - EPP</t>
  </si>
  <si>
    <t>14.968.227/0001-30</t>
  </si>
  <si>
    <t>FERNANDA APARECIDA DOS SANTOS SILVA SALLES</t>
  </si>
  <si>
    <t>337.245.608-42</t>
  </si>
  <si>
    <t>FERNANDA CABRAL GOUVEIA</t>
  </si>
  <si>
    <t>215.250.508-50</t>
  </si>
  <si>
    <t>FERNANDA CORTEZ GONCALVES GUEDES DA SILVA</t>
  </si>
  <si>
    <t>326.712.288-05</t>
  </si>
  <si>
    <t>FERNANDA CRISTINA SILVA DO NASCIMENTO</t>
  </si>
  <si>
    <t>209.920.248-62</t>
  </si>
  <si>
    <t>FERNANDA CUNHA ALMEIDA DE FARIA</t>
  </si>
  <si>
    <t>346.235.428-07</t>
  </si>
  <si>
    <t>FERNANDA DE FREITAS CAVALCANTE</t>
  </si>
  <si>
    <t>465.659.838-01</t>
  </si>
  <si>
    <t>FERNANDA DE LIMA MATOS PIMENTA</t>
  </si>
  <si>
    <t>421.712.268-38</t>
  </si>
  <si>
    <t>FERNANDA DOS SANTOS FERNANDES</t>
  </si>
  <si>
    <t>024.067.888-57</t>
  </si>
  <si>
    <t>FERNANDA FERNANDES RAMOS</t>
  </si>
  <si>
    <t>403.995.738-52</t>
  </si>
  <si>
    <t>FERNANDA FERREIRA DE SOUZA SANTOS</t>
  </si>
  <si>
    <t>414.888.888-09</t>
  </si>
  <si>
    <t>FERNANDA GABRIELA SOARES ELIAS</t>
  </si>
  <si>
    <t>125.719.257-41</t>
  </si>
  <si>
    <t>FERNANDA GÁRCIA DA SILVA EUPHRAUZINO</t>
  </si>
  <si>
    <t>416.980.008-71</t>
  </si>
  <si>
    <t>Fernanda Gonçalves Leite de Godoi</t>
  </si>
  <si>
    <t>394.181.018-90</t>
  </si>
  <si>
    <t>FERNANDA GUEDES DA SILVA</t>
  </si>
  <si>
    <t>223.695.138-88</t>
  </si>
  <si>
    <t>FERNANDA HELLEN AMANCIO DE SOUSA</t>
  </si>
  <si>
    <t>470.472.108-65</t>
  </si>
  <si>
    <t>FERNANDA LISSONE SANTOMERO URANO</t>
  </si>
  <si>
    <t>262.836.068-30</t>
  </si>
  <si>
    <t>FERNANDA MACEDO BARROS</t>
  </si>
  <si>
    <t>319.818.058-93</t>
  </si>
  <si>
    <t>FERNANDA MELO COMERCIO DE MATERIAL CIRURGICO LTDA</t>
  </si>
  <si>
    <t>37.031.326/0001-96</t>
  </si>
  <si>
    <t>FERNANDA MONTEIRO DA SILVA CARDOSO</t>
  </si>
  <si>
    <t>425.904.868-63</t>
  </si>
  <si>
    <t>FERNANDA MORBECK DO NASCIMENTO</t>
  </si>
  <si>
    <t>276.594.348-61</t>
  </si>
  <si>
    <t>FERNANDA OLIVEIRA PACHECO</t>
  </si>
  <si>
    <t>541.038.588-85</t>
  </si>
  <si>
    <t>FERNANDA RAQUEL MARTINS DA COSTA</t>
  </si>
  <si>
    <t>376.920.368-29</t>
  </si>
  <si>
    <t>FERNANDA RIBEIRO SALDANHA DIAS</t>
  </si>
  <si>
    <t>084.489.316-10</t>
  </si>
  <si>
    <t>FERNANDA SANTOS DE OLIVEIRA</t>
  </si>
  <si>
    <t>476.454.278-17</t>
  </si>
  <si>
    <t>FERNANDA SOUZA LAURENTINO</t>
  </si>
  <si>
    <t>407.905.438-69</t>
  </si>
  <si>
    <t>FERNANDA VASCONCELOS BEZERRA LUZ</t>
  </si>
  <si>
    <t>377.282.928-70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</si>
  <si>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</si>
  <si>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</si>
  <si>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</si>
  <si>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</si>
  <si>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</si>
  <si>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</si>
  <si>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ANTONIO DE LEMOS JUNIOR</t>
  </si>
  <si>
    <t>335.045.298-14</t>
  </si>
  <si>
    <t>FERNANDO ANTONIO GUIMARAES</t>
  </si>
  <si>
    <t>150.072.728-84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</si>
  <si>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</si>
  <si>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</si>
  <si>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</si>
  <si>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</si>
  <si>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</si>
  <si>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</si>
  <si>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CESAR CRAVEIRO</t>
  </si>
  <si>
    <t>083.969.248-05</t>
  </si>
  <si>
    <t>FERNANDO CESAR DA SILVA</t>
  </si>
  <si>
    <t>268.765.008-02</t>
  </si>
  <si>
    <t>FERNANDO CESAR VALES</t>
  </si>
  <si>
    <t>101.367.868-04</t>
  </si>
  <si>
    <t>FERNANDO CLAITON BARBOSA</t>
  </si>
  <si>
    <t>046.916.726-21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</si>
  <si>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</si>
  <si>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</si>
  <si>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</si>
  <si>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</si>
  <si>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</si>
  <si>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</si>
  <si>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</si>
  <si>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</si>
  <si>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</si>
  <si>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</si>
  <si>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DA SILVA GUIOMAR</t>
  </si>
  <si>
    <t>514.545.618-23</t>
  </si>
  <si>
    <t>Fernando Henrique de Sá Ferreira</t>
  </si>
  <si>
    <t>534.499.308-00</t>
  </si>
  <si>
    <t>FERNANDO JESUS DE SOUZA</t>
  </si>
  <si>
    <t>012.231.186-81</t>
  </si>
  <si>
    <t>FERNANDO JOSE DE SOUZA</t>
  </si>
  <si>
    <t>375.250.298-30</t>
  </si>
  <si>
    <t>FERNANDO LEITE BRITO</t>
  </si>
  <si>
    <t>651.808.103-10</t>
  </si>
  <si>
    <t>FERNANDO LUIS DAMASCENO</t>
  </si>
  <si>
    <t>339.639.648-04</t>
  </si>
  <si>
    <t>Fernando Oliveira Maciel</t>
  </si>
  <si>
    <t>042.529.686-58</t>
  </si>
  <si>
    <t>FERNANDO PEREIRA FERNANDES</t>
  </si>
  <si>
    <t>121.820.218-17</t>
  </si>
  <si>
    <t>FERNANDO PINTO QUINTANILHA</t>
  </si>
  <si>
    <t>178.269.928-77</t>
  </si>
  <si>
    <t>FERNANDO ROBERTO BALLARIN</t>
  </si>
  <si>
    <t>041.261.828-10</t>
  </si>
  <si>
    <t>FERNANDO ROBERTO SILVA</t>
  </si>
  <si>
    <t>215.789.548-51</t>
  </si>
  <si>
    <t>FERNANDO TORRES CAMPOS SILVA</t>
  </si>
  <si>
    <t>222.975.188-38</t>
  </si>
  <si>
    <t>FERNANDO VANDERSON DE CARVALHO</t>
  </si>
  <si>
    <t>185.794.158-61</t>
  </si>
  <si>
    <t>FF LOUZADA PEDRAS LTDA</t>
  </si>
  <si>
    <t>45.100.122/0001-98</t>
  </si>
  <si>
    <t>FI MINERACAO LTDA</t>
  </si>
  <si>
    <t>17.120.800/0001-49</t>
  </si>
  <si>
    <t>FILIPE DOS SANTOS AGOSTINHO</t>
  </si>
  <si>
    <t>292.984.448-50</t>
  </si>
  <si>
    <t>Filipe Medeiros Gomes Alberto</t>
  </si>
  <si>
    <t>165.015.797-59</t>
  </si>
  <si>
    <t>Filipe Motta Faustino</t>
  </si>
  <si>
    <t>499.833.888-98</t>
  </si>
  <si>
    <t>FILIPE PEREIRA BARANANO</t>
  </si>
  <si>
    <t>484.056.528-76</t>
  </si>
  <si>
    <t>Filipe Rocha Couto da Silveira</t>
  </si>
  <si>
    <t>457.069.458-61</t>
  </si>
  <si>
    <t>FILIPE SALES</t>
  </si>
  <si>
    <t>326.004.728-00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</si>
  <si>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</si>
  <si>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</si>
  <si>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</si>
  <si>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</si>
  <si>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</si>
  <si>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</si>
  <si>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FIT PLAST AUTO ADESIVOS LTDA - EPP</t>
  </si>
  <si>
    <t>11.422.711/0001-70</t>
  </si>
  <si>
    <t>FLAVIA ALICE DE SOUZA</t>
  </si>
  <si>
    <t>454.584.818-44</t>
  </si>
  <si>
    <t>FLAVIA ARIANE DA SILVA QUINTAL</t>
  </si>
  <si>
    <t>440.818.768-27</t>
  </si>
  <si>
    <t>FLAVIA DAS DORES BOUTIM</t>
  </si>
  <si>
    <t>102.974.158-16</t>
  </si>
  <si>
    <t>FLAVIA DAYANE GOMES DOS SANTOS</t>
  </si>
  <si>
    <t>430.706.968-48</t>
  </si>
  <si>
    <t>FLAVIA DIANE DE GODOI OLIVEIRA BATISTA</t>
  </si>
  <si>
    <t>429.004.388-70</t>
  </si>
  <si>
    <t>FLAVIA GIANE TAVARES DA CRUZ</t>
  </si>
  <si>
    <t>246.422.838-97</t>
  </si>
  <si>
    <t>FLAVIA GODOI DO NASCIMENTO</t>
  </si>
  <si>
    <t>224.428.948-66</t>
  </si>
  <si>
    <t>FLAVIA HELENA PEREIRA FIDALGO</t>
  </si>
  <si>
    <t>279.006.918-20</t>
  </si>
  <si>
    <t>FLAVIA LETICIA SOUZA ABDO</t>
  </si>
  <si>
    <t>537.093.458-47</t>
  </si>
  <si>
    <t>FLAVIA MARIA DAMASCENO VIEIRA</t>
  </si>
  <si>
    <t>407.301.728-48</t>
  </si>
  <si>
    <t>FLAVIA MASCARENHAS VIEIRA DA SILVA</t>
  </si>
  <si>
    <t>220.902.978-32</t>
  </si>
  <si>
    <t>FLAVIA SALES MONTEIRO</t>
  </si>
  <si>
    <t>520.615.558-61</t>
  </si>
  <si>
    <t>FLAVIA VIANA BRITO</t>
  </si>
  <si>
    <t>478.572.598-29</t>
  </si>
  <si>
    <t>FLAVIANA FRANCISCA SANTOS MOURA FURTADO</t>
  </si>
  <si>
    <t>079.204.346-45</t>
  </si>
  <si>
    <t>FLAVIANE REIS ARREDONDO MORII</t>
  </si>
  <si>
    <t>294.039.358-39</t>
  </si>
  <si>
    <t>FLAVIANE THAIS SILVEIRA DE SOUZA</t>
  </si>
  <si>
    <t>387.957.438-39</t>
  </si>
  <si>
    <t>FLAVIO ALBERTO EVILASIO</t>
  </si>
  <si>
    <t>274.307.578-39</t>
  </si>
  <si>
    <t>FLAVIO ANTONIO BERLING MACEDO BARBOSA</t>
  </si>
  <si>
    <t>159.668.638-30</t>
  </si>
  <si>
    <t>FLAVIO APARECIDO LIMA FARDIM</t>
  </si>
  <si>
    <t>402.930.968-21</t>
  </si>
  <si>
    <t>FLAVIO AUGUSTO PASSARELLI PRADO</t>
  </si>
  <si>
    <t>292.985.368-95</t>
  </si>
  <si>
    <t>FLAVIO CARVALHO DE OLIVEIRA</t>
  </si>
  <si>
    <t>086.748.876-00</t>
  </si>
  <si>
    <t>FLAVIO CEZAR DA SILVA</t>
  </si>
  <si>
    <t>298.479.228-96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</si>
  <si>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</si>
  <si>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</si>
  <si>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</si>
  <si>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</si>
  <si>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</si>
  <si>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</si>
  <si>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</si>
  <si>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</si>
  <si>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</si>
  <si>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</si>
  <si>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PERPETUO BRIGUENTE</t>
  </si>
  <si>
    <t>249.087.508-66</t>
  </si>
  <si>
    <t>FLAVIO RACHID HATUN</t>
  </si>
  <si>
    <t>739.608.108-49</t>
  </si>
  <si>
    <t>Flávio Rogério Tavares Da Silva</t>
  </si>
  <si>
    <t>325.848.268-36</t>
  </si>
  <si>
    <t>FLAVIO SANTANA DE SOUZA</t>
  </si>
  <si>
    <t>310.516.198-82</t>
  </si>
  <si>
    <t>FLAVIO SANTOS SANTANA</t>
  </si>
  <si>
    <t>268.108.718-02</t>
  </si>
  <si>
    <t>FLAVIO SIMAO DE SOUZA</t>
  </si>
  <si>
    <t>021.669.643-70</t>
  </si>
  <si>
    <t>Flavio Vidal Costa</t>
  </si>
  <si>
    <t>275.788.388-73</t>
  </si>
  <si>
    <t>FLAVIO YOSHIO NISHIMURA</t>
  </si>
  <si>
    <t>064.198.198-81</t>
  </si>
  <si>
    <t>FLORDELICE DE JESUS TORRES</t>
  </si>
  <si>
    <t>117.578.128-22</t>
  </si>
  <si>
    <t>FLORENTINO BERNARDES FILHO</t>
  </si>
  <si>
    <t>019.393.978-98</t>
  </si>
  <si>
    <t>FLORESTANA PAISAGISMO CONSTRUÇÕES E SERVIÇOS LTDA</t>
  </si>
  <si>
    <t>53.591.103/0001-30</t>
  </si>
  <si>
    <t>FLORISVALDO DEO DA SILVA</t>
  </si>
  <si>
    <t>026.132.238-98</t>
  </si>
  <si>
    <t>FLORISVALDO SILVA</t>
  </si>
  <si>
    <t>089.917.388-85</t>
  </si>
  <si>
    <t>FLUVIO RAIMUNDI DOS SANTOS</t>
  </si>
  <si>
    <t>301.091.638-85</t>
  </si>
  <si>
    <t>FLUXION EVENTOS LTDA</t>
  </si>
  <si>
    <t>05.256.973/0001-00</t>
  </si>
  <si>
    <t>FOCACCIA, AMARAL E LAMONICA SOCIEDADE DE ADVOGADOS</t>
  </si>
  <si>
    <t>05.568.013/0001-85</t>
  </si>
  <si>
    <t>FOCCUS COM. IMP. DE ART. EDUC LTDA ME</t>
  </si>
  <si>
    <t>10.424.655/0001-40</t>
  </si>
  <si>
    <t>FOCUS VALE GRAFICA E EDITORA LTDA - EPP</t>
  </si>
  <si>
    <t>66.781.352/0001-30</t>
  </si>
  <si>
    <t>FONTELAB VENDAS E ASSISTENCIA TECNICA LTDA</t>
  </si>
  <si>
    <t>06.274.509/0001-09</t>
  </si>
  <si>
    <t>FORCE MEDICAL INDUSTRIA E DISTRIBUIDORA LTDA</t>
  </si>
  <si>
    <t>24.067.457/0001-81</t>
  </si>
  <si>
    <t>FORMATHO DIGITAL PRINT LTDA</t>
  </si>
  <si>
    <t>14.606.849/0001-18</t>
  </si>
  <si>
    <t>FORT INDUSTRIA E COMERCIO DE MATERIAIS ELETRICOS LTDA</t>
  </si>
  <si>
    <t>48.020.276/0001-68</t>
  </si>
  <si>
    <t>FORTVALE COMERCIO DE PRODUTOS AGROPECUARIOS LTDA</t>
  </si>
  <si>
    <t>07.322.744/0001-71</t>
  </si>
  <si>
    <t>FOTOSENSORES TECNOLOGIA ELETRONICA LTDA</t>
  </si>
  <si>
    <t>73.688.517/0001-99</t>
  </si>
  <si>
    <t>FRAGNARI DISTRIBUIDORA DE MEDICAMENTOS LTDA</t>
  </si>
  <si>
    <t>14.271.474/0001-82</t>
  </si>
  <si>
    <t>FRAN OLIVER COMERCIO DE FERRAMENTAS LTDA</t>
  </si>
  <si>
    <t>27.081.027/0001-02</t>
  </si>
  <si>
    <t>FRANCIALDA SOARES DO NASCIMENTO</t>
  </si>
  <si>
    <t>223.552.178-90</t>
  </si>
  <si>
    <t>FRANCIELE DE OLIVEIRA PACHECO</t>
  </si>
  <si>
    <t>411.973.298-38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</si>
  <si>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</si>
  <si>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</si>
  <si>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</si>
  <si>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</si>
  <si>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</si>
  <si>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</si>
  <si>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</si>
  <si>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</si>
  <si>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DE OLIVEIRA ABREU SOUSA</t>
  </si>
  <si>
    <t>325.984.628-07</t>
  </si>
  <si>
    <t>FRANCILENE GOMES DA CRUZ</t>
  </si>
  <si>
    <t>024.436.323-42</t>
  </si>
  <si>
    <t>Francis Leonardo Martins dos Santos</t>
  </si>
  <si>
    <t>334.344.678-58</t>
  </si>
  <si>
    <t>FRANCISCA ANDREIA CUSTODIO CARDOSO</t>
  </si>
  <si>
    <t>263.510.608-85</t>
  </si>
  <si>
    <t>FRANCISCA BEZERRA DE SOUSA NASCIMENTO</t>
  </si>
  <si>
    <t>072.421.698-79</t>
  </si>
  <si>
    <t>FRANCISCA CINTIA OLIVEIRA SILVA</t>
  </si>
  <si>
    <t>025.636.763-98</t>
  </si>
  <si>
    <t>FRANCISCA DE SOUSA SANTOS</t>
  </si>
  <si>
    <t>050.267.568-32</t>
  </si>
  <si>
    <t>FRANCISCA EVANUZIA BEZERRA SILVA</t>
  </si>
  <si>
    <t>077.220.583-37</t>
  </si>
  <si>
    <t>FRANCISCA FRANCILEIDE SERPA PEREIRA</t>
  </si>
  <si>
    <t>273.722.498-56</t>
  </si>
  <si>
    <t>FRANCISCA VIEIRA DE CARVALHO SALES</t>
  </si>
  <si>
    <t>349.581.503-15</t>
  </si>
  <si>
    <t>FRANCISCO  CARLOS FLORA DE TOLEDO</t>
  </si>
  <si>
    <t>738.568.358-49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</si>
  <si>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</si>
  <si>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</si>
  <si>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</si>
  <si>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</si>
  <si>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</si>
  <si>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</si>
  <si>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SANTOS</t>
  </si>
  <si>
    <t>122.087.738-70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</si>
  <si>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</si>
  <si>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</si>
  <si>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</si>
  <si>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</si>
  <si>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</si>
  <si>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</si>
  <si>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DE PAULA SANTOS</t>
  </si>
  <si>
    <t>026.055.378-62</t>
  </si>
  <si>
    <t>FRANCISCO DONIZETTI BENTO DE LIMA</t>
  </si>
  <si>
    <t>109.596.478-05</t>
  </si>
  <si>
    <t>FRANCISCO EDUARDO DE SOUSA LEITE</t>
  </si>
  <si>
    <t>326.471.628-32</t>
  </si>
  <si>
    <t>FRANCISCO FERREIRA DA SILVA</t>
  </si>
  <si>
    <t>071.545.349-15</t>
  </si>
  <si>
    <t>FRANCISCO INACIO FERREIRA</t>
  </si>
  <si>
    <t>504.770.641-91</t>
  </si>
  <si>
    <t>FRANCISCO LEONARDO DA SILVA FILHO</t>
  </si>
  <si>
    <t>251.340.638-93</t>
  </si>
  <si>
    <t>FRANCISCO LEONIDAS DA SILVA JUNIOR</t>
  </si>
  <si>
    <t>210.552.973-91</t>
  </si>
  <si>
    <t>FRANCISCO PEREIRA FIALHO FILHO</t>
  </si>
  <si>
    <t>372.795.788-37</t>
  </si>
  <si>
    <t>FRANCISCO RIBEIRO DE FREITAS</t>
  </si>
  <si>
    <t>150.062.648-10</t>
  </si>
  <si>
    <t>FRANCISCO RODRIGUES DE ANDRADE SJCAMPOS ME</t>
  </si>
  <si>
    <t>04.252.148/0001-74</t>
  </si>
  <si>
    <t>FRANCISCO RODRIGUES DOS SANTOS</t>
  </si>
  <si>
    <t>600.182.208-51</t>
  </si>
  <si>
    <t>FRANCISCO RONALDO FERREIRA DA SILVA</t>
  </si>
  <si>
    <t>098.492.578-30</t>
  </si>
  <si>
    <t>FRANCISLAINE APARECIDA BATISTA DA SILVA</t>
  </si>
  <si>
    <t>471.275.878-33</t>
  </si>
  <si>
    <t>FRANCO ADRIAN VIETA STECHINA</t>
  </si>
  <si>
    <t>042.098.458-50</t>
  </si>
  <si>
    <t>FRANCO CASTILHO &amp; CASTILHO LTDA ME</t>
  </si>
  <si>
    <t>08.910.113/0001-36</t>
  </si>
  <si>
    <t>FREDERICO AUGUSTO CERCHIARO BRUSCHI</t>
  </si>
  <si>
    <t>098.428.218-11</t>
  </si>
  <si>
    <t>FREDERICO BIANCHI</t>
  </si>
  <si>
    <t>416.435.728-22</t>
  </si>
  <si>
    <t>FREDERICO CAVALCANTI GURATTI</t>
  </si>
  <si>
    <t>185.640.238-06</t>
  </si>
  <si>
    <t>FREDERICO VILSON DA SILVA OLIVEIRA</t>
  </si>
  <si>
    <t>415.542.048-10</t>
  </si>
  <si>
    <t>FRENTE NACIONAL DE PREFEITOS</t>
  </si>
  <si>
    <t>05.703.933/0001-69</t>
  </si>
  <si>
    <t>FRESENIUS KABI BRASIL LTDA</t>
  </si>
  <si>
    <t>49.324.221/0016-90</t>
  </si>
  <si>
    <t>49.324.221/0001-04</t>
  </si>
  <si>
    <t>FRIDEL - FRIGORIFICO INDUSTRIAL DEL REY LTDA</t>
  </si>
  <si>
    <t>70.992.359/0003-30</t>
  </si>
  <si>
    <t>FRIOSHOPPING AR CONDICIONADO LTDA EPP</t>
  </si>
  <si>
    <t>10.631.556/0001-30</t>
  </si>
  <si>
    <t>FRUTICULTURA PLANTAR LTDA -ME</t>
  </si>
  <si>
    <t>14.308.564/0001-09</t>
  </si>
  <si>
    <t>F.S. COMERCIO E SERVICOS LTDA</t>
  </si>
  <si>
    <t>11.552.540/0001-02</t>
  </si>
  <si>
    <t>FULVIO SILVA RAMOS DOS SANTOS</t>
  </si>
  <si>
    <t>417.839.068-63</t>
  </si>
  <si>
    <t>FUNDACAO CENTRO TECNOLOGICO DE HIDRAULICA - FCTH</t>
  </si>
  <si>
    <t>55.639.124/0001-03</t>
  </si>
  <si>
    <t>FUNDACAO CIENCIAS APLIC. E TECN. ESPACIAIS</t>
  </si>
  <si>
    <t>51.619.104/0001-10</t>
  </si>
  <si>
    <t>FUNDACAO CULTURAL CASSIANO RICARDO</t>
  </si>
  <si>
    <t>45.395.704/0001-49</t>
  </si>
  <si>
    <t>FUNDACAO DE APOIO AO INSTITUTO DE PESQUISAS TECNOLOGICAS - FIPT</t>
  </si>
  <si>
    <t>05.505.390/0001-75</t>
  </si>
  <si>
    <t>FUNDACAO GETULIO VARGAS</t>
  </si>
  <si>
    <t>33.641.663/0001-44</t>
  </si>
  <si>
    <t>FUNDACAO HELIO AUGUSTO DE SOUZA - FUNDHAS</t>
  </si>
  <si>
    <t>57.522.468/0001-63</t>
  </si>
  <si>
    <t>FUNDACAO PARA O DESENVOLVIMENTO DA EDUCACAO -FDE</t>
  </si>
  <si>
    <t>60.509.015/0001-01</t>
  </si>
  <si>
    <t>FUNDACAO PROFESSOR DR. MANOEL PEDRO PIMENTEL</t>
  </si>
  <si>
    <t>49.325.434/0001-50</t>
  </si>
  <si>
    <t>FUNDACAO VALEPARAIBANA DE ENSINO</t>
  </si>
  <si>
    <t>60.191.244/0003-92</t>
  </si>
  <si>
    <t>FUNDICAO ALEA LTDA</t>
  </si>
  <si>
    <t>65.228.694/0001-64</t>
  </si>
  <si>
    <t>FUNDO DA JUSTICA DO PODER JUDICIARIO DO ESTADO DO PARANA - FUNJUS</t>
  </si>
  <si>
    <t>15.303.222/0001-50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</si>
  <si>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</si>
  <si>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</si>
  <si>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</si>
  <si>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</si>
  <si>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ESTADUAL DE ASSISTENCIA SOCIAL</t>
  </si>
  <si>
    <t>13.846.262/0001-13</t>
  </si>
  <si>
    <t>FUNDO ESTADUAL DE RECURSOS HIDRICOS-FEHIDRO</t>
  </si>
  <si>
    <t>13.848.070/0001-46</t>
  </si>
  <si>
    <t>FUNDO NACIONAL DE SAUDE</t>
  </si>
  <si>
    <t>00.530.493/0001-71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</si>
  <si>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</si>
  <si>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</si>
  <si>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</si>
  <si>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</si>
  <si>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</si>
  <si>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</si>
  <si>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L C CONSULTORIA S/S LTDA</t>
  </si>
  <si>
    <t>04.734.272/0001-76</t>
  </si>
  <si>
    <t>G L COMERCIO E INSTALAÇÃO DE GAS LTDA</t>
  </si>
  <si>
    <t>43.028.699/0001-00</t>
  </si>
  <si>
    <t>G NOVA COMERCIO DE PRODUTOS ALIMENTICIOS LTDA</t>
  </si>
  <si>
    <t>22.120.304/0001-25</t>
  </si>
  <si>
    <t>G.A. ENGENHARIA LTDA</t>
  </si>
  <si>
    <t>28.443.291/0001-01</t>
  </si>
  <si>
    <t>GABEE FOODS COMERCIO DE ALIMENTOS LTDA</t>
  </si>
  <si>
    <t>26.742.152/0001-53</t>
  </si>
  <si>
    <t>GABRIEL ALCANTARA BARROS</t>
  </si>
  <si>
    <t>441.808.448-77</t>
  </si>
  <si>
    <t>GABRIEL ALEKSANDER DA ROSA</t>
  </si>
  <si>
    <t>124.370.876-05</t>
  </si>
  <si>
    <t xml:space="preserve">GABRIEL ALVES CARDOSO	</t>
  </si>
  <si>
    <t>479.171.258-74</t>
  </si>
  <si>
    <t>Gabriel Antonio Romano</t>
  </si>
  <si>
    <t>457.520.058-17</t>
  </si>
  <si>
    <t>Gabriel Aparecido do Nascimento</t>
  </si>
  <si>
    <t>241.812.068-66</t>
  </si>
  <si>
    <t>GABRIEL AUGUSTO VIRGINIO DE MOURA</t>
  </si>
  <si>
    <t>428.260.618-52</t>
  </si>
  <si>
    <t>GABRIEL BARBOSA SILVA</t>
  </si>
  <si>
    <t>487.969.358-80</t>
  </si>
  <si>
    <t>Gabriel Barcarolo Barella</t>
  </si>
  <si>
    <t>600.700.890-86</t>
  </si>
  <si>
    <t>GABRIEL BENEDITO BEZERRA</t>
  </si>
  <si>
    <t>425.244.568-03</t>
  </si>
  <si>
    <t>Gabriel Bozzolo</t>
  </si>
  <si>
    <t>494.614.808-65</t>
  </si>
  <si>
    <t>GABRIEL BUENO LOMBELLO</t>
  </si>
  <si>
    <t>390.720.198-14</t>
  </si>
  <si>
    <t>Gabriel Caldeira de Oliveira</t>
  </si>
  <si>
    <t>480.557.528-00</t>
  </si>
  <si>
    <t>Gabriel Campolina Santos</t>
  </si>
  <si>
    <t>150.812.266-02</t>
  </si>
  <si>
    <t>Gabriel Candido Vieira</t>
  </si>
  <si>
    <t>144.679.286-26</t>
  </si>
  <si>
    <t>GABRIEL CARLOS GARCIA MACIEL</t>
  </si>
  <si>
    <t>470.195.318-06</t>
  </si>
  <si>
    <t>GABRIEL CARVALHO MOREIRA MIGUEL</t>
  </si>
  <si>
    <t>325.855.148-03</t>
  </si>
  <si>
    <t>GABRIEL DA ROCHA FARIA BARBOSA</t>
  </si>
  <si>
    <t>224.678.978-85</t>
  </si>
  <si>
    <t>GABRIEL DA SILVA BARROS</t>
  </si>
  <si>
    <t>423.283.888-09</t>
  </si>
  <si>
    <t>GABRIEL DA SILVA GUIMARAES</t>
  </si>
  <si>
    <t>504.172.808-90</t>
  </si>
  <si>
    <t>GABRIEL DA SILVA RODRIGUES</t>
  </si>
  <si>
    <t>548.098.448-97</t>
  </si>
  <si>
    <t>Gabriel de Sousa Silva</t>
  </si>
  <si>
    <t>477.127.618-84</t>
  </si>
  <si>
    <t>GABRIEL DE SOUZA VALEZIM</t>
  </si>
  <si>
    <t>343.752.688-08</t>
  </si>
  <si>
    <t>GABRIEL DIAS DE BARROS</t>
  </si>
  <si>
    <t>355.614.148-52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</si>
  <si>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</si>
  <si>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</si>
  <si>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</si>
  <si>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</si>
  <si>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</si>
  <si>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</si>
  <si>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</si>
  <si>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</si>
  <si>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Fabre Ramos</t>
  </si>
  <si>
    <t>483.489.668-46</t>
  </si>
  <si>
    <t>Gabriel Facio Trombetta</t>
  </si>
  <si>
    <t>417.002.718-30</t>
  </si>
  <si>
    <t>GABRIEL FELIX SILVA CONSTRUCAO</t>
  </si>
  <si>
    <t>50.414.238/0001-31</t>
  </si>
  <si>
    <t>Gabriel Fernandes Escobar da Silva</t>
  </si>
  <si>
    <t>386.729.688-08</t>
  </si>
  <si>
    <t>Gabriel Furlan Pedrosa</t>
  </si>
  <si>
    <t>528.289.918-30</t>
  </si>
  <si>
    <t>Gabriel Gomes de Oliveira</t>
  </si>
  <si>
    <t>236.823.998-79</t>
  </si>
  <si>
    <t>GABRIEL GROSSO CHAGAS</t>
  </si>
  <si>
    <t>053.774.177-12</t>
  </si>
  <si>
    <t>GABRIEL HARDY SOUZA FERNANDES DE MIRANDA</t>
  </si>
  <si>
    <t>071.855.681-02</t>
  </si>
  <si>
    <t>Gabriel Henrique Dantas</t>
  </si>
  <si>
    <t>460.269.028-99</t>
  </si>
  <si>
    <t>Gabriel Henrique Rocha de Brito</t>
  </si>
  <si>
    <t>119.153.436-74</t>
  </si>
  <si>
    <t>GABRIEL HENRIQUE SILVA</t>
  </si>
  <si>
    <t>416.824.798-89</t>
  </si>
  <si>
    <t>GABRIEL JOÁS SANCHES</t>
  </si>
  <si>
    <t>498.044.148-30</t>
  </si>
  <si>
    <t>Gabriel Kenji Hara Tsuda</t>
  </si>
  <si>
    <t>412.994.308-13</t>
  </si>
  <si>
    <t>GABRIEL KORGUL PINHEIRO</t>
  </si>
  <si>
    <t>529.646.738-88</t>
  </si>
  <si>
    <t>GABRIEL LEANDRO DE OLIVEIRA MELLO</t>
  </si>
  <si>
    <t>503.065.508-57</t>
  </si>
  <si>
    <t>Gabriel Leandro Jesus dos Santos</t>
  </si>
  <si>
    <t>488.161.688-97</t>
  </si>
  <si>
    <t>GABRIEL MACEDO LOPES</t>
  </si>
  <si>
    <t>010.428.591-59</t>
  </si>
  <si>
    <t>GABRIEL MAIA BUENO PIAO</t>
  </si>
  <si>
    <t>478.660.608-19</t>
  </si>
  <si>
    <t>GABRIEL MARCELINO COSTA</t>
  </si>
  <si>
    <t>499.169.368-38</t>
  </si>
  <si>
    <t>GABRIEL MARCELO MOREIRA D ONOFRIO</t>
  </si>
  <si>
    <t>238.544.618-95</t>
  </si>
  <si>
    <t>Gabriel Martins Kanehara</t>
  </si>
  <si>
    <t>497.530.398-16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</si>
  <si>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</si>
  <si>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</si>
  <si>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</si>
  <si>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</si>
  <si>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</si>
  <si>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</si>
  <si>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OLAVO DAMASCENO RODRIGUES</t>
  </si>
  <si>
    <t>150.317.477-81</t>
  </si>
  <si>
    <t>Gabriel Oliveira Lobo de Faria</t>
  </si>
  <si>
    <t>448.973.468-94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</si>
  <si>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</si>
  <si>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</si>
  <si>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</si>
  <si>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</si>
  <si>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</si>
  <si>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</si>
  <si>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Santos Ribeiro</t>
  </si>
  <si>
    <t>486.474.428-90</t>
  </si>
  <si>
    <t>GABRIEL SILVA DO CARMO</t>
  </si>
  <si>
    <t>418.620.358-06</t>
  </si>
  <si>
    <t>Gabriel Soares Mota</t>
  </si>
  <si>
    <t>709.407.364-03</t>
  </si>
  <si>
    <t>GABRIEL SOUZA DA SILVA SOBREIRA</t>
  </si>
  <si>
    <t>159.244.257-97</t>
  </si>
  <si>
    <t>Gabriel Tase Telmo</t>
  </si>
  <si>
    <t>442.404.398-33</t>
  </si>
  <si>
    <t>GABRIEL TELES SANTOS BARBOSA</t>
  </si>
  <si>
    <t>389.933.608-98</t>
  </si>
  <si>
    <t>Gabriel William dos Santos</t>
  </si>
  <si>
    <t>479.704.578-78</t>
  </si>
  <si>
    <t>Gabriela Alesandra Aparecida Rodrigues</t>
  </si>
  <si>
    <t>405.726.598-81</t>
  </si>
  <si>
    <t>GABRIELA CASSAL DE ARAUJO MOURA</t>
  </si>
  <si>
    <t>402.907.248-80</t>
  </si>
  <si>
    <t>GABRIELA COELHO COUCEIRO</t>
  </si>
  <si>
    <t>461.838.738-61</t>
  </si>
  <si>
    <t>GABRIELA CORREA DE OLIVEIRA LEITE</t>
  </si>
  <si>
    <t>051.330.832-62</t>
  </si>
  <si>
    <t>GABRIELA CRISTIANE MONTEIRO PEREIRA</t>
  </si>
  <si>
    <t>436.439.928-07</t>
  </si>
  <si>
    <t>GABRIELA CRISTINA DE ANDRADE</t>
  </si>
  <si>
    <t>376.488.578-55</t>
  </si>
  <si>
    <t>GABRIELA CRISTINA ZAMPERLINI PEROTTI</t>
  </si>
  <si>
    <t>378.879.428-37</t>
  </si>
  <si>
    <t>GABRIELA DE ALMEIDA BITTENCOURT DA SILVEIRA</t>
  </si>
  <si>
    <t>365.729.248-90</t>
  </si>
  <si>
    <t>GABRIELA DE ALMEIDA OLIVEIRA</t>
  </si>
  <si>
    <t>464.671.138-96</t>
  </si>
  <si>
    <t>GABRIELA DE OLIVEIRA BARBOSA</t>
  </si>
  <si>
    <t>489.899.518-79</t>
  </si>
  <si>
    <t>GABRIELA DIAS DOS SANTOS</t>
  </si>
  <si>
    <t>487.308.048-76</t>
  </si>
  <si>
    <t>GABRIELA DIOLANDA MAGDALENA BARBOSA SILVA</t>
  </si>
  <si>
    <t>429.607.508-02</t>
  </si>
  <si>
    <t>GABRIELA FLORENCIO DA SILVA</t>
  </si>
  <si>
    <t>555.957.388-47</t>
  </si>
  <si>
    <t>GABRIELA GOMES COUTINHO</t>
  </si>
  <si>
    <t>553.936.528-36</t>
  </si>
  <si>
    <t>GABRIELA LEITE MENDONCA</t>
  </si>
  <si>
    <t>440.769.568-42</t>
  </si>
  <si>
    <t>GABRIELA LOPES RIBEIRO</t>
  </si>
  <si>
    <t>528.735.558-07</t>
  </si>
  <si>
    <t>GABRIELA NUNES DE BARROS DORIA SIM</t>
  </si>
  <si>
    <t>394.676.158-51</t>
  </si>
  <si>
    <t>GABRIELA PADUA VICENTINI CHACON</t>
  </si>
  <si>
    <t>278.256.058-10</t>
  </si>
  <si>
    <t>GABRIELA PEREIRA DE BRITO</t>
  </si>
  <si>
    <t>419.865.308-92</t>
  </si>
  <si>
    <t>GABRIELA PEREIRA MATOS</t>
  </si>
  <si>
    <t>420.195.768-30</t>
  </si>
  <si>
    <t>GABRIELA SALHAB DOS SANTOS</t>
  </si>
  <si>
    <t>386.376.678-48</t>
  </si>
  <si>
    <t>GABRIELA SERAO MENDES - ME</t>
  </si>
  <si>
    <t>11.630.061/0001-59</t>
  </si>
  <si>
    <t>GABRIELA SILVA JESUS</t>
  </si>
  <si>
    <t>438.288.958-83</t>
  </si>
  <si>
    <t>GABRIELA SILVA MARTINS BARBOSA</t>
  </si>
  <si>
    <t>451.999.358-01</t>
  </si>
  <si>
    <t>GABRIELA STEFANIE GUERREIRO NOGUEIRA</t>
  </si>
  <si>
    <t>424.391.268-88</t>
  </si>
  <si>
    <t>GABRIELA TANAKA DO NASCIMENTO</t>
  </si>
  <si>
    <t>492.806.468-26</t>
  </si>
  <si>
    <t>GABRIELA VENTURA FERREIRA ALVES</t>
  </si>
  <si>
    <t>483.640.718-40</t>
  </si>
  <si>
    <t>GABRIELE DE OLIVEIRA FARIA</t>
  </si>
  <si>
    <t>474.615.348-58</t>
  </si>
  <si>
    <t>GABRIELE DE SOUZA</t>
  </si>
  <si>
    <t>443.341.878-11</t>
  </si>
  <si>
    <t>GABRIELE TRINDADE SANTANA DE ANDRADE</t>
  </si>
  <si>
    <t>355.912.378-00</t>
  </si>
  <si>
    <t>GABRIELI BERALDO RIBEIRO</t>
  </si>
  <si>
    <t>455.867.338-89</t>
  </si>
  <si>
    <t>Gabriella Biglia Dias</t>
  </si>
  <si>
    <t>462.244.648-04</t>
  </si>
  <si>
    <t>Gabriella Joyce Fernandes de Farias</t>
  </si>
  <si>
    <t>099.547.734-52</t>
  </si>
  <si>
    <t>GABRIELLA LOPES DA SILVA</t>
  </si>
  <si>
    <t>469.093.608-00</t>
  </si>
  <si>
    <t>GABRIELLE BARBOSA MATOS</t>
  </si>
  <si>
    <t>451.304.948-06</t>
  </si>
  <si>
    <t>GABRIELLE DE MORAES ALMEIDA</t>
  </si>
  <si>
    <t>495.618.068-35</t>
  </si>
  <si>
    <t>Gabrielle de Souza Terto Cavalcante</t>
  </si>
  <si>
    <t>144.523.777-69</t>
  </si>
  <si>
    <t>GABRIELLE FERREIRA GODOY</t>
  </si>
  <si>
    <t>387.491.618-90</t>
  </si>
  <si>
    <t>Gabrielle Lourenço dos Santos</t>
  </si>
  <si>
    <t>463.937.048-29</t>
  </si>
  <si>
    <t>GABRIELLE ORBOLATO</t>
  </si>
  <si>
    <t>434.121.218-43</t>
  </si>
  <si>
    <t>GABRIELLE PIETRAROIA DA SILVA ALMEIDA</t>
  </si>
  <si>
    <t>459.498.418-59</t>
  </si>
  <si>
    <t>GABRIELLE REIS ORTIZ DA SILVA</t>
  </si>
  <si>
    <t>442.518.528-50</t>
  </si>
  <si>
    <t>GABRIELLE RODRIGUES DIAS</t>
  </si>
  <si>
    <t>435.494.918-08</t>
  </si>
  <si>
    <t>GABRIELLE SILVA DE PAULA</t>
  </si>
  <si>
    <t>415.175.118-10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</si>
  <si>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</si>
  <si>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</si>
  <si>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</si>
  <si>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</si>
  <si>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</si>
  <si>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</si>
  <si>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</si>
  <si>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</si>
  <si>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GABRYELA SANTOS RIBEIRO SOUSA</t>
  </si>
  <si>
    <t>030.505.113-03</t>
  </si>
  <si>
    <t>GALIANO BRAZUNA MOURA</t>
  </si>
  <si>
    <t>276.755.658-78</t>
  </si>
  <si>
    <t>GALILEIA PAULA DA SILVA</t>
  </si>
  <si>
    <t>363.262.018-02</t>
  </si>
  <si>
    <t>GAMA GASES ESPECIAIS LTDA</t>
  </si>
  <si>
    <t>72.819.618/0004-31</t>
  </si>
  <si>
    <t>GAMAFE EMPREENDIMENTOS E PARTICIPACOES LTDA</t>
  </si>
  <si>
    <t>13.572.370/0001-45</t>
  </si>
  <si>
    <t>GARDENIA BORGES DA SILVA</t>
  </si>
  <si>
    <t>310.860.408-21</t>
  </si>
  <si>
    <t>GARDENIA MARIA AGUIAR DA SILVA</t>
  </si>
  <si>
    <t>118.244.578-04</t>
  </si>
  <si>
    <t>GARDENIA SILVA DE JESUS ANDRADE</t>
  </si>
  <si>
    <t>248.270.998-98</t>
  </si>
  <si>
    <t>GASBALL ARMAZENADORA E DISTRIBUIDORA LTDA</t>
  </si>
  <si>
    <t>02.430.968/0001-83</t>
  </si>
  <si>
    <t>GASPAR DE SOUZA</t>
  </si>
  <si>
    <t>578.111.728-87</t>
  </si>
  <si>
    <t>G.B.V.T ENGENHARIA E CONSTRUCOES LTDA</t>
  </si>
  <si>
    <t>52.118.379/0001-32</t>
  </si>
  <si>
    <t>GDAI INDUSTRIA &amp; COMERCIO ELETRONICOS EIRELI</t>
  </si>
  <si>
    <t>32.084.616/0001-84</t>
  </si>
  <si>
    <t>GEAN CARLOS DA SILVA GRACA</t>
  </si>
  <si>
    <t>381.225.338-09</t>
  </si>
  <si>
    <t>GEANDRO AUGUSTO DA COSTA</t>
  </si>
  <si>
    <t>229.256.588-90</t>
  </si>
  <si>
    <t>GECILIA RIBEIRO</t>
  </si>
  <si>
    <t>337.016.208-30</t>
  </si>
  <si>
    <t>GECINEIDE RIBEIRO PEREIRA DE SOUZA</t>
  </si>
  <si>
    <t>296.502.588-09</t>
  </si>
  <si>
    <t>GEDEILDA OLIVEIRA DA SILVA</t>
  </si>
  <si>
    <t>337.945.618-72</t>
  </si>
  <si>
    <t>GEILAN FELLIPE DOS SANTOS RODRIGUE</t>
  </si>
  <si>
    <t>409.886.428-24</t>
  </si>
  <si>
    <t>GEILSON FRANCISCO DE JESUS PEREIRA</t>
  </si>
  <si>
    <t>725.478.121-34</t>
  </si>
  <si>
    <t>GEILSON RAFAEL NUNES DOS SANTOS</t>
  </si>
  <si>
    <t>356.724.588-07</t>
  </si>
  <si>
    <t>GEISA OLIVEIRA SILVA</t>
  </si>
  <si>
    <t>384.852.268-36</t>
  </si>
  <si>
    <t>GELSON BARONTO DOS REIS</t>
  </si>
  <si>
    <t>050.319.388-70</t>
  </si>
  <si>
    <t>GEMELI MEDICAL LTDA</t>
  </si>
  <si>
    <t>42.198.801/0001-53</t>
  </si>
  <si>
    <t>GENARO FAILI NETO</t>
  </si>
  <si>
    <t>977.253.408-82</t>
  </si>
  <si>
    <t>GENERAL MOTORS DO BRASIL LTDA</t>
  </si>
  <si>
    <t>59.275.792/0001-50</t>
  </si>
  <si>
    <t>GENERICA ITATIBA DISTRIBUIDORA DE MEDICAMENTOS LTDA</t>
  </si>
  <si>
    <t>41.319.803/0001-90</t>
  </si>
  <si>
    <t>GENESIO A MENDES &amp; CIA LTDA</t>
  </si>
  <si>
    <t>82.873.068/0007-35</t>
  </si>
  <si>
    <t>GENIVALDO CICERO FERREIRA</t>
  </si>
  <si>
    <t>108.179.558-10</t>
  </si>
  <si>
    <t>GENIVALDO CONCEIÇÃO DOS SANTOS</t>
  </si>
  <si>
    <t>918.677.385-20</t>
  </si>
  <si>
    <t>GENSET SOLUTIONS INDUSTRIA, COMERCIO, IMPORTACAO E EXPORTACAO DE GRUPOS MOTO-GERADORES LTDA</t>
  </si>
  <si>
    <t>07.346.027/0001-80</t>
  </si>
  <si>
    <t>GEOLAB INDUSTRIA  FARMACEUTICA S/A</t>
  </si>
  <si>
    <t>03.485.572/0001-04</t>
  </si>
  <si>
    <t>GEOMAT VENDAS DE MAQUINAS E EQUIPAMENTOS LTDA</t>
  </si>
  <si>
    <t>32.749.332/0001-60</t>
  </si>
  <si>
    <t>GEORGINA PEREIRA</t>
  </si>
  <si>
    <t>026.225.268-65</t>
  </si>
  <si>
    <t>GEORGINA SIQUEIRA ALVARENGA</t>
  </si>
  <si>
    <t>41.683.464/0001-27</t>
  </si>
  <si>
    <t>GEOVANA FERNANDES</t>
  </si>
  <si>
    <t>222.239.878-93</t>
  </si>
  <si>
    <t>GEOVANA GISELE FORTES</t>
  </si>
  <si>
    <t>225.044.378-54</t>
  </si>
  <si>
    <t>GEOVANA PERAL CALASTRI SANTOS</t>
  </si>
  <si>
    <t>512.320.448-22</t>
  </si>
  <si>
    <t>GEOVANA TOLEDO DOS SANTOS</t>
  </si>
  <si>
    <t>581.122.628-45</t>
  </si>
  <si>
    <t>GEOVANE EVANGELISTA DOS SANTOS</t>
  </si>
  <si>
    <t>980.283.755-53</t>
  </si>
  <si>
    <t>Geovanna Cristina de Almeida Gonçalves</t>
  </si>
  <si>
    <t>475.614.978-22</t>
  </si>
  <si>
    <t>GEOVANNA FERNANDES DA ROSA</t>
  </si>
  <si>
    <t>491.381.348-02</t>
  </si>
  <si>
    <t>GEOVANNA THAIS DA SILVA FERNANDES</t>
  </si>
  <si>
    <t>493.454.958-78</t>
  </si>
  <si>
    <t>GERALDO APARECIDO BRAZ</t>
  </si>
  <si>
    <t>019.323.118-23</t>
  </si>
  <si>
    <t>GERALDO ARAUJO DA SILVA</t>
  </si>
  <si>
    <t>040.076.518-76</t>
  </si>
  <si>
    <t>GERALDO CAETANO DE OLIVEIRA</t>
  </si>
  <si>
    <t>278.889.169-53</t>
  </si>
  <si>
    <t>GERALDO CAMPESI</t>
  </si>
  <si>
    <t>609.557.678-49</t>
  </si>
  <si>
    <t>Geraldo da Silva Souza Junior</t>
  </si>
  <si>
    <t>635.857.902-91</t>
  </si>
  <si>
    <t>GERALDO FELICIANO DA SILVA</t>
  </si>
  <si>
    <t>246.535.604-63</t>
  </si>
  <si>
    <t>GERALDO JERONIMO</t>
  </si>
  <si>
    <t>045.905.568-20</t>
  </si>
  <si>
    <t>GERALDO LUIZ OLIVEIRA SAMPAIO</t>
  </si>
  <si>
    <t>742.366.365-49</t>
  </si>
  <si>
    <t>GERALDO MAJELA MACHADO</t>
  </si>
  <si>
    <t>887.524.378-68</t>
  </si>
  <si>
    <t>GERALDO RAIMUNDO DE SOUZA</t>
  </si>
  <si>
    <t>787.931.148-34</t>
  </si>
  <si>
    <t>GERMÁN MISETICH</t>
  </si>
  <si>
    <t>901.374.488-56</t>
  </si>
  <si>
    <t>GERMANO PNEUS LTDA</t>
  </si>
  <si>
    <t>48.926.883/0001-91</t>
  </si>
  <si>
    <t>GERSON  RODRIGUES DE MIRANDA</t>
  </si>
  <si>
    <t>085.872.228-30</t>
  </si>
  <si>
    <t>GERSON DOS SANTOS</t>
  </si>
  <si>
    <t>310.866.498-00</t>
  </si>
  <si>
    <t>GERUZA APARECIDA DE SOUZA</t>
  </si>
  <si>
    <t>250.890.008-75</t>
  </si>
  <si>
    <t>GESIEL COUTINHO</t>
  </si>
  <si>
    <t>371.818.348-00</t>
  </si>
  <si>
    <t>GESSI ALVES DA SILVA</t>
  </si>
  <si>
    <t>602.673.138-53</t>
  </si>
  <si>
    <t>GESTAO FILANTROPIA - COMUNICACAO E EVENTOS EIRELI</t>
  </si>
  <si>
    <t>13.835.755/0001-58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</si>
  <si>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</si>
  <si>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</si>
  <si>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</si>
  <si>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</si>
  <si>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</si>
  <si>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</si>
  <si>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GHC UNIFORMES PROFISSIONAIS LTDA.</t>
  </si>
  <si>
    <t>10.242.466/0001-57</t>
  </si>
  <si>
    <t>GIANE CRISTINA SOARES DE OLIVEIRA</t>
  </si>
  <si>
    <t>442.608.188-21</t>
  </si>
  <si>
    <t>GICILAINE PAULINO DA SILVA</t>
  </si>
  <si>
    <t>450.888.168-80</t>
  </si>
  <si>
    <t>GIDEONE DE JESUS FELICIANO</t>
  </si>
  <si>
    <t>214.574.398-75</t>
  </si>
  <si>
    <t>GILBERTO DA SILVA OLIVEIRA JUNIOR</t>
  </si>
  <si>
    <t>471.230.438-39</t>
  </si>
  <si>
    <t>GILBERTO DE JESUS DE DEUS</t>
  </si>
  <si>
    <t>019.264.305-30</t>
  </si>
  <si>
    <t>GILBERTO DOS SANTOS TOSTA ME</t>
  </si>
  <si>
    <t>08.247.334/0001-76</t>
  </si>
  <si>
    <t>GILBERTO FERREIRA DOS SANTOS</t>
  </si>
  <si>
    <t>520.173.205-44</t>
  </si>
  <si>
    <t>GILBERTO MAXIMO</t>
  </si>
  <si>
    <t>043.429.628-70</t>
  </si>
  <si>
    <t>GILBERTO MOREIRA CARDOSO</t>
  </si>
  <si>
    <t>367.503.298-10</t>
  </si>
  <si>
    <t>GILBERTO RODRIGUES DE SOUZA</t>
  </si>
  <si>
    <t>032.847.626-98</t>
  </si>
  <si>
    <t>GILBERTO VIEIRA DOS SANTOS</t>
  </si>
  <si>
    <t>678.941.198-49</t>
  </si>
  <si>
    <t>GILCEMAR PEREIRA BRAGA</t>
  </si>
  <si>
    <t>358.786.688-07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</si>
  <si>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</si>
  <si>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</si>
  <si>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</si>
  <si>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</si>
  <si>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</si>
  <si>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</si>
  <si>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</si>
  <si>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</si>
  <si>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</si>
  <si>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</si>
  <si>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GILEIDA DE JESUS SANTOS</t>
  </si>
  <si>
    <t>473.810.428-43</t>
  </si>
  <si>
    <t>GILMAR CORDEIRO</t>
  </si>
  <si>
    <t>397.416.729-34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</si>
  <si>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</si>
  <si>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</si>
  <si>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</si>
  <si>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</si>
  <si>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</si>
  <si>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</si>
  <si>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</si>
  <si>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</si>
  <si>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</si>
  <si>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</si>
  <si>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</si>
  <si>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</si>
  <si>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GILSOMAR DOS SANTOS</t>
  </si>
  <si>
    <t>055.610.328-95</t>
  </si>
  <si>
    <t>GILSON APARECIDO DOS SANTOS</t>
  </si>
  <si>
    <t>089.367.028-66</t>
  </si>
  <si>
    <t>GILSON CAMARGO</t>
  </si>
  <si>
    <t>270.751.928-68</t>
  </si>
  <si>
    <t>GILSON DE ARAUJO FERNANDES</t>
  </si>
  <si>
    <t>228.346.518-41</t>
  </si>
  <si>
    <t>GILSON FRANCO FERREIRA</t>
  </si>
  <si>
    <t>213.607.918-25</t>
  </si>
  <si>
    <t>Gilson José da Silva</t>
  </si>
  <si>
    <t>213.387.698-71</t>
  </si>
  <si>
    <t>GILSON LUIZ GUIMARAES MOURA</t>
  </si>
  <si>
    <t>109.752.198-20</t>
  </si>
  <si>
    <t>GILSON PEREIRA DA SILVA</t>
  </si>
  <si>
    <t>285.829.988-99</t>
  </si>
  <si>
    <t>GILSON RUFINO DOS SANTOS</t>
  </si>
  <si>
    <t>058.635.268-66</t>
  </si>
  <si>
    <t>GILVAN BEZERRA DOS SANTOS</t>
  </si>
  <si>
    <t>150.109.358-48</t>
  </si>
  <si>
    <t>Gilvan José da Silva Junior</t>
  </si>
  <si>
    <t>149.044.606-00</t>
  </si>
  <si>
    <t>GILVAN OLIVEIRA DA SILVA</t>
  </si>
  <si>
    <t>350.711.448-83</t>
  </si>
  <si>
    <t>GILVAN SANTANA FERREIRA 04254472510</t>
  </si>
  <si>
    <t>35.572.550/0001-60</t>
  </si>
  <si>
    <t>GILVAN SANTOS DE MORAIS</t>
  </si>
  <si>
    <t>872.198.404-20</t>
  </si>
  <si>
    <t>GILVANA LUCAS DA SILVA</t>
  </si>
  <si>
    <t>220.582.878-94</t>
  </si>
  <si>
    <t>GIMAVALLE AUTOMACAO INDUSTRIAL LIMITADA</t>
  </si>
  <si>
    <t>19.011.610/0001-19</t>
  </si>
  <si>
    <t>GIMENEZ &amp; OLIVEIRA TURISMO VALE SUL LTDA</t>
  </si>
  <si>
    <t>11.738.968/0001-36</t>
  </si>
  <si>
    <t>GIOGENES BENTO DIAS</t>
  </si>
  <si>
    <t>321.347.268-90</t>
  </si>
  <si>
    <t>Giovana Alves de Souza</t>
  </si>
  <si>
    <t>514.529.578-27</t>
  </si>
  <si>
    <t>Giovana Cristine de Melo Sousa</t>
  </si>
  <si>
    <t>482.864.118-11</t>
  </si>
  <si>
    <t>GIOVANA MARIA MACEDO JUSTINO</t>
  </si>
  <si>
    <t>526.285.388-90</t>
  </si>
  <si>
    <t>GIOVANE PEREIRA DA SILVA</t>
  </si>
  <si>
    <t>061.041.037-74</t>
  </si>
  <si>
    <t>GIOVANE SOARES DE OLIVEIRA</t>
  </si>
  <si>
    <t>461.353.638-32</t>
  </si>
  <si>
    <t>GIOVANI CHAIDER BASSO</t>
  </si>
  <si>
    <t>368.287.518-25</t>
  </si>
  <si>
    <t>GIOVANI JEAN CAMPELO VENANCIO</t>
  </si>
  <si>
    <t>488.763.318-16</t>
  </si>
  <si>
    <t>GIOVANNA CARRIERI CUNHA</t>
  </si>
  <si>
    <t>518.249.748-25</t>
  </si>
  <si>
    <t>GIOVANNA DE OLIVEIRA</t>
  </si>
  <si>
    <t>506.608.548-30</t>
  </si>
  <si>
    <t>GIOVANNA DE OLIVEIRA LUCIO</t>
  </si>
  <si>
    <t>488.579.568-06</t>
  </si>
  <si>
    <t>GIOVANNA DOURADO ANDRADE</t>
  </si>
  <si>
    <t>546.252.058-16</t>
  </si>
  <si>
    <t>GIOVANNA GABRIELLA DA SILVA DEMETRIO</t>
  </si>
  <si>
    <t>516.024.148-58</t>
  </si>
  <si>
    <t>GIOVANNA GOMES DOS SANTOS SOUZA</t>
  </si>
  <si>
    <t>113.431.914-24</t>
  </si>
  <si>
    <t>GIOVANNA JANETE DO PRADO ROSA</t>
  </si>
  <si>
    <t>409.971.758-50</t>
  </si>
  <si>
    <t>GIOVANNA LISSA MOREIRA DALACQUA</t>
  </si>
  <si>
    <t>451.433.418-92</t>
  </si>
  <si>
    <t>GIOVANNA MARINI LOPES</t>
  </si>
  <si>
    <t>508.332.338-90</t>
  </si>
  <si>
    <t>GIOVANNA OLIVEIRA DA CRUZ</t>
  </si>
  <si>
    <t>451.215.398-51</t>
  </si>
  <si>
    <t>Giovanna Peres Marciano</t>
  </si>
  <si>
    <t>422.965.488-06</t>
  </si>
  <si>
    <t>GIOVANNA RIBEIRO DE SOUZA</t>
  </si>
  <si>
    <t>513.211.968-90</t>
  </si>
  <si>
    <t>GIOVANNA SANTOS ULLIANI</t>
  </si>
  <si>
    <t>436.075.638-02</t>
  </si>
  <si>
    <t>GIOVANNA VITORIA ABRAO SILVA</t>
  </si>
  <si>
    <t>463.568.028-20</t>
  </si>
  <si>
    <t>Giovanni Fantoni Lemos</t>
  </si>
  <si>
    <t>148.706.756-92</t>
  </si>
  <si>
    <t>GIOVANNI KLIEMANN SILVA</t>
  </si>
  <si>
    <t>044.748.458-38</t>
  </si>
  <si>
    <t>GIOVANNI MACHADO DE FREITAS</t>
  </si>
  <si>
    <t>218.143.838-24</t>
  </si>
  <si>
    <t>GIOVANNI RONALDO CIRINO</t>
  </si>
  <si>
    <t>285.355.878-96</t>
  </si>
  <si>
    <t>GIRLANE APARECIDA DA SILVA BRANDAO</t>
  </si>
  <si>
    <t>348.711.568-93</t>
  </si>
  <si>
    <t>GIRLANE ROCHA  BARBOSA ALMEIDA DA SILVA</t>
  </si>
  <si>
    <t>021.947.765-59</t>
  </si>
  <si>
    <t>GISELA MARIA PIMENTEL FORMIGONI</t>
  </si>
  <si>
    <t>040.806.818-36</t>
  </si>
  <si>
    <t>GISELE CASTRO RIBEIRO ALVES</t>
  </si>
  <si>
    <t>220.884.508-07</t>
  </si>
  <si>
    <t>GISELE CRISTINA FONSECA</t>
  </si>
  <si>
    <t>347.512.158-17</t>
  </si>
  <si>
    <t>GISELE DA SILVA RODRIGUES</t>
  </si>
  <si>
    <t>376.185.568-06</t>
  </si>
  <si>
    <t>GISELE DE PAULA TAVARES</t>
  </si>
  <si>
    <t>263.275.508-51</t>
  </si>
  <si>
    <t>GISELE DOS SANTOS MESSIAS</t>
  </si>
  <si>
    <t>354.552.678-09</t>
  </si>
  <si>
    <t>GISELE HELENA ROCHA DOS SANTOS</t>
  </si>
  <si>
    <t>325.982.518-57</t>
  </si>
  <si>
    <t>GISELE MONTEIRO FERRAZ</t>
  </si>
  <si>
    <t>336.321.758-70</t>
  </si>
  <si>
    <t>GISELE NATALY CINTRA DE MORAIS</t>
  </si>
  <si>
    <t>278.664.018-02</t>
  </si>
  <si>
    <t>GISELE PALOMA DA SILVA</t>
  </si>
  <si>
    <t>309.530.418-83</t>
  </si>
  <si>
    <t>GISELE RENATA MARTINS DE TOLEDO MORAIS</t>
  </si>
  <si>
    <t>331.368.438-60</t>
  </si>
  <si>
    <t>GISELE ROBERTA ALVES PINTO</t>
  </si>
  <si>
    <t>223.457.178-23</t>
  </si>
  <si>
    <t>GISELE ROSIANE PEREIRA</t>
  </si>
  <si>
    <t>329.203.258-09</t>
  </si>
  <si>
    <t>GISELE WEISS DE ALMEIDA</t>
  </si>
  <si>
    <t>270.755.298-46</t>
  </si>
  <si>
    <t>Giseli Rodrigues</t>
  </si>
  <si>
    <t>216.379.498-98</t>
  </si>
  <si>
    <t>GISELLE BERTOLOTTI BORGES</t>
  </si>
  <si>
    <t>314.452.828-52</t>
  </si>
  <si>
    <t>GISELLE FREITAS DURAN DA ROCHA LANDIVA</t>
  </si>
  <si>
    <t>365.715.908-83</t>
  </si>
  <si>
    <t>GISLAINE DE AZEVEDO GOMES CENTRO AUTOMOTIVO</t>
  </si>
  <si>
    <t>32.485.944/0001-92</t>
  </si>
  <si>
    <t>GISLAINE HELENA LEMES VITORIO</t>
  </si>
  <si>
    <t>392.673.048-01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</si>
  <si>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</si>
  <si>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</si>
  <si>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</si>
  <si>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</si>
  <si>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</si>
  <si>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</si>
  <si>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</si>
  <si>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</si>
  <si>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</si>
  <si>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</si>
  <si>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</si>
  <si>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</si>
  <si>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</si>
  <si>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</si>
  <si>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GLAUBER DE OLIVEIRA RIBAS</t>
  </si>
  <si>
    <t>230.334.428-03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</si>
  <si>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</si>
  <si>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</si>
  <si>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</si>
  <si>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</si>
  <si>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</si>
  <si>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</si>
  <si>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</si>
  <si>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</si>
  <si>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GLAUCO ANTONIO BASTOS DE CASTRO ALVARENGA</t>
  </si>
  <si>
    <t>366.370.008-92</t>
  </si>
  <si>
    <t>GLAUDSTON ROHR GONCALVES FILHO</t>
  </si>
  <si>
    <t>145.858.997-82</t>
  </si>
  <si>
    <t>GLEICEARA PERLA DA SILVA E SOUZA</t>
  </si>
  <si>
    <t>395.958.598-50</t>
  </si>
  <si>
    <t>GLEYDSON PAIVA DE SOUSA</t>
  </si>
  <si>
    <t>429.091.588-45</t>
  </si>
  <si>
    <t>GLOBAL HOSPITALAR DISTRIBUICAO E COMERCIO LTDA</t>
  </si>
  <si>
    <t>36.730.875/0001-96</t>
  </si>
  <si>
    <t>GLOBAL HOSPITALAR IMPORTACAO E COMERCIO SA</t>
  </si>
  <si>
    <t>12.047.164/0001-53</t>
  </si>
  <si>
    <t>GLORIA FERNANDA DE ALMEIDA DIAS</t>
  </si>
  <si>
    <t>314.093.998-18</t>
  </si>
  <si>
    <t>GLORIA MARIA MARQUES DELLIAS</t>
  </si>
  <si>
    <t>226.799.748-75</t>
  </si>
  <si>
    <t>GO-IT WORK INFORMATICA LTDA</t>
  </si>
  <si>
    <t>32.489.037/0001-11</t>
  </si>
  <si>
    <t>GOLDEN PRODUTOS ODONTOLOGICOS LTDA</t>
  </si>
  <si>
    <t>46.884.097/0001-43</t>
  </si>
  <si>
    <t>GOLDEN TECNOLOGIA EM CONSTRUCAO LTDA</t>
  </si>
  <si>
    <t>34.927.925/0001-02</t>
  </si>
  <si>
    <t>GOLDMED IMPORTACAO DE PRODUTOS HOSPITALARES LTDA</t>
  </si>
  <si>
    <t>28.215.470/0001-91</t>
  </si>
  <si>
    <t>GOMAQ MAQUINAS PARA ESCRITORIO LTDA</t>
  </si>
  <si>
    <t>61.457.941/0001-43</t>
  </si>
  <si>
    <t>GOMES MAIA E PORTO MIGUEL EDUCACAO INFANTIL LTDA</t>
  </si>
  <si>
    <t>65.045.213/0001-85</t>
  </si>
  <si>
    <t>GR INDÚSTRIA COM. E TRANSP. DE PROD. QUÍMICOS LTDA</t>
  </si>
  <si>
    <t>03.157.268/0001-20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</si>
  <si>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</si>
  <si>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</si>
  <si>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</si>
  <si>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</si>
  <si>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</si>
  <si>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</si>
  <si>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</si>
  <si>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</si>
  <si>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</si>
  <si>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</si>
  <si>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GRACE REGINA ANTONIA JAMES MIRANDA</t>
  </si>
  <si>
    <t>046.275.268-22</t>
  </si>
  <si>
    <t>GRACIANA HONOR DE GODOI LUCAS DO NASCIMENTO</t>
  </si>
  <si>
    <t>331.495.218-07</t>
  </si>
  <si>
    <t>GRACIANE FERNANDES CRUZ ALMEIDA</t>
  </si>
  <si>
    <t>201.959.378-56</t>
  </si>
  <si>
    <t>GRACIENE APARECIDA DE JESUS FEITOSA</t>
  </si>
  <si>
    <t>401.455.438-46</t>
  </si>
  <si>
    <t>GRAN MASTER INDUSTRIAL LTDA</t>
  </si>
  <si>
    <t>08.999.125/0001-89</t>
  </si>
  <si>
    <t>GRAYCE KELLY EVANGELISTA DE OLIVEIRA</t>
  </si>
  <si>
    <t>347.208.088-40</t>
  </si>
  <si>
    <t>GRAZIELA BLINOVAS DE MOURA GUIMARAES</t>
  </si>
  <si>
    <t>502.128.408-86</t>
  </si>
  <si>
    <t>GRAZIELA DOS SANTOS ASSIS ARNAUT</t>
  </si>
  <si>
    <t>222.792.198-67</t>
  </si>
  <si>
    <t>GRAZIELA FERREIRA DA SILVA</t>
  </si>
  <si>
    <t>336.558.878-76</t>
  </si>
  <si>
    <t>GRAZIELA GOMES PAES DOMINGUES</t>
  </si>
  <si>
    <t>295.619.688-00</t>
  </si>
  <si>
    <t>GRAZIELA MARIKA DE AGUIAR</t>
  </si>
  <si>
    <t>159.507.828-28</t>
  </si>
  <si>
    <t>GRAZIELE DANTAS VIEIRA</t>
  </si>
  <si>
    <t>015.565.055-66</t>
  </si>
  <si>
    <t>GRAZIELE FERNANDA RAMOS SPINOLA</t>
  </si>
  <si>
    <t>292.552.038-35</t>
  </si>
  <si>
    <t>GRAZIELE GUEDES SILVA</t>
  </si>
  <si>
    <t>503.452.128-86</t>
  </si>
  <si>
    <t>GRAZIELE LUCIA DE ALMEIDA VERTERA</t>
  </si>
  <si>
    <t>389.275.758-57</t>
  </si>
  <si>
    <t>GRAZIELE PEREIRA DE SOUZA</t>
  </si>
  <si>
    <t>125.066.986-39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</si>
  <si>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</si>
  <si>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</si>
  <si>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</si>
  <si>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</si>
  <si>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</si>
  <si>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</si>
  <si>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GRC DENTAL PARTS EXPRESS SERVICE LTDA</t>
  </si>
  <si>
    <t>17.167.246/0001-55</t>
  </si>
  <si>
    <t>GREENCARE PHARMA COMERCIO ATACADISTA DE MEDICAMENTOS E COSMETICOS LTDA.</t>
  </si>
  <si>
    <t>36.940.761/0001-70</t>
  </si>
  <si>
    <t>GREGORI RENATO ALENCAR FARIA</t>
  </si>
  <si>
    <t>371.193.018-29</t>
  </si>
  <si>
    <t>GREGORIO EDUARDO FRANCO VINO</t>
  </si>
  <si>
    <t>08.301.788/0001-88</t>
  </si>
  <si>
    <t>GRIFFE PAPER EIRELI</t>
  </si>
  <si>
    <t>24.331.679/0001-60</t>
  </si>
  <si>
    <t>GRIFON DIGITAL SERVICOS LTDA</t>
  </si>
  <si>
    <t>26.579.777/0003-08</t>
  </si>
  <si>
    <t>GRN DO VALE COMERCIO DE INFORMATICA LTDA ME</t>
  </si>
  <si>
    <t>10.190.279/0001-77</t>
  </si>
  <si>
    <t>GRUPO DE APOIO AO INDIVIDUO COM AUTISMO E AFINS</t>
  </si>
  <si>
    <t>07.623.352/0001-42</t>
  </si>
  <si>
    <t>GRUPO DE APOIO DOS ANIMAIS DE RUA INDEFESOS</t>
  </si>
  <si>
    <t>22.301.062/0001-76</t>
  </si>
  <si>
    <t>GRUPO DE ASSISTENCIA  A CRIANCA COM CANCER - GACC</t>
  </si>
  <si>
    <t>01.146.603/0001-69</t>
  </si>
  <si>
    <t>GRUPO DE ASSISTENCIA A DEPENDENCIA QUIMICA NOVA AURORA FEMININO E MASCULINO</t>
  </si>
  <si>
    <t>09.123.386/0003-65</t>
  </si>
  <si>
    <t>09.123.386/0001-01</t>
  </si>
  <si>
    <t>GRUPO SS MULTISERVICE LTDA</t>
  </si>
  <si>
    <t>19.694.574/0001-35</t>
  </si>
  <si>
    <t>GRUPOCARD COMERCIO DE CARTOES TELEFONICOS LTDA</t>
  </si>
  <si>
    <t>09.427.183/0001-09</t>
  </si>
  <si>
    <t>G.S. COMERCIO DE MATERIAIS PARA CONSTRUCAO LTDA - EPP</t>
  </si>
  <si>
    <t>26.347.495/0001-13</t>
  </si>
  <si>
    <t>GSW SISTEMAS DE INFORMAÇÃO LTDA</t>
  </si>
  <si>
    <t>07.271.300/0001-54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</si>
  <si>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</si>
  <si>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</si>
  <si>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</si>
  <si>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</si>
  <si>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</si>
  <si>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</si>
  <si>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ADAUTO BORGES CERQUEIRA</t>
  </si>
  <si>
    <t>367.498.078-95</t>
  </si>
  <si>
    <t>GUILHERME AFONSO DE OLIVEIRA</t>
  </si>
  <si>
    <t>409.164.768-55</t>
  </si>
  <si>
    <t>GUILHERME AKIO NACAMURA DOI</t>
  </si>
  <si>
    <t>393.195.378-52</t>
  </si>
  <si>
    <t>Guilherme Alexandre Lomba Ribeiro</t>
  </si>
  <si>
    <t>426.881.438-83</t>
  </si>
  <si>
    <t>GUILHERME ALMEIDA FAILLA</t>
  </si>
  <si>
    <t>311.696.758-08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</si>
  <si>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</si>
  <si>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</si>
  <si>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</si>
  <si>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</si>
  <si>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</si>
  <si>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</si>
  <si>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</si>
  <si>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</si>
  <si>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Camargo de Araujo</t>
  </si>
  <si>
    <t>432.584.308-61</t>
  </si>
  <si>
    <t>GUILHERME CESAR MENDES</t>
  </si>
  <si>
    <t>479.996.528-06</t>
  </si>
  <si>
    <t>GUILHERME CORDEIRO DE MACEDO MIRANDA</t>
  </si>
  <si>
    <t>456.044.188-03</t>
  </si>
  <si>
    <t>Guilherme Corrêa Miranda</t>
  </si>
  <si>
    <t>517.916.218-13</t>
  </si>
  <si>
    <t>Guilherme da Silva Paim</t>
  </si>
  <si>
    <t>056.045.000-11</t>
  </si>
  <si>
    <t>Guilherme de Oliveira Cesar</t>
  </si>
  <si>
    <t>541.211.618-31</t>
  </si>
  <si>
    <t>Guilherme de Oliveira Lima</t>
  </si>
  <si>
    <t>425.118.438-62</t>
  </si>
  <si>
    <t>GUILHERME DOS SANTOS MURADI</t>
  </si>
  <si>
    <t>418.660.818-02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</si>
  <si>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</si>
  <si>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</si>
  <si>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</si>
  <si>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</si>
  <si>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</si>
  <si>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</si>
  <si>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</si>
  <si>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</si>
  <si>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JOTA MONSTANS LACERDA</t>
  </si>
  <si>
    <t>365.677.038-73</t>
  </si>
  <si>
    <t>Guilherme Lopes Rodrigues</t>
  </si>
  <si>
    <t>548.820.688-42</t>
  </si>
  <si>
    <t>GUILHERME LUIS MALVEZZI BELINI</t>
  </si>
  <si>
    <t>289.957.278-45</t>
  </si>
  <si>
    <t>Guilherme Marinho Alves</t>
  </si>
  <si>
    <t>189.166.307-03</t>
  </si>
  <si>
    <t>Guilherme Martin Madureira David</t>
  </si>
  <si>
    <t>449.901.308-98</t>
  </si>
  <si>
    <t>GUILHERME MATHIAS REIS</t>
  </si>
  <si>
    <t>525.495.828-61</t>
  </si>
  <si>
    <t>GUILHERME MONTEIRO DA SILVA CARVALHO</t>
  </si>
  <si>
    <t>548.049.878-94</t>
  </si>
  <si>
    <t>Guilherme Narciso Ramos Mendes</t>
  </si>
  <si>
    <t>205.153.777-16</t>
  </si>
  <si>
    <t>GUILHERME RIGOBELI MICHALEWICZ</t>
  </si>
  <si>
    <t>594.443.978-58</t>
  </si>
  <si>
    <t>GUILHERME RODRIGUES MORENO</t>
  </si>
  <si>
    <t>421.707.608-81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</si>
  <si>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</si>
  <si>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</si>
  <si>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</si>
  <si>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</si>
  <si>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</si>
  <si>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</si>
  <si>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</si>
  <si>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</si>
  <si>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GUILHERME VENDRAME TINTAS ME</t>
  </si>
  <si>
    <t>07.699.326/0001-06</t>
  </si>
  <si>
    <t>GUILHERME ZAMBONI BENATO</t>
  </si>
  <si>
    <t>085.795.769-46</t>
  </si>
  <si>
    <t>GUINCHOS CLASSE A SJC LTDA</t>
  </si>
  <si>
    <t>47.085.993/0001-05</t>
  </si>
  <si>
    <t>GUMERCINDO DA SILVA FILHO</t>
  </si>
  <si>
    <t>977.475.218-04</t>
  </si>
  <si>
    <t>GUNTER PEREIRA DE CARVALHO</t>
  </si>
  <si>
    <t>214.716.568-96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</si>
  <si>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</si>
  <si>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</si>
  <si>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</si>
  <si>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</si>
  <si>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</si>
  <si>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</si>
  <si>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</si>
  <si>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</si>
  <si>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</si>
  <si>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</si>
  <si>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Bosqueti Guimarães</t>
  </si>
  <si>
    <t>065.599.651-63</t>
  </si>
  <si>
    <t>GUSTAVO CALIGIURI</t>
  </si>
  <si>
    <t>444.786.818-05</t>
  </si>
  <si>
    <t>Gustavo Cardoso</t>
  </si>
  <si>
    <t>424.100.068-17</t>
  </si>
  <si>
    <t>Gustavo Célio da Silva</t>
  </si>
  <si>
    <t>484.057.848-61</t>
  </si>
  <si>
    <t>Gustavo da Costa Soares</t>
  </si>
  <si>
    <t>495.797.198-61</t>
  </si>
  <si>
    <t>GUSTAVO DA SILVA MORAIS</t>
  </si>
  <si>
    <t>429.085.968-22</t>
  </si>
  <si>
    <t>GUSTAVO DE FREITAS LIMA</t>
  </si>
  <si>
    <t>108.331.597-80</t>
  </si>
  <si>
    <t>Gustavo de Melo Carvalho</t>
  </si>
  <si>
    <t>534.463.848-55</t>
  </si>
  <si>
    <t>GUSTAVO DE OLIVEIRA NUNES</t>
  </si>
  <si>
    <t>394.132.668-67</t>
  </si>
  <si>
    <t>GUSTAVO DE SOUSA LOURENCO</t>
  </si>
  <si>
    <t>400.122.778-94</t>
  </si>
  <si>
    <t>Gustavo Eduardo Conceição Leonel</t>
  </si>
  <si>
    <t>130.628.069-90</t>
  </si>
  <si>
    <t>GUSTAVO ELEUTERIO CHAGAS</t>
  </si>
  <si>
    <t>437.382.698-60</t>
  </si>
  <si>
    <t>GUSTAVO FELIX DE SOUZA SANTOS</t>
  </si>
  <si>
    <t>516.099.158-10</t>
  </si>
  <si>
    <t>GUSTAVO GABRIEL COMISSARIO LIMA CR</t>
  </si>
  <si>
    <t>366.210.418-02</t>
  </si>
  <si>
    <t>GUSTAVO HENRIQUE LIMA DA SILVA</t>
  </si>
  <si>
    <t>542.909.358-00</t>
  </si>
  <si>
    <t>GUSTAVO HENRIQUE PRAZERES SOUZA</t>
  </si>
  <si>
    <t>499.001.528-24</t>
  </si>
  <si>
    <t>GUSTAVO HENRIQUE SOUZA GIMENEZ</t>
  </si>
  <si>
    <t>520.817.118-00</t>
  </si>
  <si>
    <t>GUSTAVO HIROYUKI OKI</t>
  </si>
  <si>
    <t>487.452.998-46</t>
  </si>
  <si>
    <t>GUSTAVO KENZO YOKOTA</t>
  </si>
  <si>
    <t>461.236.298-59</t>
  </si>
  <si>
    <t>Gustavo Lemuel Tomchak</t>
  </si>
  <si>
    <t>129.009.209-57</t>
  </si>
  <si>
    <t>GUSTAVO LUZIANO REIS</t>
  </si>
  <si>
    <t>555.448.388-79</t>
  </si>
  <si>
    <t>Gustavo Macedo Muniz</t>
  </si>
  <si>
    <t>007.084.807-64</t>
  </si>
  <si>
    <t>GUSTAVO MANTOVANI DA SILVA</t>
  </si>
  <si>
    <t>433.939.548-06</t>
  </si>
  <si>
    <t>GUSTAVO MARCOVECCHIO DE OLIVEIRA</t>
  </si>
  <si>
    <t>341.665.688-17</t>
  </si>
  <si>
    <t>GUSTAVO NOBREGA DA CRUZ</t>
  </si>
  <si>
    <t>413.076.058-00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</si>
  <si>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</si>
  <si>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</si>
  <si>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</si>
  <si>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</si>
  <si>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</si>
  <si>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</si>
  <si>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</si>
  <si>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</si>
  <si>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PEREIRA HERNANDES</t>
  </si>
  <si>
    <t>274.627.108-70</t>
  </si>
  <si>
    <t>GUSTAVO POZZI SANTANA</t>
  </si>
  <si>
    <t>454.100.838-65</t>
  </si>
  <si>
    <t>GUSTAVO SANTOS MORETTO</t>
  </si>
  <si>
    <t>437.435.888-97</t>
  </si>
  <si>
    <t>GUSTAVO SILVA DE OLIVEIRA</t>
  </si>
  <si>
    <t>349.974.028-18</t>
  </si>
  <si>
    <t>GUSTAVO SIRINO BATISTA</t>
  </si>
  <si>
    <t>508.206.988-81</t>
  </si>
  <si>
    <t>GUSTAVO VINICIUS MACHADO</t>
  </si>
  <si>
    <t>339.164.168-12</t>
  </si>
  <si>
    <t>GUSTAVO WASHINGTON OLIVEIRA SOUZA</t>
  </si>
  <si>
    <t>402.055.308-42</t>
  </si>
  <si>
    <t>GVMARCONDES ADMINISTRADORA DE BENS LTDA</t>
  </si>
  <si>
    <t>24.733.840/0001-21</t>
  </si>
  <si>
    <t>G117 MBM CURSOS E TREINAMENTOS</t>
  </si>
  <si>
    <t>52.919.397/0001-13</t>
  </si>
  <si>
    <t>G2B COMERCIO VIDROS LTDA</t>
  </si>
  <si>
    <t>04.201.383/0001-17</t>
  </si>
  <si>
    <t>G5 DO VALE TRANSPORTES LTDA</t>
  </si>
  <si>
    <t>25.970.787/0001-45</t>
  </si>
  <si>
    <t>H D F - LOCACAO DE ESTRUTURAS E EVENTOS LTDA</t>
  </si>
  <si>
    <t>13.104.368/0001-41</t>
  </si>
  <si>
    <t>H S AUDIO E VIDEO LTDA</t>
  </si>
  <si>
    <t>14.185.311/0001-87</t>
  </si>
  <si>
    <t>HADASSA DE SANTANA VICENTE</t>
  </si>
  <si>
    <t>519.828.858-66</t>
  </si>
  <si>
    <t>HAILTON DONIZETI CAVALHEIRO</t>
  </si>
  <si>
    <t>043.432.428-03</t>
  </si>
  <si>
    <t>HALEX ISTAR INDUSTRIA FARMACEUTICA SA</t>
  </si>
  <si>
    <t>01.571.702/0001-98</t>
  </si>
  <si>
    <t>HAMILTON DOMINGOS MONTEIRO</t>
  </si>
  <si>
    <t>435.148.638-49</t>
  </si>
  <si>
    <t>HAMILTON GERALDO SILVA</t>
  </si>
  <si>
    <t>062.524.578-41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</si>
  <si>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</si>
  <si>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</si>
  <si>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</si>
  <si>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</si>
  <si>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</si>
  <si>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</si>
  <si>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HARDLINK INFORMATICA E SISTEMAS LTDA</t>
  </si>
  <si>
    <t>04.958.321/0002-35</t>
  </si>
  <si>
    <t>HARLEY MANUTENCAO E REPARACAO DE VEICULOS AUTOMOTORES E COMERCIO DE PECAS EM GERAL LTDA</t>
  </si>
  <si>
    <t>23.931.125/0001-30</t>
  </si>
  <si>
    <t>HARMENDANI E SILVA SERVICOS MEDICOS LTDA</t>
  </si>
  <si>
    <t>48.575.643/0001-90</t>
  </si>
  <si>
    <t>HC DO VALE TRANSPORTES LTDA ME</t>
  </si>
  <si>
    <t>13.385.811/0001-08</t>
  </si>
  <si>
    <t>H.D.M. CONSULTORIA EMPRESARIAL LTDA</t>
  </si>
  <si>
    <t>04.095.281/0001-64</t>
  </si>
  <si>
    <t>HEAVEN SYSTEM TECNOLOGIA LTDA</t>
  </si>
  <si>
    <t>27.925.401/0001-09</t>
  </si>
  <si>
    <t>Hector de Sousa Santiago</t>
  </si>
  <si>
    <t>408.827.638-81</t>
  </si>
  <si>
    <t>HECTOR MORAIS VIANI HERNANDES</t>
  </si>
  <si>
    <t>489.185.548-77</t>
  </si>
  <si>
    <t>Hedyleila Djenyfer Lissa Dal Prá</t>
  </si>
  <si>
    <t>800.145.689-77</t>
  </si>
  <si>
    <t>HEE JIN JANG</t>
  </si>
  <si>
    <t>236.332.508-75</t>
  </si>
  <si>
    <t>HEFER CONSTRUCOES CIVIS LTDA</t>
  </si>
  <si>
    <t>78.404.795/0001-90</t>
  </si>
  <si>
    <t>HEITOR BENITES NASCIMENTO</t>
  </si>
  <si>
    <t>393.240.298-78</t>
  </si>
  <si>
    <t>HEITOR SANTOS AGUIAR</t>
  </si>
  <si>
    <t>051.046.538-20</t>
  </si>
  <si>
    <t>HEITOR SOARES SIQUEIRA CUNHA DA SILVA</t>
  </si>
  <si>
    <t>407.290.438-43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</si>
  <si>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</si>
  <si>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</si>
  <si>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</si>
  <si>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</si>
  <si>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</si>
  <si>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</si>
  <si>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</si>
  <si>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</si>
  <si>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</si>
  <si>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</si>
  <si>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</si>
  <si>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</si>
  <si>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FERNANDA CALIXTO BATISTA DOMINGUES PEREIRA</t>
  </si>
  <si>
    <t>362.876.358-43</t>
  </si>
  <si>
    <t>HELEN FERREIRA DINIZ</t>
  </si>
  <si>
    <t>425.799.768-09</t>
  </si>
  <si>
    <t>HELEN KAROLINE AMELIA ROSA DOS SANTOS</t>
  </si>
  <si>
    <t>449.723.828-80</t>
  </si>
  <si>
    <t>HELEN VITORIA NUNES ROCHA</t>
  </si>
  <si>
    <t>486.348.518-26</t>
  </si>
  <si>
    <t>HELENA APARECIDA DE MOURA</t>
  </si>
  <si>
    <t>066.763.578-52</t>
  </si>
  <si>
    <t>HELENA BARBOSA DE OLIVEIRA</t>
  </si>
  <si>
    <t>098.479.668-18</t>
  </si>
  <si>
    <t>HELENA DE FATIMA GONCALVES</t>
  </si>
  <si>
    <t>275.503.358-42</t>
  </si>
  <si>
    <t>HELENA GABRIELA CASTRO COSTA</t>
  </si>
  <si>
    <t>012.137.968-06</t>
  </si>
  <si>
    <t>HELENA KOSTIKOVA GOMES DE CARVALHO</t>
  </si>
  <si>
    <t>492.288.308-83</t>
  </si>
  <si>
    <t>HELENA MARIANO DE MELO</t>
  </si>
  <si>
    <t>086.051.598-20</t>
  </si>
  <si>
    <t>HELENA ROQUE TEIXEIRA</t>
  </si>
  <si>
    <t>019.729.318-22</t>
  </si>
  <si>
    <t>HELENA VITOR BARBOSA MACHADO</t>
  </si>
  <si>
    <t>887.275.568-91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</si>
  <si>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</si>
  <si>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</si>
  <si>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</si>
  <si>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</si>
  <si>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</si>
  <si>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</si>
  <si>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</si>
  <si>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</si>
  <si>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BESERRA</t>
  </si>
  <si>
    <t>081.222.568-64</t>
  </si>
  <si>
    <t>HELIO BORGES DE SOUZA</t>
  </si>
  <si>
    <t>272.622.608-63</t>
  </si>
  <si>
    <t>HELIO CARLOS DA SILVA</t>
  </si>
  <si>
    <t>026.101.898-18</t>
  </si>
  <si>
    <t>HELIO GUSTAVO HIGASHI</t>
  </si>
  <si>
    <t>285.243.648-58</t>
  </si>
  <si>
    <t>HELIO OKAMOTO</t>
  </si>
  <si>
    <t>072.440.488-07</t>
  </si>
  <si>
    <t>HELIO PEREIRA</t>
  </si>
  <si>
    <t>040.912.508-31</t>
  </si>
  <si>
    <t>HELIOMAR OSSES</t>
  </si>
  <si>
    <t>159.601.688-47</t>
  </si>
  <si>
    <t>HELLEN CRISTINA RODRIGUES GOMES</t>
  </si>
  <si>
    <t>401.380.568-54</t>
  </si>
  <si>
    <t>HELOISA ARRUDA MARQUES BARBOS</t>
  </si>
  <si>
    <t>474.163.398-55</t>
  </si>
  <si>
    <t>Heloísa Ribeiro Vazconcelos</t>
  </si>
  <si>
    <t>471.482.138-51</t>
  </si>
  <si>
    <t>HELOISA VARELLA MENDES DA SILVA</t>
  </si>
  <si>
    <t>132.796.226-89</t>
  </si>
  <si>
    <t>HELOISA VITORIA DA SILVA MOURA</t>
  </si>
  <si>
    <t>488.081.548-90</t>
  </si>
  <si>
    <t>HELP BOY TRANSPORTES E ENTREGAS LTDA ME</t>
  </si>
  <si>
    <t>28.756.988/0001-32</t>
  </si>
  <si>
    <t>Helquer Andrade de Toledo</t>
  </si>
  <si>
    <t>342.130.088-78</t>
  </si>
  <si>
    <t>HELTON TADEU MORINE</t>
  </si>
  <si>
    <t>343.698.988-62</t>
  </si>
  <si>
    <t>HEMILLY KETILY OLIVEIRA DA SILVA</t>
  </si>
  <si>
    <t>494.645.228-10</t>
  </si>
  <si>
    <t>HENRICO MARQUES PIZARRO</t>
  </si>
  <si>
    <t>431.503.758-35</t>
  </si>
  <si>
    <t>HENRIQUE ANTONIO WEISS</t>
  </si>
  <si>
    <t>878.136.297-87</t>
  </si>
  <si>
    <t>HENRIQUE APARECIDO DA SILVA</t>
  </si>
  <si>
    <t>183.928.368-80</t>
  </si>
  <si>
    <t>Henrique Cima Chaves Alves</t>
  </si>
  <si>
    <t>150.915.966-58</t>
  </si>
  <si>
    <t>Henrique de Araújo Silva</t>
  </si>
  <si>
    <t>527.068.808-56</t>
  </si>
  <si>
    <t>HENRIQUE DOMICIANO DA SILVA</t>
  </si>
  <si>
    <t>095.579.986-44</t>
  </si>
  <si>
    <t>HENRIQUE DOMINGOS RAMOS FERNANDES</t>
  </si>
  <si>
    <t>080.599.018-69</t>
  </si>
  <si>
    <t>HENRIQUE GASPAR DE LIMA</t>
  </si>
  <si>
    <t>495.553.778-20</t>
  </si>
  <si>
    <t>HENRIQUE HARUO NISHIMARU</t>
  </si>
  <si>
    <t>318.910.708-43</t>
  </si>
  <si>
    <t>Henrique Igor da Silva</t>
  </si>
  <si>
    <t>405.376.348-78</t>
  </si>
  <si>
    <t>Henrique Jean Soto</t>
  </si>
  <si>
    <t>045.633.800-40</t>
  </si>
  <si>
    <t>HENRIQUE JOSE DA COSTA MANCO</t>
  </si>
  <si>
    <t>480.114.238-94</t>
  </si>
  <si>
    <t>HENRIQUE MARQUES RODRIGUES FERNANDES</t>
  </si>
  <si>
    <t>178.921.517-02</t>
  </si>
  <si>
    <t>HENRIQUE PENELUPPI MEDEIROS</t>
  </si>
  <si>
    <t>307.754.318-42</t>
  </si>
  <si>
    <t>Henrique Vinicius Guedes</t>
  </si>
  <si>
    <t>496.908.298-74</t>
  </si>
  <si>
    <t>HERANI ALVARES DE AZEVEDO ALVES DE OLIVEIRA</t>
  </si>
  <si>
    <t>086.904.237-88</t>
  </si>
  <si>
    <t>HERBERT TOLEDO ROSA</t>
  </si>
  <si>
    <t>337.234.558-40</t>
  </si>
  <si>
    <t>HERIBERTO MEDEIROS DOS SANTOS</t>
  </si>
  <si>
    <t>190.589.808-80</t>
  </si>
  <si>
    <t>HERICA RENATA DOS SANTOS POLICARPO</t>
  </si>
  <si>
    <t>313.179.408-90</t>
  </si>
  <si>
    <t>Hericka Reis Mendes Pereira</t>
  </si>
  <si>
    <t>053.785.881-46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</si>
  <si>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</si>
  <si>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</si>
  <si>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</si>
  <si>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</si>
  <si>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</si>
  <si>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</si>
  <si>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HEYTOR GABRIEL MARCONDES DA SILVA BENEDITO</t>
  </si>
  <si>
    <t>604.899.638-11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</si>
  <si>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</si>
  <si>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</si>
  <si>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</si>
  <si>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</si>
  <si>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</si>
  <si>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</si>
  <si>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</si>
  <si>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</si>
  <si>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HILMAR WATANABE</t>
  </si>
  <si>
    <t>416.049.547-87</t>
  </si>
  <si>
    <t>HIURY JOSE DA SILVA</t>
  </si>
  <si>
    <t>101.571.146-43</t>
  </si>
  <si>
    <t>HOGE CONSULTORIA LTDA</t>
  </si>
  <si>
    <t>46.889.081/0001-23</t>
  </si>
  <si>
    <t>HOLLISTER DO BRASIL LTDA</t>
  </si>
  <si>
    <t>00.938.703/0001-65</t>
  </si>
  <si>
    <t>HORACIO MATSUSHITA YANO</t>
  </si>
  <si>
    <t>040.335.968-60</t>
  </si>
  <si>
    <t>HOSPDROGAS COMERCIAL LTDA</t>
  </si>
  <si>
    <t>08.774.906/0001-75</t>
  </si>
  <si>
    <t>HOSPITAL E MATERNIDADE THEREZINHA DE JESUS</t>
  </si>
  <si>
    <t>21.583.042/0014-97</t>
  </si>
  <si>
    <t>21.583.042/0034-30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</si>
  <si>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</si>
  <si>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</si>
  <si>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</si>
  <si>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</si>
  <si>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</si>
  <si>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</si>
  <si>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POUSADA JOAO 3.16 LTDA - ME</t>
  </si>
  <si>
    <t>04.228.164/0001-21</t>
  </si>
  <si>
    <t>HOUSI-IN ALIMENTOS LTDA</t>
  </si>
  <si>
    <t>36.889.255/0001-02</t>
  </si>
  <si>
    <t>HPE ROBOTICA, ELETRONICA E INFORMATICA LTDA - ME</t>
  </si>
  <si>
    <t>21.161.626/0001-50</t>
  </si>
  <si>
    <t>HSX COMERCIO E SERVICOS LTDA</t>
  </si>
  <si>
    <t>05.743.514/0001-50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</si>
  <si>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</si>
  <si>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</si>
  <si>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</si>
  <si>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</si>
  <si>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</si>
  <si>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</si>
  <si>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HUGO LEME VARAJAO PALAZZO</t>
  </si>
  <si>
    <t>362.160.508-85</t>
  </si>
  <si>
    <t>Hugo Ribeiro Macario Santos</t>
  </si>
  <si>
    <t>484.311.998-90</t>
  </si>
  <si>
    <t>HUGO SILVA TELLES</t>
  </si>
  <si>
    <t>385.268.648-23</t>
  </si>
  <si>
    <t>HUMANA ALIMENTAR DISTRIBUIDORA DE MEDICAMENTOS E PRODUTOS NUTRICIONAIS LTDA</t>
  </si>
  <si>
    <t>02.786.436/0007-79</t>
  </si>
  <si>
    <t>HUMBERTO LIMA DE OLIVEIRA</t>
  </si>
  <si>
    <t>126.802.388-42</t>
  </si>
  <si>
    <t>H2G COMERCIAL DE ETIQUETAS E PAPEIS EIRELI</t>
  </si>
  <si>
    <t>32.316.475/0001-88</t>
  </si>
  <si>
    <t>H2O SOLUÇOES EM AGUA LTDA - EPP</t>
  </si>
  <si>
    <t>02.481.285/0001-55</t>
  </si>
  <si>
    <t>I Z DA SILVA EQUIPAMENTOS</t>
  </si>
  <si>
    <t>16.759.012/0001-34</t>
  </si>
  <si>
    <t>IAGO HONORATO DIAS</t>
  </si>
  <si>
    <t>423.844.998-31</t>
  </si>
  <si>
    <t>Iago Vilela de Oliveira Marciano</t>
  </si>
  <si>
    <t>455.284.738-45</t>
  </si>
  <si>
    <t>IARA CANDIDA DE CARVALHO</t>
  </si>
  <si>
    <t>361.902.408-10</t>
  </si>
  <si>
    <t>IARA CARNEIRO ALVES CARDOSO</t>
  </si>
  <si>
    <t>359.678.778-51</t>
  </si>
  <si>
    <t>IARA CRISTINE RODRIGUES FRANCO</t>
  </si>
  <si>
    <t>433.531.748-42</t>
  </si>
  <si>
    <t>IARA FERREIRA DOS SANTOS LUIZ</t>
  </si>
  <si>
    <t>488.595.688-97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</si>
  <si>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</si>
  <si>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</si>
  <si>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</si>
  <si>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</si>
  <si>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</si>
  <si>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</si>
  <si>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 INTERPRISE HOLDING LTDA</t>
  </si>
  <si>
    <t>51.295.247/0001-13</t>
  </si>
  <si>
    <t>IBG INDUSTRIA BRASILEIRA DE GASES LTDA</t>
  </si>
  <si>
    <t>67.423.152/0001-78</t>
  </si>
  <si>
    <t>IBGS INSTITUTO BRASILEIRO DE GESTAO EM SAUDE</t>
  </si>
  <si>
    <t>26.213.347/0001-06</t>
  </si>
  <si>
    <t>ICLEI -  AMERICA DO SUL</t>
  </si>
  <si>
    <t>03.898.408/0001-10</t>
  </si>
  <si>
    <t>ICSK BRASIL CONSTRUCAO LTDA</t>
  </si>
  <si>
    <t>24.301.458/0012-00</t>
  </si>
  <si>
    <t>IDALICE APARECIDA ROSA DA COSTA</t>
  </si>
  <si>
    <t>086.151.888-82</t>
  </si>
  <si>
    <t>IDE ALVES PARANHOS</t>
  </si>
  <si>
    <t>064.580.598-09</t>
  </si>
  <si>
    <t>IDEL CRISTINA CESAR PADOVAN</t>
  </si>
  <si>
    <t>327.102.018-36</t>
  </si>
  <si>
    <t>IEDA MELO MORETINI</t>
  </si>
  <si>
    <t>400.542.078-86</t>
  </si>
  <si>
    <t>IF INFORMATICA LTDA</t>
  </si>
  <si>
    <t>10.395.862/0001-14</t>
  </si>
  <si>
    <t>IFAL INDÚSTRIA E COMÉRCIO DE PRODUTOS FARMACÊUTICOS LTDA</t>
  </si>
  <si>
    <t>00.376.959/0001-26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</si>
  <si>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</si>
  <si>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</si>
  <si>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</si>
  <si>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</si>
  <si>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</si>
  <si>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</si>
  <si>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CARVALHO POZZOBOM</t>
  </si>
  <si>
    <t>346.662.028-70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</si>
  <si>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</si>
  <si>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</si>
  <si>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</si>
  <si>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</si>
  <si>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</si>
  <si>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</si>
  <si>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DE PAULA DOURADO</t>
  </si>
  <si>
    <t>377.301.528-35</t>
  </si>
  <si>
    <t>Igor de Sousa soares</t>
  </si>
  <si>
    <t>031.597.541-54</t>
  </si>
  <si>
    <t>IGOR DE SOUZA MONTEIRO</t>
  </si>
  <si>
    <t>503.312.038-71</t>
  </si>
  <si>
    <t>IGOR EDUARDO RIBEIRO MACHADO</t>
  </si>
  <si>
    <t>492.285.328-66</t>
  </si>
  <si>
    <t>IGOR HONORATO GONCALVES</t>
  </si>
  <si>
    <t>229.361.338-07</t>
  </si>
  <si>
    <t>IGOR OLIVEIRA KIOSHIMA PRADO</t>
  </si>
  <si>
    <t>283.869.118-08</t>
  </si>
  <si>
    <t>IGOR RAFAEL MACEDO CLARET</t>
  </si>
  <si>
    <t>422.765.598-61</t>
  </si>
  <si>
    <t>IGREJA CRISTA EVANGELICA DO BRASIL</t>
  </si>
  <si>
    <t>00.486.811/0003-06</t>
  </si>
  <si>
    <t>IGREJA EVANGELICA PENTECOSTAL DEUS PROVERA</t>
  </si>
  <si>
    <t>08.627.914/0001-99</t>
  </si>
  <si>
    <t>IGREJA PRESBITERIANA DO JARDIM SATELITE</t>
  </si>
  <si>
    <t>61.868.956/0001-02</t>
  </si>
  <si>
    <t>IGUANAS RUGBY CLUBE</t>
  </si>
  <si>
    <t>26.558.294/0001-65</t>
  </si>
  <si>
    <t>IKEBE &amp; MASUDA LTDA</t>
  </si>
  <si>
    <t>29.846.598/0001-16</t>
  </si>
  <si>
    <t>ILAYNE MARTINS DINIZ ARAKAKI</t>
  </si>
  <si>
    <t>052.347.688-48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</si>
  <si>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</si>
  <si>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</si>
  <si>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</si>
  <si>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</si>
  <si>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</si>
  <si>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</si>
  <si>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IMPLY RENTAL LOCACAO DE EQUIPAMENTOS E SERVICOS LTDA</t>
  </si>
  <si>
    <t>14.928.256/0001-78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</si>
  <si>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</si>
  <si>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</si>
  <si>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</si>
  <si>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</si>
  <si>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</si>
  <si>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</si>
  <si>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IN-DENTAL PRODUTOS ODONTOLOGICOS MEDICOS HOSPITALARES LTDA EPP</t>
  </si>
  <si>
    <t>07.788.510/0001-14</t>
  </si>
  <si>
    <t>INDMED HOSPITALAR LTDA</t>
  </si>
  <si>
    <t>24.614.797/0001-85</t>
  </si>
  <si>
    <t>INDREL CARE SERVICOS LTDA</t>
  </si>
  <si>
    <t>59.669.953/0001-90</t>
  </si>
  <si>
    <t>INDREL IND REF LONDRINENSE LTDA</t>
  </si>
  <si>
    <t>78.589.504/0001-86</t>
  </si>
  <si>
    <t>INDÚSTRIA DE BOLAS TITÃ LTDA</t>
  </si>
  <si>
    <t>17.952.607/0001-74</t>
  </si>
  <si>
    <t>INDUSTRIA DE TORRONE N.S. DE MONTEVERGINE LTDA</t>
  </si>
  <si>
    <t>43.643.857/0001-32</t>
  </si>
  <si>
    <t>INDUSTRIA E COMERCIO DE TROFEUS MASTER LTDA - ME</t>
  </si>
  <si>
    <t>69.090.249/0001-31</t>
  </si>
  <si>
    <t>INEP INSTITUTO DE MEDICINA DIAGNOSTICA LTDA</t>
  </si>
  <si>
    <t>19.403.053/0001-81</t>
  </si>
  <si>
    <t>INES DE FATIMA DOS SANTOS</t>
  </si>
  <si>
    <t>019.121.568-65</t>
  </si>
  <si>
    <t>INEZ DE FATIMA DA GRAÇA</t>
  </si>
  <si>
    <t>080.865.858-16</t>
  </si>
  <si>
    <t>INFORMATICA DE MUNICIPIOS ASSOCIADOS S/A</t>
  </si>
  <si>
    <t>48.197.859/0001-69</t>
  </si>
  <si>
    <t>INFOSHOP41 TELEINFORMATICA LTDA</t>
  </si>
  <si>
    <t>09.441.686/0001-20</t>
  </si>
  <si>
    <t>INGLIDIANE DO NASCIMENTO DA COSTA</t>
  </si>
  <si>
    <t>428.372.588-90</t>
  </si>
  <si>
    <t>INGRID APARECIDA ROCHA GONCALVES</t>
  </si>
  <si>
    <t>474.325.058-70</t>
  </si>
  <si>
    <t>Ingrid Barbosa Leão</t>
  </si>
  <si>
    <t>059.567.162-40</t>
  </si>
  <si>
    <t>INGRID BRUNA MOREIRA</t>
  </si>
  <si>
    <t>411.674.528-60</t>
  </si>
  <si>
    <t>INGRID CAROLINE LUZIANO</t>
  </si>
  <si>
    <t>479.419.238-07</t>
  </si>
  <si>
    <t>INGRID CRISTINA CONSIGLIO PINTO</t>
  </si>
  <si>
    <t>425.799.608-05</t>
  </si>
  <si>
    <t>INGRID DE FATIMA DINAMARCO FERREIRA</t>
  </si>
  <si>
    <t>342.772.288-01</t>
  </si>
  <si>
    <t>Ingrid Dousseau</t>
  </si>
  <si>
    <t>420.564.458-24</t>
  </si>
  <si>
    <t>INGRID FERNANDES DE SOUZA SILVA</t>
  </si>
  <si>
    <t>491.193.728-92</t>
  </si>
  <si>
    <t>INGRID LETICIA DOS SANTOS PIMENTEL</t>
  </si>
  <si>
    <t>158.692.486-98</t>
  </si>
  <si>
    <t>INGRID RANIELE MADALENA</t>
  </si>
  <si>
    <t>217.458.888-96</t>
  </si>
  <si>
    <t>INGRID SUELLEN GOMES</t>
  </si>
  <si>
    <t>304.114.318-62</t>
  </si>
  <si>
    <t>INJEX INDÚSTRIAS CIRÚRGICAS LTDA</t>
  </si>
  <si>
    <t>59.309.302/0001-99</t>
  </si>
  <si>
    <t>INK PRINT COMERCIO SERVICOS E LOCACAO DE EQUIPAMENTOS LTDA</t>
  </si>
  <si>
    <t>06.065.118/0001-84</t>
  </si>
  <si>
    <t>INOVACAO E FUTURO ENERGIA LTDA</t>
  </si>
  <si>
    <t>51.904.864/0001-79</t>
  </si>
  <si>
    <t>INOVAMED HOSPITALAR LTDA</t>
  </si>
  <si>
    <t>12.889.035/0001-02</t>
  </si>
  <si>
    <t>12.889.035/0002-93</t>
  </si>
  <si>
    <t>INOVARY COMERCIO DE EQUIPAMENTOS ELETRONICOS LTDA</t>
  </si>
  <si>
    <t>63.186.537/0001-08</t>
  </si>
  <si>
    <t>INSITE SERVICOS E COMERCIO LTDA</t>
  </si>
  <si>
    <t>00.641.824/0001-40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</si>
  <si>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</si>
  <si>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</si>
  <si>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</si>
  <si>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</si>
  <si>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</si>
  <si>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</si>
  <si>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BRASILEIRO DE ADMINISTRACAO MUNICIPAL IBAM</t>
  </si>
  <si>
    <t>33.645.482/0001-96</t>
  </si>
  <si>
    <t>INSTITUTO CHICO MENDES DE CONSERVACAO DA BIODIVERSIDADE</t>
  </si>
  <si>
    <t>08.829.974/0002-75</t>
  </si>
  <si>
    <t>INSTITUTO DE PESQUISA TECN. DO ESTADO DE S.PAULO</t>
  </si>
  <si>
    <t>60.633.674/0001-55</t>
  </si>
  <si>
    <t>INSTITUTO DE PREV. DO SERVIDOR MUNICIPAL - IPSEM</t>
  </si>
  <si>
    <t>96.490.479/0001-60</t>
  </si>
  <si>
    <t>INSTITUTO DE RADIOLOGIA DR. SUELIO MARINHO DE QUEIROZ</t>
  </si>
  <si>
    <t>48.408.744/0003-38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</si>
  <si>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</si>
  <si>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</si>
  <si>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</si>
  <si>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</si>
  <si>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</si>
  <si>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</si>
  <si>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KALLAUR LTDA</t>
  </si>
  <si>
    <t>31.136.100/0001-73</t>
  </si>
  <si>
    <t>INSTITUTO KAMAKURA</t>
  </si>
  <si>
    <t>35.036.845/0001-11</t>
  </si>
  <si>
    <t>INSTITUTO NACIONAL DE ANALISES E PESQUISAS LTDA</t>
  </si>
  <si>
    <t>04.248.764/0001-51</t>
  </si>
  <si>
    <t>INSTITUTO NACIONAL DO SEGURO SOCIAL</t>
  </si>
  <si>
    <t>29.979.036/0001-40</t>
  </si>
  <si>
    <t>INSTITUTO SOCIAL E EDUCACIONAL ADONAI</t>
  </si>
  <si>
    <t>01.006.044/0001-91</t>
  </si>
  <si>
    <t>INSTRUCALL SERVIÇOS EM METROLOGIA E CALIBRACAO LTDA</t>
  </si>
  <si>
    <t>00.840.578/0001-56</t>
  </si>
  <si>
    <t>INSTRULABOR LICITACAO LTDA</t>
  </si>
  <si>
    <t>34.514.779/0001-85</t>
  </si>
  <si>
    <t>INSTRUTHERM INSTRUMENTOS DE MEDICAO LTDA</t>
  </si>
  <si>
    <t>53.775.862/0001-52</t>
  </si>
  <si>
    <t>INTACTTA PRODUTOS E SERVICOS LTDA</t>
  </si>
  <si>
    <t>14.680.514/0001-40</t>
  </si>
  <si>
    <t>INTERLAB - FARMACEUTICA LTDA</t>
  </si>
  <si>
    <t>43.295.831/0001-40</t>
  </si>
  <si>
    <t>INTERMAPAS GEOCTECNOLOGIAS LTDA</t>
  </si>
  <si>
    <t>09.290.603/0001-40</t>
  </si>
  <si>
    <t>INTERPOSTES COMERCIO DE POSTES LTDA</t>
  </si>
  <si>
    <t>12.884.295/0001-95</t>
  </si>
  <si>
    <t>Intertubo Importação e Exportacão Ltda.</t>
  </si>
  <si>
    <t>03.015.231/0001-67</t>
  </si>
  <si>
    <t>INTERVANS LOCAÇÃO E TRANSPORTES LTDA</t>
  </si>
  <si>
    <t>33.257.756/0001-70</t>
  </si>
  <si>
    <t>IOHANA CARDIAL MARIANELLI</t>
  </si>
  <si>
    <t>457.420.568-77</t>
  </si>
  <si>
    <t>IORLY APARECIDA LOPES DOS SANTOS</t>
  </si>
  <si>
    <t>788.333.458-15</t>
  </si>
  <si>
    <t>IPMMI - HOSP. MAT. INFANTIL ANTONINHO DA R. MARMO</t>
  </si>
  <si>
    <t>60.194.990/0007-63</t>
  </si>
  <si>
    <t>IPMMI - OBRA DE AÇÃO SOCIAL PIO XII</t>
  </si>
  <si>
    <t>60.194.990/0006-82</t>
  </si>
  <si>
    <t>IRACI CURSINO DOS SANTOS VIEIRA</t>
  </si>
  <si>
    <t>052.091.928-90</t>
  </si>
  <si>
    <t>IRACI DO SOCORRO DE PAULA DOURADO GONCALVES</t>
  </si>
  <si>
    <t>289.816.002-44</t>
  </si>
  <si>
    <t>IRACI SOUZA DA SILVA PINTO</t>
  </si>
  <si>
    <t>047.065.048-64</t>
  </si>
  <si>
    <t>IRAI SOARES SILVA</t>
  </si>
  <si>
    <t>263.136.318-38</t>
  </si>
  <si>
    <t>Irami Maria Gurjao Cardoso</t>
  </si>
  <si>
    <t>568.070.583-49</t>
  </si>
  <si>
    <t>IRANI DOS SANTOS MOREIRA</t>
  </si>
  <si>
    <t>400.713.058-23</t>
  </si>
  <si>
    <t>IRANILDA DA COSTA SILVA</t>
  </si>
  <si>
    <t>323.542.688-40</t>
  </si>
  <si>
    <t>IRENE CATERINE PINHEIRO LIMA SOARES</t>
  </si>
  <si>
    <t>387.697.768-14</t>
  </si>
  <si>
    <t>IRENE LINA APARECIDA AFFINI</t>
  </si>
  <si>
    <t>317.209.288-78</t>
  </si>
  <si>
    <t>IRINEU VILLAR ORTIZ JUNIOR</t>
  </si>
  <si>
    <t>100.441.178-25</t>
  </si>
  <si>
    <t>IRIS CHAVES FRANKLIN</t>
  </si>
  <si>
    <t>223.798.458-16</t>
  </si>
  <si>
    <t>IRIS DE FATIMA DA SILVA ARNOUT</t>
  </si>
  <si>
    <t>444.866.878-92</t>
  </si>
  <si>
    <t>IRIVELTON DE MOURA RIBEIRO</t>
  </si>
  <si>
    <t>355.740.308-45</t>
  </si>
  <si>
    <t>IRMA MARCONDES CAVALCANTE CARLOS</t>
  </si>
  <si>
    <t>273.405.968-10</t>
  </si>
  <si>
    <t>IRMANDADE DA SANTA CASA DE MISERICORDIA DE SJC</t>
  </si>
  <si>
    <t>45.186.053/0001-87</t>
  </si>
  <si>
    <t>IRMANDADE DA SANTA CASA DE SAO JOSE DOS CAMPOS</t>
  </si>
  <si>
    <t>45.186.053/0014-00</t>
  </si>
  <si>
    <t>ISAAC FERREIRA MOLINA</t>
  </si>
  <si>
    <t>540.790.858-18</t>
  </si>
  <si>
    <t>ISABEL CRISTINA ALVES DA CUNHA FERREIRA</t>
  </si>
  <si>
    <t>342.232.578-62</t>
  </si>
  <si>
    <t>ISABEL CRISTINA DOS SANTOS DIAS</t>
  </si>
  <si>
    <t>343.282.028-39</t>
  </si>
  <si>
    <t>ISABEL CRISTINA DOS SANTOS SILVA</t>
  </si>
  <si>
    <t>138.459.798-01</t>
  </si>
  <si>
    <t>ISABEL CRISTINA MICHELS BARBOSA</t>
  </si>
  <si>
    <t>440.973.870-49</t>
  </si>
  <si>
    <t>ISABEL CRISTINA P RIOS DE SOUZA SONDAGENS</t>
  </si>
  <si>
    <t>30.166.410/0001-78</t>
  </si>
  <si>
    <t>ISABEL CRISTINA SIMOES RIBEIRO</t>
  </si>
  <si>
    <t>055.193.108-66</t>
  </si>
  <si>
    <t>ISABEL CRUZ DE OLIVEIRA DAVID</t>
  </si>
  <si>
    <t>273.871.808-65</t>
  </si>
  <si>
    <t>ISABEL DE FATIMA DE ARAUJO</t>
  </si>
  <si>
    <t>185.635.098-37</t>
  </si>
  <si>
    <t>ISABEL FLORIPES DE CAMARGO</t>
  </si>
  <si>
    <t>224.234.728-46</t>
  </si>
  <si>
    <t>ISABEL VICENTIN</t>
  </si>
  <si>
    <t>254.198.558-44</t>
  </si>
  <si>
    <t>Isabela Cristina dos Reis</t>
  </si>
  <si>
    <t>485.716.848-04</t>
  </si>
  <si>
    <t>ISABELA DA PAZ FONSECA</t>
  </si>
  <si>
    <t>525.322.548-07</t>
  </si>
  <si>
    <t>ISABELA DE CARVALHO HOMEM DE MELO</t>
  </si>
  <si>
    <t>435.264.018-29</t>
  </si>
  <si>
    <t>Isabela de Martos Assunção</t>
  </si>
  <si>
    <t>514.883.978-30</t>
  </si>
  <si>
    <t>ISABELA DOS SANTOS RODRIGUES</t>
  </si>
  <si>
    <t>126.724.697-92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</si>
  <si>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</si>
  <si>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</si>
  <si>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</si>
  <si>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</si>
  <si>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</si>
  <si>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</si>
  <si>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</si>
  <si>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</si>
  <si>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SANTANA DOS SANTOS</t>
  </si>
  <si>
    <t>425.243.158-19</t>
  </si>
  <si>
    <t>ISABELA SANTOS PARREIRA</t>
  </si>
  <si>
    <t>110.846.447-54</t>
  </si>
  <si>
    <t>ISABELA SOUZA DA ROSA</t>
  </si>
  <si>
    <t>513.104.418-98</t>
  </si>
  <si>
    <t>ISABELA TORRES SANTOS</t>
  </si>
  <si>
    <t>525.179.768-05</t>
  </si>
  <si>
    <t>ISABELE VITOR DE CAMPOS</t>
  </si>
  <si>
    <t>468.874.528-12</t>
  </si>
  <si>
    <t>ISABELLA DIAS GUIMARAES</t>
  </si>
  <si>
    <t>573.760.278-82</t>
  </si>
  <si>
    <t>ISABELLA MONTEIRO DE ASSIS</t>
  </si>
  <si>
    <t>449.601.898-51</t>
  </si>
  <si>
    <t>ISABELLA NASCIMENTO BEZERRA</t>
  </si>
  <si>
    <t>541.878.878-73</t>
  </si>
  <si>
    <t>ISABELLA PARDINI COMERCIO DE MATERIAL MEDICO E HOSPITALAR LTDA</t>
  </si>
  <si>
    <t>29.843.218/0001-90</t>
  </si>
  <si>
    <t>ISABELLA TIEMI AUCHAN KANASHIRO</t>
  </si>
  <si>
    <t>438.242.418-62</t>
  </si>
  <si>
    <t>ISABELLA VITORIA BARBOSA TRINDADE</t>
  </si>
  <si>
    <t>533.549.478-61</t>
  </si>
  <si>
    <t>ISABELLE DINIZ BORGES</t>
  </si>
  <si>
    <t>570.177.138-50</t>
  </si>
  <si>
    <t>ISABELLE FATIMA DE OLIVEIRA PRADO RAIMUNDO</t>
  </si>
  <si>
    <t>434.958.668-76</t>
  </si>
  <si>
    <t>ISABELLE LIRA DA SILVA</t>
  </si>
  <si>
    <t>148.237.167-79</t>
  </si>
  <si>
    <t>ISABELLE LUISE ALMEIDA DA COSTA</t>
  </si>
  <si>
    <t>406.482.828-30</t>
  </si>
  <si>
    <t>ISABELLE MARCIA MATIAS GONCALVES</t>
  </si>
  <si>
    <t>469.803.558-99</t>
  </si>
  <si>
    <t>Isabelle Milene Mineiro da Conceição</t>
  </si>
  <si>
    <t>479.924.458-21</t>
  </si>
  <si>
    <t>Isabelle Monique Leone</t>
  </si>
  <si>
    <t>452.321.798-02</t>
  </si>
  <si>
    <t>ISABELLE NASCIMENTO LEITE</t>
  </si>
  <si>
    <t>438.822.838-90</t>
  </si>
  <si>
    <t>ISABELLE OLIVEIRA MACHADO DIAS</t>
  </si>
  <si>
    <t>390.288.618-82</t>
  </si>
  <si>
    <t>ISABELLE REGINA DE LIMA</t>
  </si>
  <si>
    <t>382.706.428-78</t>
  </si>
  <si>
    <t>ISABELLE SIQUEIRA ALVARENGA</t>
  </si>
  <si>
    <t>527.165.028-62</t>
  </si>
  <si>
    <t>Isabelle Tamarozi</t>
  </si>
  <si>
    <t>465.986.178-39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</si>
  <si>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</si>
  <si>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</si>
  <si>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</si>
  <si>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</si>
  <si>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</si>
  <si>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</si>
  <si>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141.314.904-98</t>
  </si>
  <si>
    <t>ISABELLY DE FATIMA MORENO SANTOS</t>
  </si>
  <si>
    <t>538.114.648-50</t>
  </si>
  <si>
    <t>ISABELLY LAISSA DANTAS CAVALCANTE</t>
  </si>
  <si>
    <t>571.704.618-97</t>
  </si>
  <si>
    <t>ISABELLY MELISSA MATIAS</t>
  </si>
  <si>
    <t>497.323.968-22</t>
  </si>
  <si>
    <t>Isabelly Vitória Hádassa de Siqueira</t>
  </si>
  <si>
    <t>399.901.828-33</t>
  </si>
  <si>
    <t>ISABELY CRISTINA SANTOS RODRIGUES</t>
  </si>
  <si>
    <t>473.322.308-01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</si>
  <si>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</si>
  <si>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</si>
  <si>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</si>
  <si>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</si>
  <si>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</si>
  <si>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</si>
  <si>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ARAUJO SOUSA</t>
  </si>
  <si>
    <t>033.622.611-08</t>
  </si>
  <si>
    <t>ISADORA CAMILE MARQUES DIAS</t>
  </si>
  <si>
    <t>021.927.256-55</t>
  </si>
  <si>
    <t>ISADORA FONSECA PEDROSA</t>
  </si>
  <si>
    <t>025.989.778-74</t>
  </si>
  <si>
    <t>Isadora Mileo Boamorte</t>
  </si>
  <si>
    <t>099.927.269-11</t>
  </si>
  <si>
    <t>ISADORA NOGUEIRA PALHAO</t>
  </si>
  <si>
    <t>545.736.448-81</t>
  </si>
  <si>
    <t>Isadora Santos Perna</t>
  </si>
  <si>
    <t>416.683.948-98</t>
  </si>
  <si>
    <t>ISADORA SILVA PORTO</t>
  </si>
  <si>
    <t>493.838.058-70</t>
  </si>
  <si>
    <t>ISAIAS COSTA MACHADO</t>
  </si>
  <si>
    <t>400.645.598-40</t>
  </si>
  <si>
    <t>ISATAMARA DE MELO CARVALHO</t>
  </si>
  <si>
    <t>487.096.108-39</t>
  </si>
  <si>
    <t>ISI RENATA MACHADO SALDAO DUANETTO</t>
  </si>
  <si>
    <t>249.512.438-06</t>
  </si>
  <si>
    <t>ISIS FRANCOELE SANTOS CARVALHO</t>
  </si>
  <si>
    <t>038.518.052-75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</si>
  <si>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</si>
  <si>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</si>
  <si>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</si>
  <si>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</si>
  <si>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</si>
  <si>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</si>
  <si>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</si>
  <si>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</si>
  <si>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ISNAYRA DE OLIVEIRA SILVA</t>
  </si>
  <si>
    <t>079.607.803-31</t>
  </si>
  <si>
    <t>ISRAEL AZEVEDO BARRETO</t>
  </si>
  <si>
    <t>641.317.182-00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</si>
  <si>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</si>
  <si>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</si>
  <si>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</si>
  <si>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</si>
  <si>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</si>
  <si>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</si>
  <si>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</si>
  <si>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</si>
  <si>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ITIVALDO VON ANCKEN - VIDROS - ME</t>
  </si>
  <si>
    <t>06.313.402/0001-22</t>
  </si>
  <si>
    <t>ITOGRASS AGRICOLA LTDA</t>
  </si>
  <si>
    <t>50.351.014/0012-80</t>
  </si>
  <si>
    <t>IVALDO PIRES</t>
  </si>
  <si>
    <t>098.626.398-22</t>
  </si>
  <si>
    <t>IVAN CORDEIRO DE AZEVEDO</t>
  </si>
  <si>
    <t>228.595.808-08</t>
  </si>
  <si>
    <t>IVAN DOS SANTOS DE SOUSA</t>
  </si>
  <si>
    <t>056.503.093-02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</si>
  <si>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</si>
  <si>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</si>
  <si>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</si>
  <si>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</si>
  <si>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</si>
  <si>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</si>
  <si>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IVANALDO MOREIRA</t>
  </si>
  <si>
    <t>071.304.828-00</t>
  </si>
  <si>
    <t>IVANDIR SANTOS</t>
  </si>
  <si>
    <t>290.898.148-33</t>
  </si>
  <si>
    <t>IVANEIDE DA SILVA SIQUEIRA</t>
  </si>
  <si>
    <t>057.788.984-28</t>
  </si>
  <si>
    <t>IVANETE MICIANO</t>
  </si>
  <si>
    <t>300.418.778-70</t>
  </si>
  <si>
    <t>IVANI CONCEICAO FARIA SANTOS</t>
  </si>
  <si>
    <t>183.146.118-83</t>
  </si>
  <si>
    <t>IVANI PRADO</t>
  </si>
  <si>
    <t>199.119.858-22</t>
  </si>
  <si>
    <t>IVANILDA ROBERTA LOURENCO</t>
  </si>
  <si>
    <t>138.450.888-00</t>
  </si>
  <si>
    <t>IVANSKI COMPRESSORES LTDA</t>
  </si>
  <si>
    <t>03.741.861/0001-19</t>
  </si>
  <si>
    <t>IVETE DE ALMEIDA CAMPOS</t>
  </si>
  <si>
    <t>887.651.998-04</t>
  </si>
  <si>
    <t>IVETE DE OLIVEIRA</t>
  </si>
  <si>
    <t>738.737.808-87</t>
  </si>
  <si>
    <t>IVETE ROCHA GALVAO</t>
  </si>
  <si>
    <t>727.524.678-34</t>
  </si>
  <si>
    <t>IVONE MARGARETE DOS SANTOS</t>
  </si>
  <si>
    <t>136.879.268-50</t>
  </si>
  <si>
    <t>IVONE MARIA DE JESUS</t>
  </si>
  <si>
    <t>098.441.928-46</t>
  </si>
  <si>
    <t>IVONE VIEIRA RODRIGUES</t>
  </si>
  <si>
    <t>319.209.938-00</t>
  </si>
  <si>
    <t>IVONEI APARECIDO DE SIQUEIRA NUNES</t>
  </si>
  <si>
    <t>121.824.818-18</t>
  </si>
  <si>
    <t>Ivonete Aparecida de Campos Vieira</t>
  </si>
  <si>
    <t>185.781.538-63</t>
  </si>
  <si>
    <t>IVONETE DE SENE MACIEL TELES</t>
  </si>
  <si>
    <t>482.872.106-15</t>
  </si>
  <si>
    <t>IVONETE DUARTE</t>
  </si>
  <si>
    <t>199.252.408-40</t>
  </si>
  <si>
    <t>IVONETE LIMA SANTOS</t>
  </si>
  <si>
    <t>832.725.425-15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</si>
  <si>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</si>
  <si>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</si>
  <si>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</si>
  <si>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</si>
  <si>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</si>
  <si>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</si>
  <si>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IZABELA LOPES DA SILVA</t>
  </si>
  <si>
    <t>459.127.908-19</t>
  </si>
  <si>
    <t>IZABELLA ROSANI CINTRA PINTO</t>
  </si>
  <si>
    <t>471.645.438-01</t>
  </si>
  <si>
    <t>IZABELLE ARAUJO DE OLIVEIRA</t>
  </si>
  <si>
    <t>006.131.062-02</t>
  </si>
  <si>
    <t>IZABELLI LUZIA ZEPTER</t>
  </si>
  <si>
    <t>538.025.878-63</t>
  </si>
  <si>
    <t>IZAQUE CONSTRUCOES LTDA</t>
  </si>
  <si>
    <t>18.891.863/0001-61</t>
  </si>
  <si>
    <t>IZNEL INDUSTRIA E COMERCIO LTDA</t>
  </si>
  <si>
    <t>04.087.070/0001-80</t>
  </si>
  <si>
    <t>J &amp; A - COMERCIAL DO BRASIL LTDA</t>
  </si>
  <si>
    <t>35.156.745/0001-29</t>
  </si>
  <si>
    <t>J &amp; L TRANSPORTE LTDA EPP</t>
  </si>
  <si>
    <t>01.033.072/0001-06</t>
  </si>
  <si>
    <t>J. APARECIDA MARIANO AGENCIAMENTO EIRELI</t>
  </si>
  <si>
    <t>24.260.175/0001-04</t>
  </si>
  <si>
    <t>J H DA SILVA COMÉRCIO E SERVIÇOS</t>
  </si>
  <si>
    <t>46.129.253/0001-60</t>
  </si>
  <si>
    <t>J. L. TRANSPOTES ESCOLARES LTDA</t>
  </si>
  <si>
    <t>52.024.345/0001-89</t>
  </si>
  <si>
    <t>J M MANUTENCOES FACILITY LTDA</t>
  </si>
  <si>
    <t>13.833.562/0001-68</t>
  </si>
  <si>
    <t>J. R. LOPES LOCACOES</t>
  </si>
  <si>
    <t>07.705.829/0001-39</t>
  </si>
  <si>
    <t>J. S. JUNIOR TRANSPORTE URBANO LTDA</t>
  </si>
  <si>
    <t>37.846.746/0001-20</t>
  </si>
  <si>
    <t>J. T. INDUSTRIA E COMERCIO DE CAFES LTDA</t>
  </si>
  <si>
    <t>03.370.573/0001-03</t>
  </si>
  <si>
    <t>J V C LTDA</t>
  </si>
  <si>
    <t>48.688.665/0001-66</t>
  </si>
  <si>
    <t>JABOQUE DISTRIBUIDORA DE PRODUTOS HOSPITALARES LTDA</t>
  </si>
  <si>
    <t>49.851.154/0001-86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</si>
  <si>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</si>
  <si>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</si>
  <si>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</si>
  <si>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</si>
  <si>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</si>
  <si>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</si>
  <si>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JACINTA DIAS BARROS</t>
  </si>
  <si>
    <t>048.108.924-17</t>
  </si>
  <si>
    <t>JACIRA DE PAULA DOURADO</t>
  </si>
  <si>
    <t>661.491.502-91</t>
  </si>
  <si>
    <t>Jack Chan Tavares</t>
  </si>
  <si>
    <t>121.218.289-82</t>
  </si>
  <si>
    <t>JACKSON GUILHERME VASCONCELOS CARDOSO</t>
  </si>
  <si>
    <t>499.119.008-86</t>
  </si>
  <si>
    <t>JACOB DOMINIC SOARES DE FARIA</t>
  </si>
  <si>
    <t>561.130.958-51</t>
  </si>
  <si>
    <t>Jacqueline Aparecida Ferreira Prado</t>
  </si>
  <si>
    <t>033.928.626-14</t>
  </si>
  <si>
    <t>Jacqueline Batista de Santana</t>
  </si>
  <si>
    <t>231.316.048-32</t>
  </si>
  <si>
    <t>JACQUELINE BOCARDI VIEIRA</t>
  </si>
  <si>
    <t>267.243.368-21</t>
  </si>
  <si>
    <t>JACQUELINE CRISTINA AMANCIO</t>
  </si>
  <si>
    <t>358.474.838-05</t>
  </si>
  <si>
    <t>JACQUELINE CRISTOVAO DOS SANTOS</t>
  </si>
  <si>
    <t>377.180.448-58</t>
  </si>
  <si>
    <t>JACQUELINE DAMASCENO PEREIRA</t>
  </si>
  <si>
    <t>353.007.378-44</t>
  </si>
  <si>
    <t>JACQUELINE FERNANDA BARBOSA</t>
  </si>
  <si>
    <t>471.441.138-10</t>
  </si>
  <si>
    <t>JACQUELINE ISABEL DE PAULA SIQUEIRA</t>
  </si>
  <si>
    <t>347.827.958-58</t>
  </si>
  <si>
    <t>JACQUELINE LIGIA DE OLIVEIRA</t>
  </si>
  <si>
    <t>319.900.988-35</t>
  </si>
  <si>
    <t>JACQUELINE MORAIS DE SOUZA VIANA</t>
  </si>
  <si>
    <t>266.201.308-79</t>
  </si>
  <si>
    <t>JACQUELINE NOBREGA DA SILVA</t>
  </si>
  <si>
    <t>438.114.588-76</t>
  </si>
  <si>
    <t>JACQUELINE RENATA DA CUNHA FRIGI</t>
  </si>
  <si>
    <t>375.405.558-58</t>
  </si>
  <si>
    <t>JACQUELINE TERRA SILVA DE OLIVEIRA</t>
  </si>
  <si>
    <t>444.434.848-84</t>
  </si>
  <si>
    <t>JACY DA INDEPENDENCIA DIAS</t>
  </si>
  <si>
    <t>080.711.287-91</t>
  </si>
  <si>
    <t>JADER LUIS DE SOUZA SANTOS</t>
  </si>
  <si>
    <t>410.540.448-21</t>
  </si>
  <si>
    <t>JADES SOARES GARCIA DE AMORIM MATTOS</t>
  </si>
  <si>
    <t>388.055.978-30</t>
  </si>
  <si>
    <t>JAILDO FERREIRA MACENA</t>
  </si>
  <si>
    <t>327.180.958-57</t>
  </si>
  <si>
    <t>JAIME FRANCISCO ALVES JUNIOR</t>
  </si>
  <si>
    <t>175.740.318-35</t>
  </si>
  <si>
    <t>JAINE APARECIDA MOTA CORDEIRO</t>
  </si>
  <si>
    <t>477.300.788-56</t>
  </si>
  <si>
    <t>JAIR DOS SANTOS</t>
  </si>
  <si>
    <t>327.713.848-84</t>
  </si>
  <si>
    <t>Jair Inacio</t>
  </si>
  <si>
    <t>296.599.128-03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</si>
  <si>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</si>
  <si>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</si>
  <si>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</si>
  <si>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</si>
  <si>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</si>
  <si>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</si>
  <si>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JAKFER COMERCIO DE FERRO E ACO LTDA - EPP</t>
  </si>
  <si>
    <t>19.214.446/0001-47</t>
  </si>
  <si>
    <t>JAKSON FERNANDO ALIEVI</t>
  </si>
  <si>
    <t>015.960.601-23</t>
  </si>
  <si>
    <t>JAMILE BATISTA FIGUEIREDO PAIXAO</t>
  </si>
  <si>
    <t>018.299.235-79</t>
  </si>
  <si>
    <t>JAMILE DOS REIS SANTOS SILVA</t>
  </si>
  <si>
    <t>426.489.668-11</t>
  </si>
  <si>
    <t>JAMILE SANTOS PRIMO DA SILVA</t>
  </si>
  <si>
    <t>312.024.938-66</t>
  </si>
  <si>
    <t>JANA LUIZA DE SOUZA AMARAL</t>
  </si>
  <si>
    <t>467.193.768-96</t>
  </si>
  <si>
    <t>JANAETE SOARES MOREIRA DA SILVA</t>
  </si>
  <si>
    <t>313.232.128-17</t>
  </si>
  <si>
    <t>JANAINA ALVES FARIA DIAS</t>
  </si>
  <si>
    <t>326.919.088-36</t>
  </si>
  <si>
    <t>JANAINA APARECIDA DOMINGUES DA COSTA</t>
  </si>
  <si>
    <t>461.727.728-56</t>
  </si>
  <si>
    <t>JANAINA APARECIDA MACHADO</t>
  </si>
  <si>
    <t>201.962.158-46</t>
  </si>
  <si>
    <t>JANAINA BARBOSA DA SILVA</t>
  </si>
  <si>
    <t>464.517.048-14</t>
  </si>
  <si>
    <t>JANAINA BEATRIZ CARVALHO</t>
  </si>
  <si>
    <t>221.876.648-56</t>
  </si>
  <si>
    <t>JANAINA DE JESUS AMERICO</t>
  </si>
  <si>
    <t>224.982.328-69</t>
  </si>
  <si>
    <t>Janaína de Medeiro Calaça</t>
  </si>
  <si>
    <t>374.151.788-74</t>
  </si>
  <si>
    <t>JANAINA DE OLIVEIRA SILVA SOBRINHO</t>
  </si>
  <si>
    <t>370.235.668-13</t>
  </si>
  <si>
    <t>JANAINA DE SOUZA FERREIRA</t>
  </si>
  <si>
    <t>433.972.368-19</t>
  </si>
  <si>
    <t>JANAINA DO PRADO SILVA SANTOS</t>
  </si>
  <si>
    <t>318.092.108-01</t>
  </si>
  <si>
    <t>JANAINA DOS SANTOS PEREIRA RAMOS</t>
  </si>
  <si>
    <t>311.829.478-75</t>
  </si>
  <si>
    <t>JANAINA FERNANDES FRANCO</t>
  </si>
  <si>
    <t>410.693.398-57</t>
  </si>
  <si>
    <t>JANAINA GUAITOLINI MERLO BRETAS</t>
  </si>
  <si>
    <t>078.768.547-02</t>
  </si>
  <si>
    <t>JANAINA LISBOA MACIEL</t>
  </si>
  <si>
    <t>392.556.198-61</t>
  </si>
  <si>
    <t>JANAINA VERAS CAMPOS</t>
  </si>
  <si>
    <t>937.843.253-00</t>
  </si>
  <si>
    <t>JANARA MARIA MACEDO DELFINO</t>
  </si>
  <si>
    <t>441.862.898-32</t>
  </si>
  <si>
    <t>JANDER VINICIO MELLO LAZARONI</t>
  </si>
  <si>
    <t>338.984.768-55</t>
  </si>
  <si>
    <t>JANDIRA DE SANTANA FREITAS</t>
  </si>
  <si>
    <t>267.244.388-29</t>
  </si>
  <si>
    <t>JANDIRA OLINDA FERREIRA DE SOUZA</t>
  </si>
  <si>
    <t>367.392.588-13</t>
  </si>
  <si>
    <t>JANE APARECIDA DOS SANTOS</t>
  </si>
  <si>
    <t>256.487.818-06</t>
  </si>
  <si>
    <t>JANE MARY VIEIRA DAS NEVES</t>
  </si>
  <si>
    <t>183.934.458-09</t>
  </si>
  <si>
    <t>JANE RODRIGUES DA LUZ</t>
  </si>
  <si>
    <t>392.471.928-46</t>
  </si>
  <si>
    <t>JANETE DA GAMA GONCALVES DA COSTA</t>
  </si>
  <si>
    <t>375.217.168-50</t>
  </si>
  <si>
    <t>Janete Evangelista Bezerra</t>
  </si>
  <si>
    <t>070.355.143-41</t>
  </si>
  <si>
    <t>JANICE CAVALCANTE DE MELO SILVA</t>
  </si>
  <si>
    <t>478.786.652-49</t>
  </si>
  <si>
    <t>JANIELLY FRANCISCA DA SILVA</t>
  </si>
  <si>
    <t>535.800.928-04</t>
  </si>
  <si>
    <t>JANILSON DE SOUSA GERALDO</t>
  </si>
  <si>
    <t>215.416.648-25</t>
  </si>
  <si>
    <t>JANILSON RODRIGUES PEREIRA</t>
  </si>
  <si>
    <t>348.767.818-77</t>
  </si>
  <si>
    <t>JANIO CORREA DE ARAUJO FILHO</t>
  </si>
  <si>
    <t>269.647.568-76</t>
  </si>
  <si>
    <t>JANSEN DE ALMEIDA FERREIRA</t>
  </si>
  <si>
    <t>472.765.138-66</t>
  </si>
  <si>
    <t>JANUARIA MARIA DOS SANTOS</t>
  </si>
  <si>
    <t>752.736.085-20</t>
  </si>
  <si>
    <t>JANUARIO NUNES DE MORAES NETO</t>
  </si>
  <si>
    <t>216.631.278-08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</si>
  <si>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</si>
  <si>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</si>
  <si>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</si>
  <si>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</si>
  <si>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</si>
  <si>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</si>
  <si>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</si>
  <si>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</si>
  <si>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JAQUELINE DE SOUZA VIANA BRIZANTE</t>
  </si>
  <si>
    <t>093.268.836-55</t>
  </si>
  <si>
    <t>JAQUELINE DIAS DOS PASSOS</t>
  </si>
  <si>
    <t>537.661.508-12</t>
  </si>
  <si>
    <t>JAQUELINE NERI SILVEIRA D'ALESSANDRO</t>
  </si>
  <si>
    <t>312.859.158-01</t>
  </si>
  <si>
    <t>JAQUELINE PAULA DE LIMA MARTINS</t>
  </si>
  <si>
    <t>410.174.788-13</t>
  </si>
  <si>
    <t>JAQUELINE SOARES DE OLIVEIRA GONCALVES</t>
  </si>
  <si>
    <t>016.399.715-21</t>
  </si>
  <si>
    <t>JAQUES ANDERSON MAXIMO</t>
  </si>
  <si>
    <t>248.190.468-02</t>
  </si>
  <si>
    <t>JARBAS BARBOSA</t>
  </si>
  <si>
    <t>162.808.518-50</t>
  </si>
  <si>
    <t>JARDIM MEDICA LTDA</t>
  </si>
  <si>
    <t>08.588.015/0001-24</t>
  </si>
  <si>
    <t>JB CONSTRUCOES E EMPREENDIMENTOS LTDA</t>
  </si>
  <si>
    <t>00.688.529/0001-40</t>
  </si>
  <si>
    <t>JC CORREA ALVES &amp; CIA  LTDA -EPP</t>
  </si>
  <si>
    <t>03.676.002/0001-93</t>
  </si>
  <si>
    <t>JCL SANTOS TRANSPORTES LTDA</t>
  </si>
  <si>
    <t>41.861.473/0001-60</t>
  </si>
  <si>
    <t>J.E. MATERIAIS PARA SANEAMENTO E CONSTRUÇÃO EIRELI</t>
  </si>
  <si>
    <t>63.017.784/0001-80</t>
  </si>
  <si>
    <t>JEAN CARLO EVERLING</t>
  </si>
  <si>
    <t>014.961.260-50</t>
  </si>
  <si>
    <t>JEAN CARLOS DAS NEVES ROSA</t>
  </si>
  <si>
    <t>420.899.478-96</t>
  </si>
  <si>
    <t>JEAN DOS SANTOS DINIZ</t>
  </si>
  <si>
    <t>465.833.828-90</t>
  </si>
  <si>
    <t>JEAN DOUGLAS DE PAULA</t>
  </si>
  <si>
    <t>399.190.498-59</t>
  </si>
  <si>
    <t>JEAN HENRIQUE MATIAS BARBOSA</t>
  </si>
  <si>
    <t>337.792.388-88</t>
  </si>
  <si>
    <t>JEAN MOTA FROES</t>
  </si>
  <si>
    <t>448.617.048-20</t>
  </si>
  <si>
    <t>JEAN PIERRE DOMINGOS</t>
  </si>
  <si>
    <t>387.346.968-57</t>
  </si>
  <si>
    <t>JEAN ROBERTO RITTER</t>
  </si>
  <si>
    <t>007.222.240-95</t>
  </si>
  <si>
    <t>JEANE DE CASSIA HERMOGENES MORAIS</t>
  </si>
  <si>
    <t>320.915.798-74</t>
  </si>
  <si>
    <t>JEANE GERALDA PEREIRA</t>
  </si>
  <si>
    <t>110.565.584-90</t>
  </si>
  <si>
    <t>JED  EMPREENDIMENTOS E PARTICIPAÇÕES LTDA</t>
  </si>
  <si>
    <t>02.697.942/0001-04</t>
  </si>
  <si>
    <t>JEFERSON C. MANOEL OKANO - FARMACIAS E DROGARIAS</t>
  </si>
  <si>
    <t>36.963.140/0001-02</t>
  </si>
  <si>
    <t>JEFERSON FERNANDES DA SILVA</t>
  </si>
  <si>
    <t>414.990.758-71</t>
  </si>
  <si>
    <t>JEFERSON LUIS RIBEIRO CASSIANO</t>
  </si>
  <si>
    <t>314.209.478-42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</si>
  <si>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</si>
  <si>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</si>
  <si>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</si>
  <si>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</si>
  <si>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</si>
  <si>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</si>
  <si>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</si>
  <si>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</si>
  <si>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ARAUJO DE CARVALHO</t>
  </si>
  <si>
    <t>401.835.088-07</t>
  </si>
  <si>
    <t>JEFFERSON BINDANDI VASCONCELOS</t>
  </si>
  <si>
    <t>364.238.508-79</t>
  </si>
  <si>
    <t>JEFFERSON BRUNO DIAS</t>
  </si>
  <si>
    <t>409.805.808-11</t>
  </si>
  <si>
    <t>JEFFERSON CLAYTON DE BARROS</t>
  </si>
  <si>
    <t>322.091.378-45</t>
  </si>
  <si>
    <t>JEFFERSON DA SILVA</t>
  </si>
  <si>
    <t>142.521.768-08</t>
  </si>
  <si>
    <t>JEFFERSON DE PAULA SOARES</t>
  </si>
  <si>
    <t>970.566.501-04</t>
  </si>
  <si>
    <t>JEFFERSON DINIZ DA ROSA GANDOLFO</t>
  </si>
  <si>
    <t>074.796.349-51</t>
  </si>
  <si>
    <t>JEFFERSON FERNANDES BATISTA</t>
  </si>
  <si>
    <t>271.523.618-27</t>
  </si>
  <si>
    <t>Jefferson Gonçalves de Oliveira</t>
  </si>
  <si>
    <t>339.608.328-85</t>
  </si>
  <si>
    <t>JEFFERSON LUIS LINO DOS SANTOS</t>
  </si>
  <si>
    <t>178.161.828-30</t>
  </si>
  <si>
    <t>JEFFERSON MENDONCA</t>
  </si>
  <si>
    <t>349.107.978-07</t>
  </si>
  <si>
    <t>JEFFERSON RODRIGO MARCONDES DE OLIVEIRA LIMA</t>
  </si>
  <si>
    <t>352.893.698-30</t>
  </si>
  <si>
    <t>JEIDIANE HELEONATO DE MEDEIROS SANTOS</t>
  </si>
  <si>
    <t>397.199.148-31</t>
  </si>
  <si>
    <t>JELL GESTAO DE BENS PROPRIOS LTDA</t>
  </si>
  <si>
    <t>11.869.415/0001-12</t>
  </si>
  <si>
    <t>JENI PIRES DE MORAIS</t>
  </si>
  <si>
    <t>976.910.898-72</t>
  </si>
  <si>
    <t>Jenifer Alexandra Munoz David</t>
  </si>
  <si>
    <t>082.416.318-47</t>
  </si>
  <si>
    <t>JENIFER NATHALIA DA CRUZ SILVA</t>
  </si>
  <si>
    <t>478.532.918-17</t>
  </si>
  <si>
    <t>JENIFER OLIVEIRA DE SOUSA</t>
  </si>
  <si>
    <t>414.705.608-36</t>
  </si>
  <si>
    <t>JENIFER PATRICIA SOUSA DO NASCIMENTO</t>
  </si>
  <si>
    <t>110.344.376-31</t>
  </si>
  <si>
    <t>JENIFER RIBEIRO GONCALVES GUEDES</t>
  </si>
  <si>
    <t>427.553.258-95</t>
  </si>
  <si>
    <t>JENIFFER ALVES DURVAL SILVA</t>
  </si>
  <si>
    <t>461.844.758-35</t>
  </si>
  <si>
    <t>JENIFFER TABATA DO CARMO DE SOUZA</t>
  </si>
  <si>
    <t>363.167.328-05</t>
  </si>
  <si>
    <t>JENNIFER ALINE FARIA</t>
  </si>
  <si>
    <t>418.869.218-90</t>
  </si>
  <si>
    <t>JENNIFER CRISTINA OBARA</t>
  </si>
  <si>
    <t>421.250.848-64</t>
  </si>
  <si>
    <t>JENNIFER DE CASSIA PEREIRA VENTURA</t>
  </si>
  <si>
    <t>449.226.758-17</t>
  </si>
  <si>
    <t>JENNIFER DIAS DE MORAES</t>
  </si>
  <si>
    <t>493.002.128-69</t>
  </si>
  <si>
    <t>JENNYFER MICHELE DE LIMA CONSTANTINI</t>
  </si>
  <si>
    <t>442.535.418-44</t>
  </si>
  <si>
    <t>JEOVAN PEREIRA DA SILVA</t>
  </si>
  <si>
    <t>017.145.885-05</t>
  </si>
  <si>
    <t>JERISON ALMEIDA DA SILVA</t>
  </si>
  <si>
    <t>421.996.948-95</t>
  </si>
  <si>
    <t>JERONIMO AMERICANO SILVA</t>
  </si>
  <si>
    <t>219.450.608-08</t>
  </si>
  <si>
    <t>JERRY EDUARDO APARECIDO DA COSTA</t>
  </si>
  <si>
    <t>144.631.168-64</t>
  </si>
  <si>
    <t>Jérsia Alves de Macedo</t>
  </si>
  <si>
    <t>046.894.971-25</t>
  </si>
  <si>
    <t>JESSE MOREIRA DE LIMA</t>
  </si>
  <si>
    <t>339.567.708-70</t>
  </si>
  <si>
    <t>JESSE SILVA</t>
  </si>
  <si>
    <t>410.633.668-52</t>
  </si>
  <si>
    <t>JESSELI ROSEANE LUZ</t>
  </si>
  <si>
    <t>367.640.238-32</t>
  </si>
  <si>
    <t>JESSICA ALEXANDRA DOS SANTOS</t>
  </si>
  <si>
    <t>386.490.668-79</t>
  </si>
  <si>
    <t>JESSICA APARECIDA DE OLIVEIRA</t>
  </si>
  <si>
    <t>441.224.738-45</t>
  </si>
  <si>
    <t>Jessica Aparecida Ferreira</t>
  </si>
  <si>
    <t>393.979.568-25</t>
  </si>
  <si>
    <t>JESSICA APARECIDA SILVA</t>
  </si>
  <si>
    <t>481.013.458-09</t>
  </si>
  <si>
    <t>JESSICA BARROS PINTO</t>
  </si>
  <si>
    <t>437.272.908-11</t>
  </si>
  <si>
    <t>JESSICA BATISTA DOS SANTOS</t>
  </si>
  <si>
    <t>228.376.018-61</t>
  </si>
  <si>
    <t>JESSICA BEATRIZ DOS SANTOS ALVES LEITE</t>
  </si>
  <si>
    <t>504.430.798-03</t>
  </si>
  <si>
    <t>JESSICA BRUNA DA SILVA ROSA</t>
  </si>
  <si>
    <t>484.446.478-70</t>
  </si>
  <si>
    <t>JESSICA CAMILA DOS SANTOS</t>
  </si>
  <si>
    <t>448.618.108-50</t>
  </si>
  <si>
    <t>JESSICA CARDOSO</t>
  </si>
  <si>
    <t>358.988.228-01</t>
  </si>
  <si>
    <t>JESSICA CARLA DIAS</t>
  </si>
  <si>
    <t>425.500.368-83</t>
  </si>
  <si>
    <t>JESSICA CAROLINE DA SILVA FIGUEIREDO</t>
  </si>
  <si>
    <t>401.235.558-92</t>
  </si>
  <si>
    <t>JESSICA CAROLINE DE OLIVEIRA SOUSA TOLEDO</t>
  </si>
  <si>
    <t>464.441.378-02</t>
  </si>
  <si>
    <t>JESSICA DA SILVA DANTAS</t>
  </si>
  <si>
    <t>316.138.238-27</t>
  </si>
  <si>
    <t>JESSICA DABUBIA DOS SANTOS VITALINO</t>
  </si>
  <si>
    <t>378.121.358-70</t>
  </si>
  <si>
    <t>JESSICA DE ABREU ARANTES</t>
  </si>
  <si>
    <t>519.940.048-78</t>
  </si>
  <si>
    <t>JÉSSICA DE CASTRO DA SILVA</t>
  </si>
  <si>
    <t>391.984.118-29</t>
  </si>
  <si>
    <t>JESSICA DE SOUZA RODRIGUES</t>
  </si>
  <si>
    <t>457.499.008-27</t>
  </si>
  <si>
    <t>JESSICA FERNANDA GONSALVES OSORIO</t>
  </si>
  <si>
    <t>432.410.278-30</t>
  </si>
  <si>
    <t>JESSICA GEOVANNA ALMEIDA SANTOS</t>
  </si>
  <si>
    <t>486.559.218-07</t>
  </si>
  <si>
    <t>JESSICA KAREN FARIA MAIA DA SILVA</t>
  </si>
  <si>
    <t>422.466.118-73</t>
  </si>
  <si>
    <t>JESSICA MAISA DE SOUSA FERREIRA</t>
  </si>
  <si>
    <t>469.068.698-09</t>
  </si>
  <si>
    <t>JESSICA MARIA DE BRITO</t>
  </si>
  <si>
    <t>359.125.138-07</t>
  </si>
  <si>
    <t>JESSICA MARIA DOS SANTOS</t>
  </si>
  <si>
    <t>537.427.882-72</t>
  </si>
  <si>
    <t>JESSICA MOTA DE SOUSA MOURA</t>
  </si>
  <si>
    <t>436.906.098-28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</si>
  <si>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</si>
  <si>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</si>
  <si>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</si>
  <si>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</si>
  <si>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</si>
  <si>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</si>
  <si>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</si>
  <si>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</si>
  <si>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SILVA PRATES</t>
  </si>
  <si>
    <t>392.230.208-40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</si>
  <si>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</si>
  <si>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</si>
  <si>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</si>
  <si>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</si>
  <si>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</si>
  <si>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</si>
  <si>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JESSILIN MONIQUE DE OLIVEIRA SOUZA</t>
  </si>
  <si>
    <t>412.113.118-56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</si>
  <si>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</si>
  <si>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</si>
  <si>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</si>
  <si>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</si>
  <si>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</si>
  <si>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</si>
  <si>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Jheniffer Norag Oliveira Carias</t>
  </si>
  <si>
    <t>377.314.618-31</t>
  </si>
  <si>
    <t>JHONATA FERNANDES DA SILVA</t>
  </si>
  <si>
    <t>396.537.428-17</t>
  </si>
  <si>
    <t>JHONATAN ALEXANDRE FERREIRA NASCI</t>
  </si>
  <si>
    <t>162.091.147-76</t>
  </si>
  <si>
    <t>JHONATAS DE CARVALHO FERNANDES DA CONCEICAO</t>
  </si>
  <si>
    <t>319.299.758-30</t>
  </si>
  <si>
    <t>JHONATAS DIEGO DOS SANTOS COELHO</t>
  </si>
  <si>
    <t>391.823.878-42</t>
  </si>
  <si>
    <t>JHONIS RODRIGUES ALMEIDA SANTOS</t>
  </si>
  <si>
    <t>215.856.148-31</t>
  </si>
  <si>
    <t>JILSON AILTON RIBEIRO</t>
  </si>
  <si>
    <t>125.270.838-62</t>
  </si>
  <si>
    <t>JIVE PROPERTIES MULTIESTRATEGIA FUNDO DE INVESTIMENTO IMOBILIARIO</t>
  </si>
  <si>
    <t>44.428.541/0001-90</t>
  </si>
  <si>
    <t>JK - COMERCIO E MANUTENÇÃO DE EMPILHADEIRAS LTDA</t>
  </si>
  <si>
    <t>18.929.754/0001-96</t>
  </si>
  <si>
    <t>JM BUZZO TECIDOS LTDA</t>
  </si>
  <si>
    <t>67.526.129/0001-09</t>
  </si>
  <si>
    <t>JMGOL HOSPITALAR LTDA</t>
  </si>
  <si>
    <t>39.556.802/0001-18</t>
  </si>
  <si>
    <t>JMR ALVES COMERCIO DE MOVEIS E ELETRONICOS LTDA</t>
  </si>
  <si>
    <t>54.629.467/0001-24</t>
  </si>
  <si>
    <t>JOABE CRUZ PINTO</t>
  </si>
  <si>
    <t>938.404.895-04</t>
  </si>
  <si>
    <t>JOANA DARC DE FRANCA RAIMUNDO</t>
  </si>
  <si>
    <t>227.926.298-35</t>
  </si>
  <si>
    <t>JOANA LOPES DOS SANTOS</t>
  </si>
  <si>
    <t>316.029.498-67</t>
  </si>
  <si>
    <t>JOANA MARIA DE JESUS GONÇALVES</t>
  </si>
  <si>
    <t>224.953.798-42</t>
  </si>
  <si>
    <t>JOANA RODRIGUES DE OLIVEIRA</t>
  </si>
  <si>
    <t>584.542.948-05</t>
  </si>
  <si>
    <t>Joana Victoria Borges Cypriano</t>
  </si>
  <si>
    <t>877.870.080-91</t>
  </si>
  <si>
    <t>JOAO ALEX FURTADO DE SOUZA</t>
  </si>
  <si>
    <t>122.139.418-58</t>
  </si>
  <si>
    <t>JOAO ALFREDO VIANA DE ALMEIDA</t>
  </si>
  <si>
    <t>549.345.868-30</t>
  </si>
  <si>
    <t>JOAO ALVES DA SILVA</t>
  </si>
  <si>
    <t>886.790.808-10</t>
  </si>
  <si>
    <t>JOAO ANTONIO GONCALVES GUIMARAES</t>
  </si>
  <si>
    <t>539.781.958-10</t>
  </si>
  <si>
    <t>JOAO ANTONIO GUIMARAES</t>
  </si>
  <si>
    <t>375.141.588-20</t>
  </si>
  <si>
    <t>JOÃO BATISTA BISCHOFF DO AMARAL</t>
  </si>
  <si>
    <t>062.538.488-10</t>
  </si>
  <si>
    <t>JOAO BATISTA BRISOLA</t>
  </si>
  <si>
    <t>835.363.378-72</t>
  </si>
  <si>
    <t>JOAO BATISTA COIMBRA</t>
  </si>
  <si>
    <t>083.822.898-43</t>
  </si>
  <si>
    <t>JOAO BATISTA DE O. MOREIRA</t>
  </si>
  <si>
    <t>053.168.148-35</t>
  </si>
  <si>
    <t>JOAO BATISTA DOS SANTOS</t>
  </si>
  <si>
    <t>273.411.678-23</t>
  </si>
  <si>
    <t xml:space="preserve">JOAO BATISTA PALMEIRA APOIO ADMINISTRATIVO	</t>
  </si>
  <si>
    <t>44.134.573/0001-83</t>
  </si>
  <si>
    <t>JOAO BATISTA PEREIRA BORGES PINTO</t>
  </si>
  <si>
    <t>484.878.978-86</t>
  </si>
  <si>
    <t>JOAO BATISTA RAMOS</t>
  </si>
  <si>
    <t>079.203.078-80</t>
  </si>
  <si>
    <t>JOAO BOSCO NERI</t>
  </si>
  <si>
    <t>291.505.408-82</t>
  </si>
  <si>
    <t>JOAO BOSCO VIEIRA</t>
  </si>
  <si>
    <t>739.518.038-00</t>
  </si>
  <si>
    <t>JOAO BRUNO NANNI SILVA</t>
  </si>
  <si>
    <t>359.101.578-41</t>
  </si>
  <si>
    <t>JOAO CARLOS CAPPELI</t>
  </si>
  <si>
    <t>887.591.648-91</t>
  </si>
  <si>
    <t>JOAO CARLOS CORREA</t>
  </si>
  <si>
    <t>056.459.178-55</t>
  </si>
  <si>
    <t>João Carlos da Silva</t>
  </si>
  <si>
    <t>493.228.058-03</t>
  </si>
  <si>
    <t>JOAO CARLOS DE OLIVEIRA</t>
  </si>
  <si>
    <t>168.119.478-37</t>
  </si>
  <si>
    <t>JOAO CARLOS RIBEIRO</t>
  </si>
  <si>
    <t>364.295.588-60</t>
  </si>
  <si>
    <t>JOAO CARLOS ROMERO</t>
  </si>
  <si>
    <t>235.169.878-98</t>
  </si>
  <si>
    <t>JOAO CARLOS SANTOS FONSECA JUNIOR</t>
  </si>
  <si>
    <t>225.952.378-10</t>
  </si>
  <si>
    <t>João Carlos Teixeira</t>
  </si>
  <si>
    <t>047.697.968-46</t>
  </si>
  <si>
    <t>JOAO CLAUDIO FERREIRA</t>
  </si>
  <si>
    <t>275.944.658-14</t>
  </si>
  <si>
    <t>JOAO DA SILVA PASSOS NETO</t>
  </si>
  <si>
    <t>127.157.248-61</t>
  </si>
  <si>
    <t>JOAO DIMAS DE SIQUEIRA</t>
  </si>
  <si>
    <t>830.746.008-53</t>
  </si>
  <si>
    <t>JOAO DOMINGOS VAZ</t>
  </si>
  <si>
    <t>060.887.098-63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</si>
  <si>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</si>
  <si>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</si>
  <si>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</si>
  <si>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</si>
  <si>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</si>
  <si>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</si>
  <si>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FRANCISCO SILVA</t>
  </si>
  <si>
    <t>050.246.918-81</t>
  </si>
  <si>
    <t>JOAO GABRIEL FERREIRA MACHADO</t>
  </si>
  <si>
    <t>542.987.078-14</t>
  </si>
  <si>
    <t>JOAO GABRIEL GOMES GUIMARAES</t>
  </si>
  <si>
    <t>530.947.298-35</t>
  </si>
  <si>
    <t>JOAO GABRIEL RIBEIRO DA SILVA</t>
  </si>
  <si>
    <t>361.776.648-06</t>
  </si>
  <si>
    <t>Joao Gabriel Santarem Samogin</t>
  </si>
  <si>
    <t>476.019.668-44</t>
  </si>
  <si>
    <t>JOAO GOMES ALVES</t>
  </si>
  <si>
    <t>282.719.628-09</t>
  </si>
  <si>
    <t>João Gonçalves</t>
  </si>
  <si>
    <t>021.773.898-28</t>
  </si>
  <si>
    <t>JOAO GONCALVES PINHEIRO</t>
  </si>
  <si>
    <t>414.636.418-34</t>
  </si>
  <si>
    <t>JOÃO GORDO FERREIRA</t>
  </si>
  <si>
    <t>898.788.418-04</t>
  </si>
  <si>
    <t>JOAO GUEDES FILHO</t>
  </si>
  <si>
    <t>218.592.378-19</t>
  </si>
  <si>
    <t>JOAO GUILHERME BARRETO MENDES</t>
  </si>
  <si>
    <t>539.313.798-25</t>
  </si>
  <si>
    <t>JOAO GUILHERME GOMES DE SA</t>
  </si>
  <si>
    <t>509.594.198-88</t>
  </si>
  <si>
    <t>JOAO JOSE CUSTODIO DA SILVEIRA</t>
  </si>
  <si>
    <t>102.751.648-37</t>
  </si>
  <si>
    <t>JOAO LUCAS DE LIMA GOMES</t>
  </si>
  <si>
    <t>518.462.218-70</t>
  </si>
  <si>
    <t>JOAO LUCAS TORRES CASTILHO SILVA</t>
  </si>
  <si>
    <t>568.781.148-61</t>
  </si>
  <si>
    <t>JOAO LUIS DE MELO DALDIN</t>
  </si>
  <si>
    <t>396.523.808-65</t>
  </si>
  <si>
    <t>JOAO LUIS MIGUEL ROSA</t>
  </si>
  <si>
    <t>423.463.878-19</t>
  </si>
  <si>
    <t>JOAO LUIZ BORGES DE AZEVEDO</t>
  </si>
  <si>
    <t>978.744.508-68</t>
  </si>
  <si>
    <t>JOAO MANOEL ALVES BRANDAO</t>
  </si>
  <si>
    <t>369.399.668-70</t>
  </si>
  <si>
    <t>JOAO MARCELO FRANCA BATISTA</t>
  </si>
  <si>
    <t>549.045.498-99</t>
  </si>
  <si>
    <t>JOAO MARCOS DOS SANTOS</t>
  </si>
  <si>
    <t>071.562.056-84</t>
  </si>
  <si>
    <t>JOAO MARCOS RODRIGUES DE SOUZA</t>
  </si>
  <si>
    <t>472.169.198-07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</si>
  <si>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</si>
  <si>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</si>
  <si>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</si>
  <si>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</si>
  <si>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</si>
  <si>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</si>
  <si>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NIVALDO CORREA</t>
  </si>
  <si>
    <t>345.550.136-20</t>
  </si>
  <si>
    <t>João Paulo Amâncio do Nascimento</t>
  </si>
  <si>
    <t>056.795.525-74</t>
  </si>
  <si>
    <t>JOAO PAULO GOMES LIRA</t>
  </si>
  <si>
    <t>502.428.038-57</t>
  </si>
  <si>
    <t>JOAO PAULO HELLER MORAES</t>
  </si>
  <si>
    <t>356.264.808-11</t>
  </si>
  <si>
    <t>JOAO PAULO RIBEIRO DIAS</t>
  </si>
  <si>
    <t>465.454.968-40</t>
  </si>
  <si>
    <t>JOAO PAULO ROSA GONCALVES DA CRUZ</t>
  </si>
  <si>
    <t>223.143.018-54</t>
  </si>
  <si>
    <t>JOÃO PAULO SOARES DA SILVA</t>
  </si>
  <si>
    <t>356.090.348-33</t>
  </si>
  <si>
    <t>JOAO PEDRO BARBOSA DOS SANTOS</t>
  </si>
  <si>
    <t>228.414.298-22</t>
  </si>
  <si>
    <t>João Pedro Brasil dos Santos</t>
  </si>
  <si>
    <t>474.365.458-09</t>
  </si>
  <si>
    <t>João Pedro Caetano de Souza</t>
  </si>
  <si>
    <t>526.946.088-25</t>
  </si>
  <si>
    <t>JOAO PEDRO CARDOSO DE OLIVEIRA</t>
  </si>
  <si>
    <t>444.873.498-69</t>
  </si>
  <si>
    <t>João Pedro de Carvalho Castilho Mancia</t>
  </si>
  <si>
    <t>458.748.588-81</t>
  </si>
  <si>
    <t>João Pedro de Carvalho Siqueira Prado</t>
  </si>
  <si>
    <t>482.609.318-77</t>
  </si>
  <si>
    <t>JOAO PEDRO DE OLIVEIRA FERREIRA</t>
  </si>
  <si>
    <t>382.400.678-24</t>
  </si>
  <si>
    <t>JOAO PEDRO DOS SANTOS</t>
  </si>
  <si>
    <t>432.765.708-58</t>
  </si>
  <si>
    <t>JOAO PEDRO FERNANDES DORETTO</t>
  </si>
  <si>
    <t>427.368.688-03</t>
  </si>
  <si>
    <t>JOÃO PEDRO FERREIRA DOS SANTOS</t>
  </si>
  <si>
    <t>460.849.798-74</t>
  </si>
  <si>
    <t>João Pedro Gonçalves da Silva</t>
  </si>
  <si>
    <t>571.006.208-13</t>
  </si>
  <si>
    <t>JOAO PEDRO MARINHO REGO GRIPPA</t>
  </si>
  <si>
    <t>487.349.078-23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</si>
  <si>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</si>
  <si>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</si>
  <si>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</si>
  <si>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</si>
  <si>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</si>
  <si>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</si>
  <si>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</si>
  <si>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</si>
  <si>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João Pedro Tedeschi Beltran Lima</t>
  </si>
  <si>
    <t>430.017.578-09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</si>
  <si>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</si>
  <si>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</si>
  <si>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</si>
  <si>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</si>
  <si>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</si>
  <si>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</si>
  <si>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TADEUS DOS SANTOS MARTINS</t>
  </si>
  <si>
    <t>004.671.788-95</t>
  </si>
  <si>
    <t>JOAO VALDECI VILAS BOAS</t>
  </si>
  <si>
    <t>052.693.028-45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</si>
  <si>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</si>
  <si>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</si>
  <si>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</si>
  <si>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</si>
  <si>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</si>
  <si>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</si>
  <si>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</si>
  <si>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</si>
  <si>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JOAO VICTOR FERREIRA</t>
  </si>
  <si>
    <t>441.205.628-75</t>
  </si>
  <si>
    <t>JOAO VICTOR GASPAR SANTOS MAYR</t>
  </si>
  <si>
    <t>542.424.438-62</t>
  </si>
  <si>
    <t>JOAO VICTOR MORENO TAVARES</t>
  </si>
  <si>
    <t>443.424.998-35</t>
  </si>
  <si>
    <t>João Victor Mota da Silva</t>
  </si>
  <si>
    <t>482.569.938-39</t>
  </si>
  <si>
    <t>JOÃO VICTOR NICKEL ALVES DOS SANTOS</t>
  </si>
  <si>
    <t>078.724.069-93</t>
  </si>
  <si>
    <t>JOAO VICTOR NUNES COELHO</t>
  </si>
  <si>
    <t>495.274.188-52</t>
  </si>
  <si>
    <t>JOAO VICTOR SANTOS SOARES</t>
  </si>
  <si>
    <t>501.781.348-99</t>
  </si>
  <si>
    <t>JOAO VICTOR SOUZA BORGES</t>
  </si>
  <si>
    <t>434.495.048-86</t>
  </si>
  <si>
    <t>João Victtor Soares Cornelsen</t>
  </si>
  <si>
    <t>076.289.679-57</t>
  </si>
  <si>
    <t>JOAO VINICIUS FARAH COLOMBINI</t>
  </si>
  <si>
    <t>459.673.788-63</t>
  </si>
  <si>
    <t>JOÃO VITOR BATISTA GOMES DA SILVA</t>
  </si>
  <si>
    <t>704.870.504-36</t>
  </si>
  <si>
    <t>João Vitor Custodio</t>
  </si>
  <si>
    <t>478.377.788-80</t>
  </si>
  <si>
    <t>JOAO VITOR DE MELO COSTA</t>
  </si>
  <si>
    <t>350.026.698-32</t>
  </si>
  <si>
    <t>JOÃO VITOR DOS SANTOS GOLL</t>
  </si>
  <si>
    <t>316.865.558-90</t>
  </si>
  <si>
    <t>JOAO VITOR DOS SANTOS SILVA</t>
  </si>
  <si>
    <t>477.273.868-12</t>
  </si>
  <si>
    <t>JOAO VITOR FARIA DE PAULA SILVA</t>
  </si>
  <si>
    <t>133.493.376-60</t>
  </si>
  <si>
    <t>JOAO VITOR FELIX DA SILVA</t>
  </si>
  <si>
    <t>547.388.598-54</t>
  </si>
  <si>
    <t>João Vitor Ferreira de Oliveira</t>
  </si>
  <si>
    <t>705.139.152-65</t>
  </si>
  <si>
    <t>JOAO VITOR GIMENES LOPES GONÇALVES</t>
  </si>
  <si>
    <t>501.933.498-76</t>
  </si>
  <si>
    <t>João Vitor Gomes Pereira Machado</t>
  </si>
  <si>
    <t>174.162.497-59</t>
  </si>
  <si>
    <t>João Vitor Macarini Radigonda</t>
  </si>
  <si>
    <t>103.209.079-02</t>
  </si>
  <si>
    <t>João Vitor Marques de Araujo</t>
  </si>
  <si>
    <t>452.626.828-39</t>
  </si>
  <si>
    <t>JOAO VITOR MARQUES DOS SANTOS</t>
  </si>
  <si>
    <t>447.203.648-70</t>
  </si>
  <si>
    <t>JOAO VITOR RODRIGUES DA SILVA</t>
  </si>
  <si>
    <t>523.592.858-07</t>
  </si>
  <si>
    <t>JOÃO VITOR RODRIGUES DA SILVA</t>
  </si>
  <si>
    <t>058.332.938-12</t>
  </si>
  <si>
    <t>João Vitor Rodrigues de Aguiar</t>
  </si>
  <si>
    <t>491.488.158-61</t>
  </si>
  <si>
    <t>JOÃO VITOR ROSA ADRIANO</t>
  </si>
  <si>
    <t>097.103.359-52</t>
  </si>
  <si>
    <t>JOAO VITOR SANTOS DO NASCIMENTO</t>
  </si>
  <si>
    <t>518.532.288-85</t>
  </si>
  <si>
    <t>JOAO VITOR TEIXEIRA TAVARES</t>
  </si>
  <si>
    <t>415.971.888-40</t>
  </si>
  <si>
    <t>JOAO VITOR TRINDADE</t>
  </si>
  <si>
    <t>402.189.388-10</t>
  </si>
  <si>
    <t>JOAOMED COM. DE MAT. CIRURGICOS S/A</t>
  </si>
  <si>
    <t>78.742.491/0001-33</t>
  </si>
  <si>
    <t>JOAQUIM CUSTODIO VICENTE</t>
  </si>
  <si>
    <t>793.975.226-04</t>
  </si>
  <si>
    <t>JOAQUIM JOSE MENDES DE SOUZA</t>
  </si>
  <si>
    <t>106.252.996-04</t>
  </si>
  <si>
    <t>JOAQUIM JOSE MOREIRA DOS SANTOS</t>
  </si>
  <si>
    <t>792.489.187-00</t>
  </si>
  <si>
    <t>JOAQUIM PEREIRA GALVAO DE FRANCA</t>
  </si>
  <si>
    <t>436.723.618-87</t>
  </si>
  <si>
    <t>JOAQUIM PINTO</t>
  </si>
  <si>
    <t>386.108.337-04</t>
  </si>
  <si>
    <t>JOAQUIM RAFAEL DE ALMEIDA</t>
  </si>
  <si>
    <t>374.776.418-53</t>
  </si>
  <si>
    <t>JOAQUIM TEODORO ALVES NETO</t>
  </si>
  <si>
    <t>547.847.948-91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</si>
  <si>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</si>
  <si>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</si>
  <si>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</si>
  <si>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</si>
  <si>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</si>
  <si>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</si>
  <si>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JOCIVALDO RODRIGUES DOS SANTOS</t>
  </si>
  <si>
    <t>341.164.318-85</t>
  </si>
  <si>
    <t>JOEL INOCENCIO DE OLIVEIRA</t>
  </si>
  <si>
    <t>071.296.848-28</t>
  </si>
  <si>
    <t>Joel Ribeiro Fernandes</t>
  </si>
  <si>
    <t>999.987.186-00</t>
  </si>
  <si>
    <t>JOELICIO BERNARDO SANTOS JUNIOR</t>
  </si>
  <si>
    <t>333.647.158-31</t>
  </si>
  <si>
    <t>JOELMA MARCELINO PEREIRA MILATO</t>
  </si>
  <si>
    <t>113.572.016-99</t>
  </si>
  <si>
    <t>JOELMA SILVA AMORIM</t>
  </si>
  <si>
    <t>615.015.723-77</t>
  </si>
  <si>
    <t>JOELMA VIEIRA GOMES DE OLIVEIRA</t>
  </si>
  <si>
    <t>446.676.888-90</t>
  </si>
  <si>
    <t>JOELMIR DE ARAUJO ROSADO DA SILVA</t>
  </si>
  <si>
    <t>347.331.288-60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</si>
  <si>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</si>
  <si>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</si>
  <si>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</si>
  <si>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</si>
  <si>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</si>
  <si>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</si>
  <si>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</si>
  <si>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</si>
  <si>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Johnathan de Oliveira Santos</t>
  </si>
  <si>
    <t>479.322.008-81</t>
  </si>
  <si>
    <t>JOICE APARECIDA SOARES</t>
  </si>
  <si>
    <t>447.799.968-21</t>
  </si>
  <si>
    <t>JOICE LUCIANA DA SILVA MENDES</t>
  </si>
  <si>
    <t>329.369.128-57</t>
  </si>
  <si>
    <t>JOICE MARA VASCONCELOS PEREIRA</t>
  </si>
  <si>
    <t>123.767.257-04</t>
  </si>
  <si>
    <t>JOICE OLIVEIRA SILVA</t>
  </si>
  <si>
    <t>081.198.676-45</t>
  </si>
  <si>
    <t>JOILMA MARTINA CUSTODIO</t>
  </si>
  <si>
    <t>026.065.768-96</t>
  </si>
  <si>
    <t>JONADABE FELICIANO ARAUJO</t>
  </si>
  <si>
    <t>362.875.088-17</t>
  </si>
  <si>
    <t>JONAS AMADEO DE SOUZA - ME</t>
  </si>
  <si>
    <t>03.838.847/0001-38</t>
  </si>
  <si>
    <t>JONAS DE ALENCAR PEREIRA DA SILVA</t>
  </si>
  <si>
    <t>365.385.398-23</t>
  </si>
  <si>
    <t>JONAS DE JESUS BARUEL</t>
  </si>
  <si>
    <t>353.126.228-93</t>
  </si>
  <si>
    <t>Jonas Nascimento dos Santos Silva</t>
  </si>
  <si>
    <t>709.409.744-10</t>
  </si>
  <si>
    <t>JONAS PAULO SANTOS DA SILVA</t>
  </si>
  <si>
    <t>388.551.218-12</t>
  </si>
  <si>
    <t>JONAS ROBERT JUSTINO</t>
  </si>
  <si>
    <t>321.924.838-13</t>
  </si>
  <si>
    <t>JONAS ROJAS FERREIRA</t>
  </si>
  <si>
    <t>219.168.488-26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</si>
  <si>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</si>
  <si>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</si>
  <si>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</si>
  <si>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</si>
  <si>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</si>
  <si>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</si>
  <si>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DE JESUS PIRES</t>
  </si>
  <si>
    <t>078.234.455-06</t>
  </si>
  <si>
    <t>JONATAS FREITAS ROCHA</t>
  </si>
  <si>
    <t>393.701.988-06</t>
  </si>
  <si>
    <t>JONATAS HENRIQUE AMARAES CORREIA</t>
  </si>
  <si>
    <t>424.919.908-81</t>
  </si>
  <si>
    <t>JONATAS LUIS DE SOUSA</t>
  </si>
  <si>
    <t>394.191.788-97</t>
  </si>
  <si>
    <t>JONATAS MARLON DE OLIVEIRA SAMUEL</t>
  </si>
  <si>
    <t>445.869.858-36</t>
  </si>
  <si>
    <t>JONATAS MIRANDA ROSA CUNHA</t>
  </si>
  <si>
    <t>419.109.128-08</t>
  </si>
  <si>
    <t>JONATAS SILVA DE AQUINO</t>
  </si>
  <si>
    <t>374.167.338-20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</si>
  <si>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</si>
  <si>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</si>
  <si>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</si>
  <si>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</si>
  <si>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</si>
  <si>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</si>
  <si>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</si>
  <si>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</si>
  <si>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DE OLIVEIRA PAULO</t>
  </si>
  <si>
    <t>230.551.578-26</t>
  </si>
  <si>
    <t>JONATHAN DOS SANTOS MOREIRA</t>
  </si>
  <si>
    <t>417.367.148-21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</si>
  <si>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</si>
  <si>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</si>
  <si>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</si>
  <si>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</si>
  <si>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</si>
  <si>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</si>
  <si>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</si>
  <si>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</si>
  <si>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PEIXOTO</t>
  </si>
  <si>
    <t>479.814.188-79</t>
  </si>
  <si>
    <t>JONATHAN SILVA BARBOSA</t>
  </si>
  <si>
    <t>464.906.348-56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</si>
  <si>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</si>
  <si>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</si>
  <si>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</si>
  <si>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</si>
  <si>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</si>
  <si>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</si>
  <si>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</si>
  <si>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</si>
  <si>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</si>
  <si>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</si>
  <si>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</si>
  <si>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</si>
  <si>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ALFREDO CESPEDES CAMPOS</t>
  </si>
  <si>
    <t>348.711.768-19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</si>
  <si>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</si>
  <si>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</si>
  <si>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</si>
  <si>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</si>
  <si>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</si>
  <si>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</si>
  <si>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HENRIQUE CAXEADO DA SILVA</t>
  </si>
  <si>
    <t>092.399.228-65</t>
  </si>
  <si>
    <t>Jorge Julio dos Santos</t>
  </si>
  <si>
    <t>272.825.678-08</t>
  </si>
  <si>
    <t>JORGE LUIZ DE CARVALHO NOGUEIRA</t>
  </si>
  <si>
    <t>736.156.178-00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</si>
  <si>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</si>
  <si>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</si>
  <si>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</si>
  <si>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</si>
  <si>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</si>
  <si>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</si>
  <si>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JORGE OTUBO</t>
  </si>
  <si>
    <t>470.056.458-04</t>
  </si>
  <si>
    <t>JORGE RAFAEL PEREIRA PAIS DA SILVA</t>
  </si>
  <si>
    <t>350.412.248-03</t>
  </si>
  <si>
    <t>JORGE TADAO MATSUSHIMA</t>
  </si>
  <si>
    <t>169.813.068-67</t>
  </si>
  <si>
    <t>JOSANE MOURA DE SOUZA</t>
  </si>
  <si>
    <t>016.736.085-07</t>
  </si>
  <si>
    <t>JOSE AFONSO CARDOSO</t>
  </si>
  <si>
    <t>464.223.408-00</t>
  </si>
  <si>
    <t>JOSÉ AFONSO OLIVEIRA</t>
  </si>
  <si>
    <t>638.782.836-87</t>
  </si>
  <si>
    <t>JOSE AIRTON SOUZA DA SILVA</t>
  </si>
  <si>
    <t>244.411.488-44</t>
  </si>
  <si>
    <t>JOSE ALBERTO ALVES</t>
  </si>
  <si>
    <t>665.784.348-87</t>
  </si>
  <si>
    <t>JOSE ALCEU DA CRUZ</t>
  </si>
  <si>
    <t>338.737.559-04</t>
  </si>
  <si>
    <t>JOSE ALICIO FLORIANO</t>
  </si>
  <si>
    <t>548.080.148-15</t>
  </si>
  <si>
    <t>JOSE ALVES DE OLIVEIRA</t>
  </si>
  <si>
    <t>233.037.658-80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</si>
  <si>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</si>
  <si>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</si>
  <si>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</si>
  <si>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</si>
  <si>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</si>
  <si>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</si>
  <si>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</si>
  <si>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</si>
  <si>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</si>
  <si>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</si>
  <si>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</si>
  <si>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</si>
  <si>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</si>
  <si>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</si>
  <si>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AUGUSTO DA SILVA</t>
  </si>
  <si>
    <t>340.024.548-86</t>
  </si>
  <si>
    <t>JOSE BENEDITO DE CASTILHO</t>
  </si>
  <si>
    <t>739.447.428-34</t>
  </si>
  <si>
    <t>JOSE BENEDITO DE FREITAS</t>
  </si>
  <si>
    <t>114.098.988-06</t>
  </si>
  <si>
    <t>JOSE BRUNO FERREIRA</t>
  </si>
  <si>
    <t>515.616.208-82</t>
  </si>
  <si>
    <t>JOSE CAMILO GONCALVES JUNIOR</t>
  </si>
  <si>
    <t>430.846.718-77</t>
  </si>
  <si>
    <t>JOSE CANDIDO DE OLIVEIRA</t>
  </si>
  <si>
    <t>059.217.268-69</t>
  </si>
  <si>
    <t>JOSÉ CARLOS COSTA</t>
  </si>
  <si>
    <t>280.346.198-68</t>
  </si>
  <si>
    <t>JOSE CARLOS DA SILVA</t>
  </si>
  <si>
    <t>602.230.228-53</t>
  </si>
  <si>
    <t>081.289.298-44</t>
  </si>
  <si>
    <t>JOSE CARLOS DE OLIVEIRA LOPES</t>
  </si>
  <si>
    <t>488.211.158-60</t>
  </si>
  <si>
    <t>José Carlos Figueiredo Coelho Junior</t>
  </si>
  <si>
    <t>423.016.068-21</t>
  </si>
  <si>
    <t>JOSE CARLOS PEREIRA DA SILVA</t>
  </si>
  <si>
    <t>499.462.568-94</t>
  </si>
  <si>
    <t>JOSE CARLOS PEREIRA VENEZIANI</t>
  </si>
  <si>
    <t>356.552.128-70</t>
  </si>
  <si>
    <t>JOSE CARLOS SILVERIO</t>
  </si>
  <si>
    <t>887.201.288-00</t>
  </si>
  <si>
    <t>JOSE CARLOS VALENTIM</t>
  </si>
  <si>
    <t>138.404.738-70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</si>
  <si>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</si>
  <si>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</si>
  <si>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</si>
  <si>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</si>
  <si>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</si>
  <si>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</si>
  <si>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MANCILHA DE FARIA BARBOSA</t>
  </si>
  <si>
    <t>090.182.588-30</t>
  </si>
  <si>
    <t>JOSE CLAUDIO PEREIRA GOMES</t>
  </si>
  <si>
    <t>851.441.508-53</t>
  </si>
  <si>
    <t>JOSE CLAUDIO RIBEIRO</t>
  </si>
  <si>
    <t>074.179.168-48</t>
  </si>
  <si>
    <t>JOSE CORREA LUIS</t>
  </si>
  <si>
    <t>467.453.196-91</t>
  </si>
  <si>
    <t>JOSE COSME FERREIRA</t>
  </si>
  <si>
    <t>403.548.497-00</t>
  </si>
  <si>
    <t>JOSE CRISTIANO BEZERRA</t>
  </si>
  <si>
    <t>405.692.388-46</t>
  </si>
  <si>
    <t>JOSE DA SILVA</t>
  </si>
  <si>
    <t>320.969.177-00</t>
  </si>
  <si>
    <t>JOSE DA SILVA NOGUEIRA</t>
  </si>
  <si>
    <t>026.056.478-89</t>
  </si>
  <si>
    <t>JOSE DE RIBAMAR DA SILVA</t>
  </si>
  <si>
    <t>718.231.313-87</t>
  </si>
  <si>
    <t>JOSE DINIZ DO NASCIMENTO</t>
  </si>
  <si>
    <t>830.802.528-53</t>
  </si>
  <si>
    <t>JOSE DO PATROCINIO JUNIOR</t>
  </si>
  <si>
    <t>038.849.078-08</t>
  </si>
  <si>
    <t>JOSE DONIZETTI CAMPOS</t>
  </si>
  <si>
    <t>887.259.018-34</t>
  </si>
  <si>
    <t>JOSE EDUARDO FREIRE</t>
  </si>
  <si>
    <t>026.031.048-45</t>
  </si>
  <si>
    <t>JOSE EDZIO VIEIRA</t>
  </si>
  <si>
    <t>447.413.756-68</t>
  </si>
  <si>
    <t>JOSE EGIDIO ANDREACI</t>
  </si>
  <si>
    <t>019.743.558-02</t>
  </si>
  <si>
    <t>JOSE EVANGELISTA DE ALMEIDA</t>
  </si>
  <si>
    <t>887.317.158-34</t>
  </si>
  <si>
    <t>JOSE FELIPE DA ROCHA SANTOS</t>
  </si>
  <si>
    <t>013.414.404-00</t>
  </si>
  <si>
    <t>JOSE FELIPE DE ARAUJO ANDRADE</t>
  </si>
  <si>
    <t>169.191.077-59</t>
  </si>
  <si>
    <t>JOSÉ FERREIRA DE SOUZA REZENDE</t>
  </si>
  <si>
    <t>142.133.468-20</t>
  </si>
  <si>
    <t>JOSE FRANCISCO CLAUDINO</t>
  </si>
  <si>
    <t>664.812.526-87</t>
  </si>
  <si>
    <t>JOSÉ FRANCISCO DE OLIVEIRA</t>
  </si>
  <si>
    <t>929.612.826-91</t>
  </si>
  <si>
    <t>JOSE FRANCISCO DIAS</t>
  </si>
  <si>
    <t>086.355.758-90</t>
  </si>
  <si>
    <t>JOSE FRANCISCO DUARTE</t>
  </si>
  <si>
    <t>019.232.948-06</t>
  </si>
  <si>
    <t>JOSE GERALDO PETERSEN FILHO</t>
  </si>
  <si>
    <t>297.125.598-07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</si>
  <si>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</si>
  <si>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</si>
  <si>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</si>
  <si>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</si>
  <si>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</si>
  <si>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</si>
  <si>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HAMILTON BARBOSA FILHO</t>
  </si>
  <si>
    <t>339.416.758-18</t>
  </si>
  <si>
    <t>JOSE HERNANDES FILHO</t>
  </si>
  <si>
    <t>340.279.208-72</t>
  </si>
  <si>
    <t>JOSE IGNACIO MARTINO</t>
  </si>
  <si>
    <t>409.175.508-97</t>
  </si>
  <si>
    <t>JOSÉ JERONIMO RABELO FARIA</t>
  </si>
  <si>
    <t>080.799.894-00</t>
  </si>
  <si>
    <t>JOSE JORLEY DO AMARAL</t>
  </si>
  <si>
    <t>053.199.008-72</t>
  </si>
  <si>
    <t>JOSE JORLEY DO AMARAL JUNIOR</t>
  </si>
  <si>
    <t>248.353.048-61</t>
  </si>
  <si>
    <t>JOSE LUIS COLOSIO</t>
  </si>
  <si>
    <t>389.617.419-34</t>
  </si>
  <si>
    <t>JOSE LUIZ AUGUSTO JUNIOR</t>
  </si>
  <si>
    <t>303.167.188-07</t>
  </si>
  <si>
    <t>JOSE MANOEL MACIEL</t>
  </si>
  <si>
    <t>405.835.978-15</t>
  </si>
  <si>
    <t>JOSE MANOEL PEREIRA</t>
  </si>
  <si>
    <t>020.550.404-30</t>
  </si>
  <si>
    <t>JOSE MARCIO DA SILVA ROSA</t>
  </si>
  <si>
    <t>098.436.978-39</t>
  </si>
  <si>
    <t>JOSE MARCIO RODRIGUES</t>
  </si>
  <si>
    <t>353.494.638-37</t>
  </si>
  <si>
    <t>JOSE MARCONDES DA SILVA</t>
  </si>
  <si>
    <t>172.845.118-34</t>
  </si>
  <si>
    <t>JOSÉ MARCOS GONZAGA</t>
  </si>
  <si>
    <t>047.084.766-20</t>
  </si>
  <si>
    <t>JOSE MARCOS PEREIRA</t>
  </si>
  <si>
    <t>056.105.628-56</t>
  </si>
  <si>
    <t>JOSE MARIA APA  DOS SANTOS</t>
  </si>
  <si>
    <t>235.213.348-30</t>
  </si>
  <si>
    <t>JOSE MESSIAS VIEIRA DA COSTA</t>
  </si>
  <si>
    <t>117.962.304-56</t>
  </si>
  <si>
    <t>JOSE MILTON PAULINO</t>
  </si>
  <si>
    <t>313.333.468-91</t>
  </si>
  <si>
    <t>JOSE MORAIS RODRIGUES</t>
  </si>
  <si>
    <t>513.813.558-97</t>
  </si>
  <si>
    <t>JOSE OLINTHO COLICCHIO</t>
  </si>
  <si>
    <t>073.918.208-06</t>
  </si>
  <si>
    <t>JOSÉ OSCAR ALE LAURINO</t>
  </si>
  <si>
    <t>003.771.044-34</t>
  </si>
  <si>
    <t>JOSE PAULO ABITABILE</t>
  </si>
  <si>
    <t>067.879.488-08</t>
  </si>
  <si>
    <t>JOSE PEDREIRA AZEVEDO FILHO</t>
  </si>
  <si>
    <t>110.310.368-73</t>
  </si>
  <si>
    <t>JOSE PERES DA COSTA FILHO</t>
  </si>
  <si>
    <t>270.759.328-10</t>
  </si>
  <si>
    <t>JOSE RAIMUNDO DA SILVA</t>
  </si>
  <si>
    <t>801.559.368-91</t>
  </si>
  <si>
    <t>JOSE RAIMUNDO SOARES</t>
  </si>
  <si>
    <t>159.607.758-16</t>
  </si>
  <si>
    <t>JOSE REINALDO LOPES DA SILVA JUNIOR</t>
  </si>
  <si>
    <t>355.195.208-60</t>
  </si>
  <si>
    <t>JOSE RICARDO CALDERARO</t>
  </si>
  <si>
    <t>082.754.738-29</t>
  </si>
  <si>
    <t>JOSE RICARDO DE MORAIS</t>
  </si>
  <si>
    <t>337.480.018-19</t>
  </si>
  <si>
    <t>JOSE RICARDO DOS SANTOS</t>
  </si>
  <si>
    <t>370.559.528-83</t>
  </si>
  <si>
    <t>JOSE RICARDO VENANCIO</t>
  </si>
  <si>
    <t>199.236.018-97</t>
  </si>
  <si>
    <t>JOSE ROBERTO DA SILVA</t>
  </si>
  <si>
    <t>052.704.288-90</t>
  </si>
  <si>
    <t>JOSÉ ROBERTO DO LAGO</t>
  </si>
  <si>
    <t>560.212.088-20</t>
  </si>
  <si>
    <t>JOSE ROBERTO DOS SANTOS</t>
  </si>
  <si>
    <t>101.052.198-51</t>
  </si>
  <si>
    <t>JOSE ROBERTO DOS SANTOS JUNIOR</t>
  </si>
  <si>
    <t>201.873.908-51</t>
  </si>
  <si>
    <t>JOSE ROBERTO DUO</t>
  </si>
  <si>
    <t>742.526.078-68</t>
  </si>
  <si>
    <t>JOSE ROBERTO LUNA DA SILVA</t>
  </si>
  <si>
    <t>758.131.814-15</t>
  </si>
  <si>
    <t>JOSE ROBERTO PEREIRA RODRIGUES</t>
  </si>
  <si>
    <t>404.276.768-00</t>
  </si>
  <si>
    <t>JOSE ROBERTO PINTO NETO</t>
  </si>
  <si>
    <t>406.569.788-30</t>
  </si>
  <si>
    <t>JOSE ROBEVALDO LOPES</t>
  </si>
  <si>
    <t>019.298.758-51</t>
  </si>
  <si>
    <t>JOSE RODOLFO SUTZ CUNHA</t>
  </si>
  <si>
    <t>109.505.477-51</t>
  </si>
  <si>
    <t>JOSE RONALDO DE BRITO</t>
  </si>
  <si>
    <t>162.670.418-08</t>
  </si>
  <si>
    <t>JOSE RONALDO PEREIRA DOS SANTOS</t>
  </si>
  <si>
    <t>268.304.208-65</t>
  </si>
  <si>
    <t>JOSE SANTOS DE MOURA</t>
  </si>
  <si>
    <t>060.093.768-23</t>
  </si>
  <si>
    <t>JOSE SAVIO DOS SANTOS</t>
  </si>
  <si>
    <t>257.364.648-37</t>
  </si>
  <si>
    <t>JOSE SEBASTIAO DE SOUZA</t>
  </si>
  <si>
    <t>056.260.738-25</t>
  </si>
  <si>
    <t>JOSE SILVA ALVES</t>
  </si>
  <si>
    <t>573.825.818-53</t>
  </si>
  <si>
    <t>José Silvanio Ferreira da Silva</t>
  </si>
  <si>
    <t>021.800.284-07</t>
  </si>
  <si>
    <t>JOSE SILVESTRE BATISTA</t>
  </si>
  <si>
    <t>404.294.828-68</t>
  </si>
  <si>
    <t>JOSE VAGNER NEVES</t>
  </si>
  <si>
    <t>507.507.396-49</t>
  </si>
  <si>
    <t>Jose Valdir Faustino Cavalcante</t>
  </si>
  <si>
    <t>460.108.568-33</t>
  </si>
  <si>
    <t>JOSE VIANA FILHO</t>
  </si>
  <si>
    <t>690.316.738-20</t>
  </si>
  <si>
    <t>JOSE WAGNER GOTO DE MORAIS</t>
  </si>
  <si>
    <t>010.668.508-28</t>
  </si>
  <si>
    <t>JOSEANE ALMEIDA DE OLIVEIRA</t>
  </si>
  <si>
    <t>357.429.438-73</t>
  </si>
  <si>
    <t>JOSEENSE TRANSPORTES DE PASSAGEIROS LTDA</t>
  </si>
  <si>
    <t>33.666.065/0001-20</t>
  </si>
  <si>
    <t>JOSEFA DANTAS DOS SANTOS BATISTA</t>
  </si>
  <si>
    <t>334.264.998-43</t>
  </si>
  <si>
    <t>JOSEILTON OLIVEIRA SANTOS</t>
  </si>
  <si>
    <t>436.459.218-85</t>
  </si>
  <si>
    <t>JOSELAINE RABELO SILVA DE OLIVEIRA</t>
  </si>
  <si>
    <t>336.450.968-92</t>
  </si>
  <si>
    <t>JOSELANE SANTOS RODRIGUES AZEVEDO</t>
  </si>
  <si>
    <t>033.663.963-50</t>
  </si>
  <si>
    <t>JOSELEI MODESTO</t>
  </si>
  <si>
    <t>328.093.218-17</t>
  </si>
  <si>
    <t>JOSELIA DE OLIVEIRA SILVA</t>
  </si>
  <si>
    <t>310.448.858-40</t>
  </si>
  <si>
    <t>JOSEMAR FRANCISCO DE JESUS</t>
  </si>
  <si>
    <t>417.250.668-23</t>
  </si>
  <si>
    <t>JOSENILDO BEZERRA DOS SANTOS</t>
  </si>
  <si>
    <t>285.932.004-00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</si>
  <si>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</si>
  <si>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</si>
  <si>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</si>
  <si>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</si>
  <si>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</si>
  <si>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</si>
  <si>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JOSIANA NASCIMENTO DE FRANCA</t>
  </si>
  <si>
    <t>700.195.364-45</t>
  </si>
  <si>
    <t>JOSIANE ALESSANDRA CABRAL</t>
  </si>
  <si>
    <t>345.516.618-05</t>
  </si>
  <si>
    <t>JOSIANE COUTINHO</t>
  </si>
  <si>
    <t>351.687.038-95</t>
  </si>
  <si>
    <t>JOSIANE DE JESUS MACIEL</t>
  </si>
  <si>
    <t>093.995.466-40</t>
  </si>
  <si>
    <t>JOSIANE NOWACKI</t>
  </si>
  <si>
    <t>217.698.558-31</t>
  </si>
  <si>
    <t>JOSIANE SANTOS DE S.SILVA</t>
  </si>
  <si>
    <t>374.482.378-45</t>
  </si>
  <si>
    <t>JOSIANE VIANA DE ARAUJO</t>
  </si>
  <si>
    <t>510.076.448-18</t>
  </si>
  <si>
    <t>JOSIAS BOARI XAVIER</t>
  </si>
  <si>
    <t>223.852.038-47</t>
  </si>
  <si>
    <t>JOSICLEIDO INACIO</t>
  </si>
  <si>
    <t>293.016.258-90</t>
  </si>
  <si>
    <t>JOSIENE FERNANDES DA SILVA CARNEIRO</t>
  </si>
  <si>
    <t>327.041.588-51</t>
  </si>
  <si>
    <t>JOSILENE FERNANDES DE SAMPAIO CARNEIRO</t>
  </si>
  <si>
    <t>358.397.038-18</t>
  </si>
  <si>
    <t>JOSILENE GRYGIEL</t>
  </si>
  <si>
    <t>217.764.398-80</t>
  </si>
  <si>
    <t>JOSIMAR JULIO GAMA</t>
  </si>
  <si>
    <t>365.308.538-12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</si>
  <si>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</si>
  <si>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</si>
  <si>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</si>
  <si>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</si>
  <si>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</si>
  <si>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</si>
  <si>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</si>
  <si>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</si>
  <si>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JOSOE BATISTA ALVES</t>
  </si>
  <si>
    <t>097.132.199-02</t>
  </si>
  <si>
    <t>Josué Bennati Brito Fonseca</t>
  </si>
  <si>
    <t>423.106.118-16</t>
  </si>
  <si>
    <t>JOSUE MARIANO DE AMORIM</t>
  </si>
  <si>
    <t>444.437.778-06</t>
  </si>
  <si>
    <t>JOTACE COMERCIO DE PRODUTOS E SERVIÇOS ESCOLARES LTDA ME</t>
  </si>
  <si>
    <t>09.474.168/0001-03</t>
  </si>
  <si>
    <t>JOVANE DOS SANTOS DE MELO</t>
  </si>
  <si>
    <t>016.803.265-11</t>
  </si>
  <si>
    <t>JOVANE HENRIQUE BELARMINO</t>
  </si>
  <si>
    <t>074.164.959-46</t>
  </si>
  <si>
    <t>Jovenice Tereza Cavalcanti da Silva</t>
  </si>
  <si>
    <t>291.813.638-77</t>
  </si>
  <si>
    <t>JOVENS GENIOS PROVEDOR DE CONTEUDO LTDA</t>
  </si>
  <si>
    <t>29.286.289/0001-39</t>
  </si>
  <si>
    <t>JOYCE APARECIDA DA CRUZ</t>
  </si>
  <si>
    <t>228.920.618-06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</si>
  <si>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</si>
  <si>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</si>
  <si>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</si>
  <si>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</si>
  <si>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</si>
  <si>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</si>
  <si>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DE SOUSA MONTE FRANCO</t>
  </si>
  <si>
    <t>447.237.268-10</t>
  </si>
  <si>
    <t>JOYCE GRAZIELLE BUENO DA SILVA</t>
  </si>
  <si>
    <t>502.196.488-75</t>
  </si>
  <si>
    <t>JOYCE KELLY SANTOS DE MOURA</t>
  </si>
  <si>
    <t>437.740.978-60</t>
  </si>
  <si>
    <t>JOYCE LOPES DA SILVA</t>
  </si>
  <si>
    <t>540.215.718-92</t>
  </si>
  <si>
    <t>Joyce Medeiros Martins</t>
  </si>
  <si>
    <t>531.021.028-83</t>
  </si>
  <si>
    <t>JOYCE PATRICIE RODRIGUES DOS SANTOS</t>
  </si>
  <si>
    <t>453.748.088-26</t>
  </si>
  <si>
    <t>JOYCI DA SILVA NASCIMENTO</t>
  </si>
  <si>
    <t>560.174.338-06</t>
  </si>
  <si>
    <t>JOZIANE FERREIRA DE ALMEIDA</t>
  </si>
  <si>
    <t>419.390.138-60</t>
  </si>
  <si>
    <t>JOZYRAM BISPO DE SOUZA</t>
  </si>
  <si>
    <t>404.596.198-45</t>
  </si>
  <si>
    <t>JR DE OLIVEIRA MONITORAMENTO E SERVICOS COMBINADOS</t>
  </si>
  <si>
    <t>14.724.613/0001-86</t>
  </si>
  <si>
    <t>JR HERNANDES TRANSPORTES LTDA</t>
  </si>
  <si>
    <t>28.481.290/0001-51</t>
  </si>
  <si>
    <t>JR MADEIRAS COMERCIAL LTDA</t>
  </si>
  <si>
    <t>29.412.870/0001-50</t>
  </si>
  <si>
    <t>JRS ARTES EM PORCELANATO</t>
  </si>
  <si>
    <t>42.788.069/0001-71</t>
  </si>
  <si>
    <t>JUAN CARLOS MARRAISO JUNIOR</t>
  </si>
  <si>
    <t>312.378.688-90</t>
  </si>
  <si>
    <t>JUAN DIEGO CARVALHO MALDONADO ROQUE</t>
  </si>
  <si>
    <t>399.574.888-05</t>
  </si>
  <si>
    <t>JUAN GABRIEL TOMÉ AMARILLA</t>
  </si>
  <si>
    <t>494.811.218-60</t>
  </si>
  <si>
    <t>JUAN ROBERT SANTOS DE LIMA</t>
  </si>
  <si>
    <t>581.110.358-10</t>
  </si>
  <si>
    <t>JUBERTO DA SILVA</t>
  </si>
  <si>
    <t>487.494.867-72</t>
  </si>
  <si>
    <t>JUCELEM ISABEL DE LIMA PEREIRA</t>
  </si>
  <si>
    <t>054.330.938-08</t>
  </si>
  <si>
    <t>JUCELINO GONCALVES DE ALENCAR</t>
  </si>
  <si>
    <t>643.493.224-34</t>
  </si>
  <si>
    <t>JUCELINO HENRIQUE PINTO</t>
  </si>
  <si>
    <t>285.005.278-70</t>
  </si>
  <si>
    <t>JUCICLEIDE SILVA DE OLIVEIRA</t>
  </si>
  <si>
    <t>394.817.018-59</t>
  </si>
  <si>
    <t>JUCILAINE CRISTINA DA COSTA INACIO</t>
  </si>
  <si>
    <t>351.712.558-06</t>
  </si>
  <si>
    <t>JUCILEIA ALVES DE HOLANDA</t>
  </si>
  <si>
    <t>063.113.803-07</t>
  </si>
  <si>
    <t>JUCILEIDE CRISTINA MENDES OLIVEIRA</t>
  </si>
  <si>
    <t>330.643.178-81</t>
  </si>
  <si>
    <t>JUCIMAR LEITE BARBOSA</t>
  </si>
  <si>
    <t>147.478.447-08</t>
  </si>
  <si>
    <t>JUCIMARA PEREIRA SOARES</t>
  </si>
  <si>
    <t>474.486.188-14</t>
  </si>
  <si>
    <t>JUDNEY ALVES</t>
  </si>
  <si>
    <t>387.174.748-33</t>
  </si>
  <si>
    <t>JULCILAINE ANTONIA RODRIGUES</t>
  </si>
  <si>
    <t>046.933.826-12</t>
  </si>
  <si>
    <t>JULI VIANA DA SILVA</t>
  </si>
  <si>
    <t>522.489.618-55</t>
  </si>
  <si>
    <t>JULIA ALBOREDO</t>
  </si>
  <si>
    <t>343.919.958-40</t>
  </si>
  <si>
    <t>JULIA BEATRIZ RAMOS</t>
  </si>
  <si>
    <t>500.099.938-00</t>
  </si>
  <si>
    <t>JULIA BONDESAN JUSTO</t>
  </si>
  <si>
    <t>444.723.348-79</t>
  </si>
  <si>
    <t>JULIA CARDOSO SOARES CAMARGO</t>
  </si>
  <si>
    <t>517.327.898-60</t>
  </si>
  <si>
    <t>JULIA CAROLINE ROSA</t>
  </si>
  <si>
    <t>504.919.148-30</t>
  </si>
  <si>
    <t>Júlia Corrêa de Oliveira</t>
  </si>
  <si>
    <t>018.388.820-06</t>
  </si>
  <si>
    <t>Júlia Cristina de Lima Goulart</t>
  </si>
  <si>
    <t>482.048.438-95</t>
  </si>
  <si>
    <t>JULIA CRISTINA FERREIRA DE OLIVEIRA</t>
  </si>
  <si>
    <t>423.166.028-00</t>
  </si>
  <si>
    <t>JULIA DA SILVA OLIVEIRA</t>
  </si>
  <si>
    <t>532.650.218-66</t>
  </si>
  <si>
    <t>JULIA DANTAS DE SOUZA</t>
  </si>
  <si>
    <t>459.977.818-44</t>
  </si>
  <si>
    <t>Julia de Morais Borges</t>
  </si>
  <si>
    <t>485.311.018-67</t>
  </si>
  <si>
    <t>Julia de Oliveira Santana de Souza</t>
  </si>
  <si>
    <t>544.453.118-63</t>
  </si>
  <si>
    <t>Júlia Fernanda Carvalho Daves de Moraes</t>
  </si>
  <si>
    <t>462.803.538-50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</si>
  <si>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</si>
  <si>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</si>
  <si>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</si>
  <si>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</si>
  <si>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</si>
  <si>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</si>
  <si>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GUERMANDI COSTA</t>
  </si>
  <si>
    <t>414.604.848-60</t>
  </si>
  <si>
    <t>Julia Konishi Camargo Silva</t>
  </si>
  <si>
    <t>384.335.628-94</t>
  </si>
  <si>
    <t>JULIA LIBERATO RUIZ PEREIRA</t>
  </si>
  <si>
    <t>480.675.108-14</t>
  </si>
  <si>
    <t>JULIA LUCELIA GONCALVES TORRES</t>
  </si>
  <si>
    <t>150.155.476-09</t>
  </si>
  <si>
    <t>JULIA MENEZES DA SILVA</t>
  </si>
  <si>
    <t>506.096.668-27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</si>
  <si>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</si>
  <si>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</si>
  <si>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</si>
  <si>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</si>
  <si>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</si>
  <si>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</si>
  <si>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RANGEL BRITO</t>
  </si>
  <si>
    <t>540.718.808-21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</si>
  <si>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</si>
  <si>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</si>
  <si>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</si>
  <si>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</si>
  <si>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</si>
  <si>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</si>
  <si>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VIEIRA SOUZA</t>
  </si>
  <si>
    <t>481.300.458-00</t>
  </si>
  <si>
    <t>JULIA VITORIA CHIARATTO GARCIA NERES</t>
  </si>
  <si>
    <t>468.085.308-58</t>
  </si>
  <si>
    <t>Júlia Vitória Preis da Silva</t>
  </si>
  <si>
    <t>135.400.949-54</t>
  </si>
  <si>
    <t>JULIANA ALVES DA COSTA</t>
  </si>
  <si>
    <t>289.471.888-83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</si>
  <si>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</si>
  <si>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</si>
  <si>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</si>
  <si>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</si>
  <si>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</si>
  <si>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</si>
  <si>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BRAGANÇA DOS SANTOS OLIVEIRA</t>
  </si>
  <si>
    <t>167.104.277-81</t>
  </si>
  <si>
    <t>JULIANA CABRAL DA COSTA</t>
  </si>
  <si>
    <t>122.140.808-99</t>
  </si>
  <si>
    <t>JULIANA CARDOSO VIEIRA</t>
  </si>
  <si>
    <t>469.821.968-01</t>
  </si>
  <si>
    <t>JULIANA CARVALHO VALENTE DA SILVA CALEGAO</t>
  </si>
  <si>
    <t>215.900.118-05</t>
  </si>
  <si>
    <t>Juliana Costa Lauria Santos</t>
  </si>
  <si>
    <t>982.997.942-34</t>
  </si>
  <si>
    <t>JULIANA CRISTINA GUIMARAES DE MOURA</t>
  </si>
  <si>
    <t>263.518.338-41</t>
  </si>
  <si>
    <t>JULIANA CRISTINA PEREIRA NESE</t>
  </si>
  <si>
    <t>405.574.838-83</t>
  </si>
  <si>
    <t>JULIANA CRISTINA VALIM DA SILVA</t>
  </si>
  <si>
    <t>078.083.596-45</t>
  </si>
  <si>
    <t>JULIANA DE ALMEIDA QUEIROZ</t>
  </si>
  <si>
    <t>327.985.548-96</t>
  </si>
  <si>
    <t>JULIANA DE SOUZA RODRIGUES</t>
  </si>
  <si>
    <t>463.198.698-01</t>
  </si>
  <si>
    <t>JULIANA DOS PASSOS SILVA</t>
  </si>
  <si>
    <t>401.091.088-76</t>
  </si>
  <si>
    <t>JULIANA FABIANA PEREIRA DA FONSECA</t>
  </si>
  <si>
    <t>439.749.688-90</t>
  </si>
  <si>
    <t>JULIANA FERREIRA DE LIMA E SILVA</t>
  </si>
  <si>
    <t>471.713.768-00</t>
  </si>
  <si>
    <t>JULIANA FLORENCIO BELEZA</t>
  </si>
  <si>
    <t>248.900.858-74</t>
  </si>
  <si>
    <t>JULIANA FREIRE DE ALMEIDA</t>
  </si>
  <si>
    <t>528.127.428-79</t>
  </si>
  <si>
    <t>JULIANA KARINA DOS SANTOS</t>
  </si>
  <si>
    <t>380.353.798-36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</si>
  <si>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</si>
  <si>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</si>
  <si>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</si>
  <si>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</si>
  <si>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</si>
  <si>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</si>
  <si>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</si>
  <si>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</si>
  <si>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SILVA DA PAZ</t>
  </si>
  <si>
    <t>268.780.668-40</t>
  </si>
  <si>
    <t>JULIANA SOARES PEREIRA</t>
  </si>
  <si>
    <t>376.987.908-27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</si>
  <si>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</si>
  <si>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</si>
  <si>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</si>
  <si>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</si>
  <si>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</si>
  <si>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</si>
  <si>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</si>
  <si>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</si>
  <si>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</si>
  <si>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</si>
  <si>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</si>
  <si>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</si>
  <si>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JULIANE FATIMA DA SILVA</t>
  </si>
  <si>
    <t>409.964.828-14</t>
  </si>
  <si>
    <t>JULIANE GASPAR DA SILVA</t>
  </si>
  <si>
    <t>326.008.788-58</t>
  </si>
  <si>
    <t>JULIANO CARVALHO MONTEIRO</t>
  </si>
  <si>
    <t>144.730.088-27</t>
  </si>
  <si>
    <t>JULIANO DOS SANTOS</t>
  </si>
  <si>
    <t>419.641.648-93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</si>
  <si>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</si>
  <si>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</si>
  <si>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</si>
  <si>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</si>
  <si>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</si>
  <si>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</si>
  <si>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</si>
  <si>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</si>
  <si>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</si>
  <si>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</si>
  <si>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</si>
  <si>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</si>
  <si>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Júlio Cesar de Moraes Gonçalves</t>
  </si>
  <si>
    <t>564.950.338-93</t>
  </si>
  <si>
    <t>JULIO CESAR FERNANDES</t>
  </si>
  <si>
    <t>055.194.188-02</t>
  </si>
  <si>
    <t>JULIO CESAR GONCALVES DOS SANTOS</t>
  </si>
  <si>
    <t>225.589.098-43</t>
  </si>
  <si>
    <t>JULIO CESAR OLIVEIRA DOS SANTOS</t>
  </si>
  <si>
    <t>376.100.178-92</t>
  </si>
  <si>
    <t>JULIO CESAR PEREIRA DA SILVA</t>
  </si>
  <si>
    <t>319.800.498-58</t>
  </si>
  <si>
    <t>JULIO CESAR PIRES</t>
  </si>
  <si>
    <t>037.620.618-74</t>
  </si>
  <si>
    <t>JULIO CESAR TORQUETTI SOUZA</t>
  </si>
  <si>
    <t>11.150.585/0001-42</t>
  </si>
  <si>
    <t>JULIO EDERSON COSTA DOS SANTOS</t>
  </si>
  <si>
    <t>523.836.128-98</t>
  </si>
  <si>
    <t>JULIO GUSTAVO ARAUJO</t>
  </si>
  <si>
    <t>183.795.438-07</t>
  </si>
  <si>
    <t>JULIO MARCOS CANDELARIA BERNARDES OTTOBONI ASSESORIA DE COMUNICAÇÃO</t>
  </si>
  <si>
    <t>42.226.387/0001-49</t>
  </si>
  <si>
    <t>JULIO MIGUEL PEREIRA</t>
  </si>
  <si>
    <t>807.502.498-20</t>
  </si>
  <si>
    <t>JULISE DE MOURA FERRO</t>
  </si>
  <si>
    <t>365.744.048-86</t>
  </si>
  <si>
    <t>JULLIANO DE PAIVA FREITAS</t>
  </si>
  <si>
    <t>128.478.467-35</t>
  </si>
  <si>
    <t>JULYEBER MODESTO DE ARAUJO</t>
  </si>
  <si>
    <t>265.411.048-67</t>
  </si>
  <si>
    <t>JUNALE CAROLINA FERNANDES</t>
  </si>
  <si>
    <t>279.550.978-40</t>
  </si>
  <si>
    <t>JUNGLE CONSULTORIA E SOLUCOES SOCIAIS LTDA</t>
  </si>
  <si>
    <t>08.582.479/0001-23</t>
  </si>
  <si>
    <t>JUNIO ARAÚJO</t>
  </si>
  <si>
    <t>323.352.068-93</t>
  </si>
  <si>
    <t>JUNIO CASSIO MONTEIRO</t>
  </si>
  <si>
    <t>319.275.908-92</t>
  </si>
  <si>
    <t>JUNIO CESAR SANTOS SOUSA</t>
  </si>
  <si>
    <t>351.152.348-66</t>
  </si>
  <si>
    <t>JUNIOR ALMEIDA DOS SANTOS</t>
  </si>
  <si>
    <t>494.855.248-89</t>
  </si>
  <si>
    <t>JUNIOR ROMEU DA SILVA</t>
  </si>
  <si>
    <t>357.108.768-28</t>
  </si>
  <si>
    <t>JURACI BELARMINO DUARTE</t>
  </si>
  <si>
    <t>062.219.547-62</t>
  </si>
  <si>
    <t>JURANDIR DONIZETI RAMALHO</t>
  </si>
  <si>
    <t>093.405.398-77</t>
  </si>
  <si>
    <t>JURUNA COMERCIO DE  SOLDAS LTDA</t>
  </si>
  <si>
    <t>45.150.182/0001-15</t>
  </si>
  <si>
    <t>JURUNA GASES DO VALE LTDA</t>
  </si>
  <si>
    <t>55.370.687/0001-49</t>
  </si>
  <si>
    <t>JUSCELINO MORAIS DA SILVA</t>
  </si>
  <si>
    <t>026.021.108-76</t>
  </si>
  <si>
    <t>JUSELITA DA SILVA JARDIM ALVES</t>
  </si>
  <si>
    <t>276.961.338-37</t>
  </si>
  <si>
    <t>JUSSARA FONTINELE SOMBRA</t>
  </si>
  <si>
    <t>781.912.462-87</t>
  </si>
  <si>
    <t>JUSSARA MARIA DO NASCIMENTO BEZERRA</t>
  </si>
  <si>
    <t>322.124.358-86</t>
  </si>
  <si>
    <t>JUSSILAINE ANDREIA DA SILVA RUBIO</t>
  </si>
  <si>
    <t>215.924.888-62</t>
  </si>
  <si>
    <t>JUVENAL DOS SANTOS</t>
  </si>
  <si>
    <t>581.266.788-87</t>
  </si>
  <si>
    <t>JW DA SILVA DE OLIVEIRA ME</t>
  </si>
  <si>
    <t>07.115.599/0001-58</t>
  </si>
  <si>
    <t>JWS TRANSPORTES LTDA - ME</t>
  </si>
  <si>
    <t>05.368.307/0001-63</t>
  </si>
  <si>
    <t>KAICK DIAS FERRARI</t>
  </si>
  <si>
    <t>540.491.758-00</t>
  </si>
  <si>
    <t>KAIKY RIAN DA SILVA DE CASTRO</t>
  </si>
  <si>
    <t>500.860.798-75</t>
  </si>
  <si>
    <t>KAJELE JINKINGS DE MELO</t>
  </si>
  <si>
    <t>008.694.532-70</t>
  </si>
  <si>
    <t>KALEBE NASARE DE SOUSA</t>
  </si>
  <si>
    <t>433.661.658-20</t>
  </si>
  <si>
    <t>KALEL PEREIRA ANICETO</t>
  </si>
  <si>
    <t>436.869.528-31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</si>
  <si>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</si>
  <si>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</si>
  <si>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</si>
  <si>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</si>
  <si>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</si>
  <si>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</si>
  <si>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</si>
  <si>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</si>
  <si>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Kamilla Moreira Valle</t>
  </si>
  <si>
    <t>147.029.227-00</t>
  </si>
  <si>
    <t>KAMILLY CRISTINA LADISLAU PINTO</t>
  </si>
  <si>
    <t>489.171.558-80</t>
  </si>
  <si>
    <t>KAMILLY VITORIA DIAS SANTOS</t>
  </si>
  <si>
    <t>553.435.288-48</t>
  </si>
  <si>
    <t>KAREN KIS MARQUES SA</t>
  </si>
  <si>
    <t>083.439.912-14</t>
  </si>
  <si>
    <t>KARIM AKL</t>
  </si>
  <si>
    <t>094.020.528-95</t>
  </si>
  <si>
    <t>KARIME ALIENDRES CORREA OLIVEIRA</t>
  </si>
  <si>
    <t>400.387.398-01</t>
  </si>
  <si>
    <t>KARINA APARECIDA DA SILVA</t>
  </si>
  <si>
    <t>303.179.938-01</t>
  </si>
  <si>
    <t>449.825.398-12</t>
  </si>
  <si>
    <t>KARINA BARCELOS BRANDAO BERNARDINO</t>
  </si>
  <si>
    <t>220.682.178-80</t>
  </si>
  <si>
    <t>KARINA BARRETO DA SILVA</t>
  </si>
  <si>
    <t>347.735.638-18</t>
  </si>
  <si>
    <t>KARINA BIANCA RODRIGUES BUSTAMANTE</t>
  </si>
  <si>
    <t>278.457.658-21</t>
  </si>
  <si>
    <t>KARINA CECILIA SILVA DO ESPIRITO SANTO</t>
  </si>
  <si>
    <t>388.213.798-33</t>
  </si>
  <si>
    <t>KARINA HORTENCIO DE OLIMPIO</t>
  </si>
  <si>
    <t>319.542.808-31</t>
  </si>
  <si>
    <t>KARINA LOPES DA SILVA</t>
  </si>
  <si>
    <t>353.716.908-67</t>
  </si>
  <si>
    <t>KARINA RODRIGUES ALMEDAGNA</t>
  </si>
  <si>
    <t>376.164.548-10</t>
  </si>
  <si>
    <t>Karina Satiko Tamashiro</t>
  </si>
  <si>
    <t>285.841.368-19</t>
  </si>
  <si>
    <t>KARINE AYUMI KOMABA</t>
  </si>
  <si>
    <t>429.248.038-96</t>
  </si>
  <si>
    <t>KARINE NICOLI RIBEIRO DA COSTA</t>
  </si>
  <si>
    <t>433.052.978-59</t>
  </si>
  <si>
    <t>KARINE PEREIRA FRANCO</t>
  </si>
  <si>
    <t>471.032.698-31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</si>
  <si>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</si>
  <si>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</si>
  <si>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</si>
  <si>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</si>
  <si>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</si>
  <si>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</si>
  <si>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</si>
  <si>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</si>
  <si>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KAROLAINE CRISTINA LEME DOS SANTOS</t>
  </si>
  <si>
    <t>509.363.298-82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</si>
  <si>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</si>
  <si>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</si>
  <si>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</si>
  <si>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</si>
  <si>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</si>
  <si>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</si>
  <si>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</si>
  <si>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</si>
  <si>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SILVA DE SANTANA</t>
  </si>
  <si>
    <t>431.335.588-03</t>
  </si>
  <si>
    <t>KAROLINE XAVIER ABREU DE SOUZA</t>
  </si>
  <si>
    <t>388.209.208-40</t>
  </si>
  <si>
    <t>KAROLLAYNY DE MACEDO OLIVEIRA</t>
  </si>
  <si>
    <t>038.940.463-25</t>
  </si>
  <si>
    <t>KASSIA REGINA COPPI RIBEIRO DOS SANTOS</t>
  </si>
  <si>
    <t>510.008.898-23</t>
  </si>
  <si>
    <t>KASUKO MIYATA BAZAR  ME</t>
  </si>
  <si>
    <t>00.207.098/0001-52</t>
  </si>
  <si>
    <t>KATE RAIANE DE MELO BARBOSA</t>
  </si>
  <si>
    <t>430.077.418-82</t>
  </si>
  <si>
    <t>KATHELLYN JULIA SANTANA GERMANO</t>
  </si>
  <si>
    <t>423.189.698-41</t>
  </si>
  <si>
    <t>KATHERINE SANT ANA SPARTANI TOLEDO</t>
  </si>
  <si>
    <t>394.039.868-32</t>
  </si>
  <si>
    <t>Kathlen Nani Alves Machado</t>
  </si>
  <si>
    <t>118.640.926-61</t>
  </si>
  <si>
    <t>KATHLYN DE CARVALHO</t>
  </si>
  <si>
    <t>457.629.188-23</t>
  </si>
  <si>
    <t>KATHREIN KARINE CRUZ DE ALMEIDA</t>
  </si>
  <si>
    <t>423.556.468-48</t>
  </si>
  <si>
    <t>KATIA AKEMI KAWAI</t>
  </si>
  <si>
    <t>330.801.658-37</t>
  </si>
  <si>
    <t>KATIA APARECIDA FERREIRA SILVA</t>
  </si>
  <si>
    <t>094.081.086-71</t>
  </si>
  <si>
    <t>KATIA APARECIDA OLIVEIRA</t>
  </si>
  <si>
    <t>307.720.218-21</t>
  </si>
  <si>
    <t>KATIA DE MOURA RIBEIRO</t>
  </si>
  <si>
    <t>285.255.228-05</t>
  </si>
  <si>
    <t>KATIA ELISABETH GONCALVES TEIXEIRA</t>
  </si>
  <si>
    <t>225.236.148-47</t>
  </si>
  <si>
    <t>KATIA LOPES NUNES</t>
  </si>
  <si>
    <t>440.619.598-08</t>
  </si>
  <si>
    <t>Katia Lorena Marinho Damascena</t>
  </si>
  <si>
    <t>167.643.084-97</t>
  </si>
  <si>
    <t>KATIA PATRICIA VENTUROSO</t>
  </si>
  <si>
    <t>199.188.648-93</t>
  </si>
  <si>
    <t>KATIA PEREIRA DOS REIS</t>
  </si>
  <si>
    <t>291.250.808-81</t>
  </si>
  <si>
    <t>KATIA QUIRINO</t>
  </si>
  <si>
    <t>226.010.648-03</t>
  </si>
  <si>
    <t>KATIA REGINA BEHLING</t>
  </si>
  <si>
    <t>282.526.638-85</t>
  </si>
  <si>
    <t>KATIA REGINA DE OLIVEIRA SIQUEIRA</t>
  </si>
  <si>
    <t>109.742.688-28</t>
  </si>
  <si>
    <t>KATIA ROBERTA CAMPOS</t>
  </si>
  <si>
    <t>266.078.668-24</t>
  </si>
  <si>
    <t>KATIANA CAVALCANTE SOARES DA SILVA</t>
  </si>
  <si>
    <t>726.812.092-34</t>
  </si>
  <si>
    <t>KATYA FATIMA DE REZENDE</t>
  </si>
  <si>
    <t>500.982.096-04</t>
  </si>
  <si>
    <t>KAUA DIEGO DE SOUSA MANOEL</t>
  </si>
  <si>
    <t>524.731.958-38</t>
  </si>
  <si>
    <t>KAUA GABRIEL DOS SANTOS MORAES</t>
  </si>
  <si>
    <t>423.935.968-60</t>
  </si>
  <si>
    <t>Kauã Marques Silva</t>
  </si>
  <si>
    <t>064.830.393-44</t>
  </si>
  <si>
    <t>Kauã Nascimento de Almeida</t>
  </si>
  <si>
    <t>206.568.137-33</t>
  </si>
  <si>
    <t>KAUA THOMAZ DA SILVA NUNES</t>
  </si>
  <si>
    <t>537.672.128-03</t>
  </si>
  <si>
    <t>Kauan da Silva Damasceno</t>
  </si>
  <si>
    <t>437.080.118-48</t>
  </si>
  <si>
    <t>Kauan Gustavo Sanches Barreto</t>
  </si>
  <si>
    <t>495.108.338-86</t>
  </si>
  <si>
    <t>KAUAN HENRIQUE LOPES DA SILVA</t>
  </si>
  <si>
    <t>459.127.618-00</t>
  </si>
  <si>
    <t>KAUAN RODRIGUES TEODORO ALVES</t>
  </si>
  <si>
    <t>450.943.298-47</t>
  </si>
  <si>
    <t>KAUANE DOS SANTOS NUNES</t>
  </si>
  <si>
    <t>500.282.248-76</t>
  </si>
  <si>
    <t>KAUANE FLAVIA DE OLIVEIRA REIS</t>
  </si>
  <si>
    <t>241.132.948-28</t>
  </si>
  <si>
    <t>KAUANY KELLY DOS SANTOS</t>
  </si>
  <si>
    <t>088.796.026-08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</si>
  <si>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</si>
  <si>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</si>
  <si>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</si>
  <si>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</si>
  <si>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</si>
  <si>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</si>
  <si>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Kauê Vieira da Silva</t>
  </si>
  <si>
    <t>441.264.538-06</t>
  </si>
  <si>
    <t>Kaylane Stephanie Moraes dos Santos</t>
  </si>
  <si>
    <t>497.788.168-08</t>
  </si>
  <si>
    <t>Kayque Otávio Idesti Linos</t>
  </si>
  <si>
    <t>580.419.568-90</t>
  </si>
  <si>
    <t>KB COMEX SERVIÇOS INTERNACIONAIS LTDA</t>
  </si>
  <si>
    <t>57.241.070/0001-59</t>
  </si>
  <si>
    <t>KEENAN DAS NEVES VASCONCELLOS BRA</t>
  </si>
  <si>
    <t>230.628.268-43</t>
  </si>
  <si>
    <t>KEEPCARE EQUIPAMENTOS E PRODUTOS MEDICOS LTDA</t>
  </si>
  <si>
    <t>31.694.545/0001-79</t>
  </si>
  <si>
    <t>Keffel Antonio Fernandes Pereira</t>
  </si>
  <si>
    <t>627.439.617-91</t>
  </si>
  <si>
    <t>KEILA ALVES DA SILVA</t>
  </si>
  <si>
    <t>455.515.278-67</t>
  </si>
  <si>
    <t>KEILA AMORIM CALIXTO</t>
  </si>
  <si>
    <t>439.320.478-69</t>
  </si>
  <si>
    <t>KEILA ROSA DE FARIA</t>
  </si>
  <si>
    <t>836.644.087-72</t>
  </si>
  <si>
    <t>KELEN CRISTIAN AGOSTINHA OLIVEIRA TOMAZ</t>
  </si>
  <si>
    <t>087.822.436-03</t>
  </si>
  <si>
    <t>KELI ROSEMERE PAULO DIAS</t>
  </si>
  <si>
    <t>218.715.308-81</t>
  </si>
  <si>
    <t>KELLI CRISTINA GUEDES MARTINS</t>
  </si>
  <si>
    <t>199.114.528-40</t>
  </si>
  <si>
    <t>KELLY COSTA CUTRIM</t>
  </si>
  <si>
    <t>373.825.658-07</t>
  </si>
  <si>
    <t>KELLY CRISTINA CARDOSO VICENTE</t>
  </si>
  <si>
    <t>451.063.318-11</t>
  </si>
  <si>
    <t>KELLY CRISTINA MEIRELES LEITAO</t>
  </si>
  <si>
    <t>365.245.388-38</t>
  </si>
  <si>
    <t>KELLY MARY JARDIM</t>
  </si>
  <si>
    <t>401.593.698-19</t>
  </si>
  <si>
    <t>KELLY PRISCILA SANTOS</t>
  </si>
  <si>
    <t>413.573.358-14</t>
  </si>
  <si>
    <t>KELVA GEANY DO NASCIMENTO SILVA</t>
  </si>
  <si>
    <t>140.347.888-01</t>
  </si>
  <si>
    <t>KELVIN GYULO BAKOS</t>
  </si>
  <si>
    <t>225.386.868-06</t>
  </si>
  <si>
    <t>KELVY ALECRIM DA TRINDADE</t>
  </si>
  <si>
    <t>560.782.458-64</t>
  </si>
  <si>
    <t>KENAN MEDICAMENTOS LTDA</t>
  </si>
  <si>
    <t>21.257.684/0001-81</t>
  </si>
  <si>
    <t>Keny Rogers Bernardo</t>
  </si>
  <si>
    <t>341.004.618-60</t>
  </si>
  <si>
    <t>KERP SOLUCOES EM TECNOLOGIA LTDA</t>
  </si>
  <si>
    <t>26.727.779/0001-35</t>
  </si>
  <si>
    <t>Ketelyn Caroline Alves</t>
  </si>
  <si>
    <t>101.506.039-08</t>
  </si>
  <si>
    <t>Kevelin de Sousa Lopes</t>
  </si>
  <si>
    <t>456.871.768-02</t>
  </si>
  <si>
    <t>KEVELYN LIDIAN GOMES DOS SANTOS</t>
  </si>
  <si>
    <t>127.668.614-59</t>
  </si>
  <si>
    <t>KEVEN WESLLEY MATOS DE AGUIAR</t>
  </si>
  <si>
    <t>028.358.772-58</t>
  </si>
  <si>
    <t>KEVIN HEURE DE OLIVEIRA</t>
  </si>
  <si>
    <t>597.627.318-16</t>
  </si>
  <si>
    <t>KEVIN STETNER DE FREITAS</t>
  </si>
  <si>
    <t>490.032.858-88</t>
  </si>
  <si>
    <t>KEVYN CRISTYAN RODRIGUES ANDRADE</t>
  </si>
  <si>
    <t>062.545.245-38</t>
  </si>
  <si>
    <t>KEYLA DE CASSIA SILVA GUEDES</t>
  </si>
  <si>
    <t>376.621.498-54</t>
  </si>
  <si>
    <t>Keyleytonn Still Ribeiro</t>
  </si>
  <si>
    <t>213.335.438-75</t>
  </si>
  <si>
    <t>KF2 ENGENHARIA E CONSULTORIA EIRELI</t>
  </si>
  <si>
    <t>07.169.280/0001-05</t>
  </si>
  <si>
    <t>Khaue Flores Barranco</t>
  </si>
  <si>
    <t>131.257.399-69</t>
  </si>
  <si>
    <t>KIARA MEDINA MARTINS</t>
  </si>
  <si>
    <t>008.849.668-60</t>
  </si>
  <si>
    <t>KLEBER FRANCISCO ROMEIRO</t>
  </si>
  <si>
    <t>602.376.438-04</t>
  </si>
  <si>
    <t>KLEBER REGIS RAMOS MARTINS</t>
  </si>
  <si>
    <t>256.089.608-74</t>
  </si>
  <si>
    <t>KLEBER RIBEIRO DA LUZ</t>
  </si>
  <si>
    <t>314.572.558-04</t>
  </si>
  <si>
    <t>KLEBER ROBERTO DE CARVALHO</t>
  </si>
  <si>
    <t>326.100.268-97</t>
  </si>
  <si>
    <t>KLOOS DISTRIBUIDORA DE MATERIAIS LTDA</t>
  </si>
  <si>
    <t>37.286.991/0001-20</t>
  </si>
  <si>
    <t>KRISTAL KATHERINE DE PAULA ANDRADE</t>
  </si>
  <si>
    <t>019.679.601-60</t>
  </si>
  <si>
    <t>KTREE PENSO TECNOLOGIA DA INFORMACAO LTDA</t>
  </si>
  <si>
    <t>11.319.574/0001-43</t>
  </si>
  <si>
    <t>L A DALLA PORTA JUNIOR LTDA</t>
  </si>
  <si>
    <t>11.145.401/0001-56</t>
  </si>
  <si>
    <t>L A DOS SANTOS DISTRIBUIDORA DE MEDICAMENTOS</t>
  </si>
  <si>
    <t>07.654.936/0001-85</t>
  </si>
  <si>
    <t>L COSME ARAUJO CHAVEIRO</t>
  </si>
  <si>
    <t>19.511.750/0001-56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</si>
  <si>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</si>
  <si>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</si>
  <si>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</si>
  <si>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</si>
  <si>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</si>
  <si>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</si>
  <si>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</si>
  <si>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</si>
  <si>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LABORATORIO DE ANALISES CLINICAS LABVIVALLE LTDA</t>
  </si>
  <si>
    <t>05.627.915/0001-45</t>
  </si>
  <si>
    <t>LABORATORIO DE ANALISES CLINICAS OSWALDO CRUZ LTDA</t>
  </si>
  <si>
    <t>46.629.986/0001-64</t>
  </si>
  <si>
    <t>LABORATORIO TEUTO BRASILEIRO S/A</t>
  </si>
  <si>
    <t>17.159.229/0001-76</t>
  </si>
  <si>
    <t>LABORATORIOS B BRAUN SA</t>
  </si>
  <si>
    <t>31.673.254/0010-95</t>
  </si>
  <si>
    <t>LABORE - COOPERATIVA DE TRABALHO E PRODUCAO EM MATERIAIS RECICLAVEIS E ACOES SUSTENTAVEIS.</t>
  </si>
  <si>
    <t>18.906.721/0001-20</t>
  </si>
  <si>
    <t>LABSYNTH PRODUTOS PARA LABORATORIOS LTDA</t>
  </si>
  <si>
    <t>51.462.471/0001-52</t>
  </si>
  <si>
    <t>LAERCIO CUNHA</t>
  </si>
  <si>
    <t>074.498.018-68</t>
  </si>
  <si>
    <t>Laercio Dantas da Silva</t>
  </si>
  <si>
    <t>089.987.298-06</t>
  </si>
  <si>
    <t>LAERCIO DONIZETTI FERREIRA</t>
  </si>
  <si>
    <t>081.257.468-03</t>
  </si>
  <si>
    <t>LAERCIO JESUS CHIBA</t>
  </si>
  <si>
    <t>401.509.608-83</t>
  </si>
  <si>
    <t>LAERTE COITINO</t>
  </si>
  <si>
    <t>340.769.018-51</t>
  </si>
  <si>
    <t>LAIANNE APARECIDA BARBOSA DE SOUZA SANTOS</t>
  </si>
  <si>
    <t>365.611.028-00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</si>
  <si>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</si>
  <si>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</si>
  <si>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</si>
  <si>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</si>
  <si>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</si>
  <si>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</si>
  <si>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</si>
  <si>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</si>
  <si>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</si>
  <si>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</si>
  <si>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CRISTINE CONDUTTA</t>
  </si>
  <si>
    <t>412.303.948-00</t>
  </si>
  <si>
    <t>LAIS DE BRITO GONCALVES DA SILVA</t>
  </si>
  <si>
    <t>368.827.118-10</t>
  </si>
  <si>
    <t>LAIS DE CASTRO CASTILLA</t>
  </si>
  <si>
    <t>369.548.457-87</t>
  </si>
  <si>
    <t>LAIS DE SOUZA ALMEIDA</t>
  </si>
  <si>
    <t>448.837.178-79</t>
  </si>
  <si>
    <t>LAIS GABRIELLE XAVIER GUEDES</t>
  </si>
  <si>
    <t>471.158.148-05</t>
  </si>
  <si>
    <t>LAIS HELENA DOS SANTOS</t>
  </si>
  <si>
    <t>367.894.398-54</t>
  </si>
  <si>
    <t>LAIS MILITAO GOMES</t>
  </si>
  <si>
    <t>155.335.796-56</t>
  </si>
  <si>
    <t>LAIS NUNES DE OLIVEIRA</t>
  </si>
  <si>
    <t>041.058.381-21</t>
  </si>
  <si>
    <t>Laís Santos da Silva</t>
  </si>
  <si>
    <t>484.382.728-27</t>
  </si>
  <si>
    <t>LAISA COSTA TARGINI</t>
  </si>
  <si>
    <t>333.494.588-07</t>
  </si>
  <si>
    <t>LAISA SILVA DE SOUSA</t>
  </si>
  <si>
    <t>496.419.368-32</t>
  </si>
  <si>
    <t>LAISA VILLACA DE OLIVEIRA</t>
  </si>
  <si>
    <t>397.639.538-20</t>
  </si>
  <si>
    <t>LAJES E BLOCOS MODELO LTDA</t>
  </si>
  <si>
    <t>05.862.382/0002-67</t>
  </si>
  <si>
    <t>LAND VALE CONSTRUCOES LTDA - EPP</t>
  </si>
  <si>
    <t>13.830.541/0001-99</t>
  </si>
  <si>
    <t>LANI BIANI RAMOS ARAUJO</t>
  </si>
  <si>
    <t>216.251.068-58</t>
  </si>
  <si>
    <t>Lanna dos Reis Cardoso</t>
  </si>
  <si>
    <t>540.266.538-97</t>
  </si>
  <si>
    <t>Lara de Souza Xavier de Paula</t>
  </si>
  <si>
    <t>181.106.767-07</t>
  </si>
  <si>
    <t>LARA FERNANDES SILVESTRE DO PRADO</t>
  </si>
  <si>
    <t>525.570.448-22</t>
  </si>
  <si>
    <t>LARA RODRIGUES SILVA</t>
  </si>
  <si>
    <t>143.666.256-79</t>
  </si>
  <si>
    <t>LARISSA ALESSANDRA RIBEIRO MARTINS</t>
  </si>
  <si>
    <t>128.970.176-86</t>
  </si>
  <si>
    <t>Larissa Aparecida Ribeiro Courbassier</t>
  </si>
  <si>
    <t>341.633.708-54</t>
  </si>
  <si>
    <t>LARISSA BANDEIRA SANTOLIN</t>
  </si>
  <si>
    <t>493.239.158-74</t>
  </si>
  <si>
    <t>LARISSA CAROLINE SOARES DA SILVA</t>
  </si>
  <si>
    <t>496.612.288-09</t>
  </si>
  <si>
    <t>Larissa Castelari de Lima</t>
  </si>
  <si>
    <t>415.657.958-14</t>
  </si>
  <si>
    <t>LARISSA CRISTINA DA SILVA ALVES</t>
  </si>
  <si>
    <t>449.645.338-08</t>
  </si>
  <si>
    <t>LARISSA DA SILVA TEMOTEO</t>
  </si>
  <si>
    <t>413.593.428-50</t>
  </si>
  <si>
    <t>LARISSA DE BRITO BARBOSA</t>
  </si>
  <si>
    <t>388.026.888-69</t>
  </si>
  <si>
    <t>LARISSA DE FRANÇA BUENO</t>
  </si>
  <si>
    <t>230.436.338-57</t>
  </si>
  <si>
    <t>LARISSA DE OLIVEIRA CAMARGO</t>
  </si>
  <si>
    <t>900.889.480-72</t>
  </si>
  <si>
    <t>Larissa de Oliveira Rodrigues</t>
  </si>
  <si>
    <t>567.553.968-93</t>
  </si>
  <si>
    <t>LARISSA EDUARDA DE CASTRO</t>
  </si>
  <si>
    <t>474.244.488-46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</si>
  <si>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</si>
  <si>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</si>
  <si>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</si>
  <si>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</si>
  <si>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</si>
  <si>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</si>
  <si>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LAURIANE DA SILVA NEVES</t>
  </si>
  <si>
    <t>364.515.778-63</t>
  </si>
  <si>
    <t>LARISSA LIMA DE AZEVEDO</t>
  </si>
  <si>
    <t>483.621.368-12</t>
  </si>
  <si>
    <t>LARISSA MACHADO SENE</t>
  </si>
  <si>
    <t>449.845.558-40</t>
  </si>
  <si>
    <t>LARISSA MAIARA NASCIMENTO NUNES</t>
  </si>
  <si>
    <t>444.655.228-78</t>
  </si>
  <si>
    <t>LARISSA MARIANE RIZZI</t>
  </si>
  <si>
    <t>416.660.148-26</t>
  </si>
  <si>
    <t>LARISSA MIONI VIEIRA ALVES</t>
  </si>
  <si>
    <t>439.105.428-08</t>
  </si>
  <si>
    <t>LARISSA MOUSINHO DA SILVA</t>
  </si>
  <si>
    <t>430.874.058-41</t>
  </si>
  <si>
    <t>LARISSA OLIVEIRA FERNANDES BRITO</t>
  </si>
  <si>
    <t>083.312.454-40</t>
  </si>
  <si>
    <t>LARISSA PAULA APARECIDA DA SILVA</t>
  </si>
  <si>
    <t>472.425.548-02</t>
  </si>
  <si>
    <t>LARISSA PAULA SANTANA</t>
  </si>
  <si>
    <t>449.638.488-48</t>
  </si>
  <si>
    <t>LARISSA REGINA BONIFACIO</t>
  </si>
  <si>
    <t>479.300.588-83</t>
  </si>
  <si>
    <t>LARISSA SANTOS</t>
  </si>
  <si>
    <t>426.266.548-84</t>
  </si>
  <si>
    <t>Larissa Santos Lira</t>
  </si>
  <si>
    <t>447.762.998-28</t>
  </si>
  <si>
    <t>LARISSA SANTOS ROSAS</t>
  </si>
  <si>
    <t>496.295.678-73</t>
  </si>
  <si>
    <t>LARISSA SIQUEIRA NADIR</t>
  </si>
  <si>
    <t>239.803.718-59</t>
  </si>
  <si>
    <t>LARISSA SOARES DE BARROS</t>
  </si>
  <si>
    <t>482.489.138-80</t>
  </si>
  <si>
    <t>Larissa Vitória Carneiro Rodrigues de Sousa</t>
  </si>
  <si>
    <t>515.319.028-55</t>
  </si>
  <si>
    <t>LARISSA VITORIA VIEIRA</t>
  </si>
  <si>
    <t>467.188.408-90</t>
  </si>
  <si>
    <t>LARYSON ALVES DE CAMPOS</t>
  </si>
  <si>
    <t>364.513.668-11</t>
  </si>
  <si>
    <t>Laryssa Julião Aozani</t>
  </si>
  <si>
    <t>243.194.728-96</t>
  </si>
  <si>
    <t>LAUANA ARAUJO BARROZO GOMES</t>
  </si>
  <si>
    <t>055.130.857-55</t>
  </si>
  <si>
    <t>LAUDELINA CARVALHO</t>
  </si>
  <si>
    <t>071.059.128-47</t>
  </si>
  <si>
    <t>LAUDENYR ALTIERES MACHADO</t>
  </si>
  <si>
    <t>056.998.486-65</t>
  </si>
  <si>
    <t>LAUDICEIA FERREIRA DA SILVA</t>
  </si>
  <si>
    <t>046.268.584-57</t>
  </si>
  <si>
    <t>LAURA ARRUDA DA CUNHA</t>
  </si>
  <si>
    <t>424.066.298-21</t>
  </si>
  <si>
    <t>LAURA CARVALHO LOPES OLIVEIRA</t>
  </si>
  <si>
    <t>602.211.498-56</t>
  </si>
  <si>
    <t>LAURA DA SILVA BARROS</t>
  </si>
  <si>
    <t>559.834.688-55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</si>
  <si>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</si>
  <si>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</si>
  <si>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</si>
  <si>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</si>
  <si>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</si>
  <si>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</si>
  <si>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Helena Ribeiro</t>
  </si>
  <si>
    <t>051.677.868-43</t>
  </si>
  <si>
    <t>LAURA JAQUELINE DE PAULA</t>
  </si>
  <si>
    <t>219.596.748-03</t>
  </si>
  <si>
    <t>Laura Monteiro Gomes</t>
  </si>
  <si>
    <t>433.662.228-08</t>
  </si>
  <si>
    <t>Laura Pereira Cantinho de Oliveira</t>
  </si>
  <si>
    <t>471.071.528-90</t>
  </si>
  <si>
    <t>LAURA RAMOS DE FARIA</t>
  </si>
  <si>
    <t>317.740.858-01</t>
  </si>
  <si>
    <t>LAURA SILVA FAGUNDES</t>
  </si>
  <si>
    <t>482.487.018-67</t>
  </si>
  <si>
    <t>LAURA TAOGIRO FUJINAMI</t>
  </si>
  <si>
    <t>442.572.988-98</t>
  </si>
  <si>
    <t>LAURA VALERIA ANTONIO DA SILVA</t>
  </si>
  <si>
    <t>477.907.658-76</t>
  </si>
  <si>
    <t>LAURA VICTORIA DOS SANTOS AZEVEDO</t>
  </si>
  <si>
    <t>433.268.578-45</t>
  </si>
  <si>
    <t>LAURA VIDAL DOS SANTOS</t>
  </si>
  <si>
    <t>556.824.148-10</t>
  </si>
  <si>
    <t>LAURA VITORIA VIEIRA</t>
  </si>
  <si>
    <t>486.154.898-58</t>
  </si>
  <si>
    <t>Laurah Isaias dos Santos</t>
  </si>
  <si>
    <t>486.159.028-01</t>
  </si>
  <si>
    <t>LAURENY NERY NUNES - EPP</t>
  </si>
  <si>
    <t>01.164.248/0001-50</t>
  </si>
  <si>
    <t>LAURINDO DONIZETI CHIERECCI</t>
  </si>
  <si>
    <t>896.150.778-87</t>
  </si>
  <si>
    <t>LAURO RAMOS</t>
  </si>
  <si>
    <t>066.700.748-24</t>
  </si>
  <si>
    <t>LAVINIA APARECIDA DA CUNHA ROZA</t>
  </si>
  <si>
    <t>466.886.198-73</t>
  </si>
  <si>
    <t>Lavinia Gouvêa Assolini</t>
  </si>
  <si>
    <t>487.804.458-61</t>
  </si>
  <si>
    <t>Lavinia Souza da Costa</t>
  </si>
  <si>
    <t>180.999.577-92</t>
  </si>
  <si>
    <t>LAYLA ABI-SAMARA MENDONÇA MARONI</t>
  </si>
  <si>
    <t>039.126.156-83</t>
  </si>
  <si>
    <t>LAYLA RAFAELLE GOMES RODRIGUES</t>
  </si>
  <si>
    <t>514.722.148-46</t>
  </si>
  <si>
    <t>LAYS ELISA NOVAIS LEITE</t>
  </si>
  <si>
    <t>509.885.338-98</t>
  </si>
  <si>
    <t>LAYSLA BRUNA TOLEDO DA SILVA</t>
  </si>
  <si>
    <t>445.147.338-14</t>
  </si>
  <si>
    <t>LAYZ ALBERTO SOUSA DE PAULA SANTOS</t>
  </si>
  <si>
    <t>231.951.167-90</t>
  </si>
  <si>
    <t>LAZARO SOARES</t>
  </si>
  <si>
    <t>057.388.048-48</t>
  </si>
  <si>
    <t>LCA IND. E CMERCIO DE CORDAS E REDES ESPORTIVAS LTDA</t>
  </si>
  <si>
    <t>46.615.867/0001-52</t>
  </si>
  <si>
    <t>LD BRASIL LTDA.</t>
  </si>
  <si>
    <t>34.122.728/0001-08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</si>
  <si>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</si>
  <si>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</si>
  <si>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</si>
  <si>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</si>
  <si>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</si>
  <si>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</si>
  <si>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LEMES MAIA</t>
  </si>
  <si>
    <t>332.503.068-86</t>
  </si>
  <si>
    <t>LEANDRO ALVES PEREIRA</t>
  </si>
  <si>
    <t>026.111.428-07</t>
  </si>
  <si>
    <t>LEANDRO AUGUSTO F FERREIRA</t>
  </si>
  <si>
    <t>336.101.718-12</t>
  </si>
  <si>
    <t>LEANDRO AUGUSTO GARCIA</t>
  </si>
  <si>
    <t>285.522.248-60</t>
  </si>
  <si>
    <t>LEANDRO BEGHINI</t>
  </si>
  <si>
    <t>332.343.678-41</t>
  </si>
  <si>
    <t>LEANDRO BORGES SANTOS MOREIRA</t>
  </si>
  <si>
    <t>377.284.608-46</t>
  </si>
  <si>
    <t>LEANDRO CANDIDO BATISTA</t>
  </si>
  <si>
    <t>213.024.748-20</t>
  </si>
  <si>
    <t>LEANDRO CLARET LEAL</t>
  </si>
  <si>
    <t>296.374.548-61</t>
  </si>
  <si>
    <t>LEANDRO CLAYTON PEREIRA</t>
  </si>
  <si>
    <t>286.321.498-57</t>
  </si>
  <si>
    <t>LEANDRO DE ASSIS SILVESTRE</t>
  </si>
  <si>
    <t>416.334.268-07</t>
  </si>
  <si>
    <t>LEANDRO DE OLIVEIRA LIMA</t>
  </si>
  <si>
    <t>377.410.408-55</t>
  </si>
  <si>
    <t>Leandro Destro de Almeida Piconi</t>
  </si>
  <si>
    <t>408.870.538-66</t>
  </si>
  <si>
    <t>Leandro Dias de Souza</t>
  </si>
  <si>
    <t>512.347.708-06</t>
  </si>
  <si>
    <t>LEANDRO DO PRADO MORAES</t>
  </si>
  <si>
    <t>296.602.758-46</t>
  </si>
  <si>
    <t>Leandro Gabriel Silva Barbosa</t>
  </si>
  <si>
    <t>143.445.544-00</t>
  </si>
  <si>
    <t>LEANDRO HENRIQUE DA SILVA</t>
  </si>
  <si>
    <t>317.711.708-08</t>
  </si>
  <si>
    <t>LEANDRO PEREIRA DE ALCANTARA</t>
  </si>
  <si>
    <t>281.669.598-01</t>
  </si>
  <si>
    <t>LEANDRO RODRIGUES DE OLIVEIRA</t>
  </si>
  <si>
    <t>213.455.398-78</t>
  </si>
  <si>
    <t>LEANDRO SOARES JUNIOR</t>
  </si>
  <si>
    <t>282.749.108-77</t>
  </si>
  <si>
    <t>LED ELETRICA BRASIL LTDA</t>
  </si>
  <si>
    <t>24.407.767/0001-06</t>
  </si>
  <si>
    <t>LEDA BRUNA FREIRE GOMES</t>
  </si>
  <si>
    <t>439.214.828-95</t>
  </si>
  <si>
    <t>LEDA CRISTINA PAULA DOURADO DE MIRANDA</t>
  </si>
  <si>
    <t>595.999.442-91</t>
  </si>
  <si>
    <t>LEDA DOS SANTOS</t>
  </si>
  <si>
    <t>388.268.698-71</t>
  </si>
  <si>
    <t>LEGADO USINAGEM LTDA</t>
  </si>
  <si>
    <t>05.947.370/0001-54</t>
  </si>
  <si>
    <t>LEIDEANE C. MOTA COMERCIO E SERVICO LTDA</t>
  </si>
  <si>
    <t>44.181.830/0001-38</t>
  </si>
  <si>
    <t>LEIDIANE FELIX PEREIRA</t>
  </si>
  <si>
    <t>050.335.493-75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</si>
  <si>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</si>
  <si>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</si>
  <si>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</si>
  <si>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</si>
  <si>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</si>
  <si>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</si>
  <si>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APARECIDA DOS SANTOS</t>
  </si>
  <si>
    <t>150.100.148-58</t>
  </si>
  <si>
    <t>LEILA CRISTINA DE SOUZA GRADWOHL</t>
  </si>
  <si>
    <t>164.766.078-55</t>
  </si>
  <si>
    <t>LEILA DA SILVA</t>
  </si>
  <si>
    <t>114.147.458-18</t>
  </si>
  <si>
    <t>LEILA MARIA FELIX PEREIRA</t>
  </si>
  <si>
    <t>031.855.763-06</t>
  </si>
  <si>
    <t>LEILA SANTAELA</t>
  </si>
  <si>
    <t>098.446.988-55</t>
  </si>
  <si>
    <t>LEILIANE CANDIDO DA CRUZ SILVA</t>
  </si>
  <si>
    <t>337.015.948-13</t>
  </si>
  <si>
    <t>LEISTUNG EQUIPAMENTOS LTDA</t>
  </si>
  <si>
    <t>04.187.384/0001-54</t>
  </si>
  <si>
    <t>LEITE &amp; SOUZA CLINICA MEDICA LTDA</t>
  </si>
  <si>
    <t>05.884.398/0001-90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</si>
  <si>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</si>
  <si>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</si>
  <si>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</si>
  <si>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</si>
  <si>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</si>
  <si>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</si>
  <si>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LENIO SOARES GALVÃO</t>
  </si>
  <si>
    <t>316.953.104-20</t>
  </si>
  <si>
    <t>LENITA DA SILVA MELO SOARES</t>
  </si>
  <si>
    <t>354.198.418-00</t>
  </si>
  <si>
    <t>LEO MADEIRAS, MAQUINAS E FERRAGENS S.A.</t>
  </si>
  <si>
    <t>61.069.373/0061-44</t>
  </si>
  <si>
    <t>LEO PÓRPORA</t>
  </si>
  <si>
    <t>250.549.798-24</t>
  </si>
  <si>
    <t>LEONA RIBEIRO DE LIMA VICENTE</t>
  </si>
  <si>
    <t>572.027.518-52</t>
  </si>
  <si>
    <t>LEONARDO ALKMIN DA ROSA</t>
  </si>
  <si>
    <t>232.793.408-70</t>
  </si>
  <si>
    <t>LEONARDO ALMEIDA MARTINS</t>
  </si>
  <si>
    <t>410.674.488-02</t>
  </si>
  <si>
    <t>LEONARDO ANDRE AUGUSTO</t>
  </si>
  <si>
    <t>367.271.078-40</t>
  </si>
  <si>
    <t>Leonardo Augusto Neves Gonçalves</t>
  </si>
  <si>
    <t>515.584.968-31</t>
  </si>
  <si>
    <t>LEONARDO BERTOLDO ANTONIO</t>
  </si>
  <si>
    <t>434.176.288-57</t>
  </si>
  <si>
    <t>LEONARDO DE ALMEIDA CORTEZ</t>
  </si>
  <si>
    <t>253.589.358-43</t>
  </si>
  <si>
    <t>Leonardo de Campos Fonseca</t>
  </si>
  <si>
    <t>422.431.178-00</t>
  </si>
  <si>
    <t>LEONARDO DE CARVALHO XIMENES</t>
  </si>
  <si>
    <t>059.382.163-70</t>
  </si>
  <si>
    <t>LEONARDO DE MORAES CAMILO</t>
  </si>
  <si>
    <t>053.793.107-45</t>
  </si>
  <si>
    <t>LEONARDO DE OLIVEIRA SILVA</t>
  </si>
  <si>
    <t>116.720.907-92</t>
  </si>
  <si>
    <t>LEONARDO DE SOUZA DA SILVA</t>
  </si>
  <si>
    <t>044.081.070-18</t>
  </si>
  <si>
    <t>LEONARDO DO NASCIMENTO BARBOSA</t>
  </si>
  <si>
    <t>539.674.808-79</t>
  </si>
  <si>
    <t>LEONARDO FELIPE GUEDES FERNANDES</t>
  </si>
  <si>
    <t>500.977.938-25</t>
  </si>
  <si>
    <t>LEONARDO FILIPE DE SOUZA CASSIANO</t>
  </si>
  <si>
    <t>370.146.798-64</t>
  </si>
  <si>
    <t>LEONARDO GABRIEL CUNHA SILVA</t>
  </si>
  <si>
    <t>442.432.938-05</t>
  </si>
  <si>
    <t>LEONARDO HENRIQUE ALEIKSCIVIEZ MICHELOTTI  BARBOZA</t>
  </si>
  <si>
    <t>268.471.858-05</t>
  </si>
  <si>
    <t>LEONARDO HENRIQUE CRAVERO</t>
  </si>
  <si>
    <t>472.704.988-06</t>
  </si>
  <si>
    <t>LEONARDO LEMES DE OLIVEIRA ABREU</t>
  </si>
  <si>
    <t>444.081.088-80</t>
  </si>
  <si>
    <t>LEONARDO LUCCHESI SERRANO</t>
  </si>
  <si>
    <t>473.775.408-00</t>
  </si>
  <si>
    <t>LEONARDO MAGNO LAMIN</t>
  </si>
  <si>
    <t>369.098.888-80</t>
  </si>
  <si>
    <t>LEONARDO MAIOTTI FERREIRA DE LIMA</t>
  </si>
  <si>
    <t>353.111.648-75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</si>
  <si>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</si>
  <si>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</si>
  <si>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</si>
  <si>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</si>
  <si>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</si>
  <si>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</si>
  <si>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</si>
  <si>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</si>
  <si>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LEONARDO VINICIUS DE SOUZA FERRAZ</t>
  </si>
  <si>
    <t>472.519.548-00</t>
  </si>
  <si>
    <t>LEONE DE OLIVEIRA PANI</t>
  </si>
  <si>
    <t>094.819.857-50</t>
  </si>
  <si>
    <t>LEONEL EDUARDO PASCHOAL DE SOUSA</t>
  </si>
  <si>
    <t>416.101.958-09</t>
  </si>
  <si>
    <t>LEONI PINTO DE SIQUEIRA</t>
  </si>
  <si>
    <t>976.803.548-04</t>
  </si>
  <si>
    <t>LEONILDO DE OLIVEIRA</t>
  </si>
  <si>
    <t>146.528.899-68</t>
  </si>
  <si>
    <t>LEONILDO DONIZETTI DA ROSA</t>
  </si>
  <si>
    <t>365.549.458-06</t>
  </si>
  <si>
    <t>LEONILDO ERMELINDO SOARES</t>
  </si>
  <si>
    <t>076.936.816-63</t>
  </si>
  <si>
    <t>LEONOR AMELIA FREITAS RODRIGUES</t>
  </si>
  <si>
    <t>750.496.438-72</t>
  </si>
  <si>
    <t>LESLIE SILVA DE LIMA</t>
  </si>
  <si>
    <t>442.883.648-17</t>
  </si>
  <si>
    <t>LESSANDRO TARCISO FARIA</t>
  </si>
  <si>
    <t>251.830.428-29</t>
  </si>
  <si>
    <t>LESTER DE ABREU FARIA</t>
  </si>
  <si>
    <t>003.883.847-86</t>
  </si>
  <si>
    <t>LETICIA ALVES DOS SANTOS</t>
  </si>
  <si>
    <t>563.490.658-08</t>
  </si>
  <si>
    <t>LETICIA AMBE SOBRAL PEGO</t>
  </si>
  <si>
    <t>203.157.877-40</t>
  </si>
  <si>
    <t>LETICIA APARECIDA DE OLIVEIRA SILVA</t>
  </si>
  <si>
    <t>500.825.188-07</t>
  </si>
  <si>
    <t>LETICIA APARECIDA FERREIRA RIZZO</t>
  </si>
  <si>
    <t>390.440.398-22</t>
  </si>
  <si>
    <t>LETICIA ARAUJO</t>
  </si>
  <si>
    <t>024.394.235-48</t>
  </si>
  <si>
    <t>LETICIA AZARIAS LUCIANO PEREIRA</t>
  </si>
  <si>
    <t>103.387.916-98</t>
  </si>
  <si>
    <t>LETICIA COBEIO MARQUES</t>
  </si>
  <si>
    <t>239.479.108-00</t>
  </si>
  <si>
    <t>LETICIA COMODARO NUNES SANT ANA</t>
  </si>
  <si>
    <t>500.116.728-03</t>
  </si>
  <si>
    <t>LETICIA CORDEIRO DE FARIA</t>
  </si>
  <si>
    <t>394.902.128-06</t>
  </si>
  <si>
    <t>LETICIA CRISTINA MENDES BANHATO</t>
  </si>
  <si>
    <t>390.540.418-46</t>
  </si>
  <si>
    <t>LETICIA DE JESUS OLIVEIRA</t>
  </si>
  <si>
    <t>564.437.798-94</t>
  </si>
  <si>
    <t>LETICIA DE MORAES GOMES BRANDAO</t>
  </si>
  <si>
    <t>396.728.478-66</t>
  </si>
  <si>
    <t>Letícia de Nardin Bittar</t>
  </si>
  <si>
    <t>094.163.569-48</t>
  </si>
  <si>
    <t>LETICIA DE OLIVEIRA DIAS</t>
  </si>
  <si>
    <t>389.360.218-69</t>
  </si>
  <si>
    <t>LETICIA ENAIRA MOREIRA MOTTA</t>
  </si>
  <si>
    <t>437.684.148-09</t>
  </si>
  <si>
    <t>LETICIA FERREIRA ANDRADE</t>
  </si>
  <si>
    <t>433.915.738-48</t>
  </si>
  <si>
    <t>LETICIA GABRIELLE DA SILVA PRADO</t>
  </si>
  <si>
    <t>480.552.628-96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</si>
  <si>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</si>
  <si>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</si>
  <si>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</si>
  <si>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</si>
  <si>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</si>
  <si>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</si>
  <si>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</si>
  <si>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</si>
  <si>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</si>
  <si>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</si>
  <si>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LEME DAVID RIBEIRO</t>
  </si>
  <si>
    <t>439.221.098-70</t>
  </si>
  <si>
    <t>LETICIA LIMA DOS SANTOS MOTTA</t>
  </si>
  <si>
    <t>152.412.377-39</t>
  </si>
  <si>
    <t>LETICIA MARIA CAVALCANTI CALHEIROS</t>
  </si>
  <si>
    <t>122.394.464-63</t>
  </si>
  <si>
    <t>LETICIA MARIA PINTO DE OLIVEIRA</t>
  </si>
  <si>
    <t>411.339.638-89</t>
  </si>
  <si>
    <t>LETICIA PEREIRA CARVALHO</t>
  </si>
  <si>
    <t>391.023.938-24</t>
  </si>
  <si>
    <t>Letícia Pereira Gonçalves</t>
  </si>
  <si>
    <t>463.901.528-33</t>
  </si>
  <si>
    <t>LETICIA PINHEIRO DOS SANTOS</t>
  </si>
  <si>
    <t>073.136.153-96</t>
  </si>
  <si>
    <t>LETICIA RAMOS DA SILVA</t>
  </si>
  <si>
    <t>309.614.078-24</t>
  </si>
  <si>
    <t>Letícia Rita Pereira de Souza</t>
  </si>
  <si>
    <t>463.218.348-23</t>
  </si>
  <si>
    <t>LETICIA RODRIGUES DE AGUIAR</t>
  </si>
  <si>
    <t>491.487.948-48</t>
  </si>
  <si>
    <t>LETICIA SANTOS COSTA</t>
  </si>
  <si>
    <t>459.304.678-54</t>
  </si>
  <si>
    <t>LETICIA SANTOS SOUZA</t>
  </si>
  <si>
    <t>495.249.748-86</t>
  </si>
  <si>
    <t>Letícia Silva de Albuquerque</t>
  </si>
  <si>
    <t>427.865.708-08</t>
  </si>
  <si>
    <t>LETICIA SIMON PONTES</t>
  </si>
  <si>
    <t>308.318.918-40</t>
  </si>
  <si>
    <t>LETICIA VICTORIA APARECIDA DE OLIVEIRA</t>
  </si>
  <si>
    <t>435.295.798-40</t>
  </si>
  <si>
    <t>Levi Bonafini</t>
  </si>
  <si>
    <t>424.543.708-16</t>
  </si>
  <si>
    <t>LIA SOUZA AMARAL</t>
  </si>
  <si>
    <t>498.843.188-67</t>
  </si>
  <si>
    <t>Liara Nunes Assunção</t>
  </si>
  <si>
    <t>060.765.296-95</t>
  </si>
  <si>
    <t>LICIA NOBRE PAGIOLI</t>
  </si>
  <si>
    <t>077.980.537-27</t>
  </si>
  <si>
    <t>LICIRIO RODRIGUES DE CARVALHO</t>
  </si>
  <si>
    <t>312.443.398-06</t>
  </si>
  <si>
    <t>LICITA DISTRIBUIDORA DE PNEUS LTDA</t>
  </si>
  <si>
    <t>45.989.965/0001-97</t>
  </si>
  <si>
    <t>LICITA GOV LTDA</t>
  </si>
  <si>
    <t>46.510.869/0001-87</t>
  </si>
  <si>
    <t>LICITAPHARMA DISTRIBUIDORA DE PRODUTOS VETERINARIOS, HOSPITALARES E MEDICAMENTOS LTDA</t>
  </si>
  <si>
    <t>49.542.190/0001-68</t>
  </si>
  <si>
    <t>LICITARE PRODUTOS, MATERIAIS E SERVICOS LTDA</t>
  </si>
  <si>
    <t>18.641.075/0001-17</t>
  </si>
  <si>
    <t>LIDIA CANDIDA DE LIMA SILVA</t>
  </si>
  <si>
    <t>566.091.599-04</t>
  </si>
  <si>
    <t>LIDIA MARIA SIRINO</t>
  </si>
  <si>
    <t>109.603.068-38</t>
  </si>
  <si>
    <t>LIDIA ROMAO VIEIRA &amp; CRISTINA CRUZ FIGUEIREDO SERVICOS MEDICOS LTDA</t>
  </si>
  <si>
    <t>10.405.854/0001-01</t>
  </si>
  <si>
    <t>LIDIANA MARIA DE CARVALHO</t>
  </si>
  <si>
    <t>215.461.118-40</t>
  </si>
  <si>
    <t>LIDIANE APARECIDA DA SILVA</t>
  </si>
  <si>
    <t>250.294.138-55</t>
  </si>
  <si>
    <t>LIDIANE FATIMA DE CASTRO VIEIRA</t>
  </si>
  <si>
    <t>315.554.608-52</t>
  </si>
  <si>
    <t>LIERNER ESTEVAM DE MACEDO</t>
  </si>
  <si>
    <t>325.764.248-21</t>
  </si>
  <si>
    <t>LIGA INDUSTRIA E COMERCIO DE MATERIAL PARA CONSTRUCAO LTDA</t>
  </si>
  <si>
    <t>12.260.690/0001-05</t>
  </si>
  <si>
    <t>LIGA JOSEENSE DE MALHA</t>
  </si>
  <si>
    <t>57.522.153/0001-16</t>
  </si>
  <si>
    <t>LIGA MUNICIPAL DE FUTEBOL DE SAO JOSE DOS CAMPOS</t>
  </si>
  <si>
    <t>45.693.447/0001-21</t>
  </si>
  <si>
    <t>LIGIA KELLY DE SOUZA SA SANTOS</t>
  </si>
  <si>
    <t>270.222.198-00</t>
  </si>
  <si>
    <t>LIGIA MARA DAS NEVES ALEGRE PECAS E SERVICOS</t>
  </si>
  <si>
    <t>64.115.173/0001-38</t>
  </si>
  <si>
    <t>Ligia Rachel Nascimento Montalvão</t>
  </si>
  <si>
    <t>031.175.795-24</t>
  </si>
  <si>
    <t>LIGIA SANTOS DA SILVA</t>
  </si>
  <si>
    <t>221.549.848-00</t>
  </si>
  <si>
    <t>LIGIARA MARA DA CONCEICAO FRANCISCO</t>
  </si>
  <si>
    <t>336.953.818-09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</si>
  <si>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</si>
  <si>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</si>
  <si>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</si>
  <si>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</si>
  <si>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</si>
  <si>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</si>
  <si>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</si>
  <si>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</si>
  <si>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</si>
  <si>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</si>
  <si>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CRISTINA DOS SANTOS ROSA</t>
  </si>
  <si>
    <t>275.522.898-99</t>
  </si>
  <si>
    <t>LILIAN CRISTINA MENDES GALDINO</t>
  </si>
  <si>
    <t>360.239.878-18</t>
  </si>
  <si>
    <t>LILIAN DE JESUS BRANDAO DE SOUZA</t>
  </si>
  <si>
    <t>528.185.828-90</t>
  </si>
  <si>
    <t>LILIAN DE LIMA</t>
  </si>
  <si>
    <t>254.711.368-61</t>
  </si>
  <si>
    <t>LILIAN RAFAELA DOS SANTOS</t>
  </si>
  <si>
    <t>395.365.248-64</t>
  </si>
  <si>
    <t>LILIAN SANTOS MARQUES</t>
  </si>
  <si>
    <t>265.967.588-00</t>
  </si>
  <si>
    <t>LILIANA DE CASSIA PORTES</t>
  </si>
  <si>
    <t>062.478.238-78</t>
  </si>
  <si>
    <t>LILIANA DE MORAIS</t>
  </si>
  <si>
    <t>326.292.968-90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</si>
  <si>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</si>
  <si>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</si>
  <si>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</si>
  <si>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</si>
  <si>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</si>
  <si>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</si>
  <si>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</si>
  <si>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</si>
  <si>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LIMA E RIOS LTDA</t>
  </si>
  <si>
    <t>01.105.710/0001-49</t>
  </si>
  <si>
    <t>LIMPA LIDER COMERCIO E SERVICO DE PRODUTOS DE LIMPEZA LTDA</t>
  </si>
  <si>
    <t>39.936.624/0001-50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</si>
  <si>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</si>
  <si>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</si>
  <si>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</si>
  <si>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</si>
  <si>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</si>
  <si>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</si>
  <si>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LINCON RIBEIRO DA SILVA SANTOS</t>
  </si>
  <si>
    <t>292.019.838-67</t>
  </si>
  <si>
    <t>LINDALVA GOMES DA SILVA BATISTA</t>
  </si>
  <si>
    <t>623.554.304-20</t>
  </si>
  <si>
    <t>LINDALVA MALHEIROS MAXIMO</t>
  </si>
  <si>
    <t>379.802.348-47</t>
  </si>
  <si>
    <t>LINDALVA MARIA SILVA DE SOUZA OLIVEIRA</t>
  </si>
  <si>
    <t>029.865.598-59</t>
  </si>
  <si>
    <t>LINDAURA DOS SANTOS</t>
  </si>
  <si>
    <t>448.089.048-37</t>
  </si>
  <si>
    <t>LINDINEZ DOS SANTOS SOUZA</t>
  </si>
  <si>
    <t>132.181.684-73</t>
  </si>
  <si>
    <t>LISA ANTERO DOS SANTOS</t>
  </si>
  <si>
    <t>283.572.908-92</t>
  </si>
  <si>
    <t>LISANDRA MONTEIRO</t>
  </si>
  <si>
    <t>257.732.318-24</t>
  </si>
  <si>
    <t>LISBOA NEGOCIOS E LICITACOES LTDA.</t>
  </si>
  <si>
    <t>59.600.977/0001-92</t>
  </si>
  <si>
    <t>LISIANE CRISTINE FERNANDES XAVIER</t>
  </si>
  <si>
    <t>364.407.568-93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</si>
  <si>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</si>
  <si>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</si>
  <si>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</si>
  <si>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</si>
  <si>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</si>
  <si>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</si>
  <si>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</si>
  <si>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</si>
  <si>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LIVIA MARIA FERNANDES MAGALHAES</t>
  </si>
  <si>
    <t>512.197.338-14</t>
  </si>
  <si>
    <t>Lívia Minganti Mendes</t>
  </si>
  <si>
    <t>514.332.558-71</t>
  </si>
  <si>
    <t>LIVIA OLIVEIRA DE VITTO</t>
  </si>
  <si>
    <t>504.489.138-01</t>
  </si>
  <si>
    <t>LIVIA PEPATO BATISTA</t>
  </si>
  <si>
    <t>480.082.748-59</t>
  </si>
  <si>
    <t>LIVIA RACHID NEGOCIOS IMOBILIARIOS LTDA</t>
  </si>
  <si>
    <t>50.713.044/0001-37</t>
  </si>
  <si>
    <t>Lívia Ramos Mattos</t>
  </si>
  <si>
    <t>472.923.358-10</t>
  </si>
  <si>
    <t>LIVIA SARA SILVA</t>
  </si>
  <si>
    <t>502.732.968-76</t>
  </si>
  <si>
    <t>LM DOS SANTOS LIMITADA</t>
  </si>
  <si>
    <t>07.160.016/0001-00</t>
  </si>
  <si>
    <t>L.M. FARMA INDUSTRIA E COMERCIO LTDA</t>
  </si>
  <si>
    <t>57.532.343/0001-14</t>
  </si>
  <si>
    <t>LM TRANSPORTADORA SJCAMPOS LTDA - ME</t>
  </si>
  <si>
    <t>05.206.047/0001-20</t>
  </si>
  <si>
    <t>LML COMERCIO E SERVICOS LTDA</t>
  </si>
  <si>
    <t>46.440.629/0001-53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</si>
  <si>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</si>
  <si>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</si>
  <si>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</si>
  <si>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</si>
  <si>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</si>
  <si>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</si>
  <si>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</si>
  <si>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</si>
  <si>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 PARTS DISTRIBUIDORA DE PECAS AUTOMOTIVAS LTDA</t>
  </si>
  <si>
    <t>19.885.877/0001-35</t>
  </si>
  <si>
    <t>LOGGEN PRODUTOS PARA SAUDE LTDA</t>
  </si>
  <si>
    <t>24.980.102/0001-89</t>
  </si>
  <si>
    <t>LOGITEC GERENCIAMENTO DE PROJETOS E SERVICOS LTDA</t>
  </si>
  <si>
    <t>11.076.765/0002-02</t>
  </si>
  <si>
    <t>LOGMOV SOLUCOES LTDA</t>
  </si>
  <si>
    <t>44.333.497/0001-35</t>
  </si>
  <si>
    <t>LOJA DA ODONTO COMERCIODE PRODUTOS LTDA</t>
  </si>
  <si>
    <t>52.152.463/0001-72</t>
  </si>
  <si>
    <t>LOJA DO AMPUTADO LTDA</t>
  </si>
  <si>
    <t>41.850.630/0001-32</t>
  </si>
  <si>
    <t>LONGEVITY PHARMA LTDA</t>
  </si>
  <si>
    <t>32.179.973/0001-26</t>
  </si>
  <si>
    <t>LOREN STHEFANY DOS REIS GARCIA</t>
  </si>
  <si>
    <t>159.517.256-40</t>
  </si>
  <si>
    <t>LORENA ARAUJO DE MOURA BRASIL</t>
  </si>
  <si>
    <t>526.965.868-29</t>
  </si>
  <si>
    <t>LORENA BENICIO PEREIRA</t>
  </si>
  <si>
    <t>109.468.946-71</t>
  </si>
  <si>
    <t>LORENA CRISTINA MELO NASCIMENTO</t>
  </si>
  <si>
    <t>366.925.518-46</t>
  </si>
  <si>
    <t>LORENZO DE SOUZA PIRES</t>
  </si>
  <si>
    <t>506.789.038-08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</si>
  <si>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</si>
  <si>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</si>
  <si>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</si>
  <si>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</si>
  <si>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</si>
  <si>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</si>
  <si>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APARECIDA RODRIGUES DE PAULA</t>
  </si>
  <si>
    <t>005.320.858-76</t>
  </si>
  <si>
    <t>LOURDES DE JESUS CAETANO</t>
  </si>
  <si>
    <t>159.586.408-36</t>
  </si>
  <si>
    <t>LOURDES DE SOUZA MATOS</t>
  </si>
  <si>
    <t>001.436.958-35</t>
  </si>
  <si>
    <t>LOURIVAL TAVARES SOCIEDADE INDIVIDUAL DE ADVOCACIA</t>
  </si>
  <si>
    <t>31.824.273/0001-84</t>
  </si>
  <si>
    <t>LOUZERLEI DOS SANTOS SOUZA</t>
  </si>
  <si>
    <t>049.946.725-63</t>
  </si>
  <si>
    <t>LPS AGROFARMA LTDA</t>
  </si>
  <si>
    <t>04.852.370/0001-08</t>
  </si>
  <si>
    <t>LRC CONFECCOES LTDA EPP</t>
  </si>
  <si>
    <t>05.164.345/0001-02</t>
  </si>
  <si>
    <t>L.SERGIO DE SOUZA JUNIOR  LTDA</t>
  </si>
  <si>
    <t>29.087.220/0001-86</t>
  </si>
  <si>
    <t>LUA DA SILVA MONTEIRO</t>
  </si>
  <si>
    <t>370.885.238-92</t>
  </si>
  <si>
    <t>LUAN ALVES VIEIRA</t>
  </si>
  <si>
    <t>503.039.808-26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</si>
  <si>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</si>
  <si>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</si>
  <si>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</si>
  <si>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</si>
  <si>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</si>
  <si>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</si>
  <si>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DE SIQUEIRA LIMA</t>
  </si>
  <si>
    <t>470.517.158-60</t>
  </si>
  <si>
    <t>Luan José Weber</t>
  </si>
  <si>
    <t>082.169.929-63</t>
  </si>
  <si>
    <t>LUAN MACHADO DE MORAES</t>
  </si>
  <si>
    <t>472.523.628-41</t>
  </si>
  <si>
    <t>LUAN VINICIUS DE OLIVEIRA MARQUES</t>
  </si>
  <si>
    <t>472.674.218-30</t>
  </si>
  <si>
    <t>LUANA  DE SOUZA RODRIGUES</t>
  </si>
  <si>
    <t>540.164.358-62</t>
  </si>
  <si>
    <t>LUANA ALVES DA SILVA</t>
  </si>
  <si>
    <t>397.799.748-30</t>
  </si>
  <si>
    <t>LUANA ALVES DOS SANTOS MACHADO</t>
  </si>
  <si>
    <t>316.341.398-60</t>
  </si>
  <si>
    <t>LUANA CRISTINA ALVES DO PRADO</t>
  </si>
  <si>
    <t>488.615.358-52</t>
  </si>
  <si>
    <t>LUANA DA COSTA VIANA</t>
  </si>
  <si>
    <t>415.670.988-43</t>
  </si>
  <si>
    <t>LUANA DE PAULA RODRIGUES</t>
  </si>
  <si>
    <t>472.773.698-58</t>
  </si>
  <si>
    <t>LUANA DEMETRIO BARBOSA</t>
  </si>
  <si>
    <t>440.144.358-65</t>
  </si>
  <si>
    <t>LUANA DOS SANTOS CRUZEIRO</t>
  </si>
  <si>
    <t>501.381.868-04</t>
  </si>
  <si>
    <t>LUANA EMANUELLE LIMA RODRIGUES PEREIRA</t>
  </si>
  <si>
    <t>349.124.918-02</t>
  </si>
  <si>
    <t>LUANA FERNANDA DA SILVA</t>
  </si>
  <si>
    <t>366.949.448-02</t>
  </si>
  <si>
    <t>LUANA IRIS MARTINS DOS SANTOS</t>
  </si>
  <si>
    <t>389.371.428-64</t>
  </si>
  <si>
    <t>LUANA MARCELE ILO</t>
  </si>
  <si>
    <t>381.118.018-58</t>
  </si>
  <si>
    <t>LUANA MARTINS SENDRETE</t>
  </si>
  <si>
    <t>501.781.748-40</t>
  </si>
  <si>
    <t>LUANA PRISCILA DE OLIVEIRA</t>
  </si>
  <si>
    <t>349.707.028-96</t>
  </si>
  <si>
    <t>LUANA SALES MESQUITA</t>
  </si>
  <si>
    <t>516.224.178-44</t>
  </si>
  <si>
    <t>LUANA SANTOS GOMES DE SOUSA</t>
  </si>
  <si>
    <t>454.584.118-03</t>
  </si>
  <si>
    <t>LUANA SILVA DE SOUZA</t>
  </si>
  <si>
    <t>480.352.358-42</t>
  </si>
  <si>
    <t>LUANA VILANI VIEIRA</t>
  </si>
  <si>
    <t>390.406.718-42</t>
  </si>
  <si>
    <t>Luana Vitória de Almeida Germano</t>
  </si>
  <si>
    <t>417.241.478-89</t>
  </si>
  <si>
    <t>LUANE APARECIDA SERRA</t>
  </si>
  <si>
    <t>227.618.838-37</t>
  </si>
  <si>
    <t>LUANE BEATRIZ MENEZES PEREIRA</t>
  </si>
  <si>
    <t>468.703.388-17</t>
  </si>
  <si>
    <t>LUARA DA CONCEICAO SOARES</t>
  </si>
  <si>
    <t>398.841.908-79</t>
  </si>
  <si>
    <t>LUARA DE MACEDO CASTILHO PEDROSO</t>
  </si>
  <si>
    <t>389.522.638-63</t>
  </si>
  <si>
    <t>LUCAN VINICIUS VIANA BRANQUINHO</t>
  </si>
  <si>
    <t>435.719.518-75</t>
  </si>
  <si>
    <t>LUCAS ALEXANDRE MATIAS DE JESUS</t>
  </si>
  <si>
    <t>548.524.568-44</t>
  </si>
  <si>
    <t>Lucas Alves de Souza</t>
  </si>
  <si>
    <t>160.415.877-88</t>
  </si>
  <si>
    <t>LUCAS ANDERSON PINHEIRO FERREIRA</t>
  </si>
  <si>
    <t>341.950.998-70</t>
  </si>
  <si>
    <t>LUCAS AUGUSTO DE ARAUJO</t>
  </si>
  <si>
    <t>840.175.975-72</t>
  </si>
  <si>
    <t>Lucas Augusto Ferro e Silva</t>
  </si>
  <si>
    <t>093.121.724-50</t>
  </si>
  <si>
    <t>LUCAS AYMORE DE MIRANDA MONTEIRO</t>
  </si>
  <si>
    <t>173.728.567-36</t>
  </si>
  <si>
    <t>Lucas Barbosa dos Santos</t>
  </si>
  <si>
    <t>066.733.314-29</t>
  </si>
  <si>
    <t>LUCAS BARROS SILVA FARIAS</t>
  </si>
  <si>
    <t>476.904.768-13</t>
  </si>
  <si>
    <t>LUCAS BARROSO DA SILVA</t>
  </si>
  <si>
    <t>380.717.528-86</t>
  </si>
  <si>
    <t>LUCAS BENJAMIM VILELA FERREIRA BORGES</t>
  </si>
  <si>
    <t>517.108.638-97</t>
  </si>
  <si>
    <t xml:space="preserve">LUCAS BENTO VILAS BOAS	</t>
  </si>
  <si>
    <t>433.732.358-98</t>
  </si>
  <si>
    <t>LUCAS BORTOLACI SILVA</t>
  </si>
  <si>
    <t>405.227.168-81</t>
  </si>
  <si>
    <t>LUCAS BRAGA TEIXEIRA ESTEVES</t>
  </si>
  <si>
    <t>413.927.708-40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</si>
  <si>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</si>
  <si>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</si>
  <si>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</si>
  <si>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</si>
  <si>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</si>
  <si>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</si>
  <si>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DO NASCIMENTO MOURA</t>
  </si>
  <si>
    <t>355.984.708-70</t>
  </si>
  <si>
    <t>LUCAS DOS SANTOS CAETANO DA CRUZ</t>
  </si>
  <si>
    <t>288.987.598-94</t>
  </si>
  <si>
    <t>LUCAS EMANOEL FILGUEIRAS DE LIMA</t>
  </si>
  <si>
    <t>165.491.887-33</t>
  </si>
  <si>
    <t>LUCAS EXPEDITO DA SILVA</t>
  </si>
  <si>
    <t>547.564.078-54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</si>
  <si>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</si>
  <si>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</si>
  <si>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</si>
  <si>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</si>
  <si>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</si>
  <si>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</si>
  <si>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</si>
  <si>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</si>
  <si>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FRANCA AYRES</t>
  </si>
  <si>
    <t>230.558.818-69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</si>
  <si>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</si>
  <si>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</si>
  <si>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</si>
  <si>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</si>
  <si>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</si>
  <si>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</si>
  <si>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GUILHERME PINTO</t>
  </si>
  <si>
    <t>406.887.828-50</t>
  </si>
  <si>
    <t>LUCAS GUIMARAES SANTOS</t>
  </si>
  <si>
    <t>471.729.998-19</t>
  </si>
  <si>
    <t>LUCAS HENRIQUE CASSIANO DE LIMA</t>
  </si>
  <si>
    <t>449.047.848-80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</si>
  <si>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</si>
  <si>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</si>
  <si>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</si>
  <si>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</si>
  <si>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</si>
  <si>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</si>
  <si>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Lima Sousa</t>
  </si>
  <si>
    <t>389.839.228-77</t>
  </si>
  <si>
    <t>LUCAS MANGUEIRA NICACIO</t>
  </si>
  <si>
    <t>431.218.948-03</t>
  </si>
  <si>
    <t>LUCAS MARCOS BARROS</t>
  </si>
  <si>
    <t>149.407.197-58</t>
  </si>
  <si>
    <t>LUCAS MASCENA FERREIRA SANTOS</t>
  </si>
  <si>
    <t>051.905.795-30</t>
  </si>
  <si>
    <t>LUCAS MATHEUS FERREIRA</t>
  </si>
  <si>
    <t>440.383.148-63</t>
  </si>
  <si>
    <t>LUCAS MATHEUS MOURA LACERDA</t>
  </si>
  <si>
    <t>408.217.048-00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</si>
  <si>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</si>
  <si>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</si>
  <si>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</si>
  <si>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</si>
  <si>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</si>
  <si>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</si>
  <si>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NUNES DE AZEVEDO DUARTE</t>
  </si>
  <si>
    <t>360.470.918-06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</si>
  <si>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</si>
  <si>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</si>
  <si>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</si>
  <si>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</si>
  <si>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</si>
  <si>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</si>
  <si>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</si>
  <si>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</si>
  <si>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Rafael Andrade Barroso</t>
  </si>
  <si>
    <t>507.289.238-74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</si>
  <si>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</si>
  <si>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</si>
  <si>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</si>
  <si>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</si>
  <si>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</si>
  <si>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</si>
  <si>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</si>
  <si>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</si>
  <si>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</si>
  <si>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</si>
  <si>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ROMARIO DE FERREIRA CAMARGO</t>
  </si>
  <si>
    <t>487.184.638-51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</si>
  <si>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</si>
  <si>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</si>
  <si>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</si>
  <si>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</si>
  <si>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</si>
  <si>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</si>
  <si>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</si>
  <si>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</si>
  <si>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</si>
  <si>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</si>
  <si>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</si>
  <si>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</si>
  <si>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</si>
  <si>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</si>
  <si>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Vinas Vieira</t>
  </si>
  <si>
    <t>083.358.159-76</t>
  </si>
  <si>
    <t>LUCAS VINICIUS DOS SANTOS DE OLIVEIRA CARVALHO</t>
  </si>
  <si>
    <t>447.363.348-94</t>
  </si>
  <si>
    <t>LUCCA SANTOS E SILVA</t>
  </si>
  <si>
    <t>500.082.088-67</t>
  </si>
  <si>
    <t>LUCCAS MIGUEL DE MOURA SILVA</t>
  </si>
  <si>
    <t>590.208.518-70</t>
  </si>
  <si>
    <t>LUCELIA DE OLIVEIRA ANDRADE</t>
  </si>
  <si>
    <t>215.233.908-83</t>
  </si>
  <si>
    <t>LUCELIA MARTINS CERQUEIRA SANTOS</t>
  </si>
  <si>
    <t>408.009.158-36</t>
  </si>
  <si>
    <t>LUCEMA DE MORAIS BARBEIRO</t>
  </si>
  <si>
    <t>066.109.058-27</t>
  </si>
  <si>
    <t>LUCHETTI COMERCIO DE MAT. P/ CONSTRUCAO LTDA.</t>
  </si>
  <si>
    <t>60.190.865/0001-90</t>
  </si>
  <si>
    <t>LUCI KELLI REGIANE DE GOES 17732334833</t>
  </si>
  <si>
    <t>33.754.287/0001-02</t>
  </si>
  <si>
    <t>LUCIA DE FATIMA ASSUNCAO GASTAO</t>
  </si>
  <si>
    <t>628.207.708-78</t>
  </si>
  <si>
    <t>LUCIA DE FATIMA OLIVEIRA BORGES</t>
  </si>
  <si>
    <t>658.065.907-63</t>
  </si>
  <si>
    <t>LUCIA HELENA DA SILVA CARASSINI</t>
  </si>
  <si>
    <t>315.483.568-75</t>
  </si>
  <si>
    <t>LUCIA HELENA DA SILVA MARTINS</t>
  </si>
  <si>
    <t>150.094.848-97</t>
  </si>
  <si>
    <t>LUCIA HELENA DE OLIVEIRA BRANDAO</t>
  </si>
  <si>
    <t>050.247.048-86</t>
  </si>
  <si>
    <t>LUCIA HELENA DOS SANTOS</t>
  </si>
  <si>
    <t>054.362.098-07</t>
  </si>
  <si>
    <t>LUCIA MARIA SILVA LIMA</t>
  </si>
  <si>
    <t>713.080.167-00</t>
  </si>
  <si>
    <t>LUCIANA ALVES</t>
  </si>
  <si>
    <t>048.061.978-66</t>
  </si>
  <si>
    <t>LUCIANA APARECIDA VICENTE SILVA</t>
  </si>
  <si>
    <t>261.419.848-00</t>
  </si>
  <si>
    <t>LUCIANA ARAUJO DA SILVA SANTOS</t>
  </si>
  <si>
    <t>026.300.224-12</t>
  </si>
  <si>
    <t>LUCIANA AVILA DA SILVA</t>
  </si>
  <si>
    <t>293.030.718-83</t>
  </si>
  <si>
    <t>LUCIANA BARBOSA DO NASCIMENTO</t>
  </si>
  <si>
    <t>162.846.258-20</t>
  </si>
  <si>
    <t>LUCIANA COSTA RODRIGUES FREIRE</t>
  </si>
  <si>
    <t>100.696.066-09</t>
  </si>
  <si>
    <t>LUCIANA CRISTINA DE PAULA SANTOS SOUSA</t>
  </si>
  <si>
    <t>354.356.658-09</t>
  </si>
  <si>
    <t>LUCIANA DA COSTA SILVA</t>
  </si>
  <si>
    <t>219.941.848-09</t>
  </si>
  <si>
    <t>LUCIANA DA ROCHA VIANA</t>
  </si>
  <si>
    <t>355.924.268-10</t>
  </si>
  <si>
    <t>LUCIANA DE CASTRO MACIEL GALVAO DA SILVA</t>
  </si>
  <si>
    <t>247.921.648-93</t>
  </si>
  <si>
    <t>LUCIANA DE LIMA NASCIMENTO</t>
  </si>
  <si>
    <t>258.108.108-29</t>
  </si>
  <si>
    <t>LUCIANA DIEMERT DOS REIS</t>
  </si>
  <si>
    <t>286.809.698-00</t>
  </si>
  <si>
    <t>LUCIANA FERREIRA DA SILVA</t>
  </si>
  <si>
    <t>231.116.308-62</t>
  </si>
  <si>
    <t>LUCIANA GONÇALVES FERREIRA</t>
  </si>
  <si>
    <t>360.726.148-25</t>
  </si>
  <si>
    <t>LUCIANA PAES</t>
  </si>
  <si>
    <t>138.396.568-42</t>
  </si>
  <si>
    <t>LUCIANA PEDRO FERREIRA</t>
  </si>
  <si>
    <t>162.848.718-64</t>
  </si>
  <si>
    <t>LUCIANA PEREIRA CLEMENTINO</t>
  </si>
  <si>
    <t>315.536.558-77</t>
  </si>
  <si>
    <t>LUCIANA PEREIRA DA SILVA</t>
  </si>
  <si>
    <t>081.251.068-20</t>
  </si>
  <si>
    <t>283.575.918-25</t>
  </si>
  <si>
    <t>LUCIANA RAMOS</t>
  </si>
  <si>
    <t>399.527.078-60</t>
  </si>
  <si>
    <t>LUCIANA REGINA DA SILVA</t>
  </si>
  <si>
    <t>272.520.468-26</t>
  </si>
  <si>
    <t>LUCIANA REGINA TOLEDO GONÇALVES DOMINGOS</t>
  </si>
  <si>
    <t>253.598.758-95</t>
  </si>
  <si>
    <t>LUCIANA ROCHA DE ALMEIDA</t>
  </si>
  <si>
    <t>223.261.968-05</t>
  </si>
  <si>
    <t>LUCIANA S. DE PAULA VIDEO - ME</t>
  </si>
  <si>
    <t>03.862.969/0001-60</t>
  </si>
  <si>
    <t>LUCIANA TOMAZ</t>
  </si>
  <si>
    <t>041.665.467-32</t>
  </si>
  <si>
    <t>LUCIANA VASCONCELOS MELLO</t>
  </si>
  <si>
    <t>278.898.108-22</t>
  </si>
  <si>
    <t>LUCIANA VENANCIO MOREIRA</t>
  </si>
  <si>
    <t>201.890.158-37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</si>
  <si>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</si>
  <si>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</si>
  <si>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</si>
  <si>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</si>
  <si>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</si>
  <si>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</si>
  <si>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</si>
  <si>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</si>
  <si>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ANDRADE DANIEL</t>
  </si>
  <si>
    <t>267.406.128-62</t>
  </si>
  <si>
    <t>LUCIANO BARBOSA LEAL</t>
  </si>
  <si>
    <t>256.247.388-46</t>
  </si>
  <si>
    <t>LUCIANO DE SOUZA BATISTA</t>
  </si>
  <si>
    <t>361.276.528-04</t>
  </si>
  <si>
    <t>LUCIANO DIEMERT DOS REIS</t>
  </si>
  <si>
    <t>279.059.048-65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</si>
  <si>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</si>
  <si>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</si>
  <si>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</si>
  <si>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</si>
  <si>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</si>
  <si>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</si>
  <si>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</si>
  <si>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</si>
  <si>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JUNIO FIALHO GOMES DA SILVA</t>
  </si>
  <si>
    <t>494.747.798-99</t>
  </si>
  <si>
    <t>LUCIANO LA CORTE</t>
  </si>
  <si>
    <t>421.895.098-90</t>
  </si>
  <si>
    <t>LUCIANO MAQUIONI</t>
  </si>
  <si>
    <t>098.637.688-47</t>
  </si>
  <si>
    <t>LUCIANO MARTINS RODRIGUES</t>
  </si>
  <si>
    <t>283.577.348-71</t>
  </si>
  <si>
    <t>LUCIANO MODESTO FABIANO</t>
  </si>
  <si>
    <t>076.584.838-42</t>
  </si>
  <si>
    <t>LUCIANO RODRIGUES ALVARENGA</t>
  </si>
  <si>
    <t>213.815.518-82</t>
  </si>
  <si>
    <t>LUCIANO SANTOS FERREIRA VICENTE</t>
  </si>
  <si>
    <t>446.850.678-43</t>
  </si>
  <si>
    <t>LUCIANO UEB MACHADO</t>
  </si>
  <si>
    <t>220.264.118-16</t>
  </si>
  <si>
    <t>LUCIDALVA GONÇALVES VIEIRA NASCIMENTO</t>
  </si>
  <si>
    <t>093.666.888-10</t>
  </si>
  <si>
    <t>LUCIENE APARECIDA DE SOUZA SANTOS</t>
  </si>
  <si>
    <t>183.810.618-90</t>
  </si>
  <si>
    <t>LUCIENE FEITOSA ALVES</t>
  </si>
  <si>
    <t>226.074.538-52</t>
  </si>
  <si>
    <t>LUCIENE NASCIMENTO BOMFIM</t>
  </si>
  <si>
    <t>659.273.205-97</t>
  </si>
  <si>
    <t>LUCILA ROBERTA VIEIRA DE PAULA</t>
  </si>
  <si>
    <t>342.939.088-54</t>
  </si>
  <si>
    <t>LUCILENA CARDOSO SOARES ANTUNES</t>
  </si>
  <si>
    <t>247.634.718-30</t>
  </si>
  <si>
    <t>LUCIMARA SILVA DE AZEVEDO MACHADO</t>
  </si>
  <si>
    <t>183.927.058-66</t>
  </si>
  <si>
    <t>LUCINEIA DE FATIMA MENDES CARVALHO</t>
  </si>
  <si>
    <t>062.507.868-30</t>
  </si>
  <si>
    <t>LUCINEIA MARCONDES PEREIRA</t>
  </si>
  <si>
    <t>255.023.298-44</t>
  </si>
  <si>
    <t>LUCINEIA OZORIO MOREIRA</t>
  </si>
  <si>
    <t>088.028.838-82</t>
  </si>
  <si>
    <t>LUCINEIA ROSA BARBOSA</t>
  </si>
  <si>
    <t>213.926.388-01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</si>
  <si>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</si>
  <si>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</si>
  <si>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</si>
  <si>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</si>
  <si>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</si>
  <si>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</si>
  <si>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</si>
  <si>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</si>
  <si>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</si>
  <si>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</si>
  <si>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Lucrecia Clemilda Vigilato</t>
  </si>
  <si>
    <t>138.464.048-70</t>
  </si>
  <si>
    <t>LUDMILA APARECIDA VIEIRA SILVA</t>
  </si>
  <si>
    <t>046.926.061-00</t>
  </si>
  <si>
    <t>Ludmila Santos Rodrigues</t>
  </si>
  <si>
    <t>550.168.328-89</t>
  </si>
  <si>
    <t>LUDMILLA REGINA EMILIANO</t>
  </si>
  <si>
    <t>132.247.237-85</t>
  </si>
  <si>
    <t>LUIGI SALES FERNANDES</t>
  </si>
  <si>
    <t>528.469.128-82</t>
  </si>
  <si>
    <t>LUILDA MOTA LOPES</t>
  </si>
  <si>
    <t>138.447.308-42</t>
  </si>
  <si>
    <t>LUIS AFONSO DURGANTE PASQUOTTO</t>
  </si>
  <si>
    <t>260.866.460-15</t>
  </si>
  <si>
    <t>LUIS ALBERTO SILVA FERREIRA</t>
  </si>
  <si>
    <t>387.395.728-03</t>
  </si>
  <si>
    <t>LUIS ANDRE SCALI DE SANTIS</t>
  </si>
  <si>
    <t>220.493.758-40</t>
  </si>
  <si>
    <t>LUIS ANTONIO PEREIRA</t>
  </si>
  <si>
    <t>050.135.328-33</t>
  </si>
  <si>
    <t>LUIS ARNALDO DE MAGALHAES E CIA LTDA</t>
  </si>
  <si>
    <t>02.103.858/0001-07</t>
  </si>
  <si>
    <t>LUIS CARLOS CANDIDO</t>
  </si>
  <si>
    <t>098.525.358-46</t>
  </si>
  <si>
    <t>LUIS CARLOS DE FARIAS</t>
  </si>
  <si>
    <t>278.150.408-45</t>
  </si>
  <si>
    <t>LUIS CARLOS PEREIRA</t>
  </si>
  <si>
    <t>065.343.818-42</t>
  </si>
  <si>
    <t>LUIS CLAUDIO APARECIDO BARBOSA</t>
  </si>
  <si>
    <t>218.559.218-12</t>
  </si>
  <si>
    <t>LUIS CLAUDIO CAMPOS DE OLIVEIRA</t>
  </si>
  <si>
    <t>385.064.378-65</t>
  </si>
  <si>
    <t>LUIS CLAUDIO MOREIRA</t>
  </si>
  <si>
    <t>098.525.078-00</t>
  </si>
  <si>
    <t>LUIS DONIZETTI MONTEIRO</t>
  </si>
  <si>
    <t>303.202.298-31</t>
  </si>
  <si>
    <t>LUIS EDUARDO LOPES DO CARMO</t>
  </si>
  <si>
    <t>360.171.188-54</t>
  </si>
  <si>
    <t>LUIS FABIANO SALES</t>
  </si>
  <si>
    <t>267.407.018-81</t>
  </si>
  <si>
    <t>LUIS FELIPE CARVALHO VIEIRA</t>
  </si>
  <si>
    <t>471.610.748-51</t>
  </si>
  <si>
    <t>LUIS FELIPE NUNES</t>
  </si>
  <si>
    <t>434.533.758-58</t>
  </si>
  <si>
    <t>LUIS FERNANDO ALEXANDRE DA SILVA</t>
  </si>
  <si>
    <t>355.740.508-70</t>
  </si>
  <si>
    <t>LUIS FERNANDO CARVALHO</t>
  </si>
  <si>
    <t>019.382.678-00</t>
  </si>
  <si>
    <t>LUIS FERNANDO DA SILVA FELIX PEREIRA</t>
  </si>
  <si>
    <t>328.267.068-02</t>
  </si>
  <si>
    <t>Luis Fernando de Brito dos Santos</t>
  </si>
  <si>
    <t>351.942.658-75</t>
  </si>
  <si>
    <t>LUIS FERNANDO DE OLIVEIRA</t>
  </si>
  <si>
    <t>138.333.878-74</t>
  </si>
  <si>
    <t>Luis Fernando Diogenes Silva Moreira</t>
  </si>
  <si>
    <t>544.158.798-96</t>
  </si>
  <si>
    <t>LUIS FERNANDO MARTINS FERREIRA EVENTOS</t>
  </si>
  <si>
    <t>20.042.517/0001-50</t>
  </si>
  <si>
    <t>LUIS FHILIPE FARIA S. RODRIGUES</t>
  </si>
  <si>
    <t>394.289.578-10</t>
  </si>
  <si>
    <t>LUIS FLAVIO CERQUEIRA PONTES</t>
  </si>
  <si>
    <t>335.774.058-30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</si>
  <si>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</si>
  <si>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</si>
  <si>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</si>
  <si>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</si>
  <si>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</si>
  <si>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</si>
  <si>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</si>
  <si>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</si>
  <si>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</si>
  <si>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</si>
  <si>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</si>
  <si>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</si>
  <si>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Silva Ramos</t>
  </si>
  <si>
    <t>438.653.858-50</t>
  </si>
  <si>
    <t>LUIS INACIO MESSIAS</t>
  </si>
  <si>
    <t>542.650.966-20</t>
  </si>
  <si>
    <t>LUIS JOSE DE LIMA</t>
  </si>
  <si>
    <t>677.398.734-20</t>
  </si>
  <si>
    <t>Luis Miguel da Silva Paula</t>
  </si>
  <si>
    <t>540.703.518-92</t>
  </si>
  <si>
    <t>LUIS PAULO SANTIAGO</t>
  </si>
  <si>
    <t>296.009.248-13</t>
  </si>
  <si>
    <t>LUIS PAULO SANTOLIN DE MORAES</t>
  </si>
  <si>
    <t>144.592.098-02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</si>
  <si>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</si>
  <si>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</si>
  <si>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</si>
  <si>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</si>
  <si>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</si>
  <si>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</si>
  <si>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 ROBERTO DOS SANTOS</t>
  </si>
  <si>
    <t>313.182.068-39</t>
  </si>
  <si>
    <t>LUISA CRISTINA D A DOS SANTOS</t>
  </si>
  <si>
    <t>066.763.538-65</t>
  </si>
  <si>
    <t>LUISA DE LUCAS MONTEIRO</t>
  </si>
  <si>
    <t>481.595.238-82</t>
  </si>
  <si>
    <t>Luísa de Morais Borges</t>
  </si>
  <si>
    <t>485.310.848-30</t>
  </si>
  <si>
    <t>LUISA VITORIA LOPES DOS SANTOS</t>
  </si>
  <si>
    <t>546.503.178-60</t>
  </si>
  <si>
    <t>LUIZ ALBERTO DA SILVA</t>
  </si>
  <si>
    <t>371.480.758-66</t>
  </si>
  <si>
    <t>Luiz Alberto Flora de Toledo</t>
  </si>
  <si>
    <t>740.205.368-72</t>
  </si>
  <si>
    <t>LUIZ ANTONIO DOS SANTOS</t>
  </si>
  <si>
    <t>086.739.656-32</t>
  </si>
  <si>
    <t>LUIZ ANTONIO FERREIRA</t>
  </si>
  <si>
    <t>221.620.918-01</t>
  </si>
  <si>
    <t>LUIZ ANTONIO FISCHER</t>
  </si>
  <si>
    <t>062.486.468-56</t>
  </si>
  <si>
    <t>LUIZ ANTONIO PEREIRA</t>
  </si>
  <si>
    <t>262.418.948-38</t>
  </si>
  <si>
    <t>LUIZ ANTONIO PEREIRA DE BARROS</t>
  </si>
  <si>
    <t>076.435.118-45</t>
  </si>
  <si>
    <t>LUIZ ARMANDO DE PAULA RODRIGUES</t>
  </si>
  <si>
    <t>31.367.847/0001-32</t>
  </si>
  <si>
    <t>LUIZ AUGUSTO CALIXTO VASCONCELOS SILVA</t>
  </si>
  <si>
    <t>350.083.118-40</t>
  </si>
  <si>
    <t>LUIZ AUGUSTO DE CARVALHO</t>
  </si>
  <si>
    <t>228.537.318-04</t>
  </si>
  <si>
    <t>LUIZ AUGUSTO VIOLA DA SILVEIRA SALES</t>
  </si>
  <si>
    <t>219.649.458-52</t>
  </si>
  <si>
    <t>LUIZ CARLOS ADRIANO DOS SANTOS</t>
  </si>
  <si>
    <t>040.880.678-86</t>
  </si>
  <si>
    <t>LUIZ CARLOS ALVES</t>
  </si>
  <si>
    <t>057.048.338-70</t>
  </si>
  <si>
    <t>LUIZ CARLOS BARBETA JUNIOR</t>
  </si>
  <si>
    <t>327.640.568-77</t>
  </si>
  <si>
    <t>LUIZ CARLOS DE OLIVEIRA</t>
  </si>
  <si>
    <t>233.018.148-59</t>
  </si>
  <si>
    <t>250.214.508-24</t>
  </si>
  <si>
    <t>Luiz Carlos Pereira</t>
  </si>
  <si>
    <t>185.072.716-34</t>
  </si>
  <si>
    <t>LUIZ CARLOS RODRIGUES DE LIMA</t>
  </si>
  <si>
    <t>074.381.248-43</t>
  </si>
  <si>
    <t>LUIZ CARLOS ROSA JUNIOR</t>
  </si>
  <si>
    <t>273.248.818-66</t>
  </si>
  <si>
    <t>LUIZ CLAUDIO DA SILVA</t>
  </si>
  <si>
    <t>098.454.828-99</t>
  </si>
  <si>
    <t>LUIZ CLAUDIO PEREIRA DA SILVA</t>
  </si>
  <si>
    <t>159.541.268-95</t>
  </si>
  <si>
    <t>LUIZ CLAUDIO SANTANA</t>
  </si>
  <si>
    <t>250.560.808-37</t>
  </si>
  <si>
    <t>LUIZ DONIZETE DOS REIS</t>
  </si>
  <si>
    <t>213.754.456-34</t>
  </si>
  <si>
    <t>LUIZ EDUARDO CASTRO ZEDNIK</t>
  </si>
  <si>
    <t>592.837.438-06</t>
  </si>
  <si>
    <t>LUIZ EDUARDO DE FREITAS</t>
  </si>
  <si>
    <t>506.747.438-65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</si>
  <si>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</si>
  <si>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</si>
  <si>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</si>
  <si>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</si>
  <si>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</si>
  <si>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</si>
  <si>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EDUARDO PEREIRA LOPES</t>
  </si>
  <si>
    <t>098.589.408-31</t>
  </si>
  <si>
    <t>LUIZ EDUARDO RAMOS VIEIRA - ME</t>
  </si>
  <si>
    <t>66.108.523/0001-64</t>
  </si>
  <si>
    <t>LUIZ FABIANO CORREA PEREZ</t>
  </si>
  <si>
    <t>460.690.798-33</t>
  </si>
  <si>
    <t>LUIZ FABIANO DO NASCIMENTO</t>
  </si>
  <si>
    <t>360.865.388-08</t>
  </si>
  <si>
    <t>LUIZ FELIPE VALLIM CAPUCHO</t>
  </si>
  <si>
    <t>532.648.678-42</t>
  </si>
  <si>
    <t>Luiz Fernando de Oliveira Andrade</t>
  </si>
  <si>
    <t>228.137.858-65</t>
  </si>
  <si>
    <t>LUIZ FERNANDO HAYASHI MONSTANS</t>
  </si>
  <si>
    <t>346.014.958-22</t>
  </si>
  <si>
    <t>LUIZ FERNANDO MACEDO SILVA EVENTOS</t>
  </si>
  <si>
    <t>35.271.280/0001-57</t>
  </si>
  <si>
    <t>LUIZ FERNANDO PECORA ROZA</t>
  </si>
  <si>
    <t>335.082.098-06</t>
  </si>
  <si>
    <t>LUIZ FERNANDO RADESCA</t>
  </si>
  <si>
    <t>051.675.448-31</t>
  </si>
  <si>
    <t>LUIZ FERNANDO TEIXEIRA</t>
  </si>
  <si>
    <t>226.299.708-09</t>
  </si>
  <si>
    <t>LUIZ FERNANDO TEIXEIRA OLIVEIRA</t>
  </si>
  <si>
    <t>412.249.598-92</t>
  </si>
  <si>
    <t>LUIZ FERREIRA DA COSTA</t>
  </si>
  <si>
    <t>270.459.608-59</t>
  </si>
  <si>
    <t>Luiz Gomes de Toledo</t>
  </si>
  <si>
    <t>495.232.568-74</t>
  </si>
  <si>
    <t>LUIZ GONZAGA BEZERRA BESSA</t>
  </si>
  <si>
    <t>000.061.348-74</t>
  </si>
  <si>
    <t>LUIZ GONZAGA MACEDO</t>
  </si>
  <si>
    <t>040.306.798-70</t>
  </si>
  <si>
    <t>LUIZ GUILHERME AGDO DA ROSA</t>
  </si>
  <si>
    <t>228.697.208-74</t>
  </si>
  <si>
    <t>LUIZ GUSTAVO ALVES DOS SANTOS</t>
  </si>
  <si>
    <t>375.110.598-05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</si>
  <si>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</si>
  <si>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</si>
  <si>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</si>
  <si>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</si>
  <si>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</si>
  <si>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</si>
  <si>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</si>
  <si>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</si>
  <si>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</si>
  <si>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</si>
  <si>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</si>
  <si>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</si>
  <si>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ELIZEU LAURINDO</t>
  </si>
  <si>
    <t>597.608.178-96</t>
  </si>
  <si>
    <t>LUIZ HENRIQUE LIMA</t>
  </si>
  <si>
    <t>410.081.078-40</t>
  </si>
  <si>
    <t>LUIZ HENRIQUE OLIVEIRA DE SOUZA</t>
  </si>
  <si>
    <t>482.026.528-80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</si>
  <si>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</si>
  <si>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</si>
  <si>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</si>
  <si>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</si>
  <si>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</si>
  <si>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</si>
  <si>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LUCAS DA CRUZ REDIGOLO</t>
  </si>
  <si>
    <t>445.781.408-30</t>
  </si>
  <si>
    <t>Luiz Miguel Fernandes de Lima</t>
  </si>
  <si>
    <t>516.319.788-61</t>
  </si>
  <si>
    <t>LUIZ MIGUEL MAIA DA COSTA</t>
  </si>
  <si>
    <t>494.279.858-28</t>
  </si>
  <si>
    <t>LUIZ NORBERTO BORGES</t>
  </si>
  <si>
    <t>065.105.808-29</t>
  </si>
  <si>
    <t>Luiz Octávio Palma Nunes</t>
  </si>
  <si>
    <t>513.192.948-20</t>
  </si>
  <si>
    <t>LUIZ PAULO PEIXOTO MEDEIROS</t>
  </si>
  <si>
    <t>151.145.577-26</t>
  </si>
  <si>
    <t>LUIZ RICARDO CABRAL PEREIRA</t>
  </si>
  <si>
    <t>416.310.048-24</t>
  </si>
  <si>
    <t>LUIZ RICARDO RIGHETI - EPP</t>
  </si>
  <si>
    <t>03.863.392/0001-00</t>
  </si>
  <si>
    <t>Luiz Ricardo Vaccarelli Araujo</t>
  </si>
  <si>
    <t>442.962.638-38</t>
  </si>
  <si>
    <t>LUIZ ROBERTO DA SILVA</t>
  </si>
  <si>
    <t>144.650.398-40</t>
  </si>
  <si>
    <t>019.720.838-05</t>
  </si>
  <si>
    <t>LUIZ ROBERTO JERONIMO</t>
  </si>
  <si>
    <t>267.276.088-81</t>
  </si>
  <si>
    <t>LUIZ SERGIO RODRIGUES</t>
  </si>
  <si>
    <t>150.253.158-59</t>
  </si>
  <si>
    <t>LUIZ VITOR CESAR SILVA</t>
  </si>
  <si>
    <t>472.738.718-26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</si>
  <si>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</si>
  <si>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</si>
  <si>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</si>
  <si>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</si>
  <si>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</si>
  <si>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</si>
  <si>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</si>
  <si>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</si>
  <si>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</si>
  <si>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</si>
  <si>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</si>
  <si>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</si>
  <si>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PAULA DE OLIVEIRA ZAMAGNA BOUHID</t>
  </si>
  <si>
    <t>418.364.358-94</t>
  </si>
  <si>
    <t>LUIZA RODRIGUES GOMES</t>
  </si>
  <si>
    <t>517.194.948-43</t>
  </si>
  <si>
    <t>LUM TRANSPORTE ESCOLAR LTDA</t>
  </si>
  <si>
    <t>48.509.414/0001-77</t>
  </si>
  <si>
    <t>LUMAR COM. DE PRODUTOS FARMACEUTICOS LTDA</t>
  </si>
  <si>
    <t>49.228.695/0001-52</t>
  </si>
  <si>
    <t>LUMENS ASSESSORIA E CONSULTORIA ATU</t>
  </si>
  <si>
    <t>18.934.959/0001-60</t>
  </si>
  <si>
    <t>LUMIAR HEALTH  BUILDERS EQUIPAMENTOS HOSPITALARES LTDA</t>
  </si>
  <si>
    <t>05.652.247/0006-10</t>
  </si>
  <si>
    <t>LUMIAR HEALTH BUILDERS EQUIPAMENTOS HOSPITALARES LTDA</t>
  </si>
  <si>
    <t>05.652.247/0001-06</t>
  </si>
  <si>
    <t>LUNA COSTA RAMOS</t>
  </si>
  <si>
    <t>388.107.418-03</t>
  </si>
  <si>
    <t>LUVI COMERCIO E DISTRIBUICAO DE PRODUTOS MEDICOS HOSPITALARES, ODONTOLOGICOS E EPI LTDA</t>
  </si>
  <si>
    <t>44.722.792/0001-83</t>
  </si>
  <si>
    <t>LUVI CUIDADOS DOMICILIARES E DE REMOCAO DE PACIENTES LTDA</t>
  </si>
  <si>
    <t>31.759.804/0001-00</t>
  </si>
  <si>
    <t>LUZIA CANDIDA DE OLIVEIRA</t>
  </si>
  <si>
    <t>571.815.518-68</t>
  </si>
  <si>
    <t>LUZIA CONCEIÇÃO SALES</t>
  </si>
  <si>
    <t>026.088.008-66</t>
  </si>
  <si>
    <t>LUZIA FRANCO DOS SANTOS</t>
  </si>
  <si>
    <t>708.092.168-68</t>
  </si>
  <si>
    <t>LUZIANA SIQUEIRA DA ROCHA SANTOS SILVA</t>
  </si>
  <si>
    <t>081.455.436-90</t>
  </si>
  <si>
    <t>LUZIANI APARECIDA DE JESUS SOARES</t>
  </si>
  <si>
    <t>257.899.158-84</t>
  </si>
  <si>
    <t>LUZINETE GOES CAVALCANTE 16204643819</t>
  </si>
  <si>
    <t>43.216.123/0001-77</t>
  </si>
  <si>
    <t>LYAN HENRIQUE REGINALDO PEREIRA</t>
  </si>
  <si>
    <t>511.871.998-42</t>
  </si>
  <si>
    <t>M A LOPES TRANSPORTES</t>
  </si>
  <si>
    <t>57.849.655/0001-56</t>
  </si>
  <si>
    <t>M C SJC TRANSPORTES LTDA</t>
  </si>
  <si>
    <t>49.779.552/0001-39</t>
  </si>
  <si>
    <t>M D G COMERCIAL LTDA.</t>
  </si>
  <si>
    <t>19.423.875/0001-24</t>
  </si>
  <si>
    <t>M DE L TRINDADE DA SILVA MOVEIS</t>
  </si>
  <si>
    <t>31.227.691/0001-94</t>
  </si>
  <si>
    <t>M. FARTIR DOS SANTOS LIMITADA</t>
  </si>
  <si>
    <t>62.101.412/0001-75</t>
  </si>
  <si>
    <t>M K COMERCIO DE FERRO E ACO LTDA ME</t>
  </si>
  <si>
    <t>21.423.687/0001-48</t>
  </si>
  <si>
    <t>M L COSTA LOPES EVENTOS</t>
  </si>
  <si>
    <t>26.850.550/0001-93</t>
  </si>
  <si>
    <t>M LAYDNER SERVIÇOS LTDA</t>
  </si>
  <si>
    <t>18.983.002/0001-03</t>
  </si>
  <si>
    <t>M. M .B. C. EMERGENCIAS MEDICAS LTDA</t>
  </si>
  <si>
    <t>46.142.760/0001-34</t>
  </si>
  <si>
    <t>M. MENDES G. BATISTA LTDA</t>
  </si>
  <si>
    <t>11.254.452/0001-16</t>
  </si>
  <si>
    <t>M P GARCIA SJCAMPOS - ME</t>
  </si>
  <si>
    <t>01.471.360/0001-34</t>
  </si>
  <si>
    <t>M R X TECNOLOGIA LTDA</t>
  </si>
  <si>
    <t>05.754.099/0001-30</t>
  </si>
  <si>
    <t>M TORRES CONSTRUTORA E INCORPORAÇÃO LTDA</t>
  </si>
  <si>
    <t>05.622.252/0001-76</t>
  </si>
  <si>
    <t>M. V. RIBEIRO COMERCIO E SERVICOS</t>
  </si>
  <si>
    <t>27.453.097/0001-44</t>
  </si>
  <si>
    <t>M V TRANSPORTE DE PASSAGEIROS LTDA</t>
  </si>
  <si>
    <t>31.179.603/0001-26</t>
  </si>
  <si>
    <t>MA COMÉRCIO DE REFRIGERAÇÃO LTDA</t>
  </si>
  <si>
    <t>37.673.034/0001-57</t>
  </si>
  <si>
    <t>MACRO ENGENHARIA E COMERCIO LTDA</t>
  </si>
  <si>
    <t>47.568.647/0001-88</t>
  </si>
  <si>
    <t>MADORA HOME &amp; FESTAS LTDA</t>
  </si>
  <si>
    <t>25.087.695/0001-11</t>
  </si>
  <si>
    <t>MAELSON SILVA ARAUJO</t>
  </si>
  <si>
    <t>043.136.195-93</t>
  </si>
  <si>
    <t>MAEVE PRODUTOS HOSPITALARES LTDA</t>
  </si>
  <si>
    <t>09.034.672/0001-92</t>
  </si>
  <si>
    <t>MAGALHAES E MAGALHAES COMERCIO DE VARIEDADES LTDA</t>
  </si>
  <si>
    <t>08.822.449/0001-47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</si>
  <si>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</si>
  <si>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</si>
  <si>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</si>
  <si>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</si>
  <si>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</si>
  <si>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</si>
  <si>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APARECIDA MARTINS MACEDO</t>
  </si>
  <si>
    <t>374.232.988-08</t>
  </si>
  <si>
    <t>MAIARA CRISTINA ALVES DOS SANTOS</t>
  </si>
  <si>
    <t>363.235.328-08</t>
  </si>
  <si>
    <t>MAIARA MARIA CAETANO VENANCIO DOS SANTOS</t>
  </si>
  <si>
    <t>425.065.918-69</t>
  </si>
  <si>
    <t>MAIARA PRADO PEDRO</t>
  </si>
  <si>
    <t>452.515.288-50</t>
  </si>
  <si>
    <t>Maicon de Andrade Siqueira</t>
  </si>
  <si>
    <t>116.831.246-93</t>
  </si>
  <si>
    <t>MAICON DOUGLAS CONCEICAO BARBOSA 42153304830</t>
  </si>
  <si>
    <t>37.952.683/0001-97</t>
  </si>
  <si>
    <t>Maila Oliveira Amaral</t>
  </si>
  <si>
    <t>535.130.818-55</t>
  </si>
  <si>
    <t>MAINARA DA SILVA BARBOSA</t>
  </si>
  <si>
    <t>424.797.688-56</t>
  </si>
  <si>
    <t>MAIQUE TAVARES DE OLIVEIRA</t>
  </si>
  <si>
    <t>164.806.097-86</t>
  </si>
  <si>
    <t>MAIRA DA COSTA SANTOS</t>
  </si>
  <si>
    <t>333.525.138-56</t>
  </si>
  <si>
    <t>MAIRA FERNANDA SANTOS LOPES</t>
  </si>
  <si>
    <t>480.455.998-12</t>
  </si>
  <si>
    <t>MAIRA PEREIRA ROCHA</t>
  </si>
  <si>
    <t>346.769.868-90</t>
  </si>
  <si>
    <t>MAIS SAUDE MAIS RENTABILIDADE LTDA</t>
  </si>
  <si>
    <t>47.879.547/0001-72</t>
  </si>
  <si>
    <t>MAISA VITORIA DA SILVA SOUZA SANTOS</t>
  </si>
  <si>
    <t>517.254.968-44</t>
  </si>
  <si>
    <t>Maite Eloísa Pereira Ramirez</t>
  </si>
  <si>
    <t>801.268.119-62</t>
  </si>
  <si>
    <t>MAJE DO NORDESTE INDUSTRIA E COMERCIO DE MATERIAIS ELETRICOS LTDA</t>
  </si>
  <si>
    <t>04.900.482/0001-97</t>
  </si>
  <si>
    <t>MALCOLM JAMAL MILLER</t>
  </si>
  <si>
    <t>719.001.474-83</t>
  </si>
  <si>
    <t>MALVAGLIA COMERCIAL LTDA-ME</t>
  </si>
  <si>
    <t>16.643.051/0001-71</t>
  </si>
  <si>
    <t>MANFRIN , CASSEB &amp; CIA LTDA</t>
  </si>
  <si>
    <t>72.739.543/0019-65</t>
  </si>
  <si>
    <t>MANOEL CATCHOT GAVIN</t>
  </si>
  <si>
    <t>339.248.998-00</t>
  </si>
  <si>
    <t>MANOEL COSMO DE FREITAS</t>
  </si>
  <si>
    <t>860.846.747-04</t>
  </si>
  <si>
    <t>MANOEL DA COSTA LIMA</t>
  </si>
  <si>
    <t>323.659.408-03</t>
  </si>
  <si>
    <t>MANOEL DA SILVA CHAGAS</t>
  </si>
  <si>
    <t>412.276.148-45</t>
  </si>
  <si>
    <t>MANOEL MARCOLINO NETO</t>
  </si>
  <si>
    <t>333.953.568-09</t>
  </si>
  <si>
    <t>MANOEL NUNES DOS SANTOS</t>
  </si>
  <si>
    <t>098.476.258-24</t>
  </si>
  <si>
    <t>MANOEL RIBEIRO DOS SANTOS NETO</t>
  </si>
  <si>
    <t>077.091.754-22</t>
  </si>
  <si>
    <t>MANOEL RICARDO DE ARAUJO WANDERLEY</t>
  </si>
  <si>
    <t>491.719.764-34</t>
  </si>
  <si>
    <t>MANOEL SOARES FILHO</t>
  </si>
  <si>
    <t>960.565.418-00</t>
  </si>
  <si>
    <t>MANUELA BARRETO DOS SANTOS</t>
  </si>
  <si>
    <t>452.390.908-31</t>
  </si>
  <si>
    <t>MANUELA LIANDRA DOS SANTOS SILVA</t>
  </si>
  <si>
    <t>464.563.298-17</t>
  </si>
  <si>
    <t>Manuela Oliveira Rodela</t>
  </si>
  <si>
    <t>386.839.218-16</t>
  </si>
  <si>
    <t>Manuela Rios Martinez</t>
  </si>
  <si>
    <t>001.995.209-09</t>
  </si>
  <si>
    <t>Manuela Rodrigues Alves</t>
  </si>
  <si>
    <t>520.376.008-01</t>
  </si>
  <si>
    <t>MANUELA VICTORIA RICARTE DA SILVA</t>
  </si>
  <si>
    <t>522.440.188-73</t>
  </si>
  <si>
    <t>MANUELLA DE OLIVEIRA DOS SANTOS</t>
  </si>
  <si>
    <t>553.814.458-57</t>
  </si>
  <si>
    <t>Manuella Duarte Lyrio</t>
  </si>
  <si>
    <t>016.029.721-41</t>
  </si>
  <si>
    <t>MANUELLA VITORIA RAMOS FELIX</t>
  </si>
  <si>
    <t>556.613.298-73</t>
  </si>
  <si>
    <t>MANUELY DE MORAES BARBOSA</t>
  </si>
  <si>
    <t>579.170.718-55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</si>
  <si>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</si>
  <si>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</si>
  <si>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</si>
  <si>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</si>
  <si>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</si>
  <si>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</si>
  <si>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</si>
  <si>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</si>
  <si>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MARA ALICE MILANESE PIOVESAN</t>
  </si>
  <si>
    <t>270.876.638-44</t>
  </si>
  <si>
    <t>MARA BARAUNA DOS SANTOS DIAS</t>
  </si>
  <si>
    <t>425.349.088-39</t>
  </si>
  <si>
    <t>MARA CRISTINA CLARO DE MORAIS</t>
  </si>
  <si>
    <t>138.352.108-58</t>
  </si>
  <si>
    <t>MARA LIGIA DA SILVA DE ARAUJO</t>
  </si>
  <si>
    <t>520.510.132-68</t>
  </si>
  <si>
    <t>MARA SANTOS CARAN</t>
  </si>
  <si>
    <t>271.909.328-95</t>
  </si>
  <si>
    <t>MARCEL HIGA</t>
  </si>
  <si>
    <t>201.964.048-19</t>
  </si>
  <si>
    <t>MARCEL MONTEIRO</t>
  </si>
  <si>
    <t>098.542.708-66</t>
  </si>
  <si>
    <t>MARCELA APARECIDA LESSA RODRIGUES</t>
  </si>
  <si>
    <t>458.822.348-83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</si>
  <si>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</si>
  <si>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</si>
  <si>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</si>
  <si>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</si>
  <si>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</si>
  <si>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</si>
  <si>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</si>
  <si>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</si>
  <si>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</si>
  <si>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</si>
  <si>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DOS SANTOS RODRIGUES</t>
  </si>
  <si>
    <t>246.805.478-47</t>
  </si>
  <si>
    <t>MARCELA GARCIA INOUE</t>
  </si>
  <si>
    <t>442.160.428-30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</si>
  <si>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</si>
  <si>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</si>
  <si>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</si>
  <si>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</si>
  <si>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</si>
  <si>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</si>
  <si>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</si>
  <si>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</si>
  <si>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</si>
  <si>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</si>
  <si>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MARCELLA KAROLINE FERNANDES DA SILVA</t>
  </si>
  <si>
    <t>220.782.698-83</t>
  </si>
  <si>
    <t>MARCELLE DA SILVA CAMPOS</t>
  </si>
  <si>
    <t>518.884.238-62</t>
  </si>
  <si>
    <t>MARCELO ADAIL SILVA</t>
  </si>
  <si>
    <t>290.604.368-06</t>
  </si>
  <si>
    <t>MARCELO APARECIDO OLIVEIRA RUIVO</t>
  </si>
  <si>
    <t>273.655.608-94</t>
  </si>
  <si>
    <t>MARCELO ARTELINO DA SILVA</t>
  </si>
  <si>
    <t>151.296.588-09</t>
  </si>
  <si>
    <t>MARCELO AUGUSTO BONFIM DE MATOS</t>
  </si>
  <si>
    <t>448.077.288-06</t>
  </si>
  <si>
    <t>MARCELO AUGUSTO DE LUIGGI</t>
  </si>
  <si>
    <t>265.608.098-38</t>
  </si>
  <si>
    <t>MARCELO AUGUSTO OLIVEIRA DA SILVA</t>
  </si>
  <si>
    <t>109.656.148-40</t>
  </si>
  <si>
    <t>MARCELO AUGUTO QUIRINO</t>
  </si>
  <si>
    <t>119.779.638-03</t>
  </si>
  <si>
    <t>MARCELO BARBOSA LEMES</t>
  </si>
  <si>
    <t>121.858.978-70</t>
  </si>
  <si>
    <t>MARCELO BENEDITO FROIS</t>
  </si>
  <si>
    <t>056.617.568-10</t>
  </si>
  <si>
    <t>MARCELO BRUM CANTO</t>
  </si>
  <si>
    <t>541.045.721-87</t>
  </si>
  <si>
    <t>MARCELO CHUN NAN HUANG</t>
  </si>
  <si>
    <t>302.882.248-25</t>
  </si>
  <si>
    <t>MARCELO COSTA CARVALHO</t>
  </si>
  <si>
    <t>159.421.388-77</t>
  </si>
  <si>
    <t>MARCELO COSTANTINO</t>
  </si>
  <si>
    <t>095.039.888-88</t>
  </si>
  <si>
    <t>MARCELO DA SILVA CUNHA</t>
  </si>
  <si>
    <t>299.963.108-17</t>
  </si>
  <si>
    <t>MARCELO DE CASTRO</t>
  </si>
  <si>
    <t>185.632.868-62</t>
  </si>
  <si>
    <t>MARCELO DE SOUZA SJC ME</t>
  </si>
  <si>
    <t>05.345.450/0001-30</t>
  </si>
  <si>
    <t>MARCELO DOS SANTOS</t>
  </si>
  <si>
    <t>256.743.558-19</t>
  </si>
  <si>
    <t>MARCELO FELIPE DE AMORIM</t>
  </si>
  <si>
    <t>386.468.858-28</t>
  </si>
  <si>
    <t>MARCELO FERNANDES CANDIDO</t>
  </si>
  <si>
    <t>380.064.988-81</t>
  </si>
  <si>
    <t>MARCELO FERNANDO MARTINS</t>
  </si>
  <si>
    <t>338.513.348-33</t>
  </si>
  <si>
    <t>MARCELO FRANCISCO MENDES</t>
  </si>
  <si>
    <t>122.112.648-24</t>
  </si>
  <si>
    <t>MARCELO HELTON DOS SANTOS PEREIRA</t>
  </si>
  <si>
    <t>343.419.128-36</t>
  </si>
  <si>
    <t>MARCELO HENRIQUE DE CARVALHO</t>
  </si>
  <si>
    <t>276.256.768-89</t>
  </si>
  <si>
    <t>MARCELO HENRIQUE DOS SANTOS</t>
  </si>
  <si>
    <t>201.953.418-56</t>
  </si>
  <si>
    <t>MARCELO HENRIQUE ESPINDOLA LEITE</t>
  </si>
  <si>
    <t>334.150.498-25</t>
  </si>
  <si>
    <t>MARCELO HENRIQUE SANTAREM SAMOGIN</t>
  </si>
  <si>
    <t>397.929.268-10</t>
  </si>
  <si>
    <t>MARCELO JOSE DE OLIVEIRA</t>
  </si>
  <si>
    <t>109.586.508-02</t>
  </si>
  <si>
    <t>MARCELO KAJIURA PEREIRA</t>
  </si>
  <si>
    <t>261.003.688-46</t>
  </si>
  <si>
    <t>MARCELO LEONIDIO GONCALVES</t>
  </si>
  <si>
    <t>126.367.187-02</t>
  </si>
  <si>
    <t>MARCELO MOREIRA DE SOUZA</t>
  </si>
  <si>
    <t>603.717.618-32</t>
  </si>
  <si>
    <t>MARCELO MUNIZ CORREA</t>
  </si>
  <si>
    <t>315.978.918-78</t>
  </si>
  <si>
    <t>MARCELO OLIVEIRA DA SILVA</t>
  </si>
  <si>
    <t>284.648.788-00</t>
  </si>
  <si>
    <t>MARCELO PEREIRA DE SOUZA</t>
  </si>
  <si>
    <t>266.214.768-76</t>
  </si>
  <si>
    <t>MARCELO PRADO RODRIGUES DA SILVEIRA</t>
  </si>
  <si>
    <t>744.026.847-49</t>
  </si>
  <si>
    <t>MARCELO PRIANTI DA SILVA</t>
  </si>
  <si>
    <t>159.423.948-73</t>
  </si>
  <si>
    <t>MARCELO RODOLFO DE QUEIROZ</t>
  </si>
  <si>
    <t>098.489.208-70</t>
  </si>
  <si>
    <t>MARCELO RODOLFO GUEDES DA SILVA</t>
  </si>
  <si>
    <t>328.153.128-83</t>
  </si>
  <si>
    <t>MARCELO RODRIGO MACHADO</t>
  </si>
  <si>
    <t>251.917.528-13</t>
  </si>
  <si>
    <t>MARCELO SIQUEIRA DOS SANTOS</t>
  </si>
  <si>
    <t>019.455.677-83</t>
  </si>
  <si>
    <t>MARCELO SOUSA GONÇALVES</t>
  </si>
  <si>
    <t>44.883.034/0001-47</t>
  </si>
  <si>
    <t>MARCELO TARGA DOMINGOS</t>
  </si>
  <si>
    <t>218.191.378-13</t>
  </si>
  <si>
    <t>MARCELO TELLES SBEGHEN</t>
  </si>
  <si>
    <t>044.148.648-79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</si>
  <si>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</si>
  <si>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</si>
  <si>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</si>
  <si>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</si>
  <si>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</si>
  <si>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</si>
  <si>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</si>
  <si>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</si>
  <si>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ANDREIA FLORIANO DE LIMA</t>
  </si>
  <si>
    <t>150.248.678-40</t>
  </si>
  <si>
    <t>MARCIA APARECIDA DE LIMA</t>
  </si>
  <si>
    <t>363.210.998-21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</si>
  <si>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</si>
  <si>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</si>
  <si>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</si>
  <si>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</si>
  <si>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</si>
  <si>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</si>
  <si>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ALLEGRETTI</t>
  </si>
  <si>
    <t>098.406.338-21</t>
  </si>
  <si>
    <t>MARCIA CRISTINA BARALDO</t>
  </si>
  <si>
    <t>040.133.398-11</t>
  </si>
  <si>
    <t>MARCIA CRISTINA MAGALHAES ARGENTINO SOSSO</t>
  </si>
  <si>
    <t>159.664.328-56</t>
  </si>
  <si>
    <t>MARCIA CRISTINA VIEIRA LEMOS</t>
  </si>
  <si>
    <t>278.153.338-69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</si>
  <si>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</si>
  <si>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</si>
  <si>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</si>
  <si>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</si>
  <si>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</si>
  <si>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</si>
  <si>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FABIANA RODRIGUES KERESTES</t>
  </si>
  <si>
    <t>046.618.368-20</t>
  </si>
  <si>
    <t>MARCIA FERNANDA DA SILVA</t>
  </si>
  <si>
    <t>362.328.818-77</t>
  </si>
  <si>
    <t>MARCIA HELENA DOS SANTOS TEIXEIRA</t>
  </si>
  <si>
    <t>032.084.376-92</t>
  </si>
  <si>
    <t>MARCIA INES DOS SANTOS REZENDE</t>
  </si>
  <si>
    <t>055.021.178-04</t>
  </si>
  <si>
    <t>MARCIA MARIA SOARES SILVA</t>
  </si>
  <si>
    <t>263.306.408-66</t>
  </si>
  <si>
    <t>MARCIA MOURA DE SIQUEIRA MARTINS</t>
  </si>
  <si>
    <t>437.698.238-50</t>
  </si>
  <si>
    <t>MARCIA PEREIRA RIBEIRO</t>
  </si>
  <si>
    <t>062.480.848-31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</si>
  <si>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</si>
  <si>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</si>
  <si>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</si>
  <si>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</si>
  <si>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</si>
  <si>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</si>
  <si>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SIMONE DE CASTILHO</t>
  </si>
  <si>
    <t>121.820.358-77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</si>
  <si>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</si>
  <si>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</si>
  <si>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</si>
  <si>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</si>
  <si>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</si>
  <si>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</si>
  <si>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MARCILEIA SANTO BEZERRA DA SILVA</t>
  </si>
  <si>
    <t>327.252.088-07</t>
  </si>
  <si>
    <t>MARCILENE CAFE DA CRUZ</t>
  </si>
  <si>
    <t>007.578.385-10</t>
  </si>
  <si>
    <t>MARCILIO AUGUSTO DE LIMA SIQUEIRA</t>
  </si>
  <si>
    <t>282.777.098-97</t>
  </si>
  <si>
    <t>MARCIO ALEXANDRE BOCCARDO PAES</t>
  </si>
  <si>
    <t>328.151.348-45</t>
  </si>
  <si>
    <t>MARCIO ALEXANDRE MOREIRA</t>
  </si>
  <si>
    <t>030.271.776-56</t>
  </si>
  <si>
    <t>MARCIO ANDRE DANIEL JUNIOR</t>
  </si>
  <si>
    <t>360.698.158-90</t>
  </si>
  <si>
    <t>MARCIO ANDRE DE JESUS</t>
  </si>
  <si>
    <t>283.589.468-30</t>
  </si>
  <si>
    <t>MARCIO ANDRE FIGUEIREDO DA SILVA</t>
  </si>
  <si>
    <t>22.991.349/0001-75</t>
  </si>
  <si>
    <t>MARCIO ANTONIO FILIPINI MARTINEZ</t>
  </si>
  <si>
    <t>283.170.118-01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</si>
  <si>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</si>
  <si>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</si>
  <si>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</si>
  <si>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</si>
  <si>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</si>
  <si>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</si>
  <si>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</si>
  <si>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</si>
  <si>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</si>
  <si>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</si>
  <si>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DOS ANJOS DAMASCENO</t>
  </si>
  <si>
    <t>234.476.078-40</t>
  </si>
  <si>
    <t>MARCIO FERREIRA DE NOJOSA</t>
  </si>
  <si>
    <t>788.353.058-53</t>
  </si>
  <si>
    <t>MARCIO GOMES</t>
  </si>
  <si>
    <t>153.854.168-86</t>
  </si>
  <si>
    <t>MARCIO HENRIQUE CAMARGO</t>
  </si>
  <si>
    <t>263.744.538-67</t>
  </si>
  <si>
    <t>MARCIO JOAQUIM DA SILVA</t>
  </si>
  <si>
    <t>279.197.518-70</t>
  </si>
  <si>
    <t>MARCIO JOSE DE ALMEIDA</t>
  </si>
  <si>
    <t>215.074.888-66</t>
  </si>
  <si>
    <t>MARCIO ROBERTO ARAUJO CUNHA</t>
  </si>
  <si>
    <t>336.132.788-12</t>
  </si>
  <si>
    <t>MARCIO SILVA BRAGA LEITE</t>
  </si>
  <si>
    <t>284.284.268-56</t>
  </si>
  <si>
    <t>MARCIO S.M.PEZARIM - ME</t>
  </si>
  <si>
    <t>04.743.532/0001-70</t>
  </si>
  <si>
    <t>MARCIO TIAGO DIAS</t>
  </si>
  <si>
    <t>352.740.248-90</t>
  </si>
  <si>
    <t>MARCIO VERONEZI</t>
  </si>
  <si>
    <t>268.487.128-09</t>
  </si>
  <si>
    <t>MARCIO VIEIRA</t>
  </si>
  <si>
    <t>037.549.288-72</t>
  </si>
  <si>
    <t>MARCIO VIEIRA DA SILVA</t>
  </si>
  <si>
    <t>287.328.568-06</t>
  </si>
  <si>
    <t>MARCO ANTONIO ALVES PEREIRA</t>
  </si>
  <si>
    <t>268.487.188-40</t>
  </si>
  <si>
    <t>MARCO ANTONIO CANDELARIA DE OLIVEIRA</t>
  </si>
  <si>
    <t>102.041.348-46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</si>
  <si>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</si>
  <si>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</si>
  <si>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</si>
  <si>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</si>
  <si>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</si>
  <si>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</si>
  <si>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</si>
  <si>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</si>
  <si>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Antonio Leite Rodrigues dos Anjos</t>
  </si>
  <si>
    <t>075.260.629-80</t>
  </si>
  <si>
    <t>Marco Antônio Sanches de Andrade</t>
  </si>
  <si>
    <t>446.225.748-02</t>
  </si>
  <si>
    <t>MARCO ANTONIO TOLEDO RIBEIRO</t>
  </si>
  <si>
    <t>288.657.778-26</t>
  </si>
  <si>
    <t>MARCO AURELIO BOTELHO</t>
  </si>
  <si>
    <t>199.238.908-05</t>
  </si>
  <si>
    <t>MARCO AURELIO CAVALCANTE DE FREITAS</t>
  </si>
  <si>
    <t>214.001.518-56</t>
  </si>
  <si>
    <t>MARCO AURELIO DE OLIVEIRA CORREA</t>
  </si>
  <si>
    <t>381.656.538-73</t>
  </si>
  <si>
    <t>MARCO AURELIO DE SOUZA</t>
  </si>
  <si>
    <t>301.224.998-24</t>
  </si>
  <si>
    <t>MARCO AURELIO DE SOUZA FREIRE</t>
  </si>
  <si>
    <t>271.913.148-26</t>
  </si>
  <si>
    <t>MARCO AURELIO FAUSTINO DOS SANTOS</t>
  </si>
  <si>
    <t>166.410.498-41</t>
  </si>
  <si>
    <t>Marco Aurelio Machado de Barros</t>
  </si>
  <si>
    <t>218.241.588-23</t>
  </si>
  <si>
    <t>Marco Aurélio Rondeli Cobra</t>
  </si>
  <si>
    <t>364.091.078-89</t>
  </si>
  <si>
    <t>MARCO NASCIMENTO FAZZANI</t>
  </si>
  <si>
    <t>068.513.446-61</t>
  </si>
  <si>
    <t>MARCONE DE PINHO SILVA</t>
  </si>
  <si>
    <t>311.612.118-45</t>
  </si>
  <si>
    <t>MARCOS ALEXANDRE DE CAMPOS</t>
  </si>
  <si>
    <t>138.428.438-95</t>
  </si>
  <si>
    <t>MARCOS ALVES BEZERRA DOS SANTOS</t>
  </si>
  <si>
    <t>432.278.898-03</t>
  </si>
  <si>
    <t>MARCOS ALVES DA CRUZ</t>
  </si>
  <si>
    <t>393.886.318-89</t>
  </si>
  <si>
    <t>MARCOS ANDRE JESUS</t>
  </si>
  <si>
    <t>442.214.998-93</t>
  </si>
  <si>
    <t>MARCOS ANTONIO DE MORAES</t>
  </si>
  <si>
    <t>286.026.808-13</t>
  </si>
  <si>
    <t>MARCOS ANTONIO DE SENE</t>
  </si>
  <si>
    <t>098.628.408-46</t>
  </si>
  <si>
    <t>MARCOS ANTONIO RUGGIERI FRANCO</t>
  </si>
  <si>
    <t>063.342.118-97</t>
  </si>
  <si>
    <t>MARCOS AURELIO BATISTA</t>
  </si>
  <si>
    <t>287.411.308-55</t>
  </si>
  <si>
    <t>MARCOS AURELIO DA SILVA PIRES DUART</t>
  </si>
  <si>
    <t>398.728.168-59</t>
  </si>
  <si>
    <t>MARCOS AURELIO DE SOUZA</t>
  </si>
  <si>
    <t>280.375.498-36</t>
  </si>
  <si>
    <t>MARCOS BENEDITO DE OLIVEIRA</t>
  </si>
  <si>
    <t>261.010.308-57</t>
  </si>
  <si>
    <t>MARCOS DA SILVA LEANDRO</t>
  </si>
  <si>
    <t>906.879.736-00</t>
  </si>
  <si>
    <t>MARCOS DA SILVA SOUZA</t>
  </si>
  <si>
    <t>372.887.048-07</t>
  </si>
  <si>
    <t>MARCOS DAMIAO BENTO</t>
  </si>
  <si>
    <t>254.220.258-30</t>
  </si>
  <si>
    <t>MARCOS DE OLIVEIRA ALMEIDA</t>
  </si>
  <si>
    <t>265.434.508-43</t>
  </si>
  <si>
    <t>MARCOS DOMINGUES PEREIRA</t>
  </si>
  <si>
    <t>009.301.947-56</t>
  </si>
  <si>
    <t>MARCOS DOS SANTOS</t>
  </si>
  <si>
    <t>062.466.658-10</t>
  </si>
  <si>
    <t>MARCOS E D ROCHA MORENA TROPICAL</t>
  </si>
  <si>
    <t>33.145.119/0001-01</t>
  </si>
  <si>
    <t>MARCOS EDUARDO BUENO</t>
  </si>
  <si>
    <t>413.543.588-21</t>
  </si>
  <si>
    <t>MARCOS FABIANO CORREA</t>
  </si>
  <si>
    <t>311.926.938-76</t>
  </si>
  <si>
    <t>Marcos Falchetti Machado</t>
  </si>
  <si>
    <t>113.088.218-75</t>
  </si>
  <si>
    <t>MARCOS FELIPE DA COSTA PINHO</t>
  </si>
  <si>
    <t>060.409.702-60</t>
  </si>
  <si>
    <t>MARCOS FRANCISCO DA CUNHA CARVAL</t>
  </si>
  <si>
    <t>159.657.928-59</t>
  </si>
  <si>
    <t>MARCOS HENRIQUE DO NASCIMENTO</t>
  </si>
  <si>
    <t>153.751.948-48</t>
  </si>
  <si>
    <t>MARCOS JOSÉ LORENTI LTDA</t>
  </si>
  <si>
    <t>19.717.349/0001-77</t>
  </si>
  <si>
    <t>MARCOS MOREIRA DOS SANTOS</t>
  </si>
  <si>
    <t>087.285.138-94</t>
  </si>
  <si>
    <t>MARCOS PASCHOALINI</t>
  </si>
  <si>
    <t>01.830.337/0001-99</t>
  </si>
  <si>
    <t>MARCOS PAULO BERTO FARO</t>
  </si>
  <si>
    <t>349.398.838-92</t>
  </si>
  <si>
    <t>MARCOS PAULO BUENO</t>
  </si>
  <si>
    <t>267.800.688-37</t>
  </si>
  <si>
    <t>MARCOS PAULO SANTOS LIMA</t>
  </si>
  <si>
    <t>040.559.076-80</t>
  </si>
  <si>
    <t>MARCOS PINHEIRO</t>
  </si>
  <si>
    <t>057.635.539-93</t>
  </si>
  <si>
    <t>MARCOS RENATO DA SILVA INAGUE</t>
  </si>
  <si>
    <t>494.436.228-58</t>
  </si>
  <si>
    <t>MARCOS RIBEIRO &amp; CIA LTDA</t>
  </si>
  <si>
    <t>46.686.119/0001-60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</si>
  <si>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</si>
  <si>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</si>
  <si>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</si>
  <si>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</si>
  <si>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</si>
  <si>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</si>
  <si>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ROBERTO RIBEIRO</t>
  </si>
  <si>
    <t>218.917.648-45</t>
  </si>
  <si>
    <t>MARCOS ROGERIO DA SILVA</t>
  </si>
  <si>
    <t>255.031.418-22</t>
  </si>
  <si>
    <t>MARCOS ROGERIO FRANCISCO UCHOAS</t>
  </si>
  <si>
    <t>439.057.528-75</t>
  </si>
  <si>
    <t>MARCOS ROGERIO RODRIGUES</t>
  </si>
  <si>
    <t>159.540.858-46</t>
  </si>
  <si>
    <t>MARCOS SANTIAGO VILELA PEREIRA</t>
  </si>
  <si>
    <t>315.556.318-43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</si>
  <si>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</si>
  <si>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</si>
  <si>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</si>
  <si>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</si>
  <si>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</si>
  <si>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</si>
  <si>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LOPES DOS REIS</t>
  </si>
  <si>
    <t>392.836.848-69</t>
  </si>
  <si>
    <t>MARCOS VINICIUS MARCILIANO DA SILVA</t>
  </si>
  <si>
    <t>462.698.968-35</t>
  </si>
  <si>
    <t>Marcos Vinicius Moreira Silva</t>
  </si>
  <si>
    <t>451.662.458-30</t>
  </si>
  <si>
    <t>MARCOS VINICIUS OLIVEIRA DA SILVA</t>
  </si>
  <si>
    <t>512.707.698-55</t>
  </si>
  <si>
    <t>MARCOS VIRGILIO DA SILVA</t>
  </si>
  <si>
    <t>772.013.534-20</t>
  </si>
  <si>
    <t>MARCUS LAZARO LOBO PEREIRA</t>
  </si>
  <si>
    <t>378.850.108-13</t>
  </si>
  <si>
    <t>MARCUS PAULO SANTOS SILVA</t>
  </si>
  <si>
    <t>705.023.032-47</t>
  </si>
  <si>
    <t>MARCUS PIMENTEL DE LIMA</t>
  </si>
  <si>
    <t>098.622.288-73</t>
  </si>
  <si>
    <t>MARCUS VINICIUS ALVES DE OLIVEIRA</t>
  </si>
  <si>
    <t>315.384.828-94</t>
  </si>
  <si>
    <t>MARCUS VINICIUS DE OLIVEIRA BOAVENTURA</t>
  </si>
  <si>
    <t>337.840.588-09</t>
  </si>
  <si>
    <t>MARCUS VINICIUS DOS S. PEREIRA</t>
  </si>
  <si>
    <t>416.757.368-71</t>
  </si>
  <si>
    <t>MARCUS VINICIUS EVANGELISTA COELHO</t>
  </si>
  <si>
    <t>143.739.026-90</t>
  </si>
  <si>
    <t>MARCUS VINICIUS GUIMARAES</t>
  </si>
  <si>
    <t>415.739.088-19</t>
  </si>
  <si>
    <t>MARCUS VINICIUS PETERSEN OLIVEIRA</t>
  </si>
  <si>
    <t>356.860.488-43</t>
  </si>
  <si>
    <t>MARGARET DE LOURDES FRANCISCO RUIZ</t>
  </si>
  <si>
    <t>150.069.238-73</t>
  </si>
  <si>
    <t>MARGARETE FERNANDES HONORATO</t>
  </si>
  <si>
    <t>341.986.998-36</t>
  </si>
  <si>
    <t>MARGARETE REGINA DA SILVA</t>
  </si>
  <si>
    <t>098.492.848-03</t>
  </si>
  <si>
    <t>MARGARIDA ZELIA DA FONSECA</t>
  </si>
  <si>
    <t>224.169.848-29</t>
  </si>
  <si>
    <t>MARGORETE LUZIA DA COSTA</t>
  </si>
  <si>
    <t>004.997.637-00</t>
  </si>
  <si>
    <t>MARIA ADRIANA FRANCELINO RODRIGUES</t>
  </si>
  <si>
    <t>214.722.008-61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</si>
  <si>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</si>
  <si>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</si>
  <si>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</si>
  <si>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</si>
  <si>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</si>
  <si>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</si>
  <si>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BARBOSA SERGIO</t>
  </si>
  <si>
    <t>162.832.648-40</t>
  </si>
  <si>
    <t>MARIA ANGELICA DE LIMA</t>
  </si>
  <si>
    <t>413.479.818-37</t>
  </si>
  <si>
    <t>MARIA ANGELICA RIBEIRO DA SILVA</t>
  </si>
  <si>
    <t>224.296.098-94</t>
  </si>
  <si>
    <t>MARIA ANTONIA OLIVEIRA FEITOSA</t>
  </si>
  <si>
    <t>034.755.803-81</t>
  </si>
  <si>
    <t>MARIA APARECIDA BARRETO DE ALMEIDA</t>
  </si>
  <si>
    <t>138.365.568-55</t>
  </si>
  <si>
    <t>MARIA APARECIDA BRAGA MORAES</t>
  </si>
  <si>
    <t>418.985.911-72</t>
  </si>
  <si>
    <t>MARIA APARECIDA DA ROSA</t>
  </si>
  <si>
    <t>977.394.058-68</t>
  </si>
  <si>
    <t>MARIA APARECIDA DA SILVA</t>
  </si>
  <si>
    <t>402.278.047-91</t>
  </si>
  <si>
    <t>040.904.748-17</t>
  </si>
  <si>
    <t>830.680.588-72</t>
  </si>
  <si>
    <t>MARIA APARECIDA DE CARVALHO GONCALVES</t>
  </si>
  <si>
    <t>052.738.928-56</t>
  </si>
  <si>
    <t>MARIA APARECIDA DE FATIMA UMEOKA</t>
  </si>
  <si>
    <t>457.583.956-68</t>
  </si>
  <si>
    <t>MARIA APARECIDA DE LOURDES DA SILVA</t>
  </si>
  <si>
    <t>098.534.478-43</t>
  </si>
  <si>
    <t>MARIA APARECIDA DE MATOS</t>
  </si>
  <si>
    <t>740.496.668-04</t>
  </si>
  <si>
    <t>MARIA APARECIDA DE MELLO FARIA ROCHA</t>
  </si>
  <si>
    <t>081.240.428-96</t>
  </si>
  <si>
    <t>MARIA APARECIDA DE MORAES</t>
  </si>
  <si>
    <t>072.399.358-09</t>
  </si>
  <si>
    <t>MARIA APARECIDA DE SOUZA</t>
  </si>
  <si>
    <t>052.092.088-00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</si>
  <si>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</si>
  <si>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</si>
  <si>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</si>
  <si>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</si>
  <si>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</si>
  <si>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</si>
  <si>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FLORES PEREIRA</t>
  </si>
  <si>
    <t>044.297.308-06</t>
  </si>
  <si>
    <t>MARIA APARECIDA GONCALVES DOS SANTOS</t>
  </si>
  <si>
    <t>740.323.138-49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</si>
  <si>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</si>
  <si>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</si>
  <si>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</si>
  <si>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</si>
  <si>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</si>
  <si>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</si>
  <si>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PEREIRA RODRIGUES ALVES</t>
  </si>
  <si>
    <t>830.662.848-91</t>
  </si>
  <si>
    <t>MARIA APARECIDA PINHEIRO</t>
  </si>
  <si>
    <t>108.727.788-43</t>
  </si>
  <si>
    <t>MARIA APARECIDA RODRIGUES SILVA</t>
  </si>
  <si>
    <t>227.967.268-51</t>
  </si>
  <si>
    <t>MARIA APARECIDA SILVA</t>
  </si>
  <si>
    <t>727.769.866-53</t>
  </si>
  <si>
    <t>MARIA APARECIDA SIQUEIRA DE SOUZA</t>
  </si>
  <si>
    <t>121.821.158-03</t>
  </si>
  <si>
    <t>MARIA APPARECIDA CARVALHO SATTELMAYER</t>
  </si>
  <si>
    <t>005.312.228-37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</si>
  <si>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</si>
  <si>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</si>
  <si>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</si>
  <si>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</si>
  <si>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</si>
  <si>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</si>
  <si>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BRUNA MENDES TRAJANO PEDROSA</t>
  </si>
  <si>
    <t>108.028.504-05</t>
  </si>
  <si>
    <t>MARIA CAROLINA DE BARROS DA HORA</t>
  </si>
  <si>
    <t>425.867.168-17</t>
  </si>
  <si>
    <t>Maria Carolina Lujan</t>
  </si>
  <si>
    <t>705.685.491-55</t>
  </si>
  <si>
    <t>MARIA CAROLINA RODRIGUES DE MIRANDA</t>
  </si>
  <si>
    <t>300.667.858-39</t>
  </si>
  <si>
    <t>Maria Catarina de Camargo Cerdeira</t>
  </si>
  <si>
    <t>466.374.828-70</t>
  </si>
  <si>
    <t>MARIA CECILIA CESARIO PADILHA ROSA</t>
  </si>
  <si>
    <t>446.178.778-86</t>
  </si>
  <si>
    <t>MARIA CECILIA DIAS SONNEWEND</t>
  </si>
  <si>
    <t>445.750.398-37</t>
  </si>
  <si>
    <t>MARIA CLARA ALVES BARROS DA SILVA</t>
  </si>
  <si>
    <t>456.388.778-19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</si>
  <si>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</si>
  <si>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</si>
  <si>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</si>
  <si>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</si>
  <si>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</si>
  <si>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</si>
  <si>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</si>
  <si>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</si>
  <si>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</si>
  <si>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</si>
  <si>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</si>
  <si>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</si>
  <si>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</si>
  <si>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</si>
  <si>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Lima Pacheco</t>
  </si>
  <si>
    <t>396.962.338-33</t>
  </si>
  <si>
    <t>MARIA CLARA MORAIS DA SILVA</t>
  </si>
  <si>
    <t>413.827.628-95</t>
  </si>
  <si>
    <t>MARIA CLARA MORAIS MARTINS</t>
  </si>
  <si>
    <t>545.002.588-25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</si>
  <si>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</si>
  <si>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</si>
  <si>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</si>
  <si>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</si>
  <si>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</si>
  <si>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</si>
  <si>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</si>
  <si>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</si>
  <si>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</si>
  <si>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</si>
  <si>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</si>
  <si>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</si>
  <si>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CLAUDIA CAMARA VENEZIANI SOCIEDADE INDIVIDUAL DE ADVOCACIA</t>
  </si>
  <si>
    <t>35.653.710/0001-03</t>
  </si>
  <si>
    <t>MARIA CLEIDE DE SOUSA MORAIS</t>
  </si>
  <si>
    <t>308.786.243-68</t>
  </si>
  <si>
    <t>MARIA CONCEIÇÃO SILVA</t>
  </si>
  <si>
    <t>138.448.028-51</t>
  </si>
  <si>
    <t>MARIA CRISTINA DE SIQUEIRA ROSA</t>
  </si>
  <si>
    <t>138.407.368-03</t>
  </si>
  <si>
    <t>MARIA CRISTINA DO NASCIMENTO</t>
  </si>
  <si>
    <t>185.711.478-76</t>
  </si>
  <si>
    <t>Maria Cristina Pereira de Souza</t>
  </si>
  <si>
    <t>114.530.319-60</t>
  </si>
  <si>
    <t>MARIA CRISTINA RIBEIRO CURSINO CESAR</t>
  </si>
  <si>
    <t>048.145.638-41</t>
  </si>
  <si>
    <t>MARIA DA CONCEIÇAO PEREIRA</t>
  </si>
  <si>
    <t>159.569.988-06</t>
  </si>
  <si>
    <t>MARIA DA GLORIA MARTINS GOMES</t>
  </si>
  <si>
    <t>019.334.658-32</t>
  </si>
  <si>
    <t>MARIA DA PENHA PORTELA BELONIA</t>
  </si>
  <si>
    <t>031.644.767-60</t>
  </si>
  <si>
    <t>MARIA DA PENHA SILVA</t>
  </si>
  <si>
    <t>081.291.498-85</t>
  </si>
  <si>
    <t>MARIA DALVANY DA SILVA</t>
  </si>
  <si>
    <t>328.772.048-12</t>
  </si>
  <si>
    <t>MARIA DANIELA DE MELLO SANTOS</t>
  </si>
  <si>
    <t>214.311.648-95</t>
  </si>
  <si>
    <t>MARIA DAS DORES DA SILVA NOVAES</t>
  </si>
  <si>
    <t>049.307.418-07</t>
  </si>
  <si>
    <t>MARIA DAS DORES GARCIA DE AVILA</t>
  </si>
  <si>
    <t>683.369.188-68</t>
  </si>
  <si>
    <t>MARIA DAS DORES ROSA MACIEL</t>
  </si>
  <si>
    <t>338.383.778-50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</si>
  <si>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</si>
  <si>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</si>
  <si>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</si>
  <si>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</si>
  <si>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</si>
  <si>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</si>
  <si>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</si>
  <si>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</si>
  <si>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</si>
  <si>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</si>
  <si>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GRACAS GOMES DA SILVA VIEIRA</t>
  </si>
  <si>
    <t>071.035.618-85</t>
  </si>
  <si>
    <t>MARIA DAS GRACAS RIBEIRO FERREIRA</t>
  </si>
  <si>
    <t>887.321.698-68</t>
  </si>
  <si>
    <t>MARIA DAS GRAÇAS TORRES</t>
  </si>
  <si>
    <t>073.314.298-25</t>
  </si>
  <si>
    <t>MARIA DE FATIMA ALVES</t>
  </si>
  <si>
    <t>237.076.236-53</t>
  </si>
  <si>
    <t>MARIA DE FATIMA BARBOSA</t>
  </si>
  <si>
    <t>066.108.618-62</t>
  </si>
  <si>
    <t>MARIA DE FATIMA DA SILVA</t>
  </si>
  <si>
    <t>928.791.528-87</t>
  </si>
  <si>
    <t>MARIA DE FATIMA DE MENDONCA GASPARELLA</t>
  </si>
  <si>
    <t>675.121.784-68</t>
  </si>
  <si>
    <t>MARIA DE FATIMA DE PAULA DOURADO DE OLIVEIRA ANDRADE</t>
  </si>
  <si>
    <t>283.005.748-16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</si>
  <si>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</si>
  <si>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</si>
  <si>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</si>
  <si>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</si>
  <si>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</si>
  <si>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</si>
  <si>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MOREIRA DA SILVA</t>
  </si>
  <si>
    <t>150.105.198-95</t>
  </si>
  <si>
    <t>MARIA DE FATIMA REGIS DE SOUZA</t>
  </si>
  <si>
    <t>375.736.673-53</t>
  </si>
  <si>
    <t>MARIA DE FATIMA SILVA</t>
  </si>
  <si>
    <t>213.007.986-53</t>
  </si>
  <si>
    <t>MARIA DE FATIMA TOMAZ ROSA</t>
  </si>
  <si>
    <t>224.220.968-08</t>
  </si>
  <si>
    <t>MARIA DE LOURDES COSTA DE OLIVEIRA</t>
  </si>
  <si>
    <t>890.915.408-00</t>
  </si>
  <si>
    <t>MARIA DE LOURDES DA SILVA</t>
  </si>
  <si>
    <t>040.905.478-06</t>
  </si>
  <si>
    <t>MARIA DE LOURDES DA SILVA PINHEIRO</t>
  </si>
  <si>
    <t>082.125.838-99</t>
  </si>
  <si>
    <t>MARIA DE LOURDES DA SILVA RODRIGUES</t>
  </si>
  <si>
    <t>218.042.898-76</t>
  </si>
  <si>
    <t>MARIA DE LOURDES DAS CHAGAS ALMEIDA</t>
  </si>
  <si>
    <t>334.156.818-23</t>
  </si>
  <si>
    <t>MARIA DE LOURDES FERREIRA DE SOUZA</t>
  </si>
  <si>
    <t>439.938.263-53</t>
  </si>
  <si>
    <t>MARIA DELFINA ALMEIDA DA SILVA</t>
  </si>
  <si>
    <t>738.585.363-34</t>
  </si>
  <si>
    <t>MARIA DO CARMO CATCHOT</t>
  </si>
  <si>
    <t>163.684.998-93</t>
  </si>
  <si>
    <t>MARIA DO CARMO DE FARIA BESSA</t>
  </si>
  <si>
    <t>830.452.528-34</t>
  </si>
  <si>
    <t>MARIA DO CARMO LAURINDO DOS SANTOS LARANJEIRA</t>
  </si>
  <si>
    <t>738.711.098-00</t>
  </si>
  <si>
    <t>MARIA DO CARMO NOGUEIRA</t>
  </si>
  <si>
    <t>252.561.128-48</t>
  </si>
  <si>
    <t>MARIA DO CARMO OLIVEIRA SOUZA</t>
  </si>
  <si>
    <t>249.628.818-25</t>
  </si>
  <si>
    <t>MARIA DO CARMO SANTOS DE FREITAS</t>
  </si>
  <si>
    <t>256.263.158-70</t>
  </si>
  <si>
    <t>MARIA DO CARMO SILVA SIMOES</t>
  </si>
  <si>
    <t>978.016.588-68</t>
  </si>
  <si>
    <t>MARIA DO CEU BEZERRA SILVA</t>
  </si>
  <si>
    <t>753.031.594-34</t>
  </si>
  <si>
    <t>Maria do Socorro Silva dos Santos</t>
  </si>
  <si>
    <t>753.712.353-53</t>
  </si>
  <si>
    <t>MARIA DOROTY MARTINS</t>
  </si>
  <si>
    <t>789.214.908-25</t>
  </si>
  <si>
    <t>MARIA DOS ANJOS GRACIANO DE OLIVEIRA</t>
  </si>
  <si>
    <t>564.151.908-14</t>
  </si>
  <si>
    <t>MARIA DULCELINA DE MORAIS ALVES</t>
  </si>
  <si>
    <t>028.376.518-69</t>
  </si>
  <si>
    <t>MARIA EDINA FREITAS DA SILVA</t>
  </si>
  <si>
    <t>141.666.834-97</t>
  </si>
  <si>
    <t>MARIA EDUARDA BARBOSA PEREIRA</t>
  </si>
  <si>
    <t>423.241.358-84</t>
  </si>
  <si>
    <t>MARIA EDUARDA BATISTA KLEIN</t>
  </si>
  <si>
    <t>510.153.028-07</t>
  </si>
  <si>
    <t>Maria Eduarda Carvalho Graciano</t>
  </si>
  <si>
    <t>489.125.468-80</t>
  </si>
  <si>
    <t>Maria Eduarda Costa Alves</t>
  </si>
  <si>
    <t>195.942.607-93</t>
  </si>
  <si>
    <t>MARIA EDUARDA DA CRUZ MATHEUS</t>
  </si>
  <si>
    <t>513.958.318-66</t>
  </si>
  <si>
    <t>MARIA EDUARDA DA SILVA DIAS</t>
  </si>
  <si>
    <t>239.436.628-10</t>
  </si>
  <si>
    <t>MARIA EDUARDA DA SILVA FERREIRA</t>
  </si>
  <si>
    <t>477.270.668-26</t>
  </si>
  <si>
    <t>MARIA EDUARDA DE ASSIS</t>
  </si>
  <si>
    <t>549.482.518-36</t>
  </si>
  <si>
    <t>Maria Eduarda de Jesus Nasi</t>
  </si>
  <si>
    <t>450.407.358-71</t>
  </si>
  <si>
    <t>Maria Eduarda de Mello Gonçalves</t>
  </si>
  <si>
    <t>481.006.008-05</t>
  </si>
  <si>
    <t>MARIA EDUARDA DE OLIVEIRA</t>
  </si>
  <si>
    <t>345.191.598-73</t>
  </si>
  <si>
    <t>MARIA EDUARDA DE SOUZA</t>
  </si>
  <si>
    <t>455.253.148-43</t>
  </si>
  <si>
    <t>MARIA EDUARDA DE TOLEDO FARIA</t>
  </si>
  <si>
    <t>457.712.578-18</t>
  </si>
  <si>
    <t>MARIA EDUARDA DOS SANTOS GOMES</t>
  </si>
  <si>
    <t>514.216.088-63</t>
  </si>
  <si>
    <t>Maria Eduarda Feitosa de Andrade</t>
  </si>
  <si>
    <t>593.231.068-52</t>
  </si>
  <si>
    <t>MARIA EDUARDA FERREIRA ROSANELLE</t>
  </si>
  <si>
    <t>533.611.968-76</t>
  </si>
  <si>
    <t>MARIA EDUARDA GOMES</t>
  </si>
  <si>
    <t>480.528.198-73</t>
  </si>
  <si>
    <t>MARIA EDUARDA LUCAS SIMOES</t>
  </si>
  <si>
    <t>376.509.928-70</t>
  </si>
  <si>
    <t>Maria Eduarda Marques de Araújo</t>
  </si>
  <si>
    <t>546.593.578-21</t>
  </si>
  <si>
    <t>MARIA EDUARDA MARTINS CARVALHO</t>
  </si>
  <si>
    <t>241.603.288-73</t>
  </si>
  <si>
    <t>MARIA EDUARDA NASCIMENTO SILVA</t>
  </si>
  <si>
    <t>498.492.948-09</t>
  </si>
  <si>
    <t>MARIA EDUARDA NOGUEIRA AMANO</t>
  </si>
  <si>
    <t>442.351.688-86</t>
  </si>
  <si>
    <t>MARIA EDUARDA OSIPOV DE SOUSA</t>
  </si>
  <si>
    <t>538.171.428-97</t>
  </si>
  <si>
    <t>MARIA EDUARDA PEROTTI FRIGGI GONCALVES</t>
  </si>
  <si>
    <t>512.018.168-66</t>
  </si>
  <si>
    <t>MARIA EDUARDA POMPEU LEMES</t>
  </si>
  <si>
    <t>526.410.118-32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</si>
  <si>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</si>
  <si>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</si>
  <si>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</si>
  <si>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</si>
  <si>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</si>
  <si>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</si>
  <si>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</si>
  <si>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</si>
  <si>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</si>
  <si>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</si>
  <si>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ELI DE OLIVEIRA</t>
  </si>
  <si>
    <t>628.532.281-34</t>
  </si>
  <si>
    <t>MARIA ELIANE DO NASCIMENTO</t>
  </si>
  <si>
    <t>098.503.758-09</t>
  </si>
  <si>
    <t>MARIA ELISA BRUSAMOLIN DA SILVA</t>
  </si>
  <si>
    <t>500.880.028-02</t>
  </si>
  <si>
    <t>MARIA ELISA DE JESUS SANTOS GODINHO</t>
  </si>
  <si>
    <t>606.637.138-03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</si>
  <si>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</si>
  <si>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</si>
  <si>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</si>
  <si>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</si>
  <si>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</si>
  <si>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</si>
  <si>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ELZIVAN VERISSIMO ALVES</t>
  </si>
  <si>
    <t>026.631.754-55</t>
  </si>
  <si>
    <t>MARIA EMILIA BERNARDES</t>
  </si>
  <si>
    <t>338.901.048-35</t>
  </si>
  <si>
    <t>MARIA EMILIA FERREIRA DE BARBA</t>
  </si>
  <si>
    <t>824.150.050-53</t>
  </si>
  <si>
    <t>MARIA EMILIA VICHI</t>
  </si>
  <si>
    <t>019.393.988-60</t>
  </si>
  <si>
    <t>MARIA EUNICE NERY DE SOUZA</t>
  </si>
  <si>
    <t>816.850.258-20</t>
  </si>
  <si>
    <t>Maria Fernanda de Campos</t>
  </si>
  <si>
    <t>330.632.748-44</t>
  </si>
  <si>
    <t>MARIA FERNANDA DE LIMA OLIVEIRA</t>
  </si>
  <si>
    <t>404.454.238-46</t>
  </si>
  <si>
    <t>Maria Fernanda de Paula Dias</t>
  </si>
  <si>
    <t>595.993.788-30</t>
  </si>
  <si>
    <t>MARIA FERNANDA PERREIRA</t>
  </si>
  <si>
    <t>461.842.618-78</t>
  </si>
  <si>
    <t>MARIA FERNANDA SILVA LEITE</t>
  </si>
  <si>
    <t>546.619.228-75</t>
  </si>
  <si>
    <t>MARIA FLAVIA CONCEICAO DOS REIS</t>
  </si>
  <si>
    <t>227.203.828-09</t>
  </si>
  <si>
    <t>MARIA FLAVIANA TEIXEIRA DA SILVA</t>
  </si>
  <si>
    <t>314.426.738-42</t>
  </si>
  <si>
    <t>MARIA GABRIELA ANDRADE ALMEIDA</t>
  </si>
  <si>
    <t>393.496.868-64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</si>
  <si>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</si>
  <si>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</si>
  <si>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</si>
  <si>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</si>
  <si>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</si>
  <si>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</si>
  <si>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GRAZIELE DO NASCIMENTO PINTO</t>
  </si>
  <si>
    <t>439.279.488-10</t>
  </si>
  <si>
    <t>MARIA HARUMI OTUKI DE PONCE</t>
  </si>
  <si>
    <t>676.255.098-34</t>
  </si>
  <si>
    <t>MARIA HELENA</t>
  </si>
  <si>
    <t>614.544.606-44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</si>
  <si>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</si>
  <si>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</si>
  <si>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</si>
  <si>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</si>
  <si>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</si>
  <si>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</si>
  <si>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VIEIRA CARDOSO</t>
  </si>
  <si>
    <t>093.512.678-30</t>
  </si>
  <si>
    <t>MARIA HELOISA DE BRITO FONTENELE</t>
  </si>
  <si>
    <t>602.084.778-02</t>
  </si>
  <si>
    <t>MARIA INACIA MARTINS</t>
  </si>
  <si>
    <t>199.104.478-00</t>
  </si>
  <si>
    <t>MARIA INÊS DE CASTRO SIMÕES</t>
  </si>
  <si>
    <t>199.251.798-31</t>
  </si>
  <si>
    <t>MARIA INEZ SOARES RIBEIRO LUZ</t>
  </si>
  <si>
    <t>306.545.358-41</t>
  </si>
  <si>
    <t>MARIA IRENE GONCALVES DE OLIVEIRA</t>
  </si>
  <si>
    <t>693.852.706-72</t>
  </si>
  <si>
    <t>MARIA IRISLANDIA ALVES MACEDO</t>
  </si>
  <si>
    <t>409.915.728-82</t>
  </si>
  <si>
    <t>MARIA ISABEL PRAXEDES RODRIGUES</t>
  </si>
  <si>
    <t>019.459.218-97</t>
  </si>
  <si>
    <t>MARIA ISABELLY TEIXEIRA DE MELO</t>
  </si>
  <si>
    <t>570.040.788-41</t>
  </si>
  <si>
    <t>MARIA ISAURA DA SILVA</t>
  </si>
  <si>
    <t>082.989.508-60</t>
  </si>
  <si>
    <t>MARIA IVA RODRIGUES</t>
  </si>
  <si>
    <t>199.250.108-45</t>
  </si>
  <si>
    <t>MARIA IZONETE DA SILVA LEME</t>
  </si>
  <si>
    <t>107.367.908-02</t>
  </si>
  <si>
    <t>MARIA JANETE FARIA</t>
  </si>
  <si>
    <t>138.374.718-02</t>
  </si>
  <si>
    <t>49.650.126/0001-09</t>
  </si>
  <si>
    <t>MARIA JOAQUINA APARECIDA PEDROSO</t>
  </si>
  <si>
    <t>375.069.248-38</t>
  </si>
  <si>
    <t>MARIA JOSE ALVES DOS SANTOS</t>
  </si>
  <si>
    <t>280.978.378-03</t>
  </si>
  <si>
    <t>MARIA JOSE DA SILVA</t>
  </si>
  <si>
    <t>808.594.964-49</t>
  </si>
  <si>
    <t>MARIA JOSE DE ANDRADE</t>
  </si>
  <si>
    <t>054.570.108-21</t>
  </si>
  <si>
    <t>Maria Jose de Moura</t>
  </si>
  <si>
    <t>060.026.458-02</t>
  </si>
  <si>
    <t>Maria Jose dos Santos</t>
  </si>
  <si>
    <t>135.972.548-29</t>
  </si>
  <si>
    <t>MARIA JOSE ESTEVAO DE LIMA</t>
  </si>
  <si>
    <t>059.299.234-93</t>
  </si>
  <si>
    <t>MARIA JOSE GONÇALVES COELHO DE SOUSA</t>
  </si>
  <si>
    <t>978.025.498-68</t>
  </si>
  <si>
    <t>MARIA JOSE GONCALVES DE MELO</t>
  </si>
  <si>
    <t>162.674.978-79</t>
  </si>
  <si>
    <t>MARIA JOSE NOBREGA DE SOUZA DIAS</t>
  </si>
  <si>
    <t>098.576.134-20</t>
  </si>
  <si>
    <t>MARIA JOSE RAIMUNDO DO NASCIMENTO COLEHO</t>
  </si>
  <si>
    <t>975.799.988-15</t>
  </si>
  <si>
    <t>MARIA JULIA DA SILVA RAMOS</t>
  </si>
  <si>
    <t>485.639.738-94</t>
  </si>
  <si>
    <t>MARIA JULIA DA SILVA SANTOS</t>
  </si>
  <si>
    <t>486.251.018-36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</si>
  <si>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</si>
  <si>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</si>
  <si>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</si>
  <si>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</si>
  <si>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</si>
  <si>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</si>
  <si>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Ribeiro Pinto</t>
  </si>
  <si>
    <t>509.283.728-47</t>
  </si>
  <si>
    <t>MARIA JULIA SILVA CAMPOS LOBO</t>
  </si>
  <si>
    <t>464.666.648-05</t>
  </si>
  <si>
    <t>Maria Júlia Viana de Jesus</t>
  </si>
  <si>
    <t>539.449.308-19</t>
  </si>
  <si>
    <t>MARIA LIDIANE ALVES DA SILVA</t>
  </si>
  <si>
    <t>121.337.144-99</t>
  </si>
  <si>
    <t>MARIA LUCIA DA SILVA FERREIRA</t>
  </si>
  <si>
    <t>315.486.068-12</t>
  </si>
  <si>
    <t>MARIA LUCIA DOS SANTOS</t>
  </si>
  <si>
    <t>647.165.896-68</t>
  </si>
  <si>
    <t>MARIA LUCIA RIBEIRO COUTINHO</t>
  </si>
  <si>
    <t>537.297.909-78</t>
  </si>
  <si>
    <t>MARIA LUCIA SANTOS</t>
  </si>
  <si>
    <t>268.173.088-01</t>
  </si>
  <si>
    <t>MARIA LUCIANA SOARES DA SILVA</t>
  </si>
  <si>
    <t>008.925.514-37</t>
  </si>
  <si>
    <t>Maria Luisa de Almeida</t>
  </si>
  <si>
    <t>159.399.536-97</t>
  </si>
  <si>
    <t>MARIA LUIZA DE ALMEIDA DOS SANTOS</t>
  </si>
  <si>
    <t>473.400.278-90</t>
  </si>
  <si>
    <t>Maria Luiza Moreira Pereira</t>
  </si>
  <si>
    <t>107.847.116-90</t>
  </si>
  <si>
    <t>MARIA LUIZA PEQUENO DE OLIVEIRA</t>
  </si>
  <si>
    <t>055.193.238-44</t>
  </si>
  <si>
    <t>MARIA LUIZA PEREIRA EUFRASIO</t>
  </si>
  <si>
    <t>546.634.598-97</t>
  </si>
  <si>
    <t>MARIA LUIZA ROSA RUIZ LOPES BISMARA</t>
  </si>
  <si>
    <t>272.540.878-48</t>
  </si>
  <si>
    <t>Maria Luiza Silva Perandini</t>
  </si>
  <si>
    <t>493.757.108-74</t>
  </si>
  <si>
    <t>MARIA LUIZA SIMPLICIO MOURA</t>
  </si>
  <si>
    <t>533.799.588-08</t>
  </si>
  <si>
    <t>MARIA MADALENA DA SILVA</t>
  </si>
  <si>
    <t>201.965.858-56</t>
  </si>
  <si>
    <t>MARIA MADALENA GONÇALVES CRUZ</t>
  </si>
  <si>
    <t>025.981.718-02</t>
  </si>
  <si>
    <t>MARIA MANOELINA DE LIMA</t>
  </si>
  <si>
    <t>144.572.488-00</t>
  </si>
  <si>
    <t>MARIA MARCILENE DE CAMPOS</t>
  </si>
  <si>
    <t>218.512.928-70</t>
  </si>
  <si>
    <t>MARIA MARTA SOUSA MARCONDES SILVA</t>
  </si>
  <si>
    <t>599.406.768-75</t>
  </si>
  <si>
    <t>MARIA NEZIA DONIZETTE</t>
  </si>
  <si>
    <t>026.237.808-62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</si>
  <si>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</si>
  <si>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</si>
  <si>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</si>
  <si>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</si>
  <si>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</si>
  <si>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</si>
  <si>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SEIXAS BARBOSA VITAL</t>
  </si>
  <si>
    <t>470.916.368-56</t>
  </si>
  <si>
    <t>MARIA QUITERIA DE FREITAS</t>
  </si>
  <si>
    <t>064.108.658-05</t>
  </si>
  <si>
    <t>MARIA REGINA DE JESUS PEREIRA DE SOUSA</t>
  </si>
  <si>
    <t>329.985.168-31</t>
  </si>
  <si>
    <t>Maria Regina Vieira da Costa</t>
  </si>
  <si>
    <t>005.307.938-81</t>
  </si>
  <si>
    <t>MARIA REJANE DE SOUZA</t>
  </si>
  <si>
    <t>226.491.848-92</t>
  </si>
  <si>
    <t>MARIA RITA AMORIM</t>
  </si>
  <si>
    <t>506.538.798-22</t>
  </si>
  <si>
    <t>MARIA RITA DE CASSIA DA SILVA</t>
  </si>
  <si>
    <t>109.618.938-00</t>
  </si>
  <si>
    <t>MARIA RITA FERNANDES</t>
  </si>
  <si>
    <t>159.504.718-22</t>
  </si>
  <si>
    <t>MARIA RITA RIBEIRO</t>
  </si>
  <si>
    <t>411.575.608-06</t>
  </si>
  <si>
    <t>MARIA RITA VASCONCELOS</t>
  </si>
  <si>
    <t>461.200.878-26</t>
  </si>
  <si>
    <t>Maria Salete Barbosa</t>
  </si>
  <si>
    <t>283.986.418-51</t>
  </si>
  <si>
    <t>MARIA SALETE DE LOURDES FONSECA CAMPOS</t>
  </si>
  <si>
    <t>831.162.498-49</t>
  </si>
  <si>
    <t>MARIA SELMA DA SILVA</t>
  </si>
  <si>
    <t>051.078.798-37</t>
  </si>
  <si>
    <t>MARIA SILVA DOS SANTOS</t>
  </si>
  <si>
    <t>162.853.058-89</t>
  </si>
  <si>
    <t>Maria Silvia de Oliveira</t>
  </si>
  <si>
    <t>149.984.736-03</t>
  </si>
  <si>
    <t>MARIA SIRLENE DA CONCEICAO SANTOS</t>
  </si>
  <si>
    <t>382.774.288-98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</si>
  <si>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</si>
  <si>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</si>
  <si>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</si>
  <si>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</si>
  <si>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</si>
  <si>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</si>
  <si>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DOS SANTOS</t>
  </si>
  <si>
    <t>219.386.818-27</t>
  </si>
  <si>
    <t>MARIA TERESA LEANDRO</t>
  </si>
  <si>
    <t>830.449.228-87</t>
  </si>
  <si>
    <t>MARIA TERESA LEONARDI RADICCHI SALGADO</t>
  </si>
  <si>
    <t>777.917.628-20</t>
  </si>
  <si>
    <t>MARIA TERESA NEGRAO BATISTA</t>
  </si>
  <si>
    <t>397.847.358-57</t>
  </si>
  <si>
    <t>MARIA TERESINHA PEREIRA DA SILVA</t>
  </si>
  <si>
    <t>322.322.808-02</t>
  </si>
  <si>
    <t>MARIA THEREZA CARVALHO DAS NEVES</t>
  </si>
  <si>
    <t>468.499.648-44</t>
  </si>
  <si>
    <t>MARIA VALERIA FERREIRA DE FREITAS</t>
  </si>
  <si>
    <t>224.236.948-22</t>
  </si>
  <si>
    <t>MARIA VERALUCIA SOUSA DA SILVA</t>
  </si>
  <si>
    <t>002.052.625-38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</si>
  <si>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</si>
  <si>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</si>
  <si>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</si>
  <si>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</si>
  <si>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</si>
  <si>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</si>
  <si>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</si>
  <si>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</si>
  <si>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 VITORIA DE PAULA DA SILVA</t>
  </si>
  <si>
    <t>539.788.458-81</t>
  </si>
  <si>
    <t>MARIA ZURETE</t>
  </si>
  <si>
    <t>740.486.948-04</t>
  </si>
  <si>
    <t>MARIANA ALVES</t>
  </si>
  <si>
    <t>212.542.628-57</t>
  </si>
  <si>
    <t>MARIANA ALVES DO NASCIMENTO</t>
  </si>
  <si>
    <t>506.238.668-38</t>
  </si>
  <si>
    <t>MARIANA AUGUSTA TEIXEIRA DE OLIVEIRA MESSIAS</t>
  </si>
  <si>
    <t>420.952.408-55</t>
  </si>
  <si>
    <t>MARIANA BARBOSA DA SILVA</t>
  </si>
  <si>
    <t>387.491.628-61</t>
  </si>
  <si>
    <t>MARIANA CAROLINA RODRIGUES CARLOS</t>
  </si>
  <si>
    <t>352.740.138-56</t>
  </si>
  <si>
    <t>MARIANA CAROLINE DE ALMEIDA SANTOS</t>
  </si>
  <si>
    <t>436.565.168-47</t>
  </si>
  <si>
    <t>MARIANA CAVALCANTE LINS</t>
  </si>
  <si>
    <t>057.471.814-16</t>
  </si>
  <si>
    <t>Mariana Cerqueira Soares</t>
  </si>
  <si>
    <t>549.294.028-75</t>
  </si>
  <si>
    <t>MARIANA CRUZ DE PAULA</t>
  </si>
  <si>
    <t>404.326.678-22</t>
  </si>
  <si>
    <t>MARIANA FATIMA CAETANO</t>
  </si>
  <si>
    <t>214.895.948-41</t>
  </si>
  <si>
    <t>MARIANA FERNANDES DOS SANTOS</t>
  </si>
  <si>
    <t>463.802.698-27</t>
  </si>
  <si>
    <t>MARIANA FERREIRA DE SOUZA</t>
  </si>
  <si>
    <t>464.426.108-45</t>
  </si>
  <si>
    <t>MARIANA GONÇALVES SILVA DE LIMA</t>
  </si>
  <si>
    <t>465.751.428-85</t>
  </si>
  <si>
    <t>MARIANA HELENA DE VITA</t>
  </si>
  <si>
    <t>215.123.138-07</t>
  </si>
  <si>
    <t>MARIANA MORAIS SANTOS</t>
  </si>
  <si>
    <t>542.098.058-40</t>
  </si>
  <si>
    <t>MARIANA NABERO SILVA</t>
  </si>
  <si>
    <t>519.001.298-09</t>
  </si>
  <si>
    <t>MARIANA OLIVEIRA DOS ANJOS</t>
  </si>
  <si>
    <t>861.384.395-62</t>
  </si>
  <si>
    <t>MARIANA OLIVEIRA FREITAS</t>
  </si>
  <si>
    <t>465.135.708-32</t>
  </si>
  <si>
    <t>MARIANA RIBEIRO NEVES DE LIMA</t>
  </si>
  <si>
    <t>443.902.218-92</t>
  </si>
  <si>
    <t>MARIANA SANTOS DA SILVA DOMINGUES</t>
  </si>
  <si>
    <t>117.450.477-35</t>
  </si>
  <si>
    <t>MARIANA SULATO PEREIRA</t>
  </si>
  <si>
    <t>527.623.308-07</t>
  </si>
  <si>
    <t>Mariana Viana Americo</t>
  </si>
  <si>
    <t>492.050.428-46</t>
  </si>
  <si>
    <t>Mariana Vitória Ribeiro Cunha</t>
  </si>
  <si>
    <t>467.929.218-07</t>
  </si>
  <si>
    <t>MARIANE APARECIDA COSTA DA ROSA</t>
  </si>
  <si>
    <t>427.788.298-65</t>
  </si>
  <si>
    <t>MARIANE DARDOSO DE PAIVA</t>
  </si>
  <si>
    <t>434.312.018-06</t>
  </si>
  <si>
    <t>MARIANE MATOS DE OLIVEIRA</t>
  </si>
  <si>
    <t>439.359.918-78</t>
  </si>
  <si>
    <t>MARIANE MOURA DO NASCIMENTO BELLONI</t>
  </si>
  <si>
    <t>410.931.218-31</t>
  </si>
  <si>
    <t>MARIANE PINTO CAROLINO</t>
  </si>
  <si>
    <t>385.899.488-03</t>
  </si>
  <si>
    <t>MARIANE RAMOS DE GODOI</t>
  </si>
  <si>
    <t>334.645.808-30</t>
  </si>
  <si>
    <t>MARIANNY ESTEVAM DO COUTO</t>
  </si>
  <si>
    <t>457.075.858-42</t>
  </si>
  <si>
    <t>Mariany Faggiani de Oliveira</t>
  </si>
  <si>
    <t>482.133.508-55</t>
  </si>
  <si>
    <t>MARICELIA DA SILVA FERREIRA</t>
  </si>
  <si>
    <t>446.570.938-27</t>
  </si>
  <si>
    <t>MARIELE LAILA DE PAULA ALVES</t>
  </si>
  <si>
    <t>448.055.738-56</t>
  </si>
  <si>
    <t>MARIELLY LIVIA LOPES DOS SANTOS</t>
  </si>
  <si>
    <t>020.722.581-89</t>
  </si>
  <si>
    <t>MARIETI BUENO DE ALMEIDA 21468797859</t>
  </si>
  <si>
    <t>13.419.781/0001-03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</si>
  <si>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</si>
  <si>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</si>
  <si>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</si>
  <si>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</si>
  <si>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</si>
  <si>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</si>
  <si>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MARILDA BALERINE DA SILVA</t>
  </si>
  <si>
    <t>006.641.738-45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</si>
  <si>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</si>
  <si>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</si>
  <si>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</si>
  <si>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</si>
  <si>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</si>
  <si>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</si>
  <si>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MARILENE MARIANO DE MATTOS</t>
  </si>
  <si>
    <t>465.462.353-15</t>
  </si>
  <si>
    <t>MARILENE SANT ANNA CLAUDINO</t>
  </si>
  <si>
    <t>062.477.868-16</t>
  </si>
  <si>
    <t>MARILIA BRUNA ALVES MENDES</t>
  </si>
  <si>
    <t>362.312.808-29</t>
  </si>
  <si>
    <t>MARILIA FERREIRA MACIEL</t>
  </si>
  <si>
    <t>222.576.148-52</t>
  </si>
  <si>
    <t>Marília Gabriela Falcão Muniz</t>
  </si>
  <si>
    <t>153.835.454-33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</si>
  <si>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</si>
  <si>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</si>
  <si>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</si>
  <si>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</si>
  <si>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</si>
  <si>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</si>
  <si>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MARIMAX COMERCIO E IMPORTAÇÃO DE PRODUTOS PARA SAUDE E VETERINARIOS LTDA</t>
  </si>
  <si>
    <t>20.339.865/0001-94</t>
  </si>
  <si>
    <t>MARINA APARECIDA DOS SANTOS</t>
  </si>
  <si>
    <t>046.252.658-51</t>
  </si>
  <si>
    <t>MARINA CAJUEIRO DE JESUS</t>
  </si>
  <si>
    <t>150.145.148-04</t>
  </si>
  <si>
    <t>MARINA CECILIA ROSSI DE CARVALHO</t>
  </si>
  <si>
    <t>051.701.388-65</t>
  </si>
  <si>
    <t>MARINA CLAUDIA DOS SANTOS</t>
  </si>
  <si>
    <t>294.513.908-12</t>
  </si>
  <si>
    <t>MARINA CRISTINA DOS SANTOS MAXIMO SANTANA</t>
  </si>
  <si>
    <t>396.850.878-57</t>
  </si>
  <si>
    <t>MARINA DA SILVA OLIVEIRA</t>
  </si>
  <si>
    <t>419.861.748-16</t>
  </si>
  <si>
    <t>MARINA HELOISA DA SILVA</t>
  </si>
  <si>
    <t>525.408.548-77</t>
  </si>
  <si>
    <t>Marina Isabela Kaminscki</t>
  </si>
  <si>
    <t>044.340.930-70</t>
  </si>
  <si>
    <t>MARINA IZABEL TAVARES</t>
  </si>
  <si>
    <t>063.777.058-75</t>
  </si>
  <si>
    <t>MARINA JESUS FERNANDES</t>
  </si>
  <si>
    <t>527.548.188-80</t>
  </si>
  <si>
    <t>MARINA LIMA FELIX</t>
  </si>
  <si>
    <t>476.890.928-02</t>
  </si>
  <si>
    <t>MARINA LOURES BARBOZA</t>
  </si>
  <si>
    <t>108.054.176-48</t>
  </si>
  <si>
    <t>MARINA MAGELA PINTO</t>
  </si>
  <si>
    <t>465.637.228-57</t>
  </si>
  <si>
    <t>MARINA NAKANISHI GARCIA REZENDE</t>
  </si>
  <si>
    <t>186.219.568-45</t>
  </si>
  <si>
    <t>MARINA PANICHI TREZ</t>
  </si>
  <si>
    <t>159.559.938-00</t>
  </si>
  <si>
    <t>MARINA VARDAKAS RODRIGUES ALVES</t>
  </si>
  <si>
    <t>393.056.988-40</t>
  </si>
  <si>
    <t>MARINALVA BENIGNA DE SOUZA SILVA</t>
  </si>
  <si>
    <t>703.609.794-91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</si>
  <si>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</si>
  <si>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</si>
  <si>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</si>
  <si>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</si>
  <si>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</si>
  <si>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</si>
  <si>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</si>
  <si>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</si>
  <si>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</si>
  <si>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</si>
  <si>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ELOI VIARD COSTA</t>
  </si>
  <si>
    <t>054.136.858-31</t>
  </si>
  <si>
    <t>MARIO GUIMARAES BORREL</t>
  </si>
  <si>
    <t>183.039.677-38</t>
  </si>
  <si>
    <t>Mario Hitoshi Nakahara</t>
  </si>
  <si>
    <t>046.876.848-31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</si>
  <si>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</si>
  <si>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</si>
  <si>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</si>
  <si>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</si>
  <si>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</si>
  <si>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</si>
  <si>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RAMOS DOS SANTOS</t>
  </si>
  <si>
    <t>099.771.388-77</t>
  </si>
  <si>
    <t>MARIO SERGIO AUGUSTO</t>
  </si>
  <si>
    <t>051.037.078-02</t>
  </si>
  <si>
    <t>MARIO SERGIO CORREA DE LIRA</t>
  </si>
  <si>
    <t>427.917.178-54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</si>
  <si>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</si>
  <si>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</si>
  <si>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</si>
  <si>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</si>
  <si>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</si>
  <si>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</si>
  <si>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</si>
  <si>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</si>
  <si>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APARECIDA TAU</t>
  </si>
  <si>
    <t>365.062.448-60</t>
  </si>
  <si>
    <t>MARISOL PEREZ MASSO</t>
  </si>
  <si>
    <t>065.709.961-93</t>
  </si>
  <si>
    <t>MARIVALDA EUFRASIO PEREIRA</t>
  </si>
  <si>
    <t>109.614.818-89</t>
  </si>
  <si>
    <t>MARIVANIA SANTOS DE JESUS FERNANDES</t>
  </si>
  <si>
    <t>004.853.075-10</t>
  </si>
  <si>
    <t>MARIZETE APARECIDA COELHO</t>
  </si>
  <si>
    <t>279.675.138-43</t>
  </si>
  <si>
    <t>MARIZETH RIBEIRO DE SOUZA</t>
  </si>
  <si>
    <t>563.717.303-63</t>
  </si>
  <si>
    <t>MARLEN HECHAVARRIA RODRIGUEZ</t>
  </si>
  <si>
    <t>067.729.641-01</t>
  </si>
  <si>
    <t>MARLENE APA DE JESUS LOPES</t>
  </si>
  <si>
    <t>399.052.318-03</t>
  </si>
  <si>
    <t>Marlene Aparecida de Almeida</t>
  </si>
  <si>
    <t>016.688.309-30</t>
  </si>
  <si>
    <t>MARLENE DA SILVA CAVALCANTE SOARES</t>
  </si>
  <si>
    <t>271.243.278-90</t>
  </si>
  <si>
    <t>MARLENE DOS SANTOS LEANDRO</t>
  </si>
  <si>
    <t>001.262.274-54</t>
  </si>
  <si>
    <t>MARLENE MAGALHAES</t>
  </si>
  <si>
    <t>094.621.276-70</t>
  </si>
  <si>
    <t>MARLENE MARA DA SILVA</t>
  </si>
  <si>
    <t>077.638.488-04</t>
  </si>
  <si>
    <t>MARLENE TODÃO DE SOUZA</t>
  </si>
  <si>
    <t>523.047.478-50</t>
  </si>
  <si>
    <t>MARLETE CRISTINA ALVES</t>
  </si>
  <si>
    <t>256.102.138-60</t>
  </si>
  <si>
    <t>MARLI DO CARMO ALMEIDA</t>
  </si>
  <si>
    <t>643.836.019-87</t>
  </si>
  <si>
    <t>MARLI PEREIRA DOS SANTOS</t>
  </si>
  <si>
    <t>162.758.128-69</t>
  </si>
  <si>
    <t>Marli Rodrigues</t>
  </si>
  <si>
    <t>071.261.818-09</t>
  </si>
  <si>
    <t>MARLI SANTOS ALVES</t>
  </si>
  <si>
    <t>040.907.368-70</t>
  </si>
  <si>
    <t>MARLON ERIX DA SILVA</t>
  </si>
  <si>
    <t>442.774.468-09</t>
  </si>
  <si>
    <t>MARLON MOTTA DE FREITAS</t>
  </si>
  <si>
    <t>397.199.208-07</t>
  </si>
  <si>
    <t>MARLUCE RODRIGUES ALVES</t>
  </si>
  <si>
    <t>019.346.728-31</t>
  </si>
  <si>
    <t>MARLUCIA RIBEIRO FELIPE LEITAO</t>
  </si>
  <si>
    <t>342.369.488-26</t>
  </si>
  <si>
    <t>MARLUVAS CALÇADOS DE SEGURANÇA LTDA.</t>
  </si>
  <si>
    <t>19.653.054/0020-47</t>
  </si>
  <si>
    <t>Marly Isabel Inácio Carvalho</t>
  </si>
  <si>
    <t>171.352.887-85</t>
  </si>
  <si>
    <t>MARPLAS CORDOES ACESSORIOS E BRINDES LTDA - ME</t>
  </si>
  <si>
    <t>56.544.141/0001-20</t>
  </si>
  <si>
    <t>MARPRADO CONSTRUÇÃO CIVIL LTDA</t>
  </si>
  <si>
    <t>09.052.198/0001-21</t>
  </si>
  <si>
    <t>MARQUES &amp; MARQUES COMERCIO DE GAS LTDA - ME</t>
  </si>
  <si>
    <t>01.019.351/0001-07</t>
  </si>
  <si>
    <t>MARTA YUKIYO KODAMA TARUMI</t>
  </si>
  <si>
    <t>041.088.458-89</t>
  </si>
  <si>
    <t>Martin Alberto Gonzalez Gimenez</t>
  </si>
  <si>
    <t>078.228.078-11</t>
  </si>
  <si>
    <t>MARTÍN ARIEL FERNANDEZ</t>
  </si>
  <si>
    <t>068.604.818-03</t>
  </si>
  <si>
    <t>MARTINI COMERCIO E IMPORTAÇÃO LTDA</t>
  </si>
  <si>
    <t>46.050.464/0001-03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</si>
  <si>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</si>
  <si>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</si>
  <si>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</si>
  <si>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</si>
  <si>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</si>
  <si>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</si>
  <si>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MARYLIN GINQUETINY FARIA ROCHA</t>
  </si>
  <si>
    <t>070.040.046-00</t>
  </si>
  <si>
    <t>MARZAGAO E BALARO ADVOGADOS</t>
  </si>
  <si>
    <t>57.864.936/0001-88</t>
  </si>
  <si>
    <t>MASPEL COMERCIO DE FERRAGENS E FERRAMENTAS LTDA</t>
  </si>
  <si>
    <t>49.419.122/0001-06</t>
  </si>
  <si>
    <t>MASSUO KIMURA</t>
  </si>
  <si>
    <t>226.147.708-25</t>
  </si>
  <si>
    <t>MASTER INDUSTRIA COMERCIO E REPRESENTACOES LTDA</t>
  </si>
  <si>
    <t>18.627.195/0001-60</t>
  </si>
  <si>
    <t>MASTER NUTRICAO E EVENTOS LTDA</t>
  </si>
  <si>
    <t>25.137.427/0001-67</t>
  </si>
  <si>
    <t>MASTERCONT ASSESSORIA CONTABIL LTDA</t>
  </si>
  <si>
    <t>53.717.285/0001-42</t>
  </si>
  <si>
    <t>MASTERCONT SERVICOS EMPRESARIAIS LTDA</t>
  </si>
  <si>
    <t>06.344.872/0001-53</t>
  </si>
  <si>
    <t>MATEUS ANTONIO DEBONA</t>
  </si>
  <si>
    <t>051.364.711-23</t>
  </si>
  <si>
    <t>MATEUS AUGUSTO DOS SANTOS BARUEL</t>
  </si>
  <si>
    <t>475.477.678-00</t>
  </si>
  <si>
    <t>MATEUS AUGUSTO MAIA SANTOS ROSA 42295226813</t>
  </si>
  <si>
    <t>15.025.197/0001-90</t>
  </si>
  <si>
    <t>MATEUS BARBOSA FERREIRA DAS NEVES</t>
  </si>
  <si>
    <t>531.648.888-13</t>
  </si>
  <si>
    <t>MATEUS DA SILVA NUNES</t>
  </si>
  <si>
    <t>384.636.918-70</t>
  </si>
  <si>
    <t>MATEUS DE OLIVEIRA PESTANA</t>
  </si>
  <si>
    <t>353.583.648-46</t>
  </si>
  <si>
    <t>MATEUS ESTEVES SANTOS</t>
  </si>
  <si>
    <t>407.974.788-84</t>
  </si>
  <si>
    <t>MATEUS FELIPE JARDIM MARTINS</t>
  </si>
  <si>
    <t>478.190.458-09</t>
  </si>
  <si>
    <t>MATEUS MOURA CAMPOS</t>
  </si>
  <si>
    <t>289.797.918-60</t>
  </si>
  <si>
    <t>MATEUS NASCIMENTO LEITE</t>
  </si>
  <si>
    <t>452.222.108-80</t>
  </si>
  <si>
    <t>MATEUS NASCIMENTO SIQUEIRA DOS SANTOS</t>
  </si>
  <si>
    <t>406.140.888-79</t>
  </si>
  <si>
    <t>MATEUS PALMA DE CAMARGO</t>
  </si>
  <si>
    <t>363.167.618-21</t>
  </si>
  <si>
    <t>MATEUS VICENTE RAYMUNDO</t>
  </si>
  <si>
    <t>414.151.888-31</t>
  </si>
  <si>
    <t>MATHEUS ABILIO BATISTA</t>
  </si>
  <si>
    <t>417.604.158-71</t>
  </si>
  <si>
    <t>MATHEUS ALBUQUERQUE DOS SANTOS</t>
  </si>
  <si>
    <t>599.318.438-88</t>
  </si>
  <si>
    <t>MATHEUS APARECIDO TADEU DA SILVA</t>
  </si>
  <si>
    <t>431.747.178-76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</si>
  <si>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</si>
  <si>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</si>
  <si>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</si>
  <si>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</si>
  <si>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</si>
  <si>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</si>
  <si>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</si>
  <si>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</si>
  <si>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BISAGGIO SILVA</t>
  </si>
  <si>
    <t>121.826.117-03</t>
  </si>
  <si>
    <t>MATHEUS BISPO DOS SANTOS</t>
  </si>
  <si>
    <t>052.428.821-66</t>
  </si>
  <si>
    <t>Matheus Brandão Fernandes Pereira</t>
  </si>
  <si>
    <t>511.319.738-60</t>
  </si>
  <si>
    <t>MATHEUS COMÉRCIO ATACADISTA LTDA</t>
  </si>
  <si>
    <t>45.053.942/0001-76</t>
  </si>
  <si>
    <t>MATHEUS DE FARIA BESSA</t>
  </si>
  <si>
    <t>218.342.098-70</t>
  </si>
  <si>
    <t>Matheus de Moura Sette</t>
  </si>
  <si>
    <t>467.308.368-73</t>
  </si>
  <si>
    <t>MATHEUS DE OLIVEIRA SANTOS</t>
  </si>
  <si>
    <t>383.419.198-18</t>
  </si>
  <si>
    <t>Matheus Dinardi Chaves</t>
  </si>
  <si>
    <t>027.531.492-83</t>
  </si>
  <si>
    <t>MATHEUS DONATELLI CARVALHO FERNANDES</t>
  </si>
  <si>
    <t>341.012.218-47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</si>
  <si>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</si>
  <si>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</si>
  <si>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</si>
  <si>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</si>
  <si>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</si>
  <si>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</si>
  <si>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</si>
  <si>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</si>
  <si>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Ely Arruda</t>
  </si>
  <si>
    <t>510.735.408-47</t>
  </si>
  <si>
    <t>MATHEUS FELIPE CANUTO MOREIRA</t>
  </si>
  <si>
    <t>535.807.848-70</t>
  </si>
  <si>
    <t>MATHEUS GABRIEL SILVA DE SOUZA</t>
  </si>
  <si>
    <t>447.730.938-46</t>
  </si>
  <si>
    <t>MATHEUS GENEROSO DA SILVA MENDES</t>
  </si>
  <si>
    <t>480.014.988-67</t>
  </si>
  <si>
    <t>MATHEUS GOMES</t>
  </si>
  <si>
    <t>382.204.958-12</t>
  </si>
  <si>
    <t>MATHEUS HENRIQUE CARVALHO SILVA</t>
  </si>
  <si>
    <t>467.174.358-28</t>
  </si>
  <si>
    <t>MATHEUS HENRIQUE DE CASTRO HOMEM ALVES</t>
  </si>
  <si>
    <t>384.400.138-76</t>
  </si>
  <si>
    <t>Matheus Henrique dos Santos Januário</t>
  </si>
  <si>
    <t>482.731.078-50</t>
  </si>
  <si>
    <t>MATHEUS HENRIQUE MACHADO</t>
  </si>
  <si>
    <t>124.839.656-10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</si>
  <si>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</si>
  <si>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</si>
  <si>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</si>
  <si>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</si>
  <si>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</si>
  <si>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</si>
  <si>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</si>
  <si>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</si>
  <si>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</si>
  <si>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</si>
  <si>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Mendes Domingues Ribeiro</t>
  </si>
  <si>
    <t>021.343.536-51</t>
  </si>
  <si>
    <t>MATHEUS MOREIRA DE ALMEIDA</t>
  </si>
  <si>
    <t>421.951.978-54</t>
  </si>
  <si>
    <t>MATHEUS NASCIMENTO DE MELLO PINHO</t>
  </si>
  <si>
    <t>563.892.888-08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</si>
  <si>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</si>
  <si>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</si>
  <si>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</si>
  <si>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</si>
  <si>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</si>
  <si>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</si>
  <si>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RIBEIRO DE OIVEIRA</t>
  </si>
  <si>
    <t>460.050.108-08</t>
  </si>
  <si>
    <t>MATHEUS RICARDO RIBEIRO</t>
  </si>
  <si>
    <t>504.199.738-18</t>
  </si>
  <si>
    <t>MATHEUS RODRIGUES PESSANHA GOMES</t>
  </si>
  <si>
    <t>453.501.488-42</t>
  </si>
  <si>
    <t>MATHEUS SANTOS DE SOUZA</t>
  </si>
  <si>
    <t>426.178.388-62</t>
  </si>
  <si>
    <t>MATHEUS SANTOS NEVES DA SILVA</t>
  </si>
  <si>
    <t>152.301.526-80</t>
  </si>
  <si>
    <t>MATHEUS SANTOS SIMÃO COSTA</t>
  </si>
  <si>
    <t>414.126.168-83</t>
  </si>
  <si>
    <t>MATHEUS SILVA DE TOLEDO</t>
  </si>
  <si>
    <t>126.152.659-70</t>
  </si>
  <si>
    <t>MATHEUS SOUZA DA SILVA</t>
  </si>
  <si>
    <t>399.523.138-10</t>
  </si>
  <si>
    <t>MATHEUS WILLIAM FERNANDES</t>
  </si>
  <si>
    <t>345.651.568-57</t>
  </si>
  <si>
    <t>MAURA ALVES FARIA - ME</t>
  </si>
  <si>
    <t>19.525.102/0001-59</t>
  </si>
  <si>
    <t>MAURICEIA CRISTINA DA SILVA</t>
  </si>
  <si>
    <t>270.769.928-41</t>
  </si>
  <si>
    <t>MAURICEIA DOS SANTOS PAULINO</t>
  </si>
  <si>
    <t>309.208.478-03</t>
  </si>
  <si>
    <t>MAURICIO CLAUDIO SANTIAGO DA SILVA</t>
  </si>
  <si>
    <t>073.715.687-29</t>
  </si>
  <si>
    <t>MAURICIO DE MOURA</t>
  </si>
  <si>
    <t>047.698.918-30</t>
  </si>
  <si>
    <t>MAURICIO DOMINGUES</t>
  </si>
  <si>
    <t>081.010.848-86</t>
  </si>
  <si>
    <t>MAURICIO FERREIRA COELHO</t>
  </si>
  <si>
    <t>266.038.188-76</t>
  </si>
  <si>
    <t>MAURICIO ITO RIBEIRO</t>
  </si>
  <si>
    <t>067.481.696-07</t>
  </si>
  <si>
    <t>MAURICIO REIS DE SA VELOSO</t>
  </si>
  <si>
    <t>051.278.863-40</t>
  </si>
  <si>
    <t>MAURICIO SENE MOLINARO</t>
  </si>
  <si>
    <t>370.584.918-28</t>
  </si>
  <si>
    <t>MAURILIO GOMES DE SÁ</t>
  </si>
  <si>
    <t>572.679.796-53</t>
  </si>
  <si>
    <t>MAURINA DOS SANTOS CRUZ</t>
  </si>
  <si>
    <t>434.936.025-53</t>
  </si>
  <si>
    <t>MAURINO DAVI KLEIN</t>
  </si>
  <si>
    <t>275.193.968-60</t>
  </si>
  <si>
    <t>Maurino Paulo de Carvalho</t>
  </si>
  <si>
    <t>469.832.108-59</t>
  </si>
  <si>
    <t>MAURO AGUIAR VILLELA</t>
  </si>
  <si>
    <t>150.874.098-49</t>
  </si>
  <si>
    <t>MAURO APARECIDO LEITE</t>
  </si>
  <si>
    <t>738.023.368-87</t>
  </si>
  <si>
    <t>Mauro Azevedo dos Santos</t>
  </si>
  <si>
    <t>320.638.458-32</t>
  </si>
  <si>
    <t>MAURO JULIANO PRESOTTO</t>
  </si>
  <si>
    <t>417.332.628-90</t>
  </si>
  <si>
    <t>MAURO LEME DO NASCIMENTO JUNIOR</t>
  </si>
  <si>
    <t>273.274.358-59</t>
  </si>
  <si>
    <t>MAX PAUVOLID DA SILVA</t>
  </si>
  <si>
    <t>501.076.108-41</t>
  </si>
  <si>
    <t>MAX PHARMA COMERCIO LTDA</t>
  </si>
  <si>
    <t>43.548.244/0001-16</t>
  </si>
  <si>
    <t>MAXIMA DENTAL IMPORTACAO, EXPORTACAO E COMERCIO DE PRODUTOS ODONTOLOGICOS LTDA</t>
  </si>
  <si>
    <t>28.857.335/0001-40</t>
  </si>
  <si>
    <t>MAXIMA SUPRIMENTOS LTDA ME</t>
  </si>
  <si>
    <t>51.394.810/0001-00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</si>
  <si>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</si>
  <si>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</si>
  <si>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</si>
  <si>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</si>
  <si>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</si>
  <si>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</si>
  <si>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</si>
  <si>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</si>
  <si>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</si>
  <si>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</si>
  <si>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</si>
  <si>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</si>
  <si>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MAXWELL DE OLIVEIRA DE MENDONCA</t>
  </si>
  <si>
    <t>114.821.667-71</t>
  </si>
  <si>
    <t>MAXWELL JOSE DA SILVA</t>
  </si>
  <si>
    <t>416.999.508-22</t>
  </si>
  <si>
    <t>Mayara Alessandra Oliveira da Silva</t>
  </si>
  <si>
    <t>034.084.783-25</t>
  </si>
  <si>
    <t>MAYARA ARIANE GOULART MOREIRA</t>
  </si>
  <si>
    <t>570.473.308-52</t>
  </si>
  <si>
    <t>Mayara Cristina Justino</t>
  </si>
  <si>
    <t>467.819.068-60</t>
  </si>
  <si>
    <t>Mayara Crystina Leoncio Marins</t>
  </si>
  <si>
    <t>159.207.107-48</t>
  </si>
  <si>
    <t>Mayara de Carvalho Farias</t>
  </si>
  <si>
    <t>044.033.972-39</t>
  </si>
  <si>
    <t>MAYARA DUARTE LIMA DA SILVA</t>
  </si>
  <si>
    <t>375.693.368-79</t>
  </si>
  <si>
    <t>MAYARA FERNANDES TOLEDO</t>
  </si>
  <si>
    <t>361.809.588-07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</si>
  <si>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</si>
  <si>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</si>
  <si>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</si>
  <si>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</si>
  <si>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</si>
  <si>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</si>
  <si>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</si>
  <si>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</si>
  <si>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CAMILA LOPES DE SOUZA</t>
  </si>
  <si>
    <t>099.090.594-28</t>
  </si>
  <si>
    <t>MAYRA FALCAO PEREIRA DOS SANTOS</t>
  </si>
  <si>
    <t>741.222.232-53</t>
  </si>
  <si>
    <t>MAYSA CRISTINA SANA RIBEIRO</t>
  </si>
  <si>
    <t>584.235.768-25</t>
  </si>
  <si>
    <t>MAYSA MARIA ALENCAR CRUZ</t>
  </si>
  <si>
    <t>484.304.418-08</t>
  </si>
  <si>
    <t>MAYSA SANTANA FERRAZ DANTAS</t>
  </si>
  <si>
    <t>363.915.548-38</t>
  </si>
  <si>
    <t>MAYSA SANTOS DAS NEVES</t>
  </si>
  <si>
    <t>115.117.196-48</t>
  </si>
  <si>
    <t>MAYUMI VITORIA DA SILVA APARECIDO</t>
  </si>
  <si>
    <t>420.564.408-65</t>
  </si>
  <si>
    <t>MB ENTREPOSTO DE CARNE LTDA</t>
  </si>
  <si>
    <t>30.341.546/0001-77</t>
  </si>
  <si>
    <t>MB PROJECT 3D SOLIDWORKS LTDA</t>
  </si>
  <si>
    <t>35.696.597/0001-35</t>
  </si>
  <si>
    <t>M.C.O SERVICOS DE INFORMACOES COMUNICACAO LTDA</t>
  </si>
  <si>
    <t>18.060.920/0001-60</t>
  </si>
  <si>
    <t>MCR SISTEMAS E CONSULTORIA LTDA</t>
  </si>
  <si>
    <t>04.198.254/0001-17</t>
  </si>
  <si>
    <t>MCW PRODUTOS MEDICOS E HOSPITALARES LTDA</t>
  </si>
  <si>
    <t>94.389.400/0001-84</t>
  </si>
  <si>
    <t>MED CENTER COMERCIAL LTDA</t>
  </si>
  <si>
    <t>00.874.929/0001-40</t>
  </si>
  <si>
    <t>MEDFIO INDUSTRIA COMERCIO DE ARTIGOS ODONTOLOGICOS LTDA</t>
  </si>
  <si>
    <t>06.923.493/0001-18</t>
  </si>
  <si>
    <t>MEDFUTURA DISTRIBUIDORA DE MEDICAMENTOS</t>
  </si>
  <si>
    <t>17.700.763/0007-33</t>
  </si>
  <si>
    <t>MEDFUTURA DISTRIBUIDORA DE MEDICAMENTOS E PRODUTOS DE SAUDE LTDA</t>
  </si>
  <si>
    <t>17.700.763/0001-48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</si>
  <si>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</si>
  <si>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</si>
  <si>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</si>
  <si>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</si>
  <si>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</si>
  <si>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</si>
  <si>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</si>
  <si>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</si>
  <si>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MEDICSUPPLY ASSESSORIA NA IMPORTACAO DE MEDICAMENTOS EIRELI</t>
  </si>
  <si>
    <t>08.753.177/0001-70</t>
  </si>
  <si>
    <t>MEDILAR IMPORTACAO E DISTRIBUICAO DE PRODUTOS MEDICO HOSPITALARES S/A</t>
  </si>
  <si>
    <t>07.752.236/0001-23</t>
  </si>
  <si>
    <t>MEDIX SOLUCOES MEDICAS LTDA</t>
  </si>
  <si>
    <t>33.650.141/0001-09</t>
  </si>
  <si>
    <t>MEDMAH SERVICOS MEDICOS SOCIEDADE SIMPLES LTDA - ME</t>
  </si>
  <si>
    <t>30.331.812/0001-80</t>
  </si>
  <si>
    <t>MEDSYSTEM EQUIPAMENTOS MEDICOS LTDA</t>
  </si>
  <si>
    <t>06.189.855/0001-99</t>
  </si>
  <si>
    <t>MEDTRONIC COMERCIAL LTDA</t>
  </si>
  <si>
    <t>01.772.798/0002-33</t>
  </si>
  <si>
    <t>MEGA CARE COMÉRCIO DE EQUIPAMENTOS E MATERIAIS MÉDICOS LTDA</t>
  </si>
  <si>
    <t>26.168.820/0001-80</t>
  </si>
  <si>
    <t>MEGA MAIS UNIFORMES LTDA</t>
  </si>
  <si>
    <t>44.390.265/0001-19</t>
  </si>
  <si>
    <t>MEGAFER COMERCIO DE FERRO E ACO LTDA</t>
  </si>
  <si>
    <t>10.602.104/0001-20</t>
  </si>
  <si>
    <t>MEIRE ANGELA SILVA</t>
  </si>
  <si>
    <t>287.893.158-04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</si>
  <si>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</si>
  <si>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</si>
  <si>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</si>
  <si>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</si>
  <si>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</si>
  <si>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</si>
  <si>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</si>
  <si>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</si>
  <si>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MELINA HENRIQUE PEREIRA ROCHA</t>
  </si>
  <si>
    <t>349.107.748-66</t>
  </si>
  <si>
    <t>MELINA NICOLE TANNUS DE OLIVEIRA</t>
  </si>
  <si>
    <t>432.754.408-61</t>
  </si>
  <si>
    <t>Melissa de Moura Santos e Souza</t>
  </si>
  <si>
    <t>518.317.708-22</t>
  </si>
  <si>
    <t>MELISSA MILENA SANTOS ANTUNES</t>
  </si>
  <si>
    <t>556.242.328-61</t>
  </si>
  <si>
    <t>MENTE CRIATIVA CLINICA DE PSICOLOGIA E REFLEXAO LTDA</t>
  </si>
  <si>
    <t>23.870.483/0001-80</t>
  </si>
  <si>
    <t>MERAKI MOVEIS COMERCIO E SERVICOS EM LICITACAO LTDA</t>
  </si>
  <si>
    <t>34.814.092/0001-65</t>
  </si>
  <si>
    <t>MERCEDES GONCALVES FERREIRA</t>
  </si>
  <si>
    <t>205.316.219-87</t>
  </si>
  <si>
    <t>MERCIA ARAUJO CAJUZA</t>
  </si>
  <si>
    <t>252.944.048-42</t>
  </si>
  <si>
    <t>MERQUIADES DE PAULA JUNIOR</t>
  </si>
  <si>
    <t>260.341.468-28</t>
  </si>
  <si>
    <t>MERQUIS JUNIO ALVES DO NASCIMENTO</t>
  </si>
  <si>
    <t>314.093.918-33</t>
  </si>
  <si>
    <t>MESSIAS DE OLIVEIRA LOURENCO</t>
  </si>
  <si>
    <t>349.680.968-01</t>
  </si>
  <si>
    <t>MESTRA COMUNICACAO LTDA</t>
  </si>
  <si>
    <t>08.737.006/0001-58</t>
  </si>
  <si>
    <t>METALIC MEDICAL PRODUTOS HOSPITALARES LTDA</t>
  </si>
  <si>
    <t>05.788.117/0001-03</t>
  </si>
  <si>
    <t>METER GROUP COMERCIO DE EQUIPAMENTOS LTDA</t>
  </si>
  <si>
    <t>16.652.233/0001-09</t>
  </si>
  <si>
    <t>METINJO METALIZACAO INDUSTRIAL JOSEENSE</t>
  </si>
  <si>
    <t>46.645.164/0001-77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</si>
  <si>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</si>
  <si>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</si>
  <si>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</si>
  <si>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</si>
  <si>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</si>
  <si>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</si>
  <si>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MFF IMPORTACAO E COMERCIO LTDA</t>
  </si>
  <si>
    <t>50.608.416/0001-65</t>
  </si>
  <si>
    <t>MGB PNEUS IMPORTACAO E DISTRIBUICAO LTDA</t>
  </si>
  <si>
    <t>20.183.508/0001-80</t>
  </si>
  <si>
    <t>MICAEL DA SILVA LEAL</t>
  </si>
  <si>
    <t>508.460.418-71</t>
  </si>
  <si>
    <t>MICAELLY MANOELA MARTINS</t>
  </si>
  <si>
    <t>466.624.858-70</t>
  </si>
  <si>
    <t>MICAELLY PORFIRIO CARDOSO SILVA</t>
  </si>
  <si>
    <t>481.677.358-42</t>
  </si>
  <si>
    <t>MICHAEL DE AGUIAR CEZAR CAMPOS</t>
  </si>
  <si>
    <t>361.934.098-66</t>
  </si>
  <si>
    <t>Michael Douglas da Silva Lima</t>
  </si>
  <si>
    <t>438.953.198-05</t>
  </si>
  <si>
    <t>MICHAEL JUNIO PEREIRA SALES</t>
  </si>
  <si>
    <t>393.452.928-37</t>
  </si>
  <si>
    <t>MICHEL FLAVIO DE ARRUDA</t>
  </si>
  <si>
    <t>131.779.487-71</t>
  </si>
  <si>
    <t>MICHEL FREDERICO VERRI MACHADO</t>
  </si>
  <si>
    <t>217.179.628-66</t>
  </si>
  <si>
    <t>MICHEL SILVA CABRAL</t>
  </si>
  <si>
    <t>321.110.138-11</t>
  </si>
  <si>
    <t>MICHELE BARBOSA SANTOS</t>
  </si>
  <si>
    <t>437.645.118-50</t>
  </si>
  <si>
    <t>Michele de Sousa Nascimento</t>
  </si>
  <si>
    <t>391.279.618-18</t>
  </si>
  <si>
    <t>MICHELE JAGER BARBOSA</t>
  </si>
  <si>
    <t>525.333.238-37</t>
  </si>
  <si>
    <t>MICHELE MOREIRA</t>
  </si>
  <si>
    <t>224.578.768-42</t>
  </si>
  <si>
    <t>MICHELE TEODORO</t>
  </si>
  <si>
    <t>354.030.568-82</t>
  </si>
  <si>
    <t>MICHELI DA SILVA DE MELLO</t>
  </si>
  <si>
    <t>329.643.358-93</t>
  </si>
  <si>
    <t>MICHELI DE OLIVEIRA PAULA PIRES</t>
  </si>
  <si>
    <t>303.515.308-60</t>
  </si>
  <si>
    <t>MICHELLE ALVES ARAUJO</t>
  </si>
  <si>
    <t>426.597.498-84</t>
  </si>
  <si>
    <t>MICHELLE APARECIDA DA SILVA REIS</t>
  </si>
  <si>
    <t>329.343.858-09</t>
  </si>
  <si>
    <t>MICHELLE BARROS DOS SANTOS</t>
  </si>
  <si>
    <t>380.449.588-51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</si>
  <si>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</si>
  <si>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</si>
  <si>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</si>
  <si>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</si>
  <si>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</si>
  <si>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</si>
  <si>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MICHELY SILVA MARQUES</t>
  </si>
  <si>
    <t>330.039.708-10</t>
  </si>
  <si>
    <t>MICHIHARU SOGABE</t>
  </si>
  <si>
    <t>302.931.038-87</t>
  </si>
  <si>
    <t>MIDIAGRAFIC COMERCIO SEERVIÇOS E LOC. DE EQUIP. LTDA - ME</t>
  </si>
  <si>
    <t>09.479.531/0001-83</t>
  </si>
  <si>
    <t>MIGRA DISTRIBUIDORA LTDA</t>
  </si>
  <si>
    <t>48.061.037/0001-56</t>
  </si>
  <si>
    <t>MIGUEL CARVALHO DA SILVA NETO</t>
  </si>
  <si>
    <t>436.817.858-05</t>
  </si>
  <si>
    <t>MIGUEL DA SILVA</t>
  </si>
  <si>
    <t>098.593.768-83</t>
  </si>
  <si>
    <t>MIGUEL DO CARMO NETO</t>
  </si>
  <si>
    <t>254.812.328-63</t>
  </si>
  <si>
    <t>MIGUEL FELIPE MESQUITA CANDIDO DOS SANTOS</t>
  </si>
  <si>
    <t>486.039.218-30</t>
  </si>
  <si>
    <t>MIGUEL FERNANDES DE FARIA</t>
  </si>
  <si>
    <t>977.336.448-87</t>
  </si>
  <si>
    <t>MIGUEL FERREIRA DE MEDEIROS</t>
  </si>
  <si>
    <t>488.931.838-03</t>
  </si>
  <si>
    <t>MIGUEL FONSECA AMORIM DOS SANTOS</t>
  </si>
  <si>
    <t>522.096.938-29</t>
  </si>
  <si>
    <t>MIGUEL HENRIQUE FARIAS DE PAIVA</t>
  </si>
  <si>
    <t>536.385.878-94</t>
  </si>
  <si>
    <t>MIGUEL JOSE CHAVES</t>
  </si>
  <si>
    <t>548.413.948-18</t>
  </si>
  <si>
    <t>MIGUEL JOSE GERMANA</t>
  </si>
  <si>
    <t>490.265.648-56</t>
  </si>
  <si>
    <t>MIGUEL LIMA DOS SANTOS</t>
  </si>
  <si>
    <t>014.229.696-14</t>
  </si>
  <si>
    <t>MIGUEL MARQUES DE LIMA</t>
  </si>
  <si>
    <t>051.545.598-94</t>
  </si>
  <si>
    <t>MIGUEL SEABRA NETO</t>
  </si>
  <si>
    <t>159.618.718-27</t>
  </si>
  <si>
    <t>MIGUEL TOMAS BRAGA</t>
  </si>
  <si>
    <t>529.961.568-03</t>
  </si>
  <si>
    <t>MIKE DOS SANTOS GUERRA</t>
  </si>
  <si>
    <t>422.413.448-93</t>
  </si>
  <si>
    <t>MIKE TYSON DE CASTRO OLIVEIRA</t>
  </si>
  <si>
    <t>361.185.818-86</t>
  </si>
  <si>
    <t>MILCLEAN COMERCIO E SERVICOS LTDA.</t>
  </si>
  <si>
    <t>02.666.114/0001-09</t>
  </si>
  <si>
    <t>MILCLEAN INDUSTRIA E COMERCIO DE PRODUTOS PARA LIMPEZA LTDA</t>
  </si>
  <si>
    <t>24.209.655/0001-32</t>
  </si>
  <si>
    <t>MILENA DE MATOS SILVA</t>
  </si>
  <si>
    <t>460.354.078-70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</si>
  <si>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</si>
  <si>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</si>
  <si>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</si>
  <si>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</si>
  <si>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</si>
  <si>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</si>
  <si>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</si>
  <si>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</si>
  <si>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</si>
  <si>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</si>
  <si>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MICIANO LOPES</t>
  </si>
  <si>
    <t>463.391.298-46</t>
  </si>
  <si>
    <t>MILENA MONIQUE ALVES CORDEIRO</t>
  </si>
  <si>
    <t>440.939.458-45</t>
  </si>
  <si>
    <t>Milena Titoneli Guimarães</t>
  </si>
  <si>
    <t>391.386.988-38</t>
  </si>
  <si>
    <t>MILENE APARECIDA DOS SANTOS</t>
  </si>
  <si>
    <t>199.179.498-36</t>
  </si>
  <si>
    <t>MILENE KARINE DE MIRANDA SANTOS</t>
  </si>
  <si>
    <t>341.304.778-70</t>
  </si>
  <si>
    <t>MILENE MAYUMI KAWANO</t>
  </si>
  <si>
    <t>499.695.918-51</t>
  </si>
  <si>
    <t>MILK VITTA COMERCIO E INDUSTRIA LTDA</t>
  </si>
  <si>
    <t>04.252.652/0001-74</t>
  </si>
  <si>
    <t>MILK VITTA COMÉRCIO E INDUSTRIA LTDA</t>
  </si>
  <si>
    <t>04.252.652/0005-06</t>
  </si>
  <si>
    <t>MILLENE MENDES MOREIRA</t>
  </si>
  <si>
    <t>528.468.568-77</t>
  </si>
  <si>
    <t>MILTON CARLOS CUNHA DA SILVA</t>
  </si>
  <si>
    <t>033.019.197-74</t>
  </si>
  <si>
    <t>MILTON CESAR DOS SANTOS</t>
  </si>
  <si>
    <t>199.148.118-76</t>
  </si>
  <si>
    <t>MILTON FALCAO TECEDOR LEITES</t>
  </si>
  <si>
    <t>062.524.158-47</t>
  </si>
  <si>
    <t>MILTON LUIS TAKANO</t>
  </si>
  <si>
    <t>055.610.648-27</t>
  </si>
  <si>
    <t>MILTON MOREIRA DE CASTRO</t>
  </si>
  <si>
    <t>026.013.138-54</t>
  </si>
  <si>
    <t>MINAS BRAZIL DISTRIBUIDORA EIRELI</t>
  </si>
  <si>
    <t>51.048.656/0001-15</t>
  </si>
  <si>
    <t>MINISTERIO DA FAZENDA - RFB</t>
  </si>
  <si>
    <t>00.394.460/0058-87</t>
  </si>
  <si>
    <t>MIONI E FAMILIA GAS E AGUA LTDA</t>
  </si>
  <si>
    <t>06.155.663/0001-61</t>
  </si>
  <si>
    <t>Miqueas Ribeiro de Souza</t>
  </si>
  <si>
    <t>117.970.254-90</t>
  </si>
  <si>
    <t>MIRELA INCORPORACOES LTDA</t>
  </si>
  <si>
    <t>08.419.086/0001-01</t>
  </si>
  <si>
    <t>MIRELLA DE PAULA GUIMARAES</t>
  </si>
  <si>
    <t>486.670.718-62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</si>
  <si>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</si>
  <si>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</si>
  <si>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</si>
  <si>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</si>
  <si>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</si>
  <si>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</si>
  <si>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CHRISTINA GONCALVES PINA MOREIRA</t>
  </si>
  <si>
    <t>383.128.438-50</t>
  </si>
  <si>
    <t>MIRIA SOUZA BASSI</t>
  </si>
  <si>
    <t>375.724.098-73</t>
  </si>
  <si>
    <t>MIRIAM ALINE NASCIMENTO</t>
  </si>
  <si>
    <t>433.849.298-88</t>
  </si>
  <si>
    <t>MIRIAM DA SILVA MARCELINO</t>
  </si>
  <si>
    <t>109.597.708-36</t>
  </si>
  <si>
    <t>MIRIAM DE FÁTIMA LIMA SOUZA</t>
  </si>
  <si>
    <t>371.294.678-35</t>
  </si>
  <si>
    <t>MIRIAM REGINA PEREIRA</t>
  </si>
  <si>
    <t>277.709.358-06</t>
  </si>
  <si>
    <t>MIRIAN DA COSTA</t>
  </si>
  <si>
    <t>346.338.518-02</t>
  </si>
  <si>
    <t>MIRIAN DOS SANTOS MACHADO</t>
  </si>
  <si>
    <t>162.691.618-78</t>
  </si>
  <si>
    <t>MIRIAN OLINTO DE OLIVEIRA SANTIAGO</t>
  </si>
  <si>
    <t>422.685.748-81</t>
  </si>
  <si>
    <t>MIRIAN ROSA MONTE SIAO</t>
  </si>
  <si>
    <t>271.248.058-99</t>
  </si>
  <si>
    <t>MIRIELE CAUANE DA SILVA SANTOS</t>
  </si>
  <si>
    <t>461.472.758-10</t>
  </si>
  <si>
    <t>MISAEL DE SOUZA FILHO</t>
  </si>
  <si>
    <t>328.498.178-05</t>
  </si>
  <si>
    <t>M&amp;J EQUIPAMENTOS MEDICOS HOSPITALARES LTDA</t>
  </si>
  <si>
    <t>46.031.938/0001-70</t>
  </si>
  <si>
    <t>MKM DISTRIBUIDORA DE MEDICAMENTOS LTDA</t>
  </si>
  <si>
    <t>30.526.342/0001-00</t>
  </si>
  <si>
    <t>MLABS SOFTWARE S.A.</t>
  </si>
  <si>
    <t>23.465.964/0001-00</t>
  </si>
  <si>
    <t>MLS CAFE E MAQUINAS LTDA</t>
  </si>
  <si>
    <t>26.675.072/0001-22</t>
  </si>
  <si>
    <t>M.M. AGOSTINHO COMERCIAL LTDA - EPP</t>
  </si>
  <si>
    <t>04.748.019/0001-71</t>
  </si>
  <si>
    <t>MODERNA MEDICINA DIAGNOSTICA LTDA</t>
  </si>
  <si>
    <t>04.337.584/0001-46</t>
  </si>
  <si>
    <t>MODESTO POLO SANTIAGO</t>
  </si>
  <si>
    <t>227.925.608-86</t>
  </si>
  <si>
    <t>MOISES BATISTA DE SOUSA</t>
  </si>
  <si>
    <t>421.340.133-20</t>
  </si>
  <si>
    <t>Moisés Brasil Prado</t>
  </si>
  <si>
    <t>556.540.958-62</t>
  </si>
  <si>
    <t>MOISES GOMES</t>
  </si>
  <si>
    <t>383.553.568-45</t>
  </si>
  <si>
    <t>MOISES PHILIGRET VERLIM</t>
  </si>
  <si>
    <t>367.043.608-16</t>
  </si>
  <si>
    <t>MOISES VENTURA DE OLIVEIRA</t>
  </si>
  <si>
    <t>349.370.148-97</t>
  </si>
  <si>
    <t>MOLDUMAX COMERCIO DE MOLDURAS LTDA</t>
  </si>
  <si>
    <t>03.461.713/0001-40</t>
  </si>
  <si>
    <t>MONICA ALTAIR MARCELINO</t>
  </si>
  <si>
    <t>363.232.978-84</t>
  </si>
  <si>
    <t>MONICA APARECIDA DA SILVA</t>
  </si>
  <si>
    <t>383.626.708-00</t>
  </si>
  <si>
    <t>MONICA BARBOSA DA SILVA SERRA</t>
  </si>
  <si>
    <t>324.417.988-63</t>
  </si>
  <si>
    <t>MONICA CARDOSO DE SOUZA</t>
  </si>
  <si>
    <t>341.716.348-06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</si>
  <si>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</si>
  <si>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</si>
  <si>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</si>
  <si>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</si>
  <si>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</si>
  <si>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</si>
  <si>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</si>
  <si>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</si>
  <si>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ORTIZ</t>
  </si>
  <si>
    <t>252.947.268-82</t>
  </si>
  <si>
    <t>MONICA VIDEIRA KATO</t>
  </si>
  <si>
    <t>215.991.098-83</t>
  </si>
  <si>
    <t>MONICA YUMIKO MINE</t>
  </si>
  <si>
    <t>383.680.888-95</t>
  </si>
  <si>
    <t>MONIQUE FERNANDA DE OLIVEIRA PEREIRA</t>
  </si>
  <si>
    <t>398.532.878-11</t>
  </si>
  <si>
    <t>MONIQUE MACAIS DE CARVALHO</t>
  </si>
  <si>
    <t>112.160.456-07</t>
  </si>
  <si>
    <t>MONIQUE MATUNAGA HORTA</t>
  </si>
  <si>
    <t>441.341.768-24</t>
  </si>
  <si>
    <t>MONTEIRO LOBATO TRANSPORTE LTDA</t>
  </si>
  <si>
    <t>18.018.575/0001-05</t>
  </si>
  <si>
    <t>MONYK APARECIDA DE ALMEIDA SILVA RODRIGUES</t>
  </si>
  <si>
    <t>412.937.928-37</t>
  </si>
  <si>
    <t>MONYKE LOHAYNA ROSIGNOLI D AVILA</t>
  </si>
  <si>
    <t>981.669.302-00</t>
  </si>
  <si>
    <t>MOSSILAIR DA S. DANTAS JUNIOR</t>
  </si>
  <si>
    <t>419.756.998-07</t>
  </si>
  <si>
    <t>MOURA &amp; PEREIRA COMERCIO EM COMUNICACAO VISUAL LTDA</t>
  </si>
  <si>
    <t>04.215.434/0001-60</t>
  </si>
  <si>
    <t>MOVESCO IND.E COM. DE MOVEIS ESCOL. LTDA</t>
  </si>
  <si>
    <t>93.234.789/0001-26</t>
  </si>
  <si>
    <t>MOVIMENTO VIDA</t>
  </si>
  <si>
    <t>02.860.152/0001-90</t>
  </si>
  <si>
    <t>MP DE LIMA TRANSPORTES E SERVICOS</t>
  </si>
  <si>
    <t>52.689.567/0001-10</t>
  </si>
  <si>
    <t>MP DISTRIBUIDORA DE PNEUS E ACESSORIOS LTDA.</t>
  </si>
  <si>
    <t>49.534.632/0001-24</t>
  </si>
  <si>
    <t>MPR IND. COM. DE DISPLAYS PROMOCIONAIS LTDA</t>
  </si>
  <si>
    <t>00.133.670/0001-86</t>
  </si>
  <si>
    <t>MS FISIOTERAPIA LTDA</t>
  </si>
  <si>
    <t>05.547.248/0001-90</t>
  </si>
  <si>
    <t>MT2B SERVICOS MEDICOS LTDA</t>
  </si>
  <si>
    <t>392.371.548-01</t>
  </si>
  <si>
    <t>MULTICARE PHARMACEUTICALS, LLC</t>
  </si>
  <si>
    <t>S/N.001.354-73</t>
  </si>
  <si>
    <t>MULTICOM COMERCIO DE MATERAIS DE CONSTRUCAO LTDA</t>
  </si>
  <si>
    <t>19.345.178/0001-00</t>
  </si>
  <si>
    <t>MULTIFARMA COMERCIO E REPRESENTACOES LTDA.</t>
  </si>
  <si>
    <t>21.681.325/0001-57</t>
  </si>
  <si>
    <t>MULTIPLA SERVICOS CONTABEIS LTDA</t>
  </si>
  <si>
    <t>00.568.004/0001-70</t>
  </si>
  <si>
    <t>MULTIPLANO ABS CONSORCIO ENGENHARIA SPE LTDA</t>
  </si>
  <si>
    <t>50.546.237/0001-40</t>
  </si>
  <si>
    <t>MULTIPOWER SISTEMAS DE ENERGIA LTDA</t>
  </si>
  <si>
    <t>19.702.501/0001-48</t>
  </si>
  <si>
    <t>MULTIQUALITY COMERCIO DE PNEUMATICOS LTDA</t>
  </si>
  <si>
    <t>40.362.307/0001-57</t>
  </si>
  <si>
    <t>MULTIVALE CONSTRUTORA LTDA</t>
  </si>
  <si>
    <t>13.218.700/0001-07</t>
  </si>
  <si>
    <t>MULTPAPER DISTRIBUIDORA DE PAPEIS LTDA.</t>
  </si>
  <si>
    <t>26.976.381/0005-66</t>
  </si>
  <si>
    <t>MUNICK JUSTINIANO DA SILVA</t>
  </si>
  <si>
    <t>185.712.828-11</t>
  </si>
  <si>
    <t>MUNIQUE CRISTINA PINTO CALASANS CAMARGO</t>
  </si>
  <si>
    <t>284.004.668-70</t>
  </si>
  <si>
    <t>Murillo Gonçalves de Araujo</t>
  </si>
  <si>
    <t>138.416.956-39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</si>
  <si>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</si>
  <si>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</si>
  <si>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</si>
  <si>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</si>
  <si>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</si>
  <si>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</si>
  <si>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MWT COMÉRCIO DE ROUPAS E ESTAMPARIA LTDA-ME</t>
  </si>
  <si>
    <t>17.918.683/0001-63</t>
  </si>
  <si>
    <t>NACIONAL COMERCIAL HOSPITALAR S.A.</t>
  </si>
  <si>
    <t>52.202.744/0007-88</t>
  </si>
  <si>
    <t>NADIA APARECIDA PINHEIRO DOS SANTOS</t>
  </si>
  <si>
    <t>185.705.828-38</t>
  </si>
  <si>
    <t>NADILLY VITORIA DA SILVA GONCALVES</t>
  </si>
  <si>
    <t>512.174.188-06</t>
  </si>
  <si>
    <t>NADILSON RIBEIRO LUZ</t>
  </si>
  <si>
    <t>739.252.848-34</t>
  </si>
  <si>
    <t>NADIR LUZIMARIA GURGEL MELO</t>
  </si>
  <si>
    <t>226.295.338-40</t>
  </si>
  <si>
    <t>NADIR MARINHO DO AMARANTE</t>
  </si>
  <si>
    <t>763.539.822-91</t>
  </si>
  <si>
    <t>NAGUIL MANUTENCAO LTDA</t>
  </si>
  <si>
    <t>15.179.681/0001-74</t>
  </si>
  <si>
    <t>NAIARA CRISTINA LEO BERNARDES</t>
  </si>
  <si>
    <t>347.768.958-54</t>
  </si>
  <si>
    <t>NAIARA VITORIA OLIVEIRA DA SILVA</t>
  </si>
  <si>
    <t>497.712.128-77</t>
  </si>
  <si>
    <t>NAILA BARROS NOGUEIRA DA CRUZ</t>
  </si>
  <si>
    <t>066.501.068-01</t>
  </si>
  <si>
    <t>NAIR APARECIDA DE PAIVA VALLE</t>
  </si>
  <si>
    <t>775.230.087-04</t>
  </si>
  <si>
    <t>NAIR APARECIDA MERCY DA SILVA</t>
  </si>
  <si>
    <t>949.483.808-49</t>
  </si>
  <si>
    <t>NAIR FORTUNATO</t>
  </si>
  <si>
    <t>073.707.838-39</t>
  </si>
  <si>
    <t>NAIR RODRIGUES DA SILVA</t>
  </si>
  <si>
    <t>019.163.678-95</t>
  </si>
  <si>
    <t>NAIRA CRISTINA DE SOUZA NUNES</t>
  </si>
  <si>
    <t>086.679.238-42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</si>
  <si>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</si>
  <si>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</si>
  <si>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</si>
  <si>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</si>
  <si>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</si>
  <si>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</si>
  <si>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NARDY MARIA DE MORAES</t>
  </si>
  <si>
    <t>128.252.228-01</t>
  </si>
  <si>
    <t>NASCIMENTO &amp; MAGALHÃES LTDA</t>
  </si>
  <si>
    <t>50.250.043/0001-01</t>
  </si>
  <si>
    <t>Natã Kuhn Freitas Nascimento</t>
  </si>
  <si>
    <t>448.665.978-36</t>
  </si>
  <si>
    <t>NATACHA MORAIS DE OLIVEIRA</t>
  </si>
  <si>
    <t>431.961.628-69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</si>
  <si>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</si>
  <si>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</si>
  <si>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</si>
  <si>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</si>
  <si>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</si>
  <si>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</si>
  <si>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COELHO VALLETTA</t>
  </si>
  <si>
    <t>460.868.148-64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</si>
  <si>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</si>
  <si>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</si>
  <si>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</si>
  <si>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</si>
  <si>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</si>
  <si>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</si>
  <si>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DA SILVA</t>
  </si>
  <si>
    <t>461.123.188-73</t>
  </si>
  <si>
    <t>NATALIA DE SOUZA PIANISSOLA</t>
  </si>
  <si>
    <t>338.512.198-13</t>
  </si>
  <si>
    <t>NATALIA DOMICIANO MOURA</t>
  </si>
  <si>
    <t>382.317.528-97</t>
  </si>
  <si>
    <t>NATALIA DOMINGUES BALBINO</t>
  </si>
  <si>
    <t>478.200.188-60</t>
  </si>
  <si>
    <t>NATALIA DOS SANTOS ROCHA</t>
  </si>
  <si>
    <t>418.978.428-13</t>
  </si>
  <si>
    <t>NATALIA FLORA EUZEBIO BERLING MACE</t>
  </si>
  <si>
    <t>422.430.838-09</t>
  </si>
  <si>
    <t>NATALIA GABRIELA SILVA BENTO</t>
  </si>
  <si>
    <t>486.673.958-46</t>
  </si>
  <si>
    <t>NATALIA MONIQUE DOMINGOS DA SILVA</t>
  </si>
  <si>
    <t>381.184.818-67</t>
  </si>
  <si>
    <t>NATALIA NARA SOARES VIDAL</t>
  </si>
  <si>
    <t>565.413.358-69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</si>
  <si>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</si>
  <si>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</si>
  <si>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</si>
  <si>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</si>
  <si>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</si>
  <si>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</si>
  <si>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NATALIE DA SILVA ROSA GARCIA</t>
  </si>
  <si>
    <t>417.756.098-71</t>
  </si>
  <si>
    <t>NATAN FELIPE DE SOUZA PAMPLONA</t>
  </si>
  <si>
    <t>014.153.888-06</t>
  </si>
  <si>
    <t>NATAN PORTO DIAS DA SILVA</t>
  </si>
  <si>
    <t>438.978.828-09</t>
  </si>
  <si>
    <t>NATANA YASMIN DA SILVA</t>
  </si>
  <si>
    <t>380.486.568-25</t>
  </si>
  <si>
    <t>NATANAEL FREITAS PINTO</t>
  </si>
  <si>
    <t>365.850.548-65</t>
  </si>
  <si>
    <t>NATANAEL MARTINS DO AMARAL</t>
  </si>
  <si>
    <t>044.234.368-09</t>
  </si>
  <si>
    <t>NATANE CAROLINA DA SILVA</t>
  </si>
  <si>
    <t>337.346.418-88</t>
  </si>
  <si>
    <t>NATASHA BATISTA PORFIRIO DUARTE</t>
  </si>
  <si>
    <t>174.206.867-77</t>
  </si>
  <si>
    <t>NATASHA FABIANA FIGUEIRA BENEDITO</t>
  </si>
  <si>
    <t>455.431.078-70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</si>
  <si>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</si>
  <si>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</si>
  <si>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</si>
  <si>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</si>
  <si>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</si>
  <si>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</si>
  <si>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</si>
  <si>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</si>
  <si>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</si>
  <si>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</si>
  <si>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LIMA GORIA</t>
  </si>
  <si>
    <t>409.216.098-41</t>
  </si>
  <si>
    <t>NATHALIA MARIA DOS SANTOS MACIEL</t>
  </si>
  <si>
    <t>516.955.908-99</t>
  </si>
  <si>
    <t>NATHALIA MOURA</t>
  </si>
  <si>
    <t>519.959.068-59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</si>
  <si>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</si>
  <si>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</si>
  <si>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</si>
  <si>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</si>
  <si>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</si>
  <si>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</si>
  <si>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</si>
  <si>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</si>
  <si>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</si>
  <si>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</si>
  <si>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Nathassia Amaral de Souza</t>
  </si>
  <si>
    <t>022.816.251-33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</si>
  <si>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</si>
  <si>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</si>
  <si>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</si>
  <si>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</si>
  <si>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</si>
  <si>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</si>
  <si>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</si>
  <si>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</si>
  <si>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NA2R GESTORA PATRIMONIAL LTDA</t>
  </si>
  <si>
    <t>24.733.898/0001-75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</si>
  <si>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</si>
  <si>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</si>
  <si>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</si>
  <si>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</si>
  <si>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</si>
  <si>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</si>
  <si>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</si>
  <si>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</si>
  <si>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NEIDE VINHAS</t>
  </si>
  <si>
    <t>831.219.948-91</t>
  </si>
  <si>
    <t>NELLY DE FATIMA MORAIS DOS SANTOS</t>
  </si>
  <si>
    <t>081.002.528-07</t>
  </si>
  <si>
    <t>Nelson Alexandre de Freitas</t>
  </si>
  <si>
    <t>081.291.568-22</t>
  </si>
  <si>
    <t>NELSON ALVES FAGUNDES</t>
  </si>
  <si>
    <t>025.083.899-00</t>
  </si>
  <si>
    <t>NELSON DA COSTA NUNES</t>
  </si>
  <si>
    <t>887.219.228-53</t>
  </si>
  <si>
    <t>NELSON DOS SANTOS</t>
  </si>
  <si>
    <t>739.589.648-34</t>
  </si>
  <si>
    <t>NELSON KIYOSHI YOSHIKAWA</t>
  </si>
  <si>
    <t>281.176.998-69</t>
  </si>
  <si>
    <t>NELSON RIBEIRO BORGES</t>
  </si>
  <si>
    <t>042.407.368-46</t>
  </si>
  <si>
    <t>NEO MEDICAL COMERCIAL HOSPITALAR LTDA</t>
  </si>
  <si>
    <t>20.956.481/0001-10</t>
  </si>
  <si>
    <t>NEOBETEL EPI, EQUIPAMENTOS DE PROTECAO INDIVIDUAL LTDA</t>
  </si>
  <si>
    <t>25.464.260/0001-49</t>
  </si>
  <si>
    <t>NEOMEDICAL TECNICA LTDA - ME</t>
  </si>
  <si>
    <t>13.604.060/0001-65</t>
  </si>
  <si>
    <t>NESTOR BATISTA TELMO JUNIOR</t>
  </si>
  <si>
    <t>259.755.358-24</t>
  </si>
  <si>
    <t>NETWARE TELECOMUNICACOES E INFORMATICA LTDA</t>
  </si>
  <si>
    <t>19.452.240/0001-55</t>
  </si>
  <si>
    <t>NEUROPHARMA MEDICAMENTOS ESPECIAIS LTDA</t>
  </si>
  <si>
    <t>33.240.766/0001-00</t>
  </si>
  <si>
    <t>NEUROVITTA - CLINICA DE NEUROLOGIA E NEURODIAGNOSTICO LTDA.</t>
  </si>
  <si>
    <t>08.490.436/0001-18</t>
  </si>
  <si>
    <t>NEUSA APARECIDA RAMOS DA SILVA</t>
  </si>
  <si>
    <t>302.074.948-43</t>
  </si>
  <si>
    <t>NEUSA BENEDITA DOS SANTOS</t>
  </si>
  <si>
    <t>109.716.448-96</t>
  </si>
  <si>
    <t>NEUSA DE FATIMA DE AZEVEDO</t>
  </si>
  <si>
    <t>048.496.378-33</t>
  </si>
  <si>
    <t>NEUSA DE FATIMA RIBEIRO OLIVEIRA</t>
  </si>
  <si>
    <t>064.740.358-70</t>
  </si>
  <si>
    <t>NEUZA PANSONATTO LATARO</t>
  </si>
  <si>
    <t>435.186.138-04</t>
  </si>
  <si>
    <t>NEUZA RIBEIRO DOS SANTOS GONÇALVES</t>
  </si>
  <si>
    <t>071.194.878-09</t>
  </si>
  <si>
    <t>NEUZA SANTOS DIAS</t>
  </si>
  <si>
    <t>055.784.457-64</t>
  </si>
  <si>
    <t>NEVES E SOUSA CONSTRUCAO E FERRAGENS LTDA</t>
  </si>
  <si>
    <t>46.466.779/0001-36</t>
  </si>
  <si>
    <t>NEW HOUSE CONTRUCOES COMERCIO E SERVICOS LTDA</t>
  </si>
  <si>
    <t>41.919.869/0001-11</t>
  </si>
  <si>
    <t>NEWCARE COMERCIO DE MATERIAIS CIRURGICOS E HOSPITALARES LTDA</t>
  </si>
  <si>
    <t>07.707.978/0001-37</t>
  </si>
  <si>
    <t>NEWTRADING INTERNATIONAL SERVICE LTDA</t>
  </si>
  <si>
    <t>31.868.641/0001-96</t>
  </si>
  <si>
    <t>NEYLOR DE OLIVEIRA JUNIOR</t>
  </si>
  <si>
    <t>394.145.728-48</t>
  </si>
  <si>
    <t>N.F. GRANDE &amp; CIA LTDA EPP</t>
  </si>
  <si>
    <t>79.034.153/0001-00</t>
  </si>
  <si>
    <t>NIC PLAY GAMES ENTRETENIMENTO LTDA ME</t>
  </si>
  <si>
    <t>24.456.239/0001-39</t>
  </si>
  <si>
    <t>Niccoly Thaoani Aguiar</t>
  </si>
  <si>
    <t>483.136.368-58</t>
  </si>
  <si>
    <t>NICHOLAS ANTUNES DE ANDRADE</t>
  </si>
  <si>
    <t>484.653.668-88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</si>
  <si>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</si>
  <si>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</si>
  <si>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</si>
  <si>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</si>
  <si>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</si>
  <si>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</si>
  <si>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</si>
  <si>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</si>
  <si>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NICOLAS GABRIEL RAMOS DE OLIVEIRA RODRIGUES</t>
  </si>
  <si>
    <t>583.437.638-07</t>
  </si>
  <si>
    <t>NICOLAS JUAN DE ALMEIDA MACHADO</t>
  </si>
  <si>
    <t>500.263.658-63</t>
  </si>
  <si>
    <t>NICOLAS URIARTE</t>
  </si>
  <si>
    <t>704.132.636-57</t>
  </si>
  <si>
    <t>NICOLE ARAUJO ANJOS DE LIMA SILVA</t>
  </si>
  <si>
    <t>572.492.218-50</t>
  </si>
  <si>
    <t>NICOLE CAROLINE DE SOUZA ARCE RUIZ</t>
  </si>
  <si>
    <t>443.150.148-77</t>
  </si>
  <si>
    <t>Nicole Cauane de Sousa Rosa</t>
  </si>
  <si>
    <t>495.289.438-02</t>
  </si>
  <si>
    <t>NICOLE DOS SANTOS POLTRONIERI</t>
  </si>
  <si>
    <t>521.358.188-95</t>
  </si>
  <si>
    <t>NICOLE PEREIRA DOS SANTOS SOARES</t>
  </si>
  <si>
    <t>004.207.380-45</t>
  </si>
  <si>
    <t>NICOLE SOUSA DA SILVA</t>
  </si>
  <si>
    <t>530.327.588-40</t>
  </si>
  <si>
    <t>NICOLI DA CONCEICAO FARIA</t>
  </si>
  <si>
    <t>471.688.408-27</t>
  </si>
  <si>
    <t>NICOLI OLIVEIRA GUIMARAES</t>
  </si>
  <si>
    <t>522.524.928-05</t>
  </si>
  <si>
    <t>Nicollas Diniz de Souza</t>
  </si>
  <si>
    <t>568.757.348-85</t>
  </si>
  <si>
    <t>NICOLLY CAROLINE NOGUEIRA DE OLIVEIRA</t>
  </si>
  <si>
    <t>535.991.358-43</t>
  </si>
  <si>
    <t>Nicolly do Prado Sacramento</t>
  </si>
  <si>
    <t>496.041.948-28</t>
  </si>
  <si>
    <t>NICOLY KAROLINE OLIVEIRA PEREIRA</t>
  </si>
  <si>
    <t>132.787.269-28</t>
  </si>
  <si>
    <t>NIDJA DA SILVA ARAUJO</t>
  </si>
  <si>
    <t>392.040.608-75</t>
  </si>
  <si>
    <t>NIKKEYPAR COMERCIAL  LTDA</t>
  </si>
  <si>
    <t>01.488.575/0004-00</t>
  </si>
  <si>
    <t>01.488.575/0001-68</t>
  </si>
  <si>
    <t>NILCE REGINA MARTINS DE LIMA</t>
  </si>
  <si>
    <t>392.586.536-53</t>
  </si>
  <si>
    <t>NILCENEIA LOVATTO</t>
  </si>
  <si>
    <t>080.983.038-88</t>
  </si>
  <si>
    <t>NILCIENE MARCONDES DA SILVA</t>
  </si>
  <si>
    <t>183.839.828-79</t>
  </si>
  <si>
    <t>NILDA RODRIGUES DOS SANTOS</t>
  </si>
  <si>
    <t>072.398.488-33</t>
  </si>
  <si>
    <t>NILDA SILVERIA DE FREITAS SILVA</t>
  </si>
  <si>
    <t>026.016.278-75</t>
  </si>
  <si>
    <t>NILDENEA LOPES DA SILVA</t>
  </si>
  <si>
    <t>106.903.978-01</t>
  </si>
  <si>
    <t>NILSON DOS SANTOS UTILIDADES DO LAR LTDA</t>
  </si>
  <si>
    <t>27.857.822/0001-40</t>
  </si>
  <si>
    <t>NILSON RODRIGO DOS SANTOS CAMILO</t>
  </si>
  <si>
    <t>414.292.948-84</t>
  </si>
  <si>
    <t>Nilton Benfatti Junior</t>
  </si>
  <si>
    <t>066.597.828-69</t>
  </si>
  <si>
    <t>NILTON DE SOUSA MARTINS JUNIOR</t>
  </si>
  <si>
    <t>129.348.907-75</t>
  </si>
  <si>
    <t>NILTON DONIZETTI DE CARVALHO</t>
  </si>
  <si>
    <t>040.835.678-21</t>
  </si>
  <si>
    <t>NILTON JOSE RIBEIRO</t>
  </si>
  <si>
    <t>260.356.818-32</t>
  </si>
  <si>
    <t>NILTON LOVATTO</t>
  </si>
  <si>
    <t>360.158.499-91</t>
  </si>
  <si>
    <t>NILTON RODRIGUES</t>
  </si>
  <si>
    <t>083.821.488-67</t>
  </si>
  <si>
    <t>NILVANIA CRISTINA BATISTA DA SILVA</t>
  </si>
  <si>
    <t>145.856.814-85</t>
  </si>
  <si>
    <t>NILZA DARC ALVES CORREA</t>
  </si>
  <si>
    <t>887.299.828-04</t>
  </si>
  <si>
    <t>NININHA COMUNICACAO VISUAL LTDA</t>
  </si>
  <si>
    <t>03.068.282/0001-57</t>
  </si>
  <si>
    <t>NIQUELLY KEMILLY DE SOUSA EVANGELISTA</t>
  </si>
  <si>
    <t>566.056.558-18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</si>
  <si>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</si>
  <si>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</si>
  <si>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</si>
  <si>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</si>
  <si>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</si>
  <si>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</si>
  <si>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NIUAN SPOLIDORIO DA ROCHA SOUZA</t>
  </si>
  <si>
    <t>487.019.058-30</t>
  </si>
  <si>
    <t>NIVALDO SANTOS DIAS</t>
  </si>
  <si>
    <t>183.891.518-47</t>
  </si>
  <si>
    <t>NIVANIA MARIA FRANÇA SANTOS</t>
  </si>
  <si>
    <t>333.242.518-85</t>
  </si>
  <si>
    <t>NOAH MOREIRA ALVES</t>
  </si>
  <si>
    <t>607.787.038-27</t>
  </si>
  <si>
    <t>NOBRE TINTAS LTDA</t>
  </si>
  <si>
    <t>60.135.978/0001-92</t>
  </si>
  <si>
    <t>NOEL MOREIRA DA SILVA</t>
  </si>
  <si>
    <t>098.622.328-03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</si>
  <si>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</si>
  <si>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</si>
  <si>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</si>
  <si>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</si>
  <si>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</si>
  <si>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</si>
  <si>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NORBERTO RICARDO GONÇALVES</t>
  </si>
  <si>
    <t>335.590.368-01</t>
  </si>
  <si>
    <t>NORD PRODUTOS EM SAUDE LTDA</t>
  </si>
  <si>
    <t>35.753.111/0001-53</t>
  </si>
  <si>
    <t>NORIMAR SILVA PINTO</t>
  </si>
  <si>
    <t>401.653.098-90</t>
  </si>
  <si>
    <t>NOSAPA PARTICIPACOES LTDA.</t>
  </si>
  <si>
    <t>18.569.571/0001-07</t>
  </si>
  <si>
    <t>NOSSA COMERCIAL LTDA</t>
  </si>
  <si>
    <t>20.353.820/0001-74</t>
  </si>
  <si>
    <t>NOVA BIO - INDUSTRIA E COMERCIO LTDA</t>
  </si>
  <si>
    <t>20.331.303/0001-02</t>
  </si>
  <si>
    <t>NOVA FREITAS IMOVEIS LTDA</t>
  </si>
  <si>
    <t>57.534.679/0006-20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</si>
  <si>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</si>
  <si>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</si>
  <si>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</si>
  <si>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</si>
  <si>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</si>
  <si>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</si>
  <si>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</si>
  <si>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</si>
  <si>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</si>
  <si>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</si>
  <si>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NOVO MILENIO PRODUTOS E SERVICOS LTDA</t>
  </si>
  <si>
    <t>02.412.970/0001-20</t>
  </si>
  <si>
    <t>NUBIA CAROLINE CAMARGO DE OLIVEIRA</t>
  </si>
  <si>
    <t>466.737.218-47</t>
  </si>
  <si>
    <t>NUNES FARMA DIST. PRODS. FARMACEUTICOS LTDA</t>
  </si>
  <si>
    <t>75.014.167/0001-00</t>
  </si>
  <si>
    <t>NUTRICIONALE COMERCIO DE ALIMENTOS LTDA</t>
  </si>
  <si>
    <t>08.528.442/0001-17</t>
  </si>
  <si>
    <t>NUTRIMENTA RESTAURANTE LTDA - EPP</t>
  </si>
  <si>
    <t>05.671.480/0001-36</t>
  </si>
  <si>
    <t>NUTRIPORT COMERCIAL LTDA</t>
  </si>
  <si>
    <t>03.612.312/0001-44</t>
  </si>
  <si>
    <t>NUTRIPORT COMERCIAL LTDA.</t>
  </si>
  <si>
    <t>03.612.312/0004-97</t>
  </si>
  <si>
    <t>NYCCOLAS EMANUEL DE SOUZA</t>
  </si>
  <si>
    <t>063.305.789-40</t>
  </si>
  <si>
    <t>O BARATEIRO FERRAGENS LTDA</t>
  </si>
  <si>
    <t>53.216.120/0001-97</t>
  </si>
  <si>
    <t>O REI DAS FRALDAS DE JACAREI LTDA</t>
  </si>
  <si>
    <t>74.572.587/0001-40</t>
  </si>
  <si>
    <t>OBERDAN FERNANDES</t>
  </si>
  <si>
    <t>976.709.528-49</t>
  </si>
  <si>
    <t>OBRA A. S.CORACAO DE MARIA CRECHE ROSALIA J.SCHEID</t>
  </si>
  <si>
    <t>45.398.898/0001-36</t>
  </si>
  <si>
    <t>OBRA SOCIAL CELIO LEMOS</t>
  </si>
  <si>
    <t>51.621.290/0001-21</t>
  </si>
  <si>
    <t>OBRA SOCIAL E ASSIST. NOSSA SENHORA AUXILIADORA</t>
  </si>
  <si>
    <t>57.539.322/0001-20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</si>
  <si>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</si>
  <si>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</si>
  <si>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</si>
  <si>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</si>
  <si>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</si>
  <si>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</si>
  <si>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</si>
  <si>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</si>
  <si>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</si>
  <si>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</si>
  <si>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</si>
  <si>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</si>
  <si>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OCTAVIO AUGUSTO GONÇALVES</t>
  </si>
  <si>
    <t>080.781.606-07</t>
  </si>
  <si>
    <t>OCTO FARMACO LTDA</t>
  </si>
  <si>
    <t>29.404.097/0001-80</t>
  </si>
  <si>
    <t>ODAIR DE PAULA SIQUEIRA</t>
  </si>
  <si>
    <t>265.994.258-79</t>
  </si>
  <si>
    <t>ODAIR FABIANO DA SILVA</t>
  </si>
  <si>
    <t>245.885.758-21</t>
  </si>
  <si>
    <t>ODAIR PHELYPE RODRIGUES DA SILVA</t>
  </si>
  <si>
    <t>129.396.126-41</t>
  </si>
  <si>
    <t>ODETE APARECIDA DA SILVA</t>
  </si>
  <si>
    <t>356.818.268-80</t>
  </si>
  <si>
    <t>ODEVALDO DIMAS PEREIRA</t>
  </si>
  <si>
    <t>788.663.758-53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</si>
  <si>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</si>
  <si>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</si>
  <si>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</si>
  <si>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</si>
  <si>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</si>
  <si>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</si>
  <si>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OFICIO DE REGISTRO CIVIL DAS PESSOAS NATURAIS E TABELIONATO DE NOTAS DO DISTRITO DE EUGENIO DE MELO</t>
  </si>
  <si>
    <t>52.830.656/0001-35</t>
  </si>
  <si>
    <t>O.FILIZZOLA &amp; CIA. LTDA.</t>
  </si>
  <si>
    <t>61.182.424/0001-09</t>
  </si>
  <si>
    <t>OFOS - TECNOLOGIA, COMERCIO E SERVICOS CONTRA INCENDIOS LTDA - EPP</t>
  </si>
  <si>
    <t>72.024.599/0001-04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</si>
  <si>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</si>
  <si>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</si>
  <si>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</si>
  <si>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</si>
  <si>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</si>
  <si>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</si>
  <si>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</si>
  <si>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</si>
  <si>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</si>
  <si>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</si>
  <si>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OLGA TOLOTTO</t>
  </si>
  <si>
    <t>068.353.918-39</t>
  </si>
  <si>
    <t>OLIDEF CZ IND. COM. DE APARELHOS HOSPIT. LTDA</t>
  </si>
  <si>
    <t>55.983.274/0001-30</t>
  </si>
  <si>
    <t>OLINDA TEXTIL LTDA</t>
  </si>
  <si>
    <t>17.565.897/0001-01</t>
  </si>
  <si>
    <t>OLIVEIRA &amp; CLEMENTE LTDA</t>
  </si>
  <si>
    <t>46.538.950/0001-75</t>
  </si>
  <si>
    <t>OLIVEIRA E NUNES COMERCIO LTDA</t>
  </si>
  <si>
    <t>54.334.381/0001-74</t>
  </si>
  <si>
    <t>OLIVIO BATISTA DA SILVA</t>
  </si>
  <si>
    <t>026.005.688-08</t>
  </si>
  <si>
    <t>OMEGA LOCADORA DE VEICULOS LTDA</t>
  </si>
  <si>
    <t>12.842.700/0001-02</t>
  </si>
  <si>
    <t>ONAIR FONSECA NETO</t>
  </si>
  <si>
    <t>100.656.757-70</t>
  </si>
  <si>
    <t>ONCO PROD DISTRIBUIDORA DE PRODUTOS HOSPITALARES E ONCOLOGICOS LTDA.</t>
  </si>
  <si>
    <t>04.307.650/0026-93</t>
  </si>
  <si>
    <t>04.307.650/0012-98</t>
  </si>
  <si>
    <t>ONCO PROD DISTRIBUIDORA DE PRODUTOS HOSPITALARES E ONCOLÓGICOS LTDA.</t>
  </si>
  <si>
    <t>04.307.650/0025-02</t>
  </si>
  <si>
    <t>ONCOVIT DISTRIBUIDORA DE MEDICAMENTOS LTDA</t>
  </si>
  <si>
    <t>10.586.940/0004-00</t>
  </si>
  <si>
    <t>10.586.940/0001-68</t>
  </si>
  <si>
    <t>ONMED DISTRIBUIDORA DE MEDICAMENTOS LTDA</t>
  </si>
  <si>
    <t>34.707.920/0001-66</t>
  </si>
  <si>
    <t>OPERADOR NACIONAL DO SISTEMA DE REGISTRO ELETRONICO DE IMOVEIS ( ONR )</t>
  </si>
  <si>
    <t>37.318.313/0001-00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</si>
  <si>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</si>
  <si>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</si>
  <si>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</si>
  <si>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</si>
  <si>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</si>
  <si>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</si>
  <si>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ORIGINAL TATAMIS LTDA</t>
  </si>
  <si>
    <t>08.945.211/0001-09</t>
  </si>
  <si>
    <t>ORIGINAL XANGAI COMERCIO DE VEICULOS SA</t>
  </si>
  <si>
    <t>46.010.923/0001-25</t>
  </si>
  <si>
    <t>ORILDO DE SA DA SILVA</t>
  </si>
  <si>
    <t>086.152.998-70</t>
  </si>
  <si>
    <t>ORLA DISTRIBUIDORA DE PRODUTOS LTDA</t>
  </si>
  <si>
    <t>04.013.164/0001-04</t>
  </si>
  <si>
    <t>ORLANA TAMIKO ISHIZUKA ROSSO</t>
  </si>
  <si>
    <t>317.636.538-11</t>
  </si>
  <si>
    <t>ORLANDO JOSE SWENSON PONTES</t>
  </si>
  <si>
    <t>026.217.798-67</t>
  </si>
  <si>
    <t>ORLENE RIBEIRO DA ROCHA SILVA</t>
  </si>
  <si>
    <t>762.756.043-87</t>
  </si>
  <si>
    <t>ORO TECNOLOGIA LTDA</t>
  </si>
  <si>
    <t>40.614.007/0001-18</t>
  </si>
  <si>
    <t>ORTOGEO CENTRO DE PESQUISAS E ESTUDOS ESPECIALIZADOS LTDA EPP</t>
  </si>
  <si>
    <t>04.442.327/0001-74</t>
  </si>
  <si>
    <t>ORTOPEDIA BIOTECNICA LTDA</t>
  </si>
  <si>
    <t>01.808.205/0001-60</t>
  </si>
  <si>
    <t>ORTOPEDIA MATHIAS LTDA EPP</t>
  </si>
  <si>
    <t>03.593.512/0001-05</t>
  </si>
  <si>
    <t>OSCAR JUAN SOTO RIVAS</t>
  </si>
  <si>
    <t>162.755.118-26</t>
  </si>
  <si>
    <t>OSEIAS EMERSON DOS REIS</t>
  </si>
  <si>
    <t>159.513.828-58</t>
  </si>
  <si>
    <t>OSIEL SANTANA DO NASCIMENTO</t>
  </si>
  <si>
    <t>861.478.543-72</t>
  </si>
  <si>
    <t>OSMAR CARVALHO</t>
  </si>
  <si>
    <t>001.912.128-81</t>
  </si>
  <si>
    <t>OSMAR LEOPOLDINO LOPES</t>
  </si>
  <si>
    <t>150.211.278-70</t>
  </si>
  <si>
    <t>Osvaldir Pequim</t>
  </si>
  <si>
    <t>183.936.808-08</t>
  </si>
  <si>
    <t>OSVALDO DIAS PEREIRA</t>
  </si>
  <si>
    <t>257.757.568-86</t>
  </si>
  <si>
    <t>OSVALDO JULIO GONCALVES</t>
  </si>
  <si>
    <t>565.006.619-15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</si>
  <si>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</si>
  <si>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</si>
  <si>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</si>
  <si>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</si>
  <si>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</si>
  <si>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</si>
  <si>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</si>
  <si>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</si>
  <si>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</si>
  <si>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</si>
  <si>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OSWALDO VIEIRA DE PAULA JUNIOR</t>
  </si>
  <si>
    <t>098.702.808-11</t>
  </si>
  <si>
    <t>OTAVIO HENRIQUE FERREIRA DOS SANTOS</t>
  </si>
  <si>
    <t>422.479.498-51</t>
  </si>
  <si>
    <t>OTAVIO LOPES DE SENRA</t>
  </si>
  <si>
    <t>400.731.308-34</t>
  </si>
  <si>
    <t>OTAVIO OLIVEIRA ANDRADE DE SOUZA</t>
  </si>
  <si>
    <t>538.486.398-66</t>
  </si>
  <si>
    <t>OTAVIO SILVA</t>
  </si>
  <si>
    <t>001.537.608-77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</si>
  <si>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</si>
  <si>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</si>
  <si>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</si>
  <si>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</si>
  <si>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</si>
  <si>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</si>
  <si>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OURO TECH SOLUCOES E SERVICOS LTDA</t>
  </si>
  <si>
    <t>52.304.209/0001-42</t>
  </si>
  <si>
    <t>OZONE LIFE INDUSTRIA E COMERCIO DE COSMETICOS LTDA</t>
  </si>
  <si>
    <t>38.463.925/0001-41</t>
  </si>
  <si>
    <t>P A P AR CONDICIONADO LTDA</t>
  </si>
  <si>
    <t>43.075.236/0003-61</t>
  </si>
  <si>
    <t>P B DESIGN COMUNICACAO VISUAL LTDA</t>
  </si>
  <si>
    <t>47.889.635/0001-55</t>
  </si>
  <si>
    <t>PABLO HENRIQUE COSTA DE BRITO</t>
  </si>
  <si>
    <t>457.668.768-90</t>
  </si>
  <si>
    <t>Pablo Henrique da Silva Maciel</t>
  </si>
  <si>
    <t>087.854.441-03</t>
  </si>
  <si>
    <t>PABLO HENRIQUE DE FARIA</t>
  </si>
  <si>
    <t>426.532.178-05</t>
  </si>
  <si>
    <t>PABLO VINICIUS ONORIO DA SILVA</t>
  </si>
  <si>
    <t>478.508.608-45</t>
  </si>
  <si>
    <t>PAC AMBIENTAL LTDA</t>
  </si>
  <si>
    <t>04.760.570/0001-30</t>
  </si>
  <si>
    <t>PACIFIC FLOWERS IND. COM.</t>
  </si>
  <si>
    <t>03.772.965/0001-90</t>
  </si>
  <si>
    <t>PADARIA AQUARIUS SJC LTDA</t>
  </si>
  <si>
    <t>37.269.540/0001-85</t>
  </si>
  <si>
    <t>PALOMA DOS SANTOS CAMARA</t>
  </si>
  <si>
    <t>436.098.388-33</t>
  </si>
  <si>
    <t>PALOMA FERREIRA DE TOLEDO</t>
  </si>
  <si>
    <t>291.178.778-14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</si>
  <si>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</si>
  <si>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</si>
  <si>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</si>
  <si>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</si>
  <si>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</si>
  <si>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</si>
  <si>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</si>
  <si>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</si>
  <si>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FERNANDA DA SILVA SANTOS</t>
  </si>
  <si>
    <t>565.940.348-47</t>
  </si>
  <si>
    <t>Pamela Karine Marciano</t>
  </si>
  <si>
    <t>480.468.198-16</t>
  </si>
  <si>
    <t>PAMELA MELISSA GUEDES DE MOURA</t>
  </si>
  <si>
    <t>383.840.178-67</t>
  </si>
  <si>
    <t>PAMELA MOREIRA BORGES</t>
  </si>
  <si>
    <t>458.617.568-05</t>
  </si>
  <si>
    <t>PAMELA MOTA MACIEL</t>
  </si>
  <si>
    <t>391.694.108-95</t>
  </si>
  <si>
    <t>PAMELA ROSA DOS SANTOS</t>
  </si>
  <si>
    <t>382.256.268-85</t>
  </si>
  <si>
    <t>PAMELA STEPHANIE MACHADO COSTA</t>
  </si>
  <si>
    <t>459.307.228-03</t>
  </si>
  <si>
    <t>PAMELA SUELLEN PEREIRA DA SILVA</t>
  </si>
  <si>
    <t>446.296.668-69</t>
  </si>
  <si>
    <t>PAMELA XAVIER DOS SANTOS</t>
  </si>
  <si>
    <t>416.473.538-40</t>
  </si>
  <si>
    <t>Pâmella Barbosa Palma</t>
  </si>
  <si>
    <t>459.151.958-90</t>
  </si>
  <si>
    <t>PAMELLA LARISSA BARROS AURELIANO MAROSTEGA</t>
  </si>
  <si>
    <t>379.203.658-48</t>
  </si>
  <si>
    <t>PANIFICADORA E CONFEITARIA PAO DE ACUCAR LTDA</t>
  </si>
  <si>
    <t>60.193.513/0001-98</t>
  </si>
  <si>
    <t>PAOLA AVANI ALVES BISPO</t>
  </si>
  <si>
    <t>410.376.638-70</t>
  </si>
  <si>
    <t>PAOLA CRISTINA DOS SANTOS</t>
  </si>
  <si>
    <t>366.316.628-77</t>
  </si>
  <si>
    <t>PAOLA JENNIFER HEWITT PAULSEN</t>
  </si>
  <si>
    <t>436.961.828-26</t>
  </si>
  <si>
    <t>PAOLA NICOLLI LEÃO ARAUJO</t>
  </si>
  <si>
    <t>385.959.448-65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</si>
  <si>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</si>
  <si>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</si>
  <si>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</si>
  <si>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</si>
  <si>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</si>
  <si>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</si>
  <si>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PARABRISA DO VALE LTDA</t>
  </si>
  <si>
    <t>08.014.608/0002-68</t>
  </si>
  <si>
    <t>PARANA SOLUCOES LOGISTICAS E TRANSPORTES LTDA</t>
  </si>
  <si>
    <t>03.020.839/0001-80</t>
  </si>
  <si>
    <t>PARTNER FARMA DISTRIBUIDORA DE MEDICAMENTOS LTDA</t>
  </si>
  <si>
    <t>28.123.417/0001-60</t>
  </si>
  <si>
    <t>PATAS DE OURO SERVIÇOS  VETERINARIOS LTDA</t>
  </si>
  <si>
    <t>03.674.352/0001-10</t>
  </si>
  <si>
    <t>PATRIANI INCORPORACAO 27 SPE LTDA</t>
  </si>
  <si>
    <t>37.362.507/0001-03</t>
  </si>
  <si>
    <t>PATRICIA ALEXANDRA DE GOUVEIA REGIS</t>
  </si>
  <si>
    <t>337.931.778-07</t>
  </si>
  <si>
    <t>PATRICIA ALVES DOS SANTOS</t>
  </si>
  <si>
    <t>859.102.185-14</t>
  </si>
  <si>
    <t>PATRICIA APARECIDA CAMPOS SCHULZ</t>
  </si>
  <si>
    <t>071.298.148-96</t>
  </si>
  <si>
    <t>PATRICIA APARECIDA DA SILVA</t>
  </si>
  <si>
    <t>358.357.838-41</t>
  </si>
  <si>
    <t>PATRICIA APARECIDA DE OLIVEIRA</t>
  </si>
  <si>
    <t>309.354.958-27</t>
  </si>
  <si>
    <t>PATRICIA APARECIDA DIAS</t>
  </si>
  <si>
    <t>112.467.058-00</t>
  </si>
  <si>
    <t>PATRICIA APARECIDA GOMES</t>
  </si>
  <si>
    <t>106.583.396-21</t>
  </si>
  <si>
    <t>PATRICIA APARECIDA MARINHO</t>
  </si>
  <si>
    <t>225.965.388-06</t>
  </si>
  <si>
    <t>PATRICIA APARECIDA RODRIGUES SOARES</t>
  </si>
  <si>
    <t>260.366.608-80</t>
  </si>
  <si>
    <t>Patrícia Batista Costa</t>
  </si>
  <si>
    <t>554.467.508-29</t>
  </si>
  <si>
    <t>PATRICIA CASTANHO</t>
  </si>
  <si>
    <t>401.497.008-65</t>
  </si>
  <si>
    <t>PATRICIA COSTA LIMA</t>
  </si>
  <si>
    <t>290.425.788-82</t>
  </si>
  <si>
    <t>PATRICIA CRISTIANE DA ROCHA MARIANO</t>
  </si>
  <si>
    <t>150.108.778-99</t>
  </si>
  <si>
    <t>PATRICIA CRISTINA BATISTA</t>
  </si>
  <si>
    <t>342.150.238-23</t>
  </si>
  <si>
    <t>PATRICIA DE LIMA</t>
  </si>
  <si>
    <t>326.054.738-05</t>
  </si>
  <si>
    <t>PATRICIA DERRICO BRAGA DE MOURA</t>
  </si>
  <si>
    <t>445.153.528-06</t>
  </si>
  <si>
    <t>PATRICIA DOS SANTOS MANCILHA PETTINATTI</t>
  </si>
  <si>
    <t>224.261.398-70</t>
  </si>
  <si>
    <t>PATRICIA DOS SANTOS SILVA</t>
  </si>
  <si>
    <t>311.170.578-10</t>
  </si>
  <si>
    <t>PATRICIA FLAVIA GONÇALVES</t>
  </si>
  <si>
    <t>279.106.838-47</t>
  </si>
  <si>
    <t>PATRICIA HELENA DA SILVA</t>
  </si>
  <si>
    <t>371.505.848-02</t>
  </si>
  <si>
    <t>PATRICIA HELENA SIMOES DA SILVA</t>
  </si>
  <si>
    <t>248.402.328-65</t>
  </si>
  <si>
    <t>PATRICIA LEITE MEDEIROS</t>
  </si>
  <si>
    <t>063.575.154-26</t>
  </si>
  <si>
    <t>PATRICIA MAGNOLIA DE JESUS</t>
  </si>
  <si>
    <t>222.787.468-63</t>
  </si>
  <si>
    <t>PATRICIA MARINA VALENTE SILVESTRE</t>
  </si>
  <si>
    <t>062.456.268-97</t>
  </si>
  <si>
    <t>PATRICIA MORAIS DE OLIVEIRA</t>
  </si>
  <si>
    <t>356.421.348-17</t>
  </si>
  <si>
    <t>PATRICIA MOREIRA DUARTE</t>
  </si>
  <si>
    <t>075.770.048-98</t>
  </si>
  <si>
    <t>PATRICIA NASCIMENTO SILVA</t>
  </si>
  <si>
    <t>416.950.268-02</t>
  </si>
  <si>
    <t>PATRICIA PEREIRA</t>
  </si>
  <si>
    <t>183.881.648-80</t>
  </si>
  <si>
    <t>PATRICIA RENATA GAEFKE MARTINS</t>
  </si>
  <si>
    <t>311.821.318-32</t>
  </si>
  <si>
    <t>PATRICIA RIBEIRO BITTENCOURT TEIXEIRA</t>
  </si>
  <si>
    <t>192.935.878-40</t>
  </si>
  <si>
    <t>PATRICIA SCONZO</t>
  </si>
  <si>
    <t>074.947.448-35</t>
  </si>
  <si>
    <t>PATRICIA SENRA DE BRANCO</t>
  </si>
  <si>
    <t>336.032.988-02</t>
  </si>
  <si>
    <t>PATRICIA SIERRA DE MEDEIROS BELINI</t>
  </si>
  <si>
    <t>278.533.618-66</t>
  </si>
  <si>
    <t>PATRICIA SOARES</t>
  </si>
  <si>
    <t>104.473.728-07</t>
  </si>
  <si>
    <t>PATRICIA SOEIRO ROCHA FERNANDES</t>
  </si>
  <si>
    <t>068.882.057-38</t>
  </si>
  <si>
    <t>PATRICIA YUEH WEN WONG</t>
  </si>
  <si>
    <t>035.745.646-78</t>
  </si>
  <si>
    <t>PATRICK AUGUSTO DOS REIS MEDEIROS</t>
  </si>
  <si>
    <t>399.605.558-79</t>
  </si>
  <si>
    <t>PATRICK DE OLIVEIRA SANTOS SILVA</t>
  </si>
  <si>
    <t>413.900.308-14</t>
  </si>
  <si>
    <t>PATRICK LIRA BARBIRATO</t>
  </si>
  <si>
    <t>055.631.097-71</t>
  </si>
  <si>
    <t>PATRICK MENDES DA SILVA</t>
  </si>
  <si>
    <t>498.640.328-10</t>
  </si>
  <si>
    <t>PATRICK RODRIGUES LORENA</t>
  </si>
  <si>
    <t>401.045.348-69</t>
  </si>
  <si>
    <t>PAULA APARECIDA DA SILVA</t>
  </si>
  <si>
    <t>272.241.238-11</t>
  </si>
  <si>
    <t>PAULA CRISTINA DOS SANTOS</t>
  </si>
  <si>
    <t>335.110.848-65</t>
  </si>
  <si>
    <t>PAULA CRISTINA TEIXEIRA NOBREGA DE SOUZA</t>
  </si>
  <si>
    <t>110.205.308-20</t>
  </si>
  <si>
    <t>PAULA JULIANA DE MORAES PORTO</t>
  </si>
  <si>
    <t>377.699.978-01</t>
  </si>
  <si>
    <t>PAULA MAIARA REZENDE DA SILVA</t>
  </si>
  <si>
    <t>504.975.528-09</t>
  </si>
  <si>
    <t>PAULENE DOS SANTOS</t>
  </si>
  <si>
    <t>801.442.763-72</t>
  </si>
  <si>
    <t>PAULINA MAIA DA CONCEIÇÃO</t>
  </si>
  <si>
    <t>141.888.417-02</t>
  </si>
  <si>
    <t>PAULINA MARIA DE OLIVEIRA</t>
  </si>
  <si>
    <t>345.661.438-13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</si>
  <si>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</si>
  <si>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</si>
  <si>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</si>
  <si>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</si>
  <si>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</si>
  <si>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</si>
  <si>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</si>
  <si>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</si>
  <si>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DE MATOS</t>
  </si>
  <si>
    <t>606.928.717-72</t>
  </si>
  <si>
    <t>PAULO CESAR DE OLIVEIRA</t>
  </si>
  <si>
    <t>062.476.478-83</t>
  </si>
  <si>
    <t>PAULO CESAR FAGUNDES CARVALHO</t>
  </si>
  <si>
    <t>304.829.888-60</t>
  </si>
  <si>
    <t>PAULO CESAR FLEURY DE OLIVEIRA LTDA</t>
  </si>
  <si>
    <t>61.692.422/0001-60</t>
  </si>
  <si>
    <t>PAULO CESAR TAVARES GALVAO - MATR. 20488-8</t>
  </si>
  <si>
    <t>040.884.968-17</t>
  </si>
  <si>
    <t>PAULO CORREIA BRAGA</t>
  </si>
  <si>
    <t>064.990.478-80</t>
  </si>
  <si>
    <t xml:space="preserve">PAULO COSME MONTEIRO FARO	</t>
  </si>
  <si>
    <t>394.449.608-62</t>
  </si>
  <si>
    <t>PAULO DA SILVA RIBEIRO</t>
  </si>
  <si>
    <t>041.136.908-39</t>
  </si>
  <si>
    <t>PAULO DIACOV</t>
  </si>
  <si>
    <t>601.266.128-20</t>
  </si>
  <si>
    <t>PAULO DONIZETTI FORTUNATO</t>
  </si>
  <si>
    <t>788.306.306-59</t>
  </si>
  <si>
    <t>PAULO FABRICIO MARTINS</t>
  </si>
  <si>
    <t>217.413.238-94</t>
  </si>
  <si>
    <t>PAULO FERNANDO DA SILVA JUNIOR</t>
  </si>
  <si>
    <t>287.060.368-13</t>
  </si>
  <si>
    <t>PAULO GOMES</t>
  </si>
  <si>
    <t>089.651.538-91</t>
  </si>
  <si>
    <t>Paulo Guilherme de Oliveira Pereira</t>
  </si>
  <si>
    <t>403.609.238-36</t>
  </si>
  <si>
    <t>Paulo Gustavo Cervante Dias</t>
  </si>
  <si>
    <t>052.861.487-86</t>
  </si>
  <si>
    <t>PAULO HENRIQUE CAON OLIVEIRA</t>
  </si>
  <si>
    <t>375.740.508-05</t>
  </si>
  <si>
    <t>PAULO HENRIQUE COSTA FIGUEIREDO</t>
  </si>
  <si>
    <t>477.997.848-30</t>
  </si>
  <si>
    <t>Paulo Henrique da Silva</t>
  </si>
  <si>
    <t>120.761.496-35</t>
  </si>
  <si>
    <t>PAULO HENRIQUE DE MOURA</t>
  </si>
  <si>
    <t>028.375.938-00</t>
  </si>
  <si>
    <t>PAULO HENRIQUE DOS SANTOS</t>
  </si>
  <si>
    <t>199.147.728-70</t>
  </si>
  <si>
    <t xml:space="preserve">PAULO HENRIQUE FIDELIS	</t>
  </si>
  <si>
    <t>333.411.948-35</t>
  </si>
  <si>
    <t>PAULO HENRIQUE GUIMARAES</t>
  </si>
  <si>
    <t>29.798.051/0001-92</t>
  </si>
  <si>
    <t>PAULO HENRIQUE MARCIANO LEITE FILHO</t>
  </si>
  <si>
    <t>378.237.088-09</t>
  </si>
  <si>
    <t>PAULO HENRIQUE MESQUITA DOS SANTOS</t>
  </si>
  <si>
    <t>395.968.378-26</t>
  </si>
  <si>
    <t>PAULO JOSE GOMES JUNIOR</t>
  </si>
  <si>
    <t>414.589.228-39</t>
  </si>
  <si>
    <t>PAULO LEANDRO FELIX DA SILVA</t>
  </si>
  <si>
    <t>226.210.318-62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</si>
  <si>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</si>
  <si>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</si>
  <si>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</si>
  <si>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</si>
  <si>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</si>
  <si>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</si>
  <si>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PEREIRA DA SILVA</t>
  </si>
  <si>
    <t>286.351.428-88</t>
  </si>
  <si>
    <t>PAULO RIBEIRO MACHADO JUNIOR</t>
  </si>
  <si>
    <t>159.421.038-10</t>
  </si>
  <si>
    <t>PAULO RICARDO DOS SANTOS</t>
  </si>
  <si>
    <t>162.662.248-52</t>
  </si>
  <si>
    <t>488.447.268-31</t>
  </si>
  <si>
    <t>Paulo Ricardo Machado Santos</t>
  </si>
  <si>
    <t>426.404.618-18</t>
  </si>
  <si>
    <t>Paulo Ricardo Souza de Melo</t>
  </si>
  <si>
    <t>122.492.724-92</t>
  </si>
  <si>
    <t>PAULO ROBERTO ALEXANDRINO CORREA</t>
  </si>
  <si>
    <t>311.589.308-60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</si>
  <si>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</si>
  <si>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</si>
  <si>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</si>
  <si>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</si>
  <si>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</si>
  <si>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</si>
  <si>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ROBERTO MATIUSSO DE CASTRO SILVA</t>
  </si>
  <si>
    <t>500.718.498-58</t>
  </si>
  <si>
    <t>PAULO RODOLFO ANANIAS</t>
  </si>
  <si>
    <t>402.376.588-01</t>
  </si>
  <si>
    <t>PAULO RODOLFO DAVID</t>
  </si>
  <si>
    <t>039.774.148-01</t>
  </si>
  <si>
    <t>PAULO RODOLFO DE OLIVEIRA MARTINS</t>
  </si>
  <si>
    <t>309.783.888-01</t>
  </si>
  <si>
    <t>PAULO ROGERIO ALVES MARQUES</t>
  </si>
  <si>
    <t>218.713.318-46</t>
  </si>
  <si>
    <t>PAULO ROGERIO LISBOA DE ALVARENGA</t>
  </si>
  <si>
    <t>350.412.878-05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</si>
  <si>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</si>
  <si>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</si>
  <si>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</si>
  <si>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</si>
  <si>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</si>
  <si>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</si>
  <si>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</si>
  <si>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</si>
  <si>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LANCIA CURY</t>
  </si>
  <si>
    <t>789.359.548-53</t>
  </si>
  <si>
    <t>PAULO RUBENS SATURNINO</t>
  </si>
  <si>
    <t>453.707.908-84</t>
  </si>
  <si>
    <t>PAULO SERGIO APARECIDO TAVARES LO</t>
  </si>
  <si>
    <t>411.166.678-78</t>
  </si>
  <si>
    <t>PAULO SERGIO BARROS DE SOUZA</t>
  </si>
  <si>
    <t>230.658.018-92</t>
  </si>
  <si>
    <t>PAULO SERGIO DA SILVA</t>
  </si>
  <si>
    <t>114.099.388-75</t>
  </si>
  <si>
    <t>PAULO SERGIO DOS SANTOS</t>
  </si>
  <si>
    <t>098.584.688-73</t>
  </si>
  <si>
    <t>420.769.428-58</t>
  </si>
  <si>
    <t>PAULO SERGIO GONÇALVES</t>
  </si>
  <si>
    <t>048.658.308-20</t>
  </si>
  <si>
    <t>PAULO VICTOR MOREIRA FELIX</t>
  </si>
  <si>
    <t>476.949.868-32</t>
  </si>
  <si>
    <t>PAULO VICTOR NASCIMENTO BORGES</t>
  </si>
  <si>
    <t>299.813.168-90</t>
  </si>
  <si>
    <t>PAULO VINICIUS NOGUEIRA MARTINS</t>
  </si>
  <si>
    <t>010.692.318-86</t>
  </si>
  <si>
    <t>PAULO WANDERLEY DOS SANTOS</t>
  </si>
  <si>
    <t>787.393.498-53</t>
  </si>
  <si>
    <t>PAVA HOSPITALAR LTDA</t>
  </si>
  <si>
    <t>39.151.912/0001-08</t>
  </si>
  <si>
    <t>PAVEI BRASIL COMERCIO EXTERIOR LTDA</t>
  </si>
  <si>
    <t>13.832.863/0001-77</t>
  </si>
  <si>
    <t>PE DE FERRO COMERCIO DE FERRO E ACO LTDA</t>
  </si>
  <si>
    <t>59.443.333/0001-38</t>
  </si>
  <si>
    <t>PEDRO ALEXANDRE SANTOS FRANCO 40608594865</t>
  </si>
  <si>
    <t>20.724.469/0001-80</t>
  </si>
  <si>
    <t>PEDRO ANANIAS DOS SANTOS</t>
  </si>
  <si>
    <t>038.529.308-98</t>
  </si>
  <si>
    <t>Pedro Antonio Harrote Trevisan</t>
  </si>
  <si>
    <t>117.114.019-35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</si>
  <si>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</si>
  <si>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</si>
  <si>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</si>
  <si>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</si>
  <si>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</si>
  <si>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</si>
  <si>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CALDERARO MARTINS</t>
  </si>
  <si>
    <t>470.497.378-60</t>
  </si>
  <si>
    <t>PEDRO CANDELARIA JUNIOR</t>
  </si>
  <si>
    <t>430.022.758-67</t>
  </si>
  <si>
    <t>PEDRO CASTRO DA SILVA</t>
  </si>
  <si>
    <t>369.630.928-18</t>
  </si>
  <si>
    <t>PEDRO CELSO EVARISTO OLIVEIRA DA SI</t>
  </si>
  <si>
    <t>313.404.968-60</t>
  </si>
  <si>
    <t>Pedro da Luz Steffens</t>
  </si>
  <si>
    <t>052.779.150-44</t>
  </si>
  <si>
    <t>PEDRO DIAS DE OLIVEIRA</t>
  </si>
  <si>
    <t>545.589.828-01</t>
  </si>
  <si>
    <t>PEDRO DIAS MELO</t>
  </si>
  <si>
    <t>542.581.578-64</t>
  </si>
  <si>
    <t>Pedro Eduardo Mota da Silva</t>
  </si>
  <si>
    <t>482.569.588-47</t>
  </si>
  <si>
    <t>Pedro Emanoel Santos do Couto</t>
  </si>
  <si>
    <t>554.601.728-70</t>
  </si>
  <si>
    <t>PEDRO FRANCO DE ALMEIDA DE LIMA</t>
  </si>
  <si>
    <t>396.129.858-04</t>
  </si>
  <si>
    <t>PEDRO GABRIEL GUEDES NUNES</t>
  </si>
  <si>
    <t>452.976.198-31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</si>
  <si>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</si>
  <si>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</si>
  <si>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</si>
  <si>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</si>
  <si>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</si>
  <si>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</si>
  <si>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BUSTAMANTE</t>
  </si>
  <si>
    <t>128.551.816-07</t>
  </si>
  <si>
    <t>PEDRO HENRIQUE CARDOSO PORFIRIO</t>
  </si>
  <si>
    <t>486.359.858-00</t>
  </si>
  <si>
    <t>Pedro Henrique Chaves Hamasaki</t>
  </si>
  <si>
    <t>465.948.678-81</t>
  </si>
  <si>
    <t>PEDRO HENRIQUE CRUZ GOUVEA</t>
  </si>
  <si>
    <t>437.170.708-43</t>
  </si>
  <si>
    <t>Pedro Henrique de Almeida Costa</t>
  </si>
  <si>
    <t>485.789.438-64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</si>
  <si>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</si>
  <si>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</si>
  <si>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</si>
  <si>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</si>
  <si>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</si>
  <si>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</si>
  <si>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GALHARDO</t>
  </si>
  <si>
    <t>387.196.948-65</t>
  </si>
  <si>
    <t>PEDRO HENRIQUE GONCALVES DE CASTRO</t>
  </si>
  <si>
    <t>548.634.638-71</t>
  </si>
  <si>
    <t>PEDRO HENRIQUE MEIRELES DO NASCIMENTO</t>
  </si>
  <si>
    <t>490.134.728-42</t>
  </si>
  <si>
    <t>Pedro Henrique Mikael Fernandes</t>
  </si>
  <si>
    <t>412.042.828-11</t>
  </si>
  <si>
    <t>PEDRO HENRIQUE MOMBERGUE NASCIMENTO</t>
  </si>
  <si>
    <t>304.766.678-44</t>
  </si>
  <si>
    <t>PEDRO HENRIQUE RONCONI DOS SANTOS</t>
  </si>
  <si>
    <t>375.429.298-60</t>
  </si>
  <si>
    <t>Pedro Henrique Silva Miranda</t>
  </si>
  <si>
    <t>865.529.355-52</t>
  </si>
  <si>
    <t>PEDRO HENRIQUE SILVA SANTIAGO</t>
  </si>
  <si>
    <t>434.463.318-08</t>
  </si>
  <si>
    <t>PEDRO HENRIQUE SIQUEIRA CARDOSO</t>
  </si>
  <si>
    <t>509.442.248-06</t>
  </si>
  <si>
    <t>PEDRO IVO ALVES DE SOUZA</t>
  </si>
  <si>
    <t>040.408.793-09</t>
  </si>
  <si>
    <t>PEDRO JORGE TAGLIAMENTO DE OLIVEIRA</t>
  </si>
  <si>
    <t>389.458.208-17</t>
  </si>
  <si>
    <t>PEDRO JOSE DA SILVA</t>
  </si>
  <si>
    <t>019.732.038-47</t>
  </si>
  <si>
    <t>PEDRO LUAN FERNANDES OLIVEIRA</t>
  </si>
  <si>
    <t>406.358.378-38</t>
  </si>
  <si>
    <t>PEDRO LUIS FUJARRA INACIO</t>
  </si>
  <si>
    <t>493.089.998-25</t>
  </si>
  <si>
    <t>Pedro Maruã Silva Fonseca</t>
  </si>
  <si>
    <t>497.834.008-00</t>
  </si>
  <si>
    <t>PEDRO PAULO BERNARDO DE SOUZA</t>
  </si>
  <si>
    <t>120.509.197-19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</si>
  <si>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</si>
  <si>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</si>
  <si>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</si>
  <si>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</si>
  <si>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</si>
  <si>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</si>
  <si>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TENORIO NETO</t>
  </si>
  <si>
    <t>013.237.218-51</t>
  </si>
  <si>
    <t>Pedro Vitor Lopes Adão</t>
  </si>
  <si>
    <t>439.809.588-84</t>
  </si>
  <si>
    <t>PEGUE E MONTE OLIVEIRAS SJC LTDA</t>
  </si>
  <si>
    <t>44.478.526/0001-57</t>
  </si>
  <si>
    <t>PELISSERV EQUIPAMENTOS E SERVIÇOS ODONTO-MÉDICOS LTDA</t>
  </si>
  <si>
    <t>09.172.931/0001-41</t>
  </si>
  <si>
    <t>PENACHIO, MORONI CAMARA, MATTOS E FITTIPALDI SOCIEDADE DE ADVOGADOS</t>
  </si>
  <si>
    <t>14.902.125/0001-11</t>
  </si>
  <si>
    <t>PER HAKAN TARANGER</t>
  </si>
  <si>
    <t>412.137.778-87</t>
  </si>
  <si>
    <t>PERCEDINA ROSA DA COSTA</t>
  </si>
  <si>
    <t>207.615.386-15</t>
  </si>
  <si>
    <t>PERCIA CARLA DE LIMA MACHADO</t>
  </si>
  <si>
    <t>389.410.818-58</t>
  </si>
  <si>
    <t>PEREIRA MARTINS PANIFICAÇÃO INDUSTRIAL</t>
  </si>
  <si>
    <t>73.066.045/0001-32</t>
  </si>
  <si>
    <t>PERLA MARTINS DE MOURA</t>
  </si>
  <si>
    <t>248.940.398-26</t>
  </si>
  <si>
    <t>PEROLA IMPORTADORA E DISTRIBUIDORA HOSPITALAR LTDA</t>
  </si>
  <si>
    <t>30.888.187/0001-72</t>
  </si>
  <si>
    <t>PETRO LIDER COMERCIO DE FERRAMENTAS LTDA</t>
  </si>
  <si>
    <t>45.735.691/0001-00</t>
  </si>
  <si>
    <t>PF FONTES LUMINOSAS LTDA</t>
  </si>
  <si>
    <t>28.951.262/0001-50</t>
  </si>
  <si>
    <t>Pietra Pagioli Casotti</t>
  </si>
  <si>
    <t>145.439.927-92</t>
  </si>
  <si>
    <t>PIETRA SANTOS ALVES DE BRITO</t>
  </si>
  <si>
    <t>454.550.818-96</t>
  </si>
  <si>
    <t>PIETRAFESA &amp; PIETRAFESA LTDA - ME</t>
  </si>
  <si>
    <t>00.800.168/0001-81</t>
  </si>
  <si>
    <t>Pietro Donda Correia Santos</t>
  </si>
  <si>
    <t>536.930.178-67</t>
  </si>
  <si>
    <t>PIRACAIA COMERCIO DE PRODUTOS ELETRO-ELETRONICOS LTDA</t>
  </si>
  <si>
    <t>45.805.559/0001-27</t>
  </si>
  <si>
    <t>PJO CONTROLE DE PRAGAS URBANAS, HIGIENIZADORA E LIMPA FOSSA LTDA</t>
  </si>
  <si>
    <t>03.304.247/0001-90</t>
  </si>
  <si>
    <t>PLACAS EXPRESS - COMUNICACAO VISUAL LTDA</t>
  </si>
  <si>
    <t>15.494.741/0001-43</t>
  </si>
  <si>
    <t>PLANECOLIMP COMERCIO DE PRODUTOS DE LIMPEZA PROFISSIONAL LTDA</t>
  </si>
  <si>
    <t>25.071.110/0001-75</t>
  </si>
  <si>
    <t>PLANET PRINTER COMERCIO E SERVICOS DE IMPRESSAO LTDA</t>
  </si>
  <si>
    <t>07.385.282/0001-31</t>
  </si>
  <si>
    <t>PLANI DIAGNOSTICOS MEDICOS  LTDA</t>
  </si>
  <si>
    <t>48.963.698/0001-77</t>
  </si>
  <si>
    <t>PLANI DIAGNOSTICOS MEDICOS LTDA</t>
  </si>
  <si>
    <t>48.963.698/0011-49</t>
  </si>
  <si>
    <t>PLASTTEX COMERCIAL LTDA</t>
  </si>
  <si>
    <t>39.317.366/0001-24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</si>
  <si>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</si>
  <si>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</si>
  <si>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</si>
  <si>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</si>
  <si>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</si>
  <si>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</si>
  <si>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</si>
  <si>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</si>
  <si>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PLURALAQUIMICA INDUSTRIA E COMERCIO LTDA</t>
  </si>
  <si>
    <t>11.074.154/0001-44</t>
  </si>
  <si>
    <t>PLUXEE BENEFICIOS BRASIL S.A..</t>
  </si>
  <si>
    <t>69.034.668/0001-56</t>
  </si>
  <si>
    <t>POLIANA CRISTINA CRUZ CLEMENTE MOREIRA</t>
  </si>
  <si>
    <t>360.032.868-90</t>
  </si>
  <si>
    <t>Poliana Kelly dos Santos Moreira</t>
  </si>
  <si>
    <t>543.586.668-50</t>
  </si>
  <si>
    <t>Poliana Rafaela Alves Irleu</t>
  </si>
  <si>
    <t>079.903.966-70</t>
  </si>
  <si>
    <t>POLIMENTO ZONA NORTE LTDA</t>
  </si>
  <si>
    <t>50.535.542/0001-37</t>
  </si>
  <si>
    <t>POLISPORT INDUSTRIA E COMERCIO EIRELI EPP</t>
  </si>
  <si>
    <t>43.122.837/0001-16</t>
  </si>
  <si>
    <t>POLITEC IMPORTACAO E COMERCIO LTDA</t>
  </si>
  <si>
    <t>43.894.609/0007-50</t>
  </si>
  <si>
    <t>POLLYANA SOUZA RODRIGUES TAVARES</t>
  </si>
  <si>
    <t>472.031.038-97</t>
  </si>
  <si>
    <t>POLLYANNA DOS SANTOS</t>
  </si>
  <si>
    <t>494.834.118-58</t>
  </si>
  <si>
    <t>PONTAMED FARMACEUTICA LTDA</t>
  </si>
  <si>
    <t>02.816.696/0001-54</t>
  </si>
  <si>
    <t>PONTUAL COMERCIAL LTDA</t>
  </si>
  <si>
    <t>01.854.654/0001-45</t>
  </si>
  <si>
    <t>PORTAL LTDA</t>
  </si>
  <si>
    <t>05.005.873/0001-00</t>
  </si>
  <si>
    <t>PORTO SEGURO CIA DE SEGUROS GERAIS</t>
  </si>
  <si>
    <t>61.198.164/0001-60</t>
  </si>
  <si>
    <t>POS-DADOS COMERCIO E SERVICOS DE ASSISTENCIA TECNICA LTDA</t>
  </si>
  <si>
    <t>57.334.195/0001-23</t>
  </si>
  <si>
    <t>POSTO DE MOLAS 3 IRMAOS LTDA. - ME</t>
  </si>
  <si>
    <t>06.313.544/0001-90</t>
  </si>
  <si>
    <t>PPH DISTRIBUIDORA LTDA - EPP</t>
  </si>
  <si>
    <t>68.271.279/0001-81</t>
  </si>
  <si>
    <t>PRAGOFF AGRONEGOCIOS LTDA</t>
  </si>
  <si>
    <t>08.724.819/0001-03</t>
  </si>
  <si>
    <t>PRATI, DONADUZZI &amp; CIA LTDA</t>
  </si>
  <si>
    <t>73.856.593/0001-66</t>
  </si>
  <si>
    <t>PRECISION INSTRUMENTACAO E COMERCIO LTDA</t>
  </si>
  <si>
    <t>00.334.194/0001-61</t>
  </si>
  <si>
    <t>PRESSSEG SERVICOS DE SEGURANCA LTDA</t>
  </si>
  <si>
    <t>08.818.229/0001-40</t>
  </si>
  <si>
    <t>PREV ONE DIAGNOSTICO E PREVENCAO LTDA</t>
  </si>
  <si>
    <t>26.966.780/0001-12</t>
  </si>
  <si>
    <t>PRICE COMERCIO E SERVICOS LTDA</t>
  </si>
  <si>
    <t>55.089.856/0001-77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</si>
  <si>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</si>
  <si>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</si>
  <si>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</si>
  <si>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</si>
  <si>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</si>
  <si>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</si>
  <si>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</si>
  <si>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</si>
  <si>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</si>
  <si>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</si>
  <si>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BOAES NABATE</t>
  </si>
  <si>
    <t>213.675.228-62</t>
  </si>
  <si>
    <t>PRISCILA DE CAMPOS</t>
  </si>
  <si>
    <t>409.104.528-65</t>
  </si>
  <si>
    <t>PRISCILA DE OLIVEIRA LIMA PALMA</t>
  </si>
  <si>
    <t>328.354.728-94</t>
  </si>
  <si>
    <t>PRISCILA FIGUEIREDO LIMA</t>
  </si>
  <si>
    <t>486.740.158-75</t>
  </si>
  <si>
    <t>PRISCILA HERMINIA MARTINS</t>
  </si>
  <si>
    <t>220.949.088-01</t>
  </si>
  <si>
    <t>PRISCILA HOLANDA DE LIMA SILVA</t>
  </si>
  <si>
    <t>408.509.488-27</t>
  </si>
  <si>
    <t>PRISCILA LEAL FERREIRA</t>
  </si>
  <si>
    <t>388.352.138-86</t>
  </si>
  <si>
    <t>PRISCILA LEMES PINHEIRO DOS SANTOS</t>
  </si>
  <si>
    <t>312.807.608-18</t>
  </si>
  <si>
    <t>PRISCILA MARIA RODRIGUES</t>
  </si>
  <si>
    <t>378.860.178-70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</si>
  <si>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</si>
  <si>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</si>
  <si>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</si>
  <si>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</si>
  <si>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</si>
  <si>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</si>
  <si>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</si>
  <si>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</si>
  <si>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</si>
  <si>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</si>
  <si>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</si>
  <si>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</si>
  <si>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PRISCILA SANTOS PORTO</t>
  </si>
  <si>
    <t>334.646.168-86</t>
  </si>
  <si>
    <t>PRISCILA SENDRETO CAMARGO</t>
  </si>
  <si>
    <t>222.194.458-52</t>
  </si>
  <si>
    <t>PRISCILA SUELLEN BUSTAMANTE SILVA TOLEDO</t>
  </si>
  <si>
    <t>336.321.608-48</t>
  </si>
  <si>
    <t>PRISCILA THAIS DE PAULA MORAES</t>
  </si>
  <si>
    <t>440.021.428-17</t>
  </si>
  <si>
    <t>PRISCILLA CURSINO ALVES DOS SANTOS</t>
  </si>
  <si>
    <t>220.748.698-27</t>
  </si>
  <si>
    <t>PRISCILLA DAYANA ORICIO AMARAL</t>
  </si>
  <si>
    <t>059.187.426-11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</si>
  <si>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</si>
  <si>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</si>
  <si>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</si>
  <si>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</si>
  <si>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</si>
  <si>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</si>
  <si>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</si>
  <si>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</si>
  <si>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</si>
  <si>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</si>
  <si>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PROGAIA ENGENHARIA E MEIO AMBIENTE LTDA</t>
  </si>
  <si>
    <t>04.291.396/0001-24</t>
  </si>
  <si>
    <t>PROGNOSTIC LABORATORIO CLINICO VETERINARIO LTDA</t>
  </si>
  <si>
    <t>23.084.124/0001-06</t>
  </si>
  <si>
    <t>PROJELITE SOLUCOES TECNOLOGICAS LTDA</t>
  </si>
  <si>
    <t>27.813.226/0001-68</t>
  </si>
  <si>
    <t>PROJETO OLHAR FUTURO</t>
  </si>
  <si>
    <t>21.574.673/0001-25</t>
  </si>
  <si>
    <t>PROJIACO DISTRIBUIDORA DE FERRO E ACO LTDA.</t>
  </si>
  <si>
    <t>06.061.390/0001-96</t>
  </si>
  <si>
    <t>PROLICITACOES REPRESENTACAO E COMERCIO DE PRODUTOS PET EIRELI</t>
  </si>
  <si>
    <t>34.132.086/0001-28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</si>
  <si>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</si>
  <si>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</si>
  <si>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</si>
  <si>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</si>
  <si>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</si>
  <si>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</si>
  <si>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</si>
  <si>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</si>
  <si>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PRONVAL RADIOLOGIA E DIAGNOSTICOS LTDA EPP</t>
  </si>
  <si>
    <t>51.615.136/0001-47</t>
  </si>
  <si>
    <t>PRORAD CONSULTORES EM RADIOPROTECAO S/S LTDA</t>
  </si>
  <si>
    <t>87.389.086/0001-74</t>
  </si>
  <si>
    <t>PROTEC EXPORT IND COM IMP EXP EQUIP MED HOSP LTDA</t>
  </si>
  <si>
    <t>06.207.441/0001-45</t>
  </si>
  <si>
    <t>PROTESE PIRES LTDA</t>
  </si>
  <si>
    <t>18.088.048/0001-69</t>
  </si>
  <si>
    <t>PROTEX MULTISERVICOS E SANEAMENTO LTDA</t>
  </si>
  <si>
    <t>01.302.160/0001-58</t>
  </si>
  <si>
    <t>PROVIP DISTRIBUIDORA HOSPITALAR LTDA</t>
  </si>
  <si>
    <t>20.202.872/0002-20</t>
  </si>
  <si>
    <t>PSIVALE PSICOLOGIA DO VALE LTDA</t>
  </si>
  <si>
    <t>11.251.456/0001-40</t>
  </si>
  <si>
    <t>PUMA ZELADORIA PATRIMONIAL LTDA</t>
  </si>
  <si>
    <t>22.306.077/0001-27</t>
  </si>
  <si>
    <t>PUMPS BRASIL LTDA</t>
  </si>
  <si>
    <t>20.348.164/0001-11</t>
  </si>
  <si>
    <t>QUALIMEDI MEDICINA E SEGURANÇA DO TRABALHO LTDA - ME</t>
  </si>
  <si>
    <t>12.265.756/0001-41</t>
  </si>
  <si>
    <t>QUALITY SANI - LOCACAO DE EQUIPAMENTOS LTDA - ME</t>
  </si>
  <si>
    <t>00.981.448/0001-33</t>
  </si>
  <si>
    <t>QUALY PLACAS COMUNICACAO VISUAL LTDA</t>
  </si>
  <si>
    <t>17.497.353/0001-41</t>
  </si>
  <si>
    <t>QUANTA STUDIO CONSULTORIA AMBIENTAL LTDA</t>
  </si>
  <si>
    <t>07.153.866/0001-81</t>
  </si>
  <si>
    <t>QUEILA DE OLIVEIRA LEME MORAIS</t>
  </si>
  <si>
    <t>417.639.888-48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</si>
  <si>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</si>
  <si>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</si>
  <si>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</si>
  <si>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</si>
  <si>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</si>
  <si>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</si>
  <si>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&amp; C   DESENTUPIDORA E TRANSPORTES LTDA. - ME</t>
  </si>
  <si>
    <t>08.788.326/0001-37</t>
  </si>
  <si>
    <t>R CAVALLARO COMERCIAL DE TINTAS EPP</t>
  </si>
  <si>
    <t>33.824.478/0001-95</t>
  </si>
  <si>
    <t>R G FRIGGI - CONSULTORIO MEDICO LTDA.</t>
  </si>
  <si>
    <t>14.350.736/0001-02</t>
  </si>
  <si>
    <t>R J C DEFESA E AEROESPACIAL LTDA</t>
  </si>
  <si>
    <t>71.919.328/0001-54</t>
  </si>
  <si>
    <t>R. J. COMERCIAL E CONSTRUCAO LTDA</t>
  </si>
  <si>
    <t>27.218.420/0001-03</t>
  </si>
  <si>
    <t>R M DORNELLES INFORMATICA</t>
  </si>
  <si>
    <t>15.674.842/0001-04</t>
  </si>
  <si>
    <t>R W MATERIAIS MEDICOS HOSPITALARES E ODONTOLOGICOS LTDA</t>
  </si>
  <si>
    <t>31.981.304/0001-00</t>
  </si>
  <si>
    <t>RABELO MAGAZINE COMERCIO LTDA</t>
  </si>
  <si>
    <t>27.263.162/0001-79</t>
  </si>
  <si>
    <t>RAELMA VIANA AMARO</t>
  </si>
  <si>
    <t>347.291.768-71</t>
  </si>
  <si>
    <t>RAFAEL  MEDEIROS DA SILVA</t>
  </si>
  <si>
    <t>362.878.598-73</t>
  </si>
  <si>
    <t>RAFAEL ALVES DA SILVA SOBRINHO</t>
  </si>
  <si>
    <t>484.981.038-19</t>
  </si>
  <si>
    <t>RAFAEL APARECIDO DE OLIVEIRA</t>
  </si>
  <si>
    <t>350.580.398-77</t>
  </si>
  <si>
    <t>RAFAEL APARECIDO VASQUES DE SIQUEIRA</t>
  </si>
  <si>
    <t>345.246.118-19</t>
  </si>
  <si>
    <t>RAFAEL ASSIS DOS SANTOS</t>
  </si>
  <si>
    <t>443.782.018-52</t>
  </si>
  <si>
    <t>RAFAEL AUGUSTO DE MORAES FABRICIO</t>
  </si>
  <si>
    <t>417.460.068-62</t>
  </si>
  <si>
    <t>RAFAEL AUGUSTO FERREIRA PAIVA</t>
  </si>
  <si>
    <t>384.471.138-41</t>
  </si>
  <si>
    <t>RAFAEL CANDEIAS DO CARMO</t>
  </si>
  <si>
    <t>509.254.868-17</t>
  </si>
  <si>
    <t xml:space="preserve">RAFAEL CANDIDO MOTA RICARDO	</t>
  </si>
  <si>
    <t>442.831.848-02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</si>
  <si>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</si>
  <si>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</si>
  <si>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</si>
  <si>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</si>
  <si>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</si>
  <si>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</si>
  <si>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DAVID MARTINS</t>
  </si>
  <si>
    <t>224.647.658-56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</si>
  <si>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</si>
  <si>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</si>
  <si>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</si>
  <si>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</si>
  <si>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</si>
  <si>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</si>
  <si>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</si>
  <si>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</si>
  <si>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Moreira</t>
  </si>
  <si>
    <t>314.489.678-05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</si>
  <si>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</si>
  <si>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</si>
  <si>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</si>
  <si>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</si>
  <si>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</si>
  <si>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</si>
  <si>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Evangelista de Souza</t>
  </si>
  <si>
    <t>388.719.818-20</t>
  </si>
  <si>
    <t>RAFAEL FERNANDES DE OLIVEIRA</t>
  </si>
  <si>
    <t>329.202.628-82</t>
  </si>
  <si>
    <t>RAFAEL FERNANDO DA CUNHA</t>
  </si>
  <si>
    <t>376.569.518-14</t>
  </si>
  <si>
    <t>RAFAEL FERNANDO DE CARVALHO SILVA</t>
  </si>
  <si>
    <t>176.059.146-79</t>
  </si>
  <si>
    <t>RAFAEL GARCIA DA CRUZ</t>
  </si>
  <si>
    <t>350.868.208-04</t>
  </si>
  <si>
    <t>RAFAEL HENRIQUE ANDRADE</t>
  </si>
  <si>
    <t>315.019.148-39</t>
  </si>
  <si>
    <t>RAFAEL HENRIQUE NOBRE DE JESUS</t>
  </si>
  <si>
    <t>331.785.718-84</t>
  </si>
  <si>
    <t>RAFAEL JUNIOR FERREIRA</t>
  </si>
  <si>
    <t>378.135.468-73</t>
  </si>
  <si>
    <t>RAFAEL LIMA DE CARVALHO</t>
  </si>
  <si>
    <t>516.425.218-09</t>
  </si>
  <si>
    <t>Rafael Luis Gonçalves</t>
  </si>
  <si>
    <t>347.511.598-01</t>
  </si>
  <si>
    <t>Rafael Luis Santiago</t>
  </si>
  <si>
    <t>322.522.748-08</t>
  </si>
  <si>
    <t>RAFAEL MALDONADO RODRIGUES</t>
  </si>
  <si>
    <t>435.203.998-57</t>
  </si>
  <si>
    <t>RAFAEL MARCONDES BENTO</t>
  </si>
  <si>
    <t>421.124.928-29</t>
  </si>
  <si>
    <t>RAFAEL MEIRELES DOS SANTOS</t>
  </si>
  <si>
    <t>228.943.348-93</t>
  </si>
  <si>
    <t>RAFAEL MONTEIRO DA SILVA</t>
  </si>
  <si>
    <t>365.254.108-19</t>
  </si>
  <si>
    <t>RAFAEL MORAES LIMA</t>
  </si>
  <si>
    <t>347.187.098-90</t>
  </si>
  <si>
    <t>RAFAEL MORAIS FONSECA</t>
  </si>
  <si>
    <t>377.058.128-86</t>
  </si>
  <si>
    <t>RAFAEL NICOLAU DE LIMA</t>
  </si>
  <si>
    <t>338.056.198-39</t>
  </si>
  <si>
    <t>RAFAEL NUNES DA SILVA</t>
  </si>
  <si>
    <t>336.101.058-60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</si>
  <si>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</si>
  <si>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</si>
  <si>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</si>
  <si>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</si>
  <si>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</si>
  <si>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</si>
  <si>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</si>
  <si>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</si>
  <si>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</si>
  <si>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</si>
  <si>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DOS SANTOS</t>
  </si>
  <si>
    <t>339.362.968-98</t>
  </si>
  <si>
    <t>RAFAEL RIBEIRO FERREIRA</t>
  </si>
  <si>
    <t>365.922.488-07</t>
  </si>
  <si>
    <t>RAFAEL RODRIGUES VASCONCELOS</t>
  </si>
  <si>
    <t>338.115.978-09</t>
  </si>
  <si>
    <t>RAFAEL ROSA BASTOS</t>
  </si>
  <si>
    <t>407.248.438-50</t>
  </si>
  <si>
    <t>RAFAEL SAKAI OLIVEIRA</t>
  </si>
  <si>
    <t>494.123.338-70</t>
  </si>
  <si>
    <t>Rafael Santos de Novais</t>
  </si>
  <si>
    <t>359.902.948-24</t>
  </si>
  <si>
    <t>Rafael Tadeu Valerio</t>
  </si>
  <si>
    <t>224.788.748-14</t>
  </si>
  <si>
    <t>RAFAEL VILAS BOAS SIMOES</t>
  </si>
  <si>
    <t>225.660.128-57</t>
  </si>
  <si>
    <t>RAFAELA ALVES DOS SANTOS</t>
  </si>
  <si>
    <t>241.462.368-35</t>
  </si>
  <si>
    <t>RAFAELA ARAUJO GERVASIO</t>
  </si>
  <si>
    <t>507.804.618-60</t>
  </si>
  <si>
    <t>Rafaela Caroline Braga</t>
  </si>
  <si>
    <t>434.260.208-31</t>
  </si>
  <si>
    <t>RAFAELA CRISTINA BUENO SIMOES</t>
  </si>
  <si>
    <t>568.705.498-77</t>
  </si>
  <si>
    <t>Rafaela De Conti Zanellato</t>
  </si>
  <si>
    <t>096.858.509-41</t>
  </si>
  <si>
    <t>RAFAELA DELA HOZ VILAS BOAS</t>
  </si>
  <si>
    <t>455.733.168-85</t>
  </si>
  <si>
    <t>RAFAELA HELOISA GRACIANO SILVA</t>
  </si>
  <si>
    <t>374.188.848-69</t>
  </si>
  <si>
    <t>RAFAELA JULIANA DE OLIVEIRA FELIX</t>
  </si>
  <si>
    <t>133.560.099-07</t>
  </si>
  <si>
    <t>RAFAELA LOPES BENTO DE SOUZA</t>
  </si>
  <si>
    <t>373.927.528-63</t>
  </si>
  <si>
    <t>RAFAELA MATIAS DE OLIVEIRA</t>
  </si>
  <si>
    <t>144.572.597-56</t>
  </si>
  <si>
    <t>RAFAELA SILVA RIBEIRO</t>
  </si>
  <si>
    <t>395.063.618-86</t>
  </si>
  <si>
    <t>Rafaela Soares Ribeiro</t>
  </si>
  <si>
    <t>052.286.485-69</t>
  </si>
  <si>
    <t>RAFAELE DIAS PINTO</t>
  </si>
  <si>
    <t>353.791.878-03</t>
  </si>
  <si>
    <t>RAFAELE VILAS BOAS SALES MOURA</t>
  </si>
  <si>
    <t>064.571.625-17</t>
  </si>
  <si>
    <t>Rafaella de Arruda Castro</t>
  </si>
  <si>
    <t>426.446.558-38</t>
  </si>
  <si>
    <t>RAFAELLA SIQUEIRA GONCALVES DE ANDRADE</t>
  </si>
  <si>
    <t>467.207.878-70</t>
  </si>
  <si>
    <t>RAI CASSIMIRO DA SILVA</t>
  </si>
  <si>
    <t>418.173.658-00</t>
  </si>
  <si>
    <t>RAIANE CECILIA DE CASTRO</t>
  </si>
  <si>
    <t>465.792.458-32</t>
  </si>
  <si>
    <t>RAIANE DE SOUZA RIBEIRO</t>
  </si>
  <si>
    <t>416.007.158-93</t>
  </si>
  <si>
    <t>RAIANE ESTELA DA SILVA</t>
  </si>
  <si>
    <t>531.634.258-52</t>
  </si>
  <si>
    <t>RAIANE HELENA DA SILVA SANTOS</t>
  </si>
  <si>
    <t>503.811.628-00</t>
  </si>
  <si>
    <t>RAIANE MAIA MELO CARVALHO</t>
  </si>
  <si>
    <t>412.835.718-97</t>
  </si>
  <si>
    <t>RAIANE REGINA PEREIRA</t>
  </si>
  <si>
    <t>392.301.648-44</t>
  </si>
  <si>
    <t>RAIANNE VITORIA ROSA</t>
  </si>
  <si>
    <t>561.848.578-86</t>
  </si>
  <si>
    <t>RAILDETE MEIRELES DOS SANTOS</t>
  </si>
  <si>
    <t>219.085.028-27</t>
  </si>
  <si>
    <t>RAILEN JERUSA DAMASCENO PAULO</t>
  </si>
  <si>
    <t>120.573.027-33</t>
  </si>
  <si>
    <t>RAIMUNDA NONATA LOPES DOS SANTOS</t>
  </si>
  <si>
    <t>880.164.988-68</t>
  </si>
  <si>
    <t>RAIMUNDA PIRES DE ANDRADE</t>
  </si>
  <si>
    <t>362.565.738-46</t>
  </si>
  <si>
    <t>RAIMUNDO ANTONIO DE OLIVEIRA</t>
  </si>
  <si>
    <t>008.565.898-70</t>
  </si>
  <si>
    <t>RAIMUNDO GALIANI</t>
  </si>
  <si>
    <t>788.627.608-68</t>
  </si>
  <si>
    <t>RAIMUNDO NONATO ALVES DA SILVA</t>
  </si>
  <si>
    <t>850.860.703-25</t>
  </si>
  <si>
    <t>RAIMUNDO NONATO DA SILVA</t>
  </si>
  <si>
    <t>026.007.718-67</t>
  </si>
  <si>
    <t>RAIMUNDO ROBERO MARTINS</t>
  </si>
  <si>
    <t>026.128.898-92</t>
  </si>
  <si>
    <t>RAISSA CARVALHO GUIMARAES</t>
  </si>
  <si>
    <t>396.036.988-30</t>
  </si>
  <si>
    <t>RAISSA FISCHER VILHENA</t>
  </si>
  <si>
    <t>490.972.638-16</t>
  </si>
  <si>
    <t>RAISSA MESSIAS DE LIMA</t>
  </si>
  <si>
    <t>405.339.718-96</t>
  </si>
  <si>
    <t>RAISSA PEREIRA SILVA</t>
  </si>
  <si>
    <t>050.022.442-03</t>
  </si>
  <si>
    <t>RAÍSSA PRADO DA CRUZ</t>
  </si>
  <si>
    <t>468.330.178-40</t>
  </si>
  <si>
    <t>RAISSA PRADO FERNANDES SIQUEIRA</t>
  </si>
  <si>
    <t>414.662.658-76</t>
  </si>
  <si>
    <t>RAISSA RAMOS</t>
  </si>
  <si>
    <t>537.486.888-81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</si>
  <si>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</si>
  <si>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</si>
  <si>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</si>
  <si>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</si>
  <si>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</si>
  <si>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</si>
  <si>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RAMSIG LTDA</t>
  </si>
  <si>
    <t>54.198.647/0001-07</t>
  </si>
  <si>
    <t>RAMUTH &amp; RAMUTH LTDA</t>
  </si>
  <si>
    <t>50.763.606/0001-57</t>
  </si>
  <si>
    <t>RANIERI SOCIEDADE INDIVIDUAL DE ADVOCACIA</t>
  </si>
  <si>
    <t>27.908.168/0001-56</t>
  </si>
  <si>
    <t>RAPHAEL ANTONIO PEREIRA POLICARPO</t>
  </si>
  <si>
    <t>511.808.998-06</t>
  </si>
  <si>
    <t>RAPHAEL CORTEZ DE LIMA OLIVEIRA</t>
  </si>
  <si>
    <t>343.865.338-93</t>
  </si>
  <si>
    <t>RAPHAEL DA COSTA</t>
  </si>
  <si>
    <t>309.212.098-19</t>
  </si>
  <si>
    <t>Raphael Lima Ferreira</t>
  </si>
  <si>
    <t>099.169.407-46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</si>
  <si>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</si>
  <si>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</si>
  <si>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</si>
  <si>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</si>
  <si>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</si>
  <si>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</si>
  <si>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SILVA COSTA</t>
  </si>
  <si>
    <t>389.941.068-80</t>
  </si>
  <si>
    <t>RAPHAEL VIEIRA CAMPOS FARIA</t>
  </si>
  <si>
    <t>220.221.768-12</t>
  </si>
  <si>
    <t>RAPHAELA BITENCOURT DA FONSECA</t>
  </si>
  <si>
    <t>407.345.418-80</t>
  </si>
  <si>
    <t>Raphaela Tamy da Costa Franco Nakashima</t>
  </si>
  <si>
    <t>461.027.068-46</t>
  </si>
  <si>
    <t>RAQUEL ARAUJO ALVES</t>
  </si>
  <si>
    <t>399.554.688-90</t>
  </si>
  <si>
    <t>RAQUEL BENTO DA SILVA</t>
  </si>
  <si>
    <t>314.623.878-02</t>
  </si>
  <si>
    <t>RAQUEL CARVALHO DE FREITAS GOMES</t>
  </si>
  <si>
    <t>762.778.281-34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</si>
  <si>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</si>
  <si>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</si>
  <si>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</si>
  <si>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</si>
  <si>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</si>
  <si>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</si>
  <si>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DE FREITAS SANTOS</t>
  </si>
  <si>
    <t>507.734.358-67</t>
  </si>
  <si>
    <t>RAQUEL DE OLIVEIRA ALMEIDA DA SILVA</t>
  </si>
  <si>
    <t>373.860.968-79</t>
  </si>
  <si>
    <t>RAQUEL ESTEFANIA RANGEL LEMES</t>
  </si>
  <si>
    <t>185.631.408-17</t>
  </si>
  <si>
    <t>RAQUEL FELIX AMARAL</t>
  </si>
  <si>
    <t>487.705.328-00</t>
  </si>
  <si>
    <t>RAQUEL LIMA VASCONCELOS FERREIRA</t>
  </si>
  <si>
    <t>425.867.008-13</t>
  </si>
  <si>
    <t>RAQUEL MANFREDINI</t>
  </si>
  <si>
    <t>352.740.598-48</t>
  </si>
  <si>
    <t>RAQUEL ROSSI DOS REIS</t>
  </si>
  <si>
    <t>529.661.628-64</t>
  </si>
  <si>
    <t>RAQUEL SILVA SERRA</t>
  </si>
  <si>
    <t>347.102.448-47</t>
  </si>
  <si>
    <t>RARAPER SERVIÇOS AUTOMOTIVOS LTDA</t>
  </si>
  <si>
    <t>01.689.548/0001-53</t>
  </si>
  <si>
    <t>RAUL COTRIM DE MATTOS</t>
  </si>
  <si>
    <t>370.044.858-97</t>
  </si>
  <si>
    <t>RAUL DE OLIVEIRA</t>
  </si>
  <si>
    <t>219.827.038-22</t>
  </si>
  <si>
    <t>RAULINO ANDERSON DOS SANTOS</t>
  </si>
  <si>
    <t>284.028.958-08</t>
  </si>
  <si>
    <t>RAUMAK METAL DISTRIBUIDORA LTDA</t>
  </si>
  <si>
    <t>09.407.737/0002-89</t>
  </si>
  <si>
    <t>RAYANE RICARDO</t>
  </si>
  <si>
    <t>554.990.258-35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</si>
  <si>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</si>
  <si>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</si>
  <si>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</si>
  <si>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</si>
  <si>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</si>
  <si>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</si>
  <si>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</si>
  <si>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</si>
  <si>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RB CENTRO DE REABILITACAO LTDA</t>
  </si>
  <si>
    <t>32.117.080/0001-56</t>
  </si>
  <si>
    <t>R&amp;C DISTRIBUIDORA DE PRODUTOS FARMACEUTICOS LTDA</t>
  </si>
  <si>
    <t>25.101.524/0001-08</t>
  </si>
  <si>
    <t>REBECA ANDRESSA DOS SANTOS TEIXEIRA</t>
  </si>
  <si>
    <t>492.742.418-95</t>
  </si>
  <si>
    <t>REBECA DIAS ROHR</t>
  </si>
  <si>
    <t>453.359.698-30</t>
  </si>
  <si>
    <t>REBECA PEREIRA CASTRO</t>
  </si>
  <si>
    <t>473.539.788-48</t>
  </si>
  <si>
    <t>REBECKA RUBY CORDEIRO FIDELIS FERREIRA</t>
  </si>
  <si>
    <t>557.709.528-06</t>
  </si>
  <si>
    <t>RED CROSS EMERGENCIAS MEDICAS LTDA</t>
  </si>
  <si>
    <t>55.694.176/0001-82</t>
  </si>
  <si>
    <t>REDE SOL FUEL DISTRIBUIDORA SA</t>
  </si>
  <si>
    <t>02.913.444/0001-43</t>
  </si>
  <si>
    <t>REFAIAS LINO DE ASSUNCAO</t>
  </si>
  <si>
    <t>415.812.638-05</t>
  </si>
  <si>
    <t>REFRIGERACAO BASSO SJC LTDA</t>
  </si>
  <si>
    <t>31.259.399/0001-53</t>
  </si>
  <si>
    <t>REFRINGER AR CONDICIONADO LTDA</t>
  </si>
  <si>
    <t>05.879.296/0001-86</t>
  </si>
  <si>
    <t>REGIANE ANDRADE SILVA MENDES</t>
  </si>
  <si>
    <t>076.850.356-69</t>
  </si>
  <si>
    <t>REGIANE CRISTINA DOS SANTOS</t>
  </si>
  <si>
    <t>353.870.018-45</t>
  </si>
  <si>
    <t>REGIANE DA SILVA DO ESPIRITO SANTO</t>
  </si>
  <si>
    <t>228.803.878-09</t>
  </si>
  <si>
    <t>Regiane de Cassia Laurintino da Silva</t>
  </si>
  <si>
    <t>313.590.208-02</t>
  </si>
  <si>
    <t>REGIANE LUIZA SOUZA SGORLON</t>
  </si>
  <si>
    <t>251.861.608-06</t>
  </si>
  <si>
    <t>REGIANE MARIA DOS SANTOS OLIVEIRA</t>
  </si>
  <si>
    <t>275.083.798-70</t>
  </si>
  <si>
    <t>REGIANE PAULA CANDIDO CRISOSTOMO</t>
  </si>
  <si>
    <t>228.924.188-10</t>
  </si>
  <si>
    <t>REGINA APARECIDA DA CUNHA MONTEIRO</t>
  </si>
  <si>
    <t>066.095.758-27</t>
  </si>
  <si>
    <t>REGINA CELIA ALIAGA</t>
  </si>
  <si>
    <t>030.184.188-83</t>
  </si>
  <si>
    <t>REGINA CELIA DA CRUZ SILVA</t>
  </si>
  <si>
    <t>336.899.658-45</t>
  </si>
  <si>
    <t>REGINA CELIA MORAES</t>
  </si>
  <si>
    <t>109.753.608-41</t>
  </si>
  <si>
    <t>REGINA CELIA VITORIO DA SILVA</t>
  </si>
  <si>
    <t>541.898.458-68</t>
  </si>
  <si>
    <t>REGINA COELIS DE MELLO SILVA</t>
  </si>
  <si>
    <t>109.553.328-26</t>
  </si>
  <si>
    <t>REGINA DA CONCEIÇÃO OLIVEIRA</t>
  </si>
  <si>
    <t>328.834.358-47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</si>
  <si>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</si>
  <si>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</si>
  <si>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</si>
  <si>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</si>
  <si>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</si>
  <si>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</si>
  <si>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</si>
  <si>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</si>
  <si>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</si>
  <si>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</si>
  <si>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MARCIA SOARES GUIMARAES</t>
  </si>
  <si>
    <t>082.985.318-92</t>
  </si>
  <si>
    <t>REGINA MARIA ALVES PINTO SANTOS</t>
  </si>
  <si>
    <t>063.894.828-25</t>
  </si>
  <si>
    <t>REGINA MARIA DOS SANTOS FERREIRA</t>
  </si>
  <si>
    <t>099.597.868-97</t>
  </si>
  <si>
    <t>REGINA SANTOS LOURENÇO DA SILVA</t>
  </si>
  <si>
    <t>322.855.718-95</t>
  </si>
  <si>
    <t>REGINA SATIE SANT ANNA</t>
  </si>
  <si>
    <t>004.116.356-70</t>
  </si>
  <si>
    <t>REGINA TELMA MESQUITA</t>
  </si>
  <si>
    <t>080.983.968-78</t>
  </si>
  <si>
    <t>REGINALDO DE OLIVEIRA</t>
  </si>
  <si>
    <t>086.675.378-88</t>
  </si>
  <si>
    <t>REGINALDO FABIANO TERRA</t>
  </si>
  <si>
    <t>267.484.088-90</t>
  </si>
  <si>
    <t>REGINALDO FERREIRA COELHO</t>
  </si>
  <si>
    <t>199.182.658-33</t>
  </si>
  <si>
    <t>REGINALDO FERREIRA DA SILVA</t>
  </si>
  <si>
    <t>259.783.858-74</t>
  </si>
  <si>
    <t>REGINALDO MALTA DOS SANTOS</t>
  </si>
  <si>
    <t>087.686.077-33</t>
  </si>
  <si>
    <t>REGINALDO MENDES DA SILVA</t>
  </si>
  <si>
    <t>183.877.718-05</t>
  </si>
  <si>
    <t>REGINALDO RAMOS DE OLIVEIRA</t>
  </si>
  <si>
    <t>121.820.238-60</t>
  </si>
  <si>
    <t>REINALDO BACILIERI DA SILVA</t>
  </si>
  <si>
    <t>220.063.918-01</t>
  </si>
  <si>
    <t>REINALDO DUQUE DAS CHAGAS</t>
  </si>
  <si>
    <t>226.554.538-40</t>
  </si>
  <si>
    <t>REINALDO FERREIRA ALVES</t>
  </si>
  <si>
    <t>106.870.348-25</t>
  </si>
  <si>
    <t>REINALDO GIUSTI EGAS</t>
  </si>
  <si>
    <t>221.399.798-50</t>
  </si>
  <si>
    <t>REINALDO NAKAMURA</t>
  </si>
  <si>
    <t>359.591.648-41</t>
  </si>
  <si>
    <t>REINALDO SIQUEIRA DE MOURA</t>
  </si>
  <si>
    <t>077.780.654-10</t>
  </si>
  <si>
    <t>REINALDO SOARES DOS SANTOS</t>
  </si>
  <si>
    <t>273.289.058-83</t>
  </si>
  <si>
    <t>REINAN DE JESUS TEIXEIRA</t>
  </si>
  <si>
    <t>313.901.938-61</t>
  </si>
  <si>
    <t>REJANE DE CARVALHO TAVARES</t>
  </si>
  <si>
    <t>762.968.307-34</t>
  </si>
  <si>
    <t>REJANE DE SOUSA PEREIRA OLIVEIRA</t>
  </si>
  <si>
    <t>021.326.187-12</t>
  </si>
  <si>
    <t>REK CONSTRUTORA LTDA</t>
  </si>
  <si>
    <t>47.472.709/0001-53</t>
  </si>
  <si>
    <t>RELAFLEX INDUSTRIA E COMERCIO DE COLCHOES LTDA</t>
  </si>
  <si>
    <t>28.247.277/0001-32</t>
  </si>
  <si>
    <t>RELLEK TEK  COMERCIAL LTDA</t>
  </si>
  <si>
    <t>24.623.347/0001-59</t>
  </si>
  <si>
    <t>Renan Andler Araújo Simeão</t>
  </si>
  <si>
    <t>447.917.488-59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</si>
  <si>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</si>
  <si>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</si>
  <si>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</si>
  <si>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</si>
  <si>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</si>
  <si>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</si>
  <si>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DA SILVA VAZ</t>
  </si>
  <si>
    <t>373.799.358-01</t>
  </si>
  <si>
    <t>RENAN DE ABREU COSTA</t>
  </si>
  <si>
    <t>321.311.448-06</t>
  </si>
  <si>
    <t>RENAN FERREIRA SIMOES</t>
  </si>
  <si>
    <t>468.620.098-93</t>
  </si>
  <si>
    <t>RENAN HENRIQUE ALVES DE ARAÚJO</t>
  </si>
  <si>
    <t>544.110.358-20</t>
  </si>
  <si>
    <t>RENAN LOPES BARBOSA</t>
  </si>
  <si>
    <t>136.293.517-43</t>
  </si>
  <si>
    <t>RENAN MESSIAS LIBERATO RIBEIRO LTDA</t>
  </si>
  <si>
    <t>50.525.114/0001-23</t>
  </si>
  <si>
    <t>RENATA ALVES SILKINAITE</t>
  </si>
  <si>
    <t>329.902.538-40</t>
  </si>
  <si>
    <t>RENATA ANTUNES PEREIRA</t>
  </si>
  <si>
    <t>278.851.068-37</t>
  </si>
  <si>
    <t>RENATA APARECIDA ARRUDA MACIEL</t>
  </si>
  <si>
    <t>317.578.228-01</t>
  </si>
  <si>
    <t>RENATA APARECIDA FRIGGI</t>
  </si>
  <si>
    <t>351.687.138-58</t>
  </si>
  <si>
    <t>RENATA APARECIDA PAIVA</t>
  </si>
  <si>
    <t>218.972.278-09</t>
  </si>
  <si>
    <t>RENATA ARANTES CAMARGO BASILIO</t>
  </si>
  <si>
    <t>016.616.326-02</t>
  </si>
  <si>
    <t>RENATA BASTOS DO NASCIMENTO VIEIRA</t>
  </si>
  <si>
    <t>411.575.618-70</t>
  </si>
  <si>
    <t>RENATA CANDIDA FERREIRA</t>
  </si>
  <si>
    <t>053.649.566-10</t>
  </si>
  <si>
    <t>RENATA CRISTINA DE OLIVEIRA CALAZANS</t>
  </si>
  <si>
    <t>352.781.688-70</t>
  </si>
  <si>
    <t>RENATA DA SILVA ANTONIO ALMEIDA</t>
  </si>
  <si>
    <t>390.192.778-63</t>
  </si>
  <si>
    <t>RENATA DA SILVA BRAGA</t>
  </si>
  <si>
    <t>311.003.328-39</t>
  </si>
  <si>
    <t>RENATA DA SILVA GENEROSO</t>
  </si>
  <si>
    <t>382.710.518-81</t>
  </si>
  <si>
    <t>RENATA DE LIMA FAILI</t>
  </si>
  <si>
    <t>277.046.078-12</t>
  </si>
  <si>
    <t>RENATA DINIZ SILVA</t>
  </si>
  <si>
    <t>264.983.208-85</t>
  </si>
  <si>
    <t>RENATA FLORENCIO ALVES</t>
  </si>
  <si>
    <t>272.245.798-90</t>
  </si>
  <si>
    <t>RENATA GAMA STANISCE DENARI</t>
  </si>
  <si>
    <t>109.762.518-41</t>
  </si>
  <si>
    <t>RENATA GONCALVES BELARMINO</t>
  </si>
  <si>
    <t>416.980.058-30</t>
  </si>
  <si>
    <t>RENATA MASCENA FERREIRA SANTOS</t>
  </si>
  <si>
    <t>439.968.998-66</t>
  </si>
  <si>
    <t>RENATA MICHELAZZO ORTIZ</t>
  </si>
  <si>
    <t>157.373.248-69</t>
  </si>
  <si>
    <t>RENATA NASCIMENTO MOURA</t>
  </si>
  <si>
    <t>367.391.998-92</t>
  </si>
  <si>
    <t>RENATA NUNES FERREIRA DA SILVA</t>
  </si>
  <si>
    <t>058.819.663-09</t>
  </si>
  <si>
    <t>RENATA RODRIGUES MARTINS</t>
  </si>
  <si>
    <t>608.352.603-56</t>
  </si>
  <si>
    <t>RENATA SANGIOVANI CAMPOS DE PAULA</t>
  </si>
  <si>
    <t>229.438.378-81</t>
  </si>
  <si>
    <t>RENATA SILVA PRADO</t>
  </si>
  <si>
    <t>255.063.308-39</t>
  </si>
  <si>
    <t>RENATA VERUSCA DE OLIVEIRA SANTOS</t>
  </si>
  <si>
    <t>407.696.458-60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</si>
  <si>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</si>
  <si>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</si>
  <si>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</si>
  <si>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</si>
  <si>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</si>
  <si>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</si>
  <si>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Carbonari</t>
  </si>
  <si>
    <t>088.520.216-39</t>
  </si>
  <si>
    <t>RENATO DA SILVA FRANCA</t>
  </si>
  <si>
    <t>087.150.387-50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</si>
  <si>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</si>
  <si>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</si>
  <si>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</si>
  <si>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</si>
  <si>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</si>
  <si>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</si>
  <si>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</si>
  <si>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</si>
  <si>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</si>
  <si>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</si>
  <si>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</si>
  <si>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</si>
  <si>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PASCOAL DE SOUZA</t>
  </si>
  <si>
    <t>374.548.168-27</t>
  </si>
  <si>
    <t>RENATO PATRICIO DA SILVA</t>
  </si>
  <si>
    <t>436.210.258-20</t>
  </si>
  <si>
    <t>RENATO PRISTUPA MARTINS</t>
  </si>
  <si>
    <t>132.887.058-85</t>
  </si>
  <si>
    <t>Renato Ribeiro Escocard</t>
  </si>
  <si>
    <t>098.617.448-35</t>
  </si>
  <si>
    <t>RENATO RICHARD DA SILVA</t>
  </si>
  <si>
    <t>350.046.838-16</t>
  </si>
  <si>
    <t>RENATO ROBERTO CARVALHO CELESTRINO</t>
  </si>
  <si>
    <t>409.364.348-21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</si>
  <si>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</si>
  <si>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</si>
  <si>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</si>
  <si>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</si>
  <si>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</si>
  <si>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</si>
  <si>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Renato Souza Silva</t>
  </si>
  <si>
    <t>201.885.208-64</t>
  </si>
  <si>
    <t>Rene da Costa Quintas Oliveira</t>
  </si>
  <si>
    <t>287.343.158-02</t>
  </si>
  <si>
    <t>RENE DE SOUZA FALANQUE</t>
  </si>
  <si>
    <t>464.046.008-20</t>
  </si>
  <si>
    <t>RENILSON MORAES FERREIRA</t>
  </si>
  <si>
    <t>023.808.292-09</t>
  </si>
  <si>
    <t>RENNE SANTANNA</t>
  </si>
  <si>
    <t>142.106.498-72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</si>
  <si>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</si>
  <si>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</si>
  <si>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</si>
  <si>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</si>
  <si>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</si>
  <si>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</si>
  <si>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REPACK COMERCIO DE EMBALAGENS LTDA.</t>
  </si>
  <si>
    <t>09.498.956/0001-30</t>
  </si>
  <si>
    <t>RESIX INVENT INDUSTRIA QUIMICA LTDA</t>
  </si>
  <si>
    <t>26.581.418/0001-23</t>
  </si>
  <si>
    <t>REVERTON RENAN BARBOSA</t>
  </si>
  <si>
    <t>294.133.428-90</t>
  </si>
  <si>
    <t>RF CLEAN COMERCIO LTDA</t>
  </si>
  <si>
    <t>27.503.877/0001-51</t>
  </si>
  <si>
    <t>RF MEDICAMENTOS LTDA</t>
  </si>
  <si>
    <t>50.367.482/0001-90</t>
  </si>
  <si>
    <t>RFA COMERCIO DE PECAS AUTOMOTIVAS LTDA</t>
  </si>
  <si>
    <t>27.529.381/0001-57</t>
  </si>
  <si>
    <t>RGM COMERCIO DE PRODUTOS ALIMENTICIOS LTDA EPP</t>
  </si>
  <si>
    <t>39.881.353/0001-83</t>
  </si>
  <si>
    <t xml:space="preserve">RHAISA GUZENSKI NASCIMENTO	</t>
  </si>
  <si>
    <t>126.080.827-00</t>
  </si>
  <si>
    <t>RHR ATACADO E VAREJO LTDA</t>
  </si>
  <si>
    <t>51.231.745/0001-00</t>
  </si>
  <si>
    <t>RHUAN GUILHERME TOSCHI ALMEIDA DE OLIVEIRA</t>
  </si>
  <si>
    <t>479.896.998-26</t>
  </si>
  <si>
    <t>Rhuan Rodrigues de Assis</t>
  </si>
  <si>
    <t>184.959.556-95</t>
  </si>
  <si>
    <t>RI EMPREENDIMENTO COMERCIAL LTDA</t>
  </si>
  <si>
    <t>49.495.719/0001-30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</si>
  <si>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</si>
  <si>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</si>
  <si>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</si>
  <si>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</si>
  <si>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</si>
  <si>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</si>
  <si>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ANTONIO DE MELO</t>
  </si>
  <si>
    <t>019.722.208-02</t>
  </si>
  <si>
    <t>RICARDO AUGUSTO HOCEVAR</t>
  </si>
  <si>
    <t>345.802.448-42</t>
  </si>
  <si>
    <t>RICARDO AUGUSTO OLIVEIRA DE SOUZA</t>
  </si>
  <si>
    <t>255.698.806-15</t>
  </si>
  <si>
    <t>RICARDO BATISTA DOS SANTOS</t>
  </si>
  <si>
    <t>126.797.108-86</t>
  </si>
  <si>
    <t>RICARDO CARNEIRO</t>
  </si>
  <si>
    <t>264.621.858-30</t>
  </si>
  <si>
    <t>RICARDO FERNANDO SILVA</t>
  </si>
  <si>
    <t>216.376.928-38</t>
  </si>
  <si>
    <t>RICARDO JOSE DA COSTA</t>
  </si>
  <si>
    <t>273.482.278-48</t>
  </si>
  <si>
    <t>RICARDO LUIS NOGUEIRA</t>
  </si>
  <si>
    <t>024.921.328-11</t>
  </si>
  <si>
    <t>RICARDO ROCHA DA SILVA</t>
  </si>
  <si>
    <t>674.040.813-00</t>
  </si>
  <si>
    <t>RICARDO RODOLFO SOARES</t>
  </si>
  <si>
    <t>106.593.008-93</t>
  </si>
  <si>
    <t>RICARDO SIMOES EXTINTORES E PREVENÇÃO CONTRA INCENDIO</t>
  </si>
  <si>
    <t>22.046.182/0001-74</t>
  </si>
  <si>
    <t>RICARDO SPOSITO</t>
  </si>
  <si>
    <t>281.931.118-00</t>
  </si>
  <si>
    <t>RICARDO STOCKLER SANTOS LIMA</t>
  </si>
  <si>
    <t>218.695.578-40</t>
  </si>
  <si>
    <t>RICARDO TURCI</t>
  </si>
  <si>
    <t>253.727.068-13</t>
  </si>
  <si>
    <t>RICARDO VIEIRA DE SOUSA</t>
  </si>
  <si>
    <t>486.234.538-75</t>
  </si>
  <si>
    <t>Richard dos Santos de Souza</t>
  </si>
  <si>
    <t>201.798.897-96</t>
  </si>
  <si>
    <t>RICHARD JUAN MOREIRA CRUZ</t>
  </si>
  <si>
    <t>432.093.888-73</t>
  </si>
  <si>
    <t>Richard Machado de Carvalho</t>
  </si>
  <si>
    <t>485.738.638-03</t>
  </si>
  <si>
    <t>RICHARD MICHEL SILVA LIMA</t>
  </si>
  <si>
    <t>400.334.928-83</t>
  </si>
  <si>
    <t>RILDO PEREIRA DA SILVA</t>
  </si>
  <si>
    <t>065.535.978-80</t>
  </si>
  <si>
    <t>RINALDO CAMPOS REPULHO JUNIOR</t>
  </si>
  <si>
    <t>455.670.358-10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</si>
  <si>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</si>
  <si>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</si>
  <si>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</si>
  <si>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</si>
  <si>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</si>
  <si>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</si>
  <si>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CAMPOS</t>
  </si>
  <si>
    <t>073.885.408-57</t>
  </si>
  <si>
    <t>RITA DE CASSIA CRUZ</t>
  </si>
  <si>
    <t>109.763.638-01</t>
  </si>
  <si>
    <t>RITA DE CASSIA DA SILVA NUNES</t>
  </si>
  <si>
    <t>278.172.408-41</t>
  </si>
  <si>
    <t>Rita de Cassia de Assis</t>
  </si>
  <si>
    <t>052.493.068-61</t>
  </si>
  <si>
    <t>RITA DE CASSIA DE JESUS COSTA</t>
  </si>
  <si>
    <t>284.307.388-00</t>
  </si>
  <si>
    <t>RITA DE CASSIA DOS SANTOS</t>
  </si>
  <si>
    <t>446.486.478-31</t>
  </si>
  <si>
    <t>RITA DE CASSIA FERNANDES DA SILVA</t>
  </si>
  <si>
    <t>502.448.318-90</t>
  </si>
  <si>
    <t>RITA DE CASSIA LIXA OLIVEIRA</t>
  </si>
  <si>
    <t>006.496.557-02</t>
  </si>
  <si>
    <t>RITA DE CASSIA SANTOS DOS ANJOS</t>
  </si>
  <si>
    <t>264.622.698-55</t>
  </si>
  <si>
    <t>RITA DE CASSIA SILVA DE OLIVEIRA</t>
  </si>
  <si>
    <t>371.059.078-78</t>
  </si>
  <si>
    <t>RITA DOS SANTOS</t>
  </si>
  <si>
    <t>159.627.628-27</t>
  </si>
  <si>
    <t>RITA DOS SANTOS TRANSPORTES</t>
  </si>
  <si>
    <t>50.232.086/0001-56</t>
  </si>
  <si>
    <t>RITA FERREIRA DOS SANTOS</t>
  </si>
  <si>
    <t>039.897.488-82</t>
  </si>
  <si>
    <t>RITIANE CRISTINA LEMES MARTINS</t>
  </si>
  <si>
    <t>323.156.078-09</t>
  </si>
  <si>
    <t>RIVAEL JOSE DA BOA VIAGEM</t>
  </si>
  <si>
    <t>201.901.068-24</t>
  </si>
  <si>
    <t>RIVELINO MARIA</t>
  </si>
  <si>
    <t>104.015.978-81</t>
  </si>
  <si>
    <t>RM SOLUCOES GERAIS LTDA</t>
  </si>
  <si>
    <t>33.846.605/0001-57</t>
  </si>
  <si>
    <t>RMC INVESTIMENTOS E PARTICIPACOES LTDA</t>
  </si>
  <si>
    <t>20.189.447/0001-68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</si>
  <si>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</si>
  <si>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</si>
  <si>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</si>
  <si>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</si>
  <si>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</si>
  <si>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</si>
  <si>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</si>
  <si>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</si>
  <si>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</si>
  <si>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</si>
  <si>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</si>
  <si>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</si>
  <si>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</si>
  <si>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</si>
  <si>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DE MENEZES FIGUEIREDO</t>
  </si>
  <si>
    <t>043.333.515-70</t>
  </si>
  <si>
    <t>ROBERTA DE SOUZA HISSA</t>
  </si>
  <si>
    <t>490.112.338-67</t>
  </si>
  <si>
    <t>ROBERTA DO NASCIMENTO SILVA</t>
  </si>
  <si>
    <t>348.325.908-20</t>
  </si>
  <si>
    <t>Roberta Freitas de Lima</t>
  </si>
  <si>
    <t>522.773.338-40</t>
  </si>
  <si>
    <t>ROBERTA NOGUEIRA SANTOS</t>
  </si>
  <si>
    <t>354.088.108-52</t>
  </si>
  <si>
    <t>ROBERTA PRYSCILLA GOMES DA SILVA</t>
  </si>
  <si>
    <t>430.269.138-71</t>
  </si>
  <si>
    <t>ROBERTA RIBEIRO DA CRUZ</t>
  </si>
  <si>
    <t>306.249.128-09</t>
  </si>
  <si>
    <t>ROBERTO ANTONIO MORAES</t>
  </si>
  <si>
    <t>337.826.528-00</t>
  </si>
  <si>
    <t>ROBERTO AZINARO</t>
  </si>
  <si>
    <t>082.663.008-10</t>
  </si>
  <si>
    <t>ROBERTO CARLOS DE PAULA</t>
  </si>
  <si>
    <t>291.849.388-03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</si>
  <si>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</si>
  <si>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</si>
  <si>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</si>
  <si>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</si>
  <si>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</si>
  <si>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</si>
  <si>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EDIVALDO TRINDADE MARINHO LTDA</t>
  </si>
  <si>
    <t>43.998.689/0001-06</t>
  </si>
  <si>
    <t>ROBERTO EXLER IGNACIO</t>
  </si>
  <si>
    <t>183.377.948-79</t>
  </si>
  <si>
    <t>ROBERTO FABIANO DOS SANTOS</t>
  </si>
  <si>
    <t>252.037.688-03</t>
  </si>
  <si>
    <t>ROBERTO GONCALVES BARBOSA</t>
  </si>
  <si>
    <t>010.585.108-60</t>
  </si>
  <si>
    <t>ROBERTO HASMANN SIQUEIRA</t>
  </si>
  <si>
    <t>220.038.758-08</t>
  </si>
  <si>
    <t>ROBERTO JOSE DE OLIVEIRA RAMOS</t>
  </si>
  <si>
    <t>265.475.428-66</t>
  </si>
  <si>
    <t>ROBERTO MALTA LARANJEIRA</t>
  </si>
  <si>
    <t>606.546.438-49</t>
  </si>
  <si>
    <t>ROBERTO PAES DE BARROS CINTRA</t>
  </si>
  <si>
    <t>183.016.478-33</t>
  </si>
  <si>
    <t>ROBERTO SANTOS</t>
  </si>
  <si>
    <t>335.248.228-43</t>
  </si>
  <si>
    <t>ROBERTO VICARI</t>
  </si>
  <si>
    <t>949.736.368-00</t>
  </si>
  <si>
    <t>ROBERTO VICENTE DA SILVA JUNIOR</t>
  </si>
  <si>
    <t>429.226.988-23</t>
  </si>
  <si>
    <t>ROBERTO WAGNER MARQUES ME</t>
  </si>
  <si>
    <t>09.352.259/0001-76</t>
  </si>
  <si>
    <t>ROBERTO XAVIER D SILVA</t>
  </si>
  <si>
    <t>042.959.758-42</t>
  </si>
  <si>
    <t>ROBERVAL PEREIRA DA SILVA</t>
  </si>
  <si>
    <t>019.374.798-70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</si>
  <si>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</si>
  <si>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</si>
  <si>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</si>
  <si>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</si>
  <si>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</si>
  <si>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</si>
  <si>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</si>
  <si>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</si>
  <si>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</si>
  <si>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</si>
  <si>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</si>
  <si>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</si>
  <si>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</si>
  <si>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</si>
  <si>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</si>
  <si>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</si>
  <si>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</si>
  <si>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</si>
  <si>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PEREIRA DE LIMA</t>
  </si>
  <si>
    <t>326.357.558-92</t>
  </si>
  <si>
    <t>ROBSON RICARDO OLIVEIRA DA SILVA</t>
  </si>
  <si>
    <t>317.996.448-04</t>
  </si>
  <si>
    <t>ROBSON ROBERTO RODRIGUES</t>
  </si>
  <si>
    <t>132.231.258-33</t>
  </si>
  <si>
    <t>ROBSON RODOLFO DA CUNHA</t>
  </si>
  <si>
    <t>098.650.858-60</t>
  </si>
  <si>
    <t>ROBSON SANTOS DE PAULA</t>
  </si>
  <si>
    <t>308.169.918-55</t>
  </si>
  <si>
    <t>ROBSON SANTOS RIBEIRO</t>
  </si>
  <si>
    <t>259.799.138-58</t>
  </si>
  <si>
    <t>RODIMAG EQUIPAMENTOS INDUSTRIAIS LTDA</t>
  </si>
  <si>
    <t>00.627.473/0001-13</t>
  </si>
  <si>
    <t>RODINALDO HONORATO DIAS</t>
  </si>
  <si>
    <t>233.199.328-96</t>
  </si>
  <si>
    <t>RODISNEI ORLANDO RODRIGUES DE SENA</t>
  </si>
  <si>
    <t>266.580.438-76</t>
  </si>
  <si>
    <t>Rodolfa Luciana Tavares</t>
  </si>
  <si>
    <t>113.126.758-37</t>
  </si>
  <si>
    <t>RODOLFO AUGUSTO DOS SANTOS</t>
  </si>
  <si>
    <t>152.599.428-09</t>
  </si>
  <si>
    <t>RODOLFO CESAR</t>
  </si>
  <si>
    <t>978.063.748-68</t>
  </si>
  <si>
    <t>RODOLFO DONIZETTI DA COSTA</t>
  </si>
  <si>
    <t>250.056.688-96</t>
  </si>
  <si>
    <t>RODOLFO EMANUEL AVILA GUIMARAES</t>
  </si>
  <si>
    <t>351.859.998-45</t>
  </si>
  <si>
    <t>RODOLFO JOSE DA SILVEIRA</t>
  </si>
  <si>
    <t>099.771.488-30</t>
  </si>
  <si>
    <t>RODOLFO OLIMPIA BANDEIRA</t>
  </si>
  <si>
    <t>087.676.648-30</t>
  </si>
  <si>
    <t>RODOLPHO SANTOS SOARES</t>
  </si>
  <si>
    <t>058.841.677-09</t>
  </si>
  <si>
    <t>RODRIGO ALVES DE ALMEIDA</t>
  </si>
  <si>
    <t>328.743.198-64</t>
  </si>
  <si>
    <t>RODRIGO ALVES DE SOUZA</t>
  </si>
  <si>
    <t>340.419.688-01</t>
  </si>
  <si>
    <t>RODRIGO ALVES SIQUEIRA</t>
  </si>
  <si>
    <t>225.169.178-21</t>
  </si>
  <si>
    <t>RODRIGO AMERICO DOS SANTOS PINTO</t>
  </si>
  <si>
    <t>390.578.158-18</t>
  </si>
  <si>
    <t>RODRIGO BRAZ DE ARAUJO</t>
  </si>
  <si>
    <t>315.928.338-02</t>
  </si>
  <si>
    <t>RODRIGO CESAR TOLEDO</t>
  </si>
  <si>
    <t>183.809.368-09</t>
  </si>
  <si>
    <t>RODRIGO CORREA DE OLIVEIRA</t>
  </si>
  <si>
    <t>282.857.938-77</t>
  </si>
  <si>
    <t>RODRIGO DA SILVA</t>
  </si>
  <si>
    <t>372.309.888-61</t>
  </si>
  <si>
    <t>RODRIGO DA SILVA GUIMARAES</t>
  </si>
  <si>
    <t>122.055.647-57</t>
  </si>
  <si>
    <t>RODRIGO DANELLI FERREIRA</t>
  </si>
  <si>
    <t>310.597.108-46</t>
  </si>
  <si>
    <t>RODRIGO DE ALMEIDA OLIVEIRA</t>
  </si>
  <si>
    <t>464.670.468-46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</si>
  <si>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</si>
  <si>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</si>
  <si>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</si>
  <si>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</si>
  <si>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</si>
  <si>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</si>
  <si>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 CARMO DA SILVA</t>
  </si>
  <si>
    <t>341.349.328-07</t>
  </si>
  <si>
    <t>RODRIGO DONIZETI DA ROSA</t>
  </si>
  <si>
    <t>351.093.258-71</t>
  </si>
  <si>
    <t>RODRIGO DOS SANTOS GOMES</t>
  </si>
  <si>
    <t>260.412.578-18</t>
  </si>
  <si>
    <t>RODRIGO EUGENIO MARTINS</t>
  </si>
  <si>
    <t>356.980.008-32</t>
  </si>
  <si>
    <t>RODRIGO FELIPE DA SILVA NEVES</t>
  </si>
  <si>
    <t>364.515.798-07</t>
  </si>
  <si>
    <t>RODRIGO FELIX OLIVEIRA</t>
  </si>
  <si>
    <t>514.673.588-35</t>
  </si>
  <si>
    <t>Rodrigo Ferreira Lima</t>
  </si>
  <si>
    <t>326.848.558-89</t>
  </si>
  <si>
    <t>RODRIGO FREIRE BARACHO</t>
  </si>
  <si>
    <t>307.910.748-97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</si>
  <si>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</si>
  <si>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</si>
  <si>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</si>
  <si>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</si>
  <si>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</si>
  <si>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</si>
  <si>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</si>
  <si>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</si>
  <si>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DA CONCEIÇÃO</t>
  </si>
  <si>
    <t>234.650.208-12</t>
  </si>
  <si>
    <t>RODRIGO GONZAGA VIEIRA</t>
  </si>
  <si>
    <t>011.348.821-14</t>
  </si>
  <si>
    <t>RODRIGO HERVATIN</t>
  </si>
  <si>
    <t>275.566.258-18</t>
  </si>
  <si>
    <t>RODRIGO JEAN DE OLIVEIRA</t>
  </si>
  <si>
    <t>214.856.838-82</t>
  </si>
  <si>
    <t>RODRIGO JOSE LEMES</t>
  </si>
  <si>
    <t>286.217.238-32</t>
  </si>
  <si>
    <t>RODRIGO LEANDRO HONORIO DA SILVA</t>
  </si>
  <si>
    <t>114.109.926-83</t>
  </si>
  <si>
    <t>RODRIGO LEANDRO SOBRINHO</t>
  </si>
  <si>
    <t>345.638.128-03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</si>
  <si>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</si>
  <si>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</si>
  <si>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</si>
  <si>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</si>
  <si>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</si>
  <si>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</si>
  <si>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</si>
  <si>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</si>
  <si>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</si>
  <si>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</si>
  <si>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</si>
  <si>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</si>
  <si>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RIBEIRO DE CAMPOS</t>
  </si>
  <si>
    <t>330.696.918-46</t>
  </si>
  <si>
    <t>RODRIGO RIBEIRO DE SOUSA</t>
  </si>
  <si>
    <t>315.648.168-85</t>
  </si>
  <si>
    <t>RODRIGO ROBERTO MIUA DE FARIA</t>
  </si>
  <si>
    <t>375.597.798-24</t>
  </si>
  <si>
    <t>RODRIGO ROBSON FRIGGI</t>
  </si>
  <si>
    <t>268.813.668-25</t>
  </si>
  <si>
    <t>RODRIGO ROCHA MANOEL CINTRA</t>
  </si>
  <si>
    <t>223.122.148-90</t>
  </si>
  <si>
    <t>RODRIGO RODRIGUES FRANCA</t>
  </si>
  <si>
    <t>410.765.448-60</t>
  </si>
  <si>
    <t>RODRIGO SALES DA SILVA</t>
  </si>
  <si>
    <t>261.070.688-05</t>
  </si>
  <si>
    <t>RODRIGO SHIMIDT TUPINAMBA FERNANDES DE SA</t>
  </si>
  <si>
    <t>268.813.698-40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</si>
  <si>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</si>
  <si>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</si>
  <si>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</si>
  <si>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</si>
  <si>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</si>
  <si>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</si>
  <si>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SILVIO MENDES</t>
  </si>
  <si>
    <t>314.530.938-26</t>
  </si>
  <si>
    <t>RODRIGO SOLES MAGALHAES</t>
  </si>
  <si>
    <t>149.568.997-26</t>
  </si>
  <si>
    <t>RODRIGO TOLOSA RICO</t>
  </si>
  <si>
    <t>00.868.882/0001-01</t>
  </si>
  <si>
    <t>RODRIGO UBIRATA GUNTHER LUX</t>
  </si>
  <si>
    <t>787.278.046-15</t>
  </si>
  <si>
    <t>RODRIGUES E BENEDETTO - ADVOGADOS ASSOCIADOS</t>
  </si>
  <si>
    <t>02.082.705/0001-20</t>
  </si>
  <si>
    <t>ROGELIO GUIMARÃES DE SIQUEIRA</t>
  </si>
  <si>
    <t>151.287.268-78</t>
  </si>
  <si>
    <t>ROGER ANDRE BRAUN</t>
  </si>
  <si>
    <t>29.253.577/0001-97</t>
  </si>
  <si>
    <t>ROGERIA ELIANE CARITO REIS ARAUJO MAIO</t>
  </si>
  <si>
    <t>840.542.807-06</t>
  </si>
  <si>
    <t>ROGERIO ALVES FERREIRA</t>
  </si>
  <si>
    <t>098.444.468-80</t>
  </si>
  <si>
    <t>ROGERIO ALVES MARTINS</t>
  </si>
  <si>
    <t>114.147.578-24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</si>
  <si>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</si>
  <si>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</si>
  <si>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</si>
  <si>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</si>
  <si>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</si>
  <si>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</si>
  <si>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</si>
  <si>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</si>
  <si>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Rogério Batista de Carvalho Filho</t>
  </si>
  <si>
    <t>087.808.249-27</t>
  </si>
  <si>
    <t>ROGERIO BERNARDES CAMPOS</t>
  </si>
  <si>
    <t>140.167.828-99</t>
  </si>
  <si>
    <t>ROGERIO CARLOS DA COSTA 08100325898</t>
  </si>
  <si>
    <t>24.093.497/0001-06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</si>
  <si>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</si>
  <si>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</si>
  <si>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</si>
  <si>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</si>
  <si>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</si>
  <si>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</si>
  <si>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ROGERIO DE OLIVEIRA ANDRADE</t>
  </si>
  <si>
    <t>281.006.838-08</t>
  </si>
  <si>
    <t>ROGÉRIO DE OLIVEIRA RAMOS</t>
  </si>
  <si>
    <t>271.273.268-51</t>
  </si>
  <si>
    <t>ROGERIO DIONIZIO DE OLIVEIRA</t>
  </si>
  <si>
    <t>373.381.548-30</t>
  </si>
  <si>
    <t>ROGERIO GOMES DA SILVA JUNIOR</t>
  </si>
  <si>
    <t>424.249.008-92</t>
  </si>
  <si>
    <t>ROGERIO LUIZ DA SILVA</t>
  </si>
  <si>
    <t>201.968.028-90</t>
  </si>
  <si>
    <t>ROGERIO MENDES DA SILVA</t>
  </si>
  <si>
    <t>162.684.808-48</t>
  </si>
  <si>
    <t>ROGERIO PEREIRA DA SILVA</t>
  </si>
  <si>
    <t>298.099.208-90</t>
  </si>
  <si>
    <t>ROGERIO PEREIRA DO NASCIMENTO</t>
  </si>
  <si>
    <t>353.939.798-19</t>
  </si>
  <si>
    <t>ROGERIO PEREIRA GOULART</t>
  </si>
  <si>
    <t>219.032.648-63</t>
  </si>
  <si>
    <t>ROGERIO PERES DE SOUZA</t>
  </si>
  <si>
    <t>310.524.138-89</t>
  </si>
  <si>
    <t>ROGERIO RAMOS DE OLIVEIRA</t>
  </si>
  <si>
    <t>019.722.318-47</t>
  </si>
  <si>
    <t>ROGERIO RODRIGUES</t>
  </si>
  <si>
    <t>121.851.478-70</t>
  </si>
  <si>
    <t>Rogerio Wagner Caetano Pintan</t>
  </si>
  <si>
    <t>262.911.748-04</t>
  </si>
  <si>
    <t>ROMA COMERCIAL LTDA - ME</t>
  </si>
  <si>
    <t>21.348.054/0001-12</t>
  </si>
  <si>
    <t>ROMARIO DIEGO MARQUES</t>
  </si>
  <si>
    <t>067.561.454-60</t>
  </si>
  <si>
    <t>ROMEO COMERCIAL LTDA</t>
  </si>
  <si>
    <t>34.674.089/0001-93</t>
  </si>
  <si>
    <t>ROMEU BERNARDES DA SILVA</t>
  </si>
  <si>
    <t>081.269.598-43</t>
  </si>
  <si>
    <t>ROMILDE DIAS DE BRITO</t>
  </si>
  <si>
    <t>000.591.546-59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</si>
  <si>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</si>
  <si>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</si>
  <si>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</si>
  <si>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</si>
  <si>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</si>
  <si>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</si>
  <si>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</si>
  <si>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</si>
  <si>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ROMULO PEREIRA DA SILVA</t>
  </si>
  <si>
    <t>271.609.018-19</t>
  </si>
  <si>
    <t>ROMULO RODRIGUES MARTINS</t>
  </si>
  <si>
    <t>294.141.168-26</t>
  </si>
  <si>
    <t>RONALD HILSON DE OLIVEIRA SILVA</t>
  </si>
  <si>
    <t>310.632.348-59</t>
  </si>
  <si>
    <t>RONALDO BRASIL DE OLIVEIRA</t>
  </si>
  <si>
    <t>294.538.418-38</t>
  </si>
  <si>
    <t>RONALDO DE OLIVEIRA CHAVI</t>
  </si>
  <si>
    <t>260.419.248-90</t>
  </si>
  <si>
    <t>RONALDO FERNANDO DOS SANTOS</t>
  </si>
  <si>
    <t>098.477.298-75</t>
  </si>
  <si>
    <t>Ronaldo Filho Costa Monteiro</t>
  </si>
  <si>
    <t>219.589.567-59</t>
  </si>
  <si>
    <t>RONALDO GONCALVES DOS SANTOS</t>
  </si>
  <si>
    <t>040.900.578-92</t>
  </si>
  <si>
    <t>RONALDO INOCENCIO DA SILVA LIBERATO</t>
  </si>
  <si>
    <t>257.932.498-42</t>
  </si>
  <si>
    <t>RONALDO JOSE LOPES DE SOUZA</t>
  </si>
  <si>
    <t>185.635.428-85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</si>
  <si>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</si>
  <si>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</si>
  <si>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</si>
  <si>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</si>
  <si>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</si>
  <si>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</si>
  <si>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MOREIRA DA SILVA</t>
  </si>
  <si>
    <t>216.132.918-92</t>
  </si>
  <si>
    <t>RONALDO PALMA DE SOUZA</t>
  </si>
  <si>
    <t>025.998.578-30</t>
  </si>
  <si>
    <t>RONALDO RODRIGUES DO NASCIMENTO</t>
  </si>
  <si>
    <t>218.578.138-39</t>
  </si>
  <si>
    <t>RONALDO SANTOS RODRIGUES</t>
  </si>
  <si>
    <t>215.726.168-06</t>
  </si>
  <si>
    <t>RONALDO SERGIO PINTO</t>
  </si>
  <si>
    <t>395.120.648-98</t>
  </si>
  <si>
    <t>RONAN AMARO ALVES</t>
  </si>
  <si>
    <t>334.834.148-51</t>
  </si>
  <si>
    <t>RONDINELI APARECIDO DINIZ DOS SANTOS</t>
  </si>
  <si>
    <t>276.793.038-19</t>
  </si>
  <si>
    <t>RONDINELI DE PAULA DA SILVA</t>
  </si>
  <si>
    <t>259.806.688-02</t>
  </si>
  <si>
    <t>RONDINELI SIMOES</t>
  </si>
  <si>
    <t>342.654.588-82</t>
  </si>
  <si>
    <t>RONI HELTA DOS SANTOS SILVA</t>
  </si>
  <si>
    <t>275.567.838-04</t>
  </si>
  <si>
    <t>RONISSON BRANDÃO SANTIAGO</t>
  </si>
  <si>
    <t>380.498.318-92</t>
  </si>
  <si>
    <t>RONIVON QUEIROZ DA ROCHA</t>
  </si>
  <si>
    <t>618.128.385-49</t>
  </si>
  <si>
    <t>Ronney Wesley Pereira de Azevedo</t>
  </si>
  <si>
    <t>044.091.263-69</t>
  </si>
  <si>
    <t>RONNIE PETERSON DOS SANTOS</t>
  </si>
  <si>
    <t>148.147.508-89</t>
  </si>
  <si>
    <t>Ronny Barbosa Costa</t>
  </si>
  <si>
    <t>216.206.508-86</t>
  </si>
  <si>
    <t>ROQUE PEREIRA DOS SANTOS</t>
  </si>
  <si>
    <t>295.039.735-20</t>
  </si>
  <si>
    <t>ROSA ANGELICA CAMARGO MONTESTRUQUE</t>
  </si>
  <si>
    <t>256.922.238-05</t>
  </si>
  <si>
    <t>ROSA MARIA DE FATIMA BERNARDES</t>
  </si>
  <si>
    <t>072.430.858-06</t>
  </si>
  <si>
    <t>ROSA MARIA DE OLIVEIRA PIRES</t>
  </si>
  <si>
    <t>062.437.408-46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</si>
  <si>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</si>
  <si>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</si>
  <si>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</si>
  <si>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</si>
  <si>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</si>
  <si>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</si>
  <si>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</si>
  <si>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</si>
  <si>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</si>
  <si>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</si>
  <si>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</si>
  <si>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</si>
  <si>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</si>
  <si>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</si>
  <si>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</si>
  <si>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</si>
  <si>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</si>
  <si>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</si>
  <si>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</si>
  <si>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</si>
  <si>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RANGEL</t>
  </si>
  <si>
    <t>310.986.158-59</t>
  </si>
  <si>
    <t>ROSANA EDNA DOS SANTOS</t>
  </si>
  <si>
    <t>252.040.308-08</t>
  </si>
  <si>
    <t>ROSANA FANTAGUSSI DOS ANJOS</t>
  </si>
  <si>
    <t>308.925.688-60</t>
  </si>
  <si>
    <t>ROSANA HELENA FERRO HILF DE MORAES</t>
  </si>
  <si>
    <t>072.446.678-92</t>
  </si>
  <si>
    <t>ROSANA MARIA FARIA VADOR</t>
  </si>
  <si>
    <t>060.883.068-23</t>
  </si>
  <si>
    <t>Rosana Rocha Silverio</t>
  </si>
  <si>
    <t>258.449.128-10</t>
  </si>
  <si>
    <t>ROSANA RODRIGUES VALPONI PIRES</t>
  </si>
  <si>
    <t>262.913.268-41</t>
  </si>
  <si>
    <t>ROSANE RIBEIRO DOS SANTOS</t>
  </si>
  <si>
    <t>174.913.848-46</t>
  </si>
  <si>
    <t>ROSANGELA APARECIDA DOS REIS DAMIAO</t>
  </si>
  <si>
    <t>019.296.958-70</t>
  </si>
  <si>
    <t>ROSANGELA DIAS GODOI DE ALMEIDA BEBIDAS EPP</t>
  </si>
  <si>
    <t>01.244.820/0001-91</t>
  </si>
  <si>
    <t>ROSANGELA DOS REIS MORAIS</t>
  </si>
  <si>
    <t>880.307.506-25</t>
  </si>
  <si>
    <t>ROSANGELA FREITAS DE OLIVEIRA</t>
  </si>
  <si>
    <t>280.505.808-90</t>
  </si>
  <si>
    <t>ROSANGELA MARIA ALVES CARVALHO</t>
  </si>
  <si>
    <t>219.085.488-19</t>
  </si>
  <si>
    <t>ROSANGELA MARIA DA SILVA HONORIO</t>
  </si>
  <si>
    <t>062.508.298-22</t>
  </si>
  <si>
    <t>ROSANGELA MARIA DOS SANTOS MAXIMO</t>
  </si>
  <si>
    <t>076.843.468-81</t>
  </si>
  <si>
    <t>ROSANGELA MARQUES DOS SANTOS</t>
  </si>
  <si>
    <t>396.400.508-81</t>
  </si>
  <si>
    <t>ROSANGELA MENDES</t>
  </si>
  <si>
    <t>658.288.106-00</t>
  </si>
  <si>
    <t>ROSANGELA MOURA DOS SANTOS SILVA</t>
  </si>
  <si>
    <t>364.781.408-30</t>
  </si>
  <si>
    <t>ROSANGELA SANTANA DA SILVA OKI</t>
  </si>
  <si>
    <t>071.236.148-01</t>
  </si>
  <si>
    <t>ROSANGELA SILVA OLIVEIRA</t>
  </si>
  <si>
    <t>317.042.928-08</t>
  </si>
  <si>
    <t>ROSANGELO APARECIDO DE SOUSA</t>
  </si>
  <si>
    <t>335.462.938-00</t>
  </si>
  <si>
    <t>ROSE APARECIDA DE FARIA</t>
  </si>
  <si>
    <t>268.816.078-81</t>
  </si>
  <si>
    <t>ROSE ROSA DA SILVA</t>
  </si>
  <si>
    <t>482.116.318-73</t>
  </si>
  <si>
    <t>ROSEANA ROSARIA TOLEDO MASSA</t>
  </si>
  <si>
    <t>251.048.648-98</t>
  </si>
  <si>
    <t>ROSEANE APARECIDA GRILL LEMOS DOS SANTOS</t>
  </si>
  <si>
    <t>220.823.568-17</t>
  </si>
  <si>
    <t>ROSEANE DOS SANTOS CARVALHO</t>
  </si>
  <si>
    <t>340.817.338-99</t>
  </si>
  <si>
    <t>ROSEANE TAMIRIS BARROS DOS SANTOS</t>
  </si>
  <si>
    <t>119.691.544-03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</si>
  <si>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</si>
  <si>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</si>
  <si>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</si>
  <si>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</si>
  <si>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</si>
  <si>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</si>
  <si>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DA SILVA MOREIRA SANTOS</t>
  </si>
  <si>
    <t>026.054.468-08</t>
  </si>
  <si>
    <t>ROSELI DOS SANTOS SIQUEIRA NASCIMENTO</t>
  </si>
  <si>
    <t>061.495.136-45</t>
  </si>
  <si>
    <t>ROSELI FERREIRA</t>
  </si>
  <si>
    <t>274.869.628-02</t>
  </si>
  <si>
    <t>ROSELI LOPES GONCALVES</t>
  </si>
  <si>
    <t>219.247.928-00</t>
  </si>
  <si>
    <t>ROSELI RODRIGUES DA ROSA</t>
  </si>
  <si>
    <t>204.601.878-80</t>
  </si>
  <si>
    <t>ROSELY DOS SANTOS BALDIM</t>
  </si>
  <si>
    <t>081.097.818-02</t>
  </si>
  <si>
    <t>ROSELY FATIMA DINIZ DIAS</t>
  </si>
  <si>
    <t>072.423.268-00</t>
  </si>
  <si>
    <t>ROSEMARA DA SILVA</t>
  </si>
  <si>
    <t>276.285.958-12</t>
  </si>
  <si>
    <t>ROSEMARA FERREIRA DE SOUZA</t>
  </si>
  <si>
    <t>337.314.508-28</t>
  </si>
  <si>
    <t>ROSEMARA MARCIA DA SILVA</t>
  </si>
  <si>
    <t>073.192.308-10</t>
  </si>
  <si>
    <t>ROSEMARY APARECIDA DA SILVA</t>
  </si>
  <si>
    <t>109.597.538-26</t>
  </si>
  <si>
    <t>ROSEMARY DA MOTTA</t>
  </si>
  <si>
    <t>316.102.628-40</t>
  </si>
  <si>
    <t>ROSEMARY DOS SANTOS CLEMENTE</t>
  </si>
  <si>
    <t>316.604.588-03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</si>
  <si>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</si>
  <si>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</si>
  <si>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</si>
  <si>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</si>
  <si>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</si>
  <si>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</si>
  <si>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Maria de Sousa Silva</t>
  </si>
  <si>
    <t>258.926.008-31</t>
  </si>
  <si>
    <t>ROSEMEIRE OLIVEIRA PEREIRA</t>
  </si>
  <si>
    <t>356.111.318-40</t>
  </si>
  <si>
    <t>ROSEMEIRE RAYMUNDO GOMES</t>
  </si>
  <si>
    <t>096.272.098-48</t>
  </si>
  <si>
    <t>ROSEMEIRE RIBEIRO</t>
  </si>
  <si>
    <t>312.315.478-55</t>
  </si>
  <si>
    <t>ROSEMEIRE SOARES DE FREITAS SOUZA</t>
  </si>
  <si>
    <t>263.536.168-13</t>
  </si>
  <si>
    <t>ROSEMERE DA SILVA FERREIRA</t>
  </si>
  <si>
    <t>098.503.348-78</t>
  </si>
  <si>
    <t>ROSENI VARELA DOS ANJOS</t>
  </si>
  <si>
    <t>024.501.114-50</t>
  </si>
  <si>
    <t>ROSENILDA PEREIRA DO NASCIMENTO</t>
  </si>
  <si>
    <t>301.071.098-40</t>
  </si>
  <si>
    <t>ROSIANE DE ALMEIDA DA SILVA FERENCINI</t>
  </si>
  <si>
    <t>344.893.168-36</t>
  </si>
  <si>
    <t>Rosiane de Oliveira Pereira</t>
  </si>
  <si>
    <t>173.923.877-07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</si>
  <si>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</si>
  <si>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</si>
  <si>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</si>
  <si>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</si>
  <si>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</si>
  <si>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</si>
  <si>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</si>
  <si>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</si>
  <si>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Rosilea Helena Aparecida Alves</t>
  </si>
  <si>
    <t>325.313.808-92</t>
  </si>
  <si>
    <t>ROSILENE DE CAMPOS PEREIRA</t>
  </si>
  <si>
    <t>448.717.268-35</t>
  </si>
  <si>
    <t>ROSILENE FERREIRA BRITO</t>
  </si>
  <si>
    <t>144.592.868-07</t>
  </si>
  <si>
    <t>ROSILENE INACIO DA CONCEICAO</t>
  </si>
  <si>
    <t>225.340.618-01</t>
  </si>
  <si>
    <t>ROSILENE MARCIA RODRIGUES</t>
  </si>
  <si>
    <t>282.870.698-23</t>
  </si>
  <si>
    <t>ROSIMAR ROCHA BATISTA</t>
  </si>
  <si>
    <t>259.323.798-80</t>
  </si>
  <si>
    <t>ROSIMARA GARCIA DOS SANTOS</t>
  </si>
  <si>
    <t>780.007.182-00</t>
  </si>
  <si>
    <t>ROSINEIDE FERREIRA DA SILVA</t>
  </si>
  <si>
    <t>290.017.468-61</t>
  </si>
  <si>
    <t>ROSTER EQUIPAMENTOS PARA LABORATORIO LTDA - EPP</t>
  </si>
  <si>
    <t>02.654.269/0001-17</t>
  </si>
  <si>
    <t>ROXY COMERCIO DE BIJUTERIAS LTDA</t>
  </si>
  <si>
    <t>64.860.695/0001-64</t>
  </si>
  <si>
    <t>ROZELI CASSIO DOS SANTOS</t>
  </si>
  <si>
    <t>388.811.238-94</t>
  </si>
  <si>
    <t>ROZINETE MACHADO DIAS DA SILVA</t>
  </si>
  <si>
    <t>412.474.038-74</t>
  </si>
  <si>
    <t>RP MILITAR COMERCIO DE EQUIPAMENTOS DE SEGURANCA LTDA</t>
  </si>
  <si>
    <t>36.120.516/0001-17</t>
  </si>
  <si>
    <t>RPA COMÉRCIO DE PRODUTOS ALIMENTICIOS LTDA</t>
  </si>
  <si>
    <t>51.943.570/0001-56</t>
  </si>
  <si>
    <t>RR SOLUCOES COMERCIO DE PLACAS LTDA.</t>
  </si>
  <si>
    <t>52.789.653/0001-03</t>
  </si>
  <si>
    <t>RST ORANGE TREE PRODUCOES LTDA</t>
  </si>
  <si>
    <t>47.128.549/0001-20</t>
  </si>
  <si>
    <t>RUAN DANIEL OLIVEIRA MORAES</t>
  </si>
  <si>
    <t>489.462.388-95</t>
  </si>
  <si>
    <t>Rubem Alexandre Santos da Silva</t>
  </si>
  <si>
    <t>114.042.074-73</t>
  </si>
  <si>
    <t>RUBENS ALMEIDA</t>
  </si>
  <si>
    <t>579.942.347-04</t>
  </si>
  <si>
    <t>RUBENS ANSELMO ALVES LIMA</t>
  </si>
  <si>
    <t>269.726.238-55</t>
  </si>
  <si>
    <t>RUBENS BISPO DOS SANTOS JUNIOR</t>
  </si>
  <si>
    <t>123.231.697-00</t>
  </si>
  <si>
    <t>RUBENS DE SA</t>
  </si>
  <si>
    <t>413.899.378-95</t>
  </si>
  <si>
    <t>RUBENS GAROFALI JUNIOR</t>
  </si>
  <si>
    <t>008.810.738-81</t>
  </si>
  <si>
    <t>RUBENS MAJOR FERREIRA JUNIOR</t>
  </si>
  <si>
    <t>316.543.188-41</t>
  </si>
  <si>
    <t>RUBENS OLNEY BITENCOURT LOPES</t>
  </si>
  <si>
    <t>286.883.678-09</t>
  </si>
  <si>
    <t>RUBI ISABEL DA SILVA</t>
  </si>
  <si>
    <t>609.270.258-41</t>
  </si>
  <si>
    <t>RUBIA CARLA FERNANDES BARBOSA</t>
  </si>
  <si>
    <t>460.575.908-56</t>
  </si>
  <si>
    <t>RUBIA DANILLA DE OLIVEIRA VASQUES</t>
  </si>
  <si>
    <t>345.356.798-60</t>
  </si>
  <si>
    <t>RUBIA FONSECA ARRUDA</t>
  </si>
  <si>
    <t>263.344.338-90</t>
  </si>
  <si>
    <t>RUBIA GONZALEZ</t>
  </si>
  <si>
    <t>307.144.308-03</t>
  </si>
  <si>
    <t>RUBIA MIASSAKI</t>
  </si>
  <si>
    <t>525.087.698-60</t>
  </si>
  <si>
    <t>RUBIO GOMES DA SILVA</t>
  </si>
  <si>
    <t>327.258.458-74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</si>
  <si>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</si>
  <si>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</si>
  <si>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</si>
  <si>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</si>
  <si>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</si>
  <si>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</si>
  <si>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RUTH MARIA DA CONCEICAO DOS SANTOS</t>
  </si>
  <si>
    <t>464.184.878-50</t>
  </si>
  <si>
    <t>Ryan Artur Da Silva Procopio</t>
  </si>
  <si>
    <t>517.902.268-13</t>
  </si>
  <si>
    <t>Ryan Fernando de Matos Fonseca Neves</t>
  </si>
  <si>
    <t>511.171.248-86</t>
  </si>
  <si>
    <t>RYAN LUCCA DIAS VICENTE</t>
  </si>
  <si>
    <t>587.677.608-48</t>
  </si>
  <si>
    <t>RYAN VICTOR DE SOUZA SANTOS</t>
  </si>
  <si>
    <t>444.674.708-83</t>
  </si>
  <si>
    <t>RYANNE BONETES RODRIGUES</t>
  </si>
  <si>
    <t>417.994.358-14</t>
  </si>
  <si>
    <t>RYSZARD MAJEWSKI NETO</t>
  </si>
  <si>
    <t>420.265.668-79</t>
  </si>
  <si>
    <t>R7 DIGITAL INFORMATICA E SERVICOS LTDA</t>
  </si>
  <si>
    <t>20.788.809/0001-37</t>
  </si>
  <si>
    <t>S. BRITO SOCIEDADE INDIVIDUAL DE ADVOCACIA</t>
  </si>
  <si>
    <t>58.245.048/0001-40</t>
  </si>
  <si>
    <t>S R S COMERCIO DE INFORMATICA LTDA</t>
  </si>
  <si>
    <t>02.137.386/0001-03</t>
  </si>
  <si>
    <t>S T IRAJA AGRICOLA LTDA</t>
  </si>
  <si>
    <t>03.656.245/0001-60</t>
  </si>
  <si>
    <t>S.A. CONSULTORIA, GESTAO E SERVICOS LTDA</t>
  </si>
  <si>
    <t>22.588.060/0001-00</t>
  </si>
  <si>
    <t>SABRE SEGURANCA PRIVADA LTDA</t>
  </si>
  <si>
    <t>57.745.667/0001-30</t>
  </si>
  <si>
    <t>SABRINA AQUINO DA SILVA</t>
  </si>
  <si>
    <t>465.602.838-01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</si>
  <si>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</si>
  <si>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</si>
  <si>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</si>
  <si>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</si>
  <si>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</si>
  <si>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</si>
  <si>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</si>
  <si>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</si>
  <si>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</si>
  <si>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</si>
  <si>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EMANUELA XAVIER BATISTA</t>
  </si>
  <si>
    <t>152.400.396-40</t>
  </si>
  <si>
    <t>SABRINA GAMA TAPAJOS</t>
  </si>
  <si>
    <t>700.687.852-75</t>
  </si>
  <si>
    <t>SABRINA GOMES DE PAULA OCTACILIO</t>
  </si>
  <si>
    <t>600.537.668-30</t>
  </si>
  <si>
    <t>SABRINA MANCILHA DA GAMA</t>
  </si>
  <si>
    <t>548.781.248-90</t>
  </si>
  <si>
    <t>SABRINA MORAES LONNEUX</t>
  </si>
  <si>
    <t>360.262.618-00</t>
  </si>
  <si>
    <t>SABRINA RODRIGUES DE LIMA</t>
  </si>
  <si>
    <t>488.845.558-92</t>
  </si>
  <si>
    <t>SABRINA SILVA LEITE</t>
  </si>
  <si>
    <t>464.560.788-06</t>
  </si>
  <si>
    <t>Sabrina Souza Silva</t>
  </si>
  <si>
    <t>533.176.398-73</t>
  </si>
  <si>
    <t>SABRINA ZEFINO PEREIRA DA SILVA</t>
  </si>
  <si>
    <t>100.263.889-52</t>
  </si>
  <si>
    <t>SAFETY EQUIPAMENTOS DE PROTECAO INDIVIDUAL LTDA</t>
  </si>
  <si>
    <t>60.204.614/0001-17</t>
  </si>
  <si>
    <t>SAFETYTRAB COMERCIO E SERVIÇOS LTDA</t>
  </si>
  <si>
    <t>23.571.314/0001-40</t>
  </si>
  <si>
    <t>SAIRU FRETAMENTO &amp; TURISMO LTDA</t>
  </si>
  <si>
    <t>07.091.102/0001-09</t>
  </si>
  <si>
    <t>SALATIEL DA SILVA CARVALHO</t>
  </si>
  <si>
    <t>045.034.158-59</t>
  </si>
  <si>
    <t>SALES CONSULTING LTDA</t>
  </si>
  <si>
    <t>39.849.125/0001-26</t>
  </si>
  <si>
    <t>SALES DISTRIBUIDORA LTDA</t>
  </si>
  <si>
    <t>47.978.428/0001-77</t>
  </si>
  <si>
    <t>SALES KLEIN EDUCACAO INFANTIL LTDA ME</t>
  </si>
  <si>
    <t>22.230.800/0001-31</t>
  </si>
  <si>
    <t>SALETE HERMINIA DE CARVALHO</t>
  </si>
  <si>
    <t>185.631.648-30</t>
  </si>
  <si>
    <t>SALOMAO AUGUSTO JERONIMO</t>
  </si>
  <si>
    <t>560.020.138-90</t>
  </si>
  <si>
    <t>SALUTAR SERVICOS EM MEDICINA RESPIRATORIA LTDA</t>
  </si>
  <si>
    <t>04.182.791/0001-79</t>
  </si>
  <si>
    <t>SALUTI &amp; CIA LTDA</t>
  </si>
  <si>
    <t>07.620.532/0001-70</t>
  </si>
  <si>
    <t>SAMANTA CRISTINA DE MOURA OLIVEIRA</t>
  </si>
  <si>
    <t>355.654.308-79</t>
  </si>
  <si>
    <t>SAMANTA DOS SANTOS SILVA</t>
  </si>
  <si>
    <t>438.572.038-03</t>
  </si>
  <si>
    <t>SAMANTA FONSECA BONIFACIO</t>
  </si>
  <si>
    <t>082.360.996-01</t>
  </si>
  <si>
    <t>SAMANTA RIBEIRO</t>
  </si>
  <si>
    <t>417.943.528-48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</si>
  <si>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</si>
  <si>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</si>
  <si>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</si>
  <si>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</si>
  <si>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</si>
  <si>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</si>
  <si>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SAMANTHA KATHLEEN NUNES DOS SANTOS</t>
  </si>
  <si>
    <t>522.123.048-89</t>
  </si>
  <si>
    <t>SAMANTHA ZOE GOMES DE SOUZA</t>
  </si>
  <si>
    <t>472.777.808-41</t>
  </si>
  <si>
    <t>SAMARA APARECIDA DE OLIVEIRA</t>
  </si>
  <si>
    <t>371.953.758-70</t>
  </si>
  <si>
    <t>SAMARA BARBOSA CAVALCANTE</t>
  </si>
  <si>
    <t>706.860.404-81</t>
  </si>
  <si>
    <t>SAMARA DE OLIVEIRA REIS ALVES</t>
  </si>
  <si>
    <t>456.789.738-27</t>
  </si>
  <si>
    <t>SAMARA GABRIELA DO PRADO BATISTA ANTUNES</t>
  </si>
  <si>
    <t>389.235.818-44</t>
  </si>
  <si>
    <t>SAMARA SILVA FERREIRA</t>
  </si>
  <si>
    <t>328.302.228-30</t>
  </si>
  <si>
    <t>SAMELA VICTORIA DE SOUZA</t>
  </si>
  <si>
    <t>493.932.888-01</t>
  </si>
  <si>
    <t>SAMTRONIC - INDUSTRIA E COMERCIO LTDA</t>
  </si>
  <si>
    <t>58.426.628/0001-33</t>
  </si>
  <si>
    <t>SAMUEL APARECIDO DA SILVA</t>
  </si>
  <si>
    <t>351.261.698-40</t>
  </si>
  <si>
    <t>SAMUEL BENEDITO DE SOUZA</t>
  </si>
  <si>
    <t>392.966.008-39</t>
  </si>
  <si>
    <t>SAMUEL DA SILVA SANTOS</t>
  </si>
  <si>
    <t>098.622.718-84</t>
  </si>
  <si>
    <t>SAMUEL DE FIGUEIREDO SANTOS</t>
  </si>
  <si>
    <t>840.228.843-04</t>
  </si>
  <si>
    <t>SAMUEL DOS SANTOS</t>
  </si>
  <si>
    <t>350.207.978-12</t>
  </si>
  <si>
    <t>SAMUEL FERNANDO CHAVES DE OLIVEIRA</t>
  </si>
  <si>
    <t>502.149.048-65</t>
  </si>
  <si>
    <t>SAMUEL FERRAZ DE LIMA PINTO</t>
  </si>
  <si>
    <t>386.685.018-28</t>
  </si>
  <si>
    <t>SAMUEL FRANCISCO DOS SANTOS FREIRE</t>
  </si>
  <si>
    <t>492.717.698-30</t>
  </si>
  <si>
    <t>Samuel Guedes Nogueira</t>
  </si>
  <si>
    <t>449.975.648-00</t>
  </si>
  <si>
    <t>SAMUEL HENRIQUE DE ALMEIDA</t>
  </si>
  <si>
    <t>414.547.798-70</t>
  </si>
  <si>
    <t>SAMUEL LEON NILO MACHADO</t>
  </si>
  <si>
    <t>036.258.288-20</t>
  </si>
  <si>
    <t>SAMUEL LUCCA CAMARGO</t>
  </si>
  <si>
    <t>602.499.488-50</t>
  </si>
  <si>
    <t>SAMUEL MARTINS NEVES</t>
  </si>
  <si>
    <t>154.477.846-54</t>
  </si>
  <si>
    <t>SAMUEL NASCIMENTO RIBEIRO</t>
  </si>
  <si>
    <t>223.965.188-10</t>
  </si>
  <si>
    <t>SAMUEL RENATO DOS SANTOS CLEMENTE</t>
  </si>
  <si>
    <t>389.053.268-38</t>
  </si>
  <si>
    <t>SAMUEL RIBEIRO</t>
  </si>
  <si>
    <t>155.323.448-09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</si>
  <si>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</si>
  <si>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</si>
  <si>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</si>
  <si>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</si>
  <si>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</si>
  <si>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</si>
  <si>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</si>
  <si>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</si>
  <si>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APARECIDA COUTINHO DO BOMFIM</t>
  </si>
  <si>
    <t>141.826.978-63</t>
  </si>
  <si>
    <t>SANDRA APARECIDA DE SOUZA</t>
  </si>
  <si>
    <t>300.230.108-60</t>
  </si>
  <si>
    <t>SANDRA BARBOSA DE SOUZA FRANCO</t>
  </si>
  <si>
    <t>057.830.398-10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</si>
  <si>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</si>
  <si>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</si>
  <si>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</si>
  <si>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</si>
  <si>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</si>
  <si>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</si>
  <si>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DA SILVA NEVES</t>
  </si>
  <si>
    <t>159.668.778-90</t>
  </si>
  <si>
    <t>SANDRA DE FATIMA SANTANA MACIEL</t>
  </si>
  <si>
    <t>028.765.598-97</t>
  </si>
  <si>
    <t>SANDRA ELAINE DA SILVA CORDEIRO</t>
  </si>
  <si>
    <t>245.769.088-98</t>
  </si>
  <si>
    <t>SANDRA FERNANDES GONÇALVES QUIRINO</t>
  </si>
  <si>
    <t>114.099.498-00</t>
  </si>
  <si>
    <t>SANDRA HENRIQUE DA SILVA</t>
  </si>
  <si>
    <t>214.150.508-99</t>
  </si>
  <si>
    <t>SANDRA MARA RAMOS</t>
  </si>
  <si>
    <t>831.922.559-00</t>
  </si>
  <si>
    <t>SANDRA MARIA CORQUIOLA PEREIRA</t>
  </si>
  <si>
    <t>308.597.928-03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</si>
  <si>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</si>
  <si>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</si>
  <si>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</si>
  <si>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</si>
  <si>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</si>
  <si>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</si>
  <si>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REGINA DE ARAUJO RAMOS</t>
  </si>
  <si>
    <t>082.993.548-70</t>
  </si>
  <si>
    <t>SANDRA REGINA DIAS</t>
  </si>
  <si>
    <t>201.963.748-04</t>
  </si>
  <si>
    <t>SANDRA REGINA LIMEIRA SANTOS</t>
  </si>
  <si>
    <t>109.754.768-07</t>
  </si>
  <si>
    <t>SANDRA RODRIGUES DOS SANTOS</t>
  </si>
  <si>
    <t>667.154.743-20</t>
  </si>
  <si>
    <t>SANDRA SERAFIM RODRIGUES DO CARMO</t>
  </si>
  <si>
    <t>399.967.818-60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</si>
  <si>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</si>
  <si>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</si>
  <si>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</si>
  <si>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</si>
  <si>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</si>
  <si>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</si>
  <si>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FERREIRA</t>
  </si>
  <si>
    <t>196.166.968-40</t>
  </si>
  <si>
    <t>SANDRO GARCIA DE MELO</t>
  </si>
  <si>
    <t>098.553.098-71</t>
  </si>
  <si>
    <t>SANDRO MAGNO BATISTA LOPES</t>
  </si>
  <si>
    <t>033.969.357-64</t>
  </si>
  <si>
    <t>SANDRO MARQUES RODRIGO DE OLIVEIRA</t>
  </si>
  <si>
    <t>072.380.338-28</t>
  </si>
  <si>
    <t>SANDRO MENDONCA DOS SANTOS</t>
  </si>
  <si>
    <t>395.512.908-01</t>
  </si>
  <si>
    <t>SANDRO ORLANDO DA SILVA</t>
  </si>
  <si>
    <t>285.489.198-84</t>
  </si>
  <si>
    <t>SANPLAS DISTRIBUIDORA DE EMBALAGENS LTDA</t>
  </si>
  <si>
    <t>34.857.562/0001-78</t>
  </si>
  <si>
    <t>SANTA BRANCA TRANSPORTE LTDA</t>
  </si>
  <si>
    <t>56.775.935/0001-02</t>
  </si>
  <si>
    <t>SANTIAGO  COMERCIAL LTDA - ME</t>
  </si>
  <si>
    <t>10.613.680/0001-72</t>
  </si>
  <si>
    <t>SANTINELI &amp; SANTINELI - ESTACIONAMENTO DE VEICULOS LTDA</t>
  </si>
  <si>
    <t>03.358.491/0001-35</t>
  </si>
  <si>
    <t>SANTOS HEALTH &amp; SAFETY COMERCIO IMPORTACAO SERVICOS LTDA</t>
  </si>
  <si>
    <t>37.565.563/0001-37</t>
  </si>
  <si>
    <t>SANVALE CONSTRUTORA E GERENCIAMENTO LTDA</t>
  </si>
  <si>
    <t>28.779.442/0001-05</t>
  </si>
  <si>
    <t>SAO JOSE DOS CAMPOS 4 CARTORIO DE NOTAS</t>
  </si>
  <si>
    <t>50.460.781/0001-75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</si>
  <si>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</si>
  <si>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</si>
  <si>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</si>
  <si>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</si>
  <si>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</si>
  <si>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</si>
  <si>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</si>
  <si>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</si>
  <si>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SAPO SANEAMENTO AMBIENTAL PROJETOS E OPERACOES LTDA</t>
  </si>
  <si>
    <t>72.548.852/0001-29</t>
  </si>
  <si>
    <t>SARA ALVES DOS SANTOS</t>
  </si>
  <si>
    <t>214.282.258-46</t>
  </si>
  <si>
    <t>SARA APARECIDA PANSERI VICENTIN DOS SANTOS</t>
  </si>
  <si>
    <t>224.719.278-58</t>
  </si>
  <si>
    <t>SARA CRISTINA BATISTA DOS SANTOS</t>
  </si>
  <si>
    <t>428.951.258-56</t>
  </si>
  <si>
    <t>SARA CRISTINA RAMALHEIRO MARTINS</t>
  </si>
  <si>
    <t>466.027.868-90</t>
  </si>
  <si>
    <t>SARA ELISA RIBEIRO</t>
  </si>
  <si>
    <t>462.974.898-90</t>
  </si>
  <si>
    <t>SARA JANE FERNANDES</t>
  </si>
  <si>
    <t>249.283.208-24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</si>
  <si>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</si>
  <si>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</si>
  <si>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</si>
  <si>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</si>
  <si>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</si>
  <si>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</si>
  <si>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</si>
  <si>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</si>
  <si>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</si>
  <si>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</si>
  <si>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OLIVEIRA VILLELA</t>
  </si>
  <si>
    <t>447.767.078-88</t>
  </si>
  <si>
    <t>SARA PEREIRA SILVA</t>
  </si>
  <si>
    <t>093.921.888-70</t>
  </si>
  <si>
    <t>SARA REGINA OLIVEIRA BATISTA</t>
  </si>
  <si>
    <t>386.899.378-97</t>
  </si>
  <si>
    <t>SARA VITORIA BATISTA DOS SANTOS</t>
  </si>
  <si>
    <t>522.893.168-65</t>
  </si>
  <si>
    <t>SARA VITORIA GOULART GLORIA</t>
  </si>
  <si>
    <t>508.093.358-59</t>
  </si>
  <si>
    <t>SARAH ANTUNES DE SOUSA</t>
  </si>
  <si>
    <t>518.579.468-20</t>
  </si>
  <si>
    <t>SARAH FERNANDES NASCIMENTO</t>
  </si>
  <si>
    <t>445.478.948-76</t>
  </si>
  <si>
    <t>SARAH HIDALGO LINZMEYER DE MIRANDA VILAR</t>
  </si>
  <si>
    <t>339.418.678-06</t>
  </si>
  <si>
    <t>SARAH LIGIA CURSINO THIMOTEO</t>
  </si>
  <si>
    <t>364.524.798-06</t>
  </si>
  <si>
    <t>Sarah Stefani da Silva Leandro</t>
  </si>
  <si>
    <t>458.830.968-40</t>
  </si>
  <si>
    <t>SARAH VITORIA DE OLIVEIRA COSTA</t>
  </si>
  <si>
    <t>590.626.808-10</t>
  </si>
  <si>
    <t>SATRIA ZELADORIA LTDA</t>
  </si>
  <si>
    <t>31.046.353/0001-56</t>
  </si>
  <si>
    <t>SAULO JOAO MARCOS AMORIM MENDES</t>
  </si>
  <si>
    <t>009.961.158-97</t>
  </si>
  <si>
    <t>SAULO PEREIRA PORTO</t>
  </si>
  <si>
    <t>497.322.838-90</t>
  </si>
  <si>
    <t>SAULO RICARDO DE ALMEIDA</t>
  </si>
  <si>
    <t>338.573.038-40</t>
  </si>
  <si>
    <t>SAULO RODRIGO FIGUEIREDO LOPES</t>
  </si>
  <si>
    <t>298.873.278-75</t>
  </si>
  <si>
    <t>SB CONSTRUÇÕES ALFA LIMITADA</t>
  </si>
  <si>
    <t>24.672.816/0001-20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</si>
  <si>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</si>
  <si>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</si>
  <si>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</si>
  <si>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</si>
  <si>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</si>
  <si>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</si>
  <si>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</si>
  <si>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</si>
  <si>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</si>
  <si>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</si>
  <si>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da Silva Rosa</t>
  </si>
  <si>
    <t>088.061.888-44</t>
  </si>
  <si>
    <t>SEBASTIANA DOS SANTOS MOTA</t>
  </si>
  <si>
    <t>285.055.828-10</t>
  </si>
  <si>
    <t>SEBASTIAO BARBOSA FILHO</t>
  </si>
  <si>
    <t>977.907.108-34</t>
  </si>
  <si>
    <t>SEBASTIAO DONIZETI MACHADO</t>
  </si>
  <si>
    <t>830.307.948-49</t>
  </si>
  <si>
    <t>SEBASTIAO HENRIQUE DA SILVA</t>
  </si>
  <si>
    <t>347.519.124-53</t>
  </si>
  <si>
    <t>SEBASTIAO PEREIRA DA SILVA</t>
  </si>
  <si>
    <t>019.718.358-11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</si>
  <si>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</si>
  <si>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</si>
  <si>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</si>
  <si>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</si>
  <si>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</si>
  <si>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</si>
  <si>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</si>
  <si>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</si>
  <si>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SECRETARIA DA FAZENDA E PLANEJAMENTO</t>
  </si>
  <si>
    <t>46.377.222/0001-29</t>
  </si>
  <si>
    <t>SECRETARIA DE ESTADO DA SAUDE</t>
  </si>
  <si>
    <t>46.374.500/0001-94</t>
  </si>
  <si>
    <t>SECTRON INDUSTRIA E COMERCIO LTDA</t>
  </si>
  <si>
    <t>00.005.822/0001-65</t>
  </si>
  <si>
    <t>SEGUNDO OFICIAL  REGIST. DE IMOV.TIT.E DOC.  CIVIL PESSOA JUR.DE S.J.CAMPOS</t>
  </si>
  <si>
    <t>05.681.636/0001-60</t>
  </si>
  <si>
    <t>SEGUROS CAVICHIOLI ADMINSTRADORA E CORRETORA LTDA</t>
  </si>
  <si>
    <t>22.155.995/0001-00</t>
  </si>
  <si>
    <t>SEGVAP SERVICOS LTDA</t>
  </si>
  <si>
    <t>01.883.893/0001-23</t>
  </si>
  <si>
    <t>SELBETTI TECNOLOGIA S.A.</t>
  </si>
  <si>
    <t>83.483.230/0001-86</t>
  </si>
  <si>
    <t>SELEÇÃO NATURAL - INOVAÇÃO EM PROJETOS AMBIENTAIS LTDA.</t>
  </si>
  <si>
    <t>13.927.998/0001-16</t>
  </si>
  <si>
    <t>SELMA APARECIDA SILVA SOUSA</t>
  </si>
  <si>
    <t>121.821.238-14</t>
  </si>
  <si>
    <t>SELMA RODRIGUES DE ARAUJO</t>
  </si>
  <si>
    <t>182.846.981-53</t>
  </si>
  <si>
    <t>SENSUS DIGITAL - INFORMACAO EM GESTAO E CONTABILIDADE LTDA</t>
  </si>
  <si>
    <t>29.247.017/0001-20</t>
  </si>
  <si>
    <t>SERCLIN - SERVIÇOS DE CLÍNICA MÉDICA LTDA - ME</t>
  </si>
  <si>
    <t>11.187.306/0001-15</t>
  </si>
  <si>
    <t>SÉRGIO ALBERTO DA SILVA</t>
  </si>
  <si>
    <t>363.685.838-60</t>
  </si>
  <si>
    <t>SERGIO APARECIDO DOS SANTOS</t>
  </si>
  <si>
    <t>133.086.688-66</t>
  </si>
  <si>
    <t>SERGIO CARLOS DA SILVA</t>
  </si>
  <si>
    <t>019.712.518-28</t>
  </si>
  <si>
    <t>SERGIO CESAR FERREIRA</t>
  </si>
  <si>
    <t>297.080.308-99</t>
  </si>
  <si>
    <t>SERGIO DUARTE DE ABREU NETO</t>
  </si>
  <si>
    <t>295.061.718-23</t>
  </si>
  <si>
    <t>SERGIO ELIAS DOS SANTOS</t>
  </si>
  <si>
    <t>282.878.468-11</t>
  </si>
  <si>
    <t>SERGIO FRANCISCO DOS SANTOS</t>
  </si>
  <si>
    <t>171.102.338-80</t>
  </si>
  <si>
    <t>SERGIO FUNKE LTDA</t>
  </si>
  <si>
    <t>12.055.209/0001-31</t>
  </si>
  <si>
    <t>SERGIO GOMES RAMOS JUNIOR</t>
  </si>
  <si>
    <t>121.171.747-01</t>
  </si>
  <si>
    <t>SERGIO JUSTINIANO DA SILVA</t>
  </si>
  <si>
    <t>104.865.578-47</t>
  </si>
  <si>
    <t>Sergio Murilo de Jesus Ferreira</t>
  </si>
  <si>
    <t>385.141.998-70</t>
  </si>
  <si>
    <t>Sergio Paulo Fabiano de Alcantara</t>
  </si>
  <si>
    <t>100.795.996-72</t>
  </si>
  <si>
    <t>SERGIO PILLING GUAPYASSU DE OLIVEIRA</t>
  </si>
  <si>
    <t>070.813.767-97</t>
  </si>
  <si>
    <t>Sergio Ricardo Negrão</t>
  </si>
  <si>
    <t>044.859.028-03</t>
  </si>
  <si>
    <t>SERGIO SANTOS</t>
  </si>
  <si>
    <t>098.594.958-90</t>
  </si>
  <si>
    <t>SERGIO WAGNER DUARTE</t>
  </si>
  <si>
    <t>098.478.228-16</t>
  </si>
  <si>
    <t>SERTTEL SOLUCOES EM MOBILIDADE E SEGURANCA URBANA LTDA</t>
  </si>
  <si>
    <t>24.144.040/0001-75</t>
  </si>
  <si>
    <t>24.144.040/0010-66</t>
  </si>
  <si>
    <t>SERVICE SOLUTIONS SOLUCOES EM CONTACT CENTER LTDA</t>
  </si>
  <si>
    <t>12.884.072/0001-28</t>
  </si>
  <si>
    <t>SERVICO DE HEMOTERAPIA DE SAO JOSE DOS CAMPOS LTDA</t>
  </si>
  <si>
    <t>50.459.395/0004-06</t>
  </si>
  <si>
    <t>SERVICO DE HEMOTERAPIA DE S.J.CAMPOS LTDA</t>
  </si>
  <si>
    <t>50.459.395/0001-63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</si>
  <si>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</si>
  <si>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</si>
  <si>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</si>
  <si>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</si>
  <si>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</si>
  <si>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</si>
  <si>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SETCORP SETVILLE ASJ EMPREENDIMENTOS LTDA</t>
  </si>
  <si>
    <t>21.735.041/0001-04</t>
  </si>
  <si>
    <t>SETCORP SJC 187 EMPREENDIMENTOS IMOBILIARIOS SPE LTDA</t>
  </si>
  <si>
    <t>24.077.637/0001-44</t>
  </si>
  <si>
    <t>SETCORP 212 URBANIZADORA LTDA</t>
  </si>
  <si>
    <t>27.603.555/0001-84</t>
  </si>
  <si>
    <t>SETE SERVIC ELEVADORES E AUTOMACAO SP LTDA</t>
  </si>
  <si>
    <t>31.107.571/0001-53</t>
  </si>
  <si>
    <t>SEVEN - MANUTENCAO E ASSISTENCIA TECNICA EM EQUIPAMENTOS ODONTOLOGICOS LTDA</t>
  </si>
  <si>
    <t>42.563.373/0001-10</t>
  </si>
  <si>
    <t>SEVEN COMÉRCIO E SERVIÇO LTDA</t>
  </si>
  <si>
    <t>07.359.137/0001-86</t>
  </si>
  <si>
    <t>Severino Emanoel Garcia Mendes</t>
  </si>
  <si>
    <t>582.357.198-43</t>
  </si>
  <si>
    <t>SEVERINO FERREIRA DE SOUSA</t>
  </si>
  <si>
    <t>320.749.994-53</t>
  </si>
  <si>
    <t>SEVERINO FRANCISCO DA SILVA NETTO</t>
  </si>
  <si>
    <t>032.034.818-04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</si>
  <si>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</si>
  <si>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</si>
  <si>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</si>
  <si>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</si>
  <si>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</si>
  <si>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</si>
  <si>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ALEXANDRA PEREIRA SHINDO</t>
  </si>
  <si>
    <t>161.691.358-40</t>
  </si>
  <si>
    <t>SHEILA BEATRIZ RAMOS CANHOTO</t>
  </si>
  <si>
    <t>269.178.788-55</t>
  </si>
  <si>
    <t>SHEILA CRISTINA SIMOES</t>
  </si>
  <si>
    <t>297.855.668-46</t>
  </si>
  <si>
    <t>SHEILA RUBIA CORREA</t>
  </si>
  <si>
    <t>150.214.438-79</t>
  </si>
  <si>
    <t>SHIRLEY ALESSANDRA DOS SANTOS</t>
  </si>
  <si>
    <t>290.971.308-32</t>
  </si>
  <si>
    <t>SHIRLEY APARECIDA AMO CLETO</t>
  </si>
  <si>
    <t>476.488.358-94</t>
  </si>
  <si>
    <t>SHIRLEY DOS SANTOS MONTEIRO</t>
  </si>
  <si>
    <t>218.372.098-04</t>
  </si>
  <si>
    <t>SHIRLEY VIANA CARVALHO</t>
  </si>
  <si>
    <t>254.119.578-85</t>
  </si>
  <si>
    <t>SHM CONSULTORIA, GESTAO E SERVICOS EM SAUDE LTDA</t>
  </si>
  <si>
    <t>37.041.841/0001-57</t>
  </si>
  <si>
    <t>SHN SOLUCOES LTDA</t>
  </si>
  <si>
    <t>55.677.028/0001-50</t>
  </si>
  <si>
    <t>SIANET DATACENTER PROVEDORES LTDA</t>
  </si>
  <si>
    <t>10.470.642/0001-08</t>
  </si>
  <si>
    <t>SIATT ENGENHARIA E PARTICIPAÇÕES LTDA</t>
  </si>
  <si>
    <t>23.483.206/0001-15</t>
  </si>
  <si>
    <t>SIDINEI ILIDIO DE MORAES</t>
  </si>
  <si>
    <t>199.194.778-00</t>
  </si>
  <si>
    <t>SIDNEI DAS NEVES</t>
  </si>
  <si>
    <t>435.159.758-53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</si>
  <si>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</si>
  <si>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</si>
  <si>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</si>
  <si>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</si>
  <si>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</si>
  <si>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</si>
  <si>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</si>
  <si>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</si>
  <si>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SIDNEY FRANKLIN A DOS SANTOS</t>
  </si>
  <si>
    <t>17.160.569/0001-17</t>
  </si>
  <si>
    <t>SIDNEY SILVA</t>
  </si>
  <si>
    <t>076.983.896-00</t>
  </si>
  <si>
    <t>SILAS DONIZETI DOS SANTOS</t>
  </si>
  <si>
    <t>367.200.698-02</t>
  </si>
  <si>
    <t>SILMA APARECIDA TEIXEIRA DE SOUZA</t>
  </si>
  <si>
    <t>296.680.058-56</t>
  </si>
  <si>
    <t>Silma Elisa De Carvalho</t>
  </si>
  <si>
    <t>159.412.828-69</t>
  </si>
  <si>
    <t>SILMARA REGINA SANTOS DE SOUSA</t>
  </si>
  <si>
    <t>507.265.208-45</t>
  </si>
  <si>
    <t>SILMARA RIBEIRO OLIVEIRA</t>
  </si>
  <si>
    <t>216.602.098-46</t>
  </si>
  <si>
    <t>SILMARA SOARES DA SILVA</t>
  </si>
  <si>
    <t>183.799.898-13</t>
  </si>
  <si>
    <t>SILVA &amp; OLIVEIRA GUEDES LTDA</t>
  </si>
  <si>
    <t>14.932.174/0001-05</t>
  </si>
  <si>
    <t>SILVA E OLIVEIRA EMPREENDIMENTOS LTDA</t>
  </si>
  <si>
    <t>62.065.130/0001-60</t>
  </si>
  <si>
    <t>SILVA E PEREIRA CONSTRUTORA LTDA</t>
  </si>
  <si>
    <t>38.299.412/0001-47</t>
  </si>
  <si>
    <t>SILVANA ALMADA MININI DE OLIVEIRA</t>
  </si>
  <si>
    <t>330.356.268-71</t>
  </si>
  <si>
    <t>SILVANA ALVES DE OLIVEIRA</t>
  </si>
  <si>
    <t>072.185.938-01</t>
  </si>
  <si>
    <t>SILVANA DE CASSIA FONSECA</t>
  </si>
  <si>
    <t>138.453.638-86</t>
  </si>
  <si>
    <t>SILVANA DO CARMO SIQUEIRA FARIA</t>
  </si>
  <si>
    <t>046.235.296-06</t>
  </si>
  <si>
    <t>SILVANA DONIZETTI FERREIRA EUFRAZINO</t>
  </si>
  <si>
    <t>326.372.868-73</t>
  </si>
  <si>
    <t>SILVANA ISABEL DE CASTRO SILVA</t>
  </si>
  <si>
    <t>201.904.598-24</t>
  </si>
  <si>
    <t>SILVANA JESUS PAULINO CORREIA</t>
  </si>
  <si>
    <t>081.286.618-50</t>
  </si>
  <si>
    <t>SILVANA LOURENCO BARBOSA DINIS</t>
  </si>
  <si>
    <t>144.640.378-52</t>
  </si>
  <si>
    <t>SILVANA ROSA PEREIRA</t>
  </si>
  <si>
    <t>162.781.508-24</t>
  </si>
  <si>
    <t>SILVANIA AMARA DA SILVA SOUZA</t>
  </si>
  <si>
    <t>648.318.174-49</t>
  </si>
  <si>
    <t>SILVANO JOSE DE OLIVEIRA</t>
  </si>
  <si>
    <t>226.962.418-13</t>
  </si>
  <si>
    <t>SILVIA BARROS DOS SANTOS</t>
  </si>
  <si>
    <t>218.557.628-38</t>
  </si>
  <si>
    <t>SILVIA CLAUDIA ELOY</t>
  </si>
  <si>
    <t>101.583.778-69</t>
  </si>
  <si>
    <t>SILVIA CRISTINA RODRIGUES</t>
  </si>
  <si>
    <t>093.269.518-39</t>
  </si>
  <si>
    <t>SILVIA HELENA GONCALVES DOS SANTOS</t>
  </si>
  <si>
    <t>367.658.638-77</t>
  </si>
  <si>
    <t>SILVIA HELENA PEREIRA</t>
  </si>
  <si>
    <t>275.965.298-01</t>
  </si>
  <si>
    <t>SILVIA HELENA VALERIANO DOS SANTOS</t>
  </si>
  <si>
    <t>266.941.778-79</t>
  </si>
  <si>
    <t>SILVIA LEITE PEEIRA</t>
  </si>
  <si>
    <t>225.492.018-92</t>
  </si>
  <si>
    <t>SILVIA LETICIA DA SILVA</t>
  </si>
  <si>
    <t>221.112.758-40</t>
  </si>
  <si>
    <t>SILVIA MARCIA COELHO</t>
  </si>
  <si>
    <t>335.801.338-37</t>
  </si>
  <si>
    <t>SILVIA MARIA DOS SANTOS</t>
  </si>
  <si>
    <t>050.502.618-05</t>
  </si>
  <si>
    <t>SILVIA REGINA DE MOURA</t>
  </si>
  <si>
    <t>313.228.338-00</t>
  </si>
  <si>
    <t>SILVIA ROGERIA DE OLIVEIRA</t>
  </si>
  <si>
    <t>080.997.918-78</t>
  </si>
  <si>
    <t>SILVIO ALESSANDER ENCARNACAO</t>
  </si>
  <si>
    <t>213.095.208-95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</si>
  <si>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</si>
  <si>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</si>
  <si>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</si>
  <si>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</si>
  <si>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</si>
  <si>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</si>
  <si>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DOS SANTOS LEITE</t>
  </si>
  <si>
    <t>083.804.258-98</t>
  </si>
  <si>
    <t>SILVIO EDUARDO DA SILVA</t>
  </si>
  <si>
    <t>183.776.788-29</t>
  </si>
  <si>
    <t>SILVIO FERREIRA BALDERRAMA</t>
  </si>
  <si>
    <t>365.139.918-46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</si>
  <si>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</si>
  <si>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</si>
  <si>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</si>
  <si>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</si>
  <si>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</si>
  <si>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</si>
  <si>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ALEXANDRE SARAIVA</t>
  </si>
  <si>
    <t>217.397.258-83</t>
  </si>
  <si>
    <t>SIMONE APARECIDA BARBOSA DOS SANTOS</t>
  </si>
  <si>
    <t>226.618.108-46</t>
  </si>
  <si>
    <t>SIMONE APARECIDA DO NASCIMENTO CAMARGO</t>
  </si>
  <si>
    <t>094.773.678-69</t>
  </si>
  <si>
    <t>SIMONE APARECIDA DOS SANTOS</t>
  </si>
  <si>
    <t>246.420.188-08</t>
  </si>
  <si>
    <t>262.443.208-67</t>
  </si>
  <si>
    <t>SIMONE APARECIDA LIMA DE OLIVEIRA</t>
  </si>
  <si>
    <t>327.916.068-58</t>
  </si>
  <si>
    <t>SIMONE APARECIDA PEREIRA</t>
  </si>
  <si>
    <t>281.381.858-56</t>
  </si>
  <si>
    <t>SIMONE CERQUEIRA DO NASCIMENTO</t>
  </si>
  <si>
    <t>397.672.438-60</t>
  </si>
  <si>
    <t>SIMONE DE CASSIA LOPES</t>
  </si>
  <si>
    <t>079.848.216-82</t>
  </si>
  <si>
    <t>SIMONE DE FATIMA PINTO GODOY</t>
  </si>
  <si>
    <t>320.933.938-40</t>
  </si>
  <si>
    <t>SIMONE HORACIO DOS SANTOS DUARTE</t>
  </si>
  <si>
    <t>086.413.247-63</t>
  </si>
  <si>
    <t>SIMONE MARIA DA SILVA</t>
  </si>
  <si>
    <t>323.043.818-39</t>
  </si>
  <si>
    <t>SIMONE MARQUES SANTOS</t>
  </si>
  <si>
    <t>109.738.678-33</t>
  </si>
  <si>
    <t>SIMONY BARBOSA DE LEMOS</t>
  </si>
  <si>
    <t>288.532.368-09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</si>
  <si>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</si>
  <si>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</si>
  <si>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</si>
  <si>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</si>
  <si>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</si>
  <si>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</si>
  <si>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SINCROMED EQUIPAMENTOS E MANUTENCAO HOSPITALAR - ME</t>
  </si>
  <si>
    <t>11.023.311/0001-92</t>
  </si>
  <si>
    <t>SINGULAR COMUNICACAO VISUAL MECK LTDA - ME</t>
  </si>
  <si>
    <t>07.737.391/0001-70</t>
  </si>
  <si>
    <t>SIQUEIRA &amp; SIQUEIRA TRANSPORTES LTDA</t>
  </si>
  <si>
    <t>29.331.500/0001-98</t>
  </si>
  <si>
    <t>SIRLEI CONCEIÇÃO DE LIMA</t>
  </si>
  <si>
    <t>076.226.596-57</t>
  </si>
  <si>
    <t>SIRLEIA APARECIDA BORGES DE SALES</t>
  </si>
  <si>
    <t>144.738.948-43</t>
  </si>
  <si>
    <t>SIRLENE APARECIDA DOS SANTOS</t>
  </si>
  <si>
    <t>270.270.938-98</t>
  </si>
  <si>
    <t>SIRLENE NUNES NOGUEIRA</t>
  </si>
  <si>
    <t>825.370.971-49</t>
  </si>
  <si>
    <t>SIRLENE RODRIGUES DOS SANTOS</t>
  </si>
  <si>
    <t>416.249.188-75</t>
  </si>
  <si>
    <t>SISTEMA BRASILEIRO PRO-ARTE SAUDE E MEIO AMBIENTE - SIBRASTEM</t>
  </si>
  <si>
    <t>12.425.391/0001-75</t>
  </si>
  <si>
    <t>SISVETOR INFORMATICA LTDA</t>
  </si>
  <si>
    <t>10.522.056/0001-60</t>
  </si>
  <si>
    <t>SK TECNOLOGIA LTDA.</t>
  </si>
  <si>
    <t>03.820.167/0001-97</t>
  </si>
  <si>
    <t>SKAAL MAGAZINE LTDA</t>
  </si>
  <si>
    <t>52.554.499/0001-82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</si>
  <si>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</si>
  <si>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</si>
  <si>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</si>
  <si>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</si>
  <si>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</si>
  <si>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</si>
  <si>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</si>
  <si>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</si>
  <si>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BRASILEIRA DE ARBORIZAÇÃO URBANA - SBAU</t>
  </si>
  <si>
    <t>68.707.868/0001-60</t>
  </si>
  <si>
    <t>SOCIEDADE HOLISTICA HUMANITARIA</t>
  </si>
  <si>
    <t>65.045.734/0001-32</t>
  </si>
  <si>
    <t>SOFIA APARECIDA DE CASTRO JESUS</t>
  </si>
  <si>
    <t>500.452.868-33</t>
  </si>
  <si>
    <t>SOFIA BARROS GUARANA</t>
  </si>
  <si>
    <t>189.926.227-08</t>
  </si>
  <si>
    <t>SOFIA DA GLORIA CRESCINI LESSA</t>
  </si>
  <si>
    <t>426.073.128-92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</si>
  <si>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</si>
  <si>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</si>
  <si>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</si>
  <si>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</si>
  <si>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</si>
  <si>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</si>
  <si>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</si>
  <si>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</si>
  <si>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</si>
  <si>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</si>
  <si>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</si>
  <si>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</si>
  <si>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</si>
  <si>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</si>
  <si>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</si>
  <si>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</si>
  <si>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</si>
  <si>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</si>
  <si>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SOLANI OLIVEIRA SANTOS</t>
  </si>
  <si>
    <t>133.350.048-33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</si>
  <si>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</si>
  <si>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</si>
  <si>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</si>
  <si>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</si>
  <si>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</si>
  <si>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</si>
  <si>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SONALIA BEZERRA GOUVEIA DE AZEVEDO</t>
  </si>
  <si>
    <t>404.802.358-64</t>
  </si>
  <si>
    <t>SONIA DA ROSA GOES SANTANA</t>
  </si>
  <si>
    <t>185.623.798-24</t>
  </si>
  <si>
    <t>SONIA GOMES DA SILVA</t>
  </si>
  <si>
    <t>081.271.478-42</t>
  </si>
  <si>
    <t>SONIA MAIKO MORI</t>
  </si>
  <si>
    <t>310.869.138-41</t>
  </si>
  <si>
    <t>SONIA MARIA BRITO</t>
  </si>
  <si>
    <t>157.884.688-92</t>
  </si>
  <si>
    <t>SONIA MARIA CRISTOVAO PAES</t>
  </si>
  <si>
    <t>251.532.958-69</t>
  </si>
  <si>
    <t>SONIA MARIA DE OLIVEIRA RIBEIRO</t>
  </si>
  <si>
    <t>190.112.378-20</t>
  </si>
  <si>
    <t>SONIA MARIA DOS SANTOS</t>
  </si>
  <si>
    <t>248.254.478-56</t>
  </si>
  <si>
    <t>SONIA MARIA PEREIRA SANTOS</t>
  </si>
  <si>
    <t>109.595.788-03</t>
  </si>
  <si>
    <t>Sonia Maria Pinto</t>
  </si>
  <si>
    <t>054.581.288-77</t>
  </si>
  <si>
    <t>SONIA REGINA DA SILVA MATTA</t>
  </si>
  <si>
    <t>011.849.308-64</t>
  </si>
  <si>
    <t>SONIA REGINA MONTEIRO CAMPOS</t>
  </si>
  <si>
    <t>214.860.688-39</t>
  </si>
  <si>
    <t>SONIA REGINA SADAUKAS DA COSTA</t>
  </si>
  <si>
    <t>005.982.768-82</t>
  </si>
  <si>
    <t>SOPHIA ABRANTES DOS SANTOS</t>
  </si>
  <si>
    <t>371.702.298-97</t>
  </si>
  <si>
    <t>SOPHIA LARA FIGUEIREDO MASSUIA</t>
  </si>
  <si>
    <t>506.163.918-97</t>
  </si>
  <si>
    <t>SOPHIA OLEGARIA COSTA</t>
  </si>
  <si>
    <t>469.803.078-19</t>
  </si>
  <si>
    <t>SORAIA ALVES DE SOUZA</t>
  </si>
  <si>
    <t>318.379.258-36</t>
  </si>
  <si>
    <t>SORRI - SAO JOSE DOS CAMPOS</t>
  </si>
  <si>
    <t>50.007.616/0001-62</t>
  </si>
  <si>
    <t>SOSRUKO KODZOKOV</t>
  </si>
  <si>
    <t>718.629.561-46</t>
  </si>
  <si>
    <t>SOUSA &amp; DUTRA SERVICOS DE SAUDE LTDA</t>
  </si>
  <si>
    <t>29.445.309/0001-77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</si>
  <si>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</si>
  <si>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</si>
  <si>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</si>
  <si>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</si>
  <si>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</si>
  <si>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</si>
  <si>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</si>
  <si>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</si>
  <si>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SOUZARAÚJO TREINAMENTO E CONSULTORIA EMPRESARIAL LTDA. - ME</t>
  </si>
  <si>
    <t>09.292.611/0001-25</t>
  </si>
  <si>
    <t>SP CRISTAIS AUTOMOTIVOS LTDA</t>
  </si>
  <si>
    <t>29.640.816/0003-23</t>
  </si>
  <si>
    <t>SP HOSPITALAR LTDA</t>
  </si>
  <si>
    <t>27.817.504/0001-55</t>
  </si>
  <si>
    <t>SPDM - ASSOC. PAULISTA P/O DESENV. DA MEDICINA</t>
  </si>
  <si>
    <t>61.699.567/0012-45</t>
  </si>
  <si>
    <t>SPE HORIZONTES RESIDENCIAL LTDA</t>
  </si>
  <si>
    <t>13.393.950/0001-75</t>
  </si>
  <si>
    <t>SPECIAL MED COMERCIAL HOSPITALAR LTDA</t>
  </si>
  <si>
    <t>47.292.400/0001-81</t>
  </si>
  <si>
    <t>SPRIO SERVICOS DE COMUNICACAO - EIRELI</t>
  </si>
  <si>
    <t>08.433.053/0001-08</t>
  </si>
  <si>
    <t>SPS GESTAO EMPRESARIAL LTDA</t>
  </si>
  <si>
    <t>16.553.832/0001-75</t>
  </si>
  <si>
    <t>S.SOARES PEDRAS E OBRAS LTDA</t>
  </si>
  <si>
    <t>57.034.842/0001-81</t>
  </si>
  <si>
    <t>STABILE SBC SISTEMAS E CONSULTORIA DE CUSTOS LTDA</t>
  </si>
  <si>
    <t>04.931.129/0001-74</t>
  </si>
  <si>
    <t>STALL-UP TENDAS E BARRACAS EIRELI</t>
  </si>
  <si>
    <t>03.262.423/0001-78</t>
  </si>
  <si>
    <t>STAR CONSTRUCAO E INCORPORACAO LTDA</t>
  </si>
  <si>
    <t>20.843.313/0001-19</t>
  </si>
  <si>
    <t>STAR COOPER COOPERATIVA DE TRAB.DOS MOT.V.PARAIBA</t>
  </si>
  <si>
    <t>02.360.994/0001-82</t>
  </si>
  <si>
    <t>Stefan Moisei Vieira Lima</t>
  </si>
  <si>
    <t>198.968.567-61</t>
  </si>
  <si>
    <t>STELLA AMARAL RODRIGUES</t>
  </si>
  <si>
    <t>448.635.838-42</t>
  </si>
  <si>
    <t>Stella Mendes Silva</t>
  </si>
  <si>
    <t>136.993.196-44</t>
  </si>
  <si>
    <t>STEMP EMPILHADEIRAS LTDA - ME</t>
  </si>
  <si>
    <t>14.079.536/0001-59</t>
  </si>
  <si>
    <t>STEP GIVE LOCAÇÕES DE EQUIPAMENTOS PARA EVENTOS LTDA</t>
  </si>
  <si>
    <t>06.878.252/0001-02</t>
  </si>
  <si>
    <t>STEPHANI CLAUDIO DA SILVA</t>
  </si>
  <si>
    <t>503.444.548-43</t>
  </si>
  <si>
    <t>Stephani Valente Silvestre</t>
  </si>
  <si>
    <t>428.308.068-32</t>
  </si>
  <si>
    <t>STEPHANIE APARECIDA DE GODOI RAMOS</t>
  </si>
  <si>
    <t>502.645.738-03</t>
  </si>
  <si>
    <t>Stephanie Bianca Santos Noronha</t>
  </si>
  <si>
    <t>471.071.148-83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</si>
  <si>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</si>
  <si>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</si>
  <si>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</si>
  <si>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</si>
  <si>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</si>
  <si>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</si>
  <si>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STN COMERCIO DE UNIFORMES E BRINDES LTDA</t>
  </si>
  <si>
    <t>17.259.588/0001-03</t>
  </si>
  <si>
    <t>STP SISTEMA DE TRANSPORTES PRÁTICOS LTDA ME</t>
  </si>
  <si>
    <t>12.812.242/0001-69</t>
  </si>
  <si>
    <t>SUDESTE JOSEENSE TRANSPORTES LTDA</t>
  </si>
  <si>
    <t>51.428.085/0001-44</t>
  </si>
  <si>
    <t>SUEILA NAYALA XAVIER ARAUJO</t>
  </si>
  <si>
    <t>090.489.454-10</t>
  </si>
  <si>
    <t>SUEINY NICOLLY DOMINGO COSTA</t>
  </si>
  <si>
    <t>155.016.656-54</t>
  </si>
  <si>
    <t>SUELEN CRISTINA APARECIDA FRANÇA BRIZOLA</t>
  </si>
  <si>
    <t>377.301.288-88</t>
  </si>
  <si>
    <t>SUELEN CRISTINE FARIAS RODRIGUES</t>
  </si>
  <si>
    <t>395.652.298-24</t>
  </si>
  <si>
    <t>SUELEN DE PAULA SILVA FERREIRA</t>
  </si>
  <si>
    <t>402.599.458-54</t>
  </si>
  <si>
    <t>Suelen Ferreira Nunes</t>
  </si>
  <si>
    <t>436.213.278-35</t>
  </si>
  <si>
    <t>SUELEN PEREIRA DA SILVA SENA</t>
  </si>
  <si>
    <t>419.501.468-98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</si>
  <si>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</si>
  <si>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</si>
  <si>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</si>
  <si>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</si>
  <si>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</si>
  <si>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</si>
  <si>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</si>
  <si>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</si>
  <si>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DUARTE</t>
  </si>
  <si>
    <t>086.883.478-59</t>
  </si>
  <si>
    <t>SUELI FATIMA DOS SANTOS</t>
  </si>
  <si>
    <t>138.455.968-05</t>
  </si>
  <si>
    <t>SUELI LUIZ</t>
  </si>
  <si>
    <t>851.597.278-68</t>
  </si>
  <si>
    <t>SUELI MARIA ALVES CORREA ALVES</t>
  </si>
  <si>
    <t>020.054.729-13</t>
  </si>
  <si>
    <t>SUELI VICENTINO</t>
  </si>
  <si>
    <t>555.592.989-72</t>
  </si>
  <si>
    <t>SUELLEN CRISTINA DOS SANTOS DA SILVA</t>
  </si>
  <si>
    <t>405.766.358-47</t>
  </si>
  <si>
    <t>SUELLEN DIANA ARAUJO MARTINS</t>
  </si>
  <si>
    <t>228.279.348-09</t>
  </si>
  <si>
    <t>SUELLEN DOS SANTOS BRAZ</t>
  </si>
  <si>
    <t>228.162.718-70</t>
  </si>
  <si>
    <t>SUELLEN PEREIRA RODRIGUES</t>
  </si>
  <si>
    <t>466.091.338-40</t>
  </si>
  <si>
    <t>SUELLEN RAFAELLE JERONIMO</t>
  </si>
  <si>
    <t>131.430.366-05</t>
  </si>
  <si>
    <t>SUELLEN RIBEIRO DA SILVA</t>
  </si>
  <si>
    <t>512.098.578-55</t>
  </si>
  <si>
    <t>SUELMA APARECIDA DE CASTRO</t>
  </si>
  <si>
    <t>436.192.958-08</t>
  </si>
  <si>
    <t>SUELY APARECIDA DE ALMEIDA</t>
  </si>
  <si>
    <t>721.065.066-00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</si>
  <si>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</si>
  <si>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</si>
  <si>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</si>
  <si>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</si>
  <si>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</si>
  <si>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</si>
  <si>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SUL-FER COMERCIAL LTDA - ME</t>
  </si>
  <si>
    <t>09.563.079/0001-33</t>
  </si>
  <si>
    <t>SULMEDIC COMERCIO DE MEDICAMENTOS LTDA</t>
  </si>
  <si>
    <t>09.944.371/0003-68</t>
  </si>
  <si>
    <t>SUMAIA ALI DOS SANTOS RIBEIRO</t>
  </si>
  <si>
    <t>215.134.478-90</t>
  </si>
  <si>
    <t>SUPER IMPORTADORA SOLUCOES TECNOLOGICAS LTDA</t>
  </si>
  <si>
    <t>53.917.478/0001-47</t>
  </si>
  <si>
    <t>SUPERA INSTITUTO DE EDUCAÇÃO LTDA</t>
  </si>
  <si>
    <t>07.832.672/0001-02</t>
  </si>
  <si>
    <t>SUPERFOOD ALIMENTOS LTDA EPP</t>
  </si>
  <si>
    <t>27.339.484/0001-54</t>
  </si>
  <si>
    <t>SUPERGASBRAS ENERGIA LTDA</t>
  </si>
  <si>
    <t>19.791.896/0064-86</t>
  </si>
  <si>
    <t>SUPERKRAFT INDUSTRIA E COMERCIO DE EMBALAGENS LTDA</t>
  </si>
  <si>
    <t>06.330.437/0001-70</t>
  </si>
  <si>
    <t>SUPERMED COMERCIO DE PRODUTOS MEDICOS E HOSPITALARES LTDA</t>
  </si>
  <si>
    <t>47.181.976/0001-71</t>
  </si>
  <si>
    <t>SUPRAMIL COMERCIAL LTDA - EPP</t>
  </si>
  <si>
    <t>11.262.969/0001-57</t>
  </si>
  <si>
    <t>SUPREME COMERCIAL LTDA</t>
  </si>
  <si>
    <t>23.655.332/0001-00</t>
  </si>
  <si>
    <t>SUSANA DA CONCEICAO SILVA FARIAS</t>
  </si>
  <si>
    <t>246.422.348-45</t>
  </si>
  <si>
    <t>SUSIMARA DE CASSIA NASCIMENTO SANTOS</t>
  </si>
  <si>
    <t>291.859.688-46</t>
  </si>
  <si>
    <t>Suyane Tereza Laurindo Rodrigues</t>
  </si>
  <si>
    <t>069.798.323-44</t>
  </si>
  <si>
    <t>Suzan Aparecida Bezerra</t>
  </si>
  <si>
    <t>367.854.898-90</t>
  </si>
  <si>
    <t>SUZANA APARECIDA DOMINGUES</t>
  </si>
  <si>
    <t>077.960.516-03</t>
  </si>
  <si>
    <t>SUZANA APARECIDA SILVEIRA LTDA</t>
  </si>
  <si>
    <t>12.958.548/0001-28</t>
  </si>
  <si>
    <t>SUZANA GOMES</t>
  </si>
  <si>
    <t>332.335.628-45</t>
  </si>
  <si>
    <t>SUZANNE MARIA CORRA DOS SANTOS</t>
  </si>
  <si>
    <t>353.157.228-80</t>
  </si>
  <si>
    <t>SUZI DANIELA PONTES DE SOUSA</t>
  </si>
  <si>
    <t>304.948.088-29</t>
  </si>
  <si>
    <t>SUZIANE CRISTINE ELOY</t>
  </si>
  <si>
    <t>285.876.248-14</t>
  </si>
  <si>
    <t>SUZIANE RODRIGUES DA SILVA</t>
  </si>
  <si>
    <t>490.744.858-98</t>
  </si>
  <si>
    <t>SWELL MOUSINHO DE PAULA</t>
  </si>
  <si>
    <t>066.801.091-67</t>
  </si>
  <si>
    <t>SX CORP LTDA</t>
  </si>
  <si>
    <t>14.278.276/0001-40</t>
  </si>
  <si>
    <t>SYLVIA BASON</t>
  </si>
  <si>
    <t>827.562.878-49</t>
  </si>
  <si>
    <t>SYLVIO CORREA JUNIOR</t>
  </si>
  <si>
    <t>023.709.968-38</t>
  </si>
  <si>
    <t>T &amp; W PRODUCOES ARTISTICAS LTDA</t>
  </si>
  <si>
    <t>21.542.062/0001-03</t>
  </si>
  <si>
    <t>T SERVICES ENGENHARIA E COMERCIO LTDA</t>
  </si>
  <si>
    <t>05.130.502/0001-50</t>
  </si>
  <si>
    <t>TABATA ALANA RODRIGUES SALES</t>
  </si>
  <si>
    <t>235.828.598-60</t>
  </si>
  <si>
    <t>TABATA KAILANE DIAS DE CARVALHO SANTANA</t>
  </si>
  <si>
    <t>431.277.788-80</t>
  </si>
  <si>
    <t>TACIANA APARECIDA DA CRUZ</t>
  </si>
  <si>
    <t>199.224.968-79</t>
  </si>
  <si>
    <t>TACIANE GOMES DE ALCANTARA SILVA</t>
  </si>
  <si>
    <t>518.120.598-41</t>
  </si>
  <si>
    <t>TAIANA JENNIFER SENA DA SILVA</t>
  </si>
  <si>
    <t>424.233.018-98</t>
  </si>
  <si>
    <t>TAIANE APARECIDA ARANTES DE SOUZA</t>
  </si>
  <si>
    <t>432.685.768-42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</si>
  <si>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</si>
  <si>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</si>
  <si>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</si>
  <si>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</si>
  <si>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</si>
  <si>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</si>
  <si>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</si>
  <si>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</si>
  <si>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TAILA DE CARVALHO LUCIANO</t>
  </si>
  <si>
    <t>371.325.058-82</t>
  </si>
  <si>
    <t>TAILANE CARDOSO DA COSTA NOBREZA</t>
  </si>
  <si>
    <t>490.170.888-00</t>
  </si>
  <si>
    <t>TAINA BALISA LEMES DE PAULA SOUZA</t>
  </si>
  <si>
    <t>381.237.658-00</t>
  </si>
  <si>
    <t>TAINA FABIANE MARQUES DE OLIVEIRA</t>
  </si>
  <si>
    <t>461.995.898-07</t>
  </si>
  <si>
    <t>TAINA FIEBIG TEIXEIRA</t>
  </si>
  <si>
    <t>361.509.158-24</t>
  </si>
  <si>
    <t>TAINA LAIS SENE NOGUEIRA</t>
  </si>
  <si>
    <t>415.889.778-54</t>
  </si>
  <si>
    <t>TAINA LIMA DA SILVA</t>
  </si>
  <si>
    <t>495.780.008-12</t>
  </si>
  <si>
    <t>TAINA RUBIO DA SILVA ROMARIS</t>
  </si>
  <si>
    <t>414.761.108-75</t>
  </si>
  <si>
    <t>TAINA TATIANE OLIVEIRA SILVA</t>
  </si>
  <si>
    <t>436.218.628-03</t>
  </si>
  <si>
    <t>TAINARA CRISTINA DO PRADO SILVA</t>
  </si>
  <si>
    <t>382.323.058-19</t>
  </si>
  <si>
    <t>TAINARA NOGUEIRA DA SILVA</t>
  </si>
  <si>
    <t>455.672.668-98</t>
  </si>
  <si>
    <t>TAINARA SOUZA SILVA</t>
  </si>
  <si>
    <t>470.488.118-03</t>
  </si>
  <si>
    <t>TAINE GONCALVES PALMA SANTOS</t>
  </si>
  <si>
    <t>415.250.568-08</t>
  </si>
  <si>
    <t>Tainná Eduarda da Silva Oliveira Mota</t>
  </si>
  <si>
    <t>137.393.396-83</t>
  </si>
  <si>
    <t>TAIS ALVES DOS SANTOS BARBOSA</t>
  </si>
  <si>
    <t>12.459.270/0001-44</t>
  </si>
  <si>
    <t>TAIS DA COSTA GONCALVES</t>
  </si>
  <si>
    <t>432.168.848-56</t>
  </si>
  <si>
    <t>TAIS OLIVEIRA DOS SANTOS</t>
  </si>
  <si>
    <t>463.052.438-08</t>
  </si>
  <si>
    <t>TAISA DA SILVA</t>
  </si>
  <si>
    <t>409.119.948-82</t>
  </si>
  <si>
    <t>TAISSA CAROLINE OLIVEIRA DOS SANTOS</t>
  </si>
  <si>
    <t>535.248.328-22</t>
  </si>
  <si>
    <t>TAIZ PRISCILA DA SILVA</t>
  </si>
  <si>
    <t>295.474.708-09</t>
  </si>
  <si>
    <t>TAKOS CONSTRUTORA LTDA</t>
  </si>
  <si>
    <t>39.842.126/0001-49</t>
  </si>
  <si>
    <t>TALITA APARECIDA MACIEL</t>
  </si>
  <si>
    <t>449.261.198-38</t>
  </si>
  <si>
    <t>TALITA CAROLINA DAS NEVES VIANA</t>
  </si>
  <si>
    <t>371.572.918-00</t>
  </si>
  <si>
    <t>Talita Cecilia Ferreira</t>
  </si>
  <si>
    <t>352.916.358-94</t>
  </si>
  <si>
    <t>TALITA CRISTINA GONCALVES KOGAKE</t>
  </si>
  <si>
    <t>467.874.498-36</t>
  </si>
  <si>
    <t>TALITA CRISTINA ILO FURTADO BORDINHON</t>
  </si>
  <si>
    <t>357.060.088-25</t>
  </si>
  <si>
    <t>TALITA CRISTINA MACIEL BRANDANI LEITE</t>
  </si>
  <si>
    <t>414.394.918-01</t>
  </si>
  <si>
    <t>TALITA DE OLIVEIRA VIEIRA</t>
  </si>
  <si>
    <t>461.539.868-97</t>
  </si>
  <si>
    <t>TALITA GABRIELA DE SOUZA</t>
  </si>
  <si>
    <t>106.421.509-23</t>
  </si>
  <si>
    <t>TALITA LIBORIO MORAIS</t>
  </si>
  <si>
    <t>415.991.868-96</t>
  </si>
  <si>
    <t>TALITA LUCHINI ZICARDI</t>
  </si>
  <si>
    <t>322.404.608-22</t>
  </si>
  <si>
    <t>TALITA MOURA TEIXEIRA</t>
  </si>
  <si>
    <t>527.250.668-59</t>
  </si>
  <si>
    <t>TALITA NATYELE ALVES LIMA</t>
  </si>
  <si>
    <t>018.498.332-06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</si>
  <si>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</si>
  <si>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</si>
  <si>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</si>
  <si>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</si>
  <si>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</si>
  <si>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</si>
  <si>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</si>
  <si>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</si>
  <si>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</si>
  <si>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</si>
  <si>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</si>
  <si>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</si>
  <si>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ALICE ALMEIDA DE SOUZA</t>
  </si>
  <si>
    <t>472.295.128-40</t>
  </si>
  <si>
    <t>TAMIRES ALVES FERNANDES</t>
  </si>
  <si>
    <t>230.865.268-31</t>
  </si>
  <si>
    <t>TAMIRES BRAGA DOS SANTOS BARBOSA</t>
  </si>
  <si>
    <t>378.278.088-40</t>
  </si>
  <si>
    <t>TAMIRES DANIELLE DOS SANTOS</t>
  </si>
  <si>
    <t>230.393.568-79</t>
  </si>
  <si>
    <t>TAMIRES MARA DOS SANTOS</t>
  </si>
  <si>
    <t>362.031.178-11</t>
  </si>
  <si>
    <t>TAMIRES MONTEIRO CINTRA CARVALHO</t>
  </si>
  <si>
    <t>365.167.498-33</t>
  </si>
  <si>
    <t>TAMIRES OLIVEIRA VELOSO</t>
  </si>
  <si>
    <t>218.333.828-89</t>
  </si>
  <si>
    <t>TAMIRES PAIVA BRANCO SANTOS</t>
  </si>
  <si>
    <t>374.768.928-01</t>
  </si>
  <si>
    <t>TAMIRES SILVA DA CONCEIÇÃO</t>
  </si>
  <si>
    <t>372.563.068-22</t>
  </si>
  <si>
    <t>TAMIRIS NOGUEIRA MEDEIROS</t>
  </si>
  <si>
    <t>439.627.538-26</t>
  </si>
  <si>
    <t>TAMIRYS DOS SANTOS DIAS PEREIRA</t>
  </si>
  <si>
    <t>476.235.678-61</t>
  </si>
  <si>
    <t>TAMYRES MILLENA ALVES DOS ANJOS</t>
  </si>
  <si>
    <t>536.044.638-23</t>
  </si>
  <si>
    <t>TAN XIAO MING</t>
  </si>
  <si>
    <t>217.723.238-45</t>
  </si>
  <si>
    <t>TANIA CRISTINA MINEIRO COANA</t>
  </si>
  <si>
    <t>225.106.188-65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</si>
  <si>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</si>
  <si>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</si>
  <si>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</si>
  <si>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</si>
  <si>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</si>
  <si>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</si>
  <si>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TANIA VALERIA GOMES</t>
  </si>
  <si>
    <t>067.512.218-00</t>
  </si>
  <si>
    <t>TARCIANA ARANTES CUNHA</t>
  </si>
  <si>
    <t>312.671.648-24</t>
  </si>
  <si>
    <t>TARCIS SANTOS</t>
  </si>
  <si>
    <t>062.573.039-90</t>
  </si>
  <si>
    <t>TARCISIO DONIZETTE DA SILVA</t>
  </si>
  <si>
    <t>019.331.568-80</t>
  </si>
  <si>
    <t>TARCISIO VENANCIO DA SILVA</t>
  </si>
  <si>
    <t>159.446.318-21</t>
  </si>
  <si>
    <t>TARZAN COMPONENTES ELETRONICOS LTDA</t>
  </si>
  <si>
    <t>52.192.895/0001-07</t>
  </si>
  <si>
    <t>TATIANA CAROLINE BARBOSA DE OLIVEIRA</t>
  </si>
  <si>
    <t>300.686.388-76</t>
  </si>
  <si>
    <t>TATIANA DE OLIVEIRA PORTO</t>
  </si>
  <si>
    <t>225.461.938-13</t>
  </si>
  <si>
    <t>TATIANA LETICIA DE CARVALHO VENANCIO</t>
  </si>
  <si>
    <t>322.940.638-99</t>
  </si>
  <si>
    <t>Tatiana M. C. Gonçalves</t>
  </si>
  <si>
    <t>288.537.978-27</t>
  </si>
  <si>
    <t>TATIANA SACILOTTI RICOTTA ALMEIDA</t>
  </si>
  <si>
    <t>218.723.278-69</t>
  </si>
  <si>
    <t>Tatiana Samsonova</t>
  </si>
  <si>
    <t>238.792.758-31</t>
  </si>
  <si>
    <t>TATIANA VIEIRA DA SILVA XAVIER</t>
  </si>
  <si>
    <t>327.029.328-35</t>
  </si>
  <si>
    <t>TATIANA YAMAMURA DOS SANTOS</t>
  </si>
  <si>
    <t>523.861.518-32</t>
  </si>
  <si>
    <t>TATIANE ALZIRA VICENTIN MAZO</t>
  </si>
  <si>
    <t>260.475.708-79</t>
  </si>
  <si>
    <t>TATIANE APARECIDA DA SILVA RAMOS</t>
  </si>
  <si>
    <t>309.754.068-76</t>
  </si>
  <si>
    <t>TATIANE APARECIDA LOPES</t>
  </si>
  <si>
    <t>321.662.518-46</t>
  </si>
  <si>
    <t>TATIANE APARECIDA MOREIRA</t>
  </si>
  <si>
    <t>303.696.058-96</t>
  </si>
  <si>
    <t>TATIANE BEATRIS DA SILVA BRAZ</t>
  </si>
  <si>
    <t>370.713.678-76</t>
  </si>
  <si>
    <t>TATIANE CRISTINA LEMES DA SILVA</t>
  </si>
  <si>
    <t>234.660.038-57</t>
  </si>
  <si>
    <t>TATIANE CRISTINA RAMOS DOS SANTOS</t>
  </si>
  <si>
    <t>393.398.008-93</t>
  </si>
  <si>
    <t>TATIANE DE ALMEIDA MELO DA SILVA</t>
  </si>
  <si>
    <t>221.026.348-41</t>
  </si>
  <si>
    <t>TATIANE DE ARRUDA BRITO BALDERRAMA</t>
  </si>
  <si>
    <t>346.096.948-24</t>
  </si>
  <si>
    <t>TATIANE DE FREITAS DOS ANJOS</t>
  </si>
  <si>
    <t>435.754.818-73</t>
  </si>
  <si>
    <t>TATIANE EMILIA DIAS GALDINI</t>
  </si>
  <si>
    <t>228.697.678-38</t>
  </si>
  <si>
    <t>TATIANE LOPES DA CRUZ</t>
  </si>
  <si>
    <t>316.793.788-21</t>
  </si>
  <si>
    <t>TATIANE LUCELI DA SILVA</t>
  </si>
  <si>
    <t>434.463.878-62</t>
  </si>
  <si>
    <t>Tatiane Melo de Oliveira Pereira</t>
  </si>
  <si>
    <t>399.275.628-96</t>
  </si>
  <si>
    <t>TATIANE MOREIRA GARCIA DA SILVA</t>
  </si>
  <si>
    <t>414.036.218-96</t>
  </si>
  <si>
    <t>TATIANE NUNES MACIEL</t>
  </si>
  <si>
    <t>373.580.398-90</t>
  </si>
  <si>
    <t>TATIANE SANTOS CANDIDO</t>
  </si>
  <si>
    <t>218.015.488-70</t>
  </si>
  <si>
    <t>TATIANE TABATA DOS SANTOS</t>
  </si>
  <si>
    <t>371.815.978-33</t>
  </si>
  <si>
    <t>TATIANE TAVARES DA COSTA RATO</t>
  </si>
  <si>
    <t>260.476.068-14</t>
  </si>
  <si>
    <t>TATIANE VIEIRA RESENDE</t>
  </si>
  <si>
    <t>293.404.858-66</t>
  </si>
  <si>
    <t>TATIANE XAVIER MOURA DO CARMO</t>
  </si>
  <si>
    <t>215.988.508-81</t>
  </si>
  <si>
    <t>TAUA GABRIEL DA SILVA PEREIRA</t>
  </si>
  <si>
    <t>380.169.608-12</t>
  </si>
  <si>
    <t>Tauan Soares dos Santos</t>
  </si>
  <si>
    <t>863.372.055-88</t>
  </si>
  <si>
    <t>TAUANE CRISTINE GOMES CARVALHO</t>
  </si>
  <si>
    <t>480.729.018-50</t>
  </si>
  <si>
    <t>Tayla Roncato</t>
  </si>
  <si>
    <t>040.131.440-50</t>
  </si>
  <si>
    <t>TAYNA ARIELLE REIS SALES</t>
  </si>
  <si>
    <t>435.964.168-09</t>
  </si>
  <si>
    <t>TAYNA BEATRIZ DE ALENCAR PEREIRA</t>
  </si>
  <si>
    <t>427.611.328-82</t>
  </si>
  <si>
    <t>TAYNARA DAIANE SILVA DOS SANTOS</t>
  </si>
  <si>
    <t>575.849.458-56</t>
  </si>
  <si>
    <t>T.D. &amp; V. COMERCIO DE PRODUTOS ODONTOLOGICOS E HOSPITALARES LTDA</t>
  </si>
  <si>
    <t>10.696.932/0001-74</t>
  </si>
  <si>
    <t>TECBLIN LTDA</t>
  </si>
  <si>
    <t>48.575.558/0001-21</t>
  </si>
  <si>
    <t>TECHPHARMA HOSPITALAR COMERCIO, IMPORTACAO E EXPORTACAO LTDA</t>
  </si>
  <si>
    <t>35.067.853/0001-25</t>
  </si>
  <si>
    <t>TECNOCAMPO PET SHOP &amp; AGROPECUARIA LTDA</t>
  </si>
  <si>
    <t>57.358.178/0001-26</t>
  </si>
  <si>
    <t>TECNOPONTO TECNOLOGIA AVANÇADA EM CONTROLE DE PONTO E ACESSO LTDA</t>
  </si>
  <si>
    <t>77.800.407/0001-28</t>
  </si>
  <si>
    <t>TECNOVALE EXTINTORES LTDA - ME</t>
  </si>
  <si>
    <t>16.970.555/0001-04</t>
  </si>
  <si>
    <t>TEIXEIRA &amp; CAMPOS FARMACIA E DROGARIA LTDA - EPP</t>
  </si>
  <si>
    <t>10.582.308/0001-46</t>
  </si>
  <si>
    <t>TELAFER COMERCIO DE ACO E TELAS LTDA</t>
  </si>
  <si>
    <t>34.498.141/0001-06</t>
  </si>
  <si>
    <t>TELAS IMPERIAL LTDA.</t>
  </si>
  <si>
    <t>17.498.420/0001-42</t>
  </si>
  <si>
    <t>TELEFONICA BRASIL S.A.</t>
  </si>
  <si>
    <t>02.558.157/0001-62</t>
  </si>
  <si>
    <t>TELMA APARECIDA SILVA OLIVEIRA</t>
  </si>
  <si>
    <t>222.224.118-90</t>
  </si>
  <si>
    <t>TELMA MARIA GOMES</t>
  </si>
  <si>
    <t>061.620.668-27</t>
  </si>
  <si>
    <t>TENAX GERENCIAMENTO S.A</t>
  </si>
  <si>
    <t>26.525.729/0001-75</t>
  </si>
  <si>
    <t>TENDAS E GALPOES INDUSTRIA LTDA</t>
  </si>
  <si>
    <t>48.044.555/0001-61</t>
  </si>
  <si>
    <t>TENÓRIO &amp; SIMÕES LOCADORA E TRANSPORTES LTDA - ME</t>
  </si>
  <si>
    <t>08.456.765/0001-42</t>
  </si>
  <si>
    <t>TENTECH PROTESES E ACESSORIOS LTDA</t>
  </si>
  <si>
    <t>39.992.746/0001-64</t>
  </si>
  <si>
    <t>TEOFELIA APARECIDA MACHADO</t>
  </si>
  <si>
    <t>261.497.078-65</t>
  </si>
  <si>
    <t>TERCEIRA VISAO VISTORIAS SAO JOSE DOS CAMPOS - SOCIEDADE SIMPLES LTDA</t>
  </si>
  <si>
    <t>08.468.888/0001-01</t>
  </si>
  <si>
    <t>TERCEIRO TABELIONATO DE NOTAS DA COMARCA  DE SAO JOSE DOS CAMPOS</t>
  </si>
  <si>
    <t>50.460.773/0001-29</t>
  </si>
  <si>
    <t>TERESA CRISTINA DOS SANTO QUINCAS</t>
  </si>
  <si>
    <t>026.235.988-00</t>
  </si>
  <si>
    <t>TERESA JOSE DE LIMA BARBOSA</t>
  </si>
  <si>
    <t>062.502.478-82</t>
  </si>
  <si>
    <t>TERESA VIRGINIA MICELLI PESSOA</t>
  </si>
  <si>
    <t>094.209.388-75</t>
  </si>
  <si>
    <t>TERESINHA DE LOURDES CANDIDO</t>
  </si>
  <si>
    <t>162.857.428-39</t>
  </si>
  <si>
    <t>TERESINHA DE LOURDES DA SILVA</t>
  </si>
  <si>
    <t>159.503.148-08</t>
  </si>
  <si>
    <t>TERESINHA EVA PEREIRA</t>
  </si>
  <si>
    <t>105.485.278-22</t>
  </si>
  <si>
    <t>TEREZA PELOZATO REIS</t>
  </si>
  <si>
    <t>971.063.729-00</t>
  </si>
  <si>
    <t>TEREZINHA AUXILIADORA MELO OLIVEIRA</t>
  </si>
  <si>
    <t>357.579.528-22</t>
  </si>
  <si>
    <t>TEREZINHA CAROLINA CUNHA MARTINS</t>
  </si>
  <si>
    <t>261.295.018-46</t>
  </si>
  <si>
    <t>TEREZINHA DE FATIMA SOUZA</t>
  </si>
  <si>
    <t>250.657.198-10</t>
  </si>
  <si>
    <t>TEREZINHA DE OLIVEIRA</t>
  </si>
  <si>
    <t>019.732.818-05</t>
  </si>
  <si>
    <t>TEREZINHA DE SOUZA</t>
  </si>
  <si>
    <t>717.741.906-30</t>
  </si>
  <si>
    <t>TEREZINHA DO PILAR</t>
  </si>
  <si>
    <t>172.933.238-24</t>
  </si>
  <si>
    <t>TEREZINHA FONSECA DA SILVA FARIA</t>
  </si>
  <si>
    <t>344.318.868-00</t>
  </si>
  <si>
    <t>TEREZINHA RIBEIRO DOS SANTOS</t>
  </si>
  <si>
    <t>019.601.548-00</t>
  </si>
  <si>
    <t>TEREZINHA SANTANA DE MORAIS</t>
  </si>
  <si>
    <t>201.892.928-30</t>
  </si>
  <si>
    <t>TERMIX COMERCIAL LTDA</t>
  </si>
  <si>
    <t>39.586.426/0001-04</t>
  </si>
  <si>
    <t>TERRA SIMAO SPLENDOR GARDEN INCORPORADORA SPE LTDA</t>
  </si>
  <si>
    <t>13.598.178/0001-28</t>
  </si>
  <si>
    <t>TERRAO COMERCIO E REPRESENTACOES LTDA</t>
  </si>
  <si>
    <t>64.088.214/0001-44</t>
  </si>
  <si>
    <t>TERRAX CONSTRUCOES LTDA</t>
  </si>
  <si>
    <t>26.811.740/0001-00</t>
  </si>
  <si>
    <t>TETRA FARM INDUSTRIA E COMERCIO DE MATERIAL HOSPITALAR LTDA</t>
  </si>
  <si>
    <t>20.515.679/0001-69</t>
  </si>
  <si>
    <t>TG BRASIL COMERCIO LTDA EPP</t>
  </si>
  <si>
    <t>11.857.378/0001-22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</si>
  <si>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</si>
  <si>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</si>
  <si>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</si>
  <si>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</si>
  <si>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</si>
  <si>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</si>
  <si>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THAIANE PATRICIA CIPRIANO</t>
  </si>
  <si>
    <t>405.014.158-23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</si>
  <si>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</si>
  <si>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</si>
  <si>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</si>
  <si>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</si>
  <si>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</si>
  <si>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</si>
  <si>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THAINA MARIA FERREIRA RAMOS BRITO</t>
  </si>
  <si>
    <t>481.352.458-31</t>
  </si>
  <si>
    <t>THAINAN FELIPE DOMINGOS</t>
  </si>
  <si>
    <t>411.110.768-04</t>
  </si>
  <si>
    <t>Thainara Ramos de Oliveira</t>
  </si>
  <si>
    <t>546.636.178-08</t>
  </si>
  <si>
    <t>THAINNA FERREIRA DE MOURA</t>
  </si>
  <si>
    <t>542.765.228-03</t>
  </si>
  <si>
    <t>THAIS APARECIDA DE ANDRADE PASSOS</t>
  </si>
  <si>
    <t>439.911.688-98</t>
  </si>
  <si>
    <t>THAIS APARECIDA DE SALLES DA COSTA</t>
  </si>
  <si>
    <t>424.288.298-07</t>
  </si>
  <si>
    <t>THAIS APARECIDA DE SOUZA</t>
  </si>
  <si>
    <t>341.523.098-81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</si>
  <si>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</si>
  <si>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</si>
  <si>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</si>
  <si>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</si>
  <si>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</si>
  <si>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</si>
  <si>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THAIS CAROLINE ARAUJO TOLEDO</t>
  </si>
  <si>
    <t>444.588.138-46</t>
  </si>
  <si>
    <t>THAIS CASTRO SOUZA CRUZ</t>
  </si>
  <si>
    <t>436.781.898-57</t>
  </si>
  <si>
    <t>THAIS CRISTINA MOREIRA DOMINGOS</t>
  </si>
  <si>
    <t>584.560.268-83</t>
  </si>
  <si>
    <t>THAIS CRISTINA RIBEIRO</t>
  </si>
  <si>
    <t>447.000.228-33</t>
  </si>
  <si>
    <t>THAIS DE CARVALHO RODRIGUES 14681672785</t>
  </si>
  <si>
    <t>45.196.247/0001-63</t>
  </si>
  <si>
    <t>THAIS DE FARIA</t>
  </si>
  <si>
    <t>415.654.518-05</t>
  </si>
  <si>
    <t>Thaís de Lima Oliveira</t>
  </si>
  <si>
    <t>455.300.398-80</t>
  </si>
  <si>
    <t>THAIS FERNANDA DA SILVA GOMES</t>
  </si>
  <si>
    <t>331.477.918-66</t>
  </si>
  <si>
    <t>THAIS FINATTI</t>
  </si>
  <si>
    <t>282.543.038-27</t>
  </si>
  <si>
    <t>THAIS FRANCINE DA SILVA</t>
  </si>
  <si>
    <t>403.445.128-94</t>
  </si>
  <si>
    <t>THAIS GABRIELA RAMOS MAESTRI</t>
  </si>
  <si>
    <t>412.943.908-13</t>
  </si>
  <si>
    <t>THAIS GOMES NOGUEIRA</t>
  </si>
  <si>
    <t>385.087.048-01</t>
  </si>
  <si>
    <t>Thaís Guratti Serrano</t>
  </si>
  <si>
    <t>494.577.448-02</t>
  </si>
  <si>
    <t>THAIS HELENA RIBEIRO</t>
  </si>
  <si>
    <t>412.582.938-11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</si>
  <si>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</si>
  <si>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</si>
  <si>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</si>
  <si>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</si>
  <si>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</si>
  <si>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</si>
  <si>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</si>
  <si>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</si>
  <si>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TAVARES DA SILVA SOUSA</t>
  </si>
  <si>
    <t>496.952.518-89</t>
  </si>
  <si>
    <t>THAIS VIANA LADISLAU</t>
  </si>
  <si>
    <t>499.044.138-94</t>
  </si>
  <si>
    <t>THAIS VICENTE DOS SANTOS</t>
  </si>
  <si>
    <t>468.407.318-12</t>
  </si>
  <si>
    <t>THAIS VITORIA DE MELO OLIVEIRA</t>
  </si>
  <si>
    <t>419.100.538-30</t>
  </si>
  <si>
    <t>Thales Luiz da Silva</t>
  </si>
  <si>
    <t>469.529.518-06</t>
  </si>
  <si>
    <t>Thales Roberto Oliveira Bezerra</t>
  </si>
  <si>
    <t>319.075.538-86</t>
  </si>
  <si>
    <t>THALIA BRITO DO VALE</t>
  </si>
  <si>
    <t>350.898.298-02</t>
  </si>
  <si>
    <t>Thalia Ketlen Franco Cardoso</t>
  </si>
  <si>
    <t>055.042.971-92</t>
  </si>
  <si>
    <t>THALIA NAIARA QUEIROZ DE SOUSA</t>
  </si>
  <si>
    <t>412.267.838-21</t>
  </si>
  <si>
    <t>THALIA SAMARA BALTAZAR</t>
  </si>
  <si>
    <t>486.244.828-36</t>
  </si>
  <si>
    <t>Thalita Alves da Silva</t>
  </si>
  <si>
    <t>471.889.158-22</t>
  </si>
  <si>
    <t>THALITA MARIA DE JESUS SILVA</t>
  </si>
  <si>
    <t>420.508.738-16</t>
  </si>
  <si>
    <t>THALLES LEANDRO DOS SANTOS ALVES</t>
  </si>
  <si>
    <t>437.282.478-55</t>
  </si>
  <si>
    <t>THAMIRES GOMES SANTOS DA SILVA</t>
  </si>
  <si>
    <t>442.945.368-37</t>
  </si>
  <si>
    <t>THAMIRES PACHECO DE ALMEIDA</t>
  </si>
  <si>
    <t>456.434.118-90</t>
  </si>
  <si>
    <t>THASSYA DESSIMONI LOPES</t>
  </si>
  <si>
    <t>375.439.858-02</t>
  </si>
  <si>
    <t>THATIANA PITA DINIZ</t>
  </si>
  <si>
    <t>257.310.368-45</t>
  </si>
  <si>
    <t>THATIANE DE SOUSA BEZERRA</t>
  </si>
  <si>
    <t>131.870.594-06</t>
  </si>
  <si>
    <t>THATIANY DELA ROSA MONTEIRO BORGES</t>
  </si>
  <si>
    <t>285.793.618-42</t>
  </si>
  <si>
    <t>THAUAN JOCIEL LIMA DA SILVA</t>
  </si>
  <si>
    <t>189.804.957-22</t>
  </si>
  <si>
    <t>Thauane Ferreira de Medeiros</t>
  </si>
  <si>
    <t>077.247.739-63</t>
  </si>
  <si>
    <t>THAUANNY A. DO AMARAL SANTOS</t>
  </si>
  <si>
    <t>513.043.378-55</t>
  </si>
  <si>
    <t>THAYANA OTOBONI CAMPOS RODRIGUES</t>
  </si>
  <si>
    <t>377.309.188-54</t>
  </si>
  <si>
    <t>Thayane Nesi Teixeira</t>
  </si>
  <si>
    <t>119.579.609-90</t>
  </si>
  <si>
    <t>Thayanne de Andrade Cardoso</t>
  </si>
  <si>
    <t>450.810.128-31</t>
  </si>
  <si>
    <t>THAYNA CIDARTA PEREIRA</t>
  </si>
  <si>
    <t>170.906.167-70</t>
  </si>
  <si>
    <t>THAYNA DE MORAES DAMAZIO</t>
  </si>
  <si>
    <t>508.586.008-03</t>
  </si>
  <si>
    <t>THAYNA FERNANDA DE CARVALHO</t>
  </si>
  <si>
    <t>493.652.458-18</t>
  </si>
  <si>
    <t>THAYSLANY SALES BEZERRA</t>
  </si>
  <si>
    <t>007.820.302-38</t>
  </si>
  <si>
    <t>THEREZINHA CASTILHO RIBEIRO</t>
  </si>
  <si>
    <t>044.868.298-24</t>
  </si>
  <si>
    <t>THIAGO AFONSO FRANGO</t>
  </si>
  <si>
    <t>416.683.788-50</t>
  </si>
  <si>
    <t>Thiago Albuquerque Estrela Batista</t>
  </si>
  <si>
    <t>834.484.972-15</t>
  </si>
  <si>
    <t>THIAGO ALEXANDRE DE FREITAS</t>
  </si>
  <si>
    <t>379.340.018-27</t>
  </si>
  <si>
    <t>Thiago Azevedo de Lima</t>
  </si>
  <si>
    <t>090.233.293-76</t>
  </si>
  <si>
    <t>THIAGO CARDOSO BATISTA</t>
  </si>
  <si>
    <t>435.945.888-66</t>
  </si>
  <si>
    <t>THIAGO DA SILVA REIS</t>
  </si>
  <si>
    <t>418.281.548-30</t>
  </si>
  <si>
    <t>THIAGO DE SOUZA BARBOSA</t>
  </si>
  <si>
    <t>308.702.558-51</t>
  </si>
  <si>
    <t>THIAGO DOS SANTOS</t>
  </si>
  <si>
    <t>369.180.428-40</t>
  </si>
  <si>
    <t>THIAGO DOS SANTOS LOURENCO</t>
  </si>
  <si>
    <t>405.457.308-80</t>
  </si>
  <si>
    <t>THIAGO FERREIRA NASCIMENTO</t>
  </si>
  <si>
    <t>137.628.597-52</t>
  </si>
  <si>
    <t>THIAGO FERRER SIQUEIRA</t>
  </si>
  <si>
    <t>056.448.657-46</t>
  </si>
  <si>
    <t>THIAGO FRANCISCO DA SILVA</t>
  </si>
  <si>
    <t>106.591.937-95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</si>
  <si>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</si>
  <si>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</si>
  <si>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</si>
  <si>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</si>
  <si>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</si>
  <si>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</si>
  <si>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</si>
  <si>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</si>
  <si>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</si>
  <si>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</si>
  <si>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HENRIQUE SANTOS PASSOS</t>
  </si>
  <si>
    <t>302.562.418-30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</si>
  <si>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</si>
  <si>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</si>
  <si>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</si>
  <si>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</si>
  <si>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</si>
  <si>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</si>
  <si>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</si>
  <si>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</si>
  <si>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</si>
  <si>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</si>
  <si>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MENDES GUIMARAES VERGUEIRO</t>
  </si>
  <si>
    <t>320.152.348-88</t>
  </si>
  <si>
    <t>THIAGO MORGADO FERREIRA PINTO</t>
  </si>
  <si>
    <t>427.607.858-07</t>
  </si>
  <si>
    <t>THIAGO MURAD BRANDAO</t>
  </si>
  <si>
    <t>391.369.728-43</t>
  </si>
  <si>
    <t>THIAGO OLIMPIO RAMOS</t>
  </si>
  <si>
    <t>380.929.338-55</t>
  </si>
  <si>
    <t>THIAGO OLIVEIRA SANTOS</t>
  </si>
  <si>
    <t>355.831.688-62</t>
  </si>
  <si>
    <t>Thiago Ricardo de Oliveira</t>
  </si>
  <si>
    <t>474.425.808-58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</si>
  <si>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</si>
  <si>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</si>
  <si>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</si>
  <si>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</si>
  <si>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</si>
  <si>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</si>
  <si>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SANTOS SUDRE</t>
  </si>
  <si>
    <t>086.773.387-05</t>
  </si>
  <si>
    <t>THIAGO SILVA OLIVEIRA</t>
  </si>
  <si>
    <t>054.957.361-50</t>
  </si>
  <si>
    <t>THIAGO TAVEIRA DA SILVA</t>
  </si>
  <si>
    <t>367.093.858-33</t>
  </si>
  <si>
    <t>THIAGO VENTUROSO</t>
  </si>
  <si>
    <t>490.567.578-22</t>
  </si>
  <si>
    <t>THIAGO WILLIAM DIAS</t>
  </si>
  <si>
    <t>221.710.368-77</t>
  </si>
  <si>
    <t>Thiago Willian Machado</t>
  </si>
  <si>
    <t>344.415.918-88</t>
  </si>
  <si>
    <t>THIEMY HAMASAKI DE MORAES</t>
  </si>
  <si>
    <t>441.470.228-39</t>
  </si>
  <si>
    <t>THIFANNY CHAVES FERNANDES KOTESKI</t>
  </si>
  <si>
    <t>467.643.188-08</t>
  </si>
  <si>
    <t>THIPLAN COMERCIAL LTDA</t>
  </si>
  <si>
    <t>67.748.764/0001-30</t>
  </si>
  <si>
    <t>THOMAS DERECK BENEDICTO DE OLIVEIRA</t>
  </si>
  <si>
    <t>537.692.328-28</t>
  </si>
  <si>
    <t>THULIO TOLEDO SANTOS</t>
  </si>
  <si>
    <t>338.002.778-24</t>
  </si>
  <si>
    <t>TI COMPONENTES ELETRONICOS LTDA</t>
  </si>
  <si>
    <t>39.678.810/0001-37</t>
  </si>
  <si>
    <t>TIAGO BERNARDES PEDROSO</t>
  </si>
  <si>
    <t>364.908.448-18</t>
  </si>
  <si>
    <t>TIAGO BRENDLE</t>
  </si>
  <si>
    <t>007.307.210-94</t>
  </si>
  <si>
    <t>TIAGO BRUNO DE ARAUJO MACHADO</t>
  </si>
  <si>
    <t>365.042.428-28</t>
  </si>
  <si>
    <t>TIAGO DA SILVA BAETA</t>
  </si>
  <si>
    <t>087.984.426-43</t>
  </si>
  <si>
    <t>TIAGO DE ALENCAR DA ROSA</t>
  </si>
  <si>
    <t>332.322.568-64</t>
  </si>
  <si>
    <t>TIAGO DE ALMEIDA</t>
  </si>
  <si>
    <t>300.459.858-20</t>
  </si>
  <si>
    <t>TIAGO DOS SANTOS SANTANA</t>
  </si>
  <si>
    <t>284.532.568-10</t>
  </si>
  <si>
    <t>TIAGO DUTRA DE OLIVEIRA SILVA</t>
  </si>
  <si>
    <t>324.031.098-86</t>
  </si>
  <si>
    <t>TIAGO ERIKSSON BATISTA</t>
  </si>
  <si>
    <t>089.161.627-69</t>
  </si>
  <si>
    <t>Tiago Felipe Costa Silva</t>
  </si>
  <si>
    <t>502.278.178-69</t>
  </si>
  <si>
    <t>TIAGO FELIX BERTINI</t>
  </si>
  <si>
    <t>350.469.318-50</t>
  </si>
  <si>
    <t>TIAGO GAMEZ SILVA</t>
  </si>
  <si>
    <t>368.661.258-55</t>
  </si>
  <si>
    <t>TIAGO HENRIQUE MARCONDES DA SILVA</t>
  </si>
  <si>
    <t>409.130.448-65</t>
  </si>
  <si>
    <t>Tiago Henrique Ribeiro</t>
  </si>
  <si>
    <t>322.691.548-78</t>
  </si>
  <si>
    <t>TIAGO ISMAEL</t>
  </si>
  <si>
    <t>326.787.698-28</t>
  </si>
  <si>
    <t>TIAGO JULIANO DE FARIA</t>
  </si>
  <si>
    <t>201.868.458-20</t>
  </si>
  <si>
    <t>TIAGO LEANDRO DA SILVA</t>
  </si>
  <si>
    <t>423.506.348-09</t>
  </si>
  <si>
    <t>TIAGO NASCIMENTO DE SOUZA</t>
  </si>
  <si>
    <t>349.783.438-60</t>
  </si>
  <si>
    <t>TIAGO PEREIRA DE SOUZA</t>
  </si>
  <si>
    <t>372.019.838-30</t>
  </si>
  <si>
    <t>TIAGO PORCATTI</t>
  </si>
  <si>
    <t>216.408.618-07</t>
  </si>
  <si>
    <t>TIAGO REIS TRAJANO</t>
  </si>
  <si>
    <t>109.914.857-00</t>
  </si>
  <si>
    <t>TIAGO REZENDE DOS SANTOS GONCALVES</t>
  </si>
  <si>
    <t>354.692.038-40</t>
  </si>
  <si>
    <t>TIAGO RIBEIRO DE PAULA</t>
  </si>
  <si>
    <t>413.124.888-32</t>
  </si>
  <si>
    <t>TIBA ODONTO MEDICAL ENGENHARIA CLINICA LTDA - ME</t>
  </si>
  <si>
    <t>05.814.928/0001-23</t>
  </si>
  <si>
    <t>TIFANY THALITA SOUZA DINIZ</t>
  </si>
  <si>
    <t>447.455.128-13</t>
  </si>
  <si>
    <t>TIMING PRODUCOES, ASSESSORIA E ENTRETENIMENTO LTDA</t>
  </si>
  <si>
    <t>22.469.144/0001-24</t>
  </si>
  <si>
    <t>TIMO PAPER SUPRIMENTOS PARA ESCRITORIO LTDA</t>
  </si>
  <si>
    <t>47.853.538/0001-02</t>
  </si>
  <si>
    <t>TIMOTHY NELSON CESAR LEITE</t>
  </si>
  <si>
    <t>279.214.738-57</t>
  </si>
  <si>
    <t>TINASSI FARMACIA DE MANIPULACAO LTDA</t>
  </si>
  <si>
    <t>00.566.837/0001-00</t>
  </si>
  <si>
    <t>TINTAS SAO JOSE LTDA</t>
  </si>
  <si>
    <t>53.270.385/0001-73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</si>
  <si>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</si>
  <si>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</si>
  <si>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</si>
  <si>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</si>
  <si>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</si>
  <si>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</si>
  <si>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</si>
  <si>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</si>
  <si>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</si>
  <si>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</si>
  <si>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TOLEDO E ARMONDES ZELADORIA PATRIMONIAL E SEGURANCA ELETRONICA LTDA</t>
  </si>
  <si>
    <t>53.880.061/0001-57</t>
  </si>
  <si>
    <t>TOMIKO MOURA FERREIRA</t>
  </si>
  <si>
    <t>789.289.828-04</t>
  </si>
  <si>
    <t>TOMOSERV DIAGNOSTICOS  LTDA</t>
  </si>
  <si>
    <t>17.845.862/0001-18</t>
  </si>
  <si>
    <t>TOMOSERV RESSONANCIA LTDA</t>
  </si>
  <si>
    <t>37.053.056/0001-14</t>
  </si>
  <si>
    <t>TOMOSERV ULTRASSON LTDA</t>
  </si>
  <si>
    <t>35.087.103/0001-15</t>
  </si>
  <si>
    <t>Toni Gomes da Silva Filho</t>
  </si>
  <si>
    <t>529.397.218-90</t>
  </si>
  <si>
    <t>TONY RODRIGO NASCIMENTO CARDOSO SILVA</t>
  </si>
  <si>
    <t>282.899.248-95</t>
  </si>
  <si>
    <t>TOP NORTE COMERCIO DE MATERIAL MEDICO HOSPITALAR LTDA</t>
  </si>
  <si>
    <t>22.862.531/0001-26</t>
  </si>
  <si>
    <t>TOPBRISA CLIMATIZADORES LTDA</t>
  </si>
  <si>
    <t>21.507.650/0001-06</t>
  </si>
  <si>
    <t>TOPLOC SERVICOS E LOCACOES LTDA</t>
  </si>
  <si>
    <t>47.827.889/0001-49</t>
  </si>
  <si>
    <t>TORCIDA BRASILEIRA INDUSTRIA E COMERCIO EIRELI</t>
  </si>
  <si>
    <t>13.516.153/0001-38</t>
  </si>
  <si>
    <t>TORKYS SISTEMAS E EQUIPAMENTOS LIMITADA</t>
  </si>
  <si>
    <t>14.938.995/0001-40</t>
  </si>
  <si>
    <t>TOTALWARE SISTEMAS E REDES LTDA EPP</t>
  </si>
  <si>
    <t>05.295.257/0001-31</t>
  </si>
  <si>
    <t>TRADE COMERCIO DE BRINDES LTDA</t>
  </si>
  <si>
    <t>43.859.445/0001-34</t>
  </si>
  <si>
    <t>TRADE FARMA ASSESSORIA EMPRESARIAL LTDA</t>
  </si>
  <si>
    <t>26.508.975/0001-19</t>
  </si>
  <si>
    <t>TRAFEG SINALIZACAO SEGURANCA TRANSITO LTDA</t>
  </si>
  <si>
    <t>35.864.628/0001-10</t>
  </si>
  <si>
    <t>TRAMASSO IDH INTELIGENCIA EM DESENVOLVIMENTO HUMANO LTDA</t>
  </si>
  <si>
    <t>13.592.255/0001-32</t>
  </si>
  <si>
    <t>TRANSLOCAR - TRANSPORTES E LOCACAO DE MAQUINAS LTDA - EPP</t>
  </si>
  <si>
    <t>05.731.751/0001-00</t>
  </si>
  <si>
    <t>TRANSNECO MATERIAIS DE CONSTRUCAO EM GERAL LTDA</t>
  </si>
  <si>
    <t>43.981.812/0001-78</t>
  </si>
  <si>
    <t>TRANSPORTES LUSANRO LTDA</t>
  </si>
  <si>
    <t>05.946.711/0001-77</t>
  </si>
  <si>
    <t>TRANSPORTES MAKARINA KREMER LTDA</t>
  </si>
  <si>
    <t>04.071.002/0001-22</t>
  </si>
  <si>
    <t>TRC TELECOM LTDA</t>
  </si>
  <si>
    <t>05.054.250/0001-28</t>
  </si>
  <si>
    <t>T.R.C TRANSPORTES LTDA</t>
  </si>
  <si>
    <t>52.246.255/0001-32</t>
  </si>
  <si>
    <t>TREVENZA SOLUCOES LTDA</t>
  </si>
  <si>
    <t>58.613.526/0001-27</t>
  </si>
  <si>
    <t>TREVISO ENGENHARIA E CONSTRUCAO LTDA</t>
  </si>
  <si>
    <t>20.678.914/0001-13</t>
  </si>
  <si>
    <t>TRIAZ MEDICINA E SEGURANÇA DO TRABALHO LTDA</t>
  </si>
  <si>
    <t>50.712.970/0001-98</t>
  </si>
  <si>
    <t>TRIBUNAL REGIONAL DO TRABALHO - 15 REGIAO</t>
  </si>
  <si>
    <t>03.773.524/0001-03</t>
  </si>
  <si>
    <t>TRIBUNAL REGIONAL FEDERAL 3 REGIAO</t>
  </si>
  <si>
    <t>59.949.362/0001-76</t>
  </si>
  <si>
    <t>TRIMOR EMPREENDIMENTOS IMOBILIARIOS LTDA</t>
  </si>
  <si>
    <t>18.753.138/0001-27</t>
  </si>
  <si>
    <t>TRIPUI SERVIÇOS E COMERCIO LTDA</t>
  </si>
  <si>
    <t>05.086.623/0001-42</t>
  </si>
  <si>
    <t>TRIUNFAL MÁQUINAS E FERRAMENTAS LTDA</t>
  </si>
  <si>
    <t>48.754.707/0001-10</t>
  </si>
  <si>
    <t>TRIUNFO ADMINISTRACAO E PARTICIPACOES LTDA</t>
  </si>
  <si>
    <t>47.130.188/0001-56</t>
  </si>
  <si>
    <t>TRIXMAQ LTDA</t>
  </si>
  <si>
    <t>19.284.433/0001-44</t>
  </si>
  <si>
    <t>TRT SOLUCOES EM SAUDE &amp; EVENTOS LTDA</t>
  </si>
  <si>
    <t>62.678.587/0001-40</t>
  </si>
  <si>
    <t>TUDO DE FILTROS COMERCIO DE UTILIDADES DOMESTICAS LTDA</t>
  </si>
  <si>
    <t>52.790.081/0001-74</t>
  </si>
  <si>
    <t>TULIO GABRIEL PEREIRA</t>
  </si>
  <si>
    <t>502.153.978-78</t>
  </si>
  <si>
    <t>TUPIRATINS MATERIAIS ESCOLARES LTDA</t>
  </si>
  <si>
    <t>31.953.767/0001-69</t>
  </si>
  <si>
    <t>TYLER TOLEDO BALBINO</t>
  </si>
  <si>
    <t>488.588.678-31</t>
  </si>
  <si>
    <t>UBIRAJARA APARECIDO DE AGUIAR</t>
  </si>
  <si>
    <t>430.617.328-37</t>
  </si>
  <si>
    <t>UBIRAJARA GALVAO VIEIRA DA SILVA</t>
  </si>
  <si>
    <t>304.631.768-98</t>
  </si>
  <si>
    <t>UBIRATÃ D' ONOFRIO</t>
  </si>
  <si>
    <t>801.486.388-72</t>
  </si>
  <si>
    <t>UELINTON ALMEIDA LIMA</t>
  </si>
  <si>
    <t>391.605.328-07</t>
  </si>
  <si>
    <t>UEVERTON BRITO DA INVENCAO</t>
  </si>
  <si>
    <t>301.259.908-80</t>
  </si>
  <si>
    <t>UEVERTON PEREIRA DOS SANTOS</t>
  </si>
  <si>
    <t>334.299.088-09</t>
  </si>
  <si>
    <t>UILSON BATISTA SALES</t>
  </si>
  <si>
    <t>055.574.698-42</t>
  </si>
  <si>
    <t>ULIANA BUENO SIMON DA SILVA</t>
  </si>
  <si>
    <t>108.938.256-11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</si>
  <si>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</si>
  <si>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</si>
  <si>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</si>
  <si>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</si>
  <si>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</si>
  <si>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</si>
  <si>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</si>
  <si>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</si>
  <si>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UNIAO QUIMICA FARMACEUTICA NACIONAL S/A</t>
  </si>
  <si>
    <t>60.665.981/0009-75</t>
  </si>
  <si>
    <t>UNIDADE VICENTINA PROMOCIONAL</t>
  </si>
  <si>
    <t>46.644.217/0001-35</t>
  </si>
  <si>
    <t>UNIFRAN EPIS E UNIFORMES LTDA</t>
  </si>
  <si>
    <t>31.500.641/0001-39</t>
  </si>
  <si>
    <t>UNIMED SEGURADORA S/A</t>
  </si>
  <si>
    <t>92.863.505/0001-06</t>
  </si>
  <si>
    <t>UNIVERSIDADE DE SAO PAULO</t>
  </si>
  <si>
    <t>63.025.530/0001-04</t>
  </si>
  <si>
    <t>URANIA PLANETARIO MOVEL ORGANIZACAO DE EVENTOS LTDA</t>
  </si>
  <si>
    <t>23.604.958/0001-97</t>
  </si>
  <si>
    <t>URBANBOX COMERCIO E SERVIÇOS LTDA</t>
  </si>
  <si>
    <t>30.667.846/0001-40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</si>
  <si>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</si>
  <si>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</si>
  <si>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</si>
  <si>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</si>
  <si>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</si>
  <si>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</si>
  <si>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>UTD SUZANO UNIDADE DE TRATAMENTO E DESTINAÇÃO FINAL LTDA</t>
  </si>
  <si>
    <t>51.078.919/0001-39</t>
  </si>
  <si>
    <t>UTI DOS DADOS SERVICOS DE RECUPERACAO DE DADOS LTDA</t>
  </si>
  <si>
    <t>58.306.448/0001-18</t>
  </si>
  <si>
    <t>V P - MEDICAMENTOS LTDA</t>
  </si>
  <si>
    <t>73.318.693/0001-39</t>
  </si>
  <si>
    <t>VAGNER APARECIDO SILVA</t>
  </si>
  <si>
    <t>219.097.978-12</t>
  </si>
  <si>
    <t>VAGNER BARBOSA PORTELLA</t>
  </si>
  <si>
    <t>071.265.858-02</t>
  </si>
  <si>
    <t xml:space="preserve">VAGNER DA SILVA	</t>
  </si>
  <si>
    <t>213.150.208-74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</si>
  <si>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</si>
  <si>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</si>
  <si>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</si>
  <si>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</si>
  <si>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</si>
  <si>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</si>
  <si>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</si>
  <si>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</si>
  <si>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</si>
  <si>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</si>
  <si>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 NEVES DE ALMEIDA</t>
  </si>
  <si>
    <t>207.561.191-20</t>
  </si>
  <si>
    <t>VALDECIR DONIZETTI GOMES</t>
  </si>
  <si>
    <t>300.830.718-30</t>
  </si>
  <si>
    <t>VALDECIR FRANCISCO DA SILVA</t>
  </si>
  <si>
    <t>150.227.188-55</t>
  </si>
  <si>
    <t>VALDECIR FREITAS AGUIAR</t>
  </si>
  <si>
    <t>047.260.428-74</t>
  </si>
  <si>
    <t>VALDECRENE EVANGELISTA SANTOS DE JESUS</t>
  </si>
  <si>
    <t>391.920.048-90</t>
  </si>
  <si>
    <t>VALDECY BORGES SANTOS RODRIGUES</t>
  </si>
  <si>
    <t>571.366.536-49</t>
  </si>
  <si>
    <t>VALDECYR SILVA FALCAO</t>
  </si>
  <si>
    <t>971.645.188-15</t>
  </si>
  <si>
    <t>VALDEIL VICENTE</t>
  </si>
  <si>
    <t>159.442.978-24</t>
  </si>
  <si>
    <t>Valdemar Resendes Massa Junior</t>
  </si>
  <si>
    <t>322.721.408-31</t>
  </si>
  <si>
    <t>VALDEMAR VENACIO DE LIMA</t>
  </si>
  <si>
    <t>098.652.328-39</t>
  </si>
  <si>
    <t>VALDENICE FATIMA DE SOUZA</t>
  </si>
  <si>
    <t>086.883.438-61</t>
  </si>
  <si>
    <t>VALDER ALEXANDRE CORDEIRO</t>
  </si>
  <si>
    <t>159.573.698-02</t>
  </si>
  <si>
    <t>VALDEREZ ANTONIO DE LIMA</t>
  </si>
  <si>
    <t>271.297.198-18</t>
  </si>
  <si>
    <t>VALDEVINO NEVES DE SOUZA JUNIOR</t>
  </si>
  <si>
    <t>286.901.458-93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</si>
  <si>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</si>
  <si>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</si>
  <si>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</si>
  <si>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</si>
  <si>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</si>
  <si>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</si>
  <si>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</si>
  <si>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</si>
  <si>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</si>
  <si>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</si>
  <si>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</si>
  <si>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</si>
  <si>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</si>
  <si>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</si>
  <si>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 JOSE MIRANDA</t>
  </si>
  <si>
    <t>026.018.958-88</t>
  </si>
  <si>
    <t>VALDIR JULIANI</t>
  </si>
  <si>
    <t>275.111.718-00</t>
  </si>
  <si>
    <t>VALDIR MARTIMIANO DIAS</t>
  </si>
  <si>
    <t>040.597.258-03</t>
  </si>
  <si>
    <t>VALDIR SOARES DA SILVA</t>
  </si>
  <si>
    <t>602.430.408-06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</si>
  <si>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</si>
  <si>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</si>
  <si>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</si>
  <si>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</si>
  <si>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</si>
  <si>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</si>
  <si>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CORES COMERCIAL LTDA</t>
  </si>
  <si>
    <t>04.733.461/0001-24</t>
  </si>
  <si>
    <t>VALE GESTAO DE IMOVEIS EIRELI</t>
  </si>
  <si>
    <t>13.545.564/0001-51</t>
  </si>
  <si>
    <t>VALE INTERNACOES DOMICILIARES LTDA</t>
  </si>
  <si>
    <t>04.222.284/0001-11</t>
  </si>
  <si>
    <t>VALE LUB.  PRODUTOS AUTOMOTIVOS LTDA - ME</t>
  </si>
  <si>
    <t>07.565.152/0001-80</t>
  </si>
  <si>
    <t>VALE MAIS ENGENHARIA E TOPOGRAFIA LTDA</t>
  </si>
  <si>
    <t>31.332.809/0001-44</t>
  </si>
  <si>
    <t>VALE PE OFICINA ORTOPEDICA LTDA - EPP</t>
  </si>
  <si>
    <t>00.574.648/0001-71</t>
  </si>
  <si>
    <t>VALE PROPOR PARTICIPACOES LTDA</t>
  </si>
  <si>
    <t>14.000.873/0001-09</t>
  </si>
  <si>
    <t>VALE SONDAGEM FUNDACOES LTDA</t>
  </si>
  <si>
    <t>37.714.688/0001-81</t>
  </si>
  <si>
    <t>VALECLIN LABORATORIO DE ANALISES CLINICAS LTDA</t>
  </si>
  <si>
    <t>50.008.812/0001-51</t>
  </si>
  <si>
    <t>VALENTINA TEIXEIRA GRILL</t>
  </si>
  <si>
    <t>504.896.198-60</t>
  </si>
  <si>
    <t>VALEODONTO CLINICA ODONTOLOGICA LTDA</t>
  </si>
  <si>
    <t>28.857.461/0001-02</t>
  </si>
  <si>
    <t>VALERIA APARECIDA DOS SANTOS SILVA</t>
  </si>
  <si>
    <t>068.437.767-52</t>
  </si>
  <si>
    <t>VALERIA CINTRA MONTE SIAO</t>
  </si>
  <si>
    <t>180.595.698-13</t>
  </si>
  <si>
    <t>VALERIA DA SILVA MONTEIRO DOS SANTOS</t>
  </si>
  <si>
    <t>505.811.678-21</t>
  </si>
  <si>
    <t>VALERIA DE FATIMA CESAR LEITE CHAVES</t>
  </si>
  <si>
    <t>047.423.188-70</t>
  </si>
  <si>
    <t>VALERIA DE MEDEIROS PEREIRA PIRES</t>
  </si>
  <si>
    <t>318.647.588-05</t>
  </si>
  <si>
    <t>VALERIA MALVINA MOREIRA SANTOS DE OLIVEIRA</t>
  </si>
  <si>
    <t>268.368.298-03</t>
  </si>
  <si>
    <t>VALERIA SINNI</t>
  </si>
  <si>
    <t>251.063.588-33</t>
  </si>
  <si>
    <t>VALERIO FERREIRA DA SILVA</t>
  </si>
  <si>
    <t>276.296.538-16</t>
  </si>
  <si>
    <t>VALERIO TEIXEIRA SILVA</t>
  </si>
  <si>
    <t>162.746.728-93</t>
  </si>
  <si>
    <t>VALID CERTIFICADORA DIGITAL LTDA</t>
  </si>
  <si>
    <t>14.121.957/0001-09</t>
  </si>
  <si>
    <t>VALLE AMBIENTAL, ENGENHARIA E RESIDUOS LTDA ME</t>
  </si>
  <si>
    <t>15.287.142/0001-59</t>
  </si>
  <si>
    <t>VALLE FISIO CLINICA DE FISIOTERAPIA LTDA</t>
  </si>
  <si>
    <t>17.637.540/0001-83</t>
  </si>
  <si>
    <t>VALMIR FRANCISCO DE SOUZA</t>
  </si>
  <si>
    <t>054.553.078-43</t>
  </si>
  <si>
    <t>VALMIR GONZAGA DA SILVA</t>
  </si>
  <si>
    <t>252.233.168-00</t>
  </si>
  <si>
    <t>Valmir Lima Gomes</t>
  </si>
  <si>
    <t>265.002.108-08</t>
  </si>
  <si>
    <t>VALMIR MORAES</t>
  </si>
  <si>
    <t>131.736.948-30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</si>
  <si>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</si>
  <si>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</si>
  <si>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</si>
  <si>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</si>
  <si>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</si>
  <si>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</si>
  <si>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Nobre Ferreira</t>
  </si>
  <si>
    <t>542.887.778-28</t>
  </si>
  <si>
    <t>VANDA EVANGELISTA PEREIRA</t>
  </si>
  <si>
    <t>567.504.986-04</t>
  </si>
  <si>
    <t>VANDER DA SILVA</t>
  </si>
  <si>
    <t>310.978.838-17</t>
  </si>
  <si>
    <t>VANDER DANIEL RIBEIRO</t>
  </si>
  <si>
    <t>344.054.788-48</t>
  </si>
  <si>
    <t>VANDER DE SOUSA NASCIMENTO BORGE</t>
  </si>
  <si>
    <t>133.114.827-86</t>
  </si>
  <si>
    <t>VANDERLAN DA SILVA</t>
  </si>
  <si>
    <t>400.693.628-15</t>
  </si>
  <si>
    <t>VANDERLEI JOSE PEREIRA</t>
  </si>
  <si>
    <t>056.459.508-01</t>
  </si>
  <si>
    <t>VANDERLEI SALES</t>
  </si>
  <si>
    <t>072.441.668-42</t>
  </si>
  <si>
    <t>VANDERLEY TEIXEIRA DIAS</t>
  </si>
  <si>
    <t>138.444.178-69</t>
  </si>
  <si>
    <t>VANDERSON DA SILVA GONCALVES</t>
  </si>
  <si>
    <t>286.375.668-04</t>
  </si>
  <si>
    <t>VANDI FERNANDES DAVID</t>
  </si>
  <si>
    <t>390.080.188-61</t>
  </si>
  <si>
    <t>VANESSA ALVES DA SILVA</t>
  </si>
  <si>
    <t>353.956.828-05</t>
  </si>
  <si>
    <t>Vanessa Alves da Silva Izidorio</t>
  </si>
  <si>
    <t>415.121.108-09</t>
  </si>
  <si>
    <t>VANESSA APA. ROQUE DE OLIVEIRA</t>
  </si>
  <si>
    <t>342.649.078-10</t>
  </si>
  <si>
    <t>VANESSA APARECIDA DE OLIVEIRA ROZA</t>
  </si>
  <si>
    <t>322.291.768-03</t>
  </si>
  <si>
    <t>VANESSA APARECIDA DINIZ ROSA</t>
  </si>
  <si>
    <t>368.651.268-82</t>
  </si>
  <si>
    <t>VANESSA APARECIDA VITALINO</t>
  </si>
  <si>
    <t>440.520.408-05</t>
  </si>
  <si>
    <t>VANESSA BENTO PEDROSO</t>
  </si>
  <si>
    <t>376.211.958-94</t>
  </si>
  <si>
    <t>VANESSA CHAVES COELHO</t>
  </si>
  <si>
    <t>419.109.418-16</t>
  </si>
  <si>
    <t>VANESSA CRISTINA DOS SANTOS COMODARO</t>
  </si>
  <si>
    <t>315.984.488-97</t>
  </si>
  <si>
    <t>VANESSA CRISTINA DOS SANTOS MELO</t>
  </si>
  <si>
    <t>325.865.698-30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</si>
  <si>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</si>
  <si>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</si>
  <si>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</si>
  <si>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</si>
  <si>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</si>
  <si>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</si>
  <si>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</si>
  <si>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</si>
  <si>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Diniz de Oliveira da Hora</t>
  </si>
  <si>
    <t>465.293.008-99</t>
  </si>
  <si>
    <t>VANESSA DOS SANTOS NEGRAO SILVA</t>
  </si>
  <si>
    <t>221.384.818-16</t>
  </si>
  <si>
    <t>VANESSA ELI DOS SANTOS LIMA</t>
  </si>
  <si>
    <t>367.943.488-02</t>
  </si>
  <si>
    <t>VANESSA LARGURA FERREIRA</t>
  </si>
  <si>
    <t>095.258.467-09</t>
  </si>
  <si>
    <t>VANESSA MENDES DOS SANTOS</t>
  </si>
  <si>
    <t>124.366.287-50</t>
  </si>
  <si>
    <t>VANESSA MORAES SOARES</t>
  </si>
  <si>
    <t>037.781.613-26</t>
  </si>
  <si>
    <t>VANESSA NARESSI</t>
  </si>
  <si>
    <t>351.294.298-93</t>
  </si>
  <si>
    <t>VANESSA NISSOLA LIMA</t>
  </si>
  <si>
    <t>290.767.918-05</t>
  </si>
  <si>
    <t>VANESSA PAOLA ANDRADE ROSA</t>
  </si>
  <si>
    <t>153.740.288-98</t>
  </si>
  <si>
    <t>VANESSA PEREIRA DA SILVA</t>
  </si>
  <si>
    <t>116.756.216-08</t>
  </si>
  <si>
    <t>Vanessa Ramos Gazola</t>
  </si>
  <si>
    <t>293.124.408-29</t>
  </si>
  <si>
    <t>VANEZIA APARECIDA SANTOS RIBEIRO</t>
  </si>
  <si>
    <t>410.451.848-45</t>
  </si>
  <si>
    <t>VANIA DE CASSIA DOS SANTOS GLORIA</t>
  </si>
  <si>
    <t>257.777.958-54</t>
  </si>
  <si>
    <t>VANIA DE FATIMA RIBEIRO</t>
  </si>
  <si>
    <t>080.990.338-50</t>
  </si>
  <si>
    <t>VANIA SUELI ESTEVAM FERREIRA</t>
  </si>
  <si>
    <t>033.866.428-96</t>
  </si>
  <si>
    <t>VANICE RODRIGUES DA SILVA</t>
  </si>
  <si>
    <t>150.232.558-67</t>
  </si>
  <si>
    <t>VANIELCIO APARECIDO DA SILVA</t>
  </si>
  <si>
    <t>269.560.228-69</t>
  </si>
  <si>
    <t>VANILDO DIAS DA CRUZ</t>
  </si>
  <si>
    <t>081.220.928-10</t>
  </si>
  <si>
    <t>VANILSA LOURENCO RODRIGUES</t>
  </si>
  <si>
    <t>335.044.388-51</t>
  </si>
  <si>
    <t>VANPACK EMBALAGENS LTDA</t>
  </si>
  <si>
    <t>52.801.763/0001-35</t>
  </si>
  <si>
    <t>VANUSA MARIA CHAVES LEITE</t>
  </si>
  <si>
    <t>856.491.203-15</t>
  </si>
  <si>
    <t>VANUSA RIBEIRO DE ANDRADE</t>
  </si>
  <si>
    <t>236.878.498-56</t>
  </si>
  <si>
    <t>VANUSE AMANCIO</t>
  </si>
  <si>
    <t>438.487.868-00</t>
  </si>
  <si>
    <t>V.D.R BORDADOS DE MARILIA LTDA ME</t>
  </si>
  <si>
    <t>01.777.965/0001-58</t>
  </si>
  <si>
    <t>VEG PARTICIPACOES LTDA</t>
  </si>
  <si>
    <t>57.558.718/0001-15</t>
  </si>
  <si>
    <t>Venicio Pereira Gonçalves</t>
  </si>
  <si>
    <t>513.278.798-32</t>
  </si>
  <si>
    <t>VERA LUCIA ANDRADE GRACIANO</t>
  </si>
  <si>
    <t>159.600.098-89</t>
  </si>
  <si>
    <t>VERA LUCIA BARBOSA DE PAULA</t>
  </si>
  <si>
    <t>279.379.328-05</t>
  </si>
  <si>
    <t>VERA LUCIA DA SILVA</t>
  </si>
  <si>
    <t>159.646.508-56</t>
  </si>
  <si>
    <t>VERA LUCIA DA SILVA BARRETO DOS SANTOS</t>
  </si>
  <si>
    <t>317.016.598-40</t>
  </si>
  <si>
    <t>VERA LUCIA DALACQUA DE OLIVEIRA</t>
  </si>
  <si>
    <t>076.621.968-28</t>
  </si>
  <si>
    <t>VERA LUCIA DE ALMEIDA BAIRAO</t>
  </si>
  <si>
    <t>980.292.748-15</t>
  </si>
  <si>
    <t>VERA LUCIA DE PAULA OLIVEIRA</t>
  </si>
  <si>
    <t>026.222.328-70</t>
  </si>
  <si>
    <t>VERA LUCIA DOS SANTOS BARCAROLI</t>
  </si>
  <si>
    <t>038.524.928-40</t>
  </si>
  <si>
    <t>VERA LUCIA DOS SANTOS TOMAZ</t>
  </si>
  <si>
    <t>054.379.168-84</t>
  </si>
  <si>
    <t>VERA LUCIA GUEDES SOARES</t>
  </si>
  <si>
    <t>286.377.758-02</t>
  </si>
  <si>
    <t>VERA LUCIA MATIAS DOS SANTOS</t>
  </si>
  <si>
    <t>150.228.158-93</t>
  </si>
  <si>
    <t>VERA LUCIA MONTEIRO</t>
  </si>
  <si>
    <t>019.718.698-05</t>
  </si>
  <si>
    <t>VERA LUCIA MOTA MELLO RODRIGUEZ</t>
  </si>
  <si>
    <t>080.918.778-70</t>
  </si>
  <si>
    <t>VERA LUCIA NUNES</t>
  </si>
  <si>
    <t>109.760.778-09</t>
  </si>
  <si>
    <t>VERA NICE GERALDA CARVALHO ARAUJO</t>
  </si>
  <si>
    <t>138.453.878-07</t>
  </si>
  <si>
    <t>VERBENNA FARMACIA DE MANIPULACAO LTDA</t>
  </si>
  <si>
    <t>00.787.540/0001-67</t>
  </si>
  <si>
    <t>VERDAM LTDA</t>
  </si>
  <si>
    <t>23.162.312/0001-05</t>
  </si>
  <si>
    <t>VERDEBIANCO ENGENHARIA LTDA</t>
  </si>
  <si>
    <t>03.992.945/0001-25</t>
  </si>
  <si>
    <t>VERO S.A.</t>
  </si>
  <si>
    <t>31.748.174/0175-60</t>
  </si>
  <si>
    <t>VERONICA APARECIDA RIBEIRO DE AGUIAR</t>
  </si>
  <si>
    <t>098.629.698-81</t>
  </si>
  <si>
    <t>VERONICA DA SILVA SENNE</t>
  </si>
  <si>
    <t>384.062.148-80</t>
  </si>
  <si>
    <t>VERONICA DE ALBUQUERQUE SILVA</t>
  </si>
  <si>
    <t>362.659.908-61</t>
  </si>
  <si>
    <t>VERONICA FERNANDES DO NASCIMENTO</t>
  </si>
  <si>
    <t>097.680.227-95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</si>
  <si>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</si>
  <si>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</si>
  <si>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</si>
  <si>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</si>
  <si>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</si>
  <si>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</si>
  <si>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</si>
  <si>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</si>
  <si>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VESPA SAUDE AMBIENTAL COMERCIO SERVICOS E REPRESENTACOES LTDA</t>
  </si>
  <si>
    <t>20.455.744/0001-08</t>
  </si>
  <si>
    <t>VIA ROAD TRANSPORTES LTDA</t>
  </si>
  <si>
    <t>05.382.695/0001-37</t>
  </si>
  <si>
    <t>VIA SAUDE COMERCIO DE PRODUTOS NUTRICIONAIS E CORRELATOS LTDA</t>
  </si>
  <si>
    <t>09.567.012/0002-58</t>
  </si>
  <si>
    <t>VIA VALE CONSTRUTORA LTDA</t>
  </si>
  <si>
    <t>33.714.546/0001-63</t>
  </si>
  <si>
    <t>VIACAO JACAREI  LTDA</t>
  </si>
  <si>
    <t>50.479.476/0001-25</t>
  </si>
  <si>
    <t>VIACAO PIRACICABANA S.A.</t>
  </si>
  <si>
    <t>54.360.623/0089-36</t>
  </si>
  <si>
    <t>VIAÇÃO SAENS PENA LTDA</t>
  </si>
  <si>
    <t>17.051.740/0001-50</t>
  </si>
  <si>
    <t>Vicente Costa Zippinotti</t>
  </si>
  <si>
    <t>495.327.248-00</t>
  </si>
  <si>
    <t>VICENTE SHIGUEO SAITO</t>
  </si>
  <si>
    <t>223.309.898-65</t>
  </si>
  <si>
    <t>VICTOR ARAUJO COSTA SOARES</t>
  </si>
  <si>
    <t>426.472.558-57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</si>
  <si>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</si>
  <si>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</si>
  <si>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</si>
  <si>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</si>
  <si>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</si>
  <si>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</si>
  <si>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ILDEFONSO RIBEIRO</t>
  </si>
  <si>
    <t>707.196.484-08</t>
  </si>
  <si>
    <t>VICTOR GABRIEL MEDEIROS BARBOSA</t>
  </si>
  <si>
    <t>494.211.098-05</t>
  </si>
  <si>
    <t>VICTOR HUGO DA SILVA</t>
  </si>
  <si>
    <t>445.392.758-44</t>
  </si>
  <si>
    <t>VICTOR HUGO DE SOUZA CASTILHO</t>
  </si>
  <si>
    <t>426.152.588-77</t>
  </si>
  <si>
    <t>VICTOR HUGO DE TOLEDO FARIA</t>
  </si>
  <si>
    <t>457.712.888-88</t>
  </si>
  <si>
    <t>VICTOR HUGO FONSECA MIRANDA</t>
  </si>
  <si>
    <t>120.136.126-56</t>
  </si>
  <si>
    <t>VICTOR HUGO GARBIM OLIVEIRA</t>
  </si>
  <si>
    <t>483.040.248-29</t>
  </si>
  <si>
    <t>VICTOR MATHEUS LEAL VELOZO</t>
  </si>
  <si>
    <t>065.390.303-04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</si>
  <si>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</si>
  <si>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</si>
  <si>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</si>
  <si>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</si>
  <si>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</si>
  <si>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</si>
  <si>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PIRES GOUVÊA</t>
  </si>
  <si>
    <t>415.428.458-40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</si>
  <si>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</si>
  <si>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</si>
  <si>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</si>
  <si>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</si>
  <si>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</si>
  <si>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</si>
  <si>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</si>
  <si>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</si>
  <si>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Borges trunkl</t>
  </si>
  <si>
    <t>552.655.558-54</t>
  </si>
  <si>
    <t>VICTORIA CRISTINA CARLINI</t>
  </si>
  <si>
    <t>244.238.218-00</t>
  </si>
  <si>
    <t>VICTÓRIA CRISTINA DE FARIA</t>
  </si>
  <si>
    <t>448.646.358-70</t>
  </si>
  <si>
    <t>Victoria de Oliveira Brito</t>
  </si>
  <si>
    <t>549.450.348-85</t>
  </si>
  <si>
    <t>VICTORIA RAFAELA NAZARIO CONCEICAO</t>
  </si>
  <si>
    <t>413.566.438-50</t>
  </si>
  <si>
    <t>VIEIRA COMERCIAL E DISTRIBUIDORA LTDA</t>
  </si>
  <si>
    <t>51.389.075/0001-47</t>
  </si>
  <si>
    <t>VIER PHARMA DISTRIBUIDORA HOSPITALAR, REPRESENTACAO E CONSULTORIA LTDA</t>
  </si>
  <si>
    <t>12.419.620/0001-49</t>
  </si>
  <si>
    <t>VILA DE ASSISTENCIA E PROTECAO DOS INDIVIDUOS</t>
  </si>
  <si>
    <t>96.488.556/0001-48</t>
  </si>
  <si>
    <t>VILANI &amp; SILVA CONFECCOES LTDA</t>
  </si>
  <si>
    <t>52.256.404/0001-44</t>
  </si>
  <si>
    <t>VILENE DA SILVA MANTA</t>
  </si>
  <si>
    <t>312.524.728-46</t>
  </si>
  <si>
    <t>VILLA AGENCIA DE TURISMO LTDA</t>
  </si>
  <si>
    <t>12.100.779/0001-04</t>
  </si>
  <si>
    <t>VILMA DE FATIMA CORREA DE SA</t>
  </si>
  <si>
    <t>256.937.118-11</t>
  </si>
  <si>
    <t>VILSON ALVES DE PAULA</t>
  </si>
  <si>
    <t>059.679.686-28</t>
  </si>
  <si>
    <t>Vinicius Abraão de Souza</t>
  </si>
  <si>
    <t>528.801.888-06</t>
  </si>
  <si>
    <t>VINICIUS ALVES LESSA PAULA</t>
  </si>
  <si>
    <t>116.390.864-98</t>
  </si>
  <si>
    <t>VINICIUS ANDREI GOBBI GANDRA</t>
  </si>
  <si>
    <t>425.665.058-02</t>
  </si>
  <si>
    <t>VINICIUS ARILDO BISPO DA SILVA</t>
  </si>
  <si>
    <t>499.970.458-74</t>
  </si>
  <si>
    <t>VINICIUS AUGUSTO SOUZA DIAS</t>
  </si>
  <si>
    <t>107.104.906-23</t>
  </si>
  <si>
    <t>Vinicius Barros Santos</t>
  </si>
  <si>
    <t>427.870.078-48</t>
  </si>
  <si>
    <t>VINICIUS BASSI DINIZ CAETANO</t>
  </si>
  <si>
    <t>536.039.388-28</t>
  </si>
  <si>
    <t>VINICIUS BENTO MAGALHAES</t>
  </si>
  <si>
    <t>474.647.568-78</t>
  </si>
  <si>
    <t>VINICIUS BETTINI DIAS</t>
  </si>
  <si>
    <t>545.848.438-05</t>
  </si>
  <si>
    <t>VINICIUS BUSSI FERNANDES</t>
  </si>
  <si>
    <t>373.534.458-58</t>
  </si>
  <si>
    <t>VINICIUS CHULUCK DA FONSECA</t>
  </si>
  <si>
    <t>345.718.868-88</t>
  </si>
  <si>
    <t>VINICIUS DA CRUZ BARBOSA</t>
  </si>
  <si>
    <t>504.995.928-40</t>
  </si>
  <si>
    <t>VINICIUS DANKER SOUZA BERTO</t>
  </si>
  <si>
    <t>357.899.018-32</t>
  </si>
  <si>
    <t>VINICIUS DENIS DE ALMEIDA OLIVEIRA</t>
  </si>
  <si>
    <t>500.309.758-16</t>
  </si>
  <si>
    <t>VINICIUS DOS SANTOS MARTINS</t>
  </si>
  <si>
    <t>475.764.778-65</t>
  </si>
  <si>
    <t>Vinicius Floriano Bispo</t>
  </si>
  <si>
    <t>367.086.278-17</t>
  </si>
  <si>
    <t>Vinicius Gabriel Martins de Almeida</t>
  </si>
  <si>
    <t>329.319.378-19</t>
  </si>
  <si>
    <t>VINICIUS GUIDORENI NADER MOTA</t>
  </si>
  <si>
    <t>105.205.307-64</t>
  </si>
  <si>
    <t>VINICIUS JOSE DA SILVA</t>
  </si>
  <si>
    <t>444.445.898-41</t>
  </si>
  <si>
    <t>Vinicius Lo Russo Villafranca Otero</t>
  </si>
  <si>
    <t>512.316.588-60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</si>
  <si>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</si>
  <si>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</si>
  <si>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</si>
  <si>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</si>
  <si>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</si>
  <si>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</si>
  <si>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</si>
  <si>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</si>
  <si>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RIBEIRO DA SILVA</t>
  </si>
  <si>
    <t>527.578.948-38</t>
  </si>
  <si>
    <t>VINICIUS RICARDO ALBINO</t>
  </si>
  <si>
    <t>456.006.738-41</t>
  </si>
  <si>
    <t>VINICIUS RODRIGUES DOS SANTOS</t>
  </si>
  <si>
    <t>421.370.748-26</t>
  </si>
  <si>
    <t>Vinícius Santos Costa</t>
  </si>
  <si>
    <t>359.285.378-32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</si>
  <si>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</si>
  <si>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</si>
  <si>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</si>
  <si>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</si>
  <si>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</si>
  <si>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</si>
  <si>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</si>
  <si>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</si>
  <si>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</si>
  <si>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</si>
  <si>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VISIONA TECNOLOGIA ESPACIAL S.A.</t>
  </si>
  <si>
    <t>13.944.554/0001-99</t>
  </si>
  <si>
    <t>VISUAL LASER LTDA</t>
  </si>
  <si>
    <t>18.110.347/0001-52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</si>
  <si>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</si>
  <si>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</si>
  <si>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</si>
  <si>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</si>
  <si>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</si>
  <si>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</si>
  <si>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VITANET COM. DE EQUIP. &amp; TRANSP. RODOV.</t>
  </si>
  <si>
    <t>12.185.204/0001-23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</si>
  <si>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</si>
  <si>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</si>
  <si>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</si>
  <si>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</si>
  <si>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</si>
  <si>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</si>
  <si>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FABIO MARTINS TOLEDO</t>
  </si>
  <si>
    <t>222.626.188-52</t>
  </si>
  <si>
    <t>Vitor Fortes Paulina</t>
  </si>
  <si>
    <t>545.184.788-60</t>
  </si>
  <si>
    <t>Vitor Gabriel de Azevedo Rocha</t>
  </si>
  <si>
    <t>486.548.518-05</t>
  </si>
  <si>
    <t>VITOR GABRIEL SOARES DE OLIVEIRA</t>
  </si>
  <si>
    <t>512.225.638-19</t>
  </si>
  <si>
    <t>VITOR GOMES DE OLIVEIRA</t>
  </si>
  <si>
    <t>575.532.728-92</t>
  </si>
  <si>
    <t>VITOR HIDEAKI YOSHIDA</t>
  </si>
  <si>
    <t>328.481.868-52</t>
  </si>
  <si>
    <t>Vitor Hugo da Costa</t>
  </si>
  <si>
    <t>180.248.647-03</t>
  </si>
  <si>
    <t>VITOR HUGO DE SENNA FARES</t>
  </si>
  <si>
    <t>462.756.768-50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</si>
  <si>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</si>
  <si>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</si>
  <si>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</si>
  <si>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</si>
  <si>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</si>
  <si>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</si>
  <si>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</si>
  <si>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</si>
  <si>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</si>
  <si>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</si>
  <si>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Vitor Silvério Narcizo</t>
  </si>
  <si>
    <t>432.782.538-76</t>
  </si>
  <si>
    <t>VITORIA ALVES DOS SANTOS</t>
  </si>
  <si>
    <t>476.011.208-13</t>
  </si>
  <si>
    <t>Vitória Carolina Pantaleão Batalha Brandi</t>
  </si>
  <si>
    <t>535.539.018-88</t>
  </si>
  <si>
    <t>VITORIA CAROLINE DA SILVA CUNHA</t>
  </si>
  <si>
    <t>505.149.818-30</t>
  </si>
  <si>
    <t>VITORIA CAROLINE DE FREITAS VELOSO</t>
  </si>
  <si>
    <t>410.931.248-57</t>
  </si>
  <si>
    <t>VITORIA CORDEIRO DOS SANTOS</t>
  </si>
  <si>
    <t>692.169.838-68</t>
  </si>
  <si>
    <t>VITORIA CRISTINA DE ARAUJO COELHO</t>
  </si>
  <si>
    <t>377.399.048-05</t>
  </si>
  <si>
    <t>Vitoria de Souza Faria</t>
  </si>
  <si>
    <t>443.801.918-42</t>
  </si>
  <si>
    <t>VITORIA EMILY GOULART</t>
  </si>
  <si>
    <t>478.533.238-75</t>
  </si>
  <si>
    <t>VITORIA GEOVANA GOMES DA SILVA</t>
  </si>
  <si>
    <t>561.058.188-58</t>
  </si>
  <si>
    <t>Vitória Hellen Moreira Maia</t>
  </si>
  <si>
    <t>398.993.758-88</t>
  </si>
  <si>
    <t>Vitória Jordão Petzol de Siqueira</t>
  </si>
  <si>
    <t>514.755.368-10</t>
  </si>
  <si>
    <t>VITORIA NOGUEIRA GUEDES</t>
  </si>
  <si>
    <t>478.582.968-09</t>
  </si>
  <si>
    <t>VITORIA SABRINA GOMES DOS SANTOS</t>
  </si>
  <si>
    <t>519.700.808-33</t>
  </si>
  <si>
    <t>VITORIA SANTOS BACHIAO</t>
  </si>
  <si>
    <t>479.562.738-03</t>
  </si>
  <si>
    <t>VITORIA WENIFFWE CAMPOS REZENDE</t>
  </si>
  <si>
    <t>538.995.428-94</t>
  </si>
  <si>
    <t>VITORIA YARA ANGELO SANCHES</t>
  </si>
  <si>
    <t>434.332.488-50</t>
  </si>
  <si>
    <t>VITORINO FILOMON PINTO DA SILVA</t>
  </si>
  <si>
    <t>547.697.288-91</t>
  </si>
  <si>
    <t>VIVELIN FAUSTINA ABRAO JACOB CURI</t>
  </si>
  <si>
    <t>273.636.878-97</t>
  </si>
  <si>
    <t>VIVIAN CABRAL BORGES</t>
  </si>
  <si>
    <t>308.003.678-63</t>
  </si>
  <si>
    <t>VIVIAN VIEIRA ROBERTO</t>
  </si>
  <si>
    <t>124.583.376-60</t>
  </si>
  <si>
    <t>VIVIANE ALVES DE SOUSA</t>
  </si>
  <si>
    <t>464.217.708-60</t>
  </si>
  <si>
    <t>VIVIANE APARECIDA DOS SANTOS</t>
  </si>
  <si>
    <t>060.304.237-62</t>
  </si>
  <si>
    <t>VIVIANE APARECIDA DOS SANTOS VIEIRA</t>
  </si>
  <si>
    <t>329.897.498-61</t>
  </si>
  <si>
    <t>VIVIANE APARECIDA MACIEL DE MIRANDA</t>
  </si>
  <si>
    <t>325.371.738-05</t>
  </si>
  <si>
    <t>VIVIANE CARDOSO DE ALMEIDA</t>
  </si>
  <si>
    <t>455.306.668-84</t>
  </si>
  <si>
    <t>VIVIANE CRISTINA REIS</t>
  </si>
  <si>
    <t>110.203.328-67</t>
  </si>
  <si>
    <t>VIVIANE DE PAULA OLIVEIRA</t>
  </si>
  <si>
    <t>368.824.128-20</t>
  </si>
  <si>
    <t>VIVIANE DE SA NUNES DOS SANTOS</t>
  </si>
  <si>
    <t>511.461.918-71</t>
  </si>
  <si>
    <t>VIVIANE DIAS DA SILVEIRA</t>
  </si>
  <si>
    <t>386.084.408-30</t>
  </si>
  <si>
    <t>VIVIANE DOS SANTOS</t>
  </si>
  <si>
    <t>384.660.518-21</t>
  </si>
  <si>
    <t>VIVIANE FERNANDES DO AMARAL CORREA</t>
  </si>
  <si>
    <t>226.974.838-70</t>
  </si>
  <si>
    <t>VIVIANE HELOISA VALERIO</t>
  </si>
  <si>
    <t>345.138.468-01</t>
  </si>
  <si>
    <t>VIVIANE JORDAO SOUZA</t>
  </si>
  <si>
    <t>380.125.528-09</t>
  </si>
  <si>
    <t>VIVIANE REZENDE COSTA</t>
  </si>
  <si>
    <t>283.046.288-21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</si>
  <si>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</si>
  <si>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</si>
  <si>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</si>
  <si>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</si>
  <si>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</si>
  <si>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</si>
  <si>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</si>
  <si>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</si>
  <si>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</si>
  <si>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</si>
  <si>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</si>
  <si>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</si>
  <si>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VR COSTA SERVIÇOS DE TRANSPORTES</t>
  </si>
  <si>
    <t>49.915.512/0001-77</t>
  </si>
  <si>
    <t>V.R. VALADARES SUPRIMENTOS LTDA</t>
  </si>
  <si>
    <t>15.442.606/0001-54</t>
  </si>
  <si>
    <t>VS COMERCIO LTDA</t>
  </si>
  <si>
    <t>02.049.998/0001-44</t>
  </si>
  <si>
    <t>V.S. MOURA &amp; S.L. MOURA LTDA - EPP</t>
  </si>
  <si>
    <t>72.703.721/0001-79</t>
  </si>
  <si>
    <t>VZO ENGENHARIA LTDA.</t>
  </si>
  <si>
    <t>04.919.942/0001-29</t>
  </si>
  <si>
    <t>W &amp; E SANTOS TRANSPORTES LTDA</t>
  </si>
  <si>
    <t>49.555.296/0001-04</t>
  </si>
  <si>
    <t>W. A. MONTEIRO ENGENHARIA</t>
  </si>
  <si>
    <t>38.076.958/0001-39</t>
  </si>
  <si>
    <t>W. M. R. TRANSPORTES LTDA-ME</t>
  </si>
  <si>
    <t>10.329.069/0001-17</t>
  </si>
  <si>
    <t>WAGNER ALVES DA SILVA</t>
  </si>
  <si>
    <t>301.851.588-97</t>
  </si>
  <si>
    <t>Wagner da Silva Santos</t>
  </si>
  <si>
    <t>508.330.588-78</t>
  </si>
  <si>
    <t>WAGNER DE PAULA RODRIGUES</t>
  </si>
  <si>
    <t>291.488.568-78</t>
  </si>
  <si>
    <t>WAGNER DO CARMO BRUNO FILHO</t>
  </si>
  <si>
    <t>335.537.708-21</t>
  </si>
  <si>
    <t>Wagner João da Silva Mariano</t>
  </si>
  <si>
    <t>294.400.998-28</t>
  </si>
  <si>
    <t>Wagner Mendes Quirino</t>
  </si>
  <si>
    <t>284.541.368-86</t>
  </si>
  <si>
    <t>WAGNER MOREIRA  DE JESUS ARRUDA</t>
  </si>
  <si>
    <t>271.964.288-62</t>
  </si>
  <si>
    <t>WAGNER MOREIRA DE PAULA</t>
  </si>
  <si>
    <t>389.022.628-04</t>
  </si>
  <si>
    <t>WAGNER ROBERTO DE SOUZA</t>
  </si>
  <si>
    <t>221.409.528-47</t>
  </si>
  <si>
    <t>WAGNER RODRIGUES</t>
  </si>
  <si>
    <t>038.674.498-05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</si>
  <si>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</si>
  <si>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</si>
  <si>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</si>
  <si>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</si>
  <si>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</si>
  <si>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</si>
  <si>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</si>
  <si>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</si>
  <si>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WALDLUCIA DE OLIVEIRA SANTOS</t>
  </si>
  <si>
    <t>043.913.626-19</t>
  </si>
  <si>
    <t>WALDOMIRO J. DE SALES TRANSPORTES LTDA</t>
  </si>
  <si>
    <t>23.801.342/0001-06</t>
  </si>
  <si>
    <t>WALDOMIRO JOSE DE SALES</t>
  </si>
  <si>
    <t>975.832.518-34</t>
  </si>
  <si>
    <t>WALKIRIA TASSIANI IMEDIATO VILA NOVA</t>
  </si>
  <si>
    <t>408.983.158-08</t>
  </si>
  <si>
    <t>WALLACE FERNANDO DOS SANTOS SOUSA</t>
  </si>
  <si>
    <t>406.361.498-03</t>
  </si>
  <si>
    <t>WALLACE HENRIQUE RIZZO DAS NEVES</t>
  </si>
  <si>
    <t>413.155.488-79</t>
  </si>
  <si>
    <t>WALLACE JADER COUTINHO NUNES FREIRE</t>
  </si>
  <si>
    <t>313.699.008-05</t>
  </si>
  <si>
    <t>WALLISON JOSE GONÇALVES LEAL</t>
  </si>
  <si>
    <t>390.098.338-01</t>
  </si>
  <si>
    <t>WALQUÍRIA GODÓI BARBOSA</t>
  </si>
  <si>
    <t>027.308.896-39</t>
  </si>
  <si>
    <t>WALQUIRIA TEODORO DA SILVA</t>
  </si>
  <si>
    <t>359.213.028-56</t>
  </si>
  <si>
    <t>WALTER AUGUSTO RUIVO JUNIOR</t>
  </si>
  <si>
    <t>261.935.228-24</t>
  </si>
  <si>
    <t>WALTER FERNANDES CANDELARIO</t>
  </si>
  <si>
    <t>076.609.728-55</t>
  </si>
  <si>
    <t>WALTER GOMES DA SILVA</t>
  </si>
  <si>
    <t>272.858.298-03</t>
  </si>
  <si>
    <t>WALTER GOMES DE ARAUJO</t>
  </si>
  <si>
    <t>055.354.028-93</t>
  </si>
  <si>
    <t>WALTER OKAMOTO</t>
  </si>
  <si>
    <t>183.386.518-93</t>
  </si>
  <si>
    <t>Wanda Gregate</t>
  </si>
  <si>
    <t>135.288.808-48</t>
  </si>
  <si>
    <t>WANDERENE AGUIAR DE SALES</t>
  </si>
  <si>
    <t>062.421.138-05</t>
  </si>
  <si>
    <t>WANDERLY SILVERIO PRUDENTE</t>
  </si>
  <si>
    <t>075.428.896-05</t>
  </si>
  <si>
    <t>WANDERSON LANZILOTI DA SILVA</t>
  </si>
  <si>
    <t>45.391.442/0001-44</t>
  </si>
  <si>
    <t>Wanderson Silva Maciel</t>
  </si>
  <si>
    <t>293.954.728-98</t>
  </si>
  <si>
    <t>WANESSA DE LIMA</t>
  </si>
  <si>
    <t>342.939.848-79</t>
  </si>
  <si>
    <t>WANESSA KELLY EXPEDITO</t>
  </si>
  <si>
    <t>007.538.857-00</t>
  </si>
  <si>
    <t>WANESSA SOBRAL RESENDE PEREIRA</t>
  </si>
  <si>
    <t>063.919.616-03</t>
  </si>
  <si>
    <t>WANESSA SUELLEN SILVERIO</t>
  </si>
  <si>
    <t>513.089.558-47</t>
  </si>
  <si>
    <t>WASHINGTON ARAUJO GOMES</t>
  </si>
  <si>
    <t>325.230.488-09</t>
  </si>
  <si>
    <t xml:space="preserve">WASHINGTON LUIS FELIX MARCELINO	</t>
  </si>
  <si>
    <t>357.981.968-28</t>
  </si>
  <si>
    <t>WASHINGTON PRINCE RIBEIRO FONSECA</t>
  </si>
  <si>
    <t>431.096.398-66</t>
  </si>
  <si>
    <t>WASHINGTON ROSADO DE SOUZA</t>
  </si>
  <si>
    <t>288.888.998-63</t>
  </si>
  <si>
    <t>WASHINGTON VALDOMIRO DA SILVA</t>
  </si>
  <si>
    <t>226.090.338-00</t>
  </si>
  <si>
    <t>WEB RAST LTDA EPP</t>
  </si>
  <si>
    <t>14.693.103/0001-99</t>
  </si>
  <si>
    <t>WEBERSON ARTUR ALCANTARA DA SILVA</t>
  </si>
  <si>
    <t>428.526.718-75</t>
  </si>
  <si>
    <t>WEBJUR PROCESSAMENTO DE DADOS LTDA</t>
  </si>
  <si>
    <t>09.400.465/0001-04</t>
  </si>
  <si>
    <t>WELLEN CRISTINA MARIA CABRAL</t>
  </si>
  <si>
    <t>461.435.708-33</t>
  </si>
  <si>
    <t>WELLINGTON ALEXANDRE BAPTISTA</t>
  </si>
  <si>
    <t>440.280.808-19</t>
  </si>
  <si>
    <t>WELLINGTON ALEXANDRINO MACIEL DE LIMA</t>
  </si>
  <si>
    <t>455.012.928-07</t>
  </si>
  <si>
    <t>WELLINGTON BRUNO QUINTANILHA</t>
  </si>
  <si>
    <t>376.726.338-64</t>
  </si>
  <si>
    <t>WELLINGTON CARLOS DE OLIVEIRA</t>
  </si>
  <si>
    <t>286.247.748-61</t>
  </si>
  <si>
    <t>Wellington Claudio Gomes Castro</t>
  </si>
  <si>
    <t>426.278.068-66</t>
  </si>
  <si>
    <t>WELLINGTON DE LIMA TEIXEIRA</t>
  </si>
  <si>
    <t>248.434.798-70</t>
  </si>
  <si>
    <t>WELLINGTON JOHNNATHA SILVA DE SOUZ</t>
  </si>
  <si>
    <t>144.728.927-74</t>
  </si>
  <si>
    <t>WELLINGTON LUCAS FIRMINO</t>
  </si>
  <si>
    <t>376.273.118-70</t>
  </si>
  <si>
    <t>WELLINGTON LUIZ DE OLIVEIRA</t>
  </si>
  <si>
    <t>299.185.828-12</t>
  </si>
  <si>
    <t>WELLINGTON PEDRO DA SILVA</t>
  </si>
  <si>
    <t>180.378.348-67</t>
  </si>
  <si>
    <t>WELLINGTON RAFAEL FELIX DA SILVA</t>
  </si>
  <si>
    <t>226.209.918-97</t>
  </si>
  <si>
    <t>WENDA HANNE RICARDO DA CUNHA</t>
  </si>
  <si>
    <t>442.648.168-66</t>
  </si>
  <si>
    <t>WENDELL AMARAL DOS SANTOS</t>
  </si>
  <si>
    <t>279.988.818-60</t>
  </si>
  <si>
    <t>WENDELL LEVINO DOS SANTOS SABINO</t>
  </si>
  <si>
    <t>141.835.968-82</t>
  </si>
  <si>
    <t>Wendell Santana Malta</t>
  </si>
  <si>
    <t>564.545.848-60</t>
  </si>
  <si>
    <t>Wendelly Eduardo da Silva Coelho Cardoso</t>
  </si>
  <si>
    <t>579.769.718-16</t>
  </si>
  <si>
    <t>Wender Augusto Flausino Pereira</t>
  </si>
  <si>
    <t>435.104.038-60</t>
  </si>
  <si>
    <t>WENEIDNER MOURA DE SOUZA</t>
  </si>
  <si>
    <t>007.619.197-40</t>
  </si>
  <si>
    <t>WESLEY CICERO DE SOUZA</t>
  </si>
  <si>
    <t>392.624.818-10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</si>
  <si>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</si>
  <si>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</si>
  <si>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</si>
  <si>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</si>
  <si>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</si>
  <si>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</si>
  <si>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EVANDRO DE JESUS RIBEIRO</t>
  </si>
  <si>
    <t>341.222.788-99</t>
  </si>
  <si>
    <t>WESLEY HENRIQUE FERRAZ DA SILVA</t>
  </si>
  <si>
    <t>350.040.168-60</t>
  </si>
  <si>
    <t>WESLEY HENRIQUE GUIMARAES SANTOS</t>
  </si>
  <si>
    <t>361.122.538-01</t>
  </si>
  <si>
    <t>WESLEY HENRIQUE MONTEIRO REZENDE</t>
  </si>
  <si>
    <t>388.574.388-48</t>
  </si>
  <si>
    <t>WESLEY HENRIQUE SANTOS DE PAULA</t>
  </si>
  <si>
    <t>439.058.688-22</t>
  </si>
  <si>
    <t>WESLEY JOSE DA SILVA</t>
  </si>
  <si>
    <t>426.472.568-29</t>
  </si>
  <si>
    <t>WESLEY LUIZ DOS SANTOS</t>
  </si>
  <si>
    <t>500.862.338-90</t>
  </si>
  <si>
    <t>WESLEY MARCONDES PEIXOTO</t>
  </si>
  <si>
    <t>352.617.268-40</t>
  </si>
  <si>
    <t>WESLEY MICHAEL BARRA</t>
  </si>
  <si>
    <t>422.887.968-39</t>
  </si>
  <si>
    <t>WESLEY MIGUEL MORAIS</t>
  </si>
  <si>
    <t>588.368.448-39</t>
  </si>
  <si>
    <t>WESLEY MOREIRA DE SOUZA</t>
  </si>
  <si>
    <t>438.350.608-99</t>
  </si>
  <si>
    <t>WESLEY MOTA</t>
  </si>
  <si>
    <t>326.915.888-23</t>
  </si>
  <si>
    <t>Wesley Rodrigues Nogueira</t>
  </si>
  <si>
    <t>403.764.338-33</t>
  </si>
  <si>
    <t>WESLEY ROLDAN BOLCONT</t>
  </si>
  <si>
    <t>398.250.548-83</t>
  </si>
  <si>
    <t>WESLEY SANTOS DAS VIRGENS</t>
  </si>
  <si>
    <t>006.191.682-00</t>
  </si>
  <si>
    <t>WESLEY SCHIAVENIN FERREIRA</t>
  </si>
  <si>
    <t>388.559.548-65</t>
  </si>
  <si>
    <t>Weslley Laurintino da Silva</t>
  </si>
  <si>
    <t>385.054.358-77</t>
  </si>
  <si>
    <t>WESLLEY LUIS DOS SANTOS SOUSA</t>
  </si>
  <si>
    <t>406.363.388-86</t>
  </si>
  <si>
    <t>WF BATISTA TRANSPORTES LTDA</t>
  </si>
  <si>
    <t>35.729.043/0001-97</t>
  </si>
  <si>
    <t>WILDERSON DE MELLO TOLEDO</t>
  </si>
  <si>
    <t>292.046.298-94</t>
  </si>
  <si>
    <t>WILHELM DE PAULA PEQUENO</t>
  </si>
  <si>
    <t>418.936.568-88</t>
  </si>
  <si>
    <t>WILLERSON JACINTO DE ALMEIDA</t>
  </si>
  <si>
    <t>138.449.988-10</t>
  </si>
  <si>
    <t>WILLIAM ALMEIDA MOREIRA</t>
  </si>
  <si>
    <t>365.556.928-98</t>
  </si>
  <si>
    <t>WILLIAM ALVES PROENCA</t>
  </si>
  <si>
    <t>085.883.399-94</t>
  </si>
  <si>
    <t>WILLIAM APARECIDO DA CUNHA CLEMENTINO</t>
  </si>
  <si>
    <t>404.368.258-13</t>
  </si>
  <si>
    <t>WILLIAM CESAR DA MOTA</t>
  </si>
  <si>
    <t>21.890.531/0001-77</t>
  </si>
  <si>
    <t>WILLIAM DE JESUS NASCIMENTO</t>
  </si>
  <si>
    <t>118.594.676-44</t>
  </si>
  <si>
    <t>WILLIAM ELIVELTON DA SILVA SANTOS</t>
  </si>
  <si>
    <t>420.692.538-05</t>
  </si>
  <si>
    <t>WILLIAM ETCHEBEUR FERREIRA</t>
  </si>
  <si>
    <t>446.801.878-08</t>
  </si>
  <si>
    <t>WILLIAM FARIA DE FREITAS</t>
  </si>
  <si>
    <t>367.455.688-02</t>
  </si>
  <si>
    <t>WILLIAM JACKSON PENTEADO DA SILVA</t>
  </si>
  <si>
    <t>358.926.948-01</t>
  </si>
  <si>
    <t>WILLIAM LEITE DE OLIVEIRA</t>
  </si>
  <si>
    <t>290.986.238-08</t>
  </si>
  <si>
    <t>WILLIAM MATEUS ARANTES DA ROCHA MEDEIROS</t>
  </si>
  <si>
    <t>344.741.218-64</t>
  </si>
  <si>
    <t>WILLIAM PEREIRA DE LIMA</t>
  </si>
  <si>
    <t>353.715.688-08</t>
  </si>
  <si>
    <t>WILLIAM RIBEIRO DA SILVA</t>
  </si>
  <si>
    <t>445.537.668-25</t>
  </si>
  <si>
    <t>WILLIAM VIEIRA DE SOUSA</t>
  </si>
  <si>
    <t>230.747.048-45</t>
  </si>
  <si>
    <t>WILLIAN ADRIAN FERREIRA SANT’ANA</t>
  </si>
  <si>
    <t>506.521.568-51</t>
  </si>
  <si>
    <t>WILLIAN CUSTODIO FRANCA</t>
  </si>
  <si>
    <t>336.022.848-08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</si>
  <si>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</si>
  <si>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</si>
  <si>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</si>
  <si>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</si>
  <si>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</si>
  <si>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</si>
  <si>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 xml:space="preserve">WILLIAN MILLER DE SOUZA	</t>
  </si>
  <si>
    <t>352.977.618-16</t>
  </si>
  <si>
    <t>Willian Rafael de Morais</t>
  </si>
  <si>
    <t>517.606.238-06</t>
  </si>
  <si>
    <t>WILLIAN TORRES SILVA</t>
  </si>
  <si>
    <t>315.861.598-36</t>
  </si>
  <si>
    <t>Williane Martins</t>
  </si>
  <si>
    <t>342.279.418-22</t>
  </si>
  <si>
    <t>WILNEN WELLINGTON DO CARMO</t>
  </si>
  <si>
    <t>367.028.498-26</t>
  </si>
  <si>
    <t>WILSON ALBERTO DA SILVA JUNIOR</t>
  </si>
  <si>
    <t>415.974.318-85</t>
  </si>
  <si>
    <t>WILSON ALVES</t>
  </si>
  <si>
    <t>019.726.048-99</t>
  </si>
  <si>
    <t>Wilson de Paula Tobias da Silva</t>
  </si>
  <si>
    <t>445.231.698-02</t>
  </si>
  <si>
    <t>WILSON JOSE BATISTA</t>
  </si>
  <si>
    <t>159.499.918-00</t>
  </si>
  <si>
    <t>WILSON MARCOS DA SILVA</t>
  </si>
  <si>
    <t>138.402.738-62</t>
  </si>
  <si>
    <t>WILSON MOREIRA DOS SANTOS</t>
  </si>
  <si>
    <t>138.375.808-57</t>
  </si>
  <si>
    <t>WILTA MEILIANY TEIXEIRA SILVA</t>
  </si>
  <si>
    <t>355.330.068-00</t>
  </si>
  <si>
    <t>WINPACK COMERCIO DE EMBALAGENS E PA</t>
  </si>
  <si>
    <t>41.952.080/0001-62</t>
  </si>
  <si>
    <t>WLADIMIR FERREIRA LISBOA</t>
  </si>
  <si>
    <t>376.019.968-24</t>
  </si>
  <si>
    <t>Wlamir de Araujo</t>
  </si>
  <si>
    <t>330.993.246-04</t>
  </si>
  <si>
    <t>W.L.R. RITA PRESTACAO DE SERVICOS</t>
  </si>
  <si>
    <t>27.578.932/0001-72</t>
  </si>
  <si>
    <t>WM IMPORTACAO E EXPORTACAO DE MATERIAL HOSPITALAR LTDA.</t>
  </si>
  <si>
    <t>08.241.727/0001-72</t>
  </si>
  <si>
    <t>WORLDWIDE SEGURANCA LTDA</t>
  </si>
  <si>
    <t>16.815.585/0001-38</t>
  </si>
  <si>
    <t>WP COMERCIO DE GRAMA SINTETICA E ENGENHARIA ESPORTIVA LTDA</t>
  </si>
  <si>
    <t>17.825.080/0001-17</t>
  </si>
  <si>
    <t>WS GRILLO UNIFORMES E BRINDES LTDA</t>
  </si>
  <si>
    <t>51.762.951/0001-39</t>
  </si>
  <si>
    <t>WT SERVICOS LTDA</t>
  </si>
  <si>
    <t>48.772.656/0001-59</t>
  </si>
  <si>
    <t>YAGO DUTRA OLIVEIRA</t>
  </si>
  <si>
    <t>171.246.907-06</t>
  </si>
  <si>
    <t>YAGO HENRIQUE ORLANDO BERNARDO</t>
  </si>
  <si>
    <t>443.545.968-06</t>
  </si>
  <si>
    <t>Yago Labussiere</t>
  </si>
  <si>
    <t>701.556.891-85</t>
  </si>
  <si>
    <t>YAGO RENAN ALMEIDA CORREIA</t>
  </si>
  <si>
    <t>436.378.828-33</t>
  </si>
  <si>
    <t>Yagor Grokala Gorauskas</t>
  </si>
  <si>
    <t>545.872.528-08</t>
  </si>
  <si>
    <t>YAMAGROUP INDUSTRIA DE FERRAMENTAS ELETRO-MECANICAS LTDA</t>
  </si>
  <si>
    <t>23.475.077/0001-13</t>
  </si>
  <si>
    <t>YAMARO &amp; SUZUKI COMERCIO DE TINTAS LTDA</t>
  </si>
  <si>
    <t>09.535.016/0001-73</t>
  </si>
  <si>
    <t>YAMIEL LAKSHMI BAKTHIANANDA LINARES</t>
  </si>
  <si>
    <t>481.334.468-21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</si>
  <si>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</si>
  <si>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</si>
  <si>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</si>
  <si>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</si>
  <si>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</si>
  <si>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</si>
  <si>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</si>
  <si>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</si>
  <si>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DA SILVEIRA</t>
  </si>
  <si>
    <t>522.678.918-16</t>
  </si>
  <si>
    <t>YARA FLAUSINO GONÇALVES</t>
  </si>
  <si>
    <t>185.686.448-05</t>
  </si>
  <si>
    <t>YARA SIMAO RODRIGUES</t>
  </si>
  <si>
    <t>512.189.968-89</t>
  </si>
  <si>
    <t>YARA VITA DE OLIVEIRA</t>
  </si>
  <si>
    <t>461.092.908-23</t>
  </si>
  <si>
    <t>YASMIM ANDRADE DOS SANTOS</t>
  </si>
  <si>
    <t>438.323.138-18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</si>
  <si>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</si>
  <si>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</si>
  <si>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</si>
  <si>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</si>
  <si>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</si>
  <si>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</si>
  <si>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</si>
  <si>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</si>
  <si>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</si>
  <si>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</si>
  <si>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Bandeira de Lima</t>
  </si>
  <si>
    <t>488.590.258-42</t>
  </si>
  <si>
    <t>YASMIN BARBOSA MOTA</t>
  </si>
  <si>
    <t>590.249.958-50</t>
  </si>
  <si>
    <t>YASMIN DOS SANTOS PEREIRA</t>
  </si>
  <si>
    <t>531.141.308-52</t>
  </si>
  <si>
    <t>YASMIN GABRIELLE SANTOS CARVALHO</t>
  </si>
  <si>
    <t>465.332.588-00</t>
  </si>
  <si>
    <t>YASMIN GIMENES CARNEIRO AFONSO</t>
  </si>
  <si>
    <t>462.712.378-78</t>
  </si>
  <si>
    <t>YASMIN KELLY OLIVEIRA DE SOUZA</t>
  </si>
  <si>
    <t>524.185.478-92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</si>
  <si>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</si>
  <si>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</si>
  <si>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</si>
  <si>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</si>
  <si>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</si>
  <si>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</si>
  <si>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</si>
  <si>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</si>
  <si>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SILVA BRITO</t>
  </si>
  <si>
    <t>410.282.598-32</t>
  </si>
  <si>
    <t>Yasmin Souza Ferreira</t>
  </si>
  <si>
    <t>148.309.744-78</t>
  </si>
  <si>
    <t>YASMIN STEFANY DOS SANTOS AMARAL</t>
  </si>
  <si>
    <t>457.752.468-61</t>
  </si>
  <si>
    <t>YC YOUR COMPANY COMERCIO E APOIO ADMINISTRATIVO LTDA - ME</t>
  </si>
  <si>
    <t>20.442.177/0001-55</t>
  </si>
  <si>
    <t>YEDA CRISTINA SALES</t>
  </si>
  <si>
    <t>362.983.168-09</t>
  </si>
  <si>
    <t>YELLOW BUS TRANSPORTES E SERVICOS LTDA</t>
  </si>
  <si>
    <t>60.803.259/0001-00</t>
  </si>
  <si>
    <t>YGOR MATHEUS LUIZ VENANCIO</t>
  </si>
  <si>
    <t>522.847.628-83</t>
  </si>
  <si>
    <t>YGOR OTAVIO SILVA</t>
  </si>
  <si>
    <t>427.196.768-88</t>
  </si>
  <si>
    <t>YONE MOREIRA MOMILLI MEDEIROS DE SOUZA</t>
  </si>
  <si>
    <t>201.901.998-14</t>
  </si>
  <si>
    <t>Yorrana Vitória Conceição Lopes de Souza</t>
  </si>
  <si>
    <t>528.481.548-37</t>
  </si>
  <si>
    <t>YOSHIUKI MIYAHARA</t>
  </si>
  <si>
    <t>167.561.298-64</t>
  </si>
  <si>
    <t>YOUMAIS DENTAL PRODUTOS ODONTOLOGICOS LTDA</t>
  </si>
  <si>
    <t>46.159.819/0001-05</t>
  </si>
  <si>
    <t>YURI GOMES DE ANDRADE</t>
  </si>
  <si>
    <t>507.996.458-85</t>
  </si>
  <si>
    <t>YURI RODOLFO PEREIRA MORENO</t>
  </si>
  <si>
    <t>344.302.778-42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</si>
  <si>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</si>
  <si>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</si>
  <si>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</si>
  <si>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</si>
  <si>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</si>
  <si>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</si>
  <si>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ZAIRA PADILHA SOCIEDADE DE ADVOGADOS</t>
  </si>
  <si>
    <t>11.189.031/0001-59</t>
  </si>
  <si>
    <t>ZANDRO CORREIA LEITE</t>
  </si>
  <si>
    <t>420.075.638-27</t>
  </si>
  <si>
    <t>ZANETTI VIGILANCIA E SEGURANCA LTDA</t>
  </si>
  <si>
    <t>28.005.337/0001-00</t>
  </si>
  <si>
    <t>ZELIA MARIA DA SILVA PACHECO</t>
  </si>
  <si>
    <t>081.173.828-06</t>
  </si>
  <si>
    <t>ZELIA PROCORRO DA SILVA</t>
  </si>
  <si>
    <t>246.214.778-03</t>
  </si>
  <si>
    <t>ZELINDA SILVA GUIMARAES</t>
  </si>
  <si>
    <t>132.544.298-42</t>
  </si>
  <si>
    <t>ZELMA OLIMPIA BANDEIRA SANTOLIN MORAES</t>
  </si>
  <si>
    <t>250.352.758-25</t>
  </si>
  <si>
    <t>ZETA VISION COMERCIO DE PRODUTOS OTICOS LTDA</t>
  </si>
  <si>
    <t>08.278.888/0001-30</t>
  </si>
  <si>
    <t>ZEUS COMERCIAL LTDA</t>
  </si>
  <si>
    <t>34.840.358/0001-44</t>
  </si>
  <si>
    <t>ZILDA GUEDES DA SILVA</t>
  </si>
  <si>
    <t>849.571.826-04</t>
  </si>
  <si>
    <t>ZILDA PEQUENO DE SOUZA</t>
  </si>
  <si>
    <t>025.988.298-40</t>
  </si>
  <si>
    <t>ZION COMERCIO E SERVICOS DE INFORMATICA LTDA</t>
  </si>
  <si>
    <t>08.933.804/0001-55</t>
  </si>
  <si>
    <t>ZION SOLUCOES INDUSTRIAIS EIRELI</t>
  </si>
  <si>
    <t>27.162.832/0001-60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</si>
  <si>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</si>
  <si>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</si>
  <si>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</si>
  <si>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</si>
  <si>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</si>
  <si>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</si>
  <si>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15.443.939 LUIZ CLAUDIO DE PALMA</t>
  </si>
  <si>
    <t>15.443.939/0001-06</t>
  </si>
  <si>
    <t>17.138.159 AUIRA ARIAK BOAINAIN</t>
  </si>
  <si>
    <t>17.138.159/0001-70</t>
  </si>
  <si>
    <t>17.275.053 MARCIO SUDA</t>
  </si>
  <si>
    <t>17.275.053/0001-18</t>
  </si>
  <si>
    <t>17.603.950 REGINALDO APARECIDO GUIMARAES</t>
  </si>
  <si>
    <t>17.603.950/0001-03</t>
  </si>
  <si>
    <t>19.372.972 RICARDO VERISSIMO SALEM</t>
  </si>
  <si>
    <t>19.372.972/0001-35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</si>
  <si>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</si>
  <si>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</si>
  <si>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</si>
  <si>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</si>
  <si>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</si>
  <si>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</si>
  <si>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</si>
  <si>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</si>
  <si>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2AB VISTA LINDA EMPREENDIMENTOS</t>
  </si>
  <si>
    <t>41.897.357/0001-00</t>
  </si>
  <si>
    <t>2M - COMERCIO DE ELETROELETRONICOS LTDA</t>
  </si>
  <si>
    <t>32.691.514/0001-27</t>
  </si>
  <si>
    <t>20.315.501 JOAQUIM ALVES DE LIMA NETTO</t>
  </si>
  <si>
    <t>20.315.501/0001-74</t>
  </si>
  <si>
    <t>23.442.573 JOSE AUGUSTO DE LIMA RODRIGUES</t>
  </si>
  <si>
    <t>23.442.573/0001-70</t>
  </si>
  <si>
    <t>24.166.406 SIDNEY OLIVEIRA DOS ANJOS</t>
  </si>
  <si>
    <t>24.166.406/0001-07</t>
  </si>
  <si>
    <t>24.457.177 RICARDO FELIPE DA FONSECA BARBOSA</t>
  </si>
  <si>
    <t>24.457.177/0001-80</t>
  </si>
  <si>
    <t>29.666.488 ZULEICA CARVALHO DOS SANTOS AMARAL</t>
  </si>
  <si>
    <t>29.666.488/0001-72</t>
  </si>
  <si>
    <t>3F CARE COMERCIO ATACADISTA E VAREJISTA DE INSUMOS HOSPITALARES E LABORATORIAIS LTDA</t>
  </si>
  <si>
    <t>42.323.649/0001-93</t>
  </si>
  <si>
    <t>300 COMERCIO, SERVICO E LOGISTICA EIRELI - EPP</t>
  </si>
  <si>
    <t>27.349.370/0001-95</t>
  </si>
  <si>
    <t>30.929.344 ZILDA APARECIDA DE PAULA</t>
  </si>
  <si>
    <t>30.929.344/0001-40</t>
  </si>
  <si>
    <t>31.032.382 AMABILE RIBEIRO CAIRES</t>
  </si>
  <si>
    <t>31.032.382/0001-69</t>
  </si>
  <si>
    <t>32.126.810 FERNANDO ROGOWSKY</t>
  </si>
  <si>
    <t>32.126.810/0001-85</t>
  </si>
  <si>
    <t>33.298.671 ADRIANO DA SILVA</t>
  </si>
  <si>
    <t>33.298.671/0001-30</t>
  </si>
  <si>
    <t>34.207.395 RENATA TATIANE DA SILVA CASTRO</t>
  </si>
  <si>
    <t>34.207.395/0001-10</t>
  </si>
  <si>
    <t>34.515.797 THIAGO DE SOUZA SANTOS</t>
  </si>
  <si>
    <t>34.515.797/0001-81</t>
  </si>
  <si>
    <t>35.384.070 ROMILDA GABRIELA CAMPOS DE ANDRADE PEREIRA</t>
  </si>
  <si>
    <t>35.384.070/0001-75</t>
  </si>
  <si>
    <t>37.395.740 JOSE CARLOS ROSSI</t>
  </si>
  <si>
    <t>37.395.740/0001-84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</si>
  <si>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</si>
  <si>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</si>
  <si>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</si>
  <si>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</si>
  <si>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</si>
  <si>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</si>
  <si>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</si>
  <si>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</si>
  <si>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</si>
  <si>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</si>
  <si>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</si>
  <si>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</si>
  <si>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43.490.868 ANDRE LUIZ PENTEADO DELPASSO</t>
  </si>
  <si>
    <t>43.490.868/0001-20</t>
  </si>
  <si>
    <t>44.523.516 CRISTIANE STEFANI SOUZA DE PAULA</t>
  </si>
  <si>
    <t>44.523.516/0001-96</t>
  </si>
  <si>
    <t>44.726.718 MARIANA SALARI PAULO DE LIMA</t>
  </si>
  <si>
    <t>44.726.718/0001-35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</si>
  <si>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</si>
  <si>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</si>
  <si>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</si>
  <si>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</si>
  <si>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</si>
  <si>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</si>
  <si>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46.019.846 PAULO ROBERTO DE PAIVA ROCHE</t>
  </si>
  <si>
    <t>46.019.846/0001-74</t>
  </si>
  <si>
    <t>46.214.187 KELLY APARECIDA MONTEIRO BATISTA</t>
  </si>
  <si>
    <t>46.214.187/0001-27</t>
  </si>
  <si>
    <t>47.511.926 MARCELO JOSE DO NASCIMENTO</t>
  </si>
  <si>
    <t>47.511.926/0001-05</t>
  </si>
  <si>
    <t>47.563.894 MAIARA WENCESLAU DOS SANTOS FERNANDES</t>
  </si>
  <si>
    <t>47.563.894/0001-91</t>
  </si>
  <si>
    <t>47.767.101 ROMARIO INES BATISTA DOS SANTOS</t>
  </si>
  <si>
    <t>47.767.101/0001-56</t>
  </si>
  <si>
    <t>47.820.787 PAOLA CRISTINA DOS SANTOS</t>
  </si>
  <si>
    <t>47.820.787/0001-00</t>
  </si>
  <si>
    <t>48.173.065 PATRICIA FERREIRA ALVES</t>
  </si>
  <si>
    <t>48.173.065/0001-65</t>
  </si>
  <si>
    <t>48.696.386 ACLES KALEB DE MORAIS NASCIMENTO</t>
  </si>
  <si>
    <t>48.696.386/0001-44</t>
  </si>
  <si>
    <t>49.255.960 MARCIO SOUZA MACEDO</t>
  </si>
  <si>
    <t>49.255.960/0001-91</t>
  </si>
  <si>
    <t>49.419.289 JULIANO DINIZ DE SOUZA</t>
  </si>
  <si>
    <t>49.419.289/0001-77</t>
  </si>
  <si>
    <t>49.572.245 JAQUELINE DE PAULA NUNES ALMEIDA</t>
  </si>
  <si>
    <t>49.572.245/0001-82</t>
  </si>
  <si>
    <t>5I SERVICOS DE MANUTENCAO LTDA</t>
  </si>
  <si>
    <t>18.376.396/0001-31</t>
  </si>
  <si>
    <t>5S COMERCIO VAREJISTA DE TINTAS E MATERIAIS PARA PINTURAS LTDA</t>
  </si>
  <si>
    <t>34.582.962/0001-18</t>
  </si>
  <si>
    <t>50X1 COMERCIO DE MADEIRAS LTDA</t>
  </si>
  <si>
    <t>11.255.149/0001-38</t>
  </si>
  <si>
    <t>50.009.203 BARBARA DI SANTO</t>
  </si>
  <si>
    <t>50.009.203/0001-17</t>
  </si>
  <si>
    <t>50.058.290 DIOGENES ALVES DE OLIVEIRA DOS SANTOS</t>
  </si>
  <si>
    <t>50.058.290/0001-00</t>
  </si>
  <si>
    <t>50.508.298 VANIELCIO APARECIDO DA SILVA</t>
  </si>
  <si>
    <t>50.508.298/0001-13</t>
  </si>
  <si>
    <t>50.657.122 DENILSON ANTONIO DA ROSA</t>
  </si>
  <si>
    <t>50.657.122/0001-23</t>
  </si>
  <si>
    <t>50.704.773 MATEUS DOMINGUES DE VASCONCELOS</t>
  </si>
  <si>
    <t>50.704.773/0001-27</t>
  </si>
  <si>
    <t>50.980.904 IVANA ASSIS DO NASCIMENTO TOSI</t>
  </si>
  <si>
    <t>50.980.904/0001-07</t>
  </si>
  <si>
    <t>50.999.209 CHARLES CORREA SANTOS</t>
  </si>
  <si>
    <t>50.999.209/0001-89</t>
  </si>
  <si>
    <t>51.120.170 GIULIA SANTOS DE PAULA</t>
  </si>
  <si>
    <t>51.120.170/0001-40</t>
  </si>
  <si>
    <t>51.530.237 VANESSA CRISTINA PINTO FERREIRA</t>
  </si>
  <si>
    <t>51.530.237/0001-15</t>
  </si>
  <si>
    <t>51.546.478 FERNANDA PAVONI MARTINS</t>
  </si>
  <si>
    <t>51.546.478/0001-52</t>
  </si>
  <si>
    <t>51.627.188 CRISTINA MACIEL MARTINS DA SILVA</t>
  </si>
  <si>
    <t>51.627.188/0001-33</t>
  </si>
  <si>
    <t>51.628.649 LEONARDO CORREIA QUIRINO</t>
  </si>
  <si>
    <t>51.628.649/0001-92</t>
  </si>
  <si>
    <t>52.560.002 AMILTON ELIAS DOS SANTOS</t>
  </si>
  <si>
    <t>52.560.002/0001-39</t>
  </si>
  <si>
    <t>52.955.565 SILENE DE ARAUJO GOMES LOURENCO</t>
  </si>
  <si>
    <t>52.955.565/0001-26</t>
  </si>
  <si>
    <t>53.046.304 BRUNO SOUZA LOPES</t>
  </si>
  <si>
    <t>53.046.304/0001-56</t>
  </si>
  <si>
    <t>53.174.188 ANDRE RODRIGUES DE ALMEIDA</t>
  </si>
  <si>
    <t>53.174.188/0001-50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</si>
  <si>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</si>
  <si>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</si>
  <si>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</si>
  <si>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</si>
  <si>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</si>
  <si>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</si>
  <si>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</si>
  <si>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</si>
  <si>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</si>
  <si>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</si>
  <si>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56.413.089 CLODOALDO DOS SANTOS</t>
  </si>
  <si>
    <t>56.413.089/0001-72</t>
  </si>
  <si>
    <t>57.760.678 DIEGO OLIVEIRA SOUZA</t>
  </si>
  <si>
    <t>57.760.678/0001-90</t>
  </si>
  <si>
    <t>58.729.238 CHRISTIAN AMARO RANGEL</t>
  </si>
  <si>
    <t>58.729.238/0001-32</t>
  </si>
  <si>
    <t>59.013.790 DIMAS DE SOUZA BORBA</t>
  </si>
  <si>
    <t>59.013.790/0001-92</t>
  </si>
  <si>
    <t>59.302.930 ANDRE DUARTE BATISTA</t>
  </si>
  <si>
    <t>59.302.930/0001-42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</si>
  <si>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</si>
  <si>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</si>
  <si>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</si>
  <si>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</si>
  <si>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</si>
  <si>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</si>
  <si>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</si>
  <si>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</si>
  <si>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</si>
  <si>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</si>
  <si>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</si>
  <si>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</si>
  <si>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</si>
  <si>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</si>
  <si>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61.334.221 DOUGLAS MENDES BARROS</t>
  </si>
  <si>
    <t>61.334.221/0001-90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</si>
  <si>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</si>
  <si>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</si>
  <si>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</si>
  <si>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</si>
  <si>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</si>
  <si>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</si>
  <si>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</si>
  <si>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</si>
  <si>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61.990.829 LUTERO JACOB DO NASCIMENTO BERNARDO CORREIA</t>
  </si>
  <si>
    <t>61.990.829/0001-73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</si>
  <si>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</si>
  <si>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</si>
  <si>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</si>
  <si>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</si>
  <si>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</si>
  <si>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</si>
  <si>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</si>
  <si>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</si>
  <si>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</si>
  <si>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</si>
  <si>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</si>
  <si>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</si>
  <si>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</si>
  <si>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</si>
  <si>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</si>
  <si>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Coluna10</t>
  </si>
  <si>
    <t>Coluna11</t>
  </si>
  <si>
    <t>Coluna12</t>
  </si>
  <si>
    <t>Coluna13</t>
  </si>
  <si>
    <t>Coluna14</t>
  </si>
  <si>
    <t>Coluna15</t>
  </si>
  <si>
    <t>Coluna16</t>
  </si>
  <si>
    <t>Coluna17</t>
  </si>
  <si>
    <t>Coluna18</t>
  </si>
  <si>
    <t>Coluna19</t>
  </si>
  <si>
    <t>Coluna20</t>
  </si>
  <si>
    <t>Coluna21</t>
  </si>
  <si>
    <t>Coluna22</t>
  </si>
  <si>
    <t>Coluna23</t>
  </si>
  <si>
    <t>Coluna24</t>
  </si>
  <si>
    <t>Coluna25</t>
  </si>
  <si>
    <t>Coluna26</t>
  </si>
  <si>
    <t>Coluna27</t>
  </si>
  <si>
    <t>Coluna28</t>
  </si>
  <si>
    <t>Coluna29</t>
  </si>
  <si>
    <t>Coluna30</t>
  </si>
  <si>
    <t>Coluna31</t>
  </si>
  <si>
    <t>Coluna32</t>
  </si>
  <si>
    <t>Coluna33</t>
  </si>
  <si>
    <t>Coluna34</t>
  </si>
  <si>
    <t>Coluna35</t>
  </si>
  <si>
    <t>Coluna36</t>
  </si>
  <si>
    <t>Coluna37</t>
  </si>
  <si>
    <t>Coluna38</t>
  </si>
  <si>
    <t>Coluna39</t>
  </si>
  <si>
    <t>Coluna40</t>
  </si>
  <si>
    <t>Coluna41</t>
  </si>
  <si>
    <t>Coluna42</t>
  </si>
  <si>
    <t>Coluna43</t>
  </si>
  <si>
    <t>Coluna44</t>
  </si>
  <si>
    <t>Coluna45</t>
  </si>
  <si>
    <t>Coluna46</t>
  </si>
  <si>
    <t>Coluna47</t>
  </si>
  <si>
    <t>Coluna48</t>
  </si>
  <si>
    <t>Coluna49</t>
  </si>
  <si>
    <t>Coluna50</t>
  </si>
  <si>
    <t>Coluna51</t>
  </si>
  <si>
    <t>Coluna52</t>
  </si>
  <si>
    <t>Coluna53</t>
  </si>
  <si>
    <t>Coluna54</t>
  </si>
  <si>
    <t>Coluna55</t>
  </si>
  <si>
    <t>Coluna56</t>
  </si>
  <si>
    <t>Coluna57</t>
  </si>
  <si>
    <t>Coluna58</t>
  </si>
  <si>
    <t>Coluna59</t>
  </si>
  <si>
    <t>Coluna60</t>
  </si>
  <si>
    <t>Coluna61</t>
  </si>
  <si>
    <t>Coluna62</t>
  </si>
  <si>
    <t>Coluna63</t>
  </si>
  <si>
    <t>Coluna64</t>
  </si>
  <si>
    <t>Coluna65</t>
  </si>
  <si>
    <t>Coluna66</t>
  </si>
  <si>
    <t>Coluna67</t>
  </si>
  <si>
    <t>Coluna68</t>
  </si>
  <si>
    <t>Coluna69</t>
  </si>
  <si>
    <t>Coluna70</t>
  </si>
  <si>
    <t>Coluna71</t>
  </si>
  <si>
    <t>Coluna72</t>
  </si>
  <si>
    <t>Coluna73</t>
  </si>
  <si>
    <t>Coluna74</t>
  </si>
  <si>
    <t>Coluna75</t>
  </si>
  <si>
    <t>Coluna76</t>
  </si>
  <si>
    <t>Coluna77</t>
  </si>
  <si>
    <t>Coluna78</t>
  </si>
  <si>
    <t>Coluna79</t>
  </si>
  <si>
    <t>Coluna80</t>
  </si>
  <si>
    <t>Coluna81</t>
  </si>
  <si>
    <t>Coluna82</t>
  </si>
  <si>
    <t>Coluna83</t>
  </si>
  <si>
    <t>Coluna84</t>
  </si>
  <si>
    <t>Coluna85</t>
  </si>
  <si>
    <t>Coluna86</t>
  </si>
  <si>
    <t>Coluna87</t>
  </si>
  <si>
    <t>Coluna88</t>
  </si>
  <si>
    <t>Coluna89</t>
  </si>
  <si>
    <t>Coluna90</t>
  </si>
  <si>
    <t>Coluna91</t>
  </si>
  <si>
    <t>Coluna92</t>
  </si>
  <si>
    <t>Coluna93</t>
  </si>
  <si>
    <t>Coluna94</t>
  </si>
  <si>
    <t>Coluna95</t>
  </si>
  <si>
    <t>Coluna96</t>
  </si>
  <si>
    <t>Coluna97</t>
  </si>
  <si>
    <t>Coluna98</t>
  </si>
  <si>
    <t>Coluna99</t>
  </si>
  <si>
    <t>Coluna100</t>
  </si>
  <si>
    <t>Coluna101</t>
  </si>
  <si>
    <t>Coluna102</t>
  </si>
  <si>
    <t>Coluna103</t>
  </si>
  <si>
    <t>Coluna104</t>
  </si>
  <si>
    <t>Coluna105</t>
  </si>
  <si>
    <t>Coluna106</t>
  </si>
  <si>
    <t>Coluna107</t>
  </si>
  <si>
    <t>Coluna108</t>
  </si>
  <si>
    <t>Coluna109</t>
  </si>
  <si>
    <t>Coluna110</t>
  </si>
  <si>
    <t>Coluna111</t>
  </si>
  <si>
    <t>Coluna112</t>
  </si>
  <si>
    <t>Coluna113</t>
  </si>
  <si>
    <t>Coluna114</t>
  </si>
  <si>
    <t>Coluna115</t>
  </si>
  <si>
    <t>Coluna116</t>
  </si>
  <si>
    <t>Coluna117</t>
  </si>
  <si>
    <t>Coluna118</t>
  </si>
  <si>
    <t>Coluna119</t>
  </si>
  <si>
    <t>Coluna120</t>
  </si>
  <si>
    <t>Coluna121</t>
  </si>
  <si>
    <t>Coluna122</t>
  </si>
  <si>
    <t>Coluna123</t>
  </si>
  <si>
    <t>Coluna124</t>
  </si>
  <si>
    <t>Coluna125</t>
  </si>
  <si>
    <t>Coluna126</t>
  </si>
  <si>
    <t>Coluna127</t>
  </si>
  <si>
    <t>Coluna128</t>
  </si>
  <si>
    <t>Coluna129</t>
  </si>
  <si>
    <t>Coluna130</t>
  </si>
  <si>
    <t>Coluna131</t>
  </si>
  <si>
    <t>Coluna132</t>
  </si>
  <si>
    <t>Coluna133</t>
  </si>
  <si>
    <t>Coluna134</t>
  </si>
  <si>
    <t>Coluna135</t>
  </si>
  <si>
    <t>Coluna136</t>
  </si>
  <si>
    <t>Coluna137</t>
  </si>
  <si>
    <t>Coluna138</t>
  </si>
  <si>
    <t>Coluna139</t>
  </si>
  <si>
    <t>Coluna140</t>
  </si>
  <si>
    <t>Coluna141</t>
  </si>
  <si>
    <t>Coluna142</t>
  </si>
  <si>
    <t>Coluna143</t>
  </si>
  <si>
    <t>Coluna144</t>
  </si>
  <si>
    <t>Coluna145</t>
  </si>
  <si>
    <t>Coluna146</t>
  </si>
  <si>
    <t>Coluna147</t>
  </si>
  <si>
    <t>Coluna148</t>
  </si>
  <si>
    <t>Coluna149</t>
  </si>
  <si>
    <t>Coluna150</t>
  </si>
  <si>
    <t>Coluna151</t>
  </si>
  <si>
    <t>Coluna152</t>
  </si>
  <si>
    <t>Coluna153</t>
  </si>
  <si>
    <t>Coluna154</t>
  </si>
  <si>
    <t>Coluna155</t>
  </si>
  <si>
    <t>Coluna156</t>
  </si>
  <si>
    <t>Coluna157</t>
  </si>
  <si>
    <t>Coluna158</t>
  </si>
  <si>
    <t>Coluna159</t>
  </si>
  <si>
    <t>Coluna160</t>
  </si>
  <si>
    <t>Coluna161</t>
  </si>
  <si>
    <t>Coluna162</t>
  </si>
  <si>
    <t>Coluna163</t>
  </si>
  <si>
    <t>Coluna164</t>
  </si>
  <si>
    <t>Coluna165</t>
  </si>
  <si>
    <t>Coluna166</t>
  </si>
  <si>
    <t>Coluna167</t>
  </si>
  <si>
    <t>Coluna168</t>
  </si>
  <si>
    <t>Coluna169</t>
  </si>
  <si>
    <t>Coluna170</t>
  </si>
  <si>
    <t>Coluna171</t>
  </si>
  <si>
    <t>Coluna172</t>
  </si>
  <si>
    <t>Coluna173</t>
  </si>
  <si>
    <t>Coluna174</t>
  </si>
  <si>
    <t>Coluna175</t>
  </si>
  <si>
    <t>Coluna176</t>
  </si>
  <si>
    <t>Coluna177</t>
  </si>
  <si>
    <t>Coluna178</t>
  </si>
  <si>
    <t>Coluna179</t>
  </si>
  <si>
    <t>Coluna180</t>
  </si>
  <si>
    <t>Coluna181</t>
  </si>
  <si>
    <t>Coluna182</t>
  </si>
  <si>
    <t>Coluna183</t>
  </si>
  <si>
    <t>Coluna184</t>
  </si>
  <si>
    <t>Coluna185</t>
  </si>
  <si>
    <t>Coluna186</t>
  </si>
  <si>
    <t>Coluna187</t>
  </si>
  <si>
    <t>Coluna188</t>
  </si>
  <si>
    <t>Coluna189</t>
  </si>
  <si>
    <t>Coluna190</t>
  </si>
  <si>
    <t>Coluna191</t>
  </si>
  <si>
    <t>Coluna192</t>
  </si>
  <si>
    <t>Coluna193</t>
  </si>
  <si>
    <t>Coluna194</t>
  </si>
  <si>
    <t>Coluna195</t>
  </si>
  <si>
    <t>Coluna196</t>
  </si>
  <si>
    <t>Coluna197</t>
  </si>
  <si>
    <t>Coluna198</t>
  </si>
  <si>
    <t>Coluna199</t>
  </si>
  <si>
    <t>Coluna200</t>
  </si>
  <si>
    <t>Coluna201</t>
  </si>
  <si>
    <t>Coluna202</t>
  </si>
  <si>
    <t>Coluna203</t>
  </si>
  <si>
    <t>Coluna204</t>
  </si>
  <si>
    <t>Coluna205</t>
  </si>
  <si>
    <t>Coluna206</t>
  </si>
  <si>
    <t>Coluna207</t>
  </si>
  <si>
    <t>Coluna208</t>
  </si>
  <si>
    <t>Coluna209</t>
  </si>
  <si>
    <t>Coluna210</t>
  </si>
  <si>
    <t>Coluna211</t>
  </si>
  <si>
    <t>Coluna212</t>
  </si>
  <si>
    <t>Coluna213</t>
  </si>
  <si>
    <t>Coluna214</t>
  </si>
  <si>
    <t>Coluna215</t>
  </si>
  <si>
    <t>Coluna216</t>
  </si>
  <si>
    <t>Coluna217</t>
  </si>
  <si>
    <t>Coluna218</t>
  </si>
  <si>
    <t>Coluna219</t>
  </si>
  <si>
    <t>Coluna220</t>
  </si>
  <si>
    <t>Coluna221</t>
  </si>
  <si>
    <t>Coluna222</t>
  </si>
  <si>
    <t>Coluna223</t>
  </si>
  <si>
    <t>Coluna224</t>
  </si>
  <si>
    <t>Coluna225</t>
  </si>
  <si>
    <t>Coluna226</t>
  </si>
  <si>
    <t>Coluna227</t>
  </si>
  <si>
    <t>Coluna228</t>
  </si>
  <si>
    <t>Coluna229</t>
  </si>
  <si>
    <t>Coluna230</t>
  </si>
  <si>
    <t>Coluna231</t>
  </si>
  <si>
    <t>Coluna232</t>
  </si>
  <si>
    <t>Coluna233</t>
  </si>
  <si>
    <t>Coluna234</t>
  </si>
  <si>
    <t>Coluna235</t>
  </si>
  <si>
    <t>Coluna236</t>
  </si>
  <si>
    <t>Coluna237</t>
  </si>
  <si>
    <t>Coluna238</t>
  </si>
  <si>
    <t>Coluna239</t>
  </si>
  <si>
    <t>Coluna240</t>
  </si>
  <si>
    <t>Coluna241</t>
  </si>
  <si>
    <t>Coluna242</t>
  </si>
  <si>
    <t>Coluna243</t>
  </si>
  <si>
    <t>Coluna244</t>
  </si>
  <si>
    <t>Coluna245</t>
  </si>
  <si>
    <t>Coluna246</t>
  </si>
  <si>
    <t>Coluna247</t>
  </si>
  <si>
    <t>Coluna248</t>
  </si>
  <si>
    <t>Coluna249</t>
  </si>
  <si>
    <t>Coluna250</t>
  </si>
  <si>
    <t>Coluna251</t>
  </si>
  <si>
    <t>Coluna252</t>
  </si>
  <si>
    <t>Coluna253</t>
  </si>
  <si>
    <t>Coluna254</t>
  </si>
  <si>
    <t>Coluna255</t>
  </si>
  <si>
    <t>Coluna256</t>
  </si>
  <si>
    <t>Coluna257</t>
  </si>
  <si>
    <t>Coluna258</t>
  </si>
  <si>
    <t>Coluna259</t>
  </si>
  <si>
    <t>Coluna260</t>
  </si>
  <si>
    <t>Coluna261</t>
  </si>
  <si>
    <t>Coluna262</t>
  </si>
  <si>
    <t>Coluna263</t>
  </si>
  <si>
    <t>Coluna264</t>
  </si>
  <si>
    <t>Coluna265</t>
  </si>
  <si>
    <t>Coluna266</t>
  </si>
  <si>
    <t>Coluna267</t>
  </si>
  <si>
    <t>Coluna268</t>
  </si>
  <si>
    <t>Coluna269</t>
  </si>
  <si>
    <t>Coluna270</t>
  </si>
  <si>
    <t>Coluna271</t>
  </si>
  <si>
    <t>Coluna272</t>
  </si>
  <si>
    <t>Coluna273</t>
  </si>
  <si>
    <t>Coluna274</t>
  </si>
  <si>
    <t>Coluna275</t>
  </si>
  <si>
    <t>Coluna276</t>
  </si>
  <si>
    <t>Coluna277</t>
  </si>
  <si>
    <t>Coluna278</t>
  </si>
  <si>
    <t>Coluna279</t>
  </si>
  <si>
    <t>Coluna280</t>
  </si>
  <si>
    <t>Coluna281</t>
  </si>
  <si>
    <t>Coluna282</t>
  </si>
  <si>
    <t>Coluna283</t>
  </si>
  <si>
    <t>Coluna284</t>
  </si>
  <si>
    <t>Coluna285</t>
  </si>
  <si>
    <t>Coluna286</t>
  </si>
  <si>
    <t>Coluna287</t>
  </si>
  <si>
    <t>Coluna288</t>
  </si>
  <si>
    <t>Coluna289</t>
  </si>
  <si>
    <t>Coluna290</t>
  </si>
  <si>
    <t>Coluna291</t>
  </si>
  <si>
    <t>Coluna292</t>
  </si>
  <si>
    <t>Coluna293</t>
  </si>
  <si>
    <t>Coluna294</t>
  </si>
  <si>
    <t>Coluna295</t>
  </si>
  <si>
    <t>Coluna296</t>
  </si>
  <si>
    <t>Coluna297</t>
  </si>
  <si>
    <t>Coluna298</t>
  </si>
  <si>
    <t>Coluna299</t>
  </si>
  <si>
    <t>Coluna300</t>
  </si>
  <si>
    <t>Coluna301</t>
  </si>
  <si>
    <t>Coluna302</t>
  </si>
  <si>
    <t>Coluna303</t>
  </si>
  <si>
    <t>Coluna304</t>
  </si>
  <si>
    <t>Coluna305</t>
  </si>
  <si>
    <t>Coluna306</t>
  </si>
  <si>
    <t>Coluna307</t>
  </si>
  <si>
    <t>Coluna308</t>
  </si>
  <si>
    <t>Coluna309</t>
  </si>
  <si>
    <t>Coluna310</t>
  </si>
  <si>
    <t>Coluna311</t>
  </si>
  <si>
    <t>Coluna312</t>
  </si>
  <si>
    <t>Coluna313</t>
  </si>
  <si>
    <t>Coluna314</t>
  </si>
  <si>
    <t>Coluna315</t>
  </si>
  <si>
    <t>Coluna316</t>
  </si>
  <si>
    <t>Coluna317</t>
  </si>
  <si>
    <t>Coluna318</t>
  </si>
  <si>
    <t>Coluna319</t>
  </si>
  <si>
    <t>Coluna320</t>
  </si>
  <si>
    <t>Coluna321</t>
  </si>
  <si>
    <t>Coluna322</t>
  </si>
  <si>
    <t>Coluna323</t>
  </si>
  <si>
    <t>Coluna324</t>
  </si>
  <si>
    <t>Coluna325</t>
  </si>
  <si>
    <t>Coluna326</t>
  </si>
  <si>
    <t>Coluna327</t>
  </si>
  <si>
    <t>Coluna328</t>
  </si>
  <si>
    <t>Coluna329</t>
  </si>
  <si>
    <t>Coluna330</t>
  </si>
  <si>
    <t>Coluna331</t>
  </si>
  <si>
    <t>Coluna332</t>
  </si>
  <si>
    <t>Coluna333</t>
  </si>
  <si>
    <t>Coluna334</t>
  </si>
  <si>
    <t>Coluna335</t>
  </si>
  <si>
    <t>Coluna336</t>
  </si>
  <si>
    <t>Coluna337</t>
  </si>
  <si>
    <t>Coluna338</t>
  </si>
  <si>
    <t>Coluna339</t>
  </si>
  <si>
    <t>Coluna340</t>
  </si>
  <si>
    <t>Coluna341</t>
  </si>
  <si>
    <t>Coluna342</t>
  </si>
  <si>
    <t>Coluna343</t>
  </si>
  <si>
    <t>Coluna344</t>
  </si>
  <si>
    <t>Coluna345</t>
  </si>
  <si>
    <t>Coluna346</t>
  </si>
  <si>
    <t>Coluna347</t>
  </si>
  <si>
    <t>Coluna348</t>
  </si>
  <si>
    <t>Coluna349</t>
  </si>
  <si>
    <t>Coluna350</t>
  </si>
  <si>
    <t>Coluna351</t>
  </si>
  <si>
    <t>Coluna352</t>
  </si>
  <si>
    <t>Coluna353</t>
  </si>
  <si>
    <t>Coluna354</t>
  </si>
  <si>
    <t>Coluna355</t>
  </si>
  <si>
    <t>Coluna356</t>
  </si>
  <si>
    <t>Coluna357</t>
  </si>
  <si>
    <t>Coluna358</t>
  </si>
  <si>
    <t>Coluna359</t>
  </si>
  <si>
    <t>Coluna360</t>
  </si>
  <si>
    <t>Coluna361</t>
  </si>
  <si>
    <t>Coluna362</t>
  </si>
  <si>
    <t>Coluna363</t>
  </si>
  <si>
    <t>Coluna364</t>
  </si>
  <si>
    <t>Coluna365</t>
  </si>
  <si>
    <t>Coluna366</t>
  </si>
  <si>
    <t>Coluna367</t>
  </si>
  <si>
    <t>Coluna368</t>
  </si>
  <si>
    <t>Coluna369</t>
  </si>
  <si>
    <t>Coluna370</t>
  </si>
  <si>
    <t>Coluna371</t>
  </si>
  <si>
    <t>Coluna372</t>
  </si>
  <si>
    <t>Coluna373</t>
  </si>
  <si>
    <t>Coluna374</t>
  </si>
  <si>
    <t>Coluna375</t>
  </si>
  <si>
    <t>Coluna376</t>
  </si>
  <si>
    <t>Coluna377</t>
  </si>
  <si>
    <t>Coluna378</t>
  </si>
  <si>
    <t>Coluna379</t>
  </si>
  <si>
    <t>Coluna380</t>
  </si>
  <si>
    <t>Coluna381</t>
  </si>
  <si>
    <t>Coluna382</t>
  </si>
  <si>
    <t>Coluna383</t>
  </si>
  <si>
    <t>Coluna384</t>
  </si>
  <si>
    <t>Coluna385</t>
  </si>
  <si>
    <t>Coluna386</t>
  </si>
  <si>
    <t>Coluna387</t>
  </si>
  <si>
    <t>Coluna388</t>
  </si>
  <si>
    <t>Coluna389</t>
  </si>
  <si>
    <t>Coluna390</t>
  </si>
  <si>
    <t>Coluna391</t>
  </si>
  <si>
    <t>Coluna392</t>
  </si>
  <si>
    <t>Coluna393</t>
  </si>
  <si>
    <t>Coluna394</t>
  </si>
  <si>
    <t>Coluna395</t>
  </si>
  <si>
    <t>Coluna396</t>
  </si>
  <si>
    <t>Coluna397</t>
  </si>
  <si>
    <t>Coluna398</t>
  </si>
  <si>
    <t>Coluna399</t>
  </si>
  <si>
    <t>Coluna400</t>
  </si>
  <si>
    <t>Coluna401</t>
  </si>
  <si>
    <t>Coluna402</t>
  </si>
  <si>
    <t>Coluna403</t>
  </si>
  <si>
    <t>Coluna404</t>
  </si>
  <si>
    <t>Coluna405</t>
  </si>
  <si>
    <t>Coluna406</t>
  </si>
  <si>
    <t>Coluna407</t>
  </si>
  <si>
    <t>Coluna408</t>
  </si>
  <si>
    <t>Coluna409</t>
  </si>
  <si>
    <t>Coluna410</t>
  </si>
  <si>
    <t>Coluna411</t>
  </si>
  <si>
    <t>Coluna412</t>
  </si>
  <si>
    <t>Coluna413</t>
  </si>
  <si>
    <t>Coluna414</t>
  </si>
  <si>
    <t>Coluna415</t>
  </si>
  <si>
    <t>Coluna416</t>
  </si>
  <si>
    <t>Coluna417</t>
  </si>
  <si>
    <t>Coluna418</t>
  </si>
  <si>
    <t>Coluna419</t>
  </si>
  <si>
    <t>Coluna420</t>
  </si>
  <si>
    <t>Coluna421</t>
  </si>
  <si>
    <t>Coluna422</t>
  </si>
  <si>
    <t>Coluna423</t>
  </si>
  <si>
    <t>Coluna424</t>
  </si>
  <si>
    <t>Coluna425</t>
  </si>
  <si>
    <t>Coluna426</t>
  </si>
  <si>
    <t>Coluna427</t>
  </si>
  <si>
    <t>Coluna428</t>
  </si>
  <si>
    <t>Coluna429</t>
  </si>
  <si>
    <t>Coluna430</t>
  </si>
  <si>
    <t>Coluna431</t>
  </si>
  <si>
    <t>Coluna432</t>
  </si>
  <si>
    <t>Coluna433</t>
  </si>
  <si>
    <t>Coluna434</t>
  </si>
  <si>
    <t>Coluna435</t>
  </si>
  <si>
    <t>Coluna436</t>
  </si>
  <si>
    <t>Coluna437</t>
  </si>
  <si>
    <t>Coluna438</t>
  </si>
  <si>
    <t>Coluna439</t>
  </si>
  <si>
    <t>Coluna440</t>
  </si>
  <si>
    <t>Coluna441</t>
  </si>
  <si>
    <t>Coluna442</t>
  </si>
  <si>
    <t>Coluna443</t>
  </si>
  <si>
    <t>Coluna444</t>
  </si>
  <si>
    <t>Coluna445</t>
  </si>
  <si>
    <t>Coluna446</t>
  </si>
  <si>
    <t>Coluna447</t>
  </si>
  <si>
    <t>Coluna448</t>
  </si>
  <si>
    <t>Coluna449</t>
  </si>
  <si>
    <t>Coluna450</t>
  </si>
  <si>
    <t>Coluna451</t>
  </si>
  <si>
    <t>Coluna452</t>
  </si>
  <si>
    <t>Coluna453</t>
  </si>
  <si>
    <t>Coluna454</t>
  </si>
  <si>
    <t>Coluna455</t>
  </si>
  <si>
    <t>Coluna456</t>
  </si>
  <si>
    <t>Coluna457</t>
  </si>
  <si>
    <t>Coluna458</t>
  </si>
  <si>
    <t>Coluna459</t>
  </si>
  <si>
    <t>Coluna460</t>
  </si>
  <si>
    <t>Coluna461</t>
  </si>
  <si>
    <t>Coluna462</t>
  </si>
  <si>
    <t>Coluna463</t>
  </si>
  <si>
    <t>Coluna464</t>
  </si>
  <si>
    <t>Coluna465</t>
  </si>
  <si>
    <t>Coluna466</t>
  </si>
  <si>
    <t>Coluna467</t>
  </si>
  <si>
    <t>Coluna468</t>
  </si>
  <si>
    <t>Coluna469</t>
  </si>
  <si>
    <t>Coluna470</t>
  </si>
  <si>
    <t>Coluna471</t>
  </si>
  <si>
    <t>Coluna472</t>
  </si>
  <si>
    <t>Coluna473</t>
  </si>
  <si>
    <t>Coluna474</t>
  </si>
  <si>
    <t>Coluna475</t>
  </si>
  <si>
    <t>Coluna476</t>
  </si>
  <si>
    <t>Coluna477</t>
  </si>
  <si>
    <t>Coluna478</t>
  </si>
  <si>
    <t>Coluna479</t>
  </si>
  <si>
    <t>Coluna480</t>
  </si>
  <si>
    <t>Coluna481</t>
  </si>
  <si>
    <t>Coluna482</t>
  </si>
  <si>
    <t>Coluna483</t>
  </si>
  <si>
    <t>Coluna484</t>
  </si>
  <si>
    <t>Coluna485</t>
  </si>
  <si>
    <t>Coluna486</t>
  </si>
  <si>
    <t>Coluna487</t>
  </si>
  <si>
    <t>Coluna488</t>
  </si>
  <si>
    <t>Coluna489</t>
  </si>
  <si>
    <t>Coluna490</t>
  </si>
  <si>
    <t>Coluna491</t>
  </si>
  <si>
    <t>Coluna492</t>
  </si>
  <si>
    <t>Coluna493</t>
  </si>
  <si>
    <t>Coluna494</t>
  </si>
  <si>
    <t>Coluna495</t>
  </si>
  <si>
    <t>Coluna496</t>
  </si>
  <si>
    <t>Coluna497</t>
  </si>
  <si>
    <t>Coluna498</t>
  </si>
  <si>
    <t>Coluna499</t>
  </si>
  <si>
    <t>Coluna500</t>
  </si>
  <si>
    <t>Coluna501</t>
  </si>
  <si>
    <t>Coluna502</t>
  </si>
  <si>
    <t>Coluna503</t>
  </si>
  <si>
    <t>Coluna504</t>
  </si>
  <si>
    <t>Coluna505</t>
  </si>
  <si>
    <t>Coluna506</t>
  </si>
  <si>
    <t>Coluna507</t>
  </si>
  <si>
    <t>Coluna508</t>
  </si>
  <si>
    <t>Coluna509</t>
  </si>
  <si>
    <t>Coluna510</t>
  </si>
  <si>
    <t>Coluna511</t>
  </si>
  <si>
    <t>Coluna512</t>
  </si>
  <si>
    <t>Coluna513</t>
  </si>
  <si>
    <t>Coluna514</t>
  </si>
  <si>
    <t>Coluna515</t>
  </si>
  <si>
    <t>Coluna516</t>
  </si>
  <si>
    <t>Coluna517</t>
  </si>
  <si>
    <t>Coluna518</t>
  </si>
  <si>
    <t>Coluna519</t>
  </si>
  <si>
    <t>Coluna520</t>
  </si>
  <si>
    <t>Coluna521</t>
  </si>
  <si>
    <t>Coluna522</t>
  </si>
  <si>
    <t>Coluna523</t>
  </si>
  <si>
    <t>Coluna524</t>
  </si>
  <si>
    <t>Coluna525</t>
  </si>
  <si>
    <t>Coluna526</t>
  </si>
  <si>
    <t>Coluna527</t>
  </si>
  <si>
    <t>Coluna528</t>
  </si>
  <si>
    <t>Coluna529</t>
  </si>
  <si>
    <t>Coluna530</t>
  </si>
  <si>
    <t>Coluna531</t>
  </si>
  <si>
    <t>Coluna532</t>
  </si>
  <si>
    <t>Coluna533</t>
  </si>
  <si>
    <t>Coluna534</t>
  </si>
  <si>
    <t>Coluna535</t>
  </si>
  <si>
    <t>Coluna536</t>
  </si>
  <si>
    <t>Coluna537</t>
  </si>
  <si>
    <t>Coluna538</t>
  </si>
  <si>
    <t>Coluna539</t>
  </si>
  <si>
    <t>Coluna540</t>
  </si>
  <si>
    <t>Coluna541</t>
  </si>
  <si>
    <t>Coluna542</t>
  </si>
  <si>
    <t>Coluna543</t>
  </si>
  <si>
    <t>Coluna544</t>
  </si>
  <si>
    <t>Coluna545</t>
  </si>
  <si>
    <t>Coluna546</t>
  </si>
  <si>
    <t>Coluna547</t>
  </si>
  <si>
    <t>Coluna548</t>
  </si>
  <si>
    <t>Coluna549</t>
  </si>
  <si>
    <t>Coluna550</t>
  </si>
  <si>
    <t>Coluna551</t>
  </si>
  <si>
    <t>Coluna552</t>
  </si>
  <si>
    <t>Coluna553</t>
  </si>
  <si>
    <t>Coluna554</t>
  </si>
  <si>
    <t>Coluna555</t>
  </si>
  <si>
    <t>Coluna556</t>
  </si>
  <si>
    <t>Coluna557</t>
  </si>
  <si>
    <t>Coluna558</t>
  </si>
  <si>
    <t>Coluna559</t>
  </si>
  <si>
    <t>Coluna560</t>
  </si>
  <si>
    <t>Coluna561</t>
  </si>
  <si>
    <t>Coluna562</t>
  </si>
  <si>
    <t>Coluna563</t>
  </si>
  <si>
    <t>Coluna564</t>
  </si>
  <si>
    <t>Coluna565</t>
  </si>
  <si>
    <t>Coluna566</t>
  </si>
  <si>
    <t>Coluna567</t>
  </si>
  <si>
    <t>Coluna568</t>
  </si>
  <si>
    <t>Coluna569</t>
  </si>
  <si>
    <t>Coluna570</t>
  </si>
  <si>
    <t>Coluna571</t>
  </si>
  <si>
    <t>Coluna572</t>
  </si>
  <si>
    <t>Coluna573</t>
  </si>
  <si>
    <t>Coluna574</t>
  </si>
  <si>
    <t>Coluna575</t>
  </si>
  <si>
    <t>Coluna576</t>
  </si>
  <si>
    <t>Coluna577</t>
  </si>
  <si>
    <t>Coluna578</t>
  </si>
  <si>
    <t>Coluna579</t>
  </si>
  <si>
    <t>Coluna580</t>
  </si>
  <si>
    <t>Coluna581</t>
  </si>
  <si>
    <t>Coluna582</t>
  </si>
  <si>
    <t>Coluna583</t>
  </si>
  <si>
    <t>Coluna584</t>
  </si>
  <si>
    <t>Coluna585</t>
  </si>
  <si>
    <t>Coluna586</t>
  </si>
  <si>
    <t>Coluna587</t>
  </si>
  <si>
    <t>Coluna588</t>
  </si>
  <si>
    <t>Coluna589</t>
  </si>
  <si>
    <t>Coluna590</t>
  </si>
  <si>
    <t>Coluna591</t>
  </si>
  <si>
    <t>Coluna592</t>
  </si>
  <si>
    <t>Coluna593</t>
  </si>
  <si>
    <t>Coluna594</t>
  </si>
  <si>
    <t>Coluna595</t>
  </si>
  <si>
    <t>Coluna596</t>
  </si>
  <si>
    <t>Coluna597</t>
  </si>
  <si>
    <t>Coluna598</t>
  </si>
  <si>
    <t>Coluna599</t>
  </si>
  <si>
    <t>Coluna600</t>
  </si>
  <si>
    <t>Coluna601</t>
  </si>
  <si>
    <t>Coluna602</t>
  </si>
  <si>
    <t>Coluna603</t>
  </si>
  <si>
    <t>Coluna604</t>
  </si>
  <si>
    <t>Coluna605</t>
  </si>
  <si>
    <t>Coluna606</t>
  </si>
  <si>
    <t>Coluna607</t>
  </si>
  <si>
    <t>Coluna608</t>
  </si>
  <si>
    <t>Coluna609</t>
  </si>
  <si>
    <t>Coluna610</t>
  </si>
  <si>
    <t>Coluna611</t>
  </si>
  <si>
    <t>Coluna612</t>
  </si>
  <si>
    <t>Coluna613</t>
  </si>
  <si>
    <t>Coluna614</t>
  </si>
  <si>
    <t>Coluna615</t>
  </si>
  <si>
    <t>Coluna616</t>
  </si>
  <si>
    <t>Coluna617</t>
  </si>
  <si>
    <t>Coluna618</t>
  </si>
  <si>
    <t>Coluna619</t>
  </si>
  <si>
    <t>Coluna620</t>
  </si>
  <si>
    <t>Coluna621</t>
  </si>
  <si>
    <t>Coluna622</t>
  </si>
  <si>
    <t>Coluna623</t>
  </si>
  <si>
    <t>Coluna624</t>
  </si>
  <si>
    <t>Coluna625</t>
  </si>
  <si>
    <t>Coluna626</t>
  </si>
  <si>
    <t>Coluna627</t>
  </si>
  <si>
    <t>Coluna628</t>
  </si>
  <si>
    <t>Coluna629</t>
  </si>
  <si>
    <t>Coluna630</t>
  </si>
  <si>
    <t>Coluna631</t>
  </si>
  <si>
    <t>Coluna632</t>
  </si>
  <si>
    <t>Coluna633</t>
  </si>
  <si>
    <t>Coluna634</t>
  </si>
  <si>
    <t>Coluna635</t>
  </si>
  <si>
    <t>Coluna636</t>
  </si>
  <si>
    <t>Coluna637</t>
  </si>
  <si>
    <t>Coluna638</t>
  </si>
  <si>
    <t>Coluna639</t>
  </si>
  <si>
    <t>Coluna640</t>
  </si>
  <si>
    <t>Coluna641</t>
  </si>
  <si>
    <t>Coluna642</t>
  </si>
  <si>
    <t>Coluna643</t>
  </si>
  <si>
    <t>Coluna644</t>
  </si>
  <si>
    <t>Coluna645</t>
  </si>
  <si>
    <t>Coluna646</t>
  </si>
  <si>
    <t>Coluna647</t>
  </si>
  <si>
    <t>Coluna648</t>
  </si>
  <si>
    <t>Coluna649</t>
  </si>
  <si>
    <t>Coluna650</t>
  </si>
  <si>
    <t>Coluna651</t>
  </si>
  <si>
    <t>Coluna652</t>
  </si>
  <si>
    <t>Coluna653</t>
  </si>
  <si>
    <t>Coluna654</t>
  </si>
  <si>
    <t>Coluna655</t>
  </si>
  <si>
    <t>Coluna656</t>
  </si>
  <si>
    <t>Coluna657</t>
  </si>
  <si>
    <t>Coluna658</t>
  </si>
  <si>
    <t>Coluna659</t>
  </si>
  <si>
    <t>Coluna660</t>
  </si>
  <si>
    <t>Coluna661</t>
  </si>
  <si>
    <t>Coluna662</t>
  </si>
  <si>
    <t>Coluna663</t>
  </si>
  <si>
    <t>Coluna664</t>
  </si>
  <si>
    <t>Coluna665</t>
  </si>
  <si>
    <t>Coluna666</t>
  </si>
  <si>
    <t>Coluna667</t>
  </si>
  <si>
    <t>Coluna668</t>
  </si>
  <si>
    <t>Coluna669</t>
  </si>
  <si>
    <t>Coluna670</t>
  </si>
  <si>
    <t>Coluna671</t>
  </si>
  <si>
    <t>Coluna672</t>
  </si>
  <si>
    <t>Coluna673</t>
  </si>
  <si>
    <t>Coluna674</t>
  </si>
  <si>
    <t>Coluna675</t>
  </si>
  <si>
    <t>Coluna676</t>
  </si>
  <si>
    <t>Coluna677</t>
  </si>
  <si>
    <t>Coluna678</t>
  </si>
  <si>
    <t>Coluna679</t>
  </si>
  <si>
    <t>Coluna680</t>
  </si>
  <si>
    <t>Coluna681</t>
  </si>
  <si>
    <t>Coluna682</t>
  </si>
  <si>
    <t>Coluna683</t>
  </si>
  <si>
    <t>Coluna684</t>
  </si>
  <si>
    <t>Coluna685</t>
  </si>
  <si>
    <t>Coluna686</t>
  </si>
  <si>
    <t>Coluna687</t>
  </si>
  <si>
    <t>Coluna688</t>
  </si>
  <si>
    <t>Coluna689</t>
  </si>
  <si>
    <t>Coluna690</t>
  </si>
  <si>
    <t>Coluna691</t>
  </si>
  <si>
    <t>Coluna692</t>
  </si>
  <si>
    <t>Coluna693</t>
  </si>
  <si>
    <t>Coluna694</t>
  </si>
  <si>
    <t>Coluna695</t>
  </si>
  <si>
    <t>Coluna696</t>
  </si>
  <si>
    <t>Coluna697</t>
  </si>
  <si>
    <t>Coluna698</t>
  </si>
  <si>
    <t>Coluna699</t>
  </si>
  <si>
    <t>Coluna700</t>
  </si>
  <si>
    <t>Coluna701</t>
  </si>
  <si>
    <t>Coluna702</t>
  </si>
  <si>
    <t>Coluna703</t>
  </si>
  <si>
    <t>Coluna704</t>
  </si>
  <si>
    <t>Coluna705</t>
  </si>
  <si>
    <t>Coluna706</t>
  </si>
  <si>
    <t>Coluna707</t>
  </si>
  <si>
    <t>Coluna708</t>
  </si>
  <si>
    <t>Coluna709</t>
  </si>
  <si>
    <t>Coluna710</t>
  </si>
  <si>
    <t>Coluna711</t>
  </si>
  <si>
    <t>Coluna712</t>
  </si>
  <si>
    <t>Coluna713</t>
  </si>
  <si>
    <t>Coluna714</t>
  </si>
  <si>
    <t>Coluna715</t>
  </si>
  <si>
    <t>Coluna716</t>
  </si>
  <si>
    <t>Coluna717</t>
  </si>
  <si>
    <t>Coluna718</t>
  </si>
  <si>
    <t>Coluna719</t>
  </si>
  <si>
    <t>Coluna720</t>
  </si>
  <si>
    <t>Coluna721</t>
  </si>
  <si>
    <t>Coluna722</t>
  </si>
  <si>
    <t>Coluna723</t>
  </si>
  <si>
    <t>Coluna724</t>
  </si>
  <si>
    <t>Coluna725</t>
  </si>
  <si>
    <t>Coluna726</t>
  </si>
  <si>
    <t>Coluna727</t>
  </si>
  <si>
    <t>Coluna728</t>
  </si>
  <si>
    <t>Coluna729</t>
  </si>
  <si>
    <t>Coluna730</t>
  </si>
  <si>
    <t>Coluna731</t>
  </si>
  <si>
    <t>Coluna732</t>
  </si>
  <si>
    <t>Coluna733</t>
  </si>
  <si>
    <t>Coluna734</t>
  </si>
  <si>
    <t>Coluna735</t>
  </si>
  <si>
    <t>Coluna736</t>
  </si>
  <si>
    <t>Coluna737</t>
  </si>
  <si>
    <t>Coluna738</t>
  </si>
  <si>
    <t>Coluna739</t>
  </si>
  <si>
    <t>Coluna740</t>
  </si>
  <si>
    <t>Coluna741</t>
  </si>
  <si>
    <t>Coluna742</t>
  </si>
  <si>
    <t>Coluna743</t>
  </si>
  <si>
    <t>Coluna744</t>
  </si>
  <si>
    <t>Coluna745</t>
  </si>
  <si>
    <t>Coluna746</t>
  </si>
  <si>
    <t>Coluna747</t>
  </si>
  <si>
    <t>Coluna748</t>
  </si>
  <si>
    <t>Coluna749</t>
  </si>
  <si>
    <t>Coluna750</t>
  </si>
  <si>
    <t>Coluna751</t>
  </si>
  <si>
    <t>Coluna752</t>
  </si>
  <si>
    <t>Coluna753</t>
  </si>
  <si>
    <t>Coluna754</t>
  </si>
  <si>
    <t>Coluna755</t>
  </si>
  <si>
    <t>Coluna756</t>
  </si>
  <si>
    <t>Coluna757</t>
  </si>
  <si>
    <t>Coluna758</t>
  </si>
  <si>
    <t>Coluna759</t>
  </si>
  <si>
    <t>Coluna760</t>
  </si>
  <si>
    <t>Coluna761</t>
  </si>
  <si>
    <t>Coluna762</t>
  </si>
  <si>
    <t>Coluna763</t>
  </si>
  <si>
    <t>Coluna764</t>
  </si>
  <si>
    <t>Coluna765</t>
  </si>
  <si>
    <t>Coluna766</t>
  </si>
  <si>
    <t>Coluna767</t>
  </si>
  <si>
    <t>Coluna768</t>
  </si>
  <si>
    <t>Coluna769</t>
  </si>
  <si>
    <t>Coluna770</t>
  </si>
  <si>
    <t>Coluna771</t>
  </si>
  <si>
    <t>Coluna772</t>
  </si>
  <si>
    <t>Coluna773</t>
  </si>
  <si>
    <t>Coluna774</t>
  </si>
  <si>
    <t>Coluna775</t>
  </si>
  <si>
    <t>Coluna776</t>
  </si>
  <si>
    <t>Coluna777</t>
  </si>
  <si>
    <t>Coluna778</t>
  </si>
  <si>
    <t>Coluna779</t>
  </si>
  <si>
    <t>Coluna780</t>
  </si>
  <si>
    <t>Coluna781</t>
  </si>
  <si>
    <t>Coluna782</t>
  </si>
  <si>
    <t>Coluna783</t>
  </si>
  <si>
    <t>Coluna784</t>
  </si>
  <si>
    <t>Coluna785</t>
  </si>
  <si>
    <t>Coluna786</t>
  </si>
  <si>
    <t>Coluna787</t>
  </si>
  <si>
    <t>Coluna788</t>
  </si>
  <si>
    <t>Coluna789</t>
  </si>
  <si>
    <t>Coluna790</t>
  </si>
  <si>
    <t>Coluna791</t>
  </si>
  <si>
    <t>Coluna792</t>
  </si>
  <si>
    <t>Coluna793</t>
  </si>
  <si>
    <t>Coluna794</t>
  </si>
  <si>
    <t>Coluna795</t>
  </si>
  <si>
    <t>Coluna796</t>
  </si>
  <si>
    <t>Coluna797</t>
  </si>
  <si>
    <t>Coluna798</t>
  </si>
  <si>
    <t>Coluna799</t>
  </si>
  <si>
    <t>Coluna800</t>
  </si>
  <si>
    <t>Coluna801</t>
  </si>
  <si>
    <t>Coluna802</t>
  </si>
  <si>
    <t>Coluna803</t>
  </si>
  <si>
    <t>Coluna804</t>
  </si>
  <si>
    <t>Coluna805</t>
  </si>
  <si>
    <t>Coluna806</t>
  </si>
  <si>
    <t>Coluna807</t>
  </si>
  <si>
    <t>Coluna808</t>
  </si>
  <si>
    <t>Coluna809</t>
  </si>
  <si>
    <t>Coluna810</t>
  </si>
  <si>
    <t>Coluna811</t>
  </si>
  <si>
    <t>Coluna812</t>
  </si>
  <si>
    <t>Coluna813</t>
  </si>
  <si>
    <t>Coluna814</t>
  </si>
  <si>
    <t>Coluna815</t>
  </si>
  <si>
    <t>Coluna816</t>
  </si>
  <si>
    <t>Coluna817</t>
  </si>
  <si>
    <t>Coluna818</t>
  </si>
  <si>
    <t>Coluna819</t>
  </si>
  <si>
    <t>Coluna820</t>
  </si>
  <si>
    <t>Coluna821</t>
  </si>
  <si>
    <t>Coluna822</t>
  </si>
  <si>
    <t>Coluna823</t>
  </si>
  <si>
    <t>Coluna824</t>
  </si>
  <si>
    <t>Coluna825</t>
  </si>
  <si>
    <t>Coluna826</t>
  </si>
  <si>
    <t>Coluna827</t>
  </si>
  <si>
    <t>Coluna828</t>
  </si>
  <si>
    <t>Coluna829</t>
  </si>
  <si>
    <t>Coluna830</t>
  </si>
  <si>
    <t>Coluna831</t>
  </si>
  <si>
    <t>Coluna832</t>
  </si>
  <si>
    <t>Coluna833</t>
  </si>
  <si>
    <t>Coluna834</t>
  </si>
  <si>
    <t>Coluna835</t>
  </si>
  <si>
    <t>Coluna836</t>
  </si>
  <si>
    <t>Coluna837</t>
  </si>
  <si>
    <t>Coluna838</t>
  </si>
  <si>
    <t>Coluna839</t>
  </si>
  <si>
    <t>Coluna840</t>
  </si>
  <si>
    <t>Coluna841</t>
  </si>
  <si>
    <t>Coluna842</t>
  </si>
  <si>
    <t>Coluna843</t>
  </si>
  <si>
    <t>Coluna844</t>
  </si>
  <si>
    <t>Coluna845</t>
  </si>
  <si>
    <t>Coluna846</t>
  </si>
  <si>
    <t>Coluna847</t>
  </si>
  <si>
    <t>Coluna848</t>
  </si>
  <si>
    <t>Coluna849</t>
  </si>
  <si>
    <t>Coluna850</t>
  </si>
  <si>
    <t>Coluna851</t>
  </si>
  <si>
    <t>Coluna852</t>
  </si>
  <si>
    <t>Coluna853</t>
  </si>
  <si>
    <t>Coluna854</t>
  </si>
  <si>
    <t>Coluna855</t>
  </si>
  <si>
    <t>Coluna856</t>
  </si>
  <si>
    <t>Coluna857</t>
  </si>
  <si>
    <t>Coluna858</t>
  </si>
  <si>
    <t>Coluna859</t>
  </si>
  <si>
    <t>Coluna860</t>
  </si>
  <si>
    <t>Coluna861</t>
  </si>
  <si>
    <t>Coluna862</t>
  </si>
  <si>
    <t>Coluna863</t>
  </si>
  <si>
    <t>Coluna864</t>
  </si>
  <si>
    <t>Coluna865</t>
  </si>
  <si>
    <t>Coluna866</t>
  </si>
  <si>
    <t>Coluna867</t>
  </si>
  <si>
    <t>Coluna868</t>
  </si>
  <si>
    <t>Coluna869</t>
  </si>
  <si>
    <t>Coluna870</t>
  </si>
  <si>
    <t>Coluna871</t>
  </si>
  <si>
    <t>Coluna872</t>
  </si>
  <si>
    <t>Coluna873</t>
  </si>
  <si>
    <t>Coluna874</t>
  </si>
  <si>
    <t>Coluna875</t>
  </si>
  <si>
    <t>Coluna876</t>
  </si>
  <si>
    <t>Coluna877</t>
  </si>
  <si>
    <t>Coluna878</t>
  </si>
  <si>
    <t>Coluna879</t>
  </si>
  <si>
    <t>Coluna880</t>
  </si>
  <si>
    <t>Coluna881</t>
  </si>
  <si>
    <t>Coluna882</t>
  </si>
  <si>
    <t>Coluna883</t>
  </si>
  <si>
    <t>Coluna884</t>
  </si>
  <si>
    <t>Coluna885</t>
  </si>
  <si>
    <t>Coluna886</t>
  </si>
  <si>
    <t>Coluna887</t>
  </si>
  <si>
    <t>Coluna888</t>
  </si>
  <si>
    <t>Coluna889</t>
  </si>
  <si>
    <t>Coluna890</t>
  </si>
  <si>
    <t>Coluna891</t>
  </si>
  <si>
    <t>Coluna892</t>
  </si>
  <si>
    <t>Coluna893</t>
  </si>
  <si>
    <t>Coluna894</t>
  </si>
  <si>
    <t>Coluna895</t>
  </si>
  <si>
    <t>Coluna896</t>
  </si>
  <si>
    <t>Coluna897</t>
  </si>
  <si>
    <t>Coluna898</t>
  </si>
  <si>
    <t>Coluna899</t>
  </si>
  <si>
    <t>Coluna900</t>
  </si>
  <si>
    <t>Coluna901</t>
  </si>
  <si>
    <t>Coluna902</t>
  </si>
  <si>
    <t>Coluna903</t>
  </si>
  <si>
    <t>Coluna904</t>
  </si>
  <si>
    <t>Coluna905</t>
  </si>
  <si>
    <t>Coluna906</t>
  </si>
  <si>
    <t>Coluna907</t>
  </si>
  <si>
    <t>Coluna908</t>
  </si>
  <si>
    <t>Coluna909</t>
  </si>
  <si>
    <t>Coluna910</t>
  </si>
  <si>
    <t>Coluna911</t>
  </si>
  <si>
    <t>Coluna912</t>
  </si>
  <si>
    <t>Coluna913</t>
  </si>
  <si>
    <t>Coluna914</t>
  </si>
  <si>
    <t>Coluna915</t>
  </si>
  <si>
    <t>Coluna916</t>
  </si>
  <si>
    <t>Coluna917</t>
  </si>
  <si>
    <t>Coluna918</t>
  </si>
  <si>
    <t>Coluna919</t>
  </si>
  <si>
    <t>Coluna920</t>
  </si>
  <si>
    <t>Coluna921</t>
  </si>
  <si>
    <t>Coluna922</t>
  </si>
  <si>
    <t>Coluna923</t>
  </si>
  <si>
    <t>Coluna924</t>
  </si>
  <si>
    <t>Coluna925</t>
  </si>
  <si>
    <t>Coluna926</t>
  </si>
  <si>
    <t>Coluna927</t>
  </si>
  <si>
    <t>Coluna928</t>
  </si>
  <si>
    <t>Coluna929</t>
  </si>
  <si>
    <t>Coluna930</t>
  </si>
  <si>
    <t>Coluna931</t>
  </si>
  <si>
    <t>Coluna932</t>
  </si>
  <si>
    <t>Coluna933</t>
  </si>
  <si>
    <t>Coluna934</t>
  </si>
  <si>
    <t>Coluna935</t>
  </si>
  <si>
    <t>Coluna936</t>
  </si>
  <si>
    <t>Coluna937</t>
  </si>
  <si>
    <t>Coluna938</t>
  </si>
  <si>
    <t>Coluna939</t>
  </si>
  <si>
    <t>Coluna940</t>
  </si>
  <si>
    <t>Coluna941</t>
  </si>
  <si>
    <t>Coluna942</t>
  </si>
  <si>
    <t>Coluna943</t>
  </si>
  <si>
    <t>Coluna944</t>
  </si>
  <si>
    <t>Coluna945</t>
  </si>
  <si>
    <t>Coluna946</t>
  </si>
  <si>
    <t>Coluna947</t>
  </si>
  <si>
    <t>Coluna948</t>
  </si>
  <si>
    <t>Coluna949</t>
  </si>
  <si>
    <t>Coluna950</t>
  </si>
  <si>
    <t>Coluna951</t>
  </si>
  <si>
    <t>Coluna952</t>
  </si>
  <si>
    <t>Coluna953</t>
  </si>
  <si>
    <t>Coluna954</t>
  </si>
  <si>
    <t>Coluna955</t>
  </si>
  <si>
    <t>Coluna956</t>
  </si>
  <si>
    <t>Coluna957</t>
  </si>
  <si>
    <t>Coluna958</t>
  </si>
  <si>
    <t>Coluna959</t>
  </si>
  <si>
    <t>Coluna960</t>
  </si>
  <si>
    <t>Coluna961</t>
  </si>
  <si>
    <t>Coluna962</t>
  </si>
  <si>
    <t>Coluna963</t>
  </si>
  <si>
    <t>Coluna964</t>
  </si>
  <si>
    <t>Coluna965</t>
  </si>
  <si>
    <t>Coluna966</t>
  </si>
  <si>
    <t>Coluna967</t>
  </si>
  <si>
    <t>Coluna968</t>
  </si>
  <si>
    <t>Coluna969</t>
  </si>
  <si>
    <t>Coluna970</t>
  </si>
  <si>
    <t>Coluna971</t>
  </si>
  <si>
    <t>Coluna972</t>
  </si>
  <si>
    <t>Coluna973</t>
  </si>
  <si>
    <t>Coluna974</t>
  </si>
  <si>
    <t>Coluna975</t>
  </si>
  <si>
    <t>Coluna976</t>
  </si>
  <si>
    <t>Coluna977</t>
  </si>
  <si>
    <t>Coluna978</t>
  </si>
  <si>
    <t>Coluna979</t>
  </si>
  <si>
    <t>Coluna980</t>
  </si>
  <si>
    <t>Coluna981</t>
  </si>
  <si>
    <t>Coluna982</t>
  </si>
  <si>
    <t>Coluna983</t>
  </si>
  <si>
    <t>Coluna984</t>
  </si>
  <si>
    <t>Coluna985</t>
  </si>
  <si>
    <t>Coluna986</t>
  </si>
  <si>
    <t>Coluna987</t>
  </si>
  <si>
    <t>Coluna988</t>
  </si>
  <si>
    <t>Coluna989</t>
  </si>
  <si>
    <t>Coluna990</t>
  </si>
  <si>
    <t>Coluna991</t>
  </si>
  <si>
    <t>Coluna992</t>
  </si>
  <si>
    <t>Coluna993</t>
  </si>
  <si>
    <t>Coluna994</t>
  </si>
  <si>
    <t>Coluna995</t>
  </si>
  <si>
    <t>Coluna996</t>
  </si>
  <si>
    <t>Coluna997</t>
  </si>
  <si>
    <t>Coluna998</t>
  </si>
  <si>
    <t>Coluna999</t>
  </si>
  <si>
    <t>Coluna1000</t>
  </si>
  <si>
    <t>Coluna1001</t>
  </si>
  <si>
    <t>Coluna1002</t>
  </si>
  <si>
    <t>Coluna1003</t>
  </si>
  <si>
    <t>Coluna1004</t>
  </si>
  <si>
    <t>Coluna1005</t>
  </si>
  <si>
    <t>Coluna1006</t>
  </si>
  <si>
    <t>Coluna1007</t>
  </si>
  <si>
    <t>Coluna1008</t>
  </si>
  <si>
    <t>Coluna1009</t>
  </si>
  <si>
    <t>Coluna1010</t>
  </si>
  <si>
    <t>Coluna1011</t>
  </si>
  <si>
    <t>Coluna1012</t>
  </si>
  <si>
    <t>Coluna1013</t>
  </si>
  <si>
    <t>Coluna1014</t>
  </si>
  <si>
    <t>Coluna1015</t>
  </si>
  <si>
    <t>Coluna1016</t>
  </si>
  <si>
    <t>Coluna1017</t>
  </si>
  <si>
    <t>Coluna1018</t>
  </si>
  <si>
    <t>Coluna1019</t>
  </si>
  <si>
    <t>Coluna1020</t>
  </si>
  <si>
    <t>Coluna1021</t>
  </si>
  <si>
    <t>Coluna1022</t>
  </si>
  <si>
    <t>Coluna1023</t>
  </si>
  <si>
    <t>Coluna1024</t>
  </si>
  <si>
    <t>Coluna1025</t>
  </si>
  <si>
    <t>Coluna1026</t>
  </si>
  <si>
    <t>Coluna1027</t>
  </si>
  <si>
    <t>Coluna1028</t>
  </si>
  <si>
    <t>Coluna1029</t>
  </si>
  <si>
    <t>Coluna1030</t>
  </si>
  <si>
    <t>Coluna1031</t>
  </si>
  <si>
    <t>Coluna1032</t>
  </si>
  <si>
    <t>Coluna1033</t>
  </si>
  <si>
    <t>Coluna1034</t>
  </si>
  <si>
    <t>Coluna1035</t>
  </si>
  <si>
    <t>Coluna1036</t>
  </si>
  <si>
    <t>Coluna1037</t>
  </si>
  <si>
    <t>Coluna1038</t>
  </si>
  <si>
    <t>Coluna1039</t>
  </si>
  <si>
    <t>Coluna1040</t>
  </si>
  <si>
    <t>Coluna1041</t>
  </si>
  <si>
    <t>Coluna1042</t>
  </si>
  <si>
    <t>Coluna1043</t>
  </si>
  <si>
    <t>Coluna1044</t>
  </si>
  <si>
    <t>Coluna1045</t>
  </si>
  <si>
    <t>Coluna1046</t>
  </si>
  <si>
    <t>Coluna1047</t>
  </si>
  <si>
    <t>Coluna1048</t>
  </si>
  <si>
    <t>Coluna1049</t>
  </si>
  <si>
    <t>Coluna1050</t>
  </si>
  <si>
    <t>Coluna1051</t>
  </si>
  <si>
    <t>Coluna1052</t>
  </si>
  <si>
    <t>Coluna1053</t>
  </si>
  <si>
    <t>Coluna1054</t>
  </si>
  <si>
    <t>Coluna1055</t>
  </si>
  <si>
    <t>Coluna1056</t>
  </si>
  <si>
    <t>Coluna1057</t>
  </si>
  <si>
    <t>Coluna1058</t>
  </si>
  <si>
    <t>Coluna1059</t>
  </si>
  <si>
    <t>Coluna1060</t>
  </si>
  <si>
    <t>Coluna1061</t>
  </si>
  <si>
    <t>Coluna1062</t>
  </si>
  <si>
    <t>Coluna1063</t>
  </si>
  <si>
    <t>Coluna1064</t>
  </si>
  <si>
    <t>Coluna1065</t>
  </si>
  <si>
    <t>Coluna1066</t>
  </si>
  <si>
    <t>Coluna1067</t>
  </si>
  <si>
    <t>Coluna1068</t>
  </si>
  <si>
    <t>Coluna1069</t>
  </si>
  <si>
    <t>Coluna1070</t>
  </si>
  <si>
    <t>Coluna1071</t>
  </si>
  <si>
    <t>Coluna1072</t>
  </si>
  <si>
    <t>Coluna1073</t>
  </si>
  <si>
    <t>Coluna1074</t>
  </si>
  <si>
    <t>Coluna1075</t>
  </si>
  <si>
    <t>Coluna1076</t>
  </si>
  <si>
    <t>Coluna1077</t>
  </si>
  <si>
    <t>Coluna1078</t>
  </si>
  <si>
    <t>Coluna1079</t>
  </si>
  <si>
    <t>Coluna1080</t>
  </si>
  <si>
    <t>Coluna1081</t>
  </si>
  <si>
    <t>Coluna1082</t>
  </si>
  <si>
    <t>Coluna1083</t>
  </si>
  <si>
    <t>Coluna1084</t>
  </si>
  <si>
    <t>Coluna1085</t>
  </si>
  <si>
    <t>Coluna1086</t>
  </si>
  <si>
    <t>Coluna1087</t>
  </si>
  <si>
    <t>Coluna1088</t>
  </si>
  <si>
    <t>Coluna1089</t>
  </si>
  <si>
    <t>Coluna1090</t>
  </si>
  <si>
    <t>Coluna1091</t>
  </si>
  <si>
    <t>Coluna1092</t>
  </si>
  <si>
    <t>Coluna1093</t>
  </si>
  <si>
    <t>Coluna1094</t>
  </si>
  <si>
    <t>Coluna1095</t>
  </si>
  <si>
    <t>Coluna1096</t>
  </si>
  <si>
    <t>Coluna1097</t>
  </si>
  <si>
    <t>Coluna1098</t>
  </si>
  <si>
    <t>Coluna1099</t>
  </si>
  <si>
    <t>Coluna1100</t>
  </si>
  <si>
    <t>Coluna1101</t>
  </si>
  <si>
    <t>Coluna1102</t>
  </si>
  <si>
    <t>Coluna1103</t>
  </si>
  <si>
    <t>Coluna1104</t>
  </si>
  <si>
    <t>Coluna1105</t>
  </si>
  <si>
    <t>Coluna1106</t>
  </si>
  <si>
    <t>Coluna1107</t>
  </si>
  <si>
    <t>Coluna1108</t>
  </si>
  <si>
    <t>Coluna1109</t>
  </si>
  <si>
    <t>Coluna1110</t>
  </si>
  <si>
    <t>Coluna1111</t>
  </si>
  <si>
    <t>Coluna1112</t>
  </si>
  <si>
    <t>Coluna1113</t>
  </si>
  <si>
    <t>Coluna1114</t>
  </si>
  <si>
    <t>Coluna1115</t>
  </si>
  <si>
    <t>Coluna1116</t>
  </si>
  <si>
    <t>Coluna1117</t>
  </si>
  <si>
    <t>Coluna1118</t>
  </si>
  <si>
    <t>Coluna1119</t>
  </si>
  <si>
    <t>Coluna1120</t>
  </si>
  <si>
    <t>Coluna1121</t>
  </si>
  <si>
    <t>Coluna1122</t>
  </si>
  <si>
    <t>Coluna1123</t>
  </si>
  <si>
    <t>Coluna1124</t>
  </si>
  <si>
    <t>Coluna1125</t>
  </si>
  <si>
    <t>Coluna1126</t>
  </si>
  <si>
    <t>Coluna1127</t>
  </si>
  <si>
    <t>Coluna1128</t>
  </si>
  <si>
    <t>Coluna1129</t>
  </si>
  <si>
    <t>Coluna1130</t>
  </si>
  <si>
    <t>Coluna1131</t>
  </si>
  <si>
    <t>Coluna1132</t>
  </si>
  <si>
    <t>Coluna1133</t>
  </si>
  <si>
    <t>Coluna1134</t>
  </si>
  <si>
    <t>Coluna1135</t>
  </si>
  <si>
    <t>Coluna1136</t>
  </si>
  <si>
    <t>Coluna1137</t>
  </si>
  <si>
    <t>Coluna1138</t>
  </si>
  <si>
    <t>Coluna1139</t>
  </si>
  <si>
    <t>Coluna1140</t>
  </si>
  <si>
    <t>Coluna1141</t>
  </si>
  <si>
    <t>Coluna1142</t>
  </si>
  <si>
    <t>Coluna1143</t>
  </si>
  <si>
    <t>Coluna1144</t>
  </si>
  <si>
    <t>Coluna1145</t>
  </si>
  <si>
    <t>Coluna1146</t>
  </si>
  <si>
    <t>Coluna1147</t>
  </si>
  <si>
    <t>Coluna1148</t>
  </si>
  <si>
    <t>Coluna1149</t>
  </si>
  <si>
    <t>Coluna1150</t>
  </si>
  <si>
    <t>Coluna1151</t>
  </si>
  <si>
    <t>Coluna1152</t>
  </si>
  <si>
    <t>Coluna1153</t>
  </si>
  <si>
    <t>Coluna1154</t>
  </si>
  <si>
    <t>Coluna1155</t>
  </si>
  <si>
    <t>Coluna1156</t>
  </si>
  <si>
    <t>Coluna1157</t>
  </si>
  <si>
    <t>Coluna1158</t>
  </si>
  <si>
    <t>Coluna1159</t>
  </si>
  <si>
    <t>Coluna1160</t>
  </si>
  <si>
    <t>Coluna1161</t>
  </si>
  <si>
    <t>Coluna1162</t>
  </si>
  <si>
    <t>Coluna1163</t>
  </si>
  <si>
    <t>Coluna1164</t>
  </si>
  <si>
    <t>Coluna1165</t>
  </si>
  <si>
    <t>Coluna1166</t>
  </si>
  <si>
    <t>Coluna1167</t>
  </si>
  <si>
    <t>Coluna1168</t>
  </si>
  <si>
    <t>Coluna1169</t>
  </si>
  <si>
    <t>Coluna1170</t>
  </si>
  <si>
    <t>Coluna1171</t>
  </si>
  <si>
    <t>Coluna1172</t>
  </si>
  <si>
    <t>Coluna1173</t>
  </si>
  <si>
    <t>Coluna1174</t>
  </si>
  <si>
    <t>Coluna1175</t>
  </si>
  <si>
    <t>Coluna1176</t>
  </si>
  <si>
    <t>Coluna1177</t>
  </si>
  <si>
    <t>Coluna1178</t>
  </si>
  <si>
    <t>Coluna1179</t>
  </si>
  <si>
    <t>Coluna1180</t>
  </si>
  <si>
    <t>Coluna1181</t>
  </si>
  <si>
    <t>Coluna1182</t>
  </si>
  <si>
    <t>Coluna1183</t>
  </si>
  <si>
    <t>Coluna1184</t>
  </si>
  <si>
    <t>Coluna1185</t>
  </si>
  <si>
    <t>Coluna1186</t>
  </si>
  <si>
    <t>Coluna1187</t>
  </si>
  <si>
    <t>Coluna1188</t>
  </si>
  <si>
    <t>Coluna1189</t>
  </si>
  <si>
    <t>Coluna1190</t>
  </si>
  <si>
    <t>Coluna1191</t>
  </si>
  <si>
    <t>Coluna1192</t>
  </si>
  <si>
    <t>Coluna1193</t>
  </si>
  <si>
    <t>Coluna1194</t>
  </si>
  <si>
    <t>Coluna1195</t>
  </si>
  <si>
    <t>Coluna1196</t>
  </si>
  <si>
    <t>Coluna1197</t>
  </si>
  <si>
    <t>Coluna1198</t>
  </si>
  <si>
    <t>Coluna1199</t>
  </si>
  <si>
    <t>Coluna1200</t>
  </si>
  <si>
    <t>Coluna1201</t>
  </si>
  <si>
    <t>Coluna1202</t>
  </si>
  <si>
    <t>Coluna1203</t>
  </si>
  <si>
    <t>Coluna1204</t>
  </si>
  <si>
    <t>Coluna1205</t>
  </si>
  <si>
    <t>Coluna1206</t>
  </si>
  <si>
    <t>Coluna1207</t>
  </si>
  <si>
    <t>Coluna1208</t>
  </si>
  <si>
    <t>Coluna1209</t>
  </si>
  <si>
    <t>Coluna1210</t>
  </si>
  <si>
    <t>Coluna1211</t>
  </si>
  <si>
    <t>Coluna1212</t>
  </si>
  <si>
    <t>Coluna1213</t>
  </si>
  <si>
    <t>Coluna1214</t>
  </si>
  <si>
    <t>Coluna1215</t>
  </si>
  <si>
    <t>Coluna1216</t>
  </si>
  <si>
    <t>Coluna1217</t>
  </si>
  <si>
    <t>Coluna1218</t>
  </si>
  <si>
    <t>Coluna1219</t>
  </si>
  <si>
    <t>Coluna1220</t>
  </si>
  <si>
    <t>Coluna1221</t>
  </si>
  <si>
    <t>Coluna1222</t>
  </si>
  <si>
    <t>Coluna1223</t>
  </si>
  <si>
    <t>Coluna1224</t>
  </si>
  <si>
    <t>Coluna1225</t>
  </si>
  <si>
    <t>Coluna1226</t>
  </si>
  <si>
    <t>Coluna1227</t>
  </si>
  <si>
    <t>Coluna1228</t>
  </si>
  <si>
    <t>Coluna1229</t>
  </si>
  <si>
    <t>Coluna1230</t>
  </si>
  <si>
    <t>Coluna1231</t>
  </si>
  <si>
    <t>Coluna1232</t>
  </si>
  <si>
    <t>Coluna1233</t>
  </si>
  <si>
    <t>Coluna1234</t>
  </si>
  <si>
    <t>Coluna1235</t>
  </si>
  <si>
    <t>Coluna1236</t>
  </si>
  <si>
    <t>Coluna1237</t>
  </si>
  <si>
    <t>Coluna1238</t>
  </si>
  <si>
    <t>Coluna1239</t>
  </si>
  <si>
    <t>Coluna1240</t>
  </si>
  <si>
    <t>Coluna1241</t>
  </si>
  <si>
    <t>Coluna1242</t>
  </si>
  <si>
    <t>Coluna1243</t>
  </si>
  <si>
    <t>Coluna1244</t>
  </si>
  <si>
    <t>Coluna1245</t>
  </si>
  <si>
    <t>Coluna1246</t>
  </si>
  <si>
    <t>Coluna1247</t>
  </si>
  <si>
    <t>Coluna1248</t>
  </si>
  <si>
    <t>Coluna1249</t>
  </si>
  <si>
    <t>Coluna1250</t>
  </si>
  <si>
    <t>Coluna1251</t>
  </si>
  <si>
    <t>Coluna1252</t>
  </si>
  <si>
    <t>Coluna1253</t>
  </si>
  <si>
    <t>Coluna1254</t>
  </si>
  <si>
    <t>Coluna1255</t>
  </si>
  <si>
    <t>Coluna1256</t>
  </si>
  <si>
    <t>Coluna1257</t>
  </si>
  <si>
    <t>Coluna1258</t>
  </si>
  <si>
    <t>Coluna1259</t>
  </si>
  <si>
    <t>Coluna1260</t>
  </si>
  <si>
    <t>Coluna1261</t>
  </si>
  <si>
    <t>Coluna1262</t>
  </si>
  <si>
    <t>Coluna1263</t>
  </si>
  <si>
    <t>Coluna1264</t>
  </si>
  <si>
    <t>Coluna1265</t>
  </si>
  <si>
    <t>Coluna1266</t>
  </si>
  <si>
    <t>Coluna1267</t>
  </si>
  <si>
    <t>Coluna1268</t>
  </si>
  <si>
    <t>Coluna1269</t>
  </si>
  <si>
    <t>Coluna1270</t>
  </si>
  <si>
    <t>Coluna1271</t>
  </si>
  <si>
    <t>Coluna1272</t>
  </si>
  <si>
    <t>Coluna1273</t>
  </si>
  <si>
    <t>Coluna1274</t>
  </si>
  <si>
    <t>Coluna1275</t>
  </si>
  <si>
    <t>Coluna1276</t>
  </si>
  <si>
    <t>Coluna1277</t>
  </si>
  <si>
    <t>Coluna1278</t>
  </si>
  <si>
    <t>Coluna1279</t>
  </si>
  <si>
    <t>Coluna1280</t>
  </si>
  <si>
    <t>Coluna1281</t>
  </si>
  <si>
    <t>Coluna1282</t>
  </si>
  <si>
    <t>Coluna1283</t>
  </si>
  <si>
    <t>Coluna1284</t>
  </si>
  <si>
    <t>Coluna1285</t>
  </si>
  <si>
    <t>Coluna1286</t>
  </si>
  <si>
    <t>Coluna1287</t>
  </si>
  <si>
    <t>Coluna1288</t>
  </si>
  <si>
    <t>Coluna1289</t>
  </si>
  <si>
    <t>Coluna1290</t>
  </si>
  <si>
    <t>Coluna1291</t>
  </si>
  <si>
    <t>Coluna1292</t>
  </si>
  <si>
    <t>Coluna1293</t>
  </si>
  <si>
    <t>Coluna1294</t>
  </si>
  <si>
    <t>Coluna1295</t>
  </si>
  <si>
    <t>Coluna1296</t>
  </si>
  <si>
    <t>Coluna1297</t>
  </si>
  <si>
    <t>Coluna1298</t>
  </si>
  <si>
    <t>Coluna1299</t>
  </si>
  <si>
    <t>Coluna1300</t>
  </si>
  <si>
    <t>Coluna1301</t>
  </si>
  <si>
    <t>Coluna1302</t>
  </si>
  <si>
    <t>Coluna1303</t>
  </si>
  <si>
    <t>Coluna1304</t>
  </si>
  <si>
    <t>Coluna1305</t>
  </si>
  <si>
    <t>Coluna1306</t>
  </si>
  <si>
    <t>Coluna1307</t>
  </si>
  <si>
    <t>Coluna1308</t>
  </si>
  <si>
    <t>Coluna1309</t>
  </si>
  <si>
    <t>Coluna1310</t>
  </si>
  <si>
    <t>Coluna1311</t>
  </si>
  <si>
    <t>Coluna1312</t>
  </si>
  <si>
    <t>Coluna1313</t>
  </si>
  <si>
    <t>Coluna1314</t>
  </si>
  <si>
    <t>Coluna1315</t>
  </si>
  <si>
    <t>Coluna1316</t>
  </si>
  <si>
    <t>Coluna1317</t>
  </si>
  <si>
    <t>Coluna1318</t>
  </si>
  <si>
    <t>Coluna1319</t>
  </si>
  <si>
    <t>Coluna1320</t>
  </si>
  <si>
    <t>Coluna1321</t>
  </si>
  <si>
    <t>Coluna1322</t>
  </si>
  <si>
    <t>Coluna1323</t>
  </si>
  <si>
    <t>Coluna1324</t>
  </si>
  <si>
    <t>Coluna1325</t>
  </si>
  <si>
    <t>Coluna1326</t>
  </si>
  <si>
    <t>Coluna1327</t>
  </si>
  <si>
    <t>Coluna1328</t>
  </si>
  <si>
    <t>Coluna1329</t>
  </si>
  <si>
    <t>Coluna1330</t>
  </si>
  <si>
    <t>Coluna1331</t>
  </si>
  <si>
    <t>Coluna1332</t>
  </si>
  <si>
    <t>Coluna1333</t>
  </si>
  <si>
    <t>Coluna1334</t>
  </si>
  <si>
    <t>Coluna1335</t>
  </si>
  <si>
    <t>Coluna1336</t>
  </si>
  <si>
    <t>Coluna1337</t>
  </si>
  <si>
    <t>Coluna1338</t>
  </si>
  <si>
    <t>Coluna1339</t>
  </si>
  <si>
    <t>Coluna1340</t>
  </si>
  <si>
    <t>Coluna1341</t>
  </si>
  <si>
    <t>Coluna1342</t>
  </si>
  <si>
    <t>Coluna1343</t>
  </si>
  <si>
    <t>Coluna1344</t>
  </si>
  <si>
    <t>Coluna1345</t>
  </si>
  <si>
    <t>Coluna1346</t>
  </si>
  <si>
    <t>Coluna1347</t>
  </si>
  <si>
    <t>Coluna1348</t>
  </si>
  <si>
    <t>Coluna1349</t>
  </si>
  <si>
    <t>Coluna1350</t>
  </si>
  <si>
    <t>Coluna1351</t>
  </si>
  <si>
    <t>Coluna1352</t>
  </si>
  <si>
    <t>Coluna1353</t>
  </si>
  <si>
    <t>Coluna1354</t>
  </si>
  <si>
    <t>Coluna1355</t>
  </si>
  <si>
    <t>Coluna1356</t>
  </si>
  <si>
    <t>Coluna1357</t>
  </si>
  <si>
    <t>Coluna1358</t>
  </si>
  <si>
    <t>Coluna1359</t>
  </si>
  <si>
    <t>Coluna1360</t>
  </si>
  <si>
    <t>Coluna1361</t>
  </si>
  <si>
    <t>Coluna1362</t>
  </si>
  <si>
    <t>Coluna1363</t>
  </si>
  <si>
    <t>Coluna1364</t>
  </si>
  <si>
    <t>Coluna1365</t>
  </si>
  <si>
    <t>Coluna1366</t>
  </si>
  <si>
    <t>Coluna1367</t>
  </si>
  <si>
    <t>Coluna1368</t>
  </si>
  <si>
    <t>Coluna1369</t>
  </si>
  <si>
    <t>Coluna1370</t>
  </si>
  <si>
    <t>Coluna1371</t>
  </si>
  <si>
    <t>Coluna1372</t>
  </si>
  <si>
    <t>Coluna1373</t>
  </si>
  <si>
    <t>Coluna1374</t>
  </si>
  <si>
    <t>Coluna1375</t>
  </si>
  <si>
    <t>Coluna1376</t>
  </si>
  <si>
    <t>Coluna1377</t>
  </si>
  <si>
    <t>Coluna1378</t>
  </si>
  <si>
    <t>Coluna1379</t>
  </si>
  <si>
    <t>Coluna1380</t>
  </si>
  <si>
    <t>Coluna1381</t>
  </si>
  <si>
    <t>Coluna1382</t>
  </si>
  <si>
    <t>Coluna1383</t>
  </si>
  <si>
    <t>Coluna1384</t>
  </si>
  <si>
    <t>Coluna1385</t>
  </si>
  <si>
    <t>Coluna1386</t>
  </si>
  <si>
    <t>Coluna1387</t>
  </si>
  <si>
    <t>Coluna1388</t>
  </si>
  <si>
    <t>Coluna1389</t>
  </si>
  <si>
    <t>Coluna1390</t>
  </si>
  <si>
    <t>Coluna1391</t>
  </si>
  <si>
    <t>Coluna1392</t>
  </si>
  <si>
    <t>Coluna1393</t>
  </si>
  <si>
    <t>Coluna1394</t>
  </si>
  <si>
    <t>Coluna1395</t>
  </si>
  <si>
    <t>Coluna1396</t>
  </si>
  <si>
    <t>Coluna1397</t>
  </si>
  <si>
    <t>Coluna1398</t>
  </si>
  <si>
    <t>Coluna1399</t>
  </si>
  <si>
    <t>Coluna1400</t>
  </si>
  <si>
    <t>Coluna1401</t>
  </si>
  <si>
    <t>Coluna1402</t>
  </si>
  <si>
    <t>Coluna1403</t>
  </si>
  <si>
    <t>Coluna1404</t>
  </si>
  <si>
    <t>Coluna1405</t>
  </si>
  <si>
    <t>Coluna1406</t>
  </si>
  <si>
    <t>Coluna1407</t>
  </si>
  <si>
    <t>Coluna1408</t>
  </si>
  <si>
    <t>Coluna1409</t>
  </si>
  <si>
    <t>Coluna1410</t>
  </si>
  <si>
    <t>Coluna1411</t>
  </si>
  <si>
    <t>Coluna1412</t>
  </si>
  <si>
    <t>Coluna1413</t>
  </si>
  <si>
    <t>Coluna1414</t>
  </si>
  <si>
    <t>Coluna1415</t>
  </si>
  <si>
    <t>Coluna1416</t>
  </si>
  <si>
    <t>Coluna1417</t>
  </si>
  <si>
    <t>Coluna1418</t>
  </si>
  <si>
    <t>Coluna1419</t>
  </si>
  <si>
    <t>Coluna1420</t>
  </si>
  <si>
    <t>Coluna1421</t>
  </si>
  <si>
    <t>Coluna1422</t>
  </si>
  <si>
    <t>Coluna1423</t>
  </si>
  <si>
    <t>Coluna1424</t>
  </si>
  <si>
    <t>Coluna1425</t>
  </si>
  <si>
    <t>Coluna1426</t>
  </si>
  <si>
    <t>Coluna1427</t>
  </si>
  <si>
    <t>Coluna1428</t>
  </si>
  <si>
    <t>Coluna1429</t>
  </si>
  <si>
    <t>Coluna1430</t>
  </si>
  <si>
    <t>Coluna1431</t>
  </si>
  <si>
    <t>Coluna1432</t>
  </si>
  <si>
    <t>Coluna1433</t>
  </si>
  <si>
    <t>Coluna1434</t>
  </si>
  <si>
    <t>Coluna1435</t>
  </si>
  <si>
    <t>Coluna1436</t>
  </si>
  <si>
    <t>Coluna1437</t>
  </si>
  <si>
    <t>Coluna1438</t>
  </si>
  <si>
    <t>Coluna1439</t>
  </si>
  <si>
    <t>Coluna1440</t>
  </si>
  <si>
    <t>Coluna1441</t>
  </si>
  <si>
    <t>Coluna1442</t>
  </si>
  <si>
    <t>Coluna1443</t>
  </si>
  <si>
    <t>Coluna1444</t>
  </si>
  <si>
    <t>Coluna1445</t>
  </si>
  <si>
    <t>Coluna1446</t>
  </si>
  <si>
    <t>Coluna1447</t>
  </si>
  <si>
    <t>Coluna1448</t>
  </si>
  <si>
    <t>Coluna1449</t>
  </si>
  <si>
    <t>Coluna1450</t>
  </si>
  <si>
    <t>Coluna1451</t>
  </si>
  <si>
    <t>Coluna1452</t>
  </si>
  <si>
    <t>Coluna1453</t>
  </si>
  <si>
    <t>Coluna1454</t>
  </si>
  <si>
    <t>Coluna1455</t>
  </si>
  <si>
    <t>Coluna1456</t>
  </si>
  <si>
    <t>Coluna1457</t>
  </si>
  <si>
    <t>Coluna1458</t>
  </si>
  <si>
    <t>Coluna1459</t>
  </si>
  <si>
    <t>Coluna1460</t>
  </si>
  <si>
    <t>Coluna1461</t>
  </si>
  <si>
    <t>Coluna1462</t>
  </si>
  <si>
    <t>Coluna1463</t>
  </si>
  <si>
    <t>Coluna1464</t>
  </si>
  <si>
    <t>Coluna1465</t>
  </si>
  <si>
    <t>Coluna1466</t>
  </si>
  <si>
    <t>Coluna1467</t>
  </si>
  <si>
    <t>Coluna1468</t>
  </si>
  <si>
    <t>Coluna1469</t>
  </si>
  <si>
    <t>Coluna1470</t>
  </si>
  <si>
    <t>Coluna1471</t>
  </si>
  <si>
    <t>Coluna1472</t>
  </si>
  <si>
    <t>Coluna1473</t>
  </si>
  <si>
    <t>Coluna1474</t>
  </si>
  <si>
    <t>Coluna1475</t>
  </si>
  <si>
    <t>Coluna1476</t>
  </si>
  <si>
    <t>Coluna1477</t>
  </si>
  <si>
    <t>Coluna1478</t>
  </si>
  <si>
    <t>Coluna1479</t>
  </si>
  <si>
    <t>Coluna1480</t>
  </si>
  <si>
    <t>Coluna1481</t>
  </si>
  <si>
    <t>Coluna1482</t>
  </si>
  <si>
    <t>Coluna1483</t>
  </si>
  <si>
    <t>Coluna1484</t>
  </si>
  <si>
    <t>Coluna1485</t>
  </si>
  <si>
    <t>Coluna1486</t>
  </si>
  <si>
    <t>Coluna1487</t>
  </si>
  <si>
    <t>Coluna1488</t>
  </si>
  <si>
    <t>Coluna1489</t>
  </si>
  <si>
    <t>Coluna1490</t>
  </si>
  <si>
    <t>Coluna1491</t>
  </si>
  <si>
    <t>Coluna1492</t>
  </si>
  <si>
    <t>Coluna1493</t>
  </si>
  <si>
    <t>Coluna1494</t>
  </si>
  <si>
    <t>Coluna1495</t>
  </si>
  <si>
    <t>Coluna1496</t>
  </si>
  <si>
    <t>Coluna1497</t>
  </si>
  <si>
    <t>Coluna1498</t>
  </si>
  <si>
    <t>Coluna1499</t>
  </si>
  <si>
    <t>Coluna1500</t>
  </si>
  <si>
    <t>Coluna1501</t>
  </si>
  <si>
    <t>Coluna1502</t>
  </si>
  <si>
    <t>Coluna1503</t>
  </si>
  <si>
    <t>Coluna1504</t>
  </si>
  <si>
    <t>Coluna1505</t>
  </si>
  <si>
    <t>Coluna1506</t>
  </si>
  <si>
    <t>Coluna1507</t>
  </si>
  <si>
    <t>Coluna1508</t>
  </si>
  <si>
    <t>Coluna1509</t>
  </si>
  <si>
    <t>Coluna1510</t>
  </si>
  <si>
    <t>Coluna1511</t>
  </si>
  <si>
    <t>Coluna1512</t>
  </si>
  <si>
    <t>Coluna1513</t>
  </si>
  <si>
    <t>Coluna1514</t>
  </si>
  <si>
    <t>Coluna1515</t>
  </si>
  <si>
    <t>Coluna1516</t>
  </si>
  <si>
    <t>Coluna1517</t>
  </si>
  <si>
    <t>Coluna1518</t>
  </si>
  <si>
    <t>Coluna1519</t>
  </si>
  <si>
    <t>Coluna1520</t>
  </si>
  <si>
    <t>Coluna1521</t>
  </si>
  <si>
    <t>Coluna1522</t>
  </si>
  <si>
    <t>Coluna1523</t>
  </si>
  <si>
    <t>Coluna1524</t>
  </si>
  <si>
    <t>Coluna1525</t>
  </si>
  <si>
    <t>Coluna1526</t>
  </si>
  <si>
    <t>Coluna1527</t>
  </si>
  <si>
    <t>Coluna1528</t>
  </si>
  <si>
    <t>Coluna1529</t>
  </si>
  <si>
    <t>Coluna1530</t>
  </si>
  <si>
    <t>Coluna1531</t>
  </si>
  <si>
    <t>Coluna1532</t>
  </si>
  <si>
    <t>Coluna1533</t>
  </si>
  <si>
    <t>Coluna1534</t>
  </si>
  <si>
    <t>Coluna1535</t>
  </si>
  <si>
    <t>Coluna1536</t>
  </si>
  <si>
    <t>Coluna1537</t>
  </si>
  <si>
    <t>Coluna1538</t>
  </si>
  <si>
    <t>Coluna1539</t>
  </si>
  <si>
    <t>Coluna1540</t>
  </si>
  <si>
    <t>Coluna1541</t>
  </si>
  <si>
    <t>Coluna1542</t>
  </si>
  <si>
    <t>Coluna1543</t>
  </si>
  <si>
    <t>Coluna1544</t>
  </si>
  <si>
    <t>Coluna1545</t>
  </si>
  <si>
    <t>Coluna1546</t>
  </si>
  <si>
    <t>Coluna1547</t>
  </si>
  <si>
    <t>Coluna1548</t>
  </si>
  <si>
    <t>Coluna1549</t>
  </si>
  <si>
    <t>Coluna1550</t>
  </si>
  <si>
    <t>Coluna1551</t>
  </si>
  <si>
    <t>Coluna1552</t>
  </si>
  <si>
    <t>Coluna1553</t>
  </si>
  <si>
    <t>Coluna1554</t>
  </si>
  <si>
    <t>Coluna1555</t>
  </si>
  <si>
    <t>Coluna1556</t>
  </si>
  <si>
    <t>Coluna1557</t>
  </si>
  <si>
    <t>Coluna1558</t>
  </si>
  <si>
    <t>Coluna1559</t>
  </si>
  <si>
    <t>Coluna1560</t>
  </si>
  <si>
    <t>Coluna1561</t>
  </si>
  <si>
    <t>Coluna1562</t>
  </si>
  <si>
    <t>Coluna1563</t>
  </si>
  <si>
    <t>Coluna1564</t>
  </si>
  <si>
    <t>Coluna1565</t>
  </si>
  <si>
    <t>Coluna1566</t>
  </si>
  <si>
    <t>Coluna1567</t>
  </si>
  <si>
    <t>Coluna1568</t>
  </si>
  <si>
    <t>Coluna1569</t>
  </si>
  <si>
    <t>Coluna1570</t>
  </si>
  <si>
    <t>Coluna1571</t>
  </si>
  <si>
    <t>Coluna1572</t>
  </si>
  <si>
    <t>Coluna1573</t>
  </si>
  <si>
    <t>Coluna1574</t>
  </si>
  <si>
    <t>Coluna1575</t>
  </si>
  <si>
    <t>Coluna1576</t>
  </si>
  <si>
    <t>Coluna1577</t>
  </si>
  <si>
    <t>Coluna1578</t>
  </si>
  <si>
    <t>Coluna1579</t>
  </si>
  <si>
    <t>Coluna1580</t>
  </si>
  <si>
    <t>Coluna1581</t>
  </si>
  <si>
    <t>Coluna1582</t>
  </si>
  <si>
    <t>Coluna1583</t>
  </si>
  <si>
    <t>Coluna1584</t>
  </si>
  <si>
    <t>Coluna1585</t>
  </si>
  <si>
    <t>Coluna1586</t>
  </si>
  <si>
    <t>Coluna1587</t>
  </si>
  <si>
    <t>Coluna1588</t>
  </si>
  <si>
    <t>Coluna1589</t>
  </si>
  <si>
    <t>Coluna1590</t>
  </si>
  <si>
    <t>Coluna1591</t>
  </si>
  <si>
    <t>Coluna1592</t>
  </si>
  <si>
    <t>Coluna1593</t>
  </si>
  <si>
    <t>Coluna1594</t>
  </si>
  <si>
    <t>Coluna1595</t>
  </si>
  <si>
    <t>Coluna1596</t>
  </si>
  <si>
    <t>Coluna1597</t>
  </si>
  <si>
    <t>Coluna1598</t>
  </si>
  <si>
    <t>Coluna1599</t>
  </si>
  <si>
    <t>Coluna1600</t>
  </si>
  <si>
    <t>Coluna1601</t>
  </si>
  <si>
    <t>Coluna1602</t>
  </si>
  <si>
    <t>Coluna1603</t>
  </si>
  <si>
    <t>Coluna1604</t>
  </si>
  <si>
    <t>Coluna1605</t>
  </si>
  <si>
    <t>Coluna1606</t>
  </si>
  <si>
    <t>Coluna1607</t>
  </si>
  <si>
    <t>Coluna1608</t>
  </si>
  <si>
    <t>Coluna1609</t>
  </si>
  <si>
    <t>Coluna1610</t>
  </si>
  <si>
    <t>Coluna1611</t>
  </si>
  <si>
    <t>Coluna1612</t>
  </si>
  <si>
    <t>Coluna1613</t>
  </si>
  <si>
    <t>Coluna1614</t>
  </si>
  <si>
    <t>Coluna1615</t>
  </si>
  <si>
    <t>Coluna1616</t>
  </si>
  <si>
    <t>Coluna1617</t>
  </si>
  <si>
    <t>Coluna1618</t>
  </si>
  <si>
    <t>Coluna1619</t>
  </si>
  <si>
    <t>Coluna1620</t>
  </si>
  <si>
    <t>Coluna1621</t>
  </si>
  <si>
    <t>Coluna1622</t>
  </si>
  <si>
    <t>Coluna1623</t>
  </si>
  <si>
    <t>Coluna1624</t>
  </si>
  <si>
    <t>Coluna1625</t>
  </si>
  <si>
    <t>Coluna1626</t>
  </si>
  <si>
    <t>Coluna1627</t>
  </si>
  <si>
    <t>Coluna1628</t>
  </si>
  <si>
    <t>Coluna1629</t>
  </si>
  <si>
    <t>Coluna1630</t>
  </si>
  <si>
    <t>Coluna1631</t>
  </si>
  <si>
    <t>Coluna1632</t>
  </si>
  <si>
    <t>Coluna1633</t>
  </si>
  <si>
    <t>Coluna1634</t>
  </si>
  <si>
    <t>Coluna1635</t>
  </si>
  <si>
    <t>Coluna1636</t>
  </si>
  <si>
    <t>Coluna1637</t>
  </si>
  <si>
    <t>Coluna1638</t>
  </si>
  <si>
    <t>Coluna1639</t>
  </si>
  <si>
    <t>Coluna1640</t>
  </si>
  <si>
    <t>Coluna1641</t>
  </si>
  <si>
    <t>Coluna1642</t>
  </si>
  <si>
    <t>Coluna1643</t>
  </si>
  <si>
    <t>Coluna1644</t>
  </si>
  <si>
    <t>Coluna1645</t>
  </si>
  <si>
    <t>Coluna1646</t>
  </si>
  <si>
    <t>Coluna1647</t>
  </si>
  <si>
    <t>Coluna1648</t>
  </si>
  <si>
    <t>Coluna1649</t>
  </si>
  <si>
    <t>Coluna1650</t>
  </si>
  <si>
    <t>Coluna1651</t>
  </si>
  <si>
    <t>Coluna1652</t>
  </si>
  <si>
    <t>Coluna1653</t>
  </si>
  <si>
    <t>Coluna1654</t>
  </si>
  <si>
    <t>Coluna1655</t>
  </si>
  <si>
    <t>Coluna1656</t>
  </si>
  <si>
    <t>Coluna1657</t>
  </si>
  <si>
    <t>Coluna1658</t>
  </si>
  <si>
    <t>Coluna1659</t>
  </si>
  <si>
    <t>Coluna1660</t>
  </si>
  <si>
    <t>Coluna1661</t>
  </si>
  <si>
    <t>Coluna1662</t>
  </si>
  <si>
    <t>Coluna1663</t>
  </si>
  <si>
    <t>Coluna1664</t>
  </si>
  <si>
    <t>Coluna1665</t>
  </si>
  <si>
    <t>Coluna1666</t>
  </si>
  <si>
    <t>Coluna1667</t>
  </si>
  <si>
    <t>Coluna1668</t>
  </si>
  <si>
    <t>Coluna1669</t>
  </si>
  <si>
    <t>Coluna1670</t>
  </si>
  <si>
    <t>Coluna1671</t>
  </si>
  <si>
    <t>Coluna1672</t>
  </si>
  <si>
    <t>Coluna1673</t>
  </si>
  <si>
    <t>Coluna1674</t>
  </si>
  <si>
    <t>Coluna1675</t>
  </si>
  <si>
    <t>Coluna1676</t>
  </si>
  <si>
    <t>Coluna1677</t>
  </si>
  <si>
    <t>Coluna1678</t>
  </si>
  <si>
    <t>Coluna1679</t>
  </si>
  <si>
    <t>Coluna1680</t>
  </si>
  <si>
    <t>Coluna1681</t>
  </si>
  <si>
    <t>Coluna1682</t>
  </si>
  <si>
    <t>Coluna1683</t>
  </si>
  <si>
    <t>Coluna1684</t>
  </si>
  <si>
    <t>Coluna1685</t>
  </si>
  <si>
    <t>Coluna1686</t>
  </si>
  <si>
    <t>Coluna1687</t>
  </si>
  <si>
    <t>Coluna1688</t>
  </si>
  <si>
    <t>Coluna1689</t>
  </si>
  <si>
    <t>Coluna1690</t>
  </si>
  <si>
    <t>Coluna1691</t>
  </si>
  <si>
    <t>Coluna1692</t>
  </si>
  <si>
    <t>Coluna1693</t>
  </si>
  <si>
    <t>Coluna1694</t>
  </si>
  <si>
    <t>Coluna1695</t>
  </si>
  <si>
    <t>Coluna1696</t>
  </si>
  <si>
    <t>Coluna1697</t>
  </si>
  <si>
    <t>Coluna1698</t>
  </si>
  <si>
    <t>Coluna1699</t>
  </si>
  <si>
    <t>Coluna1700</t>
  </si>
  <si>
    <t>Coluna1701</t>
  </si>
  <si>
    <t>Coluna1702</t>
  </si>
  <si>
    <t>Coluna1703</t>
  </si>
  <si>
    <t>Coluna1704</t>
  </si>
  <si>
    <t>Coluna1705</t>
  </si>
  <si>
    <t>Coluna1706</t>
  </si>
  <si>
    <t>Coluna1707</t>
  </si>
  <si>
    <t>Coluna1708</t>
  </si>
  <si>
    <t>Coluna1709</t>
  </si>
  <si>
    <t>Coluna1710</t>
  </si>
  <si>
    <t>Coluna1711</t>
  </si>
  <si>
    <t>Coluna1712</t>
  </si>
  <si>
    <t>Coluna1713</t>
  </si>
  <si>
    <t>Coluna1714</t>
  </si>
  <si>
    <t>Coluna1715</t>
  </si>
  <si>
    <t>Coluna1716</t>
  </si>
  <si>
    <t>Coluna1717</t>
  </si>
  <si>
    <t>Coluna1718</t>
  </si>
  <si>
    <t>Coluna1719</t>
  </si>
  <si>
    <t>Coluna1720</t>
  </si>
  <si>
    <t>Coluna1721</t>
  </si>
  <si>
    <t>Coluna1722</t>
  </si>
  <si>
    <t>Coluna1723</t>
  </si>
  <si>
    <t>Coluna1724</t>
  </si>
  <si>
    <t>Coluna1725</t>
  </si>
  <si>
    <t>Coluna1726</t>
  </si>
  <si>
    <t>Coluna1727</t>
  </si>
  <si>
    <t>Coluna1728</t>
  </si>
  <si>
    <t>Coluna1729</t>
  </si>
  <si>
    <t>Coluna1730</t>
  </si>
  <si>
    <t>Coluna1731</t>
  </si>
  <si>
    <t>Coluna1732</t>
  </si>
  <si>
    <t>Coluna1733</t>
  </si>
  <si>
    <t>Coluna1734</t>
  </si>
  <si>
    <t>Coluna1735</t>
  </si>
  <si>
    <t>Coluna1736</t>
  </si>
  <si>
    <t>Coluna1737</t>
  </si>
  <si>
    <t>Coluna1738</t>
  </si>
  <si>
    <t>Coluna1739</t>
  </si>
  <si>
    <t>Coluna1740</t>
  </si>
  <si>
    <t>Coluna1741</t>
  </si>
  <si>
    <t>Coluna1742</t>
  </si>
  <si>
    <t>Coluna1743</t>
  </si>
  <si>
    <t>Coluna1744</t>
  </si>
  <si>
    <t>Coluna1745</t>
  </si>
  <si>
    <t>Coluna1746</t>
  </si>
  <si>
    <t>Coluna1747</t>
  </si>
  <si>
    <t>Coluna1748</t>
  </si>
  <si>
    <t>Coluna1749</t>
  </si>
  <si>
    <t>Coluna1750</t>
  </si>
  <si>
    <t>Coluna1751</t>
  </si>
  <si>
    <t>Coluna1752</t>
  </si>
  <si>
    <t>Coluna1753</t>
  </si>
  <si>
    <t>Coluna1754</t>
  </si>
  <si>
    <t>Coluna1755</t>
  </si>
  <si>
    <t>Coluna1756</t>
  </si>
  <si>
    <t>Coluna1757</t>
  </si>
  <si>
    <t>Coluna1758</t>
  </si>
  <si>
    <t>Coluna1759</t>
  </si>
  <si>
    <t>Coluna1760</t>
  </si>
  <si>
    <t>Coluna1761</t>
  </si>
  <si>
    <t>Coluna1762</t>
  </si>
  <si>
    <t>Coluna1763</t>
  </si>
  <si>
    <t>Coluna1764</t>
  </si>
  <si>
    <t>Coluna1765</t>
  </si>
  <si>
    <t>Coluna1766</t>
  </si>
  <si>
    <t>Coluna1767</t>
  </si>
  <si>
    <t>Coluna1768</t>
  </si>
  <si>
    <t>Coluna1769</t>
  </si>
  <si>
    <t>Coluna1770</t>
  </si>
  <si>
    <t>Coluna1771</t>
  </si>
  <si>
    <t>Coluna1772</t>
  </si>
  <si>
    <t>Coluna1773</t>
  </si>
  <si>
    <t>Coluna1774</t>
  </si>
  <si>
    <t>Coluna1775</t>
  </si>
  <si>
    <t>Coluna1776</t>
  </si>
  <si>
    <t>Coluna1777</t>
  </si>
  <si>
    <t>Coluna1778</t>
  </si>
  <si>
    <t>Coluna1779</t>
  </si>
  <si>
    <t>Coluna1780</t>
  </si>
  <si>
    <t>Coluna1781</t>
  </si>
  <si>
    <t>Coluna1782</t>
  </si>
  <si>
    <t>Coluna1783</t>
  </si>
  <si>
    <t>Coluna1784</t>
  </si>
  <si>
    <t>Coluna1785</t>
  </si>
  <si>
    <t>Coluna1786</t>
  </si>
  <si>
    <t>Coluna1787</t>
  </si>
  <si>
    <t>Coluna1788</t>
  </si>
  <si>
    <t>Coluna1789</t>
  </si>
  <si>
    <t>Coluna1790</t>
  </si>
  <si>
    <t>Coluna1791</t>
  </si>
  <si>
    <t>Coluna1792</t>
  </si>
  <si>
    <t>Coluna1793</t>
  </si>
  <si>
    <t>Coluna1794</t>
  </si>
  <si>
    <t>Coluna1795</t>
  </si>
  <si>
    <t>Coluna1796</t>
  </si>
  <si>
    <t>Coluna1797</t>
  </si>
  <si>
    <t>Coluna1798</t>
  </si>
  <si>
    <t>Coluna1799</t>
  </si>
  <si>
    <t>Coluna1800</t>
  </si>
  <si>
    <t>Coluna1801</t>
  </si>
  <si>
    <t>Coluna1802</t>
  </si>
  <si>
    <t>Coluna1803</t>
  </si>
  <si>
    <t>Coluna1804</t>
  </si>
  <si>
    <t>Coluna1805</t>
  </si>
  <si>
    <t>Coluna1806</t>
  </si>
  <si>
    <t>Coluna1807</t>
  </si>
  <si>
    <t>Coluna1808</t>
  </si>
  <si>
    <t>Coluna1809</t>
  </si>
  <si>
    <t>Coluna1810</t>
  </si>
  <si>
    <t>Coluna1811</t>
  </si>
  <si>
    <t>Coluna1812</t>
  </si>
  <si>
    <t>Coluna1813</t>
  </si>
  <si>
    <t>Coluna1814</t>
  </si>
  <si>
    <t>Coluna1815</t>
  </si>
  <si>
    <t>Coluna1816</t>
  </si>
  <si>
    <t>Coluna1817</t>
  </si>
  <si>
    <t>Coluna1818</t>
  </si>
  <si>
    <t>Coluna1819</t>
  </si>
  <si>
    <t>Coluna1820</t>
  </si>
  <si>
    <t>Coluna1821</t>
  </si>
  <si>
    <t>Coluna1822</t>
  </si>
  <si>
    <t>Coluna1823</t>
  </si>
  <si>
    <t>Coluna1824</t>
  </si>
  <si>
    <t>Coluna1825</t>
  </si>
  <si>
    <t>Coluna1826</t>
  </si>
  <si>
    <t>Coluna1827</t>
  </si>
  <si>
    <t>Coluna1828</t>
  </si>
  <si>
    <t>Coluna1829</t>
  </si>
  <si>
    <t>Coluna1830</t>
  </si>
  <si>
    <t>Coluna1831</t>
  </si>
  <si>
    <t>Coluna1832</t>
  </si>
  <si>
    <t>Coluna1833</t>
  </si>
  <si>
    <t>Coluna1834</t>
  </si>
  <si>
    <t>Coluna1835</t>
  </si>
  <si>
    <t>Coluna1836</t>
  </si>
  <si>
    <t>Coluna1837</t>
  </si>
  <si>
    <t>Coluna1838</t>
  </si>
  <si>
    <t>Coluna1839</t>
  </si>
  <si>
    <t>Coluna1840</t>
  </si>
  <si>
    <t>Coluna1841</t>
  </si>
  <si>
    <t>Coluna1842</t>
  </si>
  <si>
    <t>Coluna1843</t>
  </si>
  <si>
    <t>Coluna1844</t>
  </si>
  <si>
    <t>Coluna1845</t>
  </si>
  <si>
    <t>Coluna1846</t>
  </si>
  <si>
    <t>Coluna1847</t>
  </si>
  <si>
    <t>Coluna1848</t>
  </si>
  <si>
    <t>Coluna1849</t>
  </si>
  <si>
    <t>Coluna1850</t>
  </si>
  <si>
    <t>Coluna1851</t>
  </si>
  <si>
    <t>Coluna1852</t>
  </si>
  <si>
    <t>Coluna1853</t>
  </si>
  <si>
    <t>Coluna1854</t>
  </si>
  <si>
    <t>Coluna1855</t>
  </si>
  <si>
    <t>Coluna1856</t>
  </si>
  <si>
    <t>Coluna1857</t>
  </si>
  <si>
    <t>Coluna1858</t>
  </si>
  <si>
    <t>Coluna1859</t>
  </si>
  <si>
    <t>Coluna1860</t>
  </si>
  <si>
    <t>Coluna1861</t>
  </si>
  <si>
    <t>Coluna1862</t>
  </si>
  <si>
    <t>Coluna1863</t>
  </si>
  <si>
    <t>Coluna1864</t>
  </si>
  <si>
    <t>Coluna1865</t>
  </si>
  <si>
    <t>Coluna1866</t>
  </si>
  <si>
    <t>Coluna1867</t>
  </si>
  <si>
    <t>Coluna1868</t>
  </si>
  <si>
    <t>Coluna1869</t>
  </si>
  <si>
    <t>Coluna1870</t>
  </si>
  <si>
    <t>Coluna1871</t>
  </si>
  <si>
    <t>Coluna1872</t>
  </si>
  <si>
    <t>Coluna1873</t>
  </si>
  <si>
    <t>Coluna1874</t>
  </si>
  <si>
    <t>Coluna1875</t>
  </si>
  <si>
    <t>Coluna1876</t>
  </si>
  <si>
    <t>Coluna1877</t>
  </si>
  <si>
    <t>Coluna1878</t>
  </si>
  <si>
    <t>Coluna1879</t>
  </si>
  <si>
    <t>Coluna1880</t>
  </si>
  <si>
    <t>Coluna1881</t>
  </si>
  <si>
    <t>Coluna1882</t>
  </si>
  <si>
    <t>Coluna1883</t>
  </si>
  <si>
    <t>Coluna1884</t>
  </si>
  <si>
    <t>Coluna1885</t>
  </si>
  <si>
    <t>Coluna1886</t>
  </si>
  <si>
    <t>Coluna1887</t>
  </si>
  <si>
    <t>Coluna1888</t>
  </si>
  <si>
    <t>Coluna1889</t>
  </si>
  <si>
    <t>Coluna1890</t>
  </si>
  <si>
    <t>Coluna1891</t>
  </si>
  <si>
    <t>Coluna1892</t>
  </si>
  <si>
    <t>Coluna1893</t>
  </si>
  <si>
    <t>Coluna1894</t>
  </si>
  <si>
    <t>Coluna1895</t>
  </si>
  <si>
    <t>Coluna1896</t>
  </si>
  <si>
    <t>Coluna1897</t>
  </si>
  <si>
    <t>Coluna1898</t>
  </si>
  <si>
    <t>Coluna1899</t>
  </si>
  <si>
    <t>Coluna1900</t>
  </si>
  <si>
    <t>Coluna1901</t>
  </si>
  <si>
    <t>Coluna1902</t>
  </si>
  <si>
    <t>Coluna1903</t>
  </si>
  <si>
    <t>Coluna1904</t>
  </si>
  <si>
    <t>Coluna1905</t>
  </si>
  <si>
    <t>Coluna1906</t>
  </si>
  <si>
    <t>Coluna1907</t>
  </si>
  <si>
    <t>Coluna1908</t>
  </si>
  <si>
    <t>Coluna1909</t>
  </si>
  <si>
    <t>Coluna1910</t>
  </si>
  <si>
    <t>Coluna1911</t>
  </si>
  <si>
    <t>Coluna1912</t>
  </si>
  <si>
    <t>Coluna1913</t>
  </si>
  <si>
    <t>Coluna1914</t>
  </si>
  <si>
    <t>Coluna1915</t>
  </si>
  <si>
    <t>Coluna1916</t>
  </si>
  <si>
    <t>Coluna1917</t>
  </si>
  <si>
    <t>Coluna1918</t>
  </si>
  <si>
    <t>Coluna1919</t>
  </si>
  <si>
    <t>Coluna1920</t>
  </si>
  <si>
    <t>Coluna1921</t>
  </si>
  <si>
    <t>Coluna1922</t>
  </si>
  <si>
    <t>Coluna1923</t>
  </si>
  <si>
    <t>Coluna1924</t>
  </si>
  <si>
    <t>Coluna1925</t>
  </si>
  <si>
    <t>Coluna1926</t>
  </si>
  <si>
    <t>Coluna1927</t>
  </si>
  <si>
    <t>Coluna1928</t>
  </si>
  <si>
    <t>Coluna1929</t>
  </si>
  <si>
    <t>Coluna1930</t>
  </si>
  <si>
    <t>Coluna1931</t>
  </si>
  <si>
    <t>Coluna1932</t>
  </si>
  <si>
    <t>Coluna1933</t>
  </si>
  <si>
    <t>Coluna1934</t>
  </si>
  <si>
    <t>Coluna1935</t>
  </si>
  <si>
    <t>Coluna1936</t>
  </si>
  <si>
    <t>Coluna1937</t>
  </si>
  <si>
    <t>Coluna1938</t>
  </si>
  <si>
    <t>Coluna1939</t>
  </si>
  <si>
    <t>Coluna1940</t>
  </si>
  <si>
    <t>Coluna1941</t>
  </si>
  <si>
    <t>Coluna1942</t>
  </si>
  <si>
    <t>Coluna1943</t>
  </si>
  <si>
    <t>Coluna1944</t>
  </si>
  <si>
    <t>Coluna1945</t>
  </si>
  <si>
    <t>Coluna1946</t>
  </si>
  <si>
    <t>Coluna1947</t>
  </si>
  <si>
    <t>Coluna1948</t>
  </si>
  <si>
    <t>Coluna1949</t>
  </si>
  <si>
    <t>Coluna1950</t>
  </si>
  <si>
    <t>Coluna1951</t>
  </si>
  <si>
    <t>Coluna1952</t>
  </si>
  <si>
    <t>Coluna1953</t>
  </si>
  <si>
    <t>Coluna1954</t>
  </si>
  <si>
    <t>Coluna1955</t>
  </si>
  <si>
    <t>Coluna1956</t>
  </si>
  <si>
    <t>Coluna1957</t>
  </si>
  <si>
    <t>Coluna1958</t>
  </si>
  <si>
    <t>Coluna1959</t>
  </si>
  <si>
    <t>Coluna1960</t>
  </si>
  <si>
    <t>Coluna1961</t>
  </si>
  <si>
    <t>Coluna1962</t>
  </si>
  <si>
    <t>Coluna1963</t>
  </si>
  <si>
    <t>Coluna1964</t>
  </si>
  <si>
    <t>Coluna1965</t>
  </si>
  <si>
    <t>Coluna1966</t>
  </si>
  <si>
    <t>Coluna1967</t>
  </si>
  <si>
    <t>Coluna1968</t>
  </si>
  <si>
    <t>Coluna1969</t>
  </si>
  <si>
    <t>Coluna1970</t>
  </si>
  <si>
    <t>Coluna1971</t>
  </si>
  <si>
    <t>Coluna1972</t>
  </si>
  <si>
    <t>Coluna1973</t>
  </si>
  <si>
    <t>Coluna1974</t>
  </si>
  <si>
    <t>Coluna1975</t>
  </si>
  <si>
    <t>Coluna1976</t>
  </si>
  <si>
    <t>Coluna1977</t>
  </si>
  <si>
    <t>Coluna1978</t>
  </si>
  <si>
    <t>Coluna1979</t>
  </si>
  <si>
    <t>Coluna1980</t>
  </si>
  <si>
    <t>Coluna1981</t>
  </si>
  <si>
    <t>Coluna1982</t>
  </si>
  <si>
    <t>Coluna1983</t>
  </si>
  <si>
    <t>Coluna1984</t>
  </si>
  <si>
    <t>Coluna1985</t>
  </si>
  <si>
    <t>Coluna1986</t>
  </si>
  <si>
    <t>Coluna1987</t>
  </si>
  <si>
    <t>Coluna1988</t>
  </si>
  <si>
    <t>Coluna1989</t>
  </si>
  <si>
    <t>Coluna1990</t>
  </si>
  <si>
    <t>Coluna1991</t>
  </si>
  <si>
    <t>Coluna1992</t>
  </si>
  <si>
    <t>Coluna1993</t>
  </si>
  <si>
    <t>Coluna1994</t>
  </si>
  <si>
    <t>Coluna1995</t>
  </si>
  <si>
    <t>Coluna1996</t>
  </si>
  <si>
    <t>Coluna1997</t>
  </si>
  <si>
    <t>Coluna1998</t>
  </si>
  <si>
    <t>Coluna1999</t>
  </si>
  <si>
    <t>Coluna2000</t>
  </si>
  <si>
    <t>Coluna2001</t>
  </si>
  <si>
    <t>Coluna2002</t>
  </si>
  <si>
    <t>Coluna2003</t>
  </si>
  <si>
    <t>Coluna2004</t>
  </si>
  <si>
    <t>Coluna2005</t>
  </si>
  <si>
    <t>Coluna2006</t>
  </si>
  <si>
    <t>Coluna2007</t>
  </si>
  <si>
    <t>Coluna2008</t>
  </si>
  <si>
    <t>Coluna2009</t>
  </si>
  <si>
    <t>Coluna2010</t>
  </si>
  <si>
    <t>Coluna2011</t>
  </si>
  <si>
    <t>Coluna2012</t>
  </si>
  <si>
    <t>Coluna2013</t>
  </si>
  <si>
    <t>Coluna2014</t>
  </si>
  <si>
    <t>Coluna2015</t>
  </si>
  <si>
    <t>Coluna2016</t>
  </si>
  <si>
    <t>Coluna2017</t>
  </si>
  <si>
    <t>Coluna2018</t>
  </si>
  <si>
    <t>Coluna2019</t>
  </si>
  <si>
    <t>Coluna2020</t>
  </si>
  <si>
    <t>Coluna2021</t>
  </si>
  <si>
    <t>Coluna2022</t>
  </si>
  <si>
    <t>Coluna2023</t>
  </si>
  <si>
    <t>Coluna2024</t>
  </si>
  <si>
    <t>Coluna2025</t>
  </si>
  <si>
    <t>Coluna2026</t>
  </si>
  <si>
    <t>Coluna2027</t>
  </si>
  <si>
    <t>Coluna2028</t>
  </si>
  <si>
    <t>Coluna2029</t>
  </si>
  <si>
    <t>Coluna2030</t>
  </si>
  <si>
    <t>Coluna2031</t>
  </si>
  <si>
    <t>Coluna2032</t>
  </si>
  <si>
    <t>Coluna2033</t>
  </si>
  <si>
    <t>Coluna2034</t>
  </si>
  <si>
    <t>Coluna2035</t>
  </si>
  <si>
    <t>Coluna2036</t>
  </si>
  <si>
    <t>Coluna2037</t>
  </si>
  <si>
    <t>Coluna2038</t>
  </si>
  <si>
    <t>Coluna2039</t>
  </si>
  <si>
    <t>Coluna2040</t>
  </si>
  <si>
    <t>Coluna2041</t>
  </si>
  <si>
    <t>Coluna2042</t>
  </si>
  <si>
    <t>Coluna2043</t>
  </si>
  <si>
    <t>Coluna2044</t>
  </si>
  <si>
    <t>Coluna2045</t>
  </si>
  <si>
    <t>Coluna2046</t>
  </si>
  <si>
    <t>Coluna2047</t>
  </si>
  <si>
    <t>Coluna2048</t>
  </si>
  <si>
    <t>Coluna2049</t>
  </si>
  <si>
    <t>Coluna2050</t>
  </si>
  <si>
    <t>Coluna2051</t>
  </si>
  <si>
    <t>Coluna2052</t>
  </si>
  <si>
    <t>Coluna2053</t>
  </si>
  <si>
    <t>Coluna2054</t>
  </si>
  <si>
    <t>Coluna2055</t>
  </si>
  <si>
    <t>Coluna2056</t>
  </si>
  <si>
    <t>Coluna2057</t>
  </si>
  <si>
    <t>Coluna2058</t>
  </si>
  <si>
    <t>Coluna2059</t>
  </si>
  <si>
    <t>Coluna2060</t>
  </si>
  <si>
    <t>Coluna2061</t>
  </si>
  <si>
    <t>Coluna2062</t>
  </si>
  <si>
    <t>Coluna2063</t>
  </si>
  <si>
    <t>Coluna2064</t>
  </si>
  <si>
    <t>Coluna2065</t>
  </si>
  <si>
    <t>Coluna2066</t>
  </si>
  <si>
    <t>Coluna2067</t>
  </si>
  <si>
    <t>Coluna2068</t>
  </si>
  <si>
    <t>Coluna2069</t>
  </si>
  <si>
    <t>Coluna2070</t>
  </si>
  <si>
    <t>Coluna2071</t>
  </si>
  <si>
    <t>Coluna2072</t>
  </si>
  <si>
    <t>Coluna2073</t>
  </si>
  <si>
    <t>Coluna2074</t>
  </si>
  <si>
    <t>Coluna2075</t>
  </si>
  <si>
    <t>Coluna2076</t>
  </si>
  <si>
    <t>Coluna2077</t>
  </si>
  <si>
    <t>Coluna2078</t>
  </si>
  <si>
    <t>Coluna2079</t>
  </si>
  <si>
    <t>Coluna2080</t>
  </si>
  <si>
    <t>Coluna2081</t>
  </si>
  <si>
    <t>Coluna2082</t>
  </si>
  <si>
    <t>Coluna2083</t>
  </si>
  <si>
    <t>Coluna2084</t>
  </si>
  <si>
    <t>Coluna2085</t>
  </si>
  <si>
    <t>Coluna2086</t>
  </si>
  <si>
    <t>Coluna2087</t>
  </si>
  <si>
    <t>Coluna2088</t>
  </si>
  <si>
    <t>Coluna2089</t>
  </si>
  <si>
    <t>Coluna2090</t>
  </si>
  <si>
    <t>Coluna2091</t>
  </si>
  <si>
    <t>Coluna2092</t>
  </si>
  <si>
    <t>Coluna2093</t>
  </si>
  <si>
    <t>Coluna2094</t>
  </si>
  <si>
    <t>Coluna2095</t>
  </si>
  <si>
    <t>Coluna2096</t>
  </si>
  <si>
    <t>Coluna2097</t>
  </si>
  <si>
    <t>Coluna2098</t>
  </si>
  <si>
    <t>Coluna2099</t>
  </si>
  <si>
    <t>Coluna2100</t>
  </si>
  <si>
    <t>Coluna2101</t>
  </si>
  <si>
    <t>Coluna2102</t>
  </si>
  <si>
    <t>Coluna2103</t>
  </si>
  <si>
    <t>Coluna2104</t>
  </si>
  <si>
    <t>Coluna2105</t>
  </si>
  <si>
    <t>Coluna2106</t>
  </si>
  <si>
    <t>Coluna2107</t>
  </si>
  <si>
    <t>Coluna2108</t>
  </si>
  <si>
    <t>Coluna2109</t>
  </si>
  <si>
    <t>Coluna2110</t>
  </si>
  <si>
    <t>Coluna2111</t>
  </si>
  <si>
    <t>Coluna2112</t>
  </si>
  <si>
    <t>Coluna2113</t>
  </si>
  <si>
    <t>Coluna2114</t>
  </si>
  <si>
    <t>Coluna2115</t>
  </si>
  <si>
    <t>Coluna2116</t>
  </si>
  <si>
    <t>Coluna2117</t>
  </si>
  <si>
    <t>Coluna2118</t>
  </si>
  <si>
    <t>Coluna2119</t>
  </si>
  <si>
    <t>Coluna2120</t>
  </si>
  <si>
    <t>Coluna2121</t>
  </si>
  <si>
    <t>Coluna2122</t>
  </si>
  <si>
    <t>Coluna2123</t>
  </si>
  <si>
    <t>Coluna2124</t>
  </si>
  <si>
    <t>Coluna2125</t>
  </si>
  <si>
    <t>Coluna2126</t>
  </si>
  <si>
    <t>Coluna2127</t>
  </si>
  <si>
    <t>Coluna2128</t>
  </si>
  <si>
    <t>Coluna2129</t>
  </si>
  <si>
    <t>Coluna2130</t>
  </si>
  <si>
    <t>Coluna2131</t>
  </si>
  <si>
    <t>Coluna2132</t>
  </si>
  <si>
    <t>Coluna2133</t>
  </si>
  <si>
    <t>Coluna2134</t>
  </si>
  <si>
    <t>Coluna2135</t>
  </si>
  <si>
    <t>Coluna2136</t>
  </si>
  <si>
    <t>Coluna2137</t>
  </si>
  <si>
    <t>Coluna2138</t>
  </si>
  <si>
    <t>Coluna2139</t>
  </si>
  <si>
    <t>Coluna2140</t>
  </si>
  <si>
    <t>Coluna2141</t>
  </si>
  <si>
    <t>Coluna2142</t>
  </si>
  <si>
    <t>Coluna2143</t>
  </si>
  <si>
    <t>Coluna2144</t>
  </si>
  <si>
    <t>Coluna2145</t>
  </si>
  <si>
    <t>Coluna2146</t>
  </si>
  <si>
    <t>Coluna2147</t>
  </si>
  <si>
    <t>Coluna2148</t>
  </si>
  <si>
    <t>Coluna2149</t>
  </si>
  <si>
    <t>Coluna2150</t>
  </si>
  <si>
    <t>Coluna2151</t>
  </si>
  <si>
    <t>Coluna2152</t>
  </si>
  <si>
    <t>Coluna2153</t>
  </si>
  <si>
    <t>Coluna2154</t>
  </si>
  <si>
    <t>Coluna2155</t>
  </si>
  <si>
    <t>Coluna2156</t>
  </si>
  <si>
    <t>Coluna2157</t>
  </si>
  <si>
    <t>Coluna2158</t>
  </si>
  <si>
    <t>Coluna2159</t>
  </si>
  <si>
    <t>Coluna2160</t>
  </si>
  <si>
    <t>Coluna2161</t>
  </si>
  <si>
    <t>Coluna2162</t>
  </si>
  <si>
    <t>Coluna2163</t>
  </si>
  <si>
    <t>Coluna2164</t>
  </si>
  <si>
    <t>Coluna2165</t>
  </si>
  <si>
    <t>Coluna2166</t>
  </si>
  <si>
    <t>Coluna2167</t>
  </si>
  <si>
    <t>Coluna2168</t>
  </si>
  <si>
    <t>Coluna2169</t>
  </si>
  <si>
    <t>Coluna2170</t>
  </si>
  <si>
    <t>Coluna2171</t>
  </si>
  <si>
    <t>Coluna2172</t>
  </si>
  <si>
    <t>Coluna2173</t>
  </si>
  <si>
    <t>Coluna2174</t>
  </si>
  <si>
    <t>Coluna2175</t>
  </si>
  <si>
    <t>Coluna2176</t>
  </si>
  <si>
    <t>Coluna2177</t>
  </si>
  <si>
    <t>Coluna2178</t>
  </si>
  <si>
    <t>Coluna2179</t>
  </si>
  <si>
    <t>Coluna2180</t>
  </si>
  <si>
    <t>Coluna2181</t>
  </si>
  <si>
    <t>Coluna2182</t>
  </si>
  <si>
    <t>Coluna2183</t>
  </si>
  <si>
    <t>Coluna2184</t>
  </si>
  <si>
    <t>Coluna2185</t>
  </si>
  <si>
    <t>Coluna2186</t>
  </si>
  <si>
    <t>Coluna2187</t>
  </si>
  <si>
    <t>Coluna2188</t>
  </si>
  <si>
    <t>Coluna2189</t>
  </si>
  <si>
    <t>Coluna2190</t>
  </si>
  <si>
    <t>Coluna2191</t>
  </si>
  <si>
    <t>Coluna2192</t>
  </si>
  <si>
    <t>Coluna2193</t>
  </si>
  <si>
    <t>Coluna2194</t>
  </si>
  <si>
    <t>Coluna2195</t>
  </si>
  <si>
    <t>Coluna2196</t>
  </si>
  <si>
    <t>Coluna2197</t>
  </si>
  <si>
    <t>Coluna2198</t>
  </si>
  <si>
    <t>Coluna2199</t>
  </si>
  <si>
    <t>Coluna2200</t>
  </si>
  <si>
    <t>Coluna2201</t>
  </si>
  <si>
    <t>Coluna2202</t>
  </si>
  <si>
    <t>Coluna2203</t>
  </si>
  <si>
    <t>Coluna2204</t>
  </si>
  <si>
    <t>Coluna2205</t>
  </si>
  <si>
    <t>Coluna2206</t>
  </si>
  <si>
    <t>Coluna2207</t>
  </si>
  <si>
    <t>Coluna2208</t>
  </si>
  <si>
    <t>Coluna2209</t>
  </si>
  <si>
    <t>Coluna2210</t>
  </si>
  <si>
    <t>Coluna2211</t>
  </si>
  <si>
    <t>Coluna2212</t>
  </si>
  <si>
    <t>Coluna2213</t>
  </si>
  <si>
    <t>Coluna2214</t>
  </si>
  <si>
    <t>Coluna2215</t>
  </si>
  <si>
    <t>Coluna2216</t>
  </si>
  <si>
    <t>Coluna2217</t>
  </si>
  <si>
    <t>Coluna2218</t>
  </si>
  <si>
    <t>Coluna2219</t>
  </si>
  <si>
    <t>Coluna2220</t>
  </si>
  <si>
    <t>Coluna2221</t>
  </si>
  <si>
    <t>Coluna2222</t>
  </si>
  <si>
    <t>Coluna2223</t>
  </si>
  <si>
    <t>Coluna2224</t>
  </si>
  <si>
    <t>Coluna2225</t>
  </si>
  <si>
    <t>Coluna2226</t>
  </si>
  <si>
    <t>Coluna2227</t>
  </si>
  <si>
    <t>Coluna2228</t>
  </si>
  <si>
    <t>Coluna2229</t>
  </si>
  <si>
    <t>Coluna2230</t>
  </si>
  <si>
    <t>Coluna2231</t>
  </si>
  <si>
    <t>Coluna2232</t>
  </si>
  <si>
    <t>Coluna2233</t>
  </si>
  <si>
    <t>Coluna2234</t>
  </si>
  <si>
    <t>Coluna2235</t>
  </si>
  <si>
    <t>Coluna2236</t>
  </si>
  <si>
    <t>Coluna2237</t>
  </si>
  <si>
    <t>Coluna2238</t>
  </si>
  <si>
    <t>Coluna2239</t>
  </si>
  <si>
    <t>Coluna2240</t>
  </si>
  <si>
    <t>Coluna2241</t>
  </si>
  <si>
    <t>Coluna2242</t>
  </si>
  <si>
    <t>Coluna2243</t>
  </si>
  <si>
    <t>Coluna2244</t>
  </si>
  <si>
    <t>Coluna2245</t>
  </si>
  <si>
    <t>Coluna2246</t>
  </si>
  <si>
    <t>Coluna2247</t>
  </si>
  <si>
    <t>Coluna2248</t>
  </si>
  <si>
    <t>Coluna2249</t>
  </si>
  <si>
    <t>Coluna2250</t>
  </si>
  <si>
    <t>Coluna2251</t>
  </si>
  <si>
    <t>Coluna2252</t>
  </si>
  <si>
    <t>Coluna2253</t>
  </si>
  <si>
    <t>Coluna2254</t>
  </si>
  <si>
    <t>Coluna2255</t>
  </si>
  <si>
    <t>Coluna2256</t>
  </si>
  <si>
    <t>Coluna2257</t>
  </si>
  <si>
    <t>Coluna2258</t>
  </si>
  <si>
    <t>Coluna2259</t>
  </si>
  <si>
    <t>Coluna2260</t>
  </si>
  <si>
    <t>Coluna2261</t>
  </si>
  <si>
    <t>Coluna2262</t>
  </si>
  <si>
    <t>Coluna2263</t>
  </si>
  <si>
    <t>Coluna2264</t>
  </si>
  <si>
    <t>Coluna2265</t>
  </si>
  <si>
    <t>Coluna2266</t>
  </si>
  <si>
    <t>Coluna2267</t>
  </si>
  <si>
    <t>Coluna2268</t>
  </si>
  <si>
    <t>Coluna2269</t>
  </si>
  <si>
    <t>Coluna2270</t>
  </si>
  <si>
    <t>Coluna2271</t>
  </si>
  <si>
    <t>Coluna2272</t>
  </si>
  <si>
    <t>Coluna2273</t>
  </si>
  <si>
    <t>Coluna2274</t>
  </si>
  <si>
    <t>Coluna2275</t>
  </si>
  <si>
    <t>Coluna2276</t>
  </si>
  <si>
    <t>Coluna2277</t>
  </si>
  <si>
    <t>Coluna2278</t>
  </si>
  <si>
    <t>Coluna2279</t>
  </si>
  <si>
    <t>Coluna2280</t>
  </si>
  <si>
    <t>Coluna2281</t>
  </si>
  <si>
    <t>Coluna2282</t>
  </si>
  <si>
    <t>Coluna2283</t>
  </si>
  <si>
    <t>Coluna2284</t>
  </si>
  <si>
    <t>Coluna2285</t>
  </si>
  <si>
    <t>Coluna2286</t>
  </si>
  <si>
    <t>Coluna2287</t>
  </si>
  <si>
    <t>Coluna2288</t>
  </si>
  <si>
    <t>Coluna2289</t>
  </si>
  <si>
    <t>Coluna2290</t>
  </si>
  <si>
    <t>Coluna2291</t>
  </si>
  <si>
    <t>Coluna2292</t>
  </si>
  <si>
    <t>Coluna2293</t>
  </si>
  <si>
    <t>Coluna2294</t>
  </si>
  <si>
    <t>Coluna2295</t>
  </si>
  <si>
    <t>Coluna2296</t>
  </si>
  <si>
    <t>Coluna2297</t>
  </si>
  <si>
    <t>Coluna2298</t>
  </si>
  <si>
    <t>Coluna2299</t>
  </si>
  <si>
    <t>Coluna2300</t>
  </si>
  <si>
    <t>Coluna2301</t>
  </si>
  <si>
    <t>Coluna2302</t>
  </si>
  <si>
    <t>Coluna2303</t>
  </si>
  <si>
    <t>Coluna2304</t>
  </si>
  <si>
    <t>Coluna2305</t>
  </si>
  <si>
    <t>Coluna2306</t>
  </si>
  <si>
    <t>Coluna2307</t>
  </si>
  <si>
    <t>Coluna2308</t>
  </si>
  <si>
    <t>Coluna2309</t>
  </si>
  <si>
    <t>Coluna2310</t>
  </si>
  <si>
    <t>Coluna2311</t>
  </si>
  <si>
    <t>Coluna2312</t>
  </si>
  <si>
    <t>Coluna2313</t>
  </si>
  <si>
    <t>Coluna2314</t>
  </si>
  <si>
    <t>Coluna2315</t>
  </si>
  <si>
    <t>Coluna2316</t>
  </si>
  <si>
    <t>Coluna2317</t>
  </si>
  <si>
    <t>Coluna2318</t>
  </si>
  <si>
    <t>Coluna2319</t>
  </si>
  <si>
    <t>Coluna2320</t>
  </si>
  <si>
    <t>Coluna2321</t>
  </si>
  <si>
    <t>Coluna2322</t>
  </si>
  <si>
    <t>Coluna2323</t>
  </si>
  <si>
    <t>Coluna2324</t>
  </si>
  <si>
    <t>Coluna2325</t>
  </si>
  <si>
    <t>Coluna2326</t>
  </si>
  <si>
    <t>Coluna2327</t>
  </si>
  <si>
    <t>Coluna2328</t>
  </si>
  <si>
    <t>Coluna2329</t>
  </si>
  <si>
    <t>Coluna2330</t>
  </si>
  <si>
    <t>Coluna2331</t>
  </si>
  <si>
    <t>Coluna2332</t>
  </si>
  <si>
    <t>Coluna2333</t>
  </si>
  <si>
    <t>Coluna2334</t>
  </si>
  <si>
    <t>Coluna2335</t>
  </si>
  <si>
    <t>Coluna2336</t>
  </si>
  <si>
    <t>Coluna2337</t>
  </si>
  <si>
    <t>Coluna2338</t>
  </si>
  <si>
    <t>Coluna2339</t>
  </si>
  <si>
    <t>Coluna2340</t>
  </si>
  <si>
    <t>Coluna2341</t>
  </si>
  <si>
    <t>Coluna2342</t>
  </si>
  <si>
    <t>Coluna2343</t>
  </si>
  <si>
    <t>Coluna2344</t>
  </si>
  <si>
    <t>Coluna2345</t>
  </si>
  <si>
    <t>Coluna2346</t>
  </si>
  <si>
    <t>Coluna2347</t>
  </si>
  <si>
    <t>Coluna2348</t>
  </si>
  <si>
    <t>Coluna2349</t>
  </si>
  <si>
    <t>Coluna2350</t>
  </si>
  <si>
    <t>Coluna2351</t>
  </si>
  <si>
    <t>Coluna2352</t>
  </si>
  <si>
    <t>Coluna2353</t>
  </si>
  <si>
    <t>Coluna2354</t>
  </si>
  <si>
    <t>Coluna2355</t>
  </si>
  <si>
    <t>Coluna2356</t>
  </si>
  <si>
    <t>Coluna2357</t>
  </si>
  <si>
    <t>Coluna2358</t>
  </si>
  <si>
    <t>Coluna2359</t>
  </si>
  <si>
    <t>Coluna2360</t>
  </si>
  <si>
    <t>Coluna2361</t>
  </si>
  <si>
    <t>Coluna2362</t>
  </si>
  <si>
    <t>Coluna2363</t>
  </si>
  <si>
    <t>Coluna2364</t>
  </si>
  <si>
    <t>Coluna2365</t>
  </si>
  <si>
    <t>Coluna2366</t>
  </si>
  <si>
    <t>Coluna2367</t>
  </si>
  <si>
    <t>Coluna2368</t>
  </si>
  <si>
    <t>Coluna2369</t>
  </si>
  <si>
    <t>Coluna2370</t>
  </si>
  <si>
    <t>Coluna2371</t>
  </si>
  <si>
    <t>Coluna2372</t>
  </si>
  <si>
    <t>Coluna2373</t>
  </si>
  <si>
    <t>Coluna2374</t>
  </si>
  <si>
    <t>Coluna2375</t>
  </si>
  <si>
    <t>Coluna2376</t>
  </si>
  <si>
    <t>Coluna2377</t>
  </si>
  <si>
    <t>Coluna2378</t>
  </si>
  <si>
    <t>Coluna2379</t>
  </si>
  <si>
    <t>Coluna2380</t>
  </si>
  <si>
    <t>Coluna2381</t>
  </si>
  <si>
    <t>Coluna2382</t>
  </si>
  <si>
    <t>Coluna2383</t>
  </si>
  <si>
    <t>Coluna2384</t>
  </si>
  <si>
    <t>Coluna2385</t>
  </si>
  <si>
    <t>Coluna2386</t>
  </si>
  <si>
    <t>Coluna2387</t>
  </si>
  <si>
    <t>Coluna2388</t>
  </si>
  <si>
    <t>Coluna2389</t>
  </si>
  <si>
    <t>Coluna2390</t>
  </si>
  <si>
    <t>Coluna2391</t>
  </si>
  <si>
    <t>Coluna2392</t>
  </si>
  <si>
    <t>Coluna2393</t>
  </si>
  <si>
    <t>Coluna2394</t>
  </si>
  <si>
    <t>Coluna2395</t>
  </si>
  <si>
    <t>Coluna2396</t>
  </si>
  <si>
    <t>Coluna2397</t>
  </si>
  <si>
    <t>Coluna2398</t>
  </si>
  <si>
    <t>Coluna2399</t>
  </si>
  <si>
    <t>Coluna2400</t>
  </si>
  <si>
    <t>Coluna2401</t>
  </si>
  <si>
    <t>Coluna2402</t>
  </si>
  <si>
    <t>Coluna2403</t>
  </si>
  <si>
    <t>Coluna2404</t>
  </si>
  <si>
    <t>Coluna2405</t>
  </si>
  <si>
    <t>Coluna2406</t>
  </si>
  <si>
    <t>Coluna2407</t>
  </si>
  <si>
    <t>Coluna2408</t>
  </si>
  <si>
    <t>Coluna2409</t>
  </si>
  <si>
    <t>Coluna2410</t>
  </si>
  <si>
    <t>Coluna2411</t>
  </si>
  <si>
    <t>Coluna2412</t>
  </si>
  <si>
    <t>Coluna2413</t>
  </si>
  <si>
    <t>Coluna2414</t>
  </si>
  <si>
    <t>Coluna2415</t>
  </si>
  <si>
    <t>Coluna2416</t>
  </si>
  <si>
    <t>Coluna2417</t>
  </si>
  <si>
    <t>Coluna2418</t>
  </si>
  <si>
    <t>Coluna2419</t>
  </si>
  <si>
    <t>Coluna2420</t>
  </si>
  <si>
    <t>Coluna2421</t>
  </si>
  <si>
    <t>Coluna2422</t>
  </si>
  <si>
    <t>Coluna2423</t>
  </si>
  <si>
    <t>Coluna2424</t>
  </si>
  <si>
    <t>Coluna2425</t>
  </si>
  <si>
    <t>Coluna2426</t>
  </si>
  <si>
    <t>Coluna2427</t>
  </si>
  <si>
    <t>Coluna2428</t>
  </si>
  <si>
    <t>Coluna2429</t>
  </si>
  <si>
    <t>Coluna2430</t>
  </si>
  <si>
    <t>Coluna2431</t>
  </si>
  <si>
    <t>Coluna2432</t>
  </si>
  <si>
    <t>Coluna2433</t>
  </si>
  <si>
    <t>Coluna2434</t>
  </si>
  <si>
    <t>Coluna2435</t>
  </si>
  <si>
    <t>Coluna2436</t>
  </si>
  <si>
    <t>Coluna2437</t>
  </si>
  <si>
    <t>Coluna2438</t>
  </si>
  <si>
    <t>Coluna2439</t>
  </si>
  <si>
    <t>Coluna2440</t>
  </si>
  <si>
    <t>Coluna2441</t>
  </si>
  <si>
    <t>Coluna2442</t>
  </si>
  <si>
    <t>Coluna2443</t>
  </si>
  <si>
    <t>Coluna2444</t>
  </si>
  <si>
    <t>Coluna2445</t>
  </si>
  <si>
    <t>Coluna2446</t>
  </si>
  <si>
    <t>Coluna2447</t>
  </si>
  <si>
    <t>Coluna2448</t>
  </si>
  <si>
    <t>Coluna2449</t>
  </si>
  <si>
    <t>Coluna2450</t>
  </si>
  <si>
    <t>Coluna2451</t>
  </si>
  <si>
    <t>Coluna2452</t>
  </si>
  <si>
    <t>Coluna2453</t>
  </si>
  <si>
    <t>Coluna2454</t>
  </si>
  <si>
    <t>Coluna2455</t>
  </si>
  <si>
    <t>Coluna2456</t>
  </si>
  <si>
    <t>Coluna2457</t>
  </si>
  <si>
    <t>Coluna2458</t>
  </si>
  <si>
    <t>Coluna2459</t>
  </si>
  <si>
    <t>Coluna2460</t>
  </si>
  <si>
    <t>Coluna2461</t>
  </si>
  <si>
    <t>Coluna2462</t>
  </si>
  <si>
    <t>Coluna2463</t>
  </si>
  <si>
    <t>Coluna2464</t>
  </si>
  <si>
    <t>Coluna2465</t>
  </si>
  <si>
    <t>Coluna2466</t>
  </si>
  <si>
    <t>Coluna2467</t>
  </si>
  <si>
    <t>Coluna2468</t>
  </si>
  <si>
    <t>Coluna2469</t>
  </si>
  <si>
    <t>Coluna2470</t>
  </si>
  <si>
    <t>Coluna2471</t>
  </si>
  <si>
    <t>Coluna2472</t>
  </si>
  <si>
    <t>Coluna2473</t>
  </si>
  <si>
    <t>Coluna2474</t>
  </si>
  <si>
    <t>Coluna2475</t>
  </si>
  <si>
    <t>Coluna2476</t>
  </si>
  <si>
    <t>Coluna2477</t>
  </si>
  <si>
    <t>Coluna2478</t>
  </si>
  <si>
    <t>Coluna2479</t>
  </si>
  <si>
    <t>Coluna2480</t>
  </si>
  <si>
    <t>Coluna2481</t>
  </si>
  <si>
    <t>Coluna2482</t>
  </si>
  <si>
    <t>Coluna2483</t>
  </si>
  <si>
    <t>Coluna2484</t>
  </si>
  <si>
    <t>Coluna2485</t>
  </si>
  <si>
    <t>Coluna2486</t>
  </si>
  <si>
    <t>Coluna2487</t>
  </si>
  <si>
    <t>Coluna2488</t>
  </si>
  <si>
    <t>Coluna2489</t>
  </si>
  <si>
    <t>Coluna2490</t>
  </si>
  <si>
    <t>Coluna2491</t>
  </si>
  <si>
    <t>Coluna2492</t>
  </si>
  <si>
    <t>Coluna2493</t>
  </si>
  <si>
    <t>Coluna2494</t>
  </si>
  <si>
    <t>Coluna2495</t>
  </si>
  <si>
    <t>Coluna2496</t>
  </si>
  <si>
    <t>Coluna2497</t>
  </si>
  <si>
    <t>Coluna2498</t>
  </si>
  <si>
    <t>Coluna2499</t>
  </si>
  <si>
    <t>Coluna2500</t>
  </si>
  <si>
    <t>Coluna2501</t>
  </si>
  <si>
    <t>Coluna2502</t>
  </si>
  <si>
    <t>Coluna2503</t>
  </si>
  <si>
    <t>Coluna2504</t>
  </si>
  <si>
    <t>Coluna2505</t>
  </si>
  <si>
    <t>Coluna2506</t>
  </si>
  <si>
    <t>Coluna2507</t>
  </si>
  <si>
    <t>Coluna2508</t>
  </si>
  <si>
    <t>Coluna2509</t>
  </si>
  <si>
    <t>Coluna2510</t>
  </si>
  <si>
    <t>Coluna2511</t>
  </si>
  <si>
    <t>Coluna2512</t>
  </si>
  <si>
    <t>Coluna2513</t>
  </si>
  <si>
    <t>Coluna2514</t>
  </si>
  <si>
    <t>Coluna2515</t>
  </si>
  <si>
    <t>Coluna2516</t>
  </si>
  <si>
    <t>Coluna2517</t>
  </si>
  <si>
    <t>Coluna2518</t>
  </si>
  <si>
    <t>Coluna2519</t>
  </si>
  <si>
    <t>Coluna2520</t>
  </si>
  <si>
    <t>Coluna2521</t>
  </si>
  <si>
    <t>Coluna2522</t>
  </si>
  <si>
    <t>Coluna2523</t>
  </si>
  <si>
    <t>Coluna2524</t>
  </si>
  <si>
    <t>Coluna2525</t>
  </si>
  <si>
    <t>Coluna2526</t>
  </si>
  <si>
    <t>Coluna2527</t>
  </si>
  <si>
    <t>Coluna2528</t>
  </si>
  <si>
    <t>Coluna2529</t>
  </si>
  <si>
    <t>Coluna2530</t>
  </si>
  <si>
    <t>Coluna2531</t>
  </si>
  <si>
    <t>Coluna2532</t>
  </si>
  <si>
    <t>Coluna2533</t>
  </si>
  <si>
    <t>Coluna2534</t>
  </si>
  <si>
    <t>Coluna2535</t>
  </si>
  <si>
    <t>Coluna2536</t>
  </si>
  <si>
    <t>Coluna2537</t>
  </si>
  <si>
    <t>Coluna2538</t>
  </si>
  <si>
    <t>Coluna2539</t>
  </si>
  <si>
    <t>Coluna2540</t>
  </si>
  <si>
    <t>Coluna2541</t>
  </si>
  <si>
    <t>Coluna2542</t>
  </si>
  <si>
    <t>Coluna2543</t>
  </si>
  <si>
    <t>Coluna2544</t>
  </si>
  <si>
    <t>Coluna2545</t>
  </si>
  <si>
    <t>Coluna2546</t>
  </si>
  <si>
    <t>Coluna2547</t>
  </si>
  <si>
    <t>Coluna2548</t>
  </si>
  <si>
    <t>Coluna2549</t>
  </si>
  <si>
    <t>Coluna2550</t>
  </si>
  <si>
    <t>Coluna2551</t>
  </si>
  <si>
    <t>Coluna2552</t>
  </si>
  <si>
    <t>Coluna2553</t>
  </si>
  <si>
    <t>Coluna2554</t>
  </si>
  <si>
    <t>Coluna2555</t>
  </si>
  <si>
    <t>Coluna2556</t>
  </si>
  <si>
    <t>Coluna2557</t>
  </si>
  <si>
    <t>Coluna2558</t>
  </si>
  <si>
    <t>Coluna2559</t>
  </si>
  <si>
    <t>Coluna2560</t>
  </si>
  <si>
    <t>Coluna2561</t>
  </si>
  <si>
    <t>Coluna2562</t>
  </si>
  <si>
    <t>Coluna2563</t>
  </si>
  <si>
    <t>Coluna2564</t>
  </si>
  <si>
    <t>Coluna2565</t>
  </si>
  <si>
    <t>Coluna2566</t>
  </si>
  <si>
    <t>Coluna2567</t>
  </si>
  <si>
    <t>Coluna2568</t>
  </si>
  <si>
    <t>Coluna2569</t>
  </si>
  <si>
    <t>Coluna2570</t>
  </si>
  <si>
    <t>Coluna2571</t>
  </si>
  <si>
    <t>Coluna2572</t>
  </si>
  <si>
    <t>Coluna2573</t>
  </si>
  <si>
    <t>Coluna2574</t>
  </si>
  <si>
    <t>Coluna2575</t>
  </si>
  <si>
    <t>Coluna2576</t>
  </si>
  <si>
    <t>Coluna2577</t>
  </si>
  <si>
    <t>Coluna2578</t>
  </si>
  <si>
    <t>Coluna2579</t>
  </si>
  <si>
    <t>Coluna2580</t>
  </si>
  <si>
    <t>Coluna2581</t>
  </si>
  <si>
    <t>Coluna2582</t>
  </si>
  <si>
    <t>Coluna2583</t>
  </si>
  <si>
    <t>Coluna2584</t>
  </si>
  <si>
    <t>Coluna2585</t>
  </si>
  <si>
    <t>Coluna2586</t>
  </si>
  <si>
    <t>Coluna2587</t>
  </si>
  <si>
    <t>Coluna2588</t>
  </si>
  <si>
    <t>Coluna2589</t>
  </si>
  <si>
    <t>Coluna2590</t>
  </si>
  <si>
    <t>Coluna2591</t>
  </si>
  <si>
    <t>Coluna2592</t>
  </si>
  <si>
    <t>Coluna2593</t>
  </si>
  <si>
    <t>Coluna2594</t>
  </si>
  <si>
    <t>Coluna2595</t>
  </si>
  <si>
    <t>Coluna2596</t>
  </si>
  <si>
    <t>Coluna2597</t>
  </si>
  <si>
    <t>Coluna2598</t>
  </si>
  <si>
    <t>Coluna2599</t>
  </si>
  <si>
    <t>Coluna2600</t>
  </si>
  <si>
    <t>Coluna2601</t>
  </si>
  <si>
    <t>Coluna2602</t>
  </si>
  <si>
    <t>Coluna2603</t>
  </si>
  <si>
    <t>Coluna2604</t>
  </si>
  <si>
    <t>Coluna2605</t>
  </si>
  <si>
    <t>Coluna2606</t>
  </si>
  <si>
    <t>Coluna2607</t>
  </si>
  <si>
    <t>Coluna2608</t>
  </si>
  <si>
    <t>Coluna2609</t>
  </si>
  <si>
    <t>Coluna2610</t>
  </si>
  <si>
    <t>Coluna2611</t>
  </si>
  <si>
    <t>Coluna2612</t>
  </si>
  <si>
    <t>Coluna2613</t>
  </si>
  <si>
    <t>Coluna2614</t>
  </si>
  <si>
    <t>Coluna2615</t>
  </si>
  <si>
    <t>Coluna2616</t>
  </si>
  <si>
    <t>Coluna2617</t>
  </si>
  <si>
    <t>Coluna2618</t>
  </si>
  <si>
    <t>Coluna2619</t>
  </si>
  <si>
    <t>Coluna2620</t>
  </si>
  <si>
    <t>Coluna2621</t>
  </si>
  <si>
    <t>Coluna2622</t>
  </si>
  <si>
    <t>Coluna2623</t>
  </si>
  <si>
    <t>Coluna2624</t>
  </si>
  <si>
    <t>Coluna2625</t>
  </si>
  <si>
    <t>Coluna2626</t>
  </si>
  <si>
    <t>Coluna2627</t>
  </si>
  <si>
    <t>Coluna2628</t>
  </si>
  <si>
    <t>Coluna2629</t>
  </si>
  <si>
    <t>Coluna2630</t>
  </si>
  <si>
    <t>Coluna2631</t>
  </si>
  <si>
    <t>Coluna2632</t>
  </si>
  <si>
    <t>Coluna2633</t>
  </si>
  <si>
    <t>Coluna2634</t>
  </si>
  <si>
    <t>Coluna2635</t>
  </si>
  <si>
    <t>Coluna2636</t>
  </si>
  <si>
    <t>Coluna2637</t>
  </si>
  <si>
    <t>Coluna2638</t>
  </si>
  <si>
    <t>Coluna2639</t>
  </si>
  <si>
    <t>Coluna2640</t>
  </si>
  <si>
    <t>Coluna2641</t>
  </si>
  <si>
    <t>Coluna2642</t>
  </si>
  <si>
    <t>Coluna2643</t>
  </si>
  <si>
    <t>Coluna2644</t>
  </si>
  <si>
    <t>Coluna2645</t>
  </si>
  <si>
    <t>Coluna2646</t>
  </si>
  <si>
    <t>Coluna2647</t>
  </si>
  <si>
    <t>Coluna2648</t>
  </si>
  <si>
    <t>Coluna2649</t>
  </si>
  <si>
    <t>Coluna2650</t>
  </si>
  <si>
    <t>Coluna2651</t>
  </si>
  <si>
    <t>Coluna2652</t>
  </si>
  <si>
    <t>Coluna2653</t>
  </si>
  <si>
    <t>Coluna2654</t>
  </si>
  <si>
    <t>Coluna2655</t>
  </si>
  <si>
    <t>Coluna2656</t>
  </si>
  <si>
    <t>Coluna2657</t>
  </si>
  <si>
    <t>Coluna2658</t>
  </si>
  <si>
    <t>Coluna2659</t>
  </si>
  <si>
    <t>Coluna2660</t>
  </si>
  <si>
    <t>Coluna2661</t>
  </si>
  <si>
    <t>Coluna2662</t>
  </si>
  <si>
    <t>Coluna2663</t>
  </si>
  <si>
    <t>Coluna2664</t>
  </si>
  <si>
    <t>Coluna2665</t>
  </si>
  <si>
    <t>Coluna2666</t>
  </si>
  <si>
    <t>Coluna2667</t>
  </si>
  <si>
    <t>Coluna2668</t>
  </si>
  <si>
    <t>Coluna2669</t>
  </si>
  <si>
    <t>Coluna2670</t>
  </si>
  <si>
    <t>Coluna2671</t>
  </si>
  <si>
    <t>Coluna2672</t>
  </si>
  <si>
    <t>Coluna2673</t>
  </si>
  <si>
    <t>Coluna2674</t>
  </si>
  <si>
    <t>Coluna2675</t>
  </si>
  <si>
    <t>Coluna2676</t>
  </si>
  <si>
    <t>Coluna2677</t>
  </si>
  <si>
    <t>Coluna2678</t>
  </si>
  <si>
    <t>Coluna2679</t>
  </si>
  <si>
    <t>Coluna2680</t>
  </si>
  <si>
    <t>Coluna2681</t>
  </si>
  <si>
    <t>Coluna2682</t>
  </si>
  <si>
    <t>Coluna2683</t>
  </si>
  <si>
    <t>Coluna2684</t>
  </si>
  <si>
    <t>Coluna2685</t>
  </si>
  <si>
    <t>Coluna2686</t>
  </si>
  <si>
    <t>Coluna2687</t>
  </si>
  <si>
    <t>Coluna2688</t>
  </si>
  <si>
    <t>Coluna2689</t>
  </si>
  <si>
    <t>Coluna2690</t>
  </si>
  <si>
    <t>Coluna2691</t>
  </si>
  <si>
    <t>Coluna2692</t>
  </si>
  <si>
    <t>Coluna2693</t>
  </si>
  <si>
    <t>Coluna2694</t>
  </si>
  <si>
    <t>Coluna2695</t>
  </si>
  <si>
    <t>Coluna2696</t>
  </si>
  <si>
    <t>Coluna2697</t>
  </si>
  <si>
    <t>Coluna2698</t>
  </si>
  <si>
    <t>Coluna2699</t>
  </si>
  <si>
    <t>Coluna2700</t>
  </si>
  <si>
    <t>Coluna2701</t>
  </si>
  <si>
    <t>Coluna2702</t>
  </si>
  <si>
    <t>Coluna2703</t>
  </si>
  <si>
    <t>Coluna2704</t>
  </si>
  <si>
    <t>Coluna2705</t>
  </si>
  <si>
    <t>Coluna2706</t>
  </si>
  <si>
    <t>Coluna2707</t>
  </si>
  <si>
    <t>Coluna2708</t>
  </si>
  <si>
    <t>Coluna2709</t>
  </si>
  <si>
    <t>Coluna2710</t>
  </si>
  <si>
    <t>Coluna2711</t>
  </si>
  <si>
    <t>Coluna2712</t>
  </si>
  <si>
    <t>Coluna2713</t>
  </si>
  <si>
    <t>Coluna2714</t>
  </si>
  <si>
    <t>Coluna2715</t>
  </si>
  <si>
    <t>Coluna2716</t>
  </si>
  <si>
    <t>Coluna2717</t>
  </si>
  <si>
    <t>Coluna2718</t>
  </si>
  <si>
    <t>Coluna2719</t>
  </si>
  <si>
    <t>Coluna2720</t>
  </si>
  <si>
    <t>Coluna2721</t>
  </si>
  <si>
    <t>Coluna2722</t>
  </si>
  <si>
    <t>Coluna2723</t>
  </si>
  <si>
    <t>Coluna2724</t>
  </si>
  <si>
    <t>Coluna2725</t>
  </si>
  <si>
    <t>Coluna2726</t>
  </si>
  <si>
    <t>Coluna2727</t>
  </si>
  <si>
    <t>Coluna2728</t>
  </si>
  <si>
    <t>Coluna2729</t>
  </si>
  <si>
    <t>Coluna2730</t>
  </si>
  <si>
    <t>Coluna2731</t>
  </si>
  <si>
    <t>Coluna2732</t>
  </si>
  <si>
    <t>Coluna2733</t>
  </si>
  <si>
    <t>Coluna2734</t>
  </si>
  <si>
    <t>Coluna2735</t>
  </si>
  <si>
    <t>Coluna2736</t>
  </si>
  <si>
    <t>Coluna2737</t>
  </si>
  <si>
    <t>Coluna2738</t>
  </si>
  <si>
    <t>Coluna2739</t>
  </si>
  <si>
    <t>Coluna2740</t>
  </si>
  <si>
    <t>Coluna2741</t>
  </si>
  <si>
    <t>Coluna2742</t>
  </si>
  <si>
    <t>Coluna2743</t>
  </si>
  <si>
    <t>Coluna2744</t>
  </si>
  <si>
    <t>Coluna2745</t>
  </si>
  <si>
    <t>Coluna2746</t>
  </si>
  <si>
    <t>Coluna2747</t>
  </si>
  <si>
    <t>Coluna2748</t>
  </si>
  <si>
    <t>Coluna2749</t>
  </si>
  <si>
    <t>Coluna2750</t>
  </si>
  <si>
    <t>Coluna2751</t>
  </si>
  <si>
    <t>Coluna2752</t>
  </si>
  <si>
    <t>Coluna2753</t>
  </si>
  <si>
    <t>Coluna2754</t>
  </si>
  <si>
    <t>Coluna2755</t>
  </si>
  <si>
    <t>Coluna2756</t>
  </si>
  <si>
    <t>Coluna2757</t>
  </si>
  <si>
    <t>Coluna2758</t>
  </si>
  <si>
    <t>Coluna2759</t>
  </si>
  <si>
    <t>Coluna2760</t>
  </si>
  <si>
    <t>Coluna2761</t>
  </si>
  <si>
    <t>Coluna2762</t>
  </si>
  <si>
    <t>Coluna2763</t>
  </si>
  <si>
    <t>Coluna2764</t>
  </si>
  <si>
    <t>Coluna2765</t>
  </si>
  <si>
    <t>Coluna2766</t>
  </si>
  <si>
    <t>Coluna2767</t>
  </si>
  <si>
    <t>Coluna2768</t>
  </si>
  <si>
    <t>Coluna2769</t>
  </si>
  <si>
    <t>Coluna2770</t>
  </si>
  <si>
    <t>Coluna2771</t>
  </si>
  <si>
    <t>Coluna2772</t>
  </si>
  <si>
    <t>Coluna2773</t>
  </si>
  <si>
    <t>Coluna2774</t>
  </si>
  <si>
    <t>Coluna2775</t>
  </si>
  <si>
    <t>Coluna2776</t>
  </si>
  <si>
    <t>Coluna2777</t>
  </si>
  <si>
    <t>Coluna2778</t>
  </si>
  <si>
    <t>Coluna2779</t>
  </si>
  <si>
    <t>Coluna2780</t>
  </si>
  <si>
    <t>Coluna2781</t>
  </si>
  <si>
    <t>Coluna2782</t>
  </si>
  <si>
    <t>Coluna2783</t>
  </si>
  <si>
    <t>Coluna2784</t>
  </si>
  <si>
    <t>Coluna2785</t>
  </si>
  <si>
    <t>Coluna2786</t>
  </si>
  <si>
    <t>Coluna2787</t>
  </si>
  <si>
    <t>Coluna2788</t>
  </si>
  <si>
    <t>Coluna2789</t>
  </si>
  <si>
    <t>Coluna2790</t>
  </si>
  <si>
    <t>Coluna2791</t>
  </si>
  <si>
    <t>Coluna2792</t>
  </si>
  <si>
    <t>Coluna2793</t>
  </si>
  <si>
    <t>Coluna2794</t>
  </si>
  <si>
    <t>Coluna2795</t>
  </si>
  <si>
    <t>Coluna2796</t>
  </si>
  <si>
    <t>Coluna2797</t>
  </si>
  <si>
    <t>Coluna2798</t>
  </si>
  <si>
    <t>Coluna2799</t>
  </si>
  <si>
    <t>Coluna2800</t>
  </si>
  <si>
    <t>Coluna2801</t>
  </si>
  <si>
    <t>Coluna2802</t>
  </si>
  <si>
    <t>Coluna2803</t>
  </si>
  <si>
    <t>Coluna2804</t>
  </si>
  <si>
    <t>Coluna2805</t>
  </si>
  <si>
    <t>Coluna2806</t>
  </si>
  <si>
    <t>Coluna2807</t>
  </si>
  <si>
    <t>Coluna2808</t>
  </si>
  <si>
    <t>Coluna2809</t>
  </si>
  <si>
    <t>Coluna2810</t>
  </si>
  <si>
    <t>Coluna2811</t>
  </si>
  <si>
    <t>Coluna2812</t>
  </si>
  <si>
    <t>Coluna2813</t>
  </si>
  <si>
    <t>Coluna2814</t>
  </si>
  <si>
    <t>Coluna2815</t>
  </si>
  <si>
    <t>Coluna2816</t>
  </si>
  <si>
    <t>Coluna2817</t>
  </si>
  <si>
    <t>Coluna2818</t>
  </si>
  <si>
    <t>Coluna2819</t>
  </si>
  <si>
    <t>Coluna2820</t>
  </si>
  <si>
    <t>Coluna2821</t>
  </si>
  <si>
    <t>Coluna2822</t>
  </si>
  <si>
    <t>Coluna2823</t>
  </si>
  <si>
    <t>Coluna2824</t>
  </si>
  <si>
    <t>Coluna2825</t>
  </si>
  <si>
    <t>Coluna2826</t>
  </si>
  <si>
    <t>Coluna2827</t>
  </si>
  <si>
    <t>Coluna2828</t>
  </si>
  <si>
    <t>Coluna2829</t>
  </si>
  <si>
    <t>Coluna2830</t>
  </si>
  <si>
    <t>Coluna2831</t>
  </si>
  <si>
    <t>Coluna2832</t>
  </si>
  <si>
    <t>Coluna2833</t>
  </si>
  <si>
    <t>Coluna2834</t>
  </si>
  <si>
    <t>Coluna2835</t>
  </si>
  <si>
    <t>Coluna2836</t>
  </si>
  <si>
    <t>Coluna2837</t>
  </si>
  <si>
    <t>Coluna2838</t>
  </si>
  <si>
    <t>Coluna2839</t>
  </si>
  <si>
    <t>Coluna2840</t>
  </si>
  <si>
    <t>Coluna2841</t>
  </si>
  <si>
    <t>Coluna2842</t>
  </si>
  <si>
    <t>Coluna2843</t>
  </si>
  <si>
    <t>Coluna2844</t>
  </si>
  <si>
    <t>Coluna2845</t>
  </si>
  <si>
    <t>Coluna2846</t>
  </si>
  <si>
    <t>Coluna2847</t>
  </si>
  <si>
    <t>Coluna2848</t>
  </si>
  <si>
    <t>Coluna2849</t>
  </si>
  <si>
    <t>Coluna2850</t>
  </si>
  <si>
    <t>Coluna2851</t>
  </si>
  <si>
    <t>Coluna2852</t>
  </si>
  <si>
    <t>Coluna2853</t>
  </si>
  <si>
    <t>Coluna2854</t>
  </si>
  <si>
    <t>Coluna2855</t>
  </si>
  <si>
    <t>Coluna2856</t>
  </si>
  <si>
    <t>Coluna2857</t>
  </si>
  <si>
    <t>Coluna2858</t>
  </si>
  <si>
    <t>Coluna2859</t>
  </si>
  <si>
    <t>Coluna2860</t>
  </si>
  <si>
    <t>Coluna2861</t>
  </si>
  <si>
    <t>Coluna2862</t>
  </si>
  <si>
    <t>Coluna2863</t>
  </si>
  <si>
    <t>Coluna2864</t>
  </si>
  <si>
    <t>Coluna2865</t>
  </si>
  <si>
    <t>Coluna2866</t>
  </si>
  <si>
    <t>Coluna2867</t>
  </si>
  <si>
    <t>Coluna2868</t>
  </si>
  <si>
    <t>Coluna2869</t>
  </si>
  <si>
    <t>Coluna2870</t>
  </si>
  <si>
    <t>Coluna2871</t>
  </si>
  <si>
    <t>Coluna2872</t>
  </si>
  <si>
    <t>Coluna2873</t>
  </si>
  <si>
    <t>Coluna2874</t>
  </si>
  <si>
    <t>Coluna2875</t>
  </si>
  <si>
    <t>Coluna2876</t>
  </si>
  <si>
    <t>Coluna2877</t>
  </si>
  <si>
    <t>Coluna2878</t>
  </si>
  <si>
    <t>Coluna2879</t>
  </si>
  <si>
    <t>Coluna2880</t>
  </si>
  <si>
    <t>Coluna2881</t>
  </si>
  <si>
    <t>Coluna2882</t>
  </si>
  <si>
    <t>Coluna2883</t>
  </si>
  <si>
    <t>Coluna2884</t>
  </si>
  <si>
    <t>Coluna2885</t>
  </si>
  <si>
    <t>Coluna2886</t>
  </si>
  <si>
    <t>Coluna2887</t>
  </si>
  <si>
    <t>Coluna2888</t>
  </si>
  <si>
    <t>Coluna2889</t>
  </si>
  <si>
    <t>Coluna2890</t>
  </si>
  <si>
    <t>Coluna2891</t>
  </si>
  <si>
    <t>Coluna2892</t>
  </si>
  <si>
    <t>Coluna2893</t>
  </si>
  <si>
    <t>Coluna2894</t>
  </si>
  <si>
    <t>Coluna2895</t>
  </si>
  <si>
    <t>Coluna2896</t>
  </si>
  <si>
    <t>Coluna2897</t>
  </si>
  <si>
    <t>Coluna2898</t>
  </si>
  <si>
    <t>Coluna2899</t>
  </si>
  <si>
    <t>Coluna2900</t>
  </si>
  <si>
    <t>Coluna2901</t>
  </si>
  <si>
    <t>Coluna2902</t>
  </si>
  <si>
    <t>Coluna2903</t>
  </si>
  <si>
    <t>Coluna2904</t>
  </si>
  <si>
    <t>Coluna2905</t>
  </si>
  <si>
    <t>Coluna2906</t>
  </si>
  <si>
    <t>Coluna2907</t>
  </si>
  <si>
    <t>Coluna2908</t>
  </si>
  <si>
    <t>Coluna2909</t>
  </si>
  <si>
    <t>Coluna2910</t>
  </si>
  <si>
    <t>Coluna2911</t>
  </si>
  <si>
    <t>Coluna2912</t>
  </si>
  <si>
    <t>Coluna2913</t>
  </si>
  <si>
    <t>Coluna2914</t>
  </si>
  <si>
    <t>Coluna2915</t>
  </si>
  <si>
    <t>Coluna2916</t>
  </si>
  <si>
    <t>Coluna2917</t>
  </si>
  <si>
    <t>Coluna2918</t>
  </si>
  <si>
    <t>Coluna2919</t>
  </si>
  <si>
    <t>Coluna2920</t>
  </si>
  <si>
    <t>Coluna2921</t>
  </si>
  <si>
    <t>Coluna2922</t>
  </si>
  <si>
    <t>Coluna2923</t>
  </si>
  <si>
    <t>Coluna2924</t>
  </si>
  <si>
    <t>Coluna2925</t>
  </si>
  <si>
    <t>Coluna2926</t>
  </si>
  <si>
    <t>Coluna2927</t>
  </si>
  <si>
    <t>Coluna2928</t>
  </si>
  <si>
    <t>Coluna2929</t>
  </si>
  <si>
    <t>Coluna2930</t>
  </si>
  <si>
    <t>Coluna2931</t>
  </si>
  <si>
    <t>Coluna2932</t>
  </si>
  <si>
    <t>Coluna2933</t>
  </si>
  <si>
    <t>Coluna2934</t>
  </si>
  <si>
    <t>Coluna2935</t>
  </si>
  <si>
    <t>Coluna2936</t>
  </si>
  <si>
    <t>Coluna2937</t>
  </si>
  <si>
    <t>Coluna2938</t>
  </si>
  <si>
    <t>Coluna2939</t>
  </si>
  <si>
    <t>Coluna2940</t>
  </si>
  <si>
    <t>Coluna2941</t>
  </si>
  <si>
    <t>Coluna2942</t>
  </si>
  <si>
    <t>Coluna2943</t>
  </si>
  <si>
    <t>Coluna2944</t>
  </si>
  <si>
    <t>Coluna2945</t>
  </si>
  <si>
    <t>Coluna2946</t>
  </si>
  <si>
    <t>Coluna2947</t>
  </si>
  <si>
    <t>Coluna2948</t>
  </si>
  <si>
    <t>Coluna2949</t>
  </si>
  <si>
    <t>Coluna2950</t>
  </si>
  <si>
    <t>Coluna2951</t>
  </si>
  <si>
    <t>Coluna2952</t>
  </si>
  <si>
    <t>Coluna2953</t>
  </si>
  <si>
    <t>Coluna2954</t>
  </si>
  <si>
    <t>Coluna2955</t>
  </si>
  <si>
    <t>Coluna2956</t>
  </si>
  <si>
    <t>Coluna2957</t>
  </si>
  <si>
    <t>Coluna2958</t>
  </si>
  <si>
    <t>Coluna2959</t>
  </si>
  <si>
    <t>Coluna2960</t>
  </si>
  <si>
    <t>Coluna2961</t>
  </si>
  <si>
    <t>Coluna2962</t>
  </si>
  <si>
    <t>Coluna2963</t>
  </si>
  <si>
    <t>Coluna2964</t>
  </si>
  <si>
    <t>Coluna2965</t>
  </si>
  <si>
    <t>Coluna2966</t>
  </si>
  <si>
    <t>Coluna2967</t>
  </si>
  <si>
    <t>Coluna2968</t>
  </si>
  <si>
    <t>Coluna2969</t>
  </si>
  <si>
    <t>Coluna2970</t>
  </si>
  <si>
    <t>Coluna2971</t>
  </si>
  <si>
    <t>Coluna2972</t>
  </si>
  <si>
    <t>Coluna2973</t>
  </si>
  <si>
    <t>Coluna2974</t>
  </si>
  <si>
    <t>Coluna2975</t>
  </si>
  <si>
    <t>Coluna2976</t>
  </si>
  <si>
    <t>Coluna2977</t>
  </si>
  <si>
    <t>Coluna2978</t>
  </si>
  <si>
    <t>Coluna2979</t>
  </si>
  <si>
    <t>Coluna2980</t>
  </si>
  <si>
    <t>Coluna2981</t>
  </si>
  <si>
    <t>Coluna2982</t>
  </si>
  <si>
    <t>Coluna2983</t>
  </si>
  <si>
    <t>Coluna2984</t>
  </si>
  <si>
    <t>Coluna2985</t>
  </si>
  <si>
    <t>Coluna2986</t>
  </si>
  <si>
    <t>Coluna2987</t>
  </si>
  <si>
    <t>Coluna2988</t>
  </si>
  <si>
    <t>Coluna2989</t>
  </si>
  <si>
    <t>Coluna2990</t>
  </si>
  <si>
    <t>Coluna2991</t>
  </si>
  <si>
    <t>Coluna2992</t>
  </si>
  <si>
    <t>Coluna2993</t>
  </si>
  <si>
    <t>Coluna2994</t>
  </si>
  <si>
    <t>Coluna2995</t>
  </si>
  <si>
    <t>Coluna2996</t>
  </si>
  <si>
    <t>Coluna2997</t>
  </si>
  <si>
    <t>Coluna2998</t>
  </si>
  <si>
    <t>Coluna2999</t>
  </si>
  <si>
    <t>Coluna3000</t>
  </si>
  <si>
    <t>Coluna3001</t>
  </si>
  <si>
    <t>Coluna3002</t>
  </si>
  <si>
    <t>Coluna3003</t>
  </si>
  <si>
    <t>Coluna3004</t>
  </si>
  <si>
    <t>Coluna3005</t>
  </si>
  <si>
    <t>Coluna3006</t>
  </si>
  <si>
    <t>Coluna3007</t>
  </si>
  <si>
    <t>Coluna3008</t>
  </si>
  <si>
    <t>Coluna3009</t>
  </si>
  <si>
    <t>Coluna3010</t>
  </si>
  <si>
    <t>Coluna3011</t>
  </si>
  <si>
    <t>Coluna3012</t>
  </si>
  <si>
    <t>Coluna3013</t>
  </si>
  <si>
    <t>Coluna3014</t>
  </si>
  <si>
    <t>Coluna3015</t>
  </si>
  <si>
    <t>Coluna3016</t>
  </si>
  <si>
    <t>Coluna3017</t>
  </si>
  <si>
    <t>Coluna3018</t>
  </si>
  <si>
    <t>Coluna3019</t>
  </si>
  <si>
    <t>Coluna3020</t>
  </si>
  <si>
    <t>Coluna3021</t>
  </si>
  <si>
    <t>Coluna3022</t>
  </si>
  <si>
    <t>Coluna3023</t>
  </si>
  <si>
    <t>Coluna3024</t>
  </si>
  <si>
    <t>Coluna3025</t>
  </si>
  <si>
    <t>Coluna3026</t>
  </si>
  <si>
    <t>Coluna3027</t>
  </si>
  <si>
    <t>Coluna3028</t>
  </si>
  <si>
    <t>Coluna3029</t>
  </si>
  <si>
    <t>Coluna3030</t>
  </si>
  <si>
    <t>Coluna3031</t>
  </si>
  <si>
    <t>Coluna3032</t>
  </si>
  <si>
    <t>Coluna3033</t>
  </si>
  <si>
    <t>Coluna3034</t>
  </si>
  <si>
    <t>Coluna3035</t>
  </si>
  <si>
    <t>Coluna3036</t>
  </si>
  <si>
    <t>Coluna3037</t>
  </si>
  <si>
    <t>Coluna3038</t>
  </si>
  <si>
    <t>Coluna3039</t>
  </si>
  <si>
    <t>Coluna3040</t>
  </si>
  <si>
    <t>Coluna3041</t>
  </si>
  <si>
    <t>Coluna3042</t>
  </si>
  <si>
    <t>Coluna3043</t>
  </si>
  <si>
    <t>Coluna3044</t>
  </si>
  <si>
    <t>Coluna3045</t>
  </si>
  <si>
    <t>Coluna3046</t>
  </si>
  <si>
    <t>Coluna3047</t>
  </si>
  <si>
    <t>Coluna3048</t>
  </si>
  <si>
    <t>Coluna3049</t>
  </si>
  <si>
    <t>Coluna3050</t>
  </si>
  <si>
    <t>Coluna3051</t>
  </si>
  <si>
    <t>Coluna3052</t>
  </si>
  <si>
    <t>Coluna3053</t>
  </si>
  <si>
    <t>Coluna3054</t>
  </si>
  <si>
    <t>Coluna3055</t>
  </si>
  <si>
    <t>Coluna3056</t>
  </si>
  <si>
    <t>Coluna3057</t>
  </si>
  <si>
    <t>Coluna3058</t>
  </si>
  <si>
    <t>Coluna3059</t>
  </si>
  <si>
    <t>Coluna3060</t>
  </si>
  <si>
    <t>Coluna3061</t>
  </si>
  <si>
    <t>Coluna3062</t>
  </si>
  <si>
    <t>Coluna3063</t>
  </si>
  <si>
    <t>Coluna3064</t>
  </si>
  <si>
    <t>Coluna3065</t>
  </si>
  <si>
    <t>Coluna3066</t>
  </si>
  <si>
    <t>Coluna3067</t>
  </si>
  <si>
    <t>Coluna3068</t>
  </si>
  <si>
    <t>Coluna3069</t>
  </si>
  <si>
    <t>Coluna3070</t>
  </si>
  <si>
    <t>Coluna3071</t>
  </si>
  <si>
    <t>Coluna3072</t>
  </si>
  <si>
    <t>Coluna3073</t>
  </si>
  <si>
    <t>Coluna3074</t>
  </si>
  <si>
    <t>Coluna3075</t>
  </si>
  <si>
    <t>Coluna3076</t>
  </si>
  <si>
    <t>Coluna3077</t>
  </si>
  <si>
    <t>Coluna3078</t>
  </si>
  <si>
    <t>Coluna3079</t>
  </si>
  <si>
    <t>Coluna3080</t>
  </si>
  <si>
    <t>Coluna3081</t>
  </si>
  <si>
    <t>Coluna3082</t>
  </si>
  <si>
    <t>Coluna3083</t>
  </si>
  <si>
    <t>Coluna3084</t>
  </si>
  <si>
    <t>Coluna3085</t>
  </si>
  <si>
    <t>Coluna3086</t>
  </si>
  <si>
    <t>Coluna3087</t>
  </si>
  <si>
    <t>Coluna3088</t>
  </si>
  <si>
    <t>Coluna3089</t>
  </si>
  <si>
    <t>Coluna3090</t>
  </si>
  <si>
    <t>Coluna3091</t>
  </si>
  <si>
    <t>Coluna3092</t>
  </si>
  <si>
    <t>Coluna3093</t>
  </si>
  <si>
    <t>Coluna3094</t>
  </si>
  <si>
    <t>Coluna3095</t>
  </si>
  <si>
    <t>Coluna3096</t>
  </si>
  <si>
    <t>Coluna3097</t>
  </si>
  <si>
    <t>Coluna3098</t>
  </si>
  <si>
    <t>Coluna3099</t>
  </si>
  <si>
    <t>Coluna3100</t>
  </si>
  <si>
    <t>Coluna3101</t>
  </si>
  <si>
    <t>Coluna3102</t>
  </si>
  <si>
    <t>Coluna3103</t>
  </si>
  <si>
    <t>Coluna3104</t>
  </si>
  <si>
    <t>Coluna3105</t>
  </si>
  <si>
    <t>Coluna3106</t>
  </si>
  <si>
    <t>Coluna3107</t>
  </si>
  <si>
    <t>Coluna3108</t>
  </si>
  <si>
    <t>Coluna3109</t>
  </si>
  <si>
    <t>Coluna3110</t>
  </si>
  <si>
    <t>Coluna3111</t>
  </si>
  <si>
    <t>Coluna3112</t>
  </si>
  <si>
    <t>Coluna3113</t>
  </si>
  <si>
    <t>Coluna3114</t>
  </si>
  <si>
    <t>Coluna3115</t>
  </si>
  <si>
    <t>Coluna3116</t>
  </si>
  <si>
    <t>Coluna3117</t>
  </si>
  <si>
    <t>Coluna3118</t>
  </si>
  <si>
    <t>Coluna3119</t>
  </si>
  <si>
    <t>Coluna3120</t>
  </si>
  <si>
    <t>Coluna3121</t>
  </si>
  <si>
    <t>Coluna3122</t>
  </si>
  <si>
    <t>Coluna3123</t>
  </si>
  <si>
    <t>Coluna3124</t>
  </si>
  <si>
    <t>Coluna3125</t>
  </si>
  <si>
    <t>Coluna3126</t>
  </si>
  <si>
    <t>Coluna3127</t>
  </si>
  <si>
    <t>Coluna3128</t>
  </si>
  <si>
    <t>Coluna3129</t>
  </si>
  <si>
    <t>Coluna3130</t>
  </si>
  <si>
    <t>Coluna3131</t>
  </si>
  <si>
    <t>Coluna3132</t>
  </si>
  <si>
    <t>Coluna3133</t>
  </si>
  <si>
    <t>Coluna3134</t>
  </si>
  <si>
    <t>Coluna3135</t>
  </si>
  <si>
    <t>Coluna3136</t>
  </si>
  <si>
    <t>Coluna3137</t>
  </si>
  <si>
    <t>Coluna3138</t>
  </si>
  <si>
    <t>Coluna3139</t>
  </si>
  <si>
    <t>Coluna3140</t>
  </si>
  <si>
    <t>Coluna3141</t>
  </si>
  <si>
    <t>Coluna3142</t>
  </si>
  <si>
    <t>Coluna3143</t>
  </si>
  <si>
    <t>Coluna3144</t>
  </si>
  <si>
    <t>Coluna3145</t>
  </si>
  <si>
    <t>Coluna3146</t>
  </si>
  <si>
    <t>Coluna3147</t>
  </si>
  <si>
    <t>Coluna3148</t>
  </si>
  <si>
    <t>Coluna3149</t>
  </si>
  <si>
    <t>Coluna3150</t>
  </si>
  <si>
    <t>Coluna3151</t>
  </si>
  <si>
    <t>Coluna3152</t>
  </si>
  <si>
    <t>Coluna3153</t>
  </si>
  <si>
    <t>Coluna3154</t>
  </si>
  <si>
    <t>Coluna3155</t>
  </si>
  <si>
    <t>Coluna3156</t>
  </si>
  <si>
    <t>Coluna3157</t>
  </si>
  <si>
    <t>Coluna3158</t>
  </si>
  <si>
    <t>Coluna3159</t>
  </si>
  <si>
    <t>Coluna3160</t>
  </si>
  <si>
    <t>Coluna3161</t>
  </si>
  <si>
    <t>Coluna3162</t>
  </si>
  <si>
    <t>Coluna3163</t>
  </si>
  <si>
    <t>Coluna3164</t>
  </si>
  <si>
    <t>Coluna3165</t>
  </si>
  <si>
    <t>Coluna3166</t>
  </si>
  <si>
    <t>Coluna3167</t>
  </si>
  <si>
    <t>Coluna3168</t>
  </si>
  <si>
    <t>Coluna3169</t>
  </si>
  <si>
    <t>Coluna3170</t>
  </si>
  <si>
    <t>Coluna3171</t>
  </si>
  <si>
    <t>Coluna3172</t>
  </si>
  <si>
    <t>Coluna3173</t>
  </si>
  <si>
    <t>Coluna3174</t>
  </si>
  <si>
    <t>Coluna3175</t>
  </si>
  <si>
    <t>Coluna3176</t>
  </si>
  <si>
    <t>Coluna3177</t>
  </si>
  <si>
    <t>Coluna3178</t>
  </si>
  <si>
    <t>Coluna3179</t>
  </si>
  <si>
    <t>Coluna3180</t>
  </si>
  <si>
    <t>Coluna3181</t>
  </si>
  <si>
    <t>Coluna3182</t>
  </si>
  <si>
    <t>Coluna3183</t>
  </si>
  <si>
    <t>Coluna3184</t>
  </si>
  <si>
    <t>Coluna3185</t>
  </si>
  <si>
    <t>Coluna3186</t>
  </si>
  <si>
    <t>Coluna3187</t>
  </si>
  <si>
    <t>Coluna3188</t>
  </si>
  <si>
    <t>Coluna3189</t>
  </si>
  <si>
    <t>Coluna3190</t>
  </si>
  <si>
    <t>Coluna3191</t>
  </si>
  <si>
    <t>Coluna3192</t>
  </si>
  <si>
    <t>Coluna3193</t>
  </si>
  <si>
    <t>Coluna3194</t>
  </si>
  <si>
    <t>Coluna3195</t>
  </si>
  <si>
    <t>Coluna3196</t>
  </si>
  <si>
    <t>Coluna3197</t>
  </si>
  <si>
    <t>Coluna3198</t>
  </si>
  <si>
    <t>Coluna3199</t>
  </si>
  <si>
    <t>Coluna3200</t>
  </si>
  <si>
    <t>Coluna3201</t>
  </si>
  <si>
    <t>Coluna3202</t>
  </si>
  <si>
    <t>Coluna3203</t>
  </si>
  <si>
    <t>Coluna3204</t>
  </si>
  <si>
    <t>Coluna3205</t>
  </si>
  <si>
    <t>Coluna3206</t>
  </si>
  <si>
    <t>Coluna3207</t>
  </si>
  <si>
    <t>Coluna3208</t>
  </si>
  <si>
    <t>Coluna3209</t>
  </si>
  <si>
    <t>Coluna3210</t>
  </si>
  <si>
    <t>Coluna3211</t>
  </si>
  <si>
    <t>Coluna3212</t>
  </si>
  <si>
    <t>Coluna3213</t>
  </si>
  <si>
    <t>Coluna3214</t>
  </si>
  <si>
    <t>Coluna3215</t>
  </si>
  <si>
    <t>Coluna3216</t>
  </si>
  <si>
    <t>Coluna3217</t>
  </si>
  <si>
    <t>Coluna3218</t>
  </si>
  <si>
    <t>Coluna3219</t>
  </si>
  <si>
    <t>Coluna3220</t>
  </si>
  <si>
    <t>Coluna3221</t>
  </si>
  <si>
    <t>Coluna3222</t>
  </si>
  <si>
    <t>Coluna3223</t>
  </si>
  <si>
    <t>Coluna3224</t>
  </si>
  <si>
    <t>Coluna3225</t>
  </si>
  <si>
    <t>Coluna3226</t>
  </si>
  <si>
    <t>Coluna3227</t>
  </si>
  <si>
    <t>Coluna3228</t>
  </si>
  <si>
    <t>Coluna3229</t>
  </si>
  <si>
    <t>Coluna3230</t>
  </si>
  <si>
    <t>Coluna3231</t>
  </si>
  <si>
    <t>Coluna3232</t>
  </si>
  <si>
    <t>Coluna3233</t>
  </si>
  <si>
    <t>Coluna3234</t>
  </si>
  <si>
    <t>Coluna3235</t>
  </si>
  <si>
    <t>Coluna3236</t>
  </si>
  <si>
    <t>Coluna3237</t>
  </si>
  <si>
    <t>Coluna3238</t>
  </si>
  <si>
    <t>Coluna3239</t>
  </si>
  <si>
    <t>Coluna3240</t>
  </si>
  <si>
    <t>Coluna3241</t>
  </si>
  <si>
    <t>Coluna3242</t>
  </si>
  <si>
    <t>Coluna3243</t>
  </si>
  <si>
    <t>Coluna3244</t>
  </si>
  <si>
    <t>Coluna3245</t>
  </si>
  <si>
    <t>Coluna3246</t>
  </si>
  <si>
    <t>Coluna3247</t>
  </si>
  <si>
    <t>Coluna3248</t>
  </si>
  <si>
    <t>Coluna3249</t>
  </si>
  <si>
    <t>Coluna3250</t>
  </si>
  <si>
    <t>Coluna3251</t>
  </si>
  <si>
    <t>Coluna3252</t>
  </si>
  <si>
    <t>Coluna3253</t>
  </si>
  <si>
    <t>Coluna3254</t>
  </si>
  <si>
    <t>Coluna3255</t>
  </si>
  <si>
    <t>Coluna3256</t>
  </si>
  <si>
    <t>Coluna3257</t>
  </si>
  <si>
    <t>Coluna3258</t>
  </si>
  <si>
    <t>Coluna3259</t>
  </si>
  <si>
    <t>Coluna3260</t>
  </si>
  <si>
    <t>Coluna3261</t>
  </si>
  <si>
    <t>Coluna3262</t>
  </si>
  <si>
    <t>Coluna3263</t>
  </si>
  <si>
    <t>Coluna3264</t>
  </si>
  <si>
    <t>Coluna3265</t>
  </si>
  <si>
    <t>Coluna3266</t>
  </si>
  <si>
    <t>Coluna3267</t>
  </si>
  <si>
    <t>Coluna3268</t>
  </si>
  <si>
    <t>Coluna3269</t>
  </si>
  <si>
    <t>Coluna3270</t>
  </si>
  <si>
    <t>Coluna3271</t>
  </si>
  <si>
    <t>Coluna3272</t>
  </si>
  <si>
    <t>Coluna3273</t>
  </si>
  <si>
    <t>Coluna3274</t>
  </si>
  <si>
    <t>Coluna3275</t>
  </si>
  <si>
    <t>Coluna3276</t>
  </si>
  <si>
    <t>Coluna3277</t>
  </si>
  <si>
    <t>Coluna3278</t>
  </si>
  <si>
    <t>Coluna3279</t>
  </si>
  <si>
    <t>Coluna3280</t>
  </si>
  <si>
    <t>Coluna3281</t>
  </si>
  <si>
    <t>Coluna3282</t>
  </si>
  <si>
    <t>Coluna3283</t>
  </si>
  <si>
    <t>Coluna3284</t>
  </si>
  <si>
    <t>Coluna3285</t>
  </si>
  <si>
    <t>Coluna3286</t>
  </si>
  <si>
    <t>Coluna3287</t>
  </si>
  <si>
    <t>Coluna3288</t>
  </si>
  <si>
    <t>Coluna3289</t>
  </si>
  <si>
    <t>Coluna3290</t>
  </si>
  <si>
    <t>Coluna3291</t>
  </si>
  <si>
    <t>Coluna3292</t>
  </si>
  <si>
    <t>Coluna3293</t>
  </si>
  <si>
    <t>Coluna3294</t>
  </si>
  <si>
    <t>Coluna3295</t>
  </si>
  <si>
    <t>Coluna3296</t>
  </si>
  <si>
    <t>Coluna3297</t>
  </si>
  <si>
    <t>Coluna3298</t>
  </si>
  <si>
    <t>Coluna3299</t>
  </si>
  <si>
    <t>Coluna3300</t>
  </si>
  <si>
    <t>Coluna3301</t>
  </si>
  <si>
    <t>Coluna3302</t>
  </si>
  <si>
    <t>Coluna3303</t>
  </si>
  <si>
    <t>Coluna3304</t>
  </si>
  <si>
    <t>Coluna3305</t>
  </si>
  <si>
    <t>Coluna3306</t>
  </si>
  <si>
    <t>Coluna3307</t>
  </si>
  <si>
    <t>Coluna3308</t>
  </si>
  <si>
    <t>Coluna3309</t>
  </si>
  <si>
    <t>Coluna3310</t>
  </si>
  <si>
    <t>Coluna3311</t>
  </si>
  <si>
    <t>Coluna3312</t>
  </si>
  <si>
    <t>Coluna3313</t>
  </si>
  <si>
    <t>Coluna3314</t>
  </si>
  <si>
    <t>Coluna3315</t>
  </si>
  <si>
    <t>Coluna3316</t>
  </si>
  <si>
    <t>Coluna3317</t>
  </si>
  <si>
    <t>Coluna3318</t>
  </si>
  <si>
    <t>Coluna3319</t>
  </si>
  <si>
    <t>Coluna3320</t>
  </si>
  <si>
    <t>Coluna3321</t>
  </si>
  <si>
    <t>Coluna3322</t>
  </si>
  <si>
    <t>Coluna3323</t>
  </si>
  <si>
    <t>Coluna3324</t>
  </si>
  <si>
    <t>Coluna3325</t>
  </si>
  <si>
    <t>Coluna3326</t>
  </si>
  <si>
    <t>Coluna3327</t>
  </si>
  <si>
    <t>Coluna3328</t>
  </si>
  <si>
    <t>Coluna3329</t>
  </si>
  <si>
    <t>Coluna3330</t>
  </si>
  <si>
    <t>Coluna3331</t>
  </si>
  <si>
    <t>Coluna3332</t>
  </si>
  <si>
    <t>Coluna3333</t>
  </si>
  <si>
    <t>Coluna3334</t>
  </si>
  <si>
    <t>Coluna3335</t>
  </si>
  <si>
    <t>Coluna3336</t>
  </si>
  <si>
    <t>Coluna3337</t>
  </si>
  <si>
    <t>Coluna3338</t>
  </si>
  <si>
    <t>Coluna3339</t>
  </si>
  <si>
    <t>Coluna3340</t>
  </si>
  <si>
    <t>Coluna3341</t>
  </si>
  <si>
    <t>Coluna3342</t>
  </si>
  <si>
    <t>Coluna3343</t>
  </si>
  <si>
    <t>Coluna3344</t>
  </si>
  <si>
    <t>Coluna3345</t>
  </si>
  <si>
    <t>Coluna3346</t>
  </si>
  <si>
    <t>Coluna3347</t>
  </si>
  <si>
    <t>Coluna3348</t>
  </si>
  <si>
    <t>Coluna3349</t>
  </si>
  <si>
    <t>Coluna3350</t>
  </si>
  <si>
    <t>Coluna3351</t>
  </si>
  <si>
    <t>Coluna3352</t>
  </si>
  <si>
    <t>Coluna3353</t>
  </si>
  <si>
    <t>Coluna3354</t>
  </si>
  <si>
    <t>Coluna3355</t>
  </si>
  <si>
    <t>Coluna3356</t>
  </si>
  <si>
    <t>Coluna3357</t>
  </si>
  <si>
    <t>Coluna3358</t>
  </si>
  <si>
    <t>Coluna3359</t>
  </si>
  <si>
    <t>Coluna3360</t>
  </si>
  <si>
    <t>Coluna3361</t>
  </si>
  <si>
    <t>Coluna3362</t>
  </si>
  <si>
    <t>Coluna3363</t>
  </si>
  <si>
    <t>Coluna3364</t>
  </si>
  <si>
    <t>Coluna3365</t>
  </si>
  <si>
    <t>Coluna3366</t>
  </si>
  <si>
    <t>Coluna3367</t>
  </si>
  <si>
    <t>Coluna3368</t>
  </si>
  <si>
    <t>Coluna3369</t>
  </si>
  <si>
    <t>Coluna3370</t>
  </si>
  <si>
    <t>Coluna3371</t>
  </si>
  <si>
    <t>Coluna3372</t>
  </si>
  <si>
    <t>Coluna3373</t>
  </si>
  <si>
    <t>Coluna3374</t>
  </si>
  <si>
    <t>Coluna3375</t>
  </si>
  <si>
    <t>Coluna3376</t>
  </si>
  <si>
    <t>Coluna3377</t>
  </si>
  <si>
    <t>Coluna3378</t>
  </si>
  <si>
    <t>Coluna3379</t>
  </si>
  <si>
    <t>Coluna3380</t>
  </si>
  <si>
    <t>Coluna3381</t>
  </si>
  <si>
    <t>Coluna3382</t>
  </si>
  <si>
    <t>Coluna3383</t>
  </si>
  <si>
    <t>Coluna3384</t>
  </si>
  <si>
    <t>Coluna3385</t>
  </si>
  <si>
    <t>Coluna3386</t>
  </si>
  <si>
    <t>Coluna3387</t>
  </si>
  <si>
    <t>Coluna3388</t>
  </si>
  <si>
    <t>Coluna3389</t>
  </si>
  <si>
    <t>Coluna3390</t>
  </si>
  <si>
    <t>Coluna3391</t>
  </si>
  <si>
    <t>Coluna3392</t>
  </si>
  <si>
    <t>Coluna3393</t>
  </si>
  <si>
    <t>Coluna3394</t>
  </si>
  <si>
    <t>Coluna3395</t>
  </si>
  <si>
    <t>Coluna3396</t>
  </si>
  <si>
    <t>Coluna3397</t>
  </si>
  <si>
    <t>Coluna3398</t>
  </si>
  <si>
    <t>Coluna3399</t>
  </si>
  <si>
    <t>Coluna3400</t>
  </si>
  <si>
    <t>Coluna3401</t>
  </si>
  <si>
    <t>Coluna3402</t>
  </si>
  <si>
    <t>Coluna3403</t>
  </si>
  <si>
    <t>Coluna3404</t>
  </si>
  <si>
    <t>Coluna3405</t>
  </si>
  <si>
    <t>Coluna3406</t>
  </si>
  <si>
    <t>Coluna3407</t>
  </si>
  <si>
    <t>Coluna3408</t>
  </si>
  <si>
    <t>Coluna3409</t>
  </si>
  <si>
    <t>Coluna3410</t>
  </si>
  <si>
    <t>Coluna3411</t>
  </si>
  <si>
    <t>Coluna3412</t>
  </si>
  <si>
    <t>Coluna3413</t>
  </si>
  <si>
    <t>Coluna3414</t>
  </si>
  <si>
    <t>Coluna3415</t>
  </si>
  <si>
    <t>Coluna3416</t>
  </si>
  <si>
    <t>Coluna3417</t>
  </si>
  <si>
    <t>Coluna3418</t>
  </si>
  <si>
    <t>Coluna3419</t>
  </si>
  <si>
    <t>Coluna3420</t>
  </si>
  <si>
    <t>Coluna3421</t>
  </si>
  <si>
    <t>Coluna3422</t>
  </si>
  <si>
    <t>Coluna3423</t>
  </si>
  <si>
    <t>Coluna3424</t>
  </si>
  <si>
    <t>Coluna3425</t>
  </si>
  <si>
    <t>Coluna3426</t>
  </si>
  <si>
    <t>Coluna3427</t>
  </si>
  <si>
    <t>Coluna3428</t>
  </si>
  <si>
    <t>Coluna3429</t>
  </si>
  <si>
    <t>Coluna3430</t>
  </si>
  <si>
    <t>Coluna3431</t>
  </si>
  <si>
    <t>Coluna3432</t>
  </si>
  <si>
    <t>Coluna3433</t>
  </si>
  <si>
    <t>Coluna3434</t>
  </si>
  <si>
    <t>Coluna3435</t>
  </si>
  <si>
    <t>Coluna3436</t>
  </si>
  <si>
    <t>Coluna3437</t>
  </si>
  <si>
    <t>Coluna3438</t>
  </si>
  <si>
    <t>Coluna3439</t>
  </si>
  <si>
    <t>Coluna3440</t>
  </si>
  <si>
    <t>Coluna3441</t>
  </si>
  <si>
    <t>Coluna3442</t>
  </si>
  <si>
    <t>Coluna3443</t>
  </si>
  <si>
    <t>Coluna3444</t>
  </si>
  <si>
    <t>Coluna3445</t>
  </si>
  <si>
    <t>Coluna3446</t>
  </si>
  <si>
    <t>Coluna3447</t>
  </si>
  <si>
    <t>Coluna3448</t>
  </si>
  <si>
    <t>Coluna3449</t>
  </si>
  <si>
    <t>Coluna3450</t>
  </si>
  <si>
    <t>Coluna3451</t>
  </si>
  <si>
    <t>Coluna3452</t>
  </si>
  <si>
    <t>Coluna3453</t>
  </si>
  <si>
    <t>Coluna3454</t>
  </si>
  <si>
    <t>Coluna3455</t>
  </si>
  <si>
    <t>Coluna3456</t>
  </si>
  <si>
    <t>Coluna3457</t>
  </si>
  <si>
    <t>Coluna3458</t>
  </si>
  <si>
    <t>Coluna3459</t>
  </si>
  <si>
    <t>Coluna3460</t>
  </si>
  <si>
    <t>Coluna3461</t>
  </si>
  <si>
    <t>Coluna3462</t>
  </si>
  <si>
    <t>Coluna3463</t>
  </si>
  <si>
    <t>Coluna3464</t>
  </si>
  <si>
    <t>Coluna3465</t>
  </si>
  <si>
    <t>Coluna3466</t>
  </si>
  <si>
    <t>Coluna3467</t>
  </si>
  <si>
    <t>Coluna3468</t>
  </si>
  <si>
    <t>Coluna3469</t>
  </si>
  <si>
    <t>Coluna3470</t>
  </si>
  <si>
    <t>Coluna3471</t>
  </si>
  <si>
    <t>Coluna3472</t>
  </si>
  <si>
    <t>Coluna3473</t>
  </si>
  <si>
    <t>Coluna3474</t>
  </si>
  <si>
    <t>Coluna3475</t>
  </si>
  <si>
    <t>Coluna3476</t>
  </si>
  <si>
    <t>Coluna3477</t>
  </si>
  <si>
    <t>Coluna3478</t>
  </si>
  <si>
    <t>Coluna3479</t>
  </si>
  <si>
    <t>Coluna3480</t>
  </si>
  <si>
    <t>Coluna3481</t>
  </si>
  <si>
    <t>Coluna3482</t>
  </si>
  <si>
    <t>Coluna3483</t>
  </si>
  <si>
    <t>Coluna3484</t>
  </si>
  <si>
    <t>Coluna3485</t>
  </si>
  <si>
    <t>Coluna3486</t>
  </si>
  <si>
    <t>Coluna3487</t>
  </si>
  <si>
    <t>Coluna3488</t>
  </si>
  <si>
    <t>Coluna3489</t>
  </si>
  <si>
    <t>Coluna3490</t>
  </si>
  <si>
    <t>Coluna3491</t>
  </si>
  <si>
    <t>Coluna3492</t>
  </si>
  <si>
    <t>Coluna3493</t>
  </si>
  <si>
    <t>Coluna3494</t>
  </si>
  <si>
    <t>Coluna3495</t>
  </si>
  <si>
    <t>Coluna3496</t>
  </si>
  <si>
    <t>Coluna3497</t>
  </si>
  <si>
    <t>Coluna3498</t>
  </si>
  <si>
    <t>Coluna3499</t>
  </si>
  <si>
    <t>Coluna3500</t>
  </si>
  <si>
    <t>Coluna3501</t>
  </si>
  <si>
    <t>Coluna3502</t>
  </si>
  <si>
    <t>Coluna3503</t>
  </si>
  <si>
    <t>Coluna3504</t>
  </si>
  <si>
    <t>Coluna3505</t>
  </si>
  <si>
    <t>Coluna3506</t>
  </si>
  <si>
    <t>Coluna3507</t>
  </si>
  <si>
    <t>Coluna3508</t>
  </si>
  <si>
    <t>Coluna3509</t>
  </si>
  <si>
    <t>Coluna3510</t>
  </si>
  <si>
    <t>Coluna3511</t>
  </si>
  <si>
    <t>Coluna3512</t>
  </si>
  <si>
    <t>Coluna3513</t>
  </si>
  <si>
    <t>Coluna3514</t>
  </si>
  <si>
    <t>Coluna3515</t>
  </si>
  <si>
    <t>Coluna3516</t>
  </si>
  <si>
    <t>Coluna3517</t>
  </si>
  <si>
    <t>Coluna3518</t>
  </si>
  <si>
    <t>Coluna3519</t>
  </si>
  <si>
    <t>Coluna3520</t>
  </si>
  <si>
    <t>Coluna3521</t>
  </si>
  <si>
    <t>Coluna3522</t>
  </si>
  <si>
    <t>Coluna3523</t>
  </si>
  <si>
    <t>Coluna3524</t>
  </si>
  <si>
    <t>Coluna3525</t>
  </si>
  <si>
    <t>Coluna3526</t>
  </si>
  <si>
    <t>Coluna3527</t>
  </si>
  <si>
    <t>Coluna3528</t>
  </si>
  <si>
    <t>Coluna3529</t>
  </si>
  <si>
    <t>Coluna3530</t>
  </si>
  <si>
    <t>Coluna3531</t>
  </si>
  <si>
    <t>Coluna3532</t>
  </si>
  <si>
    <t>Coluna3533</t>
  </si>
  <si>
    <t>Coluna3534</t>
  </si>
  <si>
    <t>Coluna3535</t>
  </si>
  <si>
    <t>Coluna3536</t>
  </si>
  <si>
    <t>Coluna3537</t>
  </si>
  <si>
    <t>Coluna3538</t>
  </si>
  <si>
    <t>Coluna3539</t>
  </si>
  <si>
    <t>Coluna3540</t>
  </si>
  <si>
    <t>Coluna3541</t>
  </si>
  <si>
    <t>Coluna3542</t>
  </si>
  <si>
    <t>Coluna3543</t>
  </si>
  <si>
    <t>Coluna3544</t>
  </si>
  <si>
    <t>Coluna3545</t>
  </si>
  <si>
    <t>Coluna3546</t>
  </si>
  <si>
    <t>Coluna3547</t>
  </si>
  <si>
    <t>Coluna3548</t>
  </si>
  <si>
    <t>Coluna3549</t>
  </si>
  <si>
    <t>Coluna3550</t>
  </si>
  <si>
    <t>Coluna3551</t>
  </si>
  <si>
    <t>Coluna3552</t>
  </si>
  <si>
    <t>Coluna3553</t>
  </si>
  <si>
    <t>Coluna3554</t>
  </si>
  <si>
    <t>Coluna3555</t>
  </si>
  <si>
    <t>Coluna3556</t>
  </si>
  <si>
    <t>Coluna3557</t>
  </si>
  <si>
    <t>Coluna3558</t>
  </si>
  <si>
    <t>Coluna3559</t>
  </si>
  <si>
    <t>Coluna3560</t>
  </si>
  <si>
    <t>Coluna3561</t>
  </si>
  <si>
    <t>Coluna3562</t>
  </si>
  <si>
    <t>Coluna3563</t>
  </si>
  <si>
    <t>Coluna3564</t>
  </si>
  <si>
    <t>Coluna3565</t>
  </si>
  <si>
    <t>Coluna3566</t>
  </si>
  <si>
    <t>Coluna3567</t>
  </si>
  <si>
    <t>Coluna3568</t>
  </si>
  <si>
    <t>Coluna3569</t>
  </si>
  <si>
    <t>Coluna3570</t>
  </si>
  <si>
    <t>Coluna3571</t>
  </si>
  <si>
    <t>Coluna3572</t>
  </si>
  <si>
    <t>Coluna3573</t>
  </si>
  <si>
    <t>Coluna3574</t>
  </si>
  <si>
    <t>Coluna3575</t>
  </si>
  <si>
    <t>Coluna3576</t>
  </si>
  <si>
    <t>Coluna3577</t>
  </si>
  <si>
    <t>Coluna3578</t>
  </si>
  <si>
    <t>Coluna3579</t>
  </si>
  <si>
    <t>Coluna3580</t>
  </si>
  <si>
    <t>Coluna3581</t>
  </si>
  <si>
    <t>Coluna3582</t>
  </si>
  <si>
    <t>Coluna3583</t>
  </si>
  <si>
    <t>Coluna3584</t>
  </si>
  <si>
    <t>Coluna3585</t>
  </si>
  <si>
    <t>Coluna3586</t>
  </si>
  <si>
    <t>Coluna3587</t>
  </si>
  <si>
    <t>Coluna3588</t>
  </si>
  <si>
    <t>Coluna3589</t>
  </si>
  <si>
    <t>Coluna3590</t>
  </si>
  <si>
    <t>Coluna3591</t>
  </si>
  <si>
    <t>Coluna3592</t>
  </si>
  <si>
    <t>Coluna3593</t>
  </si>
  <si>
    <t>Coluna3594</t>
  </si>
  <si>
    <t>Coluna3595</t>
  </si>
  <si>
    <t>Coluna3596</t>
  </si>
  <si>
    <t>Coluna3597</t>
  </si>
  <si>
    <t>Coluna3598</t>
  </si>
  <si>
    <t>Coluna3599</t>
  </si>
  <si>
    <t>Coluna3600</t>
  </si>
  <si>
    <t>Coluna3601</t>
  </si>
  <si>
    <t>Coluna3602</t>
  </si>
  <si>
    <t>Coluna3603</t>
  </si>
  <si>
    <t>Coluna3604</t>
  </si>
  <si>
    <t>Coluna3605</t>
  </si>
  <si>
    <t>Coluna3606</t>
  </si>
  <si>
    <t>Coluna3607</t>
  </si>
  <si>
    <t>Coluna3608</t>
  </si>
  <si>
    <t>Coluna3609</t>
  </si>
  <si>
    <t>Coluna3610</t>
  </si>
  <si>
    <t>Coluna3611</t>
  </si>
  <si>
    <t>Coluna3612</t>
  </si>
  <si>
    <t>Coluna3613</t>
  </si>
  <si>
    <t>Coluna3614</t>
  </si>
  <si>
    <t>Coluna3615</t>
  </si>
  <si>
    <t>Coluna3616</t>
  </si>
  <si>
    <t>Coluna3617</t>
  </si>
  <si>
    <t>Coluna3618</t>
  </si>
  <si>
    <t>Coluna3619</t>
  </si>
  <si>
    <t>Coluna3620</t>
  </si>
  <si>
    <t>Coluna3621</t>
  </si>
  <si>
    <t>Coluna3622</t>
  </si>
  <si>
    <t>Coluna3623</t>
  </si>
  <si>
    <t>Coluna3624</t>
  </si>
  <si>
    <t>Coluna3625</t>
  </si>
  <si>
    <t>Coluna3626</t>
  </si>
  <si>
    <t>Coluna3627</t>
  </si>
  <si>
    <t>Coluna3628</t>
  </si>
  <si>
    <t>Coluna3629</t>
  </si>
  <si>
    <t>Coluna3630</t>
  </si>
  <si>
    <t>Coluna3631</t>
  </si>
  <si>
    <t>Coluna3632</t>
  </si>
  <si>
    <t>Coluna3633</t>
  </si>
  <si>
    <t>Coluna3634</t>
  </si>
  <si>
    <t>Coluna3635</t>
  </si>
  <si>
    <t>Coluna3636</t>
  </si>
  <si>
    <t>Coluna3637</t>
  </si>
  <si>
    <t>Coluna3638</t>
  </si>
  <si>
    <t>Coluna3639</t>
  </si>
  <si>
    <t>Coluna3640</t>
  </si>
  <si>
    <t>Coluna3641</t>
  </si>
  <si>
    <t>Coluna3642</t>
  </si>
  <si>
    <t>Coluna3643</t>
  </si>
  <si>
    <t>Coluna3644</t>
  </si>
  <si>
    <t>Coluna3645</t>
  </si>
  <si>
    <t>Coluna3646</t>
  </si>
  <si>
    <t>Coluna3647</t>
  </si>
  <si>
    <t>Coluna3648</t>
  </si>
  <si>
    <t>Coluna3649</t>
  </si>
  <si>
    <t>Coluna3650</t>
  </si>
  <si>
    <t>Coluna3651</t>
  </si>
  <si>
    <t>Coluna3652</t>
  </si>
  <si>
    <t>Coluna3653</t>
  </si>
  <si>
    <t>Coluna3654</t>
  </si>
  <si>
    <t>Coluna3655</t>
  </si>
  <si>
    <t>Coluna3656</t>
  </si>
  <si>
    <t>Coluna3657</t>
  </si>
  <si>
    <t>Coluna3658</t>
  </si>
  <si>
    <t>Coluna3659</t>
  </si>
  <si>
    <t>Coluna3660</t>
  </si>
  <si>
    <t>Coluna3661</t>
  </si>
  <si>
    <t>Coluna3662</t>
  </si>
  <si>
    <t>Coluna3663</t>
  </si>
  <si>
    <t>Coluna3664</t>
  </si>
  <si>
    <t>Coluna3665</t>
  </si>
  <si>
    <t>Coluna3666</t>
  </si>
  <si>
    <t>Coluna3667</t>
  </si>
  <si>
    <t>Coluna3668</t>
  </si>
  <si>
    <t>Coluna3669</t>
  </si>
  <si>
    <t>Coluna3670</t>
  </si>
  <si>
    <t>Coluna3671</t>
  </si>
  <si>
    <t>Coluna3672</t>
  </si>
  <si>
    <t>Coluna3673</t>
  </si>
  <si>
    <t>Coluna3674</t>
  </si>
  <si>
    <t>Coluna3675</t>
  </si>
  <si>
    <t>Coluna3676</t>
  </si>
  <si>
    <t>Coluna3677</t>
  </si>
  <si>
    <t>Coluna3678</t>
  </si>
  <si>
    <t>Coluna3679</t>
  </si>
  <si>
    <t>Coluna3680</t>
  </si>
  <si>
    <t>Coluna3681</t>
  </si>
  <si>
    <t>Coluna3682</t>
  </si>
  <si>
    <t>Coluna3683</t>
  </si>
  <si>
    <t>Coluna3684</t>
  </si>
  <si>
    <t>Coluna3685</t>
  </si>
  <si>
    <t>Coluna3686</t>
  </si>
  <si>
    <t>Coluna3687</t>
  </si>
  <si>
    <t>Coluna3688</t>
  </si>
  <si>
    <t>Coluna3689</t>
  </si>
  <si>
    <t>Coluna3690</t>
  </si>
  <si>
    <t>Coluna3691</t>
  </si>
  <si>
    <t>Coluna3692</t>
  </si>
  <si>
    <t>Coluna3693</t>
  </si>
  <si>
    <t>Coluna3694</t>
  </si>
  <si>
    <t>Coluna3695</t>
  </si>
  <si>
    <t>Coluna3696</t>
  </si>
  <si>
    <t>Coluna3697</t>
  </si>
  <si>
    <t>Coluna3698</t>
  </si>
  <si>
    <t>Coluna3699</t>
  </si>
  <si>
    <t>Coluna3700</t>
  </si>
  <si>
    <t>Coluna3701</t>
  </si>
  <si>
    <t>Coluna3702</t>
  </si>
  <si>
    <t>Coluna3703</t>
  </si>
  <si>
    <t>Coluna3704</t>
  </si>
  <si>
    <t>Coluna3705</t>
  </si>
  <si>
    <t>Coluna3706</t>
  </si>
  <si>
    <t>Coluna3707</t>
  </si>
  <si>
    <t>Coluna3708</t>
  </si>
  <si>
    <t>Coluna3709</t>
  </si>
  <si>
    <t>Coluna3710</t>
  </si>
  <si>
    <t>Coluna3711</t>
  </si>
  <si>
    <t>Coluna3712</t>
  </si>
  <si>
    <t>Coluna3713</t>
  </si>
  <si>
    <t>Coluna3714</t>
  </si>
  <si>
    <t>Coluna3715</t>
  </si>
  <si>
    <t>Coluna3716</t>
  </si>
  <si>
    <t>Coluna3717</t>
  </si>
  <si>
    <t>Coluna3718</t>
  </si>
  <si>
    <t>Coluna3719</t>
  </si>
  <si>
    <t>Coluna3720</t>
  </si>
  <si>
    <t>Coluna3721</t>
  </si>
  <si>
    <t>Coluna3722</t>
  </si>
  <si>
    <t>Coluna3723</t>
  </si>
  <si>
    <t>Coluna3724</t>
  </si>
  <si>
    <t>Coluna3725</t>
  </si>
  <si>
    <t>Coluna3726</t>
  </si>
  <si>
    <t>Coluna3727</t>
  </si>
  <si>
    <t>Coluna3728</t>
  </si>
  <si>
    <t>Coluna3729</t>
  </si>
  <si>
    <t>Coluna3730</t>
  </si>
  <si>
    <t>Coluna3731</t>
  </si>
  <si>
    <t>Coluna3732</t>
  </si>
  <si>
    <t>Coluna3733</t>
  </si>
  <si>
    <t>Coluna3734</t>
  </si>
  <si>
    <t>Coluna3735</t>
  </si>
  <si>
    <t>Coluna3736</t>
  </si>
  <si>
    <t>Coluna3737</t>
  </si>
  <si>
    <t>Coluna3738</t>
  </si>
  <si>
    <t>Coluna3739</t>
  </si>
  <si>
    <t>Coluna3740</t>
  </si>
  <si>
    <t>Coluna3741</t>
  </si>
  <si>
    <t>Coluna3742</t>
  </si>
  <si>
    <t>Coluna3743</t>
  </si>
  <si>
    <t>Coluna3744</t>
  </si>
  <si>
    <t>Coluna3745</t>
  </si>
  <si>
    <t>Coluna3746</t>
  </si>
  <si>
    <t>Coluna3747</t>
  </si>
  <si>
    <t>Coluna3748</t>
  </si>
  <si>
    <t>Coluna3749</t>
  </si>
  <si>
    <t>Coluna3750</t>
  </si>
  <si>
    <t>Coluna3751</t>
  </si>
  <si>
    <t>Coluna3752</t>
  </si>
  <si>
    <t>Coluna3753</t>
  </si>
  <si>
    <t>Coluna3754</t>
  </si>
  <si>
    <t>Coluna3755</t>
  </si>
  <si>
    <t>Coluna3756</t>
  </si>
  <si>
    <t>Coluna3757</t>
  </si>
  <si>
    <t>Coluna3758</t>
  </si>
  <si>
    <t>Coluna3759</t>
  </si>
  <si>
    <t>Coluna3760</t>
  </si>
  <si>
    <t>Coluna3761</t>
  </si>
  <si>
    <t>Coluna3762</t>
  </si>
  <si>
    <t>Coluna3763</t>
  </si>
  <si>
    <t>Coluna3764</t>
  </si>
  <si>
    <t>Coluna3765</t>
  </si>
  <si>
    <t>Coluna3766</t>
  </si>
  <si>
    <t>Coluna3767</t>
  </si>
  <si>
    <t>Coluna3768</t>
  </si>
  <si>
    <t>Coluna3769</t>
  </si>
  <si>
    <t>Coluna3770</t>
  </si>
  <si>
    <t>Coluna3771</t>
  </si>
  <si>
    <t>Coluna3772</t>
  </si>
  <si>
    <t>Coluna3773</t>
  </si>
  <si>
    <t>Coluna3774</t>
  </si>
  <si>
    <t>Coluna3775</t>
  </si>
  <si>
    <t>Coluna3776</t>
  </si>
  <si>
    <t>Coluna3777</t>
  </si>
  <si>
    <t>Coluna3778</t>
  </si>
  <si>
    <t>Coluna3779</t>
  </si>
  <si>
    <t>Coluna3780</t>
  </si>
  <si>
    <t>Coluna3781</t>
  </si>
  <si>
    <t>Coluna3782</t>
  </si>
  <si>
    <t>Coluna3783</t>
  </si>
  <si>
    <t>Coluna3784</t>
  </si>
  <si>
    <t>Coluna3785</t>
  </si>
  <si>
    <t>Coluna3786</t>
  </si>
  <si>
    <t>Coluna3787</t>
  </si>
  <si>
    <t>Coluna3788</t>
  </si>
  <si>
    <t>Coluna3789</t>
  </si>
  <si>
    <t>Coluna3790</t>
  </si>
  <si>
    <t>Coluna3791</t>
  </si>
  <si>
    <t>Coluna3792</t>
  </si>
  <si>
    <t>Coluna3793</t>
  </si>
  <si>
    <t>Coluna3794</t>
  </si>
  <si>
    <t>Coluna3795</t>
  </si>
  <si>
    <t>Coluna3796</t>
  </si>
  <si>
    <t>Coluna3797</t>
  </si>
  <si>
    <t>Coluna3798</t>
  </si>
  <si>
    <t>Coluna3799</t>
  </si>
  <si>
    <t>Coluna3800</t>
  </si>
  <si>
    <t>Coluna3801</t>
  </si>
  <si>
    <t>Coluna3802</t>
  </si>
  <si>
    <t>Coluna3803</t>
  </si>
  <si>
    <t>Coluna3804</t>
  </si>
  <si>
    <t>Coluna3805</t>
  </si>
  <si>
    <t>Coluna3806</t>
  </si>
  <si>
    <t>Coluna3807</t>
  </si>
  <si>
    <t>Coluna3808</t>
  </si>
  <si>
    <t>Coluna3809</t>
  </si>
  <si>
    <t>Coluna3810</t>
  </si>
  <si>
    <t>Coluna3811</t>
  </si>
  <si>
    <t>Coluna3812</t>
  </si>
  <si>
    <t>Coluna3813</t>
  </si>
  <si>
    <t>Coluna3814</t>
  </si>
  <si>
    <t>Coluna3815</t>
  </si>
  <si>
    <t>Coluna3816</t>
  </si>
  <si>
    <t>Coluna3817</t>
  </si>
  <si>
    <t>Coluna3818</t>
  </si>
  <si>
    <t>Coluna3819</t>
  </si>
  <si>
    <t>Coluna3820</t>
  </si>
  <si>
    <t>Coluna3821</t>
  </si>
  <si>
    <t>Coluna3822</t>
  </si>
  <si>
    <t>Coluna3823</t>
  </si>
  <si>
    <t>Coluna3824</t>
  </si>
  <si>
    <t>Coluna3825</t>
  </si>
  <si>
    <t>Coluna3826</t>
  </si>
  <si>
    <t>Coluna3827</t>
  </si>
  <si>
    <t>Coluna3828</t>
  </si>
  <si>
    <t>Coluna3829</t>
  </si>
  <si>
    <t>Coluna3830</t>
  </si>
  <si>
    <t>Coluna3831</t>
  </si>
  <si>
    <t>Coluna3832</t>
  </si>
  <si>
    <t>Coluna3833</t>
  </si>
  <si>
    <t>Coluna3834</t>
  </si>
  <si>
    <t>Coluna3835</t>
  </si>
  <si>
    <t>Coluna3836</t>
  </si>
  <si>
    <t>Coluna3837</t>
  </si>
  <si>
    <t>Coluna3838</t>
  </si>
  <si>
    <t>Coluna3839</t>
  </si>
  <si>
    <t>Coluna3840</t>
  </si>
  <si>
    <t>Coluna3841</t>
  </si>
  <si>
    <t>Coluna3842</t>
  </si>
  <si>
    <t>Coluna3843</t>
  </si>
  <si>
    <t>Coluna3844</t>
  </si>
  <si>
    <t>Coluna3845</t>
  </si>
  <si>
    <t>Coluna3846</t>
  </si>
  <si>
    <t>Coluna3847</t>
  </si>
  <si>
    <t>Coluna3848</t>
  </si>
  <si>
    <t>Coluna3849</t>
  </si>
  <si>
    <t>Coluna3850</t>
  </si>
  <si>
    <t>Coluna3851</t>
  </si>
  <si>
    <t>Coluna3852</t>
  </si>
  <si>
    <t>Coluna3853</t>
  </si>
  <si>
    <t>Coluna3854</t>
  </si>
  <si>
    <t>Coluna3855</t>
  </si>
  <si>
    <t>Coluna3856</t>
  </si>
  <si>
    <t>Coluna3857</t>
  </si>
  <si>
    <t>Coluna3858</t>
  </si>
  <si>
    <t>Coluna3859</t>
  </si>
  <si>
    <t>Coluna3860</t>
  </si>
  <si>
    <t>Coluna3861</t>
  </si>
  <si>
    <t>Coluna3862</t>
  </si>
  <si>
    <t>Coluna3863</t>
  </si>
  <si>
    <t>Coluna3864</t>
  </si>
  <si>
    <t>Coluna3865</t>
  </si>
  <si>
    <t>Coluna3866</t>
  </si>
  <si>
    <t>Coluna3867</t>
  </si>
  <si>
    <t>Coluna3868</t>
  </si>
  <si>
    <t>Coluna3869</t>
  </si>
  <si>
    <t>Coluna3870</t>
  </si>
  <si>
    <t>Coluna3871</t>
  </si>
  <si>
    <t>Coluna3872</t>
  </si>
  <si>
    <t>Coluna3873</t>
  </si>
  <si>
    <t>Coluna3874</t>
  </si>
  <si>
    <t>Coluna3875</t>
  </si>
  <si>
    <t>Coluna3876</t>
  </si>
  <si>
    <t>Coluna3877</t>
  </si>
  <si>
    <t>Coluna3878</t>
  </si>
  <si>
    <t>Coluna3879</t>
  </si>
  <si>
    <t>Coluna3880</t>
  </si>
  <si>
    <t>Coluna3881</t>
  </si>
  <si>
    <t>Coluna3882</t>
  </si>
  <si>
    <t>Coluna3883</t>
  </si>
  <si>
    <t>Coluna3884</t>
  </si>
  <si>
    <t>Coluna3885</t>
  </si>
  <si>
    <t>Coluna3886</t>
  </si>
  <si>
    <t>Coluna3887</t>
  </si>
  <si>
    <t>Coluna3888</t>
  </si>
  <si>
    <t>Coluna3889</t>
  </si>
  <si>
    <t>Coluna3890</t>
  </si>
  <si>
    <t>Coluna3891</t>
  </si>
  <si>
    <t>Coluna3892</t>
  </si>
  <si>
    <t>Coluna3893</t>
  </si>
  <si>
    <t>Coluna3894</t>
  </si>
  <si>
    <t>Coluna3895</t>
  </si>
  <si>
    <t>Coluna3896</t>
  </si>
  <si>
    <t>Coluna3897</t>
  </si>
  <si>
    <t>Coluna3898</t>
  </si>
  <si>
    <t>Coluna3899</t>
  </si>
  <si>
    <t>Coluna3900</t>
  </si>
  <si>
    <t>Coluna3901</t>
  </si>
  <si>
    <t>Coluna3902</t>
  </si>
  <si>
    <t>Coluna3903</t>
  </si>
  <si>
    <t>Coluna3904</t>
  </si>
  <si>
    <t>Coluna3905</t>
  </si>
  <si>
    <t>Coluna3906</t>
  </si>
  <si>
    <t>Coluna3907</t>
  </si>
  <si>
    <t>Coluna3908</t>
  </si>
  <si>
    <t>Coluna3909</t>
  </si>
  <si>
    <t>Coluna3910</t>
  </si>
  <si>
    <t>Coluna3911</t>
  </si>
  <si>
    <t>Coluna3912</t>
  </si>
  <si>
    <t>Coluna3913</t>
  </si>
  <si>
    <t>Coluna3914</t>
  </si>
  <si>
    <t>Coluna3915</t>
  </si>
  <si>
    <t>Coluna3916</t>
  </si>
  <si>
    <t>Coluna3917</t>
  </si>
  <si>
    <t>Coluna3918</t>
  </si>
  <si>
    <t>Coluna3919</t>
  </si>
  <si>
    <t>Coluna3920</t>
  </si>
  <si>
    <t>Coluna3921</t>
  </si>
  <si>
    <t>Coluna3922</t>
  </si>
  <si>
    <t>Coluna3923</t>
  </si>
  <si>
    <t>Coluna3924</t>
  </si>
  <si>
    <t>Coluna3925</t>
  </si>
  <si>
    <t>Coluna3926</t>
  </si>
  <si>
    <t>Coluna3927</t>
  </si>
  <si>
    <t>Coluna3928</t>
  </si>
  <si>
    <t>Coluna3929</t>
  </si>
  <si>
    <t>Coluna3930</t>
  </si>
  <si>
    <t>Coluna3931</t>
  </si>
  <si>
    <t>Coluna3932</t>
  </si>
  <si>
    <t>Coluna3933</t>
  </si>
  <si>
    <t>Coluna3934</t>
  </si>
  <si>
    <t>Coluna3935</t>
  </si>
  <si>
    <t>Coluna3936</t>
  </si>
  <si>
    <t>Coluna3937</t>
  </si>
  <si>
    <t>Coluna3938</t>
  </si>
  <si>
    <t>Coluna3939</t>
  </si>
  <si>
    <t>Coluna3940</t>
  </si>
  <si>
    <t>Coluna3941</t>
  </si>
  <si>
    <t>Coluna3942</t>
  </si>
  <si>
    <t>Coluna3943</t>
  </si>
  <si>
    <t>Coluna3944</t>
  </si>
  <si>
    <t>Coluna3945</t>
  </si>
  <si>
    <t>Coluna3946</t>
  </si>
  <si>
    <t>Coluna3947</t>
  </si>
  <si>
    <t>Coluna3948</t>
  </si>
  <si>
    <t>Coluna3949</t>
  </si>
  <si>
    <t>Coluna3950</t>
  </si>
  <si>
    <t>Coluna3951</t>
  </si>
  <si>
    <t>Coluna3952</t>
  </si>
  <si>
    <t>Coluna3953</t>
  </si>
  <si>
    <t>Coluna3954</t>
  </si>
  <si>
    <t>Coluna3955</t>
  </si>
  <si>
    <t>Coluna3956</t>
  </si>
  <si>
    <t>Coluna3957</t>
  </si>
  <si>
    <t>Coluna3958</t>
  </si>
  <si>
    <t>Coluna3959</t>
  </si>
  <si>
    <t>Coluna3960</t>
  </si>
  <si>
    <t>Coluna3961</t>
  </si>
  <si>
    <t>Coluna3962</t>
  </si>
  <si>
    <t>Coluna3963</t>
  </si>
  <si>
    <t>Coluna3964</t>
  </si>
  <si>
    <t>Coluna3965</t>
  </si>
  <si>
    <t>Coluna3966</t>
  </si>
  <si>
    <t>Coluna3967</t>
  </si>
  <si>
    <t>Coluna3968</t>
  </si>
  <si>
    <t>Coluna3969</t>
  </si>
  <si>
    <t>Coluna3970</t>
  </si>
  <si>
    <t>Coluna3971</t>
  </si>
  <si>
    <t>Coluna3972</t>
  </si>
  <si>
    <t>Coluna3973</t>
  </si>
  <si>
    <t>Coluna3974</t>
  </si>
  <si>
    <t>Coluna3975</t>
  </si>
  <si>
    <t>Coluna3976</t>
  </si>
  <si>
    <t>Coluna3977</t>
  </si>
  <si>
    <t>Coluna3978</t>
  </si>
  <si>
    <t>Coluna3979</t>
  </si>
  <si>
    <t>Coluna3980</t>
  </si>
  <si>
    <t>Coluna3981</t>
  </si>
  <si>
    <t>Coluna3982</t>
  </si>
  <si>
    <t>Coluna3983</t>
  </si>
  <si>
    <t>Coluna3984</t>
  </si>
  <si>
    <t>Coluna3985</t>
  </si>
  <si>
    <t>Coluna3986</t>
  </si>
  <si>
    <t>Coluna3987</t>
  </si>
  <si>
    <t>Coluna3988</t>
  </si>
  <si>
    <t>Coluna3989</t>
  </si>
  <si>
    <t>Coluna3990</t>
  </si>
  <si>
    <t>Coluna3991</t>
  </si>
  <si>
    <t>Coluna3992</t>
  </si>
  <si>
    <t>Coluna3993</t>
  </si>
  <si>
    <t>Coluna3994</t>
  </si>
  <si>
    <t>Coluna3995</t>
  </si>
  <si>
    <t>Coluna3996</t>
  </si>
  <si>
    <t>Coluna3997</t>
  </si>
  <si>
    <t>Coluna3998</t>
  </si>
  <si>
    <t>Coluna3999</t>
  </si>
  <si>
    <t>Coluna4000</t>
  </si>
  <si>
    <t>Coluna4001</t>
  </si>
  <si>
    <t>Coluna4002</t>
  </si>
  <si>
    <t>Coluna4003</t>
  </si>
  <si>
    <t>Coluna4004</t>
  </si>
  <si>
    <t>Coluna4005</t>
  </si>
  <si>
    <t>Coluna4006</t>
  </si>
  <si>
    <t>Coluna4007</t>
  </si>
  <si>
    <t>Coluna4008</t>
  </si>
  <si>
    <t>Coluna4009</t>
  </si>
  <si>
    <t>Coluna4010</t>
  </si>
  <si>
    <t>Coluna4011</t>
  </si>
  <si>
    <t>Coluna4012</t>
  </si>
  <si>
    <t>Coluna4013</t>
  </si>
  <si>
    <t>Coluna4014</t>
  </si>
  <si>
    <t>Coluna4015</t>
  </si>
  <si>
    <t>Coluna4016</t>
  </si>
  <si>
    <t>Coluna4017</t>
  </si>
  <si>
    <t>Coluna4018</t>
  </si>
  <si>
    <t>Coluna4019</t>
  </si>
  <si>
    <t>Coluna4020</t>
  </si>
  <si>
    <t>Coluna4021</t>
  </si>
  <si>
    <t>Coluna4022</t>
  </si>
  <si>
    <t>Coluna4023</t>
  </si>
  <si>
    <t>Coluna4024</t>
  </si>
  <si>
    <t>Coluna4025</t>
  </si>
  <si>
    <t>Coluna4026</t>
  </si>
  <si>
    <t>Coluna4027</t>
  </si>
  <si>
    <t>Coluna4028</t>
  </si>
  <si>
    <t>Coluna4029</t>
  </si>
  <si>
    <t>Coluna4030</t>
  </si>
  <si>
    <t>Coluna4031</t>
  </si>
  <si>
    <t>Coluna4032</t>
  </si>
  <si>
    <t>Coluna4033</t>
  </si>
  <si>
    <t>Coluna4034</t>
  </si>
  <si>
    <t>Coluna4035</t>
  </si>
  <si>
    <t>Coluna4036</t>
  </si>
  <si>
    <t>Coluna4037</t>
  </si>
  <si>
    <t>Coluna4038</t>
  </si>
  <si>
    <t>Coluna4039</t>
  </si>
  <si>
    <t>Coluna4040</t>
  </si>
  <si>
    <t>Coluna4041</t>
  </si>
  <si>
    <t>Coluna4042</t>
  </si>
  <si>
    <t>Coluna4043</t>
  </si>
  <si>
    <t>Coluna4044</t>
  </si>
  <si>
    <t>Coluna4045</t>
  </si>
  <si>
    <t>Coluna4046</t>
  </si>
  <si>
    <t>Coluna4047</t>
  </si>
  <si>
    <t>Coluna4048</t>
  </si>
  <si>
    <t>Coluna4049</t>
  </si>
  <si>
    <t>Coluna4050</t>
  </si>
  <si>
    <t>Coluna4051</t>
  </si>
  <si>
    <t>Coluna4052</t>
  </si>
  <si>
    <t>Coluna4053</t>
  </si>
  <si>
    <t>Coluna4054</t>
  </si>
  <si>
    <t>Coluna4055</t>
  </si>
  <si>
    <t>Coluna4056</t>
  </si>
  <si>
    <t>Coluna4057</t>
  </si>
  <si>
    <t>Coluna4058</t>
  </si>
  <si>
    <t>Coluna4059</t>
  </si>
  <si>
    <t>Coluna4060</t>
  </si>
  <si>
    <t>Coluna4061</t>
  </si>
  <si>
    <t>Coluna4062</t>
  </si>
  <si>
    <t>Coluna4063</t>
  </si>
  <si>
    <t>Coluna4064</t>
  </si>
  <si>
    <t>Coluna4065</t>
  </si>
  <si>
    <t>Coluna4066</t>
  </si>
  <si>
    <t>Coluna4067</t>
  </si>
  <si>
    <t>Coluna4068</t>
  </si>
  <si>
    <t>Coluna4069</t>
  </si>
  <si>
    <t>Coluna4070</t>
  </si>
  <si>
    <t>Coluna4071</t>
  </si>
  <si>
    <t>Coluna4072</t>
  </si>
  <si>
    <t>Coluna4073</t>
  </si>
  <si>
    <t>Coluna4074</t>
  </si>
  <si>
    <t>Coluna4075</t>
  </si>
  <si>
    <t>Coluna4076</t>
  </si>
  <si>
    <t>Coluna4077</t>
  </si>
  <si>
    <t>Coluna4078</t>
  </si>
  <si>
    <t>Coluna4079</t>
  </si>
  <si>
    <t>Coluna4080</t>
  </si>
  <si>
    <t>Coluna4081</t>
  </si>
  <si>
    <t>Coluna4082</t>
  </si>
  <si>
    <t>Coluna4083</t>
  </si>
  <si>
    <t>Coluna4084</t>
  </si>
  <si>
    <t>Coluna4085</t>
  </si>
  <si>
    <t>Coluna4086</t>
  </si>
  <si>
    <t>Coluna4087</t>
  </si>
  <si>
    <t>Coluna4088</t>
  </si>
  <si>
    <t>Coluna4089</t>
  </si>
  <si>
    <t>Coluna4090</t>
  </si>
  <si>
    <t>Coluna4091</t>
  </si>
  <si>
    <t>Coluna4092</t>
  </si>
  <si>
    <t>Coluna4093</t>
  </si>
  <si>
    <t>Coluna4094</t>
  </si>
  <si>
    <t>Coluna4095</t>
  </si>
  <si>
    <t>Coluna4096</t>
  </si>
  <si>
    <t>Coluna4097</t>
  </si>
  <si>
    <t>Coluna4098</t>
  </si>
  <si>
    <t>Coluna4099</t>
  </si>
  <si>
    <t>Coluna4100</t>
  </si>
  <si>
    <t>Coluna4101</t>
  </si>
  <si>
    <t>Coluna4102</t>
  </si>
  <si>
    <t>Coluna4103</t>
  </si>
  <si>
    <t>Coluna4104</t>
  </si>
  <si>
    <t>Coluna4105</t>
  </si>
  <si>
    <t>Coluna4106</t>
  </si>
  <si>
    <t>Coluna4107</t>
  </si>
  <si>
    <t>Coluna4108</t>
  </si>
  <si>
    <t>Coluna4109</t>
  </si>
  <si>
    <t>Coluna4110</t>
  </si>
  <si>
    <t>Coluna4111</t>
  </si>
  <si>
    <t>Coluna4112</t>
  </si>
  <si>
    <t>Coluna4113</t>
  </si>
  <si>
    <t>Coluna4114</t>
  </si>
  <si>
    <t>Coluna4115</t>
  </si>
  <si>
    <t>Coluna4116</t>
  </si>
  <si>
    <t>Coluna4117</t>
  </si>
  <si>
    <t>Coluna4118</t>
  </si>
  <si>
    <t>Coluna4119</t>
  </si>
  <si>
    <t>Coluna4120</t>
  </si>
  <si>
    <t>Coluna4121</t>
  </si>
  <si>
    <t>Coluna4122</t>
  </si>
  <si>
    <t>Coluna4123</t>
  </si>
  <si>
    <t>Coluna4124</t>
  </si>
  <si>
    <t>Coluna4125</t>
  </si>
  <si>
    <t>Coluna4126</t>
  </si>
  <si>
    <t>Coluna4127</t>
  </si>
  <si>
    <t>Coluna4128</t>
  </si>
  <si>
    <t>Coluna4129</t>
  </si>
  <si>
    <t>Coluna4130</t>
  </si>
  <si>
    <t>Coluna4131</t>
  </si>
  <si>
    <t>Coluna4132</t>
  </si>
  <si>
    <t>Coluna4133</t>
  </si>
  <si>
    <t>Coluna4134</t>
  </si>
  <si>
    <t>Coluna4135</t>
  </si>
  <si>
    <t>Coluna4136</t>
  </si>
  <si>
    <t>Coluna4137</t>
  </si>
  <si>
    <t>Coluna4138</t>
  </si>
  <si>
    <t>Coluna4139</t>
  </si>
  <si>
    <t>Coluna4140</t>
  </si>
  <si>
    <t>Coluna4141</t>
  </si>
  <si>
    <t>Coluna4142</t>
  </si>
  <si>
    <t>Coluna4143</t>
  </si>
  <si>
    <t>Coluna4144</t>
  </si>
  <si>
    <t>Coluna4145</t>
  </si>
  <si>
    <t>Coluna4146</t>
  </si>
  <si>
    <t>Coluna4147</t>
  </si>
  <si>
    <t>Coluna4148</t>
  </si>
  <si>
    <t>Coluna4149</t>
  </si>
  <si>
    <t>Coluna4150</t>
  </si>
  <si>
    <t>Coluna4151</t>
  </si>
  <si>
    <t>Coluna4152</t>
  </si>
  <si>
    <t>Coluna4153</t>
  </si>
  <si>
    <t>Coluna4154</t>
  </si>
  <si>
    <t>Coluna4155</t>
  </si>
  <si>
    <t>Coluna4156</t>
  </si>
  <si>
    <t>Coluna4157</t>
  </si>
  <si>
    <t>Coluna4158</t>
  </si>
  <si>
    <t>Coluna4159</t>
  </si>
  <si>
    <t>Coluna4160</t>
  </si>
  <si>
    <t>Coluna4161</t>
  </si>
  <si>
    <t>Coluna4162</t>
  </si>
  <si>
    <t>Coluna4163</t>
  </si>
  <si>
    <t>Coluna4164</t>
  </si>
  <si>
    <t>Coluna4165</t>
  </si>
  <si>
    <t>Coluna4166</t>
  </si>
  <si>
    <t>Coluna4167</t>
  </si>
  <si>
    <t>Coluna4168</t>
  </si>
  <si>
    <t>Coluna4169</t>
  </si>
  <si>
    <t>Coluna4170</t>
  </si>
  <si>
    <t>Coluna4171</t>
  </si>
  <si>
    <t>Coluna4172</t>
  </si>
  <si>
    <t>Coluna4173</t>
  </si>
  <si>
    <t>Coluna4174</t>
  </si>
  <si>
    <t>Coluna4175</t>
  </si>
  <si>
    <t>Coluna4176</t>
  </si>
  <si>
    <t>Coluna4177</t>
  </si>
  <si>
    <t>Coluna4178</t>
  </si>
  <si>
    <t>Coluna4179</t>
  </si>
  <si>
    <t>Coluna4180</t>
  </si>
  <si>
    <t>Coluna4181</t>
  </si>
  <si>
    <t>Coluna4182</t>
  </si>
  <si>
    <t>Coluna4183</t>
  </si>
  <si>
    <t>Coluna4184</t>
  </si>
  <si>
    <t>Coluna4185</t>
  </si>
  <si>
    <t>Coluna4186</t>
  </si>
  <si>
    <t>Coluna4187</t>
  </si>
  <si>
    <t>Coluna4188</t>
  </si>
  <si>
    <t>Coluna4189</t>
  </si>
  <si>
    <t>Coluna4190</t>
  </si>
  <si>
    <t>Coluna4191</t>
  </si>
  <si>
    <t>Coluna4192</t>
  </si>
  <si>
    <t>Coluna4193</t>
  </si>
  <si>
    <t>Coluna4194</t>
  </si>
  <si>
    <t>Coluna4195</t>
  </si>
  <si>
    <t>Coluna4196</t>
  </si>
  <si>
    <t>Coluna4197</t>
  </si>
  <si>
    <t>Coluna4198</t>
  </si>
  <si>
    <t>Coluna4199</t>
  </si>
  <si>
    <t>Coluna4200</t>
  </si>
  <si>
    <t>Coluna4201</t>
  </si>
  <si>
    <t>Coluna4202</t>
  </si>
  <si>
    <t>Coluna4203</t>
  </si>
  <si>
    <t>Coluna4204</t>
  </si>
  <si>
    <t>Coluna4205</t>
  </si>
  <si>
    <t>Coluna4206</t>
  </si>
  <si>
    <t>Coluna4207</t>
  </si>
  <si>
    <t>Coluna4208</t>
  </si>
  <si>
    <t>Coluna4209</t>
  </si>
  <si>
    <t>Coluna4210</t>
  </si>
  <si>
    <t>Coluna4211</t>
  </si>
  <si>
    <t>Coluna4212</t>
  </si>
  <si>
    <t>Coluna4213</t>
  </si>
  <si>
    <t>Coluna4214</t>
  </si>
  <si>
    <t>Coluna4215</t>
  </si>
  <si>
    <t>Coluna4216</t>
  </si>
  <si>
    <t>Coluna4217</t>
  </si>
  <si>
    <t>Coluna4218</t>
  </si>
  <si>
    <t>Coluna4219</t>
  </si>
  <si>
    <t>Coluna4220</t>
  </si>
  <si>
    <t>Coluna4221</t>
  </si>
  <si>
    <t>Coluna4222</t>
  </si>
  <si>
    <t>Coluna4223</t>
  </si>
  <si>
    <t>Coluna4224</t>
  </si>
  <si>
    <t>Coluna4225</t>
  </si>
  <si>
    <t>Coluna4226</t>
  </si>
  <si>
    <t>Coluna4227</t>
  </si>
  <si>
    <t>Coluna4228</t>
  </si>
  <si>
    <t>Coluna4229</t>
  </si>
  <si>
    <t>Coluna4230</t>
  </si>
  <si>
    <t>Coluna4231</t>
  </si>
  <si>
    <t>Coluna4232</t>
  </si>
  <si>
    <t>Coluna4233</t>
  </si>
  <si>
    <t>Coluna4234</t>
  </si>
  <si>
    <t>Coluna4235</t>
  </si>
  <si>
    <t>Coluna4236</t>
  </si>
  <si>
    <t>Coluna4237</t>
  </si>
  <si>
    <t>Coluna4238</t>
  </si>
  <si>
    <t>Coluna4239</t>
  </si>
  <si>
    <t>Coluna4240</t>
  </si>
  <si>
    <t>Coluna4241</t>
  </si>
  <si>
    <t>Coluna4242</t>
  </si>
  <si>
    <t>Coluna4243</t>
  </si>
  <si>
    <t>Coluna4244</t>
  </si>
  <si>
    <t>Coluna4245</t>
  </si>
  <si>
    <t>Coluna4246</t>
  </si>
  <si>
    <t>Coluna4247</t>
  </si>
  <si>
    <t>Coluna4248</t>
  </si>
  <si>
    <t>Coluna4249</t>
  </si>
  <si>
    <t>Coluna4250</t>
  </si>
  <si>
    <t>Coluna4251</t>
  </si>
  <si>
    <t>Coluna4252</t>
  </si>
  <si>
    <t>Coluna4253</t>
  </si>
  <si>
    <t>Coluna4254</t>
  </si>
  <si>
    <t>Coluna4255</t>
  </si>
  <si>
    <t>Coluna4256</t>
  </si>
  <si>
    <t>Coluna4257</t>
  </si>
  <si>
    <t>Coluna4258</t>
  </si>
  <si>
    <t>Coluna4259</t>
  </si>
  <si>
    <t>Coluna4260</t>
  </si>
  <si>
    <t>Coluna4261</t>
  </si>
  <si>
    <t>Coluna4262</t>
  </si>
  <si>
    <t>Coluna4263</t>
  </si>
  <si>
    <t>Coluna4264</t>
  </si>
  <si>
    <t>Coluna4265</t>
  </si>
  <si>
    <t>Coluna4266</t>
  </si>
  <si>
    <t>Coluna4267</t>
  </si>
  <si>
    <t>Coluna4268</t>
  </si>
  <si>
    <t>Coluna4269</t>
  </si>
  <si>
    <t>Coluna4270</t>
  </si>
  <si>
    <t>Coluna4271</t>
  </si>
  <si>
    <t>Coluna4272</t>
  </si>
  <si>
    <t>Coluna4273</t>
  </si>
  <si>
    <t>Coluna4274</t>
  </si>
  <si>
    <t>Coluna4275</t>
  </si>
  <si>
    <t>Coluna4276</t>
  </si>
  <si>
    <t>Coluna4277</t>
  </si>
  <si>
    <t>Coluna4278</t>
  </si>
  <si>
    <t>Coluna4279</t>
  </si>
  <si>
    <t>Coluna4280</t>
  </si>
  <si>
    <t>Coluna4281</t>
  </si>
  <si>
    <t>Coluna4282</t>
  </si>
  <si>
    <t>Coluna4283</t>
  </si>
  <si>
    <t>Coluna4284</t>
  </si>
  <si>
    <t>Coluna4285</t>
  </si>
  <si>
    <t>Coluna4286</t>
  </si>
  <si>
    <t>Coluna4287</t>
  </si>
  <si>
    <t>Coluna4288</t>
  </si>
  <si>
    <t>Coluna4289</t>
  </si>
  <si>
    <t>Coluna4290</t>
  </si>
  <si>
    <t>Coluna4291</t>
  </si>
  <si>
    <t>Coluna4292</t>
  </si>
  <si>
    <t>Coluna4293</t>
  </si>
  <si>
    <t>Coluna4294</t>
  </si>
  <si>
    <t>Coluna4295</t>
  </si>
  <si>
    <t>Coluna4296</t>
  </si>
  <si>
    <t>Coluna4297</t>
  </si>
  <si>
    <t>Coluna4298</t>
  </si>
  <si>
    <t>Coluna4299</t>
  </si>
  <si>
    <t>Coluna4300</t>
  </si>
  <si>
    <t>Coluna4301</t>
  </si>
  <si>
    <t>Coluna4302</t>
  </si>
  <si>
    <t>Coluna4303</t>
  </si>
  <si>
    <t>Coluna4304</t>
  </si>
  <si>
    <t>Coluna4305</t>
  </si>
  <si>
    <t>Coluna4306</t>
  </si>
  <si>
    <t>Coluna4307</t>
  </si>
  <si>
    <t>Coluna4308</t>
  </si>
  <si>
    <t>Coluna4309</t>
  </si>
  <si>
    <t>Coluna4310</t>
  </si>
  <si>
    <t>Coluna4311</t>
  </si>
  <si>
    <t>Coluna4312</t>
  </si>
  <si>
    <t>Coluna4313</t>
  </si>
  <si>
    <t>Coluna4314</t>
  </si>
  <si>
    <t>Coluna4315</t>
  </si>
  <si>
    <t>Coluna4316</t>
  </si>
  <si>
    <t>Coluna4317</t>
  </si>
  <si>
    <t>Coluna4318</t>
  </si>
  <si>
    <t>Coluna4319</t>
  </si>
  <si>
    <t>Coluna4320</t>
  </si>
  <si>
    <t>Coluna4321</t>
  </si>
  <si>
    <t>Coluna4322</t>
  </si>
  <si>
    <t>Coluna4323</t>
  </si>
  <si>
    <t>Coluna4324</t>
  </si>
  <si>
    <t>Coluna4325</t>
  </si>
  <si>
    <t>Coluna4326</t>
  </si>
  <si>
    <t>Coluna4327</t>
  </si>
  <si>
    <t>Coluna4328</t>
  </si>
  <si>
    <t>Coluna4329</t>
  </si>
  <si>
    <t>Coluna4330</t>
  </si>
  <si>
    <t>Coluna4331</t>
  </si>
  <si>
    <t>Coluna4332</t>
  </si>
  <si>
    <t>Coluna4333</t>
  </si>
  <si>
    <t>Coluna4334</t>
  </si>
  <si>
    <t>Coluna4335</t>
  </si>
  <si>
    <t>Coluna4336</t>
  </si>
  <si>
    <t>Coluna4337</t>
  </si>
  <si>
    <t>Coluna4338</t>
  </si>
  <si>
    <t>Coluna4339</t>
  </si>
  <si>
    <t>Coluna4340</t>
  </si>
  <si>
    <t>Coluna4341</t>
  </si>
  <si>
    <t>Coluna4342</t>
  </si>
  <si>
    <t>Coluna4343</t>
  </si>
  <si>
    <t>Coluna4344</t>
  </si>
  <si>
    <t>Coluna4345</t>
  </si>
  <si>
    <t>Coluna4346</t>
  </si>
  <si>
    <t>Coluna4347</t>
  </si>
  <si>
    <t>Coluna4348</t>
  </si>
  <si>
    <t>Coluna4349</t>
  </si>
  <si>
    <t>Coluna4350</t>
  </si>
  <si>
    <t>Coluna4351</t>
  </si>
  <si>
    <t>Coluna4352</t>
  </si>
  <si>
    <t>Coluna4353</t>
  </si>
  <si>
    <t>Coluna4354</t>
  </si>
  <si>
    <t>Coluna4355</t>
  </si>
  <si>
    <t>Coluna4356</t>
  </si>
  <si>
    <t>Coluna4357</t>
  </si>
  <si>
    <t>Coluna4358</t>
  </si>
  <si>
    <t>Coluna4359</t>
  </si>
  <si>
    <t>Coluna4360</t>
  </si>
  <si>
    <t>Coluna4361</t>
  </si>
  <si>
    <t>Coluna4362</t>
  </si>
  <si>
    <t>Coluna4363</t>
  </si>
  <si>
    <t>Coluna4364</t>
  </si>
  <si>
    <t>Coluna4365</t>
  </si>
  <si>
    <t>Coluna4366</t>
  </si>
  <si>
    <t>Coluna4367</t>
  </si>
  <si>
    <t>Coluna4368</t>
  </si>
  <si>
    <t>Coluna4369</t>
  </si>
  <si>
    <t>Coluna4370</t>
  </si>
  <si>
    <t>Coluna4371</t>
  </si>
  <si>
    <t>Coluna4372</t>
  </si>
  <si>
    <t>Coluna4373</t>
  </si>
  <si>
    <t>Coluna4374</t>
  </si>
  <si>
    <t>Coluna4375</t>
  </si>
  <si>
    <t>Coluna4376</t>
  </si>
  <si>
    <t>Coluna4377</t>
  </si>
  <si>
    <t>Coluna4378</t>
  </si>
  <si>
    <t>Coluna4379</t>
  </si>
  <si>
    <t>Coluna4380</t>
  </si>
  <si>
    <t>Coluna4381</t>
  </si>
  <si>
    <t>Coluna4382</t>
  </si>
  <si>
    <t>Coluna4383</t>
  </si>
  <si>
    <t>Coluna4384</t>
  </si>
  <si>
    <t>Coluna4385</t>
  </si>
  <si>
    <t>Coluna4386</t>
  </si>
  <si>
    <t>Coluna4387</t>
  </si>
  <si>
    <t>Coluna4388</t>
  </si>
  <si>
    <t>Coluna4389</t>
  </si>
  <si>
    <t>Coluna4390</t>
  </si>
  <si>
    <t>Coluna4391</t>
  </si>
  <si>
    <t>Coluna4392</t>
  </si>
  <si>
    <t>Coluna4393</t>
  </si>
  <si>
    <t>Coluna4394</t>
  </si>
  <si>
    <t>Coluna4395</t>
  </si>
  <si>
    <t>Coluna4396</t>
  </si>
  <si>
    <t>Coluna4397</t>
  </si>
  <si>
    <t>Coluna4398</t>
  </si>
  <si>
    <t>Coluna4399</t>
  </si>
  <si>
    <t>Coluna4400</t>
  </si>
  <si>
    <t>Coluna4401</t>
  </si>
  <si>
    <t>Coluna4402</t>
  </si>
  <si>
    <t>Coluna4403</t>
  </si>
  <si>
    <t>Coluna4404</t>
  </si>
  <si>
    <t>Coluna4405</t>
  </si>
  <si>
    <t>Coluna4406</t>
  </si>
  <si>
    <t>Coluna4407</t>
  </si>
  <si>
    <t>Coluna4408</t>
  </si>
  <si>
    <t>Coluna4409</t>
  </si>
  <si>
    <t>Coluna4410</t>
  </si>
  <si>
    <t>Coluna4411</t>
  </si>
  <si>
    <t>Coluna4412</t>
  </si>
  <si>
    <t>Coluna4413</t>
  </si>
  <si>
    <t>Coluna4414</t>
  </si>
  <si>
    <t>Coluna4415</t>
  </si>
  <si>
    <t>Coluna4416</t>
  </si>
  <si>
    <t>Coluna4417</t>
  </si>
  <si>
    <t>Coluna4418</t>
  </si>
  <si>
    <t>Coluna4419</t>
  </si>
  <si>
    <t>Coluna4420</t>
  </si>
  <si>
    <t>Coluna4421</t>
  </si>
  <si>
    <t>Coluna4422</t>
  </si>
  <si>
    <t>Coluna4423</t>
  </si>
  <si>
    <t>Coluna4424</t>
  </si>
  <si>
    <t>Coluna4425</t>
  </si>
  <si>
    <t>Coluna4426</t>
  </si>
  <si>
    <t>Coluna4427</t>
  </si>
  <si>
    <t>Coluna4428</t>
  </si>
  <si>
    <t>Coluna4429</t>
  </si>
  <si>
    <t>Coluna4430</t>
  </si>
  <si>
    <t>Coluna4431</t>
  </si>
  <si>
    <t>Coluna4432</t>
  </si>
  <si>
    <t>Coluna4433</t>
  </si>
  <si>
    <t>Coluna4434</t>
  </si>
  <si>
    <t>Coluna4435</t>
  </si>
  <si>
    <t>Coluna4436</t>
  </si>
  <si>
    <t>Coluna4437</t>
  </si>
  <si>
    <t>Coluna4438</t>
  </si>
  <si>
    <t>Coluna4439</t>
  </si>
  <si>
    <t>Coluna4440</t>
  </si>
  <si>
    <t>Coluna4441</t>
  </si>
  <si>
    <t>Coluna4442</t>
  </si>
  <si>
    <t>Coluna4443</t>
  </si>
  <si>
    <t>Coluna4444</t>
  </si>
  <si>
    <t>Coluna4445</t>
  </si>
  <si>
    <t>Coluna4446</t>
  </si>
  <si>
    <t>Coluna4447</t>
  </si>
  <si>
    <t>Coluna4448</t>
  </si>
  <si>
    <t>Coluna4449</t>
  </si>
  <si>
    <t>Coluna4450</t>
  </si>
  <si>
    <t>Coluna4451</t>
  </si>
  <si>
    <t>Coluna4452</t>
  </si>
  <si>
    <t>Coluna4453</t>
  </si>
  <si>
    <t>Coluna4454</t>
  </si>
  <si>
    <t>Coluna4455</t>
  </si>
  <si>
    <t>Coluna4456</t>
  </si>
  <si>
    <t>Coluna4457</t>
  </si>
  <si>
    <t>Coluna4458</t>
  </si>
  <si>
    <t>Coluna4459</t>
  </si>
  <si>
    <t>Coluna4460</t>
  </si>
  <si>
    <t>Coluna4461</t>
  </si>
  <si>
    <t>Coluna4462</t>
  </si>
  <si>
    <t>Coluna4463</t>
  </si>
  <si>
    <t>Coluna4464</t>
  </si>
  <si>
    <t>Coluna4465</t>
  </si>
  <si>
    <t>Coluna4466</t>
  </si>
  <si>
    <t>Coluna4467</t>
  </si>
  <si>
    <t>Coluna4468</t>
  </si>
  <si>
    <t>Coluna4469</t>
  </si>
  <si>
    <t>Coluna4470</t>
  </si>
  <si>
    <t>Coluna4471</t>
  </si>
  <si>
    <t>Coluna4472</t>
  </si>
  <si>
    <t>Coluna4473</t>
  </si>
  <si>
    <t>Coluna4474</t>
  </si>
  <si>
    <t>Coluna4475</t>
  </si>
  <si>
    <t>Coluna4476</t>
  </si>
  <si>
    <t>Coluna4477</t>
  </si>
  <si>
    <t>Coluna4478</t>
  </si>
  <si>
    <t>Coluna4479</t>
  </si>
  <si>
    <t>Coluna4480</t>
  </si>
  <si>
    <t>Coluna4481</t>
  </si>
  <si>
    <t>Coluna4482</t>
  </si>
  <si>
    <t>Coluna4483</t>
  </si>
  <si>
    <t>Coluna4484</t>
  </si>
  <si>
    <t>Coluna4485</t>
  </si>
  <si>
    <t>Coluna4486</t>
  </si>
  <si>
    <t>Coluna4487</t>
  </si>
  <si>
    <t>Coluna4488</t>
  </si>
  <si>
    <t>Coluna4489</t>
  </si>
  <si>
    <t>Coluna4490</t>
  </si>
  <si>
    <t>Coluna4491</t>
  </si>
  <si>
    <t>Coluna4492</t>
  </si>
  <si>
    <t>Coluna4493</t>
  </si>
  <si>
    <t>Coluna4494</t>
  </si>
  <si>
    <t>Coluna4495</t>
  </si>
  <si>
    <t>Coluna4496</t>
  </si>
  <si>
    <t>Coluna4497</t>
  </si>
  <si>
    <t>Coluna4498</t>
  </si>
  <si>
    <t>Coluna4499</t>
  </si>
  <si>
    <t>Coluna4500</t>
  </si>
  <si>
    <t>Coluna4501</t>
  </si>
  <si>
    <t>Coluna4502</t>
  </si>
  <si>
    <t>Coluna4503</t>
  </si>
  <si>
    <t>Coluna4504</t>
  </si>
  <si>
    <t>Coluna4505</t>
  </si>
  <si>
    <t>Coluna4506</t>
  </si>
  <si>
    <t>Coluna4507</t>
  </si>
  <si>
    <t>Coluna4508</t>
  </si>
  <si>
    <t>Coluna4509</t>
  </si>
  <si>
    <t>Coluna4510</t>
  </si>
  <si>
    <t>Coluna4511</t>
  </si>
  <si>
    <t>Coluna4512</t>
  </si>
  <si>
    <t>Coluna4513</t>
  </si>
  <si>
    <t>Coluna4514</t>
  </si>
  <si>
    <t>Coluna4515</t>
  </si>
  <si>
    <t>Coluna4516</t>
  </si>
  <si>
    <t>Coluna4517</t>
  </si>
  <si>
    <t>Coluna4518</t>
  </si>
  <si>
    <t>Coluna4519</t>
  </si>
  <si>
    <t>Coluna4520</t>
  </si>
  <si>
    <t>Coluna4521</t>
  </si>
  <si>
    <t>Coluna4522</t>
  </si>
  <si>
    <t>Coluna4523</t>
  </si>
  <si>
    <t>Coluna4524</t>
  </si>
  <si>
    <t>Coluna4525</t>
  </si>
  <si>
    <t>Coluna4526</t>
  </si>
  <si>
    <t>Coluna4527</t>
  </si>
  <si>
    <t>Coluna4528</t>
  </si>
  <si>
    <t>Coluna4529</t>
  </si>
  <si>
    <t>Coluna4530</t>
  </si>
  <si>
    <t>Coluna4531</t>
  </si>
  <si>
    <t>Coluna4532</t>
  </si>
  <si>
    <t>Coluna4533</t>
  </si>
  <si>
    <t>Coluna4534</t>
  </si>
  <si>
    <t>Coluna4535</t>
  </si>
  <si>
    <t>Coluna4536</t>
  </si>
  <si>
    <t>Coluna4537</t>
  </si>
  <si>
    <t>Coluna4538</t>
  </si>
  <si>
    <t>Coluna4539</t>
  </si>
  <si>
    <t>Coluna4540</t>
  </si>
  <si>
    <t>Coluna4541</t>
  </si>
  <si>
    <t>Coluna4542</t>
  </si>
  <si>
    <t>Coluna4543</t>
  </si>
  <si>
    <t>Coluna4544</t>
  </si>
  <si>
    <t>Coluna4545</t>
  </si>
  <si>
    <t>Coluna4546</t>
  </si>
  <si>
    <t>Coluna4547</t>
  </si>
  <si>
    <t>Coluna4548</t>
  </si>
  <si>
    <t>Coluna4549</t>
  </si>
  <si>
    <t>Coluna4550</t>
  </si>
  <si>
    <t>Coluna4551</t>
  </si>
  <si>
    <t>Coluna4552</t>
  </si>
  <si>
    <t>Coluna4553</t>
  </si>
  <si>
    <t>Coluna4554</t>
  </si>
  <si>
    <t>Coluna4555</t>
  </si>
  <si>
    <t>Coluna4556</t>
  </si>
  <si>
    <t>Coluna4557</t>
  </si>
  <si>
    <t>Coluna4558</t>
  </si>
  <si>
    <t>Coluna4559</t>
  </si>
  <si>
    <t>Coluna4560</t>
  </si>
  <si>
    <t>Coluna4561</t>
  </si>
  <si>
    <t>Coluna4562</t>
  </si>
  <si>
    <t>Coluna4563</t>
  </si>
  <si>
    <t>Coluna4564</t>
  </si>
  <si>
    <t>Coluna4565</t>
  </si>
  <si>
    <t>Coluna4566</t>
  </si>
  <si>
    <t>Coluna4567</t>
  </si>
  <si>
    <t>Coluna4568</t>
  </si>
  <si>
    <t>Coluna4569</t>
  </si>
  <si>
    <t>Coluna4570</t>
  </si>
  <si>
    <t>Coluna4571</t>
  </si>
  <si>
    <t>Coluna4572</t>
  </si>
  <si>
    <t>Coluna4573</t>
  </si>
  <si>
    <t>Coluna4574</t>
  </si>
  <si>
    <t>Coluna4575</t>
  </si>
  <si>
    <t>Coluna4576</t>
  </si>
  <si>
    <t>Coluna4577</t>
  </si>
  <si>
    <t>Coluna4578</t>
  </si>
  <si>
    <t>Coluna4579</t>
  </si>
  <si>
    <t>Coluna4580</t>
  </si>
  <si>
    <t>Coluna4581</t>
  </si>
  <si>
    <t>Coluna4582</t>
  </si>
  <si>
    <t>Coluna4583</t>
  </si>
  <si>
    <t>Coluna4584</t>
  </si>
  <si>
    <t>Coluna4585</t>
  </si>
  <si>
    <t>Coluna4586</t>
  </si>
  <si>
    <t>Coluna4587</t>
  </si>
  <si>
    <t>Coluna4588</t>
  </si>
  <si>
    <t>Coluna4589</t>
  </si>
  <si>
    <t>Coluna4590</t>
  </si>
  <si>
    <t>Coluna4591</t>
  </si>
  <si>
    <t>Coluna4592</t>
  </si>
  <si>
    <t>Coluna4593</t>
  </si>
  <si>
    <t>Coluna4594</t>
  </si>
  <si>
    <t>Coluna4595</t>
  </si>
  <si>
    <t>Coluna4596</t>
  </si>
  <si>
    <t>Coluna4597</t>
  </si>
  <si>
    <t>Coluna4598</t>
  </si>
  <si>
    <t>Coluna4599</t>
  </si>
  <si>
    <t>Coluna4600</t>
  </si>
  <si>
    <t>Coluna4601</t>
  </si>
  <si>
    <t>Coluna4602</t>
  </si>
  <si>
    <t>Coluna4603</t>
  </si>
  <si>
    <t>Coluna4604</t>
  </si>
  <si>
    <t>Coluna4605</t>
  </si>
  <si>
    <t>Coluna4606</t>
  </si>
  <si>
    <t>Coluna4607</t>
  </si>
  <si>
    <t>Coluna4608</t>
  </si>
  <si>
    <t>Coluna4609</t>
  </si>
  <si>
    <t>Coluna4610</t>
  </si>
  <si>
    <t>Coluna4611</t>
  </si>
  <si>
    <t>Coluna4612</t>
  </si>
  <si>
    <t>Coluna4613</t>
  </si>
  <si>
    <t>Coluna4614</t>
  </si>
  <si>
    <t>Coluna4615</t>
  </si>
  <si>
    <t>Coluna4616</t>
  </si>
  <si>
    <t>Coluna4617</t>
  </si>
  <si>
    <t>Coluna4618</t>
  </si>
  <si>
    <t>Coluna4619</t>
  </si>
  <si>
    <t>Coluna4620</t>
  </si>
  <si>
    <t>Coluna4621</t>
  </si>
  <si>
    <t>Coluna4622</t>
  </si>
  <si>
    <t>Coluna4623</t>
  </si>
  <si>
    <t>Coluna4624</t>
  </si>
  <si>
    <t>Coluna4625</t>
  </si>
  <si>
    <t>Coluna4626</t>
  </si>
  <si>
    <t>Coluna4627</t>
  </si>
  <si>
    <t>Coluna4628</t>
  </si>
  <si>
    <t>Coluna4629</t>
  </si>
  <si>
    <t>Coluna4630</t>
  </si>
  <si>
    <t>Coluna4631</t>
  </si>
  <si>
    <t>Coluna4632</t>
  </si>
  <si>
    <t>Coluna4633</t>
  </si>
  <si>
    <t>Coluna4634</t>
  </si>
  <si>
    <t>Coluna4635</t>
  </si>
  <si>
    <t>Coluna4636</t>
  </si>
  <si>
    <t>Coluna4637</t>
  </si>
  <si>
    <t>Coluna4638</t>
  </si>
  <si>
    <t>Coluna4639</t>
  </si>
  <si>
    <t>Coluna4640</t>
  </si>
  <si>
    <t>Coluna4641</t>
  </si>
  <si>
    <t>Coluna4642</t>
  </si>
  <si>
    <t>Coluna4643</t>
  </si>
  <si>
    <t>Coluna4644</t>
  </si>
  <si>
    <t>Coluna4645</t>
  </si>
  <si>
    <t>Coluna4646</t>
  </si>
  <si>
    <t>Coluna4647</t>
  </si>
  <si>
    <t>Coluna4648</t>
  </si>
  <si>
    <t>Coluna4649</t>
  </si>
  <si>
    <t>Coluna4650</t>
  </si>
  <si>
    <t>Coluna4651</t>
  </si>
  <si>
    <t>Coluna4652</t>
  </si>
  <si>
    <t>Coluna4653</t>
  </si>
  <si>
    <t>Coluna4654</t>
  </si>
  <si>
    <t>Coluna4655</t>
  </si>
  <si>
    <t>Coluna4656</t>
  </si>
  <si>
    <t>Coluna4657</t>
  </si>
  <si>
    <t>Coluna4658</t>
  </si>
  <si>
    <t>Coluna4659</t>
  </si>
  <si>
    <t>Coluna4660</t>
  </si>
  <si>
    <t>Coluna4661</t>
  </si>
  <si>
    <t>Coluna4662</t>
  </si>
  <si>
    <t>Coluna4663</t>
  </si>
  <si>
    <t>Coluna4664</t>
  </si>
  <si>
    <t>Coluna4665</t>
  </si>
  <si>
    <t>Coluna4666</t>
  </si>
  <si>
    <t>Coluna4667</t>
  </si>
  <si>
    <t>Coluna4668</t>
  </si>
  <si>
    <t>Coluna4669</t>
  </si>
  <si>
    <t>Coluna4670</t>
  </si>
  <si>
    <t>Coluna4671</t>
  </si>
  <si>
    <t>Coluna4672</t>
  </si>
  <si>
    <t>Coluna4673</t>
  </si>
  <si>
    <t>Coluna4674</t>
  </si>
  <si>
    <t>Coluna4675</t>
  </si>
  <si>
    <t>Coluna4676</t>
  </si>
  <si>
    <t>Coluna4677</t>
  </si>
  <si>
    <t>Coluna4678</t>
  </si>
  <si>
    <t>Coluna4679</t>
  </si>
  <si>
    <t>Coluna4680</t>
  </si>
  <si>
    <t>Coluna4681</t>
  </si>
  <si>
    <t>Coluna4682</t>
  </si>
  <si>
    <t>Coluna4683</t>
  </si>
  <si>
    <t>Coluna4684</t>
  </si>
  <si>
    <t>Coluna4685</t>
  </si>
  <si>
    <t>Coluna4686</t>
  </si>
  <si>
    <t>Coluna4687</t>
  </si>
  <si>
    <t>Coluna4688</t>
  </si>
  <si>
    <t>Coluna4689</t>
  </si>
  <si>
    <t>Coluna4690</t>
  </si>
  <si>
    <t>Coluna4691</t>
  </si>
  <si>
    <t>Coluna4692</t>
  </si>
  <si>
    <t>Coluna4693</t>
  </si>
  <si>
    <t>Coluna4694</t>
  </si>
  <si>
    <t>Coluna4695</t>
  </si>
  <si>
    <t>Coluna4696</t>
  </si>
  <si>
    <t>Coluna4697</t>
  </si>
  <si>
    <t>Coluna4698</t>
  </si>
  <si>
    <t>Coluna4699</t>
  </si>
  <si>
    <t>Coluna4700</t>
  </si>
  <si>
    <t>Coluna4701</t>
  </si>
  <si>
    <t>Coluna4702</t>
  </si>
  <si>
    <t>Coluna4703</t>
  </si>
  <si>
    <t>Coluna4704</t>
  </si>
  <si>
    <t>Coluna4705</t>
  </si>
  <si>
    <t>Coluna4706</t>
  </si>
  <si>
    <t>Coluna4707</t>
  </si>
  <si>
    <t>Coluna4708</t>
  </si>
  <si>
    <t>Coluna4709</t>
  </si>
  <si>
    <t>Coluna4710</t>
  </si>
  <si>
    <t>Coluna4711</t>
  </si>
  <si>
    <t>Coluna4712</t>
  </si>
  <si>
    <t>Coluna4713</t>
  </si>
  <si>
    <t>Coluna4714</t>
  </si>
  <si>
    <t>Coluna4715</t>
  </si>
  <si>
    <t>Coluna4716</t>
  </si>
  <si>
    <t>Coluna4717</t>
  </si>
  <si>
    <t>Coluna4718</t>
  </si>
  <si>
    <t>Coluna4719</t>
  </si>
  <si>
    <t>Coluna4720</t>
  </si>
  <si>
    <t>Coluna4721</t>
  </si>
  <si>
    <t>Coluna4722</t>
  </si>
  <si>
    <t>Coluna4723</t>
  </si>
  <si>
    <t>Coluna4724</t>
  </si>
  <si>
    <t>Coluna4725</t>
  </si>
  <si>
    <t>Coluna4726</t>
  </si>
  <si>
    <t>Coluna4727</t>
  </si>
  <si>
    <t>Coluna4728</t>
  </si>
  <si>
    <t>Coluna4729</t>
  </si>
  <si>
    <t>Coluna4730</t>
  </si>
  <si>
    <t>Coluna4731</t>
  </si>
  <si>
    <t>Coluna4732</t>
  </si>
  <si>
    <t>Coluna4733</t>
  </si>
  <si>
    <t>Coluna4734</t>
  </si>
  <si>
    <t>Coluna4735</t>
  </si>
  <si>
    <t>Coluna4736</t>
  </si>
  <si>
    <t>Coluna4737</t>
  </si>
  <si>
    <t>Coluna4738</t>
  </si>
  <si>
    <t>Coluna4739</t>
  </si>
  <si>
    <t>Coluna4740</t>
  </si>
  <si>
    <t>Coluna4741</t>
  </si>
  <si>
    <t>Coluna4742</t>
  </si>
  <si>
    <t>Coluna4743</t>
  </si>
  <si>
    <t>Coluna4744</t>
  </si>
  <si>
    <t>Coluna4745</t>
  </si>
  <si>
    <t>Coluna4746</t>
  </si>
  <si>
    <t>Coluna4747</t>
  </si>
  <si>
    <t>Coluna4748</t>
  </si>
  <si>
    <t>Coluna4749</t>
  </si>
  <si>
    <t>Coluna4750</t>
  </si>
  <si>
    <t>Coluna4751</t>
  </si>
  <si>
    <t>Coluna4752</t>
  </si>
  <si>
    <t>Coluna4753</t>
  </si>
  <si>
    <t>Coluna4754</t>
  </si>
  <si>
    <t>Coluna4755</t>
  </si>
  <si>
    <t>Coluna4756</t>
  </si>
  <si>
    <t>Coluna4757</t>
  </si>
  <si>
    <t>Coluna4758</t>
  </si>
  <si>
    <t>Coluna4759</t>
  </si>
  <si>
    <t>Coluna4760</t>
  </si>
  <si>
    <t>Coluna4761</t>
  </si>
  <si>
    <t>Coluna4762</t>
  </si>
  <si>
    <t>Coluna4763</t>
  </si>
  <si>
    <t>Coluna4764</t>
  </si>
  <si>
    <t>Coluna4765</t>
  </si>
  <si>
    <t>Coluna4766</t>
  </si>
  <si>
    <t>Coluna4767</t>
  </si>
  <si>
    <t>Coluna4768</t>
  </si>
  <si>
    <t>Coluna4769</t>
  </si>
  <si>
    <t>Coluna4770</t>
  </si>
  <si>
    <t>Coluna4771</t>
  </si>
  <si>
    <t>Coluna4772</t>
  </si>
  <si>
    <t>Coluna4773</t>
  </si>
  <si>
    <t>Coluna4774</t>
  </si>
  <si>
    <t>Coluna4775</t>
  </si>
  <si>
    <t>Coluna4776</t>
  </si>
  <si>
    <t>Coluna4777</t>
  </si>
  <si>
    <t>Coluna4778</t>
  </si>
  <si>
    <t>Coluna4779</t>
  </si>
  <si>
    <t>Coluna4780</t>
  </si>
  <si>
    <t>Coluna4781</t>
  </si>
  <si>
    <t>Coluna4782</t>
  </si>
  <si>
    <t>Coluna4783</t>
  </si>
  <si>
    <t>Coluna4784</t>
  </si>
  <si>
    <t>Coluna4785</t>
  </si>
  <si>
    <t>Coluna4786</t>
  </si>
  <si>
    <t>Coluna4787</t>
  </si>
  <si>
    <t>Coluna4788</t>
  </si>
  <si>
    <t>Coluna4789</t>
  </si>
  <si>
    <t>Coluna4790</t>
  </si>
  <si>
    <t>Coluna4791</t>
  </si>
  <si>
    <t>Coluna4792</t>
  </si>
  <si>
    <t>Coluna4793</t>
  </si>
  <si>
    <t>Coluna4794</t>
  </si>
  <si>
    <t>Coluna4795</t>
  </si>
  <si>
    <t>Coluna4796</t>
  </si>
  <si>
    <t>Coluna4797</t>
  </si>
  <si>
    <t>Coluna4798</t>
  </si>
  <si>
    <t>Coluna4799</t>
  </si>
  <si>
    <t>Coluna4800</t>
  </si>
  <si>
    <t>Coluna4801</t>
  </si>
  <si>
    <t>Coluna4802</t>
  </si>
  <si>
    <t>Coluna4803</t>
  </si>
  <si>
    <t>Coluna4804</t>
  </si>
  <si>
    <t>Coluna4805</t>
  </si>
  <si>
    <t>Coluna4806</t>
  </si>
  <si>
    <t>Coluna4807</t>
  </si>
  <si>
    <t>Coluna4808</t>
  </si>
  <si>
    <t>Coluna4809</t>
  </si>
  <si>
    <t>Coluna4810</t>
  </si>
  <si>
    <t>Coluna4811</t>
  </si>
  <si>
    <t>Coluna4812</t>
  </si>
  <si>
    <t>Coluna4813</t>
  </si>
  <si>
    <t>Coluna4814</t>
  </si>
  <si>
    <t>Coluna4815</t>
  </si>
  <si>
    <t>Coluna4816</t>
  </si>
  <si>
    <t>Coluna4817</t>
  </si>
  <si>
    <t>Coluna4818</t>
  </si>
  <si>
    <t>Coluna4819</t>
  </si>
  <si>
    <t>Coluna4820</t>
  </si>
  <si>
    <t>Coluna4821</t>
  </si>
  <si>
    <t>Coluna4822</t>
  </si>
  <si>
    <t>Coluna4823</t>
  </si>
  <si>
    <t>Coluna4824</t>
  </si>
  <si>
    <t>Coluna4825</t>
  </si>
  <si>
    <t>Coluna4826</t>
  </si>
  <si>
    <t>Coluna4827</t>
  </si>
  <si>
    <t>Coluna4828</t>
  </si>
  <si>
    <t>Coluna4829</t>
  </si>
  <si>
    <t>Coluna4830</t>
  </si>
  <si>
    <t>Coluna4831</t>
  </si>
  <si>
    <t>Coluna4832</t>
  </si>
  <si>
    <t>Coluna4833</t>
  </si>
  <si>
    <t>Coluna4834</t>
  </si>
  <si>
    <t>Coluna4835</t>
  </si>
  <si>
    <t>Coluna4836</t>
  </si>
  <si>
    <t>Coluna4837</t>
  </si>
  <si>
    <t>Coluna4838</t>
  </si>
  <si>
    <t>Coluna4839</t>
  </si>
  <si>
    <t>Coluna4840</t>
  </si>
  <si>
    <t>Coluna4841</t>
  </si>
  <si>
    <t>Coluna4842</t>
  </si>
  <si>
    <t>Coluna4843</t>
  </si>
  <si>
    <t>Coluna4844</t>
  </si>
  <si>
    <t>Coluna4845</t>
  </si>
  <si>
    <t>Coluna4846</t>
  </si>
  <si>
    <t>Coluna4847</t>
  </si>
  <si>
    <t>Coluna4848</t>
  </si>
  <si>
    <t>Coluna4849</t>
  </si>
  <si>
    <t>Coluna4850</t>
  </si>
  <si>
    <t>Coluna4851</t>
  </si>
  <si>
    <t>Coluna4852</t>
  </si>
  <si>
    <t>Coluna4853</t>
  </si>
  <si>
    <t>Coluna4854</t>
  </si>
  <si>
    <t>Coluna4855</t>
  </si>
  <si>
    <t>Coluna4856</t>
  </si>
  <si>
    <t>Coluna4857</t>
  </si>
  <si>
    <t>Coluna4858</t>
  </si>
  <si>
    <t>Coluna4859</t>
  </si>
  <si>
    <t>Coluna4860</t>
  </si>
  <si>
    <t>Coluna4861</t>
  </si>
  <si>
    <t>Coluna4862</t>
  </si>
  <si>
    <t>Coluna4863</t>
  </si>
  <si>
    <t>Coluna4864</t>
  </si>
  <si>
    <t>Coluna4865</t>
  </si>
  <si>
    <t>Coluna4866</t>
  </si>
  <si>
    <t>Coluna4867</t>
  </si>
  <si>
    <t>Coluna4868</t>
  </si>
  <si>
    <t>Coluna4869</t>
  </si>
  <si>
    <t>Coluna4870</t>
  </si>
  <si>
    <t>Coluna4871</t>
  </si>
  <si>
    <t>Coluna4872</t>
  </si>
  <si>
    <t>Coluna4873</t>
  </si>
  <si>
    <t>Coluna4874</t>
  </si>
  <si>
    <t>Coluna4875</t>
  </si>
  <si>
    <t>Coluna4876</t>
  </si>
  <si>
    <t>Coluna4877</t>
  </si>
  <si>
    <t>Coluna4878</t>
  </si>
  <si>
    <t>Coluna4879</t>
  </si>
  <si>
    <t>Coluna4880</t>
  </si>
  <si>
    <t>Coluna4881</t>
  </si>
  <si>
    <t>Coluna4882</t>
  </si>
  <si>
    <t>Coluna4883</t>
  </si>
  <si>
    <t>Coluna4884</t>
  </si>
  <si>
    <t>Coluna4885</t>
  </si>
  <si>
    <t>Coluna4886</t>
  </si>
  <si>
    <t>Coluna4887</t>
  </si>
  <si>
    <t>Coluna4888</t>
  </si>
  <si>
    <t>Coluna4889</t>
  </si>
  <si>
    <t>Coluna4890</t>
  </si>
  <si>
    <t>Coluna4891</t>
  </si>
  <si>
    <t>Coluna4892</t>
  </si>
  <si>
    <t>Coluna4893</t>
  </si>
  <si>
    <t>Coluna4894</t>
  </si>
  <si>
    <t>Coluna4895</t>
  </si>
  <si>
    <t>Coluna4896</t>
  </si>
  <si>
    <t>Coluna4897</t>
  </si>
  <si>
    <t>Coluna4898</t>
  </si>
  <si>
    <t>Coluna4899</t>
  </si>
  <si>
    <t>Coluna4900</t>
  </si>
  <si>
    <t>Coluna4901</t>
  </si>
  <si>
    <t>Coluna4902</t>
  </si>
  <si>
    <t>Coluna4903</t>
  </si>
  <si>
    <t>Coluna4904</t>
  </si>
  <si>
    <t>Coluna4905</t>
  </si>
  <si>
    <t>Coluna4906</t>
  </si>
  <si>
    <t>Coluna4907</t>
  </si>
  <si>
    <t>Coluna4908</t>
  </si>
  <si>
    <t>Coluna4909</t>
  </si>
  <si>
    <t>Coluna4910</t>
  </si>
  <si>
    <t>Coluna4911</t>
  </si>
  <si>
    <t>Coluna4912</t>
  </si>
  <si>
    <t>Coluna4913</t>
  </si>
  <si>
    <t>Coluna4914</t>
  </si>
  <si>
    <t>Coluna4915</t>
  </si>
  <si>
    <t>Coluna4916</t>
  </si>
  <si>
    <t>Coluna4917</t>
  </si>
  <si>
    <t>Coluna4918</t>
  </si>
  <si>
    <t>Coluna4919</t>
  </si>
  <si>
    <t>Coluna4920</t>
  </si>
  <si>
    <t>Coluna4921</t>
  </si>
  <si>
    <t>Coluna4922</t>
  </si>
  <si>
    <t>Coluna4923</t>
  </si>
  <si>
    <t>Coluna4924</t>
  </si>
  <si>
    <t>Coluna4925</t>
  </si>
  <si>
    <t>Coluna4926</t>
  </si>
  <si>
    <t>Coluna4927</t>
  </si>
  <si>
    <t>Coluna4928</t>
  </si>
  <si>
    <t>Coluna4929</t>
  </si>
  <si>
    <t>Coluna4930</t>
  </si>
  <si>
    <t>Coluna4931</t>
  </si>
  <si>
    <t>Coluna4932</t>
  </si>
  <si>
    <t>Coluna4933</t>
  </si>
  <si>
    <t>Coluna4934</t>
  </si>
  <si>
    <t>Coluna4935</t>
  </si>
  <si>
    <t>Coluna4936</t>
  </si>
  <si>
    <t>Coluna4937</t>
  </si>
  <si>
    <t>Coluna4938</t>
  </si>
  <si>
    <t>Coluna4939</t>
  </si>
  <si>
    <t>Coluna4940</t>
  </si>
  <si>
    <t>Coluna4941</t>
  </si>
  <si>
    <t>Coluna4942</t>
  </si>
  <si>
    <t>Coluna4943</t>
  </si>
  <si>
    <t>Coluna4944</t>
  </si>
  <si>
    <t>Coluna4945</t>
  </si>
  <si>
    <t>Coluna4946</t>
  </si>
  <si>
    <t>Coluna4947</t>
  </si>
  <si>
    <t>Coluna4948</t>
  </si>
  <si>
    <t>Coluna4949</t>
  </si>
  <si>
    <t>Coluna4950</t>
  </si>
  <si>
    <t>Coluna4951</t>
  </si>
  <si>
    <t>Coluna4952</t>
  </si>
  <si>
    <t>Coluna4953</t>
  </si>
  <si>
    <t>Coluna4954</t>
  </si>
  <si>
    <t>Coluna4955</t>
  </si>
  <si>
    <t>Coluna4956</t>
  </si>
  <si>
    <t>Coluna4957</t>
  </si>
  <si>
    <t>Coluna4958</t>
  </si>
  <si>
    <t>Coluna4959</t>
  </si>
  <si>
    <t>Coluna4960</t>
  </si>
  <si>
    <t>Coluna4961</t>
  </si>
  <si>
    <t>Coluna4962</t>
  </si>
  <si>
    <t>Coluna4963</t>
  </si>
  <si>
    <t>Coluna4964</t>
  </si>
  <si>
    <t>Coluna4965</t>
  </si>
  <si>
    <t>Coluna4966</t>
  </si>
  <si>
    <t>Coluna4967</t>
  </si>
  <si>
    <t>Coluna4968</t>
  </si>
  <si>
    <t>Coluna4969</t>
  </si>
  <si>
    <t>Coluna4970</t>
  </si>
  <si>
    <t>Coluna4971</t>
  </si>
  <si>
    <t>Coluna4972</t>
  </si>
  <si>
    <t>Coluna4973</t>
  </si>
  <si>
    <t>Coluna4974</t>
  </si>
  <si>
    <t>Coluna4975</t>
  </si>
  <si>
    <t>Coluna4976</t>
  </si>
  <si>
    <t>Coluna4977</t>
  </si>
  <si>
    <t>Coluna4978</t>
  </si>
  <si>
    <t>Coluna4979</t>
  </si>
  <si>
    <t>Coluna4980</t>
  </si>
  <si>
    <t>Coluna4981</t>
  </si>
  <si>
    <t>Coluna4982</t>
  </si>
  <si>
    <t>Coluna4983</t>
  </si>
  <si>
    <t>Coluna4984</t>
  </si>
  <si>
    <t>Coluna4985</t>
  </si>
  <si>
    <t>Coluna4986</t>
  </si>
  <si>
    <t>Coluna4987</t>
  </si>
  <si>
    <t>Coluna4988</t>
  </si>
  <si>
    <t>Coluna4989</t>
  </si>
  <si>
    <t>Coluna4990</t>
  </si>
  <si>
    <t>Coluna4991</t>
  </si>
  <si>
    <t>Coluna4992</t>
  </si>
  <si>
    <t>Coluna4993</t>
  </si>
  <si>
    <t>Coluna4994</t>
  </si>
  <si>
    <t>Coluna4995</t>
  </si>
  <si>
    <t>Coluna4996</t>
  </si>
  <si>
    <t>Coluna4997</t>
  </si>
  <si>
    <t>Coluna4998</t>
  </si>
  <si>
    <t>Coluna4999</t>
  </si>
  <si>
    <t>Coluna5000</t>
  </si>
  <si>
    <t>Coluna5001</t>
  </si>
  <si>
    <t>Coluna5002</t>
  </si>
  <si>
    <t>Coluna5003</t>
  </si>
  <si>
    <t>Coluna5004</t>
  </si>
  <si>
    <t>Coluna5005</t>
  </si>
  <si>
    <t>Coluna5006</t>
  </si>
  <si>
    <t>Coluna5007</t>
  </si>
  <si>
    <t>Coluna5008</t>
  </si>
  <si>
    <t>Coluna5009</t>
  </si>
  <si>
    <t>Coluna5010</t>
  </si>
  <si>
    <t>Coluna5011</t>
  </si>
  <si>
    <t>Coluna5012</t>
  </si>
  <si>
    <t>Coluna5013</t>
  </si>
  <si>
    <t>Coluna5014</t>
  </si>
  <si>
    <t>Coluna5015</t>
  </si>
  <si>
    <t>Coluna5016</t>
  </si>
  <si>
    <t>Coluna5017</t>
  </si>
  <si>
    <t>Coluna5018</t>
  </si>
  <si>
    <t>Coluna5019</t>
  </si>
  <si>
    <t>Coluna5020</t>
  </si>
  <si>
    <t>Coluna5021</t>
  </si>
  <si>
    <t>Coluna5022</t>
  </si>
  <si>
    <t>Coluna5023</t>
  </si>
  <si>
    <t>Coluna5024</t>
  </si>
  <si>
    <t>Coluna5025</t>
  </si>
  <si>
    <t>Coluna5026</t>
  </si>
  <si>
    <t>Coluna5027</t>
  </si>
  <si>
    <t>Coluna5028</t>
  </si>
  <si>
    <t>Coluna5029</t>
  </si>
  <si>
    <t>Coluna5030</t>
  </si>
  <si>
    <t>Coluna5031</t>
  </si>
  <si>
    <t>Coluna5032</t>
  </si>
  <si>
    <t>Coluna5033</t>
  </si>
  <si>
    <t>Coluna5034</t>
  </si>
  <si>
    <t>Coluna5035</t>
  </si>
  <si>
    <t>Coluna5036</t>
  </si>
  <si>
    <t>Coluna5037</t>
  </si>
  <si>
    <t>Coluna5038</t>
  </si>
  <si>
    <t>Coluna5039</t>
  </si>
  <si>
    <t>Coluna5040</t>
  </si>
  <si>
    <t>Coluna5041</t>
  </si>
  <si>
    <t>Coluna5042</t>
  </si>
  <si>
    <t>Coluna5043</t>
  </si>
  <si>
    <t>Coluna5044</t>
  </si>
  <si>
    <t>Coluna5045</t>
  </si>
  <si>
    <t>Coluna5046</t>
  </si>
  <si>
    <t>Coluna5047</t>
  </si>
  <si>
    <t>Coluna5048</t>
  </si>
  <si>
    <t>Coluna5049</t>
  </si>
  <si>
    <t>Coluna5050</t>
  </si>
  <si>
    <t>Coluna5051</t>
  </si>
  <si>
    <t>Coluna5052</t>
  </si>
  <si>
    <t>Coluna5053</t>
  </si>
  <si>
    <t>Coluna5054</t>
  </si>
  <si>
    <t>Coluna5055</t>
  </si>
  <si>
    <t>Coluna5056</t>
  </si>
  <si>
    <t>Coluna5057</t>
  </si>
  <si>
    <t>Coluna5058</t>
  </si>
  <si>
    <t>Coluna5059</t>
  </si>
  <si>
    <t>Coluna5060</t>
  </si>
  <si>
    <t>Coluna5061</t>
  </si>
  <si>
    <t>Coluna5062</t>
  </si>
  <si>
    <t>Coluna5063</t>
  </si>
  <si>
    <t>Coluna5064</t>
  </si>
  <si>
    <t>Coluna5065</t>
  </si>
  <si>
    <t>Coluna5066</t>
  </si>
  <si>
    <t>Coluna5067</t>
  </si>
  <si>
    <t>Coluna5068</t>
  </si>
  <si>
    <t>Coluna5069</t>
  </si>
  <si>
    <t>Coluna5070</t>
  </si>
  <si>
    <t>Coluna5071</t>
  </si>
  <si>
    <t>Coluna5072</t>
  </si>
  <si>
    <t>Coluna5073</t>
  </si>
  <si>
    <t>Coluna5074</t>
  </si>
  <si>
    <t>Coluna5075</t>
  </si>
  <si>
    <t>Coluna5076</t>
  </si>
  <si>
    <t>Coluna5077</t>
  </si>
  <si>
    <t>Coluna5078</t>
  </si>
  <si>
    <t>Coluna5079</t>
  </si>
  <si>
    <t>Coluna5080</t>
  </si>
  <si>
    <t>Coluna5081</t>
  </si>
  <si>
    <t>Coluna5082</t>
  </si>
  <si>
    <t>Coluna5083</t>
  </si>
  <si>
    <t>Coluna5084</t>
  </si>
  <si>
    <t>Coluna5085</t>
  </si>
  <si>
    <t>Coluna5086</t>
  </si>
  <si>
    <t>Coluna5087</t>
  </si>
  <si>
    <t>Coluna5088</t>
  </si>
  <si>
    <t>Coluna5089</t>
  </si>
  <si>
    <t>Coluna5090</t>
  </si>
  <si>
    <t>Coluna5091</t>
  </si>
  <si>
    <t>Coluna5092</t>
  </si>
  <si>
    <t>Coluna5093</t>
  </si>
  <si>
    <t>Coluna5094</t>
  </si>
  <si>
    <t>Coluna5095</t>
  </si>
  <si>
    <t>Coluna5096</t>
  </si>
  <si>
    <t>Coluna5097</t>
  </si>
  <si>
    <t>Coluna5098</t>
  </si>
  <si>
    <t>Coluna5099</t>
  </si>
  <si>
    <t>Coluna5100</t>
  </si>
  <si>
    <t>Coluna5101</t>
  </si>
  <si>
    <t>Coluna5102</t>
  </si>
  <si>
    <t>Coluna5103</t>
  </si>
  <si>
    <t>Coluna5104</t>
  </si>
  <si>
    <t>Coluna5105</t>
  </si>
  <si>
    <t>Coluna5106</t>
  </si>
  <si>
    <t>Coluna5107</t>
  </si>
  <si>
    <t>Coluna5108</t>
  </si>
  <si>
    <t>Coluna5109</t>
  </si>
  <si>
    <t>Coluna5110</t>
  </si>
  <si>
    <t>Coluna5111</t>
  </si>
  <si>
    <t>Coluna5112</t>
  </si>
  <si>
    <t>Coluna5113</t>
  </si>
  <si>
    <t>Coluna5114</t>
  </si>
  <si>
    <t>Coluna5115</t>
  </si>
  <si>
    <t>Coluna5116</t>
  </si>
  <si>
    <t>Coluna5117</t>
  </si>
  <si>
    <t>Coluna5118</t>
  </si>
  <si>
    <t>Coluna5119</t>
  </si>
  <si>
    <t>Coluna5120</t>
  </si>
  <si>
    <t>Coluna5121</t>
  </si>
  <si>
    <t>Coluna5122</t>
  </si>
  <si>
    <t>Coluna5123</t>
  </si>
  <si>
    <t>Coluna5124</t>
  </si>
  <si>
    <t>Coluna5125</t>
  </si>
  <si>
    <t>Coluna5126</t>
  </si>
  <si>
    <t>Coluna5127</t>
  </si>
  <si>
    <t>Coluna5128</t>
  </si>
  <si>
    <t>Coluna5129</t>
  </si>
  <si>
    <t>Coluna5130</t>
  </si>
  <si>
    <t>Coluna5131</t>
  </si>
  <si>
    <t>Coluna5132</t>
  </si>
  <si>
    <t>Coluna5133</t>
  </si>
  <si>
    <t>Coluna5134</t>
  </si>
  <si>
    <t>Coluna5135</t>
  </si>
  <si>
    <t>Coluna5136</t>
  </si>
  <si>
    <t>Coluna5137</t>
  </si>
  <si>
    <t>Coluna5138</t>
  </si>
  <si>
    <t>Coluna5139</t>
  </si>
  <si>
    <t>Coluna5140</t>
  </si>
  <si>
    <t>Coluna5141</t>
  </si>
  <si>
    <t>Coluna5142</t>
  </si>
  <si>
    <t>Coluna5143</t>
  </si>
  <si>
    <t>Coluna5144</t>
  </si>
  <si>
    <t>Coluna5145</t>
  </si>
  <si>
    <t>Coluna5146</t>
  </si>
  <si>
    <t>Coluna5147</t>
  </si>
  <si>
    <t>Coluna5148</t>
  </si>
  <si>
    <t>Coluna5149</t>
  </si>
  <si>
    <t>Coluna5150</t>
  </si>
  <si>
    <t>Coluna5151</t>
  </si>
  <si>
    <t>Coluna5152</t>
  </si>
  <si>
    <t>Coluna5153</t>
  </si>
  <si>
    <t>Coluna5154</t>
  </si>
  <si>
    <t>Coluna5155</t>
  </si>
  <si>
    <t>Coluna5156</t>
  </si>
  <si>
    <t>Coluna5157</t>
  </si>
  <si>
    <t>Coluna5158</t>
  </si>
  <si>
    <t>Coluna5159</t>
  </si>
  <si>
    <t>Coluna5160</t>
  </si>
  <si>
    <t>Coluna5161</t>
  </si>
  <si>
    <t>Coluna5162</t>
  </si>
  <si>
    <t>Coluna5163</t>
  </si>
  <si>
    <t>Coluna5164</t>
  </si>
  <si>
    <t>Coluna5165</t>
  </si>
  <si>
    <t>Coluna5166</t>
  </si>
  <si>
    <t>Coluna5167</t>
  </si>
  <si>
    <t>Coluna5168</t>
  </si>
  <si>
    <t>Coluna5169</t>
  </si>
  <si>
    <t>Coluna5170</t>
  </si>
  <si>
    <t>Coluna5171</t>
  </si>
  <si>
    <t>Coluna5172</t>
  </si>
  <si>
    <t>Coluna5173</t>
  </si>
  <si>
    <t>Coluna5174</t>
  </si>
  <si>
    <t>Coluna5175</t>
  </si>
  <si>
    <t>Coluna5176</t>
  </si>
  <si>
    <t>Coluna5177</t>
  </si>
  <si>
    <t>Coluna5178</t>
  </si>
  <si>
    <t>Coluna5179</t>
  </si>
  <si>
    <t>Coluna5180</t>
  </si>
  <si>
    <t>Coluna5181</t>
  </si>
  <si>
    <t>Coluna5182</t>
  </si>
  <si>
    <t>Coluna5183</t>
  </si>
  <si>
    <t>Coluna5184</t>
  </si>
  <si>
    <t>Coluna5185</t>
  </si>
  <si>
    <t>Coluna5186</t>
  </si>
  <si>
    <t>Coluna5187</t>
  </si>
  <si>
    <t>Coluna5188</t>
  </si>
  <si>
    <t>Coluna5189</t>
  </si>
  <si>
    <t>Coluna5190</t>
  </si>
  <si>
    <t>Coluna5191</t>
  </si>
  <si>
    <t>Coluna5192</t>
  </si>
  <si>
    <t>Coluna5193</t>
  </si>
  <si>
    <t>Coluna5194</t>
  </si>
  <si>
    <t>Coluna5195</t>
  </si>
  <si>
    <t>Coluna5196</t>
  </si>
  <si>
    <t>Coluna5197</t>
  </si>
  <si>
    <t>Coluna5198</t>
  </si>
  <si>
    <t>Coluna5199</t>
  </si>
  <si>
    <t>Coluna5200</t>
  </si>
  <si>
    <t>Coluna5201</t>
  </si>
  <si>
    <t>Coluna5202</t>
  </si>
  <si>
    <t>Coluna5203</t>
  </si>
  <si>
    <t>Coluna5204</t>
  </si>
  <si>
    <t>Coluna5205</t>
  </si>
  <si>
    <t>Coluna5206</t>
  </si>
  <si>
    <t>Coluna5207</t>
  </si>
  <si>
    <t>Coluna5208</t>
  </si>
  <si>
    <t>Coluna5209</t>
  </si>
  <si>
    <t>Coluna5210</t>
  </si>
  <si>
    <t>Coluna5211</t>
  </si>
  <si>
    <t>Coluna5212</t>
  </si>
  <si>
    <t>Coluna5213</t>
  </si>
  <si>
    <t>Coluna5214</t>
  </si>
  <si>
    <t>Coluna5215</t>
  </si>
  <si>
    <t>Coluna5216</t>
  </si>
  <si>
    <t>Coluna5217</t>
  </si>
  <si>
    <t>Coluna5218</t>
  </si>
  <si>
    <t>Coluna5219</t>
  </si>
  <si>
    <t>Coluna5220</t>
  </si>
  <si>
    <t>Coluna5221</t>
  </si>
  <si>
    <t>Coluna5222</t>
  </si>
  <si>
    <t>Coluna5223</t>
  </si>
  <si>
    <t>Coluna5224</t>
  </si>
  <si>
    <t>Coluna5225</t>
  </si>
  <si>
    <t>Coluna5226</t>
  </si>
  <si>
    <t>Coluna5227</t>
  </si>
  <si>
    <t>Coluna5228</t>
  </si>
  <si>
    <t>Coluna5229</t>
  </si>
  <si>
    <t>Coluna5230</t>
  </si>
  <si>
    <t>Coluna5231</t>
  </si>
  <si>
    <t>Coluna5232</t>
  </si>
  <si>
    <t>Coluna5233</t>
  </si>
  <si>
    <t>Coluna5234</t>
  </si>
  <si>
    <t>Coluna5235</t>
  </si>
  <si>
    <t>Coluna5236</t>
  </si>
  <si>
    <t>Coluna5237</t>
  </si>
  <si>
    <t>Coluna5238</t>
  </si>
  <si>
    <t>Coluna5239</t>
  </si>
  <si>
    <t>Coluna5240</t>
  </si>
  <si>
    <t>Coluna5241</t>
  </si>
  <si>
    <t>Coluna5242</t>
  </si>
  <si>
    <t>Coluna5243</t>
  </si>
  <si>
    <t>Coluna5244</t>
  </si>
  <si>
    <t>Coluna5245</t>
  </si>
  <si>
    <t>Coluna5246</t>
  </si>
  <si>
    <t>Coluna5247</t>
  </si>
  <si>
    <t>Coluna5248</t>
  </si>
  <si>
    <t>Coluna5249</t>
  </si>
  <si>
    <t>Coluna5250</t>
  </si>
  <si>
    <t>Coluna5251</t>
  </si>
  <si>
    <t>Coluna5252</t>
  </si>
  <si>
    <t>Coluna5253</t>
  </si>
  <si>
    <t>Coluna5254</t>
  </si>
  <si>
    <t>Coluna5255</t>
  </si>
  <si>
    <t>Coluna5256</t>
  </si>
  <si>
    <t>Coluna5257</t>
  </si>
  <si>
    <t>Coluna5258</t>
  </si>
  <si>
    <t>Coluna5259</t>
  </si>
  <si>
    <t>Coluna5260</t>
  </si>
  <si>
    <t>Coluna5261</t>
  </si>
  <si>
    <t>Coluna5262</t>
  </si>
  <si>
    <t>Coluna5263</t>
  </si>
  <si>
    <t>Coluna5264</t>
  </si>
  <si>
    <t>Coluna5265</t>
  </si>
  <si>
    <t>Coluna5266</t>
  </si>
  <si>
    <t>Coluna5267</t>
  </si>
  <si>
    <t>Coluna5268</t>
  </si>
  <si>
    <t>Coluna5269</t>
  </si>
  <si>
    <t>Coluna5270</t>
  </si>
  <si>
    <t>Coluna5271</t>
  </si>
  <si>
    <t>Coluna5272</t>
  </si>
  <si>
    <t>Coluna5273</t>
  </si>
  <si>
    <t>Coluna5274</t>
  </si>
  <si>
    <t>Coluna5275</t>
  </si>
  <si>
    <t>Coluna5276</t>
  </si>
  <si>
    <t>Coluna5277</t>
  </si>
  <si>
    <t>Coluna5278</t>
  </si>
  <si>
    <t>Coluna5279</t>
  </si>
  <si>
    <t>Coluna5280</t>
  </si>
  <si>
    <t>Coluna5281</t>
  </si>
  <si>
    <t>Coluna5282</t>
  </si>
  <si>
    <t>Coluna5283</t>
  </si>
  <si>
    <t>Coluna5284</t>
  </si>
  <si>
    <t>Coluna5285</t>
  </si>
  <si>
    <t>Coluna5286</t>
  </si>
  <si>
    <t>Coluna5287</t>
  </si>
  <si>
    <t>Coluna5288</t>
  </si>
  <si>
    <t>Coluna5289</t>
  </si>
  <si>
    <t>Coluna5290</t>
  </si>
  <si>
    <t>Coluna5291</t>
  </si>
  <si>
    <t>Coluna5292</t>
  </si>
  <si>
    <t>Coluna5293</t>
  </si>
  <si>
    <t>Coluna5294</t>
  </si>
  <si>
    <t>Coluna5295</t>
  </si>
  <si>
    <t>Coluna5296</t>
  </si>
  <si>
    <t>Coluna5297</t>
  </si>
  <si>
    <t>Coluna5298</t>
  </si>
  <si>
    <t>Coluna5299</t>
  </si>
  <si>
    <t>Coluna5300</t>
  </si>
  <si>
    <t>Coluna5301</t>
  </si>
  <si>
    <t>Coluna5302</t>
  </si>
  <si>
    <t>Coluna5303</t>
  </si>
  <si>
    <t>Coluna5304</t>
  </si>
  <si>
    <t>Coluna5305</t>
  </si>
  <si>
    <t>Coluna5306</t>
  </si>
  <si>
    <t>Coluna5307</t>
  </si>
  <si>
    <t>Coluna5308</t>
  </si>
  <si>
    <t>Coluna5309</t>
  </si>
  <si>
    <t>Coluna5310</t>
  </si>
  <si>
    <t>Coluna5311</t>
  </si>
  <si>
    <t>Coluna5312</t>
  </si>
  <si>
    <t>Coluna5313</t>
  </si>
  <si>
    <t>Coluna5314</t>
  </si>
  <si>
    <t>Coluna5315</t>
  </si>
  <si>
    <t>Coluna5316</t>
  </si>
  <si>
    <t>Coluna5317</t>
  </si>
  <si>
    <t>Coluna5318</t>
  </si>
  <si>
    <t>Coluna5319</t>
  </si>
  <si>
    <t>Coluna5320</t>
  </si>
  <si>
    <t>Coluna5321</t>
  </si>
  <si>
    <t>Coluna5322</t>
  </si>
  <si>
    <t>Coluna5323</t>
  </si>
  <si>
    <t>Coluna5324</t>
  </si>
  <si>
    <t>Coluna5325</t>
  </si>
  <si>
    <t>Coluna5326</t>
  </si>
  <si>
    <t>Coluna5327</t>
  </si>
  <si>
    <t>Coluna5328</t>
  </si>
  <si>
    <t>Coluna5329</t>
  </si>
  <si>
    <t>Coluna5330</t>
  </si>
  <si>
    <t>Coluna5331</t>
  </si>
  <si>
    <t>Coluna5332</t>
  </si>
  <si>
    <t>Coluna5333</t>
  </si>
  <si>
    <t>Coluna5334</t>
  </si>
  <si>
    <t>Coluna5335</t>
  </si>
  <si>
    <t>Coluna5336</t>
  </si>
  <si>
    <t>Coluna5337</t>
  </si>
  <si>
    <t>Coluna5338</t>
  </si>
  <si>
    <t>Coluna5339</t>
  </si>
  <si>
    <t>Coluna5340</t>
  </si>
  <si>
    <t>Coluna5341</t>
  </si>
  <si>
    <t>Coluna5342</t>
  </si>
  <si>
    <t>Coluna5343</t>
  </si>
  <si>
    <t>Coluna5344</t>
  </si>
  <si>
    <t>Coluna5345</t>
  </si>
  <si>
    <t>Coluna5346</t>
  </si>
  <si>
    <t>Coluna5347</t>
  </si>
  <si>
    <t>Coluna5348</t>
  </si>
  <si>
    <t>Coluna5349</t>
  </si>
  <si>
    <t>Coluna5350</t>
  </si>
  <si>
    <t>Coluna5351</t>
  </si>
  <si>
    <t>Coluna5352</t>
  </si>
  <si>
    <t>Coluna5353</t>
  </si>
  <si>
    <t>Coluna5354</t>
  </si>
  <si>
    <t>Coluna5355</t>
  </si>
  <si>
    <t>Coluna5356</t>
  </si>
  <si>
    <t>Coluna5357</t>
  </si>
  <si>
    <t>Coluna5358</t>
  </si>
  <si>
    <t>Coluna5359</t>
  </si>
  <si>
    <t>Coluna5360</t>
  </si>
  <si>
    <t>Coluna5361</t>
  </si>
  <si>
    <t>Coluna5362</t>
  </si>
  <si>
    <t>Coluna5363</t>
  </si>
  <si>
    <t>Coluna5364</t>
  </si>
  <si>
    <t>Coluna5365</t>
  </si>
  <si>
    <t>Coluna5366</t>
  </si>
  <si>
    <t>Coluna5367</t>
  </si>
  <si>
    <t>Coluna5368</t>
  </si>
  <si>
    <t>Coluna5369</t>
  </si>
  <si>
    <t>Coluna5370</t>
  </si>
  <si>
    <t>Coluna5371</t>
  </si>
  <si>
    <t>Coluna5372</t>
  </si>
  <si>
    <t>Coluna5373</t>
  </si>
  <si>
    <t>Coluna5374</t>
  </si>
  <si>
    <t>Coluna5375</t>
  </si>
  <si>
    <t>Coluna5376</t>
  </si>
  <si>
    <t>Coluna5377</t>
  </si>
  <si>
    <t>Coluna5378</t>
  </si>
  <si>
    <t>Coluna5379</t>
  </si>
  <si>
    <t>Coluna5380</t>
  </si>
  <si>
    <t>Coluna5381</t>
  </si>
  <si>
    <t>Coluna5382</t>
  </si>
  <si>
    <t>Coluna5383</t>
  </si>
  <si>
    <t>Coluna5384</t>
  </si>
  <si>
    <t>Coluna5385</t>
  </si>
  <si>
    <t>Coluna5386</t>
  </si>
  <si>
    <t>Coluna5387</t>
  </si>
  <si>
    <t>Coluna5388</t>
  </si>
  <si>
    <t>Coluna5389</t>
  </si>
  <si>
    <t>Coluna5390</t>
  </si>
  <si>
    <t>Coluna5391</t>
  </si>
  <si>
    <t>Coluna5392</t>
  </si>
  <si>
    <t>Coluna5393</t>
  </si>
  <si>
    <t>Coluna5394</t>
  </si>
  <si>
    <t>Coluna5395</t>
  </si>
  <si>
    <t>Coluna5396</t>
  </si>
  <si>
    <t>Coluna5397</t>
  </si>
  <si>
    <t>Coluna5398</t>
  </si>
  <si>
    <t>Coluna5399</t>
  </si>
  <si>
    <t>Coluna5400</t>
  </si>
  <si>
    <t>Coluna5401</t>
  </si>
  <si>
    <t>Coluna5402</t>
  </si>
  <si>
    <t>Coluna5403</t>
  </si>
  <si>
    <t>Coluna5404</t>
  </si>
  <si>
    <t>Coluna5405</t>
  </si>
  <si>
    <t>Coluna5406</t>
  </si>
  <si>
    <t>Coluna5407</t>
  </si>
  <si>
    <t>Coluna5408</t>
  </si>
  <si>
    <t>Coluna5409</t>
  </si>
  <si>
    <t>Coluna5410</t>
  </si>
  <si>
    <t>Coluna5411</t>
  </si>
  <si>
    <t>Coluna5412</t>
  </si>
  <si>
    <t>Coluna5413</t>
  </si>
  <si>
    <t>Coluna5414</t>
  </si>
  <si>
    <t>Coluna5415</t>
  </si>
  <si>
    <t>Coluna5416</t>
  </si>
  <si>
    <t>Coluna5417</t>
  </si>
  <si>
    <t>Coluna5418</t>
  </si>
  <si>
    <t>Coluna5419</t>
  </si>
  <si>
    <t>Coluna5420</t>
  </si>
  <si>
    <t>Coluna5421</t>
  </si>
  <si>
    <t>Coluna5422</t>
  </si>
  <si>
    <t>Coluna5423</t>
  </si>
  <si>
    <t>Coluna5424</t>
  </si>
  <si>
    <t>Coluna5425</t>
  </si>
  <si>
    <t>Coluna5426</t>
  </si>
  <si>
    <t>Coluna5427</t>
  </si>
  <si>
    <t>Coluna5428</t>
  </si>
  <si>
    <t>Coluna5429</t>
  </si>
  <si>
    <t>Coluna5430</t>
  </si>
  <si>
    <t>Coluna5431</t>
  </si>
  <si>
    <t>Coluna5432</t>
  </si>
  <si>
    <t>Coluna5433</t>
  </si>
  <si>
    <t>Coluna5434</t>
  </si>
  <si>
    <t>Coluna5435</t>
  </si>
  <si>
    <t>Coluna5436</t>
  </si>
  <si>
    <t>Coluna5437</t>
  </si>
  <si>
    <t>Coluna5438</t>
  </si>
  <si>
    <t>Coluna5439</t>
  </si>
  <si>
    <t>Coluna5440</t>
  </si>
  <si>
    <t>Coluna5441</t>
  </si>
  <si>
    <t>Coluna5442</t>
  </si>
  <si>
    <t>Coluna5443</t>
  </si>
  <si>
    <t>Coluna5444</t>
  </si>
  <si>
    <t>Coluna5445</t>
  </si>
  <si>
    <t>Coluna5446</t>
  </si>
  <si>
    <t>Coluna5447</t>
  </si>
  <si>
    <t>Coluna5448</t>
  </si>
  <si>
    <t>Coluna5449</t>
  </si>
  <si>
    <t>Coluna5450</t>
  </si>
  <si>
    <t>Coluna5451</t>
  </si>
  <si>
    <t>Coluna5452</t>
  </si>
  <si>
    <t>Coluna5453</t>
  </si>
  <si>
    <t>Coluna5454</t>
  </si>
  <si>
    <t>Coluna5455</t>
  </si>
  <si>
    <t>Coluna5456</t>
  </si>
  <si>
    <t>Coluna5457</t>
  </si>
  <si>
    <t>Coluna5458</t>
  </si>
  <si>
    <t>Coluna5459</t>
  </si>
  <si>
    <t>Coluna5460</t>
  </si>
  <si>
    <t>Coluna5461</t>
  </si>
  <si>
    <t>Coluna5462</t>
  </si>
  <si>
    <t>Coluna5463</t>
  </si>
  <si>
    <t>Coluna5464</t>
  </si>
  <si>
    <t>Coluna5465</t>
  </si>
  <si>
    <t>Coluna5466</t>
  </si>
  <si>
    <t>Coluna5467</t>
  </si>
  <si>
    <t>Coluna5468</t>
  </si>
  <si>
    <t>Coluna5469</t>
  </si>
  <si>
    <t>Coluna5470</t>
  </si>
  <si>
    <t>Coluna5471</t>
  </si>
  <si>
    <t>Coluna5472</t>
  </si>
  <si>
    <t>Coluna5473</t>
  </si>
  <si>
    <t>Coluna5474</t>
  </si>
  <si>
    <t>Coluna5475</t>
  </si>
  <si>
    <t>Coluna5476</t>
  </si>
  <si>
    <t>Coluna5477</t>
  </si>
  <si>
    <t>Coluna5478</t>
  </si>
  <si>
    <t>Coluna5479</t>
  </si>
  <si>
    <t>Coluna5480</t>
  </si>
  <si>
    <t>Coluna5481</t>
  </si>
  <si>
    <t>Coluna5482</t>
  </si>
  <si>
    <t>Coluna5483</t>
  </si>
  <si>
    <t>Coluna5484</t>
  </si>
  <si>
    <t>Coluna5485</t>
  </si>
  <si>
    <t>Coluna5486</t>
  </si>
  <si>
    <t>Coluna5487</t>
  </si>
  <si>
    <t>Coluna5488</t>
  </si>
  <si>
    <t>Coluna5489</t>
  </si>
  <si>
    <t>Coluna5490</t>
  </si>
  <si>
    <t>Coluna5491</t>
  </si>
  <si>
    <t>Coluna5492</t>
  </si>
  <si>
    <t>Coluna5493</t>
  </si>
  <si>
    <t>Coluna5494</t>
  </si>
  <si>
    <t>Coluna5495</t>
  </si>
  <si>
    <t>Coluna5496</t>
  </si>
  <si>
    <t>Coluna5497</t>
  </si>
  <si>
    <t>Coluna5498</t>
  </si>
  <si>
    <t>Coluna5499</t>
  </si>
  <si>
    <t>Coluna5500</t>
  </si>
  <si>
    <t>Coluna5501</t>
  </si>
  <si>
    <t>Coluna5502</t>
  </si>
  <si>
    <t>Coluna5503</t>
  </si>
  <si>
    <t>Coluna5504</t>
  </si>
  <si>
    <t>Coluna5505</t>
  </si>
  <si>
    <t>Coluna5506</t>
  </si>
  <si>
    <t>Coluna5507</t>
  </si>
  <si>
    <t>Coluna5508</t>
  </si>
  <si>
    <t>Coluna5509</t>
  </si>
  <si>
    <t>Coluna5510</t>
  </si>
  <si>
    <t>Coluna5511</t>
  </si>
  <si>
    <t>Coluna5512</t>
  </si>
  <si>
    <t>Coluna5513</t>
  </si>
  <si>
    <t>Coluna5514</t>
  </si>
  <si>
    <t>Coluna5515</t>
  </si>
  <si>
    <t>Coluna5516</t>
  </si>
  <si>
    <t>Coluna5517</t>
  </si>
  <si>
    <t>Coluna5518</t>
  </si>
  <si>
    <t>Coluna5519</t>
  </si>
  <si>
    <t>Coluna5520</t>
  </si>
  <si>
    <t>Coluna5521</t>
  </si>
  <si>
    <t>Coluna5522</t>
  </si>
  <si>
    <t>Coluna5523</t>
  </si>
  <si>
    <t>Coluna5524</t>
  </si>
  <si>
    <t>Coluna5525</t>
  </si>
  <si>
    <t>Coluna5526</t>
  </si>
  <si>
    <t>Coluna5527</t>
  </si>
  <si>
    <t>Coluna5528</t>
  </si>
  <si>
    <t>Coluna5529</t>
  </si>
  <si>
    <t>Coluna5530</t>
  </si>
  <si>
    <t>Coluna5531</t>
  </si>
  <si>
    <t>Coluna5532</t>
  </si>
  <si>
    <t>Coluna5533</t>
  </si>
  <si>
    <t>Coluna5534</t>
  </si>
  <si>
    <t>Coluna5535</t>
  </si>
  <si>
    <t>Coluna5536</t>
  </si>
  <si>
    <t>Coluna5537</t>
  </si>
  <si>
    <t>Coluna5538</t>
  </si>
  <si>
    <t>Coluna5539</t>
  </si>
  <si>
    <t>Coluna5540</t>
  </si>
  <si>
    <t>Coluna5541</t>
  </si>
  <si>
    <t>Coluna5542</t>
  </si>
  <si>
    <t>Coluna5543</t>
  </si>
  <si>
    <t>Coluna5544</t>
  </si>
  <si>
    <t>Coluna5545</t>
  </si>
  <si>
    <t>Coluna5546</t>
  </si>
  <si>
    <t>Coluna5547</t>
  </si>
  <si>
    <t>Coluna5548</t>
  </si>
  <si>
    <t>Coluna5549</t>
  </si>
  <si>
    <t>Coluna5550</t>
  </si>
  <si>
    <t>Coluna5551</t>
  </si>
  <si>
    <t>Coluna5552</t>
  </si>
  <si>
    <t>Coluna5553</t>
  </si>
  <si>
    <t>Coluna5554</t>
  </si>
  <si>
    <t>Coluna5555</t>
  </si>
  <si>
    <t>Coluna5556</t>
  </si>
  <si>
    <t>Coluna5557</t>
  </si>
  <si>
    <t>Coluna5558</t>
  </si>
  <si>
    <t>Coluna5559</t>
  </si>
  <si>
    <t>Coluna5560</t>
  </si>
  <si>
    <t>Coluna5561</t>
  </si>
  <si>
    <t>Coluna5562</t>
  </si>
  <si>
    <t>Coluna5563</t>
  </si>
  <si>
    <t>Coluna5564</t>
  </si>
  <si>
    <t>Coluna5565</t>
  </si>
  <si>
    <t>Coluna5566</t>
  </si>
  <si>
    <t>Coluna5567</t>
  </si>
  <si>
    <t>Coluna5568</t>
  </si>
  <si>
    <t>Coluna5569</t>
  </si>
  <si>
    <t>Coluna5570</t>
  </si>
  <si>
    <t>Coluna5571</t>
  </si>
  <si>
    <t>Coluna5572</t>
  </si>
  <si>
    <t>Coluna5573</t>
  </si>
  <si>
    <t>Coluna5574</t>
  </si>
  <si>
    <t>Coluna5575</t>
  </si>
  <si>
    <t>Coluna5576</t>
  </si>
  <si>
    <t>Coluna5577</t>
  </si>
  <si>
    <t>Coluna5578</t>
  </si>
  <si>
    <t>Coluna5579</t>
  </si>
  <si>
    <t>Coluna5580</t>
  </si>
  <si>
    <t>Coluna5581</t>
  </si>
  <si>
    <t>Coluna5582</t>
  </si>
  <si>
    <t>Coluna5583</t>
  </si>
  <si>
    <t>Coluna5584</t>
  </si>
  <si>
    <t>Coluna5585</t>
  </si>
  <si>
    <t>Coluna5586</t>
  </si>
  <si>
    <t>Coluna5587</t>
  </si>
  <si>
    <t>Coluna5588</t>
  </si>
  <si>
    <t>Coluna5589</t>
  </si>
  <si>
    <t>Coluna5590</t>
  </si>
  <si>
    <t>Coluna5591</t>
  </si>
  <si>
    <t>Coluna5592</t>
  </si>
  <si>
    <t>Coluna5593</t>
  </si>
  <si>
    <t>Coluna5594</t>
  </si>
  <si>
    <t>Coluna5595</t>
  </si>
  <si>
    <t>Coluna5596</t>
  </si>
  <si>
    <t>Coluna5597</t>
  </si>
  <si>
    <t>Coluna5598</t>
  </si>
  <si>
    <t>Coluna5599</t>
  </si>
  <si>
    <t>Coluna5600</t>
  </si>
  <si>
    <t>Coluna5601</t>
  </si>
  <si>
    <t>Coluna5602</t>
  </si>
  <si>
    <t>Coluna5603</t>
  </si>
  <si>
    <t>Coluna5604</t>
  </si>
  <si>
    <t>Coluna5605</t>
  </si>
  <si>
    <t>Coluna5606</t>
  </si>
  <si>
    <t>Coluna5607</t>
  </si>
  <si>
    <t>Coluna5608</t>
  </si>
  <si>
    <t>Coluna5609</t>
  </si>
  <si>
    <t>Coluna5610</t>
  </si>
  <si>
    <t>Coluna5611</t>
  </si>
  <si>
    <t>Coluna5612</t>
  </si>
  <si>
    <t>Coluna5613</t>
  </si>
  <si>
    <t>Coluna5614</t>
  </si>
  <si>
    <t>Coluna5615</t>
  </si>
  <si>
    <t>Coluna5616</t>
  </si>
  <si>
    <t>Coluna5617</t>
  </si>
  <si>
    <t>Coluna5618</t>
  </si>
  <si>
    <t>Coluna5619</t>
  </si>
  <si>
    <t>Coluna5620</t>
  </si>
  <si>
    <t>Coluna5621</t>
  </si>
  <si>
    <t>Coluna5622</t>
  </si>
  <si>
    <t>Coluna5623</t>
  </si>
  <si>
    <t>Coluna5624</t>
  </si>
  <si>
    <t>Coluna5625</t>
  </si>
  <si>
    <t>Coluna5626</t>
  </si>
  <si>
    <t>Coluna5627</t>
  </si>
  <si>
    <t>Coluna5628</t>
  </si>
  <si>
    <t>Coluna5629</t>
  </si>
  <si>
    <t>Coluna5630</t>
  </si>
  <si>
    <t>Coluna5631</t>
  </si>
  <si>
    <t>Coluna5632</t>
  </si>
  <si>
    <t>Coluna5633</t>
  </si>
  <si>
    <t>Coluna5634</t>
  </si>
  <si>
    <t>Coluna5635</t>
  </si>
  <si>
    <t>Coluna5636</t>
  </si>
  <si>
    <t>Coluna5637</t>
  </si>
  <si>
    <t>Coluna5638</t>
  </si>
  <si>
    <t>Coluna5639</t>
  </si>
  <si>
    <t>Coluna5640</t>
  </si>
  <si>
    <t>Coluna5641</t>
  </si>
  <si>
    <t>Coluna5642</t>
  </si>
  <si>
    <t>Coluna5643</t>
  </si>
  <si>
    <t>Coluna5644</t>
  </si>
  <si>
    <t>Coluna5645</t>
  </si>
  <si>
    <t>Coluna5646</t>
  </si>
  <si>
    <t>Coluna5647</t>
  </si>
  <si>
    <t>Coluna5648</t>
  </si>
  <si>
    <t>Coluna5649</t>
  </si>
  <si>
    <t>Coluna5650</t>
  </si>
  <si>
    <t>Coluna5651</t>
  </si>
  <si>
    <t>Coluna5652</t>
  </si>
  <si>
    <t>Coluna5653</t>
  </si>
  <si>
    <t>Coluna5654</t>
  </si>
  <si>
    <t>Coluna5655</t>
  </si>
  <si>
    <t>Coluna5656</t>
  </si>
  <si>
    <t>Coluna5657</t>
  </si>
  <si>
    <t>Coluna5658</t>
  </si>
  <si>
    <t>Coluna5659</t>
  </si>
  <si>
    <t>Coluna5660</t>
  </si>
  <si>
    <t>Coluna5661</t>
  </si>
  <si>
    <t>Coluna5662</t>
  </si>
  <si>
    <t>Coluna5663</t>
  </si>
  <si>
    <t>Coluna5664</t>
  </si>
  <si>
    <t>Coluna5665</t>
  </si>
  <si>
    <t>Coluna5666</t>
  </si>
  <si>
    <t>Coluna5667</t>
  </si>
  <si>
    <t>Coluna5668</t>
  </si>
  <si>
    <t>Coluna5669</t>
  </si>
  <si>
    <t>Coluna5670</t>
  </si>
  <si>
    <t>Coluna5671</t>
  </si>
  <si>
    <t>Coluna5672</t>
  </si>
  <si>
    <t>Coluna5673</t>
  </si>
  <si>
    <t>Coluna5674</t>
  </si>
  <si>
    <t>Coluna5675</t>
  </si>
  <si>
    <t>Coluna5676</t>
  </si>
  <si>
    <t>Coluna5677</t>
  </si>
  <si>
    <t>Coluna5678</t>
  </si>
  <si>
    <t>Coluna5679</t>
  </si>
  <si>
    <t>Coluna5680</t>
  </si>
  <si>
    <t>Coluna5681</t>
  </si>
  <si>
    <t>Coluna5682</t>
  </si>
  <si>
    <t>Coluna5683</t>
  </si>
  <si>
    <t>Coluna5684</t>
  </si>
  <si>
    <t>Coluna5685</t>
  </si>
  <si>
    <t>Coluna5686</t>
  </si>
  <si>
    <t>Coluna5687</t>
  </si>
  <si>
    <t>Coluna5688</t>
  </si>
  <si>
    <t>Coluna5689</t>
  </si>
  <si>
    <t>Coluna5690</t>
  </si>
  <si>
    <t>Coluna5691</t>
  </si>
  <si>
    <t>Coluna5692</t>
  </si>
  <si>
    <t>Coluna5693</t>
  </si>
  <si>
    <t>Coluna5694</t>
  </si>
  <si>
    <t>Coluna5695</t>
  </si>
  <si>
    <t>Coluna5696</t>
  </si>
  <si>
    <t>Coluna5697</t>
  </si>
  <si>
    <t>Coluna5698</t>
  </si>
  <si>
    <t>Coluna5699</t>
  </si>
  <si>
    <t>Coluna5700</t>
  </si>
  <si>
    <t>Coluna5701</t>
  </si>
  <si>
    <t>Coluna5702</t>
  </si>
  <si>
    <t>Coluna5703</t>
  </si>
  <si>
    <t>Coluna5704</t>
  </si>
  <si>
    <t>Coluna5705</t>
  </si>
  <si>
    <t>Coluna5706</t>
  </si>
  <si>
    <t>Coluna5707</t>
  </si>
  <si>
    <t>Coluna5708</t>
  </si>
  <si>
    <t>Coluna5709</t>
  </si>
  <si>
    <t>Coluna5710</t>
  </si>
  <si>
    <t>Coluna5711</t>
  </si>
  <si>
    <t>Coluna5712</t>
  </si>
  <si>
    <t>Coluna5713</t>
  </si>
  <si>
    <t>Coluna5714</t>
  </si>
  <si>
    <t>Coluna5715</t>
  </si>
  <si>
    <t>Coluna5716</t>
  </si>
  <si>
    <t>Coluna5717</t>
  </si>
  <si>
    <t>Coluna5718</t>
  </si>
  <si>
    <t>Coluna5719</t>
  </si>
  <si>
    <t>Coluna5720</t>
  </si>
  <si>
    <t>Coluna5721</t>
  </si>
  <si>
    <t>Coluna5722</t>
  </si>
  <si>
    <t>Coluna5723</t>
  </si>
  <si>
    <t>Coluna5724</t>
  </si>
  <si>
    <t>Coluna5725</t>
  </si>
  <si>
    <t>Coluna5726</t>
  </si>
  <si>
    <t>Coluna5727</t>
  </si>
  <si>
    <t>Coluna5728</t>
  </si>
  <si>
    <t>Coluna5729</t>
  </si>
  <si>
    <t>Coluna5730</t>
  </si>
  <si>
    <t>Coluna5731</t>
  </si>
  <si>
    <t>Coluna5732</t>
  </si>
  <si>
    <t>Coluna5733</t>
  </si>
  <si>
    <t>Coluna5734</t>
  </si>
  <si>
    <t>Coluna5735</t>
  </si>
  <si>
    <t>Coluna5736</t>
  </si>
  <si>
    <t>Coluna5737</t>
  </si>
  <si>
    <t>Coluna5738</t>
  </si>
  <si>
    <t>Coluna5739</t>
  </si>
  <si>
    <t>Coluna5740</t>
  </si>
  <si>
    <t>Coluna5741</t>
  </si>
  <si>
    <t>Coluna5742</t>
  </si>
  <si>
    <t>Coluna5743</t>
  </si>
  <si>
    <t>Coluna5744</t>
  </si>
  <si>
    <t>Coluna5745</t>
  </si>
  <si>
    <t>Coluna5746</t>
  </si>
  <si>
    <t>Coluna5747</t>
  </si>
  <si>
    <t>Coluna5748</t>
  </si>
  <si>
    <t>Coluna5749</t>
  </si>
  <si>
    <t>Coluna5750</t>
  </si>
  <si>
    <t>Coluna5751</t>
  </si>
  <si>
    <t>Coluna5752</t>
  </si>
  <si>
    <t>Coluna5753</t>
  </si>
  <si>
    <t>Coluna5754</t>
  </si>
  <si>
    <t>Coluna5755</t>
  </si>
  <si>
    <t>Coluna5756</t>
  </si>
  <si>
    <t>Coluna5757</t>
  </si>
  <si>
    <t>Coluna5758</t>
  </si>
  <si>
    <t>Coluna5759</t>
  </si>
  <si>
    <t>Coluna5760</t>
  </si>
  <si>
    <t>Coluna5761</t>
  </si>
  <si>
    <t>Coluna5762</t>
  </si>
  <si>
    <t>Coluna5763</t>
  </si>
  <si>
    <t>Coluna5764</t>
  </si>
  <si>
    <t>Coluna5765</t>
  </si>
  <si>
    <t>Coluna5766</t>
  </si>
  <si>
    <t>Coluna5767</t>
  </si>
  <si>
    <t>Coluna5768</t>
  </si>
  <si>
    <t>Coluna5769</t>
  </si>
  <si>
    <t>Coluna5770</t>
  </si>
  <si>
    <t>Coluna5771</t>
  </si>
  <si>
    <t>Coluna5772</t>
  </si>
  <si>
    <t>Coluna5773</t>
  </si>
  <si>
    <t>Coluna5774</t>
  </si>
  <si>
    <t>Coluna5775</t>
  </si>
  <si>
    <t>Coluna5776</t>
  </si>
  <si>
    <t>Coluna5777</t>
  </si>
  <si>
    <t>Coluna5778</t>
  </si>
  <si>
    <t>Coluna5779</t>
  </si>
  <si>
    <t>Coluna5780</t>
  </si>
  <si>
    <t>Coluna5781</t>
  </si>
  <si>
    <t>Coluna5782</t>
  </si>
  <si>
    <t>Coluna5783</t>
  </si>
  <si>
    <t>Coluna5784</t>
  </si>
  <si>
    <t>Coluna5785</t>
  </si>
  <si>
    <t>Coluna5786</t>
  </si>
  <si>
    <t>Coluna5787</t>
  </si>
  <si>
    <t>Coluna5788</t>
  </si>
  <si>
    <t>Coluna5789</t>
  </si>
  <si>
    <t>Coluna5790</t>
  </si>
  <si>
    <t>Coluna5791</t>
  </si>
  <si>
    <t>Coluna5792</t>
  </si>
  <si>
    <t>Coluna5793</t>
  </si>
  <si>
    <t>Coluna5794</t>
  </si>
  <si>
    <t>Coluna5795</t>
  </si>
  <si>
    <t>Coluna5796</t>
  </si>
  <si>
    <t>Coluna5797</t>
  </si>
  <si>
    <t>Coluna5798</t>
  </si>
  <si>
    <t>Coluna5799</t>
  </si>
  <si>
    <t>Coluna5800</t>
  </si>
  <si>
    <t>Coluna5801</t>
  </si>
  <si>
    <t>Coluna5802</t>
  </si>
  <si>
    <t>Coluna5803</t>
  </si>
  <si>
    <t>Coluna5804</t>
  </si>
  <si>
    <t>Coluna5805</t>
  </si>
  <si>
    <t>Coluna5806</t>
  </si>
  <si>
    <t>Coluna5807</t>
  </si>
  <si>
    <t>Coluna5808</t>
  </si>
  <si>
    <t>Coluna5809</t>
  </si>
  <si>
    <t>Coluna5810</t>
  </si>
  <si>
    <t>Coluna5811</t>
  </si>
  <si>
    <t>Coluna5812</t>
  </si>
  <si>
    <t>Coluna5813</t>
  </si>
  <si>
    <t>Coluna5814</t>
  </si>
  <si>
    <t>Coluna5815</t>
  </si>
  <si>
    <t>Coluna5816</t>
  </si>
  <si>
    <t>Coluna5817</t>
  </si>
  <si>
    <t>Coluna5818</t>
  </si>
  <si>
    <t>Coluna5819</t>
  </si>
  <si>
    <t>Coluna5820</t>
  </si>
  <si>
    <t>Coluna5821</t>
  </si>
  <si>
    <t>Coluna5822</t>
  </si>
  <si>
    <t>Coluna5823</t>
  </si>
  <si>
    <t>Coluna5824</t>
  </si>
  <si>
    <t>Coluna5825</t>
  </si>
  <si>
    <t>Coluna5826</t>
  </si>
  <si>
    <t>Coluna5827</t>
  </si>
  <si>
    <t>Coluna5828</t>
  </si>
  <si>
    <t>Coluna5829</t>
  </si>
  <si>
    <t>Coluna5830</t>
  </si>
  <si>
    <t>Coluna5831</t>
  </si>
  <si>
    <t>Coluna5832</t>
  </si>
  <si>
    <t>Coluna5833</t>
  </si>
  <si>
    <t>Coluna5834</t>
  </si>
  <si>
    <t>Coluna5835</t>
  </si>
  <si>
    <t>Coluna5836</t>
  </si>
  <si>
    <t>Coluna5837</t>
  </si>
  <si>
    <t>Coluna5838</t>
  </si>
  <si>
    <t>Coluna5839</t>
  </si>
  <si>
    <t>Coluna5840</t>
  </si>
  <si>
    <t>Coluna5841</t>
  </si>
  <si>
    <t>Coluna5842</t>
  </si>
  <si>
    <t>Coluna5843</t>
  </si>
  <si>
    <t>Coluna5844</t>
  </si>
  <si>
    <t>Coluna5845</t>
  </si>
  <si>
    <t>Coluna5846</t>
  </si>
  <si>
    <t>Coluna5847</t>
  </si>
  <si>
    <t>Coluna5848</t>
  </si>
  <si>
    <t>Coluna5849</t>
  </si>
  <si>
    <t>Coluna5850</t>
  </si>
  <si>
    <t>Coluna5851</t>
  </si>
  <si>
    <t>Coluna5852</t>
  </si>
  <si>
    <t>Coluna5853</t>
  </si>
  <si>
    <t>Coluna5854</t>
  </si>
  <si>
    <t>Coluna5855</t>
  </si>
  <si>
    <t>Coluna5856</t>
  </si>
  <si>
    <t>Coluna5857</t>
  </si>
  <si>
    <t>Coluna5858</t>
  </si>
  <si>
    <t>Coluna5859</t>
  </si>
  <si>
    <t>Coluna5860</t>
  </si>
  <si>
    <t>Coluna5861</t>
  </si>
  <si>
    <t>Coluna5862</t>
  </si>
  <si>
    <t>Coluna5863</t>
  </si>
  <si>
    <t>Coluna5864</t>
  </si>
  <si>
    <t>Coluna5865</t>
  </si>
  <si>
    <t>Coluna5866</t>
  </si>
  <si>
    <t>Coluna5867</t>
  </si>
  <si>
    <t>Coluna5868</t>
  </si>
  <si>
    <t>Coluna5869</t>
  </si>
  <si>
    <t>Coluna5870</t>
  </si>
  <si>
    <t>Coluna5871</t>
  </si>
  <si>
    <t>Coluna5872</t>
  </si>
  <si>
    <t>Coluna5873</t>
  </si>
  <si>
    <t>Coluna5874</t>
  </si>
  <si>
    <t>Coluna5875</t>
  </si>
  <si>
    <t>Coluna5876</t>
  </si>
  <si>
    <t>Coluna5877</t>
  </si>
  <si>
    <t>Coluna5878</t>
  </si>
  <si>
    <t>Coluna5879</t>
  </si>
  <si>
    <t>Coluna5880</t>
  </si>
  <si>
    <t>Coluna5881</t>
  </si>
  <si>
    <t>Coluna5882</t>
  </si>
  <si>
    <t>Coluna5883</t>
  </si>
  <si>
    <t>Coluna5884</t>
  </si>
  <si>
    <t>Coluna5885</t>
  </si>
  <si>
    <t>Coluna5886</t>
  </si>
  <si>
    <t>Coluna5887</t>
  </si>
  <si>
    <t>Coluna5888</t>
  </si>
  <si>
    <t>Coluna5889</t>
  </si>
  <si>
    <t>Coluna5890</t>
  </si>
  <si>
    <t>Coluna5891</t>
  </si>
  <si>
    <t>Coluna5892</t>
  </si>
  <si>
    <t>Coluna5893</t>
  </si>
  <si>
    <t>Coluna5894</t>
  </si>
  <si>
    <t>Coluna5895</t>
  </si>
  <si>
    <t>Coluna5896</t>
  </si>
  <si>
    <t>Coluna5897</t>
  </si>
  <si>
    <t>Coluna5898</t>
  </si>
  <si>
    <t>Coluna5899</t>
  </si>
  <si>
    <t>Coluna5900</t>
  </si>
  <si>
    <t>Coluna5901</t>
  </si>
  <si>
    <t>Coluna5902</t>
  </si>
  <si>
    <t>Coluna5903</t>
  </si>
  <si>
    <t>Coluna5904</t>
  </si>
  <si>
    <t>Coluna5905</t>
  </si>
  <si>
    <t>Coluna5906</t>
  </si>
  <si>
    <t>Coluna5907</t>
  </si>
  <si>
    <t>Coluna5908</t>
  </si>
  <si>
    <t>Coluna5909</t>
  </si>
  <si>
    <t>Coluna5910</t>
  </si>
  <si>
    <t>Coluna5911</t>
  </si>
  <si>
    <t>Coluna5912</t>
  </si>
  <si>
    <t>Coluna5913</t>
  </si>
  <si>
    <t>Coluna5914</t>
  </si>
  <si>
    <t>Coluna5915</t>
  </si>
  <si>
    <t>Coluna5916</t>
  </si>
  <si>
    <t>Coluna5917</t>
  </si>
  <si>
    <t>Coluna5918</t>
  </si>
  <si>
    <t>Coluna5919</t>
  </si>
  <si>
    <t>Coluna5920</t>
  </si>
  <si>
    <t>Coluna5921</t>
  </si>
  <si>
    <t>Coluna5922</t>
  </si>
  <si>
    <t>Coluna5923</t>
  </si>
  <si>
    <t>Coluna5924</t>
  </si>
  <si>
    <t>Coluna5925</t>
  </si>
  <si>
    <t>Coluna5926</t>
  </si>
  <si>
    <t>Coluna5927</t>
  </si>
  <si>
    <t>Coluna5928</t>
  </si>
  <si>
    <t>Coluna5929</t>
  </si>
  <si>
    <t>Coluna5930</t>
  </si>
  <si>
    <t>Coluna5931</t>
  </si>
  <si>
    <t>Coluna5932</t>
  </si>
  <si>
    <t>Coluna5933</t>
  </si>
  <si>
    <t>Coluna5934</t>
  </si>
  <si>
    <t>Coluna5935</t>
  </si>
  <si>
    <t>Coluna5936</t>
  </si>
  <si>
    <t>Coluna5937</t>
  </si>
  <si>
    <t>Coluna5938</t>
  </si>
  <si>
    <t>Coluna5939</t>
  </si>
  <si>
    <t>Coluna5940</t>
  </si>
  <si>
    <t>Coluna5941</t>
  </si>
  <si>
    <t>Coluna5942</t>
  </si>
  <si>
    <t>Coluna5943</t>
  </si>
  <si>
    <t>Coluna5944</t>
  </si>
  <si>
    <t>Coluna5945</t>
  </si>
  <si>
    <t>Coluna5946</t>
  </si>
  <si>
    <t>Coluna5947</t>
  </si>
  <si>
    <t>Coluna5948</t>
  </si>
  <si>
    <t>Coluna5949</t>
  </si>
  <si>
    <t>Coluna5950</t>
  </si>
  <si>
    <t>Coluna5951</t>
  </si>
  <si>
    <t>Coluna5952</t>
  </si>
  <si>
    <t>Coluna5953</t>
  </si>
  <si>
    <t>Coluna5954</t>
  </si>
  <si>
    <t>Coluna5955</t>
  </si>
  <si>
    <t>Coluna5956</t>
  </si>
  <si>
    <t>Coluna5957</t>
  </si>
  <si>
    <t>Coluna5958</t>
  </si>
  <si>
    <t>Coluna5959</t>
  </si>
  <si>
    <t>Coluna5960</t>
  </si>
  <si>
    <t>Coluna5961</t>
  </si>
  <si>
    <t>Coluna5962</t>
  </si>
  <si>
    <t>Coluna5963</t>
  </si>
  <si>
    <t>Coluna5964</t>
  </si>
  <si>
    <t>Coluna5965</t>
  </si>
  <si>
    <t>Coluna5966</t>
  </si>
  <si>
    <t>Coluna5967</t>
  </si>
  <si>
    <t>Coluna5968</t>
  </si>
  <si>
    <t>Coluna5969</t>
  </si>
  <si>
    <t>Coluna5970</t>
  </si>
  <si>
    <t>Coluna5971</t>
  </si>
  <si>
    <t>Coluna5972</t>
  </si>
  <si>
    <t>Coluna5973</t>
  </si>
  <si>
    <t>Coluna5974</t>
  </si>
  <si>
    <t>Coluna5975</t>
  </si>
  <si>
    <t>Coluna5976</t>
  </si>
  <si>
    <t>Coluna5977</t>
  </si>
  <si>
    <t>Coluna5978</t>
  </si>
  <si>
    <t>Coluna5979</t>
  </si>
  <si>
    <t>Coluna5980</t>
  </si>
  <si>
    <t>Coluna5981</t>
  </si>
  <si>
    <t>Coluna5982</t>
  </si>
  <si>
    <t>Coluna5983</t>
  </si>
  <si>
    <t>Coluna5984</t>
  </si>
  <si>
    <t>Coluna5985</t>
  </si>
  <si>
    <t>Coluna5986</t>
  </si>
  <si>
    <t>Coluna5987</t>
  </si>
  <si>
    <t>Coluna5988</t>
  </si>
  <si>
    <t>Coluna5989</t>
  </si>
  <si>
    <t>Coluna5990</t>
  </si>
  <si>
    <t>Coluna5991</t>
  </si>
  <si>
    <t>Coluna5992</t>
  </si>
  <si>
    <t>Coluna5993</t>
  </si>
  <si>
    <t>Coluna5994</t>
  </si>
  <si>
    <t>Coluna5995</t>
  </si>
  <si>
    <t>Coluna5996</t>
  </si>
  <si>
    <t>Coluna5997</t>
  </si>
  <si>
    <t>Coluna5998</t>
  </si>
  <si>
    <t>Coluna5999</t>
  </si>
  <si>
    <t>Coluna6000</t>
  </si>
  <si>
    <t>Coluna6001</t>
  </si>
  <si>
    <t>Coluna6002</t>
  </si>
  <si>
    <t>Coluna6003</t>
  </si>
  <si>
    <t>Coluna6004</t>
  </si>
  <si>
    <t>Coluna6005</t>
  </si>
  <si>
    <t>Coluna6006</t>
  </si>
  <si>
    <t>Coluna6007</t>
  </si>
  <si>
    <t>Coluna6008</t>
  </si>
  <si>
    <t>Coluna6009</t>
  </si>
  <si>
    <t>Coluna6010</t>
  </si>
  <si>
    <t>Coluna6011</t>
  </si>
  <si>
    <t>Coluna6012</t>
  </si>
  <si>
    <t>Coluna6013</t>
  </si>
  <si>
    <t>Coluna6014</t>
  </si>
  <si>
    <t>Coluna6015</t>
  </si>
  <si>
    <t>Coluna6016</t>
  </si>
  <si>
    <t>Coluna6017</t>
  </si>
  <si>
    <t>Coluna6018</t>
  </si>
  <si>
    <t>Coluna6019</t>
  </si>
  <si>
    <t>Coluna6020</t>
  </si>
  <si>
    <t>Coluna6021</t>
  </si>
  <si>
    <t>Coluna6022</t>
  </si>
  <si>
    <t>Coluna6023</t>
  </si>
  <si>
    <t>Coluna6024</t>
  </si>
  <si>
    <t>Coluna6025</t>
  </si>
  <si>
    <t>Coluna6026</t>
  </si>
  <si>
    <t>Coluna6027</t>
  </si>
  <si>
    <t>Coluna6028</t>
  </si>
  <si>
    <t>Coluna6029</t>
  </si>
  <si>
    <t>Coluna6030</t>
  </si>
  <si>
    <t>Coluna6031</t>
  </si>
  <si>
    <t>Coluna6032</t>
  </si>
  <si>
    <t>Coluna6033</t>
  </si>
  <si>
    <t>Coluna6034</t>
  </si>
  <si>
    <t>Coluna6035</t>
  </si>
  <si>
    <t>Coluna6036</t>
  </si>
  <si>
    <t>Coluna6037</t>
  </si>
  <si>
    <t>Coluna6038</t>
  </si>
  <si>
    <t>Coluna6039</t>
  </si>
  <si>
    <t>Coluna6040</t>
  </si>
  <si>
    <t>Coluna6041</t>
  </si>
  <si>
    <t>Coluna6042</t>
  </si>
  <si>
    <t>Coluna6043</t>
  </si>
  <si>
    <t>Coluna6044</t>
  </si>
  <si>
    <t>Coluna6045</t>
  </si>
  <si>
    <t>Coluna6046</t>
  </si>
  <si>
    <t>Coluna6047</t>
  </si>
  <si>
    <t>Coluna6048</t>
  </si>
  <si>
    <t>Coluna6049</t>
  </si>
  <si>
    <t>Coluna6050</t>
  </si>
  <si>
    <t>Coluna6051</t>
  </si>
  <si>
    <t>Coluna6052</t>
  </si>
  <si>
    <t>Coluna6053</t>
  </si>
  <si>
    <t>Coluna6054</t>
  </si>
  <si>
    <t>Coluna6055</t>
  </si>
  <si>
    <t>Coluna6056</t>
  </si>
  <si>
    <t>Coluna6057</t>
  </si>
  <si>
    <t>Coluna6058</t>
  </si>
  <si>
    <t>Coluna6059</t>
  </si>
  <si>
    <t>Coluna6060</t>
  </si>
  <si>
    <t>Coluna6061</t>
  </si>
  <si>
    <t>Coluna6062</t>
  </si>
  <si>
    <t>Coluna6063</t>
  </si>
  <si>
    <t>Coluna6064</t>
  </si>
  <si>
    <t>Coluna6065</t>
  </si>
  <si>
    <t>Coluna6066</t>
  </si>
  <si>
    <t>Coluna6067</t>
  </si>
  <si>
    <t>Coluna6068</t>
  </si>
  <si>
    <t>Coluna6069</t>
  </si>
  <si>
    <t>Coluna6070</t>
  </si>
  <si>
    <t>Coluna6071</t>
  </si>
  <si>
    <t>Coluna6072</t>
  </si>
  <si>
    <t>Coluna6073</t>
  </si>
  <si>
    <t>Coluna6074</t>
  </si>
  <si>
    <t>Coluna6075</t>
  </si>
  <si>
    <t>Coluna6076</t>
  </si>
  <si>
    <t>Coluna6077</t>
  </si>
  <si>
    <t>Coluna6078</t>
  </si>
  <si>
    <t>Coluna6079</t>
  </si>
  <si>
    <t>Coluna6080</t>
  </si>
  <si>
    <t>Coluna6081</t>
  </si>
  <si>
    <t>Coluna6082</t>
  </si>
  <si>
    <t>Coluna6083</t>
  </si>
  <si>
    <t>Coluna6084</t>
  </si>
  <si>
    <t>Coluna6085</t>
  </si>
  <si>
    <t>Coluna6086</t>
  </si>
  <si>
    <t>Coluna6087</t>
  </si>
  <si>
    <t>Coluna6088</t>
  </si>
  <si>
    <t>Coluna6089</t>
  </si>
  <si>
    <t>Coluna6090</t>
  </si>
  <si>
    <t>Coluna6091</t>
  </si>
  <si>
    <t>Coluna6092</t>
  </si>
  <si>
    <t>Coluna6093</t>
  </si>
  <si>
    <t>Coluna6094</t>
  </si>
  <si>
    <t>Coluna6095</t>
  </si>
  <si>
    <t>Coluna6096</t>
  </si>
  <si>
    <t>Coluna6097</t>
  </si>
  <si>
    <t>Coluna6098</t>
  </si>
  <si>
    <t>Coluna6099</t>
  </si>
  <si>
    <t>Coluna6100</t>
  </si>
  <si>
    <t>Coluna6101</t>
  </si>
  <si>
    <t>Coluna6102</t>
  </si>
  <si>
    <t>Coluna6103</t>
  </si>
  <si>
    <t>Coluna6104</t>
  </si>
  <si>
    <t>Coluna6105</t>
  </si>
  <si>
    <t>Coluna6106</t>
  </si>
  <si>
    <t>Coluna6107</t>
  </si>
  <si>
    <t>Coluna6108</t>
  </si>
  <si>
    <t>Coluna6109</t>
  </si>
  <si>
    <t>Coluna6110</t>
  </si>
  <si>
    <t>Coluna6111</t>
  </si>
  <si>
    <t>Coluna6112</t>
  </si>
  <si>
    <t>Coluna6113</t>
  </si>
  <si>
    <t>Coluna6114</t>
  </si>
  <si>
    <t>Coluna6115</t>
  </si>
  <si>
    <t>Coluna6116</t>
  </si>
  <si>
    <t>Coluna6117</t>
  </si>
  <si>
    <t>Coluna6118</t>
  </si>
  <si>
    <t>Coluna6119</t>
  </si>
  <si>
    <t>Coluna6120</t>
  </si>
  <si>
    <t>Coluna6121</t>
  </si>
  <si>
    <t>Coluna6122</t>
  </si>
  <si>
    <t>Coluna6123</t>
  </si>
  <si>
    <t>Coluna6124</t>
  </si>
  <si>
    <t>Coluna6125</t>
  </si>
  <si>
    <t>Coluna6126</t>
  </si>
  <si>
    <t>Coluna6127</t>
  </si>
  <si>
    <t>Coluna6128</t>
  </si>
  <si>
    <t>Coluna6129</t>
  </si>
  <si>
    <t>Coluna6130</t>
  </si>
  <si>
    <t>Coluna6131</t>
  </si>
  <si>
    <t>Coluna6132</t>
  </si>
  <si>
    <t>Coluna6133</t>
  </si>
  <si>
    <t>Coluna6134</t>
  </si>
  <si>
    <t>Coluna6135</t>
  </si>
  <si>
    <t>Coluna6136</t>
  </si>
  <si>
    <t>Coluna6137</t>
  </si>
  <si>
    <t>Coluna6138</t>
  </si>
  <si>
    <t>Coluna6139</t>
  </si>
  <si>
    <t>Coluna6140</t>
  </si>
  <si>
    <t>Coluna6141</t>
  </si>
  <si>
    <t>Coluna6142</t>
  </si>
  <si>
    <t>Coluna6143</t>
  </si>
  <si>
    <t>Coluna6144</t>
  </si>
  <si>
    <t>Coluna6145</t>
  </si>
  <si>
    <t>Coluna6146</t>
  </si>
  <si>
    <t>Coluna6147</t>
  </si>
  <si>
    <t>Coluna6148</t>
  </si>
  <si>
    <t>Coluna6149</t>
  </si>
  <si>
    <t>Coluna6150</t>
  </si>
  <si>
    <t>Coluna6151</t>
  </si>
  <si>
    <t>Coluna6152</t>
  </si>
  <si>
    <t>Coluna6153</t>
  </si>
  <si>
    <t>Coluna6154</t>
  </si>
  <si>
    <t>Coluna6155</t>
  </si>
  <si>
    <t>Coluna6156</t>
  </si>
  <si>
    <t>Coluna6157</t>
  </si>
  <si>
    <t>Coluna6158</t>
  </si>
  <si>
    <t>Coluna6159</t>
  </si>
  <si>
    <t>Coluna6160</t>
  </si>
  <si>
    <t>Coluna6161</t>
  </si>
  <si>
    <t>Coluna6162</t>
  </si>
  <si>
    <t>Coluna6163</t>
  </si>
  <si>
    <t>Coluna6164</t>
  </si>
  <si>
    <t>Coluna6165</t>
  </si>
  <si>
    <t>Coluna6166</t>
  </si>
  <si>
    <t>Coluna6167</t>
  </si>
  <si>
    <t>Coluna6168</t>
  </si>
  <si>
    <t>Coluna6169</t>
  </si>
  <si>
    <t>Coluna6170</t>
  </si>
  <si>
    <t>Coluna6171</t>
  </si>
  <si>
    <t>Coluna6172</t>
  </si>
  <si>
    <t>Coluna6173</t>
  </si>
  <si>
    <t>Coluna6174</t>
  </si>
  <si>
    <t>Coluna6175</t>
  </si>
  <si>
    <t>Coluna6176</t>
  </si>
  <si>
    <t>Coluna6177</t>
  </si>
  <si>
    <t>Coluna6178</t>
  </si>
  <si>
    <t>Coluna6179</t>
  </si>
  <si>
    <t>Coluna6180</t>
  </si>
  <si>
    <t>Coluna6181</t>
  </si>
  <si>
    <t>Coluna6182</t>
  </si>
  <si>
    <t>Coluna6183</t>
  </si>
  <si>
    <t>Coluna6184</t>
  </si>
  <si>
    <t>Coluna6185</t>
  </si>
  <si>
    <t>Coluna6186</t>
  </si>
  <si>
    <t>Coluna6187</t>
  </si>
  <si>
    <t>Coluna6188</t>
  </si>
  <si>
    <t>Coluna6189</t>
  </si>
  <si>
    <t>Coluna6190</t>
  </si>
  <si>
    <t>Coluna6191</t>
  </si>
  <si>
    <t>Coluna6192</t>
  </si>
  <si>
    <t>Coluna6193</t>
  </si>
  <si>
    <t>Coluna6194</t>
  </si>
  <si>
    <t>Coluna6195</t>
  </si>
  <si>
    <t>Coluna6196</t>
  </si>
  <si>
    <t>Coluna6197</t>
  </si>
  <si>
    <t>Coluna6198</t>
  </si>
  <si>
    <t>Coluna6199</t>
  </si>
  <si>
    <t>Coluna6200</t>
  </si>
  <si>
    <t>Coluna6201</t>
  </si>
  <si>
    <t>Coluna6202</t>
  </si>
  <si>
    <t>Coluna6203</t>
  </si>
  <si>
    <t>Coluna6204</t>
  </si>
  <si>
    <t>Coluna6205</t>
  </si>
  <si>
    <t>Coluna6206</t>
  </si>
  <si>
    <t>Coluna6207</t>
  </si>
  <si>
    <t>Coluna6208</t>
  </si>
  <si>
    <t>Coluna6209</t>
  </si>
  <si>
    <t>Coluna6210</t>
  </si>
  <si>
    <t>Coluna6211</t>
  </si>
  <si>
    <t>Coluna6212</t>
  </si>
  <si>
    <t>Coluna6213</t>
  </si>
  <si>
    <t>Coluna6214</t>
  </si>
  <si>
    <t>Coluna6215</t>
  </si>
  <si>
    <t>Coluna6216</t>
  </si>
  <si>
    <t>Coluna6217</t>
  </si>
  <si>
    <t>Coluna6218</t>
  </si>
  <si>
    <t>Coluna6219</t>
  </si>
  <si>
    <t>Coluna6220</t>
  </si>
  <si>
    <t>Coluna6221</t>
  </si>
  <si>
    <t>Coluna6222</t>
  </si>
  <si>
    <t>Coluna6223</t>
  </si>
  <si>
    <t>Coluna6224</t>
  </si>
  <si>
    <t>Coluna6225</t>
  </si>
  <si>
    <t>Coluna6226</t>
  </si>
  <si>
    <t>Coluna6227</t>
  </si>
  <si>
    <t>Coluna6228</t>
  </si>
  <si>
    <t>Coluna6229</t>
  </si>
  <si>
    <t>Coluna6230</t>
  </si>
  <si>
    <t>Coluna6231</t>
  </si>
  <si>
    <t>Coluna6232</t>
  </si>
  <si>
    <t>Coluna6233</t>
  </si>
  <si>
    <t>Coluna6234</t>
  </si>
  <si>
    <t>Coluna6235</t>
  </si>
  <si>
    <t>Coluna6236</t>
  </si>
  <si>
    <t>Coluna6237</t>
  </si>
  <si>
    <t>Coluna6238</t>
  </si>
  <si>
    <t>Coluna6239</t>
  </si>
  <si>
    <t>Coluna6240</t>
  </si>
  <si>
    <t>Coluna6241</t>
  </si>
  <si>
    <t>Coluna6242</t>
  </si>
  <si>
    <t>Coluna6243</t>
  </si>
  <si>
    <t>Coluna6244</t>
  </si>
  <si>
    <t>Coluna6245</t>
  </si>
  <si>
    <t>Coluna6246</t>
  </si>
  <si>
    <t>Coluna6247</t>
  </si>
  <si>
    <t>Coluna6248</t>
  </si>
  <si>
    <t>Coluna6249</t>
  </si>
  <si>
    <t>Coluna6250</t>
  </si>
  <si>
    <t>Coluna6251</t>
  </si>
  <si>
    <t>Coluna6252</t>
  </si>
  <si>
    <t>Coluna6253</t>
  </si>
  <si>
    <t>Coluna6254</t>
  </si>
  <si>
    <t>Coluna6255</t>
  </si>
  <si>
    <t>Coluna6256</t>
  </si>
  <si>
    <t>Coluna6257</t>
  </si>
  <si>
    <t>Coluna6258</t>
  </si>
  <si>
    <t>Coluna6259</t>
  </si>
  <si>
    <t>Coluna6260</t>
  </si>
  <si>
    <t>Coluna6261</t>
  </si>
  <si>
    <t>Coluna6262</t>
  </si>
  <si>
    <t>Coluna6263</t>
  </si>
  <si>
    <t>Coluna6264</t>
  </si>
  <si>
    <t>Coluna6265</t>
  </si>
  <si>
    <t>Coluna6266</t>
  </si>
  <si>
    <t>Coluna6267</t>
  </si>
  <si>
    <t>Coluna6268</t>
  </si>
  <si>
    <t>Coluna6269</t>
  </si>
  <si>
    <t>Coluna6270</t>
  </si>
  <si>
    <t>Coluna6271</t>
  </si>
  <si>
    <t>Coluna6272</t>
  </si>
  <si>
    <t>Coluna6273</t>
  </si>
  <si>
    <t>Coluna6274</t>
  </si>
  <si>
    <t>Coluna6275</t>
  </si>
  <si>
    <t>Coluna6276</t>
  </si>
  <si>
    <t>Coluna6277</t>
  </si>
  <si>
    <t>Coluna6278</t>
  </si>
  <si>
    <t>Coluna6279</t>
  </si>
  <si>
    <t>Coluna6280</t>
  </si>
  <si>
    <t>Coluna6281</t>
  </si>
  <si>
    <t>Coluna6282</t>
  </si>
  <si>
    <t>Coluna6283</t>
  </si>
  <si>
    <t>Coluna6284</t>
  </si>
  <si>
    <t>Coluna6285</t>
  </si>
  <si>
    <t>Coluna6286</t>
  </si>
  <si>
    <t>Coluna6287</t>
  </si>
  <si>
    <t>Coluna6288</t>
  </si>
  <si>
    <t>Coluna6289</t>
  </si>
  <si>
    <t>Coluna6290</t>
  </si>
  <si>
    <t>Coluna6291</t>
  </si>
  <si>
    <t>Coluna6292</t>
  </si>
  <si>
    <t>Coluna6293</t>
  </si>
  <si>
    <t>Coluna6294</t>
  </si>
  <si>
    <t>Coluna6295</t>
  </si>
  <si>
    <t>Coluna6296</t>
  </si>
  <si>
    <t>Coluna6297</t>
  </si>
  <si>
    <t>Coluna6298</t>
  </si>
  <si>
    <t>Coluna6299</t>
  </si>
  <si>
    <t>Coluna6300</t>
  </si>
  <si>
    <t>Coluna6301</t>
  </si>
  <si>
    <t>Coluna6302</t>
  </si>
  <si>
    <t>Coluna6303</t>
  </si>
  <si>
    <t>Coluna6304</t>
  </si>
  <si>
    <t>Coluna6305</t>
  </si>
  <si>
    <t>Coluna6306</t>
  </si>
  <si>
    <t>Coluna6307</t>
  </si>
  <si>
    <t>Coluna6308</t>
  </si>
  <si>
    <t>Coluna6309</t>
  </si>
  <si>
    <t>Coluna6310</t>
  </si>
  <si>
    <t>Coluna6311</t>
  </si>
  <si>
    <t>Coluna6312</t>
  </si>
  <si>
    <t>Coluna6313</t>
  </si>
  <si>
    <t>Coluna6314</t>
  </si>
  <si>
    <t>Coluna6315</t>
  </si>
  <si>
    <t>Coluna6316</t>
  </si>
  <si>
    <t>Coluna6317</t>
  </si>
  <si>
    <t>Coluna6318</t>
  </si>
  <si>
    <t>Coluna6319</t>
  </si>
  <si>
    <t>Coluna6320</t>
  </si>
  <si>
    <t>Coluna6321</t>
  </si>
  <si>
    <t>Coluna6322</t>
  </si>
  <si>
    <t>Coluna6323</t>
  </si>
  <si>
    <t>Coluna6324</t>
  </si>
  <si>
    <t>Coluna6325</t>
  </si>
  <si>
    <t>Coluna6326</t>
  </si>
  <si>
    <t>Coluna6327</t>
  </si>
  <si>
    <t>Coluna6328</t>
  </si>
  <si>
    <t>Coluna6329</t>
  </si>
  <si>
    <t>Coluna6330</t>
  </si>
  <si>
    <t>Coluna6331</t>
  </si>
  <si>
    <t>Coluna6332</t>
  </si>
  <si>
    <t>Coluna6333</t>
  </si>
  <si>
    <t>Coluna6334</t>
  </si>
  <si>
    <t>Coluna6335</t>
  </si>
  <si>
    <t>Coluna6336</t>
  </si>
  <si>
    <t>Coluna6337</t>
  </si>
  <si>
    <t>Coluna6338</t>
  </si>
  <si>
    <t>Coluna6339</t>
  </si>
  <si>
    <t>Coluna6340</t>
  </si>
  <si>
    <t>Coluna6341</t>
  </si>
  <si>
    <t>Coluna6342</t>
  </si>
  <si>
    <t>Coluna6343</t>
  </si>
  <si>
    <t>Coluna6344</t>
  </si>
  <si>
    <t>Coluna6345</t>
  </si>
  <si>
    <t>Coluna6346</t>
  </si>
  <si>
    <t>Coluna6347</t>
  </si>
  <si>
    <t>Coluna6348</t>
  </si>
  <si>
    <t>Coluna6349</t>
  </si>
  <si>
    <t>Coluna6350</t>
  </si>
  <si>
    <t>Coluna6351</t>
  </si>
  <si>
    <t>Coluna6352</t>
  </si>
  <si>
    <t>Coluna6353</t>
  </si>
  <si>
    <t>Coluna6354</t>
  </si>
  <si>
    <t>Coluna6355</t>
  </si>
  <si>
    <t>Coluna6356</t>
  </si>
  <si>
    <t>Coluna6357</t>
  </si>
  <si>
    <t>Coluna6358</t>
  </si>
  <si>
    <t>Coluna6359</t>
  </si>
  <si>
    <t>Coluna6360</t>
  </si>
  <si>
    <t>Coluna6361</t>
  </si>
  <si>
    <t>Coluna6362</t>
  </si>
  <si>
    <t>Coluna6363</t>
  </si>
  <si>
    <t>Coluna6364</t>
  </si>
  <si>
    <t>Coluna6365</t>
  </si>
  <si>
    <t>Coluna6366</t>
  </si>
  <si>
    <t>Coluna6367</t>
  </si>
  <si>
    <t>Coluna6368</t>
  </si>
  <si>
    <t>Coluna6369</t>
  </si>
  <si>
    <t>Coluna6370</t>
  </si>
  <si>
    <t>Coluna6371</t>
  </si>
  <si>
    <t>Coluna6372</t>
  </si>
  <si>
    <t>Coluna6373</t>
  </si>
  <si>
    <t>Coluna6374</t>
  </si>
  <si>
    <t>Coluna6375</t>
  </si>
  <si>
    <t>Coluna6376</t>
  </si>
  <si>
    <t>Coluna6377</t>
  </si>
  <si>
    <t>Coluna6378</t>
  </si>
  <si>
    <t>Coluna6379</t>
  </si>
  <si>
    <t>Coluna6380</t>
  </si>
  <si>
    <t>Coluna6381</t>
  </si>
  <si>
    <t>Coluna6382</t>
  </si>
  <si>
    <t>Coluna6383</t>
  </si>
  <si>
    <t>Coluna6384</t>
  </si>
  <si>
    <t>Coluna6385</t>
  </si>
  <si>
    <t>Coluna6386</t>
  </si>
  <si>
    <t>Coluna6387</t>
  </si>
  <si>
    <t>Coluna6388</t>
  </si>
  <si>
    <t>Coluna6389</t>
  </si>
  <si>
    <t>Coluna6390</t>
  </si>
  <si>
    <t>Coluna6391</t>
  </si>
  <si>
    <t>Coluna6392</t>
  </si>
  <si>
    <t>Coluna6393</t>
  </si>
  <si>
    <t>Coluna6394</t>
  </si>
  <si>
    <t>Coluna6395</t>
  </si>
  <si>
    <t>Coluna6396</t>
  </si>
  <si>
    <t>Coluna6397</t>
  </si>
  <si>
    <t>Coluna6398</t>
  </si>
  <si>
    <t>Coluna6399</t>
  </si>
  <si>
    <t>Coluna6400</t>
  </si>
  <si>
    <t>Coluna6401</t>
  </si>
  <si>
    <t>Coluna6402</t>
  </si>
  <si>
    <t>Coluna6403</t>
  </si>
  <si>
    <t>Coluna6404</t>
  </si>
  <si>
    <t>Coluna6405</t>
  </si>
  <si>
    <t>Coluna6406</t>
  </si>
  <si>
    <t>Coluna6407</t>
  </si>
  <si>
    <t>Coluna6408</t>
  </si>
  <si>
    <t>Coluna6409</t>
  </si>
  <si>
    <t>Coluna6410</t>
  </si>
  <si>
    <t>Coluna6411</t>
  </si>
  <si>
    <t>Coluna6412</t>
  </si>
  <si>
    <t>Coluna6413</t>
  </si>
  <si>
    <t>Coluna6414</t>
  </si>
  <si>
    <t>Coluna6415</t>
  </si>
  <si>
    <t>Coluna6416</t>
  </si>
  <si>
    <t>Coluna6417</t>
  </si>
  <si>
    <t>Coluna6418</t>
  </si>
  <si>
    <t>Coluna6419</t>
  </si>
  <si>
    <t>Coluna6420</t>
  </si>
  <si>
    <t>Coluna6421</t>
  </si>
  <si>
    <t>Coluna6422</t>
  </si>
  <si>
    <t>Coluna6423</t>
  </si>
  <si>
    <t>Coluna6424</t>
  </si>
  <si>
    <t>Coluna6425</t>
  </si>
  <si>
    <t>Coluna6426</t>
  </si>
  <si>
    <t>Coluna6427</t>
  </si>
  <si>
    <t>Coluna6428</t>
  </si>
  <si>
    <t>Coluna6429</t>
  </si>
  <si>
    <t>Coluna6430</t>
  </si>
  <si>
    <t>Coluna6431</t>
  </si>
  <si>
    <t>Coluna6432</t>
  </si>
  <si>
    <t>Coluna6433</t>
  </si>
  <si>
    <t>Coluna6434</t>
  </si>
  <si>
    <t>Coluna6435</t>
  </si>
  <si>
    <t>Coluna6436</t>
  </si>
  <si>
    <t>Coluna6437</t>
  </si>
  <si>
    <t>Coluna6438</t>
  </si>
  <si>
    <t>Coluna6439</t>
  </si>
  <si>
    <t>Coluna6440</t>
  </si>
  <si>
    <t>Coluna6441</t>
  </si>
  <si>
    <t>Coluna6442</t>
  </si>
  <si>
    <t>Coluna6443</t>
  </si>
  <si>
    <t>Coluna6444</t>
  </si>
  <si>
    <t>Coluna6445</t>
  </si>
  <si>
    <t>Coluna6446</t>
  </si>
  <si>
    <t>Coluna6447</t>
  </si>
  <si>
    <t>Coluna6448</t>
  </si>
  <si>
    <t>Coluna6449</t>
  </si>
  <si>
    <t>Coluna6450</t>
  </si>
  <si>
    <t>Coluna6451</t>
  </si>
  <si>
    <t>Coluna6452</t>
  </si>
  <si>
    <t>Coluna6453</t>
  </si>
  <si>
    <t>Coluna6454</t>
  </si>
  <si>
    <t>Coluna6455</t>
  </si>
  <si>
    <t>Coluna6456</t>
  </si>
  <si>
    <t>Coluna6457</t>
  </si>
  <si>
    <t>Coluna6458</t>
  </si>
  <si>
    <t>Coluna6459</t>
  </si>
  <si>
    <t>Coluna6460</t>
  </si>
  <si>
    <t>Coluna6461</t>
  </si>
  <si>
    <t>Coluna6462</t>
  </si>
  <si>
    <t>Coluna6463</t>
  </si>
  <si>
    <t>Coluna6464</t>
  </si>
  <si>
    <t>Coluna6465</t>
  </si>
  <si>
    <t>Coluna6466</t>
  </si>
  <si>
    <t>Coluna6467</t>
  </si>
  <si>
    <t>Coluna6468</t>
  </si>
  <si>
    <t>Coluna6469</t>
  </si>
  <si>
    <t>Coluna6470</t>
  </si>
  <si>
    <t>Coluna6471</t>
  </si>
  <si>
    <t>Coluna6472</t>
  </si>
  <si>
    <t>Coluna6473</t>
  </si>
  <si>
    <t>Coluna6474</t>
  </si>
  <si>
    <t>Coluna6475</t>
  </si>
  <si>
    <t>Coluna6476</t>
  </si>
  <si>
    <t>Coluna6477</t>
  </si>
  <si>
    <t>Coluna6478</t>
  </si>
  <si>
    <t>Coluna6479</t>
  </si>
  <si>
    <t>Coluna6480</t>
  </si>
  <si>
    <t>Coluna6481</t>
  </si>
  <si>
    <t>Coluna6482</t>
  </si>
  <si>
    <t>Coluna6483</t>
  </si>
  <si>
    <t>Coluna6484</t>
  </si>
  <si>
    <t>Coluna6485</t>
  </si>
  <si>
    <t>Coluna6486</t>
  </si>
  <si>
    <t>Coluna6487</t>
  </si>
  <si>
    <t>Coluna6488</t>
  </si>
  <si>
    <t>Coluna6489</t>
  </si>
  <si>
    <t>Coluna6490</t>
  </si>
  <si>
    <t>Coluna6491</t>
  </si>
  <si>
    <t>Coluna6492</t>
  </si>
  <si>
    <t>Coluna6493</t>
  </si>
  <si>
    <t>Coluna6494</t>
  </si>
  <si>
    <t>Coluna6495</t>
  </si>
  <si>
    <t>Coluna6496</t>
  </si>
  <si>
    <t>Coluna6497</t>
  </si>
  <si>
    <t>Coluna6498</t>
  </si>
  <si>
    <t>Coluna6499</t>
  </si>
  <si>
    <t>Coluna6500</t>
  </si>
  <si>
    <t>Coluna6501</t>
  </si>
  <si>
    <t>Coluna6502</t>
  </si>
  <si>
    <t>Coluna6503</t>
  </si>
  <si>
    <t>Coluna6504</t>
  </si>
  <si>
    <t>Coluna6505</t>
  </si>
  <si>
    <t>Coluna6506</t>
  </si>
  <si>
    <t>Coluna6507</t>
  </si>
  <si>
    <t>Coluna6508</t>
  </si>
  <si>
    <t>Coluna6509</t>
  </si>
  <si>
    <t>Coluna6510</t>
  </si>
  <si>
    <t>Coluna6511</t>
  </si>
  <si>
    <t>Coluna6512</t>
  </si>
  <si>
    <t>Coluna6513</t>
  </si>
  <si>
    <t>Coluna6514</t>
  </si>
  <si>
    <t>Coluna6515</t>
  </si>
  <si>
    <t>Coluna6516</t>
  </si>
  <si>
    <t>Coluna6517</t>
  </si>
  <si>
    <t>Coluna6518</t>
  </si>
  <si>
    <t>Coluna6519</t>
  </si>
  <si>
    <t>Coluna6520</t>
  </si>
  <si>
    <t>Coluna6521</t>
  </si>
  <si>
    <t>Coluna6522</t>
  </si>
  <si>
    <t>Coluna6523</t>
  </si>
  <si>
    <t>Coluna6524</t>
  </si>
  <si>
    <t>Coluna6525</t>
  </si>
  <si>
    <t>Coluna6526</t>
  </si>
  <si>
    <t>Coluna6527</t>
  </si>
  <si>
    <t>Coluna6528</t>
  </si>
  <si>
    <t>Coluna6529</t>
  </si>
  <si>
    <t>Coluna6530</t>
  </si>
  <si>
    <t>Coluna6531</t>
  </si>
  <si>
    <t>Coluna6532</t>
  </si>
  <si>
    <t>Coluna6533</t>
  </si>
  <si>
    <t>Coluna6534</t>
  </si>
  <si>
    <t>Coluna6535</t>
  </si>
  <si>
    <t>Coluna6536</t>
  </si>
  <si>
    <t>Coluna6537</t>
  </si>
  <si>
    <t>Coluna6538</t>
  </si>
  <si>
    <t>Coluna6539</t>
  </si>
  <si>
    <t>Coluna6540</t>
  </si>
  <si>
    <t>Coluna6541</t>
  </si>
  <si>
    <t>Coluna6542</t>
  </si>
  <si>
    <t>Coluna6543</t>
  </si>
  <si>
    <t>Coluna6544</t>
  </si>
  <si>
    <t>Coluna6545</t>
  </si>
  <si>
    <t>Coluna6546</t>
  </si>
  <si>
    <t>Coluna6547</t>
  </si>
  <si>
    <t>Coluna6548</t>
  </si>
  <si>
    <t>Coluna6549</t>
  </si>
  <si>
    <t>Coluna6550</t>
  </si>
  <si>
    <t>Coluna6551</t>
  </si>
  <si>
    <t>Coluna6552</t>
  </si>
  <si>
    <t>Coluna6553</t>
  </si>
  <si>
    <t>Coluna6554</t>
  </si>
  <si>
    <t>Coluna6555</t>
  </si>
  <si>
    <t>Coluna6556</t>
  </si>
  <si>
    <t>Coluna6557</t>
  </si>
  <si>
    <t>Coluna6558</t>
  </si>
  <si>
    <t>Coluna6559</t>
  </si>
  <si>
    <t>Coluna6560</t>
  </si>
  <si>
    <t>Coluna6561</t>
  </si>
  <si>
    <t>Coluna6562</t>
  </si>
  <si>
    <t>Coluna6563</t>
  </si>
  <si>
    <t>Coluna6564</t>
  </si>
  <si>
    <t>Coluna6565</t>
  </si>
  <si>
    <t>Coluna6566</t>
  </si>
  <si>
    <t>Coluna6567</t>
  </si>
  <si>
    <t>Coluna6568</t>
  </si>
  <si>
    <t>Coluna6569</t>
  </si>
  <si>
    <t>Coluna6570</t>
  </si>
  <si>
    <t>Coluna6571</t>
  </si>
  <si>
    <t>Coluna6572</t>
  </si>
  <si>
    <t>Coluna6573</t>
  </si>
  <si>
    <t>Coluna6574</t>
  </si>
  <si>
    <t>Coluna6575</t>
  </si>
  <si>
    <t>Coluna6576</t>
  </si>
  <si>
    <t>Coluna6577</t>
  </si>
  <si>
    <t>Coluna6578</t>
  </si>
  <si>
    <t>Coluna6579</t>
  </si>
  <si>
    <t>Coluna6580</t>
  </si>
  <si>
    <t>Coluna6581</t>
  </si>
  <si>
    <t>Coluna6582</t>
  </si>
  <si>
    <t>Coluna6583</t>
  </si>
  <si>
    <t>Coluna6584</t>
  </si>
  <si>
    <t>Coluna6585</t>
  </si>
  <si>
    <t>Coluna6586</t>
  </si>
  <si>
    <t>Coluna6587</t>
  </si>
  <si>
    <t>Coluna6588</t>
  </si>
  <si>
    <t>Coluna6589</t>
  </si>
  <si>
    <t>Coluna6590</t>
  </si>
  <si>
    <t>Coluna6591</t>
  </si>
  <si>
    <t>Coluna6592</t>
  </si>
  <si>
    <t>Coluna6593</t>
  </si>
  <si>
    <t>Coluna6594</t>
  </si>
  <si>
    <t>Coluna6595</t>
  </si>
  <si>
    <t>Coluna6596</t>
  </si>
  <si>
    <t>Coluna6597</t>
  </si>
  <si>
    <t>Coluna6598</t>
  </si>
  <si>
    <t>Coluna6599</t>
  </si>
  <si>
    <t>Coluna6600</t>
  </si>
  <si>
    <t>Coluna6601</t>
  </si>
  <si>
    <t>Coluna6602</t>
  </si>
  <si>
    <t>Coluna6603</t>
  </si>
  <si>
    <t>Coluna6604</t>
  </si>
  <si>
    <t>Coluna6605</t>
  </si>
  <si>
    <t>Coluna6606</t>
  </si>
  <si>
    <t>Coluna6607</t>
  </si>
  <si>
    <t>Coluna6608</t>
  </si>
  <si>
    <t>Coluna6609</t>
  </si>
  <si>
    <t>Coluna6610</t>
  </si>
  <si>
    <t>Coluna6611</t>
  </si>
  <si>
    <t>Coluna6612</t>
  </si>
  <si>
    <t>Coluna6613</t>
  </si>
  <si>
    <t>Coluna6614</t>
  </si>
  <si>
    <t>Coluna6615</t>
  </si>
  <si>
    <t>Coluna6616</t>
  </si>
  <si>
    <t>Coluna6617</t>
  </si>
  <si>
    <t>Coluna6618</t>
  </si>
  <si>
    <t>Coluna6619</t>
  </si>
  <si>
    <t>Coluna6620</t>
  </si>
  <si>
    <t>Coluna6621</t>
  </si>
  <si>
    <t>Coluna6622</t>
  </si>
  <si>
    <t>Coluna6623</t>
  </si>
  <si>
    <t>Coluna6624</t>
  </si>
  <si>
    <t>Coluna6625</t>
  </si>
  <si>
    <t>Coluna6626</t>
  </si>
  <si>
    <t>Coluna6627</t>
  </si>
  <si>
    <t>Coluna6628</t>
  </si>
  <si>
    <t>Coluna6629</t>
  </si>
  <si>
    <t>Coluna6630</t>
  </si>
  <si>
    <t>Coluna6631</t>
  </si>
  <si>
    <t>Coluna6632</t>
  </si>
  <si>
    <t>Coluna6633</t>
  </si>
  <si>
    <t>Coluna6634</t>
  </si>
  <si>
    <t>Coluna6635</t>
  </si>
  <si>
    <t>Coluna6636</t>
  </si>
  <si>
    <t>Coluna6637</t>
  </si>
  <si>
    <t>Coluna6638</t>
  </si>
  <si>
    <t>Coluna6639</t>
  </si>
  <si>
    <t>Coluna6640</t>
  </si>
  <si>
    <t>Coluna6641</t>
  </si>
  <si>
    <t>Coluna6642</t>
  </si>
  <si>
    <t>Coluna6643</t>
  </si>
  <si>
    <t>Coluna6644</t>
  </si>
  <si>
    <t>Coluna6645</t>
  </si>
  <si>
    <t>Coluna6646</t>
  </si>
  <si>
    <t>Coluna6647</t>
  </si>
  <si>
    <t>Coluna6648</t>
  </si>
  <si>
    <t>Coluna6649</t>
  </si>
  <si>
    <t>Coluna6650</t>
  </si>
  <si>
    <t>Coluna6651</t>
  </si>
  <si>
    <t>Coluna6652</t>
  </si>
  <si>
    <t>Coluna6653</t>
  </si>
  <si>
    <t>Coluna6654</t>
  </si>
  <si>
    <t>Coluna6655</t>
  </si>
  <si>
    <t>Coluna6656</t>
  </si>
  <si>
    <t>Coluna6657</t>
  </si>
  <si>
    <t>Coluna6658</t>
  </si>
  <si>
    <t>Coluna6659</t>
  </si>
  <si>
    <t>Coluna6660</t>
  </si>
  <si>
    <t>Coluna6661</t>
  </si>
  <si>
    <t>Coluna6662</t>
  </si>
  <si>
    <t>Coluna6663</t>
  </si>
  <si>
    <t>Coluna6664</t>
  </si>
  <si>
    <t>Coluna6665</t>
  </si>
  <si>
    <t>Coluna6666</t>
  </si>
  <si>
    <t>Coluna6667</t>
  </si>
  <si>
    <t>Coluna6668</t>
  </si>
  <si>
    <t>Coluna6669</t>
  </si>
  <si>
    <t>Coluna6670</t>
  </si>
  <si>
    <t>Coluna6671</t>
  </si>
  <si>
    <t>Coluna6672</t>
  </si>
  <si>
    <t>Coluna6673</t>
  </si>
  <si>
    <t>Coluna6674</t>
  </si>
  <si>
    <t>Coluna6675</t>
  </si>
  <si>
    <t>Coluna6676</t>
  </si>
  <si>
    <t>Coluna6677</t>
  </si>
  <si>
    <t>Coluna6678</t>
  </si>
  <si>
    <t>Coluna6679</t>
  </si>
  <si>
    <t>Coluna6680</t>
  </si>
  <si>
    <t>Coluna6681</t>
  </si>
  <si>
    <t>Coluna6682</t>
  </si>
  <si>
    <t>Coluna6683</t>
  </si>
  <si>
    <t>Coluna6684</t>
  </si>
  <si>
    <t>Coluna6685</t>
  </si>
  <si>
    <t>Coluna6686</t>
  </si>
  <si>
    <t>Coluna6687</t>
  </si>
  <si>
    <t>Coluna6688</t>
  </si>
  <si>
    <t>Coluna6689</t>
  </si>
  <si>
    <t>Coluna6690</t>
  </si>
  <si>
    <t>Coluna6691</t>
  </si>
  <si>
    <t>Coluna6692</t>
  </si>
  <si>
    <t>Coluna6693</t>
  </si>
  <si>
    <t>Coluna6694</t>
  </si>
  <si>
    <t>Coluna6695</t>
  </si>
  <si>
    <t>Coluna6696</t>
  </si>
  <si>
    <t>Coluna6697</t>
  </si>
  <si>
    <t>Coluna6698</t>
  </si>
  <si>
    <t>Coluna6699</t>
  </si>
  <si>
    <t>Coluna6700</t>
  </si>
  <si>
    <t>Coluna6701</t>
  </si>
  <si>
    <t>Coluna6702</t>
  </si>
  <si>
    <t>Coluna6703</t>
  </si>
  <si>
    <t>Coluna6704</t>
  </si>
  <si>
    <t>Coluna6705</t>
  </si>
  <si>
    <t>Coluna6706</t>
  </si>
  <si>
    <t>Coluna6707</t>
  </si>
  <si>
    <t>Coluna6708</t>
  </si>
  <si>
    <t>Coluna6709</t>
  </si>
  <si>
    <t>Coluna6710</t>
  </si>
  <si>
    <t>Coluna6711</t>
  </si>
  <si>
    <t>Coluna6712</t>
  </si>
  <si>
    <t>Coluna6713</t>
  </si>
  <si>
    <t>Coluna6714</t>
  </si>
  <si>
    <t>Coluna6715</t>
  </si>
  <si>
    <t>Coluna6716</t>
  </si>
  <si>
    <t>Coluna6717</t>
  </si>
  <si>
    <t>Coluna6718</t>
  </si>
  <si>
    <t>Coluna6719</t>
  </si>
  <si>
    <t>Coluna6720</t>
  </si>
  <si>
    <t>Coluna6721</t>
  </si>
  <si>
    <t>Coluna6722</t>
  </si>
  <si>
    <t>Coluna6723</t>
  </si>
  <si>
    <t>Coluna6724</t>
  </si>
  <si>
    <t>Coluna6725</t>
  </si>
  <si>
    <t>Coluna6726</t>
  </si>
  <si>
    <t>Coluna6727</t>
  </si>
  <si>
    <t>Coluna6728</t>
  </si>
  <si>
    <t>Coluna6729</t>
  </si>
  <si>
    <t>Coluna6730</t>
  </si>
  <si>
    <t>Coluna6731</t>
  </si>
  <si>
    <t>Coluna6732</t>
  </si>
  <si>
    <t>Coluna6733</t>
  </si>
  <si>
    <t>Coluna6734</t>
  </si>
  <si>
    <t>Coluna6735</t>
  </si>
  <si>
    <t>Coluna6736</t>
  </si>
  <si>
    <t>Coluna6737</t>
  </si>
  <si>
    <t>Coluna6738</t>
  </si>
  <si>
    <t>Coluna6739</t>
  </si>
  <si>
    <t>Coluna6740</t>
  </si>
  <si>
    <t>Coluna6741</t>
  </si>
  <si>
    <t>Coluna6742</t>
  </si>
  <si>
    <t>Coluna6743</t>
  </si>
  <si>
    <t>Coluna6744</t>
  </si>
  <si>
    <t>Coluna6745</t>
  </si>
  <si>
    <t>Coluna6746</t>
  </si>
  <si>
    <t>Coluna6747</t>
  </si>
  <si>
    <t>Coluna6748</t>
  </si>
  <si>
    <t>Coluna6749</t>
  </si>
  <si>
    <t>Coluna6750</t>
  </si>
  <si>
    <t>Coluna6751</t>
  </si>
  <si>
    <t>Coluna6752</t>
  </si>
  <si>
    <t>Coluna6753</t>
  </si>
  <si>
    <t>Coluna6754</t>
  </si>
  <si>
    <t>Coluna6755</t>
  </si>
  <si>
    <t>Coluna6756</t>
  </si>
  <si>
    <t>Coluna6757</t>
  </si>
  <si>
    <t>Coluna6758</t>
  </si>
  <si>
    <t>Coluna6759</t>
  </si>
  <si>
    <t>Coluna6760</t>
  </si>
  <si>
    <t>Coluna6761</t>
  </si>
  <si>
    <t>Coluna6762</t>
  </si>
  <si>
    <t>Coluna6763</t>
  </si>
  <si>
    <t>Coluna6764</t>
  </si>
  <si>
    <t>Coluna6765</t>
  </si>
  <si>
    <t>Coluna6766</t>
  </si>
  <si>
    <t>Coluna6767</t>
  </si>
  <si>
    <t>Coluna6768</t>
  </si>
  <si>
    <t>Coluna6769</t>
  </si>
  <si>
    <t>Coluna6770</t>
  </si>
  <si>
    <t>Coluna6771</t>
  </si>
  <si>
    <t>Coluna6772</t>
  </si>
  <si>
    <t>Coluna6773</t>
  </si>
  <si>
    <t>Coluna6774</t>
  </si>
  <si>
    <t>Coluna6775</t>
  </si>
  <si>
    <t>Coluna6776</t>
  </si>
  <si>
    <t>Coluna6777</t>
  </si>
  <si>
    <t>Coluna6778</t>
  </si>
  <si>
    <t>Coluna6779</t>
  </si>
  <si>
    <t>Coluna6780</t>
  </si>
  <si>
    <t>Coluna6781</t>
  </si>
  <si>
    <t>Coluna6782</t>
  </si>
  <si>
    <t>Coluna6783</t>
  </si>
  <si>
    <t>Coluna6784</t>
  </si>
  <si>
    <t>Coluna6785</t>
  </si>
  <si>
    <t>Coluna6786</t>
  </si>
  <si>
    <t>Coluna6787</t>
  </si>
  <si>
    <t>Coluna6788</t>
  </si>
  <si>
    <t>Coluna6789</t>
  </si>
  <si>
    <t>Coluna6790</t>
  </si>
  <si>
    <t>Coluna6791</t>
  </si>
  <si>
    <t>Coluna6792</t>
  </si>
  <si>
    <t>Coluna6793</t>
  </si>
  <si>
    <t>Coluna6794</t>
  </si>
  <si>
    <t>Coluna6795</t>
  </si>
  <si>
    <t>Coluna6796</t>
  </si>
  <si>
    <t>Coluna6797</t>
  </si>
  <si>
    <t>Coluna6798</t>
  </si>
  <si>
    <t>Coluna6799</t>
  </si>
  <si>
    <t>Coluna6800</t>
  </si>
  <si>
    <t>Coluna6801</t>
  </si>
  <si>
    <t>Coluna6802</t>
  </si>
  <si>
    <t>Coluna6803</t>
  </si>
  <si>
    <t>Coluna6804</t>
  </si>
  <si>
    <t>Coluna6805</t>
  </si>
  <si>
    <t>Coluna6806</t>
  </si>
  <si>
    <t>Coluna6807</t>
  </si>
  <si>
    <t>Coluna6808</t>
  </si>
  <si>
    <t>Coluna6809</t>
  </si>
  <si>
    <t>Coluna6810</t>
  </si>
  <si>
    <t>Coluna6811</t>
  </si>
  <si>
    <t>Coluna6812</t>
  </si>
  <si>
    <t>Coluna6813</t>
  </si>
  <si>
    <t>Coluna6814</t>
  </si>
  <si>
    <t>Coluna6815</t>
  </si>
  <si>
    <t>Coluna6816</t>
  </si>
  <si>
    <t>Coluna6817</t>
  </si>
  <si>
    <t>Coluna6818</t>
  </si>
  <si>
    <t>Coluna6819</t>
  </si>
  <si>
    <t>Coluna6820</t>
  </si>
  <si>
    <t>Coluna6821</t>
  </si>
  <si>
    <t>Coluna6822</t>
  </si>
  <si>
    <t>Coluna6823</t>
  </si>
  <si>
    <t>Coluna6824</t>
  </si>
  <si>
    <t>Coluna6825</t>
  </si>
  <si>
    <t>Coluna6826</t>
  </si>
  <si>
    <t>Coluna6827</t>
  </si>
  <si>
    <t>Coluna6828</t>
  </si>
  <si>
    <t>Coluna6829</t>
  </si>
  <si>
    <t>Coluna6830</t>
  </si>
  <si>
    <t>Coluna6831</t>
  </si>
  <si>
    <t>Coluna6832</t>
  </si>
  <si>
    <t>Coluna6833</t>
  </si>
  <si>
    <t>Coluna6834</t>
  </si>
  <si>
    <t>Coluna6835</t>
  </si>
  <si>
    <t>Coluna6836</t>
  </si>
  <si>
    <t>Coluna6837</t>
  </si>
  <si>
    <t>Coluna6838</t>
  </si>
  <si>
    <t>Coluna6839</t>
  </si>
  <si>
    <t>Coluna6840</t>
  </si>
  <si>
    <t>Coluna6841</t>
  </si>
  <si>
    <t>Coluna6842</t>
  </si>
  <si>
    <t>Coluna6843</t>
  </si>
  <si>
    <t>Coluna6844</t>
  </si>
  <si>
    <t>Coluna6845</t>
  </si>
  <si>
    <t>Coluna6846</t>
  </si>
  <si>
    <t>Coluna6847</t>
  </si>
  <si>
    <t>Coluna6848</t>
  </si>
  <si>
    <t>Coluna6849</t>
  </si>
  <si>
    <t>Coluna6850</t>
  </si>
  <si>
    <t>Coluna6851</t>
  </si>
  <si>
    <t>Coluna6852</t>
  </si>
  <si>
    <t>Coluna6853</t>
  </si>
  <si>
    <t>Coluna6854</t>
  </si>
  <si>
    <t>Coluna6855</t>
  </si>
  <si>
    <t>Coluna6856</t>
  </si>
  <si>
    <t>Coluna6857</t>
  </si>
  <si>
    <t>Coluna6858</t>
  </si>
  <si>
    <t>Coluna6859</t>
  </si>
  <si>
    <t>Coluna6860</t>
  </si>
  <si>
    <t>Coluna6861</t>
  </si>
  <si>
    <t>Coluna6862</t>
  </si>
  <si>
    <t>Coluna6863</t>
  </si>
  <si>
    <t>Coluna6864</t>
  </si>
  <si>
    <t>Coluna6865</t>
  </si>
  <si>
    <t>Coluna6866</t>
  </si>
  <si>
    <t>Coluna6867</t>
  </si>
  <si>
    <t>Coluna6868</t>
  </si>
  <si>
    <t>Coluna6869</t>
  </si>
  <si>
    <t>Coluna6870</t>
  </si>
  <si>
    <t>Coluna6871</t>
  </si>
  <si>
    <t>Coluna6872</t>
  </si>
  <si>
    <t>Coluna6873</t>
  </si>
  <si>
    <t>Coluna6874</t>
  </si>
  <si>
    <t>Coluna6875</t>
  </si>
  <si>
    <t>Coluna6876</t>
  </si>
  <si>
    <t>Coluna6877</t>
  </si>
  <si>
    <t>Coluna6878</t>
  </si>
  <si>
    <t>Coluna6879</t>
  </si>
  <si>
    <t>Coluna6880</t>
  </si>
  <si>
    <t>Coluna6881</t>
  </si>
  <si>
    <t>Coluna6882</t>
  </si>
  <si>
    <t>Coluna6883</t>
  </si>
  <si>
    <t>Coluna6884</t>
  </si>
  <si>
    <t>Coluna6885</t>
  </si>
  <si>
    <t>Coluna6886</t>
  </si>
  <si>
    <t>Coluna6887</t>
  </si>
  <si>
    <t>Coluna6888</t>
  </si>
  <si>
    <t>Coluna6889</t>
  </si>
  <si>
    <t>Coluna6890</t>
  </si>
  <si>
    <t>Coluna6891</t>
  </si>
  <si>
    <t>Coluna6892</t>
  </si>
  <si>
    <t>Coluna6893</t>
  </si>
  <si>
    <t>Coluna6894</t>
  </si>
  <si>
    <t>Coluna6895</t>
  </si>
  <si>
    <t>Coluna6896</t>
  </si>
  <si>
    <t>Coluna6897</t>
  </si>
  <si>
    <t>Coluna6898</t>
  </si>
  <si>
    <t>Coluna6899</t>
  </si>
  <si>
    <t>Coluna6900</t>
  </si>
  <si>
    <t>Coluna6901</t>
  </si>
  <si>
    <t>Coluna6902</t>
  </si>
  <si>
    <t>Coluna6903</t>
  </si>
  <si>
    <t>Coluna6904</t>
  </si>
  <si>
    <t>Coluna6905</t>
  </si>
  <si>
    <t>Coluna6906</t>
  </si>
  <si>
    <t>Coluna6907</t>
  </si>
  <si>
    <t>Coluna6908</t>
  </si>
  <si>
    <t>Coluna6909</t>
  </si>
  <si>
    <t>Coluna6910</t>
  </si>
  <si>
    <t>Coluna6911</t>
  </si>
  <si>
    <t>Coluna6912</t>
  </si>
  <si>
    <t>Coluna6913</t>
  </si>
  <si>
    <t>Coluna6914</t>
  </si>
  <si>
    <t>Coluna6915</t>
  </si>
  <si>
    <t>Coluna6916</t>
  </si>
  <si>
    <t>Coluna6917</t>
  </si>
  <si>
    <t>Coluna6918</t>
  </si>
  <si>
    <t>Coluna6919</t>
  </si>
  <si>
    <t>Coluna6920</t>
  </si>
  <si>
    <t>Coluna6921</t>
  </si>
  <si>
    <t>Coluna6922</t>
  </si>
  <si>
    <t>Coluna6923</t>
  </si>
  <si>
    <t>Coluna6924</t>
  </si>
  <si>
    <t>Coluna6925</t>
  </si>
  <si>
    <t>Coluna6926</t>
  </si>
  <si>
    <t>Coluna6927</t>
  </si>
  <si>
    <t>Coluna6928</t>
  </si>
  <si>
    <t>Coluna6929</t>
  </si>
  <si>
    <t>Coluna6930</t>
  </si>
  <si>
    <t>Coluna6931</t>
  </si>
  <si>
    <t>Coluna6932</t>
  </si>
  <si>
    <t>Coluna6933</t>
  </si>
  <si>
    <t>Coluna6934</t>
  </si>
  <si>
    <t>Coluna6935</t>
  </si>
  <si>
    <t>Coluna6936</t>
  </si>
  <si>
    <t>Coluna6937</t>
  </si>
  <si>
    <t>Coluna6938</t>
  </si>
  <si>
    <t>Coluna6939</t>
  </si>
  <si>
    <t>Coluna6940</t>
  </si>
  <si>
    <t>Coluna6941</t>
  </si>
  <si>
    <t>Coluna6942</t>
  </si>
  <si>
    <t>Coluna6943</t>
  </si>
  <si>
    <t>Coluna6944</t>
  </si>
  <si>
    <t>Coluna6945</t>
  </si>
  <si>
    <t>Coluna6946</t>
  </si>
  <si>
    <t>Coluna6947</t>
  </si>
  <si>
    <t>Coluna6948</t>
  </si>
  <si>
    <t>Coluna6949</t>
  </si>
  <si>
    <t>Coluna6950</t>
  </si>
  <si>
    <t>Coluna6951</t>
  </si>
  <si>
    <t>Coluna6952</t>
  </si>
  <si>
    <t>Coluna6953</t>
  </si>
  <si>
    <t>Coluna6954</t>
  </si>
  <si>
    <t>Coluna6955</t>
  </si>
  <si>
    <t>Coluna6956</t>
  </si>
  <si>
    <t>Coluna6957</t>
  </si>
  <si>
    <t>Coluna6958</t>
  </si>
  <si>
    <t>Coluna6959</t>
  </si>
  <si>
    <t>Coluna6960</t>
  </si>
  <si>
    <t>Coluna6961</t>
  </si>
  <si>
    <t>Coluna6962</t>
  </si>
  <si>
    <t>Coluna6963</t>
  </si>
  <si>
    <t>Coluna6964</t>
  </si>
  <si>
    <t>Coluna6965</t>
  </si>
  <si>
    <t>Coluna6966</t>
  </si>
  <si>
    <t>Coluna6967</t>
  </si>
  <si>
    <t>Coluna6968</t>
  </si>
  <si>
    <t>Coluna6969</t>
  </si>
  <si>
    <t>Coluna6970</t>
  </si>
  <si>
    <t>Coluna6971</t>
  </si>
  <si>
    <t>Coluna6972</t>
  </si>
  <si>
    <t>Coluna6973</t>
  </si>
  <si>
    <t>Coluna6974</t>
  </si>
  <si>
    <t>Coluna6975</t>
  </si>
  <si>
    <t>Coluna6976</t>
  </si>
  <si>
    <t>Coluna6977</t>
  </si>
  <si>
    <t>Coluna6978</t>
  </si>
  <si>
    <t>Coluna6979</t>
  </si>
  <si>
    <t>Coluna6980</t>
  </si>
  <si>
    <t>Coluna6981</t>
  </si>
  <si>
    <t>Coluna6982</t>
  </si>
  <si>
    <t>Coluna6983</t>
  </si>
  <si>
    <t>Coluna6984</t>
  </si>
  <si>
    <t>Coluna6985</t>
  </si>
  <si>
    <t>Coluna6986</t>
  </si>
  <si>
    <t>Coluna6987</t>
  </si>
  <si>
    <t>Coluna6988</t>
  </si>
  <si>
    <t>Coluna6989</t>
  </si>
  <si>
    <t>Coluna6990</t>
  </si>
  <si>
    <t>Coluna6991</t>
  </si>
  <si>
    <t>Coluna6992</t>
  </si>
  <si>
    <t>Coluna6993</t>
  </si>
  <si>
    <t>Coluna6994</t>
  </si>
  <si>
    <t>Coluna6995</t>
  </si>
  <si>
    <t>Coluna6996</t>
  </si>
  <si>
    <t>Coluna6997</t>
  </si>
  <si>
    <t>Coluna6998</t>
  </si>
  <si>
    <t>Coluna6999</t>
  </si>
  <si>
    <t>Coluna7000</t>
  </si>
  <si>
    <t>Coluna7001</t>
  </si>
  <si>
    <t>Coluna7002</t>
  </si>
  <si>
    <t>Coluna7003</t>
  </si>
  <si>
    <t>Coluna7004</t>
  </si>
  <si>
    <t>Coluna7005</t>
  </si>
  <si>
    <t>Coluna7006</t>
  </si>
  <si>
    <t>Coluna7007</t>
  </si>
  <si>
    <t>Coluna7008</t>
  </si>
  <si>
    <t>Coluna7009</t>
  </si>
  <si>
    <t>Coluna7010</t>
  </si>
  <si>
    <t>Coluna7011</t>
  </si>
  <si>
    <t>Coluna7012</t>
  </si>
  <si>
    <t>Coluna7013</t>
  </si>
  <si>
    <t>Coluna7014</t>
  </si>
  <si>
    <t>Coluna7015</t>
  </si>
  <si>
    <t>Coluna7016</t>
  </si>
  <si>
    <t>Coluna7017</t>
  </si>
  <si>
    <t>Coluna7018</t>
  </si>
  <si>
    <t>Coluna7019</t>
  </si>
  <si>
    <t>Coluna7020</t>
  </si>
  <si>
    <t>Coluna7021</t>
  </si>
  <si>
    <t>Coluna7022</t>
  </si>
  <si>
    <t>Coluna7023</t>
  </si>
  <si>
    <t>Coluna7024</t>
  </si>
  <si>
    <t>Coluna7025</t>
  </si>
  <si>
    <t>Coluna7026</t>
  </si>
  <si>
    <t>Coluna7027</t>
  </si>
  <si>
    <t>Coluna7028</t>
  </si>
  <si>
    <t>Coluna7029</t>
  </si>
  <si>
    <t>Coluna7030</t>
  </si>
  <si>
    <t>Coluna7031</t>
  </si>
  <si>
    <t>Coluna7032</t>
  </si>
  <si>
    <t>Coluna7033</t>
  </si>
  <si>
    <t>Coluna7034</t>
  </si>
  <si>
    <t>Coluna7035</t>
  </si>
  <si>
    <t>Coluna7036</t>
  </si>
  <si>
    <t>Coluna7037</t>
  </si>
  <si>
    <t>Coluna7038</t>
  </si>
  <si>
    <t>Coluna7039</t>
  </si>
  <si>
    <t>Coluna7040</t>
  </si>
  <si>
    <t>Coluna7041</t>
  </si>
  <si>
    <t>Coluna7042</t>
  </si>
  <si>
    <t>Coluna7043</t>
  </si>
  <si>
    <t>Coluna7044</t>
  </si>
  <si>
    <t>Coluna7045</t>
  </si>
  <si>
    <t>Coluna7046</t>
  </si>
  <si>
    <t>Coluna7047</t>
  </si>
  <si>
    <t>Coluna7048</t>
  </si>
  <si>
    <t>Coluna7049</t>
  </si>
  <si>
    <t>Coluna7050</t>
  </si>
  <si>
    <t>Coluna7051</t>
  </si>
  <si>
    <t>Coluna7052</t>
  </si>
  <si>
    <t>Coluna7053</t>
  </si>
  <si>
    <t>Coluna7054</t>
  </si>
  <si>
    <t>Coluna7055</t>
  </si>
  <si>
    <t>Coluna7056</t>
  </si>
  <si>
    <t>Coluna7057</t>
  </si>
  <si>
    <t>Coluna7058</t>
  </si>
  <si>
    <t>Coluna7059</t>
  </si>
  <si>
    <t>Coluna7060</t>
  </si>
  <si>
    <t>Coluna7061</t>
  </si>
  <si>
    <t>Coluna7062</t>
  </si>
  <si>
    <t>Coluna7063</t>
  </si>
  <si>
    <t>Coluna7064</t>
  </si>
  <si>
    <t>Coluna7065</t>
  </si>
  <si>
    <t>Coluna7066</t>
  </si>
  <si>
    <t>Coluna7067</t>
  </si>
  <si>
    <t>Coluna7068</t>
  </si>
  <si>
    <t>Coluna7069</t>
  </si>
  <si>
    <t>Coluna7070</t>
  </si>
  <si>
    <t>Coluna7071</t>
  </si>
  <si>
    <t>Coluna7072</t>
  </si>
  <si>
    <t>Coluna7073</t>
  </si>
  <si>
    <t>Coluna7074</t>
  </si>
  <si>
    <t>Coluna7075</t>
  </si>
  <si>
    <t>Coluna7076</t>
  </si>
  <si>
    <t>Coluna7077</t>
  </si>
  <si>
    <t>Coluna7078</t>
  </si>
  <si>
    <t>Coluna7079</t>
  </si>
  <si>
    <t>Coluna7080</t>
  </si>
  <si>
    <t>Coluna7081</t>
  </si>
  <si>
    <t>Coluna7082</t>
  </si>
  <si>
    <t>Coluna7083</t>
  </si>
  <si>
    <t>Coluna7084</t>
  </si>
  <si>
    <t>Coluna7085</t>
  </si>
  <si>
    <t>Coluna7086</t>
  </si>
  <si>
    <t>Coluna7087</t>
  </si>
  <si>
    <t>Coluna7088</t>
  </si>
  <si>
    <t>Coluna7089</t>
  </si>
  <si>
    <t>Coluna7090</t>
  </si>
  <si>
    <t>Coluna7091</t>
  </si>
  <si>
    <t>Coluna7092</t>
  </si>
  <si>
    <t>Coluna7093</t>
  </si>
  <si>
    <t>Coluna7094</t>
  </si>
  <si>
    <t>Coluna7095</t>
  </si>
  <si>
    <t>Coluna7096</t>
  </si>
  <si>
    <t>Coluna7097</t>
  </si>
  <si>
    <t>Coluna7098</t>
  </si>
  <si>
    <t>Coluna7099</t>
  </si>
  <si>
    <t>Coluna7100</t>
  </si>
  <si>
    <t>Coluna7101</t>
  </si>
  <si>
    <t>Coluna7102</t>
  </si>
  <si>
    <t>Coluna7103</t>
  </si>
  <si>
    <t>Coluna7104</t>
  </si>
  <si>
    <t>Coluna7105</t>
  </si>
  <si>
    <t>Coluna7106</t>
  </si>
  <si>
    <t>Coluna7107</t>
  </si>
  <si>
    <t>Coluna7108</t>
  </si>
  <si>
    <t>Coluna7109</t>
  </si>
  <si>
    <t>Coluna7110</t>
  </si>
  <si>
    <t>Coluna7111</t>
  </si>
  <si>
    <t>Coluna7112</t>
  </si>
  <si>
    <t>Coluna7113</t>
  </si>
  <si>
    <t>Coluna7114</t>
  </si>
  <si>
    <t>Coluna7115</t>
  </si>
  <si>
    <t>Coluna7116</t>
  </si>
  <si>
    <t>Coluna7117</t>
  </si>
  <si>
    <t>Coluna7118</t>
  </si>
  <si>
    <t>Coluna7119</t>
  </si>
  <si>
    <t>Coluna7120</t>
  </si>
  <si>
    <t>Coluna7121</t>
  </si>
  <si>
    <t>Coluna7122</t>
  </si>
  <si>
    <t>Coluna7123</t>
  </si>
  <si>
    <t>Coluna7124</t>
  </si>
  <si>
    <t>Coluna7125</t>
  </si>
  <si>
    <t>Coluna7126</t>
  </si>
  <si>
    <t>Coluna7127</t>
  </si>
  <si>
    <t>Coluna7128</t>
  </si>
  <si>
    <t>Coluna7129</t>
  </si>
  <si>
    <t>Coluna7130</t>
  </si>
  <si>
    <t>Coluna7131</t>
  </si>
  <si>
    <t>Coluna7132</t>
  </si>
  <si>
    <t>Coluna7133</t>
  </si>
  <si>
    <t>Coluna7134</t>
  </si>
  <si>
    <t>Coluna7135</t>
  </si>
  <si>
    <t>Coluna7136</t>
  </si>
  <si>
    <t>Coluna7137</t>
  </si>
  <si>
    <t>Coluna7138</t>
  </si>
  <si>
    <t>Coluna7139</t>
  </si>
  <si>
    <t>Coluna7140</t>
  </si>
  <si>
    <t>Coluna7141</t>
  </si>
  <si>
    <t>Coluna7142</t>
  </si>
  <si>
    <t>Coluna7143</t>
  </si>
  <si>
    <t>Coluna7144</t>
  </si>
  <si>
    <t>Coluna7145</t>
  </si>
  <si>
    <t>Coluna7146</t>
  </si>
  <si>
    <t>Coluna7147</t>
  </si>
  <si>
    <t>Coluna7148</t>
  </si>
  <si>
    <t>Coluna7149</t>
  </si>
  <si>
    <t>Coluna7150</t>
  </si>
  <si>
    <t>Coluna7151</t>
  </si>
  <si>
    <t>Coluna7152</t>
  </si>
  <si>
    <t>Coluna7153</t>
  </si>
  <si>
    <t>Coluna7154</t>
  </si>
  <si>
    <t>Coluna7155</t>
  </si>
  <si>
    <t>Coluna7156</t>
  </si>
  <si>
    <t>Coluna7157</t>
  </si>
  <si>
    <t>Coluna7158</t>
  </si>
  <si>
    <t>Coluna7159</t>
  </si>
  <si>
    <t>Coluna7160</t>
  </si>
  <si>
    <t>Coluna7161</t>
  </si>
  <si>
    <t>Coluna7162</t>
  </si>
  <si>
    <t>Coluna7163</t>
  </si>
  <si>
    <t>Coluna7164</t>
  </si>
  <si>
    <t>Coluna7165</t>
  </si>
  <si>
    <t>Coluna7166</t>
  </si>
  <si>
    <t>Coluna7167</t>
  </si>
  <si>
    <t>Coluna7168</t>
  </si>
  <si>
    <t>Coluna7169</t>
  </si>
  <si>
    <t>Coluna7170</t>
  </si>
  <si>
    <t>Coluna7171</t>
  </si>
  <si>
    <t>Coluna7172</t>
  </si>
  <si>
    <t>Coluna7173</t>
  </si>
  <si>
    <t>Coluna7174</t>
  </si>
  <si>
    <t>Coluna7175</t>
  </si>
  <si>
    <t>Coluna7176</t>
  </si>
  <si>
    <t>Coluna7177</t>
  </si>
  <si>
    <t>Coluna7178</t>
  </si>
  <si>
    <t>Coluna7179</t>
  </si>
  <si>
    <t>Coluna7180</t>
  </si>
  <si>
    <t>Coluna7181</t>
  </si>
  <si>
    <t>Coluna7182</t>
  </si>
  <si>
    <t>Coluna7183</t>
  </si>
  <si>
    <t>Coluna7184</t>
  </si>
  <si>
    <t>Coluna7185</t>
  </si>
  <si>
    <t>Coluna7186</t>
  </si>
  <si>
    <t>Coluna7187</t>
  </si>
  <si>
    <t>Coluna7188</t>
  </si>
  <si>
    <t>Coluna7189</t>
  </si>
  <si>
    <t>Coluna7190</t>
  </si>
  <si>
    <t>Coluna7191</t>
  </si>
  <si>
    <t>Coluna7192</t>
  </si>
  <si>
    <t>Coluna7193</t>
  </si>
  <si>
    <t>Coluna7194</t>
  </si>
  <si>
    <t>Coluna7195</t>
  </si>
  <si>
    <t>Coluna7196</t>
  </si>
  <si>
    <t>Coluna7197</t>
  </si>
  <si>
    <t>Coluna7198</t>
  </si>
  <si>
    <t>Coluna7199</t>
  </si>
  <si>
    <t>Coluna7200</t>
  </si>
  <si>
    <t>Coluna7201</t>
  </si>
  <si>
    <t>Coluna7202</t>
  </si>
  <si>
    <t>Coluna7203</t>
  </si>
  <si>
    <t>Coluna7204</t>
  </si>
  <si>
    <t>Coluna7205</t>
  </si>
  <si>
    <t>Coluna7206</t>
  </si>
  <si>
    <t>Coluna7207</t>
  </si>
  <si>
    <t>Coluna7208</t>
  </si>
  <si>
    <t>Coluna7209</t>
  </si>
  <si>
    <t>Coluna7210</t>
  </si>
  <si>
    <t>Coluna7211</t>
  </si>
  <si>
    <t>Coluna7212</t>
  </si>
  <si>
    <t>Coluna7213</t>
  </si>
  <si>
    <t>Coluna7214</t>
  </si>
  <si>
    <t>Coluna7215</t>
  </si>
  <si>
    <t>Coluna7216</t>
  </si>
  <si>
    <t>Coluna7217</t>
  </si>
  <si>
    <t>Coluna7218</t>
  </si>
  <si>
    <t>Coluna7219</t>
  </si>
  <si>
    <t>Coluna7220</t>
  </si>
  <si>
    <t>Coluna7221</t>
  </si>
  <si>
    <t>Coluna7222</t>
  </si>
  <si>
    <t>Coluna7223</t>
  </si>
  <si>
    <t>Coluna7224</t>
  </si>
  <si>
    <t>Coluna7225</t>
  </si>
  <si>
    <t>Coluna7226</t>
  </si>
  <si>
    <t>Coluna7227</t>
  </si>
  <si>
    <t>Coluna7228</t>
  </si>
  <si>
    <t>Coluna7229</t>
  </si>
  <si>
    <t>Coluna7230</t>
  </si>
  <si>
    <t>Coluna7231</t>
  </si>
  <si>
    <t>Coluna7232</t>
  </si>
  <si>
    <t>Coluna7233</t>
  </si>
  <si>
    <t>Coluna7234</t>
  </si>
  <si>
    <t>Coluna7235</t>
  </si>
  <si>
    <t>Coluna7236</t>
  </si>
  <si>
    <t>Coluna7237</t>
  </si>
  <si>
    <t>Coluna7238</t>
  </si>
  <si>
    <t>Coluna7239</t>
  </si>
  <si>
    <t>Coluna7240</t>
  </si>
  <si>
    <t>Coluna7241</t>
  </si>
  <si>
    <t>Coluna7242</t>
  </si>
  <si>
    <t>Coluna7243</t>
  </si>
  <si>
    <t>Coluna7244</t>
  </si>
  <si>
    <t>Coluna7245</t>
  </si>
  <si>
    <t>Coluna7246</t>
  </si>
  <si>
    <t>Coluna7247</t>
  </si>
  <si>
    <t>Coluna7248</t>
  </si>
  <si>
    <t>Coluna7249</t>
  </si>
  <si>
    <t>Coluna7250</t>
  </si>
  <si>
    <t>Coluna7251</t>
  </si>
  <si>
    <t>Coluna7252</t>
  </si>
  <si>
    <t>Coluna7253</t>
  </si>
  <si>
    <t>Coluna7254</t>
  </si>
  <si>
    <t>Coluna7255</t>
  </si>
  <si>
    <t>Coluna7256</t>
  </si>
  <si>
    <t>Coluna7257</t>
  </si>
  <si>
    <t>Coluna7258</t>
  </si>
  <si>
    <t>Coluna7259</t>
  </si>
  <si>
    <t>Coluna7260</t>
  </si>
  <si>
    <t>Coluna7261</t>
  </si>
  <si>
    <t>Coluna7262</t>
  </si>
  <si>
    <t>Coluna7263</t>
  </si>
  <si>
    <t>Coluna7264</t>
  </si>
  <si>
    <t>Coluna7265</t>
  </si>
  <si>
    <t>Coluna7266</t>
  </si>
  <si>
    <t>Coluna7267</t>
  </si>
  <si>
    <t>Coluna7268</t>
  </si>
  <si>
    <t>Coluna7269</t>
  </si>
  <si>
    <t>Coluna7270</t>
  </si>
  <si>
    <t>Coluna7271</t>
  </si>
  <si>
    <t>Coluna7272</t>
  </si>
  <si>
    <t>Coluna7273</t>
  </si>
  <si>
    <t>Coluna7274</t>
  </si>
  <si>
    <t>Coluna7275</t>
  </si>
  <si>
    <t>Coluna7276</t>
  </si>
  <si>
    <t>Coluna7277</t>
  </si>
  <si>
    <t>Coluna7278</t>
  </si>
  <si>
    <t>Coluna7279</t>
  </si>
  <si>
    <t>Coluna7280</t>
  </si>
  <si>
    <t>Coluna7281</t>
  </si>
  <si>
    <t>Coluna7282</t>
  </si>
  <si>
    <t>Coluna7283</t>
  </si>
  <si>
    <t>Coluna7284</t>
  </si>
  <si>
    <t>Coluna7285</t>
  </si>
  <si>
    <t>Coluna7286</t>
  </si>
  <si>
    <t>Coluna7287</t>
  </si>
  <si>
    <t>Coluna7288</t>
  </si>
  <si>
    <t>Coluna7289</t>
  </si>
  <si>
    <t>Coluna7290</t>
  </si>
  <si>
    <t>Coluna7291</t>
  </si>
  <si>
    <t>Coluna7292</t>
  </si>
  <si>
    <t>Coluna7293</t>
  </si>
  <si>
    <t>Coluna7294</t>
  </si>
  <si>
    <t>Coluna7295</t>
  </si>
  <si>
    <t>Coluna7296</t>
  </si>
  <si>
    <t>Coluna7297</t>
  </si>
  <si>
    <t>Coluna7298</t>
  </si>
  <si>
    <t>Coluna7299</t>
  </si>
  <si>
    <t>Coluna7300</t>
  </si>
  <si>
    <t>Coluna7301</t>
  </si>
  <si>
    <t>Coluna7302</t>
  </si>
  <si>
    <t>Coluna7303</t>
  </si>
  <si>
    <t>Coluna7304</t>
  </si>
  <si>
    <t>Coluna7305</t>
  </si>
  <si>
    <t>Coluna7306</t>
  </si>
  <si>
    <t>Coluna7307</t>
  </si>
  <si>
    <t>Coluna7308</t>
  </si>
  <si>
    <t>Coluna7309</t>
  </si>
  <si>
    <t>Coluna7310</t>
  </si>
  <si>
    <t>Coluna7311</t>
  </si>
  <si>
    <t>Coluna7312</t>
  </si>
  <si>
    <t>Coluna7313</t>
  </si>
  <si>
    <t>Coluna7314</t>
  </si>
  <si>
    <t>Coluna7315</t>
  </si>
  <si>
    <t>Coluna7316</t>
  </si>
  <si>
    <t>Coluna7317</t>
  </si>
  <si>
    <t>Coluna7318</t>
  </si>
  <si>
    <t>Coluna7319</t>
  </si>
  <si>
    <t>Coluna7320</t>
  </si>
  <si>
    <t>Coluna7321</t>
  </si>
  <si>
    <t>Coluna7322</t>
  </si>
  <si>
    <t>Coluna7323</t>
  </si>
  <si>
    <t>Coluna7324</t>
  </si>
  <si>
    <t>Coluna7325</t>
  </si>
  <si>
    <t>Coluna7326</t>
  </si>
  <si>
    <t>Coluna7327</t>
  </si>
  <si>
    <t>Coluna7328</t>
  </si>
  <si>
    <t>Coluna7329</t>
  </si>
  <si>
    <t>Coluna7330</t>
  </si>
  <si>
    <t>Coluna7331</t>
  </si>
  <si>
    <t>Coluna7332</t>
  </si>
  <si>
    <t>Coluna7333</t>
  </si>
  <si>
    <t>Coluna7334</t>
  </si>
  <si>
    <t>Coluna7335</t>
  </si>
  <si>
    <t>Coluna7336</t>
  </si>
  <si>
    <t>Coluna7337</t>
  </si>
  <si>
    <t>Coluna7338</t>
  </si>
  <si>
    <t>Coluna7339</t>
  </si>
  <si>
    <t>Coluna7340</t>
  </si>
  <si>
    <t>Coluna7341</t>
  </si>
  <si>
    <t>Coluna7342</t>
  </si>
  <si>
    <t>Coluna7343</t>
  </si>
  <si>
    <t>Coluna7344</t>
  </si>
  <si>
    <t>Coluna7345</t>
  </si>
  <si>
    <t>Coluna7346</t>
  </si>
  <si>
    <t>Coluna7347</t>
  </si>
  <si>
    <t>Coluna7348</t>
  </si>
  <si>
    <t>Coluna7349</t>
  </si>
  <si>
    <t>Coluna7350</t>
  </si>
  <si>
    <t>Coluna7351</t>
  </si>
  <si>
    <t>Coluna7352</t>
  </si>
  <si>
    <t>Coluna7353</t>
  </si>
  <si>
    <t>Coluna7354</t>
  </si>
  <si>
    <t>Coluna7355</t>
  </si>
  <si>
    <t>Coluna7356</t>
  </si>
  <si>
    <t>Coluna7357</t>
  </si>
  <si>
    <t>Coluna7358</t>
  </si>
  <si>
    <t>Coluna7359</t>
  </si>
  <si>
    <t>Coluna7360</t>
  </si>
  <si>
    <t>Coluna7361</t>
  </si>
  <si>
    <t>Coluna7362</t>
  </si>
  <si>
    <t>Coluna7363</t>
  </si>
  <si>
    <t>Coluna7364</t>
  </si>
  <si>
    <t>Coluna7365</t>
  </si>
  <si>
    <t>Coluna7366</t>
  </si>
  <si>
    <t>Coluna7367</t>
  </si>
  <si>
    <t>Coluna7368</t>
  </si>
  <si>
    <t>Coluna7369</t>
  </si>
  <si>
    <t>Coluna7370</t>
  </si>
  <si>
    <t>Coluna7371</t>
  </si>
  <si>
    <t>Coluna7372</t>
  </si>
  <si>
    <t>Coluna7373</t>
  </si>
  <si>
    <t>Coluna7374</t>
  </si>
  <si>
    <t>Coluna7375</t>
  </si>
  <si>
    <t>Coluna7376</t>
  </si>
  <si>
    <t>Coluna7377</t>
  </si>
  <si>
    <t>Coluna7378</t>
  </si>
  <si>
    <t>Coluna7379</t>
  </si>
  <si>
    <t>Coluna7380</t>
  </si>
  <si>
    <t>Coluna7381</t>
  </si>
  <si>
    <t>Coluna7382</t>
  </si>
  <si>
    <t>Coluna7383</t>
  </si>
  <si>
    <t>Coluna7384</t>
  </si>
  <si>
    <t>Coluna7385</t>
  </si>
  <si>
    <t>Coluna7386</t>
  </si>
  <si>
    <t>Coluna7387</t>
  </si>
  <si>
    <t>Coluna7388</t>
  </si>
  <si>
    <t>Coluna7389</t>
  </si>
  <si>
    <t>Coluna7390</t>
  </si>
  <si>
    <t>Coluna7391</t>
  </si>
  <si>
    <t>Coluna7392</t>
  </si>
  <si>
    <t>Coluna7393</t>
  </si>
  <si>
    <t>Coluna7394</t>
  </si>
  <si>
    <t>Coluna7395</t>
  </si>
  <si>
    <t>Coluna7396</t>
  </si>
  <si>
    <t>Coluna7397</t>
  </si>
  <si>
    <t>Coluna7398</t>
  </si>
  <si>
    <t>Coluna7399</t>
  </si>
  <si>
    <t>Coluna7400</t>
  </si>
  <si>
    <t>Coluna7401</t>
  </si>
  <si>
    <t>Coluna7402</t>
  </si>
  <si>
    <t>Coluna7403</t>
  </si>
  <si>
    <t>Coluna7404</t>
  </si>
  <si>
    <t>Coluna7405</t>
  </si>
  <si>
    <t>Coluna7406</t>
  </si>
  <si>
    <t>Coluna7407</t>
  </si>
  <si>
    <t>Coluna7408</t>
  </si>
  <si>
    <t>Coluna7409</t>
  </si>
  <si>
    <t>Coluna7410</t>
  </si>
  <si>
    <t>Coluna7411</t>
  </si>
  <si>
    <t>Coluna7412</t>
  </si>
  <si>
    <t>Coluna7413</t>
  </si>
  <si>
    <t>Coluna7414</t>
  </si>
  <si>
    <t>Coluna7415</t>
  </si>
  <si>
    <t>Coluna7416</t>
  </si>
  <si>
    <t>Coluna7417</t>
  </si>
  <si>
    <t>Coluna7418</t>
  </si>
  <si>
    <t>Coluna7419</t>
  </si>
  <si>
    <t>Coluna7420</t>
  </si>
  <si>
    <t>Coluna7421</t>
  </si>
  <si>
    <t>Coluna7422</t>
  </si>
  <si>
    <t>Coluna7423</t>
  </si>
  <si>
    <t>Coluna7424</t>
  </si>
  <si>
    <t>Coluna7425</t>
  </si>
  <si>
    <t>Coluna7426</t>
  </si>
  <si>
    <t>Coluna7427</t>
  </si>
  <si>
    <t>Coluna7428</t>
  </si>
  <si>
    <t>Coluna7429</t>
  </si>
  <si>
    <t>Coluna7430</t>
  </si>
  <si>
    <t>Coluna7431</t>
  </si>
  <si>
    <t>Coluna7432</t>
  </si>
  <si>
    <t>Coluna7433</t>
  </si>
  <si>
    <t>Coluna7434</t>
  </si>
  <si>
    <t>Coluna7435</t>
  </si>
  <si>
    <t>Coluna7436</t>
  </si>
  <si>
    <t>Coluna7437</t>
  </si>
  <si>
    <t>Coluna7438</t>
  </si>
  <si>
    <t>Coluna7439</t>
  </si>
  <si>
    <t>Coluna7440</t>
  </si>
  <si>
    <t>Coluna7441</t>
  </si>
  <si>
    <t>Coluna7442</t>
  </si>
  <si>
    <t>Coluna7443</t>
  </si>
  <si>
    <t>Coluna7444</t>
  </si>
  <si>
    <t>Coluna7445</t>
  </si>
  <si>
    <t>Coluna7446</t>
  </si>
  <si>
    <t>Coluna7447</t>
  </si>
  <si>
    <t>Coluna7448</t>
  </si>
  <si>
    <t>Coluna7449</t>
  </si>
  <si>
    <t>Coluna7450</t>
  </si>
  <si>
    <t>Coluna7451</t>
  </si>
  <si>
    <t>Coluna7452</t>
  </si>
  <si>
    <t>Coluna7453</t>
  </si>
  <si>
    <t>Coluna7454</t>
  </si>
  <si>
    <t>Coluna7455</t>
  </si>
  <si>
    <t>Coluna7456</t>
  </si>
  <si>
    <t>Coluna7457</t>
  </si>
  <si>
    <t>Coluna7458</t>
  </si>
  <si>
    <t>Coluna7459</t>
  </si>
  <si>
    <t>Coluna7460</t>
  </si>
  <si>
    <t>Coluna7461</t>
  </si>
  <si>
    <t>Coluna7462</t>
  </si>
  <si>
    <t>Coluna7463</t>
  </si>
  <si>
    <t>Coluna7464</t>
  </si>
  <si>
    <t>Coluna7465</t>
  </si>
  <si>
    <t>Coluna7466</t>
  </si>
  <si>
    <t>Coluna7467</t>
  </si>
  <si>
    <t>Coluna7468</t>
  </si>
  <si>
    <t>Coluna7469</t>
  </si>
  <si>
    <t>Coluna7470</t>
  </si>
  <si>
    <t>Coluna7471</t>
  </si>
  <si>
    <t>Coluna7472</t>
  </si>
  <si>
    <t>Coluna7473</t>
  </si>
  <si>
    <t>Coluna7474</t>
  </si>
  <si>
    <t>Coluna7475</t>
  </si>
  <si>
    <t>Coluna7476</t>
  </si>
  <si>
    <t>Coluna7477</t>
  </si>
  <si>
    <t>Coluna7478</t>
  </si>
  <si>
    <t>Coluna7479</t>
  </si>
  <si>
    <t>Coluna7480</t>
  </si>
  <si>
    <t>Coluna7481</t>
  </si>
  <si>
    <t>Coluna7482</t>
  </si>
  <si>
    <t>Coluna7483</t>
  </si>
  <si>
    <t>Coluna7484</t>
  </si>
  <si>
    <t>Coluna7485</t>
  </si>
  <si>
    <t>Coluna7486</t>
  </si>
  <si>
    <t>Coluna7487</t>
  </si>
  <si>
    <t>Coluna7488</t>
  </si>
  <si>
    <t>Coluna7489</t>
  </si>
  <si>
    <t>Coluna7490</t>
  </si>
  <si>
    <t>Coluna7491</t>
  </si>
  <si>
    <t>Coluna7492</t>
  </si>
  <si>
    <t>Coluna7493</t>
  </si>
  <si>
    <t>Coluna7494</t>
  </si>
  <si>
    <t>Coluna7495</t>
  </si>
  <si>
    <t>Coluna7496</t>
  </si>
  <si>
    <t>Coluna7497</t>
  </si>
  <si>
    <t>Coluna7498</t>
  </si>
  <si>
    <t>Coluna7499</t>
  </si>
  <si>
    <t>Coluna7500</t>
  </si>
  <si>
    <t>Coluna7501</t>
  </si>
  <si>
    <t>Coluna7502</t>
  </si>
  <si>
    <t>Coluna7503</t>
  </si>
  <si>
    <t>Coluna7504</t>
  </si>
  <si>
    <t>Coluna7505</t>
  </si>
  <si>
    <t>Coluna7506</t>
  </si>
  <si>
    <t>Coluna7507</t>
  </si>
  <si>
    <t>Coluna7508</t>
  </si>
  <si>
    <t>Coluna7509</t>
  </si>
  <si>
    <t>Coluna7510</t>
  </si>
  <si>
    <t>Coluna7511</t>
  </si>
  <si>
    <t>Coluna7512</t>
  </si>
  <si>
    <t>Coluna7513</t>
  </si>
  <si>
    <t>Coluna7514</t>
  </si>
  <si>
    <t>Coluna7515</t>
  </si>
  <si>
    <t>Coluna7516</t>
  </si>
  <si>
    <t>Coluna7517</t>
  </si>
  <si>
    <t>Coluna7518</t>
  </si>
  <si>
    <t>Coluna7519</t>
  </si>
  <si>
    <t>Coluna7520</t>
  </si>
  <si>
    <t>Coluna7521</t>
  </si>
  <si>
    <t>Coluna7522</t>
  </si>
  <si>
    <t>Coluna7523</t>
  </si>
  <si>
    <t>Coluna7524</t>
  </si>
  <si>
    <t>Coluna7525</t>
  </si>
  <si>
    <t>Coluna7526</t>
  </si>
  <si>
    <t>Coluna7527</t>
  </si>
  <si>
    <t>Coluna7528</t>
  </si>
  <si>
    <t>Coluna7529</t>
  </si>
  <si>
    <t>Coluna7530</t>
  </si>
  <si>
    <t>Coluna7531</t>
  </si>
  <si>
    <t>Coluna7532</t>
  </si>
  <si>
    <t>Coluna7533</t>
  </si>
  <si>
    <t>Coluna7534</t>
  </si>
  <si>
    <t>Coluna7535</t>
  </si>
  <si>
    <t>Coluna7536</t>
  </si>
  <si>
    <t>Coluna7537</t>
  </si>
  <si>
    <t>Coluna7538</t>
  </si>
  <si>
    <t>Coluna7539</t>
  </si>
  <si>
    <t>Coluna7540</t>
  </si>
  <si>
    <t>Coluna7541</t>
  </si>
  <si>
    <t>Coluna7542</t>
  </si>
  <si>
    <t>Coluna7543</t>
  </si>
  <si>
    <t>Coluna7544</t>
  </si>
  <si>
    <t>Coluna7545</t>
  </si>
  <si>
    <t>Coluna7546</t>
  </si>
  <si>
    <t>Coluna7547</t>
  </si>
  <si>
    <t>Coluna7548</t>
  </si>
  <si>
    <t>Coluna7549</t>
  </si>
  <si>
    <t>Coluna7550</t>
  </si>
  <si>
    <t>Coluna7551</t>
  </si>
  <si>
    <t>Coluna7552</t>
  </si>
  <si>
    <t>Coluna7553</t>
  </si>
  <si>
    <t>Coluna7554</t>
  </si>
  <si>
    <t>Coluna7555</t>
  </si>
  <si>
    <t>Coluna7556</t>
  </si>
  <si>
    <t>Coluna7557</t>
  </si>
  <si>
    <t>Coluna7558</t>
  </si>
  <si>
    <t>Coluna7559</t>
  </si>
  <si>
    <t>Coluna7560</t>
  </si>
  <si>
    <t>Coluna7561</t>
  </si>
  <si>
    <t>Coluna7562</t>
  </si>
  <si>
    <t>Coluna7563</t>
  </si>
  <si>
    <t>Coluna7564</t>
  </si>
  <si>
    <t>Coluna7565</t>
  </si>
  <si>
    <t>Coluna7566</t>
  </si>
  <si>
    <t>Coluna7567</t>
  </si>
  <si>
    <t>Coluna7568</t>
  </si>
  <si>
    <t>Coluna7569</t>
  </si>
  <si>
    <t>Coluna7570</t>
  </si>
  <si>
    <t>Coluna7571</t>
  </si>
  <si>
    <t>Coluna7572</t>
  </si>
  <si>
    <t>Coluna7573</t>
  </si>
  <si>
    <t>Coluna7574</t>
  </si>
  <si>
    <t>Coluna7575</t>
  </si>
  <si>
    <t>Coluna7576</t>
  </si>
  <si>
    <t>Coluna7577</t>
  </si>
  <si>
    <t>Coluna7578</t>
  </si>
  <si>
    <t>Coluna7579</t>
  </si>
  <si>
    <t>Coluna7580</t>
  </si>
  <si>
    <t>Coluna7581</t>
  </si>
  <si>
    <t>Coluna7582</t>
  </si>
  <si>
    <t>Coluna7583</t>
  </si>
  <si>
    <t>Coluna7584</t>
  </si>
  <si>
    <t>Coluna7585</t>
  </si>
  <si>
    <t>Coluna7586</t>
  </si>
  <si>
    <t>Coluna7587</t>
  </si>
  <si>
    <t>Coluna7588</t>
  </si>
  <si>
    <t>Coluna7589</t>
  </si>
  <si>
    <t>Coluna7590</t>
  </si>
  <si>
    <t>Coluna7591</t>
  </si>
  <si>
    <t>Coluna7592</t>
  </si>
  <si>
    <t>Coluna7593</t>
  </si>
  <si>
    <t>Coluna7594</t>
  </si>
  <si>
    <t>Coluna7595</t>
  </si>
  <si>
    <t>Coluna7596</t>
  </si>
  <si>
    <t>Coluna7597</t>
  </si>
  <si>
    <t>Coluna7598</t>
  </si>
  <si>
    <t>Coluna7599</t>
  </si>
  <si>
    <t>Coluna7600</t>
  </si>
  <si>
    <t>Coluna7601</t>
  </si>
  <si>
    <t>Coluna7602</t>
  </si>
  <si>
    <t>Coluna7603</t>
  </si>
  <si>
    <t>Coluna7604</t>
  </si>
  <si>
    <t>Coluna7605</t>
  </si>
  <si>
    <t>Coluna7606</t>
  </si>
  <si>
    <t>Coluna7607</t>
  </si>
  <si>
    <t>Coluna7608</t>
  </si>
  <si>
    <t>Coluna7609</t>
  </si>
  <si>
    <t>Coluna7610</t>
  </si>
  <si>
    <t>Coluna7611</t>
  </si>
  <si>
    <t>Coluna7612</t>
  </si>
  <si>
    <t>Coluna7613</t>
  </si>
  <si>
    <t>Coluna7614</t>
  </si>
  <si>
    <t>Coluna7615</t>
  </si>
  <si>
    <t>Coluna7616</t>
  </si>
  <si>
    <t>Coluna7617</t>
  </si>
  <si>
    <t>Coluna7618</t>
  </si>
  <si>
    <t>Coluna7619</t>
  </si>
  <si>
    <t>Coluna7620</t>
  </si>
  <si>
    <t>Coluna7621</t>
  </si>
  <si>
    <t>Coluna7622</t>
  </si>
  <si>
    <t>Coluna7623</t>
  </si>
  <si>
    <t>Coluna7624</t>
  </si>
  <si>
    <t>Coluna7625</t>
  </si>
  <si>
    <t>Coluna7626</t>
  </si>
  <si>
    <t>Coluna7627</t>
  </si>
  <si>
    <t>Coluna7628</t>
  </si>
  <si>
    <t>Coluna7629</t>
  </si>
  <si>
    <t>Coluna7630</t>
  </si>
  <si>
    <t>Coluna7631</t>
  </si>
  <si>
    <t>Coluna7632</t>
  </si>
  <si>
    <t>Coluna7633</t>
  </si>
  <si>
    <t>Coluna7634</t>
  </si>
  <si>
    <t>Coluna7635</t>
  </si>
  <si>
    <t>Coluna7636</t>
  </si>
  <si>
    <t>Coluna7637</t>
  </si>
  <si>
    <t>Coluna7638</t>
  </si>
  <si>
    <t>Coluna7639</t>
  </si>
  <si>
    <t>Coluna7640</t>
  </si>
  <si>
    <t>Coluna7641</t>
  </si>
  <si>
    <t>Coluna7642</t>
  </si>
  <si>
    <t>Coluna7643</t>
  </si>
  <si>
    <t>Coluna7644</t>
  </si>
  <si>
    <t>Coluna7645</t>
  </si>
  <si>
    <t>Coluna7646</t>
  </si>
  <si>
    <t>Coluna7647</t>
  </si>
  <si>
    <t>Coluna7648</t>
  </si>
  <si>
    <t>Coluna7649</t>
  </si>
  <si>
    <t>Coluna7650</t>
  </si>
  <si>
    <t>Coluna7651</t>
  </si>
  <si>
    <t>Coluna7652</t>
  </si>
  <si>
    <t>Coluna7653</t>
  </si>
  <si>
    <t>Coluna7654</t>
  </si>
  <si>
    <t>Coluna7655</t>
  </si>
  <si>
    <t>Coluna7656</t>
  </si>
  <si>
    <t>Coluna7657</t>
  </si>
  <si>
    <t>Coluna7658</t>
  </si>
  <si>
    <t>Coluna7659</t>
  </si>
  <si>
    <t>Coluna7660</t>
  </si>
  <si>
    <t>Coluna7661</t>
  </si>
  <si>
    <t>Coluna7662</t>
  </si>
  <si>
    <t>Coluna7663</t>
  </si>
  <si>
    <t>Coluna7664</t>
  </si>
  <si>
    <t>Coluna7665</t>
  </si>
  <si>
    <t>Coluna7666</t>
  </si>
  <si>
    <t>Coluna7667</t>
  </si>
  <si>
    <t>Coluna7668</t>
  </si>
  <si>
    <t>Coluna7669</t>
  </si>
  <si>
    <t>Coluna7670</t>
  </si>
  <si>
    <t>Coluna7671</t>
  </si>
  <si>
    <t>Coluna7672</t>
  </si>
  <si>
    <t>Coluna7673</t>
  </si>
  <si>
    <t>Coluna7674</t>
  </si>
  <si>
    <t>Coluna7675</t>
  </si>
  <si>
    <t>Coluna7676</t>
  </si>
  <si>
    <t>Coluna7677</t>
  </si>
  <si>
    <t>Coluna7678</t>
  </si>
  <si>
    <t>Coluna7679</t>
  </si>
  <si>
    <t>Coluna7680</t>
  </si>
  <si>
    <t>Coluna7681</t>
  </si>
  <si>
    <t>Coluna7682</t>
  </si>
  <si>
    <t>Coluna7683</t>
  </si>
  <si>
    <t>Coluna7684</t>
  </si>
  <si>
    <t>Coluna7685</t>
  </si>
  <si>
    <t>Coluna7686</t>
  </si>
  <si>
    <t>Coluna7687</t>
  </si>
  <si>
    <t>Coluna7688</t>
  </si>
  <si>
    <t>Coluna7689</t>
  </si>
  <si>
    <t>Coluna7690</t>
  </si>
  <si>
    <t>Coluna7691</t>
  </si>
  <si>
    <t>Coluna7692</t>
  </si>
  <si>
    <t>Coluna7693</t>
  </si>
  <si>
    <t>Coluna7694</t>
  </si>
  <si>
    <t>Coluna7695</t>
  </si>
  <si>
    <t>Coluna7696</t>
  </si>
  <si>
    <t>Coluna7697</t>
  </si>
  <si>
    <t>Coluna7698</t>
  </si>
  <si>
    <t>Coluna7699</t>
  </si>
  <si>
    <t>Coluna7700</t>
  </si>
  <si>
    <t>Coluna7701</t>
  </si>
  <si>
    <t>Coluna7702</t>
  </si>
  <si>
    <t>Coluna7703</t>
  </si>
  <si>
    <t>Coluna7704</t>
  </si>
  <si>
    <t>Coluna7705</t>
  </si>
  <si>
    <t>Coluna7706</t>
  </si>
  <si>
    <t>Coluna7707</t>
  </si>
  <si>
    <t>Coluna7708</t>
  </si>
  <si>
    <t>Coluna7709</t>
  </si>
  <si>
    <t>Coluna7710</t>
  </si>
  <si>
    <t>Coluna7711</t>
  </si>
  <si>
    <t>Coluna7712</t>
  </si>
  <si>
    <t>Coluna7713</t>
  </si>
  <si>
    <t>Coluna7714</t>
  </si>
  <si>
    <t>Coluna7715</t>
  </si>
  <si>
    <t>Coluna7716</t>
  </si>
  <si>
    <t>Coluna7717</t>
  </si>
  <si>
    <t>Coluna7718</t>
  </si>
  <si>
    <t>Coluna7719</t>
  </si>
  <si>
    <t>Coluna7720</t>
  </si>
  <si>
    <t>Coluna7721</t>
  </si>
  <si>
    <t>Coluna7722</t>
  </si>
  <si>
    <t>Coluna7723</t>
  </si>
  <si>
    <t>Coluna7724</t>
  </si>
  <si>
    <t>Coluna7725</t>
  </si>
  <si>
    <t>Coluna7726</t>
  </si>
  <si>
    <t>Coluna7727</t>
  </si>
  <si>
    <t>Coluna7728</t>
  </si>
  <si>
    <t>Coluna7729</t>
  </si>
  <si>
    <t>Coluna7730</t>
  </si>
  <si>
    <t>Coluna7731</t>
  </si>
  <si>
    <t>Coluna7732</t>
  </si>
  <si>
    <t>Coluna7733</t>
  </si>
  <si>
    <t>Coluna7734</t>
  </si>
  <si>
    <t>Coluna7735</t>
  </si>
  <si>
    <t>Coluna7736</t>
  </si>
  <si>
    <t>Coluna7737</t>
  </si>
  <si>
    <t>Coluna7738</t>
  </si>
  <si>
    <t>Coluna7739</t>
  </si>
  <si>
    <t>Coluna7740</t>
  </si>
  <si>
    <t>Coluna7741</t>
  </si>
  <si>
    <t>Coluna7742</t>
  </si>
  <si>
    <t>Coluna7743</t>
  </si>
  <si>
    <t>Coluna7744</t>
  </si>
  <si>
    <t>Coluna7745</t>
  </si>
  <si>
    <t>Coluna7746</t>
  </si>
  <si>
    <t>Coluna7747</t>
  </si>
  <si>
    <t>Coluna7748</t>
  </si>
  <si>
    <t>Coluna7749</t>
  </si>
  <si>
    <t>Coluna7750</t>
  </si>
  <si>
    <t>Coluna7751</t>
  </si>
  <si>
    <t>Coluna7752</t>
  </si>
  <si>
    <t>Coluna7753</t>
  </si>
  <si>
    <t>Coluna7754</t>
  </si>
  <si>
    <t>Coluna7755</t>
  </si>
  <si>
    <t>Coluna7756</t>
  </si>
  <si>
    <t>Coluna7757</t>
  </si>
  <si>
    <t>Coluna7758</t>
  </si>
  <si>
    <t>Coluna7759</t>
  </si>
  <si>
    <t>Coluna7760</t>
  </si>
  <si>
    <t>Coluna7761</t>
  </si>
  <si>
    <t>Coluna7762</t>
  </si>
  <si>
    <t>Coluna7763</t>
  </si>
  <si>
    <t>Coluna7764</t>
  </si>
  <si>
    <t>Coluna7765</t>
  </si>
  <si>
    <t>Coluna7766</t>
  </si>
  <si>
    <t>Coluna7767</t>
  </si>
  <si>
    <t>Coluna7768</t>
  </si>
  <si>
    <t>Coluna7769</t>
  </si>
  <si>
    <t>Coluna7770</t>
  </si>
  <si>
    <t>Coluna7771</t>
  </si>
  <si>
    <t>Coluna7772</t>
  </si>
  <si>
    <t>Coluna7773</t>
  </si>
  <si>
    <t>Coluna7774</t>
  </si>
  <si>
    <t>Coluna7775</t>
  </si>
  <si>
    <t>Coluna7776</t>
  </si>
  <si>
    <t>Coluna7777</t>
  </si>
  <si>
    <t>Coluna7778</t>
  </si>
  <si>
    <t>Coluna7779</t>
  </si>
  <si>
    <t>Coluna7780</t>
  </si>
  <si>
    <t>Coluna7781</t>
  </si>
  <si>
    <t>Coluna7782</t>
  </si>
  <si>
    <t>Coluna7783</t>
  </si>
  <si>
    <t>Coluna7784</t>
  </si>
  <si>
    <t>Coluna7785</t>
  </si>
  <si>
    <t>Coluna7786</t>
  </si>
  <si>
    <t>Coluna7787</t>
  </si>
  <si>
    <t>Coluna7788</t>
  </si>
  <si>
    <t>Coluna7789</t>
  </si>
  <si>
    <t>Coluna7790</t>
  </si>
  <si>
    <t>Coluna7791</t>
  </si>
  <si>
    <t>Coluna7792</t>
  </si>
  <si>
    <t>Coluna7793</t>
  </si>
  <si>
    <t>Coluna7794</t>
  </si>
  <si>
    <t>Coluna7795</t>
  </si>
  <si>
    <t>Coluna7796</t>
  </si>
  <si>
    <t>Coluna7797</t>
  </si>
  <si>
    <t>Coluna7798</t>
  </si>
  <si>
    <t>Coluna7799</t>
  </si>
  <si>
    <t>Coluna7800</t>
  </si>
  <si>
    <t>Coluna7801</t>
  </si>
  <si>
    <t>Coluna7802</t>
  </si>
  <si>
    <t>Coluna7803</t>
  </si>
  <si>
    <t>Coluna7804</t>
  </si>
  <si>
    <t>Coluna7805</t>
  </si>
  <si>
    <t>Coluna7806</t>
  </si>
  <si>
    <t>Coluna7807</t>
  </si>
  <si>
    <t>Coluna7808</t>
  </si>
  <si>
    <t>Coluna7809</t>
  </si>
  <si>
    <t>Coluna7810</t>
  </si>
  <si>
    <t>Coluna7811</t>
  </si>
  <si>
    <t>Coluna7812</t>
  </si>
  <si>
    <t>Coluna7813</t>
  </si>
  <si>
    <t>Coluna7814</t>
  </si>
  <si>
    <t>Coluna7815</t>
  </si>
  <si>
    <t>Coluna7816</t>
  </si>
  <si>
    <t>Coluna7817</t>
  </si>
  <si>
    <t>Coluna7818</t>
  </si>
  <si>
    <t>Coluna7819</t>
  </si>
  <si>
    <t>Coluna7820</t>
  </si>
  <si>
    <t>Coluna7821</t>
  </si>
  <si>
    <t>Coluna7822</t>
  </si>
  <si>
    <t>Coluna7823</t>
  </si>
  <si>
    <t>Coluna7824</t>
  </si>
  <si>
    <t>Coluna7825</t>
  </si>
  <si>
    <t>Coluna7826</t>
  </si>
  <si>
    <t>Coluna7827</t>
  </si>
  <si>
    <t>Coluna7828</t>
  </si>
  <si>
    <t>Coluna7829</t>
  </si>
  <si>
    <t>Coluna7830</t>
  </si>
  <si>
    <t>Coluna7831</t>
  </si>
  <si>
    <t>Coluna7832</t>
  </si>
  <si>
    <t>Coluna7833</t>
  </si>
  <si>
    <t>Coluna7834</t>
  </si>
  <si>
    <t>Coluna7835</t>
  </si>
  <si>
    <t>Coluna7836</t>
  </si>
  <si>
    <t>Coluna7837</t>
  </si>
  <si>
    <t>Coluna7838</t>
  </si>
  <si>
    <t>Coluna7839</t>
  </si>
  <si>
    <t>Coluna7840</t>
  </si>
  <si>
    <t>Coluna7841</t>
  </si>
  <si>
    <t>Coluna7842</t>
  </si>
  <si>
    <t>Coluna7843</t>
  </si>
  <si>
    <t>Coluna7844</t>
  </si>
  <si>
    <t>Coluna7845</t>
  </si>
  <si>
    <t>Coluna7846</t>
  </si>
  <si>
    <t>Coluna7847</t>
  </si>
  <si>
    <t>Coluna7848</t>
  </si>
  <si>
    <t>Coluna7849</t>
  </si>
  <si>
    <t>Coluna7850</t>
  </si>
  <si>
    <t>Coluna7851</t>
  </si>
  <si>
    <t>Coluna7852</t>
  </si>
  <si>
    <t>Coluna7853</t>
  </si>
  <si>
    <t>Coluna7854</t>
  </si>
  <si>
    <t>Coluna7855</t>
  </si>
  <si>
    <t>Coluna7856</t>
  </si>
  <si>
    <t>Coluna7857</t>
  </si>
  <si>
    <t>Coluna7858</t>
  </si>
  <si>
    <t>Coluna7859</t>
  </si>
  <si>
    <t>Coluna7860</t>
  </si>
  <si>
    <t>Coluna7861</t>
  </si>
  <si>
    <t>Coluna7862</t>
  </si>
  <si>
    <t>Coluna7863</t>
  </si>
  <si>
    <t>Coluna7864</t>
  </si>
  <si>
    <t>Coluna7865</t>
  </si>
  <si>
    <t>Coluna7866</t>
  </si>
  <si>
    <t>Coluna7867</t>
  </si>
  <si>
    <t>Coluna7868</t>
  </si>
  <si>
    <t>Coluna7869</t>
  </si>
  <si>
    <t>Coluna7870</t>
  </si>
  <si>
    <t>Coluna7871</t>
  </si>
  <si>
    <t>Coluna7872</t>
  </si>
  <si>
    <t>Coluna7873</t>
  </si>
  <si>
    <t>Coluna7874</t>
  </si>
  <si>
    <t>Coluna7875</t>
  </si>
  <si>
    <t>Coluna7876</t>
  </si>
  <si>
    <t>Coluna7877</t>
  </si>
  <si>
    <t>Coluna7878</t>
  </si>
  <si>
    <t>Coluna7879</t>
  </si>
  <si>
    <t>Coluna7880</t>
  </si>
  <si>
    <t>Coluna7881</t>
  </si>
  <si>
    <t>Coluna7882</t>
  </si>
  <si>
    <t>Coluna7883</t>
  </si>
  <si>
    <t>Coluna7884</t>
  </si>
  <si>
    <t>Coluna7885</t>
  </si>
  <si>
    <t>Coluna7886</t>
  </si>
  <si>
    <t>Coluna7887</t>
  </si>
  <si>
    <t>Coluna7888</t>
  </si>
  <si>
    <t>Coluna7889</t>
  </si>
  <si>
    <t>Coluna7890</t>
  </si>
  <si>
    <t>Coluna7891</t>
  </si>
  <si>
    <t>Coluna7892</t>
  </si>
  <si>
    <t>Coluna7893</t>
  </si>
  <si>
    <t>Coluna7894</t>
  </si>
  <si>
    <t>Coluna7895</t>
  </si>
  <si>
    <t>Coluna7896</t>
  </si>
  <si>
    <t>Coluna7897</t>
  </si>
  <si>
    <t>Coluna7898</t>
  </si>
  <si>
    <t>Coluna7899</t>
  </si>
  <si>
    <t>Coluna7900</t>
  </si>
  <si>
    <t>Coluna7901</t>
  </si>
  <si>
    <t>Coluna7902</t>
  </si>
  <si>
    <t>Coluna7903</t>
  </si>
  <si>
    <t>Coluna7904</t>
  </si>
  <si>
    <t>Coluna7905</t>
  </si>
  <si>
    <t>Coluna7906</t>
  </si>
  <si>
    <t>Coluna7907</t>
  </si>
  <si>
    <t>Coluna7908</t>
  </si>
  <si>
    <t>Coluna7909</t>
  </si>
  <si>
    <t>Coluna7910</t>
  </si>
  <si>
    <t>Coluna7911</t>
  </si>
  <si>
    <t>Coluna7912</t>
  </si>
  <si>
    <t>Coluna7913</t>
  </si>
  <si>
    <t>Coluna7914</t>
  </si>
  <si>
    <t>Coluna7915</t>
  </si>
  <si>
    <t>Coluna7916</t>
  </si>
  <si>
    <t>Coluna7917</t>
  </si>
  <si>
    <t>Coluna7918</t>
  </si>
  <si>
    <t>Coluna7919</t>
  </si>
  <si>
    <t>Coluna7920</t>
  </si>
  <si>
    <t>Coluna7921</t>
  </si>
  <si>
    <t>Coluna7922</t>
  </si>
  <si>
    <t>Coluna7923</t>
  </si>
  <si>
    <t>Coluna7924</t>
  </si>
  <si>
    <t>Coluna7925</t>
  </si>
  <si>
    <t>Coluna7926</t>
  </si>
  <si>
    <t>Coluna7927</t>
  </si>
  <si>
    <t>Coluna7928</t>
  </si>
  <si>
    <t>Coluna7929</t>
  </si>
  <si>
    <t>Coluna7930</t>
  </si>
  <si>
    <t>Coluna7931</t>
  </si>
  <si>
    <t>Coluna7932</t>
  </si>
  <si>
    <t>Coluna7933</t>
  </si>
  <si>
    <t>Coluna7934</t>
  </si>
  <si>
    <t>Coluna7935</t>
  </si>
  <si>
    <t>Coluna7936</t>
  </si>
  <si>
    <t>Coluna7937</t>
  </si>
  <si>
    <t>Coluna7938</t>
  </si>
  <si>
    <t>Coluna7939</t>
  </si>
  <si>
    <t>Coluna7940</t>
  </si>
  <si>
    <t>Coluna7941</t>
  </si>
  <si>
    <t>Coluna7942</t>
  </si>
  <si>
    <t>Coluna7943</t>
  </si>
  <si>
    <t>Coluna7944</t>
  </si>
  <si>
    <t>Coluna7945</t>
  </si>
  <si>
    <t>Coluna7946</t>
  </si>
  <si>
    <t>Coluna7947</t>
  </si>
  <si>
    <t>Coluna7948</t>
  </si>
  <si>
    <t>Coluna7949</t>
  </si>
  <si>
    <t>Coluna7950</t>
  </si>
  <si>
    <t>Coluna7951</t>
  </si>
  <si>
    <t>Coluna7952</t>
  </si>
  <si>
    <t>Coluna7953</t>
  </si>
  <si>
    <t>Coluna7954</t>
  </si>
  <si>
    <t>Coluna7955</t>
  </si>
  <si>
    <t>Coluna7956</t>
  </si>
  <si>
    <t>Coluna7957</t>
  </si>
  <si>
    <t>Coluna7958</t>
  </si>
  <si>
    <t>Coluna7959</t>
  </si>
  <si>
    <t>Coluna7960</t>
  </si>
  <si>
    <t>Coluna7961</t>
  </si>
  <si>
    <t>Coluna7962</t>
  </si>
  <si>
    <t>Coluna7963</t>
  </si>
  <si>
    <t>Coluna7964</t>
  </si>
  <si>
    <t>Coluna7965</t>
  </si>
  <si>
    <t>Coluna7966</t>
  </si>
  <si>
    <t>Coluna7967</t>
  </si>
  <si>
    <t>Coluna7968</t>
  </si>
  <si>
    <t>Coluna7969</t>
  </si>
  <si>
    <t>Coluna7970</t>
  </si>
  <si>
    <t>Coluna7971</t>
  </si>
  <si>
    <t>Coluna7972</t>
  </si>
  <si>
    <t>Coluna7973</t>
  </si>
  <si>
    <t>Coluna7974</t>
  </si>
  <si>
    <t>Coluna7975</t>
  </si>
  <si>
    <t>Coluna7976</t>
  </si>
  <si>
    <t>Coluna7977</t>
  </si>
  <si>
    <t>Coluna7978</t>
  </si>
  <si>
    <t>Coluna7979</t>
  </si>
  <si>
    <t>Coluna7980</t>
  </si>
  <si>
    <t>Coluna7981</t>
  </si>
  <si>
    <t>Coluna7982</t>
  </si>
  <si>
    <t>Coluna7983</t>
  </si>
  <si>
    <t>Coluna7984</t>
  </si>
  <si>
    <t>Coluna7985</t>
  </si>
  <si>
    <t>Coluna7986</t>
  </si>
  <si>
    <t>Coluna7987</t>
  </si>
  <si>
    <t>Coluna7988</t>
  </si>
  <si>
    <t>Coluna7989</t>
  </si>
  <si>
    <t>Coluna7990</t>
  </si>
  <si>
    <t>Coluna7991</t>
  </si>
  <si>
    <t>Coluna7992</t>
  </si>
  <si>
    <t>Coluna7993</t>
  </si>
  <si>
    <t>Coluna7994</t>
  </si>
  <si>
    <t>Coluna7995</t>
  </si>
  <si>
    <t>Coluna7996</t>
  </si>
  <si>
    <t>Coluna7997</t>
  </si>
  <si>
    <t>Coluna7998</t>
  </si>
  <si>
    <t>Coluna7999</t>
  </si>
  <si>
    <t>Coluna8000</t>
  </si>
  <si>
    <t>Coluna8001</t>
  </si>
  <si>
    <t>Coluna8002</t>
  </si>
  <si>
    <t>Coluna8003</t>
  </si>
  <si>
    <t>Coluna8004</t>
  </si>
  <si>
    <t>Coluna8005</t>
  </si>
  <si>
    <t>Coluna8006</t>
  </si>
  <si>
    <t>Coluna8007</t>
  </si>
  <si>
    <t>Coluna8008</t>
  </si>
  <si>
    <t>Coluna8009</t>
  </si>
  <si>
    <t>Coluna8010</t>
  </si>
  <si>
    <t>Coluna8011</t>
  </si>
  <si>
    <t>Coluna8012</t>
  </si>
  <si>
    <t>Coluna8013</t>
  </si>
  <si>
    <t>Coluna8014</t>
  </si>
  <si>
    <t>Coluna8015</t>
  </si>
  <si>
    <t>Coluna8016</t>
  </si>
  <si>
    <t>Coluna8017</t>
  </si>
  <si>
    <t>Coluna8018</t>
  </si>
  <si>
    <t>Coluna8019</t>
  </si>
  <si>
    <t>Coluna8020</t>
  </si>
  <si>
    <t>Coluna8021</t>
  </si>
  <si>
    <t>Coluna8022</t>
  </si>
  <si>
    <t>Coluna8023</t>
  </si>
  <si>
    <t>Coluna8024</t>
  </si>
  <si>
    <t>Coluna8025</t>
  </si>
  <si>
    <t>Coluna8026</t>
  </si>
  <si>
    <t>Coluna8027</t>
  </si>
  <si>
    <t>Coluna8028</t>
  </si>
  <si>
    <t>Coluna8029</t>
  </si>
  <si>
    <t>Coluna8030</t>
  </si>
  <si>
    <t>Coluna8031</t>
  </si>
  <si>
    <t>Coluna8032</t>
  </si>
  <si>
    <t>Coluna8033</t>
  </si>
  <si>
    <t>Coluna8034</t>
  </si>
  <si>
    <t>Coluna8035</t>
  </si>
  <si>
    <t>Coluna8036</t>
  </si>
  <si>
    <t>Coluna8037</t>
  </si>
  <si>
    <t>Coluna8038</t>
  </si>
  <si>
    <t>Coluna8039</t>
  </si>
  <si>
    <t>Coluna8040</t>
  </si>
  <si>
    <t>Coluna8041</t>
  </si>
  <si>
    <t>Coluna8042</t>
  </si>
  <si>
    <t>Coluna8043</t>
  </si>
  <si>
    <t>Coluna8044</t>
  </si>
  <si>
    <t>Coluna8045</t>
  </si>
  <si>
    <t>Coluna8046</t>
  </si>
  <si>
    <t>Coluna8047</t>
  </si>
  <si>
    <t>Coluna8048</t>
  </si>
  <si>
    <t>Coluna8049</t>
  </si>
  <si>
    <t>Coluna8050</t>
  </si>
  <si>
    <t>Coluna8051</t>
  </si>
  <si>
    <t>Coluna8052</t>
  </si>
  <si>
    <t>Coluna8053</t>
  </si>
  <si>
    <t>Coluna8054</t>
  </si>
  <si>
    <t>Coluna8055</t>
  </si>
  <si>
    <t>Coluna8056</t>
  </si>
  <si>
    <t>Coluna8057</t>
  </si>
  <si>
    <t>Coluna8058</t>
  </si>
  <si>
    <t>Coluna8059</t>
  </si>
  <si>
    <t>Coluna8060</t>
  </si>
  <si>
    <t>Coluna8061</t>
  </si>
  <si>
    <t>Coluna8062</t>
  </si>
  <si>
    <t>Coluna8063</t>
  </si>
  <si>
    <t>Coluna8064</t>
  </si>
  <si>
    <t>Coluna8065</t>
  </si>
  <si>
    <t>Coluna8066</t>
  </si>
  <si>
    <t>Coluna8067</t>
  </si>
  <si>
    <t>Coluna8068</t>
  </si>
  <si>
    <t>Coluna8069</t>
  </si>
  <si>
    <t>Coluna8070</t>
  </si>
  <si>
    <t>Coluna8071</t>
  </si>
  <si>
    <t>Coluna8072</t>
  </si>
  <si>
    <t>Coluna8073</t>
  </si>
  <si>
    <t>Coluna8074</t>
  </si>
  <si>
    <t>Coluna8075</t>
  </si>
  <si>
    <t>Coluna8076</t>
  </si>
  <si>
    <t>Coluna8077</t>
  </si>
  <si>
    <t>Coluna8078</t>
  </si>
  <si>
    <t>Coluna8079</t>
  </si>
  <si>
    <t>Coluna8080</t>
  </si>
  <si>
    <t>Coluna8081</t>
  </si>
  <si>
    <t>Coluna8082</t>
  </si>
  <si>
    <t>Coluna8083</t>
  </si>
  <si>
    <t>Coluna8084</t>
  </si>
  <si>
    <t>Coluna8085</t>
  </si>
  <si>
    <t>Coluna8086</t>
  </si>
  <si>
    <t>Coluna8087</t>
  </si>
  <si>
    <t>Coluna8088</t>
  </si>
  <si>
    <t>Coluna8089</t>
  </si>
  <si>
    <t>Coluna8090</t>
  </si>
  <si>
    <t>Coluna8091</t>
  </si>
  <si>
    <t>Coluna8092</t>
  </si>
  <si>
    <t>Coluna8093</t>
  </si>
  <si>
    <t>Coluna8094</t>
  </si>
  <si>
    <t>Coluna8095</t>
  </si>
  <si>
    <t>Coluna8096</t>
  </si>
  <si>
    <t>Coluna8097</t>
  </si>
  <si>
    <t>Coluna8098</t>
  </si>
  <si>
    <t>Coluna8099</t>
  </si>
  <si>
    <t>Coluna8100</t>
  </si>
  <si>
    <t>Coluna8101</t>
  </si>
  <si>
    <t>Coluna8102</t>
  </si>
  <si>
    <t>Coluna8103</t>
  </si>
  <si>
    <t>Coluna8104</t>
  </si>
  <si>
    <t>Coluna8105</t>
  </si>
  <si>
    <t>Coluna8106</t>
  </si>
  <si>
    <t>Coluna8107</t>
  </si>
  <si>
    <t>Coluna8108</t>
  </si>
  <si>
    <t>Coluna8109</t>
  </si>
  <si>
    <t>Coluna8110</t>
  </si>
  <si>
    <t>Coluna8111</t>
  </si>
  <si>
    <t>Coluna8112</t>
  </si>
  <si>
    <t>Coluna8113</t>
  </si>
  <si>
    <t>Coluna8114</t>
  </si>
  <si>
    <t>Coluna8115</t>
  </si>
  <si>
    <t>Coluna8116</t>
  </si>
  <si>
    <t>Coluna8117</t>
  </si>
  <si>
    <t>Coluna8118</t>
  </si>
  <si>
    <t>Coluna8119</t>
  </si>
  <si>
    <t>Coluna8120</t>
  </si>
  <si>
    <t>Coluna8121</t>
  </si>
  <si>
    <t>Coluna8122</t>
  </si>
  <si>
    <t>Coluna8123</t>
  </si>
  <si>
    <t>Coluna8124</t>
  </si>
  <si>
    <t>Coluna8125</t>
  </si>
  <si>
    <t>Coluna8126</t>
  </si>
  <si>
    <t>Coluna8127</t>
  </si>
  <si>
    <t>Coluna8128</t>
  </si>
  <si>
    <t>Coluna8129</t>
  </si>
  <si>
    <t>Coluna8130</t>
  </si>
  <si>
    <t>Coluna8131</t>
  </si>
  <si>
    <t>Coluna8132</t>
  </si>
  <si>
    <t>Coluna8133</t>
  </si>
  <si>
    <t>Coluna8134</t>
  </si>
  <si>
    <t>Coluna8135</t>
  </si>
  <si>
    <t>Coluna8136</t>
  </si>
  <si>
    <t>Coluna8137</t>
  </si>
  <si>
    <t>Coluna8138</t>
  </si>
  <si>
    <t>Coluna8139</t>
  </si>
  <si>
    <t>Coluna8140</t>
  </si>
  <si>
    <t>Coluna8141</t>
  </si>
  <si>
    <t>Coluna8142</t>
  </si>
  <si>
    <t>Coluna8143</t>
  </si>
  <si>
    <t>Coluna8144</t>
  </si>
  <si>
    <t>Coluna8145</t>
  </si>
  <si>
    <t>Coluna8146</t>
  </si>
  <si>
    <t>Coluna8147</t>
  </si>
  <si>
    <t>Coluna8148</t>
  </si>
  <si>
    <t>Coluna8149</t>
  </si>
  <si>
    <t>Coluna8150</t>
  </si>
  <si>
    <t>Coluna8151</t>
  </si>
  <si>
    <t>Coluna8152</t>
  </si>
  <si>
    <t>Coluna8153</t>
  </si>
  <si>
    <t>Coluna8154</t>
  </si>
  <si>
    <t>Coluna8155</t>
  </si>
  <si>
    <t>Coluna8156</t>
  </si>
  <si>
    <t>Coluna8157</t>
  </si>
  <si>
    <t>Coluna8158</t>
  </si>
  <si>
    <t>Coluna8159</t>
  </si>
  <si>
    <t>Coluna8160</t>
  </si>
  <si>
    <t>Coluna8161</t>
  </si>
  <si>
    <t>Coluna8162</t>
  </si>
  <si>
    <t>Coluna8163</t>
  </si>
  <si>
    <t>Coluna8164</t>
  </si>
  <si>
    <t>Coluna8165</t>
  </si>
  <si>
    <t>Coluna8166</t>
  </si>
  <si>
    <t>Coluna8167</t>
  </si>
  <si>
    <t>Coluna8168</t>
  </si>
  <si>
    <t>Coluna8169</t>
  </si>
  <si>
    <t>Coluna8170</t>
  </si>
  <si>
    <t>Coluna8171</t>
  </si>
  <si>
    <t>Coluna8172</t>
  </si>
  <si>
    <t>Coluna8173</t>
  </si>
  <si>
    <t>Coluna8174</t>
  </si>
  <si>
    <t>Coluna8175</t>
  </si>
  <si>
    <t>Coluna8176</t>
  </si>
  <si>
    <t>Coluna8177</t>
  </si>
  <si>
    <t>Coluna8178</t>
  </si>
  <si>
    <t>Coluna8179</t>
  </si>
  <si>
    <t>Coluna8180</t>
  </si>
  <si>
    <t>Coluna8181</t>
  </si>
  <si>
    <t>Coluna8182</t>
  </si>
  <si>
    <t>Coluna8183</t>
  </si>
  <si>
    <t>Coluna8184</t>
  </si>
  <si>
    <t>Coluna8185</t>
  </si>
  <si>
    <t>Coluna8186</t>
  </si>
  <si>
    <t>Coluna8187</t>
  </si>
  <si>
    <t>Coluna8188</t>
  </si>
  <si>
    <t>Coluna8189</t>
  </si>
  <si>
    <t>Coluna8190</t>
  </si>
  <si>
    <t>Coluna8191</t>
  </si>
  <si>
    <t>Coluna8192</t>
  </si>
  <si>
    <t>Coluna8193</t>
  </si>
  <si>
    <t>Coluna8194</t>
  </si>
  <si>
    <t>Coluna8195</t>
  </si>
  <si>
    <t>Coluna8196</t>
  </si>
  <si>
    <t>Coluna8197</t>
  </si>
  <si>
    <t>Coluna8198</t>
  </si>
  <si>
    <t>Coluna8199</t>
  </si>
  <si>
    <t>Coluna8200</t>
  </si>
  <si>
    <t>Coluna8201</t>
  </si>
  <si>
    <t>Coluna8202</t>
  </si>
  <si>
    <t>Coluna8203</t>
  </si>
  <si>
    <t>Coluna8204</t>
  </si>
  <si>
    <t>Coluna8205</t>
  </si>
  <si>
    <t>Coluna8206</t>
  </si>
  <si>
    <t>Coluna8207</t>
  </si>
  <si>
    <t>Coluna8208</t>
  </si>
  <si>
    <t>Coluna8209</t>
  </si>
  <si>
    <t>Coluna8210</t>
  </si>
  <si>
    <t>Coluna8211</t>
  </si>
  <si>
    <t>Coluna8212</t>
  </si>
  <si>
    <t>Coluna8213</t>
  </si>
  <si>
    <t>Coluna8214</t>
  </si>
  <si>
    <t>Coluna8215</t>
  </si>
  <si>
    <t>Coluna8216</t>
  </si>
  <si>
    <t>Coluna8217</t>
  </si>
  <si>
    <t>Coluna8218</t>
  </si>
  <si>
    <t>Coluna8219</t>
  </si>
  <si>
    <t>Coluna8220</t>
  </si>
  <si>
    <t>Coluna8221</t>
  </si>
  <si>
    <t>Coluna8222</t>
  </si>
  <si>
    <t>Coluna8223</t>
  </si>
  <si>
    <t>Coluna8224</t>
  </si>
  <si>
    <t>Coluna8225</t>
  </si>
  <si>
    <t>Coluna8226</t>
  </si>
  <si>
    <t>Coluna8227</t>
  </si>
  <si>
    <t>Coluna8228</t>
  </si>
  <si>
    <t>Coluna8229</t>
  </si>
  <si>
    <t>Coluna8230</t>
  </si>
  <si>
    <t>Coluna8231</t>
  </si>
  <si>
    <t>Coluna8232</t>
  </si>
  <si>
    <t>Coluna8233</t>
  </si>
  <si>
    <t>Coluna8234</t>
  </si>
  <si>
    <t>Coluna8235</t>
  </si>
  <si>
    <t>Coluna8236</t>
  </si>
  <si>
    <t>Coluna8237</t>
  </si>
  <si>
    <t>Coluna8238</t>
  </si>
  <si>
    <t>Coluna8239</t>
  </si>
  <si>
    <t>Coluna8240</t>
  </si>
  <si>
    <t>Coluna8241</t>
  </si>
  <si>
    <t>Coluna8242</t>
  </si>
  <si>
    <t>Coluna8243</t>
  </si>
  <si>
    <t>Coluna8244</t>
  </si>
  <si>
    <t>Coluna8245</t>
  </si>
  <si>
    <t>Coluna8246</t>
  </si>
  <si>
    <t>Coluna8247</t>
  </si>
  <si>
    <t>Coluna8248</t>
  </si>
  <si>
    <t>Coluna8249</t>
  </si>
  <si>
    <t>Coluna8250</t>
  </si>
  <si>
    <t>Coluna8251</t>
  </si>
  <si>
    <t>Coluna8252</t>
  </si>
  <si>
    <t>Coluna8253</t>
  </si>
  <si>
    <t>Coluna8254</t>
  </si>
  <si>
    <t>Coluna8255</t>
  </si>
  <si>
    <t>Coluna8256</t>
  </si>
  <si>
    <t>Coluna8257</t>
  </si>
  <si>
    <t>Coluna8258</t>
  </si>
  <si>
    <t>Coluna8259</t>
  </si>
  <si>
    <t>Coluna8260</t>
  </si>
  <si>
    <t>Coluna8261</t>
  </si>
  <si>
    <t>Coluna8262</t>
  </si>
  <si>
    <t>Coluna8263</t>
  </si>
  <si>
    <t>Coluna8264</t>
  </si>
  <si>
    <t>Coluna8265</t>
  </si>
  <si>
    <t>Coluna8266</t>
  </si>
  <si>
    <t>Coluna8267</t>
  </si>
  <si>
    <t>Coluna8268</t>
  </si>
  <si>
    <t>Coluna8269</t>
  </si>
  <si>
    <t>Coluna8270</t>
  </si>
  <si>
    <t>Coluna8271</t>
  </si>
  <si>
    <t>Coluna8272</t>
  </si>
  <si>
    <t>Coluna8273</t>
  </si>
  <si>
    <t>Coluna8274</t>
  </si>
  <si>
    <t>Coluna8275</t>
  </si>
  <si>
    <t>Coluna8276</t>
  </si>
  <si>
    <t>Coluna8277</t>
  </si>
  <si>
    <t>Coluna8278</t>
  </si>
  <si>
    <t>Coluna8279</t>
  </si>
  <si>
    <t>Coluna8280</t>
  </si>
  <si>
    <t>Coluna8281</t>
  </si>
  <si>
    <t>Coluna8282</t>
  </si>
  <si>
    <t>Coluna8283</t>
  </si>
  <si>
    <t>Coluna8284</t>
  </si>
  <si>
    <t>Coluna8285</t>
  </si>
  <si>
    <t>Coluna8286</t>
  </si>
  <si>
    <t>Coluna8287</t>
  </si>
  <si>
    <t>Coluna8288</t>
  </si>
  <si>
    <t>Coluna8289</t>
  </si>
  <si>
    <t>Coluna8290</t>
  </si>
  <si>
    <t>Coluna8291</t>
  </si>
  <si>
    <t>Coluna8292</t>
  </si>
  <si>
    <t>Coluna8293</t>
  </si>
  <si>
    <t>Coluna8294</t>
  </si>
  <si>
    <t>Coluna8295</t>
  </si>
  <si>
    <t>Coluna8296</t>
  </si>
  <si>
    <t>Coluna8297</t>
  </si>
  <si>
    <t>Coluna8298</t>
  </si>
  <si>
    <t>Coluna8299</t>
  </si>
  <si>
    <t>Coluna8300</t>
  </si>
  <si>
    <t>Coluna8301</t>
  </si>
  <si>
    <t>Coluna8302</t>
  </si>
  <si>
    <t>Coluna8303</t>
  </si>
  <si>
    <t>Coluna8304</t>
  </si>
  <si>
    <t>Coluna8305</t>
  </si>
  <si>
    <t>Coluna8306</t>
  </si>
  <si>
    <t>Coluna8307</t>
  </si>
  <si>
    <t>Coluna8308</t>
  </si>
  <si>
    <t>Coluna8309</t>
  </si>
  <si>
    <t>Coluna8310</t>
  </si>
  <si>
    <t>Coluna8311</t>
  </si>
  <si>
    <t>Coluna8312</t>
  </si>
  <si>
    <t>Coluna8313</t>
  </si>
  <si>
    <t>Coluna8314</t>
  </si>
  <si>
    <t>Coluna8315</t>
  </si>
  <si>
    <t>Coluna8316</t>
  </si>
  <si>
    <t>Coluna8317</t>
  </si>
  <si>
    <t>Coluna8318</t>
  </si>
  <si>
    <t>Coluna8319</t>
  </si>
  <si>
    <t>Coluna8320</t>
  </si>
  <si>
    <t>Coluna8321</t>
  </si>
  <si>
    <t>Coluna8322</t>
  </si>
  <si>
    <t>Coluna8323</t>
  </si>
  <si>
    <t>Coluna8324</t>
  </si>
  <si>
    <t>Coluna8325</t>
  </si>
  <si>
    <t>Coluna8326</t>
  </si>
  <si>
    <t>Coluna8327</t>
  </si>
  <si>
    <t>Coluna8328</t>
  </si>
  <si>
    <t>Coluna8329</t>
  </si>
  <si>
    <t>Coluna8330</t>
  </si>
  <si>
    <t>Coluna8331</t>
  </si>
  <si>
    <t>Coluna8332</t>
  </si>
  <si>
    <t>Coluna8333</t>
  </si>
  <si>
    <t>Coluna8334</t>
  </si>
  <si>
    <t>Coluna8335</t>
  </si>
  <si>
    <t>Coluna8336</t>
  </si>
  <si>
    <t>Coluna8337</t>
  </si>
  <si>
    <t>Coluna8338</t>
  </si>
  <si>
    <t>Coluna8339</t>
  </si>
  <si>
    <t>Coluna8340</t>
  </si>
  <si>
    <t>Coluna8341</t>
  </si>
  <si>
    <t>Coluna8342</t>
  </si>
  <si>
    <t>Coluna8343</t>
  </si>
  <si>
    <t>Coluna8344</t>
  </si>
  <si>
    <t>Coluna8345</t>
  </si>
  <si>
    <t>Coluna8346</t>
  </si>
  <si>
    <t>Coluna8347</t>
  </si>
  <si>
    <t>Coluna8348</t>
  </si>
  <si>
    <t>Coluna8349</t>
  </si>
  <si>
    <t>Coluna8350</t>
  </si>
  <si>
    <t>Coluna8351</t>
  </si>
  <si>
    <t>Coluna8352</t>
  </si>
  <si>
    <t>Coluna8353</t>
  </si>
  <si>
    <t>Coluna8354</t>
  </si>
  <si>
    <t>Coluna8355</t>
  </si>
  <si>
    <t>Coluna8356</t>
  </si>
  <si>
    <t>Coluna8357</t>
  </si>
  <si>
    <t>Coluna8358</t>
  </si>
  <si>
    <t>Coluna8359</t>
  </si>
  <si>
    <t>Coluna8360</t>
  </si>
  <si>
    <t>Coluna8361</t>
  </si>
  <si>
    <t>Coluna8362</t>
  </si>
  <si>
    <t>Coluna8363</t>
  </si>
  <si>
    <t>Coluna8364</t>
  </si>
  <si>
    <t>Coluna8365</t>
  </si>
  <si>
    <t>Coluna8366</t>
  </si>
  <si>
    <t>Coluna8367</t>
  </si>
  <si>
    <t>Coluna8368</t>
  </si>
  <si>
    <t>Coluna8369</t>
  </si>
  <si>
    <t>Coluna8370</t>
  </si>
  <si>
    <t>Coluna8371</t>
  </si>
  <si>
    <t>Coluna8372</t>
  </si>
  <si>
    <t>Coluna8373</t>
  </si>
  <si>
    <t>Coluna8374</t>
  </si>
  <si>
    <t>Coluna8375</t>
  </si>
  <si>
    <t>Coluna8376</t>
  </si>
  <si>
    <t>Coluna8377</t>
  </si>
  <si>
    <t>Coluna8378</t>
  </si>
  <si>
    <t>Coluna8379</t>
  </si>
  <si>
    <t>Coluna8380</t>
  </si>
  <si>
    <t>Coluna8381</t>
  </si>
  <si>
    <t>Coluna8382</t>
  </si>
  <si>
    <t>Coluna8383</t>
  </si>
  <si>
    <t>Coluna8384</t>
  </si>
  <si>
    <t>Coluna8385</t>
  </si>
  <si>
    <t>Coluna8386</t>
  </si>
  <si>
    <t>Coluna8387</t>
  </si>
  <si>
    <t>Coluna8388</t>
  </si>
  <si>
    <t>Coluna8389</t>
  </si>
  <si>
    <t>Coluna8390</t>
  </si>
  <si>
    <t>Coluna8391</t>
  </si>
  <si>
    <t>Coluna8392</t>
  </si>
  <si>
    <t>Coluna8393</t>
  </si>
  <si>
    <t>Coluna8394</t>
  </si>
  <si>
    <t>Coluna8395</t>
  </si>
  <si>
    <t>Coluna8396</t>
  </si>
  <si>
    <t>Coluna8397</t>
  </si>
  <si>
    <t>Coluna8398</t>
  </si>
  <si>
    <t>Coluna8399</t>
  </si>
  <si>
    <t>Coluna8400</t>
  </si>
  <si>
    <t>Coluna8401</t>
  </si>
  <si>
    <t>Coluna8402</t>
  </si>
  <si>
    <t>Coluna8403</t>
  </si>
  <si>
    <t>Coluna8404</t>
  </si>
  <si>
    <t>Coluna8405</t>
  </si>
  <si>
    <t>Coluna8406</t>
  </si>
  <si>
    <t>Coluna8407</t>
  </si>
  <si>
    <t>Coluna8408</t>
  </si>
  <si>
    <t>Coluna8409</t>
  </si>
  <si>
    <t>Coluna8410</t>
  </si>
  <si>
    <t>Coluna8411</t>
  </si>
  <si>
    <t>Coluna8412</t>
  </si>
  <si>
    <t>Coluna8413</t>
  </si>
  <si>
    <t>Coluna8414</t>
  </si>
  <si>
    <t>Coluna8415</t>
  </si>
  <si>
    <t>Coluna8416</t>
  </si>
  <si>
    <t>Coluna8417</t>
  </si>
  <si>
    <t>Coluna8418</t>
  </si>
  <si>
    <t>Coluna8419</t>
  </si>
  <si>
    <t>Coluna8420</t>
  </si>
  <si>
    <t>Coluna8421</t>
  </si>
  <si>
    <t>Coluna8422</t>
  </si>
  <si>
    <t>Coluna8423</t>
  </si>
  <si>
    <t>Coluna8424</t>
  </si>
  <si>
    <t>Coluna8425</t>
  </si>
  <si>
    <t>Coluna8426</t>
  </si>
  <si>
    <t>Coluna8427</t>
  </si>
  <si>
    <t>Coluna8428</t>
  </si>
  <si>
    <t>Coluna8429</t>
  </si>
  <si>
    <t>Coluna8430</t>
  </si>
  <si>
    <t>Coluna8431</t>
  </si>
  <si>
    <t>Coluna8432</t>
  </si>
  <si>
    <t>Coluna8433</t>
  </si>
  <si>
    <t>Coluna8434</t>
  </si>
  <si>
    <t>Coluna8435</t>
  </si>
  <si>
    <t>Coluna8436</t>
  </si>
  <si>
    <t>Coluna8437</t>
  </si>
  <si>
    <t>Coluna8438</t>
  </si>
  <si>
    <t>Coluna8439</t>
  </si>
  <si>
    <t>Coluna8440</t>
  </si>
  <si>
    <t>Coluna8441</t>
  </si>
  <si>
    <t>Coluna8442</t>
  </si>
  <si>
    <t>Coluna8443</t>
  </si>
  <si>
    <t>Coluna8444</t>
  </si>
  <si>
    <t>Coluna8445</t>
  </si>
  <si>
    <t>Coluna8446</t>
  </si>
  <si>
    <t>Coluna8447</t>
  </si>
  <si>
    <t>Coluna8448</t>
  </si>
  <si>
    <t>Coluna8449</t>
  </si>
  <si>
    <t>Coluna8450</t>
  </si>
  <si>
    <t>Coluna8451</t>
  </si>
  <si>
    <t>Coluna8452</t>
  </si>
  <si>
    <t>Coluna8453</t>
  </si>
  <si>
    <t>Coluna8454</t>
  </si>
  <si>
    <t>Coluna8455</t>
  </si>
  <si>
    <t>Coluna8456</t>
  </si>
  <si>
    <t>Coluna8457</t>
  </si>
  <si>
    <t>Coluna8458</t>
  </si>
  <si>
    <t>Coluna8459</t>
  </si>
  <si>
    <t>Coluna8460</t>
  </si>
  <si>
    <t>Coluna8461</t>
  </si>
  <si>
    <t>Coluna8462</t>
  </si>
  <si>
    <t>Coluna8463</t>
  </si>
  <si>
    <t>Coluna8464</t>
  </si>
  <si>
    <t>Coluna8465</t>
  </si>
  <si>
    <t>Coluna8466</t>
  </si>
  <si>
    <t>Coluna8467</t>
  </si>
  <si>
    <t>Coluna8468</t>
  </si>
  <si>
    <t>Coluna8469</t>
  </si>
  <si>
    <t>Coluna8470</t>
  </si>
  <si>
    <t>Coluna8471</t>
  </si>
  <si>
    <t>Coluna8472</t>
  </si>
  <si>
    <t>Coluna8473</t>
  </si>
  <si>
    <t>Coluna8474</t>
  </si>
  <si>
    <t>Coluna8475</t>
  </si>
  <si>
    <t>Coluna8476</t>
  </si>
  <si>
    <t>Coluna8477</t>
  </si>
  <si>
    <t>Coluna8478</t>
  </si>
  <si>
    <t>Coluna8479</t>
  </si>
  <si>
    <t>Coluna8480</t>
  </si>
  <si>
    <t>Coluna8481</t>
  </si>
  <si>
    <t>Coluna8482</t>
  </si>
  <si>
    <t>Coluna8483</t>
  </si>
  <si>
    <t>Coluna8484</t>
  </si>
  <si>
    <t>Coluna8485</t>
  </si>
  <si>
    <t>Coluna8486</t>
  </si>
  <si>
    <t>Coluna8487</t>
  </si>
  <si>
    <t>Coluna8488</t>
  </si>
  <si>
    <t>Coluna8489</t>
  </si>
  <si>
    <t>Coluna8490</t>
  </si>
  <si>
    <t>Coluna8491</t>
  </si>
  <si>
    <t>Coluna8492</t>
  </si>
  <si>
    <t>Coluna8493</t>
  </si>
  <si>
    <t>Coluna8494</t>
  </si>
  <si>
    <t>Coluna8495</t>
  </si>
  <si>
    <t>Coluna8496</t>
  </si>
  <si>
    <t>Coluna8497</t>
  </si>
  <si>
    <t>Coluna8498</t>
  </si>
  <si>
    <t>Coluna8499</t>
  </si>
  <si>
    <t>Coluna8500</t>
  </si>
  <si>
    <t>Coluna8501</t>
  </si>
  <si>
    <t>Coluna8502</t>
  </si>
  <si>
    <t>Coluna8503</t>
  </si>
  <si>
    <t>Coluna8504</t>
  </si>
  <si>
    <t>Coluna8505</t>
  </si>
  <si>
    <t>Coluna8506</t>
  </si>
  <si>
    <t>Coluna8507</t>
  </si>
  <si>
    <t>Coluna8508</t>
  </si>
  <si>
    <t>Coluna8509</t>
  </si>
  <si>
    <t>Coluna8510</t>
  </si>
  <si>
    <t>Coluna8511</t>
  </si>
  <si>
    <t>Coluna8512</t>
  </si>
  <si>
    <t>Coluna8513</t>
  </si>
  <si>
    <t>Coluna8514</t>
  </si>
  <si>
    <t>Coluna8515</t>
  </si>
  <si>
    <t>Coluna8516</t>
  </si>
  <si>
    <t>Coluna8517</t>
  </si>
  <si>
    <t>Coluna8518</t>
  </si>
  <si>
    <t>Coluna8519</t>
  </si>
  <si>
    <t>Coluna8520</t>
  </si>
  <si>
    <t>Coluna8521</t>
  </si>
  <si>
    <t>Coluna8522</t>
  </si>
  <si>
    <t>Coluna8523</t>
  </si>
  <si>
    <t>Coluna8524</t>
  </si>
  <si>
    <t>Coluna8525</t>
  </si>
  <si>
    <t>Coluna8526</t>
  </si>
  <si>
    <t>Coluna8527</t>
  </si>
  <si>
    <t>Coluna8528</t>
  </si>
  <si>
    <t>Coluna8529</t>
  </si>
  <si>
    <t>Coluna8530</t>
  </si>
  <si>
    <t>Coluna8531</t>
  </si>
  <si>
    <t>Coluna8532</t>
  </si>
  <si>
    <t>Coluna8533</t>
  </si>
  <si>
    <t>Coluna8534</t>
  </si>
  <si>
    <t>Coluna8535</t>
  </si>
  <si>
    <t>Coluna8536</t>
  </si>
  <si>
    <t>Coluna8537</t>
  </si>
  <si>
    <t>Coluna8538</t>
  </si>
  <si>
    <t>Coluna8539</t>
  </si>
  <si>
    <t>Coluna8540</t>
  </si>
  <si>
    <t>Coluna8541</t>
  </si>
  <si>
    <t>Coluna8542</t>
  </si>
  <si>
    <t>Coluna8543</t>
  </si>
  <si>
    <t>Coluna8544</t>
  </si>
  <si>
    <t>Coluna8545</t>
  </si>
  <si>
    <t>Coluna8546</t>
  </si>
  <si>
    <t>Coluna8547</t>
  </si>
  <si>
    <t>Coluna8548</t>
  </si>
  <si>
    <t>Coluna8549</t>
  </si>
  <si>
    <t>Coluna8550</t>
  </si>
  <si>
    <t>Coluna8551</t>
  </si>
  <si>
    <t>Coluna8552</t>
  </si>
  <si>
    <t>Coluna8553</t>
  </si>
  <si>
    <t>Coluna8554</t>
  </si>
  <si>
    <t>Coluna8555</t>
  </si>
  <si>
    <t>Coluna8556</t>
  </si>
  <si>
    <t>Coluna8557</t>
  </si>
  <si>
    <t>Coluna8558</t>
  </si>
  <si>
    <t>Coluna8559</t>
  </si>
  <si>
    <t>Coluna8560</t>
  </si>
  <si>
    <t>Coluna8561</t>
  </si>
  <si>
    <t>Coluna8562</t>
  </si>
  <si>
    <t>Coluna8563</t>
  </si>
  <si>
    <t>Coluna8564</t>
  </si>
  <si>
    <t>Coluna8565</t>
  </si>
  <si>
    <t>Coluna8566</t>
  </si>
  <si>
    <t>Coluna8567</t>
  </si>
  <si>
    <t>Coluna8568</t>
  </si>
  <si>
    <t>Coluna8569</t>
  </si>
  <si>
    <t>Coluna8570</t>
  </si>
  <si>
    <t>Coluna8571</t>
  </si>
  <si>
    <t>Coluna8572</t>
  </si>
  <si>
    <t>Coluna8573</t>
  </si>
  <si>
    <t>Coluna8574</t>
  </si>
  <si>
    <t>Coluna8575</t>
  </si>
  <si>
    <t>Coluna8576</t>
  </si>
  <si>
    <t>Coluna8577</t>
  </si>
  <si>
    <t>Coluna8578</t>
  </si>
  <si>
    <t>Coluna8579</t>
  </si>
  <si>
    <t>Coluna8580</t>
  </si>
  <si>
    <t>Coluna8581</t>
  </si>
  <si>
    <t>Coluna8582</t>
  </si>
  <si>
    <t>Coluna8583</t>
  </si>
  <si>
    <t>Coluna8584</t>
  </si>
  <si>
    <t>Coluna8585</t>
  </si>
  <si>
    <t>Coluna8586</t>
  </si>
  <si>
    <t>Coluna8587</t>
  </si>
  <si>
    <t>Coluna8588</t>
  </si>
  <si>
    <t>Coluna8589</t>
  </si>
  <si>
    <t>Coluna8590</t>
  </si>
  <si>
    <t>Coluna8591</t>
  </si>
  <si>
    <t>Coluna8592</t>
  </si>
  <si>
    <t>Coluna8593</t>
  </si>
  <si>
    <t>Coluna8594</t>
  </si>
  <si>
    <t>Coluna8595</t>
  </si>
  <si>
    <t>Coluna8596</t>
  </si>
  <si>
    <t>Coluna8597</t>
  </si>
  <si>
    <t>Coluna8598</t>
  </si>
  <si>
    <t>Coluna8599</t>
  </si>
  <si>
    <t>Coluna8600</t>
  </si>
  <si>
    <t>Coluna8601</t>
  </si>
  <si>
    <t>Coluna8602</t>
  </si>
  <si>
    <t>Coluna8603</t>
  </si>
  <si>
    <t>Coluna8604</t>
  </si>
  <si>
    <t>Coluna8605</t>
  </si>
  <si>
    <t>Coluna8606</t>
  </si>
  <si>
    <t>Coluna8607</t>
  </si>
  <si>
    <t>Coluna8608</t>
  </si>
  <si>
    <t>Coluna8609</t>
  </si>
  <si>
    <t>Coluna8610</t>
  </si>
  <si>
    <t>Coluna8611</t>
  </si>
  <si>
    <t>Coluna8612</t>
  </si>
  <si>
    <t>Coluna8613</t>
  </si>
  <si>
    <t>Coluna8614</t>
  </si>
  <si>
    <t>Coluna8615</t>
  </si>
  <si>
    <t>Coluna8616</t>
  </si>
  <si>
    <t>Coluna8617</t>
  </si>
  <si>
    <t>Coluna8618</t>
  </si>
  <si>
    <t>Coluna8619</t>
  </si>
  <si>
    <t>Coluna8620</t>
  </si>
  <si>
    <t>Coluna8621</t>
  </si>
  <si>
    <t>Coluna8622</t>
  </si>
  <si>
    <t>Coluna8623</t>
  </si>
  <si>
    <t>Coluna8624</t>
  </si>
  <si>
    <t>Coluna8625</t>
  </si>
  <si>
    <t>Coluna8626</t>
  </si>
  <si>
    <t>Coluna8627</t>
  </si>
  <si>
    <t>Coluna8628</t>
  </si>
  <si>
    <t>Coluna8629</t>
  </si>
  <si>
    <t>Coluna8630</t>
  </si>
  <si>
    <t>Coluna8631</t>
  </si>
  <si>
    <t>Coluna8632</t>
  </si>
  <si>
    <t>Coluna8633</t>
  </si>
  <si>
    <t>Coluna8634</t>
  </si>
  <si>
    <t>Coluna8635</t>
  </si>
  <si>
    <t>Coluna8636</t>
  </si>
  <si>
    <t>Coluna8637</t>
  </si>
  <si>
    <t>Coluna8638</t>
  </si>
  <si>
    <t>Coluna8639</t>
  </si>
  <si>
    <t>Coluna8640</t>
  </si>
  <si>
    <t>Coluna8641</t>
  </si>
  <si>
    <t>Coluna8642</t>
  </si>
  <si>
    <t>Coluna8643</t>
  </si>
  <si>
    <t>Coluna8644</t>
  </si>
  <si>
    <t>Coluna8645</t>
  </si>
  <si>
    <t>Coluna8646</t>
  </si>
  <si>
    <t>Coluna8647</t>
  </si>
  <si>
    <t>Coluna8648</t>
  </si>
  <si>
    <t>Coluna8649</t>
  </si>
  <si>
    <t>Coluna8650</t>
  </si>
  <si>
    <t>Coluna8651</t>
  </si>
  <si>
    <t>Coluna8652</t>
  </si>
  <si>
    <t>Coluna8653</t>
  </si>
  <si>
    <t>Coluna8654</t>
  </si>
  <si>
    <t>Coluna8655</t>
  </si>
  <si>
    <t>Coluna8656</t>
  </si>
  <si>
    <t>Coluna8657</t>
  </si>
  <si>
    <t>Coluna8658</t>
  </si>
  <si>
    <t>Coluna8659</t>
  </si>
  <si>
    <t>Coluna8660</t>
  </si>
  <si>
    <t>Coluna8661</t>
  </si>
  <si>
    <t>Coluna8662</t>
  </si>
  <si>
    <t>Coluna8663</t>
  </si>
  <si>
    <t>Coluna8664</t>
  </si>
  <si>
    <t>Coluna8665</t>
  </si>
  <si>
    <t>Coluna8666</t>
  </si>
  <si>
    <t>Coluna8667</t>
  </si>
  <si>
    <t>Coluna8668</t>
  </si>
  <si>
    <t>Coluna8669</t>
  </si>
  <si>
    <t>Coluna8670</t>
  </si>
  <si>
    <t>Coluna8671</t>
  </si>
  <si>
    <t>Coluna8672</t>
  </si>
  <si>
    <t>Coluna8673</t>
  </si>
  <si>
    <t>Coluna8674</t>
  </si>
  <si>
    <t>Coluna8675</t>
  </si>
  <si>
    <t>Coluna8676</t>
  </si>
  <si>
    <t>Coluna8677</t>
  </si>
  <si>
    <t>Coluna8678</t>
  </si>
  <si>
    <t>Coluna8679</t>
  </si>
  <si>
    <t>Coluna8680</t>
  </si>
  <si>
    <t>Coluna8681</t>
  </si>
  <si>
    <t>Coluna8682</t>
  </si>
  <si>
    <t>Coluna8683</t>
  </si>
  <si>
    <t>Coluna8684</t>
  </si>
  <si>
    <t>Coluna8685</t>
  </si>
  <si>
    <t>Coluna8686</t>
  </si>
  <si>
    <t>Coluna8687</t>
  </si>
  <si>
    <t>Coluna8688</t>
  </si>
  <si>
    <t>Coluna8689</t>
  </si>
  <si>
    <t>Coluna8690</t>
  </si>
  <si>
    <t>Coluna8691</t>
  </si>
  <si>
    <t>Coluna8692</t>
  </si>
  <si>
    <t>Coluna8693</t>
  </si>
  <si>
    <t>Coluna8694</t>
  </si>
  <si>
    <t>Coluna8695</t>
  </si>
  <si>
    <t>Coluna8696</t>
  </si>
  <si>
    <t>Coluna8697</t>
  </si>
  <si>
    <t>Coluna8698</t>
  </si>
  <si>
    <t>Coluna8699</t>
  </si>
  <si>
    <t>Coluna8700</t>
  </si>
  <si>
    <t>Coluna8701</t>
  </si>
  <si>
    <t>Coluna8702</t>
  </si>
  <si>
    <t>Coluna8703</t>
  </si>
  <si>
    <t>Coluna8704</t>
  </si>
  <si>
    <t>Coluna8705</t>
  </si>
  <si>
    <t>Coluna8706</t>
  </si>
  <si>
    <t>Coluna8707</t>
  </si>
  <si>
    <t>Coluna8708</t>
  </si>
  <si>
    <t>Coluna8709</t>
  </si>
  <si>
    <t>Coluna8710</t>
  </si>
  <si>
    <t>Coluna8711</t>
  </si>
  <si>
    <t>Coluna8712</t>
  </si>
  <si>
    <t>Coluna8713</t>
  </si>
  <si>
    <t>Coluna8714</t>
  </si>
  <si>
    <t>Coluna8715</t>
  </si>
  <si>
    <t>Coluna8716</t>
  </si>
  <si>
    <t>Coluna8717</t>
  </si>
  <si>
    <t>Coluna8718</t>
  </si>
  <si>
    <t>Coluna8719</t>
  </si>
  <si>
    <t>Coluna8720</t>
  </si>
  <si>
    <t>Coluna8721</t>
  </si>
  <si>
    <t>Coluna8722</t>
  </si>
  <si>
    <t>Coluna8723</t>
  </si>
  <si>
    <t>Coluna8724</t>
  </si>
  <si>
    <t>Coluna8725</t>
  </si>
  <si>
    <t>Coluna8726</t>
  </si>
  <si>
    <t>Coluna8727</t>
  </si>
  <si>
    <t>Coluna8728</t>
  </si>
  <si>
    <t>Coluna8729</t>
  </si>
  <si>
    <t>Coluna8730</t>
  </si>
  <si>
    <t>Coluna8731</t>
  </si>
  <si>
    <t>Coluna8732</t>
  </si>
  <si>
    <t>Coluna8733</t>
  </si>
  <si>
    <t>Coluna8734</t>
  </si>
  <si>
    <t>Coluna8735</t>
  </si>
  <si>
    <t>Coluna8736</t>
  </si>
  <si>
    <t>Coluna8737</t>
  </si>
  <si>
    <t>Coluna8738</t>
  </si>
  <si>
    <t>Coluna8739</t>
  </si>
  <si>
    <t>Coluna8740</t>
  </si>
  <si>
    <t>Coluna8741</t>
  </si>
  <si>
    <t>Coluna8742</t>
  </si>
  <si>
    <t>Coluna8743</t>
  </si>
  <si>
    <t>Coluna8744</t>
  </si>
  <si>
    <t>Coluna8745</t>
  </si>
  <si>
    <t>Coluna8746</t>
  </si>
  <si>
    <t>Coluna8747</t>
  </si>
  <si>
    <t>Coluna8748</t>
  </si>
  <si>
    <t>Coluna8749</t>
  </si>
  <si>
    <t>Coluna8750</t>
  </si>
  <si>
    <t>Coluna8751</t>
  </si>
  <si>
    <t>Coluna8752</t>
  </si>
  <si>
    <t>Coluna8753</t>
  </si>
  <si>
    <t>Coluna8754</t>
  </si>
  <si>
    <t>Coluna8755</t>
  </si>
  <si>
    <t>Coluna8756</t>
  </si>
  <si>
    <t>Coluna8757</t>
  </si>
  <si>
    <t>Coluna8758</t>
  </si>
  <si>
    <t>Coluna8759</t>
  </si>
  <si>
    <t>Coluna8760</t>
  </si>
  <si>
    <t>Coluna8761</t>
  </si>
  <si>
    <t>Coluna8762</t>
  </si>
  <si>
    <t>Coluna8763</t>
  </si>
  <si>
    <t>Coluna8764</t>
  </si>
  <si>
    <t>Coluna8765</t>
  </si>
  <si>
    <t>Coluna8766</t>
  </si>
  <si>
    <t>Coluna8767</t>
  </si>
  <si>
    <t>Coluna8768</t>
  </si>
  <si>
    <t>Coluna8769</t>
  </si>
  <si>
    <t>Coluna8770</t>
  </si>
  <si>
    <t>Coluna8771</t>
  </si>
  <si>
    <t>Coluna8772</t>
  </si>
  <si>
    <t>Coluna8773</t>
  </si>
  <si>
    <t>Coluna8774</t>
  </si>
  <si>
    <t>Coluna8775</t>
  </si>
  <si>
    <t>Coluna8776</t>
  </si>
  <si>
    <t>Coluna8777</t>
  </si>
  <si>
    <t>Coluna8778</t>
  </si>
  <si>
    <t>Coluna8779</t>
  </si>
  <si>
    <t>Coluna8780</t>
  </si>
  <si>
    <t>Coluna8781</t>
  </si>
  <si>
    <t>Coluna8782</t>
  </si>
  <si>
    <t>Coluna8783</t>
  </si>
  <si>
    <t>Coluna8784</t>
  </si>
  <si>
    <t>Coluna8785</t>
  </si>
  <si>
    <t>Coluna8786</t>
  </si>
  <si>
    <t>Coluna8787</t>
  </si>
  <si>
    <t>Coluna8788</t>
  </si>
  <si>
    <t>Coluna8789</t>
  </si>
  <si>
    <t>Coluna8790</t>
  </si>
  <si>
    <t>Coluna8791</t>
  </si>
  <si>
    <t>Coluna8792</t>
  </si>
  <si>
    <t>Coluna8793</t>
  </si>
  <si>
    <t>Coluna8794</t>
  </si>
  <si>
    <t>Coluna8795</t>
  </si>
  <si>
    <t>Coluna8796</t>
  </si>
  <si>
    <t>Coluna8797</t>
  </si>
  <si>
    <t>Coluna8798</t>
  </si>
  <si>
    <t>Coluna8799</t>
  </si>
  <si>
    <t>Coluna8800</t>
  </si>
  <si>
    <t>Coluna8801</t>
  </si>
  <si>
    <t>Coluna8802</t>
  </si>
  <si>
    <t>Coluna8803</t>
  </si>
  <si>
    <t>Coluna8804</t>
  </si>
  <si>
    <t>Coluna8805</t>
  </si>
  <si>
    <t>Coluna8806</t>
  </si>
  <si>
    <t>Coluna8807</t>
  </si>
  <si>
    <t>Coluna8808</t>
  </si>
  <si>
    <t>Coluna8809</t>
  </si>
  <si>
    <t>Coluna8810</t>
  </si>
  <si>
    <t>Coluna8811</t>
  </si>
  <si>
    <t>Coluna8812</t>
  </si>
  <si>
    <t>Coluna8813</t>
  </si>
  <si>
    <t>Coluna8814</t>
  </si>
  <si>
    <t>Coluna8815</t>
  </si>
  <si>
    <t>Coluna8816</t>
  </si>
  <si>
    <t>Coluna8817</t>
  </si>
  <si>
    <t>Coluna8818</t>
  </si>
  <si>
    <t>Coluna8819</t>
  </si>
  <si>
    <t>Coluna8820</t>
  </si>
  <si>
    <t>Coluna8821</t>
  </si>
  <si>
    <t>Coluna8822</t>
  </si>
  <si>
    <t>Coluna8823</t>
  </si>
  <si>
    <t>Coluna8824</t>
  </si>
  <si>
    <t>Coluna8825</t>
  </si>
  <si>
    <t>Coluna8826</t>
  </si>
  <si>
    <t>Coluna8827</t>
  </si>
  <si>
    <t>Coluna8828</t>
  </si>
  <si>
    <t>Coluna8829</t>
  </si>
  <si>
    <t>Coluna8830</t>
  </si>
  <si>
    <t>Coluna8831</t>
  </si>
  <si>
    <t>Coluna8832</t>
  </si>
  <si>
    <t>Coluna8833</t>
  </si>
  <si>
    <t>Coluna8834</t>
  </si>
  <si>
    <t>Coluna8835</t>
  </si>
  <si>
    <t>Coluna8836</t>
  </si>
  <si>
    <t>Coluna8837</t>
  </si>
  <si>
    <t>Coluna8838</t>
  </si>
  <si>
    <t>Coluna8839</t>
  </si>
  <si>
    <t>Coluna8840</t>
  </si>
  <si>
    <t>Coluna8841</t>
  </si>
  <si>
    <t>Coluna8842</t>
  </si>
  <si>
    <t>Coluna8843</t>
  </si>
  <si>
    <t>Coluna8844</t>
  </si>
  <si>
    <t>Coluna8845</t>
  </si>
  <si>
    <t>Coluna8846</t>
  </si>
  <si>
    <t>Coluna8847</t>
  </si>
  <si>
    <t>Coluna8848</t>
  </si>
  <si>
    <t>Coluna8849</t>
  </si>
  <si>
    <t>Coluna8850</t>
  </si>
  <si>
    <t>Coluna8851</t>
  </si>
  <si>
    <t>Coluna8852</t>
  </si>
  <si>
    <t>Coluna8853</t>
  </si>
  <si>
    <t>Coluna8854</t>
  </si>
  <si>
    <t>Coluna8855</t>
  </si>
  <si>
    <t>Coluna8856</t>
  </si>
  <si>
    <t>Coluna8857</t>
  </si>
  <si>
    <t>Coluna8858</t>
  </si>
  <si>
    <t>Coluna8859</t>
  </si>
  <si>
    <t>Coluna8860</t>
  </si>
  <si>
    <t>Coluna8861</t>
  </si>
  <si>
    <t>Coluna8862</t>
  </si>
  <si>
    <t>Coluna8863</t>
  </si>
  <si>
    <t>Coluna8864</t>
  </si>
  <si>
    <t>Coluna8865</t>
  </si>
  <si>
    <t>Coluna8866</t>
  </si>
  <si>
    <t>Coluna8867</t>
  </si>
  <si>
    <t>Coluna8868</t>
  </si>
  <si>
    <t>Coluna8869</t>
  </si>
  <si>
    <t>Coluna8870</t>
  </si>
  <si>
    <t>Coluna8871</t>
  </si>
  <si>
    <t>Coluna8872</t>
  </si>
  <si>
    <t>Coluna8873</t>
  </si>
  <si>
    <t>Coluna8874</t>
  </si>
  <si>
    <t>Coluna8875</t>
  </si>
  <si>
    <t>Coluna8876</t>
  </si>
  <si>
    <t>Coluna8877</t>
  </si>
  <si>
    <t>Coluna8878</t>
  </si>
  <si>
    <t>Coluna8879</t>
  </si>
  <si>
    <t>Coluna8880</t>
  </si>
  <si>
    <t>Coluna8881</t>
  </si>
  <si>
    <t>Coluna8882</t>
  </si>
  <si>
    <t>Coluna8883</t>
  </si>
  <si>
    <t>Coluna8884</t>
  </si>
  <si>
    <t>Coluna8885</t>
  </si>
  <si>
    <t>Coluna8886</t>
  </si>
  <si>
    <t>Coluna8887</t>
  </si>
  <si>
    <t>Coluna8888</t>
  </si>
  <si>
    <t>Coluna8889</t>
  </si>
  <si>
    <t>Coluna8890</t>
  </si>
  <si>
    <t>Coluna8891</t>
  </si>
  <si>
    <t>Coluna8892</t>
  </si>
  <si>
    <t>Coluna8893</t>
  </si>
  <si>
    <t>Coluna8894</t>
  </si>
  <si>
    <t>Coluna8895</t>
  </si>
  <si>
    <t>Coluna8896</t>
  </si>
  <si>
    <t>Coluna8897</t>
  </si>
  <si>
    <t>Coluna8898</t>
  </si>
  <si>
    <t>Coluna8899</t>
  </si>
  <si>
    <t>Coluna8900</t>
  </si>
  <si>
    <t>Coluna8901</t>
  </si>
  <si>
    <t>Coluna8902</t>
  </si>
  <si>
    <t>Coluna8903</t>
  </si>
  <si>
    <t>Coluna8904</t>
  </si>
  <si>
    <t>Coluna8905</t>
  </si>
  <si>
    <t>Coluna8906</t>
  </si>
  <si>
    <t>Coluna8907</t>
  </si>
  <si>
    <t>Coluna8908</t>
  </si>
  <si>
    <t>Coluna8909</t>
  </si>
  <si>
    <t>Coluna8910</t>
  </si>
  <si>
    <t>Coluna8911</t>
  </si>
  <si>
    <t>Coluna8912</t>
  </si>
  <si>
    <t>Coluna8913</t>
  </si>
  <si>
    <t>Coluna8914</t>
  </si>
  <si>
    <t>Coluna8915</t>
  </si>
  <si>
    <t>Coluna8916</t>
  </si>
  <si>
    <t>Coluna8917</t>
  </si>
  <si>
    <t>Coluna8918</t>
  </si>
  <si>
    <t>Coluna8919</t>
  </si>
  <si>
    <t>Coluna8920</t>
  </si>
  <si>
    <t>Coluna8921</t>
  </si>
  <si>
    <t>Coluna8922</t>
  </si>
  <si>
    <t>Coluna8923</t>
  </si>
  <si>
    <t>Coluna8924</t>
  </si>
  <si>
    <t>Coluna8925</t>
  </si>
  <si>
    <t>Coluna8926</t>
  </si>
  <si>
    <t>Coluna8927</t>
  </si>
  <si>
    <t>Coluna8928</t>
  </si>
  <si>
    <t>Coluna8929</t>
  </si>
  <si>
    <t>Coluna8930</t>
  </si>
  <si>
    <t>Coluna8931</t>
  </si>
  <si>
    <t>Coluna8932</t>
  </si>
  <si>
    <t>Coluna8933</t>
  </si>
  <si>
    <t>Coluna8934</t>
  </si>
  <si>
    <t>Coluna8935</t>
  </si>
  <si>
    <t>Coluna8936</t>
  </si>
  <si>
    <t>Coluna8937</t>
  </si>
  <si>
    <t>Coluna8938</t>
  </si>
  <si>
    <t>Coluna8939</t>
  </si>
  <si>
    <t>Coluna8940</t>
  </si>
  <si>
    <t>Coluna8941</t>
  </si>
  <si>
    <t>Coluna8942</t>
  </si>
  <si>
    <t>Coluna8943</t>
  </si>
  <si>
    <t>Coluna8944</t>
  </si>
  <si>
    <t>Coluna8945</t>
  </si>
  <si>
    <t>Coluna8946</t>
  </si>
  <si>
    <t>Coluna8947</t>
  </si>
  <si>
    <t>Coluna8948</t>
  </si>
  <si>
    <t>Coluna8949</t>
  </si>
  <si>
    <t>Coluna8950</t>
  </si>
  <si>
    <t>Coluna8951</t>
  </si>
  <si>
    <t>Coluna8952</t>
  </si>
  <si>
    <t>Coluna8953</t>
  </si>
  <si>
    <t>Coluna8954</t>
  </si>
  <si>
    <t>Coluna8955</t>
  </si>
  <si>
    <t>Coluna8956</t>
  </si>
  <si>
    <t>Coluna8957</t>
  </si>
  <si>
    <t>Coluna8958</t>
  </si>
  <si>
    <t>Coluna8959</t>
  </si>
  <si>
    <t>Coluna8960</t>
  </si>
  <si>
    <t>Coluna8961</t>
  </si>
  <si>
    <t>Coluna8962</t>
  </si>
  <si>
    <t>Coluna8963</t>
  </si>
  <si>
    <t>Coluna8964</t>
  </si>
  <si>
    <t>Coluna8965</t>
  </si>
  <si>
    <t>Coluna8966</t>
  </si>
  <si>
    <t>Coluna8967</t>
  </si>
  <si>
    <t>Coluna8968</t>
  </si>
  <si>
    <t>Coluna8969</t>
  </si>
  <si>
    <t>Coluna8970</t>
  </si>
  <si>
    <t>Coluna8971</t>
  </si>
  <si>
    <t>Coluna8972</t>
  </si>
  <si>
    <t>Coluna8973</t>
  </si>
  <si>
    <t>Coluna8974</t>
  </si>
  <si>
    <t>Coluna8975</t>
  </si>
  <si>
    <t>Coluna8976</t>
  </si>
  <si>
    <t>Coluna8977</t>
  </si>
  <si>
    <t>Coluna8978</t>
  </si>
  <si>
    <t>Coluna8979</t>
  </si>
  <si>
    <t>Coluna8980</t>
  </si>
  <si>
    <t>Coluna8981</t>
  </si>
  <si>
    <t>Coluna8982</t>
  </si>
  <si>
    <t>Coluna8983</t>
  </si>
  <si>
    <t>Coluna8984</t>
  </si>
  <si>
    <t>Coluna8985</t>
  </si>
  <si>
    <t>Coluna8986</t>
  </si>
  <si>
    <t>Coluna8987</t>
  </si>
  <si>
    <t>Coluna8988</t>
  </si>
  <si>
    <t>Coluna8989</t>
  </si>
  <si>
    <t>Coluna8990</t>
  </si>
  <si>
    <t>Coluna8991</t>
  </si>
  <si>
    <t>Coluna8992</t>
  </si>
  <si>
    <t>Coluna8993</t>
  </si>
  <si>
    <t>Coluna8994</t>
  </si>
  <si>
    <t>Coluna8995</t>
  </si>
  <si>
    <t>Coluna8996</t>
  </si>
  <si>
    <t>Coluna8997</t>
  </si>
  <si>
    <t>Coluna8998</t>
  </si>
  <si>
    <t>Coluna8999</t>
  </si>
  <si>
    <t>Coluna9000</t>
  </si>
  <si>
    <t>Coluna9001</t>
  </si>
  <si>
    <t>Coluna9002</t>
  </si>
  <si>
    <t>Coluna9003</t>
  </si>
  <si>
    <t>Coluna9004</t>
  </si>
  <si>
    <t>Coluna9005</t>
  </si>
  <si>
    <t>Coluna9006</t>
  </si>
  <si>
    <t>Coluna9007</t>
  </si>
  <si>
    <t>Coluna9008</t>
  </si>
  <si>
    <t>Coluna9009</t>
  </si>
  <si>
    <t>Coluna9010</t>
  </si>
  <si>
    <t>Coluna9011</t>
  </si>
  <si>
    <t>Coluna9012</t>
  </si>
  <si>
    <t>Coluna9013</t>
  </si>
  <si>
    <t>Coluna9014</t>
  </si>
  <si>
    <t>Coluna9015</t>
  </si>
  <si>
    <t>Coluna9016</t>
  </si>
  <si>
    <t>Coluna9017</t>
  </si>
  <si>
    <t>Coluna9018</t>
  </si>
  <si>
    <t>Coluna9019</t>
  </si>
  <si>
    <t>Coluna9020</t>
  </si>
  <si>
    <t>Coluna9021</t>
  </si>
  <si>
    <t>Coluna9022</t>
  </si>
  <si>
    <t>Coluna9023</t>
  </si>
  <si>
    <t>Coluna9024</t>
  </si>
  <si>
    <t>Coluna9025</t>
  </si>
  <si>
    <t>Coluna9026</t>
  </si>
  <si>
    <t>Coluna9027</t>
  </si>
  <si>
    <t>Coluna9028</t>
  </si>
  <si>
    <t>Coluna9029</t>
  </si>
  <si>
    <t>Coluna9030</t>
  </si>
  <si>
    <t>Coluna9031</t>
  </si>
  <si>
    <t>Coluna9032</t>
  </si>
  <si>
    <t>Coluna9033</t>
  </si>
  <si>
    <t>Coluna9034</t>
  </si>
  <si>
    <t>Coluna9035</t>
  </si>
  <si>
    <t>Coluna9036</t>
  </si>
  <si>
    <t>Coluna9037</t>
  </si>
  <si>
    <t>Coluna9038</t>
  </si>
  <si>
    <t>Coluna9039</t>
  </si>
  <si>
    <t>Coluna9040</t>
  </si>
  <si>
    <t>Coluna9041</t>
  </si>
  <si>
    <t>Coluna9042</t>
  </si>
  <si>
    <t>Coluna9043</t>
  </si>
  <si>
    <t>Coluna9044</t>
  </si>
  <si>
    <t>Coluna9045</t>
  </si>
  <si>
    <t>Coluna9046</t>
  </si>
  <si>
    <t>Coluna9047</t>
  </si>
  <si>
    <t>Coluna9048</t>
  </si>
  <si>
    <t>Coluna9049</t>
  </si>
  <si>
    <t>Coluna9050</t>
  </si>
  <si>
    <t>Coluna9051</t>
  </si>
  <si>
    <t>Coluna9052</t>
  </si>
  <si>
    <t>Coluna9053</t>
  </si>
  <si>
    <t>Coluna9054</t>
  </si>
  <si>
    <t>Coluna9055</t>
  </si>
  <si>
    <t>Coluna9056</t>
  </si>
  <si>
    <t>Coluna9057</t>
  </si>
  <si>
    <t>Coluna9058</t>
  </si>
  <si>
    <t>Coluna9059</t>
  </si>
  <si>
    <t>Coluna9060</t>
  </si>
  <si>
    <t>Coluna9061</t>
  </si>
  <si>
    <t>Coluna9062</t>
  </si>
  <si>
    <t>Coluna9063</t>
  </si>
  <si>
    <t>Coluna9064</t>
  </si>
  <si>
    <t>Coluna9065</t>
  </si>
  <si>
    <t>Coluna9066</t>
  </si>
  <si>
    <t>Coluna9067</t>
  </si>
  <si>
    <t>Coluna9068</t>
  </si>
  <si>
    <t>Coluna9069</t>
  </si>
  <si>
    <t>Coluna9070</t>
  </si>
  <si>
    <t>Coluna9071</t>
  </si>
  <si>
    <t>Coluna9072</t>
  </si>
  <si>
    <t>Coluna9073</t>
  </si>
  <si>
    <t>Coluna9074</t>
  </si>
  <si>
    <t>Coluna9075</t>
  </si>
  <si>
    <t>Coluna9076</t>
  </si>
  <si>
    <t>Coluna9077</t>
  </si>
  <si>
    <t>Coluna9078</t>
  </si>
  <si>
    <t>Coluna9079</t>
  </si>
  <si>
    <t>Coluna9080</t>
  </si>
  <si>
    <t>Coluna9081</t>
  </si>
  <si>
    <t>Coluna9082</t>
  </si>
  <si>
    <t>Coluna9083</t>
  </si>
  <si>
    <t>Coluna9084</t>
  </si>
  <si>
    <t>Coluna9085</t>
  </si>
  <si>
    <t>Coluna9086</t>
  </si>
  <si>
    <t>Coluna9087</t>
  </si>
  <si>
    <t>Coluna9088</t>
  </si>
  <si>
    <t>Coluna9089</t>
  </si>
  <si>
    <t>Coluna9090</t>
  </si>
  <si>
    <t>Coluna9091</t>
  </si>
  <si>
    <t>Coluna9092</t>
  </si>
  <si>
    <t>Coluna9093</t>
  </si>
  <si>
    <t>Coluna9094</t>
  </si>
  <si>
    <t>Coluna9095</t>
  </si>
  <si>
    <t>Coluna9096</t>
  </si>
  <si>
    <t>Coluna9097</t>
  </si>
  <si>
    <t>Coluna9098</t>
  </si>
  <si>
    <t>Coluna9099</t>
  </si>
  <si>
    <t>Coluna9100</t>
  </si>
  <si>
    <t>Coluna9101</t>
  </si>
  <si>
    <t>Coluna9102</t>
  </si>
  <si>
    <t>Coluna9103</t>
  </si>
  <si>
    <t>Coluna9104</t>
  </si>
  <si>
    <t>Coluna9105</t>
  </si>
  <si>
    <t>Coluna9106</t>
  </si>
  <si>
    <t>Coluna9107</t>
  </si>
  <si>
    <t>Coluna9108</t>
  </si>
  <si>
    <t>Coluna9109</t>
  </si>
  <si>
    <t>Coluna9110</t>
  </si>
  <si>
    <t>Coluna9111</t>
  </si>
  <si>
    <t>Coluna9112</t>
  </si>
  <si>
    <t>Coluna9113</t>
  </si>
  <si>
    <t>Coluna9114</t>
  </si>
  <si>
    <t>Coluna9115</t>
  </si>
  <si>
    <t>Coluna9116</t>
  </si>
  <si>
    <t>Coluna9117</t>
  </si>
  <si>
    <t>Coluna9118</t>
  </si>
  <si>
    <t>Coluna9119</t>
  </si>
  <si>
    <t>Coluna9120</t>
  </si>
  <si>
    <t>Coluna9121</t>
  </si>
  <si>
    <t>Coluna9122</t>
  </si>
  <si>
    <t>Coluna9123</t>
  </si>
  <si>
    <t>Coluna9124</t>
  </si>
  <si>
    <t>Coluna9125</t>
  </si>
  <si>
    <t>Coluna9126</t>
  </si>
  <si>
    <t>Coluna9127</t>
  </si>
  <si>
    <t>Coluna9128</t>
  </si>
  <si>
    <t>Coluna9129</t>
  </si>
  <si>
    <t>Coluna9130</t>
  </si>
  <si>
    <t>Coluna9131</t>
  </si>
  <si>
    <t>Coluna9132</t>
  </si>
  <si>
    <t>Coluna9133</t>
  </si>
  <si>
    <t>Coluna9134</t>
  </si>
  <si>
    <t>Coluna9135</t>
  </si>
  <si>
    <t>Coluna9136</t>
  </si>
  <si>
    <t>Coluna9137</t>
  </si>
  <si>
    <t>Coluna9138</t>
  </si>
  <si>
    <t>Coluna9139</t>
  </si>
  <si>
    <t>Coluna9140</t>
  </si>
  <si>
    <t>Coluna9141</t>
  </si>
  <si>
    <t>Coluna9142</t>
  </si>
  <si>
    <t>Coluna9143</t>
  </si>
  <si>
    <t>Coluna9144</t>
  </si>
  <si>
    <t>Coluna9145</t>
  </si>
  <si>
    <t>Coluna9146</t>
  </si>
  <si>
    <t>Coluna9147</t>
  </si>
  <si>
    <t>Coluna9148</t>
  </si>
  <si>
    <t>Coluna9149</t>
  </si>
  <si>
    <t>Coluna9150</t>
  </si>
  <si>
    <t>Coluna9151</t>
  </si>
  <si>
    <t>Coluna9152</t>
  </si>
  <si>
    <t>Coluna9153</t>
  </si>
  <si>
    <t>Coluna9154</t>
  </si>
  <si>
    <t>Coluna9155</t>
  </si>
  <si>
    <t>Coluna9156</t>
  </si>
  <si>
    <t>Coluna9157</t>
  </si>
  <si>
    <t>Coluna9158</t>
  </si>
  <si>
    <t>Coluna9159</t>
  </si>
  <si>
    <t>Coluna9160</t>
  </si>
  <si>
    <t>Coluna9161</t>
  </si>
  <si>
    <t>Coluna9162</t>
  </si>
  <si>
    <t>Coluna9163</t>
  </si>
  <si>
    <t>Coluna9164</t>
  </si>
  <si>
    <t>Coluna9165</t>
  </si>
  <si>
    <t>Coluna9166</t>
  </si>
  <si>
    <t>Coluna9167</t>
  </si>
  <si>
    <t>Coluna9168</t>
  </si>
  <si>
    <t>Coluna9169</t>
  </si>
  <si>
    <t>Coluna9170</t>
  </si>
  <si>
    <t>Coluna9171</t>
  </si>
  <si>
    <t>Coluna9172</t>
  </si>
  <si>
    <t>Coluna9173</t>
  </si>
  <si>
    <t>Coluna9174</t>
  </si>
  <si>
    <t>Coluna9175</t>
  </si>
  <si>
    <t>Coluna9176</t>
  </si>
  <si>
    <t>Coluna9177</t>
  </si>
  <si>
    <t>Coluna9178</t>
  </si>
  <si>
    <t>Coluna9179</t>
  </si>
  <si>
    <t>Coluna9180</t>
  </si>
  <si>
    <t>Coluna9181</t>
  </si>
  <si>
    <t>Coluna9182</t>
  </si>
  <si>
    <t>Coluna9183</t>
  </si>
  <si>
    <t>Coluna9184</t>
  </si>
  <si>
    <t>Coluna9185</t>
  </si>
  <si>
    <t>Coluna9186</t>
  </si>
  <si>
    <t>Coluna9187</t>
  </si>
  <si>
    <t>Coluna9188</t>
  </si>
  <si>
    <t>Coluna9189</t>
  </si>
  <si>
    <t>Coluna9190</t>
  </si>
  <si>
    <t>Coluna9191</t>
  </si>
  <si>
    <t>Coluna9192</t>
  </si>
  <si>
    <t>Coluna9193</t>
  </si>
  <si>
    <t>Coluna9194</t>
  </si>
  <si>
    <t>Coluna9195</t>
  </si>
  <si>
    <t>Coluna9196</t>
  </si>
  <si>
    <t>Coluna9197</t>
  </si>
  <si>
    <t>Coluna9198</t>
  </si>
  <si>
    <t>Coluna9199</t>
  </si>
  <si>
    <t>Coluna9200</t>
  </si>
  <si>
    <t>Coluna9201</t>
  </si>
  <si>
    <t>Coluna9202</t>
  </si>
  <si>
    <t>Coluna9203</t>
  </si>
  <si>
    <t>Coluna9204</t>
  </si>
  <si>
    <t>Coluna9205</t>
  </si>
  <si>
    <t>Coluna9206</t>
  </si>
  <si>
    <t>Coluna9207</t>
  </si>
  <si>
    <t>Coluna9208</t>
  </si>
  <si>
    <t>Coluna9209</t>
  </si>
  <si>
    <t>Coluna9210</t>
  </si>
  <si>
    <t>Coluna9211</t>
  </si>
  <si>
    <t>Coluna9212</t>
  </si>
  <si>
    <t>Coluna9213</t>
  </si>
  <si>
    <t>Coluna9214</t>
  </si>
  <si>
    <t>Coluna9215</t>
  </si>
  <si>
    <t>Coluna9216</t>
  </si>
  <si>
    <t>Coluna9217</t>
  </si>
  <si>
    <t>Coluna9218</t>
  </si>
  <si>
    <t>Coluna9219</t>
  </si>
  <si>
    <t>Coluna9220</t>
  </si>
  <si>
    <t>Coluna9221</t>
  </si>
  <si>
    <t>Coluna9222</t>
  </si>
  <si>
    <t>Coluna9223</t>
  </si>
  <si>
    <t>Coluna9224</t>
  </si>
  <si>
    <t>Coluna9225</t>
  </si>
  <si>
    <t>Coluna9226</t>
  </si>
  <si>
    <t>Coluna9227</t>
  </si>
  <si>
    <t>Coluna9228</t>
  </si>
  <si>
    <t>Coluna9229</t>
  </si>
  <si>
    <t>Coluna9230</t>
  </si>
  <si>
    <t>Coluna9231</t>
  </si>
  <si>
    <t>Coluna9232</t>
  </si>
  <si>
    <t>Coluna9233</t>
  </si>
  <si>
    <t>Coluna9234</t>
  </si>
  <si>
    <t>Coluna9235</t>
  </si>
  <si>
    <t>Coluna9236</t>
  </si>
  <si>
    <t>Coluna9237</t>
  </si>
  <si>
    <t>Coluna9238</t>
  </si>
  <si>
    <t>Coluna9239</t>
  </si>
  <si>
    <t>Coluna9240</t>
  </si>
  <si>
    <t>Coluna9241</t>
  </si>
  <si>
    <t>Coluna9242</t>
  </si>
  <si>
    <t>Coluna9243</t>
  </si>
  <si>
    <t>Coluna9244</t>
  </si>
  <si>
    <t>Coluna9245</t>
  </si>
  <si>
    <t>Coluna9246</t>
  </si>
  <si>
    <t>Coluna9247</t>
  </si>
  <si>
    <t>Coluna9248</t>
  </si>
  <si>
    <t>Coluna9249</t>
  </si>
  <si>
    <t>Coluna9250</t>
  </si>
  <si>
    <t>Coluna9251</t>
  </si>
  <si>
    <t>Coluna9252</t>
  </si>
  <si>
    <t>Coluna9253</t>
  </si>
  <si>
    <t>Coluna9254</t>
  </si>
  <si>
    <t>Coluna9255</t>
  </si>
  <si>
    <t>Coluna9256</t>
  </si>
  <si>
    <t>Coluna9257</t>
  </si>
  <si>
    <t>Coluna9258</t>
  </si>
  <si>
    <t>Coluna9259</t>
  </si>
  <si>
    <t>Coluna9260</t>
  </si>
  <si>
    <t>Coluna9261</t>
  </si>
  <si>
    <t>Coluna9262</t>
  </si>
  <si>
    <t>Coluna9263</t>
  </si>
  <si>
    <t>Coluna9264</t>
  </si>
  <si>
    <t>Coluna9265</t>
  </si>
  <si>
    <t>Coluna9266</t>
  </si>
  <si>
    <t>Coluna9267</t>
  </si>
  <si>
    <t>Coluna9268</t>
  </si>
  <si>
    <t>Coluna9269</t>
  </si>
  <si>
    <t>Coluna9270</t>
  </si>
  <si>
    <t>Coluna9271</t>
  </si>
  <si>
    <t>Coluna9272</t>
  </si>
  <si>
    <t>Coluna9273</t>
  </si>
  <si>
    <t>Coluna9274</t>
  </si>
  <si>
    <t>Coluna9275</t>
  </si>
  <si>
    <t>Coluna9276</t>
  </si>
  <si>
    <t>Coluna9277</t>
  </si>
  <si>
    <t>Coluna9278</t>
  </si>
  <si>
    <t>Coluna9279</t>
  </si>
  <si>
    <t>Coluna9280</t>
  </si>
  <si>
    <t>Coluna9281</t>
  </si>
  <si>
    <t>Coluna9282</t>
  </si>
  <si>
    <t>Coluna9283</t>
  </si>
  <si>
    <t>Coluna9284</t>
  </si>
  <si>
    <t>Coluna9285</t>
  </si>
  <si>
    <t>Coluna9286</t>
  </si>
  <si>
    <t>Coluna9287</t>
  </si>
  <si>
    <t>Coluna9288</t>
  </si>
  <si>
    <t>Coluna9289</t>
  </si>
  <si>
    <t>Coluna9290</t>
  </si>
  <si>
    <t>Coluna9291</t>
  </si>
  <si>
    <t>Coluna9292</t>
  </si>
  <si>
    <t>Coluna9293</t>
  </si>
  <si>
    <t>Coluna9294</t>
  </si>
  <si>
    <t>Coluna9295</t>
  </si>
  <si>
    <t>Coluna9296</t>
  </si>
  <si>
    <t>Coluna9297</t>
  </si>
  <si>
    <t>Coluna9298</t>
  </si>
  <si>
    <t>Coluna9299</t>
  </si>
  <si>
    <t>Coluna9300</t>
  </si>
  <si>
    <t>Coluna9301</t>
  </si>
  <si>
    <t>Coluna9302</t>
  </si>
  <si>
    <t>Coluna9303</t>
  </si>
  <si>
    <t>Coluna9304</t>
  </si>
  <si>
    <t>Coluna9305</t>
  </si>
  <si>
    <t>Coluna9306</t>
  </si>
  <si>
    <t>Coluna9307</t>
  </si>
  <si>
    <t>Coluna9308</t>
  </si>
  <si>
    <t>Coluna9309</t>
  </si>
  <si>
    <t>Coluna9310</t>
  </si>
  <si>
    <t>Coluna9311</t>
  </si>
  <si>
    <t>Coluna9312</t>
  </si>
  <si>
    <t>Coluna9313</t>
  </si>
  <si>
    <t>Coluna9314</t>
  </si>
  <si>
    <t>Coluna9315</t>
  </si>
  <si>
    <t>Coluna9316</t>
  </si>
  <si>
    <t>Coluna9317</t>
  </si>
  <si>
    <t>Coluna9318</t>
  </si>
  <si>
    <t>Coluna9319</t>
  </si>
  <si>
    <t>Coluna9320</t>
  </si>
  <si>
    <t>Coluna9321</t>
  </si>
  <si>
    <t>Coluna9322</t>
  </si>
  <si>
    <t>Coluna9323</t>
  </si>
  <si>
    <t>Coluna9324</t>
  </si>
  <si>
    <t>Coluna9325</t>
  </si>
  <si>
    <t>Coluna9326</t>
  </si>
  <si>
    <t>Coluna9327</t>
  </si>
  <si>
    <t>Coluna9328</t>
  </si>
  <si>
    <t>Coluna9329</t>
  </si>
  <si>
    <t>Coluna9330</t>
  </si>
  <si>
    <t>Coluna9331</t>
  </si>
  <si>
    <t>Coluna9332</t>
  </si>
  <si>
    <t>Coluna9333</t>
  </si>
  <si>
    <t>Coluna9334</t>
  </si>
  <si>
    <t>Coluna9335</t>
  </si>
  <si>
    <t>Coluna9336</t>
  </si>
  <si>
    <t>Coluna9337</t>
  </si>
  <si>
    <t>Coluna9338</t>
  </si>
  <si>
    <t>Coluna9339</t>
  </si>
  <si>
    <t>Coluna9340</t>
  </si>
  <si>
    <t>Coluna9341</t>
  </si>
  <si>
    <t>Coluna9342</t>
  </si>
  <si>
    <t>Coluna9343</t>
  </si>
  <si>
    <t>Coluna9344</t>
  </si>
  <si>
    <t>Coluna9345</t>
  </si>
  <si>
    <t>Coluna9346</t>
  </si>
  <si>
    <t>Coluna9347</t>
  </si>
  <si>
    <t>Coluna9348</t>
  </si>
  <si>
    <t>Coluna9349</t>
  </si>
  <si>
    <t>Coluna9350</t>
  </si>
  <si>
    <t>Coluna9351</t>
  </si>
  <si>
    <t>Coluna9352</t>
  </si>
  <si>
    <t>Coluna9353</t>
  </si>
  <si>
    <t>Coluna9354</t>
  </si>
  <si>
    <t>Coluna9355</t>
  </si>
  <si>
    <t>Coluna9356</t>
  </si>
  <si>
    <t>Coluna9357</t>
  </si>
  <si>
    <t>Coluna9358</t>
  </si>
  <si>
    <t>Coluna9359</t>
  </si>
  <si>
    <t>Coluna9360</t>
  </si>
  <si>
    <t>Coluna9361</t>
  </si>
  <si>
    <t>Coluna9362</t>
  </si>
  <si>
    <t>Coluna9363</t>
  </si>
  <si>
    <t>Coluna9364</t>
  </si>
  <si>
    <t>Coluna9365</t>
  </si>
  <si>
    <t>Coluna9366</t>
  </si>
  <si>
    <t>Coluna9367</t>
  </si>
  <si>
    <t>Coluna9368</t>
  </si>
  <si>
    <t>Coluna9369</t>
  </si>
  <si>
    <t>Coluna9370</t>
  </si>
  <si>
    <t>Coluna9371</t>
  </si>
  <si>
    <t>Coluna9372</t>
  </si>
  <si>
    <t>Coluna9373</t>
  </si>
  <si>
    <t>Coluna9374</t>
  </si>
  <si>
    <t>Coluna9375</t>
  </si>
  <si>
    <t>Coluna9376</t>
  </si>
  <si>
    <t>Coluna9377</t>
  </si>
  <si>
    <t>Coluna9378</t>
  </si>
  <si>
    <t>Coluna9379</t>
  </si>
  <si>
    <t>Coluna9380</t>
  </si>
  <si>
    <t>Coluna9381</t>
  </si>
  <si>
    <t>Coluna9382</t>
  </si>
  <si>
    <t>Coluna9383</t>
  </si>
  <si>
    <t>Coluna9384</t>
  </si>
  <si>
    <t>Coluna9385</t>
  </si>
  <si>
    <t>Coluna9386</t>
  </si>
  <si>
    <t>Coluna9387</t>
  </si>
  <si>
    <t>Coluna9388</t>
  </si>
  <si>
    <t>Coluna9389</t>
  </si>
  <si>
    <t>Coluna9390</t>
  </si>
  <si>
    <t>Coluna9391</t>
  </si>
  <si>
    <t>Coluna9392</t>
  </si>
  <si>
    <t>Coluna9393</t>
  </si>
  <si>
    <t>Coluna9394</t>
  </si>
  <si>
    <t>Coluna9395</t>
  </si>
  <si>
    <t>Coluna9396</t>
  </si>
  <si>
    <t>Coluna9397</t>
  </si>
  <si>
    <t>Coluna9398</t>
  </si>
  <si>
    <t>Coluna9399</t>
  </si>
  <si>
    <t>Coluna9400</t>
  </si>
  <si>
    <t>Coluna9401</t>
  </si>
  <si>
    <t>Coluna9402</t>
  </si>
  <si>
    <t>Coluna9403</t>
  </si>
  <si>
    <t>Coluna9404</t>
  </si>
  <si>
    <t>Coluna9405</t>
  </si>
  <si>
    <t>Coluna9406</t>
  </si>
  <si>
    <t>Coluna9407</t>
  </si>
  <si>
    <t>Coluna9408</t>
  </si>
  <si>
    <t>Coluna9409</t>
  </si>
  <si>
    <t>Coluna9410</t>
  </si>
  <si>
    <t>Coluna9411</t>
  </si>
  <si>
    <t>Coluna9412</t>
  </si>
  <si>
    <t>Coluna9413</t>
  </si>
  <si>
    <t>Coluna9414</t>
  </si>
  <si>
    <t>Coluna9415</t>
  </si>
  <si>
    <t>Coluna9416</t>
  </si>
  <si>
    <t>Coluna9417</t>
  </si>
  <si>
    <t>Coluna9418</t>
  </si>
  <si>
    <t>Coluna9419</t>
  </si>
  <si>
    <t>Coluna9420</t>
  </si>
  <si>
    <t>Coluna9421</t>
  </si>
  <si>
    <t>Coluna9422</t>
  </si>
  <si>
    <t>Coluna9423</t>
  </si>
  <si>
    <t>Coluna9424</t>
  </si>
  <si>
    <t>Coluna9425</t>
  </si>
  <si>
    <t>Coluna9426</t>
  </si>
  <si>
    <t>Coluna9427</t>
  </si>
  <si>
    <t>Coluna9428</t>
  </si>
  <si>
    <t>Coluna9429</t>
  </si>
  <si>
    <t>Coluna9430</t>
  </si>
  <si>
    <t>Coluna9431</t>
  </si>
  <si>
    <t>Coluna9432</t>
  </si>
  <si>
    <t>Coluna9433</t>
  </si>
  <si>
    <t>Coluna9434</t>
  </si>
  <si>
    <t>Coluna9435</t>
  </si>
  <si>
    <t>Coluna9436</t>
  </si>
  <si>
    <t>Coluna9437</t>
  </si>
  <si>
    <t>Coluna9438</t>
  </si>
  <si>
    <t>Coluna9439</t>
  </si>
  <si>
    <t>Coluna9440</t>
  </si>
  <si>
    <t>Coluna9441</t>
  </si>
  <si>
    <t>Coluna9442</t>
  </si>
  <si>
    <t>Coluna9443</t>
  </si>
  <si>
    <t>Coluna9444</t>
  </si>
  <si>
    <t>Coluna9445</t>
  </si>
  <si>
    <t>Coluna9446</t>
  </si>
  <si>
    <t>Coluna9447</t>
  </si>
  <si>
    <t>Coluna9448</t>
  </si>
  <si>
    <t>Coluna9449</t>
  </si>
  <si>
    <t>Coluna9450</t>
  </si>
  <si>
    <t>Coluna9451</t>
  </si>
  <si>
    <t>Coluna9452</t>
  </si>
  <si>
    <t>Coluna9453</t>
  </si>
  <si>
    <t>Coluna9454</t>
  </si>
  <si>
    <t>Coluna9455</t>
  </si>
  <si>
    <t>Coluna9456</t>
  </si>
  <si>
    <t>Coluna9457</t>
  </si>
  <si>
    <t>Coluna9458</t>
  </si>
  <si>
    <t>Coluna9459</t>
  </si>
  <si>
    <t>Coluna9460</t>
  </si>
  <si>
    <t>Coluna9461</t>
  </si>
  <si>
    <t>Coluna9462</t>
  </si>
  <si>
    <t>Coluna9463</t>
  </si>
  <si>
    <t>Coluna9464</t>
  </si>
  <si>
    <t>Coluna9465</t>
  </si>
  <si>
    <t>Coluna9466</t>
  </si>
  <si>
    <t>Coluna9467</t>
  </si>
  <si>
    <t>Coluna9468</t>
  </si>
  <si>
    <t>Coluna9469</t>
  </si>
  <si>
    <t>Coluna9470</t>
  </si>
  <si>
    <t>Coluna9471</t>
  </si>
  <si>
    <t>Coluna9472</t>
  </si>
  <si>
    <t>Coluna9473</t>
  </si>
  <si>
    <t>Coluna9474</t>
  </si>
  <si>
    <t>Coluna9475</t>
  </si>
  <si>
    <t>Coluna9476</t>
  </si>
  <si>
    <t>Coluna9477</t>
  </si>
  <si>
    <t>Coluna9478</t>
  </si>
  <si>
    <t>Coluna9479</t>
  </si>
  <si>
    <t>Coluna9480</t>
  </si>
  <si>
    <t>Coluna9481</t>
  </si>
  <si>
    <t>Coluna9482</t>
  </si>
  <si>
    <t>Coluna9483</t>
  </si>
  <si>
    <t>Coluna9484</t>
  </si>
  <si>
    <t>Coluna9485</t>
  </si>
  <si>
    <t>Coluna9486</t>
  </si>
  <si>
    <t>Coluna9487</t>
  </si>
  <si>
    <t>Coluna9488</t>
  </si>
  <si>
    <t>Coluna9489</t>
  </si>
  <si>
    <t>Coluna9490</t>
  </si>
  <si>
    <t>Coluna9491</t>
  </si>
  <si>
    <t>Coluna9492</t>
  </si>
  <si>
    <t>Coluna9493</t>
  </si>
  <si>
    <t>Coluna9494</t>
  </si>
  <si>
    <t>Coluna9495</t>
  </si>
  <si>
    <t>Coluna9496</t>
  </si>
  <si>
    <t>Coluna9497</t>
  </si>
  <si>
    <t>Coluna9498</t>
  </si>
  <si>
    <t>Coluna9499</t>
  </si>
  <si>
    <t>Coluna9500</t>
  </si>
  <si>
    <t>Coluna9501</t>
  </si>
  <si>
    <t>Coluna9502</t>
  </si>
  <si>
    <t>Coluna9503</t>
  </si>
  <si>
    <t>Coluna9504</t>
  </si>
  <si>
    <t>Coluna9505</t>
  </si>
  <si>
    <t>Coluna9506</t>
  </si>
  <si>
    <t>Coluna9507</t>
  </si>
  <si>
    <t>Coluna9508</t>
  </si>
  <si>
    <t>Coluna9509</t>
  </si>
  <si>
    <t>Coluna9510</t>
  </si>
  <si>
    <t>Coluna9511</t>
  </si>
  <si>
    <t>Coluna9512</t>
  </si>
  <si>
    <t>Coluna9513</t>
  </si>
  <si>
    <t>Coluna9514</t>
  </si>
  <si>
    <t>Coluna9515</t>
  </si>
  <si>
    <t>Coluna9516</t>
  </si>
  <si>
    <t>Coluna9517</t>
  </si>
  <si>
    <t>Coluna9518</t>
  </si>
  <si>
    <t>Coluna9519</t>
  </si>
  <si>
    <t>Coluna9520</t>
  </si>
  <si>
    <t>Coluna9521</t>
  </si>
  <si>
    <t>Coluna9522</t>
  </si>
  <si>
    <t>Coluna9523</t>
  </si>
  <si>
    <t>Coluna9524</t>
  </si>
  <si>
    <t>Coluna9525</t>
  </si>
  <si>
    <t>Coluna9526</t>
  </si>
  <si>
    <t>Coluna9527</t>
  </si>
  <si>
    <t>Coluna9528</t>
  </si>
  <si>
    <t>Coluna9529</t>
  </si>
  <si>
    <t>Coluna9530</t>
  </si>
  <si>
    <t>Coluna9531</t>
  </si>
  <si>
    <t>Coluna9532</t>
  </si>
  <si>
    <t>Coluna9533</t>
  </si>
  <si>
    <t>Coluna9534</t>
  </si>
  <si>
    <t>Coluna9535</t>
  </si>
  <si>
    <t>Coluna9536</t>
  </si>
  <si>
    <t>Coluna9537</t>
  </si>
  <si>
    <t>Coluna9538</t>
  </si>
  <si>
    <t>Coluna9539</t>
  </si>
  <si>
    <t>Coluna9540</t>
  </si>
  <si>
    <t>Coluna9541</t>
  </si>
  <si>
    <t>Coluna9542</t>
  </si>
  <si>
    <t>Coluna9543</t>
  </si>
  <si>
    <t>Coluna9544</t>
  </si>
  <si>
    <t>Coluna9545</t>
  </si>
  <si>
    <t>Coluna9546</t>
  </si>
  <si>
    <t>Coluna9547</t>
  </si>
  <si>
    <t>Coluna9548</t>
  </si>
  <si>
    <t>Coluna9549</t>
  </si>
  <si>
    <t>Coluna9550</t>
  </si>
  <si>
    <t>Coluna9551</t>
  </si>
  <si>
    <t>Coluna9552</t>
  </si>
  <si>
    <t>Coluna9553</t>
  </si>
  <si>
    <t>Coluna9554</t>
  </si>
  <si>
    <t>Coluna9555</t>
  </si>
  <si>
    <t>Coluna9556</t>
  </si>
  <si>
    <t>Coluna9557</t>
  </si>
  <si>
    <t>Coluna9558</t>
  </si>
  <si>
    <t>Coluna9559</t>
  </si>
  <si>
    <t>Coluna9560</t>
  </si>
  <si>
    <t>Coluna9561</t>
  </si>
  <si>
    <t>Coluna9562</t>
  </si>
  <si>
    <t>Coluna9563</t>
  </si>
  <si>
    <t>Coluna9564</t>
  </si>
  <si>
    <t>Coluna9565</t>
  </si>
  <si>
    <t>Coluna9566</t>
  </si>
  <si>
    <t>Coluna9567</t>
  </si>
  <si>
    <t>Coluna9568</t>
  </si>
  <si>
    <t>Coluna9569</t>
  </si>
  <si>
    <t>Coluna9570</t>
  </si>
  <si>
    <t>Coluna9571</t>
  </si>
  <si>
    <t>Coluna9572</t>
  </si>
  <si>
    <t>Coluna9573</t>
  </si>
  <si>
    <t>Coluna9574</t>
  </si>
  <si>
    <t>Coluna9575</t>
  </si>
  <si>
    <t>Coluna9576</t>
  </si>
  <si>
    <t>Coluna9577</t>
  </si>
  <si>
    <t>Coluna9578</t>
  </si>
  <si>
    <t>Coluna9579</t>
  </si>
  <si>
    <t>Coluna9580</t>
  </si>
  <si>
    <t>Coluna9581</t>
  </si>
  <si>
    <t>Coluna9582</t>
  </si>
  <si>
    <t>Coluna9583</t>
  </si>
  <si>
    <t>Coluna9584</t>
  </si>
  <si>
    <t>Coluna9585</t>
  </si>
  <si>
    <t>Coluna9586</t>
  </si>
  <si>
    <t>Coluna9587</t>
  </si>
  <si>
    <t>Coluna9588</t>
  </si>
  <si>
    <t>Coluna9589</t>
  </si>
  <si>
    <t>Coluna9590</t>
  </si>
  <si>
    <t>Coluna9591</t>
  </si>
  <si>
    <t>Coluna9592</t>
  </si>
  <si>
    <t>Coluna9593</t>
  </si>
  <si>
    <t>Coluna9594</t>
  </si>
  <si>
    <t>Coluna9595</t>
  </si>
  <si>
    <t>Coluna9596</t>
  </si>
  <si>
    <t>Coluna9597</t>
  </si>
  <si>
    <t>Coluna9598</t>
  </si>
  <si>
    <t>Coluna9599</t>
  </si>
  <si>
    <t>Coluna9600</t>
  </si>
  <si>
    <t>Coluna9601</t>
  </si>
  <si>
    <t>Coluna9602</t>
  </si>
  <si>
    <t>Coluna9603</t>
  </si>
  <si>
    <t>Coluna9604</t>
  </si>
  <si>
    <t>Coluna9605</t>
  </si>
  <si>
    <t>Coluna9606</t>
  </si>
  <si>
    <t>Coluna9607</t>
  </si>
  <si>
    <t>Coluna9608</t>
  </si>
  <si>
    <t>Coluna9609</t>
  </si>
  <si>
    <t>Coluna9610</t>
  </si>
  <si>
    <t>Coluna9611</t>
  </si>
  <si>
    <t>Coluna9612</t>
  </si>
  <si>
    <t>Coluna9613</t>
  </si>
  <si>
    <t>Coluna9614</t>
  </si>
  <si>
    <t>Coluna9615</t>
  </si>
  <si>
    <t>Coluna9616</t>
  </si>
  <si>
    <t>Coluna9617</t>
  </si>
  <si>
    <t>Coluna9618</t>
  </si>
  <si>
    <t>Coluna9619</t>
  </si>
  <si>
    <t>Coluna9620</t>
  </si>
  <si>
    <t>Coluna9621</t>
  </si>
  <si>
    <t>Coluna9622</t>
  </si>
  <si>
    <t>Coluna9623</t>
  </si>
  <si>
    <t>Coluna9624</t>
  </si>
  <si>
    <t>Coluna9625</t>
  </si>
  <si>
    <t>Coluna9626</t>
  </si>
  <si>
    <t>Coluna9627</t>
  </si>
  <si>
    <t>Coluna9628</t>
  </si>
  <si>
    <t>Coluna9629</t>
  </si>
  <si>
    <t>Coluna9630</t>
  </si>
  <si>
    <t>Coluna9631</t>
  </si>
  <si>
    <t>Coluna9632</t>
  </si>
  <si>
    <t>Coluna9633</t>
  </si>
  <si>
    <t>Coluna9634</t>
  </si>
  <si>
    <t>Coluna9635</t>
  </si>
  <si>
    <t>Coluna9636</t>
  </si>
  <si>
    <t>Coluna9637</t>
  </si>
  <si>
    <t>Coluna9638</t>
  </si>
  <si>
    <t>Coluna9639</t>
  </si>
  <si>
    <t>Coluna9640</t>
  </si>
  <si>
    <t>Coluna9641</t>
  </si>
  <si>
    <t>Coluna9642</t>
  </si>
  <si>
    <t>Coluna9643</t>
  </si>
  <si>
    <t>Coluna9644</t>
  </si>
  <si>
    <t>Coluna9645</t>
  </si>
  <si>
    <t>Coluna9646</t>
  </si>
  <si>
    <t>Coluna9647</t>
  </si>
  <si>
    <t>Coluna9648</t>
  </si>
  <si>
    <t>Coluna9649</t>
  </si>
  <si>
    <t>Coluna9650</t>
  </si>
  <si>
    <t>Coluna9651</t>
  </si>
  <si>
    <t>Coluna9652</t>
  </si>
  <si>
    <t>Coluna9653</t>
  </si>
  <si>
    <t>Coluna9654</t>
  </si>
  <si>
    <t>Coluna9655</t>
  </si>
  <si>
    <t>Coluna9656</t>
  </si>
  <si>
    <t>Coluna9657</t>
  </si>
  <si>
    <t>Coluna9658</t>
  </si>
  <si>
    <t>Coluna9659</t>
  </si>
  <si>
    <t>Coluna9660</t>
  </si>
  <si>
    <t>Coluna9661</t>
  </si>
  <si>
    <t>Coluna9662</t>
  </si>
  <si>
    <t>Coluna9663</t>
  </si>
  <si>
    <t>Coluna9664</t>
  </si>
  <si>
    <t>Coluna9665</t>
  </si>
  <si>
    <t>Coluna9666</t>
  </si>
  <si>
    <t>Coluna9667</t>
  </si>
  <si>
    <t>Coluna9668</t>
  </si>
  <si>
    <t>Coluna9669</t>
  </si>
  <si>
    <t>Coluna9670</t>
  </si>
  <si>
    <t>Coluna9671</t>
  </si>
  <si>
    <t>Coluna9672</t>
  </si>
  <si>
    <t>Coluna9673</t>
  </si>
  <si>
    <t>Coluna9674</t>
  </si>
  <si>
    <t>Coluna9675</t>
  </si>
  <si>
    <t>Coluna9676</t>
  </si>
  <si>
    <t>Coluna9677</t>
  </si>
  <si>
    <t>Coluna9678</t>
  </si>
  <si>
    <t>Coluna9679</t>
  </si>
  <si>
    <t>Coluna9680</t>
  </si>
  <si>
    <t>Coluna9681</t>
  </si>
  <si>
    <t>Coluna9682</t>
  </si>
  <si>
    <t>Coluna9683</t>
  </si>
  <si>
    <t>Coluna9684</t>
  </si>
  <si>
    <t>Coluna9685</t>
  </si>
  <si>
    <t>Coluna9686</t>
  </si>
  <si>
    <t>Coluna9687</t>
  </si>
  <si>
    <t>Coluna9688</t>
  </si>
  <si>
    <t>Coluna9689</t>
  </si>
  <si>
    <t>Coluna9690</t>
  </si>
  <si>
    <t>Coluna9691</t>
  </si>
  <si>
    <t>Coluna9692</t>
  </si>
  <si>
    <t>Coluna9693</t>
  </si>
  <si>
    <t>Coluna9694</t>
  </si>
  <si>
    <t>Coluna9695</t>
  </si>
  <si>
    <t>Coluna9696</t>
  </si>
  <si>
    <t>Coluna9697</t>
  </si>
  <si>
    <t>Coluna9698</t>
  </si>
  <si>
    <t>Coluna9699</t>
  </si>
  <si>
    <t>Coluna9700</t>
  </si>
  <si>
    <t>Coluna9701</t>
  </si>
  <si>
    <t>Coluna9702</t>
  </si>
  <si>
    <t>Coluna9703</t>
  </si>
  <si>
    <t>Coluna9704</t>
  </si>
  <si>
    <t>Coluna9705</t>
  </si>
  <si>
    <t>Coluna9706</t>
  </si>
  <si>
    <t>Coluna9707</t>
  </si>
  <si>
    <t>Coluna9708</t>
  </si>
  <si>
    <t>Coluna9709</t>
  </si>
  <si>
    <t>Coluna9710</t>
  </si>
  <si>
    <t>Coluna9711</t>
  </si>
  <si>
    <t>Coluna9712</t>
  </si>
  <si>
    <t>Coluna9713</t>
  </si>
  <si>
    <t>Coluna9714</t>
  </si>
  <si>
    <t>Coluna9715</t>
  </si>
  <si>
    <t>Coluna9716</t>
  </si>
  <si>
    <t>Coluna9717</t>
  </si>
  <si>
    <t>Coluna9718</t>
  </si>
  <si>
    <t>Coluna9719</t>
  </si>
  <si>
    <t>Coluna9720</t>
  </si>
  <si>
    <t>Coluna9721</t>
  </si>
  <si>
    <t>Coluna9722</t>
  </si>
  <si>
    <t>Coluna9723</t>
  </si>
  <si>
    <t>Coluna9724</t>
  </si>
  <si>
    <t>Coluna9725</t>
  </si>
  <si>
    <t>Coluna9726</t>
  </si>
  <si>
    <t>Coluna9727</t>
  </si>
  <si>
    <t>Coluna9728</t>
  </si>
  <si>
    <t>Coluna9729</t>
  </si>
  <si>
    <t>Coluna9730</t>
  </si>
  <si>
    <t>Coluna9731</t>
  </si>
  <si>
    <t>Coluna9732</t>
  </si>
  <si>
    <t>Coluna9733</t>
  </si>
  <si>
    <t>Coluna9734</t>
  </si>
  <si>
    <t>Coluna9735</t>
  </si>
  <si>
    <t>Coluna9736</t>
  </si>
  <si>
    <t>Coluna9737</t>
  </si>
  <si>
    <t>Coluna9738</t>
  </si>
  <si>
    <t>Coluna9739</t>
  </si>
  <si>
    <t>Coluna9740</t>
  </si>
  <si>
    <t>Coluna9741</t>
  </si>
  <si>
    <t>Coluna9742</t>
  </si>
  <si>
    <t>Coluna9743</t>
  </si>
  <si>
    <t>Coluna9744</t>
  </si>
  <si>
    <t>Coluna9745</t>
  </si>
  <si>
    <t>Coluna9746</t>
  </si>
  <si>
    <t>Coluna9747</t>
  </si>
  <si>
    <t>Coluna9748</t>
  </si>
  <si>
    <t>Coluna9749</t>
  </si>
  <si>
    <t>Coluna9750</t>
  </si>
  <si>
    <t>Coluna9751</t>
  </si>
  <si>
    <t>Coluna9752</t>
  </si>
  <si>
    <t>Coluna9753</t>
  </si>
  <si>
    <t>Coluna9754</t>
  </si>
  <si>
    <t>Coluna9755</t>
  </si>
  <si>
    <t>Coluna9756</t>
  </si>
  <si>
    <t>Coluna9757</t>
  </si>
  <si>
    <t>Coluna9758</t>
  </si>
  <si>
    <t>Coluna9759</t>
  </si>
  <si>
    <t>Coluna9760</t>
  </si>
  <si>
    <t>Coluna9761</t>
  </si>
  <si>
    <t>Coluna9762</t>
  </si>
  <si>
    <t>Coluna9763</t>
  </si>
  <si>
    <t>Coluna9764</t>
  </si>
  <si>
    <t>Coluna9765</t>
  </si>
  <si>
    <t>Coluna9766</t>
  </si>
  <si>
    <t>Coluna9767</t>
  </si>
  <si>
    <t>Coluna9768</t>
  </si>
  <si>
    <t>Coluna9769</t>
  </si>
  <si>
    <t>Coluna9770</t>
  </si>
  <si>
    <t>Coluna9771</t>
  </si>
  <si>
    <t>Coluna9772</t>
  </si>
  <si>
    <t>Coluna9773</t>
  </si>
  <si>
    <t>Coluna9774</t>
  </si>
  <si>
    <t>Coluna9775</t>
  </si>
  <si>
    <t>Coluna9776</t>
  </si>
  <si>
    <t>Coluna9777</t>
  </si>
  <si>
    <t>Coluna9778</t>
  </si>
  <si>
    <t>Coluna9779</t>
  </si>
  <si>
    <t>Coluna9780</t>
  </si>
  <si>
    <t>Coluna9781</t>
  </si>
  <si>
    <t>Coluna9782</t>
  </si>
  <si>
    <t>Coluna9783</t>
  </si>
  <si>
    <t>Coluna9784</t>
  </si>
  <si>
    <t>Coluna9785</t>
  </si>
  <si>
    <t>Coluna9786</t>
  </si>
  <si>
    <t>Coluna9787</t>
  </si>
  <si>
    <t>Coluna9788</t>
  </si>
  <si>
    <t>Coluna9789</t>
  </si>
  <si>
    <t>Coluna9790</t>
  </si>
  <si>
    <t>Coluna9791</t>
  </si>
  <si>
    <t>Coluna9792</t>
  </si>
  <si>
    <t>Coluna9793</t>
  </si>
  <si>
    <t>Coluna9794</t>
  </si>
  <si>
    <t>Coluna9795</t>
  </si>
  <si>
    <t>Coluna9796</t>
  </si>
  <si>
    <t>Coluna9797</t>
  </si>
  <si>
    <t>Coluna9798</t>
  </si>
  <si>
    <t>Coluna9799</t>
  </si>
  <si>
    <t>Coluna9800</t>
  </si>
  <si>
    <t>Coluna9801</t>
  </si>
  <si>
    <t>Coluna9802</t>
  </si>
  <si>
    <t>Coluna9803</t>
  </si>
  <si>
    <t>Coluna9804</t>
  </si>
  <si>
    <t>Coluna9805</t>
  </si>
  <si>
    <t>Coluna9806</t>
  </si>
  <si>
    <t>Coluna9807</t>
  </si>
  <si>
    <t>Coluna9808</t>
  </si>
  <si>
    <t>Coluna9809</t>
  </si>
  <si>
    <t>Coluna9810</t>
  </si>
  <si>
    <t>Coluna9811</t>
  </si>
  <si>
    <t>Coluna9812</t>
  </si>
  <si>
    <t>Coluna9813</t>
  </si>
  <si>
    <t>Coluna9814</t>
  </si>
  <si>
    <t>Coluna9815</t>
  </si>
  <si>
    <t>Coluna9816</t>
  </si>
  <si>
    <t>Coluna9817</t>
  </si>
  <si>
    <t>Coluna9818</t>
  </si>
  <si>
    <t>Coluna9819</t>
  </si>
  <si>
    <t>Coluna9820</t>
  </si>
  <si>
    <t>Coluna9821</t>
  </si>
  <si>
    <t>Coluna9822</t>
  </si>
  <si>
    <t>Coluna9823</t>
  </si>
  <si>
    <t>Coluna9824</t>
  </si>
  <si>
    <t>Coluna9825</t>
  </si>
  <si>
    <t>Coluna9826</t>
  </si>
  <si>
    <t>Coluna9827</t>
  </si>
  <si>
    <t>Coluna9828</t>
  </si>
  <si>
    <t>Coluna9829</t>
  </si>
  <si>
    <t>Coluna9830</t>
  </si>
  <si>
    <t>Coluna9831</t>
  </si>
  <si>
    <t>Coluna9832</t>
  </si>
  <si>
    <t>Coluna9833</t>
  </si>
  <si>
    <t>Coluna9834</t>
  </si>
  <si>
    <t>Coluna9835</t>
  </si>
  <si>
    <t>Coluna9836</t>
  </si>
  <si>
    <t>Coluna9837</t>
  </si>
  <si>
    <t>Coluna9838</t>
  </si>
  <si>
    <t>Coluna9839</t>
  </si>
  <si>
    <t>Coluna9840</t>
  </si>
  <si>
    <t>Coluna9841</t>
  </si>
  <si>
    <t>Coluna9842</t>
  </si>
  <si>
    <t>Coluna9843</t>
  </si>
  <si>
    <t>Coluna9844</t>
  </si>
  <si>
    <t>Coluna9845</t>
  </si>
  <si>
    <t>Coluna9846</t>
  </si>
  <si>
    <t>Coluna9847</t>
  </si>
  <si>
    <t>Coluna9848</t>
  </si>
  <si>
    <t>Coluna9849</t>
  </si>
  <si>
    <t>Coluna9850</t>
  </si>
  <si>
    <t>Coluna9851</t>
  </si>
  <si>
    <t>Coluna9852</t>
  </si>
  <si>
    <t>Coluna9853</t>
  </si>
  <si>
    <t>Coluna9854</t>
  </si>
  <si>
    <t>Coluna9855</t>
  </si>
  <si>
    <t>Coluna9856</t>
  </si>
  <si>
    <t>Coluna9857</t>
  </si>
  <si>
    <t>Coluna9858</t>
  </si>
  <si>
    <t>Coluna9859</t>
  </si>
  <si>
    <t>Coluna9860</t>
  </si>
  <si>
    <t>Coluna9861</t>
  </si>
  <si>
    <t>Coluna9862</t>
  </si>
  <si>
    <t>Coluna9863</t>
  </si>
  <si>
    <t>Coluna9864</t>
  </si>
  <si>
    <t>Coluna9865</t>
  </si>
  <si>
    <t>Coluna9866</t>
  </si>
  <si>
    <t>Coluna9867</t>
  </si>
  <si>
    <t>Coluna9868</t>
  </si>
  <si>
    <t>Coluna9869</t>
  </si>
  <si>
    <t>Coluna9870</t>
  </si>
  <si>
    <t>Coluna9871</t>
  </si>
  <si>
    <t>Coluna9872</t>
  </si>
  <si>
    <t>Coluna9873</t>
  </si>
  <si>
    <t>Coluna9874</t>
  </si>
  <si>
    <t>Coluna9875</t>
  </si>
  <si>
    <t>Coluna9876</t>
  </si>
  <si>
    <t>Coluna9877</t>
  </si>
  <si>
    <t>Coluna9878</t>
  </si>
  <si>
    <t>Coluna9879</t>
  </si>
  <si>
    <t>Coluna9880</t>
  </si>
  <si>
    <t>Coluna9881</t>
  </si>
  <si>
    <t>Coluna9882</t>
  </si>
  <si>
    <t>Coluna9883</t>
  </si>
  <si>
    <t>Coluna9884</t>
  </si>
  <si>
    <t>Coluna9885</t>
  </si>
  <si>
    <t>Coluna9886</t>
  </si>
  <si>
    <t>Coluna9887</t>
  </si>
  <si>
    <t>Coluna9888</t>
  </si>
  <si>
    <t>Coluna9889</t>
  </si>
  <si>
    <t>Coluna9890</t>
  </si>
  <si>
    <t>Coluna9891</t>
  </si>
  <si>
    <t>Coluna9892</t>
  </si>
  <si>
    <t>Coluna9893</t>
  </si>
  <si>
    <t>Coluna9894</t>
  </si>
  <si>
    <t>Coluna9895</t>
  </si>
  <si>
    <t>Coluna9896</t>
  </si>
  <si>
    <t>Coluna9897</t>
  </si>
  <si>
    <t>Coluna9898</t>
  </si>
  <si>
    <t>Coluna9899</t>
  </si>
  <si>
    <t>Coluna9900</t>
  </si>
  <si>
    <t>Coluna9901</t>
  </si>
  <si>
    <t>Coluna9902</t>
  </si>
  <si>
    <t>Coluna9903</t>
  </si>
  <si>
    <t>Coluna9904</t>
  </si>
  <si>
    <t>Coluna9905</t>
  </si>
  <si>
    <t>Coluna9906</t>
  </si>
  <si>
    <t>Coluna9907</t>
  </si>
  <si>
    <t>Coluna9908</t>
  </si>
  <si>
    <t>Coluna9909</t>
  </si>
  <si>
    <t>Coluna9910</t>
  </si>
  <si>
    <t>Coluna9911</t>
  </si>
  <si>
    <t>Coluna9912</t>
  </si>
  <si>
    <t>Coluna9913</t>
  </si>
  <si>
    <t>Coluna9914</t>
  </si>
  <si>
    <t>Coluna9915</t>
  </si>
  <si>
    <t>Coluna9916</t>
  </si>
  <si>
    <t>Coluna9917</t>
  </si>
  <si>
    <t>Coluna9918</t>
  </si>
  <si>
    <t>Coluna9919</t>
  </si>
  <si>
    <t>Coluna9920</t>
  </si>
  <si>
    <t>Coluna9921</t>
  </si>
  <si>
    <t>Coluna9922</t>
  </si>
  <si>
    <t>Coluna9923</t>
  </si>
  <si>
    <t>Coluna9924</t>
  </si>
  <si>
    <t>Coluna9925</t>
  </si>
  <si>
    <t>Coluna9926</t>
  </si>
  <si>
    <t>Coluna9927</t>
  </si>
  <si>
    <t>Coluna9928</t>
  </si>
  <si>
    <t>Coluna9929</t>
  </si>
  <si>
    <t>Coluna9930</t>
  </si>
  <si>
    <t>Coluna9931</t>
  </si>
  <si>
    <t>Coluna9932</t>
  </si>
  <si>
    <t>Coluna9933</t>
  </si>
  <si>
    <t>Coluna9934</t>
  </si>
  <si>
    <t>Coluna9935</t>
  </si>
  <si>
    <t>Coluna9936</t>
  </si>
  <si>
    <t>Coluna9937</t>
  </si>
  <si>
    <t>Coluna9938</t>
  </si>
  <si>
    <t>Coluna9939</t>
  </si>
  <si>
    <t>Coluna9940</t>
  </si>
  <si>
    <t>Coluna9941</t>
  </si>
  <si>
    <t>Coluna9942</t>
  </si>
  <si>
    <t>Coluna9943</t>
  </si>
  <si>
    <t>Coluna9944</t>
  </si>
  <si>
    <t>Coluna9945</t>
  </si>
  <si>
    <t>Coluna9946</t>
  </si>
  <si>
    <t>Coluna9947</t>
  </si>
  <si>
    <t>Coluna9948</t>
  </si>
  <si>
    <t>Coluna9949</t>
  </si>
  <si>
    <t>Coluna9950</t>
  </si>
  <si>
    <t>Coluna9951</t>
  </si>
  <si>
    <t>Coluna9952</t>
  </si>
  <si>
    <t>Coluna9953</t>
  </si>
  <si>
    <t>Coluna9954</t>
  </si>
  <si>
    <t>Coluna9955</t>
  </si>
  <si>
    <t>Coluna9956</t>
  </si>
  <si>
    <t>Coluna9957</t>
  </si>
  <si>
    <t>Coluna9958</t>
  </si>
  <si>
    <t>Coluna9959</t>
  </si>
  <si>
    <t>Coluna9960</t>
  </si>
  <si>
    <t>Coluna9961</t>
  </si>
  <si>
    <t>Coluna9962</t>
  </si>
  <si>
    <t>Coluna9963</t>
  </si>
  <si>
    <t>Coluna9964</t>
  </si>
  <si>
    <t>Coluna9965</t>
  </si>
  <si>
    <t>Coluna9966</t>
  </si>
  <si>
    <t>Coluna9967</t>
  </si>
  <si>
    <t>Coluna9968</t>
  </si>
  <si>
    <t>Coluna9969</t>
  </si>
  <si>
    <t>Coluna9970</t>
  </si>
  <si>
    <t>Coluna9971</t>
  </si>
  <si>
    <t>Coluna9972</t>
  </si>
  <si>
    <t>Coluna9973</t>
  </si>
  <si>
    <t>Coluna9974</t>
  </si>
  <si>
    <t>Coluna9975</t>
  </si>
  <si>
    <t>Coluna9976</t>
  </si>
  <si>
    <t>Coluna9977</t>
  </si>
  <si>
    <t>Coluna9978</t>
  </si>
  <si>
    <t>Coluna9979</t>
  </si>
  <si>
    <t>Coluna9980</t>
  </si>
  <si>
    <t>Coluna9981</t>
  </si>
  <si>
    <t>Coluna9982</t>
  </si>
  <si>
    <t>Coluna9983</t>
  </si>
  <si>
    <t>Coluna9984</t>
  </si>
  <si>
    <t>Coluna9985</t>
  </si>
  <si>
    <t>Coluna9986</t>
  </si>
  <si>
    <t>Coluna9987</t>
  </si>
  <si>
    <t>Coluna9988</t>
  </si>
  <si>
    <t>Coluna9989</t>
  </si>
  <si>
    <t>Coluna9990</t>
  </si>
  <si>
    <t>Coluna9991</t>
  </si>
  <si>
    <t>Coluna9992</t>
  </si>
  <si>
    <t>Coluna9993</t>
  </si>
  <si>
    <t>Coluna9994</t>
  </si>
  <si>
    <t>Coluna9995</t>
  </si>
  <si>
    <t>Coluna9996</t>
  </si>
  <si>
    <t>Coluna9997</t>
  </si>
  <si>
    <t>Coluna9998</t>
  </si>
  <si>
    <t>Coluna9999</t>
  </si>
  <si>
    <t>Coluna10000</t>
  </si>
  <si>
    <t>Coluna10001</t>
  </si>
  <si>
    <t>Coluna10002</t>
  </si>
  <si>
    <t>Coluna10003</t>
  </si>
  <si>
    <t>Coluna10004</t>
  </si>
  <si>
    <t>Coluna10005</t>
  </si>
  <si>
    <t>Coluna10006</t>
  </si>
  <si>
    <t>Coluna10007</t>
  </si>
  <si>
    <t>Coluna10008</t>
  </si>
  <si>
    <t>Coluna10009</t>
  </si>
  <si>
    <t>Coluna10010</t>
  </si>
  <si>
    <t>Coluna10011</t>
  </si>
  <si>
    <t>Coluna10012</t>
  </si>
  <si>
    <t>Coluna10013</t>
  </si>
  <si>
    <t>Coluna10014</t>
  </si>
  <si>
    <t>Coluna10015</t>
  </si>
  <si>
    <t>Coluna10016</t>
  </si>
  <si>
    <t>Coluna10017</t>
  </si>
  <si>
    <t>Coluna10018</t>
  </si>
  <si>
    <t>Coluna10019</t>
  </si>
  <si>
    <t>Coluna10020</t>
  </si>
  <si>
    <t>Coluna10021</t>
  </si>
  <si>
    <t>Coluna10022</t>
  </si>
  <si>
    <t>Coluna10023</t>
  </si>
  <si>
    <t>Coluna10024</t>
  </si>
  <si>
    <t>Coluna10025</t>
  </si>
  <si>
    <t>Coluna10026</t>
  </si>
  <si>
    <t>Coluna10027</t>
  </si>
  <si>
    <t>Coluna10028</t>
  </si>
  <si>
    <t>Coluna10029</t>
  </si>
  <si>
    <t>Coluna10030</t>
  </si>
  <si>
    <t>Coluna10031</t>
  </si>
  <si>
    <t>Coluna10032</t>
  </si>
  <si>
    <t>Coluna10033</t>
  </si>
  <si>
    <t>Coluna10034</t>
  </si>
  <si>
    <t>Coluna10035</t>
  </si>
  <si>
    <t>Coluna10036</t>
  </si>
  <si>
    <t>Coluna10037</t>
  </si>
  <si>
    <t>Coluna10038</t>
  </si>
  <si>
    <t>Coluna10039</t>
  </si>
  <si>
    <t>Coluna10040</t>
  </si>
  <si>
    <t>Coluna10041</t>
  </si>
  <si>
    <t>Coluna10042</t>
  </si>
  <si>
    <t>Coluna10043</t>
  </si>
  <si>
    <t>Coluna10044</t>
  </si>
  <si>
    <t>Coluna10045</t>
  </si>
  <si>
    <t>Coluna10046</t>
  </si>
  <si>
    <t>Coluna10047</t>
  </si>
  <si>
    <t>Coluna10048</t>
  </si>
  <si>
    <t>Coluna10049</t>
  </si>
  <si>
    <t>Coluna10050</t>
  </si>
  <si>
    <t>Coluna10051</t>
  </si>
  <si>
    <t>Coluna10052</t>
  </si>
  <si>
    <t>Coluna10053</t>
  </si>
  <si>
    <t>Coluna10054</t>
  </si>
  <si>
    <t>Coluna10055</t>
  </si>
  <si>
    <t>Coluna10056</t>
  </si>
  <si>
    <t>Coluna10057</t>
  </si>
  <si>
    <t>Coluna10058</t>
  </si>
  <si>
    <t>Coluna10059</t>
  </si>
  <si>
    <t>Coluna10060</t>
  </si>
  <si>
    <t>Coluna10061</t>
  </si>
  <si>
    <t>Coluna10062</t>
  </si>
  <si>
    <t>Coluna10063</t>
  </si>
  <si>
    <t>Coluna10064</t>
  </si>
  <si>
    <t>Coluna10065</t>
  </si>
  <si>
    <t>Coluna10066</t>
  </si>
  <si>
    <t>Coluna10067</t>
  </si>
  <si>
    <t>Coluna10068</t>
  </si>
  <si>
    <t>Coluna10069</t>
  </si>
  <si>
    <t>Coluna10070</t>
  </si>
  <si>
    <t>Coluna10071</t>
  </si>
  <si>
    <t>Coluna10072</t>
  </si>
  <si>
    <t>Coluna10073</t>
  </si>
  <si>
    <t>Coluna10074</t>
  </si>
  <si>
    <t>Coluna10075</t>
  </si>
  <si>
    <t>Coluna10076</t>
  </si>
  <si>
    <t>Coluna10077</t>
  </si>
  <si>
    <t>Coluna10078</t>
  </si>
  <si>
    <t>Coluna10079</t>
  </si>
  <si>
    <t>Coluna10080</t>
  </si>
  <si>
    <t>Coluna10081</t>
  </si>
  <si>
    <t>Coluna10082</t>
  </si>
  <si>
    <t>Coluna10083</t>
  </si>
  <si>
    <t>Coluna10084</t>
  </si>
  <si>
    <t>Coluna10085</t>
  </si>
  <si>
    <t>Coluna10086</t>
  </si>
  <si>
    <t>Coluna10087</t>
  </si>
  <si>
    <t>Coluna10088</t>
  </si>
  <si>
    <t>Coluna10089</t>
  </si>
  <si>
    <t>Coluna10090</t>
  </si>
  <si>
    <t>Coluna10091</t>
  </si>
  <si>
    <t>Coluna10092</t>
  </si>
  <si>
    <t>Coluna10093</t>
  </si>
  <si>
    <t>Coluna10094</t>
  </si>
  <si>
    <t>Coluna10095</t>
  </si>
  <si>
    <t>Coluna10096</t>
  </si>
  <si>
    <t>Coluna10097</t>
  </si>
  <si>
    <t>Coluna10098</t>
  </si>
  <si>
    <t>Coluna10099</t>
  </si>
  <si>
    <t>Coluna10100</t>
  </si>
  <si>
    <t>Coluna10101</t>
  </si>
  <si>
    <t>Coluna10102</t>
  </si>
  <si>
    <t>Coluna10103</t>
  </si>
  <si>
    <t>Coluna10104</t>
  </si>
  <si>
    <t>Coluna10105</t>
  </si>
  <si>
    <t>Coluna10106</t>
  </si>
  <si>
    <t>Coluna10107</t>
  </si>
  <si>
    <t>Coluna10108</t>
  </si>
  <si>
    <t>Coluna10109</t>
  </si>
  <si>
    <t>Coluna10110</t>
  </si>
  <si>
    <t>Coluna10111</t>
  </si>
  <si>
    <t>Coluna10112</t>
  </si>
  <si>
    <t>Coluna10113</t>
  </si>
  <si>
    <t>Coluna10114</t>
  </si>
  <si>
    <t>Coluna10115</t>
  </si>
  <si>
    <t>Coluna10116</t>
  </si>
  <si>
    <t>Coluna10117</t>
  </si>
  <si>
    <t>Coluna10118</t>
  </si>
  <si>
    <t>Coluna10119</t>
  </si>
  <si>
    <t>Coluna10120</t>
  </si>
  <si>
    <t>Coluna10121</t>
  </si>
  <si>
    <t>Coluna10122</t>
  </si>
  <si>
    <t>Coluna10123</t>
  </si>
  <si>
    <t>Coluna10124</t>
  </si>
  <si>
    <t>Coluna10125</t>
  </si>
  <si>
    <t>Coluna10126</t>
  </si>
  <si>
    <t>Coluna10127</t>
  </si>
  <si>
    <t>Coluna10128</t>
  </si>
  <si>
    <t>Coluna10129</t>
  </si>
  <si>
    <t>Coluna10130</t>
  </si>
  <si>
    <t>Coluna10131</t>
  </si>
  <si>
    <t>Coluna10132</t>
  </si>
  <si>
    <t>Coluna10133</t>
  </si>
  <si>
    <t>Coluna10134</t>
  </si>
  <si>
    <t>Coluna10135</t>
  </si>
  <si>
    <t>Coluna10136</t>
  </si>
  <si>
    <t>Coluna10137</t>
  </si>
  <si>
    <t>Coluna10138</t>
  </si>
  <si>
    <t>Coluna10139</t>
  </si>
  <si>
    <t>Coluna10140</t>
  </si>
  <si>
    <t>Coluna10141</t>
  </si>
  <si>
    <t>Coluna10142</t>
  </si>
  <si>
    <t>Coluna10143</t>
  </si>
  <si>
    <t>Coluna10144</t>
  </si>
  <si>
    <t>Coluna10145</t>
  </si>
  <si>
    <t>Coluna10146</t>
  </si>
  <si>
    <t>Coluna10147</t>
  </si>
  <si>
    <t>Coluna10148</t>
  </si>
  <si>
    <t>Coluna10149</t>
  </si>
  <si>
    <t>Coluna10150</t>
  </si>
  <si>
    <t>Coluna10151</t>
  </si>
  <si>
    <t>Coluna10152</t>
  </si>
  <si>
    <t>Coluna10153</t>
  </si>
  <si>
    <t>Coluna10154</t>
  </si>
  <si>
    <t>Coluna10155</t>
  </si>
  <si>
    <t>Coluna10156</t>
  </si>
  <si>
    <t>Coluna10157</t>
  </si>
  <si>
    <t>Coluna10158</t>
  </si>
  <si>
    <t>Coluna10159</t>
  </si>
  <si>
    <t>Coluna10160</t>
  </si>
  <si>
    <t>Coluna10161</t>
  </si>
  <si>
    <t>Coluna10162</t>
  </si>
  <si>
    <t>Coluna10163</t>
  </si>
  <si>
    <t>Coluna10164</t>
  </si>
  <si>
    <t>Coluna10165</t>
  </si>
  <si>
    <t>Coluna10166</t>
  </si>
  <si>
    <t>Coluna10167</t>
  </si>
  <si>
    <t>Coluna10168</t>
  </si>
  <si>
    <t>Coluna10169</t>
  </si>
  <si>
    <t>Coluna10170</t>
  </si>
  <si>
    <t>Coluna10171</t>
  </si>
  <si>
    <t>Coluna10172</t>
  </si>
  <si>
    <t>Coluna10173</t>
  </si>
  <si>
    <t>Coluna10174</t>
  </si>
  <si>
    <t>Coluna10175</t>
  </si>
  <si>
    <t>Coluna10176</t>
  </si>
  <si>
    <t>Coluna10177</t>
  </si>
  <si>
    <t>Coluna10178</t>
  </si>
  <si>
    <t>Coluna10179</t>
  </si>
  <si>
    <t>Coluna10180</t>
  </si>
  <si>
    <t>Coluna10181</t>
  </si>
  <si>
    <t>Coluna10182</t>
  </si>
  <si>
    <t>Coluna10183</t>
  </si>
  <si>
    <t>Coluna10184</t>
  </si>
  <si>
    <t>Coluna10185</t>
  </si>
  <si>
    <t>Coluna10186</t>
  </si>
  <si>
    <t>Coluna10187</t>
  </si>
  <si>
    <t>Coluna10188</t>
  </si>
  <si>
    <t>Coluna10189</t>
  </si>
  <si>
    <t>Coluna10190</t>
  </si>
  <si>
    <t>Coluna10191</t>
  </si>
  <si>
    <t>Coluna10192</t>
  </si>
  <si>
    <t>Coluna10193</t>
  </si>
  <si>
    <t>Coluna10194</t>
  </si>
  <si>
    <t>Coluna10195</t>
  </si>
  <si>
    <t>Coluna10196</t>
  </si>
  <si>
    <t>Coluna10197</t>
  </si>
  <si>
    <t>Coluna10198</t>
  </si>
  <si>
    <t>Coluna10199</t>
  </si>
  <si>
    <t>Coluna10200</t>
  </si>
  <si>
    <t>Coluna10201</t>
  </si>
  <si>
    <t>Coluna10202</t>
  </si>
  <si>
    <t>Coluna10203</t>
  </si>
  <si>
    <t>Coluna10204</t>
  </si>
  <si>
    <t>Coluna10205</t>
  </si>
  <si>
    <t>Coluna10206</t>
  </si>
  <si>
    <t>Coluna10207</t>
  </si>
  <si>
    <t>Coluna10208</t>
  </si>
  <si>
    <t>Coluna10209</t>
  </si>
  <si>
    <t>Coluna10210</t>
  </si>
  <si>
    <t>Coluna10211</t>
  </si>
  <si>
    <t>Coluna10212</t>
  </si>
  <si>
    <t>Coluna10213</t>
  </si>
  <si>
    <t>Coluna10214</t>
  </si>
  <si>
    <t>Coluna10215</t>
  </si>
  <si>
    <t>Coluna10216</t>
  </si>
  <si>
    <t>Coluna10217</t>
  </si>
  <si>
    <t>Coluna10218</t>
  </si>
  <si>
    <t>Coluna10219</t>
  </si>
  <si>
    <t>Coluna10220</t>
  </si>
  <si>
    <t>Coluna10221</t>
  </si>
  <si>
    <t>Coluna10222</t>
  </si>
  <si>
    <t>Coluna10223</t>
  </si>
  <si>
    <t>Coluna10224</t>
  </si>
  <si>
    <t>Coluna10225</t>
  </si>
  <si>
    <t>Coluna10226</t>
  </si>
  <si>
    <t>Coluna10227</t>
  </si>
  <si>
    <t>Coluna10228</t>
  </si>
  <si>
    <t>Coluna10229</t>
  </si>
  <si>
    <t>Coluna10230</t>
  </si>
  <si>
    <t>Coluna10231</t>
  </si>
  <si>
    <t>Coluna10232</t>
  </si>
  <si>
    <t>Coluna10233</t>
  </si>
  <si>
    <t>Coluna10234</t>
  </si>
  <si>
    <t>Coluna10235</t>
  </si>
  <si>
    <t>Coluna10236</t>
  </si>
  <si>
    <t>Coluna10237</t>
  </si>
  <si>
    <t>Coluna10238</t>
  </si>
  <si>
    <t>Coluna10239</t>
  </si>
  <si>
    <t>Coluna10240</t>
  </si>
  <si>
    <t>Coluna10241</t>
  </si>
  <si>
    <t>Coluna10242</t>
  </si>
  <si>
    <t>Coluna10243</t>
  </si>
  <si>
    <t>Coluna10244</t>
  </si>
  <si>
    <t>Coluna10245</t>
  </si>
  <si>
    <t>Coluna10246</t>
  </si>
  <si>
    <t>Coluna10247</t>
  </si>
  <si>
    <t>Coluna10248</t>
  </si>
  <si>
    <t>Coluna10249</t>
  </si>
  <si>
    <t>Coluna10250</t>
  </si>
  <si>
    <t>Coluna10251</t>
  </si>
  <si>
    <t>Coluna10252</t>
  </si>
  <si>
    <t>Coluna10253</t>
  </si>
  <si>
    <t>Coluna10254</t>
  </si>
  <si>
    <t>Coluna10255</t>
  </si>
  <si>
    <t>Coluna10256</t>
  </si>
  <si>
    <t>Coluna10257</t>
  </si>
  <si>
    <t>Coluna10258</t>
  </si>
  <si>
    <t>Coluna10259</t>
  </si>
  <si>
    <t>Coluna10260</t>
  </si>
  <si>
    <t>Coluna10261</t>
  </si>
  <si>
    <t>Coluna10262</t>
  </si>
  <si>
    <t>Coluna10263</t>
  </si>
  <si>
    <t>Coluna10264</t>
  </si>
  <si>
    <t>Coluna10265</t>
  </si>
  <si>
    <t>Coluna10266</t>
  </si>
  <si>
    <t>Coluna10267</t>
  </si>
  <si>
    <t>Coluna10268</t>
  </si>
  <si>
    <t>Coluna10269</t>
  </si>
  <si>
    <t>Coluna10270</t>
  </si>
  <si>
    <t>Coluna10271</t>
  </si>
  <si>
    <t>Coluna10272</t>
  </si>
  <si>
    <t>Coluna10273</t>
  </si>
  <si>
    <t>Coluna10274</t>
  </si>
  <si>
    <t>Coluna10275</t>
  </si>
  <si>
    <t>Coluna10276</t>
  </si>
  <si>
    <t>Coluna10277</t>
  </si>
  <si>
    <t>Coluna10278</t>
  </si>
  <si>
    <t>Coluna10279</t>
  </si>
  <si>
    <t>Coluna10280</t>
  </si>
  <si>
    <t>Coluna10281</t>
  </si>
  <si>
    <t>Coluna10282</t>
  </si>
  <si>
    <t>Coluna10283</t>
  </si>
  <si>
    <t>Coluna10284</t>
  </si>
  <si>
    <t>Coluna10285</t>
  </si>
  <si>
    <t>Coluna10286</t>
  </si>
  <si>
    <t>Coluna10287</t>
  </si>
  <si>
    <t>Coluna10288</t>
  </si>
  <si>
    <t>Coluna10289</t>
  </si>
  <si>
    <t>Coluna10290</t>
  </si>
  <si>
    <t>Coluna10291</t>
  </si>
  <si>
    <t>Coluna10292</t>
  </si>
  <si>
    <t>Coluna10293</t>
  </si>
  <si>
    <t>Coluna10294</t>
  </si>
  <si>
    <t>Coluna10295</t>
  </si>
  <si>
    <t>Coluna10296</t>
  </si>
  <si>
    <t>Coluna10297</t>
  </si>
  <si>
    <t>Coluna10298</t>
  </si>
  <si>
    <t>Coluna10299</t>
  </si>
  <si>
    <t>Coluna10300</t>
  </si>
  <si>
    <t>Coluna10301</t>
  </si>
  <si>
    <t>Coluna10302</t>
  </si>
  <si>
    <t>Coluna10303</t>
  </si>
  <si>
    <t>Coluna10304</t>
  </si>
  <si>
    <t>Coluna10305</t>
  </si>
  <si>
    <t>Coluna10306</t>
  </si>
  <si>
    <t>Coluna10307</t>
  </si>
  <si>
    <t>Coluna10308</t>
  </si>
  <si>
    <t>Coluna10309</t>
  </si>
  <si>
    <t>Coluna10310</t>
  </si>
  <si>
    <t>Coluna10311</t>
  </si>
  <si>
    <t>Coluna10312</t>
  </si>
  <si>
    <t>Coluna10313</t>
  </si>
  <si>
    <t>Coluna10314</t>
  </si>
  <si>
    <t>Coluna10315</t>
  </si>
  <si>
    <t>Coluna10316</t>
  </si>
  <si>
    <t>Coluna10317</t>
  </si>
  <si>
    <t>Coluna10318</t>
  </si>
  <si>
    <t>Coluna10319</t>
  </si>
  <si>
    <t>Coluna10320</t>
  </si>
  <si>
    <t>Coluna10321</t>
  </si>
  <si>
    <t>Coluna10322</t>
  </si>
  <si>
    <t>Coluna10323</t>
  </si>
  <si>
    <t>Coluna10324</t>
  </si>
  <si>
    <t>Coluna10325</t>
  </si>
  <si>
    <t>Coluna10326</t>
  </si>
  <si>
    <t>Coluna10327</t>
  </si>
  <si>
    <t>Coluna10328</t>
  </si>
  <si>
    <t>Coluna10329</t>
  </si>
  <si>
    <t>Coluna10330</t>
  </si>
  <si>
    <t>Coluna10331</t>
  </si>
  <si>
    <t>Coluna10332</t>
  </si>
  <si>
    <t>Coluna10333</t>
  </si>
  <si>
    <t>Coluna10334</t>
  </si>
  <si>
    <t>Coluna10335</t>
  </si>
  <si>
    <t>Coluna10336</t>
  </si>
  <si>
    <t>Coluna10337</t>
  </si>
  <si>
    <t>Coluna10338</t>
  </si>
  <si>
    <t>Coluna10339</t>
  </si>
  <si>
    <t>Coluna10340</t>
  </si>
  <si>
    <t>Coluna10341</t>
  </si>
  <si>
    <t>Coluna10342</t>
  </si>
  <si>
    <t>Coluna10343</t>
  </si>
  <si>
    <t>Coluna10344</t>
  </si>
  <si>
    <t>Coluna10345</t>
  </si>
  <si>
    <t>Coluna10346</t>
  </si>
  <si>
    <t>Coluna10347</t>
  </si>
  <si>
    <t>Coluna10348</t>
  </si>
  <si>
    <t>Coluna10349</t>
  </si>
  <si>
    <t>Coluna10350</t>
  </si>
  <si>
    <t>Coluna10351</t>
  </si>
  <si>
    <t>Coluna10352</t>
  </si>
  <si>
    <t>Coluna10353</t>
  </si>
  <si>
    <t>Coluna10354</t>
  </si>
  <si>
    <t>Coluna10355</t>
  </si>
  <si>
    <t>Coluna10356</t>
  </si>
  <si>
    <t>Coluna10357</t>
  </si>
  <si>
    <t>Coluna10358</t>
  </si>
  <si>
    <t>Coluna10359</t>
  </si>
  <si>
    <t>Coluna10360</t>
  </si>
  <si>
    <t>Coluna10361</t>
  </si>
  <si>
    <t>Coluna10362</t>
  </si>
  <si>
    <t>Coluna10363</t>
  </si>
  <si>
    <t>Coluna10364</t>
  </si>
  <si>
    <t>Coluna10365</t>
  </si>
  <si>
    <t>Coluna10366</t>
  </si>
  <si>
    <t>Coluna10367</t>
  </si>
  <si>
    <t>Coluna10368</t>
  </si>
  <si>
    <t>Coluna10369</t>
  </si>
  <si>
    <t>Coluna10370</t>
  </si>
  <si>
    <t>Coluna10371</t>
  </si>
  <si>
    <t>Coluna10372</t>
  </si>
  <si>
    <t>Coluna10373</t>
  </si>
  <si>
    <t>Coluna10374</t>
  </si>
  <si>
    <t>Coluna10375</t>
  </si>
  <si>
    <t>Coluna10376</t>
  </si>
  <si>
    <t>Coluna10377</t>
  </si>
  <si>
    <t>Coluna10378</t>
  </si>
  <si>
    <t>Coluna10379</t>
  </si>
  <si>
    <t>Coluna10380</t>
  </si>
  <si>
    <t>Coluna10381</t>
  </si>
  <si>
    <t>Coluna10382</t>
  </si>
  <si>
    <t>Coluna10383</t>
  </si>
  <si>
    <t>Coluna10384</t>
  </si>
  <si>
    <t>Coluna10385</t>
  </si>
  <si>
    <t>Coluna10386</t>
  </si>
  <si>
    <t>Coluna10387</t>
  </si>
  <si>
    <t>Coluna10388</t>
  </si>
  <si>
    <t>Coluna10389</t>
  </si>
  <si>
    <t>Coluna10390</t>
  </si>
  <si>
    <t>Coluna10391</t>
  </si>
  <si>
    <t>Coluna10392</t>
  </si>
  <si>
    <t>Coluna10393</t>
  </si>
  <si>
    <t>Coluna10394</t>
  </si>
  <si>
    <t>Coluna10395</t>
  </si>
  <si>
    <t>Coluna10396</t>
  </si>
  <si>
    <t>Coluna10397</t>
  </si>
  <si>
    <t>Coluna10398</t>
  </si>
  <si>
    <t>Coluna10399</t>
  </si>
  <si>
    <t>Coluna10400</t>
  </si>
  <si>
    <t>Coluna10401</t>
  </si>
  <si>
    <t>Coluna10402</t>
  </si>
  <si>
    <t>Coluna10403</t>
  </si>
  <si>
    <t>Coluna10404</t>
  </si>
  <si>
    <t>Coluna10405</t>
  </si>
  <si>
    <t>Coluna10406</t>
  </si>
  <si>
    <t>Coluna10407</t>
  </si>
  <si>
    <t>Coluna10408</t>
  </si>
  <si>
    <t>Coluna10409</t>
  </si>
  <si>
    <t>Coluna10410</t>
  </si>
  <si>
    <t>Coluna10411</t>
  </si>
  <si>
    <t>Coluna10412</t>
  </si>
  <si>
    <t>Coluna10413</t>
  </si>
  <si>
    <t>Coluna10414</t>
  </si>
  <si>
    <t>Coluna10415</t>
  </si>
  <si>
    <t>Coluna10416</t>
  </si>
  <si>
    <t>Coluna10417</t>
  </si>
  <si>
    <t>Coluna10418</t>
  </si>
  <si>
    <t>Coluna10419</t>
  </si>
  <si>
    <t>Coluna10420</t>
  </si>
  <si>
    <t>Coluna10421</t>
  </si>
  <si>
    <t>Coluna10422</t>
  </si>
  <si>
    <t>Coluna10423</t>
  </si>
  <si>
    <t>Coluna10424</t>
  </si>
  <si>
    <t>Coluna10425</t>
  </si>
  <si>
    <t>Coluna10426</t>
  </si>
  <si>
    <t>Coluna10427</t>
  </si>
  <si>
    <t>Coluna10428</t>
  </si>
  <si>
    <t>Coluna10429</t>
  </si>
  <si>
    <t>Coluna10430</t>
  </si>
  <si>
    <t>Coluna10431</t>
  </si>
  <si>
    <t>Coluna10432</t>
  </si>
  <si>
    <t>Coluna10433</t>
  </si>
  <si>
    <t>Coluna10434</t>
  </si>
  <si>
    <t>Coluna10435</t>
  </si>
  <si>
    <t>Coluna10436</t>
  </si>
  <si>
    <t>Coluna10437</t>
  </si>
  <si>
    <t>Coluna10438</t>
  </si>
  <si>
    <t>Coluna10439</t>
  </si>
  <si>
    <t>Coluna10440</t>
  </si>
  <si>
    <t>Coluna10441</t>
  </si>
  <si>
    <t>Coluna10442</t>
  </si>
  <si>
    <t>Coluna10443</t>
  </si>
  <si>
    <t>Coluna10444</t>
  </si>
  <si>
    <t>Coluna10445</t>
  </si>
  <si>
    <t>Coluna10446</t>
  </si>
  <si>
    <t>Coluna10447</t>
  </si>
  <si>
    <t>Coluna10448</t>
  </si>
  <si>
    <t>Coluna10449</t>
  </si>
  <si>
    <t>Coluna10450</t>
  </si>
  <si>
    <t>Coluna10451</t>
  </si>
  <si>
    <t>Coluna10452</t>
  </si>
  <si>
    <t>Coluna10453</t>
  </si>
  <si>
    <t>Coluna10454</t>
  </si>
  <si>
    <t>Coluna10455</t>
  </si>
  <si>
    <t>Coluna10456</t>
  </si>
  <si>
    <t>Coluna10457</t>
  </si>
  <si>
    <t>Coluna10458</t>
  </si>
  <si>
    <t>Coluna10459</t>
  </si>
  <si>
    <t>Coluna10460</t>
  </si>
  <si>
    <t>Coluna10461</t>
  </si>
  <si>
    <t>Coluna10462</t>
  </si>
  <si>
    <t>Coluna10463</t>
  </si>
  <si>
    <t>Coluna10464</t>
  </si>
  <si>
    <t>Coluna10465</t>
  </si>
  <si>
    <t>Coluna10466</t>
  </si>
  <si>
    <t>Coluna10467</t>
  </si>
  <si>
    <t>Coluna10468</t>
  </si>
  <si>
    <t>Coluna10469</t>
  </si>
  <si>
    <t>Coluna10470</t>
  </si>
  <si>
    <t>Coluna10471</t>
  </si>
  <si>
    <t>Coluna10472</t>
  </si>
  <si>
    <t>Coluna10473</t>
  </si>
  <si>
    <t>Coluna10474</t>
  </si>
  <si>
    <t>Coluna10475</t>
  </si>
  <si>
    <t>Coluna10476</t>
  </si>
  <si>
    <t>Coluna10477</t>
  </si>
  <si>
    <t>Coluna10478</t>
  </si>
  <si>
    <t>Coluna10479</t>
  </si>
  <si>
    <t>Coluna10480</t>
  </si>
  <si>
    <t>Coluna10481</t>
  </si>
  <si>
    <t>Coluna10482</t>
  </si>
  <si>
    <t>Coluna10483</t>
  </si>
  <si>
    <t>Coluna10484</t>
  </si>
  <si>
    <t>Coluna10485</t>
  </si>
  <si>
    <t>Coluna10486</t>
  </si>
  <si>
    <t>Coluna10487</t>
  </si>
  <si>
    <t>Coluna10488</t>
  </si>
  <si>
    <t>Coluna10489</t>
  </si>
  <si>
    <t>Coluna10490</t>
  </si>
  <si>
    <t>Coluna10491</t>
  </si>
  <si>
    <t>Coluna10492</t>
  </si>
  <si>
    <t>Coluna10493</t>
  </si>
  <si>
    <t>Coluna10494</t>
  </si>
  <si>
    <t>Coluna10495</t>
  </si>
  <si>
    <t>Coluna10496</t>
  </si>
  <si>
    <t>Coluna10497</t>
  </si>
  <si>
    <t>Coluna10498</t>
  </si>
  <si>
    <t>Coluna10499</t>
  </si>
  <si>
    <t>Coluna10500</t>
  </si>
  <si>
    <t>Coluna10501</t>
  </si>
  <si>
    <t>Coluna10502</t>
  </si>
  <si>
    <t>Coluna10503</t>
  </si>
  <si>
    <t>Coluna10504</t>
  </si>
  <si>
    <t>Coluna10505</t>
  </si>
  <si>
    <t>Coluna10506</t>
  </si>
  <si>
    <t>Coluna10507</t>
  </si>
  <si>
    <t>Coluna10508</t>
  </si>
  <si>
    <t>Coluna10509</t>
  </si>
  <si>
    <t>Coluna10510</t>
  </si>
  <si>
    <t>Coluna10511</t>
  </si>
  <si>
    <t>Coluna10512</t>
  </si>
  <si>
    <t>Coluna10513</t>
  </si>
  <si>
    <t>Coluna10514</t>
  </si>
  <si>
    <t>Coluna10515</t>
  </si>
  <si>
    <t>Coluna10516</t>
  </si>
  <si>
    <t>Coluna10517</t>
  </si>
  <si>
    <t>Coluna10518</t>
  </si>
  <si>
    <t>Coluna10519</t>
  </si>
  <si>
    <t>Coluna10520</t>
  </si>
  <si>
    <t>Coluna10521</t>
  </si>
  <si>
    <t>Coluna10522</t>
  </si>
  <si>
    <t>Coluna10523</t>
  </si>
  <si>
    <t>Coluna10524</t>
  </si>
  <si>
    <t>Coluna10525</t>
  </si>
  <si>
    <t>Coluna10526</t>
  </si>
  <si>
    <t>Coluna10527</t>
  </si>
  <si>
    <t>Coluna10528</t>
  </si>
  <si>
    <t>Coluna10529</t>
  </si>
  <si>
    <t>Coluna10530</t>
  </si>
  <si>
    <t>Coluna10531</t>
  </si>
  <si>
    <t>Coluna10532</t>
  </si>
  <si>
    <t>Coluna10533</t>
  </si>
  <si>
    <t>Coluna10534</t>
  </si>
  <si>
    <t>Coluna10535</t>
  </si>
  <si>
    <t>Coluna10536</t>
  </si>
  <si>
    <t>Coluna10537</t>
  </si>
  <si>
    <t>Coluna10538</t>
  </si>
  <si>
    <t>Coluna10539</t>
  </si>
  <si>
    <t>Coluna10540</t>
  </si>
  <si>
    <t>Coluna10541</t>
  </si>
  <si>
    <t>Coluna10542</t>
  </si>
  <si>
    <t>Coluna10543</t>
  </si>
  <si>
    <t>Coluna10544</t>
  </si>
  <si>
    <t>Coluna10545</t>
  </si>
  <si>
    <t>Coluna10546</t>
  </si>
  <si>
    <t>Coluna10547</t>
  </si>
  <si>
    <t>Coluna10548</t>
  </si>
  <si>
    <t>Coluna10549</t>
  </si>
  <si>
    <t>Coluna10550</t>
  </si>
  <si>
    <t>Coluna10551</t>
  </si>
  <si>
    <t>Coluna10552</t>
  </si>
  <si>
    <t>Coluna10553</t>
  </si>
  <si>
    <t>Coluna10554</t>
  </si>
  <si>
    <t>Coluna10555</t>
  </si>
  <si>
    <t>Coluna10556</t>
  </si>
  <si>
    <t>Coluna10557</t>
  </si>
  <si>
    <t>Coluna10558</t>
  </si>
  <si>
    <t>Coluna10559</t>
  </si>
  <si>
    <t>Coluna10560</t>
  </si>
  <si>
    <t>Coluna10561</t>
  </si>
  <si>
    <t>Coluna10562</t>
  </si>
  <si>
    <t>Coluna10563</t>
  </si>
  <si>
    <t>Coluna10564</t>
  </si>
  <si>
    <t>Coluna10565</t>
  </si>
  <si>
    <t>Coluna10566</t>
  </si>
  <si>
    <t>Coluna10567</t>
  </si>
  <si>
    <t>Coluna10568</t>
  </si>
  <si>
    <t>Coluna10569</t>
  </si>
  <si>
    <t>Coluna10570</t>
  </si>
  <si>
    <t>Coluna10571</t>
  </si>
  <si>
    <t>Coluna10572</t>
  </si>
  <si>
    <t>Coluna10573</t>
  </si>
  <si>
    <t>Coluna10574</t>
  </si>
  <si>
    <t>Coluna10575</t>
  </si>
  <si>
    <t>Coluna10576</t>
  </si>
  <si>
    <t>Coluna10577</t>
  </si>
  <si>
    <t>Coluna10578</t>
  </si>
  <si>
    <t>Coluna10579</t>
  </si>
  <si>
    <t>Coluna10580</t>
  </si>
  <si>
    <t>Coluna10581</t>
  </si>
  <si>
    <t>Coluna10582</t>
  </si>
  <si>
    <t>Coluna10583</t>
  </si>
  <si>
    <t>Coluna10584</t>
  </si>
  <si>
    <t>Coluna10585</t>
  </si>
  <si>
    <t>Coluna10586</t>
  </si>
  <si>
    <t>Coluna10587</t>
  </si>
  <si>
    <t>Coluna10588</t>
  </si>
  <si>
    <t>Coluna10589</t>
  </si>
  <si>
    <t>Coluna10590</t>
  </si>
  <si>
    <t>Coluna10591</t>
  </si>
  <si>
    <t>Coluna10592</t>
  </si>
  <si>
    <t>Coluna10593</t>
  </si>
  <si>
    <t>Coluna10594</t>
  </si>
  <si>
    <t>Coluna10595</t>
  </si>
  <si>
    <t>Coluna10596</t>
  </si>
  <si>
    <t>Coluna10597</t>
  </si>
  <si>
    <t>Coluna10598</t>
  </si>
  <si>
    <t>Coluna10599</t>
  </si>
  <si>
    <t>Coluna10600</t>
  </si>
  <si>
    <t>Coluna10601</t>
  </si>
  <si>
    <t>Coluna10602</t>
  </si>
  <si>
    <t>Coluna10603</t>
  </si>
  <si>
    <t>Coluna10604</t>
  </si>
  <si>
    <t>Coluna10605</t>
  </si>
  <si>
    <t>Coluna10606</t>
  </si>
  <si>
    <t>Coluna10607</t>
  </si>
  <si>
    <t>Coluna10608</t>
  </si>
  <si>
    <t>Coluna10609</t>
  </si>
  <si>
    <t>Coluna10610</t>
  </si>
  <si>
    <t>Coluna10611</t>
  </si>
  <si>
    <t>Coluna10612</t>
  </si>
  <si>
    <t>Coluna10613</t>
  </si>
  <si>
    <t>Coluna10614</t>
  </si>
  <si>
    <t>Coluna10615</t>
  </si>
  <si>
    <t>Coluna10616</t>
  </si>
  <si>
    <t>Coluna10617</t>
  </si>
  <si>
    <t>Coluna10618</t>
  </si>
  <si>
    <t>Coluna10619</t>
  </si>
  <si>
    <t>Coluna10620</t>
  </si>
  <si>
    <t>Coluna10621</t>
  </si>
  <si>
    <t>Coluna10622</t>
  </si>
  <si>
    <t>Coluna10623</t>
  </si>
  <si>
    <t>Coluna10624</t>
  </si>
  <si>
    <t>Coluna10625</t>
  </si>
  <si>
    <t>Coluna10626</t>
  </si>
  <si>
    <t>Coluna10627</t>
  </si>
  <si>
    <t>Coluna10628</t>
  </si>
  <si>
    <t>Coluna10629</t>
  </si>
  <si>
    <t>Coluna10630</t>
  </si>
  <si>
    <t>Coluna10631</t>
  </si>
  <si>
    <t>Coluna10632</t>
  </si>
  <si>
    <t>Coluna10633</t>
  </si>
  <si>
    <t>Coluna10634</t>
  </si>
  <si>
    <t>Coluna10635</t>
  </si>
  <si>
    <t>Coluna10636</t>
  </si>
  <si>
    <t>Coluna10637</t>
  </si>
  <si>
    <t>Coluna10638</t>
  </si>
  <si>
    <t>Coluna10639</t>
  </si>
  <si>
    <t>Coluna10640</t>
  </si>
  <si>
    <t>Coluna10641</t>
  </si>
  <si>
    <t>Coluna10642</t>
  </si>
  <si>
    <t>Coluna10643</t>
  </si>
  <si>
    <t>Coluna10644</t>
  </si>
  <si>
    <t>Coluna10645</t>
  </si>
  <si>
    <t>Coluna10646</t>
  </si>
  <si>
    <t>Coluna10647</t>
  </si>
  <si>
    <t>Coluna10648</t>
  </si>
  <si>
    <t>Coluna10649</t>
  </si>
  <si>
    <t>Coluna10650</t>
  </si>
  <si>
    <t>Coluna10651</t>
  </si>
  <si>
    <t>Coluna10652</t>
  </si>
  <si>
    <t>Coluna10653</t>
  </si>
  <si>
    <t>Coluna10654</t>
  </si>
  <si>
    <t>Coluna10655</t>
  </si>
  <si>
    <t>Coluna10656</t>
  </si>
  <si>
    <t>Coluna10657</t>
  </si>
  <si>
    <t>Coluna10658</t>
  </si>
  <si>
    <t>Coluna10659</t>
  </si>
  <si>
    <t>Coluna10660</t>
  </si>
  <si>
    <t>Coluna10661</t>
  </si>
  <si>
    <t>Coluna10662</t>
  </si>
  <si>
    <t>Coluna10663</t>
  </si>
  <si>
    <t>Coluna10664</t>
  </si>
  <si>
    <t>Coluna10665</t>
  </si>
  <si>
    <t>Coluna10666</t>
  </si>
  <si>
    <t>Coluna10667</t>
  </si>
  <si>
    <t>Coluna10668</t>
  </si>
  <si>
    <t>Coluna10669</t>
  </si>
  <si>
    <t>Coluna10670</t>
  </si>
  <si>
    <t>Coluna10671</t>
  </si>
  <si>
    <t>Coluna10672</t>
  </si>
  <si>
    <t>Coluna10673</t>
  </si>
  <si>
    <t>Coluna10674</t>
  </si>
  <si>
    <t>Coluna10675</t>
  </si>
  <si>
    <t>Coluna10676</t>
  </si>
  <si>
    <t>Coluna10677</t>
  </si>
  <si>
    <t>Coluna10678</t>
  </si>
  <si>
    <t>Coluna10679</t>
  </si>
  <si>
    <t>Coluna10680</t>
  </si>
  <si>
    <t>Coluna10681</t>
  </si>
  <si>
    <t>Coluna10682</t>
  </si>
  <si>
    <t>Coluna10683</t>
  </si>
  <si>
    <t>Coluna10684</t>
  </si>
  <si>
    <t>Coluna10685</t>
  </si>
  <si>
    <t>Coluna10686</t>
  </si>
  <si>
    <t>Coluna10687</t>
  </si>
  <si>
    <t>Coluna10688</t>
  </si>
  <si>
    <t>Coluna10689</t>
  </si>
  <si>
    <t>Coluna10690</t>
  </si>
  <si>
    <t>Coluna10691</t>
  </si>
  <si>
    <t>Coluna10692</t>
  </si>
  <si>
    <t>Coluna10693</t>
  </si>
  <si>
    <t>Coluna10694</t>
  </si>
  <si>
    <t>Coluna10695</t>
  </si>
  <si>
    <t>Coluna10696</t>
  </si>
  <si>
    <t>Coluna10697</t>
  </si>
  <si>
    <t>Coluna10698</t>
  </si>
  <si>
    <t>Coluna10699</t>
  </si>
  <si>
    <t>Coluna10700</t>
  </si>
  <si>
    <t>Coluna10701</t>
  </si>
  <si>
    <t>Coluna10702</t>
  </si>
  <si>
    <t>Coluna10703</t>
  </si>
  <si>
    <t>Coluna10704</t>
  </si>
  <si>
    <t>Coluna10705</t>
  </si>
  <si>
    <t>Coluna10706</t>
  </si>
  <si>
    <t>Coluna10707</t>
  </si>
  <si>
    <t>Coluna10708</t>
  </si>
  <si>
    <t>Coluna10709</t>
  </si>
  <si>
    <t>Coluna10710</t>
  </si>
  <si>
    <t>Coluna10711</t>
  </si>
  <si>
    <t>Coluna10712</t>
  </si>
  <si>
    <t>Coluna10713</t>
  </si>
  <si>
    <t>Coluna10714</t>
  </si>
  <si>
    <t>Coluna10715</t>
  </si>
  <si>
    <t>Coluna10716</t>
  </si>
  <si>
    <t>Coluna10717</t>
  </si>
  <si>
    <t>Coluna10718</t>
  </si>
  <si>
    <t>Coluna10719</t>
  </si>
  <si>
    <t>Coluna10720</t>
  </si>
  <si>
    <t>Coluna10721</t>
  </si>
  <si>
    <t>Coluna10722</t>
  </si>
  <si>
    <t>Coluna10723</t>
  </si>
  <si>
    <t>Coluna10724</t>
  </si>
  <si>
    <t>Coluna10725</t>
  </si>
  <si>
    <t>Coluna10726</t>
  </si>
  <si>
    <t>Coluna10727</t>
  </si>
  <si>
    <t>Coluna10728</t>
  </si>
  <si>
    <t>Coluna10729</t>
  </si>
  <si>
    <t>Coluna10730</t>
  </si>
  <si>
    <t>Coluna10731</t>
  </si>
  <si>
    <t>Coluna10732</t>
  </si>
  <si>
    <t>Coluna10733</t>
  </si>
  <si>
    <t>Coluna10734</t>
  </si>
  <si>
    <t>Coluna10735</t>
  </si>
  <si>
    <t>Coluna10736</t>
  </si>
  <si>
    <t>Coluna10737</t>
  </si>
  <si>
    <t>Coluna10738</t>
  </si>
  <si>
    <t>Coluna10739</t>
  </si>
  <si>
    <t>Coluna10740</t>
  </si>
  <si>
    <t>Coluna10741</t>
  </si>
  <si>
    <t>Coluna10742</t>
  </si>
  <si>
    <t>Coluna10743</t>
  </si>
  <si>
    <t>Coluna10744</t>
  </si>
  <si>
    <t>Coluna10745</t>
  </si>
  <si>
    <t>Coluna10746</t>
  </si>
  <si>
    <t>Coluna10747</t>
  </si>
  <si>
    <t>Coluna10748</t>
  </si>
  <si>
    <t>Coluna10749</t>
  </si>
  <si>
    <t>Coluna10750</t>
  </si>
  <si>
    <t>Coluna10751</t>
  </si>
  <si>
    <t>Coluna10752</t>
  </si>
  <si>
    <t>Coluna10753</t>
  </si>
  <si>
    <t>Coluna10754</t>
  </si>
  <si>
    <t>Coluna10755</t>
  </si>
  <si>
    <t>Coluna10756</t>
  </si>
  <si>
    <t>Coluna10757</t>
  </si>
  <si>
    <t>Coluna10758</t>
  </si>
  <si>
    <t>Coluna10759</t>
  </si>
  <si>
    <t>Coluna10760</t>
  </si>
  <si>
    <t>Coluna10761</t>
  </si>
  <si>
    <t>Coluna10762</t>
  </si>
  <si>
    <t>Coluna10763</t>
  </si>
  <si>
    <t>Coluna10764</t>
  </si>
  <si>
    <t>Coluna10765</t>
  </si>
  <si>
    <t>Coluna10766</t>
  </si>
  <si>
    <t>Coluna10767</t>
  </si>
  <si>
    <t>Coluna10768</t>
  </si>
  <si>
    <t>Coluna10769</t>
  </si>
  <si>
    <t>Coluna10770</t>
  </si>
  <si>
    <t>Coluna10771</t>
  </si>
  <si>
    <t>Coluna10772</t>
  </si>
  <si>
    <t>Coluna10773</t>
  </si>
  <si>
    <t>Coluna10774</t>
  </si>
  <si>
    <t>Coluna10775</t>
  </si>
  <si>
    <t>Coluna10776</t>
  </si>
  <si>
    <t>Coluna10777</t>
  </si>
  <si>
    <t>Coluna10778</t>
  </si>
  <si>
    <t>Coluna10779</t>
  </si>
  <si>
    <t>Coluna10780</t>
  </si>
  <si>
    <t>Coluna10781</t>
  </si>
  <si>
    <t>Coluna10782</t>
  </si>
  <si>
    <t>Coluna10783</t>
  </si>
  <si>
    <t>Coluna10784</t>
  </si>
  <si>
    <t>Coluna10785</t>
  </si>
  <si>
    <t>Coluna10786</t>
  </si>
  <si>
    <t>Coluna10787</t>
  </si>
  <si>
    <t>Coluna10788</t>
  </si>
  <si>
    <t>Coluna10789</t>
  </si>
  <si>
    <t>Coluna10790</t>
  </si>
  <si>
    <t>Coluna10791</t>
  </si>
  <si>
    <t>Coluna10792</t>
  </si>
  <si>
    <t>Coluna10793</t>
  </si>
  <si>
    <t>Coluna10794</t>
  </si>
  <si>
    <t>Coluna10795</t>
  </si>
  <si>
    <t>Coluna10796</t>
  </si>
  <si>
    <t>Coluna10797</t>
  </si>
  <si>
    <t>Coluna10798</t>
  </si>
  <si>
    <t>Coluna10799</t>
  </si>
  <si>
    <t>Coluna10800</t>
  </si>
  <si>
    <t>Coluna10801</t>
  </si>
  <si>
    <t>Coluna10802</t>
  </si>
  <si>
    <t>Coluna10803</t>
  </si>
  <si>
    <t>Coluna10804</t>
  </si>
  <si>
    <t>Coluna10805</t>
  </si>
  <si>
    <t>Coluna10806</t>
  </si>
  <si>
    <t>Coluna10807</t>
  </si>
  <si>
    <t>Coluna10808</t>
  </si>
  <si>
    <t>Coluna10809</t>
  </si>
  <si>
    <t>Coluna10810</t>
  </si>
  <si>
    <t>Coluna10811</t>
  </si>
  <si>
    <t>Coluna10812</t>
  </si>
  <si>
    <t>Coluna10813</t>
  </si>
  <si>
    <t>Coluna10814</t>
  </si>
  <si>
    <t>Coluna10815</t>
  </si>
  <si>
    <t>Coluna10816</t>
  </si>
  <si>
    <t>Coluna10817</t>
  </si>
  <si>
    <t>Coluna10818</t>
  </si>
  <si>
    <t>Coluna10819</t>
  </si>
  <si>
    <t>Coluna10820</t>
  </si>
  <si>
    <t>Coluna10821</t>
  </si>
  <si>
    <t>Coluna10822</t>
  </si>
  <si>
    <t>Coluna10823</t>
  </si>
  <si>
    <t>Coluna10824</t>
  </si>
  <si>
    <t>Coluna10825</t>
  </si>
  <si>
    <t>Coluna10826</t>
  </si>
  <si>
    <t>Coluna10827</t>
  </si>
  <si>
    <t>Coluna10828</t>
  </si>
  <si>
    <t>Coluna10829</t>
  </si>
  <si>
    <t>Coluna10830</t>
  </si>
  <si>
    <t>Coluna10831</t>
  </si>
  <si>
    <t>Coluna10832</t>
  </si>
  <si>
    <t>Coluna10833</t>
  </si>
  <si>
    <t>Coluna10834</t>
  </si>
  <si>
    <t>Coluna10835</t>
  </si>
  <si>
    <t>Coluna10836</t>
  </si>
  <si>
    <t>Coluna10837</t>
  </si>
  <si>
    <t>Coluna10838</t>
  </si>
  <si>
    <t>Coluna10839</t>
  </si>
  <si>
    <t>Coluna10840</t>
  </si>
  <si>
    <t>Coluna10841</t>
  </si>
  <si>
    <t>Coluna10842</t>
  </si>
  <si>
    <t>Coluna10843</t>
  </si>
  <si>
    <t>Coluna10844</t>
  </si>
  <si>
    <t>Coluna10845</t>
  </si>
  <si>
    <t>Coluna10846</t>
  </si>
  <si>
    <t>Coluna10847</t>
  </si>
  <si>
    <t>Coluna10848</t>
  </si>
  <si>
    <t>Coluna10849</t>
  </si>
  <si>
    <t>Coluna10850</t>
  </si>
  <si>
    <t>Coluna10851</t>
  </si>
  <si>
    <t>Coluna10852</t>
  </si>
  <si>
    <t>Coluna10853</t>
  </si>
  <si>
    <t>Coluna10854</t>
  </si>
  <si>
    <t>Coluna10855</t>
  </si>
  <si>
    <t>Coluna10856</t>
  </si>
  <si>
    <t>Coluna10857</t>
  </si>
  <si>
    <t>Coluna10858</t>
  </si>
  <si>
    <t>Coluna10859</t>
  </si>
  <si>
    <t>Coluna10860</t>
  </si>
  <si>
    <t>Coluna10861</t>
  </si>
  <si>
    <t>Coluna10862</t>
  </si>
  <si>
    <t>Coluna10863</t>
  </si>
  <si>
    <t>Coluna10864</t>
  </si>
  <si>
    <t>Coluna10865</t>
  </si>
  <si>
    <t>Coluna10866</t>
  </si>
  <si>
    <t>Coluna10867</t>
  </si>
  <si>
    <t>Coluna10868</t>
  </si>
  <si>
    <t>Coluna10869</t>
  </si>
  <si>
    <t>Coluna10870</t>
  </si>
  <si>
    <t>Coluna10871</t>
  </si>
  <si>
    <t>Coluna10872</t>
  </si>
  <si>
    <t>Coluna10873</t>
  </si>
  <si>
    <t>Coluna10874</t>
  </si>
  <si>
    <t>Coluna10875</t>
  </si>
  <si>
    <t>Coluna10876</t>
  </si>
  <si>
    <t>Coluna10877</t>
  </si>
  <si>
    <t>Coluna10878</t>
  </si>
  <si>
    <t>Coluna10879</t>
  </si>
  <si>
    <t>Coluna10880</t>
  </si>
  <si>
    <t>Coluna10881</t>
  </si>
  <si>
    <t>Coluna10882</t>
  </si>
  <si>
    <t>Coluna10883</t>
  </si>
  <si>
    <t>Coluna10884</t>
  </si>
  <si>
    <t>Coluna10885</t>
  </si>
  <si>
    <t>Coluna10886</t>
  </si>
  <si>
    <t>Coluna10887</t>
  </si>
  <si>
    <t>Coluna10888</t>
  </si>
  <si>
    <t>Coluna10889</t>
  </si>
  <si>
    <t>Coluna10890</t>
  </si>
  <si>
    <t>Coluna10891</t>
  </si>
  <si>
    <t>Coluna10892</t>
  </si>
  <si>
    <t>Coluna10893</t>
  </si>
  <si>
    <t>Coluna10894</t>
  </si>
  <si>
    <t>Coluna10895</t>
  </si>
  <si>
    <t>Coluna10896</t>
  </si>
  <si>
    <t>Coluna10897</t>
  </si>
  <si>
    <t>Coluna10898</t>
  </si>
  <si>
    <t>Coluna10899</t>
  </si>
  <si>
    <t>Coluna10900</t>
  </si>
  <si>
    <t>Coluna10901</t>
  </si>
  <si>
    <t>Coluna10902</t>
  </si>
  <si>
    <t>Coluna10903</t>
  </si>
  <si>
    <t>Coluna10904</t>
  </si>
  <si>
    <t>Coluna10905</t>
  </si>
  <si>
    <t>Coluna10906</t>
  </si>
  <si>
    <t>Coluna10907</t>
  </si>
  <si>
    <t>Coluna10908</t>
  </si>
  <si>
    <t>Coluna10909</t>
  </si>
  <si>
    <t>Coluna10910</t>
  </si>
  <si>
    <t>Coluna10911</t>
  </si>
  <si>
    <t>Coluna10912</t>
  </si>
  <si>
    <t>Coluna10913</t>
  </si>
  <si>
    <t>Coluna10914</t>
  </si>
  <si>
    <t>Coluna10915</t>
  </si>
  <si>
    <t>Coluna10916</t>
  </si>
  <si>
    <t>Coluna10917</t>
  </si>
  <si>
    <t>Coluna10918</t>
  </si>
  <si>
    <t>Coluna10919</t>
  </si>
  <si>
    <t>Coluna10920</t>
  </si>
  <si>
    <t>Coluna10921</t>
  </si>
  <si>
    <t>Coluna10922</t>
  </si>
  <si>
    <t>Coluna10923</t>
  </si>
  <si>
    <t>Coluna10924</t>
  </si>
  <si>
    <t>Coluna10925</t>
  </si>
  <si>
    <t>Coluna10926</t>
  </si>
  <si>
    <t>Coluna10927</t>
  </si>
  <si>
    <t>Coluna10928</t>
  </si>
  <si>
    <t>Coluna10929</t>
  </si>
  <si>
    <t>Coluna10930</t>
  </si>
  <si>
    <t>Coluna10931</t>
  </si>
  <si>
    <t>Coluna10932</t>
  </si>
  <si>
    <t>Coluna10933</t>
  </si>
  <si>
    <t>Coluna10934</t>
  </si>
  <si>
    <t>Coluna10935</t>
  </si>
  <si>
    <t>Coluna10936</t>
  </si>
  <si>
    <t>Coluna10937</t>
  </si>
  <si>
    <t>Coluna10938</t>
  </si>
  <si>
    <t>Coluna10939</t>
  </si>
  <si>
    <t>Coluna10940</t>
  </si>
  <si>
    <t>Coluna10941</t>
  </si>
  <si>
    <t>Coluna10942</t>
  </si>
  <si>
    <t>Coluna10943</t>
  </si>
  <si>
    <t>Coluna10944</t>
  </si>
  <si>
    <t>Coluna10945</t>
  </si>
  <si>
    <t>Coluna10946</t>
  </si>
  <si>
    <t>Coluna10947</t>
  </si>
  <si>
    <t>Coluna10948</t>
  </si>
  <si>
    <t>Coluna10949</t>
  </si>
  <si>
    <t>Coluna10950</t>
  </si>
  <si>
    <t>Coluna10951</t>
  </si>
  <si>
    <t>Coluna10952</t>
  </si>
  <si>
    <t>Coluna10953</t>
  </si>
  <si>
    <t>Coluna10954</t>
  </si>
  <si>
    <t>Coluna10955</t>
  </si>
  <si>
    <t>Coluna10956</t>
  </si>
  <si>
    <t>Coluna10957</t>
  </si>
  <si>
    <t>Coluna10958</t>
  </si>
  <si>
    <t>Coluna10959</t>
  </si>
  <si>
    <t>Coluna10960</t>
  </si>
  <si>
    <t>Coluna10961</t>
  </si>
  <si>
    <t>Coluna10962</t>
  </si>
  <si>
    <t>Coluna10963</t>
  </si>
  <si>
    <t>Coluna10964</t>
  </si>
  <si>
    <t>Coluna10965</t>
  </si>
  <si>
    <t>Coluna10966</t>
  </si>
  <si>
    <t>Coluna10967</t>
  </si>
  <si>
    <t>Coluna10968</t>
  </si>
  <si>
    <t>Coluna10969</t>
  </si>
  <si>
    <t>Coluna10970</t>
  </si>
  <si>
    <t>Coluna10971</t>
  </si>
  <si>
    <t>Coluna10972</t>
  </si>
  <si>
    <t>Coluna10973</t>
  </si>
  <si>
    <t>Coluna10974</t>
  </si>
  <si>
    <t>Coluna10975</t>
  </si>
  <si>
    <t>Coluna10976</t>
  </si>
  <si>
    <t>Coluna10977</t>
  </si>
  <si>
    <t>Coluna10978</t>
  </si>
  <si>
    <t>Coluna10979</t>
  </si>
  <si>
    <t>Coluna10980</t>
  </si>
  <si>
    <t>Coluna10981</t>
  </si>
  <si>
    <t>Coluna10982</t>
  </si>
  <si>
    <t>Coluna10983</t>
  </si>
  <si>
    <t>Coluna10984</t>
  </si>
  <si>
    <t>Coluna10985</t>
  </si>
  <si>
    <t>Coluna10986</t>
  </si>
  <si>
    <t>Coluna10987</t>
  </si>
  <si>
    <t>Coluna10988</t>
  </si>
  <si>
    <t>Coluna10989</t>
  </si>
  <si>
    <t>Coluna10990</t>
  </si>
  <si>
    <t>Coluna10991</t>
  </si>
  <si>
    <t>Coluna10992</t>
  </si>
  <si>
    <t>Coluna10993</t>
  </si>
  <si>
    <t>Coluna10994</t>
  </si>
  <si>
    <t>Coluna10995</t>
  </si>
  <si>
    <t>Coluna10996</t>
  </si>
  <si>
    <t>Coluna10997</t>
  </si>
  <si>
    <t>Coluna10998</t>
  </si>
  <si>
    <t>Coluna10999</t>
  </si>
  <si>
    <t>Coluna11000</t>
  </si>
  <si>
    <t>Coluna11001</t>
  </si>
  <si>
    <t>Coluna11002</t>
  </si>
  <si>
    <t>Coluna11003</t>
  </si>
  <si>
    <t>Coluna11004</t>
  </si>
  <si>
    <t>Coluna11005</t>
  </si>
  <si>
    <t>Coluna11006</t>
  </si>
  <si>
    <t>Coluna11007</t>
  </si>
  <si>
    <t>Coluna11008</t>
  </si>
  <si>
    <t>Coluna11009</t>
  </si>
  <si>
    <t>Coluna11010</t>
  </si>
  <si>
    <t>Coluna11011</t>
  </si>
  <si>
    <t>Coluna11012</t>
  </si>
  <si>
    <t>Coluna11013</t>
  </si>
  <si>
    <t>Coluna11014</t>
  </si>
  <si>
    <t>Coluna11015</t>
  </si>
  <si>
    <t>Coluna11016</t>
  </si>
  <si>
    <t>Coluna11017</t>
  </si>
  <si>
    <t>Coluna11018</t>
  </si>
  <si>
    <t>Coluna11019</t>
  </si>
  <si>
    <t>Coluna11020</t>
  </si>
  <si>
    <t>Coluna11021</t>
  </si>
  <si>
    <t>Coluna11022</t>
  </si>
  <si>
    <t>Coluna11023</t>
  </si>
  <si>
    <t>Coluna11024</t>
  </si>
  <si>
    <t>Coluna11025</t>
  </si>
  <si>
    <t>Coluna11026</t>
  </si>
  <si>
    <t>Coluna11027</t>
  </si>
  <si>
    <t>Coluna11028</t>
  </si>
  <si>
    <t>Coluna11029</t>
  </si>
  <si>
    <t>Coluna11030</t>
  </si>
  <si>
    <t>Coluna11031</t>
  </si>
  <si>
    <t>Coluna11032</t>
  </si>
  <si>
    <t>Coluna11033</t>
  </si>
  <si>
    <t>Coluna11034</t>
  </si>
  <si>
    <t>Coluna11035</t>
  </si>
  <si>
    <t>Coluna11036</t>
  </si>
  <si>
    <t>Coluna11037</t>
  </si>
  <si>
    <t>Coluna11038</t>
  </si>
  <si>
    <t>Coluna11039</t>
  </si>
  <si>
    <t>Coluna11040</t>
  </si>
  <si>
    <t>Coluna11041</t>
  </si>
  <si>
    <t>Coluna11042</t>
  </si>
  <si>
    <t>Coluna11043</t>
  </si>
  <si>
    <t>Coluna11044</t>
  </si>
  <si>
    <t>Coluna11045</t>
  </si>
  <si>
    <t>Coluna11046</t>
  </si>
  <si>
    <t>Coluna11047</t>
  </si>
  <si>
    <t>Coluna11048</t>
  </si>
  <si>
    <t>Coluna11049</t>
  </si>
  <si>
    <t>Coluna11050</t>
  </si>
  <si>
    <t>Coluna11051</t>
  </si>
  <si>
    <t>Coluna11052</t>
  </si>
  <si>
    <t>Coluna11053</t>
  </si>
  <si>
    <t>Coluna11054</t>
  </si>
  <si>
    <t>Coluna11055</t>
  </si>
  <si>
    <t>Coluna11056</t>
  </si>
  <si>
    <t>Coluna11057</t>
  </si>
  <si>
    <t>Coluna11058</t>
  </si>
  <si>
    <t>Coluna11059</t>
  </si>
  <si>
    <t>Coluna11060</t>
  </si>
  <si>
    <t>Coluna11061</t>
  </si>
  <si>
    <t>Coluna11062</t>
  </si>
  <si>
    <t>Coluna11063</t>
  </si>
  <si>
    <t>Coluna11064</t>
  </si>
  <si>
    <t>Coluna11065</t>
  </si>
  <si>
    <t>Coluna11066</t>
  </si>
  <si>
    <t>Coluna11067</t>
  </si>
  <si>
    <t>Coluna11068</t>
  </si>
  <si>
    <t>Coluna11069</t>
  </si>
  <si>
    <t>Coluna11070</t>
  </si>
  <si>
    <t>Coluna11071</t>
  </si>
  <si>
    <t>Coluna11072</t>
  </si>
  <si>
    <t>Coluna11073</t>
  </si>
  <si>
    <t>Coluna11074</t>
  </si>
  <si>
    <t>Coluna11075</t>
  </si>
  <si>
    <t>Coluna11076</t>
  </si>
  <si>
    <t>Coluna11077</t>
  </si>
  <si>
    <t>Coluna11078</t>
  </si>
  <si>
    <t>Coluna11079</t>
  </si>
  <si>
    <t>Coluna11080</t>
  </si>
  <si>
    <t>Coluna11081</t>
  </si>
  <si>
    <t>Coluna11082</t>
  </si>
  <si>
    <t>Coluna11083</t>
  </si>
  <si>
    <t>Coluna11084</t>
  </si>
  <si>
    <t>Coluna11085</t>
  </si>
  <si>
    <t>Coluna11086</t>
  </si>
  <si>
    <t>Coluna11087</t>
  </si>
  <si>
    <t>Coluna11088</t>
  </si>
  <si>
    <t>Coluna11089</t>
  </si>
  <si>
    <t>Coluna11090</t>
  </si>
  <si>
    <t>Coluna11091</t>
  </si>
  <si>
    <t>Coluna11092</t>
  </si>
  <si>
    <t>Coluna11093</t>
  </si>
  <si>
    <t>Coluna11094</t>
  </si>
  <si>
    <t>Coluna11095</t>
  </si>
  <si>
    <t>Coluna11096</t>
  </si>
  <si>
    <t>Coluna11097</t>
  </si>
  <si>
    <t>Coluna11098</t>
  </si>
  <si>
    <t>Coluna11099</t>
  </si>
  <si>
    <t>Coluna11100</t>
  </si>
  <si>
    <t>Coluna11101</t>
  </si>
  <si>
    <t>Coluna11102</t>
  </si>
  <si>
    <t>Coluna11103</t>
  </si>
  <si>
    <t>Coluna11104</t>
  </si>
  <si>
    <t>Coluna11105</t>
  </si>
  <si>
    <t>Coluna11106</t>
  </si>
  <si>
    <t>Coluna11107</t>
  </si>
  <si>
    <t>Coluna11108</t>
  </si>
  <si>
    <t>Coluna11109</t>
  </si>
  <si>
    <t>Coluna11110</t>
  </si>
  <si>
    <t>Coluna11111</t>
  </si>
  <si>
    <t>Coluna11112</t>
  </si>
  <si>
    <t>Coluna11113</t>
  </si>
  <si>
    <t>Coluna11114</t>
  </si>
  <si>
    <t>Coluna11115</t>
  </si>
  <si>
    <t>Coluna11116</t>
  </si>
  <si>
    <t>Coluna11117</t>
  </si>
  <si>
    <t>Coluna11118</t>
  </si>
  <si>
    <t>Coluna11119</t>
  </si>
  <si>
    <t>Coluna11120</t>
  </si>
  <si>
    <t>Coluna11121</t>
  </si>
  <si>
    <t>Coluna11122</t>
  </si>
  <si>
    <t>Coluna11123</t>
  </si>
  <si>
    <t>Coluna11124</t>
  </si>
  <si>
    <t>Coluna11125</t>
  </si>
  <si>
    <t>Coluna11126</t>
  </si>
  <si>
    <t>Coluna11127</t>
  </si>
  <si>
    <t>Coluna11128</t>
  </si>
  <si>
    <t>Coluna11129</t>
  </si>
  <si>
    <t>Coluna11130</t>
  </si>
  <si>
    <t>Coluna11131</t>
  </si>
  <si>
    <t>Coluna11132</t>
  </si>
  <si>
    <t>Coluna11133</t>
  </si>
  <si>
    <t>Coluna11134</t>
  </si>
  <si>
    <t>Coluna11135</t>
  </si>
  <si>
    <t>Coluna11136</t>
  </si>
  <si>
    <t>Coluna11137</t>
  </si>
  <si>
    <t>Coluna11138</t>
  </si>
  <si>
    <t>Coluna11139</t>
  </si>
  <si>
    <t>Coluna11140</t>
  </si>
  <si>
    <t>Coluna11141</t>
  </si>
  <si>
    <t>Coluna11142</t>
  </si>
  <si>
    <t>Coluna11143</t>
  </si>
  <si>
    <t>Coluna11144</t>
  </si>
  <si>
    <t>Coluna11145</t>
  </si>
  <si>
    <t>Coluna11146</t>
  </si>
  <si>
    <t>Coluna11147</t>
  </si>
  <si>
    <t>Coluna11148</t>
  </si>
  <si>
    <t>Coluna11149</t>
  </si>
  <si>
    <t>Coluna11150</t>
  </si>
  <si>
    <t>Coluna11151</t>
  </si>
  <si>
    <t>Coluna11152</t>
  </si>
  <si>
    <t>Coluna11153</t>
  </si>
  <si>
    <t>Coluna11154</t>
  </si>
  <si>
    <t>Coluna11155</t>
  </si>
  <si>
    <t>Coluna11156</t>
  </si>
  <si>
    <t>Coluna11157</t>
  </si>
  <si>
    <t>Coluna11158</t>
  </si>
  <si>
    <t>Coluna11159</t>
  </si>
  <si>
    <t>Coluna11160</t>
  </si>
  <si>
    <t>Coluna11161</t>
  </si>
  <si>
    <t>Coluna11162</t>
  </si>
  <si>
    <t>Coluna11163</t>
  </si>
  <si>
    <t>Coluna11164</t>
  </si>
  <si>
    <t>Coluna11165</t>
  </si>
  <si>
    <t>Coluna11166</t>
  </si>
  <si>
    <t>Coluna11167</t>
  </si>
  <si>
    <t>Coluna11168</t>
  </si>
  <si>
    <t>Coluna11169</t>
  </si>
  <si>
    <t>Coluna11170</t>
  </si>
  <si>
    <t>Coluna11171</t>
  </si>
  <si>
    <t>Coluna11172</t>
  </si>
  <si>
    <t>Coluna11173</t>
  </si>
  <si>
    <t>Coluna11174</t>
  </si>
  <si>
    <t>Coluna11175</t>
  </si>
  <si>
    <t>Coluna11176</t>
  </si>
  <si>
    <t>Coluna11177</t>
  </si>
  <si>
    <t>Coluna11178</t>
  </si>
  <si>
    <t>Coluna11179</t>
  </si>
  <si>
    <t>Coluna11180</t>
  </si>
  <si>
    <t>Coluna11181</t>
  </si>
  <si>
    <t>Coluna11182</t>
  </si>
  <si>
    <t>Coluna11183</t>
  </si>
  <si>
    <t>Coluna11184</t>
  </si>
  <si>
    <t>Coluna11185</t>
  </si>
  <si>
    <t>Coluna11186</t>
  </si>
  <si>
    <t>Coluna11187</t>
  </si>
  <si>
    <t>Coluna11188</t>
  </si>
  <si>
    <t>Coluna11189</t>
  </si>
  <si>
    <t>Coluna11190</t>
  </si>
  <si>
    <t>Coluna11191</t>
  </si>
  <si>
    <t>Coluna11192</t>
  </si>
  <si>
    <t>Coluna11193</t>
  </si>
  <si>
    <t>Coluna11194</t>
  </si>
  <si>
    <t>Coluna11195</t>
  </si>
  <si>
    <t>Coluna11196</t>
  </si>
  <si>
    <t>Coluna11197</t>
  </si>
  <si>
    <t>Coluna11198</t>
  </si>
  <si>
    <t>Coluna11199</t>
  </si>
  <si>
    <t>Coluna11200</t>
  </si>
  <si>
    <t>Coluna11201</t>
  </si>
  <si>
    <t>Coluna11202</t>
  </si>
  <si>
    <t>Coluna11203</t>
  </si>
  <si>
    <t>Coluna11204</t>
  </si>
  <si>
    <t>Coluna11205</t>
  </si>
  <si>
    <t>Coluna11206</t>
  </si>
  <si>
    <t>Coluna11207</t>
  </si>
  <si>
    <t>Coluna11208</t>
  </si>
  <si>
    <t>Coluna11209</t>
  </si>
  <si>
    <t>Coluna11210</t>
  </si>
  <si>
    <t>Coluna11211</t>
  </si>
  <si>
    <t>Coluna11212</t>
  </si>
  <si>
    <t>Coluna11213</t>
  </si>
  <si>
    <t>Coluna11214</t>
  </si>
  <si>
    <t>Coluna11215</t>
  </si>
  <si>
    <t>Coluna11216</t>
  </si>
  <si>
    <t>Coluna11217</t>
  </si>
  <si>
    <t>Coluna11218</t>
  </si>
  <si>
    <t>Coluna11219</t>
  </si>
  <si>
    <t>Coluna11220</t>
  </si>
  <si>
    <t>Coluna11221</t>
  </si>
  <si>
    <t>Coluna11222</t>
  </si>
  <si>
    <t>Coluna11223</t>
  </si>
  <si>
    <t>Coluna11224</t>
  </si>
  <si>
    <t>Coluna11225</t>
  </si>
  <si>
    <t>Coluna11226</t>
  </si>
  <si>
    <t>Coluna11227</t>
  </si>
  <si>
    <t>Coluna11228</t>
  </si>
  <si>
    <t>Coluna11229</t>
  </si>
  <si>
    <t>Coluna11230</t>
  </si>
  <si>
    <t>Coluna11231</t>
  </si>
  <si>
    <t>Coluna11232</t>
  </si>
  <si>
    <t>Coluna11233</t>
  </si>
  <si>
    <t>Coluna11234</t>
  </si>
  <si>
    <t>Coluna11235</t>
  </si>
  <si>
    <t>Coluna11236</t>
  </si>
  <si>
    <t>Coluna11237</t>
  </si>
  <si>
    <t>Coluna11238</t>
  </si>
  <si>
    <t>Coluna11239</t>
  </si>
  <si>
    <t>Coluna11240</t>
  </si>
  <si>
    <t>Coluna11241</t>
  </si>
  <si>
    <t>Coluna11242</t>
  </si>
  <si>
    <t>Coluna11243</t>
  </si>
  <si>
    <t>Coluna11244</t>
  </si>
  <si>
    <t>Coluna11245</t>
  </si>
  <si>
    <t>Coluna11246</t>
  </si>
  <si>
    <t>Coluna11247</t>
  </si>
  <si>
    <t>Coluna11248</t>
  </si>
  <si>
    <t>Coluna11249</t>
  </si>
  <si>
    <t>Coluna11250</t>
  </si>
  <si>
    <t>Coluna11251</t>
  </si>
  <si>
    <t>Coluna11252</t>
  </si>
  <si>
    <t>Coluna11253</t>
  </si>
  <si>
    <t>Coluna11254</t>
  </si>
  <si>
    <t>Coluna11255</t>
  </si>
  <si>
    <t>Coluna11256</t>
  </si>
  <si>
    <t>Coluna11257</t>
  </si>
  <si>
    <t>Coluna11258</t>
  </si>
  <si>
    <t>Coluna11259</t>
  </si>
  <si>
    <t>Coluna11260</t>
  </si>
  <si>
    <t>Coluna11261</t>
  </si>
  <si>
    <t>Coluna11262</t>
  </si>
  <si>
    <t>Coluna11263</t>
  </si>
  <si>
    <t>Coluna11264</t>
  </si>
  <si>
    <t>Coluna11265</t>
  </si>
  <si>
    <t>Coluna11266</t>
  </si>
  <si>
    <t>Coluna11267</t>
  </si>
  <si>
    <t>Coluna11268</t>
  </si>
  <si>
    <t>Coluna11269</t>
  </si>
  <si>
    <t>Coluna11270</t>
  </si>
  <si>
    <t>Coluna11271</t>
  </si>
  <si>
    <t>Coluna11272</t>
  </si>
  <si>
    <t>Coluna11273</t>
  </si>
  <si>
    <t>Coluna11274</t>
  </si>
  <si>
    <t>Coluna11275</t>
  </si>
  <si>
    <t>Coluna11276</t>
  </si>
  <si>
    <t>Coluna11277</t>
  </si>
  <si>
    <t>Coluna11278</t>
  </si>
  <si>
    <t>Coluna11279</t>
  </si>
  <si>
    <t>Coluna11280</t>
  </si>
  <si>
    <t>Coluna11281</t>
  </si>
  <si>
    <t>Coluna11282</t>
  </si>
  <si>
    <t>Coluna11283</t>
  </si>
  <si>
    <t>Coluna11284</t>
  </si>
  <si>
    <t>Coluna11285</t>
  </si>
  <si>
    <t>Coluna11286</t>
  </si>
  <si>
    <t>Coluna11287</t>
  </si>
  <si>
    <t>Coluna11288</t>
  </si>
  <si>
    <t>Coluna11289</t>
  </si>
  <si>
    <t>Coluna11290</t>
  </si>
  <si>
    <t>Coluna11291</t>
  </si>
  <si>
    <t>Coluna11292</t>
  </si>
  <si>
    <t>Coluna11293</t>
  </si>
  <si>
    <t>Coluna11294</t>
  </si>
  <si>
    <t>Coluna11295</t>
  </si>
  <si>
    <t>Coluna11296</t>
  </si>
  <si>
    <t>Coluna11297</t>
  </si>
  <si>
    <t>Coluna11298</t>
  </si>
  <si>
    <t>Coluna11299</t>
  </si>
  <si>
    <t>Coluna11300</t>
  </si>
  <si>
    <t>Coluna11301</t>
  </si>
  <si>
    <t>Coluna11302</t>
  </si>
  <si>
    <t>Coluna11303</t>
  </si>
  <si>
    <t>Coluna11304</t>
  </si>
  <si>
    <t>Coluna11305</t>
  </si>
  <si>
    <t>Coluna11306</t>
  </si>
  <si>
    <t>Coluna11307</t>
  </si>
  <si>
    <t>Coluna11308</t>
  </si>
  <si>
    <t>Coluna11309</t>
  </si>
  <si>
    <t>Coluna11310</t>
  </si>
  <si>
    <t>Coluna11311</t>
  </si>
  <si>
    <t>Coluna11312</t>
  </si>
  <si>
    <t>Coluna11313</t>
  </si>
  <si>
    <t>Coluna11314</t>
  </si>
  <si>
    <t>Coluna11315</t>
  </si>
  <si>
    <t>Coluna11316</t>
  </si>
  <si>
    <t>Coluna11317</t>
  </si>
  <si>
    <t>Coluna11318</t>
  </si>
  <si>
    <t>Coluna11319</t>
  </si>
  <si>
    <t>Coluna11320</t>
  </si>
  <si>
    <t>Coluna11321</t>
  </si>
  <si>
    <t>Coluna11322</t>
  </si>
  <si>
    <t>Coluna11323</t>
  </si>
  <si>
    <t>Coluna11324</t>
  </si>
  <si>
    <t>Coluna11325</t>
  </si>
  <si>
    <t>Coluna11326</t>
  </si>
  <si>
    <t>Coluna11327</t>
  </si>
  <si>
    <t>Coluna11328</t>
  </si>
  <si>
    <t>Coluna11329</t>
  </si>
  <si>
    <t>Coluna11330</t>
  </si>
  <si>
    <t>Coluna11331</t>
  </si>
  <si>
    <t>Coluna11332</t>
  </si>
  <si>
    <t>Coluna11333</t>
  </si>
  <si>
    <t>Coluna11334</t>
  </si>
  <si>
    <t>Coluna11335</t>
  </si>
  <si>
    <t>Coluna11336</t>
  </si>
  <si>
    <t>Coluna11337</t>
  </si>
  <si>
    <t>Coluna11338</t>
  </si>
  <si>
    <t>Coluna11339</t>
  </si>
  <si>
    <t>Coluna11340</t>
  </si>
  <si>
    <t>Coluna11341</t>
  </si>
  <si>
    <t>Coluna11342</t>
  </si>
  <si>
    <t>Coluna11343</t>
  </si>
  <si>
    <t>Coluna11344</t>
  </si>
  <si>
    <t>Coluna11345</t>
  </si>
  <si>
    <t>Coluna11346</t>
  </si>
  <si>
    <t>Coluna11347</t>
  </si>
  <si>
    <t>Coluna11348</t>
  </si>
  <si>
    <t>Coluna11349</t>
  </si>
  <si>
    <t>Coluna11350</t>
  </si>
  <si>
    <t>Coluna11351</t>
  </si>
  <si>
    <t>Coluna11352</t>
  </si>
  <si>
    <t>Coluna11353</t>
  </si>
  <si>
    <t>Coluna11354</t>
  </si>
  <si>
    <t>Coluna11355</t>
  </si>
  <si>
    <t>Coluna11356</t>
  </si>
  <si>
    <t>Coluna11357</t>
  </si>
  <si>
    <t>Coluna11358</t>
  </si>
  <si>
    <t>Coluna11359</t>
  </si>
  <si>
    <t>Coluna11360</t>
  </si>
  <si>
    <t>Coluna11361</t>
  </si>
  <si>
    <t>Coluna11362</t>
  </si>
  <si>
    <t>Coluna11363</t>
  </si>
  <si>
    <t>Coluna11364</t>
  </si>
  <si>
    <t>Coluna11365</t>
  </si>
  <si>
    <t>Coluna11366</t>
  </si>
  <si>
    <t>Coluna11367</t>
  </si>
  <si>
    <t>Coluna11368</t>
  </si>
  <si>
    <t>Coluna11369</t>
  </si>
  <si>
    <t>Coluna11370</t>
  </si>
  <si>
    <t>Coluna11371</t>
  </si>
  <si>
    <t>Coluna11372</t>
  </si>
  <si>
    <t>Coluna11373</t>
  </si>
  <si>
    <t>Coluna11374</t>
  </si>
  <si>
    <t>Coluna11375</t>
  </si>
  <si>
    <t>Coluna11376</t>
  </si>
  <si>
    <t>Coluna11377</t>
  </si>
  <si>
    <t>Coluna11378</t>
  </si>
  <si>
    <t>Coluna11379</t>
  </si>
  <si>
    <t>Coluna11380</t>
  </si>
  <si>
    <t>Coluna11381</t>
  </si>
  <si>
    <t>Coluna11382</t>
  </si>
  <si>
    <t>Coluna11383</t>
  </si>
  <si>
    <t>Coluna11384</t>
  </si>
  <si>
    <t>Coluna11385</t>
  </si>
  <si>
    <t>Coluna11386</t>
  </si>
  <si>
    <t>Coluna11387</t>
  </si>
  <si>
    <t>Coluna11388</t>
  </si>
  <si>
    <t>Coluna11389</t>
  </si>
  <si>
    <t>Coluna11390</t>
  </si>
  <si>
    <t>Coluna11391</t>
  </si>
  <si>
    <t>Coluna11392</t>
  </si>
  <si>
    <t>Coluna11393</t>
  </si>
  <si>
    <t>Coluna11394</t>
  </si>
  <si>
    <t>Coluna11395</t>
  </si>
  <si>
    <t>Coluna11396</t>
  </si>
  <si>
    <t>Coluna11397</t>
  </si>
  <si>
    <t>Coluna11398</t>
  </si>
  <si>
    <t>Coluna11399</t>
  </si>
  <si>
    <t>Coluna11400</t>
  </si>
  <si>
    <t>Coluna11401</t>
  </si>
  <si>
    <t>Coluna11402</t>
  </si>
  <si>
    <t>Coluna11403</t>
  </si>
  <si>
    <t>Coluna11404</t>
  </si>
  <si>
    <t>Coluna11405</t>
  </si>
  <si>
    <t>Coluna11406</t>
  </si>
  <si>
    <t>Coluna11407</t>
  </si>
  <si>
    <t>Coluna11408</t>
  </si>
  <si>
    <t>Coluna11409</t>
  </si>
  <si>
    <t>Coluna11410</t>
  </si>
  <si>
    <t>Coluna11411</t>
  </si>
  <si>
    <t>Coluna11412</t>
  </si>
  <si>
    <t>Coluna11413</t>
  </si>
  <si>
    <t>Coluna11414</t>
  </si>
  <si>
    <t>Coluna11415</t>
  </si>
  <si>
    <t>Coluna11416</t>
  </si>
  <si>
    <t>Coluna11417</t>
  </si>
  <si>
    <t>Coluna11418</t>
  </si>
  <si>
    <t>Coluna11419</t>
  </si>
  <si>
    <t>Coluna11420</t>
  </si>
  <si>
    <t>Coluna11421</t>
  </si>
  <si>
    <t>Coluna11422</t>
  </si>
  <si>
    <t>Coluna11423</t>
  </si>
  <si>
    <t>Coluna11424</t>
  </si>
  <si>
    <t>Coluna11425</t>
  </si>
  <si>
    <t>Coluna11426</t>
  </si>
  <si>
    <t>Coluna11427</t>
  </si>
  <si>
    <t>Coluna11428</t>
  </si>
  <si>
    <t>Coluna11429</t>
  </si>
  <si>
    <t>Coluna11430</t>
  </si>
  <si>
    <t>Coluna11431</t>
  </si>
  <si>
    <t>Coluna11432</t>
  </si>
  <si>
    <t>Coluna11433</t>
  </si>
  <si>
    <t>Coluna11434</t>
  </si>
  <si>
    <t>Coluna11435</t>
  </si>
  <si>
    <t>Coluna11436</t>
  </si>
  <si>
    <t>Coluna11437</t>
  </si>
  <si>
    <t>Coluna11438</t>
  </si>
  <si>
    <t>Coluna11439</t>
  </si>
  <si>
    <t>Coluna11440</t>
  </si>
  <si>
    <t>Coluna11441</t>
  </si>
  <si>
    <t>Coluna11442</t>
  </si>
  <si>
    <t>Coluna11443</t>
  </si>
  <si>
    <t>Coluna11444</t>
  </si>
  <si>
    <t>Coluna11445</t>
  </si>
  <si>
    <t>Coluna11446</t>
  </si>
  <si>
    <t>Coluna11447</t>
  </si>
  <si>
    <t>Coluna11448</t>
  </si>
  <si>
    <t>Coluna11449</t>
  </si>
  <si>
    <t>Coluna11450</t>
  </si>
  <si>
    <t>Coluna11451</t>
  </si>
  <si>
    <t>Coluna11452</t>
  </si>
  <si>
    <t>Coluna11453</t>
  </si>
  <si>
    <t>Coluna11454</t>
  </si>
  <si>
    <t>Coluna11455</t>
  </si>
  <si>
    <t>Coluna11456</t>
  </si>
  <si>
    <t>Coluna11457</t>
  </si>
  <si>
    <t>Coluna11458</t>
  </si>
  <si>
    <t>Coluna11459</t>
  </si>
  <si>
    <t>Coluna11460</t>
  </si>
  <si>
    <t>Coluna11461</t>
  </si>
  <si>
    <t>Coluna11462</t>
  </si>
  <si>
    <t>Coluna11463</t>
  </si>
  <si>
    <t>Coluna11464</t>
  </si>
  <si>
    <t>Coluna11465</t>
  </si>
  <si>
    <t>Coluna11466</t>
  </si>
  <si>
    <t>Coluna11467</t>
  </si>
  <si>
    <t>Coluna11468</t>
  </si>
  <si>
    <t>Coluna11469</t>
  </si>
  <si>
    <t>Coluna11470</t>
  </si>
  <si>
    <t>Coluna11471</t>
  </si>
  <si>
    <t>Coluna11472</t>
  </si>
  <si>
    <t>Coluna11473</t>
  </si>
  <si>
    <t>Coluna11474</t>
  </si>
  <si>
    <t>Coluna11475</t>
  </si>
  <si>
    <t>Coluna11476</t>
  </si>
  <si>
    <t>Coluna11477</t>
  </si>
  <si>
    <t>Coluna11478</t>
  </si>
  <si>
    <t>Coluna11479</t>
  </si>
  <si>
    <t>Coluna11480</t>
  </si>
  <si>
    <t>Coluna11481</t>
  </si>
  <si>
    <t>Coluna11482</t>
  </si>
  <si>
    <t>Coluna11483</t>
  </si>
  <si>
    <t>Coluna11484</t>
  </si>
  <si>
    <t>Coluna11485</t>
  </si>
  <si>
    <t>Coluna11486</t>
  </si>
  <si>
    <t>Coluna11487</t>
  </si>
  <si>
    <t>Coluna11488</t>
  </si>
  <si>
    <t>Coluna11489</t>
  </si>
  <si>
    <t>Coluna11490</t>
  </si>
  <si>
    <t>Coluna11491</t>
  </si>
  <si>
    <t>Coluna11492</t>
  </si>
  <si>
    <t>Coluna11493</t>
  </si>
  <si>
    <t>Coluna11494</t>
  </si>
  <si>
    <t>Coluna11495</t>
  </si>
  <si>
    <t>Coluna11496</t>
  </si>
  <si>
    <t>Coluna11497</t>
  </si>
  <si>
    <t>Coluna11498</t>
  </si>
  <si>
    <t>Coluna11499</t>
  </si>
  <si>
    <t>Coluna11500</t>
  </si>
  <si>
    <t>Coluna11501</t>
  </si>
  <si>
    <t>Coluna11502</t>
  </si>
  <si>
    <t>Coluna11503</t>
  </si>
  <si>
    <t>Coluna11504</t>
  </si>
  <si>
    <t>Coluna11505</t>
  </si>
  <si>
    <t>Coluna11506</t>
  </si>
  <si>
    <t>Coluna11507</t>
  </si>
  <si>
    <t>Coluna11508</t>
  </si>
  <si>
    <t>Coluna11509</t>
  </si>
  <si>
    <t>Coluna11510</t>
  </si>
  <si>
    <t>Coluna11511</t>
  </si>
  <si>
    <t>Coluna11512</t>
  </si>
  <si>
    <t>Coluna11513</t>
  </si>
  <si>
    <t>Coluna11514</t>
  </si>
  <si>
    <t>Coluna11515</t>
  </si>
  <si>
    <t>Coluna11516</t>
  </si>
  <si>
    <t>Coluna11517</t>
  </si>
  <si>
    <t>Coluna11518</t>
  </si>
  <si>
    <t>Coluna11519</t>
  </si>
  <si>
    <t>Coluna11520</t>
  </si>
  <si>
    <t>Coluna11521</t>
  </si>
  <si>
    <t>Coluna11522</t>
  </si>
  <si>
    <t>Coluna11523</t>
  </si>
  <si>
    <t>Coluna11524</t>
  </si>
  <si>
    <t>Coluna11525</t>
  </si>
  <si>
    <t>Coluna11526</t>
  </si>
  <si>
    <t>Coluna11527</t>
  </si>
  <si>
    <t>Coluna11528</t>
  </si>
  <si>
    <t>Coluna11529</t>
  </si>
  <si>
    <t>Coluna11530</t>
  </si>
  <si>
    <t>Coluna11531</t>
  </si>
  <si>
    <t>Coluna11532</t>
  </si>
  <si>
    <t>Coluna11533</t>
  </si>
  <si>
    <t>Coluna11534</t>
  </si>
  <si>
    <t>Coluna11535</t>
  </si>
  <si>
    <t>Coluna11536</t>
  </si>
  <si>
    <t>Coluna11537</t>
  </si>
  <si>
    <t>Coluna11538</t>
  </si>
  <si>
    <t>Coluna11539</t>
  </si>
  <si>
    <t>Coluna11540</t>
  </si>
  <si>
    <t>Coluna11541</t>
  </si>
  <si>
    <t>Coluna11542</t>
  </si>
  <si>
    <t>Coluna11543</t>
  </si>
  <si>
    <t>Coluna11544</t>
  </si>
  <si>
    <t>Coluna11545</t>
  </si>
  <si>
    <t>Coluna11546</t>
  </si>
  <si>
    <t>Coluna11547</t>
  </si>
  <si>
    <t>Coluna11548</t>
  </si>
  <si>
    <t>Coluna11549</t>
  </si>
  <si>
    <t>Coluna11550</t>
  </si>
  <si>
    <t>Coluna11551</t>
  </si>
  <si>
    <t>Coluna11552</t>
  </si>
  <si>
    <t>Coluna11553</t>
  </si>
  <si>
    <t>Coluna11554</t>
  </si>
  <si>
    <t>Coluna11555</t>
  </si>
  <si>
    <t>Coluna11556</t>
  </si>
  <si>
    <t>Coluna11557</t>
  </si>
  <si>
    <t>Coluna11558</t>
  </si>
  <si>
    <t>Coluna11559</t>
  </si>
  <si>
    <t>Coluna11560</t>
  </si>
  <si>
    <t>Coluna11561</t>
  </si>
  <si>
    <t>Coluna11562</t>
  </si>
  <si>
    <t>Coluna11563</t>
  </si>
  <si>
    <t>Coluna11564</t>
  </si>
  <si>
    <t>Coluna11565</t>
  </si>
  <si>
    <t>Coluna11566</t>
  </si>
  <si>
    <t>Coluna11567</t>
  </si>
  <si>
    <t>Coluna11568</t>
  </si>
  <si>
    <t>Coluna11569</t>
  </si>
  <si>
    <t>Coluna11570</t>
  </si>
  <si>
    <t>Coluna11571</t>
  </si>
  <si>
    <t>Coluna11572</t>
  </si>
  <si>
    <t>Coluna11573</t>
  </si>
  <si>
    <t>Coluna11574</t>
  </si>
  <si>
    <t>Coluna11575</t>
  </si>
  <si>
    <t>Coluna11576</t>
  </si>
  <si>
    <t>Coluna11577</t>
  </si>
  <si>
    <t>Coluna11578</t>
  </si>
  <si>
    <t>Coluna11579</t>
  </si>
  <si>
    <t>Coluna11580</t>
  </si>
  <si>
    <t>Coluna11581</t>
  </si>
  <si>
    <t>Coluna11582</t>
  </si>
  <si>
    <t>Coluna11583</t>
  </si>
  <si>
    <t>Coluna11584</t>
  </si>
  <si>
    <t>Coluna11585</t>
  </si>
  <si>
    <t>Coluna11586</t>
  </si>
  <si>
    <t>Coluna11587</t>
  </si>
  <si>
    <t>Coluna11588</t>
  </si>
  <si>
    <t>Coluna11589</t>
  </si>
  <si>
    <t>Coluna11590</t>
  </si>
  <si>
    <t>Coluna11591</t>
  </si>
  <si>
    <t>Coluna11592</t>
  </si>
  <si>
    <t>Coluna11593</t>
  </si>
  <si>
    <t>Coluna11594</t>
  </si>
  <si>
    <t>Coluna11595</t>
  </si>
  <si>
    <t>Coluna11596</t>
  </si>
  <si>
    <t>Coluna11597</t>
  </si>
  <si>
    <t>Coluna11598</t>
  </si>
  <si>
    <t>Coluna11599</t>
  </si>
  <si>
    <t>Coluna11600</t>
  </si>
  <si>
    <t>Coluna11601</t>
  </si>
  <si>
    <t>Coluna11602</t>
  </si>
  <si>
    <t>Coluna11603</t>
  </si>
  <si>
    <t>Coluna11604</t>
  </si>
  <si>
    <t>Coluna11605</t>
  </si>
  <si>
    <t>Coluna11606</t>
  </si>
  <si>
    <t>Coluna11607</t>
  </si>
  <si>
    <t>Coluna11608</t>
  </si>
  <si>
    <t>Coluna11609</t>
  </si>
  <si>
    <t>Coluna11610</t>
  </si>
  <si>
    <t>Coluna11611</t>
  </si>
  <si>
    <t>Coluna11612</t>
  </si>
  <si>
    <t>Coluna11613</t>
  </si>
  <si>
    <t>Coluna11614</t>
  </si>
  <si>
    <t>Coluna11615</t>
  </si>
  <si>
    <t>Coluna11616</t>
  </si>
  <si>
    <t>Coluna11617</t>
  </si>
  <si>
    <t>Coluna11618</t>
  </si>
  <si>
    <t>Coluna11619</t>
  </si>
  <si>
    <t>Coluna11620</t>
  </si>
  <si>
    <t>Coluna11621</t>
  </si>
  <si>
    <t>Coluna11622</t>
  </si>
  <si>
    <t>Coluna11623</t>
  </si>
  <si>
    <t>Coluna11624</t>
  </si>
  <si>
    <t>Coluna11625</t>
  </si>
  <si>
    <t>Coluna11626</t>
  </si>
  <si>
    <t>Coluna11627</t>
  </si>
  <si>
    <t>Coluna11628</t>
  </si>
  <si>
    <t>Coluna11629</t>
  </si>
  <si>
    <t>Coluna11630</t>
  </si>
  <si>
    <t>Coluna11631</t>
  </si>
  <si>
    <t>Coluna11632</t>
  </si>
  <si>
    <t>Coluna11633</t>
  </si>
  <si>
    <t>Coluna11634</t>
  </si>
  <si>
    <t>Coluna11635</t>
  </si>
  <si>
    <t>Coluna11636</t>
  </si>
  <si>
    <t>Coluna11637</t>
  </si>
  <si>
    <t>Coluna11638</t>
  </si>
  <si>
    <t>Coluna11639</t>
  </si>
  <si>
    <t>Coluna11640</t>
  </si>
  <si>
    <t>Coluna11641</t>
  </si>
  <si>
    <t>Coluna11642</t>
  </si>
  <si>
    <t>Coluna11643</t>
  </si>
  <si>
    <t>Coluna11644</t>
  </si>
  <si>
    <t>Coluna11645</t>
  </si>
  <si>
    <t>Coluna11646</t>
  </si>
  <si>
    <t>Coluna11647</t>
  </si>
  <si>
    <t>Coluna11648</t>
  </si>
  <si>
    <t>Coluna11649</t>
  </si>
  <si>
    <t>Coluna11650</t>
  </si>
  <si>
    <t>Coluna11651</t>
  </si>
  <si>
    <t>Coluna11652</t>
  </si>
  <si>
    <t>Coluna11653</t>
  </si>
  <si>
    <t>Coluna11654</t>
  </si>
  <si>
    <t>Coluna11655</t>
  </si>
  <si>
    <t>Coluna11656</t>
  </si>
  <si>
    <t>Coluna11657</t>
  </si>
  <si>
    <t>Coluna11658</t>
  </si>
  <si>
    <t>Coluna11659</t>
  </si>
  <si>
    <t>Coluna11660</t>
  </si>
  <si>
    <t>Coluna11661</t>
  </si>
  <si>
    <t>Coluna11662</t>
  </si>
  <si>
    <t>Coluna11663</t>
  </si>
  <si>
    <t>Coluna11664</t>
  </si>
  <si>
    <t>Coluna11665</t>
  </si>
  <si>
    <t>Coluna11666</t>
  </si>
  <si>
    <t>Coluna11667</t>
  </si>
  <si>
    <t>Coluna11668</t>
  </si>
  <si>
    <t>Coluna11669</t>
  </si>
  <si>
    <t>Coluna11670</t>
  </si>
  <si>
    <t>Coluna11671</t>
  </si>
  <si>
    <t>Coluna11672</t>
  </si>
  <si>
    <t>Coluna11673</t>
  </si>
  <si>
    <t>Coluna11674</t>
  </si>
  <si>
    <t>Coluna11675</t>
  </si>
  <si>
    <t>Coluna11676</t>
  </si>
  <si>
    <t>Coluna11677</t>
  </si>
  <si>
    <t>Coluna11678</t>
  </si>
  <si>
    <t>Coluna11679</t>
  </si>
  <si>
    <t>Coluna11680</t>
  </si>
  <si>
    <t>Coluna11681</t>
  </si>
  <si>
    <t>Coluna11682</t>
  </si>
  <si>
    <t>Coluna11683</t>
  </si>
  <si>
    <t>Coluna11684</t>
  </si>
  <si>
    <t>Coluna11685</t>
  </si>
  <si>
    <t>Coluna11686</t>
  </si>
  <si>
    <t>Coluna11687</t>
  </si>
  <si>
    <t>Coluna11688</t>
  </si>
  <si>
    <t>Coluna11689</t>
  </si>
  <si>
    <t>Coluna11690</t>
  </si>
  <si>
    <t>Coluna11691</t>
  </si>
  <si>
    <t>Coluna11692</t>
  </si>
  <si>
    <t>Coluna11693</t>
  </si>
  <si>
    <t>Coluna11694</t>
  </si>
  <si>
    <t>Coluna11695</t>
  </si>
  <si>
    <t>Coluna11696</t>
  </si>
  <si>
    <t>Coluna11697</t>
  </si>
  <si>
    <t>Coluna11698</t>
  </si>
  <si>
    <t>Coluna11699</t>
  </si>
  <si>
    <t>Coluna11700</t>
  </si>
  <si>
    <t>Coluna11701</t>
  </si>
  <si>
    <t>Coluna11702</t>
  </si>
  <si>
    <t>Coluna11703</t>
  </si>
  <si>
    <t>Coluna11704</t>
  </si>
  <si>
    <t>Coluna11705</t>
  </si>
  <si>
    <t>Coluna11706</t>
  </si>
  <si>
    <t>Coluna11707</t>
  </si>
  <si>
    <t>Coluna11708</t>
  </si>
  <si>
    <t>Coluna11709</t>
  </si>
  <si>
    <t>Coluna11710</t>
  </si>
  <si>
    <t>Coluna11711</t>
  </si>
  <si>
    <t>Coluna11712</t>
  </si>
  <si>
    <t>Coluna11713</t>
  </si>
  <si>
    <t>Coluna11714</t>
  </si>
  <si>
    <t>Coluna11715</t>
  </si>
  <si>
    <t>Coluna11716</t>
  </si>
  <si>
    <t>Coluna11717</t>
  </si>
  <si>
    <t>Coluna11718</t>
  </si>
  <si>
    <t>Coluna11719</t>
  </si>
  <si>
    <t>Coluna11720</t>
  </si>
  <si>
    <t>Coluna11721</t>
  </si>
  <si>
    <t>Coluna11722</t>
  </si>
  <si>
    <t>Coluna11723</t>
  </si>
  <si>
    <t>Coluna11724</t>
  </si>
  <si>
    <t>Coluna11725</t>
  </si>
  <si>
    <t>Coluna11726</t>
  </si>
  <si>
    <t>Coluna11727</t>
  </si>
  <si>
    <t>Coluna11728</t>
  </si>
  <si>
    <t>Coluna11729</t>
  </si>
  <si>
    <t>Coluna11730</t>
  </si>
  <si>
    <t>Coluna11731</t>
  </si>
  <si>
    <t>Coluna11732</t>
  </si>
  <si>
    <t>Coluna11733</t>
  </si>
  <si>
    <t>Coluna11734</t>
  </si>
  <si>
    <t>Coluna11735</t>
  </si>
  <si>
    <t>Coluna11736</t>
  </si>
  <si>
    <t>Coluna11737</t>
  </si>
  <si>
    <t>Coluna11738</t>
  </si>
  <si>
    <t>Coluna11739</t>
  </si>
  <si>
    <t>Coluna11740</t>
  </si>
  <si>
    <t>Coluna11741</t>
  </si>
  <si>
    <t>Coluna11742</t>
  </si>
  <si>
    <t>Coluna11743</t>
  </si>
  <si>
    <t>Coluna11744</t>
  </si>
  <si>
    <t>Coluna11745</t>
  </si>
  <si>
    <t>Coluna11746</t>
  </si>
  <si>
    <t>Coluna11747</t>
  </si>
  <si>
    <t>Coluna11748</t>
  </si>
  <si>
    <t>Coluna11749</t>
  </si>
  <si>
    <t>Coluna11750</t>
  </si>
  <si>
    <t>Coluna11751</t>
  </si>
  <si>
    <t>Coluna11752</t>
  </si>
  <si>
    <t>Coluna11753</t>
  </si>
  <si>
    <t>Coluna11754</t>
  </si>
  <si>
    <t>Coluna11755</t>
  </si>
  <si>
    <t>Coluna11756</t>
  </si>
  <si>
    <t>Coluna11757</t>
  </si>
  <si>
    <t>Coluna11758</t>
  </si>
  <si>
    <t>Coluna11759</t>
  </si>
  <si>
    <t>Coluna11760</t>
  </si>
  <si>
    <t>Coluna11761</t>
  </si>
  <si>
    <t>Coluna11762</t>
  </si>
  <si>
    <t>Coluna11763</t>
  </si>
  <si>
    <t>Coluna11764</t>
  </si>
  <si>
    <t>Coluna11765</t>
  </si>
  <si>
    <t>Coluna11766</t>
  </si>
  <si>
    <t>Coluna11767</t>
  </si>
  <si>
    <t>Coluna11768</t>
  </si>
  <si>
    <t>Coluna11769</t>
  </si>
  <si>
    <t>Coluna11770</t>
  </si>
  <si>
    <t>Coluna11771</t>
  </si>
  <si>
    <t>Coluna11772</t>
  </si>
  <si>
    <t>Coluna11773</t>
  </si>
  <si>
    <t>Coluna11774</t>
  </si>
  <si>
    <t>Coluna11775</t>
  </si>
  <si>
    <t>Coluna11776</t>
  </si>
  <si>
    <t>Coluna11777</t>
  </si>
  <si>
    <t>Coluna11778</t>
  </si>
  <si>
    <t>Coluna11779</t>
  </si>
  <si>
    <t>Coluna11780</t>
  </si>
  <si>
    <t>Coluna11781</t>
  </si>
  <si>
    <t>Coluna11782</t>
  </si>
  <si>
    <t>Coluna11783</t>
  </si>
  <si>
    <t>Coluna11784</t>
  </si>
  <si>
    <t>Coluna11785</t>
  </si>
  <si>
    <t>Coluna11786</t>
  </si>
  <si>
    <t>Coluna11787</t>
  </si>
  <si>
    <t>Coluna11788</t>
  </si>
  <si>
    <t>Coluna11789</t>
  </si>
  <si>
    <t>Coluna11790</t>
  </si>
  <si>
    <t>Coluna11791</t>
  </si>
  <si>
    <t>Coluna11792</t>
  </si>
  <si>
    <t>Coluna11793</t>
  </si>
  <si>
    <t>Coluna11794</t>
  </si>
  <si>
    <t>Coluna11795</t>
  </si>
  <si>
    <t>Coluna11796</t>
  </si>
  <si>
    <t>Coluna11797</t>
  </si>
  <si>
    <t>Coluna11798</t>
  </si>
  <si>
    <t>Coluna11799</t>
  </si>
  <si>
    <t>Coluna11800</t>
  </si>
  <si>
    <t>Coluna11801</t>
  </si>
  <si>
    <t>Coluna11802</t>
  </si>
  <si>
    <t>Coluna11803</t>
  </si>
  <si>
    <t>Coluna11804</t>
  </si>
  <si>
    <t>Coluna11805</t>
  </si>
  <si>
    <t>Coluna11806</t>
  </si>
  <si>
    <t>Coluna11807</t>
  </si>
  <si>
    <t>Coluna11808</t>
  </si>
  <si>
    <t>Coluna11809</t>
  </si>
  <si>
    <t>Coluna11810</t>
  </si>
  <si>
    <t>Coluna11811</t>
  </si>
  <si>
    <t>Coluna11812</t>
  </si>
  <si>
    <t>Coluna11813</t>
  </si>
  <si>
    <t>Coluna11814</t>
  </si>
  <si>
    <t>Coluna11815</t>
  </si>
  <si>
    <t>Coluna11816</t>
  </si>
  <si>
    <t>Coluna11817</t>
  </si>
  <si>
    <t>Coluna11818</t>
  </si>
  <si>
    <t>Coluna11819</t>
  </si>
  <si>
    <t>Coluna11820</t>
  </si>
  <si>
    <t>Coluna11821</t>
  </si>
  <si>
    <t>Coluna11822</t>
  </si>
  <si>
    <t>Coluna11823</t>
  </si>
  <si>
    <t>Coluna11824</t>
  </si>
  <si>
    <t>Coluna11825</t>
  </si>
  <si>
    <t>Coluna11826</t>
  </si>
  <si>
    <t>Coluna11827</t>
  </si>
  <si>
    <t>Coluna11828</t>
  </si>
  <si>
    <t>Coluna11829</t>
  </si>
  <si>
    <t>Coluna11830</t>
  </si>
  <si>
    <t>Coluna11831</t>
  </si>
  <si>
    <t>Coluna11832</t>
  </si>
  <si>
    <t>Coluna11833</t>
  </si>
  <si>
    <t>Coluna11834</t>
  </si>
  <si>
    <t>Coluna11835</t>
  </si>
  <si>
    <t>Coluna11836</t>
  </si>
  <si>
    <t>Coluna11837</t>
  </si>
  <si>
    <t>Coluna11838</t>
  </si>
  <si>
    <t>Coluna11839</t>
  </si>
  <si>
    <t>Coluna11840</t>
  </si>
  <si>
    <t>Coluna11841</t>
  </si>
  <si>
    <t>Coluna11842</t>
  </si>
  <si>
    <t>Coluna11843</t>
  </si>
  <si>
    <t>Coluna11844</t>
  </si>
  <si>
    <t>Coluna11845</t>
  </si>
  <si>
    <t>Coluna11846</t>
  </si>
  <si>
    <t>Coluna11847</t>
  </si>
  <si>
    <t>Coluna11848</t>
  </si>
  <si>
    <t>Coluna11849</t>
  </si>
  <si>
    <t>Coluna11850</t>
  </si>
  <si>
    <t>Coluna11851</t>
  </si>
  <si>
    <t>Coluna11852</t>
  </si>
  <si>
    <t>Coluna11853</t>
  </si>
  <si>
    <t>Coluna11854</t>
  </si>
  <si>
    <t>Coluna11855</t>
  </si>
  <si>
    <t>Coluna11856</t>
  </si>
  <si>
    <t>Coluna11857</t>
  </si>
  <si>
    <t>Coluna11858</t>
  </si>
  <si>
    <t>Coluna11859</t>
  </si>
  <si>
    <t>Coluna11860</t>
  </si>
  <si>
    <t>Coluna11861</t>
  </si>
  <si>
    <t>Coluna11862</t>
  </si>
  <si>
    <t>Coluna11863</t>
  </si>
  <si>
    <t>Coluna11864</t>
  </si>
  <si>
    <t>Coluna11865</t>
  </si>
  <si>
    <t>Coluna11866</t>
  </si>
  <si>
    <t>Coluna11867</t>
  </si>
  <si>
    <t>Coluna11868</t>
  </si>
  <si>
    <t>Coluna11869</t>
  </si>
  <si>
    <t>Coluna11870</t>
  </si>
  <si>
    <t>Coluna11871</t>
  </si>
  <si>
    <t>Coluna11872</t>
  </si>
  <si>
    <t>Coluna11873</t>
  </si>
  <si>
    <t>Coluna11874</t>
  </si>
  <si>
    <t>Coluna11875</t>
  </si>
  <si>
    <t>Coluna11876</t>
  </si>
  <si>
    <t>Coluna11877</t>
  </si>
  <si>
    <t>Coluna11878</t>
  </si>
  <si>
    <t>Coluna11879</t>
  </si>
  <si>
    <t>Coluna11880</t>
  </si>
  <si>
    <t>Coluna11881</t>
  </si>
  <si>
    <t>Coluna11882</t>
  </si>
  <si>
    <t>Coluna11883</t>
  </si>
  <si>
    <t>Coluna11884</t>
  </si>
  <si>
    <t>Coluna11885</t>
  </si>
  <si>
    <t>Coluna11886</t>
  </si>
  <si>
    <t>Coluna11887</t>
  </si>
  <si>
    <t>Coluna11888</t>
  </si>
  <si>
    <t>Coluna11889</t>
  </si>
  <si>
    <t>Coluna11890</t>
  </si>
  <si>
    <t>Coluna11891</t>
  </si>
  <si>
    <t>Coluna11892</t>
  </si>
  <si>
    <t>Coluna11893</t>
  </si>
  <si>
    <t>Coluna11894</t>
  </si>
  <si>
    <t>Coluna11895</t>
  </si>
  <si>
    <t>Coluna11896</t>
  </si>
  <si>
    <t>Coluna11897</t>
  </si>
  <si>
    <t>Coluna11898</t>
  </si>
  <si>
    <t>Coluna11899</t>
  </si>
  <si>
    <t>Coluna11900</t>
  </si>
  <si>
    <t>Coluna11901</t>
  </si>
  <si>
    <t>Coluna11902</t>
  </si>
  <si>
    <t>Coluna11903</t>
  </si>
  <si>
    <t>Coluna11904</t>
  </si>
  <si>
    <t>Coluna11905</t>
  </si>
  <si>
    <t>Coluna11906</t>
  </si>
  <si>
    <t>Coluna11907</t>
  </si>
  <si>
    <t>Coluna11908</t>
  </si>
  <si>
    <t>Coluna11909</t>
  </si>
  <si>
    <t>Coluna11910</t>
  </si>
  <si>
    <t>Coluna11911</t>
  </si>
  <si>
    <t>Coluna11912</t>
  </si>
  <si>
    <t>Coluna11913</t>
  </si>
  <si>
    <t>Coluna11914</t>
  </si>
  <si>
    <t>Coluna11915</t>
  </si>
  <si>
    <t>Coluna11916</t>
  </si>
  <si>
    <t>Coluna11917</t>
  </si>
  <si>
    <t>Coluna11918</t>
  </si>
  <si>
    <t>Coluna11919</t>
  </si>
  <si>
    <t>Coluna11920</t>
  </si>
  <si>
    <t>Coluna11921</t>
  </si>
  <si>
    <t>Coluna11922</t>
  </si>
  <si>
    <t>Coluna11923</t>
  </si>
  <si>
    <t>Coluna11924</t>
  </si>
  <si>
    <t>Coluna11925</t>
  </si>
  <si>
    <t>Coluna11926</t>
  </si>
  <si>
    <t>Coluna11927</t>
  </si>
  <si>
    <t>Coluna11928</t>
  </si>
  <si>
    <t>Coluna11929</t>
  </si>
  <si>
    <t>Coluna11930</t>
  </si>
  <si>
    <t>Coluna11931</t>
  </si>
  <si>
    <t>Coluna11932</t>
  </si>
  <si>
    <t>Coluna11933</t>
  </si>
  <si>
    <t>Coluna11934</t>
  </si>
  <si>
    <t>Coluna11935</t>
  </si>
  <si>
    <t>Coluna11936</t>
  </si>
  <si>
    <t>Coluna11937</t>
  </si>
  <si>
    <t>Coluna11938</t>
  </si>
  <si>
    <t>Coluna11939</t>
  </si>
  <si>
    <t>Coluna11940</t>
  </si>
  <si>
    <t>Coluna11941</t>
  </si>
  <si>
    <t>Coluna11942</t>
  </si>
  <si>
    <t>Coluna11943</t>
  </si>
  <si>
    <t>Coluna11944</t>
  </si>
  <si>
    <t>Coluna11945</t>
  </si>
  <si>
    <t>Coluna11946</t>
  </si>
  <si>
    <t>Coluna11947</t>
  </si>
  <si>
    <t>Coluna11948</t>
  </si>
  <si>
    <t>Coluna11949</t>
  </si>
  <si>
    <t>Coluna11950</t>
  </si>
  <si>
    <t>Coluna11951</t>
  </si>
  <si>
    <t>Coluna11952</t>
  </si>
  <si>
    <t>Coluna11953</t>
  </si>
  <si>
    <t>Coluna11954</t>
  </si>
  <si>
    <t>Coluna11955</t>
  </si>
  <si>
    <t>Coluna11956</t>
  </si>
  <si>
    <t>Coluna11957</t>
  </si>
  <si>
    <t>Coluna11958</t>
  </si>
  <si>
    <t>Coluna11959</t>
  </si>
  <si>
    <t>Coluna11960</t>
  </si>
  <si>
    <t>Coluna11961</t>
  </si>
  <si>
    <t>Coluna11962</t>
  </si>
  <si>
    <t>Coluna11963</t>
  </si>
  <si>
    <t>Coluna11964</t>
  </si>
  <si>
    <t>Coluna11965</t>
  </si>
  <si>
    <t>Coluna11966</t>
  </si>
  <si>
    <t>Coluna11967</t>
  </si>
  <si>
    <t>Coluna11968</t>
  </si>
  <si>
    <t>Coluna11969</t>
  </si>
  <si>
    <t>Coluna11970</t>
  </si>
  <si>
    <t>Coluna11971</t>
  </si>
  <si>
    <t>Coluna11972</t>
  </si>
  <si>
    <t>Coluna11973</t>
  </si>
  <si>
    <t>Coluna11974</t>
  </si>
  <si>
    <t>Coluna11975</t>
  </si>
  <si>
    <t>Coluna11976</t>
  </si>
  <si>
    <t>Coluna11977</t>
  </si>
  <si>
    <t>Coluna11978</t>
  </si>
  <si>
    <t>Coluna11979</t>
  </si>
  <si>
    <t>Coluna11980</t>
  </si>
  <si>
    <t>Coluna11981</t>
  </si>
  <si>
    <t>Coluna11982</t>
  </si>
  <si>
    <t>Coluna11983</t>
  </si>
  <si>
    <t>Coluna11984</t>
  </si>
  <si>
    <t>Coluna11985</t>
  </si>
  <si>
    <t>Coluna11986</t>
  </si>
  <si>
    <t>Coluna11987</t>
  </si>
  <si>
    <t>Coluna11988</t>
  </si>
  <si>
    <t>Coluna11989</t>
  </si>
  <si>
    <t>Coluna11990</t>
  </si>
  <si>
    <t>Coluna11991</t>
  </si>
  <si>
    <t>Coluna11992</t>
  </si>
  <si>
    <t>Coluna11993</t>
  </si>
  <si>
    <t>Coluna11994</t>
  </si>
  <si>
    <t>Coluna11995</t>
  </si>
  <si>
    <t>Coluna11996</t>
  </si>
  <si>
    <t>Coluna11997</t>
  </si>
  <si>
    <t>Coluna11998</t>
  </si>
  <si>
    <t>Coluna11999</t>
  </si>
  <si>
    <t>Coluna12000</t>
  </si>
  <si>
    <t>Coluna12001</t>
  </si>
  <si>
    <t>Coluna12002</t>
  </si>
  <si>
    <t>Coluna12003</t>
  </si>
  <si>
    <t>Coluna12004</t>
  </si>
  <si>
    <t>Coluna12005</t>
  </si>
  <si>
    <t>Coluna12006</t>
  </si>
  <si>
    <t>Coluna12007</t>
  </si>
  <si>
    <t>Coluna12008</t>
  </si>
  <si>
    <t>Coluna12009</t>
  </si>
  <si>
    <t>Coluna12010</t>
  </si>
  <si>
    <t>Coluna12011</t>
  </si>
  <si>
    <t>Coluna12012</t>
  </si>
  <si>
    <t>Coluna12013</t>
  </si>
  <si>
    <t>Coluna12014</t>
  </si>
  <si>
    <t>Coluna12015</t>
  </si>
  <si>
    <t>Coluna12016</t>
  </si>
  <si>
    <t>Coluna12017</t>
  </si>
  <si>
    <t>Coluna12018</t>
  </si>
  <si>
    <t>Coluna12019</t>
  </si>
  <si>
    <t>Coluna12020</t>
  </si>
  <si>
    <t>Coluna12021</t>
  </si>
  <si>
    <t>Coluna12022</t>
  </si>
  <si>
    <t>Coluna12023</t>
  </si>
  <si>
    <t>Coluna12024</t>
  </si>
  <si>
    <t>Coluna12025</t>
  </si>
  <si>
    <t>Coluna12026</t>
  </si>
  <si>
    <t>Coluna12027</t>
  </si>
  <si>
    <t>Coluna12028</t>
  </si>
  <si>
    <t>Coluna12029</t>
  </si>
  <si>
    <t>Coluna12030</t>
  </si>
  <si>
    <t>Coluna12031</t>
  </si>
  <si>
    <t>Coluna12032</t>
  </si>
  <si>
    <t>Coluna12033</t>
  </si>
  <si>
    <t>Coluna12034</t>
  </si>
  <si>
    <t>Coluna12035</t>
  </si>
  <si>
    <t>Coluna12036</t>
  </si>
  <si>
    <t>Coluna12037</t>
  </si>
  <si>
    <t>Coluna12038</t>
  </si>
  <si>
    <t>Coluna12039</t>
  </si>
  <si>
    <t>Coluna12040</t>
  </si>
  <si>
    <t>Coluna12041</t>
  </si>
  <si>
    <t>Coluna12042</t>
  </si>
  <si>
    <t>Coluna12043</t>
  </si>
  <si>
    <t>Coluna12044</t>
  </si>
  <si>
    <t>Coluna12045</t>
  </si>
  <si>
    <t>Coluna12046</t>
  </si>
  <si>
    <t>Coluna12047</t>
  </si>
  <si>
    <t>Coluna12048</t>
  </si>
  <si>
    <t>Coluna12049</t>
  </si>
  <si>
    <t>Coluna12050</t>
  </si>
  <si>
    <t>Coluna12051</t>
  </si>
  <si>
    <t>Coluna12052</t>
  </si>
  <si>
    <t>Coluna12053</t>
  </si>
  <si>
    <t>Coluna12054</t>
  </si>
  <si>
    <t>Coluna12055</t>
  </si>
  <si>
    <t>Coluna12056</t>
  </si>
  <si>
    <t>Coluna12057</t>
  </si>
  <si>
    <t>Coluna12058</t>
  </si>
  <si>
    <t>Coluna12059</t>
  </si>
  <si>
    <t>Coluna12060</t>
  </si>
  <si>
    <t>Coluna12061</t>
  </si>
  <si>
    <t>Coluna12062</t>
  </si>
  <si>
    <t>Coluna12063</t>
  </si>
  <si>
    <t>Coluna12064</t>
  </si>
  <si>
    <t>Coluna12065</t>
  </si>
  <si>
    <t>Coluna12066</t>
  </si>
  <si>
    <t>Coluna12067</t>
  </si>
  <si>
    <t>Coluna12068</t>
  </si>
  <si>
    <t>Coluna12069</t>
  </si>
  <si>
    <t>Coluna12070</t>
  </si>
  <si>
    <t>Coluna12071</t>
  </si>
  <si>
    <t>Coluna12072</t>
  </si>
  <si>
    <t>Coluna12073</t>
  </si>
  <si>
    <t>Coluna12074</t>
  </si>
  <si>
    <t>Coluna12075</t>
  </si>
  <si>
    <t>Coluna12076</t>
  </si>
  <si>
    <t>Coluna12077</t>
  </si>
  <si>
    <t>Coluna12078</t>
  </si>
  <si>
    <t>Coluna12079</t>
  </si>
  <si>
    <t>Coluna12080</t>
  </si>
  <si>
    <t>Coluna12081</t>
  </si>
  <si>
    <t>Coluna12082</t>
  </si>
  <si>
    <t>Coluna12083</t>
  </si>
  <si>
    <t>Coluna12084</t>
  </si>
  <si>
    <t>Coluna12085</t>
  </si>
  <si>
    <t>Coluna12086</t>
  </si>
  <si>
    <t>Coluna12087</t>
  </si>
  <si>
    <t>Coluna12088</t>
  </si>
  <si>
    <t>Coluna12089</t>
  </si>
  <si>
    <t>Coluna12090</t>
  </si>
  <si>
    <t>Coluna12091</t>
  </si>
  <si>
    <t>Coluna12092</t>
  </si>
  <si>
    <t>Coluna12093</t>
  </si>
  <si>
    <t>Coluna12094</t>
  </si>
  <si>
    <t>Coluna12095</t>
  </si>
  <si>
    <t>Coluna12096</t>
  </si>
  <si>
    <t>Coluna12097</t>
  </si>
  <si>
    <t>Coluna12098</t>
  </si>
  <si>
    <t>Coluna12099</t>
  </si>
  <si>
    <t>Coluna12100</t>
  </si>
  <si>
    <t>Coluna12101</t>
  </si>
  <si>
    <t>Coluna12102</t>
  </si>
  <si>
    <t>Coluna12103</t>
  </si>
  <si>
    <t>Coluna12104</t>
  </si>
  <si>
    <t>Coluna12105</t>
  </si>
  <si>
    <t>Coluna12106</t>
  </si>
  <si>
    <t>Coluna12107</t>
  </si>
  <si>
    <t>Coluna12108</t>
  </si>
  <si>
    <t>Coluna12109</t>
  </si>
  <si>
    <t>Coluna12110</t>
  </si>
  <si>
    <t>Coluna12111</t>
  </si>
  <si>
    <t>Coluna12112</t>
  </si>
  <si>
    <t>Coluna12113</t>
  </si>
  <si>
    <t>Coluna12114</t>
  </si>
  <si>
    <t>Coluna12115</t>
  </si>
  <si>
    <t>Coluna12116</t>
  </si>
  <si>
    <t>Coluna12117</t>
  </si>
  <si>
    <t>Coluna12118</t>
  </si>
  <si>
    <t>Coluna12119</t>
  </si>
  <si>
    <t>Coluna12120</t>
  </si>
  <si>
    <t>Coluna12121</t>
  </si>
  <si>
    <t>Coluna12122</t>
  </si>
  <si>
    <t>Coluna12123</t>
  </si>
  <si>
    <t>Coluna12124</t>
  </si>
  <si>
    <t>Coluna12125</t>
  </si>
  <si>
    <t>Coluna12126</t>
  </si>
  <si>
    <t>Coluna12127</t>
  </si>
  <si>
    <t>Coluna12128</t>
  </si>
  <si>
    <t>Coluna12129</t>
  </si>
  <si>
    <t>Coluna12130</t>
  </si>
  <si>
    <t>Coluna12131</t>
  </si>
  <si>
    <t>Coluna12132</t>
  </si>
  <si>
    <t>Coluna12133</t>
  </si>
  <si>
    <t>Coluna12134</t>
  </si>
  <si>
    <t>Coluna12135</t>
  </si>
  <si>
    <t>Coluna12136</t>
  </si>
  <si>
    <t>Coluna12137</t>
  </si>
  <si>
    <t>Coluna12138</t>
  </si>
  <si>
    <t>Coluna12139</t>
  </si>
  <si>
    <t>Coluna12140</t>
  </si>
  <si>
    <t>Coluna12141</t>
  </si>
  <si>
    <t>Coluna12142</t>
  </si>
  <si>
    <t>Coluna12143</t>
  </si>
  <si>
    <t>Coluna12144</t>
  </si>
  <si>
    <t>Coluna12145</t>
  </si>
  <si>
    <t>Coluna12146</t>
  </si>
  <si>
    <t>Coluna12147</t>
  </si>
  <si>
    <t>Coluna12148</t>
  </si>
  <si>
    <t>Coluna12149</t>
  </si>
  <si>
    <t>Coluna12150</t>
  </si>
  <si>
    <t>Coluna12151</t>
  </si>
  <si>
    <t>Coluna12152</t>
  </si>
  <si>
    <t>Coluna12153</t>
  </si>
  <si>
    <t>Coluna12154</t>
  </si>
  <si>
    <t>Coluna12155</t>
  </si>
  <si>
    <t>Coluna12156</t>
  </si>
  <si>
    <t>Coluna12157</t>
  </si>
  <si>
    <t>Coluna12158</t>
  </si>
  <si>
    <t>Coluna12159</t>
  </si>
  <si>
    <t>Coluna12160</t>
  </si>
  <si>
    <t>Coluna12161</t>
  </si>
  <si>
    <t>Coluna12162</t>
  </si>
  <si>
    <t>Coluna12163</t>
  </si>
  <si>
    <t>Coluna12164</t>
  </si>
  <si>
    <t>Coluna12165</t>
  </si>
  <si>
    <t>Coluna12166</t>
  </si>
  <si>
    <t>Coluna12167</t>
  </si>
  <si>
    <t>Coluna12168</t>
  </si>
  <si>
    <t>Coluna12169</t>
  </si>
  <si>
    <t>Coluna12170</t>
  </si>
  <si>
    <t>Coluna12171</t>
  </si>
  <si>
    <t>Coluna12172</t>
  </si>
  <si>
    <t>Coluna12173</t>
  </si>
  <si>
    <t>Coluna12174</t>
  </si>
  <si>
    <t>Coluna12175</t>
  </si>
  <si>
    <t>Coluna12176</t>
  </si>
  <si>
    <t>Coluna12177</t>
  </si>
  <si>
    <t>Coluna12178</t>
  </si>
  <si>
    <t>Coluna12179</t>
  </si>
  <si>
    <t>Coluna12180</t>
  </si>
  <si>
    <t>Coluna12181</t>
  </si>
  <si>
    <t>Coluna12182</t>
  </si>
  <si>
    <t>Coluna12183</t>
  </si>
  <si>
    <t>Coluna12184</t>
  </si>
  <si>
    <t>Coluna12185</t>
  </si>
  <si>
    <t>Coluna12186</t>
  </si>
  <si>
    <t>Coluna12187</t>
  </si>
  <si>
    <t>Coluna12188</t>
  </si>
  <si>
    <t>Coluna12189</t>
  </si>
  <si>
    <t>Coluna12190</t>
  </si>
  <si>
    <t>Coluna12191</t>
  </si>
  <si>
    <t>Coluna12192</t>
  </si>
  <si>
    <t>Coluna12193</t>
  </si>
  <si>
    <t>Coluna12194</t>
  </si>
  <si>
    <t>Coluna12195</t>
  </si>
  <si>
    <t>Coluna12196</t>
  </si>
  <si>
    <t>Coluna12197</t>
  </si>
  <si>
    <t>Coluna12198</t>
  </si>
  <si>
    <t>Coluna12199</t>
  </si>
  <si>
    <t>Coluna12200</t>
  </si>
  <si>
    <t>Coluna12201</t>
  </si>
  <si>
    <t>Coluna12202</t>
  </si>
  <si>
    <t>Coluna12203</t>
  </si>
  <si>
    <t>Coluna12204</t>
  </si>
  <si>
    <t>Coluna12205</t>
  </si>
  <si>
    <t>Coluna12206</t>
  </si>
  <si>
    <t>Coluna12207</t>
  </si>
  <si>
    <t>Coluna12208</t>
  </si>
  <si>
    <t>Coluna12209</t>
  </si>
  <si>
    <t>Coluna12210</t>
  </si>
  <si>
    <t>Coluna12211</t>
  </si>
  <si>
    <t>Coluna12212</t>
  </si>
  <si>
    <t>Coluna12213</t>
  </si>
  <si>
    <t>Coluna12214</t>
  </si>
  <si>
    <t>Coluna12215</t>
  </si>
  <si>
    <t>Coluna12216</t>
  </si>
  <si>
    <t>Coluna12217</t>
  </si>
  <si>
    <t>Coluna12218</t>
  </si>
  <si>
    <t>Coluna12219</t>
  </si>
  <si>
    <t>Coluna12220</t>
  </si>
  <si>
    <t>Coluna12221</t>
  </si>
  <si>
    <t>Coluna12222</t>
  </si>
  <si>
    <t>Coluna12223</t>
  </si>
  <si>
    <t>Coluna12224</t>
  </si>
  <si>
    <t>Coluna12225</t>
  </si>
  <si>
    <t>Coluna12226</t>
  </si>
  <si>
    <t>Coluna12227</t>
  </si>
  <si>
    <t>Coluna12228</t>
  </si>
  <si>
    <t>Coluna12229</t>
  </si>
  <si>
    <t>Coluna12230</t>
  </si>
  <si>
    <t>Coluna12231</t>
  </si>
  <si>
    <t>Coluna12232</t>
  </si>
  <si>
    <t>Coluna12233</t>
  </si>
  <si>
    <t>Coluna12234</t>
  </si>
  <si>
    <t>Coluna12235</t>
  </si>
  <si>
    <t>Coluna12236</t>
  </si>
  <si>
    <t>Coluna12237</t>
  </si>
  <si>
    <t>Coluna12238</t>
  </si>
  <si>
    <t>Coluna12239</t>
  </si>
  <si>
    <t>Coluna12240</t>
  </si>
  <si>
    <t>Coluna12241</t>
  </si>
  <si>
    <t>Coluna12242</t>
  </si>
  <si>
    <t>Coluna12243</t>
  </si>
  <si>
    <t>Coluna12244</t>
  </si>
  <si>
    <t>Coluna12245</t>
  </si>
  <si>
    <t>Coluna12246</t>
  </si>
  <si>
    <t>Coluna12247</t>
  </si>
  <si>
    <t>Coluna12248</t>
  </si>
  <si>
    <t>Coluna12249</t>
  </si>
  <si>
    <t>Coluna12250</t>
  </si>
  <si>
    <t>Coluna12251</t>
  </si>
  <si>
    <t>Coluna12252</t>
  </si>
  <si>
    <t>Coluna12253</t>
  </si>
  <si>
    <t>Coluna12254</t>
  </si>
  <si>
    <t>Coluna12255</t>
  </si>
  <si>
    <t>Coluna12256</t>
  </si>
  <si>
    <t>Coluna12257</t>
  </si>
  <si>
    <t>Coluna12258</t>
  </si>
  <si>
    <t>Coluna12259</t>
  </si>
  <si>
    <t>Coluna12260</t>
  </si>
  <si>
    <t>Coluna12261</t>
  </si>
  <si>
    <t>Coluna12262</t>
  </si>
  <si>
    <t>Coluna12263</t>
  </si>
  <si>
    <t>Coluna12264</t>
  </si>
  <si>
    <t>Coluna12265</t>
  </si>
  <si>
    <t>Coluna12266</t>
  </si>
  <si>
    <t>Coluna12267</t>
  </si>
  <si>
    <t>Coluna12268</t>
  </si>
  <si>
    <t>Coluna12269</t>
  </si>
  <si>
    <t>Coluna12270</t>
  </si>
  <si>
    <t>Coluna12271</t>
  </si>
  <si>
    <t>Coluna12272</t>
  </si>
  <si>
    <t>Coluna12273</t>
  </si>
  <si>
    <t>Coluna12274</t>
  </si>
  <si>
    <t>Coluna12275</t>
  </si>
  <si>
    <t>Coluna12276</t>
  </si>
  <si>
    <t>Coluna12277</t>
  </si>
  <si>
    <t>Coluna12278</t>
  </si>
  <si>
    <t>Coluna12279</t>
  </si>
  <si>
    <t>Coluna12280</t>
  </si>
  <si>
    <t>Coluna12281</t>
  </si>
  <si>
    <t>Coluna12282</t>
  </si>
  <si>
    <t>Coluna12283</t>
  </si>
  <si>
    <t>Coluna12284</t>
  </si>
  <si>
    <t>Coluna12285</t>
  </si>
  <si>
    <t>Coluna12286</t>
  </si>
  <si>
    <t>Coluna12287</t>
  </si>
  <si>
    <t>Coluna12288</t>
  </si>
  <si>
    <t>Coluna12289</t>
  </si>
  <si>
    <t>Coluna12290</t>
  </si>
  <si>
    <t>Coluna12291</t>
  </si>
  <si>
    <t>Coluna12292</t>
  </si>
  <si>
    <t>Coluna12293</t>
  </si>
  <si>
    <t>Coluna12294</t>
  </si>
  <si>
    <t>Coluna12295</t>
  </si>
  <si>
    <t>Coluna12296</t>
  </si>
  <si>
    <t>Coluna12297</t>
  </si>
  <si>
    <t>Coluna12298</t>
  </si>
  <si>
    <t>Coluna12299</t>
  </si>
  <si>
    <t>Coluna12300</t>
  </si>
  <si>
    <t>Coluna12301</t>
  </si>
  <si>
    <t>Coluna12302</t>
  </si>
  <si>
    <t>Coluna12303</t>
  </si>
  <si>
    <t>Coluna12304</t>
  </si>
  <si>
    <t>Coluna12305</t>
  </si>
  <si>
    <t>Coluna12306</t>
  </si>
  <si>
    <t>Coluna12307</t>
  </si>
  <si>
    <t>Coluna12308</t>
  </si>
  <si>
    <t>Coluna12309</t>
  </si>
  <si>
    <t>Coluna12310</t>
  </si>
  <si>
    <t>Coluna12311</t>
  </si>
  <si>
    <t>Coluna12312</t>
  </si>
  <si>
    <t>Coluna12313</t>
  </si>
  <si>
    <t>Coluna12314</t>
  </si>
  <si>
    <t>Coluna12315</t>
  </si>
  <si>
    <t>Coluna12316</t>
  </si>
  <si>
    <t>Coluna12317</t>
  </si>
  <si>
    <t>Coluna12318</t>
  </si>
  <si>
    <t>Coluna12319</t>
  </si>
  <si>
    <t>Coluna12320</t>
  </si>
  <si>
    <t>Coluna12321</t>
  </si>
  <si>
    <t>Coluna12322</t>
  </si>
  <si>
    <t>Coluna12323</t>
  </si>
  <si>
    <t>Coluna12324</t>
  </si>
  <si>
    <t>Coluna12325</t>
  </si>
  <si>
    <t>Coluna12326</t>
  </si>
  <si>
    <t>Coluna12327</t>
  </si>
  <si>
    <t>Coluna12328</t>
  </si>
  <si>
    <t>Coluna12329</t>
  </si>
  <si>
    <t>Coluna12330</t>
  </si>
  <si>
    <t>Coluna12331</t>
  </si>
  <si>
    <t>Coluna12332</t>
  </si>
  <si>
    <t>Coluna12333</t>
  </si>
  <si>
    <t>Coluna12334</t>
  </si>
  <si>
    <t>Coluna12335</t>
  </si>
  <si>
    <t>Coluna12336</t>
  </si>
  <si>
    <t>Coluna12337</t>
  </si>
  <si>
    <t>Coluna12338</t>
  </si>
  <si>
    <t>Coluna12339</t>
  </si>
  <si>
    <t>Coluna12340</t>
  </si>
  <si>
    <t>Coluna12341</t>
  </si>
  <si>
    <t>Coluna12342</t>
  </si>
  <si>
    <t>Coluna12343</t>
  </si>
  <si>
    <t>Coluna12344</t>
  </si>
  <si>
    <t>Coluna12345</t>
  </si>
  <si>
    <t>Coluna12346</t>
  </si>
  <si>
    <t>Coluna12347</t>
  </si>
  <si>
    <t>Coluna12348</t>
  </si>
  <si>
    <t>Coluna12349</t>
  </si>
  <si>
    <t>Coluna12350</t>
  </si>
  <si>
    <t>Coluna12351</t>
  </si>
  <si>
    <t>Coluna12352</t>
  </si>
  <si>
    <t>Coluna12353</t>
  </si>
  <si>
    <t>Coluna12354</t>
  </si>
  <si>
    <t>Coluna12355</t>
  </si>
  <si>
    <t>Coluna12356</t>
  </si>
  <si>
    <t>Coluna12357</t>
  </si>
  <si>
    <t>Coluna12358</t>
  </si>
  <si>
    <t>Coluna12359</t>
  </si>
  <si>
    <t>Coluna12360</t>
  </si>
  <si>
    <t>Coluna12361</t>
  </si>
  <si>
    <t>Coluna12362</t>
  </si>
  <si>
    <t>Coluna12363</t>
  </si>
  <si>
    <t>Coluna12364</t>
  </si>
  <si>
    <t>Coluna12365</t>
  </si>
  <si>
    <t>Coluna12366</t>
  </si>
  <si>
    <t>Coluna12367</t>
  </si>
  <si>
    <t>Coluna12368</t>
  </si>
  <si>
    <t>Coluna12369</t>
  </si>
  <si>
    <t>Coluna12370</t>
  </si>
  <si>
    <t>Coluna12371</t>
  </si>
  <si>
    <t>Coluna12372</t>
  </si>
  <si>
    <t>Coluna12373</t>
  </si>
  <si>
    <t>Coluna12374</t>
  </si>
  <si>
    <t>Coluna12375</t>
  </si>
  <si>
    <t>Coluna12376</t>
  </si>
  <si>
    <t>Coluna12377</t>
  </si>
  <si>
    <t>Coluna12378</t>
  </si>
  <si>
    <t>Coluna12379</t>
  </si>
  <si>
    <t>Coluna12380</t>
  </si>
  <si>
    <t>Coluna12381</t>
  </si>
  <si>
    <t>Coluna12382</t>
  </si>
  <si>
    <t>Coluna12383</t>
  </si>
  <si>
    <t>Coluna12384</t>
  </si>
  <si>
    <t>Coluna12385</t>
  </si>
  <si>
    <t>Coluna12386</t>
  </si>
  <si>
    <t>Coluna12387</t>
  </si>
  <si>
    <t>Coluna12388</t>
  </si>
  <si>
    <t>Coluna12389</t>
  </si>
  <si>
    <t>Coluna12390</t>
  </si>
  <si>
    <t>Coluna12391</t>
  </si>
  <si>
    <t>Coluna12392</t>
  </si>
  <si>
    <t>Coluna12393</t>
  </si>
  <si>
    <t>Coluna12394</t>
  </si>
  <si>
    <t>Coluna12395</t>
  </si>
  <si>
    <t>Coluna12396</t>
  </si>
  <si>
    <t>Coluna12397</t>
  </si>
  <si>
    <t>Coluna12398</t>
  </si>
  <si>
    <t>Coluna12399</t>
  </si>
  <si>
    <t>Coluna12400</t>
  </si>
  <si>
    <t>Coluna12401</t>
  </si>
  <si>
    <t>Coluna12402</t>
  </si>
  <si>
    <t>Coluna12403</t>
  </si>
  <si>
    <t>Coluna12404</t>
  </si>
  <si>
    <t>Coluna12405</t>
  </si>
  <si>
    <t>Coluna12406</t>
  </si>
  <si>
    <t>Coluna12407</t>
  </si>
  <si>
    <t>Coluna12408</t>
  </si>
  <si>
    <t>Coluna12409</t>
  </si>
  <si>
    <t>Coluna12410</t>
  </si>
  <si>
    <t>Coluna12411</t>
  </si>
  <si>
    <t>Coluna12412</t>
  </si>
  <si>
    <t>Coluna12413</t>
  </si>
  <si>
    <t>Coluna12414</t>
  </si>
  <si>
    <t>Coluna12415</t>
  </si>
  <si>
    <t>Coluna12416</t>
  </si>
  <si>
    <t>Coluna12417</t>
  </si>
  <si>
    <t>Coluna12418</t>
  </si>
  <si>
    <t>Coluna12419</t>
  </si>
  <si>
    <t>Coluna12420</t>
  </si>
  <si>
    <t>Coluna12421</t>
  </si>
  <si>
    <t>Coluna12422</t>
  </si>
  <si>
    <t>Coluna12423</t>
  </si>
  <si>
    <t>Coluna12424</t>
  </si>
  <si>
    <t>Coluna12425</t>
  </si>
  <si>
    <t>Coluna12426</t>
  </si>
  <si>
    <t>Coluna12427</t>
  </si>
  <si>
    <t>Coluna12428</t>
  </si>
  <si>
    <t>Coluna12429</t>
  </si>
  <si>
    <t>Coluna12430</t>
  </si>
  <si>
    <t>Coluna12431</t>
  </si>
  <si>
    <t>Coluna12432</t>
  </si>
  <si>
    <t>Coluna12433</t>
  </si>
  <si>
    <t>Coluna12434</t>
  </si>
  <si>
    <t>Coluna12435</t>
  </si>
  <si>
    <t>Coluna12436</t>
  </si>
  <si>
    <t>Coluna12437</t>
  </si>
  <si>
    <t>Coluna12438</t>
  </si>
  <si>
    <t>Coluna12439</t>
  </si>
  <si>
    <t>Coluna12440</t>
  </si>
  <si>
    <t>Coluna12441</t>
  </si>
  <si>
    <t>Coluna12442</t>
  </si>
  <si>
    <t>Coluna12443</t>
  </si>
  <si>
    <t>Coluna12444</t>
  </si>
  <si>
    <t>Coluna12445</t>
  </si>
  <si>
    <t>Coluna12446</t>
  </si>
  <si>
    <t>Coluna12447</t>
  </si>
  <si>
    <t>Coluna12448</t>
  </si>
  <si>
    <t>Coluna12449</t>
  </si>
  <si>
    <t>Coluna12450</t>
  </si>
  <si>
    <t>Coluna12451</t>
  </si>
  <si>
    <t>Coluna12452</t>
  </si>
  <si>
    <t>Coluna12453</t>
  </si>
  <si>
    <t>Coluna12454</t>
  </si>
  <si>
    <t>Coluna12455</t>
  </si>
  <si>
    <t>Coluna12456</t>
  </si>
  <si>
    <t>Coluna12457</t>
  </si>
  <si>
    <t>Coluna12458</t>
  </si>
  <si>
    <t>Coluna12459</t>
  </si>
  <si>
    <t>Coluna12460</t>
  </si>
  <si>
    <t>Coluna12461</t>
  </si>
  <si>
    <t>Coluna12462</t>
  </si>
  <si>
    <t>Coluna12463</t>
  </si>
  <si>
    <t>Coluna12464</t>
  </si>
  <si>
    <t>Coluna12465</t>
  </si>
  <si>
    <t>Coluna12466</t>
  </si>
  <si>
    <t>Coluna12467</t>
  </si>
  <si>
    <t>Coluna12468</t>
  </si>
  <si>
    <t>Coluna12469</t>
  </si>
  <si>
    <t>Coluna12470</t>
  </si>
  <si>
    <t>Coluna12471</t>
  </si>
  <si>
    <t>Coluna12472</t>
  </si>
  <si>
    <t>Coluna12473</t>
  </si>
  <si>
    <t>Coluna12474</t>
  </si>
  <si>
    <t>Coluna12475</t>
  </si>
  <si>
    <t>Coluna12476</t>
  </si>
  <si>
    <t>Coluna12477</t>
  </si>
  <si>
    <t>Coluna12478</t>
  </si>
  <si>
    <t>Coluna12479</t>
  </si>
  <si>
    <t>Coluna12480</t>
  </si>
  <si>
    <t>Coluna12481</t>
  </si>
  <si>
    <t>Coluna12482</t>
  </si>
  <si>
    <t>Coluna12483</t>
  </si>
  <si>
    <t>Coluna12484</t>
  </si>
  <si>
    <t>Coluna12485</t>
  </si>
  <si>
    <t>Coluna12486</t>
  </si>
  <si>
    <t>Coluna12487</t>
  </si>
  <si>
    <t>Coluna12488</t>
  </si>
  <si>
    <t>Coluna12489</t>
  </si>
  <si>
    <t>Coluna12490</t>
  </si>
  <si>
    <t>Coluna12491</t>
  </si>
  <si>
    <t>Coluna12492</t>
  </si>
  <si>
    <t>Coluna12493</t>
  </si>
  <si>
    <t>Coluna12494</t>
  </si>
  <si>
    <t>Coluna12495</t>
  </si>
  <si>
    <t>Coluna12496</t>
  </si>
  <si>
    <t>Coluna12497</t>
  </si>
  <si>
    <t>Coluna12498</t>
  </si>
  <si>
    <t>Coluna12499</t>
  </si>
  <si>
    <t>Coluna12500</t>
  </si>
  <si>
    <t>Coluna12501</t>
  </si>
  <si>
    <t>Coluna12502</t>
  </si>
  <si>
    <t>Coluna12503</t>
  </si>
  <si>
    <t>Coluna12504</t>
  </si>
  <si>
    <t>Coluna12505</t>
  </si>
  <si>
    <t>Coluna12506</t>
  </si>
  <si>
    <t>Coluna12507</t>
  </si>
  <si>
    <t>Coluna12508</t>
  </si>
  <si>
    <t>Coluna12509</t>
  </si>
  <si>
    <t>Coluna12510</t>
  </si>
  <si>
    <t>Coluna12511</t>
  </si>
  <si>
    <t>Coluna12512</t>
  </si>
  <si>
    <t>Coluna12513</t>
  </si>
  <si>
    <t>Coluna12514</t>
  </si>
  <si>
    <t>Coluna12515</t>
  </si>
  <si>
    <t>Coluna12516</t>
  </si>
  <si>
    <t>Coluna12517</t>
  </si>
  <si>
    <t>Coluna12518</t>
  </si>
  <si>
    <t>Coluna12519</t>
  </si>
  <si>
    <t>Coluna12520</t>
  </si>
  <si>
    <t>Coluna12521</t>
  </si>
  <si>
    <t>Coluna12522</t>
  </si>
  <si>
    <t>Coluna12523</t>
  </si>
  <si>
    <t>Coluna12524</t>
  </si>
  <si>
    <t>Coluna12525</t>
  </si>
  <si>
    <t>Coluna12526</t>
  </si>
  <si>
    <t>Coluna12527</t>
  </si>
  <si>
    <t>Coluna12528</t>
  </si>
  <si>
    <t>Coluna12529</t>
  </si>
  <si>
    <t>Coluna12530</t>
  </si>
  <si>
    <t>Coluna12531</t>
  </si>
  <si>
    <t>Coluna12532</t>
  </si>
  <si>
    <t>Coluna12533</t>
  </si>
  <si>
    <t>Coluna12534</t>
  </si>
  <si>
    <t>Coluna12535</t>
  </si>
  <si>
    <t>Coluna12536</t>
  </si>
  <si>
    <t>Coluna12537</t>
  </si>
  <si>
    <t>Coluna12538</t>
  </si>
  <si>
    <t>Coluna12539</t>
  </si>
  <si>
    <t>Coluna12540</t>
  </si>
  <si>
    <t>Coluna12541</t>
  </si>
  <si>
    <t>Coluna12542</t>
  </si>
  <si>
    <t>Coluna12543</t>
  </si>
  <si>
    <t>Coluna12544</t>
  </si>
  <si>
    <t>Coluna12545</t>
  </si>
  <si>
    <t>Coluna12546</t>
  </si>
  <si>
    <t>Coluna12547</t>
  </si>
  <si>
    <t>Coluna12548</t>
  </si>
  <si>
    <t>Coluna12549</t>
  </si>
  <si>
    <t>Coluna12550</t>
  </si>
  <si>
    <t>Coluna12551</t>
  </si>
  <si>
    <t>Coluna12552</t>
  </si>
  <si>
    <t>Coluna12553</t>
  </si>
  <si>
    <t>Coluna12554</t>
  </si>
  <si>
    <t>Coluna12555</t>
  </si>
  <si>
    <t>Coluna12556</t>
  </si>
  <si>
    <t>Coluna12557</t>
  </si>
  <si>
    <t>Coluna12558</t>
  </si>
  <si>
    <t>Coluna12559</t>
  </si>
  <si>
    <t>Coluna12560</t>
  </si>
  <si>
    <t>Coluna12561</t>
  </si>
  <si>
    <t>Coluna12562</t>
  </si>
  <si>
    <t>Coluna12563</t>
  </si>
  <si>
    <t>Coluna12564</t>
  </si>
  <si>
    <t>Coluna12565</t>
  </si>
  <si>
    <t>Coluna12566</t>
  </si>
  <si>
    <t>Coluna12567</t>
  </si>
  <si>
    <t>Coluna12568</t>
  </si>
  <si>
    <t>Coluna12569</t>
  </si>
  <si>
    <t>Coluna12570</t>
  </si>
  <si>
    <t>Coluna12571</t>
  </si>
  <si>
    <t>Coluna12572</t>
  </si>
  <si>
    <t>Coluna12573</t>
  </si>
  <si>
    <t>Coluna12574</t>
  </si>
  <si>
    <t>Coluna12575</t>
  </si>
  <si>
    <t>Coluna12576</t>
  </si>
  <si>
    <t>Coluna12577</t>
  </si>
  <si>
    <t>Coluna12578</t>
  </si>
  <si>
    <t>Coluna12579</t>
  </si>
  <si>
    <t>Coluna12580</t>
  </si>
  <si>
    <t>Coluna12581</t>
  </si>
  <si>
    <t>Coluna12582</t>
  </si>
  <si>
    <t>Coluna12583</t>
  </si>
  <si>
    <t>Coluna12584</t>
  </si>
  <si>
    <t>Coluna12585</t>
  </si>
  <si>
    <t>Coluna12586</t>
  </si>
  <si>
    <t>Coluna12587</t>
  </si>
  <si>
    <t>Coluna12588</t>
  </si>
  <si>
    <t>Coluna12589</t>
  </si>
  <si>
    <t>Coluna12590</t>
  </si>
  <si>
    <t>Coluna12591</t>
  </si>
  <si>
    <t>Coluna12592</t>
  </si>
  <si>
    <t>Coluna12593</t>
  </si>
  <si>
    <t>Coluna12594</t>
  </si>
  <si>
    <t>Coluna12595</t>
  </si>
  <si>
    <t>Coluna12596</t>
  </si>
  <si>
    <t>Coluna12597</t>
  </si>
  <si>
    <t>Coluna12598</t>
  </si>
  <si>
    <t>Coluna12599</t>
  </si>
  <si>
    <t>Coluna12600</t>
  </si>
  <si>
    <t>Coluna12601</t>
  </si>
  <si>
    <t>Coluna12602</t>
  </si>
  <si>
    <t>Coluna12603</t>
  </si>
  <si>
    <t>Coluna12604</t>
  </si>
  <si>
    <t>Coluna12605</t>
  </si>
  <si>
    <t>Coluna12606</t>
  </si>
  <si>
    <t>Coluna12607</t>
  </si>
  <si>
    <t>Coluna12608</t>
  </si>
  <si>
    <t>Coluna12609</t>
  </si>
  <si>
    <t>Coluna12610</t>
  </si>
  <si>
    <t>Coluna12611</t>
  </si>
  <si>
    <t>Coluna12612</t>
  </si>
  <si>
    <t>Coluna12613</t>
  </si>
  <si>
    <t>Coluna12614</t>
  </si>
  <si>
    <t>Coluna12615</t>
  </si>
  <si>
    <t>Coluna12616</t>
  </si>
  <si>
    <t>Coluna12617</t>
  </si>
  <si>
    <t>Coluna12618</t>
  </si>
  <si>
    <t>Coluna12619</t>
  </si>
  <si>
    <t>Coluna12620</t>
  </si>
  <si>
    <t>Coluna12621</t>
  </si>
  <si>
    <t>Coluna12622</t>
  </si>
  <si>
    <t>Coluna12623</t>
  </si>
  <si>
    <t>Coluna12624</t>
  </si>
  <si>
    <t>Coluna12625</t>
  </si>
  <si>
    <t>Coluna12626</t>
  </si>
  <si>
    <t>Coluna12627</t>
  </si>
  <si>
    <t>Coluna12628</t>
  </si>
  <si>
    <t>Coluna12629</t>
  </si>
  <si>
    <t>Coluna12630</t>
  </si>
  <si>
    <t>Coluna12631</t>
  </si>
  <si>
    <t>Coluna12632</t>
  </si>
  <si>
    <t>Coluna12633</t>
  </si>
  <si>
    <t>Coluna12634</t>
  </si>
  <si>
    <t>Coluna12635</t>
  </si>
  <si>
    <t>Coluna12636</t>
  </si>
  <si>
    <t>Coluna12637</t>
  </si>
  <si>
    <t>Coluna12638</t>
  </si>
  <si>
    <t>Coluna12639</t>
  </si>
  <si>
    <t>Coluna12640</t>
  </si>
  <si>
    <t>Coluna12641</t>
  </si>
  <si>
    <t>Coluna12642</t>
  </si>
  <si>
    <t>Coluna12643</t>
  </si>
  <si>
    <t>Coluna12644</t>
  </si>
  <si>
    <t>Coluna12645</t>
  </si>
  <si>
    <t>Coluna12646</t>
  </si>
  <si>
    <t>Coluna12647</t>
  </si>
  <si>
    <t>Coluna12648</t>
  </si>
  <si>
    <t>Coluna12649</t>
  </si>
  <si>
    <t>Coluna12650</t>
  </si>
  <si>
    <t>Coluna12651</t>
  </si>
  <si>
    <t>Coluna12652</t>
  </si>
  <si>
    <t>Coluna12653</t>
  </si>
  <si>
    <t>Coluna12654</t>
  </si>
  <si>
    <t>Coluna12655</t>
  </si>
  <si>
    <t>Coluna12656</t>
  </si>
  <si>
    <t>Coluna12657</t>
  </si>
  <si>
    <t>Coluna12658</t>
  </si>
  <si>
    <t>Coluna12659</t>
  </si>
  <si>
    <t>Coluna12660</t>
  </si>
  <si>
    <t>Coluna12661</t>
  </si>
  <si>
    <t>Coluna12662</t>
  </si>
  <si>
    <t>Coluna12663</t>
  </si>
  <si>
    <t>Coluna12664</t>
  </si>
  <si>
    <t>Coluna12665</t>
  </si>
  <si>
    <t>Coluna12666</t>
  </si>
  <si>
    <t>Coluna12667</t>
  </si>
  <si>
    <t>Coluna12668</t>
  </si>
  <si>
    <t>Coluna12669</t>
  </si>
  <si>
    <t>Coluna12670</t>
  </si>
  <si>
    <t>Coluna12671</t>
  </si>
  <si>
    <t>Coluna12672</t>
  </si>
  <si>
    <t>Coluna12673</t>
  </si>
  <si>
    <t>Coluna12674</t>
  </si>
  <si>
    <t>Coluna12675</t>
  </si>
  <si>
    <t>Coluna12676</t>
  </si>
  <si>
    <t>Coluna12677</t>
  </si>
  <si>
    <t>Coluna12678</t>
  </si>
  <si>
    <t>Coluna12679</t>
  </si>
  <si>
    <t>Coluna12680</t>
  </si>
  <si>
    <t>Coluna12681</t>
  </si>
  <si>
    <t>Coluna12682</t>
  </si>
  <si>
    <t>Coluna12683</t>
  </si>
  <si>
    <t>Coluna12684</t>
  </si>
  <si>
    <t>Coluna12685</t>
  </si>
  <si>
    <t>Coluna12686</t>
  </si>
  <si>
    <t>Coluna12687</t>
  </si>
  <si>
    <t>Coluna12688</t>
  </si>
  <si>
    <t>Coluna12689</t>
  </si>
  <si>
    <t>Coluna12690</t>
  </si>
  <si>
    <t>Coluna12691</t>
  </si>
  <si>
    <t>Coluna12692</t>
  </si>
  <si>
    <t>Coluna12693</t>
  </si>
  <si>
    <t>Coluna12694</t>
  </si>
  <si>
    <t>Coluna12695</t>
  </si>
  <si>
    <t>Coluna12696</t>
  </si>
  <si>
    <t>Coluna12697</t>
  </si>
  <si>
    <t>Coluna12698</t>
  </si>
  <si>
    <t>Coluna12699</t>
  </si>
  <si>
    <t>Coluna12700</t>
  </si>
  <si>
    <t>Coluna12701</t>
  </si>
  <si>
    <t>Coluna12702</t>
  </si>
  <si>
    <t>Coluna12703</t>
  </si>
  <si>
    <t>Coluna12704</t>
  </si>
  <si>
    <t>Coluna12705</t>
  </si>
  <si>
    <t>Coluna12706</t>
  </si>
  <si>
    <t>Coluna12707</t>
  </si>
  <si>
    <t>Coluna12708</t>
  </si>
  <si>
    <t>Coluna12709</t>
  </si>
  <si>
    <t>Coluna12710</t>
  </si>
  <si>
    <t>Coluna12711</t>
  </si>
  <si>
    <t>Coluna12712</t>
  </si>
  <si>
    <t>Coluna12713</t>
  </si>
  <si>
    <t>Coluna12714</t>
  </si>
  <si>
    <t>Coluna12715</t>
  </si>
  <si>
    <t>Coluna12716</t>
  </si>
  <si>
    <t>Coluna12717</t>
  </si>
  <si>
    <t>Coluna12718</t>
  </si>
  <si>
    <t>Coluna12719</t>
  </si>
  <si>
    <t>Coluna12720</t>
  </si>
  <si>
    <t>Coluna12721</t>
  </si>
  <si>
    <t>Coluna12722</t>
  </si>
  <si>
    <t>Coluna12723</t>
  </si>
  <si>
    <t>Coluna12724</t>
  </si>
  <si>
    <t>Coluna12725</t>
  </si>
  <si>
    <t>Coluna12726</t>
  </si>
  <si>
    <t>Coluna12727</t>
  </si>
  <si>
    <t>Coluna12728</t>
  </si>
  <si>
    <t>Coluna12729</t>
  </si>
  <si>
    <t>Coluna12730</t>
  </si>
  <si>
    <t>Coluna12731</t>
  </si>
  <si>
    <t>Coluna12732</t>
  </si>
  <si>
    <t>Coluna12733</t>
  </si>
  <si>
    <t>Coluna12734</t>
  </si>
  <si>
    <t>Coluna12735</t>
  </si>
  <si>
    <t>Coluna12736</t>
  </si>
  <si>
    <t>Coluna12737</t>
  </si>
  <si>
    <t>Coluna12738</t>
  </si>
  <si>
    <t>Coluna12739</t>
  </si>
  <si>
    <t>Coluna12740</t>
  </si>
  <si>
    <t>Coluna12741</t>
  </si>
  <si>
    <t>Coluna12742</t>
  </si>
  <si>
    <t>Coluna12743</t>
  </si>
  <si>
    <t>Coluna12744</t>
  </si>
  <si>
    <t>Coluna12745</t>
  </si>
  <si>
    <t>Coluna12746</t>
  </si>
  <si>
    <t>Coluna12747</t>
  </si>
  <si>
    <t>Coluna12748</t>
  </si>
  <si>
    <t>Coluna12749</t>
  </si>
  <si>
    <t>Coluna12750</t>
  </si>
  <si>
    <t>Coluna12751</t>
  </si>
  <si>
    <t>Coluna12752</t>
  </si>
  <si>
    <t>Coluna12753</t>
  </si>
  <si>
    <t>Coluna12754</t>
  </si>
  <si>
    <t>Coluna12755</t>
  </si>
  <si>
    <t>Coluna12756</t>
  </si>
  <si>
    <t>Coluna12757</t>
  </si>
  <si>
    <t>Coluna12758</t>
  </si>
  <si>
    <t>Coluna12759</t>
  </si>
  <si>
    <t>Coluna12760</t>
  </si>
  <si>
    <t>Coluna12761</t>
  </si>
  <si>
    <t>Coluna12762</t>
  </si>
  <si>
    <t>Coluna12763</t>
  </si>
  <si>
    <t>Coluna12764</t>
  </si>
  <si>
    <t>Coluna12765</t>
  </si>
  <si>
    <t>Coluna12766</t>
  </si>
  <si>
    <t>Coluna12767</t>
  </si>
  <si>
    <t>Coluna12768</t>
  </si>
  <si>
    <t>Coluna12769</t>
  </si>
  <si>
    <t>Coluna12770</t>
  </si>
  <si>
    <t>Coluna12771</t>
  </si>
  <si>
    <t>Coluna12772</t>
  </si>
  <si>
    <t>Coluna12773</t>
  </si>
  <si>
    <t>Coluna12774</t>
  </si>
  <si>
    <t>Coluna12775</t>
  </si>
  <si>
    <t>Coluna12776</t>
  </si>
  <si>
    <t>Coluna12777</t>
  </si>
  <si>
    <t>Coluna12778</t>
  </si>
  <si>
    <t>Coluna12779</t>
  </si>
  <si>
    <t>Coluna12780</t>
  </si>
  <si>
    <t>Coluna12781</t>
  </si>
  <si>
    <t>Coluna12782</t>
  </si>
  <si>
    <t>Coluna12783</t>
  </si>
  <si>
    <t>Coluna12784</t>
  </si>
  <si>
    <t>Coluna12785</t>
  </si>
  <si>
    <t>Coluna12786</t>
  </si>
  <si>
    <t>Coluna12787</t>
  </si>
  <si>
    <t>Coluna12788</t>
  </si>
  <si>
    <t>Coluna12789</t>
  </si>
  <si>
    <t>Coluna12790</t>
  </si>
  <si>
    <t>Coluna12791</t>
  </si>
  <si>
    <t>Coluna12792</t>
  </si>
  <si>
    <t>Coluna12793</t>
  </si>
  <si>
    <t>Coluna12794</t>
  </si>
  <si>
    <t>Coluna12795</t>
  </si>
  <si>
    <t>Coluna12796</t>
  </si>
  <si>
    <t>Coluna12797</t>
  </si>
  <si>
    <t>Coluna12798</t>
  </si>
  <si>
    <t>Coluna12799</t>
  </si>
  <si>
    <t>Coluna12800</t>
  </si>
  <si>
    <t>Coluna12801</t>
  </si>
  <si>
    <t>Coluna12802</t>
  </si>
  <si>
    <t>Coluna12803</t>
  </si>
  <si>
    <t>Coluna12804</t>
  </si>
  <si>
    <t>Coluna12805</t>
  </si>
  <si>
    <t>Coluna12806</t>
  </si>
  <si>
    <t>Coluna12807</t>
  </si>
  <si>
    <t>Coluna12808</t>
  </si>
  <si>
    <t>Coluna12809</t>
  </si>
  <si>
    <t>Coluna12810</t>
  </si>
  <si>
    <t>Coluna12811</t>
  </si>
  <si>
    <t>Coluna12812</t>
  </si>
  <si>
    <t>Coluna12813</t>
  </si>
  <si>
    <t>Coluna12814</t>
  </si>
  <si>
    <t>Coluna12815</t>
  </si>
  <si>
    <t>Coluna12816</t>
  </si>
  <si>
    <t>Coluna12817</t>
  </si>
  <si>
    <t>Coluna12818</t>
  </si>
  <si>
    <t>Coluna12819</t>
  </si>
  <si>
    <t>Coluna12820</t>
  </si>
  <si>
    <t>Coluna12821</t>
  </si>
  <si>
    <t>Coluna12822</t>
  </si>
  <si>
    <t>Coluna12823</t>
  </si>
  <si>
    <t>Coluna12824</t>
  </si>
  <si>
    <t>Coluna12825</t>
  </si>
  <si>
    <t>Coluna12826</t>
  </si>
  <si>
    <t>Coluna12827</t>
  </si>
  <si>
    <t>Coluna12828</t>
  </si>
  <si>
    <t>Coluna12829</t>
  </si>
  <si>
    <t>Coluna12830</t>
  </si>
  <si>
    <t>Coluna12831</t>
  </si>
  <si>
    <t>Coluna12832</t>
  </si>
  <si>
    <t>Coluna12833</t>
  </si>
  <si>
    <t>Coluna12834</t>
  </si>
  <si>
    <t>Coluna12835</t>
  </si>
  <si>
    <t>Coluna12836</t>
  </si>
  <si>
    <t>Coluna12837</t>
  </si>
  <si>
    <t>Coluna12838</t>
  </si>
  <si>
    <t>Coluna12839</t>
  </si>
  <si>
    <t>Coluna12840</t>
  </si>
  <si>
    <t>Coluna12841</t>
  </si>
  <si>
    <t>Coluna12842</t>
  </si>
  <si>
    <t>Coluna12843</t>
  </si>
  <si>
    <t>Coluna12844</t>
  </si>
  <si>
    <t>Coluna12845</t>
  </si>
  <si>
    <t>Coluna12846</t>
  </si>
  <si>
    <t>Coluna12847</t>
  </si>
  <si>
    <t>Coluna12848</t>
  </si>
  <si>
    <t>Coluna12849</t>
  </si>
  <si>
    <t>Coluna12850</t>
  </si>
  <si>
    <t>Coluna12851</t>
  </si>
  <si>
    <t>Coluna12852</t>
  </si>
  <si>
    <t>Coluna12853</t>
  </si>
  <si>
    <t>Coluna12854</t>
  </si>
  <si>
    <t>Coluna12855</t>
  </si>
  <si>
    <t>Coluna12856</t>
  </si>
  <si>
    <t>Coluna12857</t>
  </si>
  <si>
    <t>Coluna12858</t>
  </si>
  <si>
    <t>Coluna12859</t>
  </si>
  <si>
    <t>Coluna12860</t>
  </si>
  <si>
    <t>Coluna12861</t>
  </si>
  <si>
    <t>Coluna12862</t>
  </si>
  <si>
    <t>Coluna12863</t>
  </si>
  <si>
    <t>Coluna12864</t>
  </si>
  <si>
    <t>Coluna12865</t>
  </si>
  <si>
    <t>Coluna12866</t>
  </si>
  <si>
    <t>Coluna12867</t>
  </si>
  <si>
    <t>Coluna12868</t>
  </si>
  <si>
    <t>Coluna12869</t>
  </si>
  <si>
    <t>Coluna12870</t>
  </si>
  <si>
    <t>Coluna12871</t>
  </si>
  <si>
    <t>Coluna12872</t>
  </si>
  <si>
    <t>Coluna12873</t>
  </si>
  <si>
    <t>Coluna12874</t>
  </si>
  <si>
    <t>Coluna12875</t>
  </si>
  <si>
    <t>Coluna12876</t>
  </si>
  <si>
    <t>Coluna12877</t>
  </si>
  <si>
    <t>Coluna12878</t>
  </si>
  <si>
    <t>Coluna12879</t>
  </si>
  <si>
    <t>Coluna12880</t>
  </si>
  <si>
    <t>Coluna12881</t>
  </si>
  <si>
    <t>Coluna12882</t>
  </si>
  <si>
    <t>Coluna12883</t>
  </si>
  <si>
    <t>Coluna12884</t>
  </si>
  <si>
    <t>Coluna12885</t>
  </si>
  <si>
    <t>Coluna12886</t>
  </si>
  <si>
    <t>Coluna12887</t>
  </si>
  <si>
    <t>Coluna12888</t>
  </si>
  <si>
    <t>Coluna12889</t>
  </si>
  <si>
    <t>Coluna12890</t>
  </si>
  <si>
    <t>Coluna12891</t>
  </si>
  <si>
    <t>Coluna12892</t>
  </si>
  <si>
    <t>Coluna12893</t>
  </si>
  <si>
    <t>Coluna12894</t>
  </si>
  <si>
    <t>Coluna12895</t>
  </si>
  <si>
    <t>Coluna12896</t>
  </si>
  <si>
    <t>Coluna12897</t>
  </si>
  <si>
    <t>Coluna12898</t>
  </si>
  <si>
    <t>Coluna12899</t>
  </si>
  <si>
    <t>Coluna12900</t>
  </si>
  <si>
    <t>Coluna12901</t>
  </si>
  <si>
    <t>Coluna12902</t>
  </si>
  <si>
    <t>Coluna12903</t>
  </si>
  <si>
    <t>Coluna12904</t>
  </si>
  <si>
    <t>Coluna12905</t>
  </si>
  <si>
    <t>Coluna12906</t>
  </si>
  <si>
    <t>Coluna12907</t>
  </si>
  <si>
    <t>Coluna12908</t>
  </si>
  <si>
    <t>Coluna12909</t>
  </si>
  <si>
    <t>Coluna12910</t>
  </si>
  <si>
    <t>Coluna12911</t>
  </si>
  <si>
    <t>Coluna12912</t>
  </si>
  <si>
    <t>Coluna12913</t>
  </si>
  <si>
    <t>Coluna12914</t>
  </si>
  <si>
    <t>Coluna12915</t>
  </si>
  <si>
    <t>Coluna12916</t>
  </si>
  <si>
    <t>Coluna12917</t>
  </si>
  <si>
    <t>Coluna12918</t>
  </si>
  <si>
    <t>Coluna12919</t>
  </si>
  <si>
    <t>Coluna12920</t>
  </si>
  <si>
    <t>Coluna12921</t>
  </si>
  <si>
    <t>Coluna12922</t>
  </si>
  <si>
    <t>Coluna12923</t>
  </si>
  <si>
    <t>Coluna12924</t>
  </si>
  <si>
    <t>Coluna12925</t>
  </si>
  <si>
    <t>Coluna12926</t>
  </si>
  <si>
    <t>Coluna12927</t>
  </si>
  <si>
    <t>Coluna12928</t>
  </si>
  <si>
    <t>Coluna12929</t>
  </si>
  <si>
    <t>Coluna12930</t>
  </si>
  <si>
    <t>Coluna12931</t>
  </si>
  <si>
    <t>Coluna12932</t>
  </si>
  <si>
    <t>Coluna12933</t>
  </si>
  <si>
    <t>Coluna12934</t>
  </si>
  <si>
    <t>Coluna12935</t>
  </si>
  <si>
    <t>Coluna12936</t>
  </si>
  <si>
    <t>Coluna12937</t>
  </si>
  <si>
    <t>Coluna12938</t>
  </si>
  <si>
    <t>Coluna12939</t>
  </si>
  <si>
    <t>Coluna12940</t>
  </si>
  <si>
    <t>Coluna12941</t>
  </si>
  <si>
    <t>Coluna12942</t>
  </si>
  <si>
    <t>Coluna12943</t>
  </si>
  <si>
    <t>Coluna12944</t>
  </si>
  <si>
    <t>Coluna12945</t>
  </si>
  <si>
    <t>Coluna12946</t>
  </si>
  <si>
    <t>Coluna12947</t>
  </si>
  <si>
    <t>Coluna12948</t>
  </si>
  <si>
    <t>Coluna12949</t>
  </si>
  <si>
    <t>Coluna12950</t>
  </si>
  <si>
    <t>Coluna12951</t>
  </si>
  <si>
    <t>Coluna12952</t>
  </si>
  <si>
    <t>Coluna12953</t>
  </si>
  <si>
    <t>Coluna12954</t>
  </si>
  <si>
    <t>Coluna12955</t>
  </si>
  <si>
    <t>Coluna12956</t>
  </si>
  <si>
    <t>Coluna12957</t>
  </si>
  <si>
    <t>Coluna12958</t>
  </si>
  <si>
    <t>Coluna12959</t>
  </si>
  <si>
    <t>Coluna12960</t>
  </si>
  <si>
    <t>Coluna12961</t>
  </si>
  <si>
    <t>Coluna12962</t>
  </si>
  <si>
    <t>Coluna12963</t>
  </si>
  <si>
    <t>Coluna12964</t>
  </si>
  <si>
    <t>Coluna12965</t>
  </si>
  <si>
    <t>Coluna12966</t>
  </si>
  <si>
    <t>Coluna12967</t>
  </si>
  <si>
    <t>Coluna12968</t>
  </si>
  <si>
    <t>Coluna12969</t>
  </si>
  <si>
    <t>Coluna12970</t>
  </si>
  <si>
    <t>Coluna12971</t>
  </si>
  <si>
    <t>Coluna12972</t>
  </si>
  <si>
    <t>Coluna12973</t>
  </si>
  <si>
    <t>Coluna12974</t>
  </si>
  <si>
    <t>Coluna12975</t>
  </si>
  <si>
    <t>Coluna12976</t>
  </si>
  <si>
    <t>Coluna12977</t>
  </si>
  <si>
    <t>Coluna12978</t>
  </si>
  <si>
    <t>Coluna12979</t>
  </si>
  <si>
    <t>Coluna12980</t>
  </si>
  <si>
    <t>Coluna12981</t>
  </si>
  <si>
    <t>Coluna12982</t>
  </si>
  <si>
    <t>Coluna12983</t>
  </si>
  <si>
    <t>Coluna12984</t>
  </si>
  <si>
    <t>Coluna12985</t>
  </si>
  <si>
    <t>Coluna12986</t>
  </si>
  <si>
    <t>Coluna12987</t>
  </si>
  <si>
    <t>Coluna12988</t>
  </si>
  <si>
    <t>Coluna12989</t>
  </si>
  <si>
    <t>Coluna12990</t>
  </si>
  <si>
    <t>Coluna12991</t>
  </si>
  <si>
    <t>Coluna12992</t>
  </si>
  <si>
    <t>Coluna12993</t>
  </si>
  <si>
    <t>Coluna12994</t>
  </si>
  <si>
    <t>Coluna12995</t>
  </si>
  <si>
    <t>Coluna12996</t>
  </si>
  <si>
    <t>Coluna12997</t>
  </si>
  <si>
    <t>Coluna12998</t>
  </si>
  <si>
    <t>Coluna12999</t>
  </si>
  <si>
    <t>Coluna13000</t>
  </si>
  <si>
    <t>Coluna13001</t>
  </si>
  <si>
    <t>Coluna13002</t>
  </si>
  <si>
    <t>Coluna13003</t>
  </si>
  <si>
    <t>Coluna13004</t>
  </si>
  <si>
    <t>Coluna13005</t>
  </si>
  <si>
    <t>Coluna13006</t>
  </si>
  <si>
    <t>Coluna13007</t>
  </si>
  <si>
    <t>Coluna13008</t>
  </si>
  <si>
    <t>Coluna13009</t>
  </si>
  <si>
    <t>Coluna13010</t>
  </si>
  <si>
    <t>Coluna13011</t>
  </si>
  <si>
    <t>Coluna13012</t>
  </si>
  <si>
    <t>Coluna13013</t>
  </si>
  <si>
    <t>Coluna13014</t>
  </si>
  <si>
    <t>Coluna13015</t>
  </si>
  <si>
    <t>Coluna13016</t>
  </si>
  <si>
    <t>Coluna13017</t>
  </si>
  <si>
    <t>Coluna13018</t>
  </si>
  <si>
    <t>Coluna13019</t>
  </si>
  <si>
    <t>Coluna13020</t>
  </si>
  <si>
    <t>Coluna13021</t>
  </si>
  <si>
    <t>Coluna13022</t>
  </si>
  <si>
    <t>Coluna13023</t>
  </si>
  <si>
    <t>Coluna13024</t>
  </si>
  <si>
    <t>Coluna13025</t>
  </si>
  <si>
    <t>Coluna13026</t>
  </si>
  <si>
    <t>Coluna13027</t>
  </si>
  <si>
    <t>Coluna13028</t>
  </si>
  <si>
    <t>Coluna13029</t>
  </si>
  <si>
    <t>Coluna13030</t>
  </si>
  <si>
    <t>Coluna13031</t>
  </si>
  <si>
    <t>Coluna13032</t>
  </si>
  <si>
    <t>Coluna13033</t>
  </si>
  <si>
    <t>Coluna13034</t>
  </si>
  <si>
    <t>Coluna13035</t>
  </si>
  <si>
    <t>Coluna13036</t>
  </si>
  <si>
    <t>Coluna13037</t>
  </si>
  <si>
    <t>Coluna13038</t>
  </si>
  <si>
    <t>Coluna13039</t>
  </si>
  <si>
    <t>Coluna13040</t>
  </si>
  <si>
    <t>Coluna13041</t>
  </si>
  <si>
    <t>Coluna13042</t>
  </si>
  <si>
    <t>Coluna13043</t>
  </si>
  <si>
    <t>Coluna13044</t>
  </si>
  <si>
    <t>Coluna13045</t>
  </si>
  <si>
    <t>Coluna13046</t>
  </si>
  <si>
    <t>Coluna13047</t>
  </si>
  <si>
    <t>Coluna13048</t>
  </si>
  <si>
    <t>Coluna13049</t>
  </si>
  <si>
    <t>Coluna13050</t>
  </si>
  <si>
    <t>Coluna13051</t>
  </si>
  <si>
    <t>Coluna13052</t>
  </si>
  <si>
    <t>Coluna13053</t>
  </si>
  <si>
    <t>Coluna13054</t>
  </si>
  <si>
    <t>Coluna13055</t>
  </si>
  <si>
    <t>Coluna13056</t>
  </si>
  <si>
    <t>Coluna13057</t>
  </si>
  <si>
    <t>Coluna13058</t>
  </si>
  <si>
    <t>Coluna13059</t>
  </si>
  <si>
    <t>Coluna13060</t>
  </si>
  <si>
    <t>Coluna13061</t>
  </si>
  <si>
    <t>Coluna13062</t>
  </si>
  <si>
    <t>Coluna13063</t>
  </si>
  <si>
    <t>Coluna13064</t>
  </si>
  <si>
    <t>Coluna13065</t>
  </si>
  <si>
    <t>Coluna13066</t>
  </si>
  <si>
    <t>Coluna13067</t>
  </si>
  <si>
    <t>Coluna13068</t>
  </si>
  <si>
    <t>Coluna13069</t>
  </si>
  <si>
    <t>Coluna13070</t>
  </si>
  <si>
    <t>Coluna13071</t>
  </si>
  <si>
    <t>Coluna13072</t>
  </si>
  <si>
    <t>Coluna13073</t>
  </si>
  <si>
    <t>Coluna13074</t>
  </si>
  <si>
    <t>Coluna13075</t>
  </si>
  <si>
    <t>Coluna13076</t>
  </si>
  <si>
    <t>Coluna13077</t>
  </si>
  <si>
    <t>Coluna13078</t>
  </si>
  <si>
    <t>Coluna13079</t>
  </si>
  <si>
    <t>Coluna13080</t>
  </si>
  <si>
    <t>Coluna13081</t>
  </si>
  <si>
    <t>Coluna13082</t>
  </si>
  <si>
    <t>Coluna13083</t>
  </si>
  <si>
    <t>Coluna13084</t>
  </si>
  <si>
    <t>Coluna13085</t>
  </si>
  <si>
    <t>Coluna13086</t>
  </si>
  <si>
    <t>Coluna13087</t>
  </si>
  <si>
    <t>Coluna13088</t>
  </si>
  <si>
    <t>Coluna13089</t>
  </si>
  <si>
    <t>Coluna13090</t>
  </si>
  <si>
    <t>Coluna13091</t>
  </si>
  <si>
    <t>Coluna13092</t>
  </si>
  <si>
    <t>Coluna13093</t>
  </si>
  <si>
    <t>Coluna13094</t>
  </si>
  <si>
    <t>Coluna13095</t>
  </si>
  <si>
    <t>Coluna13096</t>
  </si>
  <si>
    <t>Coluna13097</t>
  </si>
  <si>
    <t>Coluna13098</t>
  </si>
  <si>
    <t>Coluna13099</t>
  </si>
  <si>
    <t>Coluna13100</t>
  </si>
  <si>
    <t>Coluna13101</t>
  </si>
  <si>
    <t>Coluna13102</t>
  </si>
  <si>
    <t>Coluna13103</t>
  </si>
  <si>
    <t>Coluna13104</t>
  </si>
  <si>
    <t>Coluna13105</t>
  </si>
  <si>
    <t>Coluna13106</t>
  </si>
  <si>
    <t>Coluna13107</t>
  </si>
  <si>
    <t>Coluna13108</t>
  </si>
  <si>
    <t>Coluna13109</t>
  </si>
  <si>
    <t>Coluna13110</t>
  </si>
  <si>
    <t>Coluna13111</t>
  </si>
  <si>
    <t>Coluna13112</t>
  </si>
  <si>
    <t>Coluna13113</t>
  </si>
  <si>
    <t>Coluna13114</t>
  </si>
  <si>
    <t>Coluna13115</t>
  </si>
  <si>
    <t>Coluna13116</t>
  </si>
  <si>
    <t>Coluna13117</t>
  </si>
  <si>
    <t>Coluna13118</t>
  </si>
  <si>
    <t>Coluna13119</t>
  </si>
  <si>
    <t>Coluna13120</t>
  </si>
  <si>
    <t>Coluna13121</t>
  </si>
  <si>
    <t>Coluna13122</t>
  </si>
  <si>
    <t>Coluna13123</t>
  </si>
  <si>
    <t>Coluna13124</t>
  </si>
  <si>
    <t>Coluna13125</t>
  </si>
  <si>
    <t>Coluna13126</t>
  </si>
  <si>
    <t>Coluna13127</t>
  </si>
  <si>
    <t>Coluna13128</t>
  </si>
  <si>
    <t>Coluna13129</t>
  </si>
  <si>
    <t>Coluna13130</t>
  </si>
  <si>
    <t>Coluna13131</t>
  </si>
  <si>
    <t>Coluna13132</t>
  </si>
  <si>
    <t>Coluna13133</t>
  </si>
  <si>
    <t>Coluna13134</t>
  </si>
  <si>
    <t>Coluna13135</t>
  </si>
  <si>
    <t>Coluna13136</t>
  </si>
  <si>
    <t>Coluna13137</t>
  </si>
  <si>
    <t>Coluna13138</t>
  </si>
  <si>
    <t>Coluna13139</t>
  </si>
  <si>
    <t>Coluna13140</t>
  </si>
  <si>
    <t>Coluna13141</t>
  </si>
  <si>
    <t>Coluna13142</t>
  </si>
  <si>
    <t>Coluna13143</t>
  </si>
  <si>
    <t>Coluna13144</t>
  </si>
  <si>
    <t>Coluna13145</t>
  </si>
  <si>
    <t>Coluna13146</t>
  </si>
  <si>
    <t>Coluna13147</t>
  </si>
  <si>
    <t>Coluna13148</t>
  </si>
  <si>
    <t>Coluna13149</t>
  </si>
  <si>
    <t>Coluna13150</t>
  </si>
  <si>
    <t>Coluna13151</t>
  </si>
  <si>
    <t>Coluna13152</t>
  </si>
  <si>
    <t>Coluna13153</t>
  </si>
  <si>
    <t>Coluna13154</t>
  </si>
  <si>
    <t>Coluna13155</t>
  </si>
  <si>
    <t>Coluna13156</t>
  </si>
  <si>
    <t>Coluna13157</t>
  </si>
  <si>
    <t>Coluna13158</t>
  </si>
  <si>
    <t>Coluna13159</t>
  </si>
  <si>
    <t>Coluna13160</t>
  </si>
  <si>
    <t>Coluna13161</t>
  </si>
  <si>
    <t>Coluna13162</t>
  </si>
  <si>
    <t>Coluna13163</t>
  </si>
  <si>
    <t>Coluna13164</t>
  </si>
  <si>
    <t>Coluna13165</t>
  </si>
  <si>
    <t>Coluna13166</t>
  </si>
  <si>
    <t>Coluna13167</t>
  </si>
  <si>
    <t>Coluna13168</t>
  </si>
  <si>
    <t>Coluna13169</t>
  </si>
  <si>
    <t>Coluna13170</t>
  </si>
  <si>
    <t>Coluna13171</t>
  </si>
  <si>
    <t>Coluna13172</t>
  </si>
  <si>
    <t>Coluna13173</t>
  </si>
  <si>
    <t>Coluna13174</t>
  </si>
  <si>
    <t>Coluna13175</t>
  </si>
  <si>
    <t>Coluna13176</t>
  </si>
  <si>
    <t>Coluna13177</t>
  </si>
  <si>
    <t>Coluna13178</t>
  </si>
  <si>
    <t>Coluna13179</t>
  </si>
  <si>
    <t>Coluna13180</t>
  </si>
  <si>
    <t>Coluna13181</t>
  </si>
  <si>
    <t>Coluna13182</t>
  </si>
  <si>
    <t>Coluna13183</t>
  </si>
  <si>
    <t>Coluna13184</t>
  </si>
  <si>
    <t>Coluna13185</t>
  </si>
  <si>
    <t>Coluna13186</t>
  </si>
  <si>
    <t>Coluna13187</t>
  </si>
  <si>
    <t>Coluna13188</t>
  </si>
  <si>
    <t>Coluna13189</t>
  </si>
  <si>
    <t>Coluna13190</t>
  </si>
  <si>
    <t>Coluna13191</t>
  </si>
  <si>
    <t>Coluna13192</t>
  </si>
  <si>
    <t>Coluna13193</t>
  </si>
  <si>
    <t>Coluna13194</t>
  </si>
  <si>
    <t>Coluna13195</t>
  </si>
  <si>
    <t>Coluna13196</t>
  </si>
  <si>
    <t>Coluna13197</t>
  </si>
  <si>
    <t>Coluna13198</t>
  </si>
  <si>
    <t>Coluna13199</t>
  </si>
  <si>
    <t>Coluna13200</t>
  </si>
  <si>
    <t>Coluna13201</t>
  </si>
  <si>
    <t>Coluna13202</t>
  </si>
  <si>
    <t>Coluna13203</t>
  </si>
  <si>
    <t>Coluna13204</t>
  </si>
  <si>
    <t>Coluna13205</t>
  </si>
  <si>
    <t>Coluna13206</t>
  </si>
  <si>
    <t>Coluna13207</t>
  </si>
  <si>
    <t>Coluna13208</t>
  </si>
  <si>
    <t>Coluna13209</t>
  </si>
  <si>
    <t>Coluna13210</t>
  </si>
  <si>
    <t>Coluna13211</t>
  </si>
  <si>
    <t>Coluna13212</t>
  </si>
  <si>
    <t>Coluna13213</t>
  </si>
  <si>
    <t>Coluna13214</t>
  </si>
  <si>
    <t>Coluna13215</t>
  </si>
  <si>
    <t>Coluna13216</t>
  </si>
  <si>
    <t>Coluna13217</t>
  </si>
  <si>
    <t>Coluna13218</t>
  </si>
  <si>
    <t>Coluna13219</t>
  </si>
  <si>
    <t>Coluna13220</t>
  </si>
  <si>
    <t>Coluna13221</t>
  </si>
  <si>
    <t>Coluna13222</t>
  </si>
  <si>
    <t>Coluna13223</t>
  </si>
  <si>
    <t>Coluna13224</t>
  </si>
  <si>
    <t>Coluna13225</t>
  </si>
  <si>
    <t>Coluna13226</t>
  </si>
  <si>
    <t>Coluna13227</t>
  </si>
  <si>
    <t>Coluna13228</t>
  </si>
  <si>
    <t>Coluna13229</t>
  </si>
  <si>
    <t>Coluna13230</t>
  </si>
  <si>
    <t>Coluna13231</t>
  </si>
  <si>
    <t>Coluna13232</t>
  </si>
  <si>
    <t>Coluna13233</t>
  </si>
  <si>
    <t>Coluna13234</t>
  </si>
  <si>
    <t>Coluna13235</t>
  </si>
  <si>
    <t>Coluna13236</t>
  </si>
  <si>
    <t>Coluna13237</t>
  </si>
  <si>
    <t>Coluna13238</t>
  </si>
  <si>
    <t>Coluna13239</t>
  </si>
  <si>
    <t>Coluna13240</t>
  </si>
  <si>
    <t>Coluna13241</t>
  </si>
  <si>
    <t>Coluna13242</t>
  </si>
  <si>
    <t>Coluna13243</t>
  </si>
  <si>
    <t>Coluna13244</t>
  </si>
  <si>
    <t>Coluna13245</t>
  </si>
  <si>
    <t>Coluna13246</t>
  </si>
  <si>
    <t>Coluna13247</t>
  </si>
  <si>
    <t>Coluna13248</t>
  </si>
  <si>
    <t>Coluna13249</t>
  </si>
  <si>
    <t>Coluna13250</t>
  </si>
  <si>
    <t>Coluna13251</t>
  </si>
  <si>
    <t>Coluna13252</t>
  </si>
  <si>
    <t>Coluna13253</t>
  </si>
  <si>
    <t>Coluna13254</t>
  </si>
  <si>
    <t>Coluna13255</t>
  </si>
  <si>
    <t>Coluna13256</t>
  </si>
  <si>
    <t>Coluna13257</t>
  </si>
  <si>
    <t>Coluna13258</t>
  </si>
  <si>
    <t>Coluna13259</t>
  </si>
  <si>
    <t>Coluna13260</t>
  </si>
  <si>
    <t>Coluna13261</t>
  </si>
  <si>
    <t>Coluna13262</t>
  </si>
  <si>
    <t>Coluna13263</t>
  </si>
  <si>
    <t>Coluna13264</t>
  </si>
  <si>
    <t>Coluna13265</t>
  </si>
  <si>
    <t>Coluna13266</t>
  </si>
  <si>
    <t>Coluna13267</t>
  </si>
  <si>
    <t>Coluna13268</t>
  </si>
  <si>
    <t>Coluna13269</t>
  </si>
  <si>
    <t>Coluna13270</t>
  </si>
  <si>
    <t>Coluna13271</t>
  </si>
  <si>
    <t>Coluna13272</t>
  </si>
  <si>
    <t>Coluna13273</t>
  </si>
  <si>
    <t>Coluna13274</t>
  </si>
  <si>
    <t>Coluna13275</t>
  </si>
  <si>
    <t>Coluna13276</t>
  </si>
  <si>
    <t>Coluna13277</t>
  </si>
  <si>
    <t>Coluna13278</t>
  </si>
  <si>
    <t>Coluna13279</t>
  </si>
  <si>
    <t>Coluna13280</t>
  </si>
  <si>
    <t>Coluna13281</t>
  </si>
  <si>
    <t>Coluna13282</t>
  </si>
  <si>
    <t>Coluna13283</t>
  </si>
  <si>
    <t>Coluna13284</t>
  </si>
  <si>
    <t>Coluna13285</t>
  </si>
  <si>
    <t>Coluna13286</t>
  </si>
  <si>
    <t>Coluna13287</t>
  </si>
  <si>
    <t>Coluna13288</t>
  </si>
  <si>
    <t>Coluna13289</t>
  </si>
  <si>
    <t>Coluna13290</t>
  </si>
  <si>
    <t>Coluna13291</t>
  </si>
  <si>
    <t>Coluna13292</t>
  </si>
  <si>
    <t>Coluna13293</t>
  </si>
  <si>
    <t>Coluna13294</t>
  </si>
  <si>
    <t>Coluna13295</t>
  </si>
  <si>
    <t>Coluna13296</t>
  </si>
  <si>
    <t>Coluna13297</t>
  </si>
  <si>
    <t>Coluna13298</t>
  </si>
  <si>
    <t>Coluna13299</t>
  </si>
  <si>
    <t>Coluna13300</t>
  </si>
  <si>
    <t>Coluna13301</t>
  </si>
  <si>
    <t>Coluna13302</t>
  </si>
  <si>
    <t>Coluna13303</t>
  </si>
  <si>
    <t>Coluna13304</t>
  </si>
  <si>
    <t>Coluna13305</t>
  </si>
  <si>
    <t>Coluna13306</t>
  </si>
  <si>
    <t>Coluna13307</t>
  </si>
  <si>
    <t>Coluna13308</t>
  </si>
  <si>
    <t>Coluna13309</t>
  </si>
  <si>
    <t>Coluna13310</t>
  </si>
  <si>
    <t>Coluna13311</t>
  </si>
  <si>
    <t>Coluna13312</t>
  </si>
  <si>
    <t>Coluna13313</t>
  </si>
  <si>
    <t>Coluna13314</t>
  </si>
  <si>
    <t>Coluna13315</t>
  </si>
  <si>
    <t>Coluna13316</t>
  </si>
  <si>
    <t>Coluna13317</t>
  </si>
  <si>
    <t>Coluna13318</t>
  </si>
  <si>
    <t>Coluna13319</t>
  </si>
  <si>
    <t>Coluna13320</t>
  </si>
  <si>
    <t>Coluna13321</t>
  </si>
  <si>
    <t>Coluna13322</t>
  </si>
  <si>
    <t>Coluna13323</t>
  </si>
  <si>
    <t>Coluna13324</t>
  </si>
  <si>
    <t>Coluna13325</t>
  </si>
  <si>
    <t>Coluna13326</t>
  </si>
  <si>
    <t>Coluna13327</t>
  </si>
  <si>
    <t>Coluna13328</t>
  </si>
  <si>
    <t>Coluna13329</t>
  </si>
  <si>
    <t>Coluna13330</t>
  </si>
  <si>
    <t>Coluna13331</t>
  </si>
  <si>
    <t>Coluna13332</t>
  </si>
  <si>
    <t>Coluna13333</t>
  </si>
  <si>
    <t>Coluna13334</t>
  </si>
  <si>
    <t>Coluna13335</t>
  </si>
  <si>
    <t>Coluna13336</t>
  </si>
  <si>
    <t>Coluna13337</t>
  </si>
  <si>
    <t>Coluna13338</t>
  </si>
  <si>
    <t>Coluna13339</t>
  </si>
  <si>
    <t>Coluna13340</t>
  </si>
  <si>
    <t>Coluna13341</t>
  </si>
  <si>
    <t>Coluna13342</t>
  </si>
  <si>
    <t>Coluna13343</t>
  </si>
  <si>
    <t>Coluna13344</t>
  </si>
  <si>
    <t>Coluna13345</t>
  </si>
  <si>
    <t>Coluna13346</t>
  </si>
  <si>
    <t>Coluna13347</t>
  </si>
  <si>
    <t>Coluna13348</t>
  </si>
  <si>
    <t>Coluna13349</t>
  </si>
  <si>
    <t>Coluna13350</t>
  </si>
  <si>
    <t>Coluna13351</t>
  </si>
  <si>
    <t>Coluna13352</t>
  </si>
  <si>
    <t>Coluna13353</t>
  </si>
  <si>
    <t>Coluna13354</t>
  </si>
  <si>
    <t>Coluna13355</t>
  </si>
  <si>
    <t>Coluna13356</t>
  </si>
  <si>
    <t>Coluna13357</t>
  </si>
  <si>
    <t>Coluna13358</t>
  </si>
  <si>
    <t>Coluna13359</t>
  </si>
  <si>
    <t>Coluna13360</t>
  </si>
  <si>
    <t>Coluna13361</t>
  </si>
  <si>
    <t>Coluna13362</t>
  </si>
  <si>
    <t>Coluna13363</t>
  </si>
  <si>
    <t>Coluna13364</t>
  </si>
  <si>
    <t>Coluna13365</t>
  </si>
  <si>
    <t>Coluna13366</t>
  </si>
  <si>
    <t>Coluna13367</t>
  </si>
  <si>
    <t>Coluna13368</t>
  </si>
  <si>
    <t>Coluna13369</t>
  </si>
  <si>
    <t>Coluna13370</t>
  </si>
  <si>
    <t>Coluna13371</t>
  </si>
  <si>
    <t>Coluna13372</t>
  </si>
  <si>
    <t>Coluna13373</t>
  </si>
  <si>
    <t>Coluna13374</t>
  </si>
  <si>
    <t>Coluna13375</t>
  </si>
  <si>
    <t>Coluna13376</t>
  </si>
  <si>
    <t>Coluna13377</t>
  </si>
  <si>
    <t>Coluna13378</t>
  </si>
  <si>
    <t>Coluna13379</t>
  </si>
  <si>
    <t>Coluna13380</t>
  </si>
  <si>
    <t>Coluna13381</t>
  </si>
  <si>
    <t>Coluna13382</t>
  </si>
  <si>
    <t>Coluna13383</t>
  </si>
  <si>
    <t>Coluna13384</t>
  </si>
  <si>
    <t>Coluna13385</t>
  </si>
  <si>
    <t>Coluna13386</t>
  </si>
  <si>
    <t>Coluna13387</t>
  </si>
  <si>
    <t>Coluna13388</t>
  </si>
  <si>
    <t>Coluna13389</t>
  </si>
  <si>
    <t>Coluna13390</t>
  </si>
  <si>
    <t>Coluna13391</t>
  </si>
  <si>
    <t>Coluna13392</t>
  </si>
  <si>
    <t>Coluna13393</t>
  </si>
  <si>
    <t>Coluna13394</t>
  </si>
  <si>
    <t>Coluna13395</t>
  </si>
  <si>
    <t>Coluna13396</t>
  </si>
  <si>
    <t>Coluna13397</t>
  </si>
  <si>
    <t>Coluna13398</t>
  </si>
  <si>
    <t>Coluna13399</t>
  </si>
  <si>
    <t>Coluna13400</t>
  </si>
  <si>
    <t>Coluna13401</t>
  </si>
  <si>
    <t>Coluna13402</t>
  </si>
  <si>
    <t>Coluna13403</t>
  </si>
  <si>
    <t>Coluna13404</t>
  </si>
  <si>
    <t>Coluna13405</t>
  </si>
  <si>
    <t>Coluna13406</t>
  </si>
  <si>
    <t>Coluna13407</t>
  </si>
  <si>
    <t>Coluna13408</t>
  </si>
  <si>
    <t>Coluna13409</t>
  </si>
  <si>
    <t>Coluna13410</t>
  </si>
  <si>
    <t>Coluna13411</t>
  </si>
  <si>
    <t>Coluna13412</t>
  </si>
  <si>
    <t>Coluna13413</t>
  </si>
  <si>
    <t>Coluna13414</t>
  </si>
  <si>
    <t>Coluna13415</t>
  </si>
  <si>
    <t>Coluna13416</t>
  </si>
  <si>
    <t>Coluna13417</t>
  </si>
  <si>
    <t>Coluna13418</t>
  </si>
  <si>
    <t>Coluna13419</t>
  </si>
  <si>
    <t>Coluna13420</t>
  </si>
  <si>
    <t>Coluna13421</t>
  </si>
  <si>
    <t>Coluna13422</t>
  </si>
  <si>
    <t>Coluna13423</t>
  </si>
  <si>
    <t>Coluna13424</t>
  </si>
  <si>
    <t>Coluna13425</t>
  </si>
  <si>
    <t>Coluna13426</t>
  </si>
  <si>
    <t>Coluna13427</t>
  </si>
  <si>
    <t>Coluna13428</t>
  </si>
  <si>
    <t>Coluna13429</t>
  </si>
  <si>
    <t>Coluna13430</t>
  </si>
  <si>
    <t>Coluna13431</t>
  </si>
  <si>
    <t>Coluna13432</t>
  </si>
  <si>
    <t>Coluna13433</t>
  </si>
  <si>
    <t>Coluna13434</t>
  </si>
  <si>
    <t>Coluna13435</t>
  </si>
  <si>
    <t>Coluna13436</t>
  </si>
  <si>
    <t>Coluna13437</t>
  </si>
  <si>
    <t>Coluna13438</t>
  </si>
  <si>
    <t>Coluna13439</t>
  </si>
  <si>
    <t>Coluna13440</t>
  </si>
  <si>
    <t>Coluna13441</t>
  </si>
  <si>
    <t>Coluna13442</t>
  </si>
  <si>
    <t>Coluna13443</t>
  </si>
  <si>
    <t>Coluna13444</t>
  </si>
  <si>
    <t>Coluna13445</t>
  </si>
  <si>
    <t>Coluna13446</t>
  </si>
  <si>
    <t>Coluna13447</t>
  </si>
  <si>
    <t>Coluna13448</t>
  </si>
  <si>
    <t>Coluna13449</t>
  </si>
  <si>
    <t>Coluna13450</t>
  </si>
  <si>
    <t>Coluna13451</t>
  </si>
  <si>
    <t>Coluna13452</t>
  </si>
  <si>
    <t>Coluna13453</t>
  </si>
  <si>
    <t>Coluna13454</t>
  </si>
  <si>
    <t>Coluna13455</t>
  </si>
  <si>
    <t>Coluna13456</t>
  </si>
  <si>
    <t>Coluna13457</t>
  </si>
  <si>
    <t>Coluna13458</t>
  </si>
  <si>
    <t>Coluna13459</t>
  </si>
  <si>
    <t>Coluna13460</t>
  </si>
  <si>
    <t>Coluna13461</t>
  </si>
  <si>
    <t>Coluna13462</t>
  </si>
  <si>
    <t>Coluna13463</t>
  </si>
  <si>
    <t>Coluna13464</t>
  </si>
  <si>
    <t>Coluna13465</t>
  </si>
  <si>
    <t>Coluna13466</t>
  </si>
  <si>
    <t>Coluna13467</t>
  </si>
  <si>
    <t>Coluna13468</t>
  </si>
  <si>
    <t>Coluna13469</t>
  </si>
  <si>
    <t>Coluna13470</t>
  </si>
  <si>
    <t>Coluna13471</t>
  </si>
  <si>
    <t>Coluna13472</t>
  </si>
  <si>
    <t>Coluna13473</t>
  </si>
  <si>
    <t>Coluna13474</t>
  </si>
  <si>
    <t>Coluna13475</t>
  </si>
  <si>
    <t>Coluna13476</t>
  </si>
  <si>
    <t>Coluna13477</t>
  </si>
  <si>
    <t>Coluna13478</t>
  </si>
  <si>
    <t>Coluna13479</t>
  </si>
  <si>
    <t>Coluna13480</t>
  </si>
  <si>
    <t>Coluna13481</t>
  </si>
  <si>
    <t>Coluna13482</t>
  </si>
  <si>
    <t>Coluna13483</t>
  </si>
  <si>
    <t>Coluna13484</t>
  </si>
  <si>
    <t>Coluna13485</t>
  </si>
  <si>
    <t>Coluna13486</t>
  </si>
  <si>
    <t>Coluna13487</t>
  </si>
  <si>
    <t>Coluna13488</t>
  </si>
  <si>
    <t>Coluna13489</t>
  </si>
  <si>
    <t>Coluna13490</t>
  </si>
  <si>
    <t>Coluna13491</t>
  </si>
  <si>
    <t>Coluna13492</t>
  </si>
  <si>
    <t>Coluna13493</t>
  </si>
  <si>
    <t>Coluna13494</t>
  </si>
  <si>
    <t>Coluna13495</t>
  </si>
  <si>
    <t>Coluna13496</t>
  </si>
  <si>
    <t>Coluna13497</t>
  </si>
  <si>
    <t>Coluna13498</t>
  </si>
  <si>
    <t>Coluna13499</t>
  </si>
  <si>
    <t>Coluna13500</t>
  </si>
  <si>
    <t>Coluna13501</t>
  </si>
  <si>
    <t>Coluna13502</t>
  </si>
  <si>
    <t>Coluna13503</t>
  </si>
  <si>
    <t>Coluna13504</t>
  </si>
  <si>
    <t>Coluna13505</t>
  </si>
  <si>
    <t>Coluna13506</t>
  </si>
  <si>
    <t>Coluna13507</t>
  </si>
  <si>
    <t>Coluna13508</t>
  </si>
  <si>
    <t>Coluna13509</t>
  </si>
  <si>
    <t>Coluna13510</t>
  </si>
  <si>
    <t>Coluna13511</t>
  </si>
  <si>
    <t>Coluna13512</t>
  </si>
  <si>
    <t>Coluna13513</t>
  </si>
  <si>
    <t>Coluna13514</t>
  </si>
  <si>
    <t>Coluna13515</t>
  </si>
  <si>
    <t>Coluna13516</t>
  </si>
  <si>
    <t>Coluna13517</t>
  </si>
  <si>
    <t>Coluna13518</t>
  </si>
  <si>
    <t>Coluna13519</t>
  </si>
  <si>
    <t>Coluna13520</t>
  </si>
  <si>
    <t>Coluna13521</t>
  </si>
  <si>
    <t>Coluna13522</t>
  </si>
  <si>
    <t>Coluna13523</t>
  </si>
  <si>
    <t>Coluna13524</t>
  </si>
  <si>
    <t>Coluna13525</t>
  </si>
  <si>
    <t>Coluna13526</t>
  </si>
  <si>
    <t>Coluna13527</t>
  </si>
  <si>
    <t>Coluna13528</t>
  </si>
  <si>
    <t>Coluna13529</t>
  </si>
  <si>
    <t>Coluna13530</t>
  </si>
  <si>
    <t>Coluna13531</t>
  </si>
  <si>
    <t>Coluna13532</t>
  </si>
  <si>
    <t>Coluna13533</t>
  </si>
  <si>
    <t>Coluna13534</t>
  </si>
  <si>
    <t>Coluna13535</t>
  </si>
  <si>
    <t>Coluna13536</t>
  </si>
  <si>
    <t>Coluna13537</t>
  </si>
  <si>
    <t>Coluna13538</t>
  </si>
  <si>
    <t>Coluna13539</t>
  </si>
  <si>
    <t>Coluna13540</t>
  </si>
  <si>
    <t>Coluna13541</t>
  </si>
  <si>
    <t>Coluna13542</t>
  </si>
  <si>
    <t>Coluna13543</t>
  </si>
  <si>
    <t>Coluna13544</t>
  </si>
  <si>
    <t>Coluna13545</t>
  </si>
  <si>
    <t>Coluna13546</t>
  </si>
  <si>
    <t>Coluna13547</t>
  </si>
  <si>
    <t>Coluna13548</t>
  </si>
  <si>
    <t>Coluna13549</t>
  </si>
  <si>
    <t>Coluna13550</t>
  </si>
  <si>
    <t>Coluna13551</t>
  </si>
  <si>
    <t>Coluna13552</t>
  </si>
  <si>
    <t>Coluna13553</t>
  </si>
  <si>
    <t>Coluna13554</t>
  </si>
  <si>
    <t>Coluna13555</t>
  </si>
  <si>
    <t>Coluna13556</t>
  </si>
  <si>
    <t>Coluna13557</t>
  </si>
  <si>
    <t>Coluna13558</t>
  </si>
  <si>
    <t>Coluna13559</t>
  </si>
  <si>
    <t>Coluna13560</t>
  </si>
  <si>
    <t>Coluna13561</t>
  </si>
  <si>
    <t>Coluna13562</t>
  </si>
  <si>
    <t>Coluna13563</t>
  </si>
  <si>
    <t>Coluna13564</t>
  </si>
  <si>
    <t>Coluna13565</t>
  </si>
  <si>
    <t>Coluna13566</t>
  </si>
  <si>
    <t>Coluna13567</t>
  </si>
  <si>
    <t>Coluna13568</t>
  </si>
  <si>
    <t>Coluna13569</t>
  </si>
  <si>
    <t>Coluna13570</t>
  </si>
  <si>
    <t>Coluna13571</t>
  </si>
  <si>
    <t>Coluna13572</t>
  </si>
  <si>
    <t>Coluna13573</t>
  </si>
  <si>
    <t>Coluna13574</t>
  </si>
  <si>
    <t>Coluna13575</t>
  </si>
  <si>
    <t>Coluna13576</t>
  </si>
  <si>
    <t>Coluna13577</t>
  </si>
  <si>
    <t>Coluna13578</t>
  </si>
  <si>
    <t>Coluna13579</t>
  </si>
  <si>
    <t>Coluna13580</t>
  </si>
  <si>
    <t>Coluna13581</t>
  </si>
  <si>
    <t>Coluna13582</t>
  </si>
  <si>
    <t>Coluna13583</t>
  </si>
  <si>
    <t>Coluna13584</t>
  </si>
  <si>
    <t>Coluna13585</t>
  </si>
  <si>
    <t>Coluna13586</t>
  </si>
  <si>
    <t>Coluna13587</t>
  </si>
  <si>
    <t>Coluna13588</t>
  </si>
  <si>
    <t>Coluna13589</t>
  </si>
  <si>
    <t>Coluna13590</t>
  </si>
  <si>
    <t>Coluna13591</t>
  </si>
  <si>
    <t>Coluna13592</t>
  </si>
  <si>
    <t>Coluna13593</t>
  </si>
  <si>
    <t>Coluna13594</t>
  </si>
  <si>
    <t>Coluna13595</t>
  </si>
  <si>
    <t>Coluna13596</t>
  </si>
  <si>
    <t>Coluna13597</t>
  </si>
  <si>
    <t>Coluna13598</t>
  </si>
  <si>
    <t>Coluna13599</t>
  </si>
  <si>
    <t>Coluna13600</t>
  </si>
  <si>
    <t>Coluna13601</t>
  </si>
  <si>
    <t>Coluna13602</t>
  </si>
  <si>
    <t>Coluna13603</t>
  </si>
  <si>
    <t>Coluna13604</t>
  </si>
  <si>
    <t>Coluna13605</t>
  </si>
  <si>
    <t>Coluna13606</t>
  </si>
  <si>
    <t>Coluna13607</t>
  </si>
  <si>
    <t>Coluna13608</t>
  </si>
  <si>
    <t>Coluna13609</t>
  </si>
  <si>
    <t>Coluna13610</t>
  </si>
  <si>
    <t>Coluna13611</t>
  </si>
  <si>
    <t>Coluna13612</t>
  </si>
  <si>
    <t>Coluna13613</t>
  </si>
  <si>
    <t>Coluna13614</t>
  </si>
  <si>
    <t>Coluna13615</t>
  </si>
  <si>
    <t>Coluna13616</t>
  </si>
  <si>
    <t>Coluna13617</t>
  </si>
  <si>
    <t>Coluna13618</t>
  </si>
  <si>
    <t>Coluna13619</t>
  </si>
  <si>
    <t>Coluna13620</t>
  </si>
  <si>
    <t>Coluna13621</t>
  </si>
  <si>
    <t>Coluna13622</t>
  </si>
  <si>
    <t>Coluna13623</t>
  </si>
  <si>
    <t>Coluna13624</t>
  </si>
  <si>
    <t>Coluna13625</t>
  </si>
  <si>
    <t>Coluna13626</t>
  </si>
  <si>
    <t>Coluna13627</t>
  </si>
  <si>
    <t>Coluna13628</t>
  </si>
  <si>
    <t>Coluna13629</t>
  </si>
  <si>
    <t>Coluna13630</t>
  </si>
  <si>
    <t>Coluna13631</t>
  </si>
  <si>
    <t>Coluna13632</t>
  </si>
  <si>
    <t>Coluna13633</t>
  </si>
  <si>
    <t>Coluna13634</t>
  </si>
  <si>
    <t>Coluna13635</t>
  </si>
  <si>
    <t>Coluna13636</t>
  </si>
  <si>
    <t>Coluna13637</t>
  </si>
  <si>
    <t>Coluna13638</t>
  </si>
  <si>
    <t>Coluna13639</t>
  </si>
  <si>
    <t>Coluna13640</t>
  </si>
  <si>
    <t>Coluna13641</t>
  </si>
  <si>
    <t>Coluna13642</t>
  </si>
  <si>
    <t>Coluna13643</t>
  </si>
  <si>
    <t>Coluna13644</t>
  </si>
  <si>
    <t>Coluna13645</t>
  </si>
  <si>
    <t>Coluna13646</t>
  </si>
  <si>
    <t>Coluna13647</t>
  </si>
  <si>
    <t>Coluna13648</t>
  </si>
  <si>
    <t>Coluna13649</t>
  </si>
  <si>
    <t>Coluna13650</t>
  </si>
  <si>
    <t>Coluna13651</t>
  </si>
  <si>
    <t>Coluna13652</t>
  </si>
  <si>
    <t>Coluna13653</t>
  </si>
  <si>
    <t>Coluna13654</t>
  </si>
  <si>
    <t>Coluna13655</t>
  </si>
  <si>
    <t>Coluna13656</t>
  </si>
  <si>
    <t>Coluna13657</t>
  </si>
  <si>
    <t>Coluna13658</t>
  </si>
  <si>
    <t>Coluna13659</t>
  </si>
  <si>
    <t>Coluna13660</t>
  </si>
  <si>
    <t>Coluna13661</t>
  </si>
  <si>
    <t>Coluna13662</t>
  </si>
  <si>
    <t>Coluna13663</t>
  </si>
  <si>
    <t>Coluna13664</t>
  </si>
  <si>
    <t>Coluna13665</t>
  </si>
  <si>
    <t>Coluna13666</t>
  </si>
  <si>
    <t>Coluna13667</t>
  </si>
  <si>
    <t>Coluna13668</t>
  </si>
  <si>
    <t>Coluna13669</t>
  </si>
  <si>
    <t>Coluna13670</t>
  </si>
  <si>
    <t>Coluna13671</t>
  </si>
  <si>
    <t>Coluna13672</t>
  </si>
  <si>
    <t>Coluna13673</t>
  </si>
  <si>
    <t>Coluna13674</t>
  </si>
  <si>
    <t>Coluna13675</t>
  </si>
  <si>
    <t>Coluna13676</t>
  </si>
  <si>
    <t>Coluna13677</t>
  </si>
  <si>
    <t>Coluna13678</t>
  </si>
  <si>
    <t>Coluna13679</t>
  </si>
  <si>
    <t>Coluna13680</t>
  </si>
  <si>
    <t>Coluna13681</t>
  </si>
  <si>
    <t>Coluna13682</t>
  </si>
  <si>
    <t>Coluna13683</t>
  </si>
  <si>
    <t>Coluna13684</t>
  </si>
  <si>
    <t>Coluna13685</t>
  </si>
  <si>
    <t>Coluna13686</t>
  </si>
  <si>
    <t>Coluna13687</t>
  </si>
  <si>
    <t>Coluna13688</t>
  </si>
  <si>
    <t>Coluna13689</t>
  </si>
  <si>
    <t>Coluna13690</t>
  </si>
  <si>
    <t>Coluna13691</t>
  </si>
  <si>
    <t>Coluna13692</t>
  </si>
  <si>
    <t>Coluna13693</t>
  </si>
  <si>
    <t>Coluna13694</t>
  </si>
  <si>
    <t>Coluna13695</t>
  </si>
  <si>
    <t>Coluna13696</t>
  </si>
  <si>
    <t>Coluna13697</t>
  </si>
  <si>
    <t>Coluna13698</t>
  </si>
  <si>
    <t>Coluna13699</t>
  </si>
  <si>
    <t>Coluna13700</t>
  </si>
  <si>
    <t>Coluna13701</t>
  </si>
  <si>
    <t>Coluna13702</t>
  </si>
  <si>
    <t>Coluna13703</t>
  </si>
  <si>
    <t>Coluna13704</t>
  </si>
  <si>
    <t>Coluna13705</t>
  </si>
  <si>
    <t>Coluna13706</t>
  </si>
  <si>
    <t>Coluna13707</t>
  </si>
  <si>
    <t>Coluna13708</t>
  </si>
  <si>
    <t>Coluna13709</t>
  </si>
  <si>
    <t>Coluna13710</t>
  </si>
  <si>
    <t>Coluna13711</t>
  </si>
  <si>
    <t>Coluna13712</t>
  </si>
  <si>
    <t>Coluna13713</t>
  </si>
  <si>
    <t>Coluna13714</t>
  </si>
  <si>
    <t>Coluna13715</t>
  </si>
  <si>
    <t>Coluna13716</t>
  </si>
  <si>
    <t>Coluna13717</t>
  </si>
  <si>
    <t>Coluna13718</t>
  </si>
  <si>
    <t>Coluna13719</t>
  </si>
  <si>
    <t>Coluna13720</t>
  </si>
  <si>
    <t>Coluna13721</t>
  </si>
  <si>
    <t>Coluna13722</t>
  </si>
  <si>
    <t>Coluna13723</t>
  </si>
  <si>
    <t>Coluna13724</t>
  </si>
  <si>
    <t>Coluna13725</t>
  </si>
  <si>
    <t>Coluna13726</t>
  </si>
  <si>
    <t>Coluna13727</t>
  </si>
  <si>
    <t>Coluna13728</t>
  </si>
  <si>
    <t>Coluna13729</t>
  </si>
  <si>
    <t>Coluna13730</t>
  </si>
  <si>
    <t>Coluna13731</t>
  </si>
  <si>
    <t>Coluna13732</t>
  </si>
  <si>
    <t>Coluna13733</t>
  </si>
  <si>
    <t>Coluna13734</t>
  </si>
  <si>
    <t>Coluna13735</t>
  </si>
  <si>
    <t>Coluna13736</t>
  </si>
  <si>
    <t>Coluna13737</t>
  </si>
  <si>
    <t>Coluna13738</t>
  </si>
  <si>
    <t>Coluna13739</t>
  </si>
  <si>
    <t>Coluna13740</t>
  </si>
  <si>
    <t>Coluna13741</t>
  </si>
  <si>
    <t>Coluna13742</t>
  </si>
  <si>
    <t>Coluna13743</t>
  </si>
  <si>
    <t>Coluna13744</t>
  </si>
  <si>
    <t>Coluna13745</t>
  </si>
  <si>
    <t>Coluna13746</t>
  </si>
  <si>
    <t>Coluna13747</t>
  </si>
  <si>
    <t>Coluna13748</t>
  </si>
  <si>
    <t>Coluna13749</t>
  </si>
  <si>
    <t>Coluna13750</t>
  </si>
  <si>
    <t>Coluna13751</t>
  </si>
  <si>
    <t>Coluna13752</t>
  </si>
  <si>
    <t>Coluna13753</t>
  </si>
  <si>
    <t>Coluna13754</t>
  </si>
  <si>
    <t>Coluna13755</t>
  </si>
  <si>
    <t>Coluna13756</t>
  </si>
  <si>
    <t>Coluna13757</t>
  </si>
  <si>
    <t>Coluna13758</t>
  </si>
  <si>
    <t>Coluna13759</t>
  </si>
  <si>
    <t>Coluna13760</t>
  </si>
  <si>
    <t>Coluna13761</t>
  </si>
  <si>
    <t>Coluna13762</t>
  </si>
  <si>
    <t>Coluna13763</t>
  </si>
  <si>
    <t>Coluna13764</t>
  </si>
  <si>
    <t>Coluna13765</t>
  </si>
  <si>
    <t>Coluna13766</t>
  </si>
  <si>
    <t>Coluna13767</t>
  </si>
  <si>
    <t>Coluna13768</t>
  </si>
  <si>
    <t>Coluna13769</t>
  </si>
  <si>
    <t>Coluna13770</t>
  </si>
  <si>
    <t>Coluna13771</t>
  </si>
  <si>
    <t>Coluna13772</t>
  </si>
  <si>
    <t>Coluna13773</t>
  </si>
  <si>
    <t>Coluna13774</t>
  </si>
  <si>
    <t>Coluna13775</t>
  </si>
  <si>
    <t>Coluna13776</t>
  </si>
  <si>
    <t>Coluna13777</t>
  </si>
  <si>
    <t>Coluna13778</t>
  </si>
  <si>
    <t>Coluna13779</t>
  </si>
  <si>
    <t>Coluna13780</t>
  </si>
  <si>
    <t>Coluna13781</t>
  </si>
  <si>
    <t>Coluna13782</t>
  </si>
  <si>
    <t>Coluna13783</t>
  </si>
  <si>
    <t>Coluna13784</t>
  </si>
  <si>
    <t>Coluna13785</t>
  </si>
  <si>
    <t>Coluna13786</t>
  </si>
  <si>
    <t>Coluna13787</t>
  </si>
  <si>
    <t>Coluna13788</t>
  </si>
  <si>
    <t>Coluna13789</t>
  </si>
  <si>
    <t>Coluna13790</t>
  </si>
  <si>
    <t>Coluna13791</t>
  </si>
  <si>
    <t>Coluna13792</t>
  </si>
  <si>
    <t>Coluna13793</t>
  </si>
  <si>
    <t>Coluna13794</t>
  </si>
  <si>
    <t>Coluna13795</t>
  </si>
  <si>
    <t>Coluna13796</t>
  </si>
  <si>
    <t>Coluna13797</t>
  </si>
  <si>
    <t>Coluna13798</t>
  </si>
  <si>
    <t>Coluna13799</t>
  </si>
  <si>
    <t>Coluna13800</t>
  </si>
  <si>
    <t>Coluna13801</t>
  </si>
  <si>
    <t>Coluna13802</t>
  </si>
  <si>
    <t>Coluna13803</t>
  </si>
  <si>
    <t>Coluna13804</t>
  </si>
  <si>
    <t>Coluna13805</t>
  </si>
  <si>
    <t>Coluna13806</t>
  </si>
  <si>
    <t>Coluna13807</t>
  </si>
  <si>
    <t>Coluna13808</t>
  </si>
  <si>
    <t>Coluna13809</t>
  </si>
  <si>
    <t>Coluna13810</t>
  </si>
  <si>
    <t>Coluna13811</t>
  </si>
  <si>
    <t>Coluna13812</t>
  </si>
  <si>
    <t>Coluna13813</t>
  </si>
  <si>
    <t>Coluna13814</t>
  </si>
  <si>
    <t>Coluna13815</t>
  </si>
  <si>
    <t>Coluna13816</t>
  </si>
  <si>
    <t>Coluna13817</t>
  </si>
  <si>
    <t>Coluna13818</t>
  </si>
  <si>
    <t>Coluna13819</t>
  </si>
  <si>
    <t>Coluna13820</t>
  </si>
  <si>
    <t>Coluna13821</t>
  </si>
  <si>
    <t>Coluna13822</t>
  </si>
  <si>
    <t>Coluna13823</t>
  </si>
  <si>
    <t>Coluna13824</t>
  </si>
  <si>
    <t>Coluna13825</t>
  </si>
  <si>
    <t>Coluna13826</t>
  </si>
  <si>
    <t>Coluna13827</t>
  </si>
  <si>
    <t>Coluna13828</t>
  </si>
  <si>
    <t>Coluna13829</t>
  </si>
  <si>
    <t>Coluna13830</t>
  </si>
  <si>
    <t>Coluna13831</t>
  </si>
  <si>
    <t>Coluna13832</t>
  </si>
  <si>
    <t>Coluna13833</t>
  </si>
  <si>
    <t>Coluna13834</t>
  </si>
  <si>
    <t>Coluna13835</t>
  </si>
  <si>
    <t>Coluna13836</t>
  </si>
  <si>
    <t>Coluna13837</t>
  </si>
  <si>
    <t>Coluna13838</t>
  </si>
  <si>
    <t>Coluna13839</t>
  </si>
  <si>
    <t>Coluna13840</t>
  </si>
  <si>
    <t>Coluna13841</t>
  </si>
  <si>
    <t>Coluna13842</t>
  </si>
  <si>
    <t>Coluna13843</t>
  </si>
  <si>
    <t>Coluna13844</t>
  </si>
  <si>
    <t>Coluna13845</t>
  </si>
  <si>
    <t>Coluna13846</t>
  </si>
  <si>
    <t>Coluna13847</t>
  </si>
  <si>
    <t>Coluna13848</t>
  </si>
  <si>
    <t>Coluna13849</t>
  </si>
  <si>
    <t>Coluna13850</t>
  </si>
  <si>
    <t>Coluna13851</t>
  </si>
  <si>
    <t>Coluna13852</t>
  </si>
  <si>
    <t>Coluna13853</t>
  </si>
  <si>
    <t>Coluna13854</t>
  </si>
  <si>
    <t>Coluna13855</t>
  </si>
  <si>
    <t>Coluna13856</t>
  </si>
  <si>
    <t>Coluna13857</t>
  </si>
  <si>
    <t>Coluna13858</t>
  </si>
  <si>
    <t>Coluna13859</t>
  </si>
  <si>
    <t>Coluna13860</t>
  </si>
  <si>
    <t>Coluna13861</t>
  </si>
  <si>
    <t>Coluna13862</t>
  </si>
  <si>
    <t>Coluna13863</t>
  </si>
  <si>
    <t>Coluna13864</t>
  </si>
  <si>
    <t>Coluna13865</t>
  </si>
  <si>
    <t>Coluna13866</t>
  </si>
  <si>
    <t>Coluna13867</t>
  </si>
  <si>
    <t>Coluna13868</t>
  </si>
  <si>
    <t>Coluna13869</t>
  </si>
  <si>
    <t>Coluna13870</t>
  </si>
  <si>
    <t>Coluna13871</t>
  </si>
  <si>
    <t>Coluna13872</t>
  </si>
  <si>
    <t>Coluna13873</t>
  </si>
  <si>
    <t>Coluna13874</t>
  </si>
  <si>
    <t>Coluna13875</t>
  </si>
  <si>
    <t>Coluna13876</t>
  </si>
  <si>
    <t>Coluna13877</t>
  </si>
  <si>
    <t>Coluna13878</t>
  </si>
  <si>
    <t>Coluna13879</t>
  </si>
  <si>
    <t>Coluna13880</t>
  </si>
  <si>
    <t>Coluna13881</t>
  </si>
  <si>
    <t>Coluna13882</t>
  </si>
  <si>
    <t>Coluna13883</t>
  </si>
  <si>
    <t>Coluna13884</t>
  </si>
  <si>
    <t>Coluna13885</t>
  </si>
  <si>
    <t>Coluna13886</t>
  </si>
  <si>
    <t>Coluna13887</t>
  </si>
  <si>
    <t>Coluna13888</t>
  </si>
  <si>
    <t>Coluna13889</t>
  </si>
  <si>
    <t>Coluna13890</t>
  </si>
  <si>
    <t>Coluna13891</t>
  </si>
  <si>
    <t>Coluna13892</t>
  </si>
  <si>
    <t>Coluna13893</t>
  </si>
  <si>
    <t>Coluna13894</t>
  </si>
  <si>
    <t>Coluna13895</t>
  </si>
  <si>
    <t>Coluna13896</t>
  </si>
  <si>
    <t>Coluna13897</t>
  </si>
  <si>
    <t>Coluna13898</t>
  </si>
  <si>
    <t>Coluna13899</t>
  </si>
  <si>
    <t>Coluna13900</t>
  </si>
  <si>
    <t>Coluna13901</t>
  </si>
  <si>
    <t>Coluna13902</t>
  </si>
  <si>
    <t>Coluna13903</t>
  </si>
  <si>
    <t>Coluna13904</t>
  </si>
  <si>
    <t>Coluna13905</t>
  </si>
  <si>
    <t>Coluna13906</t>
  </si>
  <si>
    <t>Coluna13907</t>
  </si>
  <si>
    <t>Coluna13908</t>
  </si>
  <si>
    <t>Coluna13909</t>
  </si>
  <si>
    <t>Coluna13910</t>
  </si>
  <si>
    <t>Coluna13911</t>
  </si>
  <si>
    <t>Coluna13912</t>
  </si>
  <si>
    <t>Coluna13913</t>
  </si>
  <si>
    <t>Coluna13914</t>
  </si>
  <si>
    <t>Coluna13915</t>
  </si>
  <si>
    <t>Coluna13916</t>
  </si>
  <si>
    <t>Coluna13917</t>
  </si>
  <si>
    <t>Coluna13918</t>
  </si>
  <si>
    <t>Coluna13919</t>
  </si>
  <si>
    <t>Coluna13920</t>
  </si>
  <si>
    <t>Coluna13921</t>
  </si>
  <si>
    <t>Coluna13922</t>
  </si>
  <si>
    <t>Coluna13923</t>
  </si>
  <si>
    <t>Coluna13924</t>
  </si>
  <si>
    <t>Coluna13925</t>
  </si>
  <si>
    <t>Coluna13926</t>
  </si>
  <si>
    <t>Coluna13927</t>
  </si>
  <si>
    <t>Coluna13928</t>
  </si>
  <si>
    <t>Coluna13929</t>
  </si>
  <si>
    <t>Coluna13930</t>
  </si>
  <si>
    <t>Coluna13931</t>
  </si>
  <si>
    <t>Coluna13932</t>
  </si>
  <si>
    <t>Coluna13933</t>
  </si>
  <si>
    <t>Coluna13934</t>
  </si>
  <si>
    <t>Coluna13935</t>
  </si>
  <si>
    <t>Coluna13936</t>
  </si>
  <si>
    <t>Coluna13937</t>
  </si>
  <si>
    <t>Coluna13938</t>
  </si>
  <si>
    <t>Coluna13939</t>
  </si>
  <si>
    <t>Coluna13940</t>
  </si>
  <si>
    <t>Coluna13941</t>
  </si>
  <si>
    <t>Coluna13942</t>
  </si>
  <si>
    <t>Coluna13943</t>
  </si>
  <si>
    <t>Coluna13944</t>
  </si>
  <si>
    <t>Coluna13945</t>
  </si>
  <si>
    <t>Coluna13946</t>
  </si>
  <si>
    <t>Coluna13947</t>
  </si>
  <si>
    <t>Coluna13948</t>
  </si>
  <si>
    <t>Coluna13949</t>
  </si>
  <si>
    <t>Coluna13950</t>
  </si>
  <si>
    <t>Coluna13951</t>
  </si>
  <si>
    <t>Coluna13952</t>
  </si>
  <si>
    <t>Coluna13953</t>
  </si>
  <si>
    <t>Coluna13954</t>
  </si>
  <si>
    <t>Coluna13955</t>
  </si>
  <si>
    <t>Coluna13956</t>
  </si>
  <si>
    <t>Coluna13957</t>
  </si>
  <si>
    <t>Coluna13958</t>
  </si>
  <si>
    <t>Coluna13959</t>
  </si>
  <si>
    <t>Coluna13960</t>
  </si>
  <si>
    <t>Coluna13961</t>
  </si>
  <si>
    <t>Coluna13962</t>
  </si>
  <si>
    <t>Coluna13963</t>
  </si>
  <si>
    <t>Coluna13964</t>
  </si>
  <si>
    <t>Coluna13965</t>
  </si>
  <si>
    <t>Coluna13966</t>
  </si>
  <si>
    <t>Coluna13967</t>
  </si>
  <si>
    <t>Coluna13968</t>
  </si>
  <si>
    <t>Coluna13969</t>
  </si>
  <si>
    <t>Coluna13970</t>
  </si>
  <si>
    <t>Coluna13971</t>
  </si>
  <si>
    <t>Coluna13972</t>
  </si>
  <si>
    <t>Coluna13973</t>
  </si>
  <si>
    <t>Coluna13974</t>
  </si>
  <si>
    <t>Coluna13975</t>
  </si>
  <si>
    <t>Coluna13976</t>
  </si>
  <si>
    <t>Coluna13977</t>
  </si>
  <si>
    <t>Coluna13978</t>
  </si>
  <si>
    <t>Coluna13979</t>
  </si>
  <si>
    <t>Coluna13980</t>
  </si>
  <si>
    <t>Coluna13981</t>
  </si>
  <si>
    <t>Coluna13982</t>
  </si>
  <si>
    <t>Coluna13983</t>
  </si>
  <si>
    <t>Coluna13984</t>
  </si>
  <si>
    <t>Coluna13985</t>
  </si>
  <si>
    <t>Coluna13986</t>
  </si>
  <si>
    <t>Coluna13987</t>
  </si>
  <si>
    <t>Coluna13988</t>
  </si>
  <si>
    <t>Coluna13989</t>
  </si>
  <si>
    <t>Coluna13990</t>
  </si>
  <si>
    <t>Coluna13991</t>
  </si>
  <si>
    <t>Coluna13992</t>
  </si>
  <si>
    <t>Coluna13993</t>
  </si>
  <si>
    <t>Coluna13994</t>
  </si>
  <si>
    <t>Coluna13995</t>
  </si>
  <si>
    <t>Coluna13996</t>
  </si>
  <si>
    <t>Coluna13997</t>
  </si>
  <si>
    <t>Coluna13998</t>
  </si>
  <si>
    <t>Coluna13999</t>
  </si>
  <si>
    <t>Coluna14000</t>
  </si>
  <si>
    <t>Coluna14001</t>
  </si>
  <si>
    <t>Coluna14002</t>
  </si>
  <si>
    <t>Coluna14003</t>
  </si>
  <si>
    <t>Coluna14004</t>
  </si>
  <si>
    <t>Coluna14005</t>
  </si>
  <si>
    <t>Coluna14006</t>
  </si>
  <si>
    <t>Coluna14007</t>
  </si>
  <si>
    <t>Coluna14008</t>
  </si>
  <si>
    <t>Coluna14009</t>
  </si>
  <si>
    <t>Coluna14010</t>
  </si>
  <si>
    <t>Coluna14011</t>
  </si>
  <si>
    <t>Coluna14012</t>
  </si>
  <si>
    <t>Coluna14013</t>
  </si>
  <si>
    <t>Coluna14014</t>
  </si>
  <si>
    <t>Coluna14015</t>
  </si>
  <si>
    <t>Coluna14016</t>
  </si>
  <si>
    <t>Coluna14017</t>
  </si>
  <si>
    <t>Coluna14018</t>
  </si>
  <si>
    <t>Coluna14019</t>
  </si>
  <si>
    <t>Coluna14020</t>
  </si>
  <si>
    <t>Coluna14021</t>
  </si>
  <si>
    <t>Coluna14022</t>
  </si>
  <si>
    <t>Coluna14023</t>
  </si>
  <si>
    <t>Coluna14024</t>
  </si>
  <si>
    <t>Coluna14025</t>
  </si>
  <si>
    <t>Coluna14026</t>
  </si>
  <si>
    <t>Coluna14027</t>
  </si>
  <si>
    <t>Coluna14028</t>
  </si>
  <si>
    <t>Coluna14029</t>
  </si>
  <si>
    <t>Coluna14030</t>
  </si>
  <si>
    <t>Coluna14031</t>
  </si>
  <si>
    <t>Coluna14032</t>
  </si>
  <si>
    <t>Coluna14033</t>
  </si>
  <si>
    <t>Coluna14034</t>
  </si>
  <si>
    <t>Coluna14035</t>
  </si>
  <si>
    <t>Coluna14036</t>
  </si>
  <si>
    <t>Coluna14037</t>
  </si>
  <si>
    <t>Coluna14038</t>
  </si>
  <si>
    <t>Coluna14039</t>
  </si>
  <si>
    <t>Coluna14040</t>
  </si>
  <si>
    <t>Coluna14041</t>
  </si>
  <si>
    <t>Coluna14042</t>
  </si>
  <si>
    <t>Coluna14043</t>
  </si>
  <si>
    <t>Coluna14044</t>
  </si>
  <si>
    <t>Coluna14045</t>
  </si>
  <si>
    <t>Coluna14046</t>
  </si>
  <si>
    <t>Coluna14047</t>
  </si>
  <si>
    <t>Coluna14048</t>
  </si>
  <si>
    <t>Coluna14049</t>
  </si>
  <si>
    <t>Coluna14050</t>
  </si>
  <si>
    <t>Coluna14051</t>
  </si>
  <si>
    <t>Coluna14052</t>
  </si>
  <si>
    <t>Coluna14053</t>
  </si>
  <si>
    <t>Coluna14054</t>
  </si>
  <si>
    <t>Coluna14055</t>
  </si>
  <si>
    <t>Coluna14056</t>
  </si>
  <si>
    <t>Coluna14057</t>
  </si>
  <si>
    <t>Coluna14058</t>
  </si>
  <si>
    <t>Coluna14059</t>
  </si>
  <si>
    <t>Coluna14060</t>
  </si>
  <si>
    <t>Coluna14061</t>
  </si>
  <si>
    <t>Coluna14062</t>
  </si>
  <si>
    <t>Coluna14063</t>
  </si>
  <si>
    <t>Coluna14064</t>
  </si>
  <si>
    <t>Coluna14065</t>
  </si>
  <si>
    <t>Coluna14066</t>
  </si>
  <si>
    <t>Coluna14067</t>
  </si>
  <si>
    <t>Coluna14068</t>
  </si>
  <si>
    <t>Coluna14069</t>
  </si>
  <si>
    <t>Coluna14070</t>
  </si>
  <si>
    <t>Coluna14071</t>
  </si>
  <si>
    <t>Coluna14072</t>
  </si>
  <si>
    <t>Coluna14073</t>
  </si>
  <si>
    <t>Coluna14074</t>
  </si>
  <si>
    <t>Coluna14075</t>
  </si>
  <si>
    <t>Coluna14076</t>
  </si>
  <si>
    <t>Coluna14077</t>
  </si>
  <si>
    <t>Coluna14078</t>
  </si>
  <si>
    <t>Coluna14079</t>
  </si>
  <si>
    <t>Coluna14080</t>
  </si>
  <si>
    <t>Coluna14081</t>
  </si>
  <si>
    <t>Coluna14082</t>
  </si>
  <si>
    <t>Coluna14083</t>
  </si>
  <si>
    <t>Coluna14084</t>
  </si>
  <si>
    <t>Coluna14085</t>
  </si>
  <si>
    <t>Coluna14086</t>
  </si>
  <si>
    <t>Coluna14087</t>
  </si>
  <si>
    <t>Coluna14088</t>
  </si>
  <si>
    <t>Coluna14089</t>
  </si>
  <si>
    <t>Coluna14090</t>
  </si>
  <si>
    <t>Coluna14091</t>
  </si>
  <si>
    <t>Coluna14092</t>
  </si>
  <si>
    <t>Coluna14093</t>
  </si>
  <si>
    <t>Coluna14094</t>
  </si>
  <si>
    <t>Coluna14095</t>
  </si>
  <si>
    <t>Coluna14096</t>
  </si>
  <si>
    <t>Coluna14097</t>
  </si>
  <si>
    <t>Coluna14098</t>
  </si>
  <si>
    <t>Coluna14099</t>
  </si>
  <si>
    <t>Coluna14100</t>
  </si>
  <si>
    <t>Coluna14101</t>
  </si>
  <si>
    <t>Coluna14102</t>
  </si>
  <si>
    <t>Coluna14103</t>
  </si>
  <si>
    <t>Coluna14104</t>
  </si>
  <si>
    <t>Coluna14105</t>
  </si>
  <si>
    <t>Coluna14106</t>
  </si>
  <si>
    <t>Coluna14107</t>
  </si>
  <si>
    <t>Coluna14108</t>
  </si>
  <si>
    <t>Coluna14109</t>
  </si>
  <si>
    <t>Coluna14110</t>
  </si>
  <si>
    <t>Coluna14111</t>
  </si>
  <si>
    <t>Coluna14112</t>
  </si>
  <si>
    <t>Coluna14113</t>
  </si>
  <si>
    <t>Coluna14114</t>
  </si>
  <si>
    <t>Coluna14115</t>
  </si>
  <si>
    <t>Coluna14116</t>
  </si>
  <si>
    <t>Coluna14117</t>
  </si>
  <si>
    <t>Coluna14118</t>
  </si>
  <si>
    <t>Coluna14119</t>
  </si>
  <si>
    <t>Coluna14120</t>
  </si>
  <si>
    <t>Coluna14121</t>
  </si>
  <si>
    <t>Coluna14122</t>
  </si>
  <si>
    <t>Coluna14123</t>
  </si>
  <si>
    <t>Coluna14124</t>
  </si>
  <si>
    <t>Coluna14125</t>
  </si>
  <si>
    <t>Coluna14126</t>
  </si>
  <si>
    <t>Coluna14127</t>
  </si>
  <si>
    <t>Coluna14128</t>
  </si>
  <si>
    <t>Coluna14129</t>
  </si>
  <si>
    <t>Coluna14130</t>
  </si>
  <si>
    <t>Coluna14131</t>
  </si>
  <si>
    <t>Coluna14132</t>
  </si>
  <si>
    <t>Coluna14133</t>
  </si>
  <si>
    <t>Coluna14134</t>
  </si>
  <si>
    <t>Coluna14135</t>
  </si>
  <si>
    <t>Coluna14136</t>
  </si>
  <si>
    <t>Coluna14137</t>
  </si>
  <si>
    <t>Coluna14138</t>
  </si>
  <si>
    <t>Coluna14139</t>
  </si>
  <si>
    <t>Coluna14140</t>
  </si>
  <si>
    <t>Coluna14141</t>
  </si>
  <si>
    <t>Coluna14142</t>
  </si>
  <si>
    <t>Coluna14143</t>
  </si>
  <si>
    <t>Coluna14144</t>
  </si>
  <si>
    <t>Coluna14145</t>
  </si>
  <si>
    <t>Coluna14146</t>
  </si>
  <si>
    <t>Coluna14147</t>
  </si>
  <si>
    <t>Coluna14148</t>
  </si>
  <si>
    <t>Coluna14149</t>
  </si>
  <si>
    <t>Coluna14150</t>
  </si>
  <si>
    <t>Coluna14151</t>
  </si>
  <si>
    <t>Coluna14152</t>
  </si>
  <si>
    <t>Coluna14153</t>
  </si>
  <si>
    <t>Coluna14154</t>
  </si>
  <si>
    <t>Coluna14155</t>
  </si>
  <si>
    <t>Coluna14156</t>
  </si>
  <si>
    <t>Coluna14157</t>
  </si>
  <si>
    <t>Coluna14158</t>
  </si>
  <si>
    <t>Coluna14159</t>
  </si>
  <si>
    <t>Coluna14160</t>
  </si>
  <si>
    <t>Coluna14161</t>
  </si>
  <si>
    <t>Coluna14162</t>
  </si>
  <si>
    <t>Coluna14163</t>
  </si>
  <si>
    <t>Coluna14164</t>
  </si>
  <si>
    <t>Coluna14165</t>
  </si>
  <si>
    <t>Coluna14166</t>
  </si>
  <si>
    <t>Coluna14167</t>
  </si>
  <si>
    <t>Coluna14168</t>
  </si>
  <si>
    <t>Coluna14169</t>
  </si>
  <si>
    <t>Coluna14170</t>
  </si>
  <si>
    <t>Coluna14171</t>
  </si>
  <si>
    <t>Coluna14172</t>
  </si>
  <si>
    <t>Coluna14173</t>
  </si>
  <si>
    <t>Coluna14174</t>
  </si>
  <si>
    <t>Coluna14175</t>
  </si>
  <si>
    <t>Coluna14176</t>
  </si>
  <si>
    <t>Coluna14177</t>
  </si>
  <si>
    <t>Coluna14178</t>
  </si>
  <si>
    <t>Coluna14179</t>
  </si>
  <si>
    <t>Coluna14180</t>
  </si>
  <si>
    <t>Coluna14181</t>
  </si>
  <si>
    <t>Coluna14182</t>
  </si>
  <si>
    <t>Coluna14183</t>
  </si>
  <si>
    <t>Coluna14184</t>
  </si>
  <si>
    <t>Coluna14185</t>
  </si>
  <si>
    <t>Coluna14186</t>
  </si>
  <si>
    <t>Coluna14187</t>
  </si>
  <si>
    <t>Coluna14188</t>
  </si>
  <si>
    <t>Coluna14189</t>
  </si>
  <si>
    <t>Coluna14190</t>
  </si>
  <si>
    <t>Coluna14191</t>
  </si>
  <si>
    <t>Coluna14192</t>
  </si>
  <si>
    <t>Coluna14193</t>
  </si>
  <si>
    <t>Coluna14194</t>
  </si>
  <si>
    <t>Coluna14195</t>
  </si>
  <si>
    <t>Coluna14196</t>
  </si>
  <si>
    <t>Coluna14197</t>
  </si>
  <si>
    <t>Coluna14198</t>
  </si>
  <si>
    <t>Coluna14199</t>
  </si>
  <si>
    <t>Coluna14200</t>
  </si>
  <si>
    <t>Coluna14201</t>
  </si>
  <si>
    <t>Coluna14202</t>
  </si>
  <si>
    <t>Coluna14203</t>
  </si>
  <si>
    <t>Coluna14204</t>
  </si>
  <si>
    <t>Coluna14205</t>
  </si>
  <si>
    <t>Coluna14206</t>
  </si>
  <si>
    <t>Coluna14207</t>
  </si>
  <si>
    <t>Coluna14208</t>
  </si>
  <si>
    <t>Coluna14209</t>
  </si>
  <si>
    <t>Coluna14210</t>
  </si>
  <si>
    <t>Coluna14211</t>
  </si>
  <si>
    <t>Coluna14212</t>
  </si>
  <si>
    <t>Coluna14213</t>
  </si>
  <si>
    <t>Coluna14214</t>
  </si>
  <si>
    <t>Coluna14215</t>
  </si>
  <si>
    <t>Coluna14216</t>
  </si>
  <si>
    <t>Coluna14217</t>
  </si>
  <si>
    <t>Coluna14218</t>
  </si>
  <si>
    <t>Coluna14219</t>
  </si>
  <si>
    <t>Coluna14220</t>
  </si>
  <si>
    <t>Coluna14221</t>
  </si>
  <si>
    <t>Coluna14222</t>
  </si>
  <si>
    <t>Coluna14223</t>
  </si>
  <si>
    <t>Coluna14224</t>
  </si>
  <si>
    <t>Coluna14225</t>
  </si>
  <si>
    <t>Coluna14226</t>
  </si>
  <si>
    <t>Coluna14227</t>
  </si>
  <si>
    <t>Coluna14228</t>
  </si>
  <si>
    <t>Coluna14229</t>
  </si>
  <si>
    <t>Coluna14230</t>
  </si>
  <si>
    <t>Coluna14231</t>
  </si>
  <si>
    <t>Coluna14232</t>
  </si>
  <si>
    <t>Coluna14233</t>
  </si>
  <si>
    <t>Coluna14234</t>
  </si>
  <si>
    <t>Coluna14235</t>
  </si>
  <si>
    <t>Coluna14236</t>
  </si>
  <si>
    <t>Coluna14237</t>
  </si>
  <si>
    <t>Coluna14238</t>
  </si>
  <si>
    <t>Coluna14239</t>
  </si>
  <si>
    <t>Coluna14240</t>
  </si>
  <si>
    <t>Coluna14241</t>
  </si>
  <si>
    <t>Coluna14242</t>
  </si>
  <si>
    <t>Coluna14243</t>
  </si>
  <si>
    <t>Coluna14244</t>
  </si>
  <si>
    <t>Coluna14245</t>
  </si>
  <si>
    <t>Coluna14246</t>
  </si>
  <si>
    <t>Coluna14247</t>
  </si>
  <si>
    <t>Coluna14248</t>
  </si>
  <si>
    <t>Coluna14249</t>
  </si>
  <si>
    <t>Coluna14250</t>
  </si>
  <si>
    <t>Coluna14251</t>
  </si>
  <si>
    <t>Coluna14252</t>
  </si>
  <si>
    <t>Coluna14253</t>
  </si>
  <si>
    <t>Coluna14254</t>
  </si>
  <si>
    <t>Coluna14255</t>
  </si>
  <si>
    <t>Coluna14256</t>
  </si>
  <si>
    <t>Coluna14257</t>
  </si>
  <si>
    <t>Coluna14258</t>
  </si>
  <si>
    <t>Coluna14259</t>
  </si>
  <si>
    <t>Coluna14260</t>
  </si>
  <si>
    <t>Coluna14261</t>
  </si>
  <si>
    <t>Coluna14262</t>
  </si>
  <si>
    <t>Coluna14263</t>
  </si>
  <si>
    <t>Coluna14264</t>
  </si>
  <si>
    <t>Coluna14265</t>
  </si>
  <si>
    <t>Coluna14266</t>
  </si>
  <si>
    <t>Coluna14267</t>
  </si>
  <si>
    <t>Coluna14268</t>
  </si>
  <si>
    <t>Coluna14269</t>
  </si>
  <si>
    <t>Coluna14270</t>
  </si>
  <si>
    <t>Coluna14271</t>
  </si>
  <si>
    <t>Coluna14272</t>
  </si>
  <si>
    <t>Coluna14273</t>
  </si>
  <si>
    <t>Coluna14274</t>
  </si>
  <si>
    <t>Coluna14275</t>
  </si>
  <si>
    <t>Coluna14276</t>
  </si>
  <si>
    <t>Coluna14277</t>
  </si>
  <si>
    <t>Coluna14278</t>
  </si>
  <si>
    <t>Coluna14279</t>
  </si>
  <si>
    <t>Coluna14280</t>
  </si>
  <si>
    <t>Coluna14281</t>
  </si>
  <si>
    <t>Coluna14282</t>
  </si>
  <si>
    <t>Coluna14283</t>
  </si>
  <si>
    <t>Coluna14284</t>
  </si>
  <si>
    <t>Coluna14285</t>
  </si>
  <si>
    <t>Coluna14286</t>
  </si>
  <si>
    <t>Coluna14287</t>
  </si>
  <si>
    <t>Coluna14288</t>
  </si>
  <si>
    <t>Coluna14289</t>
  </si>
  <si>
    <t>Coluna14290</t>
  </si>
  <si>
    <t>Coluna14291</t>
  </si>
  <si>
    <t>Coluna14292</t>
  </si>
  <si>
    <t>Coluna14293</t>
  </si>
  <si>
    <t>Coluna14294</t>
  </si>
  <si>
    <t>Coluna14295</t>
  </si>
  <si>
    <t>Coluna14296</t>
  </si>
  <si>
    <t>Coluna14297</t>
  </si>
  <si>
    <t>Coluna14298</t>
  </si>
  <si>
    <t>Coluna14299</t>
  </si>
  <si>
    <t>Coluna14300</t>
  </si>
  <si>
    <t>Coluna14301</t>
  </si>
  <si>
    <t>Coluna14302</t>
  </si>
  <si>
    <t>Coluna14303</t>
  </si>
  <si>
    <t>Coluna14304</t>
  </si>
  <si>
    <t>Coluna14305</t>
  </si>
  <si>
    <t>Coluna14306</t>
  </si>
  <si>
    <t>Coluna14307</t>
  </si>
  <si>
    <t>Coluna14308</t>
  </si>
  <si>
    <t>Coluna14309</t>
  </si>
  <si>
    <t>Coluna14310</t>
  </si>
  <si>
    <t>Coluna14311</t>
  </si>
  <si>
    <t>Coluna14312</t>
  </si>
  <si>
    <t>Coluna14313</t>
  </si>
  <si>
    <t>Coluna14314</t>
  </si>
  <si>
    <t>Coluna14315</t>
  </si>
  <si>
    <t>Coluna14316</t>
  </si>
  <si>
    <t>Coluna14317</t>
  </si>
  <si>
    <t>Coluna14318</t>
  </si>
  <si>
    <t>Coluna14319</t>
  </si>
  <si>
    <t>Coluna14320</t>
  </si>
  <si>
    <t>Coluna14321</t>
  </si>
  <si>
    <t>Coluna14322</t>
  </si>
  <si>
    <t>Coluna14323</t>
  </si>
  <si>
    <t>Coluna14324</t>
  </si>
  <si>
    <t>Coluna14325</t>
  </si>
  <si>
    <t>Coluna14326</t>
  </si>
  <si>
    <t>Coluna14327</t>
  </si>
  <si>
    <t>Coluna14328</t>
  </si>
  <si>
    <t>Coluna14329</t>
  </si>
  <si>
    <t>Coluna14330</t>
  </si>
  <si>
    <t>Coluna14331</t>
  </si>
  <si>
    <t>Coluna14332</t>
  </si>
  <si>
    <t>Coluna14333</t>
  </si>
  <si>
    <t>Coluna14334</t>
  </si>
  <si>
    <t>Coluna14335</t>
  </si>
  <si>
    <t>Coluna14336</t>
  </si>
  <si>
    <t>Coluna14337</t>
  </si>
  <si>
    <t>Coluna14338</t>
  </si>
  <si>
    <t>Coluna14339</t>
  </si>
  <si>
    <t>Coluna14340</t>
  </si>
  <si>
    <t>Coluna14341</t>
  </si>
  <si>
    <t>Coluna14342</t>
  </si>
  <si>
    <t>Coluna14343</t>
  </si>
  <si>
    <t>Coluna14344</t>
  </si>
  <si>
    <t>Coluna14345</t>
  </si>
  <si>
    <t>Coluna14346</t>
  </si>
  <si>
    <t>Coluna14347</t>
  </si>
  <si>
    <t>Coluna14348</t>
  </si>
  <si>
    <t>Coluna14349</t>
  </si>
  <si>
    <t>Coluna14350</t>
  </si>
  <si>
    <t>Coluna14351</t>
  </si>
  <si>
    <t>Coluna14352</t>
  </si>
  <si>
    <t>Coluna14353</t>
  </si>
  <si>
    <t>Coluna14354</t>
  </si>
  <si>
    <t>Coluna14355</t>
  </si>
  <si>
    <t>Coluna14356</t>
  </si>
  <si>
    <t>Coluna14357</t>
  </si>
  <si>
    <t>Coluna14358</t>
  </si>
  <si>
    <t>Coluna14359</t>
  </si>
  <si>
    <t>Coluna14360</t>
  </si>
  <si>
    <t>Coluna14361</t>
  </si>
  <si>
    <t>Coluna14362</t>
  </si>
  <si>
    <t>Coluna14363</t>
  </si>
  <si>
    <t>Coluna14364</t>
  </si>
  <si>
    <t>Coluna14365</t>
  </si>
  <si>
    <t>Coluna14366</t>
  </si>
  <si>
    <t>Coluna14367</t>
  </si>
  <si>
    <t>Coluna14368</t>
  </si>
  <si>
    <t>Coluna14369</t>
  </si>
  <si>
    <t>Coluna14370</t>
  </si>
  <si>
    <t>Coluna14371</t>
  </si>
  <si>
    <t>Coluna14372</t>
  </si>
  <si>
    <t>Coluna14373</t>
  </si>
  <si>
    <t>Coluna14374</t>
  </si>
  <si>
    <t>Coluna14375</t>
  </si>
  <si>
    <t>Coluna14376</t>
  </si>
  <si>
    <t>Coluna14377</t>
  </si>
  <si>
    <t>Coluna14378</t>
  </si>
  <si>
    <t>Coluna14379</t>
  </si>
  <si>
    <t>Coluna14380</t>
  </si>
  <si>
    <t>Coluna14381</t>
  </si>
  <si>
    <t>Coluna14382</t>
  </si>
  <si>
    <t>Coluna14383</t>
  </si>
  <si>
    <t>Coluna14384</t>
  </si>
  <si>
    <t>Coluna14385</t>
  </si>
  <si>
    <t>Coluna14386</t>
  </si>
  <si>
    <t>Coluna14387</t>
  </si>
  <si>
    <t>Coluna14388</t>
  </si>
  <si>
    <t>Coluna14389</t>
  </si>
  <si>
    <t>Coluna14390</t>
  </si>
  <si>
    <t>Coluna14391</t>
  </si>
  <si>
    <t>Coluna14392</t>
  </si>
  <si>
    <t>Coluna14393</t>
  </si>
  <si>
    <t>Coluna14394</t>
  </si>
  <si>
    <t>Coluna14395</t>
  </si>
  <si>
    <t>Coluna14396</t>
  </si>
  <si>
    <t>Coluna14397</t>
  </si>
  <si>
    <t>Coluna14398</t>
  </si>
  <si>
    <t>Coluna14399</t>
  </si>
  <si>
    <t>Coluna14400</t>
  </si>
  <si>
    <t>Coluna14401</t>
  </si>
  <si>
    <t>Coluna14402</t>
  </si>
  <si>
    <t>Coluna14403</t>
  </si>
  <si>
    <t>Coluna14404</t>
  </si>
  <si>
    <t>Coluna14405</t>
  </si>
  <si>
    <t>Coluna14406</t>
  </si>
  <si>
    <t>Coluna14407</t>
  </si>
  <si>
    <t>Coluna14408</t>
  </si>
  <si>
    <t>Coluna14409</t>
  </si>
  <si>
    <t>Coluna14410</t>
  </si>
  <si>
    <t>Coluna14411</t>
  </si>
  <si>
    <t>Coluna14412</t>
  </si>
  <si>
    <t>Coluna14413</t>
  </si>
  <si>
    <t>Coluna14414</t>
  </si>
  <si>
    <t>Coluna14415</t>
  </si>
  <si>
    <t>Coluna14416</t>
  </si>
  <si>
    <t>Coluna14417</t>
  </si>
  <si>
    <t>Coluna14418</t>
  </si>
  <si>
    <t>Coluna14419</t>
  </si>
  <si>
    <t>Coluna14420</t>
  </si>
  <si>
    <t>Coluna14421</t>
  </si>
  <si>
    <t>Coluna14422</t>
  </si>
  <si>
    <t>Coluna14423</t>
  </si>
  <si>
    <t>Coluna14424</t>
  </si>
  <si>
    <t>Coluna14425</t>
  </si>
  <si>
    <t>Coluna14426</t>
  </si>
  <si>
    <t>Coluna14427</t>
  </si>
  <si>
    <t>Coluna14428</t>
  </si>
  <si>
    <t>Coluna14429</t>
  </si>
  <si>
    <t>Coluna14430</t>
  </si>
  <si>
    <t>Coluna14431</t>
  </si>
  <si>
    <t>Coluna14432</t>
  </si>
  <si>
    <t>Coluna14433</t>
  </si>
  <si>
    <t>Coluna14434</t>
  </si>
  <si>
    <t>Coluna14435</t>
  </si>
  <si>
    <t>Coluna14436</t>
  </si>
  <si>
    <t>Coluna14437</t>
  </si>
  <si>
    <t>Coluna14438</t>
  </si>
  <si>
    <t>Coluna14439</t>
  </si>
  <si>
    <t>Coluna14440</t>
  </si>
  <si>
    <t>Coluna14441</t>
  </si>
  <si>
    <t>Coluna14442</t>
  </si>
  <si>
    <t>Coluna14443</t>
  </si>
  <si>
    <t>Coluna14444</t>
  </si>
  <si>
    <t>Coluna14445</t>
  </si>
  <si>
    <t>Coluna14446</t>
  </si>
  <si>
    <t>Coluna14447</t>
  </si>
  <si>
    <t>Coluna14448</t>
  </si>
  <si>
    <t>Coluna14449</t>
  </si>
  <si>
    <t>Coluna14450</t>
  </si>
  <si>
    <t>Coluna14451</t>
  </si>
  <si>
    <t>Coluna14452</t>
  </si>
  <si>
    <t>Coluna14453</t>
  </si>
  <si>
    <t>Coluna14454</t>
  </si>
  <si>
    <t>Coluna14455</t>
  </si>
  <si>
    <t>Coluna14456</t>
  </si>
  <si>
    <t>Coluna14457</t>
  </si>
  <si>
    <t>Coluna14458</t>
  </si>
  <si>
    <t>Coluna14459</t>
  </si>
  <si>
    <t>Coluna14460</t>
  </si>
  <si>
    <t>Coluna14461</t>
  </si>
  <si>
    <t>Coluna14462</t>
  </si>
  <si>
    <t>Coluna14463</t>
  </si>
  <si>
    <t>Coluna14464</t>
  </si>
  <si>
    <t>Coluna14465</t>
  </si>
  <si>
    <t>Coluna14466</t>
  </si>
  <si>
    <t>Coluna14467</t>
  </si>
  <si>
    <t>Coluna14468</t>
  </si>
  <si>
    <t>Coluna14469</t>
  </si>
  <si>
    <t>Coluna14470</t>
  </si>
  <si>
    <t>Coluna14471</t>
  </si>
  <si>
    <t>Coluna14472</t>
  </si>
  <si>
    <t>Coluna14473</t>
  </si>
  <si>
    <t>Coluna14474</t>
  </si>
  <si>
    <t>Coluna14475</t>
  </si>
  <si>
    <t>Coluna14476</t>
  </si>
  <si>
    <t>Coluna14477</t>
  </si>
  <si>
    <t>Coluna14478</t>
  </si>
  <si>
    <t>Coluna14479</t>
  </si>
  <si>
    <t>Coluna14480</t>
  </si>
  <si>
    <t>Coluna14481</t>
  </si>
  <si>
    <t>Coluna14482</t>
  </si>
  <si>
    <t>Coluna14483</t>
  </si>
  <si>
    <t>Coluna14484</t>
  </si>
  <si>
    <t>Coluna14485</t>
  </si>
  <si>
    <t>Coluna14486</t>
  </si>
  <si>
    <t>Coluna14487</t>
  </si>
  <si>
    <t>Coluna14488</t>
  </si>
  <si>
    <t>Coluna14489</t>
  </si>
  <si>
    <t>Coluna14490</t>
  </si>
  <si>
    <t>Coluna14491</t>
  </si>
  <si>
    <t>Coluna14492</t>
  </si>
  <si>
    <t>Coluna14493</t>
  </si>
  <si>
    <t>Coluna14494</t>
  </si>
  <si>
    <t>Coluna14495</t>
  </si>
  <si>
    <t>Coluna14496</t>
  </si>
  <si>
    <t>Coluna14497</t>
  </si>
  <si>
    <t>Coluna14498</t>
  </si>
  <si>
    <t>Coluna14499</t>
  </si>
  <si>
    <t>Coluna14500</t>
  </si>
  <si>
    <t>Coluna14501</t>
  </si>
  <si>
    <t>Coluna14502</t>
  </si>
  <si>
    <t>Coluna14503</t>
  </si>
  <si>
    <t>Coluna14504</t>
  </si>
  <si>
    <t>Coluna14505</t>
  </si>
  <si>
    <t>Coluna14506</t>
  </si>
  <si>
    <t>Coluna14507</t>
  </si>
  <si>
    <t>Coluna14508</t>
  </si>
  <si>
    <t>Coluna14509</t>
  </si>
  <si>
    <t>Coluna14510</t>
  </si>
  <si>
    <t>Coluna14511</t>
  </si>
  <si>
    <t>Coluna14512</t>
  </si>
  <si>
    <t>Coluna14513</t>
  </si>
  <si>
    <t>Coluna14514</t>
  </si>
  <si>
    <t>Coluna14515</t>
  </si>
  <si>
    <t>Coluna14516</t>
  </si>
  <si>
    <t>Coluna14517</t>
  </si>
  <si>
    <t>Coluna14518</t>
  </si>
  <si>
    <t>Coluna14519</t>
  </si>
  <si>
    <t>Coluna14520</t>
  </si>
  <si>
    <t>Coluna14521</t>
  </si>
  <si>
    <t>Coluna14522</t>
  </si>
  <si>
    <t>Coluna14523</t>
  </si>
  <si>
    <t>Coluna14524</t>
  </si>
  <si>
    <t>Coluna14525</t>
  </si>
  <si>
    <t>Coluna14526</t>
  </si>
  <si>
    <t>Coluna14527</t>
  </si>
  <si>
    <t>Coluna14528</t>
  </si>
  <si>
    <t>Coluna14529</t>
  </si>
  <si>
    <t>Coluna14530</t>
  </si>
  <si>
    <t>Coluna14531</t>
  </si>
  <si>
    <t>Coluna14532</t>
  </si>
  <si>
    <t>Coluna14533</t>
  </si>
  <si>
    <t>Coluna14534</t>
  </si>
  <si>
    <t>Coluna14535</t>
  </si>
  <si>
    <t>Coluna14536</t>
  </si>
  <si>
    <t>Coluna14537</t>
  </si>
  <si>
    <t>Coluna14538</t>
  </si>
  <si>
    <t>Coluna14539</t>
  </si>
  <si>
    <t>Coluna14540</t>
  </si>
  <si>
    <t>Coluna14541</t>
  </si>
  <si>
    <t>Coluna14542</t>
  </si>
  <si>
    <t>Coluna14543</t>
  </si>
  <si>
    <t>Coluna14544</t>
  </si>
  <si>
    <t>Coluna14545</t>
  </si>
  <si>
    <t>Coluna14546</t>
  </si>
  <si>
    <t>Coluna14547</t>
  </si>
  <si>
    <t>Coluna14548</t>
  </si>
  <si>
    <t>Coluna14549</t>
  </si>
  <si>
    <t>Coluna14550</t>
  </si>
  <si>
    <t>Coluna14551</t>
  </si>
  <si>
    <t>Coluna14552</t>
  </si>
  <si>
    <t>Coluna14553</t>
  </si>
  <si>
    <t>Coluna14554</t>
  </si>
  <si>
    <t>Coluna14555</t>
  </si>
  <si>
    <t>Coluna14556</t>
  </si>
  <si>
    <t>Coluna14557</t>
  </si>
  <si>
    <t>Coluna14558</t>
  </si>
  <si>
    <t>Coluna14559</t>
  </si>
  <si>
    <t>Coluna14560</t>
  </si>
  <si>
    <t>Coluna14561</t>
  </si>
  <si>
    <t>Coluna14562</t>
  </si>
  <si>
    <t>Coluna14563</t>
  </si>
  <si>
    <t>Coluna14564</t>
  </si>
  <si>
    <t>Coluna14565</t>
  </si>
  <si>
    <t>Coluna14566</t>
  </si>
  <si>
    <t>Coluna14567</t>
  </si>
  <si>
    <t>Coluna14568</t>
  </si>
  <si>
    <t>Coluna14569</t>
  </si>
  <si>
    <t>Coluna14570</t>
  </si>
  <si>
    <t>Coluna14571</t>
  </si>
  <si>
    <t>Coluna14572</t>
  </si>
  <si>
    <t>Coluna14573</t>
  </si>
  <si>
    <t>Coluna14574</t>
  </si>
  <si>
    <t>Coluna14575</t>
  </si>
  <si>
    <t>Coluna14576</t>
  </si>
  <si>
    <t>Coluna14577</t>
  </si>
  <si>
    <t>Coluna14578</t>
  </si>
  <si>
    <t>Coluna14579</t>
  </si>
  <si>
    <t>Coluna14580</t>
  </si>
  <si>
    <t>Coluna14581</t>
  </si>
  <si>
    <t>Coluna14582</t>
  </si>
  <si>
    <t>Coluna14583</t>
  </si>
  <si>
    <t>Coluna14584</t>
  </si>
  <si>
    <t>Coluna14585</t>
  </si>
  <si>
    <t>Coluna14586</t>
  </si>
  <si>
    <t>Coluna14587</t>
  </si>
  <si>
    <t>Coluna14588</t>
  </si>
  <si>
    <t>Coluna14589</t>
  </si>
  <si>
    <t>Coluna14590</t>
  </si>
  <si>
    <t>Coluna14591</t>
  </si>
  <si>
    <t>Coluna14592</t>
  </si>
  <si>
    <t>Coluna14593</t>
  </si>
  <si>
    <t>Coluna14594</t>
  </si>
  <si>
    <t>Coluna14595</t>
  </si>
  <si>
    <t>Coluna14596</t>
  </si>
  <si>
    <t>Coluna14597</t>
  </si>
  <si>
    <t>Coluna14598</t>
  </si>
  <si>
    <t>Coluna14599</t>
  </si>
  <si>
    <t>Coluna14600</t>
  </si>
  <si>
    <t>Coluna14601</t>
  </si>
  <si>
    <t>Coluna14602</t>
  </si>
  <si>
    <t>Coluna14603</t>
  </si>
  <si>
    <t>Coluna14604</t>
  </si>
  <si>
    <t>Coluna14605</t>
  </si>
  <si>
    <t>Coluna14606</t>
  </si>
  <si>
    <t>Coluna14607</t>
  </si>
  <si>
    <t>Coluna14608</t>
  </si>
  <si>
    <t>Coluna14609</t>
  </si>
  <si>
    <t>Coluna14610</t>
  </si>
  <si>
    <t>Coluna14611</t>
  </si>
  <si>
    <t>Coluna14612</t>
  </si>
  <si>
    <t>Coluna14613</t>
  </si>
  <si>
    <t>Coluna14614</t>
  </si>
  <si>
    <t>Coluna14615</t>
  </si>
  <si>
    <t>Coluna14616</t>
  </si>
  <si>
    <t>Coluna14617</t>
  </si>
  <si>
    <t>Coluna14618</t>
  </si>
  <si>
    <t>Coluna14619</t>
  </si>
  <si>
    <t>Coluna14620</t>
  </si>
  <si>
    <t>Coluna14621</t>
  </si>
  <si>
    <t>Coluna14622</t>
  </si>
  <si>
    <t>Coluna14623</t>
  </si>
  <si>
    <t>Coluna14624</t>
  </si>
  <si>
    <t>Coluna14625</t>
  </si>
  <si>
    <t>Coluna14626</t>
  </si>
  <si>
    <t>Coluna14627</t>
  </si>
  <si>
    <t>Coluna14628</t>
  </si>
  <si>
    <t>Coluna14629</t>
  </si>
  <si>
    <t>Coluna14630</t>
  </si>
  <si>
    <t>Coluna14631</t>
  </si>
  <si>
    <t>Coluna14632</t>
  </si>
  <si>
    <t>Coluna14633</t>
  </si>
  <si>
    <t>Coluna14634</t>
  </si>
  <si>
    <t>Coluna14635</t>
  </si>
  <si>
    <t>Coluna14636</t>
  </si>
  <si>
    <t>Coluna14637</t>
  </si>
  <si>
    <t>Coluna14638</t>
  </si>
  <si>
    <t>Coluna14639</t>
  </si>
  <si>
    <t>Coluna14640</t>
  </si>
  <si>
    <t>Coluna14641</t>
  </si>
  <si>
    <t>Coluna14642</t>
  </si>
  <si>
    <t>Coluna14643</t>
  </si>
  <si>
    <t>Coluna14644</t>
  </si>
  <si>
    <t>Coluna14645</t>
  </si>
  <si>
    <t>Coluna14646</t>
  </si>
  <si>
    <t>Coluna14647</t>
  </si>
  <si>
    <t>Coluna14648</t>
  </si>
  <si>
    <t>Coluna14649</t>
  </si>
  <si>
    <t>Coluna14650</t>
  </si>
  <si>
    <t>Coluna14651</t>
  </si>
  <si>
    <t>Coluna14652</t>
  </si>
  <si>
    <t>Coluna14653</t>
  </si>
  <si>
    <t>Coluna14654</t>
  </si>
  <si>
    <t>Coluna14655</t>
  </si>
  <si>
    <t>Coluna14656</t>
  </si>
  <si>
    <t>Coluna14657</t>
  </si>
  <si>
    <t>Coluna14658</t>
  </si>
  <si>
    <t>Coluna14659</t>
  </si>
  <si>
    <t>Coluna14660</t>
  </si>
  <si>
    <t>Coluna14661</t>
  </si>
  <si>
    <t>Coluna14662</t>
  </si>
  <si>
    <t>Coluna14663</t>
  </si>
  <si>
    <t>Coluna14664</t>
  </si>
  <si>
    <t>Coluna14665</t>
  </si>
  <si>
    <t>Coluna14666</t>
  </si>
  <si>
    <t>Coluna14667</t>
  </si>
  <si>
    <t>Coluna14668</t>
  </si>
  <si>
    <t>Coluna14669</t>
  </si>
  <si>
    <t>Coluna14670</t>
  </si>
  <si>
    <t>Coluna14671</t>
  </si>
  <si>
    <t>Coluna14672</t>
  </si>
  <si>
    <t>Coluna14673</t>
  </si>
  <si>
    <t>Coluna14674</t>
  </si>
  <si>
    <t>Coluna14675</t>
  </si>
  <si>
    <t>Coluna14676</t>
  </si>
  <si>
    <t>Coluna14677</t>
  </si>
  <si>
    <t>Coluna14678</t>
  </si>
  <si>
    <t>Coluna14679</t>
  </si>
  <si>
    <t>Coluna14680</t>
  </si>
  <si>
    <t>Coluna14681</t>
  </si>
  <si>
    <t>Coluna14682</t>
  </si>
  <si>
    <t>Coluna14683</t>
  </si>
  <si>
    <t>Coluna14684</t>
  </si>
  <si>
    <t>Coluna14685</t>
  </si>
  <si>
    <t>Coluna14686</t>
  </si>
  <si>
    <t>Coluna14687</t>
  </si>
  <si>
    <t>Coluna14688</t>
  </si>
  <si>
    <t>Coluna14689</t>
  </si>
  <si>
    <t>Coluna14690</t>
  </si>
  <si>
    <t>Coluna14691</t>
  </si>
  <si>
    <t>Coluna14692</t>
  </si>
  <si>
    <t>Coluna14693</t>
  </si>
  <si>
    <t>Coluna14694</t>
  </si>
  <si>
    <t>Coluna14695</t>
  </si>
  <si>
    <t>Coluna14696</t>
  </si>
  <si>
    <t>Coluna14697</t>
  </si>
  <si>
    <t>Coluna14698</t>
  </si>
  <si>
    <t>Coluna14699</t>
  </si>
  <si>
    <t>Coluna14700</t>
  </si>
  <si>
    <t>Coluna14701</t>
  </si>
  <si>
    <t>Coluna14702</t>
  </si>
  <si>
    <t>Coluna14703</t>
  </si>
  <si>
    <t>Coluna14704</t>
  </si>
  <si>
    <t>Coluna14705</t>
  </si>
  <si>
    <t>Coluna14706</t>
  </si>
  <si>
    <t>Coluna14707</t>
  </si>
  <si>
    <t>Coluna14708</t>
  </si>
  <si>
    <t>Coluna14709</t>
  </si>
  <si>
    <t>Coluna14710</t>
  </si>
  <si>
    <t>Coluna14711</t>
  </si>
  <si>
    <t>Coluna14712</t>
  </si>
  <si>
    <t>Coluna14713</t>
  </si>
  <si>
    <t>Coluna14714</t>
  </si>
  <si>
    <t>Coluna14715</t>
  </si>
  <si>
    <t>Coluna14716</t>
  </si>
  <si>
    <t>Coluna14717</t>
  </si>
  <si>
    <t>Coluna14718</t>
  </si>
  <si>
    <t>Coluna14719</t>
  </si>
  <si>
    <t>Coluna14720</t>
  </si>
  <si>
    <t>Coluna14721</t>
  </si>
  <si>
    <t>Coluna14722</t>
  </si>
  <si>
    <t>Coluna14723</t>
  </si>
  <si>
    <t>Coluna14724</t>
  </si>
  <si>
    <t>Coluna14725</t>
  </si>
  <si>
    <t>Coluna14726</t>
  </si>
  <si>
    <t>Coluna14727</t>
  </si>
  <si>
    <t>Coluna14728</t>
  </si>
  <si>
    <t>Coluna14729</t>
  </si>
  <si>
    <t>Coluna14730</t>
  </si>
  <si>
    <t>Coluna14731</t>
  </si>
  <si>
    <t>Coluna14732</t>
  </si>
  <si>
    <t>Coluna14733</t>
  </si>
  <si>
    <t>Coluna14734</t>
  </si>
  <si>
    <t>Coluna14735</t>
  </si>
  <si>
    <t>Coluna14736</t>
  </si>
  <si>
    <t>Coluna14737</t>
  </si>
  <si>
    <t>Coluna14738</t>
  </si>
  <si>
    <t>Coluna14739</t>
  </si>
  <si>
    <t>Coluna14740</t>
  </si>
  <si>
    <t>Coluna14741</t>
  </si>
  <si>
    <t>Coluna14742</t>
  </si>
  <si>
    <t>Coluna14743</t>
  </si>
  <si>
    <t>Coluna14744</t>
  </si>
  <si>
    <t>Coluna14745</t>
  </si>
  <si>
    <t>Coluna14746</t>
  </si>
  <si>
    <t>Coluna14747</t>
  </si>
  <si>
    <t>Coluna14748</t>
  </si>
  <si>
    <t>Coluna14749</t>
  </si>
  <si>
    <t>Coluna14750</t>
  </si>
  <si>
    <t>Coluna14751</t>
  </si>
  <si>
    <t>Coluna14752</t>
  </si>
  <si>
    <t>Coluna14753</t>
  </si>
  <si>
    <t>Coluna14754</t>
  </si>
  <si>
    <t>Coluna14755</t>
  </si>
  <si>
    <t>Coluna14756</t>
  </si>
  <si>
    <t>Coluna14757</t>
  </si>
  <si>
    <t>Coluna14758</t>
  </si>
  <si>
    <t>Coluna14759</t>
  </si>
  <si>
    <t>Coluna14760</t>
  </si>
  <si>
    <t>Coluna14761</t>
  </si>
  <si>
    <t>Coluna14762</t>
  </si>
  <si>
    <t>Coluna14763</t>
  </si>
  <si>
    <t>Coluna14764</t>
  </si>
  <si>
    <t>Coluna14765</t>
  </si>
  <si>
    <t>Coluna14766</t>
  </si>
  <si>
    <t>Coluna14767</t>
  </si>
  <si>
    <t>Coluna14768</t>
  </si>
  <si>
    <t>Coluna14769</t>
  </si>
  <si>
    <t>Coluna14770</t>
  </si>
  <si>
    <t>Coluna14771</t>
  </si>
  <si>
    <t>Coluna14772</t>
  </si>
  <si>
    <t>Coluna14773</t>
  </si>
  <si>
    <t>Coluna14774</t>
  </si>
  <si>
    <t>Coluna14775</t>
  </si>
  <si>
    <t>Coluna14776</t>
  </si>
  <si>
    <t>Coluna14777</t>
  </si>
  <si>
    <t>Coluna14778</t>
  </si>
  <si>
    <t>Coluna14779</t>
  </si>
  <si>
    <t>Coluna14780</t>
  </si>
  <si>
    <t>Coluna14781</t>
  </si>
  <si>
    <t>Coluna14782</t>
  </si>
  <si>
    <t>Coluna14783</t>
  </si>
  <si>
    <t>Coluna14784</t>
  </si>
  <si>
    <t>Coluna14785</t>
  </si>
  <si>
    <t>Coluna14786</t>
  </si>
  <si>
    <t>Coluna14787</t>
  </si>
  <si>
    <t>Coluna14788</t>
  </si>
  <si>
    <t>Coluna14789</t>
  </si>
  <si>
    <t>Coluna14790</t>
  </si>
  <si>
    <t>Coluna14791</t>
  </si>
  <si>
    <t>Coluna14792</t>
  </si>
  <si>
    <t>Coluna14793</t>
  </si>
  <si>
    <t>Coluna14794</t>
  </si>
  <si>
    <t>Coluna14795</t>
  </si>
  <si>
    <t>Coluna14796</t>
  </si>
  <si>
    <t>Coluna14797</t>
  </si>
  <si>
    <t>Coluna14798</t>
  </si>
  <si>
    <t>Coluna14799</t>
  </si>
  <si>
    <t>Coluna14800</t>
  </si>
  <si>
    <t>Coluna14801</t>
  </si>
  <si>
    <t>Coluna14802</t>
  </si>
  <si>
    <t>Coluna14803</t>
  </si>
  <si>
    <t>Coluna14804</t>
  </si>
  <si>
    <t>Coluna14805</t>
  </si>
  <si>
    <t>Coluna14806</t>
  </si>
  <si>
    <t>Coluna14807</t>
  </si>
  <si>
    <t>Coluna14808</t>
  </si>
  <si>
    <t>Coluna14809</t>
  </si>
  <si>
    <t>Coluna14810</t>
  </si>
  <si>
    <t>Coluna14811</t>
  </si>
  <si>
    <t>Coluna14812</t>
  </si>
  <si>
    <t>Coluna14813</t>
  </si>
  <si>
    <t>Coluna14814</t>
  </si>
  <si>
    <t>Coluna14815</t>
  </si>
  <si>
    <t>Coluna14816</t>
  </si>
  <si>
    <t>Coluna14817</t>
  </si>
  <si>
    <t>Coluna14818</t>
  </si>
  <si>
    <t>Coluna14819</t>
  </si>
  <si>
    <t>Coluna14820</t>
  </si>
  <si>
    <t>Coluna14821</t>
  </si>
  <si>
    <t>Coluna14822</t>
  </si>
  <si>
    <t>Coluna14823</t>
  </si>
  <si>
    <t>Coluna14824</t>
  </si>
  <si>
    <t>Coluna14825</t>
  </si>
  <si>
    <t>Coluna14826</t>
  </si>
  <si>
    <t>Coluna14827</t>
  </si>
  <si>
    <t>Coluna14828</t>
  </si>
  <si>
    <t>Coluna14829</t>
  </si>
  <si>
    <t>Coluna14830</t>
  </si>
  <si>
    <t>Coluna14831</t>
  </si>
  <si>
    <t>Coluna14832</t>
  </si>
  <si>
    <t>Coluna14833</t>
  </si>
  <si>
    <t>Coluna14834</t>
  </si>
  <si>
    <t>Coluna14835</t>
  </si>
  <si>
    <t>Coluna14836</t>
  </si>
  <si>
    <t>Coluna14837</t>
  </si>
  <si>
    <t>Coluna14838</t>
  </si>
  <si>
    <t>Coluna14839</t>
  </si>
  <si>
    <t>Coluna14840</t>
  </si>
  <si>
    <t>Coluna14841</t>
  </si>
  <si>
    <t>Coluna14842</t>
  </si>
  <si>
    <t>Coluna14843</t>
  </si>
  <si>
    <t>Coluna14844</t>
  </si>
  <si>
    <t>Coluna14845</t>
  </si>
  <si>
    <t>Coluna14846</t>
  </si>
  <si>
    <t>Coluna14847</t>
  </si>
  <si>
    <t>Coluna14848</t>
  </si>
  <si>
    <t>Coluna14849</t>
  </si>
  <si>
    <t>Coluna14850</t>
  </si>
  <si>
    <t>Coluna14851</t>
  </si>
  <si>
    <t>Coluna14852</t>
  </si>
  <si>
    <t>Coluna14853</t>
  </si>
  <si>
    <t>Coluna14854</t>
  </si>
  <si>
    <t>Coluna14855</t>
  </si>
  <si>
    <t>Coluna14856</t>
  </si>
  <si>
    <t>Coluna14857</t>
  </si>
  <si>
    <t>Coluna14858</t>
  </si>
  <si>
    <t>Coluna14859</t>
  </si>
  <si>
    <t>Coluna14860</t>
  </si>
  <si>
    <t>Coluna14861</t>
  </si>
  <si>
    <t>Coluna14862</t>
  </si>
  <si>
    <t>Coluna14863</t>
  </si>
  <si>
    <t>Coluna14864</t>
  </si>
  <si>
    <t>Coluna14865</t>
  </si>
  <si>
    <t>Coluna14866</t>
  </si>
  <si>
    <t>Coluna14867</t>
  </si>
  <si>
    <t>Coluna14868</t>
  </si>
  <si>
    <t>Coluna14869</t>
  </si>
  <si>
    <t>Coluna14870</t>
  </si>
  <si>
    <t>Coluna14871</t>
  </si>
  <si>
    <t>Coluna14872</t>
  </si>
  <si>
    <t>Coluna14873</t>
  </si>
  <si>
    <t>Coluna14874</t>
  </si>
  <si>
    <t>Coluna14875</t>
  </si>
  <si>
    <t>Coluna14876</t>
  </si>
  <si>
    <t>Coluna14877</t>
  </si>
  <si>
    <t>Coluna14878</t>
  </si>
  <si>
    <t>Coluna14879</t>
  </si>
  <si>
    <t>Coluna14880</t>
  </si>
  <si>
    <t>Coluna14881</t>
  </si>
  <si>
    <t>Coluna14882</t>
  </si>
  <si>
    <t>Coluna14883</t>
  </si>
  <si>
    <t>Coluna14884</t>
  </si>
  <si>
    <t>Coluna14885</t>
  </si>
  <si>
    <t>Coluna14886</t>
  </si>
  <si>
    <t>Coluna14887</t>
  </si>
  <si>
    <t>Coluna14888</t>
  </si>
  <si>
    <t>Coluna14889</t>
  </si>
  <si>
    <t>Coluna14890</t>
  </si>
  <si>
    <t>Coluna14891</t>
  </si>
  <si>
    <t>Coluna14892</t>
  </si>
  <si>
    <t>Coluna14893</t>
  </si>
  <si>
    <t>Coluna14894</t>
  </si>
  <si>
    <t>Coluna14895</t>
  </si>
  <si>
    <t>Coluna14896</t>
  </si>
  <si>
    <t>Coluna14897</t>
  </si>
  <si>
    <t>Coluna14898</t>
  </si>
  <si>
    <t>Coluna14899</t>
  </si>
  <si>
    <t>Coluna14900</t>
  </si>
  <si>
    <t>Coluna14901</t>
  </si>
  <si>
    <t>Coluna14902</t>
  </si>
  <si>
    <t>Coluna14903</t>
  </si>
  <si>
    <t>Coluna14904</t>
  </si>
  <si>
    <t>Coluna14905</t>
  </si>
  <si>
    <t>Coluna14906</t>
  </si>
  <si>
    <t>Coluna14907</t>
  </si>
  <si>
    <t>Coluna14908</t>
  </si>
  <si>
    <t>Coluna14909</t>
  </si>
  <si>
    <t>Coluna14910</t>
  </si>
  <si>
    <t>Coluna14911</t>
  </si>
  <si>
    <t>Coluna14912</t>
  </si>
  <si>
    <t>Coluna14913</t>
  </si>
  <si>
    <t>Coluna14914</t>
  </si>
  <si>
    <t>Coluna14915</t>
  </si>
  <si>
    <t>Coluna14916</t>
  </si>
  <si>
    <t>Coluna14917</t>
  </si>
  <si>
    <t>Coluna14918</t>
  </si>
  <si>
    <t>Coluna14919</t>
  </si>
  <si>
    <t>Coluna14920</t>
  </si>
  <si>
    <t>Coluna14921</t>
  </si>
  <si>
    <t>Coluna14922</t>
  </si>
  <si>
    <t>Coluna14923</t>
  </si>
  <si>
    <t>Coluna14924</t>
  </si>
  <si>
    <t>Coluna14925</t>
  </si>
  <si>
    <t>Coluna14926</t>
  </si>
  <si>
    <t>Coluna14927</t>
  </si>
  <si>
    <t>Coluna14928</t>
  </si>
  <si>
    <t>Coluna14929</t>
  </si>
  <si>
    <t>Coluna14930</t>
  </si>
  <si>
    <t>Coluna14931</t>
  </si>
  <si>
    <t>Coluna14932</t>
  </si>
  <si>
    <t>Coluna14933</t>
  </si>
  <si>
    <t>Coluna14934</t>
  </si>
  <si>
    <t>Coluna14935</t>
  </si>
  <si>
    <t>Coluna14936</t>
  </si>
  <si>
    <t>Coluna14937</t>
  </si>
  <si>
    <t>Coluna14938</t>
  </si>
  <si>
    <t>Coluna14939</t>
  </si>
  <si>
    <t>Coluna14940</t>
  </si>
  <si>
    <t>Coluna14941</t>
  </si>
  <si>
    <t>Coluna14942</t>
  </si>
  <si>
    <t>Coluna14943</t>
  </si>
  <si>
    <t>Coluna14944</t>
  </si>
  <si>
    <t>Coluna14945</t>
  </si>
  <si>
    <t>Coluna14946</t>
  </si>
  <si>
    <t>Coluna14947</t>
  </si>
  <si>
    <t>Coluna14948</t>
  </si>
  <si>
    <t>Coluna14949</t>
  </si>
  <si>
    <t>Coluna14950</t>
  </si>
  <si>
    <t>Coluna14951</t>
  </si>
  <si>
    <t>Coluna14952</t>
  </si>
  <si>
    <t>Coluna14953</t>
  </si>
  <si>
    <t>Coluna14954</t>
  </si>
  <si>
    <t>Coluna14955</t>
  </si>
  <si>
    <t>Coluna14956</t>
  </si>
  <si>
    <t>Coluna14957</t>
  </si>
  <si>
    <t>Coluna14958</t>
  </si>
  <si>
    <t>Coluna14959</t>
  </si>
  <si>
    <t>Coluna14960</t>
  </si>
  <si>
    <t>Coluna14961</t>
  </si>
  <si>
    <t>Coluna14962</t>
  </si>
  <si>
    <t>Coluna14963</t>
  </si>
  <si>
    <t>Coluna14964</t>
  </si>
  <si>
    <t>Coluna14965</t>
  </si>
  <si>
    <t>Coluna14966</t>
  </si>
  <si>
    <t>Coluna14967</t>
  </si>
  <si>
    <t>Coluna14968</t>
  </si>
  <si>
    <t>Coluna14969</t>
  </si>
  <si>
    <t>Coluna14970</t>
  </si>
  <si>
    <t>Coluna14971</t>
  </si>
  <si>
    <t>Coluna14972</t>
  </si>
  <si>
    <t>Coluna14973</t>
  </si>
  <si>
    <t>Coluna14974</t>
  </si>
  <si>
    <t>Coluna14975</t>
  </si>
  <si>
    <t>Coluna14976</t>
  </si>
  <si>
    <t>Coluna14977</t>
  </si>
  <si>
    <t>Coluna14978</t>
  </si>
  <si>
    <t>Coluna14979</t>
  </si>
  <si>
    <t>Coluna14980</t>
  </si>
  <si>
    <t>Coluna14981</t>
  </si>
  <si>
    <t>Coluna14982</t>
  </si>
  <si>
    <t>Coluna14983</t>
  </si>
  <si>
    <t>Coluna14984</t>
  </si>
  <si>
    <t>Coluna14985</t>
  </si>
  <si>
    <t>Coluna14986</t>
  </si>
  <si>
    <t>Coluna14987</t>
  </si>
  <si>
    <t>Coluna14988</t>
  </si>
  <si>
    <t>Coluna14989</t>
  </si>
  <si>
    <t>Coluna14990</t>
  </si>
  <si>
    <t>Coluna14991</t>
  </si>
  <si>
    <t>Coluna14992</t>
  </si>
  <si>
    <t>Coluna14993</t>
  </si>
  <si>
    <t>Coluna14994</t>
  </si>
  <si>
    <t>Coluna14995</t>
  </si>
  <si>
    <t>Coluna14996</t>
  </si>
  <si>
    <t>Coluna14997</t>
  </si>
  <si>
    <t>Coluna14998</t>
  </si>
  <si>
    <t>Coluna14999</t>
  </si>
  <si>
    <t>Coluna15000</t>
  </si>
  <si>
    <t>Coluna15001</t>
  </si>
  <si>
    <t>Coluna15002</t>
  </si>
  <si>
    <t>Coluna15003</t>
  </si>
  <si>
    <t>Coluna15004</t>
  </si>
  <si>
    <t>Coluna15005</t>
  </si>
  <si>
    <t>Coluna15006</t>
  </si>
  <si>
    <t>Coluna15007</t>
  </si>
  <si>
    <t>Coluna15008</t>
  </si>
  <si>
    <t>Coluna15009</t>
  </si>
  <si>
    <t>Coluna15010</t>
  </si>
  <si>
    <t>Coluna15011</t>
  </si>
  <si>
    <t>Coluna15012</t>
  </si>
  <si>
    <t>Coluna15013</t>
  </si>
  <si>
    <t>Coluna15014</t>
  </si>
  <si>
    <t>Coluna15015</t>
  </si>
  <si>
    <t>Coluna15016</t>
  </si>
  <si>
    <t>Coluna15017</t>
  </si>
  <si>
    <t>Coluna15018</t>
  </si>
  <si>
    <t>Coluna15019</t>
  </si>
  <si>
    <t>Coluna15020</t>
  </si>
  <si>
    <t>Coluna15021</t>
  </si>
  <si>
    <t>Coluna15022</t>
  </si>
  <si>
    <t>Coluna15023</t>
  </si>
  <si>
    <t>Coluna15024</t>
  </si>
  <si>
    <t>Coluna15025</t>
  </si>
  <si>
    <t>Coluna15026</t>
  </si>
  <si>
    <t>Coluna15027</t>
  </si>
  <si>
    <t>Coluna15028</t>
  </si>
  <si>
    <t>Coluna15029</t>
  </si>
  <si>
    <t>Coluna15030</t>
  </si>
  <si>
    <t>Coluna15031</t>
  </si>
  <si>
    <t>Coluna15032</t>
  </si>
  <si>
    <t>Coluna15033</t>
  </si>
  <si>
    <t>Coluna15034</t>
  </si>
  <si>
    <t>Coluna15035</t>
  </si>
  <si>
    <t>Coluna15036</t>
  </si>
  <si>
    <t>Coluna15037</t>
  </si>
  <si>
    <t>Coluna15038</t>
  </si>
  <si>
    <t>Coluna15039</t>
  </si>
  <si>
    <t>Coluna15040</t>
  </si>
  <si>
    <t>Coluna15041</t>
  </si>
  <si>
    <t>Coluna15042</t>
  </si>
  <si>
    <t>Coluna15043</t>
  </si>
  <si>
    <t>Coluna15044</t>
  </si>
  <si>
    <t>Coluna15045</t>
  </si>
  <si>
    <t>Coluna15046</t>
  </si>
  <si>
    <t>Coluna15047</t>
  </si>
  <si>
    <t>Coluna15048</t>
  </si>
  <si>
    <t>Coluna15049</t>
  </si>
  <si>
    <t>Coluna15050</t>
  </si>
  <si>
    <t>Coluna15051</t>
  </si>
  <si>
    <t>Coluna15052</t>
  </si>
  <si>
    <t>Coluna15053</t>
  </si>
  <si>
    <t>Coluna15054</t>
  </si>
  <si>
    <t>Coluna15055</t>
  </si>
  <si>
    <t>Coluna15056</t>
  </si>
  <si>
    <t>Coluna15057</t>
  </si>
  <si>
    <t>Coluna15058</t>
  </si>
  <si>
    <t>Coluna15059</t>
  </si>
  <si>
    <t>Coluna15060</t>
  </si>
  <si>
    <t>Coluna15061</t>
  </si>
  <si>
    <t>Coluna15062</t>
  </si>
  <si>
    <t>Coluna15063</t>
  </si>
  <si>
    <t>Coluna15064</t>
  </si>
  <si>
    <t>Coluna15065</t>
  </si>
  <si>
    <t>Coluna15066</t>
  </si>
  <si>
    <t>Coluna15067</t>
  </si>
  <si>
    <t>Coluna15068</t>
  </si>
  <si>
    <t>Coluna15069</t>
  </si>
  <si>
    <t>Coluna15070</t>
  </si>
  <si>
    <t>Coluna15071</t>
  </si>
  <si>
    <t>Coluna15072</t>
  </si>
  <si>
    <t>Coluna15073</t>
  </si>
  <si>
    <t>Coluna15074</t>
  </si>
  <si>
    <t>Coluna15075</t>
  </si>
  <si>
    <t>Coluna15076</t>
  </si>
  <si>
    <t>Coluna15077</t>
  </si>
  <si>
    <t>Coluna15078</t>
  </si>
  <si>
    <t>Coluna15079</t>
  </si>
  <si>
    <t>Coluna15080</t>
  </si>
  <si>
    <t>Coluna15081</t>
  </si>
  <si>
    <t>Coluna15082</t>
  </si>
  <si>
    <t>Coluna15083</t>
  </si>
  <si>
    <t>Coluna15084</t>
  </si>
  <si>
    <t>Coluna15085</t>
  </si>
  <si>
    <t>Coluna15086</t>
  </si>
  <si>
    <t>Coluna15087</t>
  </si>
  <si>
    <t>Coluna15088</t>
  </si>
  <si>
    <t>Coluna15089</t>
  </si>
  <si>
    <t>Coluna15090</t>
  </si>
  <si>
    <t>Coluna15091</t>
  </si>
  <si>
    <t>Coluna15092</t>
  </si>
  <si>
    <t>Coluna15093</t>
  </si>
  <si>
    <t>Coluna15094</t>
  </si>
  <si>
    <t>Coluna15095</t>
  </si>
  <si>
    <t>Coluna15096</t>
  </si>
  <si>
    <t>Coluna15097</t>
  </si>
  <si>
    <t>Coluna15098</t>
  </si>
  <si>
    <t>Coluna15099</t>
  </si>
  <si>
    <t>Coluna15100</t>
  </si>
  <si>
    <t>Coluna15101</t>
  </si>
  <si>
    <t>Coluna15102</t>
  </si>
  <si>
    <t>Coluna15103</t>
  </si>
  <si>
    <t>Coluna15104</t>
  </si>
  <si>
    <t>Coluna15105</t>
  </si>
  <si>
    <t>Coluna15106</t>
  </si>
  <si>
    <t>Coluna15107</t>
  </si>
  <si>
    <t>Coluna15108</t>
  </si>
  <si>
    <t>Coluna15109</t>
  </si>
  <si>
    <t>Coluna15110</t>
  </si>
  <si>
    <t>Coluna15111</t>
  </si>
  <si>
    <t>Coluna15112</t>
  </si>
  <si>
    <t>Coluna15113</t>
  </si>
  <si>
    <t>Coluna15114</t>
  </si>
  <si>
    <t>Coluna15115</t>
  </si>
  <si>
    <t>Coluna15116</t>
  </si>
  <si>
    <t>Coluna15117</t>
  </si>
  <si>
    <t>Coluna15118</t>
  </si>
  <si>
    <t>Coluna15119</t>
  </si>
  <si>
    <t>Coluna15120</t>
  </si>
  <si>
    <t>Coluna15121</t>
  </si>
  <si>
    <t>Coluna15122</t>
  </si>
  <si>
    <t>Coluna15123</t>
  </si>
  <si>
    <t>Coluna15124</t>
  </si>
  <si>
    <t>Coluna15125</t>
  </si>
  <si>
    <t>Coluna15126</t>
  </si>
  <si>
    <t>Coluna15127</t>
  </si>
  <si>
    <t>Coluna15128</t>
  </si>
  <si>
    <t>Coluna15129</t>
  </si>
  <si>
    <t>Coluna15130</t>
  </si>
  <si>
    <t>Coluna15131</t>
  </si>
  <si>
    <t>Coluna15132</t>
  </si>
  <si>
    <t>Coluna15133</t>
  </si>
  <si>
    <t>Coluna15134</t>
  </si>
  <si>
    <t>Coluna15135</t>
  </si>
  <si>
    <t>Coluna15136</t>
  </si>
  <si>
    <t>Coluna15137</t>
  </si>
  <si>
    <t>Coluna15138</t>
  </si>
  <si>
    <t>Coluna15139</t>
  </si>
  <si>
    <t>Coluna15140</t>
  </si>
  <si>
    <t>Coluna15141</t>
  </si>
  <si>
    <t>Coluna15142</t>
  </si>
  <si>
    <t>Coluna15143</t>
  </si>
  <si>
    <t>Coluna15144</t>
  </si>
  <si>
    <t>Coluna15145</t>
  </si>
  <si>
    <t>Coluna15146</t>
  </si>
  <si>
    <t>Coluna15147</t>
  </si>
  <si>
    <t>Coluna15148</t>
  </si>
  <si>
    <t>Coluna15149</t>
  </si>
  <si>
    <t>Coluna15150</t>
  </si>
  <si>
    <t>Coluna15151</t>
  </si>
  <si>
    <t>Coluna15152</t>
  </si>
  <si>
    <t>Coluna15153</t>
  </si>
  <si>
    <t>Coluna15154</t>
  </si>
  <si>
    <t>Coluna15155</t>
  </si>
  <si>
    <t>Coluna15156</t>
  </si>
  <si>
    <t>Coluna15157</t>
  </si>
  <si>
    <t>Coluna15158</t>
  </si>
  <si>
    <t>Coluna15159</t>
  </si>
  <si>
    <t>Coluna15160</t>
  </si>
  <si>
    <t>Coluna15161</t>
  </si>
  <si>
    <t>Coluna15162</t>
  </si>
  <si>
    <t>Coluna15163</t>
  </si>
  <si>
    <t>Coluna15164</t>
  </si>
  <si>
    <t>Coluna15165</t>
  </si>
  <si>
    <t>Coluna15166</t>
  </si>
  <si>
    <t>Coluna15167</t>
  </si>
  <si>
    <t>Coluna15168</t>
  </si>
  <si>
    <t>Coluna15169</t>
  </si>
  <si>
    <t>Coluna15170</t>
  </si>
  <si>
    <t>Coluna15171</t>
  </si>
  <si>
    <t>Coluna15172</t>
  </si>
  <si>
    <t>Coluna15173</t>
  </si>
  <si>
    <t>Coluna15174</t>
  </si>
  <si>
    <t>Coluna15175</t>
  </si>
  <si>
    <t>Coluna15176</t>
  </si>
  <si>
    <t>Coluna15177</t>
  </si>
  <si>
    <t>Coluna15178</t>
  </si>
  <si>
    <t>Coluna15179</t>
  </si>
  <si>
    <t>Coluna15180</t>
  </si>
  <si>
    <t>Coluna15181</t>
  </si>
  <si>
    <t>Coluna15182</t>
  </si>
  <si>
    <t>Coluna15183</t>
  </si>
  <si>
    <t>Coluna15184</t>
  </si>
  <si>
    <t>Coluna15185</t>
  </si>
  <si>
    <t>Coluna15186</t>
  </si>
  <si>
    <t>Coluna15187</t>
  </si>
  <si>
    <t>Coluna15188</t>
  </si>
  <si>
    <t>Coluna15189</t>
  </si>
  <si>
    <t>Coluna15190</t>
  </si>
  <si>
    <t>Coluna15191</t>
  </si>
  <si>
    <t>Coluna15192</t>
  </si>
  <si>
    <t>Coluna15193</t>
  </si>
  <si>
    <t>Coluna15194</t>
  </si>
  <si>
    <t>Coluna15195</t>
  </si>
  <si>
    <t>Coluna15196</t>
  </si>
  <si>
    <t>Coluna15197</t>
  </si>
  <si>
    <t>Coluna15198</t>
  </si>
  <si>
    <t>Coluna15199</t>
  </si>
  <si>
    <t>Coluna15200</t>
  </si>
  <si>
    <t>Coluna15201</t>
  </si>
  <si>
    <t>Coluna15202</t>
  </si>
  <si>
    <t>Coluna15203</t>
  </si>
  <si>
    <t>Coluna15204</t>
  </si>
  <si>
    <t>Coluna15205</t>
  </si>
  <si>
    <t>Coluna15206</t>
  </si>
  <si>
    <t>Coluna15207</t>
  </si>
  <si>
    <t>Coluna15208</t>
  </si>
  <si>
    <t>Coluna15209</t>
  </si>
  <si>
    <t>Coluna15210</t>
  </si>
  <si>
    <t>Coluna15211</t>
  </si>
  <si>
    <t>Coluna15212</t>
  </si>
  <si>
    <t>Coluna15213</t>
  </si>
  <si>
    <t>Coluna15214</t>
  </si>
  <si>
    <t>Coluna15215</t>
  </si>
  <si>
    <t>Coluna15216</t>
  </si>
  <si>
    <t>Coluna15217</t>
  </si>
  <si>
    <t>Coluna15218</t>
  </si>
  <si>
    <t>Coluna15219</t>
  </si>
  <si>
    <t>Coluna15220</t>
  </si>
  <si>
    <t>Coluna15221</t>
  </si>
  <si>
    <t>Coluna15222</t>
  </si>
  <si>
    <t>Coluna15223</t>
  </si>
  <si>
    <t>Coluna15224</t>
  </si>
  <si>
    <t>Coluna15225</t>
  </si>
  <si>
    <t>Coluna15226</t>
  </si>
  <si>
    <t>Coluna15227</t>
  </si>
  <si>
    <t>Coluna15228</t>
  </si>
  <si>
    <t>Coluna15229</t>
  </si>
  <si>
    <t>Coluna15230</t>
  </si>
  <si>
    <t>Coluna15231</t>
  </si>
  <si>
    <t>Coluna15232</t>
  </si>
  <si>
    <t>Coluna15233</t>
  </si>
  <si>
    <t>Coluna15234</t>
  </si>
  <si>
    <t>Coluna15235</t>
  </si>
  <si>
    <t>Coluna15236</t>
  </si>
  <si>
    <t>Coluna15237</t>
  </si>
  <si>
    <t>Coluna15238</t>
  </si>
  <si>
    <t>Coluna15239</t>
  </si>
  <si>
    <t>Coluna15240</t>
  </si>
  <si>
    <t>Coluna15241</t>
  </si>
  <si>
    <t>Coluna15242</t>
  </si>
  <si>
    <t>Coluna15243</t>
  </si>
  <si>
    <t>Coluna15244</t>
  </si>
  <si>
    <t>Coluna15245</t>
  </si>
  <si>
    <t>Coluna15246</t>
  </si>
  <si>
    <t>Coluna15247</t>
  </si>
  <si>
    <t>Coluna15248</t>
  </si>
  <si>
    <t>Coluna15249</t>
  </si>
  <si>
    <t>Coluna15250</t>
  </si>
  <si>
    <t>Coluna15251</t>
  </si>
  <si>
    <t>Coluna15252</t>
  </si>
  <si>
    <t>Coluna15253</t>
  </si>
  <si>
    <t>Coluna15254</t>
  </si>
  <si>
    <t>Coluna15255</t>
  </si>
  <si>
    <t>Coluna15256</t>
  </si>
  <si>
    <t>Coluna15257</t>
  </si>
  <si>
    <t>Coluna15258</t>
  </si>
  <si>
    <t>Coluna15259</t>
  </si>
  <si>
    <t>Coluna15260</t>
  </si>
  <si>
    <t>Coluna15261</t>
  </si>
  <si>
    <t>Coluna15262</t>
  </si>
  <si>
    <t>Coluna15263</t>
  </si>
  <si>
    <t>Coluna15264</t>
  </si>
  <si>
    <t>Coluna15265</t>
  </si>
  <si>
    <t>Coluna15266</t>
  </si>
  <si>
    <t>Coluna15267</t>
  </si>
  <si>
    <t>Coluna15268</t>
  </si>
  <si>
    <t>Coluna15269</t>
  </si>
  <si>
    <t>Coluna15270</t>
  </si>
  <si>
    <t>Coluna15271</t>
  </si>
  <si>
    <t>Coluna15272</t>
  </si>
  <si>
    <t>Coluna15273</t>
  </si>
  <si>
    <t>Coluna15274</t>
  </si>
  <si>
    <t>Coluna15275</t>
  </si>
  <si>
    <t>Coluna15276</t>
  </si>
  <si>
    <t>Coluna15277</t>
  </si>
  <si>
    <t>Coluna15278</t>
  </si>
  <si>
    <t>Coluna15279</t>
  </si>
  <si>
    <t>Coluna15280</t>
  </si>
  <si>
    <t>Coluna15281</t>
  </si>
  <si>
    <t>Coluna15282</t>
  </si>
  <si>
    <t>Coluna15283</t>
  </si>
  <si>
    <t>Coluna15284</t>
  </si>
  <si>
    <t>Coluna15285</t>
  </si>
  <si>
    <t>Coluna15286</t>
  </si>
  <si>
    <t>Coluna15287</t>
  </si>
  <si>
    <t>Coluna15288</t>
  </si>
  <si>
    <t>Coluna15289</t>
  </si>
  <si>
    <t>Coluna15290</t>
  </si>
  <si>
    <t>Coluna15291</t>
  </si>
  <si>
    <t>Coluna15292</t>
  </si>
  <si>
    <t>Coluna15293</t>
  </si>
  <si>
    <t>Coluna15294</t>
  </si>
  <si>
    <t>Coluna15295</t>
  </si>
  <si>
    <t>Coluna15296</t>
  </si>
  <si>
    <t>Coluna15297</t>
  </si>
  <si>
    <t>Coluna15298</t>
  </si>
  <si>
    <t>Coluna15299</t>
  </si>
  <si>
    <t>Coluna15300</t>
  </si>
  <si>
    <t>Coluna15301</t>
  </si>
  <si>
    <t>Coluna15302</t>
  </si>
  <si>
    <t>Coluna15303</t>
  </si>
  <si>
    <t>Coluna15304</t>
  </si>
  <si>
    <t>Coluna15305</t>
  </si>
  <si>
    <t>Coluna15306</t>
  </si>
  <si>
    <t>Coluna15307</t>
  </si>
  <si>
    <t>Coluna15308</t>
  </si>
  <si>
    <t>Coluna15309</t>
  </si>
  <si>
    <t>Coluna15310</t>
  </si>
  <si>
    <t>Coluna15311</t>
  </si>
  <si>
    <t>Coluna15312</t>
  </si>
  <si>
    <t>Coluna15313</t>
  </si>
  <si>
    <t>Coluna15314</t>
  </si>
  <si>
    <t>Coluna15315</t>
  </si>
  <si>
    <t>Coluna15316</t>
  </si>
  <si>
    <t>Coluna15317</t>
  </si>
  <si>
    <t>Coluna15318</t>
  </si>
  <si>
    <t>Coluna15319</t>
  </si>
  <si>
    <t>Coluna15320</t>
  </si>
  <si>
    <t>Coluna15321</t>
  </si>
  <si>
    <t>Coluna15322</t>
  </si>
  <si>
    <t>Coluna15323</t>
  </si>
  <si>
    <t>Coluna15324</t>
  </si>
  <si>
    <t>Coluna15325</t>
  </si>
  <si>
    <t>Coluna15326</t>
  </si>
  <si>
    <t>Coluna15327</t>
  </si>
  <si>
    <t>Coluna15328</t>
  </si>
  <si>
    <t>Coluna15329</t>
  </si>
  <si>
    <t>Coluna15330</t>
  </si>
  <si>
    <t>Coluna15331</t>
  </si>
  <si>
    <t>Coluna15332</t>
  </si>
  <si>
    <t>Coluna15333</t>
  </si>
  <si>
    <t>Coluna15334</t>
  </si>
  <si>
    <t>Coluna15335</t>
  </si>
  <si>
    <t>Coluna15336</t>
  </si>
  <si>
    <t>Coluna15337</t>
  </si>
  <si>
    <t>Coluna15338</t>
  </si>
  <si>
    <t>Coluna15339</t>
  </si>
  <si>
    <t>Coluna15340</t>
  </si>
  <si>
    <t>Coluna15341</t>
  </si>
  <si>
    <t>Coluna15342</t>
  </si>
  <si>
    <t>Coluna15343</t>
  </si>
  <si>
    <t>Coluna15344</t>
  </si>
  <si>
    <t>Coluna15345</t>
  </si>
  <si>
    <t>Coluna15346</t>
  </si>
  <si>
    <t>Coluna15347</t>
  </si>
  <si>
    <t>Coluna15348</t>
  </si>
  <si>
    <t>Coluna15349</t>
  </si>
  <si>
    <t>Coluna15350</t>
  </si>
  <si>
    <t>Coluna15351</t>
  </si>
  <si>
    <t>Coluna15352</t>
  </si>
  <si>
    <t>Coluna15353</t>
  </si>
  <si>
    <t>Coluna15354</t>
  </si>
  <si>
    <t>Coluna15355</t>
  </si>
  <si>
    <t>Coluna15356</t>
  </si>
  <si>
    <t>Coluna15357</t>
  </si>
  <si>
    <t>Coluna15358</t>
  </si>
  <si>
    <t>Coluna15359</t>
  </si>
  <si>
    <t>Coluna15360</t>
  </si>
  <si>
    <t>Coluna15361</t>
  </si>
  <si>
    <t>Coluna15362</t>
  </si>
  <si>
    <t>Coluna15363</t>
  </si>
  <si>
    <t>Coluna15364</t>
  </si>
  <si>
    <t>Coluna15365</t>
  </si>
  <si>
    <t>Coluna15366</t>
  </si>
  <si>
    <t>Coluna15367</t>
  </si>
  <si>
    <t>Coluna15368</t>
  </si>
  <si>
    <t>Coluna15369</t>
  </si>
  <si>
    <t>Coluna15370</t>
  </si>
  <si>
    <t>Coluna15371</t>
  </si>
  <si>
    <t>Coluna15372</t>
  </si>
  <si>
    <t>Coluna15373</t>
  </si>
  <si>
    <t>Coluna15374</t>
  </si>
  <si>
    <t>Coluna15375</t>
  </si>
  <si>
    <t>Coluna15376</t>
  </si>
  <si>
    <t>Coluna15377</t>
  </si>
  <si>
    <t>Coluna15378</t>
  </si>
  <si>
    <t>Coluna15379</t>
  </si>
  <si>
    <t>Coluna15380</t>
  </si>
  <si>
    <t>Coluna15381</t>
  </si>
  <si>
    <t>Coluna15382</t>
  </si>
  <si>
    <t>Coluna15383</t>
  </si>
  <si>
    <t>Coluna15384</t>
  </si>
  <si>
    <t>Coluna15385</t>
  </si>
  <si>
    <t>Coluna15386</t>
  </si>
  <si>
    <t>Coluna15387</t>
  </si>
  <si>
    <t>Coluna15388</t>
  </si>
  <si>
    <t>Coluna15389</t>
  </si>
  <si>
    <t>Coluna15390</t>
  </si>
  <si>
    <t>Coluna15391</t>
  </si>
  <si>
    <t>Coluna15392</t>
  </si>
  <si>
    <t>Coluna15393</t>
  </si>
  <si>
    <t>Coluna15394</t>
  </si>
  <si>
    <t>Coluna15395</t>
  </si>
  <si>
    <t>Coluna15396</t>
  </si>
  <si>
    <t>Coluna15397</t>
  </si>
  <si>
    <t>Coluna15398</t>
  </si>
  <si>
    <t>Coluna15399</t>
  </si>
  <si>
    <t>Coluna15400</t>
  </si>
  <si>
    <t>Coluna15401</t>
  </si>
  <si>
    <t>Coluna15402</t>
  </si>
  <si>
    <t>Coluna15403</t>
  </si>
  <si>
    <t>Coluna15404</t>
  </si>
  <si>
    <t>Coluna15405</t>
  </si>
  <si>
    <t>Coluna15406</t>
  </si>
  <si>
    <t>Coluna15407</t>
  </si>
  <si>
    <t>Coluna15408</t>
  </si>
  <si>
    <t>Coluna15409</t>
  </si>
  <si>
    <t>Coluna15410</t>
  </si>
  <si>
    <t>Coluna15411</t>
  </si>
  <si>
    <t>Coluna15412</t>
  </si>
  <si>
    <t>Coluna15413</t>
  </si>
  <si>
    <t>Coluna15414</t>
  </si>
  <si>
    <t>Coluna15415</t>
  </si>
  <si>
    <t>Coluna15416</t>
  </si>
  <si>
    <t>Coluna15417</t>
  </si>
  <si>
    <t>Coluna15418</t>
  </si>
  <si>
    <t>Coluna15419</t>
  </si>
  <si>
    <t>Coluna15420</t>
  </si>
  <si>
    <t>Coluna15421</t>
  </si>
  <si>
    <t>Coluna15422</t>
  </si>
  <si>
    <t>Coluna15423</t>
  </si>
  <si>
    <t>Coluna15424</t>
  </si>
  <si>
    <t>Coluna15425</t>
  </si>
  <si>
    <t>Coluna15426</t>
  </si>
  <si>
    <t>Coluna15427</t>
  </si>
  <si>
    <t>Coluna15428</t>
  </si>
  <si>
    <t>Coluna15429</t>
  </si>
  <si>
    <t>Coluna15430</t>
  </si>
  <si>
    <t>Coluna15431</t>
  </si>
  <si>
    <t>Coluna15432</t>
  </si>
  <si>
    <t>Coluna15433</t>
  </si>
  <si>
    <t>Coluna15434</t>
  </si>
  <si>
    <t>Coluna15435</t>
  </si>
  <si>
    <t>Coluna15436</t>
  </si>
  <si>
    <t>Coluna15437</t>
  </si>
  <si>
    <t>Coluna15438</t>
  </si>
  <si>
    <t>Coluna15439</t>
  </si>
  <si>
    <t>Coluna15440</t>
  </si>
  <si>
    <t>Coluna15441</t>
  </si>
  <si>
    <t>Coluna15442</t>
  </si>
  <si>
    <t>Coluna15443</t>
  </si>
  <si>
    <t>Coluna15444</t>
  </si>
  <si>
    <t>Coluna15445</t>
  </si>
  <si>
    <t>Coluna15446</t>
  </si>
  <si>
    <t>Coluna15447</t>
  </si>
  <si>
    <t>Coluna15448</t>
  </si>
  <si>
    <t>Coluna15449</t>
  </si>
  <si>
    <t>Coluna15450</t>
  </si>
  <si>
    <t>Coluna15451</t>
  </si>
  <si>
    <t>Coluna15452</t>
  </si>
  <si>
    <t>Coluna15453</t>
  </si>
  <si>
    <t>Coluna15454</t>
  </si>
  <si>
    <t>Coluna15455</t>
  </si>
  <si>
    <t>Coluna15456</t>
  </si>
  <si>
    <t>Coluna15457</t>
  </si>
  <si>
    <t>Coluna15458</t>
  </si>
  <si>
    <t>Coluna15459</t>
  </si>
  <si>
    <t>Coluna15460</t>
  </si>
  <si>
    <t>Coluna15461</t>
  </si>
  <si>
    <t>Coluna15462</t>
  </si>
  <si>
    <t>Coluna15463</t>
  </si>
  <si>
    <t>Coluna15464</t>
  </si>
  <si>
    <t>Coluna15465</t>
  </si>
  <si>
    <t>Coluna15466</t>
  </si>
  <si>
    <t>Coluna15467</t>
  </si>
  <si>
    <t>Coluna15468</t>
  </si>
  <si>
    <t>Coluna15469</t>
  </si>
  <si>
    <t>Coluna15470</t>
  </si>
  <si>
    <t>Coluna15471</t>
  </si>
  <si>
    <t>Coluna15472</t>
  </si>
  <si>
    <t>Coluna15473</t>
  </si>
  <si>
    <t>Coluna15474</t>
  </si>
  <si>
    <t>Coluna15475</t>
  </si>
  <si>
    <t>Coluna15476</t>
  </si>
  <si>
    <t>Coluna15477</t>
  </si>
  <si>
    <t>Coluna15478</t>
  </si>
  <si>
    <t>Coluna15479</t>
  </si>
  <si>
    <t>Coluna15480</t>
  </si>
  <si>
    <t>Coluna15481</t>
  </si>
  <si>
    <t>Coluna15482</t>
  </si>
  <si>
    <t>Coluna15483</t>
  </si>
  <si>
    <t>Coluna15484</t>
  </si>
  <si>
    <t>Coluna15485</t>
  </si>
  <si>
    <t>Coluna15486</t>
  </si>
  <si>
    <t>Coluna15487</t>
  </si>
  <si>
    <t>Coluna15488</t>
  </si>
  <si>
    <t>Coluna15489</t>
  </si>
  <si>
    <t>Coluna15490</t>
  </si>
  <si>
    <t>Coluna15491</t>
  </si>
  <si>
    <t>Coluna15492</t>
  </si>
  <si>
    <t>Coluna15493</t>
  </si>
  <si>
    <t>Coluna15494</t>
  </si>
  <si>
    <t>Coluna15495</t>
  </si>
  <si>
    <t>Coluna15496</t>
  </si>
  <si>
    <t>Coluna15497</t>
  </si>
  <si>
    <t>Coluna15498</t>
  </si>
  <si>
    <t>Coluna15499</t>
  </si>
  <si>
    <t>Coluna15500</t>
  </si>
  <si>
    <t>Coluna15501</t>
  </si>
  <si>
    <t>Coluna15502</t>
  </si>
  <si>
    <t>Coluna15503</t>
  </si>
  <si>
    <t>Coluna15504</t>
  </si>
  <si>
    <t>Coluna15505</t>
  </si>
  <si>
    <t>Coluna15506</t>
  </si>
  <si>
    <t>Coluna15507</t>
  </si>
  <si>
    <t>Coluna15508</t>
  </si>
  <si>
    <t>Coluna15509</t>
  </si>
  <si>
    <t>Coluna15510</t>
  </si>
  <si>
    <t>Coluna15511</t>
  </si>
  <si>
    <t>Coluna15512</t>
  </si>
  <si>
    <t>Coluna15513</t>
  </si>
  <si>
    <t>Coluna15514</t>
  </si>
  <si>
    <t>Coluna15515</t>
  </si>
  <si>
    <t>Coluna15516</t>
  </si>
  <si>
    <t>Coluna15517</t>
  </si>
  <si>
    <t>Coluna15518</t>
  </si>
  <si>
    <t>Coluna15519</t>
  </si>
  <si>
    <t>Coluna15520</t>
  </si>
  <si>
    <t>Coluna15521</t>
  </si>
  <si>
    <t>Coluna15522</t>
  </si>
  <si>
    <t>Coluna15523</t>
  </si>
  <si>
    <t>Coluna15524</t>
  </si>
  <si>
    <t>Coluna15525</t>
  </si>
  <si>
    <t>Coluna15526</t>
  </si>
  <si>
    <t>Coluna15527</t>
  </si>
  <si>
    <t>Coluna15528</t>
  </si>
  <si>
    <t>Coluna15529</t>
  </si>
  <si>
    <t>Coluna15530</t>
  </si>
  <si>
    <t>Coluna15531</t>
  </si>
  <si>
    <t>Coluna15532</t>
  </si>
  <si>
    <t>Coluna15533</t>
  </si>
  <si>
    <t>Coluna15534</t>
  </si>
  <si>
    <t>Coluna15535</t>
  </si>
  <si>
    <t>Coluna15536</t>
  </si>
  <si>
    <t>Coluna15537</t>
  </si>
  <si>
    <t>Coluna15538</t>
  </si>
  <si>
    <t>Coluna15539</t>
  </si>
  <si>
    <t>Coluna15540</t>
  </si>
  <si>
    <t>Coluna15541</t>
  </si>
  <si>
    <t>Coluna15542</t>
  </si>
  <si>
    <t>Coluna15543</t>
  </si>
  <si>
    <t>Coluna15544</t>
  </si>
  <si>
    <t>Coluna15545</t>
  </si>
  <si>
    <t>Coluna15546</t>
  </si>
  <si>
    <t>Coluna15547</t>
  </si>
  <si>
    <t>Coluna15548</t>
  </si>
  <si>
    <t>Coluna15549</t>
  </si>
  <si>
    <t>Coluna15550</t>
  </si>
  <si>
    <t>Coluna15551</t>
  </si>
  <si>
    <t>Coluna15552</t>
  </si>
  <si>
    <t>Coluna15553</t>
  </si>
  <si>
    <t>Coluna15554</t>
  </si>
  <si>
    <t>Coluna15555</t>
  </si>
  <si>
    <t>Coluna15556</t>
  </si>
  <si>
    <t>Coluna15557</t>
  </si>
  <si>
    <t>Coluna15558</t>
  </si>
  <si>
    <t>Coluna15559</t>
  </si>
  <si>
    <t>Coluna15560</t>
  </si>
  <si>
    <t>Coluna15561</t>
  </si>
  <si>
    <t>Coluna15562</t>
  </si>
  <si>
    <t>Coluna15563</t>
  </si>
  <si>
    <t>Coluna15564</t>
  </si>
  <si>
    <t>Coluna15565</t>
  </si>
  <si>
    <t>Coluna15566</t>
  </si>
  <si>
    <t>Coluna15567</t>
  </si>
  <si>
    <t>Coluna15568</t>
  </si>
  <si>
    <t>Coluna15569</t>
  </si>
  <si>
    <t>Coluna15570</t>
  </si>
  <si>
    <t>Coluna15571</t>
  </si>
  <si>
    <t>Coluna15572</t>
  </si>
  <si>
    <t>Coluna15573</t>
  </si>
  <si>
    <t>Coluna15574</t>
  </si>
  <si>
    <t>Coluna15575</t>
  </si>
  <si>
    <t>Coluna15576</t>
  </si>
  <si>
    <t>Coluna15577</t>
  </si>
  <si>
    <t>Coluna15578</t>
  </si>
  <si>
    <t>Coluna15579</t>
  </si>
  <si>
    <t>Coluna15580</t>
  </si>
  <si>
    <t>Coluna15581</t>
  </si>
  <si>
    <t>Coluna15582</t>
  </si>
  <si>
    <t>Coluna15583</t>
  </si>
  <si>
    <t>Coluna15584</t>
  </si>
  <si>
    <t>Coluna15585</t>
  </si>
  <si>
    <t>Coluna15586</t>
  </si>
  <si>
    <t>Coluna15587</t>
  </si>
  <si>
    <t>Coluna15588</t>
  </si>
  <si>
    <t>Coluna15589</t>
  </si>
  <si>
    <t>Coluna15590</t>
  </si>
  <si>
    <t>Coluna15591</t>
  </si>
  <si>
    <t>Coluna15592</t>
  </si>
  <si>
    <t>Coluna15593</t>
  </si>
  <si>
    <t>Coluna15594</t>
  </si>
  <si>
    <t>Coluna15595</t>
  </si>
  <si>
    <t>Coluna15596</t>
  </si>
  <si>
    <t>Coluna15597</t>
  </si>
  <si>
    <t>Coluna15598</t>
  </si>
  <si>
    <t>Coluna15599</t>
  </si>
  <si>
    <t>Coluna15600</t>
  </si>
  <si>
    <t>Coluna15601</t>
  </si>
  <si>
    <t>Coluna15602</t>
  </si>
  <si>
    <t>Coluna15603</t>
  </si>
  <si>
    <t>Coluna15604</t>
  </si>
  <si>
    <t>Coluna15605</t>
  </si>
  <si>
    <t>Coluna15606</t>
  </si>
  <si>
    <t>Coluna15607</t>
  </si>
  <si>
    <t>Coluna15608</t>
  </si>
  <si>
    <t>Coluna15609</t>
  </si>
  <si>
    <t>Coluna15610</t>
  </si>
  <si>
    <t>Coluna15611</t>
  </si>
  <si>
    <t>Coluna15612</t>
  </si>
  <si>
    <t>Coluna15613</t>
  </si>
  <si>
    <t>Coluna15614</t>
  </si>
  <si>
    <t>Coluna15615</t>
  </si>
  <si>
    <t>Coluna15616</t>
  </si>
  <si>
    <t>Coluna15617</t>
  </si>
  <si>
    <t>Coluna15618</t>
  </si>
  <si>
    <t>Coluna15619</t>
  </si>
  <si>
    <t>Coluna15620</t>
  </si>
  <si>
    <t>Coluna15621</t>
  </si>
  <si>
    <t>Coluna15622</t>
  </si>
  <si>
    <t>Coluna15623</t>
  </si>
  <si>
    <t>Coluna15624</t>
  </si>
  <si>
    <t>Coluna15625</t>
  </si>
  <si>
    <t>Coluna15626</t>
  </si>
  <si>
    <t>Coluna15627</t>
  </si>
  <si>
    <t>Coluna15628</t>
  </si>
  <si>
    <t>Coluna15629</t>
  </si>
  <si>
    <t>Coluna15630</t>
  </si>
  <si>
    <t>Coluna15631</t>
  </si>
  <si>
    <t>Coluna15632</t>
  </si>
  <si>
    <t>Coluna15633</t>
  </si>
  <si>
    <t>Coluna15634</t>
  </si>
  <si>
    <t>Coluna15635</t>
  </si>
  <si>
    <t>Coluna15636</t>
  </si>
  <si>
    <t>Coluna15637</t>
  </si>
  <si>
    <t>Coluna15638</t>
  </si>
  <si>
    <t>Coluna15639</t>
  </si>
  <si>
    <t>Coluna15640</t>
  </si>
  <si>
    <t>Coluna15641</t>
  </si>
  <si>
    <t>Coluna15642</t>
  </si>
  <si>
    <t>Coluna15643</t>
  </si>
  <si>
    <t>Coluna15644</t>
  </si>
  <si>
    <t>Coluna15645</t>
  </si>
  <si>
    <t>Coluna15646</t>
  </si>
  <si>
    <t>Coluna15647</t>
  </si>
  <si>
    <t>Coluna15648</t>
  </si>
  <si>
    <t>Coluna15649</t>
  </si>
  <si>
    <t>Coluna15650</t>
  </si>
  <si>
    <t>Coluna15651</t>
  </si>
  <si>
    <t>Coluna15652</t>
  </si>
  <si>
    <t>Coluna15653</t>
  </si>
  <si>
    <t>Coluna15654</t>
  </si>
  <si>
    <t>Coluna15655</t>
  </si>
  <si>
    <t>Coluna15656</t>
  </si>
  <si>
    <t>Coluna15657</t>
  </si>
  <si>
    <t>Coluna15658</t>
  </si>
  <si>
    <t>Coluna15659</t>
  </si>
  <si>
    <t>Coluna15660</t>
  </si>
  <si>
    <t>Coluna15661</t>
  </si>
  <si>
    <t>Coluna15662</t>
  </si>
  <si>
    <t>Coluna15663</t>
  </si>
  <si>
    <t>Coluna15664</t>
  </si>
  <si>
    <t>Coluna15665</t>
  </si>
  <si>
    <t>Coluna15666</t>
  </si>
  <si>
    <t>Coluna15667</t>
  </si>
  <si>
    <t>Coluna15668</t>
  </si>
  <si>
    <t>Coluna15669</t>
  </si>
  <si>
    <t>Coluna15670</t>
  </si>
  <si>
    <t>Coluna15671</t>
  </si>
  <si>
    <t>Coluna15672</t>
  </si>
  <si>
    <t>Coluna15673</t>
  </si>
  <si>
    <t>Coluna15674</t>
  </si>
  <si>
    <t>Coluna15675</t>
  </si>
  <si>
    <t>Coluna15676</t>
  </si>
  <si>
    <t>Coluna15677</t>
  </si>
  <si>
    <t>Coluna15678</t>
  </si>
  <si>
    <t>Coluna15679</t>
  </si>
  <si>
    <t>Coluna15680</t>
  </si>
  <si>
    <t>Coluna15681</t>
  </si>
  <si>
    <t>Coluna15682</t>
  </si>
  <si>
    <t>Coluna15683</t>
  </si>
  <si>
    <t>Coluna15684</t>
  </si>
  <si>
    <t>Coluna15685</t>
  </si>
  <si>
    <t>Coluna15686</t>
  </si>
  <si>
    <t>Coluna15687</t>
  </si>
  <si>
    <t>Coluna15688</t>
  </si>
  <si>
    <t>Coluna15689</t>
  </si>
  <si>
    <t>Coluna15690</t>
  </si>
  <si>
    <t>Coluna15691</t>
  </si>
  <si>
    <t>Coluna15692</t>
  </si>
  <si>
    <t>Coluna15693</t>
  </si>
  <si>
    <t>Coluna15694</t>
  </si>
  <si>
    <t>Coluna15695</t>
  </si>
  <si>
    <t>Coluna15696</t>
  </si>
  <si>
    <t>Coluna15697</t>
  </si>
  <si>
    <t>Coluna15698</t>
  </si>
  <si>
    <t>Coluna15699</t>
  </si>
  <si>
    <t>Coluna15700</t>
  </si>
  <si>
    <t>Coluna15701</t>
  </si>
  <si>
    <t>Coluna15702</t>
  </si>
  <si>
    <t>Coluna15703</t>
  </si>
  <si>
    <t>Coluna15704</t>
  </si>
  <si>
    <t>Coluna15705</t>
  </si>
  <si>
    <t>Coluna15706</t>
  </si>
  <si>
    <t>Coluna15707</t>
  </si>
  <si>
    <t>Coluna15708</t>
  </si>
  <si>
    <t>Coluna15709</t>
  </si>
  <si>
    <t>Coluna15710</t>
  </si>
  <si>
    <t>Coluna15711</t>
  </si>
  <si>
    <t>Coluna15712</t>
  </si>
  <si>
    <t>Coluna15713</t>
  </si>
  <si>
    <t>Coluna15714</t>
  </si>
  <si>
    <t>Coluna15715</t>
  </si>
  <si>
    <t>Coluna15716</t>
  </si>
  <si>
    <t>Coluna15717</t>
  </si>
  <si>
    <t>Coluna15718</t>
  </si>
  <si>
    <t>Coluna15719</t>
  </si>
  <si>
    <t>Coluna15720</t>
  </si>
  <si>
    <t>Coluna15721</t>
  </si>
  <si>
    <t>Coluna15722</t>
  </si>
  <si>
    <t>Coluna15723</t>
  </si>
  <si>
    <t>Coluna15724</t>
  </si>
  <si>
    <t>Coluna15725</t>
  </si>
  <si>
    <t>Coluna15726</t>
  </si>
  <si>
    <t>Coluna15727</t>
  </si>
  <si>
    <t>Coluna15728</t>
  </si>
  <si>
    <t>Coluna15729</t>
  </si>
  <si>
    <t>Coluna15730</t>
  </si>
  <si>
    <t>Coluna15731</t>
  </si>
  <si>
    <t>Coluna15732</t>
  </si>
  <si>
    <t>Coluna15733</t>
  </si>
  <si>
    <t>Coluna15734</t>
  </si>
  <si>
    <t>Coluna15735</t>
  </si>
  <si>
    <t>Coluna15736</t>
  </si>
  <si>
    <t>Coluna15737</t>
  </si>
  <si>
    <t>Coluna15738</t>
  </si>
  <si>
    <t>Coluna15739</t>
  </si>
  <si>
    <t>Coluna15740</t>
  </si>
  <si>
    <t>Coluna15741</t>
  </si>
  <si>
    <t>Coluna15742</t>
  </si>
  <si>
    <t>Coluna15743</t>
  </si>
  <si>
    <t>Coluna15744</t>
  </si>
  <si>
    <t>Coluna15745</t>
  </si>
  <si>
    <t>Coluna15746</t>
  </si>
  <si>
    <t>Coluna15747</t>
  </si>
  <si>
    <t>Coluna15748</t>
  </si>
  <si>
    <t>Coluna15749</t>
  </si>
  <si>
    <t>Coluna15750</t>
  </si>
  <si>
    <t>Coluna15751</t>
  </si>
  <si>
    <t>Coluna15752</t>
  </si>
  <si>
    <t>Coluna15753</t>
  </si>
  <si>
    <t>Coluna15754</t>
  </si>
  <si>
    <t>Coluna15755</t>
  </si>
  <si>
    <t>Coluna15756</t>
  </si>
  <si>
    <t>Coluna15757</t>
  </si>
  <si>
    <t>Coluna15758</t>
  </si>
  <si>
    <t>Coluna15759</t>
  </si>
  <si>
    <t>Coluna15760</t>
  </si>
  <si>
    <t>Coluna15761</t>
  </si>
  <si>
    <t>Coluna15762</t>
  </si>
  <si>
    <t>Coluna15763</t>
  </si>
  <si>
    <t>Coluna15764</t>
  </si>
  <si>
    <t>Coluna15765</t>
  </si>
  <si>
    <t>Coluna15766</t>
  </si>
  <si>
    <t>Coluna15767</t>
  </si>
  <si>
    <t>Coluna15768</t>
  </si>
  <si>
    <t>Coluna15769</t>
  </si>
  <si>
    <t>Coluna15770</t>
  </si>
  <si>
    <t>Coluna15771</t>
  </si>
  <si>
    <t>Coluna15772</t>
  </si>
  <si>
    <t>Coluna15773</t>
  </si>
  <si>
    <t>Coluna15774</t>
  </si>
  <si>
    <t>Coluna15775</t>
  </si>
  <si>
    <t>Coluna15776</t>
  </si>
  <si>
    <t>Coluna15777</t>
  </si>
  <si>
    <t>Coluna15778</t>
  </si>
  <si>
    <t>Coluna15779</t>
  </si>
  <si>
    <t>Coluna15780</t>
  </si>
  <si>
    <t>Coluna15781</t>
  </si>
  <si>
    <t>Coluna15782</t>
  </si>
  <si>
    <t>Coluna15783</t>
  </si>
  <si>
    <t>Coluna15784</t>
  </si>
  <si>
    <t>Coluna15785</t>
  </si>
  <si>
    <t>Coluna15786</t>
  </si>
  <si>
    <t>Coluna15787</t>
  </si>
  <si>
    <t>Coluna15788</t>
  </si>
  <si>
    <t>Coluna15789</t>
  </si>
  <si>
    <t>Coluna15790</t>
  </si>
  <si>
    <t>Coluna15791</t>
  </si>
  <si>
    <t>Coluna15792</t>
  </si>
  <si>
    <t>Coluna15793</t>
  </si>
  <si>
    <t>Coluna15794</t>
  </si>
  <si>
    <t>Coluna15795</t>
  </si>
  <si>
    <t>Coluna15796</t>
  </si>
  <si>
    <t>Coluna15797</t>
  </si>
  <si>
    <t>Coluna15798</t>
  </si>
  <si>
    <t>Coluna15799</t>
  </si>
  <si>
    <t>Coluna15800</t>
  </si>
  <si>
    <t>Coluna15801</t>
  </si>
  <si>
    <t>Coluna15802</t>
  </si>
  <si>
    <t>Coluna15803</t>
  </si>
  <si>
    <t>Coluna15804</t>
  </si>
  <si>
    <t>Coluna15805</t>
  </si>
  <si>
    <t>Coluna15806</t>
  </si>
  <si>
    <t>Coluna15807</t>
  </si>
  <si>
    <t>Coluna15808</t>
  </si>
  <si>
    <t>Coluna15809</t>
  </si>
  <si>
    <t>Coluna15810</t>
  </si>
  <si>
    <t>Coluna15811</t>
  </si>
  <si>
    <t>Coluna15812</t>
  </si>
  <si>
    <t>Coluna15813</t>
  </si>
  <si>
    <t>Coluna15814</t>
  </si>
  <si>
    <t>Coluna15815</t>
  </si>
  <si>
    <t>Coluna15816</t>
  </si>
  <si>
    <t>Coluna15817</t>
  </si>
  <si>
    <t>Coluna15818</t>
  </si>
  <si>
    <t>Coluna15819</t>
  </si>
  <si>
    <t>Coluna15820</t>
  </si>
  <si>
    <t>Coluna15821</t>
  </si>
  <si>
    <t>Coluna15822</t>
  </si>
  <si>
    <t>Coluna15823</t>
  </si>
  <si>
    <t>Coluna15824</t>
  </si>
  <si>
    <t>Coluna15825</t>
  </si>
  <si>
    <t>Coluna15826</t>
  </si>
  <si>
    <t>Coluna15827</t>
  </si>
  <si>
    <t>Coluna15828</t>
  </si>
  <si>
    <t>Coluna15829</t>
  </si>
  <si>
    <t>Coluna15830</t>
  </si>
  <si>
    <t>Coluna15831</t>
  </si>
  <si>
    <t>Coluna15832</t>
  </si>
  <si>
    <t>Coluna15833</t>
  </si>
  <si>
    <t>Coluna15834</t>
  </si>
  <si>
    <t>Coluna15835</t>
  </si>
  <si>
    <t>Coluna15836</t>
  </si>
  <si>
    <t>Coluna15837</t>
  </si>
  <si>
    <t>Coluna15838</t>
  </si>
  <si>
    <t>Coluna15839</t>
  </si>
  <si>
    <t>Coluna15840</t>
  </si>
  <si>
    <t>Coluna15841</t>
  </si>
  <si>
    <t>Coluna15842</t>
  </si>
  <si>
    <t>Coluna15843</t>
  </si>
  <si>
    <t>Coluna15844</t>
  </si>
  <si>
    <t>Coluna15845</t>
  </si>
  <si>
    <t>Coluna15846</t>
  </si>
  <si>
    <t>Coluna15847</t>
  </si>
  <si>
    <t>Coluna15848</t>
  </si>
  <si>
    <t>Coluna15849</t>
  </si>
  <si>
    <t>Coluna15850</t>
  </si>
  <si>
    <t>Coluna15851</t>
  </si>
  <si>
    <t>Coluna15852</t>
  </si>
  <si>
    <t>Coluna15853</t>
  </si>
  <si>
    <t>Coluna15854</t>
  </si>
  <si>
    <t>Coluna15855</t>
  </si>
  <si>
    <t>Coluna15856</t>
  </si>
  <si>
    <t>Coluna15857</t>
  </si>
  <si>
    <t>Coluna15858</t>
  </si>
  <si>
    <t>Coluna15859</t>
  </si>
  <si>
    <t>Coluna15860</t>
  </si>
  <si>
    <t>Coluna15861</t>
  </si>
  <si>
    <t>Coluna15862</t>
  </si>
  <si>
    <t>Coluna15863</t>
  </si>
  <si>
    <t>Coluna15864</t>
  </si>
  <si>
    <t>Coluna15865</t>
  </si>
  <si>
    <t>Coluna15866</t>
  </si>
  <si>
    <t>Coluna15867</t>
  </si>
  <si>
    <t>Coluna15868</t>
  </si>
  <si>
    <t>Coluna15869</t>
  </si>
  <si>
    <t>Coluna15870</t>
  </si>
  <si>
    <t>Coluna15871</t>
  </si>
  <si>
    <t>Coluna15872</t>
  </si>
  <si>
    <t>Coluna15873</t>
  </si>
  <si>
    <t>Coluna15874</t>
  </si>
  <si>
    <t>Coluna15875</t>
  </si>
  <si>
    <t>Coluna15876</t>
  </si>
  <si>
    <t>Coluna15877</t>
  </si>
  <si>
    <t>Coluna15878</t>
  </si>
  <si>
    <t>Coluna15879</t>
  </si>
  <si>
    <t>Coluna15880</t>
  </si>
  <si>
    <t>Coluna15881</t>
  </si>
  <si>
    <t>Coluna15882</t>
  </si>
  <si>
    <t>Coluna15883</t>
  </si>
  <si>
    <t>Coluna15884</t>
  </si>
  <si>
    <t>Coluna15885</t>
  </si>
  <si>
    <t>Coluna15886</t>
  </si>
  <si>
    <t>Coluna15887</t>
  </si>
  <si>
    <t>Coluna15888</t>
  </si>
  <si>
    <t>Coluna15889</t>
  </si>
  <si>
    <t>Coluna15890</t>
  </si>
  <si>
    <t>Coluna15891</t>
  </si>
  <si>
    <t>Coluna15892</t>
  </si>
  <si>
    <t>Coluna15893</t>
  </si>
  <si>
    <t>Coluna15894</t>
  </si>
  <si>
    <t>Coluna15895</t>
  </si>
  <si>
    <t>Coluna15896</t>
  </si>
  <si>
    <t>Coluna15897</t>
  </si>
  <si>
    <t>Coluna15898</t>
  </si>
  <si>
    <t>Coluna15899</t>
  </si>
  <si>
    <t>Coluna15900</t>
  </si>
  <si>
    <t>Coluna15901</t>
  </si>
  <si>
    <t>Coluna15902</t>
  </si>
  <si>
    <t>Coluna15903</t>
  </si>
  <si>
    <t>Coluna15904</t>
  </si>
  <si>
    <t>Coluna15905</t>
  </si>
  <si>
    <t>Coluna15906</t>
  </si>
  <si>
    <t>Coluna15907</t>
  </si>
  <si>
    <t>Coluna15908</t>
  </si>
  <si>
    <t>Coluna15909</t>
  </si>
  <si>
    <t>Coluna15910</t>
  </si>
  <si>
    <t>Coluna15911</t>
  </si>
  <si>
    <t>Coluna15912</t>
  </si>
  <si>
    <t>Coluna15913</t>
  </si>
  <si>
    <t>Coluna15914</t>
  </si>
  <si>
    <t>Coluna15915</t>
  </si>
  <si>
    <t>Coluna15916</t>
  </si>
  <si>
    <t>Coluna15917</t>
  </si>
  <si>
    <t>Coluna15918</t>
  </si>
  <si>
    <t>Coluna15919</t>
  </si>
  <si>
    <t>Coluna15920</t>
  </si>
  <si>
    <t>Coluna15921</t>
  </si>
  <si>
    <t>Coluna15922</t>
  </si>
  <si>
    <t>Coluna15923</t>
  </si>
  <si>
    <t>Coluna15924</t>
  </si>
  <si>
    <t>Coluna15925</t>
  </si>
  <si>
    <t>Coluna15926</t>
  </si>
  <si>
    <t>Coluna15927</t>
  </si>
  <si>
    <t>Coluna15928</t>
  </si>
  <si>
    <t>Coluna15929</t>
  </si>
  <si>
    <t>Coluna15930</t>
  </si>
  <si>
    <t>Coluna15931</t>
  </si>
  <si>
    <t>Coluna15932</t>
  </si>
  <si>
    <t>Coluna15933</t>
  </si>
  <si>
    <t>Coluna15934</t>
  </si>
  <si>
    <t>Coluna15935</t>
  </si>
  <si>
    <t>Coluna15936</t>
  </si>
  <si>
    <t>Coluna15937</t>
  </si>
  <si>
    <t>Coluna15938</t>
  </si>
  <si>
    <t>Coluna15939</t>
  </si>
  <si>
    <t>Coluna15940</t>
  </si>
  <si>
    <t>Coluna15941</t>
  </si>
  <si>
    <t>Coluna15942</t>
  </si>
  <si>
    <t>Coluna15943</t>
  </si>
  <si>
    <t>Coluna15944</t>
  </si>
  <si>
    <t>Coluna15945</t>
  </si>
  <si>
    <t>Coluna15946</t>
  </si>
  <si>
    <t>Coluna15947</t>
  </si>
  <si>
    <t>Coluna15948</t>
  </si>
  <si>
    <t>Coluna15949</t>
  </si>
  <si>
    <t>Coluna15950</t>
  </si>
  <si>
    <t>Coluna15951</t>
  </si>
  <si>
    <t>Coluna15952</t>
  </si>
  <si>
    <t>Coluna15953</t>
  </si>
  <si>
    <t>Coluna15954</t>
  </si>
  <si>
    <t>Coluna15955</t>
  </si>
  <si>
    <t>Coluna15956</t>
  </si>
  <si>
    <t>Coluna15957</t>
  </si>
  <si>
    <t>Coluna15958</t>
  </si>
  <si>
    <t>Coluna15959</t>
  </si>
  <si>
    <t>Coluna15960</t>
  </si>
  <si>
    <t>Coluna15961</t>
  </si>
  <si>
    <t>Coluna15962</t>
  </si>
  <si>
    <t>Coluna15963</t>
  </si>
  <si>
    <t>Coluna15964</t>
  </si>
  <si>
    <t>Coluna15965</t>
  </si>
  <si>
    <t>Coluna15966</t>
  </si>
  <si>
    <t>Coluna15967</t>
  </si>
  <si>
    <t>Coluna15968</t>
  </si>
  <si>
    <t>Coluna15969</t>
  </si>
  <si>
    <t>Coluna15970</t>
  </si>
  <si>
    <t>Coluna15971</t>
  </si>
  <si>
    <t>Coluna15972</t>
  </si>
  <si>
    <t>Coluna15973</t>
  </si>
  <si>
    <t>Coluna15974</t>
  </si>
  <si>
    <t>Coluna15975</t>
  </si>
  <si>
    <t>Coluna15976</t>
  </si>
  <si>
    <t>Coluna15977</t>
  </si>
  <si>
    <t>Coluna15978</t>
  </si>
  <si>
    <t>Coluna15979</t>
  </si>
  <si>
    <t>Coluna15980</t>
  </si>
  <si>
    <t>Coluna15981</t>
  </si>
  <si>
    <t>Coluna15982</t>
  </si>
  <si>
    <t>Coluna15983</t>
  </si>
  <si>
    <t>Coluna15984</t>
  </si>
  <si>
    <t>Coluna15985</t>
  </si>
  <si>
    <t>Coluna15986</t>
  </si>
  <si>
    <t>Coluna15987</t>
  </si>
  <si>
    <t>Coluna15988</t>
  </si>
  <si>
    <t>Coluna15989</t>
  </si>
  <si>
    <t>Coluna15990</t>
  </si>
  <si>
    <t>Coluna15991</t>
  </si>
  <si>
    <t>Coluna15992</t>
  </si>
  <si>
    <t>Coluna15993</t>
  </si>
  <si>
    <t>Coluna15994</t>
  </si>
  <si>
    <t>Coluna15995</t>
  </si>
  <si>
    <t>Coluna15996</t>
  </si>
  <si>
    <t>Coluna15997</t>
  </si>
  <si>
    <t>Coluna15998</t>
  </si>
  <si>
    <t>Coluna15999</t>
  </si>
  <si>
    <t>Coluna16000</t>
  </si>
  <si>
    <t>Coluna16001</t>
  </si>
  <si>
    <t>Coluna16002</t>
  </si>
  <si>
    <t>Coluna16003</t>
  </si>
  <si>
    <t>Coluna16004</t>
  </si>
  <si>
    <t>Coluna16005</t>
  </si>
  <si>
    <t>Coluna16006</t>
  </si>
  <si>
    <t>Coluna16007</t>
  </si>
  <si>
    <t>Coluna16008</t>
  </si>
  <si>
    <t>Coluna16009</t>
  </si>
  <si>
    <t>Coluna16010</t>
  </si>
  <si>
    <t>Coluna16011</t>
  </si>
  <si>
    <t>Coluna16012</t>
  </si>
  <si>
    <t>Coluna16013</t>
  </si>
  <si>
    <t>Coluna16014</t>
  </si>
  <si>
    <t>Coluna16015</t>
  </si>
  <si>
    <t>Coluna16016</t>
  </si>
  <si>
    <t>Coluna16017</t>
  </si>
  <si>
    <t>Coluna16018</t>
  </si>
  <si>
    <t>Coluna16019</t>
  </si>
  <si>
    <t>Coluna16020</t>
  </si>
  <si>
    <t>Coluna16021</t>
  </si>
  <si>
    <t>Coluna16022</t>
  </si>
  <si>
    <t>Coluna16023</t>
  </si>
  <si>
    <t>Coluna16024</t>
  </si>
  <si>
    <t>Coluna16025</t>
  </si>
  <si>
    <t>Coluna16026</t>
  </si>
  <si>
    <t>Coluna16027</t>
  </si>
  <si>
    <t>Coluna16028</t>
  </si>
  <si>
    <t>Coluna16029</t>
  </si>
  <si>
    <t>Coluna16030</t>
  </si>
  <si>
    <t>Coluna16031</t>
  </si>
  <si>
    <t>Coluna16032</t>
  </si>
  <si>
    <t>Coluna16033</t>
  </si>
  <si>
    <t>Coluna16034</t>
  </si>
  <si>
    <t>Coluna16035</t>
  </si>
  <si>
    <t>Coluna16036</t>
  </si>
  <si>
    <t>Coluna16037</t>
  </si>
  <si>
    <t>Coluna16038</t>
  </si>
  <si>
    <t>Coluna16039</t>
  </si>
  <si>
    <t>Coluna16040</t>
  </si>
  <si>
    <t>Coluna16041</t>
  </si>
  <si>
    <t>Coluna16042</t>
  </si>
  <si>
    <t>Coluna16043</t>
  </si>
  <si>
    <t>Coluna16044</t>
  </si>
  <si>
    <t>Coluna16045</t>
  </si>
  <si>
    <t>Coluna16046</t>
  </si>
  <si>
    <t>Coluna16047</t>
  </si>
  <si>
    <t>Coluna16048</t>
  </si>
  <si>
    <t>Coluna16049</t>
  </si>
  <si>
    <t>Coluna16050</t>
  </si>
  <si>
    <t>Coluna16051</t>
  </si>
  <si>
    <t>Coluna16052</t>
  </si>
  <si>
    <t>Coluna16053</t>
  </si>
  <si>
    <t>Coluna16054</t>
  </si>
  <si>
    <t>Coluna16055</t>
  </si>
  <si>
    <t>Coluna16056</t>
  </si>
  <si>
    <t>Coluna16057</t>
  </si>
  <si>
    <t>Coluna16058</t>
  </si>
  <si>
    <t>Coluna16059</t>
  </si>
  <si>
    <t>Coluna16060</t>
  </si>
  <si>
    <t>Coluna16061</t>
  </si>
  <si>
    <t>Coluna16062</t>
  </si>
  <si>
    <t>Coluna16063</t>
  </si>
  <si>
    <t>Coluna16064</t>
  </si>
  <si>
    <t>Coluna16065</t>
  </si>
  <si>
    <t>Coluna16066</t>
  </si>
  <si>
    <t>Coluna16067</t>
  </si>
  <si>
    <t>Coluna16068</t>
  </si>
  <si>
    <t>Coluna16069</t>
  </si>
  <si>
    <t>Coluna16070</t>
  </si>
  <si>
    <t>Coluna16071</t>
  </si>
  <si>
    <t>Coluna16072</t>
  </si>
  <si>
    <t>Coluna16073</t>
  </si>
  <si>
    <t>Coluna16074</t>
  </si>
  <si>
    <t>Coluna16075</t>
  </si>
  <si>
    <t>Coluna16076</t>
  </si>
  <si>
    <t>Coluna16077</t>
  </si>
  <si>
    <t>Coluna16078</t>
  </si>
  <si>
    <t>Coluna16079</t>
  </si>
  <si>
    <t>Coluna16080</t>
  </si>
  <si>
    <t>Coluna16081</t>
  </si>
  <si>
    <t>Coluna16082</t>
  </si>
  <si>
    <t>Coluna16083</t>
  </si>
  <si>
    <t>Coluna16084</t>
  </si>
  <si>
    <t>Coluna16085</t>
  </si>
  <si>
    <t>Coluna16086</t>
  </si>
  <si>
    <t>Coluna16087</t>
  </si>
  <si>
    <t>Coluna16088</t>
  </si>
  <si>
    <t>Coluna16089</t>
  </si>
  <si>
    <t>Coluna16090</t>
  </si>
  <si>
    <t>Coluna16091</t>
  </si>
  <si>
    <t>Coluna16092</t>
  </si>
  <si>
    <t>Coluna16093</t>
  </si>
  <si>
    <t>Coluna16094</t>
  </si>
  <si>
    <t>Coluna16095</t>
  </si>
  <si>
    <t>Coluna16096</t>
  </si>
  <si>
    <t>Coluna16097</t>
  </si>
  <si>
    <t>Coluna16098</t>
  </si>
  <si>
    <t>Coluna16099</t>
  </si>
  <si>
    <t>Coluna16100</t>
  </si>
  <si>
    <t>Coluna16101</t>
  </si>
  <si>
    <t>Coluna16102</t>
  </si>
  <si>
    <t>Coluna16103</t>
  </si>
  <si>
    <t>Coluna16104</t>
  </si>
  <si>
    <t>Coluna16105</t>
  </si>
  <si>
    <t>Coluna16106</t>
  </si>
  <si>
    <t>Coluna16107</t>
  </si>
  <si>
    <t>Coluna16108</t>
  </si>
  <si>
    <t>Coluna16109</t>
  </si>
  <si>
    <t>Coluna16110</t>
  </si>
  <si>
    <t>Coluna16111</t>
  </si>
  <si>
    <t>Coluna16112</t>
  </si>
  <si>
    <t>Coluna16113</t>
  </si>
  <si>
    <t>Coluna16114</t>
  </si>
  <si>
    <t>Coluna16115</t>
  </si>
  <si>
    <t>Coluna16116</t>
  </si>
  <si>
    <t>Coluna16117</t>
  </si>
  <si>
    <t>Coluna16118</t>
  </si>
  <si>
    <t>Coluna16119</t>
  </si>
  <si>
    <t>Coluna16120</t>
  </si>
  <si>
    <t>Coluna16121</t>
  </si>
  <si>
    <t>Coluna16122</t>
  </si>
  <si>
    <t>Coluna16123</t>
  </si>
  <si>
    <t>Coluna16124</t>
  </si>
  <si>
    <t>Coluna16125</t>
  </si>
  <si>
    <t>Coluna16126</t>
  </si>
  <si>
    <t>Coluna16127</t>
  </si>
  <si>
    <t>Coluna16128</t>
  </si>
  <si>
    <t>Coluna16129</t>
  </si>
  <si>
    <t>Coluna16130</t>
  </si>
  <si>
    <t>Coluna16131</t>
  </si>
  <si>
    <t>Coluna16132</t>
  </si>
  <si>
    <t>Coluna16133</t>
  </si>
  <si>
    <t>Coluna16134</t>
  </si>
  <si>
    <t>Coluna16135</t>
  </si>
  <si>
    <t>Coluna16136</t>
  </si>
  <si>
    <t>Coluna16137</t>
  </si>
  <si>
    <t>Coluna16138</t>
  </si>
  <si>
    <t>Coluna16139</t>
  </si>
  <si>
    <t>Coluna16140</t>
  </si>
  <si>
    <t>Coluna16141</t>
  </si>
  <si>
    <t>Coluna16142</t>
  </si>
  <si>
    <t>Coluna16143</t>
  </si>
  <si>
    <t>Coluna16144</t>
  </si>
  <si>
    <t>Coluna16145</t>
  </si>
  <si>
    <t>Coluna16146</t>
  </si>
  <si>
    <t>Coluna16147</t>
  </si>
  <si>
    <t>Coluna16148</t>
  </si>
  <si>
    <t>Coluna16149</t>
  </si>
  <si>
    <t>Coluna16150</t>
  </si>
  <si>
    <t>Coluna16151</t>
  </si>
  <si>
    <t>Coluna16152</t>
  </si>
  <si>
    <t>Coluna16153</t>
  </si>
  <si>
    <t>Coluna16154</t>
  </si>
  <si>
    <t>Coluna16155</t>
  </si>
  <si>
    <t>Coluna16156</t>
  </si>
  <si>
    <t>Coluna16157</t>
  </si>
  <si>
    <t>Coluna16158</t>
  </si>
  <si>
    <t>Coluna16159</t>
  </si>
  <si>
    <t>Coluna16160</t>
  </si>
  <si>
    <t>Coluna16161</t>
  </si>
  <si>
    <t>Coluna16162</t>
  </si>
  <si>
    <t>Coluna16163</t>
  </si>
  <si>
    <t>Coluna16164</t>
  </si>
  <si>
    <t>Coluna16165</t>
  </si>
  <si>
    <t>Coluna16166</t>
  </si>
  <si>
    <t>Coluna16167</t>
  </si>
  <si>
    <t>Coluna16168</t>
  </si>
  <si>
    <t>Coluna16169</t>
  </si>
  <si>
    <t>Coluna16170</t>
  </si>
  <si>
    <t>Coluna16171</t>
  </si>
  <si>
    <t>Coluna16172</t>
  </si>
  <si>
    <t>Coluna16173</t>
  </si>
  <si>
    <t>Coluna16174</t>
  </si>
  <si>
    <t>Coluna16175</t>
  </si>
  <si>
    <t>Coluna16176</t>
  </si>
  <si>
    <t>Coluna16177</t>
  </si>
  <si>
    <t>Coluna16178</t>
  </si>
  <si>
    <t>Coluna16179</t>
  </si>
  <si>
    <t>Coluna16180</t>
  </si>
  <si>
    <t>Coluna16181</t>
  </si>
  <si>
    <t>Coluna16182</t>
  </si>
  <si>
    <t>Coluna16183</t>
  </si>
  <si>
    <t>Coluna16184</t>
  </si>
  <si>
    <t>Coluna16185</t>
  </si>
  <si>
    <t>Coluna16186</t>
  </si>
  <si>
    <t>Coluna16187</t>
  </si>
  <si>
    <t>Coluna16188</t>
  </si>
  <si>
    <t>Coluna16189</t>
  </si>
  <si>
    <t>Coluna16190</t>
  </si>
  <si>
    <t>Coluna16191</t>
  </si>
  <si>
    <t>Coluna16192</t>
  </si>
  <si>
    <t>Coluna16193</t>
  </si>
  <si>
    <t>Coluna16194</t>
  </si>
  <si>
    <t>Coluna16195</t>
  </si>
  <si>
    <t>Coluna16196</t>
  </si>
  <si>
    <t>Coluna16197</t>
  </si>
  <si>
    <t>Coluna16198</t>
  </si>
  <si>
    <t>Coluna16199</t>
  </si>
  <si>
    <t>Coluna16200</t>
  </si>
  <si>
    <t>Coluna16201</t>
  </si>
  <si>
    <t>Coluna16202</t>
  </si>
  <si>
    <t>Coluna16203</t>
  </si>
  <si>
    <t>Coluna16204</t>
  </si>
  <si>
    <t>Coluna16205</t>
  </si>
  <si>
    <t>Coluna16206</t>
  </si>
  <si>
    <t>Coluna16207</t>
  </si>
  <si>
    <t>Coluna16208</t>
  </si>
  <si>
    <t>Coluna16209</t>
  </si>
  <si>
    <t>Coluna16210</t>
  </si>
  <si>
    <t>Coluna16211</t>
  </si>
  <si>
    <t>Coluna16212</t>
  </si>
  <si>
    <t>Coluna16213</t>
  </si>
  <si>
    <t>Coluna16214</t>
  </si>
  <si>
    <t>Coluna16215</t>
  </si>
  <si>
    <t>Coluna16216</t>
  </si>
  <si>
    <t>Coluna16217</t>
  </si>
  <si>
    <t>Coluna16218</t>
  </si>
  <si>
    <t>Coluna16219</t>
  </si>
  <si>
    <t>Coluna16220</t>
  </si>
  <si>
    <t>Coluna16221</t>
  </si>
  <si>
    <t>Coluna16222</t>
  </si>
  <si>
    <t>Coluna16223</t>
  </si>
  <si>
    <t>Coluna16224</t>
  </si>
  <si>
    <t>Coluna16225</t>
  </si>
  <si>
    <t>Coluna16226</t>
  </si>
  <si>
    <t>Coluna16227</t>
  </si>
  <si>
    <t>Coluna16228</t>
  </si>
  <si>
    <t>Coluna16229</t>
  </si>
  <si>
    <t>Coluna16230</t>
  </si>
  <si>
    <t>Coluna16231</t>
  </si>
  <si>
    <t>Coluna16232</t>
  </si>
  <si>
    <t>Coluna16233</t>
  </si>
  <si>
    <t>Coluna16234</t>
  </si>
  <si>
    <t>Coluna16235</t>
  </si>
  <si>
    <t>Coluna16236</t>
  </si>
  <si>
    <t>Coluna16237</t>
  </si>
  <si>
    <t>Coluna16238</t>
  </si>
  <si>
    <t>Coluna16239</t>
  </si>
  <si>
    <t>Coluna16240</t>
  </si>
  <si>
    <t>Coluna16241</t>
  </si>
  <si>
    <t>Coluna16242</t>
  </si>
  <si>
    <t>Coluna16243</t>
  </si>
  <si>
    <t>Coluna16244</t>
  </si>
  <si>
    <t>Coluna16245</t>
  </si>
  <si>
    <t>Coluna16246</t>
  </si>
  <si>
    <t>Coluna16247</t>
  </si>
  <si>
    <t>Coluna16248</t>
  </si>
  <si>
    <t>Coluna16249</t>
  </si>
  <si>
    <t>Coluna16250</t>
  </si>
  <si>
    <t>Coluna16251</t>
  </si>
  <si>
    <t>Coluna16252</t>
  </si>
  <si>
    <t>Coluna16253</t>
  </si>
  <si>
    <t>Coluna16254</t>
  </si>
  <si>
    <t>Coluna16255</t>
  </si>
  <si>
    <t>Coluna16256</t>
  </si>
  <si>
    <t>Coluna16257</t>
  </si>
  <si>
    <t>Coluna16258</t>
  </si>
  <si>
    <t>Coluna16259</t>
  </si>
  <si>
    <t>Coluna16260</t>
  </si>
  <si>
    <t>Coluna16261</t>
  </si>
  <si>
    <t>Coluna16262</t>
  </si>
  <si>
    <t>Coluna16263</t>
  </si>
  <si>
    <t>Coluna16264</t>
  </si>
  <si>
    <t>Coluna16265</t>
  </si>
  <si>
    <t>Coluna16266</t>
  </si>
  <si>
    <t>Coluna16267</t>
  </si>
  <si>
    <t>Coluna16268</t>
  </si>
  <si>
    <t>Coluna16269</t>
  </si>
  <si>
    <t>Coluna16270</t>
  </si>
  <si>
    <t>Coluna16271</t>
  </si>
  <si>
    <t>Coluna16272</t>
  </si>
  <si>
    <t>Coluna16273</t>
  </si>
  <si>
    <t>Coluna16274</t>
  </si>
  <si>
    <t>Coluna16275</t>
  </si>
  <si>
    <t>Coluna16276</t>
  </si>
  <si>
    <t>Coluna16277</t>
  </si>
  <si>
    <t>Coluna16278</t>
  </si>
  <si>
    <t>Coluna16279</t>
  </si>
  <si>
    <t>Coluna16280</t>
  </si>
  <si>
    <t>Coluna16281</t>
  </si>
  <si>
    <t>Coluna16282</t>
  </si>
  <si>
    <t>Coluna16283</t>
  </si>
  <si>
    <t>Coluna16284</t>
  </si>
  <si>
    <t>Coluna16285</t>
  </si>
  <si>
    <t>Coluna16286</t>
  </si>
  <si>
    <t>Coluna16287</t>
  </si>
  <si>
    <t>Coluna16288</t>
  </si>
  <si>
    <t>Coluna16289</t>
  </si>
  <si>
    <t>Coluna16290</t>
  </si>
  <si>
    <t>Coluna16291</t>
  </si>
  <si>
    <t>Coluna16292</t>
  </si>
  <si>
    <t>Coluna16293</t>
  </si>
  <si>
    <t>Coluna16294</t>
  </si>
  <si>
    <t>Coluna16295</t>
  </si>
  <si>
    <t>Coluna16296</t>
  </si>
  <si>
    <t>Coluna16297</t>
  </si>
  <si>
    <t>Coluna16298</t>
  </si>
  <si>
    <t>Coluna16299</t>
  </si>
  <si>
    <t>Coluna16300</t>
  </si>
  <si>
    <t>Coluna16301</t>
  </si>
  <si>
    <t>Coluna16302</t>
  </si>
  <si>
    <t>Coluna16303</t>
  </si>
  <si>
    <t>Coluna16304</t>
  </si>
  <si>
    <t>Coluna16305</t>
  </si>
  <si>
    <t>Coluna16306</t>
  </si>
  <si>
    <t>Coluna16307</t>
  </si>
  <si>
    <t>Coluna16308</t>
  </si>
  <si>
    <t>Coluna16309</t>
  </si>
  <si>
    <t>Coluna16310</t>
  </si>
  <si>
    <t>Coluna16311</t>
  </si>
  <si>
    <t>Coluna16312</t>
  </si>
  <si>
    <t>Coluna16313</t>
  </si>
  <si>
    <t>Coluna16314</t>
  </si>
  <si>
    <t>Coluna16315</t>
  </si>
  <si>
    <t>Coluna16316</t>
  </si>
  <si>
    <t>Coluna16317</t>
  </si>
  <si>
    <t>Coluna16318</t>
  </si>
  <si>
    <t>Coluna16319</t>
  </si>
  <si>
    <t>Coluna16320</t>
  </si>
  <si>
    <t>Coluna16321</t>
  </si>
  <si>
    <t>Coluna16322</t>
  </si>
  <si>
    <t>Coluna16323</t>
  </si>
  <si>
    <t>Coluna16324</t>
  </si>
  <si>
    <t>Coluna16325</t>
  </si>
  <si>
    <t>Coluna16326</t>
  </si>
  <si>
    <t>Coluna16327</t>
  </si>
  <si>
    <t>Coluna16328</t>
  </si>
  <si>
    <t>Coluna16329</t>
  </si>
  <si>
    <t>Coluna16330</t>
  </si>
  <si>
    <t>Coluna16331</t>
  </si>
  <si>
    <t>Coluna16332</t>
  </si>
  <si>
    <t>Coluna16333</t>
  </si>
  <si>
    <t>Coluna16334</t>
  </si>
  <si>
    <t>Coluna16335</t>
  </si>
  <si>
    <t>Coluna16336</t>
  </si>
  <si>
    <t>Coluna16337</t>
  </si>
  <si>
    <t>Coluna16338</t>
  </si>
  <si>
    <t>Coluna16339</t>
  </si>
  <si>
    <t>Coluna16340</t>
  </si>
  <si>
    <t>Coluna16341</t>
  </si>
  <si>
    <t>Coluna16342</t>
  </si>
  <si>
    <t>Coluna16343</t>
  </si>
  <si>
    <t>Coluna16344</t>
  </si>
  <si>
    <t>Coluna16345</t>
  </si>
  <si>
    <t>Coluna16346</t>
  </si>
  <si>
    <t>Coluna16347</t>
  </si>
  <si>
    <t>Coluna16348</t>
  </si>
  <si>
    <t>Coluna16349</t>
  </si>
  <si>
    <t>Coluna16350</t>
  </si>
  <si>
    <t>Coluna16351</t>
  </si>
  <si>
    <t>Coluna16352</t>
  </si>
  <si>
    <t>Coluna16353</t>
  </si>
  <si>
    <t>Coluna16354</t>
  </si>
  <si>
    <t>Coluna16355</t>
  </si>
  <si>
    <t>Coluna16356</t>
  </si>
  <si>
    <t>Coluna16357</t>
  </si>
  <si>
    <t>Coluna16358</t>
  </si>
  <si>
    <t>Coluna16359</t>
  </si>
  <si>
    <t>Coluna16360</t>
  </si>
  <si>
    <t>Coluna16361</t>
  </si>
  <si>
    <t>Coluna16362</t>
  </si>
  <si>
    <t>Coluna16363</t>
  </si>
  <si>
    <t>Coluna16364</t>
  </si>
  <si>
    <t>Coluna16365</t>
  </si>
  <si>
    <t>Coluna16366</t>
  </si>
  <si>
    <t>Coluna16367</t>
  </si>
  <si>
    <t>Coluna16368</t>
  </si>
  <si>
    <t>Coluna16369</t>
  </si>
  <si>
    <t>Coluna16370</t>
  </si>
  <si>
    <t>Coluna16371</t>
  </si>
  <si>
    <t>Coluna16372</t>
  </si>
  <si>
    <t>Coluna16373</t>
  </si>
  <si>
    <t>Coluna16374</t>
  </si>
  <si>
    <t>Coluna16375</t>
  </si>
  <si>
    <t>Coluna16376</t>
  </si>
  <si>
    <t>Coluna16377</t>
  </si>
  <si>
    <t>Coluna16378</t>
  </si>
  <si>
    <t>Coluna16379</t>
  </si>
  <si>
    <t>MÊS/2025</t>
  </si>
  <si>
    <t>TOTAL GASTOS</t>
  </si>
  <si>
    <t>TOTAL ITENS PAGOS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</si>
  <si>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</si>
  <si>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</si>
  <si>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</si>
  <si>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</si>
  <si>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</si>
  <si>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</si>
  <si>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</si>
  <si>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</si>
  <si>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</si>
  <si>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</si>
  <si>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</si>
  <si>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</si>
  <si>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(Tudo)</t>
  </si>
  <si>
    <t>Rótulos de Linha</t>
  </si>
  <si>
    <t>Total Geral</t>
  </si>
  <si>
    <t>Soma de TOTAL ITENS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</si>
</sst>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44" fontId="0" fillId="0" borderId="0" xfId="42" applyFont="1"/>
    <xf numFmtId="0" fontId="0" fillId="0" borderId="0" xfId="0" pivotButton="1"/>
    <xf numFmtId="44" fontId="0" fillId="0" borderId="0" xfId="0" applyNumberFormat="1" applyAlignment="1">
      <alignment horizontal="left"/>
    </xf>
    <xf numFmtId="0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[fornecedores.xlsx]Planilha2!Tabela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Planilha2!$A$5:$A$17</c:f>
              <c:strCache>
                <c:ptCount val="12"/>
                <c:pt idx="0">
                  <c:v> R$ 2.582.259,17 </c:v>
                </c:pt>
                <c:pt idx="1">
                  <c:v> R$ 4.763.690,97 </c:v>
                </c:pt>
                <c:pt idx="2">
                  <c:v> R$ 4.885.960,93 </c:v>
                </c:pt>
                <c:pt idx="3">
                  <c:v> R$ 6.453.787,75 </c:v>
                </c:pt>
                <c:pt idx="4">
                  <c:v> R$ 6.839.808,17 </c:v>
                </c:pt>
                <c:pt idx="5">
                  <c:v> R$ 11.224.909,82 </c:v>
                </c:pt>
                <c:pt idx="6">
                  <c:v> R$ 14.138.911,70 </c:v>
                </c:pt>
                <c:pt idx="7">
                  <c:v> R$ 18.233.016,87 </c:v>
                </c:pt>
                <c:pt idx="8">
                  <c:v> R$ 20.352.123,38 </c:v>
                </c:pt>
                <c:pt idx="9">
                  <c:v> R$ 63.208.007,91 </c:v>
                </c:pt>
                <c:pt idx="10">
                  <c:v> R$ 83.590.695,10 </c:v>
                </c:pt>
                <c:pt idx="11">
                  <c:v> R$ 2.923.718.664,22 </c:v>
                </c:pt>
              </c:strCache>
            </c:strRef>
          </c:cat>
          <c:val>
            <c:numRef>
              <c:f>Planilha2!$B$5:$B$17</c:f>
              <c:numCache>
                <c:formatCode>General</c:formatCode>
                <c:ptCount val="12"/>
                <c:pt idx="0">
                  <c:v>281</c:v>
                </c:pt>
                <c:pt idx="1">
                  <c:v>428</c:v>
                </c:pt>
                <c:pt idx="2">
                  <c:v>680</c:v>
                </c:pt>
                <c:pt idx="3">
                  <c:v>386</c:v>
                </c:pt>
                <c:pt idx="4">
                  <c:v>405</c:v>
                </c:pt>
                <c:pt idx="5">
                  <c:v>352</c:v>
                </c:pt>
                <c:pt idx="6">
                  <c:v>345</c:v>
                </c:pt>
                <c:pt idx="7">
                  <c:v>496</c:v>
                </c:pt>
                <c:pt idx="8">
                  <c:v>291</c:v>
                </c:pt>
                <c:pt idx="9">
                  <c:v>1127</c:v>
                </c:pt>
                <c:pt idx="10">
                  <c:v>415</c:v>
                </c:pt>
                <c:pt idx="11">
                  <c:v>3680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36E-422C-B3DC-F67632455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2471455"/>
        <c:axId val="953944975"/>
      </c:barChart>
      <c:catAx>
        <c:axId val="952471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944975"/>
        <c:crosses val="autoZero"/>
        <c:auto val="1"/>
        <c:lblAlgn val="ctr"/>
        <c:lblOffset val="100"/>
        <c:noMultiLvlLbl val="0"/>
      </c:catAx>
      <c:valAx>
        <c:axId val="9539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247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0</xdr:row>
      <xdr:rowOff>190499</xdr:rowOff>
    </xdr:from>
    <xdr:to>
      <xdr:col>18</xdr:col>
      <xdr:colOff>0</xdr:colOff>
      <xdr:row>20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ACEAEB-C2C2-4361-A441-353374A08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ec" refreshedDate="46094.846239699073" createdVersion="6" refreshedVersion="6" minRefreshableVersion="3" recordCount="12" xr:uid="{6F6CBFB6-AAD3-49EC-9883-B37B16B7AC1D}">
  <cacheSource type="worksheet">
    <worksheetSource name="Tabela2"/>
  </cacheSource>
  <cacheFields count="3">
    <cacheField name="MÊS/2025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OTAL GASTOS" numFmtId="44">
      <sharedItems containsSemiMixedTypes="0" containsString="0" containsNumber="1" minValue="2582259.1700000013" maxValue="2923718664.2200007" count="12">
        <n v="20352123.379999999"/>
        <n v="4885960.929999995"/>
        <n v="14138911.700000007"/>
        <n v="2582259.1700000013"/>
        <n v="11224909.819999997"/>
        <n v="6453787.7500000037"/>
        <n v="6839808.1699999962"/>
        <n v="83590695.099999949"/>
        <n v="4763690.9699999988"/>
        <n v="18233016.870000005"/>
        <n v="63208007.909999952"/>
        <n v="2923718664.2200007"/>
      </sharedItems>
    </cacheField>
    <cacheField name="TOTAL ITENS PAGOS" numFmtId="0">
      <sharedItems containsSemiMixedTypes="0" containsString="0" containsNumber="1" containsInteger="1" minValue="281" maxValue="3680" count="12">
        <n v="291"/>
        <n v="680"/>
        <n v="345"/>
        <n v="281"/>
        <n v="352"/>
        <n v="386"/>
        <n v="405"/>
        <n v="415"/>
        <n v="428"/>
        <n v="496"/>
        <n v="1127"/>
        <n v="36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E894E-99E8-4399-8134-3865F82905B1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4:B17" firstHeaderRow="1" firstDataRow="1" firstDataCol="1" rowPageCount="1" colPageCount="1"/>
  <pivotFields count="3"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44" showAll="0">
      <items count="13">
        <item x="3"/>
        <item x="8"/>
        <item x="1"/>
        <item x="5"/>
        <item x="6"/>
        <item x="4"/>
        <item x="2"/>
        <item x="9"/>
        <item x="0"/>
        <item x="10"/>
        <item x="7"/>
        <item x="11"/>
        <item t="default"/>
      </items>
    </pivotField>
    <pivotField dataField="1" showAll="0">
      <items count="13">
        <item x="3"/>
        <item x="0"/>
        <item x="2"/>
        <item x="4"/>
        <item x="5"/>
        <item x="6"/>
        <item x="7"/>
        <item x="8"/>
        <item x="9"/>
        <item x="1"/>
        <item x="10"/>
        <item x="1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oma de TOTAL ITENS PAGOS" fld="2" baseField="0" baseItem="0"/>
  </dataFields>
  <chartFormats count="1">
    <chartFormat chart="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XFD1048576" totalsRowShown="0">
  <autoFilter ref="A1:XFD1048576" xr:uid="{00000000-0009-0000-0100-000001000000}"/>
  <tableColumns count="16384">
    <tableColumn id="1" xr3:uid="{00000000-0010-0000-0000-000001000000}" name="Período"/>
    <tableColumn id="2" xr3:uid="{00000000-0010-0000-0000-000002000000}" name="Fornecedor"/>
    <tableColumn id="3" xr3:uid="{00000000-0010-0000-0000-000003000000}" name="Último pagto ano"/>
    <tableColumn id="4" xr3:uid="{00000000-0010-0000-0000-000004000000}" name="CPF/CNPJ"/>
    <tableColumn id="5" xr3:uid="{00000000-0010-0000-0000-000005000000}" name="Valor Pago"/>
    <tableColumn id="6" xr3:uid="{00000000-0010-0000-0000-000006000000}" name="Coluna1"/>
    <tableColumn id="7" xr3:uid="{00000000-0010-0000-0000-000007000000}" name="Coluna2" dataDxfId="3">
      <calculatedColumnFormula>MONTH(Tabela1[[#This Row],[Último pagto ano]])</calculatedColumnFormula>
    </tableColumn>
    <tableColumn id="8" xr3:uid="{00000000-0010-0000-0000-000008000000}" name="Coluna3" dataDxfId="2">
      <calculatedColumnFormula>TEXT(Tabela1[[#This Row],[Coluna2]]*29,"mmmm")</calculatedColumnFormula>
    </tableColumn>
    <tableColumn id="9" xr3:uid="{00000000-0010-0000-0000-000009000000}" name="Coluna4" dataDxfId="1">
      <calculatedColumnFormula>TEXT(MONTH(Tabela1[[#This Row],[Último pagto ano]])*29,"mmmm")</calculatedColumnFormula>
    </tableColumn>
    <tableColumn id="10" xr3:uid="{00000000-0010-0000-0000-00000A000000}" name="Coluna5"/>
    <tableColumn id="11" xr3:uid="{00000000-0010-0000-0000-00000B000000}" name="Coluna6"/>
    <tableColumn id="12" xr3:uid="{00000000-0010-0000-0000-00000C000000}" name="Coluna7"/>
    <tableColumn id="13" xr3:uid="{00000000-0010-0000-0000-00000D000000}" name="Coluna8"/>
    <tableColumn id="14" xr3:uid="{00000000-0010-0000-0000-00000E000000}" name="Coluna9"/>
    <tableColumn id="15" xr3:uid="{00000000-0010-0000-0000-00000F000000}" name="Coluna10"/>
    <tableColumn id="16" xr3:uid="{00000000-0010-0000-0000-000010000000}" name="Coluna11"/>
    <tableColumn id="17" xr3:uid="{00000000-0010-0000-0000-000011000000}" name="Coluna12"/>
    <tableColumn id="18" xr3:uid="{00000000-0010-0000-0000-000012000000}" name="Coluna13"/>
    <tableColumn id="19" xr3:uid="{00000000-0010-0000-0000-000013000000}" name="Coluna14"/>
    <tableColumn id="20" xr3:uid="{00000000-0010-0000-0000-000014000000}" name="Coluna15"/>
    <tableColumn id="21" xr3:uid="{00000000-0010-0000-0000-000015000000}" name="Coluna16"/>
    <tableColumn id="22" xr3:uid="{00000000-0010-0000-0000-000016000000}" name="Coluna17"/>
    <tableColumn id="23" xr3:uid="{00000000-0010-0000-0000-000017000000}" name="Coluna18"/>
    <tableColumn id="24" xr3:uid="{00000000-0010-0000-0000-000018000000}" name="Coluna19"/>
    <tableColumn id="25" xr3:uid="{00000000-0010-0000-0000-000019000000}" name="Coluna20"/>
    <tableColumn id="26" xr3:uid="{00000000-0010-0000-0000-00001A000000}" name="Coluna21"/>
    <tableColumn id="27" xr3:uid="{00000000-0010-0000-0000-00001B000000}" name="Coluna22"/>
    <tableColumn id="28" xr3:uid="{00000000-0010-0000-0000-00001C000000}" name="Coluna23"/>
    <tableColumn id="29" xr3:uid="{00000000-0010-0000-0000-00001D000000}" name="Coluna24"/>
    <tableColumn id="30" xr3:uid="{00000000-0010-0000-0000-00001E000000}" name="Coluna25"/>
    <tableColumn id="31" xr3:uid="{00000000-0010-0000-0000-00001F000000}" name="Coluna26"/>
    <tableColumn id="32" xr3:uid="{00000000-0010-0000-0000-000020000000}" name="Coluna27"/>
    <tableColumn id="33" xr3:uid="{00000000-0010-0000-0000-000021000000}" name="Coluna28"/>
    <tableColumn id="34" xr3:uid="{00000000-0010-0000-0000-000022000000}" name="Coluna29"/>
    <tableColumn id="35" xr3:uid="{00000000-0010-0000-0000-000023000000}" name="Coluna30"/>
    <tableColumn id="36" xr3:uid="{00000000-0010-0000-0000-000024000000}" name="Coluna31"/>
    <tableColumn id="37" xr3:uid="{00000000-0010-0000-0000-000025000000}" name="Coluna32"/>
    <tableColumn id="38" xr3:uid="{00000000-0010-0000-0000-000026000000}" name="Coluna33"/>
    <tableColumn id="39" xr3:uid="{00000000-0010-0000-0000-000027000000}" name="Coluna34"/>
    <tableColumn id="40" xr3:uid="{00000000-0010-0000-0000-000028000000}" name="Coluna35"/>
    <tableColumn id="41" xr3:uid="{00000000-0010-0000-0000-000029000000}" name="Coluna36"/>
    <tableColumn id="42" xr3:uid="{00000000-0010-0000-0000-00002A000000}" name="Coluna37"/>
    <tableColumn id="43" xr3:uid="{00000000-0010-0000-0000-00002B000000}" name="Coluna38"/>
    <tableColumn id="44" xr3:uid="{00000000-0010-0000-0000-00002C000000}" name="Coluna39"/>
    <tableColumn id="45" xr3:uid="{00000000-0010-0000-0000-00002D000000}" name="Coluna40"/>
    <tableColumn id="46" xr3:uid="{00000000-0010-0000-0000-00002E000000}" name="Coluna41"/>
    <tableColumn id="47" xr3:uid="{00000000-0010-0000-0000-00002F000000}" name="Coluna42"/>
    <tableColumn id="48" xr3:uid="{00000000-0010-0000-0000-000030000000}" name="Coluna43"/>
    <tableColumn id="49" xr3:uid="{00000000-0010-0000-0000-000031000000}" name="Coluna44"/>
    <tableColumn id="50" xr3:uid="{00000000-0010-0000-0000-000032000000}" name="Coluna45"/>
    <tableColumn id="51" xr3:uid="{00000000-0010-0000-0000-000033000000}" name="Coluna46"/>
    <tableColumn id="52" xr3:uid="{00000000-0010-0000-0000-000034000000}" name="Coluna47"/>
    <tableColumn id="53" xr3:uid="{00000000-0010-0000-0000-000035000000}" name="Coluna48"/>
    <tableColumn id="54" xr3:uid="{00000000-0010-0000-0000-000036000000}" name="Coluna49"/>
    <tableColumn id="55" xr3:uid="{00000000-0010-0000-0000-000037000000}" name="Coluna50"/>
    <tableColumn id="56" xr3:uid="{00000000-0010-0000-0000-000038000000}" name="Coluna51"/>
    <tableColumn id="57" xr3:uid="{00000000-0010-0000-0000-000039000000}" name="Coluna52"/>
    <tableColumn id="58" xr3:uid="{00000000-0010-0000-0000-00003A000000}" name="Coluna53"/>
    <tableColumn id="59" xr3:uid="{00000000-0010-0000-0000-00003B000000}" name="Coluna54"/>
    <tableColumn id="60" xr3:uid="{00000000-0010-0000-0000-00003C000000}" name="Coluna55"/>
    <tableColumn id="61" xr3:uid="{00000000-0010-0000-0000-00003D000000}" name="Coluna56"/>
    <tableColumn id="62" xr3:uid="{00000000-0010-0000-0000-00003E000000}" name="Coluna57"/>
    <tableColumn id="63" xr3:uid="{00000000-0010-0000-0000-00003F000000}" name="Coluna58"/>
    <tableColumn id="64" xr3:uid="{00000000-0010-0000-0000-000040000000}" name="Coluna59"/>
    <tableColumn id="65" xr3:uid="{00000000-0010-0000-0000-000041000000}" name="Coluna60"/>
    <tableColumn id="66" xr3:uid="{00000000-0010-0000-0000-000042000000}" name="Coluna61"/>
    <tableColumn id="67" xr3:uid="{00000000-0010-0000-0000-000043000000}" name="Coluna62"/>
    <tableColumn id="68" xr3:uid="{00000000-0010-0000-0000-000044000000}" name="Coluna63"/>
    <tableColumn id="69" xr3:uid="{00000000-0010-0000-0000-000045000000}" name="Coluna64"/>
    <tableColumn id="70" xr3:uid="{00000000-0010-0000-0000-000046000000}" name="Coluna65"/>
    <tableColumn id="71" xr3:uid="{00000000-0010-0000-0000-000047000000}" name="Coluna66"/>
    <tableColumn id="72" xr3:uid="{00000000-0010-0000-0000-000048000000}" name="Coluna67"/>
    <tableColumn id="73" xr3:uid="{00000000-0010-0000-0000-000049000000}" name="Coluna68"/>
    <tableColumn id="74" xr3:uid="{00000000-0010-0000-0000-00004A000000}" name="Coluna69"/>
    <tableColumn id="75" xr3:uid="{00000000-0010-0000-0000-00004B000000}" name="Coluna70"/>
    <tableColumn id="76" xr3:uid="{00000000-0010-0000-0000-00004C000000}" name="Coluna71"/>
    <tableColumn id="77" xr3:uid="{00000000-0010-0000-0000-00004D000000}" name="Coluna72"/>
    <tableColumn id="78" xr3:uid="{00000000-0010-0000-0000-00004E000000}" name="Coluna73"/>
    <tableColumn id="79" xr3:uid="{00000000-0010-0000-0000-00004F000000}" name="Coluna74"/>
    <tableColumn id="80" xr3:uid="{00000000-0010-0000-0000-000050000000}" name="Coluna75"/>
    <tableColumn id="81" xr3:uid="{00000000-0010-0000-0000-000051000000}" name="Coluna76"/>
    <tableColumn id="82" xr3:uid="{00000000-0010-0000-0000-000052000000}" name="Coluna77"/>
    <tableColumn id="83" xr3:uid="{00000000-0010-0000-0000-000053000000}" name="Coluna78"/>
    <tableColumn id="84" xr3:uid="{00000000-0010-0000-0000-000054000000}" name="Coluna79"/>
    <tableColumn id="85" xr3:uid="{00000000-0010-0000-0000-000055000000}" name="Coluna80"/>
    <tableColumn id="86" xr3:uid="{00000000-0010-0000-0000-000056000000}" name="Coluna81"/>
    <tableColumn id="87" xr3:uid="{00000000-0010-0000-0000-000057000000}" name="Coluna82"/>
    <tableColumn id="88" xr3:uid="{00000000-0010-0000-0000-000058000000}" name="Coluna83"/>
    <tableColumn id="89" xr3:uid="{00000000-0010-0000-0000-000059000000}" name="Coluna84"/>
    <tableColumn id="90" xr3:uid="{00000000-0010-0000-0000-00005A000000}" name="Coluna85"/>
    <tableColumn id="91" xr3:uid="{00000000-0010-0000-0000-00005B000000}" name="Coluna86"/>
    <tableColumn id="92" xr3:uid="{00000000-0010-0000-0000-00005C000000}" name="Coluna87"/>
    <tableColumn id="93" xr3:uid="{00000000-0010-0000-0000-00005D000000}" name="Coluna88"/>
    <tableColumn id="94" xr3:uid="{00000000-0010-0000-0000-00005E000000}" name="Coluna89"/>
    <tableColumn id="95" xr3:uid="{00000000-0010-0000-0000-00005F000000}" name="Coluna90"/>
    <tableColumn id="96" xr3:uid="{00000000-0010-0000-0000-000060000000}" name="Coluna91"/>
    <tableColumn id="97" xr3:uid="{00000000-0010-0000-0000-000061000000}" name="Coluna92"/>
    <tableColumn id="98" xr3:uid="{00000000-0010-0000-0000-000062000000}" name="Coluna93"/>
    <tableColumn id="99" xr3:uid="{00000000-0010-0000-0000-000063000000}" name="Coluna94"/>
    <tableColumn id="100" xr3:uid="{00000000-0010-0000-0000-000064000000}" name="Coluna95"/>
    <tableColumn id="101" xr3:uid="{00000000-0010-0000-0000-000065000000}" name="Coluna96"/>
    <tableColumn id="102" xr3:uid="{00000000-0010-0000-0000-000066000000}" name="Coluna97"/>
    <tableColumn id="103" xr3:uid="{00000000-0010-0000-0000-000067000000}" name="Coluna98"/>
    <tableColumn id="104" xr3:uid="{00000000-0010-0000-0000-000068000000}" name="Coluna99"/>
    <tableColumn id="105" xr3:uid="{00000000-0010-0000-0000-000069000000}" name="Coluna100"/>
    <tableColumn id="106" xr3:uid="{00000000-0010-0000-0000-00006A000000}" name="Coluna101"/>
    <tableColumn id="107" xr3:uid="{00000000-0010-0000-0000-00006B000000}" name="Coluna102"/>
    <tableColumn id="108" xr3:uid="{00000000-0010-0000-0000-00006C000000}" name="Coluna103"/>
    <tableColumn id="109" xr3:uid="{00000000-0010-0000-0000-00006D000000}" name="Coluna104"/>
    <tableColumn id="110" xr3:uid="{00000000-0010-0000-0000-00006E000000}" name="Coluna105"/>
    <tableColumn id="111" xr3:uid="{00000000-0010-0000-0000-00006F000000}" name="Coluna106"/>
    <tableColumn id="112" xr3:uid="{00000000-0010-0000-0000-000070000000}" name="Coluna107"/>
    <tableColumn id="113" xr3:uid="{00000000-0010-0000-0000-000071000000}" name="Coluna108"/>
    <tableColumn id="114" xr3:uid="{00000000-0010-0000-0000-000072000000}" name="Coluna109"/>
    <tableColumn id="115" xr3:uid="{00000000-0010-0000-0000-000073000000}" name="Coluna110"/>
    <tableColumn id="116" xr3:uid="{00000000-0010-0000-0000-000074000000}" name="Coluna111"/>
    <tableColumn id="117" xr3:uid="{00000000-0010-0000-0000-000075000000}" name="Coluna112"/>
    <tableColumn id="118" xr3:uid="{00000000-0010-0000-0000-000076000000}" name="Coluna113"/>
    <tableColumn id="119" xr3:uid="{00000000-0010-0000-0000-000077000000}" name="Coluna114"/>
    <tableColumn id="120" xr3:uid="{00000000-0010-0000-0000-000078000000}" name="Coluna115"/>
    <tableColumn id="121" xr3:uid="{00000000-0010-0000-0000-000079000000}" name="Coluna116"/>
    <tableColumn id="122" xr3:uid="{00000000-0010-0000-0000-00007A000000}" name="Coluna117"/>
    <tableColumn id="123" xr3:uid="{00000000-0010-0000-0000-00007B000000}" name="Coluna118"/>
    <tableColumn id="124" xr3:uid="{00000000-0010-0000-0000-00007C000000}" name="Coluna119"/>
    <tableColumn id="125" xr3:uid="{00000000-0010-0000-0000-00007D000000}" name="Coluna120"/>
    <tableColumn id="126" xr3:uid="{00000000-0010-0000-0000-00007E000000}" name="Coluna121"/>
    <tableColumn id="127" xr3:uid="{00000000-0010-0000-0000-00007F000000}" name="Coluna122"/>
    <tableColumn id="128" xr3:uid="{00000000-0010-0000-0000-000080000000}" name="Coluna123"/>
    <tableColumn id="129" xr3:uid="{00000000-0010-0000-0000-000081000000}" name="Coluna124"/>
    <tableColumn id="130" xr3:uid="{00000000-0010-0000-0000-000082000000}" name="Coluna125"/>
    <tableColumn id="131" xr3:uid="{00000000-0010-0000-0000-000083000000}" name="Coluna126"/>
    <tableColumn id="132" xr3:uid="{00000000-0010-0000-0000-000084000000}" name="Coluna127"/>
    <tableColumn id="133" xr3:uid="{00000000-0010-0000-0000-000085000000}" name="Coluna128"/>
    <tableColumn id="134" xr3:uid="{00000000-0010-0000-0000-000086000000}" name="Coluna129"/>
    <tableColumn id="135" xr3:uid="{00000000-0010-0000-0000-000087000000}" name="Coluna130"/>
    <tableColumn id="136" xr3:uid="{00000000-0010-0000-0000-000088000000}" name="Coluna131"/>
    <tableColumn id="137" xr3:uid="{00000000-0010-0000-0000-000089000000}" name="Coluna132"/>
    <tableColumn id="138" xr3:uid="{00000000-0010-0000-0000-00008A000000}" name="Coluna133"/>
    <tableColumn id="139" xr3:uid="{00000000-0010-0000-0000-00008B000000}" name="Coluna134"/>
    <tableColumn id="140" xr3:uid="{00000000-0010-0000-0000-00008C000000}" name="Coluna135"/>
    <tableColumn id="141" xr3:uid="{00000000-0010-0000-0000-00008D000000}" name="Coluna136"/>
    <tableColumn id="142" xr3:uid="{00000000-0010-0000-0000-00008E000000}" name="Coluna137"/>
    <tableColumn id="143" xr3:uid="{00000000-0010-0000-0000-00008F000000}" name="Coluna138"/>
    <tableColumn id="144" xr3:uid="{00000000-0010-0000-0000-000090000000}" name="Coluna139"/>
    <tableColumn id="145" xr3:uid="{00000000-0010-0000-0000-000091000000}" name="Coluna140"/>
    <tableColumn id="146" xr3:uid="{00000000-0010-0000-0000-000092000000}" name="Coluna141"/>
    <tableColumn id="147" xr3:uid="{00000000-0010-0000-0000-000093000000}" name="Coluna142"/>
    <tableColumn id="148" xr3:uid="{00000000-0010-0000-0000-000094000000}" name="Coluna143"/>
    <tableColumn id="149" xr3:uid="{00000000-0010-0000-0000-000095000000}" name="Coluna144"/>
    <tableColumn id="150" xr3:uid="{00000000-0010-0000-0000-000096000000}" name="Coluna145"/>
    <tableColumn id="151" xr3:uid="{00000000-0010-0000-0000-000097000000}" name="Coluna146"/>
    <tableColumn id="152" xr3:uid="{00000000-0010-0000-0000-000098000000}" name="Coluna147"/>
    <tableColumn id="153" xr3:uid="{00000000-0010-0000-0000-000099000000}" name="Coluna148"/>
    <tableColumn id="154" xr3:uid="{00000000-0010-0000-0000-00009A000000}" name="Coluna149"/>
    <tableColumn id="155" xr3:uid="{00000000-0010-0000-0000-00009B000000}" name="Coluna150"/>
    <tableColumn id="156" xr3:uid="{00000000-0010-0000-0000-00009C000000}" name="Coluna151"/>
    <tableColumn id="157" xr3:uid="{00000000-0010-0000-0000-00009D000000}" name="Coluna152"/>
    <tableColumn id="158" xr3:uid="{00000000-0010-0000-0000-00009E000000}" name="Coluna153"/>
    <tableColumn id="159" xr3:uid="{00000000-0010-0000-0000-00009F000000}" name="Coluna154"/>
    <tableColumn id="160" xr3:uid="{00000000-0010-0000-0000-0000A0000000}" name="Coluna155"/>
    <tableColumn id="161" xr3:uid="{00000000-0010-0000-0000-0000A1000000}" name="Coluna156"/>
    <tableColumn id="162" xr3:uid="{00000000-0010-0000-0000-0000A2000000}" name="Coluna157"/>
    <tableColumn id="163" xr3:uid="{00000000-0010-0000-0000-0000A3000000}" name="Coluna158"/>
    <tableColumn id="164" xr3:uid="{00000000-0010-0000-0000-0000A4000000}" name="Coluna159"/>
    <tableColumn id="165" xr3:uid="{00000000-0010-0000-0000-0000A5000000}" name="Coluna160"/>
    <tableColumn id="166" xr3:uid="{00000000-0010-0000-0000-0000A6000000}" name="Coluna161"/>
    <tableColumn id="167" xr3:uid="{00000000-0010-0000-0000-0000A7000000}" name="Coluna162"/>
    <tableColumn id="168" xr3:uid="{00000000-0010-0000-0000-0000A8000000}" name="Coluna163"/>
    <tableColumn id="169" xr3:uid="{00000000-0010-0000-0000-0000A9000000}" name="Coluna164"/>
    <tableColumn id="170" xr3:uid="{00000000-0010-0000-0000-0000AA000000}" name="Coluna165"/>
    <tableColumn id="171" xr3:uid="{00000000-0010-0000-0000-0000AB000000}" name="Coluna166"/>
    <tableColumn id="172" xr3:uid="{00000000-0010-0000-0000-0000AC000000}" name="Coluna167"/>
    <tableColumn id="173" xr3:uid="{00000000-0010-0000-0000-0000AD000000}" name="Coluna168"/>
    <tableColumn id="174" xr3:uid="{00000000-0010-0000-0000-0000AE000000}" name="Coluna169"/>
    <tableColumn id="175" xr3:uid="{00000000-0010-0000-0000-0000AF000000}" name="Coluna170"/>
    <tableColumn id="176" xr3:uid="{00000000-0010-0000-0000-0000B0000000}" name="Coluna171"/>
    <tableColumn id="177" xr3:uid="{00000000-0010-0000-0000-0000B1000000}" name="Coluna172"/>
    <tableColumn id="178" xr3:uid="{00000000-0010-0000-0000-0000B2000000}" name="Coluna173"/>
    <tableColumn id="179" xr3:uid="{00000000-0010-0000-0000-0000B3000000}" name="Coluna174"/>
    <tableColumn id="180" xr3:uid="{00000000-0010-0000-0000-0000B4000000}" name="Coluna175"/>
    <tableColumn id="181" xr3:uid="{00000000-0010-0000-0000-0000B5000000}" name="Coluna176"/>
    <tableColumn id="182" xr3:uid="{00000000-0010-0000-0000-0000B6000000}" name="Coluna177"/>
    <tableColumn id="183" xr3:uid="{00000000-0010-0000-0000-0000B7000000}" name="Coluna178"/>
    <tableColumn id="184" xr3:uid="{00000000-0010-0000-0000-0000B8000000}" name="Coluna179"/>
    <tableColumn id="185" xr3:uid="{00000000-0010-0000-0000-0000B9000000}" name="Coluna180"/>
    <tableColumn id="186" xr3:uid="{00000000-0010-0000-0000-0000BA000000}" name="Coluna181"/>
    <tableColumn id="187" xr3:uid="{00000000-0010-0000-0000-0000BB000000}" name="Coluna182"/>
    <tableColumn id="188" xr3:uid="{00000000-0010-0000-0000-0000BC000000}" name="Coluna183"/>
    <tableColumn id="189" xr3:uid="{00000000-0010-0000-0000-0000BD000000}" name="Coluna184"/>
    <tableColumn id="190" xr3:uid="{00000000-0010-0000-0000-0000BE000000}" name="Coluna185"/>
    <tableColumn id="191" xr3:uid="{00000000-0010-0000-0000-0000BF000000}" name="Coluna186"/>
    <tableColumn id="192" xr3:uid="{00000000-0010-0000-0000-0000C0000000}" name="Coluna187"/>
    <tableColumn id="193" xr3:uid="{00000000-0010-0000-0000-0000C1000000}" name="Coluna188"/>
    <tableColumn id="194" xr3:uid="{00000000-0010-0000-0000-0000C2000000}" name="Coluna189"/>
    <tableColumn id="195" xr3:uid="{00000000-0010-0000-0000-0000C3000000}" name="Coluna190"/>
    <tableColumn id="196" xr3:uid="{00000000-0010-0000-0000-0000C4000000}" name="Coluna191"/>
    <tableColumn id="197" xr3:uid="{00000000-0010-0000-0000-0000C5000000}" name="Coluna192"/>
    <tableColumn id="198" xr3:uid="{00000000-0010-0000-0000-0000C6000000}" name="Coluna193"/>
    <tableColumn id="199" xr3:uid="{00000000-0010-0000-0000-0000C7000000}" name="Coluna194"/>
    <tableColumn id="200" xr3:uid="{00000000-0010-0000-0000-0000C8000000}" name="Coluna195"/>
    <tableColumn id="201" xr3:uid="{00000000-0010-0000-0000-0000C9000000}" name="Coluna196"/>
    <tableColumn id="202" xr3:uid="{00000000-0010-0000-0000-0000CA000000}" name="Coluna197"/>
    <tableColumn id="203" xr3:uid="{00000000-0010-0000-0000-0000CB000000}" name="Coluna198"/>
    <tableColumn id="204" xr3:uid="{00000000-0010-0000-0000-0000CC000000}" name="Coluna199"/>
    <tableColumn id="205" xr3:uid="{00000000-0010-0000-0000-0000CD000000}" name="Coluna200"/>
    <tableColumn id="206" xr3:uid="{00000000-0010-0000-0000-0000CE000000}" name="Coluna201"/>
    <tableColumn id="207" xr3:uid="{00000000-0010-0000-0000-0000CF000000}" name="Coluna202"/>
    <tableColumn id="208" xr3:uid="{00000000-0010-0000-0000-0000D0000000}" name="Coluna203"/>
    <tableColumn id="209" xr3:uid="{00000000-0010-0000-0000-0000D1000000}" name="Coluna204"/>
    <tableColumn id="210" xr3:uid="{00000000-0010-0000-0000-0000D2000000}" name="Coluna205"/>
    <tableColumn id="211" xr3:uid="{00000000-0010-0000-0000-0000D3000000}" name="Coluna206"/>
    <tableColumn id="212" xr3:uid="{00000000-0010-0000-0000-0000D4000000}" name="Coluna207"/>
    <tableColumn id="213" xr3:uid="{00000000-0010-0000-0000-0000D5000000}" name="Coluna208"/>
    <tableColumn id="214" xr3:uid="{00000000-0010-0000-0000-0000D6000000}" name="Coluna209"/>
    <tableColumn id="215" xr3:uid="{00000000-0010-0000-0000-0000D7000000}" name="Coluna210"/>
    <tableColumn id="216" xr3:uid="{00000000-0010-0000-0000-0000D8000000}" name="Coluna211"/>
    <tableColumn id="217" xr3:uid="{00000000-0010-0000-0000-0000D9000000}" name="Coluna212"/>
    <tableColumn id="218" xr3:uid="{00000000-0010-0000-0000-0000DA000000}" name="Coluna213"/>
    <tableColumn id="219" xr3:uid="{00000000-0010-0000-0000-0000DB000000}" name="Coluna214"/>
    <tableColumn id="220" xr3:uid="{00000000-0010-0000-0000-0000DC000000}" name="Coluna215"/>
    <tableColumn id="221" xr3:uid="{00000000-0010-0000-0000-0000DD000000}" name="Coluna216"/>
    <tableColumn id="222" xr3:uid="{00000000-0010-0000-0000-0000DE000000}" name="Coluna217"/>
    <tableColumn id="223" xr3:uid="{00000000-0010-0000-0000-0000DF000000}" name="Coluna218"/>
    <tableColumn id="224" xr3:uid="{00000000-0010-0000-0000-0000E0000000}" name="Coluna219"/>
    <tableColumn id="225" xr3:uid="{00000000-0010-0000-0000-0000E1000000}" name="Coluna220"/>
    <tableColumn id="226" xr3:uid="{00000000-0010-0000-0000-0000E2000000}" name="Coluna221"/>
    <tableColumn id="227" xr3:uid="{00000000-0010-0000-0000-0000E3000000}" name="Coluna222"/>
    <tableColumn id="228" xr3:uid="{00000000-0010-0000-0000-0000E4000000}" name="Coluna223"/>
    <tableColumn id="229" xr3:uid="{00000000-0010-0000-0000-0000E5000000}" name="Coluna224"/>
    <tableColumn id="230" xr3:uid="{00000000-0010-0000-0000-0000E6000000}" name="Coluna225"/>
    <tableColumn id="231" xr3:uid="{00000000-0010-0000-0000-0000E7000000}" name="Coluna226"/>
    <tableColumn id="232" xr3:uid="{00000000-0010-0000-0000-0000E8000000}" name="Coluna227"/>
    <tableColumn id="233" xr3:uid="{00000000-0010-0000-0000-0000E9000000}" name="Coluna228"/>
    <tableColumn id="234" xr3:uid="{00000000-0010-0000-0000-0000EA000000}" name="Coluna229"/>
    <tableColumn id="235" xr3:uid="{00000000-0010-0000-0000-0000EB000000}" name="Coluna230"/>
    <tableColumn id="236" xr3:uid="{00000000-0010-0000-0000-0000EC000000}" name="Coluna231"/>
    <tableColumn id="237" xr3:uid="{00000000-0010-0000-0000-0000ED000000}" name="Coluna232"/>
    <tableColumn id="238" xr3:uid="{00000000-0010-0000-0000-0000EE000000}" name="Coluna233"/>
    <tableColumn id="239" xr3:uid="{00000000-0010-0000-0000-0000EF000000}" name="Coluna234"/>
    <tableColumn id="240" xr3:uid="{00000000-0010-0000-0000-0000F0000000}" name="Coluna235"/>
    <tableColumn id="241" xr3:uid="{00000000-0010-0000-0000-0000F1000000}" name="Coluna236"/>
    <tableColumn id="242" xr3:uid="{00000000-0010-0000-0000-0000F2000000}" name="Coluna237"/>
    <tableColumn id="243" xr3:uid="{00000000-0010-0000-0000-0000F3000000}" name="Coluna238"/>
    <tableColumn id="244" xr3:uid="{00000000-0010-0000-0000-0000F4000000}" name="Coluna239"/>
    <tableColumn id="245" xr3:uid="{00000000-0010-0000-0000-0000F5000000}" name="Coluna240"/>
    <tableColumn id="246" xr3:uid="{00000000-0010-0000-0000-0000F6000000}" name="Coluna241"/>
    <tableColumn id="247" xr3:uid="{00000000-0010-0000-0000-0000F7000000}" name="Coluna242"/>
    <tableColumn id="248" xr3:uid="{00000000-0010-0000-0000-0000F8000000}" name="Coluna243"/>
    <tableColumn id="249" xr3:uid="{00000000-0010-0000-0000-0000F9000000}" name="Coluna244"/>
    <tableColumn id="250" xr3:uid="{00000000-0010-0000-0000-0000FA000000}" name="Coluna245"/>
    <tableColumn id="251" xr3:uid="{00000000-0010-0000-0000-0000FB000000}" name="Coluna246"/>
    <tableColumn id="252" xr3:uid="{00000000-0010-0000-0000-0000FC000000}" name="Coluna247"/>
    <tableColumn id="253" xr3:uid="{00000000-0010-0000-0000-0000FD000000}" name="Coluna248"/>
    <tableColumn id="254" xr3:uid="{00000000-0010-0000-0000-0000FE000000}" name="Coluna249"/>
    <tableColumn id="255" xr3:uid="{00000000-0010-0000-0000-0000FF000000}" name="Coluna250"/>
    <tableColumn id="256" xr3:uid="{00000000-0010-0000-0000-000000010000}" name="Coluna251"/>
    <tableColumn id="257" xr3:uid="{00000000-0010-0000-0000-000001010000}" name="Coluna252"/>
    <tableColumn id="258" xr3:uid="{00000000-0010-0000-0000-000002010000}" name="Coluna253"/>
    <tableColumn id="259" xr3:uid="{00000000-0010-0000-0000-000003010000}" name="Coluna254"/>
    <tableColumn id="260" xr3:uid="{00000000-0010-0000-0000-000004010000}" name="Coluna255"/>
    <tableColumn id="261" xr3:uid="{00000000-0010-0000-0000-000005010000}" name="Coluna256"/>
    <tableColumn id="262" xr3:uid="{00000000-0010-0000-0000-000006010000}" name="Coluna257"/>
    <tableColumn id="263" xr3:uid="{00000000-0010-0000-0000-000007010000}" name="Coluna258"/>
    <tableColumn id="264" xr3:uid="{00000000-0010-0000-0000-000008010000}" name="Coluna259"/>
    <tableColumn id="265" xr3:uid="{00000000-0010-0000-0000-000009010000}" name="Coluna260"/>
    <tableColumn id="266" xr3:uid="{00000000-0010-0000-0000-00000A010000}" name="Coluna261"/>
    <tableColumn id="267" xr3:uid="{00000000-0010-0000-0000-00000B010000}" name="Coluna262"/>
    <tableColumn id="268" xr3:uid="{00000000-0010-0000-0000-00000C010000}" name="Coluna263"/>
    <tableColumn id="269" xr3:uid="{00000000-0010-0000-0000-00000D010000}" name="Coluna264"/>
    <tableColumn id="270" xr3:uid="{00000000-0010-0000-0000-00000E010000}" name="Coluna265"/>
    <tableColumn id="271" xr3:uid="{00000000-0010-0000-0000-00000F010000}" name="Coluna266"/>
    <tableColumn id="272" xr3:uid="{00000000-0010-0000-0000-000010010000}" name="Coluna267"/>
    <tableColumn id="273" xr3:uid="{00000000-0010-0000-0000-000011010000}" name="Coluna268"/>
    <tableColumn id="274" xr3:uid="{00000000-0010-0000-0000-000012010000}" name="Coluna269"/>
    <tableColumn id="275" xr3:uid="{00000000-0010-0000-0000-000013010000}" name="Coluna270"/>
    <tableColumn id="276" xr3:uid="{00000000-0010-0000-0000-000014010000}" name="Coluna271"/>
    <tableColumn id="277" xr3:uid="{00000000-0010-0000-0000-000015010000}" name="Coluna272"/>
    <tableColumn id="278" xr3:uid="{00000000-0010-0000-0000-000016010000}" name="Coluna273"/>
    <tableColumn id="279" xr3:uid="{00000000-0010-0000-0000-000017010000}" name="Coluna274"/>
    <tableColumn id="280" xr3:uid="{00000000-0010-0000-0000-000018010000}" name="Coluna275"/>
    <tableColumn id="281" xr3:uid="{00000000-0010-0000-0000-000019010000}" name="Coluna276"/>
    <tableColumn id="282" xr3:uid="{00000000-0010-0000-0000-00001A010000}" name="Coluna277"/>
    <tableColumn id="283" xr3:uid="{00000000-0010-0000-0000-00001B010000}" name="Coluna278"/>
    <tableColumn id="284" xr3:uid="{00000000-0010-0000-0000-00001C010000}" name="Coluna279"/>
    <tableColumn id="285" xr3:uid="{00000000-0010-0000-0000-00001D010000}" name="Coluna280"/>
    <tableColumn id="286" xr3:uid="{00000000-0010-0000-0000-00001E010000}" name="Coluna281"/>
    <tableColumn id="287" xr3:uid="{00000000-0010-0000-0000-00001F010000}" name="Coluna282"/>
    <tableColumn id="288" xr3:uid="{00000000-0010-0000-0000-000020010000}" name="Coluna283"/>
    <tableColumn id="289" xr3:uid="{00000000-0010-0000-0000-000021010000}" name="Coluna284"/>
    <tableColumn id="290" xr3:uid="{00000000-0010-0000-0000-000022010000}" name="Coluna285"/>
    <tableColumn id="291" xr3:uid="{00000000-0010-0000-0000-000023010000}" name="Coluna286"/>
    <tableColumn id="292" xr3:uid="{00000000-0010-0000-0000-000024010000}" name="Coluna287"/>
    <tableColumn id="293" xr3:uid="{00000000-0010-0000-0000-000025010000}" name="Coluna288"/>
    <tableColumn id="294" xr3:uid="{00000000-0010-0000-0000-000026010000}" name="Coluna289"/>
    <tableColumn id="295" xr3:uid="{00000000-0010-0000-0000-000027010000}" name="Coluna290"/>
    <tableColumn id="296" xr3:uid="{00000000-0010-0000-0000-000028010000}" name="Coluna291"/>
    <tableColumn id="297" xr3:uid="{00000000-0010-0000-0000-000029010000}" name="Coluna292"/>
    <tableColumn id="298" xr3:uid="{00000000-0010-0000-0000-00002A010000}" name="Coluna293"/>
    <tableColumn id="299" xr3:uid="{00000000-0010-0000-0000-00002B010000}" name="Coluna294"/>
    <tableColumn id="300" xr3:uid="{00000000-0010-0000-0000-00002C010000}" name="Coluna295"/>
    <tableColumn id="301" xr3:uid="{00000000-0010-0000-0000-00002D010000}" name="Coluna296"/>
    <tableColumn id="302" xr3:uid="{00000000-0010-0000-0000-00002E010000}" name="Coluna297"/>
    <tableColumn id="303" xr3:uid="{00000000-0010-0000-0000-00002F010000}" name="Coluna298"/>
    <tableColumn id="304" xr3:uid="{00000000-0010-0000-0000-000030010000}" name="Coluna299"/>
    <tableColumn id="305" xr3:uid="{00000000-0010-0000-0000-000031010000}" name="Coluna300"/>
    <tableColumn id="306" xr3:uid="{00000000-0010-0000-0000-000032010000}" name="Coluna301"/>
    <tableColumn id="307" xr3:uid="{00000000-0010-0000-0000-000033010000}" name="Coluna302"/>
    <tableColumn id="308" xr3:uid="{00000000-0010-0000-0000-000034010000}" name="Coluna303"/>
    <tableColumn id="309" xr3:uid="{00000000-0010-0000-0000-000035010000}" name="Coluna304"/>
    <tableColumn id="310" xr3:uid="{00000000-0010-0000-0000-000036010000}" name="Coluna305"/>
    <tableColumn id="311" xr3:uid="{00000000-0010-0000-0000-000037010000}" name="Coluna306"/>
    <tableColumn id="312" xr3:uid="{00000000-0010-0000-0000-000038010000}" name="Coluna307"/>
    <tableColumn id="313" xr3:uid="{00000000-0010-0000-0000-000039010000}" name="Coluna308"/>
    <tableColumn id="314" xr3:uid="{00000000-0010-0000-0000-00003A010000}" name="Coluna309"/>
    <tableColumn id="315" xr3:uid="{00000000-0010-0000-0000-00003B010000}" name="Coluna310"/>
    <tableColumn id="316" xr3:uid="{00000000-0010-0000-0000-00003C010000}" name="Coluna311"/>
    <tableColumn id="317" xr3:uid="{00000000-0010-0000-0000-00003D010000}" name="Coluna312"/>
    <tableColumn id="318" xr3:uid="{00000000-0010-0000-0000-00003E010000}" name="Coluna313"/>
    <tableColumn id="319" xr3:uid="{00000000-0010-0000-0000-00003F010000}" name="Coluna314"/>
    <tableColumn id="320" xr3:uid="{00000000-0010-0000-0000-000040010000}" name="Coluna315"/>
    <tableColumn id="321" xr3:uid="{00000000-0010-0000-0000-000041010000}" name="Coluna316"/>
    <tableColumn id="322" xr3:uid="{00000000-0010-0000-0000-000042010000}" name="Coluna317"/>
    <tableColumn id="323" xr3:uid="{00000000-0010-0000-0000-000043010000}" name="Coluna318"/>
    <tableColumn id="324" xr3:uid="{00000000-0010-0000-0000-000044010000}" name="Coluna319"/>
    <tableColumn id="325" xr3:uid="{00000000-0010-0000-0000-000045010000}" name="Coluna320"/>
    <tableColumn id="326" xr3:uid="{00000000-0010-0000-0000-000046010000}" name="Coluna321"/>
    <tableColumn id="327" xr3:uid="{00000000-0010-0000-0000-000047010000}" name="Coluna322"/>
    <tableColumn id="328" xr3:uid="{00000000-0010-0000-0000-000048010000}" name="Coluna323"/>
    <tableColumn id="329" xr3:uid="{00000000-0010-0000-0000-000049010000}" name="Coluna324"/>
    <tableColumn id="330" xr3:uid="{00000000-0010-0000-0000-00004A010000}" name="Coluna325"/>
    <tableColumn id="331" xr3:uid="{00000000-0010-0000-0000-00004B010000}" name="Coluna326"/>
    <tableColumn id="332" xr3:uid="{00000000-0010-0000-0000-00004C010000}" name="Coluna327"/>
    <tableColumn id="333" xr3:uid="{00000000-0010-0000-0000-00004D010000}" name="Coluna328"/>
    <tableColumn id="334" xr3:uid="{00000000-0010-0000-0000-00004E010000}" name="Coluna329"/>
    <tableColumn id="335" xr3:uid="{00000000-0010-0000-0000-00004F010000}" name="Coluna330"/>
    <tableColumn id="336" xr3:uid="{00000000-0010-0000-0000-000050010000}" name="Coluna331"/>
    <tableColumn id="337" xr3:uid="{00000000-0010-0000-0000-000051010000}" name="Coluna332"/>
    <tableColumn id="338" xr3:uid="{00000000-0010-0000-0000-000052010000}" name="Coluna333"/>
    <tableColumn id="339" xr3:uid="{00000000-0010-0000-0000-000053010000}" name="Coluna334"/>
    <tableColumn id="340" xr3:uid="{00000000-0010-0000-0000-000054010000}" name="Coluna335"/>
    <tableColumn id="341" xr3:uid="{00000000-0010-0000-0000-000055010000}" name="Coluna336"/>
    <tableColumn id="342" xr3:uid="{00000000-0010-0000-0000-000056010000}" name="Coluna337"/>
    <tableColumn id="343" xr3:uid="{00000000-0010-0000-0000-000057010000}" name="Coluna338"/>
    <tableColumn id="344" xr3:uid="{00000000-0010-0000-0000-000058010000}" name="Coluna339"/>
    <tableColumn id="345" xr3:uid="{00000000-0010-0000-0000-000059010000}" name="Coluna340"/>
    <tableColumn id="346" xr3:uid="{00000000-0010-0000-0000-00005A010000}" name="Coluna341"/>
    <tableColumn id="347" xr3:uid="{00000000-0010-0000-0000-00005B010000}" name="Coluna342"/>
    <tableColumn id="348" xr3:uid="{00000000-0010-0000-0000-00005C010000}" name="Coluna343"/>
    <tableColumn id="349" xr3:uid="{00000000-0010-0000-0000-00005D010000}" name="Coluna344"/>
    <tableColumn id="350" xr3:uid="{00000000-0010-0000-0000-00005E010000}" name="Coluna345"/>
    <tableColumn id="351" xr3:uid="{00000000-0010-0000-0000-00005F010000}" name="Coluna346"/>
    <tableColumn id="352" xr3:uid="{00000000-0010-0000-0000-000060010000}" name="Coluna347"/>
    <tableColumn id="353" xr3:uid="{00000000-0010-0000-0000-000061010000}" name="Coluna348"/>
    <tableColumn id="354" xr3:uid="{00000000-0010-0000-0000-000062010000}" name="Coluna349"/>
    <tableColumn id="355" xr3:uid="{00000000-0010-0000-0000-000063010000}" name="Coluna350"/>
    <tableColumn id="356" xr3:uid="{00000000-0010-0000-0000-000064010000}" name="Coluna351"/>
    <tableColumn id="357" xr3:uid="{00000000-0010-0000-0000-000065010000}" name="Coluna352"/>
    <tableColumn id="358" xr3:uid="{00000000-0010-0000-0000-000066010000}" name="Coluna353"/>
    <tableColumn id="359" xr3:uid="{00000000-0010-0000-0000-000067010000}" name="Coluna354"/>
    <tableColumn id="360" xr3:uid="{00000000-0010-0000-0000-000068010000}" name="Coluna355"/>
    <tableColumn id="361" xr3:uid="{00000000-0010-0000-0000-000069010000}" name="Coluna356"/>
    <tableColumn id="362" xr3:uid="{00000000-0010-0000-0000-00006A010000}" name="Coluna357"/>
    <tableColumn id="363" xr3:uid="{00000000-0010-0000-0000-00006B010000}" name="Coluna358"/>
    <tableColumn id="364" xr3:uid="{00000000-0010-0000-0000-00006C010000}" name="Coluna359"/>
    <tableColumn id="365" xr3:uid="{00000000-0010-0000-0000-00006D010000}" name="Coluna360"/>
    <tableColumn id="366" xr3:uid="{00000000-0010-0000-0000-00006E010000}" name="Coluna361"/>
    <tableColumn id="367" xr3:uid="{00000000-0010-0000-0000-00006F010000}" name="Coluna362"/>
    <tableColumn id="368" xr3:uid="{00000000-0010-0000-0000-000070010000}" name="Coluna363"/>
    <tableColumn id="369" xr3:uid="{00000000-0010-0000-0000-000071010000}" name="Coluna364"/>
    <tableColumn id="370" xr3:uid="{00000000-0010-0000-0000-000072010000}" name="Coluna365"/>
    <tableColumn id="371" xr3:uid="{00000000-0010-0000-0000-000073010000}" name="Coluna366"/>
    <tableColumn id="372" xr3:uid="{00000000-0010-0000-0000-000074010000}" name="Coluna367"/>
    <tableColumn id="373" xr3:uid="{00000000-0010-0000-0000-000075010000}" name="Coluna368"/>
    <tableColumn id="374" xr3:uid="{00000000-0010-0000-0000-000076010000}" name="Coluna369"/>
    <tableColumn id="375" xr3:uid="{00000000-0010-0000-0000-000077010000}" name="Coluna370"/>
    <tableColumn id="376" xr3:uid="{00000000-0010-0000-0000-000078010000}" name="Coluna371"/>
    <tableColumn id="377" xr3:uid="{00000000-0010-0000-0000-000079010000}" name="Coluna372"/>
    <tableColumn id="378" xr3:uid="{00000000-0010-0000-0000-00007A010000}" name="Coluna373"/>
    <tableColumn id="379" xr3:uid="{00000000-0010-0000-0000-00007B010000}" name="Coluna374"/>
    <tableColumn id="380" xr3:uid="{00000000-0010-0000-0000-00007C010000}" name="Coluna375"/>
    <tableColumn id="381" xr3:uid="{00000000-0010-0000-0000-00007D010000}" name="Coluna376"/>
    <tableColumn id="382" xr3:uid="{00000000-0010-0000-0000-00007E010000}" name="Coluna377"/>
    <tableColumn id="383" xr3:uid="{00000000-0010-0000-0000-00007F010000}" name="Coluna378"/>
    <tableColumn id="384" xr3:uid="{00000000-0010-0000-0000-000080010000}" name="Coluna379"/>
    <tableColumn id="385" xr3:uid="{00000000-0010-0000-0000-000081010000}" name="Coluna380"/>
    <tableColumn id="386" xr3:uid="{00000000-0010-0000-0000-000082010000}" name="Coluna381"/>
    <tableColumn id="387" xr3:uid="{00000000-0010-0000-0000-000083010000}" name="Coluna382"/>
    <tableColumn id="388" xr3:uid="{00000000-0010-0000-0000-000084010000}" name="Coluna383"/>
    <tableColumn id="389" xr3:uid="{00000000-0010-0000-0000-000085010000}" name="Coluna384"/>
    <tableColumn id="390" xr3:uid="{00000000-0010-0000-0000-000086010000}" name="Coluna385"/>
    <tableColumn id="391" xr3:uid="{00000000-0010-0000-0000-000087010000}" name="Coluna386"/>
    <tableColumn id="392" xr3:uid="{00000000-0010-0000-0000-000088010000}" name="Coluna387"/>
    <tableColumn id="393" xr3:uid="{00000000-0010-0000-0000-000089010000}" name="Coluna388"/>
    <tableColumn id="394" xr3:uid="{00000000-0010-0000-0000-00008A010000}" name="Coluna389"/>
    <tableColumn id="395" xr3:uid="{00000000-0010-0000-0000-00008B010000}" name="Coluna390"/>
    <tableColumn id="396" xr3:uid="{00000000-0010-0000-0000-00008C010000}" name="Coluna391"/>
    <tableColumn id="397" xr3:uid="{00000000-0010-0000-0000-00008D010000}" name="Coluna392"/>
    <tableColumn id="398" xr3:uid="{00000000-0010-0000-0000-00008E010000}" name="Coluna393"/>
    <tableColumn id="399" xr3:uid="{00000000-0010-0000-0000-00008F010000}" name="Coluna394"/>
    <tableColumn id="400" xr3:uid="{00000000-0010-0000-0000-000090010000}" name="Coluna395"/>
    <tableColumn id="401" xr3:uid="{00000000-0010-0000-0000-000091010000}" name="Coluna396"/>
    <tableColumn id="402" xr3:uid="{00000000-0010-0000-0000-000092010000}" name="Coluna397"/>
    <tableColumn id="403" xr3:uid="{00000000-0010-0000-0000-000093010000}" name="Coluna398"/>
    <tableColumn id="404" xr3:uid="{00000000-0010-0000-0000-000094010000}" name="Coluna399"/>
    <tableColumn id="405" xr3:uid="{00000000-0010-0000-0000-000095010000}" name="Coluna400"/>
    <tableColumn id="406" xr3:uid="{00000000-0010-0000-0000-000096010000}" name="Coluna401"/>
    <tableColumn id="407" xr3:uid="{00000000-0010-0000-0000-000097010000}" name="Coluna402"/>
    <tableColumn id="408" xr3:uid="{00000000-0010-0000-0000-000098010000}" name="Coluna403"/>
    <tableColumn id="409" xr3:uid="{00000000-0010-0000-0000-000099010000}" name="Coluna404"/>
    <tableColumn id="410" xr3:uid="{00000000-0010-0000-0000-00009A010000}" name="Coluna405"/>
    <tableColumn id="411" xr3:uid="{00000000-0010-0000-0000-00009B010000}" name="Coluna406"/>
    <tableColumn id="412" xr3:uid="{00000000-0010-0000-0000-00009C010000}" name="Coluna407"/>
    <tableColumn id="413" xr3:uid="{00000000-0010-0000-0000-00009D010000}" name="Coluna408"/>
    <tableColumn id="414" xr3:uid="{00000000-0010-0000-0000-00009E010000}" name="Coluna409"/>
    <tableColumn id="415" xr3:uid="{00000000-0010-0000-0000-00009F010000}" name="Coluna410"/>
    <tableColumn id="416" xr3:uid="{00000000-0010-0000-0000-0000A0010000}" name="Coluna411"/>
    <tableColumn id="417" xr3:uid="{00000000-0010-0000-0000-0000A1010000}" name="Coluna412"/>
    <tableColumn id="418" xr3:uid="{00000000-0010-0000-0000-0000A2010000}" name="Coluna413"/>
    <tableColumn id="419" xr3:uid="{00000000-0010-0000-0000-0000A3010000}" name="Coluna414"/>
    <tableColumn id="420" xr3:uid="{00000000-0010-0000-0000-0000A4010000}" name="Coluna415"/>
    <tableColumn id="421" xr3:uid="{00000000-0010-0000-0000-0000A5010000}" name="Coluna416"/>
    <tableColumn id="422" xr3:uid="{00000000-0010-0000-0000-0000A6010000}" name="Coluna417"/>
    <tableColumn id="423" xr3:uid="{00000000-0010-0000-0000-0000A7010000}" name="Coluna418"/>
    <tableColumn id="424" xr3:uid="{00000000-0010-0000-0000-0000A8010000}" name="Coluna419"/>
    <tableColumn id="425" xr3:uid="{00000000-0010-0000-0000-0000A9010000}" name="Coluna420"/>
    <tableColumn id="426" xr3:uid="{00000000-0010-0000-0000-0000AA010000}" name="Coluna421"/>
    <tableColumn id="427" xr3:uid="{00000000-0010-0000-0000-0000AB010000}" name="Coluna422"/>
    <tableColumn id="428" xr3:uid="{00000000-0010-0000-0000-0000AC010000}" name="Coluna423"/>
    <tableColumn id="429" xr3:uid="{00000000-0010-0000-0000-0000AD010000}" name="Coluna424"/>
    <tableColumn id="430" xr3:uid="{00000000-0010-0000-0000-0000AE010000}" name="Coluna425"/>
    <tableColumn id="431" xr3:uid="{00000000-0010-0000-0000-0000AF010000}" name="Coluna426"/>
    <tableColumn id="432" xr3:uid="{00000000-0010-0000-0000-0000B0010000}" name="Coluna427"/>
    <tableColumn id="433" xr3:uid="{00000000-0010-0000-0000-0000B1010000}" name="Coluna428"/>
    <tableColumn id="434" xr3:uid="{00000000-0010-0000-0000-0000B2010000}" name="Coluna429"/>
    <tableColumn id="435" xr3:uid="{00000000-0010-0000-0000-0000B3010000}" name="Coluna430"/>
    <tableColumn id="436" xr3:uid="{00000000-0010-0000-0000-0000B4010000}" name="Coluna431"/>
    <tableColumn id="437" xr3:uid="{00000000-0010-0000-0000-0000B5010000}" name="Coluna432"/>
    <tableColumn id="438" xr3:uid="{00000000-0010-0000-0000-0000B6010000}" name="Coluna433"/>
    <tableColumn id="439" xr3:uid="{00000000-0010-0000-0000-0000B7010000}" name="Coluna434"/>
    <tableColumn id="440" xr3:uid="{00000000-0010-0000-0000-0000B8010000}" name="Coluna435"/>
    <tableColumn id="441" xr3:uid="{00000000-0010-0000-0000-0000B9010000}" name="Coluna436"/>
    <tableColumn id="442" xr3:uid="{00000000-0010-0000-0000-0000BA010000}" name="Coluna437"/>
    <tableColumn id="443" xr3:uid="{00000000-0010-0000-0000-0000BB010000}" name="Coluna438"/>
    <tableColumn id="444" xr3:uid="{00000000-0010-0000-0000-0000BC010000}" name="Coluna439"/>
    <tableColumn id="445" xr3:uid="{00000000-0010-0000-0000-0000BD010000}" name="Coluna440"/>
    <tableColumn id="446" xr3:uid="{00000000-0010-0000-0000-0000BE010000}" name="Coluna441"/>
    <tableColumn id="447" xr3:uid="{00000000-0010-0000-0000-0000BF010000}" name="Coluna442"/>
    <tableColumn id="448" xr3:uid="{00000000-0010-0000-0000-0000C0010000}" name="Coluna443"/>
    <tableColumn id="449" xr3:uid="{00000000-0010-0000-0000-0000C1010000}" name="Coluna444"/>
    <tableColumn id="450" xr3:uid="{00000000-0010-0000-0000-0000C2010000}" name="Coluna445"/>
    <tableColumn id="451" xr3:uid="{00000000-0010-0000-0000-0000C3010000}" name="Coluna446"/>
    <tableColumn id="452" xr3:uid="{00000000-0010-0000-0000-0000C4010000}" name="Coluna447"/>
    <tableColumn id="453" xr3:uid="{00000000-0010-0000-0000-0000C5010000}" name="Coluna448"/>
    <tableColumn id="454" xr3:uid="{00000000-0010-0000-0000-0000C6010000}" name="Coluna449"/>
    <tableColumn id="455" xr3:uid="{00000000-0010-0000-0000-0000C7010000}" name="Coluna450"/>
    <tableColumn id="456" xr3:uid="{00000000-0010-0000-0000-0000C8010000}" name="Coluna451"/>
    <tableColumn id="457" xr3:uid="{00000000-0010-0000-0000-0000C9010000}" name="Coluna452"/>
    <tableColumn id="458" xr3:uid="{00000000-0010-0000-0000-0000CA010000}" name="Coluna453"/>
    <tableColumn id="459" xr3:uid="{00000000-0010-0000-0000-0000CB010000}" name="Coluna454"/>
    <tableColumn id="460" xr3:uid="{00000000-0010-0000-0000-0000CC010000}" name="Coluna455"/>
    <tableColumn id="461" xr3:uid="{00000000-0010-0000-0000-0000CD010000}" name="Coluna456"/>
    <tableColumn id="462" xr3:uid="{00000000-0010-0000-0000-0000CE010000}" name="Coluna457"/>
    <tableColumn id="463" xr3:uid="{00000000-0010-0000-0000-0000CF010000}" name="Coluna458"/>
    <tableColumn id="464" xr3:uid="{00000000-0010-0000-0000-0000D0010000}" name="Coluna459"/>
    <tableColumn id="465" xr3:uid="{00000000-0010-0000-0000-0000D1010000}" name="Coluna460"/>
    <tableColumn id="466" xr3:uid="{00000000-0010-0000-0000-0000D2010000}" name="Coluna461"/>
    <tableColumn id="467" xr3:uid="{00000000-0010-0000-0000-0000D3010000}" name="Coluna462"/>
    <tableColumn id="468" xr3:uid="{00000000-0010-0000-0000-0000D4010000}" name="Coluna463"/>
    <tableColumn id="469" xr3:uid="{00000000-0010-0000-0000-0000D5010000}" name="Coluna464"/>
    <tableColumn id="470" xr3:uid="{00000000-0010-0000-0000-0000D6010000}" name="Coluna465"/>
    <tableColumn id="471" xr3:uid="{00000000-0010-0000-0000-0000D7010000}" name="Coluna466"/>
    <tableColumn id="472" xr3:uid="{00000000-0010-0000-0000-0000D8010000}" name="Coluna467"/>
    <tableColumn id="473" xr3:uid="{00000000-0010-0000-0000-0000D9010000}" name="Coluna468"/>
    <tableColumn id="474" xr3:uid="{00000000-0010-0000-0000-0000DA010000}" name="Coluna469"/>
    <tableColumn id="475" xr3:uid="{00000000-0010-0000-0000-0000DB010000}" name="Coluna470"/>
    <tableColumn id="476" xr3:uid="{00000000-0010-0000-0000-0000DC010000}" name="Coluna471"/>
    <tableColumn id="477" xr3:uid="{00000000-0010-0000-0000-0000DD010000}" name="Coluna472"/>
    <tableColumn id="478" xr3:uid="{00000000-0010-0000-0000-0000DE010000}" name="Coluna473"/>
    <tableColumn id="479" xr3:uid="{00000000-0010-0000-0000-0000DF010000}" name="Coluna474"/>
    <tableColumn id="480" xr3:uid="{00000000-0010-0000-0000-0000E0010000}" name="Coluna475"/>
    <tableColumn id="481" xr3:uid="{00000000-0010-0000-0000-0000E1010000}" name="Coluna476"/>
    <tableColumn id="482" xr3:uid="{00000000-0010-0000-0000-0000E2010000}" name="Coluna477"/>
    <tableColumn id="483" xr3:uid="{00000000-0010-0000-0000-0000E3010000}" name="Coluna478"/>
    <tableColumn id="484" xr3:uid="{00000000-0010-0000-0000-0000E4010000}" name="Coluna479"/>
    <tableColumn id="485" xr3:uid="{00000000-0010-0000-0000-0000E5010000}" name="Coluna480"/>
    <tableColumn id="486" xr3:uid="{00000000-0010-0000-0000-0000E6010000}" name="Coluna481"/>
    <tableColumn id="487" xr3:uid="{00000000-0010-0000-0000-0000E7010000}" name="Coluna482"/>
    <tableColumn id="488" xr3:uid="{00000000-0010-0000-0000-0000E8010000}" name="Coluna483"/>
    <tableColumn id="489" xr3:uid="{00000000-0010-0000-0000-0000E9010000}" name="Coluna484"/>
    <tableColumn id="490" xr3:uid="{00000000-0010-0000-0000-0000EA010000}" name="Coluna485"/>
    <tableColumn id="491" xr3:uid="{00000000-0010-0000-0000-0000EB010000}" name="Coluna486"/>
    <tableColumn id="492" xr3:uid="{00000000-0010-0000-0000-0000EC010000}" name="Coluna487"/>
    <tableColumn id="493" xr3:uid="{00000000-0010-0000-0000-0000ED010000}" name="Coluna488"/>
    <tableColumn id="494" xr3:uid="{00000000-0010-0000-0000-0000EE010000}" name="Coluna489"/>
    <tableColumn id="495" xr3:uid="{00000000-0010-0000-0000-0000EF010000}" name="Coluna490"/>
    <tableColumn id="496" xr3:uid="{00000000-0010-0000-0000-0000F0010000}" name="Coluna491"/>
    <tableColumn id="497" xr3:uid="{00000000-0010-0000-0000-0000F1010000}" name="Coluna492"/>
    <tableColumn id="498" xr3:uid="{00000000-0010-0000-0000-0000F2010000}" name="Coluna493"/>
    <tableColumn id="499" xr3:uid="{00000000-0010-0000-0000-0000F3010000}" name="Coluna494"/>
    <tableColumn id="500" xr3:uid="{00000000-0010-0000-0000-0000F4010000}" name="Coluna495"/>
    <tableColumn id="501" xr3:uid="{00000000-0010-0000-0000-0000F5010000}" name="Coluna496"/>
    <tableColumn id="502" xr3:uid="{00000000-0010-0000-0000-0000F6010000}" name="Coluna497"/>
    <tableColumn id="503" xr3:uid="{00000000-0010-0000-0000-0000F7010000}" name="Coluna498"/>
    <tableColumn id="504" xr3:uid="{00000000-0010-0000-0000-0000F8010000}" name="Coluna499"/>
    <tableColumn id="505" xr3:uid="{00000000-0010-0000-0000-0000F9010000}" name="Coluna500"/>
    <tableColumn id="506" xr3:uid="{00000000-0010-0000-0000-0000FA010000}" name="Coluna501"/>
    <tableColumn id="507" xr3:uid="{00000000-0010-0000-0000-0000FB010000}" name="Coluna502"/>
    <tableColumn id="508" xr3:uid="{00000000-0010-0000-0000-0000FC010000}" name="Coluna503"/>
    <tableColumn id="509" xr3:uid="{00000000-0010-0000-0000-0000FD010000}" name="Coluna504"/>
    <tableColumn id="510" xr3:uid="{00000000-0010-0000-0000-0000FE010000}" name="Coluna505"/>
    <tableColumn id="511" xr3:uid="{00000000-0010-0000-0000-0000FF010000}" name="Coluna506"/>
    <tableColumn id="512" xr3:uid="{00000000-0010-0000-0000-000000020000}" name="Coluna507"/>
    <tableColumn id="513" xr3:uid="{00000000-0010-0000-0000-000001020000}" name="Coluna508"/>
    <tableColumn id="514" xr3:uid="{00000000-0010-0000-0000-000002020000}" name="Coluna509"/>
    <tableColumn id="515" xr3:uid="{00000000-0010-0000-0000-000003020000}" name="Coluna510"/>
    <tableColumn id="516" xr3:uid="{00000000-0010-0000-0000-000004020000}" name="Coluna511"/>
    <tableColumn id="517" xr3:uid="{00000000-0010-0000-0000-000005020000}" name="Coluna512"/>
    <tableColumn id="518" xr3:uid="{00000000-0010-0000-0000-000006020000}" name="Coluna513"/>
    <tableColumn id="519" xr3:uid="{00000000-0010-0000-0000-000007020000}" name="Coluna514"/>
    <tableColumn id="520" xr3:uid="{00000000-0010-0000-0000-000008020000}" name="Coluna515"/>
    <tableColumn id="521" xr3:uid="{00000000-0010-0000-0000-000009020000}" name="Coluna516"/>
    <tableColumn id="522" xr3:uid="{00000000-0010-0000-0000-00000A020000}" name="Coluna517"/>
    <tableColumn id="523" xr3:uid="{00000000-0010-0000-0000-00000B020000}" name="Coluna518"/>
    <tableColumn id="524" xr3:uid="{00000000-0010-0000-0000-00000C020000}" name="Coluna519"/>
    <tableColumn id="525" xr3:uid="{00000000-0010-0000-0000-00000D020000}" name="Coluna520"/>
    <tableColumn id="526" xr3:uid="{00000000-0010-0000-0000-00000E020000}" name="Coluna521"/>
    <tableColumn id="527" xr3:uid="{00000000-0010-0000-0000-00000F020000}" name="Coluna522"/>
    <tableColumn id="528" xr3:uid="{00000000-0010-0000-0000-000010020000}" name="Coluna523"/>
    <tableColumn id="529" xr3:uid="{00000000-0010-0000-0000-000011020000}" name="Coluna524"/>
    <tableColumn id="530" xr3:uid="{00000000-0010-0000-0000-000012020000}" name="Coluna525"/>
    <tableColumn id="531" xr3:uid="{00000000-0010-0000-0000-000013020000}" name="Coluna526"/>
    <tableColumn id="532" xr3:uid="{00000000-0010-0000-0000-000014020000}" name="Coluna527"/>
    <tableColumn id="533" xr3:uid="{00000000-0010-0000-0000-000015020000}" name="Coluna528"/>
    <tableColumn id="534" xr3:uid="{00000000-0010-0000-0000-000016020000}" name="Coluna529"/>
    <tableColumn id="535" xr3:uid="{00000000-0010-0000-0000-000017020000}" name="Coluna530"/>
    <tableColumn id="536" xr3:uid="{00000000-0010-0000-0000-000018020000}" name="Coluna531"/>
    <tableColumn id="537" xr3:uid="{00000000-0010-0000-0000-000019020000}" name="Coluna532"/>
    <tableColumn id="538" xr3:uid="{00000000-0010-0000-0000-00001A020000}" name="Coluna533"/>
    <tableColumn id="539" xr3:uid="{00000000-0010-0000-0000-00001B020000}" name="Coluna534"/>
    <tableColumn id="540" xr3:uid="{00000000-0010-0000-0000-00001C020000}" name="Coluna535"/>
    <tableColumn id="541" xr3:uid="{00000000-0010-0000-0000-00001D020000}" name="Coluna536"/>
    <tableColumn id="542" xr3:uid="{00000000-0010-0000-0000-00001E020000}" name="Coluna537"/>
    <tableColumn id="543" xr3:uid="{00000000-0010-0000-0000-00001F020000}" name="Coluna538"/>
    <tableColumn id="544" xr3:uid="{00000000-0010-0000-0000-000020020000}" name="Coluna539"/>
    <tableColumn id="545" xr3:uid="{00000000-0010-0000-0000-000021020000}" name="Coluna540"/>
    <tableColumn id="546" xr3:uid="{00000000-0010-0000-0000-000022020000}" name="Coluna541"/>
    <tableColumn id="547" xr3:uid="{00000000-0010-0000-0000-000023020000}" name="Coluna542"/>
    <tableColumn id="548" xr3:uid="{00000000-0010-0000-0000-000024020000}" name="Coluna543"/>
    <tableColumn id="549" xr3:uid="{00000000-0010-0000-0000-000025020000}" name="Coluna544"/>
    <tableColumn id="550" xr3:uid="{00000000-0010-0000-0000-000026020000}" name="Coluna545"/>
    <tableColumn id="551" xr3:uid="{00000000-0010-0000-0000-000027020000}" name="Coluna546"/>
    <tableColumn id="552" xr3:uid="{00000000-0010-0000-0000-000028020000}" name="Coluna547"/>
    <tableColumn id="553" xr3:uid="{00000000-0010-0000-0000-000029020000}" name="Coluna548"/>
    <tableColumn id="554" xr3:uid="{00000000-0010-0000-0000-00002A020000}" name="Coluna549"/>
    <tableColumn id="555" xr3:uid="{00000000-0010-0000-0000-00002B020000}" name="Coluna550"/>
    <tableColumn id="556" xr3:uid="{00000000-0010-0000-0000-00002C020000}" name="Coluna551"/>
    <tableColumn id="557" xr3:uid="{00000000-0010-0000-0000-00002D020000}" name="Coluna552"/>
    <tableColumn id="558" xr3:uid="{00000000-0010-0000-0000-00002E020000}" name="Coluna553"/>
    <tableColumn id="559" xr3:uid="{00000000-0010-0000-0000-00002F020000}" name="Coluna554"/>
    <tableColumn id="560" xr3:uid="{00000000-0010-0000-0000-000030020000}" name="Coluna555"/>
    <tableColumn id="561" xr3:uid="{00000000-0010-0000-0000-000031020000}" name="Coluna556"/>
    <tableColumn id="562" xr3:uid="{00000000-0010-0000-0000-000032020000}" name="Coluna557"/>
    <tableColumn id="563" xr3:uid="{00000000-0010-0000-0000-000033020000}" name="Coluna558"/>
    <tableColumn id="564" xr3:uid="{00000000-0010-0000-0000-000034020000}" name="Coluna559"/>
    <tableColumn id="565" xr3:uid="{00000000-0010-0000-0000-000035020000}" name="Coluna560"/>
    <tableColumn id="566" xr3:uid="{00000000-0010-0000-0000-000036020000}" name="Coluna561"/>
    <tableColumn id="567" xr3:uid="{00000000-0010-0000-0000-000037020000}" name="Coluna562"/>
    <tableColumn id="568" xr3:uid="{00000000-0010-0000-0000-000038020000}" name="Coluna563"/>
    <tableColumn id="569" xr3:uid="{00000000-0010-0000-0000-000039020000}" name="Coluna564"/>
    <tableColumn id="570" xr3:uid="{00000000-0010-0000-0000-00003A020000}" name="Coluna565"/>
    <tableColumn id="571" xr3:uid="{00000000-0010-0000-0000-00003B020000}" name="Coluna566"/>
    <tableColumn id="572" xr3:uid="{00000000-0010-0000-0000-00003C020000}" name="Coluna567"/>
    <tableColumn id="573" xr3:uid="{00000000-0010-0000-0000-00003D020000}" name="Coluna568"/>
    <tableColumn id="574" xr3:uid="{00000000-0010-0000-0000-00003E020000}" name="Coluna569"/>
    <tableColumn id="575" xr3:uid="{00000000-0010-0000-0000-00003F020000}" name="Coluna570"/>
    <tableColumn id="576" xr3:uid="{00000000-0010-0000-0000-000040020000}" name="Coluna571"/>
    <tableColumn id="577" xr3:uid="{00000000-0010-0000-0000-000041020000}" name="Coluna572"/>
    <tableColumn id="578" xr3:uid="{00000000-0010-0000-0000-000042020000}" name="Coluna573"/>
    <tableColumn id="579" xr3:uid="{00000000-0010-0000-0000-000043020000}" name="Coluna574"/>
    <tableColumn id="580" xr3:uid="{00000000-0010-0000-0000-000044020000}" name="Coluna575"/>
    <tableColumn id="581" xr3:uid="{00000000-0010-0000-0000-000045020000}" name="Coluna576"/>
    <tableColumn id="582" xr3:uid="{00000000-0010-0000-0000-000046020000}" name="Coluna577"/>
    <tableColumn id="583" xr3:uid="{00000000-0010-0000-0000-000047020000}" name="Coluna578"/>
    <tableColumn id="584" xr3:uid="{00000000-0010-0000-0000-000048020000}" name="Coluna579"/>
    <tableColumn id="585" xr3:uid="{00000000-0010-0000-0000-000049020000}" name="Coluna580"/>
    <tableColumn id="586" xr3:uid="{00000000-0010-0000-0000-00004A020000}" name="Coluna581"/>
    <tableColumn id="587" xr3:uid="{00000000-0010-0000-0000-00004B020000}" name="Coluna582"/>
    <tableColumn id="588" xr3:uid="{00000000-0010-0000-0000-00004C020000}" name="Coluna583"/>
    <tableColumn id="589" xr3:uid="{00000000-0010-0000-0000-00004D020000}" name="Coluna584"/>
    <tableColumn id="590" xr3:uid="{00000000-0010-0000-0000-00004E020000}" name="Coluna585"/>
    <tableColumn id="591" xr3:uid="{00000000-0010-0000-0000-00004F020000}" name="Coluna586"/>
    <tableColumn id="592" xr3:uid="{00000000-0010-0000-0000-000050020000}" name="Coluna587"/>
    <tableColumn id="593" xr3:uid="{00000000-0010-0000-0000-000051020000}" name="Coluna588"/>
    <tableColumn id="594" xr3:uid="{00000000-0010-0000-0000-000052020000}" name="Coluna589"/>
    <tableColumn id="595" xr3:uid="{00000000-0010-0000-0000-000053020000}" name="Coluna590"/>
    <tableColumn id="596" xr3:uid="{00000000-0010-0000-0000-000054020000}" name="Coluna591"/>
    <tableColumn id="597" xr3:uid="{00000000-0010-0000-0000-000055020000}" name="Coluna592"/>
    <tableColumn id="598" xr3:uid="{00000000-0010-0000-0000-000056020000}" name="Coluna593"/>
    <tableColumn id="599" xr3:uid="{00000000-0010-0000-0000-000057020000}" name="Coluna594"/>
    <tableColumn id="600" xr3:uid="{00000000-0010-0000-0000-000058020000}" name="Coluna595"/>
    <tableColumn id="601" xr3:uid="{00000000-0010-0000-0000-000059020000}" name="Coluna596"/>
    <tableColumn id="602" xr3:uid="{00000000-0010-0000-0000-00005A020000}" name="Coluna597"/>
    <tableColumn id="603" xr3:uid="{00000000-0010-0000-0000-00005B020000}" name="Coluna598"/>
    <tableColumn id="604" xr3:uid="{00000000-0010-0000-0000-00005C020000}" name="Coluna599"/>
    <tableColumn id="605" xr3:uid="{00000000-0010-0000-0000-00005D020000}" name="Coluna600"/>
    <tableColumn id="606" xr3:uid="{00000000-0010-0000-0000-00005E020000}" name="Coluna601"/>
    <tableColumn id="607" xr3:uid="{00000000-0010-0000-0000-00005F020000}" name="Coluna602"/>
    <tableColumn id="608" xr3:uid="{00000000-0010-0000-0000-000060020000}" name="Coluna603"/>
    <tableColumn id="609" xr3:uid="{00000000-0010-0000-0000-000061020000}" name="Coluna604"/>
    <tableColumn id="610" xr3:uid="{00000000-0010-0000-0000-000062020000}" name="Coluna605"/>
    <tableColumn id="611" xr3:uid="{00000000-0010-0000-0000-000063020000}" name="Coluna606"/>
    <tableColumn id="612" xr3:uid="{00000000-0010-0000-0000-000064020000}" name="Coluna607"/>
    <tableColumn id="613" xr3:uid="{00000000-0010-0000-0000-000065020000}" name="Coluna608"/>
    <tableColumn id="614" xr3:uid="{00000000-0010-0000-0000-000066020000}" name="Coluna609"/>
    <tableColumn id="615" xr3:uid="{00000000-0010-0000-0000-000067020000}" name="Coluna610"/>
    <tableColumn id="616" xr3:uid="{00000000-0010-0000-0000-000068020000}" name="Coluna611"/>
    <tableColumn id="617" xr3:uid="{00000000-0010-0000-0000-000069020000}" name="Coluna612"/>
    <tableColumn id="618" xr3:uid="{00000000-0010-0000-0000-00006A020000}" name="Coluna613"/>
    <tableColumn id="619" xr3:uid="{00000000-0010-0000-0000-00006B020000}" name="Coluna614"/>
    <tableColumn id="620" xr3:uid="{00000000-0010-0000-0000-00006C020000}" name="Coluna615"/>
    <tableColumn id="621" xr3:uid="{00000000-0010-0000-0000-00006D020000}" name="Coluna616"/>
    <tableColumn id="622" xr3:uid="{00000000-0010-0000-0000-00006E020000}" name="Coluna617"/>
    <tableColumn id="623" xr3:uid="{00000000-0010-0000-0000-00006F020000}" name="Coluna618"/>
    <tableColumn id="624" xr3:uid="{00000000-0010-0000-0000-000070020000}" name="Coluna619"/>
    <tableColumn id="625" xr3:uid="{00000000-0010-0000-0000-000071020000}" name="Coluna620"/>
    <tableColumn id="626" xr3:uid="{00000000-0010-0000-0000-000072020000}" name="Coluna621"/>
    <tableColumn id="627" xr3:uid="{00000000-0010-0000-0000-000073020000}" name="Coluna622"/>
    <tableColumn id="628" xr3:uid="{00000000-0010-0000-0000-000074020000}" name="Coluna623"/>
    <tableColumn id="629" xr3:uid="{00000000-0010-0000-0000-000075020000}" name="Coluna624"/>
    <tableColumn id="630" xr3:uid="{00000000-0010-0000-0000-000076020000}" name="Coluna625"/>
    <tableColumn id="631" xr3:uid="{00000000-0010-0000-0000-000077020000}" name="Coluna626"/>
    <tableColumn id="632" xr3:uid="{00000000-0010-0000-0000-000078020000}" name="Coluna627"/>
    <tableColumn id="633" xr3:uid="{00000000-0010-0000-0000-000079020000}" name="Coluna628"/>
    <tableColumn id="634" xr3:uid="{00000000-0010-0000-0000-00007A020000}" name="Coluna629"/>
    <tableColumn id="635" xr3:uid="{00000000-0010-0000-0000-00007B020000}" name="Coluna630"/>
    <tableColumn id="636" xr3:uid="{00000000-0010-0000-0000-00007C020000}" name="Coluna631"/>
    <tableColumn id="637" xr3:uid="{00000000-0010-0000-0000-00007D020000}" name="Coluna632"/>
    <tableColumn id="638" xr3:uid="{00000000-0010-0000-0000-00007E020000}" name="Coluna633"/>
    <tableColumn id="639" xr3:uid="{00000000-0010-0000-0000-00007F020000}" name="Coluna634"/>
    <tableColumn id="640" xr3:uid="{00000000-0010-0000-0000-000080020000}" name="Coluna635"/>
    <tableColumn id="641" xr3:uid="{00000000-0010-0000-0000-000081020000}" name="Coluna636"/>
    <tableColumn id="642" xr3:uid="{00000000-0010-0000-0000-000082020000}" name="Coluna637"/>
    <tableColumn id="643" xr3:uid="{00000000-0010-0000-0000-000083020000}" name="Coluna638"/>
    <tableColumn id="644" xr3:uid="{00000000-0010-0000-0000-000084020000}" name="Coluna639"/>
    <tableColumn id="645" xr3:uid="{00000000-0010-0000-0000-000085020000}" name="Coluna640"/>
    <tableColumn id="646" xr3:uid="{00000000-0010-0000-0000-000086020000}" name="Coluna641"/>
    <tableColumn id="647" xr3:uid="{00000000-0010-0000-0000-000087020000}" name="Coluna642"/>
    <tableColumn id="648" xr3:uid="{00000000-0010-0000-0000-000088020000}" name="Coluna643"/>
    <tableColumn id="649" xr3:uid="{00000000-0010-0000-0000-000089020000}" name="Coluna644"/>
    <tableColumn id="650" xr3:uid="{00000000-0010-0000-0000-00008A020000}" name="Coluna645"/>
    <tableColumn id="651" xr3:uid="{00000000-0010-0000-0000-00008B020000}" name="Coluna646"/>
    <tableColumn id="652" xr3:uid="{00000000-0010-0000-0000-00008C020000}" name="Coluna647"/>
    <tableColumn id="653" xr3:uid="{00000000-0010-0000-0000-00008D020000}" name="Coluna648"/>
    <tableColumn id="654" xr3:uid="{00000000-0010-0000-0000-00008E020000}" name="Coluna649"/>
    <tableColumn id="655" xr3:uid="{00000000-0010-0000-0000-00008F020000}" name="Coluna650"/>
    <tableColumn id="656" xr3:uid="{00000000-0010-0000-0000-000090020000}" name="Coluna651"/>
    <tableColumn id="657" xr3:uid="{00000000-0010-0000-0000-000091020000}" name="Coluna652"/>
    <tableColumn id="658" xr3:uid="{00000000-0010-0000-0000-000092020000}" name="Coluna653"/>
    <tableColumn id="659" xr3:uid="{00000000-0010-0000-0000-000093020000}" name="Coluna654"/>
    <tableColumn id="660" xr3:uid="{00000000-0010-0000-0000-000094020000}" name="Coluna655"/>
    <tableColumn id="661" xr3:uid="{00000000-0010-0000-0000-000095020000}" name="Coluna656"/>
    <tableColumn id="662" xr3:uid="{00000000-0010-0000-0000-000096020000}" name="Coluna657"/>
    <tableColumn id="663" xr3:uid="{00000000-0010-0000-0000-000097020000}" name="Coluna658"/>
    <tableColumn id="664" xr3:uid="{00000000-0010-0000-0000-000098020000}" name="Coluna659"/>
    <tableColumn id="665" xr3:uid="{00000000-0010-0000-0000-000099020000}" name="Coluna660"/>
    <tableColumn id="666" xr3:uid="{00000000-0010-0000-0000-00009A020000}" name="Coluna661"/>
    <tableColumn id="667" xr3:uid="{00000000-0010-0000-0000-00009B020000}" name="Coluna662"/>
    <tableColumn id="668" xr3:uid="{00000000-0010-0000-0000-00009C020000}" name="Coluna663"/>
    <tableColumn id="669" xr3:uid="{00000000-0010-0000-0000-00009D020000}" name="Coluna664"/>
    <tableColumn id="670" xr3:uid="{00000000-0010-0000-0000-00009E020000}" name="Coluna665"/>
    <tableColumn id="671" xr3:uid="{00000000-0010-0000-0000-00009F020000}" name="Coluna666"/>
    <tableColumn id="672" xr3:uid="{00000000-0010-0000-0000-0000A0020000}" name="Coluna667"/>
    <tableColumn id="673" xr3:uid="{00000000-0010-0000-0000-0000A1020000}" name="Coluna668"/>
    <tableColumn id="674" xr3:uid="{00000000-0010-0000-0000-0000A2020000}" name="Coluna669"/>
    <tableColumn id="675" xr3:uid="{00000000-0010-0000-0000-0000A3020000}" name="Coluna670"/>
    <tableColumn id="676" xr3:uid="{00000000-0010-0000-0000-0000A4020000}" name="Coluna671"/>
    <tableColumn id="677" xr3:uid="{00000000-0010-0000-0000-0000A5020000}" name="Coluna672"/>
    <tableColumn id="678" xr3:uid="{00000000-0010-0000-0000-0000A6020000}" name="Coluna673"/>
    <tableColumn id="679" xr3:uid="{00000000-0010-0000-0000-0000A7020000}" name="Coluna674"/>
    <tableColumn id="680" xr3:uid="{00000000-0010-0000-0000-0000A8020000}" name="Coluna675"/>
    <tableColumn id="681" xr3:uid="{00000000-0010-0000-0000-0000A9020000}" name="Coluna676"/>
    <tableColumn id="682" xr3:uid="{00000000-0010-0000-0000-0000AA020000}" name="Coluna677"/>
    <tableColumn id="683" xr3:uid="{00000000-0010-0000-0000-0000AB020000}" name="Coluna678"/>
    <tableColumn id="684" xr3:uid="{00000000-0010-0000-0000-0000AC020000}" name="Coluna679"/>
    <tableColumn id="685" xr3:uid="{00000000-0010-0000-0000-0000AD020000}" name="Coluna680"/>
    <tableColumn id="686" xr3:uid="{00000000-0010-0000-0000-0000AE020000}" name="Coluna681"/>
    <tableColumn id="687" xr3:uid="{00000000-0010-0000-0000-0000AF020000}" name="Coluna682"/>
    <tableColumn id="688" xr3:uid="{00000000-0010-0000-0000-0000B0020000}" name="Coluna683"/>
    <tableColumn id="689" xr3:uid="{00000000-0010-0000-0000-0000B1020000}" name="Coluna684"/>
    <tableColumn id="690" xr3:uid="{00000000-0010-0000-0000-0000B2020000}" name="Coluna685"/>
    <tableColumn id="691" xr3:uid="{00000000-0010-0000-0000-0000B3020000}" name="Coluna686"/>
    <tableColumn id="692" xr3:uid="{00000000-0010-0000-0000-0000B4020000}" name="Coluna687"/>
    <tableColumn id="693" xr3:uid="{00000000-0010-0000-0000-0000B5020000}" name="Coluna688"/>
    <tableColumn id="694" xr3:uid="{00000000-0010-0000-0000-0000B6020000}" name="Coluna689"/>
    <tableColumn id="695" xr3:uid="{00000000-0010-0000-0000-0000B7020000}" name="Coluna690"/>
    <tableColumn id="696" xr3:uid="{00000000-0010-0000-0000-0000B8020000}" name="Coluna691"/>
    <tableColumn id="697" xr3:uid="{00000000-0010-0000-0000-0000B9020000}" name="Coluna692"/>
    <tableColumn id="698" xr3:uid="{00000000-0010-0000-0000-0000BA020000}" name="Coluna693"/>
    <tableColumn id="699" xr3:uid="{00000000-0010-0000-0000-0000BB020000}" name="Coluna694"/>
    <tableColumn id="700" xr3:uid="{00000000-0010-0000-0000-0000BC020000}" name="Coluna695"/>
    <tableColumn id="701" xr3:uid="{00000000-0010-0000-0000-0000BD020000}" name="Coluna696"/>
    <tableColumn id="702" xr3:uid="{00000000-0010-0000-0000-0000BE020000}" name="Coluna697"/>
    <tableColumn id="703" xr3:uid="{00000000-0010-0000-0000-0000BF020000}" name="Coluna698"/>
    <tableColumn id="704" xr3:uid="{00000000-0010-0000-0000-0000C0020000}" name="Coluna699"/>
    <tableColumn id="705" xr3:uid="{00000000-0010-0000-0000-0000C1020000}" name="Coluna700"/>
    <tableColumn id="706" xr3:uid="{00000000-0010-0000-0000-0000C2020000}" name="Coluna701"/>
    <tableColumn id="707" xr3:uid="{00000000-0010-0000-0000-0000C3020000}" name="Coluna702"/>
    <tableColumn id="708" xr3:uid="{00000000-0010-0000-0000-0000C4020000}" name="Coluna703"/>
    <tableColumn id="709" xr3:uid="{00000000-0010-0000-0000-0000C5020000}" name="Coluna704"/>
    <tableColumn id="710" xr3:uid="{00000000-0010-0000-0000-0000C6020000}" name="Coluna705"/>
    <tableColumn id="711" xr3:uid="{00000000-0010-0000-0000-0000C7020000}" name="Coluna706"/>
    <tableColumn id="712" xr3:uid="{00000000-0010-0000-0000-0000C8020000}" name="Coluna707"/>
    <tableColumn id="713" xr3:uid="{00000000-0010-0000-0000-0000C9020000}" name="Coluna708"/>
    <tableColumn id="714" xr3:uid="{00000000-0010-0000-0000-0000CA020000}" name="Coluna709"/>
    <tableColumn id="715" xr3:uid="{00000000-0010-0000-0000-0000CB020000}" name="Coluna710"/>
    <tableColumn id="716" xr3:uid="{00000000-0010-0000-0000-0000CC020000}" name="Coluna711"/>
    <tableColumn id="717" xr3:uid="{00000000-0010-0000-0000-0000CD020000}" name="Coluna712"/>
    <tableColumn id="718" xr3:uid="{00000000-0010-0000-0000-0000CE020000}" name="Coluna713"/>
    <tableColumn id="719" xr3:uid="{00000000-0010-0000-0000-0000CF020000}" name="Coluna714"/>
    <tableColumn id="720" xr3:uid="{00000000-0010-0000-0000-0000D0020000}" name="Coluna715"/>
    <tableColumn id="721" xr3:uid="{00000000-0010-0000-0000-0000D1020000}" name="Coluna716"/>
    <tableColumn id="722" xr3:uid="{00000000-0010-0000-0000-0000D2020000}" name="Coluna717"/>
    <tableColumn id="723" xr3:uid="{00000000-0010-0000-0000-0000D3020000}" name="Coluna718"/>
    <tableColumn id="724" xr3:uid="{00000000-0010-0000-0000-0000D4020000}" name="Coluna719"/>
    <tableColumn id="725" xr3:uid="{00000000-0010-0000-0000-0000D5020000}" name="Coluna720"/>
    <tableColumn id="726" xr3:uid="{00000000-0010-0000-0000-0000D6020000}" name="Coluna721"/>
    <tableColumn id="727" xr3:uid="{00000000-0010-0000-0000-0000D7020000}" name="Coluna722"/>
    <tableColumn id="728" xr3:uid="{00000000-0010-0000-0000-0000D8020000}" name="Coluna723"/>
    <tableColumn id="729" xr3:uid="{00000000-0010-0000-0000-0000D9020000}" name="Coluna724"/>
    <tableColumn id="730" xr3:uid="{00000000-0010-0000-0000-0000DA020000}" name="Coluna725"/>
    <tableColumn id="731" xr3:uid="{00000000-0010-0000-0000-0000DB020000}" name="Coluna726"/>
    <tableColumn id="732" xr3:uid="{00000000-0010-0000-0000-0000DC020000}" name="Coluna727"/>
    <tableColumn id="733" xr3:uid="{00000000-0010-0000-0000-0000DD020000}" name="Coluna728"/>
    <tableColumn id="734" xr3:uid="{00000000-0010-0000-0000-0000DE020000}" name="Coluna729"/>
    <tableColumn id="735" xr3:uid="{00000000-0010-0000-0000-0000DF020000}" name="Coluna730"/>
    <tableColumn id="736" xr3:uid="{00000000-0010-0000-0000-0000E0020000}" name="Coluna731"/>
    <tableColumn id="737" xr3:uid="{00000000-0010-0000-0000-0000E1020000}" name="Coluna732"/>
    <tableColumn id="738" xr3:uid="{00000000-0010-0000-0000-0000E2020000}" name="Coluna733"/>
    <tableColumn id="739" xr3:uid="{00000000-0010-0000-0000-0000E3020000}" name="Coluna734"/>
    <tableColumn id="740" xr3:uid="{00000000-0010-0000-0000-0000E4020000}" name="Coluna735"/>
    <tableColumn id="741" xr3:uid="{00000000-0010-0000-0000-0000E5020000}" name="Coluna736"/>
    <tableColumn id="742" xr3:uid="{00000000-0010-0000-0000-0000E6020000}" name="Coluna737"/>
    <tableColumn id="743" xr3:uid="{00000000-0010-0000-0000-0000E7020000}" name="Coluna738"/>
    <tableColumn id="744" xr3:uid="{00000000-0010-0000-0000-0000E8020000}" name="Coluna739"/>
    <tableColumn id="745" xr3:uid="{00000000-0010-0000-0000-0000E9020000}" name="Coluna740"/>
    <tableColumn id="746" xr3:uid="{00000000-0010-0000-0000-0000EA020000}" name="Coluna741"/>
    <tableColumn id="747" xr3:uid="{00000000-0010-0000-0000-0000EB020000}" name="Coluna742"/>
    <tableColumn id="748" xr3:uid="{00000000-0010-0000-0000-0000EC020000}" name="Coluna743"/>
    <tableColumn id="749" xr3:uid="{00000000-0010-0000-0000-0000ED020000}" name="Coluna744"/>
    <tableColumn id="750" xr3:uid="{00000000-0010-0000-0000-0000EE020000}" name="Coluna745"/>
    <tableColumn id="751" xr3:uid="{00000000-0010-0000-0000-0000EF020000}" name="Coluna746"/>
    <tableColumn id="752" xr3:uid="{00000000-0010-0000-0000-0000F0020000}" name="Coluna747"/>
    <tableColumn id="753" xr3:uid="{00000000-0010-0000-0000-0000F1020000}" name="Coluna748"/>
    <tableColumn id="754" xr3:uid="{00000000-0010-0000-0000-0000F2020000}" name="Coluna749"/>
    <tableColumn id="755" xr3:uid="{00000000-0010-0000-0000-0000F3020000}" name="Coluna750"/>
    <tableColumn id="756" xr3:uid="{00000000-0010-0000-0000-0000F4020000}" name="Coluna751"/>
    <tableColumn id="757" xr3:uid="{00000000-0010-0000-0000-0000F5020000}" name="Coluna752"/>
    <tableColumn id="758" xr3:uid="{00000000-0010-0000-0000-0000F6020000}" name="Coluna753"/>
    <tableColumn id="759" xr3:uid="{00000000-0010-0000-0000-0000F7020000}" name="Coluna754"/>
    <tableColumn id="760" xr3:uid="{00000000-0010-0000-0000-0000F8020000}" name="Coluna755"/>
    <tableColumn id="761" xr3:uid="{00000000-0010-0000-0000-0000F9020000}" name="Coluna756"/>
    <tableColumn id="762" xr3:uid="{00000000-0010-0000-0000-0000FA020000}" name="Coluna757"/>
    <tableColumn id="763" xr3:uid="{00000000-0010-0000-0000-0000FB020000}" name="Coluna758"/>
    <tableColumn id="764" xr3:uid="{00000000-0010-0000-0000-0000FC020000}" name="Coluna759"/>
    <tableColumn id="765" xr3:uid="{00000000-0010-0000-0000-0000FD020000}" name="Coluna760"/>
    <tableColumn id="766" xr3:uid="{00000000-0010-0000-0000-0000FE020000}" name="Coluna761"/>
    <tableColumn id="767" xr3:uid="{00000000-0010-0000-0000-0000FF020000}" name="Coluna762"/>
    <tableColumn id="768" xr3:uid="{00000000-0010-0000-0000-000000030000}" name="Coluna763"/>
    <tableColumn id="769" xr3:uid="{00000000-0010-0000-0000-000001030000}" name="Coluna764"/>
    <tableColumn id="770" xr3:uid="{00000000-0010-0000-0000-000002030000}" name="Coluna765"/>
    <tableColumn id="771" xr3:uid="{00000000-0010-0000-0000-000003030000}" name="Coluna766"/>
    <tableColumn id="772" xr3:uid="{00000000-0010-0000-0000-000004030000}" name="Coluna767"/>
    <tableColumn id="773" xr3:uid="{00000000-0010-0000-0000-000005030000}" name="Coluna768"/>
    <tableColumn id="774" xr3:uid="{00000000-0010-0000-0000-000006030000}" name="Coluna769"/>
    <tableColumn id="775" xr3:uid="{00000000-0010-0000-0000-000007030000}" name="Coluna770"/>
    <tableColumn id="776" xr3:uid="{00000000-0010-0000-0000-000008030000}" name="Coluna771"/>
    <tableColumn id="777" xr3:uid="{00000000-0010-0000-0000-000009030000}" name="Coluna772"/>
    <tableColumn id="778" xr3:uid="{00000000-0010-0000-0000-00000A030000}" name="Coluna773"/>
    <tableColumn id="779" xr3:uid="{00000000-0010-0000-0000-00000B030000}" name="Coluna774"/>
    <tableColumn id="780" xr3:uid="{00000000-0010-0000-0000-00000C030000}" name="Coluna775"/>
    <tableColumn id="781" xr3:uid="{00000000-0010-0000-0000-00000D030000}" name="Coluna776"/>
    <tableColumn id="782" xr3:uid="{00000000-0010-0000-0000-00000E030000}" name="Coluna777"/>
    <tableColumn id="783" xr3:uid="{00000000-0010-0000-0000-00000F030000}" name="Coluna778"/>
    <tableColumn id="784" xr3:uid="{00000000-0010-0000-0000-000010030000}" name="Coluna779"/>
    <tableColumn id="785" xr3:uid="{00000000-0010-0000-0000-000011030000}" name="Coluna780"/>
    <tableColumn id="786" xr3:uid="{00000000-0010-0000-0000-000012030000}" name="Coluna781"/>
    <tableColumn id="787" xr3:uid="{00000000-0010-0000-0000-000013030000}" name="Coluna782"/>
    <tableColumn id="788" xr3:uid="{00000000-0010-0000-0000-000014030000}" name="Coluna783"/>
    <tableColumn id="789" xr3:uid="{00000000-0010-0000-0000-000015030000}" name="Coluna784"/>
    <tableColumn id="790" xr3:uid="{00000000-0010-0000-0000-000016030000}" name="Coluna785"/>
    <tableColumn id="791" xr3:uid="{00000000-0010-0000-0000-000017030000}" name="Coluna786"/>
    <tableColumn id="792" xr3:uid="{00000000-0010-0000-0000-000018030000}" name="Coluna787"/>
    <tableColumn id="793" xr3:uid="{00000000-0010-0000-0000-000019030000}" name="Coluna788"/>
    <tableColumn id="794" xr3:uid="{00000000-0010-0000-0000-00001A030000}" name="Coluna789"/>
    <tableColumn id="795" xr3:uid="{00000000-0010-0000-0000-00001B030000}" name="Coluna790"/>
    <tableColumn id="796" xr3:uid="{00000000-0010-0000-0000-00001C030000}" name="Coluna791"/>
    <tableColumn id="797" xr3:uid="{00000000-0010-0000-0000-00001D030000}" name="Coluna792"/>
    <tableColumn id="798" xr3:uid="{00000000-0010-0000-0000-00001E030000}" name="Coluna793"/>
    <tableColumn id="799" xr3:uid="{00000000-0010-0000-0000-00001F030000}" name="Coluna794"/>
    <tableColumn id="800" xr3:uid="{00000000-0010-0000-0000-000020030000}" name="Coluna795"/>
    <tableColumn id="801" xr3:uid="{00000000-0010-0000-0000-000021030000}" name="Coluna796"/>
    <tableColumn id="802" xr3:uid="{00000000-0010-0000-0000-000022030000}" name="Coluna797"/>
    <tableColumn id="803" xr3:uid="{00000000-0010-0000-0000-000023030000}" name="Coluna798"/>
    <tableColumn id="804" xr3:uid="{00000000-0010-0000-0000-000024030000}" name="Coluna799"/>
    <tableColumn id="805" xr3:uid="{00000000-0010-0000-0000-000025030000}" name="Coluna800"/>
    <tableColumn id="806" xr3:uid="{00000000-0010-0000-0000-000026030000}" name="Coluna801"/>
    <tableColumn id="807" xr3:uid="{00000000-0010-0000-0000-000027030000}" name="Coluna802"/>
    <tableColumn id="808" xr3:uid="{00000000-0010-0000-0000-000028030000}" name="Coluna803"/>
    <tableColumn id="809" xr3:uid="{00000000-0010-0000-0000-000029030000}" name="Coluna804"/>
    <tableColumn id="810" xr3:uid="{00000000-0010-0000-0000-00002A030000}" name="Coluna805"/>
    <tableColumn id="811" xr3:uid="{00000000-0010-0000-0000-00002B030000}" name="Coluna806"/>
    <tableColumn id="812" xr3:uid="{00000000-0010-0000-0000-00002C030000}" name="Coluna807"/>
    <tableColumn id="813" xr3:uid="{00000000-0010-0000-0000-00002D030000}" name="Coluna808"/>
    <tableColumn id="814" xr3:uid="{00000000-0010-0000-0000-00002E030000}" name="Coluna809"/>
    <tableColumn id="815" xr3:uid="{00000000-0010-0000-0000-00002F030000}" name="Coluna810"/>
    <tableColumn id="816" xr3:uid="{00000000-0010-0000-0000-000030030000}" name="Coluna811"/>
    <tableColumn id="817" xr3:uid="{00000000-0010-0000-0000-000031030000}" name="Coluna812"/>
    <tableColumn id="818" xr3:uid="{00000000-0010-0000-0000-000032030000}" name="Coluna813"/>
    <tableColumn id="819" xr3:uid="{00000000-0010-0000-0000-000033030000}" name="Coluna814"/>
    <tableColumn id="820" xr3:uid="{00000000-0010-0000-0000-000034030000}" name="Coluna815"/>
    <tableColumn id="821" xr3:uid="{00000000-0010-0000-0000-000035030000}" name="Coluna816"/>
    <tableColumn id="822" xr3:uid="{00000000-0010-0000-0000-000036030000}" name="Coluna817"/>
    <tableColumn id="823" xr3:uid="{00000000-0010-0000-0000-000037030000}" name="Coluna818"/>
    <tableColumn id="824" xr3:uid="{00000000-0010-0000-0000-000038030000}" name="Coluna819"/>
    <tableColumn id="825" xr3:uid="{00000000-0010-0000-0000-000039030000}" name="Coluna820"/>
    <tableColumn id="826" xr3:uid="{00000000-0010-0000-0000-00003A030000}" name="Coluna821"/>
    <tableColumn id="827" xr3:uid="{00000000-0010-0000-0000-00003B030000}" name="Coluna822"/>
    <tableColumn id="828" xr3:uid="{00000000-0010-0000-0000-00003C030000}" name="Coluna823"/>
    <tableColumn id="829" xr3:uid="{00000000-0010-0000-0000-00003D030000}" name="Coluna824"/>
    <tableColumn id="830" xr3:uid="{00000000-0010-0000-0000-00003E030000}" name="Coluna825"/>
    <tableColumn id="831" xr3:uid="{00000000-0010-0000-0000-00003F030000}" name="Coluna826"/>
    <tableColumn id="832" xr3:uid="{00000000-0010-0000-0000-000040030000}" name="Coluna827"/>
    <tableColumn id="833" xr3:uid="{00000000-0010-0000-0000-000041030000}" name="Coluna828"/>
    <tableColumn id="834" xr3:uid="{00000000-0010-0000-0000-000042030000}" name="Coluna829"/>
    <tableColumn id="835" xr3:uid="{00000000-0010-0000-0000-000043030000}" name="Coluna830"/>
    <tableColumn id="836" xr3:uid="{00000000-0010-0000-0000-000044030000}" name="Coluna831"/>
    <tableColumn id="837" xr3:uid="{00000000-0010-0000-0000-000045030000}" name="Coluna832"/>
    <tableColumn id="838" xr3:uid="{00000000-0010-0000-0000-000046030000}" name="Coluna833"/>
    <tableColumn id="839" xr3:uid="{00000000-0010-0000-0000-000047030000}" name="Coluna834"/>
    <tableColumn id="840" xr3:uid="{00000000-0010-0000-0000-000048030000}" name="Coluna835"/>
    <tableColumn id="841" xr3:uid="{00000000-0010-0000-0000-000049030000}" name="Coluna836"/>
    <tableColumn id="842" xr3:uid="{00000000-0010-0000-0000-00004A030000}" name="Coluna837"/>
    <tableColumn id="843" xr3:uid="{00000000-0010-0000-0000-00004B030000}" name="Coluna838"/>
    <tableColumn id="844" xr3:uid="{00000000-0010-0000-0000-00004C030000}" name="Coluna839"/>
    <tableColumn id="845" xr3:uid="{00000000-0010-0000-0000-00004D030000}" name="Coluna840"/>
    <tableColumn id="846" xr3:uid="{00000000-0010-0000-0000-00004E030000}" name="Coluna841"/>
    <tableColumn id="847" xr3:uid="{00000000-0010-0000-0000-00004F030000}" name="Coluna842"/>
    <tableColumn id="848" xr3:uid="{00000000-0010-0000-0000-000050030000}" name="Coluna843"/>
    <tableColumn id="849" xr3:uid="{00000000-0010-0000-0000-000051030000}" name="Coluna844"/>
    <tableColumn id="850" xr3:uid="{00000000-0010-0000-0000-000052030000}" name="Coluna845"/>
    <tableColumn id="851" xr3:uid="{00000000-0010-0000-0000-000053030000}" name="Coluna846"/>
    <tableColumn id="852" xr3:uid="{00000000-0010-0000-0000-000054030000}" name="Coluna847"/>
    <tableColumn id="853" xr3:uid="{00000000-0010-0000-0000-000055030000}" name="Coluna848"/>
    <tableColumn id="854" xr3:uid="{00000000-0010-0000-0000-000056030000}" name="Coluna849"/>
    <tableColumn id="855" xr3:uid="{00000000-0010-0000-0000-000057030000}" name="Coluna850"/>
    <tableColumn id="856" xr3:uid="{00000000-0010-0000-0000-000058030000}" name="Coluna851"/>
    <tableColumn id="857" xr3:uid="{00000000-0010-0000-0000-000059030000}" name="Coluna852"/>
    <tableColumn id="858" xr3:uid="{00000000-0010-0000-0000-00005A030000}" name="Coluna853"/>
    <tableColumn id="859" xr3:uid="{00000000-0010-0000-0000-00005B030000}" name="Coluna854"/>
    <tableColumn id="860" xr3:uid="{00000000-0010-0000-0000-00005C030000}" name="Coluna855"/>
    <tableColumn id="861" xr3:uid="{00000000-0010-0000-0000-00005D030000}" name="Coluna856"/>
    <tableColumn id="862" xr3:uid="{00000000-0010-0000-0000-00005E030000}" name="Coluna857"/>
    <tableColumn id="863" xr3:uid="{00000000-0010-0000-0000-00005F030000}" name="Coluna858"/>
    <tableColumn id="864" xr3:uid="{00000000-0010-0000-0000-000060030000}" name="Coluna859"/>
    <tableColumn id="865" xr3:uid="{00000000-0010-0000-0000-000061030000}" name="Coluna860"/>
    <tableColumn id="866" xr3:uid="{00000000-0010-0000-0000-000062030000}" name="Coluna861"/>
    <tableColumn id="867" xr3:uid="{00000000-0010-0000-0000-000063030000}" name="Coluna862"/>
    <tableColumn id="868" xr3:uid="{00000000-0010-0000-0000-000064030000}" name="Coluna863"/>
    <tableColumn id="869" xr3:uid="{00000000-0010-0000-0000-000065030000}" name="Coluna864"/>
    <tableColumn id="870" xr3:uid="{00000000-0010-0000-0000-000066030000}" name="Coluna865"/>
    <tableColumn id="871" xr3:uid="{00000000-0010-0000-0000-000067030000}" name="Coluna866"/>
    <tableColumn id="872" xr3:uid="{00000000-0010-0000-0000-000068030000}" name="Coluna867"/>
    <tableColumn id="873" xr3:uid="{00000000-0010-0000-0000-000069030000}" name="Coluna868"/>
    <tableColumn id="874" xr3:uid="{00000000-0010-0000-0000-00006A030000}" name="Coluna869"/>
    <tableColumn id="875" xr3:uid="{00000000-0010-0000-0000-00006B030000}" name="Coluna870"/>
    <tableColumn id="876" xr3:uid="{00000000-0010-0000-0000-00006C030000}" name="Coluna871"/>
    <tableColumn id="877" xr3:uid="{00000000-0010-0000-0000-00006D030000}" name="Coluna872"/>
    <tableColumn id="878" xr3:uid="{00000000-0010-0000-0000-00006E030000}" name="Coluna873"/>
    <tableColumn id="879" xr3:uid="{00000000-0010-0000-0000-00006F030000}" name="Coluna874"/>
    <tableColumn id="880" xr3:uid="{00000000-0010-0000-0000-000070030000}" name="Coluna875"/>
    <tableColumn id="881" xr3:uid="{00000000-0010-0000-0000-000071030000}" name="Coluna876"/>
    <tableColumn id="882" xr3:uid="{00000000-0010-0000-0000-000072030000}" name="Coluna877"/>
    <tableColumn id="883" xr3:uid="{00000000-0010-0000-0000-000073030000}" name="Coluna878"/>
    <tableColumn id="884" xr3:uid="{00000000-0010-0000-0000-000074030000}" name="Coluna879"/>
    <tableColumn id="885" xr3:uid="{00000000-0010-0000-0000-000075030000}" name="Coluna880"/>
    <tableColumn id="886" xr3:uid="{00000000-0010-0000-0000-000076030000}" name="Coluna881"/>
    <tableColumn id="887" xr3:uid="{00000000-0010-0000-0000-000077030000}" name="Coluna882"/>
    <tableColumn id="888" xr3:uid="{00000000-0010-0000-0000-000078030000}" name="Coluna883"/>
    <tableColumn id="889" xr3:uid="{00000000-0010-0000-0000-000079030000}" name="Coluna884"/>
    <tableColumn id="890" xr3:uid="{00000000-0010-0000-0000-00007A030000}" name="Coluna885"/>
    <tableColumn id="891" xr3:uid="{00000000-0010-0000-0000-00007B030000}" name="Coluna886"/>
    <tableColumn id="892" xr3:uid="{00000000-0010-0000-0000-00007C030000}" name="Coluna887"/>
    <tableColumn id="893" xr3:uid="{00000000-0010-0000-0000-00007D030000}" name="Coluna888"/>
    <tableColumn id="894" xr3:uid="{00000000-0010-0000-0000-00007E030000}" name="Coluna889"/>
    <tableColumn id="895" xr3:uid="{00000000-0010-0000-0000-00007F030000}" name="Coluna890"/>
    <tableColumn id="896" xr3:uid="{00000000-0010-0000-0000-000080030000}" name="Coluna891"/>
    <tableColumn id="897" xr3:uid="{00000000-0010-0000-0000-000081030000}" name="Coluna892"/>
    <tableColumn id="898" xr3:uid="{00000000-0010-0000-0000-000082030000}" name="Coluna893"/>
    <tableColumn id="899" xr3:uid="{00000000-0010-0000-0000-000083030000}" name="Coluna894"/>
    <tableColumn id="900" xr3:uid="{00000000-0010-0000-0000-000084030000}" name="Coluna895"/>
    <tableColumn id="901" xr3:uid="{00000000-0010-0000-0000-000085030000}" name="Coluna896"/>
    <tableColumn id="902" xr3:uid="{00000000-0010-0000-0000-000086030000}" name="Coluna897"/>
    <tableColumn id="903" xr3:uid="{00000000-0010-0000-0000-000087030000}" name="Coluna898"/>
    <tableColumn id="904" xr3:uid="{00000000-0010-0000-0000-000088030000}" name="Coluna899"/>
    <tableColumn id="905" xr3:uid="{00000000-0010-0000-0000-000089030000}" name="Coluna900"/>
    <tableColumn id="906" xr3:uid="{00000000-0010-0000-0000-00008A030000}" name="Coluna901"/>
    <tableColumn id="907" xr3:uid="{00000000-0010-0000-0000-00008B030000}" name="Coluna902"/>
    <tableColumn id="908" xr3:uid="{00000000-0010-0000-0000-00008C030000}" name="Coluna903"/>
    <tableColumn id="909" xr3:uid="{00000000-0010-0000-0000-00008D030000}" name="Coluna904"/>
    <tableColumn id="910" xr3:uid="{00000000-0010-0000-0000-00008E030000}" name="Coluna905"/>
    <tableColumn id="911" xr3:uid="{00000000-0010-0000-0000-00008F030000}" name="Coluna906"/>
    <tableColumn id="912" xr3:uid="{00000000-0010-0000-0000-000090030000}" name="Coluna907"/>
    <tableColumn id="913" xr3:uid="{00000000-0010-0000-0000-000091030000}" name="Coluna908"/>
    <tableColumn id="914" xr3:uid="{00000000-0010-0000-0000-000092030000}" name="Coluna909"/>
    <tableColumn id="915" xr3:uid="{00000000-0010-0000-0000-000093030000}" name="Coluna910"/>
    <tableColumn id="916" xr3:uid="{00000000-0010-0000-0000-000094030000}" name="Coluna911"/>
    <tableColumn id="917" xr3:uid="{00000000-0010-0000-0000-000095030000}" name="Coluna912"/>
    <tableColumn id="918" xr3:uid="{00000000-0010-0000-0000-000096030000}" name="Coluna913"/>
    <tableColumn id="919" xr3:uid="{00000000-0010-0000-0000-000097030000}" name="Coluna914"/>
    <tableColumn id="920" xr3:uid="{00000000-0010-0000-0000-000098030000}" name="Coluna915"/>
    <tableColumn id="921" xr3:uid="{00000000-0010-0000-0000-000099030000}" name="Coluna916"/>
    <tableColumn id="922" xr3:uid="{00000000-0010-0000-0000-00009A030000}" name="Coluna917"/>
    <tableColumn id="923" xr3:uid="{00000000-0010-0000-0000-00009B030000}" name="Coluna918"/>
    <tableColumn id="924" xr3:uid="{00000000-0010-0000-0000-00009C030000}" name="Coluna919"/>
    <tableColumn id="925" xr3:uid="{00000000-0010-0000-0000-00009D030000}" name="Coluna920"/>
    <tableColumn id="926" xr3:uid="{00000000-0010-0000-0000-00009E030000}" name="Coluna921"/>
    <tableColumn id="927" xr3:uid="{00000000-0010-0000-0000-00009F030000}" name="Coluna922"/>
    <tableColumn id="928" xr3:uid="{00000000-0010-0000-0000-0000A0030000}" name="Coluna923"/>
    <tableColumn id="929" xr3:uid="{00000000-0010-0000-0000-0000A1030000}" name="Coluna924"/>
    <tableColumn id="930" xr3:uid="{00000000-0010-0000-0000-0000A2030000}" name="Coluna925"/>
    <tableColumn id="931" xr3:uid="{00000000-0010-0000-0000-0000A3030000}" name="Coluna926"/>
    <tableColumn id="932" xr3:uid="{00000000-0010-0000-0000-0000A4030000}" name="Coluna927"/>
    <tableColumn id="933" xr3:uid="{00000000-0010-0000-0000-0000A5030000}" name="Coluna928"/>
    <tableColumn id="934" xr3:uid="{00000000-0010-0000-0000-0000A6030000}" name="Coluna929"/>
    <tableColumn id="935" xr3:uid="{00000000-0010-0000-0000-0000A7030000}" name="Coluna930"/>
    <tableColumn id="936" xr3:uid="{00000000-0010-0000-0000-0000A8030000}" name="Coluna931"/>
    <tableColumn id="937" xr3:uid="{00000000-0010-0000-0000-0000A9030000}" name="Coluna932"/>
    <tableColumn id="938" xr3:uid="{00000000-0010-0000-0000-0000AA030000}" name="Coluna933"/>
    <tableColumn id="939" xr3:uid="{00000000-0010-0000-0000-0000AB030000}" name="Coluna934"/>
    <tableColumn id="940" xr3:uid="{00000000-0010-0000-0000-0000AC030000}" name="Coluna935"/>
    <tableColumn id="941" xr3:uid="{00000000-0010-0000-0000-0000AD030000}" name="Coluna936"/>
    <tableColumn id="942" xr3:uid="{00000000-0010-0000-0000-0000AE030000}" name="Coluna937"/>
    <tableColumn id="943" xr3:uid="{00000000-0010-0000-0000-0000AF030000}" name="Coluna938"/>
    <tableColumn id="944" xr3:uid="{00000000-0010-0000-0000-0000B0030000}" name="Coluna939"/>
    <tableColumn id="945" xr3:uid="{00000000-0010-0000-0000-0000B1030000}" name="Coluna940"/>
    <tableColumn id="946" xr3:uid="{00000000-0010-0000-0000-0000B2030000}" name="Coluna941"/>
    <tableColumn id="947" xr3:uid="{00000000-0010-0000-0000-0000B3030000}" name="Coluna942"/>
    <tableColumn id="948" xr3:uid="{00000000-0010-0000-0000-0000B4030000}" name="Coluna943"/>
    <tableColumn id="949" xr3:uid="{00000000-0010-0000-0000-0000B5030000}" name="Coluna944"/>
    <tableColumn id="950" xr3:uid="{00000000-0010-0000-0000-0000B6030000}" name="Coluna945"/>
    <tableColumn id="951" xr3:uid="{00000000-0010-0000-0000-0000B7030000}" name="Coluna946"/>
    <tableColumn id="952" xr3:uid="{00000000-0010-0000-0000-0000B8030000}" name="Coluna947"/>
    <tableColumn id="953" xr3:uid="{00000000-0010-0000-0000-0000B9030000}" name="Coluna948"/>
    <tableColumn id="954" xr3:uid="{00000000-0010-0000-0000-0000BA030000}" name="Coluna949"/>
    <tableColumn id="955" xr3:uid="{00000000-0010-0000-0000-0000BB030000}" name="Coluna950"/>
    <tableColumn id="956" xr3:uid="{00000000-0010-0000-0000-0000BC030000}" name="Coluna951"/>
    <tableColumn id="957" xr3:uid="{00000000-0010-0000-0000-0000BD030000}" name="Coluna952"/>
    <tableColumn id="958" xr3:uid="{00000000-0010-0000-0000-0000BE030000}" name="Coluna953"/>
    <tableColumn id="959" xr3:uid="{00000000-0010-0000-0000-0000BF030000}" name="Coluna954"/>
    <tableColumn id="960" xr3:uid="{00000000-0010-0000-0000-0000C0030000}" name="Coluna955"/>
    <tableColumn id="961" xr3:uid="{00000000-0010-0000-0000-0000C1030000}" name="Coluna956"/>
    <tableColumn id="962" xr3:uid="{00000000-0010-0000-0000-0000C2030000}" name="Coluna957"/>
    <tableColumn id="963" xr3:uid="{00000000-0010-0000-0000-0000C3030000}" name="Coluna958"/>
    <tableColumn id="964" xr3:uid="{00000000-0010-0000-0000-0000C4030000}" name="Coluna959"/>
    <tableColumn id="965" xr3:uid="{00000000-0010-0000-0000-0000C5030000}" name="Coluna960"/>
    <tableColumn id="966" xr3:uid="{00000000-0010-0000-0000-0000C6030000}" name="Coluna961"/>
    <tableColumn id="967" xr3:uid="{00000000-0010-0000-0000-0000C7030000}" name="Coluna962"/>
    <tableColumn id="968" xr3:uid="{00000000-0010-0000-0000-0000C8030000}" name="Coluna963"/>
    <tableColumn id="969" xr3:uid="{00000000-0010-0000-0000-0000C9030000}" name="Coluna964"/>
    <tableColumn id="970" xr3:uid="{00000000-0010-0000-0000-0000CA030000}" name="Coluna965"/>
    <tableColumn id="971" xr3:uid="{00000000-0010-0000-0000-0000CB030000}" name="Coluna966"/>
    <tableColumn id="972" xr3:uid="{00000000-0010-0000-0000-0000CC030000}" name="Coluna967"/>
    <tableColumn id="973" xr3:uid="{00000000-0010-0000-0000-0000CD030000}" name="Coluna968"/>
    <tableColumn id="974" xr3:uid="{00000000-0010-0000-0000-0000CE030000}" name="Coluna969"/>
    <tableColumn id="975" xr3:uid="{00000000-0010-0000-0000-0000CF030000}" name="Coluna970"/>
    <tableColumn id="976" xr3:uid="{00000000-0010-0000-0000-0000D0030000}" name="Coluna971"/>
    <tableColumn id="977" xr3:uid="{00000000-0010-0000-0000-0000D1030000}" name="Coluna972"/>
    <tableColumn id="978" xr3:uid="{00000000-0010-0000-0000-0000D2030000}" name="Coluna973"/>
    <tableColumn id="979" xr3:uid="{00000000-0010-0000-0000-0000D3030000}" name="Coluna974"/>
    <tableColumn id="980" xr3:uid="{00000000-0010-0000-0000-0000D4030000}" name="Coluna975"/>
    <tableColumn id="981" xr3:uid="{00000000-0010-0000-0000-0000D5030000}" name="Coluna976"/>
    <tableColumn id="982" xr3:uid="{00000000-0010-0000-0000-0000D6030000}" name="Coluna977"/>
    <tableColumn id="983" xr3:uid="{00000000-0010-0000-0000-0000D7030000}" name="Coluna978"/>
    <tableColumn id="984" xr3:uid="{00000000-0010-0000-0000-0000D8030000}" name="Coluna979"/>
    <tableColumn id="985" xr3:uid="{00000000-0010-0000-0000-0000D9030000}" name="Coluna980"/>
    <tableColumn id="986" xr3:uid="{00000000-0010-0000-0000-0000DA030000}" name="Coluna981"/>
    <tableColumn id="987" xr3:uid="{00000000-0010-0000-0000-0000DB030000}" name="Coluna982"/>
    <tableColumn id="988" xr3:uid="{00000000-0010-0000-0000-0000DC030000}" name="Coluna983"/>
    <tableColumn id="989" xr3:uid="{00000000-0010-0000-0000-0000DD030000}" name="Coluna984"/>
    <tableColumn id="990" xr3:uid="{00000000-0010-0000-0000-0000DE030000}" name="Coluna985"/>
    <tableColumn id="991" xr3:uid="{00000000-0010-0000-0000-0000DF030000}" name="Coluna986"/>
    <tableColumn id="992" xr3:uid="{00000000-0010-0000-0000-0000E0030000}" name="Coluna987"/>
    <tableColumn id="993" xr3:uid="{00000000-0010-0000-0000-0000E1030000}" name="Coluna988"/>
    <tableColumn id="994" xr3:uid="{00000000-0010-0000-0000-0000E2030000}" name="Coluna989"/>
    <tableColumn id="995" xr3:uid="{00000000-0010-0000-0000-0000E3030000}" name="Coluna990"/>
    <tableColumn id="996" xr3:uid="{00000000-0010-0000-0000-0000E4030000}" name="Coluna991"/>
    <tableColumn id="997" xr3:uid="{00000000-0010-0000-0000-0000E5030000}" name="Coluna992"/>
    <tableColumn id="998" xr3:uid="{00000000-0010-0000-0000-0000E6030000}" name="Coluna993"/>
    <tableColumn id="999" xr3:uid="{00000000-0010-0000-0000-0000E7030000}" name="Coluna994"/>
    <tableColumn id="1000" xr3:uid="{00000000-0010-0000-0000-0000E8030000}" name="Coluna995"/>
    <tableColumn id="1001" xr3:uid="{00000000-0010-0000-0000-0000E9030000}" name="Coluna996"/>
    <tableColumn id="1002" xr3:uid="{00000000-0010-0000-0000-0000EA030000}" name="Coluna997"/>
    <tableColumn id="1003" xr3:uid="{00000000-0010-0000-0000-0000EB030000}" name="Coluna998"/>
    <tableColumn id="1004" xr3:uid="{00000000-0010-0000-0000-0000EC030000}" name="Coluna999"/>
    <tableColumn id="1005" xr3:uid="{00000000-0010-0000-0000-0000ED030000}" name="Coluna1000"/>
    <tableColumn id="1006" xr3:uid="{00000000-0010-0000-0000-0000EE030000}" name="Coluna1001"/>
    <tableColumn id="1007" xr3:uid="{00000000-0010-0000-0000-0000EF030000}" name="Coluna1002"/>
    <tableColumn id="1008" xr3:uid="{00000000-0010-0000-0000-0000F0030000}" name="Coluna1003"/>
    <tableColumn id="1009" xr3:uid="{00000000-0010-0000-0000-0000F1030000}" name="Coluna1004"/>
    <tableColumn id="1010" xr3:uid="{00000000-0010-0000-0000-0000F2030000}" name="Coluna1005"/>
    <tableColumn id="1011" xr3:uid="{00000000-0010-0000-0000-0000F3030000}" name="Coluna1006"/>
    <tableColumn id="1012" xr3:uid="{00000000-0010-0000-0000-0000F4030000}" name="Coluna1007"/>
    <tableColumn id="1013" xr3:uid="{00000000-0010-0000-0000-0000F5030000}" name="Coluna1008"/>
    <tableColumn id="1014" xr3:uid="{00000000-0010-0000-0000-0000F6030000}" name="Coluna1009"/>
    <tableColumn id="1015" xr3:uid="{00000000-0010-0000-0000-0000F7030000}" name="Coluna1010"/>
    <tableColumn id="1016" xr3:uid="{00000000-0010-0000-0000-0000F8030000}" name="Coluna1011"/>
    <tableColumn id="1017" xr3:uid="{00000000-0010-0000-0000-0000F9030000}" name="Coluna1012"/>
    <tableColumn id="1018" xr3:uid="{00000000-0010-0000-0000-0000FA030000}" name="Coluna1013"/>
    <tableColumn id="1019" xr3:uid="{00000000-0010-0000-0000-0000FB030000}" name="Coluna1014"/>
    <tableColumn id="1020" xr3:uid="{00000000-0010-0000-0000-0000FC030000}" name="Coluna1015"/>
    <tableColumn id="1021" xr3:uid="{00000000-0010-0000-0000-0000FD030000}" name="Coluna1016"/>
    <tableColumn id="1022" xr3:uid="{00000000-0010-0000-0000-0000FE030000}" name="Coluna1017"/>
    <tableColumn id="1023" xr3:uid="{00000000-0010-0000-0000-0000FF030000}" name="Coluna1018"/>
    <tableColumn id="1024" xr3:uid="{00000000-0010-0000-0000-000000040000}" name="Coluna1019"/>
    <tableColumn id="1025" xr3:uid="{00000000-0010-0000-0000-000001040000}" name="Coluna1020"/>
    <tableColumn id="1026" xr3:uid="{00000000-0010-0000-0000-000002040000}" name="Coluna1021"/>
    <tableColumn id="1027" xr3:uid="{00000000-0010-0000-0000-000003040000}" name="Coluna1022"/>
    <tableColumn id="1028" xr3:uid="{00000000-0010-0000-0000-000004040000}" name="Coluna1023"/>
    <tableColumn id="1029" xr3:uid="{00000000-0010-0000-0000-000005040000}" name="Coluna1024"/>
    <tableColumn id="1030" xr3:uid="{00000000-0010-0000-0000-000006040000}" name="Coluna1025"/>
    <tableColumn id="1031" xr3:uid="{00000000-0010-0000-0000-000007040000}" name="Coluna1026"/>
    <tableColumn id="1032" xr3:uid="{00000000-0010-0000-0000-000008040000}" name="Coluna1027"/>
    <tableColumn id="1033" xr3:uid="{00000000-0010-0000-0000-000009040000}" name="Coluna1028"/>
    <tableColumn id="1034" xr3:uid="{00000000-0010-0000-0000-00000A040000}" name="Coluna1029"/>
    <tableColumn id="1035" xr3:uid="{00000000-0010-0000-0000-00000B040000}" name="Coluna1030"/>
    <tableColumn id="1036" xr3:uid="{00000000-0010-0000-0000-00000C040000}" name="Coluna1031"/>
    <tableColumn id="1037" xr3:uid="{00000000-0010-0000-0000-00000D040000}" name="Coluna1032"/>
    <tableColumn id="1038" xr3:uid="{00000000-0010-0000-0000-00000E040000}" name="Coluna1033"/>
    <tableColumn id="1039" xr3:uid="{00000000-0010-0000-0000-00000F040000}" name="Coluna1034"/>
    <tableColumn id="1040" xr3:uid="{00000000-0010-0000-0000-000010040000}" name="Coluna1035"/>
    <tableColumn id="1041" xr3:uid="{00000000-0010-0000-0000-000011040000}" name="Coluna1036"/>
    <tableColumn id="1042" xr3:uid="{00000000-0010-0000-0000-000012040000}" name="Coluna1037"/>
    <tableColumn id="1043" xr3:uid="{00000000-0010-0000-0000-000013040000}" name="Coluna1038"/>
    <tableColumn id="1044" xr3:uid="{00000000-0010-0000-0000-000014040000}" name="Coluna1039"/>
    <tableColumn id="1045" xr3:uid="{00000000-0010-0000-0000-000015040000}" name="Coluna1040"/>
    <tableColumn id="1046" xr3:uid="{00000000-0010-0000-0000-000016040000}" name="Coluna1041"/>
    <tableColumn id="1047" xr3:uid="{00000000-0010-0000-0000-000017040000}" name="Coluna1042"/>
    <tableColumn id="1048" xr3:uid="{00000000-0010-0000-0000-000018040000}" name="Coluna1043"/>
    <tableColumn id="1049" xr3:uid="{00000000-0010-0000-0000-000019040000}" name="Coluna1044"/>
    <tableColumn id="1050" xr3:uid="{00000000-0010-0000-0000-00001A040000}" name="Coluna1045"/>
    <tableColumn id="1051" xr3:uid="{00000000-0010-0000-0000-00001B040000}" name="Coluna1046"/>
    <tableColumn id="1052" xr3:uid="{00000000-0010-0000-0000-00001C040000}" name="Coluna1047"/>
    <tableColumn id="1053" xr3:uid="{00000000-0010-0000-0000-00001D040000}" name="Coluna1048"/>
    <tableColumn id="1054" xr3:uid="{00000000-0010-0000-0000-00001E040000}" name="Coluna1049"/>
    <tableColumn id="1055" xr3:uid="{00000000-0010-0000-0000-00001F040000}" name="Coluna1050"/>
    <tableColumn id="1056" xr3:uid="{00000000-0010-0000-0000-000020040000}" name="Coluna1051"/>
    <tableColumn id="1057" xr3:uid="{00000000-0010-0000-0000-000021040000}" name="Coluna1052"/>
    <tableColumn id="1058" xr3:uid="{00000000-0010-0000-0000-000022040000}" name="Coluna1053"/>
    <tableColumn id="1059" xr3:uid="{00000000-0010-0000-0000-000023040000}" name="Coluna1054"/>
    <tableColumn id="1060" xr3:uid="{00000000-0010-0000-0000-000024040000}" name="Coluna1055"/>
    <tableColumn id="1061" xr3:uid="{00000000-0010-0000-0000-000025040000}" name="Coluna1056"/>
    <tableColumn id="1062" xr3:uid="{00000000-0010-0000-0000-000026040000}" name="Coluna1057"/>
    <tableColumn id="1063" xr3:uid="{00000000-0010-0000-0000-000027040000}" name="Coluna1058"/>
    <tableColumn id="1064" xr3:uid="{00000000-0010-0000-0000-000028040000}" name="Coluna1059"/>
    <tableColumn id="1065" xr3:uid="{00000000-0010-0000-0000-000029040000}" name="Coluna1060"/>
    <tableColumn id="1066" xr3:uid="{00000000-0010-0000-0000-00002A040000}" name="Coluna1061"/>
    <tableColumn id="1067" xr3:uid="{00000000-0010-0000-0000-00002B040000}" name="Coluna1062"/>
    <tableColumn id="1068" xr3:uid="{00000000-0010-0000-0000-00002C040000}" name="Coluna1063"/>
    <tableColumn id="1069" xr3:uid="{00000000-0010-0000-0000-00002D040000}" name="Coluna1064"/>
    <tableColumn id="1070" xr3:uid="{00000000-0010-0000-0000-00002E040000}" name="Coluna1065"/>
    <tableColumn id="1071" xr3:uid="{00000000-0010-0000-0000-00002F040000}" name="Coluna1066"/>
    <tableColumn id="1072" xr3:uid="{00000000-0010-0000-0000-000030040000}" name="Coluna1067"/>
    <tableColumn id="1073" xr3:uid="{00000000-0010-0000-0000-000031040000}" name="Coluna1068"/>
    <tableColumn id="1074" xr3:uid="{00000000-0010-0000-0000-000032040000}" name="Coluna1069"/>
    <tableColumn id="1075" xr3:uid="{00000000-0010-0000-0000-000033040000}" name="Coluna1070"/>
    <tableColumn id="1076" xr3:uid="{00000000-0010-0000-0000-000034040000}" name="Coluna1071"/>
    <tableColumn id="1077" xr3:uid="{00000000-0010-0000-0000-000035040000}" name="Coluna1072"/>
    <tableColumn id="1078" xr3:uid="{00000000-0010-0000-0000-000036040000}" name="Coluna1073"/>
    <tableColumn id="1079" xr3:uid="{00000000-0010-0000-0000-000037040000}" name="Coluna1074"/>
    <tableColumn id="1080" xr3:uid="{00000000-0010-0000-0000-000038040000}" name="Coluna1075"/>
    <tableColumn id="1081" xr3:uid="{00000000-0010-0000-0000-000039040000}" name="Coluna1076"/>
    <tableColumn id="1082" xr3:uid="{00000000-0010-0000-0000-00003A040000}" name="Coluna1077"/>
    <tableColumn id="1083" xr3:uid="{00000000-0010-0000-0000-00003B040000}" name="Coluna1078"/>
    <tableColumn id="1084" xr3:uid="{00000000-0010-0000-0000-00003C040000}" name="Coluna1079"/>
    <tableColumn id="1085" xr3:uid="{00000000-0010-0000-0000-00003D040000}" name="Coluna1080"/>
    <tableColumn id="1086" xr3:uid="{00000000-0010-0000-0000-00003E040000}" name="Coluna1081"/>
    <tableColumn id="1087" xr3:uid="{00000000-0010-0000-0000-00003F040000}" name="Coluna1082"/>
    <tableColumn id="1088" xr3:uid="{00000000-0010-0000-0000-000040040000}" name="Coluna1083"/>
    <tableColumn id="1089" xr3:uid="{00000000-0010-0000-0000-000041040000}" name="Coluna1084"/>
    <tableColumn id="1090" xr3:uid="{00000000-0010-0000-0000-000042040000}" name="Coluna1085"/>
    <tableColumn id="1091" xr3:uid="{00000000-0010-0000-0000-000043040000}" name="Coluna1086"/>
    <tableColumn id="1092" xr3:uid="{00000000-0010-0000-0000-000044040000}" name="Coluna1087"/>
    <tableColumn id="1093" xr3:uid="{00000000-0010-0000-0000-000045040000}" name="Coluna1088"/>
    <tableColumn id="1094" xr3:uid="{00000000-0010-0000-0000-000046040000}" name="Coluna1089"/>
    <tableColumn id="1095" xr3:uid="{00000000-0010-0000-0000-000047040000}" name="Coluna1090"/>
    <tableColumn id="1096" xr3:uid="{00000000-0010-0000-0000-000048040000}" name="Coluna1091"/>
    <tableColumn id="1097" xr3:uid="{00000000-0010-0000-0000-000049040000}" name="Coluna1092"/>
    <tableColumn id="1098" xr3:uid="{00000000-0010-0000-0000-00004A040000}" name="Coluna1093"/>
    <tableColumn id="1099" xr3:uid="{00000000-0010-0000-0000-00004B040000}" name="Coluna1094"/>
    <tableColumn id="1100" xr3:uid="{00000000-0010-0000-0000-00004C040000}" name="Coluna1095"/>
    <tableColumn id="1101" xr3:uid="{00000000-0010-0000-0000-00004D040000}" name="Coluna1096"/>
    <tableColumn id="1102" xr3:uid="{00000000-0010-0000-0000-00004E040000}" name="Coluna1097"/>
    <tableColumn id="1103" xr3:uid="{00000000-0010-0000-0000-00004F040000}" name="Coluna1098"/>
    <tableColumn id="1104" xr3:uid="{00000000-0010-0000-0000-000050040000}" name="Coluna1099"/>
    <tableColumn id="1105" xr3:uid="{00000000-0010-0000-0000-000051040000}" name="Coluna1100"/>
    <tableColumn id="1106" xr3:uid="{00000000-0010-0000-0000-000052040000}" name="Coluna1101"/>
    <tableColumn id="1107" xr3:uid="{00000000-0010-0000-0000-000053040000}" name="Coluna1102"/>
    <tableColumn id="1108" xr3:uid="{00000000-0010-0000-0000-000054040000}" name="Coluna1103"/>
    <tableColumn id="1109" xr3:uid="{00000000-0010-0000-0000-000055040000}" name="Coluna1104"/>
    <tableColumn id="1110" xr3:uid="{00000000-0010-0000-0000-000056040000}" name="Coluna1105"/>
    <tableColumn id="1111" xr3:uid="{00000000-0010-0000-0000-000057040000}" name="Coluna1106"/>
    <tableColumn id="1112" xr3:uid="{00000000-0010-0000-0000-000058040000}" name="Coluna1107"/>
    <tableColumn id="1113" xr3:uid="{00000000-0010-0000-0000-000059040000}" name="Coluna1108"/>
    <tableColumn id="1114" xr3:uid="{00000000-0010-0000-0000-00005A040000}" name="Coluna1109"/>
    <tableColumn id="1115" xr3:uid="{00000000-0010-0000-0000-00005B040000}" name="Coluna1110"/>
    <tableColumn id="1116" xr3:uid="{00000000-0010-0000-0000-00005C040000}" name="Coluna1111"/>
    <tableColumn id="1117" xr3:uid="{00000000-0010-0000-0000-00005D040000}" name="Coluna1112"/>
    <tableColumn id="1118" xr3:uid="{00000000-0010-0000-0000-00005E040000}" name="Coluna1113"/>
    <tableColumn id="1119" xr3:uid="{00000000-0010-0000-0000-00005F040000}" name="Coluna1114"/>
    <tableColumn id="1120" xr3:uid="{00000000-0010-0000-0000-000060040000}" name="Coluna1115"/>
    <tableColumn id="1121" xr3:uid="{00000000-0010-0000-0000-000061040000}" name="Coluna1116"/>
    <tableColumn id="1122" xr3:uid="{00000000-0010-0000-0000-000062040000}" name="Coluna1117"/>
    <tableColumn id="1123" xr3:uid="{00000000-0010-0000-0000-000063040000}" name="Coluna1118"/>
    <tableColumn id="1124" xr3:uid="{00000000-0010-0000-0000-000064040000}" name="Coluna1119"/>
    <tableColumn id="1125" xr3:uid="{00000000-0010-0000-0000-000065040000}" name="Coluna1120"/>
    <tableColumn id="1126" xr3:uid="{00000000-0010-0000-0000-000066040000}" name="Coluna1121"/>
    <tableColumn id="1127" xr3:uid="{00000000-0010-0000-0000-000067040000}" name="Coluna1122"/>
    <tableColumn id="1128" xr3:uid="{00000000-0010-0000-0000-000068040000}" name="Coluna1123"/>
    <tableColumn id="1129" xr3:uid="{00000000-0010-0000-0000-000069040000}" name="Coluna1124"/>
    <tableColumn id="1130" xr3:uid="{00000000-0010-0000-0000-00006A040000}" name="Coluna1125"/>
    <tableColumn id="1131" xr3:uid="{00000000-0010-0000-0000-00006B040000}" name="Coluna1126"/>
    <tableColumn id="1132" xr3:uid="{00000000-0010-0000-0000-00006C040000}" name="Coluna1127"/>
    <tableColumn id="1133" xr3:uid="{00000000-0010-0000-0000-00006D040000}" name="Coluna1128"/>
    <tableColumn id="1134" xr3:uid="{00000000-0010-0000-0000-00006E040000}" name="Coluna1129"/>
    <tableColumn id="1135" xr3:uid="{00000000-0010-0000-0000-00006F040000}" name="Coluna1130"/>
    <tableColumn id="1136" xr3:uid="{00000000-0010-0000-0000-000070040000}" name="Coluna1131"/>
    <tableColumn id="1137" xr3:uid="{00000000-0010-0000-0000-000071040000}" name="Coluna1132"/>
    <tableColumn id="1138" xr3:uid="{00000000-0010-0000-0000-000072040000}" name="Coluna1133"/>
    <tableColumn id="1139" xr3:uid="{00000000-0010-0000-0000-000073040000}" name="Coluna1134"/>
    <tableColumn id="1140" xr3:uid="{00000000-0010-0000-0000-000074040000}" name="Coluna1135"/>
    <tableColumn id="1141" xr3:uid="{00000000-0010-0000-0000-000075040000}" name="Coluna1136"/>
    <tableColumn id="1142" xr3:uid="{00000000-0010-0000-0000-000076040000}" name="Coluna1137"/>
    <tableColumn id="1143" xr3:uid="{00000000-0010-0000-0000-000077040000}" name="Coluna1138"/>
    <tableColumn id="1144" xr3:uid="{00000000-0010-0000-0000-000078040000}" name="Coluna1139"/>
    <tableColumn id="1145" xr3:uid="{00000000-0010-0000-0000-000079040000}" name="Coluna1140"/>
    <tableColumn id="1146" xr3:uid="{00000000-0010-0000-0000-00007A040000}" name="Coluna1141"/>
    <tableColumn id="1147" xr3:uid="{00000000-0010-0000-0000-00007B040000}" name="Coluna1142"/>
    <tableColumn id="1148" xr3:uid="{00000000-0010-0000-0000-00007C040000}" name="Coluna1143"/>
    <tableColumn id="1149" xr3:uid="{00000000-0010-0000-0000-00007D040000}" name="Coluna1144"/>
    <tableColumn id="1150" xr3:uid="{00000000-0010-0000-0000-00007E040000}" name="Coluna1145"/>
    <tableColumn id="1151" xr3:uid="{00000000-0010-0000-0000-00007F040000}" name="Coluna1146"/>
    <tableColumn id="1152" xr3:uid="{00000000-0010-0000-0000-000080040000}" name="Coluna1147"/>
    <tableColumn id="1153" xr3:uid="{00000000-0010-0000-0000-000081040000}" name="Coluna1148"/>
    <tableColumn id="1154" xr3:uid="{00000000-0010-0000-0000-000082040000}" name="Coluna1149"/>
    <tableColumn id="1155" xr3:uid="{00000000-0010-0000-0000-000083040000}" name="Coluna1150"/>
    <tableColumn id="1156" xr3:uid="{00000000-0010-0000-0000-000084040000}" name="Coluna1151"/>
    <tableColumn id="1157" xr3:uid="{00000000-0010-0000-0000-000085040000}" name="Coluna1152"/>
    <tableColumn id="1158" xr3:uid="{00000000-0010-0000-0000-000086040000}" name="Coluna1153"/>
    <tableColumn id="1159" xr3:uid="{00000000-0010-0000-0000-000087040000}" name="Coluna1154"/>
    <tableColumn id="1160" xr3:uid="{00000000-0010-0000-0000-000088040000}" name="Coluna1155"/>
    <tableColumn id="1161" xr3:uid="{00000000-0010-0000-0000-000089040000}" name="Coluna1156"/>
    <tableColumn id="1162" xr3:uid="{00000000-0010-0000-0000-00008A040000}" name="Coluna1157"/>
    <tableColumn id="1163" xr3:uid="{00000000-0010-0000-0000-00008B040000}" name="Coluna1158"/>
    <tableColumn id="1164" xr3:uid="{00000000-0010-0000-0000-00008C040000}" name="Coluna1159"/>
    <tableColumn id="1165" xr3:uid="{00000000-0010-0000-0000-00008D040000}" name="Coluna1160"/>
    <tableColumn id="1166" xr3:uid="{00000000-0010-0000-0000-00008E040000}" name="Coluna1161"/>
    <tableColumn id="1167" xr3:uid="{00000000-0010-0000-0000-00008F040000}" name="Coluna1162"/>
    <tableColumn id="1168" xr3:uid="{00000000-0010-0000-0000-000090040000}" name="Coluna1163"/>
    <tableColumn id="1169" xr3:uid="{00000000-0010-0000-0000-000091040000}" name="Coluna1164"/>
    <tableColumn id="1170" xr3:uid="{00000000-0010-0000-0000-000092040000}" name="Coluna1165"/>
    <tableColumn id="1171" xr3:uid="{00000000-0010-0000-0000-000093040000}" name="Coluna1166"/>
    <tableColumn id="1172" xr3:uid="{00000000-0010-0000-0000-000094040000}" name="Coluna1167"/>
    <tableColumn id="1173" xr3:uid="{00000000-0010-0000-0000-000095040000}" name="Coluna1168"/>
    <tableColumn id="1174" xr3:uid="{00000000-0010-0000-0000-000096040000}" name="Coluna1169"/>
    <tableColumn id="1175" xr3:uid="{00000000-0010-0000-0000-000097040000}" name="Coluna1170"/>
    <tableColumn id="1176" xr3:uid="{00000000-0010-0000-0000-000098040000}" name="Coluna1171"/>
    <tableColumn id="1177" xr3:uid="{00000000-0010-0000-0000-000099040000}" name="Coluna1172"/>
    <tableColumn id="1178" xr3:uid="{00000000-0010-0000-0000-00009A040000}" name="Coluna1173"/>
    <tableColumn id="1179" xr3:uid="{00000000-0010-0000-0000-00009B040000}" name="Coluna1174"/>
    <tableColumn id="1180" xr3:uid="{00000000-0010-0000-0000-00009C040000}" name="Coluna1175"/>
    <tableColumn id="1181" xr3:uid="{00000000-0010-0000-0000-00009D040000}" name="Coluna1176"/>
    <tableColumn id="1182" xr3:uid="{00000000-0010-0000-0000-00009E040000}" name="Coluna1177"/>
    <tableColumn id="1183" xr3:uid="{00000000-0010-0000-0000-00009F040000}" name="Coluna1178"/>
    <tableColumn id="1184" xr3:uid="{00000000-0010-0000-0000-0000A0040000}" name="Coluna1179"/>
    <tableColumn id="1185" xr3:uid="{00000000-0010-0000-0000-0000A1040000}" name="Coluna1180"/>
    <tableColumn id="1186" xr3:uid="{00000000-0010-0000-0000-0000A2040000}" name="Coluna1181"/>
    <tableColumn id="1187" xr3:uid="{00000000-0010-0000-0000-0000A3040000}" name="Coluna1182"/>
    <tableColumn id="1188" xr3:uid="{00000000-0010-0000-0000-0000A4040000}" name="Coluna1183"/>
    <tableColumn id="1189" xr3:uid="{00000000-0010-0000-0000-0000A5040000}" name="Coluna1184"/>
    <tableColumn id="1190" xr3:uid="{00000000-0010-0000-0000-0000A6040000}" name="Coluna1185"/>
    <tableColumn id="1191" xr3:uid="{00000000-0010-0000-0000-0000A7040000}" name="Coluna1186"/>
    <tableColumn id="1192" xr3:uid="{00000000-0010-0000-0000-0000A8040000}" name="Coluna1187"/>
    <tableColumn id="1193" xr3:uid="{00000000-0010-0000-0000-0000A9040000}" name="Coluna1188"/>
    <tableColumn id="1194" xr3:uid="{00000000-0010-0000-0000-0000AA040000}" name="Coluna1189"/>
    <tableColumn id="1195" xr3:uid="{00000000-0010-0000-0000-0000AB040000}" name="Coluna1190"/>
    <tableColumn id="1196" xr3:uid="{00000000-0010-0000-0000-0000AC040000}" name="Coluna1191"/>
    <tableColumn id="1197" xr3:uid="{00000000-0010-0000-0000-0000AD040000}" name="Coluna1192"/>
    <tableColumn id="1198" xr3:uid="{00000000-0010-0000-0000-0000AE040000}" name="Coluna1193"/>
    <tableColumn id="1199" xr3:uid="{00000000-0010-0000-0000-0000AF040000}" name="Coluna1194"/>
    <tableColumn id="1200" xr3:uid="{00000000-0010-0000-0000-0000B0040000}" name="Coluna1195"/>
    <tableColumn id="1201" xr3:uid="{00000000-0010-0000-0000-0000B1040000}" name="Coluna1196"/>
    <tableColumn id="1202" xr3:uid="{00000000-0010-0000-0000-0000B2040000}" name="Coluna1197"/>
    <tableColumn id="1203" xr3:uid="{00000000-0010-0000-0000-0000B3040000}" name="Coluna1198"/>
    <tableColumn id="1204" xr3:uid="{00000000-0010-0000-0000-0000B4040000}" name="Coluna1199"/>
    <tableColumn id="1205" xr3:uid="{00000000-0010-0000-0000-0000B5040000}" name="Coluna1200"/>
    <tableColumn id="1206" xr3:uid="{00000000-0010-0000-0000-0000B6040000}" name="Coluna1201"/>
    <tableColumn id="1207" xr3:uid="{00000000-0010-0000-0000-0000B7040000}" name="Coluna1202"/>
    <tableColumn id="1208" xr3:uid="{00000000-0010-0000-0000-0000B8040000}" name="Coluna1203"/>
    <tableColumn id="1209" xr3:uid="{00000000-0010-0000-0000-0000B9040000}" name="Coluna1204"/>
    <tableColumn id="1210" xr3:uid="{00000000-0010-0000-0000-0000BA040000}" name="Coluna1205"/>
    <tableColumn id="1211" xr3:uid="{00000000-0010-0000-0000-0000BB040000}" name="Coluna1206"/>
    <tableColumn id="1212" xr3:uid="{00000000-0010-0000-0000-0000BC040000}" name="Coluna1207"/>
    <tableColumn id="1213" xr3:uid="{00000000-0010-0000-0000-0000BD040000}" name="Coluna1208"/>
    <tableColumn id="1214" xr3:uid="{00000000-0010-0000-0000-0000BE040000}" name="Coluna1209"/>
    <tableColumn id="1215" xr3:uid="{00000000-0010-0000-0000-0000BF040000}" name="Coluna1210"/>
    <tableColumn id="1216" xr3:uid="{00000000-0010-0000-0000-0000C0040000}" name="Coluna1211"/>
    <tableColumn id="1217" xr3:uid="{00000000-0010-0000-0000-0000C1040000}" name="Coluna1212"/>
    <tableColumn id="1218" xr3:uid="{00000000-0010-0000-0000-0000C2040000}" name="Coluna1213"/>
    <tableColumn id="1219" xr3:uid="{00000000-0010-0000-0000-0000C3040000}" name="Coluna1214"/>
    <tableColumn id="1220" xr3:uid="{00000000-0010-0000-0000-0000C4040000}" name="Coluna1215"/>
    <tableColumn id="1221" xr3:uid="{00000000-0010-0000-0000-0000C5040000}" name="Coluna1216"/>
    <tableColumn id="1222" xr3:uid="{00000000-0010-0000-0000-0000C6040000}" name="Coluna1217"/>
    <tableColumn id="1223" xr3:uid="{00000000-0010-0000-0000-0000C7040000}" name="Coluna1218"/>
    <tableColumn id="1224" xr3:uid="{00000000-0010-0000-0000-0000C8040000}" name="Coluna1219"/>
    <tableColumn id="1225" xr3:uid="{00000000-0010-0000-0000-0000C9040000}" name="Coluna1220"/>
    <tableColumn id="1226" xr3:uid="{00000000-0010-0000-0000-0000CA040000}" name="Coluna1221"/>
    <tableColumn id="1227" xr3:uid="{00000000-0010-0000-0000-0000CB040000}" name="Coluna1222"/>
    <tableColumn id="1228" xr3:uid="{00000000-0010-0000-0000-0000CC040000}" name="Coluna1223"/>
    <tableColumn id="1229" xr3:uid="{00000000-0010-0000-0000-0000CD040000}" name="Coluna1224"/>
    <tableColumn id="1230" xr3:uid="{00000000-0010-0000-0000-0000CE040000}" name="Coluna1225"/>
    <tableColumn id="1231" xr3:uid="{00000000-0010-0000-0000-0000CF040000}" name="Coluna1226"/>
    <tableColumn id="1232" xr3:uid="{00000000-0010-0000-0000-0000D0040000}" name="Coluna1227"/>
    <tableColumn id="1233" xr3:uid="{00000000-0010-0000-0000-0000D1040000}" name="Coluna1228"/>
    <tableColumn id="1234" xr3:uid="{00000000-0010-0000-0000-0000D2040000}" name="Coluna1229"/>
    <tableColumn id="1235" xr3:uid="{00000000-0010-0000-0000-0000D3040000}" name="Coluna1230"/>
    <tableColumn id="1236" xr3:uid="{00000000-0010-0000-0000-0000D4040000}" name="Coluna1231"/>
    <tableColumn id="1237" xr3:uid="{00000000-0010-0000-0000-0000D5040000}" name="Coluna1232"/>
    <tableColumn id="1238" xr3:uid="{00000000-0010-0000-0000-0000D6040000}" name="Coluna1233"/>
    <tableColumn id="1239" xr3:uid="{00000000-0010-0000-0000-0000D7040000}" name="Coluna1234"/>
    <tableColumn id="1240" xr3:uid="{00000000-0010-0000-0000-0000D8040000}" name="Coluna1235"/>
    <tableColumn id="1241" xr3:uid="{00000000-0010-0000-0000-0000D9040000}" name="Coluna1236"/>
    <tableColumn id="1242" xr3:uid="{00000000-0010-0000-0000-0000DA040000}" name="Coluna1237"/>
    <tableColumn id="1243" xr3:uid="{00000000-0010-0000-0000-0000DB040000}" name="Coluna1238"/>
    <tableColumn id="1244" xr3:uid="{00000000-0010-0000-0000-0000DC040000}" name="Coluna1239"/>
    <tableColumn id="1245" xr3:uid="{00000000-0010-0000-0000-0000DD040000}" name="Coluna1240"/>
    <tableColumn id="1246" xr3:uid="{00000000-0010-0000-0000-0000DE040000}" name="Coluna1241"/>
    <tableColumn id="1247" xr3:uid="{00000000-0010-0000-0000-0000DF040000}" name="Coluna1242"/>
    <tableColumn id="1248" xr3:uid="{00000000-0010-0000-0000-0000E0040000}" name="Coluna1243"/>
    <tableColumn id="1249" xr3:uid="{00000000-0010-0000-0000-0000E1040000}" name="Coluna1244"/>
    <tableColumn id="1250" xr3:uid="{00000000-0010-0000-0000-0000E2040000}" name="Coluna1245"/>
    <tableColumn id="1251" xr3:uid="{00000000-0010-0000-0000-0000E3040000}" name="Coluna1246"/>
    <tableColumn id="1252" xr3:uid="{00000000-0010-0000-0000-0000E4040000}" name="Coluna1247"/>
    <tableColumn id="1253" xr3:uid="{00000000-0010-0000-0000-0000E5040000}" name="Coluna1248"/>
    <tableColumn id="1254" xr3:uid="{00000000-0010-0000-0000-0000E6040000}" name="Coluna1249"/>
    <tableColumn id="1255" xr3:uid="{00000000-0010-0000-0000-0000E7040000}" name="Coluna1250"/>
    <tableColumn id="1256" xr3:uid="{00000000-0010-0000-0000-0000E8040000}" name="Coluna1251"/>
    <tableColumn id="1257" xr3:uid="{00000000-0010-0000-0000-0000E9040000}" name="Coluna1252"/>
    <tableColumn id="1258" xr3:uid="{00000000-0010-0000-0000-0000EA040000}" name="Coluna1253"/>
    <tableColumn id="1259" xr3:uid="{00000000-0010-0000-0000-0000EB040000}" name="Coluna1254"/>
    <tableColumn id="1260" xr3:uid="{00000000-0010-0000-0000-0000EC040000}" name="Coluna1255"/>
    <tableColumn id="1261" xr3:uid="{00000000-0010-0000-0000-0000ED040000}" name="Coluna1256"/>
    <tableColumn id="1262" xr3:uid="{00000000-0010-0000-0000-0000EE040000}" name="Coluna1257"/>
    <tableColumn id="1263" xr3:uid="{00000000-0010-0000-0000-0000EF040000}" name="Coluna1258"/>
    <tableColumn id="1264" xr3:uid="{00000000-0010-0000-0000-0000F0040000}" name="Coluna1259"/>
    <tableColumn id="1265" xr3:uid="{00000000-0010-0000-0000-0000F1040000}" name="Coluna1260"/>
    <tableColumn id="1266" xr3:uid="{00000000-0010-0000-0000-0000F2040000}" name="Coluna1261"/>
    <tableColumn id="1267" xr3:uid="{00000000-0010-0000-0000-0000F3040000}" name="Coluna1262"/>
    <tableColumn id="1268" xr3:uid="{00000000-0010-0000-0000-0000F4040000}" name="Coluna1263"/>
    <tableColumn id="1269" xr3:uid="{00000000-0010-0000-0000-0000F5040000}" name="Coluna1264"/>
    <tableColumn id="1270" xr3:uid="{00000000-0010-0000-0000-0000F6040000}" name="Coluna1265"/>
    <tableColumn id="1271" xr3:uid="{00000000-0010-0000-0000-0000F7040000}" name="Coluna1266"/>
    <tableColumn id="1272" xr3:uid="{00000000-0010-0000-0000-0000F8040000}" name="Coluna1267"/>
    <tableColumn id="1273" xr3:uid="{00000000-0010-0000-0000-0000F9040000}" name="Coluna1268"/>
    <tableColumn id="1274" xr3:uid="{00000000-0010-0000-0000-0000FA040000}" name="Coluna1269"/>
    <tableColumn id="1275" xr3:uid="{00000000-0010-0000-0000-0000FB040000}" name="Coluna1270"/>
    <tableColumn id="1276" xr3:uid="{00000000-0010-0000-0000-0000FC040000}" name="Coluna1271"/>
    <tableColumn id="1277" xr3:uid="{00000000-0010-0000-0000-0000FD040000}" name="Coluna1272"/>
    <tableColumn id="1278" xr3:uid="{00000000-0010-0000-0000-0000FE040000}" name="Coluna1273"/>
    <tableColumn id="1279" xr3:uid="{00000000-0010-0000-0000-0000FF040000}" name="Coluna1274"/>
    <tableColumn id="1280" xr3:uid="{00000000-0010-0000-0000-000000050000}" name="Coluna1275"/>
    <tableColumn id="1281" xr3:uid="{00000000-0010-0000-0000-000001050000}" name="Coluna1276"/>
    <tableColumn id="1282" xr3:uid="{00000000-0010-0000-0000-000002050000}" name="Coluna1277"/>
    <tableColumn id="1283" xr3:uid="{00000000-0010-0000-0000-000003050000}" name="Coluna1278"/>
    <tableColumn id="1284" xr3:uid="{00000000-0010-0000-0000-000004050000}" name="Coluna1279"/>
    <tableColumn id="1285" xr3:uid="{00000000-0010-0000-0000-000005050000}" name="Coluna1280"/>
    <tableColumn id="1286" xr3:uid="{00000000-0010-0000-0000-000006050000}" name="Coluna1281"/>
    <tableColumn id="1287" xr3:uid="{00000000-0010-0000-0000-000007050000}" name="Coluna1282"/>
    <tableColumn id="1288" xr3:uid="{00000000-0010-0000-0000-000008050000}" name="Coluna1283"/>
    <tableColumn id="1289" xr3:uid="{00000000-0010-0000-0000-000009050000}" name="Coluna1284"/>
    <tableColumn id="1290" xr3:uid="{00000000-0010-0000-0000-00000A050000}" name="Coluna1285"/>
    <tableColumn id="1291" xr3:uid="{00000000-0010-0000-0000-00000B050000}" name="Coluna1286"/>
    <tableColumn id="1292" xr3:uid="{00000000-0010-0000-0000-00000C050000}" name="Coluna1287"/>
    <tableColumn id="1293" xr3:uid="{00000000-0010-0000-0000-00000D050000}" name="Coluna1288"/>
    <tableColumn id="1294" xr3:uid="{00000000-0010-0000-0000-00000E050000}" name="Coluna1289"/>
    <tableColumn id="1295" xr3:uid="{00000000-0010-0000-0000-00000F050000}" name="Coluna1290"/>
    <tableColumn id="1296" xr3:uid="{00000000-0010-0000-0000-000010050000}" name="Coluna1291"/>
    <tableColumn id="1297" xr3:uid="{00000000-0010-0000-0000-000011050000}" name="Coluna1292"/>
    <tableColumn id="1298" xr3:uid="{00000000-0010-0000-0000-000012050000}" name="Coluna1293"/>
    <tableColumn id="1299" xr3:uid="{00000000-0010-0000-0000-000013050000}" name="Coluna1294"/>
    <tableColumn id="1300" xr3:uid="{00000000-0010-0000-0000-000014050000}" name="Coluna1295"/>
    <tableColumn id="1301" xr3:uid="{00000000-0010-0000-0000-000015050000}" name="Coluna1296"/>
    <tableColumn id="1302" xr3:uid="{00000000-0010-0000-0000-000016050000}" name="Coluna1297"/>
    <tableColumn id="1303" xr3:uid="{00000000-0010-0000-0000-000017050000}" name="Coluna1298"/>
    <tableColumn id="1304" xr3:uid="{00000000-0010-0000-0000-000018050000}" name="Coluna1299"/>
    <tableColumn id="1305" xr3:uid="{00000000-0010-0000-0000-000019050000}" name="Coluna1300"/>
    <tableColumn id="1306" xr3:uid="{00000000-0010-0000-0000-00001A050000}" name="Coluna1301"/>
    <tableColumn id="1307" xr3:uid="{00000000-0010-0000-0000-00001B050000}" name="Coluna1302"/>
    <tableColumn id="1308" xr3:uid="{00000000-0010-0000-0000-00001C050000}" name="Coluna1303"/>
    <tableColumn id="1309" xr3:uid="{00000000-0010-0000-0000-00001D050000}" name="Coluna1304"/>
    <tableColumn id="1310" xr3:uid="{00000000-0010-0000-0000-00001E050000}" name="Coluna1305"/>
    <tableColumn id="1311" xr3:uid="{00000000-0010-0000-0000-00001F050000}" name="Coluna1306"/>
    <tableColumn id="1312" xr3:uid="{00000000-0010-0000-0000-000020050000}" name="Coluna1307"/>
    <tableColumn id="1313" xr3:uid="{00000000-0010-0000-0000-000021050000}" name="Coluna1308"/>
    <tableColumn id="1314" xr3:uid="{00000000-0010-0000-0000-000022050000}" name="Coluna1309"/>
    <tableColumn id="1315" xr3:uid="{00000000-0010-0000-0000-000023050000}" name="Coluna1310"/>
    <tableColumn id="1316" xr3:uid="{00000000-0010-0000-0000-000024050000}" name="Coluna1311"/>
    <tableColumn id="1317" xr3:uid="{00000000-0010-0000-0000-000025050000}" name="Coluna1312"/>
    <tableColumn id="1318" xr3:uid="{00000000-0010-0000-0000-000026050000}" name="Coluna1313"/>
    <tableColumn id="1319" xr3:uid="{00000000-0010-0000-0000-000027050000}" name="Coluna1314"/>
    <tableColumn id="1320" xr3:uid="{00000000-0010-0000-0000-000028050000}" name="Coluna1315"/>
    <tableColumn id="1321" xr3:uid="{00000000-0010-0000-0000-000029050000}" name="Coluna1316"/>
    <tableColumn id="1322" xr3:uid="{00000000-0010-0000-0000-00002A050000}" name="Coluna1317"/>
    <tableColumn id="1323" xr3:uid="{00000000-0010-0000-0000-00002B050000}" name="Coluna1318"/>
    <tableColumn id="1324" xr3:uid="{00000000-0010-0000-0000-00002C050000}" name="Coluna1319"/>
    <tableColumn id="1325" xr3:uid="{00000000-0010-0000-0000-00002D050000}" name="Coluna1320"/>
    <tableColumn id="1326" xr3:uid="{00000000-0010-0000-0000-00002E050000}" name="Coluna1321"/>
    <tableColumn id="1327" xr3:uid="{00000000-0010-0000-0000-00002F050000}" name="Coluna1322"/>
    <tableColumn id="1328" xr3:uid="{00000000-0010-0000-0000-000030050000}" name="Coluna1323"/>
    <tableColumn id="1329" xr3:uid="{00000000-0010-0000-0000-000031050000}" name="Coluna1324"/>
    <tableColumn id="1330" xr3:uid="{00000000-0010-0000-0000-000032050000}" name="Coluna1325"/>
    <tableColumn id="1331" xr3:uid="{00000000-0010-0000-0000-000033050000}" name="Coluna1326"/>
    <tableColumn id="1332" xr3:uid="{00000000-0010-0000-0000-000034050000}" name="Coluna1327"/>
    <tableColumn id="1333" xr3:uid="{00000000-0010-0000-0000-000035050000}" name="Coluna1328"/>
    <tableColumn id="1334" xr3:uid="{00000000-0010-0000-0000-000036050000}" name="Coluna1329"/>
    <tableColumn id="1335" xr3:uid="{00000000-0010-0000-0000-000037050000}" name="Coluna1330"/>
    <tableColumn id="1336" xr3:uid="{00000000-0010-0000-0000-000038050000}" name="Coluna1331"/>
    <tableColumn id="1337" xr3:uid="{00000000-0010-0000-0000-000039050000}" name="Coluna1332"/>
    <tableColumn id="1338" xr3:uid="{00000000-0010-0000-0000-00003A050000}" name="Coluna1333"/>
    <tableColumn id="1339" xr3:uid="{00000000-0010-0000-0000-00003B050000}" name="Coluna1334"/>
    <tableColumn id="1340" xr3:uid="{00000000-0010-0000-0000-00003C050000}" name="Coluna1335"/>
    <tableColumn id="1341" xr3:uid="{00000000-0010-0000-0000-00003D050000}" name="Coluna1336"/>
    <tableColumn id="1342" xr3:uid="{00000000-0010-0000-0000-00003E050000}" name="Coluna1337"/>
    <tableColumn id="1343" xr3:uid="{00000000-0010-0000-0000-00003F050000}" name="Coluna1338"/>
    <tableColumn id="1344" xr3:uid="{00000000-0010-0000-0000-000040050000}" name="Coluna1339"/>
    <tableColumn id="1345" xr3:uid="{00000000-0010-0000-0000-000041050000}" name="Coluna1340"/>
    <tableColumn id="1346" xr3:uid="{00000000-0010-0000-0000-000042050000}" name="Coluna1341"/>
    <tableColumn id="1347" xr3:uid="{00000000-0010-0000-0000-000043050000}" name="Coluna1342"/>
    <tableColumn id="1348" xr3:uid="{00000000-0010-0000-0000-000044050000}" name="Coluna1343"/>
    <tableColumn id="1349" xr3:uid="{00000000-0010-0000-0000-000045050000}" name="Coluna1344"/>
    <tableColumn id="1350" xr3:uid="{00000000-0010-0000-0000-000046050000}" name="Coluna1345"/>
    <tableColumn id="1351" xr3:uid="{00000000-0010-0000-0000-000047050000}" name="Coluna1346"/>
    <tableColumn id="1352" xr3:uid="{00000000-0010-0000-0000-000048050000}" name="Coluna1347"/>
    <tableColumn id="1353" xr3:uid="{00000000-0010-0000-0000-000049050000}" name="Coluna1348"/>
    <tableColumn id="1354" xr3:uid="{00000000-0010-0000-0000-00004A050000}" name="Coluna1349"/>
    <tableColumn id="1355" xr3:uid="{00000000-0010-0000-0000-00004B050000}" name="Coluna1350"/>
    <tableColumn id="1356" xr3:uid="{00000000-0010-0000-0000-00004C050000}" name="Coluna1351"/>
    <tableColumn id="1357" xr3:uid="{00000000-0010-0000-0000-00004D050000}" name="Coluna1352"/>
    <tableColumn id="1358" xr3:uid="{00000000-0010-0000-0000-00004E050000}" name="Coluna1353"/>
    <tableColumn id="1359" xr3:uid="{00000000-0010-0000-0000-00004F050000}" name="Coluna1354"/>
    <tableColumn id="1360" xr3:uid="{00000000-0010-0000-0000-000050050000}" name="Coluna1355"/>
    <tableColumn id="1361" xr3:uid="{00000000-0010-0000-0000-000051050000}" name="Coluna1356"/>
    <tableColumn id="1362" xr3:uid="{00000000-0010-0000-0000-000052050000}" name="Coluna1357"/>
    <tableColumn id="1363" xr3:uid="{00000000-0010-0000-0000-000053050000}" name="Coluna1358"/>
    <tableColumn id="1364" xr3:uid="{00000000-0010-0000-0000-000054050000}" name="Coluna1359"/>
    <tableColumn id="1365" xr3:uid="{00000000-0010-0000-0000-000055050000}" name="Coluna1360"/>
    <tableColumn id="1366" xr3:uid="{00000000-0010-0000-0000-000056050000}" name="Coluna1361"/>
    <tableColumn id="1367" xr3:uid="{00000000-0010-0000-0000-000057050000}" name="Coluna1362"/>
    <tableColumn id="1368" xr3:uid="{00000000-0010-0000-0000-000058050000}" name="Coluna1363"/>
    <tableColumn id="1369" xr3:uid="{00000000-0010-0000-0000-000059050000}" name="Coluna1364"/>
    <tableColumn id="1370" xr3:uid="{00000000-0010-0000-0000-00005A050000}" name="Coluna1365"/>
    <tableColumn id="1371" xr3:uid="{00000000-0010-0000-0000-00005B050000}" name="Coluna1366"/>
    <tableColumn id="1372" xr3:uid="{00000000-0010-0000-0000-00005C050000}" name="Coluna1367"/>
    <tableColumn id="1373" xr3:uid="{00000000-0010-0000-0000-00005D050000}" name="Coluna1368"/>
    <tableColumn id="1374" xr3:uid="{00000000-0010-0000-0000-00005E050000}" name="Coluna1369"/>
    <tableColumn id="1375" xr3:uid="{00000000-0010-0000-0000-00005F050000}" name="Coluna1370"/>
    <tableColumn id="1376" xr3:uid="{00000000-0010-0000-0000-000060050000}" name="Coluna1371"/>
    <tableColumn id="1377" xr3:uid="{00000000-0010-0000-0000-000061050000}" name="Coluna1372"/>
    <tableColumn id="1378" xr3:uid="{00000000-0010-0000-0000-000062050000}" name="Coluna1373"/>
    <tableColumn id="1379" xr3:uid="{00000000-0010-0000-0000-000063050000}" name="Coluna1374"/>
    <tableColumn id="1380" xr3:uid="{00000000-0010-0000-0000-000064050000}" name="Coluna1375"/>
    <tableColumn id="1381" xr3:uid="{00000000-0010-0000-0000-000065050000}" name="Coluna1376"/>
    <tableColumn id="1382" xr3:uid="{00000000-0010-0000-0000-000066050000}" name="Coluna1377"/>
    <tableColumn id="1383" xr3:uid="{00000000-0010-0000-0000-000067050000}" name="Coluna1378"/>
    <tableColumn id="1384" xr3:uid="{00000000-0010-0000-0000-000068050000}" name="Coluna1379"/>
    <tableColumn id="1385" xr3:uid="{00000000-0010-0000-0000-000069050000}" name="Coluna1380"/>
    <tableColumn id="1386" xr3:uid="{00000000-0010-0000-0000-00006A050000}" name="Coluna1381"/>
    <tableColumn id="1387" xr3:uid="{00000000-0010-0000-0000-00006B050000}" name="Coluna1382"/>
    <tableColumn id="1388" xr3:uid="{00000000-0010-0000-0000-00006C050000}" name="Coluna1383"/>
    <tableColumn id="1389" xr3:uid="{00000000-0010-0000-0000-00006D050000}" name="Coluna1384"/>
    <tableColumn id="1390" xr3:uid="{00000000-0010-0000-0000-00006E050000}" name="Coluna1385"/>
    <tableColumn id="1391" xr3:uid="{00000000-0010-0000-0000-00006F050000}" name="Coluna1386"/>
    <tableColumn id="1392" xr3:uid="{00000000-0010-0000-0000-000070050000}" name="Coluna1387"/>
    <tableColumn id="1393" xr3:uid="{00000000-0010-0000-0000-000071050000}" name="Coluna1388"/>
    <tableColumn id="1394" xr3:uid="{00000000-0010-0000-0000-000072050000}" name="Coluna1389"/>
    <tableColumn id="1395" xr3:uid="{00000000-0010-0000-0000-000073050000}" name="Coluna1390"/>
    <tableColumn id="1396" xr3:uid="{00000000-0010-0000-0000-000074050000}" name="Coluna1391"/>
    <tableColumn id="1397" xr3:uid="{00000000-0010-0000-0000-000075050000}" name="Coluna1392"/>
    <tableColumn id="1398" xr3:uid="{00000000-0010-0000-0000-000076050000}" name="Coluna1393"/>
    <tableColumn id="1399" xr3:uid="{00000000-0010-0000-0000-000077050000}" name="Coluna1394"/>
    <tableColumn id="1400" xr3:uid="{00000000-0010-0000-0000-000078050000}" name="Coluna1395"/>
    <tableColumn id="1401" xr3:uid="{00000000-0010-0000-0000-000079050000}" name="Coluna1396"/>
    <tableColumn id="1402" xr3:uid="{00000000-0010-0000-0000-00007A050000}" name="Coluna1397"/>
    <tableColumn id="1403" xr3:uid="{00000000-0010-0000-0000-00007B050000}" name="Coluna1398"/>
    <tableColumn id="1404" xr3:uid="{00000000-0010-0000-0000-00007C050000}" name="Coluna1399"/>
    <tableColumn id="1405" xr3:uid="{00000000-0010-0000-0000-00007D050000}" name="Coluna1400"/>
    <tableColumn id="1406" xr3:uid="{00000000-0010-0000-0000-00007E050000}" name="Coluna1401"/>
    <tableColumn id="1407" xr3:uid="{00000000-0010-0000-0000-00007F050000}" name="Coluna1402"/>
    <tableColumn id="1408" xr3:uid="{00000000-0010-0000-0000-000080050000}" name="Coluna1403"/>
    <tableColumn id="1409" xr3:uid="{00000000-0010-0000-0000-000081050000}" name="Coluna1404"/>
    <tableColumn id="1410" xr3:uid="{00000000-0010-0000-0000-000082050000}" name="Coluna1405"/>
    <tableColumn id="1411" xr3:uid="{00000000-0010-0000-0000-000083050000}" name="Coluna1406"/>
    <tableColumn id="1412" xr3:uid="{00000000-0010-0000-0000-000084050000}" name="Coluna1407"/>
    <tableColumn id="1413" xr3:uid="{00000000-0010-0000-0000-000085050000}" name="Coluna1408"/>
    <tableColumn id="1414" xr3:uid="{00000000-0010-0000-0000-000086050000}" name="Coluna1409"/>
    <tableColumn id="1415" xr3:uid="{00000000-0010-0000-0000-000087050000}" name="Coluna1410"/>
    <tableColumn id="1416" xr3:uid="{00000000-0010-0000-0000-000088050000}" name="Coluna1411"/>
    <tableColumn id="1417" xr3:uid="{00000000-0010-0000-0000-000089050000}" name="Coluna1412"/>
    <tableColumn id="1418" xr3:uid="{00000000-0010-0000-0000-00008A050000}" name="Coluna1413"/>
    <tableColumn id="1419" xr3:uid="{00000000-0010-0000-0000-00008B050000}" name="Coluna1414"/>
    <tableColumn id="1420" xr3:uid="{00000000-0010-0000-0000-00008C050000}" name="Coluna1415"/>
    <tableColumn id="1421" xr3:uid="{00000000-0010-0000-0000-00008D050000}" name="Coluna1416"/>
    <tableColumn id="1422" xr3:uid="{00000000-0010-0000-0000-00008E050000}" name="Coluna1417"/>
    <tableColumn id="1423" xr3:uid="{00000000-0010-0000-0000-00008F050000}" name="Coluna1418"/>
    <tableColumn id="1424" xr3:uid="{00000000-0010-0000-0000-000090050000}" name="Coluna1419"/>
    <tableColumn id="1425" xr3:uid="{00000000-0010-0000-0000-000091050000}" name="Coluna1420"/>
    <tableColumn id="1426" xr3:uid="{00000000-0010-0000-0000-000092050000}" name="Coluna1421"/>
    <tableColumn id="1427" xr3:uid="{00000000-0010-0000-0000-000093050000}" name="Coluna1422"/>
    <tableColumn id="1428" xr3:uid="{00000000-0010-0000-0000-000094050000}" name="Coluna1423"/>
    <tableColumn id="1429" xr3:uid="{00000000-0010-0000-0000-000095050000}" name="Coluna1424"/>
    <tableColumn id="1430" xr3:uid="{00000000-0010-0000-0000-000096050000}" name="Coluna1425"/>
    <tableColumn id="1431" xr3:uid="{00000000-0010-0000-0000-000097050000}" name="Coluna1426"/>
    <tableColumn id="1432" xr3:uid="{00000000-0010-0000-0000-000098050000}" name="Coluna1427"/>
    <tableColumn id="1433" xr3:uid="{00000000-0010-0000-0000-000099050000}" name="Coluna1428"/>
    <tableColumn id="1434" xr3:uid="{00000000-0010-0000-0000-00009A050000}" name="Coluna1429"/>
    <tableColumn id="1435" xr3:uid="{00000000-0010-0000-0000-00009B050000}" name="Coluna1430"/>
    <tableColumn id="1436" xr3:uid="{00000000-0010-0000-0000-00009C050000}" name="Coluna1431"/>
    <tableColumn id="1437" xr3:uid="{00000000-0010-0000-0000-00009D050000}" name="Coluna1432"/>
    <tableColumn id="1438" xr3:uid="{00000000-0010-0000-0000-00009E050000}" name="Coluna1433"/>
    <tableColumn id="1439" xr3:uid="{00000000-0010-0000-0000-00009F050000}" name="Coluna1434"/>
    <tableColumn id="1440" xr3:uid="{00000000-0010-0000-0000-0000A0050000}" name="Coluna1435"/>
    <tableColumn id="1441" xr3:uid="{00000000-0010-0000-0000-0000A1050000}" name="Coluna1436"/>
    <tableColumn id="1442" xr3:uid="{00000000-0010-0000-0000-0000A2050000}" name="Coluna1437"/>
    <tableColumn id="1443" xr3:uid="{00000000-0010-0000-0000-0000A3050000}" name="Coluna1438"/>
    <tableColumn id="1444" xr3:uid="{00000000-0010-0000-0000-0000A4050000}" name="Coluna1439"/>
    <tableColumn id="1445" xr3:uid="{00000000-0010-0000-0000-0000A5050000}" name="Coluna1440"/>
    <tableColumn id="1446" xr3:uid="{00000000-0010-0000-0000-0000A6050000}" name="Coluna1441"/>
    <tableColumn id="1447" xr3:uid="{00000000-0010-0000-0000-0000A7050000}" name="Coluna1442"/>
    <tableColumn id="1448" xr3:uid="{00000000-0010-0000-0000-0000A8050000}" name="Coluna1443"/>
    <tableColumn id="1449" xr3:uid="{00000000-0010-0000-0000-0000A9050000}" name="Coluna1444"/>
    <tableColumn id="1450" xr3:uid="{00000000-0010-0000-0000-0000AA050000}" name="Coluna1445"/>
    <tableColumn id="1451" xr3:uid="{00000000-0010-0000-0000-0000AB050000}" name="Coluna1446"/>
    <tableColumn id="1452" xr3:uid="{00000000-0010-0000-0000-0000AC050000}" name="Coluna1447"/>
    <tableColumn id="1453" xr3:uid="{00000000-0010-0000-0000-0000AD050000}" name="Coluna1448"/>
    <tableColumn id="1454" xr3:uid="{00000000-0010-0000-0000-0000AE050000}" name="Coluna1449"/>
    <tableColumn id="1455" xr3:uid="{00000000-0010-0000-0000-0000AF050000}" name="Coluna1450"/>
    <tableColumn id="1456" xr3:uid="{00000000-0010-0000-0000-0000B0050000}" name="Coluna1451"/>
    <tableColumn id="1457" xr3:uid="{00000000-0010-0000-0000-0000B1050000}" name="Coluna1452"/>
    <tableColumn id="1458" xr3:uid="{00000000-0010-0000-0000-0000B2050000}" name="Coluna1453"/>
    <tableColumn id="1459" xr3:uid="{00000000-0010-0000-0000-0000B3050000}" name="Coluna1454"/>
    <tableColumn id="1460" xr3:uid="{00000000-0010-0000-0000-0000B4050000}" name="Coluna1455"/>
    <tableColumn id="1461" xr3:uid="{00000000-0010-0000-0000-0000B5050000}" name="Coluna1456"/>
    <tableColumn id="1462" xr3:uid="{00000000-0010-0000-0000-0000B6050000}" name="Coluna1457"/>
    <tableColumn id="1463" xr3:uid="{00000000-0010-0000-0000-0000B7050000}" name="Coluna1458"/>
    <tableColumn id="1464" xr3:uid="{00000000-0010-0000-0000-0000B8050000}" name="Coluna1459"/>
    <tableColumn id="1465" xr3:uid="{00000000-0010-0000-0000-0000B9050000}" name="Coluna1460"/>
    <tableColumn id="1466" xr3:uid="{00000000-0010-0000-0000-0000BA050000}" name="Coluna1461"/>
    <tableColumn id="1467" xr3:uid="{00000000-0010-0000-0000-0000BB050000}" name="Coluna1462"/>
    <tableColumn id="1468" xr3:uid="{00000000-0010-0000-0000-0000BC050000}" name="Coluna1463"/>
    <tableColumn id="1469" xr3:uid="{00000000-0010-0000-0000-0000BD050000}" name="Coluna1464"/>
    <tableColumn id="1470" xr3:uid="{00000000-0010-0000-0000-0000BE050000}" name="Coluna1465"/>
    <tableColumn id="1471" xr3:uid="{00000000-0010-0000-0000-0000BF050000}" name="Coluna1466"/>
    <tableColumn id="1472" xr3:uid="{00000000-0010-0000-0000-0000C0050000}" name="Coluna1467"/>
    <tableColumn id="1473" xr3:uid="{00000000-0010-0000-0000-0000C1050000}" name="Coluna1468"/>
    <tableColumn id="1474" xr3:uid="{00000000-0010-0000-0000-0000C2050000}" name="Coluna1469"/>
    <tableColumn id="1475" xr3:uid="{00000000-0010-0000-0000-0000C3050000}" name="Coluna1470"/>
    <tableColumn id="1476" xr3:uid="{00000000-0010-0000-0000-0000C4050000}" name="Coluna1471"/>
    <tableColumn id="1477" xr3:uid="{00000000-0010-0000-0000-0000C5050000}" name="Coluna1472"/>
    <tableColumn id="1478" xr3:uid="{00000000-0010-0000-0000-0000C6050000}" name="Coluna1473"/>
    <tableColumn id="1479" xr3:uid="{00000000-0010-0000-0000-0000C7050000}" name="Coluna1474"/>
    <tableColumn id="1480" xr3:uid="{00000000-0010-0000-0000-0000C8050000}" name="Coluna1475"/>
    <tableColumn id="1481" xr3:uid="{00000000-0010-0000-0000-0000C9050000}" name="Coluna1476"/>
    <tableColumn id="1482" xr3:uid="{00000000-0010-0000-0000-0000CA050000}" name="Coluna1477"/>
    <tableColumn id="1483" xr3:uid="{00000000-0010-0000-0000-0000CB050000}" name="Coluna1478"/>
    <tableColumn id="1484" xr3:uid="{00000000-0010-0000-0000-0000CC050000}" name="Coluna1479"/>
    <tableColumn id="1485" xr3:uid="{00000000-0010-0000-0000-0000CD050000}" name="Coluna1480"/>
    <tableColumn id="1486" xr3:uid="{00000000-0010-0000-0000-0000CE050000}" name="Coluna1481"/>
    <tableColumn id="1487" xr3:uid="{00000000-0010-0000-0000-0000CF050000}" name="Coluna1482"/>
    <tableColumn id="1488" xr3:uid="{00000000-0010-0000-0000-0000D0050000}" name="Coluna1483"/>
    <tableColumn id="1489" xr3:uid="{00000000-0010-0000-0000-0000D1050000}" name="Coluna1484"/>
    <tableColumn id="1490" xr3:uid="{00000000-0010-0000-0000-0000D2050000}" name="Coluna1485"/>
    <tableColumn id="1491" xr3:uid="{00000000-0010-0000-0000-0000D3050000}" name="Coluna1486"/>
    <tableColumn id="1492" xr3:uid="{00000000-0010-0000-0000-0000D4050000}" name="Coluna1487"/>
    <tableColumn id="1493" xr3:uid="{00000000-0010-0000-0000-0000D5050000}" name="Coluna1488"/>
    <tableColumn id="1494" xr3:uid="{00000000-0010-0000-0000-0000D6050000}" name="Coluna1489"/>
    <tableColumn id="1495" xr3:uid="{00000000-0010-0000-0000-0000D7050000}" name="Coluna1490"/>
    <tableColumn id="1496" xr3:uid="{00000000-0010-0000-0000-0000D8050000}" name="Coluna1491"/>
    <tableColumn id="1497" xr3:uid="{00000000-0010-0000-0000-0000D9050000}" name="Coluna1492"/>
    <tableColumn id="1498" xr3:uid="{00000000-0010-0000-0000-0000DA050000}" name="Coluna1493"/>
    <tableColumn id="1499" xr3:uid="{00000000-0010-0000-0000-0000DB050000}" name="Coluna1494"/>
    <tableColumn id="1500" xr3:uid="{00000000-0010-0000-0000-0000DC050000}" name="Coluna1495"/>
    <tableColumn id="1501" xr3:uid="{00000000-0010-0000-0000-0000DD050000}" name="Coluna1496"/>
    <tableColumn id="1502" xr3:uid="{00000000-0010-0000-0000-0000DE050000}" name="Coluna1497"/>
    <tableColumn id="1503" xr3:uid="{00000000-0010-0000-0000-0000DF050000}" name="Coluna1498"/>
    <tableColumn id="1504" xr3:uid="{00000000-0010-0000-0000-0000E0050000}" name="Coluna1499"/>
    <tableColumn id="1505" xr3:uid="{00000000-0010-0000-0000-0000E1050000}" name="Coluna1500"/>
    <tableColumn id="1506" xr3:uid="{00000000-0010-0000-0000-0000E2050000}" name="Coluna1501"/>
    <tableColumn id="1507" xr3:uid="{00000000-0010-0000-0000-0000E3050000}" name="Coluna1502"/>
    <tableColumn id="1508" xr3:uid="{00000000-0010-0000-0000-0000E4050000}" name="Coluna1503"/>
    <tableColumn id="1509" xr3:uid="{00000000-0010-0000-0000-0000E5050000}" name="Coluna1504"/>
    <tableColumn id="1510" xr3:uid="{00000000-0010-0000-0000-0000E6050000}" name="Coluna1505"/>
    <tableColumn id="1511" xr3:uid="{00000000-0010-0000-0000-0000E7050000}" name="Coluna1506"/>
    <tableColumn id="1512" xr3:uid="{00000000-0010-0000-0000-0000E8050000}" name="Coluna1507"/>
    <tableColumn id="1513" xr3:uid="{00000000-0010-0000-0000-0000E9050000}" name="Coluna1508"/>
    <tableColumn id="1514" xr3:uid="{00000000-0010-0000-0000-0000EA050000}" name="Coluna1509"/>
    <tableColumn id="1515" xr3:uid="{00000000-0010-0000-0000-0000EB050000}" name="Coluna1510"/>
    <tableColumn id="1516" xr3:uid="{00000000-0010-0000-0000-0000EC050000}" name="Coluna1511"/>
    <tableColumn id="1517" xr3:uid="{00000000-0010-0000-0000-0000ED050000}" name="Coluna1512"/>
    <tableColumn id="1518" xr3:uid="{00000000-0010-0000-0000-0000EE050000}" name="Coluna1513"/>
    <tableColumn id="1519" xr3:uid="{00000000-0010-0000-0000-0000EF050000}" name="Coluna1514"/>
    <tableColumn id="1520" xr3:uid="{00000000-0010-0000-0000-0000F0050000}" name="Coluna1515"/>
    <tableColumn id="1521" xr3:uid="{00000000-0010-0000-0000-0000F1050000}" name="Coluna1516"/>
    <tableColumn id="1522" xr3:uid="{00000000-0010-0000-0000-0000F2050000}" name="Coluna1517"/>
    <tableColumn id="1523" xr3:uid="{00000000-0010-0000-0000-0000F3050000}" name="Coluna1518"/>
    <tableColumn id="1524" xr3:uid="{00000000-0010-0000-0000-0000F4050000}" name="Coluna1519"/>
    <tableColumn id="1525" xr3:uid="{00000000-0010-0000-0000-0000F5050000}" name="Coluna1520"/>
    <tableColumn id="1526" xr3:uid="{00000000-0010-0000-0000-0000F6050000}" name="Coluna1521"/>
    <tableColumn id="1527" xr3:uid="{00000000-0010-0000-0000-0000F7050000}" name="Coluna1522"/>
    <tableColumn id="1528" xr3:uid="{00000000-0010-0000-0000-0000F8050000}" name="Coluna1523"/>
    <tableColumn id="1529" xr3:uid="{00000000-0010-0000-0000-0000F9050000}" name="Coluna1524"/>
    <tableColumn id="1530" xr3:uid="{00000000-0010-0000-0000-0000FA050000}" name="Coluna1525"/>
    <tableColumn id="1531" xr3:uid="{00000000-0010-0000-0000-0000FB050000}" name="Coluna1526"/>
    <tableColumn id="1532" xr3:uid="{00000000-0010-0000-0000-0000FC050000}" name="Coluna1527"/>
    <tableColumn id="1533" xr3:uid="{00000000-0010-0000-0000-0000FD050000}" name="Coluna1528"/>
    <tableColumn id="1534" xr3:uid="{00000000-0010-0000-0000-0000FE050000}" name="Coluna1529"/>
    <tableColumn id="1535" xr3:uid="{00000000-0010-0000-0000-0000FF050000}" name="Coluna1530"/>
    <tableColumn id="1536" xr3:uid="{00000000-0010-0000-0000-000000060000}" name="Coluna1531"/>
    <tableColumn id="1537" xr3:uid="{00000000-0010-0000-0000-000001060000}" name="Coluna1532"/>
    <tableColumn id="1538" xr3:uid="{00000000-0010-0000-0000-000002060000}" name="Coluna1533"/>
    <tableColumn id="1539" xr3:uid="{00000000-0010-0000-0000-000003060000}" name="Coluna1534"/>
    <tableColumn id="1540" xr3:uid="{00000000-0010-0000-0000-000004060000}" name="Coluna1535"/>
    <tableColumn id="1541" xr3:uid="{00000000-0010-0000-0000-000005060000}" name="Coluna1536"/>
    <tableColumn id="1542" xr3:uid="{00000000-0010-0000-0000-000006060000}" name="Coluna1537"/>
    <tableColumn id="1543" xr3:uid="{00000000-0010-0000-0000-000007060000}" name="Coluna1538"/>
    <tableColumn id="1544" xr3:uid="{00000000-0010-0000-0000-000008060000}" name="Coluna1539"/>
    <tableColumn id="1545" xr3:uid="{00000000-0010-0000-0000-000009060000}" name="Coluna1540"/>
    <tableColumn id="1546" xr3:uid="{00000000-0010-0000-0000-00000A060000}" name="Coluna1541"/>
    <tableColumn id="1547" xr3:uid="{00000000-0010-0000-0000-00000B060000}" name="Coluna1542"/>
    <tableColumn id="1548" xr3:uid="{00000000-0010-0000-0000-00000C060000}" name="Coluna1543"/>
    <tableColumn id="1549" xr3:uid="{00000000-0010-0000-0000-00000D060000}" name="Coluna1544"/>
    <tableColumn id="1550" xr3:uid="{00000000-0010-0000-0000-00000E060000}" name="Coluna1545"/>
    <tableColumn id="1551" xr3:uid="{00000000-0010-0000-0000-00000F060000}" name="Coluna1546"/>
    <tableColumn id="1552" xr3:uid="{00000000-0010-0000-0000-000010060000}" name="Coluna1547"/>
    <tableColumn id="1553" xr3:uid="{00000000-0010-0000-0000-000011060000}" name="Coluna1548"/>
    <tableColumn id="1554" xr3:uid="{00000000-0010-0000-0000-000012060000}" name="Coluna1549"/>
    <tableColumn id="1555" xr3:uid="{00000000-0010-0000-0000-000013060000}" name="Coluna1550"/>
    <tableColumn id="1556" xr3:uid="{00000000-0010-0000-0000-000014060000}" name="Coluna1551"/>
    <tableColumn id="1557" xr3:uid="{00000000-0010-0000-0000-000015060000}" name="Coluna1552"/>
    <tableColumn id="1558" xr3:uid="{00000000-0010-0000-0000-000016060000}" name="Coluna1553"/>
    <tableColumn id="1559" xr3:uid="{00000000-0010-0000-0000-000017060000}" name="Coluna1554"/>
    <tableColumn id="1560" xr3:uid="{00000000-0010-0000-0000-000018060000}" name="Coluna1555"/>
    <tableColumn id="1561" xr3:uid="{00000000-0010-0000-0000-000019060000}" name="Coluna1556"/>
    <tableColumn id="1562" xr3:uid="{00000000-0010-0000-0000-00001A060000}" name="Coluna1557"/>
    <tableColumn id="1563" xr3:uid="{00000000-0010-0000-0000-00001B060000}" name="Coluna1558"/>
    <tableColumn id="1564" xr3:uid="{00000000-0010-0000-0000-00001C060000}" name="Coluna1559"/>
    <tableColumn id="1565" xr3:uid="{00000000-0010-0000-0000-00001D060000}" name="Coluna1560"/>
    <tableColumn id="1566" xr3:uid="{00000000-0010-0000-0000-00001E060000}" name="Coluna1561"/>
    <tableColumn id="1567" xr3:uid="{00000000-0010-0000-0000-00001F060000}" name="Coluna1562"/>
    <tableColumn id="1568" xr3:uid="{00000000-0010-0000-0000-000020060000}" name="Coluna1563"/>
    <tableColumn id="1569" xr3:uid="{00000000-0010-0000-0000-000021060000}" name="Coluna1564"/>
    <tableColumn id="1570" xr3:uid="{00000000-0010-0000-0000-000022060000}" name="Coluna1565"/>
    <tableColumn id="1571" xr3:uid="{00000000-0010-0000-0000-000023060000}" name="Coluna1566"/>
    <tableColumn id="1572" xr3:uid="{00000000-0010-0000-0000-000024060000}" name="Coluna1567"/>
    <tableColumn id="1573" xr3:uid="{00000000-0010-0000-0000-000025060000}" name="Coluna1568"/>
    <tableColumn id="1574" xr3:uid="{00000000-0010-0000-0000-000026060000}" name="Coluna1569"/>
    <tableColumn id="1575" xr3:uid="{00000000-0010-0000-0000-000027060000}" name="Coluna1570"/>
    <tableColumn id="1576" xr3:uid="{00000000-0010-0000-0000-000028060000}" name="Coluna1571"/>
    <tableColumn id="1577" xr3:uid="{00000000-0010-0000-0000-000029060000}" name="Coluna1572"/>
    <tableColumn id="1578" xr3:uid="{00000000-0010-0000-0000-00002A060000}" name="Coluna1573"/>
    <tableColumn id="1579" xr3:uid="{00000000-0010-0000-0000-00002B060000}" name="Coluna1574"/>
    <tableColumn id="1580" xr3:uid="{00000000-0010-0000-0000-00002C060000}" name="Coluna1575"/>
    <tableColumn id="1581" xr3:uid="{00000000-0010-0000-0000-00002D060000}" name="Coluna1576"/>
    <tableColumn id="1582" xr3:uid="{00000000-0010-0000-0000-00002E060000}" name="Coluna1577"/>
    <tableColumn id="1583" xr3:uid="{00000000-0010-0000-0000-00002F060000}" name="Coluna1578"/>
    <tableColumn id="1584" xr3:uid="{00000000-0010-0000-0000-000030060000}" name="Coluna1579"/>
    <tableColumn id="1585" xr3:uid="{00000000-0010-0000-0000-000031060000}" name="Coluna1580"/>
    <tableColumn id="1586" xr3:uid="{00000000-0010-0000-0000-000032060000}" name="Coluna1581"/>
    <tableColumn id="1587" xr3:uid="{00000000-0010-0000-0000-000033060000}" name="Coluna1582"/>
    <tableColumn id="1588" xr3:uid="{00000000-0010-0000-0000-000034060000}" name="Coluna1583"/>
    <tableColumn id="1589" xr3:uid="{00000000-0010-0000-0000-000035060000}" name="Coluna1584"/>
    <tableColumn id="1590" xr3:uid="{00000000-0010-0000-0000-000036060000}" name="Coluna1585"/>
    <tableColumn id="1591" xr3:uid="{00000000-0010-0000-0000-000037060000}" name="Coluna1586"/>
    <tableColumn id="1592" xr3:uid="{00000000-0010-0000-0000-000038060000}" name="Coluna1587"/>
    <tableColumn id="1593" xr3:uid="{00000000-0010-0000-0000-000039060000}" name="Coluna1588"/>
    <tableColumn id="1594" xr3:uid="{00000000-0010-0000-0000-00003A060000}" name="Coluna1589"/>
    <tableColumn id="1595" xr3:uid="{00000000-0010-0000-0000-00003B060000}" name="Coluna1590"/>
    <tableColumn id="1596" xr3:uid="{00000000-0010-0000-0000-00003C060000}" name="Coluna1591"/>
    <tableColumn id="1597" xr3:uid="{00000000-0010-0000-0000-00003D060000}" name="Coluna1592"/>
    <tableColumn id="1598" xr3:uid="{00000000-0010-0000-0000-00003E060000}" name="Coluna1593"/>
    <tableColumn id="1599" xr3:uid="{00000000-0010-0000-0000-00003F060000}" name="Coluna1594"/>
    <tableColumn id="1600" xr3:uid="{00000000-0010-0000-0000-000040060000}" name="Coluna1595"/>
    <tableColumn id="1601" xr3:uid="{00000000-0010-0000-0000-000041060000}" name="Coluna1596"/>
    <tableColumn id="1602" xr3:uid="{00000000-0010-0000-0000-000042060000}" name="Coluna1597"/>
    <tableColumn id="1603" xr3:uid="{00000000-0010-0000-0000-000043060000}" name="Coluna1598"/>
    <tableColumn id="1604" xr3:uid="{00000000-0010-0000-0000-000044060000}" name="Coluna1599"/>
    <tableColumn id="1605" xr3:uid="{00000000-0010-0000-0000-000045060000}" name="Coluna1600"/>
    <tableColumn id="1606" xr3:uid="{00000000-0010-0000-0000-000046060000}" name="Coluna1601"/>
    <tableColumn id="1607" xr3:uid="{00000000-0010-0000-0000-000047060000}" name="Coluna1602"/>
    <tableColumn id="1608" xr3:uid="{00000000-0010-0000-0000-000048060000}" name="Coluna1603"/>
    <tableColumn id="1609" xr3:uid="{00000000-0010-0000-0000-000049060000}" name="Coluna1604"/>
    <tableColumn id="1610" xr3:uid="{00000000-0010-0000-0000-00004A060000}" name="Coluna1605"/>
    <tableColumn id="1611" xr3:uid="{00000000-0010-0000-0000-00004B060000}" name="Coluna1606"/>
    <tableColumn id="1612" xr3:uid="{00000000-0010-0000-0000-00004C060000}" name="Coluna1607"/>
    <tableColumn id="1613" xr3:uid="{00000000-0010-0000-0000-00004D060000}" name="Coluna1608"/>
    <tableColumn id="1614" xr3:uid="{00000000-0010-0000-0000-00004E060000}" name="Coluna1609"/>
    <tableColumn id="1615" xr3:uid="{00000000-0010-0000-0000-00004F060000}" name="Coluna1610"/>
    <tableColumn id="1616" xr3:uid="{00000000-0010-0000-0000-000050060000}" name="Coluna1611"/>
    <tableColumn id="1617" xr3:uid="{00000000-0010-0000-0000-000051060000}" name="Coluna1612"/>
    <tableColumn id="1618" xr3:uid="{00000000-0010-0000-0000-000052060000}" name="Coluna1613"/>
    <tableColumn id="1619" xr3:uid="{00000000-0010-0000-0000-000053060000}" name="Coluna1614"/>
    <tableColumn id="1620" xr3:uid="{00000000-0010-0000-0000-000054060000}" name="Coluna1615"/>
    <tableColumn id="1621" xr3:uid="{00000000-0010-0000-0000-000055060000}" name="Coluna1616"/>
    <tableColumn id="1622" xr3:uid="{00000000-0010-0000-0000-000056060000}" name="Coluna1617"/>
    <tableColumn id="1623" xr3:uid="{00000000-0010-0000-0000-000057060000}" name="Coluna1618"/>
    <tableColumn id="1624" xr3:uid="{00000000-0010-0000-0000-000058060000}" name="Coluna1619"/>
    <tableColumn id="1625" xr3:uid="{00000000-0010-0000-0000-000059060000}" name="Coluna1620"/>
    <tableColumn id="1626" xr3:uid="{00000000-0010-0000-0000-00005A060000}" name="Coluna1621"/>
    <tableColumn id="1627" xr3:uid="{00000000-0010-0000-0000-00005B060000}" name="Coluna1622"/>
    <tableColumn id="1628" xr3:uid="{00000000-0010-0000-0000-00005C060000}" name="Coluna1623"/>
    <tableColumn id="1629" xr3:uid="{00000000-0010-0000-0000-00005D060000}" name="Coluna1624"/>
    <tableColumn id="1630" xr3:uid="{00000000-0010-0000-0000-00005E060000}" name="Coluna1625"/>
    <tableColumn id="1631" xr3:uid="{00000000-0010-0000-0000-00005F060000}" name="Coluna1626"/>
    <tableColumn id="1632" xr3:uid="{00000000-0010-0000-0000-000060060000}" name="Coluna1627"/>
    <tableColumn id="1633" xr3:uid="{00000000-0010-0000-0000-000061060000}" name="Coluna1628"/>
    <tableColumn id="1634" xr3:uid="{00000000-0010-0000-0000-000062060000}" name="Coluna1629"/>
    <tableColumn id="1635" xr3:uid="{00000000-0010-0000-0000-000063060000}" name="Coluna1630"/>
    <tableColumn id="1636" xr3:uid="{00000000-0010-0000-0000-000064060000}" name="Coluna1631"/>
    <tableColumn id="1637" xr3:uid="{00000000-0010-0000-0000-000065060000}" name="Coluna1632"/>
    <tableColumn id="1638" xr3:uid="{00000000-0010-0000-0000-000066060000}" name="Coluna1633"/>
    <tableColumn id="1639" xr3:uid="{00000000-0010-0000-0000-000067060000}" name="Coluna1634"/>
    <tableColumn id="1640" xr3:uid="{00000000-0010-0000-0000-000068060000}" name="Coluna1635"/>
    <tableColumn id="1641" xr3:uid="{00000000-0010-0000-0000-000069060000}" name="Coluna1636"/>
    <tableColumn id="1642" xr3:uid="{00000000-0010-0000-0000-00006A060000}" name="Coluna1637"/>
    <tableColumn id="1643" xr3:uid="{00000000-0010-0000-0000-00006B060000}" name="Coluna1638"/>
    <tableColumn id="1644" xr3:uid="{00000000-0010-0000-0000-00006C060000}" name="Coluna1639"/>
    <tableColumn id="1645" xr3:uid="{00000000-0010-0000-0000-00006D060000}" name="Coluna1640"/>
    <tableColumn id="1646" xr3:uid="{00000000-0010-0000-0000-00006E060000}" name="Coluna1641"/>
    <tableColumn id="1647" xr3:uid="{00000000-0010-0000-0000-00006F060000}" name="Coluna1642"/>
    <tableColumn id="1648" xr3:uid="{00000000-0010-0000-0000-000070060000}" name="Coluna1643"/>
    <tableColumn id="1649" xr3:uid="{00000000-0010-0000-0000-000071060000}" name="Coluna1644"/>
    <tableColumn id="1650" xr3:uid="{00000000-0010-0000-0000-000072060000}" name="Coluna1645"/>
    <tableColumn id="1651" xr3:uid="{00000000-0010-0000-0000-000073060000}" name="Coluna1646"/>
    <tableColumn id="1652" xr3:uid="{00000000-0010-0000-0000-000074060000}" name="Coluna1647"/>
    <tableColumn id="1653" xr3:uid="{00000000-0010-0000-0000-000075060000}" name="Coluna1648"/>
    <tableColumn id="1654" xr3:uid="{00000000-0010-0000-0000-000076060000}" name="Coluna1649"/>
    <tableColumn id="1655" xr3:uid="{00000000-0010-0000-0000-000077060000}" name="Coluna1650"/>
    <tableColumn id="1656" xr3:uid="{00000000-0010-0000-0000-000078060000}" name="Coluna1651"/>
    <tableColumn id="1657" xr3:uid="{00000000-0010-0000-0000-000079060000}" name="Coluna1652"/>
    <tableColumn id="1658" xr3:uid="{00000000-0010-0000-0000-00007A060000}" name="Coluna1653"/>
    <tableColumn id="1659" xr3:uid="{00000000-0010-0000-0000-00007B060000}" name="Coluna1654"/>
    <tableColumn id="1660" xr3:uid="{00000000-0010-0000-0000-00007C060000}" name="Coluna1655"/>
    <tableColumn id="1661" xr3:uid="{00000000-0010-0000-0000-00007D060000}" name="Coluna1656"/>
    <tableColumn id="1662" xr3:uid="{00000000-0010-0000-0000-00007E060000}" name="Coluna1657"/>
    <tableColumn id="1663" xr3:uid="{00000000-0010-0000-0000-00007F060000}" name="Coluna1658"/>
    <tableColumn id="1664" xr3:uid="{00000000-0010-0000-0000-000080060000}" name="Coluna1659"/>
    <tableColumn id="1665" xr3:uid="{00000000-0010-0000-0000-000081060000}" name="Coluna1660"/>
    <tableColumn id="1666" xr3:uid="{00000000-0010-0000-0000-000082060000}" name="Coluna1661"/>
    <tableColumn id="1667" xr3:uid="{00000000-0010-0000-0000-000083060000}" name="Coluna1662"/>
    <tableColumn id="1668" xr3:uid="{00000000-0010-0000-0000-000084060000}" name="Coluna1663"/>
    <tableColumn id="1669" xr3:uid="{00000000-0010-0000-0000-000085060000}" name="Coluna1664"/>
    <tableColumn id="1670" xr3:uid="{00000000-0010-0000-0000-000086060000}" name="Coluna1665"/>
    <tableColumn id="1671" xr3:uid="{00000000-0010-0000-0000-000087060000}" name="Coluna1666"/>
    <tableColumn id="1672" xr3:uid="{00000000-0010-0000-0000-000088060000}" name="Coluna1667"/>
    <tableColumn id="1673" xr3:uid="{00000000-0010-0000-0000-000089060000}" name="Coluna1668"/>
    <tableColumn id="1674" xr3:uid="{00000000-0010-0000-0000-00008A060000}" name="Coluna1669"/>
    <tableColumn id="1675" xr3:uid="{00000000-0010-0000-0000-00008B060000}" name="Coluna1670"/>
    <tableColumn id="1676" xr3:uid="{00000000-0010-0000-0000-00008C060000}" name="Coluna1671"/>
    <tableColumn id="1677" xr3:uid="{00000000-0010-0000-0000-00008D060000}" name="Coluna1672"/>
    <tableColumn id="1678" xr3:uid="{00000000-0010-0000-0000-00008E060000}" name="Coluna1673"/>
    <tableColumn id="1679" xr3:uid="{00000000-0010-0000-0000-00008F060000}" name="Coluna1674"/>
    <tableColumn id="1680" xr3:uid="{00000000-0010-0000-0000-000090060000}" name="Coluna1675"/>
    <tableColumn id="1681" xr3:uid="{00000000-0010-0000-0000-000091060000}" name="Coluna1676"/>
    <tableColumn id="1682" xr3:uid="{00000000-0010-0000-0000-000092060000}" name="Coluna1677"/>
    <tableColumn id="1683" xr3:uid="{00000000-0010-0000-0000-000093060000}" name="Coluna1678"/>
    <tableColumn id="1684" xr3:uid="{00000000-0010-0000-0000-000094060000}" name="Coluna1679"/>
    <tableColumn id="1685" xr3:uid="{00000000-0010-0000-0000-000095060000}" name="Coluna1680"/>
    <tableColumn id="1686" xr3:uid="{00000000-0010-0000-0000-000096060000}" name="Coluna1681"/>
    <tableColumn id="1687" xr3:uid="{00000000-0010-0000-0000-000097060000}" name="Coluna1682"/>
    <tableColumn id="1688" xr3:uid="{00000000-0010-0000-0000-000098060000}" name="Coluna1683"/>
    <tableColumn id="1689" xr3:uid="{00000000-0010-0000-0000-000099060000}" name="Coluna1684"/>
    <tableColumn id="1690" xr3:uid="{00000000-0010-0000-0000-00009A060000}" name="Coluna1685"/>
    <tableColumn id="1691" xr3:uid="{00000000-0010-0000-0000-00009B060000}" name="Coluna1686"/>
    <tableColumn id="1692" xr3:uid="{00000000-0010-0000-0000-00009C060000}" name="Coluna1687"/>
    <tableColumn id="1693" xr3:uid="{00000000-0010-0000-0000-00009D060000}" name="Coluna1688"/>
    <tableColumn id="1694" xr3:uid="{00000000-0010-0000-0000-00009E060000}" name="Coluna1689"/>
    <tableColumn id="1695" xr3:uid="{00000000-0010-0000-0000-00009F060000}" name="Coluna1690"/>
    <tableColumn id="1696" xr3:uid="{00000000-0010-0000-0000-0000A0060000}" name="Coluna1691"/>
    <tableColumn id="1697" xr3:uid="{00000000-0010-0000-0000-0000A1060000}" name="Coluna1692"/>
    <tableColumn id="1698" xr3:uid="{00000000-0010-0000-0000-0000A2060000}" name="Coluna1693"/>
    <tableColumn id="1699" xr3:uid="{00000000-0010-0000-0000-0000A3060000}" name="Coluna1694"/>
    <tableColumn id="1700" xr3:uid="{00000000-0010-0000-0000-0000A4060000}" name="Coluna1695"/>
    <tableColumn id="1701" xr3:uid="{00000000-0010-0000-0000-0000A5060000}" name="Coluna1696"/>
    <tableColumn id="1702" xr3:uid="{00000000-0010-0000-0000-0000A6060000}" name="Coluna1697"/>
    <tableColumn id="1703" xr3:uid="{00000000-0010-0000-0000-0000A7060000}" name="Coluna1698"/>
    <tableColumn id="1704" xr3:uid="{00000000-0010-0000-0000-0000A8060000}" name="Coluna1699"/>
    <tableColumn id="1705" xr3:uid="{00000000-0010-0000-0000-0000A9060000}" name="Coluna1700"/>
    <tableColumn id="1706" xr3:uid="{00000000-0010-0000-0000-0000AA060000}" name="Coluna1701"/>
    <tableColumn id="1707" xr3:uid="{00000000-0010-0000-0000-0000AB060000}" name="Coluna1702"/>
    <tableColumn id="1708" xr3:uid="{00000000-0010-0000-0000-0000AC060000}" name="Coluna1703"/>
    <tableColumn id="1709" xr3:uid="{00000000-0010-0000-0000-0000AD060000}" name="Coluna1704"/>
    <tableColumn id="1710" xr3:uid="{00000000-0010-0000-0000-0000AE060000}" name="Coluna1705"/>
    <tableColumn id="1711" xr3:uid="{00000000-0010-0000-0000-0000AF060000}" name="Coluna1706"/>
    <tableColumn id="1712" xr3:uid="{00000000-0010-0000-0000-0000B0060000}" name="Coluna1707"/>
    <tableColumn id="1713" xr3:uid="{00000000-0010-0000-0000-0000B1060000}" name="Coluna1708"/>
    <tableColumn id="1714" xr3:uid="{00000000-0010-0000-0000-0000B2060000}" name="Coluna1709"/>
    <tableColumn id="1715" xr3:uid="{00000000-0010-0000-0000-0000B3060000}" name="Coluna1710"/>
    <tableColumn id="1716" xr3:uid="{00000000-0010-0000-0000-0000B4060000}" name="Coluna1711"/>
    <tableColumn id="1717" xr3:uid="{00000000-0010-0000-0000-0000B5060000}" name="Coluna1712"/>
    <tableColumn id="1718" xr3:uid="{00000000-0010-0000-0000-0000B6060000}" name="Coluna1713"/>
    <tableColumn id="1719" xr3:uid="{00000000-0010-0000-0000-0000B7060000}" name="Coluna1714"/>
    <tableColumn id="1720" xr3:uid="{00000000-0010-0000-0000-0000B8060000}" name="Coluna1715"/>
    <tableColumn id="1721" xr3:uid="{00000000-0010-0000-0000-0000B9060000}" name="Coluna1716"/>
    <tableColumn id="1722" xr3:uid="{00000000-0010-0000-0000-0000BA060000}" name="Coluna1717"/>
    <tableColumn id="1723" xr3:uid="{00000000-0010-0000-0000-0000BB060000}" name="Coluna1718"/>
    <tableColumn id="1724" xr3:uid="{00000000-0010-0000-0000-0000BC060000}" name="Coluna1719"/>
    <tableColumn id="1725" xr3:uid="{00000000-0010-0000-0000-0000BD060000}" name="Coluna1720"/>
    <tableColumn id="1726" xr3:uid="{00000000-0010-0000-0000-0000BE060000}" name="Coluna1721"/>
    <tableColumn id="1727" xr3:uid="{00000000-0010-0000-0000-0000BF060000}" name="Coluna1722"/>
    <tableColumn id="1728" xr3:uid="{00000000-0010-0000-0000-0000C0060000}" name="Coluna1723"/>
    <tableColumn id="1729" xr3:uid="{00000000-0010-0000-0000-0000C1060000}" name="Coluna1724"/>
    <tableColumn id="1730" xr3:uid="{00000000-0010-0000-0000-0000C2060000}" name="Coluna1725"/>
    <tableColumn id="1731" xr3:uid="{00000000-0010-0000-0000-0000C3060000}" name="Coluna1726"/>
    <tableColumn id="1732" xr3:uid="{00000000-0010-0000-0000-0000C4060000}" name="Coluna1727"/>
    <tableColumn id="1733" xr3:uid="{00000000-0010-0000-0000-0000C5060000}" name="Coluna1728"/>
    <tableColumn id="1734" xr3:uid="{00000000-0010-0000-0000-0000C6060000}" name="Coluna1729"/>
    <tableColumn id="1735" xr3:uid="{00000000-0010-0000-0000-0000C7060000}" name="Coluna1730"/>
    <tableColumn id="1736" xr3:uid="{00000000-0010-0000-0000-0000C8060000}" name="Coluna1731"/>
    <tableColumn id="1737" xr3:uid="{00000000-0010-0000-0000-0000C9060000}" name="Coluna1732"/>
    <tableColumn id="1738" xr3:uid="{00000000-0010-0000-0000-0000CA060000}" name="Coluna1733"/>
    <tableColumn id="1739" xr3:uid="{00000000-0010-0000-0000-0000CB060000}" name="Coluna1734"/>
    <tableColumn id="1740" xr3:uid="{00000000-0010-0000-0000-0000CC060000}" name="Coluna1735"/>
    <tableColumn id="1741" xr3:uid="{00000000-0010-0000-0000-0000CD060000}" name="Coluna1736"/>
    <tableColumn id="1742" xr3:uid="{00000000-0010-0000-0000-0000CE060000}" name="Coluna1737"/>
    <tableColumn id="1743" xr3:uid="{00000000-0010-0000-0000-0000CF060000}" name="Coluna1738"/>
    <tableColumn id="1744" xr3:uid="{00000000-0010-0000-0000-0000D0060000}" name="Coluna1739"/>
    <tableColumn id="1745" xr3:uid="{00000000-0010-0000-0000-0000D1060000}" name="Coluna1740"/>
    <tableColumn id="1746" xr3:uid="{00000000-0010-0000-0000-0000D2060000}" name="Coluna1741"/>
    <tableColumn id="1747" xr3:uid="{00000000-0010-0000-0000-0000D3060000}" name="Coluna1742"/>
    <tableColumn id="1748" xr3:uid="{00000000-0010-0000-0000-0000D4060000}" name="Coluna1743"/>
    <tableColumn id="1749" xr3:uid="{00000000-0010-0000-0000-0000D5060000}" name="Coluna1744"/>
    <tableColumn id="1750" xr3:uid="{00000000-0010-0000-0000-0000D6060000}" name="Coluna1745"/>
    <tableColumn id="1751" xr3:uid="{00000000-0010-0000-0000-0000D7060000}" name="Coluna1746"/>
    <tableColumn id="1752" xr3:uid="{00000000-0010-0000-0000-0000D8060000}" name="Coluna1747"/>
    <tableColumn id="1753" xr3:uid="{00000000-0010-0000-0000-0000D9060000}" name="Coluna1748"/>
    <tableColumn id="1754" xr3:uid="{00000000-0010-0000-0000-0000DA060000}" name="Coluna1749"/>
    <tableColumn id="1755" xr3:uid="{00000000-0010-0000-0000-0000DB060000}" name="Coluna1750"/>
    <tableColumn id="1756" xr3:uid="{00000000-0010-0000-0000-0000DC060000}" name="Coluna1751"/>
    <tableColumn id="1757" xr3:uid="{00000000-0010-0000-0000-0000DD060000}" name="Coluna1752"/>
    <tableColumn id="1758" xr3:uid="{00000000-0010-0000-0000-0000DE060000}" name="Coluna1753"/>
    <tableColumn id="1759" xr3:uid="{00000000-0010-0000-0000-0000DF060000}" name="Coluna1754"/>
    <tableColumn id="1760" xr3:uid="{00000000-0010-0000-0000-0000E0060000}" name="Coluna1755"/>
    <tableColumn id="1761" xr3:uid="{00000000-0010-0000-0000-0000E1060000}" name="Coluna1756"/>
    <tableColumn id="1762" xr3:uid="{00000000-0010-0000-0000-0000E2060000}" name="Coluna1757"/>
    <tableColumn id="1763" xr3:uid="{00000000-0010-0000-0000-0000E3060000}" name="Coluna1758"/>
    <tableColumn id="1764" xr3:uid="{00000000-0010-0000-0000-0000E4060000}" name="Coluna1759"/>
    <tableColumn id="1765" xr3:uid="{00000000-0010-0000-0000-0000E5060000}" name="Coluna1760"/>
    <tableColumn id="1766" xr3:uid="{00000000-0010-0000-0000-0000E6060000}" name="Coluna1761"/>
    <tableColumn id="1767" xr3:uid="{00000000-0010-0000-0000-0000E7060000}" name="Coluna1762"/>
    <tableColumn id="1768" xr3:uid="{00000000-0010-0000-0000-0000E8060000}" name="Coluna1763"/>
    <tableColumn id="1769" xr3:uid="{00000000-0010-0000-0000-0000E9060000}" name="Coluna1764"/>
    <tableColumn id="1770" xr3:uid="{00000000-0010-0000-0000-0000EA060000}" name="Coluna1765"/>
    <tableColumn id="1771" xr3:uid="{00000000-0010-0000-0000-0000EB060000}" name="Coluna1766"/>
    <tableColumn id="1772" xr3:uid="{00000000-0010-0000-0000-0000EC060000}" name="Coluna1767"/>
    <tableColumn id="1773" xr3:uid="{00000000-0010-0000-0000-0000ED060000}" name="Coluna1768"/>
    <tableColumn id="1774" xr3:uid="{00000000-0010-0000-0000-0000EE060000}" name="Coluna1769"/>
    <tableColumn id="1775" xr3:uid="{00000000-0010-0000-0000-0000EF060000}" name="Coluna1770"/>
    <tableColumn id="1776" xr3:uid="{00000000-0010-0000-0000-0000F0060000}" name="Coluna1771"/>
    <tableColumn id="1777" xr3:uid="{00000000-0010-0000-0000-0000F1060000}" name="Coluna1772"/>
    <tableColumn id="1778" xr3:uid="{00000000-0010-0000-0000-0000F2060000}" name="Coluna1773"/>
    <tableColumn id="1779" xr3:uid="{00000000-0010-0000-0000-0000F3060000}" name="Coluna1774"/>
    <tableColumn id="1780" xr3:uid="{00000000-0010-0000-0000-0000F4060000}" name="Coluna1775"/>
    <tableColumn id="1781" xr3:uid="{00000000-0010-0000-0000-0000F5060000}" name="Coluna1776"/>
    <tableColumn id="1782" xr3:uid="{00000000-0010-0000-0000-0000F6060000}" name="Coluna1777"/>
    <tableColumn id="1783" xr3:uid="{00000000-0010-0000-0000-0000F7060000}" name="Coluna1778"/>
    <tableColumn id="1784" xr3:uid="{00000000-0010-0000-0000-0000F8060000}" name="Coluna1779"/>
    <tableColumn id="1785" xr3:uid="{00000000-0010-0000-0000-0000F9060000}" name="Coluna1780"/>
    <tableColumn id="1786" xr3:uid="{00000000-0010-0000-0000-0000FA060000}" name="Coluna1781"/>
    <tableColumn id="1787" xr3:uid="{00000000-0010-0000-0000-0000FB060000}" name="Coluna1782"/>
    <tableColumn id="1788" xr3:uid="{00000000-0010-0000-0000-0000FC060000}" name="Coluna1783"/>
    <tableColumn id="1789" xr3:uid="{00000000-0010-0000-0000-0000FD060000}" name="Coluna1784"/>
    <tableColumn id="1790" xr3:uid="{00000000-0010-0000-0000-0000FE060000}" name="Coluna1785"/>
    <tableColumn id="1791" xr3:uid="{00000000-0010-0000-0000-0000FF060000}" name="Coluna1786"/>
    <tableColumn id="1792" xr3:uid="{00000000-0010-0000-0000-000000070000}" name="Coluna1787"/>
    <tableColumn id="1793" xr3:uid="{00000000-0010-0000-0000-000001070000}" name="Coluna1788"/>
    <tableColumn id="1794" xr3:uid="{00000000-0010-0000-0000-000002070000}" name="Coluna1789"/>
    <tableColumn id="1795" xr3:uid="{00000000-0010-0000-0000-000003070000}" name="Coluna1790"/>
    <tableColumn id="1796" xr3:uid="{00000000-0010-0000-0000-000004070000}" name="Coluna1791"/>
    <tableColumn id="1797" xr3:uid="{00000000-0010-0000-0000-000005070000}" name="Coluna1792"/>
    <tableColumn id="1798" xr3:uid="{00000000-0010-0000-0000-000006070000}" name="Coluna1793"/>
    <tableColumn id="1799" xr3:uid="{00000000-0010-0000-0000-000007070000}" name="Coluna1794"/>
    <tableColumn id="1800" xr3:uid="{00000000-0010-0000-0000-000008070000}" name="Coluna1795"/>
    <tableColumn id="1801" xr3:uid="{00000000-0010-0000-0000-000009070000}" name="Coluna1796"/>
    <tableColumn id="1802" xr3:uid="{00000000-0010-0000-0000-00000A070000}" name="Coluna1797"/>
    <tableColumn id="1803" xr3:uid="{00000000-0010-0000-0000-00000B070000}" name="Coluna1798"/>
    <tableColumn id="1804" xr3:uid="{00000000-0010-0000-0000-00000C070000}" name="Coluna1799"/>
    <tableColumn id="1805" xr3:uid="{00000000-0010-0000-0000-00000D070000}" name="Coluna1800"/>
    <tableColumn id="1806" xr3:uid="{00000000-0010-0000-0000-00000E070000}" name="Coluna1801"/>
    <tableColumn id="1807" xr3:uid="{00000000-0010-0000-0000-00000F070000}" name="Coluna1802"/>
    <tableColumn id="1808" xr3:uid="{00000000-0010-0000-0000-000010070000}" name="Coluna1803"/>
    <tableColumn id="1809" xr3:uid="{00000000-0010-0000-0000-000011070000}" name="Coluna1804"/>
    <tableColumn id="1810" xr3:uid="{00000000-0010-0000-0000-000012070000}" name="Coluna1805"/>
    <tableColumn id="1811" xr3:uid="{00000000-0010-0000-0000-000013070000}" name="Coluna1806"/>
    <tableColumn id="1812" xr3:uid="{00000000-0010-0000-0000-000014070000}" name="Coluna1807"/>
    <tableColumn id="1813" xr3:uid="{00000000-0010-0000-0000-000015070000}" name="Coluna1808"/>
    <tableColumn id="1814" xr3:uid="{00000000-0010-0000-0000-000016070000}" name="Coluna1809"/>
    <tableColumn id="1815" xr3:uid="{00000000-0010-0000-0000-000017070000}" name="Coluna1810"/>
    <tableColumn id="1816" xr3:uid="{00000000-0010-0000-0000-000018070000}" name="Coluna1811"/>
    <tableColumn id="1817" xr3:uid="{00000000-0010-0000-0000-000019070000}" name="Coluna1812"/>
    <tableColumn id="1818" xr3:uid="{00000000-0010-0000-0000-00001A070000}" name="Coluna1813"/>
    <tableColumn id="1819" xr3:uid="{00000000-0010-0000-0000-00001B070000}" name="Coluna1814"/>
    <tableColumn id="1820" xr3:uid="{00000000-0010-0000-0000-00001C070000}" name="Coluna1815"/>
    <tableColumn id="1821" xr3:uid="{00000000-0010-0000-0000-00001D070000}" name="Coluna1816"/>
    <tableColumn id="1822" xr3:uid="{00000000-0010-0000-0000-00001E070000}" name="Coluna1817"/>
    <tableColumn id="1823" xr3:uid="{00000000-0010-0000-0000-00001F070000}" name="Coluna1818"/>
    <tableColumn id="1824" xr3:uid="{00000000-0010-0000-0000-000020070000}" name="Coluna1819"/>
    <tableColumn id="1825" xr3:uid="{00000000-0010-0000-0000-000021070000}" name="Coluna1820"/>
    <tableColumn id="1826" xr3:uid="{00000000-0010-0000-0000-000022070000}" name="Coluna1821"/>
    <tableColumn id="1827" xr3:uid="{00000000-0010-0000-0000-000023070000}" name="Coluna1822"/>
    <tableColumn id="1828" xr3:uid="{00000000-0010-0000-0000-000024070000}" name="Coluna1823"/>
    <tableColumn id="1829" xr3:uid="{00000000-0010-0000-0000-000025070000}" name="Coluna1824"/>
    <tableColumn id="1830" xr3:uid="{00000000-0010-0000-0000-000026070000}" name="Coluna1825"/>
    <tableColumn id="1831" xr3:uid="{00000000-0010-0000-0000-000027070000}" name="Coluna1826"/>
    <tableColumn id="1832" xr3:uid="{00000000-0010-0000-0000-000028070000}" name="Coluna1827"/>
    <tableColumn id="1833" xr3:uid="{00000000-0010-0000-0000-000029070000}" name="Coluna1828"/>
    <tableColumn id="1834" xr3:uid="{00000000-0010-0000-0000-00002A070000}" name="Coluna1829"/>
    <tableColumn id="1835" xr3:uid="{00000000-0010-0000-0000-00002B070000}" name="Coluna1830"/>
    <tableColumn id="1836" xr3:uid="{00000000-0010-0000-0000-00002C070000}" name="Coluna1831"/>
    <tableColumn id="1837" xr3:uid="{00000000-0010-0000-0000-00002D070000}" name="Coluna1832"/>
    <tableColumn id="1838" xr3:uid="{00000000-0010-0000-0000-00002E070000}" name="Coluna1833"/>
    <tableColumn id="1839" xr3:uid="{00000000-0010-0000-0000-00002F070000}" name="Coluna1834"/>
    <tableColumn id="1840" xr3:uid="{00000000-0010-0000-0000-000030070000}" name="Coluna1835"/>
    <tableColumn id="1841" xr3:uid="{00000000-0010-0000-0000-000031070000}" name="Coluna1836"/>
    <tableColumn id="1842" xr3:uid="{00000000-0010-0000-0000-000032070000}" name="Coluna1837"/>
    <tableColumn id="1843" xr3:uid="{00000000-0010-0000-0000-000033070000}" name="Coluna1838"/>
    <tableColumn id="1844" xr3:uid="{00000000-0010-0000-0000-000034070000}" name="Coluna1839"/>
    <tableColumn id="1845" xr3:uid="{00000000-0010-0000-0000-000035070000}" name="Coluna1840"/>
    <tableColumn id="1846" xr3:uid="{00000000-0010-0000-0000-000036070000}" name="Coluna1841"/>
    <tableColumn id="1847" xr3:uid="{00000000-0010-0000-0000-000037070000}" name="Coluna1842"/>
    <tableColumn id="1848" xr3:uid="{00000000-0010-0000-0000-000038070000}" name="Coluna1843"/>
    <tableColumn id="1849" xr3:uid="{00000000-0010-0000-0000-000039070000}" name="Coluna1844"/>
    <tableColumn id="1850" xr3:uid="{00000000-0010-0000-0000-00003A070000}" name="Coluna1845"/>
    <tableColumn id="1851" xr3:uid="{00000000-0010-0000-0000-00003B070000}" name="Coluna1846"/>
    <tableColumn id="1852" xr3:uid="{00000000-0010-0000-0000-00003C070000}" name="Coluna1847"/>
    <tableColumn id="1853" xr3:uid="{00000000-0010-0000-0000-00003D070000}" name="Coluna1848"/>
    <tableColumn id="1854" xr3:uid="{00000000-0010-0000-0000-00003E070000}" name="Coluna1849"/>
    <tableColumn id="1855" xr3:uid="{00000000-0010-0000-0000-00003F070000}" name="Coluna1850"/>
    <tableColumn id="1856" xr3:uid="{00000000-0010-0000-0000-000040070000}" name="Coluna1851"/>
    <tableColumn id="1857" xr3:uid="{00000000-0010-0000-0000-000041070000}" name="Coluna1852"/>
    <tableColumn id="1858" xr3:uid="{00000000-0010-0000-0000-000042070000}" name="Coluna1853"/>
    <tableColumn id="1859" xr3:uid="{00000000-0010-0000-0000-000043070000}" name="Coluna1854"/>
    <tableColumn id="1860" xr3:uid="{00000000-0010-0000-0000-000044070000}" name="Coluna1855"/>
    <tableColumn id="1861" xr3:uid="{00000000-0010-0000-0000-000045070000}" name="Coluna1856"/>
    <tableColumn id="1862" xr3:uid="{00000000-0010-0000-0000-000046070000}" name="Coluna1857"/>
    <tableColumn id="1863" xr3:uid="{00000000-0010-0000-0000-000047070000}" name="Coluna1858"/>
    <tableColumn id="1864" xr3:uid="{00000000-0010-0000-0000-000048070000}" name="Coluna1859"/>
    <tableColumn id="1865" xr3:uid="{00000000-0010-0000-0000-000049070000}" name="Coluna1860"/>
    <tableColumn id="1866" xr3:uid="{00000000-0010-0000-0000-00004A070000}" name="Coluna1861"/>
    <tableColumn id="1867" xr3:uid="{00000000-0010-0000-0000-00004B070000}" name="Coluna1862"/>
    <tableColumn id="1868" xr3:uid="{00000000-0010-0000-0000-00004C070000}" name="Coluna1863"/>
    <tableColumn id="1869" xr3:uid="{00000000-0010-0000-0000-00004D070000}" name="Coluna1864"/>
    <tableColumn id="1870" xr3:uid="{00000000-0010-0000-0000-00004E070000}" name="Coluna1865"/>
    <tableColumn id="1871" xr3:uid="{00000000-0010-0000-0000-00004F070000}" name="Coluna1866"/>
    <tableColumn id="1872" xr3:uid="{00000000-0010-0000-0000-000050070000}" name="Coluna1867"/>
    <tableColumn id="1873" xr3:uid="{00000000-0010-0000-0000-000051070000}" name="Coluna1868"/>
    <tableColumn id="1874" xr3:uid="{00000000-0010-0000-0000-000052070000}" name="Coluna1869"/>
    <tableColumn id="1875" xr3:uid="{00000000-0010-0000-0000-000053070000}" name="Coluna1870"/>
    <tableColumn id="1876" xr3:uid="{00000000-0010-0000-0000-000054070000}" name="Coluna1871"/>
    <tableColumn id="1877" xr3:uid="{00000000-0010-0000-0000-000055070000}" name="Coluna1872"/>
    <tableColumn id="1878" xr3:uid="{00000000-0010-0000-0000-000056070000}" name="Coluna1873"/>
    <tableColumn id="1879" xr3:uid="{00000000-0010-0000-0000-000057070000}" name="Coluna1874"/>
    <tableColumn id="1880" xr3:uid="{00000000-0010-0000-0000-000058070000}" name="Coluna1875"/>
    <tableColumn id="1881" xr3:uid="{00000000-0010-0000-0000-000059070000}" name="Coluna1876"/>
    <tableColumn id="1882" xr3:uid="{00000000-0010-0000-0000-00005A070000}" name="Coluna1877"/>
    <tableColumn id="1883" xr3:uid="{00000000-0010-0000-0000-00005B070000}" name="Coluna1878"/>
    <tableColumn id="1884" xr3:uid="{00000000-0010-0000-0000-00005C070000}" name="Coluna1879"/>
    <tableColumn id="1885" xr3:uid="{00000000-0010-0000-0000-00005D070000}" name="Coluna1880"/>
    <tableColumn id="1886" xr3:uid="{00000000-0010-0000-0000-00005E070000}" name="Coluna1881"/>
    <tableColumn id="1887" xr3:uid="{00000000-0010-0000-0000-00005F070000}" name="Coluna1882"/>
    <tableColumn id="1888" xr3:uid="{00000000-0010-0000-0000-000060070000}" name="Coluna1883"/>
    <tableColumn id="1889" xr3:uid="{00000000-0010-0000-0000-000061070000}" name="Coluna1884"/>
    <tableColumn id="1890" xr3:uid="{00000000-0010-0000-0000-000062070000}" name="Coluna1885"/>
    <tableColumn id="1891" xr3:uid="{00000000-0010-0000-0000-000063070000}" name="Coluna1886"/>
    <tableColumn id="1892" xr3:uid="{00000000-0010-0000-0000-000064070000}" name="Coluna1887"/>
    <tableColumn id="1893" xr3:uid="{00000000-0010-0000-0000-000065070000}" name="Coluna1888"/>
    <tableColumn id="1894" xr3:uid="{00000000-0010-0000-0000-000066070000}" name="Coluna1889"/>
    <tableColumn id="1895" xr3:uid="{00000000-0010-0000-0000-000067070000}" name="Coluna1890"/>
    <tableColumn id="1896" xr3:uid="{00000000-0010-0000-0000-000068070000}" name="Coluna1891"/>
    <tableColumn id="1897" xr3:uid="{00000000-0010-0000-0000-000069070000}" name="Coluna1892"/>
    <tableColumn id="1898" xr3:uid="{00000000-0010-0000-0000-00006A070000}" name="Coluna1893"/>
    <tableColumn id="1899" xr3:uid="{00000000-0010-0000-0000-00006B070000}" name="Coluna1894"/>
    <tableColumn id="1900" xr3:uid="{00000000-0010-0000-0000-00006C070000}" name="Coluna1895"/>
    <tableColumn id="1901" xr3:uid="{00000000-0010-0000-0000-00006D070000}" name="Coluna1896"/>
    <tableColumn id="1902" xr3:uid="{00000000-0010-0000-0000-00006E070000}" name="Coluna1897"/>
    <tableColumn id="1903" xr3:uid="{00000000-0010-0000-0000-00006F070000}" name="Coluna1898"/>
    <tableColumn id="1904" xr3:uid="{00000000-0010-0000-0000-000070070000}" name="Coluna1899"/>
    <tableColumn id="1905" xr3:uid="{00000000-0010-0000-0000-000071070000}" name="Coluna1900"/>
    <tableColumn id="1906" xr3:uid="{00000000-0010-0000-0000-000072070000}" name="Coluna1901"/>
    <tableColumn id="1907" xr3:uid="{00000000-0010-0000-0000-000073070000}" name="Coluna1902"/>
    <tableColumn id="1908" xr3:uid="{00000000-0010-0000-0000-000074070000}" name="Coluna1903"/>
    <tableColumn id="1909" xr3:uid="{00000000-0010-0000-0000-000075070000}" name="Coluna1904"/>
    <tableColumn id="1910" xr3:uid="{00000000-0010-0000-0000-000076070000}" name="Coluna1905"/>
    <tableColumn id="1911" xr3:uid="{00000000-0010-0000-0000-000077070000}" name="Coluna1906"/>
    <tableColumn id="1912" xr3:uid="{00000000-0010-0000-0000-000078070000}" name="Coluna1907"/>
    <tableColumn id="1913" xr3:uid="{00000000-0010-0000-0000-000079070000}" name="Coluna1908"/>
    <tableColumn id="1914" xr3:uid="{00000000-0010-0000-0000-00007A070000}" name="Coluna1909"/>
    <tableColumn id="1915" xr3:uid="{00000000-0010-0000-0000-00007B070000}" name="Coluna1910"/>
    <tableColumn id="1916" xr3:uid="{00000000-0010-0000-0000-00007C070000}" name="Coluna1911"/>
    <tableColumn id="1917" xr3:uid="{00000000-0010-0000-0000-00007D070000}" name="Coluna1912"/>
    <tableColumn id="1918" xr3:uid="{00000000-0010-0000-0000-00007E070000}" name="Coluna1913"/>
    <tableColumn id="1919" xr3:uid="{00000000-0010-0000-0000-00007F070000}" name="Coluna1914"/>
    <tableColumn id="1920" xr3:uid="{00000000-0010-0000-0000-000080070000}" name="Coluna1915"/>
    <tableColumn id="1921" xr3:uid="{00000000-0010-0000-0000-000081070000}" name="Coluna1916"/>
    <tableColumn id="1922" xr3:uid="{00000000-0010-0000-0000-000082070000}" name="Coluna1917"/>
    <tableColumn id="1923" xr3:uid="{00000000-0010-0000-0000-000083070000}" name="Coluna1918"/>
    <tableColumn id="1924" xr3:uid="{00000000-0010-0000-0000-000084070000}" name="Coluna1919"/>
    <tableColumn id="1925" xr3:uid="{00000000-0010-0000-0000-000085070000}" name="Coluna1920"/>
    <tableColumn id="1926" xr3:uid="{00000000-0010-0000-0000-000086070000}" name="Coluna1921"/>
    <tableColumn id="1927" xr3:uid="{00000000-0010-0000-0000-000087070000}" name="Coluna1922"/>
    <tableColumn id="1928" xr3:uid="{00000000-0010-0000-0000-000088070000}" name="Coluna1923"/>
    <tableColumn id="1929" xr3:uid="{00000000-0010-0000-0000-000089070000}" name="Coluna1924"/>
    <tableColumn id="1930" xr3:uid="{00000000-0010-0000-0000-00008A070000}" name="Coluna1925"/>
    <tableColumn id="1931" xr3:uid="{00000000-0010-0000-0000-00008B070000}" name="Coluna1926"/>
    <tableColumn id="1932" xr3:uid="{00000000-0010-0000-0000-00008C070000}" name="Coluna1927"/>
    <tableColumn id="1933" xr3:uid="{00000000-0010-0000-0000-00008D070000}" name="Coluna1928"/>
    <tableColumn id="1934" xr3:uid="{00000000-0010-0000-0000-00008E070000}" name="Coluna1929"/>
    <tableColumn id="1935" xr3:uid="{00000000-0010-0000-0000-00008F070000}" name="Coluna1930"/>
    <tableColumn id="1936" xr3:uid="{00000000-0010-0000-0000-000090070000}" name="Coluna1931"/>
    <tableColumn id="1937" xr3:uid="{00000000-0010-0000-0000-000091070000}" name="Coluna1932"/>
    <tableColumn id="1938" xr3:uid="{00000000-0010-0000-0000-000092070000}" name="Coluna1933"/>
    <tableColumn id="1939" xr3:uid="{00000000-0010-0000-0000-000093070000}" name="Coluna1934"/>
    <tableColumn id="1940" xr3:uid="{00000000-0010-0000-0000-000094070000}" name="Coluna1935"/>
    <tableColumn id="1941" xr3:uid="{00000000-0010-0000-0000-000095070000}" name="Coluna1936"/>
    <tableColumn id="1942" xr3:uid="{00000000-0010-0000-0000-000096070000}" name="Coluna1937"/>
    <tableColumn id="1943" xr3:uid="{00000000-0010-0000-0000-000097070000}" name="Coluna1938"/>
    <tableColumn id="1944" xr3:uid="{00000000-0010-0000-0000-000098070000}" name="Coluna1939"/>
    <tableColumn id="1945" xr3:uid="{00000000-0010-0000-0000-000099070000}" name="Coluna1940"/>
    <tableColumn id="1946" xr3:uid="{00000000-0010-0000-0000-00009A070000}" name="Coluna1941"/>
    <tableColumn id="1947" xr3:uid="{00000000-0010-0000-0000-00009B070000}" name="Coluna1942"/>
    <tableColumn id="1948" xr3:uid="{00000000-0010-0000-0000-00009C070000}" name="Coluna1943"/>
    <tableColumn id="1949" xr3:uid="{00000000-0010-0000-0000-00009D070000}" name="Coluna1944"/>
    <tableColumn id="1950" xr3:uid="{00000000-0010-0000-0000-00009E070000}" name="Coluna1945"/>
    <tableColumn id="1951" xr3:uid="{00000000-0010-0000-0000-00009F070000}" name="Coluna1946"/>
    <tableColumn id="1952" xr3:uid="{00000000-0010-0000-0000-0000A0070000}" name="Coluna1947"/>
    <tableColumn id="1953" xr3:uid="{00000000-0010-0000-0000-0000A1070000}" name="Coluna1948"/>
    <tableColumn id="1954" xr3:uid="{00000000-0010-0000-0000-0000A2070000}" name="Coluna1949"/>
    <tableColumn id="1955" xr3:uid="{00000000-0010-0000-0000-0000A3070000}" name="Coluna1950"/>
    <tableColumn id="1956" xr3:uid="{00000000-0010-0000-0000-0000A4070000}" name="Coluna1951"/>
    <tableColumn id="1957" xr3:uid="{00000000-0010-0000-0000-0000A5070000}" name="Coluna1952"/>
    <tableColumn id="1958" xr3:uid="{00000000-0010-0000-0000-0000A6070000}" name="Coluna1953"/>
    <tableColumn id="1959" xr3:uid="{00000000-0010-0000-0000-0000A7070000}" name="Coluna1954"/>
    <tableColumn id="1960" xr3:uid="{00000000-0010-0000-0000-0000A8070000}" name="Coluna1955"/>
    <tableColumn id="1961" xr3:uid="{00000000-0010-0000-0000-0000A9070000}" name="Coluna1956"/>
    <tableColumn id="1962" xr3:uid="{00000000-0010-0000-0000-0000AA070000}" name="Coluna1957"/>
    <tableColumn id="1963" xr3:uid="{00000000-0010-0000-0000-0000AB070000}" name="Coluna1958"/>
    <tableColumn id="1964" xr3:uid="{00000000-0010-0000-0000-0000AC070000}" name="Coluna1959"/>
    <tableColumn id="1965" xr3:uid="{00000000-0010-0000-0000-0000AD070000}" name="Coluna1960"/>
    <tableColumn id="1966" xr3:uid="{00000000-0010-0000-0000-0000AE070000}" name="Coluna1961"/>
    <tableColumn id="1967" xr3:uid="{00000000-0010-0000-0000-0000AF070000}" name="Coluna1962"/>
    <tableColumn id="1968" xr3:uid="{00000000-0010-0000-0000-0000B0070000}" name="Coluna1963"/>
    <tableColumn id="1969" xr3:uid="{00000000-0010-0000-0000-0000B1070000}" name="Coluna1964"/>
    <tableColumn id="1970" xr3:uid="{00000000-0010-0000-0000-0000B2070000}" name="Coluna1965"/>
    <tableColumn id="1971" xr3:uid="{00000000-0010-0000-0000-0000B3070000}" name="Coluna1966"/>
    <tableColumn id="1972" xr3:uid="{00000000-0010-0000-0000-0000B4070000}" name="Coluna1967"/>
    <tableColumn id="1973" xr3:uid="{00000000-0010-0000-0000-0000B5070000}" name="Coluna1968"/>
    <tableColumn id="1974" xr3:uid="{00000000-0010-0000-0000-0000B6070000}" name="Coluna1969"/>
    <tableColumn id="1975" xr3:uid="{00000000-0010-0000-0000-0000B7070000}" name="Coluna1970"/>
    <tableColumn id="1976" xr3:uid="{00000000-0010-0000-0000-0000B8070000}" name="Coluna1971"/>
    <tableColumn id="1977" xr3:uid="{00000000-0010-0000-0000-0000B9070000}" name="Coluna1972"/>
    <tableColumn id="1978" xr3:uid="{00000000-0010-0000-0000-0000BA070000}" name="Coluna1973"/>
    <tableColumn id="1979" xr3:uid="{00000000-0010-0000-0000-0000BB070000}" name="Coluna1974"/>
    <tableColumn id="1980" xr3:uid="{00000000-0010-0000-0000-0000BC070000}" name="Coluna1975"/>
    <tableColumn id="1981" xr3:uid="{00000000-0010-0000-0000-0000BD070000}" name="Coluna1976"/>
    <tableColumn id="1982" xr3:uid="{00000000-0010-0000-0000-0000BE070000}" name="Coluna1977"/>
    <tableColumn id="1983" xr3:uid="{00000000-0010-0000-0000-0000BF070000}" name="Coluna1978"/>
    <tableColumn id="1984" xr3:uid="{00000000-0010-0000-0000-0000C0070000}" name="Coluna1979"/>
    <tableColumn id="1985" xr3:uid="{00000000-0010-0000-0000-0000C1070000}" name="Coluna1980"/>
    <tableColumn id="1986" xr3:uid="{00000000-0010-0000-0000-0000C2070000}" name="Coluna1981"/>
    <tableColumn id="1987" xr3:uid="{00000000-0010-0000-0000-0000C3070000}" name="Coluna1982"/>
    <tableColumn id="1988" xr3:uid="{00000000-0010-0000-0000-0000C4070000}" name="Coluna1983"/>
    <tableColumn id="1989" xr3:uid="{00000000-0010-0000-0000-0000C5070000}" name="Coluna1984"/>
    <tableColumn id="1990" xr3:uid="{00000000-0010-0000-0000-0000C6070000}" name="Coluna1985"/>
    <tableColumn id="1991" xr3:uid="{00000000-0010-0000-0000-0000C7070000}" name="Coluna1986"/>
    <tableColumn id="1992" xr3:uid="{00000000-0010-0000-0000-0000C8070000}" name="Coluna1987"/>
    <tableColumn id="1993" xr3:uid="{00000000-0010-0000-0000-0000C9070000}" name="Coluna1988"/>
    <tableColumn id="1994" xr3:uid="{00000000-0010-0000-0000-0000CA070000}" name="Coluna1989"/>
    <tableColumn id="1995" xr3:uid="{00000000-0010-0000-0000-0000CB070000}" name="Coluna1990"/>
    <tableColumn id="1996" xr3:uid="{00000000-0010-0000-0000-0000CC070000}" name="Coluna1991"/>
    <tableColumn id="1997" xr3:uid="{00000000-0010-0000-0000-0000CD070000}" name="Coluna1992"/>
    <tableColumn id="1998" xr3:uid="{00000000-0010-0000-0000-0000CE070000}" name="Coluna1993"/>
    <tableColumn id="1999" xr3:uid="{00000000-0010-0000-0000-0000CF070000}" name="Coluna1994"/>
    <tableColumn id="2000" xr3:uid="{00000000-0010-0000-0000-0000D0070000}" name="Coluna1995"/>
    <tableColumn id="2001" xr3:uid="{00000000-0010-0000-0000-0000D1070000}" name="Coluna1996"/>
    <tableColumn id="2002" xr3:uid="{00000000-0010-0000-0000-0000D2070000}" name="Coluna1997"/>
    <tableColumn id="2003" xr3:uid="{00000000-0010-0000-0000-0000D3070000}" name="Coluna1998"/>
    <tableColumn id="2004" xr3:uid="{00000000-0010-0000-0000-0000D4070000}" name="Coluna1999"/>
    <tableColumn id="2005" xr3:uid="{00000000-0010-0000-0000-0000D5070000}" name="Coluna2000"/>
    <tableColumn id="2006" xr3:uid="{00000000-0010-0000-0000-0000D6070000}" name="Coluna2001"/>
    <tableColumn id="2007" xr3:uid="{00000000-0010-0000-0000-0000D7070000}" name="Coluna2002"/>
    <tableColumn id="2008" xr3:uid="{00000000-0010-0000-0000-0000D8070000}" name="Coluna2003"/>
    <tableColumn id="2009" xr3:uid="{00000000-0010-0000-0000-0000D9070000}" name="Coluna2004"/>
    <tableColumn id="2010" xr3:uid="{00000000-0010-0000-0000-0000DA070000}" name="Coluna2005"/>
    <tableColumn id="2011" xr3:uid="{00000000-0010-0000-0000-0000DB070000}" name="Coluna2006"/>
    <tableColumn id="2012" xr3:uid="{00000000-0010-0000-0000-0000DC070000}" name="Coluna2007"/>
    <tableColumn id="2013" xr3:uid="{00000000-0010-0000-0000-0000DD070000}" name="Coluna2008"/>
    <tableColumn id="2014" xr3:uid="{00000000-0010-0000-0000-0000DE070000}" name="Coluna2009"/>
    <tableColumn id="2015" xr3:uid="{00000000-0010-0000-0000-0000DF070000}" name="Coluna2010"/>
    <tableColumn id="2016" xr3:uid="{00000000-0010-0000-0000-0000E0070000}" name="Coluna2011"/>
    <tableColumn id="2017" xr3:uid="{00000000-0010-0000-0000-0000E1070000}" name="Coluna2012"/>
    <tableColumn id="2018" xr3:uid="{00000000-0010-0000-0000-0000E2070000}" name="Coluna2013"/>
    <tableColumn id="2019" xr3:uid="{00000000-0010-0000-0000-0000E3070000}" name="Coluna2014"/>
    <tableColumn id="2020" xr3:uid="{00000000-0010-0000-0000-0000E4070000}" name="Coluna2015"/>
    <tableColumn id="2021" xr3:uid="{00000000-0010-0000-0000-0000E5070000}" name="Coluna2016"/>
    <tableColumn id="2022" xr3:uid="{00000000-0010-0000-0000-0000E6070000}" name="Coluna2017"/>
    <tableColumn id="2023" xr3:uid="{00000000-0010-0000-0000-0000E7070000}" name="Coluna2018"/>
    <tableColumn id="2024" xr3:uid="{00000000-0010-0000-0000-0000E8070000}" name="Coluna2019"/>
    <tableColumn id="2025" xr3:uid="{00000000-0010-0000-0000-0000E9070000}" name="Coluna2020"/>
    <tableColumn id="2026" xr3:uid="{00000000-0010-0000-0000-0000EA070000}" name="Coluna2021"/>
    <tableColumn id="2027" xr3:uid="{00000000-0010-0000-0000-0000EB070000}" name="Coluna2022"/>
    <tableColumn id="2028" xr3:uid="{00000000-0010-0000-0000-0000EC070000}" name="Coluna2023"/>
    <tableColumn id="2029" xr3:uid="{00000000-0010-0000-0000-0000ED070000}" name="Coluna2024"/>
    <tableColumn id="2030" xr3:uid="{00000000-0010-0000-0000-0000EE070000}" name="Coluna2025"/>
    <tableColumn id="2031" xr3:uid="{00000000-0010-0000-0000-0000EF070000}" name="Coluna2026"/>
    <tableColumn id="2032" xr3:uid="{00000000-0010-0000-0000-0000F0070000}" name="Coluna2027"/>
    <tableColumn id="2033" xr3:uid="{00000000-0010-0000-0000-0000F1070000}" name="Coluna2028"/>
    <tableColumn id="2034" xr3:uid="{00000000-0010-0000-0000-0000F2070000}" name="Coluna2029"/>
    <tableColumn id="2035" xr3:uid="{00000000-0010-0000-0000-0000F3070000}" name="Coluna2030"/>
    <tableColumn id="2036" xr3:uid="{00000000-0010-0000-0000-0000F4070000}" name="Coluna2031"/>
    <tableColumn id="2037" xr3:uid="{00000000-0010-0000-0000-0000F5070000}" name="Coluna2032"/>
    <tableColumn id="2038" xr3:uid="{00000000-0010-0000-0000-0000F6070000}" name="Coluna2033"/>
    <tableColumn id="2039" xr3:uid="{00000000-0010-0000-0000-0000F7070000}" name="Coluna2034"/>
    <tableColumn id="2040" xr3:uid="{00000000-0010-0000-0000-0000F8070000}" name="Coluna2035"/>
    <tableColumn id="2041" xr3:uid="{00000000-0010-0000-0000-0000F9070000}" name="Coluna2036"/>
    <tableColumn id="2042" xr3:uid="{00000000-0010-0000-0000-0000FA070000}" name="Coluna2037"/>
    <tableColumn id="2043" xr3:uid="{00000000-0010-0000-0000-0000FB070000}" name="Coluna2038"/>
    <tableColumn id="2044" xr3:uid="{00000000-0010-0000-0000-0000FC070000}" name="Coluna2039"/>
    <tableColumn id="2045" xr3:uid="{00000000-0010-0000-0000-0000FD070000}" name="Coluna2040"/>
    <tableColumn id="2046" xr3:uid="{00000000-0010-0000-0000-0000FE070000}" name="Coluna2041"/>
    <tableColumn id="2047" xr3:uid="{00000000-0010-0000-0000-0000FF070000}" name="Coluna2042"/>
    <tableColumn id="2048" xr3:uid="{00000000-0010-0000-0000-000000080000}" name="Coluna2043"/>
    <tableColumn id="2049" xr3:uid="{00000000-0010-0000-0000-000001080000}" name="Coluna2044"/>
    <tableColumn id="2050" xr3:uid="{00000000-0010-0000-0000-000002080000}" name="Coluna2045"/>
    <tableColumn id="2051" xr3:uid="{00000000-0010-0000-0000-000003080000}" name="Coluna2046"/>
    <tableColumn id="2052" xr3:uid="{00000000-0010-0000-0000-000004080000}" name="Coluna2047"/>
    <tableColumn id="2053" xr3:uid="{00000000-0010-0000-0000-000005080000}" name="Coluna2048"/>
    <tableColumn id="2054" xr3:uid="{00000000-0010-0000-0000-000006080000}" name="Coluna2049"/>
    <tableColumn id="2055" xr3:uid="{00000000-0010-0000-0000-000007080000}" name="Coluna2050"/>
    <tableColumn id="2056" xr3:uid="{00000000-0010-0000-0000-000008080000}" name="Coluna2051"/>
    <tableColumn id="2057" xr3:uid="{00000000-0010-0000-0000-000009080000}" name="Coluna2052"/>
    <tableColumn id="2058" xr3:uid="{00000000-0010-0000-0000-00000A080000}" name="Coluna2053"/>
    <tableColumn id="2059" xr3:uid="{00000000-0010-0000-0000-00000B080000}" name="Coluna2054"/>
    <tableColumn id="2060" xr3:uid="{00000000-0010-0000-0000-00000C080000}" name="Coluna2055"/>
    <tableColumn id="2061" xr3:uid="{00000000-0010-0000-0000-00000D080000}" name="Coluna2056"/>
    <tableColumn id="2062" xr3:uid="{00000000-0010-0000-0000-00000E080000}" name="Coluna2057"/>
    <tableColumn id="2063" xr3:uid="{00000000-0010-0000-0000-00000F080000}" name="Coluna2058"/>
    <tableColumn id="2064" xr3:uid="{00000000-0010-0000-0000-000010080000}" name="Coluna2059"/>
    <tableColumn id="2065" xr3:uid="{00000000-0010-0000-0000-000011080000}" name="Coluna2060"/>
    <tableColumn id="2066" xr3:uid="{00000000-0010-0000-0000-000012080000}" name="Coluna2061"/>
    <tableColumn id="2067" xr3:uid="{00000000-0010-0000-0000-000013080000}" name="Coluna2062"/>
    <tableColumn id="2068" xr3:uid="{00000000-0010-0000-0000-000014080000}" name="Coluna2063"/>
    <tableColumn id="2069" xr3:uid="{00000000-0010-0000-0000-000015080000}" name="Coluna2064"/>
    <tableColumn id="2070" xr3:uid="{00000000-0010-0000-0000-000016080000}" name="Coluna2065"/>
    <tableColumn id="2071" xr3:uid="{00000000-0010-0000-0000-000017080000}" name="Coluna2066"/>
    <tableColumn id="2072" xr3:uid="{00000000-0010-0000-0000-000018080000}" name="Coluna2067"/>
    <tableColumn id="2073" xr3:uid="{00000000-0010-0000-0000-000019080000}" name="Coluna2068"/>
    <tableColumn id="2074" xr3:uid="{00000000-0010-0000-0000-00001A080000}" name="Coluna2069"/>
    <tableColumn id="2075" xr3:uid="{00000000-0010-0000-0000-00001B080000}" name="Coluna2070"/>
    <tableColumn id="2076" xr3:uid="{00000000-0010-0000-0000-00001C080000}" name="Coluna2071"/>
    <tableColumn id="2077" xr3:uid="{00000000-0010-0000-0000-00001D080000}" name="Coluna2072"/>
    <tableColumn id="2078" xr3:uid="{00000000-0010-0000-0000-00001E080000}" name="Coluna2073"/>
    <tableColumn id="2079" xr3:uid="{00000000-0010-0000-0000-00001F080000}" name="Coluna2074"/>
    <tableColumn id="2080" xr3:uid="{00000000-0010-0000-0000-000020080000}" name="Coluna2075"/>
    <tableColumn id="2081" xr3:uid="{00000000-0010-0000-0000-000021080000}" name="Coluna2076"/>
    <tableColumn id="2082" xr3:uid="{00000000-0010-0000-0000-000022080000}" name="Coluna2077"/>
    <tableColumn id="2083" xr3:uid="{00000000-0010-0000-0000-000023080000}" name="Coluna2078"/>
    <tableColumn id="2084" xr3:uid="{00000000-0010-0000-0000-000024080000}" name="Coluna2079"/>
    <tableColumn id="2085" xr3:uid="{00000000-0010-0000-0000-000025080000}" name="Coluna2080"/>
    <tableColumn id="2086" xr3:uid="{00000000-0010-0000-0000-000026080000}" name="Coluna2081"/>
    <tableColumn id="2087" xr3:uid="{00000000-0010-0000-0000-000027080000}" name="Coluna2082"/>
    <tableColumn id="2088" xr3:uid="{00000000-0010-0000-0000-000028080000}" name="Coluna2083"/>
    <tableColumn id="2089" xr3:uid="{00000000-0010-0000-0000-000029080000}" name="Coluna2084"/>
    <tableColumn id="2090" xr3:uid="{00000000-0010-0000-0000-00002A080000}" name="Coluna2085"/>
    <tableColumn id="2091" xr3:uid="{00000000-0010-0000-0000-00002B080000}" name="Coluna2086"/>
    <tableColumn id="2092" xr3:uid="{00000000-0010-0000-0000-00002C080000}" name="Coluna2087"/>
    <tableColumn id="2093" xr3:uid="{00000000-0010-0000-0000-00002D080000}" name="Coluna2088"/>
    <tableColumn id="2094" xr3:uid="{00000000-0010-0000-0000-00002E080000}" name="Coluna2089"/>
    <tableColumn id="2095" xr3:uid="{00000000-0010-0000-0000-00002F080000}" name="Coluna2090"/>
    <tableColumn id="2096" xr3:uid="{00000000-0010-0000-0000-000030080000}" name="Coluna2091"/>
    <tableColumn id="2097" xr3:uid="{00000000-0010-0000-0000-000031080000}" name="Coluna2092"/>
    <tableColumn id="2098" xr3:uid="{00000000-0010-0000-0000-000032080000}" name="Coluna2093"/>
    <tableColumn id="2099" xr3:uid="{00000000-0010-0000-0000-000033080000}" name="Coluna2094"/>
    <tableColumn id="2100" xr3:uid="{00000000-0010-0000-0000-000034080000}" name="Coluna2095"/>
    <tableColumn id="2101" xr3:uid="{00000000-0010-0000-0000-000035080000}" name="Coluna2096"/>
    <tableColumn id="2102" xr3:uid="{00000000-0010-0000-0000-000036080000}" name="Coluna2097"/>
    <tableColumn id="2103" xr3:uid="{00000000-0010-0000-0000-000037080000}" name="Coluna2098"/>
    <tableColumn id="2104" xr3:uid="{00000000-0010-0000-0000-000038080000}" name="Coluna2099"/>
    <tableColumn id="2105" xr3:uid="{00000000-0010-0000-0000-000039080000}" name="Coluna2100"/>
    <tableColumn id="2106" xr3:uid="{00000000-0010-0000-0000-00003A080000}" name="Coluna2101"/>
    <tableColumn id="2107" xr3:uid="{00000000-0010-0000-0000-00003B080000}" name="Coluna2102"/>
    <tableColumn id="2108" xr3:uid="{00000000-0010-0000-0000-00003C080000}" name="Coluna2103"/>
    <tableColumn id="2109" xr3:uid="{00000000-0010-0000-0000-00003D080000}" name="Coluna2104"/>
    <tableColumn id="2110" xr3:uid="{00000000-0010-0000-0000-00003E080000}" name="Coluna2105"/>
    <tableColumn id="2111" xr3:uid="{00000000-0010-0000-0000-00003F080000}" name="Coluna2106"/>
    <tableColumn id="2112" xr3:uid="{00000000-0010-0000-0000-000040080000}" name="Coluna2107"/>
    <tableColumn id="2113" xr3:uid="{00000000-0010-0000-0000-000041080000}" name="Coluna2108"/>
    <tableColumn id="2114" xr3:uid="{00000000-0010-0000-0000-000042080000}" name="Coluna2109"/>
    <tableColumn id="2115" xr3:uid="{00000000-0010-0000-0000-000043080000}" name="Coluna2110"/>
    <tableColumn id="2116" xr3:uid="{00000000-0010-0000-0000-000044080000}" name="Coluna2111"/>
    <tableColumn id="2117" xr3:uid="{00000000-0010-0000-0000-000045080000}" name="Coluna2112"/>
    <tableColumn id="2118" xr3:uid="{00000000-0010-0000-0000-000046080000}" name="Coluna2113"/>
    <tableColumn id="2119" xr3:uid="{00000000-0010-0000-0000-000047080000}" name="Coluna2114"/>
    <tableColumn id="2120" xr3:uid="{00000000-0010-0000-0000-000048080000}" name="Coluna2115"/>
    <tableColumn id="2121" xr3:uid="{00000000-0010-0000-0000-000049080000}" name="Coluna2116"/>
    <tableColumn id="2122" xr3:uid="{00000000-0010-0000-0000-00004A080000}" name="Coluna2117"/>
    <tableColumn id="2123" xr3:uid="{00000000-0010-0000-0000-00004B080000}" name="Coluna2118"/>
    <tableColumn id="2124" xr3:uid="{00000000-0010-0000-0000-00004C080000}" name="Coluna2119"/>
    <tableColumn id="2125" xr3:uid="{00000000-0010-0000-0000-00004D080000}" name="Coluna2120"/>
    <tableColumn id="2126" xr3:uid="{00000000-0010-0000-0000-00004E080000}" name="Coluna2121"/>
    <tableColumn id="2127" xr3:uid="{00000000-0010-0000-0000-00004F080000}" name="Coluna2122"/>
    <tableColumn id="2128" xr3:uid="{00000000-0010-0000-0000-000050080000}" name="Coluna2123"/>
    <tableColumn id="2129" xr3:uid="{00000000-0010-0000-0000-000051080000}" name="Coluna2124"/>
    <tableColumn id="2130" xr3:uid="{00000000-0010-0000-0000-000052080000}" name="Coluna2125"/>
    <tableColumn id="2131" xr3:uid="{00000000-0010-0000-0000-000053080000}" name="Coluna2126"/>
    <tableColumn id="2132" xr3:uid="{00000000-0010-0000-0000-000054080000}" name="Coluna2127"/>
    <tableColumn id="2133" xr3:uid="{00000000-0010-0000-0000-000055080000}" name="Coluna2128"/>
    <tableColumn id="2134" xr3:uid="{00000000-0010-0000-0000-000056080000}" name="Coluna2129"/>
    <tableColumn id="2135" xr3:uid="{00000000-0010-0000-0000-000057080000}" name="Coluna2130"/>
    <tableColumn id="2136" xr3:uid="{00000000-0010-0000-0000-000058080000}" name="Coluna2131"/>
    <tableColumn id="2137" xr3:uid="{00000000-0010-0000-0000-000059080000}" name="Coluna2132"/>
    <tableColumn id="2138" xr3:uid="{00000000-0010-0000-0000-00005A080000}" name="Coluna2133"/>
    <tableColumn id="2139" xr3:uid="{00000000-0010-0000-0000-00005B080000}" name="Coluna2134"/>
    <tableColumn id="2140" xr3:uid="{00000000-0010-0000-0000-00005C080000}" name="Coluna2135"/>
    <tableColumn id="2141" xr3:uid="{00000000-0010-0000-0000-00005D080000}" name="Coluna2136"/>
    <tableColumn id="2142" xr3:uid="{00000000-0010-0000-0000-00005E080000}" name="Coluna2137"/>
    <tableColumn id="2143" xr3:uid="{00000000-0010-0000-0000-00005F080000}" name="Coluna2138"/>
    <tableColumn id="2144" xr3:uid="{00000000-0010-0000-0000-000060080000}" name="Coluna2139"/>
    <tableColumn id="2145" xr3:uid="{00000000-0010-0000-0000-000061080000}" name="Coluna2140"/>
    <tableColumn id="2146" xr3:uid="{00000000-0010-0000-0000-000062080000}" name="Coluna2141"/>
    <tableColumn id="2147" xr3:uid="{00000000-0010-0000-0000-000063080000}" name="Coluna2142"/>
    <tableColumn id="2148" xr3:uid="{00000000-0010-0000-0000-000064080000}" name="Coluna2143"/>
    <tableColumn id="2149" xr3:uid="{00000000-0010-0000-0000-000065080000}" name="Coluna2144"/>
    <tableColumn id="2150" xr3:uid="{00000000-0010-0000-0000-000066080000}" name="Coluna2145"/>
    <tableColumn id="2151" xr3:uid="{00000000-0010-0000-0000-000067080000}" name="Coluna2146"/>
    <tableColumn id="2152" xr3:uid="{00000000-0010-0000-0000-000068080000}" name="Coluna2147"/>
    <tableColumn id="2153" xr3:uid="{00000000-0010-0000-0000-000069080000}" name="Coluna2148"/>
    <tableColumn id="2154" xr3:uid="{00000000-0010-0000-0000-00006A080000}" name="Coluna2149"/>
    <tableColumn id="2155" xr3:uid="{00000000-0010-0000-0000-00006B080000}" name="Coluna2150"/>
    <tableColumn id="2156" xr3:uid="{00000000-0010-0000-0000-00006C080000}" name="Coluna2151"/>
    <tableColumn id="2157" xr3:uid="{00000000-0010-0000-0000-00006D080000}" name="Coluna2152"/>
    <tableColumn id="2158" xr3:uid="{00000000-0010-0000-0000-00006E080000}" name="Coluna2153"/>
    <tableColumn id="2159" xr3:uid="{00000000-0010-0000-0000-00006F080000}" name="Coluna2154"/>
    <tableColumn id="2160" xr3:uid="{00000000-0010-0000-0000-000070080000}" name="Coluna2155"/>
    <tableColumn id="2161" xr3:uid="{00000000-0010-0000-0000-000071080000}" name="Coluna2156"/>
    <tableColumn id="2162" xr3:uid="{00000000-0010-0000-0000-000072080000}" name="Coluna2157"/>
    <tableColumn id="2163" xr3:uid="{00000000-0010-0000-0000-000073080000}" name="Coluna2158"/>
    <tableColumn id="2164" xr3:uid="{00000000-0010-0000-0000-000074080000}" name="Coluna2159"/>
    <tableColumn id="2165" xr3:uid="{00000000-0010-0000-0000-000075080000}" name="Coluna2160"/>
    <tableColumn id="2166" xr3:uid="{00000000-0010-0000-0000-000076080000}" name="Coluna2161"/>
    <tableColumn id="2167" xr3:uid="{00000000-0010-0000-0000-000077080000}" name="Coluna2162"/>
    <tableColumn id="2168" xr3:uid="{00000000-0010-0000-0000-000078080000}" name="Coluna2163"/>
    <tableColumn id="2169" xr3:uid="{00000000-0010-0000-0000-000079080000}" name="Coluna2164"/>
    <tableColumn id="2170" xr3:uid="{00000000-0010-0000-0000-00007A080000}" name="Coluna2165"/>
    <tableColumn id="2171" xr3:uid="{00000000-0010-0000-0000-00007B080000}" name="Coluna2166"/>
    <tableColumn id="2172" xr3:uid="{00000000-0010-0000-0000-00007C080000}" name="Coluna2167"/>
    <tableColumn id="2173" xr3:uid="{00000000-0010-0000-0000-00007D080000}" name="Coluna2168"/>
    <tableColumn id="2174" xr3:uid="{00000000-0010-0000-0000-00007E080000}" name="Coluna2169"/>
    <tableColumn id="2175" xr3:uid="{00000000-0010-0000-0000-00007F080000}" name="Coluna2170"/>
    <tableColumn id="2176" xr3:uid="{00000000-0010-0000-0000-000080080000}" name="Coluna2171"/>
    <tableColumn id="2177" xr3:uid="{00000000-0010-0000-0000-000081080000}" name="Coluna2172"/>
    <tableColumn id="2178" xr3:uid="{00000000-0010-0000-0000-000082080000}" name="Coluna2173"/>
    <tableColumn id="2179" xr3:uid="{00000000-0010-0000-0000-000083080000}" name="Coluna2174"/>
    <tableColumn id="2180" xr3:uid="{00000000-0010-0000-0000-000084080000}" name="Coluna2175"/>
    <tableColumn id="2181" xr3:uid="{00000000-0010-0000-0000-000085080000}" name="Coluna2176"/>
    <tableColumn id="2182" xr3:uid="{00000000-0010-0000-0000-000086080000}" name="Coluna2177"/>
    <tableColumn id="2183" xr3:uid="{00000000-0010-0000-0000-000087080000}" name="Coluna2178"/>
    <tableColumn id="2184" xr3:uid="{00000000-0010-0000-0000-000088080000}" name="Coluna2179"/>
    <tableColumn id="2185" xr3:uid="{00000000-0010-0000-0000-000089080000}" name="Coluna2180"/>
    <tableColumn id="2186" xr3:uid="{00000000-0010-0000-0000-00008A080000}" name="Coluna2181"/>
    <tableColumn id="2187" xr3:uid="{00000000-0010-0000-0000-00008B080000}" name="Coluna2182"/>
    <tableColumn id="2188" xr3:uid="{00000000-0010-0000-0000-00008C080000}" name="Coluna2183"/>
    <tableColumn id="2189" xr3:uid="{00000000-0010-0000-0000-00008D080000}" name="Coluna2184"/>
    <tableColumn id="2190" xr3:uid="{00000000-0010-0000-0000-00008E080000}" name="Coluna2185"/>
    <tableColumn id="2191" xr3:uid="{00000000-0010-0000-0000-00008F080000}" name="Coluna2186"/>
    <tableColumn id="2192" xr3:uid="{00000000-0010-0000-0000-000090080000}" name="Coluna2187"/>
    <tableColumn id="2193" xr3:uid="{00000000-0010-0000-0000-000091080000}" name="Coluna2188"/>
    <tableColumn id="2194" xr3:uid="{00000000-0010-0000-0000-000092080000}" name="Coluna2189"/>
    <tableColumn id="2195" xr3:uid="{00000000-0010-0000-0000-000093080000}" name="Coluna2190"/>
    <tableColumn id="2196" xr3:uid="{00000000-0010-0000-0000-000094080000}" name="Coluna2191"/>
    <tableColumn id="2197" xr3:uid="{00000000-0010-0000-0000-000095080000}" name="Coluna2192"/>
    <tableColumn id="2198" xr3:uid="{00000000-0010-0000-0000-000096080000}" name="Coluna2193"/>
    <tableColumn id="2199" xr3:uid="{00000000-0010-0000-0000-000097080000}" name="Coluna2194"/>
    <tableColumn id="2200" xr3:uid="{00000000-0010-0000-0000-000098080000}" name="Coluna2195"/>
    <tableColumn id="2201" xr3:uid="{00000000-0010-0000-0000-000099080000}" name="Coluna2196"/>
    <tableColumn id="2202" xr3:uid="{00000000-0010-0000-0000-00009A080000}" name="Coluna2197"/>
    <tableColumn id="2203" xr3:uid="{00000000-0010-0000-0000-00009B080000}" name="Coluna2198"/>
    <tableColumn id="2204" xr3:uid="{00000000-0010-0000-0000-00009C080000}" name="Coluna2199"/>
    <tableColumn id="2205" xr3:uid="{00000000-0010-0000-0000-00009D080000}" name="Coluna2200"/>
    <tableColumn id="2206" xr3:uid="{00000000-0010-0000-0000-00009E080000}" name="Coluna2201"/>
    <tableColumn id="2207" xr3:uid="{00000000-0010-0000-0000-00009F080000}" name="Coluna2202"/>
    <tableColumn id="2208" xr3:uid="{00000000-0010-0000-0000-0000A0080000}" name="Coluna2203"/>
    <tableColumn id="2209" xr3:uid="{00000000-0010-0000-0000-0000A1080000}" name="Coluna2204"/>
    <tableColumn id="2210" xr3:uid="{00000000-0010-0000-0000-0000A2080000}" name="Coluna2205"/>
    <tableColumn id="2211" xr3:uid="{00000000-0010-0000-0000-0000A3080000}" name="Coluna2206"/>
    <tableColumn id="2212" xr3:uid="{00000000-0010-0000-0000-0000A4080000}" name="Coluna2207"/>
    <tableColumn id="2213" xr3:uid="{00000000-0010-0000-0000-0000A5080000}" name="Coluna2208"/>
    <tableColumn id="2214" xr3:uid="{00000000-0010-0000-0000-0000A6080000}" name="Coluna2209"/>
    <tableColumn id="2215" xr3:uid="{00000000-0010-0000-0000-0000A7080000}" name="Coluna2210"/>
    <tableColumn id="2216" xr3:uid="{00000000-0010-0000-0000-0000A8080000}" name="Coluna2211"/>
    <tableColumn id="2217" xr3:uid="{00000000-0010-0000-0000-0000A9080000}" name="Coluna2212"/>
    <tableColumn id="2218" xr3:uid="{00000000-0010-0000-0000-0000AA080000}" name="Coluna2213"/>
    <tableColumn id="2219" xr3:uid="{00000000-0010-0000-0000-0000AB080000}" name="Coluna2214"/>
    <tableColumn id="2220" xr3:uid="{00000000-0010-0000-0000-0000AC080000}" name="Coluna2215"/>
    <tableColumn id="2221" xr3:uid="{00000000-0010-0000-0000-0000AD080000}" name="Coluna2216"/>
    <tableColumn id="2222" xr3:uid="{00000000-0010-0000-0000-0000AE080000}" name="Coluna2217"/>
    <tableColumn id="2223" xr3:uid="{00000000-0010-0000-0000-0000AF080000}" name="Coluna2218"/>
    <tableColumn id="2224" xr3:uid="{00000000-0010-0000-0000-0000B0080000}" name="Coluna2219"/>
    <tableColumn id="2225" xr3:uid="{00000000-0010-0000-0000-0000B1080000}" name="Coluna2220"/>
    <tableColumn id="2226" xr3:uid="{00000000-0010-0000-0000-0000B2080000}" name="Coluna2221"/>
    <tableColumn id="2227" xr3:uid="{00000000-0010-0000-0000-0000B3080000}" name="Coluna2222"/>
    <tableColumn id="2228" xr3:uid="{00000000-0010-0000-0000-0000B4080000}" name="Coluna2223"/>
    <tableColumn id="2229" xr3:uid="{00000000-0010-0000-0000-0000B5080000}" name="Coluna2224"/>
    <tableColumn id="2230" xr3:uid="{00000000-0010-0000-0000-0000B6080000}" name="Coluna2225"/>
    <tableColumn id="2231" xr3:uid="{00000000-0010-0000-0000-0000B7080000}" name="Coluna2226"/>
    <tableColumn id="2232" xr3:uid="{00000000-0010-0000-0000-0000B8080000}" name="Coluna2227"/>
    <tableColumn id="2233" xr3:uid="{00000000-0010-0000-0000-0000B9080000}" name="Coluna2228"/>
    <tableColumn id="2234" xr3:uid="{00000000-0010-0000-0000-0000BA080000}" name="Coluna2229"/>
    <tableColumn id="2235" xr3:uid="{00000000-0010-0000-0000-0000BB080000}" name="Coluna2230"/>
    <tableColumn id="2236" xr3:uid="{00000000-0010-0000-0000-0000BC080000}" name="Coluna2231"/>
    <tableColumn id="2237" xr3:uid="{00000000-0010-0000-0000-0000BD080000}" name="Coluna2232"/>
    <tableColumn id="2238" xr3:uid="{00000000-0010-0000-0000-0000BE080000}" name="Coluna2233"/>
    <tableColumn id="2239" xr3:uid="{00000000-0010-0000-0000-0000BF080000}" name="Coluna2234"/>
    <tableColumn id="2240" xr3:uid="{00000000-0010-0000-0000-0000C0080000}" name="Coluna2235"/>
    <tableColumn id="2241" xr3:uid="{00000000-0010-0000-0000-0000C1080000}" name="Coluna2236"/>
    <tableColumn id="2242" xr3:uid="{00000000-0010-0000-0000-0000C2080000}" name="Coluna2237"/>
    <tableColumn id="2243" xr3:uid="{00000000-0010-0000-0000-0000C3080000}" name="Coluna2238"/>
    <tableColumn id="2244" xr3:uid="{00000000-0010-0000-0000-0000C4080000}" name="Coluna2239"/>
    <tableColumn id="2245" xr3:uid="{00000000-0010-0000-0000-0000C5080000}" name="Coluna2240"/>
    <tableColumn id="2246" xr3:uid="{00000000-0010-0000-0000-0000C6080000}" name="Coluna2241"/>
    <tableColumn id="2247" xr3:uid="{00000000-0010-0000-0000-0000C7080000}" name="Coluna2242"/>
    <tableColumn id="2248" xr3:uid="{00000000-0010-0000-0000-0000C8080000}" name="Coluna2243"/>
    <tableColumn id="2249" xr3:uid="{00000000-0010-0000-0000-0000C9080000}" name="Coluna2244"/>
    <tableColumn id="2250" xr3:uid="{00000000-0010-0000-0000-0000CA080000}" name="Coluna2245"/>
    <tableColumn id="2251" xr3:uid="{00000000-0010-0000-0000-0000CB080000}" name="Coluna2246"/>
    <tableColumn id="2252" xr3:uid="{00000000-0010-0000-0000-0000CC080000}" name="Coluna2247"/>
    <tableColumn id="2253" xr3:uid="{00000000-0010-0000-0000-0000CD080000}" name="Coluna2248"/>
    <tableColumn id="2254" xr3:uid="{00000000-0010-0000-0000-0000CE080000}" name="Coluna2249"/>
    <tableColumn id="2255" xr3:uid="{00000000-0010-0000-0000-0000CF080000}" name="Coluna2250"/>
    <tableColumn id="2256" xr3:uid="{00000000-0010-0000-0000-0000D0080000}" name="Coluna2251"/>
    <tableColumn id="2257" xr3:uid="{00000000-0010-0000-0000-0000D1080000}" name="Coluna2252"/>
    <tableColumn id="2258" xr3:uid="{00000000-0010-0000-0000-0000D2080000}" name="Coluna2253"/>
    <tableColumn id="2259" xr3:uid="{00000000-0010-0000-0000-0000D3080000}" name="Coluna2254"/>
    <tableColumn id="2260" xr3:uid="{00000000-0010-0000-0000-0000D4080000}" name="Coluna2255"/>
    <tableColumn id="2261" xr3:uid="{00000000-0010-0000-0000-0000D5080000}" name="Coluna2256"/>
    <tableColumn id="2262" xr3:uid="{00000000-0010-0000-0000-0000D6080000}" name="Coluna2257"/>
    <tableColumn id="2263" xr3:uid="{00000000-0010-0000-0000-0000D7080000}" name="Coluna2258"/>
    <tableColumn id="2264" xr3:uid="{00000000-0010-0000-0000-0000D8080000}" name="Coluna2259"/>
    <tableColumn id="2265" xr3:uid="{00000000-0010-0000-0000-0000D9080000}" name="Coluna2260"/>
    <tableColumn id="2266" xr3:uid="{00000000-0010-0000-0000-0000DA080000}" name="Coluna2261"/>
    <tableColumn id="2267" xr3:uid="{00000000-0010-0000-0000-0000DB080000}" name="Coluna2262"/>
    <tableColumn id="2268" xr3:uid="{00000000-0010-0000-0000-0000DC080000}" name="Coluna2263"/>
    <tableColumn id="2269" xr3:uid="{00000000-0010-0000-0000-0000DD080000}" name="Coluna2264"/>
    <tableColumn id="2270" xr3:uid="{00000000-0010-0000-0000-0000DE080000}" name="Coluna2265"/>
    <tableColumn id="2271" xr3:uid="{00000000-0010-0000-0000-0000DF080000}" name="Coluna2266"/>
    <tableColumn id="2272" xr3:uid="{00000000-0010-0000-0000-0000E0080000}" name="Coluna2267"/>
    <tableColumn id="2273" xr3:uid="{00000000-0010-0000-0000-0000E1080000}" name="Coluna2268"/>
    <tableColumn id="2274" xr3:uid="{00000000-0010-0000-0000-0000E2080000}" name="Coluna2269"/>
    <tableColumn id="2275" xr3:uid="{00000000-0010-0000-0000-0000E3080000}" name="Coluna2270"/>
    <tableColumn id="2276" xr3:uid="{00000000-0010-0000-0000-0000E4080000}" name="Coluna2271"/>
    <tableColumn id="2277" xr3:uid="{00000000-0010-0000-0000-0000E5080000}" name="Coluna2272"/>
    <tableColumn id="2278" xr3:uid="{00000000-0010-0000-0000-0000E6080000}" name="Coluna2273"/>
    <tableColumn id="2279" xr3:uid="{00000000-0010-0000-0000-0000E7080000}" name="Coluna2274"/>
    <tableColumn id="2280" xr3:uid="{00000000-0010-0000-0000-0000E8080000}" name="Coluna2275"/>
    <tableColumn id="2281" xr3:uid="{00000000-0010-0000-0000-0000E9080000}" name="Coluna2276"/>
    <tableColumn id="2282" xr3:uid="{00000000-0010-0000-0000-0000EA080000}" name="Coluna2277"/>
    <tableColumn id="2283" xr3:uid="{00000000-0010-0000-0000-0000EB080000}" name="Coluna2278"/>
    <tableColumn id="2284" xr3:uid="{00000000-0010-0000-0000-0000EC080000}" name="Coluna2279"/>
    <tableColumn id="2285" xr3:uid="{00000000-0010-0000-0000-0000ED080000}" name="Coluna2280"/>
    <tableColumn id="2286" xr3:uid="{00000000-0010-0000-0000-0000EE080000}" name="Coluna2281"/>
    <tableColumn id="2287" xr3:uid="{00000000-0010-0000-0000-0000EF080000}" name="Coluna2282"/>
    <tableColumn id="2288" xr3:uid="{00000000-0010-0000-0000-0000F0080000}" name="Coluna2283"/>
    <tableColumn id="2289" xr3:uid="{00000000-0010-0000-0000-0000F1080000}" name="Coluna2284"/>
    <tableColumn id="2290" xr3:uid="{00000000-0010-0000-0000-0000F2080000}" name="Coluna2285"/>
    <tableColumn id="2291" xr3:uid="{00000000-0010-0000-0000-0000F3080000}" name="Coluna2286"/>
    <tableColumn id="2292" xr3:uid="{00000000-0010-0000-0000-0000F4080000}" name="Coluna2287"/>
    <tableColumn id="2293" xr3:uid="{00000000-0010-0000-0000-0000F5080000}" name="Coluna2288"/>
    <tableColumn id="2294" xr3:uid="{00000000-0010-0000-0000-0000F6080000}" name="Coluna2289"/>
    <tableColumn id="2295" xr3:uid="{00000000-0010-0000-0000-0000F7080000}" name="Coluna2290"/>
    <tableColumn id="2296" xr3:uid="{00000000-0010-0000-0000-0000F8080000}" name="Coluna2291"/>
    <tableColumn id="2297" xr3:uid="{00000000-0010-0000-0000-0000F9080000}" name="Coluna2292"/>
    <tableColumn id="2298" xr3:uid="{00000000-0010-0000-0000-0000FA080000}" name="Coluna2293"/>
    <tableColumn id="2299" xr3:uid="{00000000-0010-0000-0000-0000FB080000}" name="Coluna2294"/>
    <tableColumn id="2300" xr3:uid="{00000000-0010-0000-0000-0000FC080000}" name="Coluna2295"/>
    <tableColumn id="2301" xr3:uid="{00000000-0010-0000-0000-0000FD080000}" name="Coluna2296"/>
    <tableColumn id="2302" xr3:uid="{00000000-0010-0000-0000-0000FE080000}" name="Coluna2297"/>
    <tableColumn id="2303" xr3:uid="{00000000-0010-0000-0000-0000FF080000}" name="Coluna2298"/>
    <tableColumn id="2304" xr3:uid="{00000000-0010-0000-0000-000000090000}" name="Coluna2299"/>
    <tableColumn id="2305" xr3:uid="{00000000-0010-0000-0000-000001090000}" name="Coluna2300"/>
    <tableColumn id="2306" xr3:uid="{00000000-0010-0000-0000-000002090000}" name="Coluna2301"/>
    <tableColumn id="2307" xr3:uid="{00000000-0010-0000-0000-000003090000}" name="Coluna2302"/>
    <tableColumn id="2308" xr3:uid="{00000000-0010-0000-0000-000004090000}" name="Coluna2303"/>
    <tableColumn id="2309" xr3:uid="{00000000-0010-0000-0000-000005090000}" name="Coluna2304"/>
    <tableColumn id="2310" xr3:uid="{00000000-0010-0000-0000-000006090000}" name="Coluna2305"/>
    <tableColumn id="2311" xr3:uid="{00000000-0010-0000-0000-000007090000}" name="Coluna2306"/>
    <tableColumn id="2312" xr3:uid="{00000000-0010-0000-0000-000008090000}" name="Coluna2307"/>
    <tableColumn id="2313" xr3:uid="{00000000-0010-0000-0000-000009090000}" name="Coluna2308"/>
    <tableColumn id="2314" xr3:uid="{00000000-0010-0000-0000-00000A090000}" name="Coluna2309"/>
    <tableColumn id="2315" xr3:uid="{00000000-0010-0000-0000-00000B090000}" name="Coluna2310"/>
    <tableColumn id="2316" xr3:uid="{00000000-0010-0000-0000-00000C090000}" name="Coluna2311"/>
    <tableColumn id="2317" xr3:uid="{00000000-0010-0000-0000-00000D090000}" name="Coluna2312"/>
    <tableColumn id="2318" xr3:uid="{00000000-0010-0000-0000-00000E090000}" name="Coluna2313"/>
    <tableColumn id="2319" xr3:uid="{00000000-0010-0000-0000-00000F090000}" name="Coluna2314"/>
    <tableColumn id="2320" xr3:uid="{00000000-0010-0000-0000-000010090000}" name="Coluna2315"/>
    <tableColumn id="2321" xr3:uid="{00000000-0010-0000-0000-000011090000}" name="Coluna2316"/>
    <tableColumn id="2322" xr3:uid="{00000000-0010-0000-0000-000012090000}" name="Coluna2317"/>
    <tableColumn id="2323" xr3:uid="{00000000-0010-0000-0000-000013090000}" name="Coluna2318"/>
    <tableColumn id="2324" xr3:uid="{00000000-0010-0000-0000-000014090000}" name="Coluna2319"/>
    <tableColumn id="2325" xr3:uid="{00000000-0010-0000-0000-000015090000}" name="Coluna2320"/>
    <tableColumn id="2326" xr3:uid="{00000000-0010-0000-0000-000016090000}" name="Coluna2321"/>
    <tableColumn id="2327" xr3:uid="{00000000-0010-0000-0000-000017090000}" name="Coluna2322"/>
    <tableColumn id="2328" xr3:uid="{00000000-0010-0000-0000-000018090000}" name="Coluna2323"/>
    <tableColumn id="2329" xr3:uid="{00000000-0010-0000-0000-000019090000}" name="Coluna2324"/>
    <tableColumn id="2330" xr3:uid="{00000000-0010-0000-0000-00001A090000}" name="Coluna2325"/>
    <tableColumn id="2331" xr3:uid="{00000000-0010-0000-0000-00001B090000}" name="Coluna2326"/>
    <tableColumn id="2332" xr3:uid="{00000000-0010-0000-0000-00001C090000}" name="Coluna2327"/>
    <tableColumn id="2333" xr3:uid="{00000000-0010-0000-0000-00001D090000}" name="Coluna2328"/>
    <tableColumn id="2334" xr3:uid="{00000000-0010-0000-0000-00001E090000}" name="Coluna2329"/>
    <tableColumn id="2335" xr3:uid="{00000000-0010-0000-0000-00001F090000}" name="Coluna2330"/>
    <tableColumn id="2336" xr3:uid="{00000000-0010-0000-0000-000020090000}" name="Coluna2331"/>
    <tableColumn id="2337" xr3:uid="{00000000-0010-0000-0000-000021090000}" name="Coluna2332"/>
    <tableColumn id="2338" xr3:uid="{00000000-0010-0000-0000-000022090000}" name="Coluna2333"/>
    <tableColumn id="2339" xr3:uid="{00000000-0010-0000-0000-000023090000}" name="Coluna2334"/>
    <tableColumn id="2340" xr3:uid="{00000000-0010-0000-0000-000024090000}" name="Coluna2335"/>
    <tableColumn id="2341" xr3:uid="{00000000-0010-0000-0000-000025090000}" name="Coluna2336"/>
    <tableColumn id="2342" xr3:uid="{00000000-0010-0000-0000-000026090000}" name="Coluna2337"/>
    <tableColumn id="2343" xr3:uid="{00000000-0010-0000-0000-000027090000}" name="Coluna2338"/>
    <tableColumn id="2344" xr3:uid="{00000000-0010-0000-0000-000028090000}" name="Coluna2339"/>
    <tableColumn id="2345" xr3:uid="{00000000-0010-0000-0000-000029090000}" name="Coluna2340"/>
    <tableColumn id="2346" xr3:uid="{00000000-0010-0000-0000-00002A090000}" name="Coluna2341"/>
    <tableColumn id="2347" xr3:uid="{00000000-0010-0000-0000-00002B090000}" name="Coluna2342"/>
    <tableColumn id="2348" xr3:uid="{00000000-0010-0000-0000-00002C090000}" name="Coluna2343"/>
    <tableColumn id="2349" xr3:uid="{00000000-0010-0000-0000-00002D090000}" name="Coluna2344"/>
    <tableColumn id="2350" xr3:uid="{00000000-0010-0000-0000-00002E090000}" name="Coluna2345"/>
    <tableColumn id="2351" xr3:uid="{00000000-0010-0000-0000-00002F090000}" name="Coluna2346"/>
    <tableColumn id="2352" xr3:uid="{00000000-0010-0000-0000-000030090000}" name="Coluna2347"/>
    <tableColumn id="2353" xr3:uid="{00000000-0010-0000-0000-000031090000}" name="Coluna2348"/>
    <tableColumn id="2354" xr3:uid="{00000000-0010-0000-0000-000032090000}" name="Coluna2349"/>
    <tableColumn id="2355" xr3:uid="{00000000-0010-0000-0000-000033090000}" name="Coluna2350"/>
    <tableColumn id="2356" xr3:uid="{00000000-0010-0000-0000-000034090000}" name="Coluna2351"/>
    <tableColumn id="2357" xr3:uid="{00000000-0010-0000-0000-000035090000}" name="Coluna2352"/>
    <tableColumn id="2358" xr3:uid="{00000000-0010-0000-0000-000036090000}" name="Coluna2353"/>
    <tableColumn id="2359" xr3:uid="{00000000-0010-0000-0000-000037090000}" name="Coluna2354"/>
    <tableColumn id="2360" xr3:uid="{00000000-0010-0000-0000-000038090000}" name="Coluna2355"/>
    <tableColumn id="2361" xr3:uid="{00000000-0010-0000-0000-000039090000}" name="Coluna2356"/>
    <tableColumn id="2362" xr3:uid="{00000000-0010-0000-0000-00003A090000}" name="Coluna2357"/>
    <tableColumn id="2363" xr3:uid="{00000000-0010-0000-0000-00003B090000}" name="Coluna2358"/>
    <tableColumn id="2364" xr3:uid="{00000000-0010-0000-0000-00003C090000}" name="Coluna2359"/>
    <tableColumn id="2365" xr3:uid="{00000000-0010-0000-0000-00003D090000}" name="Coluna2360"/>
    <tableColumn id="2366" xr3:uid="{00000000-0010-0000-0000-00003E090000}" name="Coluna2361"/>
    <tableColumn id="2367" xr3:uid="{00000000-0010-0000-0000-00003F090000}" name="Coluna2362"/>
    <tableColumn id="2368" xr3:uid="{00000000-0010-0000-0000-000040090000}" name="Coluna2363"/>
    <tableColumn id="2369" xr3:uid="{00000000-0010-0000-0000-000041090000}" name="Coluna2364"/>
    <tableColumn id="2370" xr3:uid="{00000000-0010-0000-0000-000042090000}" name="Coluna2365"/>
    <tableColumn id="2371" xr3:uid="{00000000-0010-0000-0000-000043090000}" name="Coluna2366"/>
    <tableColumn id="2372" xr3:uid="{00000000-0010-0000-0000-000044090000}" name="Coluna2367"/>
    <tableColumn id="2373" xr3:uid="{00000000-0010-0000-0000-000045090000}" name="Coluna2368"/>
    <tableColumn id="2374" xr3:uid="{00000000-0010-0000-0000-000046090000}" name="Coluna2369"/>
    <tableColumn id="2375" xr3:uid="{00000000-0010-0000-0000-000047090000}" name="Coluna2370"/>
    <tableColumn id="2376" xr3:uid="{00000000-0010-0000-0000-000048090000}" name="Coluna2371"/>
    <tableColumn id="2377" xr3:uid="{00000000-0010-0000-0000-000049090000}" name="Coluna2372"/>
    <tableColumn id="2378" xr3:uid="{00000000-0010-0000-0000-00004A090000}" name="Coluna2373"/>
    <tableColumn id="2379" xr3:uid="{00000000-0010-0000-0000-00004B090000}" name="Coluna2374"/>
    <tableColumn id="2380" xr3:uid="{00000000-0010-0000-0000-00004C090000}" name="Coluna2375"/>
    <tableColumn id="2381" xr3:uid="{00000000-0010-0000-0000-00004D090000}" name="Coluna2376"/>
    <tableColumn id="2382" xr3:uid="{00000000-0010-0000-0000-00004E090000}" name="Coluna2377"/>
    <tableColumn id="2383" xr3:uid="{00000000-0010-0000-0000-00004F090000}" name="Coluna2378"/>
    <tableColumn id="2384" xr3:uid="{00000000-0010-0000-0000-000050090000}" name="Coluna2379"/>
    <tableColumn id="2385" xr3:uid="{00000000-0010-0000-0000-000051090000}" name="Coluna2380"/>
    <tableColumn id="2386" xr3:uid="{00000000-0010-0000-0000-000052090000}" name="Coluna2381"/>
    <tableColumn id="2387" xr3:uid="{00000000-0010-0000-0000-000053090000}" name="Coluna2382"/>
    <tableColumn id="2388" xr3:uid="{00000000-0010-0000-0000-000054090000}" name="Coluna2383"/>
    <tableColumn id="2389" xr3:uid="{00000000-0010-0000-0000-000055090000}" name="Coluna2384"/>
    <tableColumn id="2390" xr3:uid="{00000000-0010-0000-0000-000056090000}" name="Coluna2385"/>
    <tableColumn id="2391" xr3:uid="{00000000-0010-0000-0000-000057090000}" name="Coluna2386"/>
    <tableColumn id="2392" xr3:uid="{00000000-0010-0000-0000-000058090000}" name="Coluna2387"/>
    <tableColumn id="2393" xr3:uid="{00000000-0010-0000-0000-000059090000}" name="Coluna2388"/>
    <tableColumn id="2394" xr3:uid="{00000000-0010-0000-0000-00005A090000}" name="Coluna2389"/>
    <tableColumn id="2395" xr3:uid="{00000000-0010-0000-0000-00005B090000}" name="Coluna2390"/>
    <tableColumn id="2396" xr3:uid="{00000000-0010-0000-0000-00005C090000}" name="Coluna2391"/>
    <tableColumn id="2397" xr3:uid="{00000000-0010-0000-0000-00005D090000}" name="Coluna2392"/>
    <tableColumn id="2398" xr3:uid="{00000000-0010-0000-0000-00005E090000}" name="Coluna2393"/>
    <tableColumn id="2399" xr3:uid="{00000000-0010-0000-0000-00005F090000}" name="Coluna2394"/>
    <tableColumn id="2400" xr3:uid="{00000000-0010-0000-0000-000060090000}" name="Coluna2395"/>
    <tableColumn id="2401" xr3:uid="{00000000-0010-0000-0000-000061090000}" name="Coluna2396"/>
    <tableColumn id="2402" xr3:uid="{00000000-0010-0000-0000-000062090000}" name="Coluna2397"/>
    <tableColumn id="2403" xr3:uid="{00000000-0010-0000-0000-000063090000}" name="Coluna2398"/>
    <tableColumn id="2404" xr3:uid="{00000000-0010-0000-0000-000064090000}" name="Coluna2399"/>
    <tableColumn id="2405" xr3:uid="{00000000-0010-0000-0000-000065090000}" name="Coluna2400"/>
    <tableColumn id="2406" xr3:uid="{00000000-0010-0000-0000-000066090000}" name="Coluna2401"/>
    <tableColumn id="2407" xr3:uid="{00000000-0010-0000-0000-000067090000}" name="Coluna2402"/>
    <tableColumn id="2408" xr3:uid="{00000000-0010-0000-0000-000068090000}" name="Coluna2403"/>
    <tableColumn id="2409" xr3:uid="{00000000-0010-0000-0000-000069090000}" name="Coluna2404"/>
    <tableColumn id="2410" xr3:uid="{00000000-0010-0000-0000-00006A090000}" name="Coluna2405"/>
    <tableColumn id="2411" xr3:uid="{00000000-0010-0000-0000-00006B090000}" name="Coluna2406"/>
    <tableColumn id="2412" xr3:uid="{00000000-0010-0000-0000-00006C090000}" name="Coluna2407"/>
    <tableColumn id="2413" xr3:uid="{00000000-0010-0000-0000-00006D090000}" name="Coluna2408"/>
    <tableColumn id="2414" xr3:uid="{00000000-0010-0000-0000-00006E090000}" name="Coluna2409"/>
    <tableColumn id="2415" xr3:uid="{00000000-0010-0000-0000-00006F090000}" name="Coluna2410"/>
    <tableColumn id="2416" xr3:uid="{00000000-0010-0000-0000-000070090000}" name="Coluna2411"/>
    <tableColumn id="2417" xr3:uid="{00000000-0010-0000-0000-000071090000}" name="Coluna2412"/>
    <tableColumn id="2418" xr3:uid="{00000000-0010-0000-0000-000072090000}" name="Coluna2413"/>
    <tableColumn id="2419" xr3:uid="{00000000-0010-0000-0000-000073090000}" name="Coluna2414"/>
    <tableColumn id="2420" xr3:uid="{00000000-0010-0000-0000-000074090000}" name="Coluna2415"/>
    <tableColumn id="2421" xr3:uid="{00000000-0010-0000-0000-000075090000}" name="Coluna2416"/>
    <tableColumn id="2422" xr3:uid="{00000000-0010-0000-0000-000076090000}" name="Coluna2417"/>
    <tableColumn id="2423" xr3:uid="{00000000-0010-0000-0000-000077090000}" name="Coluna2418"/>
    <tableColumn id="2424" xr3:uid="{00000000-0010-0000-0000-000078090000}" name="Coluna2419"/>
    <tableColumn id="2425" xr3:uid="{00000000-0010-0000-0000-000079090000}" name="Coluna2420"/>
    <tableColumn id="2426" xr3:uid="{00000000-0010-0000-0000-00007A090000}" name="Coluna2421"/>
    <tableColumn id="2427" xr3:uid="{00000000-0010-0000-0000-00007B090000}" name="Coluna2422"/>
    <tableColumn id="2428" xr3:uid="{00000000-0010-0000-0000-00007C090000}" name="Coluna2423"/>
    <tableColumn id="2429" xr3:uid="{00000000-0010-0000-0000-00007D090000}" name="Coluna2424"/>
    <tableColumn id="2430" xr3:uid="{00000000-0010-0000-0000-00007E090000}" name="Coluna2425"/>
    <tableColumn id="2431" xr3:uid="{00000000-0010-0000-0000-00007F090000}" name="Coluna2426"/>
    <tableColumn id="2432" xr3:uid="{00000000-0010-0000-0000-000080090000}" name="Coluna2427"/>
    <tableColumn id="2433" xr3:uid="{00000000-0010-0000-0000-000081090000}" name="Coluna2428"/>
    <tableColumn id="2434" xr3:uid="{00000000-0010-0000-0000-000082090000}" name="Coluna2429"/>
    <tableColumn id="2435" xr3:uid="{00000000-0010-0000-0000-000083090000}" name="Coluna2430"/>
    <tableColumn id="2436" xr3:uid="{00000000-0010-0000-0000-000084090000}" name="Coluna2431"/>
    <tableColumn id="2437" xr3:uid="{00000000-0010-0000-0000-000085090000}" name="Coluna2432"/>
    <tableColumn id="2438" xr3:uid="{00000000-0010-0000-0000-000086090000}" name="Coluna2433"/>
    <tableColumn id="2439" xr3:uid="{00000000-0010-0000-0000-000087090000}" name="Coluna2434"/>
    <tableColumn id="2440" xr3:uid="{00000000-0010-0000-0000-000088090000}" name="Coluna2435"/>
    <tableColumn id="2441" xr3:uid="{00000000-0010-0000-0000-000089090000}" name="Coluna2436"/>
    <tableColumn id="2442" xr3:uid="{00000000-0010-0000-0000-00008A090000}" name="Coluna2437"/>
    <tableColumn id="2443" xr3:uid="{00000000-0010-0000-0000-00008B090000}" name="Coluna2438"/>
    <tableColumn id="2444" xr3:uid="{00000000-0010-0000-0000-00008C090000}" name="Coluna2439"/>
    <tableColumn id="2445" xr3:uid="{00000000-0010-0000-0000-00008D090000}" name="Coluna2440"/>
    <tableColumn id="2446" xr3:uid="{00000000-0010-0000-0000-00008E090000}" name="Coluna2441"/>
    <tableColumn id="2447" xr3:uid="{00000000-0010-0000-0000-00008F090000}" name="Coluna2442"/>
    <tableColumn id="2448" xr3:uid="{00000000-0010-0000-0000-000090090000}" name="Coluna2443"/>
    <tableColumn id="2449" xr3:uid="{00000000-0010-0000-0000-000091090000}" name="Coluna2444"/>
    <tableColumn id="2450" xr3:uid="{00000000-0010-0000-0000-000092090000}" name="Coluna2445"/>
    <tableColumn id="2451" xr3:uid="{00000000-0010-0000-0000-000093090000}" name="Coluna2446"/>
    <tableColumn id="2452" xr3:uid="{00000000-0010-0000-0000-000094090000}" name="Coluna2447"/>
    <tableColumn id="2453" xr3:uid="{00000000-0010-0000-0000-000095090000}" name="Coluna2448"/>
    <tableColumn id="2454" xr3:uid="{00000000-0010-0000-0000-000096090000}" name="Coluna2449"/>
    <tableColumn id="2455" xr3:uid="{00000000-0010-0000-0000-000097090000}" name="Coluna2450"/>
    <tableColumn id="2456" xr3:uid="{00000000-0010-0000-0000-000098090000}" name="Coluna2451"/>
    <tableColumn id="2457" xr3:uid="{00000000-0010-0000-0000-000099090000}" name="Coluna2452"/>
    <tableColumn id="2458" xr3:uid="{00000000-0010-0000-0000-00009A090000}" name="Coluna2453"/>
    <tableColumn id="2459" xr3:uid="{00000000-0010-0000-0000-00009B090000}" name="Coluna2454"/>
    <tableColumn id="2460" xr3:uid="{00000000-0010-0000-0000-00009C090000}" name="Coluna2455"/>
    <tableColumn id="2461" xr3:uid="{00000000-0010-0000-0000-00009D090000}" name="Coluna2456"/>
    <tableColumn id="2462" xr3:uid="{00000000-0010-0000-0000-00009E090000}" name="Coluna2457"/>
    <tableColumn id="2463" xr3:uid="{00000000-0010-0000-0000-00009F090000}" name="Coluna2458"/>
    <tableColumn id="2464" xr3:uid="{00000000-0010-0000-0000-0000A0090000}" name="Coluna2459"/>
    <tableColumn id="2465" xr3:uid="{00000000-0010-0000-0000-0000A1090000}" name="Coluna2460"/>
    <tableColumn id="2466" xr3:uid="{00000000-0010-0000-0000-0000A2090000}" name="Coluna2461"/>
    <tableColumn id="2467" xr3:uid="{00000000-0010-0000-0000-0000A3090000}" name="Coluna2462"/>
    <tableColumn id="2468" xr3:uid="{00000000-0010-0000-0000-0000A4090000}" name="Coluna2463"/>
    <tableColumn id="2469" xr3:uid="{00000000-0010-0000-0000-0000A5090000}" name="Coluna2464"/>
    <tableColumn id="2470" xr3:uid="{00000000-0010-0000-0000-0000A6090000}" name="Coluna2465"/>
    <tableColumn id="2471" xr3:uid="{00000000-0010-0000-0000-0000A7090000}" name="Coluna2466"/>
    <tableColumn id="2472" xr3:uid="{00000000-0010-0000-0000-0000A8090000}" name="Coluna2467"/>
    <tableColumn id="2473" xr3:uid="{00000000-0010-0000-0000-0000A9090000}" name="Coluna2468"/>
    <tableColumn id="2474" xr3:uid="{00000000-0010-0000-0000-0000AA090000}" name="Coluna2469"/>
    <tableColumn id="2475" xr3:uid="{00000000-0010-0000-0000-0000AB090000}" name="Coluna2470"/>
    <tableColumn id="2476" xr3:uid="{00000000-0010-0000-0000-0000AC090000}" name="Coluna2471"/>
    <tableColumn id="2477" xr3:uid="{00000000-0010-0000-0000-0000AD090000}" name="Coluna2472"/>
    <tableColumn id="2478" xr3:uid="{00000000-0010-0000-0000-0000AE090000}" name="Coluna2473"/>
    <tableColumn id="2479" xr3:uid="{00000000-0010-0000-0000-0000AF090000}" name="Coluna2474"/>
    <tableColumn id="2480" xr3:uid="{00000000-0010-0000-0000-0000B0090000}" name="Coluna2475"/>
    <tableColumn id="2481" xr3:uid="{00000000-0010-0000-0000-0000B1090000}" name="Coluna2476"/>
    <tableColumn id="2482" xr3:uid="{00000000-0010-0000-0000-0000B2090000}" name="Coluna2477"/>
    <tableColumn id="2483" xr3:uid="{00000000-0010-0000-0000-0000B3090000}" name="Coluna2478"/>
    <tableColumn id="2484" xr3:uid="{00000000-0010-0000-0000-0000B4090000}" name="Coluna2479"/>
    <tableColumn id="2485" xr3:uid="{00000000-0010-0000-0000-0000B5090000}" name="Coluna2480"/>
    <tableColumn id="2486" xr3:uid="{00000000-0010-0000-0000-0000B6090000}" name="Coluna2481"/>
    <tableColumn id="2487" xr3:uid="{00000000-0010-0000-0000-0000B7090000}" name="Coluna2482"/>
    <tableColumn id="2488" xr3:uid="{00000000-0010-0000-0000-0000B8090000}" name="Coluna2483"/>
    <tableColumn id="2489" xr3:uid="{00000000-0010-0000-0000-0000B9090000}" name="Coluna2484"/>
    <tableColumn id="2490" xr3:uid="{00000000-0010-0000-0000-0000BA090000}" name="Coluna2485"/>
    <tableColumn id="2491" xr3:uid="{00000000-0010-0000-0000-0000BB090000}" name="Coluna2486"/>
    <tableColumn id="2492" xr3:uid="{00000000-0010-0000-0000-0000BC090000}" name="Coluna2487"/>
    <tableColumn id="2493" xr3:uid="{00000000-0010-0000-0000-0000BD090000}" name="Coluna2488"/>
    <tableColumn id="2494" xr3:uid="{00000000-0010-0000-0000-0000BE090000}" name="Coluna2489"/>
    <tableColumn id="2495" xr3:uid="{00000000-0010-0000-0000-0000BF090000}" name="Coluna2490"/>
    <tableColumn id="2496" xr3:uid="{00000000-0010-0000-0000-0000C0090000}" name="Coluna2491"/>
    <tableColumn id="2497" xr3:uid="{00000000-0010-0000-0000-0000C1090000}" name="Coluna2492"/>
    <tableColumn id="2498" xr3:uid="{00000000-0010-0000-0000-0000C2090000}" name="Coluna2493"/>
    <tableColumn id="2499" xr3:uid="{00000000-0010-0000-0000-0000C3090000}" name="Coluna2494"/>
    <tableColumn id="2500" xr3:uid="{00000000-0010-0000-0000-0000C4090000}" name="Coluna2495"/>
    <tableColumn id="2501" xr3:uid="{00000000-0010-0000-0000-0000C5090000}" name="Coluna2496"/>
    <tableColumn id="2502" xr3:uid="{00000000-0010-0000-0000-0000C6090000}" name="Coluna2497"/>
    <tableColumn id="2503" xr3:uid="{00000000-0010-0000-0000-0000C7090000}" name="Coluna2498"/>
    <tableColumn id="2504" xr3:uid="{00000000-0010-0000-0000-0000C8090000}" name="Coluna2499"/>
    <tableColumn id="2505" xr3:uid="{00000000-0010-0000-0000-0000C9090000}" name="Coluna2500"/>
    <tableColumn id="2506" xr3:uid="{00000000-0010-0000-0000-0000CA090000}" name="Coluna2501"/>
    <tableColumn id="2507" xr3:uid="{00000000-0010-0000-0000-0000CB090000}" name="Coluna2502"/>
    <tableColumn id="2508" xr3:uid="{00000000-0010-0000-0000-0000CC090000}" name="Coluna2503"/>
    <tableColumn id="2509" xr3:uid="{00000000-0010-0000-0000-0000CD090000}" name="Coluna2504"/>
    <tableColumn id="2510" xr3:uid="{00000000-0010-0000-0000-0000CE090000}" name="Coluna2505"/>
    <tableColumn id="2511" xr3:uid="{00000000-0010-0000-0000-0000CF090000}" name="Coluna2506"/>
    <tableColumn id="2512" xr3:uid="{00000000-0010-0000-0000-0000D0090000}" name="Coluna2507"/>
    <tableColumn id="2513" xr3:uid="{00000000-0010-0000-0000-0000D1090000}" name="Coluna2508"/>
    <tableColumn id="2514" xr3:uid="{00000000-0010-0000-0000-0000D2090000}" name="Coluna2509"/>
    <tableColumn id="2515" xr3:uid="{00000000-0010-0000-0000-0000D3090000}" name="Coluna2510"/>
    <tableColumn id="2516" xr3:uid="{00000000-0010-0000-0000-0000D4090000}" name="Coluna2511"/>
    <tableColumn id="2517" xr3:uid="{00000000-0010-0000-0000-0000D5090000}" name="Coluna2512"/>
    <tableColumn id="2518" xr3:uid="{00000000-0010-0000-0000-0000D6090000}" name="Coluna2513"/>
    <tableColumn id="2519" xr3:uid="{00000000-0010-0000-0000-0000D7090000}" name="Coluna2514"/>
    <tableColumn id="2520" xr3:uid="{00000000-0010-0000-0000-0000D8090000}" name="Coluna2515"/>
    <tableColumn id="2521" xr3:uid="{00000000-0010-0000-0000-0000D9090000}" name="Coluna2516"/>
    <tableColumn id="2522" xr3:uid="{00000000-0010-0000-0000-0000DA090000}" name="Coluna2517"/>
    <tableColumn id="2523" xr3:uid="{00000000-0010-0000-0000-0000DB090000}" name="Coluna2518"/>
    <tableColumn id="2524" xr3:uid="{00000000-0010-0000-0000-0000DC090000}" name="Coluna2519"/>
    <tableColumn id="2525" xr3:uid="{00000000-0010-0000-0000-0000DD090000}" name="Coluna2520"/>
    <tableColumn id="2526" xr3:uid="{00000000-0010-0000-0000-0000DE090000}" name="Coluna2521"/>
    <tableColumn id="2527" xr3:uid="{00000000-0010-0000-0000-0000DF090000}" name="Coluna2522"/>
    <tableColumn id="2528" xr3:uid="{00000000-0010-0000-0000-0000E0090000}" name="Coluna2523"/>
    <tableColumn id="2529" xr3:uid="{00000000-0010-0000-0000-0000E1090000}" name="Coluna2524"/>
    <tableColumn id="2530" xr3:uid="{00000000-0010-0000-0000-0000E2090000}" name="Coluna2525"/>
    <tableColumn id="2531" xr3:uid="{00000000-0010-0000-0000-0000E3090000}" name="Coluna2526"/>
    <tableColumn id="2532" xr3:uid="{00000000-0010-0000-0000-0000E4090000}" name="Coluna2527"/>
    <tableColumn id="2533" xr3:uid="{00000000-0010-0000-0000-0000E5090000}" name="Coluna2528"/>
    <tableColumn id="2534" xr3:uid="{00000000-0010-0000-0000-0000E6090000}" name="Coluna2529"/>
    <tableColumn id="2535" xr3:uid="{00000000-0010-0000-0000-0000E7090000}" name="Coluna2530"/>
    <tableColumn id="2536" xr3:uid="{00000000-0010-0000-0000-0000E8090000}" name="Coluna2531"/>
    <tableColumn id="2537" xr3:uid="{00000000-0010-0000-0000-0000E9090000}" name="Coluna2532"/>
    <tableColumn id="2538" xr3:uid="{00000000-0010-0000-0000-0000EA090000}" name="Coluna2533"/>
    <tableColumn id="2539" xr3:uid="{00000000-0010-0000-0000-0000EB090000}" name="Coluna2534"/>
    <tableColumn id="2540" xr3:uid="{00000000-0010-0000-0000-0000EC090000}" name="Coluna2535"/>
    <tableColumn id="2541" xr3:uid="{00000000-0010-0000-0000-0000ED090000}" name="Coluna2536"/>
    <tableColumn id="2542" xr3:uid="{00000000-0010-0000-0000-0000EE090000}" name="Coluna2537"/>
    <tableColumn id="2543" xr3:uid="{00000000-0010-0000-0000-0000EF090000}" name="Coluna2538"/>
    <tableColumn id="2544" xr3:uid="{00000000-0010-0000-0000-0000F0090000}" name="Coluna2539"/>
    <tableColumn id="2545" xr3:uid="{00000000-0010-0000-0000-0000F1090000}" name="Coluna2540"/>
    <tableColumn id="2546" xr3:uid="{00000000-0010-0000-0000-0000F2090000}" name="Coluna2541"/>
    <tableColumn id="2547" xr3:uid="{00000000-0010-0000-0000-0000F3090000}" name="Coluna2542"/>
    <tableColumn id="2548" xr3:uid="{00000000-0010-0000-0000-0000F4090000}" name="Coluna2543"/>
    <tableColumn id="2549" xr3:uid="{00000000-0010-0000-0000-0000F5090000}" name="Coluna2544"/>
    <tableColumn id="2550" xr3:uid="{00000000-0010-0000-0000-0000F6090000}" name="Coluna2545"/>
    <tableColumn id="2551" xr3:uid="{00000000-0010-0000-0000-0000F7090000}" name="Coluna2546"/>
    <tableColumn id="2552" xr3:uid="{00000000-0010-0000-0000-0000F8090000}" name="Coluna2547"/>
    <tableColumn id="2553" xr3:uid="{00000000-0010-0000-0000-0000F9090000}" name="Coluna2548"/>
    <tableColumn id="2554" xr3:uid="{00000000-0010-0000-0000-0000FA090000}" name="Coluna2549"/>
    <tableColumn id="2555" xr3:uid="{00000000-0010-0000-0000-0000FB090000}" name="Coluna2550"/>
    <tableColumn id="2556" xr3:uid="{00000000-0010-0000-0000-0000FC090000}" name="Coluna2551"/>
    <tableColumn id="2557" xr3:uid="{00000000-0010-0000-0000-0000FD090000}" name="Coluna2552"/>
    <tableColumn id="2558" xr3:uid="{00000000-0010-0000-0000-0000FE090000}" name="Coluna2553"/>
    <tableColumn id="2559" xr3:uid="{00000000-0010-0000-0000-0000FF090000}" name="Coluna2554"/>
    <tableColumn id="2560" xr3:uid="{00000000-0010-0000-0000-0000000A0000}" name="Coluna2555"/>
    <tableColumn id="2561" xr3:uid="{00000000-0010-0000-0000-0000010A0000}" name="Coluna2556"/>
    <tableColumn id="2562" xr3:uid="{00000000-0010-0000-0000-0000020A0000}" name="Coluna2557"/>
    <tableColumn id="2563" xr3:uid="{00000000-0010-0000-0000-0000030A0000}" name="Coluna2558"/>
    <tableColumn id="2564" xr3:uid="{00000000-0010-0000-0000-0000040A0000}" name="Coluna2559"/>
    <tableColumn id="2565" xr3:uid="{00000000-0010-0000-0000-0000050A0000}" name="Coluna2560"/>
    <tableColumn id="2566" xr3:uid="{00000000-0010-0000-0000-0000060A0000}" name="Coluna2561"/>
    <tableColumn id="2567" xr3:uid="{00000000-0010-0000-0000-0000070A0000}" name="Coluna2562"/>
    <tableColumn id="2568" xr3:uid="{00000000-0010-0000-0000-0000080A0000}" name="Coluna2563"/>
    <tableColumn id="2569" xr3:uid="{00000000-0010-0000-0000-0000090A0000}" name="Coluna2564"/>
    <tableColumn id="2570" xr3:uid="{00000000-0010-0000-0000-00000A0A0000}" name="Coluna2565"/>
    <tableColumn id="2571" xr3:uid="{00000000-0010-0000-0000-00000B0A0000}" name="Coluna2566"/>
    <tableColumn id="2572" xr3:uid="{00000000-0010-0000-0000-00000C0A0000}" name="Coluna2567"/>
    <tableColumn id="2573" xr3:uid="{00000000-0010-0000-0000-00000D0A0000}" name="Coluna2568"/>
    <tableColumn id="2574" xr3:uid="{00000000-0010-0000-0000-00000E0A0000}" name="Coluna2569"/>
    <tableColumn id="2575" xr3:uid="{00000000-0010-0000-0000-00000F0A0000}" name="Coluna2570"/>
    <tableColumn id="2576" xr3:uid="{00000000-0010-0000-0000-0000100A0000}" name="Coluna2571"/>
    <tableColumn id="2577" xr3:uid="{00000000-0010-0000-0000-0000110A0000}" name="Coluna2572"/>
    <tableColumn id="2578" xr3:uid="{00000000-0010-0000-0000-0000120A0000}" name="Coluna2573"/>
    <tableColumn id="2579" xr3:uid="{00000000-0010-0000-0000-0000130A0000}" name="Coluna2574"/>
    <tableColumn id="2580" xr3:uid="{00000000-0010-0000-0000-0000140A0000}" name="Coluna2575"/>
    <tableColumn id="2581" xr3:uid="{00000000-0010-0000-0000-0000150A0000}" name="Coluna2576"/>
    <tableColumn id="2582" xr3:uid="{00000000-0010-0000-0000-0000160A0000}" name="Coluna2577"/>
    <tableColumn id="2583" xr3:uid="{00000000-0010-0000-0000-0000170A0000}" name="Coluna2578"/>
    <tableColumn id="2584" xr3:uid="{00000000-0010-0000-0000-0000180A0000}" name="Coluna2579"/>
    <tableColumn id="2585" xr3:uid="{00000000-0010-0000-0000-0000190A0000}" name="Coluna2580"/>
    <tableColumn id="2586" xr3:uid="{00000000-0010-0000-0000-00001A0A0000}" name="Coluna2581"/>
    <tableColumn id="2587" xr3:uid="{00000000-0010-0000-0000-00001B0A0000}" name="Coluna2582"/>
    <tableColumn id="2588" xr3:uid="{00000000-0010-0000-0000-00001C0A0000}" name="Coluna2583"/>
    <tableColumn id="2589" xr3:uid="{00000000-0010-0000-0000-00001D0A0000}" name="Coluna2584"/>
    <tableColumn id="2590" xr3:uid="{00000000-0010-0000-0000-00001E0A0000}" name="Coluna2585"/>
    <tableColumn id="2591" xr3:uid="{00000000-0010-0000-0000-00001F0A0000}" name="Coluna2586"/>
    <tableColumn id="2592" xr3:uid="{00000000-0010-0000-0000-0000200A0000}" name="Coluna2587"/>
    <tableColumn id="2593" xr3:uid="{00000000-0010-0000-0000-0000210A0000}" name="Coluna2588"/>
    <tableColumn id="2594" xr3:uid="{00000000-0010-0000-0000-0000220A0000}" name="Coluna2589"/>
    <tableColumn id="2595" xr3:uid="{00000000-0010-0000-0000-0000230A0000}" name="Coluna2590"/>
    <tableColumn id="2596" xr3:uid="{00000000-0010-0000-0000-0000240A0000}" name="Coluna2591"/>
    <tableColumn id="2597" xr3:uid="{00000000-0010-0000-0000-0000250A0000}" name="Coluna2592"/>
    <tableColumn id="2598" xr3:uid="{00000000-0010-0000-0000-0000260A0000}" name="Coluna2593"/>
    <tableColumn id="2599" xr3:uid="{00000000-0010-0000-0000-0000270A0000}" name="Coluna2594"/>
    <tableColumn id="2600" xr3:uid="{00000000-0010-0000-0000-0000280A0000}" name="Coluna2595"/>
    <tableColumn id="2601" xr3:uid="{00000000-0010-0000-0000-0000290A0000}" name="Coluna2596"/>
    <tableColumn id="2602" xr3:uid="{00000000-0010-0000-0000-00002A0A0000}" name="Coluna2597"/>
    <tableColumn id="2603" xr3:uid="{00000000-0010-0000-0000-00002B0A0000}" name="Coluna2598"/>
    <tableColumn id="2604" xr3:uid="{00000000-0010-0000-0000-00002C0A0000}" name="Coluna2599"/>
    <tableColumn id="2605" xr3:uid="{00000000-0010-0000-0000-00002D0A0000}" name="Coluna2600"/>
    <tableColumn id="2606" xr3:uid="{00000000-0010-0000-0000-00002E0A0000}" name="Coluna2601"/>
    <tableColumn id="2607" xr3:uid="{00000000-0010-0000-0000-00002F0A0000}" name="Coluna2602"/>
    <tableColumn id="2608" xr3:uid="{00000000-0010-0000-0000-0000300A0000}" name="Coluna2603"/>
    <tableColumn id="2609" xr3:uid="{00000000-0010-0000-0000-0000310A0000}" name="Coluna2604"/>
    <tableColumn id="2610" xr3:uid="{00000000-0010-0000-0000-0000320A0000}" name="Coluna2605"/>
    <tableColumn id="2611" xr3:uid="{00000000-0010-0000-0000-0000330A0000}" name="Coluna2606"/>
    <tableColumn id="2612" xr3:uid="{00000000-0010-0000-0000-0000340A0000}" name="Coluna2607"/>
    <tableColumn id="2613" xr3:uid="{00000000-0010-0000-0000-0000350A0000}" name="Coluna2608"/>
    <tableColumn id="2614" xr3:uid="{00000000-0010-0000-0000-0000360A0000}" name="Coluna2609"/>
    <tableColumn id="2615" xr3:uid="{00000000-0010-0000-0000-0000370A0000}" name="Coluna2610"/>
    <tableColumn id="2616" xr3:uid="{00000000-0010-0000-0000-0000380A0000}" name="Coluna2611"/>
    <tableColumn id="2617" xr3:uid="{00000000-0010-0000-0000-0000390A0000}" name="Coluna2612"/>
    <tableColumn id="2618" xr3:uid="{00000000-0010-0000-0000-00003A0A0000}" name="Coluna2613"/>
    <tableColumn id="2619" xr3:uid="{00000000-0010-0000-0000-00003B0A0000}" name="Coluna2614"/>
    <tableColumn id="2620" xr3:uid="{00000000-0010-0000-0000-00003C0A0000}" name="Coluna2615"/>
    <tableColumn id="2621" xr3:uid="{00000000-0010-0000-0000-00003D0A0000}" name="Coluna2616"/>
    <tableColumn id="2622" xr3:uid="{00000000-0010-0000-0000-00003E0A0000}" name="Coluna2617"/>
    <tableColumn id="2623" xr3:uid="{00000000-0010-0000-0000-00003F0A0000}" name="Coluna2618"/>
    <tableColumn id="2624" xr3:uid="{00000000-0010-0000-0000-0000400A0000}" name="Coluna2619"/>
    <tableColumn id="2625" xr3:uid="{00000000-0010-0000-0000-0000410A0000}" name="Coluna2620"/>
    <tableColumn id="2626" xr3:uid="{00000000-0010-0000-0000-0000420A0000}" name="Coluna2621"/>
    <tableColumn id="2627" xr3:uid="{00000000-0010-0000-0000-0000430A0000}" name="Coluna2622"/>
    <tableColumn id="2628" xr3:uid="{00000000-0010-0000-0000-0000440A0000}" name="Coluna2623"/>
    <tableColumn id="2629" xr3:uid="{00000000-0010-0000-0000-0000450A0000}" name="Coluna2624"/>
    <tableColumn id="2630" xr3:uid="{00000000-0010-0000-0000-0000460A0000}" name="Coluna2625"/>
    <tableColumn id="2631" xr3:uid="{00000000-0010-0000-0000-0000470A0000}" name="Coluna2626"/>
    <tableColumn id="2632" xr3:uid="{00000000-0010-0000-0000-0000480A0000}" name="Coluna2627"/>
    <tableColumn id="2633" xr3:uid="{00000000-0010-0000-0000-0000490A0000}" name="Coluna2628"/>
    <tableColumn id="2634" xr3:uid="{00000000-0010-0000-0000-00004A0A0000}" name="Coluna2629"/>
    <tableColumn id="2635" xr3:uid="{00000000-0010-0000-0000-00004B0A0000}" name="Coluna2630"/>
    <tableColumn id="2636" xr3:uid="{00000000-0010-0000-0000-00004C0A0000}" name="Coluna2631"/>
    <tableColumn id="2637" xr3:uid="{00000000-0010-0000-0000-00004D0A0000}" name="Coluna2632"/>
    <tableColumn id="2638" xr3:uid="{00000000-0010-0000-0000-00004E0A0000}" name="Coluna2633"/>
    <tableColumn id="2639" xr3:uid="{00000000-0010-0000-0000-00004F0A0000}" name="Coluna2634"/>
    <tableColumn id="2640" xr3:uid="{00000000-0010-0000-0000-0000500A0000}" name="Coluna2635"/>
    <tableColumn id="2641" xr3:uid="{00000000-0010-0000-0000-0000510A0000}" name="Coluna2636"/>
    <tableColumn id="2642" xr3:uid="{00000000-0010-0000-0000-0000520A0000}" name="Coluna2637"/>
    <tableColumn id="2643" xr3:uid="{00000000-0010-0000-0000-0000530A0000}" name="Coluna2638"/>
    <tableColumn id="2644" xr3:uid="{00000000-0010-0000-0000-0000540A0000}" name="Coluna2639"/>
    <tableColumn id="2645" xr3:uid="{00000000-0010-0000-0000-0000550A0000}" name="Coluna2640"/>
    <tableColumn id="2646" xr3:uid="{00000000-0010-0000-0000-0000560A0000}" name="Coluna2641"/>
    <tableColumn id="2647" xr3:uid="{00000000-0010-0000-0000-0000570A0000}" name="Coluna2642"/>
    <tableColumn id="2648" xr3:uid="{00000000-0010-0000-0000-0000580A0000}" name="Coluna2643"/>
    <tableColumn id="2649" xr3:uid="{00000000-0010-0000-0000-0000590A0000}" name="Coluna2644"/>
    <tableColumn id="2650" xr3:uid="{00000000-0010-0000-0000-00005A0A0000}" name="Coluna2645"/>
    <tableColumn id="2651" xr3:uid="{00000000-0010-0000-0000-00005B0A0000}" name="Coluna2646"/>
    <tableColumn id="2652" xr3:uid="{00000000-0010-0000-0000-00005C0A0000}" name="Coluna2647"/>
    <tableColumn id="2653" xr3:uid="{00000000-0010-0000-0000-00005D0A0000}" name="Coluna2648"/>
    <tableColumn id="2654" xr3:uid="{00000000-0010-0000-0000-00005E0A0000}" name="Coluna2649"/>
    <tableColumn id="2655" xr3:uid="{00000000-0010-0000-0000-00005F0A0000}" name="Coluna2650"/>
    <tableColumn id="2656" xr3:uid="{00000000-0010-0000-0000-0000600A0000}" name="Coluna2651"/>
    <tableColumn id="2657" xr3:uid="{00000000-0010-0000-0000-0000610A0000}" name="Coluna2652"/>
    <tableColumn id="2658" xr3:uid="{00000000-0010-0000-0000-0000620A0000}" name="Coluna2653"/>
    <tableColumn id="2659" xr3:uid="{00000000-0010-0000-0000-0000630A0000}" name="Coluna2654"/>
    <tableColumn id="2660" xr3:uid="{00000000-0010-0000-0000-0000640A0000}" name="Coluna2655"/>
    <tableColumn id="2661" xr3:uid="{00000000-0010-0000-0000-0000650A0000}" name="Coluna2656"/>
    <tableColumn id="2662" xr3:uid="{00000000-0010-0000-0000-0000660A0000}" name="Coluna2657"/>
    <tableColumn id="2663" xr3:uid="{00000000-0010-0000-0000-0000670A0000}" name="Coluna2658"/>
    <tableColumn id="2664" xr3:uid="{00000000-0010-0000-0000-0000680A0000}" name="Coluna2659"/>
    <tableColumn id="2665" xr3:uid="{00000000-0010-0000-0000-0000690A0000}" name="Coluna2660"/>
    <tableColumn id="2666" xr3:uid="{00000000-0010-0000-0000-00006A0A0000}" name="Coluna2661"/>
    <tableColumn id="2667" xr3:uid="{00000000-0010-0000-0000-00006B0A0000}" name="Coluna2662"/>
    <tableColumn id="2668" xr3:uid="{00000000-0010-0000-0000-00006C0A0000}" name="Coluna2663"/>
    <tableColumn id="2669" xr3:uid="{00000000-0010-0000-0000-00006D0A0000}" name="Coluna2664"/>
    <tableColumn id="2670" xr3:uid="{00000000-0010-0000-0000-00006E0A0000}" name="Coluna2665"/>
    <tableColumn id="2671" xr3:uid="{00000000-0010-0000-0000-00006F0A0000}" name="Coluna2666"/>
    <tableColumn id="2672" xr3:uid="{00000000-0010-0000-0000-0000700A0000}" name="Coluna2667"/>
    <tableColumn id="2673" xr3:uid="{00000000-0010-0000-0000-0000710A0000}" name="Coluna2668"/>
    <tableColumn id="2674" xr3:uid="{00000000-0010-0000-0000-0000720A0000}" name="Coluna2669"/>
    <tableColumn id="2675" xr3:uid="{00000000-0010-0000-0000-0000730A0000}" name="Coluna2670"/>
    <tableColumn id="2676" xr3:uid="{00000000-0010-0000-0000-0000740A0000}" name="Coluna2671"/>
    <tableColumn id="2677" xr3:uid="{00000000-0010-0000-0000-0000750A0000}" name="Coluna2672"/>
    <tableColumn id="2678" xr3:uid="{00000000-0010-0000-0000-0000760A0000}" name="Coluna2673"/>
    <tableColumn id="2679" xr3:uid="{00000000-0010-0000-0000-0000770A0000}" name="Coluna2674"/>
    <tableColumn id="2680" xr3:uid="{00000000-0010-0000-0000-0000780A0000}" name="Coluna2675"/>
    <tableColumn id="2681" xr3:uid="{00000000-0010-0000-0000-0000790A0000}" name="Coluna2676"/>
    <tableColumn id="2682" xr3:uid="{00000000-0010-0000-0000-00007A0A0000}" name="Coluna2677"/>
    <tableColumn id="2683" xr3:uid="{00000000-0010-0000-0000-00007B0A0000}" name="Coluna2678"/>
    <tableColumn id="2684" xr3:uid="{00000000-0010-0000-0000-00007C0A0000}" name="Coluna2679"/>
    <tableColumn id="2685" xr3:uid="{00000000-0010-0000-0000-00007D0A0000}" name="Coluna2680"/>
    <tableColumn id="2686" xr3:uid="{00000000-0010-0000-0000-00007E0A0000}" name="Coluna2681"/>
    <tableColumn id="2687" xr3:uid="{00000000-0010-0000-0000-00007F0A0000}" name="Coluna2682"/>
    <tableColumn id="2688" xr3:uid="{00000000-0010-0000-0000-0000800A0000}" name="Coluna2683"/>
    <tableColumn id="2689" xr3:uid="{00000000-0010-0000-0000-0000810A0000}" name="Coluna2684"/>
    <tableColumn id="2690" xr3:uid="{00000000-0010-0000-0000-0000820A0000}" name="Coluna2685"/>
    <tableColumn id="2691" xr3:uid="{00000000-0010-0000-0000-0000830A0000}" name="Coluna2686"/>
    <tableColumn id="2692" xr3:uid="{00000000-0010-0000-0000-0000840A0000}" name="Coluna2687"/>
    <tableColumn id="2693" xr3:uid="{00000000-0010-0000-0000-0000850A0000}" name="Coluna2688"/>
    <tableColumn id="2694" xr3:uid="{00000000-0010-0000-0000-0000860A0000}" name="Coluna2689"/>
    <tableColumn id="2695" xr3:uid="{00000000-0010-0000-0000-0000870A0000}" name="Coluna2690"/>
    <tableColumn id="2696" xr3:uid="{00000000-0010-0000-0000-0000880A0000}" name="Coluna2691"/>
    <tableColumn id="2697" xr3:uid="{00000000-0010-0000-0000-0000890A0000}" name="Coluna2692"/>
    <tableColumn id="2698" xr3:uid="{00000000-0010-0000-0000-00008A0A0000}" name="Coluna2693"/>
    <tableColumn id="2699" xr3:uid="{00000000-0010-0000-0000-00008B0A0000}" name="Coluna2694"/>
    <tableColumn id="2700" xr3:uid="{00000000-0010-0000-0000-00008C0A0000}" name="Coluna2695"/>
    <tableColumn id="2701" xr3:uid="{00000000-0010-0000-0000-00008D0A0000}" name="Coluna2696"/>
    <tableColumn id="2702" xr3:uid="{00000000-0010-0000-0000-00008E0A0000}" name="Coluna2697"/>
    <tableColumn id="2703" xr3:uid="{00000000-0010-0000-0000-00008F0A0000}" name="Coluna2698"/>
    <tableColumn id="2704" xr3:uid="{00000000-0010-0000-0000-0000900A0000}" name="Coluna2699"/>
    <tableColumn id="2705" xr3:uid="{00000000-0010-0000-0000-0000910A0000}" name="Coluna2700"/>
    <tableColumn id="2706" xr3:uid="{00000000-0010-0000-0000-0000920A0000}" name="Coluna2701"/>
    <tableColumn id="2707" xr3:uid="{00000000-0010-0000-0000-0000930A0000}" name="Coluna2702"/>
    <tableColumn id="2708" xr3:uid="{00000000-0010-0000-0000-0000940A0000}" name="Coluna2703"/>
    <tableColumn id="2709" xr3:uid="{00000000-0010-0000-0000-0000950A0000}" name="Coluna2704"/>
    <tableColumn id="2710" xr3:uid="{00000000-0010-0000-0000-0000960A0000}" name="Coluna2705"/>
    <tableColumn id="2711" xr3:uid="{00000000-0010-0000-0000-0000970A0000}" name="Coluna2706"/>
    <tableColumn id="2712" xr3:uid="{00000000-0010-0000-0000-0000980A0000}" name="Coluna2707"/>
    <tableColumn id="2713" xr3:uid="{00000000-0010-0000-0000-0000990A0000}" name="Coluna2708"/>
    <tableColumn id="2714" xr3:uid="{00000000-0010-0000-0000-00009A0A0000}" name="Coluna2709"/>
    <tableColumn id="2715" xr3:uid="{00000000-0010-0000-0000-00009B0A0000}" name="Coluna2710"/>
    <tableColumn id="2716" xr3:uid="{00000000-0010-0000-0000-00009C0A0000}" name="Coluna2711"/>
    <tableColumn id="2717" xr3:uid="{00000000-0010-0000-0000-00009D0A0000}" name="Coluna2712"/>
    <tableColumn id="2718" xr3:uid="{00000000-0010-0000-0000-00009E0A0000}" name="Coluna2713"/>
    <tableColumn id="2719" xr3:uid="{00000000-0010-0000-0000-00009F0A0000}" name="Coluna2714"/>
    <tableColumn id="2720" xr3:uid="{00000000-0010-0000-0000-0000A00A0000}" name="Coluna2715"/>
    <tableColumn id="2721" xr3:uid="{00000000-0010-0000-0000-0000A10A0000}" name="Coluna2716"/>
    <tableColumn id="2722" xr3:uid="{00000000-0010-0000-0000-0000A20A0000}" name="Coluna2717"/>
    <tableColumn id="2723" xr3:uid="{00000000-0010-0000-0000-0000A30A0000}" name="Coluna2718"/>
    <tableColumn id="2724" xr3:uid="{00000000-0010-0000-0000-0000A40A0000}" name="Coluna2719"/>
    <tableColumn id="2725" xr3:uid="{00000000-0010-0000-0000-0000A50A0000}" name="Coluna2720"/>
    <tableColumn id="2726" xr3:uid="{00000000-0010-0000-0000-0000A60A0000}" name="Coluna2721"/>
    <tableColumn id="2727" xr3:uid="{00000000-0010-0000-0000-0000A70A0000}" name="Coluna2722"/>
    <tableColumn id="2728" xr3:uid="{00000000-0010-0000-0000-0000A80A0000}" name="Coluna2723"/>
    <tableColumn id="2729" xr3:uid="{00000000-0010-0000-0000-0000A90A0000}" name="Coluna2724"/>
    <tableColumn id="2730" xr3:uid="{00000000-0010-0000-0000-0000AA0A0000}" name="Coluna2725"/>
    <tableColumn id="2731" xr3:uid="{00000000-0010-0000-0000-0000AB0A0000}" name="Coluna2726"/>
    <tableColumn id="2732" xr3:uid="{00000000-0010-0000-0000-0000AC0A0000}" name="Coluna2727"/>
    <tableColumn id="2733" xr3:uid="{00000000-0010-0000-0000-0000AD0A0000}" name="Coluna2728"/>
    <tableColumn id="2734" xr3:uid="{00000000-0010-0000-0000-0000AE0A0000}" name="Coluna2729"/>
    <tableColumn id="2735" xr3:uid="{00000000-0010-0000-0000-0000AF0A0000}" name="Coluna2730"/>
    <tableColumn id="2736" xr3:uid="{00000000-0010-0000-0000-0000B00A0000}" name="Coluna2731"/>
    <tableColumn id="2737" xr3:uid="{00000000-0010-0000-0000-0000B10A0000}" name="Coluna2732"/>
    <tableColumn id="2738" xr3:uid="{00000000-0010-0000-0000-0000B20A0000}" name="Coluna2733"/>
    <tableColumn id="2739" xr3:uid="{00000000-0010-0000-0000-0000B30A0000}" name="Coluna2734"/>
    <tableColumn id="2740" xr3:uid="{00000000-0010-0000-0000-0000B40A0000}" name="Coluna2735"/>
    <tableColumn id="2741" xr3:uid="{00000000-0010-0000-0000-0000B50A0000}" name="Coluna2736"/>
    <tableColumn id="2742" xr3:uid="{00000000-0010-0000-0000-0000B60A0000}" name="Coluna2737"/>
    <tableColumn id="2743" xr3:uid="{00000000-0010-0000-0000-0000B70A0000}" name="Coluna2738"/>
    <tableColumn id="2744" xr3:uid="{00000000-0010-0000-0000-0000B80A0000}" name="Coluna2739"/>
    <tableColumn id="2745" xr3:uid="{00000000-0010-0000-0000-0000B90A0000}" name="Coluna2740"/>
    <tableColumn id="2746" xr3:uid="{00000000-0010-0000-0000-0000BA0A0000}" name="Coluna2741"/>
    <tableColumn id="2747" xr3:uid="{00000000-0010-0000-0000-0000BB0A0000}" name="Coluna2742"/>
    <tableColumn id="2748" xr3:uid="{00000000-0010-0000-0000-0000BC0A0000}" name="Coluna2743"/>
    <tableColumn id="2749" xr3:uid="{00000000-0010-0000-0000-0000BD0A0000}" name="Coluna2744"/>
    <tableColumn id="2750" xr3:uid="{00000000-0010-0000-0000-0000BE0A0000}" name="Coluna2745"/>
    <tableColumn id="2751" xr3:uid="{00000000-0010-0000-0000-0000BF0A0000}" name="Coluna2746"/>
    <tableColumn id="2752" xr3:uid="{00000000-0010-0000-0000-0000C00A0000}" name="Coluna2747"/>
    <tableColumn id="2753" xr3:uid="{00000000-0010-0000-0000-0000C10A0000}" name="Coluna2748"/>
    <tableColumn id="2754" xr3:uid="{00000000-0010-0000-0000-0000C20A0000}" name="Coluna2749"/>
    <tableColumn id="2755" xr3:uid="{00000000-0010-0000-0000-0000C30A0000}" name="Coluna2750"/>
    <tableColumn id="2756" xr3:uid="{00000000-0010-0000-0000-0000C40A0000}" name="Coluna2751"/>
    <tableColumn id="2757" xr3:uid="{00000000-0010-0000-0000-0000C50A0000}" name="Coluna2752"/>
    <tableColumn id="2758" xr3:uid="{00000000-0010-0000-0000-0000C60A0000}" name="Coluna2753"/>
    <tableColumn id="2759" xr3:uid="{00000000-0010-0000-0000-0000C70A0000}" name="Coluna2754"/>
    <tableColumn id="2760" xr3:uid="{00000000-0010-0000-0000-0000C80A0000}" name="Coluna2755"/>
    <tableColumn id="2761" xr3:uid="{00000000-0010-0000-0000-0000C90A0000}" name="Coluna2756"/>
    <tableColumn id="2762" xr3:uid="{00000000-0010-0000-0000-0000CA0A0000}" name="Coluna2757"/>
    <tableColumn id="2763" xr3:uid="{00000000-0010-0000-0000-0000CB0A0000}" name="Coluna2758"/>
    <tableColumn id="2764" xr3:uid="{00000000-0010-0000-0000-0000CC0A0000}" name="Coluna2759"/>
    <tableColumn id="2765" xr3:uid="{00000000-0010-0000-0000-0000CD0A0000}" name="Coluna2760"/>
    <tableColumn id="2766" xr3:uid="{00000000-0010-0000-0000-0000CE0A0000}" name="Coluna2761"/>
    <tableColumn id="2767" xr3:uid="{00000000-0010-0000-0000-0000CF0A0000}" name="Coluna2762"/>
    <tableColumn id="2768" xr3:uid="{00000000-0010-0000-0000-0000D00A0000}" name="Coluna2763"/>
    <tableColumn id="2769" xr3:uid="{00000000-0010-0000-0000-0000D10A0000}" name="Coluna2764"/>
    <tableColumn id="2770" xr3:uid="{00000000-0010-0000-0000-0000D20A0000}" name="Coluna2765"/>
    <tableColumn id="2771" xr3:uid="{00000000-0010-0000-0000-0000D30A0000}" name="Coluna2766"/>
    <tableColumn id="2772" xr3:uid="{00000000-0010-0000-0000-0000D40A0000}" name="Coluna2767"/>
    <tableColumn id="2773" xr3:uid="{00000000-0010-0000-0000-0000D50A0000}" name="Coluna2768"/>
    <tableColumn id="2774" xr3:uid="{00000000-0010-0000-0000-0000D60A0000}" name="Coluna2769"/>
    <tableColumn id="2775" xr3:uid="{00000000-0010-0000-0000-0000D70A0000}" name="Coluna2770"/>
    <tableColumn id="2776" xr3:uid="{00000000-0010-0000-0000-0000D80A0000}" name="Coluna2771"/>
    <tableColumn id="2777" xr3:uid="{00000000-0010-0000-0000-0000D90A0000}" name="Coluna2772"/>
    <tableColumn id="2778" xr3:uid="{00000000-0010-0000-0000-0000DA0A0000}" name="Coluna2773"/>
    <tableColumn id="2779" xr3:uid="{00000000-0010-0000-0000-0000DB0A0000}" name="Coluna2774"/>
    <tableColumn id="2780" xr3:uid="{00000000-0010-0000-0000-0000DC0A0000}" name="Coluna2775"/>
    <tableColumn id="2781" xr3:uid="{00000000-0010-0000-0000-0000DD0A0000}" name="Coluna2776"/>
    <tableColumn id="2782" xr3:uid="{00000000-0010-0000-0000-0000DE0A0000}" name="Coluna2777"/>
    <tableColumn id="2783" xr3:uid="{00000000-0010-0000-0000-0000DF0A0000}" name="Coluna2778"/>
    <tableColumn id="2784" xr3:uid="{00000000-0010-0000-0000-0000E00A0000}" name="Coluna2779"/>
    <tableColumn id="2785" xr3:uid="{00000000-0010-0000-0000-0000E10A0000}" name="Coluna2780"/>
    <tableColumn id="2786" xr3:uid="{00000000-0010-0000-0000-0000E20A0000}" name="Coluna2781"/>
    <tableColumn id="2787" xr3:uid="{00000000-0010-0000-0000-0000E30A0000}" name="Coluna2782"/>
    <tableColumn id="2788" xr3:uid="{00000000-0010-0000-0000-0000E40A0000}" name="Coluna2783"/>
    <tableColumn id="2789" xr3:uid="{00000000-0010-0000-0000-0000E50A0000}" name="Coluna2784"/>
    <tableColumn id="2790" xr3:uid="{00000000-0010-0000-0000-0000E60A0000}" name="Coluna2785"/>
    <tableColumn id="2791" xr3:uid="{00000000-0010-0000-0000-0000E70A0000}" name="Coluna2786"/>
    <tableColumn id="2792" xr3:uid="{00000000-0010-0000-0000-0000E80A0000}" name="Coluna2787"/>
    <tableColumn id="2793" xr3:uid="{00000000-0010-0000-0000-0000E90A0000}" name="Coluna2788"/>
    <tableColumn id="2794" xr3:uid="{00000000-0010-0000-0000-0000EA0A0000}" name="Coluna2789"/>
    <tableColumn id="2795" xr3:uid="{00000000-0010-0000-0000-0000EB0A0000}" name="Coluna2790"/>
    <tableColumn id="2796" xr3:uid="{00000000-0010-0000-0000-0000EC0A0000}" name="Coluna2791"/>
    <tableColumn id="2797" xr3:uid="{00000000-0010-0000-0000-0000ED0A0000}" name="Coluna2792"/>
    <tableColumn id="2798" xr3:uid="{00000000-0010-0000-0000-0000EE0A0000}" name="Coluna2793"/>
    <tableColumn id="2799" xr3:uid="{00000000-0010-0000-0000-0000EF0A0000}" name="Coluna2794"/>
    <tableColumn id="2800" xr3:uid="{00000000-0010-0000-0000-0000F00A0000}" name="Coluna2795"/>
    <tableColumn id="2801" xr3:uid="{00000000-0010-0000-0000-0000F10A0000}" name="Coluna2796"/>
    <tableColumn id="2802" xr3:uid="{00000000-0010-0000-0000-0000F20A0000}" name="Coluna2797"/>
    <tableColumn id="2803" xr3:uid="{00000000-0010-0000-0000-0000F30A0000}" name="Coluna2798"/>
    <tableColumn id="2804" xr3:uid="{00000000-0010-0000-0000-0000F40A0000}" name="Coluna2799"/>
    <tableColumn id="2805" xr3:uid="{00000000-0010-0000-0000-0000F50A0000}" name="Coluna2800"/>
    <tableColumn id="2806" xr3:uid="{00000000-0010-0000-0000-0000F60A0000}" name="Coluna2801"/>
    <tableColumn id="2807" xr3:uid="{00000000-0010-0000-0000-0000F70A0000}" name="Coluna2802"/>
    <tableColumn id="2808" xr3:uid="{00000000-0010-0000-0000-0000F80A0000}" name="Coluna2803"/>
    <tableColumn id="2809" xr3:uid="{00000000-0010-0000-0000-0000F90A0000}" name="Coluna2804"/>
    <tableColumn id="2810" xr3:uid="{00000000-0010-0000-0000-0000FA0A0000}" name="Coluna2805"/>
    <tableColumn id="2811" xr3:uid="{00000000-0010-0000-0000-0000FB0A0000}" name="Coluna2806"/>
    <tableColumn id="2812" xr3:uid="{00000000-0010-0000-0000-0000FC0A0000}" name="Coluna2807"/>
    <tableColumn id="2813" xr3:uid="{00000000-0010-0000-0000-0000FD0A0000}" name="Coluna2808"/>
    <tableColumn id="2814" xr3:uid="{00000000-0010-0000-0000-0000FE0A0000}" name="Coluna2809"/>
    <tableColumn id="2815" xr3:uid="{00000000-0010-0000-0000-0000FF0A0000}" name="Coluna2810"/>
    <tableColumn id="2816" xr3:uid="{00000000-0010-0000-0000-0000000B0000}" name="Coluna2811"/>
    <tableColumn id="2817" xr3:uid="{00000000-0010-0000-0000-0000010B0000}" name="Coluna2812"/>
    <tableColumn id="2818" xr3:uid="{00000000-0010-0000-0000-0000020B0000}" name="Coluna2813"/>
    <tableColumn id="2819" xr3:uid="{00000000-0010-0000-0000-0000030B0000}" name="Coluna2814"/>
    <tableColumn id="2820" xr3:uid="{00000000-0010-0000-0000-0000040B0000}" name="Coluna2815"/>
    <tableColumn id="2821" xr3:uid="{00000000-0010-0000-0000-0000050B0000}" name="Coluna2816"/>
    <tableColumn id="2822" xr3:uid="{00000000-0010-0000-0000-0000060B0000}" name="Coluna2817"/>
    <tableColumn id="2823" xr3:uid="{00000000-0010-0000-0000-0000070B0000}" name="Coluna2818"/>
    <tableColumn id="2824" xr3:uid="{00000000-0010-0000-0000-0000080B0000}" name="Coluna2819"/>
    <tableColumn id="2825" xr3:uid="{00000000-0010-0000-0000-0000090B0000}" name="Coluna2820"/>
    <tableColumn id="2826" xr3:uid="{00000000-0010-0000-0000-00000A0B0000}" name="Coluna2821"/>
    <tableColumn id="2827" xr3:uid="{00000000-0010-0000-0000-00000B0B0000}" name="Coluna2822"/>
    <tableColumn id="2828" xr3:uid="{00000000-0010-0000-0000-00000C0B0000}" name="Coluna2823"/>
    <tableColumn id="2829" xr3:uid="{00000000-0010-0000-0000-00000D0B0000}" name="Coluna2824"/>
    <tableColumn id="2830" xr3:uid="{00000000-0010-0000-0000-00000E0B0000}" name="Coluna2825"/>
    <tableColumn id="2831" xr3:uid="{00000000-0010-0000-0000-00000F0B0000}" name="Coluna2826"/>
    <tableColumn id="2832" xr3:uid="{00000000-0010-0000-0000-0000100B0000}" name="Coluna2827"/>
    <tableColumn id="2833" xr3:uid="{00000000-0010-0000-0000-0000110B0000}" name="Coluna2828"/>
    <tableColumn id="2834" xr3:uid="{00000000-0010-0000-0000-0000120B0000}" name="Coluna2829"/>
    <tableColumn id="2835" xr3:uid="{00000000-0010-0000-0000-0000130B0000}" name="Coluna2830"/>
    <tableColumn id="2836" xr3:uid="{00000000-0010-0000-0000-0000140B0000}" name="Coluna2831"/>
    <tableColumn id="2837" xr3:uid="{00000000-0010-0000-0000-0000150B0000}" name="Coluna2832"/>
    <tableColumn id="2838" xr3:uid="{00000000-0010-0000-0000-0000160B0000}" name="Coluna2833"/>
    <tableColumn id="2839" xr3:uid="{00000000-0010-0000-0000-0000170B0000}" name="Coluna2834"/>
    <tableColumn id="2840" xr3:uid="{00000000-0010-0000-0000-0000180B0000}" name="Coluna2835"/>
    <tableColumn id="2841" xr3:uid="{00000000-0010-0000-0000-0000190B0000}" name="Coluna2836"/>
    <tableColumn id="2842" xr3:uid="{00000000-0010-0000-0000-00001A0B0000}" name="Coluna2837"/>
    <tableColumn id="2843" xr3:uid="{00000000-0010-0000-0000-00001B0B0000}" name="Coluna2838"/>
    <tableColumn id="2844" xr3:uid="{00000000-0010-0000-0000-00001C0B0000}" name="Coluna2839"/>
    <tableColumn id="2845" xr3:uid="{00000000-0010-0000-0000-00001D0B0000}" name="Coluna2840"/>
    <tableColumn id="2846" xr3:uid="{00000000-0010-0000-0000-00001E0B0000}" name="Coluna2841"/>
    <tableColumn id="2847" xr3:uid="{00000000-0010-0000-0000-00001F0B0000}" name="Coluna2842"/>
    <tableColumn id="2848" xr3:uid="{00000000-0010-0000-0000-0000200B0000}" name="Coluna2843"/>
    <tableColumn id="2849" xr3:uid="{00000000-0010-0000-0000-0000210B0000}" name="Coluna2844"/>
    <tableColumn id="2850" xr3:uid="{00000000-0010-0000-0000-0000220B0000}" name="Coluna2845"/>
    <tableColumn id="2851" xr3:uid="{00000000-0010-0000-0000-0000230B0000}" name="Coluna2846"/>
    <tableColumn id="2852" xr3:uid="{00000000-0010-0000-0000-0000240B0000}" name="Coluna2847"/>
    <tableColumn id="2853" xr3:uid="{00000000-0010-0000-0000-0000250B0000}" name="Coluna2848"/>
    <tableColumn id="2854" xr3:uid="{00000000-0010-0000-0000-0000260B0000}" name="Coluna2849"/>
    <tableColumn id="2855" xr3:uid="{00000000-0010-0000-0000-0000270B0000}" name="Coluna2850"/>
    <tableColumn id="2856" xr3:uid="{00000000-0010-0000-0000-0000280B0000}" name="Coluna2851"/>
    <tableColumn id="2857" xr3:uid="{00000000-0010-0000-0000-0000290B0000}" name="Coluna2852"/>
    <tableColumn id="2858" xr3:uid="{00000000-0010-0000-0000-00002A0B0000}" name="Coluna2853"/>
    <tableColumn id="2859" xr3:uid="{00000000-0010-0000-0000-00002B0B0000}" name="Coluna2854"/>
    <tableColumn id="2860" xr3:uid="{00000000-0010-0000-0000-00002C0B0000}" name="Coluna2855"/>
    <tableColumn id="2861" xr3:uid="{00000000-0010-0000-0000-00002D0B0000}" name="Coluna2856"/>
    <tableColumn id="2862" xr3:uid="{00000000-0010-0000-0000-00002E0B0000}" name="Coluna2857"/>
    <tableColumn id="2863" xr3:uid="{00000000-0010-0000-0000-00002F0B0000}" name="Coluna2858"/>
    <tableColumn id="2864" xr3:uid="{00000000-0010-0000-0000-0000300B0000}" name="Coluna2859"/>
    <tableColumn id="2865" xr3:uid="{00000000-0010-0000-0000-0000310B0000}" name="Coluna2860"/>
    <tableColumn id="2866" xr3:uid="{00000000-0010-0000-0000-0000320B0000}" name="Coluna2861"/>
    <tableColumn id="2867" xr3:uid="{00000000-0010-0000-0000-0000330B0000}" name="Coluna2862"/>
    <tableColumn id="2868" xr3:uid="{00000000-0010-0000-0000-0000340B0000}" name="Coluna2863"/>
    <tableColumn id="2869" xr3:uid="{00000000-0010-0000-0000-0000350B0000}" name="Coluna2864"/>
    <tableColumn id="2870" xr3:uid="{00000000-0010-0000-0000-0000360B0000}" name="Coluna2865"/>
    <tableColumn id="2871" xr3:uid="{00000000-0010-0000-0000-0000370B0000}" name="Coluna2866"/>
    <tableColumn id="2872" xr3:uid="{00000000-0010-0000-0000-0000380B0000}" name="Coluna2867"/>
    <tableColumn id="2873" xr3:uid="{00000000-0010-0000-0000-0000390B0000}" name="Coluna2868"/>
    <tableColumn id="2874" xr3:uid="{00000000-0010-0000-0000-00003A0B0000}" name="Coluna2869"/>
    <tableColumn id="2875" xr3:uid="{00000000-0010-0000-0000-00003B0B0000}" name="Coluna2870"/>
    <tableColumn id="2876" xr3:uid="{00000000-0010-0000-0000-00003C0B0000}" name="Coluna2871"/>
    <tableColumn id="2877" xr3:uid="{00000000-0010-0000-0000-00003D0B0000}" name="Coluna2872"/>
    <tableColumn id="2878" xr3:uid="{00000000-0010-0000-0000-00003E0B0000}" name="Coluna2873"/>
    <tableColumn id="2879" xr3:uid="{00000000-0010-0000-0000-00003F0B0000}" name="Coluna2874"/>
    <tableColumn id="2880" xr3:uid="{00000000-0010-0000-0000-0000400B0000}" name="Coluna2875"/>
    <tableColumn id="2881" xr3:uid="{00000000-0010-0000-0000-0000410B0000}" name="Coluna2876"/>
    <tableColumn id="2882" xr3:uid="{00000000-0010-0000-0000-0000420B0000}" name="Coluna2877"/>
    <tableColumn id="2883" xr3:uid="{00000000-0010-0000-0000-0000430B0000}" name="Coluna2878"/>
    <tableColumn id="2884" xr3:uid="{00000000-0010-0000-0000-0000440B0000}" name="Coluna2879"/>
    <tableColumn id="2885" xr3:uid="{00000000-0010-0000-0000-0000450B0000}" name="Coluna2880"/>
    <tableColumn id="2886" xr3:uid="{00000000-0010-0000-0000-0000460B0000}" name="Coluna2881"/>
    <tableColumn id="2887" xr3:uid="{00000000-0010-0000-0000-0000470B0000}" name="Coluna2882"/>
    <tableColumn id="2888" xr3:uid="{00000000-0010-0000-0000-0000480B0000}" name="Coluna2883"/>
    <tableColumn id="2889" xr3:uid="{00000000-0010-0000-0000-0000490B0000}" name="Coluna2884"/>
    <tableColumn id="2890" xr3:uid="{00000000-0010-0000-0000-00004A0B0000}" name="Coluna2885"/>
    <tableColumn id="2891" xr3:uid="{00000000-0010-0000-0000-00004B0B0000}" name="Coluna2886"/>
    <tableColumn id="2892" xr3:uid="{00000000-0010-0000-0000-00004C0B0000}" name="Coluna2887"/>
    <tableColumn id="2893" xr3:uid="{00000000-0010-0000-0000-00004D0B0000}" name="Coluna2888"/>
    <tableColumn id="2894" xr3:uid="{00000000-0010-0000-0000-00004E0B0000}" name="Coluna2889"/>
    <tableColumn id="2895" xr3:uid="{00000000-0010-0000-0000-00004F0B0000}" name="Coluna2890"/>
    <tableColumn id="2896" xr3:uid="{00000000-0010-0000-0000-0000500B0000}" name="Coluna2891"/>
    <tableColumn id="2897" xr3:uid="{00000000-0010-0000-0000-0000510B0000}" name="Coluna2892"/>
    <tableColumn id="2898" xr3:uid="{00000000-0010-0000-0000-0000520B0000}" name="Coluna2893"/>
    <tableColumn id="2899" xr3:uid="{00000000-0010-0000-0000-0000530B0000}" name="Coluna2894"/>
    <tableColumn id="2900" xr3:uid="{00000000-0010-0000-0000-0000540B0000}" name="Coluna2895"/>
    <tableColumn id="2901" xr3:uid="{00000000-0010-0000-0000-0000550B0000}" name="Coluna2896"/>
    <tableColumn id="2902" xr3:uid="{00000000-0010-0000-0000-0000560B0000}" name="Coluna2897"/>
    <tableColumn id="2903" xr3:uid="{00000000-0010-0000-0000-0000570B0000}" name="Coluna2898"/>
    <tableColumn id="2904" xr3:uid="{00000000-0010-0000-0000-0000580B0000}" name="Coluna2899"/>
    <tableColumn id="2905" xr3:uid="{00000000-0010-0000-0000-0000590B0000}" name="Coluna2900"/>
    <tableColumn id="2906" xr3:uid="{00000000-0010-0000-0000-00005A0B0000}" name="Coluna2901"/>
    <tableColumn id="2907" xr3:uid="{00000000-0010-0000-0000-00005B0B0000}" name="Coluna2902"/>
    <tableColumn id="2908" xr3:uid="{00000000-0010-0000-0000-00005C0B0000}" name="Coluna2903"/>
    <tableColumn id="2909" xr3:uid="{00000000-0010-0000-0000-00005D0B0000}" name="Coluna2904"/>
    <tableColumn id="2910" xr3:uid="{00000000-0010-0000-0000-00005E0B0000}" name="Coluna2905"/>
    <tableColumn id="2911" xr3:uid="{00000000-0010-0000-0000-00005F0B0000}" name="Coluna2906"/>
    <tableColumn id="2912" xr3:uid="{00000000-0010-0000-0000-0000600B0000}" name="Coluna2907"/>
    <tableColumn id="2913" xr3:uid="{00000000-0010-0000-0000-0000610B0000}" name="Coluna2908"/>
    <tableColumn id="2914" xr3:uid="{00000000-0010-0000-0000-0000620B0000}" name="Coluna2909"/>
    <tableColumn id="2915" xr3:uid="{00000000-0010-0000-0000-0000630B0000}" name="Coluna2910"/>
    <tableColumn id="2916" xr3:uid="{00000000-0010-0000-0000-0000640B0000}" name="Coluna2911"/>
    <tableColumn id="2917" xr3:uid="{00000000-0010-0000-0000-0000650B0000}" name="Coluna2912"/>
    <tableColumn id="2918" xr3:uid="{00000000-0010-0000-0000-0000660B0000}" name="Coluna2913"/>
    <tableColumn id="2919" xr3:uid="{00000000-0010-0000-0000-0000670B0000}" name="Coluna2914"/>
    <tableColumn id="2920" xr3:uid="{00000000-0010-0000-0000-0000680B0000}" name="Coluna2915"/>
    <tableColumn id="2921" xr3:uid="{00000000-0010-0000-0000-0000690B0000}" name="Coluna2916"/>
    <tableColumn id="2922" xr3:uid="{00000000-0010-0000-0000-00006A0B0000}" name="Coluna2917"/>
    <tableColumn id="2923" xr3:uid="{00000000-0010-0000-0000-00006B0B0000}" name="Coluna2918"/>
    <tableColumn id="2924" xr3:uid="{00000000-0010-0000-0000-00006C0B0000}" name="Coluna2919"/>
    <tableColumn id="2925" xr3:uid="{00000000-0010-0000-0000-00006D0B0000}" name="Coluna2920"/>
    <tableColumn id="2926" xr3:uid="{00000000-0010-0000-0000-00006E0B0000}" name="Coluna2921"/>
    <tableColumn id="2927" xr3:uid="{00000000-0010-0000-0000-00006F0B0000}" name="Coluna2922"/>
    <tableColumn id="2928" xr3:uid="{00000000-0010-0000-0000-0000700B0000}" name="Coluna2923"/>
    <tableColumn id="2929" xr3:uid="{00000000-0010-0000-0000-0000710B0000}" name="Coluna2924"/>
    <tableColumn id="2930" xr3:uid="{00000000-0010-0000-0000-0000720B0000}" name="Coluna2925"/>
    <tableColumn id="2931" xr3:uid="{00000000-0010-0000-0000-0000730B0000}" name="Coluna2926"/>
    <tableColumn id="2932" xr3:uid="{00000000-0010-0000-0000-0000740B0000}" name="Coluna2927"/>
    <tableColumn id="2933" xr3:uid="{00000000-0010-0000-0000-0000750B0000}" name="Coluna2928"/>
    <tableColumn id="2934" xr3:uid="{00000000-0010-0000-0000-0000760B0000}" name="Coluna2929"/>
    <tableColumn id="2935" xr3:uid="{00000000-0010-0000-0000-0000770B0000}" name="Coluna2930"/>
    <tableColumn id="2936" xr3:uid="{00000000-0010-0000-0000-0000780B0000}" name="Coluna2931"/>
    <tableColumn id="2937" xr3:uid="{00000000-0010-0000-0000-0000790B0000}" name="Coluna2932"/>
    <tableColumn id="2938" xr3:uid="{00000000-0010-0000-0000-00007A0B0000}" name="Coluna2933"/>
    <tableColumn id="2939" xr3:uid="{00000000-0010-0000-0000-00007B0B0000}" name="Coluna2934"/>
    <tableColumn id="2940" xr3:uid="{00000000-0010-0000-0000-00007C0B0000}" name="Coluna2935"/>
    <tableColumn id="2941" xr3:uid="{00000000-0010-0000-0000-00007D0B0000}" name="Coluna2936"/>
    <tableColumn id="2942" xr3:uid="{00000000-0010-0000-0000-00007E0B0000}" name="Coluna2937"/>
    <tableColumn id="2943" xr3:uid="{00000000-0010-0000-0000-00007F0B0000}" name="Coluna2938"/>
    <tableColumn id="2944" xr3:uid="{00000000-0010-0000-0000-0000800B0000}" name="Coluna2939"/>
    <tableColumn id="2945" xr3:uid="{00000000-0010-0000-0000-0000810B0000}" name="Coluna2940"/>
    <tableColumn id="2946" xr3:uid="{00000000-0010-0000-0000-0000820B0000}" name="Coluna2941"/>
    <tableColumn id="2947" xr3:uid="{00000000-0010-0000-0000-0000830B0000}" name="Coluna2942"/>
    <tableColumn id="2948" xr3:uid="{00000000-0010-0000-0000-0000840B0000}" name="Coluna2943"/>
    <tableColumn id="2949" xr3:uid="{00000000-0010-0000-0000-0000850B0000}" name="Coluna2944"/>
    <tableColumn id="2950" xr3:uid="{00000000-0010-0000-0000-0000860B0000}" name="Coluna2945"/>
    <tableColumn id="2951" xr3:uid="{00000000-0010-0000-0000-0000870B0000}" name="Coluna2946"/>
    <tableColumn id="2952" xr3:uid="{00000000-0010-0000-0000-0000880B0000}" name="Coluna2947"/>
    <tableColumn id="2953" xr3:uid="{00000000-0010-0000-0000-0000890B0000}" name="Coluna2948"/>
    <tableColumn id="2954" xr3:uid="{00000000-0010-0000-0000-00008A0B0000}" name="Coluna2949"/>
    <tableColumn id="2955" xr3:uid="{00000000-0010-0000-0000-00008B0B0000}" name="Coluna2950"/>
    <tableColumn id="2956" xr3:uid="{00000000-0010-0000-0000-00008C0B0000}" name="Coluna2951"/>
    <tableColumn id="2957" xr3:uid="{00000000-0010-0000-0000-00008D0B0000}" name="Coluna2952"/>
    <tableColumn id="2958" xr3:uid="{00000000-0010-0000-0000-00008E0B0000}" name="Coluna2953"/>
    <tableColumn id="2959" xr3:uid="{00000000-0010-0000-0000-00008F0B0000}" name="Coluna2954"/>
    <tableColumn id="2960" xr3:uid="{00000000-0010-0000-0000-0000900B0000}" name="Coluna2955"/>
    <tableColumn id="2961" xr3:uid="{00000000-0010-0000-0000-0000910B0000}" name="Coluna2956"/>
    <tableColumn id="2962" xr3:uid="{00000000-0010-0000-0000-0000920B0000}" name="Coluna2957"/>
    <tableColumn id="2963" xr3:uid="{00000000-0010-0000-0000-0000930B0000}" name="Coluna2958"/>
    <tableColumn id="2964" xr3:uid="{00000000-0010-0000-0000-0000940B0000}" name="Coluna2959"/>
    <tableColumn id="2965" xr3:uid="{00000000-0010-0000-0000-0000950B0000}" name="Coluna2960"/>
    <tableColumn id="2966" xr3:uid="{00000000-0010-0000-0000-0000960B0000}" name="Coluna2961"/>
    <tableColumn id="2967" xr3:uid="{00000000-0010-0000-0000-0000970B0000}" name="Coluna2962"/>
    <tableColumn id="2968" xr3:uid="{00000000-0010-0000-0000-0000980B0000}" name="Coluna2963"/>
    <tableColumn id="2969" xr3:uid="{00000000-0010-0000-0000-0000990B0000}" name="Coluna2964"/>
    <tableColumn id="2970" xr3:uid="{00000000-0010-0000-0000-00009A0B0000}" name="Coluna2965"/>
    <tableColumn id="2971" xr3:uid="{00000000-0010-0000-0000-00009B0B0000}" name="Coluna2966"/>
    <tableColumn id="2972" xr3:uid="{00000000-0010-0000-0000-00009C0B0000}" name="Coluna2967"/>
    <tableColumn id="2973" xr3:uid="{00000000-0010-0000-0000-00009D0B0000}" name="Coluna2968"/>
    <tableColumn id="2974" xr3:uid="{00000000-0010-0000-0000-00009E0B0000}" name="Coluna2969"/>
    <tableColumn id="2975" xr3:uid="{00000000-0010-0000-0000-00009F0B0000}" name="Coluna2970"/>
    <tableColumn id="2976" xr3:uid="{00000000-0010-0000-0000-0000A00B0000}" name="Coluna2971"/>
    <tableColumn id="2977" xr3:uid="{00000000-0010-0000-0000-0000A10B0000}" name="Coluna2972"/>
    <tableColumn id="2978" xr3:uid="{00000000-0010-0000-0000-0000A20B0000}" name="Coluna2973"/>
    <tableColumn id="2979" xr3:uid="{00000000-0010-0000-0000-0000A30B0000}" name="Coluna2974"/>
    <tableColumn id="2980" xr3:uid="{00000000-0010-0000-0000-0000A40B0000}" name="Coluna2975"/>
    <tableColumn id="2981" xr3:uid="{00000000-0010-0000-0000-0000A50B0000}" name="Coluna2976"/>
    <tableColumn id="2982" xr3:uid="{00000000-0010-0000-0000-0000A60B0000}" name="Coluna2977"/>
    <tableColumn id="2983" xr3:uid="{00000000-0010-0000-0000-0000A70B0000}" name="Coluna2978"/>
    <tableColumn id="2984" xr3:uid="{00000000-0010-0000-0000-0000A80B0000}" name="Coluna2979"/>
    <tableColumn id="2985" xr3:uid="{00000000-0010-0000-0000-0000A90B0000}" name="Coluna2980"/>
    <tableColumn id="2986" xr3:uid="{00000000-0010-0000-0000-0000AA0B0000}" name="Coluna2981"/>
    <tableColumn id="2987" xr3:uid="{00000000-0010-0000-0000-0000AB0B0000}" name="Coluna2982"/>
    <tableColumn id="2988" xr3:uid="{00000000-0010-0000-0000-0000AC0B0000}" name="Coluna2983"/>
    <tableColumn id="2989" xr3:uid="{00000000-0010-0000-0000-0000AD0B0000}" name="Coluna2984"/>
    <tableColumn id="2990" xr3:uid="{00000000-0010-0000-0000-0000AE0B0000}" name="Coluna2985"/>
    <tableColumn id="2991" xr3:uid="{00000000-0010-0000-0000-0000AF0B0000}" name="Coluna2986"/>
    <tableColumn id="2992" xr3:uid="{00000000-0010-0000-0000-0000B00B0000}" name="Coluna2987"/>
    <tableColumn id="2993" xr3:uid="{00000000-0010-0000-0000-0000B10B0000}" name="Coluna2988"/>
    <tableColumn id="2994" xr3:uid="{00000000-0010-0000-0000-0000B20B0000}" name="Coluna2989"/>
    <tableColumn id="2995" xr3:uid="{00000000-0010-0000-0000-0000B30B0000}" name="Coluna2990"/>
    <tableColumn id="2996" xr3:uid="{00000000-0010-0000-0000-0000B40B0000}" name="Coluna2991"/>
    <tableColumn id="2997" xr3:uid="{00000000-0010-0000-0000-0000B50B0000}" name="Coluna2992"/>
    <tableColumn id="2998" xr3:uid="{00000000-0010-0000-0000-0000B60B0000}" name="Coluna2993"/>
    <tableColumn id="2999" xr3:uid="{00000000-0010-0000-0000-0000B70B0000}" name="Coluna2994"/>
    <tableColumn id="3000" xr3:uid="{00000000-0010-0000-0000-0000B80B0000}" name="Coluna2995"/>
    <tableColumn id="3001" xr3:uid="{00000000-0010-0000-0000-0000B90B0000}" name="Coluna2996"/>
    <tableColumn id="3002" xr3:uid="{00000000-0010-0000-0000-0000BA0B0000}" name="Coluna2997"/>
    <tableColumn id="3003" xr3:uid="{00000000-0010-0000-0000-0000BB0B0000}" name="Coluna2998"/>
    <tableColumn id="3004" xr3:uid="{00000000-0010-0000-0000-0000BC0B0000}" name="Coluna2999"/>
    <tableColumn id="3005" xr3:uid="{00000000-0010-0000-0000-0000BD0B0000}" name="Coluna3000"/>
    <tableColumn id="3006" xr3:uid="{00000000-0010-0000-0000-0000BE0B0000}" name="Coluna3001"/>
    <tableColumn id="3007" xr3:uid="{00000000-0010-0000-0000-0000BF0B0000}" name="Coluna3002"/>
    <tableColumn id="3008" xr3:uid="{00000000-0010-0000-0000-0000C00B0000}" name="Coluna3003"/>
    <tableColumn id="3009" xr3:uid="{00000000-0010-0000-0000-0000C10B0000}" name="Coluna3004"/>
    <tableColumn id="3010" xr3:uid="{00000000-0010-0000-0000-0000C20B0000}" name="Coluna3005"/>
    <tableColumn id="3011" xr3:uid="{00000000-0010-0000-0000-0000C30B0000}" name="Coluna3006"/>
    <tableColumn id="3012" xr3:uid="{00000000-0010-0000-0000-0000C40B0000}" name="Coluna3007"/>
    <tableColumn id="3013" xr3:uid="{00000000-0010-0000-0000-0000C50B0000}" name="Coluna3008"/>
    <tableColumn id="3014" xr3:uid="{00000000-0010-0000-0000-0000C60B0000}" name="Coluna3009"/>
    <tableColumn id="3015" xr3:uid="{00000000-0010-0000-0000-0000C70B0000}" name="Coluna3010"/>
    <tableColumn id="3016" xr3:uid="{00000000-0010-0000-0000-0000C80B0000}" name="Coluna3011"/>
    <tableColumn id="3017" xr3:uid="{00000000-0010-0000-0000-0000C90B0000}" name="Coluna3012"/>
    <tableColumn id="3018" xr3:uid="{00000000-0010-0000-0000-0000CA0B0000}" name="Coluna3013"/>
    <tableColumn id="3019" xr3:uid="{00000000-0010-0000-0000-0000CB0B0000}" name="Coluna3014"/>
    <tableColumn id="3020" xr3:uid="{00000000-0010-0000-0000-0000CC0B0000}" name="Coluna3015"/>
    <tableColumn id="3021" xr3:uid="{00000000-0010-0000-0000-0000CD0B0000}" name="Coluna3016"/>
    <tableColumn id="3022" xr3:uid="{00000000-0010-0000-0000-0000CE0B0000}" name="Coluna3017"/>
    <tableColumn id="3023" xr3:uid="{00000000-0010-0000-0000-0000CF0B0000}" name="Coluna3018"/>
    <tableColumn id="3024" xr3:uid="{00000000-0010-0000-0000-0000D00B0000}" name="Coluna3019"/>
    <tableColumn id="3025" xr3:uid="{00000000-0010-0000-0000-0000D10B0000}" name="Coluna3020"/>
    <tableColumn id="3026" xr3:uid="{00000000-0010-0000-0000-0000D20B0000}" name="Coluna3021"/>
    <tableColumn id="3027" xr3:uid="{00000000-0010-0000-0000-0000D30B0000}" name="Coluna3022"/>
    <tableColumn id="3028" xr3:uid="{00000000-0010-0000-0000-0000D40B0000}" name="Coluna3023"/>
    <tableColumn id="3029" xr3:uid="{00000000-0010-0000-0000-0000D50B0000}" name="Coluna3024"/>
    <tableColumn id="3030" xr3:uid="{00000000-0010-0000-0000-0000D60B0000}" name="Coluna3025"/>
    <tableColumn id="3031" xr3:uid="{00000000-0010-0000-0000-0000D70B0000}" name="Coluna3026"/>
    <tableColumn id="3032" xr3:uid="{00000000-0010-0000-0000-0000D80B0000}" name="Coluna3027"/>
    <tableColumn id="3033" xr3:uid="{00000000-0010-0000-0000-0000D90B0000}" name="Coluna3028"/>
    <tableColumn id="3034" xr3:uid="{00000000-0010-0000-0000-0000DA0B0000}" name="Coluna3029"/>
    <tableColumn id="3035" xr3:uid="{00000000-0010-0000-0000-0000DB0B0000}" name="Coluna3030"/>
    <tableColumn id="3036" xr3:uid="{00000000-0010-0000-0000-0000DC0B0000}" name="Coluna3031"/>
    <tableColumn id="3037" xr3:uid="{00000000-0010-0000-0000-0000DD0B0000}" name="Coluna3032"/>
    <tableColumn id="3038" xr3:uid="{00000000-0010-0000-0000-0000DE0B0000}" name="Coluna3033"/>
    <tableColumn id="3039" xr3:uid="{00000000-0010-0000-0000-0000DF0B0000}" name="Coluna3034"/>
    <tableColumn id="3040" xr3:uid="{00000000-0010-0000-0000-0000E00B0000}" name="Coluna3035"/>
    <tableColumn id="3041" xr3:uid="{00000000-0010-0000-0000-0000E10B0000}" name="Coluna3036"/>
    <tableColumn id="3042" xr3:uid="{00000000-0010-0000-0000-0000E20B0000}" name="Coluna3037"/>
    <tableColumn id="3043" xr3:uid="{00000000-0010-0000-0000-0000E30B0000}" name="Coluna3038"/>
    <tableColumn id="3044" xr3:uid="{00000000-0010-0000-0000-0000E40B0000}" name="Coluna3039"/>
    <tableColumn id="3045" xr3:uid="{00000000-0010-0000-0000-0000E50B0000}" name="Coluna3040"/>
    <tableColumn id="3046" xr3:uid="{00000000-0010-0000-0000-0000E60B0000}" name="Coluna3041"/>
    <tableColumn id="3047" xr3:uid="{00000000-0010-0000-0000-0000E70B0000}" name="Coluna3042"/>
    <tableColumn id="3048" xr3:uid="{00000000-0010-0000-0000-0000E80B0000}" name="Coluna3043"/>
    <tableColumn id="3049" xr3:uid="{00000000-0010-0000-0000-0000E90B0000}" name="Coluna3044"/>
    <tableColumn id="3050" xr3:uid="{00000000-0010-0000-0000-0000EA0B0000}" name="Coluna3045"/>
    <tableColumn id="3051" xr3:uid="{00000000-0010-0000-0000-0000EB0B0000}" name="Coluna3046"/>
    <tableColumn id="3052" xr3:uid="{00000000-0010-0000-0000-0000EC0B0000}" name="Coluna3047"/>
    <tableColumn id="3053" xr3:uid="{00000000-0010-0000-0000-0000ED0B0000}" name="Coluna3048"/>
    <tableColumn id="3054" xr3:uid="{00000000-0010-0000-0000-0000EE0B0000}" name="Coluna3049"/>
    <tableColumn id="3055" xr3:uid="{00000000-0010-0000-0000-0000EF0B0000}" name="Coluna3050"/>
    <tableColumn id="3056" xr3:uid="{00000000-0010-0000-0000-0000F00B0000}" name="Coluna3051"/>
    <tableColumn id="3057" xr3:uid="{00000000-0010-0000-0000-0000F10B0000}" name="Coluna3052"/>
    <tableColumn id="3058" xr3:uid="{00000000-0010-0000-0000-0000F20B0000}" name="Coluna3053"/>
    <tableColumn id="3059" xr3:uid="{00000000-0010-0000-0000-0000F30B0000}" name="Coluna3054"/>
    <tableColumn id="3060" xr3:uid="{00000000-0010-0000-0000-0000F40B0000}" name="Coluna3055"/>
    <tableColumn id="3061" xr3:uid="{00000000-0010-0000-0000-0000F50B0000}" name="Coluna3056"/>
    <tableColumn id="3062" xr3:uid="{00000000-0010-0000-0000-0000F60B0000}" name="Coluna3057"/>
    <tableColumn id="3063" xr3:uid="{00000000-0010-0000-0000-0000F70B0000}" name="Coluna3058"/>
    <tableColumn id="3064" xr3:uid="{00000000-0010-0000-0000-0000F80B0000}" name="Coluna3059"/>
    <tableColumn id="3065" xr3:uid="{00000000-0010-0000-0000-0000F90B0000}" name="Coluna3060"/>
    <tableColumn id="3066" xr3:uid="{00000000-0010-0000-0000-0000FA0B0000}" name="Coluna3061"/>
    <tableColumn id="3067" xr3:uid="{00000000-0010-0000-0000-0000FB0B0000}" name="Coluna3062"/>
    <tableColumn id="3068" xr3:uid="{00000000-0010-0000-0000-0000FC0B0000}" name="Coluna3063"/>
    <tableColumn id="3069" xr3:uid="{00000000-0010-0000-0000-0000FD0B0000}" name="Coluna3064"/>
    <tableColumn id="3070" xr3:uid="{00000000-0010-0000-0000-0000FE0B0000}" name="Coluna3065"/>
    <tableColumn id="3071" xr3:uid="{00000000-0010-0000-0000-0000FF0B0000}" name="Coluna3066"/>
    <tableColumn id="3072" xr3:uid="{00000000-0010-0000-0000-0000000C0000}" name="Coluna3067"/>
    <tableColumn id="3073" xr3:uid="{00000000-0010-0000-0000-0000010C0000}" name="Coluna3068"/>
    <tableColumn id="3074" xr3:uid="{00000000-0010-0000-0000-0000020C0000}" name="Coluna3069"/>
    <tableColumn id="3075" xr3:uid="{00000000-0010-0000-0000-0000030C0000}" name="Coluna3070"/>
    <tableColumn id="3076" xr3:uid="{00000000-0010-0000-0000-0000040C0000}" name="Coluna3071"/>
    <tableColumn id="3077" xr3:uid="{00000000-0010-0000-0000-0000050C0000}" name="Coluna3072"/>
    <tableColumn id="3078" xr3:uid="{00000000-0010-0000-0000-0000060C0000}" name="Coluna3073"/>
    <tableColumn id="3079" xr3:uid="{00000000-0010-0000-0000-0000070C0000}" name="Coluna3074"/>
    <tableColumn id="3080" xr3:uid="{00000000-0010-0000-0000-0000080C0000}" name="Coluna3075"/>
    <tableColumn id="3081" xr3:uid="{00000000-0010-0000-0000-0000090C0000}" name="Coluna3076"/>
    <tableColumn id="3082" xr3:uid="{00000000-0010-0000-0000-00000A0C0000}" name="Coluna3077"/>
    <tableColumn id="3083" xr3:uid="{00000000-0010-0000-0000-00000B0C0000}" name="Coluna3078"/>
    <tableColumn id="3084" xr3:uid="{00000000-0010-0000-0000-00000C0C0000}" name="Coluna3079"/>
    <tableColumn id="3085" xr3:uid="{00000000-0010-0000-0000-00000D0C0000}" name="Coluna3080"/>
    <tableColumn id="3086" xr3:uid="{00000000-0010-0000-0000-00000E0C0000}" name="Coluna3081"/>
    <tableColumn id="3087" xr3:uid="{00000000-0010-0000-0000-00000F0C0000}" name="Coluna3082"/>
    <tableColumn id="3088" xr3:uid="{00000000-0010-0000-0000-0000100C0000}" name="Coluna3083"/>
    <tableColumn id="3089" xr3:uid="{00000000-0010-0000-0000-0000110C0000}" name="Coluna3084"/>
    <tableColumn id="3090" xr3:uid="{00000000-0010-0000-0000-0000120C0000}" name="Coluna3085"/>
    <tableColumn id="3091" xr3:uid="{00000000-0010-0000-0000-0000130C0000}" name="Coluna3086"/>
    <tableColumn id="3092" xr3:uid="{00000000-0010-0000-0000-0000140C0000}" name="Coluna3087"/>
    <tableColumn id="3093" xr3:uid="{00000000-0010-0000-0000-0000150C0000}" name="Coluna3088"/>
    <tableColumn id="3094" xr3:uid="{00000000-0010-0000-0000-0000160C0000}" name="Coluna3089"/>
    <tableColumn id="3095" xr3:uid="{00000000-0010-0000-0000-0000170C0000}" name="Coluna3090"/>
    <tableColumn id="3096" xr3:uid="{00000000-0010-0000-0000-0000180C0000}" name="Coluna3091"/>
    <tableColumn id="3097" xr3:uid="{00000000-0010-0000-0000-0000190C0000}" name="Coluna3092"/>
    <tableColumn id="3098" xr3:uid="{00000000-0010-0000-0000-00001A0C0000}" name="Coluna3093"/>
    <tableColumn id="3099" xr3:uid="{00000000-0010-0000-0000-00001B0C0000}" name="Coluna3094"/>
    <tableColumn id="3100" xr3:uid="{00000000-0010-0000-0000-00001C0C0000}" name="Coluna3095"/>
    <tableColumn id="3101" xr3:uid="{00000000-0010-0000-0000-00001D0C0000}" name="Coluna3096"/>
    <tableColumn id="3102" xr3:uid="{00000000-0010-0000-0000-00001E0C0000}" name="Coluna3097"/>
    <tableColumn id="3103" xr3:uid="{00000000-0010-0000-0000-00001F0C0000}" name="Coluna3098"/>
    <tableColumn id="3104" xr3:uid="{00000000-0010-0000-0000-0000200C0000}" name="Coluna3099"/>
    <tableColumn id="3105" xr3:uid="{00000000-0010-0000-0000-0000210C0000}" name="Coluna3100"/>
    <tableColumn id="3106" xr3:uid="{00000000-0010-0000-0000-0000220C0000}" name="Coluna3101"/>
    <tableColumn id="3107" xr3:uid="{00000000-0010-0000-0000-0000230C0000}" name="Coluna3102"/>
    <tableColumn id="3108" xr3:uid="{00000000-0010-0000-0000-0000240C0000}" name="Coluna3103"/>
    <tableColumn id="3109" xr3:uid="{00000000-0010-0000-0000-0000250C0000}" name="Coluna3104"/>
    <tableColumn id="3110" xr3:uid="{00000000-0010-0000-0000-0000260C0000}" name="Coluna3105"/>
    <tableColumn id="3111" xr3:uid="{00000000-0010-0000-0000-0000270C0000}" name="Coluna3106"/>
    <tableColumn id="3112" xr3:uid="{00000000-0010-0000-0000-0000280C0000}" name="Coluna3107"/>
    <tableColumn id="3113" xr3:uid="{00000000-0010-0000-0000-0000290C0000}" name="Coluna3108"/>
    <tableColumn id="3114" xr3:uid="{00000000-0010-0000-0000-00002A0C0000}" name="Coluna3109"/>
    <tableColumn id="3115" xr3:uid="{00000000-0010-0000-0000-00002B0C0000}" name="Coluna3110"/>
    <tableColumn id="3116" xr3:uid="{00000000-0010-0000-0000-00002C0C0000}" name="Coluna3111"/>
    <tableColumn id="3117" xr3:uid="{00000000-0010-0000-0000-00002D0C0000}" name="Coluna3112"/>
    <tableColumn id="3118" xr3:uid="{00000000-0010-0000-0000-00002E0C0000}" name="Coluna3113"/>
    <tableColumn id="3119" xr3:uid="{00000000-0010-0000-0000-00002F0C0000}" name="Coluna3114"/>
    <tableColumn id="3120" xr3:uid="{00000000-0010-0000-0000-0000300C0000}" name="Coluna3115"/>
    <tableColumn id="3121" xr3:uid="{00000000-0010-0000-0000-0000310C0000}" name="Coluna3116"/>
    <tableColumn id="3122" xr3:uid="{00000000-0010-0000-0000-0000320C0000}" name="Coluna3117"/>
    <tableColumn id="3123" xr3:uid="{00000000-0010-0000-0000-0000330C0000}" name="Coluna3118"/>
    <tableColumn id="3124" xr3:uid="{00000000-0010-0000-0000-0000340C0000}" name="Coluna3119"/>
    <tableColumn id="3125" xr3:uid="{00000000-0010-0000-0000-0000350C0000}" name="Coluna3120"/>
    <tableColumn id="3126" xr3:uid="{00000000-0010-0000-0000-0000360C0000}" name="Coluna3121"/>
    <tableColumn id="3127" xr3:uid="{00000000-0010-0000-0000-0000370C0000}" name="Coluna3122"/>
    <tableColumn id="3128" xr3:uid="{00000000-0010-0000-0000-0000380C0000}" name="Coluna3123"/>
    <tableColumn id="3129" xr3:uid="{00000000-0010-0000-0000-0000390C0000}" name="Coluna3124"/>
    <tableColumn id="3130" xr3:uid="{00000000-0010-0000-0000-00003A0C0000}" name="Coluna3125"/>
    <tableColumn id="3131" xr3:uid="{00000000-0010-0000-0000-00003B0C0000}" name="Coluna3126"/>
    <tableColumn id="3132" xr3:uid="{00000000-0010-0000-0000-00003C0C0000}" name="Coluna3127"/>
    <tableColumn id="3133" xr3:uid="{00000000-0010-0000-0000-00003D0C0000}" name="Coluna3128"/>
    <tableColumn id="3134" xr3:uid="{00000000-0010-0000-0000-00003E0C0000}" name="Coluna3129"/>
    <tableColumn id="3135" xr3:uid="{00000000-0010-0000-0000-00003F0C0000}" name="Coluna3130"/>
    <tableColumn id="3136" xr3:uid="{00000000-0010-0000-0000-0000400C0000}" name="Coluna3131"/>
    <tableColumn id="3137" xr3:uid="{00000000-0010-0000-0000-0000410C0000}" name="Coluna3132"/>
    <tableColumn id="3138" xr3:uid="{00000000-0010-0000-0000-0000420C0000}" name="Coluna3133"/>
    <tableColumn id="3139" xr3:uid="{00000000-0010-0000-0000-0000430C0000}" name="Coluna3134"/>
    <tableColumn id="3140" xr3:uid="{00000000-0010-0000-0000-0000440C0000}" name="Coluna3135"/>
    <tableColumn id="3141" xr3:uid="{00000000-0010-0000-0000-0000450C0000}" name="Coluna3136"/>
    <tableColumn id="3142" xr3:uid="{00000000-0010-0000-0000-0000460C0000}" name="Coluna3137"/>
    <tableColumn id="3143" xr3:uid="{00000000-0010-0000-0000-0000470C0000}" name="Coluna3138"/>
    <tableColumn id="3144" xr3:uid="{00000000-0010-0000-0000-0000480C0000}" name="Coluna3139"/>
    <tableColumn id="3145" xr3:uid="{00000000-0010-0000-0000-0000490C0000}" name="Coluna3140"/>
    <tableColumn id="3146" xr3:uid="{00000000-0010-0000-0000-00004A0C0000}" name="Coluna3141"/>
    <tableColumn id="3147" xr3:uid="{00000000-0010-0000-0000-00004B0C0000}" name="Coluna3142"/>
    <tableColumn id="3148" xr3:uid="{00000000-0010-0000-0000-00004C0C0000}" name="Coluna3143"/>
    <tableColumn id="3149" xr3:uid="{00000000-0010-0000-0000-00004D0C0000}" name="Coluna3144"/>
    <tableColumn id="3150" xr3:uid="{00000000-0010-0000-0000-00004E0C0000}" name="Coluna3145"/>
    <tableColumn id="3151" xr3:uid="{00000000-0010-0000-0000-00004F0C0000}" name="Coluna3146"/>
    <tableColumn id="3152" xr3:uid="{00000000-0010-0000-0000-0000500C0000}" name="Coluna3147"/>
    <tableColumn id="3153" xr3:uid="{00000000-0010-0000-0000-0000510C0000}" name="Coluna3148"/>
    <tableColumn id="3154" xr3:uid="{00000000-0010-0000-0000-0000520C0000}" name="Coluna3149"/>
    <tableColumn id="3155" xr3:uid="{00000000-0010-0000-0000-0000530C0000}" name="Coluna3150"/>
    <tableColumn id="3156" xr3:uid="{00000000-0010-0000-0000-0000540C0000}" name="Coluna3151"/>
    <tableColumn id="3157" xr3:uid="{00000000-0010-0000-0000-0000550C0000}" name="Coluna3152"/>
    <tableColumn id="3158" xr3:uid="{00000000-0010-0000-0000-0000560C0000}" name="Coluna3153"/>
    <tableColumn id="3159" xr3:uid="{00000000-0010-0000-0000-0000570C0000}" name="Coluna3154"/>
    <tableColumn id="3160" xr3:uid="{00000000-0010-0000-0000-0000580C0000}" name="Coluna3155"/>
    <tableColumn id="3161" xr3:uid="{00000000-0010-0000-0000-0000590C0000}" name="Coluna3156"/>
    <tableColumn id="3162" xr3:uid="{00000000-0010-0000-0000-00005A0C0000}" name="Coluna3157"/>
    <tableColumn id="3163" xr3:uid="{00000000-0010-0000-0000-00005B0C0000}" name="Coluna3158"/>
    <tableColumn id="3164" xr3:uid="{00000000-0010-0000-0000-00005C0C0000}" name="Coluna3159"/>
    <tableColumn id="3165" xr3:uid="{00000000-0010-0000-0000-00005D0C0000}" name="Coluna3160"/>
    <tableColumn id="3166" xr3:uid="{00000000-0010-0000-0000-00005E0C0000}" name="Coluna3161"/>
    <tableColumn id="3167" xr3:uid="{00000000-0010-0000-0000-00005F0C0000}" name="Coluna3162"/>
    <tableColumn id="3168" xr3:uid="{00000000-0010-0000-0000-0000600C0000}" name="Coluna3163"/>
    <tableColumn id="3169" xr3:uid="{00000000-0010-0000-0000-0000610C0000}" name="Coluna3164"/>
    <tableColumn id="3170" xr3:uid="{00000000-0010-0000-0000-0000620C0000}" name="Coluna3165"/>
    <tableColumn id="3171" xr3:uid="{00000000-0010-0000-0000-0000630C0000}" name="Coluna3166"/>
    <tableColumn id="3172" xr3:uid="{00000000-0010-0000-0000-0000640C0000}" name="Coluna3167"/>
    <tableColumn id="3173" xr3:uid="{00000000-0010-0000-0000-0000650C0000}" name="Coluna3168"/>
    <tableColumn id="3174" xr3:uid="{00000000-0010-0000-0000-0000660C0000}" name="Coluna3169"/>
    <tableColumn id="3175" xr3:uid="{00000000-0010-0000-0000-0000670C0000}" name="Coluna3170"/>
    <tableColumn id="3176" xr3:uid="{00000000-0010-0000-0000-0000680C0000}" name="Coluna3171"/>
    <tableColumn id="3177" xr3:uid="{00000000-0010-0000-0000-0000690C0000}" name="Coluna3172"/>
    <tableColumn id="3178" xr3:uid="{00000000-0010-0000-0000-00006A0C0000}" name="Coluna3173"/>
    <tableColumn id="3179" xr3:uid="{00000000-0010-0000-0000-00006B0C0000}" name="Coluna3174"/>
    <tableColumn id="3180" xr3:uid="{00000000-0010-0000-0000-00006C0C0000}" name="Coluna3175"/>
    <tableColumn id="3181" xr3:uid="{00000000-0010-0000-0000-00006D0C0000}" name="Coluna3176"/>
    <tableColumn id="3182" xr3:uid="{00000000-0010-0000-0000-00006E0C0000}" name="Coluna3177"/>
    <tableColumn id="3183" xr3:uid="{00000000-0010-0000-0000-00006F0C0000}" name="Coluna3178"/>
    <tableColumn id="3184" xr3:uid="{00000000-0010-0000-0000-0000700C0000}" name="Coluna3179"/>
    <tableColumn id="3185" xr3:uid="{00000000-0010-0000-0000-0000710C0000}" name="Coluna3180"/>
    <tableColumn id="3186" xr3:uid="{00000000-0010-0000-0000-0000720C0000}" name="Coluna3181"/>
    <tableColumn id="3187" xr3:uid="{00000000-0010-0000-0000-0000730C0000}" name="Coluna3182"/>
    <tableColumn id="3188" xr3:uid="{00000000-0010-0000-0000-0000740C0000}" name="Coluna3183"/>
    <tableColumn id="3189" xr3:uid="{00000000-0010-0000-0000-0000750C0000}" name="Coluna3184"/>
    <tableColumn id="3190" xr3:uid="{00000000-0010-0000-0000-0000760C0000}" name="Coluna3185"/>
    <tableColumn id="3191" xr3:uid="{00000000-0010-0000-0000-0000770C0000}" name="Coluna3186"/>
    <tableColumn id="3192" xr3:uid="{00000000-0010-0000-0000-0000780C0000}" name="Coluna3187"/>
    <tableColumn id="3193" xr3:uid="{00000000-0010-0000-0000-0000790C0000}" name="Coluna3188"/>
    <tableColumn id="3194" xr3:uid="{00000000-0010-0000-0000-00007A0C0000}" name="Coluna3189"/>
    <tableColumn id="3195" xr3:uid="{00000000-0010-0000-0000-00007B0C0000}" name="Coluna3190"/>
    <tableColumn id="3196" xr3:uid="{00000000-0010-0000-0000-00007C0C0000}" name="Coluna3191"/>
    <tableColumn id="3197" xr3:uid="{00000000-0010-0000-0000-00007D0C0000}" name="Coluna3192"/>
    <tableColumn id="3198" xr3:uid="{00000000-0010-0000-0000-00007E0C0000}" name="Coluna3193"/>
    <tableColumn id="3199" xr3:uid="{00000000-0010-0000-0000-00007F0C0000}" name="Coluna3194"/>
    <tableColumn id="3200" xr3:uid="{00000000-0010-0000-0000-0000800C0000}" name="Coluna3195"/>
    <tableColumn id="3201" xr3:uid="{00000000-0010-0000-0000-0000810C0000}" name="Coluna3196"/>
    <tableColumn id="3202" xr3:uid="{00000000-0010-0000-0000-0000820C0000}" name="Coluna3197"/>
    <tableColumn id="3203" xr3:uid="{00000000-0010-0000-0000-0000830C0000}" name="Coluna3198"/>
    <tableColumn id="3204" xr3:uid="{00000000-0010-0000-0000-0000840C0000}" name="Coluna3199"/>
    <tableColumn id="3205" xr3:uid="{00000000-0010-0000-0000-0000850C0000}" name="Coluna3200"/>
    <tableColumn id="3206" xr3:uid="{00000000-0010-0000-0000-0000860C0000}" name="Coluna3201"/>
    <tableColumn id="3207" xr3:uid="{00000000-0010-0000-0000-0000870C0000}" name="Coluna3202"/>
    <tableColumn id="3208" xr3:uid="{00000000-0010-0000-0000-0000880C0000}" name="Coluna3203"/>
    <tableColumn id="3209" xr3:uid="{00000000-0010-0000-0000-0000890C0000}" name="Coluna3204"/>
    <tableColumn id="3210" xr3:uid="{00000000-0010-0000-0000-00008A0C0000}" name="Coluna3205"/>
    <tableColumn id="3211" xr3:uid="{00000000-0010-0000-0000-00008B0C0000}" name="Coluna3206"/>
    <tableColumn id="3212" xr3:uid="{00000000-0010-0000-0000-00008C0C0000}" name="Coluna3207"/>
    <tableColumn id="3213" xr3:uid="{00000000-0010-0000-0000-00008D0C0000}" name="Coluna3208"/>
    <tableColumn id="3214" xr3:uid="{00000000-0010-0000-0000-00008E0C0000}" name="Coluna3209"/>
    <tableColumn id="3215" xr3:uid="{00000000-0010-0000-0000-00008F0C0000}" name="Coluna3210"/>
    <tableColumn id="3216" xr3:uid="{00000000-0010-0000-0000-0000900C0000}" name="Coluna3211"/>
    <tableColumn id="3217" xr3:uid="{00000000-0010-0000-0000-0000910C0000}" name="Coluna3212"/>
    <tableColumn id="3218" xr3:uid="{00000000-0010-0000-0000-0000920C0000}" name="Coluna3213"/>
    <tableColumn id="3219" xr3:uid="{00000000-0010-0000-0000-0000930C0000}" name="Coluna3214"/>
    <tableColumn id="3220" xr3:uid="{00000000-0010-0000-0000-0000940C0000}" name="Coluna3215"/>
    <tableColumn id="3221" xr3:uid="{00000000-0010-0000-0000-0000950C0000}" name="Coluna3216"/>
    <tableColumn id="3222" xr3:uid="{00000000-0010-0000-0000-0000960C0000}" name="Coluna3217"/>
    <tableColumn id="3223" xr3:uid="{00000000-0010-0000-0000-0000970C0000}" name="Coluna3218"/>
    <tableColumn id="3224" xr3:uid="{00000000-0010-0000-0000-0000980C0000}" name="Coluna3219"/>
    <tableColumn id="3225" xr3:uid="{00000000-0010-0000-0000-0000990C0000}" name="Coluna3220"/>
    <tableColumn id="3226" xr3:uid="{00000000-0010-0000-0000-00009A0C0000}" name="Coluna3221"/>
    <tableColumn id="3227" xr3:uid="{00000000-0010-0000-0000-00009B0C0000}" name="Coluna3222"/>
    <tableColumn id="3228" xr3:uid="{00000000-0010-0000-0000-00009C0C0000}" name="Coluna3223"/>
    <tableColumn id="3229" xr3:uid="{00000000-0010-0000-0000-00009D0C0000}" name="Coluna3224"/>
    <tableColumn id="3230" xr3:uid="{00000000-0010-0000-0000-00009E0C0000}" name="Coluna3225"/>
    <tableColumn id="3231" xr3:uid="{00000000-0010-0000-0000-00009F0C0000}" name="Coluna3226"/>
    <tableColumn id="3232" xr3:uid="{00000000-0010-0000-0000-0000A00C0000}" name="Coluna3227"/>
    <tableColumn id="3233" xr3:uid="{00000000-0010-0000-0000-0000A10C0000}" name="Coluna3228"/>
    <tableColumn id="3234" xr3:uid="{00000000-0010-0000-0000-0000A20C0000}" name="Coluna3229"/>
    <tableColumn id="3235" xr3:uid="{00000000-0010-0000-0000-0000A30C0000}" name="Coluna3230"/>
    <tableColumn id="3236" xr3:uid="{00000000-0010-0000-0000-0000A40C0000}" name="Coluna3231"/>
    <tableColumn id="3237" xr3:uid="{00000000-0010-0000-0000-0000A50C0000}" name="Coluna3232"/>
    <tableColumn id="3238" xr3:uid="{00000000-0010-0000-0000-0000A60C0000}" name="Coluna3233"/>
    <tableColumn id="3239" xr3:uid="{00000000-0010-0000-0000-0000A70C0000}" name="Coluna3234"/>
    <tableColumn id="3240" xr3:uid="{00000000-0010-0000-0000-0000A80C0000}" name="Coluna3235"/>
    <tableColumn id="3241" xr3:uid="{00000000-0010-0000-0000-0000A90C0000}" name="Coluna3236"/>
    <tableColumn id="3242" xr3:uid="{00000000-0010-0000-0000-0000AA0C0000}" name="Coluna3237"/>
    <tableColumn id="3243" xr3:uid="{00000000-0010-0000-0000-0000AB0C0000}" name="Coluna3238"/>
    <tableColumn id="3244" xr3:uid="{00000000-0010-0000-0000-0000AC0C0000}" name="Coluna3239"/>
    <tableColumn id="3245" xr3:uid="{00000000-0010-0000-0000-0000AD0C0000}" name="Coluna3240"/>
    <tableColumn id="3246" xr3:uid="{00000000-0010-0000-0000-0000AE0C0000}" name="Coluna3241"/>
    <tableColumn id="3247" xr3:uid="{00000000-0010-0000-0000-0000AF0C0000}" name="Coluna3242"/>
    <tableColumn id="3248" xr3:uid="{00000000-0010-0000-0000-0000B00C0000}" name="Coluna3243"/>
    <tableColumn id="3249" xr3:uid="{00000000-0010-0000-0000-0000B10C0000}" name="Coluna3244"/>
    <tableColumn id="3250" xr3:uid="{00000000-0010-0000-0000-0000B20C0000}" name="Coluna3245"/>
    <tableColumn id="3251" xr3:uid="{00000000-0010-0000-0000-0000B30C0000}" name="Coluna3246"/>
    <tableColumn id="3252" xr3:uid="{00000000-0010-0000-0000-0000B40C0000}" name="Coluna3247"/>
    <tableColumn id="3253" xr3:uid="{00000000-0010-0000-0000-0000B50C0000}" name="Coluna3248"/>
    <tableColumn id="3254" xr3:uid="{00000000-0010-0000-0000-0000B60C0000}" name="Coluna3249"/>
    <tableColumn id="3255" xr3:uid="{00000000-0010-0000-0000-0000B70C0000}" name="Coluna3250"/>
    <tableColumn id="3256" xr3:uid="{00000000-0010-0000-0000-0000B80C0000}" name="Coluna3251"/>
    <tableColumn id="3257" xr3:uid="{00000000-0010-0000-0000-0000B90C0000}" name="Coluna3252"/>
    <tableColumn id="3258" xr3:uid="{00000000-0010-0000-0000-0000BA0C0000}" name="Coluna3253"/>
    <tableColumn id="3259" xr3:uid="{00000000-0010-0000-0000-0000BB0C0000}" name="Coluna3254"/>
    <tableColumn id="3260" xr3:uid="{00000000-0010-0000-0000-0000BC0C0000}" name="Coluna3255"/>
    <tableColumn id="3261" xr3:uid="{00000000-0010-0000-0000-0000BD0C0000}" name="Coluna3256"/>
    <tableColumn id="3262" xr3:uid="{00000000-0010-0000-0000-0000BE0C0000}" name="Coluna3257"/>
    <tableColumn id="3263" xr3:uid="{00000000-0010-0000-0000-0000BF0C0000}" name="Coluna3258"/>
    <tableColumn id="3264" xr3:uid="{00000000-0010-0000-0000-0000C00C0000}" name="Coluna3259"/>
    <tableColumn id="3265" xr3:uid="{00000000-0010-0000-0000-0000C10C0000}" name="Coluna3260"/>
    <tableColumn id="3266" xr3:uid="{00000000-0010-0000-0000-0000C20C0000}" name="Coluna3261"/>
    <tableColumn id="3267" xr3:uid="{00000000-0010-0000-0000-0000C30C0000}" name="Coluna3262"/>
    <tableColumn id="3268" xr3:uid="{00000000-0010-0000-0000-0000C40C0000}" name="Coluna3263"/>
    <tableColumn id="3269" xr3:uid="{00000000-0010-0000-0000-0000C50C0000}" name="Coluna3264"/>
    <tableColumn id="3270" xr3:uid="{00000000-0010-0000-0000-0000C60C0000}" name="Coluna3265"/>
    <tableColumn id="3271" xr3:uid="{00000000-0010-0000-0000-0000C70C0000}" name="Coluna3266"/>
    <tableColumn id="3272" xr3:uid="{00000000-0010-0000-0000-0000C80C0000}" name="Coluna3267"/>
    <tableColumn id="3273" xr3:uid="{00000000-0010-0000-0000-0000C90C0000}" name="Coluna3268"/>
    <tableColumn id="3274" xr3:uid="{00000000-0010-0000-0000-0000CA0C0000}" name="Coluna3269"/>
    <tableColumn id="3275" xr3:uid="{00000000-0010-0000-0000-0000CB0C0000}" name="Coluna3270"/>
    <tableColumn id="3276" xr3:uid="{00000000-0010-0000-0000-0000CC0C0000}" name="Coluna3271"/>
    <tableColumn id="3277" xr3:uid="{00000000-0010-0000-0000-0000CD0C0000}" name="Coluna3272"/>
    <tableColumn id="3278" xr3:uid="{00000000-0010-0000-0000-0000CE0C0000}" name="Coluna3273"/>
    <tableColumn id="3279" xr3:uid="{00000000-0010-0000-0000-0000CF0C0000}" name="Coluna3274"/>
    <tableColumn id="3280" xr3:uid="{00000000-0010-0000-0000-0000D00C0000}" name="Coluna3275"/>
    <tableColumn id="3281" xr3:uid="{00000000-0010-0000-0000-0000D10C0000}" name="Coluna3276"/>
    <tableColumn id="3282" xr3:uid="{00000000-0010-0000-0000-0000D20C0000}" name="Coluna3277"/>
    <tableColumn id="3283" xr3:uid="{00000000-0010-0000-0000-0000D30C0000}" name="Coluna3278"/>
    <tableColumn id="3284" xr3:uid="{00000000-0010-0000-0000-0000D40C0000}" name="Coluna3279"/>
    <tableColumn id="3285" xr3:uid="{00000000-0010-0000-0000-0000D50C0000}" name="Coluna3280"/>
    <tableColumn id="3286" xr3:uid="{00000000-0010-0000-0000-0000D60C0000}" name="Coluna3281"/>
    <tableColumn id="3287" xr3:uid="{00000000-0010-0000-0000-0000D70C0000}" name="Coluna3282"/>
    <tableColumn id="3288" xr3:uid="{00000000-0010-0000-0000-0000D80C0000}" name="Coluna3283"/>
    <tableColumn id="3289" xr3:uid="{00000000-0010-0000-0000-0000D90C0000}" name="Coluna3284"/>
    <tableColumn id="3290" xr3:uid="{00000000-0010-0000-0000-0000DA0C0000}" name="Coluna3285"/>
    <tableColumn id="3291" xr3:uid="{00000000-0010-0000-0000-0000DB0C0000}" name="Coluna3286"/>
    <tableColumn id="3292" xr3:uid="{00000000-0010-0000-0000-0000DC0C0000}" name="Coluna3287"/>
    <tableColumn id="3293" xr3:uid="{00000000-0010-0000-0000-0000DD0C0000}" name="Coluna3288"/>
    <tableColumn id="3294" xr3:uid="{00000000-0010-0000-0000-0000DE0C0000}" name="Coluna3289"/>
    <tableColumn id="3295" xr3:uid="{00000000-0010-0000-0000-0000DF0C0000}" name="Coluna3290"/>
    <tableColumn id="3296" xr3:uid="{00000000-0010-0000-0000-0000E00C0000}" name="Coluna3291"/>
    <tableColumn id="3297" xr3:uid="{00000000-0010-0000-0000-0000E10C0000}" name="Coluna3292"/>
    <tableColumn id="3298" xr3:uid="{00000000-0010-0000-0000-0000E20C0000}" name="Coluna3293"/>
    <tableColumn id="3299" xr3:uid="{00000000-0010-0000-0000-0000E30C0000}" name="Coluna3294"/>
    <tableColumn id="3300" xr3:uid="{00000000-0010-0000-0000-0000E40C0000}" name="Coluna3295"/>
    <tableColumn id="3301" xr3:uid="{00000000-0010-0000-0000-0000E50C0000}" name="Coluna3296"/>
    <tableColumn id="3302" xr3:uid="{00000000-0010-0000-0000-0000E60C0000}" name="Coluna3297"/>
    <tableColumn id="3303" xr3:uid="{00000000-0010-0000-0000-0000E70C0000}" name="Coluna3298"/>
    <tableColumn id="3304" xr3:uid="{00000000-0010-0000-0000-0000E80C0000}" name="Coluna3299"/>
    <tableColumn id="3305" xr3:uid="{00000000-0010-0000-0000-0000E90C0000}" name="Coluna3300"/>
    <tableColumn id="3306" xr3:uid="{00000000-0010-0000-0000-0000EA0C0000}" name="Coluna3301"/>
    <tableColumn id="3307" xr3:uid="{00000000-0010-0000-0000-0000EB0C0000}" name="Coluna3302"/>
    <tableColumn id="3308" xr3:uid="{00000000-0010-0000-0000-0000EC0C0000}" name="Coluna3303"/>
    <tableColumn id="3309" xr3:uid="{00000000-0010-0000-0000-0000ED0C0000}" name="Coluna3304"/>
    <tableColumn id="3310" xr3:uid="{00000000-0010-0000-0000-0000EE0C0000}" name="Coluna3305"/>
    <tableColumn id="3311" xr3:uid="{00000000-0010-0000-0000-0000EF0C0000}" name="Coluna3306"/>
    <tableColumn id="3312" xr3:uid="{00000000-0010-0000-0000-0000F00C0000}" name="Coluna3307"/>
    <tableColumn id="3313" xr3:uid="{00000000-0010-0000-0000-0000F10C0000}" name="Coluna3308"/>
    <tableColumn id="3314" xr3:uid="{00000000-0010-0000-0000-0000F20C0000}" name="Coluna3309"/>
    <tableColumn id="3315" xr3:uid="{00000000-0010-0000-0000-0000F30C0000}" name="Coluna3310"/>
    <tableColumn id="3316" xr3:uid="{00000000-0010-0000-0000-0000F40C0000}" name="Coluna3311"/>
    <tableColumn id="3317" xr3:uid="{00000000-0010-0000-0000-0000F50C0000}" name="Coluna3312"/>
    <tableColumn id="3318" xr3:uid="{00000000-0010-0000-0000-0000F60C0000}" name="Coluna3313"/>
    <tableColumn id="3319" xr3:uid="{00000000-0010-0000-0000-0000F70C0000}" name="Coluna3314"/>
    <tableColumn id="3320" xr3:uid="{00000000-0010-0000-0000-0000F80C0000}" name="Coluna3315"/>
    <tableColumn id="3321" xr3:uid="{00000000-0010-0000-0000-0000F90C0000}" name="Coluna3316"/>
    <tableColumn id="3322" xr3:uid="{00000000-0010-0000-0000-0000FA0C0000}" name="Coluna3317"/>
    <tableColumn id="3323" xr3:uid="{00000000-0010-0000-0000-0000FB0C0000}" name="Coluna3318"/>
    <tableColumn id="3324" xr3:uid="{00000000-0010-0000-0000-0000FC0C0000}" name="Coluna3319"/>
    <tableColumn id="3325" xr3:uid="{00000000-0010-0000-0000-0000FD0C0000}" name="Coluna3320"/>
    <tableColumn id="3326" xr3:uid="{00000000-0010-0000-0000-0000FE0C0000}" name="Coluna3321"/>
    <tableColumn id="3327" xr3:uid="{00000000-0010-0000-0000-0000FF0C0000}" name="Coluna3322"/>
    <tableColumn id="3328" xr3:uid="{00000000-0010-0000-0000-0000000D0000}" name="Coluna3323"/>
    <tableColumn id="3329" xr3:uid="{00000000-0010-0000-0000-0000010D0000}" name="Coluna3324"/>
    <tableColumn id="3330" xr3:uid="{00000000-0010-0000-0000-0000020D0000}" name="Coluna3325"/>
    <tableColumn id="3331" xr3:uid="{00000000-0010-0000-0000-0000030D0000}" name="Coluna3326"/>
    <tableColumn id="3332" xr3:uid="{00000000-0010-0000-0000-0000040D0000}" name="Coluna3327"/>
    <tableColumn id="3333" xr3:uid="{00000000-0010-0000-0000-0000050D0000}" name="Coluna3328"/>
    <tableColumn id="3334" xr3:uid="{00000000-0010-0000-0000-0000060D0000}" name="Coluna3329"/>
    <tableColumn id="3335" xr3:uid="{00000000-0010-0000-0000-0000070D0000}" name="Coluna3330"/>
    <tableColumn id="3336" xr3:uid="{00000000-0010-0000-0000-0000080D0000}" name="Coluna3331"/>
    <tableColumn id="3337" xr3:uid="{00000000-0010-0000-0000-0000090D0000}" name="Coluna3332"/>
    <tableColumn id="3338" xr3:uid="{00000000-0010-0000-0000-00000A0D0000}" name="Coluna3333"/>
    <tableColumn id="3339" xr3:uid="{00000000-0010-0000-0000-00000B0D0000}" name="Coluna3334"/>
    <tableColumn id="3340" xr3:uid="{00000000-0010-0000-0000-00000C0D0000}" name="Coluna3335"/>
    <tableColumn id="3341" xr3:uid="{00000000-0010-0000-0000-00000D0D0000}" name="Coluna3336"/>
    <tableColumn id="3342" xr3:uid="{00000000-0010-0000-0000-00000E0D0000}" name="Coluna3337"/>
    <tableColumn id="3343" xr3:uid="{00000000-0010-0000-0000-00000F0D0000}" name="Coluna3338"/>
    <tableColumn id="3344" xr3:uid="{00000000-0010-0000-0000-0000100D0000}" name="Coluna3339"/>
    <tableColumn id="3345" xr3:uid="{00000000-0010-0000-0000-0000110D0000}" name="Coluna3340"/>
    <tableColumn id="3346" xr3:uid="{00000000-0010-0000-0000-0000120D0000}" name="Coluna3341"/>
    <tableColumn id="3347" xr3:uid="{00000000-0010-0000-0000-0000130D0000}" name="Coluna3342"/>
    <tableColumn id="3348" xr3:uid="{00000000-0010-0000-0000-0000140D0000}" name="Coluna3343"/>
    <tableColumn id="3349" xr3:uid="{00000000-0010-0000-0000-0000150D0000}" name="Coluna3344"/>
    <tableColumn id="3350" xr3:uid="{00000000-0010-0000-0000-0000160D0000}" name="Coluna3345"/>
    <tableColumn id="3351" xr3:uid="{00000000-0010-0000-0000-0000170D0000}" name="Coluna3346"/>
    <tableColumn id="3352" xr3:uid="{00000000-0010-0000-0000-0000180D0000}" name="Coluna3347"/>
    <tableColumn id="3353" xr3:uid="{00000000-0010-0000-0000-0000190D0000}" name="Coluna3348"/>
    <tableColumn id="3354" xr3:uid="{00000000-0010-0000-0000-00001A0D0000}" name="Coluna3349"/>
    <tableColumn id="3355" xr3:uid="{00000000-0010-0000-0000-00001B0D0000}" name="Coluna3350"/>
    <tableColumn id="3356" xr3:uid="{00000000-0010-0000-0000-00001C0D0000}" name="Coluna3351"/>
    <tableColumn id="3357" xr3:uid="{00000000-0010-0000-0000-00001D0D0000}" name="Coluna3352"/>
    <tableColumn id="3358" xr3:uid="{00000000-0010-0000-0000-00001E0D0000}" name="Coluna3353"/>
    <tableColumn id="3359" xr3:uid="{00000000-0010-0000-0000-00001F0D0000}" name="Coluna3354"/>
    <tableColumn id="3360" xr3:uid="{00000000-0010-0000-0000-0000200D0000}" name="Coluna3355"/>
    <tableColumn id="3361" xr3:uid="{00000000-0010-0000-0000-0000210D0000}" name="Coluna3356"/>
    <tableColumn id="3362" xr3:uid="{00000000-0010-0000-0000-0000220D0000}" name="Coluna3357"/>
    <tableColumn id="3363" xr3:uid="{00000000-0010-0000-0000-0000230D0000}" name="Coluna3358"/>
    <tableColumn id="3364" xr3:uid="{00000000-0010-0000-0000-0000240D0000}" name="Coluna3359"/>
    <tableColumn id="3365" xr3:uid="{00000000-0010-0000-0000-0000250D0000}" name="Coluna3360"/>
    <tableColumn id="3366" xr3:uid="{00000000-0010-0000-0000-0000260D0000}" name="Coluna3361"/>
    <tableColumn id="3367" xr3:uid="{00000000-0010-0000-0000-0000270D0000}" name="Coluna3362"/>
    <tableColumn id="3368" xr3:uid="{00000000-0010-0000-0000-0000280D0000}" name="Coluna3363"/>
    <tableColumn id="3369" xr3:uid="{00000000-0010-0000-0000-0000290D0000}" name="Coluna3364"/>
    <tableColumn id="3370" xr3:uid="{00000000-0010-0000-0000-00002A0D0000}" name="Coluna3365"/>
    <tableColumn id="3371" xr3:uid="{00000000-0010-0000-0000-00002B0D0000}" name="Coluna3366"/>
    <tableColumn id="3372" xr3:uid="{00000000-0010-0000-0000-00002C0D0000}" name="Coluna3367"/>
    <tableColumn id="3373" xr3:uid="{00000000-0010-0000-0000-00002D0D0000}" name="Coluna3368"/>
    <tableColumn id="3374" xr3:uid="{00000000-0010-0000-0000-00002E0D0000}" name="Coluna3369"/>
    <tableColumn id="3375" xr3:uid="{00000000-0010-0000-0000-00002F0D0000}" name="Coluna3370"/>
    <tableColumn id="3376" xr3:uid="{00000000-0010-0000-0000-0000300D0000}" name="Coluna3371"/>
    <tableColumn id="3377" xr3:uid="{00000000-0010-0000-0000-0000310D0000}" name="Coluna3372"/>
    <tableColumn id="3378" xr3:uid="{00000000-0010-0000-0000-0000320D0000}" name="Coluna3373"/>
    <tableColumn id="3379" xr3:uid="{00000000-0010-0000-0000-0000330D0000}" name="Coluna3374"/>
    <tableColumn id="3380" xr3:uid="{00000000-0010-0000-0000-0000340D0000}" name="Coluna3375"/>
    <tableColumn id="3381" xr3:uid="{00000000-0010-0000-0000-0000350D0000}" name="Coluna3376"/>
    <tableColumn id="3382" xr3:uid="{00000000-0010-0000-0000-0000360D0000}" name="Coluna3377"/>
    <tableColumn id="3383" xr3:uid="{00000000-0010-0000-0000-0000370D0000}" name="Coluna3378"/>
    <tableColumn id="3384" xr3:uid="{00000000-0010-0000-0000-0000380D0000}" name="Coluna3379"/>
    <tableColumn id="3385" xr3:uid="{00000000-0010-0000-0000-0000390D0000}" name="Coluna3380"/>
    <tableColumn id="3386" xr3:uid="{00000000-0010-0000-0000-00003A0D0000}" name="Coluna3381"/>
    <tableColumn id="3387" xr3:uid="{00000000-0010-0000-0000-00003B0D0000}" name="Coluna3382"/>
    <tableColumn id="3388" xr3:uid="{00000000-0010-0000-0000-00003C0D0000}" name="Coluna3383"/>
    <tableColumn id="3389" xr3:uid="{00000000-0010-0000-0000-00003D0D0000}" name="Coluna3384"/>
    <tableColumn id="3390" xr3:uid="{00000000-0010-0000-0000-00003E0D0000}" name="Coluna3385"/>
    <tableColumn id="3391" xr3:uid="{00000000-0010-0000-0000-00003F0D0000}" name="Coluna3386"/>
    <tableColumn id="3392" xr3:uid="{00000000-0010-0000-0000-0000400D0000}" name="Coluna3387"/>
    <tableColumn id="3393" xr3:uid="{00000000-0010-0000-0000-0000410D0000}" name="Coluna3388"/>
    <tableColumn id="3394" xr3:uid="{00000000-0010-0000-0000-0000420D0000}" name="Coluna3389"/>
    <tableColumn id="3395" xr3:uid="{00000000-0010-0000-0000-0000430D0000}" name="Coluna3390"/>
    <tableColumn id="3396" xr3:uid="{00000000-0010-0000-0000-0000440D0000}" name="Coluna3391"/>
    <tableColumn id="3397" xr3:uid="{00000000-0010-0000-0000-0000450D0000}" name="Coluna3392"/>
    <tableColumn id="3398" xr3:uid="{00000000-0010-0000-0000-0000460D0000}" name="Coluna3393"/>
    <tableColumn id="3399" xr3:uid="{00000000-0010-0000-0000-0000470D0000}" name="Coluna3394"/>
    <tableColumn id="3400" xr3:uid="{00000000-0010-0000-0000-0000480D0000}" name="Coluna3395"/>
    <tableColumn id="3401" xr3:uid="{00000000-0010-0000-0000-0000490D0000}" name="Coluna3396"/>
    <tableColumn id="3402" xr3:uid="{00000000-0010-0000-0000-00004A0D0000}" name="Coluna3397"/>
    <tableColumn id="3403" xr3:uid="{00000000-0010-0000-0000-00004B0D0000}" name="Coluna3398"/>
    <tableColumn id="3404" xr3:uid="{00000000-0010-0000-0000-00004C0D0000}" name="Coluna3399"/>
    <tableColumn id="3405" xr3:uid="{00000000-0010-0000-0000-00004D0D0000}" name="Coluna3400"/>
    <tableColumn id="3406" xr3:uid="{00000000-0010-0000-0000-00004E0D0000}" name="Coluna3401"/>
    <tableColumn id="3407" xr3:uid="{00000000-0010-0000-0000-00004F0D0000}" name="Coluna3402"/>
    <tableColumn id="3408" xr3:uid="{00000000-0010-0000-0000-0000500D0000}" name="Coluna3403"/>
    <tableColumn id="3409" xr3:uid="{00000000-0010-0000-0000-0000510D0000}" name="Coluna3404"/>
    <tableColumn id="3410" xr3:uid="{00000000-0010-0000-0000-0000520D0000}" name="Coluna3405"/>
    <tableColumn id="3411" xr3:uid="{00000000-0010-0000-0000-0000530D0000}" name="Coluna3406"/>
    <tableColumn id="3412" xr3:uid="{00000000-0010-0000-0000-0000540D0000}" name="Coluna3407"/>
    <tableColumn id="3413" xr3:uid="{00000000-0010-0000-0000-0000550D0000}" name="Coluna3408"/>
    <tableColumn id="3414" xr3:uid="{00000000-0010-0000-0000-0000560D0000}" name="Coluna3409"/>
    <tableColumn id="3415" xr3:uid="{00000000-0010-0000-0000-0000570D0000}" name="Coluna3410"/>
    <tableColumn id="3416" xr3:uid="{00000000-0010-0000-0000-0000580D0000}" name="Coluna3411"/>
    <tableColumn id="3417" xr3:uid="{00000000-0010-0000-0000-0000590D0000}" name="Coluna3412"/>
    <tableColumn id="3418" xr3:uid="{00000000-0010-0000-0000-00005A0D0000}" name="Coluna3413"/>
    <tableColumn id="3419" xr3:uid="{00000000-0010-0000-0000-00005B0D0000}" name="Coluna3414"/>
    <tableColumn id="3420" xr3:uid="{00000000-0010-0000-0000-00005C0D0000}" name="Coluna3415"/>
    <tableColumn id="3421" xr3:uid="{00000000-0010-0000-0000-00005D0D0000}" name="Coluna3416"/>
    <tableColumn id="3422" xr3:uid="{00000000-0010-0000-0000-00005E0D0000}" name="Coluna3417"/>
    <tableColumn id="3423" xr3:uid="{00000000-0010-0000-0000-00005F0D0000}" name="Coluna3418"/>
    <tableColumn id="3424" xr3:uid="{00000000-0010-0000-0000-0000600D0000}" name="Coluna3419"/>
    <tableColumn id="3425" xr3:uid="{00000000-0010-0000-0000-0000610D0000}" name="Coluna3420"/>
    <tableColumn id="3426" xr3:uid="{00000000-0010-0000-0000-0000620D0000}" name="Coluna3421"/>
    <tableColumn id="3427" xr3:uid="{00000000-0010-0000-0000-0000630D0000}" name="Coluna3422"/>
    <tableColumn id="3428" xr3:uid="{00000000-0010-0000-0000-0000640D0000}" name="Coluna3423"/>
    <tableColumn id="3429" xr3:uid="{00000000-0010-0000-0000-0000650D0000}" name="Coluna3424"/>
    <tableColumn id="3430" xr3:uid="{00000000-0010-0000-0000-0000660D0000}" name="Coluna3425"/>
    <tableColumn id="3431" xr3:uid="{00000000-0010-0000-0000-0000670D0000}" name="Coluna3426"/>
    <tableColumn id="3432" xr3:uid="{00000000-0010-0000-0000-0000680D0000}" name="Coluna3427"/>
    <tableColumn id="3433" xr3:uid="{00000000-0010-0000-0000-0000690D0000}" name="Coluna3428"/>
    <tableColumn id="3434" xr3:uid="{00000000-0010-0000-0000-00006A0D0000}" name="Coluna3429"/>
    <tableColumn id="3435" xr3:uid="{00000000-0010-0000-0000-00006B0D0000}" name="Coluna3430"/>
    <tableColumn id="3436" xr3:uid="{00000000-0010-0000-0000-00006C0D0000}" name="Coluna3431"/>
    <tableColumn id="3437" xr3:uid="{00000000-0010-0000-0000-00006D0D0000}" name="Coluna3432"/>
    <tableColumn id="3438" xr3:uid="{00000000-0010-0000-0000-00006E0D0000}" name="Coluna3433"/>
    <tableColumn id="3439" xr3:uid="{00000000-0010-0000-0000-00006F0D0000}" name="Coluna3434"/>
    <tableColumn id="3440" xr3:uid="{00000000-0010-0000-0000-0000700D0000}" name="Coluna3435"/>
    <tableColumn id="3441" xr3:uid="{00000000-0010-0000-0000-0000710D0000}" name="Coluna3436"/>
    <tableColumn id="3442" xr3:uid="{00000000-0010-0000-0000-0000720D0000}" name="Coluna3437"/>
    <tableColumn id="3443" xr3:uid="{00000000-0010-0000-0000-0000730D0000}" name="Coluna3438"/>
    <tableColumn id="3444" xr3:uid="{00000000-0010-0000-0000-0000740D0000}" name="Coluna3439"/>
    <tableColumn id="3445" xr3:uid="{00000000-0010-0000-0000-0000750D0000}" name="Coluna3440"/>
    <tableColumn id="3446" xr3:uid="{00000000-0010-0000-0000-0000760D0000}" name="Coluna3441"/>
    <tableColumn id="3447" xr3:uid="{00000000-0010-0000-0000-0000770D0000}" name="Coluna3442"/>
    <tableColumn id="3448" xr3:uid="{00000000-0010-0000-0000-0000780D0000}" name="Coluna3443"/>
    <tableColumn id="3449" xr3:uid="{00000000-0010-0000-0000-0000790D0000}" name="Coluna3444"/>
    <tableColumn id="3450" xr3:uid="{00000000-0010-0000-0000-00007A0D0000}" name="Coluna3445"/>
    <tableColumn id="3451" xr3:uid="{00000000-0010-0000-0000-00007B0D0000}" name="Coluna3446"/>
    <tableColumn id="3452" xr3:uid="{00000000-0010-0000-0000-00007C0D0000}" name="Coluna3447"/>
    <tableColumn id="3453" xr3:uid="{00000000-0010-0000-0000-00007D0D0000}" name="Coluna3448"/>
    <tableColumn id="3454" xr3:uid="{00000000-0010-0000-0000-00007E0D0000}" name="Coluna3449"/>
    <tableColumn id="3455" xr3:uid="{00000000-0010-0000-0000-00007F0D0000}" name="Coluna3450"/>
    <tableColumn id="3456" xr3:uid="{00000000-0010-0000-0000-0000800D0000}" name="Coluna3451"/>
    <tableColumn id="3457" xr3:uid="{00000000-0010-0000-0000-0000810D0000}" name="Coluna3452"/>
    <tableColumn id="3458" xr3:uid="{00000000-0010-0000-0000-0000820D0000}" name="Coluna3453"/>
    <tableColumn id="3459" xr3:uid="{00000000-0010-0000-0000-0000830D0000}" name="Coluna3454"/>
    <tableColumn id="3460" xr3:uid="{00000000-0010-0000-0000-0000840D0000}" name="Coluna3455"/>
    <tableColumn id="3461" xr3:uid="{00000000-0010-0000-0000-0000850D0000}" name="Coluna3456"/>
    <tableColumn id="3462" xr3:uid="{00000000-0010-0000-0000-0000860D0000}" name="Coluna3457"/>
    <tableColumn id="3463" xr3:uid="{00000000-0010-0000-0000-0000870D0000}" name="Coluna3458"/>
    <tableColumn id="3464" xr3:uid="{00000000-0010-0000-0000-0000880D0000}" name="Coluna3459"/>
    <tableColumn id="3465" xr3:uid="{00000000-0010-0000-0000-0000890D0000}" name="Coluna3460"/>
    <tableColumn id="3466" xr3:uid="{00000000-0010-0000-0000-00008A0D0000}" name="Coluna3461"/>
    <tableColumn id="3467" xr3:uid="{00000000-0010-0000-0000-00008B0D0000}" name="Coluna3462"/>
    <tableColumn id="3468" xr3:uid="{00000000-0010-0000-0000-00008C0D0000}" name="Coluna3463"/>
    <tableColumn id="3469" xr3:uid="{00000000-0010-0000-0000-00008D0D0000}" name="Coluna3464"/>
    <tableColumn id="3470" xr3:uid="{00000000-0010-0000-0000-00008E0D0000}" name="Coluna3465"/>
    <tableColumn id="3471" xr3:uid="{00000000-0010-0000-0000-00008F0D0000}" name="Coluna3466"/>
    <tableColumn id="3472" xr3:uid="{00000000-0010-0000-0000-0000900D0000}" name="Coluna3467"/>
    <tableColumn id="3473" xr3:uid="{00000000-0010-0000-0000-0000910D0000}" name="Coluna3468"/>
    <tableColumn id="3474" xr3:uid="{00000000-0010-0000-0000-0000920D0000}" name="Coluna3469"/>
    <tableColumn id="3475" xr3:uid="{00000000-0010-0000-0000-0000930D0000}" name="Coluna3470"/>
    <tableColumn id="3476" xr3:uid="{00000000-0010-0000-0000-0000940D0000}" name="Coluna3471"/>
    <tableColumn id="3477" xr3:uid="{00000000-0010-0000-0000-0000950D0000}" name="Coluna3472"/>
    <tableColumn id="3478" xr3:uid="{00000000-0010-0000-0000-0000960D0000}" name="Coluna3473"/>
    <tableColumn id="3479" xr3:uid="{00000000-0010-0000-0000-0000970D0000}" name="Coluna3474"/>
    <tableColumn id="3480" xr3:uid="{00000000-0010-0000-0000-0000980D0000}" name="Coluna3475"/>
    <tableColumn id="3481" xr3:uid="{00000000-0010-0000-0000-0000990D0000}" name="Coluna3476"/>
    <tableColumn id="3482" xr3:uid="{00000000-0010-0000-0000-00009A0D0000}" name="Coluna3477"/>
    <tableColumn id="3483" xr3:uid="{00000000-0010-0000-0000-00009B0D0000}" name="Coluna3478"/>
    <tableColumn id="3484" xr3:uid="{00000000-0010-0000-0000-00009C0D0000}" name="Coluna3479"/>
    <tableColumn id="3485" xr3:uid="{00000000-0010-0000-0000-00009D0D0000}" name="Coluna3480"/>
    <tableColumn id="3486" xr3:uid="{00000000-0010-0000-0000-00009E0D0000}" name="Coluna3481"/>
    <tableColumn id="3487" xr3:uid="{00000000-0010-0000-0000-00009F0D0000}" name="Coluna3482"/>
    <tableColumn id="3488" xr3:uid="{00000000-0010-0000-0000-0000A00D0000}" name="Coluna3483"/>
    <tableColumn id="3489" xr3:uid="{00000000-0010-0000-0000-0000A10D0000}" name="Coluna3484"/>
    <tableColumn id="3490" xr3:uid="{00000000-0010-0000-0000-0000A20D0000}" name="Coluna3485"/>
    <tableColumn id="3491" xr3:uid="{00000000-0010-0000-0000-0000A30D0000}" name="Coluna3486"/>
    <tableColumn id="3492" xr3:uid="{00000000-0010-0000-0000-0000A40D0000}" name="Coluna3487"/>
    <tableColumn id="3493" xr3:uid="{00000000-0010-0000-0000-0000A50D0000}" name="Coluna3488"/>
    <tableColumn id="3494" xr3:uid="{00000000-0010-0000-0000-0000A60D0000}" name="Coluna3489"/>
    <tableColumn id="3495" xr3:uid="{00000000-0010-0000-0000-0000A70D0000}" name="Coluna3490"/>
    <tableColumn id="3496" xr3:uid="{00000000-0010-0000-0000-0000A80D0000}" name="Coluna3491"/>
    <tableColumn id="3497" xr3:uid="{00000000-0010-0000-0000-0000A90D0000}" name="Coluna3492"/>
    <tableColumn id="3498" xr3:uid="{00000000-0010-0000-0000-0000AA0D0000}" name="Coluna3493"/>
    <tableColumn id="3499" xr3:uid="{00000000-0010-0000-0000-0000AB0D0000}" name="Coluna3494"/>
    <tableColumn id="3500" xr3:uid="{00000000-0010-0000-0000-0000AC0D0000}" name="Coluna3495"/>
    <tableColumn id="3501" xr3:uid="{00000000-0010-0000-0000-0000AD0D0000}" name="Coluna3496"/>
    <tableColumn id="3502" xr3:uid="{00000000-0010-0000-0000-0000AE0D0000}" name="Coluna3497"/>
    <tableColumn id="3503" xr3:uid="{00000000-0010-0000-0000-0000AF0D0000}" name="Coluna3498"/>
    <tableColumn id="3504" xr3:uid="{00000000-0010-0000-0000-0000B00D0000}" name="Coluna3499"/>
    <tableColumn id="3505" xr3:uid="{00000000-0010-0000-0000-0000B10D0000}" name="Coluna3500"/>
    <tableColumn id="3506" xr3:uid="{00000000-0010-0000-0000-0000B20D0000}" name="Coluna3501"/>
    <tableColumn id="3507" xr3:uid="{00000000-0010-0000-0000-0000B30D0000}" name="Coluna3502"/>
    <tableColumn id="3508" xr3:uid="{00000000-0010-0000-0000-0000B40D0000}" name="Coluna3503"/>
    <tableColumn id="3509" xr3:uid="{00000000-0010-0000-0000-0000B50D0000}" name="Coluna3504"/>
    <tableColumn id="3510" xr3:uid="{00000000-0010-0000-0000-0000B60D0000}" name="Coluna3505"/>
    <tableColumn id="3511" xr3:uid="{00000000-0010-0000-0000-0000B70D0000}" name="Coluna3506"/>
    <tableColumn id="3512" xr3:uid="{00000000-0010-0000-0000-0000B80D0000}" name="Coluna3507"/>
    <tableColumn id="3513" xr3:uid="{00000000-0010-0000-0000-0000B90D0000}" name="Coluna3508"/>
    <tableColumn id="3514" xr3:uid="{00000000-0010-0000-0000-0000BA0D0000}" name="Coluna3509"/>
    <tableColumn id="3515" xr3:uid="{00000000-0010-0000-0000-0000BB0D0000}" name="Coluna3510"/>
    <tableColumn id="3516" xr3:uid="{00000000-0010-0000-0000-0000BC0D0000}" name="Coluna3511"/>
    <tableColumn id="3517" xr3:uid="{00000000-0010-0000-0000-0000BD0D0000}" name="Coluna3512"/>
    <tableColumn id="3518" xr3:uid="{00000000-0010-0000-0000-0000BE0D0000}" name="Coluna3513"/>
    <tableColumn id="3519" xr3:uid="{00000000-0010-0000-0000-0000BF0D0000}" name="Coluna3514"/>
    <tableColumn id="3520" xr3:uid="{00000000-0010-0000-0000-0000C00D0000}" name="Coluna3515"/>
    <tableColumn id="3521" xr3:uid="{00000000-0010-0000-0000-0000C10D0000}" name="Coluna3516"/>
    <tableColumn id="3522" xr3:uid="{00000000-0010-0000-0000-0000C20D0000}" name="Coluna3517"/>
    <tableColumn id="3523" xr3:uid="{00000000-0010-0000-0000-0000C30D0000}" name="Coluna3518"/>
    <tableColumn id="3524" xr3:uid="{00000000-0010-0000-0000-0000C40D0000}" name="Coluna3519"/>
    <tableColumn id="3525" xr3:uid="{00000000-0010-0000-0000-0000C50D0000}" name="Coluna3520"/>
    <tableColumn id="3526" xr3:uid="{00000000-0010-0000-0000-0000C60D0000}" name="Coluna3521"/>
    <tableColumn id="3527" xr3:uid="{00000000-0010-0000-0000-0000C70D0000}" name="Coluna3522"/>
    <tableColumn id="3528" xr3:uid="{00000000-0010-0000-0000-0000C80D0000}" name="Coluna3523"/>
    <tableColumn id="3529" xr3:uid="{00000000-0010-0000-0000-0000C90D0000}" name="Coluna3524"/>
    <tableColumn id="3530" xr3:uid="{00000000-0010-0000-0000-0000CA0D0000}" name="Coluna3525"/>
    <tableColumn id="3531" xr3:uid="{00000000-0010-0000-0000-0000CB0D0000}" name="Coluna3526"/>
    <tableColumn id="3532" xr3:uid="{00000000-0010-0000-0000-0000CC0D0000}" name="Coluna3527"/>
    <tableColumn id="3533" xr3:uid="{00000000-0010-0000-0000-0000CD0D0000}" name="Coluna3528"/>
    <tableColumn id="3534" xr3:uid="{00000000-0010-0000-0000-0000CE0D0000}" name="Coluna3529"/>
    <tableColumn id="3535" xr3:uid="{00000000-0010-0000-0000-0000CF0D0000}" name="Coluna3530"/>
    <tableColumn id="3536" xr3:uid="{00000000-0010-0000-0000-0000D00D0000}" name="Coluna3531"/>
    <tableColumn id="3537" xr3:uid="{00000000-0010-0000-0000-0000D10D0000}" name="Coluna3532"/>
    <tableColumn id="3538" xr3:uid="{00000000-0010-0000-0000-0000D20D0000}" name="Coluna3533"/>
    <tableColumn id="3539" xr3:uid="{00000000-0010-0000-0000-0000D30D0000}" name="Coluna3534"/>
    <tableColumn id="3540" xr3:uid="{00000000-0010-0000-0000-0000D40D0000}" name="Coluna3535"/>
    <tableColumn id="3541" xr3:uid="{00000000-0010-0000-0000-0000D50D0000}" name="Coluna3536"/>
    <tableColumn id="3542" xr3:uid="{00000000-0010-0000-0000-0000D60D0000}" name="Coluna3537"/>
    <tableColumn id="3543" xr3:uid="{00000000-0010-0000-0000-0000D70D0000}" name="Coluna3538"/>
    <tableColumn id="3544" xr3:uid="{00000000-0010-0000-0000-0000D80D0000}" name="Coluna3539"/>
    <tableColumn id="3545" xr3:uid="{00000000-0010-0000-0000-0000D90D0000}" name="Coluna3540"/>
    <tableColumn id="3546" xr3:uid="{00000000-0010-0000-0000-0000DA0D0000}" name="Coluna3541"/>
    <tableColumn id="3547" xr3:uid="{00000000-0010-0000-0000-0000DB0D0000}" name="Coluna3542"/>
    <tableColumn id="3548" xr3:uid="{00000000-0010-0000-0000-0000DC0D0000}" name="Coluna3543"/>
    <tableColumn id="3549" xr3:uid="{00000000-0010-0000-0000-0000DD0D0000}" name="Coluna3544"/>
    <tableColumn id="3550" xr3:uid="{00000000-0010-0000-0000-0000DE0D0000}" name="Coluna3545"/>
    <tableColumn id="3551" xr3:uid="{00000000-0010-0000-0000-0000DF0D0000}" name="Coluna3546"/>
    <tableColumn id="3552" xr3:uid="{00000000-0010-0000-0000-0000E00D0000}" name="Coluna3547"/>
    <tableColumn id="3553" xr3:uid="{00000000-0010-0000-0000-0000E10D0000}" name="Coluna3548"/>
    <tableColumn id="3554" xr3:uid="{00000000-0010-0000-0000-0000E20D0000}" name="Coluna3549"/>
    <tableColumn id="3555" xr3:uid="{00000000-0010-0000-0000-0000E30D0000}" name="Coluna3550"/>
    <tableColumn id="3556" xr3:uid="{00000000-0010-0000-0000-0000E40D0000}" name="Coluna3551"/>
    <tableColumn id="3557" xr3:uid="{00000000-0010-0000-0000-0000E50D0000}" name="Coluna3552"/>
    <tableColumn id="3558" xr3:uid="{00000000-0010-0000-0000-0000E60D0000}" name="Coluna3553"/>
    <tableColumn id="3559" xr3:uid="{00000000-0010-0000-0000-0000E70D0000}" name="Coluna3554"/>
    <tableColumn id="3560" xr3:uid="{00000000-0010-0000-0000-0000E80D0000}" name="Coluna3555"/>
    <tableColumn id="3561" xr3:uid="{00000000-0010-0000-0000-0000E90D0000}" name="Coluna3556"/>
    <tableColumn id="3562" xr3:uid="{00000000-0010-0000-0000-0000EA0D0000}" name="Coluna3557"/>
    <tableColumn id="3563" xr3:uid="{00000000-0010-0000-0000-0000EB0D0000}" name="Coluna3558"/>
    <tableColumn id="3564" xr3:uid="{00000000-0010-0000-0000-0000EC0D0000}" name="Coluna3559"/>
    <tableColumn id="3565" xr3:uid="{00000000-0010-0000-0000-0000ED0D0000}" name="Coluna3560"/>
    <tableColumn id="3566" xr3:uid="{00000000-0010-0000-0000-0000EE0D0000}" name="Coluna3561"/>
    <tableColumn id="3567" xr3:uid="{00000000-0010-0000-0000-0000EF0D0000}" name="Coluna3562"/>
    <tableColumn id="3568" xr3:uid="{00000000-0010-0000-0000-0000F00D0000}" name="Coluna3563"/>
    <tableColumn id="3569" xr3:uid="{00000000-0010-0000-0000-0000F10D0000}" name="Coluna3564"/>
    <tableColumn id="3570" xr3:uid="{00000000-0010-0000-0000-0000F20D0000}" name="Coluna3565"/>
    <tableColumn id="3571" xr3:uid="{00000000-0010-0000-0000-0000F30D0000}" name="Coluna3566"/>
    <tableColumn id="3572" xr3:uid="{00000000-0010-0000-0000-0000F40D0000}" name="Coluna3567"/>
    <tableColumn id="3573" xr3:uid="{00000000-0010-0000-0000-0000F50D0000}" name="Coluna3568"/>
    <tableColumn id="3574" xr3:uid="{00000000-0010-0000-0000-0000F60D0000}" name="Coluna3569"/>
    <tableColumn id="3575" xr3:uid="{00000000-0010-0000-0000-0000F70D0000}" name="Coluna3570"/>
    <tableColumn id="3576" xr3:uid="{00000000-0010-0000-0000-0000F80D0000}" name="Coluna3571"/>
    <tableColumn id="3577" xr3:uid="{00000000-0010-0000-0000-0000F90D0000}" name="Coluna3572"/>
    <tableColumn id="3578" xr3:uid="{00000000-0010-0000-0000-0000FA0D0000}" name="Coluna3573"/>
    <tableColumn id="3579" xr3:uid="{00000000-0010-0000-0000-0000FB0D0000}" name="Coluna3574"/>
    <tableColumn id="3580" xr3:uid="{00000000-0010-0000-0000-0000FC0D0000}" name="Coluna3575"/>
    <tableColumn id="3581" xr3:uid="{00000000-0010-0000-0000-0000FD0D0000}" name="Coluna3576"/>
    <tableColumn id="3582" xr3:uid="{00000000-0010-0000-0000-0000FE0D0000}" name="Coluna3577"/>
    <tableColumn id="3583" xr3:uid="{00000000-0010-0000-0000-0000FF0D0000}" name="Coluna3578"/>
    <tableColumn id="3584" xr3:uid="{00000000-0010-0000-0000-0000000E0000}" name="Coluna3579"/>
    <tableColumn id="3585" xr3:uid="{00000000-0010-0000-0000-0000010E0000}" name="Coluna3580"/>
    <tableColumn id="3586" xr3:uid="{00000000-0010-0000-0000-0000020E0000}" name="Coluna3581"/>
    <tableColumn id="3587" xr3:uid="{00000000-0010-0000-0000-0000030E0000}" name="Coluna3582"/>
    <tableColumn id="3588" xr3:uid="{00000000-0010-0000-0000-0000040E0000}" name="Coluna3583"/>
    <tableColumn id="3589" xr3:uid="{00000000-0010-0000-0000-0000050E0000}" name="Coluna3584"/>
    <tableColumn id="3590" xr3:uid="{00000000-0010-0000-0000-0000060E0000}" name="Coluna3585"/>
    <tableColumn id="3591" xr3:uid="{00000000-0010-0000-0000-0000070E0000}" name="Coluna3586"/>
    <tableColumn id="3592" xr3:uid="{00000000-0010-0000-0000-0000080E0000}" name="Coluna3587"/>
    <tableColumn id="3593" xr3:uid="{00000000-0010-0000-0000-0000090E0000}" name="Coluna3588"/>
    <tableColumn id="3594" xr3:uid="{00000000-0010-0000-0000-00000A0E0000}" name="Coluna3589"/>
    <tableColumn id="3595" xr3:uid="{00000000-0010-0000-0000-00000B0E0000}" name="Coluna3590"/>
    <tableColumn id="3596" xr3:uid="{00000000-0010-0000-0000-00000C0E0000}" name="Coluna3591"/>
    <tableColumn id="3597" xr3:uid="{00000000-0010-0000-0000-00000D0E0000}" name="Coluna3592"/>
    <tableColumn id="3598" xr3:uid="{00000000-0010-0000-0000-00000E0E0000}" name="Coluna3593"/>
    <tableColumn id="3599" xr3:uid="{00000000-0010-0000-0000-00000F0E0000}" name="Coluna3594"/>
    <tableColumn id="3600" xr3:uid="{00000000-0010-0000-0000-0000100E0000}" name="Coluna3595"/>
    <tableColumn id="3601" xr3:uid="{00000000-0010-0000-0000-0000110E0000}" name="Coluna3596"/>
    <tableColumn id="3602" xr3:uid="{00000000-0010-0000-0000-0000120E0000}" name="Coluna3597"/>
    <tableColumn id="3603" xr3:uid="{00000000-0010-0000-0000-0000130E0000}" name="Coluna3598"/>
    <tableColumn id="3604" xr3:uid="{00000000-0010-0000-0000-0000140E0000}" name="Coluna3599"/>
    <tableColumn id="3605" xr3:uid="{00000000-0010-0000-0000-0000150E0000}" name="Coluna3600"/>
    <tableColumn id="3606" xr3:uid="{00000000-0010-0000-0000-0000160E0000}" name="Coluna3601"/>
    <tableColumn id="3607" xr3:uid="{00000000-0010-0000-0000-0000170E0000}" name="Coluna3602"/>
    <tableColumn id="3608" xr3:uid="{00000000-0010-0000-0000-0000180E0000}" name="Coluna3603"/>
    <tableColumn id="3609" xr3:uid="{00000000-0010-0000-0000-0000190E0000}" name="Coluna3604"/>
    <tableColumn id="3610" xr3:uid="{00000000-0010-0000-0000-00001A0E0000}" name="Coluna3605"/>
    <tableColumn id="3611" xr3:uid="{00000000-0010-0000-0000-00001B0E0000}" name="Coluna3606"/>
    <tableColumn id="3612" xr3:uid="{00000000-0010-0000-0000-00001C0E0000}" name="Coluna3607"/>
    <tableColumn id="3613" xr3:uid="{00000000-0010-0000-0000-00001D0E0000}" name="Coluna3608"/>
    <tableColumn id="3614" xr3:uid="{00000000-0010-0000-0000-00001E0E0000}" name="Coluna3609"/>
    <tableColumn id="3615" xr3:uid="{00000000-0010-0000-0000-00001F0E0000}" name="Coluna3610"/>
    <tableColumn id="3616" xr3:uid="{00000000-0010-0000-0000-0000200E0000}" name="Coluna3611"/>
    <tableColumn id="3617" xr3:uid="{00000000-0010-0000-0000-0000210E0000}" name="Coluna3612"/>
    <tableColumn id="3618" xr3:uid="{00000000-0010-0000-0000-0000220E0000}" name="Coluna3613"/>
    <tableColumn id="3619" xr3:uid="{00000000-0010-0000-0000-0000230E0000}" name="Coluna3614"/>
    <tableColumn id="3620" xr3:uid="{00000000-0010-0000-0000-0000240E0000}" name="Coluna3615"/>
    <tableColumn id="3621" xr3:uid="{00000000-0010-0000-0000-0000250E0000}" name="Coluna3616"/>
    <tableColumn id="3622" xr3:uid="{00000000-0010-0000-0000-0000260E0000}" name="Coluna3617"/>
    <tableColumn id="3623" xr3:uid="{00000000-0010-0000-0000-0000270E0000}" name="Coluna3618"/>
    <tableColumn id="3624" xr3:uid="{00000000-0010-0000-0000-0000280E0000}" name="Coluna3619"/>
    <tableColumn id="3625" xr3:uid="{00000000-0010-0000-0000-0000290E0000}" name="Coluna3620"/>
    <tableColumn id="3626" xr3:uid="{00000000-0010-0000-0000-00002A0E0000}" name="Coluna3621"/>
    <tableColumn id="3627" xr3:uid="{00000000-0010-0000-0000-00002B0E0000}" name="Coluna3622"/>
    <tableColumn id="3628" xr3:uid="{00000000-0010-0000-0000-00002C0E0000}" name="Coluna3623"/>
    <tableColumn id="3629" xr3:uid="{00000000-0010-0000-0000-00002D0E0000}" name="Coluna3624"/>
    <tableColumn id="3630" xr3:uid="{00000000-0010-0000-0000-00002E0E0000}" name="Coluna3625"/>
    <tableColumn id="3631" xr3:uid="{00000000-0010-0000-0000-00002F0E0000}" name="Coluna3626"/>
    <tableColumn id="3632" xr3:uid="{00000000-0010-0000-0000-0000300E0000}" name="Coluna3627"/>
    <tableColumn id="3633" xr3:uid="{00000000-0010-0000-0000-0000310E0000}" name="Coluna3628"/>
    <tableColumn id="3634" xr3:uid="{00000000-0010-0000-0000-0000320E0000}" name="Coluna3629"/>
    <tableColumn id="3635" xr3:uid="{00000000-0010-0000-0000-0000330E0000}" name="Coluna3630"/>
    <tableColumn id="3636" xr3:uid="{00000000-0010-0000-0000-0000340E0000}" name="Coluna3631"/>
    <tableColumn id="3637" xr3:uid="{00000000-0010-0000-0000-0000350E0000}" name="Coluna3632"/>
    <tableColumn id="3638" xr3:uid="{00000000-0010-0000-0000-0000360E0000}" name="Coluna3633"/>
    <tableColumn id="3639" xr3:uid="{00000000-0010-0000-0000-0000370E0000}" name="Coluna3634"/>
    <tableColumn id="3640" xr3:uid="{00000000-0010-0000-0000-0000380E0000}" name="Coluna3635"/>
    <tableColumn id="3641" xr3:uid="{00000000-0010-0000-0000-0000390E0000}" name="Coluna3636"/>
    <tableColumn id="3642" xr3:uid="{00000000-0010-0000-0000-00003A0E0000}" name="Coluna3637"/>
    <tableColumn id="3643" xr3:uid="{00000000-0010-0000-0000-00003B0E0000}" name="Coluna3638"/>
    <tableColumn id="3644" xr3:uid="{00000000-0010-0000-0000-00003C0E0000}" name="Coluna3639"/>
    <tableColumn id="3645" xr3:uid="{00000000-0010-0000-0000-00003D0E0000}" name="Coluna3640"/>
    <tableColumn id="3646" xr3:uid="{00000000-0010-0000-0000-00003E0E0000}" name="Coluna3641"/>
    <tableColumn id="3647" xr3:uid="{00000000-0010-0000-0000-00003F0E0000}" name="Coluna3642"/>
    <tableColumn id="3648" xr3:uid="{00000000-0010-0000-0000-0000400E0000}" name="Coluna3643"/>
    <tableColumn id="3649" xr3:uid="{00000000-0010-0000-0000-0000410E0000}" name="Coluna3644"/>
    <tableColumn id="3650" xr3:uid="{00000000-0010-0000-0000-0000420E0000}" name="Coluna3645"/>
    <tableColumn id="3651" xr3:uid="{00000000-0010-0000-0000-0000430E0000}" name="Coluna3646"/>
    <tableColumn id="3652" xr3:uid="{00000000-0010-0000-0000-0000440E0000}" name="Coluna3647"/>
    <tableColumn id="3653" xr3:uid="{00000000-0010-0000-0000-0000450E0000}" name="Coluna3648"/>
    <tableColumn id="3654" xr3:uid="{00000000-0010-0000-0000-0000460E0000}" name="Coluna3649"/>
    <tableColumn id="3655" xr3:uid="{00000000-0010-0000-0000-0000470E0000}" name="Coluna3650"/>
    <tableColumn id="3656" xr3:uid="{00000000-0010-0000-0000-0000480E0000}" name="Coluna3651"/>
    <tableColumn id="3657" xr3:uid="{00000000-0010-0000-0000-0000490E0000}" name="Coluna3652"/>
    <tableColumn id="3658" xr3:uid="{00000000-0010-0000-0000-00004A0E0000}" name="Coluna3653"/>
    <tableColumn id="3659" xr3:uid="{00000000-0010-0000-0000-00004B0E0000}" name="Coluna3654"/>
    <tableColumn id="3660" xr3:uid="{00000000-0010-0000-0000-00004C0E0000}" name="Coluna3655"/>
    <tableColumn id="3661" xr3:uid="{00000000-0010-0000-0000-00004D0E0000}" name="Coluna3656"/>
    <tableColumn id="3662" xr3:uid="{00000000-0010-0000-0000-00004E0E0000}" name="Coluna3657"/>
    <tableColumn id="3663" xr3:uid="{00000000-0010-0000-0000-00004F0E0000}" name="Coluna3658"/>
    <tableColumn id="3664" xr3:uid="{00000000-0010-0000-0000-0000500E0000}" name="Coluna3659"/>
    <tableColumn id="3665" xr3:uid="{00000000-0010-0000-0000-0000510E0000}" name="Coluna3660"/>
    <tableColumn id="3666" xr3:uid="{00000000-0010-0000-0000-0000520E0000}" name="Coluna3661"/>
    <tableColumn id="3667" xr3:uid="{00000000-0010-0000-0000-0000530E0000}" name="Coluna3662"/>
    <tableColumn id="3668" xr3:uid="{00000000-0010-0000-0000-0000540E0000}" name="Coluna3663"/>
    <tableColumn id="3669" xr3:uid="{00000000-0010-0000-0000-0000550E0000}" name="Coluna3664"/>
    <tableColumn id="3670" xr3:uid="{00000000-0010-0000-0000-0000560E0000}" name="Coluna3665"/>
    <tableColumn id="3671" xr3:uid="{00000000-0010-0000-0000-0000570E0000}" name="Coluna3666"/>
    <tableColumn id="3672" xr3:uid="{00000000-0010-0000-0000-0000580E0000}" name="Coluna3667"/>
    <tableColumn id="3673" xr3:uid="{00000000-0010-0000-0000-0000590E0000}" name="Coluna3668"/>
    <tableColumn id="3674" xr3:uid="{00000000-0010-0000-0000-00005A0E0000}" name="Coluna3669"/>
    <tableColumn id="3675" xr3:uid="{00000000-0010-0000-0000-00005B0E0000}" name="Coluna3670"/>
    <tableColumn id="3676" xr3:uid="{00000000-0010-0000-0000-00005C0E0000}" name="Coluna3671"/>
    <tableColumn id="3677" xr3:uid="{00000000-0010-0000-0000-00005D0E0000}" name="Coluna3672"/>
    <tableColumn id="3678" xr3:uid="{00000000-0010-0000-0000-00005E0E0000}" name="Coluna3673"/>
    <tableColumn id="3679" xr3:uid="{00000000-0010-0000-0000-00005F0E0000}" name="Coluna3674"/>
    <tableColumn id="3680" xr3:uid="{00000000-0010-0000-0000-0000600E0000}" name="Coluna3675"/>
    <tableColumn id="3681" xr3:uid="{00000000-0010-0000-0000-0000610E0000}" name="Coluna3676"/>
    <tableColumn id="3682" xr3:uid="{00000000-0010-0000-0000-0000620E0000}" name="Coluna3677"/>
    <tableColumn id="3683" xr3:uid="{00000000-0010-0000-0000-0000630E0000}" name="Coluna3678"/>
    <tableColumn id="3684" xr3:uid="{00000000-0010-0000-0000-0000640E0000}" name="Coluna3679"/>
    <tableColumn id="3685" xr3:uid="{00000000-0010-0000-0000-0000650E0000}" name="Coluna3680"/>
    <tableColumn id="3686" xr3:uid="{00000000-0010-0000-0000-0000660E0000}" name="Coluna3681"/>
    <tableColumn id="3687" xr3:uid="{00000000-0010-0000-0000-0000670E0000}" name="Coluna3682"/>
    <tableColumn id="3688" xr3:uid="{00000000-0010-0000-0000-0000680E0000}" name="Coluna3683"/>
    <tableColumn id="3689" xr3:uid="{00000000-0010-0000-0000-0000690E0000}" name="Coluna3684"/>
    <tableColumn id="3690" xr3:uid="{00000000-0010-0000-0000-00006A0E0000}" name="Coluna3685"/>
    <tableColumn id="3691" xr3:uid="{00000000-0010-0000-0000-00006B0E0000}" name="Coluna3686"/>
    <tableColumn id="3692" xr3:uid="{00000000-0010-0000-0000-00006C0E0000}" name="Coluna3687"/>
    <tableColumn id="3693" xr3:uid="{00000000-0010-0000-0000-00006D0E0000}" name="Coluna3688"/>
    <tableColumn id="3694" xr3:uid="{00000000-0010-0000-0000-00006E0E0000}" name="Coluna3689"/>
    <tableColumn id="3695" xr3:uid="{00000000-0010-0000-0000-00006F0E0000}" name="Coluna3690"/>
    <tableColumn id="3696" xr3:uid="{00000000-0010-0000-0000-0000700E0000}" name="Coluna3691"/>
    <tableColumn id="3697" xr3:uid="{00000000-0010-0000-0000-0000710E0000}" name="Coluna3692"/>
    <tableColumn id="3698" xr3:uid="{00000000-0010-0000-0000-0000720E0000}" name="Coluna3693"/>
    <tableColumn id="3699" xr3:uid="{00000000-0010-0000-0000-0000730E0000}" name="Coluna3694"/>
    <tableColumn id="3700" xr3:uid="{00000000-0010-0000-0000-0000740E0000}" name="Coluna3695"/>
    <tableColumn id="3701" xr3:uid="{00000000-0010-0000-0000-0000750E0000}" name="Coluna3696"/>
    <tableColumn id="3702" xr3:uid="{00000000-0010-0000-0000-0000760E0000}" name="Coluna3697"/>
    <tableColumn id="3703" xr3:uid="{00000000-0010-0000-0000-0000770E0000}" name="Coluna3698"/>
    <tableColumn id="3704" xr3:uid="{00000000-0010-0000-0000-0000780E0000}" name="Coluna3699"/>
    <tableColumn id="3705" xr3:uid="{00000000-0010-0000-0000-0000790E0000}" name="Coluna3700"/>
    <tableColumn id="3706" xr3:uid="{00000000-0010-0000-0000-00007A0E0000}" name="Coluna3701"/>
    <tableColumn id="3707" xr3:uid="{00000000-0010-0000-0000-00007B0E0000}" name="Coluna3702"/>
    <tableColumn id="3708" xr3:uid="{00000000-0010-0000-0000-00007C0E0000}" name="Coluna3703"/>
    <tableColumn id="3709" xr3:uid="{00000000-0010-0000-0000-00007D0E0000}" name="Coluna3704"/>
    <tableColumn id="3710" xr3:uid="{00000000-0010-0000-0000-00007E0E0000}" name="Coluna3705"/>
    <tableColumn id="3711" xr3:uid="{00000000-0010-0000-0000-00007F0E0000}" name="Coluna3706"/>
    <tableColumn id="3712" xr3:uid="{00000000-0010-0000-0000-0000800E0000}" name="Coluna3707"/>
    <tableColumn id="3713" xr3:uid="{00000000-0010-0000-0000-0000810E0000}" name="Coluna3708"/>
    <tableColumn id="3714" xr3:uid="{00000000-0010-0000-0000-0000820E0000}" name="Coluna3709"/>
    <tableColumn id="3715" xr3:uid="{00000000-0010-0000-0000-0000830E0000}" name="Coluna3710"/>
    <tableColumn id="3716" xr3:uid="{00000000-0010-0000-0000-0000840E0000}" name="Coluna3711"/>
    <tableColumn id="3717" xr3:uid="{00000000-0010-0000-0000-0000850E0000}" name="Coluna3712"/>
    <tableColumn id="3718" xr3:uid="{00000000-0010-0000-0000-0000860E0000}" name="Coluna3713"/>
    <tableColumn id="3719" xr3:uid="{00000000-0010-0000-0000-0000870E0000}" name="Coluna3714"/>
    <tableColumn id="3720" xr3:uid="{00000000-0010-0000-0000-0000880E0000}" name="Coluna3715"/>
    <tableColumn id="3721" xr3:uid="{00000000-0010-0000-0000-0000890E0000}" name="Coluna3716"/>
    <tableColumn id="3722" xr3:uid="{00000000-0010-0000-0000-00008A0E0000}" name="Coluna3717"/>
    <tableColumn id="3723" xr3:uid="{00000000-0010-0000-0000-00008B0E0000}" name="Coluna3718"/>
    <tableColumn id="3724" xr3:uid="{00000000-0010-0000-0000-00008C0E0000}" name="Coluna3719"/>
    <tableColumn id="3725" xr3:uid="{00000000-0010-0000-0000-00008D0E0000}" name="Coluna3720"/>
    <tableColumn id="3726" xr3:uid="{00000000-0010-0000-0000-00008E0E0000}" name="Coluna3721"/>
    <tableColumn id="3727" xr3:uid="{00000000-0010-0000-0000-00008F0E0000}" name="Coluna3722"/>
    <tableColumn id="3728" xr3:uid="{00000000-0010-0000-0000-0000900E0000}" name="Coluna3723"/>
    <tableColumn id="3729" xr3:uid="{00000000-0010-0000-0000-0000910E0000}" name="Coluna3724"/>
    <tableColumn id="3730" xr3:uid="{00000000-0010-0000-0000-0000920E0000}" name="Coluna3725"/>
    <tableColumn id="3731" xr3:uid="{00000000-0010-0000-0000-0000930E0000}" name="Coluna3726"/>
    <tableColumn id="3732" xr3:uid="{00000000-0010-0000-0000-0000940E0000}" name="Coluna3727"/>
    <tableColumn id="3733" xr3:uid="{00000000-0010-0000-0000-0000950E0000}" name="Coluna3728"/>
    <tableColumn id="3734" xr3:uid="{00000000-0010-0000-0000-0000960E0000}" name="Coluna3729"/>
    <tableColumn id="3735" xr3:uid="{00000000-0010-0000-0000-0000970E0000}" name="Coluna3730"/>
    <tableColumn id="3736" xr3:uid="{00000000-0010-0000-0000-0000980E0000}" name="Coluna3731"/>
    <tableColumn id="3737" xr3:uid="{00000000-0010-0000-0000-0000990E0000}" name="Coluna3732"/>
    <tableColumn id="3738" xr3:uid="{00000000-0010-0000-0000-00009A0E0000}" name="Coluna3733"/>
    <tableColumn id="3739" xr3:uid="{00000000-0010-0000-0000-00009B0E0000}" name="Coluna3734"/>
    <tableColumn id="3740" xr3:uid="{00000000-0010-0000-0000-00009C0E0000}" name="Coluna3735"/>
    <tableColumn id="3741" xr3:uid="{00000000-0010-0000-0000-00009D0E0000}" name="Coluna3736"/>
    <tableColumn id="3742" xr3:uid="{00000000-0010-0000-0000-00009E0E0000}" name="Coluna3737"/>
    <tableColumn id="3743" xr3:uid="{00000000-0010-0000-0000-00009F0E0000}" name="Coluna3738"/>
    <tableColumn id="3744" xr3:uid="{00000000-0010-0000-0000-0000A00E0000}" name="Coluna3739"/>
    <tableColumn id="3745" xr3:uid="{00000000-0010-0000-0000-0000A10E0000}" name="Coluna3740"/>
    <tableColumn id="3746" xr3:uid="{00000000-0010-0000-0000-0000A20E0000}" name="Coluna3741"/>
    <tableColumn id="3747" xr3:uid="{00000000-0010-0000-0000-0000A30E0000}" name="Coluna3742"/>
    <tableColumn id="3748" xr3:uid="{00000000-0010-0000-0000-0000A40E0000}" name="Coluna3743"/>
    <tableColumn id="3749" xr3:uid="{00000000-0010-0000-0000-0000A50E0000}" name="Coluna3744"/>
    <tableColumn id="3750" xr3:uid="{00000000-0010-0000-0000-0000A60E0000}" name="Coluna3745"/>
    <tableColumn id="3751" xr3:uid="{00000000-0010-0000-0000-0000A70E0000}" name="Coluna3746"/>
    <tableColumn id="3752" xr3:uid="{00000000-0010-0000-0000-0000A80E0000}" name="Coluna3747"/>
    <tableColumn id="3753" xr3:uid="{00000000-0010-0000-0000-0000A90E0000}" name="Coluna3748"/>
    <tableColumn id="3754" xr3:uid="{00000000-0010-0000-0000-0000AA0E0000}" name="Coluna3749"/>
    <tableColumn id="3755" xr3:uid="{00000000-0010-0000-0000-0000AB0E0000}" name="Coluna3750"/>
    <tableColumn id="3756" xr3:uid="{00000000-0010-0000-0000-0000AC0E0000}" name="Coluna3751"/>
    <tableColumn id="3757" xr3:uid="{00000000-0010-0000-0000-0000AD0E0000}" name="Coluna3752"/>
    <tableColumn id="3758" xr3:uid="{00000000-0010-0000-0000-0000AE0E0000}" name="Coluna3753"/>
    <tableColumn id="3759" xr3:uid="{00000000-0010-0000-0000-0000AF0E0000}" name="Coluna3754"/>
    <tableColumn id="3760" xr3:uid="{00000000-0010-0000-0000-0000B00E0000}" name="Coluna3755"/>
    <tableColumn id="3761" xr3:uid="{00000000-0010-0000-0000-0000B10E0000}" name="Coluna3756"/>
    <tableColumn id="3762" xr3:uid="{00000000-0010-0000-0000-0000B20E0000}" name="Coluna3757"/>
    <tableColumn id="3763" xr3:uid="{00000000-0010-0000-0000-0000B30E0000}" name="Coluna3758"/>
    <tableColumn id="3764" xr3:uid="{00000000-0010-0000-0000-0000B40E0000}" name="Coluna3759"/>
    <tableColumn id="3765" xr3:uid="{00000000-0010-0000-0000-0000B50E0000}" name="Coluna3760"/>
    <tableColumn id="3766" xr3:uid="{00000000-0010-0000-0000-0000B60E0000}" name="Coluna3761"/>
    <tableColumn id="3767" xr3:uid="{00000000-0010-0000-0000-0000B70E0000}" name="Coluna3762"/>
    <tableColumn id="3768" xr3:uid="{00000000-0010-0000-0000-0000B80E0000}" name="Coluna3763"/>
    <tableColumn id="3769" xr3:uid="{00000000-0010-0000-0000-0000B90E0000}" name="Coluna3764"/>
    <tableColumn id="3770" xr3:uid="{00000000-0010-0000-0000-0000BA0E0000}" name="Coluna3765"/>
    <tableColumn id="3771" xr3:uid="{00000000-0010-0000-0000-0000BB0E0000}" name="Coluna3766"/>
    <tableColumn id="3772" xr3:uid="{00000000-0010-0000-0000-0000BC0E0000}" name="Coluna3767"/>
    <tableColumn id="3773" xr3:uid="{00000000-0010-0000-0000-0000BD0E0000}" name="Coluna3768"/>
    <tableColumn id="3774" xr3:uid="{00000000-0010-0000-0000-0000BE0E0000}" name="Coluna3769"/>
    <tableColumn id="3775" xr3:uid="{00000000-0010-0000-0000-0000BF0E0000}" name="Coluna3770"/>
    <tableColumn id="3776" xr3:uid="{00000000-0010-0000-0000-0000C00E0000}" name="Coluna3771"/>
    <tableColumn id="3777" xr3:uid="{00000000-0010-0000-0000-0000C10E0000}" name="Coluna3772"/>
    <tableColumn id="3778" xr3:uid="{00000000-0010-0000-0000-0000C20E0000}" name="Coluna3773"/>
    <tableColumn id="3779" xr3:uid="{00000000-0010-0000-0000-0000C30E0000}" name="Coluna3774"/>
    <tableColumn id="3780" xr3:uid="{00000000-0010-0000-0000-0000C40E0000}" name="Coluna3775"/>
    <tableColumn id="3781" xr3:uid="{00000000-0010-0000-0000-0000C50E0000}" name="Coluna3776"/>
    <tableColumn id="3782" xr3:uid="{00000000-0010-0000-0000-0000C60E0000}" name="Coluna3777"/>
    <tableColumn id="3783" xr3:uid="{00000000-0010-0000-0000-0000C70E0000}" name="Coluna3778"/>
    <tableColumn id="3784" xr3:uid="{00000000-0010-0000-0000-0000C80E0000}" name="Coluna3779"/>
    <tableColumn id="3785" xr3:uid="{00000000-0010-0000-0000-0000C90E0000}" name="Coluna3780"/>
    <tableColumn id="3786" xr3:uid="{00000000-0010-0000-0000-0000CA0E0000}" name="Coluna3781"/>
    <tableColumn id="3787" xr3:uid="{00000000-0010-0000-0000-0000CB0E0000}" name="Coluna3782"/>
    <tableColumn id="3788" xr3:uid="{00000000-0010-0000-0000-0000CC0E0000}" name="Coluna3783"/>
    <tableColumn id="3789" xr3:uid="{00000000-0010-0000-0000-0000CD0E0000}" name="Coluna3784"/>
    <tableColumn id="3790" xr3:uid="{00000000-0010-0000-0000-0000CE0E0000}" name="Coluna3785"/>
    <tableColumn id="3791" xr3:uid="{00000000-0010-0000-0000-0000CF0E0000}" name="Coluna3786"/>
    <tableColumn id="3792" xr3:uid="{00000000-0010-0000-0000-0000D00E0000}" name="Coluna3787"/>
    <tableColumn id="3793" xr3:uid="{00000000-0010-0000-0000-0000D10E0000}" name="Coluna3788"/>
    <tableColumn id="3794" xr3:uid="{00000000-0010-0000-0000-0000D20E0000}" name="Coluna3789"/>
    <tableColumn id="3795" xr3:uid="{00000000-0010-0000-0000-0000D30E0000}" name="Coluna3790"/>
    <tableColumn id="3796" xr3:uid="{00000000-0010-0000-0000-0000D40E0000}" name="Coluna3791"/>
    <tableColumn id="3797" xr3:uid="{00000000-0010-0000-0000-0000D50E0000}" name="Coluna3792"/>
    <tableColumn id="3798" xr3:uid="{00000000-0010-0000-0000-0000D60E0000}" name="Coluna3793"/>
    <tableColumn id="3799" xr3:uid="{00000000-0010-0000-0000-0000D70E0000}" name="Coluna3794"/>
    <tableColumn id="3800" xr3:uid="{00000000-0010-0000-0000-0000D80E0000}" name="Coluna3795"/>
    <tableColumn id="3801" xr3:uid="{00000000-0010-0000-0000-0000D90E0000}" name="Coluna3796"/>
    <tableColumn id="3802" xr3:uid="{00000000-0010-0000-0000-0000DA0E0000}" name="Coluna3797"/>
    <tableColumn id="3803" xr3:uid="{00000000-0010-0000-0000-0000DB0E0000}" name="Coluna3798"/>
    <tableColumn id="3804" xr3:uid="{00000000-0010-0000-0000-0000DC0E0000}" name="Coluna3799"/>
    <tableColumn id="3805" xr3:uid="{00000000-0010-0000-0000-0000DD0E0000}" name="Coluna3800"/>
    <tableColumn id="3806" xr3:uid="{00000000-0010-0000-0000-0000DE0E0000}" name="Coluna3801"/>
    <tableColumn id="3807" xr3:uid="{00000000-0010-0000-0000-0000DF0E0000}" name="Coluna3802"/>
    <tableColumn id="3808" xr3:uid="{00000000-0010-0000-0000-0000E00E0000}" name="Coluna3803"/>
    <tableColumn id="3809" xr3:uid="{00000000-0010-0000-0000-0000E10E0000}" name="Coluna3804"/>
    <tableColumn id="3810" xr3:uid="{00000000-0010-0000-0000-0000E20E0000}" name="Coluna3805"/>
    <tableColumn id="3811" xr3:uid="{00000000-0010-0000-0000-0000E30E0000}" name="Coluna3806"/>
    <tableColumn id="3812" xr3:uid="{00000000-0010-0000-0000-0000E40E0000}" name="Coluna3807"/>
    <tableColumn id="3813" xr3:uid="{00000000-0010-0000-0000-0000E50E0000}" name="Coluna3808"/>
    <tableColumn id="3814" xr3:uid="{00000000-0010-0000-0000-0000E60E0000}" name="Coluna3809"/>
    <tableColumn id="3815" xr3:uid="{00000000-0010-0000-0000-0000E70E0000}" name="Coluna3810"/>
    <tableColumn id="3816" xr3:uid="{00000000-0010-0000-0000-0000E80E0000}" name="Coluna3811"/>
    <tableColumn id="3817" xr3:uid="{00000000-0010-0000-0000-0000E90E0000}" name="Coluna3812"/>
    <tableColumn id="3818" xr3:uid="{00000000-0010-0000-0000-0000EA0E0000}" name="Coluna3813"/>
    <tableColumn id="3819" xr3:uid="{00000000-0010-0000-0000-0000EB0E0000}" name="Coluna3814"/>
    <tableColumn id="3820" xr3:uid="{00000000-0010-0000-0000-0000EC0E0000}" name="Coluna3815"/>
    <tableColumn id="3821" xr3:uid="{00000000-0010-0000-0000-0000ED0E0000}" name="Coluna3816"/>
    <tableColumn id="3822" xr3:uid="{00000000-0010-0000-0000-0000EE0E0000}" name="Coluna3817"/>
    <tableColumn id="3823" xr3:uid="{00000000-0010-0000-0000-0000EF0E0000}" name="Coluna3818"/>
    <tableColumn id="3824" xr3:uid="{00000000-0010-0000-0000-0000F00E0000}" name="Coluna3819"/>
    <tableColumn id="3825" xr3:uid="{00000000-0010-0000-0000-0000F10E0000}" name="Coluna3820"/>
    <tableColumn id="3826" xr3:uid="{00000000-0010-0000-0000-0000F20E0000}" name="Coluna3821"/>
    <tableColumn id="3827" xr3:uid="{00000000-0010-0000-0000-0000F30E0000}" name="Coluna3822"/>
    <tableColumn id="3828" xr3:uid="{00000000-0010-0000-0000-0000F40E0000}" name="Coluna3823"/>
    <tableColumn id="3829" xr3:uid="{00000000-0010-0000-0000-0000F50E0000}" name="Coluna3824"/>
    <tableColumn id="3830" xr3:uid="{00000000-0010-0000-0000-0000F60E0000}" name="Coluna3825"/>
    <tableColumn id="3831" xr3:uid="{00000000-0010-0000-0000-0000F70E0000}" name="Coluna3826"/>
    <tableColumn id="3832" xr3:uid="{00000000-0010-0000-0000-0000F80E0000}" name="Coluna3827"/>
    <tableColumn id="3833" xr3:uid="{00000000-0010-0000-0000-0000F90E0000}" name="Coluna3828"/>
    <tableColumn id="3834" xr3:uid="{00000000-0010-0000-0000-0000FA0E0000}" name="Coluna3829"/>
    <tableColumn id="3835" xr3:uid="{00000000-0010-0000-0000-0000FB0E0000}" name="Coluna3830"/>
    <tableColumn id="3836" xr3:uid="{00000000-0010-0000-0000-0000FC0E0000}" name="Coluna3831"/>
    <tableColumn id="3837" xr3:uid="{00000000-0010-0000-0000-0000FD0E0000}" name="Coluna3832"/>
    <tableColumn id="3838" xr3:uid="{00000000-0010-0000-0000-0000FE0E0000}" name="Coluna3833"/>
    <tableColumn id="3839" xr3:uid="{00000000-0010-0000-0000-0000FF0E0000}" name="Coluna3834"/>
    <tableColumn id="3840" xr3:uid="{00000000-0010-0000-0000-0000000F0000}" name="Coluna3835"/>
    <tableColumn id="3841" xr3:uid="{00000000-0010-0000-0000-0000010F0000}" name="Coluna3836"/>
    <tableColumn id="3842" xr3:uid="{00000000-0010-0000-0000-0000020F0000}" name="Coluna3837"/>
    <tableColumn id="3843" xr3:uid="{00000000-0010-0000-0000-0000030F0000}" name="Coluna3838"/>
    <tableColumn id="3844" xr3:uid="{00000000-0010-0000-0000-0000040F0000}" name="Coluna3839"/>
    <tableColumn id="3845" xr3:uid="{00000000-0010-0000-0000-0000050F0000}" name="Coluna3840"/>
    <tableColumn id="3846" xr3:uid="{00000000-0010-0000-0000-0000060F0000}" name="Coluna3841"/>
    <tableColumn id="3847" xr3:uid="{00000000-0010-0000-0000-0000070F0000}" name="Coluna3842"/>
    <tableColumn id="3848" xr3:uid="{00000000-0010-0000-0000-0000080F0000}" name="Coluna3843"/>
    <tableColumn id="3849" xr3:uid="{00000000-0010-0000-0000-0000090F0000}" name="Coluna3844"/>
    <tableColumn id="3850" xr3:uid="{00000000-0010-0000-0000-00000A0F0000}" name="Coluna3845"/>
    <tableColumn id="3851" xr3:uid="{00000000-0010-0000-0000-00000B0F0000}" name="Coluna3846"/>
    <tableColumn id="3852" xr3:uid="{00000000-0010-0000-0000-00000C0F0000}" name="Coluna3847"/>
    <tableColumn id="3853" xr3:uid="{00000000-0010-0000-0000-00000D0F0000}" name="Coluna3848"/>
    <tableColumn id="3854" xr3:uid="{00000000-0010-0000-0000-00000E0F0000}" name="Coluna3849"/>
    <tableColumn id="3855" xr3:uid="{00000000-0010-0000-0000-00000F0F0000}" name="Coluna3850"/>
    <tableColumn id="3856" xr3:uid="{00000000-0010-0000-0000-0000100F0000}" name="Coluna3851"/>
    <tableColumn id="3857" xr3:uid="{00000000-0010-0000-0000-0000110F0000}" name="Coluna3852"/>
    <tableColumn id="3858" xr3:uid="{00000000-0010-0000-0000-0000120F0000}" name="Coluna3853"/>
    <tableColumn id="3859" xr3:uid="{00000000-0010-0000-0000-0000130F0000}" name="Coluna3854"/>
    <tableColumn id="3860" xr3:uid="{00000000-0010-0000-0000-0000140F0000}" name="Coluna3855"/>
    <tableColumn id="3861" xr3:uid="{00000000-0010-0000-0000-0000150F0000}" name="Coluna3856"/>
    <tableColumn id="3862" xr3:uid="{00000000-0010-0000-0000-0000160F0000}" name="Coluna3857"/>
    <tableColumn id="3863" xr3:uid="{00000000-0010-0000-0000-0000170F0000}" name="Coluna3858"/>
    <tableColumn id="3864" xr3:uid="{00000000-0010-0000-0000-0000180F0000}" name="Coluna3859"/>
    <tableColumn id="3865" xr3:uid="{00000000-0010-0000-0000-0000190F0000}" name="Coluna3860"/>
    <tableColumn id="3866" xr3:uid="{00000000-0010-0000-0000-00001A0F0000}" name="Coluna3861"/>
    <tableColumn id="3867" xr3:uid="{00000000-0010-0000-0000-00001B0F0000}" name="Coluna3862"/>
    <tableColumn id="3868" xr3:uid="{00000000-0010-0000-0000-00001C0F0000}" name="Coluna3863"/>
    <tableColumn id="3869" xr3:uid="{00000000-0010-0000-0000-00001D0F0000}" name="Coluna3864"/>
    <tableColumn id="3870" xr3:uid="{00000000-0010-0000-0000-00001E0F0000}" name="Coluna3865"/>
    <tableColumn id="3871" xr3:uid="{00000000-0010-0000-0000-00001F0F0000}" name="Coluna3866"/>
    <tableColumn id="3872" xr3:uid="{00000000-0010-0000-0000-0000200F0000}" name="Coluna3867"/>
    <tableColumn id="3873" xr3:uid="{00000000-0010-0000-0000-0000210F0000}" name="Coluna3868"/>
    <tableColumn id="3874" xr3:uid="{00000000-0010-0000-0000-0000220F0000}" name="Coluna3869"/>
    <tableColumn id="3875" xr3:uid="{00000000-0010-0000-0000-0000230F0000}" name="Coluna3870"/>
    <tableColumn id="3876" xr3:uid="{00000000-0010-0000-0000-0000240F0000}" name="Coluna3871"/>
    <tableColumn id="3877" xr3:uid="{00000000-0010-0000-0000-0000250F0000}" name="Coluna3872"/>
    <tableColumn id="3878" xr3:uid="{00000000-0010-0000-0000-0000260F0000}" name="Coluna3873"/>
    <tableColumn id="3879" xr3:uid="{00000000-0010-0000-0000-0000270F0000}" name="Coluna3874"/>
    <tableColumn id="3880" xr3:uid="{00000000-0010-0000-0000-0000280F0000}" name="Coluna3875"/>
    <tableColumn id="3881" xr3:uid="{00000000-0010-0000-0000-0000290F0000}" name="Coluna3876"/>
    <tableColumn id="3882" xr3:uid="{00000000-0010-0000-0000-00002A0F0000}" name="Coluna3877"/>
    <tableColumn id="3883" xr3:uid="{00000000-0010-0000-0000-00002B0F0000}" name="Coluna3878"/>
    <tableColumn id="3884" xr3:uid="{00000000-0010-0000-0000-00002C0F0000}" name="Coluna3879"/>
    <tableColumn id="3885" xr3:uid="{00000000-0010-0000-0000-00002D0F0000}" name="Coluna3880"/>
    <tableColumn id="3886" xr3:uid="{00000000-0010-0000-0000-00002E0F0000}" name="Coluna3881"/>
    <tableColumn id="3887" xr3:uid="{00000000-0010-0000-0000-00002F0F0000}" name="Coluna3882"/>
    <tableColumn id="3888" xr3:uid="{00000000-0010-0000-0000-0000300F0000}" name="Coluna3883"/>
    <tableColumn id="3889" xr3:uid="{00000000-0010-0000-0000-0000310F0000}" name="Coluna3884"/>
    <tableColumn id="3890" xr3:uid="{00000000-0010-0000-0000-0000320F0000}" name="Coluna3885"/>
    <tableColumn id="3891" xr3:uid="{00000000-0010-0000-0000-0000330F0000}" name="Coluna3886"/>
    <tableColumn id="3892" xr3:uid="{00000000-0010-0000-0000-0000340F0000}" name="Coluna3887"/>
    <tableColumn id="3893" xr3:uid="{00000000-0010-0000-0000-0000350F0000}" name="Coluna3888"/>
    <tableColumn id="3894" xr3:uid="{00000000-0010-0000-0000-0000360F0000}" name="Coluna3889"/>
    <tableColumn id="3895" xr3:uid="{00000000-0010-0000-0000-0000370F0000}" name="Coluna3890"/>
    <tableColumn id="3896" xr3:uid="{00000000-0010-0000-0000-0000380F0000}" name="Coluna3891"/>
    <tableColumn id="3897" xr3:uid="{00000000-0010-0000-0000-0000390F0000}" name="Coluna3892"/>
    <tableColumn id="3898" xr3:uid="{00000000-0010-0000-0000-00003A0F0000}" name="Coluna3893"/>
    <tableColumn id="3899" xr3:uid="{00000000-0010-0000-0000-00003B0F0000}" name="Coluna3894"/>
    <tableColumn id="3900" xr3:uid="{00000000-0010-0000-0000-00003C0F0000}" name="Coluna3895"/>
    <tableColumn id="3901" xr3:uid="{00000000-0010-0000-0000-00003D0F0000}" name="Coluna3896"/>
    <tableColumn id="3902" xr3:uid="{00000000-0010-0000-0000-00003E0F0000}" name="Coluna3897"/>
    <tableColumn id="3903" xr3:uid="{00000000-0010-0000-0000-00003F0F0000}" name="Coluna3898"/>
    <tableColumn id="3904" xr3:uid="{00000000-0010-0000-0000-0000400F0000}" name="Coluna3899"/>
    <tableColumn id="3905" xr3:uid="{00000000-0010-0000-0000-0000410F0000}" name="Coluna3900"/>
    <tableColumn id="3906" xr3:uid="{00000000-0010-0000-0000-0000420F0000}" name="Coluna3901"/>
    <tableColumn id="3907" xr3:uid="{00000000-0010-0000-0000-0000430F0000}" name="Coluna3902"/>
    <tableColumn id="3908" xr3:uid="{00000000-0010-0000-0000-0000440F0000}" name="Coluna3903"/>
    <tableColumn id="3909" xr3:uid="{00000000-0010-0000-0000-0000450F0000}" name="Coluna3904"/>
    <tableColumn id="3910" xr3:uid="{00000000-0010-0000-0000-0000460F0000}" name="Coluna3905"/>
    <tableColumn id="3911" xr3:uid="{00000000-0010-0000-0000-0000470F0000}" name="Coluna3906"/>
    <tableColumn id="3912" xr3:uid="{00000000-0010-0000-0000-0000480F0000}" name="Coluna3907"/>
    <tableColumn id="3913" xr3:uid="{00000000-0010-0000-0000-0000490F0000}" name="Coluna3908"/>
    <tableColumn id="3914" xr3:uid="{00000000-0010-0000-0000-00004A0F0000}" name="Coluna3909"/>
    <tableColumn id="3915" xr3:uid="{00000000-0010-0000-0000-00004B0F0000}" name="Coluna3910"/>
    <tableColumn id="3916" xr3:uid="{00000000-0010-0000-0000-00004C0F0000}" name="Coluna3911"/>
    <tableColumn id="3917" xr3:uid="{00000000-0010-0000-0000-00004D0F0000}" name="Coluna3912"/>
    <tableColumn id="3918" xr3:uid="{00000000-0010-0000-0000-00004E0F0000}" name="Coluna3913"/>
    <tableColumn id="3919" xr3:uid="{00000000-0010-0000-0000-00004F0F0000}" name="Coluna3914"/>
    <tableColumn id="3920" xr3:uid="{00000000-0010-0000-0000-0000500F0000}" name="Coluna3915"/>
    <tableColumn id="3921" xr3:uid="{00000000-0010-0000-0000-0000510F0000}" name="Coluna3916"/>
    <tableColumn id="3922" xr3:uid="{00000000-0010-0000-0000-0000520F0000}" name="Coluna3917"/>
    <tableColumn id="3923" xr3:uid="{00000000-0010-0000-0000-0000530F0000}" name="Coluna3918"/>
    <tableColumn id="3924" xr3:uid="{00000000-0010-0000-0000-0000540F0000}" name="Coluna3919"/>
    <tableColumn id="3925" xr3:uid="{00000000-0010-0000-0000-0000550F0000}" name="Coluna3920"/>
    <tableColumn id="3926" xr3:uid="{00000000-0010-0000-0000-0000560F0000}" name="Coluna3921"/>
    <tableColumn id="3927" xr3:uid="{00000000-0010-0000-0000-0000570F0000}" name="Coluna3922"/>
    <tableColumn id="3928" xr3:uid="{00000000-0010-0000-0000-0000580F0000}" name="Coluna3923"/>
    <tableColumn id="3929" xr3:uid="{00000000-0010-0000-0000-0000590F0000}" name="Coluna3924"/>
    <tableColumn id="3930" xr3:uid="{00000000-0010-0000-0000-00005A0F0000}" name="Coluna3925"/>
    <tableColumn id="3931" xr3:uid="{00000000-0010-0000-0000-00005B0F0000}" name="Coluna3926"/>
    <tableColumn id="3932" xr3:uid="{00000000-0010-0000-0000-00005C0F0000}" name="Coluna3927"/>
    <tableColumn id="3933" xr3:uid="{00000000-0010-0000-0000-00005D0F0000}" name="Coluna3928"/>
    <tableColumn id="3934" xr3:uid="{00000000-0010-0000-0000-00005E0F0000}" name="Coluna3929"/>
    <tableColumn id="3935" xr3:uid="{00000000-0010-0000-0000-00005F0F0000}" name="Coluna3930"/>
    <tableColumn id="3936" xr3:uid="{00000000-0010-0000-0000-0000600F0000}" name="Coluna3931"/>
    <tableColumn id="3937" xr3:uid="{00000000-0010-0000-0000-0000610F0000}" name="Coluna3932"/>
    <tableColumn id="3938" xr3:uid="{00000000-0010-0000-0000-0000620F0000}" name="Coluna3933"/>
    <tableColumn id="3939" xr3:uid="{00000000-0010-0000-0000-0000630F0000}" name="Coluna3934"/>
    <tableColumn id="3940" xr3:uid="{00000000-0010-0000-0000-0000640F0000}" name="Coluna3935"/>
    <tableColumn id="3941" xr3:uid="{00000000-0010-0000-0000-0000650F0000}" name="Coluna3936"/>
    <tableColumn id="3942" xr3:uid="{00000000-0010-0000-0000-0000660F0000}" name="Coluna3937"/>
    <tableColumn id="3943" xr3:uid="{00000000-0010-0000-0000-0000670F0000}" name="Coluna3938"/>
    <tableColumn id="3944" xr3:uid="{00000000-0010-0000-0000-0000680F0000}" name="Coluna3939"/>
    <tableColumn id="3945" xr3:uid="{00000000-0010-0000-0000-0000690F0000}" name="Coluna3940"/>
    <tableColumn id="3946" xr3:uid="{00000000-0010-0000-0000-00006A0F0000}" name="Coluna3941"/>
    <tableColumn id="3947" xr3:uid="{00000000-0010-0000-0000-00006B0F0000}" name="Coluna3942"/>
    <tableColumn id="3948" xr3:uid="{00000000-0010-0000-0000-00006C0F0000}" name="Coluna3943"/>
    <tableColumn id="3949" xr3:uid="{00000000-0010-0000-0000-00006D0F0000}" name="Coluna3944"/>
    <tableColumn id="3950" xr3:uid="{00000000-0010-0000-0000-00006E0F0000}" name="Coluna3945"/>
    <tableColumn id="3951" xr3:uid="{00000000-0010-0000-0000-00006F0F0000}" name="Coluna3946"/>
    <tableColumn id="3952" xr3:uid="{00000000-0010-0000-0000-0000700F0000}" name="Coluna3947"/>
    <tableColumn id="3953" xr3:uid="{00000000-0010-0000-0000-0000710F0000}" name="Coluna3948"/>
    <tableColumn id="3954" xr3:uid="{00000000-0010-0000-0000-0000720F0000}" name="Coluna3949"/>
    <tableColumn id="3955" xr3:uid="{00000000-0010-0000-0000-0000730F0000}" name="Coluna3950"/>
    <tableColumn id="3956" xr3:uid="{00000000-0010-0000-0000-0000740F0000}" name="Coluna3951"/>
    <tableColumn id="3957" xr3:uid="{00000000-0010-0000-0000-0000750F0000}" name="Coluna3952"/>
    <tableColumn id="3958" xr3:uid="{00000000-0010-0000-0000-0000760F0000}" name="Coluna3953"/>
    <tableColumn id="3959" xr3:uid="{00000000-0010-0000-0000-0000770F0000}" name="Coluna3954"/>
    <tableColumn id="3960" xr3:uid="{00000000-0010-0000-0000-0000780F0000}" name="Coluna3955"/>
    <tableColumn id="3961" xr3:uid="{00000000-0010-0000-0000-0000790F0000}" name="Coluna3956"/>
    <tableColumn id="3962" xr3:uid="{00000000-0010-0000-0000-00007A0F0000}" name="Coluna3957"/>
    <tableColumn id="3963" xr3:uid="{00000000-0010-0000-0000-00007B0F0000}" name="Coluna3958"/>
    <tableColumn id="3964" xr3:uid="{00000000-0010-0000-0000-00007C0F0000}" name="Coluna3959"/>
    <tableColumn id="3965" xr3:uid="{00000000-0010-0000-0000-00007D0F0000}" name="Coluna3960"/>
    <tableColumn id="3966" xr3:uid="{00000000-0010-0000-0000-00007E0F0000}" name="Coluna3961"/>
    <tableColumn id="3967" xr3:uid="{00000000-0010-0000-0000-00007F0F0000}" name="Coluna3962"/>
    <tableColumn id="3968" xr3:uid="{00000000-0010-0000-0000-0000800F0000}" name="Coluna3963"/>
    <tableColumn id="3969" xr3:uid="{00000000-0010-0000-0000-0000810F0000}" name="Coluna3964"/>
    <tableColumn id="3970" xr3:uid="{00000000-0010-0000-0000-0000820F0000}" name="Coluna3965"/>
    <tableColumn id="3971" xr3:uid="{00000000-0010-0000-0000-0000830F0000}" name="Coluna3966"/>
    <tableColumn id="3972" xr3:uid="{00000000-0010-0000-0000-0000840F0000}" name="Coluna3967"/>
    <tableColumn id="3973" xr3:uid="{00000000-0010-0000-0000-0000850F0000}" name="Coluna3968"/>
    <tableColumn id="3974" xr3:uid="{00000000-0010-0000-0000-0000860F0000}" name="Coluna3969"/>
    <tableColumn id="3975" xr3:uid="{00000000-0010-0000-0000-0000870F0000}" name="Coluna3970"/>
    <tableColumn id="3976" xr3:uid="{00000000-0010-0000-0000-0000880F0000}" name="Coluna3971"/>
    <tableColumn id="3977" xr3:uid="{00000000-0010-0000-0000-0000890F0000}" name="Coluna3972"/>
    <tableColumn id="3978" xr3:uid="{00000000-0010-0000-0000-00008A0F0000}" name="Coluna3973"/>
    <tableColumn id="3979" xr3:uid="{00000000-0010-0000-0000-00008B0F0000}" name="Coluna3974"/>
    <tableColumn id="3980" xr3:uid="{00000000-0010-0000-0000-00008C0F0000}" name="Coluna3975"/>
    <tableColumn id="3981" xr3:uid="{00000000-0010-0000-0000-00008D0F0000}" name="Coluna3976"/>
    <tableColumn id="3982" xr3:uid="{00000000-0010-0000-0000-00008E0F0000}" name="Coluna3977"/>
    <tableColumn id="3983" xr3:uid="{00000000-0010-0000-0000-00008F0F0000}" name="Coluna3978"/>
    <tableColumn id="3984" xr3:uid="{00000000-0010-0000-0000-0000900F0000}" name="Coluna3979"/>
    <tableColumn id="3985" xr3:uid="{00000000-0010-0000-0000-0000910F0000}" name="Coluna3980"/>
    <tableColumn id="3986" xr3:uid="{00000000-0010-0000-0000-0000920F0000}" name="Coluna3981"/>
    <tableColumn id="3987" xr3:uid="{00000000-0010-0000-0000-0000930F0000}" name="Coluna3982"/>
    <tableColumn id="3988" xr3:uid="{00000000-0010-0000-0000-0000940F0000}" name="Coluna3983"/>
    <tableColumn id="3989" xr3:uid="{00000000-0010-0000-0000-0000950F0000}" name="Coluna3984"/>
    <tableColumn id="3990" xr3:uid="{00000000-0010-0000-0000-0000960F0000}" name="Coluna3985"/>
    <tableColumn id="3991" xr3:uid="{00000000-0010-0000-0000-0000970F0000}" name="Coluna3986"/>
    <tableColumn id="3992" xr3:uid="{00000000-0010-0000-0000-0000980F0000}" name="Coluna3987"/>
    <tableColumn id="3993" xr3:uid="{00000000-0010-0000-0000-0000990F0000}" name="Coluna3988"/>
    <tableColumn id="3994" xr3:uid="{00000000-0010-0000-0000-00009A0F0000}" name="Coluna3989"/>
    <tableColumn id="3995" xr3:uid="{00000000-0010-0000-0000-00009B0F0000}" name="Coluna3990"/>
    <tableColumn id="3996" xr3:uid="{00000000-0010-0000-0000-00009C0F0000}" name="Coluna3991"/>
    <tableColumn id="3997" xr3:uid="{00000000-0010-0000-0000-00009D0F0000}" name="Coluna3992"/>
    <tableColumn id="3998" xr3:uid="{00000000-0010-0000-0000-00009E0F0000}" name="Coluna3993"/>
    <tableColumn id="3999" xr3:uid="{00000000-0010-0000-0000-00009F0F0000}" name="Coluna3994"/>
    <tableColumn id="4000" xr3:uid="{00000000-0010-0000-0000-0000A00F0000}" name="Coluna3995"/>
    <tableColumn id="4001" xr3:uid="{00000000-0010-0000-0000-0000A10F0000}" name="Coluna3996"/>
    <tableColumn id="4002" xr3:uid="{00000000-0010-0000-0000-0000A20F0000}" name="Coluna3997"/>
    <tableColumn id="4003" xr3:uid="{00000000-0010-0000-0000-0000A30F0000}" name="Coluna3998"/>
    <tableColumn id="4004" xr3:uid="{00000000-0010-0000-0000-0000A40F0000}" name="Coluna3999"/>
    <tableColumn id="4005" xr3:uid="{00000000-0010-0000-0000-0000A50F0000}" name="Coluna4000"/>
    <tableColumn id="4006" xr3:uid="{00000000-0010-0000-0000-0000A60F0000}" name="Coluna4001"/>
    <tableColumn id="4007" xr3:uid="{00000000-0010-0000-0000-0000A70F0000}" name="Coluna4002"/>
    <tableColumn id="4008" xr3:uid="{00000000-0010-0000-0000-0000A80F0000}" name="Coluna4003"/>
    <tableColumn id="4009" xr3:uid="{00000000-0010-0000-0000-0000A90F0000}" name="Coluna4004"/>
    <tableColumn id="4010" xr3:uid="{00000000-0010-0000-0000-0000AA0F0000}" name="Coluna4005"/>
    <tableColumn id="4011" xr3:uid="{00000000-0010-0000-0000-0000AB0F0000}" name="Coluna4006"/>
    <tableColumn id="4012" xr3:uid="{00000000-0010-0000-0000-0000AC0F0000}" name="Coluna4007"/>
    <tableColumn id="4013" xr3:uid="{00000000-0010-0000-0000-0000AD0F0000}" name="Coluna4008"/>
    <tableColumn id="4014" xr3:uid="{00000000-0010-0000-0000-0000AE0F0000}" name="Coluna4009"/>
    <tableColumn id="4015" xr3:uid="{00000000-0010-0000-0000-0000AF0F0000}" name="Coluna4010"/>
    <tableColumn id="4016" xr3:uid="{00000000-0010-0000-0000-0000B00F0000}" name="Coluna4011"/>
    <tableColumn id="4017" xr3:uid="{00000000-0010-0000-0000-0000B10F0000}" name="Coluna4012"/>
    <tableColumn id="4018" xr3:uid="{00000000-0010-0000-0000-0000B20F0000}" name="Coluna4013"/>
    <tableColumn id="4019" xr3:uid="{00000000-0010-0000-0000-0000B30F0000}" name="Coluna4014"/>
    <tableColumn id="4020" xr3:uid="{00000000-0010-0000-0000-0000B40F0000}" name="Coluna4015"/>
    <tableColumn id="4021" xr3:uid="{00000000-0010-0000-0000-0000B50F0000}" name="Coluna4016"/>
    <tableColumn id="4022" xr3:uid="{00000000-0010-0000-0000-0000B60F0000}" name="Coluna4017"/>
    <tableColumn id="4023" xr3:uid="{00000000-0010-0000-0000-0000B70F0000}" name="Coluna4018"/>
    <tableColumn id="4024" xr3:uid="{00000000-0010-0000-0000-0000B80F0000}" name="Coluna4019"/>
    <tableColumn id="4025" xr3:uid="{00000000-0010-0000-0000-0000B90F0000}" name="Coluna4020"/>
    <tableColumn id="4026" xr3:uid="{00000000-0010-0000-0000-0000BA0F0000}" name="Coluna4021"/>
    <tableColumn id="4027" xr3:uid="{00000000-0010-0000-0000-0000BB0F0000}" name="Coluna4022"/>
    <tableColumn id="4028" xr3:uid="{00000000-0010-0000-0000-0000BC0F0000}" name="Coluna4023"/>
    <tableColumn id="4029" xr3:uid="{00000000-0010-0000-0000-0000BD0F0000}" name="Coluna4024"/>
    <tableColumn id="4030" xr3:uid="{00000000-0010-0000-0000-0000BE0F0000}" name="Coluna4025"/>
    <tableColumn id="4031" xr3:uid="{00000000-0010-0000-0000-0000BF0F0000}" name="Coluna4026"/>
    <tableColumn id="4032" xr3:uid="{00000000-0010-0000-0000-0000C00F0000}" name="Coluna4027"/>
    <tableColumn id="4033" xr3:uid="{00000000-0010-0000-0000-0000C10F0000}" name="Coluna4028"/>
    <tableColumn id="4034" xr3:uid="{00000000-0010-0000-0000-0000C20F0000}" name="Coluna4029"/>
    <tableColumn id="4035" xr3:uid="{00000000-0010-0000-0000-0000C30F0000}" name="Coluna4030"/>
    <tableColumn id="4036" xr3:uid="{00000000-0010-0000-0000-0000C40F0000}" name="Coluna4031"/>
    <tableColumn id="4037" xr3:uid="{00000000-0010-0000-0000-0000C50F0000}" name="Coluna4032"/>
    <tableColumn id="4038" xr3:uid="{00000000-0010-0000-0000-0000C60F0000}" name="Coluna4033"/>
    <tableColumn id="4039" xr3:uid="{00000000-0010-0000-0000-0000C70F0000}" name="Coluna4034"/>
    <tableColumn id="4040" xr3:uid="{00000000-0010-0000-0000-0000C80F0000}" name="Coluna4035"/>
    <tableColumn id="4041" xr3:uid="{00000000-0010-0000-0000-0000C90F0000}" name="Coluna4036"/>
    <tableColumn id="4042" xr3:uid="{00000000-0010-0000-0000-0000CA0F0000}" name="Coluna4037"/>
    <tableColumn id="4043" xr3:uid="{00000000-0010-0000-0000-0000CB0F0000}" name="Coluna4038"/>
    <tableColumn id="4044" xr3:uid="{00000000-0010-0000-0000-0000CC0F0000}" name="Coluna4039"/>
    <tableColumn id="4045" xr3:uid="{00000000-0010-0000-0000-0000CD0F0000}" name="Coluna4040"/>
    <tableColumn id="4046" xr3:uid="{00000000-0010-0000-0000-0000CE0F0000}" name="Coluna4041"/>
    <tableColumn id="4047" xr3:uid="{00000000-0010-0000-0000-0000CF0F0000}" name="Coluna4042"/>
    <tableColumn id="4048" xr3:uid="{00000000-0010-0000-0000-0000D00F0000}" name="Coluna4043"/>
    <tableColumn id="4049" xr3:uid="{00000000-0010-0000-0000-0000D10F0000}" name="Coluna4044"/>
    <tableColumn id="4050" xr3:uid="{00000000-0010-0000-0000-0000D20F0000}" name="Coluna4045"/>
    <tableColumn id="4051" xr3:uid="{00000000-0010-0000-0000-0000D30F0000}" name="Coluna4046"/>
    <tableColumn id="4052" xr3:uid="{00000000-0010-0000-0000-0000D40F0000}" name="Coluna4047"/>
    <tableColumn id="4053" xr3:uid="{00000000-0010-0000-0000-0000D50F0000}" name="Coluna4048"/>
    <tableColumn id="4054" xr3:uid="{00000000-0010-0000-0000-0000D60F0000}" name="Coluna4049"/>
    <tableColumn id="4055" xr3:uid="{00000000-0010-0000-0000-0000D70F0000}" name="Coluna4050"/>
    <tableColumn id="4056" xr3:uid="{00000000-0010-0000-0000-0000D80F0000}" name="Coluna4051"/>
    <tableColumn id="4057" xr3:uid="{00000000-0010-0000-0000-0000D90F0000}" name="Coluna4052"/>
    <tableColumn id="4058" xr3:uid="{00000000-0010-0000-0000-0000DA0F0000}" name="Coluna4053"/>
    <tableColumn id="4059" xr3:uid="{00000000-0010-0000-0000-0000DB0F0000}" name="Coluna4054"/>
    <tableColumn id="4060" xr3:uid="{00000000-0010-0000-0000-0000DC0F0000}" name="Coluna4055"/>
    <tableColumn id="4061" xr3:uid="{00000000-0010-0000-0000-0000DD0F0000}" name="Coluna4056"/>
    <tableColumn id="4062" xr3:uid="{00000000-0010-0000-0000-0000DE0F0000}" name="Coluna4057"/>
    <tableColumn id="4063" xr3:uid="{00000000-0010-0000-0000-0000DF0F0000}" name="Coluna4058"/>
    <tableColumn id="4064" xr3:uid="{00000000-0010-0000-0000-0000E00F0000}" name="Coluna4059"/>
    <tableColumn id="4065" xr3:uid="{00000000-0010-0000-0000-0000E10F0000}" name="Coluna4060"/>
    <tableColumn id="4066" xr3:uid="{00000000-0010-0000-0000-0000E20F0000}" name="Coluna4061"/>
    <tableColumn id="4067" xr3:uid="{00000000-0010-0000-0000-0000E30F0000}" name="Coluna4062"/>
    <tableColumn id="4068" xr3:uid="{00000000-0010-0000-0000-0000E40F0000}" name="Coluna4063"/>
    <tableColumn id="4069" xr3:uid="{00000000-0010-0000-0000-0000E50F0000}" name="Coluna4064"/>
    <tableColumn id="4070" xr3:uid="{00000000-0010-0000-0000-0000E60F0000}" name="Coluna4065"/>
    <tableColumn id="4071" xr3:uid="{00000000-0010-0000-0000-0000E70F0000}" name="Coluna4066"/>
    <tableColumn id="4072" xr3:uid="{00000000-0010-0000-0000-0000E80F0000}" name="Coluna4067"/>
    <tableColumn id="4073" xr3:uid="{00000000-0010-0000-0000-0000E90F0000}" name="Coluna4068"/>
    <tableColumn id="4074" xr3:uid="{00000000-0010-0000-0000-0000EA0F0000}" name="Coluna4069"/>
    <tableColumn id="4075" xr3:uid="{00000000-0010-0000-0000-0000EB0F0000}" name="Coluna4070"/>
    <tableColumn id="4076" xr3:uid="{00000000-0010-0000-0000-0000EC0F0000}" name="Coluna4071"/>
    <tableColumn id="4077" xr3:uid="{00000000-0010-0000-0000-0000ED0F0000}" name="Coluna4072"/>
    <tableColumn id="4078" xr3:uid="{00000000-0010-0000-0000-0000EE0F0000}" name="Coluna4073"/>
    <tableColumn id="4079" xr3:uid="{00000000-0010-0000-0000-0000EF0F0000}" name="Coluna4074"/>
    <tableColumn id="4080" xr3:uid="{00000000-0010-0000-0000-0000F00F0000}" name="Coluna4075"/>
    <tableColumn id="4081" xr3:uid="{00000000-0010-0000-0000-0000F10F0000}" name="Coluna4076"/>
    <tableColumn id="4082" xr3:uid="{00000000-0010-0000-0000-0000F20F0000}" name="Coluna4077"/>
    <tableColumn id="4083" xr3:uid="{00000000-0010-0000-0000-0000F30F0000}" name="Coluna4078"/>
    <tableColumn id="4084" xr3:uid="{00000000-0010-0000-0000-0000F40F0000}" name="Coluna4079"/>
    <tableColumn id="4085" xr3:uid="{00000000-0010-0000-0000-0000F50F0000}" name="Coluna4080"/>
    <tableColumn id="4086" xr3:uid="{00000000-0010-0000-0000-0000F60F0000}" name="Coluna4081"/>
    <tableColumn id="4087" xr3:uid="{00000000-0010-0000-0000-0000F70F0000}" name="Coluna4082"/>
    <tableColumn id="4088" xr3:uid="{00000000-0010-0000-0000-0000F80F0000}" name="Coluna4083"/>
    <tableColumn id="4089" xr3:uid="{00000000-0010-0000-0000-0000F90F0000}" name="Coluna4084"/>
    <tableColumn id="4090" xr3:uid="{00000000-0010-0000-0000-0000FA0F0000}" name="Coluna4085"/>
    <tableColumn id="4091" xr3:uid="{00000000-0010-0000-0000-0000FB0F0000}" name="Coluna4086"/>
    <tableColumn id="4092" xr3:uid="{00000000-0010-0000-0000-0000FC0F0000}" name="Coluna4087"/>
    <tableColumn id="4093" xr3:uid="{00000000-0010-0000-0000-0000FD0F0000}" name="Coluna4088"/>
    <tableColumn id="4094" xr3:uid="{00000000-0010-0000-0000-0000FE0F0000}" name="Coluna4089"/>
    <tableColumn id="4095" xr3:uid="{00000000-0010-0000-0000-0000FF0F0000}" name="Coluna4090"/>
    <tableColumn id="4096" xr3:uid="{00000000-0010-0000-0000-000000100000}" name="Coluna4091"/>
    <tableColumn id="4097" xr3:uid="{00000000-0010-0000-0000-000001100000}" name="Coluna4092"/>
    <tableColumn id="4098" xr3:uid="{00000000-0010-0000-0000-000002100000}" name="Coluna4093"/>
    <tableColumn id="4099" xr3:uid="{00000000-0010-0000-0000-000003100000}" name="Coluna4094"/>
    <tableColumn id="4100" xr3:uid="{00000000-0010-0000-0000-000004100000}" name="Coluna4095"/>
    <tableColumn id="4101" xr3:uid="{00000000-0010-0000-0000-000005100000}" name="Coluna4096"/>
    <tableColumn id="4102" xr3:uid="{00000000-0010-0000-0000-000006100000}" name="Coluna4097"/>
    <tableColumn id="4103" xr3:uid="{00000000-0010-0000-0000-000007100000}" name="Coluna4098"/>
    <tableColumn id="4104" xr3:uid="{00000000-0010-0000-0000-000008100000}" name="Coluna4099"/>
    <tableColumn id="4105" xr3:uid="{00000000-0010-0000-0000-000009100000}" name="Coluna4100"/>
    <tableColumn id="4106" xr3:uid="{00000000-0010-0000-0000-00000A100000}" name="Coluna4101"/>
    <tableColumn id="4107" xr3:uid="{00000000-0010-0000-0000-00000B100000}" name="Coluna4102"/>
    <tableColumn id="4108" xr3:uid="{00000000-0010-0000-0000-00000C100000}" name="Coluna4103"/>
    <tableColumn id="4109" xr3:uid="{00000000-0010-0000-0000-00000D100000}" name="Coluna4104"/>
    <tableColumn id="4110" xr3:uid="{00000000-0010-0000-0000-00000E100000}" name="Coluna4105"/>
    <tableColumn id="4111" xr3:uid="{00000000-0010-0000-0000-00000F100000}" name="Coluna4106"/>
    <tableColumn id="4112" xr3:uid="{00000000-0010-0000-0000-000010100000}" name="Coluna4107"/>
    <tableColumn id="4113" xr3:uid="{00000000-0010-0000-0000-000011100000}" name="Coluna4108"/>
    <tableColumn id="4114" xr3:uid="{00000000-0010-0000-0000-000012100000}" name="Coluna4109"/>
    <tableColumn id="4115" xr3:uid="{00000000-0010-0000-0000-000013100000}" name="Coluna4110"/>
    <tableColumn id="4116" xr3:uid="{00000000-0010-0000-0000-000014100000}" name="Coluna4111"/>
    <tableColumn id="4117" xr3:uid="{00000000-0010-0000-0000-000015100000}" name="Coluna4112"/>
    <tableColumn id="4118" xr3:uid="{00000000-0010-0000-0000-000016100000}" name="Coluna4113"/>
    <tableColumn id="4119" xr3:uid="{00000000-0010-0000-0000-000017100000}" name="Coluna4114"/>
    <tableColumn id="4120" xr3:uid="{00000000-0010-0000-0000-000018100000}" name="Coluna4115"/>
    <tableColumn id="4121" xr3:uid="{00000000-0010-0000-0000-000019100000}" name="Coluna4116"/>
    <tableColumn id="4122" xr3:uid="{00000000-0010-0000-0000-00001A100000}" name="Coluna4117"/>
    <tableColumn id="4123" xr3:uid="{00000000-0010-0000-0000-00001B100000}" name="Coluna4118"/>
    <tableColumn id="4124" xr3:uid="{00000000-0010-0000-0000-00001C100000}" name="Coluna4119"/>
    <tableColumn id="4125" xr3:uid="{00000000-0010-0000-0000-00001D100000}" name="Coluna4120"/>
    <tableColumn id="4126" xr3:uid="{00000000-0010-0000-0000-00001E100000}" name="Coluna4121"/>
    <tableColumn id="4127" xr3:uid="{00000000-0010-0000-0000-00001F100000}" name="Coluna4122"/>
    <tableColumn id="4128" xr3:uid="{00000000-0010-0000-0000-000020100000}" name="Coluna4123"/>
    <tableColumn id="4129" xr3:uid="{00000000-0010-0000-0000-000021100000}" name="Coluna4124"/>
    <tableColumn id="4130" xr3:uid="{00000000-0010-0000-0000-000022100000}" name="Coluna4125"/>
    <tableColumn id="4131" xr3:uid="{00000000-0010-0000-0000-000023100000}" name="Coluna4126"/>
    <tableColumn id="4132" xr3:uid="{00000000-0010-0000-0000-000024100000}" name="Coluna4127"/>
    <tableColumn id="4133" xr3:uid="{00000000-0010-0000-0000-000025100000}" name="Coluna4128"/>
    <tableColumn id="4134" xr3:uid="{00000000-0010-0000-0000-000026100000}" name="Coluna4129"/>
    <tableColumn id="4135" xr3:uid="{00000000-0010-0000-0000-000027100000}" name="Coluna4130"/>
    <tableColumn id="4136" xr3:uid="{00000000-0010-0000-0000-000028100000}" name="Coluna4131"/>
    <tableColumn id="4137" xr3:uid="{00000000-0010-0000-0000-000029100000}" name="Coluna4132"/>
    <tableColumn id="4138" xr3:uid="{00000000-0010-0000-0000-00002A100000}" name="Coluna4133"/>
    <tableColumn id="4139" xr3:uid="{00000000-0010-0000-0000-00002B100000}" name="Coluna4134"/>
    <tableColumn id="4140" xr3:uid="{00000000-0010-0000-0000-00002C100000}" name="Coluna4135"/>
    <tableColumn id="4141" xr3:uid="{00000000-0010-0000-0000-00002D100000}" name="Coluna4136"/>
    <tableColumn id="4142" xr3:uid="{00000000-0010-0000-0000-00002E100000}" name="Coluna4137"/>
    <tableColumn id="4143" xr3:uid="{00000000-0010-0000-0000-00002F100000}" name="Coluna4138"/>
    <tableColumn id="4144" xr3:uid="{00000000-0010-0000-0000-000030100000}" name="Coluna4139"/>
    <tableColumn id="4145" xr3:uid="{00000000-0010-0000-0000-000031100000}" name="Coluna4140"/>
    <tableColumn id="4146" xr3:uid="{00000000-0010-0000-0000-000032100000}" name="Coluna4141"/>
    <tableColumn id="4147" xr3:uid="{00000000-0010-0000-0000-000033100000}" name="Coluna4142"/>
    <tableColumn id="4148" xr3:uid="{00000000-0010-0000-0000-000034100000}" name="Coluna4143"/>
    <tableColumn id="4149" xr3:uid="{00000000-0010-0000-0000-000035100000}" name="Coluna4144"/>
    <tableColumn id="4150" xr3:uid="{00000000-0010-0000-0000-000036100000}" name="Coluna4145"/>
    <tableColumn id="4151" xr3:uid="{00000000-0010-0000-0000-000037100000}" name="Coluna4146"/>
    <tableColumn id="4152" xr3:uid="{00000000-0010-0000-0000-000038100000}" name="Coluna4147"/>
    <tableColumn id="4153" xr3:uid="{00000000-0010-0000-0000-000039100000}" name="Coluna4148"/>
    <tableColumn id="4154" xr3:uid="{00000000-0010-0000-0000-00003A100000}" name="Coluna4149"/>
    <tableColumn id="4155" xr3:uid="{00000000-0010-0000-0000-00003B100000}" name="Coluna4150"/>
    <tableColumn id="4156" xr3:uid="{00000000-0010-0000-0000-00003C100000}" name="Coluna4151"/>
    <tableColumn id="4157" xr3:uid="{00000000-0010-0000-0000-00003D100000}" name="Coluna4152"/>
    <tableColumn id="4158" xr3:uid="{00000000-0010-0000-0000-00003E100000}" name="Coluna4153"/>
    <tableColumn id="4159" xr3:uid="{00000000-0010-0000-0000-00003F100000}" name="Coluna4154"/>
    <tableColumn id="4160" xr3:uid="{00000000-0010-0000-0000-000040100000}" name="Coluna4155"/>
    <tableColumn id="4161" xr3:uid="{00000000-0010-0000-0000-000041100000}" name="Coluna4156"/>
    <tableColumn id="4162" xr3:uid="{00000000-0010-0000-0000-000042100000}" name="Coluna4157"/>
    <tableColumn id="4163" xr3:uid="{00000000-0010-0000-0000-000043100000}" name="Coluna4158"/>
    <tableColumn id="4164" xr3:uid="{00000000-0010-0000-0000-000044100000}" name="Coluna4159"/>
    <tableColumn id="4165" xr3:uid="{00000000-0010-0000-0000-000045100000}" name="Coluna4160"/>
    <tableColumn id="4166" xr3:uid="{00000000-0010-0000-0000-000046100000}" name="Coluna4161"/>
    <tableColumn id="4167" xr3:uid="{00000000-0010-0000-0000-000047100000}" name="Coluna4162"/>
    <tableColumn id="4168" xr3:uid="{00000000-0010-0000-0000-000048100000}" name="Coluna4163"/>
    <tableColumn id="4169" xr3:uid="{00000000-0010-0000-0000-000049100000}" name="Coluna4164"/>
    <tableColumn id="4170" xr3:uid="{00000000-0010-0000-0000-00004A100000}" name="Coluna4165"/>
    <tableColumn id="4171" xr3:uid="{00000000-0010-0000-0000-00004B100000}" name="Coluna4166"/>
    <tableColumn id="4172" xr3:uid="{00000000-0010-0000-0000-00004C100000}" name="Coluna4167"/>
    <tableColumn id="4173" xr3:uid="{00000000-0010-0000-0000-00004D100000}" name="Coluna4168"/>
    <tableColumn id="4174" xr3:uid="{00000000-0010-0000-0000-00004E100000}" name="Coluna4169"/>
    <tableColumn id="4175" xr3:uid="{00000000-0010-0000-0000-00004F100000}" name="Coluna4170"/>
    <tableColumn id="4176" xr3:uid="{00000000-0010-0000-0000-000050100000}" name="Coluna4171"/>
    <tableColumn id="4177" xr3:uid="{00000000-0010-0000-0000-000051100000}" name="Coluna4172"/>
    <tableColumn id="4178" xr3:uid="{00000000-0010-0000-0000-000052100000}" name="Coluna4173"/>
    <tableColumn id="4179" xr3:uid="{00000000-0010-0000-0000-000053100000}" name="Coluna4174"/>
    <tableColumn id="4180" xr3:uid="{00000000-0010-0000-0000-000054100000}" name="Coluna4175"/>
    <tableColumn id="4181" xr3:uid="{00000000-0010-0000-0000-000055100000}" name="Coluna4176"/>
    <tableColumn id="4182" xr3:uid="{00000000-0010-0000-0000-000056100000}" name="Coluna4177"/>
    <tableColumn id="4183" xr3:uid="{00000000-0010-0000-0000-000057100000}" name="Coluna4178"/>
    <tableColumn id="4184" xr3:uid="{00000000-0010-0000-0000-000058100000}" name="Coluna4179"/>
    <tableColumn id="4185" xr3:uid="{00000000-0010-0000-0000-000059100000}" name="Coluna4180"/>
    <tableColumn id="4186" xr3:uid="{00000000-0010-0000-0000-00005A100000}" name="Coluna4181"/>
    <tableColumn id="4187" xr3:uid="{00000000-0010-0000-0000-00005B100000}" name="Coluna4182"/>
    <tableColumn id="4188" xr3:uid="{00000000-0010-0000-0000-00005C100000}" name="Coluna4183"/>
    <tableColumn id="4189" xr3:uid="{00000000-0010-0000-0000-00005D100000}" name="Coluna4184"/>
    <tableColumn id="4190" xr3:uid="{00000000-0010-0000-0000-00005E100000}" name="Coluna4185"/>
    <tableColumn id="4191" xr3:uid="{00000000-0010-0000-0000-00005F100000}" name="Coluna4186"/>
    <tableColumn id="4192" xr3:uid="{00000000-0010-0000-0000-000060100000}" name="Coluna4187"/>
    <tableColumn id="4193" xr3:uid="{00000000-0010-0000-0000-000061100000}" name="Coluna4188"/>
    <tableColumn id="4194" xr3:uid="{00000000-0010-0000-0000-000062100000}" name="Coluna4189"/>
    <tableColumn id="4195" xr3:uid="{00000000-0010-0000-0000-000063100000}" name="Coluna4190"/>
    <tableColumn id="4196" xr3:uid="{00000000-0010-0000-0000-000064100000}" name="Coluna4191"/>
    <tableColumn id="4197" xr3:uid="{00000000-0010-0000-0000-000065100000}" name="Coluna4192"/>
    <tableColumn id="4198" xr3:uid="{00000000-0010-0000-0000-000066100000}" name="Coluna4193"/>
    <tableColumn id="4199" xr3:uid="{00000000-0010-0000-0000-000067100000}" name="Coluna4194"/>
    <tableColumn id="4200" xr3:uid="{00000000-0010-0000-0000-000068100000}" name="Coluna4195"/>
    <tableColumn id="4201" xr3:uid="{00000000-0010-0000-0000-000069100000}" name="Coluna4196"/>
    <tableColumn id="4202" xr3:uid="{00000000-0010-0000-0000-00006A100000}" name="Coluna4197"/>
    <tableColumn id="4203" xr3:uid="{00000000-0010-0000-0000-00006B100000}" name="Coluna4198"/>
    <tableColumn id="4204" xr3:uid="{00000000-0010-0000-0000-00006C100000}" name="Coluna4199"/>
    <tableColumn id="4205" xr3:uid="{00000000-0010-0000-0000-00006D100000}" name="Coluna4200"/>
    <tableColumn id="4206" xr3:uid="{00000000-0010-0000-0000-00006E100000}" name="Coluna4201"/>
    <tableColumn id="4207" xr3:uid="{00000000-0010-0000-0000-00006F100000}" name="Coluna4202"/>
    <tableColumn id="4208" xr3:uid="{00000000-0010-0000-0000-000070100000}" name="Coluna4203"/>
    <tableColumn id="4209" xr3:uid="{00000000-0010-0000-0000-000071100000}" name="Coluna4204"/>
    <tableColumn id="4210" xr3:uid="{00000000-0010-0000-0000-000072100000}" name="Coluna4205"/>
    <tableColumn id="4211" xr3:uid="{00000000-0010-0000-0000-000073100000}" name="Coluna4206"/>
    <tableColumn id="4212" xr3:uid="{00000000-0010-0000-0000-000074100000}" name="Coluna4207"/>
    <tableColumn id="4213" xr3:uid="{00000000-0010-0000-0000-000075100000}" name="Coluna4208"/>
    <tableColumn id="4214" xr3:uid="{00000000-0010-0000-0000-000076100000}" name="Coluna4209"/>
    <tableColumn id="4215" xr3:uid="{00000000-0010-0000-0000-000077100000}" name="Coluna4210"/>
    <tableColumn id="4216" xr3:uid="{00000000-0010-0000-0000-000078100000}" name="Coluna4211"/>
    <tableColumn id="4217" xr3:uid="{00000000-0010-0000-0000-000079100000}" name="Coluna4212"/>
    <tableColumn id="4218" xr3:uid="{00000000-0010-0000-0000-00007A100000}" name="Coluna4213"/>
    <tableColumn id="4219" xr3:uid="{00000000-0010-0000-0000-00007B100000}" name="Coluna4214"/>
    <tableColumn id="4220" xr3:uid="{00000000-0010-0000-0000-00007C100000}" name="Coluna4215"/>
    <tableColumn id="4221" xr3:uid="{00000000-0010-0000-0000-00007D100000}" name="Coluna4216"/>
    <tableColumn id="4222" xr3:uid="{00000000-0010-0000-0000-00007E100000}" name="Coluna4217"/>
    <tableColumn id="4223" xr3:uid="{00000000-0010-0000-0000-00007F100000}" name="Coluna4218"/>
    <tableColumn id="4224" xr3:uid="{00000000-0010-0000-0000-000080100000}" name="Coluna4219"/>
    <tableColumn id="4225" xr3:uid="{00000000-0010-0000-0000-000081100000}" name="Coluna4220"/>
    <tableColumn id="4226" xr3:uid="{00000000-0010-0000-0000-000082100000}" name="Coluna4221"/>
    <tableColumn id="4227" xr3:uid="{00000000-0010-0000-0000-000083100000}" name="Coluna4222"/>
    <tableColumn id="4228" xr3:uid="{00000000-0010-0000-0000-000084100000}" name="Coluna4223"/>
    <tableColumn id="4229" xr3:uid="{00000000-0010-0000-0000-000085100000}" name="Coluna4224"/>
    <tableColumn id="4230" xr3:uid="{00000000-0010-0000-0000-000086100000}" name="Coluna4225"/>
    <tableColumn id="4231" xr3:uid="{00000000-0010-0000-0000-000087100000}" name="Coluna4226"/>
    <tableColumn id="4232" xr3:uid="{00000000-0010-0000-0000-000088100000}" name="Coluna4227"/>
    <tableColumn id="4233" xr3:uid="{00000000-0010-0000-0000-000089100000}" name="Coluna4228"/>
    <tableColumn id="4234" xr3:uid="{00000000-0010-0000-0000-00008A100000}" name="Coluna4229"/>
    <tableColumn id="4235" xr3:uid="{00000000-0010-0000-0000-00008B100000}" name="Coluna4230"/>
    <tableColumn id="4236" xr3:uid="{00000000-0010-0000-0000-00008C100000}" name="Coluna4231"/>
    <tableColumn id="4237" xr3:uid="{00000000-0010-0000-0000-00008D100000}" name="Coluna4232"/>
    <tableColumn id="4238" xr3:uid="{00000000-0010-0000-0000-00008E100000}" name="Coluna4233"/>
    <tableColumn id="4239" xr3:uid="{00000000-0010-0000-0000-00008F100000}" name="Coluna4234"/>
    <tableColumn id="4240" xr3:uid="{00000000-0010-0000-0000-000090100000}" name="Coluna4235"/>
    <tableColumn id="4241" xr3:uid="{00000000-0010-0000-0000-000091100000}" name="Coluna4236"/>
    <tableColumn id="4242" xr3:uid="{00000000-0010-0000-0000-000092100000}" name="Coluna4237"/>
    <tableColumn id="4243" xr3:uid="{00000000-0010-0000-0000-000093100000}" name="Coluna4238"/>
    <tableColumn id="4244" xr3:uid="{00000000-0010-0000-0000-000094100000}" name="Coluna4239"/>
    <tableColumn id="4245" xr3:uid="{00000000-0010-0000-0000-000095100000}" name="Coluna4240"/>
    <tableColumn id="4246" xr3:uid="{00000000-0010-0000-0000-000096100000}" name="Coluna4241"/>
    <tableColumn id="4247" xr3:uid="{00000000-0010-0000-0000-000097100000}" name="Coluna4242"/>
    <tableColumn id="4248" xr3:uid="{00000000-0010-0000-0000-000098100000}" name="Coluna4243"/>
    <tableColumn id="4249" xr3:uid="{00000000-0010-0000-0000-000099100000}" name="Coluna4244"/>
    <tableColumn id="4250" xr3:uid="{00000000-0010-0000-0000-00009A100000}" name="Coluna4245"/>
    <tableColumn id="4251" xr3:uid="{00000000-0010-0000-0000-00009B100000}" name="Coluna4246"/>
    <tableColumn id="4252" xr3:uid="{00000000-0010-0000-0000-00009C100000}" name="Coluna4247"/>
    <tableColumn id="4253" xr3:uid="{00000000-0010-0000-0000-00009D100000}" name="Coluna4248"/>
    <tableColumn id="4254" xr3:uid="{00000000-0010-0000-0000-00009E100000}" name="Coluna4249"/>
    <tableColumn id="4255" xr3:uid="{00000000-0010-0000-0000-00009F100000}" name="Coluna4250"/>
    <tableColumn id="4256" xr3:uid="{00000000-0010-0000-0000-0000A0100000}" name="Coluna4251"/>
    <tableColumn id="4257" xr3:uid="{00000000-0010-0000-0000-0000A1100000}" name="Coluna4252"/>
    <tableColumn id="4258" xr3:uid="{00000000-0010-0000-0000-0000A2100000}" name="Coluna4253"/>
    <tableColumn id="4259" xr3:uid="{00000000-0010-0000-0000-0000A3100000}" name="Coluna4254"/>
    <tableColumn id="4260" xr3:uid="{00000000-0010-0000-0000-0000A4100000}" name="Coluna4255"/>
    <tableColumn id="4261" xr3:uid="{00000000-0010-0000-0000-0000A5100000}" name="Coluna4256"/>
    <tableColumn id="4262" xr3:uid="{00000000-0010-0000-0000-0000A6100000}" name="Coluna4257"/>
    <tableColumn id="4263" xr3:uid="{00000000-0010-0000-0000-0000A7100000}" name="Coluna4258"/>
    <tableColumn id="4264" xr3:uid="{00000000-0010-0000-0000-0000A8100000}" name="Coluna4259"/>
    <tableColumn id="4265" xr3:uid="{00000000-0010-0000-0000-0000A9100000}" name="Coluna4260"/>
    <tableColumn id="4266" xr3:uid="{00000000-0010-0000-0000-0000AA100000}" name="Coluna4261"/>
    <tableColumn id="4267" xr3:uid="{00000000-0010-0000-0000-0000AB100000}" name="Coluna4262"/>
    <tableColumn id="4268" xr3:uid="{00000000-0010-0000-0000-0000AC100000}" name="Coluna4263"/>
    <tableColumn id="4269" xr3:uid="{00000000-0010-0000-0000-0000AD100000}" name="Coluna4264"/>
    <tableColumn id="4270" xr3:uid="{00000000-0010-0000-0000-0000AE100000}" name="Coluna4265"/>
    <tableColumn id="4271" xr3:uid="{00000000-0010-0000-0000-0000AF100000}" name="Coluna4266"/>
    <tableColumn id="4272" xr3:uid="{00000000-0010-0000-0000-0000B0100000}" name="Coluna4267"/>
    <tableColumn id="4273" xr3:uid="{00000000-0010-0000-0000-0000B1100000}" name="Coluna4268"/>
    <tableColumn id="4274" xr3:uid="{00000000-0010-0000-0000-0000B2100000}" name="Coluna4269"/>
    <tableColumn id="4275" xr3:uid="{00000000-0010-0000-0000-0000B3100000}" name="Coluna4270"/>
    <tableColumn id="4276" xr3:uid="{00000000-0010-0000-0000-0000B4100000}" name="Coluna4271"/>
    <tableColumn id="4277" xr3:uid="{00000000-0010-0000-0000-0000B5100000}" name="Coluna4272"/>
    <tableColumn id="4278" xr3:uid="{00000000-0010-0000-0000-0000B6100000}" name="Coluna4273"/>
    <tableColumn id="4279" xr3:uid="{00000000-0010-0000-0000-0000B7100000}" name="Coluna4274"/>
    <tableColumn id="4280" xr3:uid="{00000000-0010-0000-0000-0000B8100000}" name="Coluna4275"/>
    <tableColumn id="4281" xr3:uid="{00000000-0010-0000-0000-0000B9100000}" name="Coluna4276"/>
    <tableColumn id="4282" xr3:uid="{00000000-0010-0000-0000-0000BA100000}" name="Coluna4277"/>
    <tableColumn id="4283" xr3:uid="{00000000-0010-0000-0000-0000BB100000}" name="Coluna4278"/>
    <tableColumn id="4284" xr3:uid="{00000000-0010-0000-0000-0000BC100000}" name="Coluna4279"/>
    <tableColumn id="4285" xr3:uid="{00000000-0010-0000-0000-0000BD100000}" name="Coluna4280"/>
    <tableColumn id="4286" xr3:uid="{00000000-0010-0000-0000-0000BE100000}" name="Coluna4281"/>
    <tableColumn id="4287" xr3:uid="{00000000-0010-0000-0000-0000BF100000}" name="Coluna4282"/>
    <tableColumn id="4288" xr3:uid="{00000000-0010-0000-0000-0000C0100000}" name="Coluna4283"/>
    <tableColumn id="4289" xr3:uid="{00000000-0010-0000-0000-0000C1100000}" name="Coluna4284"/>
    <tableColumn id="4290" xr3:uid="{00000000-0010-0000-0000-0000C2100000}" name="Coluna4285"/>
    <tableColumn id="4291" xr3:uid="{00000000-0010-0000-0000-0000C3100000}" name="Coluna4286"/>
    <tableColumn id="4292" xr3:uid="{00000000-0010-0000-0000-0000C4100000}" name="Coluna4287"/>
    <tableColumn id="4293" xr3:uid="{00000000-0010-0000-0000-0000C5100000}" name="Coluna4288"/>
    <tableColumn id="4294" xr3:uid="{00000000-0010-0000-0000-0000C6100000}" name="Coluna4289"/>
    <tableColumn id="4295" xr3:uid="{00000000-0010-0000-0000-0000C7100000}" name="Coluna4290"/>
    <tableColumn id="4296" xr3:uid="{00000000-0010-0000-0000-0000C8100000}" name="Coluna4291"/>
    <tableColumn id="4297" xr3:uid="{00000000-0010-0000-0000-0000C9100000}" name="Coluna4292"/>
    <tableColumn id="4298" xr3:uid="{00000000-0010-0000-0000-0000CA100000}" name="Coluna4293"/>
    <tableColumn id="4299" xr3:uid="{00000000-0010-0000-0000-0000CB100000}" name="Coluna4294"/>
    <tableColumn id="4300" xr3:uid="{00000000-0010-0000-0000-0000CC100000}" name="Coluna4295"/>
    <tableColumn id="4301" xr3:uid="{00000000-0010-0000-0000-0000CD100000}" name="Coluna4296"/>
    <tableColumn id="4302" xr3:uid="{00000000-0010-0000-0000-0000CE100000}" name="Coluna4297"/>
    <tableColumn id="4303" xr3:uid="{00000000-0010-0000-0000-0000CF100000}" name="Coluna4298"/>
    <tableColumn id="4304" xr3:uid="{00000000-0010-0000-0000-0000D0100000}" name="Coluna4299"/>
    <tableColumn id="4305" xr3:uid="{00000000-0010-0000-0000-0000D1100000}" name="Coluna4300"/>
    <tableColumn id="4306" xr3:uid="{00000000-0010-0000-0000-0000D2100000}" name="Coluna4301"/>
    <tableColumn id="4307" xr3:uid="{00000000-0010-0000-0000-0000D3100000}" name="Coluna4302"/>
    <tableColumn id="4308" xr3:uid="{00000000-0010-0000-0000-0000D4100000}" name="Coluna4303"/>
    <tableColumn id="4309" xr3:uid="{00000000-0010-0000-0000-0000D5100000}" name="Coluna4304"/>
    <tableColumn id="4310" xr3:uid="{00000000-0010-0000-0000-0000D6100000}" name="Coluna4305"/>
    <tableColumn id="4311" xr3:uid="{00000000-0010-0000-0000-0000D7100000}" name="Coluna4306"/>
    <tableColumn id="4312" xr3:uid="{00000000-0010-0000-0000-0000D8100000}" name="Coluna4307"/>
    <tableColumn id="4313" xr3:uid="{00000000-0010-0000-0000-0000D9100000}" name="Coluna4308"/>
    <tableColumn id="4314" xr3:uid="{00000000-0010-0000-0000-0000DA100000}" name="Coluna4309"/>
    <tableColumn id="4315" xr3:uid="{00000000-0010-0000-0000-0000DB100000}" name="Coluna4310"/>
    <tableColumn id="4316" xr3:uid="{00000000-0010-0000-0000-0000DC100000}" name="Coluna4311"/>
    <tableColumn id="4317" xr3:uid="{00000000-0010-0000-0000-0000DD100000}" name="Coluna4312"/>
    <tableColumn id="4318" xr3:uid="{00000000-0010-0000-0000-0000DE100000}" name="Coluna4313"/>
    <tableColumn id="4319" xr3:uid="{00000000-0010-0000-0000-0000DF100000}" name="Coluna4314"/>
    <tableColumn id="4320" xr3:uid="{00000000-0010-0000-0000-0000E0100000}" name="Coluna4315"/>
    <tableColumn id="4321" xr3:uid="{00000000-0010-0000-0000-0000E1100000}" name="Coluna4316"/>
    <tableColumn id="4322" xr3:uid="{00000000-0010-0000-0000-0000E2100000}" name="Coluna4317"/>
    <tableColumn id="4323" xr3:uid="{00000000-0010-0000-0000-0000E3100000}" name="Coluna4318"/>
    <tableColumn id="4324" xr3:uid="{00000000-0010-0000-0000-0000E4100000}" name="Coluna4319"/>
    <tableColumn id="4325" xr3:uid="{00000000-0010-0000-0000-0000E5100000}" name="Coluna4320"/>
    <tableColumn id="4326" xr3:uid="{00000000-0010-0000-0000-0000E6100000}" name="Coluna4321"/>
    <tableColumn id="4327" xr3:uid="{00000000-0010-0000-0000-0000E7100000}" name="Coluna4322"/>
    <tableColumn id="4328" xr3:uid="{00000000-0010-0000-0000-0000E8100000}" name="Coluna4323"/>
    <tableColumn id="4329" xr3:uid="{00000000-0010-0000-0000-0000E9100000}" name="Coluna4324"/>
    <tableColumn id="4330" xr3:uid="{00000000-0010-0000-0000-0000EA100000}" name="Coluna4325"/>
    <tableColumn id="4331" xr3:uid="{00000000-0010-0000-0000-0000EB100000}" name="Coluna4326"/>
    <tableColumn id="4332" xr3:uid="{00000000-0010-0000-0000-0000EC100000}" name="Coluna4327"/>
    <tableColumn id="4333" xr3:uid="{00000000-0010-0000-0000-0000ED100000}" name="Coluna4328"/>
    <tableColumn id="4334" xr3:uid="{00000000-0010-0000-0000-0000EE100000}" name="Coluna4329"/>
    <tableColumn id="4335" xr3:uid="{00000000-0010-0000-0000-0000EF100000}" name="Coluna4330"/>
    <tableColumn id="4336" xr3:uid="{00000000-0010-0000-0000-0000F0100000}" name="Coluna4331"/>
    <tableColumn id="4337" xr3:uid="{00000000-0010-0000-0000-0000F1100000}" name="Coluna4332"/>
    <tableColumn id="4338" xr3:uid="{00000000-0010-0000-0000-0000F2100000}" name="Coluna4333"/>
    <tableColumn id="4339" xr3:uid="{00000000-0010-0000-0000-0000F3100000}" name="Coluna4334"/>
    <tableColumn id="4340" xr3:uid="{00000000-0010-0000-0000-0000F4100000}" name="Coluna4335"/>
    <tableColumn id="4341" xr3:uid="{00000000-0010-0000-0000-0000F5100000}" name="Coluna4336"/>
    <tableColumn id="4342" xr3:uid="{00000000-0010-0000-0000-0000F6100000}" name="Coluna4337"/>
    <tableColumn id="4343" xr3:uid="{00000000-0010-0000-0000-0000F7100000}" name="Coluna4338"/>
    <tableColumn id="4344" xr3:uid="{00000000-0010-0000-0000-0000F8100000}" name="Coluna4339"/>
    <tableColumn id="4345" xr3:uid="{00000000-0010-0000-0000-0000F9100000}" name="Coluna4340"/>
    <tableColumn id="4346" xr3:uid="{00000000-0010-0000-0000-0000FA100000}" name="Coluna4341"/>
    <tableColumn id="4347" xr3:uid="{00000000-0010-0000-0000-0000FB100000}" name="Coluna4342"/>
    <tableColumn id="4348" xr3:uid="{00000000-0010-0000-0000-0000FC100000}" name="Coluna4343"/>
    <tableColumn id="4349" xr3:uid="{00000000-0010-0000-0000-0000FD100000}" name="Coluna4344"/>
    <tableColumn id="4350" xr3:uid="{00000000-0010-0000-0000-0000FE100000}" name="Coluna4345"/>
    <tableColumn id="4351" xr3:uid="{00000000-0010-0000-0000-0000FF100000}" name="Coluna4346"/>
    <tableColumn id="4352" xr3:uid="{00000000-0010-0000-0000-000000110000}" name="Coluna4347"/>
    <tableColumn id="4353" xr3:uid="{00000000-0010-0000-0000-000001110000}" name="Coluna4348"/>
    <tableColumn id="4354" xr3:uid="{00000000-0010-0000-0000-000002110000}" name="Coluna4349"/>
    <tableColumn id="4355" xr3:uid="{00000000-0010-0000-0000-000003110000}" name="Coluna4350"/>
    <tableColumn id="4356" xr3:uid="{00000000-0010-0000-0000-000004110000}" name="Coluna4351"/>
    <tableColumn id="4357" xr3:uid="{00000000-0010-0000-0000-000005110000}" name="Coluna4352"/>
    <tableColumn id="4358" xr3:uid="{00000000-0010-0000-0000-000006110000}" name="Coluna4353"/>
    <tableColumn id="4359" xr3:uid="{00000000-0010-0000-0000-000007110000}" name="Coluna4354"/>
    <tableColumn id="4360" xr3:uid="{00000000-0010-0000-0000-000008110000}" name="Coluna4355"/>
    <tableColumn id="4361" xr3:uid="{00000000-0010-0000-0000-000009110000}" name="Coluna4356"/>
    <tableColumn id="4362" xr3:uid="{00000000-0010-0000-0000-00000A110000}" name="Coluna4357"/>
    <tableColumn id="4363" xr3:uid="{00000000-0010-0000-0000-00000B110000}" name="Coluna4358"/>
    <tableColumn id="4364" xr3:uid="{00000000-0010-0000-0000-00000C110000}" name="Coluna4359"/>
    <tableColumn id="4365" xr3:uid="{00000000-0010-0000-0000-00000D110000}" name="Coluna4360"/>
    <tableColumn id="4366" xr3:uid="{00000000-0010-0000-0000-00000E110000}" name="Coluna4361"/>
    <tableColumn id="4367" xr3:uid="{00000000-0010-0000-0000-00000F110000}" name="Coluna4362"/>
    <tableColumn id="4368" xr3:uid="{00000000-0010-0000-0000-000010110000}" name="Coluna4363"/>
    <tableColumn id="4369" xr3:uid="{00000000-0010-0000-0000-000011110000}" name="Coluna4364"/>
    <tableColumn id="4370" xr3:uid="{00000000-0010-0000-0000-000012110000}" name="Coluna4365"/>
    <tableColumn id="4371" xr3:uid="{00000000-0010-0000-0000-000013110000}" name="Coluna4366"/>
    <tableColumn id="4372" xr3:uid="{00000000-0010-0000-0000-000014110000}" name="Coluna4367"/>
    <tableColumn id="4373" xr3:uid="{00000000-0010-0000-0000-000015110000}" name="Coluna4368"/>
    <tableColumn id="4374" xr3:uid="{00000000-0010-0000-0000-000016110000}" name="Coluna4369"/>
    <tableColumn id="4375" xr3:uid="{00000000-0010-0000-0000-000017110000}" name="Coluna4370"/>
    <tableColumn id="4376" xr3:uid="{00000000-0010-0000-0000-000018110000}" name="Coluna4371"/>
    <tableColumn id="4377" xr3:uid="{00000000-0010-0000-0000-000019110000}" name="Coluna4372"/>
    <tableColumn id="4378" xr3:uid="{00000000-0010-0000-0000-00001A110000}" name="Coluna4373"/>
    <tableColumn id="4379" xr3:uid="{00000000-0010-0000-0000-00001B110000}" name="Coluna4374"/>
    <tableColumn id="4380" xr3:uid="{00000000-0010-0000-0000-00001C110000}" name="Coluna4375"/>
    <tableColumn id="4381" xr3:uid="{00000000-0010-0000-0000-00001D110000}" name="Coluna4376"/>
    <tableColumn id="4382" xr3:uid="{00000000-0010-0000-0000-00001E110000}" name="Coluna4377"/>
    <tableColumn id="4383" xr3:uid="{00000000-0010-0000-0000-00001F110000}" name="Coluna4378"/>
    <tableColumn id="4384" xr3:uid="{00000000-0010-0000-0000-000020110000}" name="Coluna4379"/>
    <tableColumn id="4385" xr3:uid="{00000000-0010-0000-0000-000021110000}" name="Coluna4380"/>
    <tableColumn id="4386" xr3:uid="{00000000-0010-0000-0000-000022110000}" name="Coluna4381"/>
    <tableColumn id="4387" xr3:uid="{00000000-0010-0000-0000-000023110000}" name="Coluna4382"/>
    <tableColumn id="4388" xr3:uid="{00000000-0010-0000-0000-000024110000}" name="Coluna4383"/>
    <tableColumn id="4389" xr3:uid="{00000000-0010-0000-0000-000025110000}" name="Coluna4384"/>
    <tableColumn id="4390" xr3:uid="{00000000-0010-0000-0000-000026110000}" name="Coluna4385"/>
    <tableColumn id="4391" xr3:uid="{00000000-0010-0000-0000-000027110000}" name="Coluna4386"/>
    <tableColumn id="4392" xr3:uid="{00000000-0010-0000-0000-000028110000}" name="Coluna4387"/>
    <tableColumn id="4393" xr3:uid="{00000000-0010-0000-0000-000029110000}" name="Coluna4388"/>
    <tableColumn id="4394" xr3:uid="{00000000-0010-0000-0000-00002A110000}" name="Coluna4389"/>
    <tableColumn id="4395" xr3:uid="{00000000-0010-0000-0000-00002B110000}" name="Coluna4390"/>
    <tableColumn id="4396" xr3:uid="{00000000-0010-0000-0000-00002C110000}" name="Coluna4391"/>
    <tableColumn id="4397" xr3:uid="{00000000-0010-0000-0000-00002D110000}" name="Coluna4392"/>
    <tableColumn id="4398" xr3:uid="{00000000-0010-0000-0000-00002E110000}" name="Coluna4393"/>
    <tableColumn id="4399" xr3:uid="{00000000-0010-0000-0000-00002F110000}" name="Coluna4394"/>
    <tableColumn id="4400" xr3:uid="{00000000-0010-0000-0000-000030110000}" name="Coluna4395"/>
    <tableColumn id="4401" xr3:uid="{00000000-0010-0000-0000-000031110000}" name="Coluna4396"/>
    <tableColumn id="4402" xr3:uid="{00000000-0010-0000-0000-000032110000}" name="Coluna4397"/>
    <tableColumn id="4403" xr3:uid="{00000000-0010-0000-0000-000033110000}" name="Coluna4398"/>
    <tableColumn id="4404" xr3:uid="{00000000-0010-0000-0000-000034110000}" name="Coluna4399"/>
    <tableColumn id="4405" xr3:uid="{00000000-0010-0000-0000-000035110000}" name="Coluna4400"/>
    <tableColumn id="4406" xr3:uid="{00000000-0010-0000-0000-000036110000}" name="Coluna4401"/>
    <tableColumn id="4407" xr3:uid="{00000000-0010-0000-0000-000037110000}" name="Coluna4402"/>
    <tableColumn id="4408" xr3:uid="{00000000-0010-0000-0000-000038110000}" name="Coluna4403"/>
    <tableColumn id="4409" xr3:uid="{00000000-0010-0000-0000-000039110000}" name="Coluna4404"/>
    <tableColumn id="4410" xr3:uid="{00000000-0010-0000-0000-00003A110000}" name="Coluna4405"/>
    <tableColumn id="4411" xr3:uid="{00000000-0010-0000-0000-00003B110000}" name="Coluna4406"/>
    <tableColumn id="4412" xr3:uid="{00000000-0010-0000-0000-00003C110000}" name="Coluna4407"/>
    <tableColumn id="4413" xr3:uid="{00000000-0010-0000-0000-00003D110000}" name="Coluna4408"/>
    <tableColumn id="4414" xr3:uid="{00000000-0010-0000-0000-00003E110000}" name="Coluna4409"/>
    <tableColumn id="4415" xr3:uid="{00000000-0010-0000-0000-00003F110000}" name="Coluna4410"/>
    <tableColumn id="4416" xr3:uid="{00000000-0010-0000-0000-000040110000}" name="Coluna4411"/>
    <tableColumn id="4417" xr3:uid="{00000000-0010-0000-0000-000041110000}" name="Coluna4412"/>
    <tableColumn id="4418" xr3:uid="{00000000-0010-0000-0000-000042110000}" name="Coluna4413"/>
    <tableColumn id="4419" xr3:uid="{00000000-0010-0000-0000-000043110000}" name="Coluna4414"/>
    <tableColumn id="4420" xr3:uid="{00000000-0010-0000-0000-000044110000}" name="Coluna4415"/>
    <tableColumn id="4421" xr3:uid="{00000000-0010-0000-0000-000045110000}" name="Coluna4416"/>
    <tableColumn id="4422" xr3:uid="{00000000-0010-0000-0000-000046110000}" name="Coluna4417"/>
    <tableColumn id="4423" xr3:uid="{00000000-0010-0000-0000-000047110000}" name="Coluna4418"/>
    <tableColumn id="4424" xr3:uid="{00000000-0010-0000-0000-000048110000}" name="Coluna4419"/>
    <tableColumn id="4425" xr3:uid="{00000000-0010-0000-0000-000049110000}" name="Coluna4420"/>
    <tableColumn id="4426" xr3:uid="{00000000-0010-0000-0000-00004A110000}" name="Coluna4421"/>
    <tableColumn id="4427" xr3:uid="{00000000-0010-0000-0000-00004B110000}" name="Coluna4422"/>
    <tableColumn id="4428" xr3:uid="{00000000-0010-0000-0000-00004C110000}" name="Coluna4423"/>
    <tableColumn id="4429" xr3:uid="{00000000-0010-0000-0000-00004D110000}" name="Coluna4424"/>
    <tableColumn id="4430" xr3:uid="{00000000-0010-0000-0000-00004E110000}" name="Coluna4425"/>
    <tableColumn id="4431" xr3:uid="{00000000-0010-0000-0000-00004F110000}" name="Coluna4426"/>
    <tableColumn id="4432" xr3:uid="{00000000-0010-0000-0000-000050110000}" name="Coluna4427"/>
    <tableColumn id="4433" xr3:uid="{00000000-0010-0000-0000-000051110000}" name="Coluna4428"/>
    <tableColumn id="4434" xr3:uid="{00000000-0010-0000-0000-000052110000}" name="Coluna4429"/>
    <tableColumn id="4435" xr3:uid="{00000000-0010-0000-0000-000053110000}" name="Coluna4430"/>
    <tableColumn id="4436" xr3:uid="{00000000-0010-0000-0000-000054110000}" name="Coluna4431"/>
    <tableColumn id="4437" xr3:uid="{00000000-0010-0000-0000-000055110000}" name="Coluna4432"/>
    <tableColumn id="4438" xr3:uid="{00000000-0010-0000-0000-000056110000}" name="Coluna4433"/>
    <tableColumn id="4439" xr3:uid="{00000000-0010-0000-0000-000057110000}" name="Coluna4434"/>
    <tableColumn id="4440" xr3:uid="{00000000-0010-0000-0000-000058110000}" name="Coluna4435"/>
    <tableColumn id="4441" xr3:uid="{00000000-0010-0000-0000-000059110000}" name="Coluna4436"/>
    <tableColumn id="4442" xr3:uid="{00000000-0010-0000-0000-00005A110000}" name="Coluna4437"/>
    <tableColumn id="4443" xr3:uid="{00000000-0010-0000-0000-00005B110000}" name="Coluna4438"/>
    <tableColumn id="4444" xr3:uid="{00000000-0010-0000-0000-00005C110000}" name="Coluna4439"/>
    <tableColumn id="4445" xr3:uid="{00000000-0010-0000-0000-00005D110000}" name="Coluna4440"/>
    <tableColumn id="4446" xr3:uid="{00000000-0010-0000-0000-00005E110000}" name="Coluna4441"/>
    <tableColumn id="4447" xr3:uid="{00000000-0010-0000-0000-00005F110000}" name="Coluna4442"/>
    <tableColumn id="4448" xr3:uid="{00000000-0010-0000-0000-000060110000}" name="Coluna4443"/>
    <tableColumn id="4449" xr3:uid="{00000000-0010-0000-0000-000061110000}" name="Coluna4444"/>
    <tableColumn id="4450" xr3:uid="{00000000-0010-0000-0000-000062110000}" name="Coluna4445"/>
    <tableColumn id="4451" xr3:uid="{00000000-0010-0000-0000-000063110000}" name="Coluna4446"/>
    <tableColumn id="4452" xr3:uid="{00000000-0010-0000-0000-000064110000}" name="Coluna4447"/>
    <tableColumn id="4453" xr3:uid="{00000000-0010-0000-0000-000065110000}" name="Coluna4448"/>
    <tableColumn id="4454" xr3:uid="{00000000-0010-0000-0000-000066110000}" name="Coluna4449"/>
    <tableColumn id="4455" xr3:uid="{00000000-0010-0000-0000-000067110000}" name="Coluna4450"/>
    <tableColumn id="4456" xr3:uid="{00000000-0010-0000-0000-000068110000}" name="Coluna4451"/>
    <tableColumn id="4457" xr3:uid="{00000000-0010-0000-0000-000069110000}" name="Coluna4452"/>
    <tableColumn id="4458" xr3:uid="{00000000-0010-0000-0000-00006A110000}" name="Coluna4453"/>
    <tableColumn id="4459" xr3:uid="{00000000-0010-0000-0000-00006B110000}" name="Coluna4454"/>
    <tableColumn id="4460" xr3:uid="{00000000-0010-0000-0000-00006C110000}" name="Coluna4455"/>
    <tableColumn id="4461" xr3:uid="{00000000-0010-0000-0000-00006D110000}" name="Coluna4456"/>
    <tableColumn id="4462" xr3:uid="{00000000-0010-0000-0000-00006E110000}" name="Coluna4457"/>
    <tableColumn id="4463" xr3:uid="{00000000-0010-0000-0000-00006F110000}" name="Coluna4458"/>
    <tableColumn id="4464" xr3:uid="{00000000-0010-0000-0000-000070110000}" name="Coluna4459"/>
    <tableColumn id="4465" xr3:uid="{00000000-0010-0000-0000-000071110000}" name="Coluna4460"/>
    <tableColumn id="4466" xr3:uid="{00000000-0010-0000-0000-000072110000}" name="Coluna4461"/>
    <tableColumn id="4467" xr3:uid="{00000000-0010-0000-0000-000073110000}" name="Coluna4462"/>
    <tableColumn id="4468" xr3:uid="{00000000-0010-0000-0000-000074110000}" name="Coluna4463"/>
    <tableColumn id="4469" xr3:uid="{00000000-0010-0000-0000-000075110000}" name="Coluna4464"/>
    <tableColumn id="4470" xr3:uid="{00000000-0010-0000-0000-000076110000}" name="Coluna4465"/>
    <tableColumn id="4471" xr3:uid="{00000000-0010-0000-0000-000077110000}" name="Coluna4466"/>
    <tableColumn id="4472" xr3:uid="{00000000-0010-0000-0000-000078110000}" name="Coluna4467"/>
    <tableColumn id="4473" xr3:uid="{00000000-0010-0000-0000-000079110000}" name="Coluna4468"/>
    <tableColumn id="4474" xr3:uid="{00000000-0010-0000-0000-00007A110000}" name="Coluna4469"/>
    <tableColumn id="4475" xr3:uid="{00000000-0010-0000-0000-00007B110000}" name="Coluna4470"/>
    <tableColumn id="4476" xr3:uid="{00000000-0010-0000-0000-00007C110000}" name="Coluna4471"/>
    <tableColumn id="4477" xr3:uid="{00000000-0010-0000-0000-00007D110000}" name="Coluna4472"/>
    <tableColumn id="4478" xr3:uid="{00000000-0010-0000-0000-00007E110000}" name="Coluna4473"/>
    <tableColumn id="4479" xr3:uid="{00000000-0010-0000-0000-00007F110000}" name="Coluna4474"/>
    <tableColumn id="4480" xr3:uid="{00000000-0010-0000-0000-000080110000}" name="Coluna4475"/>
    <tableColumn id="4481" xr3:uid="{00000000-0010-0000-0000-000081110000}" name="Coluna4476"/>
    <tableColumn id="4482" xr3:uid="{00000000-0010-0000-0000-000082110000}" name="Coluna4477"/>
    <tableColumn id="4483" xr3:uid="{00000000-0010-0000-0000-000083110000}" name="Coluna4478"/>
    <tableColumn id="4484" xr3:uid="{00000000-0010-0000-0000-000084110000}" name="Coluna4479"/>
    <tableColumn id="4485" xr3:uid="{00000000-0010-0000-0000-000085110000}" name="Coluna4480"/>
    <tableColumn id="4486" xr3:uid="{00000000-0010-0000-0000-000086110000}" name="Coluna4481"/>
    <tableColumn id="4487" xr3:uid="{00000000-0010-0000-0000-000087110000}" name="Coluna4482"/>
    <tableColumn id="4488" xr3:uid="{00000000-0010-0000-0000-000088110000}" name="Coluna4483"/>
    <tableColumn id="4489" xr3:uid="{00000000-0010-0000-0000-000089110000}" name="Coluna4484"/>
    <tableColumn id="4490" xr3:uid="{00000000-0010-0000-0000-00008A110000}" name="Coluna4485"/>
    <tableColumn id="4491" xr3:uid="{00000000-0010-0000-0000-00008B110000}" name="Coluna4486"/>
    <tableColumn id="4492" xr3:uid="{00000000-0010-0000-0000-00008C110000}" name="Coluna4487"/>
    <tableColumn id="4493" xr3:uid="{00000000-0010-0000-0000-00008D110000}" name="Coluna4488"/>
    <tableColumn id="4494" xr3:uid="{00000000-0010-0000-0000-00008E110000}" name="Coluna4489"/>
    <tableColumn id="4495" xr3:uid="{00000000-0010-0000-0000-00008F110000}" name="Coluna4490"/>
    <tableColumn id="4496" xr3:uid="{00000000-0010-0000-0000-000090110000}" name="Coluna4491"/>
    <tableColumn id="4497" xr3:uid="{00000000-0010-0000-0000-000091110000}" name="Coluna4492"/>
    <tableColumn id="4498" xr3:uid="{00000000-0010-0000-0000-000092110000}" name="Coluna4493"/>
    <tableColumn id="4499" xr3:uid="{00000000-0010-0000-0000-000093110000}" name="Coluna4494"/>
    <tableColumn id="4500" xr3:uid="{00000000-0010-0000-0000-000094110000}" name="Coluna4495"/>
    <tableColumn id="4501" xr3:uid="{00000000-0010-0000-0000-000095110000}" name="Coluna4496"/>
    <tableColumn id="4502" xr3:uid="{00000000-0010-0000-0000-000096110000}" name="Coluna4497"/>
    <tableColumn id="4503" xr3:uid="{00000000-0010-0000-0000-000097110000}" name="Coluna4498"/>
    <tableColumn id="4504" xr3:uid="{00000000-0010-0000-0000-000098110000}" name="Coluna4499"/>
    <tableColumn id="4505" xr3:uid="{00000000-0010-0000-0000-000099110000}" name="Coluna4500"/>
    <tableColumn id="4506" xr3:uid="{00000000-0010-0000-0000-00009A110000}" name="Coluna4501"/>
    <tableColumn id="4507" xr3:uid="{00000000-0010-0000-0000-00009B110000}" name="Coluna4502"/>
    <tableColumn id="4508" xr3:uid="{00000000-0010-0000-0000-00009C110000}" name="Coluna4503"/>
    <tableColumn id="4509" xr3:uid="{00000000-0010-0000-0000-00009D110000}" name="Coluna4504"/>
    <tableColumn id="4510" xr3:uid="{00000000-0010-0000-0000-00009E110000}" name="Coluna4505"/>
    <tableColumn id="4511" xr3:uid="{00000000-0010-0000-0000-00009F110000}" name="Coluna4506"/>
    <tableColumn id="4512" xr3:uid="{00000000-0010-0000-0000-0000A0110000}" name="Coluna4507"/>
    <tableColumn id="4513" xr3:uid="{00000000-0010-0000-0000-0000A1110000}" name="Coluna4508"/>
    <tableColumn id="4514" xr3:uid="{00000000-0010-0000-0000-0000A2110000}" name="Coluna4509"/>
    <tableColumn id="4515" xr3:uid="{00000000-0010-0000-0000-0000A3110000}" name="Coluna4510"/>
    <tableColumn id="4516" xr3:uid="{00000000-0010-0000-0000-0000A4110000}" name="Coluna4511"/>
    <tableColumn id="4517" xr3:uid="{00000000-0010-0000-0000-0000A5110000}" name="Coluna4512"/>
    <tableColumn id="4518" xr3:uid="{00000000-0010-0000-0000-0000A6110000}" name="Coluna4513"/>
    <tableColumn id="4519" xr3:uid="{00000000-0010-0000-0000-0000A7110000}" name="Coluna4514"/>
    <tableColumn id="4520" xr3:uid="{00000000-0010-0000-0000-0000A8110000}" name="Coluna4515"/>
    <tableColumn id="4521" xr3:uid="{00000000-0010-0000-0000-0000A9110000}" name="Coluna4516"/>
    <tableColumn id="4522" xr3:uid="{00000000-0010-0000-0000-0000AA110000}" name="Coluna4517"/>
    <tableColumn id="4523" xr3:uid="{00000000-0010-0000-0000-0000AB110000}" name="Coluna4518"/>
    <tableColumn id="4524" xr3:uid="{00000000-0010-0000-0000-0000AC110000}" name="Coluna4519"/>
    <tableColumn id="4525" xr3:uid="{00000000-0010-0000-0000-0000AD110000}" name="Coluna4520"/>
    <tableColumn id="4526" xr3:uid="{00000000-0010-0000-0000-0000AE110000}" name="Coluna4521"/>
    <tableColumn id="4527" xr3:uid="{00000000-0010-0000-0000-0000AF110000}" name="Coluna4522"/>
    <tableColumn id="4528" xr3:uid="{00000000-0010-0000-0000-0000B0110000}" name="Coluna4523"/>
    <tableColumn id="4529" xr3:uid="{00000000-0010-0000-0000-0000B1110000}" name="Coluna4524"/>
    <tableColumn id="4530" xr3:uid="{00000000-0010-0000-0000-0000B2110000}" name="Coluna4525"/>
    <tableColumn id="4531" xr3:uid="{00000000-0010-0000-0000-0000B3110000}" name="Coluna4526"/>
    <tableColumn id="4532" xr3:uid="{00000000-0010-0000-0000-0000B4110000}" name="Coluna4527"/>
    <tableColumn id="4533" xr3:uid="{00000000-0010-0000-0000-0000B5110000}" name="Coluna4528"/>
    <tableColumn id="4534" xr3:uid="{00000000-0010-0000-0000-0000B6110000}" name="Coluna4529"/>
    <tableColumn id="4535" xr3:uid="{00000000-0010-0000-0000-0000B7110000}" name="Coluna4530"/>
    <tableColumn id="4536" xr3:uid="{00000000-0010-0000-0000-0000B8110000}" name="Coluna4531"/>
    <tableColumn id="4537" xr3:uid="{00000000-0010-0000-0000-0000B9110000}" name="Coluna4532"/>
    <tableColumn id="4538" xr3:uid="{00000000-0010-0000-0000-0000BA110000}" name="Coluna4533"/>
    <tableColumn id="4539" xr3:uid="{00000000-0010-0000-0000-0000BB110000}" name="Coluna4534"/>
    <tableColumn id="4540" xr3:uid="{00000000-0010-0000-0000-0000BC110000}" name="Coluna4535"/>
    <tableColumn id="4541" xr3:uid="{00000000-0010-0000-0000-0000BD110000}" name="Coluna4536"/>
    <tableColumn id="4542" xr3:uid="{00000000-0010-0000-0000-0000BE110000}" name="Coluna4537"/>
    <tableColumn id="4543" xr3:uid="{00000000-0010-0000-0000-0000BF110000}" name="Coluna4538"/>
    <tableColumn id="4544" xr3:uid="{00000000-0010-0000-0000-0000C0110000}" name="Coluna4539"/>
    <tableColumn id="4545" xr3:uid="{00000000-0010-0000-0000-0000C1110000}" name="Coluna4540"/>
    <tableColumn id="4546" xr3:uid="{00000000-0010-0000-0000-0000C2110000}" name="Coluna4541"/>
    <tableColumn id="4547" xr3:uid="{00000000-0010-0000-0000-0000C3110000}" name="Coluna4542"/>
    <tableColumn id="4548" xr3:uid="{00000000-0010-0000-0000-0000C4110000}" name="Coluna4543"/>
    <tableColumn id="4549" xr3:uid="{00000000-0010-0000-0000-0000C5110000}" name="Coluna4544"/>
    <tableColumn id="4550" xr3:uid="{00000000-0010-0000-0000-0000C6110000}" name="Coluna4545"/>
    <tableColumn id="4551" xr3:uid="{00000000-0010-0000-0000-0000C7110000}" name="Coluna4546"/>
    <tableColumn id="4552" xr3:uid="{00000000-0010-0000-0000-0000C8110000}" name="Coluna4547"/>
    <tableColumn id="4553" xr3:uid="{00000000-0010-0000-0000-0000C9110000}" name="Coluna4548"/>
    <tableColumn id="4554" xr3:uid="{00000000-0010-0000-0000-0000CA110000}" name="Coluna4549"/>
    <tableColumn id="4555" xr3:uid="{00000000-0010-0000-0000-0000CB110000}" name="Coluna4550"/>
    <tableColumn id="4556" xr3:uid="{00000000-0010-0000-0000-0000CC110000}" name="Coluna4551"/>
    <tableColumn id="4557" xr3:uid="{00000000-0010-0000-0000-0000CD110000}" name="Coluna4552"/>
    <tableColumn id="4558" xr3:uid="{00000000-0010-0000-0000-0000CE110000}" name="Coluna4553"/>
    <tableColumn id="4559" xr3:uid="{00000000-0010-0000-0000-0000CF110000}" name="Coluna4554"/>
    <tableColumn id="4560" xr3:uid="{00000000-0010-0000-0000-0000D0110000}" name="Coluna4555"/>
    <tableColumn id="4561" xr3:uid="{00000000-0010-0000-0000-0000D1110000}" name="Coluna4556"/>
    <tableColumn id="4562" xr3:uid="{00000000-0010-0000-0000-0000D2110000}" name="Coluna4557"/>
    <tableColumn id="4563" xr3:uid="{00000000-0010-0000-0000-0000D3110000}" name="Coluna4558"/>
    <tableColumn id="4564" xr3:uid="{00000000-0010-0000-0000-0000D4110000}" name="Coluna4559"/>
    <tableColumn id="4565" xr3:uid="{00000000-0010-0000-0000-0000D5110000}" name="Coluna4560"/>
    <tableColumn id="4566" xr3:uid="{00000000-0010-0000-0000-0000D6110000}" name="Coluna4561"/>
    <tableColumn id="4567" xr3:uid="{00000000-0010-0000-0000-0000D7110000}" name="Coluna4562"/>
    <tableColumn id="4568" xr3:uid="{00000000-0010-0000-0000-0000D8110000}" name="Coluna4563"/>
    <tableColumn id="4569" xr3:uid="{00000000-0010-0000-0000-0000D9110000}" name="Coluna4564"/>
    <tableColumn id="4570" xr3:uid="{00000000-0010-0000-0000-0000DA110000}" name="Coluna4565"/>
    <tableColumn id="4571" xr3:uid="{00000000-0010-0000-0000-0000DB110000}" name="Coluna4566"/>
    <tableColumn id="4572" xr3:uid="{00000000-0010-0000-0000-0000DC110000}" name="Coluna4567"/>
    <tableColumn id="4573" xr3:uid="{00000000-0010-0000-0000-0000DD110000}" name="Coluna4568"/>
    <tableColumn id="4574" xr3:uid="{00000000-0010-0000-0000-0000DE110000}" name="Coluna4569"/>
    <tableColumn id="4575" xr3:uid="{00000000-0010-0000-0000-0000DF110000}" name="Coluna4570"/>
    <tableColumn id="4576" xr3:uid="{00000000-0010-0000-0000-0000E0110000}" name="Coluna4571"/>
    <tableColumn id="4577" xr3:uid="{00000000-0010-0000-0000-0000E1110000}" name="Coluna4572"/>
    <tableColumn id="4578" xr3:uid="{00000000-0010-0000-0000-0000E2110000}" name="Coluna4573"/>
    <tableColumn id="4579" xr3:uid="{00000000-0010-0000-0000-0000E3110000}" name="Coluna4574"/>
    <tableColumn id="4580" xr3:uid="{00000000-0010-0000-0000-0000E4110000}" name="Coluna4575"/>
    <tableColumn id="4581" xr3:uid="{00000000-0010-0000-0000-0000E5110000}" name="Coluna4576"/>
    <tableColumn id="4582" xr3:uid="{00000000-0010-0000-0000-0000E6110000}" name="Coluna4577"/>
    <tableColumn id="4583" xr3:uid="{00000000-0010-0000-0000-0000E7110000}" name="Coluna4578"/>
    <tableColumn id="4584" xr3:uid="{00000000-0010-0000-0000-0000E8110000}" name="Coluna4579"/>
    <tableColumn id="4585" xr3:uid="{00000000-0010-0000-0000-0000E9110000}" name="Coluna4580"/>
    <tableColumn id="4586" xr3:uid="{00000000-0010-0000-0000-0000EA110000}" name="Coluna4581"/>
    <tableColumn id="4587" xr3:uid="{00000000-0010-0000-0000-0000EB110000}" name="Coluna4582"/>
    <tableColumn id="4588" xr3:uid="{00000000-0010-0000-0000-0000EC110000}" name="Coluna4583"/>
    <tableColumn id="4589" xr3:uid="{00000000-0010-0000-0000-0000ED110000}" name="Coluna4584"/>
    <tableColumn id="4590" xr3:uid="{00000000-0010-0000-0000-0000EE110000}" name="Coluna4585"/>
    <tableColumn id="4591" xr3:uid="{00000000-0010-0000-0000-0000EF110000}" name="Coluna4586"/>
    <tableColumn id="4592" xr3:uid="{00000000-0010-0000-0000-0000F0110000}" name="Coluna4587"/>
    <tableColumn id="4593" xr3:uid="{00000000-0010-0000-0000-0000F1110000}" name="Coluna4588"/>
    <tableColumn id="4594" xr3:uid="{00000000-0010-0000-0000-0000F2110000}" name="Coluna4589"/>
    <tableColumn id="4595" xr3:uid="{00000000-0010-0000-0000-0000F3110000}" name="Coluna4590"/>
    <tableColumn id="4596" xr3:uid="{00000000-0010-0000-0000-0000F4110000}" name="Coluna4591"/>
    <tableColumn id="4597" xr3:uid="{00000000-0010-0000-0000-0000F5110000}" name="Coluna4592"/>
    <tableColumn id="4598" xr3:uid="{00000000-0010-0000-0000-0000F6110000}" name="Coluna4593"/>
    <tableColumn id="4599" xr3:uid="{00000000-0010-0000-0000-0000F7110000}" name="Coluna4594"/>
    <tableColumn id="4600" xr3:uid="{00000000-0010-0000-0000-0000F8110000}" name="Coluna4595"/>
    <tableColumn id="4601" xr3:uid="{00000000-0010-0000-0000-0000F9110000}" name="Coluna4596"/>
    <tableColumn id="4602" xr3:uid="{00000000-0010-0000-0000-0000FA110000}" name="Coluna4597"/>
    <tableColumn id="4603" xr3:uid="{00000000-0010-0000-0000-0000FB110000}" name="Coluna4598"/>
    <tableColumn id="4604" xr3:uid="{00000000-0010-0000-0000-0000FC110000}" name="Coluna4599"/>
    <tableColumn id="4605" xr3:uid="{00000000-0010-0000-0000-0000FD110000}" name="Coluna4600"/>
    <tableColumn id="4606" xr3:uid="{00000000-0010-0000-0000-0000FE110000}" name="Coluna4601"/>
    <tableColumn id="4607" xr3:uid="{00000000-0010-0000-0000-0000FF110000}" name="Coluna4602"/>
    <tableColumn id="4608" xr3:uid="{00000000-0010-0000-0000-000000120000}" name="Coluna4603"/>
    <tableColumn id="4609" xr3:uid="{00000000-0010-0000-0000-000001120000}" name="Coluna4604"/>
    <tableColumn id="4610" xr3:uid="{00000000-0010-0000-0000-000002120000}" name="Coluna4605"/>
    <tableColumn id="4611" xr3:uid="{00000000-0010-0000-0000-000003120000}" name="Coluna4606"/>
    <tableColumn id="4612" xr3:uid="{00000000-0010-0000-0000-000004120000}" name="Coluna4607"/>
    <tableColumn id="4613" xr3:uid="{00000000-0010-0000-0000-000005120000}" name="Coluna4608"/>
    <tableColumn id="4614" xr3:uid="{00000000-0010-0000-0000-000006120000}" name="Coluna4609"/>
    <tableColumn id="4615" xr3:uid="{00000000-0010-0000-0000-000007120000}" name="Coluna4610"/>
    <tableColumn id="4616" xr3:uid="{00000000-0010-0000-0000-000008120000}" name="Coluna4611"/>
    <tableColumn id="4617" xr3:uid="{00000000-0010-0000-0000-000009120000}" name="Coluna4612"/>
    <tableColumn id="4618" xr3:uid="{00000000-0010-0000-0000-00000A120000}" name="Coluna4613"/>
    <tableColumn id="4619" xr3:uid="{00000000-0010-0000-0000-00000B120000}" name="Coluna4614"/>
    <tableColumn id="4620" xr3:uid="{00000000-0010-0000-0000-00000C120000}" name="Coluna4615"/>
    <tableColumn id="4621" xr3:uid="{00000000-0010-0000-0000-00000D120000}" name="Coluna4616"/>
    <tableColumn id="4622" xr3:uid="{00000000-0010-0000-0000-00000E120000}" name="Coluna4617"/>
    <tableColumn id="4623" xr3:uid="{00000000-0010-0000-0000-00000F120000}" name="Coluna4618"/>
    <tableColumn id="4624" xr3:uid="{00000000-0010-0000-0000-000010120000}" name="Coluna4619"/>
    <tableColumn id="4625" xr3:uid="{00000000-0010-0000-0000-000011120000}" name="Coluna4620"/>
    <tableColumn id="4626" xr3:uid="{00000000-0010-0000-0000-000012120000}" name="Coluna4621"/>
    <tableColumn id="4627" xr3:uid="{00000000-0010-0000-0000-000013120000}" name="Coluna4622"/>
    <tableColumn id="4628" xr3:uid="{00000000-0010-0000-0000-000014120000}" name="Coluna4623"/>
    <tableColumn id="4629" xr3:uid="{00000000-0010-0000-0000-000015120000}" name="Coluna4624"/>
    <tableColumn id="4630" xr3:uid="{00000000-0010-0000-0000-000016120000}" name="Coluna4625"/>
    <tableColumn id="4631" xr3:uid="{00000000-0010-0000-0000-000017120000}" name="Coluna4626"/>
    <tableColumn id="4632" xr3:uid="{00000000-0010-0000-0000-000018120000}" name="Coluna4627"/>
    <tableColumn id="4633" xr3:uid="{00000000-0010-0000-0000-000019120000}" name="Coluna4628"/>
    <tableColumn id="4634" xr3:uid="{00000000-0010-0000-0000-00001A120000}" name="Coluna4629"/>
    <tableColumn id="4635" xr3:uid="{00000000-0010-0000-0000-00001B120000}" name="Coluna4630"/>
    <tableColumn id="4636" xr3:uid="{00000000-0010-0000-0000-00001C120000}" name="Coluna4631"/>
    <tableColumn id="4637" xr3:uid="{00000000-0010-0000-0000-00001D120000}" name="Coluna4632"/>
    <tableColumn id="4638" xr3:uid="{00000000-0010-0000-0000-00001E120000}" name="Coluna4633"/>
    <tableColumn id="4639" xr3:uid="{00000000-0010-0000-0000-00001F120000}" name="Coluna4634"/>
    <tableColumn id="4640" xr3:uid="{00000000-0010-0000-0000-000020120000}" name="Coluna4635"/>
    <tableColumn id="4641" xr3:uid="{00000000-0010-0000-0000-000021120000}" name="Coluna4636"/>
    <tableColumn id="4642" xr3:uid="{00000000-0010-0000-0000-000022120000}" name="Coluna4637"/>
    <tableColumn id="4643" xr3:uid="{00000000-0010-0000-0000-000023120000}" name="Coluna4638"/>
    <tableColumn id="4644" xr3:uid="{00000000-0010-0000-0000-000024120000}" name="Coluna4639"/>
    <tableColumn id="4645" xr3:uid="{00000000-0010-0000-0000-000025120000}" name="Coluna4640"/>
    <tableColumn id="4646" xr3:uid="{00000000-0010-0000-0000-000026120000}" name="Coluna4641"/>
    <tableColumn id="4647" xr3:uid="{00000000-0010-0000-0000-000027120000}" name="Coluna4642"/>
    <tableColumn id="4648" xr3:uid="{00000000-0010-0000-0000-000028120000}" name="Coluna4643"/>
    <tableColumn id="4649" xr3:uid="{00000000-0010-0000-0000-000029120000}" name="Coluna4644"/>
    <tableColumn id="4650" xr3:uid="{00000000-0010-0000-0000-00002A120000}" name="Coluna4645"/>
    <tableColumn id="4651" xr3:uid="{00000000-0010-0000-0000-00002B120000}" name="Coluna4646"/>
    <tableColumn id="4652" xr3:uid="{00000000-0010-0000-0000-00002C120000}" name="Coluna4647"/>
    <tableColumn id="4653" xr3:uid="{00000000-0010-0000-0000-00002D120000}" name="Coluna4648"/>
    <tableColumn id="4654" xr3:uid="{00000000-0010-0000-0000-00002E120000}" name="Coluna4649"/>
    <tableColumn id="4655" xr3:uid="{00000000-0010-0000-0000-00002F120000}" name="Coluna4650"/>
    <tableColumn id="4656" xr3:uid="{00000000-0010-0000-0000-000030120000}" name="Coluna4651"/>
    <tableColumn id="4657" xr3:uid="{00000000-0010-0000-0000-000031120000}" name="Coluna4652"/>
    <tableColumn id="4658" xr3:uid="{00000000-0010-0000-0000-000032120000}" name="Coluna4653"/>
    <tableColumn id="4659" xr3:uid="{00000000-0010-0000-0000-000033120000}" name="Coluna4654"/>
    <tableColumn id="4660" xr3:uid="{00000000-0010-0000-0000-000034120000}" name="Coluna4655"/>
    <tableColumn id="4661" xr3:uid="{00000000-0010-0000-0000-000035120000}" name="Coluna4656"/>
    <tableColumn id="4662" xr3:uid="{00000000-0010-0000-0000-000036120000}" name="Coluna4657"/>
    <tableColumn id="4663" xr3:uid="{00000000-0010-0000-0000-000037120000}" name="Coluna4658"/>
    <tableColumn id="4664" xr3:uid="{00000000-0010-0000-0000-000038120000}" name="Coluna4659"/>
    <tableColumn id="4665" xr3:uid="{00000000-0010-0000-0000-000039120000}" name="Coluna4660"/>
    <tableColumn id="4666" xr3:uid="{00000000-0010-0000-0000-00003A120000}" name="Coluna4661"/>
    <tableColumn id="4667" xr3:uid="{00000000-0010-0000-0000-00003B120000}" name="Coluna4662"/>
    <tableColumn id="4668" xr3:uid="{00000000-0010-0000-0000-00003C120000}" name="Coluna4663"/>
    <tableColumn id="4669" xr3:uid="{00000000-0010-0000-0000-00003D120000}" name="Coluna4664"/>
    <tableColumn id="4670" xr3:uid="{00000000-0010-0000-0000-00003E120000}" name="Coluna4665"/>
    <tableColumn id="4671" xr3:uid="{00000000-0010-0000-0000-00003F120000}" name="Coluna4666"/>
    <tableColumn id="4672" xr3:uid="{00000000-0010-0000-0000-000040120000}" name="Coluna4667"/>
    <tableColumn id="4673" xr3:uid="{00000000-0010-0000-0000-000041120000}" name="Coluna4668"/>
    <tableColumn id="4674" xr3:uid="{00000000-0010-0000-0000-000042120000}" name="Coluna4669"/>
    <tableColumn id="4675" xr3:uid="{00000000-0010-0000-0000-000043120000}" name="Coluna4670"/>
    <tableColumn id="4676" xr3:uid="{00000000-0010-0000-0000-000044120000}" name="Coluna4671"/>
    <tableColumn id="4677" xr3:uid="{00000000-0010-0000-0000-000045120000}" name="Coluna4672"/>
    <tableColumn id="4678" xr3:uid="{00000000-0010-0000-0000-000046120000}" name="Coluna4673"/>
    <tableColumn id="4679" xr3:uid="{00000000-0010-0000-0000-000047120000}" name="Coluna4674"/>
    <tableColumn id="4680" xr3:uid="{00000000-0010-0000-0000-000048120000}" name="Coluna4675"/>
    <tableColumn id="4681" xr3:uid="{00000000-0010-0000-0000-000049120000}" name="Coluna4676"/>
    <tableColumn id="4682" xr3:uid="{00000000-0010-0000-0000-00004A120000}" name="Coluna4677"/>
    <tableColumn id="4683" xr3:uid="{00000000-0010-0000-0000-00004B120000}" name="Coluna4678"/>
    <tableColumn id="4684" xr3:uid="{00000000-0010-0000-0000-00004C120000}" name="Coluna4679"/>
    <tableColumn id="4685" xr3:uid="{00000000-0010-0000-0000-00004D120000}" name="Coluna4680"/>
    <tableColumn id="4686" xr3:uid="{00000000-0010-0000-0000-00004E120000}" name="Coluna4681"/>
    <tableColumn id="4687" xr3:uid="{00000000-0010-0000-0000-00004F120000}" name="Coluna4682"/>
    <tableColumn id="4688" xr3:uid="{00000000-0010-0000-0000-000050120000}" name="Coluna4683"/>
    <tableColumn id="4689" xr3:uid="{00000000-0010-0000-0000-000051120000}" name="Coluna4684"/>
    <tableColumn id="4690" xr3:uid="{00000000-0010-0000-0000-000052120000}" name="Coluna4685"/>
    <tableColumn id="4691" xr3:uid="{00000000-0010-0000-0000-000053120000}" name="Coluna4686"/>
    <tableColumn id="4692" xr3:uid="{00000000-0010-0000-0000-000054120000}" name="Coluna4687"/>
    <tableColumn id="4693" xr3:uid="{00000000-0010-0000-0000-000055120000}" name="Coluna4688"/>
    <tableColumn id="4694" xr3:uid="{00000000-0010-0000-0000-000056120000}" name="Coluna4689"/>
    <tableColumn id="4695" xr3:uid="{00000000-0010-0000-0000-000057120000}" name="Coluna4690"/>
    <tableColumn id="4696" xr3:uid="{00000000-0010-0000-0000-000058120000}" name="Coluna4691"/>
    <tableColumn id="4697" xr3:uid="{00000000-0010-0000-0000-000059120000}" name="Coluna4692"/>
    <tableColumn id="4698" xr3:uid="{00000000-0010-0000-0000-00005A120000}" name="Coluna4693"/>
    <tableColumn id="4699" xr3:uid="{00000000-0010-0000-0000-00005B120000}" name="Coluna4694"/>
    <tableColumn id="4700" xr3:uid="{00000000-0010-0000-0000-00005C120000}" name="Coluna4695"/>
    <tableColumn id="4701" xr3:uid="{00000000-0010-0000-0000-00005D120000}" name="Coluna4696"/>
    <tableColumn id="4702" xr3:uid="{00000000-0010-0000-0000-00005E120000}" name="Coluna4697"/>
    <tableColumn id="4703" xr3:uid="{00000000-0010-0000-0000-00005F120000}" name="Coluna4698"/>
    <tableColumn id="4704" xr3:uid="{00000000-0010-0000-0000-000060120000}" name="Coluna4699"/>
    <tableColumn id="4705" xr3:uid="{00000000-0010-0000-0000-000061120000}" name="Coluna4700"/>
    <tableColumn id="4706" xr3:uid="{00000000-0010-0000-0000-000062120000}" name="Coluna4701"/>
    <tableColumn id="4707" xr3:uid="{00000000-0010-0000-0000-000063120000}" name="Coluna4702"/>
    <tableColumn id="4708" xr3:uid="{00000000-0010-0000-0000-000064120000}" name="Coluna4703"/>
    <tableColumn id="4709" xr3:uid="{00000000-0010-0000-0000-000065120000}" name="Coluna4704"/>
    <tableColumn id="4710" xr3:uid="{00000000-0010-0000-0000-000066120000}" name="Coluna4705"/>
    <tableColumn id="4711" xr3:uid="{00000000-0010-0000-0000-000067120000}" name="Coluna4706"/>
    <tableColumn id="4712" xr3:uid="{00000000-0010-0000-0000-000068120000}" name="Coluna4707"/>
    <tableColumn id="4713" xr3:uid="{00000000-0010-0000-0000-000069120000}" name="Coluna4708"/>
    <tableColumn id="4714" xr3:uid="{00000000-0010-0000-0000-00006A120000}" name="Coluna4709"/>
    <tableColumn id="4715" xr3:uid="{00000000-0010-0000-0000-00006B120000}" name="Coluna4710"/>
    <tableColumn id="4716" xr3:uid="{00000000-0010-0000-0000-00006C120000}" name="Coluna4711"/>
    <tableColumn id="4717" xr3:uid="{00000000-0010-0000-0000-00006D120000}" name="Coluna4712"/>
    <tableColumn id="4718" xr3:uid="{00000000-0010-0000-0000-00006E120000}" name="Coluna4713"/>
    <tableColumn id="4719" xr3:uid="{00000000-0010-0000-0000-00006F120000}" name="Coluna4714"/>
    <tableColumn id="4720" xr3:uid="{00000000-0010-0000-0000-000070120000}" name="Coluna4715"/>
    <tableColumn id="4721" xr3:uid="{00000000-0010-0000-0000-000071120000}" name="Coluna4716"/>
    <tableColumn id="4722" xr3:uid="{00000000-0010-0000-0000-000072120000}" name="Coluna4717"/>
    <tableColumn id="4723" xr3:uid="{00000000-0010-0000-0000-000073120000}" name="Coluna4718"/>
    <tableColumn id="4724" xr3:uid="{00000000-0010-0000-0000-000074120000}" name="Coluna4719"/>
    <tableColumn id="4725" xr3:uid="{00000000-0010-0000-0000-000075120000}" name="Coluna4720"/>
    <tableColumn id="4726" xr3:uid="{00000000-0010-0000-0000-000076120000}" name="Coluna4721"/>
    <tableColumn id="4727" xr3:uid="{00000000-0010-0000-0000-000077120000}" name="Coluna4722"/>
    <tableColumn id="4728" xr3:uid="{00000000-0010-0000-0000-000078120000}" name="Coluna4723"/>
    <tableColumn id="4729" xr3:uid="{00000000-0010-0000-0000-000079120000}" name="Coluna4724"/>
    <tableColumn id="4730" xr3:uid="{00000000-0010-0000-0000-00007A120000}" name="Coluna4725"/>
    <tableColumn id="4731" xr3:uid="{00000000-0010-0000-0000-00007B120000}" name="Coluna4726"/>
    <tableColumn id="4732" xr3:uid="{00000000-0010-0000-0000-00007C120000}" name="Coluna4727"/>
    <tableColumn id="4733" xr3:uid="{00000000-0010-0000-0000-00007D120000}" name="Coluna4728"/>
    <tableColumn id="4734" xr3:uid="{00000000-0010-0000-0000-00007E120000}" name="Coluna4729"/>
    <tableColumn id="4735" xr3:uid="{00000000-0010-0000-0000-00007F120000}" name="Coluna4730"/>
    <tableColumn id="4736" xr3:uid="{00000000-0010-0000-0000-000080120000}" name="Coluna4731"/>
    <tableColumn id="4737" xr3:uid="{00000000-0010-0000-0000-000081120000}" name="Coluna4732"/>
    <tableColumn id="4738" xr3:uid="{00000000-0010-0000-0000-000082120000}" name="Coluna4733"/>
    <tableColumn id="4739" xr3:uid="{00000000-0010-0000-0000-000083120000}" name="Coluna4734"/>
    <tableColumn id="4740" xr3:uid="{00000000-0010-0000-0000-000084120000}" name="Coluna4735"/>
    <tableColumn id="4741" xr3:uid="{00000000-0010-0000-0000-000085120000}" name="Coluna4736"/>
    <tableColumn id="4742" xr3:uid="{00000000-0010-0000-0000-000086120000}" name="Coluna4737"/>
    <tableColumn id="4743" xr3:uid="{00000000-0010-0000-0000-000087120000}" name="Coluna4738"/>
    <tableColumn id="4744" xr3:uid="{00000000-0010-0000-0000-000088120000}" name="Coluna4739"/>
    <tableColumn id="4745" xr3:uid="{00000000-0010-0000-0000-000089120000}" name="Coluna4740"/>
    <tableColumn id="4746" xr3:uid="{00000000-0010-0000-0000-00008A120000}" name="Coluna4741"/>
    <tableColumn id="4747" xr3:uid="{00000000-0010-0000-0000-00008B120000}" name="Coluna4742"/>
    <tableColumn id="4748" xr3:uid="{00000000-0010-0000-0000-00008C120000}" name="Coluna4743"/>
    <tableColumn id="4749" xr3:uid="{00000000-0010-0000-0000-00008D120000}" name="Coluna4744"/>
    <tableColumn id="4750" xr3:uid="{00000000-0010-0000-0000-00008E120000}" name="Coluna4745"/>
    <tableColumn id="4751" xr3:uid="{00000000-0010-0000-0000-00008F120000}" name="Coluna4746"/>
    <tableColumn id="4752" xr3:uid="{00000000-0010-0000-0000-000090120000}" name="Coluna4747"/>
    <tableColumn id="4753" xr3:uid="{00000000-0010-0000-0000-000091120000}" name="Coluna4748"/>
    <tableColumn id="4754" xr3:uid="{00000000-0010-0000-0000-000092120000}" name="Coluna4749"/>
    <tableColumn id="4755" xr3:uid="{00000000-0010-0000-0000-000093120000}" name="Coluna4750"/>
    <tableColumn id="4756" xr3:uid="{00000000-0010-0000-0000-000094120000}" name="Coluna4751"/>
    <tableColumn id="4757" xr3:uid="{00000000-0010-0000-0000-000095120000}" name="Coluna4752"/>
    <tableColumn id="4758" xr3:uid="{00000000-0010-0000-0000-000096120000}" name="Coluna4753"/>
    <tableColumn id="4759" xr3:uid="{00000000-0010-0000-0000-000097120000}" name="Coluna4754"/>
    <tableColumn id="4760" xr3:uid="{00000000-0010-0000-0000-000098120000}" name="Coluna4755"/>
    <tableColumn id="4761" xr3:uid="{00000000-0010-0000-0000-000099120000}" name="Coluna4756"/>
    <tableColumn id="4762" xr3:uid="{00000000-0010-0000-0000-00009A120000}" name="Coluna4757"/>
    <tableColumn id="4763" xr3:uid="{00000000-0010-0000-0000-00009B120000}" name="Coluna4758"/>
    <tableColumn id="4764" xr3:uid="{00000000-0010-0000-0000-00009C120000}" name="Coluna4759"/>
    <tableColumn id="4765" xr3:uid="{00000000-0010-0000-0000-00009D120000}" name="Coluna4760"/>
    <tableColumn id="4766" xr3:uid="{00000000-0010-0000-0000-00009E120000}" name="Coluna4761"/>
    <tableColumn id="4767" xr3:uid="{00000000-0010-0000-0000-00009F120000}" name="Coluna4762"/>
    <tableColumn id="4768" xr3:uid="{00000000-0010-0000-0000-0000A0120000}" name="Coluna4763"/>
    <tableColumn id="4769" xr3:uid="{00000000-0010-0000-0000-0000A1120000}" name="Coluna4764"/>
    <tableColumn id="4770" xr3:uid="{00000000-0010-0000-0000-0000A2120000}" name="Coluna4765"/>
    <tableColumn id="4771" xr3:uid="{00000000-0010-0000-0000-0000A3120000}" name="Coluna4766"/>
    <tableColumn id="4772" xr3:uid="{00000000-0010-0000-0000-0000A4120000}" name="Coluna4767"/>
    <tableColumn id="4773" xr3:uid="{00000000-0010-0000-0000-0000A5120000}" name="Coluna4768"/>
    <tableColumn id="4774" xr3:uid="{00000000-0010-0000-0000-0000A6120000}" name="Coluna4769"/>
    <tableColumn id="4775" xr3:uid="{00000000-0010-0000-0000-0000A7120000}" name="Coluna4770"/>
    <tableColumn id="4776" xr3:uid="{00000000-0010-0000-0000-0000A8120000}" name="Coluna4771"/>
    <tableColumn id="4777" xr3:uid="{00000000-0010-0000-0000-0000A9120000}" name="Coluna4772"/>
    <tableColumn id="4778" xr3:uid="{00000000-0010-0000-0000-0000AA120000}" name="Coluna4773"/>
    <tableColumn id="4779" xr3:uid="{00000000-0010-0000-0000-0000AB120000}" name="Coluna4774"/>
    <tableColumn id="4780" xr3:uid="{00000000-0010-0000-0000-0000AC120000}" name="Coluna4775"/>
    <tableColumn id="4781" xr3:uid="{00000000-0010-0000-0000-0000AD120000}" name="Coluna4776"/>
    <tableColumn id="4782" xr3:uid="{00000000-0010-0000-0000-0000AE120000}" name="Coluna4777"/>
    <tableColumn id="4783" xr3:uid="{00000000-0010-0000-0000-0000AF120000}" name="Coluna4778"/>
    <tableColumn id="4784" xr3:uid="{00000000-0010-0000-0000-0000B0120000}" name="Coluna4779"/>
    <tableColumn id="4785" xr3:uid="{00000000-0010-0000-0000-0000B1120000}" name="Coluna4780"/>
    <tableColumn id="4786" xr3:uid="{00000000-0010-0000-0000-0000B2120000}" name="Coluna4781"/>
    <tableColumn id="4787" xr3:uid="{00000000-0010-0000-0000-0000B3120000}" name="Coluna4782"/>
    <tableColumn id="4788" xr3:uid="{00000000-0010-0000-0000-0000B4120000}" name="Coluna4783"/>
    <tableColumn id="4789" xr3:uid="{00000000-0010-0000-0000-0000B5120000}" name="Coluna4784"/>
    <tableColumn id="4790" xr3:uid="{00000000-0010-0000-0000-0000B6120000}" name="Coluna4785"/>
    <tableColumn id="4791" xr3:uid="{00000000-0010-0000-0000-0000B7120000}" name="Coluna4786"/>
    <tableColumn id="4792" xr3:uid="{00000000-0010-0000-0000-0000B8120000}" name="Coluna4787"/>
    <tableColumn id="4793" xr3:uid="{00000000-0010-0000-0000-0000B9120000}" name="Coluna4788"/>
    <tableColumn id="4794" xr3:uid="{00000000-0010-0000-0000-0000BA120000}" name="Coluna4789"/>
    <tableColumn id="4795" xr3:uid="{00000000-0010-0000-0000-0000BB120000}" name="Coluna4790"/>
    <tableColumn id="4796" xr3:uid="{00000000-0010-0000-0000-0000BC120000}" name="Coluna4791"/>
    <tableColumn id="4797" xr3:uid="{00000000-0010-0000-0000-0000BD120000}" name="Coluna4792"/>
    <tableColumn id="4798" xr3:uid="{00000000-0010-0000-0000-0000BE120000}" name="Coluna4793"/>
    <tableColumn id="4799" xr3:uid="{00000000-0010-0000-0000-0000BF120000}" name="Coluna4794"/>
    <tableColumn id="4800" xr3:uid="{00000000-0010-0000-0000-0000C0120000}" name="Coluna4795"/>
    <tableColumn id="4801" xr3:uid="{00000000-0010-0000-0000-0000C1120000}" name="Coluna4796"/>
    <tableColumn id="4802" xr3:uid="{00000000-0010-0000-0000-0000C2120000}" name="Coluna4797"/>
    <tableColumn id="4803" xr3:uid="{00000000-0010-0000-0000-0000C3120000}" name="Coluna4798"/>
    <tableColumn id="4804" xr3:uid="{00000000-0010-0000-0000-0000C4120000}" name="Coluna4799"/>
    <tableColumn id="4805" xr3:uid="{00000000-0010-0000-0000-0000C5120000}" name="Coluna4800"/>
    <tableColumn id="4806" xr3:uid="{00000000-0010-0000-0000-0000C6120000}" name="Coluna4801"/>
    <tableColumn id="4807" xr3:uid="{00000000-0010-0000-0000-0000C7120000}" name="Coluna4802"/>
    <tableColumn id="4808" xr3:uid="{00000000-0010-0000-0000-0000C8120000}" name="Coluna4803"/>
    <tableColumn id="4809" xr3:uid="{00000000-0010-0000-0000-0000C9120000}" name="Coluna4804"/>
    <tableColumn id="4810" xr3:uid="{00000000-0010-0000-0000-0000CA120000}" name="Coluna4805"/>
    <tableColumn id="4811" xr3:uid="{00000000-0010-0000-0000-0000CB120000}" name="Coluna4806"/>
    <tableColumn id="4812" xr3:uid="{00000000-0010-0000-0000-0000CC120000}" name="Coluna4807"/>
    <tableColumn id="4813" xr3:uid="{00000000-0010-0000-0000-0000CD120000}" name="Coluna4808"/>
    <tableColumn id="4814" xr3:uid="{00000000-0010-0000-0000-0000CE120000}" name="Coluna4809"/>
    <tableColumn id="4815" xr3:uid="{00000000-0010-0000-0000-0000CF120000}" name="Coluna4810"/>
    <tableColumn id="4816" xr3:uid="{00000000-0010-0000-0000-0000D0120000}" name="Coluna4811"/>
    <tableColumn id="4817" xr3:uid="{00000000-0010-0000-0000-0000D1120000}" name="Coluna4812"/>
    <tableColumn id="4818" xr3:uid="{00000000-0010-0000-0000-0000D2120000}" name="Coluna4813"/>
    <tableColumn id="4819" xr3:uid="{00000000-0010-0000-0000-0000D3120000}" name="Coluna4814"/>
    <tableColumn id="4820" xr3:uid="{00000000-0010-0000-0000-0000D4120000}" name="Coluna4815"/>
    <tableColumn id="4821" xr3:uid="{00000000-0010-0000-0000-0000D5120000}" name="Coluna4816"/>
    <tableColumn id="4822" xr3:uid="{00000000-0010-0000-0000-0000D6120000}" name="Coluna4817"/>
    <tableColumn id="4823" xr3:uid="{00000000-0010-0000-0000-0000D7120000}" name="Coluna4818"/>
    <tableColumn id="4824" xr3:uid="{00000000-0010-0000-0000-0000D8120000}" name="Coluna4819"/>
    <tableColumn id="4825" xr3:uid="{00000000-0010-0000-0000-0000D9120000}" name="Coluna4820"/>
    <tableColumn id="4826" xr3:uid="{00000000-0010-0000-0000-0000DA120000}" name="Coluna4821"/>
    <tableColumn id="4827" xr3:uid="{00000000-0010-0000-0000-0000DB120000}" name="Coluna4822"/>
    <tableColumn id="4828" xr3:uid="{00000000-0010-0000-0000-0000DC120000}" name="Coluna4823"/>
    <tableColumn id="4829" xr3:uid="{00000000-0010-0000-0000-0000DD120000}" name="Coluna4824"/>
    <tableColumn id="4830" xr3:uid="{00000000-0010-0000-0000-0000DE120000}" name="Coluna4825"/>
    <tableColumn id="4831" xr3:uid="{00000000-0010-0000-0000-0000DF120000}" name="Coluna4826"/>
    <tableColumn id="4832" xr3:uid="{00000000-0010-0000-0000-0000E0120000}" name="Coluna4827"/>
    <tableColumn id="4833" xr3:uid="{00000000-0010-0000-0000-0000E1120000}" name="Coluna4828"/>
    <tableColumn id="4834" xr3:uid="{00000000-0010-0000-0000-0000E2120000}" name="Coluna4829"/>
    <tableColumn id="4835" xr3:uid="{00000000-0010-0000-0000-0000E3120000}" name="Coluna4830"/>
    <tableColumn id="4836" xr3:uid="{00000000-0010-0000-0000-0000E4120000}" name="Coluna4831"/>
    <tableColumn id="4837" xr3:uid="{00000000-0010-0000-0000-0000E5120000}" name="Coluna4832"/>
    <tableColumn id="4838" xr3:uid="{00000000-0010-0000-0000-0000E6120000}" name="Coluna4833"/>
    <tableColumn id="4839" xr3:uid="{00000000-0010-0000-0000-0000E7120000}" name="Coluna4834"/>
    <tableColumn id="4840" xr3:uid="{00000000-0010-0000-0000-0000E8120000}" name="Coluna4835"/>
    <tableColumn id="4841" xr3:uid="{00000000-0010-0000-0000-0000E9120000}" name="Coluna4836"/>
    <tableColumn id="4842" xr3:uid="{00000000-0010-0000-0000-0000EA120000}" name="Coluna4837"/>
    <tableColumn id="4843" xr3:uid="{00000000-0010-0000-0000-0000EB120000}" name="Coluna4838"/>
    <tableColumn id="4844" xr3:uid="{00000000-0010-0000-0000-0000EC120000}" name="Coluna4839"/>
    <tableColumn id="4845" xr3:uid="{00000000-0010-0000-0000-0000ED120000}" name="Coluna4840"/>
    <tableColumn id="4846" xr3:uid="{00000000-0010-0000-0000-0000EE120000}" name="Coluna4841"/>
    <tableColumn id="4847" xr3:uid="{00000000-0010-0000-0000-0000EF120000}" name="Coluna4842"/>
    <tableColumn id="4848" xr3:uid="{00000000-0010-0000-0000-0000F0120000}" name="Coluna4843"/>
    <tableColumn id="4849" xr3:uid="{00000000-0010-0000-0000-0000F1120000}" name="Coluna4844"/>
    <tableColumn id="4850" xr3:uid="{00000000-0010-0000-0000-0000F2120000}" name="Coluna4845"/>
    <tableColumn id="4851" xr3:uid="{00000000-0010-0000-0000-0000F3120000}" name="Coluna4846"/>
    <tableColumn id="4852" xr3:uid="{00000000-0010-0000-0000-0000F4120000}" name="Coluna4847"/>
    <tableColumn id="4853" xr3:uid="{00000000-0010-0000-0000-0000F5120000}" name="Coluna4848"/>
    <tableColumn id="4854" xr3:uid="{00000000-0010-0000-0000-0000F6120000}" name="Coluna4849"/>
    <tableColumn id="4855" xr3:uid="{00000000-0010-0000-0000-0000F7120000}" name="Coluna4850"/>
    <tableColumn id="4856" xr3:uid="{00000000-0010-0000-0000-0000F8120000}" name="Coluna4851"/>
    <tableColumn id="4857" xr3:uid="{00000000-0010-0000-0000-0000F9120000}" name="Coluna4852"/>
    <tableColumn id="4858" xr3:uid="{00000000-0010-0000-0000-0000FA120000}" name="Coluna4853"/>
    <tableColumn id="4859" xr3:uid="{00000000-0010-0000-0000-0000FB120000}" name="Coluna4854"/>
    <tableColumn id="4860" xr3:uid="{00000000-0010-0000-0000-0000FC120000}" name="Coluna4855"/>
    <tableColumn id="4861" xr3:uid="{00000000-0010-0000-0000-0000FD120000}" name="Coluna4856"/>
    <tableColumn id="4862" xr3:uid="{00000000-0010-0000-0000-0000FE120000}" name="Coluna4857"/>
    <tableColumn id="4863" xr3:uid="{00000000-0010-0000-0000-0000FF120000}" name="Coluna4858"/>
    <tableColumn id="4864" xr3:uid="{00000000-0010-0000-0000-000000130000}" name="Coluna4859"/>
    <tableColumn id="4865" xr3:uid="{00000000-0010-0000-0000-000001130000}" name="Coluna4860"/>
    <tableColumn id="4866" xr3:uid="{00000000-0010-0000-0000-000002130000}" name="Coluna4861"/>
    <tableColumn id="4867" xr3:uid="{00000000-0010-0000-0000-000003130000}" name="Coluna4862"/>
    <tableColumn id="4868" xr3:uid="{00000000-0010-0000-0000-000004130000}" name="Coluna4863"/>
    <tableColumn id="4869" xr3:uid="{00000000-0010-0000-0000-000005130000}" name="Coluna4864"/>
    <tableColumn id="4870" xr3:uid="{00000000-0010-0000-0000-000006130000}" name="Coluna4865"/>
    <tableColumn id="4871" xr3:uid="{00000000-0010-0000-0000-000007130000}" name="Coluna4866"/>
    <tableColumn id="4872" xr3:uid="{00000000-0010-0000-0000-000008130000}" name="Coluna4867"/>
    <tableColumn id="4873" xr3:uid="{00000000-0010-0000-0000-000009130000}" name="Coluna4868"/>
    <tableColumn id="4874" xr3:uid="{00000000-0010-0000-0000-00000A130000}" name="Coluna4869"/>
    <tableColumn id="4875" xr3:uid="{00000000-0010-0000-0000-00000B130000}" name="Coluna4870"/>
    <tableColumn id="4876" xr3:uid="{00000000-0010-0000-0000-00000C130000}" name="Coluna4871"/>
    <tableColumn id="4877" xr3:uid="{00000000-0010-0000-0000-00000D130000}" name="Coluna4872"/>
    <tableColumn id="4878" xr3:uid="{00000000-0010-0000-0000-00000E130000}" name="Coluna4873"/>
    <tableColumn id="4879" xr3:uid="{00000000-0010-0000-0000-00000F130000}" name="Coluna4874"/>
    <tableColumn id="4880" xr3:uid="{00000000-0010-0000-0000-000010130000}" name="Coluna4875"/>
    <tableColumn id="4881" xr3:uid="{00000000-0010-0000-0000-000011130000}" name="Coluna4876"/>
    <tableColumn id="4882" xr3:uid="{00000000-0010-0000-0000-000012130000}" name="Coluna4877"/>
    <tableColumn id="4883" xr3:uid="{00000000-0010-0000-0000-000013130000}" name="Coluna4878"/>
    <tableColumn id="4884" xr3:uid="{00000000-0010-0000-0000-000014130000}" name="Coluna4879"/>
    <tableColumn id="4885" xr3:uid="{00000000-0010-0000-0000-000015130000}" name="Coluna4880"/>
    <tableColumn id="4886" xr3:uid="{00000000-0010-0000-0000-000016130000}" name="Coluna4881"/>
    <tableColumn id="4887" xr3:uid="{00000000-0010-0000-0000-000017130000}" name="Coluna4882"/>
    <tableColumn id="4888" xr3:uid="{00000000-0010-0000-0000-000018130000}" name="Coluna4883"/>
    <tableColumn id="4889" xr3:uid="{00000000-0010-0000-0000-000019130000}" name="Coluna4884"/>
    <tableColumn id="4890" xr3:uid="{00000000-0010-0000-0000-00001A130000}" name="Coluna4885"/>
    <tableColumn id="4891" xr3:uid="{00000000-0010-0000-0000-00001B130000}" name="Coluna4886"/>
    <tableColumn id="4892" xr3:uid="{00000000-0010-0000-0000-00001C130000}" name="Coluna4887"/>
    <tableColumn id="4893" xr3:uid="{00000000-0010-0000-0000-00001D130000}" name="Coluna4888"/>
    <tableColumn id="4894" xr3:uid="{00000000-0010-0000-0000-00001E130000}" name="Coluna4889"/>
    <tableColumn id="4895" xr3:uid="{00000000-0010-0000-0000-00001F130000}" name="Coluna4890"/>
    <tableColumn id="4896" xr3:uid="{00000000-0010-0000-0000-000020130000}" name="Coluna4891"/>
    <tableColumn id="4897" xr3:uid="{00000000-0010-0000-0000-000021130000}" name="Coluna4892"/>
    <tableColumn id="4898" xr3:uid="{00000000-0010-0000-0000-000022130000}" name="Coluna4893"/>
    <tableColumn id="4899" xr3:uid="{00000000-0010-0000-0000-000023130000}" name="Coluna4894"/>
    <tableColumn id="4900" xr3:uid="{00000000-0010-0000-0000-000024130000}" name="Coluna4895"/>
    <tableColumn id="4901" xr3:uid="{00000000-0010-0000-0000-000025130000}" name="Coluna4896"/>
    <tableColumn id="4902" xr3:uid="{00000000-0010-0000-0000-000026130000}" name="Coluna4897"/>
    <tableColumn id="4903" xr3:uid="{00000000-0010-0000-0000-000027130000}" name="Coluna4898"/>
    <tableColumn id="4904" xr3:uid="{00000000-0010-0000-0000-000028130000}" name="Coluna4899"/>
    <tableColumn id="4905" xr3:uid="{00000000-0010-0000-0000-000029130000}" name="Coluna4900"/>
    <tableColumn id="4906" xr3:uid="{00000000-0010-0000-0000-00002A130000}" name="Coluna4901"/>
    <tableColumn id="4907" xr3:uid="{00000000-0010-0000-0000-00002B130000}" name="Coluna4902"/>
    <tableColumn id="4908" xr3:uid="{00000000-0010-0000-0000-00002C130000}" name="Coluna4903"/>
    <tableColumn id="4909" xr3:uid="{00000000-0010-0000-0000-00002D130000}" name="Coluna4904"/>
    <tableColumn id="4910" xr3:uid="{00000000-0010-0000-0000-00002E130000}" name="Coluna4905"/>
    <tableColumn id="4911" xr3:uid="{00000000-0010-0000-0000-00002F130000}" name="Coluna4906"/>
    <tableColumn id="4912" xr3:uid="{00000000-0010-0000-0000-000030130000}" name="Coluna4907"/>
    <tableColumn id="4913" xr3:uid="{00000000-0010-0000-0000-000031130000}" name="Coluna4908"/>
    <tableColumn id="4914" xr3:uid="{00000000-0010-0000-0000-000032130000}" name="Coluna4909"/>
    <tableColumn id="4915" xr3:uid="{00000000-0010-0000-0000-000033130000}" name="Coluna4910"/>
    <tableColumn id="4916" xr3:uid="{00000000-0010-0000-0000-000034130000}" name="Coluna4911"/>
    <tableColumn id="4917" xr3:uid="{00000000-0010-0000-0000-000035130000}" name="Coluna4912"/>
    <tableColumn id="4918" xr3:uid="{00000000-0010-0000-0000-000036130000}" name="Coluna4913"/>
    <tableColumn id="4919" xr3:uid="{00000000-0010-0000-0000-000037130000}" name="Coluna4914"/>
    <tableColumn id="4920" xr3:uid="{00000000-0010-0000-0000-000038130000}" name="Coluna4915"/>
    <tableColumn id="4921" xr3:uid="{00000000-0010-0000-0000-000039130000}" name="Coluna4916"/>
    <tableColumn id="4922" xr3:uid="{00000000-0010-0000-0000-00003A130000}" name="Coluna4917"/>
    <tableColumn id="4923" xr3:uid="{00000000-0010-0000-0000-00003B130000}" name="Coluna4918"/>
    <tableColumn id="4924" xr3:uid="{00000000-0010-0000-0000-00003C130000}" name="Coluna4919"/>
    <tableColumn id="4925" xr3:uid="{00000000-0010-0000-0000-00003D130000}" name="Coluna4920"/>
    <tableColumn id="4926" xr3:uid="{00000000-0010-0000-0000-00003E130000}" name="Coluna4921"/>
    <tableColumn id="4927" xr3:uid="{00000000-0010-0000-0000-00003F130000}" name="Coluna4922"/>
    <tableColumn id="4928" xr3:uid="{00000000-0010-0000-0000-000040130000}" name="Coluna4923"/>
    <tableColumn id="4929" xr3:uid="{00000000-0010-0000-0000-000041130000}" name="Coluna4924"/>
    <tableColumn id="4930" xr3:uid="{00000000-0010-0000-0000-000042130000}" name="Coluna4925"/>
    <tableColumn id="4931" xr3:uid="{00000000-0010-0000-0000-000043130000}" name="Coluna4926"/>
    <tableColumn id="4932" xr3:uid="{00000000-0010-0000-0000-000044130000}" name="Coluna4927"/>
    <tableColumn id="4933" xr3:uid="{00000000-0010-0000-0000-000045130000}" name="Coluna4928"/>
    <tableColumn id="4934" xr3:uid="{00000000-0010-0000-0000-000046130000}" name="Coluna4929"/>
    <tableColumn id="4935" xr3:uid="{00000000-0010-0000-0000-000047130000}" name="Coluna4930"/>
    <tableColumn id="4936" xr3:uid="{00000000-0010-0000-0000-000048130000}" name="Coluna4931"/>
    <tableColumn id="4937" xr3:uid="{00000000-0010-0000-0000-000049130000}" name="Coluna4932"/>
    <tableColumn id="4938" xr3:uid="{00000000-0010-0000-0000-00004A130000}" name="Coluna4933"/>
    <tableColumn id="4939" xr3:uid="{00000000-0010-0000-0000-00004B130000}" name="Coluna4934"/>
    <tableColumn id="4940" xr3:uid="{00000000-0010-0000-0000-00004C130000}" name="Coluna4935"/>
    <tableColumn id="4941" xr3:uid="{00000000-0010-0000-0000-00004D130000}" name="Coluna4936"/>
    <tableColumn id="4942" xr3:uid="{00000000-0010-0000-0000-00004E130000}" name="Coluna4937"/>
    <tableColumn id="4943" xr3:uid="{00000000-0010-0000-0000-00004F130000}" name="Coluna4938"/>
    <tableColumn id="4944" xr3:uid="{00000000-0010-0000-0000-000050130000}" name="Coluna4939"/>
    <tableColumn id="4945" xr3:uid="{00000000-0010-0000-0000-000051130000}" name="Coluna4940"/>
    <tableColumn id="4946" xr3:uid="{00000000-0010-0000-0000-000052130000}" name="Coluna4941"/>
    <tableColumn id="4947" xr3:uid="{00000000-0010-0000-0000-000053130000}" name="Coluna4942"/>
    <tableColumn id="4948" xr3:uid="{00000000-0010-0000-0000-000054130000}" name="Coluna4943"/>
    <tableColumn id="4949" xr3:uid="{00000000-0010-0000-0000-000055130000}" name="Coluna4944"/>
    <tableColumn id="4950" xr3:uid="{00000000-0010-0000-0000-000056130000}" name="Coluna4945"/>
    <tableColumn id="4951" xr3:uid="{00000000-0010-0000-0000-000057130000}" name="Coluna4946"/>
    <tableColumn id="4952" xr3:uid="{00000000-0010-0000-0000-000058130000}" name="Coluna4947"/>
    <tableColumn id="4953" xr3:uid="{00000000-0010-0000-0000-000059130000}" name="Coluna4948"/>
    <tableColumn id="4954" xr3:uid="{00000000-0010-0000-0000-00005A130000}" name="Coluna4949"/>
    <tableColumn id="4955" xr3:uid="{00000000-0010-0000-0000-00005B130000}" name="Coluna4950"/>
    <tableColumn id="4956" xr3:uid="{00000000-0010-0000-0000-00005C130000}" name="Coluna4951"/>
    <tableColumn id="4957" xr3:uid="{00000000-0010-0000-0000-00005D130000}" name="Coluna4952"/>
    <tableColumn id="4958" xr3:uid="{00000000-0010-0000-0000-00005E130000}" name="Coluna4953"/>
    <tableColumn id="4959" xr3:uid="{00000000-0010-0000-0000-00005F130000}" name="Coluna4954"/>
    <tableColumn id="4960" xr3:uid="{00000000-0010-0000-0000-000060130000}" name="Coluna4955"/>
    <tableColumn id="4961" xr3:uid="{00000000-0010-0000-0000-000061130000}" name="Coluna4956"/>
    <tableColumn id="4962" xr3:uid="{00000000-0010-0000-0000-000062130000}" name="Coluna4957"/>
    <tableColumn id="4963" xr3:uid="{00000000-0010-0000-0000-000063130000}" name="Coluna4958"/>
    <tableColumn id="4964" xr3:uid="{00000000-0010-0000-0000-000064130000}" name="Coluna4959"/>
    <tableColumn id="4965" xr3:uid="{00000000-0010-0000-0000-000065130000}" name="Coluna4960"/>
    <tableColumn id="4966" xr3:uid="{00000000-0010-0000-0000-000066130000}" name="Coluna4961"/>
    <tableColumn id="4967" xr3:uid="{00000000-0010-0000-0000-000067130000}" name="Coluna4962"/>
    <tableColumn id="4968" xr3:uid="{00000000-0010-0000-0000-000068130000}" name="Coluna4963"/>
    <tableColumn id="4969" xr3:uid="{00000000-0010-0000-0000-000069130000}" name="Coluna4964"/>
    <tableColumn id="4970" xr3:uid="{00000000-0010-0000-0000-00006A130000}" name="Coluna4965"/>
    <tableColumn id="4971" xr3:uid="{00000000-0010-0000-0000-00006B130000}" name="Coluna4966"/>
    <tableColumn id="4972" xr3:uid="{00000000-0010-0000-0000-00006C130000}" name="Coluna4967"/>
    <tableColumn id="4973" xr3:uid="{00000000-0010-0000-0000-00006D130000}" name="Coluna4968"/>
    <tableColumn id="4974" xr3:uid="{00000000-0010-0000-0000-00006E130000}" name="Coluna4969"/>
    <tableColumn id="4975" xr3:uid="{00000000-0010-0000-0000-00006F130000}" name="Coluna4970"/>
    <tableColumn id="4976" xr3:uid="{00000000-0010-0000-0000-000070130000}" name="Coluna4971"/>
    <tableColumn id="4977" xr3:uid="{00000000-0010-0000-0000-000071130000}" name="Coluna4972"/>
    <tableColumn id="4978" xr3:uid="{00000000-0010-0000-0000-000072130000}" name="Coluna4973"/>
    <tableColumn id="4979" xr3:uid="{00000000-0010-0000-0000-000073130000}" name="Coluna4974"/>
    <tableColumn id="4980" xr3:uid="{00000000-0010-0000-0000-000074130000}" name="Coluna4975"/>
    <tableColumn id="4981" xr3:uid="{00000000-0010-0000-0000-000075130000}" name="Coluna4976"/>
    <tableColumn id="4982" xr3:uid="{00000000-0010-0000-0000-000076130000}" name="Coluna4977"/>
    <tableColumn id="4983" xr3:uid="{00000000-0010-0000-0000-000077130000}" name="Coluna4978"/>
    <tableColumn id="4984" xr3:uid="{00000000-0010-0000-0000-000078130000}" name="Coluna4979"/>
    <tableColumn id="4985" xr3:uid="{00000000-0010-0000-0000-000079130000}" name="Coluna4980"/>
    <tableColumn id="4986" xr3:uid="{00000000-0010-0000-0000-00007A130000}" name="Coluna4981"/>
    <tableColumn id="4987" xr3:uid="{00000000-0010-0000-0000-00007B130000}" name="Coluna4982"/>
    <tableColumn id="4988" xr3:uid="{00000000-0010-0000-0000-00007C130000}" name="Coluna4983"/>
    <tableColumn id="4989" xr3:uid="{00000000-0010-0000-0000-00007D130000}" name="Coluna4984"/>
    <tableColumn id="4990" xr3:uid="{00000000-0010-0000-0000-00007E130000}" name="Coluna4985"/>
    <tableColumn id="4991" xr3:uid="{00000000-0010-0000-0000-00007F130000}" name="Coluna4986"/>
    <tableColumn id="4992" xr3:uid="{00000000-0010-0000-0000-000080130000}" name="Coluna4987"/>
    <tableColumn id="4993" xr3:uid="{00000000-0010-0000-0000-000081130000}" name="Coluna4988"/>
    <tableColumn id="4994" xr3:uid="{00000000-0010-0000-0000-000082130000}" name="Coluna4989"/>
    <tableColumn id="4995" xr3:uid="{00000000-0010-0000-0000-000083130000}" name="Coluna4990"/>
    <tableColumn id="4996" xr3:uid="{00000000-0010-0000-0000-000084130000}" name="Coluna4991"/>
    <tableColumn id="4997" xr3:uid="{00000000-0010-0000-0000-000085130000}" name="Coluna4992"/>
    <tableColumn id="4998" xr3:uid="{00000000-0010-0000-0000-000086130000}" name="Coluna4993"/>
    <tableColumn id="4999" xr3:uid="{00000000-0010-0000-0000-000087130000}" name="Coluna4994"/>
    <tableColumn id="5000" xr3:uid="{00000000-0010-0000-0000-000088130000}" name="Coluna4995"/>
    <tableColumn id="5001" xr3:uid="{00000000-0010-0000-0000-000089130000}" name="Coluna4996"/>
    <tableColumn id="5002" xr3:uid="{00000000-0010-0000-0000-00008A130000}" name="Coluna4997"/>
    <tableColumn id="5003" xr3:uid="{00000000-0010-0000-0000-00008B130000}" name="Coluna4998"/>
    <tableColumn id="5004" xr3:uid="{00000000-0010-0000-0000-00008C130000}" name="Coluna4999"/>
    <tableColumn id="5005" xr3:uid="{00000000-0010-0000-0000-00008D130000}" name="Coluna5000"/>
    <tableColumn id="5006" xr3:uid="{00000000-0010-0000-0000-00008E130000}" name="Coluna5001"/>
    <tableColumn id="5007" xr3:uid="{00000000-0010-0000-0000-00008F130000}" name="Coluna5002"/>
    <tableColumn id="5008" xr3:uid="{00000000-0010-0000-0000-000090130000}" name="Coluna5003"/>
    <tableColumn id="5009" xr3:uid="{00000000-0010-0000-0000-000091130000}" name="Coluna5004"/>
    <tableColumn id="5010" xr3:uid="{00000000-0010-0000-0000-000092130000}" name="Coluna5005"/>
    <tableColumn id="5011" xr3:uid="{00000000-0010-0000-0000-000093130000}" name="Coluna5006"/>
    <tableColumn id="5012" xr3:uid="{00000000-0010-0000-0000-000094130000}" name="Coluna5007"/>
    <tableColumn id="5013" xr3:uid="{00000000-0010-0000-0000-000095130000}" name="Coluna5008"/>
    <tableColumn id="5014" xr3:uid="{00000000-0010-0000-0000-000096130000}" name="Coluna5009"/>
    <tableColumn id="5015" xr3:uid="{00000000-0010-0000-0000-000097130000}" name="Coluna5010"/>
    <tableColumn id="5016" xr3:uid="{00000000-0010-0000-0000-000098130000}" name="Coluna5011"/>
    <tableColumn id="5017" xr3:uid="{00000000-0010-0000-0000-000099130000}" name="Coluna5012"/>
    <tableColumn id="5018" xr3:uid="{00000000-0010-0000-0000-00009A130000}" name="Coluna5013"/>
    <tableColumn id="5019" xr3:uid="{00000000-0010-0000-0000-00009B130000}" name="Coluna5014"/>
    <tableColumn id="5020" xr3:uid="{00000000-0010-0000-0000-00009C130000}" name="Coluna5015"/>
    <tableColumn id="5021" xr3:uid="{00000000-0010-0000-0000-00009D130000}" name="Coluna5016"/>
    <tableColumn id="5022" xr3:uid="{00000000-0010-0000-0000-00009E130000}" name="Coluna5017"/>
    <tableColumn id="5023" xr3:uid="{00000000-0010-0000-0000-00009F130000}" name="Coluna5018"/>
    <tableColumn id="5024" xr3:uid="{00000000-0010-0000-0000-0000A0130000}" name="Coluna5019"/>
    <tableColumn id="5025" xr3:uid="{00000000-0010-0000-0000-0000A1130000}" name="Coluna5020"/>
    <tableColumn id="5026" xr3:uid="{00000000-0010-0000-0000-0000A2130000}" name="Coluna5021"/>
    <tableColumn id="5027" xr3:uid="{00000000-0010-0000-0000-0000A3130000}" name="Coluna5022"/>
    <tableColumn id="5028" xr3:uid="{00000000-0010-0000-0000-0000A4130000}" name="Coluna5023"/>
    <tableColumn id="5029" xr3:uid="{00000000-0010-0000-0000-0000A5130000}" name="Coluna5024"/>
    <tableColumn id="5030" xr3:uid="{00000000-0010-0000-0000-0000A6130000}" name="Coluna5025"/>
    <tableColumn id="5031" xr3:uid="{00000000-0010-0000-0000-0000A7130000}" name="Coluna5026"/>
    <tableColumn id="5032" xr3:uid="{00000000-0010-0000-0000-0000A8130000}" name="Coluna5027"/>
    <tableColumn id="5033" xr3:uid="{00000000-0010-0000-0000-0000A9130000}" name="Coluna5028"/>
    <tableColumn id="5034" xr3:uid="{00000000-0010-0000-0000-0000AA130000}" name="Coluna5029"/>
    <tableColumn id="5035" xr3:uid="{00000000-0010-0000-0000-0000AB130000}" name="Coluna5030"/>
    <tableColumn id="5036" xr3:uid="{00000000-0010-0000-0000-0000AC130000}" name="Coluna5031"/>
    <tableColumn id="5037" xr3:uid="{00000000-0010-0000-0000-0000AD130000}" name="Coluna5032"/>
    <tableColumn id="5038" xr3:uid="{00000000-0010-0000-0000-0000AE130000}" name="Coluna5033"/>
    <tableColumn id="5039" xr3:uid="{00000000-0010-0000-0000-0000AF130000}" name="Coluna5034"/>
    <tableColumn id="5040" xr3:uid="{00000000-0010-0000-0000-0000B0130000}" name="Coluna5035"/>
    <tableColumn id="5041" xr3:uid="{00000000-0010-0000-0000-0000B1130000}" name="Coluna5036"/>
    <tableColumn id="5042" xr3:uid="{00000000-0010-0000-0000-0000B2130000}" name="Coluna5037"/>
    <tableColumn id="5043" xr3:uid="{00000000-0010-0000-0000-0000B3130000}" name="Coluna5038"/>
    <tableColumn id="5044" xr3:uid="{00000000-0010-0000-0000-0000B4130000}" name="Coluna5039"/>
    <tableColumn id="5045" xr3:uid="{00000000-0010-0000-0000-0000B5130000}" name="Coluna5040"/>
    <tableColumn id="5046" xr3:uid="{00000000-0010-0000-0000-0000B6130000}" name="Coluna5041"/>
    <tableColumn id="5047" xr3:uid="{00000000-0010-0000-0000-0000B7130000}" name="Coluna5042"/>
    <tableColumn id="5048" xr3:uid="{00000000-0010-0000-0000-0000B8130000}" name="Coluna5043"/>
    <tableColumn id="5049" xr3:uid="{00000000-0010-0000-0000-0000B9130000}" name="Coluna5044"/>
    <tableColumn id="5050" xr3:uid="{00000000-0010-0000-0000-0000BA130000}" name="Coluna5045"/>
    <tableColumn id="5051" xr3:uid="{00000000-0010-0000-0000-0000BB130000}" name="Coluna5046"/>
    <tableColumn id="5052" xr3:uid="{00000000-0010-0000-0000-0000BC130000}" name="Coluna5047"/>
    <tableColumn id="5053" xr3:uid="{00000000-0010-0000-0000-0000BD130000}" name="Coluna5048"/>
    <tableColumn id="5054" xr3:uid="{00000000-0010-0000-0000-0000BE130000}" name="Coluna5049"/>
    <tableColumn id="5055" xr3:uid="{00000000-0010-0000-0000-0000BF130000}" name="Coluna5050"/>
    <tableColumn id="5056" xr3:uid="{00000000-0010-0000-0000-0000C0130000}" name="Coluna5051"/>
    <tableColumn id="5057" xr3:uid="{00000000-0010-0000-0000-0000C1130000}" name="Coluna5052"/>
    <tableColumn id="5058" xr3:uid="{00000000-0010-0000-0000-0000C2130000}" name="Coluna5053"/>
    <tableColumn id="5059" xr3:uid="{00000000-0010-0000-0000-0000C3130000}" name="Coluna5054"/>
    <tableColumn id="5060" xr3:uid="{00000000-0010-0000-0000-0000C4130000}" name="Coluna5055"/>
    <tableColumn id="5061" xr3:uid="{00000000-0010-0000-0000-0000C5130000}" name="Coluna5056"/>
    <tableColumn id="5062" xr3:uid="{00000000-0010-0000-0000-0000C6130000}" name="Coluna5057"/>
    <tableColumn id="5063" xr3:uid="{00000000-0010-0000-0000-0000C7130000}" name="Coluna5058"/>
    <tableColumn id="5064" xr3:uid="{00000000-0010-0000-0000-0000C8130000}" name="Coluna5059"/>
    <tableColumn id="5065" xr3:uid="{00000000-0010-0000-0000-0000C9130000}" name="Coluna5060"/>
    <tableColumn id="5066" xr3:uid="{00000000-0010-0000-0000-0000CA130000}" name="Coluna5061"/>
    <tableColumn id="5067" xr3:uid="{00000000-0010-0000-0000-0000CB130000}" name="Coluna5062"/>
    <tableColumn id="5068" xr3:uid="{00000000-0010-0000-0000-0000CC130000}" name="Coluna5063"/>
    <tableColumn id="5069" xr3:uid="{00000000-0010-0000-0000-0000CD130000}" name="Coluna5064"/>
    <tableColumn id="5070" xr3:uid="{00000000-0010-0000-0000-0000CE130000}" name="Coluna5065"/>
    <tableColumn id="5071" xr3:uid="{00000000-0010-0000-0000-0000CF130000}" name="Coluna5066"/>
    <tableColumn id="5072" xr3:uid="{00000000-0010-0000-0000-0000D0130000}" name="Coluna5067"/>
    <tableColumn id="5073" xr3:uid="{00000000-0010-0000-0000-0000D1130000}" name="Coluna5068"/>
    <tableColumn id="5074" xr3:uid="{00000000-0010-0000-0000-0000D2130000}" name="Coluna5069"/>
    <tableColumn id="5075" xr3:uid="{00000000-0010-0000-0000-0000D3130000}" name="Coluna5070"/>
    <tableColumn id="5076" xr3:uid="{00000000-0010-0000-0000-0000D4130000}" name="Coluna5071"/>
    <tableColumn id="5077" xr3:uid="{00000000-0010-0000-0000-0000D5130000}" name="Coluna5072"/>
    <tableColumn id="5078" xr3:uid="{00000000-0010-0000-0000-0000D6130000}" name="Coluna5073"/>
    <tableColumn id="5079" xr3:uid="{00000000-0010-0000-0000-0000D7130000}" name="Coluna5074"/>
    <tableColumn id="5080" xr3:uid="{00000000-0010-0000-0000-0000D8130000}" name="Coluna5075"/>
    <tableColumn id="5081" xr3:uid="{00000000-0010-0000-0000-0000D9130000}" name="Coluna5076"/>
    <tableColumn id="5082" xr3:uid="{00000000-0010-0000-0000-0000DA130000}" name="Coluna5077"/>
    <tableColumn id="5083" xr3:uid="{00000000-0010-0000-0000-0000DB130000}" name="Coluna5078"/>
    <tableColumn id="5084" xr3:uid="{00000000-0010-0000-0000-0000DC130000}" name="Coluna5079"/>
    <tableColumn id="5085" xr3:uid="{00000000-0010-0000-0000-0000DD130000}" name="Coluna5080"/>
    <tableColumn id="5086" xr3:uid="{00000000-0010-0000-0000-0000DE130000}" name="Coluna5081"/>
    <tableColumn id="5087" xr3:uid="{00000000-0010-0000-0000-0000DF130000}" name="Coluna5082"/>
    <tableColumn id="5088" xr3:uid="{00000000-0010-0000-0000-0000E0130000}" name="Coluna5083"/>
    <tableColumn id="5089" xr3:uid="{00000000-0010-0000-0000-0000E1130000}" name="Coluna5084"/>
    <tableColumn id="5090" xr3:uid="{00000000-0010-0000-0000-0000E2130000}" name="Coluna5085"/>
    <tableColumn id="5091" xr3:uid="{00000000-0010-0000-0000-0000E3130000}" name="Coluna5086"/>
    <tableColumn id="5092" xr3:uid="{00000000-0010-0000-0000-0000E4130000}" name="Coluna5087"/>
    <tableColumn id="5093" xr3:uid="{00000000-0010-0000-0000-0000E5130000}" name="Coluna5088"/>
    <tableColumn id="5094" xr3:uid="{00000000-0010-0000-0000-0000E6130000}" name="Coluna5089"/>
    <tableColumn id="5095" xr3:uid="{00000000-0010-0000-0000-0000E7130000}" name="Coluna5090"/>
    <tableColumn id="5096" xr3:uid="{00000000-0010-0000-0000-0000E8130000}" name="Coluna5091"/>
    <tableColumn id="5097" xr3:uid="{00000000-0010-0000-0000-0000E9130000}" name="Coluna5092"/>
    <tableColumn id="5098" xr3:uid="{00000000-0010-0000-0000-0000EA130000}" name="Coluna5093"/>
    <tableColumn id="5099" xr3:uid="{00000000-0010-0000-0000-0000EB130000}" name="Coluna5094"/>
    <tableColumn id="5100" xr3:uid="{00000000-0010-0000-0000-0000EC130000}" name="Coluna5095"/>
    <tableColumn id="5101" xr3:uid="{00000000-0010-0000-0000-0000ED130000}" name="Coluna5096"/>
    <tableColumn id="5102" xr3:uid="{00000000-0010-0000-0000-0000EE130000}" name="Coluna5097"/>
    <tableColumn id="5103" xr3:uid="{00000000-0010-0000-0000-0000EF130000}" name="Coluna5098"/>
    <tableColumn id="5104" xr3:uid="{00000000-0010-0000-0000-0000F0130000}" name="Coluna5099"/>
    <tableColumn id="5105" xr3:uid="{00000000-0010-0000-0000-0000F1130000}" name="Coluna5100"/>
    <tableColumn id="5106" xr3:uid="{00000000-0010-0000-0000-0000F2130000}" name="Coluna5101"/>
    <tableColumn id="5107" xr3:uid="{00000000-0010-0000-0000-0000F3130000}" name="Coluna5102"/>
    <tableColumn id="5108" xr3:uid="{00000000-0010-0000-0000-0000F4130000}" name="Coluna5103"/>
    <tableColumn id="5109" xr3:uid="{00000000-0010-0000-0000-0000F5130000}" name="Coluna5104"/>
    <tableColumn id="5110" xr3:uid="{00000000-0010-0000-0000-0000F6130000}" name="Coluna5105"/>
    <tableColumn id="5111" xr3:uid="{00000000-0010-0000-0000-0000F7130000}" name="Coluna5106"/>
    <tableColumn id="5112" xr3:uid="{00000000-0010-0000-0000-0000F8130000}" name="Coluna5107"/>
    <tableColumn id="5113" xr3:uid="{00000000-0010-0000-0000-0000F9130000}" name="Coluna5108"/>
    <tableColumn id="5114" xr3:uid="{00000000-0010-0000-0000-0000FA130000}" name="Coluna5109"/>
    <tableColumn id="5115" xr3:uid="{00000000-0010-0000-0000-0000FB130000}" name="Coluna5110"/>
    <tableColumn id="5116" xr3:uid="{00000000-0010-0000-0000-0000FC130000}" name="Coluna5111"/>
    <tableColumn id="5117" xr3:uid="{00000000-0010-0000-0000-0000FD130000}" name="Coluna5112"/>
    <tableColumn id="5118" xr3:uid="{00000000-0010-0000-0000-0000FE130000}" name="Coluna5113"/>
    <tableColumn id="5119" xr3:uid="{00000000-0010-0000-0000-0000FF130000}" name="Coluna5114"/>
    <tableColumn id="5120" xr3:uid="{00000000-0010-0000-0000-000000140000}" name="Coluna5115"/>
    <tableColumn id="5121" xr3:uid="{00000000-0010-0000-0000-000001140000}" name="Coluna5116"/>
    <tableColumn id="5122" xr3:uid="{00000000-0010-0000-0000-000002140000}" name="Coluna5117"/>
    <tableColumn id="5123" xr3:uid="{00000000-0010-0000-0000-000003140000}" name="Coluna5118"/>
    <tableColumn id="5124" xr3:uid="{00000000-0010-0000-0000-000004140000}" name="Coluna5119"/>
    <tableColumn id="5125" xr3:uid="{00000000-0010-0000-0000-000005140000}" name="Coluna5120"/>
    <tableColumn id="5126" xr3:uid="{00000000-0010-0000-0000-000006140000}" name="Coluna5121"/>
    <tableColumn id="5127" xr3:uid="{00000000-0010-0000-0000-000007140000}" name="Coluna5122"/>
    <tableColumn id="5128" xr3:uid="{00000000-0010-0000-0000-000008140000}" name="Coluna5123"/>
    <tableColumn id="5129" xr3:uid="{00000000-0010-0000-0000-000009140000}" name="Coluna5124"/>
    <tableColumn id="5130" xr3:uid="{00000000-0010-0000-0000-00000A140000}" name="Coluna5125"/>
    <tableColumn id="5131" xr3:uid="{00000000-0010-0000-0000-00000B140000}" name="Coluna5126"/>
    <tableColumn id="5132" xr3:uid="{00000000-0010-0000-0000-00000C140000}" name="Coluna5127"/>
    <tableColumn id="5133" xr3:uid="{00000000-0010-0000-0000-00000D140000}" name="Coluna5128"/>
    <tableColumn id="5134" xr3:uid="{00000000-0010-0000-0000-00000E140000}" name="Coluna5129"/>
    <tableColumn id="5135" xr3:uid="{00000000-0010-0000-0000-00000F140000}" name="Coluna5130"/>
    <tableColumn id="5136" xr3:uid="{00000000-0010-0000-0000-000010140000}" name="Coluna5131"/>
    <tableColumn id="5137" xr3:uid="{00000000-0010-0000-0000-000011140000}" name="Coluna5132"/>
    <tableColumn id="5138" xr3:uid="{00000000-0010-0000-0000-000012140000}" name="Coluna5133"/>
    <tableColumn id="5139" xr3:uid="{00000000-0010-0000-0000-000013140000}" name="Coluna5134"/>
    <tableColumn id="5140" xr3:uid="{00000000-0010-0000-0000-000014140000}" name="Coluna5135"/>
    <tableColumn id="5141" xr3:uid="{00000000-0010-0000-0000-000015140000}" name="Coluna5136"/>
    <tableColumn id="5142" xr3:uid="{00000000-0010-0000-0000-000016140000}" name="Coluna5137"/>
    <tableColumn id="5143" xr3:uid="{00000000-0010-0000-0000-000017140000}" name="Coluna5138"/>
    <tableColumn id="5144" xr3:uid="{00000000-0010-0000-0000-000018140000}" name="Coluna5139"/>
    <tableColumn id="5145" xr3:uid="{00000000-0010-0000-0000-000019140000}" name="Coluna5140"/>
    <tableColumn id="5146" xr3:uid="{00000000-0010-0000-0000-00001A140000}" name="Coluna5141"/>
    <tableColumn id="5147" xr3:uid="{00000000-0010-0000-0000-00001B140000}" name="Coluna5142"/>
    <tableColumn id="5148" xr3:uid="{00000000-0010-0000-0000-00001C140000}" name="Coluna5143"/>
    <tableColumn id="5149" xr3:uid="{00000000-0010-0000-0000-00001D140000}" name="Coluna5144"/>
    <tableColumn id="5150" xr3:uid="{00000000-0010-0000-0000-00001E140000}" name="Coluna5145"/>
    <tableColumn id="5151" xr3:uid="{00000000-0010-0000-0000-00001F140000}" name="Coluna5146"/>
    <tableColumn id="5152" xr3:uid="{00000000-0010-0000-0000-000020140000}" name="Coluna5147"/>
    <tableColumn id="5153" xr3:uid="{00000000-0010-0000-0000-000021140000}" name="Coluna5148"/>
    <tableColumn id="5154" xr3:uid="{00000000-0010-0000-0000-000022140000}" name="Coluna5149"/>
    <tableColumn id="5155" xr3:uid="{00000000-0010-0000-0000-000023140000}" name="Coluna5150"/>
    <tableColumn id="5156" xr3:uid="{00000000-0010-0000-0000-000024140000}" name="Coluna5151"/>
    <tableColumn id="5157" xr3:uid="{00000000-0010-0000-0000-000025140000}" name="Coluna5152"/>
    <tableColumn id="5158" xr3:uid="{00000000-0010-0000-0000-000026140000}" name="Coluna5153"/>
    <tableColumn id="5159" xr3:uid="{00000000-0010-0000-0000-000027140000}" name="Coluna5154"/>
    <tableColumn id="5160" xr3:uid="{00000000-0010-0000-0000-000028140000}" name="Coluna5155"/>
    <tableColumn id="5161" xr3:uid="{00000000-0010-0000-0000-000029140000}" name="Coluna5156"/>
    <tableColumn id="5162" xr3:uid="{00000000-0010-0000-0000-00002A140000}" name="Coluna5157"/>
    <tableColumn id="5163" xr3:uid="{00000000-0010-0000-0000-00002B140000}" name="Coluna5158"/>
    <tableColumn id="5164" xr3:uid="{00000000-0010-0000-0000-00002C140000}" name="Coluna5159"/>
    <tableColumn id="5165" xr3:uid="{00000000-0010-0000-0000-00002D140000}" name="Coluna5160"/>
    <tableColumn id="5166" xr3:uid="{00000000-0010-0000-0000-00002E140000}" name="Coluna5161"/>
    <tableColumn id="5167" xr3:uid="{00000000-0010-0000-0000-00002F140000}" name="Coluna5162"/>
    <tableColumn id="5168" xr3:uid="{00000000-0010-0000-0000-000030140000}" name="Coluna5163"/>
    <tableColumn id="5169" xr3:uid="{00000000-0010-0000-0000-000031140000}" name="Coluna5164"/>
    <tableColumn id="5170" xr3:uid="{00000000-0010-0000-0000-000032140000}" name="Coluna5165"/>
    <tableColumn id="5171" xr3:uid="{00000000-0010-0000-0000-000033140000}" name="Coluna5166"/>
    <tableColumn id="5172" xr3:uid="{00000000-0010-0000-0000-000034140000}" name="Coluna5167"/>
    <tableColumn id="5173" xr3:uid="{00000000-0010-0000-0000-000035140000}" name="Coluna5168"/>
    <tableColumn id="5174" xr3:uid="{00000000-0010-0000-0000-000036140000}" name="Coluna5169"/>
    <tableColumn id="5175" xr3:uid="{00000000-0010-0000-0000-000037140000}" name="Coluna5170"/>
    <tableColumn id="5176" xr3:uid="{00000000-0010-0000-0000-000038140000}" name="Coluna5171"/>
    <tableColumn id="5177" xr3:uid="{00000000-0010-0000-0000-000039140000}" name="Coluna5172"/>
    <tableColumn id="5178" xr3:uid="{00000000-0010-0000-0000-00003A140000}" name="Coluna5173"/>
    <tableColumn id="5179" xr3:uid="{00000000-0010-0000-0000-00003B140000}" name="Coluna5174"/>
    <tableColumn id="5180" xr3:uid="{00000000-0010-0000-0000-00003C140000}" name="Coluna5175"/>
    <tableColumn id="5181" xr3:uid="{00000000-0010-0000-0000-00003D140000}" name="Coluna5176"/>
    <tableColumn id="5182" xr3:uid="{00000000-0010-0000-0000-00003E140000}" name="Coluna5177"/>
    <tableColumn id="5183" xr3:uid="{00000000-0010-0000-0000-00003F140000}" name="Coluna5178"/>
    <tableColumn id="5184" xr3:uid="{00000000-0010-0000-0000-000040140000}" name="Coluna5179"/>
    <tableColumn id="5185" xr3:uid="{00000000-0010-0000-0000-000041140000}" name="Coluna5180"/>
    <tableColumn id="5186" xr3:uid="{00000000-0010-0000-0000-000042140000}" name="Coluna5181"/>
    <tableColumn id="5187" xr3:uid="{00000000-0010-0000-0000-000043140000}" name="Coluna5182"/>
    <tableColumn id="5188" xr3:uid="{00000000-0010-0000-0000-000044140000}" name="Coluna5183"/>
    <tableColumn id="5189" xr3:uid="{00000000-0010-0000-0000-000045140000}" name="Coluna5184"/>
    <tableColumn id="5190" xr3:uid="{00000000-0010-0000-0000-000046140000}" name="Coluna5185"/>
    <tableColumn id="5191" xr3:uid="{00000000-0010-0000-0000-000047140000}" name="Coluna5186"/>
    <tableColumn id="5192" xr3:uid="{00000000-0010-0000-0000-000048140000}" name="Coluna5187"/>
    <tableColumn id="5193" xr3:uid="{00000000-0010-0000-0000-000049140000}" name="Coluna5188"/>
    <tableColumn id="5194" xr3:uid="{00000000-0010-0000-0000-00004A140000}" name="Coluna5189"/>
    <tableColumn id="5195" xr3:uid="{00000000-0010-0000-0000-00004B140000}" name="Coluna5190"/>
    <tableColumn id="5196" xr3:uid="{00000000-0010-0000-0000-00004C140000}" name="Coluna5191"/>
    <tableColumn id="5197" xr3:uid="{00000000-0010-0000-0000-00004D140000}" name="Coluna5192"/>
    <tableColumn id="5198" xr3:uid="{00000000-0010-0000-0000-00004E140000}" name="Coluna5193"/>
    <tableColumn id="5199" xr3:uid="{00000000-0010-0000-0000-00004F140000}" name="Coluna5194"/>
    <tableColumn id="5200" xr3:uid="{00000000-0010-0000-0000-000050140000}" name="Coluna5195"/>
    <tableColumn id="5201" xr3:uid="{00000000-0010-0000-0000-000051140000}" name="Coluna5196"/>
    <tableColumn id="5202" xr3:uid="{00000000-0010-0000-0000-000052140000}" name="Coluna5197"/>
    <tableColumn id="5203" xr3:uid="{00000000-0010-0000-0000-000053140000}" name="Coluna5198"/>
    <tableColumn id="5204" xr3:uid="{00000000-0010-0000-0000-000054140000}" name="Coluna5199"/>
    <tableColumn id="5205" xr3:uid="{00000000-0010-0000-0000-000055140000}" name="Coluna5200"/>
    <tableColumn id="5206" xr3:uid="{00000000-0010-0000-0000-000056140000}" name="Coluna5201"/>
    <tableColumn id="5207" xr3:uid="{00000000-0010-0000-0000-000057140000}" name="Coluna5202"/>
    <tableColumn id="5208" xr3:uid="{00000000-0010-0000-0000-000058140000}" name="Coluna5203"/>
    <tableColumn id="5209" xr3:uid="{00000000-0010-0000-0000-000059140000}" name="Coluna5204"/>
    <tableColumn id="5210" xr3:uid="{00000000-0010-0000-0000-00005A140000}" name="Coluna5205"/>
    <tableColumn id="5211" xr3:uid="{00000000-0010-0000-0000-00005B140000}" name="Coluna5206"/>
    <tableColumn id="5212" xr3:uid="{00000000-0010-0000-0000-00005C140000}" name="Coluna5207"/>
    <tableColumn id="5213" xr3:uid="{00000000-0010-0000-0000-00005D140000}" name="Coluna5208"/>
    <tableColumn id="5214" xr3:uid="{00000000-0010-0000-0000-00005E140000}" name="Coluna5209"/>
    <tableColumn id="5215" xr3:uid="{00000000-0010-0000-0000-00005F140000}" name="Coluna5210"/>
    <tableColumn id="5216" xr3:uid="{00000000-0010-0000-0000-000060140000}" name="Coluna5211"/>
    <tableColumn id="5217" xr3:uid="{00000000-0010-0000-0000-000061140000}" name="Coluna5212"/>
    <tableColumn id="5218" xr3:uid="{00000000-0010-0000-0000-000062140000}" name="Coluna5213"/>
    <tableColumn id="5219" xr3:uid="{00000000-0010-0000-0000-000063140000}" name="Coluna5214"/>
    <tableColumn id="5220" xr3:uid="{00000000-0010-0000-0000-000064140000}" name="Coluna5215"/>
    <tableColumn id="5221" xr3:uid="{00000000-0010-0000-0000-000065140000}" name="Coluna5216"/>
    <tableColumn id="5222" xr3:uid="{00000000-0010-0000-0000-000066140000}" name="Coluna5217"/>
    <tableColumn id="5223" xr3:uid="{00000000-0010-0000-0000-000067140000}" name="Coluna5218"/>
    <tableColumn id="5224" xr3:uid="{00000000-0010-0000-0000-000068140000}" name="Coluna5219"/>
    <tableColumn id="5225" xr3:uid="{00000000-0010-0000-0000-000069140000}" name="Coluna5220"/>
    <tableColumn id="5226" xr3:uid="{00000000-0010-0000-0000-00006A140000}" name="Coluna5221"/>
    <tableColumn id="5227" xr3:uid="{00000000-0010-0000-0000-00006B140000}" name="Coluna5222"/>
    <tableColumn id="5228" xr3:uid="{00000000-0010-0000-0000-00006C140000}" name="Coluna5223"/>
    <tableColumn id="5229" xr3:uid="{00000000-0010-0000-0000-00006D140000}" name="Coluna5224"/>
    <tableColumn id="5230" xr3:uid="{00000000-0010-0000-0000-00006E140000}" name="Coluna5225"/>
    <tableColumn id="5231" xr3:uid="{00000000-0010-0000-0000-00006F140000}" name="Coluna5226"/>
    <tableColumn id="5232" xr3:uid="{00000000-0010-0000-0000-000070140000}" name="Coluna5227"/>
    <tableColumn id="5233" xr3:uid="{00000000-0010-0000-0000-000071140000}" name="Coluna5228"/>
    <tableColumn id="5234" xr3:uid="{00000000-0010-0000-0000-000072140000}" name="Coluna5229"/>
    <tableColumn id="5235" xr3:uid="{00000000-0010-0000-0000-000073140000}" name="Coluna5230"/>
    <tableColumn id="5236" xr3:uid="{00000000-0010-0000-0000-000074140000}" name="Coluna5231"/>
    <tableColumn id="5237" xr3:uid="{00000000-0010-0000-0000-000075140000}" name="Coluna5232"/>
    <tableColumn id="5238" xr3:uid="{00000000-0010-0000-0000-000076140000}" name="Coluna5233"/>
    <tableColumn id="5239" xr3:uid="{00000000-0010-0000-0000-000077140000}" name="Coluna5234"/>
    <tableColumn id="5240" xr3:uid="{00000000-0010-0000-0000-000078140000}" name="Coluna5235"/>
    <tableColumn id="5241" xr3:uid="{00000000-0010-0000-0000-000079140000}" name="Coluna5236"/>
    <tableColumn id="5242" xr3:uid="{00000000-0010-0000-0000-00007A140000}" name="Coluna5237"/>
    <tableColumn id="5243" xr3:uid="{00000000-0010-0000-0000-00007B140000}" name="Coluna5238"/>
    <tableColumn id="5244" xr3:uid="{00000000-0010-0000-0000-00007C140000}" name="Coluna5239"/>
    <tableColumn id="5245" xr3:uid="{00000000-0010-0000-0000-00007D140000}" name="Coluna5240"/>
    <tableColumn id="5246" xr3:uid="{00000000-0010-0000-0000-00007E140000}" name="Coluna5241"/>
    <tableColumn id="5247" xr3:uid="{00000000-0010-0000-0000-00007F140000}" name="Coluna5242"/>
    <tableColumn id="5248" xr3:uid="{00000000-0010-0000-0000-000080140000}" name="Coluna5243"/>
    <tableColumn id="5249" xr3:uid="{00000000-0010-0000-0000-000081140000}" name="Coluna5244"/>
    <tableColumn id="5250" xr3:uid="{00000000-0010-0000-0000-000082140000}" name="Coluna5245"/>
    <tableColumn id="5251" xr3:uid="{00000000-0010-0000-0000-000083140000}" name="Coluna5246"/>
    <tableColumn id="5252" xr3:uid="{00000000-0010-0000-0000-000084140000}" name="Coluna5247"/>
    <tableColumn id="5253" xr3:uid="{00000000-0010-0000-0000-000085140000}" name="Coluna5248"/>
    <tableColumn id="5254" xr3:uid="{00000000-0010-0000-0000-000086140000}" name="Coluna5249"/>
    <tableColumn id="5255" xr3:uid="{00000000-0010-0000-0000-000087140000}" name="Coluna5250"/>
    <tableColumn id="5256" xr3:uid="{00000000-0010-0000-0000-000088140000}" name="Coluna5251"/>
    <tableColumn id="5257" xr3:uid="{00000000-0010-0000-0000-000089140000}" name="Coluna5252"/>
    <tableColumn id="5258" xr3:uid="{00000000-0010-0000-0000-00008A140000}" name="Coluna5253"/>
    <tableColumn id="5259" xr3:uid="{00000000-0010-0000-0000-00008B140000}" name="Coluna5254"/>
    <tableColumn id="5260" xr3:uid="{00000000-0010-0000-0000-00008C140000}" name="Coluna5255"/>
    <tableColumn id="5261" xr3:uid="{00000000-0010-0000-0000-00008D140000}" name="Coluna5256"/>
    <tableColumn id="5262" xr3:uid="{00000000-0010-0000-0000-00008E140000}" name="Coluna5257"/>
    <tableColumn id="5263" xr3:uid="{00000000-0010-0000-0000-00008F140000}" name="Coluna5258"/>
    <tableColumn id="5264" xr3:uid="{00000000-0010-0000-0000-000090140000}" name="Coluna5259"/>
    <tableColumn id="5265" xr3:uid="{00000000-0010-0000-0000-000091140000}" name="Coluna5260"/>
    <tableColumn id="5266" xr3:uid="{00000000-0010-0000-0000-000092140000}" name="Coluna5261"/>
    <tableColumn id="5267" xr3:uid="{00000000-0010-0000-0000-000093140000}" name="Coluna5262"/>
    <tableColumn id="5268" xr3:uid="{00000000-0010-0000-0000-000094140000}" name="Coluna5263"/>
    <tableColumn id="5269" xr3:uid="{00000000-0010-0000-0000-000095140000}" name="Coluna5264"/>
    <tableColumn id="5270" xr3:uid="{00000000-0010-0000-0000-000096140000}" name="Coluna5265"/>
    <tableColumn id="5271" xr3:uid="{00000000-0010-0000-0000-000097140000}" name="Coluna5266"/>
    <tableColumn id="5272" xr3:uid="{00000000-0010-0000-0000-000098140000}" name="Coluna5267"/>
    <tableColumn id="5273" xr3:uid="{00000000-0010-0000-0000-000099140000}" name="Coluna5268"/>
    <tableColumn id="5274" xr3:uid="{00000000-0010-0000-0000-00009A140000}" name="Coluna5269"/>
    <tableColumn id="5275" xr3:uid="{00000000-0010-0000-0000-00009B140000}" name="Coluna5270"/>
    <tableColumn id="5276" xr3:uid="{00000000-0010-0000-0000-00009C140000}" name="Coluna5271"/>
    <tableColumn id="5277" xr3:uid="{00000000-0010-0000-0000-00009D140000}" name="Coluna5272"/>
    <tableColumn id="5278" xr3:uid="{00000000-0010-0000-0000-00009E140000}" name="Coluna5273"/>
    <tableColumn id="5279" xr3:uid="{00000000-0010-0000-0000-00009F140000}" name="Coluna5274"/>
    <tableColumn id="5280" xr3:uid="{00000000-0010-0000-0000-0000A0140000}" name="Coluna5275"/>
    <tableColumn id="5281" xr3:uid="{00000000-0010-0000-0000-0000A1140000}" name="Coluna5276"/>
    <tableColumn id="5282" xr3:uid="{00000000-0010-0000-0000-0000A2140000}" name="Coluna5277"/>
    <tableColumn id="5283" xr3:uid="{00000000-0010-0000-0000-0000A3140000}" name="Coluna5278"/>
    <tableColumn id="5284" xr3:uid="{00000000-0010-0000-0000-0000A4140000}" name="Coluna5279"/>
    <tableColumn id="5285" xr3:uid="{00000000-0010-0000-0000-0000A5140000}" name="Coluna5280"/>
    <tableColumn id="5286" xr3:uid="{00000000-0010-0000-0000-0000A6140000}" name="Coluna5281"/>
    <tableColumn id="5287" xr3:uid="{00000000-0010-0000-0000-0000A7140000}" name="Coluna5282"/>
    <tableColumn id="5288" xr3:uid="{00000000-0010-0000-0000-0000A8140000}" name="Coluna5283"/>
    <tableColumn id="5289" xr3:uid="{00000000-0010-0000-0000-0000A9140000}" name="Coluna5284"/>
    <tableColumn id="5290" xr3:uid="{00000000-0010-0000-0000-0000AA140000}" name="Coluna5285"/>
    <tableColumn id="5291" xr3:uid="{00000000-0010-0000-0000-0000AB140000}" name="Coluna5286"/>
    <tableColumn id="5292" xr3:uid="{00000000-0010-0000-0000-0000AC140000}" name="Coluna5287"/>
    <tableColumn id="5293" xr3:uid="{00000000-0010-0000-0000-0000AD140000}" name="Coluna5288"/>
    <tableColumn id="5294" xr3:uid="{00000000-0010-0000-0000-0000AE140000}" name="Coluna5289"/>
    <tableColumn id="5295" xr3:uid="{00000000-0010-0000-0000-0000AF140000}" name="Coluna5290"/>
    <tableColumn id="5296" xr3:uid="{00000000-0010-0000-0000-0000B0140000}" name="Coluna5291"/>
    <tableColumn id="5297" xr3:uid="{00000000-0010-0000-0000-0000B1140000}" name="Coluna5292"/>
    <tableColumn id="5298" xr3:uid="{00000000-0010-0000-0000-0000B2140000}" name="Coluna5293"/>
    <tableColumn id="5299" xr3:uid="{00000000-0010-0000-0000-0000B3140000}" name="Coluna5294"/>
    <tableColumn id="5300" xr3:uid="{00000000-0010-0000-0000-0000B4140000}" name="Coluna5295"/>
    <tableColumn id="5301" xr3:uid="{00000000-0010-0000-0000-0000B5140000}" name="Coluna5296"/>
    <tableColumn id="5302" xr3:uid="{00000000-0010-0000-0000-0000B6140000}" name="Coluna5297"/>
    <tableColumn id="5303" xr3:uid="{00000000-0010-0000-0000-0000B7140000}" name="Coluna5298"/>
    <tableColumn id="5304" xr3:uid="{00000000-0010-0000-0000-0000B8140000}" name="Coluna5299"/>
    <tableColumn id="5305" xr3:uid="{00000000-0010-0000-0000-0000B9140000}" name="Coluna5300"/>
    <tableColumn id="5306" xr3:uid="{00000000-0010-0000-0000-0000BA140000}" name="Coluna5301"/>
    <tableColumn id="5307" xr3:uid="{00000000-0010-0000-0000-0000BB140000}" name="Coluna5302"/>
    <tableColumn id="5308" xr3:uid="{00000000-0010-0000-0000-0000BC140000}" name="Coluna5303"/>
    <tableColumn id="5309" xr3:uid="{00000000-0010-0000-0000-0000BD140000}" name="Coluna5304"/>
    <tableColumn id="5310" xr3:uid="{00000000-0010-0000-0000-0000BE140000}" name="Coluna5305"/>
    <tableColumn id="5311" xr3:uid="{00000000-0010-0000-0000-0000BF140000}" name="Coluna5306"/>
    <tableColumn id="5312" xr3:uid="{00000000-0010-0000-0000-0000C0140000}" name="Coluna5307"/>
    <tableColumn id="5313" xr3:uid="{00000000-0010-0000-0000-0000C1140000}" name="Coluna5308"/>
    <tableColumn id="5314" xr3:uid="{00000000-0010-0000-0000-0000C2140000}" name="Coluna5309"/>
    <tableColumn id="5315" xr3:uid="{00000000-0010-0000-0000-0000C3140000}" name="Coluna5310"/>
    <tableColumn id="5316" xr3:uid="{00000000-0010-0000-0000-0000C4140000}" name="Coluna5311"/>
    <tableColumn id="5317" xr3:uid="{00000000-0010-0000-0000-0000C5140000}" name="Coluna5312"/>
    <tableColumn id="5318" xr3:uid="{00000000-0010-0000-0000-0000C6140000}" name="Coluna5313"/>
    <tableColumn id="5319" xr3:uid="{00000000-0010-0000-0000-0000C7140000}" name="Coluna5314"/>
    <tableColumn id="5320" xr3:uid="{00000000-0010-0000-0000-0000C8140000}" name="Coluna5315"/>
    <tableColumn id="5321" xr3:uid="{00000000-0010-0000-0000-0000C9140000}" name="Coluna5316"/>
    <tableColumn id="5322" xr3:uid="{00000000-0010-0000-0000-0000CA140000}" name="Coluna5317"/>
    <tableColumn id="5323" xr3:uid="{00000000-0010-0000-0000-0000CB140000}" name="Coluna5318"/>
    <tableColumn id="5324" xr3:uid="{00000000-0010-0000-0000-0000CC140000}" name="Coluna5319"/>
    <tableColumn id="5325" xr3:uid="{00000000-0010-0000-0000-0000CD140000}" name="Coluna5320"/>
    <tableColumn id="5326" xr3:uid="{00000000-0010-0000-0000-0000CE140000}" name="Coluna5321"/>
    <tableColumn id="5327" xr3:uid="{00000000-0010-0000-0000-0000CF140000}" name="Coluna5322"/>
    <tableColumn id="5328" xr3:uid="{00000000-0010-0000-0000-0000D0140000}" name="Coluna5323"/>
    <tableColumn id="5329" xr3:uid="{00000000-0010-0000-0000-0000D1140000}" name="Coluna5324"/>
    <tableColumn id="5330" xr3:uid="{00000000-0010-0000-0000-0000D2140000}" name="Coluna5325"/>
    <tableColumn id="5331" xr3:uid="{00000000-0010-0000-0000-0000D3140000}" name="Coluna5326"/>
    <tableColumn id="5332" xr3:uid="{00000000-0010-0000-0000-0000D4140000}" name="Coluna5327"/>
    <tableColumn id="5333" xr3:uid="{00000000-0010-0000-0000-0000D5140000}" name="Coluna5328"/>
    <tableColumn id="5334" xr3:uid="{00000000-0010-0000-0000-0000D6140000}" name="Coluna5329"/>
    <tableColumn id="5335" xr3:uid="{00000000-0010-0000-0000-0000D7140000}" name="Coluna5330"/>
    <tableColumn id="5336" xr3:uid="{00000000-0010-0000-0000-0000D8140000}" name="Coluna5331"/>
    <tableColumn id="5337" xr3:uid="{00000000-0010-0000-0000-0000D9140000}" name="Coluna5332"/>
    <tableColumn id="5338" xr3:uid="{00000000-0010-0000-0000-0000DA140000}" name="Coluna5333"/>
    <tableColumn id="5339" xr3:uid="{00000000-0010-0000-0000-0000DB140000}" name="Coluna5334"/>
    <tableColumn id="5340" xr3:uid="{00000000-0010-0000-0000-0000DC140000}" name="Coluna5335"/>
    <tableColumn id="5341" xr3:uid="{00000000-0010-0000-0000-0000DD140000}" name="Coluna5336"/>
    <tableColumn id="5342" xr3:uid="{00000000-0010-0000-0000-0000DE140000}" name="Coluna5337"/>
    <tableColumn id="5343" xr3:uid="{00000000-0010-0000-0000-0000DF140000}" name="Coluna5338"/>
    <tableColumn id="5344" xr3:uid="{00000000-0010-0000-0000-0000E0140000}" name="Coluna5339"/>
    <tableColumn id="5345" xr3:uid="{00000000-0010-0000-0000-0000E1140000}" name="Coluna5340"/>
    <tableColumn id="5346" xr3:uid="{00000000-0010-0000-0000-0000E2140000}" name="Coluna5341"/>
    <tableColumn id="5347" xr3:uid="{00000000-0010-0000-0000-0000E3140000}" name="Coluna5342"/>
    <tableColumn id="5348" xr3:uid="{00000000-0010-0000-0000-0000E4140000}" name="Coluna5343"/>
    <tableColumn id="5349" xr3:uid="{00000000-0010-0000-0000-0000E5140000}" name="Coluna5344"/>
    <tableColumn id="5350" xr3:uid="{00000000-0010-0000-0000-0000E6140000}" name="Coluna5345"/>
    <tableColumn id="5351" xr3:uid="{00000000-0010-0000-0000-0000E7140000}" name="Coluna5346"/>
    <tableColumn id="5352" xr3:uid="{00000000-0010-0000-0000-0000E8140000}" name="Coluna5347"/>
    <tableColumn id="5353" xr3:uid="{00000000-0010-0000-0000-0000E9140000}" name="Coluna5348"/>
    <tableColumn id="5354" xr3:uid="{00000000-0010-0000-0000-0000EA140000}" name="Coluna5349"/>
    <tableColumn id="5355" xr3:uid="{00000000-0010-0000-0000-0000EB140000}" name="Coluna5350"/>
    <tableColumn id="5356" xr3:uid="{00000000-0010-0000-0000-0000EC140000}" name="Coluna5351"/>
    <tableColumn id="5357" xr3:uid="{00000000-0010-0000-0000-0000ED140000}" name="Coluna5352"/>
    <tableColumn id="5358" xr3:uid="{00000000-0010-0000-0000-0000EE140000}" name="Coluna5353"/>
    <tableColumn id="5359" xr3:uid="{00000000-0010-0000-0000-0000EF140000}" name="Coluna5354"/>
    <tableColumn id="5360" xr3:uid="{00000000-0010-0000-0000-0000F0140000}" name="Coluna5355"/>
    <tableColumn id="5361" xr3:uid="{00000000-0010-0000-0000-0000F1140000}" name="Coluna5356"/>
    <tableColumn id="5362" xr3:uid="{00000000-0010-0000-0000-0000F2140000}" name="Coluna5357"/>
    <tableColumn id="5363" xr3:uid="{00000000-0010-0000-0000-0000F3140000}" name="Coluna5358"/>
    <tableColumn id="5364" xr3:uid="{00000000-0010-0000-0000-0000F4140000}" name="Coluna5359"/>
    <tableColumn id="5365" xr3:uid="{00000000-0010-0000-0000-0000F5140000}" name="Coluna5360"/>
    <tableColumn id="5366" xr3:uid="{00000000-0010-0000-0000-0000F6140000}" name="Coluna5361"/>
    <tableColumn id="5367" xr3:uid="{00000000-0010-0000-0000-0000F7140000}" name="Coluna5362"/>
    <tableColumn id="5368" xr3:uid="{00000000-0010-0000-0000-0000F8140000}" name="Coluna5363"/>
    <tableColumn id="5369" xr3:uid="{00000000-0010-0000-0000-0000F9140000}" name="Coluna5364"/>
    <tableColumn id="5370" xr3:uid="{00000000-0010-0000-0000-0000FA140000}" name="Coluna5365"/>
    <tableColumn id="5371" xr3:uid="{00000000-0010-0000-0000-0000FB140000}" name="Coluna5366"/>
    <tableColumn id="5372" xr3:uid="{00000000-0010-0000-0000-0000FC140000}" name="Coluna5367"/>
    <tableColumn id="5373" xr3:uid="{00000000-0010-0000-0000-0000FD140000}" name="Coluna5368"/>
    <tableColumn id="5374" xr3:uid="{00000000-0010-0000-0000-0000FE140000}" name="Coluna5369"/>
    <tableColumn id="5375" xr3:uid="{00000000-0010-0000-0000-0000FF140000}" name="Coluna5370"/>
    <tableColumn id="5376" xr3:uid="{00000000-0010-0000-0000-000000150000}" name="Coluna5371"/>
    <tableColumn id="5377" xr3:uid="{00000000-0010-0000-0000-000001150000}" name="Coluna5372"/>
    <tableColumn id="5378" xr3:uid="{00000000-0010-0000-0000-000002150000}" name="Coluna5373"/>
    <tableColumn id="5379" xr3:uid="{00000000-0010-0000-0000-000003150000}" name="Coluna5374"/>
    <tableColumn id="5380" xr3:uid="{00000000-0010-0000-0000-000004150000}" name="Coluna5375"/>
    <tableColumn id="5381" xr3:uid="{00000000-0010-0000-0000-000005150000}" name="Coluna5376"/>
    <tableColumn id="5382" xr3:uid="{00000000-0010-0000-0000-000006150000}" name="Coluna5377"/>
    <tableColumn id="5383" xr3:uid="{00000000-0010-0000-0000-000007150000}" name="Coluna5378"/>
    <tableColumn id="5384" xr3:uid="{00000000-0010-0000-0000-000008150000}" name="Coluna5379"/>
    <tableColumn id="5385" xr3:uid="{00000000-0010-0000-0000-000009150000}" name="Coluna5380"/>
    <tableColumn id="5386" xr3:uid="{00000000-0010-0000-0000-00000A150000}" name="Coluna5381"/>
    <tableColumn id="5387" xr3:uid="{00000000-0010-0000-0000-00000B150000}" name="Coluna5382"/>
    <tableColumn id="5388" xr3:uid="{00000000-0010-0000-0000-00000C150000}" name="Coluna5383"/>
    <tableColumn id="5389" xr3:uid="{00000000-0010-0000-0000-00000D150000}" name="Coluna5384"/>
    <tableColumn id="5390" xr3:uid="{00000000-0010-0000-0000-00000E150000}" name="Coluna5385"/>
    <tableColumn id="5391" xr3:uid="{00000000-0010-0000-0000-00000F150000}" name="Coluna5386"/>
    <tableColumn id="5392" xr3:uid="{00000000-0010-0000-0000-000010150000}" name="Coluna5387"/>
    <tableColumn id="5393" xr3:uid="{00000000-0010-0000-0000-000011150000}" name="Coluna5388"/>
    <tableColumn id="5394" xr3:uid="{00000000-0010-0000-0000-000012150000}" name="Coluna5389"/>
    <tableColumn id="5395" xr3:uid="{00000000-0010-0000-0000-000013150000}" name="Coluna5390"/>
    <tableColumn id="5396" xr3:uid="{00000000-0010-0000-0000-000014150000}" name="Coluna5391"/>
    <tableColumn id="5397" xr3:uid="{00000000-0010-0000-0000-000015150000}" name="Coluna5392"/>
    <tableColumn id="5398" xr3:uid="{00000000-0010-0000-0000-000016150000}" name="Coluna5393"/>
    <tableColumn id="5399" xr3:uid="{00000000-0010-0000-0000-000017150000}" name="Coluna5394"/>
    <tableColumn id="5400" xr3:uid="{00000000-0010-0000-0000-000018150000}" name="Coluna5395"/>
    <tableColumn id="5401" xr3:uid="{00000000-0010-0000-0000-000019150000}" name="Coluna5396"/>
    <tableColumn id="5402" xr3:uid="{00000000-0010-0000-0000-00001A150000}" name="Coluna5397"/>
    <tableColumn id="5403" xr3:uid="{00000000-0010-0000-0000-00001B150000}" name="Coluna5398"/>
    <tableColumn id="5404" xr3:uid="{00000000-0010-0000-0000-00001C150000}" name="Coluna5399"/>
    <tableColumn id="5405" xr3:uid="{00000000-0010-0000-0000-00001D150000}" name="Coluna5400"/>
    <tableColumn id="5406" xr3:uid="{00000000-0010-0000-0000-00001E150000}" name="Coluna5401"/>
    <tableColumn id="5407" xr3:uid="{00000000-0010-0000-0000-00001F150000}" name="Coluna5402"/>
    <tableColumn id="5408" xr3:uid="{00000000-0010-0000-0000-000020150000}" name="Coluna5403"/>
    <tableColumn id="5409" xr3:uid="{00000000-0010-0000-0000-000021150000}" name="Coluna5404"/>
    <tableColumn id="5410" xr3:uid="{00000000-0010-0000-0000-000022150000}" name="Coluna5405"/>
    <tableColumn id="5411" xr3:uid="{00000000-0010-0000-0000-000023150000}" name="Coluna5406"/>
    <tableColumn id="5412" xr3:uid="{00000000-0010-0000-0000-000024150000}" name="Coluna5407"/>
    <tableColumn id="5413" xr3:uid="{00000000-0010-0000-0000-000025150000}" name="Coluna5408"/>
    <tableColumn id="5414" xr3:uid="{00000000-0010-0000-0000-000026150000}" name="Coluna5409"/>
    <tableColumn id="5415" xr3:uid="{00000000-0010-0000-0000-000027150000}" name="Coluna5410"/>
    <tableColumn id="5416" xr3:uid="{00000000-0010-0000-0000-000028150000}" name="Coluna5411"/>
    <tableColumn id="5417" xr3:uid="{00000000-0010-0000-0000-000029150000}" name="Coluna5412"/>
    <tableColumn id="5418" xr3:uid="{00000000-0010-0000-0000-00002A150000}" name="Coluna5413"/>
    <tableColumn id="5419" xr3:uid="{00000000-0010-0000-0000-00002B150000}" name="Coluna5414"/>
    <tableColumn id="5420" xr3:uid="{00000000-0010-0000-0000-00002C150000}" name="Coluna5415"/>
    <tableColumn id="5421" xr3:uid="{00000000-0010-0000-0000-00002D150000}" name="Coluna5416"/>
    <tableColumn id="5422" xr3:uid="{00000000-0010-0000-0000-00002E150000}" name="Coluna5417"/>
    <tableColumn id="5423" xr3:uid="{00000000-0010-0000-0000-00002F150000}" name="Coluna5418"/>
    <tableColumn id="5424" xr3:uid="{00000000-0010-0000-0000-000030150000}" name="Coluna5419"/>
    <tableColumn id="5425" xr3:uid="{00000000-0010-0000-0000-000031150000}" name="Coluna5420"/>
    <tableColumn id="5426" xr3:uid="{00000000-0010-0000-0000-000032150000}" name="Coluna5421"/>
    <tableColumn id="5427" xr3:uid="{00000000-0010-0000-0000-000033150000}" name="Coluna5422"/>
    <tableColumn id="5428" xr3:uid="{00000000-0010-0000-0000-000034150000}" name="Coluna5423"/>
    <tableColumn id="5429" xr3:uid="{00000000-0010-0000-0000-000035150000}" name="Coluna5424"/>
    <tableColumn id="5430" xr3:uid="{00000000-0010-0000-0000-000036150000}" name="Coluna5425"/>
    <tableColumn id="5431" xr3:uid="{00000000-0010-0000-0000-000037150000}" name="Coluna5426"/>
    <tableColumn id="5432" xr3:uid="{00000000-0010-0000-0000-000038150000}" name="Coluna5427"/>
    <tableColumn id="5433" xr3:uid="{00000000-0010-0000-0000-000039150000}" name="Coluna5428"/>
    <tableColumn id="5434" xr3:uid="{00000000-0010-0000-0000-00003A150000}" name="Coluna5429"/>
    <tableColumn id="5435" xr3:uid="{00000000-0010-0000-0000-00003B150000}" name="Coluna5430"/>
    <tableColumn id="5436" xr3:uid="{00000000-0010-0000-0000-00003C150000}" name="Coluna5431"/>
    <tableColumn id="5437" xr3:uid="{00000000-0010-0000-0000-00003D150000}" name="Coluna5432"/>
    <tableColumn id="5438" xr3:uid="{00000000-0010-0000-0000-00003E150000}" name="Coluna5433"/>
    <tableColumn id="5439" xr3:uid="{00000000-0010-0000-0000-00003F150000}" name="Coluna5434"/>
    <tableColumn id="5440" xr3:uid="{00000000-0010-0000-0000-000040150000}" name="Coluna5435"/>
    <tableColumn id="5441" xr3:uid="{00000000-0010-0000-0000-000041150000}" name="Coluna5436"/>
    <tableColumn id="5442" xr3:uid="{00000000-0010-0000-0000-000042150000}" name="Coluna5437"/>
    <tableColumn id="5443" xr3:uid="{00000000-0010-0000-0000-000043150000}" name="Coluna5438"/>
    <tableColumn id="5444" xr3:uid="{00000000-0010-0000-0000-000044150000}" name="Coluna5439"/>
    <tableColumn id="5445" xr3:uid="{00000000-0010-0000-0000-000045150000}" name="Coluna5440"/>
    <tableColumn id="5446" xr3:uid="{00000000-0010-0000-0000-000046150000}" name="Coluna5441"/>
    <tableColumn id="5447" xr3:uid="{00000000-0010-0000-0000-000047150000}" name="Coluna5442"/>
    <tableColumn id="5448" xr3:uid="{00000000-0010-0000-0000-000048150000}" name="Coluna5443"/>
    <tableColumn id="5449" xr3:uid="{00000000-0010-0000-0000-000049150000}" name="Coluna5444"/>
    <tableColumn id="5450" xr3:uid="{00000000-0010-0000-0000-00004A150000}" name="Coluna5445"/>
    <tableColumn id="5451" xr3:uid="{00000000-0010-0000-0000-00004B150000}" name="Coluna5446"/>
    <tableColumn id="5452" xr3:uid="{00000000-0010-0000-0000-00004C150000}" name="Coluna5447"/>
    <tableColumn id="5453" xr3:uid="{00000000-0010-0000-0000-00004D150000}" name="Coluna5448"/>
    <tableColumn id="5454" xr3:uid="{00000000-0010-0000-0000-00004E150000}" name="Coluna5449"/>
    <tableColumn id="5455" xr3:uid="{00000000-0010-0000-0000-00004F150000}" name="Coluna5450"/>
    <tableColumn id="5456" xr3:uid="{00000000-0010-0000-0000-000050150000}" name="Coluna5451"/>
    <tableColumn id="5457" xr3:uid="{00000000-0010-0000-0000-000051150000}" name="Coluna5452"/>
    <tableColumn id="5458" xr3:uid="{00000000-0010-0000-0000-000052150000}" name="Coluna5453"/>
    <tableColumn id="5459" xr3:uid="{00000000-0010-0000-0000-000053150000}" name="Coluna5454"/>
    <tableColumn id="5460" xr3:uid="{00000000-0010-0000-0000-000054150000}" name="Coluna5455"/>
    <tableColumn id="5461" xr3:uid="{00000000-0010-0000-0000-000055150000}" name="Coluna5456"/>
    <tableColumn id="5462" xr3:uid="{00000000-0010-0000-0000-000056150000}" name="Coluna5457"/>
    <tableColumn id="5463" xr3:uid="{00000000-0010-0000-0000-000057150000}" name="Coluna5458"/>
    <tableColumn id="5464" xr3:uid="{00000000-0010-0000-0000-000058150000}" name="Coluna5459"/>
    <tableColumn id="5465" xr3:uid="{00000000-0010-0000-0000-000059150000}" name="Coluna5460"/>
    <tableColumn id="5466" xr3:uid="{00000000-0010-0000-0000-00005A150000}" name="Coluna5461"/>
    <tableColumn id="5467" xr3:uid="{00000000-0010-0000-0000-00005B150000}" name="Coluna5462"/>
    <tableColumn id="5468" xr3:uid="{00000000-0010-0000-0000-00005C150000}" name="Coluna5463"/>
    <tableColumn id="5469" xr3:uid="{00000000-0010-0000-0000-00005D150000}" name="Coluna5464"/>
    <tableColumn id="5470" xr3:uid="{00000000-0010-0000-0000-00005E150000}" name="Coluna5465"/>
    <tableColumn id="5471" xr3:uid="{00000000-0010-0000-0000-00005F150000}" name="Coluna5466"/>
    <tableColumn id="5472" xr3:uid="{00000000-0010-0000-0000-000060150000}" name="Coluna5467"/>
    <tableColumn id="5473" xr3:uid="{00000000-0010-0000-0000-000061150000}" name="Coluna5468"/>
    <tableColumn id="5474" xr3:uid="{00000000-0010-0000-0000-000062150000}" name="Coluna5469"/>
    <tableColumn id="5475" xr3:uid="{00000000-0010-0000-0000-000063150000}" name="Coluna5470"/>
    <tableColumn id="5476" xr3:uid="{00000000-0010-0000-0000-000064150000}" name="Coluna5471"/>
    <tableColumn id="5477" xr3:uid="{00000000-0010-0000-0000-000065150000}" name="Coluna5472"/>
    <tableColumn id="5478" xr3:uid="{00000000-0010-0000-0000-000066150000}" name="Coluna5473"/>
    <tableColumn id="5479" xr3:uid="{00000000-0010-0000-0000-000067150000}" name="Coluna5474"/>
    <tableColumn id="5480" xr3:uid="{00000000-0010-0000-0000-000068150000}" name="Coluna5475"/>
    <tableColumn id="5481" xr3:uid="{00000000-0010-0000-0000-000069150000}" name="Coluna5476"/>
    <tableColumn id="5482" xr3:uid="{00000000-0010-0000-0000-00006A150000}" name="Coluna5477"/>
    <tableColumn id="5483" xr3:uid="{00000000-0010-0000-0000-00006B150000}" name="Coluna5478"/>
    <tableColumn id="5484" xr3:uid="{00000000-0010-0000-0000-00006C150000}" name="Coluna5479"/>
    <tableColumn id="5485" xr3:uid="{00000000-0010-0000-0000-00006D150000}" name="Coluna5480"/>
    <tableColumn id="5486" xr3:uid="{00000000-0010-0000-0000-00006E150000}" name="Coluna5481"/>
    <tableColumn id="5487" xr3:uid="{00000000-0010-0000-0000-00006F150000}" name="Coluna5482"/>
    <tableColumn id="5488" xr3:uid="{00000000-0010-0000-0000-000070150000}" name="Coluna5483"/>
    <tableColumn id="5489" xr3:uid="{00000000-0010-0000-0000-000071150000}" name="Coluna5484"/>
    <tableColumn id="5490" xr3:uid="{00000000-0010-0000-0000-000072150000}" name="Coluna5485"/>
    <tableColumn id="5491" xr3:uid="{00000000-0010-0000-0000-000073150000}" name="Coluna5486"/>
    <tableColumn id="5492" xr3:uid="{00000000-0010-0000-0000-000074150000}" name="Coluna5487"/>
    <tableColumn id="5493" xr3:uid="{00000000-0010-0000-0000-000075150000}" name="Coluna5488"/>
    <tableColumn id="5494" xr3:uid="{00000000-0010-0000-0000-000076150000}" name="Coluna5489"/>
    <tableColumn id="5495" xr3:uid="{00000000-0010-0000-0000-000077150000}" name="Coluna5490"/>
    <tableColumn id="5496" xr3:uid="{00000000-0010-0000-0000-000078150000}" name="Coluna5491"/>
    <tableColumn id="5497" xr3:uid="{00000000-0010-0000-0000-000079150000}" name="Coluna5492"/>
    <tableColumn id="5498" xr3:uid="{00000000-0010-0000-0000-00007A150000}" name="Coluna5493"/>
    <tableColumn id="5499" xr3:uid="{00000000-0010-0000-0000-00007B150000}" name="Coluna5494"/>
    <tableColumn id="5500" xr3:uid="{00000000-0010-0000-0000-00007C150000}" name="Coluna5495"/>
    <tableColumn id="5501" xr3:uid="{00000000-0010-0000-0000-00007D150000}" name="Coluna5496"/>
    <tableColumn id="5502" xr3:uid="{00000000-0010-0000-0000-00007E150000}" name="Coluna5497"/>
    <tableColumn id="5503" xr3:uid="{00000000-0010-0000-0000-00007F150000}" name="Coluna5498"/>
    <tableColumn id="5504" xr3:uid="{00000000-0010-0000-0000-000080150000}" name="Coluna5499"/>
    <tableColumn id="5505" xr3:uid="{00000000-0010-0000-0000-000081150000}" name="Coluna5500"/>
    <tableColumn id="5506" xr3:uid="{00000000-0010-0000-0000-000082150000}" name="Coluna5501"/>
    <tableColumn id="5507" xr3:uid="{00000000-0010-0000-0000-000083150000}" name="Coluna5502"/>
    <tableColumn id="5508" xr3:uid="{00000000-0010-0000-0000-000084150000}" name="Coluna5503"/>
    <tableColumn id="5509" xr3:uid="{00000000-0010-0000-0000-000085150000}" name="Coluna5504"/>
    <tableColumn id="5510" xr3:uid="{00000000-0010-0000-0000-000086150000}" name="Coluna5505"/>
    <tableColumn id="5511" xr3:uid="{00000000-0010-0000-0000-000087150000}" name="Coluna5506"/>
    <tableColumn id="5512" xr3:uid="{00000000-0010-0000-0000-000088150000}" name="Coluna5507"/>
    <tableColumn id="5513" xr3:uid="{00000000-0010-0000-0000-000089150000}" name="Coluna5508"/>
    <tableColumn id="5514" xr3:uid="{00000000-0010-0000-0000-00008A150000}" name="Coluna5509"/>
    <tableColumn id="5515" xr3:uid="{00000000-0010-0000-0000-00008B150000}" name="Coluna5510"/>
    <tableColumn id="5516" xr3:uid="{00000000-0010-0000-0000-00008C150000}" name="Coluna5511"/>
    <tableColumn id="5517" xr3:uid="{00000000-0010-0000-0000-00008D150000}" name="Coluna5512"/>
    <tableColumn id="5518" xr3:uid="{00000000-0010-0000-0000-00008E150000}" name="Coluna5513"/>
    <tableColumn id="5519" xr3:uid="{00000000-0010-0000-0000-00008F150000}" name="Coluna5514"/>
    <tableColumn id="5520" xr3:uid="{00000000-0010-0000-0000-000090150000}" name="Coluna5515"/>
    <tableColumn id="5521" xr3:uid="{00000000-0010-0000-0000-000091150000}" name="Coluna5516"/>
    <tableColumn id="5522" xr3:uid="{00000000-0010-0000-0000-000092150000}" name="Coluna5517"/>
    <tableColumn id="5523" xr3:uid="{00000000-0010-0000-0000-000093150000}" name="Coluna5518"/>
    <tableColumn id="5524" xr3:uid="{00000000-0010-0000-0000-000094150000}" name="Coluna5519"/>
    <tableColumn id="5525" xr3:uid="{00000000-0010-0000-0000-000095150000}" name="Coluna5520"/>
    <tableColumn id="5526" xr3:uid="{00000000-0010-0000-0000-000096150000}" name="Coluna5521"/>
    <tableColumn id="5527" xr3:uid="{00000000-0010-0000-0000-000097150000}" name="Coluna5522"/>
    <tableColumn id="5528" xr3:uid="{00000000-0010-0000-0000-000098150000}" name="Coluna5523"/>
    <tableColumn id="5529" xr3:uid="{00000000-0010-0000-0000-000099150000}" name="Coluna5524"/>
    <tableColumn id="5530" xr3:uid="{00000000-0010-0000-0000-00009A150000}" name="Coluna5525"/>
    <tableColumn id="5531" xr3:uid="{00000000-0010-0000-0000-00009B150000}" name="Coluna5526"/>
    <tableColumn id="5532" xr3:uid="{00000000-0010-0000-0000-00009C150000}" name="Coluna5527"/>
    <tableColumn id="5533" xr3:uid="{00000000-0010-0000-0000-00009D150000}" name="Coluna5528"/>
    <tableColumn id="5534" xr3:uid="{00000000-0010-0000-0000-00009E150000}" name="Coluna5529"/>
    <tableColumn id="5535" xr3:uid="{00000000-0010-0000-0000-00009F150000}" name="Coluna5530"/>
    <tableColumn id="5536" xr3:uid="{00000000-0010-0000-0000-0000A0150000}" name="Coluna5531"/>
    <tableColumn id="5537" xr3:uid="{00000000-0010-0000-0000-0000A1150000}" name="Coluna5532"/>
    <tableColumn id="5538" xr3:uid="{00000000-0010-0000-0000-0000A2150000}" name="Coluna5533"/>
    <tableColumn id="5539" xr3:uid="{00000000-0010-0000-0000-0000A3150000}" name="Coluna5534"/>
    <tableColumn id="5540" xr3:uid="{00000000-0010-0000-0000-0000A4150000}" name="Coluna5535"/>
    <tableColumn id="5541" xr3:uid="{00000000-0010-0000-0000-0000A5150000}" name="Coluna5536"/>
    <tableColumn id="5542" xr3:uid="{00000000-0010-0000-0000-0000A6150000}" name="Coluna5537"/>
    <tableColumn id="5543" xr3:uid="{00000000-0010-0000-0000-0000A7150000}" name="Coluna5538"/>
    <tableColumn id="5544" xr3:uid="{00000000-0010-0000-0000-0000A8150000}" name="Coluna5539"/>
    <tableColumn id="5545" xr3:uid="{00000000-0010-0000-0000-0000A9150000}" name="Coluna5540"/>
    <tableColumn id="5546" xr3:uid="{00000000-0010-0000-0000-0000AA150000}" name="Coluna5541"/>
    <tableColumn id="5547" xr3:uid="{00000000-0010-0000-0000-0000AB150000}" name="Coluna5542"/>
    <tableColumn id="5548" xr3:uid="{00000000-0010-0000-0000-0000AC150000}" name="Coluna5543"/>
    <tableColumn id="5549" xr3:uid="{00000000-0010-0000-0000-0000AD150000}" name="Coluna5544"/>
    <tableColumn id="5550" xr3:uid="{00000000-0010-0000-0000-0000AE150000}" name="Coluna5545"/>
    <tableColumn id="5551" xr3:uid="{00000000-0010-0000-0000-0000AF150000}" name="Coluna5546"/>
    <tableColumn id="5552" xr3:uid="{00000000-0010-0000-0000-0000B0150000}" name="Coluna5547"/>
    <tableColumn id="5553" xr3:uid="{00000000-0010-0000-0000-0000B1150000}" name="Coluna5548"/>
    <tableColumn id="5554" xr3:uid="{00000000-0010-0000-0000-0000B2150000}" name="Coluna5549"/>
    <tableColumn id="5555" xr3:uid="{00000000-0010-0000-0000-0000B3150000}" name="Coluna5550"/>
    <tableColumn id="5556" xr3:uid="{00000000-0010-0000-0000-0000B4150000}" name="Coluna5551"/>
    <tableColumn id="5557" xr3:uid="{00000000-0010-0000-0000-0000B5150000}" name="Coluna5552"/>
    <tableColumn id="5558" xr3:uid="{00000000-0010-0000-0000-0000B6150000}" name="Coluna5553"/>
    <tableColumn id="5559" xr3:uid="{00000000-0010-0000-0000-0000B7150000}" name="Coluna5554"/>
    <tableColumn id="5560" xr3:uid="{00000000-0010-0000-0000-0000B8150000}" name="Coluna5555"/>
    <tableColumn id="5561" xr3:uid="{00000000-0010-0000-0000-0000B9150000}" name="Coluna5556"/>
    <tableColumn id="5562" xr3:uid="{00000000-0010-0000-0000-0000BA150000}" name="Coluna5557"/>
    <tableColumn id="5563" xr3:uid="{00000000-0010-0000-0000-0000BB150000}" name="Coluna5558"/>
    <tableColumn id="5564" xr3:uid="{00000000-0010-0000-0000-0000BC150000}" name="Coluna5559"/>
    <tableColumn id="5565" xr3:uid="{00000000-0010-0000-0000-0000BD150000}" name="Coluna5560"/>
    <tableColumn id="5566" xr3:uid="{00000000-0010-0000-0000-0000BE150000}" name="Coluna5561"/>
    <tableColumn id="5567" xr3:uid="{00000000-0010-0000-0000-0000BF150000}" name="Coluna5562"/>
    <tableColumn id="5568" xr3:uid="{00000000-0010-0000-0000-0000C0150000}" name="Coluna5563"/>
    <tableColumn id="5569" xr3:uid="{00000000-0010-0000-0000-0000C1150000}" name="Coluna5564"/>
    <tableColumn id="5570" xr3:uid="{00000000-0010-0000-0000-0000C2150000}" name="Coluna5565"/>
    <tableColumn id="5571" xr3:uid="{00000000-0010-0000-0000-0000C3150000}" name="Coluna5566"/>
    <tableColumn id="5572" xr3:uid="{00000000-0010-0000-0000-0000C4150000}" name="Coluna5567"/>
    <tableColumn id="5573" xr3:uid="{00000000-0010-0000-0000-0000C5150000}" name="Coluna5568"/>
    <tableColumn id="5574" xr3:uid="{00000000-0010-0000-0000-0000C6150000}" name="Coluna5569"/>
    <tableColumn id="5575" xr3:uid="{00000000-0010-0000-0000-0000C7150000}" name="Coluna5570"/>
    <tableColumn id="5576" xr3:uid="{00000000-0010-0000-0000-0000C8150000}" name="Coluna5571"/>
    <tableColumn id="5577" xr3:uid="{00000000-0010-0000-0000-0000C9150000}" name="Coluna5572"/>
    <tableColumn id="5578" xr3:uid="{00000000-0010-0000-0000-0000CA150000}" name="Coluna5573"/>
    <tableColumn id="5579" xr3:uid="{00000000-0010-0000-0000-0000CB150000}" name="Coluna5574"/>
    <tableColumn id="5580" xr3:uid="{00000000-0010-0000-0000-0000CC150000}" name="Coluna5575"/>
    <tableColumn id="5581" xr3:uid="{00000000-0010-0000-0000-0000CD150000}" name="Coluna5576"/>
    <tableColumn id="5582" xr3:uid="{00000000-0010-0000-0000-0000CE150000}" name="Coluna5577"/>
    <tableColumn id="5583" xr3:uid="{00000000-0010-0000-0000-0000CF150000}" name="Coluna5578"/>
    <tableColumn id="5584" xr3:uid="{00000000-0010-0000-0000-0000D0150000}" name="Coluna5579"/>
    <tableColumn id="5585" xr3:uid="{00000000-0010-0000-0000-0000D1150000}" name="Coluna5580"/>
    <tableColumn id="5586" xr3:uid="{00000000-0010-0000-0000-0000D2150000}" name="Coluna5581"/>
    <tableColumn id="5587" xr3:uid="{00000000-0010-0000-0000-0000D3150000}" name="Coluna5582"/>
    <tableColumn id="5588" xr3:uid="{00000000-0010-0000-0000-0000D4150000}" name="Coluna5583"/>
    <tableColumn id="5589" xr3:uid="{00000000-0010-0000-0000-0000D5150000}" name="Coluna5584"/>
    <tableColumn id="5590" xr3:uid="{00000000-0010-0000-0000-0000D6150000}" name="Coluna5585"/>
    <tableColumn id="5591" xr3:uid="{00000000-0010-0000-0000-0000D7150000}" name="Coluna5586"/>
    <tableColumn id="5592" xr3:uid="{00000000-0010-0000-0000-0000D8150000}" name="Coluna5587"/>
    <tableColumn id="5593" xr3:uid="{00000000-0010-0000-0000-0000D9150000}" name="Coluna5588"/>
    <tableColumn id="5594" xr3:uid="{00000000-0010-0000-0000-0000DA150000}" name="Coluna5589"/>
    <tableColumn id="5595" xr3:uid="{00000000-0010-0000-0000-0000DB150000}" name="Coluna5590"/>
    <tableColumn id="5596" xr3:uid="{00000000-0010-0000-0000-0000DC150000}" name="Coluna5591"/>
    <tableColumn id="5597" xr3:uid="{00000000-0010-0000-0000-0000DD150000}" name="Coluna5592"/>
    <tableColumn id="5598" xr3:uid="{00000000-0010-0000-0000-0000DE150000}" name="Coluna5593"/>
    <tableColumn id="5599" xr3:uid="{00000000-0010-0000-0000-0000DF150000}" name="Coluna5594"/>
    <tableColumn id="5600" xr3:uid="{00000000-0010-0000-0000-0000E0150000}" name="Coluna5595"/>
    <tableColumn id="5601" xr3:uid="{00000000-0010-0000-0000-0000E1150000}" name="Coluna5596"/>
    <tableColumn id="5602" xr3:uid="{00000000-0010-0000-0000-0000E2150000}" name="Coluna5597"/>
    <tableColumn id="5603" xr3:uid="{00000000-0010-0000-0000-0000E3150000}" name="Coluna5598"/>
    <tableColumn id="5604" xr3:uid="{00000000-0010-0000-0000-0000E4150000}" name="Coluna5599"/>
    <tableColumn id="5605" xr3:uid="{00000000-0010-0000-0000-0000E5150000}" name="Coluna5600"/>
    <tableColumn id="5606" xr3:uid="{00000000-0010-0000-0000-0000E6150000}" name="Coluna5601"/>
    <tableColumn id="5607" xr3:uid="{00000000-0010-0000-0000-0000E7150000}" name="Coluna5602"/>
    <tableColumn id="5608" xr3:uid="{00000000-0010-0000-0000-0000E8150000}" name="Coluna5603"/>
    <tableColumn id="5609" xr3:uid="{00000000-0010-0000-0000-0000E9150000}" name="Coluna5604"/>
    <tableColumn id="5610" xr3:uid="{00000000-0010-0000-0000-0000EA150000}" name="Coluna5605"/>
    <tableColumn id="5611" xr3:uid="{00000000-0010-0000-0000-0000EB150000}" name="Coluna5606"/>
    <tableColumn id="5612" xr3:uid="{00000000-0010-0000-0000-0000EC150000}" name="Coluna5607"/>
    <tableColumn id="5613" xr3:uid="{00000000-0010-0000-0000-0000ED150000}" name="Coluna5608"/>
    <tableColumn id="5614" xr3:uid="{00000000-0010-0000-0000-0000EE150000}" name="Coluna5609"/>
    <tableColumn id="5615" xr3:uid="{00000000-0010-0000-0000-0000EF150000}" name="Coluna5610"/>
    <tableColumn id="5616" xr3:uid="{00000000-0010-0000-0000-0000F0150000}" name="Coluna5611"/>
    <tableColumn id="5617" xr3:uid="{00000000-0010-0000-0000-0000F1150000}" name="Coluna5612"/>
    <tableColumn id="5618" xr3:uid="{00000000-0010-0000-0000-0000F2150000}" name="Coluna5613"/>
    <tableColumn id="5619" xr3:uid="{00000000-0010-0000-0000-0000F3150000}" name="Coluna5614"/>
    <tableColumn id="5620" xr3:uid="{00000000-0010-0000-0000-0000F4150000}" name="Coluna5615"/>
    <tableColumn id="5621" xr3:uid="{00000000-0010-0000-0000-0000F5150000}" name="Coluna5616"/>
    <tableColumn id="5622" xr3:uid="{00000000-0010-0000-0000-0000F6150000}" name="Coluna5617"/>
    <tableColumn id="5623" xr3:uid="{00000000-0010-0000-0000-0000F7150000}" name="Coluna5618"/>
    <tableColumn id="5624" xr3:uid="{00000000-0010-0000-0000-0000F8150000}" name="Coluna5619"/>
    <tableColumn id="5625" xr3:uid="{00000000-0010-0000-0000-0000F9150000}" name="Coluna5620"/>
    <tableColumn id="5626" xr3:uid="{00000000-0010-0000-0000-0000FA150000}" name="Coluna5621"/>
    <tableColumn id="5627" xr3:uid="{00000000-0010-0000-0000-0000FB150000}" name="Coluna5622"/>
    <tableColumn id="5628" xr3:uid="{00000000-0010-0000-0000-0000FC150000}" name="Coluna5623"/>
    <tableColumn id="5629" xr3:uid="{00000000-0010-0000-0000-0000FD150000}" name="Coluna5624"/>
    <tableColumn id="5630" xr3:uid="{00000000-0010-0000-0000-0000FE150000}" name="Coluna5625"/>
    <tableColumn id="5631" xr3:uid="{00000000-0010-0000-0000-0000FF150000}" name="Coluna5626"/>
    <tableColumn id="5632" xr3:uid="{00000000-0010-0000-0000-000000160000}" name="Coluna5627"/>
    <tableColumn id="5633" xr3:uid="{00000000-0010-0000-0000-000001160000}" name="Coluna5628"/>
    <tableColumn id="5634" xr3:uid="{00000000-0010-0000-0000-000002160000}" name="Coluna5629"/>
    <tableColumn id="5635" xr3:uid="{00000000-0010-0000-0000-000003160000}" name="Coluna5630"/>
    <tableColumn id="5636" xr3:uid="{00000000-0010-0000-0000-000004160000}" name="Coluna5631"/>
    <tableColumn id="5637" xr3:uid="{00000000-0010-0000-0000-000005160000}" name="Coluna5632"/>
    <tableColumn id="5638" xr3:uid="{00000000-0010-0000-0000-000006160000}" name="Coluna5633"/>
    <tableColumn id="5639" xr3:uid="{00000000-0010-0000-0000-000007160000}" name="Coluna5634"/>
    <tableColumn id="5640" xr3:uid="{00000000-0010-0000-0000-000008160000}" name="Coluna5635"/>
    <tableColumn id="5641" xr3:uid="{00000000-0010-0000-0000-000009160000}" name="Coluna5636"/>
    <tableColumn id="5642" xr3:uid="{00000000-0010-0000-0000-00000A160000}" name="Coluna5637"/>
    <tableColumn id="5643" xr3:uid="{00000000-0010-0000-0000-00000B160000}" name="Coluna5638"/>
    <tableColumn id="5644" xr3:uid="{00000000-0010-0000-0000-00000C160000}" name="Coluna5639"/>
    <tableColumn id="5645" xr3:uid="{00000000-0010-0000-0000-00000D160000}" name="Coluna5640"/>
    <tableColumn id="5646" xr3:uid="{00000000-0010-0000-0000-00000E160000}" name="Coluna5641"/>
    <tableColumn id="5647" xr3:uid="{00000000-0010-0000-0000-00000F160000}" name="Coluna5642"/>
    <tableColumn id="5648" xr3:uid="{00000000-0010-0000-0000-000010160000}" name="Coluna5643"/>
    <tableColumn id="5649" xr3:uid="{00000000-0010-0000-0000-000011160000}" name="Coluna5644"/>
    <tableColumn id="5650" xr3:uid="{00000000-0010-0000-0000-000012160000}" name="Coluna5645"/>
    <tableColumn id="5651" xr3:uid="{00000000-0010-0000-0000-000013160000}" name="Coluna5646"/>
    <tableColumn id="5652" xr3:uid="{00000000-0010-0000-0000-000014160000}" name="Coluna5647"/>
    <tableColumn id="5653" xr3:uid="{00000000-0010-0000-0000-000015160000}" name="Coluna5648"/>
    <tableColumn id="5654" xr3:uid="{00000000-0010-0000-0000-000016160000}" name="Coluna5649"/>
    <tableColumn id="5655" xr3:uid="{00000000-0010-0000-0000-000017160000}" name="Coluna5650"/>
    <tableColumn id="5656" xr3:uid="{00000000-0010-0000-0000-000018160000}" name="Coluna5651"/>
    <tableColumn id="5657" xr3:uid="{00000000-0010-0000-0000-000019160000}" name="Coluna5652"/>
    <tableColumn id="5658" xr3:uid="{00000000-0010-0000-0000-00001A160000}" name="Coluna5653"/>
    <tableColumn id="5659" xr3:uid="{00000000-0010-0000-0000-00001B160000}" name="Coluna5654"/>
    <tableColumn id="5660" xr3:uid="{00000000-0010-0000-0000-00001C160000}" name="Coluna5655"/>
    <tableColumn id="5661" xr3:uid="{00000000-0010-0000-0000-00001D160000}" name="Coluna5656"/>
    <tableColumn id="5662" xr3:uid="{00000000-0010-0000-0000-00001E160000}" name="Coluna5657"/>
    <tableColumn id="5663" xr3:uid="{00000000-0010-0000-0000-00001F160000}" name="Coluna5658"/>
    <tableColumn id="5664" xr3:uid="{00000000-0010-0000-0000-000020160000}" name="Coluna5659"/>
    <tableColumn id="5665" xr3:uid="{00000000-0010-0000-0000-000021160000}" name="Coluna5660"/>
    <tableColumn id="5666" xr3:uid="{00000000-0010-0000-0000-000022160000}" name="Coluna5661"/>
    <tableColumn id="5667" xr3:uid="{00000000-0010-0000-0000-000023160000}" name="Coluna5662"/>
    <tableColumn id="5668" xr3:uid="{00000000-0010-0000-0000-000024160000}" name="Coluna5663"/>
    <tableColumn id="5669" xr3:uid="{00000000-0010-0000-0000-000025160000}" name="Coluna5664"/>
    <tableColumn id="5670" xr3:uid="{00000000-0010-0000-0000-000026160000}" name="Coluna5665"/>
    <tableColumn id="5671" xr3:uid="{00000000-0010-0000-0000-000027160000}" name="Coluna5666"/>
    <tableColumn id="5672" xr3:uid="{00000000-0010-0000-0000-000028160000}" name="Coluna5667"/>
    <tableColumn id="5673" xr3:uid="{00000000-0010-0000-0000-000029160000}" name="Coluna5668"/>
    <tableColumn id="5674" xr3:uid="{00000000-0010-0000-0000-00002A160000}" name="Coluna5669"/>
    <tableColumn id="5675" xr3:uid="{00000000-0010-0000-0000-00002B160000}" name="Coluna5670"/>
    <tableColumn id="5676" xr3:uid="{00000000-0010-0000-0000-00002C160000}" name="Coluna5671"/>
    <tableColumn id="5677" xr3:uid="{00000000-0010-0000-0000-00002D160000}" name="Coluna5672"/>
    <tableColumn id="5678" xr3:uid="{00000000-0010-0000-0000-00002E160000}" name="Coluna5673"/>
    <tableColumn id="5679" xr3:uid="{00000000-0010-0000-0000-00002F160000}" name="Coluna5674"/>
    <tableColumn id="5680" xr3:uid="{00000000-0010-0000-0000-000030160000}" name="Coluna5675"/>
    <tableColumn id="5681" xr3:uid="{00000000-0010-0000-0000-000031160000}" name="Coluna5676"/>
    <tableColumn id="5682" xr3:uid="{00000000-0010-0000-0000-000032160000}" name="Coluna5677"/>
    <tableColumn id="5683" xr3:uid="{00000000-0010-0000-0000-000033160000}" name="Coluna5678"/>
    <tableColumn id="5684" xr3:uid="{00000000-0010-0000-0000-000034160000}" name="Coluna5679"/>
    <tableColumn id="5685" xr3:uid="{00000000-0010-0000-0000-000035160000}" name="Coluna5680"/>
    <tableColumn id="5686" xr3:uid="{00000000-0010-0000-0000-000036160000}" name="Coluna5681"/>
    <tableColumn id="5687" xr3:uid="{00000000-0010-0000-0000-000037160000}" name="Coluna5682"/>
    <tableColumn id="5688" xr3:uid="{00000000-0010-0000-0000-000038160000}" name="Coluna5683"/>
    <tableColumn id="5689" xr3:uid="{00000000-0010-0000-0000-000039160000}" name="Coluna5684"/>
    <tableColumn id="5690" xr3:uid="{00000000-0010-0000-0000-00003A160000}" name="Coluna5685"/>
    <tableColumn id="5691" xr3:uid="{00000000-0010-0000-0000-00003B160000}" name="Coluna5686"/>
    <tableColumn id="5692" xr3:uid="{00000000-0010-0000-0000-00003C160000}" name="Coluna5687"/>
    <tableColumn id="5693" xr3:uid="{00000000-0010-0000-0000-00003D160000}" name="Coluna5688"/>
    <tableColumn id="5694" xr3:uid="{00000000-0010-0000-0000-00003E160000}" name="Coluna5689"/>
    <tableColumn id="5695" xr3:uid="{00000000-0010-0000-0000-00003F160000}" name="Coluna5690"/>
    <tableColumn id="5696" xr3:uid="{00000000-0010-0000-0000-000040160000}" name="Coluna5691"/>
    <tableColumn id="5697" xr3:uid="{00000000-0010-0000-0000-000041160000}" name="Coluna5692"/>
    <tableColumn id="5698" xr3:uid="{00000000-0010-0000-0000-000042160000}" name="Coluna5693"/>
    <tableColumn id="5699" xr3:uid="{00000000-0010-0000-0000-000043160000}" name="Coluna5694"/>
    <tableColumn id="5700" xr3:uid="{00000000-0010-0000-0000-000044160000}" name="Coluna5695"/>
    <tableColumn id="5701" xr3:uid="{00000000-0010-0000-0000-000045160000}" name="Coluna5696"/>
    <tableColumn id="5702" xr3:uid="{00000000-0010-0000-0000-000046160000}" name="Coluna5697"/>
    <tableColumn id="5703" xr3:uid="{00000000-0010-0000-0000-000047160000}" name="Coluna5698"/>
    <tableColumn id="5704" xr3:uid="{00000000-0010-0000-0000-000048160000}" name="Coluna5699"/>
    <tableColumn id="5705" xr3:uid="{00000000-0010-0000-0000-000049160000}" name="Coluna5700"/>
    <tableColumn id="5706" xr3:uid="{00000000-0010-0000-0000-00004A160000}" name="Coluna5701"/>
    <tableColumn id="5707" xr3:uid="{00000000-0010-0000-0000-00004B160000}" name="Coluna5702"/>
    <tableColumn id="5708" xr3:uid="{00000000-0010-0000-0000-00004C160000}" name="Coluna5703"/>
    <tableColumn id="5709" xr3:uid="{00000000-0010-0000-0000-00004D160000}" name="Coluna5704"/>
    <tableColumn id="5710" xr3:uid="{00000000-0010-0000-0000-00004E160000}" name="Coluna5705"/>
    <tableColumn id="5711" xr3:uid="{00000000-0010-0000-0000-00004F160000}" name="Coluna5706"/>
    <tableColumn id="5712" xr3:uid="{00000000-0010-0000-0000-000050160000}" name="Coluna5707"/>
    <tableColumn id="5713" xr3:uid="{00000000-0010-0000-0000-000051160000}" name="Coluna5708"/>
    <tableColumn id="5714" xr3:uid="{00000000-0010-0000-0000-000052160000}" name="Coluna5709"/>
    <tableColumn id="5715" xr3:uid="{00000000-0010-0000-0000-000053160000}" name="Coluna5710"/>
    <tableColumn id="5716" xr3:uid="{00000000-0010-0000-0000-000054160000}" name="Coluna5711"/>
    <tableColumn id="5717" xr3:uid="{00000000-0010-0000-0000-000055160000}" name="Coluna5712"/>
    <tableColumn id="5718" xr3:uid="{00000000-0010-0000-0000-000056160000}" name="Coluna5713"/>
    <tableColumn id="5719" xr3:uid="{00000000-0010-0000-0000-000057160000}" name="Coluna5714"/>
    <tableColumn id="5720" xr3:uid="{00000000-0010-0000-0000-000058160000}" name="Coluna5715"/>
    <tableColumn id="5721" xr3:uid="{00000000-0010-0000-0000-000059160000}" name="Coluna5716"/>
    <tableColumn id="5722" xr3:uid="{00000000-0010-0000-0000-00005A160000}" name="Coluna5717"/>
    <tableColumn id="5723" xr3:uid="{00000000-0010-0000-0000-00005B160000}" name="Coluna5718"/>
    <tableColumn id="5724" xr3:uid="{00000000-0010-0000-0000-00005C160000}" name="Coluna5719"/>
    <tableColumn id="5725" xr3:uid="{00000000-0010-0000-0000-00005D160000}" name="Coluna5720"/>
    <tableColumn id="5726" xr3:uid="{00000000-0010-0000-0000-00005E160000}" name="Coluna5721"/>
    <tableColumn id="5727" xr3:uid="{00000000-0010-0000-0000-00005F160000}" name="Coluna5722"/>
    <tableColumn id="5728" xr3:uid="{00000000-0010-0000-0000-000060160000}" name="Coluna5723"/>
    <tableColumn id="5729" xr3:uid="{00000000-0010-0000-0000-000061160000}" name="Coluna5724"/>
    <tableColumn id="5730" xr3:uid="{00000000-0010-0000-0000-000062160000}" name="Coluna5725"/>
    <tableColumn id="5731" xr3:uid="{00000000-0010-0000-0000-000063160000}" name="Coluna5726"/>
    <tableColumn id="5732" xr3:uid="{00000000-0010-0000-0000-000064160000}" name="Coluna5727"/>
    <tableColumn id="5733" xr3:uid="{00000000-0010-0000-0000-000065160000}" name="Coluna5728"/>
    <tableColumn id="5734" xr3:uid="{00000000-0010-0000-0000-000066160000}" name="Coluna5729"/>
    <tableColumn id="5735" xr3:uid="{00000000-0010-0000-0000-000067160000}" name="Coluna5730"/>
    <tableColumn id="5736" xr3:uid="{00000000-0010-0000-0000-000068160000}" name="Coluna5731"/>
    <tableColumn id="5737" xr3:uid="{00000000-0010-0000-0000-000069160000}" name="Coluna5732"/>
    <tableColumn id="5738" xr3:uid="{00000000-0010-0000-0000-00006A160000}" name="Coluna5733"/>
    <tableColumn id="5739" xr3:uid="{00000000-0010-0000-0000-00006B160000}" name="Coluna5734"/>
    <tableColumn id="5740" xr3:uid="{00000000-0010-0000-0000-00006C160000}" name="Coluna5735"/>
    <tableColumn id="5741" xr3:uid="{00000000-0010-0000-0000-00006D160000}" name="Coluna5736"/>
    <tableColumn id="5742" xr3:uid="{00000000-0010-0000-0000-00006E160000}" name="Coluna5737"/>
    <tableColumn id="5743" xr3:uid="{00000000-0010-0000-0000-00006F160000}" name="Coluna5738"/>
    <tableColumn id="5744" xr3:uid="{00000000-0010-0000-0000-000070160000}" name="Coluna5739"/>
    <tableColumn id="5745" xr3:uid="{00000000-0010-0000-0000-000071160000}" name="Coluna5740"/>
    <tableColumn id="5746" xr3:uid="{00000000-0010-0000-0000-000072160000}" name="Coluna5741"/>
    <tableColumn id="5747" xr3:uid="{00000000-0010-0000-0000-000073160000}" name="Coluna5742"/>
    <tableColumn id="5748" xr3:uid="{00000000-0010-0000-0000-000074160000}" name="Coluna5743"/>
    <tableColumn id="5749" xr3:uid="{00000000-0010-0000-0000-000075160000}" name="Coluna5744"/>
    <tableColumn id="5750" xr3:uid="{00000000-0010-0000-0000-000076160000}" name="Coluna5745"/>
    <tableColumn id="5751" xr3:uid="{00000000-0010-0000-0000-000077160000}" name="Coluna5746"/>
    <tableColumn id="5752" xr3:uid="{00000000-0010-0000-0000-000078160000}" name="Coluna5747"/>
    <tableColumn id="5753" xr3:uid="{00000000-0010-0000-0000-000079160000}" name="Coluna5748"/>
    <tableColumn id="5754" xr3:uid="{00000000-0010-0000-0000-00007A160000}" name="Coluna5749"/>
    <tableColumn id="5755" xr3:uid="{00000000-0010-0000-0000-00007B160000}" name="Coluna5750"/>
    <tableColumn id="5756" xr3:uid="{00000000-0010-0000-0000-00007C160000}" name="Coluna5751"/>
    <tableColumn id="5757" xr3:uid="{00000000-0010-0000-0000-00007D160000}" name="Coluna5752"/>
    <tableColumn id="5758" xr3:uid="{00000000-0010-0000-0000-00007E160000}" name="Coluna5753"/>
    <tableColumn id="5759" xr3:uid="{00000000-0010-0000-0000-00007F160000}" name="Coluna5754"/>
    <tableColumn id="5760" xr3:uid="{00000000-0010-0000-0000-000080160000}" name="Coluna5755"/>
    <tableColumn id="5761" xr3:uid="{00000000-0010-0000-0000-000081160000}" name="Coluna5756"/>
    <tableColumn id="5762" xr3:uid="{00000000-0010-0000-0000-000082160000}" name="Coluna5757"/>
    <tableColumn id="5763" xr3:uid="{00000000-0010-0000-0000-000083160000}" name="Coluna5758"/>
    <tableColumn id="5764" xr3:uid="{00000000-0010-0000-0000-000084160000}" name="Coluna5759"/>
    <tableColumn id="5765" xr3:uid="{00000000-0010-0000-0000-000085160000}" name="Coluna5760"/>
    <tableColumn id="5766" xr3:uid="{00000000-0010-0000-0000-000086160000}" name="Coluna5761"/>
    <tableColumn id="5767" xr3:uid="{00000000-0010-0000-0000-000087160000}" name="Coluna5762"/>
    <tableColumn id="5768" xr3:uid="{00000000-0010-0000-0000-000088160000}" name="Coluna5763"/>
    <tableColumn id="5769" xr3:uid="{00000000-0010-0000-0000-000089160000}" name="Coluna5764"/>
    <tableColumn id="5770" xr3:uid="{00000000-0010-0000-0000-00008A160000}" name="Coluna5765"/>
    <tableColumn id="5771" xr3:uid="{00000000-0010-0000-0000-00008B160000}" name="Coluna5766"/>
    <tableColumn id="5772" xr3:uid="{00000000-0010-0000-0000-00008C160000}" name="Coluna5767"/>
    <tableColumn id="5773" xr3:uid="{00000000-0010-0000-0000-00008D160000}" name="Coluna5768"/>
    <tableColumn id="5774" xr3:uid="{00000000-0010-0000-0000-00008E160000}" name="Coluna5769"/>
    <tableColumn id="5775" xr3:uid="{00000000-0010-0000-0000-00008F160000}" name="Coluna5770"/>
    <tableColumn id="5776" xr3:uid="{00000000-0010-0000-0000-000090160000}" name="Coluna5771"/>
    <tableColumn id="5777" xr3:uid="{00000000-0010-0000-0000-000091160000}" name="Coluna5772"/>
    <tableColumn id="5778" xr3:uid="{00000000-0010-0000-0000-000092160000}" name="Coluna5773"/>
    <tableColumn id="5779" xr3:uid="{00000000-0010-0000-0000-000093160000}" name="Coluna5774"/>
    <tableColumn id="5780" xr3:uid="{00000000-0010-0000-0000-000094160000}" name="Coluna5775"/>
    <tableColumn id="5781" xr3:uid="{00000000-0010-0000-0000-000095160000}" name="Coluna5776"/>
    <tableColumn id="5782" xr3:uid="{00000000-0010-0000-0000-000096160000}" name="Coluna5777"/>
    <tableColumn id="5783" xr3:uid="{00000000-0010-0000-0000-000097160000}" name="Coluna5778"/>
    <tableColumn id="5784" xr3:uid="{00000000-0010-0000-0000-000098160000}" name="Coluna5779"/>
    <tableColumn id="5785" xr3:uid="{00000000-0010-0000-0000-000099160000}" name="Coluna5780"/>
    <tableColumn id="5786" xr3:uid="{00000000-0010-0000-0000-00009A160000}" name="Coluna5781"/>
    <tableColumn id="5787" xr3:uid="{00000000-0010-0000-0000-00009B160000}" name="Coluna5782"/>
    <tableColumn id="5788" xr3:uid="{00000000-0010-0000-0000-00009C160000}" name="Coluna5783"/>
    <tableColumn id="5789" xr3:uid="{00000000-0010-0000-0000-00009D160000}" name="Coluna5784"/>
    <tableColumn id="5790" xr3:uid="{00000000-0010-0000-0000-00009E160000}" name="Coluna5785"/>
    <tableColumn id="5791" xr3:uid="{00000000-0010-0000-0000-00009F160000}" name="Coluna5786"/>
    <tableColumn id="5792" xr3:uid="{00000000-0010-0000-0000-0000A0160000}" name="Coluna5787"/>
    <tableColumn id="5793" xr3:uid="{00000000-0010-0000-0000-0000A1160000}" name="Coluna5788"/>
    <tableColumn id="5794" xr3:uid="{00000000-0010-0000-0000-0000A2160000}" name="Coluna5789"/>
    <tableColumn id="5795" xr3:uid="{00000000-0010-0000-0000-0000A3160000}" name="Coluna5790"/>
    <tableColumn id="5796" xr3:uid="{00000000-0010-0000-0000-0000A4160000}" name="Coluna5791"/>
    <tableColumn id="5797" xr3:uid="{00000000-0010-0000-0000-0000A5160000}" name="Coluna5792"/>
    <tableColumn id="5798" xr3:uid="{00000000-0010-0000-0000-0000A6160000}" name="Coluna5793"/>
    <tableColumn id="5799" xr3:uid="{00000000-0010-0000-0000-0000A7160000}" name="Coluna5794"/>
    <tableColumn id="5800" xr3:uid="{00000000-0010-0000-0000-0000A8160000}" name="Coluna5795"/>
    <tableColumn id="5801" xr3:uid="{00000000-0010-0000-0000-0000A9160000}" name="Coluna5796"/>
    <tableColumn id="5802" xr3:uid="{00000000-0010-0000-0000-0000AA160000}" name="Coluna5797"/>
    <tableColumn id="5803" xr3:uid="{00000000-0010-0000-0000-0000AB160000}" name="Coluna5798"/>
    <tableColumn id="5804" xr3:uid="{00000000-0010-0000-0000-0000AC160000}" name="Coluna5799"/>
    <tableColumn id="5805" xr3:uid="{00000000-0010-0000-0000-0000AD160000}" name="Coluna5800"/>
    <tableColumn id="5806" xr3:uid="{00000000-0010-0000-0000-0000AE160000}" name="Coluna5801"/>
    <tableColumn id="5807" xr3:uid="{00000000-0010-0000-0000-0000AF160000}" name="Coluna5802"/>
    <tableColumn id="5808" xr3:uid="{00000000-0010-0000-0000-0000B0160000}" name="Coluna5803"/>
    <tableColumn id="5809" xr3:uid="{00000000-0010-0000-0000-0000B1160000}" name="Coluna5804"/>
    <tableColumn id="5810" xr3:uid="{00000000-0010-0000-0000-0000B2160000}" name="Coluna5805"/>
    <tableColumn id="5811" xr3:uid="{00000000-0010-0000-0000-0000B3160000}" name="Coluna5806"/>
    <tableColumn id="5812" xr3:uid="{00000000-0010-0000-0000-0000B4160000}" name="Coluna5807"/>
    <tableColumn id="5813" xr3:uid="{00000000-0010-0000-0000-0000B5160000}" name="Coluna5808"/>
    <tableColumn id="5814" xr3:uid="{00000000-0010-0000-0000-0000B6160000}" name="Coluna5809"/>
    <tableColumn id="5815" xr3:uid="{00000000-0010-0000-0000-0000B7160000}" name="Coluna5810"/>
    <tableColumn id="5816" xr3:uid="{00000000-0010-0000-0000-0000B8160000}" name="Coluna5811"/>
    <tableColumn id="5817" xr3:uid="{00000000-0010-0000-0000-0000B9160000}" name="Coluna5812"/>
    <tableColumn id="5818" xr3:uid="{00000000-0010-0000-0000-0000BA160000}" name="Coluna5813"/>
    <tableColumn id="5819" xr3:uid="{00000000-0010-0000-0000-0000BB160000}" name="Coluna5814"/>
    <tableColumn id="5820" xr3:uid="{00000000-0010-0000-0000-0000BC160000}" name="Coluna5815"/>
    <tableColumn id="5821" xr3:uid="{00000000-0010-0000-0000-0000BD160000}" name="Coluna5816"/>
    <tableColumn id="5822" xr3:uid="{00000000-0010-0000-0000-0000BE160000}" name="Coluna5817"/>
    <tableColumn id="5823" xr3:uid="{00000000-0010-0000-0000-0000BF160000}" name="Coluna5818"/>
    <tableColumn id="5824" xr3:uid="{00000000-0010-0000-0000-0000C0160000}" name="Coluna5819"/>
    <tableColumn id="5825" xr3:uid="{00000000-0010-0000-0000-0000C1160000}" name="Coluna5820"/>
    <tableColumn id="5826" xr3:uid="{00000000-0010-0000-0000-0000C2160000}" name="Coluna5821"/>
    <tableColumn id="5827" xr3:uid="{00000000-0010-0000-0000-0000C3160000}" name="Coluna5822"/>
    <tableColumn id="5828" xr3:uid="{00000000-0010-0000-0000-0000C4160000}" name="Coluna5823"/>
    <tableColumn id="5829" xr3:uid="{00000000-0010-0000-0000-0000C5160000}" name="Coluna5824"/>
    <tableColumn id="5830" xr3:uid="{00000000-0010-0000-0000-0000C6160000}" name="Coluna5825"/>
    <tableColumn id="5831" xr3:uid="{00000000-0010-0000-0000-0000C7160000}" name="Coluna5826"/>
    <tableColumn id="5832" xr3:uid="{00000000-0010-0000-0000-0000C8160000}" name="Coluna5827"/>
    <tableColumn id="5833" xr3:uid="{00000000-0010-0000-0000-0000C9160000}" name="Coluna5828"/>
    <tableColumn id="5834" xr3:uid="{00000000-0010-0000-0000-0000CA160000}" name="Coluna5829"/>
    <tableColumn id="5835" xr3:uid="{00000000-0010-0000-0000-0000CB160000}" name="Coluna5830"/>
    <tableColumn id="5836" xr3:uid="{00000000-0010-0000-0000-0000CC160000}" name="Coluna5831"/>
    <tableColumn id="5837" xr3:uid="{00000000-0010-0000-0000-0000CD160000}" name="Coluna5832"/>
    <tableColumn id="5838" xr3:uid="{00000000-0010-0000-0000-0000CE160000}" name="Coluna5833"/>
    <tableColumn id="5839" xr3:uid="{00000000-0010-0000-0000-0000CF160000}" name="Coluna5834"/>
    <tableColumn id="5840" xr3:uid="{00000000-0010-0000-0000-0000D0160000}" name="Coluna5835"/>
    <tableColumn id="5841" xr3:uid="{00000000-0010-0000-0000-0000D1160000}" name="Coluna5836"/>
    <tableColumn id="5842" xr3:uid="{00000000-0010-0000-0000-0000D2160000}" name="Coluna5837"/>
    <tableColumn id="5843" xr3:uid="{00000000-0010-0000-0000-0000D3160000}" name="Coluna5838"/>
    <tableColumn id="5844" xr3:uid="{00000000-0010-0000-0000-0000D4160000}" name="Coluna5839"/>
    <tableColumn id="5845" xr3:uid="{00000000-0010-0000-0000-0000D5160000}" name="Coluna5840"/>
    <tableColumn id="5846" xr3:uid="{00000000-0010-0000-0000-0000D6160000}" name="Coluna5841"/>
    <tableColumn id="5847" xr3:uid="{00000000-0010-0000-0000-0000D7160000}" name="Coluna5842"/>
    <tableColumn id="5848" xr3:uid="{00000000-0010-0000-0000-0000D8160000}" name="Coluna5843"/>
    <tableColumn id="5849" xr3:uid="{00000000-0010-0000-0000-0000D9160000}" name="Coluna5844"/>
    <tableColumn id="5850" xr3:uid="{00000000-0010-0000-0000-0000DA160000}" name="Coluna5845"/>
    <tableColumn id="5851" xr3:uid="{00000000-0010-0000-0000-0000DB160000}" name="Coluna5846"/>
    <tableColumn id="5852" xr3:uid="{00000000-0010-0000-0000-0000DC160000}" name="Coluna5847"/>
    <tableColumn id="5853" xr3:uid="{00000000-0010-0000-0000-0000DD160000}" name="Coluna5848"/>
    <tableColumn id="5854" xr3:uid="{00000000-0010-0000-0000-0000DE160000}" name="Coluna5849"/>
    <tableColumn id="5855" xr3:uid="{00000000-0010-0000-0000-0000DF160000}" name="Coluna5850"/>
    <tableColumn id="5856" xr3:uid="{00000000-0010-0000-0000-0000E0160000}" name="Coluna5851"/>
    <tableColumn id="5857" xr3:uid="{00000000-0010-0000-0000-0000E1160000}" name="Coluna5852"/>
    <tableColumn id="5858" xr3:uid="{00000000-0010-0000-0000-0000E2160000}" name="Coluna5853"/>
    <tableColumn id="5859" xr3:uid="{00000000-0010-0000-0000-0000E3160000}" name="Coluna5854"/>
    <tableColumn id="5860" xr3:uid="{00000000-0010-0000-0000-0000E4160000}" name="Coluna5855"/>
    <tableColumn id="5861" xr3:uid="{00000000-0010-0000-0000-0000E5160000}" name="Coluna5856"/>
    <tableColumn id="5862" xr3:uid="{00000000-0010-0000-0000-0000E6160000}" name="Coluna5857"/>
    <tableColumn id="5863" xr3:uid="{00000000-0010-0000-0000-0000E7160000}" name="Coluna5858"/>
    <tableColumn id="5864" xr3:uid="{00000000-0010-0000-0000-0000E8160000}" name="Coluna5859"/>
    <tableColumn id="5865" xr3:uid="{00000000-0010-0000-0000-0000E9160000}" name="Coluna5860"/>
    <tableColumn id="5866" xr3:uid="{00000000-0010-0000-0000-0000EA160000}" name="Coluna5861"/>
    <tableColumn id="5867" xr3:uid="{00000000-0010-0000-0000-0000EB160000}" name="Coluna5862"/>
    <tableColumn id="5868" xr3:uid="{00000000-0010-0000-0000-0000EC160000}" name="Coluna5863"/>
    <tableColumn id="5869" xr3:uid="{00000000-0010-0000-0000-0000ED160000}" name="Coluna5864"/>
    <tableColumn id="5870" xr3:uid="{00000000-0010-0000-0000-0000EE160000}" name="Coluna5865"/>
    <tableColumn id="5871" xr3:uid="{00000000-0010-0000-0000-0000EF160000}" name="Coluna5866"/>
    <tableColumn id="5872" xr3:uid="{00000000-0010-0000-0000-0000F0160000}" name="Coluna5867"/>
    <tableColumn id="5873" xr3:uid="{00000000-0010-0000-0000-0000F1160000}" name="Coluna5868"/>
    <tableColumn id="5874" xr3:uid="{00000000-0010-0000-0000-0000F2160000}" name="Coluna5869"/>
    <tableColumn id="5875" xr3:uid="{00000000-0010-0000-0000-0000F3160000}" name="Coluna5870"/>
    <tableColumn id="5876" xr3:uid="{00000000-0010-0000-0000-0000F4160000}" name="Coluna5871"/>
    <tableColumn id="5877" xr3:uid="{00000000-0010-0000-0000-0000F5160000}" name="Coluna5872"/>
    <tableColumn id="5878" xr3:uid="{00000000-0010-0000-0000-0000F6160000}" name="Coluna5873"/>
    <tableColumn id="5879" xr3:uid="{00000000-0010-0000-0000-0000F7160000}" name="Coluna5874"/>
    <tableColumn id="5880" xr3:uid="{00000000-0010-0000-0000-0000F8160000}" name="Coluna5875"/>
    <tableColumn id="5881" xr3:uid="{00000000-0010-0000-0000-0000F9160000}" name="Coluna5876"/>
    <tableColumn id="5882" xr3:uid="{00000000-0010-0000-0000-0000FA160000}" name="Coluna5877"/>
    <tableColumn id="5883" xr3:uid="{00000000-0010-0000-0000-0000FB160000}" name="Coluna5878"/>
    <tableColumn id="5884" xr3:uid="{00000000-0010-0000-0000-0000FC160000}" name="Coluna5879"/>
    <tableColumn id="5885" xr3:uid="{00000000-0010-0000-0000-0000FD160000}" name="Coluna5880"/>
    <tableColumn id="5886" xr3:uid="{00000000-0010-0000-0000-0000FE160000}" name="Coluna5881"/>
    <tableColumn id="5887" xr3:uid="{00000000-0010-0000-0000-0000FF160000}" name="Coluna5882"/>
    <tableColumn id="5888" xr3:uid="{00000000-0010-0000-0000-000000170000}" name="Coluna5883"/>
    <tableColumn id="5889" xr3:uid="{00000000-0010-0000-0000-000001170000}" name="Coluna5884"/>
    <tableColumn id="5890" xr3:uid="{00000000-0010-0000-0000-000002170000}" name="Coluna5885"/>
    <tableColumn id="5891" xr3:uid="{00000000-0010-0000-0000-000003170000}" name="Coluna5886"/>
    <tableColumn id="5892" xr3:uid="{00000000-0010-0000-0000-000004170000}" name="Coluna5887"/>
    <tableColumn id="5893" xr3:uid="{00000000-0010-0000-0000-000005170000}" name="Coluna5888"/>
    <tableColumn id="5894" xr3:uid="{00000000-0010-0000-0000-000006170000}" name="Coluna5889"/>
    <tableColumn id="5895" xr3:uid="{00000000-0010-0000-0000-000007170000}" name="Coluna5890"/>
    <tableColumn id="5896" xr3:uid="{00000000-0010-0000-0000-000008170000}" name="Coluna5891"/>
    <tableColumn id="5897" xr3:uid="{00000000-0010-0000-0000-000009170000}" name="Coluna5892"/>
    <tableColumn id="5898" xr3:uid="{00000000-0010-0000-0000-00000A170000}" name="Coluna5893"/>
    <tableColumn id="5899" xr3:uid="{00000000-0010-0000-0000-00000B170000}" name="Coluna5894"/>
    <tableColumn id="5900" xr3:uid="{00000000-0010-0000-0000-00000C170000}" name="Coluna5895"/>
    <tableColumn id="5901" xr3:uid="{00000000-0010-0000-0000-00000D170000}" name="Coluna5896"/>
    <tableColumn id="5902" xr3:uid="{00000000-0010-0000-0000-00000E170000}" name="Coluna5897"/>
    <tableColumn id="5903" xr3:uid="{00000000-0010-0000-0000-00000F170000}" name="Coluna5898"/>
    <tableColumn id="5904" xr3:uid="{00000000-0010-0000-0000-000010170000}" name="Coluna5899"/>
    <tableColumn id="5905" xr3:uid="{00000000-0010-0000-0000-000011170000}" name="Coluna5900"/>
    <tableColumn id="5906" xr3:uid="{00000000-0010-0000-0000-000012170000}" name="Coluna5901"/>
    <tableColumn id="5907" xr3:uid="{00000000-0010-0000-0000-000013170000}" name="Coluna5902"/>
    <tableColumn id="5908" xr3:uid="{00000000-0010-0000-0000-000014170000}" name="Coluna5903"/>
    <tableColumn id="5909" xr3:uid="{00000000-0010-0000-0000-000015170000}" name="Coluna5904"/>
    <tableColumn id="5910" xr3:uid="{00000000-0010-0000-0000-000016170000}" name="Coluna5905"/>
    <tableColumn id="5911" xr3:uid="{00000000-0010-0000-0000-000017170000}" name="Coluna5906"/>
    <tableColumn id="5912" xr3:uid="{00000000-0010-0000-0000-000018170000}" name="Coluna5907"/>
    <tableColumn id="5913" xr3:uid="{00000000-0010-0000-0000-000019170000}" name="Coluna5908"/>
    <tableColumn id="5914" xr3:uid="{00000000-0010-0000-0000-00001A170000}" name="Coluna5909"/>
    <tableColumn id="5915" xr3:uid="{00000000-0010-0000-0000-00001B170000}" name="Coluna5910"/>
    <tableColumn id="5916" xr3:uid="{00000000-0010-0000-0000-00001C170000}" name="Coluna5911"/>
    <tableColumn id="5917" xr3:uid="{00000000-0010-0000-0000-00001D170000}" name="Coluna5912"/>
    <tableColumn id="5918" xr3:uid="{00000000-0010-0000-0000-00001E170000}" name="Coluna5913"/>
    <tableColumn id="5919" xr3:uid="{00000000-0010-0000-0000-00001F170000}" name="Coluna5914"/>
    <tableColumn id="5920" xr3:uid="{00000000-0010-0000-0000-000020170000}" name="Coluna5915"/>
    <tableColumn id="5921" xr3:uid="{00000000-0010-0000-0000-000021170000}" name="Coluna5916"/>
    <tableColumn id="5922" xr3:uid="{00000000-0010-0000-0000-000022170000}" name="Coluna5917"/>
    <tableColumn id="5923" xr3:uid="{00000000-0010-0000-0000-000023170000}" name="Coluna5918"/>
    <tableColumn id="5924" xr3:uid="{00000000-0010-0000-0000-000024170000}" name="Coluna5919"/>
    <tableColumn id="5925" xr3:uid="{00000000-0010-0000-0000-000025170000}" name="Coluna5920"/>
    <tableColumn id="5926" xr3:uid="{00000000-0010-0000-0000-000026170000}" name="Coluna5921"/>
    <tableColumn id="5927" xr3:uid="{00000000-0010-0000-0000-000027170000}" name="Coluna5922"/>
    <tableColumn id="5928" xr3:uid="{00000000-0010-0000-0000-000028170000}" name="Coluna5923"/>
    <tableColumn id="5929" xr3:uid="{00000000-0010-0000-0000-000029170000}" name="Coluna5924"/>
    <tableColumn id="5930" xr3:uid="{00000000-0010-0000-0000-00002A170000}" name="Coluna5925"/>
    <tableColumn id="5931" xr3:uid="{00000000-0010-0000-0000-00002B170000}" name="Coluna5926"/>
    <tableColumn id="5932" xr3:uid="{00000000-0010-0000-0000-00002C170000}" name="Coluna5927"/>
    <tableColumn id="5933" xr3:uid="{00000000-0010-0000-0000-00002D170000}" name="Coluna5928"/>
    <tableColumn id="5934" xr3:uid="{00000000-0010-0000-0000-00002E170000}" name="Coluna5929"/>
    <tableColumn id="5935" xr3:uid="{00000000-0010-0000-0000-00002F170000}" name="Coluna5930"/>
    <tableColumn id="5936" xr3:uid="{00000000-0010-0000-0000-000030170000}" name="Coluna5931"/>
    <tableColumn id="5937" xr3:uid="{00000000-0010-0000-0000-000031170000}" name="Coluna5932"/>
    <tableColumn id="5938" xr3:uid="{00000000-0010-0000-0000-000032170000}" name="Coluna5933"/>
    <tableColumn id="5939" xr3:uid="{00000000-0010-0000-0000-000033170000}" name="Coluna5934"/>
    <tableColumn id="5940" xr3:uid="{00000000-0010-0000-0000-000034170000}" name="Coluna5935"/>
    <tableColumn id="5941" xr3:uid="{00000000-0010-0000-0000-000035170000}" name="Coluna5936"/>
    <tableColumn id="5942" xr3:uid="{00000000-0010-0000-0000-000036170000}" name="Coluna5937"/>
    <tableColumn id="5943" xr3:uid="{00000000-0010-0000-0000-000037170000}" name="Coluna5938"/>
    <tableColumn id="5944" xr3:uid="{00000000-0010-0000-0000-000038170000}" name="Coluna5939"/>
    <tableColumn id="5945" xr3:uid="{00000000-0010-0000-0000-000039170000}" name="Coluna5940"/>
    <tableColumn id="5946" xr3:uid="{00000000-0010-0000-0000-00003A170000}" name="Coluna5941"/>
    <tableColumn id="5947" xr3:uid="{00000000-0010-0000-0000-00003B170000}" name="Coluna5942"/>
    <tableColumn id="5948" xr3:uid="{00000000-0010-0000-0000-00003C170000}" name="Coluna5943"/>
    <tableColumn id="5949" xr3:uid="{00000000-0010-0000-0000-00003D170000}" name="Coluna5944"/>
    <tableColumn id="5950" xr3:uid="{00000000-0010-0000-0000-00003E170000}" name="Coluna5945"/>
    <tableColumn id="5951" xr3:uid="{00000000-0010-0000-0000-00003F170000}" name="Coluna5946"/>
    <tableColumn id="5952" xr3:uid="{00000000-0010-0000-0000-000040170000}" name="Coluna5947"/>
    <tableColumn id="5953" xr3:uid="{00000000-0010-0000-0000-000041170000}" name="Coluna5948"/>
    <tableColumn id="5954" xr3:uid="{00000000-0010-0000-0000-000042170000}" name="Coluna5949"/>
    <tableColumn id="5955" xr3:uid="{00000000-0010-0000-0000-000043170000}" name="Coluna5950"/>
    <tableColumn id="5956" xr3:uid="{00000000-0010-0000-0000-000044170000}" name="Coluna5951"/>
    <tableColumn id="5957" xr3:uid="{00000000-0010-0000-0000-000045170000}" name="Coluna5952"/>
    <tableColumn id="5958" xr3:uid="{00000000-0010-0000-0000-000046170000}" name="Coluna5953"/>
    <tableColumn id="5959" xr3:uid="{00000000-0010-0000-0000-000047170000}" name="Coluna5954"/>
    <tableColumn id="5960" xr3:uid="{00000000-0010-0000-0000-000048170000}" name="Coluna5955"/>
    <tableColumn id="5961" xr3:uid="{00000000-0010-0000-0000-000049170000}" name="Coluna5956"/>
    <tableColumn id="5962" xr3:uid="{00000000-0010-0000-0000-00004A170000}" name="Coluna5957"/>
    <tableColumn id="5963" xr3:uid="{00000000-0010-0000-0000-00004B170000}" name="Coluna5958"/>
    <tableColumn id="5964" xr3:uid="{00000000-0010-0000-0000-00004C170000}" name="Coluna5959"/>
    <tableColumn id="5965" xr3:uid="{00000000-0010-0000-0000-00004D170000}" name="Coluna5960"/>
    <tableColumn id="5966" xr3:uid="{00000000-0010-0000-0000-00004E170000}" name="Coluna5961"/>
    <tableColumn id="5967" xr3:uid="{00000000-0010-0000-0000-00004F170000}" name="Coluna5962"/>
    <tableColumn id="5968" xr3:uid="{00000000-0010-0000-0000-000050170000}" name="Coluna5963"/>
    <tableColumn id="5969" xr3:uid="{00000000-0010-0000-0000-000051170000}" name="Coluna5964"/>
    <tableColumn id="5970" xr3:uid="{00000000-0010-0000-0000-000052170000}" name="Coluna5965"/>
    <tableColumn id="5971" xr3:uid="{00000000-0010-0000-0000-000053170000}" name="Coluna5966"/>
    <tableColumn id="5972" xr3:uid="{00000000-0010-0000-0000-000054170000}" name="Coluna5967"/>
    <tableColumn id="5973" xr3:uid="{00000000-0010-0000-0000-000055170000}" name="Coluna5968"/>
    <tableColumn id="5974" xr3:uid="{00000000-0010-0000-0000-000056170000}" name="Coluna5969"/>
    <tableColumn id="5975" xr3:uid="{00000000-0010-0000-0000-000057170000}" name="Coluna5970"/>
    <tableColumn id="5976" xr3:uid="{00000000-0010-0000-0000-000058170000}" name="Coluna5971"/>
    <tableColumn id="5977" xr3:uid="{00000000-0010-0000-0000-000059170000}" name="Coluna5972"/>
    <tableColumn id="5978" xr3:uid="{00000000-0010-0000-0000-00005A170000}" name="Coluna5973"/>
    <tableColumn id="5979" xr3:uid="{00000000-0010-0000-0000-00005B170000}" name="Coluna5974"/>
    <tableColumn id="5980" xr3:uid="{00000000-0010-0000-0000-00005C170000}" name="Coluna5975"/>
    <tableColumn id="5981" xr3:uid="{00000000-0010-0000-0000-00005D170000}" name="Coluna5976"/>
    <tableColumn id="5982" xr3:uid="{00000000-0010-0000-0000-00005E170000}" name="Coluna5977"/>
    <tableColumn id="5983" xr3:uid="{00000000-0010-0000-0000-00005F170000}" name="Coluna5978"/>
    <tableColumn id="5984" xr3:uid="{00000000-0010-0000-0000-000060170000}" name="Coluna5979"/>
    <tableColumn id="5985" xr3:uid="{00000000-0010-0000-0000-000061170000}" name="Coluna5980"/>
    <tableColumn id="5986" xr3:uid="{00000000-0010-0000-0000-000062170000}" name="Coluna5981"/>
    <tableColumn id="5987" xr3:uid="{00000000-0010-0000-0000-000063170000}" name="Coluna5982"/>
    <tableColumn id="5988" xr3:uid="{00000000-0010-0000-0000-000064170000}" name="Coluna5983"/>
    <tableColumn id="5989" xr3:uid="{00000000-0010-0000-0000-000065170000}" name="Coluna5984"/>
    <tableColumn id="5990" xr3:uid="{00000000-0010-0000-0000-000066170000}" name="Coluna5985"/>
    <tableColumn id="5991" xr3:uid="{00000000-0010-0000-0000-000067170000}" name="Coluna5986"/>
    <tableColumn id="5992" xr3:uid="{00000000-0010-0000-0000-000068170000}" name="Coluna5987"/>
    <tableColumn id="5993" xr3:uid="{00000000-0010-0000-0000-000069170000}" name="Coluna5988"/>
    <tableColumn id="5994" xr3:uid="{00000000-0010-0000-0000-00006A170000}" name="Coluna5989"/>
    <tableColumn id="5995" xr3:uid="{00000000-0010-0000-0000-00006B170000}" name="Coluna5990"/>
    <tableColumn id="5996" xr3:uid="{00000000-0010-0000-0000-00006C170000}" name="Coluna5991"/>
    <tableColumn id="5997" xr3:uid="{00000000-0010-0000-0000-00006D170000}" name="Coluna5992"/>
    <tableColumn id="5998" xr3:uid="{00000000-0010-0000-0000-00006E170000}" name="Coluna5993"/>
    <tableColumn id="5999" xr3:uid="{00000000-0010-0000-0000-00006F170000}" name="Coluna5994"/>
    <tableColumn id="6000" xr3:uid="{00000000-0010-0000-0000-000070170000}" name="Coluna5995"/>
    <tableColumn id="6001" xr3:uid="{00000000-0010-0000-0000-000071170000}" name="Coluna5996"/>
    <tableColumn id="6002" xr3:uid="{00000000-0010-0000-0000-000072170000}" name="Coluna5997"/>
    <tableColumn id="6003" xr3:uid="{00000000-0010-0000-0000-000073170000}" name="Coluna5998"/>
    <tableColumn id="6004" xr3:uid="{00000000-0010-0000-0000-000074170000}" name="Coluna5999"/>
    <tableColumn id="6005" xr3:uid="{00000000-0010-0000-0000-000075170000}" name="Coluna6000"/>
    <tableColumn id="6006" xr3:uid="{00000000-0010-0000-0000-000076170000}" name="Coluna6001"/>
    <tableColumn id="6007" xr3:uid="{00000000-0010-0000-0000-000077170000}" name="Coluna6002"/>
    <tableColumn id="6008" xr3:uid="{00000000-0010-0000-0000-000078170000}" name="Coluna6003"/>
    <tableColumn id="6009" xr3:uid="{00000000-0010-0000-0000-000079170000}" name="Coluna6004"/>
    <tableColumn id="6010" xr3:uid="{00000000-0010-0000-0000-00007A170000}" name="Coluna6005"/>
    <tableColumn id="6011" xr3:uid="{00000000-0010-0000-0000-00007B170000}" name="Coluna6006"/>
    <tableColumn id="6012" xr3:uid="{00000000-0010-0000-0000-00007C170000}" name="Coluna6007"/>
    <tableColumn id="6013" xr3:uid="{00000000-0010-0000-0000-00007D170000}" name="Coluna6008"/>
    <tableColumn id="6014" xr3:uid="{00000000-0010-0000-0000-00007E170000}" name="Coluna6009"/>
    <tableColumn id="6015" xr3:uid="{00000000-0010-0000-0000-00007F170000}" name="Coluna6010"/>
    <tableColumn id="6016" xr3:uid="{00000000-0010-0000-0000-000080170000}" name="Coluna6011"/>
    <tableColumn id="6017" xr3:uid="{00000000-0010-0000-0000-000081170000}" name="Coluna6012"/>
    <tableColumn id="6018" xr3:uid="{00000000-0010-0000-0000-000082170000}" name="Coluna6013"/>
    <tableColumn id="6019" xr3:uid="{00000000-0010-0000-0000-000083170000}" name="Coluna6014"/>
    <tableColumn id="6020" xr3:uid="{00000000-0010-0000-0000-000084170000}" name="Coluna6015"/>
    <tableColumn id="6021" xr3:uid="{00000000-0010-0000-0000-000085170000}" name="Coluna6016"/>
    <tableColumn id="6022" xr3:uid="{00000000-0010-0000-0000-000086170000}" name="Coluna6017"/>
    <tableColumn id="6023" xr3:uid="{00000000-0010-0000-0000-000087170000}" name="Coluna6018"/>
    <tableColumn id="6024" xr3:uid="{00000000-0010-0000-0000-000088170000}" name="Coluna6019"/>
    <tableColumn id="6025" xr3:uid="{00000000-0010-0000-0000-000089170000}" name="Coluna6020"/>
    <tableColumn id="6026" xr3:uid="{00000000-0010-0000-0000-00008A170000}" name="Coluna6021"/>
    <tableColumn id="6027" xr3:uid="{00000000-0010-0000-0000-00008B170000}" name="Coluna6022"/>
    <tableColumn id="6028" xr3:uid="{00000000-0010-0000-0000-00008C170000}" name="Coluna6023"/>
    <tableColumn id="6029" xr3:uid="{00000000-0010-0000-0000-00008D170000}" name="Coluna6024"/>
    <tableColumn id="6030" xr3:uid="{00000000-0010-0000-0000-00008E170000}" name="Coluna6025"/>
    <tableColumn id="6031" xr3:uid="{00000000-0010-0000-0000-00008F170000}" name="Coluna6026"/>
    <tableColumn id="6032" xr3:uid="{00000000-0010-0000-0000-000090170000}" name="Coluna6027"/>
    <tableColumn id="6033" xr3:uid="{00000000-0010-0000-0000-000091170000}" name="Coluna6028"/>
    <tableColumn id="6034" xr3:uid="{00000000-0010-0000-0000-000092170000}" name="Coluna6029"/>
    <tableColumn id="6035" xr3:uid="{00000000-0010-0000-0000-000093170000}" name="Coluna6030"/>
    <tableColumn id="6036" xr3:uid="{00000000-0010-0000-0000-000094170000}" name="Coluna6031"/>
    <tableColumn id="6037" xr3:uid="{00000000-0010-0000-0000-000095170000}" name="Coluna6032"/>
    <tableColumn id="6038" xr3:uid="{00000000-0010-0000-0000-000096170000}" name="Coluna6033"/>
    <tableColumn id="6039" xr3:uid="{00000000-0010-0000-0000-000097170000}" name="Coluna6034"/>
    <tableColumn id="6040" xr3:uid="{00000000-0010-0000-0000-000098170000}" name="Coluna6035"/>
    <tableColumn id="6041" xr3:uid="{00000000-0010-0000-0000-000099170000}" name="Coluna6036"/>
    <tableColumn id="6042" xr3:uid="{00000000-0010-0000-0000-00009A170000}" name="Coluna6037"/>
    <tableColumn id="6043" xr3:uid="{00000000-0010-0000-0000-00009B170000}" name="Coluna6038"/>
    <tableColumn id="6044" xr3:uid="{00000000-0010-0000-0000-00009C170000}" name="Coluna6039"/>
    <tableColumn id="6045" xr3:uid="{00000000-0010-0000-0000-00009D170000}" name="Coluna6040"/>
    <tableColumn id="6046" xr3:uid="{00000000-0010-0000-0000-00009E170000}" name="Coluna6041"/>
    <tableColumn id="6047" xr3:uid="{00000000-0010-0000-0000-00009F170000}" name="Coluna6042"/>
    <tableColumn id="6048" xr3:uid="{00000000-0010-0000-0000-0000A0170000}" name="Coluna6043"/>
    <tableColumn id="6049" xr3:uid="{00000000-0010-0000-0000-0000A1170000}" name="Coluna6044"/>
    <tableColumn id="6050" xr3:uid="{00000000-0010-0000-0000-0000A2170000}" name="Coluna6045"/>
    <tableColumn id="6051" xr3:uid="{00000000-0010-0000-0000-0000A3170000}" name="Coluna6046"/>
    <tableColumn id="6052" xr3:uid="{00000000-0010-0000-0000-0000A4170000}" name="Coluna6047"/>
    <tableColumn id="6053" xr3:uid="{00000000-0010-0000-0000-0000A5170000}" name="Coluna6048"/>
    <tableColumn id="6054" xr3:uid="{00000000-0010-0000-0000-0000A6170000}" name="Coluna6049"/>
    <tableColumn id="6055" xr3:uid="{00000000-0010-0000-0000-0000A7170000}" name="Coluna6050"/>
    <tableColumn id="6056" xr3:uid="{00000000-0010-0000-0000-0000A8170000}" name="Coluna6051"/>
    <tableColumn id="6057" xr3:uid="{00000000-0010-0000-0000-0000A9170000}" name="Coluna6052"/>
    <tableColumn id="6058" xr3:uid="{00000000-0010-0000-0000-0000AA170000}" name="Coluna6053"/>
    <tableColumn id="6059" xr3:uid="{00000000-0010-0000-0000-0000AB170000}" name="Coluna6054"/>
    <tableColumn id="6060" xr3:uid="{00000000-0010-0000-0000-0000AC170000}" name="Coluna6055"/>
    <tableColumn id="6061" xr3:uid="{00000000-0010-0000-0000-0000AD170000}" name="Coluna6056"/>
    <tableColumn id="6062" xr3:uid="{00000000-0010-0000-0000-0000AE170000}" name="Coluna6057"/>
    <tableColumn id="6063" xr3:uid="{00000000-0010-0000-0000-0000AF170000}" name="Coluna6058"/>
    <tableColumn id="6064" xr3:uid="{00000000-0010-0000-0000-0000B0170000}" name="Coluna6059"/>
    <tableColumn id="6065" xr3:uid="{00000000-0010-0000-0000-0000B1170000}" name="Coluna6060"/>
    <tableColumn id="6066" xr3:uid="{00000000-0010-0000-0000-0000B2170000}" name="Coluna6061"/>
    <tableColumn id="6067" xr3:uid="{00000000-0010-0000-0000-0000B3170000}" name="Coluna6062"/>
    <tableColumn id="6068" xr3:uid="{00000000-0010-0000-0000-0000B4170000}" name="Coluna6063"/>
    <tableColumn id="6069" xr3:uid="{00000000-0010-0000-0000-0000B5170000}" name="Coluna6064"/>
    <tableColumn id="6070" xr3:uid="{00000000-0010-0000-0000-0000B6170000}" name="Coluna6065"/>
    <tableColumn id="6071" xr3:uid="{00000000-0010-0000-0000-0000B7170000}" name="Coluna6066"/>
    <tableColumn id="6072" xr3:uid="{00000000-0010-0000-0000-0000B8170000}" name="Coluna6067"/>
    <tableColumn id="6073" xr3:uid="{00000000-0010-0000-0000-0000B9170000}" name="Coluna6068"/>
    <tableColumn id="6074" xr3:uid="{00000000-0010-0000-0000-0000BA170000}" name="Coluna6069"/>
    <tableColumn id="6075" xr3:uid="{00000000-0010-0000-0000-0000BB170000}" name="Coluna6070"/>
    <tableColumn id="6076" xr3:uid="{00000000-0010-0000-0000-0000BC170000}" name="Coluna6071"/>
    <tableColumn id="6077" xr3:uid="{00000000-0010-0000-0000-0000BD170000}" name="Coluna6072"/>
    <tableColumn id="6078" xr3:uid="{00000000-0010-0000-0000-0000BE170000}" name="Coluna6073"/>
    <tableColumn id="6079" xr3:uid="{00000000-0010-0000-0000-0000BF170000}" name="Coluna6074"/>
    <tableColumn id="6080" xr3:uid="{00000000-0010-0000-0000-0000C0170000}" name="Coluna6075"/>
    <tableColumn id="6081" xr3:uid="{00000000-0010-0000-0000-0000C1170000}" name="Coluna6076"/>
    <tableColumn id="6082" xr3:uid="{00000000-0010-0000-0000-0000C2170000}" name="Coluna6077"/>
    <tableColumn id="6083" xr3:uid="{00000000-0010-0000-0000-0000C3170000}" name="Coluna6078"/>
    <tableColumn id="6084" xr3:uid="{00000000-0010-0000-0000-0000C4170000}" name="Coluna6079"/>
    <tableColumn id="6085" xr3:uid="{00000000-0010-0000-0000-0000C5170000}" name="Coluna6080"/>
    <tableColumn id="6086" xr3:uid="{00000000-0010-0000-0000-0000C6170000}" name="Coluna6081"/>
    <tableColumn id="6087" xr3:uid="{00000000-0010-0000-0000-0000C7170000}" name="Coluna6082"/>
    <tableColumn id="6088" xr3:uid="{00000000-0010-0000-0000-0000C8170000}" name="Coluna6083"/>
    <tableColumn id="6089" xr3:uid="{00000000-0010-0000-0000-0000C9170000}" name="Coluna6084"/>
    <tableColumn id="6090" xr3:uid="{00000000-0010-0000-0000-0000CA170000}" name="Coluna6085"/>
    <tableColumn id="6091" xr3:uid="{00000000-0010-0000-0000-0000CB170000}" name="Coluna6086"/>
    <tableColumn id="6092" xr3:uid="{00000000-0010-0000-0000-0000CC170000}" name="Coluna6087"/>
    <tableColumn id="6093" xr3:uid="{00000000-0010-0000-0000-0000CD170000}" name="Coluna6088"/>
    <tableColumn id="6094" xr3:uid="{00000000-0010-0000-0000-0000CE170000}" name="Coluna6089"/>
    <tableColumn id="6095" xr3:uid="{00000000-0010-0000-0000-0000CF170000}" name="Coluna6090"/>
    <tableColumn id="6096" xr3:uid="{00000000-0010-0000-0000-0000D0170000}" name="Coluna6091"/>
    <tableColumn id="6097" xr3:uid="{00000000-0010-0000-0000-0000D1170000}" name="Coluna6092"/>
    <tableColumn id="6098" xr3:uid="{00000000-0010-0000-0000-0000D2170000}" name="Coluna6093"/>
    <tableColumn id="6099" xr3:uid="{00000000-0010-0000-0000-0000D3170000}" name="Coluna6094"/>
    <tableColumn id="6100" xr3:uid="{00000000-0010-0000-0000-0000D4170000}" name="Coluna6095"/>
    <tableColumn id="6101" xr3:uid="{00000000-0010-0000-0000-0000D5170000}" name="Coluna6096"/>
    <tableColumn id="6102" xr3:uid="{00000000-0010-0000-0000-0000D6170000}" name="Coluna6097"/>
    <tableColumn id="6103" xr3:uid="{00000000-0010-0000-0000-0000D7170000}" name="Coluna6098"/>
    <tableColumn id="6104" xr3:uid="{00000000-0010-0000-0000-0000D8170000}" name="Coluna6099"/>
    <tableColumn id="6105" xr3:uid="{00000000-0010-0000-0000-0000D9170000}" name="Coluna6100"/>
    <tableColumn id="6106" xr3:uid="{00000000-0010-0000-0000-0000DA170000}" name="Coluna6101"/>
    <tableColumn id="6107" xr3:uid="{00000000-0010-0000-0000-0000DB170000}" name="Coluna6102"/>
    <tableColumn id="6108" xr3:uid="{00000000-0010-0000-0000-0000DC170000}" name="Coluna6103"/>
    <tableColumn id="6109" xr3:uid="{00000000-0010-0000-0000-0000DD170000}" name="Coluna6104"/>
    <tableColumn id="6110" xr3:uid="{00000000-0010-0000-0000-0000DE170000}" name="Coluna6105"/>
    <tableColumn id="6111" xr3:uid="{00000000-0010-0000-0000-0000DF170000}" name="Coluna6106"/>
    <tableColumn id="6112" xr3:uid="{00000000-0010-0000-0000-0000E0170000}" name="Coluna6107"/>
    <tableColumn id="6113" xr3:uid="{00000000-0010-0000-0000-0000E1170000}" name="Coluna6108"/>
    <tableColumn id="6114" xr3:uid="{00000000-0010-0000-0000-0000E2170000}" name="Coluna6109"/>
    <tableColumn id="6115" xr3:uid="{00000000-0010-0000-0000-0000E3170000}" name="Coluna6110"/>
    <tableColumn id="6116" xr3:uid="{00000000-0010-0000-0000-0000E4170000}" name="Coluna6111"/>
    <tableColumn id="6117" xr3:uid="{00000000-0010-0000-0000-0000E5170000}" name="Coluna6112"/>
    <tableColumn id="6118" xr3:uid="{00000000-0010-0000-0000-0000E6170000}" name="Coluna6113"/>
    <tableColumn id="6119" xr3:uid="{00000000-0010-0000-0000-0000E7170000}" name="Coluna6114"/>
    <tableColumn id="6120" xr3:uid="{00000000-0010-0000-0000-0000E8170000}" name="Coluna6115"/>
    <tableColumn id="6121" xr3:uid="{00000000-0010-0000-0000-0000E9170000}" name="Coluna6116"/>
    <tableColumn id="6122" xr3:uid="{00000000-0010-0000-0000-0000EA170000}" name="Coluna6117"/>
    <tableColumn id="6123" xr3:uid="{00000000-0010-0000-0000-0000EB170000}" name="Coluna6118"/>
    <tableColumn id="6124" xr3:uid="{00000000-0010-0000-0000-0000EC170000}" name="Coluna6119"/>
    <tableColumn id="6125" xr3:uid="{00000000-0010-0000-0000-0000ED170000}" name="Coluna6120"/>
    <tableColumn id="6126" xr3:uid="{00000000-0010-0000-0000-0000EE170000}" name="Coluna6121"/>
    <tableColumn id="6127" xr3:uid="{00000000-0010-0000-0000-0000EF170000}" name="Coluna6122"/>
    <tableColumn id="6128" xr3:uid="{00000000-0010-0000-0000-0000F0170000}" name="Coluna6123"/>
    <tableColumn id="6129" xr3:uid="{00000000-0010-0000-0000-0000F1170000}" name="Coluna6124"/>
    <tableColumn id="6130" xr3:uid="{00000000-0010-0000-0000-0000F2170000}" name="Coluna6125"/>
    <tableColumn id="6131" xr3:uid="{00000000-0010-0000-0000-0000F3170000}" name="Coluna6126"/>
    <tableColumn id="6132" xr3:uid="{00000000-0010-0000-0000-0000F4170000}" name="Coluna6127"/>
    <tableColumn id="6133" xr3:uid="{00000000-0010-0000-0000-0000F5170000}" name="Coluna6128"/>
    <tableColumn id="6134" xr3:uid="{00000000-0010-0000-0000-0000F6170000}" name="Coluna6129"/>
    <tableColumn id="6135" xr3:uid="{00000000-0010-0000-0000-0000F7170000}" name="Coluna6130"/>
    <tableColumn id="6136" xr3:uid="{00000000-0010-0000-0000-0000F8170000}" name="Coluna6131"/>
    <tableColumn id="6137" xr3:uid="{00000000-0010-0000-0000-0000F9170000}" name="Coluna6132"/>
    <tableColumn id="6138" xr3:uid="{00000000-0010-0000-0000-0000FA170000}" name="Coluna6133"/>
    <tableColumn id="6139" xr3:uid="{00000000-0010-0000-0000-0000FB170000}" name="Coluna6134"/>
    <tableColumn id="6140" xr3:uid="{00000000-0010-0000-0000-0000FC170000}" name="Coluna6135"/>
    <tableColumn id="6141" xr3:uid="{00000000-0010-0000-0000-0000FD170000}" name="Coluna6136"/>
    <tableColumn id="6142" xr3:uid="{00000000-0010-0000-0000-0000FE170000}" name="Coluna6137"/>
    <tableColumn id="6143" xr3:uid="{00000000-0010-0000-0000-0000FF170000}" name="Coluna6138"/>
    <tableColumn id="6144" xr3:uid="{00000000-0010-0000-0000-000000180000}" name="Coluna6139"/>
    <tableColumn id="6145" xr3:uid="{00000000-0010-0000-0000-000001180000}" name="Coluna6140"/>
    <tableColumn id="6146" xr3:uid="{00000000-0010-0000-0000-000002180000}" name="Coluna6141"/>
    <tableColumn id="6147" xr3:uid="{00000000-0010-0000-0000-000003180000}" name="Coluna6142"/>
    <tableColumn id="6148" xr3:uid="{00000000-0010-0000-0000-000004180000}" name="Coluna6143"/>
    <tableColumn id="6149" xr3:uid="{00000000-0010-0000-0000-000005180000}" name="Coluna6144"/>
    <tableColumn id="6150" xr3:uid="{00000000-0010-0000-0000-000006180000}" name="Coluna6145"/>
    <tableColumn id="6151" xr3:uid="{00000000-0010-0000-0000-000007180000}" name="Coluna6146"/>
    <tableColumn id="6152" xr3:uid="{00000000-0010-0000-0000-000008180000}" name="Coluna6147"/>
    <tableColumn id="6153" xr3:uid="{00000000-0010-0000-0000-000009180000}" name="Coluna6148"/>
    <tableColumn id="6154" xr3:uid="{00000000-0010-0000-0000-00000A180000}" name="Coluna6149"/>
    <tableColumn id="6155" xr3:uid="{00000000-0010-0000-0000-00000B180000}" name="Coluna6150"/>
    <tableColumn id="6156" xr3:uid="{00000000-0010-0000-0000-00000C180000}" name="Coluna6151"/>
    <tableColumn id="6157" xr3:uid="{00000000-0010-0000-0000-00000D180000}" name="Coluna6152"/>
    <tableColumn id="6158" xr3:uid="{00000000-0010-0000-0000-00000E180000}" name="Coluna6153"/>
    <tableColumn id="6159" xr3:uid="{00000000-0010-0000-0000-00000F180000}" name="Coluna6154"/>
    <tableColumn id="6160" xr3:uid="{00000000-0010-0000-0000-000010180000}" name="Coluna6155"/>
    <tableColumn id="6161" xr3:uid="{00000000-0010-0000-0000-000011180000}" name="Coluna6156"/>
    <tableColumn id="6162" xr3:uid="{00000000-0010-0000-0000-000012180000}" name="Coluna6157"/>
    <tableColumn id="6163" xr3:uid="{00000000-0010-0000-0000-000013180000}" name="Coluna6158"/>
    <tableColumn id="6164" xr3:uid="{00000000-0010-0000-0000-000014180000}" name="Coluna6159"/>
    <tableColumn id="6165" xr3:uid="{00000000-0010-0000-0000-000015180000}" name="Coluna6160"/>
    <tableColumn id="6166" xr3:uid="{00000000-0010-0000-0000-000016180000}" name="Coluna6161"/>
    <tableColumn id="6167" xr3:uid="{00000000-0010-0000-0000-000017180000}" name="Coluna6162"/>
    <tableColumn id="6168" xr3:uid="{00000000-0010-0000-0000-000018180000}" name="Coluna6163"/>
    <tableColumn id="6169" xr3:uid="{00000000-0010-0000-0000-000019180000}" name="Coluna6164"/>
    <tableColumn id="6170" xr3:uid="{00000000-0010-0000-0000-00001A180000}" name="Coluna6165"/>
    <tableColumn id="6171" xr3:uid="{00000000-0010-0000-0000-00001B180000}" name="Coluna6166"/>
    <tableColumn id="6172" xr3:uid="{00000000-0010-0000-0000-00001C180000}" name="Coluna6167"/>
    <tableColumn id="6173" xr3:uid="{00000000-0010-0000-0000-00001D180000}" name="Coluna6168"/>
    <tableColumn id="6174" xr3:uid="{00000000-0010-0000-0000-00001E180000}" name="Coluna6169"/>
    <tableColumn id="6175" xr3:uid="{00000000-0010-0000-0000-00001F180000}" name="Coluna6170"/>
    <tableColumn id="6176" xr3:uid="{00000000-0010-0000-0000-000020180000}" name="Coluna6171"/>
    <tableColumn id="6177" xr3:uid="{00000000-0010-0000-0000-000021180000}" name="Coluna6172"/>
    <tableColumn id="6178" xr3:uid="{00000000-0010-0000-0000-000022180000}" name="Coluna6173"/>
    <tableColumn id="6179" xr3:uid="{00000000-0010-0000-0000-000023180000}" name="Coluna6174"/>
    <tableColumn id="6180" xr3:uid="{00000000-0010-0000-0000-000024180000}" name="Coluna6175"/>
    <tableColumn id="6181" xr3:uid="{00000000-0010-0000-0000-000025180000}" name="Coluna6176"/>
    <tableColumn id="6182" xr3:uid="{00000000-0010-0000-0000-000026180000}" name="Coluna6177"/>
    <tableColumn id="6183" xr3:uid="{00000000-0010-0000-0000-000027180000}" name="Coluna6178"/>
    <tableColumn id="6184" xr3:uid="{00000000-0010-0000-0000-000028180000}" name="Coluna6179"/>
    <tableColumn id="6185" xr3:uid="{00000000-0010-0000-0000-000029180000}" name="Coluna6180"/>
    <tableColumn id="6186" xr3:uid="{00000000-0010-0000-0000-00002A180000}" name="Coluna6181"/>
    <tableColumn id="6187" xr3:uid="{00000000-0010-0000-0000-00002B180000}" name="Coluna6182"/>
    <tableColumn id="6188" xr3:uid="{00000000-0010-0000-0000-00002C180000}" name="Coluna6183"/>
    <tableColumn id="6189" xr3:uid="{00000000-0010-0000-0000-00002D180000}" name="Coluna6184"/>
    <tableColumn id="6190" xr3:uid="{00000000-0010-0000-0000-00002E180000}" name="Coluna6185"/>
    <tableColumn id="6191" xr3:uid="{00000000-0010-0000-0000-00002F180000}" name="Coluna6186"/>
    <tableColumn id="6192" xr3:uid="{00000000-0010-0000-0000-000030180000}" name="Coluna6187"/>
    <tableColumn id="6193" xr3:uid="{00000000-0010-0000-0000-000031180000}" name="Coluna6188"/>
    <tableColumn id="6194" xr3:uid="{00000000-0010-0000-0000-000032180000}" name="Coluna6189"/>
    <tableColumn id="6195" xr3:uid="{00000000-0010-0000-0000-000033180000}" name="Coluna6190"/>
    <tableColumn id="6196" xr3:uid="{00000000-0010-0000-0000-000034180000}" name="Coluna6191"/>
    <tableColumn id="6197" xr3:uid="{00000000-0010-0000-0000-000035180000}" name="Coluna6192"/>
    <tableColumn id="6198" xr3:uid="{00000000-0010-0000-0000-000036180000}" name="Coluna6193"/>
    <tableColumn id="6199" xr3:uid="{00000000-0010-0000-0000-000037180000}" name="Coluna6194"/>
    <tableColumn id="6200" xr3:uid="{00000000-0010-0000-0000-000038180000}" name="Coluna6195"/>
    <tableColumn id="6201" xr3:uid="{00000000-0010-0000-0000-000039180000}" name="Coluna6196"/>
    <tableColumn id="6202" xr3:uid="{00000000-0010-0000-0000-00003A180000}" name="Coluna6197"/>
    <tableColumn id="6203" xr3:uid="{00000000-0010-0000-0000-00003B180000}" name="Coluna6198"/>
    <tableColumn id="6204" xr3:uid="{00000000-0010-0000-0000-00003C180000}" name="Coluna6199"/>
    <tableColumn id="6205" xr3:uid="{00000000-0010-0000-0000-00003D180000}" name="Coluna6200"/>
    <tableColumn id="6206" xr3:uid="{00000000-0010-0000-0000-00003E180000}" name="Coluna6201"/>
    <tableColumn id="6207" xr3:uid="{00000000-0010-0000-0000-00003F180000}" name="Coluna6202"/>
    <tableColumn id="6208" xr3:uid="{00000000-0010-0000-0000-000040180000}" name="Coluna6203"/>
    <tableColumn id="6209" xr3:uid="{00000000-0010-0000-0000-000041180000}" name="Coluna6204"/>
    <tableColumn id="6210" xr3:uid="{00000000-0010-0000-0000-000042180000}" name="Coluna6205"/>
    <tableColumn id="6211" xr3:uid="{00000000-0010-0000-0000-000043180000}" name="Coluna6206"/>
    <tableColumn id="6212" xr3:uid="{00000000-0010-0000-0000-000044180000}" name="Coluna6207"/>
    <tableColumn id="6213" xr3:uid="{00000000-0010-0000-0000-000045180000}" name="Coluna6208"/>
    <tableColumn id="6214" xr3:uid="{00000000-0010-0000-0000-000046180000}" name="Coluna6209"/>
    <tableColumn id="6215" xr3:uid="{00000000-0010-0000-0000-000047180000}" name="Coluna6210"/>
    <tableColumn id="6216" xr3:uid="{00000000-0010-0000-0000-000048180000}" name="Coluna6211"/>
    <tableColumn id="6217" xr3:uid="{00000000-0010-0000-0000-000049180000}" name="Coluna6212"/>
    <tableColumn id="6218" xr3:uid="{00000000-0010-0000-0000-00004A180000}" name="Coluna6213"/>
    <tableColumn id="6219" xr3:uid="{00000000-0010-0000-0000-00004B180000}" name="Coluna6214"/>
    <tableColumn id="6220" xr3:uid="{00000000-0010-0000-0000-00004C180000}" name="Coluna6215"/>
    <tableColumn id="6221" xr3:uid="{00000000-0010-0000-0000-00004D180000}" name="Coluna6216"/>
    <tableColumn id="6222" xr3:uid="{00000000-0010-0000-0000-00004E180000}" name="Coluna6217"/>
    <tableColumn id="6223" xr3:uid="{00000000-0010-0000-0000-00004F180000}" name="Coluna6218"/>
    <tableColumn id="6224" xr3:uid="{00000000-0010-0000-0000-000050180000}" name="Coluna6219"/>
    <tableColumn id="6225" xr3:uid="{00000000-0010-0000-0000-000051180000}" name="Coluna6220"/>
    <tableColumn id="6226" xr3:uid="{00000000-0010-0000-0000-000052180000}" name="Coluna6221"/>
    <tableColumn id="6227" xr3:uid="{00000000-0010-0000-0000-000053180000}" name="Coluna6222"/>
    <tableColumn id="6228" xr3:uid="{00000000-0010-0000-0000-000054180000}" name="Coluna6223"/>
    <tableColumn id="6229" xr3:uid="{00000000-0010-0000-0000-000055180000}" name="Coluna6224"/>
    <tableColumn id="6230" xr3:uid="{00000000-0010-0000-0000-000056180000}" name="Coluna6225"/>
    <tableColumn id="6231" xr3:uid="{00000000-0010-0000-0000-000057180000}" name="Coluna6226"/>
    <tableColumn id="6232" xr3:uid="{00000000-0010-0000-0000-000058180000}" name="Coluna6227"/>
    <tableColumn id="6233" xr3:uid="{00000000-0010-0000-0000-000059180000}" name="Coluna6228"/>
    <tableColumn id="6234" xr3:uid="{00000000-0010-0000-0000-00005A180000}" name="Coluna6229"/>
    <tableColumn id="6235" xr3:uid="{00000000-0010-0000-0000-00005B180000}" name="Coluna6230"/>
    <tableColumn id="6236" xr3:uid="{00000000-0010-0000-0000-00005C180000}" name="Coluna6231"/>
    <tableColumn id="6237" xr3:uid="{00000000-0010-0000-0000-00005D180000}" name="Coluna6232"/>
    <tableColumn id="6238" xr3:uid="{00000000-0010-0000-0000-00005E180000}" name="Coluna6233"/>
    <tableColumn id="6239" xr3:uid="{00000000-0010-0000-0000-00005F180000}" name="Coluna6234"/>
    <tableColumn id="6240" xr3:uid="{00000000-0010-0000-0000-000060180000}" name="Coluna6235"/>
    <tableColumn id="6241" xr3:uid="{00000000-0010-0000-0000-000061180000}" name="Coluna6236"/>
    <tableColumn id="6242" xr3:uid="{00000000-0010-0000-0000-000062180000}" name="Coluna6237"/>
    <tableColumn id="6243" xr3:uid="{00000000-0010-0000-0000-000063180000}" name="Coluna6238"/>
    <tableColumn id="6244" xr3:uid="{00000000-0010-0000-0000-000064180000}" name="Coluna6239"/>
    <tableColumn id="6245" xr3:uid="{00000000-0010-0000-0000-000065180000}" name="Coluna6240"/>
    <tableColumn id="6246" xr3:uid="{00000000-0010-0000-0000-000066180000}" name="Coluna6241"/>
    <tableColumn id="6247" xr3:uid="{00000000-0010-0000-0000-000067180000}" name="Coluna6242"/>
    <tableColumn id="6248" xr3:uid="{00000000-0010-0000-0000-000068180000}" name="Coluna6243"/>
    <tableColumn id="6249" xr3:uid="{00000000-0010-0000-0000-000069180000}" name="Coluna6244"/>
    <tableColumn id="6250" xr3:uid="{00000000-0010-0000-0000-00006A180000}" name="Coluna6245"/>
    <tableColumn id="6251" xr3:uid="{00000000-0010-0000-0000-00006B180000}" name="Coluna6246"/>
    <tableColumn id="6252" xr3:uid="{00000000-0010-0000-0000-00006C180000}" name="Coluna6247"/>
    <tableColumn id="6253" xr3:uid="{00000000-0010-0000-0000-00006D180000}" name="Coluna6248"/>
    <tableColumn id="6254" xr3:uid="{00000000-0010-0000-0000-00006E180000}" name="Coluna6249"/>
    <tableColumn id="6255" xr3:uid="{00000000-0010-0000-0000-00006F180000}" name="Coluna6250"/>
    <tableColumn id="6256" xr3:uid="{00000000-0010-0000-0000-000070180000}" name="Coluna6251"/>
    <tableColumn id="6257" xr3:uid="{00000000-0010-0000-0000-000071180000}" name="Coluna6252"/>
    <tableColumn id="6258" xr3:uid="{00000000-0010-0000-0000-000072180000}" name="Coluna6253"/>
    <tableColumn id="6259" xr3:uid="{00000000-0010-0000-0000-000073180000}" name="Coluna6254"/>
    <tableColumn id="6260" xr3:uid="{00000000-0010-0000-0000-000074180000}" name="Coluna6255"/>
    <tableColumn id="6261" xr3:uid="{00000000-0010-0000-0000-000075180000}" name="Coluna6256"/>
    <tableColumn id="6262" xr3:uid="{00000000-0010-0000-0000-000076180000}" name="Coluna6257"/>
    <tableColumn id="6263" xr3:uid="{00000000-0010-0000-0000-000077180000}" name="Coluna6258"/>
    <tableColumn id="6264" xr3:uid="{00000000-0010-0000-0000-000078180000}" name="Coluna6259"/>
    <tableColumn id="6265" xr3:uid="{00000000-0010-0000-0000-000079180000}" name="Coluna6260"/>
    <tableColumn id="6266" xr3:uid="{00000000-0010-0000-0000-00007A180000}" name="Coluna6261"/>
    <tableColumn id="6267" xr3:uid="{00000000-0010-0000-0000-00007B180000}" name="Coluna6262"/>
    <tableColumn id="6268" xr3:uid="{00000000-0010-0000-0000-00007C180000}" name="Coluna6263"/>
    <tableColumn id="6269" xr3:uid="{00000000-0010-0000-0000-00007D180000}" name="Coluna6264"/>
    <tableColumn id="6270" xr3:uid="{00000000-0010-0000-0000-00007E180000}" name="Coluna6265"/>
    <tableColumn id="6271" xr3:uid="{00000000-0010-0000-0000-00007F180000}" name="Coluna6266"/>
    <tableColumn id="6272" xr3:uid="{00000000-0010-0000-0000-000080180000}" name="Coluna6267"/>
    <tableColumn id="6273" xr3:uid="{00000000-0010-0000-0000-000081180000}" name="Coluna6268"/>
    <tableColumn id="6274" xr3:uid="{00000000-0010-0000-0000-000082180000}" name="Coluna6269"/>
    <tableColumn id="6275" xr3:uid="{00000000-0010-0000-0000-000083180000}" name="Coluna6270"/>
    <tableColumn id="6276" xr3:uid="{00000000-0010-0000-0000-000084180000}" name="Coluna6271"/>
    <tableColumn id="6277" xr3:uid="{00000000-0010-0000-0000-000085180000}" name="Coluna6272"/>
    <tableColumn id="6278" xr3:uid="{00000000-0010-0000-0000-000086180000}" name="Coluna6273"/>
    <tableColumn id="6279" xr3:uid="{00000000-0010-0000-0000-000087180000}" name="Coluna6274"/>
    <tableColumn id="6280" xr3:uid="{00000000-0010-0000-0000-000088180000}" name="Coluna6275"/>
    <tableColumn id="6281" xr3:uid="{00000000-0010-0000-0000-000089180000}" name="Coluna6276"/>
    <tableColumn id="6282" xr3:uid="{00000000-0010-0000-0000-00008A180000}" name="Coluna6277"/>
    <tableColumn id="6283" xr3:uid="{00000000-0010-0000-0000-00008B180000}" name="Coluna6278"/>
    <tableColumn id="6284" xr3:uid="{00000000-0010-0000-0000-00008C180000}" name="Coluna6279"/>
    <tableColumn id="6285" xr3:uid="{00000000-0010-0000-0000-00008D180000}" name="Coluna6280"/>
    <tableColumn id="6286" xr3:uid="{00000000-0010-0000-0000-00008E180000}" name="Coluna6281"/>
    <tableColumn id="6287" xr3:uid="{00000000-0010-0000-0000-00008F180000}" name="Coluna6282"/>
    <tableColumn id="6288" xr3:uid="{00000000-0010-0000-0000-000090180000}" name="Coluna6283"/>
    <tableColumn id="6289" xr3:uid="{00000000-0010-0000-0000-000091180000}" name="Coluna6284"/>
    <tableColumn id="6290" xr3:uid="{00000000-0010-0000-0000-000092180000}" name="Coluna6285"/>
    <tableColumn id="6291" xr3:uid="{00000000-0010-0000-0000-000093180000}" name="Coluna6286"/>
    <tableColumn id="6292" xr3:uid="{00000000-0010-0000-0000-000094180000}" name="Coluna6287"/>
    <tableColumn id="6293" xr3:uid="{00000000-0010-0000-0000-000095180000}" name="Coluna6288"/>
    <tableColumn id="6294" xr3:uid="{00000000-0010-0000-0000-000096180000}" name="Coluna6289"/>
    <tableColumn id="6295" xr3:uid="{00000000-0010-0000-0000-000097180000}" name="Coluna6290"/>
    <tableColumn id="6296" xr3:uid="{00000000-0010-0000-0000-000098180000}" name="Coluna6291"/>
    <tableColumn id="6297" xr3:uid="{00000000-0010-0000-0000-000099180000}" name="Coluna6292"/>
    <tableColumn id="6298" xr3:uid="{00000000-0010-0000-0000-00009A180000}" name="Coluna6293"/>
    <tableColumn id="6299" xr3:uid="{00000000-0010-0000-0000-00009B180000}" name="Coluna6294"/>
    <tableColumn id="6300" xr3:uid="{00000000-0010-0000-0000-00009C180000}" name="Coluna6295"/>
    <tableColumn id="6301" xr3:uid="{00000000-0010-0000-0000-00009D180000}" name="Coluna6296"/>
    <tableColumn id="6302" xr3:uid="{00000000-0010-0000-0000-00009E180000}" name="Coluna6297"/>
    <tableColumn id="6303" xr3:uid="{00000000-0010-0000-0000-00009F180000}" name="Coluna6298"/>
    <tableColumn id="6304" xr3:uid="{00000000-0010-0000-0000-0000A0180000}" name="Coluna6299"/>
    <tableColumn id="6305" xr3:uid="{00000000-0010-0000-0000-0000A1180000}" name="Coluna6300"/>
    <tableColumn id="6306" xr3:uid="{00000000-0010-0000-0000-0000A2180000}" name="Coluna6301"/>
    <tableColumn id="6307" xr3:uid="{00000000-0010-0000-0000-0000A3180000}" name="Coluna6302"/>
    <tableColumn id="6308" xr3:uid="{00000000-0010-0000-0000-0000A4180000}" name="Coluna6303"/>
    <tableColumn id="6309" xr3:uid="{00000000-0010-0000-0000-0000A5180000}" name="Coluna6304"/>
    <tableColumn id="6310" xr3:uid="{00000000-0010-0000-0000-0000A6180000}" name="Coluna6305"/>
    <tableColumn id="6311" xr3:uid="{00000000-0010-0000-0000-0000A7180000}" name="Coluna6306"/>
    <tableColumn id="6312" xr3:uid="{00000000-0010-0000-0000-0000A8180000}" name="Coluna6307"/>
    <tableColumn id="6313" xr3:uid="{00000000-0010-0000-0000-0000A9180000}" name="Coluna6308"/>
    <tableColumn id="6314" xr3:uid="{00000000-0010-0000-0000-0000AA180000}" name="Coluna6309"/>
    <tableColumn id="6315" xr3:uid="{00000000-0010-0000-0000-0000AB180000}" name="Coluna6310"/>
    <tableColumn id="6316" xr3:uid="{00000000-0010-0000-0000-0000AC180000}" name="Coluna6311"/>
    <tableColumn id="6317" xr3:uid="{00000000-0010-0000-0000-0000AD180000}" name="Coluna6312"/>
    <tableColumn id="6318" xr3:uid="{00000000-0010-0000-0000-0000AE180000}" name="Coluna6313"/>
    <tableColumn id="6319" xr3:uid="{00000000-0010-0000-0000-0000AF180000}" name="Coluna6314"/>
    <tableColumn id="6320" xr3:uid="{00000000-0010-0000-0000-0000B0180000}" name="Coluna6315"/>
    <tableColumn id="6321" xr3:uid="{00000000-0010-0000-0000-0000B1180000}" name="Coluna6316"/>
    <tableColumn id="6322" xr3:uid="{00000000-0010-0000-0000-0000B2180000}" name="Coluna6317"/>
    <tableColumn id="6323" xr3:uid="{00000000-0010-0000-0000-0000B3180000}" name="Coluna6318"/>
    <tableColumn id="6324" xr3:uid="{00000000-0010-0000-0000-0000B4180000}" name="Coluna6319"/>
    <tableColumn id="6325" xr3:uid="{00000000-0010-0000-0000-0000B5180000}" name="Coluna6320"/>
    <tableColumn id="6326" xr3:uid="{00000000-0010-0000-0000-0000B6180000}" name="Coluna6321"/>
    <tableColumn id="6327" xr3:uid="{00000000-0010-0000-0000-0000B7180000}" name="Coluna6322"/>
    <tableColumn id="6328" xr3:uid="{00000000-0010-0000-0000-0000B8180000}" name="Coluna6323"/>
    <tableColumn id="6329" xr3:uid="{00000000-0010-0000-0000-0000B9180000}" name="Coluna6324"/>
    <tableColumn id="6330" xr3:uid="{00000000-0010-0000-0000-0000BA180000}" name="Coluna6325"/>
    <tableColumn id="6331" xr3:uid="{00000000-0010-0000-0000-0000BB180000}" name="Coluna6326"/>
    <tableColumn id="6332" xr3:uid="{00000000-0010-0000-0000-0000BC180000}" name="Coluna6327"/>
    <tableColumn id="6333" xr3:uid="{00000000-0010-0000-0000-0000BD180000}" name="Coluna6328"/>
    <tableColumn id="6334" xr3:uid="{00000000-0010-0000-0000-0000BE180000}" name="Coluna6329"/>
    <tableColumn id="6335" xr3:uid="{00000000-0010-0000-0000-0000BF180000}" name="Coluna6330"/>
    <tableColumn id="6336" xr3:uid="{00000000-0010-0000-0000-0000C0180000}" name="Coluna6331"/>
    <tableColumn id="6337" xr3:uid="{00000000-0010-0000-0000-0000C1180000}" name="Coluna6332"/>
    <tableColumn id="6338" xr3:uid="{00000000-0010-0000-0000-0000C2180000}" name="Coluna6333"/>
    <tableColumn id="6339" xr3:uid="{00000000-0010-0000-0000-0000C3180000}" name="Coluna6334"/>
    <tableColumn id="6340" xr3:uid="{00000000-0010-0000-0000-0000C4180000}" name="Coluna6335"/>
    <tableColumn id="6341" xr3:uid="{00000000-0010-0000-0000-0000C5180000}" name="Coluna6336"/>
    <tableColumn id="6342" xr3:uid="{00000000-0010-0000-0000-0000C6180000}" name="Coluna6337"/>
    <tableColumn id="6343" xr3:uid="{00000000-0010-0000-0000-0000C7180000}" name="Coluna6338"/>
    <tableColumn id="6344" xr3:uid="{00000000-0010-0000-0000-0000C8180000}" name="Coluna6339"/>
    <tableColumn id="6345" xr3:uid="{00000000-0010-0000-0000-0000C9180000}" name="Coluna6340"/>
    <tableColumn id="6346" xr3:uid="{00000000-0010-0000-0000-0000CA180000}" name="Coluna6341"/>
    <tableColumn id="6347" xr3:uid="{00000000-0010-0000-0000-0000CB180000}" name="Coluna6342"/>
    <tableColumn id="6348" xr3:uid="{00000000-0010-0000-0000-0000CC180000}" name="Coluna6343"/>
    <tableColumn id="6349" xr3:uid="{00000000-0010-0000-0000-0000CD180000}" name="Coluna6344"/>
    <tableColumn id="6350" xr3:uid="{00000000-0010-0000-0000-0000CE180000}" name="Coluna6345"/>
    <tableColumn id="6351" xr3:uid="{00000000-0010-0000-0000-0000CF180000}" name="Coluna6346"/>
    <tableColumn id="6352" xr3:uid="{00000000-0010-0000-0000-0000D0180000}" name="Coluna6347"/>
    <tableColumn id="6353" xr3:uid="{00000000-0010-0000-0000-0000D1180000}" name="Coluna6348"/>
    <tableColumn id="6354" xr3:uid="{00000000-0010-0000-0000-0000D2180000}" name="Coluna6349"/>
    <tableColumn id="6355" xr3:uid="{00000000-0010-0000-0000-0000D3180000}" name="Coluna6350"/>
    <tableColumn id="6356" xr3:uid="{00000000-0010-0000-0000-0000D4180000}" name="Coluna6351"/>
    <tableColumn id="6357" xr3:uid="{00000000-0010-0000-0000-0000D5180000}" name="Coluna6352"/>
    <tableColumn id="6358" xr3:uid="{00000000-0010-0000-0000-0000D6180000}" name="Coluna6353"/>
    <tableColumn id="6359" xr3:uid="{00000000-0010-0000-0000-0000D7180000}" name="Coluna6354"/>
    <tableColumn id="6360" xr3:uid="{00000000-0010-0000-0000-0000D8180000}" name="Coluna6355"/>
    <tableColumn id="6361" xr3:uid="{00000000-0010-0000-0000-0000D9180000}" name="Coluna6356"/>
    <tableColumn id="6362" xr3:uid="{00000000-0010-0000-0000-0000DA180000}" name="Coluna6357"/>
    <tableColumn id="6363" xr3:uid="{00000000-0010-0000-0000-0000DB180000}" name="Coluna6358"/>
    <tableColumn id="6364" xr3:uid="{00000000-0010-0000-0000-0000DC180000}" name="Coluna6359"/>
    <tableColumn id="6365" xr3:uid="{00000000-0010-0000-0000-0000DD180000}" name="Coluna6360"/>
    <tableColumn id="6366" xr3:uid="{00000000-0010-0000-0000-0000DE180000}" name="Coluna6361"/>
    <tableColumn id="6367" xr3:uid="{00000000-0010-0000-0000-0000DF180000}" name="Coluna6362"/>
    <tableColumn id="6368" xr3:uid="{00000000-0010-0000-0000-0000E0180000}" name="Coluna6363"/>
    <tableColumn id="6369" xr3:uid="{00000000-0010-0000-0000-0000E1180000}" name="Coluna6364"/>
    <tableColumn id="6370" xr3:uid="{00000000-0010-0000-0000-0000E2180000}" name="Coluna6365"/>
    <tableColumn id="6371" xr3:uid="{00000000-0010-0000-0000-0000E3180000}" name="Coluna6366"/>
    <tableColumn id="6372" xr3:uid="{00000000-0010-0000-0000-0000E4180000}" name="Coluna6367"/>
    <tableColumn id="6373" xr3:uid="{00000000-0010-0000-0000-0000E5180000}" name="Coluna6368"/>
    <tableColumn id="6374" xr3:uid="{00000000-0010-0000-0000-0000E6180000}" name="Coluna6369"/>
    <tableColumn id="6375" xr3:uid="{00000000-0010-0000-0000-0000E7180000}" name="Coluna6370"/>
    <tableColumn id="6376" xr3:uid="{00000000-0010-0000-0000-0000E8180000}" name="Coluna6371"/>
    <tableColumn id="6377" xr3:uid="{00000000-0010-0000-0000-0000E9180000}" name="Coluna6372"/>
    <tableColumn id="6378" xr3:uid="{00000000-0010-0000-0000-0000EA180000}" name="Coluna6373"/>
    <tableColumn id="6379" xr3:uid="{00000000-0010-0000-0000-0000EB180000}" name="Coluna6374"/>
    <tableColumn id="6380" xr3:uid="{00000000-0010-0000-0000-0000EC180000}" name="Coluna6375"/>
    <tableColumn id="6381" xr3:uid="{00000000-0010-0000-0000-0000ED180000}" name="Coluna6376"/>
    <tableColumn id="6382" xr3:uid="{00000000-0010-0000-0000-0000EE180000}" name="Coluna6377"/>
    <tableColumn id="6383" xr3:uid="{00000000-0010-0000-0000-0000EF180000}" name="Coluna6378"/>
    <tableColumn id="6384" xr3:uid="{00000000-0010-0000-0000-0000F0180000}" name="Coluna6379"/>
    <tableColumn id="6385" xr3:uid="{00000000-0010-0000-0000-0000F1180000}" name="Coluna6380"/>
    <tableColumn id="6386" xr3:uid="{00000000-0010-0000-0000-0000F2180000}" name="Coluna6381"/>
    <tableColumn id="6387" xr3:uid="{00000000-0010-0000-0000-0000F3180000}" name="Coluna6382"/>
    <tableColumn id="6388" xr3:uid="{00000000-0010-0000-0000-0000F4180000}" name="Coluna6383"/>
    <tableColumn id="6389" xr3:uid="{00000000-0010-0000-0000-0000F5180000}" name="Coluna6384"/>
    <tableColumn id="6390" xr3:uid="{00000000-0010-0000-0000-0000F6180000}" name="Coluna6385"/>
    <tableColumn id="6391" xr3:uid="{00000000-0010-0000-0000-0000F7180000}" name="Coluna6386"/>
    <tableColumn id="6392" xr3:uid="{00000000-0010-0000-0000-0000F8180000}" name="Coluna6387"/>
    <tableColumn id="6393" xr3:uid="{00000000-0010-0000-0000-0000F9180000}" name="Coluna6388"/>
    <tableColumn id="6394" xr3:uid="{00000000-0010-0000-0000-0000FA180000}" name="Coluna6389"/>
    <tableColumn id="6395" xr3:uid="{00000000-0010-0000-0000-0000FB180000}" name="Coluna6390"/>
    <tableColumn id="6396" xr3:uid="{00000000-0010-0000-0000-0000FC180000}" name="Coluna6391"/>
    <tableColumn id="6397" xr3:uid="{00000000-0010-0000-0000-0000FD180000}" name="Coluna6392"/>
    <tableColumn id="6398" xr3:uid="{00000000-0010-0000-0000-0000FE180000}" name="Coluna6393"/>
    <tableColumn id="6399" xr3:uid="{00000000-0010-0000-0000-0000FF180000}" name="Coluna6394"/>
    <tableColumn id="6400" xr3:uid="{00000000-0010-0000-0000-000000190000}" name="Coluna6395"/>
    <tableColumn id="6401" xr3:uid="{00000000-0010-0000-0000-000001190000}" name="Coluna6396"/>
    <tableColumn id="6402" xr3:uid="{00000000-0010-0000-0000-000002190000}" name="Coluna6397"/>
    <tableColumn id="6403" xr3:uid="{00000000-0010-0000-0000-000003190000}" name="Coluna6398"/>
    <tableColumn id="6404" xr3:uid="{00000000-0010-0000-0000-000004190000}" name="Coluna6399"/>
    <tableColumn id="6405" xr3:uid="{00000000-0010-0000-0000-000005190000}" name="Coluna6400"/>
    <tableColumn id="6406" xr3:uid="{00000000-0010-0000-0000-000006190000}" name="Coluna6401"/>
    <tableColumn id="6407" xr3:uid="{00000000-0010-0000-0000-000007190000}" name="Coluna6402"/>
    <tableColumn id="6408" xr3:uid="{00000000-0010-0000-0000-000008190000}" name="Coluna6403"/>
    <tableColumn id="6409" xr3:uid="{00000000-0010-0000-0000-000009190000}" name="Coluna6404"/>
    <tableColumn id="6410" xr3:uid="{00000000-0010-0000-0000-00000A190000}" name="Coluna6405"/>
    <tableColumn id="6411" xr3:uid="{00000000-0010-0000-0000-00000B190000}" name="Coluna6406"/>
    <tableColumn id="6412" xr3:uid="{00000000-0010-0000-0000-00000C190000}" name="Coluna6407"/>
    <tableColumn id="6413" xr3:uid="{00000000-0010-0000-0000-00000D190000}" name="Coluna6408"/>
    <tableColumn id="6414" xr3:uid="{00000000-0010-0000-0000-00000E190000}" name="Coluna6409"/>
    <tableColumn id="6415" xr3:uid="{00000000-0010-0000-0000-00000F190000}" name="Coluna6410"/>
    <tableColumn id="6416" xr3:uid="{00000000-0010-0000-0000-000010190000}" name="Coluna6411"/>
    <tableColumn id="6417" xr3:uid="{00000000-0010-0000-0000-000011190000}" name="Coluna6412"/>
    <tableColumn id="6418" xr3:uid="{00000000-0010-0000-0000-000012190000}" name="Coluna6413"/>
    <tableColumn id="6419" xr3:uid="{00000000-0010-0000-0000-000013190000}" name="Coluna6414"/>
    <tableColumn id="6420" xr3:uid="{00000000-0010-0000-0000-000014190000}" name="Coluna6415"/>
    <tableColumn id="6421" xr3:uid="{00000000-0010-0000-0000-000015190000}" name="Coluna6416"/>
    <tableColumn id="6422" xr3:uid="{00000000-0010-0000-0000-000016190000}" name="Coluna6417"/>
    <tableColumn id="6423" xr3:uid="{00000000-0010-0000-0000-000017190000}" name="Coluna6418"/>
    <tableColumn id="6424" xr3:uid="{00000000-0010-0000-0000-000018190000}" name="Coluna6419"/>
    <tableColumn id="6425" xr3:uid="{00000000-0010-0000-0000-000019190000}" name="Coluna6420"/>
    <tableColumn id="6426" xr3:uid="{00000000-0010-0000-0000-00001A190000}" name="Coluna6421"/>
    <tableColumn id="6427" xr3:uid="{00000000-0010-0000-0000-00001B190000}" name="Coluna6422"/>
    <tableColumn id="6428" xr3:uid="{00000000-0010-0000-0000-00001C190000}" name="Coluna6423"/>
    <tableColumn id="6429" xr3:uid="{00000000-0010-0000-0000-00001D190000}" name="Coluna6424"/>
    <tableColumn id="6430" xr3:uid="{00000000-0010-0000-0000-00001E190000}" name="Coluna6425"/>
    <tableColumn id="6431" xr3:uid="{00000000-0010-0000-0000-00001F190000}" name="Coluna6426"/>
    <tableColumn id="6432" xr3:uid="{00000000-0010-0000-0000-000020190000}" name="Coluna6427"/>
    <tableColumn id="6433" xr3:uid="{00000000-0010-0000-0000-000021190000}" name="Coluna6428"/>
    <tableColumn id="6434" xr3:uid="{00000000-0010-0000-0000-000022190000}" name="Coluna6429"/>
    <tableColumn id="6435" xr3:uid="{00000000-0010-0000-0000-000023190000}" name="Coluna6430"/>
    <tableColumn id="6436" xr3:uid="{00000000-0010-0000-0000-000024190000}" name="Coluna6431"/>
    <tableColumn id="6437" xr3:uid="{00000000-0010-0000-0000-000025190000}" name="Coluna6432"/>
    <tableColumn id="6438" xr3:uid="{00000000-0010-0000-0000-000026190000}" name="Coluna6433"/>
    <tableColumn id="6439" xr3:uid="{00000000-0010-0000-0000-000027190000}" name="Coluna6434"/>
    <tableColumn id="6440" xr3:uid="{00000000-0010-0000-0000-000028190000}" name="Coluna6435"/>
    <tableColumn id="6441" xr3:uid="{00000000-0010-0000-0000-000029190000}" name="Coluna6436"/>
    <tableColumn id="6442" xr3:uid="{00000000-0010-0000-0000-00002A190000}" name="Coluna6437"/>
    <tableColumn id="6443" xr3:uid="{00000000-0010-0000-0000-00002B190000}" name="Coluna6438"/>
    <tableColumn id="6444" xr3:uid="{00000000-0010-0000-0000-00002C190000}" name="Coluna6439"/>
    <tableColumn id="6445" xr3:uid="{00000000-0010-0000-0000-00002D190000}" name="Coluna6440"/>
    <tableColumn id="6446" xr3:uid="{00000000-0010-0000-0000-00002E190000}" name="Coluna6441"/>
    <tableColumn id="6447" xr3:uid="{00000000-0010-0000-0000-00002F190000}" name="Coluna6442"/>
    <tableColumn id="6448" xr3:uid="{00000000-0010-0000-0000-000030190000}" name="Coluna6443"/>
    <tableColumn id="6449" xr3:uid="{00000000-0010-0000-0000-000031190000}" name="Coluna6444"/>
    <tableColumn id="6450" xr3:uid="{00000000-0010-0000-0000-000032190000}" name="Coluna6445"/>
    <tableColumn id="6451" xr3:uid="{00000000-0010-0000-0000-000033190000}" name="Coluna6446"/>
    <tableColumn id="6452" xr3:uid="{00000000-0010-0000-0000-000034190000}" name="Coluna6447"/>
    <tableColumn id="6453" xr3:uid="{00000000-0010-0000-0000-000035190000}" name="Coluna6448"/>
    <tableColumn id="6454" xr3:uid="{00000000-0010-0000-0000-000036190000}" name="Coluna6449"/>
    <tableColumn id="6455" xr3:uid="{00000000-0010-0000-0000-000037190000}" name="Coluna6450"/>
    <tableColumn id="6456" xr3:uid="{00000000-0010-0000-0000-000038190000}" name="Coluna6451"/>
    <tableColumn id="6457" xr3:uid="{00000000-0010-0000-0000-000039190000}" name="Coluna6452"/>
    <tableColumn id="6458" xr3:uid="{00000000-0010-0000-0000-00003A190000}" name="Coluna6453"/>
    <tableColumn id="6459" xr3:uid="{00000000-0010-0000-0000-00003B190000}" name="Coluna6454"/>
    <tableColumn id="6460" xr3:uid="{00000000-0010-0000-0000-00003C190000}" name="Coluna6455"/>
    <tableColumn id="6461" xr3:uid="{00000000-0010-0000-0000-00003D190000}" name="Coluna6456"/>
    <tableColumn id="6462" xr3:uid="{00000000-0010-0000-0000-00003E190000}" name="Coluna6457"/>
    <tableColumn id="6463" xr3:uid="{00000000-0010-0000-0000-00003F190000}" name="Coluna6458"/>
    <tableColumn id="6464" xr3:uid="{00000000-0010-0000-0000-000040190000}" name="Coluna6459"/>
    <tableColumn id="6465" xr3:uid="{00000000-0010-0000-0000-000041190000}" name="Coluna6460"/>
    <tableColumn id="6466" xr3:uid="{00000000-0010-0000-0000-000042190000}" name="Coluna6461"/>
    <tableColumn id="6467" xr3:uid="{00000000-0010-0000-0000-000043190000}" name="Coluna6462"/>
    <tableColumn id="6468" xr3:uid="{00000000-0010-0000-0000-000044190000}" name="Coluna6463"/>
    <tableColumn id="6469" xr3:uid="{00000000-0010-0000-0000-000045190000}" name="Coluna6464"/>
    <tableColumn id="6470" xr3:uid="{00000000-0010-0000-0000-000046190000}" name="Coluna6465"/>
    <tableColumn id="6471" xr3:uid="{00000000-0010-0000-0000-000047190000}" name="Coluna6466"/>
    <tableColumn id="6472" xr3:uid="{00000000-0010-0000-0000-000048190000}" name="Coluna6467"/>
    <tableColumn id="6473" xr3:uid="{00000000-0010-0000-0000-000049190000}" name="Coluna6468"/>
    <tableColumn id="6474" xr3:uid="{00000000-0010-0000-0000-00004A190000}" name="Coluna6469"/>
    <tableColumn id="6475" xr3:uid="{00000000-0010-0000-0000-00004B190000}" name="Coluna6470"/>
    <tableColumn id="6476" xr3:uid="{00000000-0010-0000-0000-00004C190000}" name="Coluna6471"/>
    <tableColumn id="6477" xr3:uid="{00000000-0010-0000-0000-00004D190000}" name="Coluna6472"/>
    <tableColumn id="6478" xr3:uid="{00000000-0010-0000-0000-00004E190000}" name="Coluna6473"/>
    <tableColumn id="6479" xr3:uid="{00000000-0010-0000-0000-00004F190000}" name="Coluna6474"/>
    <tableColumn id="6480" xr3:uid="{00000000-0010-0000-0000-000050190000}" name="Coluna6475"/>
    <tableColumn id="6481" xr3:uid="{00000000-0010-0000-0000-000051190000}" name="Coluna6476"/>
    <tableColumn id="6482" xr3:uid="{00000000-0010-0000-0000-000052190000}" name="Coluna6477"/>
    <tableColumn id="6483" xr3:uid="{00000000-0010-0000-0000-000053190000}" name="Coluna6478"/>
    <tableColumn id="6484" xr3:uid="{00000000-0010-0000-0000-000054190000}" name="Coluna6479"/>
    <tableColumn id="6485" xr3:uid="{00000000-0010-0000-0000-000055190000}" name="Coluna6480"/>
    <tableColumn id="6486" xr3:uid="{00000000-0010-0000-0000-000056190000}" name="Coluna6481"/>
    <tableColumn id="6487" xr3:uid="{00000000-0010-0000-0000-000057190000}" name="Coluna6482"/>
    <tableColumn id="6488" xr3:uid="{00000000-0010-0000-0000-000058190000}" name="Coluna6483"/>
    <tableColumn id="6489" xr3:uid="{00000000-0010-0000-0000-000059190000}" name="Coluna6484"/>
    <tableColumn id="6490" xr3:uid="{00000000-0010-0000-0000-00005A190000}" name="Coluna6485"/>
    <tableColumn id="6491" xr3:uid="{00000000-0010-0000-0000-00005B190000}" name="Coluna6486"/>
    <tableColumn id="6492" xr3:uid="{00000000-0010-0000-0000-00005C190000}" name="Coluna6487"/>
    <tableColumn id="6493" xr3:uid="{00000000-0010-0000-0000-00005D190000}" name="Coluna6488"/>
    <tableColumn id="6494" xr3:uid="{00000000-0010-0000-0000-00005E190000}" name="Coluna6489"/>
    <tableColumn id="6495" xr3:uid="{00000000-0010-0000-0000-00005F190000}" name="Coluna6490"/>
    <tableColumn id="6496" xr3:uid="{00000000-0010-0000-0000-000060190000}" name="Coluna6491"/>
    <tableColumn id="6497" xr3:uid="{00000000-0010-0000-0000-000061190000}" name="Coluna6492"/>
    <tableColumn id="6498" xr3:uid="{00000000-0010-0000-0000-000062190000}" name="Coluna6493"/>
    <tableColumn id="6499" xr3:uid="{00000000-0010-0000-0000-000063190000}" name="Coluna6494"/>
    <tableColumn id="6500" xr3:uid="{00000000-0010-0000-0000-000064190000}" name="Coluna6495"/>
    <tableColumn id="6501" xr3:uid="{00000000-0010-0000-0000-000065190000}" name="Coluna6496"/>
    <tableColumn id="6502" xr3:uid="{00000000-0010-0000-0000-000066190000}" name="Coluna6497"/>
    <tableColumn id="6503" xr3:uid="{00000000-0010-0000-0000-000067190000}" name="Coluna6498"/>
    <tableColumn id="6504" xr3:uid="{00000000-0010-0000-0000-000068190000}" name="Coluna6499"/>
    <tableColumn id="6505" xr3:uid="{00000000-0010-0000-0000-000069190000}" name="Coluna6500"/>
    <tableColumn id="6506" xr3:uid="{00000000-0010-0000-0000-00006A190000}" name="Coluna6501"/>
    <tableColumn id="6507" xr3:uid="{00000000-0010-0000-0000-00006B190000}" name="Coluna6502"/>
    <tableColumn id="6508" xr3:uid="{00000000-0010-0000-0000-00006C190000}" name="Coluna6503"/>
    <tableColumn id="6509" xr3:uid="{00000000-0010-0000-0000-00006D190000}" name="Coluna6504"/>
    <tableColumn id="6510" xr3:uid="{00000000-0010-0000-0000-00006E190000}" name="Coluna6505"/>
    <tableColumn id="6511" xr3:uid="{00000000-0010-0000-0000-00006F190000}" name="Coluna6506"/>
    <tableColumn id="6512" xr3:uid="{00000000-0010-0000-0000-000070190000}" name="Coluna6507"/>
    <tableColumn id="6513" xr3:uid="{00000000-0010-0000-0000-000071190000}" name="Coluna6508"/>
    <tableColumn id="6514" xr3:uid="{00000000-0010-0000-0000-000072190000}" name="Coluna6509"/>
    <tableColumn id="6515" xr3:uid="{00000000-0010-0000-0000-000073190000}" name="Coluna6510"/>
    <tableColumn id="6516" xr3:uid="{00000000-0010-0000-0000-000074190000}" name="Coluna6511"/>
    <tableColumn id="6517" xr3:uid="{00000000-0010-0000-0000-000075190000}" name="Coluna6512"/>
    <tableColumn id="6518" xr3:uid="{00000000-0010-0000-0000-000076190000}" name="Coluna6513"/>
    <tableColumn id="6519" xr3:uid="{00000000-0010-0000-0000-000077190000}" name="Coluna6514"/>
    <tableColumn id="6520" xr3:uid="{00000000-0010-0000-0000-000078190000}" name="Coluna6515"/>
    <tableColumn id="6521" xr3:uid="{00000000-0010-0000-0000-000079190000}" name="Coluna6516"/>
    <tableColumn id="6522" xr3:uid="{00000000-0010-0000-0000-00007A190000}" name="Coluna6517"/>
    <tableColumn id="6523" xr3:uid="{00000000-0010-0000-0000-00007B190000}" name="Coluna6518"/>
    <tableColumn id="6524" xr3:uid="{00000000-0010-0000-0000-00007C190000}" name="Coluna6519"/>
    <tableColumn id="6525" xr3:uid="{00000000-0010-0000-0000-00007D190000}" name="Coluna6520"/>
    <tableColumn id="6526" xr3:uid="{00000000-0010-0000-0000-00007E190000}" name="Coluna6521"/>
    <tableColumn id="6527" xr3:uid="{00000000-0010-0000-0000-00007F190000}" name="Coluna6522"/>
    <tableColumn id="6528" xr3:uid="{00000000-0010-0000-0000-000080190000}" name="Coluna6523"/>
    <tableColumn id="6529" xr3:uid="{00000000-0010-0000-0000-000081190000}" name="Coluna6524"/>
    <tableColumn id="6530" xr3:uid="{00000000-0010-0000-0000-000082190000}" name="Coluna6525"/>
    <tableColumn id="6531" xr3:uid="{00000000-0010-0000-0000-000083190000}" name="Coluna6526"/>
    <tableColumn id="6532" xr3:uid="{00000000-0010-0000-0000-000084190000}" name="Coluna6527"/>
    <tableColumn id="6533" xr3:uid="{00000000-0010-0000-0000-000085190000}" name="Coluna6528"/>
    <tableColumn id="6534" xr3:uid="{00000000-0010-0000-0000-000086190000}" name="Coluna6529"/>
    <tableColumn id="6535" xr3:uid="{00000000-0010-0000-0000-000087190000}" name="Coluna6530"/>
    <tableColumn id="6536" xr3:uid="{00000000-0010-0000-0000-000088190000}" name="Coluna6531"/>
    <tableColumn id="6537" xr3:uid="{00000000-0010-0000-0000-000089190000}" name="Coluna6532"/>
    <tableColumn id="6538" xr3:uid="{00000000-0010-0000-0000-00008A190000}" name="Coluna6533"/>
    <tableColumn id="6539" xr3:uid="{00000000-0010-0000-0000-00008B190000}" name="Coluna6534"/>
    <tableColumn id="6540" xr3:uid="{00000000-0010-0000-0000-00008C190000}" name="Coluna6535"/>
    <tableColumn id="6541" xr3:uid="{00000000-0010-0000-0000-00008D190000}" name="Coluna6536"/>
    <tableColumn id="6542" xr3:uid="{00000000-0010-0000-0000-00008E190000}" name="Coluna6537"/>
    <tableColumn id="6543" xr3:uid="{00000000-0010-0000-0000-00008F190000}" name="Coluna6538"/>
    <tableColumn id="6544" xr3:uid="{00000000-0010-0000-0000-000090190000}" name="Coluna6539"/>
    <tableColumn id="6545" xr3:uid="{00000000-0010-0000-0000-000091190000}" name="Coluna6540"/>
    <tableColumn id="6546" xr3:uid="{00000000-0010-0000-0000-000092190000}" name="Coluna6541"/>
    <tableColumn id="6547" xr3:uid="{00000000-0010-0000-0000-000093190000}" name="Coluna6542"/>
    <tableColumn id="6548" xr3:uid="{00000000-0010-0000-0000-000094190000}" name="Coluna6543"/>
    <tableColumn id="6549" xr3:uid="{00000000-0010-0000-0000-000095190000}" name="Coluna6544"/>
    <tableColumn id="6550" xr3:uid="{00000000-0010-0000-0000-000096190000}" name="Coluna6545"/>
    <tableColumn id="6551" xr3:uid="{00000000-0010-0000-0000-000097190000}" name="Coluna6546"/>
    <tableColumn id="6552" xr3:uid="{00000000-0010-0000-0000-000098190000}" name="Coluna6547"/>
    <tableColumn id="6553" xr3:uid="{00000000-0010-0000-0000-000099190000}" name="Coluna6548"/>
    <tableColumn id="6554" xr3:uid="{00000000-0010-0000-0000-00009A190000}" name="Coluna6549"/>
    <tableColumn id="6555" xr3:uid="{00000000-0010-0000-0000-00009B190000}" name="Coluna6550"/>
    <tableColumn id="6556" xr3:uid="{00000000-0010-0000-0000-00009C190000}" name="Coluna6551"/>
    <tableColumn id="6557" xr3:uid="{00000000-0010-0000-0000-00009D190000}" name="Coluna6552"/>
    <tableColumn id="6558" xr3:uid="{00000000-0010-0000-0000-00009E190000}" name="Coluna6553"/>
    <tableColumn id="6559" xr3:uid="{00000000-0010-0000-0000-00009F190000}" name="Coluna6554"/>
    <tableColumn id="6560" xr3:uid="{00000000-0010-0000-0000-0000A0190000}" name="Coluna6555"/>
    <tableColumn id="6561" xr3:uid="{00000000-0010-0000-0000-0000A1190000}" name="Coluna6556"/>
    <tableColumn id="6562" xr3:uid="{00000000-0010-0000-0000-0000A2190000}" name="Coluna6557"/>
    <tableColumn id="6563" xr3:uid="{00000000-0010-0000-0000-0000A3190000}" name="Coluna6558"/>
    <tableColumn id="6564" xr3:uid="{00000000-0010-0000-0000-0000A4190000}" name="Coluna6559"/>
    <tableColumn id="6565" xr3:uid="{00000000-0010-0000-0000-0000A5190000}" name="Coluna6560"/>
    <tableColumn id="6566" xr3:uid="{00000000-0010-0000-0000-0000A6190000}" name="Coluna6561"/>
    <tableColumn id="6567" xr3:uid="{00000000-0010-0000-0000-0000A7190000}" name="Coluna6562"/>
    <tableColumn id="6568" xr3:uid="{00000000-0010-0000-0000-0000A8190000}" name="Coluna6563"/>
    <tableColumn id="6569" xr3:uid="{00000000-0010-0000-0000-0000A9190000}" name="Coluna6564"/>
    <tableColumn id="6570" xr3:uid="{00000000-0010-0000-0000-0000AA190000}" name="Coluna6565"/>
    <tableColumn id="6571" xr3:uid="{00000000-0010-0000-0000-0000AB190000}" name="Coluna6566"/>
    <tableColumn id="6572" xr3:uid="{00000000-0010-0000-0000-0000AC190000}" name="Coluna6567"/>
    <tableColumn id="6573" xr3:uid="{00000000-0010-0000-0000-0000AD190000}" name="Coluna6568"/>
    <tableColumn id="6574" xr3:uid="{00000000-0010-0000-0000-0000AE190000}" name="Coluna6569"/>
    <tableColumn id="6575" xr3:uid="{00000000-0010-0000-0000-0000AF190000}" name="Coluna6570"/>
    <tableColumn id="6576" xr3:uid="{00000000-0010-0000-0000-0000B0190000}" name="Coluna6571"/>
    <tableColumn id="6577" xr3:uid="{00000000-0010-0000-0000-0000B1190000}" name="Coluna6572"/>
    <tableColumn id="6578" xr3:uid="{00000000-0010-0000-0000-0000B2190000}" name="Coluna6573"/>
    <tableColumn id="6579" xr3:uid="{00000000-0010-0000-0000-0000B3190000}" name="Coluna6574"/>
    <tableColumn id="6580" xr3:uid="{00000000-0010-0000-0000-0000B4190000}" name="Coluna6575"/>
    <tableColumn id="6581" xr3:uid="{00000000-0010-0000-0000-0000B5190000}" name="Coluna6576"/>
    <tableColumn id="6582" xr3:uid="{00000000-0010-0000-0000-0000B6190000}" name="Coluna6577"/>
    <tableColumn id="6583" xr3:uid="{00000000-0010-0000-0000-0000B7190000}" name="Coluna6578"/>
    <tableColumn id="6584" xr3:uid="{00000000-0010-0000-0000-0000B8190000}" name="Coluna6579"/>
    <tableColumn id="6585" xr3:uid="{00000000-0010-0000-0000-0000B9190000}" name="Coluna6580"/>
    <tableColumn id="6586" xr3:uid="{00000000-0010-0000-0000-0000BA190000}" name="Coluna6581"/>
    <tableColumn id="6587" xr3:uid="{00000000-0010-0000-0000-0000BB190000}" name="Coluna6582"/>
    <tableColumn id="6588" xr3:uid="{00000000-0010-0000-0000-0000BC190000}" name="Coluna6583"/>
    <tableColumn id="6589" xr3:uid="{00000000-0010-0000-0000-0000BD190000}" name="Coluna6584"/>
    <tableColumn id="6590" xr3:uid="{00000000-0010-0000-0000-0000BE190000}" name="Coluna6585"/>
    <tableColumn id="6591" xr3:uid="{00000000-0010-0000-0000-0000BF190000}" name="Coluna6586"/>
    <tableColumn id="6592" xr3:uid="{00000000-0010-0000-0000-0000C0190000}" name="Coluna6587"/>
    <tableColumn id="6593" xr3:uid="{00000000-0010-0000-0000-0000C1190000}" name="Coluna6588"/>
    <tableColumn id="6594" xr3:uid="{00000000-0010-0000-0000-0000C2190000}" name="Coluna6589"/>
    <tableColumn id="6595" xr3:uid="{00000000-0010-0000-0000-0000C3190000}" name="Coluna6590"/>
    <tableColumn id="6596" xr3:uid="{00000000-0010-0000-0000-0000C4190000}" name="Coluna6591"/>
    <tableColumn id="6597" xr3:uid="{00000000-0010-0000-0000-0000C5190000}" name="Coluna6592"/>
    <tableColumn id="6598" xr3:uid="{00000000-0010-0000-0000-0000C6190000}" name="Coluna6593"/>
    <tableColumn id="6599" xr3:uid="{00000000-0010-0000-0000-0000C7190000}" name="Coluna6594"/>
    <tableColumn id="6600" xr3:uid="{00000000-0010-0000-0000-0000C8190000}" name="Coluna6595"/>
    <tableColumn id="6601" xr3:uid="{00000000-0010-0000-0000-0000C9190000}" name="Coluna6596"/>
    <tableColumn id="6602" xr3:uid="{00000000-0010-0000-0000-0000CA190000}" name="Coluna6597"/>
    <tableColumn id="6603" xr3:uid="{00000000-0010-0000-0000-0000CB190000}" name="Coluna6598"/>
    <tableColumn id="6604" xr3:uid="{00000000-0010-0000-0000-0000CC190000}" name="Coluna6599"/>
    <tableColumn id="6605" xr3:uid="{00000000-0010-0000-0000-0000CD190000}" name="Coluna6600"/>
    <tableColumn id="6606" xr3:uid="{00000000-0010-0000-0000-0000CE190000}" name="Coluna6601"/>
    <tableColumn id="6607" xr3:uid="{00000000-0010-0000-0000-0000CF190000}" name="Coluna6602"/>
    <tableColumn id="6608" xr3:uid="{00000000-0010-0000-0000-0000D0190000}" name="Coluna6603"/>
    <tableColumn id="6609" xr3:uid="{00000000-0010-0000-0000-0000D1190000}" name="Coluna6604"/>
    <tableColumn id="6610" xr3:uid="{00000000-0010-0000-0000-0000D2190000}" name="Coluna6605"/>
    <tableColumn id="6611" xr3:uid="{00000000-0010-0000-0000-0000D3190000}" name="Coluna6606"/>
    <tableColumn id="6612" xr3:uid="{00000000-0010-0000-0000-0000D4190000}" name="Coluna6607"/>
    <tableColumn id="6613" xr3:uid="{00000000-0010-0000-0000-0000D5190000}" name="Coluna6608"/>
    <tableColumn id="6614" xr3:uid="{00000000-0010-0000-0000-0000D6190000}" name="Coluna6609"/>
    <tableColumn id="6615" xr3:uid="{00000000-0010-0000-0000-0000D7190000}" name="Coluna6610"/>
    <tableColumn id="6616" xr3:uid="{00000000-0010-0000-0000-0000D8190000}" name="Coluna6611"/>
    <tableColumn id="6617" xr3:uid="{00000000-0010-0000-0000-0000D9190000}" name="Coluna6612"/>
    <tableColumn id="6618" xr3:uid="{00000000-0010-0000-0000-0000DA190000}" name="Coluna6613"/>
    <tableColumn id="6619" xr3:uid="{00000000-0010-0000-0000-0000DB190000}" name="Coluna6614"/>
    <tableColumn id="6620" xr3:uid="{00000000-0010-0000-0000-0000DC190000}" name="Coluna6615"/>
    <tableColumn id="6621" xr3:uid="{00000000-0010-0000-0000-0000DD190000}" name="Coluna6616"/>
    <tableColumn id="6622" xr3:uid="{00000000-0010-0000-0000-0000DE190000}" name="Coluna6617"/>
    <tableColumn id="6623" xr3:uid="{00000000-0010-0000-0000-0000DF190000}" name="Coluna6618"/>
    <tableColumn id="6624" xr3:uid="{00000000-0010-0000-0000-0000E0190000}" name="Coluna6619"/>
    <tableColumn id="6625" xr3:uid="{00000000-0010-0000-0000-0000E1190000}" name="Coluna6620"/>
    <tableColumn id="6626" xr3:uid="{00000000-0010-0000-0000-0000E2190000}" name="Coluna6621"/>
    <tableColumn id="6627" xr3:uid="{00000000-0010-0000-0000-0000E3190000}" name="Coluna6622"/>
    <tableColumn id="6628" xr3:uid="{00000000-0010-0000-0000-0000E4190000}" name="Coluna6623"/>
    <tableColumn id="6629" xr3:uid="{00000000-0010-0000-0000-0000E5190000}" name="Coluna6624"/>
    <tableColumn id="6630" xr3:uid="{00000000-0010-0000-0000-0000E6190000}" name="Coluna6625"/>
    <tableColumn id="6631" xr3:uid="{00000000-0010-0000-0000-0000E7190000}" name="Coluna6626"/>
    <tableColumn id="6632" xr3:uid="{00000000-0010-0000-0000-0000E8190000}" name="Coluna6627"/>
    <tableColumn id="6633" xr3:uid="{00000000-0010-0000-0000-0000E9190000}" name="Coluna6628"/>
    <tableColumn id="6634" xr3:uid="{00000000-0010-0000-0000-0000EA190000}" name="Coluna6629"/>
    <tableColumn id="6635" xr3:uid="{00000000-0010-0000-0000-0000EB190000}" name="Coluna6630"/>
    <tableColumn id="6636" xr3:uid="{00000000-0010-0000-0000-0000EC190000}" name="Coluna6631"/>
    <tableColumn id="6637" xr3:uid="{00000000-0010-0000-0000-0000ED190000}" name="Coluna6632"/>
    <tableColumn id="6638" xr3:uid="{00000000-0010-0000-0000-0000EE190000}" name="Coluna6633"/>
    <tableColumn id="6639" xr3:uid="{00000000-0010-0000-0000-0000EF190000}" name="Coluna6634"/>
    <tableColumn id="6640" xr3:uid="{00000000-0010-0000-0000-0000F0190000}" name="Coluna6635"/>
    <tableColumn id="6641" xr3:uid="{00000000-0010-0000-0000-0000F1190000}" name="Coluna6636"/>
    <tableColumn id="6642" xr3:uid="{00000000-0010-0000-0000-0000F2190000}" name="Coluna6637"/>
    <tableColumn id="6643" xr3:uid="{00000000-0010-0000-0000-0000F3190000}" name="Coluna6638"/>
    <tableColumn id="6644" xr3:uid="{00000000-0010-0000-0000-0000F4190000}" name="Coluna6639"/>
    <tableColumn id="6645" xr3:uid="{00000000-0010-0000-0000-0000F5190000}" name="Coluna6640"/>
    <tableColumn id="6646" xr3:uid="{00000000-0010-0000-0000-0000F6190000}" name="Coluna6641"/>
    <tableColumn id="6647" xr3:uid="{00000000-0010-0000-0000-0000F7190000}" name="Coluna6642"/>
    <tableColumn id="6648" xr3:uid="{00000000-0010-0000-0000-0000F8190000}" name="Coluna6643"/>
    <tableColumn id="6649" xr3:uid="{00000000-0010-0000-0000-0000F9190000}" name="Coluna6644"/>
    <tableColumn id="6650" xr3:uid="{00000000-0010-0000-0000-0000FA190000}" name="Coluna6645"/>
    <tableColumn id="6651" xr3:uid="{00000000-0010-0000-0000-0000FB190000}" name="Coluna6646"/>
    <tableColumn id="6652" xr3:uid="{00000000-0010-0000-0000-0000FC190000}" name="Coluna6647"/>
    <tableColumn id="6653" xr3:uid="{00000000-0010-0000-0000-0000FD190000}" name="Coluna6648"/>
    <tableColumn id="6654" xr3:uid="{00000000-0010-0000-0000-0000FE190000}" name="Coluna6649"/>
    <tableColumn id="6655" xr3:uid="{00000000-0010-0000-0000-0000FF190000}" name="Coluna6650"/>
    <tableColumn id="6656" xr3:uid="{00000000-0010-0000-0000-0000001A0000}" name="Coluna6651"/>
    <tableColumn id="6657" xr3:uid="{00000000-0010-0000-0000-0000011A0000}" name="Coluna6652"/>
    <tableColumn id="6658" xr3:uid="{00000000-0010-0000-0000-0000021A0000}" name="Coluna6653"/>
    <tableColumn id="6659" xr3:uid="{00000000-0010-0000-0000-0000031A0000}" name="Coluna6654"/>
    <tableColumn id="6660" xr3:uid="{00000000-0010-0000-0000-0000041A0000}" name="Coluna6655"/>
    <tableColumn id="6661" xr3:uid="{00000000-0010-0000-0000-0000051A0000}" name="Coluna6656"/>
    <tableColumn id="6662" xr3:uid="{00000000-0010-0000-0000-0000061A0000}" name="Coluna6657"/>
    <tableColumn id="6663" xr3:uid="{00000000-0010-0000-0000-0000071A0000}" name="Coluna6658"/>
    <tableColumn id="6664" xr3:uid="{00000000-0010-0000-0000-0000081A0000}" name="Coluna6659"/>
    <tableColumn id="6665" xr3:uid="{00000000-0010-0000-0000-0000091A0000}" name="Coluna6660"/>
    <tableColumn id="6666" xr3:uid="{00000000-0010-0000-0000-00000A1A0000}" name="Coluna6661"/>
    <tableColumn id="6667" xr3:uid="{00000000-0010-0000-0000-00000B1A0000}" name="Coluna6662"/>
    <tableColumn id="6668" xr3:uid="{00000000-0010-0000-0000-00000C1A0000}" name="Coluna6663"/>
    <tableColumn id="6669" xr3:uid="{00000000-0010-0000-0000-00000D1A0000}" name="Coluna6664"/>
    <tableColumn id="6670" xr3:uid="{00000000-0010-0000-0000-00000E1A0000}" name="Coluna6665"/>
    <tableColumn id="6671" xr3:uid="{00000000-0010-0000-0000-00000F1A0000}" name="Coluna6666"/>
    <tableColumn id="6672" xr3:uid="{00000000-0010-0000-0000-0000101A0000}" name="Coluna6667"/>
    <tableColumn id="6673" xr3:uid="{00000000-0010-0000-0000-0000111A0000}" name="Coluna6668"/>
    <tableColumn id="6674" xr3:uid="{00000000-0010-0000-0000-0000121A0000}" name="Coluna6669"/>
    <tableColumn id="6675" xr3:uid="{00000000-0010-0000-0000-0000131A0000}" name="Coluna6670"/>
    <tableColumn id="6676" xr3:uid="{00000000-0010-0000-0000-0000141A0000}" name="Coluna6671"/>
    <tableColumn id="6677" xr3:uid="{00000000-0010-0000-0000-0000151A0000}" name="Coluna6672"/>
    <tableColumn id="6678" xr3:uid="{00000000-0010-0000-0000-0000161A0000}" name="Coluna6673"/>
    <tableColumn id="6679" xr3:uid="{00000000-0010-0000-0000-0000171A0000}" name="Coluna6674"/>
    <tableColumn id="6680" xr3:uid="{00000000-0010-0000-0000-0000181A0000}" name="Coluna6675"/>
    <tableColumn id="6681" xr3:uid="{00000000-0010-0000-0000-0000191A0000}" name="Coluna6676"/>
    <tableColumn id="6682" xr3:uid="{00000000-0010-0000-0000-00001A1A0000}" name="Coluna6677"/>
    <tableColumn id="6683" xr3:uid="{00000000-0010-0000-0000-00001B1A0000}" name="Coluna6678"/>
    <tableColumn id="6684" xr3:uid="{00000000-0010-0000-0000-00001C1A0000}" name="Coluna6679"/>
    <tableColumn id="6685" xr3:uid="{00000000-0010-0000-0000-00001D1A0000}" name="Coluna6680"/>
    <tableColumn id="6686" xr3:uid="{00000000-0010-0000-0000-00001E1A0000}" name="Coluna6681"/>
    <tableColumn id="6687" xr3:uid="{00000000-0010-0000-0000-00001F1A0000}" name="Coluna6682"/>
    <tableColumn id="6688" xr3:uid="{00000000-0010-0000-0000-0000201A0000}" name="Coluna6683"/>
    <tableColumn id="6689" xr3:uid="{00000000-0010-0000-0000-0000211A0000}" name="Coluna6684"/>
    <tableColumn id="6690" xr3:uid="{00000000-0010-0000-0000-0000221A0000}" name="Coluna6685"/>
    <tableColumn id="6691" xr3:uid="{00000000-0010-0000-0000-0000231A0000}" name="Coluna6686"/>
    <tableColumn id="6692" xr3:uid="{00000000-0010-0000-0000-0000241A0000}" name="Coluna6687"/>
    <tableColumn id="6693" xr3:uid="{00000000-0010-0000-0000-0000251A0000}" name="Coluna6688"/>
    <tableColumn id="6694" xr3:uid="{00000000-0010-0000-0000-0000261A0000}" name="Coluna6689"/>
    <tableColumn id="6695" xr3:uid="{00000000-0010-0000-0000-0000271A0000}" name="Coluna6690"/>
    <tableColumn id="6696" xr3:uid="{00000000-0010-0000-0000-0000281A0000}" name="Coluna6691"/>
    <tableColumn id="6697" xr3:uid="{00000000-0010-0000-0000-0000291A0000}" name="Coluna6692"/>
    <tableColumn id="6698" xr3:uid="{00000000-0010-0000-0000-00002A1A0000}" name="Coluna6693"/>
    <tableColumn id="6699" xr3:uid="{00000000-0010-0000-0000-00002B1A0000}" name="Coluna6694"/>
    <tableColumn id="6700" xr3:uid="{00000000-0010-0000-0000-00002C1A0000}" name="Coluna6695"/>
    <tableColumn id="6701" xr3:uid="{00000000-0010-0000-0000-00002D1A0000}" name="Coluna6696"/>
    <tableColumn id="6702" xr3:uid="{00000000-0010-0000-0000-00002E1A0000}" name="Coluna6697"/>
    <tableColumn id="6703" xr3:uid="{00000000-0010-0000-0000-00002F1A0000}" name="Coluna6698"/>
    <tableColumn id="6704" xr3:uid="{00000000-0010-0000-0000-0000301A0000}" name="Coluna6699"/>
    <tableColumn id="6705" xr3:uid="{00000000-0010-0000-0000-0000311A0000}" name="Coluna6700"/>
    <tableColumn id="6706" xr3:uid="{00000000-0010-0000-0000-0000321A0000}" name="Coluna6701"/>
    <tableColumn id="6707" xr3:uid="{00000000-0010-0000-0000-0000331A0000}" name="Coluna6702"/>
    <tableColumn id="6708" xr3:uid="{00000000-0010-0000-0000-0000341A0000}" name="Coluna6703"/>
    <tableColumn id="6709" xr3:uid="{00000000-0010-0000-0000-0000351A0000}" name="Coluna6704"/>
    <tableColumn id="6710" xr3:uid="{00000000-0010-0000-0000-0000361A0000}" name="Coluna6705"/>
    <tableColumn id="6711" xr3:uid="{00000000-0010-0000-0000-0000371A0000}" name="Coluna6706"/>
    <tableColumn id="6712" xr3:uid="{00000000-0010-0000-0000-0000381A0000}" name="Coluna6707"/>
    <tableColumn id="6713" xr3:uid="{00000000-0010-0000-0000-0000391A0000}" name="Coluna6708"/>
    <tableColumn id="6714" xr3:uid="{00000000-0010-0000-0000-00003A1A0000}" name="Coluna6709"/>
    <tableColumn id="6715" xr3:uid="{00000000-0010-0000-0000-00003B1A0000}" name="Coluna6710"/>
    <tableColumn id="6716" xr3:uid="{00000000-0010-0000-0000-00003C1A0000}" name="Coluna6711"/>
    <tableColumn id="6717" xr3:uid="{00000000-0010-0000-0000-00003D1A0000}" name="Coluna6712"/>
    <tableColumn id="6718" xr3:uid="{00000000-0010-0000-0000-00003E1A0000}" name="Coluna6713"/>
    <tableColumn id="6719" xr3:uid="{00000000-0010-0000-0000-00003F1A0000}" name="Coluna6714"/>
    <tableColumn id="6720" xr3:uid="{00000000-0010-0000-0000-0000401A0000}" name="Coluna6715"/>
    <tableColumn id="6721" xr3:uid="{00000000-0010-0000-0000-0000411A0000}" name="Coluna6716"/>
    <tableColumn id="6722" xr3:uid="{00000000-0010-0000-0000-0000421A0000}" name="Coluna6717"/>
    <tableColumn id="6723" xr3:uid="{00000000-0010-0000-0000-0000431A0000}" name="Coluna6718"/>
    <tableColumn id="6724" xr3:uid="{00000000-0010-0000-0000-0000441A0000}" name="Coluna6719"/>
    <tableColumn id="6725" xr3:uid="{00000000-0010-0000-0000-0000451A0000}" name="Coluna6720"/>
    <tableColumn id="6726" xr3:uid="{00000000-0010-0000-0000-0000461A0000}" name="Coluna6721"/>
    <tableColumn id="6727" xr3:uid="{00000000-0010-0000-0000-0000471A0000}" name="Coluna6722"/>
    <tableColumn id="6728" xr3:uid="{00000000-0010-0000-0000-0000481A0000}" name="Coluna6723"/>
    <tableColumn id="6729" xr3:uid="{00000000-0010-0000-0000-0000491A0000}" name="Coluna6724"/>
    <tableColumn id="6730" xr3:uid="{00000000-0010-0000-0000-00004A1A0000}" name="Coluna6725"/>
    <tableColumn id="6731" xr3:uid="{00000000-0010-0000-0000-00004B1A0000}" name="Coluna6726"/>
    <tableColumn id="6732" xr3:uid="{00000000-0010-0000-0000-00004C1A0000}" name="Coluna6727"/>
    <tableColumn id="6733" xr3:uid="{00000000-0010-0000-0000-00004D1A0000}" name="Coluna6728"/>
    <tableColumn id="6734" xr3:uid="{00000000-0010-0000-0000-00004E1A0000}" name="Coluna6729"/>
    <tableColumn id="6735" xr3:uid="{00000000-0010-0000-0000-00004F1A0000}" name="Coluna6730"/>
    <tableColumn id="6736" xr3:uid="{00000000-0010-0000-0000-0000501A0000}" name="Coluna6731"/>
    <tableColumn id="6737" xr3:uid="{00000000-0010-0000-0000-0000511A0000}" name="Coluna6732"/>
    <tableColumn id="6738" xr3:uid="{00000000-0010-0000-0000-0000521A0000}" name="Coluna6733"/>
    <tableColumn id="6739" xr3:uid="{00000000-0010-0000-0000-0000531A0000}" name="Coluna6734"/>
    <tableColumn id="6740" xr3:uid="{00000000-0010-0000-0000-0000541A0000}" name="Coluna6735"/>
    <tableColumn id="6741" xr3:uid="{00000000-0010-0000-0000-0000551A0000}" name="Coluna6736"/>
    <tableColumn id="6742" xr3:uid="{00000000-0010-0000-0000-0000561A0000}" name="Coluna6737"/>
    <tableColumn id="6743" xr3:uid="{00000000-0010-0000-0000-0000571A0000}" name="Coluna6738"/>
    <tableColumn id="6744" xr3:uid="{00000000-0010-0000-0000-0000581A0000}" name="Coluna6739"/>
    <tableColumn id="6745" xr3:uid="{00000000-0010-0000-0000-0000591A0000}" name="Coluna6740"/>
    <tableColumn id="6746" xr3:uid="{00000000-0010-0000-0000-00005A1A0000}" name="Coluna6741"/>
    <tableColumn id="6747" xr3:uid="{00000000-0010-0000-0000-00005B1A0000}" name="Coluna6742"/>
    <tableColumn id="6748" xr3:uid="{00000000-0010-0000-0000-00005C1A0000}" name="Coluna6743"/>
    <tableColumn id="6749" xr3:uid="{00000000-0010-0000-0000-00005D1A0000}" name="Coluna6744"/>
    <tableColumn id="6750" xr3:uid="{00000000-0010-0000-0000-00005E1A0000}" name="Coluna6745"/>
    <tableColumn id="6751" xr3:uid="{00000000-0010-0000-0000-00005F1A0000}" name="Coluna6746"/>
    <tableColumn id="6752" xr3:uid="{00000000-0010-0000-0000-0000601A0000}" name="Coluna6747"/>
    <tableColumn id="6753" xr3:uid="{00000000-0010-0000-0000-0000611A0000}" name="Coluna6748"/>
    <tableColumn id="6754" xr3:uid="{00000000-0010-0000-0000-0000621A0000}" name="Coluna6749"/>
    <tableColumn id="6755" xr3:uid="{00000000-0010-0000-0000-0000631A0000}" name="Coluna6750"/>
    <tableColumn id="6756" xr3:uid="{00000000-0010-0000-0000-0000641A0000}" name="Coluna6751"/>
    <tableColumn id="6757" xr3:uid="{00000000-0010-0000-0000-0000651A0000}" name="Coluna6752"/>
    <tableColumn id="6758" xr3:uid="{00000000-0010-0000-0000-0000661A0000}" name="Coluna6753"/>
    <tableColumn id="6759" xr3:uid="{00000000-0010-0000-0000-0000671A0000}" name="Coluna6754"/>
    <tableColumn id="6760" xr3:uid="{00000000-0010-0000-0000-0000681A0000}" name="Coluna6755"/>
    <tableColumn id="6761" xr3:uid="{00000000-0010-0000-0000-0000691A0000}" name="Coluna6756"/>
    <tableColumn id="6762" xr3:uid="{00000000-0010-0000-0000-00006A1A0000}" name="Coluna6757"/>
    <tableColumn id="6763" xr3:uid="{00000000-0010-0000-0000-00006B1A0000}" name="Coluna6758"/>
    <tableColumn id="6764" xr3:uid="{00000000-0010-0000-0000-00006C1A0000}" name="Coluna6759"/>
    <tableColumn id="6765" xr3:uid="{00000000-0010-0000-0000-00006D1A0000}" name="Coluna6760"/>
    <tableColumn id="6766" xr3:uid="{00000000-0010-0000-0000-00006E1A0000}" name="Coluna6761"/>
    <tableColumn id="6767" xr3:uid="{00000000-0010-0000-0000-00006F1A0000}" name="Coluna6762"/>
    <tableColumn id="6768" xr3:uid="{00000000-0010-0000-0000-0000701A0000}" name="Coluna6763"/>
    <tableColumn id="6769" xr3:uid="{00000000-0010-0000-0000-0000711A0000}" name="Coluna6764"/>
    <tableColumn id="6770" xr3:uid="{00000000-0010-0000-0000-0000721A0000}" name="Coluna6765"/>
    <tableColumn id="6771" xr3:uid="{00000000-0010-0000-0000-0000731A0000}" name="Coluna6766"/>
    <tableColumn id="6772" xr3:uid="{00000000-0010-0000-0000-0000741A0000}" name="Coluna6767"/>
    <tableColumn id="6773" xr3:uid="{00000000-0010-0000-0000-0000751A0000}" name="Coluna6768"/>
    <tableColumn id="6774" xr3:uid="{00000000-0010-0000-0000-0000761A0000}" name="Coluna6769"/>
    <tableColumn id="6775" xr3:uid="{00000000-0010-0000-0000-0000771A0000}" name="Coluna6770"/>
    <tableColumn id="6776" xr3:uid="{00000000-0010-0000-0000-0000781A0000}" name="Coluna6771"/>
    <tableColumn id="6777" xr3:uid="{00000000-0010-0000-0000-0000791A0000}" name="Coluna6772"/>
    <tableColumn id="6778" xr3:uid="{00000000-0010-0000-0000-00007A1A0000}" name="Coluna6773"/>
    <tableColumn id="6779" xr3:uid="{00000000-0010-0000-0000-00007B1A0000}" name="Coluna6774"/>
    <tableColumn id="6780" xr3:uid="{00000000-0010-0000-0000-00007C1A0000}" name="Coluna6775"/>
    <tableColumn id="6781" xr3:uid="{00000000-0010-0000-0000-00007D1A0000}" name="Coluna6776"/>
    <tableColumn id="6782" xr3:uid="{00000000-0010-0000-0000-00007E1A0000}" name="Coluna6777"/>
    <tableColumn id="6783" xr3:uid="{00000000-0010-0000-0000-00007F1A0000}" name="Coluna6778"/>
    <tableColumn id="6784" xr3:uid="{00000000-0010-0000-0000-0000801A0000}" name="Coluna6779"/>
    <tableColumn id="6785" xr3:uid="{00000000-0010-0000-0000-0000811A0000}" name="Coluna6780"/>
    <tableColumn id="6786" xr3:uid="{00000000-0010-0000-0000-0000821A0000}" name="Coluna6781"/>
    <tableColumn id="6787" xr3:uid="{00000000-0010-0000-0000-0000831A0000}" name="Coluna6782"/>
    <tableColumn id="6788" xr3:uid="{00000000-0010-0000-0000-0000841A0000}" name="Coluna6783"/>
    <tableColumn id="6789" xr3:uid="{00000000-0010-0000-0000-0000851A0000}" name="Coluna6784"/>
    <tableColumn id="6790" xr3:uid="{00000000-0010-0000-0000-0000861A0000}" name="Coluna6785"/>
    <tableColumn id="6791" xr3:uid="{00000000-0010-0000-0000-0000871A0000}" name="Coluna6786"/>
    <tableColumn id="6792" xr3:uid="{00000000-0010-0000-0000-0000881A0000}" name="Coluna6787"/>
    <tableColumn id="6793" xr3:uid="{00000000-0010-0000-0000-0000891A0000}" name="Coluna6788"/>
    <tableColumn id="6794" xr3:uid="{00000000-0010-0000-0000-00008A1A0000}" name="Coluna6789"/>
    <tableColumn id="6795" xr3:uid="{00000000-0010-0000-0000-00008B1A0000}" name="Coluna6790"/>
    <tableColumn id="6796" xr3:uid="{00000000-0010-0000-0000-00008C1A0000}" name="Coluna6791"/>
    <tableColumn id="6797" xr3:uid="{00000000-0010-0000-0000-00008D1A0000}" name="Coluna6792"/>
    <tableColumn id="6798" xr3:uid="{00000000-0010-0000-0000-00008E1A0000}" name="Coluna6793"/>
    <tableColumn id="6799" xr3:uid="{00000000-0010-0000-0000-00008F1A0000}" name="Coluna6794"/>
    <tableColumn id="6800" xr3:uid="{00000000-0010-0000-0000-0000901A0000}" name="Coluna6795"/>
    <tableColumn id="6801" xr3:uid="{00000000-0010-0000-0000-0000911A0000}" name="Coluna6796"/>
    <tableColumn id="6802" xr3:uid="{00000000-0010-0000-0000-0000921A0000}" name="Coluna6797"/>
    <tableColumn id="6803" xr3:uid="{00000000-0010-0000-0000-0000931A0000}" name="Coluna6798"/>
    <tableColumn id="6804" xr3:uid="{00000000-0010-0000-0000-0000941A0000}" name="Coluna6799"/>
    <tableColumn id="6805" xr3:uid="{00000000-0010-0000-0000-0000951A0000}" name="Coluna6800"/>
    <tableColumn id="6806" xr3:uid="{00000000-0010-0000-0000-0000961A0000}" name="Coluna6801"/>
    <tableColumn id="6807" xr3:uid="{00000000-0010-0000-0000-0000971A0000}" name="Coluna6802"/>
    <tableColumn id="6808" xr3:uid="{00000000-0010-0000-0000-0000981A0000}" name="Coluna6803"/>
    <tableColumn id="6809" xr3:uid="{00000000-0010-0000-0000-0000991A0000}" name="Coluna6804"/>
    <tableColumn id="6810" xr3:uid="{00000000-0010-0000-0000-00009A1A0000}" name="Coluna6805"/>
    <tableColumn id="6811" xr3:uid="{00000000-0010-0000-0000-00009B1A0000}" name="Coluna6806"/>
    <tableColumn id="6812" xr3:uid="{00000000-0010-0000-0000-00009C1A0000}" name="Coluna6807"/>
    <tableColumn id="6813" xr3:uid="{00000000-0010-0000-0000-00009D1A0000}" name="Coluna6808"/>
    <tableColumn id="6814" xr3:uid="{00000000-0010-0000-0000-00009E1A0000}" name="Coluna6809"/>
    <tableColumn id="6815" xr3:uid="{00000000-0010-0000-0000-00009F1A0000}" name="Coluna6810"/>
    <tableColumn id="6816" xr3:uid="{00000000-0010-0000-0000-0000A01A0000}" name="Coluna6811"/>
    <tableColumn id="6817" xr3:uid="{00000000-0010-0000-0000-0000A11A0000}" name="Coluna6812"/>
    <tableColumn id="6818" xr3:uid="{00000000-0010-0000-0000-0000A21A0000}" name="Coluna6813"/>
    <tableColumn id="6819" xr3:uid="{00000000-0010-0000-0000-0000A31A0000}" name="Coluna6814"/>
    <tableColumn id="6820" xr3:uid="{00000000-0010-0000-0000-0000A41A0000}" name="Coluna6815"/>
    <tableColumn id="6821" xr3:uid="{00000000-0010-0000-0000-0000A51A0000}" name="Coluna6816"/>
    <tableColumn id="6822" xr3:uid="{00000000-0010-0000-0000-0000A61A0000}" name="Coluna6817"/>
    <tableColumn id="6823" xr3:uid="{00000000-0010-0000-0000-0000A71A0000}" name="Coluna6818"/>
    <tableColumn id="6824" xr3:uid="{00000000-0010-0000-0000-0000A81A0000}" name="Coluna6819"/>
    <tableColumn id="6825" xr3:uid="{00000000-0010-0000-0000-0000A91A0000}" name="Coluna6820"/>
    <tableColumn id="6826" xr3:uid="{00000000-0010-0000-0000-0000AA1A0000}" name="Coluna6821"/>
    <tableColumn id="6827" xr3:uid="{00000000-0010-0000-0000-0000AB1A0000}" name="Coluna6822"/>
    <tableColumn id="6828" xr3:uid="{00000000-0010-0000-0000-0000AC1A0000}" name="Coluna6823"/>
    <tableColumn id="6829" xr3:uid="{00000000-0010-0000-0000-0000AD1A0000}" name="Coluna6824"/>
    <tableColumn id="6830" xr3:uid="{00000000-0010-0000-0000-0000AE1A0000}" name="Coluna6825"/>
    <tableColumn id="6831" xr3:uid="{00000000-0010-0000-0000-0000AF1A0000}" name="Coluna6826"/>
    <tableColumn id="6832" xr3:uid="{00000000-0010-0000-0000-0000B01A0000}" name="Coluna6827"/>
    <tableColumn id="6833" xr3:uid="{00000000-0010-0000-0000-0000B11A0000}" name="Coluna6828"/>
    <tableColumn id="6834" xr3:uid="{00000000-0010-0000-0000-0000B21A0000}" name="Coluna6829"/>
    <tableColumn id="6835" xr3:uid="{00000000-0010-0000-0000-0000B31A0000}" name="Coluna6830"/>
    <tableColumn id="6836" xr3:uid="{00000000-0010-0000-0000-0000B41A0000}" name="Coluna6831"/>
    <tableColumn id="6837" xr3:uid="{00000000-0010-0000-0000-0000B51A0000}" name="Coluna6832"/>
    <tableColumn id="6838" xr3:uid="{00000000-0010-0000-0000-0000B61A0000}" name="Coluna6833"/>
    <tableColumn id="6839" xr3:uid="{00000000-0010-0000-0000-0000B71A0000}" name="Coluna6834"/>
    <tableColumn id="6840" xr3:uid="{00000000-0010-0000-0000-0000B81A0000}" name="Coluna6835"/>
    <tableColumn id="6841" xr3:uid="{00000000-0010-0000-0000-0000B91A0000}" name="Coluna6836"/>
    <tableColumn id="6842" xr3:uid="{00000000-0010-0000-0000-0000BA1A0000}" name="Coluna6837"/>
    <tableColumn id="6843" xr3:uid="{00000000-0010-0000-0000-0000BB1A0000}" name="Coluna6838"/>
    <tableColumn id="6844" xr3:uid="{00000000-0010-0000-0000-0000BC1A0000}" name="Coluna6839"/>
    <tableColumn id="6845" xr3:uid="{00000000-0010-0000-0000-0000BD1A0000}" name="Coluna6840"/>
    <tableColumn id="6846" xr3:uid="{00000000-0010-0000-0000-0000BE1A0000}" name="Coluna6841"/>
    <tableColumn id="6847" xr3:uid="{00000000-0010-0000-0000-0000BF1A0000}" name="Coluna6842"/>
    <tableColumn id="6848" xr3:uid="{00000000-0010-0000-0000-0000C01A0000}" name="Coluna6843"/>
    <tableColumn id="6849" xr3:uid="{00000000-0010-0000-0000-0000C11A0000}" name="Coluna6844"/>
    <tableColumn id="6850" xr3:uid="{00000000-0010-0000-0000-0000C21A0000}" name="Coluna6845"/>
    <tableColumn id="6851" xr3:uid="{00000000-0010-0000-0000-0000C31A0000}" name="Coluna6846"/>
    <tableColumn id="6852" xr3:uid="{00000000-0010-0000-0000-0000C41A0000}" name="Coluna6847"/>
    <tableColumn id="6853" xr3:uid="{00000000-0010-0000-0000-0000C51A0000}" name="Coluna6848"/>
    <tableColumn id="6854" xr3:uid="{00000000-0010-0000-0000-0000C61A0000}" name="Coluna6849"/>
    <tableColumn id="6855" xr3:uid="{00000000-0010-0000-0000-0000C71A0000}" name="Coluna6850"/>
    <tableColumn id="6856" xr3:uid="{00000000-0010-0000-0000-0000C81A0000}" name="Coluna6851"/>
    <tableColumn id="6857" xr3:uid="{00000000-0010-0000-0000-0000C91A0000}" name="Coluna6852"/>
    <tableColumn id="6858" xr3:uid="{00000000-0010-0000-0000-0000CA1A0000}" name="Coluna6853"/>
    <tableColumn id="6859" xr3:uid="{00000000-0010-0000-0000-0000CB1A0000}" name="Coluna6854"/>
    <tableColumn id="6860" xr3:uid="{00000000-0010-0000-0000-0000CC1A0000}" name="Coluna6855"/>
    <tableColumn id="6861" xr3:uid="{00000000-0010-0000-0000-0000CD1A0000}" name="Coluna6856"/>
    <tableColumn id="6862" xr3:uid="{00000000-0010-0000-0000-0000CE1A0000}" name="Coluna6857"/>
    <tableColumn id="6863" xr3:uid="{00000000-0010-0000-0000-0000CF1A0000}" name="Coluna6858"/>
    <tableColumn id="6864" xr3:uid="{00000000-0010-0000-0000-0000D01A0000}" name="Coluna6859"/>
    <tableColumn id="6865" xr3:uid="{00000000-0010-0000-0000-0000D11A0000}" name="Coluna6860"/>
    <tableColumn id="6866" xr3:uid="{00000000-0010-0000-0000-0000D21A0000}" name="Coluna6861"/>
    <tableColumn id="6867" xr3:uid="{00000000-0010-0000-0000-0000D31A0000}" name="Coluna6862"/>
    <tableColumn id="6868" xr3:uid="{00000000-0010-0000-0000-0000D41A0000}" name="Coluna6863"/>
    <tableColumn id="6869" xr3:uid="{00000000-0010-0000-0000-0000D51A0000}" name="Coluna6864"/>
    <tableColumn id="6870" xr3:uid="{00000000-0010-0000-0000-0000D61A0000}" name="Coluna6865"/>
    <tableColumn id="6871" xr3:uid="{00000000-0010-0000-0000-0000D71A0000}" name="Coluna6866"/>
    <tableColumn id="6872" xr3:uid="{00000000-0010-0000-0000-0000D81A0000}" name="Coluna6867"/>
    <tableColumn id="6873" xr3:uid="{00000000-0010-0000-0000-0000D91A0000}" name="Coluna6868"/>
    <tableColumn id="6874" xr3:uid="{00000000-0010-0000-0000-0000DA1A0000}" name="Coluna6869"/>
    <tableColumn id="6875" xr3:uid="{00000000-0010-0000-0000-0000DB1A0000}" name="Coluna6870"/>
    <tableColumn id="6876" xr3:uid="{00000000-0010-0000-0000-0000DC1A0000}" name="Coluna6871"/>
    <tableColumn id="6877" xr3:uid="{00000000-0010-0000-0000-0000DD1A0000}" name="Coluna6872"/>
    <tableColumn id="6878" xr3:uid="{00000000-0010-0000-0000-0000DE1A0000}" name="Coluna6873"/>
    <tableColumn id="6879" xr3:uid="{00000000-0010-0000-0000-0000DF1A0000}" name="Coluna6874"/>
    <tableColumn id="6880" xr3:uid="{00000000-0010-0000-0000-0000E01A0000}" name="Coluna6875"/>
    <tableColumn id="6881" xr3:uid="{00000000-0010-0000-0000-0000E11A0000}" name="Coluna6876"/>
    <tableColumn id="6882" xr3:uid="{00000000-0010-0000-0000-0000E21A0000}" name="Coluna6877"/>
    <tableColumn id="6883" xr3:uid="{00000000-0010-0000-0000-0000E31A0000}" name="Coluna6878"/>
    <tableColumn id="6884" xr3:uid="{00000000-0010-0000-0000-0000E41A0000}" name="Coluna6879"/>
    <tableColumn id="6885" xr3:uid="{00000000-0010-0000-0000-0000E51A0000}" name="Coluna6880"/>
    <tableColumn id="6886" xr3:uid="{00000000-0010-0000-0000-0000E61A0000}" name="Coluna6881"/>
    <tableColumn id="6887" xr3:uid="{00000000-0010-0000-0000-0000E71A0000}" name="Coluna6882"/>
    <tableColumn id="6888" xr3:uid="{00000000-0010-0000-0000-0000E81A0000}" name="Coluna6883"/>
    <tableColumn id="6889" xr3:uid="{00000000-0010-0000-0000-0000E91A0000}" name="Coluna6884"/>
    <tableColumn id="6890" xr3:uid="{00000000-0010-0000-0000-0000EA1A0000}" name="Coluna6885"/>
    <tableColumn id="6891" xr3:uid="{00000000-0010-0000-0000-0000EB1A0000}" name="Coluna6886"/>
    <tableColumn id="6892" xr3:uid="{00000000-0010-0000-0000-0000EC1A0000}" name="Coluna6887"/>
    <tableColumn id="6893" xr3:uid="{00000000-0010-0000-0000-0000ED1A0000}" name="Coluna6888"/>
    <tableColumn id="6894" xr3:uid="{00000000-0010-0000-0000-0000EE1A0000}" name="Coluna6889"/>
    <tableColumn id="6895" xr3:uid="{00000000-0010-0000-0000-0000EF1A0000}" name="Coluna6890"/>
    <tableColumn id="6896" xr3:uid="{00000000-0010-0000-0000-0000F01A0000}" name="Coluna6891"/>
    <tableColumn id="6897" xr3:uid="{00000000-0010-0000-0000-0000F11A0000}" name="Coluna6892"/>
    <tableColumn id="6898" xr3:uid="{00000000-0010-0000-0000-0000F21A0000}" name="Coluna6893"/>
    <tableColumn id="6899" xr3:uid="{00000000-0010-0000-0000-0000F31A0000}" name="Coluna6894"/>
    <tableColumn id="6900" xr3:uid="{00000000-0010-0000-0000-0000F41A0000}" name="Coluna6895"/>
    <tableColumn id="6901" xr3:uid="{00000000-0010-0000-0000-0000F51A0000}" name="Coluna6896"/>
    <tableColumn id="6902" xr3:uid="{00000000-0010-0000-0000-0000F61A0000}" name="Coluna6897"/>
    <tableColumn id="6903" xr3:uid="{00000000-0010-0000-0000-0000F71A0000}" name="Coluna6898"/>
    <tableColumn id="6904" xr3:uid="{00000000-0010-0000-0000-0000F81A0000}" name="Coluna6899"/>
    <tableColumn id="6905" xr3:uid="{00000000-0010-0000-0000-0000F91A0000}" name="Coluna6900"/>
    <tableColumn id="6906" xr3:uid="{00000000-0010-0000-0000-0000FA1A0000}" name="Coluna6901"/>
    <tableColumn id="6907" xr3:uid="{00000000-0010-0000-0000-0000FB1A0000}" name="Coluna6902"/>
    <tableColumn id="6908" xr3:uid="{00000000-0010-0000-0000-0000FC1A0000}" name="Coluna6903"/>
    <tableColumn id="6909" xr3:uid="{00000000-0010-0000-0000-0000FD1A0000}" name="Coluna6904"/>
    <tableColumn id="6910" xr3:uid="{00000000-0010-0000-0000-0000FE1A0000}" name="Coluna6905"/>
    <tableColumn id="6911" xr3:uid="{00000000-0010-0000-0000-0000FF1A0000}" name="Coluna6906"/>
    <tableColumn id="6912" xr3:uid="{00000000-0010-0000-0000-0000001B0000}" name="Coluna6907"/>
    <tableColumn id="6913" xr3:uid="{00000000-0010-0000-0000-0000011B0000}" name="Coluna6908"/>
    <tableColumn id="6914" xr3:uid="{00000000-0010-0000-0000-0000021B0000}" name="Coluna6909"/>
    <tableColumn id="6915" xr3:uid="{00000000-0010-0000-0000-0000031B0000}" name="Coluna6910"/>
    <tableColumn id="6916" xr3:uid="{00000000-0010-0000-0000-0000041B0000}" name="Coluna6911"/>
    <tableColumn id="6917" xr3:uid="{00000000-0010-0000-0000-0000051B0000}" name="Coluna6912"/>
    <tableColumn id="6918" xr3:uid="{00000000-0010-0000-0000-0000061B0000}" name="Coluna6913"/>
    <tableColumn id="6919" xr3:uid="{00000000-0010-0000-0000-0000071B0000}" name="Coluna6914"/>
    <tableColumn id="6920" xr3:uid="{00000000-0010-0000-0000-0000081B0000}" name="Coluna6915"/>
    <tableColumn id="6921" xr3:uid="{00000000-0010-0000-0000-0000091B0000}" name="Coluna6916"/>
    <tableColumn id="6922" xr3:uid="{00000000-0010-0000-0000-00000A1B0000}" name="Coluna6917"/>
    <tableColumn id="6923" xr3:uid="{00000000-0010-0000-0000-00000B1B0000}" name="Coluna6918"/>
    <tableColumn id="6924" xr3:uid="{00000000-0010-0000-0000-00000C1B0000}" name="Coluna6919"/>
    <tableColumn id="6925" xr3:uid="{00000000-0010-0000-0000-00000D1B0000}" name="Coluna6920"/>
    <tableColumn id="6926" xr3:uid="{00000000-0010-0000-0000-00000E1B0000}" name="Coluna6921"/>
    <tableColumn id="6927" xr3:uid="{00000000-0010-0000-0000-00000F1B0000}" name="Coluna6922"/>
    <tableColumn id="6928" xr3:uid="{00000000-0010-0000-0000-0000101B0000}" name="Coluna6923"/>
    <tableColumn id="6929" xr3:uid="{00000000-0010-0000-0000-0000111B0000}" name="Coluna6924"/>
    <tableColumn id="6930" xr3:uid="{00000000-0010-0000-0000-0000121B0000}" name="Coluna6925"/>
    <tableColumn id="6931" xr3:uid="{00000000-0010-0000-0000-0000131B0000}" name="Coluna6926"/>
    <tableColumn id="6932" xr3:uid="{00000000-0010-0000-0000-0000141B0000}" name="Coluna6927"/>
    <tableColumn id="6933" xr3:uid="{00000000-0010-0000-0000-0000151B0000}" name="Coluna6928"/>
    <tableColumn id="6934" xr3:uid="{00000000-0010-0000-0000-0000161B0000}" name="Coluna6929"/>
    <tableColumn id="6935" xr3:uid="{00000000-0010-0000-0000-0000171B0000}" name="Coluna6930"/>
    <tableColumn id="6936" xr3:uid="{00000000-0010-0000-0000-0000181B0000}" name="Coluna6931"/>
    <tableColumn id="6937" xr3:uid="{00000000-0010-0000-0000-0000191B0000}" name="Coluna6932"/>
    <tableColumn id="6938" xr3:uid="{00000000-0010-0000-0000-00001A1B0000}" name="Coluna6933"/>
    <tableColumn id="6939" xr3:uid="{00000000-0010-0000-0000-00001B1B0000}" name="Coluna6934"/>
    <tableColumn id="6940" xr3:uid="{00000000-0010-0000-0000-00001C1B0000}" name="Coluna6935"/>
    <tableColumn id="6941" xr3:uid="{00000000-0010-0000-0000-00001D1B0000}" name="Coluna6936"/>
    <tableColumn id="6942" xr3:uid="{00000000-0010-0000-0000-00001E1B0000}" name="Coluna6937"/>
    <tableColumn id="6943" xr3:uid="{00000000-0010-0000-0000-00001F1B0000}" name="Coluna6938"/>
    <tableColumn id="6944" xr3:uid="{00000000-0010-0000-0000-0000201B0000}" name="Coluna6939"/>
    <tableColumn id="6945" xr3:uid="{00000000-0010-0000-0000-0000211B0000}" name="Coluna6940"/>
    <tableColumn id="6946" xr3:uid="{00000000-0010-0000-0000-0000221B0000}" name="Coluna6941"/>
    <tableColumn id="6947" xr3:uid="{00000000-0010-0000-0000-0000231B0000}" name="Coluna6942"/>
    <tableColumn id="6948" xr3:uid="{00000000-0010-0000-0000-0000241B0000}" name="Coluna6943"/>
    <tableColumn id="6949" xr3:uid="{00000000-0010-0000-0000-0000251B0000}" name="Coluna6944"/>
    <tableColumn id="6950" xr3:uid="{00000000-0010-0000-0000-0000261B0000}" name="Coluna6945"/>
    <tableColumn id="6951" xr3:uid="{00000000-0010-0000-0000-0000271B0000}" name="Coluna6946"/>
    <tableColumn id="6952" xr3:uid="{00000000-0010-0000-0000-0000281B0000}" name="Coluna6947"/>
    <tableColumn id="6953" xr3:uid="{00000000-0010-0000-0000-0000291B0000}" name="Coluna6948"/>
    <tableColumn id="6954" xr3:uid="{00000000-0010-0000-0000-00002A1B0000}" name="Coluna6949"/>
    <tableColumn id="6955" xr3:uid="{00000000-0010-0000-0000-00002B1B0000}" name="Coluna6950"/>
    <tableColumn id="6956" xr3:uid="{00000000-0010-0000-0000-00002C1B0000}" name="Coluna6951"/>
    <tableColumn id="6957" xr3:uid="{00000000-0010-0000-0000-00002D1B0000}" name="Coluna6952"/>
    <tableColumn id="6958" xr3:uid="{00000000-0010-0000-0000-00002E1B0000}" name="Coluna6953"/>
    <tableColumn id="6959" xr3:uid="{00000000-0010-0000-0000-00002F1B0000}" name="Coluna6954"/>
    <tableColumn id="6960" xr3:uid="{00000000-0010-0000-0000-0000301B0000}" name="Coluna6955"/>
    <tableColumn id="6961" xr3:uid="{00000000-0010-0000-0000-0000311B0000}" name="Coluna6956"/>
    <tableColumn id="6962" xr3:uid="{00000000-0010-0000-0000-0000321B0000}" name="Coluna6957"/>
    <tableColumn id="6963" xr3:uid="{00000000-0010-0000-0000-0000331B0000}" name="Coluna6958"/>
    <tableColumn id="6964" xr3:uid="{00000000-0010-0000-0000-0000341B0000}" name="Coluna6959"/>
    <tableColumn id="6965" xr3:uid="{00000000-0010-0000-0000-0000351B0000}" name="Coluna6960"/>
    <tableColumn id="6966" xr3:uid="{00000000-0010-0000-0000-0000361B0000}" name="Coluna6961"/>
    <tableColumn id="6967" xr3:uid="{00000000-0010-0000-0000-0000371B0000}" name="Coluna6962"/>
    <tableColumn id="6968" xr3:uid="{00000000-0010-0000-0000-0000381B0000}" name="Coluna6963"/>
    <tableColumn id="6969" xr3:uid="{00000000-0010-0000-0000-0000391B0000}" name="Coluna6964"/>
    <tableColumn id="6970" xr3:uid="{00000000-0010-0000-0000-00003A1B0000}" name="Coluna6965"/>
    <tableColumn id="6971" xr3:uid="{00000000-0010-0000-0000-00003B1B0000}" name="Coluna6966"/>
    <tableColumn id="6972" xr3:uid="{00000000-0010-0000-0000-00003C1B0000}" name="Coluna6967"/>
    <tableColumn id="6973" xr3:uid="{00000000-0010-0000-0000-00003D1B0000}" name="Coluna6968"/>
    <tableColumn id="6974" xr3:uid="{00000000-0010-0000-0000-00003E1B0000}" name="Coluna6969"/>
    <tableColumn id="6975" xr3:uid="{00000000-0010-0000-0000-00003F1B0000}" name="Coluna6970"/>
    <tableColumn id="6976" xr3:uid="{00000000-0010-0000-0000-0000401B0000}" name="Coluna6971"/>
    <tableColumn id="6977" xr3:uid="{00000000-0010-0000-0000-0000411B0000}" name="Coluna6972"/>
    <tableColumn id="6978" xr3:uid="{00000000-0010-0000-0000-0000421B0000}" name="Coluna6973"/>
    <tableColumn id="6979" xr3:uid="{00000000-0010-0000-0000-0000431B0000}" name="Coluna6974"/>
    <tableColumn id="6980" xr3:uid="{00000000-0010-0000-0000-0000441B0000}" name="Coluna6975"/>
    <tableColumn id="6981" xr3:uid="{00000000-0010-0000-0000-0000451B0000}" name="Coluna6976"/>
    <tableColumn id="6982" xr3:uid="{00000000-0010-0000-0000-0000461B0000}" name="Coluna6977"/>
    <tableColumn id="6983" xr3:uid="{00000000-0010-0000-0000-0000471B0000}" name="Coluna6978"/>
    <tableColumn id="6984" xr3:uid="{00000000-0010-0000-0000-0000481B0000}" name="Coluna6979"/>
    <tableColumn id="6985" xr3:uid="{00000000-0010-0000-0000-0000491B0000}" name="Coluna6980"/>
    <tableColumn id="6986" xr3:uid="{00000000-0010-0000-0000-00004A1B0000}" name="Coluna6981"/>
    <tableColumn id="6987" xr3:uid="{00000000-0010-0000-0000-00004B1B0000}" name="Coluna6982"/>
    <tableColumn id="6988" xr3:uid="{00000000-0010-0000-0000-00004C1B0000}" name="Coluna6983"/>
    <tableColumn id="6989" xr3:uid="{00000000-0010-0000-0000-00004D1B0000}" name="Coluna6984"/>
    <tableColumn id="6990" xr3:uid="{00000000-0010-0000-0000-00004E1B0000}" name="Coluna6985"/>
    <tableColumn id="6991" xr3:uid="{00000000-0010-0000-0000-00004F1B0000}" name="Coluna6986"/>
    <tableColumn id="6992" xr3:uid="{00000000-0010-0000-0000-0000501B0000}" name="Coluna6987"/>
    <tableColumn id="6993" xr3:uid="{00000000-0010-0000-0000-0000511B0000}" name="Coluna6988"/>
    <tableColumn id="6994" xr3:uid="{00000000-0010-0000-0000-0000521B0000}" name="Coluna6989"/>
    <tableColumn id="6995" xr3:uid="{00000000-0010-0000-0000-0000531B0000}" name="Coluna6990"/>
    <tableColumn id="6996" xr3:uid="{00000000-0010-0000-0000-0000541B0000}" name="Coluna6991"/>
    <tableColumn id="6997" xr3:uid="{00000000-0010-0000-0000-0000551B0000}" name="Coluna6992"/>
    <tableColumn id="6998" xr3:uid="{00000000-0010-0000-0000-0000561B0000}" name="Coluna6993"/>
    <tableColumn id="6999" xr3:uid="{00000000-0010-0000-0000-0000571B0000}" name="Coluna6994"/>
    <tableColumn id="7000" xr3:uid="{00000000-0010-0000-0000-0000581B0000}" name="Coluna6995"/>
    <tableColumn id="7001" xr3:uid="{00000000-0010-0000-0000-0000591B0000}" name="Coluna6996"/>
    <tableColumn id="7002" xr3:uid="{00000000-0010-0000-0000-00005A1B0000}" name="Coluna6997"/>
    <tableColumn id="7003" xr3:uid="{00000000-0010-0000-0000-00005B1B0000}" name="Coluna6998"/>
    <tableColumn id="7004" xr3:uid="{00000000-0010-0000-0000-00005C1B0000}" name="Coluna6999"/>
    <tableColumn id="7005" xr3:uid="{00000000-0010-0000-0000-00005D1B0000}" name="Coluna7000"/>
    <tableColumn id="7006" xr3:uid="{00000000-0010-0000-0000-00005E1B0000}" name="Coluna7001"/>
    <tableColumn id="7007" xr3:uid="{00000000-0010-0000-0000-00005F1B0000}" name="Coluna7002"/>
    <tableColumn id="7008" xr3:uid="{00000000-0010-0000-0000-0000601B0000}" name="Coluna7003"/>
    <tableColumn id="7009" xr3:uid="{00000000-0010-0000-0000-0000611B0000}" name="Coluna7004"/>
    <tableColumn id="7010" xr3:uid="{00000000-0010-0000-0000-0000621B0000}" name="Coluna7005"/>
    <tableColumn id="7011" xr3:uid="{00000000-0010-0000-0000-0000631B0000}" name="Coluna7006"/>
    <tableColumn id="7012" xr3:uid="{00000000-0010-0000-0000-0000641B0000}" name="Coluna7007"/>
    <tableColumn id="7013" xr3:uid="{00000000-0010-0000-0000-0000651B0000}" name="Coluna7008"/>
    <tableColumn id="7014" xr3:uid="{00000000-0010-0000-0000-0000661B0000}" name="Coluna7009"/>
    <tableColumn id="7015" xr3:uid="{00000000-0010-0000-0000-0000671B0000}" name="Coluna7010"/>
    <tableColumn id="7016" xr3:uid="{00000000-0010-0000-0000-0000681B0000}" name="Coluna7011"/>
    <tableColumn id="7017" xr3:uid="{00000000-0010-0000-0000-0000691B0000}" name="Coluna7012"/>
    <tableColumn id="7018" xr3:uid="{00000000-0010-0000-0000-00006A1B0000}" name="Coluna7013"/>
    <tableColumn id="7019" xr3:uid="{00000000-0010-0000-0000-00006B1B0000}" name="Coluna7014"/>
    <tableColumn id="7020" xr3:uid="{00000000-0010-0000-0000-00006C1B0000}" name="Coluna7015"/>
    <tableColumn id="7021" xr3:uid="{00000000-0010-0000-0000-00006D1B0000}" name="Coluna7016"/>
    <tableColumn id="7022" xr3:uid="{00000000-0010-0000-0000-00006E1B0000}" name="Coluna7017"/>
    <tableColumn id="7023" xr3:uid="{00000000-0010-0000-0000-00006F1B0000}" name="Coluna7018"/>
    <tableColumn id="7024" xr3:uid="{00000000-0010-0000-0000-0000701B0000}" name="Coluna7019"/>
    <tableColumn id="7025" xr3:uid="{00000000-0010-0000-0000-0000711B0000}" name="Coluna7020"/>
    <tableColumn id="7026" xr3:uid="{00000000-0010-0000-0000-0000721B0000}" name="Coluna7021"/>
    <tableColumn id="7027" xr3:uid="{00000000-0010-0000-0000-0000731B0000}" name="Coluna7022"/>
    <tableColumn id="7028" xr3:uid="{00000000-0010-0000-0000-0000741B0000}" name="Coluna7023"/>
    <tableColumn id="7029" xr3:uid="{00000000-0010-0000-0000-0000751B0000}" name="Coluna7024"/>
    <tableColumn id="7030" xr3:uid="{00000000-0010-0000-0000-0000761B0000}" name="Coluna7025"/>
    <tableColumn id="7031" xr3:uid="{00000000-0010-0000-0000-0000771B0000}" name="Coluna7026"/>
    <tableColumn id="7032" xr3:uid="{00000000-0010-0000-0000-0000781B0000}" name="Coluna7027"/>
    <tableColumn id="7033" xr3:uid="{00000000-0010-0000-0000-0000791B0000}" name="Coluna7028"/>
    <tableColumn id="7034" xr3:uid="{00000000-0010-0000-0000-00007A1B0000}" name="Coluna7029"/>
    <tableColumn id="7035" xr3:uid="{00000000-0010-0000-0000-00007B1B0000}" name="Coluna7030"/>
    <tableColumn id="7036" xr3:uid="{00000000-0010-0000-0000-00007C1B0000}" name="Coluna7031"/>
    <tableColumn id="7037" xr3:uid="{00000000-0010-0000-0000-00007D1B0000}" name="Coluna7032"/>
    <tableColumn id="7038" xr3:uid="{00000000-0010-0000-0000-00007E1B0000}" name="Coluna7033"/>
    <tableColumn id="7039" xr3:uid="{00000000-0010-0000-0000-00007F1B0000}" name="Coluna7034"/>
    <tableColumn id="7040" xr3:uid="{00000000-0010-0000-0000-0000801B0000}" name="Coluna7035"/>
    <tableColumn id="7041" xr3:uid="{00000000-0010-0000-0000-0000811B0000}" name="Coluna7036"/>
    <tableColumn id="7042" xr3:uid="{00000000-0010-0000-0000-0000821B0000}" name="Coluna7037"/>
    <tableColumn id="7043" xr3:uid="{00000000-0010-0000-0000-0000831B0000}" name="Coluna7038"/>
    <tableColumn id="7044" xr3:uid="{00000000-0010-0000-0000-0000841B0000}" name="Coluna7039"/>
    <tableColumn id="7045" xr3:uid="{00000000-0010-0000-0000-0000851B0000}" name="Coluna7040"/>
    <tableColumn id="7046" xr3:uid="{00000000-0010-0000-0000-0000861B0000}" name="Coluna7041"/>
    <tableColumn id="7047" xr3:uid="{00000000-0010-0000-0000-0000871B0000}" name="Coluna7042"/>
    <tableColumn id="7048" xr3:uid="{00000000-0010-0000-0000-0000881B0000}" name="Coluna7043"/>
    <tableColumn id="7049" xr3:uid="{00000000-0010-0000-0000-0000891B0000}" name="Coluna7044"/>
    <tableColumn id="7050" xr3:uid="{00000000-0010-0000-0000-00008A1B0000}" name="Coluna7045"/>
    <tableColumn id="7051" xr3:uid="{00000000-0010-0000-0000-00008B1B0000}" name="Coluna7046"/>
    <tableColumn id="7052" xr3:uid="{00000000-0010-0000-0000-00008C1B0000}" name="Coluna7047"/>
    <tableColumn id="7053" xr3:uid="{00000000-0010-0000-0000-00008D1B0000}" name="Coluna7048"/>
    <tableColumn id="7054" xr3:uid="{00000000-0010-0000-0000-00008E1B0000}" name="Coluna7049"/>
    <tableColumn id="7055" xr3:uid="{00000000-0010-0000-0000-00008F1B0000}" name="Coluna7050"/>
    <tableColumn id="7056" xr3:uid="{00000000-0010-0000-0000-0000901B0000}" name="Coluna7051"/>
    <tableColumn id="7057" xr3:uid="{00000000-0010-0000-0000-0000911B0000}" name="Coluna7052"/>
    <tableColumn id="7058" xr3:uid="{00000000-0010-0000-0000-0000921B0000}" name="Coluna7053"/>
    <tableColumn id="7059" xr3:uid="{00000000-0010-0000-0000-0000931B0000}" name="Coluna7054"/>
    <tableColumn id="7060" xr3:uid="{00000000-0010-0000-0000-0000941B0000}" name="Coluna7055"/>
    <tableColumn id="7061" xr3:uid="{00000000-0010-0000-0000-0000951B0000}" name="Coluna7056"/>
    <tableColumn id="7062" xr3:uid="{00000000-0010-0000-0000-0000961B0000}" name="Coluna7057"/>
    <tableColumn id="7063" xr3:uid="{00000000-0010-0000-0000-0000971B0000}" name="Coluna7058"/>
    <tableColumn id="7064" xr3:uid="{00000000-0010-0000-0000-0000981B0000}" name="Coluna7059"/>
    <tableColumn id="7065" xr3:uid="{00000000-0010-0000-0000-0000991B0000}" name="Coluna7060"/>
    <tableColumn id="7066" xr3:uid="{00000000-0010-0000-0000-00009A1B0000}" name="Coluna7061"/>
    <tableColumn id="7067" xr3:uid="{00000000-0010-0000-0000-00009B1B0000}" name="Coluna7062"/>
    <tableColumn id="7068" xr3:uid="{00000000-0010-0000-0000-00009C1B0000}" name="Coluna7063"/>
    <tableColumn id="7069" xr3:uid="{00000000-0010-0000-0000-00009D1B0000}" name="Coluna7064"/>
    <tableColumn id="7070" xr3:uid="{00000000-0010-0000-0000-00009E1B0000}" name="Coluna7065"/>
    <tableColumn id="7071" xr3:uid="{00000000-0010-0000-0000-00009F1B0000}" name="Coluna7066"/>
    <tableColumn id="7072" xr3:uid="{00000000-0010-0000-0000-0000A01B0000}" name="Coluna7067"/>
    <tableColumn id="7073" xr3:uid="{00000000-0010-0000-0000-0000A11B0000}" name="Coluna7068"/>
    <tableColumn id="7074" xr3:uid="{00000000-0010-0000-0000-0000A21B0000}" name="Coluna7069"/>
    <tableColumn id="7075" xr3:uid="{00000000-0010-0000-0000-0000A31B0000}" name="Coluna7070"/>
    <tableColumn id="7076" xr3:uid="{00000000-0010-0000-0000-0000A41B0000}" name="Coluna7071"/>
    <tableColumn id="7077" xr3:uid="{00000000-0010-0000-0000-0000A51B0000}" name="Coluna7072"/>
    <tableColumn id="7078" xr3:uid="{00000000-0010-0000-0000-0000A61B0000}" name="Coluna7073"/>
    <tableColumn id="7079" xr3:uid="{00000000-0010-0000-0000-0000A71B0000}" name="Coluna7074"/>
    <tableColumn id="7080" xr3:uid="{00000000-0010-0000-0000-0000A81B0000}" name="Coluna7075"/>
    <tableColumn id="7081" xr3:uid="{00000000-0010-0000-0000-0000A91B0000}" name="Coluna7076"/>
    <tableColumn id="7082" xr3:uid="{00000000-0010-0000-0000-0000AA1B0000}" name="Coluna7077"/>
    <tableColumn id="7083" xr3:uid="{00000000-0010-0000-0000-0000AB1B0000}" name="Coluna7078"/>
    <tableColumn id="7084" xr3:uid="{00000000-0010-0000-0000-0000AC1B0000}" name="Coluna7079"/>
    <tableColumn id="7085" xr3:uid="{00000000-0010-0000-0000-0000AD1B0000}" name="Coluna7080"/>
    <tableColumn id="7086" xr3:uid="{00000000-0010-0000-0000-0000AE1B0000}" name="Coluna7081"/>
    <tableColumn id="7087" xr3:uid="{00000000-0010-0000-0000-0000AF1B0000}" name="Coluna7082"/>
    <tableColumn id="7088" xr3:uid="{00000000-0010-0000-0000-0000B01B0000}" name="Coluna7083"/>
    <tableColumn id="7089" xr3:uid="{00000000-0010-0000-0000-0000B11B0000}" name="Coluna7084"/>
    <tableColumn id="7090" xr3:uid="{00000000-0010-0000-0000-0000B21B0000}" name="Coluna7085"/>
    <tableColumn id="7091" xr3:uid="{00000000-0010-0000-0000-0000B31B0000}" name="Coluna7086"/>
    <tableColumn id="7092" xr3:uid="{00000000-0010-0000-0000-0000B41B0000}" name="Coluna7087"/>
    <tableColumn id="7093" xr3:uid="{00000000-0010-0000-0000-0000B51B0000}" name="Coluna7088"/>
    <tableColumn id="7094" xr3:uid="{00000000-0010-0000-0000-0000B61B0000}" name="Coluna7089"/>
    <tableColumn id="7095" xr3:uid="{00000000-0010-0000-0000-0000B71B0000}" name="Coluna7090"/>
    <tableColumn id="7096" xr3:uid="{00000000-0010-0000-0000-0000B81B0000}" name="Coluna7091"/>
    <tableColumn id="7097" xr3:uid="{00000000-0010-0000-0000-0000B91B0000}" name="Coluna7092"/>
    <tableColumn id="7098" xr3:uid="{00000000-0010-0000-0000-0000BA1B0000}" name="Coluna7093"/>
    <tableColumn id="7099" xr3:uid="{00000000-0010-0000-0000-0000BB1B0000}" name="Coluna7094"/>
    <tableColumn id="7100" xr3:uid="{00000000-0010-0000-0000-0000BC1B0000}" name="Coluna7095"/>
    <tableColumn id="7101" xr3:uid="{00000000-0010-0000-0000-0000BD1B0000}" name="Coluna7096"/>
    <tableColumn id="7102" xr3:uid="{00000000-0010-0000-0000-0000BE1B0000}" name="Coluna7097"/>
    <tableColumn id="7103" xr3:uid="{00000000-0010-0000-0000-0000BF1B0000}" name="Coluna7098"/>
    <tableColumn id="7104" xr3:uid="{00000000-0010-0000-0000-0000C01B0000}" name="Coluna7099"/>
    <tableColumn id="7105" xr3:uid="{00000000-0010-0000-0000-0000C11B0000}" name="Coluna7100"/>
    <tableColumn id="7106" xr3:uid="{00000000-0010-0000-0000-0000C21B0000}" name="Coluna7101"/>
    <tableColumn id="7107" xr3:uid="{00000000-0010-0000-0000-0000C31B0000}" name="Coluna7102"/>
    <tableColumn id="7108" xr3:uid="{00000000-0010-0000-0000-0000C41B0000}" name="Coluna7103"/>
    <tableColumn id="7109" xr3:uid="{00000000-0010-0000-0000-0000C51B0000}" name="Coluna7104"/>
    <tableColumn id="7110" xr3:uid="{00000000-0010-0000-0000-0000C61B0000}" name="Coluna7105"/>
    <tableColumn id="7111" xr3:uid="{00000000-0010-0000-0000-0000C71B0000}" name="Coluna7106"/>
    <tableColumn id="7112" xr3:uid="{00000000-0010-0000-0000-0000C81B0000}" name="Coluna7107"/>
    <tableColumn id="7113" xr3:uid="{00000000-0010-0000-0000-0000C91B0000}" name="Coluna7108"/>
    <tableColumn id="7114" xr3:uid="{00000000-0010-0000-0000-0000CA1B0000}" name="Coluna7109"/>
    <tableColumn id="7115" xr3:uid="{00000000-0010-0000-0000-0000CB1B0000}" name="Coluna7110"/>
    <tableColumn id="7116" xr3:uid="{00000000-0010-0000-0000-0000CC1B0000}" name="Coluna7111"/>
    <tableColumn id="7117" xr3:uid="{00000000-0010-0000-0000-0000CD1B0000}" name="Coluna7112"/>
    <tableColumn id="7118" xr3:uid="{00000000-0010-0000-0000-0000CE1B0000}" name="Coluna7113"/>
    <tableColumn id="7119" xr3:uid="{00000000-0010-0000-0000-0000CF1B0000}" name="Coluna7114"/>
    <tableColumn id="7120" xr3:uid="{00000000-0010-0000-0000-0000D01B0000}" name="Coluna7115"/>
    <tableColumn id="7121" xr3:uid="{00000000-0010-0000-0000-0000D11B0000}" name="Coluna7116"/>
    <tableColumn id="7122" xr3:uid="{00000000-0010-0000-0000-0000D21B0000}" name="Coluna7117"/>
    <tableColumn id="7123" xr3:uid="{00000000-0010-0000-0000-0000D31B0000}" name="Coluna7118"/>
    <tableColumn id="7124" xr3:uid="{00000000-0010-0000-0000-0000D41B0000}" name="Coluna7119"/>
    <tableColumn id="7125" xr3:uid="{00000000-0010-0000-0000-0000D51B0000}" name="Coluna7120"/>
    <tableColumn id="7126" xr3:uid="{00000000-0010-0000-0000-0000D61B0000}" name="Coluna7121"/>
    <tableColumn id="7127" xr3:uid="{00000000-0010-0000-0000-0000D71B0000}" name="Coluna7122"/>
    <tableColumn id="7128" xr3:uid="{00000000-0010-0000-0000-0000D81B0000}" name="Coluna7123"/>
    <tableColumn id="7129" xr3:uid="{00000000-0010-0000-0000-0000D91B0000}" name="Coluna7124"/>
    <tableColumn id="7130" xr3:uid="{00000000-0010-0000-0000-0000DA1B0000}" name="Coluna7125"/>
    <tableColumn id="7131" xr3:uid="{00000000-0010-0000-0000-0000DB1B0000}" name="Coluna7126"/>
    <tableColumn id="7132" xr3:uid="{00000000-0010-0000-0000-0000DC1B0000}" name="Coluna7127"/>
    <tableColumn id="7133" xr3:uid="{00000000-0010-0000-0000-0000DD1B0000}" name="Coluna7128"/>
    <tableColumn id="7134" xr3:uid="{00000000-0010-0000-0000-0000DE1B0000}" name="Coluna7129"/>
    <tableColumn id="7135" xr3:uid="{00000000-0010-0000-0000-0000DF1B0000}" name="Coluna7130"/>
    <tableColumn id="7136" xr3:uid="{00000000-0010-0000-0000-0000E01B0000}" name="Coluna7131"/>
    <tableColumn id="7137" xr3:uid="{00000000-0010-0000-0000-0000E11B0000}" name="Coluna7132"/>
    <tableColumn id="7138" xr3:uid="{00000000-0010-0000-0000-0000E21B0000}" name="Coluna7133"/>
    <tableColumn id="7139" xr3:uid="{00000000-0010-0000-0000-0000E31B0000}" name="Coluna7134"/>
    <tableColumn id="7140" xr3:uid="{00000000-0010-0000-0000-0000E41B0000}" name="Coluna7135"/>
    <tableColumn id="7141" xr3:uid="{00000000-0010-0000-0000-0000E51B0000}" name="Coluna7136"/>
    <tableColumn id="7142" xr3:uid="{00000000-0010-0000-0000-0000E61B0000}" name="Coluna7137"/>
    <tableColumn id="7143" xr3:uid="{00000000-0010-0000-0000-0000E71B0000}" name="Coluna7138"/>
    <tableColumn id="7144" xr3:uid="{00000000-0010-0000-0000-0000E81B0000}" name="Coluna7139"/>
    <tableColumn id="7145" xr3:uid="{00000000-0010-0000-0000-0000E91B0000}" name="Coluna7140"/>
    <tableColumn id="7146" xr3:uid="{00000000-0010-0000-0000-0000EA1B0000}" name="Coluna7141"/>
    <tableColumn id="7147" xr3:uid="{00000000-0010-0000-0000-0000EB1B0000}" name="Coluna7142"/>
    <tableColumn id="7148" xr3:uid="{00000000-0010-0000-0000-0000EC1B0000}" name="Coluna7143"/>
    <tableColumn id="7149" xr3:uid="{00000000-0010-0000-0000-0000ED1B0000}" name="Coluna7144"/>
    <tableColumn id="7150" xr3:uid="{00000000-0010-0000-0000-0000EE1B0000}" name="Coluna7145"/>
    <tableColumn id="7151" xr3:uid="{00000000-0010-0000-0000-0000EF1B0000}" name="Coluna7146"/>
    <tableColumn id="7152" xr3:uid="{00000000-0010-0000-0000-0000F01B0000}" name="Coluna7147"/>
    <tableColumn id="7153" xr3:uid="{00000000-0010-0000-0000-0000F11B0000}" name="Coluna7148"/>
    <tableColumn id="7154" xr3:uid="{00000000-0010-0000-0000-0000F21B0000}" name="Coluna7149"/>
    <tableColumn id="7155" xr3:uid="{00000000-0010-0000-0000-0000F31B0000}" name="Coluna7150"/>
    <tableColumn id="7156" xr3:uid="{00000000-0010-0000-0000-0000F41B0000}" name="Coluna7151"/>
    <tableColumn id="7157" xr3:uid="{00000000-0010-0000-0000-0000F51B0000}" name="Coluna7152"/>
    <tableColumn id="7158" xr3:uid="{00000000-0010-0000-0000-0000F61B0000}" name="Coluna7153"/>
    <tableColumn id="7159" xr3:uid="{00000000-0010-0000-0000-0000F71B0000}" name="Coluna7154"/>
    <tableColumn id="7160" xr3:uid="{00000000-0010-0000-0000-0000F81B0000}" name="Coluna7155"/>
    <tableColumn id="7161" xr3:uid="{00000000-0010-0000-0000-0000F91B0000}" name="Coluna7156"/>
    <tableColumn id="7162" xr3:uid="{00000000-0010-0000-0000-0000FA1B0000}" name="Coluna7157"/>
    <tableColumn id="7163" xr3:uid="{00000000-0010-0000-0000-0000FB1B0000}" name="Coluna7158"/>
    <tableColumn id="7164" xr3:uid="{00000000-0010-0000-0000-0000FC1B0000}" name="Coluna7159"/>
    <tableColumn id="7165" xr3:uid="{00000000-0010-0000-0000-0000FD1B0000}" name="Coluna7160"/>
    <tableColumn id="7166" xr3:uid="{00000000-0010-0000-0000-0000FE1B0000}" name="Coluna7161"/>
    <tableColumn id="7167" xr3:uid="{00000000-0010-0000-0000-0000FF1B0000}" name="Coluna7162"/>
    <tableColumn id="7168" xr3:uid="{00000000-0010-0000-0000-0000001C0000}" name="Coluna7163"/>
    <tableColumn id="7169" xr3:uid="{00000000-0010-0000-0000-0000011C0000}" name="Coluna7164"/>
    <tableColumn id="7170" xr3:uid="{00000000-0010-0000-0000-0000021C0000}" name="Coluna7165"/>
    <tableColumn id="7171" xr3:uid="{00000000-0010-0000-0000-0000031C0000}" name="Coluna7166"/>
    <tableColumn id="7172" xr3:uid="{00000000-0010-0000-0000-0000041C0000}" name="Coluna7167"/>
    <tableColumn id="7173" xr3:uid="{00000000-0010-0000-0000-0000051C0000}" name="Coluna7168"/>
    <tableColumn id="7174" xr3:uid="{00000000-0010-0000-0000-0000061C0000}" name="Coluna7169"/>
    <tableColumn id="7175" xr3:uid="{00000000-0010-0000-0000-0000071C0000}" name="Coluna7170"/>
    <tableColumn id="7176" xr3:uid="{00000000-0010-0000-0000-0000081C0000}" name="Coluna7171"/>
    <tableColumn id="7177" xr3:uid="{00000000-0010-0000-0000-0000091C0000}" name="Coluna7172"/>
    <tableColumn id="7178" xr3:uid="{00000000-0010-0000-0000-00000A1C0000}" name="Coluna7173"/>
    <tableColumn id="7179" xr3:uid="{00000000-0010-0000-0000-00000B1C0000}" name="Coluna7174"/>
    <tableColumn id="7180" xr3:uid="{00000000-0010-0000-0000-00000C1C0000}" name="Coluna7175"/>
    <tableColumn id="7181" xr3:uid="{00000000-0010-0000-0000-00000D1C0000}" name="Coluna7176"/>
    <tableColumn id="7182" xr3:uid="{00000000-0010-0000-0000-00000E1C0000}" name="Coluna7177"/>
    <tableColumn id="7183" xr3:uid="{00000000-0010-0000-0000-00000F1C0000}" name="Coluna7178"/>
    <tableColumn id="7184" xr3:uid="{00000000-0010-0000-0000-0000101C0000}" name="Coluna7179"/>
    <tableColumn id="7185" xr3:uid="{00000000-0010-0000-0000-0000111C0000}" name="Coluna7180"/>
    <tableColumn id="7186" xr3:uid="{00000000-0010-0000-0000-0000121C0000}" name="Coluna7181"/>
    <tableColumn id="7187" xr3:uid="{00000000-0010-0000-0000-0000131C0000}" name="Coluna7182"/>
    <tableColumn id="7188" xr3:uid="{00000000-0010-0000-0000-0000141C0000}" name="Coluna7183"/>
    <tableColumn id="7189" xr3:uid="{00000000-0010-0000-0000-0000151C0000}" name="Coluna7184"/>
    <tableColumn id="7190" xr3:uid="{00000000-0010-0000-0000-0000161C0000}" name="Coluna7185"/>
    <tableColumn id="7191" xr3:uid="{00000000-0010-0000-0000-0000171C0000}" name="Coluna7186"/>
    <tableColumn id="7192" xr3:uid="{00000000-0010-0000-0000-0000181C0000}" name="Coluna7187"/>
    <tableColumn id="7193" xr3:uid="{00000000-0010-0000-0000-0000191C0000}" name="Coluna7188"/>
    <tableColumn id="7194" xr3:uid="{00000000-0010-0000-0000-00001A1C0000}" name="Coluna7189"/>
    <tableColumn id="7195" xr3:uid="{00000000-0010-0000-0000-00001B1C0000}" name="Coluna7190"/>
    <tableColumn id="7196" xr3:uid="{00000000-0010-0000-0000-00001C1C0000}" name="Coluna7191"/>
    <tableColumn id="7197" xr3:uid="{00000000-0010-0000-0000-00001D1C0000}" name="Coluna7192"/>
    <tableColumn id="7198" xr3:uid="{00000000-0010-0000-0000-00001E1C0000}" name="Coluna7193"/>
    <tableColumn id="7199" xr3:uid="{00000000-0010-0000-0000-00001F1C0000}" name="Coluna7194"/>
    <tableColumn id="7200" xr3:uid="{00000000-0010-0000-0000-0000201C0000}" name="Coluna7195"/>
    <tableColumn id="7201" xr3:uid="{00000000-0010-0000-0000-0000211C0000}" name="Coluna7196"/>
    <tableColumn id="7202" xr3:uid="{00000000-0010-0000-0000-0000221C0000}" name="Coluna7197"/>
    <tableColumn id="7203" xr3:uid="{00000000-0010-0000-0000-0000231C0000}" name="Coluna7198"/>
    <tableColumn id="7204" xr3:uid="{00000000-0010-0000-0000-0000241C0000}" name="Coluna7199"/>
    <tableColumn id="7205" xr3:uid="{00000000-0010-0000-0000-0000251C0000}" name="Coluna7200"/>
    <tableColumn id="7206" xr3:uid="{00000000-0010-0000-0000-0000261C0000}" name="Coluna7201"/>
    <tableColumn id="7207" xr3:uid="{00000000-0010-0000-0000-0000271C0000}" name="Coluna7202"/>
    <tableColumn id="7208" xr3:uid="{00000000-0010-0000-0000-0000281C0000}" name="Coluna7203"/>
    <tableColumn id="7209" xr3:uid="{00000000-0010-0000-0000-0000291C0000}" name="Coluna7204"/>
    <tableColumn id="7210" xr3:uid="{00000000-0010-0000-0000-00002A1C0000}" name="Coluna7205"/>
    <tableColumn id="7211" xr3:uid="{00000000-0010-0000-0000-00002B1C0000}" name="Coluna7206"/>
    <tableColumn id="7212" xr3:uid="{00000000-0010-0000-0000-00002C1C0000}" name="Coluna7207"/>
    <tableColumn id="7213" xr3:uid="{00000000-0010-0000-0000-00002D1C0000}" name="Coluna7208"/>
    <tableColumn id="7214" xr3:uid="{00000000-0010-0000-0000-00002E1C0000}" name="Coluna7209"/>
    <tableColumn id="7215" xr3:uid="{00000000-0010-0000-0000-00002F1C0000}" name="Coluna7210"/>
    <tableColumn id="7216" xr3:uid="{00000000-0010-0000-0000-0000301C0000}" name="Coluna7211"/>
    <tableColumn id="7217" xr3:uid="{00000000-0010-0000-0000-0000311C0000}" name="Coluna7212"/>
    <tableColumn id="7218" xr3:uid="{00000000-0010-0000-0000-0000321C0000}" name="Coluna7213"/>
    <tableColumn id="7219" xr3:uid="{00000000-0010-0000-0000-0000331C0000}" name="Coluna7214"/>
    <tableColumn id="7220" xr3:uid="{00000000-0010-0000-0000-0000341C0000}" name="Coluna7215"/>
    <tableColumn id="7221" xr3:uid="{00000000-0010-0000-0000-0000351C0000}" name="Coluna7216"/>
    <tableColumn id="7222" xr3:uid="{00000000-0010-0000-0000-0000361C0000}" name="Coluna7217"/>
    <tableColumn id="7223" xr3:uid="{00000000-0010-0000-0000-0000371C0000}" name="Coluna7218"/>
    <tableColumn id="7224" xr3:uid="{00000000-0010-0000-0000-0000381C0000}" name="Coluna7219"/>
    <tableColumn id="7225" xr3:uid="{00000000-0010-0000-0000-0000391C0000}" name="Coluna7220"/>
    <tableColumn id="7226" xr3:uid="{00000000-0010-0000-0000-00003A1C0000}" name="Coluna7221"/>
    <tableColumn id="7227" xr3:uid="{00000000-0010-0000-0000-00003B1C0000}" name="Coluna7222"/>
    <tableColumn id="7228" xr3:uid="{00000000-0010-0000-0000-00003C1C0000}" name="Coluna7223"/>
    <tableColumn id="7229" xr3:uid="{00000000-0010-0000-0000-00003D1C0000}" name="Coluna7224"/>
    <tableColumn id="7230" xr3:uid="{00000000-0010-0000-0000-00003E1C0000}" name="Coluna7225"/>
    <tableColumn id="7231" xr3:uid="{00000000-0010-0000-0000-00003F1C0000}" name="Coluna7226"/>
    <tableColumn id="7232" xr3:uid="{00000000-0010-0000-0000-0000401C0000}" name="Coluna7227"/>
    <tableColumn id="7233" xr3:uid="{00000000-0010-0000-0000-0000411C0000}" name="Coluna7228"/>
    <tableColumn id="7234" xr3:uid="{00000000-0010-0000-0000-0000421C0000}" name="Coluna7229"/>
    <tableColumn id="7235" xr3:uid="{00000000-0010-0000-0000-0000431C0000}" name="Coluna7230"/>
    <tableColumn id="7236" xr3:uid="{00000000-0010-0000-0000-0000441C0000}" name="Coluna7231"/>
    <tableColumn id="7237" xr3:uid="{00000000-0010-0000-0000-0000451C0000}" name="Coluna7232"/>
    <tableColumn id="7238" xr3:uid="{00000000-0010-0000-0000-0000461C0000}" name="Coluna7233"/>
    <tableColumn id="7239" xr3:uid="{00000000-0010-0000-0000-0000471C0000}" name="Coluna7234"/>
    <tableColumn id="7240" xr3:uid="{00000000-0010-0000-0000-0000481C0000}" name="Coluna7235"/>
    <tableColumn id="7241" xr3:uid="{00000000-0010-0000-0000-0000491C0000}" name="Coluna7236"/>
    <tableColumn id="7242" xr3:uid="{00000000-0010-0000-0000-00004A1C0000}" name="Coluna7237"/>
    <tableColumn id="7243" xr3:uid="{00000000-0010-0000-0000-00004B1C0000}" name="Coluna7238"/>
    <tableColumn id="7244" xr3:uid="{00000000-0010-0000-0000-00004C1C0000}" name="Coluna7239"/>
    <tableColumn id="7245" xr3:uid="{00000000-0010-0000-0000-00004D1C0000}" name="Coluna7240"/>
    <tableColumn id="7246" xr3:uid="{00000000-0010-0000-0000-00004E1C0000}" name="Coluna7241"/>
    <tableColumn id="7247" xr3:uid="{00000000-0010-0000-0000-00004F1C0000}" name="Coluna7242"/>
    <tableColumn id="7248" xr3:uid="{00000000-0010-0000-0000-0000501C0000}" name="Coluna7243"/>
    <tableColumn id="7249" xr3:uid="{00000000-0010-0000-0000-0000511C0000}" name="Coluna7244"/>
    <tableColumn id="7250" xr3:uid="{00000000-0010-0000-0000-0000521C0000}" name="Coluna7245"/>
    <tableColumn id="7251" xr3:uid="{00000000-0010-0000-0000-0000531C0000}" name="Coluna7246"/>
    <tableColumn id="7252" xr3:uid="{00000000-0010-0000-0000-0000541C0000}" name="Coluna7247"/>
    <tableColumn id="7253" xr3:uid="{00000000-0010-0000-0000-0000551C0000}" name="Coluna7248"/>
    <tableColumn id="7254" xr3:uid="{00000000-0010-0000-0000-0000561C0000}" name="Coluna7249"/>
    <tableColumn id="7255" xr3:uid="{00000000-0010-0000-0000-0000571C0000}" name="Coluna7250"/>
    <tableColumn id="7256" xr3:uid="{00000000-0010-0000-0000-0000581C0000}" name="Coluna7251"/>
    <tableColumn id="7257" xr3:uid="{00000000-0010-0000-0000-0000591C0000}" name="Coluna7252"/>
    <tableColumn id="7258" xr3:uid="{00000000-0010-0000-0000-00005A1C0000}" name="Coluna7253"/>
    <tableColumn id="7259" xr3:uid="{00000000-0010-0000-0000-00005B1C0000}" name="Coluna7254"/>
    <tableColumn id="7260" xr3:uid="{00000000-0010-0000-0000-00005C1C0000}" name="Coluna7255"/>
    <tableColumn id="7261" xr3:uid="{00000000-0010-0000-0000-00005D1C0000}" name="Coluna7256"/>
    <tableColumn id="7262" xr3:uid="{00000000-0010-0000-0000-00005E1C0000}" name="Coluna7257"/>
    <tableColumn id="7263" xr3:uid="{00000000-0010-0000-0000-00005F1C0000}" name="Coluna7258"/>
    <tableColumn id="7264" xr3:uid="{00000000-0010-0000-0000-0000601C0000}" name="Coluna7259"/>
    <tableColumn id="7265" xr3:uid="{00000000-0010-0000-0000-0000611C0000}" name="Coluna7260"/>
    <tableColumn id="7266" xr3:uid="{00000000-0010-0000-0000-0000621C0000}" name="Coluna7261"/>
    <tableColumn id="7267" xr3:uid="{00000000-0010-0000-0000-0000631C0000}" name="Coluna7262"/>
    <tableColumn id="7268" xr3:uid="{00000000-0010-0000-0000-0000641C0000}" name="Coluna7263"/>
    <tableColumn id="7269" xr3:uid="{00000000-0010-0000-0000-0000651C0000}" name="Coluna7264"/>
    <tableColumn id="7270" xr3:uid="{00000000-0010-0000-0000-0000661C0000}" name="Coluna7265"/>
    <tableColumn id="7271" xr3:uid="{00000000-0010-0000-0000-0000671C0000}" name="Coluna7266"/>
    <tableColumn id="7272" xr3:uid="{00000000-0010-0000-0000-0000681C0000}" name="Coluna7267"/>
    <tableColumn id="7273" xr3:uid="{00000000-0010-0000-0000-0000691C0000}" name="Coluna7268"/>
    <tableColumn id="7274" xr3:uid="{00000000-0010-0000-0000-00006A1C0000}" name="Coluna7269"/>
    <tableColumn id="7275" xr3:uid="{00000000-0010-0000-0000-00006B1C0000}" name="Coluna7270"/>
    <tableColumn id="7276" xr3:uid="{00000000-0010-0000-0000-00006C1C0000}" name="Coluna7271"/>
    <tableColumn id="7277" xr3:uid="{00000000-0010-0000-0000-00006D1C0000}" name="Coluna7272"/>
    <tableColumn id="7278" xr3:uid="{00000000-0010-0000-0000-00006E1C0000}" name="Coluna7273"/>
    <tableColumn id="7279" xr3:uid="{00000000-0010-0000-0000-00006F1C0000}" name="Coluna7274"/>
    <tableColumn id="7280" xr3:uid="{00000000-0010-0000-0000-0000701C0000}" name="Coluna7275"/>
    <tableColumn id="7281" xr3:uid="{00000000-0010-0000-0000-0000711C0000}" name="Coluna7276"/>
    <tableColumn id="7282" xr3:uid="{00000000-0010-0000-0000-0000721C0000}" name="Coluna7277"/>
    <tableColumn id="7283" xr3:uid="{00000000-0010-0000-0000-0000731C0000}" name="Coluna7278"/>
    <tableColumn id="7284" xr3:uid="{00000000-0010-0000-0000-0000741C0000}" name="Coluna7279"/>
    <tableColumn id="7285" xr3:uid="{00000000-0010-0000-0000-0000751C0000}" name="Coluna7280"/>
    <tableColumn id="7286" xr3:uid="{00000000-0010-0000-0000-0000761C0000}" name="Coluna7281"/>
    <tableColumn id="7287" xr3:uid="{00000000-0010-0000-0000-0000771C0000}" name="Coluna7282"/>
    <tableColumn id="7288" xr3:uid="{00000000-0010-0000-0000-0000781C0000}" name="Coluna7283"/>
    <tableColumn id="7289" xr3:uid="{00000000-0010-0000-0000-0000791C0000}" name="Coluna7284"/>
    <tableColumn id="7290" xr3:uid="{00000000-0010-0000-0000-00007A1C0000}" name="Coluna7285"/>
    <tableColumn id="7291" xr3:uid="{00000000-0010-0000-0000-00007B1C0000}" name="Coluna7286"/>
    <tableColumn id="7292" xr3:uid="{00000000-0010-0000-0000-00007C1C0000}" name="Coluna7287"/>
    <tableColumn id="7293" xr3:uid="{00000000-0010-0000-0000-00007D1C0000}" name="Coluna7288"/>
    <tableColumn id="7294" xr3:uid="{00000000-0010-0000-0000-00007E1C0000}" name="Coluna7289"/>
    <tableColumn id="7295" xr3:uid="{00000000-0010-0000-0000-00007F1C0000}" name="Coluna7290"/>
    <tableColumn id="7296" xr3:uid="{00000000-0010-0000-0000-0000801C0000}" name="Coluna7291"/>
    <tableColumn id="7297" xr3:uid="{00000000-0010-0000-0000-0000811C0000}" name="Coluna7292"/>
    <tableColumn id="7298" xr3:uid="{00000000-0010-0000-0000-0000821C0000}" name="Coluna7293"/>
    <tableColumn id="7299" xr3:uid="{00000000-0010-0000-0000-0000831C0000}" name="Coluna7294"/>
    <tableColumn id="7300" xr3:uid="{00000000-0010-0000-0000-0000841C0000}" name="Coluna7295"/>
    <tableColumn id="7301" xr3:uid="{00000000-0010-0000-0000-0000851C0000}" name="Coluna7296"/>
    <tableColumn id="7302" xr3:uid="{00000000-0010-0000-0000-0000861C0000}" name="Coluna7297"/>
    <tableColumn id="7303" xr3:uid="{00000000-0010-0000-0000-0000871C0000}" name="Coluna7298"/>
    <tableColumn id="7304" xr3:uid="{00000000-0010-0000-0000-0000881C0000}" name="Coluna7299"/>
    <tableColumn id="7305" xr3:uid="{00000000-0010-0000-0000-0000891C0000}" name="Coluna7300"/>
    <tableColumn id="7306" xr3:uid="{00000000-0010-0000-0000-00008A1C0000}" name="Coluna7301"/>
    <tableColumn id="7307" xr3:uid="{00000000-0010-0000-0000-00008B1C0000}" name="Coluna7302"/>
    <tableColumn id="7308" xr3:uid="{00000000-0010-0000-0000-00008C1C0000}" name="Coluna7303"/>
    <tableColumn id="7309" xr3:uid="{00000000-0010-0000-0000-00008D1C0000}" name="Coluna7304"/>
    <tableColumn id="7310" xr3:uid="{00000000-0010-0000-0000-00008E1C0000}" name="Coluna7305"/>
    <tableColumn id="7311" xr3:uid="{00000000-0010-0000-0000-00008F1C0000}" name="Coluna7306"/>
    <tableColumn id="7312" xr3:uid="{00000000-0010-0000-0000-0000901C0000}" name="Coluna7307"/>
    <tableColumn id="7313" xr3:uid="{00000000-0010-0000-0000-0000911C0000}" name="Coluna7308"/>
    <tableColumn id="7314" xr3:uid="{00000000-0010-0000-0000-0000921C0000}" name="Coluna7309"/>
    <tableColumn id="7315" xr3:uid="{00000000-0010-0000-0000-0000931C0000}" name="Coluna7310"/>
    <tableColumn id="7316" xr3:uid="{00000000-0010-0000-0000-0000941C0000}" name="Coluna7311"/>
    <tableColumn id="7317" xr3:uid="{00000000-0010-0000-0000-0000951C0000}" name="Coluna7312"/>
    <tableColumn id="7318" xr3:uid="{00000000-0010-0000-0000-0000961C0000}" name="Coluna7313"/>
    <tableColumn id="7319" xr3:uid="{00000000-0010-0000-0000-0000971C0000}" name="Coluna7314"/>
    <tableColumn id="7320" xr3:uid="{00000000-0010-0000-0000-0000981C0000}" name="Coluna7315"/>
    <tableColumn id="7321" xr3:uid="{00000000-0010-0000-0000-0000991C0000}" name="Coluna7316"/>
    <tableColumn id="7322" xr3:uid="{00000000-0010-0000-0000-00009A1C0000}" name="Coluna7317"/>
    <tableColumn id="7323" xr3:uid="{00000000-0010-0000-0000-00009B1C0000}" name="Coluna7318"/>
    <tableColumn id="7324" xr3:uid="{00000000-0010-0000-0000-00009C1C0000}" name="Coluna7319"/>
    <tableColumn id="7325" xr3:uid="{00000000-0010-0000-0000-00009D1C0000}" name="Coluna7320"/>
    <tableColumn id="7326" xr3:uid="{00000000-0010-0000-0000-00009E1C0000}" name="Coluna7321"/>
    <tableColumn id="7327" xr3:uid="{00000000-0010-0000-0000-00009F1C0000}" name="Coluna7322"/>
    <tableColumn id="7328" xr3:uid="{00000000-0010-0000-0000-0000A01C0000}" name="Coluna7323"/>
    <tableColumn id="7329" xr3:uid="{00000000-0010-0000-0000-0000A11C0000}" name="Coluna7324"/>
    <tableColumn id="7330" xr3:uid="{00000000-0010-0000-0000-0000A21C0000}" name="Coluna7325"/>
    <tableColumn id="7331" xr3:uid="{00000000-0010-0000-0000-0000A31C0000}" name="Coluna7326"/>
    <tableColumn id="7332" xr3:uid="{00000000-0010-0000-0000-0000A41C0000}" name="Coluna7327"/>
    <tableColumn id="7333" xr3:uid="{00000000-0010-0000-0000-0000A51C0000}" name="Coluna7328"/>
    <tableColumn id="7334" xr3:uid="{00000000-0010-0000-0000-0000A61C0000}" name="Coluna7329"/>
    <tableColumn id="7335" xr3:uid="{00000000-0010-0000-0000-0000A71C0000}" name="Coluna7330"/>
    <tableColumn id="7336" xr3:uid="{00000000-0010-0000-0000-0000A81C0000}" name="Coluna7331"/>
    <tableColumn id="7337" xr3:uid="{00000000-0010-0000-0000-0000A91C0000}" name="Coluna7332"/>
    <tableColumn id="7338" xr3:uid="{00000000-0010-0000-0000-0000AA1C0000}" name="Coluna7333"/>
    <tableColumn id="7339" xr3:uid="{00000000-0010-0000-0000-0000AB1C0000}" name="Coluna7334"/>
    <tableColumn id="7340" xr3:uid="{00000000-0010-0000-0000-0000AC1C0000}" name="Coluna7335"/>
    <tableColumn id="7341" xr3:uid="{00000000-0010-0000-0000-0000AD1C0000}" name="Coluna7336"/>
    <tableColumn id="7342" xr3:uid="{00000000-0010-0000-0000-0000AE1C0000}" name="Coluna7337"/>
    <tableColumn id="7343" xr3:uid="{00000000-0010-0000-0000-0000AF1C0000}" name="Coluna7338"/>
    <tableColumn id="7344" xr3:uid="{00000000-0010-0000-0000-0000B01C0000}" name="Coluna7339"/>
    <tableColumn id="7345" xr3:uid="{00000000-0010-0000-0000-0000B11C0000}" name="Coluna7340"/>
    <tableColumn id="7346" xr3:uid="{00000000-0010-0000-0000-0000B21C0000}" name="Coluna7341"/>
    <tableColumn id="7347" xr3:uid="{00000000-0010-0000-0000-0000B31C0000}" name="Coluna7342"/>
    <tableColumn id="7348" xr3:uid="{00000000-0010-0000-0000-0000B41C0000}" name="Coluna7343"/>
    <tableColumn id="7349" xr3:uid="{00000000-0010-0000-0000-0000B51C0000}" name="Coluna7344"/>
    <tableColumn id="7350" xr3:uid="{00000000-0010-0000-0000-0000B61C0000}" name="Coluna7345"/>
    <tableColumn id="7351" xr3:uid="{00000000-0010-0000-0000-0000B71C0000}" name="Coluna7346"/>
    <tableColumn id="7352" xr3:uid="{00000000-0010-0000-0000-0000B81C0000}" name="Coluna7347"/>
    <tableColumn id="7353" xr3:uid="{00000000-0010-0000-0000-0000B91C0000}" name="Coluna7348"/>
    <tableColumn id="7354" xr3:uid="{00000000-0010-0000-0000-0000BA1C0000}" name="Coluna7349"/>
    <tableColumn id="7355" xr3:uid="{00000000-0010-0000-0000-0000BB1C0000}" name="Coluna7350"/>
    <tableColumn id="7356" xr3:uid="{00000000-0010-0000-0000-0000BC1C0000}" name="Coluna7351"/>
    <tableColumn id="7357" xr3:uid="{00000000-0010-0000-0000-0000BD1C0000}" name="Coluna7352"/>
    <tableColumn id="7358" xr3:uid="{00000000-0010-0000-0000-0000BE1C0000}" name="Coluna7353"/>
    <tableColumn id="7359" xr3:uid="{00000000-0010-0000-0000-0000BF1C0000}" name="Coluna7354"/>
    <tableColumn id="7360" xr3:uid="{00000000-0010-0000-0000-0000C01C0000}" name="Coluna7355"/>
    <tableColumn id="7361" xr3:uid="{00000000-0010-0000-0000-0000C11C0000}" name="Coluna7356"/>
    <tableColumn id="7362" xr3:uid="{00000000-0010-0000-0000-0000C21C0000}" name="Coluna7357"/>
    <tableColumn id="7363" xr3:uid="{00000000-0010-0000-0000-0000C31C0000}" name="Coluna7358"/>
    <tableColumn id="7364" xr3:uid="{00000000-0010-0000-0000-0000C41C0000}" name="Coluna7359"/>
    <tableColumn id="7365" xr3:uid="{00000000-0010-0000-0000-0000C51C0000}" name="Coluna7360"/>
    <tableColumn id="7366" xr3:uid="{00000000-0010-0000-0000-0000C61C0000}" name="Coluna7361"/>
    <tableColumn id="7367" xr3:uid="{00000000-0010-0000-0000-0000C71C0000}" name="Coluna7362"/>
    <tableColumn id="7368" xr3:uid="{00000000-0010-0000-0000-0000C81C0000}" name="Coluna7363"/>
    <tableColumn id="7369" xr3:uid="{00000000-0010-0000-0000-0000C91C0000}" name="Coluna7364"/>
    <tableColumn id="7370" xr3:uid="{00000000-0010-0000-0000-0000CA1C0000}" name="Coluna7365"/>
    <tableColumn id="7371" xr3:uid="{00000000-0010-0000-0000-0000CB1C0000}" name="Coluna7366"/>
    <tableColumn id="7372" xr3:uid="{00000000-0010-0000-0000-0000CC1C0000}" name="Coluna7367"/>
    <tableColumn id="7373" xr3:uid="{00000000-0010-0000-0000-0000CD1C0000}" name="Coluna7368"/>
    <tableColumn id="7374" xr3:uid="{00000000-0010-0000-0000-0000CE1C0000}" name="Coluna7369"/>
    <tableColumn id="7375" xr3:uid="{00000000-0010-0000-0000-0000CF1C0000}" name="Coluna7370"/>
    <tableColumn id="7376" xr3:uid="{00000000-0010-0000-0000-0000D01C0000}" name="Coluna7371"/>
    <tableColumn id="7377" xr3:uid="{00000000-0010-0000-0000-0000D11C0000}" name="Coluna7372"/>
    <tableColumn id="7378" xr3:uid="{00000000-0010-0000-0000-0000D21C0000}" name="Coluna7373"/>
    <tableColumn id="7379" xr3:uid="{00000000-0010-0000-0000-0000D31C0000}" name="Coluna7374"/>
    <tableColumn id="7380" xr3:uid="{00000000-0010-0000-0000-0000D41C0000}" name="Coluna7375"/>
    <tableColumn id="7381" xr3:uid="{00000000-0010-0000-0000-0000D51C0000}" name="Coluna7376"/>
    <tableColumn id="7382" xr3:uid="{00000000-0010-0000-0000-0000D61C0000}" name="Coluna7377"/>
    <tableColumn id="7383" xr3:uid="{00000000-0010-0000-0000-0000D71C0000}" name="Coluna7378"/>
    <tableColumn id="7384" xr3:uid="{00000000-0010-0000-0000-0000D81C0000}" name="Coluna7379"/>
    <tableColumn id="7385" xr3:uid="{00000000-0010-0000-0000-0000D91C0000}" name="Coluna7380"/>
    <tableColumn id="7386" xr3:uid="{00000000-0010-0000-0000-0000DA1C0000}" name="Coluna7381"/>
    <tableColumn id="7387" xr3:uid="{00000000-0010-0000-0000-0000DB1C0000}" name="Coluna7382"/>
    <tableColumn id="7388" xr3:uid="{00000000-0010-0000-0000-0000DC1C0000}" name="Coluna7383"/>
    <tableColumn id="7389" xr3:uid="{00000000-0010-0000-0000-0000DD1C0000}" name="Coluna7384"/>
    <tableColumn id="7390" xr3:uid="{00000000-0010-0000-0000-0000DE1C0000}" name="Coluna7385"/>
    <tableColumn id="7391" xr3:uid="{00000000-0010-0000-0000-0000DF1C0000}" name="Coluna7386"/>
    <tableColumn id="7392" xr3:uid="{00000000-0010-0000-0000-0000E01C0000}" name="Coluna7387"/>
    <tableColumn id="7393" xr3:uid="{00000000-0010-0000-0000-0000E11C0000}" name="Coluna7388"/>
    <tableColumn id="7394" xr3:uid="{00000000-0010-0000-0000-0000E21C0000}" name="Coluna7389"/>
    <tableColumn id="7395" xr3:uid="{00000000-0010-0000-0000-0000E31C0000}" name="Coluna7390"/>
    <tableColumn id="7396" xr3:uid="{00000000-0010-0000-0000-0000E41C0000}" name="Coluna7391"/>
    <tableColumn id="7397" xr3:uid="{00000000-0010-0000-0000-0000E51C0000}" name="Coluna7392"/>
    <tableColumn id="7398" xr3:uid="{00000000-0010-0000-0000-0000E61C0000}" name="Coluna7393"/>
    <tableColumn id="7399" xr3:uid="{00000000-0010-0000-0000-0000E71C0000}" name="Coluna7394"/>
    <tableColumn id="7400" xr3:uid="{00000000-0010-0000-0000-0000E81C0000}" name="Coluna7395"/>
    <tableColumn id="7401" xr3:uid="{00000000-0010-0000-0000-0000E91C0000}" name="Coluna7396"/>
    <tableColumn id="7402" xr3:uid="{00000000-0010-0000-0000-0000EA1C0000}" name="Coluna7397"/>
    <tableColumn id="7403" xr3:uid="{00000000-0010-0000-0000-0000EB1C0000}" name="Coluna7398"/>
    <tableColumn id="7404" xr3:uid="{00000000-0010-0000-0000-0000EC1C0000}" name="Coluna7399"/>
    <tableColumn id="7405" xr3:uid="{00000000-0010-0000-0000-0000ED1C0000}" name="Coluna7400"/>
    <tableColumn id="7406" xr3:uid="{00000000-0010-0000-0000-0000EE1C0000}" name="Coluna7401"/>
    <tableColumn id="7407" xr3:uid="{00000000-0010-0000-0000-0000EF1C0000}" name="Coluna7402"/>
    <tableColumn id="7408" xr3:uid="{00000000-0010-0000-0000-0000F01C0000}" name="Coluna7403"/>
    <tableColumn id="7409" xr3:uid="{00000000-0010-0000-0000-0000F11C0000}" name="Coluna7404"/>
    <tableColumn id="7410" xr3:uid="{00000000-0010-0000-0000-0000F21C0000}" name="Coluna7405"/>
    <tableColumn id="7411" xr3:uid="{00000000-0010-0000-0000-0000F31C0000}" name="Coluna7406"/>
    <tableColumn id="7412" xr3:uid="{00000000-0010-0000-0000-0000F41C0000}" name="Coluna7407"/>
    <tableColumn id="7413" xr3:uid="{00000000-0010-0000-0000-0000F51C0000}" name="Coluna7408"/>
    <tableColumn id="7414" xr3:uid="{00000000-0010-0000-0000-0000F61C0000}" name="Coluna7409"/>
    <tableColumn id="7415" xr3:uid="{00000000-0010-0000-0000-0000F71C0000}" name="Coluna7410"/>
    <tableColumn id="7416" xr3:uid="{00000000-0010-0000-0000-0000F81C0000}" name="Coluna7411"/>
    <tableColumn id="7417" xr3:uid="{00000000-0010-0000-0000-0000F91C0000}" name="Coluna7412"/>
    <tableColumn id="7418" xr3:uid="{00000000-0010-0000-0000-0000FA1C0000}" name="Coluna7413"/>
    <tableColumn id="7419" xr3:uid="{00000000-0010-0000-0000-0000FB1C0000}" name="Coluna7414"/>
    <tableColumn id="7420" xr3:uid="{00000000-0010-0000-0000-0000FC1C0000}" name="Coluna7415"/>
    <tableColumn id="7421" xr3:uid="{00000000-0010-0000-0000-0000FD1C0000}" name="Coluna7416"/>
    <tableColumn id="7422" xr3:uid="{00000000-0010-0000-0000-0000FE1C0000}" name="Coluna7417"/>
    <tableColumn id="7423" xr3:uid="{00000000-0010-0000-0000-0000FF1C0000}" name="Coluna7418"/>
    <tableColumn id="7424" xr3:uid="{00000000-0010-0000-0000-0000001D0000}" name="Coluna7419"/>
    <tableColumn id="7425" xr3:uid="{00000000-0010-0000-0000-0000011D0000}" name="Coluna7420"/>
    <tableColumn id="7426" xr3:uid="{00000000-0010-0000-0000-0000021D0000}" name="Coluna7421"/>
    <tableColumn id="7427" xr3:uid="{00000000-0010-0000-0000-0000031D0000}" name="Coluna7422"/>
    <tableColumn id="7428" xr3:uid="{00000000-0010-0000-0000-0000041D0000}" name="Coluna7423"/>
    <tableColumn id="7429" xr3:uid="{00000000-0010-0000-0000-0000051D0000}" name="Coluna7424"/>
    <tableColumn id="7430" xr3:uid="{00000000-0010-0000-0000-0000061D0000}" name="Coluna7425"/>
    <tableColumn id="7431" xr3:uid="{00000000-0010-0000-0000-0000071D0000}" name="Coluna7426"/>
    <tableColumn id="7432" xr3:uid="{00000000-0010-0000-0000-0000081D0000}" name="Coluna7427"/>
    <tableColumn id="7433" xr3:uid="{00000000-0010-0000-0000-0000091D0000}" name="Coluna7428"/>
    <tableColumn id="7434" xr3:uid="{00000000-0010-0000-0000-00000A1D0000}" name="Coluna7429"/>
    <tableColumn id="7435" xr3:uid="{00000000-0010-0000-0000-00000B1D0000}" name="Coluna7430"/>
    <tableColumn id="7436" xr3:uid="{00000000-0010-0000-0000-00000C1D0000}" name="Coluna7431"/>
    <tableColumn id="7437" xr3:uid="{00000000-0010-0000-0000-00000D1D0000}" name="Coluna7432"/>
    <tableColumn id="7438" xr3:uid="{00000000-0010-0000-0000-00000E1D0000}" name="Coluna7433"/>
    <tableColumn id="7439" xr3:uid="{00000000-0010-0000-0000-00000F1D0000}" name="Coluna7434"/>
    <tableColumn id="7440" xr3:uid="{00000000-0010-0000-0000-0000101D0000}" name="Coluna7435"/>
    <tableColumn id="7441" xr3:uid="{00000000-0010-0000-0000-0000111D0000}" name="Coluna7436"/>
    <tableColumn id="7442" xr3:uid="{00000000-0010-0000-0000-0000121D0000}" name="Coluna7437"/>
    <tableColumn id="7443" xr3:uid="{00000000-0010-0000-0000-0000131D0000}" name="Coluna7438"/>
    <tableColumn id="7444" xr3:uid="{00000000-0010-0000-0000-0000141D0000}" name="Coluna7439"/>
    <tableColumn id="7445" xr3:uid="{00000000-0010-0000-0000-0000151D0000}" name="Coluna7440"/>
    <tableColumn id="7446" xr3:uid="{00000000-0010-0000-0000-0000161D0000}" name="Coluna7441"/>
    <tableColumn id="7447" xr3:uid="{00000000-0010-0000-0000-0000171D0000}" name="Coluna7442"/>
    <tableColumn id="7448" xr3:uid="{00000000-0010-0000-0000-0000181D0000}" name="Coluna7443"/>
    <tableColumn id="7449" xr3:uid="{00000000-0010-0000-0000-0000191D0000}" name="Coluna7444"/>
    <tableColumn id="7450" xr3:uid="{00000000-0010-0000-0000-00001A1D0000}" name="Coluna7445"/>
    <tableColumn id="7451" xr3:uid="{00000000-0010-0000-0000-00001B1D0000}" name="Coluna7446"/>
    <tableColumn id="7452" xr3:uid="{00000000-0010-0000-0000-00001C1D0000}" name="Coluna7447"/>
    <tableColumn id="7453" xr3:uid="{00000000-0010-0000-0000-00001D1D0000}" name="Coluna7448"/>
    <tableColumn id="7454" xr3:uid="{00000000-0010-0000-0000-00001E1D0000}" name="Coluna7449"/>
    <tableColumn id="7455" xr3:uid="{00000000-0010-0000-0000-00001F1D0000}" name="Coluna7450"/>
    <tableColumn id="7456" xr3:uid="{00000000-0010-0000-0000-0000201D0000}" name="Coluna7451"/>
    <tableColumn id="7457" xr3:uid="{00000000-0010-0000-0000-0000211D0000}" name="Coluna7452"/>
    <tableColumn id="7458" xr3:uid="{00000000-0010-0000-0000-0000221D0000}" name="Coluna7453"/>
    <tableColumn id="7459" xr3:uid="{00000000-0010-0000-0000-0000231D0000}" name="Coluna7454"/>
    <tableColumn id="7460" xr3:uid="{00000000-0010-0000-0000-0000241D0000}" name="Coluna7455"/>
    <tableColumn id="7461" xr3:uid="{00000000-0010-0000-0000-0000251D0000}" name="Coluna7456"/>
    <tableColumn id="7462" xr3:uid="{00000000-0010-0000-0000-0000261D0000}" name="Coluna7457"/>
    <tableColumn id="7463" xr3:uid="{00000000-0010-0000-0000-0000271D0000}" name="Coluna7458"/>
    <tableColumn id="7464" xr3:uid="{00000000-0010-0000-0000-0000281D0000}" name="Coluna7459"/>
    <tableColumn id="7465" xr3:uid="{00000000-0010-0000-0000-0000291D0000}" name="Coluna7460"/>
    <tableColumn id="7466" xr3:uid="{00000000-0010-0000-0000-00002A1D0000}" name="Coluna7461"/>
    <tableColumn id="7467" xr3:uid="{00000000-0010-0000-0000-00002B1D0000}" name="Coluna7462"/>
    <tableColumn id="7468" xr3:uid="{00000000-0010-0000-0000-00002C1D0000}" name="Coluna7463"/>
    <tableColumn id="7469" xr3:uid="{00000000-0010-0000-0000-00002D1D0000}" name="Coluna7464"/>
    <tableColumn id="7470" xr3:uid="{00000000-0010-0000-0000-00002E1D0000}" name="Coluna7465"/>
    <tableColumn id="7471" xr3:uid="{00000000-0010-0000-0000-00002F1D0000}" name="Coluna7466"/>
    <tableColumn id="7472" xr3:uid="{00000000-0010-0000-0000-0000301D0000}" name="Coluna7467"/>
    <tableColumn id="7473" xr3:uid="{00000000-0010-0000-0000-0000311D0000}" name="Coluna7468"/>
    <tableColumn id="7474" xr3:uid="{00000000-0010-0000-0000-0000321D0000}" name="Coluna7469"/>
    <tableColumn id="7475" xr3:uid="{00000000-0010-0000-0000-0000331D0000}" name="Coluna7470"/>
    <tableColumn id="7476" xr3:uid="{00000000-0010-0000-0000-0000341D0000}" name="Coluna7471"/>
    <tableColumn id="7477" xr3:uid="{00000000-0010-0000-0000-0000351D0000}" name="Coluna7472"/>
    <tableColumn id="7478" xr3:uid="{00000000-0010-0000-0000-0000361D0000}" name="Coluna7473"/>
    <tableColumn id="7479" xr3:uid="{00000000-0010-0000-0000-0000371D0000}" name="Coluna7474"/>
    <tableColumn id="7480" xr3:uid="{00000000-0010-0000-0000-0000381D0000}" name="Coluna7475"/>
    <tableColumn id="7481" xr3:uid="{00000000-0010-0000-0000-0000391D0000}" name="Coluna7476"/>
    <tableColumn id="7482" xr3:uid="{00000000-0010-0000-0000-00003A1D0000}" name="Coluna7477"/>
    <tableColumn id="7483" xr3:uid="{00000000-0010-0000-0000-00003B1D0000}" name="Coluna7478"/>
    <tableColumn id="7484" xr3:uid="{00000000-0010-0000-0000-00003C1D0000}" name="Coluna7479"/>
    <tableColumn id="7485" xr3:uid="{00000000-0010-0000-0000-00003D1D0000}" name="Coluna7480"/>
    <tableColumn id="7486" xr3:uid="{00000000-0010-0000-0000-00003E1D0000}" name="Coluna7481"/>
    <tableColumn id="7487" xr3:uid="{00000000-0010-0000-0000-00003F1D0000}" name="Coluna7482"/>
    <tableColumn id="7488" xr3:uid="{00000000-0010-0000-0000-0000401D0000}" name="Coluna7483"/>
    <tableColumn id="7489" xr3:uid="{00000000-0010-0000-0000-0000411D0000}" name="Coluna7484"/>
    <tableColumn id="7490" xr3:uid="{00000000-0010-0000-0000-0000421D0000}" name="Coluna7485"/>
    <tableColumn id="7491" xr3:uid="{00000000-0010-0000-0000-0000431D0000}" name="Coluna7486"/>
    <tableColumn id="7492" xr3:uid="{00000000-0010-0000-0000-0000441D0000}" name="Coluna7487"/>
    <tableColumn id="7493" xr3:uid="{00000000-0010-0000-0000-0000451D0000}" name="Coluna7488"/>
    <tableColumn id="7494" xr3:uid="{00000000-0010-0000-0000-0000461D0000}" name="Coluna7489"/>
    <tableColumn id="7495" xr3:uid="{00000000-0010-0000-0000-0000471D0000}" name="Coluna7490"/>
    <tableColumn id="7496" xr3:uid="{00000000-0010-0000-0000-0000481D0000}" name="Coluna7491"/>
    <tableColumn id="7497" xr3:uid="{00000000-0010-0000-0000-0000491D0000}" name="Coluna7492"/>
    <tableColumn id="7498" xr3:uid="{00000000-0010-0000-0000-00004A1D0000}" name="Coluna7493"/>
    <tableColumn id="7499" xr3:uid="{00000000-0010-0000-0000-00004B1D0000}" name="Coluna7494"/>
    <tableColumn id="7500" xr3:uid="{00000000-0010-0000-0000-00004C1D0000}" name="Coluna7495"/>
    <tableColumn id="7501" xr3:uid="{00000000-0010-0000-0000-00004D1D0000}" name="Coluna7496"/>
    <tableColumn id="7502" xr3:uid="{00000000-0010-0000-0000-00004E1D0000}" name="Coluna7497"/>
    <tableColumn id="7503" xr3:uid="{00000000-0010-0000-0000-00004F1D0000}" name="Coluna7498"/>
    <tableColumn id="7504" xr3:uid="{00000000-0010-0000-0000-0000501D0000}" name="Coluna7499"/>
    <tableColumn id="7505" xr3:uid="{00000000-0010-0000-0000-0000511D0000}" name="Coluna7500"/>
    <tableColumn id="7506" xr3:uid="{00000000-0010-0000-0000-0000521D0000}" name="Coluna7501"/>
    <tableColumn id="7507" xr3:uid="{00000000-0010-0000-0000-0000531D0000}" name="Coluna7502"/>
    <tableColumn id="7508" xr3:uid="{00000000-0010-0000-0000-0000541D0000}" name="Coluna7503"/>
    <tableColumn id="7509" xr3:uid="{00000000-0010-0000-0000-0000551D0000}" name="Coluna7504"/>
    <tableColumn id="7510" xr3:uid="{00000000-0010-0000-0000-0000561D0000}" name="Coluna7505"/>
    <tableColumn id="7511" xr3:uid="{00000000-0010-0000-0000-0000571D0000}" name="Coluna7506"/>
    <tableColumn id="7512" xr3:uid="{00000000-0010-0000-0000-0000581D0000}" name="Coluna7507"/>
    <tableColumn id="7513" xr3:uid="{00000000-0010-0000-0000-0000591D0000}" name="Coluna7508"/>
    <tableColumn id="7514" xr3:uid="{00000000-0010-0000-0000-00005A1D0000}" name="Coluna7509"/>
    <tableColumn id="7515" xr3:uid="{00000000-0010-0000-0000-00005B1D0000}" name="Coluna7510"/>
    <tableColumn id="7516" xr3:uid="{00000000-0010-0000-0000-00005C1D0000}" name="Coluna7511"/>
    <tableColumn id="7517" xr3:uid="{00000000-0010-0000-0000-00005D1D0000}" name="Coluna7512"/>
    <tableColumn id="7518" xr3:uid="{00000000-0010-0000-0000-00005E1D0000}" name="Coluna7513"/>
    <tableColumn id="7519" xr3:uid="{00000000-0010-0000-0000-00005F1D0000}" name="Coluna7514"/>
    <tableColumn id="7520" xr3:uid="{00000000-0010-0000-0000-0000601D0000}" name="Coluna7515"/>
    <tableColumn id="7521" xr3:uid="{00000000-0010-0000-0000-0000611D0000}" name="Coluna7516"/>
    <tableColumn id="7522" xr3:uid="{00000000-0010-0000-0000-0000621D0000}" name="Coluna7517"/>
    <tableColumn id="7523" xr3:uid="{00000000-0010-0000-0000-0000631D0000}" name="Coluna7518"/>
    <tableColumn id="7524" xr3:uid="{00000000-0010-0000-0000-0000641D0000}" name="Coluna7519"/>
    <tableColumn id="7525" xr3:uid="{00000000-0010-0000-0000-0000651D0000}" name="Coluna7520"/>
    <tableColumn id="7526" xr3:uid="{00000000-0010-0000-0000-0000661D0000}" name="Coluna7521"/>
    <tableColumn id="7527" xr3:uid="{00000000-0010-0000-0000-0000671D0000}" name="Coluna7522"/>
    <tableColumn id="7528" xr3:uid="{00000000-0010-0000-0000-0000681D0000}" name="Coluna7523"/>
    <tableColumn id="7529" xr3:uid="{00000000-0010-0000-0000-0000691D0000}" name="Coluna7524"/>
    <tableColumn id="7530" xr3:uid="{00000000-0010-0000-0000-00006A1D0000}" name="Coluna7525"/>
    <tableColumn id="7531" xr3:uid="{00000000-0010-0000-0000-00006B1D0000}" name="Coluna7526"/>
    <tableColumn id="7532" xr3:uid="{00000000-0010-0000-0000-00006C1D0000}" name="Coluna7527"/>
    <tableColumn id="7533" xr3:uid="{00000000-0010-0000-0000-00006D1D0000}" name="Coluna7528"/>
    <tableColumn id="7534" xr3:uid="{00000000-0010-0000-0000-00006E1D0000}" name="Coluna7529"/>
    <tableColumn id="7535" xr3:uid="{00000000-0010-0000-0000-00006F1D0000}" name="Coluna7530"/>
    <tableColumn id="7536" xr3:uid="{00000000-0010-0000-0000-0000701D0000}" name="Coluna7531"/>
    <tableColumn id="7537" xr3:uid="{00000000-0010-0000-0000-0000711D0000}" name="Coluna7532"/>
    <tableColumn id="7538" xr3:uid="{00000000-0010-0000-0000-0000721D0000}" name="Coluna7533"/>
    <tableColumn id="7539" xr3:uid="{00000000-0010-0000-0000-0000731D0000}" name="Coluna7534"/>
    <tableColumn id="7540" xr3:uid="{00000000-0010-0000-0000-0000741D0000}" name="Coluna7535"/>
    <tableColumn id="7541" xr3:uid="{00000000-0010-0000-0000-0000751D0000}" name="Coluna7536"/>
    <tableColumn id="7542" xr3:uid="{00000000-0010-0000-0000-0000761D0000}" name="Coluna7537"/>
    <tableColumn id="7543" xr3:uid="{00000000-0010-0000-0000-0000771D0000}" name="Coluna7538"/>
    <tableColumn id="7544" xr3:uid="{00000000-0010-0000-0000-0000781D0000}" name="Coluna7539"/>
    <tableColumn id="7545" xr3:uid="{00000000-0010-0000-0000-0000791D0000}" name="Coluna7540"/>
    <tableColumn id="7546" xr3:uid="{00000000-0010-0000-0000-00007A1D0000}" name="Coluna7541"/>
    <tableColumn id="7547" xr3:uid="{00000000-0010-0000-0000-00007B1D0000}" name="Coluna7542"/>
    <tableColumn id="7548" xr3:uid="{00000000-0010-0000-0000-00007C1D0000}" name="Coluna7543"/>
    <tableColumn id="7549" xr3:uid="{00000000-0010-0000-0000-00007D1D0000}" name="Coluna7544"/>
    <tableColumn id="7550" xr3:uid="{00000000-0010-0000-0000-00007E1D0000}" name="Coluna7545"/>
    <tableColumn id="7551" xr3:uid="{00000000-0010-0000-0000-00007F1D0000}" name="Coluna7546"/>
    <tableColumn id="7552" xr3:uid="{00000000-0010-0000-0000-0000801D0000}" name="Coluna7547"/>
    <tableColumn id="7553" xr3:uid="{00000000-0010-0000-0000-0000811D0000}" name="Coluna7548"/>
    <tableColumn id="7554" xr3:uid="{00000000-0010-0000-0000-0000821D0000}" name="Coluna7549"/>
    <tableColumn id="7555" xr3:uid="{00000000-0010-0000-0000-0000831D0000}" name="Coluna7550"/>
    <tableColumn id="7556" xr3:uid="{00000000-0010-0000-0000-0000841D0000}" name="Coluna7551"/>
    <tableColumn id="7557" xr3:uid="{00000000-0010-0000-0000-0000851D0000}" name="Coluna7552"/>
    <tableColumn id="7558" xr3:uid="{00000000-0010-0000-0000-0000861D0000}" name="Coluna7553"/>
    <tableColumn id="7559" xr3:uid="{00000000-0010-0000-0000-0000871D0000}" name="Coluna7554"/>
    <tableColumn id="7560" xr3:uid="{00000000-0010-0000-0000-0000881D0000}" name="Coluna7555"/>
    <tableColumn id="7561" xr3:uid="{00000000-0010-0000-0000-0000891D0000}" name="Coluna7556"/>
    <tableColumn id="7562" xr3:uid="{00000000-0010-0000-0000-00008A1D0000}" name="Coluna7557"/>
    <tableColumn id="7563" xr3:uid="{00000000-0010-0000-0000-00008B1D0000}" name="Coluna7558"/>
    <tableColumn id="7564" xr3:uid="{00000000-0010-0000-0000-00008C1D0000}" name="Coluna7559"/>
    <tableColumn id="7565" xr3:uid="{00000000-0010-0000-0000-00008D1D0000}" name="Coluna7560"/>
    <tableColumn id="7566" xr3:uid="{00000000-0010-0000-0000-00008E1D0000}" name="Coluna7561"/>
    <tableColumn id="7567" xr3:uid="{00000000-0010-0000-0000-00008F1D0000}" name="Coluna7562"/>
    <tableColumn id="7568" xr3:uid="{00000000-0010-0000-0000-0000901D0000}" name="Coluna7563"/>
    <tableColumn id="7569" xr3:uid="{00000000-0010-0000-0000-0000911D0000}" name="Coluna7564"/>
    <tableColumn id="7570" xr3:uid="{00000000-0010-0000-0000-0000921D0000}" name="Coluna7565"/>
    <tableColumn id="7571" xr3:uid="{00000000-0010-0000-0000-0000931D0000}" name="Coluna7566"/>
    <tableColumn id="7572" xr3:uid="{00000000-0010-0000-0000-0000941D0000}" name="Coluna7567"/>
    <tableColumn id="7573" xr3:uid="{00000000-0010-0000-0000-0000951D0000}" name="Coluna7568"/>
    <tableColumn id="7574" xr3:uid="{00000000-0010-0000-0000-0000961D0000}" name="Coluna7569"/>
    <tableColumn id="7575" xr3:uid="{00000000-0010-0000-0000-0000971D0000}" name="Coluna7570"/>
    <tableColumn id="7576" xr3:uid="{00000000-0010-0000-0000-0000981D0000}" name="Coluna7571"/>
    <tableColumn id="7577" xr3:uid="{00000000-0010-0000-0000-0000991D0000}" name="Coluna7572"/>
    <tableColumn id="7578" xr3:uid="{00000000-0010-0000-0000-00009A1D0000}" name="Coluna7573"/>
    <tableColumn id="7579" xr3:uid="{00000000-0010-0000-0000-00009B1D0000}" name="Coluna7574"/>
    <tableColumn id="7580" xr3:uid="{00000000-0010-0000-0000-00009C1D0000}" name="Coluna7575"/>
    <tableColumn id="7581" xr3:uid="{00000000-0010-0000-0000-00009D1D0000}" name="Coluna7576"/>
    <tableColumn id="7582" xr3:uid="{00000000-0010-0000-0000-00009E1D0000}" name="Coluna7577"/>
    <tableColumn id="7583" xr3:uid="{00000000-0010-0000-0000-00009F1D0000}" name="Coluna7578"/>
    <tableColumn id="7584" xr3:uid="{00000000-0010-0000-0000-0000A01D0000}" name="Coluna7579"/>
    <tableColumn id="7585" xr3:uid="{00000000-0010-0000-0000-0000A11D0000}" name="Coluna7580"/>
    <tableColumn id="7586" xr3:uid="{00000000-0010-0000-0000-0000A21D0000}" name="Coluna7581"/>
    <tableColumn id="7587" xr3:uid="{00000000-0010-0000-0000-0000A31D0000}" name="Coluna7582"/>
    <tableColumn id="7588" xr3:uid="{00000000-0010-0000-0000-0000A41D0000}" name="Coluna7583"/>
    <tableColumn id="7589" xr3:uid="{00000000-0010-0000-0000-0000A51D0000}" name="Coluna7584"/>
    <tableColumn id="7590" xr3:uid="{00000000-0010-0000-0000-0000A61D0000}" name="Coluna7585"/>
    <tableColumn id="7591" xr3:uid="{00000000-0010-0000-0000-0000A71D0000}" name="Coluna7586"/>
    <tableColumn id="7592" xr3:uid="{00000000-0010-0000-0000-0000A81D0000}" name="Coluna7587"/>
    <tableColumn id="7593" xr3:uid="{00000000-0010-0000-0000-0000A91D0000}" name="Coluna7588"/>
    <tableColumn id="7594" xr3:uid="{00000000-0010-0000-0000-0000AA1D0000}" name="Coluna7589"/>
    <tableColumn id="7595" xr3:uid="{00000000-0010-0000-0000-0000AB1D0000}" name="Coluna7590"/>
    <tableColumn id="7596" xr3:uid="{00000000-0010-0000-0000-0000AC1D0000}" name="Coluna7591"/>
    <tableColumn id="7597" xr3:uid="{00000000-0010-0000-0000-0000AD1D0000}" name="Coluna7592"/>
    <tableColumn id="7598" xr3:uid="{00000000-0010-0000-0000-0000AE1D0000}" name="Coluna7593"/>
    <tableColumn id="7599" xr3:uid="{00000000-0010-0000-0000-0000AF1D0000}" name="Coluna7594"/>
    <tableColumn id="7600" xr3:uid="{00000000-0010-0000-0000-0000B01D0000}" name="Coluna7595"/>
    <tableColumn id="7601" xr3:uid="{00000000-0010-0000-0000-0000B11D0000}" name="Coluna7596"/>
    <tableColumn id="7602" xr3:uid="{00000000-0010-0000-0000-0000B21D0000}" name="Coluna7597"/>
    <tableColumn id="7603" xr3:uid="{00000000-0010-0000-0000-0000B31D0000}" name="Coluna7598"/>
    <tableColumn id="7604" xr3:uid="{00000000-0010-0000-0000-0000B41D0000}" name="Coluna7599"/>
    <tableColumn id="7605" xr3:uid="{00000000-0010-0000-0000-0000B51D0000}" name="Coluna7600"/>
    <tableColumn id="7606" xr3:uid="{00000000-0010-0000-0000-0000B61D0000}" name="Coluna7601"/>
    <tableColumn id="7607" xr3:uid="{00000000-0010-0000-0000-0000B71D0000}" name="Coluna7602"/>
    <tableColumn id="7608" xr3:uid="{00000000-0010-0000-0000-0000B81D0000}" name="Coluna7603"/>
    <tableColumn id="7609" xr3:uid="{00000000-0010-0000-0000-0000B91D0000}" name="Coluna7604"/>
    <tableColumn id="7610" xr3:uid="{00000000-0010-0000-0000-0000BA1D0000}" name="Coluna7605"/>
    <tableColumn id="7611" xr3:uid="{00000000-0010-0000-0000-0000BB1D0000}" name="Coluna7606"/>
    <tableColumn id="7612" xr3:uid="{00000000-0010-0000-0000-0000BC1D0000}" name="Coluna7607"/>
    <tableColumn id="7613" xr3:uid="{00000000-0010-0000-0000-0000BD1D0000}" name="Coluna7608"/>
    <tableColumn id="7614" xr3:uid="{00000000-0010-0000-0000-0000BE1D0000}" name="Coluna7609"/>
    <tableColumn id="7615" xr3:uid="{00000000-0010-0000-0000-0000BF1D0000}" name="Coluna7610"/>
    <tableColumn id="7616" xr3:uid="{00000000-0010-0000-0000-0000C01D0000}" name="Coluna7611"/>
    <tableColumn id="7617" xr3:uid="{00000000-0010-0000-0000-0000C11D0000}" name="Coluna7612"/>
    <tableColumn id="7618" xr3:uid="{00000000-0010-0000-0000-0000C21D0000}" name="Coluna7613"/>
    <tableColumn id="7619" xr3:uid="{00000000-0010-0000-0000-0000C31D0000}" name="Coluna7614"/>
    <tableColumn id="7620" xr3:uid="{00000000-0010-0000-0000-0000C41D0000}" name="Coluna7615"/>
    <tableColumn id="7621" xr3:uid="{00000000-0010-0000-0000-0000C51D0000}" name="Coluna7616"/>
    <tableColumn id="7622" xr3:uid="{00000000-0010-0000-0000-0000C61D0000}" name="Coluna7617"/>
    <tableColumn id="7623" xr3:uid="{00000000-0010-0000-0000-0000C71D0000}" name="Coluna7618"/>
    <tableColumn id="7624" xr3:uid="{00000000-0010-0000-0000-0000C81D0000}" name="Coluna7619"/>
    <tableColumn id="7625" xr3:uid="{00000000-0010-0000-0000-0000C91D0000}" name="Coluna7620"/>
    <tableColumn id="7626" xr3:uid="{00000000-0010-0000-0000-0000CA1D0000}" name="Coluna7621"/>
    <tableColumn id="7627" xr3:uid="{00000000-0010-0000-0000-0000CB1D0000}" name="Coluna7622"/>
    <tableColumn id="7628" xr3:uid="{00000000-0010-0000-0000-0000CC1D0000}" name="Coluna7623"/>
    <tableColumn id="7629" xr3:uid="{00000000-0010-0000-0000-0000CD1D0000}" name="Coluna7624"/>
    <tableColumn id="7630" xr3:uid="{00000000-0010-0000-0000-0000CE1D0000}" name="Coluna7625"/>
    <tableColumn id="7631" xr3:uid="{00000000-0010-0000-0000-0000CF1D0000}" name="Coluna7626"/>
    <tableColumn id="7632" xr3:uid="{00000000-0010-0000-0000-0000D01D0000}" name="Coluna7627"/>
    <tableColumn id="7633" xr3:uid="{00000000-0010-0000-0000-0000D11D0000}" name="Coluna7628"/>
    <tableColumn id="7634" xr3:uid="{00000000-0010-0000-0000-0000D21D0000}" name="Coluna7629"/>
    <tableColumn id="7635" xr3:uid="{00000000-0010-0000-0000-0000D31D0000}" name="Coluna7630"/>
    <tableColumn id="7636" xr3:uid="{00000000-0010-0000-0000-0000D41D0000}" name="Coluna7631"/>
    <tableColumn id="7637" xr3:uid="{00000000-0010-0000-0000-0000D51D0000}" name="Coluna7632"/>
    <tableColumn id="7638" xr3:uid="{00000000-0010-0000-0000-0000D61D0000}" name="Coluna7633"/>
    <tableColumn id="7639" xr3:uid="{00000000-0010-0000-0000-0000D71D0000}" name="Coluna7634"/>
    <tableColumn id="7640" xr3:uid="{00000000-0010-0000-0000-0000D81D0000}" name="Coluna7635"/>
    <tableColumn id="7641" xr3:uid="{00000000-0010-0000-0000-0000D91D0000}" name="Coluna7636"/>
    <tableColumn id="7642" xr3:uid="{00000000-0010-0000-0000-0000DA1D0000}" name="Coluna7637"/>
    <tableColumn id="7643" xr3:uid="{00000000-0010-0000-0000-0000DB1D0000}" name="Coluna7638"/>
    <tableColumn id="7644" xr3:uid="{00000000-0010-0000-0000-0000DC1D0000}" name="Coluna7639"/>
    <tableColumn id="7645" xr3:uid="{00000000-0010-0000-0000-0000DD1D0000}" name="Coluna7640"/>
    <tableColumn id="7646" xr3:uid="{00000000-0010-0000-0000-0000DE1D0000}" name="Coluna7641"/>
    <tableColumn id="7647" xr3:uid="{00000000-0010-0000-0000-0000DF1D0000}" name="Coluna7642"/>
    <tableColumn id="7648" xr3:uid="{00000000-0010-0000-0000-0000E01D0000}" name="Coluna7643"/>
    <tableColumn id="7649" xr3:uid="{00000000-0010-0000-0000-0000E11D0000}" name="Coluna7644"/>
    <tableColumn id="7650" xr3:uid="{00000000-0010-0000-0000-0000E21D0000}" name="Coluna7645"/>
    <tableColumn id="7651" xr3:uid="{00000000-0010-0000-0000-0000E31D0000}" name="Coluna7646"/>
    <tableColumn id="7652" xr3:uid="{00000000-0010-0000-0000-0000E41D0000}" name="Coluna7647"/>
    <tableColumn id="7653" xr3:uid="{00000000-0010-0000-0000-0000E51D0000}" name="Coluna7648"/>
    <tableColumn id="7654" xr3:uid="{00000000-0010-0000-0000-0000E61D0000}" name="Coluna7649"/>
    <tableColumn id="7655" xr3:uid="{00000000-0010-0000-0000-0000E71D0000}" name="Coluna7650"/>
    <tableColumn id="7656" xr3:uid="{00000000-0010-0000-0000-0000E81D0000}" name="Coluna7651"/>
    <tableColumn id="7657" xr3:uid="{00000000-0010-0000-0000-0000E91D0000}" name="Coluna7652"/>
    <tableColumn id="7658" xr3:uid="{00000000-0010-0000-0000-0000EA1D0000}" name="Coluna7653"/>
    <tableColumn id="7659" xr3:uid="{00000000-0010-0000-0000-0000EB1D0000}" name="Coluna7654"/>
    <tableColumn id="7660" xr3:uid="{00000000-0010-0000-0000-0000EC1D0000}" name="Coluna7655"/>
    <tableColumn id="7661" xr3:uid="{00000000-0010-0000-0000-0000ED1D0000}" name="Coluna7656"/>
    <tableColumn id="7662" xr3:uid="{00000000-0010-0000-0000-0000EE1D0000}" name="Coluna7657"/>
    <tableColumn id="7663" xr3:uid="{00000000-0010-0000-0000-0000EF1D0000}" name="Coluna7658"/>
    <tableColumn id="7664" xr3:uid="{00000000-0010-0000-0000-0000F01D0000}" name="Coluna7659"/>
    <tableColumn id="7665" xr3:uid="{00000000-0010-0000-0000-0000F11D0000}" name="Coluna7660"/>
    <tableColumn id="7666" xr3:uid="{00000000-0010-0000-0000-0000F21D0000}" name="Coluna7661"/>
    <tableColumn id="7667" xr3:uid="{00000000-0010-0000-0000-0000F31D0000}" name="Coluna7662"/>
    <tableColumn id="7668" xr3:uid="{00000000-0010-0000-0000-0000F41D0000}" name="Coluna7663"/>
    <tableColumn id="7669" xr3:uid="{00000000-0010-0000-0000-0000F51D0000}" name="Coluna7664"/>
    <tableColumn id="7670" xr3:uid="{00000000-0010-0000-0000-0000F61D0000}" name="Coluna7665"/>
    <tableColumn id="7671" xr3:uid="{00000000-0010-0000-0000-0000F71D0000}" name="Coluna7666"/>
    <tableColumn id="7672" xr3:uid="{00000000-0010-0000-0000-0000F81D0000}" name="Coluna7667"/>
    <tableColumn id="7673" xr3:uid="{00000000-0010-0000-0000-0000F91D0000}" name="Coluna7668"/>
    <tableColumn id="7674" xr3:uid="{00000000-0010-0000-0000-0000FA1D0000}" name="Coluna7669"/>
    <tableColumn id="7675" xr3:uid="{00000000-0010-0000-0000-0000FB1D0000}" name="Coluna7670"/>
    <tableColumn id="7676" xr3:uid="{00000000-0010-0000-0000-0000FC1D0000}" name="Coluna7671"/>
    <tableColumn id="7677" xr3:uid="{00000000-0010-0000-0000-0000FD1D0000}" name="Coluna7672"/>
    <tableColumn id="7678" xr3:uid="{00000000-0010-0000-0000-0000FE1D0000}" name="Coluna7673"/>
    <tableColumn id="7679" xr3:uid="{00000000-0010-0000-0000-0000FF1D0000}" name="Coluna7674"/>
    <tableColumn id="7680" xr3:uid="{00000000-0010-0000-0000-0000001E0000}" name="Coluna7675"/>
    <tableColumn id="7681" xr3:uid="{00000000-0010-0000-0000-0000011E0000}" name="Coluna7676"/>
    <tableColumn id="7682" xr3:uid="{00000000-0010-0000-0000-0000021E0000}" name="Coluna7677"/>
    <tableColumn id="7683" xr3:uid="{00000000-0010-0000-0000-0000031E0000}" name="Coluna7678"/>
    <tableColumn id="7684" xr3:uid="{00000000-0010-0000-0000-0000041E0000}" name="Coluna7679"/>
    <tableColumn id="7685" xr3:uid="{00000000-0010-0000-0000-0000051E0000}" name="Coluna7680"/>
    <tableColumn id="7686" xr3:uid="{00000000-0010-0000-0000-0000061E0000}" name="Coluna7681"/>
    <tableColumn id="7687" xr3:uid="{00000000-0010-0000-0000-0000071E0000}" name="Coluna7682"/>
    <tableColumn id="7688" xr3:uid="{00000000-0010-0000-0000-0000081E0000}" name="Coluna7683"/>
    <tableColumn id="7689" xr3:uid="{00000000-0010-0000-0000-0000091E0000}" name="Coluna7684"/>
    <tableColumn id="7690" xr3:uid="{00000000-0010-0000-0000-00000A1E0000}" name="Coluna7685"/>
    <tableColumn id="7691" xr3:uid="{00000000-0010-0000-0000-00000B1E0000}" name="Coluna7686"/>
    <tableColumn id="7692" xr3:uid="{00000000-0010-0000-0000-00000C1E0000}" name="Coluna7687"/>
    <tableColumn id="7693" xr3:uid="{00000000-0010-0000-0000-00000D1E0000}" name="Coluna7688"/>
    <tableColumn id="7694" xr3:uid="{00000000-0010-0000-0000-00000E1E0000}" name="Coluna7689"/>
    <tableColumn id="7695" xr3:uid="{00000000-0010-0000-0000-00000F1E0000}" name="Coluna7690"/>
    <tableColumn id="7696" xr3:uid="{00000000-0010-0000-0000-0000101E0000}" name="Coluna7691"/>
    <tableColumn id="7697" xr3:uid="{00000000-0010-0000-0000-0000111E0000}" name="Coluna7692"/>
    <tableColumn id="7698" xr3:uid="{00000000-0010-0000-0000-0000121E0000}" name="Coluna7693"/>
    <tableColumn id="7699" xr3:uid="{00000000-0010-0000-0000-0000131E0000}" name="Coluna7694"/>
    <tableColumn id="7700" xr3:uid="{00000000-0010-0000-0000-0000141E0000}" name="Coluna7695"/>
    <tableColumn id="7701" xr3:uid="{00000000-0010-0000-0000-0000151E0000}" name="Coluna7696"/>
    <tableColumn id="7702" xr3:uid="{00000000-0010-0000-0000-0000161E0000}" name="Coluna7697"/>
    <tableColumn id="7703" xr3:uid="{00000000-0010-0000-0000-0000171E0000}" name="Coluna7698"/>
    <tableColumn id="7704" xr3:uid="{00000000-0010-0000-0000-0000181E0000}" name="Coluna7699"/>
    <tableColumn id="7705" xr3:uid="{00000000-0010-0000-0000-0000191E0000}" name="Coluna7700"/>
    <tableColumn id="7706" xr3:uid="{00000000-0010-0000-0000-00001A1E0000}" name="Coluna7701"/>
    <tableColumn id="7707" xr3:uid="{00000000-0010-0000-0000-00001B1E0000}" name="Coluna7702"/>
    <tableColumn id="7708" xr3:uid="{00000000-0010-0000-0000-00001C1E0000}" name="Coluna7703"/>
    <tableColumn id="7709" xr3:uid="{00000000-0010-0000-0000-00001D1E0000}" name="Coluna7704"/>
    <tableColumn id="7710" xr3:uid="{00000000-0010-0000-0000-00001E1E0000}" name="Coluna7705"/>
    <tableColumn id="7711" xr3:uid="{00000000-0010-0000-0000-00001F1E0000}" name="Coluna7706"/>
    <tableColumn id="7712" xr3:uid="{00000000-0010-0000-0000-0000201E0000}" name="Coluna7707"/>
    <tableColumn id="7713" xr3:uid="{00000000-0010-0000-0000-0000211E0000}" name="Coluna7708"/>
    <tableColumn id="7714" xr3:uid="{00000000-0010-0000-0000-0000221E0000}" name="Coluna7709"/>
    <tableColumn id="7715" xr3:uid="{00000000-0010-0000-0000-0000231E0000}" name="Coluna7710"/>
    <tableColumn id="7716" xr3:uid="{00000000-0010-0000-0000-0000241E0000}" name="Coluna7711"/>
    <tableColumn id="7717" xr3:uid="{00000000-0010-0000-0000-0000251E0000}" name="Coluna7712"/>
    <tableColumn id="7718" xr3:uid="{00000000-0010-0000-0000-0000261E0000}" name="Coluna7713"/>
    <tableColumn id="7719" xr3:uid="{00000000-0010-0000-0000-0000271E0000}" name="Coluna7714"/>
    <tableColumn id="7720" xr3:uid="{00000000-0010-0000-0000-0000281E0000}" name="Coluna7715"/>
    <tableColumn id="7721" xr3:uid="{00000000-0010-0000-0000-0000291E0000}" name="Coluna7716"/>
    <tableColumn id="7722" xr3:uid="{00000000-0010-0000-0000-00002A1E0000}" name="Coluna7717"/>
    <tableColumn id="7723" xr3:uid="{00000000-0010-0000-0000-00002B1E0000}" name="Coluna7718"/>
    <tableColumn id="7724" xr3:uid="{00000000-0010-0000-0000-00002C1E0000}" name="Coluna7719"/>
    <tableColumn id="7725" xr3:uid="{00000000-0010-0000-0000-00002D1E0000}" name="Coluna7720"/>
    <tableColumn id="7726" xr3:uid="{00000000-0010-0000-0000-00002E1E0000}" name="Coluna7721"/>
    <tableColumn id="7727" xr3:uid="{00000000-0010-0000-0000-00002F1E0000}" name="Coluna7722"/>
    <tableColumn id="7728" xr3:uid="{00000000-0010-0000-0000-0000301E0000}" name="Coluna7723"/>
    <tableColumn id="7729" xr3:uid="{00000000-0010-0000-0000-0000311E0000}" name="Coluna7724"/>
    <tableColumn id="7730" xr3:uid="{00000000-0010-0000-0000-0000321E0000}" name="Coluna7725"/>
    <tableColumn id="7731" xr3:uid="{00000000-0010-0000-0000-0000331E0000}" name="Coluna7726"/>
    <tableColumn id="7732" xr3:uid="{00000000-0010-0000-0000-0000341E0000}" name="Coluna7727"/>
    <tableColumn id="7733" xr3:uid="{00000000-0010-0000-0000-0000351E0000}" name="Coluna7728"/>
    <tableColumn id="7734" xr3:uid="{00000000-0010-0000-0000-0000361E0000}" name="Coluna7729"/>
    <tableColumn id="7735" xr3:uid="{00000000-0010-0000-0000-0000371E0000}" name="Coluna7730"/>
    <tableColumn id="7736" xr3:uid="{00000000-0010-0000-0000-0000381E0000}" name="Coluna7731"/>
    <tableColumn id="7737" xr3:uid="{00000000-0010-0000-0000-0000391E0000}" name="Coluna7732"/>
    <tableColumn id="7738" xr3:uid="{00000000-0010-0000-0000-00003A1E0000}" name="Coluna7733"/>
    <tableColumn id="7739" xr3:uid="{00000000-0010-0000-0000-00003B1E0000}" name="Coluna7734"/>
    <tableColumn id="7740" xr3:uid="{00000000-0010-0000-0000-00003C1E0000}" name="Coluna7735"/>
    <tableColumn id="7741" xr3:uid="{00000000-0010-0000-0000-00003D1E0000}" name="Coluna7736"/>
    <tableColumn id="7742" xr3:uid="{00000000-0010-0000-0000-00003E1E0000}" name="Coluna7737"/>
    <tableColumn id="7743" xr3:uid="{00000000-0010-0000-0000-00003F1E0000}" name="Coluna7738"/>
    <tableColumn id="7744" xr3:uid="{00000000-0010-0000-0000-0000401E0000}" name="Coluna7739"/>
    <tableColumn id="7745" xr3:uid="{00000000-0010-0000-0000-0000411E0000}" name="Coluna7740"/>
    <tableColumn id="7746" xr3:uid="{00000000-0010-0000-0000-0000421E0000}" name="Coluna7741"/>
    <tableColumn id="7747" xr3:uid="{00000000-0010-0000-0000-0000431E0000}" name="Coluna7742"/>
    <tableColumn id="7748" xr3:uid="{00000000-0010-0000-0000-0000441E0000}" name="Coluna7743"/>
    <tableColumn id="7749" xr3:uid="{00000000-0010-0000-0000-0000451E0000}" name="Coluna7744"/>
    <tableColumn id="7750" xr3:uid="{00000000-0010-0000-0000-0000461E0000}" name="Coluna7745"/>
    <tableColumn id="7751" xr3:uid="{00000000-0010-0000-0000-0000471E0000}" name="Coluna7746"/>
    <tableColumn id="7752" xr3:uid="{00000000-0010-0000-0000-0000481E0000}" name="Coluna7747"/>
    <tableColumn id="7753" xr3:uid="{00000000-0010-0000-0000-0000491E0000}" name="Coluna7748"/>
    <tableColumn id="7754" xr3:uid="{00000000-0010-0000-0000-00004A1E0000}" name="Coluna7749"/>
    <tableColumn id="7755" xr3:uid="{00000000-0010-0000-0000-00004B1E0000}" name="Coluna7750"/>
    <tableColumn id="7756" xr3:uid="{00000000-0010-0000-0000-00004C1E0000}" name="Coluna7751"/>
    <tableColumn id="7757" xr3:uid="{00000000-0010-0000-0000-00004D1E0000}" name="Coluna7752"/>
    <tableColumn id="7758" xr3:uid="{00000000-0010-0000-0000-00004E1E0000}" name="Coluna7753"/>
    <tableColumn id="7759" xr3:uid="{00000000-0010-0000-0000-00004F1E0000}" name="Coluna7754"/>
    <tableColumn id="7760" xr3:uid="{00000000-0010-0000-0000-0000501E0000}" name="Coluna7755"/>
    <tableColumn id="7761" xr3:uid="{00000000-0010-0000-0000-0000511E0000}" name="Coluna7756"/>
    <tableColumn id="7762" xr3:uid="{00000000-0010-0000-0000-0000521E0000}" name="Coluna7757"/>
    <tableColumn id="7763" xr3:uid="{00000000-0010-0000-0000-0000531E0000}" name="Coluna7758"/>
    <tableColumn id="7764" xr3:uid="{00000000-0010-0000-0000-0000541E0000}" name="Coluna7759"/>
    <tableColumn id="7765" xr3:uid="{00000000-0010-0000-0000-0000551E0000}" name="Coluna7760"/>
    <tableColumn id="7766" xr3:uid="{00000000-0010-0000-0000-0000561E0000}" name="Coluna7761"/>
    <tableColumn id="7767" xr3:uid="{00000000-0010-0000-0000-0000571E0000}" name="Coluna7762"/>
    <tableColumn id="7768" xr3:uid="{00000000-0010-0000-0000-0000581E0000}" name="Coluna7763"/>
    <tableColumn id="7769" xr3:uid="{00000000-0010-0000-0000-0000591E0000}" name="Coluna7764"/>
    <tableColumn id="7770" xr3:uid="{00000000-0010-0000-0000-00005A1E0000}" name="Coluna7765"/>
    <tableColumn id="7771" xr3:uid="{00000000-0010-0000-0000-00005B1E0000}" name="Coluna7766"/>
    <tableColumn id="7772" xr3:uid="{00000000-0010-0000-0000-00005C1E0000}" name="Coluna7767"/>
    <tableColumn id="7773" xr3:uid="{00000000-0010-0000-0000-00005D1E0000}" name="Coluna7768"/>
    <tableColumn id="7774" xr3:uid="{00000000-0010-0000-0000-00005E1E0000}" name="Coluna7769"/>
    <tableColumn id="7775" xr3:uid="{00000000-0010-0000-0000-00005F1E0000}" name="Coluna7770"/>
    <tableColumn id="7776" xr3:uid="{00000000-0010-0000-0000-0000601E0000}" name="Coluna7771"/>
    <tableColumn id="7777" xr3:uid="{00000000-0010-0000-0000-0000611E0000}" name="Coluna7772"/>
    <tableColumn id="7778" xr3:uid="{00000000-0010-0000-0000-0000621E0000}" name="Coluna7773"/>
    <tableColumn id="7779" xr3:uid="{00000000-0010-0000-0000-0000631E0000}" name="Coluna7774"/>
    <tableColumn id="7780" xr3:uid="{00000000-0010-0000-0000-0000641E0000}" name="Coluna7775"/>
    <tableColumn id="7781" xr3:uid="{00000000-0010-0000-0000-0000651E0000}" name="Coluna7776"/>
    <tableColumn id="7782" xr3:uid="{00000000-0010-0000-0000-0000661E0000}" name="Coluna7777"/>
    <tableColumn id="7783" xr3:uid="{00000000-0010-0000-0000-0000671E0000}" name="Coluna7778"/>
    <tableColumn id="7784" xr3:uid="{00000000-0010-0000-0000-0000681E0000}" name="Coluna7779"/>
    <tableColumn id="7785" xr3:uid="{00000000-0010-0000-0000-0000691E0000}" name="Coluna7780"/>
    <tableColumn id="7786" xr3:uid="{00000000-0010-0000-0000-00006A1E0000}" name="Coluna7781"/>
    <tableColumn id="7787" xr3:uid="{00000000-0010-0000-0000-00006B1E0000}" name="Coluna7782"/>
    <tableColumn id="7788" xr3:uid="{00000000-0010-0000-0000-00006C1E0000}" name="Coluna7783"/>
    <tableColumn id="7789" xr3:uid="{00000000-0010-0000-0000-00006D1E0000}" name="Coluna7784"/>
    <tableColumn id="7790" xr3:uid="{00000000-0010-0000-0000-00006E1E0000}" name="Coluna7785"/>
    <tableColumn id="7791" xr3:uid="{00000000-0010-0000-0000-00006F1E0000}" name="Coluna7786"/>
    <tableColumn id="7792" xr3:uid="{00000000-0010-0000-0000-0000701E0000}" name="Coluna7787"/>
    <tableColumn id="7793" xr3:uid="{00000000-0010-0000-0000-0000711E0000}" name="Coluna7788"/>
    <tableColumn id="7794" xr3:uid="{00000000-0010-0000-0000-0000721E0000}" name="Coluna7789"/>
    <tableColumn id="7795" xr3:uid="{00000000-0010-0000-0000-0000731E0000}" name="Coluna7790"/>
    <tableColumn id="7796" xr3:uid="{00000000-0010-0000-0000-0000741E0000}" name="Coluna7791"/>
    <tableColumn id="7797" xr3:uid="{00000000-0010-0000-0000-0000751E0000}" name="Coluna7792"/>
    <tableColumn id="7798" xr3:uid="{00000000-0010-0000-0000-0000761E0000}" name="Coluna7793"/>
    <tableColumn id="7799" xr3:uid="{00000000-0010-0000-0000-0000771E0000}" name="Coluna7794"/>
    <tableColumn id="7800" xr3:uid="{00000000-0010-0000-0000-0000781E0000}" name="Coluna7795"/>
    <tableColumn id="7801" xr3:uid="{00000000-0010-0000-0000-0000791E0000}" name="Coluna7796"/>
    <tableColumn id="7802" xr3:uid="{00000000-0010-0000-0000-00007A1E0000}" name="Coluna7797"/>
    <tableColumn id="7803" xr3:uid="{00000000-0010-0000-0000-00007B1E0000}" name="Coluna7798"/>
    <tableColumn id="7804" xr3:uid="{00000000-0010-0000-0000-00007C1E0000}" name="Coluna7799"/>
    <tableColumn id="7805" xr3:uid="{00000000-0010-0000-0000-00007D1E0000}" name="Coluna7800"/>
    <tableColumn id="7806" xr3:uid="{00000000-0010-0000-0000-00007E1E0000}" name="Coluna7801"/>
    <tableColumn id="7807" xr3:uid="{00000000-0010-0000-0000-00007F1E0000}" name="Coluna7802"/>
    <tableColumn id="7808" xr3:uid="{00000000-0010-0000-0000-0000801E0000}" name="Coluna7803"/>
    <tableColumn id="7809" xr3:uid="{00000000-0010-0000-0000-0000811E0000}" name="Coluna7804"/>
    <tableColumn id="7810" xr3:uid="{00000000-0010-0000-0000-0000821E0000}" name="Coluna7805"/>
    <tableColumn id="7811" xr3:uid="{00000000-0010-0000-0000-0000831E0000}" name="Coluna7806"/>
    <tableColumn id="7812" xr3:uid="{00000000-0010-0000-0000-0000841E0000}" name="Coluna7807"/>
    <tableColumn id="7813" xr3:uid="{00000000-0010-0000-0000-0000851E0000}" name="Coluna7808"/>
    <tableColumn id="7814" xr3:uid="{00000000-0010-0000-0000-0000861E0000}" name="Coluna7809"/>
    <tableColumn id="7815" xr3:uid="{00000000-0010-0000-0000-0000871E0000}" name="Coluna7810"/>
    <tableColumn id="7816" xr3:uid="{00000000-0010-0000-0000-0000881E0000}" name="Coluna7811"/>
    <tableColumn id="7817" xr3:uid="{00000000-0010-0000-0000-0000891E0000}" name="Coluna7812"/>
    <tableColumn id="7818" xr3:uid="{00000000-0010-0000-0000-00008A1E0000}" name="Coluna7813"/>
    <tableColumn id="7819" xr3:uid="{00000000-0010-0000-0000-00008B1E0000}" name="Coluna7814"/>
    <tableColumn id="7820" xr3:uid="{00000000-0010-0000-0000-00008C1E0000}" name="Coluna7815"/>
    <tableColumn id="7821" xr3:uid="{00000000-0010-0000-0000-00008D1E0000}" name="Coluna7816"/>
    <tableColumn id="7822" xr3:uid="{00000000-0010-0000-0000-00008E1E0000}" name="Coluna7817"/>
    <tableColumn id="7823" xr3:uid="{00000000-0010-0000-0000-00008F1E0000}" name="Coluna7818"/>
    <tableColumn id="7824" xr3:uid="{00000000-0010-0000-0000-0000901E0000}" name="Coluna7819"/>
    <tableColumn id="7825" xr3:uid="{00000000-0010-0000-0000-0000911E0000}" name="Coluna7820"/>
    <tableColumn id="7826" xr3:uid="{00000000-0010-0000-0000-0000921E0000}" name="Coluna7821"/>
    <tableColumn id="7827" xr3:uid="{00000000-0010-0000-0000-0000931E0000}" name="Coluna7822"/>
    <tableColumn id="7828" xr3:uid="{00000000-0010-0000-0000-0000941E0000}" name="Coluna7823"/>
    <tableColumn id="7829" xr3:uid="{00000000-0010-0000-0000-0000951E0000}" name="Coluna7824"/>
    <tableColumn id="7830" xr3:uid="{00000000-0010-0000-0000-0000961E0000}" name="Coluna7825"/>
    <tableColumn id="7831" xr3:uid="{00000000-0010-0000-0000-0000971E0000}" name="Coluna7826"/>
    <tableColumn id="7832" xr3:uid="{00000000-0010-0000-0000-0000981E0000}" name="Coluna7827"/>
    <tableColumn id="7833" xr3:uid="{00000000-0010-0000-0000-0000991E0000}" name="Coluna7828"/>
    <tableColumn id="7834" xr3:uid="{00000000-0010-0000-0000-00009A1E0000}" name="Coluna7829"/>
    <tableColumn id="7835" xr3:uid="{00000000-0010-0000-0000-00009B1E0000}" name="Coluna7830"/>
    <tableColumn id="7836" xr3:uid="{00000000-0010-0000-0000-00009C1E0000}" name="Coluna7831"/>
    <tableColumn id="7837" xr3:uid="{00000000-0010-0000-0000-00009D1E0000}" name="Coluna7832"/>
    <tableColumn id="7838" xr3:uid="{00000000-0010-0000-0000-00009E1E0000}" name="Coluna7833"/>
    <tableColumn id="7839" xr3:uid="{00000000-0010-0000-0000-00009F1E0000}" name="Coluna7834"/>
    <tableColumn id="7840" xr3:uid="{00000000-0010-0000-0000-0000A01E0000}" name="Coluna7835"/>
    <tableColumn id="7841" xr3:uid="{00000000-0010-0000-0000-0000A11E0000}" name="Coluna7836"/>
    <tableColumn id="7842" xr3:uid="{00000000-0010-0000-0000-0000A21E0000}" name="Coluna7837"/>
    <tableColumn id="7843" xr3:uid="{00000000-0010-0000-0000-0000A31E0000}" name="Coluna7838"/>
    <tableColumn id="7844" xr3:uid="{00000000-0010-0000-0000-0000A41E0000}" name="Coluna7839"/>
    <tableColumn id="7845" xr3:uid="{00000000-0010-0000-0000-0000A51E0000}" name="Coluna7840"/>
    <tableColumn id="7846" xr3:uid="{00000000-0010-0000-0000-0000A61E0000}" name="Coluna7841"/>
    <tableColumn id="7847" xr3:uid="{00000000-0010-0000-0000-0000A71E0000}" name="Coluna7842"/>
    <tableColumn id="7848" xr3:uid="{00000000-0010-0000-0000-0000A81E0000}" name="Coluna7843"/>
    <tableColumn id="7849" xr3:uid="{00000000-0010-0000-0000-0000A91E0000}" name="Coluna7844"/>
    <tableColumn id="7850" xr3:uid="{00000000-0010-0000-0000-0000AA1E0000}" name="Coluna7845"/>
    <tableColumn id="7851" xr3:uid="{00000000-0010-0000-0000-0000AB1E0000}" name="Coluna7846"/>
    <tableColumn id="7852" xr3:uid="{00000000-0010-0000-0000-0000AC1E0000}" name="Coluna7847"/>
    <tableColumn id="7853" xr3:uid="{00000000-0010-0000-0000-0000AD1E0000}" name="Coluna7848"/>
    <tableColumn id="7854" xr3:uid="{00000000-0010-0000-0000-0000AE1E0000}" name="Coluna7849"/>
    <tableColumn id="7855" xr3:uid="{00000000-0010-0000-0000-0000AF1E0000}" name="Coluna7850"/>
    <tableColumn id="7856" xr3:uid="{00000000-0010-0000-0000-0000B01E0000}" name="Coluna7851"/>
    <tableColumn id="7857" xr3:uid="{00000000-0010-0000-0000-0000B11E0000}" name="Coluna7852"/>
    <tableColumn id="7858" xr3:uid="{00000000-0010-0000-0000-0000B21E0000}" name="Coluna7853"/>
    <tableColumn id="7859" xr3:uid="{00000000-0010-0000-0000-0000B31E0000}" name="Coluna7854"/>
    <tableColumn id="7860" xr3:uid="{00000000-0010-0000-0000-0000B41E0000}" name="Coluna7855"/>
    <tableColumn id="7861" xr3:uid="{00000000-0010-0000-0000-0000B51E0000}" name="Coluna7856"/>
    <tableColumn id="7862" xr3:uid="{00000000-0010-0000-0000-0000B61E0000}" name="Coluna7857"/>
    <tableColumn id="7863" xr3:uid="{00000000-0010-0000-0000-0000B71E0000}" name="Coluna7858"/>
    <tableColumn id="7864" xr3:uid="{00000000-0010-0000-0000-0000B81E0000}" name="Coluna7859"/>
    <tableColumn id="7865" xr3:uid="{00000000-0010-0000-0000-0000B91E0000}" name="Coluna7860"/>
    <tableColumn id="7866" xr3:uid="{00000000-0010-0000-0000-0000BA1E0000}" name="Coluna7861"/>
    <tableColumn id="7867" xr3:uid="{00000000-0010-0000-0000-0000BB1E0000}" name="Coluna7862"/>
    <tableColumn id="7868" xr3:uid="{00000000-0010-0000-0000-0000BC1E0000}" name="Coluna7863"/>
    <tableColumn id="7869" xr3:uid="{00000000-0010-0000-0000-0000BD1E0000}" name="Coluna7864"/>
    <tableColumn id="7870" xr3:uid="{00000000-0010-0000-0000-0000BE1E0000}" name="Coluna7865"/>
    <tableColumn id="7871" xr3:uid="{00000000-0010-0000-0000-0000BF1E0000}" name="Coluna7866"/>
    <tableColumn id="7872" xr3:uid="{00000000-0010-0000-0000-0000C01E0000}" name="Coluna7867"/>
    <tableColumn id="7873" xr3:uid="{00000000-0010-0000-0000-0000C11E0000}" name="Coluna7868"/>
    <tableColumn id="7874" xr3:uid="{00000000-0010-0000-0000-0000C21E0000}" name="Coluna7869"/>
    <tableColumn id="7875" xr3:uid="{00000000-0010-0000-0000-0000C31E0000}" name="Coluna7870"/>
    <tableColumn id="7876" xr3:uid="{00000000-0010-0000-0000-0000C41E0000}" name="Coluna7871"/>
    <tableColumn id="7877" xr3:uid="{00000000-0010-0000-0000-0000C51E0000}" name="Coluna7872"/>
    <tableColumn id="7878" xr3:uid="{00000000-0010-0000-0000-0000C61E0000}" name="Coluna7873"/>
    <tableColumn id="7879" xr3:uid="{00000000-0010-0000-0000-0000C71E0000}" name="Coluna7874"/>
    <tableColumn id="7880" xr3:uid="{00000000-0010-0000-0000-0000C81E0000}" name="Coluna7875"/>
    <tableColumn id="7881" xr3:uid="{00000000-0010-0000-0000-0000C91E0000}" name="Coluna7876"/>
    <tableColumn id="7882" xr3:uid="{00000000-0010-0000-0000-0000CA1E0000}" name="Coluna7877"/>
    <tableColumn id="7883" xr3:uid="{00000000-0010-0000-0000-0000CB1E0000}" name="Coluna7878"/>
    <tableColumn id="7884" xr3:uid="{00000000-0010-0000-0000-0000CC1E0000}" name="Coluna7879"/>
    <tableColumn id="7885" xr3:uid="{00000000-0010-0000-0000-0000CD1E0000}" name="Coluna7880"/>
    <tableColumn id="7886" xr3:uid="{00000000-0010-0000-0000-0000CE1E0000}" name="Coluna7881"/>
    <tableColumn id="7887" xr3:uid="{00000000-0010-0000-0000-0000CF1E0000}" name="Coluna7882"/>
    <tableColumn id="7888" xr3:uid="{00000000-0010-0000-0000-0000D01E0000}" name="Coluna7883"/>
    <tableColumn id="7889" xr3:uid="{00000000-0010-0000-0000-0000D11E0000}" name="Coluna7884"/>
    <tableColumn id="7890" xr3:uid="{00000000-0010-0000-0000-0000D21E0000}" name="Coluna7885"/>
    <tableColumn id="7891" xr3:uid="{00000000-0010-0000-0000-0000D31E0000}" name="Coluna7886"/>
    <tableColumn id="7892" xr3:uid="{00000000-0010-0000-0000-0000D41E0000}" name="Coluna7887"/>
    <tableColumn id="7893" xr3:uid="{00000000-0010-0000-0000-0000D51E0000}" name="Coluna7888"/>
    <tableColumn id="7894" xr3:uid="{00000000-0010-0000-0000-0000D61E0000}" name="Coluna7889"/>
    <tableColumn id="7895" xr3:uid="{00000000-0010-0000-0000-0000D71E0000}" name="Coluna7890"/>
    <tableColumn id="7896" xr3:uid="{00000000-0010-0000-0000-0000D81E0000}" name="Coluna7891"/>
    <tableColumn id="7897" xr3:uid="{00000000-0010-0000-0000-0000D91E0000}" name="Coluna7892"/>
    <tableColumn id="7898" xr3:uid="{00000000-0010-0000-0000-0000DA1E0000}" name="Coluna7893"/>
    <tableColumn id="7899" xr3:uid="{00000000-0010-0000-0000-0000DB1E0000}" name="Coluna7894"/>
    <tableColumn id="7900" xr3:uid="{00000000-0010-0000-0000-0000DC1E0000}" name="Coluna7895"/>
    <tableColumn id="7901" xr3:uid="{00000000-0010-0000-0000-0000DD1E0000}" name="Coluna7896"/>
    <tableColumn id="7902" xr3:uid="{00000000-0010-0000-0000-0000DE1E0000}" name="Coluna7897"/>
    <tableColumn id="7903" xr3:uid="{00000000-0010-0000-0000-0000DF1E0000}" name="Coluna7898"/>
    <tableColumn id="7904" xr3:uid="{00000000-0010-0000-0000-0000E01E0000}" name="Coluna7899"/>
    <tableColumn id="7905" xr3:uid="{00000000-0010-0000-0000-0000E11E0000}" name="Coluna7900"/>
    <tableColumn id="7906" xr3:uid="{00000000-0010-0000-0000-0000E21E0000}" name="Coluna7901"/>
    <tableColumn id="7907" xr3:uid="{00000000-0010-0000-0000-0000E31E0000}" name="Coluna7902"/>
    <tableColumn id="7908" xr3:uid="{00000000-0010-0000-0000-0000E41E0000}" name="Coluna7903"/>
    <tableColumn id="7909" xr3:uid="{00000000-0010-0000-0000-0000E51E0000}" name="Coluna7904"/>
    <tableColumn id="7910" xr3:uid="{00000000-0010-0000-0000-0000E61E0000}" name="Coluna7905"/>
    <tableColumn id="7911" xr3:uid="{00000000-0010-0000-0000-0000E71E0000}" name="Coluna7906"/>
    <tableColumn id="7912" xr3:uid="{00000000-0010-0000-0000-0000E81E0000}" name="Coluna7907"/>
    <tableColumn id="7913" xr3:uid="{00000000-0010-0000-0000-0000E91E0000}" name="Coluna7908"/>
    <tableColumn id="7914" xr3:uid="{00000000-0010-0000-0000-0000EA1E0000}" name="Coluna7909"/>
    <tableColumn id="7915" xr3:uid="{00000000-0010-0000-0000-0000EB1E0000}" name="Coluna7910"/>
    <tableColumn id="7916" xr3:uid="{00000000-0010-0000-0000-0000EC1E0000}" name="Coluna7911"/>
    <tableColumn id="7917" xr3:uid="{00000000-0010-0000-0000-0000ED1E0000}" name="Coluna7912"/>
    <tableColumn id="7918" xr3:uid="{00000000-0010-0000-0000-0000EE1E0000}" name="Coluna7913"/>
    <tableColumn id="7919" xr3:uid="{00000000-0010-0000-0000-0000EF1E0000}" name="Coluna7914"/>
    <tableColumn id="7920" xr3:uid="{00000000-0010-0000-0000-0000F01E0000}" name="Coluna7915"/>
    <tableColumn id="7921" xr3:uid="{00000000-0010-0000-0000-0000F11E0000}" name="Coluna7916"/>
    <tableColumn id="7922" xr3:uid="{00000000-0010-0000-0000-0000F21E0000}" name="Coluna7917"/>
    <tableColumn id="7923" xr3:uid="{00000000-0010-0000-0000-0000F31E0000}" name="Coluna7918"/>
    <tableColumn id="7924" xr3:uid="{00000000-0010-0000-0000-0000F41E0000}" name="Coluna7919"/>
    <tableColumn id="7925" xr3:uid="{00000000-0010-0000-0000-0000F51E0000}" name="Coluna7920"/>
    <tableColumn id="7926" xr3:uid="{00000000-0010-0000-0000-0000F61E0000}" name="Coluna7921"/>
    <tableColumn id="7927" xr3:uid="{00000000-0010-0000-0000-0000F71E0000}" name="Coluna7922"/>
    <tableColumn id="7928" xr3:uid="{00000000-0010-0000-0000-0000F81E0000}" name="Coluna7923"/>
    <tableColumn id="7929" xr3:uid="{00000000-0010-0000-0000-0000F91E0000}" name="Coluna7924"/>
    <tableColumn id="7930" xr3:uid="{00000000-0010-0000-0000-0000FA1E0000}" name="Coluna7925"/>
    <tableColumn id="7931" xr3:uid="{00000000-0010-0000-0000-0000FB1E0000}" name="Coluna7926"/>
    <tableColumn id="7932" xr3:uid="{00000000-0010-0000-0000-0000FC1E0000}" name="Coluna7927"/>
    <tableColumn id="7933" xr3:uid="{00000000-0010-0000-0000-0000FD1E0000}" name="Coluna7928"/>
    <tableColumn id="7934" xr3:uid="{00000000-0010-0000-0000-0000FE1E0000}" name="Coluna7929"/>
    <tableColumn id="7935" xr3:uid="{00000000-0010-0000-0000-0000FF1E0000}" name="Coluna7930"/>
    <tableColumn id="7936" xr3:uid="{00000000-0010-0000-0000-0000001F0000}" name="Coluna7931"/>
    <tableColumn id="7937" xr3:uid="{00000000-0010-0000-0000-0000011F0000}" name="Coluna7932"/>
    <tableColumn id="7938" xr3:uid="{00000000-0010-0000-0000-0000021F0000}" name="Coluna7933"/>
    <tableColumn id="7939" xr3:uid="{00000000-0010-0000-0000-0000031F0000}" name="Coluna7934"/>
    <tableColumn id="7940" xr3:uid="{00000000-0010-0000-0000-0000041F0000}" name="Coluna7935"/>
    <tableColumn id="7941" xr3:uid="{00000000-0010-0000-0000-0000051F0000}" name="Coluna7936"/>
    <tableColumn id="7942" xr3:uid="{00000000-0010-0000-0000-0000061F0000}" name="Coluna7937"/>
    <tableColumn id="7943" xr3:uid="{00000000-0010-0000-0000-0000071F0000}" name="Coluna7938"/>
    <tableColumn id="7944" xr3:uid="{00000000-0010-0000-0000-0000081F0000}" name="Coluna7939"/>
    <tableColumn id="7945" xr3:uid="{00000000-0010-0000-0000-0000091F0000}" name="Coluna7940"/>
    <tableColumn id="7946" xr3:uid="{00000000-0010-0000-0000-00000A1F0000}" name="Coluna7941"/>
    <tableColumn id="7947" xr3:uid="{00000000-0010-0000-0000-00000B1F0000}" name="Coluna7942"/>
    <tableColumn id="7948" xr3:uid="{00000000-0010-0000-0000-00000C1F0000}" name="Coluna7943"/>
    <tableColumn id="7949" xr3:uid="{00000000-0010-0000-0000-00000D1F0000}" name="Coluna7944"/>
    <tableColumn id="7950" xr3:uid="{00000000-0010-0000-0000-00000E1F0000}" name="Coluna7945"/>
    <tableColumn id="7951" xr3:uid="{00000000-0010-0000-0000-00000F1F0000}" name="Coluna7946"/>
    <tableColumn id="7952" xr3:uid="{00000000-0010-0000-0000-0000101F0000}" name="Coluna7947"/>
    <tableColumn id="7953" xr3:uid="{00000000-0010-0000-0000-0000111F0000}" name="Coluna7948"/>
    <tableColumn id="7954" xr3:uid="{00000000-0010-0000-0000-0000121F0000}" name="Coluna7949"/>
    <tableColumn id="7955" xr3:uid="{00000000-0010-0000-0000-0000131F0000}" name="Coluna7950"/>
    <tableColumn id="7956" xr3:uid="{00000000-0010-0000-0000-0000141F0000}" name="Coluna7951"/>
    <tableColumn id="7957" xr3:uid="{00000000-0010-0000-0000-0000151F0000}" name="Coluna7952"/>
    <tableColumn id="7958" xr3:uid="{00000000-0010-0000-0000-0000161F0000}" name="Coluna7953"/>
    <tableColumn id="7959" xr3:uid="{00000000-0010-0000-0000-0000171F0000}" name="Coluna7954"/>
    <tableColumn id="7960" xr3:uid="{00000000-0010-0000-0000-0000181F0000}" name="Coluna7955"/>
    <tableColumn id="7961" xr3:uid="{00000000-0010-0000-0000-0000191F0000}" name="Coluna7956"/>
    <tableColumn id="7962" xr3:uid="{00000000-0010-0000-0000-00001A1F0000}" name="Coluna7957"/>
    <tableColumn id="7963" xr3:uid="{00000000-0010-0000-0000-00001B1F0000}" name="Coluna7958"/>
    <tableColumn id="7964" xr3:uid="{00000000-0010-0000-0000-00001C1F0000}" name="Coluna7959"/>
    <tableColumn id="7965" xr3:uid="{00000000-0010-0000-0000-00001D1F0000}" name="Coluna7960"/>
    <tableColumn id="7966" xr3:uid="{00000000-0010-0000-0000-00001E1F0000}" name="Coluna7961"/>
    <tableColumn id="7967" xr3:uid="{00000000-0010-0000-0000-00001F1F0000}" name="Coluna7962"/>
    <tableColumn id="7968" xr3:uid="{00000000-0010-0000-0000-0000201F0000}" name="Coluna7963"/>
    <tableColumn id="7969" xr3:uid="{00000000-0010-0000-0000-0000211F0000}" name="Coluna7964"/>
    <tableColumn id="7970" xr3:uid="{00000000-0010-0000-0000-0000221F0000}" name="Coluna7965"/>
    <tableColumn id="7971" xr3:uid="{00000000-0010-0000-0000-0000231F0000}" name="Coluna7966"/>
    <tableColumn id="7972" xr3:uid="{00000000-0010-0000-0000-0000241F0000}" name="Coluna7967"/>
    <tableColumn id="7973" xr3:uid="{00000000-0010-0000-0000-0000251F0000}" name="Coluna7968"/>
    <tableColumn id="7974" xr3:uid="{00000000-0010-0000-0000-0000261F0000}" name="Coluna7969"/>
    <tableColumn id="7975" xr3:uid="{00000000-0010-0000-0000-0000271F0000}" name="Coluna7970"/>
    <tableColumn id="7976" xr3:uid="{00000000-0010-0000-0000-0000281F0000}" name="Coluna7971"/>
    <tableColumn id="7977" xr3:uid="{00000000-0010-0000-0000-0000291F0000}" name="Coluna7972"/>
    <tableColumn id="7978" xr3:uid="{00000000-0010-0000-0000-00002A1F0000}" name="Coluna7973"/>
    <tableColumn id="7979" xr3:uid="{00000000-0010-0000-0000-00002B1F0000}" name="Coluna7974"/>
    <tableColumn id="7980" xr3:uid="{00000000-0010-0000-0000-00002C1F0000}" name="Coluna7975"/>
    <tableColumn id="7981" xr3:uid="{00000000-0010-0000-0000-00002D1F0000}" name="Coluna7976"/>
    <tableColumn id="7982" xr3:uid="{00000000-0010-0000-0000-00002E1F0000}" name="Coluna7977"/>
    <tableColumn id="7983" xr3:uid="{00000000-0010-0000-0000-00002F1F0000}" name="Coluna7978"/>
    <tableColumn id="7984" xr3:uid="{00000000-0010-0000-0000-0000301F0000}" name="Coluna7979"/>
    <tableColumn id="7985" xr3:uid="{00000000-0010-0000-0000-0000311F0000}" name="Coluna7980"/>
    <tableColumn id="7986" xr3:uid="{00000000-0010-0000-0000-0000321F0000}" name="Coluna7981"/>
    <tableColumn id="7987" xr3:uid="{00000000-0010-0000-0000-0000331F0000}" name="Coluna7982"/>
    <tableColumn id="7988" xr3:uid="{00000000-0010-0000-0000-0000341F0000}" name="Coluna7983"/>
    <tableColumn id="7989" xr3:uid="{00000000-0010-0000-0000-0000351F0000}" name="Coluna7984"/>
    <tableColumn id="7990" xr3:uid="{00000000-0010-0000-0000-0000361F0000}" name="Coluna7985"/>
    <tableColumn id="7991" xr3:uid="{00000000-0010-0000-0000-0000371F0000}" name="Coluna7986"/>
    <tableColumn id="7992" xr3:uid="{00000000-0010-0000-0000-0000381F0000}" name="Coluna7987"/>
    <tableColumn id="7993" xr3:uid="{00000000-0010-0000-0000-0000391F0000}" name="Coluna7988"/>
    <tableColumn id="7994" xr3:uid="{00000000-0010-0000-0000-00003A1F0000}" name="Coluna7989"/>
    <tableColumn id="7995" xr3:uid="{00000000-0010-0000-0000-00003B1F0000}" name="Coluna7990"/>
    <tableColumn id="7996" xr3:uid="{00000000-0010-0000-0000-00003C1F0000}" name="Coluna7991"/>
    <tableColumn id="7997" xr3:uid="{00000000-0010-0000-0000-00003D1F0000}" name="Coluna7992"/>
    <tableColumn id="7998" xr3:uid="{00000000-0010-0000-0000-00003E1F0000}" name="Coluna7993"/>
    <tableColumn id="7999" xr3:uid="{00000000-0010-0000-0000-00003F1F0000}" name="Coluna7994"/>
    <tableColumn id="8000" xr3:uid="{00000000-0010-0000-0000-0000401F0000}" name="Coluna7995"/>
    <tableColumn id="8001" xr3:uid="{00000000-0010-0000-0000-0000411F0000}" name="Coluna7996"/>
    <tableColumn id="8002" xr3:uid="{00000000-0010-0000-0000-0000421F0000}" name="Coluna7997"/>
    <tableColumn id="8003" xr3:uid="{00000000-0010-0000-0000-0000431F0000}" name="Coluna7998"/>
    <tableColumn id="8004" xr3:uid="{00000000-0010-0000-0000-0000441F0000}" name="Coluna7999"/>
    <tableColumn id="8005" xr3:uid="{00000000-0010-0000-0000-0000451F0000}" name="Coluna8000"/>
    <tableColumn id="8006" xr3:uid="{00000000-0010-0000-0000-0000461F0000}" name="Coluna8001"/>
    <tableColumn id="8007" xr3:uid="{00000000-0010-0000-0000-0000471F0000}" name="Coluna8002"/>
    <tableColumn id="8008" xr3:uid="{00000000-0010-0000-0000-0000481F0000}" name="Coluna8003"/>
    <tableColumn id="8009" xr3:uid="{00000000-0010-0000-0000-0000491F0000}" name="Coluna8004"/>
    <tableColumn id="8010" xr3:uid="{00000000-0010-0000-0000-00004A1F0000}" name="Coluna8005"/>
    <tableColumn id="8011" xr3:uid="{00000000-0010-0000-0000-00004B1F0000}" name="Coluna8006"/>
    <tableColumn id="8012" xr3:uid="{00000000-0010-0000-0000-00004C1F0000}" name="Coluna8007"/>
    <tableColumn id="8013" xr3:uid="{00000000-0010-0000-0000-00004D1F0000}" name="Coluna8008"/>
    <tableColumn id="8014" xr3:uid="{00000000-0010-0000-0000-00004E1F0000}" name="Coluna8009"/>
    <tableColumn id="8015" xr3:uid="{00000000-0010-0000-0000-00004F1F0000}" name="Coluna8010"/>
    <tableColumn id="8016" xr3:uid="{00000000-0010-0000-0000-0000501F0000}" name="Coluna8011"/>
    <tableColumn id="8017" xr3:uid="{00000000-0010-0000-0000-0000511F0000}" name="Coluna8012"/>
    <tableColumn id="8018" xr3:uid="{00000000-0010-0000-0000-0000521F0000}" name="Coluna8013"/>
    <tableColumn id="8019" xr3:uid="{00000000-0010-0000-0000-0000531F0000}" name="Coluna8014"/>
    <tableColumn id="8020" xr3:uid="{00000000-0010-0000-0000-0000541F0000}" name="Coluna8015"/>
    <tableColumn id="8021" xr3:uid="{00000000-0010-0000-0000-0000551F0000}" name="Coluna8016"/>
    <tableColumn id="8022" xr3:uid="{00000000-0010-0000-0000-0000561F0000}" name="Coluna8017"/>
    <tableColumn id="8023" xr3:uid="{00000000-0010-0000-0000-0000571F0000}" name="Coluna8018"/>
    <tableColumn id="8024" xr3:uid="{00000000-0010-0000-0000-0000581F0000}" name="Coluna8019"/>
    <tableColumn id="8025" xr3:uid="{00000000-0010-0000-0000-0000591F0000}" name="Coluna8020"/>
    <tableColumn id="8026" xr3:uid="{00000000-0010-0000-0000-00005A1F0000}" name="Coluna8021"/>
    <tableColumn id="8027" xr3:uid="{00000000-0010-0000-0000-00005B1F0000}" name="Coluna8022"/>
    <tableColumn id="8028" xr3:uid="{00000000-0010-0000-0000-00005C1F0000}" name="Coluna8023"/>
    <tableColumn id="8029" xr3:uid="{00000000-0010-0000-0000-00005D1F0000}" name="Coluna8024"/>
    <tableColumn id="8030" xr3:uid="{00000000-0010-0000-0000-00005E1F0000}" name="Coluna8025"/>
    <tableColumn id="8031" xr3:uid="{00000000-0010-0000-0000-00005F1F0000}" name="Coluna8026"/>
    <tableColumn id="8032" xr3:uid="{00000000-0010-0000-0000-0000601F0000}" name="Coluna8027"/>
    <tableColumn id="8033" xr3:uid="{00000000-0010-0000-0000-0000611F0000}" name="Coluna8028"/>
    <tableColumn id="8034" xr3:uid="{00000000-0010-0000-0000-0000621F0000}" name="Coluna8029"/>
    <tableColumn id="8035" xr3:uid="{00000000-0010-0000-0000-0000631F0000}" name="Coluna8030"/>
    <tableColumn id="8036" xr3:uid="{00000000-0010-0000-0000-0000641F0000}" name="Coluna8031"/>
    <tableColumn id="8037" xr3:uid="{00000000-0010-0000-0000-0000651F0000}" name="Coluna8032"/>
    <tableColumn id="8038" xr3:uid="{00000000-0010-0000-0000-0000661F0000}" name="Coluna8033"/>
    <tableColumn id="8039" xr3:uid="{00000000-0010-0000-0000-0000671F0000}" name="Coluna8034"/>
    <tableColumn id="8040" xr3:uid="{00000000-0010-0000-0000-0000681F0000}" name="Coluna8035"/>
    <tableColumn id="8041" xr3:uid="{00000000-0010-0000-0000-0000691F0000}" name="Coluna8036"/>
    <tableColumn id="8042" xr3:uid="{00000000-0010-0000-0000-00006A1F0000}" name="Coluna8037"/>
    <tableColumn id="8043" xr3:uid="{00000000-0010-0000-0000-00006B1F0000}" name="Coluna8038"/>
    <tableColumn id="8044" xr3:uid="{00000000-0010-0000-0000-00006C1F0000}" name="Coluna8039"/>
    <tableColumn id="8045" xr3:uid="{00000000-0010-0000-0000-00006D1F0000}" name="Coluna8040"/>
    <tableColumn id="8046" xr3:uid="{00000000-0010-0000-0000-00006E1F0000}" name="Coluna8041"/>
    <tableColumn id="8047" xr3:uid="{00000000-0010-0000-0000-00006F1F0000}" name="Coluna8042"/>
    <tableColumn id="8048" xr3:uid="{00000000-0010-0000-0000-0000701F0000}" name="Coluna8043"/>
    <tableColumn id="8049" xr3:uid="{00000000-0010-0000-0000-0000711F0000}" name="Coluna8044"/>
    <tableColumn id="8050" xr3:uid="{00000000-0010-0000-0000-0000721F0000}" name="Coluna8045"/>
    <tableColumn id="8051" xr3:uid="{00000000-0010-0000-0000-0000731F0000}" name="Coluna8046"/>
    <tableColumn id="8052" xr3:uid="{00000000-0010-0000-0000-0000741F0000}" name="Coluna8047"/>
    <tableColumn id="8053" xr3:uid="{00000000-0010-0000-0000-0000751F0000}" name="Coluna8048"/>
    <tableColumn id="8054" xr3:uid="{00000000-0010-0000-0000-0000761F0000}" name="Coluna8049"/>
    <tableColumn id="8055" xr3:uid="{00000000-0010-0000-0000-0000771F0000}" name="Coluna8050"/>
    <tableColumn id="8056" xr3:uid="{00000000-0010-0000-0000-0000781F0000}" name="Coluna8051"/>
    <tableColumn id="8057" xr3:uid="{00000000-0010-0000-0000-0000791F0000}" name="Coluna8052"/>
    <tableColumn id="8058" xr3:uid="{00000000-0010-0000-0000-00007A1F0000}" name="Coluna8053"/>
    <tableColumn id="8059" xr3:uid="{00000000-0010-0000-0000-00007B1F0000}" name="Coluna8054"/>
    <tableColumn id="8060" xr3:uid="{00000000-0010-0000-0000-00007C1F0000}" name="Coluna8055"/>
    <tableColumn id="8061" xr3:uid="{00000000-0010-0000-0000-00007D1F0000}" name="Coluna8056"/>
    <tableColumn id="8062" xr3:uid="{00000000-0010-0000-0000-00007E1F0000}" name="Coluna8057"/>
    <tableColumn id="8063" xr3:uid="{00000000-0010-0000-0000-00007F1F0000}" name="Coluna8058"/>
    <tableColumn id="8064" xr3:uid="{00000000-0010-0000-0000-0000801F0000}" name="Coluna8059"/>
    <tableColumn id="8065" xr3:uid="{00000000-0010-0000-0000-0000811F0000}" name="Coluna8060"/>
    <tableColumn id="8066" xr3:uid="{00000000-0010-0000-0000-0000821F0000}" name="Coluna8061"/>
    <tableColumn id="8067" xr3:uid="{00000000-0010-0000-0000-0000831F0000}" name="Coluna8062"/>
    <tableColumn id="8068" xr3:uid="{00000000-0010-0000-0000-0000841F0000}" name="Coluna8063"/>
    <tableColumn id="8069" xr3:uid="{00000000-0010-0000-0000-0000851F0000}" name="Coluna8064"/>
    <tableColumn id="8070" xr3:uid="{00000000-0010-0000-0000-0000861F0000}" name="Coluna8065"/>
    <tableColumn id="8071" xr3:uid="{00000000-0010-0000-0000-0000871F0000}" name="Coluna8066"/>
    <tableColumn id="8072" xr3:uid="{00000000-0010-0000-0000-0000881F0000}" name="Coluna8067"/>
    <tableColumn id="8073" xr3:uid="{00000000-0010-0000-0000-0000891F0000}" name="Coluna8068"/>
    <tableColumn id="8074" xr3:uid="{00000000-0010-0000-0000-00008A1F0000}" name="Coluna8069"/>
    <tableColumn id="8075" xr3:uid="{00000000-0010-0000-0000-00008B1F0000}" name="Coluna8070"/>
    <tableColumn id="8076" xr3:uid="{00000000-0010-0000-0000-00008C1F0000}" name="Coluna8071"/>
    <tableColumn id="8077" xr3:uid="{00000000-0010-0000-0000-00008D1F0000}" name="Coluna8072"/>
    <tableColumn id="8078" xr3:uid="{00000000-0010-0000-0000-00008E1F0000}" name="Coluna8073"/>
    <tableColumn id="8079" xr3:uid="{00000000-0010-0000-0000-00008F1F0000}" name="Coluna8074"/>
    <tableColumn id="8080" xr3:uid="{00000000-0010-0000-0000-0000901F0000}" name="Coluna8075"/>
    <tableColumn id="8081" xr3:uid="{00000000-0010-0000-0000-0000911F0000}" name="Coluna8076"/>
    <tableColumn id="8082" xr3:uid="{00000000-0010-0000-0000-0000921F0000}" name="Coluna8077"/>
    <tableColumn id="8083" xr3:uid="{00000000-0010-0000-0000-0000931F0000}" name="Coluna8078"/>
    <tableColumn id="8084" xr3:uid="{00000000-0010-0000-0000-0000941F0000}" name="Coluna8079"/>
    <tableColumn id="8085" xr3:uid="{00000000-0010-0000-0000-0000951F0000}" name="Coluna8080"/>
    <tableColumn id="8086" xr3:uid="{00000000-0010-0000-0000-0000961F0000}" name="Coluna8081"/>
    <tableColumn id="8087" xr3:uid="{00000000-0010-0000-0000-0000971F0000}" name="Coluna8082"/>
    <tableColumn id="8088" xr3:uid="{00000000-0010-0000-0000-0000981F0000}" name="Coluna8083"/>
    <tableColumn id="8089" xr3:uid="{00000000-0010-0000-0000-0000991F0000}" name="Coluna8084"/>
    <tableColumn id="8090" xr3:uid="{00000000-0010-0000-0000-00009A1F0000}" name="Coluna8085"/>
    <tableColumn id="8091" xr3:uid="{00000000-0010-0000-0000-00009B1F0000}" name="Coluna8086"/>
    <tableColumn id="8092" xr3:uid="{00000000-0010-0000-0000-00009C1F0000}" name="Coluna8087"/>
    <tableColumn id="8093" xr3:uid="{00000000-0010-0000-0000-00009D1F0000}" name="Coluna8088"/>
    <tableColumn id="8094" xr3:uid="{00000000-0010-0000-0000-00009E1F0000}" name="Coluna8089"/>
    <tableColumn id="8095" xr3:uid="{00000000-0010-0000-0000-00009F1F0000}" name="Coluna8090"/>
    <tableColumn id="8096" xr3:uid="{00000000-0010-0000-0000-0000A01F0000}" name="Coluna8091"/>
    <tableColumn id="8097" xr3:uid="{00000000-0010-0000-0000-0000A11F0000}" name="Coluna8092"/>
    <tableColumn id="8098" xr3:uid="{00000000-0010-0000-0000-0000A21F0000}" name="Coluna8093"/>
    <tableColumn id="8099" xr3:uid="{00000000-0010-0000-0000-0000A31F0000}" name="Coluna8094"/>
    <tableColumn id="8100" xr3:uid="{00000000-0010-0000-0000-0000A41F0000}" name="Coluna8095"/>
    <tableColumn id="8101" xr3:uid="{00000000-0010-0000-0000-0000A51F0000}" name="Coluna8096"/>
    <tableColumn id="8102" xr3:uid="{00000000-0010-0000-0000-0000A61F0000}" name="Coluna8097"/>
    <tableColumn id="8103" xr3:uid="{00000000-0010-0000-0000-0000A71F0000}" name="Coluna8098"/>
    <tableColumn id="8104" xr3:uid="{00000000-0010-0000-0000-0000A81F0000}" name="Coluna8099"/>
    <tableColumn id="8105" xr3:uid="{00000000-0010-0000-0000-0000A91F0000}" name="Coluna8100"/>
    <tableColumn id="8106" xr3:uid="{00000000-0010-0000-0000-0000AA1F0000}" name="Coluna8101"/>
    <tableColumn id="8107" xr3:uid="{00000000-0010-0000-0000-0000AB1F0000}" name="Coluna8102"/>
    <tableColumn id="8108" xr3:uid="{00000000-0010-0000-0000-0000AC1F0000}" name="Coluna8103"/>
    <tableColumn id="8109" xr3:uid="{00000000-0010-0000-0000-0000AD1F0000}" name="Coluna8104"/>
    <tableColumn id="8110" xr3:uid="{00000000-0010-0000-0000-0000AE1F0000}" name="Coluna8105"/>
    <tableColumn id="8111" xr3:uid="{00000000-0010-0000-0000-0000AF1F0000}" name="Coluna8106"/>
    <tableColumn id="8112" xr3:uid="{00000000-0010-0000-0000-0000B01F0000}" name="Coluna8107"/>
    <tableColumn id="8113" xr3:uid="{00000000-0010-0000-0000-0000B11F0000}" name="Coluna8108"/>
    <tableColumn id="8114" xr3:uid="{00000000-0010-0000-0000-0000B21F0000}" name="Coluna8109"/>
    <tableColumn id="8115" xr3:uid="{00000000-0010-0000-0000-0000B31F0000}" name="Coluna8110"/>
    <tableColumn id="8116" xr3:uid="{00000000-0010-0000-0000-0000B41F0000}" name="Coluna8111"/>
    <tableColumn id="8117" xr3:uid="{00000000-0010-0000-0000-0000B51F0000}" name="Coluna8112"/>
    <tableColumn id="8118" xr3:uid="{00000000-0010-0000-0000-0000B61F0000}" name="Coluna8113"/>
    <tableColumn id="8119" xr3:uid="{00000000-0010-0000-0000-0000B71F0000}" name="Coluna8114"/>
    <tableColumn id="8120" xr3:uid="{00000000-0010-0000-0000-0000B81F0000}" name="Coluna8115"/>
    <tableColumn id="8121" xr3:uid="{00000000-0010-0000-0000-0000B91F0000}" name="Coluna8116"/>
    <tableColumn id="8122" xr3:uid="{00000000-0010-0000-0000-0000BA1F0000}" name="Coluna8117"/>
    <tableColumn id="8123" xr3:uid="{00000000-0010-0000-0000-0000BB1F0000}" name="Coluna8118"/>
    <tableColumn id="8124" xr3:uid="{00000000-0010-0000-0000-0000BC1F0000}" name="Coluna8119"/>
    <tableColumn id="8125" xr3:uid="{00000000-0010-0000-0000-0000BD1F0000}" name="Coluna8120"/>
    <tableColumn id="8126" xr3:uid="{00000000-0010-0000-0000-0000BE1F0000}" name="Coluna8121"/>
    <tableColumn id="8127" xr3:uid="{00000000-0010-0000-0000-0000BF1F0000}" name="Coluna8122"/>
    <tableColumn id="8128" xr3:uid="{00000000-0010-0000-0000-0000C01F0000}" name="Coluna8123"/>
    <tableColumn id="8129" xr3:uid="{00000000-0010-0000-0000-0000C11F0000}" name="Coluna8124"/>
    <tableColumn id="8130" xr3:uid="{00000000-0010-0000-0000-0000C21F0000}" name="Coluna8125"/>
    <tableColumn id="8131" xr3:uid="{00000000-0010-0000-0000-0000C31F0000}" name="Coluna8126"/>
    <tableColumn id="8132" xr3:uid="{00000000-0010-0000-0000-0000C41F0000}" name="Coluna8127"/>
    <tableColumn id="8133" xr3:uid="{00000000-0010-0000-0000-0000C51F0000}" name="Coluna8128"/>
    <tableColumn id="8134" xr3:uid="{00000000-0010-0000-0000-0000C61F0000}" name="Coluna8129"/>
    <tableColumn id="8135" xr3:uid="{00000000-0010-0000-0000-0000C71F0000}" name="Coluna8130"/>
    <tableColumn id="8136" xr3:uid="{00000000-0010-0000-0000-0000C81F0000}" name="Coluna8131"/>
    <tableColumn id="8137" xr3:uid="{00000000-0010-0000-0000-0000C91F0000}" name="Coluna8132"/>
    <tableColumn id="8138" xr3:uid="{00000000-0010-0000-0000-0000CA1F0000}" name="Coluna8133"/>
    <tableColumn id="8139" xr3:uid="{00000000-0010-0000-0000-0000CB1F0000}" name="Coluna8134"/>
    <tableColumn id="8140" xr3:uid="{00000000-0010-0000-0000-0000CC1F0000}" name="Coluna8135"/>
    <tableColumn id="8141" xr3:uid="{00000000-0010-0000-0000-0000CD1F0000}" name="Coluna8136"/>
    <tableColumn id="8142" xr3:uid="{00000000-0010-0000-0000-0000CE1F0000}" name="Coluna8137"/>
    <tableColumn id="8143" xr3:uid="{00000000-0010-0000-0000-0000CF1F0000}" name="Coluna8138"/>
    <tableColumn id="8144" xr3:uid="{00000000-0010-0000-0000-0000D01F0000}" name="Coluna8139"/>
    <tableColumn id="8145" xr3:uid="{00000000-0010-0000-0000-0000D11F0000}" name="Coluna8140"/>
    <tableColumn id="8146" xr3:uid="{00000000-0010-0000-0000-0000D21F0000}" name="Coluna8141"/>
    <tableColumn id="8147" xr3:uid="{00000000-0010-0000-0000-0000D31F0000}" name="Coluna8142"/>
    <tableColumn id="8148" xr3:uid="{00000000-0010-0000-0000-0000D41F0000}" name="Coluna8143"/>
    <tableColumn id="8149" xr3:uid="{00000000-0010-0000-0000-0000D51F0000}" name="Coluna8144"/>
    <tableColumn id="8150" xr3:uid="{00000000-0010-0000-0000-0000D61F0000}" name="Coluna8145"/>
    <tableColumn id="8151" xr3:uid="{00000000-0010-0000-0000-0000D71F0000}" name="Coluna8146"/>
    <tableColumn id="8152" xr3:uid="{00000000-0010-0000-0000-0000D81F0000}" name="Coluna8147"/>
    <tableColumn id="8153" xr3:uid="{00000000-0010-0000-0000-0000D91F0000}" name="Coluna8148"/>
    <tableColumn id="8154" xr3:uid="{00000000-0010-0000-0000-0000DA1F0000}" name="Coluna8149"/>
    <tableColumn id="8155" xr3:uid="{00000000-0010-0000-0000-0000DB1F0000}" name="Coluna8150"/>
    <tableColumn id="8156" xr3:uid="{00000000-0010-0000-0000-0000DC1F0000}" name="Coluna8151"/>
    <tableColumn id="8157" xr3:uid="{00000000-0010-0000-0000-0000DD1F0000}" name="Coluna8152"/>
    <tableColumn id="8158" xr3:uid="{00000000-0010-0000-0000-0000DE1F0000}" name="Coluna8153"/>
    <tableColumn id="8159" xr3:uid="{00000000-0010-0000-0000-0000DF1F0000}" name="Coluna8154"/>
    <tableColumn id="8160" xr3:uid="{00000000-0010-0000-0000-0000E01F0000}" name="Coluna8155"/>
    <tableColumn id="8161" xr3:uid="{00000000-0010-0000-0000-0000E11F0000}" name="Coluna8156"/>
    <tableColumn id="8162" xr3:uid="{00000000-0010-0000-0000-0000E21F0000}" name="Coluna8157"/>
    <tableColumn id="8163" xr3:uid="{00000000-0010-0000-0000-0000E31F0000}" name="Coluna8158"/>
    <tableColumn id="8164" xr3:uid="{00000000-0010-0000-0000-0000E41F0000}" name="Coluna8159"/>
    <tableColumn id="8165" xr3:uid="{00000000-0010-0000-0000-0000E51F0000}" name="Coluna8160"/>
    <tableColumn id="8166" xr3:uid="{00000000-0010-0000-0000-0000E61F0000}" name="Coluna8161"/>
    <tableColumn id="8167" xr3:uid="{00000000-0010-0000-0000-0000E71F0000}" name="Coluna8162"/>
    <tableColumn id="8168" xr3:uid="{00000000-0010-0000-0000-0000E81F0000}" name="Coluna8163"/>
    <tableColumn id="8169" xr3:uid="{00000000-0010-0000-0000-0000E91F0000}" name="Coluna8164"/>
    <tableColumn id="8170" xr3:uid="{00000000-0010-0000-0000-0000EA1F0000}" name="Coluna8165"/>
    <tableColumn id="8171" xr3:uid="{00000000-0010-0000-0000-0000EB1F0000}" name="Coluna8166"/>
    <tableColumn id="8172" xr3:uid="{00000000-0010-0000-0000-0000EC1F0000}" name="Coluna8167"/>
    <tableColumn id="8173" xr3:uid="{00000000-0010-0000-0000-0000ED1F0000}" name="Coluna8168"/>
    <tableColumn id="8174" xr3:uid="{00000000-0010-0000-0000-0000EE1F0000}" name="Coluna8169"/>
    <tableColumn id="8175" xr3:uid="{00000000-0010-0000-0000-0000EF1F0000}" name="Coluna8170"/>
    <tableColumn id="8176" xr3:uid="{00000000-0010-0000-0000-0000F01F0000}" name="Coluna8171"/>
    <tableColumn id="8177" xr3:uid="{00000000-0010-0000-0000-0000F11F0000}" name="Coluna8172"/>
    <tableColumn id="8178" xr3:uid="{00000000-0010-0000-0000-0000F21F0000}" name="Coluna8173"/>
    <tableColumn id="8179" xr3:uid="{00000000-0010-0000-0000-0000F31F0000}" name="Coluna8174"/>
    <tableColumn id="8180" xr3:uid="{00000000-0010-0000-0000-0000F41F0000}" name="Coluna8175"/>
    <tableColumn id="8181" xr3:uid="{00000000-0010-0000-0000-0000F51F0000}" name="Coluna8176"/>
    <tableColumn id="8182" xr3:uid="{00000000-0010-0000-0000-0000F61F0000}" name="Coluna8177"/>
    <tableColumn id="8183" xr3:uid="{00000000-0010-0000-0000-0000F71F0000}" name="Coluna8178"/>
    <tableColumn id="8184" xr3:uid="{00000000-0010-0000-0000-0000F81F0000}" name="Coluna8179"/>
    <tableColumn id="8185" xr3:uid="{00000000-0010-0000-0000-0000F91F0000}" name="Coluna8180"/>
    <tableColumn id="8186" xr3:uid="{00000000-0010-0000-0000-0000FA1F0000}" name="Coluna8181"/>
    <tableColumn id="8187" xr3:uid="{00000000-0010-0000-0000-0000FB1F0000}" name="Coluna8182"/>
    <tableColumn id="8188" xr3:uid="{00000000-0010-0000-0000-0000FC1F0000}" name="Coluna8183"/>
    <tableColumn id="8189" xr3:uid="{00000000-0010-0000-0000-0000FD1F0000}" name="Coluna8184"/>
    <tableColumn id="8190" xr3:uid="{00000000-0010-0000-0000-0000FE1F0000}" name="Coluna8185"/>
    <tableColumn id="8191" xr3:uid="{00000000-0010-0000-0000-0000FF1F0000}" name="Coluna8186"/>
    <tableColumn id="8192" xr3:uid="{00000000-0010-0000-0000-000000200000}" name="Coluna8187"/>
    <tableColumn id="8193" xr3:uid="{00000000-0010-0000-0000-000001200000}" name="Coluna8188"/>
    <tableColumn id="8194" xr3:uid="{00000000-0010-0000-0000-000002200000}" name="Coluna8189"/>
    <tableColumn id="8195" xr3:uid="{00000000-0010-0000-0000-000003200000}" name="Coluna8190"/>
    <tableColumn id="8196" xr3:uid="{00000000-0010-0000-0000-000004200000}" name="Coluna8191"/>
    <tableColumn id="8197" xr3:uid="{00000000-0010-0000-0000-000005200000}" name="Coluna8192"/>
    <tableColumn id="8198" xr3:uid="{00000000-0010-0000-0000-000006200000}" name="Coluna8193"/>
    <tableColumn id="8199" xr3:uid="{00000000-0010-0000-0000-000007200000}" name="Coluna8194"/>
    <tableColumn id="8200" xr3:uid="{00000000-0010-0000-0000-000008200000}" name="Coluna8195"/>
    <tableColumn id="8201" xr3:uid="{00000000-0010-0000-0000-000009200000}" name="Coluna8196"/>
    <tableColumn id="8202" xr3:uid="{00000000-0010-0000-0000-00000A200000}" name="Coluna8197"/>
    <tableColumn id="8203" xr3:uid="{00000000-0010-0000-0000-00000B200000}" name="Coluna8198"/>
    <tableColumn id="8204" xr3:uid="{00000000-0010-0000-0000-00000C200000}" name="Coluna8199"/>
    <tableColumn id="8205" xr3:uid="{00000000-0010-0000-0000-00000D200000}" name="Coluna8200"/>
    <tableColumn id="8206" xr3:uid="{00000000-0010-0000-0000-00000E200000}" name="Coluna8201"/>
    <tableColumn id="8207" xr3:uid="{00000000-0010-0000-0000-00000F200000}" name="Coluna8202"/>
    <tableColumn id="8208" xr3:uid="{00000000-0010-0000-0000-000010200000}" name="Coluna8203"/>
    <tableColumn id="8209" xr3:uid="{00000000-0010-0000-0000-000011200000}" name="Coluna8204"/>
    <tableColumn id="8210" xr3:uid="{00000000-0010-0000-0000-000012200000}" name="Coluna8205"/>
    <tableColumn id="8211" xr3:uid="{00000000-0010-0000-0000-000013200000}" name="Coluna8206"/>
    <tableColumn id="8212" xr3:uid="{00000000-0010-0000-0000-000014200000}" name="Coluna8207"/>
    <tableColumn id="8213" xr3:uid="{00000000-0010-0000-0000-000015200000}" name="Coluna8208"/>
    <tableColumn id="8214" xr3:uid="{00000000-0010-0000-0000-000016200000}" name="Coluna8209"/>
    <tableColumn id="8215" xr3:uid="{00000000-0010-0000-0000-000017200000}" name="Coluna8210"/>
    <tableColumn id="8216" xr3:uid="{00000000-0010-0000-0000-000018200000}" name="Coluna8211"/>
    <tableColumn id="8217" xr3:uid="{00000000-0010-0000-0000-000019200000}" name="Coluna8212"/>
    <tableColumn id="8218" xr3:uid="{00000000-0010-0000-0000-00001A200000}" name="Coluna8213"/>
    <tableColumn id="8219" xr3:uid="{00000000-0010-0000-0000-00001B200000}" name="Coluna8214"/>
    <tableColumn id="8220" xr3:uid="{00000000-0010-0000-0000-00001C200000}" name="Coluna8215"/>
    <tableColumn id="8221" xr3:uid="{00000000-0010-0000-0000-00001D200000}" name="Coluna8216"/>
    <tableColumn id="8222" xr3:uid="{00000000-0010-0000-0000-00001E200000}" name="Coluna8217"/>
    <tableColumn id="8223" xr3:uid="{00000000-0010-0000-0000-00001F200000}" name="Coluna8218"/>
    <tableColumn id="8224" xr3:uid="{00000000-0010-0000-0000-000020200000}" name="Coluna8219"/>
    <tableColumn id="8225" xr3:uid="{00000000-0010-0000-0000-000021200000}" name="Coluna8220"/>
    <tableColumn id="8226" xr3:uid="{00000000-0010-0000-0000-000022200000}" name="Coluna8221"/>
    <tableColumn id="8227" xr3:uid="{00000000-0010-0000-0000-000023200000}" name="Coluna8222"/>
    <tableColumn id="8228" xr3:uid="{00000000-0010-0000-0000-000024200000}" name="Coluna8223"/>
    <tableColumn id="8229" xr3:uid="{00000000-0010-0000-0000-000025200000}" name="Coluna8224"/>
    <tableColumn id="8230" xr3:uid="{00000000-0010-0000-0000-000026200000}" name="Coluna8225"/>
    <tableColumn id="8231" xr3:uid="{00000000-0010-0000-0000-000027200000}" name="Coluna8226"/>
    <tableColumn id="8232" xr3:uid="{00000000-0010-0000-0000-000028200000}" name="Coluna8227"/>
    <tableColumn id="8233" xr3:uid="{00000000-0010-0000-0000-000029200000}" name="Coluna8228"/>
    <tableColumn id="8234" xr3:uid="{00000000-0010-0000-0000-00002A200000}" name="Coluna8229"/>
    <tableColumn id="8235" xr3:uid="{00000000-0010-0000-0000-00002B200000}" name="Coluna8230"/>
    <tableColumn id="8236" xr3:uid="{00000000-0010-0000-0000-00002C200000}" name="Coluna8231"/>
    <tableColumn id="8237" xr3:uid="{00000000-0010-0000-0000-00002D200000}" name="Coluna8232"/>
    <tableColumn id="8238" xr3:uid="{00000000-0010-0000-0000-00002E200000}" name="Coluna8233"/>
    <tableColumn id="8239" xr3:uid="{00000000-0010-0000-0000-00002F200000}" name="Coluna8234"/>
    <tableColumn id="8240" xr3:uid="{00000000-0010-0000-0000-000030200000}" name="Coluna8235"/>
    <tableColumn id="8241" xr3:uid="{00000000-0010-0000-0000-000031200000}" name="Coluna8236"/>
    <tableColumn id="8242" xr3:uid="{00000000-0010-0000-0000-000032200000}" name="Coluna8237"/>
    <tableColumn id="8243" xr3:uid="{00000000-0010-0000-0000-000033200000}" name="Coluna8238"/>
    <tableColumn id="8244" xr3:uid="{00000000-0010-0000-0000-000034200000}" name="Coluna8239"/>
    <tableColumn id="8245" xr3:uid="{00000000-0010-0000-0000-000035200000}" name="Coluna8240"/>
    <tableColumn id="8246" xr3:uid="{00000000-0010-0000-0000-000036200000}" name="Coluna8241"/>
    <tableColumn id="8247" xr3:uid="{00000000-0010-0000-0000-000037200000}" name="Coluna8242"/>
    <tableColumn id="8248" xr3:uid="{00000000-0010-0000-0000-000038200000}" name="Coluna8243"/>
    <tableColumn id="8249" xr3:uid="{00000000-0010-0000-0000-000039200000}" name="Coluna8244"/>
    <tableColumn id="8250" xr3:uid="{00000000-0010-0000-0000-00003A200000}" name="Coluna8245"/>
    <tableColumn id="8251" xr3:uid="{00000000-0010-0000-0000-00003B200000}" name="Coluna8246"/>
    <tableColumn id="8252" xr3:uid="{00000000-0010-0000-0000-00003C200000}" name="Coluna8247"/>
    <tableColumn id="8253" xr3:uid="{00000000-0010-0000-0000-00003D200000}" name="Coluna8248"/>
    <tableColumn id="8254" xr3:uid="{00000000-0010-0000-0000-00003E200000}" name="Coluna8249"/>
    <tableColumn id="8255" xr3:uid="{00000000-0010-0000-0000-00003F200000}" name="Coluna8250"/>
    <tableColumn id="8256" xr3:uid="{00000000-0010-0000-0000-000040200000}" name="Coluna8251"/>
    <tableColumn id="8257" xr3:uid="{00000000-0010-0000-0000-000041200000}" name="Coluna8252"/>
    <tableColumn id="8258" xr3:uid="{00000000-0010-0000-0000-000042200000}" name="Coluna8253"/>
    <tableColumn id="8259" xr3:uid="{00000000-0010-0000-0000-000043200000}" name="Coluna8254"/>
    <tableColumn id="8260" xr3:uid="{00000000-0010-0000-0000-000044200000}" name="Coluna8255"/>
    <tableColumn id="8261" xr3:uid="{00000000-0010-0000-0000-000045200000}" name="Coluna8256"/>
    <tableColumn id="8262" xr3:uid="{00000000-0010-0000-0000-000046200000}" name="Coluna8257"/>
    <tableColumn id="8263" xr3:uid="{00000000-0010-0000-0000-000047200000}" name="Coluna8258"/>
    <tableColumn id="8264" xr3:uid="{00000000-0010-0000-0000-000048200000}" name="Coluna8259"/>
    <tableColumn id="8265" xr3:uid="{00000000-0010-0000-0000-000049200000}" name="Coluna8260"/>
    <tableColumn id="8266" xr3:uid="{00000000-0010-0000-0000-00004A200000}" name="Coluna8261"/>
    <tableColumn id="8267" xr3:uid="{00000000-0010-0000-0000-00004B200000}" name="Coluna8262"/>
    <tableColumn id="8268" xr3:uid="{00000000-0010-0000-0000-00004C200000}" name="Coluna8263"/>
    <tableColumn id="8269" xr3:uid="{00000000-0010-0000-0000-00004D200000}" name="Coluna8264"/>
    <tableColumn id="8270" xr3:uid="{00000000-0010-0000-0000-00004E200000}" name="Coluna8265"/>
    <tableColumn id="8271" xr3:uid="{00000000-0010-0000-0000-00004F200000}" name="Coluna8266"/>
    <tableColumn id="8272" xr3:uid="{00000000-0010-0000-0000-000050200000}" name="Coluna8267"/>
    <tableColumn id="8273" xr3:uid="{00000000-0010-0000-0000-000051200000}" name="Coluna8268"/>
    <tableColumn id="8274" xr3:uid="{00000000-0010-0000-0000-000052200000}" name="Coluna8269"/>
    <tableColumn id="8275" xr3:uid="{00000000-0010-0000-0000-000053200000}" name="Coluna8270"/>
    <tableColumn id="8276" xr3:uid="{00000000-0010-0000-0000-000054200000}" name="Coluna8271"/>
    <tableColumn id="8277" xr3:uid="{00000000-0010-0000-0000-000055200000}" name="Coluna8272"/>
    <tableColumn id="8278" xr3:uid="{00000000-0010-0000-0000-000056200000}" name="Coluna8273"/>
    <tableColumn id="8279" xr3:uid="{00000000-0010-0000-0000-000057200000}" name="Coluna8274"/>
    <tableColumn id="8280" xr3:uid="{00000000-0010-0000-0000-000058200000}" name="Coluna8275"/>
    <tableColumn id="8281" xr3:uid="{00000000-0010-0000-0000-000059200000}" name="Coluna8276"/>
    <tableColumn id="8282" xr3:uid="{00000000-0010-0000-0000-00005A200000}" name="Coluna8277"/>
    <tableColumn id="8283" xr3:uid="{00000000-0010-0000-0000-00005B200000}" name="Coluna8278"/>
    <tableColumn id="8284" xr3:uid="{00000000-0010-0000-0000-00005C200000}" name="Coluna8279"/>
    <tableColumn id="8285" xr3:uid="{00000000-0010-0000-0000-00005D200000}" name="Coluna8280"/>
    <tableColumn id="8286" xr3:uid="{00000000-0010-0000-0000-00005E200000}" name="Coluna8281"/>
    <tableColumn id="8287" xr3:uid="{00000000-0010-0000-0000-00005F200000}" name="Coluna8282"/>
    <tableColumn id="8288" xr3:uid="{00000000-0010-0000-0000-000060200000}" name="Coluna8283"/>
    <tableColumn id="8289" xr3:uid="{00000000-0010-0000-0000-000061200000}" name="Coluna8284"/>
    <tableColumn id="8290" xr3:uid="{00000000-0010-0000-0000-000062200000}" name="Coluna8285"/>
    <tableColumn id="8291" xr3:uid="{00000000-0010-0000-0000-000063200000}" name="Coluna8286"/>
    <tableColumn id="8292" xr3:uid="{00000000-0010-0000-0000-000064200000}" name="Coluna8287"/>
    <tableColumn id="8293" xr3:uid="{00000000-0010-0000-0000-000065200000}" name="Coluna8288"/>
    <tableColumn id="8294" xr3:uid="{00000000-0010-0000-0000-000066200000}" name="Coluna8289"/>
    <tableColumn id="8295" xr3:uid="{00000000-0010-0000-0000-000067200000}" name="Coluna8290"/>
    <tableColumn id="8296" xr3:uid="{00000000-0010-0000-0000-000068200000}" name="Coluna8291"/>
    <tableColumn id="8297" xr3:uid="{00000000-0010-0000-0000-000069200000}" name="Coluna8292"/>
    <tableColumn id="8298" xr3:uid="{00000000-0010-0000-0000-00006A200000}" name="Coluna8293"/>
    <tableColumn id="8299" xr3:uid="{00000000-0010-0000-0000-00006B200000}" name="Coluna8294"/>
    <tableColumn id="8300" xr3:uid="{00000000-0010-0000-0000-00006C200000}" name="Coluna8295"/>
    <tableColumn id="8301" xr3:uid="{00000000-0010-0000-0000-00006D200000}" name="Coluna8296"/>
    <tableColumn id="8302" xr3:uid="{00000000-0010-0000-0000-00006E200000}" name="Coluna8297"/>
    <tableColumn id="8303" xr3:uid="{00000000-0010-0000-0000-00006F200000}" name="Coluna8298"/>
    <tableColumn id="8304" xr3:uid="{00000000-0010-0000-0000-000070200000}" name="Coluna8299"/>
    <tableColumn id="8305" xr3:uid="{00000000-0010-0000-0000-000071200000}" name="Coluna8300"/>
    <tableColumn id="8306" xr3:uid="{00000000-0010-0000-0000-000072200000}" name="Coluna8301"/>
    <tableColumn id="8307" xr3:uid="{00000000-0010-0000-0000-000073200000}" name="Coluna8302"/>
    <tableColumn id="8308" xr3:uid="{00000000-0010-0000-0000-000074200000}" name="Coluna8303"/>
    <tableColumn id="8309" xr3:uid="{00000000-0010-0000-0000-000075200000}" name="Coluna8304"/>
    <tableColumn id="8310" xr3:uid="{00000000-0010-0000-0000-000076200000}" name="Coluna8305"/>
    <tableColumn id="8311" xr3:uid="{00000000-0010-0000-0000-000077200000}" name="Coluna8306"/>
    <tableColumn id="8312" xr3:uid="{00000000-0010-0000-0000-000078200000}" name="Coluna8307"/>
    <tableColumn id="8313" xr3:uid="{00000000-0010-0000-0000-000079200000}" name="Coluna8308"/>
    <tableColumn id="8314" xr3:uid="{00000000-0010-0000-0000-00007A200000}" name="Coluna8309"/>
    <tableColumn id="8315" xr3:uid="{00000000-0010-0000-0000-00007B200000}" name="Coluna8310"/>
    <tableColumn id="8316" xr3:uid="{00000000-0010-0000-0000-00007C200000}" name="Coluna8311"/>
    <tableColumn id="8317" xr3:uid="{00000000-0010-0000-0000-00007D200000}" name="Coluna8312"/>
    <tableColumn id="8318" xr3:uid="{00000000-0010-0000-0000-00007E200000}" name="Coluna8313"/>
    <tableColumn id="8319" xr3:uid="{00000000-0010-0000-0000-00007F200000}" name="Coluna8314"/>
    <tableColumn id="8320" xr3:uid="{00000000-0010-0000-0000-000080200000}" name="Coluna8315"/>
    <tableColumn id="8321" xr3:uid="{00000000-0010-0000-0000-000081200000}" name="Coluna8316"/>
    <tableColumn id="8322" xr3:uid="{00000000-0010-0000-0000-000082200000}" name="Coluna8317"/>
    <tableColumn id="8323" xr3:uid="{00000000-0010-0000-0000-000083200000}" name="Coluna8318"/>
    <tableColumn id="8324" xr3:uid="{00000000-0010-0000-0000-000084200000}" name="Coluna8319"/>
    <tableColumn id="8325" xr3:uid="{00000000-0010-0000-0000-000085200000}" name="Coluna8320"/>
    <tableColumn id="8326" xr3:uid="{00000000-0010-0000-0000-000086200000}" name="Coluna8321"/>
    <tableColumn id="8327" xr3:uid="{00000000-0010-0000-0000-000087200000}" name="Coluna8322"/>
    <tableColumn id="8328" xr3:uid="{00000000-0010-0000-0000-000088200000}" name="Coluna8323"/>
    <tableColumn id="8329" xr3:uid="{00000000-0010-0000-0000-000089200000}" name="Coluna8324"/>
    <tableColumn id="8330" xr3:uid="{00000000-0010-0000-0000-00008A200000}" name="Coluna8325"/>
    <tableColumn id="8331" xr3:uid="{00000000-0010-0000-0000-00008B200000}" name="Coluna8326"/>
    <tableColumn id="8332" xr3:uid="{00000000-0010-0000-0000-00008C200000}" name="Coluna8327"/>
    <tableColumn id="8333" xr3:uid="{00000000-0010-0000-0000-00008D200000}" name="Coluna8328"/>
    <tableColumn id="8334" xr3:uid="{00000000-0010-0000-0000-00008E200000}" name="Coluna8329"/>
    <tableColumn id="8335" xr3:uid="{00000000-0010-0000-0000-00008F200000}" name="Coluna8330"/>
    <tableColumn id="8336" xr3:uid="{00000000-0010-0000-0000-000090200000}" name="Coluna8331"/>
    <tableColumn id="8337" xr3:uid="{00000000-0010-0000-0000-000091200000}" name="Coluna8332"/>
    <tableColumn id="8338" xr3:uid="{00000000-0010-0000-0000-000092200000}" name="Coluna8333"/>
    <tableColumn id="8339" xr3:uid="{00000000-0010-0000-0000-000093200000}" name="Coluna8334"/>
    <tableColumn id="8340" xr3:uid="{00000000-0010-0000-0000-000094200000}" name="Coluna8335"/>
    <tableColumn id="8341" xr3:uid="{00000000-0010-0000-0000-000095200000}" name="Coluna8336"/>
    <tableColumn id="8342" xr3:uid="{00000000-0010-0000-0000-000096200000}" name="Coluna8337"/>
    <tableColumn id="8343" xr3:uid="{00000000-0010-0000-0000-000097200000}" name="Coluna8338"/>
    <tableColumn id="8344" xr3:uid="{00000000-0010-0000-0000-000098200000}" name="Coluna8339"/>
    <tableColumn id="8345" xr3:uid="{00000000-0010-0000-0000-000099200000}" name="Coluna8340"/>
    <tableColumn id="8346" xr3:uid="{00000000-0010-0000-0000-00009A200000}" name="Coluna8341"/>
    <tableColumn id="8347" xr3:uid="{00000000-0010-0000-0000-00009B200000}" name="Coluna8342"/>
    <tableColumn id="8348" xr3:uid="{00000000-0010-0000-0000-00009C200000}" name="Coluna8343"/>
    <tableColumn id="8349" xr3:uid="{00000000-0010-0000-0000-00009D200000}" name="Coluna8344"/>
    <tableColumn id="8350" xr3:uid="{00000000-0010-0000-0000-00009E200000}" name="Coluna8345"/>
    <tableColumn id="8351" xr3:uid="{00000000-0010-0000-0000-00009F200000}" name="Coluna8346"/>
    <tableColumn id="8352" xr3:uid="{00000000-0010-0000-0000-0000A0200000}" name="Coluna8347"/>
    <tableColumn id="8353" xr3:uid="{00000000-0010-0000-0000-0000A1200000}" name="Coluna8348"/>
    <tableColumn id="8354" xr3:uid="{00000000-0010-0000-0000-0000A2200000}" name="Coluna8349"/>
    <tableColumn id="8355" xr3:uid="{00000000-0010-0000-0000-0000A3200000}" name="Coluna8350"/>
    <tableColumn id="8356" xr3:uid="{00000000-0010-0000-0000-0000A4200000}" name="Coluna8351"/>
    <tableColumn id="8357" xr3:uid="{00000000-0010-0000-0000-0000A5200000}" name="Coluna8352"/>
    <tableColumn id="8358" xr3:uid="{00000000-0010-0000-0000-0000A6200000}" name="Coluna8353"/>
    <tableColumn id="8359" xr3:uid="{00000000-0010-0000-0000-0000A7200000}" name="Coluna8354"/>
    <tableColumn id="8360" xr3:uid="{00000000-0010-0000-0000-0000A8200000}" name="Coluna8355"/>
    <tableColumn id="8361" xr3:uid="{00000000-0010-0000-0000-0000A9200000}" name="Coluna8356"/>
    <tableColumn id="8362" xr3:uid="{00000000-0010-0000-0000-0000AA200000}" name="Coluna8357"/>
    <tableColumn id="8363" xr3:uid="{00000000-0010-0000-0000-0000AB200000}" name="Coluna8358"/>
    <tableColumn id="8364" xr3:uid="{00000000-0010-0000-0000-0000AC200000}" name="Coluna8359"/>
    <tableColumn id="8365" xr3:uid="{00000000-0010-0000-0000-0000AD200000}" name="Coluna8360"/>
    <tableColumn id="8366" xr3:uid="{00000000-0010-0000-0000-0000AE200000}" name="Coluna8361"/>
    <tableColumn id="8367" xr3:uid="{00000000-0010-0000-0000-0000AF200000}" name="Coluna8362"/>
    <tableColumn id="8368" xr3:uid="{00000000-0010-0000-0000-0000B0200000}" name="Coluna8363"/>
    <tableColumn id="8369" xr3:uid="{00000000-0010-0000-0000-0000B1200000}" name="Coluna8364"/>
    <tableColumn id="8370" xr3:uid="{00000000-0010-0000-0000-0000B2200000}" name="Coluna8365"/>
    <tableColumn id="8371" xr3:uid="{00000000-0010-0000-0000-0000B3200000}" name="Coluna8366"/>
    <tableColumn id="8372" xr3:uid="{00000000-0010-0000-0000-0000B4200000}" name="Coluna8367"/>
    <tableColumn id="8373" xr3:uid="{00000000-0010-0000-0000-0000B5200000}" name="Coluna8368"/>
    <tableColumn id="8374" xr3:uid="{00000000-0010-0000-0000-0000B6200000}" name="Coluna8369"/>
    <tableColumn id="8375" xr3:uid="{00000000-0010-0000-0000-0000B7200000}" name="Coluna8370"/>
    <tableColumn id="8376" xr3:uid="{00000000-0010-0000-0000-0000B8200000}" name="Coluna8371"/>
    <tableColumn id="8377" xr3:uid="{00000000-0010-0000-0000-0000B9200000}" name="Coluna8372"/>
    <tableColumn id="8378" xr3:uid="{00000000-0010-0000-0000-0000BA200000}" name="Coluna8373"/>
    <tableColumn id="8379" xr3:uid="{00000000-0010-0000-0000-0000BB200000}" name="Coluna8374"/>
    <tableColumn id="8380" xr3:uid="{00000000-0010-0000-0000-0000BC200000}" name="Coluna8375"/>
    <tableColumn id="8381" xr3:uid="{00000000-0010-0000-0000-0000BD200000}" name="Coluna8376"/>
    <tableColumn id="8382" xr3:uid="{00000000-0010-0000-0000-0000BE200000}" name="Coluna8377"/>
    <tableColumn id="8383" xr3:uid="{00000000-0010-0000-0000-0000BF200000}" name="Coluna8378"/>
    <tableColumn id="8384" xr3:uid="{00000000-0010-0000-0000-0000C0200000}" name="Coluna8379"/>
    <tableColumn id="8385" xr3:uid="{00000000-0010-0000-0000-0000C1200000}" name="Coluna8380"/>
    <tableColumn id="8386" xr3:uid="{00000000-0010-0000-0000-0000C2200000}" name="Coluna8381"/>
    <tableColumn id="8387" xr3:uid="{00000000-0010-0000-0000-0000C3200000}" name="Coluna8382"/>
    <tableColumn id="8388" xr3:uid="{00000000-0010-0000-0000-0000C4200000}" name="Coluna8383"/>
    <tableColumn id="8389" xr3:uid="{00000000-0010-0000-0000-0000C5200000}" name="Coluna8384"/>
    <tableColumn id="8390" xr3:uid="{00000000-0010-0000-0000-0000C6200000}" name="Coluna8385"/>
    <tableColumn id="8391" xr3:uid="{00000000-0010-0000-0000-0000C7200000}" name="Coluna8386"/>
    <tableColumn id="8392" xr3:uid="{00000000-0010-0000-0000-0000C8200000}" name="Coluna8387"/>
    <tableColumn id="8393" xr3:uid="{00000000-0010-0000-0000-0000C9200000}" name="Coluna8388"/>
    <tableColumn id="8394" xr3:uid="{00000000-0010-0000-0000-0000CA200000}" name="Coluna8389"/>
    <tableColumn id="8395" xr3:uid="{00000000-0010-0000-0000-0000CB200000}" name="Coluna8390"/>
    <tableColumn id="8396" xr3:uid="{00000000-0010-0000-0000-0000CC200000}" name="Coluna8391"/>
    <tableColumn id="8397" xr3:uid="{00000000-0010-0000-0000-0000CD200000}" name="Coluna8392"/>
    <tableColumn id="8398" xr3:uid="{00000000-0010-0000-0000-0000CE200000}" name="Coluna8393"/>
    <tableColumn id="8399" xr3:uid="{00000000-0010-0000-0000-0000CF200000}" name="Coluna8394"/>
    <tableColumn id="8400" xr3:uid="{00000000-0010-0000-0000-0000D0200000}" name="Coluna8395"/>
    <tableColumn id="8401" xr3:uid="{00000000-0010-0000-0000-0000D1200000}" name="Coluna8396"/>
    <tableColumn id="8402" xr3:uid="{00000000-0010-0000-0000-0000D2200000}" name="Coluna8397"/>
    <tableColumn id="8403" xr3:uid="{00000000-0010-0000-0000-0000D3200000}" name="Coluna8398"/>
    <tableColumn id="8404" xr3:uid="{00000000-0010-0000-0000-0000D4200000}" name="Coluna8399"/>
    <tableColumn id="8405" xr3:uid="{00000000-0010-0000-0000-0000D5200000}" name="Coluna8400"/>
    <tableColumn id="8406" xr3:uid="{00000000-0010-0000-0000-0000D6200000}" name="Coluna8401"/>
    <tableColumn id="8407" xr3:uid="{00000000-0010-0000-0000-0000D7200000}" name="Coluna8402"/>
    <tableColumn id="8408" xr3:uid="{00000000-0010-0000-0000-0000D8200000}" name="Coluna8403"/>
    <tableColumn id="8409" xr3:uid="{00000000-0010-0000-0000-0000D9200000}" name="Coluna8404"/>
    <tableColumn id="8410" xr3:uid="{00000000-0010-0000-0000-0000DA200000}" name="Coluna8405"/>
    <tableColumn id="8411" xr3:uid="{00000000-0010-0000-0000-0000DB200000}" name="Coluna8406"/>
    <tableColumn id="8412" xr3:uid="{00000000-0010-0000-0000-0000DC200000}" name="Coluna8407"/>
    <tableColumn id="8413" xr3:uid="{00000000-0010-0000-0000-0000DD200000}" name="Coluna8408"/>
    <tableColumn id="8414" xr3:uid="{00000000-0010-0000-0000-0000DE200000}" name="Coluna8409"/>
    <tableColumn id="8415" xr3:uid="{00000000-0010-0000-0000-0000DF200000}" name="Coluna8410"/>
    <tableColumn id="8416" xr3:uid="{00000000-0010-0000-0000-0000E0200000}" name="Coluna8411"/>
    <tableColumn id="8417" xr3:uid="{00000000-0010-0000-0000-0000E1200000}" name="Coluna8412"/>
    <tableColumn id="8418" xr3:uid="{00000000-0010-0000-0000-0000E2200000}" name="Coluna8413"/>
    <tableColumn id="8419" xr3:uid="{00000000-0010-0000-0000-0000E3200000}" name="Coluna8414"/>
    <tableColumn id="8420" xr3:uid="{00000000-0010-0000-0000-0000E4200000}" name="Coluna8415"/>
    <tableColumn id="8421" xr3:uid="{00000000-0010-0000-0000-0000E5200000}" name="Coluna8416"/>
    <tableColumn id="8422" xr3:uid="{00000000-0010-0000-0000-0000E6200000}" name="Coluna8417"/>
    <tableColumn id="8423" xr3:uid="{00000000-0010-0000-0000-0000E7200000}" name="Coluna8418"/>
    <tableColumn id="8424" xr3:uid="{00000000-0010-0000-0000-0000E8200000}" name="Coluna8419"/>
    <tableColumn id="8425" xr3:uid="{00000000-0010-0000-0000-0000E9200000}" name="Coluna8420"/>
    <tableColumn id="8426" xr3:uid="{00000000-0010-0000-0000-0000EA200000}" name="Coluna8421"/>
    <tableColumn id="8427" xr3:uid="{00000000-0010-0000-0000-0000EB200000}" name="Coluna8422"/>
    <tableColumn id="8428" xr3:uid="{00000000-0010-0000-0000-0000EC200000}" name="Coluna8423"/>
    <tableColumn id="8429" xr3:uid="{00000000-0010-0000-0000-0000ED200000}" name="Coluna8424"/>
    <tableColumn id="8430" xr3:uid="{00000000-0010-0000-0000-0000EE200000}" name="Coluna8425"/>
    <tableColumn id="8431" xr3:uid="{00000000-0010-0000-0000-0000EF200000}" name="Coluna8426"/>
    <tableColumn id="8432" xr3:uid="{00000000-0010-0000-0000-0000F0200000}" name="Coluna8427"/>
    <tableColumn id="8433" xr3:uid="{00000000-0010-0000-0000-0000F1200000}" name="Coluna8428"/>
    <tableColumn id="8434" xr3:uid="{00000000-0010-0000-0000-0000F2200000}" name="Coluna8429"/>
    <tableColumn id="8435" xr3:uid="{00000000-0010-0000-0000-0000F3200000}" name="Coluna8430"/>
    <tableColumn id="8436" xr3:uid="{00000000-0010-0000-0000-0000F4200000}" name="Coluna8431"/>
    <tableColumn id="8437" xr3:uid="{00000000-0010-0000-0000-0000F5200000}" name="Coluna8432"/>
    <tableColumn id="8438" xr3:uid="{00000000-0010-0000-0000-0000F6200000}" name="Coluna8433"/>
    <tableColumn id="8439" xr3:uid="{00000000-0010-0000-0000-0000F7200000}" name="Coluna8434"/>
    <tableColumn id="8440" xr3:uid="{00000000-0010-0000-0000-0000F8200000}" name="Coluna8435"/>
    <tableColumn id="8441" xr3:uid="{00000000-0010-0000-0000-0000F9200000}" name="Coluna8436"/>
    <tableColumn id="8442" xr3:uid="{00000000-0010-0000-0000-0000FA200000}" name="Coluna8437"/>
    <tableColumn id="8443" xr3:uid="{00000000-0010-0000-0000-0000FB200000}" name="Coluna8438"/>
    <tableColumn id="8444" xr3:uid="{00000000-0010-0000-0000-0000FC200000}" name="Coluna8439"/>
    <tableColumn id="8445" xr3:uid="{00000000-0010-0000-0000-0000FD200000}" name="Coluna8440"/>
    <tableColumn id="8446" xr3:uid="{00000000-0010-0000-0000-0000FE200000}" name="Coluna8441"/>
    <tableColumn id="8447" xr3:uid="{00000000-0010-0000-0000-0000FF200000}" name="Coluna8442"/>
    <tableColumn id="8448" xr3:uid="{00000000-0010-0000-0000-000000210000}" name="Coluna8443"/>
    <tableColumn id="8449" xr3:uid="{00000000-0010-0000-0000-000001210000}" name="Coluna8444"/>
    <tableColumn id="8450" xr3:uid="{00000000-0010-0000-0000-000002210000}" name="Coluna8445"/>
    <tableColumn id="8451" xr3:uid="{00000000-0010-0000-0000-000003210000}" name="Coluna8446"/>
    <tableColumn id="8452" xr3:uid="{00000000-0010-0000-0000-000004210000}" name="Coluna8447"/>
    <tableColumn id="8453" xr3:uid="{00000000-0010-0000-0000-000005210000}" name="Coluna8448"/>
    <tableColumn id="8454" xr3:uid="{00000000-0010-0000-0000-000006210000}" name="Coluna8449"/>
    <tableColumn id="8455" xr3:uid="{00000000-0010-0000-0000-000007210000}" name="Coluna8450"/>
    <tableColumn id="8456" xr3:uid="{00000000-0010-0000-0000-000008210000}" name="Coluna8451"/>
    <tableColumn id="8457" xr3:uid="{00000000-0010-0000-0000-000009210000}" name="Coluna8452"/>
    <tableColumn id="8458" xr3:uid="{00000000-0010-0000-0000-00000A210000}" name="Coluna8453"/>
    <tableColumn id="8459" xr3:uid="{00000000-0010-0000-0000-00000B210000}" name="Coluna8454"/>
    <tableColumn id="8460" xr3:uid="{00000000-0010-0000-0000-00000C210000}" name="Coluna8455"/>
    <tableColumn id="8461" xr3:uid="{00000000-0010-0000-0000-00000D210000}" name="Coluna8456"/>
    <tableColumn id="8462" xr3:uid="{00000000-0010-0000-0000-00000E210000}" name="Coluna8457"/>
    <tableColumn id="8463" xr3:uid="{00000000-0010-0000-0000-00000F210000}" name="Coluna8458"/>
    <tableColumn id="8464" xr3:uid="{00000000-0010-0000-0000-000010210000}" name="Coluna8459"/>
    <tableColumn id="8465" xr3:uid="{00000000-0010-0000-0000-000011210000}" name="Coluna8460"/>
    <tableColumn id="8466" xr3:uid="{00000000-0010-0000-0000-000012210000}" name="Coluna8461"/>
    <tableColumn id="8467" xr3:uid="{00000000-0010-0000-0000-000013210000}" name="Coluna8462"/>
    <tableColumn id="8468" xr3:uid="{00000000-0010-0000-0000-000014210000}" name="Coluna8463"/>
    <tableColumn id="8469" xr3:uid="{00000000-0010-0000-0000-000015210000}" name="Coluna8464"/>
    <tableColumn id="8470" xr3:uid="{00000000-0010-0000-0000-000016210000}" name="Coluna8465"/>
    <tableColumn id="8471" xr3:uid="{00000000-0010-0000-0000-000017210000}" name="Coluna8466"/>
    <tableColumn id="8472" xr3:uid="{00000000-0010-0000-0000-000018210000}" name="Coluna8467"/>
    <tableColumn id="8473" xr3:uid="{00000000-0010-0000-0000-000019210000}" name="Coluna8468"/>
    <tableColumn id="8474" xr3:uid="{00000000-0010-0000-0000-00001A210000}" name="Coluna8469"/>
    <tableColumn id="8475" xr3:uid="{00000000-0010-0000-0000-00001B210000}" name="Coluna8470"/>
    <tableColumn id="8476" xr3:uid="{00000000-0010-0000-0000-00001C210000}" name="Coluna8471"/>
    <tableColumn id="8477" xr3:uid="{00000000-0010-0000-0000-00001D210000}" name="Coluna8472"/>
    <tableColumn id="8478" xr3:uid="{00000000-0010-0000-0000-00001E210000}" name="Coluna8473"/>
    <tableColumn id="8479" xr3:uid="{00000000-0010-0000-0000-00001F210000}" name="Coluna8474"/>
    <tableColumn id="8480" xr3:uid="{00000000-0010-0000-0000-000020210000}" name="Coluna8475"/>
    <tableColumn id="8481" xr3:uid="{00000000-0010-0000-0000-000021210000}" name="Coluna8476"/>
    <tableColumn id="8482" xr3:uid="{00000000-0010-0000-0000-000022210000}" name="Coluna8477"/>
    <tableColumn id="8483" xr3:uid="{00000000-0010-0000-0000-000023210000}" name="Coluna8478"/>
    <tableColumn id="8484" xr3:uid="{00000000-0010-0000-0000-000024210000}" name="Coluna8479"/>
    <tableColumn id="8485" xr3:uid="{00000000-0010-0000-0000-000025210000}" name="Coluna8480"/>
    <tableColumn id="8486" xr3:uid="{00000000-0010-0000-0000-000026210000}" name="Coluna8481"/>
    <tableColumn id="8487" xr3:uid="{00000000-0010-0000-0000-000027210000}" name="Coluna8482"/>
    <tableColumn id="8488" xr3:uid="{00000000-0010-0000-0000-000028210000}" name="Coluna8483"/>
    <tableColumn id="8489" xr3:uid="{00000000-0010-0000-0000-000029210000}" name="Coluna8484"/>
    <tableColumn id="8490" xr3:uid="{00000000-0010-0000-0000-00002A210000}" name="Coluna8485"/>
    <tableColumn id="8491" xr3:uid="{00000000-0010-0000-0000-00002B210000}" name="Coluna8486"/>
    <tableColumn id="8492" xr3:uid="{00000000-0010-0000-0000-00002C210000}" name="Coluna8487"/>
    <tableColumn id="8493" xr3:uid="{00000000-0010-0000-0000-00002D210000}" name="Coluna8488"/>
    <tableColumn id="8494" xr3:uid="{00000000-0010-0000-0000-00002E210000}" name="Coluna8489"/>
    <tableColumn id="8495" xr3:uid="{00000000-0010-0000-0000-00002F210000}" name="Coluna8490"/>
    <tableColumn id="8496" xr3:uid="{00000000-0010-0000-0000-000030210000}" name="Coluna8491"/>
    <tableColumn id="8497" xr3:uid="{00000000-0010-0000-0000-000031210000}" name="Coluna8492"/>
    <tableColumn id="8498" xr3:uid="{00000000-0010-0000-0000-000032210000}" name="Coluna8493"/>
    <tableColumn id="8499" xr3:uid="{00000000-0010-0000-0000-000033210000}" name="Coluna8494"/>
    <tableColumn id="8500" xr3:uid="{00000000-0010-0000-0000-000034210000}" name="Coluna8495"/>
    <tableColumn id="8501" xr3:uid="{00000000-0010-0000-0000-000035210000}" name="Coluna8496"/>
    <tableColumn id="8502" xr3:uid="{00000000-0010-0000-0000-000036210000}" name="Coluna8497"/>
    <tableColumn id="8503" xr3:uid="{00000000-0010-0000-0000-000037210000}" name="Coluna8498"/>
    <tableColumn id="8504" xr3:uid="{00000000-0010-0000-0000-000038210000}" name="Coluna8499"/>
    <tableColumn id="8505" xr3:uid="{00000000-0010-0000-0000-000039210000}" name="Coluna8500"/>
    <tableColumn id="8506" xr3:uid="{00000000-0010-0000-0000-00003A210000}" name="Coluna8501"/>
    <tableColumn id="8507" xr3:uid="{00000000-0010-0000-0000-00003B210000}" name="Coluna8502"/>
    <tableColumn id="8508" xr3:uid="{00000000-0010-0000-0000-00003C210000}" name="Coluna8503"/>
    <tableColumn id="8509" xr3:uid="{00000000-0010-0000-0000-00003D210000}" name="Coluna8504"/>
    <tableColumn id="8510" xr3:uid="{00000000-0010-0000-0000-00003E210000}" name="Coluna8505"/>
    <tableColumn id="8511" xr3:uid="{00000000-0010-0000-0000-00003F210000}" name="Coluna8506"/>
    <tableColumn id="8512" xr3:uid="{00000000-0010-0000-0000-000040210000}" name="Coluna8507"/>
    <tableColumn id="8513" xr3:uid="{00000000-0010-0000-0000-000041210000}" name="Coluna8508"/>
    <tableColumn id="8514" xr3:uid="{00000000-0010-0000-0000-000042210000}" name="Coluna8509"/>
    <tableColumn id="8515" xr3:uid="{00000000-0010-0000-0000-000043210000}" name="Coluna8510"/>
    <tableColumn id="8516" xr3:uid="{00000000-0010-0000-0000-000044210000}" name="Coluna8511"/>
    <tableColumn id="8517" xr3:uid="{00000000-0010-0000-0000-000045210000}" name="Coluna8512"/>
    <tableColumn id="8518" xr3:uid="{00000000-0010-0000-0000-000046210000}" name="Coluna8513"/>
    <tableColumn id="8519" xr3:uid="{00000000-0010-0000-0000-000047210000}" name="Coluna8514"/>
    <tableColumn id="8520" xr3:uid="{00000000-0010-0000-0000-000048210000}" name="Coluna8515"/>
    <tableColumn id="8521" xr3:uid="{00000000-0010-0000-0000-000049210000}" name="Coluna8516"/>
    <tableColumn id="8522" xr3:uid="{00000000-0010-0000-0000-00004A210000}" name="Coluna8517"/>
    <tableColumn id="8523" xr3:uid="{00000000-0010-0000-0000-00004B210000}" name="Coluna8518"/>
    <tableColumn id="8524" xr3:uid="{00000000-0010-0000-0000-00004C210000}" name="Coluna8519"/>
    <tableColumn id="8525" xr3:uid="{00000000-0010-0000-0000-00004D210000}" name="Coluna8520"/>
    <tableColumn id="8526" xr3:uid="{00000000-0010-0000-0000-00004E210000}" name="Coluna8521"/>
    <tableColumn id="8527" xr3:uid="{00000000-0010-0000-0000-00004F210000}" name="Coluna8522"/>
    <tableColumn id="8528" xr3:uid="{00000000-0010-0000-0000-000050210000}" name="Coluna8523"/>
    <tableColumn id="8529" xr3:uid="{00000000-0010-0000-0000-000051210000}" name="Coluna8524"/>
    <tableColumn id="8530" xr3:uid="{00000000-0010-0000-0000-000052210000}" name="Coluna8525"/>
    <tableColumn id="8531" xr3:uid="{00000000-0010-0000-0000-000053210000}" name="Coluna8526"/>
    <tableColumn id="8532" xr3:uid="{00000000-0010-0000-0000-000054210000}" name="Coluna8527"/>
    <tableColumn id="8533" xr3:uid="{00000000-0010-0000-0000-000055210000}" name="Coluna8528"/>
    <tableColumn id="8534" xr3:uid="{00000000-0010-0000-0000-000056210000}" name="Coluna8529"/>
    <tableColumn id="8535" xr3:uid="{00000000-0010-0000-0000-000057210000}" name="Coluna8530"/>
    <tableColumn id="8536" xr3:uid="{00000000-0010-0000-0000-000058210000}" name="Coluna8531"/>
    <tableColumn id="8537" xr3:uid="{00000000-0010-0000-0000-000059210000}" name="Coluna8532"/>
    <tableColumn id="8538" xr3:uid="{00000000-0010-0000-0000-00005A210000}" name="Coluna8533"/>
    <tableColumn id="8539" xr3:uid="{00000000-0010-0000-0000-00005B210000}" name="Coluna8534"/>
    <tableColumn id="8540" xr3:uid="{00000000-0010-0000-0000-00005C210000}" name="Coluna8535"/>
    <tableColumn id="8541" xr3:uid="{00000000-0010-0000-0000-00005D210000}" name="Coluna8536"/>
    <tableColumn id="8542" xr3:uid="{00000000-0010-0000-0000-00005E210000}" name="Coluna8537"/>
    <tableColumn id="8543" xr3:uid="{00000000-0010-0000-0000-00005F210000}" name="Coluna8538"/>
    <tableColumn id="8544" xr3:uid="{00000000-0010-0000-0000-000060210000}" name="Coluna8539"/>
    <tableColumn id="8545" xr3:uid="{00000000-0010-0000-0000-000061210000}" name="Coluna8540"/>
    <tableColumn id="8546" xr3:uid="{00000000-0010-0000-0000-000062210000}" name="Coluna8541"/>
    <tableColumn id="8547" xr3:uid="{00000000-0010-0000-0000-000063210000}" name="Coluna8542"/>
    <tableColumn id="8548" xr3:uid="{00000000-0010-0000-0000-000064210000}" name="Coluna8543"/>
    <tableColumn id="8549" xr3:uid="{00000000-0010-0000-0000-000065210000}" name="Coluna8544"/>
    <tableColumn id="8550" xr3:uid="{00000000-0010-0000-0000-000066210000}" name="Coluna8545"/>
    <tableColumn id="8551" xr3:uid="{00000000-0010-0000-0000-000067210000}" name="Coluna8546"/>
    <tableColumn id="8552" xr3:uid="{00000000-0010-0000-0000-000068210000}" name="Coluna8547"/>
    <tableColumn id="8553" xr3:uid="{00000000-0010-0000-0000-000069210000}" name="Coluna8548"/>
    <tableColumn id="8554" xr3:uid="{00000000-0010-0000-0000-00006A210000}" name="Coluna8549"/>
    <tableColumn id="8555" xr3:uid="{00000000-0010-0000-0000-00006B210000}" name="Coluna8550"/>
    <tableColumn id="8556" xr3:uid="{00000000-0010-0000-0000-00006C210000}" name="Coluna8551"/>
    <tableColumn id="8557" xr3:uid="{00000000-0010-0000-0000-00006D210000}" name="Coluna8552"/>
    <tableColumn id="8558" xr3:uid="{00000000-0010-0000-0000-00006E210000}" name="Coluna8553"/>
    <tableColumn id="8559" xr3:uid="{00000000-0010-0000-0000-00006F210000}" name="Coluna8554"/>
    <tableColumn id="8560" xr3:uid="{00000000-0010-0000-0000-000070210000}" name="Coluna8555"/>
    <tableColumn id="8561" xr3:uid="{00000000-0010-0000-0000-000071210000}" name="Coluna8556"/>
    <tableColumn id="8562" xr3:uid="{00000000-0010-0000-0000-000072210000}" name="Coluna8557"/>
    <tableColumn id="8563" xr3:uid="{00000000-0010-0000-0000-000073210000}" name="Coluna8558"/>
    <tableColumn id="8564" xr3:uid="{00000000-0010-0000-0000-000074210000}" name="Coluna8559"/>
    <tableColumn id="8565" xr3:uid="{00000000-0010-0000-0000-000075210000}" name="Coluna8560"/>
    <tableColumn id="8566" xr3:uid="{00000000-0010-0000-0000-000076210000}" name="Coluna8561"/>
    <tableColumn id="8567" xr3:uid="{00000000-0010-0000-0000-000077210000}" name="Coluna8562"/>
    <tableColumn id="8568" xr3:uid="{00000000-0010-0000-0000-000078210000}" name="Coluna8563"/>
    <tableColumn id="8569" xr3:uid="{00000000-0010-0000-0000-000079210000}" name="Coluna8564"/>
    <tableColumn id="8570" xr3:uid="{00000000-0010-0000-0000-00007A210000}" name="Coluna8565"/>
    <tableColumn id="8571" xr3:uid="{00000000-0010-0000-0000-00007B210000}" name="Coluna8566"/>
    <tableColumn id="8572" xr3:uid="{00000000-0010-0000-0000-00007C210000}" name="Coluna8567"/>
    <tableColumn id="8573" xr3:uid="{00000000-0010-0000-0000-00007D210000}" name="Coluna8568"/>
    <tableColumn id="8574" xr3:uid="{00000000-0010-0000-0000-00007E210000}" name="Coluna8569"/>
    <tableColumn id="8575" xr3:uid="{00000000-0010-0000-0000-00007F210000}" name="Coluna8570"/>
    <tableColumn id="8576" xr3:uid="{00000000-0010-0000-0000-000080210000}" name="Coluna8571"/>
    <tableColumn id="8577" xr3:uid="{00000000-0010-0000-0000-000081210000}" name="Coluna8572"/>
    <tableColumn id="8578" xr3:uid="{00000000-0010-0000-0000-000082210000}" name="Coluna8573"/>
    <tableColumn id="8579" xr3:uid="{00000000-0010-0000-0000-000083210000}" name="Coluna8574"/>
    <tableColumn id="8580" xr3:uid="{00000000-0010-0000-0000-000084210000}" name="Coluna8575"/>
    <tableColumn id="8581" xr3:uid="{00000000-0010-0000-0000-000085210000}" name="Coluna8576"/>
    <tableColumn id="8582" xr3:uid="{00000000-0010-0000-0000-000086210000}" name="Coluna8577"/>
    <tableColumn id="8583" xr3:uid="{00000000-0010-0000-0000-000087210000}" name="Coluna8578"/>
    <tableColumn id="8584" xr3:uid="{00000000-0010-0000-0000-000088210000}" name="Coluna8579"/>
    <tableColumn id="8585" xr3:uid="{00000000-0010-0000-0000-000089210000}" name="Coluna8580"/>
    <tableColumn id="8586" xr3:uid="{00000000-0010-0000-0000-00008A210000}" name="Coluna8581"/>
    <tableColumn id="8587" xr3:uid="{00000000-0010-0000-0000-00008B210000}" name="Coluna8582"/>
    <tableColumn id="8588" xr3:uid="{00000000-0010-0000-0000-00008C210000}" name="Coluna8583"/>
    <tableColumn id="8589" xr3:uid="{00000000-0010-0000-0000-00008D210000}" name="Coluna8584"/>
    <tableColumn id="8590" xr3:uid="{00000000-0010-0000-0000-00008E210000}" name="Coluna8585"/>
    <tableColumn id="8591" xr3:uid="{00000000-0010-0000-0000-00008F210000}" name="Coluna8586"/>
    <tableColumn id="8592" xr3:uid="{00000000-0010-0000-0000-000090210000}" name="Coluna8587"/>
    <tableColumn id="8593" xr3:uid="{00000000-0010-0000-0000-000091210000}" name="Coluna8588"/>
    <tableColumn id="8594" xr3:uid="{00000000-0010-0000-0000-000092210000}" name="Coluna8589"/>
    <tableColumn id="8595" xr3:uid="{00000000-0010-0000-0000-000093210000}" name="Coluna8590"/>
    <tableColumn id="8596" xr3:uid="{00000000-0010-0000-0000-000094210000}" name="Coluna8591"/>
    <tableColumn id="8597" xr3:uid="{00000000-0010-0000-0000-000095210000}" name="Coluna8592"/>
    <tableColumn id="8598" xr3:uid="{00000000-0010-0000-0000-000096210000}" name="Coluna8593"/>
    <tableColumn id="8599" xr3:uid="{00000000-0010-0000-0000-000097210000}" name="Coluna8594"/>
    <tableColumn id="8600" xr3:uid="{00000000-0010-0000-0000-000098210000}" name="Coluna8595"/>
    <tableColumn id="8601" xr3:uid="{00000000-0010-0000-0000-000099210000}" name="Coluna8596"/>
    <tableColumn id="8602" xr3:uid="{00000000-0010-0000-0000-00009A210000}" name="Coluna8597"/>
    <tableColumn id="8603" xr3:uid="{00000000-0010-0000-0000-00009B210000}" name="Coluna8598"/>
    <tableColumn id="8604" xr3:uid="{00000000-0010-0000-0000-00009C210000}" name="Coluna8599"/>
    <tableColumn id="8605" xr3:uid="{00000000-0010-0000-0000-00009D210000}" name="Coluna8600"/>
    <tableColumn id="8606" xr3:uid="{00000000-0010-0000-0000-00009E210000}" name="Coluna8601"/>
    <tableColumn id="8607" xr3:uid="{00000000-0010-0000-0000-00009F210000}" name="Coluna8602"/>
    <tableColumn id="8608" xr3:uid="{00000000-0010-0000-0000-0000A0210000}" name="Coluna8603"/>
    <tableColumn id="8609" xr3:uid="{00000000-0010-0000-0000-0000A1210000}" name="Coluna8604"/>
    <tableColumn id="8610" xr3:uid="{00000000-0010-0000-0000-0000A2210000}" name="Coluna8605"/>
    <tableColumn id="8611" xr3:uid="{00000000-0010-0000-0000-0000A3210000}" name="Coluna8606"/>
    <tableColumn id="8612" xr3:uid="{00000000-0010-0000-0000-0000A4210000}" name="Coluna8607"/>
    <tableColumn id="8613" xr3:uid="{00000000-0010-0000-0000-0000A5210000}" name="Coluna8608"/>
    <tableColumn id="8614" xr3:uid="{00000000-0010-0000-0000-0000A6210000}" name="Coluna8609"/>
    <tableColumn id="8615" xr3:uid="{00000000-0010-0000-0000-0000A7210000}" name="Coluna8610"/>
    <tableColumn id="8616" xr3:uid="{00000000-0010-0000-0000-0000A8210000}" name="Coluna8611"/>
    <tableColumn id="8617" xr3:uid="{00000000-0010-0000-0000-0000A9210000}" name="Coluna8612"/>
    <tableColumn id="8618" xr3:uid="{00000000-0010-0000-0000-0000AA210000}" name="Coluna8613"/>
    <tableColumn id="8619" xr3:uid="{00000000-0010-0000-0000-0000AB210000}" name="Coluna8614"/>
    <tableColumn id="8620" xr3:uid="{00000000-0010-0000-0000-0000AC210000}" name="Coluna8615"/>
    <tableColumn id="8621" xr3:uid="{00000000-0010-0000-0000-0000AD210000}" name="Coluna8616"/>
    <tableColumn id="8622" xr3:uid="{00000000-0010-0000-0000-0000AE210000}" name="Coluna8617"/>
    <tableColumn id="8623" xr3:uid="{00000000-0010-0000-0000-0000AF210000}" name="Coluna8618"/>
    <tableColumn id="8624" xr3:uid="{00000000-0010-0000-0000-0000B0210000}" name="Coluna8619"/>
    <tableColumn id="8625" xr3:uid="{00000000-0010-0000-0000-0000B1210000}" name="Coluna8620"/>
    <tableColumn id="8626" xr3:uid="{00000000-0010-0000-0000-0000B2210000}" name="Coluna8621"/>
    <tableColumn id="8627" xr3:uid="{00000000-0010-0000-0000-0000B3210000}" name="Coluna8622"/>
    <tableColumn id="8628" xr3:uid="{00000000-0010-0000-0000-0000B4210000}" name="Coluna8623"/>
    <tableColumn id="8629" xr3:uid="{00000000-0010-0000-0000-0000B5210000}" name="Coluna8624"/>
    <tableColumn id="8630" xr3:uid="{00000000-0010-0000-0000-0000B6210000}" name="Coluna8625"/>
    <tableColumn id="8631" xr3:uid="{00000000-0010-0000-0000-0000B7210000}" name="Coluna8626"/>
    <tableColumn id="8632" xr3:uid="{00000000-0010-0000-0000-0000B8210000}" name="Coluna8627"/>
    <tableColumn id="8633" xr3:uid="{00000000-0010-0000-0000-0000B9210000}" name="Coluna8628"/>
    <tableColumn id="8634" xr3:uid="{00000000-0010-0000-0000-0000BA210000}" name="Coluna8629"/>
    <tableColumn id="8635" xr3:uid="{00000000-0010-0000-0000-0000BB210000}" name="Coluna8630"/>
    <tableColumn id="8636" xr3:uid="{00000000-0010-0000-0000-0000BC210000}" name="Coluna8631"/>
    <tableColumn id="8637" xr3:uid="{00000000-0010-0000-0000-0000BD210000}" name="Coluna8632"/>
    <tableColumn id="8638" xr3:uid="{00000000-0010-0000-0000-0000BE210000}" name="Coluna8633"/>
    <tableColumn id="8639" xr3:uid="{00000000-0010-0000-0000-0000BF210000}" name="Coluna8634"/>
    <tableColumn id="8640" xr3:uid="{00000000-0010-0000-0000-0000C0210000}" name="Coluna8635"/>
    <tableColumn id="8641" xr3:uid="{00000000-0010-0000-0000-0000C1210000}" name="Coluna8636"/>
    <tableColumn id="8642" xr3:uid="{00000000-0010-0000-0000-0000C2210000}" name="Coluna8637"/>
    <tableColumn id="8643" xr3:uid="{00000000-0010-0000-0000-0000C3210000}" name="Coluna8638"/>
    <tableColumn id="8644" xr3:uid="{00000000-0010-0000-0000-0000C4210000}" name="Coluna8639"/>
    <tableColumn id="8645" xr3:uid="{00000000-0010-0000-0000-0000C5210000}" name="Coluna8640"/>
    <tableColumn id="8646" xr3:uid="{00000000-0010-0000-0000-0000C6210000}" name="Coluna8641"/>
    <tableColumn id="8647" xr3:uid="{00000000-0010-0000-0000-0000C7210000}" name="Coluna8642"/>
    <tableColumn id="8648" xr3:uid="{00000000-0010-0000-0000-0000C8210000}" name="Coluna8643"/>
    <tableColumn id="8649" xr3:uid="{00000000-0010-0000-0000-0000C9210000}" name="Coluna8644"/>
    <tableColumn id="8650" xr3:uid="{00000000-0010-0000-0000-0000CA210000}" name="Coluna8645"/>
    <tableColumn id="8651" xr3:uid="{00000000-0010-0000-0000-0000CB210000}" name="Coluna8646"/>
    <tableColumn id="8652" xr3:uid="{00000000-0010-0000-0000-0000CC210000}" name="Coluna8647"/>
    <tableColumn id="8653" xr3:uid="{00000000-0010-0000-0000-0000CD210000}" name="Coluna8648"/>
    <tableColumn id="8654" xr3:uid="{00000000-0010-0000-0000-0000CE210000}" name="Coluna8649"/>
    <tableColumn id="8655" xr3:uid="{00000000-0010-0000-0000-0000CF210000}" name="Coluna8650"/>
    <tableColumn id="8656" xr3:uid="{00000000-0010-0000-0000-0000D0210000}" name="Coluna8651"/>
    <tableColumn id="8657" xr3:uid="{00000000-0010-0000-0000-0000D1210000}" name="Coluna8652"/>
    <tableColumn id="8658" xr3:uid="{00000000-0010-0000-0000-0000D2210000}" name="Coluna8653"/>
    <tableColumn id="8659" xr3:uid="{00000000-0010-0000-0000-0000D3210000}" name="Coluna8654"/>
    <tableColumn id="8660" xr3:uid="{00000000-0010-0000-0000-0000D4210000}" name="Coluna8655"/>
    <tableColumn id="8661" xr3:uid="{00000000-0010-0000-0000-0000D5210000}" name="Coluna8656"/>
    <tableColumn id="8662" xr3:uid="{00000000-0010-0000-0000-0000D6210000}" name="Coluna8657"/>
    <tableColumn id="8663" xr3:uid="{00000000-0010-0000-0000-0000D7210000}" name="Coluna8658"/>
    <tableColumn id="8664" xr3:uid="{00000000-0010-0000-0000-0000D8210000}" name="Coluna8659"/>
    <tableColumn id="8665" xr3:uid="{00000000-0010-0000-0000-0000D9210000}" name="Coluna8660"/>
    <tableColumn id="8666" xr3:uid="{00000000-0010-0000-0000-0000DA210000}" name="Coluna8661"/>
    <tableColumn id="8667" xr3:uid="{00000000-0010-0000-0000-0000DB210000}" name="Coluna8662"/>
    <tableColumn id="8668" xr3:uid="{00000000-0010-0000-0000-0000DC210000}" name="Coluna8663"/>
    <tableColumn id="8669" xr3:uid="{00000000-0010-0000-0000-0000DD210000}" name="Coluna8664"/>
    <tableColumn id="8670" xr3:uid="{00000000-0010-0000-0000-0000DE210000}" name="Coluna8665"/>
    <tableColumn id="8671" xr3:uid="{00000000-0010-0000-0000-0000DF210000}" name="Coluna8666"/>
    <tableColumn id="8672" xr3:uid="{00000000-0010-0000-0000-0000E0210000}" name="Coluna8667"/>
    <tableColumn id="8673" xr3:uid="{00000000-0010-0000-0000-0000E1210000}" name="Coluna8668"/>
    <tableColumn id="8674" xr3:uid="{00000000-0010-0000-0000-0000E2210000}" name="Coluna8669"/>
    <tableColumn id="8675" xr3:uid="{00000000-0010-0000-0000-0000E3210000}" name="Coluna8670"/>
    <tableColumn id="8676" xr3:uid="{00000000-0010-0000-0000-0000E4210000}" name="Coluna8671"/>
    <tableColumn id="8677" xr3:uid="{00000000-0010-0000-0000-0000E5210000}" name="Coluna8672"/>
    <tableColumn id="8678" xr3:uid="{00000000-0010-0000-0000-0000E6210000}" name="Coluna8673"/>
    <tableColumn id="8679" xr3:uid="{00000000-0010-0000-0000-0000E7210000}" name="Coluna8674"/>
    <tableColumn id="8680" xr3:uid="{00000000-0010-0000-0000-0000E8210000}" name="Coluna8675"/>
    <tableColumn id="8681" xr3:uid="{00000000-0010-0000-0000-0000E9210000}" name="Coluna8676"/>
    <tableColumn id="8682" xr3:uid="{00000000-0010-0000-0000-0000EA210000}" name="Coluna8677"/>
    <tableColumn id="8683" xr3:uid="{00000000-0010-0000-0000-0000EB210000}" name="Coluna8678"/>
    <tableColumn id="8684" xr3:uid="{00000000-0010-0000-0000-0000EC210000}" name="Coluna8679"/>
    <tableColumn id="8685" xr3:uid="{00000000-0010-0000-0000-0000ED210000}" name="Coluna8680"/>
    <tableColumn id="8686" xr3:uid="{00000000-0010-0000-0000-0000EE210000}" name="Coluna8681"/>
    <tableColumn id="8687" xr3:uid="{00000000-0010-0000-0000-0000EF210000}" name="Coluna8682"/>
    <tableColumn id="8688" xr3:uid="{00000000-0010-0000-0000-0000F0210000}" name="Coluna8683"/>
    <tableColumn id="8689" xr3:uid="{00000000-0010-0000-0000-0000F1210000}" name="Coluna8684"/>
    <tableColumn id="8690" xr3:uid="{00000000-0010-0000-0000-0000F2210000}" name="Coluna8685"/>
    <tableColumn id="8691" xr3:uid="{00000000-0010-0000-0000-0000F3210000}" name="Coluna8686"/>
    <tableColumn id="8692" xr3:uid="{00000000-0010-0000-0000-0000F4210000}" name="Coluna8687"/>
    <tableColumn id="8693" xr3:uid="{00000000-0010-0000-0000-0000F5210000}" name="Coluna8688"/>
    <tableColumn id="8694" xr3:uid="{00000000-0010-0000-0000-0000F6210000}" name="Coluna8689"/>
    <tableColumn id="8695" xr3:uid="{00000000-0010-0000-0000-0000F7210000}" name="Coluna8690"/>
    <tableColumn id="8696" xr3:uid="{00000000-0010-0000-0000-0000F8210000}" name="Coluna8691"/>
    <tableColumn id="8697" xr3:uid="{00000000-0010-0000-0000-0000F9210000}" name="Coluna8692"/>
    <tableColumn id="8698" xr3:uid="{00000000-0010-0000-0000-0000FA210000}" name="Coluna8693"/>
    <tableColumn id="8699" xr3:uid="{00000000-0010-0000-0000-0000FB210000}" name="Coluna8694"/>
    <tableColumn id="8700" xr3:uid="{00000000-0010-0000-0000-0000FC210000}" name="Coluna8695"/>
    <tableColumn id="8701" xr3:uid="{00000000-0010-0000-0000-0000FD210000}" name="Coluna8696"/>
    <tableColumn id="8702" xr3:uid="{00000000-0010-0000-0000-0000FE210000}" name="Coluna8697"/>
    <tableColumn id="8703" xr3:uid="{00000000-0010-0000-0000-0000FF210000}" name="Coluna8698"/>
    <tableColumn id="8704" xr3:uid="{00000000-0010-0000-0000-000000220000}" name="Coluna8699"/>
    <tableColumn id="8705" xr3:uid="{00000000-0010-0000-0000-000001220000}" name="Coluna8700"/>
    <tableColumn id="8706" xr3:uid="{00000000-0010-0000-0000-000002220000}" name="Coluna8701"/>
    <tableColumn id="8707" xr3:uid="{00000000-0010-0000-0000-000003220000}" name="Coluna8702"/>
    <tableColumn id="8708" xr3:uid="{00000000-0010-0000-0000-000004220000}" name="Coluna8703"/>
    <tableColumn id="8709" xr3:uid="{00000000-0010-0000-0000-000005220000}" name="Coluna8704"/>
    <tableColumn id="8710" xr3:uid="{00000000-0010-0000-0000-000006220000}" name="Coluna8705"/>
    <tableColumn id="8711" xr3:uid="{00000000-0010-0000-0000-000007220000}" name="Coluna8706"/>
    <tableColumn id="8712" xr3:uid="{00000000-0010-0000-0000-000008220000}" name="Coluna8707"/>
    <tableColumn id="8713" xr3:uid="{00000000-0010-0000-0000-000009220000}" name="Coluna8708"/>
    <tableColumn id="8714" xr3:uid="{00000000-0010-0000-0000-00000A220000}" name="Coluna8709"/>
    <tableColumn id="8715" xr3:uid="{00000000-0010-0000-0000-00000B220000}" name="Coluna8710"/>
    <tableColumn id="8716" xr3:uid="{00000000-0010-0000-0000-00000C220000}" name="Coluna8711"/>
    <tableColumn id="8717" xr3:uid="{00000000-0010-0000-0000-00000D220000}" name="Coluna8712"/>
    <tableColumn id="8718" xr3:uid="{00000000-0010-0000-0000-00000E220000}" name="Coluna8713"/>
    <tableColumn id="8719" xr3:uid="{00000000-0010-0000-0000-00000F220000}" name="Coluna8714"/>
    <tableColumn id="8720" xr3:uid="{00000000-0010-0000-0000-000010220000}" name="Coluna8715"/>
    <tableColumn id="8721" xr3:uid="{00000000-0010-0000-0000-000011220000}" name="Coluna8716"/>
    <tableColumn id="8722" xr3:uid="{00000000-0010-0000-0000-000012220000}" name="Coluna8717"/>
    <tableColumn id="8723" xr3:uid="{00000000-0010-0000-0000-000013220000}" name="Coluna8718"/>
    <tableColumn id="8724" xr3:uid="{00000000-0010-0000-0000-000014220000}" name="Coluna8719"/>
    <tableColumn id="8725" xr3:uid="{00000000-0010-0000-0000-000015220000}" name="Coluna8720"/>
    <tableColumn id="8726" xr3:uid="{00000000-0010-0000-0000-000016220000}" name="Coluna8721"/>
    <tableColumn id="8727" xr3:uid="{00000000-0010-0000-0000-000017220000}" name="Coluna8722"/>
    <tableColumn id="8728" xr3:uid="{00000000-0010-0000-0000-000018220000}" name="Coluna8723"/>
    <tableColumn id="8729" xr3:uid="{00000000-0010-0000-0000-000019220000}" name="Coluna8724"/>
    <tableColumn id="8730" xr3:uid="{00000000-0010-0000-0000-00001A220000}" name="Coluna8725"/>
    <tableColumn id="8731" xr3:uid="{00000000-0010-0000-0000-00001B220000}" name="Coluna8726"/>
    <tableColumn id="8732" xr3:uid="{00000000-0010-0000-0000-00001C220000}" name="Coluna8727"/>
    <tableColumn id="8733" xr3:uid="{00000000-0010-0000-0000-00001D220000}" name="Coluna8728"/>
    <tableColumn id="8734" xr3:uid="{00000000-0010-0000-0000-00001E220000}" name="Coluna8729"/>
    <tableColumn id="8735" xr3:uid="{00000000-0010-0000-0000-00001F220000}" name="Coluna8730"/>
    <tableColumn id="8736" xr3:uid="{00000000-0010-0000-0000-000020220000}" name="Coluna8731"/>
    <tableColumn id="8737" xr3:uid="{00000000-0010-0000-0000-000021220000}" name="Coluna8732"/>
    <tableColumn id="8738" xr3:uid="{00000000-0010-0000-0000-000022220000}" name="Coluna8733"/>
    <tableColumn id="8739" xr3:uid="{00000000-0010-0000-0000-000023220000}" name="Coluna8734"/>
    <tableColumn id="8740" xr3:uid="{00000000-0010-0000-0000-000024220000}" name="Coluna8735"/>
    <tableColumn id="8741" xr3:uid="{00000000-0010-0000-0000-000025220000}" name="Coluna8736"/>
    <tableColumn id="8742" xr3:uid="{00000000-0010-0000-0000-000026220000}" name="Coluna8737"/>
    <tableColumn id="8743" xr3:uid="{00000000-0010-0000-0000-000027220000}" name="Coluna8738"/>
    <tableColumn id="8744" xr3:uid="{00000000-0010-0000-0000-000028220000}" name="Coluna8739"/>
    <tableColumn id="8745" xr3:uid="{00000000-0010-0000-0000-000029220000}" name="Coluna8740"/>
    <tableColumn id="8746" xr3:uid="{00000000-0010-0000-0000-00002A220000}" name="Coluna8741"/>
    <tableColumn id="8747" xr3:uid="{00000000-0010-0000-0000-00002B220000}" name="Coluna8742"/>
    <tableColumn id="8748" xr3:uid="{00000000-0010-0000-0000-00002C220000}" name="Coluna8743"/>
    <tableColumn id="8749" xr3:uid="{00000000-0010-0000-0000-00002D220000}" name="Coluna8744"/>
    <tableColumn id="8750" xr3:uid="{00000000-0010-0000-0000-00002E220000}" name="Coluna8745"/>
    <tableColumn id="8751" xr3:uid="{00000000-0010-0000-0000-00002F220000}" name="Coluna8746"/>
    <tableColumn id="8752" xr3:uid="{00000000-0010-0000-0000-000030220000}" name="Coluna8747"/>
    <tableColumn id="8753" xr3:uid="{00000000-0010-0000-0000-000031220000}" name="Coluna8748"/>
    <tableColumn id="8754" xr3:uid="{00000000-0010-0000-0000-000032220000}" name="Coluna8749"/>
    <tableColumn id="8755" xr3:uid="{00000000-0010-0000-0000-000033220000}" name="Coluna8750"/>
    <tableColumn id="8756" xr3:uid="{00000000-0010-0000-0000-000034220000}" name="Coluna8751"/>
    <tableColumn id="8757" xr3:uid="{00000000-0010-0000-0000-000035220000}" name="Coluna8752"/>
    <tableColumn id="8758" xr3:uid="{00000000-0010-0000-0000-000036220000}" name="Coluna8753"/>
    <tableColumn id="8759" xr3:uid="{00000000-0010-0000-0000-000037220000}" name="Coluna8754"/>
    <tableColumn id="8760" xr3:uid="{00000000-0010-0000-0000-000038220000}" name="Coluna8755"/>
    <tableColumn id="8761" xr3:uid="{00000000-0010-0000-0000-000039220000}" name="Coluna8756"/>
    <tableColumn id="8762" xr3:uid="{00000000-0010-0000-0000-00003A220000}" name="Coluna8757"/>
    <tableColumn id="8763" xr3:uid="{00000000-0010-0000-0000-00003B220000}" name="Coluna8758"/>
    <tableColumn id="8764" xr3:uid="{00000000-0010-0000-0000-00003C220000}" name="Coluna8759"/>
    <tableColumn id="8765" xr3:uid="{00000000-0010-0000-0000-00003D220000}" name="Coluna8760"/>
    <tableColumn id="8766" xr3:uid="{00000000-0010-0000-0000-00003E220000}" name="Coluna8761"/>
    <tableColumn id="8767" xr3:uid="{00000000-0010-0000-0000-00003F220000}" name="Coluna8762"/>
    <tableColumn id="8768" xr3:uid="{00000000-0010-0000-0000-000040220000}" name="Coluna8763"/>
    <tableColumn id="8769" xr3:uid="{00000000-0010-0000-0000-000041220000}" name="Coluna8764"/>
    <tableColumn id="8770" xr3:uid="{00000000-0010-0000-0000-000042220000}" name="Coluna8765"/>
    <tableColumn id="8771" xr3:uid="{00000000-0010-0000-0000-000043220000}" name="Coluna8766"/>
    <tableColumn id="8772" xr3:uid="{00000000-0010-0000-0000-000044220000}" name="Coluna8767"/>
    <tableColumn id="8773" xr3:uid="{00000000-0010-0000-0000-000045220000}" name="Coluna8768"/>
    <tableColumn id="8774" xr3:uid="{00000000-0010-0000-0000-000046220000}" name="Coluna8769"/>
    <tableColumn id="8775" xr3:uid="{00000000-0010-0000-0000-000047220000}" name="Coluna8770"/>
    <tableColumn id="8776" xr3:uid="{00000000-0010-0000-0000-000048220000}" name="Coluna8771"/>
    <tableColumn id="8777" xr3:uid="{00000000-0010-0000-0000-000049220000}" name="Coluna8772"/>
    <tableColumn id="8778" xr3:uid="{00000000-0010-0000-0000-00004A220000}" name="Coluna8773"/>
    <tableColumn id="8779" xr3:uid="{00000000-0010-0000-0000-00004B220000}" name="Coluna8774"/>
    <tableColumn id="8780" xr3:uid="{00000000-0010-0000-0000-00004C220000}" name="Coluna8775"/>
    <tableColumn id="8781" xr3:uid="{00000000-0010-0000-0000-00004D220000}" name="Coluna8776"/>
    <tableColumn id="8782" xr3:uid="{00000000-0010-0000-0000-00004E220000}" name="Coluna8777"/>
    <tableColumn id="8783" xr3:uid="{00000000-0010-0000-0000-00004F220000}" name="Coluna8778"/>
    <tableColumn id="8784" xr3:uid="{00000000-0010-0000-0000-000050220000}" name="Coluna8779"/>
    <tableColumn id="8785" xr3:uid="{00000000-0010-0000-0000-000051220000}" name="Coluna8780"/>
    <tableColumn id="8786" xr3:uid="{00000000-0010-0000-0000-000052220000}" name="Coluna8781"/>
    <tableColumn id="8787" xr3:uid="{00000000-0010-0000-0000-000053220000}" name="Coluna8782"/>
    <tableColumn id="8788" xr3:uid="{00000000-0010-0000-0000-000054220000}" name="Coluna8783"/>
    <tableColumn id="8789" xr3:uid="{00000000-0010-0000-0000-000055220000}" name="Coluna8784"/>
    <tableColumn id="8790" xr3:uid="{00000000-0010-0000-0000-000056220000}" name="Coluna8785"/>
    <tableColumn id="8791" xr3:uid="{00000000-0010-0000-0000-000057220000}" name="Coluna8786"/>
    <tableColumn id="8792" xr3:uid="{00000000-0010-0000-0000-000058220000}" name="Coluna8787"/>
    <tableColumn id="8793" xr3:uid="{00000000-0010-0000-0000-000059220000}" name="Coluna8788"/>
    <tableColumn id="8794" xr3:uid="{00000000-0010-0000-0000-00005A220000}" name="Coluna8789"/>
    <tableColumn id="8795" xr3:uid="{00000000-0010-0000-0000-00005B220000}" name="Coluna8790"/>
    <tableColumn id="8796" xr3:uid="{00000000-0010-0000-0000-00005C220000}" name="Coluna8791"/>
    <tableColumn id="8797" xr3:uid="{00000000-0010-0000-0000-00005D220000}" name="Coluna8792"/>
    <tableColumn id="8798" xr3:uid="{00000000-0010-0000-0000-00005E220000}" name="Coluna8793"/>
    <tableColumn id="8799" xr3:uid="{00000000-0010-0000-0000-00005F220000}" name="Coluna8794"/>
    <tableColumn id="8800" xr3:uid="{00000000-0010-0000-0000-000060220000}" name="Coluna8795"/>
    <tableColumn id="8801" xr3:uid="{00000000-0010-0000-0000-000061220000}" name="Coluna8796"/>
    <tableColumn id="8802" xr3:uid="{00000000-0010-0000-0000-000062220000}" name="Coluna8797"/>
    <tableColumn id="8803" xr3:uid="{00000000-0010-0000-0000-000063220000}" name="Coluna8798"/>
    <tableColumn id="8804" xr3:uid="{00000000-0010-0000-0000-000064220000}" name="Coluna8799"/>
    <tableColumn id="8805" xr3:uid="{00000000-0010-0000-0000-000065220000}" name="Coluna8800"/>
    <tableColumn id="8806" xr3:uid="{00000000-0010-0000-0000-000066220000}" name="Coluna8801"/>
    <tableColumn id="8807" xr3:uid="{00000000-0010-0000-0000-000067220000}" name="Coluna8802"/>
    <tableColumn id="8808" xr3:uid="{00000000-0010-0000-0000-000068220000}" name="Coluna8803"/>
    <tableColumn id="8809" xr3:uid="{00000000-0010-0000-0000-000069220000}" name="Coluna8804"/>
    <tableColumn id="8810" xr3:uid="{00000000-0010-0000-0000-00006A220000}" name="Coluna8805"/>
    <tableColumn id="8811" xr3:uid="{00000000-0010-0000-0000-00006B220000}" name="Coluna8806"/>
    <tableColumn id="8812" xr3:uid="{00000000-0010-0000-0000-00006C220000}" name="Coluna8807"/>
    <tableColumn id="8813" xr3:uid="{00000000-0010-0000-0000-00006D220000}" name="Coluna8808"/>
    <tableColumn id="8814" xr3:uid="{00000000-0010-0000-0000-00006E220000}" name="Coluna8809"/>
    <tableColumn id="8815" xr3:uid="{00000000-0010-0000-0000-00006F220000}" name="Coluna8810"/>
    <tableColumn id="8816" xr3:uid="{00000000-0010-0000-0000-000070220000}" name="Coluna8811"/>
    <tableColumn id="8817" xr3:uid="{00000000-0010-0000-0000-000071220000}" name="Coluna8812"/>
    <tableColumn id="8818" xr3:uid="{00000000-0010-0000-0000-000072220000}" name="Coluna8813"/>
    <tableColumn id="8819" xr3:uid="{00000000-0010-0000-0000-000073220000}" name="Coluna8814"/>
    <tableColumn id="8820" xr3:uid="{00000000-0010-0000-0000-000074220000}" name="Coluna8815"/>
    <tableColumn id="8821" xr3:uid="{00000000-0010-0000-0000-000075220000}" name="Coluna8816"/>
    <tableColumn id="8822" xr3:uid="{00000000-0010-0000-0000-000076220000}" name="Coluna8817"/>
    <tableColumn id="8823" xr3:uid="{00000000-0010-0000-0000-000077220000}" name="Coluna8818"/>
    <tableColumn id="8824" xr3:uid="{00000000-0010-0000-0000-000078220000}" name="Coluna8819"/>
    <tableColumn id="8825" xr3:uid="{00000000-0010-0000-0000-000079220000}" name="Coluna8820"/>
    <tableColumn id="8826" xr3:uid="{00000000-0010-0000-0000-00007A220000}" name="Coluna8821"/>
    <tableColumn id="8827" xr3:uid="{00000000-0010-0000-0000-00007B220000}" name="Coluna8822"/>
    <tableColumn id="8828" xr3:uid="{00000000-0010-0000-0000-00007C220000}" name="Coluna8823"/>
    <tableColumn id="8829" xr3:uid="{00000000-0010-0000-0000-00007D220000}" name="Coluna8824"/>
    <tableColumn id="8830" xr3:uid="{00000000-0010-0000-0000-00007E220000}" name="Coluna8825"/>
    <tableColumn id="8831" xr3:uid="{00000000-0010-0000-0000-00007F220000}" name="Coluna8826"/>
    <tableColumn id="8832" xr3:uid="{00000000-0010-0000-0000-000080220000}" name="Coluna8827"/>
    <tableColumn id="8833" xr3:uid="{00000000-0010-0000-0000-000081220000}" name="Coluna8828"/>
    <tableColumn id="8834" xr3:uid="{00000000-0010-0000-0000-000082220000}" name="Coluna8829"/>
    <tableColumn id="8835" xr3:uid="{00000000-0010-0000-0000-000083220000}" name="Coluna8830"/>
    <tableColumn id="8836" xr3:uid="{00000000-0010-0000-0000-000084220000}" name="Coluna8831"/>
    <tableColumn id="8837" xr3:uid="{00000000-0010-0000-0000-000085220000}" name="Coluna8832"/>
    <tableColumn id="8838" xr3:uid="{00000000-0010-0000-0000-000086220000}" name="Coluna8833"/>
    <tableColumn id="8839" xr3:uid="{00000000-0010-0000-0000-000087220000}" name="Coluna8834"/>
    <tableColumn id="8840" xr3:uid="{00000000-0010-0000-0000-000088220000}" name="Coluna8835"/>
    <tableColumn id="8841" xr3:uid="{00000000-0010-0000-0000-000089220000}" name="Coluna8836"/>
    <tableColumn id="8842" xr3:uid="{00000000-0010-0000-0000-00008A220000}" name="Coluna8837"/>
    <tableColumn id="8843" xr3:uid="{00000000-0010-0000-0000-00008B220000}" name="Coluna8838"/>
    <tableColumn id="8844" xr3:uid="{00000000-0010-0000-0000-00008C220000}" name="Coluna8839"/>
    <tableColumn id="8845" xr3:uid="{00000000-0010-0000-0000-00008D220000}" name="Coluna8840"/>
    <tableColumn id="8846" xr3:uid="{00000000-0010-0000-0000-00008E220000}" name="Coluna8841"/>
    <tableColumn id="8847" xr3:uid="{00000000-0010-0000-0000-00008F220000}" name="Coluna8842"/>
    <tableColumn id="8848" xr3:uid="{00000000-0010-0000-0000-000090220000}" name="Coluna8843"/>
    <tableColumn id="8849" xr3:uid="{00000000-0010-0000-0000-000091220000}" name="Coluna8844"/>
    <tableColumn id="8850" xr3:uid="{00000000-0010-0000-0000-000092220000}" name="Coluna8845"/>
    <tableColumn id="8851" xr3:uid="{00000000-0010-0000-0000-000093220000}" name="Coluna8846"/>
    <tableColumn id="8852" xr3:uid="{00000000-0010-0000-0000-000094220000}" name="Coluna8847"/>
    <tableColumn id="8853" xr3:uid="{00000000-0010-0000-0000-000095220000}" name="Coluna8848"/>
    <tableColumn id="8854" xr3:uid="{00000000-0010-0000-0000-000096220000}" name="Coluna8849"/>
    <tableColumn id="8855" xr3:uid="{00000000-0010-0000-0000-000097220000}" name="Coluna8850"/>
    <tableColumn id="8856" xr3:uid="{00000000-0010-0000-0000-000098220000}" name="Coluna8851"/>
    <tableColumn id="8857" xr3:uid="{00000000-0010-0000-0000-000099220000}" name="Coluna8852"/>
    <tableColumn id="8858" xr3:uid="{00000000-0010-0000-0000-00009A220000}" name="Coluna8853"/>
    <tableColumn id="8859" xr3:uid="{00000000-0010-0000-0000-00009B220000}" name="Coluna8854"/>
    <tableColumn id="8860" xr3:uid="{00000000-0010-0000-0000-00009C220000}" name="Coluna8855"/>
    <tableColumn id="8861" xr3:uid="{00000000-0010-0000-0000-00009D220000}" name="Coluna8856"/>
    <tableColumn id="8862" xr3:uid="{00000000-0010-0000-0000-00009E220000}" name="Coluna8857"/>
    <tableColumn id="8863" xr3:uid="{00000000-0010-0000-0000-00009F220000}" name="Coluna8858"/>
    <tableColumn id="8864" xr3:uid="{00000000-0010-0000-0000-0000A0220000}" name="Coluna8859"/>
    <tableColumn id="8865" xr3:uid="{00000000-0010-0000-0000-0000A1220000}" name="Coluna8860"/>
    <tableColumn id="8866" xr3:uid="{00000000-0010-0000-0000-0000A2220000}" name="Coluna8861"/>
    <tableColumn id="8867" xr3:uid="{00000000-0010-0000-0000-0000A3220000}" name="Coluna8862"/>
    <tableColumn id="8868" xr3:uid="{00000000-0010-0000-0000-0000A4220000}" name="Coluna8863"/>
    <tableColumn id="8869" xr3:uid="{00000000-0010-0000-0000-0000A5220000}" name="Coluna8864"/>
    <tableColumn id="8870" xr3:uid="{00000000-0010-0000-0000-0000A6220000}" name="Coluna8865"/>
    <tableColumn id="8871" xr3:uid="{00000000-0010-0000-0000-0000A7220000}" name="Coluna8866"/>
    <tableColumn id="8872" xr3:uid="{00000000-0010-0000-0000-0000A8220000}" name="Coluna8867"/>
    <tableColumn id="8873" xr3:uid="{00000000-0010-0000-0000-0000A9220000}" name="Coluna8868"/>
    <tableColumn id="8874" xr3:uid="{00000000-0010-0000-0000-0000AA220000}" name="Coluna8869"/>
    <tableColumn id="8875" xr3:uid="{00000000-0010-0000-0000-0000AB220000}" name="Coluna8870"/>
    <tableColumn id="8876" xr3:uid="{00000000-0010-0000-0000-0000AC220000}" name="Coluna8871"/>
    <tableColumn id="8877" xr3:uid="{00000000-0010-0000-0000-0000AD220000}" name="Coluna8872"/>
    <tableColumn id="8878" xr3:uid="{00000000-0010-0000-0000-0000AE220000}" name="Coluna8873"/>
    <tableColumn id="8879" xr3:uid="{00000000-0010-0000-0000-0000AF220000}" name="Coluna8874"/>
    <tableColumn id="8880" xr3:uid="{00000000-0010-0000-0000-0000B0220000}" name="Coluna8875"/>
    <tableColumn id="8881" xr3:uid="{00000000-0010-0000-0000-0000B1220000}" name="Coluna8876"/>
    <tableColumn id="8882" xr3:uid="{00000000-0010-0000-0000-0000B2220000}" name="Coluna8877"/>
    <tableColumn id="8883" xr3:uid="{00000000-0010-0000-0000-0000B3220000}" name="Coluna8878"/>
    <tableColumn id="8884" xr3:uid="{00000000-0010-0000-0000-0000B4220000}" name="Coluna8879"/>
    <tableColumn id="8885" xr3:uid="{00000000-0010-0000-0000-0000B5220000}" name="Coluna8880"/>
    <tableColumn id="8886" xr3:uid="{00000000-0010-0000-0000-0000B6220000}" name="Coluna8881"/>
    <tableColumn id="8887" xr3:uid="{00000000-0010-0000-0000-0000B7220000}" name="Coluna8882"/>
    <tableColumn id="8888" xr3:uid="{00000000-0010-0000-0000-0000B8220000}" name="Coluna8883"/>
    <tableColumn id="8889" xr3:uid="{00000000-0010-0000-0000-0000B9220000}" name="Coluna8884"/>
    <tableColumn id="8890" xr3:uid="{00000000-0010-0000-0000-0000BA220000}" name="Coluna8885"/>
    <tableColumn id="8891" xr3:uid="{00000000-0010-0000-0000-0000BB220000}" name="Coluna8886"/>
    <tableColumn id="8892" xr3:uid="{00000000-0010-0000-0000-0000BC220000}" name="Coluna8887"/>
    <tableColumn id="8893" xr3:uid="{00000000-0010-0000-0000-0000BD220000}" name="Coluna8888"/>
    <tableColumn id="8894" xr3:uid="{00000000-0010-0000-0000-0000BE220000}" name="Coluna8889"/>
    <tableColumn id="8895" xr3:uid="{00000000-0010-0000-0000-0000BF220000}" name="Coluna8890"/>
    <tableColumn id="8896" xr3:uid="{00000000-0010-0000-0000-0000C0220000}" name="Coluna8891"/>
    <tableColumn id="8897" xr3:uid="{00000000-0010-0000-0000-0000C1220000}" name="Coluna8892"/>
    <tableColumn id="8898" xr3:uid="{00000000-0010-0000-0000-0000C2220000}" name="Coluna8893"/>
    <tableColumn id="8899" xr3:uid="{00000000-0010-0000-0000-0000C3220000}" name="Coluna8894"/>
    <tableColumn id="8900" xr3:uid="{00000000-0010-0000-0000-0000C4220000}" name="Coluna8895"/>
    <tableColumn id="8901" xr3:uid="{00000000-0010-0000-0000-0000C5220000}" name="Coluna8896"/>
    <tableColumn id="8902" xr3:uid="{00000000-0010-0000-0000-0000C6220000}" name="Coluna8897"/>
    <tableColumn id="8903" xr3:uid="{00000000-0010-0000-0000-0000C7220000}" name="Coluna8898"/>
    <tableColumn id="8904" xr3:uid="{00000000-0010-0000-0000-0000C8220000}" name="Coluna8899"/>
    <tableColumn id="8905" xr3:uid="{00000000-0010-0000-0000-0000C9220000}" name="Coluna8900"/>
    <tableColumn id="8906" xr3:uid="{00000000-0010-0000-0000-0000CA220000}" name="Coluna8901"/>
    <tableColumn id="8907" xr3:uid="{00000000-0010-0000-0000-0000CB220000}" name="Coluna8902"/>
    <tableColumn id="8908" xr3:uid="{00000000-0010-0000-0000-0000CC220000}" name="Coluna8903"/>
    <tableColumn id="8909" xr3:uid="{00000000-0010-0000-0000-0000CD220000}" name="Coluna8904"/>
    <tableColumn id="8910" xr3:uid="{00000000-0010-0000-0000-0000CE220000}" name="Coluna8905"/>
    <tableColumn id="8911" xr3:uid="{00000000-0010-0000-0000-0000CF220000}" name="Coluna8906"/>
    <tableColumn id="8912" xr3:uid="{00000000-0010-0000-0000-0000D0220000}" name="Coluna8907"/>
    <tableColumn id="8913" xr3:uid="{00000000-0010-0000-0000-0000D1220000}" name="Coluna8908"/>
    <tableColumn id="8914" xr3:uid="{00000000-0010-0000-0000-0000D2220000}" name="Coluna8909"/>
    <tableColumn id="8915" xr3:uid="{00000000-0010-0000-0000-0000D3220000}" name="Coluna8910"/>
    <tableColumn id="8916" xr3:uid="{00000000-0010-0000-0000-0000D4220000}" name="Coluna8911"/>
    <tableColumn id="8917" xr3:uid="{00000000-0010-0000-0000-0000D5220000}" name="Coluna8912"/>
    <tableColumn id="8918" xr3:uid="{00000000-0010-0000-0000-0000D6220000}" name="Coluna8913"/>
    <tableColumn id="8919" xr3:uid="{00000000-0010-0000-0000-0000D7220000}" name="Coluna8914"/>
    <tableColumn id="8920" xr3:uid="{00000000-0010-0000-0000-0000D8220000}" name="Coluna8915"/>
    <tableColumn id="8921" xr3:uid="{00000000-0010-0000-0000-0000D9220000}" name="Coluna8916"/>
    <tableColumn id="8922" xr3:uid="{00000000-0010-0000-0000-0000DA220000}" name="Coluna8917"/>
    <tableColumn id="8923" xr3:uid="{00000000-0010-0000-0000-0000DB220000}" name="Coluna8918"/>
    <tableColumn id="8924" xr3:uid="{00000000-0010-0000-0000-0000DC220000}" name="Coluna8919"/>
    <tableColumn id="8925" xr3:uid="{00000000-0010-0000-0000-0000DD220000}" name="Coluna8920"/>
    <tableColumn id="8926" xr3:uid="{00000000-0010-0000-0000-0000DE220000}" name="Coluna8921"/>
    <tableColumn id="8927" xr3:uid="{00000000-0010-0000-0000-0000DF220000}" name="Coluna8922"/>
    <tableColumn id="8928" xr3:uid="{00000000-0010-0000-0000-0000E0220000}" name="Coluna8923"/>
    <tableColumn id="8929" xr3:uid="{00000000-0010-0000-0000-0000E1220000}" name="Coluna8924"/>
    <tableColumn id="8930" xr3:uid="{00000000-0010-0000-0000-0000E2220000}" name="Coluna8925"/>
    <tableColumn id="8931" xr3:uid="{00000000-0010-0000-0000-0000E3220000}" name="Coluna8926"/>
    <tableColumn id="8932" xr3:uid="{00000000-0010-0000-0000-0000E4220000}" name="Coluna8927"/>
    <tableColumn id="8933" xr3:uid="{00000000-0010-0000-0000-0000E5220000}" name="Coluna8928"/>
    <tableColumn id="8934" xr3:uid="{00000000-0010-0000-0000-0000E6220000}" name="Coluna8929"/>
    <tableColumn id="8935" xr3:uid="{00000000-0010-0000-0000-0000E7220000}" name="Coluna8930"/>
    <tableColumn id="8936" xr3:uid="{00000000-0010-0000-0000-0000E8220000}" name="Coluna8931"/>
    <tableColumn id="8937" xr3:uid="{00000000-0010-0000-0000-0000E9220000}" name="Coluna8932"/>
    <tableColumn id="8938" xr3:uid="{00000000-0010-0000-0000-0000EA220000}" name="Coluna8933"/>
    <tableColumn id="8939" xr3:uid="{00000000-0010-0000-0000-0000EB220000}" name="Coluna8934"/>
    <tableColumn id="8940" xr3:uid="{00000000-0010-0000-0000-0000EC220000}" name="Coluna8935"/>
    <tableColumn id="8941" xr3:uid="{00000000-0010-0000-0000-0000ED220000}" name="Coluna8936"/>
    <tableColumn id="8942" xr3:uid="{00000000-0010-0000-0000-0000EE220000}" name="Coluna8937"/>
    <tableColumn id="8943" xr3:uid="{00000000-0010-0000-0000-0000EF220000}" name="Coluna8938"/>
    <tableColumn id="8944" xr3:uid="{00000000-0010-0000-0000-0000F0220000}" name="Coluna8939"/>
    <tableColumn id="8945" xr3:uid="{00000000-0010-0000-0000-0000F1220000}" name="Coluna8940"/>
    <tableColumn id="8946" xr3:uid="{00000000-0010-0000-0000-0000F2220000}" name="Coluna8941"/>
    <tableColumn id="8947" xr3:uid="{00000000-0010-0000-0000-0000F3220000}" name="Coluna8942"/>
    <tableColumn id="8948" xr3:uid="{00000000-0010-0000-0000-0000F4220000}" name="Coluna8943"/>
    <tableColumn id="8949" xr3:uid="{00000000-0010-0000-0000-0000F5220000}" name="Coluna8944"/>
    <tableColumn id="8950" xr3:uid="{00000000-0010-0000-0000-0000F6220000}" name="Coluna8945"/>
    <tableColumn id="8951" xr3:uid="{00000000-0010-0000-0000-0000F7220000}" name="Coluna8946"/>
    <tableColumn id="8952" xr3:uid="{00000000-0010-0000-0000-0000F8220000}" name="Coluna8947"/>
    <tableColumn id="8953" xr3:uid="{00000000-0010-0000-0000-0000F9220000}" name="Coluna8948"/>
    <tableColumn id="8954" xr3:uid="{00000000-0010-0000-0000-0000FA220000}" name="Coluna8949"/>
    <tableColumn id="8955" xr3:uid="{00000000-0010-0000-0000-0000FB220000}" name="Coluna8950"/>
    <tableColumn id="8956" xr3:uid="{00000000-0010-0000-0000-0000FC220000}" name="Coluna8951"/>
    <tableColumn id="8957" xr3:uid="{00000000-0010-0000-0000-0000FD220000}" name="Coluna8952"/>
    <tableColumn id="8958" xr3:uid="{00000000-0010-0000-0000-0000FE220000}" name="Coluna8953"/>
    <tableColumn id="8959" xr3:uid="{00000000-0010-0000-0000-0000FF220000}" name="Coluna8954"/>
    <tableColumn id="8960" xr3:uid="{00000000-0010-0000-0000-000000230000}" name="Coluna8955"/>
    <tableColumn id="8961" xr3:uid="{00000000-0010-0000-0000-000001230000}" name="Coluna8956"/>
    <tableColumn id="8962" xr3:uid="{00000000-0010-0000-0000-000002230000}" name="Coluna8957"/>
    <tableColumn id="8963" xr3:uid="{00000000-0010-0000-0000-000003230000}" name="Coluna8958"/>
    <tableColumn id="8964" xr3:uid="{00000000-0010-0000-0000-000004230000}" name="Coluna8959"/>
    <tableColumn id="8965" xr3:uid="{00000000-0010-0000-0000-000005230000}" name="Coluna8960"/>
    <tableColumn id="8966" xr3:uid="{00000000-0010-0000-0000-000006230000}" name="Coluna8961"/>
    <tableColumn id="8967" xr3:uid="{00000000-0010-0000-0000-000007230000}" name="Coluna8962"/>
    <tableColumn id="8968" xr3:uid="{00000000-0010-0000-0000-000008230000}" name="Coluna8963"/>
    <tableColumn id="8969" xr3:uid="{00000000-0010-0000-0000-000009230000}" name="Coluna8964"/>
    <tableColumn id="8970" xr3:uid="{00000000-0010-0000-0000-00000A230000}" name="Coluna8965"/>
    <tableColumn id="8971" xr3:uid="{00000000-0010-0000-0000-00000B230000}" name="Coluna8966"/>
    <tableColumn id="8972" xr3:uid="{00000000-0010-0000-0000-00000C230000}" name="Coluna8967"/>
    <tableColumn id="8973" xr3:uid="{00000000-0010-0000-0000-00000D230000}" name="Coluna8968"/>
    <tableColumn id="8974" xr3:uid="{00000000-0010-0000-0000-00000E230000}" name="Coluna8969"/>
    <tableColumn id="8975" xr3:uid="{00000000-0010-0000-0000-00000F230000}" name="Coluna8970"/>
    <tableColumn id="8976" xr3:uid="{00000000-0010-0000-0000-000010230000}" name="Coluna8971"/>
    <tableColumn id="8977" xr3:uid="{00000000-0010-0000-0000-000011230000}" name="Coluna8972"/>
    <tableColumn id="8978" xr3:uid="{00000000-0010-0000-0000-000012230000}" name="Coluna8973"/>
    <tableColumn id="8979" xr3:uid="{00000000-0010-0000-0000-000013230000}" name="Coluna8974"/>
    <tableColumn id="8980" xr3:uid="{00000000-0010-0000-0000-000014230000}" name="Coluna8975"/>
    <tableColumn id="8981" xr3:uid="{00000000-0010-0000-0000-000015230000}" name="Coluna8976"/>
    <tableColumn id="8982" xr3:uid="{00000000-0010-0000-0000-000016230000}" name="Coluna8977"/>
    <tableColumn id="8983" xr3:uid="{00000000-0010-0000-0000-000017230000}" name="Coluna8978"/>
    <tableColumn id="8984" xr3:uid="{00000000-0010-0000-0000-000018230000}" name="Coluna8979"/>
    <tableColumn id="8985" xr3:uid="{00000000-0010-0000-0000-000019230000}" name="Coluna8980"/>
    <tableColumn id="8986" xr3:uid="{00000000-0010-0000-0000-00001A230000}" name="Coluna8981"/>
    <tableColumn id="8987" xr3:uid="{00000000-0010-0000-0000-00001B230000}" name="Coluna8982"/>
    <tableColumn id="8988" xr3:uid="{00000000-0010-0000-0000-00001C230000}" name="Coluna8983"/>
    <tableColumn id="8989" xr3:uid="{00000000-0010-0000-0000-00001D230000}" name="Coluna8984"/>
    <tableColumn id="8990" xr3:uid="{00000000-0010-0000-0000-00001E230000}" name="Coluna8985"/>
    <tableColumn id="8991" xr3:uid="{00000000-0010-0000-0000-00001F230000}" name="Coluna8986"/>
    <tableColumn id="8992" xr3:uid="{00000000-0010-0000-0000-000020230000}" name="Coluna8987"/>
    <tableColumn id="8993" xr3:uid="{00000000-0010-0000-0000-000021230000}" name="Coluna8988"/>
    <tableColumn id="8994" xr3:uid="{00000000-0010-0000-0000-000022230000}" name="Coluna8989"/>
    <tableColumn id="8995" xr3:uid="{00000000-0010-0000-0000-000023230000}" name="Coluna8990"/>
    <tableColumn id="8996" xr3:uid="{00000000-0010-0000-0000-000024230000}" name="Coluna8991"/>
    <tableColumn id="8997" xr3:uid="{00000000-0010-0000-0000-000025230000}" name="Coluna8992"/>
    <tableColumn id="8998" xr3:uid="{00000000-0010-0000-0000-000026230000}" name="Coluna8993"/>
    <tableColumn id="8999" xr3:uid="{00000000-0010-0000-0000-000027230000}" name="Coluna8994"/>
    <tableColumn id="9000" xr3:uid="{00000000-0010-0000-0000-000028230000}" name="Coluna8995"/>
    <tableColumn id="9001" xr3:uid="{00000000-0010-0000-0000-000029230000}" name="Coluna8996"/>
    <tableColumn id="9002" xr3:uid="{00000000-0010-0000-0000-00002A230000}" name="Coluna8997"/>
    <tableColumn id="9003" xr3:uid="{00000000-0010-0000-0000-00002B230000}" name="Coluna8998"/>
    <tableColumn id="9004" xr3:uid="{00000000-0010-0000-0000-00002C230000}" name="Coluna8999"/>
    <tableColumn id="9005" xr3:uid="{00000000-0010-0000-0000-00002D230000}" name="Coluna9000"/>
    <tableColumn id="9006" xr3:uid="{00000000-0010-0000-0000-00002E230000}" name="Coluna9001"/>
    <tableColumn id="9007" xr3:uid="{00000000-0010-0000-0000-00002F230000}" name="Coluna9002"/>
    <tableColumn id="9008" xr3:uid="{00000000-0010-0000-0000-000030230000}" name="Coluna9003"/>
    <tableColumn id="9009" xr3:uid="{00000000-0010-0000-0000-000031230000}" name="Coluna9004"/>
    <tableColumn id="9010" xr3:uid="{00000000-0010-0000-0000-000032230000}" name="Coluna9005"/>
    <tableColumn id="9011" xr3:uid="{00000000-0010-0000-0000-000033230000}" name="Coluna9006"/>
    <tableColumn id="9012" xr3:uid="{00000000-0010-0000-0000-000034230000}" name="Coluna9007"/>
    <tableColumn id="9013" xr3:uid="{00000000-0010-0000-0000-000035230000}" name="Coluna9008"/>
    <tableColumn id="9014" xr3:uid="{00000000-0010-0000-0000-000036230000}" name="Coluna9009"/>
    <tableColumn id="9015" xr3:uid="{00000000-0010-0000-0000-000037230000}" name="Coluna9010"/>
    <tableColumn id="9016" xr3:uid="{00000000-0010-0000-0000-000038230000}" name="Coluna9011"/>
    <tableColumn id="9017" xr3:uid="{00000000-0010-0000-0000-000039230000}" name="Coluna9012"/>
    <tableColumn id="9018" xr3:uid="{00000000-0010-0000-0000-00003A230000}" name="Coluna9013"/>
    <tableColumn id="9019" xr3:uid="{00000000-0010-0000-0000-00003B230000}" name="Coluna9014"/>
    <tableColumn id="9020" xr3:uid="{00000000-0010-0000-0000-00003C230000}" name="Coluna9015"/>
    <tableColumn id="9021" xr3:uid="{00000000-0010-0000-0000-00003D230000}" name="Coluna9016"/>
    <tableColumn id="9022" xr3:uid="{00000000-0010-0000-0000-00003E230000}" name="Coluna9017"/>
    <tableColumn id="9023" xr3:uid="{00000000-0010-0000-0000-00003F230000}" name="Coluna9018"/>
    <tableColumn id="9024" xr3:uid="{00000000-0010-0000-0000-000040230000}" name="Coluna9019"/>
    <tableColumn id="9025" xr3:uid="{00000000-0010-0000-0000-000041230000}" name="Coluna9020"/>
    <tableColumn id="9026" xr3:uid="{00000000-0010-0000-0000-000042230000}" name="Coluna9021"/>
    <tableColumn id="9027" xr3:uid="{00000000-0010-0000-0000-000043230000}" name="Coluna9022"/>
    <tableColumn id="9028" xr3:uid="{00000000-0010-0000-0000-000044230000}" name="Coluna9023"/>
    <tableColumn id="9029" xr3:uid="{00000000-0010-0000-0000-000045230000}" name="Coluna9024"/>
    <tableColumn id="9030" xr3:uid="{00000000-0010-0000-0000-000046230000}" name="Coluna9025"/>
    <tableColumn id="9031" xr3:uid="{00000000-0010-0000-0000-000047230000}" name="Coluna9026"/>
    <tableColumn id="9032" xr3:uid="{00000000-0010-0000-0000-000048230000}" name="Coluna9027"/>
    <tableColumn id="9033" xr3:uid="{00000000-0010-0000-0000-000049230000}" name="Coluna9028"/>
    <tableColumn id="9034" xr3:uid="{00000000-0010-0000-0000-00004A230000}" name="Coluna9029"/>
    <tableColumn id="9035" xr3:uid="{00000000-0010-0000-0000-00004B230000}" name="Coluna9030"/>
    <tableColumn id="9036" xr3:uid="{00000000-0010-0000-0000-00004C230000}" name="Coluna9031"/>
    <tableColumn id="9037" xr3:uid="{00000000-0010-0000-0000-00004D230000}" name="Coluna9032"/>
    <tableColumn id="9038" xr3:uid="{00000000-0010-0000-0000-00004E230000}" name="Coluna9033"/>
    <tableColumn id="9039" xr3:uid="{00000000-0010-0000-0000-00004F230000}" name="Coluna9034"/>
    <tableColumn id="9040" xr3:uid="{00000000-0010-0000-0000-000050230000}" name="Coluna9035"/>
    <tableColumn id="9041" xr3:uid="{00000000-0010-0000-0000-000051230000}" name="Coluna9036"/>
    <tableColumn id="9042" xr3:uid="{00000000-0010-0000-0000-000052230000}" name="Coluna9037"/>
    <tableColumn id="9043" xr3:uid="{00000000-0010-0000-0000-000053230000}" name="Coluna9038"/>
    <tableColumn id="9044" xr3:uid="{00000000-0010-0000-0000-000054230000}" name="Coluna9039"/>
    <tableColumn id="9045" xr3:uid="{00000000-0010-0000-0000-000055230000}" name="Coluna9040"/>
    <tableColumn id="9046" xr3:uid="{00000000-0010-0000-0000-000056230000}" name="Coluna9041"/>
    <tableColumn id="9047" xr3:uid="{00000000-0010-0000-0000-000057230000}" name="Coluna9042"/>
    <tableColumn id="9048" xr3:uid="{00000000-0010-0000-0000-000058230000}" name="Coluna9043"/>
    <tableColumn id="9049" xr3:uid="{00000000-0010-0000-0000-000059230000}" name="Coluna9044"/>
    <tableColumn id="9050" xr3:uid="{00000000-0010-0000-0000-00005A230000}" name="Coluna9045"/>
    <tableColumn id="9051" xr3:uid="{00000000-0010-0000-0000-00005B230000}" name="Coluna9046"/>
    <tableColumn id="9052" xr3:uid="{00000000-0010-0000-0000-00005C230000}" name="Coluna9047"/>
    <tableColumn id="9053" xr3:uid="{00000000-0010-0000-0000-00005D230000}" name="Coluna9048"/>
    <tableColumn id="9054" xr3:uid="{00000000-0010-0000-0000-00005E230000}" name="Coluna9049"/>
    <tableColumn id="9055" xr3:uid="{00000000-0010-0000-0000-00005F230000}" name="Coluna9050"/>
    <tableColumn id="9056" xr3:uid="{00000000-0010-0000-0000-000060230000}" name="Coluna9051"/>
    <tableColumn id="9057" xr3:uid="{00000000-0010-0000-0000-000061230000}" name="Coluna9052"/>
    <tableColumn id="9058" xr3:uid="{00000000-0010-0000-0000-000062230000}" name="Coluna9053"/>
    <tableColumn id="9059" xr3:uid="{00000000-0010-0000-0000-000063230000}" name="Coluna9054"/>
    <tableColumn id="9060" xr3:uid="{00000000-0010-0000-0000-000064230000}" name="Coluna9055"/>
    <tableColumn id="9061" xr3:uid="{00000000-0010-0000-0000-000065230000}" name="Coluna9056"/>
    <tableColumn id="9062" xr3:uid="{00000000-0010-0000-0000-000066230000}" name="Coluna9057"/>
    <tableColumn id="9063" xr3:uid="{00000000-0010-0000-0000-000067230000}" name="Coluna9058"/>
    <tableColumn id="9064" xr3:uid="{00000000-0010-0000-0000-000068230000}" name="Coluna9059"/>
    <tableColumn id="9065" xr3:uid="{00000000-0010-0000-0000-000069230000}" name="Coluna9060"/>
    <tableColumn id="9066" xr3:uid="{00000000-0010-0000-0000-00006A230000}" name="Coluna9061"/>
    <tableColumn id="9067" xr3:uid="{00000000-0010-0000-0000-00006B230000}" name="Coluna9062"/>
    <tableColumn id="9068" xr3:uid="{00000000-0010-0000-0000-00006C230000}" name="Coluna9063"/>
    <tableColumn id="9069" xr3:uid="{00000000-0010-0000-0000-00006D230000}" name="Coluna9064"/>
    <tableColumn id="9070" xr3:uid="{00000000-0010-0000-0000-00006E230000}" name="Coluna9065"/>
    <tableColumn id="9071" xr3:uid="{00000000-0010-0000-0000-00006F230000}" name="Coluna9066"/>
    <tableColumn id="9072" xr3:uid="{00000000-0010-0000-0000-000070230000}" name="Coluna9067"/>
    <tableColumn id="9073" xr3:uid="{00000000-0010-0000-0000-000071230000}" name="Coluna9068"/>
    <tableColumn id="9074" xr3:uid="{00000000-0010-0000-0000-000072230000}" name="Coluna9069"/>
    <tableColumn id="9075" xr3:uid="{00000000-0010-0000-0000-000073230000}" name="Coluna9070"/>
    <tableColumn id="9076" xr3:uid="{00000000-0010-0000-0000-000074230000}" name="Coluna9071"/>
    <tableColumn id="9077" xr3:uid="{00000000-0010-0000-0000-000075230000}" name="Coluna9072"/>
    <tableColumn id="9078" xr3:uid="{00000000-0010-0000-0000-000076230000}" name="Coluna9073"/>
    <tableColumn id="9079" xr3:uid="{00000000-0010-0000-0000-000077230000}" name="Coluna9074"/>
    <tableColumn id="9080" xr3:uid="{00000000-0010-0000-0000-000078230000}" name="Coluna9075"/>
    <tableColumn id="9081" xr3:uid="{00000000-0010-0000-0000-000079230000}" name="Coluna9076"/>
    <tableColumn id="9082" xr3:uid="{00000000-0010-0000-0000-00007A230000}" name="Coluna9077"/>
    <tableColumn id="9083" xr3:uid="{00000000-0010-0000-0000-00007B230000}" name="Coluna9078"/>
    <tableColumn id="9084" xr3:uid="{00000000-0010-0000-0000-00007C230000}" name="Coluna9079"/>
    <tableColumn id="9085" xr3:uid="{00000000-0010-0000-0000-00007D230000}" name="Coluna9080"/>
    <tableColumn id="9086" xr3:uid="{00000000-0010-0000-0000-00007E230000}" name="Coluna9081"/>
    <tableColumn id="9087" xr3:uid="{00000000-0010-0000-0000-00007F230000}" name="Coluna9082"/>
    <tableColumn id="9088" xr3:uid="{00000000-0010-0000-0000-000080230000}" name="Coluna9083"/>
    <tableColumn id="9089" xr3:uid="{00000000-0010-0000-0000-000081230000}" name="Coluna9084"/>
    <tableColumn id="9090" xr3:uid="{00000000-0010-0000-0000-000082230000}" name="Coluna9085"/>
    <tableColumn id="9091" xr3:uid="{00000000-0010-0000-0000-000083230000}" name="Coluna9086"/>
    <tableColumn id="9092" xr3:uid="{00000000-0010-0000-0000-000084230000}" name="Coluna9087"/>
    <tableColumn id="9093" xr3:uid="{00000000-0010-0000-0000-000085230000}" name="Coluna9088"/>
    <tableColumn id="9094" xr3:uid="{00000000-0010-0000-0000-000086230000}" name="Coluna9089"/>
    <tableColumn id="9095" xr3:uid="{00000000-0010-0000-0000-000087230000}" name="Coluna9090"/>
    <tableColumn id="9096" xr3:uid="{00000000-0010-0000-0000-000088230000}" name="Coluna9091"/>
    <tableColumn id="9097" xr3:uid="{00000000-0010-0000-0000-000089230000}" name="Coluna9092"/>
    <tableColumn id="9098" xr3:uid="{00000000-0010-0000-0000-00008A230000}" name="Coluna9093"/>
    <tableColumn id="9099" xr3:uid="{00000000-0010-0000-0000-00008B230000}" name="Coluna9094"/>
    <tableColumn id="9100" xr3:uid="{00000000-0010-0000-0000-00008C230000}" name="Coluna9095"/>
    <tableColumn id="9101" xr3:uid="{00000000-0010-0000-0000-00008D230000}" name="Coluna9096"/>
    <tableColumn id="9102" xr3:uid="{00000000-0010-0000-0000-00008E230000}" name="Coluna9097"/>
    <tableColumn id="9103" xr3:uid="{00000000-0010-0000-0000-00008F230000}" name="Coluna9098"/>
    <tableColumn id="9104" xr3:uid="{00000000-0010-0000-0000-000090230000}" name="Coluna9099"/>
    <tableColumn id="9105" xr3:uid="{00000000-0010-0000-0000-000091230000}" name="Coluna9100"/>
    <tableColumn id="9106" xr3:uid="{00000000-0010-0000-0000-000092230000}" name="Coluna9101"/>
    <tableColumn id="9107" xr3:uid="{00000000-0010-0000-0000-000093230000}" name="Coluna9102"/>
    <tableColumn id="9108" xr3:uid="{00000000-0010-0000-0000-000094230000}" name="Coluna9103"/>
    <tableColumn id="9109" xr3:uid="{00000000-0010-0000-0000-000095230000}" name="Coluna9104"/>
    <tableColumn id="9110" xr3:uid="{00000000-0010-0000-0000-000096230000}" name="Coluna9105"/>
    <tableColumn id="9111" xr3:uid="{00000000-0010-0000-0000-000097230000}" name="Coluna9106"/>
    <tableColumn id="9112" xr3:uid="{00000000-0010-0000-0000-000098230000}" name="Coluna9107"/>
    <tableColumn id="9113" xr3:uid="{00000000-0010-0000-0000-000099230000}" name="Coluna9108"/>
    <tableColumn id="9114" xr3:uid="{00000000-0010-0000-0000-00009A230000}" name="Coluna9109"/>
    <tableColumn id="9115" xr3:uid="{00000000-0010-0000-0000-00009B230000}" name="Coluna9110"/>
    <tableColumn id="9116" xr3:uid="{00000000-0010-0000-0000-00009C230000}" name="Coluna9111"/>
    <tableColumn id="9117" xr3:uid="{00000000-0010-0000-0000-00009D230000}" name="Coluna9112"/>
    <tableColumn id="9118" xr3:uid="{00000000-0010-0000-0000-00009E230000}" name="Coluna9113"/>
    <tableColumn id="9119" xr3:uid="{00000000-0010-0000-0000-00009F230000}" name="Coluna9114"/>
    <tableColumn id="9120" xr3:uid="{00000000-0010-0000-0000-0000A0230000}" name="Coluna9115"/>
    <tableColumn id="9121" xr3:uid="{00000000-0010-0000-0000-0000A1230000}" name="Coluna9116"/>
    <tableColumn id="9122" xr3:uid="{00000000-0010-0000-0000-0000A2230000}" name="Coluna9117"/>
    <tableColumn id="9123" xr3:uid="{00000000-0010-0000-0000-0000A3230000}" name="Coluna9118"/>
    <tableColumn id="9124" xr3:uid="{00000000-0010-0000-0000-0000A4230000}" name="Coluna9119"/>
    <tableColumn id="9125" xr3:uid="{00000000-0010-0000-0000-0000A5230000}" name="Coluna9120"/>
    <tableColumn id="9126" xr3:uid="{00000000-0010-0000-0000-0000A6230000}" name="Coluna9121"/>
    <tableColumn id="9127" xr3:uid="{00000000-0010-0000-0000-0000A7230000}" name="Coluna9122"/>
    <tableColumn id="9128" xr3:uid="{00000000-0010-0000-0000-0000A8230000}" name="Coluna9123"/>
    <tableColumn id="9129" xr3:uid="{00000000-0010-0000-0000-0000A9230000}" name="Coluna9124"/>
    <tableColumn id="9130" xr3:uid="{00000000-0010-0000-0000-0000AA230000}" name="Coluna9125"/>
    <tableColumn id="9131" xr3:uid="{00000000-0010-0000-0000-0000AB230000}" name="Coluna9126"/>
    <tableColumn id="9132" xr3:uid="{00000000-0010-0000-0000-0000AC230000}" name="Coluna9127"/>
    <tableColumn id="9133" xr3:uid="{00000000-0010-0000-0000-0000AD230000}" name="Coluna9128"/>
    <tableColumn id="9134" xr3:uid="{00000000-0010-0000-0000-0000AE230000}" name="Coluna9129"/>
    <tableColumn id="9135" xr3:uid="{00000000-0010-0000-0000-0000AF230000}" name="Coluna9130"/>
    <tableColumn id="9136" xr3:uid="{00000000-0010-0000-0000-0000B0230000}" name="Coluna9131"/>
    <tableColumn id="9137" xr3:uid="{00000000-0010-0000-0000-0000B1230000}" name="Coluna9132"/>
    <tableColumn id="9138" xr3:uid="{00000000-0010-0000-0000-0000B2230000}" name="Coluna9133"/>
    <tableColumn id="9139" xr3:uid="{00000000-0010-0000-0000-0000B3230000}" name="Coluna9134"/>
    <tableColumn id="9140" xr3:uid="{00000000-0010-0000-0000-0000B4230000}" name="Coluna9135"/>
    <tableColumn id="9141" xr3:uid="{00000000-0010-0000-0000-0000B5230000}" name="Coluna9136"/>
    <tableColumn id="9142" xr3:uid="{00000000-0010-0000-0000-0000B6230000}" name="Coluna9137"/>
    <tableColumn id="9143" xr3:uid="{00000000-0010-0000-0000-0000B7230000}" name="Coluna9138"/>
    <tableColumn id="9144" xr3:uid="{00000000-0010-0000-0000-0000B8230000}" name="Coluna9139"/>
    <tableColumn id="9145" xr3:uid="{00000000-0010-0000-0000-0000B9230000}" name="Coluna9140"/>
    <tableColumn id="9146" xr3:uid="{00000000-0010-0000-0000-0000BA230000}" name="Coluna9141"/>
    <tableColumn id="9147" xr3:uid="{00000000-0010-0000-0000-0000BB230000}" name="Coluna9142"/>
    <tableColumn id="9148" xr3:uid="{00000000-0010-0000-0000-0000BC230000}" name="Coluna9143"/>
    <tableColumn id="9149" xr3:uid="{00000000-0010-0000-0000-0000BD230000}" name="Coluna9144"/>
    <tableColumn id="9150" xr3:uid="{00000000-0010-0000-0000-0000BE230000}" name="Coluna9145"/>
    <tableColumn id="9151" xr3:uid="{00000000-0010-0000-0000-0000BF230000}" name="Coluna9146"/>
    <tableColumn id="9152" xr3:uid="{00000000-0010-0000-0000-0000C0230000}" name="Coluna9147"/>
    <tableColumn id="9153" xr3:uid="{00000000-0010-0000-0000-0000C1230000}" name="Coluna9148"/>
    <tableColumn id="9154" xr3:uid="{00000000-0010-0000-0000-0000C2230000}" name="Coluna9149"/>
    <tableColumn id="9155" xr3:uid="{00000000-0010-0000-0000-0000C3230000}" name="Coluna9150"/>
    <tableColumn id="9156" xr3:uid="{00000000-0010-0000-0000-0000C4230000}" name="Coluna9151"/>
    <tableColumn id="9157" xr3:uid="{00000000-0010-0000-0000-0000C5230000}" name="Coluna9152"/>
    <tableColumn id="9158" xr3:uid="{00000000-0010-0000-0000-0000C6230000}" name="Coluna9153"/>
    <tableColumn id="9159" xr3:uid="{00000000-0010-0000-0000-0000C7230000}" name="Coluna9154"/>
    <tableColumn id="9160" xr3:uid="{00000000-0010-0000-0000-0000C8230000}" name="Coluna9155"/>
    <tableColumn id="9161" xr3:uid="{00000000-0010-0000-0000-0000C9230000}" name="Coluna9156"/>
    <tableColumn id="9162" xr3:uid="{00000000-0010-0000-0000-0000CA230000}" name="Coluna9157"/>
    <tableColumn id="9163" xr3:uid="{00000000-0010-0000-0000-0000CB230000}" name="Coluna9158"/>
    <tableColumn id="9164" xr3:uid="{00000000-0010-0000-0000-0000CC230000}" name="Coluna9159"/>
    <tableColumn id="9165" xr3:uid="{00000000-0010-0000-0000-0000CD230000}" name="Coluna9160"/>
    <tableColumn id="9166" xr3:uid="{00000000-0010-0000-0000-0000CE230000}" name="Coluna9161"/>
    <tableColumn id="9167" xr3:uid="{00000000-0010-0000-0000-0000CF230000}" name="Coluna9162"/>
    <tableColumn id="9168" xr3:uid="{00000000-0010-0000-0000-0000D0230000}" name="Coluna9163"/>
    <tableColumn id="9169" xr3:uid="{00000000-0010-0000-0000-0000D1230000}" name="Coluna9164"/>
    <tableColumn id="9170" xr3:uid="{00000000-0010-0000-0000-0000D2230000}" name="Coluna9165"/>
    <tableColumn id="9171" xr3:uid="{00000000-0010-0000-0000-0000D3230000}" name="Coluna9166"/>
    <tableColumn id="9172" xr3:uid="{00000000-0010-0000-0000-0000D4230000}" name="Coluna9167"/>
    <tableColumn id="9173" xr3:uid="{00000000-0010-0000-0000-0000D5230000}" name="Coluna9168"/>
    <tableColumn id="9174" xr3:uid="{00000000-0010-0000-0000-0000D6230000}" name="Coluna9169"/>
    <tableColumn id="9175" xr3:uid="{00000000-0010-0000-0000-0000D7230000}" name="Coluna9170"/>
    <tableColumn id="9176" xr3:uid="{00000000-0010-0000-0000-0000D8230000}" name="Coluna9171"/>
    <tableColumn id="9177" xr3:uid="{00000000-0010-0000-0000-0000D9230000}" name="Coluna9172"/>
    <tableColumn id="9178" xr3:uid="{00000000-0010-0000-0000-0000DA230000}" name="Coluna9173"/>
    <tableColumn id="9179" xr3:uid="{00000000-0010-0000-0000-0000DB230000}" name="Coluna9174"/>
    <tableColumn id="9180" xr3:uid="{00000000-0010-0000-0000-0000DC230000}" name="Coluna9175"/>
    <tableColumn id="9181" xr3:uid="{00000000-0010-0000-0000-0000DD230000}" name="Coluna9176"/>
    <tableColumn id="9182" xr3:uid="{00000000-0010-0000-0000-0000DE230000}" name="Coluna9177"/>
    <tableColumn id="9183" xr3:uid="{00000000-0010-0000-0000-0000DF230000}" name="Coluna9178"/>
    <tableColumn id="9184" xr3:uid="{00000000-0010-0000-0000-0000E0230000}" name="Coluna9179"/>
    <tableColumn id="9185" xr3:uid="{00000000-0010-0000-0000-0000E1230000}" name="Coluna9180"/>
    <tableColumn id="9186" xr3:uid="{00000000-0010-0000-0000-0000E2230000}" name="Coluna9181"/>
    <tableColumn id="9187" xr3:uid="{00000000-0010-0000-0000-0000E3230000}" name="Coluna9182"/>
    <tableColumn id="9188" xr3:uid="{00000000-0010-0000-0000-0000E4230000}" name="Coluna9183"/>
    <tableColumn id="9189" xr3:uid="{00000000-0010-0000-0000-0000E5230000}" name="Coluna9184"/>
    <tableColumn id="9190" xr3:uid="{00000000-0010-0000-0000-0000E6230000}" name="Coluna9185"/>
    <tableColumn id="9191" xr3:uid="{00000000-0010-0000-0000-0000E7230000}" name="Coluna9186"/>
    <tableColumn id="9192" xr3:uid="{00000000-0010-0000-0000-0000E8230000}" name="Coluna9187"/>
    <tableColumn id="9193" xr3:uid="{00000000-0010-0000-0000-0000E9230000}" name="Coluna9188"/>
    <tableColumn id="9194" xr3:uid="{00000000-0010-0000-0000-0000EA230000}" name="Coluna9189"/>
    <tableColumn id="9195" xr3:uid="{00000000-0010-0000-0000-0000EB230000}" name="Coluna9190"/>
    <tableColumn id="9196" xr3:uid="{00000000-0010-0000-0000-0000EC230000}" name="Coluna9191"/>
    <tableColumn id="9197" xr3:uid="{00000000-0010-0000-0000-0000ED230000}" name="Coluna9192"/>
    <tableColumn id="9198" xr3:uid="{00000000-0010-0000-0000-0000EE230000}" name="Coluna9193"/>
    <tableColumn id="9199" xr3:uid="{00000000-0010-0000-0000-0000EF230000}" name="Coluna9194"/>
    <tableColumn id="9200" xr3:uid="{00000000-0010-0000-0000-0000F0230000}" name="Coluna9195"/>
    <tableColumn id="9201" xr3:uid="{00000000-0010-0000-0000-0000F1230000}" name="Coluna9196"/>
    <tableColumn id="9202" xr3:uid="{00000000-0010-0000-0000-0000F2230000}" name="Coluna9197"/>
    <tableColumn id="9203" xr3:uid="{00000000-0010-0000-0000-0000F3230000}" name="Coluna9198"/>
    <tableColumn id="9204" xr3:uid="{00000000-0010-0000-0000-0000F4230000}" name="Coluna9199"/>
    <tableColumn id="9205" xr3:uid="{00000000-0010-0000-0000-0000F5230000}" name="Coluna9200"/>
    <tableColumn id="9206" xr3:uid="{00000000-0010-0000-0000-0000F6230000}" name="Coluna9201"/>
    <tableColumn id="9207" xr3:uid="{00000000-0010-0000-0000-0000F7230000}" name="Coluna9202"/>
    <tableColumn id="9208" xr3:uid="{00000000-0010-0000-0000-0000F8230000}" name="Coluna9203"/>
    <tableColumn id="9209" xr3:uid="{00000000-0010-0000-0000-0000F9230000}" name="Coluna9204"/>
    <tableColumn id="9210" xr3:uid="{00000000-0010-0000-0000-0000FA230000}" name="Coluna9205"/>
    <tableColumn id="9211" xr3:uid="{00000000-0010-0000-0000-0000FB230000}" name="Coluna9206"/>
    <tableColumn id="9212" xr3:uid="{00000000-0010-0000-0000-0000FC230000}" name="Coluna9207"/>
    <tableColumn id="9213" xr3:uid="{00000000-0010-0000-0000-0000FD230000}" name="Coluna9208"/>
    <tableColumn id="9214" xr3:uid="{00000000-0010-0000-0000-0000FE230000}" name="Coluna9209"/>
    <tableColumn id="9215" xr3:uid="{00000000-0010-0000-0000-0000FF230000}" name="Coluna9210"/>
    <tableColumn id="9216" xr3:uid="{00000000-0010-0000-0000-000000240000}" name="Coluna9211"/>
    <tableColumn id="9217" xr3:uid="{00000000-0010-0000-0000-000001240000}" name="Coluna9212"/>
    <tableColumn id="9218" xr3:uid="{00000000-0010-0000-0000-000002240000}" name="Coluna9213"/>
    <tableColumn id="9219" xr3:uid="{00000000-0010-0000-0000-000003240000}" name="Coluna9214"/>
    <tableColumn id="9220" xr3:uid="{00000000-0010-0000-0000-000004240000}" name="Coluna9215"/>
    <tableColumn id="9221" xr3:uid="{00000000-0010-0000-0000-000005240000}" name="Coluna9216"/>
    <tableColumn id="9222" xr3:uid="{00000000-0010-0000-0000-000006240000}" name="Coluna9217"/>
    <tableColumn id="9223" xr3:uid="{00000000-0010-0000-0000-000007240000}" name="Coluna9218"/>
    <tableColumn id="9224" xr3:uid="{00000000-0010-0000-0000-000008240000}" name="Coluna9219"/>
    <tableColumn id="9225" xr3:uid="{00000000-0010-0000-0000-000009240000}" name="Coluna9220"/>
    <tableColumn id="9226" xr3:uid="{00000000-0010-0000-0000-00000A240000}" name="Coluna9221"/>
    <tableColumn id="9227" xr3:uid="{00000000-0010-0000-0000-00000B240000}" name="Coluna9222"/>
    <tableColumn id="9228" xr3:uid="{00000000-0010-0000-0000-00000C240000}" name="Coluna9223"/>
    <tableColumn id="9229" xr3:uid="{00000000-0010-0000-0000-00000D240000}" name="Coluna9224"/>
    <tableColumn id="9230" xr3:uid="{00000000-0010-0000-0000-00000E240000}" name="Coluna9225"/>
    <tableColumn id="9231" xr3:uid="{00000000-0010-0000-0000-00000F240000}" name="Coluna9226"/>
    <tableColumn id="9232" xr3:uid="{00000000-0010-0000-0000-000010240000}" name="Coluna9227"/>
    <tableColumn id="9233" xr3:uid="{00000000-0010-0000-0000-000011240000}" name="Coluna9228"/>
    <tableColumn id="9234" xr3:uid="{00000000-0010-0000-0000-000012240000}" name="Coluna9229"/>
    <tableColumn id="9235" xr3:uid="{00000000-0010-0000-0000-000013240000}" name="Coluna9230"/>
    <tableColumn id="9236" xr3:uid="{00000000-0010-0000-0000-000014240000}" name="Coluna9231"/>
    <tableColumn id="9237" xr3:uid="{00000000-0010-0000-0000-000015240000}" name="Coluna9232"/>
    <tableColumn id="9238" xr3:uid="{00000000-0010-0000-0000-000016240000}" name="Coluna9233"/>
    <tableColumn id="9239" xr3:uid="{00000000-0010-0000-0000-000017240000}" name="Coluna9234"/>
    <tableColumn id="9240" xr3:uid="{00000000-0010-0000-0000-000018240000}" name="Coluna9235"/>
    <tableColumn id="9241" xr3:uid="{00000000-0010-0000-0000-000019240000}" name="Coluna9236"/>
    <tableColumn id="9242" xr3:uid="{00000000-0010-0000-0000-00001A240000}" name="Coluna9237"/>
    <tableColumn id="9243" xr3:uid="{00000000-0010-0000-0000-00001B240000}" name="Coluna9238"/>
    <tableColumn id="9244" xr3:uid="{00000000-0010-0000-0000-00001C240000}" name="Coluna9239"/>
    <tableColumn id="9245" xr3:uid="{00000000-0010-0000-0000-00001D240000}" name="Coluna9240"/>
    <tableColumn id="9246" xr3:uid="{00000000-0010-0000-0000-00001E240000}" name="Coluna9241"/>
    <tableColumn id="9247" xr3:uid="{00000000-0010-0000-0000-00001F240000}" name="Coluna9242"/>
    <tableColumn id="9248" xr3:uid="{00000000-0010-0000-0000-000020240000}" name="Coluna9243"/>
    <tableColumn id="9249" xr3:uid="{00000000-0010-0000-0000-000021240000}" name="Coluna9244"/>
    <tableColumn id="9250" xr3:uid="{00000000-0010-0000-0000-000022240000}" name="Coluna9245"/>
    <tableColumn id="9251" xr3:uid="{00000000-0010-0000-0000-000023240000}" name="Coluna9246"/>
    <tableColumn id="9252" xr3:uid="{00000000-0010-0000-0000-000024240000}" name="Coluna9247"/>
    <tableColumn id="9253" xr3:uid="{00000000-0010-0000-0000-000025240000}" name="Coluna9248"/>
    <tableColumn id="9254" xr3:uid="{00000000-0010-0000-0000-000026240000}" name="Coluna9249"/>
    <tableColumn id="9255" xr3:uid="{00000000-0010-0000-0000-000027240000}" name="Coluna9250"/>
    <tableColumn id="9256" xr3:uid="{00000000-0010-0000-0000-000028240000}" name="Coluna9251"/>
    <tableColumn id="9257" xr3:uid="{00000000-0010-0000-0000-000029240000}" name="Coluna9252"/>
    <tableColumn id="9258" xr3:uid="{00000000-0010-0000-0000-00002A240000}" name="Coluna9253"/>
    <tableColumn id="9259" xr3:uid="{00000000-0010-0000-0000-00002B240000}" name="Coluna9254"/>
    <tableColumn id="9260" xr3:uid="{00000000-0010-0000-0000-00002C240000}" name="Coluna9255"/>
    <tableColumn id="9261" xr3:uid="{00000000-0010-0000-0000-00002D240000}" name="Coluna9256"/>
    <tableColumn id="9262" xr3:uid="{00000000-0010-0000-0000-00002E240000}" name="Coluna9257"/>
    <tableColumn id="9263" xr3:uid="{00000000-0010-0000-0000-00002F240000}" name="Coluna9258"/>
    <tableColumn id="9264" xr3:uid="{00000000-0010-0000-0000-000030240000}" name="Coluna9259"/>
    <tableColumn id="9265" xr3:uid="{00000000-0010-0000-0000-000031240000}" name="Coluna9260"/>
    <tableColumn id="9266" xr3:uid="{00000000-0010-0000-0000-000032240000}" name="Coluna9261"/>
    <tableColumn id="9267" xr3:uid="{00000000-0010-0000-0000-000033240000}" name="Coluna9262"/>
    <tableColumn id="9268" xr3:uid="{00000000-0010-0000-0000-000034240000}" name="Coluna9263"/>
    <tableColumn id="9269" xr3:uid="{00000000-0010-0000-0000-000035240000}" name="Coluna9264"/>
    <tableColumn id="9270" xr3:uid="{00000000-0010-0000-0000-000036240000}" name="Coluna9265"/>
    <tableColumn id="9271" xr3:uid="{00000000-0010-0000-0000-000037240000}" name="Coluna9266"/>
    <tableColumn id="9272" xr3:uid="{00000000-0010-0000-0000-000038240000}" name="Coluna9267"/>
    <tableColumn id="9273" xr3:uid="{00000000-0010-0000-0000-000039240000}" name="Coluna9268"/>
    <tableColumn id="9274" xr3:uid="{00000000-0010-0000-0000-00003A240000}" name="Coluna9269"/>
    <tableColumn id="9275" xr3:uid="{00000000-0010-0000-0000-00003B240000}" name="Coluna9270"/>
    <tableColumn id="9276" xr3:uid="{00000000-0010-0000-0000-00003C240000}" name="Coluna9271"/>
    <tableColumn id="9277" xr3:uid="{00000000-0010-0000-0000-00003D240000}" name="Coluna9272"/>
    <tableColumn id="9278" xr3:uid="{00000000-0010-0000-0000-00003E240000}" name="Coluna9273"/>
    <tableColumn id="9279" xr3:uid="{00000000-0010-0000-0000-00003F240000}" name="Coluna9274"/>
    <tableColumn id="9280" xr3:uid="{00000000-0010-0000-0000-000040240000}" name="Coluna9275"/>
    <tableColumn id="9281" xr3:uid="{00000000-0010-0000-0000-000041240000}" name="Coluna9276"/>
    <tableColumn id="9282" xr3:uid="{00000000-0010-0000-0000-000042240000}" name="Coluna9277"/>
    <tableColumn id="9283" xr3:uid="{00000000-0010-0000-0000-000043240000}" name="Coluna9278"/>
    <tableColumn id="9284" xr3:uid="{00000000-0010-0000-0000-000044240000}" name="Coluna9279"/>
    <tableColumn id="9285" xr3:uid="{00000000-0010-0000-0000-000045240000}" name="Coluna9280"/>
    <tableColumn id="9286" xr3:uid="{00000000-0010-0000-0000-000046240000}" name="Coluna9281"/>
    <tableColumn id="9287" xr3:uid="{00000000-0010-0000-0000-000047240000}" name="Coluna9282"/>
    <tableColumn id="9288" xr3:uid="{00000000-0010-0000-0000-000048240000}" name="Coluna9283"/>
    <tableColumn id="9289" xr3:uid="{00000000-0010-0000-0000-000049240000}" name="Coluna9284"/>
    <tableColumn id="9290" xr3:uid="{00000000-0010-0000-0000-00004A240000}" name="Coluna9285"/>
    <tableColumn id="9291" xr3:uid="{00000000-0010-0000-0000-00004B240000}" name="Coluna9286"/>
    <tableColumn id="9292" xr3:uid="{00000000-0010-0000-0000-00004C240000}" name="Coluna9287"/>
    <tableColumn id="9293" xr3:uid="{00000000-0010-0000-0000-00004D240000}" name="Coluna9288"/>
    <tableColumn id="9294" xr3:uid="{00000000-0010-0000-0000-00004E240000}" name="Coluna9289"/>
    <tableColumn id="9295" xr3:uid="{00000000-0010-0000-0000-00004F240000}" name="Coluna9290"/>
    <tableColumn id="9296" xr3:uid="{00000000-0010-0000-0000-000050240000}" name="Coluna9291"/>
    <tableColumn id="9297" xr3:uid="{00000000-0010-0000-0000-000051240000}" name="Coluna9292"/>
    <tableColumn id="9298" xr3:uid="{00000000-0010-0000-0000-000052240000}" name="Coluna9293"/>
    <tableColumn id="9299" xr3:uid="{00000000-0010-0000-0000-000053240000}" name="Coluna9294"/>
    <tableColumn id="9300" xr3:uid="{00000000-0010-0000-0000-000054240000}" name="Coluna9295"/>
    <tableColumn id="9301" xr3:uid="{00000000-0010-0000-0000-000055240000}" name="Coluna9296"/>
    <tableColumn id="9302" xr3:uid="{00000000-0010-0000-0000-000056240000}" name="Coluna9297"/>
    <tableColumn id="9303" xr3:uid="{00000000-0010-0000-0000-000057240000}" name="Coluna9298"/>
    <tableColumn id="9304" xr3:uid="{00000000-0010-0000-0000-000058240000}" name="Coluna9299"/>
    <tableColumn id="9305" xr3:uid="{00000000-0010-0000-0000-000059240000}" name="Coluna9300"/>
    <tableColumn id="9306" xr3:uid="{00000000-0010-0000-0000-00005A240000}" name="Coluna9301"/>
    <tableColumn id="9307" xr3:uid="{00000000-0010-0000-0000-00005B240000}" name="Coluna9302"/>
    <tableColumn id="9308" xr3:uid="{00000000-0010-0000-0000-00005C240000}" name="Coluna9303"/>
    <tableColumn id="9309" xr3:uid="{00000000-0010-0000-0000-00005D240000}" name="Coluna9304"/>
    <tableColumn id="9310" xr3:uid="{00000000-0010-0000-0000-00005E240000}" name="Coluna9305"/>
    <tableColumn id="9311" xr3:uid="{00000000-0010-0000-0000-00005F240000}" name="Coluna9306"/>
    <tableColumn id="9312" xr3:uid="{00000000-0010-0000-0000-000060240000}" name="Coluna9307"/>
    <tableColumn id="9313" xr3:uid="{00000000-0010-0000-0000-000061240000}" name="Coluna9308"/>
    <tableColumn id="9314" xr3:uid="{00000000-0010-0000-0000-000062240000}" name="Coluna9309"/>
    <tableColumn id="9315" xr3:uid="{00000000-0010-0000-0000-000063240000}" name="Coluna9310"/>
    <tableColumn id="9316" xr3:uid="{00000000-0010-0000-0000-000064240000}" name="Coluna9311"/>
    <tableColumn id="9317" xr3:uid="{00000000-0010-0000-0000-000065240000}" name="Coluna9312"/>
    <tableColumn id="9318" xr3:uid="{00000000-0010-0000-0000-000066240000}" name="Coluna9313"/>
    <tableColumn id="9319" xr3:uid="{00000000-0010-0000-0000-000067240000}" name="Coluna9314"/>
    <tableColumn id="9320" xr3:uid="{00000000-0010-0000-0000-000068240000}" name="Coluna9315"/>
    <tableColumn id="9321" xr3:uid="{00000000-0010-0000-0000-000069240000}" name="Coluna9316"/>
    <tableColumn id="9322" xr3:uid="{00000000-0010-0000-0000-00006A240000}" name="Coluna9317"/>
    <tableColumn id="9323" xr3:uid="{00000000-0010-0000-0000-00006B240000}" name="Coluna9318"/>
    <tableColumn id="9324" xr3:uid="{00000000-0010-0000-0000-00006C240000}" name="Coluna9319"/>
    <tableColumn id="9325" xr3:uid="{00000000-0010-0000-0000-00006D240000}" name="Coluna9320"/>
    <tableColumn id="9326" xr3:uid="{00000000-0010-0000-0000-00006E240000}" name="Coluna9321"/>
    <tableColumn id="9327" xr3:uid="{00000000-0010-0000-0000-00006F240000}" name="Coluna9322"/>
    <tableColumn id="9328" xr3:uid="{00000000-0010-0000-0000-000070240000}" name="Coluna9323"/>
    <tableColumn id="9329" xr3:uid="{00000000-0010-0000-0000-000071240000}" name="Coluna9324"/>
    <tableColumn id="9330" xr3:uid="{00000000-0010-0000-0000-000072240000}" name="Coluna9325"/>
    <tableColumn id="9331" xr3:uid="{00000000-0010-0000-0000-000073240000}" name="Coluna9326"/>
    <tableColumn id="9332" xr3:uid="{00000000-0010-0000-0000-000074240000}" name="Coluna9327"/>
    <tableColumn id="9333" xr3:uid="{00000000-0010-0000-0000-000075240000}" name="Coluna9328"/>
    <tableColumn id="9334" xr3:uid="{00000000-0010-0000-0000-000076240000}" name="Coluna9329"/>
    <tableColumn id="9335" xr3:uid="{00000000-0010-0000-0000-000077240000}" name="Coluna9330"/>
    <tableColumn id="9336" xr3:uid="{00000000-0010-0000-0000-000078240000}" name="Coluna9331"/>
    <tableColumn id="9337" xr3:uid="{00000000-0010-0000-0000-000079240000}" name="Coluna9332"/>
    <tableColumn id="9338" xr3:uid="{00000000-0010-0000-0000-00007A240000}" name="Coluna9333"/>
    <tableColumn id="9339" xr3:uid="{00000000-0010-0000-0000-00007B240000}" name="Coluna9334"/>
    <tableColumn id="9340" xr3:uid="{00000000-0010-0000-0000-00007C240000}" name="Coluna9335"/>
    <tableColumn id="9341" xr3:uid="{00000000-0010-0000-0000-00007D240000}" name="Coluna9336"/>
    <tableColumn id="9342" xr3:uid="{00000000-0010-0000-0000-00007E240000}" name="Coluna9337"/>
    <tableColumn id="9343" xr3:uid="{00000000-0010-0000-0000-00007F240000}" name="Coluna9338"/>
    <tableColumn id="9344" xr3:uid="{00000000-0010-0000-0000-000080240000}" name="Coluna9339"/>
    <tableColumn id="9345" xr3:uid="{00000000-0010-0000-0000-000081240000}" name="Coluna9340"/>
    <tableColumn id="9346" xr3:uid="{00000000-0010-0000-0000-000082240000}" name="Coluna9341"/>
    <tableColumn id="9347" xr3:uid="{00000000-0010-0000-0000-000083240000}" name="Coluna9342"/>
    <tableColumn id="9348" xr3:uid="{00000000-0010-0000-0000-000084240000}" name="Coluna9343"/>
    <tableColumn id="9349" xr3:uid="{00000000-0010-0000-0000-000085240000}" name="Coluna9344"/>
    <tableColumn id="9350" xr3:uid="{00000000-0010-0000-0000-000086240000}" name="Coluna9345"/>
    <tableColumn id="9351" xr3:uid="{00000000-0010-0000-0000-000087240000}" name="Coluna9346"/>
    <tableColumn id="9352" xr3:uid="{00000000-0010-0000-0000-000088240000}" name="Coluna9347"/>
    <tableColumn id="9353" xr3:uid="{00000000-0010-0000-0000-000089240000}" name="Coluna9348"/>
    <tableColumn id="9354" xr3:uid="{00000000-0010-0000-0000-00008A240000}" name="Coluna9349"/>
    <tableColumn id="9355" xr3:uid="{00000000-0010-0000-0000-00008B240000}" name="Coluna9350"/>
    <tableColumn id="9356" xr3:uid="{00000000-0010-0000-0000-00008C240000}" name="Coluna9351"/>
    <tableColumn id="9357" xr3:uid="{00000000-0010-0000-0000-00008D240000}" name="Coluna9352"/>
    <tableColumn id="9358" xr3:uid="{00000000-0010-0000-0000-00008E240000}" name="Coluna9353"/>
    <tableColumn id="9359" xr3:uid="{00000000-0010-0000-0000-00008F240000}" name="Coluna9354"/>
    <tableColumn id="9360" xr3:uid="{00000000-0010-0000-0000-000090240000}" name="Coluna9355"/>
    <tableColumn id="9361" xr3:uid="{00000000-0010-0000-0000-000091240000}" name="Coluna9356"/>
    <tableColumn id="9362" xr3:uid="{00000000-0010-0000-0000-000092240000}" name="Coluna9357"/>
    <tableColumn id="9363" xr3:uid="{00000000-0010-0000-0000-000093240000}" name="Coluna9358"/>
    <tableColumn id="9364" xr3:uid="{00000000-0010-0000-0000-000094240000}" name="Coluna9359"/>
    <tableColumn id="9365" xr3:uid="{00000000-0010-0000-0000-000095240000}" name="Coluna9360"/>
    <tableColumn id="9366" xr3:uid="{00000000-0010-0000-0000-000096240000}" name="Coluna9361"/>
    <tableColumn id="9367" xr3:uid="{00000000-0010-0000-0000-000097240000}" name="Coluna9362"/>
    <tableColumn id="9368" xr3:uid="{00000000-0010-0000-0000-000098240000}" name="Coluna9363"/>
    <tableColumn id="9369" xr3:uid="{00000000-0010-0000-0000-000099240000}" name="Coluna9364"/>
    <tableColumn id="9370" xr3:uid="{00000000-0010-0000-0000-00009A240000}" name="Coluna9365"/>
    <tableColumn id="9371" xr3:uid="{00000000-0010-0000-0000-00009B240000}" name="Coluna9366"/>
    <tableColumn id="9372" xr3:uid="{00000000-0010-0000-0000-00009C240000}" name="Coluna9367"/>
    <tableColumn id="9373" xr3:uid="{00000000-0010-0000-0000-00009D240000}" name="Coluna9368"/>
    <tableColumn id="9374" xr3:uid="{00000000-0010-0000-0000-00009E240000}" name="Coluna9369"/>
    <tableColumn id="9375" xr3:uid="{00000000-0010-0000-0000-00009F240000}" name="Coluna9370"/>
    <tableColumn id="9376" xr3:uid="{00000000-0010-0000-0000-0000A0240000}" name="Coluna9371"/>
    <tableColumn id="9377" xr3:uid="{00000000-0010-0000-0000-0000A1240000}" name="Coluna9372"/>
    <tableColumn id="9378" xr3:uid="{00000000-0010-0000-0000-0000A2240000}" name="Coluna9373"/>
    <tableColumn id="9379" xr3:uid="{00000000-0010-0000-0000-0000A3240000}" name="Coluna9374"/>
    <tableColumn id="9380" xr3:uid="{00000000-0010-0000-0000-0000A4240000}" name="Coluna9375"/>
    <tableColumn id="9381" xr3:uid="{00000000-0010-0000-0000-0000A5240000}" name="Coluna9376"/>
    <tableColumn id="9382" xr3:uid="{00000000-0010-0000-0000-0000A6240000}" name="Coluna9377"/>
    <tableColumn id="9383" xr3:uid="{00000000-0010-0000-0000-0000A7240000}" name="Coluna9378"/>
    <tableColumn id="9384" xr3:uid="{00000000-0010-0000-0000-0000A8240000}" name="Coluna9379"/>
    <tableColumn id="9385" xr3:uid="{00000000-0010-0000-0000-0000A9240000}" name="Coluna9380"/>
    <tableColumn id="9386" xr3:uid="{00000000-0010-0000-0000-0000AA240000}" name="Coluna9381"/>
    <tableColumn id="9387" xr3:uid="{00000000-0010-0000-0000-0000AB240000}" name="Coluna9382"/>
    <tableColumn id="9388" xr3:uid="{00000000-0010-0000-0000-0000AC240000}" name="Coluna9383"/>
    <tableColumn id="9389" xr3:uid="{00000000-0010-0000-0000-0000AD240000}" name="Coluna9384"/>
    <tableColumn id="9390" xr3:uid="{00000000-0010-0000-0000-0000AE240000}" name="Coluna9385"/>
    <tableColumn id="9391" xr3:uid="{00000000-0010-0000-0000-0000AF240000}" name="Coluna9386"/>
    <tableColumn id="9392" xr3:uid="{00000000-0010-0000-0000-0000B0240000}" name="Coluna9387"/>
    <tableColumn id="9393" xr3:uid="{00000000-0010-0000-0000-0000B1240000}" name="Coluna9388"/>
    <tableColumn id="9394" xr3:uid="{00000000-0010-0000-0000-0000B2240000}" name="Coluna9389"/>
    <tableColumn id="9395" xr3:uid="{00000000-0010-0000-0000-0000B3240000}" name="Coluna9390"/>
    <tableColumn id="9396" xr3:uid="{00000000-0010-0000-0000-0000B4240000}" name="Coluna9391"/>
    <tableColumn id="9397" xr3:uid="{00000000-0010-0000-0000-0000B5240000}" name="Coluna9392"/>
    <tableColumn id="9398" xr3:uid="{00000000-0010-0000-0000-0000B6240000}" name="Coluna9393"/>
    <tableColumn id="9399" xr3:uid="{00000000-0010-0000-0000-0000B7240000}" name="Coluna9394"/>
    <tableColumn id="9400" xr3:uid="{00000000-0010-0000-0000-0000B8240000}" name="Coluna9395"/>
    <tableColumn id="9401" xr3:uid="{00000000-0010-0000-0000-0000B9240000}" name="Coluna9396"/>
    <tableColumn id="9402" xr3:uid="{00000000-0010-0000-0000-0000BA240000}" name="Coluna9397"/>
    <tableColumn id="9403" xr3:uid="{00000000-0010-0000-0000-0000BB240000}" name="Coluna9398"/>
    <tableColumn id="9404" xr3:uid="{00000000-0010-0000-0000-0000BC240000}" name="Coluna9399"/>
    <tableColumn id="9405" xr3:uid="{00000000-0010-0000-0000-0000BD240000}" name="Coluna9400"/>
    <tableColumn id="9406" xr3:uid="{00000000-0010-0000-0000-0000BE240000}" name="Coluna9401"/>
    <tableColumn id="9407" xr3:uid="{00000000-0010-0000-0000-0000BF240000}" name="Coluna9402"/>
    <tableColumn id="9408" xr3:uid="{00000000-0010-0000-0000-0000C0240000}" name="Coluna9403"/>
    <tableColumn id="9409" xr3:uid="{00000000-0010-0000-0000-0000C1240000}" name="Coluna9404"/>
    <tableColumn id="9410" xr3:uid="{00000000-0010-0000-0000-0000C2240000}" name="Coluna9405"/>
    <tableColumn id="9411" xr3:uid="{00000000-0010-0000-0000-0000C3240000}" name="Coluna9406"/>
    <tableColumn id="9412" xr3:uid="{00000000-0010-0000-0000-0000C4240000}" name="Coluna9407"/>
    <tableColumn id="9413" xr3:uid="{00000000-0010-0000-0000-0000C5240000}" name="Coluna9408"/>
    <tableColumn id="9414" xr3:uid="{00000000-0010-0000-0000-0000C6240000}" name="Coluna9409"/>
    <tableColumn id="9415" xr3:uid="{00000000-0010-0000-0000-0000C7240000}" name="Coluna9410"/>
    <tableColumn id="9416" xr3:uid="{00000000-0010-0000-0000-0000C8240000}" name="Coluna9411"/>
    <tableColumn id="9417" xr3:uid="{00000000-0010-0000-0000-0000C9240000}" name="Coluna9412"/>
    <tableColumn id="9418" xr3:uid="{00000000-0010-0000-0000-0000CA240000}" name="Coluna9413"/>
    <tableColumn id="9419" xr3:uid="{00000000-0010-0000-0000-0000CB240000}" name="Coluna9414"/>
    <tableColumn id="9420" xr3:uid="{00000000-0010-0000-0000-0000CC240000}" name="Coluna9415"/>
    <tableColumn id="9421" xr3:uid="{00000000-0010-0000-0000-0000CD240000}" name="Coluna9416"/>
    <tableColumn id="9422" xr3:uid="{00000000-0010-0000-0000-0000CE240000}" name="Coluna9417"/>
    <tableColumn id="9423" xr3:uid="{00000000-0010-0000-0000-0000CF240000}" name="Coluna9418"/>
    <tableColumn id="9424" xr3:uid="{00000000-0010-0000-0000-0000D0240000}" name="Coluna9419"/>
    <tableColumn id="9425" xr3:uid="{00000000-0010-0000-0000-0000D1240000}" name="Coluna9420"/>
    <tableColumn id="9426" xr3:uid="{00000000-0010-0000-0000-0000D2240000}" name="Coluna9421"/>
    <tableColumn id="9427" xr3:uid="{00000000-0010-0000-0000-0000D3240000}" name="Coluna9422"/>
    <tableColumn id="9428" xr3:uid="{00000000-0010-0000-0000-0000D4240000}" name="Coluna9423"/>
    <tableColumn id="9429" xr3:uid="{00000000-0010-0000-0000-0000D5240000}" name="Coluna9424"/>
    <tableColumn id="9430" xr3:uid="{00000000-0010-0000-0000-0000D6240000}" name="Coluna9425"/>
    <tableColumn id="9431" xr3:uid="{00000000-0010-0000-0000-0000D7240000}" name="Coluna9426"/>
    <tableColumn id="9432" xr3:uid="{00000000-0010-0000-0000-0000D8240000}" name="Coluna9427"/>
    <tableColumn id="9433" xr3:uid="{00000000-0010-0000-0000-0000D9240000}" name="Coluna9428"/>
    <tableColumn id="9434" xr3:uid="{00000000-0010-0000-0000-0000DA240000}" name="Coluna9429"/>
    <tableColumn id="9435" xr3:uid="{00000000-0010-0000-0000-0000DB240000}" name="Coluna9430"/>
    <tableColumn id="9436" xr3:uid="{00000000-0010-0000-0000-0000DC240000}" name="Coluna9431"/>
    <tableColumn id="9437" xr3:uid="{00000000-0010-0000-0000-0000DD240000}" name="Coluna9432"/>
    <tableColumn id="9438" xr3:uid="{00000000-0010-0000-0000-0000DE240000}" name="Coluna9433"/>
    <tableColumn id="9439" xr3:uid="{00000000-0010-0000-0000-0000DF240000}" name="Coluna9434"/>
    <tableColumn id="9440" xr3:uid="{00000000-0010-0000-0000-0000E0240000}" name="Coluna9435"/>
    <tableColumn id="9441" xr3:uid="{00000000-0010-0000-0000-0000E1240000}" name="Coluna9436"/>
    <tableColumn id="9442" xr3:uid="{00000000-0010-0000-0000-0000E2240000}" name="Coluna9437"/>
    <tableColumn id="9443" xr3:uid="{00000000-0010-0000-0000-0000E3240000}" name="Coluna9438"/>
    <tableColumn id="9444" xr3:uid="{00000000-0010-0000-0000-0000E4240000}" name="Coluna9439"/>
    <tableColumn id="9445" xr3:uid="{00000000-0010-0000-0000-0000E5240000}" name="Coluna9440"/>
    <tableColumn id="9446" xr3:uid="{00000000-0010-0000-0000-0000E6240000}" name="Coluna9441"/>
    <tableColumn id="9447" xr3:uid="{00000000-0010-0000-0000-0000E7240000}" name="Coluna9442"/>
    <tableColumn id="9448" xr3:uid="{00000000-0010-0000-0000-0000E8240000}" name="Coluna9443"/>
    <tableColumn id="9449" xr3:uid="{00000000-0010-0000-0000-0000E9240000}" name="Coluna9444"/>
    <tableColumn id="9450" xr3:uid="{00000000-0010-0000-0000-0000EA240000}" name="Coluna9445"/>
    <tableColumn id="9451" xr3:uid="{00000000-0010-0000-0000-0000EB240000}" name="Coluna9446"/>
    <tableColumn id="9452" xr3:uid="{00000000-0010-0000-0000-0000EC240000}" name="Coluna9447"/>
    <tableColumn id="9453" xr3:uid="{00000000-0010-0000-0000-0000ED240000}" name="Coluna9448"/>
    <tableColumn id="9454" xr3:uid="{00000000-0010-0000-0000-0000EE240000}" name="Coluna9449"/>
    <tableColumn id="9455" xr3:uid="{00000000-0010-0000-0000-0000EF240000}" name="Coluna9450"/>
    <tableColumn id="9456" xr3:uid="{00000000-0010-0000-0000-0000F0240000}" name="Coluna9451"/>
    <tableColumn id="9457" xr3:uid="{00000000-0010-0000-0000-0000F1240000}" name="Coluna9452"/>
    <tableColumn id="9458" xr3:uid="{00000000-0010-0000-0000-0000F2240000}" name="Coluna9453"/>
    <tableColumn id="9459" xr3:uid="{00000000-0010-0000-0000-0000F3240000}" name="Coluna9454"/>
    <tableColumn id="9460" xr3:uid="{00000000-0010-0000-0000-0000F4240000}" name="Coluna9455"/>
    <tableColumn id="9461" xr3:uid="{00000000-0010-0000-0000-0000F5240000}" name="Coluna9456"/>
    <tableColumn id="9462" xr3:uid="{00000000-0010-0000-0000-0000F6240000}" name="Coluna9457"/>
    <tableColumn id="9463" xr3:uid="{00000000-0010-0000-0000-0000F7240000}" name="Coluna9458"/>
    <tableColumn id="9464" xr3:uid="{00000000-0010-0000-0000-0000F8240000}" name="Coluna9459"/>
    <tableColumn id="9465" xr3:uid="{00000000-0010-0000-0000-0000F9240000}" name="Coluna9460"/>
    <tableColumn id="9466" xr3:uid="{00000000-0010-0000-0000-0000FA240000}" name="Coluna9461"/>
    <tableColumn id="9467" xr3:uid="{00000000-0010-0000-0000-0000FB240000}" name="Coluna9462"/>
    <tableColumn id="9468" xr3:uid="{00000000-0010-0000-0000-0000FC240000}" name="Coluna9463"/>
    <tableColumn id="9469" xr3:uid="{00000000-0010-0000-0000-0000FD240000}" name="Coluna9464"/>
    <tableColumn id="9470" xr3:uid="{00000000-0010-0000-0000-0000FE240000}" name="Coluna9465"/>
    <tableColumn id="9471" xr3:uid="{00000000-0010-0000-0000-0000FF240000}" name="Coluna9466"/>
    <tableColumn id="9472" xr3:uid="{00000000-0010-0000-0000-000000250000}" name="Coluna9467"/>
    <tableColumn id="9473" xr3:uid="{00000000-0010-0000-0000-000001250000}" name="Coluna9468"/>
    <tableColumn id="9474" xr3:uid="{00000000-0010-0000-0000-000002250000}" name="Coluna9469"/>
    <tableColumn id="9475" xr3:uid="{00000000-0010-0000-0000-000003250000}" name="Coluna9470"/>
    <tableColumn id="9476" xr3:uid="{00000000-0010-0000-0000-000004250000}" name="Coluna9471"/>
    <tableColumn id="9477" xr3:uid="{00000000-0010-0000-0000-000005250000}" name="Coluna9472"/>
    <tableColumn id="9478" xr3:uid="{00000000-0010-0000-0000-000006250000}" name="Coluna9473"/>
    <tableColumn id="9479" xr3:uid="{00000000-0010-0000-0000-000007250000}" name="Coluna9474"/>
    <tableColumn id="9480" xr3:uid="{00000000-0010-0000-0000-000008250000}" name="Coluna9475"/>
    <tableColumn id="9481" xr3:uid="{00000000-0010-0000-0000-000009250000}" name="Coluna9476"/>
    <tableColumn id="9482" xr3:uid="{00000000-0010-0000-0000-00000A250000}" name="Coluna9477"/>
    <tableColumn id="9483" xr3:uid="{00000000-0010-0000-0000-00000B250000}" name="Coluna9478"/>
    <tableColumn id="9484" xr3:uid="{00000000-0010-0000-0000-00000C250000}" name="Coluna9479"/>
    <tableColumn id="9485" xr3:uid="{00000000-0010-0000-0000-00000D250000}" name="Coluna9480"/>
    <tableColumn id="9486" xr3:uid="{00000000-0010-0000-0000-00000E250000}" name="Coluna9481"/>
    <tableColumn id="9487" xr3:uid="{00000000-0010-0000-0000-00000F250000}" name="Coluna9482"/>
    <tableColumn id="9488" xr3:uid="{00000000-0010-0000-0000-000010250000}" name="Coluna9483"/>
    <tableColumn id="9489" xr3:uid="{00000000-0010-0000-0000-000011250000}" name="Coluna9484"/>
    <tableColumn id="9490" xr3:uid="{00000000-0010-0000-0000-000012250000}" name="Coluna9485"/>
    <tableColumn id="9491" xr3:uid="{00000000-0010-0000-0000-000013250000}" name="Coluna9486"/>
    <tableColumn id="9492" xr3:uid="{00000000-0010-0000-0000-000014250000}" name="Coluna9487"/>
    <tableColumn id="9493" xr3:uid="{00000000-0010-0000-0000-000015250000}" name="Coluna9488"/>
    <tableColumn id="9494" xr3:uid="{00000000-0010-0000-0000-000016250000}" name="Coluna9489"/>
    <tableColumn id="9495" xr3:uid="{00000000-0010-0000-0000-000017250000}" name="Coluna9490"/>
    <tableColumn id="9496" xr3:uid="{00000000-0010-0000-0000-000018250000}" name="Coluna9491"/>
    <tableColumn id="9497" xr3:uid="{00000000-0010-0000-0000-000019250000}" name="Coluna9492"/>
    <tableColumn id="9498" xr3:uid="{00000000-0010-0000-0000-00001A250000}" name="Coluna9493"/>
    <tableColumn id="9499" xr3:uid="{00000000-0010-0000-0000-00001B250000}" name="Coluna9494"/>
    <tableColumn id="9500" xr3:uid="{00000000-0010-0000-0000-00001C250000}" name="Coluna9495"/>
    <tableColumn id="9501" xr3:uid="{00000000-0010-0000-0000-00001D250000}" name="Coluna9496"/>
    <tableColumn id="9502" xr3:uid="{00000000-0010-0000-0000-00001E250000}" name="Coluna9497"/>
    <tableColumn id="9503" xr3:uid="{00000000-0010-0000-0000-00001F250000}" name="Coluna9498"/>
    <tableColumn id="9504" xr3:uid="{00000000-0010-0000-0000-000020250000}" name="Coluna9499"/>
    <tableColumn id="9505" xr3:uid="{00000000-0010-0000-0000-000021250000}" name="Coluna9500"/>
    <tableColumn id="9506" xr3:uid="{00000000-0010-0000-0000-000022250000}" name="Coluna9501"/>
    <tableColumn id="9507" xr3:uid="{00000000-0010-0000-0000-000023250000}" name="Coluna9502"/>
    <tableColumn id="9508" xr3:uid="{00000000-0010-0000-0000-000024250000}" name="Coluna9503"/>
    <tableColumn id="9509" xr3:uid="{00000000-0010-0000-0000-000025250000}" name="Coluna9504"/>
    <tableColumn id="9510" xr3:uid="{00000000-0010-0000-0000-000026250000}" name="Coluna9505"/>
    <tableColumn id="9511" xr3:uid="{00000000-0010-0000-0000-000027250000}" name="Coluna9506"/>
    <tableColumn id="9512" xr3:uid="{00000000-0010-0000-0000-000028250000}" name="Coluna9507"/>
    <tableColumn id="9513" xr3:uid="{00000000-0010-0000-0000-000029250000}" name="Coluna9508"/>
    <tableColumn id="9514" xr3:uid="{00000000-0010-0000-0000-00002A250000}" name="Coluna9509"/>
    <tableColumn id="9515" xr3:uid="{00000000-0010-0000-0000-00002B250000}" name="Coluna9510"/>
    <tableColumn id="9516" xr3:uid="{00000000-0010-0000-0000-00002C250000}" name="Coluna9511"/>
    <tableColumn id="9517" xr3:uid="{00000000-0010-0000-0000-00002D250000}" name="Coluna9512"/>
    <tableColumn id="9518" xr3:uid="{00000000-0010-0000-0000-00002E250000}" name="Coluna9513"/>
    <tableColumn id="9519" xr3:uid="{00000000-0010-0000-0000-00002F250000}" name="Coluna9514"/>
    <tableColumn id="9520" xr3:uid="{00000000-0010-0000-0000-000030250000}" name="Coluna9515"/>
    <tableColumn id="9521" xr3:uid="{00000000-0010-0000-0000-000031250000}" name="Coluna9516"/>
    <tableColumn id="9522" xr3:uid="{00000000-0010-0000-0000-000032250000}" name="Coluna9517"/>
    <tableColumn id="9523" xr3:uid="{00000000-0010-0000-0000-000033250000}" name="Coluna9518"/>
    <tableColumn id="9524" xr3:uid="{00000000-0010-0000-0000-000034250000}" name="Coluna9519"/>
    <tableColumn id="9525" xr3:uid="{00000000-0010-0000-0000-000035250000}" name="Coluna9520"/>
    <tableColumn id="9526" xr3:uid="{00000000-0010-0000-0000-000036250000}" name="Coluna9521"/>
    <tableColumn id="9527" xr3:uid="{00000000-0010-0000-0000-000037250000}" name="Coluna9522"/>
    <tableColumn id="9528" xr3:uid="{00000000-0010-0000-0000-000038250000}" name="Coluna9523"/>
    <tableColumn id="9529" xr3:uid="{00000000-0010-0000-0000-000039250000}" name="Coluna9524"/>
    <tableColumn id="9530" xr3:uid="{00000000-0010-0000-0000-00003A250000}" name="Coluna9525"/>
    <tableColumn id="9531" xr3:uid="{00000000-0010-0000-0000-00003B250000}" name="Coluna9526"/>
    <tableColumn id="9532" xr3:uid="{00000000-0010-0000-0000-00003C250000}" name="Coluna9527"/>
    <tableColumn id="9533" xr3:uid="{00000000-0010-0000-0000-00003D250000}" name="Coluna9528"/>
    <tableColumn id="9534" xr3:uid="{00000000-0010-0000-0000-00003E250000}" name="Coluna9529"/>
    <tableColumn id="9535" xr3:uid="{00000000-0010-0000-0000-00003F250000}" name="Coluna9530"/>
    <tableColumn id="9536" xr3:uid="{00000000-0010-0000-0000-000040250000}" name="Coluna9531"/>
    <tableColumn id="9537" xr3:uid="{00000000-0010-0000-0000-000041250000}" name="Coluna9532"/>
    <tableColumn id="9538" xr3:uid="{00000000-0010-0000-0000-000042250000}" name="Coluna9533"/>
    <tableColumn id="9539" xr3:uid="{00000000-0010-0000-0000-000043250000}" name="Coluna9534"/>
    <tableColumn id="9540" xr3:uid="{00000000-0010-0000-0000-000044250000}" name="Coluna9535"/>
    <tableColumn id="9541" xr3:uid="{00000000-0010-0000-0000-000045250000}" name="Coluna9536"/>
    <tableColumn id="9542" xr3:uid="{00000000-0010-0000-0000-000046250000}" name="Coluna9537"/>
    <tableColumn id="9543" xr3:uid="{00000000-0010-0000-0000-000047250000}" name="Coluna9538"/>
    <tableColumn id="9544" xr3:uid="{00000000-0010-0000-0000-000048250000}" name="Coluna9539"/>
    <tableColumn id="9545" xr3:uid="{00000000-0010-0000-0000-000049250000}" name="Coluna9540"/>
    <tableColumn id="9546" xr3:uid="{00000000-0010-0000-0000-00004A250000}" name="Coluna9541"/>
    <tableColumn id="9547" xr3:uid="{00000000-0010-0000-0000-00004B250000}" name="Coluna9542"/>
    <tableColumn id="9548" xr3:uid="{00000000-0010-0000-0000-00004C250000}" name="Coluna9543"/>
    <tableColumn id="9549" xr3:uid="{00000000-0010-0000-0000-00004D250000}" name="Coluna9544"/>
    <tableColumn id="9550" xr3:uid="{00000000-0010-0000-0000-00004E250000}" name="Coluna9545"/>
    <tableColumn id="9551" xr3:uid="{00000000-0010-0000-0000-00004F250000}" name="Coluna9546"/>
    <tableColumn id="9552" xr3:uid="{00000000-0010-0000-0000-000050250000}" name="Coluna9547"/>
    <tableColumn id="9553" xr3:uid="{00000000-0010-0000-0000-000051250000}" name="Coluna9548"/>
    <tableColumn id="9554" xr3:uid="{00000000-0010-0000-0000-000052250000}" name="Coluna9549"/>
    <tableColumn id="9555" xr3:uid="{00000000-0010-0000-0000-000053250000}" name="Coluna9550"/>
    <tableColumn id="9556" xr3:uid="{00000000-0010-0000-0000-000054250000}" name="Coluna9551"/>
    <tableColumn id="9557" xr3:uid="{00000000-0010-0000-0000-000055250000}" name="Coluna9552"/>
    <tableColumn id="9558" xr3:uid="{00000000-0010-0000-0000-000056250000}" name="Coluna9553"/>
    <tableColumn id="9559" xr3:uid="{00000000-0010-0000-0000-000057250000}" name="Coluna9554"/>
    <tableColumn id="9560" xr3:uid="{00000000-0010-0000-0000-000058250000}" name="Coluna9555"/>
    <tableColumn id="9561" xr3:uid="{00000000-0010-0000-0000-000059250000}" name="Coluna9556"/>
    <tableColumn id="9562" xr3:uid="{00000000-0010-0000-0000-00005A250000}" name="Coluna9557"/>
    <tableColumn id="9563" xr3:uid="{00000000-0010-0000-0000-00005B250000}" name="Coluna9558"/>
    <tableColumn id="9564" xr3:uid="{00000000-0010-0000-0000-00005C250000}" name="Coluna9559"/>
    <tableColumn id="9565" xr3:uid="{00000000-0010-0000-0000-00005D250000}" name="Coluna9560"/>
    <tableColumn id="9566" xr3:uid="{00000000-0010-0000-0000-00005E250000}" name="Coluna9561"/>
    <tableColumn id="9567" xr3:uid="{00000000-0010-0000-0000-00005F250000}" name="Coluna9562"/>
    <tableColumn id="9568" xr3:uid="{00000000-0010-0000-0000-000060250000}" name="Coluna9563"/>
    <tableColumn id="9569" xr3:uid="{00000000-0010-0000-0000-000061250000}" name="Coluna9564"/>
    <tableColumn id="9570" xr3:uid="{00000000-0010-0000-0000-000062250000}" name="Coluna9565"/>
    <tableColumn id="9571" xr3:uid="{00000000-0010-0000-0000-000063250000}" name="Coluna9566"/>
    <tableColumn id="9572" xr3:uid="{00000000-0010-0000-0000-000064250000}" name="Coluna9567"/>
    <tableColumn id="9573" xr3:uid="{00000000-0010-0000-0000-000065250000}" name="Coluna9568"/>
    <tableColumn id="9574" xr3:uid="{00000000-0010-0000-0000-000066250000}" name="Coluna9569"/>
    <tableColumn id="9575" xr3:uid="{00000000-0010-0000-0000-000067250000}" name="Coluna9570"/>
    <tableColumn id="9576" xr3:uid="{00000000-0010-0000-0000-000068250000}" name="Coluna9571"/>
    <tableColumn id="9577" xr3:uid="{00000000-0010-0000-0000-000069250000}" name="Coluna9572"/>
    <tableColumn id="9578" xr3:uid="{00000000-0010-0000-0000-00006A250000}" name="Coluna9573"/>
    <tableColumn id="9579" xr3:uid="{00000000-0010-0000-0000-00006B250000}" name="Coluna9574"/>
    <tableColumn id="9580" xr3:uid="{00000000-0010-0000-0000-00006C250000}" name="Coluna9575"/>
    <tableColumn id="9581" xr3:uid="{00000000-0010-0000-0000-00006D250000}" name="Coluna9576"/>
    <tableColumn id="9582" xr3:uid="{00000000-0010-0000-0000-00006E250000}" name="Coluna9577"/>
    <tableColumn id="9583" xr3:uid="{00000000-0010-0000-0000-00006F250000}" name="Coluna9578"/>
    <tableColumn id="9584" xr3:uid="{00000000-0010-0000-0000-000070250000}" name="Coluna9579"/>
    <tableColumn id="9585" xr3:uid="{00000000-0010-0000-0000-000071250000}" name="Coluna9580"/>
    <tableColumn id="9586" xr3:uid="{00000000-0010-0000-0000-000072250000}" name="Coluna9581"/>
    <tableColumn id="9587" xr3:uid="{00000000-0010-0000-0000-000073250000}" name="Coluna9582"/>
    <tableColumn id="9588" xr3:uid="{00000000-0010-0000-0000-000074250000}" name="Coluna9583"/>
    <tableColumn id="9589" xr3:uid="{00000000-0010-0000-0000-000075250000}" name="Coluna9584"/>
    <tableColumn id="9590" xr3:uid="{00000000-0010-0000-0000-000076250000}" name="Coluna9585"/>
    <tableColumn id="9591" xr3:uid="{00000000-0010-0000-0000-000077250000}" name="Coluna9586"/>
    <tableColumn id="9592" xr3:uid="{00000000-0010-0000-0000-000078250000}" name="Coluna9587"/>
    <tableColumn id="9593" xr3:uid="{00000000-0010-0000-0000-000079250000}" name="Coluna9588"/>
    <tableColumn id="9594" xr3:uid="{00000000-0010-0000-0000-00007A250000}" name="Coluna9589"/>
    <tableColumn id="9595" xr3:uid="{00000000-0010-0000-0000-00007B250000}" name="Coluna9590"/>
    <tableColumn id="9596" xr3:uid="{00000000-0010-0000-0000-00007C250000}" name="Coluna9591"/>
    <tableColumn id="9597" xr3:uid="{00000000-0010-0000-0000-00007D250000}" name="Coluna9592"/>
    <tableColumn id="9598" xr3:uid="{00000000-0010-0000-0000-00007E250000}" name="Coluna9593"/>
    <tableColumn id="9599" xr3:uid="{00000000-0010-0000-0000-00007F250000}" name="Coluna9594"/>
    <tableColumn id="9600" xr3:uid="{00000000-0010-0000-0000-000080250000}" name="Coluna9595"/>
    <tableColumn id="9601" xr3:uid="{00000000-0010-0000-0000-000081250000}" name="Coluna9596"/>
    <tableColumn id="9602" xr3:uid="{00000000-0010-0000-0000-000082250000}" name="Coluna9597"/>
    <tableColumn id="9603" xr3:uid="{00000000-0010-0000-0000-000083250000}" name="Coluna9598"/>
    <tableColumn id="9604" xr3:uid="{00000000-0010-0000-0000-000084250000}" name="Coluna9599"/>
    <tableColumn id="9605" xr3:uid="{00000000-0010-0000-0000-000085250000}" name="Coluna9600"/>
    <tableColumn id="9606" xr3:uid="{00000000-0010-0000-0000-000086250000}" name="Coluna9601"/>
    <tableColumn id="9607" xr3:uid="{00000000-0010-0000-0000-000087250000}" name="Coluna9602"/>
    <tableColumn id="9608" xr3:uid="{00000000-0010-0000-0000-000088250000}" name="Coluna9603"/>
    <tableColumn id="9609" xr3:uid="{00000000-0010-0000-0000-000089250000}" name="Coluna9604"/>
    <tableColumn id="9610" xr3:uid="{00000000-0010-0000-0000-00008A250000}" name="Coluna9605"/>
    <tableColumn id="9611" xr3:uid="{00000000-0010-0000-0000-00008B250000}" name="Coluna9606"/>
    <tableColumn id="9612" xr3:uid="{00000000-0010-0000-0000-00008C250000}" name="Coluna9607"/>
    <tableColumn id="9613" xr3:uid="{00000000-0010-0000-0000-00008D250000}" name="Coluna9608"/>
    <tableColumn id="9614" xr3:uid="{00000000-0010-0000-0000-00008E250000}" name="Coluna9609"/>
    <tableColumn id="9615" xr3:uid="{00000000-0010-0000-0000-00008F250000}" name="Coluna9610"/>
    <tableColumn id="9616" xr3:uid="{00000000-0010-0000-0000-000090250000}" name="Coluna9611"/>
    <tableColumn id="9617" xr3:uid="{00000000-0010-0000-0000-000091250000}" name="Coluna9612"/>
    <tableColumn id="9618" xr3:uid="{00000000-0010-0000-0000-000092250000}" name="Coluna9613"/>
    <tableColumn id="9619" xr3:uid="{00000000-0010-0000-0000-000093250000}" name="Coluna9614"/>
    <tableColumn id="9620" xr3:uid="{00000000-0010-0000-0000-000094250000}" name="Coluna9615"/>
    <tableColumn id="9621" xr3:uid="{00000000-0010-0000-0000-000095250000}" name="Coluna9616"/>
    <tableColumn id="9622" xr3:uid="{00000000-0010-0000-0000-000096250000}" name="Coluna9617"/>
    <tableColumn id="9623" xr3:uid="{00000000-0010-0000-0000-000097250000}" name="Coluna9618"/>
    <tableColumn id="9624" xr3:uid="{00000000-0010-0000-0000-000098250000}" name="Coluna9619"/>
    <tableColumn id="9625" xr3:uid="{00000000-0010-0000-0000-000099250000}" name="Coluna9620"/>
    <tableColumn id="9626" xr3:uid="{00000000-0010-0000-0000-00009A250000}" name="Coluna9621"/>
    <tableColumn id="9627" xr3:uid="{00000000-0010-0000-0000-00009B250000}" name="Coluna9622"/>
    <tableColumn id="9628" xr3:uid="{00000000-0010-0000-0000-00009C250000}" name="Coluna9623"/>
    <tableColumn id="9629" xr3:uid="{00000000-0010-0000-0000-00009D250000}" name="Coluna9624"/>
    <tableColumn id="9630" xr3:uid="{00000000-0010-0000-0000-00009E250000}" name="Coluna9625"/>
    <tableColumn id="9631" xr3:uid="{00000000-0010-0000-0000-00009F250000}" name="Coluna9626"/>
    <tableColumn id="9632" xr3:uid="{00000000-0010-0000-0000-0000A0250000}" name="Coluna9627"/>
    <tableColumn id="9633" xr3:uid="{00000000-0010-0000-0000-0000A1250000}" name="Coluna9628"/>
    <tableColumn id="9634" xr3:uid="{00000000-0010-0000-0000-0000A2250000}" name="Coluna9629"/>
    <tableColumn id="9635" xr3:uid="{00000000-0010-0000-0000-0000A3250000}" name="Coluna9630"/>
    <tableColumn id="9636" xr3:uid="{00000000-0010-0000-0000-0000A4250000}" name="Coluna9631"/>
    <tableColumn id="9637" xr3:uid="{00000000-0010-0000-0000-0000A5250000}" name="Coluna9632"/>
    <tableColumn id="9638" xr3:uid="{00000000-0010-0000-0000-0000A6250000}" name="Coluna9633"/>
    <tableColumn id="9639" xr3:uid="{00000000-0010-0000-0000-0000A7250000}" name="Coluna9634"/>
    <tableColumn id="9640" xr3:uid="{00000000-0010-0000-0000-0000A8250000}" name="Coluna9635"/>
    <tableColumn id="9641" xr3:uid="{00000000-0010-0000-0000-0000A9250000}" name="Coluna9636"/>
    <tableColumn id="9642" xr3:uid="{00000000-0010-0000-0000-0000AA250000}" name="Coluna9637"/>
    <tableColumn id="9643" xr3:uid="{00000000-0010-0000-0000-0000AB250000}" name="Coluna9638"/>
    <tableColumn id="9644" xr3:uid="{00000000-0010-0000-0000-0000AC250000}" name="Coluna9639"/>
    <tableColumn id="9645" xr3:uid="{00000000-0010-0000-0000-0000AD250000}" name="Coluna9640"/>
    <tableColumn id="9646" xr3:uid="{00000000-0010-0000-0000-0000AE250000}" name="Coluna9641"/>
    <tableColumn id="9647" xr3:uid="{00000000-0010-0000-0000-0000AF250000}" name="Coluna9642"/>
    <tableColumn id="9648" xr3:uid="{00000000-0010-0000-0000-0000B0250000}" name="Coluna9643"/>
    <tableColumn id="9649" xr3:uid="{00000000-0010-0000-0000-0000B1250000}" name="Coluna9644"/>
    <tableColumn id="9650" xr3:uid="{00000000-0010-0000-0000-0000B2250000}" name="Coluna9645"/>
    <tableColumn id="9651" xr3:uid="{00000000-0010-0000-0000-0000B3250000}" name="Coluna9646"/>
    <tableColumn id="9652" xr3:uid="{00000000-0010-0000-0000-0000B4250000}" name="Coluna9647"/>
    <tableColumn id="9653" xr3:uid="{00000000-0010-0000-0000-0000B5250000}" name="Coluna9648"/>
    <tableColumn id="9654" xr3:uid="{00000000-0010-0000-0000-0000B6250000}" name="Coluna9649"/>
    <tableColumn id="9655" xr3:uid="{00000000-0010-0000-0000-0000B7250000}" name="Coluna9650"/>
    <tableColumn id="9656" xr3:uid="{00000000-0010-0000-0000-0000B8250000}" name="Coluna9651"/>
    <tableColumn id="9657" xr3:uid="{00000000-0010-0000-0000-0000B9250000}" name="Coluna9652"/>
    <tableColumn id="9658" xr3:uid="{00000000-0010-0000-0000-0000BA250000}" name="Coluna9653"/>
    <tableColumn id="9659" xr3:uid="{00000000-0010-0000-0000-0000BB250000}" name="Coluna9654"/>
    <tableColumn id="9660" xr3:uid="{00000000-0010-0000-0000-0000BC250000}" name="Coluna9655"/>
    <tableColumn id="9661" xr3:uid="{00000000-0010-0000-0000-0000BD250000}" name="Coluna9656"/>
    <tableColumn id="9662" xr3:uid="{00000000-0010-0000-0000-0000BE250000}" name="Coluna9657"/>
    <tableColumn id="9663" xr3:uid="{00000000-0010-0000-0000-0000BF250000}" name="Coluna9658"/>
    <tableColumn id="9664" xr3:uid="{00000000-0010-0000-0000-0000C0250000}" name="Coluna9659"/>
    <tableColumn id="9665" xr3:uid="{00000000-0010-0000-0000-0000C1250000}" name="Coluna9660"/>
    <tableColumn id="9666" xr3:uid="{00000000-0010-0000-0000-0000C2250000}" name="Coluna9661"/>
    <tableColumn id="9667" xr3:uid="{00000000-0010-0000-0000-0000C3250000}" name="Coluna9662"/>
    <tableColumn id="9668" xr3:uid="{00000000-0010-0000-0000-0000C4250000}" name="Coluna9663"/>
    <tableColumn id="9669" xr3:uid="{00000000-0010-0000-0000-0000C5250000}" name="Coluna9664"/>
    <tableColumn id="9670" xr3:uid="{00000000-0010-0000-0000-0000C6250000}" name="Coluna9665"/>
    <tableColumn id="9671" xr3:uid="{00000000-0010-0000-0000-0000C7250000}" name="Coluna9666"/>
    <tableColumn id="9672" xr3:uid="{00000000-0010-0000-0000-0000C8250000}" name="Coluna9667"/>
    <tableColumn id="9673" xr3:uid="{00000000-0010-0000-0000-0000C9250000}" name="Coluna9668"/>
    <tableColumn id="9674" xr3:uid="{00000000-0010-0000-0000-0000CA250000}" name="Coluna9669"/>
    <tableColumn id="9675" xr3:uid="{00000000-0010-0000-0000-0000CB250000}" name="Coluna9670"/>
    <tableColumn id="9676" xr3:uid="{00000000-0010-0000-0000-0000CC250000}" name="Coluna9671"/>
    <tableColumn id="9677" xr3:uid="{00000000-0010-0000-0000-0000CD250000}" name="Coluna9672"/>
    <tableColumn id="9678" xr3:uid="{00000000-0010-0000-0000-0000CE250000}" name="Coluna9673"/>
    <tableColumn id="9679" xr3:uid="{00000000-0010-0000-0000-0000CF250000}" name="Coluna9674"/>
    <tableColumn id="9680" xr3:uid="{00000000-0010-0000-0000-0000D0250000}" name="Coluna9675"/>
    <tableColumn id="9681" xr3:uid="{00000000-0010-0000-0000-0000D1250000}" name="Coluna9676"/>
    <tableColumn id="9682" xr3:uid="{00000000-0010-0000-0000-0000D2250000}" name="Coluna9677"/>
    <tableColumn id="9683" xr3:uid="{00000000-0010-0000-0000-0000D3250000}" name="Coluna9678"/>
    <tableColumn id="9684" xr3:uid="{00000000-0010-0000-0000-0000D4250000}" name="Coluna9679"/>
    <tableColumn id="9685" xr3:uid="{00000000-0010-0000-0000-0000D5250000}" name="Coluna9680"/>
    <tableColumn id="9686" xr3:uid="{00000000-0010-0000-0000-0000D6250000}" name="Coluna9681"/>
    <tableColumn id="9687" xr3:uid="{00000000-0010-0000-0000-0000D7250000}" name="Coluna9682"/>
    <tableColumn id="9688" xr3:uid="{00000000-0010-0000-0000-0000D8250000}" name="Coluna9683"/>
    <tableColumn id="9689" xr3:uid="{00000000-0010-0000-0000-0000D9250000}" name="Coluna9684"/>
    <tableColumn id="9690" xr3:uid="{00000000-0010-0000-0000-0000DA250000}" name="Coluna9685"/>
    <tableColumn id="9691" xr3:uid="{00000000-0010-0000-0000-0000DB250000}" name="Coluna9686"/>
    <tableColumn id="9692" xr3:uid="{00000000-0010-0000-0000-0000DC250000}" name="Coluna9687"/>
    <tableColumn id="9693" xr3:uid="{00000000-0010-0000-0000-0000DD250000}" name="Coluna9688"/>
    <tableColumn id="9694" xr3:uid="{00000000-0010-0000-0000-0000DE250000}" name="Coluna9689"/>
    <tableColumn id="9695" xr3:uid="{00000000-0010-0000-0000-0000DF250000}" name="Coluna9690"/>
    <tableColumn id="9696" xr3:uid="{00000000-0010-0000-0000-0000E0250000}" name="Coluna9691"/>
    <tableColumn id="9697" xr3:uid="{00000000-0010-0000-0000-0000E1250000}" name="Coluna9692"/>
    <tableColumn id="9698" xr3:uid="{00000000-0010-0000-0000-0000E2250000}" name="Coluna9693"/>
    <tableColumn id="9699" xr3:uid="{00000000-0010-0000-0000-0000E3250000}" name="Coluna9694"/>
    <tableColumn id="9700" xr3:uid="{00000000-0010-0000-0000-0000E4250000}" name="Coluna9695"/>
    <tableColumn id="9701" xr3:uid="{00000000-0010-0000-0000-0000E5250000}" name="Coluna9696"/>
    <tableColumn id="9702" xr3:uid="{00000000-0010-0000-0000-0000E6250000}" name="Coluna9697"/>
    <tableColumn id="9703" xr3:uid="{00000000-0010-0000-0000-0000E7250000}" name="Coluna9698"/>
    <tableColumn id="9704" xr3:uid="{00000000-0010-0000-0000-0000E8250000}" name="Coluna9699"/>
    <tableColumn id="9705" xr3:uid="{00000000-0010-0000-0000-0000E9250000}" name="Coluna9700"/>
    <tableColumn id="9706" xr3:uid="{00000000-0010-0000-0000-0000EA250000}" name="Coluna9701"/>
    <tableColumn id="9707" xr3:uid="{00000000-0010-0000-0000-0000EB250000}" name="Coluna9702"/>
    <tableColumn id="9708" xr3:uid="{00000000-0010-0000-0000-0000EC250000}" name="Coluna9703"/>
    <tableColumn id="9709" xr3:uid="{00000000-0010-0000-0000-0000ED250000}" name="Coluna9704"/>
    <tableColumn id="9710" xr3:uid="{00000000-0010-0000-0000-0000EE250000}" name="Coluna9705"/>
    <tableColumn id="9711" xr3:uid="{00000000-0010-0000-0000-0000EF250000}" name="Coluna9706"/>
    <tableColumn id="9712" xr3:uid="{00000000-0010-0000-0000-0000F0250000}" name="Coluna9707"/>
    <tableColumn id="9713" xr3:uid="{00000000-0010-0000-0000-0000F1250000}" name="Coluna9708"/>
    <tableColumn id="9714" xr3:uid="{00000000-0010-0000-0000-0000F2250000}" name="Coluna9709"/>
    <tableColumn id="9715" xr3:uid="{00000000-0010-0000-0000-0000F3250000}" name="Coluna9710"/>
    <tableColumn id="9716" xr3:uid="{00000000-0010-0000-0000-0000F4250000}" name="Coluna9711"/>
    <tableColumn id="9717" xr3:uid="{00000000-0010-0000-0000-0000F5250000}" name="Coluna9712"/>
    <tableColumn id="9718" xr3:uid="{00000000-0010-0000-0000-0000F6250000}" name="Coluna9713"/>
    <tableColumn id="9719" xr3:uid="{00000000-0010-0000-0000-0000F7250000}" name="Coluna9714"/>
    <tableColumn id="9720" xr3:uid="{00000000-0010-0000-0000-0000F8250000}" name="Coluna9715"/>
    <tableColumn id="9721" xr3:uid="{00000000-0010-0000-0000-0000F9250000}" name="Coluna9716"/>
    <tableColumn id="9722" xr3:uid="{00000000-0010-0000-0000-0000FA250000}" name="Coluna9717"/>
    <tableColumn id="9723" xr3:uid="{00000000-0010-0000-0000-0000FB250000}" name="Coluna9718"/>
    <tableColumn id="9724" xr3:uid="{00000000-0010-0000-0000-0000FC250000}" name="Coluna9719"/>
    <tableColumn id="9725" xr3:uid="{00000000-0010-0000-0000-0000FD250000}" name="Coluna9720"/>
    <tableColumn id="9726" xr3:uid="{00000000-0010-0000-0000-0000FE250000}" name="Coluna9721"/>
    <tableColumn id="9727" xr3:uid="{00000000-0010-0000-0000-0000FF250000}" name="Coluna9722"/>
    <tableColumn id="9728" xr3:uid="{00000000-0010-0000-0000-000000260000}" name="Coluna9723"/>
    <tableColumn id="9729" xr3:uid="{00000000-0010-0000-0000-000001260000}" name="Coluna9724"/>
    <tableColumn id="9730" xr3:uid="{00000000-0010-0000-0000-000002260000}" name="Coluna9725"/>
    <tableColumn id="9731" xr3:uid="{00000000-0010-0000-0000-000003260000}" name="Coluna9726"/>
    <tableColumn id="9732" xr3:uid="{00000000-0010-0000-0000-000004260000}" name="Coluna9727"/>
    <tableColumn id="9733" xr3:uid="{00000000-0010-0000-0000-000005260000}" name="Coluna9728"/>
    <tableColumn id="9734" xr3:uid="{00000000-0010-0000-0000-000006260000}" name="Coluna9729"/>
    <tableColumn id="9735" xr3:uid="{00000000-0010-0000-0000-000007260000}" name="Coluna9730"/>
    <tableColumn id="9736" xr3:uid="{00000000-0010-0000-0000-000008260000}" name="Coluna9731"/>
    <tableColumn id="9737" xr3:uid="{00000000-0010-0000-0000-000009260000}" name="Coluna9732"/>
    <tableColumn id="9738" xr3:uid="{00000000-0010-0000-0000-00000A260000}" name="Coluna9733"/>
    <tableColumn id="9739" xr3:uid="{00000000-0010-0000-0000-00000B260000}" name="Coluna9734"/>
    <tableColumn id="9740" xr3:uid="{00000000-0010-0000-0000-00000C260000}" name="Coluna9735"/>
    <tableColumn id="9741" xr3:uid="{00000000-0010-0000-0000-00000D260000}" name="Coluna9736"/>
    <tableColumn id="9742" xr3:uid="{00000000-0010-0000-0000-00000E260000}" name="Coluna9737"/>
    <tableColumn id="9743" xr3:uid="{00000000-0010-0000-0000-00000F260000}" name="Coluna9738"/>
    <tableColumn id="9744" xr3:uid="{00000000-0010-0000-0000-000010260000}" name="Coluna9739"/>
    <tableColumn id="9745" xr3:uid="{00000000-0010-0000-0000-000011260000}" name="Coluna9740"/>
    <tableColumn id="9746" xr3:uid="{00000000-0010-0000-0000-000012260000}" name="Coluna9741"/>
    <tableColumn id="9747" xr3:uid="{00000000-0010-0000-0000-000013260000}" name="Coluna9742"/>
    <tableColumn id="9748" xr3:uid="{00000000-0010-0000-0000-000014260000}" name="Coluna9743"/>
    <tableColumn id="9749" xr3:uid="{00000000-0010-0000-0000-000015260000}" name="Coluna9744"/>
    <tableColumn id="9750" xr3:uid="{00000000-0010-0000-0000-000016260000}" name="Coluna9745"/>
    <tableColumn id="9751" xr3:uid="{00000000-0010-0000-0000-000017260000}" name="Coluna9746"/>
    <tableColumn id="9752" xr3:uid="{00000000-0010-0000-0000-000018260000}" name="Coluna9747"/>
    <tableColumn id="9753" xr3:uid="{00000000-0010-0000-0000-000019260000}" name="Coluna9748"/>
    <tableColumn id="9754" xr3:uid="{00000000-0010-0000-0000-00001A260000}" name="Coluna9749"/>
    <tableColumn id="9755" xr3:uid="{00000000-0010-0000-0000-00001B260000}" name="Coluna9750"/>
    <tableColumn id="9756" xr3:uid="{00000000-0010-0000-0000-00001C260000}" name="Coluna9751"/>
    <tableColumn id="9757" xr3:uid="{00000000-0010-0000-0000-00001D260000}" name="Coluna9752"/>
    <tableColumn id="9758" xr3:uid="{00000000-0010-0000-0000-00001E260000}" name="Coluna9753"/>
    <tableColumn id="9759" xr3:uid="{00000000-0010-0000-0000-00001F260000}" name="Coluna9754"/>
    <tableColumn id="9760" xr3:uid="{00000000-0010-0000-0000-000020260000}" name="Coluna9755"/>
    <tableColumn id="9761" xr3:uid="{00000000-0010-0000-0000-000021260000}" name="Coluna9756"/>
    <tableColumn id="9762" xr3:uid="{00000000-0010-0000-0000-000022260000}" name="Coluna9757"/>
    <tableColumn id="9763" xr3:uid="{00000000-0010-0000-0000-000023260000}" name="Coluna9758"/>
    <tableColumn id="9764" xr3:uid="{00000000-0010-0000-0000-000024260000}" name="Coluna9759"/>
    <tableColumn id="9765" xr3:uid="{00000000-0010-0000-0000-000025260000}" name="Coluna9760"/>
    <tableColumn id="9766" xr3:uid="{00000000-0010-0000-0000-000026260000}" name="Coluna9761"/>
    <tableColumn id="9767" xr3:uid="{00000000-0010-0000-0000-000027260000}" name="Coluna9762"/>
    <tableColumn id="9768" xr3:uid="{00000000-0010-0000-0000-000028260000}" name="Coluna9763"/>
    <tableColumn id="9769" xr3:uid="{00000000-0010-0000-0000-000029260000}" name="Coluna9764"/>
    <tableColumn id="9770" xr3:uid="{00000000-0010-0000-0000-00002A260000}" name="Coluna9765"/>
    <tableColumn id="9771" xr3:uid="{00000000-0010-0000-0000-00002B260000}" name="Coluna9766"/>
    <tableColumn id="9772" xr3:uid="{00000000-0010-0000-0000-00002C260000}" name="Coluna9767"/>
    <tableColumn id="9773" xr3:uid="{00000000-0010-0000-0000-00002D260000}" name="Coluna9768"/>
    <tableColumn id="9774" xr3:uid="{00000000-0010-0000-0000-00002E260000}" name="Coluna9769"/>
    <tableColumn id="9775" xr3:uid="{00000000-0010-0000-0000-00002F260000}" name="Coluna9770"/>
    <tableColumn id="9776" xr3:uid="{00000000-0010-0000-0000-000030260000}" name="Coluna9771"/>
    <tableColumn id="9777" xr3:uid="{00000000-0010-0000-0000-000031260000}" name="Coluna9772"/>
    <tableColumn id="9778" xr3:uid="{00000000-0010-0000-0000-000032260000}" name="Coluna9773"/>
    <tableColumn id="9779" xr3:uid="{00000000-0010-0000-0000-000033260000}" name="Coluna9774"/>
    <tableColumn id="9780" xr3:uid="{00000000-0010-0000-0000-000034260000}" name="Coluna9775"/>
    <tableColumn id="9781" xr3:uid="{00000000-0010-0000-0000-000035260000}" name="Coluna9776"/>
    <tableColumn id="9782" xr3:uid="{00000000-0010-0000-0000-000036260000}" name="Coluna9777"/>
    <tableColumn id="9783" xr3:uid="{00000000-0010-0000-0000-000037260000}" name="Coluna9778"/>
    <tableColumn id="9784" xr3:uid="{00000000-0010-0000-0000-000038260000}" name="Coluna9779"/>
    <tableColumn id="9785" xr3:uid="{00000000-0010-0000-0000-000039260000}" name="Coluna9780"/>
    <tableColumn id="9786" xr3:uid="{00000000-0010-0000-0000-00003A260000}" name="Coluna9781"/>
    <tableColumn id="9787" xr3:uid="{00000000-0010-0000-0000-00003B260000}" name="Coluna9782"/>
    <tableColumn id="9788" xr3:uid="{00000000-0010-0000-0000-00003C260000}" name="Coluna9783"/>
    <tableColumn id="9789" xr3:uid="{00000000-0010-0000-0000-00003D260000}" name="Coluna9784"/>
    <tableColumn id="9790" xr3:uid="{00000000-0010-0000-0000-00003E260000}" name="Coluna9785"/>
    <tableColumn id="9791" xr3:uid="{00000000-0010-0000-0000-00003F260000}" name="Coluna9786"/>
    <tableColumn id="9792" xr3:uid="{00000000-0010-0000-0000-000040260000}" name="Coluna9787"/>
    <tableColumn id="9793" xr3:uid="{00000000-0010-0000-0000-000041260000}" name="Coluna9788"/>
    <tableColumn id="9794" xr3:uid="{00000000-0010-0000-0000-000042260000}" name="Coluna9789"/>
    <tableColumn id="9795" xr3:uid="{00000000-0010-0000-0000-000043260000}" name="Coluna9790"/>
    <tableColumn id="9796" xr3:uid="{00000000-0010-0000-0000-000044260000}" name="Coluna9791"/>
    <tableColumn id="9797" xr3:uid="{00000000-0010-0000-0000-000045260000}" name="Coluna9792"/>
    <tableColumn id="9798" xr3:uid="{00000000-0010-0000-0000-000046260000}" name="Coluna9793"/>
    <tableColumn id="9799" xr3:uid="{00000000-0010-0000-0000-000047260000}" name="Coluna9794"/>
    <tableColumn id="9800" xr3:uid="{00000000-0010-0000-0000-000048260000}" name="Coluna9795"/>
    <tableColumn id="9801" xr3:uid="{00000000-0010-0000-0000-000049260000}" name="Coluna9796"/>
    <tableColumn id="9802" xr3:uid="{00000000-0010-0000-0000-00004A260000}" name="Coluna9797"/>
    <tableColumn id="9803" xr3:uid="{00000000-0010-0000-0000-00004B260000}" name="Coluna9798"/>
    <tableColumn id="9804" xr3:uid="{00000000-0010-0000-0000-00004C260000}" name="Coluna9799"/>
    <tableColumn id="9805" xr3:uid="{00000000-0010-0000-0000-00004D260000}" name="Coluna9800"/>
    <tableColumn id="9806" xr3:uid="{00000000-0010-0000-0000-00004E260000}" name="Coluna9801"/>
    <tableColumn id="9807" xr3:uid="{00000000-0010-0000-0000-00004F260000}" name="Coluna9802"/>
    <tableColumn id="9808" xr3:uid="{00000000-0010-0000-0000-000050260000}" name="Coluna9803"/>
    <tableColumn id="9809" xr3:uid="{00000000-0010-0000-0000-000051260000}" name="Coluna9804"/>
    <tableColumn id="9810" xr3:uid="{00000000-0010-0000-0000-000052260000}" name="Coluna9805"/>
    <tableColumn id="9811" xr3:uid="{00000000-0010-0000-0000-000053260000}" name="Coluna9806"/>
    <tableColumn id="9812" xr3:uid="{00000000-0010-0000-0000-000054260000}" name="Coluna9807"/>
    <tableColumn id="9813" xr3:uid="{00000000-0010-0000-0000-000055260000}" name="Coluna9808"/>
    <tableColumn id="9814" xr3:uid="{00000000-0010-0000-0000-000056260000}" name="Coluna9809"/>
    <tableColumn id="9815" xr3:uid="{00000000-0010-0000-0000-000057260000}" name="Coluna9810"/>
    <tableColumn id="9816" xr3:uid="{00000000-0010-0000-0000-000058260000}" name="Coluna9811"/>
    <tableColumn id="9817" xr3:uid="{00000000-0010-0000-0000-000059260000}" name="Coluna9812"/>
    <tableColumn id="9818" xr3:uid="{00000000-0010-0000-0000-00005A260000}" name="Coluna9813"/>
    <tableColumn id="9819" xr3:uid="{00000000-0010-0000-0000-00005B260000}" name="Coluna9814"/>
    <tableColumn id="9820" xr3:uid="{00000000-0010-0000-0000-00005C260000}" name="Coluna9815"/>
    <tableColumn id="9821" xr3:uid="{00000000-0010-0000-0000-00005D260000}" name="Coluna9816"/>
    <tableColumn id="9822" xr3:uid="{00000000-0010-0000-0000-00005E260000}" name="Coluna9817"/>
    <tableColumn id="9823" xr3:uid="{00000000-0010-0000-0000-00005F260000}" name="Coluna9818"/>
    <tableColumn id="9824" xr3:uid="{00000000-0010-0000-0000-000060260000}" name="Coluna9819"/>
    <tableColumn id="9825" xr3:uid="{00000000-0010-0000-0000-000061260000}" name="Coluna9820"/>
    <tableColumn id="9826" xr3:uid="{00000000-0010-0000-0000-000062260000}" name="Coluna9821"/>
    <tableColumn id="9827" xr3:uid="{00000000-0010-0000-0000-000063260000}" name="Coluna9822"/>
    <tableColumn id="9828" xr3:uid="{00000000-0010-0000-0000-000064260000}" name="Coluna9823"/>
    <tableColumn id="9829" xr3:uid="{00000000-0010-0000-0000-000065260000}" name="Coluna9824"/>
    <tableColumn id="9830" xr3:uid="{00000000-0010-0000-0000-000066260000}" name="Coluna9825"/>
    <tableColumn id="9831" xr3:uid="{00000000-0010-0000-0000-000067260000}" name="Coluna9826"/>
    <tableColumn id="9832" xr3:uid="{00000000-0010-0000-0000-000068260000}" name="Coluna9827"/>
    <tableColumn id="9833" xr3:uid="{00000000-0010-0000-0000-000069260000}" name="Coluna9828"/>
    <tableColumn id="9834" xr3:uid="{00000000-0010-0000-0000-00006A260000}" name="Coluna9829"/>
    <tableColumn id="9835" xr3:uid="{00000000-0010-0000-0000-00006B260000}" name="Coluna9830"/>
    <tableColumn id="9836" xr3:uid="{00000000-0010-0000-0000-00006C260000}" name="Coluna9831"/>
    <tableColumn id="9837" xr3:uid="{00000000-0010-0000-0000-00006D260000}" name="Coluna9832"/>
    <tableColumn id="9838" xr3:uid="{00000000-0010-0000-0000-00006E260000}" name="Coluna9833"/>
    <tableColumn id="9839" xr3:uid="{00000000-0010-0000-0000-00006F260000}" name="Coluna9834"/>
    <tableColumn id="9840" xr3:uid="{00000000-0010-0000-0000-000070260000}" name="Coluna9835"/>
    <tableColumn id="9841" xr3:uid="{00000000-0010-0000-0000-000071260000}" name="Coluna9836"/>
    <tableColumn id="9842" xr3:uid="{00000000-0010-0000-0000-000072260000}" name="Coluna9837"/>
    <tableColumn id="9843" xr3:uid="{00000000-0010-0000-0000-000073260000}" name="Coluna9838"/>
    <tableColumn id="9844" xr3:uid="{00000000-0010-0000-0000-000074260000}" name="Coluna9839"/>
    <tableColumn id="9845" xr3:uid="{00000000-0010-0000-0000-000075260000}" name="Coluna9840"/>
    <tableColumn id="9846" xr3:uid="{00000000-0010-0000-0000-000076260000}" name="Coluna9841"/>
    <tableColumn id="9847" xr3:uid="{00000000-0010-0000-0000-000077260000}" name="Coluna9842"/>
    <tableColumn id="9848" xr3:uid="{00000000-0010-0000-0000-000078260000}" name="Coluna9843"/>
    <tableColumn id="9849" xr3:uid="{00000000-0010-0000-0000-000079260000}" name="Coluna9844"/>
    <tableColumn id="9850" xr3:uid="{00000000-0010-0000-0000-00007A260000}" name="Coluna9845"/>
    <tableColumn id="9851" xr3:uid="{00000000-0010-0000-0000-00007B260000}" name="Coluna9846"/>
    <tableColumn id="9852" xr3:uid="{00000000-0010-0000-0000-00007C260000}" name="Coluna9847"/>
    <tableColumn id="9853" xr3:uid="{00000000-0010-0000-0000-00007D260000}" name="Coluna9848"/>
    <tableColumn id="9854" xr3:uid="{00000000-0010-0000-0000-00007E260000}" name="Coluna9849"/>
    <tableColumn id="9855" xr3:uid="{00000000-0010-0000-0000-00007F260000}" name="Coluna9850"/>
    <tableColumn id="9856" xr3:uid="{00000000-0010-0000-0000-000080260000}" name="Coluna9851"/>
    <tableColumn id="9857" xr3:uid="{00000000-0010-0000-0000-000081260000}" name="Coluna9852"/>
    <tableColumn id="9858" xr3:uid="{00000000-0010-0000-0000-000082260000}" name="Coluna9853"/>
    <tableColumn id="9859" xr3:uid="{00000000-0010-0000-0000-000083260000}" name="Coluna9854"/>
    <tableColumn id="9860" xr3:uid="{00000000-0010-0000-0000-000084260000}" name="Coluna9855"/>
    <tableColumn id="9861" xr3:uid="{00000000-0010-0000-0000-000085260000}" name="Coluna9856"/>
    <tableColumn id="9862" xr3:uid="{00000000-0010-0000-0000-000086260000}" name="Coluna9857"/>
    <tableColumn id="9863" xr3:uid="{00000000-0010-0000-0000-000087260000}" name="Coluna9858"/>
    <tableColumn id="9864" xr3:uid="{00000000-0010-0000-0000-000088260000}" name="Coluna9859"/>
    <tableColumn id="9865" xr3:uid="{00000000-0010-0000-0000-000089260000}" name="Coluna9860"/>
    <tableColumn id="9866" xr3:uid="{00000000-0010-0000-0000-00008A260000}" name="Coluna9861"/>
    <tableColumn id="9867" xr3:uid="{00000000-0010-0000-0000-00008B260000}" name="Coluna9862"/>
    <tableColumn id="9868" xr3:uid="{00000000-0010-0000-0000-00008C260000}" name="Coluna9863"/>
    <tableColumn id="9869" xr3:uid="{00000000-0010-0000-0000-00008D260000}" name="Coluna9864"/>
    <tableColumn id="9870" xr3:uid="{00000000-0010-0000-0000-00008E260000}" name="Coluna9865"/>
    <tableColumn id="9871" xr3:uid="{00000000-0010-0000-0000-00008F260000}" name="Coluna9866"/>
    <tableColumn id="9872" xr3:uid="{00000000-0010-0000-0000-000090260000}" name="Coluna9867"/>
    <tableColumn id="9873" xr3:uid="{00000000-0010-0000-0000-000091260000}" name="Coluna9868"/>
    <tableColumn id="9874" xr3:uid="{00000000-0010-0000-0000-000092260000}" name="Coluna9869"/>
    <tableColumn id="9875" xr3:uid="{00000000-0010-0000-0000-000093260000}" name="Coluna9870"/>
    <tableColumn id="9876" xr3:uid="{00000000-0010-0000-0000-000094260000}" name="Coluna9871"/>
    <tableColumn id="9877" xr3:uid="{00000000-0010-0000-0000-000095260000}" name="Coluna9872"/>
    <tableColumn id="9878" xr3:uid="{00000000-0010-0000-0000-000096260000}" name="Coluna9873"/>
    <tableColumn id="9879" xr3:uid="{00000000-0010-0000-0000-000097260000}" name="Coluna9874"/>
    <tableColumn id="9880" xr3:uid="{00000000-0010-0000-0000-000098260000}" name="Coluna9875"/>
    <tableColumn id="9881" xr3:uid="{00000000-0010-0000-0000-000099260000}" name="Coluna9876"/>
    <tableColumn id="9882" xr3:uid="{00000000-0010-0000-0000-00009A260000}" name="Coluna9877"/>
    <tableColumn id="9883" xr3:uid="{00000000-0010-0000-0000-00009B260000}" name="Coluna9878"/>
    <tableColumn id="9884" xr3:uid="{00000000-0010-0000-0000-00009C260000}" name="Coluna9879"/>
    <tableColumn id="9885" xr3:uid="{00000000-0010-0000-0000-00009D260000}" name="Coluna9880"/>
    <tableColumn id="9886" xr3:uid="{00000000-0010-0000-0000-00009E260000}" name="Coluna9881"/>
    <tableColumn id="9887" xr3:uid="{00000000-0010-0000-0000-00009F260000}" name="Coluna9882"/>
    <tableColumn id="9888" xr3:uid="{00000000-0010-0000-0000-0000A0260000}" name="Coluna9883"/>
    <tableColumn id="9889" xr3:uid="{00000000-0010-0000-0000-0000A1260000}" name="Coluna9884"/>
    <tableColumn id="9890" xr3:uid="{00000000-0010-0000-0000-0000A2260000}" name="Coluna9885"/>
    <tableColumn id="9891" xr3:uid="{00000000-0010-0000-0000-0000A3260000}" name="Coluna9886"/>
    <tableColumn id="9892" xr3:uid="{00000000-0010-0000-0000-0000A4260000}" name="Coluna9887"/>
    <tableColumn id="9893" xr3:uid="{00000000-0010-0000-0000-0000A5260000}" name="Coluna9888"/>
    <tableColumn id="9894" xr3:uid="{00000000-0010-0000-0000-0000A6260000}" name="Coluna9889"/>
    <tableColumn id="9895" xr3:uid="{00000000-0010-0000-0000-0000A7260000}" name="Coluna9890"/>
    <tableColumn id="9896" xr3:uid="{00000000-0010-0000-0000-0000A8260000}" name="Coluna9891"/>
    <tableColumn id="9897" xr3:uid="{00000000-0010-0000-0000-0000A9260000}" name="Coluna9892"/>
    <tableColumn id="9898" xr3:uid="{00000000-0010-0000-0000-0000AA260000}" name="Coluna9893"/>
    <tableColumn id="9899" xr3:uid="{00000000-0010-0000-0000-0000AB260000}" name="Coluna9894"/>
    <tableColumn id="9900" xr3:uid="{00000000-0010-0000-0000-0000AC260000}" name="Coluna9895"/>
    <tableColumn id="9901" xr3:uid="{00000000-0010-0000-0000-0000AD260000}" name="Coluna9896"/>
    <tableColumn id="9902" xr3:uid="{00000000-0010-0000-0000-0000AE260000}" name="Coluna9897"/>
    <tableColumn id="9903" xr3:uid="{00000000-0010-0000-0000-0000AF260000}" name="Coluna9898"/>
    <tableColumn id="9904" xr3:uid="{00000000-0010-0000-0000-0000B0260000}" name="Coluna9899"/>
    <tableColumn id="9905" xr3:uid="{00000000-0010-0000-0000-0000B1260000}" name="Coluna9900"/>
    <tableColumn id="9906" xr3:uid="{00000000-0010-0000-0000-0000B2260000}" name="Coluna9901"/>
    <tableColumn id="9907" xr3:uid="{00000000-0010-0000-0000-0000B3260000}" name="Coluna9902"/>
    <tableColumn id="9908" xr3:uid="{00000000-0010-0000-0000-0000B4260000}" name="Coluna9903"/>
    <tableColumn id="9909" xr3:uid="{00000000-0010-0000-0000-0000B5260000}" name="Coluna9904"/>
    <tableColumn id="9910" xr3:uid="{00000000-0010-0000-0000-0000B6260000}" name="Coluna9905"/>
    <tableColumn id="9911" xr3:uid="{00000000-0010-0000-0000-0000B7260000}" name="Coluna9906"/>
    <tableColumn id="9912" xr3:uid="{00000000-0010-0000-0000-0000B8260000}" name="Coluna9907"/>
    <tableColumn id="9913" xr3:uid="{00000000-0010-0000-0000-0000B9260000}" name="Coluna9908"/>
    <tableColumn id="9914" xr3:uid="{00000000-0010-0000-0000-0000BA260000}" name="Coluna9909"/>
    <tableColumn id="9915" xr3:uid="{00000000-0010-0000-0000-0000BB260000}" name="Coluna9910"/>
    <tableColumn id="9916" xr3:uid="{00000000-0010-0000-0000-0000BC260000}" name="Coluna9911"/>
    <tableColumn id="9917" xr3:uid="{00000000-0010-0000-0000-0000BD260000}" name="Coluna9912"/>
    <tableColumn id="9918" xr3:uid="{00000000-0010-0000-0000-0000BE260000}" name="Coluna9913"/>
    <tableColumn id="9919" xr3:uid="{00000000-0010-0000-0000-0000BF260000}" name="Coluna9914"/>
    <tableColumn id="9920" xr3:uid="{00000000-0010-0000-0000-0000C0260000}" name="Coluna9915"/>
    <tableColumn id="9921" xr3:uid="{00000000-0010-0000-0000-0000C1260000}" name="Coluna9916"/>
    <tableColumn id="9922" xr3:uid="{00000000-0010-0000-0000-0000C2260000}" name="Coluna9917"/>
    <tableColumn id="9923" xr3:uid="{00000000-0010-0000-0000-0000C3260000}" name="Coluna9918"/>
    <tableColumn id="9924" xr3:uid="{00000000-0010-0000-0000-0000C4260000}" name="Coluna9919"/>
    <tableColumn id="9925" xr3:uid="{00000000-0010-0000-0000-0000C5260000}" name="Coluna9920"/>
    <tableColumn id="9926" xr3:uid="{00000000-0010-0000-0000-0000C6260000}" name="Coluna9921"/>
    <tableColumn id="9927" xr3:uid="{00000000-0010-0000-0000-0000C7260000}" name="Coluna9922"/>
    <tableColumn id="9928" xr3:uid="{00000000-0010-0000-0000-0000C8260000}" name="Coluna9923"/>
    <tableColumn id="9929" xr3:uid="{00000000-0010-0000-0000-0000C9260000}" name="Coluna9924"/>
    <tableColumn id="9930" xr3:uid="{00000000-0010-0000-0000-0000CA260000}" name="Coluna9925"/>
    <tableColumn id="9931" xr3:uid="{00000000-0010-0000-0000-0000CB260000}" name="Coluna9926"/>
    <tableColumn id="9932" xr3:uid="{00000000-0010-0000-0000-0000CC260000}" name="Coluna9927"/>
    <tableColumn id="9933" xr3:uid="{00000000-0010-0000-0000-0000CD260000}" name="Coluna9928"/>
    <tableColumn id="9934" xr3:uid="{00000000-0010-0000-0000-0000CE260000}" name="Coluna9929"/>
    <tableColumn id="9935" xr3:uid="{00000000-0010-0000-0000-0000CF260000}" name="Coluna9930"/>
    <tableColumn id="9936" xr3:uid="{00000000-0010-0000-0000-0000D0260000}" name="Coluna9931"/>
    <tableColumn id="9937" xr3:uid="{00000000-0010-0000-0000-0000D1260000}" name="Coluna9932"/>
    <tableColumn id="9938" xr3:uid="{00000000-0010-0000-0000-0000D2260000}" name="Coluna9933"/>
    <tableColumn id="9939" xr3:uid="{00000000-0010-0000-0000-0000D3260000}" name="Coluna9934"/>
    <tableColumn id="9940" xr3:uid="{00000000-0010-0000-0000-0000D4260000}" name="Coluna9935"/>
    <tableColumn id="9941" xr3:uid="{00000000-0010-0000-0000-0000D5260000}" name="Coluna9936"/>
    <tableColumn id="9942" xr3:uid="{00000000-0010-0000-0000-0000D6260000}" name="Coluna9937"/>
    <tableColumn id="9943" xr3:uid="{00000000-0010-0000-0000-0000D7260000}" name="Coluna9938"/>
    <tableColumn id="9944" xr3:uid="{00000000-0010-0000-0000-0000D8260000}" name="Coluna9939"/>
    <tableColumn id="9945" xr3:uid="{00000000-0010-0000-0000-0000D9260000}" name="Coluna9940"/>
    <tableColumn id="9946" xr3:uid="{00000000-0010-0000-0000-0000DA260000}" name="Coluna9941"/>
    <tableColumn id="9947" xr3:uid="{00000000-0010-0000-0000-0000DB260000}" name="Coluna9942"/>
    <tableColumn id="9948" xr3:uid="{00000000-0010-0000-0000-0000DC260000}" name="Coluna9943"/>
    <tableColumn id="9949" xr3:uid="{00000000-0010-0000-0000-0000DD260000}" name="Coluna9944"/>
    <tableColumn id="9950" xr3:uid="{00000000-0010-0000-0000-0000DE260000}" name="Coluna9945"/>
    <tableColumn id="9951" xr3:uid="{00000000-0010-0000-0000-0000DF260000}" name="Coluna9946"/>
    <tableColumn id="9952" xr3:uid="{00000000-0010-0000-0000-0000E0260000}" name="Coluna9947"/>
    <tableColumn id="9953" xr3:uid="{00000000-0010-0000-0000-0000E1260000}" name="Coluna9948"/>
    <tableColumn id="9954" xr3:uid="{00000000-0010-0000-0000-0000E2260000}" name="Coluna9949"/>
    <tableColumn id="9955" xr3:uid="{00000000-0010-0000-0000-0000E3260000}" name="Coluna9950"/>
    <tableColumn id="9956" xr3:uid="{00000000-0010-0000-0000-0000E4260000}" name="Coluna9951"/>
    <tableColumn id="9957" xr3:uid="{00000000-0010-0000-0000-0000E5260000}" name="Coluna9952"/>
    <tableColumn id="9958" xr3:uid="{00000000-0010-0000-0000-0000E6260000}" name="Coluna9953"/>
    <tableColumn id="9959" xr3:uid="{00000000-0010-0000-0000-0000E7260000}" name="Coluna9954"/>
    <tableColumn id="9960" xr3:uid="{00000000-0010-0000-0000-0000E8260000}" name="Coluna9955"/>
    <tableColumn id="9961" xr3:uid="{00000000-0010-0000-0000-0000E9260000}" name="Coluna9956"/>
    <tableColumn id="9962" xr3:uid="{00000000-0010-0000-0000-0000EA260000}" name="Coluna9957"/>
    <tableColumn id="9963" xr3:uid="{00000000-0010-0000-0000-0000EB260000}" name="Coluna9958"/>
    <tableColumn id="9964" xr3:uid="{00000000-0010-0000-0000-0000EC260000}" name="Coluna9959"/>
    <tableColumn id="9965" xr3:uid="{00000000-0010-0000-0000-0000ED260000}" name="Coluna9960"/>
    <tableColumn id="9966" xr3:uid="{00000000-0010-0000-0000-0000EE260000}" name="Coluna9961"/>
    <tableColumn id="9967" xr3:uid="{00000000-0010-0000-0000-0000EF260000}" name="Coluna9962"/>
    <tableColumn id="9968" xr3:uid="{00000000-0010-0000-0000-0000F0260000}" name="Coluna9963"/>
    <tableColumn id="9969" xr3:uid="{00000000-0010-0000-0000-0000F1260000}" name="Coluna9964"/>
    <tableColumn id="9970" xr3:uid="{00000000-0010-0000-0000-0000F2260000}" name="Coluna9965"/>
    <tableColumn id="9971" xr3:uid="{00000000-0010-0000-0000-0000F3260000}" name="Coluna9966"/>
    <tableColumn id="9972" xr3:uid="{00000000-0010-0000-0000-0000F4260000}" name="Coluna9967"/>
    <tableColumn id="9973" xr3:uid="{00000000-0010-0000-0000-0000F5260000}" name="Coluna9968"/>
    <tableColumn id="9974" xr3:uid="{00000000-0010-0000-0000-0000F6260000}" name="Coluna9969"/>
    <tableColumn id="9975" xr3:uid="{00000000-0010-0000-0000-0000F7260000}" name="Coluna9970"/>
    <tableColumn id="9976" xr3:uid="{00000000-0010-0000-0000-0000F8260000}" name="Coluna9971"/>
    <tableColumn id="9977" xr3:uid="{00000000-0010-0000-0000-0000F9260000}" name="Coluna9972"/>
    <tableColumn id="9978" xr3:uid="{00000000-0010-0000-0000-0000FA260000}" name="Coluna9973"/>
    <tableColumn id="9979" xr3:uid="{00000000-0010-0000-0000-0000FB260000}" name="Coluna9974"/>
    <tableColumn id="9980" xr3:uid="{00000000-0010-0000-0000-0000FC260000}" name="Coluna9975"/>
    <tableColumn id="9981" xr3:uid="{00000000-0010-0000-0000-0000FD260000}" name="Coluna9976"/>
    <tableColumn id="9982" xr3:uid="{00000000-0010-0000-0000-0000FE260000}" name="Coluna9977"/>
    <tableColumn id="9983" xr3:uid="{00000000-0010-0000-0000-0000FF260000}" name="Coluna9978"/>
    <tableColumn id="9984" xr3:uid="{00000000-0010-0000-0000-000000270000}" name="Coluna9979"/>
    <tableColumn id="9985" xr3:uid="{00000000-0010-0000-0000-000001270000}" name="Coluna9980"/>
    <tableColumn id="9986" xr3:uid="{00000000-0010-0000-0000-000002270000}" name="Coluna9981"/>
    <tableColumn id="9987" xr3:uid="{00000000-0010-0000-0000-000003270000}" name="Coluna9982"/>
    <tableColumn id="9988" xr3:uid="{00000000-0010-0000-0000-000004270000}" name="Coluna9983"/>
    <tableColumn id="9989" xr3:uid="{00000000-0010-0000-0000-000005270000}" name="Coluna9984"/>
    <tableColumn id="9990" xr3:uid="{00000000-0010-0000-0000-000006270000}" name="Coluna9985"/>
    <tableColumn id="9991" xr3:uid="{00000000-0010-0000-0000-000007270000}" name="Coluna9986"/>
    <tableColumn id="9992" xr3:uid="{00000000-0010-0000-0000-000008270000}" name="Coluna9987"/>
    <tableColumn id="9993" xr3:uid="{00000000-0010-0000-0000-000009270000}" name="Coluna9988"/>
    <tableColumn id="9994" xr3:uid="{00000000-0010-0000-0000-00000A270000}" name="Coluna9989"/>
    <tableColumn id="9995" xr3:uid="{00000000-0010-0000-0000-00000B270000}" name="Coluna9990"/>
    <tableColumn id="9996" xr3:uid="{00000000-0010-0000-0000-00000C270000}" name="Coluna9991"/>
    <tableColumn id="9997" xr3:uid="{00000000-0010-0000-0000-00000D270000}" name="Coluna9992"/>
    <tableColumn id="9998" xr3:uid="{00000000-0010-0000-0000-00000E270000}" name="Coluna9993"/>
    <tableColumn id="9999" xr3:uid="{00000000-0010-0000-0000-00000F270000}" name="Coluna9994"/>
    <tableColumn id="10000" xr3:uid="{00000000-0010-0000-0000-000010270000}" name="Coluna9995"/>
    <tableColumn id="10001" xr3:uid="{00000000-0010-0000-0000-000011270000}" name="Coluna9996"/>
    <tableColumn id="10002" xr3:uid="{00000000-0010-0000-0000-000012270000}" name="Coluna9997"/>
    <tableColumn id="10003" xr3:uid="{00000000-0010-0000-0000-000013270000}" name="Coluna9998"/>
    <tableColumn id="10004" xr3:uid="{00000000-0010-0000-0000-000014270000}" name="Coluna9999"/>
    <tableColumn id="10005" xr3:uid="{00000000-0010-0000-0000-000015270000}" name="Coluna10000"/>
    <tableColumn id="10006" xr3:uid="{00000000-0010-0000-0000-000016270000}" name="Coluna10001"/>
    <tableColumn id="10007" xr3:uid="{00000000-0010-0000-0000-000017270000}" name="Coluna10002"/>
    <tableColumn id="10008" xr3:uid="{00000000-0010-0000-0000-000018270000}" name="Coluna10003"/>
    <tableColumn id="10009" xr3:uid="{00000000-0010-0000-0000-000019270000}" name="Coluna10004"/>
    <tableColumn id="10010" xr3:uid="{00000000-0010-0000-0000-00001A270000}" name="Coluna10005"/>
    <tableColumn id="10011" xr3:uid="{00000000-0010-0000-0000-00001B270000}" name="Coluna10006"/>
    <tableColumn id="10012" xr3:uid="{00000000-0010-0000-0000-00001C270000}" name="Coluna10007"/>
    <tableColumn id="10013" xr3:uid="{00000000-0010-0000-0000-00001D270000}" name="Coluna10008"/>
    <tableColumn id="10014" xr3:uid="{00000000-0010-0000-0000-00001E270000}" name="Coluna10009"/>
    <tableColumn id="10015" xr3:uid="{00000000-0010-0000-0000-00001F270000}" name="Coluna10010"/>
    <tableColumn id="10016" xr3:uid="{00000000-0010-0000-0000-000020270000}" name="Coluna10011"/>
    <tableColumn id="10017" xr3:uid="{00000000-0010-0000-0000-000021270000}" name="Coluna10012"/>
    <tableColumn id="10018" xr3:uid="{00000000-0010-0000-0000-000022270000}" name="Coluna10013"/>
    <tableColumn id="10019" xr3:uid="{00000000-0010-0000-0000-000023270000}" name="Coluna10014"/>
    <tableColumn id="10020" xr3:uid="{00000000-0010-0000-0000-000024270000}" name="Coluna10015"/>
    <tableColumn id="10021" xr3:uid="{00000000-0010-0000-0000-000025270000}" name="Coluna10016"/>
    <tableColumn id="10022" xr3:uid="{00000000-0010-0000-0000-000026270000}" name="Coluna10017"/>
    <tableColumn id="10023" xr3:uid="{00000000-0010-0000-0000-000027270000}" name="Coluna10018"/>
    <tableColumn id="10024" xr3:uid="{00000000-0010-0000-0000-000028270000}" name="Coluna10019"/>
    <tableColumn id="10025" xr3:uid="{00000000-0010-0000-0000-000029270000}" name="Coluna10020"/>
    <tableColumn id="10026" xr3:uid="{00000000-0010-0000-0000-00002A270000}" name="Coluna10021"/>
    <tableColumn id="10027" xr3:uid="{00000000-0010-0000-0000-00002B270000}" name="Coluna10022"/>
    <tableColumn id="10028" xr3:uid="{00000000-0010-0000-0000-00002C270000}" name="Coluna10023"/>
    <tableColumn id="10029" xr3:uid="{00000000-0010-0000-0000-00002D270000}" name="Coluna10024"/>
    <tableColumn id="10030" xr3:uid="{00000000-0010-0000-0000-00002E270000}" name="Coluna10025"/>
    <tableColumn id="10031" xr3:uid="{00000000-0010-0000-0000-00002F270000}" name="Coluna10026"/>
    <tableColumn id="10032" xr3:uid="{00000000-0010-0000-0000-000030270000}" name="Coluna10027"/>
    <tableColumn id="10033" xr3:uid="{00000000-0010-0000-0000-000031270000}" name="Coluna10028"/>
    <tableColumn id="10034" xr3:uid="{00000000-0010-0000-0000-000032270000}" name="Coluna10029"/>
    <tableColumn id="10035" xr3:uid="{00000000-0010-0000-0000-000033270000}" name="Coluna10030"/>
    <tableColumn id="10036" xr3:uid="{00000000-0010-0000-0000-000034270000}" name="Coluna10031"/>
    <tableColumn id="10037" xr3:uid="{00000000-0010-0000-0000-000035270000}" name="Coluna10032"/>
    <tableColumn id="10038" xr3:uid="{00000000-0010-0000-0000-000036270000}" name="Coluna10033"/>
    <tableColumn id="10039" xr3:uid="{00000000-0010-0000-0000-000037270000}" name="Coluna10034"/>
    <tableColumn id="10040" xr3:uid="{00000000-0010-0000-0000-000038270000}" name="Coluna10035"/>
    <tableColumn id="10041" xr3:uid="{00000000-0010-0000-0000-000039270000}" name="Coluna10036"/>
    <tableColumn id="10042" xr3:uid="{00000000-0010-0000-0000-00003A270000}" name="Coluna10037"/>
    <tableColumn id="10043" xr3:uid="{00000000-0010-0000-0000-00003B270000}" name="Coluna10038"/>
    <tableColumn id="10044" xr3:uid="{00000000-0010-0000-0000-00003C270000}" name="Coluna10039"/>
    <tableColumn id="10045" xr3:uid="{00000000-0010-0000-0000-00003D270000}" name="Coluna10040"/>
    <tableColumn id="10046" xr3:uid="{00000000-0010-0000-0000-00003E270000}" name="Coluna10041"/>
    <tableColumn id="10047" xr3:uid="{00000000-0010-0000-0000-00003F270000}" name="Coluna10042"/>
    <tableColumn id="10048" xr3:uid="{00000000-0010-0000-0000-000040270000}" name="Coluna10043"/>
    <tableColumn id="10049" xr3:uid="{00000000-0010-0000-0000-000041270000}" name="Coluna10044"/>
    <tableColumn id="10050" xr3:uid="{00000000-0010-0000-0000-000042270000}" name="Coluna10045"/>
    <tableColumn id="10051" xr3:uid="{00000000-0010-0000-0000-000043270000}" name="Coluna10046"/>
    <tableColumn id="10052" xr3:uid="{00000000-0010-0000-0000-000044270000}" name="Coluna10047"/>
    <tableColumn id="10053" xr3:uid="{00000000-0010-0000-0000-000045270000}" name="Coluna10048"/>
    <tableColumn id="10054" xr3:uid="{00000000-0010-0000-0000-000046270000}" name="Coluna10049"/>
    <tableColumn id="10055" xr3:uid="{00000000-0010-0000-0000-000047270000}" name="Coluna10050"/>
    <tableColumn id="10056" xr3:uid="{00000000-0010-0000-0000-000048270000}" name="Coluna10051"/>
    <tableColumn id="10057" xr3:uid="{00000000-0010-0000-0000-000049270000}" name="Coluna10052"/>
    <tableColumn id="10058" xr3:uid="{00000000-0010-0000-0000-00004A270000}" name="Coluna10053"/>
    <tableColumn id="10059" xr3:uid="{00000000-0010-0000-0000-00004B270000}" name="Coluna10054"/>
    <tableColumn id="10060" xr3:uid="{00000000-0010-0000-0000-00004C270000}" name="Coluna10055"/>
    <tableColumn id="10061" xr3:uid="{00000000-0010-0000-0000-00004D270000}" name="Coluna10056"/>
    <tableColumn id="10062" xr3:uid="{00000000-0010-0000-0000-00004E270000}" name="Coluna10057"/>
    <tableColumn id="10063" xr3:uid="{00000000-0010-0000-0000-00004F270000}" name="Coluna10058"/>
    <tableColumn id="10064" xr3:uid="{00000000-0010-0000-0000-000050270000}" name="Coluna10059"/>
    <tableColumn id="10065" xr3:uid="{00000000-0010-0000-0000-000051270000}" name="Coluna10060"/>
    <tableColumn id="10066" xr3:uid="{00000000-0010-0000-0000-000052270000}" name="Coluna10061"/>
    <tableColumn id="10067" xr3:uid="{00000000-0010-0000-0000-000053270000}" name="Coluna10062"/>
    <tableColumn id="10068" xr3:uid="{00000000-0010-0000-0000-000054270000}" name="Coluna10063"/>
    <tableColumn id="10069" xr3:uid="{00000000-0010-0000-0000-000055270000}" name="Coluna10064"/>
    <tableColumn id="10070" xr3:uid="{00000000-0010-0000-0000-000056270000}" name="Coluna10065"/>
    <tableColumn id="10071" xr3:uid="{00000000-0010-0000-0000-000057270000}" name="Coluna10066"/>
    <tableColumn id="10072" xr3:uid="{00000000-0010-0000-0000-000058270000}" name="Coluna10067"/>
    <tableColumn id="10073" xr3:uid="{00000000-0010-0000-0000-000059270000}" name="Coluna10068"/>
    <tableColumn id="10074" xr3:uid="{00000000-0010-0000-0000-00005A270000}" name="Coluna10069"/>
    <tableColumn id="10075" xr3:uid="{00000000-0010-0000-0000-00005B270000}" name="Coluna10070"/>
    <tableColumn id="10076" xr3:uid="{00000000-0010-0000-0000-00005C270000}" name="Coluna10071"/>
    <tableColumn id="10077" xr3:uid="{00000000-0010-0000-0000-00005D270000}" name="Coluna10072"/>
    <tableColumn id="10078" xr3:uid="{00000000-0010-0000-0000-00005E270000}" name="Coluna10073"/>
    <tableColumn id="10079" xr3:uid="{00000000-0010-0000-0000-00005F270000}" name="Coluna10074"/>
    <tableColumn id="10080" xr3:uid="{00000000-0010-0000-0000-000060270000}" name="Coluna10075"/>
    <tableColumn id="10081" xr3:uid="{00000000-0010-0000-0000-000061270000}" name="Coluna10076"/>
    <tableColumn id="10082" xr3:uid="{00000000-0010-0000-0000-000062270000}" name="Coluna10077"/>
    <tableColumn id="10083" xr3:uid="{00000000-0010-0000-0000-000063270000}" name="Coluna10078"/>
    <tableColumn id="10084" xr3:uid="{00000000-0010-0000-0000-000064270000}" name="Coluna10079"/>
    <tableColumn id="10085" xr3:uid="{00000000-0010-0000-0000-000065270000}" name="Coluna10080"/>
    <tableColumn id="10086" xr3:uid="{00000000-0010-0000-0000-000066270000}" name="Coluna10081"/>
    <tableColumn id="10087" xr3:uid="{00000000-0010-0000-0000-000067270000}" name="Coluna10082"/>
    <tableColumn id="10088" xr3:uid="{00000000-0010-0000-0000-000068270000}" name="Coluna10083"/>
    <tableColumn id="10089" xr3:uid="{00000000-0010-0000-0000-000069270000}" name="Coluna10084"/>
    <tableColumn id="10090" xr3:uid="{00000000-0010-0000-0000-00006A270000}" name="Coluna10085"/>
    <tableColumn id="10091" xr3:uid="{00000000-0010-0000-0000-00006B270000}" name="Coluna10086"/>
    <tableColumn id="10092" xr3:uid="{00000000-0010-0000-0000-00006C270000}" name="Coluna10087"/>
    <tableColumn id="10093" xr3:uid="{00000000-0010-0000-0000-00006D270000}" name="Coluna10088"/>
    <tableColumn id="10094" xr3:uid="{00000000-0010-0000-0000-00006E270000}" name="Coluna10089"/>
    <tableColumn id="10095" xr3:uid="{00000000-0010-0000-0000-00006F270000}" name="Coluna10090"/>
    <tableColumn id="10096" xr3:uid="{00000000-0010-0000-0000-000070270000}" name="Coluna10091"/>
    <tableColumn id="10097" xr3:uid="{00000000-0010-0000-0000-000071270000}" name="Coluna10092"/>
    <tableColumn id="10098" xr3:uid="{00000000-0010-0000-0000-000072270000}" name="Coluna10093"/>
    <tableColumn id="10099" xr3:uid="{00000000-0010-0000-0000-000073270000}" name="Coluna10094"/>
    <tableColumn id="10100" xr3:uid="{00000000-0010-0000-0000-000074270000}" name="Coluna10095"/>
    <tableColumn id="10101" xr3:uid="{00000000-0010-0000-0000-000075270000}" name="Coluna10096"/>
    <tableColumn id="10102" xr3:uid="{00000000-0010-0000-0000-000076270000}" name="Coluna10097"/>
    <tableColumn id="10103" xr3:uid="{00000000-0010-0000-0000-000077270000}" name="Coluna10098"/>
    <tableColumn id="10104" xr3:uid="{00000000-0010-0000-0000-000078270000}" name="Coluna10099"/>
    <tableColumn id="10105" xr3:uid="{00000000-0010-0000-0000-000079270000}" name="Coluna10100"/>
    <tableColumn id="10106" xr3:uid="{00000000-0010-0000-0000-00007A270000}" name="Coluna10101"/>
    <tableColumn id="10107" xr3:uid="{00000000-0010-0000-0000-00007B270000}" name="Coluna10102"/>
    <tableColumn id="10108" xr3:uid="{00000000-0010-0000-0000-00007C270000}" name="Coluna10103"/>
    <tableColumn id="10109" xr3:uid="{00000000-0010-0000-0000-00007D270000}" name="Coluna10104"/>
    <tableColumn id="10110" xr3:uid="{00000000-0010-0000-0000-00007E270000}" name="Coluna10105"/>
    <tableColumn id="10111" xr3:uid="{00000000-0010-0000-0000-00007F270000}" name="Coluna10106"/>
    <tableColumn id="10112" xr3:uid="{00000000-0010-0000-0000-000080270000}" name="Coluna10107"/>
    <tableColumn id="10113" xr3:uid="{00000000-0010-0000-0000-000081270000}" name="Coluna10108"/>
    <tableColumn id="10114" xr3:uid="{00000000-0010-0000-0000-000082270000}" name="Coluna10109"/>
    <tableColumn id="10115" xr3:uid="{00000000-0010-0000-0000-000083270000}" name="Coluna10110"/>
    <tableColumn id="10116" xr3:uid="{00000000-0010-0000-0000-000084270000}" name="Coluna10111"/>
    <tableColumn id="10117" xr3:uid="{00000000-0010-0000-0000-000085270000}" name="Coluna10112"/>
    <tableColumn id="10118" xr3:uid="{00000000-0010-0000-0000-000086270000}" name="Coluna10113"/>
    <tableColumn id="10119" xr3:uid="{00000000-0010-0000-0000-000087270000}" name="Coluna10114"/>
    <tableColumn id="10120" xr3:uid="{00000000-0010-0000-0000-000088270000}" name="Coluna10115"/>
    <tableColumn id="10121" xr3:uid="{00000000-0010-0000-0000-000089270000}" name="Coluna10116"/>
    <tableColumn id="10122" xr3:uid="{00000000-0010-0000-0000-00008A270000}" name="Coluna10117"/>
    <tableColumn id="10123" xr3:uid="{00000000-0010-0000-0000-00008B270000}" name="Coluna10118"/>
    <tableColumn id="10124" xr3:uid="{00000000-0010-0000-0000-00008C270000}" name="Coluna10119"/>
    <tableColumn id="10125" xr3:uid="{00000000-0010-0000-0000-00008D270000}" name="Coluna10120"/>
    <tableColumn id="10126" xr3:uid="{00000000-0010-0000-0000-00008E270000}" name="Coluna10121"/>
    <tableColumn id="10127" xr3:uid="{00000000-0010-0000-0000-00008F270000}" name="Coluna10122"/>
    <tableColumn id="10128" xr3:uid="{00000000-0010-0000-0000-000090270000}" name="Coluna10123"/>
    <tableColumn id="10129" xr3:uid="{00000000-0010-0000-0000-000091270000}" name="Coluna10124"/>
    <tableColumn id="10130" xr3:uid="{00000000-0010-0000-0000-000092270000}" name="Coluna10125"/>
    <tableColumn id="10131" xr3:uid="{00000000-0010-0000-0000-000093270000}" name="Coluna10126"/>
    <tableColumn id="10132" xr3:uid="{00000000-0010-0000-0000-000094270000}" name="Coluna10127"/>
    <tableColumn id="10133" xr3:uid="{00000000-0010-0000-0000-000095270000}" name="Coluna10128"/>
    <tableColumn id="10134" xr3:uid="{00000000-0010-0000-0000-000096270000}" name="Coluna10129"/>
    <tableColumn id="10135" xr3:uid="{00000000-0010-0000-0000-000097270000}" name="Coluna10130"/>
    <tableColumn id="10136" xr3:uid="{00000000-0010-0000-0000-000098270000}" name="Coluna10131"/>
    <tableColumn id="10137" xr3:uid="{00000000-0010-0000-0000-000099270000}" name="Coluna10132"/>
    <tableColumn id="10138" xr3:uid="{00000000-0010-0000-0000-00009A270000}" name="Coluna10133"/>
    <tableColumn id="10139" xr3:uid="{00000000-0010-0000-0000-00009B270000}" name="Coluna10134"/>
    <tableColumn id="10140" xr3:uid="{00000000-0010-0000-0000-00009C270000}" name="Coluna10135"/>
    <tableColumn id="10141" xr3:uid="{00000000-0010-0000-0000-00009D270000}" name="Coluna10136"/>
    <tableColumn id="10142" xr3:uid="{00000000-0010-0000-0000-00009E270000}" name="Coluna10137"/>
    <tableColumn id="10143" xr3:uid="{00000000-0010-0000-0000-00009F270000}" name="Coluna10138"/>
    <tableColumn id="10144" xr3:uid="{00000000-0010-0000-0000-0000A0270000}" name="Coluna10139"/>
    <tableColumn id="10145" xr3:uid="{00000000-0010-0000-0000-0000A1270000}" name="Coluna10140"/>
    <tableColumn id="10146" xr3:uid="{00000000-0010-0000-0000-0000A2270000}" name="Coluna10141"/>
    <tableColumn id="10147" xr3:uid="{00000000-0010-0000-0000-0000A3270000}" name="Coluna10142"/>
    <tableColumn id="10148" xr3:uid="{00000000-0010-0000-0000-0000A4270000}" name="Coluna10143"/>
    <tableColumn id="10149" xr3:uid="{00000000-0010-0000-0000-0000A5270000}" name="Coluna10144"/>
    <tableColumn id="10150" xr3:uid="{00000000-0010-0000-0000-0000A6270000}" name="Coluna10145"/>
    <tableColumn id="10151" xr3:uid="{00000000-0010-0000-0000-0000A7270000}" name="Coluna10146"/>
    <tableColumn id="10152" xr3:uid="{00000000-0010-0000-0000-0000A8270000}" name="Coluna10147"/>
    <tableColumn id="10153" xr3:uid="{00000000-0010-0000-0000-0000A9270000}" name="Coluna10148"/>
    <tableColumn id="10154" xr3:uid="{00000000-0010-0000-0000-0000AA270000}" name="Coluna10149"/>
    <tableColumn id="10155" xr3:uid="{00000000-0010-0000-0000-0000AB270000}" name="Coluna10150"/>
    <tableColumn id="10156" xr3:uid="{00000000-0010-0000-0000-0000AC270000}" name="Coluna10151"/>
    <tableColumn id="10157" xr3:uid="{00000000-0010-0000-0000-0000AD270000}" name="Coluna10152"/>
    <tableColumn id="10158" xr3:uid="{00000000-0010-0000-0000-0000AE270000}" name="Coluna10153"/>
    <tableColumn id="10159" xr3:uid="{00000000-0010-0000-0000-0000AF270000}" name="Coluna10154"/>
    <tableColumn id="10160" xr3:uid="{00000000-0010-0000-0000-0000B0270000}" name="Coluna10155"/>
    <tableColumn id="10161" xr3:uid="{00000000-0010-0000-0000-0000B1270000}" name="Coluna10156"/>
    <tableColumn id="10162" xr3:uid="{00000000-0010-0000-0000-0000B2270000}" name="Coluna10157"/>
    <tableColumn id="10163" xr3:uid="{00000000-0010-0000-0000-0000B3270000}" name="Coluna10158"/>
    <tableColumn id="10164" xr3:uid="{00000000-0010-0000-0000-0000B4270000}" name="Coluna10159"/>
    <tableColumn id="10165" xr3:uid="{00000000-0010-0000-0000-0000B5270000}" name="Coluna10160"/>
    <tableColumn id="10166" xr3:uid="{00000000-0010-0000-0000-0000B6270000}" name="Coluna10161"/>
    <tableColumn id="10167" xr3:uid="{00000000-0010-0000-0000-0000B7270000}" name="Coluna10162"/>
    <tableColumn id="10168" xr3:uid="{00000000-0010-0000-0000-0000B8270000}" name="Coluna10163"/>
    <tableColumn id="10169" xr3:uid="{00000000-0010-0000-0000-0000B9270000}" name="Coluna10164"/>
    <tableColumn id="10170" xr3:uid="{00000000-0010-0000-0000-0000BA270000}" name="Coluna10165"/>
    <tableColumn id="10171" xr3:uid="{00000000-0010-0000-0000-0000BB270000}" name="Coluna10166"/>
    <tableColumn id="10172" xr3:uid="{00000000-0010-0000-0000-0000BC270000}" name="Coluna10167"/>
    <tableColumn id="10173" xr3:uid="{00000000-0010-0000-0000-0000BD270000}" name="Coluna10168"/>
    <tableColumn id="10174" xr3:uid="{00000000-0010-0000-0000-0000BE270000}" name="Coluna10169"/>
    <tableColumn id="10175" xr3:uid="{00000000-0010-0000-0000-0000BF270000}" name="Coluna10170"/>
    <tableColumn id="10176" xr3:uid="{00000000-0010-0000-0000-0000C0270000}" name="Coluna10171"/>
    <tableColumn id="10177" xr3:uid="{00000000-0010-0000-0000-0000C1270000}" name="Coluna10172"/>
    <tableColumn id="10178" xr3:uid="{00000000-0010-0000-0000-0000C2270000}" name="Coluna10173"/>
    <tableColumn id="10179" xr3:uid="{00000000-0010-0000-0000-0000C3270000}" name="Coluna10174"/>
    <tableColumn id="10180" xr3:uid="{00000000-0010-0000-0000-0000C4270000}" name="Coluna10175"/>
    <tableColumn id="10181" xr3:uid="{00000000-0010-0000-0000-0000C5270000}" name="Coluna10176"/>
    <tableColumn id="10182" xr3:uid="{00000000-0010-0000-0000-0000C6270000}" name="Coluna10177"/>
    <tableColumn id="10183" xr3:uid="{00000000-0010-0000-0000-0000C7270000}" name="Coluna10178"/>
    <tableColumn id="10184" xr3:uid="{00000000-0010-0000-0000-0000C8270000}" name="Coluna10179"/>
    <tableColumn id="10185" xr3:uid="{00000000-0010-0000-0000-0000C9270000}" name="Coluna10180"/>
    <tableColumn id="10186" xr3:uid="{00000000-0010-0000-0000-0000CA270000}" name="Coluna10181"/>
    <tableColumn id="10187" xr3:uid="{00000000-0010-0000-0000-0000CB270000}" name="Coluna10182"/>
    <tableColumn id="10188" xr3:uid="{00000000-0010-0000-0000-0000CC270000}" name="Coluna10183"/>
    <tableColumn id="10189" xr3:uid="{00000000-0010-0000-0000-0000CD270000}" name="Coluna10184"/>
    <tableColumn id="10190" xr3:uid="{00000000-0010-0000-0000-0000CE270000}" name="Coluna10185"/>
    <tableColumn id="10191" xr3:uid="{00000000-0010-0000-0000-0000CF270000}" name="Coluna10186"/>
    <tableColumn id="10192" xr3:uid="{00000000-0010-0000-0000-0000D0270000}" name="Coluna10187"/>
    <tableColumn id="10193" xr3:uid="{00000000-0010-0000-0000-0000D1270000}" name="Coluna10188"/>
    <tableColumn id="10194" xr3:uid="{00000000-0010-0000-0000-0000D2270000}" name="Coluna10189"/>
    <tableColumn id="10195" xr3:uid="{00000000-0010-0000-0000-0000D3270000}" name="Coluna10190"/>
    <tableColumn id="10196" xr3:uid="{00000000-0010-0000-0000-0000D4270000}" name="Coluna10191"/>
    <tableColumn id="10197" xr3:uid="{00000000-0010-0000-0000-0000D5270000}" name="Coluna10192"/>
    <tableColumn id="10198" xr3:uid="{00000000-0010-0000-0000-0000D6270000}" name="Coluna10193"/>
    <tableColumn id="10199" xr3:uid="{00000000-0010-0000-0000-0000D7270000}" name="Coluna10194"/>
    <tableColumn id="10200" xr3:uid="{00000000-0010-0000-0000-0000D8270000}" name="Coluna10195"/>
    <tableColumn id="10201" xr3:uid="{00000000-0010-0000-0000-0000D9270000}" name="Coluna10196"/>
    <tableColumn id="10202" xr3:uid="{00000000-0010-0000-0000-0000DA270000}" name="Coluna10197"/>
    <tableColumn id="10203" xr3:uid="{00000000-0010-0000-0000-0000DB270000}" name="Coluna10198"/>
    <tableColumn id="10204" xr3:uid="{00000000-0010-0000-0000-0000DC270000}" name="Coluna10199"/>
    <tableColumn id="10205" xr3:uid="{00000000-0010-0000-0000-0000DD270000}" name="Coluna10200"/>
    <tableColumn id="10206" xr3:uid="{00000000-0010-0000-0000-0000DE270000}" name="Coluna10201"/>
    <tableColumn id="10207" xr3:uid="{00000000-0010-0000-0000-0000DF270000}" name="Coluna10202"/>
    <tableColumn id="10208" xr3:uid="{00000000-0010-0000-0000-0000E0270000}" name="Coluna10203"/>
    <tableColumn id="10209" xr3:uid="{00000000-0010-0000-0000-0000E1270000}" name="Coluna10204"/>
    <tableColumn id="10210" xr3:uid="{00000000-0010-0000-0000-0000E2270000}" name="Coluna10205"/>
    <tableColumn id="10211" xr3:uid="{00000000-0010-0000-0000-0000E3270000}" name="Coluna10206"/>
    <tableColumn id="10212" xr3:uid="{00000000-0010-0000-0000-0000E4270000}" name="Coluna10207"/>
    <tableColumn id="10213" xr3:uid="{00000000-0010-0000-0000-0000E5270000}" name="Coluna10208"/>
    <tableColumn id="10214" xr3:uid="{00000000-0010-0000-0000-0000E6270000}" name="Coluna10209"/>
    <tableColumn id="10215" xr3:uid="{00000000-0010-0000-0000-0000E7270000}" name="Coluna10210"/>
    <tableColumn id="10216" xr3:uid="{00000000-0010-0000-0000-0000E8270000}" name="Coluna10211"/>
    <tableColumn id="10217" xr3:uid="{00000000-0010-0000-0000-0000E9270000}" name="Coluna10212"/>
    <tableColumn id="10218" xr3:uid="{00000000-0010-0000-0000-0000EA270000}" name="Coluna10213"/>
    <tableColumn id="10219" xr3:uid="{00000000-0010-0000-0000-0000EB270000}" name="Coluna10214"/>
    <tableColumn id="10220" xr3:uid="{00000000-0010-0000-0000-0000EC270000}" name="Coluna10215"/>
    <tableColumn id="10221" xr3:uid="{00000000-0010-0000-0000-0000ED270000}" name="Coluna10216"/>
    <tableColumn id="10222" xr3:uid="{00000000-0010-0000-0000-0000EE270000}" name="Coluna10217"/>
    <tableColumn id="10223" xr3:uid="{00000000-0010-0000-0000-0000EF270000}" name="Coluna10218"/>
    <tableColumn id="10224" xr3:uid="{00000000-0010-0000-0000-0000F0270000}" name="Coluna10219"/>
    <tableColumn id="10225" xr3:uid="{00000000-0010-0000-0000-0000F1270000}" name="Coluna10220"/>
    <tableColumn id="10226" xr3:uid="{00000000-0010-0000-0000-0000F2270000}" name="Coluna10221"/>
    <tableColumn id="10227" xr3:uid="{00000000-0010-0000-0000-0000F3270000}" name="Coluna10222"/>
    <tableColumn id="10228" xr3:uid="{00000000-0010-0000-0000-0000F4270000}" name="Coluna10223"/>
    <tableColumn id="10229" xr3:uid="{00000000-0010-0000-0000-0000F5270000}" name="Coluna10224"/>
    <tableColumn id="10230" xr3:uid="{00000000-0010-0000-0000-0000F6270000}" name="Coluna10225"/>
    <tableColumn id="10231" xr3:uid="{00000000-0010-0000-0000-0000F7270000}" name="Coluna10226"/>
    <tableColumn id="10232" xr3:uid="{00000000-0010-0000-0000-0000F8270000}" name="Coluna10227"/>
    <tableColumn id="10233" xr3:uid="{00000000-0010-0000-0000-0000F9270000}" name="Coluna10228"/>
    <tableColumn id="10234" xr3:uid="{00000000-0010-0000-0000-0000FA270000}" name="Coluna10229"/>
    <tableColumn id="10235" xr3:uid="{00000000-0010-0000-0000-0000FB270000}" name="Coluna10230"/>
    <tableColumn id="10236" xr3:uid="{00000000-0010-0000-0000-0000FC270000}" name="Coluna10231"/>
    <tableColumn id="10237" xr3:uid="{00000000-0010-0000-0000-0000FD270000}" name="Coluna10232"/>
    <tableColumn id="10238" xr3:uid="{00000000-0010-0000-0000-0000FE270000}" name="Coluna10233"/>
    <tableColumn id="10239" xr3:uid="{00000000-0010-0000-0000-0000FF270000}" name="Coluna10234"/>
    <tableColumn id="10240" xr3:uid="{00000000-0010-0000-0000-000000280000}" name="Coluna10235"/>
    <tableColumn id="10241" xr3:uid="{00000000-0010-0000-0000-000001280000}" name="Coluna10236"/>
    <tableColumn id="10242" xr3:uid="{00000000-0010-0000-0000-000002280000}" name="Coluna10237"/>
    <tableColumn id="10243" xr3:uid="{00000000-0010-0000-0000-000003280000}" name="Coluna10238"/>
    <tableColumn id="10244" xr3:uid="{00000000-0010-0000-0000-000004280000}" name="Coluna10239"/>
    <tableColumn id="10245" xr3:uid="{00000000-0010-0000-0000-000005280000}" name="Coluna10240"/>
    <tableColumn id="10246" xr3:uid="{00000000-0010-0000-0000-000006280000}" name="Coluna10241"/>
    <tableColumn id="10247" xr3:uid="{00000000-0010-0000-0000-000007280000}" name="Coluna10242"/>
    <tableColumn id="10248" xr3:uid="{00000000-0010-0000-0000-000008280000}" name="Coluna10243"/>
    <tableColumn id="10249" xr3:uid="{00000000-0010-0000-0000-000009280000}" name="Coluna10244"/>
    <tableColumn id="10250" xr3:uid="{00000000-0010-0000-0000-00000A280000}" name="Coluna10245"/>
    <tableColumn id="10251" xr3:uid="{00000000-0010-0000-0000-00000B280000}" name="Coluna10246"/>
    <tableColumn id="10252" xr3:uid="{00000000-0010-0000-0000-00000C280000}" name="Coluna10247"/>
    <tableColumn id="10253" xr3:uid="{00000000-0010-0000-0000-00000D280000}" name="Coluna10248"/>
    <tableColumn id="10254" xr3:uid="{00000000-0010-0000-0000-00000E280000}" name="Coluna10249"/>
    <tableColumn id="10255" xr3:uid="{00000000-0010-0000-0000-00000F280000}" name="Coluna10250"/>
    <tableColumn id="10256" xr3:uid="{00000000-0010-0000-0000-000010280000}" name="Coluna10251"/>
    <tableColumn id="10257" xr3:uid="{00000000-0010-0000-0000-000011280000}" name="Coluna10252"/>
    <tableColumn id="10258" xr3:uid="{00000000-0010-0000-0000-000012280000}" name="Coluna10253"/>
    <tableColumn id="10259" xr3:uid="{00000000-0010-0000-0000-000013280000}" name="Coluna10254"/>
    <tableColumn id="10260" xr3:uid="{00000000-0010-0000-0000-000014280000}" name="Coluna10255"/>
    <tableColumn id="10261" xr3:uid="{00000000-0010-0000-0000-000015280000}" name="Coluna10256"/>
    <tableColumn id="10262" xr3:uid="{00000000-0010-0000-0000-000016280000}" name="Coluna10257"/>
    <tableColumn id="10263" xr3:uid="{00000000-0010-0000-0000-000017280000}" name="Coluna10258"/>
    <tableColumn id="10264" xr3:uid="{00000000-0010-0000-0000-000018280000}" name="Coluna10259"/>
    <tableColumn id="10265" xr3:uid="{00000000-0010-0000-0000-000019280000}" name="Coluna10260"/>
    <tableColumn id="10266" xr3:uid="{00000000-0010-0000-0000-00001A280000}" name="Coluna10261"/>
    <tableColumn id="10267" xr3:uid="{00000000-0010-0000-0000-00001B280000}" name="Coluna10262"/>
    <tableColumn id="10268" xr3:uid="{00000000-0010-0000-0000-00001C280000}" name="Coluna10263"/>
    <tableColumn id="10269" xr3:uid="{00000000-0010-0000-0000-00001D280000}" name="Coluna10264"/>
    <tableColumn id="10270" xr3:uid="{00000000-0010-0000-0000-00001E280000}" name="Coluna10265"/>
    <tableColumn id="10271" xr3:uid="{00000000-0010-0000-0000-00001F280000}" name="Coluna10266"/>
    <tableColumn id="10272" xr3:uid="{00000000-0010-0000-0000-000020280000}" name="Coluna10267"/>
    <tableColumn id="10273" xr3:uid="{00000000-0010-0000-0000-000021280000}" name="Coluna10268"/>
    <tableColumn id="10274" xr3:uid="{00000000-0010-0000-0000-000022280000}" name="Coluna10269"/>
    <tableColumn id="10275" xr3:uid="{00000000-0010-0000-0000-000023280000}" name="Coluna10270"/>
    <tableColumn id="10276" xr3:uid="{00000000-0010-0000-0000-000024280000}" name="Coluna10271"/>
    <tableColumn id="10277" xr3:uid="{00000000-0010-0000-0000-000025280000}" name="Coluna10272"/>
    <tableColumn id="10278" xr3:uid="{00000000-0010-0000-0000-000026280000}" name="Coluna10273"/>
    <tableColumn id="10279" xr3:uid="{00000000-0010-0000-0000-000027280000}" name="Coluna10274"/>
    <tableColumn id="10280" xr3:uid="{00000000-0010-0000-0000-000028280000}" name="Coluna10275"/>
    <tableColumn id="10281" xr3:uid="{00000000-0010-0000-0000-000029280000}" name="Coluna10276"/>
    <tableColumn id="10282" xr3:uid="{00000000-0010-0000-0000-00002A280000}" name="Coluna10277"/>
    <tableColumn id="10283" xr3:uid="{00000000-0010-0000-0000-00002B280000}" name="Coluna10278"/>
    <tableColumn id="10284" xr3:uid="{00000000-0010-0000-0000-00002C280000}" name="Coluna10279"/>
    <tableColumn id="10285" xr3:uid="{00000000-0010-0000-0000-00002D280000}" name="Coluna10280"/>
    <tableColumn id="10286" xr3:uid="{00000000-0010-0000-0000-00002E280000}" name="Coluna10281"/>
    <tableColumn id="10287" xr3:uid="{00000000-0010-0000-0000-00002F280000}" name="Coluna10282"/>
    <tableColumn id="10288" xr3:uid="{00000000-0010-0000-0000-000030280000}" name="Coluna10283"/>
    <tableColumn id="10289" xr3:uid="{00000000-0010-0000-0000-000031280000}" name="Coluna10284"/>
    <tableColumn id="10290" xr3:uid="{00000000-0010-0000-0000-000032280000}" name="Coluna10285"/>
    <tableColumn id="10291" xr3:uid="{00000000-0010-0000-0000-000033280000}" name="Coluna10286"/>
    <tableColumn id="10292" xr3:uid="{00000000-0010-0000-0000-000034280000}" name="Coluna10287"/>
    <tableColumn id="10293" xr3:uid="{00000000-0010-0000-0000-000035280000}" name="Coluna10288"/>
    <tableColumn id="10294" xr3:uid="{00000000-0010-0000-0000-000036280000}" name="Coluna10289"/>
    <tableColumn id="10295" xr3:uid="{00000000-0010-0000-0000-000037280000}" name="Coluna10290"/>
    <tableColumn id="10296" xr3:uid="{00000000-0010-0000-0000-000038280000}" name="Coluna10291"/>
    <tableColumn id="10297" xr3:uid="{00000000-0010-0000-0000-000039280000}" name="Coluna10292"/>
    <tableColumn id="10298" xr3:uid="{00000000-0010-0000-0000-00003A280000}" name="Coluna10293"/>
    <tableColumn id="10299" xr3:uid="{00000000-0010-0000-0000-00003B280000}" name="Coluna10294"/>
    <tableColumn id="10300" xr3:uid="{00000000-0010-0000-0000-00003C280000}" name="Coluna10295"/>
    <tableColumn id="10301" xr3:uid="{00000000-0010-0000-0000-00003D280000}" name="Coluna10296"/>
    <tableColumn id="10302" xr3:uid="{00000000-0010-0000-0000-00003E280000}" name="Coluna10297"/>
    <tableColumn id="10303" xr3:uid="{00000000-0010-0000-0000-00003F280000}" name="Coluna10298"/>
    <tableColumn id="10304" xr3:uid="{00000000-0010-0000-0000-000040280000}" name="Coluna10299"/>
    <tableColumn id="10305" xr3:uid="{00000000-0010-0000-0000-000041280000}" name="Coluna10300"/>
    <tableColumn id="10306" xr3:uid="{00000000-0010-0000-0000-000042280000}" name="Coluna10301"/>
    <tableColumn id="10307" xr3:uid="{00000000-0010-0000-0000-000043280000}" name="Coluna10302"/>
    <tableColumn id="10308" xr3:uid="{00000000-0010-0000-0000-000044280000}" name="Coluna10303"/>
    <tableColumn id="10309" xr3:uid="{00000000-0010-0000-0000-000045280000}" name="Coluna10304"/>
    <tableColumn id="10310" xr3:uid="{00000000-0010-0000-0000-000046280000}" name="Coluna10305"/>
    <tableColumn id="10311" xr3:uid="{00000000-0010-0000-0000-000047280000}" name="Coluna10306"/>
    <tableColumn id="10312" xr3:uid="{00000000-0010-0000-0000-000048280000}" name="Coluna10307"/>
    <tableColumn id="10313" xr3:uid="{00000000-0010-0000-0000-000049280000}" name="Coluna10308"/>
    <tableColumn id="10314" xr3:uid="{00000000-0010-0000-0000-00004A280000}" name="Coluna10309"/>
    <tableColumn id="10315" xr3:uid="{00000000-0010-0000-0000-00004B280000}" name="Coluna10310"/>
    <tableColumn id="10316" xr3:uid="{00000000-0010-0000-0000-00004C280000}" name="Coluna10311"/>
    <tableColumn id="10317" xr3:uid="{00000000-0010-0000-0000-00004D280000}" name="Coluna10312"/>
    <tableColumn id="10318" xr3:uid="{00000000-0010-0000-0000-00004E280000}" name="Coluna10313"/>
    <tableColumn id="10319" xr3:uid="{00000000-0010-0000-0000-00004F280000}" name="Coluna10314"/>
    <tableColumn id="10320" xr3:uid="{00000000-0010-0000-0000-000050280000}" name="Coluna10315"/>
    <tableColumn id="10321" xr3:uid="{00000000-0010-0000-0000-000051280000}" name="Coluna10316"/>
    <tableColumn id="10322" xr3:uid="{00000000-0010-0000-0000-000052280000}" name="Coluna10317"/>
    <tableColumn id="10323" xr3:uid="{00000000-0010-0000-0000-000053280000}" name="Coluna10318"/>
    <tableColumn id="10324" xr3:uid="{00000000-0010-0000-0000-000054280000}" name="Coluna10319"/>
    <tableColumn id="10325" xr3:uid="{00000000-0010-0000-0000-000055280000}" name="Coluna10320"/>
    <tableColumn id="10326" xr3:uid="{00000000-0010-0000-0000-000056280000}" name="Coluna10321"/>
    <tableColumn id="10327" xr3:uid="{00000000-0010-0000-0000-000057280000}" name="Coluna10322"/>
    <tableColumn id="10328" xr3:uid="{00000000-0010-0000-0000-000058280000}" name="Coluna10323"/>
    <tableColumn id="10329" xr3:uid="{00000000-0010-0000-0000-000059280000}" name="Coluna10324"/>
    <tableColumn id="10330" xr3:uid="{00000000-0010-0000-0000-00005A280000}" name="Coluna10325"/>
    <tableColumn id="10331" xr3:uid="{00000000-0010-0000-0000-00005B280000}" name="Coluna10326"/>
    <tableColumn id="10332" xr3:uid="{00000000-0010-0000-0000-00005C280000}" name="Coluna10327"/>
    <tableColumn id="10333" xr3:uid="{00000000-0010-0000-0000-00005D280000}" name="Coluna10328"/>
    <tableColumn id="10334" xr3:uid="{00000000-0010-0000-0000-00005E280000}" name="Coluna10329"/>
    <tableColumn id="10335" xr3:uid="{00000000-0010-0000-0000-00005F280000}" name="Coluna10330"/>
    <tableColumn id="10336" xr3:uid="{00000000-0010-0000-0000-000060280000}" name="Coluna10331"/>
    <tableColumn id="10337" xr3:uid="{00000000-0010-0000-0000-000061280000}" name="Coluna10332"/>
    <tableColumn id="10338" xr3:uid="{00000000-0010-0000-0000-000062280000}" name="Coluna10333"/>
    <tableColumn id="10339" xr3:uid="{00000000-0010-0000-0000-000063280000}" name="Coluna10334"/>
    <tableColumn id="10340" xr3:uid="{00000000-0010-0000-0000-000064280000}" name="Coluna10335"/>
    <tableColumn id="10341" xr3:uid="{00000000-0010-0000-0000-000065280000}" name="Coluna10336"/>
    <tableColumn id="10342" xr3:uid="{00000000-0010-0000-0000-000066280000}" name="Coluna10337"/>
    <tableColumn id="10343" xr3:uid="{00000000-0010-0000-0000-000067280000}" name="Coluna10338"/>
    <tableColumn id="10344" xr3:uid="{00000000-0010-0000-0000-000068280000}" name="Coluna10339"/>
    <tableColumn id="10345" xr3:uid="{00000000-0010-0000-0000-000069280000}" name="Coluna10340"/>
    <tableColumn id="10346" xr3:uid="{00000000-0010-0000-0000-00006A280000}" name="Coluna10341"/>
    <tableColumn id="10347" xr3:uid="{00000000-0010-0000-0000-00006B280000}" name="Coluna10342"/>
    <tableColumn id="10348" xr3:uid="{00000000-0010-0000-0000-00006C280000}" name="Coluna10343"/>
    <tableColumn id="10349" xr3:uid="{00000000-0010-0000-0000-00006D280000}" name="Coluna10344"/>
    <tableColumn id="10350" xr3:uid="{00000000-0010-0000-0000-00006E280000}" name="Coluna10345"/>
    <tableColumn id="10351" xr3:uid="{00000000-0010-0000-0000-00006F280000}" name="Coluna10346"/>
    <tableColumn id="10352" xr3:uid="{00000000-0010-0000-0000-000070280000}" name="Coluna10347"/>
    <tableColumn id="10353" xr3:uid="{00000000-0010-0000-0000-000071280000}" name="Coluna10348"/>
    <tableColumn id="10354" xr3:uid="{00000000-0010-0000-0000-000072280000}" name="Coluna10349"/>
    <tableColumn id="10355" xr3:uid="{00000000-0010-0000-0000-000073280000}" name="Coluna10350"/>
    <tableColumn id="10356" xr3:uid="{00000000-0010-0000-0000-000074280000}" name="Coluna10351"/>
    <tableColumn id="10357" xr3:uid="{00000000-0010-0000-0000-000075280000}" name="Coluna10352"/>
    <tableColumn id="10358" xr3:uid="{00000000-0010-0000-0000-000076280000}" name="Coluna10353"/>
    <tableColumn id="10359" xr3:uid="{00000000-0010-0000-0000-000077280000}" name="Coluna10354"/>
    <tableColumn id="10360" xr3:uid="{00000000-0010-0000-0000-000078280000}" name="Coluna10355"/>
    <tableColumn id="10361" xr3:uid="{00000000-0010-0000-0000-000079280000}" name="Coluna10356"/>
    <tableColumn id="10362" xr3:uid="{00000000-0010-0000-0000-00007A280000}" name="Coluna10357"/>
    <tableColumn id="10363" xr3:uid="{00000000-0010-0000-0000-00007B280000}" name="Coluna10358"/>
    <tableColumn id="10364" xr3:uid="{00000000-0010-0000-0000-00007C280000}" name="Coluna10359"/>
    <tableColumn id="10365" xr3:uid="{00000000-0010-0000-0000-00007D280000}" name="Coluna10360"/>
    <tableColumn id="10366" xr3:uid="{00000000-0010-0000-0000-00007E280000}" name="Coluna10361"/>
    <tableColumn id="10367" xr3:uid="{00000000-0010-0000-0000-00007F280000}" name="Coluna10362"/>
    <tableColumn id="10368" xr3:uid="{00000000-0010-0000-0000-000080280000}" name="Coluna10363"/>
    <tableColumn id="10369" xr3:uid="{00000000-0010-0000-0000-000081280000}" name="Coluna10364"/>
    <tableColumn id="10370" xr3:uid="{00000000-0010-0000-0000-000082280000}" name="Coluna10365"/>
    <tableColumn id="10371" xr3:uid="{00000000-0010-0000-0000-000083280000}" name="Coluna10366"/>
    <tableColumn id="10372" xr3:uid="{00000000-0010-0000-0000-000084280000}" name="Coluna10367"/>
    <tableColumn id="10373" xr3:uid="{00000000-0010-0000-0000-000085280000}" name="Coluna10368"/>
    <tableColumn id="10374" xr3:uid="{00000000-0010-0000-0000-000086280000}" name="Coluna10369"/>
    <tableColumn id="10375" xr3:uid="{00000000-0010-0000-0000-000087280000}" name="Coluna10370"/>
    <tableColumn id="10376" xr3:uid="{00000000-0010-0000-0000-000088280000}" name="Coluna10371"/>
    <tableColumn id="10377" xr3:uid="{00000000-0010-0000-0000-000089280000}" name="Coluna10372"/>
    <tableColumn id="10378" xr3:uid="{00000000-0010-0000-0000-00008A280000}" name="Coluna10373"/>
    <tableColumn id="10379" xr3:uid="{00000000-0010-0000-0000-00008B280000}" name="Coluna10374"/>
    <tableColumn id="10380" xr3:uid="{00000000-0010-0000-0000-00008C280000}" name="Coluna10375"/>
    <tableColumn id="10381" xr3:uid="{00000000-0010-0000-0000-00008D280000}" name="Coluna10376"/>
    <tableColumn id="10382" xr3:uid="{00000000-0010-0000-0000-00008E280000}" name="Coluna10377"/>
    <tableColumn id="10383" xr3:uid="{00000000-0010-0000-0000-00008F280000}" name="Coluna10378"/>
    <tableColumn id="10384" xr3:uid="{00000000-0010-0000-0000-000090280000}" name="Coluna10379"/>
    <tableColumn id="10385" xr3:uid="{00000000-0010-0000-0000-000091280000}" name="Coluna10380"/>
    <tableColumn id="10386" xr3:uid="{00000000-0010-0000-0000-000092280000}" name="Coluna10381"/>
    <tableColumn id="10387" xr3:uid="{00000000-0010-0000-0000-000093280000}" name="Coluna10382"/>
    <tableColumn id="10388" xr3:uid="{00000000-0010-0000-0000-000094280000}" name="Coluna10383"/>
    <tableColumn id="10389" xr3:uid="{00000000-0010-0000-0000-000095280000}" name="Coluna10384"/>
    <tableColumn id="10390" xr3:uid="{00000000-0010-0000-0000-000096280000}" name="Coluna10385"/>
    <tableColumn id="10391" xr3:uid="{00000000-0010-0000-0000-000097280000}" name="Coluna10386"/>
    <tableColumn id="10392" xr3:uid="{00000000-0010-0000-0000-000098280000}" name="Coluna10387"/>
    <tableColumn id="10393" xr3:uid="{00000000-0010-0000-0000-000099280000}" name="Coluna10388"/>
    <tableColumn id="10394" xr3:uid="{00000000-0010-0000-0000-00009A280000}" name="Coluna10389"/>
    <tableColumn id="10395" xr3:uid="{00000000-0010-0000-0000-00009B280000}" name="Coluna10390"/>
    <tableColumn id="10396" xr3:uid="{00000000-0010-0000-0000-00009C280000}" name="Coluna10391"/>
    <tableColumn id="10397" xr3:uid="{00000000-0010-0000-0000-00009D280000}" name="Coluna10392"/>
    <tableColumn id="10398" xr3:uid="{00000000-0010-0000-0000-00009E280000}" name="Coluna10393"/>
    <tableColumn id="10399" xr3:uid="{00000000-0010-0000-0000-00009F280000}" name="Coluna10394"/>
    <tableColumn id="10400" xr3:uid="{00000000-0010-0000-0000-0000A0280000}" name="Coluna10395"/>
    <tableColumn id="10401" xr3:uid="{00000000-0010-0000-0000-0000A1280000}" name="Coluna10396"/>
    <tableColumn id="10402" xr3:uid="{00000000-0010-0000-0000-0000A2280000}" name="Coluna10397"/>
    <tableColumn id="10403" xr3:uid="{00000000-0010-0000-0000-0000A3280000}" name="Coluna10398"/>
    <tableColumn id="10404" xr3:uid="{00000000-0010-0000-0000-0000A4280000}" name="Coluna10399"/>
    <tableColumn id="10405" xr3:uid="{00000000-0010-0000-0000-0000A5280000}" name="Coluna10400"/>
    <tableColumn id="10406" xr3:uid="{00000000-0010-0000-0000-0000A6280000}" name="Coluna10401"/>
    <tableColumn id="10407" xr3:uid="{00000000-0010-0000-0000-0000A7280000}" name="Coluna10402"/>
    <tableColumn id="10408" xr3:uid="{00000000-0010-0000-0000-0000A8280000}" name="Coluna10403"/>
    <tableColumn id="10409" xr3:uid="{00000000-0010-0000-0000-0000A9280000}" name="Coluna10404"/>
    <tableColumn id="10410" xr3:uid="{00000000-0010-0000-0000-0000AA280000}" name="Coluna10405"/>
    <tableColumn id="10411" xr3:uid="{00000000-0010-0000-0000-0000AB280000}" name="Coluna10406"/>
    <tableColumn id="10412" xr3:uid="{00000000-0010-0000-0000-0000AC280000}" name="Coluna10407"/>
    <tableColumn id="10413" xr3:uid="{00000000-0010-0000-0000-0000AD280000}" name="Coluna10408"/>
    <tableColumn id="10414" xr3:uid="{00000000-0010-0000-0000-0000AE280000}" name="Coluna10409"/>
    <tableColumn id="10415" xr3:uid="{00000000-0010-0000-0000-0000AF280000}" name="Coluna10410"/>
    <tableColumn id="10416" xr3:uid="{00000000-0010-0000-0000-0000B0280000}" name="Coluna10411"/>
    <tableColumn id="10417" xr3:uid="{00000000-0010-0000-0000-0000B1280000}" name="Coluna10412"/>
    <tableColumn id="10418" xr3:uid="{00000000-0010-0000-0000-0000B2280000}" name="Coluna10413"/>
    <tableColumn id="10419" xr3:uid="{00000000-0010-0000-0000-0000B3280000}" name="Coluna10414"/>
    <tableColumn id="10420" xr3:uid="{00000000-0010-0000-0000-0000B4280000}" name="Coluna10415"/>
    <tableColumn id="10421" xr3:uid="{00000000-0010-0000-0000-0000B5280000}" name="Coluna10416"/>
    <tableColumn id="10422" xr3:uid="{00000000-0010-0000-0000-0000B6280000}" name="Coluna10417"/>
    <tableColumn id="10423" xr3:uid="{00000000-0010-0000-0000-0000B7280000}" name="Coluna10418"/>
    <tableColumn id="10424" xr3:uid="{00000000-0010-0000-0000-0000B8280000}" name="Coluna10419"/>
    <tableColumn id="10425" xr3:uid="{00000000-0010-0000-0000-0000B9280000}" name="Coluna10420"/>
    <tableColumn id="10426" xr3:uid="{00000000-0010-0000-0000-0000BA280000}" name="Coluna10421"/>
    <tableColumn id="10427" xr3:uid="{00000000-0010-0000-0000-0000BB280000}" name="Coluna10422"/>
    <tableColumn id="10428" xr3:uid="{00000000-0010-0000-0000-0000BC280000}" name="Coluna10423"/>
    <tableColumn id="10429" xr3:uid="{00000000-0010-0000-0000-0000BD280000}" name="Coluna10424"/>
    <tableColumn id="10430" xr3:uid="{00000000-0010-0000-0000-0000BE280000}" name="Coluna10425"/>
    <tableColumn id="10431" xr3:uid="{00000000-0010-0000-0000-0000BF280000}" name="Coluna10426"/>
    <tableColumn id="10432" xr3:uid="{00000000-0010-0000-0000-0000C0280000}" name="Coluna10427"/>
    <tableColumn id="10433" xr3:uid="{00000000-0010-0000-0000-0000C1280000}" name="Coluna10428"/>
    <tableColumn id="10434" xr3:uid="{00000000-0010-0000-0000-0000C2280000}" name="Coluna10429"/>
    <tableColumn id="10435" xr3:uid="{00000000-0010-0000-0000-0000C3280000}" name="Coluna10430"/>
    <tableColumn id="10436" xr3:uid="{00000000-0010-0000-0000-0000C4280000}" name="Coluna10431"/>
    <tableColumn id="10437" xr3:uid="{00000000-0010-0000-0000-0000C5280000}" name="Coluna10432"/>
    <tableColumn id="10438" xr3:uid="{00000000-0010-0000-0000-0000C6280000}" name="Coluna10433"/>
    <tableColumn id="10439" xr3:uid="{00000000-0010-0000-0000-0000C7280000}" name="Coluna10434"/>
    <tableColumn id="10440" xr3:uid="{00000000-0010-0000-0000-0000C8280000}" name="Coluna10435"/>
    <tableColumn id="10441" xr3:uid="{00000000-0010-0000-0000-0000C9280000}" name="Coluna10436"/>
    <tableColumn id="10442" xr3:uid="{00000000-0010-0000-0000-0000CA280000}" name="Coluna10437"/>
    <tableColumn id="10443" xr3:uid="{00000000-0010-0000-0000-0000CB280000}" name="Coluna10438"/>
    <tableColumn id="10444" xr3:uid="{00000000-0010-0000-0000-0000CC280000}" name="Coluna10439"/>
    <tableColumn id="10445" xr3:uid="{00000000-0010-0000-0000-0000CD280000}" name="Coluna10440"/>
    <tableColumn id="10446" xr3:uid="{00000000-0010-0000-0000-0000CE280000}" name="Coluna10441"/>
    <tableColumn id="10447" xr3:uid="{00000000-0010-0000-0000-0000CF280000}" name="Coluna10442"/>
    <tableColumn id="10448" xr3:uid="{00000000-0010-0000-0000-0000D0280000}" name="Coluna10443"/>
    <tableColumn id="10449" xr3:uid="{00000000-0010-0000-0000-0000D1280000}" name="Coluna10444"/>
    <tableColumn id="10450" xr3:uid="{00000000-0010-0000-0000-0000D2280000}" name="Coluna10445"/>
    <tableColumn id="10451" xr3:uid="{00000000-0010-0000-0000-0000D3280000}" name="Coluna10446"/>
    <tableColumn id="10452" xr3:uid="{00000000-0010-0000-0000-0000D4280000}" name="Coluna10447"/>
    <tableColumn id="10453" xr3:uid="{00000000-0010-0000-0000-0000D5280000}" name="Coluna10448"/>
    <tableColumn id="10454" xr3:uid="{00000000-0010-0000-0000-0000D6280000}" name="Coluna10449"/>
    <tableColumn id="10455" xr3:uid="{00000000-0010-0000-0000-0000D7280000}" name="Coluna10450"/>
    <tableColumn id="10456" xr3:uid="{00000000-0010-0000-0000-0000D8280000}" name="Coluna10451"/>
    <tableColumn id="10457" xr3:uid="{00000000-0010-0000-0000-0000D9280000}" name="Coluna10452"/>
    <tableColumn id="10458" xr3:uid="{00000000-0010-0000-0000-0000DA280000}" name="Coluna10453"/>
    <tableColumn id="10459" xr3:uid="{00000000-0010-0000-0000-0000DB280000}" name="Coluna10454"/>
    <tableColumn id="10460" xr3:uid="{00000000-0010-0000-0000-0000DC280000}" name="Coluna10455"/>
    <tableColumn id="10461" xr3:uid="{00000000-0010-0000-0000-0000DD280000}" name="Coluna10456"/>
    <tableColumn id="10462" xr3:uid="{00000000-0010-0000-0000-0000DE280000}" name="Coluna10457"/>
    <tableColumn id="10463" xr3:uid="{00000000-0010-0000-0000-0000DF280000}" name="Coluna10458"/>
    <tableColumn id="10464" xr3:uid="{00000000-0010-0000-0000-0000E0280000}" name="Coluna10459"/>
    <tableColumn id="10465" xr3:uid="{00000000-0010-0000-0000-0000E1280000}" name="Coluna10460"/>
    <tableColumn id="10466" xr3:uid="{00000000-0010-0000-0000-0000E2280000}" name="Coluna10461"/>
    <tableColumn id="10467" xr3:uid="{00000000-0010-0000-0000-0000E3280000}" name="Coluna10462"/>
    <tableColumn id="10468" xr3:uid="{00000000-0010-0000-0000-0000E4280000}" name="Coluna10463"/>
    <tableColumn id="10469" xr3:uid="{00000000-0010-0000-0000-0000E5280000}" name="Coluna10464"/>
    <tableColumn id="10470" xr3:uid="{00000000-0010-0000-0000-0000E6280000}" name="Coluna10465"/>
    <tableColumn id="10471" xr3:uid="{00000000-0010-0000-0000-0000E7280000}" name="Coluna10466"/>
    <tableColumn id="10472" xr3:uid="{00000000-0010-0000-0000-0000E8280000}" name="Coluna10467"/>
    <tableColumn id="10473" xr3:uid="{00000000-0010-0000-0000-0000E9280000}" name="Coluna10468"/>
    <tableColumn id="10474" xr3:uid="{00000000-0010-0000-0000-0000EA280000}" name="Coluna10469"/>
    <tableColumn id="10475" xr3:uid="{00000000-0010-0000-0000-0000EB280000}" name="Coluna10470"/>
    <tableColumn id="10476" xr3:uid="{00000000-0010-0000-0000-0000EC280000}" name="Coluna10471"/>
    <tableColumn id="10477" xr3:uid="{00000000-0010-0000-0000-0000ED280000}" name="Coluna10472"/>
    <tableColumn id="10478" xr3:uid="{00000000-0010-0000-0000-0000EE280000}" name="Coluna10473"/>
    <tableColumn id="10479" xr3:uid="{00000000-0010-0000-0000-0000EF280000}" name="Coluna10474"/>
    <tableColumn id="10480" xr3:uid="{00000000-0010-0000-0000-0000F0280000}" name="Coluna10475"/>
    <tableColumn id="10481" xr3:uid="{00000000-0010-0000-0000-0000F1280000}" name="Coluna10476"/>
    <tableColumn id="10482" xr3:uid="{00000000-0010-0000-0000-0000F2280000}" name="Coluna10477"/>
    <tableColumn id="10483" xr3:uid="{00000000-0010-0000-0000-0000F3280000}" name="Coluna10478"/>
    <tableColumn id="10484" xr3:uid="{00000000-0010-0000-0000-0000F4280000}" name="Coluna10479"/>
    <tableColumn id="10485" xr3:uid="{00000000-0010-0000-0000-0000F5280000}" name="Coluna10480"/>
    <tableColumn id="10486" xr3:uid="{00000000-0010-0000-0000-0000F6280000}" name="Coluna10481"/>
    <tableColumn id="10487" xr3:uid="{00000000-0010-0000-0000-0000F7280000}" name="Coluna10482"/>
    <tableColumn id="10488" xr3:uid="{00000000-0010-0000-0000-0000F8280000}" name="Coluna10483"/>
    <tableColumn id="10489" xr3:uid="{00000000-0010-0000-0000-0000F9280000}" name="Coluna10484"/>
    <tableColumn id="10490" xr3:uid="{00000000-0010-0000-0000-0000FA280000}" name="Coluna10485"/>
    <tableColumn id="10491" xr3:uid="{00000000-0010-0000-0000-0000FB280000}" name="Coluna10486"/>
    <tableColumn id="10492" xr3:uid="{00000000-0010-0000-0000-0000FC280000}" name="Coluna10487"/>
    <tableColumn id="10493" xr3:uid="{00000000-0010-0000-0000-0000FD280000}" name="Coluna10488"/>
    <tableColumn id="10494" xr3:uid="{00000000-0010-0000-0000-0000FE280000}" name="Coluna10489"/>
    <tableColumn id="10495" xr3:uid="{00000000-0010-0000-0000-0000FF280000}" name="Coluna10490"/>
    <tableColumn id="10496" xr3:uid="{00000000-0010-0000-0000-000000290000}" name="Coluna10491"/>
    <tableColumn id="10497" xr3:uid="{00000000-0010-0000-0000-000001290000}" name="Coluna10492"/>
    <tableColumn id="10498" xr3:uid="{00000000-0010-0000-0000-000002290000}" name="Coluna10493"/>
    <tableColumn id="10499" xr3:uid="{00000000-0010-0000-0000-000003290000}" name="Coluna10494"/>
    <tableColumn id="10500" xr3:uid="{00000000-0010-0000-0000-000004290000}" name="Coluna10495"/>
    <tableColumn id="10501" xr3:uid="{00000000-0010-0000-0000-000005290000}" name="Coluna10496"/>
    <tableColumn id="10502" xr3:uid="{00000000-0010-0000-0000-000006290000}" name="Coluna10497"/>
    <tableColumn id="10503" xr3:uid="{00000000-0010-0000-0000-000007290000}" name="Coluna10498"/>
    <tableColumn id="10504" xr3:uid="{00000000-0010-0000-0000-000008290000}" name="Coluna10499"/>
    <tableColumn id="10505" xr3:uid="{00000000-0010-0000-0000-000009290000}" name="Coluna10500"/>
    <tableColumn id="10506" xr3:uid="{00000000-0010-0000-0000-00000A290000}" name="Coluna10501"/>
    <tableColumn id="10507" xr3:uid="{00000000-0010-0000-0000-00000B290000}" name="Coluna10502"/>
    <tableColumn id="10508" xr3:uid="{00000000-0010-0000-0000-00000C290000}" name="Coluna10503"/>
    <tableColumn id="10509" xr3:uid="{00000000-0010-0000-0000-00000D290000}" name="Coluna10504"/>
    <tableColumn id="10510" xr3:uid="{00000000-0010-0000-0000-00000E290000}" name="Coluna10505"/>
    <tableColumn id="10511" xr3:uid="{00000000-0010-0000-0000-00000F290000}" name="Coluna10506"/>
    <tableColumn id="10512" xr3:uid="{00000000-0010-0000-0000-000010290000}" name="Coluna10507"/>
    <tableColumn id="10513" xr3:uid="{00000000-0010-0000-0000-000011290000}" name="Coluna10508"/>
    <tableColumn id="10514" xr3:uid="{00000000-0010-0000-0000-000012290000}" name="Coluna10509"/>
    <tableColumn id="10515" xr3:uid="{00000000-0010-0000-0000-000013290000}" name="Coluna10510"/>
    <tableColumn id="10516" xr3:uid="{00000000-0010-0000-0000-000014290000}" name="Coluna10511"/>
    <tableColumn id="10517" xr3:uid="{00000000-0010-0000-0000-000015290000}" name="Coluna10512"/>
    <tableColumn id="10518" xr3:uid="{00000000-0010-0000-0000-000016290000}" name="Coluna10513"/>
    <tableColumn id="10519" xr3:uid="{00000000-0010-0000-0000-000017290000}" name="Coluna10514"/>
    <tableColumn id="10520" xr3:uid="{00000000-0010-0000-0000-000018290000}" name="Coluna10515"/>
    <tableColumn id="10521" xr3:uid="{00000000-0010-0000-0000-000019290000}" name="Coluna10516"/>
    <tableColumn id="10522" xr3:uid="{00000000-0010-0000-0000-00001A290000}" name="Coluna10517"/>
    <tableColumn id="10523" xr3:uid="{00000000-0010-0000-0000-00001B290000}" name="Coluna10518"/>
    <tableColumn id="10524" xr3:uid="{00000000-0010-0000-0000-00001C290000}" name="Coluna10519"/>
    <tableColumn id="10525" xr3:uid="{00000000-0010-0000-0000-00001D290000}" name="Coluna10520"/>
    <tableColumn id="10526" xr3:uid="{00000000-0010-0000-0000-00001E290000}" name="Coluna10521"/>
    <tableColumn id="10527" xr3:uid="{00000000-0010-0000-0000-00001F290000}" name="Coluna10522"/>
    <tableColumn id="10528" xr3:uid="{00000000-0010-0000-0000-000020290000}" name="Coluna10523"/>
    <tableColumn id="10529" xr3:uid="{00000000-0010-0000-0000-000021290000}" name="Coluna10524"/>
    <tableColumn id="10530" xr3:uid="{00000000-0010-0000-0000-000022290000}" name="Coluna10525"/>
    <tableColumn id="10531" xr3:uid="{00000000-0010-0000-0000-000023290000}" name="Coluna10526"/>
    <tableColumn id="10532" xr3:uid="{00000000-0010-0000-0000-000024290000}" name="Coluna10527"/>
    <tableColumn id="10533" xr3:uid="{00000000-0010-0000-0000-000025290000}" name="Coluna10528"/>
    <tableColumn id="10534" xr3:uid="{00000000-0010-0000-0000-000026290000}" name="Coluna10529"/>
    <tableColumn id="10535" xr3:uid="{00000000-0010-0000-0000-000027290000}" name="Coluna10530"/>
    <tableColumn id="10536" xr3:uid="{00000000-0010-0000-0000-000028290000}" name="Coluna10531"/>
    <tableColumn id="10537" xr3:uid="{00000000-0010-0000-0000-000029290000}" name="Coluna10532"/>
    <tableColumn id="10538" xr3:uid="{00000000-0010-0000-0000-00002A290000}" name="Coluna10533"/>
    <tableColumn id="10539" xr3:uid="{00000000-0010-0000-0000-00002B290000}" name="Coluna10534"/>
    <tableColumn id="10540" xr3:uid="{00000000-0010-0000-0000-00002C290000}" name="Coluna10535"/>
    <tableColumn id="10541" xr3:uid="{00000000-0010-0000-0000-00002D290000}" name="Coluna10536"/>
    <tableColumn id="10542" xr3:uid="{00000000-0010-0000-0000-00002E290000}" name="Coluna10537"/>
    <tableColumn id="10543" xr3:uid="{00000000-0010-0000-0000-00002F290000}" name="Coluna10538"/>
    <tableColumn id="10544" xr3:uid="{00000000-0010-0000-0000-000030290000}" name="Coluna10539"/>
    <tableColumn id="10545" xr3:uid="{00000000-0010-0000-0000-000031290000}" name="Coluna10540"/>
    <tableColumn id="10546" xr3:uid="{00000000-0010-0000-0000-000032290000}" name="Coluna10541"/>
    <tableColumn id="10547" xr3:uid="{00000000-0010-0000-0000-000033290000}" name="Coluna10542"/>
    <tableColumn id="10548" xr3:uid="{00000000-0010-0000-0000-000034290000}" name="Coluna10543"/>
    <tableColumn id="10549" xr3:uid="{00000000-0010-0000-0000-000035290000}" name="Coluna10544"/>
    <tableColumn id="10550" xr3:uid="{00000000-0010-0000-0000-000036290000}" name="Coluna10545"/>
    <tableColumn id="10551" xr3:uid="{00000000-0010-0000-0000-000037290000}" name="Coluna10546"/>
    <tableColumn id="10552" xr3:uid="{00000000-0010-0000-0000-000038290000}" name="Coluna10547"/>
    <tableColumn id="10553" xr3:uid="{00000000-0010-0000-0000-000039290000}" name="Coluna10548"/>
    <tableColumn id="10554" xr3:uid="{00000000-0010-0000-0000-00003A290000}" name="Coluna10549"/>
    <tableColumn id="10555" xr3:uid="{00000000-0010-0000-0000-00003B290000}" name="Coluna10550"/>
    <tableColumn id="10556" xr3:uid="{00000000-0010-0000-0000-00003C290000}" name="Coluna10551"/>
    <tableColumn id="10557" xr3:uid="{00000000-0010-0000-0000-00003D290000}" name="Coluna10552"/>
    <tableColumn id="10558" xr3:uid="{00000000-0010-0000-0000-00003E290000}" name="Coluna10553"/>
    <tableColumn id="10559" xr3:uid="{00000000-0010-0000-0000-00003F290000}" name="Coluna10554"/>
    <tableColumn id="10560" xr3:uid="{00000000-0010-0000-0000-000040290000}" name="Coluna10555"/>
    <tableColumn id="10561" xr3:uid="{00000000-0010-0000-0000-000041290000}" name="Coluna10556"/>
    <tableColumn id="10562" xr3:uid="{00000000-0010-0000-0000-000042290000}" name="Coluna10557"/>
    <tableColumn id="10563" xr3:uid="{00000000-0010-0000-0000-000043290000}" name="Coluna10558"/>
    <tableColumn id="10564" xr3:uid="{00000000-0010-0000-0000-000044290000}" name="Coluna10559"/>
    <tableColumn id="10565" xr3:uid="{00000000-0010-0000-0000-000045290000}" name="Coluna10560"/>
    <tableColumn id="10566" xr3:uid="{00000000-0010-0000-0000-000046290000}" name="Coluna10561"/>
    <tableColumn id="10567" xr3:uid="{00000000-0010-0000-0000-000047290000}" name="Coluna10562"/>
    <tableColumn id="10568" xr3:uid="{00000000-0010-0000-0000-000048290000}" name="Coluna10563"/>
    <tableColumn id="10569" xr3:uid="{00000000-0010-0000-0000-000049290000}" name="Coluna10564"/>
    <tableColumn id="10570" xr3:uid="{00000000-0010-0000-0000-00004A290000}" name="Coluna10565"/>
    <tableColumn id="10571" xr3:uid="{00000000-0010-0000-0000-00004B290000}" name="Coluna10566"/>
    <tableColumn id="10572" xr3:uid="{00000000-0010-0000-0000-00004C290000}" name="Coluna10567"/>
    <tableColumn id="10573" xr3:uid="{00000000-0010-0000-0000-00004D290000}" name="Coluna10568"/>
    <tableColumn id="10574" xr3:uid="{00000000-0010-0000-0000-00004E290000}" name="Coluna10569"/>
    <tableColumn id="10575" xr3:uid="{00000000-0010-0000-0000-00004F290000}" name="Coluna10570"/>
    <tableColumn id="10576" xr3:uid="{00000000-0010-0000-0000-000050290000}" name="Coluna10571"/>
    <tableColumn id="10577" xr3:uid="{00000000-0010-0000-0000-000051290000}" name="Coluna10572"/>
    <tableColumn id="10578" xr3:uid="{00000000-0010-0000-0000-000052290000}" name="Coluna10573"/>
    <tableColumn id="10579" xr3:uid="{00000000-0010-0000-0000-000053290000}" name="Coluna10574"/>
    <tableColumn id="10580" xr3:uid="{00000000-0010-0000-0000-000054290000}" name="Coluna10575"/>
    <tableColumn id="10581" xr3:uid="{00000000-0010-0000-0000-000055290000}" name="Coluna10576"/>
    <tableColumn id="10582" xr3:uid="{00000000-0010-0000-0000-000056290000}" name="Coluna10577"/>
    <tableColumn id="10583" xr3:uid="{00000000-0010-0000-0000-000057290000}" name="Coluna10578"/>
    <tableColumn id="10584" xr3:uid="{00000000-0010-0000-0000-000058290000}" name="Coluna10579"/>
    <tableColumn id="10585" xr3:uid="{00000000-0010-0000-0000-000059290000}" name="Coluna10580"/>
    <tableColumn id="10586" xr3:uid="{00000000-0010-0000-0000-00005A290000}" name="Coluna10581"/>
    <tableColumn id="10587" xr3:uid="{00000000-0010-0000-0000-00005B290000}" name="Coluna10582"/>
    <tableColumn id="10588" xr3:uid="{00000000-0010-0000-0000-00005C290000}" name="Coluna10583"/>
    <tableColumn id="10589" xr3:uid="{00000000-0010-0000-0000-00005D290000}" name="Coluna10584"/>
    <tableColumn id="10590" xr3:uid="{00000000-0010-0000-0000-00005E290000}" name="Coluna10585"/>
    <tableColumn id="10591" xr3:uid="{00000000-0010-0000-0000-00005F290000}" name="Coluna10586"/>
    <tableColumn id="10592" xr3:uid="{00000000-0010-0000-0000-000060290000}" name="Coluna10587"/>
    <tableColumn id="10593" xr3:uid="{00000000-0010-0000-0000-000061290000}" name="Coluna10588"/>
    <tableColumn id="10594" xr3:uid="{00000000-0010-0000-0000-000062290000}" name="Coluna10589"/>
    <tableColumn id="10595" xr3:uid="{00000000-0010-0000-0000-000063290000}" name="Coluna10590"/>
    <tableColumn id="10596" xr3:uid="{00000000-0010-0000-0000-000064290000}" name="Coluna10591"/>
    <tableColumn id="10597" xr3:uid="{00000000-0010-0000-0000-000065290000}" name="Coluna10592"/>
    <tableColumn id="10598" xr3:uid="{00000000-0010-0000-0000-000066290000}" name="Coluna10593"/>
    <tableColumn id="10599" xr3:uid="{00000000-0010-0000-0000-000067290000}" name="Coluna10594"/>
    <tableColumn id="10600" xr3:uid="{00000000-0010-0000-0000-000068290000}" name="Coluna10595"/>
    <tableColumn id="10601" xr3:uid="{00000000-0010-0000-0000-000069290000}" name="Coluna10596"/>
    <tableColumn id="10602" xr3:uid="{00000000-0010-0000-0000-00006A290000}" name="Coluna10597"/>
    <tableColumn id="10603" xr3:uid="{00000000-0010-0000-0000-00006B290000}" name="Coluna10598"/>
    <tableColumn id="10604" xr3:uid="{00000000-0010-0000-0000-00006C290000}" name="Coluna10599"/>
    <tableColumn id="10605" xr3:uid="{00000000-0010-0000-0000-00006D290000}" name="Coluna10600"/>
    <tableColumn id="10606" xr3:uid="{00000000-0010-0000-0000-00006E290000}" name="Coluna10601"/>
    <tableColumn id="10607" xr3:uid="{00000000-0010-0000-0000-00006F290000}" name="Coluna10602"/>
    <tableColumn id="10608" xr3:uid="{00000000-0010-0000-0000-000070290000}" name="Coluna10603"/>
    <tableColumn id="10609" xr3:uid="{00000000-0010-0000-0000-000071290000}" name="Coluna10604"/>
    <tableColumn id="10610" xr3:uid="{00000000-0010-0000-0000-000072290000}" name="Coluna10605"/>
    <tableColumn id="10611" xr3:uid="{00000000-0010-0000-0000-000073290000}" name="Coluna10606"/>
    <tableColumn id="10612" xr3:uid="{00000000-0010-0000-0000-000074290000}" name="Coluna10607"/>
    <tableColumn id="10613" xr3:uid="{00000000-0010-0000-0000-000075290000}" name="Coluna10608"/>
    <tableColumn id="10614" xr3:uid="{00000000-0010-0000-0000-000076290000}" name="Coluna10609"/>
    <tableColumn id="10615" xr3:uid="{00000000-0010-0000-0000-000077290000}" name="Coluna10610"/>
    <tableColumn id="10616" xr3:uid="{00000000-0010-0000-0000-000078290000}" name="Coluna10611"/>
    <tableColumn id="10617" xr3:uid="{00000000-0010-0000-0000-000079290000}" name="Coluna10612"/>
    <tableColumn id="10618" xr3:uid="{00000000-0010-0000-0000-00007A290000}" name="Coluna10613"/>
    <tableColumn id="10619" xr3:uid="{00000000-0010-0000-0000-00007B290000}" name="Coluna10614"/>
    <tableColumn id="10620" xr3:uid="{00000000-0010-0000-0000-00007C290000}" name="Coluna10615"/>
    <tableColumn id="10621" xr3:uid="{00000000-0010-0000-0000-00007D290000}" name="Coluna10616"/>
    <tableColumn id="10622" xr3:uid="{00000000-0010-0000-0000-00007E290000}" name="Coluna10617"/>
    <tableColumn id="10623" xr3:uid="{00000000-0010-0000-0000-00007F290000}" name="Coluna10618"/>
    <tableColumn id="10624" xr3:uid="{00000000-0010-0000-0000-000080290000}" name="Coluna10619"/>
    <tableColumn id="10625" xr3:uid="{00000000-0010-0000-0000-000081290000}" name="Coluna10620"/>
    <tableColumn id="10626" xr3:uid="{00000000-0010-0000-0000-000082290000}" name="Coluna10621"/>
    <tableColumn id="10627" xr3:uid="{00000000-0010-0000-0000-000083290000}" name="Coluna10622"/>
    <tableColumn id="10628" xr3:uid="{00000000-0010-0000-0000-000084290000}" name="Coluna10623"/>
    <tableColumn id="10629" xr3:uid="{00000000-0010-0000-0000-000085290000}" name="Coluna10624"/>
    <tableColumn id="10630" xr3:uid="{00000000-0010-0000-0000-000086290000}" name="Coluna10625"/>
    <tableColumn id="10631" xr3:uid="{00000000-0010-0000-0000-000087290000}" name="Coluna10626"/>
    <tableColumn id="10632" xr3:uid="{00000000-0010-0000-0000-000088290000}" name="Coluna10627"/>
    <tableColumn id="10633" xr3:uid="{00000000-0010-0000-0000-000089290000}" name="Coluna10628"/>
    <tableColumn id="10634" xr3:uid="{00000000-0010-0000-0000-00008A290000}" name="Coluna10629"/>
    <tableColumn id="10635" xr3:uid="{00000000-0010-0000-0000-00008B290000}" name="Coluna10630"/>
    <tableColumn id="10636" xr3:uid="{00000000-0010-0000-0000-00008C290000}" name="Coluna10631"/>
    <tableColumn id="10637" xr3:uid="{00000000-0010-0000-0000-00008D290000}" name="Coluna10632"/>
    <tableColumn id="10638" xr3:uid="{00000000-0010-0000-0000-00008E290000}" name="Coluna10633"/>
    <tableColumn id="10639" xr3:uid="{00000000-0010-0000-0000-00008F290000}" name="Coluna10634"/>
    <tableColumn id="10640" xr3:uid="{00000000-0010-0000-0000-000090290000}" name="Coluna10635"/>
    <tableColumn id="10641" xr3:uid="{00000000-0010-0000-0000-000091290000}" name="Coluna10636"/>
    <tableColumn id="10642" xr3:uid="{00000000-0010-0000-0000-000092290000}" name="Coluna10637"/>
    <tableColumn id="10643" xr3:uid="{00000000-0010-0000-0000-000093290000}" name="Coluna10638"/>
    <tableColumn id="10644" xr3:uid="{00000000-0010-0000-0000-000094290000}" name="Coluna10639"/>
    <tableColumn id="10645" xr3:uid="{00000000-0010-0000-0000-000095290000}" name="Coluna10640"/>
    <tableColumn id="10646" xr3:uid="{00000000-0010-0000-0000-000096290000}" name="Coluna10641"/>
    <tableColumn id="10647" xr3:uid="{00000000-0010-0000-0000-000097290000}" name="Coluna10642"/>
    <tableColumn id="10648" xr3:uid="{00000000-0010-0000-0000-000098290000}" name="Coluna10643"/>
    <tableColumn id="10649" xr3:uid="{00000000-0010-0000-0000-000099290000}" name="Coluna10644"/>
    <tableColumn id="10650" xr3:uid="{00000000-0010-0000-0000-00009A290000}" name="Coluna10645"/>
    <tableColumn id="10651" xr3:uid="{00000000-0010-0000-0000-00009B290000}" name="Coluna10646"/>
    <tableColumn id="10652" xr3:uid="{00000000-0010-0000-0000-00009C290000}" name="Coluna10647"/>
    <tableColumn id="10653" xr3:uid="{00000000-0010-0000-0000-00009D290000}" name="Coluna10648"/>
    <tableColumn id="10654" xr3:uid="{00000000-0010-0000-0000-00009E290000}" name="Coluna10649"/>
    <tableColumn id="10655" xr3:uid="{00000000-0010-0000-0000-00009F290000}" name="Coluna10650"/>
    <tableColumn id="10656" xr3:uid="{00000000-0010-0000-0000-0000A0290000}" name="Coluna10651"/>
    <tableColumn id="10657" xr3:uid="{00000000-0010-0000-0000-0000A1290000}" name="Coluna10652"/>
    <tableColumn id="10658" xr3:uid="{00000000-0010-0000-0000-0000A2290000}" name="Coluna10653"/>
    <tableColumn id="10659" xr3:uid="{00000000-0010-0000-0000-0000A3290000}" name="Coluna10654"/>
    <tableColumn id="10660" xr3:uid="{00000000-0010-0000-0000-0000A4290000}" name="Coluna10655"/>
    <tableColumn id="10661" xr3:uid="{00000000-0010-0000-0000-0000A5290000}" name="Coluna10656"/>
    <tableColumn id="10662" xr3:uid="{00000000-0010-0000-0000-0000A6290000}" name="Coluna10657"/>
    <tableColumn id="10663" xr3:uid="{00000000-0010-0000-0000-0000A7290000}" name="Coluna10658"/>
    <tableColumn id="10664" xr3:uid="{00000000-0010-0000-0000-0000A8290000}" name="Coluna10659"/>
    <tableColumn id="10665" xr3:uid="{00000000-0010-0000-0000-0000A9290000}" name="Coluna10660"/>
    <tableColumn id="10666" xr3:uid="{00000000-0010-0000-0000-0000AA290000}" name="Coluna10661"/>
    <tableColumn id="10667" xr3:uid="{00000000-0010-0000-0000-0000AB290000}" name="Coluna10662"/>
    <tableColumn id="10668" xr3:uid="{00000000-0010-0000-0000-0000AC290000}" name="Coluna10663"/>
    <tableColumn id="10669" xr3:uid="{00000000-0010-0000-0000-0000AD290000}" name="Coluna10664"/>
    <tableColumn id="10670" xr3:uid="{00000000-0010-0000-0000-0000AE290000}" name="Coluna10665"/>
    <tableColumn id="10671" xr3:uid="{00000000-0010-0000-0000-0000AF290000}" name="Coluna10666"/>
    <tableColumn id="10672" xr3:uid="{00000000-0010-0000-0000-0000B0290000}" name="Coluna10667"/>
    <tableColumn id="10673" xr3:uid="{00000000-0010-0000-0000-0000B1290000}" name="Coluna10668"/>
    <tableColumn id="10674" xr3:uid="{00000000-0010-0000-0000-0000B2290000}" name="Coluna10669"/>
    <tableColumn id="10675" xr3:uid="{00000000-0010-0000-0000-0000B3290000}" name="Coluna10670"/>
    <tableColumn id="10676" xr3:uid="{00000000-0010-0000-0000-0000B4290000}" name="Coluna10671"/>
    <tableColumn id="10677" xr3:uid="{00000000-0010-0000-0000-0000B5290000}" name="Coluna10672"/>
    <tableColumn id="10678" xr3:uid="{00000000-0010-0000-0000-0000B6290000}" name="Coluna10673"/>
    <tableColumn id="10679" xr3:uid="{00000000-0010-0000-0000-0000B7290000}" name="Coluna10674"/>
    <tableColumn id="10680" xr3:uid="{00000000-0010-0000-0000-0000B8290000}" name="Coluna10675"/>
    <tableColumn id="10681" xr3:uid="{00000000-0010-0000-0000-0000B9290000}" name="Coluna10676"/>
    <tableColumn id="10682" xr3:uid="{00000000-0010-0000-0000-0000BA290000}" name="Coluna10677"/>
    <tableColumn id="10683" xr3:uid="{00000000-0010-0000-0000-0000BB290000}" name="Coluna10678"/>
    <tableColumn id="10684" xr3:uid="{00000000-0010-0000-0000-0000BC290000}" name="Coluna10679"/>
    <tableColumn id="10685" xr3:uid="{00000000-0010-0000-0000-0000BD290000}" name="Coluna10680"/>
    <tableColumn id="10686" xr3:uid="{00000000-0010-0000-0000-0000BE290000}" name="Coluna10681"/>
    <tableColumn id="10687" xr3:uid="{00000000-0010-0000-0000-0000BF290000}" name="Coluna10682"/>
    <tableColumn id="10688" xr3:uid="{00000000-0010-0000-0000-0000C0290000}" name="Coluna10683"/>
    <tableColumn id="10689" xr3:uid="{00000000-0010-0000-0000-0000C1290000}" name="Coluna10684"/>
    <tableColumn id="10690" xr3:uid="{00000000-0010-0000-0000-0000C2290000}" name="Coluna10685"/>
    <tableColumn id="10691" xr3:uid="{00000000-0010-0000-0000-0000C3290000}" name="Coluna10686"/>
    <tableColumn id="10692" xr3:uid="{00000000-0010-0000-0000-0000C4290000}" name="Coluna10687"/>
    <tableColumn id="10693" xr3:uid="{00000000-0010-0000-0000-0000C5290000}" name="Coluna10688"/>
    <tableColumn id="10694" xr3:uid="{00000000-0010-0000-0000-0000C6290000}" name="Coluna10689"/>
    <tableColumn id="10695" xr3:uid="{00000000-0010-0000-0000-0000C7290000}" name="Coluna10690"/>
    <tableColumn id="10696" xr3:uid="{00000000-0010-0000-0000-0000C8290000}" name="Coluna10691"/>
    <tableColumn id="10697" xr3:uid="{00000000-0010-0000-0000-0000C9290000}" name="Coluna10692"/>
    <tableColumn id="10698" xr3:uid="{00000000-0010-0000-0000-0000CA290000}" name="Coluna10693"/>
    <tableColumn id="10699" xr3:uid="{00000000-0010-0000-0000-0000CB290000}" name="Coluna10694"/>
    <tableColumn id="10700" xr3:uid="{00000000-0010-0000-0000-0000CC290000}" name="Coluna10695"/>
    <tableColumn id="10701" xr3:uid="{00000000-0010-0000-0000-0000CD290000}" name="Coluna10696"/>
    <tableColumn id="10702" xr3:uid="{00000000-0010-0000-0000-0000CE290000}" name="Coluna10697"/>
    <tableColumn id="10703" xr3:uid="{00000000-0010-0000-0000-0000CF290000}" name="Coluna10698"/>
    <tableColumn id="10704" xr3:uid="{00000000-0010-0000-0000-0000D0290000}" name="Coluna10699"/>
    <tableColumn id="10705" xr3:uid="{00000000-0010-0000-0000-0000D1290000}" name="Coluna10700"/>
    <tableColumn id="10706" xr3:uid="{00000000-0010-0000-0000-0000D2290000}" name="Coluna10701"/>
    <tableColumn id="10707" xr3:uid="{00000000-0010-0000-0000-0000D3290000}" name="Coluna10702"/>
    <tableColumn id="10708" xr3:uid="{00000000-0010-0000-0000-0000D4290000}" name="Coluna10703"/>
    <tableColumn id="10709" xr3:uid="{00000000-0010-0000-0000-0000D5290000}" name="Coluna10704"/>
    <tableColumn id="10710" xr3:uid="{00000000-0010-0000-0000-0000D6290000}" name="Coluna10705"/>
    <tableColumn id="10711" xr3:uid="{00000000-0010-0000-0000-0000D7290000}" name="Coluna10706"/>
    <tableColumn id="10712" xr3:uid="{00000000-0010-0000-0000-0000D8290000}" name="Coluna10707"/>
    <tableColumn id="10713" xr3:uid="{00000000-0010-0000-0000-0000D9290000}" name="Coluna10708"/>
    <tableColumn id="10714" xr3:uid="{00000000-0010-0000-0000-0000DA290000}" name="Coluna10709"/>
    <tableColumn id="10715" xr3:uid="{00000000-0010-0000-0000-0000DB290000}" name="Coluna10710"/>
    <tableColumn id="10716" xr3:uid="{00000000-0010-0000-0000-0000DC290000}" name="Coluna10711"/>
    <tableColumn id="10717" xr3:uid="{00000000-0010-0000-0000-0000DD290000}" name="Coluna10712"/>
    <tableColumn id="10718" xr3:uid="{00000000-0010-0000-0000-0000DE290000}" name="Coluna10713"/>
    <tableColumn id="10719" xr3:uid="{00000000-0010-0000-0000-0000DF290000}" name="Coluna10714"/>
    <tableColumn id="10720" xr3:uid="{00000000-0010-0000-0000-0000E0290000}" name="Coluna10715"/>
    <tableColumn id="10721" xr3:uid="{00000000-0010-0000-0000-0000E1290000}" name="Coluna10716"/>
    <tableColumn id="10722" xr3:uid="{00000000-0010-0000-0000-0000E2290000}" name="Coluna10717"/>
    <tableColumn id="10723" xr3:uid="{00000000-0010-0000-0000-0000E3290000}" name="Coluna10718"/>
    <tableColumn id="10724" xr3:uid="{00000000-0010-0000-0000-0000E4290000}" name="Coluna10719"/>
    <tableColumn id="10725" xr3:uid="{00000000-0010-0000-0000-0000E5290000}" name="Coluna10720"/>
    <tableColumn id="10726" xr3:uid="{00000000-0010-0000-0000-0000E6290000}" name="Coluna10721"/>
    <tableColumn id="10727" xr3:uid="{00000000-0010-0000-0000-0000E7290000}" name="Coluna10722"/>
    <tableColumn id="10728" xr3:uid="{00000000-0010-0000-0000-0000E8290000}" name="Coluna10723"/>
    <tableColumn id="10729" xr3:uid="{00000000-0010-0000-0000-0000E9290000}" name="Coluna10724"/>
    <tableColumn id="10730" xr3:uid="{00000000-0010-0000-0000-0000EA290000}" name="Coluna10725"/>
    <tableColumn id="10731" xr3:uid="{00000000-0010-0000-0000-0000EB290000}" name="Coluna10726"/>
    <tableColumn id="10732" xr3:uid="{00000000-0010-0000-0000-0000EC290000}" name="Coluna10727"/>
    <tableColumn id="10733" xr3:uid="{00000000-0010-0000-0000-0000ED290000}" name="Coluna10728"/>
    <tableColumn id="10734" xr3:uid="{00000000-0010-0000-0000-0000EE290000}" name="Coluna10729"/>
    <tableColumn id="10735" xr3:uid="{00000000-0010-0000-0000-0000EF290000}" name="Coluna10730"/>
    <tableColumn id="10736" xr3:uid="{00000000-0010-0000-0000-0000F0290000}" name="Coluna10731"/>
    <tableColumn id="10737" xr3:uid="{00000000-0010-0000-0000-0000F1290000}" name="Coluna10732"/>
    <tableColumn id="10738" xr3:uid="{00000000-0010-0000-0000-0000F2290000}" name="Coluna10733"/>
    <tableColumn id="10739" xr3:uid="{00000000-0010-0000-0000-0000F3290000}" name="Coluna10734"/>
    <tableColumn id="10740" xr3:uid="{00000000-0010-0000-0000-0000F4290000}" name="Coluna10735"/>
    <tableColumn id="10741" xr3:uid="{00000000-0010-0000-0000-0000F5290000}" name="Coluna10736"/>
    <tableColumn id="10742" xr3:uid="{00000000-0010-0000-0000-0000F6290000}" name="Coluna10737"/>
    <tableColumn id="10743" xr3:uid="{00000000-0010-0000-0000-0000F7290000}" name="Coluna10738"/>
    <tableColumn id="10744" xr3:uid="{00000000-0010-0000-0000-0000F8290000}" name="Coluna10739"/>
    <tableColumn id="10745" xr3:uid="{00000000-0010-0000-0000-0000F9290000}" name="Coluna10740"/>
    <tableColumn id="10746" xr3:uid="{00000000-0010-0000-0000-0000FA290000}" name="Coluna10741"/>
    <tableColumn id="10747" xr3:uid="{00000000-0010-0000-0000-0000FB290000}" name="Coluna10742"/>
    <tableColumn id="10748" xr3:uid="{00000000-0010-0000-0000-0000FC290000}" name="Coluna10743"/>
    <tableColumn id="10749" xr3:uid="{00000000-0010-0000-0000-0000FD290000}" name="Coluna10744"/>
    <tableColumn id="10750" xr3:uid="{00000000-0010-0000-0000-0000FE290000}" name="Coluna10745"/>
    <tableColumn id="10751" xr3:uid="{00000000-0010-0000-0000-0000FF290000}" name="Coluna10746"/>
    <tableColumn id="10752" xr3:uid="{00000000-0010-0000-0000-0000002A0000}" name="Coluna10747"/>
    <tableColumn id="10753" xr3:uid="{00000000-0010-0000-0000-0000012A0000}" name="Coluna10748"/>
    <tableColumn id="10754" xr3:uid="{00000000-0010-0000-0000-0000022A0000}" name="Coluna10749"/>
    <tableColumn id="10755" xr3:uid="{00000000-0010-0000-0000-0000032A0000}" name="Coluna10750"/>
    <tableColumn id="10756" xr3:uid="{00000000-0010-0000-0000-0000042A0000}" name="Coluna10751"/>
    <tableColumn id="10757" xr3:uid="{00000000-0010-0000-0000-0000052A0000}" name="Coluna10752"/>
    <tableColumn id="10758" xr3:uid="{00000000-0010-0000-0000-0000062A0000}" name="Coluna10753"/>
    <tableColumn id="10759" xr3:uid="{00000000-0010-0000-0000-0000072A0000}" name="Coluna10754"/>
    <tableColumn id="10760" xr3:uid="{00000000-0010-0000-0000-0000082A0000}" name="Coluna10755"/>
    <tableColumn id="10761" xr3:uid="{00000000-0010-0000-0000-0000092A0000}" name="Coluna10756"/>
    <tableColumn id="10762" xr3:uid="{00000000-0010-0000-0000-00000A2A0000}" name="Coluna10757"/>
    <tableColumn id="10763" xr3:uid="{00000000-0010-0000-0000-00000B2A0000}" name="Coluna10758"/>
    <tableColumn id="10764" xr3:uid="{00000000-0010-0000-0000-00000C2A0000}" name="Coluna10759"/>
    <tableColumn id="10765" xr3:uid="{00000000-0010-0000-0000-00000D2A0000}" name="Coluna10760"/>
    <tableColumn id="10766" xr3:uid="{00000000-0010-0000-0000-00000E2A0000}" name="Coluna10761"/>
    <tableColumn id="10767" xr3:uid="{00000000-0010-0000-0000-00000F2A0000}" name="Coluna10762"/>
    <tableColumn id="10768" xr3:uid="{00000000-0010-0000-0000-0000102A0000}" name="Coluna10763"/>
    <tableColumn id="10769" xr3:uid="{00000000-0010-0000-0000-0000112A0000}" name="Coluna10764"/>
    <tableColumn id="10770" xr3:uid="{00000000-0010-0000-0000-0000122A0000}" name="Coluna10765"/>
    <tableColumn id="10771" xr3:uid="{00000000-0010-0000-0000-0000132A0000}" name="Coluna10766"/>
    <tableColumn id="10772" xr3:uid="{00000000-0010-0000-0000-0000142A0000}" name="Coluna10767"/>
    <tableColumn id="10773" xr3:uid="{00000000-0010-0000-0000-0000152A0000}" name="Coluna10768"/>
    <tableColumn id="10774" xr3:uid="{00000000-0010-0000-0000-0000162A0000}" name="Coluna10769"/>
    <tableColumn id="10775" xr3:uid="{00000000-0010-0000-0000-0000172A0000}" name="Coluna10770"/>
    <tableColumn id="10776" xr3:uid="{00000000-0010-0000-0000-0000182A0000}" name="Coluna10771"/>
    <tableColumn id="10777" xr3:uid="{00000000-0010-0000-0000-0000192A0000}" name="Coluna10772"/>
    <tableColumn id="10778" xr3:uid="{00000000-0010-0000-0000-00001A2A0000}" name="Coluna10773"/>
    <tableColumn id="10779" xr3:uid="{00000000-0010-0000-0000-00001B2A0000}" name="Coluna10774"/>
    <tableColumn id="10780" xr3:uid="{00000000-0010-0000-0000-00001C2A0000}" name="Coluna10775"/>
    <tableColumn id="10781" xr3:uid="{00000000-0010-0000-0000-00001D2A0000}" name="Coluna10776"/>
    <tableColumn id="10782" xr3:uid="{00000000-0010-0000-0000-00001E2A0000}" name="Coluna10777"/>
    <tableColumn id="10783" xr3:uid="{00000000-0010-0000-0000-00001F2A0000}" name="Coluna10778"/>
    <tableColumn id="10784" xr3:uid="{00000000-0010-0000-0000-0000202A0000}" name="Coluna10779"/>
    <tableColumn id="10785" xr3:uid="{00000000-0010-0000-0000-0000212A0000}" name="Coluna10780"/>
    <tableColumn id="10786" xr3:uid="{00000000-0010-0000-0000-0000222A0000}" name="Coluna10781"/>
    <tableColumn id="10787" xr3:uid="{00000000-0010-0000-0000-0000232A0000}" name="Coluna10782"/>
    <tableColumn id="10788" xr3:uid="{00000000-0010-0000-0000-0000242A0000}" name="Coluna10783"/>
    <tableColumn id="10789" xr3:uid="{00000000-0010-0000-0000-0000252A0000}" name="Coluna10784"/>
    <tableColumn id="10790" xr3:uid="{00000000-0010-0000-0000-0000262A0000}" name="Coluna10785"/>
    <tableColumn id="10791" xr3:uid="{00000000-0010-0000-0000-0000272A0000}" name="Coluna10786"/>
    <tableColumn id="10792" xr3:uid="{00000000-0010-0000-0000-0000282A0000}" name="Coluna10787"/>
    <tableColumn id="10793" xr3:uid="{00000000-0010-0000-0000-0000292A0000}" name="Coluna10788"/>
    <tableColumn id="10794" xr3:uid="{00000000-0010-0000-0000-00002A2A0000}" name="Coluna10789"/>
    <tableColumn id="10795" xr3:uid="{00000000-0010-0000-0000-00002B2A0000}" name="Coluna10790"/>
    <tableColumn id="10796" xr3:uid="{00000000-0010-0000-0000-00002C2A0000}" name="Coluna10791"/>
    <tableColumn id="10797" xr3:uid="{00000000-0010-0000-0000-00002D2A0000}" name="Coluna10792"/>
    <tableColumn id="10798" xr3:uid="{00000000-0010-0000-0000-00002E2A0000}" name="Coluna10793"/>
    <tableColumn id="10799" xr3:uid="{00000000-0010-0000-0000-00002F2A0000}" name="Coluna10794"/>
    <tableColumn id="10800" xr3:uid="{00000000-0010-0000-0000-0000302A0000}" name="Coluna10795"/>
    <tableColumn id="10801" xr3:uid="{00000000-0010-0000-0000-0000312A0000}" name="Coluna10796"/>
    <tableColumn id="10802" xr3:uid="{00000000-0010-0000-0000-0000322A0000}" name="Coluna10797"/>
    <tableColumn id="10803" xr3:uid="{00000000-0010-0000-0000-0000332A0000}" name="Coluna10798"/>
    <tableColumn id="10804" xr3:uid="{00000000-0010-0000-0000-0000342A0000}" name="Coluna10799"/>
    <tableColumn id="10805" xr3:uid="{00000000-0010-0000-0000-0000352A0000}" name="Coluna10800"/>
    <tableColumn id="10806" xr3:uid="{00000000-0010-0000-0000-0000362A0000}" name="Coluna10801"/>
    <tableColumn id="10807" xr3:uid="{00000000-0010-0000-0000-0000372A0000}" name="Coluna10802"/>
    <tableColumn id="10808" xr3:uid="{00000000-0010-0000-0000-0000382A0000}" name="Coluna10803"/>
    <tableColumn id="10809" xr3:uid="{00000000-0010-0000-0000-0000392A0000}" name="Coluna10804"/>
    <tableColumn id="10810" xr3:uid="{00000000-0010-0000-0000-00003A2A0000}" name="Coluna10805"/>
    <tableColumn id="10811" xr3:uid="{00000000-0010-0000-0000-00003B2A0000}" name="Coluna10806"/>
    <tableColumn id="10812" xr3:uid="{00000000-0010-0000-0000-00003C2A0000}" name="Coluna10807"/>
    <tableColumn id="10813" xr3:uid="{00000000-0010-0000-0000-00003D2A0000}" name="Coluna10808"/>
    <tableColumn id="10814" xr3:uid="{00000000-0010-0000-0000-00003E2A0000}" name="Coluna10809"/>
    <tableColumn id="10815" xr3:uid="{00000000-0010-0000-0000-00003F2A0000}" name="Coluna10810"/>
    <tableColumn id="10816" xr3:uid="{00000000-0010-0000-0000-0000402A0000}" name="Coluna10811"/>
    <tableColumn id="10817" xr3:uid="{00000000-0010-0000-0000-0000412A0000}" name="Coluna10812"/>
    <tableColumn id="10818" xr3:uid="{00000000-0010-0000-0000-0000422A0000}" name="Coluna10813"/>
    <tableColumn id="10819" xr3:uid="{00000000-0010-0000-0000-0000432A0000}" name="Coluna10814"/>
    <tableColumn id="10820" xr3:uid="{00000000-0010-0000-0000-0000442A0000}" name="Coluna10815"/>
    <tableColumn id="10821" xr3:uid="{00000000-0010-0000-0000-0000452A0000}" name="Coluna10816"/>
    <tableColumn id="10822" xr3:uid="{00000000-0010-0000-0000-0000462A0000}" name="Coluna10817"/>
    <tableColumn id="10823" xr3:uid="{00000000-0010-0000-0000-0000472A0000}" name="Coluna10818"/>
    <tableColumn id="10824" xr3:uid="{00000000-0010-0000-0000-0000482A0000}" name="Coluna10819"/>
    <tableColumn id="10825" xr3:uid="{00000000-0010-0000-0000-0000492A0000}" name="Coluna10820"/>
    <tableColumn id="10826" xr3:uid="{00000000-0010-0000-0000-00004A2A0000}" name="Coluna10821"/>
    <tableColumn id="10827" xr3:uid="{00000000-0010-0000-0000-00004B2A0000}" name="Coluna10822"/>
    <tableColumn id="10828" xr3:uid="{00000000-0010-0000-0000-00004C2A0000}" name="Coluna10823"/>
    <tableColumn id="10829" xr3:uid="{00000000-0010-0000-0000-00004D2A0000}" name="Coluna10824"/>
    <tableColumn id="10830" xr3:uid="{00000000-0010-0000-0000-00004E2A0000}" name="Coluna10825"/>
    <tableColumn id="10831" xr3:uid="{00000000-0010-0000-0000-00004F2A0000}" name="Coluna10826"/>
    <tableColumn id="10832" xr3:uid="{00000000-0010-0000-0000-0000502A0000}" name="Coluna10827"/>
    <tableColumn id="10833" xr3:uid="{00000000-0010-0000-0000-0000512A0000}" name="Coluna10828"/>
    <tableColumn id="10834" xr3:uid="{00000000-0010-0000-0000-0000522A0000}" name="Coluna10829"/>
    <tableColumn id="10835" xr3:uid="{00000000-0010-0000-0000-0000532A0000}" name="Coluna10830"/>
    <tableColumn id="10836" xr3:uid="{00000000-0010-0000-0000-0000542A0000}" name="Coluna10831"/>
    <tableColumn id="10837" xr3:uid="{00000000-0010-0000-0000-0000552A0000}" name="Coluna10832"/>
    <tableColumn id="10838" xr3:uid="{00000000-0010-0000-0000-0000562A0000}" name="Coluna10833"/>
    <tableColumn id="10839" xr3:uid="{00000000-0010-0000-0000-0000572A0000}" name="Coluna10834"/>
    <tableColumn id="10840" xr3:uid="{00000000-0010-0000-0000-0000582A0000}" name="Coluna10835"/>
    <tableColumn id="10841" xr3:uid="{00000000-0010-0000-0000-0000592A0000}" name="Coluna10836"/>
    <tableColumn id="10842" xr3:uid="{00000000-0010-0000-0000-00005A2A0000}" name="Coluna10837"/>
    <tableColumn id="10843" xr3:uid="{00000000-0010-0000-0000-00005B2A0000}" name="Coluna10838"/>
    <tableColumn id="10844" xr3:uid="{00000000-0010-0000-0000-00005C2A0000}" name="Coluna10839"/>
    <tableColumn id="10845" xr3:uid="{00000000-0010-0000-0000-00005D2A0000}" name="Coluna10840"/>
    <tableColumn id="10846" xr3:uid="{00000000-0010-0000-0000-00005E2A0000}" name="Coluna10841"/>
    <tableColumn id="10847" xr3:uid="{00000000-0010-0000-0000-00005F2A0000}" name="Coluna10842"/>
    <tableColumn id="10848" xr3:uid="{00000000-0010-0000-0000-0000602A0000}" name="Coluna10843"/>
    <tableColumn id="10849" xr3:uid="{00000000-0010-0000-0000-0000612A0000}" name="Coluna10844"/>
    <tableColumn id="10850" xr3:uid="{00000000-0010-0000-0000-0000622A0000}" name="Coluna10845"/>
    <tableColumn id="10851" xr3:uid="{00000000-0010-0000-0000-0000632A0000}" name="Coluna10846"/>
    <tableColumn id="10852" xr3:uid="{00000000-0010-0000-0000-0000642A0000}" name="Coluna10847"/>
    <tableColumn id="10853" xr3:uid="{00000000-0010-0000-0000-0000652A0000}" name="Coluna10848"/>
    <tableColumn id="10854" xr3:uid="{00000000-0010-0000-0000-0000662A0000}" name="Coluna10849"/>
    <tableColumn id="10855" xr3:uid="{00000000-0010-0000-0000-0000672A0000}" name="Coluna10850"/>
    <tableColumn id="10856" xr3:uid="{00000000-0010-0000-0000-0000682A0000}" name="Coluna10851"/>
    <tableColumn id="10857" xr3:uid="{00000000-0010-0000-0000-0000692A0000}" name="Coluna10852"/>
    <tableColumn id="10858" xr3:uid="{00000000-0010-0000-0000-00006A2A0000}" name="Coluna10853"/>
    <tableColumn id="10859" xr3:uid="{00000000-0010-0000-0000-00006B2A0000}" name="Coluna10854"/>
    <tableColumn id="10860" xr3:uid="{00000000-0010-0000-0000-00006C2A0000}" name="Coluna10855"/>
    <tableColumn id="10861" xr3:uid="{00000000-0010-0000-0000-00006D2A0000}" name="Coluna10856"/>
    <tableColumn id="10862" xr3:uid="{00000000-0010-0000-0000-00006E2A0000}" name="Coluna10857"/>
    <tableColumn id="10863" xr3:uid="{00000000-0010-0000-0000-00006F2A0000}" name="Coluna10858"/>
    <tableColumn id="10864" xr3:uid="{00000000-0010-0000-0000-0000702A0000}" name="Coluna10859"/>
    <tableColumn id="10865" xr3:uid="{00000000-0010-0000-0000-0000712A0000}" name="Coluna10860"/>
    <tableColumn id="10866" xr3:uid="{00000000-0010-0000-0000-0000722A0000}" name="Coluna10861"/>
    <tableColumn id="10867" xr3:uid="{00000000-0010-0000-0000-0000732A0000}" name="Coluna10862"/>
    <tableColumn id="10868" xr3:uid="{00000000-0010-0000-0000-0000742A0000}" name="Coluna10863"/>
    <tableColumn id="10869" xr3:uid="{00000000-0010-0000-0000-0000752A0000}" name="Coluna10864"/>
    <tableColumn id="10870" xr3:uid="{00000000-0010-0000-0000-0000762A0000}" name="Coluna10865"/>
    <tableColumn id="10871" xr3:uid="{00000000-0010-0000-0000-0000772A0000}" name="Coluna10866"/>
    <tableColumn id="10872" xr3:uid="{00000000-0010-0000-0000-0000782A0000}" name="Coluna10867"/>
    <tableColumn id="10873" xr3:uid="{00000000-0010-0000-0000-0000792A0000}" name="Coluna10868"/>
    <tableColumn id="10874" xr3:uid="{00000000-0010-0000-0000-00007A2A0000}" name="Coluna10869"/>
    <tableColumn id="10875" xr3:uid="{00000000-0010-0000-0000-00007B2A0000}" name="Coluna10870"/>
    <tableColumn id="10876" xr3:uid="{00000000-0010-0000-0000-00007C2A0000}" name="Coluna10871"/>
    <tableColumn id="10877" xr3:uid="{00000000-0010-0000-0000-00007D2A0000}" name="Coluna10872"/>
    <tableColumn id="10878" xr3:uid="{00000000-0010-0000-0000-00007E2A0000}" name="Coluna10873"/>
    <tableColumn id="10879" xr3:uid="{00000000-0010-0000-0000-00007F2A0000}" name="Coluna10874"/>
    <tableColumn id="10880" xr3:uid="{00000000-0010-0000-0000-0000802A0000}" name="Coluna10875"/>
    <tableColumn id="10881" xr3:uid="{00000000-0010-0000-0000-0000812A0000}" name="Coluna10876"/>
    <tableColumn id="10882" xr3:uid="{00000000-0010-0000-0000-0000822A0000}" name="Coluna10877"/>
    <tableColumn id="10883" xr3:uid="{00000000-0010-0000-0000-0000832A0000}" name="Coluna10878"/>
    <tableColumn id="10884" xr3:uid="{00000000-0010-0000-0000-0000842A0000}" name="Coluna10879"/>
    <tableColumn id="10885" xr3:uid="{00000000-0010-0000-0000-0000852A0000}" name="Coluna10880"/>
    <tableColumn id="10886" xr3:uid="{00000000-0010-0000-0000-0000862A0000}" name="Coluna10881"/>
    <tableColumn id="10887" xr3:uid="{00000000-0010-0000-0000-0000872A0000}" name="Coluna10882"/>
    <tableColumn id="10888" xr3:uid="{00000000-0010-0000-0000-0000882A0000}" name="Coluna10883"/>
    <tableColumn id="10889" xr3:uid="{00000000-0010-0000-0000-0000892A0000}" name="Coluna10884"/>
    <tableColumn id="10890" xr3:uid="{00000000-0010-0000-0000-00008A2A0000}" name="Coluna10885"/>
    <tableColumn id="10891" xr3:uid="{00000000-0010-0000-0000-00008B2A0000}" name="Coluna10886"/>
    <tableColumn id="10892" xr3:uid="{00000000-0010-0000-0000-00008C2A0000}" name="Coluna10887"/>
    <tableColumn id="10893" xr3:uid="{00000000-0010-0000-0000-00008D2A0000}" name="Coluna10888"/>
    <tableColumn id="10894" xr3:uid="{00000000-0010-0000-0000-00008E2A0000}" name="Coluna10889"/>
    <tableColumn id="10895" xr3:uid="{00000000-0010-0000-0000-00008F2A0000}" name="Coluna10890"/>
    <tableColumn id="10896" xr3:uid="{00000000-0010-0000-0000-0000902A0000}" name="Coluna10891"/>
    <tableColumn id="10897" xr3:uid="{00000000-0010-0000-0000-0000912A0000}" name="Coluna10892"/>
    <tableColumn id="10898" xr3:uid="{00000000-0010-0000-0000-0000922A0000}" name="Coluna10893"/>
    <tableColumn id="10899" xr3:uid="{00000000-0010-0000-0000-0000932A0000}" name="Coluna10894"/>
    <tableColumn id="10900" xr3:uid="{00000000-0010-0000-0000-0000942A0000}" name="Coluna10895"/>
    <tableColumn id="10901" xr3:uid="{00000000-0010-0000-0000-0000952A0000}" name="Coluna10896"/>
    <tableColumn id="10902" xr3:uid="{00000000-0010-0000-0000-0000962A0000}" name="Coluna10897"/>
    <tableColumn id="10903" xr3:uid="{00000000-0010-0000-0000-0000972A0000}" name="Coluna10898"/>
    <tableColumn id="10904" xr3:uid="{00000000-0010-0000-0000-0000982A0000}" name="Coluna10899"/>
    <tableColumn id="10905" xr3:uid="{00000000-0010-0000-0000-0000992A0000}" name="Coluna10900"/>
    <tableColumn id="10906" xr3:uid="{00000000-0010-0000-0000-00009A2A0000}" name="Coluna10901"/>
    <tableColumn id="10907" xr3:uid="{00000000-0010-0000-0000-00009B2A0000}" name="Coluna10902"/>
    <tableColumn id="10908" xr3:uid="{00000000-0010-0000-0000-00009C2A0000}" name="Coluna10903"/>
    <tableColumn id="10909" xr3:uid="{00000000-0010-0000-0000-00009D2A0000}" name="Coluna10904"/>
    <tableColumn id="10910" xr3:uid="{00000000-0010-0000-0000-00009E2A0000}" name="Coluna10905"/>
    <tableColumn id="10911" xr3:uid="{00000000-0010-0000-0000-00009F2A0000}" name="Coluna10906"/>
    <tableColumn id="10912" xr3:uid="{00000000-0010-0000-0000-0000A02A0000}" name="Coluna10907"/>
    <tableColumn id="10913" xr3:uid="{00000000-0010-0000-0000-0000A12A0000}" name="Coluna10908"/>
    <tableColumn id="10914" xr3:uid="{00000000-0010-0000-0000-0000A22A0000}" name="Coluna10909"/>
    <tableColumn id="10915" xr3:uid="{00000000-0010-0000-0000-0000A32A0000}" name="Coluna10910"/>
    <tableColumn id="10916" xr3:uid="{00000000-0010-0000-0000-0000A42A0000}" name="Coluna10911"/>
    <tableColumn id="10917" xr3:uid="{00000000-0010-0000-0000-0000A52A0000}" name="Coluna10912"/>
    <tableColumn id="10918" xr3:uid="{00000000-0010-0000-0000-0000A62A0000}" name="Coluna10913"/>
    <tableColumn id="10919" xr3:uid="{00000000-0010-0000-0000-0000A72A0000}" name="Coluna10914"/>
    <tableColumn id="10920" xr3:uid="{00000000-0010-0000-0000-0000A82A0000}" name="Coluna10915"/>
    <tableColumn id="10921" xr3:uid="{00000000-0010-0000-0000-0000A92A0000}" name="Coluna10916"/>
    <tableColumn id="10922" xr3:uid="{00000000-0010-0000-0000-0000AA2A0000}" name="Coluna10917"/>
    <tableColumn id="10923" xr3:uid="{00000000-0010-0000-0000-0000AB2A0000}" name="Coluna10918"/>
    <tableColumn id="10924" xr3:uid="{00000000-0010-0000-0000-0000AC2A0000}" name="Coluna10919"/>
    <tableColumn id="10925" xr3:uid="{00000000-0010-0000-0000-0000AD2A0000}" name="Coluna10920"/>
    <tableColumn id="10926" xr3:uid="{00000000-0010-0000-0000-0000AE2A0000}" name="Coluna10921"/>
    <tableColumn id="10927" xr3:uid="{00000000-0010-0000-0000-0000AF2A0000}" name="Coluna10922"/>
    <tableColumn id="10928" xr3:uid="{00000000-0010-0000-0000-0000B02A0000}" name="Coluna10923"/>
    <tableColumn id="10929" xr3:uid="{00000000-0010-0000-0000-0000B12A0000}" name="Coluna10924"/>
    <tableColumn id="10930" xr3:uid="{00000000-0010-0000-0000-0000B22A0000}" name="Coluna10925"/>
    <tableColumn id="10931" xr3:uid="{00000000-0010-0000-0000-0000B32A0000}" name="Coluna10926"/>
    <tableColumn id="10932" xr3:uid="{00000000-0010-0000-0000-0000B42A0000}" name="Coluna10927"/>
    <tableColumn id="10933" xr3:uid="{00000000-0010-0000-0000-0000B52A0000}" name="Coluna10928"/>
    <tableColumn id="10934" xr3:uid="{00000000-0010-0000-0000-0000B62A0000}" name="Coluna10929"/>
    <tableColumn id="10935" xr3:uid="{00000000-0010-0000-0000-0000B72A0000}" name="Coluna10930"/>
    <tableColumn id="10936" xr3:uid="{00000000-0010-0000-0000-0000B82A0000}" name="Coluna10931"/>
    <tableColumn id="10937" xr3:uid="{00000000-0010-0000-0000-0000B92A0000}" name="Coluna10932"/>
    <tableColumn id="10938" xr3:uid="{00000000-0010-0000-0000-0000BA2A0000}" name="Coluna10933"/>
    <tableColumn id="10939" xr3:uid="{00000000-0010-0000-0000-0000BB2A0000}" name="Coluna10934"/>
    <tableColumn id="10940" xr3:uid="{00000000-0010-0000-0000-0000BC2A0000}" name="Coluna10935"/>
    <tableColumn id="10941" xr3:uid="{00000000-0010-0000-0000-0000BD2A0000}" name="Coluna10936"/>
    <tableColumn id="10942" xr3:uid="{00000000-0010-0000-0000-0000BE2A0000}" name="Coluna10937"/>
    <tableColumn id="10943" xr3:uid="{00000000-0010-0000-0000-0000BF2A0000}" name="Coluna10938"/>
    <tableColumn id="10944" xr3:uid="{00000000-0010-0000-0000-0000C02A0000}" name="Coluna10939"/>
    <tableColumn id="10945" xr3:uid="{00000000-0010-0000-0000-0000C12A0000}" name="Coluna10940"/>
    <tableColumn id="10946" xr3:uid="{00000000-0010-0000-0000-0000C22A0000}" name="Coluna10941"/>
    <tableColumn id="10947" xr3:uid="{00000000-0010-0000-0000-0000C32A0000}" name="Coluna10942"/>
    <tableColumn id="10948" xr3:uid="{00000000-0010-0000-0000-0000C42A0000}" name="Coluna10943"/>
    <tableColumn id="10949" xr3:uid="{00000000-0010-0000-0000-0000C52A0000}" name="Coluna10944"/>
    <tableColumn id="10950" xr3:uid="{00000000-0010-0000-0000-0000C62A0000}" name="Coluna10945"/>
    <tableColumn id="10951" xr3:uid="{00000000-0010-0000-0000-0000C72A0000}" name="Coluna10946"/>
    <tableColumn id="10952" xr3:uid="{00000000-0010-0000-0000-0000C82A0000}" name="Coluna10947"/>
    <tableColumn id="10953" xr3:uid="{00000000-0010-0000-0000-0000C92A0000}" name="Coluna10948"/>
    <tableColumn id="10954" xr3:uid="{00000000-0010-0000-0000-0000CA2A0000}" name="Coluna10949"/>
    <tableColumn id="10955" xr3:uid="{00000000-0010-0000-0000-0000CB2A0000}" name="Coluna10950"/>
    <tableColumn id="10956" xr3:uid="{00000000-0010-0000-0000-0000CC2A0000}" name="Coluna10951"/>
    <tableColumn id="10957" xr3:uid="{00000000-0010-0000-0000-0000CD2A0000}" name="Coluna10952"/>
    <tableColumn id="10958" xr3:uid="{00000000-0010-0000-0000-0000CE2A0000}" name="Coluna10953"/>
    <tableColumn id="10959" xr3:uid="{00000000-0010-0000-0000-0000CF2A0000}" name="Coluna10954"/>
    <tableColumn id="10960" xr3:uid="{00000000-0010-0000-0000-0000D02A0000}" name="Coluna10955"/>
    <tableColumn id="10961" xr3:uid="{00000000-0010-0000-0000-0000D12A0000}" name="Coluna10956"/>
    <tableColumn id="10962" xr3:uid="{00000000-0010-0000-0000-0000D22A0000}" name="Coluna10957"/>
    <tableColumn id="10963" xr3:uid="{00000000-0010-0000-0000-0000D32A0000}" name="Coluna10958"/>
    <tableColumn id="10964" xr3:uid="{00000000-0010-0000-0000-0000D42A0000}" name="Coluna10959"/>
    <tableColumn id="10965" xr3:uid="{00000000-0010-0000-0000-0000D52A0000}" name="Coluna10960"/>
    <tableColumn id="10966" xr3:uid="{00000000-0010-0000-0000-0000D62A0000}" name="Coluna10961"/>
    <tableColumn id="10967" xr3:uid="{00000000-0010-0000-0000-0000D72A0000}" name="Coluna10962"/>
    <tableColumn id="10968" xr3:uid="{00000000-0010-0000-0000-0000D82A0000}" name="Coluna10963"/>
    <tableColumn id="10969" xr3:uid="{00000000-0010-0000-0000-0000D92A0000}" name="Coluna10964"/>
    <tableColumn id="10970" xr3:uid="{00000000-0010-0000-0000-0000DA2A0000}" name="Coluna10965"/>
    <tableColumn id="10971" xr3:uid="{00000000-0010-0000-0000-0000DB2A0000}" name="Coluna10966"/>
    <tableColumn id="10972" xr3:uid="{00000000-0010-0000-0000-0000DC2A0000}" name="Coluna10967"/>
    <tableColumn id="10973" xr3:uid="{00000000-0010-0000-0000-0000DD2A0000}" name="Coluna10968"/>
    <tableColumn id="10974" xr3:uid="{00000000-0010-0000-0000-0000DE2A0000}" name="Coluna10969"/>
    <tableColumn id="10975" xr3:uid="{00000000-0010-0000-0000-0000DF2A0000}" name="Coluna10970"/>
    <tableColumn id="10976" xr3:uid="{00000000-0010-0000-0000-0000E02A0000}" name="Coluna10971"/>
    <tableColumn id="10977" xr3:uid="{00000000-0010-0000-0000-0000E12A0000}" name="Coluna10972"/>
    <tableColumn id="10978" xr3:uid="{00000000-0010-0000-0000-0000E22A0000}" name="Coluna10973"/>
    <tableColumn id="10979" xr3:uid="{00000000-0010-0000-0000-0000E32A0000}" name="Coluna10974"/>
    <tableColumn id="10980" xr3:uid="{00000000-0010-0000-0000-0000E42A0000}" name="Coluna10975"/>
    <tableColumn id="10981" xr3:uid="{00000000-0010-0000-0000-0000E52A0000}" name="Coluna10976"/>
    <tableColumn id="10982" xr3:uid="{00000000-0010-0000-0000-0000E62A0000}" name="Coluna10977"/>
    <tableColumn id="10983" xr3:uid="{00000000-0010-0000-0000-0000E72A0000}" name="Coluna10978"/>
    <tableColumn id="10984" xr3:uid="{00000000-0010-0000-0000-0000E82A0000}" name="Coluna10979"/>
    <tableColumn id="10985" xr3:uid="{00000000-0010-0000-0000-0000E92A0000}" name="Coluna10980"/>
    <tableColumn id="10986" xr3:uid="{00000000-0010-0000-0000-0000EA2A0000}" name="Coluna10981"/>
    <tableColumn id="10987" xr3:uid="{00000000-0010-0000-0000-0000EB2A0000}" name="Coluna10982"/>
    <tableColumn id="10988" xr3:uid="{00000000-0010-0000-0000-0000EC2A0000}" name="Coluna10983"/>
    <tableColumn id="10989" xr3:uid="{00000000-0010-0000-0000-0000ED2A0000}" name="Coluna10984"/>
    <tableColumn id="10990" xr3:uid="{00000000-0010-0000-0000-0000EE2A0000}" name="Coluna10985"/>
    <tableColumn id="10991" xr3:uid="{00000000-0010-0000-0000-0000EF2A0000}" name="Coluna10986"/>
    <tableColumn id="10992" xr3:uid="{00000000-0010-0000-0000-0000F02A0000}" name="Coluna10987"/>
    <tableColumn id="10993" xr3:uid="{00000000-0010-0000-0000-0000F12A0000}" name="Coluna10988"/>
    <tableColumn id="10994" xr3:uid="{00000000-0010-0000-0000-0000F22A0000}" name="Coluna10989"/>
    <tableColumn id="10995" xr3:uid="{00000000-0010-0000-0000-0000F32A0000}" name="Coluna10990"/>
    <tableColumn id="10996" xr3:uid="{00000000-0010-0000-0000-0000F42A0000}" name="Coluna10991"/>
    <tableColumn id="10997" xr3:uid="{00000000-0010-0000-0000-0000F52A0000}" name="Coluna10992"/>
    <tableColumn id="10998" xr3:uid="{00000000-0010-0000-0000-0000F62A0000}" name="Coluna10993"/>
    <tableColumn id="10999" xr3:uid="{00000000-0010-0000-0000-0000F72A0000}" name="Coluna10994"/>
    <tableColumn id="11000" xr3:uid="{00000000-0010-0000-0000-0000F82A0000}" name="Coluna10995"/>
    <tableColumn id="11001" xr3:uid="{00000000-0010-0000-0000-0000F92A0000}" name="Coluna10996"/>
    <tableColumn id="11002" xr3:uid="{00000000-0010-0000-0000-0000FA2A0000}" name="Coluna10997"/>
    <tableColumn id="11003" xr3:uid="{00000000-0010-0000-0000-0000FB2A0000}" name="Coluna10998"/>
    <tableColumn id="11004" xr3:uid="{00000000-0010-0000-0000-0000FC2A0000}" name="Coluna10999"/>
    <tableColumn id="11005" xr3:uid="{00000000-0010-0000-0000-0000FD2A0000}" name="Coluna11000"/>
    <tableColumn id="11006" xr3:uid="{00000000-0010-0000-0000-0000FE2A0000}" name="Coluna11001"/>
    <tableColumn id="11007" xr3:uid="{00000000-0010-0000-0000-0000FF2A0000}" name="Coluna11002"/>
    <tableColumn id="11008" xr3:uid="{00000000-0010-0000-0000-0000002B0000}" name="Coluna11003"/>
    <tableColumn id="11009" xr3:uid="{00000000-0010-0000-0000-0000012B0000}" name="Coluna11004"/>
    <tableColumn id="11010" xr3:uid="{00000000-0010-0000-0000-0000022B0000}" name="Coluna11005"/>
    <tableColumn id="11011" xr3:uid="{00000000-0010-0000-0000-0000032B0000}" name="Coluna11006"/>
    <tableColumn id="11012" xr3:uid="{00000000-0010-0000-0000-0000042B0000}" name="Coluna11007"/>
    <tableColumn id="11013" xr3:uid="{00000000-0010-0000-0000-0000052B0000}" name="Coluna11008"/>
    <tableColumn id="11014" xr3:uid="{00000000-0010-0000-0000-0000062B0000}" name="Coluna11009"/>
    <tableColumn id="11015" xr3:uid="{00000000-0010-0000-0000-0000072B0000}" name="Coluna11010"/>
    <tableColumn id="11016" xr3:uid="{00000000-0010-0000-0000-0000082B0000}" name="Coluna11011"/>
    <tableColumn id="11017" xr3:uid="{00000000-0010-0000-0000-0000092B0000}" name="Coluna11012"/>
    <tableColumn id="11018" xr3:uid="{00000000-0010-0000-0000-00000A2B0000}" name="Coluna11013"/>
    <tableColumn id="11019" xr3:uid="{00000000-0010-0000-0000-00000B2B0000}" name="Coluna11014"/>
    <tableColumn id="11020" xr3:uid="{00000000-0010-0000-0000-00000C2B0000}" name="Coluna11015"/>
    <tableColumn id="11021" xr3:uid="{00000000-0010-0000-0000-00000D2B0000}" name="Coluna11016"/>
    <tableColumn id="11022" xr3:uid="{00000000-0010-0000-0000-00000E2B0000}" name="Coluna11017"/>
    <tableColumn id="11023" xr3:uid="{00000000-0010-0000-0000-00000F2B0000}" name="Coluna11018"/>
    <tableColumn id="11024" xr3:uid="{00000000-0010-0000-0000-0000102B0000}" name="Coluna11019"/>
    <tableColumn id="11025" xr3:uid="{00000000-0010-0000-0000-0000112B0000}" name="Coluna11020"/>
    <tableColumn id="11026" xr3:uid="{00000000-0010-0000-0000-0000122B0000}" name="Coluna11021"/>
    <tableColumn id="11027" xr3:uid="{00000000-0010-0000-0000-0000132B0000}" name="Coluna11022"/>
    <tableColumn id="11028" xr3:uid="{00000000-0010-0000-0000-0000142B0000}" name="Coluna11023"/>
    <tableColumn id="11029" xr3:uid="{00000000-0010-0000-0000-0000152B0000}" name="Coluna11024"/>
    <tableColumn id="11030" xr3:uid="{00000000-0010-0000-0000-0000162B0000}" name="Coluna11025"/>
    <tableColumn id="11031" xr3:uid="{00000000-0010-0000-0000-0000172B0000}" name="Coluna11026"/>
    <tableColumn id="11032" xr3:uid="{00000000-0010-0000-0000-0000182B0000}" name="Coluna11027"/>
    <tableColumn id="11033" xr3:uid="{00000000-0010-0000-0000-0000192B0000}" name="Coluna11028"/>
    <tableColumn id="11034" xr3:uid="{00000000-0010-0000-0000-00001A2B0000}" name="Coluna11029"/>
    <tableColumn id="11035" xr3:uid="{00000000-0010-0000-0000-00001B2B0000}" name="Coluna11030"/>
    <tableColumn id="11036" xr3:uid="{00000000-0010-0000-0000-00001C2B0000}" name="Coluna11031"/>
    <tableColumn id="11037" xr3:uid="{00000000-0010-0000-0000-00001D2B0000}" name="Coluna11032"/>
    <tableColumn id="11038" xr3:uid="{00000000-0010-0000-0000-00001E2B0000}" name="Coluna11033"/>
    <tableColumn id="11039" xr3:uid="{00000000-0010-0000-0000-00001F2B0000}" name="Coluna11034"/>
    <tableColumn id="11040" xr3:uid="{00000000-0010-0000-0000-0000202B0000}" name="Coluna11035"/>
    <tableColumn id="11041" xr3:uid="{00000000-0010-0000-0000-0000212B0000}" name="Coluna11036"/>
    <tableColumn id="11042" xr3:uid="{00000000-0010-0000-0000-0000222B0000}" name="Coluna11037"/>
    <tableColumn id="11043" xr3:uid="{00000000-0010-0000-0000-0000232B0000}" name="Coluna11038"/>
    <tableColumn id="11044" xr3:uid="{00000000-0010-0000-0000-0000242B0000}" name="Coluna11039"/>
    <tableColumn id="11045" xr3:uid="{00000000-0010-0000-0000-0000252B0000}" name="Coluna11040"/>
    <tableColumn id="11046" xr3:uid="{00000000-0010-0000-0000-0000262B0000}" name="Coluna11041"/>
    <tableColumn id="11047" xr3:uid="{00000000-0010-0000-0000-0000272B0000}" name="Coluna11042"/>
    <tableColumn id="11048" xr3:uid="{00000000-0010-0000-0000-0000282B0000}" name="Coluna11043"/>
    <tableColumn id="11049" xr3:uid="{00000000-0010-0000-0000-0000292B0000}" name="Coluna11044"/>
    <tableColumn id="11050" xr3:uid="{00000000-0010-0000-0000-00002A2B0000}" name="Coluna11045"/>
    <tableColumn id="11051" xr3:uid="{00000000-0010-0000-0000-00002B2B0000}" name="Coluna11046"/>
    <tableColumn id="11052" xr3:uid="{00000000-0010-0000-0000-00002C2B0000}" name="Coluna11047"/>
    <tableColumn id="11053" xr3:uid="{00000000-0010-0000-0000-00002D2B0000}" name="Coluna11048"/>
    <tableColumn id="11054" xr3:uid="{00000000-0010-0000-0000-00002E2B0000}" name="Coluna11049"/>
    <tableColumn id="11055" xr3:uid="{00000000-0010-0000-0000-00002F2B0000}" name="Coluna11050"/>
    <tableColumn id="11056" xr3:uid="{00000000-0010-0000-0000-0000302B0000}" name="Coluna11051"/>
    <tableColumn id="11057" xr3:uid="{00000000-0010-0000-0000-0000312B0000}" name="Coluna11052"/>
    <tableColumn id="11058" xr3:uid="{00000000-0010-0000-0000-0000322B0000}" name="Coluna11053"/>
    <tableColumn id="11059" xr3:uid="{00000000-0010-0000-0000-0000332B0000}" name="Coluna11054"/>
    <tableColumn id="11060" xr3:uid="{00000000-0010-0000-0000-0000342B0000}" name="Coluna11055"/>
    <tableColumn id="11061" xr3:uid="{00000000-0010-0000-0000-0000352B0000}" name="Coluna11056"/>
    <tableColumn id="11062" xr3:uid="{00000000-0010-0000-0000-0000362B0000}" name="Coluna11057"/>
    <tableColumn id="11063" xr3:uid="{00000000-0010-0000-0000-0000372B0000}" name="Coluna11058"/>
    <tableColumn id="11064" xr3:uid="{00000000-0010-0000-0000-0000382B0000}" name="Coluna11059"/>
    <tableColumn id="11065" xr3:uid="{00000000-0010-0000-0000-0000392B0000}" name="Coluna11060"/>
    <tableColumn id="11066" xr3:uid="{00000000-0010-0000-0000-00003A2B0000}" name="Coluna11061"/>
    <tableColumn id="11067" xr3:uid="{00000000-0010-0000-0000-00003B2B0000}" name="Coluna11062"/>
    <tableColumn id="11068" xr3:uid="{00000000-0010-0000-0000-00003C2B0000}" name="Coluna11063"/>
    <tableColumn id="11069" xr3:uid="{00000000-0010-0000-0000-00003D2B0000}" name="Coluna11064"/>
    <tableColumn id="11070" xr3:uid="{00000000-0010-0000-0000-00003E2B0000}" name="Coluna11065"/>
    <tableColumn id="11071" xr3:uid="{00000000-0010-0000-0000-00003F2B0000}" name="Coluna11066"/>
    <tableColumn id="11072" xr3:uid="{00000000-0010-0000-0000-0000402B0000}" name="Coluna11067"/>
    <tableColumn id="11073" xr3:uid="{00000000-0010-0000-0000-0000412B0000}" name="Coluna11068"/>
    <tableColumn id="11074" xr3:uid="{00000000-0010-0000-0000-0000422B0000}" name="Coluna11069"/>
    <tableColumn id="11075" xr3:uid="{00000000-0010-0000-0000-0000432B0000}" name="Coluna11070"/>
    <tableColumn id="11076" xr3:uid="{00000000-0010-0000-0000-0000442B0000}" name="Coluna11071"/>
    <tableColumn id="11077" xr3:uid="{00000000-0010-0000-0000-0000452B0000}" name="Coluna11072"/>
    <tableColumn id="11078" xr3:uid="{00000000-0010-0000-0000-0000462B0000}" name="Coluna11073"/>
    <tableColumn id="11079" xr3:uid="{00000000-0010-0000-0000-0000472B0000}" name="Coluna11074"/>
    <tableColumn id="11080" xr3:uid="{00000000-0010-0000-0000-0000482B0000}" name="Coluna11075"/>
    <tableColumn id="11081" xr3:uid="{00000000-0010-0000-0000-0000492B0000}" name="Coluna11076"/>
    <tableColumn id="11082" xr3:uid="{00000000-0010-0000-0000-00004A2B0000}" name="Coluna11077"/>
    <tableColumn id="11083" xr3:uid="{00000000-0010-0000-0000-00004B2B0000}" name="Coluna11078"/>
    <tableColumn id="11084" xr3:uid="{00000000-0010-0000-0000-00004C2B0000}" name="Coluna11079"/>
    <tableColumn id="11085" xr3:uid="{00000000-0010-0000-0000-00004D2B0000}" name="Coluna11080"/>
    <tableColumn id="11086" xr3:uid="{00000000-0010-0000-0000-00004E2B0000}" name="Coluna11081"/>
    <tableColumn id="11087" xr3:uid="{00000000-0010-0000-0000-00004F2B0000}" name="Coluna11082"/>
    <tableColumn id="11088" xr3:uid="{00000000-0010-0000-0000-0000502B0000}" name="Coluna11083"/>
    <tableColumn id="11089" xr3:uid="{00000000-0010-0000-0000-0000512B0000}" name="Coluna11084"/>
    <tableColumn id="11090" xr3:uid="{00000000-0010-0000-0000-0000522B0000}" name="Coluna11085"/>
    <tableColumn id="11091" xr3:uid="{00000000-0010-0000-0000-0000532B0000}" name="Coluna11086"/>
    <tableColumn id="11092" xr3:uid="{00000000-0010-0000-0000-0000542B0000}" name="Coluna11087"/>
    <tableColumn id="11093" xr3:uid="{00000000-0010-0000-0000-0000552B0000}" name="Coluna11088"/>
    <tableColumn id="11094" xr3:uid="{00000000-0010-0000-0000-0000562B0000}" name="Coluna11089"/>
    <tableColumn id="11095" xr3:uid="{00000000-0010-0000-0000-0000572B0000}" name="Coluna11090"/>
    <tableColumn id="11096" xr3:uid="{00000000-0010-0000-0000-0000582B0000}" name="Coluna11091"/>
    <tableColumn id="11097" xr3:uid="{00000000-0010-0000-0000-0000592B0000}" name="Coluna11092"/>
    <tableColumn id="11098" xr3:uid="{00000000-0010-0000-0000-00005A2B0000}" name="Coluna11093"/>
    <tableColumn id="11099" xr3:uid="{00000000-0010-0000-0000-00005B2B0000}" name="Coluna11094"/>
    <tableColumn id="11100" xr3:uid="{00000000-0010-0000-0000-00005C2B0000}" name="Coluna11095"/>
    <tableColumn id="11101" xr3:uid="{00000000-0010-0000-0000-00005D2B0000}" name="Coluna11096"/>
    <tableColumn id="11102" xr3:uid="{00000000-0010-0000-0000-00005E2B0000}" name="Coluna11097"/>
    <tableColumn id="11103" xr3:uid="{00000000-0010-0000-0000-00005F2B0000}" name="Coluna11098"/>
    <tableColumn id="11104" xr3:uid="{00000000-0010-0000-0000-0000602B0000}" name="Coluna11099"/>
    <tableColumn id="11105" xr3:uid="{00000000-0010-0000-0000-0000612B0000}" name="Coluna11100"/>
    <tableColumn id="11106" xr3:uid="{00000000-0010-0000-0000-0000622B0000}" name="Coluna11101"/>
    <tableColumn id="11107" xr3:uid="{00000000-0010-0000-0000-0000632B0000}" name="Coluna11102"/>
    <tableColumn id="11108" xr3:uid="{00000000-0010-0000-0000-0000642B0000}" name="Coluna11103"/>
    <tableColumn id="11109" xr3:uid="{00000000-0010-0000-0000-0000652B0000}" name="Coluna11104"/>
    <tableColumn id="11110" xr3:uid="{00000000-0010-0000-0000-0000662B0000}" name="Coluna11105"/>
    <tableColumn id="11111" xr3:uid="{00000000-0010-0000-0000-0000672B0000}" name="Coluna11106"/>
    <tableColumn id="11112" xr3:uid="{00000000-0010-0000-0000-0000682B0000}" name="Coluna11107"/>
    <tableColumn id="11113" xr3:uid="{00000000-0010-0000-0000-0000692B0000}" name="Coluna11108"/>
    <tableColumn id="11114" xr3:uid="{00000000-0010-0000-0000-00006A2B0000}" name="Coluna11109"/>
    <tableColumn id="11115" xr3:uid="{00000000-0010-0000-0000-00006B2B0000}" name="Coluna11110"/>
    <tableColumn id="11116" xr3:uid="{00000000-0010-0000-0000-00006C2B0000}" name="Coluna11111"/>
    <tableColumn id="11117" xr3:uid="{00000000-0010-0000-0000-00006D2B0000}" name="Coluna11112"/>
    <tableColumn id="11118" xr3:uid="{00000000-0010-0000-0000-00006E2B0000}" name="Coluna11113"/>
    <tableColumn id="11119" xr3:uid="{00000000-0010-0000-0000-00006F2B0000}" name="Coluna11114"/>
    <tableColumn id="11120" xr3:uid="{00000000-0010-0000-0000-0000702B0000}" name="Coluna11115"/>
    <tableColumn id="11121" xr3:uid="{00000000-0010-0000-0000-0000712B0000}" name="Coluna11116"/>
    <tableColumn id="11122" xr3:uid="{00000000-0010-0000-0000-0000722B0000}" name="Coluna11117"/>
    <tableColumn id="11123" xr3:uid="{00000000-0010-0000-0000-0000732B0000}" name="Coluna11118"/>
    <tableColumn id="11124" xr3:uid="{00000000-0010-0000-0000-0000742B0000}" name="Coluna11119"/>
    <tableColumn id="11125" xr3:uid="{00000000-0010-0000-0000-0000752B0000}" name="Coluna11120"/>
    <tableColumn id="11126" xr3:uid="{00000000-0010-0000-0000-0000762B0000}" name="Coluna11121"/>
    <tableColumn id="11127" xr3:uid="{00000000-0010-0000-0000-0000772B0000}" name="Coluna11122"/>
    <tableColumn id="11128" xr3:uid="{00000000-0010-0000-0000-0000782B0000}" name="Coluna11123"/>
    <tableColumn id="11129" xr3:uid="{00000000-0010-0000-0000-0000792B0000}" name="Coluna11124"/>
    <tableColumn id="11130" xr3:uid="{00000000-0010-0000-0000-00007A2B0000}" name="Coluna11125"/>
    <tableColumn id="11131" xr3:uid="{00000000-0010-0000-0000-00007B2B0000}" name="Coluna11126"/>
    <tableColumn id="11132" xr3:uid="{00000000-0010-0000-0000-00007C2B0000}" name="Coluna11127"/>
    <tableColumn id="11133" xr3:uid="{00000000-0010-0000-0000-00007D2B0000}" name="Coluna11128"/>
    <tableColumn id="11134" xr3:uid="{00000000-0010-0000-0000-00007E2B0000}" name="Coluna11129"/>
    <tableColumn id="11135" xr3:uid="{00000000-0010-0000-0000-00007F2B0000}" name="Coluna11130"/>
    <tableColumn id="11136" xr3:uid="{00000000-0010-0000-0000-0000802B0000}" name="Coluna11131"/>
    <tableColumn id="11137" xr3:uid="{00000000-0010-0000-0000-0000812B0000}" name="Coluna11132"/>
    <tableColumn id="11138" xr3:uid="{00000000-0010-0000-0000-0000822B0000}" name="Coluna11133"/>
    <tableColumn id="11139" xr3:uid="{00000000-0010-0000-0000-0000832B0000}" name="Coluna11134"/>
    <tableColumn id="11140" xr3:uid="{00000000-0010-0000-0000-0000842B0000}" name="Coluna11135"/>
    <tableColumn id="11141" xr3:uid="{00000000-0010-0000-0000-0000852B0000}" name="Coluna11136"/>
    <tableColumn id="11142" xr3:uid="{00000000-0010-0000-0000-0000862B0000}" name="Coluna11137"/>
    <tableColumn id="11143" xr3:uid="{00000000-0010-0000-0000-0000872B0000}" name="Coluna11138"/>
    <tableColumn id="11144" xr3:uid="{00000000-0010-0000-0000-0000882B0000}" name="Coluna11139"/>
    <tableColumn id="11145" xr3:uid="{00000000-0010-0000-0000-0000892B0000}" name="Coluna11140"/>
    <tableColumn id="11146" xr3:uid="{00000000-0010-0000-0000-00008A2B0000}" name="Coluna11141"/>
    <tableColumn id="11147" xr3:uid="{00000000-0010-0000-0000-00008B2B0000}" name="Coluna11142"/>
    <tableColumn id="11148" xr3:uid="{00000000-0010-0000-0000-00008C2B0000}" name="Coluna11143"/>
    <tableColumn id="11149" xr3:uid="{00000000-0010-0000-0000-00008D2B0000}" name="Coluna11144"/>
    <tableColumn id="11150" xr3:uid="{00000000-0010-0000-0000-00008E2B0000}" name="Coluna11145"/>
    <tableColumn id="11151" xr3:uid="{00000000-0010-0000-0000-00008F2B0000}" name="Coluna11146"/>
    <tableColumn id="11152" xr3:uid="{00000000-0010-0000-0000-0000902B0000}" name="Coluna11147"/>
    <tableColumn id="11153" xr3:uid="{00000000-0010-0000-0000-0000912B0000}" name="Coluna11148"/>
    <tableColumn id="11154" xr3:uid="{00000000-0010-0000-0000-0000922B0000}" name="Coluna11149"/>
    <tableColumn id="11155" xr3:uid="{00000000-0010-0000-0000-0000932B0000}" name="Coluna11150"/>
    <tableColumn id="11156" xr3:uid="{00000000-0010-0000-0000-0000942B0000}" name="Coluna11151"/>
    <tableColumn id="11157" xr3:uid="{00000000-0010-0000-0000-0000952B0000}" name="Coluna11152"/>
    <tableColumn id="11158" xr3:uid="{00000000-0010-0000-0000-0000962B0000}" name="Coluna11153"/>
    <tableColumn id="11159" xr3:uid="{00000000-0010-0000-0000-0000972B0000}" name="Coluna11154"/>
    <tableColumn id="11160" xr3:uid="{00000000-0010-0000-0000-0000982B0000}" name="Coluna11155"/>
    <tableColumn id="11161" xr3:uid="{00000000-0010-0000-0000-0000992B0000}" name="Coluna11156"/>
    <tableColumn id="11162" xr3:uid="{00000000-0010-0000-0000-00009A2B0000}" name="Coluna11157"/>
    <tableColumn id="11163" xr3:uid="{00000000-0010-0000-0000-00009B2B0000}" name="Coluna11158"/>
    <tableColumn id="11164" xr3:uid="{00000000-0010-0000-0000-00009C2B0000}" name="Coluna11159"/>
    <tableColumn id="11165" xr3:uid="{00000000-0010-0000-0000-00009D2B0000}" name="Coluna11160"/>
    <tableColumn id="11166" xr3:uid="{00000000-0010-0000-0000-00009E2B0000}" name="Coluna11161"/>
    <tableColumn id="11167" xr3:uid="{00000000-0010-0000-0000-00009F2B0000}" name="Coluna11162"/>
    <tableColumn id="11168" xr3:uid="{00000000-0010-0000-0000-0000A02B0000}" name="Coluna11163"/>
    <tableColumn id="11169" xr3:uid="{00000000-0010-0000-0000-0000A12B0000}" name="Coluna11164"/>
    <tableColumn id="11170" xr3:uid="{00000000-0010-0000-0000-0000A22B0000}" name="Coluna11165"/>
    <tableColumn id="11171" xr3:uid="{00000000-0010-0000-0000-0000A32B0000}" name="Coluna11166"/>
    <tableColumn id="11172" xr3:uid="{00000000-0010-0000-0000-0000A42B0000}" name="Coluna11167"/>
    <tableColumn id="11173" xr3:uid="{00000000-0010-0000-0000-0000A52B0000}" name="Coluna11168"/>
    <tableColumn id="11174" xr3:uid="{00000000-0010-0000-0000-0000A62B0000}" name="Coluna11169"/>
    <tableColumn id="11175" xr3:uid="{00000000-0010-0000-0000-0000A72B0000}" name="Coluna11170"/>
    <tableColumn id="11176" xr3:uid="{00000000-0010-0000-0000-0000A82B0000}" name="Coluna11171"/>
    <tableColumn id="11177" xr3:uid="{00000000-0010-0000-0000-0000A92B0000}" name="Coluna11172"/>
    <tableColumn id="11178" xr3:uid="{00000000-0010-0000-0000-0000AA2B0000}" name="Coluna11173"/>
    <tableColumn id="11179" xr3:uid="{00000000-0010-0000-0000-0000AB2B0000}" name="Coluna11174"/>
    <tableColumn id="11180" xr3:uid="{00000000-0010-0000-0000-0000AC2B0000}" name="Coluna11175"/>
    <tableColumn id="11181" xr3:uid="{00000000-0010-0000-0000-0000AD2B0000}" name="Coluna11176"/>
    <tableColumn id="11182" xr3:uid="{00000000-0010-0000-0000-0000AE2B0000}" name="Coluna11177"/>
    <tableColumn id="11183" xr3:uid="{00000000-0010-0000-0000-0000AF2B0000}" name="Coluna11178"/>
    <tableColumn id="11184" xr3:uid="{00000000-0010-0000-0000-0000B02B0000}" name="Coluna11179"/>
    <tableColumn id="11185" xr3:uid="{00000000-0010-0000-0000-0000B12B0000}" name="Coluna11180"/>
    <tableColumn id="11186" xr3:uid="{00000000-0010-0000-0000-0000B22B0000}" name="Coluna11181"/>
    <tableColumn id="11187" xr3:uid="{00000000-0010-0000-0000-0000B32B0000}" name="Coluna11182"/>
    <tableColumn id="11188" xr3:uid="{00000000-0010-0000-0000-0000B42B0000}" name="Coluna11183"/>
    <tableColumn id="11189" xr3:uid="{00000000-0010-0000-0000-0000B52B0000}" name="Coluna11184"/>
    <tableColumn id="11190" xr3:uid="{00000000-0010-0000-0000-0000B62B0000}" name="Coluna11185"/>
    <tableColumn id="11191" xr3:uid="{00000000-0010-0000-0000-0000B72B0000}" name="Coluna11186"/>
    <tableColumn id="11192" xr3:uid="{00000000-0010-0000-0000-0000B82B0000}" name="Coluna11187"/>
    <tableColumn id="11193" xr3:uid="{00000000-0010-0000-0000-0000B92B0000}" name="Coluna11188"/>
    <tableColumn id="11194" xr3:uid="{00000000-0010-0000-0000-0000BA2B0000}" name="Coluna11189"/>
    <tableColumn id="11195" xr3:uid="{00000000-0010-0000-0000-0000BB2B0000}" name="Coluna11190"/>
    <tableColumn id="11196" xr3:uid="{00000000-0010-0000-0000-0000BC2B0000}" name="Coluna11191"/>
    <tableColumn id="11197" xr3:uid="{00000000-0010-0000-0000-0000BD2B0000}" name="Coluna11192"/>
    <tableColumn id="11198" xr3:uid="{00000000-0010-0000-0000-0000BE2B0000}" name="Coluna11193"/>
    <tableColumn id="11199" xr3:uid="{00000000-0010-0000-0000-0000BF2B0000}" name="Coluna11194"/>
    <tableColumn id="11200" xr3:uid="{00000000-0010-0000-0000-0000C02B0000}" name="Coluna11195"/>
    <tableColumn id="11201" xr3:uid="{00000000-0010-0000-0000-0000C12B0000}" name="Coluna11196"/>
    <tableColumn id="11202" xr3:uid="{00000000-0010-0000-0000-0000C22B0000}" name="Coluna11197"/>
    <tableColumn id="11203" xr3:uid="{00000000-0010-0000-0000-0000C32B0000}" name="Coluna11198"/>
    <tableColumn id="11204" xr3:uid="{00000000-0010-0000-0000-0000C42B0000}" name="Coluna11199"/>
    <tableColumn id="11205" xr3:uid="{00000000-0010-0000-0000-0000C52B0000}" name="Coluna11200"/>
    <tableColumn id="11206" xr3:uid="{00000000-0010-0000-0000-0000C62B0000}" name="Coluna11201"/>
    <tableColumn id="11207" xr3:uid="{00000000-0010-0000-0000-0000C72B0000}" name="Coluna11202"/>
    <tableColumn id="11208" xr3:uid="{00000000-0010-0000-0000-0000C82B0000}" name="Coluna11203"/>
    <tableColumn id="11209" xr3:uid="{00000000-0010-0000-0000-0000C92B0000}" name="Coluna11204"/>
    <tableColumn id="11210" xr3:uid="{00000000-0010-0000-0000-0000CA2B0000}" name="Coluna11205"/>
    <tableColumn id="11211" xr3:uid="{00000000-0010-0000-0000-0000CB2B0000}" name="Coluna11206"/>
    <tableColumn id="11212" xr3:uid="{00000000-0010-0000-0000-0000CC2B0000}" name="Coluna11207"/>
    <tableColumn id="11213" xr3:uid="{00000000-0010-0000-0000-0000CD2B0000}" name="Coluna11208"/>
    <tableColumn id="11214" xr3:uid="{00000000-0010-0000-0000-0000CE2B0000}" name="Coluna11209"/>
    <tableColumn id="11215" xr3:uid="{00000000-0010-0000-0000-0000CF2B0000}" name="Coluna11210"/>
    <tableColumn id="11216" xr3:uid="{00000000-0010-0000-0000-0000D02B0000}" name="Coluna11211"/>
    <tableColumn id="11217" xr3:uid="{00000000-0010-0000-0000-0000D12B0000}" name="Coluna11212"/>
    <tableColumn id="11218" xr3:uid="{00000000-0010-0000-0000-0000D22B0000}" name="Coluna11213"/>
    <tableColumn id="11219" xr3:uid="{00000000-0010-0000-0000-0000D32B0000}" name="Coluna11214"/>
    <tableColumn id="11220" xr3:uid="{00000000-0010-0000-0000-0000D42B0000}" name="Coluna11215"/>
    <tableColumn id="11221" xr3:uid="{00000000-0010-0000-0000-0000D52B0000}" name="Coluna11216"/>
    <tableColumn id="11222" xr3:uid="{00000000-0010-0000-0000-0000D62B0000}" name="Coluna11217"/>
    <tableColumn id="11223" xr3:uid="{00000000-0010-0000-0000-0000D72B0000}" name="Coluna11218"/>
    <tableColumn id="11224" xr3:uid="{00000000-0010-0000-0000-0000D82B0000}" name="Coluna11219"/>
    <tableColumn id="11225" xr3:uid="{00000000-0010-0000-0000-0000D92B0000}" name="Coluna11220"/>
    <tableColumn id="11226" xr3:uid="{00000000-0010-0000-0000-0000DA2B0000}" name="Coluna11221"/>
    <tableColumn id="11227" xr3:uid="{00000000-0010-0000-0000-0000DB2B0000}" name="Coluna11222"/>
    <tableColumn id="11228" xr3:uid="{00000000-0010-0000-0000-0000DC2B0000}" name="Coluna11223"/>
    <tableColumn id="11229" xr3:uid="{00000000-0010-0000-0000-0000DD2B0000}" name="Coluna11224"/>
    <tableColumn id="11230" xr3:uid="{00000000-0010-0000-0000-0000DE2B0000}" name="Coluna11225"/>
    <tableColumn id="11231" xr3:uid="{00000000-0010-0000-0000-0000DF2B0000}" name="Coluna11226"/>
    <tableColumn id="11232" xr3:uid="{00000000-0010-0000-0000-0000E02B0000}" name="Coluna11227"/>
    <tableColumn id="11233" xr3:uid="{00000000-0010-0000-0000-0000E12B0000}" name="Coluna11228"/>
    <tableColumn id="11234" xr3:uid="{00000000-0010-0000-0000-0000E22B0000}" name="Coluna11229"/>
    <tableColumn id="11235" xr3:uid="{00000000-0010-0000-0000-0000E32B0000}" name="Coluna11230"/>
    <tableColumn id="11236" xr3:uid="{00000000-0010-0000-0000-0000E42B0000}" name="Coluna11231"/>
    <tableColumn id="11237" xr3:uid="{00000000-0010-0000-0000-0000E52B0000}" name="Coluna11232"/>
    <tableColumn id="11238" xr3:uid="{00000000-0010-0000-0000-0000E62B0000}" name="Coluna11233"/>
    <tableColumn id="11239" xr3:uid="{00000000-0010-0000-0000-0000E72B0000}" name="Coluna11234"/>
    <tableColumn id="11240" xr3:uid="{00000000-0010-0000-0000-0000E82B0000}" name="Coluna11235"/>
    <tableColumn id="11241" xr3:uid="{00000000-0010-0000-0000-0000E92B0000}" name="Coluna11236"/>
    <tableColumn id="11242" xr3:uid="{00000000-0010-0000-0000-0000EA2B0000}" name="Coluna11237"/>
    <tableColumn id="11243" xr3:uid="{00000000-0010-0000-0000-0000EB2B0000}" name="Coluna11238"/>
    <tableColumn id="11244" xr3:uid="{00000000-0010-0000-0000-0000EC2B0000}" name="Coluna11239"/>
    <tableColumn id="11245" xr3:uid="{00000000-0010-0000-0000-0000ED2B0000}" name="Coluna11240"/>
    <tableColumn id="11246" xr3:uid="{00000000-0010-0000-0000-0000EE2B0000}" name="Coluna11241"/>
    <tableColumn id="11247" xr3:uid="{00000000-0010-0000-0000-0000EF2B0000}" name="Coluna11242"/>
    <tableColumn id="11248" xr3:uid="{00000000-0010-0000-0000-0000F02B0000}" name="Coluna11243"/>
    <tableColumn id="11249" xr3:uid="{00000000-0010-0000-0000-0000F12B0000}" name="Coluna11244"/>
    <tableColumn id="11250" xr3:uid="{00000000-0010-0000-0000-0000F22B0000}" name="Coluna11245"/>
    <tableColumn id="11251" xr3:uid="{00000000-0010-0000-0000-0000F32B0000}" name="Coluna11246"/>
    <tableColumn id="11252" xr3:uid="{00000000-0010-0000-0000-0000F42B0000}" name="Coluna11247"/>
    <tableColumn id="11253" xr3:uid="{00000000-0010-0000-0000-0000F52B0000}" name="Coluna11248"/>
    <tableColumn id="11254" xr3:uid="{00000000-0010-0000-0000-0000F62B0000}" name="Coluna11249"/>
    <tableColumn id="11255" xr3:uid="{00000000-0010-0000-0000-0000F72B0000}" name="Coluna11250"/>
    <tableColumn id="11256" xr3:uid="{00000000-0010-0000-0000-0000F82B0000}" name="Coluna11251"/>
    <tableColumn id="11257" xr3:uid="{00000000-0010-0000-0000-0000F92B0000}" name="Coluna11252"/>
    <tableColumn id="11258" xr3:uid="{00000000-0010-0000-0000-0000FA2B0000}" name="Coluna11253"/>
    <tableColumn id="11259" xr3:uid="{00000000-0010-0000-0000-0000FB2B0000}" name="Coluna11254"/>
    <tableColumn id="11260" xr3:uid="{00000000-0010-0000-0000-0000FC2B0000}" name="Coluna11255"/>
    <tableColumn id="11261" xr3:uid="{00000000-0010-0000-0000-0000FD2B0000}" name="Coluna11256"/>
    <tableColumn id="11262" xr3:uid="{00000000-0010-0000-0000-0000FE2B0000}" name="Coluna11257"/>
    <tableColumn id="11263" xr3:uid="{00000000-0010-0000-0000-0000FF2B0000}" name="Coluna11258"/>
    <tableColumn id="11264" xr3:uid="{00000000-0010-0000-0000-0000002C0000}" name="Coluna11259"/>
    <tableColumn id="11265" xr3:uid="{00000000-0010-0000-0000-0000012C0000}" name="Coluna11260"/>
    <tableColumn id="11266" xr3:uid="{00000000-0010-0000-0000-0000022C0000}" name="Coluna11261"/>
    <tableColumn id="11267" xr3:uid="{00000000-0010-0000-0000-0000032C0000}" name="Coluna11262"/>
    <tableColumn id="11268" xr3:uid="{00000000-0010-0000-0000-0000042C0000}" name="Coluna11263"/>
    <tableColumn id="11269" xr3:uid="{00000000-0010-0000-0000-0000052C0000}" name="Coluna11264"/>
    <tableColumn id="11270" xr3:uid="{00000000-0010-0000-0000-0000062C0000}" name="Coluna11265"/>
    <tableColumn id="11271" xr3:uid="{00000000-0010-0000-0000-0000072C0000}" name="Coluna11266"/>
    <tableColumn id="11272" xr3:uid="{00000000-0010-0000-0000-0000082C0000}" name="Coluna11267"/>
    <tableColumn id="11273" xr3:uid="{00000000-0010-0000-0000-0000092C0000}" name="Coluna11268"/>
    <tableColumn id="11274" xr3:uid="{00000000-0010-0000-0000-00000A2C0000}" name="Coluna11269"/>
    <tableColumn id="11275" xr3:uid="{00000000-0010-0000-0000-00000B2C0000}" name="Coluna11270"/>
    <tableColumn id="11276" xr3:uid="{00000000-0010-0000-0000-00000C2C0000}" name="Coluna11271"/>
    <tableColumn id="11277" xr3:uid="{00000000-0010-0000-0000-00000D2C0000}" name="Coluna11272"/>
    <tableColumn id="11278" xr3:uid="{00000000-0010-0000-0000-00000E2C0000}" name="Coluna11273"/>
    <tableColumn id="11279" xr3:uid="{00000000-0010-0000-0000-00000F2C0000}" name="Coluna11274"/>
    <tableColumn id="11280" xr3:uid="{00000000-0010-0000-0000-0000102C0000}" name="Coluna11275"/>
    <tableColumn id="11281" xr3:uid="{00000000-0010-0000-0000-0000112C0000}" name="Coluna11276"/>
    <tableColumn id="11282" xr3:uid="{00000000-0010-0000-0000-0000122C0000}" name="Coluna11277"/>
    <tableColumn id="11283" xr3:uid="{00000000-0010-0000-0000-0000132C0000}" name="Coluna11278"/>
    <tableColumn id="11284" xr3:uid="{00000000-0010-0000-0000-0000142C0000}" name="Coluna11279"/>
    <tableColumn id="11285" xr3:uid="{00000000-0010-0000-0000-0000152C0000}" name="Coluna11280"/>
    <tableColumn id="11286" xr3:uid="{00000000-0010-0000-0000-0000162C0000}" name="Coluna11281"/>
    <tableColumn id="11287" xr3:uid="{00000000-0010-0000-0000-0000172C0000}" name="Coluna11282"/>
    <tableColumn id="11288" xr3:uid="{00000000-0010-0000-0000-0000182C0000}" name="Coluna11283"/>
    <tableColumn id="11289" xr3:uid="{00000000-0010-0000-0000-0000192C0000}" name="Coluna11284"/>
    <tableColumn id="11290" xr3:uid="{00000000-0010-0000-0000-00001A2C0000}" name="Coluna11285"/>
    <tableColumn id="11291" xr3:uid="{00000000-0010-0000-0000-00001B2C0000}" name="Coluna11286"/>
    <tableColumn id="11292" xr3:uid="{00000000-0010-0000-0000-00001C2C0000}" name="Coluna11287"/>
    <tableColumn id="11293" xr3:uid="{00000000-0010-0000-0000-00001D2C0000}" name="Coluna11288"/>
    <tableColumn id="11294" xr3:uid="{00000000-0010-0000-0000-00001E2C0000}" name="Coluna11289"/>
    <tableColumn id="11295" xr3:uid="{00000000-0010-0000-0000-00001F2C0000}" name="Coluna11290"/>
    <tableColumn id="11296" xr3:uid="{00000000-0010-0000-0000-0000202C0000}" name="Coluna11291"/>
    <tableColumn id="11297" xr3:uid="{00000000-0010-0000-0000-0000212C0000}" name="Coluna11292"/>
    <tableColumn id="11298" xr3:uid="{00000000-0010-0000-0000-0000222C0000}" name="Coluna11293"/>
    <tableColumn id="11299" xr3:uid="{00000000-0010-0000-0000-0000232C0000}" name="Coluna11294"/>
    <tableColumn id="11300" xr3:uid="{00000000-0010-0000-0000-0000242C0000}" name="Coluna11295"/>
    <tableColumn id="11301" xr3:uid="{00000000-0010-0000-0000-0000252C0000}" name="Coluna11296"/>
    <tableColumn id="11302" xr3:uid="{00000000-0010-0000-0000-0000262C0000}" name="Coluna11297"/>
    <tableColumn id="11303" xr3:uid="{00000000-0010-0000-0000-0000272C0000}" name="Coluna11298"/>
    <tableColumn id="11304" xr3:uid="{00000000-0010-0000-0000-0000282C0000}" name="Coluna11299"/>
    <tableColumn id="11305" xr3:uid="{00000000-0010-0000-0000-0000292C0000}" name="Coluna11300"/>
    <tableColumn id="11306" xr3:uid="{00000000-0010-0000-0000-00002A2C0000}" name="Coluna11301"/>
    <tableColumn id="11307" xr3:uid="{00000000-0010-0000-0000-00002B2C0000}" name="Coluna11302"/>
    <tableColumn id="11308" xr3:uid="{00000000-0010-0000-0000-00002C2C0000}" name="Coluna11303"/>
    <tableColumn id="11309" xr3:uid="{00000000-0010-0000-0000-00002D2C0000}" name="Coluna11304"/>
    <tableColumn id="11310" xr3:uid="{00000000-0010-0000-0000-00002E2C0000}" name="Coluna11305"/>
    <tableColumn id="11311" xr3:uid="{00000000-0010-0000-0000-00002F2C0000}" name="Coluna11306"/>
    <tableColumn id="11312" xr3:uid="{00000000-0010-0000-0000-0000302C0000}" name="Coluna11307"/>
    <tableColumn id="11313" xr3:uid="{00000000-0010-0000-0000-0000312C0000}" name="Coluna11308"/>
    <tableColumn id="11314" xr3:uid="{00000000-0010-0000-0000-0000322C0000}" name="Coluna11309"/>
    <tableColumn id="11315" xr3:uid="{00000000-0010-0000-0000-0000332C0000}" name="Coluna11310"/>
    <tableColumn id="11316" xr3:uid="{00000000-0010-0000-0000-0000342C0000}" name="Coluna11311"/>
    <tableColumn id="11317" xr3:uid="{00000000-0010-0000-0000-0000352C0000}" name="Coluna11312"/>
    <tableColumn id="11318" xr3:uid="{00000000-0010-0000-0000-0000362C0000}" name="Coluna11313"/>
    <tableColumn id="11319" xr3:uid="{00000000-0010-0000-0000-0000372C0000}" name="Coluna11314"/>
    <tableColumn id="11320" xr3:uid="{00000000-0010-0000-0000-0000382C0000}" name="Coluna11315"/>
    <tableColumn id="11321" xr3:uid="{00000000-0010-0000-0000-0000392C0000}" name="Coluna11316"/>
    <tableColumn id="11322" xr3:uid="{00000000-0010-0000-0000-00003A2C0000}" name="Coluna11317"/>
    <tableColumn id="11323" xr3:uid="{00000000-0010-0000-0000-00003B2C0000}" name="Coluna11318"/>
    <tableColumn id="11324" xr3:uid="{00000000-0010-0000-0000-00003C2C0000}" name="Coluna11319"/>
    <tableColumn id="11325" xr3:uid="{00000000-0010-0000-0000-00003D2C0000}" name="Coluna11320"/>
    <tableColumn id="11326" xr3:uid="{00000000-0010-0000-0000-00003E2C0000}" name="Coluna11321"/>
    <tableColumn id="11327" xr3:uid="{00000000-0010-0000-0000-00003F2C0000}" name="Coluna11322"/>
    <tableColumn id="11328" xr3:uid="{00000000-0010-0000-0000-0000402C0000}" name="Coluna11323"/>
    <tableColumn id="11329" xr3:uid="{00000000-0010-0000-0000-0000412C0000}" name="Coluna11324"/>
    <tableColumn id="11330" xr3:uid="{00000000-0010-0000-0000-0000422C0000}" name="Coluna11325"/>
    <tableColumn id="11331" xr3:uid="{00000000-0010-0000-0000-0000432C0000}" name="Coluna11326"/>
    <tableColumn id="11332" xr3:uid="{00000000-0010-0000-0000-0000442C0000}" name="Coluna11327"/>
    <tableColumn id="11333" xr3:uid="{00000000-0010-0000-0000-0000452C0000}" name="Coluna11328"/>
    <tableColumn id="11334" xr3:uid="{00000000-0010-0000-0000-0000462C0000}" name="Coluna11329"/>
    <tableColumn id="11335" xr3:uid="{00000000-0010-0000-0000-0000472C0000}" name="Coluna11330"/>
    <tableColumn id="11336" xr3:uid="{00000000-0010-0000-0000-0000482C0000}" name="Coluna11331"/>
    <tableColumn id="11337" xr3:uid="{00000000-0010-0000-0000-0000492C0000}" name="Coluna11332"/>
    <tableColumn id="11338" xr3:uid="{00000000-0010-0000-0000-00004A2C0000}" name="Coluna11333"/>
    <tableColumn id="11339" xr3:uid="{00000000-0010-0000-0000-00004B2C0000}" name="Coluna11334"/>
    <tableColumn id="11340" xr3:uid="{00000000-0010-0000-0000-00004C2C0000}" name="Coluna11335"/>
    <tableColumn id="11341" xr3:uid="{00000000-0010-0000-0000-00004D2C0000}" name="Coluna11336"/>
    <tableColumn id="11342" xr3:uid="{00000000-0010-0000-0000-00004E2C0000}" name="Coluna11337"/>
    <tableColumn id="11343" xr3:uid="{00000000-0010-0000-0000-00004F2C0000}" name="Coluna11338"/>
    <tableColumn id="11344" xr3:uid="{00000000-0010-0000-0000-0000502C0000}" name="Coluna11339"/>
    <tableColumn id="11345" xr3:uid="{00000000-0010-0000-0000-0000512C0000}" name="Coluna11340"/>
    <tableColumn id="11346" xr3:uid="{00000000-0010-0000-0000-0000522C0000}" name="Coluna11341"/>
    <tableColumn id="11347" xr3:uid="{00000000-0010-0000-0000-0000532C0000}" name="Coluna11342"/>
    <tableColumn id="11348" xr3:uid="{00000000-0010-0000-0000-0000542C0000}" name="Coluna11343"/>
    <tableColumn id="11349" xr3:uid="{00000000-0010-0000-0000-0000552C0000}" name="Coluna11344"/>
    <tableColumn id="11350" xr3:uid="{00000000-0010-0000-0000-0000562C0000}" name="Coluna11345"/>
    <tableColumn id="11351" xr3:uid="{00000000-0010-0000-0000-0000572C0000}" name="Coluna11346"/>
    <tableColumn id="11352" xr3:uid="{00000000-0010-0000-0000-0000582C0000}" name="Coluna11347"/>
    <tableColumn id="11353" xr3:uid="{00000000-0010-0000-0000-0000592C0000}" name="Coluna11348"/>
    <tableColumn id="11354" xr3:uid="{00000000-0010-0000-0000-00005A2C0000}" name="Coluna11349"/>
    <tableColumn id="11355" xr3:uid="{00000000-0010-0000-0000-00005B2C0000}" name="Coluna11350"/>
    <tableColumn id="11356" xr3:uid="{00000000-0010-0000-0000-00005C2C0000}" name="Coluna11351"/>
    <tableColumn id="11357" xr3:uid="{00000000-0010-0000-0000-00005D2C0000}" name="Coluna11352"/>
    <tableColumn id="11358" xr3:uid="{00000000-0010-0000-0000-00005E2C0000}" name="Coluna11353"/>
    <tableColumn id="11359" xr3:uid="{00000000-0010-0000-0000-00005F2C0000}" name="Coluna11354"/>
    <tableColumn id="11360" xr3:uid="{00000000-0010-0000-0000-0000602C0000}" name="Coluna11355"/>
    <tableColumn id="11361" xr3:uid="{00000000-0010-0000-0000-0000612C0000}" name="Coluna11356"/>
    <tableColumn id="11362" xr3:uid="{00000000-0010-0000-0000-0000622C0000}" name="Coluna11357"/>
    <tableColumn id="11363" xr3:uid="{00000000-0010-0000-0000-0000632C0000}" name="Coluna11358"/>
    <tableColumn id="11364" xr3:uid="{00000000-0010-0000-0000-0000642C0000}" name="Coluna11359"/>
    <tableColumn id="11365" xr3:uid="{00000000-0010-0000-0000-0000652C0000}" name="Coluna11360"/>
    <tableColumn id="11366" xr3:uid="{00000000-0010-0000-0000-0000662C0000}" name="Coluna11361"/>
    <tableColumn id="11367" xr3:uid="{00000000-0010-0000-0000-0000672C0000}" name="Coluna11362"/>
    <tableColumn id="11368" xr3:uid="{00000000-0010-0000-0000-0000682C0000}" name="Coluna11363"/>
    <tableColumn id="11369" xr3:uid="{00000000-0010-0000-0000-0000692C0000}" name="Coluna11364"/>
    <tableColumn id="11370" xr3:uid="{00000000-0010-0000-0000-00006A2C0000}" name="Coluna11365"/>
    <tableColumn id="11371" xr3:uid="{00000000-0010-0000-0000-00006B2C0000}" name="Coluna11366"/>
    <tableColumn id="11372" xr3:uid="{00000000-0010-0000-0000-00006C2C0000}" name="Coluna11367"/>
    <tableColumn id="11373" xr3:uid="{00000000-0010-0000-0000-00006D2C0000}" name="Coluna11368"/>
    <tableColumn id="11374" xr3:uid="{00000000-0010-0000-0000-00006E2C0000}" name="Coluna11369"/>
    <tableColumn id="11375" xr3:uid="{00000000-0010-0000-0000-00006F2C0000}" name="Coluna11370"/>
    <tableColumn id="11376" xr3:uid="{00000000-0010-0000-0000-0000702C0000}" name="Coluna11371"/>
    <tableColumn id="11377" xr3:uid="{00000000-0010-0000-0000-0000712C0000}" name="Coluna11372"/>
    <tableColumn id="11378" xr3:uid="{00000000-0010-0000-0000-0000722C0000}" name="Coluna11373"/>
    <tableColumn id="11379" xr3:uid="{00000000-0010-0000-0000-0000732C0000}" name="Coluna11374"/>
    <tableColumn id="11380" xr3:uid="{00000000-0010-0000-0000-0000742C0000}" name="Coluna11375"/>
    <tableColumn id="11381" xr3:uid="{00000000-0010-0000-0000-0000752C0000}" name="Coluna11376"/>
    <tableColumn id="11382" xr3:uid="{00000000-0010-0000-0000-0000762C0000}" name="Coluna11377"/>
    <tableColumn id="11383" xr3:uid="{00000000-0010-0000-0000-0000772C0000}" name="Coluna11378"/>
    <tableColumn id="11384" xr3:uid="{00000000-0010-0000-0000-0000782C0000}" name="Coluna11379"/>
    <tableColumn id="11385" xr3:uid="{00000000-0010-0000-0000-0000792C0000}" name="Coluna11380"/>
    <tableColumn id="11386" xr3:uid="{00000000-0010-0000-0000-00007A2C0000}" name="Coluna11381"/>
    <tableColumn id="11387" xr3:uid="{00000000-0010-0000-0000-00007B2C0000}" name="Coluna11382"/>
    <tableColumn id="11388" xr3:uid="{00000000-0010-0000-0000-00007C2C0000}" name="Coluna11383"/>
    <tableColumn id="11389" xr3:uid="{00000000-0010-0000-0000-00007D2C0000}" name="Coluna11384"/>
    <tableColumn id="11390" xr3:uid="{00000000-0010-0000-0000-00007E2C0000}" name="Coluna11385"/>
    <tableColumn id="11391" xr3:uid="{00000000-0010-0000-0000-00007F2C0000}" name="Coluna11386"/>
    <tableColumn id="11392" xr3:uid="{00000000-0010-0000-0000-0000802C0000}" name="Coluna11387"/>
    <tableColumn id="11393" xr3:uid="{00000000-0010-0000-0000-0000812C0000}" name="Coluna11388"/>
    <tableColumn id="11394" xr3:uid="{00000000-0010-0000-0000-0000822C0000}" name="Coluna11389"/>
    <tableColumn id="11395" xr3:uid="{00000000-0010-0000-0000-0000832C0000}" name="Coluna11390"/>
    <tableColumn id="11396" xr3:uid="{00000000-0010-0000-0000-0000842C0000}" name="Coluna11391"/>
    <tableColumn id="11397" xr3:uid="{00000000-0010-0000-0000-0000852C0000}" name="Coluna11392"/>
    <tableColumn id="11398" xr3:uid="{00000000-0010-0000-0000-0000862C0000}" name="Coluna11393"/>
    <tableColumn id="11399" xr3:uid="{00000000-0010-0000-0000-0000872C0000}" name="Coluna11394"/>
    <tableColumn id="11400" xr3:uid="{00000000-0010-0000-0000-0000882C0000}" name="Coluna11395"/>
    <tableColumn id="11401" xr3:uid="{00000000-0010-0000-0000-0000892C0000}" name="Coluna11396"/>
    <tableColumn id="11402" xr3:uid="{00000000-0010-0000-0000-00008A2C0000}" name="Coluna11397"/>
    <tableColumn id="11403" xr3:uid="{00000000-0010-0000-0000-00008B2C0000}" name="Coluna11398"/>
    <tableColumn id="11404" xr3:uid="{00000000-0010-0000-0000-00008C2C0000}" name="Coluna11399"/>
    <tableColumn id="11405" xr3:uid="{00000000-0010-0000-0000-00008D2C0000}" name="Coluna11400"/>
    <tableColumn id="11406" xr3:uid="{00000000-0010-0000-0000-00008E2C0000}" name="Coluna11401"/>
    <tableColumn id="11407" xr3:uid="{00000000-0010-0000-0000-00008F2C0000}" name="Coluna11402"/>
    <tableColumn id="11408" xr3:uid="{00000000-0010-0000-0000-0000902C0000}" name="Coluna11403"/>
    <tableColumn id="11409" xr3:uid="{00000000-0010-0000-0000-0000912C0000}" name="Coluna11404"/>
    <tableColumn id="11410" xr3:uid="{00000000-0010-0000-0000-0000922C0000}" name="Coluna11405"/>
    <tableColumn id="11411" xr3:uid="{00000000-0010-0000-0000-0000932C0000}" name="Coluna11406"/>
    <tableColumn id="11412" xr3:uid="{00000000-0010-0000-0000-0000942C0000}" name="Coluna11407"/>
    <tableColumn id="11413" xr3:uid="{00000000-0010-0000-0000-0000952C0000}" name="Coluna11408"/>
    <tableColumn id="11414" xr3:uid="{00000000-0010-0000-0000-0000962C0000}" name="Coluna11409"/>
    <tableColumn id="11415" xr3:uid="{00000000-0010-0000-0000-0000972C0000}" name="Coluna11410"/>
    <tableColumn id="11416" xr3:uid="{00000000-0010-0000-0000-0000982C0000}" name="Coluna11411"/>
    <tableColumn id="11417" xr3:uid="{00000000-0010-0000-0000-0000992C0000}" name="Coluna11412"/>
    <tableColumn id="11418" xr3:uid="{00000000-0010-0000-0000-00009A2C0000}" name="Coluna11413"/>
    <tableColumn id="11419" xr3:uid="{00000000-0010-0000-0000-00009B2C0000}" name="Coluna11414"/>
    <tableColumn id="11420" xr3:uid="{00000000-0010-0000-0000-00009C2C0000}" name="Coluna11415"/>
    <tableColumn id="11421" xr3:uid="{00000000-0010-0000-0000-00009D2C0000}" name="Coluna11416"/>
    <tableColumn id="11422" xr3:uid="{00000000-0010-0000-0000-00009E2C0000}" name="Coluna11417"/>
    <tableColumn id="11423" xr3:uid="{00000000-0010-0000-0000-00009F2C0000}" name="Coluna11418"/>
    <tableColumn id="11424" xr3:uid="{00000000-0010-0000-0000-0000A02C0000}" name="Coluna11419"/>
    <tableColumn id="11425" xr3:uid="{00000000-0010-0000-0000-0000A12C0000}" name="Coluna11420"/>
    <tableColumn id="11426" xr3:uid="{00000000-0010-0000-0000-0000A22C0000}" name="Coluna11421"/>
    <tableColumn id="11427" xr3:uid="{00000000-0010-0000-0000-0000A32C0000}" name="Coluna11422"/>
    <tableColumn id="11428" xr3:uid="{00000000-0010-0000-0000-0000A42C0000}" name="Coluna11423"/>
    <tableColumn id="11429" xr3:uid="{00000000-0010-0000-0000-0000A52C0000}" name="Coluna11424"/>
    <tableColumn id="11430" xr3:uid="{00000000-0010-0000-0000-0000A62C0000}" name="Coluna11425"/>
    <tableColumn id="11431" xr3:uid="{00000000-0010-0000-0000-0000A72C0000}" name="Coluna11426"/>
    <tableColumn id="11432" xr3:uid="{00000000-0010-0000-0000-0000A82C0000}" name="Coluna11427"/>
    <tableColumn id="11433" xr3:uid="{00000000-0010-0000-0000-0000A92C0000}" name="Coluna11428"/>
    <tableColumn id="11434" xr3:uid="{00000000-0010-0000-0000-0000AA2C0000}" name="Coluna11429"/>
    <tableColumn id="11435" xr3:uid="{00000000-0010-0000-0000-0000AB2C0000}" name="Coluna11430"/>
    <tableColumn id="11436" xr3:uid="{00000000-0010-0000-0000-0000AC2C0000}" name="Coluna11431"/>
    <tableColumn id="11437" xr3:uid="{00000000-0010-0000-0000-0000AD2C0000}" name="Coluna11432"/>
    <tableColumn id="11438" xr3:uid="{00000000-0010-0000-0000-0000AE2C0000}" name="Coluna11433"/>
    <tableColumn id="11439" xr3:uid="{00000000-0010-0000-0000-0000AF2C0000}" name="Coluna11434"/>
    <tableColumn id="11440" xr3:uid="{00000000-0010-0000-0000-0000B02C0000}" name="Coluna11435"/>
    <tableColumn id="11441" xr3:uid="{00000000-0010-0000-0000-0000B12C0000}" name="Coluna11436"/>
    <tableColumn id="11442" xr3:uid="{00000000-0010-0000-0000-0000B22C0000}" name="Coluna11437"/>
    <tableColumn id="11443" xr3:uid="{00000000-0010-0000-0000-0000B32C0000}" name="Coluna11438"/>
    <tableColumn id="11444" xr3:uid="{00000000-0010-0000-0000-0000B42C0000}" name="Coluna11439"/>
    <tableColumn id="11445" xr3:uid="{00000000-0010-0000-0000-0000B52C0000}" name="Coluna11440"/>
    <tableColumn id="11446" xr3:uid="{00000000-0010-0000-0000-0000B62C0000}" name="Coluna11441"/>
    <tableColumn id="11447" xr3:uid="{00000000-0010-0000-0000-0000B72C0000}" name="Coluna11442"/>
    <tableColumn id="11448" xr3:uid="{00000000-0010-0000-0000-0000B82C0000}" name="Coluna11443"/>
    <tableColumn id="11449" xr3:uid="{00000000-0010-0000-0000-0000B92C0000}" name="Coluna11444"/>
    <tableColumn id="11450" xr3:uid="{00000000-0010-0000-0000-0000BA2C0000}" name="Coluna11445"/>
    <tableColumn id="11451" xr3:uid="{00000000-0010-0000-0000-0000BB2C0000}" name="Coluna11446"/>
    <tableColumn id="11452" xr3:uid="{00000000-0010-0000-0000-0000BC2C0000}" name="Coluna11447"/>
    <tableColumn id="11453" xr3:uid="{00000000-0010-0000-0000-0000BD2C0000}" name="Coluna11448"/>
    <tableColumn id="11454" xr3:uid="{00000000-0010-0000-0000-0000BE2C0000}" name="Coluna11449"/>
    <tableColumn id="11455" xr3:uid="{00000000-0010-0000-0000-0000BF2C0000}" name="Coluna11450"/>
    <tableColumn id="11456" xr3:uid="{00000000-0010-0000-0000-0000C02C0000}" name="Coluna11451"/>
    <tableColumn id="11457" xr3:uid="{00000000-0010-0000-0000-0000C12C0000}" name="Coluna11452"/>
    <tableColumn id="11458" xr3:uid="{00000000-0010-0000-0000-0000C22C0000}" name="Coluna11453"/>
    <tableColumn id="11459" xr3:uid="{00000000-0010-0000-0000-0000C32C0000}" name="Coluna11454"/>
    <tableColumn id="11460" xr3:uid="{00000000-0010-0000-0000-0000C42C0000}" name="Coluna11455"/>
    <tableColumn id="11461" xr3:uid="{00000000-0010-0000-0000-0000C52C0000}" name="Coluna11456"/>
    <tableColumn id="11462" xr3:uid="{00000000-0010-0000-0000-0000C62C0000}" name="Coluna11457"/>
    <tableColumn id="11463" xr3:uid="{00000000-0010-0000-0000-0000C72C0000}" name="Coluna11458"/>
    <tableColumn id="11464" xr3:uid="{00000000-0010-0000-0000-0000C82C0000}" name="Coluna11459"/>
    <tableColumn id="11465" xr3:uid="{00000000-0010-0000-0000-0000C92C0000}" name="Coluna11460"/>
    <tableColumn id="11466" xr3:uid="{00000000-0010-0000-0000-0000CA2C0000}" name="Coluna11461"/>
    <tableColumn id="11467" xr3:uid="{00000000-0010-0000-0000-0000CB2C0000}" name="Coluna11462"/>
    <tableColumn id="11468" xr3:uid="{00000000-0010-0000-0000-0000CC2C0000}" name="Coluna11463"/>
    <tableColumn id="11469" xr3:uid="{00000000-0010-0000-0000-0000CD2C0000}" name="Coluna11464"/>
    <tableColumn id="11470" xr3:uid="{00000000-0010-0000-0000-0000CE2C0000}" name="Coluna11465"/>
    <tableColumn id="11471" xr3:uid="{00000000-0010-0000-0000-0000CF2C0000}" name="Coluna11466"/>
    <tableColumn id="11472" xr3:uid="{00000000-0010-0000-0000-0000D02C0000}" name="Coluna11467"/>
    <tableColumn id="11473" xr3:uid="{00000000-0010-0000-0000-0000D12C0000}" name="Coluna11468"/>
    <tableColumn id="11474" xr3:uid="{00000000-0010-0000-0000-0000D22C0000}" name="Coluna11469"/>
    <tableColumn id="11475" xr3:uid="{00000000-0010-0000-0000-0000D32C0000}" name="Coluna11470"/>
    <tableColumn id="11476" xr3:uid="{00000000-0010-0000-0000-0000D42C0000}" name="Coluna11471"/>
    <tableColumn id="11477" xr3:uid="{00000000-0010-0000-0000-0000D52C0000}" name="Coluna11472"/>
    <tableColumn id="11478" xr3:uid="{00000000-0010-0000-0000-0000D62C0000}" name="Coluna11473"/>
    <tableColumn id="11479" xr3:uid="{00000000-0010-0000-0000-0000D72C0000}" name="Coluna11474"/>
    <tableColumn id="11480" xr3:uid="{00000000-0010-0000-0000-0000D82C0000}" name="Coluna11475"/>
    <tableColumn id="11481" xr3:uid="{00000000-0010-0000-0000-0000D92C0000}" name="Coluna11476"/>
    <tableColumn id="11482" xr3:uid="{00000000-0010-0000-0000-0000DA2C0000}" name="Coluna11477"/>
    <tableColumn id="11483" xr3:uid="{00000000-0010-0000-0000-0000DB2C0000}" name="Coluna11478"/>
    <tableColumn id="11484" xr3:uid="{00000000-0010-0000-0000-0000DC2C0000}" name="Coluna11479"/>
    <tableColumn id="11485" xr3:uid="{00000000-0010-0000-0000-0000DD2C0000}" name="Coluna11480"/>
    <tableColumn id="11486" xr3:uid="{00000000-0010-0000-0000-0000DE2C0000}" name="Coluna11481"/>
    <tableColumn id="11487" xr3:uid="{00000000-0010-0000-0000-0000DF2C0000}" name="Coluna11482"/>
    <tableColumn id="11488" xr3:uid="{00000000-0010-0000-0000-0000E02C0000}" name="Coluna11483"/>
    <tableColumn id="11489" xr3:uid="{00000000-0010-0000-0000-0000E12C0000}" name="Coluna11484"/>
    <tableColumn id="11490" xr3:uid="{00000000-0010-0000-0000-0000E22C0000}" name="Coluna11485"/>
    <tableColumn id="11491" xr3:uid="{00000000-0010-0000-0000-0000E32C0000}" name="Coluna11486"/>
    <tableColumn id="11492" xr3:uid="{00000000-0010-0000-0000-0000E42C0000}" name="Coluna11487"/>
    <tableColumn id="11493" xr3:uid="{00000000-0010-0000-0000-0000E52C0000}" name="Coluna11488"/>
    <tableColumn id="11494" xr3:uid="{00000000-0010-0000-0000-0000E62C0000}" name="Coluna11489"/>
    <tableColumn id="11495" xr3:uid="{00000000-0010-0000-0000-0000E72C0000}" name="Coluna11490"/>
    <tableColumn id="11496" xr3:uid="{00000000-0010-0000-0000-0000E82C0000}" name="Coluna11491"/>
    <tableColumn id="11497" xr3:uid="{00000000-0010-0000-0000-0000E92C0000}" name="Coluna11492"/>
    <tableColumn id="11498" xr3:uid="{00000000-0010-0000-0000-0000EA2C0000}" name="Coluna11493"/>
    <tableColumn id="11499" xr3:uid="{00000000-0010-0000-0000-0000EB2C0000}" name="Coluna11494"/>
    <tableColumn id="11500" xr3:uid="{00000000-0010-0000-0000-0000EC2C0000}" name="Coluna11495"/>
    <tableColumn id="11501" xr3:uid="{00000000-0010-0000-0000-0000ED2C0000}" name="Coluna11496"/>
    <tableColumn id="11502" xr3:uid="{00000000-0010-0000-0000-0000EE2C0000}" name="Coluna11497"/>
    <tableColumn id="11503" xr3:uid="{00000000-0010-0000-0000-0000EF2C0000}" name="Coluna11498"/>
    <tableColumn id="11504" xr3:uid="{00000000-0010-0000-0000-0000F02C0000}" name="Coluna11499"/>
    <tableColumn id="11505" xr3:uid="{00000000-0010-0000-0000-0000F12C0000}" name="Coluna11500"/>
    <tableColumn id="11506" xr3:uid="{00000000-0010-0000-0000-0000F22C0000}" name="Coluna11501"/>
    <tableColumn id="11507" xr3:uid="{00000000-0010-0000-0000-0000F32C0000}" name="Coluna11502"/>
    <tableColumn id="11508" xr3:uid="{00000000-0010-0000-0000-0000F42C0000}" name="Coluna11503"/>
    <tableColumn id="11509" xr3:uid="{00000000-0010-0000-0000-0000F52C0000}" name="Coluna11504"/>
    <tableColumn id="11510" xr3:uid="{00000000-0010-0000-0000-0000F62C0000}" name="Coluna11505"/>
    <tableColumn id="11511" xr3:uid="{00000000-0010-0000-0000-0000F72C0000}" name="Coluna11506"/>
    <tableColumn id="11512" xr3:uid="{00000000-0010-0000-0000-0000F82C0000}" name="Coluna11507"/>
    <tableColumn id="11513" xr3:uid="{00000000-0010-0000-0000-0000F92C0000}" name="Coluna11508"/>
    <tableColumn id="11514" xr3:uid="{00000000-0010-0000-0000-0000FA2C0000}" name="Coluna11509"/>
    <tableColumn id="11515" xr3:uid="{00000000-0010-0000-0000-0000FB2C0000}" name="Coluna11510"/>
    <tableColumn id="11516" xr3:uid="{00000000-0010-0000-0000-0000FC2C0000}" name="Coluna11511"/>
    <tableColumn id="11517" xr3:uid="{00000000-0010-0000-0000-0000FD2C0000}" name="Coluna11512"/>
    <tableColumn id="11518" xr3:uid="{00000000-0010-0000-0000-0000FE2C0000}" name="Coluna11513"/>
    <tableColumn id="11519" xr3:uid="{00000000-0010-0000-0000-0000FF2C0000}" name="Coluna11514"/>
    <tableColumn id="11520" xr3:uid="{00000000-0010-0000-0000-0000002D0000}" name="Coluna11515"/>
    <tableColumn id="11521" xr3:uid="{00000000-0010-0000-0000-0000012D0000}" name="Coluna11516"/>
    <tableColumn id="11522" xr3:uid="{00000000-0010-0000-0000-0000022D0000}" name="Coluna11517"/>
    <tableColumn id="11523" xr3:uid="{00000000-0010-0000-0000-0000032D0000}" name="Coluna11518"/>
    <tableColumn id="11524" xr3:uid="{00000000-0010-0000-0000-0000042D0000}" name="Coluna11519"/>
    <tableColumn id="11525" xr3:uid="{00000000-0010-0000-0000-0000052D0000}" name="Coluna11520"/>
    <tableColumn id="11526" xr3:uid="{00000000-0010-0000-0000-0000062D0000}" name="Coluna11521"/>
    <tableColumn id="11527" xr3:uid="{00000000-0010-0000-0000-0000072D0000}" name="Coluna11522"/>
    <tableColumn id="11528" xr3:uid="{00000000-0010-0000-0000-0000082D0000}" name="Coluna11523"/>
    <tableColumn id="11529" xr3:uid="{00000000-0010-0000-0000-0000092D0000}" name="Coluna11524"/>
    <tableColumn id="11530" xr3:uid="{00000000-0010-0000-0000-00000A2D0000}" name="Coluna11525"/>
    <tableColumn id="11531" xr3:uid="{00000000-0010-0000-0000-00000B2D0000}" name="Coluna11526"/>
    <tableColumn id="11532" xr3:uid="{00000000-0010-0000-0000-00000C2D0000}" name="Coluna11527"/>
    <tableColumn id="11533" xr3:uid="{00000000-0010-0000-0000-00000D2D0000}" name="Coluna11528"/>
    <tableColumn id="11534" xr3:uid="{00000000-0010-0000-0000-00000E2D0000}" name="Coluna11529"/>
    <tableColumn id="11535" xr3:uid="{00000000-0010-0000-0000-00000F2D0000}" name="Coluna11530"/>
    <tableColumn id="11536" xr3:uid="{00000000-0010-0000-0000-0000102D0000}" name="Coluna11531"/>
    <tableColumn id="11537" xr3:uid="{00000000-0010-0000-0000-0000112D0000}" name="Coluna11532"/>
    <tableColumn id="11538" xr3:uid="{00000000-0010-0000-0000-0000122D0000}" name="Coluna11533"/>
    <tableColumn id="11539" xr3:uid="{00000000-0010-0000-0000-0000132D0000}" name="Coluna11534"/>
    <tableColumn id="11540" xr3:uid="{00000000-0010-0000-0000-0000142D0000}" name="Coluna11535"/>
    <tableColumn id="11541" xr3:uid="{00000000-0010-0000-0000-0000152D0000}" name="Coluna11536"/>
    <tableColumn id="11542" xr3:uid="{00000000-0010-0000-0000-0000162D0000}" name="Coluna11537"/>
    <tableColumn id="11543" xr3:uid="{00000000-0010-0000-0000-0000172D0000}" name="Coluna11538"/>
    <tableColumn id="11544" xr3:uid="{00000000-0010-0000-0000-0000182D0000}" name="Coluna11539"/>
    <tableColumn id="11545" xr3:uid="{00000000-0010-0000-0000-0000192D0000}" name="Coluna11540"/>
    <tableColumn id="11546" xr3:uid="{00000000-0010-0000-0000-00001A2D0000}" name="Coluna11541"/>
    <tableColumn id="11547" xr3:uid="{00000000-0010-0000-0000-00001B2D0000}" name="Coluna11542"/>
    <tableColumn id="11548" xr3:uid="{00000000-0010-0000-0000-00001C2D0000}" name="Coluna11543"/>
    <tableColumn id="11549" xr3:uid="{00000000-0010-0000-0000-00001D2D0000}" name="Coluna11544"/>
    <tableColumn id="11550" xr3:uid="{00000000-0010-0000-0000-00001E2D0000}" name="Coluna11545"/>
    <tableColumn id="11551" xr3:uid="{00000000-0010-0000-0000-00001F2D0000}" name="Coluna11546"/>
    <tableColumn id="11552" xr3:uid="{00000000-0010-0000-0000-0000202D0000}" name="Coluna11547"/>
    <tableColumn id="11553" xr3:uid="{00000000-0010-0000-0000-0000212D0000}" name="Coluna11548"/>
    <tableColumn id="11554" xr3:uid="{00000000-0010-0000-0000-0000222D0000}" name="Coluna11549"/>
    <tableColumn id="11555" xr3:uid="{00000000-0010-0000-0000-0000232D0000}" name="Coluna11550"/>
    <tableColumn id="11556" xr3:uid="{00000000-0010-0000-0000-0000242D0000}" name="Coluna11551"/>
    <tableColumn id="11557" xr3:uid="{00000000-0010-0000-0000-0000252D0000}" name="Coluna11552"/>
    <tableColumn id="11558" xr3:uid="{00000000-0010-0000-0000-0000262D0000}" name="Coluna11553"/>
    <tableColumn id="11559" xr3:uid="{00000000-0010-0000-0000-0000272D0000}" name="Coluna11554"/>
    <tableColumn id="11560" xr3:uid="{00000000-0010-0000-0000-0000282D0000}" name="Coluna11555"/>
    <tableColumn id="11561" xr3:uid="{00000000-0010-0000-0000-0000292D0000}" name="Coluna11556"/>
    <tableColumn id="11562" xr3:uid="{00000000-0010-0000-0000-00002A2D0000}" name="Coluna11557"/>
    <tableColumn id="11563" xr3:uid="{00000000-0010-0000-0000-00002B2D0000}" name="Coluna11558"/>
    <tableColumn id="11564" xr3:uid="{00000000-0010-0000-0000-00002C2D0000}" name="Coluna11559"/>
    <tableColumn id="11565" xr3:uid="{00000000-0010-0000-0000-00002D2D0000}" name="Coluna11560"/>
    <tableColumn id="11566" xr3:uid="{00000000-0010-0000-0000-00002E2D0000}" name="Coluna11561"/>
    <tableColumn id="11567" xr3:uid="{00000000-0010-0000-0000-00002F2D0000}" name="Coluna11562"/>
    <tableColumn id="11568" xr3:uid="{00000000-0010-0000-0000-0000302D0000}" name="Coluna11563"/>
    <tableColumn id="11569" xr3:uid="{00000000-0010-0000-0000-0000312D0000}" name="Coluna11564"/>
    <tableColumn id="11570" xr3:uid="{00000000-0010-0000-0000-0000322D0000}" name="Coluna11565"/>
    <tableColumn id="11571" xr3:uid="{00000000-0010-0000-0000-0000332D0000}" name="Coluna11566"/>
    <tableColumn id="11572" xr3:uid="{00000000-0010-0000-0000-0000342D0000}" name="Coluna11567"/>
    <tableColumn id="11573" xr3:uid="{00000000-0010-0000-0000-0000352D0000}" name="Coluna11568"/>
    <tableColumn id="11574" xr3:uid="{00000000-0010-0000-0000-0000362D0000}" name="Coluna11569"/>
    <tableColumn id="11575" xr3:uid="{00000000-0010-0000-0000-0000372D0000}" name="Coluna11570"/>
    <tableColumn id="11576" xr3:uid="{00000000-0010-0000-0000-0000382D0000}" name="Coluna11571"/>
    <tableColumn id="11577" xr3:uid="{00000000-0010-0000-0000-0000392D0000}" name="Coluna11572"/>
    <tableColumn id="11578" xr3:uid="{00000000-0010-0000-0000-00003A2D0000}" name="Coluna11573"/>
    <tableColumn id="11579" xr3:uid="{00000000-0010-0000-0000-00003B2D0000}" name="Coluna11574"/>
    <tableColumn id="11580" xr3:uid="{00000000-0010-0000-0000-00003C2D0000}" name="Coluna11575"/>
    <tableColumn id="11581" xr3:uid="{00000000-0010-0000-0000-00003D2D0000}" name="Coluna11576"/>
    <tableColumn id="11582" xr3:uid="{00000000-0010-0000-0000-00003E2D0000}" name="Coluna11577"/>
    <tableColumn id="11583" xr3:uid="{00000000-0010-0000-0000-00003F2D0000}" name="Coluna11578"/>
    <tableColumn id="11584" xr3:uid="{00000000-0010-0000-0000-0000402D0000}" name="Coluna11579"/>
    <tableColumn id="11585" xr3:uid="{00000000-0010-0000-0000-0000412D0000}" name="Coluna11580"/>
    <tableColumn id="11586" xr3:uid="{00000000-0010-0000-0000-0000422D0000}" name="Coluna11581"/>
    <tableColumn id="11587" xr3:uid="{00000000-0010-0000-0000-0000432D0000}" name="Coluna11582"/>
    <tableColumn id="11588" xr3:uid="{00000000-0010-0000-0000-0000442D0000}" name="Coluna11583"/>
    <tableColumn id="11589" xr3:uid="{00000000-0010-0000-0000-0000452D0000}" name="Coluna11584"/>
    <tableColumn id="11590" xr3:uid="{00000000-0010-0000-0000-0000462D0000}" name="Coluna11585"/>
    <tableColumn id="11591" xr3:uid="{00000000-0010-0000-0000-0000472D0000}" name="Coluna11586"/>
    <tableColumn id="11592" xr3:uid="{00000000-0010-0000-0000-0000482D0000}" name="Coluna11587"/>
    <tableColumn id="11593" xr3:uid="{00000000-0010-0000-0000-0000492D0000}" name="Coluna11588"/>
    <tableColumn id="11594" xr3:uid="{00000000-0010-0000-0000-00004A2D0000}" name="Coluna11589"/>
    <tableColumn id="11595" xr3:uid="{00000000-0010-0000-0000-00004B2D0000}" name="Coluna11590"/>
    <tableColumn id="11596" xr3:uid="{00000000-0010-0000-0000-00004C2D0000}" name="Coluna11591"/>
    <tableColumn id="11597" xr3:uid="{00000000-0010-0000-0000-00004D2D0000}" name="Coluna11592"/>
    <tableColumn id="11598" xr3:uid="{00000000-0010-0000-0000-00004E2D0000}" name="Coluna11593"/>
    <tableColumn id="11599" xr3:uid="{00000000-0010-0000-0000-00004F2D0000}" name="Coluna11594"/>
    <tableColumn id="11600" xr3:uid="{00000000-0010-0000-0000-0000502D0000}" name="Coluna11595"/>
    <tableColumn id="11601" xr3:uid="{00000000-0010-0000-0000-0000512D0000}" name="Coluna11596"/>
    <tableColumn id="11602" xr3:uid="{00000000-0010-0000-0000-0000522D0000}" name="Coluna11597"/>
    <tableColumn id="11603" xr3:uid="{00000000-0010-0000-0000-0000532D0000}" name="Coluna11598"/>
    <tableColumn id="11604" xr3:uid="{00000000-0010-0000-0000-0000542D0000}" name="Coluna11599"/>
    <tableColumn id="11605" xr3:uid="{00000000-0010-0000-0000-0000552D0000}" name="Coluna11600"/>
    <tableColumn id="11606" xr3:uid="{00000000-0010-0000-0000-0000562D0000}" name="Coluna11601"/>
    <tableColumn id="11607" xr3:uid="{00000000-0010-0000-0000-0000572D0000}" name="Coluna11602"/>
    <tableColumn id="11608" xr3:uid="{00000000-0010-0000-0000-0000582D0000}" name="Coluna11603"/>
    <tableColumn id="11609" xr3:uid="{00000000-0010-0000-0000-0000592D0000}" name="Coluna11604"/>
    <tableColumn id="11610" xr3:uid="{00000000-0010-0000-0000-00005A2D0000}" name="Coluna11605"/>
    <tableColumn id="11611" xr3:uid="{00000000-0010-0000-0000-00005B2D0000}" name="Coluna11606"/>
    <tableColumn id="11612" xr3:uid="{00000000-0010-0000-0000-00005C2D0000}" name="Coluna11607"/>
    <tableColumn id="11613" xr3:uid="{00000000-0010-0000-0000-00005D2D0000}" name="Coluna11608"/>
    <tableColumn id="11614" xr3:uid="{00000000-0010-0000-0000-00005E2D0000}" name="Coluna11609"/>
    <tableColumn id="11615" xr3:uid="{00000000-0010-0000-0000-00005F2D0000}" name="Coluna11610"/>
    <tableColumn id="11616" xr3:uid="{00000000-0010-0000-0000-0000602D0000}" name="Coluna11611"/>
    <tableColumn id="11617" xr3:uid="{00000000-0010-0000-0000-0000612D0000}" name="Coluna11612"/>
    <tableColumn id="11618" xr3:uid="{00000000-0010-0000-0000-0000622D0000}" name="Coluna11613"/>
    <tableColumn id="11619" xr3:uid="{00000000-0010-0000-0000-0000632D0000}" name="Coluna11614"/>
    <tableColumn id="11620" xr3:uid="{00000000-0010-0000-0000-0000642D0000}" name="Coluna11615"/>
    <tableColumn id="11621" xr3:uid="{00000000-0010-0000-0000-0000652D0000}" name="Coluna11616"/>
    <tableColumn id="11622" xr3:uid="{00000000-0010-0000-0000-0000662D0000}" name="Coluna11617"/>
    <tableColumn id="11623" xr3:uid="{00000000-0010-0000-0000-0000672D0000}" name="Coluna11618"/>
    <tableColumn id="11624" xr3:uid="{00000000-0010-0000-0000-0000682D0000}" name="Coluna11619"/>
    <tableColumn id="11625" xr3:uid="{00000000-0010-0000-0000-0000692D0000}" name="Coluna11620"/>
    <tableColumn id="11626" xr3:uid="{00000000-0010-0000-0000-00006A2D0000}" name="Coluna11621"/>
    <tableColumn id="11627" xr3:uid="{00000000-0010-0000-0000-00006B2D0000}" name="Coluna11622"/>
    <tableColumn id="11628" xr3:uid="{00000000-0010-0000-0000-00006C2D0000}" name="Coluna11623"/>
    <tableColumn id="11629" xr3:uid="{00000000-0010-0000-0000-00006D2D0000}" name="Coluna11624"/>
    <tableColumn id="11630" xr3:uid="{00000000-0010-0000-0000-00006E2D0000}" name="Coluna11625"/>
    <tableColumn id="11631" xr3:uid="{00000000-0010-0000-0000-00006F2D0000}" name="Coluna11626"/>
    <tableColumn id="11632" xr3:uid="{00000000-0010-0000-0000-0000702D0000}" name="Coluna11627"/>
    <tableColumn id="11633" xr3:uid="{00000000-0010-0000-0000-0000712D0000}" name="Coluna11628"/>
    <tableColumn id="11634" xr3:uid="{00000000-0010-0000-0000-0000722D0000}" name="Coluna11629"/>
    <tableColumn id="11635" xr3:uid="{00000000-0010-0000-0000-0000732D0000}" name="Coluna11630"/>
    <tableColumn id="11636" xr3:uid="{00000000-0010-0000-0000-0000742D0000}" name="Coluna11631"/>
    <tableColumn id="11637" xr3:uid="{00000000-0010-0000-0000-0000752D0000}" name="Coluna11632"/>
    <tableColumn id="11638" xr3:uid="{00000000-0010-0000-0000-0000762D0000}" name="Coluna11633"/>
    <tableColumn id="11639" xr3:uid="{00000000-0010-0000-0000-0000772D0000}" name="Coluna11634"/>
    <tableColumn id="11640" xr3:uid="{00000000-0010-0000-0000-0000782D0000}" name="Coluna11635"/>
    <tableColumn id="11641" xr3:uid="{00000000-0010-0000-0000-0000792D0000}" name="Coluna11636"/>
    <tableColumn id="11642" xr3:uid="{00000000-0010-0000-0000-00007A2D0000}" name="Coluna11637"/>
    <tableColumn id="11643" xr3:uid="{00000000-0010-0000-0000-00007B2D0000}" name="Coluna11638"/>
    <tableColumn id="11644" xr3:uid="{00000000-0010-0000-0000-00007C2D0000}" name="Coluna11639"/>
    <tableColumn id="11645" xr3:uid="{00000000-0010-0000-0000-00007D2D0000}" name="Coluna11640"/>
    <tableColumn id="11646" xr3:uid="{00000000-0010-0000-0000-00007E2D0000}" name="Coluna11641"/>
    <tableColumn id="11647" xr3:uid="{00000000-0010-0000-0000-00007F2D0000}" name="Coluna11642"/>
    <tableColumn id="11648" xr3:uid="{00000000-0010-0000-0000-0000802D0000}" name="Coluna11643"/>
    <tableColumn id="11649" xr3:uid="{00000000-0010-0000-0000-0000812D0000}" name="Coluna11644"/>
    <tableColumn id="11650" xr3:uid="{00000000-0010-0000-0000-0000822D0000}" name="Coluna11645"/>
    <tableColumn id="11651" xr3:uid="{00000000-0010-0000-0000-0000832D0000}" name="Coluna11646"/>
    <tableColumn id="11652" xr3:uid="{00000000-0010-0000-0000-0000842D0000}" name="Coluna11647"/>
    <tableColumn id="11653" xr3:uid="{00000000-0010-0000-0000-0000852D0000}" name="Coluna11648"/>
    <tableColumn id="11654" xr3:uid="{00000000-0010-0000-0000-0000862D0000}" name="Coluna11649"/>
    <tableColumn id="11655" xr3:uid="{00000000-0010-0000-0000-0000872D0000}" name="Coluna11650"/>
    <tableColumn id="11656" xr3:uid="{00000000-0010-0000-0000-0000882D0000}" name="Coluna11651"/>
    <tableColumn id="11657" xr3:uid="{00000000-0010-0000-0000-0000892D0000}" name="Coluna11652"/>
    <tableColumn id="11658" xr3:uid="{00000000-0010-0000-0000-00008A2D0000}" name="Coluna11653"/>
    <tableColumn id="11659" xr3:uid="{00000000-0010-0000-0000-00008B2D0000}" name="Coluna11654"/>
    <tableColumn id="11660" xr3:uid="{00000000-0010-0000-0000-00008C2D0000}" name="Coluna11655"/>
    <tableColumn id="11661" xr3:uid="{00000000-0010-0000-0000-00008D2D0000}" name="Coluna11656"/>
    <tableColumn id="11662" xr3:uid="{00000000-0010-0000-0000-00008E2D0000}" name="Coluna11657"/>
    <tableColumn id="11663" xr3:uid="{00000000-0010-0000-0000-00008F2D0000}" name="Coluna11658"/>
    <tableColumn id="11664" xr3:uid="{00000000-0010-0000-0000-0000902D0000}" name="Coluna11659"/>
    <tableColumn id="11665" xr3:uid="{00000000-0010-0000-0000-0000912D0000}" name="Coluna11660"/>
    <tableColumn id="11666" xr3:uid="{00000000-0010-0000-0000-0000922D0000}" name="Coluna11661"/>
    <tableColumn id="11667" xr3:uid="{00000000-0010-0000-0000-0000932D0000}" name="Coluna11662"/>
    <tableColumn id="11668" xr3:uid="{00000000-0010-0000-0000-0000942D0000}" name="Coluna11663"/>
    <tableColumn id="11669" xr3:uid="{00000000-0010-0000-0000-0000952D0000}" name="Coluna11664"/>
    <tableColumn id="11670" xr3:uid="{00000000-0010-0000-0000-0000962D0000}" name="Coluna11665"/>
    <tableColumn id="11671" xr3:uid="{00000000-0010-0000-0000-0000972D0000}" name="Coluna11666"/>
    <tableColumn id="11672" xr3:uid="{00000000-0010-0000-0000-0000982D0000}" name="Coluna11667"/>
    <tableColumn id="11673" xr3:uid="{00000000-0010-0000-0000-0000992D0000}" name="Coluna11668"/>
    <tableColumn id="11674" xr3:uid="{00000000-0010-0000-0000-00009A2D0000}" name="Coluna11669"/>
    <tableColumn id="11675" xr3:uid="{00000000-0010-0000-0000-00009B2D0000}" name="Coluna11670"/>
    <tableColumn id="11676" xr3:uid="{00000000-0010-0000-0000-00009C2D0000}" name="Coluna11671"/>
    <tableColumn id="11677" xr3:uid="{00000000-0010-0000-0000-00009D2D0000}" name="Coluna11672"/>
    <tableColumn id="11678" xr3:uid="{00000000-0010-0000-0000-00009E2D0000}" name="Coluna11673"/>
    <tableColumn id="11679" xr3:uid="{00000000-0010-0000-0000-00009F2D0000}" name="Coluna11674"/>
    <tableColumn id="11680" xr3:uid="{00000000-0010-0000-0000-0000A02D0000}" name="Coluna11675"/>
    <tableColumn id="11681" xr3:uid="{00000000-0010-0000-0000-0000A12D0000}" name="Coluna11676"/>
    <tableColumn id="11682" xr3:uid="{00000000-0010-0000-0000-0000A22D0000}" name="Coluna11677"/>
    <tableColumn id="11683" xr3:uid="{00000000-0010-0000-0000-0000A32D0000}" name="Coluna11678"/>
    <tableColumn id="11684" xr3:uid="{00000000-0010-0000-0000-0000A42D0000}" name="Coluna11679"/>
    <tableColumn id="11685" xr3:uid="{00000000-0010-0000-0000-0000A52D0000}" name="Coluna11680"/>
    <tableColumn id="11686" xr3:uid="{00000000-0010-0000-0000-0000A62D0000}" name="Coluna11681"/>
    <tableColumn id="11687" xr3:uid="{00000000-0010-0000-0000-0000A72D0000}" name="Coluna11682"/>
    <tableColumn id="11688" xr3:uid="{00000000-0010-0000-0000-0000A82D0000}" name="Coluna11683"/>
    <tableColumn id="11689" xr3:uid="{00000000-0010-0000-0000-0000A92D0000}" name="Coluna11684"/>
    <tableColumn id="11690" xr3:uid="{00000000-0010-0000-0000-0000AA2D0000}" name="Coluna11685"/>
    <tableColumn id="11691" xr3:uid="{00000000-0010-0000-0000-0000AB2D0000}" name="Coluna11686"/>
    <tableColumn id="11692" xr3:uid="{00000000-0010-0000-0000-0000AC2D0000}" name="Coluna11687"/>
    <tableColumn id="11693" xr3:uid="{00000000-0010-0000-0000-0000AD2D0000}" name="Coluna11688"/>
    <tableColumn id="11694" xr3:uid="{00000000-0010-0000-0000-0000AE2D0000}" name="Coluna11689"/>
    <tableColumn id="11695" xr3:uid="{00000000-0010-0000-0000-0000AF2D0000}" name="Coluna11690"/>
    <tableColumn id="11696" xr3:uid="{00000000-0010-0000-0000-0000B02D0000}" name="Coluna11691"/>
    <tableColumn id="11697" xr3:uid="{00000000-0010-0000-0000-0000B12D0000}" name="Coluna11692"/>
    <tableColumn id="11698" xr3:uid="{00000000-0010-0000-0000-0000B22D0000}" name="Coluna11693"/>
    <tableColumn id="11699" xr3:uid="{00000000-0010-0000-0000-0000B32D0000}" name="Coluna11694"/>
    <tableColumn id="11700" xr3:uid="{00000000-0010-0000-0000-0000B42D0000}" name="Coluna11695"/>
    <tableColumn id="11701" xr3:uid="{00000000-0010-0000-0000-0000B52D0000}" name="Coluna11696"/>
    <tableColumn id="11702" xr3:uid="{00000000-0010-0000-0000-0000B62D0000}" name="Coluna11697"/>
    <tableColumn id="11703" xr3:uid="{00000000-0010-0000-0000-0000B72D0000}" name="Coluna11698"/>
    <tableColumn id="11704" xr3:uid="{00000000-0010-0000-0000-0000B82D0000}" name="Coluna11699"/>
    <tableColumn id="11705" xr3:uid="{00000000-0010-0000-0000-0000B92D0000}" name="Coluna11700"/>
    <tableColumn id="11706" xr3:uid="{00000000-0010-0000-0000-0000BA2D0000}" name="Coluna11701"/>
    <tableColumn id="11707" xr3:uid="{00000000-0010-0000-0000-0000BB2D0000}" name="Coluna11702"/>
    <tableColumn id="11708" xr3:uid="{00000000-0010-0000-0000-0000BC2D0000}" name="Coluna11703"/>
    <tableColumn id="11709" xr3:uid="{00000000-0010-0000-0000-0000BD2D0000}" name="Coluna11704"/>
    <tableColumn id="11710" xr3:uid="{00000000-0010-0000-0000-0000BE2D0000}" name="Coluna11705"/>
    <tableColumn id="11711" xr3:uid="{00000000-0010-0000-0000-0000BF2D0000}" name="Coluna11706"/>
    <tableColumn id="11712" xr3:uid="{00000000-0010-0000-0000-0000C02D0000}" name="Coluna11707"/>
    <tableColumn id="11713" xr3:uid="{00000000-0010-0000-0000-0000C12D0000}" name="Coluna11708"/>
    <tableColumn id="11714" xr3:uid="{00000000-0010-0000-0000-0000C22D0000}" name="Coluna11709"/>
    <tableColumn id="11715" xr3:uid="{00000000-0010-0000-0000-0000C32D0000}" name="Coluna11710"/>
    <tableColumn id="11716" xr3:uid="{00000000-0010-0000-0000-0000C42D0000}" name="Coluna11711"/>
    <tableColumn id="11717" xr3:uid="{00000000-0010-0000-0000-0000C52D0000}" name="Coluna11712"/>
    <tableColumn id="11718" xr3:uid="{00000000-0010-0000-0000-0000C62D0000}" name="Coluna11713"/>
    <tableColumn id="11719" xr3:uid="{00000000-0010-0000-0000-0000C72D0000}" name="Coluna11714"/>
    <tableColumn id="11720" xr3:uid="{00000000-0010-0000-0000-0000C82D0000}" name="Coluna11715"/>
    <tableColumn id="11721" xr3:uid="{00000000-0010-0000-0000-0000C92D0000}" name="Coluna11716"/>
    <tableColumn id="11722" xr3:uid="{00000000-0010-0000-0000-0000CA2D0000}" name="Coluna11717"/>
    <tableColumn id="11723" xr3:uid="{00000000-0010-0000-0000-0000CB2D0000}" name="Coluna11718"/>
    <tableColumn id="11724" xr3:uid="{00000000-0010-0000-0000-0000CC2D0000}" name="Coluna11719"/>
    <tableColumn id="11725" xr3:uid="{00000000-0010-0000-0000-0000CD2D0000}" name="Coluna11720"/>
    <tableColumn id="11726" xr3:uid="{00000000-0010-0000-0000-0000CE2D0000}" name="Coluna11721"/>
    <tableColumn id="11727" xr3:uid="{00000000-0010-0000-0000-0000CF2D0000}" name="Coluna11722"/>
    <tableColumn id="11728" xr3:uid="{00000000-0010-0000-0000-0000D02D0000}" name="Coluna11723"/>
    <tableColumn id="11729" xr3:uid="{00000000-0010-0000-0000-0000D12D0000}" name="Coluna11724"/>
    <tableColumn id="11730" xr3:uid="{00000000-0010-0000-0000-0000D22D0000}" name="Coluna11725"/>
    <tableColumn id="11731" xr3:uid="{00000000-0010-0000-0000-0000D32D0000}" name="Coluna11726"/>
    <tableColumn id="11732" xr3:uid="{00000000-0010-0000-0000-0000D42D0000}" name="Coluna11727"/>
    <tableColumn id="11733" xr3:uid="{00000000-0010-0000-0000-0000D52D0000}" name="Coluna11728"/>
    <tableColumn id="11734" xr3:uid="{00000000-0010-0000-0000-0000D62D0000}" name="Coluna11729"/>
    <tableColumn id="11735" xr3:uid="{00000000-0010-0000-0000-0000D72D0000}" name="Coluna11730"/>
    <tableColumn id="11736" xr3:uid="{00000000-0010-0000-0000-0000D82D0000}" name="Coluna11731"/>
    <tableColumn id="11737" xr3:uid="{00000000-0010-0000-0000-0000D92D0000}" name="Coluna11732"/>
    <tableColumn id="11738" xr3:uid="{00000000-0010-0000-0000-0000DA2D0000}" name="Coluna11733"/>
    <tableColumn id="11739" xr3:uid="{00000000-0010-0000-0000-0000DB2D0000}" name="Coluna11734"/>
    <tableColumn id="11740" xr3:uid="{00000000-0010-0000-0000-0000DC2D0000}" name="Coluna11735"/>
    <tableColumn id="11741" xr3:uid="{00000000-0010-0000-0000-0000DD2D0000}" name="Coluna11736"/>
    <tableColumn id="11742" xr3:uid="{00000000-0010-0000-0000-0000DE2D0000}" name="Coluna11737"/>
    <tableColumn id="11743" xr3:uid="{00000000-0010-0000-0000-0000DF2D0000}" name="Coluna11738"/>
    <tableColumn id="11744" xr3:uid="{00000000-0010-0000-0000-0000E02D0000}" name="Coluna11739"/>
    <tableColumn id="11745" xr3:uid="{00000000-0010-0000-0000-0000E12D0000}" name="Coluna11740"/>
    <tableColumn id="11746" xr3:uid="{00000000-0010-0000-0000-0000E22D0000}" name="Coluna11741"/>
    <tableColumn id="11747" xr3:uid="{00000000-0010-0000-0000-0000E32D0000}" name="Coluna11742"/>
    <tableColumn id="11748" xr3:uid="{00000000-0010-0000-0000-0000E42D0000}" name="Coluna11743"/>
    <tableColumn id="11749" xr3:uid="{00000000-0010-0000-0000-0000E52D0000}" name="Coluna11744"/>
    <tableColumn id="11750" xr3:uid="{00000000-0010-0000-0000-0000E62D0000}" name="Coluna11745"/>
    <tableColumn id="11751" xr3:uid="{00000000-0010-0000-0000-0000E72D0000}" name="Coluna11746"/>
    <tableColumn id="11752" xr3:uid="{00000000-0010-0000-0000-0000E82D0000}" name="Coluna11747"/>
    <tableColumn id="11753" xr3:uid="{00000000-0010-0000-0000-0000E92D0000}" name="Coluna11748"/>
    <tableColumn id="11754" xr3:uid="{00000000-0010-0000-0000-0000EA2D0000}" name="Coluna11749"/>
    <tableColumn id="11755" xr3:uid="{00000000-0010-0000-0000-0000EB2D0000}" name="Coluna11750"/>
    <tableColumn id="11756" xr3:uid="{00000000-0010-0000-0000-0000EC2D0000}" name="Coluna11751"/>
    <tableColumn id="11757" xr3:uid="{00000000-0010-0000-0000-0000ED2D0000}" name="Coluna11752"/>
    <tableColumn id="11758" xr3:uid="{00000000-0010-0000-0000-0000EE2D0000}" name="Coluna11753"/>
    <tableColumn id="11759" xr3:uid="{00000000-0010-0000-0000-0000EF2D0000}" name="Coluna11754"/>
    <tableColumn id="11760" xr3:uid="{00000000-0010-0000-0000-0000F02D0000}" name="Coluna11755"/>
    <tableColumn id="11761" xr3:uid="{00000000-0010-0000-0000-0000F12D0000}" name="Coluna11756"/>
    <tableColumn id="11762" xr3:uid="{00000000-0010-0000-0000-0000F22D0000}" name="Coluna11757"/>
    <tableColumn id="11763" xr3:uid="{00000000-0010-0000-0000-0000F32D0000}" name="Coluna11758"/>
    <tableColumn id="11764" xr3:uid="{00000000-0010-0000-0000-0000F42D0000}" name="Coluna11759"/>
    <tableColumn id="11765" xr3:uid="{00000000-0010-0000-0000-0000F52D0000}" name="Coluna11760"/>
    <tableColumn id="11766" xr3:uid="{00000000-0010-0000-0000-0000F62D0000}" name="Coluna11761"/>
    <tableColumn id="11767" xr3:uid="{00000000-0010-0000-0000-0000F72D0000}" name="Coluna11762"/>
    <tableColumn id="11768" xr3:uid="{00000000-0010-0000-0000-0000F82D0000}" name="Coluna11763"/>
    <tableColumn id="11769" xr3:uid="{00000000-0010-0000-0000-0000F92D0000}" name="Coluna11764"/>
    <tableColumn id="11770" xr3:uid="{00000000-0010-0000-0000-0000FA2D0000}" name="Coluna11765"/>
    <tableColumn id="11771" xr3:uid="{00000000-0010-0000-0000-0000FB2D0000}" name="Coluna11766"/>
    <tableColumn id="11772" xr3:uid="{00000000-0010-0000-0000-0000FC2D0000}" name="Coluna11767"/>
    <tableColumn id="11773" xr3:uid="{00000000-0010-0000-0000-0000FD2D0000}" name="Coluna11768"/>
    <tableColumn id="11774" xr3:uid="{00000000-0010-0000-0000-0000FE2D0000}" name="Coluna11769"/>
    <tableColumn id="11775" xr3:uid="{00000000-0010-0000-0000-0000FF2D0000}" name="Coluna11770"/>
    <tableColumn id="11776" xr3:uid="{00000000-0010-0000-0000-0000002E0000}" name="Coluna11771"/>
    <tableColumn id="11777" xr3:uid="{00000000-0010-0000-0000-0000012E0000}" name="Coluna11772"/>
    <tableColumn id="11778" xr3:uid="{00000000-0010-0000-0000-0000022E0000}" name="Coluna11773"/>
    <tableColumn id="11779" xr3:uid="{00000000-0010-0000-0000-0000032E0000}" name="Coluna11774"/>
    <tableColumn id="11780" xr3:uid="{00000000-0010-0000-0000-0000042E0000}" name="Coluna11775"/>
    <tableColumn id="11781" xr3:uid="{00000000-0010-0000-0000-0000052E0000}" name="Coluna11776"/>
    <tableColumn id="11782" xr3:uid="{00000000-0010-0000-0000-0000062E0000}" name="Coluna11777"/>
    <tableColumn id="11783" xr3:uid="{00000000-0010-0000-0000-0000072E0000}" name="Coluna11778"/>
    <tableColumn id="11784" xr3:uid="{00000000-0010-0000-0000-0000082E0000}" name="Coluna11779"/>
    <tableColumn id="11785" xr3:uid="{00000000-0010-0000-0000-0000092E0000}" name="Coluna11780"/>
    <tableColumn id="11786" xr3:uid="{00000000-0010-0000-0000-00000A2E0000}" name="Coluna11781"/>
    <tableColumn id="11787" xr3:uid="{00000000-0010-0000-0000-00000B2E0000}" name="Coluna11782"/>
    <tableColumn id="11788" xr3:uid="{00000000-0010-0000-0000-00000C2E0000}" name="Coluna11783"/>
    <tableColumn id="11789" xr3:uid="{00000000-0010-0000-0000-00000D2E0000}" name="Coluna11784"/>
    <tableColumn id="11790" xr3:uid="{00000000-0010-0000-0000-00000E2E0000}" name="Coluna11785"/>
    <tableColumn id="11791" xr3:uid="{00000000-0010-0000-0000-00000F2E0000}" name="Coluna11786"/>
    <tableColumn id="11792" xr3:uid="{00000000-0010-0000-0000-0000102E0000}" name="Coluna11787"/>
    <tableColumn id="11793" xr3:uid="{00000000-0010-0000-0000-0000112E0000}" name="Coluna11788"/>
    <tableColumn id="11794" xr3:uid="{00000000-0010-0000-0000-0000122E0000}" name="Coluna11789"/>
    <tableColumn id="11795" xr3:uid="{00000000-0010-0000-0000-0000132E0000}" name="Coluna11790"/>
    <tableColumn id="11796" xr3:uid="{00000000-0010-0000-0000-0000142E0000}" name="Coluna11791"/>
    <tableColumn id="11797" xr3:uid="{00000000-0010-0000-0000-0000152E0000}" name="Coluna11792"/>
    <tableColumn id="11798" xr3:uid="{00000000-0010-0000-0000-0000162E0000}" name="Coluna11793"/>
    <tableColumn id="11799" xr3:uid="{00000000-0010-0000-0000-0000172E0000}" name="Coluna11794"/>
    <tableColumn id="11800" xr3:uid="{00000000-0010-0000-0000-0000182E0000}" name="Coluna11795"/>
    <tableColumn id="11801" xr3:uid="{00000000-0010-0000-0000-0000192E0000}" name="Coluna11796"/>
    <tableColumn id="11802" xr3:uid="{00000000-0010-0000-0000-00001A2E0000}" name="Coluna11797"/>
    <tableColumn id="11803" xr3:uid="{00000000-0010-0000-0000-00001B2E0000}" name="Coluna11798"/>
    <tableColumn id="11804" xr3:uid="{00000000-0010-0000-0000-00001C2E0000}" name="Coluna11799"/>
    <tableColumn id="11805" xr3:uid="{00000000-0010-0000-0000-00001D2E0000}" name="Coluna11800"/>
    <tableColumn id="11806" xr3:uid="{00000000-0010-0000-0000-00001E2E0000}" name="Coluna11801"/>
    <tableColumn id="11807" xr3:uid="{00000000-0010-0000-0000-00001F2E0000}" name="Coluna11802"/>
    <tableColumn id="11808" xr3:uid="{00000000-0010-0000-0000-0000202E0000}" name="Coluna11803"/>
    <tableColumn id="11809" xr3:uid="{00000000-0010-0000-0000-0000212E0000}" name="Coluna11804"/>
    <tableColumn id="11810" xr3:uid="{00000000-0010-0000-0000-0000222E0000}" name="Coluna11805"/>
    <tableColumn id="11811" xr3:uid="{00000000-0010-0000-0000-0000232E0000}" name="Coluna11806"/>
    <tableColumn id="11812" xr3:uid="{00000000-0010-0000-0000-0000242E0000}" name="Coluna11807"/>
    <tableColumn id="11813" xr3:uid="{00000000-0010-0000-0000-0000252E0000}" name="Coluna11808"/>
    <tableColumn id="11814" xr3:uid="{00000000-0010-0000-0000-0000262E0000}" name="Coluna11809"/>
    <tableColumn id="11815" xr3:uid="{00000000-0010-0000-0000-0000272E0000}" name="Coluna11810"/>
    <tableColumn id="11816" xr3:uid="{00000000-0010-0000-0000-0000282E0000}" name="Coluna11811"/>
    <tableColumn id="11817" xr3:uid="{00000000-0010-0000-0000-0000292E0000}" name="Coluna11812"/>
    <tableColumn id="11818" xr3:uid="{00000000-0010-0000-0000-00002A2E0000}" name="Coluna11813"/>
    <tableColumn id="11819" xr3:uid="{00000000-0010-0000-0000-00002B2E0000}" name="Coluna11814"/>
    <tableColumn id="11820" xr3:uid="{00000000-0010-0000-0000-00002C2E0000}" name="Coluna11815"/>
    <tableColumn id="11821" xr3:uid="{00000000-0010-0000-0000-00002D2E0000}" name="Coluna11816"/>
    <tableColumn id="11822" xr3:uid="{00000000-0010-0000-0000-00002E2E0000}" name="Coluna11817"/>
    <tableColumn id="11823" xr3:uid="{00000000-0010-0000-0000-00002F2E0000}" name="Coluna11818"/>
    <tableColumn id="11824" xr3:uid="{00000000-0010-0000-0000-0000302E0000}" name="Coluna11819"/>
    <tableColumn id="11825" xr3:uid="{00000000-0010-0000-0000-0000312E0000}" name="Coluna11820"/>
    <tableColumn id="11826" xr3:uid="{00000000-0010-0000-0000-0000322E0000}" name="Coluna11821"/>
    <tableColumn id="11827" xr3:uid="{00000000-0010-0000-0000-0000332E0000}" name="Coluna11822"/>
    <tableColumn id="11828" xr3:uid="{00000000-0010-0000-0000-0000342E0000}" name="Coluna11823"/>
    <tableColumn id="11829" xr3:uid="{00000000-0010-0000-0000-0000352E0000}" name="Coluna11824"/>
    <tableColumn id="11830" xr3:uid="{00000000-0010-0000-0000-0000362E0000}" name="Coluna11825"/>
    <tableColumn id="11831" xr3:uid="{00000000-0010-0000-0000-0000372E0000}" name="Coluna11826"/>
    <tableColumn id="11832" xr3:uid="{00000000-0010-0000-0000-0000382E0000}" name="Coluna11827"/>
    <tableColumn id="11833" xr3:uid="{00000000-0010-0000-0000-0000392E0000}" name="Coluna11828"/>
    <tableColumn id="11834" xr3:uid="{00000000-0010-0000-0000-00003A2E0000}" name="Coluna11829"/>
    <tableColumn id="11835" xr3:uid="{00000000-0010-0000-0000-00003B2E0000}" name="Coluna11830"/>
    <tableColumn id="11836" xr3:uid="{00000000-0010-0000-0000-00003C2E0000}" name="Coluna11831"/>
    <tableColumn id="11837" xr3:uid="{00000000-0010-0000-0000-00003D2E0000}" name="Coluna11832"/>
    <tableColumn id="11838" xr3:uid="{00000000-0010-0000-0000-00003E2E0000}" name="Coluna11833"/>
    <tableColumn id="11839" xr3:uid="{00000000-0010-0000-0000-00003F2E0000}" name="Coluna11834"/>
    <tableColumn id="11840" xr3:uid="{00000000-0010-0000-0000-0000402E0000}" name="Coluna11835"/>
    <tableColumn id="11841" xr3:uid="{00000000-0010-0000-0000-0000412E0000}" name="Coluna11836"/>
    <tableColumn id="11842" xr3:uid="{00000000-0010-0000-0000-0000422E0000}" name="Coluna11837"/>
    <tableColumn id="11843" xr3:uid="{00000000-0010-0000-0000-0000432E0000}" name="Coluna11838"/>
    <tableColumn id="11844" xr3:uid="{00000000-0010-0000-0000-0000442E0000}" name="Coluna11839"/>
    <tableColumn id="11845" xr3:uid="{00000000-0010-0000-0000-0000452E0000}" name="Coluna11840"/>
    <tableColumn id="11846" xr3:uid="{00000000-0010-0000-0000-0000462E0000}" name="Coluna11841"/>
    <tableColumn id="11847" xr3:uid="{00000000-0010-0000-0000-0000472E0000}" name="Coluna11842"/>
    <tableColumn id="11848" xr3:uid="{00000000-0010-0000-0000-0000482E0000}" name="Coluna11843"/>
    <tableColumn id="11849" xr3:uid="{00000000-0010-0000-0000-0000492E0000}" name="Coluna11844"/>
    <tableColumn id="11850" xr3:uid="{00000000-0010-0000-0000-00004A2E0000}" name="Coluna11845"/>
    <tableColumn id="11851" xr3:uid="{00000000-0010-0000-0000-00004B2E0000}" name="Coluna11846"/>
    <tableColumn id="11852" xr3:uid="{00000000-0010-0000-0000-00004C2E0000}" name="Coluna11847"/>
    <tableColumn id="11853" xr3:uid="{00000000-0010-0000-0000-00004D2E0000}" name="Coluna11848"/>
    <tableColumn id="11854" xr3:uid="{00000000-0010-0000-0000-00004E2E0000}" name="Coluna11849"/>
    <tableColumn id="11855" xr3:uid="{00000000-0010-0000-0000-00004F2E0000}" name="Coluna11850"/>
    <tableColumn id="11856" xr3:uid="{00000000-0010-0000-0000-0000502E0000}" name="Coluna11851"/>
    <tableColumn id="11857" xr3:uid="{00000000-0010-0000-0000-0000512E0000}" name="Coluna11852"/>
    <tableColumn id="11858" xr3:uid="{00000000-0010-0000-0000-0000522E0000}" name="Coluna11853"/>
    <tableColumn id="11859" xr3:uid="{00000000-0010-0000-0000-0000532E0000}" name="Coluna11854"/>
    <tableColumn id="11860" xr3:uid="{00000000-0010-0000-0000-0000542E0000}" name="Coluna11855"/>
    <tableColumn id="11861" xr3:uid="{00000000-0010-0000-0000-0000552E0000}" name="Coluna11856"/>
    <tableColumn id="11862" xr3:uid="{00000000-0010-0000-0000-0000562E0000}" name="Coluna11857"/>
    <tableColumn id="11863" xr3:uid="{00000000-0010-0000-0000-0000572E0000}" name="Coluna11858"/>
    <tableColumn id="11864" xr3:uid="{00000000-0010-0000-0000-0000582E0000}" name="Coluna11859"/>
    <tableColumn id="11865" xr3:uid="{00000000-0010-0000-0000-0000592E0000}" name="Coluna11860"/>
    <tableColumn id="11866" xr3:uid="{00000000-0010-0000-0000-00005A2E0000}" name="Coluna11861"/>
    <tableColumn id="11867" xr3:uid="{00000000-0010-0000-0000-00005B2E0000}" name="Coluna11862"/>
    <tableColumn id="11868" xr3:uid="{00000000-0010-0000-0000-00005C2E0000}" name="Coluna11863"/>
    <tableColumn id="11869" xr3:uid="{00000000-0010-0000-0000-00005D2E0000}" name="Coluna11864"/>
    <tableColumn id="11870" xr3:uid="{00000000-0010-0000-0000-00005E2E0000}" name="Coluna11865"/>
    <tableColumn id="11871" xr3:uid="{00000000-0010-0000-0000-00005F2E0000}" name="Coluna11866"/>
    <tableColumn id="11872" xr3:uid="{00000000-0010-0000-0000-0000602E0000}" name="Coluna11867"/>
    <tableColumn id="11873" xr3:uid="{00000000-0010-0000-0000-0000612E0000}" name="Coluna11868"/>
    <tableColumn id="11874" xr3:uid="{00000000-0010-0000-0000-0000622E0000}" name="Coluna11869"/>
    <tableColumn id="11875" xr3:uid="{00000000-0010-0000-0000-0000632E0000}" name="Coluna11870"/>
    <tableColumn id="11876" xr3:uid="{00000000-0010-0000-0000-0000642E0000}" name="Coluna11871"/>
    <tableColumn id="11877" xr3:uid="{00000000-0010-0000-0000-0000652E0000}" name="Coluna11872"/>
    <tableColumn id="11878" xr3:uid="{00000000-0010-0000-0000-0000662E0000}" name="Coluna11873"/>
    <tableColumn id="11879" xr3:uid="{00000000-0010-0000-0000-0000672E0000}" name="Coluna11874"/>
    <tableColumn id="11880" xr3:uid="{00000000-0010-0000-0000-0000682E0000}" name="Coluna11875"/>
    <tableColumn id="11881" xr3:uid="{00000000-0010-0000-0000-0000692E0000}" name="Coluna11876"/>
    <tableColumn id="11882" xr3:uid="{00000000-0010-0000-0000-00006A2E0000}" name="Coluna11877"/>
    <tableColumn id="11883" xr3:uid="{00000000-0010-0000-0000-00006B2E0000}" name="Coluna11878"/>
    <tableColumn id="11884" xr3:uid="{00000000-0010-0000-0000-00006C2E0000}" name="Coluna11879"/>
    <tableColumn id="11885" xr3:uid="{00000000-0010-0000-0000-00006D2E0000}" name="Coluna11880"/>
    <tableColumn id="11886" xr3:uid="{00000000-0010-0000-0000-00006E2E0000}" name="Coluna11881"/>
    <tableColumn id="11887" xr3:uid="{00000000-0010-0000-0000-00006F2E0000}" name="Coluna11882"/>
    <tableColumn id="11888" xr3:uid="{00000000-0010-0000-0000-0000702E0000}" name="Coluna11883"/>
    <tableColumn id="11889" xr3:uid="{00000000-0010-0000-0000-0000712E0000}" name="Coluna11884"/>
    <tableColumn id="11890" xr3:uid="{00000000-0010-0000-0000-0000722E0000}" name="Coluna11885"/>
    <tableColumn id="11891" xr3:uid="{00000000-0010-0000-0000-0000732E0000}" name="Coluna11886"/>
    <tableColumn id="11892" xr3:uid="{00000000-0010-0000-0000-0000742E0000}" name="Coluna11887"/>
    <tableColumn id="11893" xr3:uid="{00000000-0010-0000-0000-0000752E0000}" name="Coluna11888"/>
    <tableColumn id="11894" xr3:uid="{00000000-0010-0000-0000-0000762E0000}" name="Coluna11889"/>
    <tableColumn id="11895" xr3:uid="{00000000-0010-0000-0000-0000772E0000}" name="Coluna11890"/>
    <tableColumn id="11896" xr3:uid="{00000000-0010-0000-0000-0000782E0000}" name="Coluna11891"/>
    <tableColumn id="11897" xr3:uid="{00000000-0010-0000-0000-0000792E0000}" name="Coluna11892"/>
    <tableColumn id="11898" xr3:uid="{00000000-0010-0000-0000-00007A2E0000}" name="Coluna11893"/>
    <tableColumn id="11899" xr3:uid="{00000000-0010-0000-0000-00007B2E0000}" name="Coluna11894"/>
    <tableColumn id="11900" xr3:uid="{00000000-0010-0000-0000-00007C2E0000}" name="Coluna11895"/>
    <tableColumn id="11901" xr3:uid="{00000000-0010-0000-0000-00007D2E0000}" name="Coluna11896"/>
    <tableColumn id="11902" xr3:uid="{00000000-0010-0000-0000-00007E2E0000}" name="Coluna11897"/>
    <tableColumn id="11903" xr3:uid="{00000000-0010-0000-0000-00007F2E0000}" name="Coluna11898"/>
    <tableColumn id="11904" xr3:uid="{00000000-0010-0000-0000-0000802E0000}" name="Coluna11899"/>
    <tableColumn id="11905" xr3:uid="{00000000-0010-0000-0000-0000812E0000}" name="Coluna11900"/>
    <tableColumn id="11906" xr3:uid="{00000000-0010-0000-0000-0000822E0000}" name="Coluna11901"/>
    <tableColumn id="11907" xr3:uid="{00000000-0010-0000-0000-0000832E0000}" name="Coluna11902"/>
    <tableColumn id="11908" xr3:uid="{00000000-0010-0000-0000-0000842E0000}" name="Coluna11903"/>
    <tableColumn id="11909" xr3:uid="{00000000-0010-0000-0000-0000852E0000}" name="Coluna11904"/>
    <tableColumn id="11910" xr3:uid="{00000000-0010-0000-0000-0000862E0000}" name="Coluna11905"/>
    <tableColumn id="11911" xr3:uid="{00000000-0010-0000-0000-0000872E0000}" name="Coluna11906"/>
    <tableColumn id="11912" xr3:uid="{00000000-0010-0000-0000-0000882E0000}" name="Coluna11907"/>
    <tableColumn id="11913" xr3:uid="{00000000-0010-0000-0000-0000892E0000}" name="Coluna11908"/>
    <tableColumn id="11914" xr3:uid="{00000000-0010-0000-0000-00008A2E0000}" name="Coluna11909"/>
    <tableColumn id="11915" xr3:uid="{00000000-0010-0000-0000-00008B2E0000}" name="Coluna11910"/>
    <tableColumn id="11916" xr3:uid="{00000000-0010-0000-0000-00008C2E0000}" name="Coluna11911"/>
    <tableColumn id="11917" xr3:uid="{00000000-0010-0000-0000-00008D2E0000}" name="Coluna11912"/>
    <tableColumn id="11918" xr3:uid="{00000000-0010-0000-0000-00008E2E0000}" name="Coluna11913"/>
    <tableColumn id="11919" xr3:uid="{00000000-0010-0000-0000-00008F2E0000}" name="Coluna11914"/>
    <tableColumn id="11920" xr3:uid="{00000000-0010-0000-0000-0000902E0000}" name="Coluna11915"/>
    <tableColumn id="11921" xr3:uid="{00000000-0010-0000-0000-0000912E0000}" name="Coluna11916"/>
    <tableColumn id="11922" xr3:uid="{00000000-0010-0000-0000-0000922E0000}" name="Coluna11917"/>
    <tableColumn id="11923" xr3:uid="{00000000-0010-0000-0000-0000932E0000}" name="Coluna11918"/>
    <tableColumn id="11924" xr3:uid="{00000000-0010-0000-0000-0000942E0000}" name="Coluna11919"/>
    <tableColumn id="11925" xr3:uid="{00000000-0010-0000-0000-0000952E0000}" name="Coluna11920"/>
    <tableColumn id="11926" xr3:uid="{00000000-0010-0000-0000-0000962E0000}" name="Coluna11921"/>
    <tableColumn id="11927" xr3:uid="{00000000-0010-0000-0000-0000972E0000}" name="Coluna11922"/>
    <tableColumn id="11928" xr3:uid="{00000000-0010-0000-0000-0000982E0000}" name="Coluna11923"/>
    <tableColumn id="11929" xr3:uid="{00000000-0010-0000-0000-0000992E0000}" name="Coluna11924"/>
    <tableColumn id="11930" xr3:uid="{00000000-0010-0000-0000-00009A2E0000}" name="Coluna11925"/>
    <tableColumn id="11931" xr3:uid="{00000000-0010-0000-0000-00009B2E0000}" name="Coluna11926"/>
    <tableColumn id="11932" xr3:uid="{00000000-0010-0000-0000-00009C2E0000}" name="Coluna11927"/>
    <tableColumn id="11933" xr3:uid="{00000000-0010-0000-0000-00009D2E0000}" name="Coluna11928"/>
    <tableColumn id="11934" xr3:uid="{00000000-0010-0000-0000-00009E2E0000}" name="Coluna11929"/>
    <tableColumn id="11935" xr3:uid="{00000000-0010-0000-0000-00009F2E0000}" name="Coluna11930"/>
    <tableColumn id="11936" xr3:uid="{00000000-0010-0000-0000-0000A02E0000}" name="Coluna11931"/>
    <tableColumn id="11937" xr3:uid="{00000000-0010-0000-0000-0000A12E0000}" name="Coluna11932"/>
    <tableColumn id="11938" xr3:uid="{00000000-0010-0000-0000-0000A22E0000}" name="Coluna11933"/>
    <tableColumn id="11939" xr3:uid="{00000000-0010-0000-0000-0000A32E0000}" name="Coluna11934"/>
    <tableColumn id="11940" xr3:uid="{00000000-0010-0000-0000-0000A42E0000}" name="Coluna11935"/>
    <tableColumn id="11941" xr3:uid="{00000000-0010-0000-0000-0000A52E0000}" name="Coluna11936"/>
    <tableColumn id="11942" xr3:uid="{00000000-0010-0000-0000-0000A62E0000}" name="Coluna11937"/>
    <tableColumn id="11943" xr3:uid="{00000000-0010-0000-0000-0000A72E0000}" name="Coluna11938"/>
    <tableColumn id="11944" xr3:uid="{00000000-0010-0000-0000-0000A82E0000}" name="Coluna11939"/>
    <tableColumn id="11945" xr3:uid="{00000000-0010-0000-0000-0000A92E0000}" name="Coluna11940"/>
    <tableColumn id="11946" xr3:uid="{00000000-0010-0000-0000-0000AA2E0000}" name="Coluna11941"/>
    <tableColumn id="11947" xr3:uid="{00000000-0010-0000-0000-0000AB2E0000}" name="Coluna11942"/>
    <tableColumn id="11948" xr3:uid="{00000000-0010-0000-0000-0000AC2E0000}" name="Coluna11943"/>
    <tableColumn id="11949" xr3:uid="{00000000-0010-0000-0000-0000AD2E0000}" name="Coluna11944"/>
    <tableColumn id="11950" xr3:uid="{00000000-0010-0000-0000-0000AE2E0000}" name="Coluna11945"/>
    <tableColumn id="11951" xr3:uid="{00000000-0010-0000-0000-0000AF2E0000}" name="Coluna11946"/>
    <tableColumn id="11952" xr3:uid="{00000000-0010-0000-0000-0000B02E0000}" name="Coluna11947"/>
    <tableColumn id="11953" xr3:uid="{00000000-0010-0000-0000-0000B12E0000}" name="Coluna11948"/>
    <tableColumn id="11954" xr3:uid="{00000000-0010-0000-0000-0000B22E0000}" name="Coluna11949"/>
    <tableColumn id="11955" xr3:uid="{00000000-0010-0000-0000-0000B32E0000}" name="Coluna11950"/>
    <tableColumn id="11956" xr3:uid="{00000000-0010-0000-0000-0000B42E0000}" name="Coluna11951"/>
    <tableColumn id="11957" xr3:uid="{00000000-0010-0000-0000-0000B52E0000}" name="Coluna11952"/>
    <tableColumn id="11958" xr3:uid="{00000000-0010-0000-0000-0000B62E0000}" name="Coluna11953"/>
    <tableColumn id="11959" xr3:uid="{00000000-0010-0000-0000-0000B72E0000}" name="Coluna11954"/>
    <tableColumn id="11960" xr3:uid="{00000000-0010-0000-0000-0000B82E0000}" name="Coluna11955"/>
    <tableColumn id="11961" xr3:uid="{00000000-0010-0000-0000-0000B92E0000}" name="Coluna11956"/>
    <tableColumn id="11962" xr3:uid="{00000000-0010-0000-0000-0000BA2E0000}" name="Coluna11957"/>
    <tableColumn id="11963" xr3:uid="{00000000-0010-0000-0000-0000BB2E0000}" name="Coluna11958"/>
    <tableColumn id="11964" xr3:uid="{00000000-0010-0000-0000-0000BC2E0000}" name="Coluna11959"/>
    <tableColumn id="11965" xr3:uid="{00000000-0010-0000-0000-0000BD2E0000}" name="Coluna11960"/>
    <tableColumn id="11966" xr3:uid="{00000000-0010-0000-0000-0000BE2E0000}" name="Coluna11961"/>
    <tableColumn id="11967" xr3:uid="{00000000-0010-0000-0000-0000BF2E0000}" name="Coluna11962"/>
    <tableColumn id="11968" xr3:uid="{00000000-0010-0000-0000-0000C02E0000}" name="Coluna11963"/>
    <tableColumn id="11969" xr3:uid="{00000000-0010-0000-0000-0000C12E0000}" name="Coluna11964"/>
    <tableColumn id="11970" xr3:uid="{00000000-0010-0000-0000-0000C22E0000}" name="Coluna11965"/>
    <tableColumn id="11971" xr3:uid="{00000000-0010-0000-0000-0000C32E0000}" name="Coluna11966"/>
    <tableColumn id="11972" xr3:uid="{00000000-0010-0000-0000-0000C42E0000}" name="Coluna11967"/>
    <tableColumn id="11973" xr3:uid="{00000000-0010-0000-0000-0000C52E0000}" name="Coluna11968"/>
    <tableColumn id="11974" xr3:uid="{00000000-0010-0000-0000-0000C62E0000}" name="Coluna11969"/>
    <tableColumn id="11975" xr3:uid="{00000000-0010-0000-0000-0000C72E0000}" name="Coluna11970"/>
    <tableColumn id="11976" xr3:uid="{00000000-0010-0000-0000-0000C82E0000}" name="Coluna11971"/>
    <tableColumn id="11977" xr3:uid="{00000000-0010-0000-0000-0000C92E0000}" name="Coluna11972"/>
    <tableColumn id="11978" xr3:uid="{00000000-0010-0000-0000-0000CA2E0000}" name="Coluna11973"/>
    <tableColumn id="11979" xr3:uid="{00000000-0010-0000-0000-0000CB2E0000}" name="Coluna11974"/>
    <tableColumn id="11980" xr3:uid="{00000000-0010-0000-0000-0000CC2E0000}" name="Coluna11975"/>
    <tableColumn id="11981" xr3:uid="{00000000-0010-0000-0000-0000CD2E0000}" name="Coluna11976"/>
    <tableColumn id="11982" xr3:uid="{00000000-0010-0000-0000-0000CE2E0000}" name="Coluna11977"/>
    <tableColumn id="11983" xr3:uid="{00000000-0010-0000-0000-0000CF2E0000}" name="Coluna11978"/>
    <tableColumn id="11984" xr3:uid="{00000000-0010-0000-0000-0000D02E0000}" name="Coluna11979"/>
    <tableColumn id="11985" xr3:uid="{00000000-0010-0000-0000-0000D12E0000}" name="Coluna11980"/>
    <tableColumn id="11986" xr3:uid="{00000000-0010-0000-0000-0000D22E0000}" name="Coluna11981"/>
    <tableColumn id="11987" xr3:uid="{00000000-0010-0000-0000-0000D32E0000}" name="Coluna11982"/>
    <tableColumn id="11988" xr3:uid="{00000000-0010-0000-0000-0000D42E0000}" name="Coluna11983"/>
    <tableColumn id="11989" xr3:uid="{00000000-0010-0000-0000-0000D52E0000}" name="Coluna11984"/>
    <tableColumn id="11990" xr3:uid="{00000000-0010-0000-0000-0000D62E0000}" name="Coluna11985"/>
    <tableColumn id="11991" xr3:uid="{00000000-0010-0000-0000-0000D72E0000}" name="Coluna11986"/>
    <tableColumn id="11992" xr3:uid="{00000000-0010-0000-0000-0000D82E0000}" name="Coluna11987"/>
    <tableColumn id="11993" xr3:uid="{00000000-0010-0000-0000-0000D92E0000}" name="Coluna11988"/>
    <tableColumn id="11994" xr3:uid="{00000000-0010-0000-0000-0000DA2E0000}" name="Coluna11989"/>
    <tableColumn id="11995" xr3:uid="{00000000-0010-0000-0000-0000DB2E0000}" name="Coluna11990"/>
    <tableColumn id="11996" xr3:uid="{00000000-0010-0000-0000-0000DC2E0000}" name="Coluna11991"/>
    <tableColumn id="11997" xr3:uid="{00000000-0010-0000-0000-0000DD2E0000}" name="Coluna11992"/>
    <tableColumn id="11998" xr3:uid="{00000000-0010-0000-0000-0000DE2E0000}" name="Coluna11993"/>
    <tableColumn id="11999" xr3:uid="{00000000-0010-0000-0000-0000DF2E0000}" name="Coluna11994"/>
    <tableColumn id="12000" xr3:uid="{00000000-0010-0000-0000-0000E02E0000}" name="Coluna11995"/>
    <tableColumn id="12001" xr3:uid="{00000000-0010-0000-0000-0000E12E0000}" name="Coluna11996"/>
    <tableColumn id="12002" xr3:uid="{00000000-0010-0000-0000-0000E22E0000}" name="Coluna11997"/>
    <tableColumn id="12003" xr3:uid="{00000000-0010-0000-0000-0000E32E0000}" name="Coluna11998"/>
    <tableColumn id="12004" xr3:uid="{00000000-0010-0000-0000-0000E42E0000}" name="Coluna11999"/>
    <tableColumn id="12005" xr3:uid="{00000000-0010-0000-0000-0000E52E0000}" name="Coluna12000"/>
    <tableColumn id="12006" xr3:uid="{00000000-0010-0000-0000-0000E62E0000}" name="Coluna12001"/>
    <tableColumn id="12007" xr3:uid="{00000000-0010-0000-0000-0000E72E0000}" name="Coluna12002"/>
    <tableColumn id="12008" xr3:uid="{00000000-0010-0000-0000-0000E82E0000}" name="Coluna12003"/>
    <tableColumn id="12009" xr3:uid="{00000000-0010-0000-0000-0000E92E0000}" name="Coluna12004"/>
    <tableColumn id="12010" xr3:uid="{00000000-0010-0000-0000-0000EA2E0000}" name="Coluna12005"/>
    <tableColumn id="12011" xr3:uid="{00000000-0010-0000-0000-0000EB2E0000}" name="Coluna12006"/>
    <tableColumn id="12012" xr3:uid="{00000000-0010-0000-0000-0000EC2E0000}" name="Coluna12007"/>
    <tableColumn id="12013" xr3:uid="{00000000-0010-0000-0000-0000ED2E0000}" name="Coluna12008"/>
    <tableColumn id="12014" xr3:uid="{00000000-0010-0000-0000-0000EE2E0000}" name="Coluna12009"/>
    <tableColumn id="12015" xr3:uid="{00000000-0010-0000-0000-0000EF2E0000}" name="Coluna12010"/>
    <tableColumn id="12016" xr3:uid="{00000000-0010-0000-0000-0000F02E0000}" name="Coluna12011"/>
    <tableColumn id="12017" xr3:uid="{00000000-0010-0000-0000-0000F12E0000}" name="Coluna12012"/>
    <tableColumn id="12018" xr3:uid="{00000000-0010-0000-0000-0000F22E0000}" name="Coluna12013"/>
    <tableColumn id="12019" xr3:uid="{00000000-0010-0000-0000-0000F32E0000}" name="Coluna12014"/>
    <tableColumn id="12020" xr3:uid="{00000000-0010-0000-0000-0000F42E0000}" name="Coluna12015"/>
    <tableColumn id="12021" xr3:uid="{00000000-0010-0000-0000-0000F52E0000}" name="Coluna12016"/>
    <tableColumn id="12022" xr3:uid="{00000000-0010-0000-0000-0000F62E0000}" name="Coluna12017"/>
    <tableColumn id="12023" xr3:uid="{00000000-0010-0000-0000-0000F72E0000}" name="Coluna12018"/>
    <tableColumn id="12024" xr3:uid="{00000000-0010-0000-0000-0000F82E0000}" name="Coluna12019"/>
    <tableColumn id="12025" xr3:uid="{00000000-0010-0000-0000-0000F92E0000}" name="Coluna12020"/>
    <tableColumn id="12026" xr3:uid="{00000000-0010-0000-0000-0000FA2E0000}" name="Coluna12021"/>
    <tableColumn id="12027" xr3:uid="{00000000-0010-0000-0000-0000FB2E0000}" name="Coluna12022"/>
    <tableColumn id="12028" xr3:uid="{00000000-0010-0000-0000-0000FC2E0000}" name="Coluna12023"/>
    <tableColumn id="12029" xr3:uid="{00000000-0010-0000-0000-0000FD2E0000}" name="Coluna12024"/>
    <tableColumn id="12030" xr3:uid="{00000000-0010-0000-0000-0000FE2E0000}" name="Coluna12025"/>
    <tableColumn id="12031" xr3:uid="{00000000-0010-0000-0000-0000FF2E0000}" name="Coluna12026"/>
    <tableColumn id="12032" xr3:uid="{00000000-0010-0000-0000-0000002F0000}" name="Coluna12027"/>
    <tableColumn id="12033" xr3:uid="{00000000-0010-0000-0000-0000012F0000}" name="Coluna12028"/>
    <tableColumn id="12034" xr3:uid="{00000000-0010-0000-0000-0000022F0000}" name="Coluna12029"/>
    <tableColumn id="12035" xr3:uid="{00000000-0010-0000-0000-0000032F0000}" name="Coluna12030"/>
    <tableColumn id="12036" xr3:uid="{00000000-0010-0000-0000-0000042F0000}" name="Coluna12031"/>
    <tableColumn id="12037" xr3:uid="{00000000-0010-0000-0000-0000052F0000}" name="Coluna12032"/>
    <tableColumn id="12038" xr3:uid="{00000000-0010-0000-0000-0000062F0000}" name="Coluna12033"/>
    <tableColumn id="12039" xr3:uid="{00000000-0010-0000-0000-0000072F0000}" name="Coluna12034"/>
    <tableColumn id="12040" xr3:uid="{00000000-0010-0000-0000-0000082F0000}" name="Coluna12035"/>
    <tableColumn id="12041" xr3:uid="{00000000-0010-0000-0000-0000092F0000}" name="Coluna12036"/>
    <tableColumn id="12042" xr3:uid="{00000000-0010-0000-0000-00000A2F0000}" name="Coluna12037"/>
    <tableColumn id="12043" xr3:uid="{00000000-0010-0000-0000-00000B2F0000}" name="Coluna12038"/>
    <tableColumn id="12044" xr3:uid="{00000000-0010-0000-0000-00000C2F0000}" name="Coluna12039"/>
    <tableColumn id="12045" xr3:uid="{00000000-0010-0000-0000-00000D2F0000}" name="Coluna12040"/>
    <tableColumn id="12046" xr3:uid="{00000000-0010-0000-0000-00000E2F0000}" name="Coluna12041"/>
    <tableColumn id="12047" xr3:uid="{00000000-0010-0000-0000-00000F2F0000}" name="Coluna12042"/>
    <tableColumn id="12048" xr3:uid="{00000000-0010-0000-0000-0000102F0000}" name="Coluna12043"/>
    <tableColumn id="12049" xr3:uid="{00000000-0010-0000-0000-0000112F0000}" name="Coluna12044"/>
    <tableColumn id="12050" xr3:uid="{00000000-0010-0000-0000-0000122F0000}" name="Coluna12045"/>
    <tableColumn id="12051" xr3:uid="{00000000-0010-0000-0000-0000132F0000}" name="Coluna12046"/>
    <tableColumn id="12052" xr3:uid="{00000000-0010-0000-0000-0000142F0000}" name="Coluna12047"/>
    <tableColumn id="12053" xr3:uid="{00000000-0010-0000-0000-0000152F0000}" name="Coluna12048"/>
    <tableColumn id="12054" xr3:uid="{00000000-0010-0000-0000-0000162F0000}" name="Coluna12049"/>
    <tableColumn id="12055" xr3:uid="{00000000-0010-0000-0000-0000172F0000}" name="Coluna12050"/>
    <tableColumn id="12056" xr3:uid="{00000000-0010-0000-0000-0000182F0000}" name="Coluna12051"/>
    <tableColumn id="12057" xr3:uid="{00000000-0010-0000-0000-0000192F0000}" name="Coluna12052"/>
    <tableColumn id="12058" xr3:uid="{00000000-0010-0000-0000-00001A2F0000}" name="Coluna12053"/>
    <tableColumn id="12059" xr3:uid="{00000000-0010-0000-0000-00001B2F0000}" name="Coluna12054"/>
    <tableColumn id="12060" xr3:uid="{00000000-0010-0000-0000-00001C2F0000}" name="Coluna12055"/>
    <tableColumn id="12061" xr3:uid="{00000000-0010-0000-0000-00001D2F0000}" name="Coluna12056"/>
    <tableColumn id="12062" xr3:uid="{00000000-0010-0000-0000-00001E2F0000}" name="Coluna12057"/>
    <tableColumn id="12063" xr3:uid="{00000000-0010-0000-0000-00001F2F0000}" name="Coluna12058"/>
    <tableColumn id="12064" xr3:uid="{00000000-0010-0000-0000-0000202F0000}" name="Coluna12059"/>
    <tableColumn id="12065" xr3:uid="{00000000-0010-0000-0000-0000212F0000}" name="Coluna12060"/>
    <tableColumn id="12066" xr3:uid="{00000000-0010-0000-0000-0000222F0000}" name="Coluna12061"/>
    <tableColumn id="12067" xr3:uid="{00000000-0010-0000-0000-0000232F0000}" name="Coluna12062"/>
    <tableColumn id="12068" xr3:uid="{00000000-0010-0000-0000-0000242F0000}" name="Coluna12063"/>
    <tableColumn id="12069" xr3:uid="{00000000-0010-0000-0000-0000252F0000}" name="Coluna12064"/>
    <tableColumn id="12070" xr3:uid="{00000000-0010-0000-0000-0000262F0000}" name="Coluna12065"/>
    <tableColumn id="12071" xr3:uid="{00000000-0010-0000-0000-0000272F0000}" name="Coluna12066"/>
    <tableColumn id="12072" xr3:uid="{00000000-0010-0000-0000-0000282F0000}" name="Coluna12067"/>
    <tableColumn id="12073" xr3:uid="{00000000-0010-0000-0000-0000292F0000}" name="Coluna12068"/>
    <tableColumn id="12074" xr3:uid="{00000000-0010-0000-0000-00002A2F0000}" name="Coluna12069"/>
    <tableColumn id="12075" xr3:uid="{00000000-0010-0000-0000-00002B2F0000}" name="Coluna12070"/>
    <tableColumn id="12076" xr3:uid="{00000000-0010-0000-0000-00002C2F0000}" name="Coluna12071"/>
    <tableColumn id="12077" xr3:uid="{00000000-0010-0000-0000-00002D2F0000}" name="Coluna12072"/>
    <tableColumn id="12078" xr3:uid="{00000000-0010-0000-0000-00002E2F0000}" name="Coluna12073"/>
    <tableColumn id="12079" xr3:uid="{00000000-0010-0000-0000-00002F2F0000}" name="Coluna12074"/>
    <tableColumn id="12080" xr3:uid="{00000000-0010-0000-0000-0000302F0000}" name="Coluna12075"/>
    <tableColumn id="12081" xr3:uid="{00000000-0010-0000-0000-0000312F0000}" name="Coluna12076"/>
    <tableColumn id="12082" xr3:uid="{00000000-0010-0000-0000-0000322F0000}" name="Coluna12077"/>
    <tableColumn id="12083" xr3:uid="{00000000-0010-0000-0000-0000332F0000}" name="Coluna12078"/>
    <tableColumn id="12084" xr3:uid="{00000000-0010-0000-0000-0000342F0000}" name="Coluna12079"/>
    <tableColumn id="12085" xr3:uid="{00000000-0010-0000-0000-0000352F0000}" name="Coluna12080"/>
    <tableColumn id="12086" xr3:uid="{00000000-0010-0000-0000-0000362F0000}" name="Coluna12081"/>
    <tableColumn id="12087" xr3:uid="{00000000-0010-0000-0000-0000372F0000}" name="Coluna12082"/>
    <tableColumn id="12088" xr3:uid="{00000000-0010-0000-0000-0000382F0000}" name="Coluna12083"/>
    <tableColumn id="12089" xr3:uid="{00000000-0010-0000-0000-0000392F0000}" name="Coluna12084"/>
    <tableColumn id="12090" xr3:uid="{00000000-0010-0000-0000-00003A2F0000}" name="Coluna12085"/>
    <tableColumn id="12091" xr3:uid="{00000000-0010-0000-0000-00003B2F0000}" name="Coluna12086"/>
    <tableColumn id="12092" xr3:uid="{00000000-0010-0000-0000-00003C2F0000}" name="Coluna12087"/>
    <tableColumn id="12093" xr3:uid="{00000000-0010-0000-0000-00003D2F0000}" name="Coluna12088"/>
    <tableColumn id="12094" xr3:uid="{00000000-0010-0000-0000-00003E2F0000}" name="Coluna12089"/>
    <tableColumn id="12095" xr3:uid="{00000000-0010-0000-0000-00003F2F0000}" name="Coluna12090"/>
    <tableColumn id="12096" xr3:uid="{00000000-0010-0000-0000-0000402F0000}" name="Coluna12091"/>
    <tableColumn id="12097" xr3:uid="{00000000-0010-0000-0000-0000412F0000}" name="Coluna12092"/>
    <tableColumn id="12098" xr3:uid="{00000000-0010-0000-0000-0000422F0000}" name="Coluna12093"/>
    <tableColumn id="12099" xr3:uid="{00000000-0010-0000-0000-0000432F0000}" name="Coluna12094"/>
    <tableColumn id="12100" xr3:uid="{00000000-0010-0000-0000-0000442F0000}" name="Coluna12095"/>
    <tableColumn id="12101" xr3:uid="{00000000-0010-0000-0000-0000452F0000}" name="Coluna12096"/>
    <tableColumn id="12102" xr3:uid="{00000000-0010-0000-0000-0000462F0000}" name="Coluna12097"/>
    <tableColumn id="12103" xr3:uid="{00000000-0010-0000-0000-0000472F0000}" name="Coluna12098"/>
    <tableColumn id="12104" xr3:uid="{00000000-0010-0000-0000-0000482F0000}" name="Coluna12099"/>
    <tableColumn id="12105" xr3:uid="{00000000-0010-0000-0000-0000492F0000}" name="Coluna12100"/>
    <tableColumn id="12106" xr3:uid="{00000000-0010-0000-0000-00004A2F0000}" name="Coluna12101"/>
    <tableColumn id="12107" xr3:uid="{00000000-0010-0000-0000-00004B2F0000}" name="Coluna12102"/>
    <tableColumn id="12108" xr3:uid="{00000000-0010-0000-0000-00004C2F0000}" name="Coluna12103"/>
    <tableColumn id="12109" xr3:uid="{00000000-0010-0000-0000-00004D2F0000}" name="Coluna12104"/>
    <tableColumn id="12110" xr3:uid="{00000000-0010-0000-0000-00004E2F0000}" name="Coluna12105"/>
    <tableColumn id="12111" xr3:uid="{00000000-0010-0000-0000-00004F2F0000}" name="Coluna12106"/>
    <tableColumn id="12112" xr3:uid="{00000000-0010-0000-0000-0000502F0000}" name="Coluna12107"/>
    <tableColumn id="12113" xr3:uid="{00000000-0010-0000-0000-0000512F0000}" name="Coluna12108"/>
    <tableColumn id="12114" xr3:uid="{00000000-0010-0000-0000-0000522F0000}" name="Coluna12109"/>
    <tableColumn id="12115" xr3:uid="{00000000-0010-0000-0000-0000532F0000}" name="Coluna12110"/>
    <tableColumn id="12116" xr3:uid="{00000000-0010-0000-0000-0000542F0000}" name="Coluna12111"/>
    <tableColumn id="12117" xr3:uid="{00000000-0010-0000-0000-0000552F0000}" name="Coluna12112"/>
    <tableColumn id="12118" xr3:uid="{00000000-0010-0000-0000-0000562F0000}" name="Coluna12113"/>
    <tableColumn id="12119" xr3:uid="{00000000-0010-0000-0000-0000572F0000}" name="Coluna12114"/>
    <tableColumn id="12120" xr3:uid="{00000000-0010-0000-0000-0000582F0000}" name="Coluna12115"/>
    <tableColumn id="12121" xr3:uid="{00000000-0010-0000-0000-0000592F0000}" name="Coluna12116"/>
    <tableColumn id="12122" xr3:uid="{00000000-0010-0000-0000-00005A2F0000}" name="Coluna12117"/>
    <tableColumn id="12123" xr3:uid="{00000000-0010-0000-0000-00005B2F0000}" name="Coluna12118"/>
    <tableColumn id="12124" xr3:uid="{00000000-0010-0000-0000-00005C2F0000}" name="Coluna12119"/>
    <tableColumn id="12125" xr3:uid="{00000000-0010-0000-0000-00005D2F0000}" name="Coluna12120"/>
    <tableColumn id="12126" xr3:uid="{00000000-0010-0000-0000-00005E2F0000}" name="Coluna12121"/>
    <tableColumn id="12127" xr3:uid="{00000000-0010-0000-0000-00005F2F0000}" name="Coluna12122"/>
    <tableColumn id="12128" xr3:uid="{00000000-0010-0000-0000-0000602F0000}" name="Coluna12123"/>
    <tableColumn id="12129" xr3:uid="{00000000-0010-0000-0000-0000612F0000}" name="Coluna12124"/>
    <tableColumn id="12130" xr3:uid="{00000000-0010-0000-0000-0000622F0000}" name="Coluna12125"/>
    <tableColumn id="12131" xr3:uid="{00000000-0010-0000-0000-0000632F0000}" name="Coluna12126"/>
    <tableColumn id="12132" xr3:uid="{00000000-0010-0000-0000-0000642F0000}" name="Coluna12127"/>
    <tableColumn id="12133" xr3:uid="{00000000-0010-0000-0000-0000652F0000}" name="Coluna12128"/>
    <tableColumn id="12134" xr3:uid="{00000000-0010-0000-0000-0000662F0000}" name="Coluna12129"/>
    <tableColumn id="12135" xr3:uid="{00000000-0010-0000-0000-0000672F0000}" name="Coluna12130"/>
    <tableColumn id="12136" xr3:uid="{00000000-0010-0000-0000-0000682F0000}" name="Coluna12131"/>
    <tableColumn id="12137" xr3:uid="{00000000-0010-0000-0000-0000692F0000}" name="Coluna12132"/>
    <tableColumn id="12138" xr3:uid="{00000000-0010-0000-0000-00006A2F0000}" name="Coluna12133"/>
    <tableColumn id="12139" xr3:uid="{00000000-0010-0000-0000-00006B2F0000}" name="Coluna12134"/>
    <tableColumn id="12140" xr3:uid="{00000000-0010-0000-0000-00006C2F0000}" name="Coluna12135"/>
    <tableColumn id="12141" xr3:uid="{00000000-0010-0000-0000-00006D2F0000}" name="Coluna12136"/>
    <tableColumn id="12142" xr3:uid="{00000000-0010-0000-0000-00006E2F0000}" name="Coluna12137"/>
    <tableColumn id="12143" xr3:uid="{00000000-0010-0000-0000-00006F2F0000}" name="Coluna12138"/>
    <tableColumn id="12144" xr3:uid="{00000000-0010-0000-0000-0000702F0000}" name="Coluna12139"/>
    <tableColumn id="12145" xr3:uid="{00000000-0010-0000-0000-0000712F0000}" name="Coluna12140"/>
    <tableColumn id="12146" xr3:uid="{00000000-0010-0000-0000-0000722F0000}" name="Coluna12141"/>
    <tableColumn id="12147" xr3:uid="{00000000-0010-0000-0000-0000732F0000}" name="Coluna12142"/>
    <tableColumn id="12148" xr3:uid="{00000000-0010-0000-0000-0000742F0000}" name="Coluna12143"/>
    <tableColumn id="12149" xr3:uid="{00000000-0010-0000-0000-0000752F0000}" name="Coluna12144"/>
    <tableColumn id="12150" xr3:uid="{00000000-0010-0000-0000-0000762F0000}" name="Coluna12145"/>
    <tableColumn id="12151" xr3:uid="{00000000-0010-0000-0000-0000772F0000}" name="Coluna12146"/>
    <tableColumn id="12152" xr3:uid="{00000000-0010-0000-0000-0000782F0000}" name="Coluna12147"/>
    <tableColumn id="12153" xr3:uid="{00000000-0010-0000-0000-0000792F0000}" name="Coluna12148"/>
    <tableColumn id="12154" xr3:uid="{00000000-0010-0000-0000-00007A2F0000}" name="Coluna12149"/>
    <tableColumn id="12155" xr3:uid="{00000000-0010-0000-0000-00007B2F0000}" name="Coluna12150"/>
    <tableColumn id="12156" xr3:uid="{00000000-0010-0000-0000-00007C2F0000}" name="Coluna12151"/>
    <tableColumn id="12157" xr3:uid="{00000000-0010-0000-0000-00007D2F0000}" name="Coluna12152"/>
    <tableColumn id="12158" xr3:uid="{00000000-0010-0000-0000-00007E2F0000}" name="Coluna12153"/>
    <tableColumn id="12159" xr3:uid="{00000000-0010-0000-0000-00007F2F0000}" name="Coluna12154"/>
    <tableColumn id="12160" xr3:uid="{00000000-0010-0000-0000-0000802F0000}" name="Coluna12155"/>
    <tableColumn id="12161" xr3:uid="{00000000-0010-0000-0000-0000812F0000}" name="Coluna12156"/>
    <tableColumn id="12162" xr3:uid="{00000000-0010-0000-0000-0000822F0000}" name="Coluna12157"/>
    <tableColumn id="12163" xr3:uid="{00000000-0010-0000-0000-0000832F0000}" name="Coluna12158"/>
    <tableColumn id="12164" xr3:uid="{00000000-0010-0000-0000-0000842F0000}" name="Coluna12159"/>
    <tableColumn id="12165" xr3:uid="{00000000-0010-0000-0000-0000852F0000}" name="Coluna12160"/>
    <tableColumn id="12166" xr3:uid="{00000000-0010-0000-0000-0000862F0000}" name="Coluna12161"/>
    <tableColumn id="12167" xr3:uid="{00000000-0010-0000-0000-0000872F0000}" name="Coluna12162"/>
    <tableColumn id="12168" xr3:uid="{00000000-0010-0000-0000-0000882F0000}" name="Coluna12163"/>
    <tableColumn id="12169" xr3:uid="{00000000-0010-0000-0000-0000892F0000}" name="Coluna12164"/>
    <tableColumn id="12170" xr3:uid="{00000000-0010-0000-0000-00008A2F0000}" name="Coluna12165"/>
    <tableColumn id="12171" xr3:uid="{00000000-0010-0000-0000-00008B2F0000}" name="Coluna12166"/>
    <tableColumn id="12172" xr3:uid="{00000000-0010-0000-0000-00008C2F0000}" name="Coluna12167"/>
    <tableColumn id="12173" xr3:uid="{00000000-0010-0000-0000-00008D2F0000}" name="Coluna12168"/>
    <tableColumn id="12174" xr3:uid="{00000000-0010-0000-0000-00008E2F0000}" name="Coluna12169"/>
    <tableColumn id="12175" xr3:uid="{00000000-0010-0000-0000-00008F2F0000}" name="Coluna12170"/>
    <tableColumn id="12176" xr3:uid="{00000000-0010-0000-0000-0000902F0000}" name="Coluna12171"/>
    <tableColumn id="12177" xr3:uid="{00000000-0010-0000-0000-0000912F0000}" name="Coluna12172"/>
    <tableColumn id="12178" xr3:uid="{00000000-0010-0000-0000-0000922F0000}" name="Coluna12173"/>
    <tableColumn id="12179" xr3:uid="{00000000-0010-0000-0000-0000932F0000}" name="Coluna12174"/>
    <tableColumn id="12180" xr3:uid="{00000000-0010-0000-0000-0000942F0000}" name="Coluna12175"/>
    <tableColumn id="12181" xr3:uid="{00000000-0010-0000-0000-0000952F0000}" name="Coluna12176"/>
    <tableColumn id="12182" xr3:uid="{00000000-0010-0000-0000-0000962F0000}" name="Coluna12177"/>
    <tableColumn id="12183" xr3:uid="{00000000-0010-0000-0000-0000972F0000}" name="Coluna12178"/>
    <tableColumn id="12184" xr3:uid="{00000000-0010-0000-0000-0000982F0000}" name="Coluna12179"/>
    <tableColumn id="12185" xr3:uid="{00000000-0010-0000-0000-0000992F0000}" name="Coluna12180"/>
    <tableColumn id="12186" xr3:uid="{00000000-0010-0000-0000-00009A2F0000}" name="Coluna12181"/>
    <tableColumn id="12187" xr3:uid="{00000000-0010-0000-0000-00009B2F0000}" name="Coluna12182"/>
    <tableColumn id="12188" xr3:uid="{00000000-0010-0000-0000-00009C2F0000}" name="Coluna12183"/>
    <tableColumn id="12189" xr3:uid="{00000000-0010-0000-0000-00009D2F0000}" name="Coluna12184"/>
    <tableColumn id="12190" xr3:uid="{00000000-0010-0000-0000-00009E2F0000}" name="Coluna12185"/>
    <tableColumn id="12191" xr3:uid="{00000000-0010-0000-0000-00009F2F0000}" name="Coluna12186"/>
    <tableColumn id="12192" xr3:uid="{00000000-0010-0000-0000-0000A02F0000}" name="Coluna12187"/>
    <tableColumn id="12193" xr3:uid="{00000000-0010-0000-0000-0000A12F0000}" name="Coluna12188"/>
    <tableColumn id="12194" xr3:uid="{00000000-0010-0000-0000-0000A22F0000}" name="Coluna12189"/>
    <tableColumn id="12195" xr3:uid="{00000000-0010-0000-0000-0000A32F0000}" name="Coluna12190"/>
    <tableColumn id="12196" xr3:uid="{00000000-0010-0000-0000-0000A42F0000}" name="Coluna12191"/>
    <tableColumn id="12197" xr3:uid="{00000000-0010-0000-0000-0000A52F0000}" name="Coluna12192"/>
    <tableColumn id="12198" xr3:uid="{00000000-0010-0000-0000-0000A62F0000}" name="Coluna12193"/>
    <tableColumn id="12199" xr3:uid="{00000000-0010-0000-0000-0000A72F0000}" name="Coluna12194"/>
    <tableColumn id="12200" xr3:uid="{00000000-0010-0000-0000-0000A82F0000}" name="Coluna12195"/>
    <tableColumn id="12201" xr3:uid="{00000000-0010-0000-0000-0000A92F0000}" name="Coluna12196"/>
    <tableColumn id="12202" xr3:uid="{00000000-0010-0000-0000-0000AA2F0000}" name="Coluna12197"/>
    <tableColumn id="12203" xr3:uid="{00000000-0010-0000-0000-0000AB2F0000}" name="Coluna12198"/>
    <tableColumn id="12204" xr3:uid="{00000000-0010-0000-0000-0000AC2F0000}" name="Coluna12199"/>
    <tableColumn id="12205" xr3:uid="{00000000-0010-0000-0000-0000AD2F0000}" name="Coluna12200"/>
    <tableColumn id="12206" xr3:uid="{00000000-0010-0000-0000-0000AE2F0000}" name="Coluna12201"/>
    <tableColumn id="12207" xr3:uid="{00000000-0010-0000-0000-0000AF2F0000}" name="Coluna12202"/>
    <tableColumn id="12208" xr3:uid="{00000000-0010-0000-0000-0000B02F0000}" name="Coluna12203"/>
    <tableColumn id="12209" xr3:uid="{00000000-0010-0000-0000-0000B12F0000}" name="Coluna12204"/>
    <tableColumn id="12210" xr3:uid="{00000000-0010-0000-0000-0000B22F0000}" name="Coluna12205"/>
    <tableColumn id="12211" xr3:uid="{00000000-0010-0000-0000-0000B32F0000}" name="Coluna12206"/>
    <tableColumn id="12212" xr3:uid="{00000000-0010-0000-0000-0000B42F0000}" name="Coluna12207"/>
    <tableColumn id="12213" xr3:uid="{00000000-0010-0000-0000-0000B52F0000}" name="Coluna12208"/>
    <tableColumn id="12214" xr3:uid="{00000000-0010-0000-0000-0000B62F0000}" name="Coluna12209"/>
    <tableColumn id="12215" xr3:uid="{00000000-0010-0000-0000-0000B72F0000}" name="Coluna12210"/>
    <tableColumn id="12216" xr3:uid="{00000000-0010-0000-0000-0000B82F0000}" name="Coluna12211"/>
    <tableColumn id="12217" xr3:uid="{00000000-0010-0000-0000-0000B92F0000}" name="Coluna12212"/>
    <tableColumn id="12218" xr3:uid="{00000000-0010-0000-0000-0000BA2F0000}" name="Coluna12213"/>
    <tableColumn id="12219" xr3:uid="{00000000-0010-0000-0000-0000BB2F0000}" name="Coluna12214"/>
    <tableColumn id="12220" xr3:uid="{00000000-0010-0000-0000-0000BC2F0000}" name="Coluna12215"/>
    <tableColumn id="12221" xr3:uid="{00000000-0010-0000-0000-0000BD2F0000}" name="Coluna12216"/>
    <tableColumn id="12222" xr3:uid="{00000000-0010-0000-0000-0000BE2F0000}" name="Coluna12217"/>
    <tableColumn id="12223" xr3:uid="{00000000-0010-0000-0000-0000BF2F0000}" name="Coluna12218"/>
    <tableColumn id="12224" xr3:uid="{00000000-0010-0000-0000-0000C02F0000}" name="Coluna12219"/>
    <tableColumn id="12225" xr3:uid="{00000000-0010-0000-0000-0000C12F0000}" name="Coluna12220"/>
    <tableColumn id="12226" xr3:uid="{00000000-0010-0000-0000-0000C22F0000}" name="Coluna12221"/>
    <tableColumn id="12227" xr3:uid="{00000000-0010-0000-0000-0000C32F0000}" name="Coluna12222"/>
    <tableColumn id="12228" xr3:uid="{00000000-0010-0000-0000-0000C42F0000}" name="Coluna12223"/>
    <tableColumn id="12229" xr3:uid="{00000000-0010-0000-0000-0000C52F0000}" name="Coluna12224"/>
    <tableColumn id="12230" xr3:uid="{00000000-0010-0000-0000-0000C62F0000}" name="Coluna12225"/>
    <tableColumn id="12231" xr3:uid="{00000000-0010-0000-0000-0000C72F0000}" name="Coluna12226"/>
    <tableColumn id="12232" xr3:uid="{00000000-0010-0000-0000-0000C82F0000}" name="Coluna12227"/>
    <tableColumn id="12233" xr3:uid="{00000000-0010-0000-0000-0000C92F0000}" name="Coluna12228"/>
    <tableColumn id="12234" xr3:uid="{00000000-0010-0000-0000-0000CA2F0000}" name="Coluna12229"/>
    <tableColumn id="12235" xr3:uid="{00000000-0010-0000-0000-0000CB2F0000}" name="Coluna12230"/>
    <tableColumn id="12236" xr3:uid="{00000000-0010-0000-0000-0000CC2F0000}" name="Coluna12231"/>
    <tableColumn id="12237" xr3:uid="{00000000-0010-0000-0000-0000CD2F0000}" name="Coluna12232"/>
    <tableColumn id="12238" xr3:uid="{00000000-0010-0000-0000-0000CE2F0000}" name="Coluna12233"/>
    <tableColumn id="12239" xr3:uid="{00000000-0010-0000-0000-0000CF2F0000}" name="Coluna12234"/>
    <tableColumn id="12240" xr3:uid="{00000000-0010-0000-0000-0000D02F0000}" name="Coluna12235"/>
    <tableColumn id="12241" xr3:uid="{00000000-0010-0000-0000-0000D12F0000}" name="Coluna12236"/>
    <tableColumn id="12242" xr3:uid="{00000000-0010-0000-0000-0000D22F0000}" name="Coluna12237"/>
    <tableColumn id="12243" xr3:uid="{00000000-0010-0000-0000-0000D32F0000}" name="Coluna12238"/>
    <tableColumn id="12244" xr3:uid="{00000000-0010-0000-0000-0000D42F0000}" name="Coluna12239"/>
    <tableColumn id="12245" xr3:uid="{00000000-0010-0000-0000-0000D52F0000}" name="Coluna12240"/>
    <tableColumn id="12246" xr3:uid="{00000000-0010-0000-0000-0000D62F0000}" name="Coluna12241"/>
    <tableColumn id="12247" xr3:uid="{00000000-0010-0000-0000-0000D72F0000}" name="Coluna12242"/>
    <tableColumn id="12248" xr3:uid="{00000000-0010-0000-0000-0000D82F0000}" name="Coluna12243"/>
    <tableColumn id="12249" xr3:uid="{00000000-0010-0000-0000-0000D92F0000}" name="Coluna12244"/>
    <tableColumn id="12250" xr3:uid="{00000000-0010-0000-0000-0000DA2F0000}" name="Coluna12245"/>
    <tableColumn id="12251" xr3:uid="{00000000-0010-0000-0000-0000DB2F0000}" name="Coluna12246"/>
    <tableColumn id="12252" xr3:uid="{00000000-0010-0000-0000-0000DC2F0000}" name="Coluna12247"/>
    <tableColumn id="12253" xr3:uid="{00000000-0010-0000-0000-0000DD2F0000}" name="Coluna12248"/>
    <tableColumn id="12254" xr3:uid="{00000000-0010-0000-0000-0000DE2F0000}" name="Coluna12249"/>
    <tableColumn id="12255" xr3:uid="{00000000-0010-0000-0000-0000DF2F0000}" name="Coluna12250"/>
    <tableColumn id="12256" xr3:uid="{00000000-0010-0000-0000-0000E02F0000}" name="Coluna12251"/>
    <tableColumn id="12257" xr3:uid="{00000000-0010-0000-0000-0000E12F0000}" name="Coluna12252"/>
    <tableColumn id="12258" xr3:uid="{00000000-0010-0000-0000-0000E22F0000}" name="Coluna12253"/>
    <tableColumn id="12259" xr3:uid="{00000000-0010-0000-0000-0000E32F0000}" name="Coluna12254"/>
    <tableColumn id="12260" xr3:uid="{00000000-0010-0000-0000-0000E42F0000}" name="Coluna12255"/>
    <tableColumn id="12261" xr3:uid="{00000000-0010-0000-0000-0000E52F0000}" name="Coluna12256"/>
    <tableColumn id="12262" xr3:uid="{00000000-0010-0000-0000-0000E62F0000}" name="Coluna12257"/>
    <tableColumn id="12263" xr3:uid="{00000000-0010-0000-0000-0000E72F0000}" name="Coluna12258"/>
    <tableColumn id="12264" xr3:uid="{00000000-0010-0000-0000-0000E82F0000}" name="Coluna12259"/>
    <tableColumn id="12265" xr3:uid="{00000000-0010-0000-0000-0000E92F0000}" name="Coluna12260"/>
    <tableColumn id="12266" xr3:uid="{00000000-0010-0000-0000-0000EA2F0000}" name="Coluna12261"/>
    <tableColumn id="12267" xr3:uid="{00000000-0010-0000-0000-0000EB2F0000}" name="Coluna12262"/>
    <tableColumn id="12268" xr3:uid="{00000000-0010-0000-0000-0000EC2F0000}" name="Coluna12263"/>
    <tableColumn id="12269" xr3:uid="{00000000-0010-0000-0000-0000ED2F0000}" name="Coluna12264"/>
    <tableColumn id="12270" xr3:uid="{00000000-0010-0000-0000-0000EE2F0000}" name="Coluna12265"/>
    <tableColumn id="12271" xr3:uid="{00000000-0010-0000-0000-0000EF2F0000}" name="Coluna12266"/>
    <tableColumn id="12272" xr3:uid="{00000000-0010-0000-0000-0000F02F0000}" name="Coluna12267"/>
    <tableColumn id="12273" xr3:uid="{00000000-0010-0000-0000-0000F12F0000}" name="Coluna12268"/>
    <tableColumn id="12274" xr3:uid="{00000000-0010-0000-0000-0000F22F0000}" name="Coluna12269"/>
    <tableColumn id="12275" xr3:uid="{00000000-0010-0000-0000-0000F32F0000}" name="Coluna12270"/>
    <tableColumn id="12276" xr3:uid="{00000000-0010-0000-0000-0000F42F0000}" name="Coluna12271"/>
    <tableColumn id="12277" xr3:uid="{00000000-0010-0000-0000-0000F52F0000}" name="Coluna12272"/>
    <tableColumn id="12278" xr3:uid="{00000000-0010-0000-0000-0000F62F0000}" name="Coluna12273"/>
    <tableColumn id="12279" xr3:uid="{00000000-0010-0000-0000-0000F72F0000}" name="Coluna12274"/>
    <tableColumn id="12280" xr3:uid="{00000000-0010-0000-0000-0000F82F0000}" name="Coluna12275"/>
    <tableColumn id="12281" xr3:uid="{00000000-0010-0000-0000-0000F92F0000}" name="Coluna12276"/>
    <tableColumn id="12282" xr3:uid="{00000000-0010-0000-0000-0000FA2F0000}" name="Coluna12277"/>
    <tableColumn id="12283" xr3:uid="{00000000-0010-0000-0000-0000FB2F0000}" name="Coluna12278"/>
    <tableColumn id="12284" xr3:uid="{00000000-0010-0000-0000-0000FC2F0000}" name="Coluna12279"/>
    <tableColumn id="12285" xr3:uid="{00000000-0010-0000-0000-0000FD2F0000}" name="Coluna12280"/>
    <tableColumn id="12286" xr3:uid="{00000000-0010-0000-0000-0000FE2F0000}" name="Coluna12281"/>
    <tableColumn id="12287" xr3:uid="{00000000-0010-0000-0000-0000FF2F0000}" name="Coluna12282"/>
    <tableColumn id="12288" xr3:uid="{00000000-0010-0000-0000-000000300000}" name="Coluna12283"/>
    <tableColumn id="12289" xr3:uid="{00000000-0010-0000-0000-000001300000}" name="Coluna12284"/>
    <tableColumn id="12290" xr3:uid="{00000000-0010-0000-0000-000002300000}" name="Coluna12285"/>
    <tableColumn id="12291" xr3:uid="{00000000-0010-0000-0000-000003300000}" name="Coluna12286"/>
    <tableColumn id="12292" xr3:uid="{00000000-0010-0000-0000-000004300000}" name="Coluna12287"/>
    <tableColumn id="12293" xr3:uid="{00000000-0010-0000-0000-000005300000}" name="Coluna12288"/>
    <tableColumn id="12294" xr3:uid="{00000000-0010-0000-0000-000006300000}" name="Coluna12289"/>
    <tableColumn id="12295" xr3:uid="{00000000-0010-0000-0000-000007300000}" name="Coluna12290"/>
    <tableColumn id="12296" xr3:uid="{00000000-0010-0000-0000-000008300000}" name="Coluna12291"/>
    <tableColumn id="12297" xr3:uid="{00000000-0010-0000-0000-000009300000}" name="Coluna12292"/>
    <tableColumn id="12298" xr3:uid="{00000000-0010-0000-0000-00000A300000}" name="Coluna12293"/>
    <tableColumn id="12299" xr3:uid="{00000000-0010-0000-0000-00000B300000}" name="Coluna12294"/>
    <tableColumn id="12300" xr3:uid="{00000000-0010-0000-0000-00000C300000}" name="Coluna12295"/>
    <tableColumn id="12301" xr3:uid="{00000000-0010-0000-0000-00000D300000}" name="Coluna12296"/>
    <tableColumn id="12302" xr3:uid="{00000000-0010-0000-0000-00000E300000}" name="Coluna12297"/>
    <tableColumn id="12303" xr3:uid="{00000000-0010-0000-0000-00000F300000}" name="Coluna12298"/>
    <tableColumn id="12304" xr3:uid="{00000000-0010-0000-0000-000010300000}" name="Coluna12299"/>
    <tableColumn id="12305" xr3:uid="{00000000-0010-0000-0000-000011300000}" name="Coluna12300"/>
    <tableColumn id="12306" xr3:uid="{00000000-0010-0000-0000-000012300000}" name="Coluna12301"/>
    <tableColumn id="12307" xr3:uid="{00000000-0010-0000-0000-000013300000}" name="Coluna12302"/>
    <tableColumn id="12308" xr3:uid="{00000000-0010-0000-0000-000014300000}" name="Coluna12303"/>
    <tableColumn id="12309" xr3:uid="{00000000-0010-0000-0000-000015300000}" name="Coluna12304"/>
    <tableColumn id="12310" xr3:uid="{00000000-0010-0000-0000-000016300000}" name="Coluna12305"/>
    <tableColumn id="12311" xr3:uid="{00000000-0010-0000-0000-000017300000}" name="Coluna12306"/>
    <tableColumn id="12312" xr3:uid="{00000000-0010-0000-0000-000018300000}" name="Coluna12307"/>
    <tableColumn id="12313" xr3:uid="{00000000-0010-0000-0000-000019300000}" name="Coluna12308"/>
    <tableColumn id="12314" xr3:uid="{00000000-0010-0000-0000-00001A300000}" name="Coluna12309"/>
    <tableColumn id="12315" xr3:uid="{00000000-0010-0000-0000-00001B300000}" name="Coluna12310"/>
    <tableColumn id="12316" xr3:uid="{00000000-0010-0000-0000-00001C300000}" name="Coluna12311"/>
    <tableColumn id="12317" xr3:uid="{00000000-0010-0000-0000-00001D300000}" name="Coluna12312"/>
    <tableColumn id="12318" xr3:uid="{00000000-0010-0000-0000-00001E300000}" name="Coluna12313"/>
    <tableColumn id="12319" xr3:uid="{00000000-0010-0000-0000-00001F300000}" name="Coluna12314"/>
    <tableColumn id="12320" xr3:uid="{00000000-0010-0000-0000-000020300000}" name="Coluna12315"/>
    <tableColumn id="12321" xr3:uid="{00000000-0010-0000-0000-000021300000}" name="Coluna12316"/>
    <tableColumn id="12322" xr3:uid="{00000000-0010-0000-0000-000022300000}" name="Coluna12317"/>
    <tableColumn id="12323" xr3:uid="{00000000-0010-0000-0000-000023300000}" name="Coluna12318"/>
    <tableColumn id="12324" xr3:uid="{00000000-0010-0000-0000-000024300000}" name="Coluna12319"/>
    <tableColumn id="12325" xr3:uid="{00000000-0010-0000-0000-000025300000}" name="Coluna12320"/>
    <tableColumn id="12326" xr3:uid="{00000000-0010-0000-0000-000026300000}" name="Coluna12321"/>
    <tableColumn id="12327" xr3:uid="{00000000-0010-0000-0000-000027300000}" name="Coluna12322"/>
    <tableColumn id="12328" xr3:uid="{00000000-0010-0000-0000-000028300000}" name="Coluna12323"/>
    <tableColumn id="12329" xr3:uid="{00000000-0010-0000-0000-000029300000}" name="Coluna12324"/>
    <tableColumn id="12330" xr3:uid="{00000000-0010-0000-0000-00002A300000}" name="Coluna12325"/>
    <tableColumn id="12331" xr3:uid="{00000000-0010-0000-0000-00002B300000}" name="Coluna12326"/>
    <tableColumn id="12332" xr3:uid="{00000000-0010-0000-0000-00002C300000}" name="Coluna12327"/>
    <tableColumn id="12333" xr3:uid="{00000000-0010-0000-0000-00002D300000}" name="Coluna12328"/>
    <tableColumn id="12334" xr3:uid="{00000000-0010-0000-0000-00002E300000}" name="Coluna12329"/>
    <tableColumn id="12335" xr3:uid="{00000000-0010-0000-0000-00002F300000}" name="Coluna12330"/>
    <tableColumn id="12336" xr3:uid="{00000000-0010-0000-0000-000030300000}" name="Coluna12331"/>
    <tableColumn id="12337" xr3:uid="{00000000-0010-0000-0000-000031300000}" name="Coluna12332"/>
    <tableColumn id="12338" xr3:uid="{00000000-0010-0000-0000-000032300000}" name="Coluna12333"/>
    <tableColumn id="12339" xr3:uid="{00000000-0010-0000-0000-000033300000}" name="Coluna12334"/>
    <tableColumn id="12340" xr3:uid="{00000000-0010-0000-0000-000034300000}" name="Coluna12335"/>
    <tableColumn id="12341" xr3:uid="{00000000-0010-0000-0000-000035300000}" name="Coluna12336"/>
    <tableColumn id="12342" xr3:uid="{00000000-0010-0000-0000-000036300000}" name="Coluna12337"/>
    <tableColumn id="12343" xr3:uid="{00000000-0010-0000-0000-000037300000}" name="Coluna12338"/>
    <tableColumn id="12344" xr3:uid="{00000000-0010-0000-0000-000038300000}" name="Coluna12339"/>
    <tableColumn id="12345" xr3:uid="{00000000-0010-0000-0000-000039300000}" name="Coluna12340"/>
    <tableColumn id="12346" xr3:uid="{00000000-0010-0000-0000-00003A300000}" name="Coluna12341"/>
    <tableColumn id="12347" xr3:uid="{00000000-0010-0000-0000-00003B300000}" name="Coluna12342"/>
    <tableColumn id="12348" xr3:uid="{00000000-0010-0000-0000-00003C300000}" name="Coluna12343"/>
    <tableColumn id="12349" xr3:uid="{00000000-0010-0000-0000-00003D300000}" name="Coluna12344"/>
    <tableColumn id="12350" xr3:uid="{00000000-0010-0000-0000-00003E300000}" name="Coluna12345"/>
    <tableColumn id="12351" xr3:uid="{00000000-0010-0000-0000-00003F300000}" name="Coluna12346"/>
    <tableColumn id="12352" xr3:uid="{00000000-0010-0000-0000-000040300000}" name="Coluna12347"/>
    <tableColumn id="12353" xr3:uid="{00000000-0010-0000-0000-000041300000}" name="Coluna12348"/>
    <tableColumn id="12354" xr3:uid="{00000000-0010-0000-0000-000042300000}" name="Coluna12349"/>
    <tableColumn id="12355" xr3:uid="{00000000-0010-0000-0000-000043300000}" name="Coluna12350"/>
    <tableColumn id="12356" xr3:uid="{00000000-0010-0000-0000-000044300000}" name="Coluna12351"/>
    <tableColumn id="12357" xr3:uid="{00000000-0010-0000-0000-000045300000}" name="Coluna12352"/>
    <tableColumn id="12358" xr3:uid="{00000000-0010-0000-0000-000046300000}" name="Coluna12353"/>
    <tableColumn id="12359" xr3:uid="{00000000-0010-0000-0000-000047300000}" name="Coluna12354"/>
    <tableColumn id="12360" xr3:uid="{00000000-0010-0000-0000-000048300000}" name="Coluna12355"/>
    <tableColumn id="12361" xr3:uid="{00000000-0010-0000-0000-000049300000}" name="Coluna12356"/>
    <tableColumn id="12362" xr3:uid="{00000000-0010-0000-0000-00004A300000}" name="Coluna12357"/>
    <tableColumn id="12363" xr3:uid="{00000000-0010-0000-0000-00004B300000}" name="Coluna12358"/>
    <tableColumn id="12364" xr3:uid="{00000000-0010-0000-0000-00004C300000}" name="Coluna12359"/>
    <tableColumn id="12365" xr3:uid="{00000000-0010-0000-0000-00004D300000}" name="Coluna12360"/>
    <tableColumn id="12366" xr3:uid="{00000000-0010-0000-0000-00004E300000}" name="Coluna12361"/>
    <tableColumn id="12367" xr3:uid="{00000000-0010-0000-0000-00004F300000}" name="Coluna12362"/>
    <tableColumn id="12368" xr3:uid="{00000000-0010-0000-0000-000050300000}" name="Coluna12363"/>
    <tableColumn id="12369" xr3:uid="{00000000-0010-0000-0000-000051300000}" name="Coluna12364"/>
    <tableColumn id="12370" xr3:uid="{00000000-0010-0000-0000-000052300000}" name="Coluna12365"/>
    <tableColumn id="12371" xr3:uid="{00000000-0010-0000-0000-000053300000}" name="Coluna12366"/>
    <tableColumn id="12372" xr3:uid="{00000000-0010-0000-0000-000054300000}" name="Coluna12367"/>
    <tableColumn id="12373" xr3:uid="{00000000-0010-0000-0000-000055300000}" name="Coluna12368"/>
    <tableColumn id="12374" xr3:uid="{00000000-0010-0000-0000-000056300000}" name="Coluna12369"/>
    <tableColumn id="12375" xr3:uid="{00000000-0010-0000-0000-000057300000}" name="Coluna12370"/>
    <tableColumn id="12376" xr3:uid="{00000000-0010-0000-0000-000058300000}" name="Coluna12371"/>
    <tableColumn id="12377" xr3:uid="{00000000-0010-0000-0000-000059300000}" name="Coluna12372"/>
    <tableColumn id="12378" xr3:uid="{00000000-0010-0000-0000-00005A300000}" name="Coluna12373"/>
    <tableColumn id="12379" xr3:uid="{00000000-0010-0000-0000-00005B300000}" name="Coluna12374"/>
    <tableColumn id="12380" xr3:uid="{00000000-0010-0000-0000-00005C300000}" name="Coluna12375"/>
    <tableColumn id="12381" xr3:uid="{00000000-0010-0000-0000-00005D300000}" name="Coluna12376"/>
    <tableColumn id="12382" xr3:uid="{00000000-0010-0000-0000-00005E300000}" name="Coluna12377"/>
    <tableColumn id="12383" xr3:uid="{00000000-0010-0000-0000-00005F300000}" name="Coluna12378"/>
    <tableColumn id="12384" xr3:uid="{00000000-0010-0000-0000-000060300000}" name="Coluna12379"/>
    <tableColumn id="12385" xr3:uid="{00000000-0010-0000-0000-000061300000}" name="Coluna12380"/>
    <tableColumn id="12386" xr3:uid="{00000000-0010-0000-0000-000062300000}" name="Coluna12381"/>
    <tableColumn id="12387" xr3:uid="{00000000-0010-0000-0000-000063300000}" name="Coluna12382"/>
    <tableColumn id="12388" xr3:uid="{00000000-0010-0000-0000-000064300000}" name="Coluna12383"/>
    <tableColumn id="12389" xr3:uid="{00000000-0010-0000-0000-000065300000}" name="Coluna12384"/>
    <tableColumn id="12390" xr3:uid="{00000000-0010-0000-0000-000066300000}" name="Coluna12385"/>
    <tableColumn id="12391" xr3:uid="{00000000-0010-0000-0000-000067300000}" name="Coluna12386"/>
    <tableColumn id="12392" xr3:uid="{00000000-0010-0000-0000-000068300000}" name="Coluna12387"/>
    <tableColumn id="12393" xr3:uid="{00000000-0010-0000-0000-000069300000}" name="Coluna12388"/>
    <tableColumn id="12394" xr3:uid="{00000000-0010-0000-0000-00006A300000}" name="Coluna12389"/>
    <tableColumn id="12395" xr3:uid="{00000000-0010-0000-0000-00006B300000}" name="Coluna12390"/>
    <tableColumn id="12396" xr3:uid="{00000000-0010-0000-0000-00006C300000}" name="Coluna12391"/>
    <tableColumn id="12397" xr3:uid="{00000000-0010-0000-0000-00006D300000}" name="Coluna12392"/>
    <tableColumn id="12398" xr3:uid="{00000000-0010-0000-0000-00006E300000}" name="Coluna12393"/>
    <tableColumn id="12399" xr3:uid="{00000000-0010-0000-0000-00006F300000}" name="Coluna12394"/>
    <tableColumn id="12400" xr3:uid="{00000000-0010-0000-0000-000070300000}" name="Coluna12395"/>
    <tableColumn id="12401" xr3:uid="{00000000-0010-0000-0000-000071300000}" name="Coluna12396"/>
    <tableColumn id="12402" xr3:uid="{00000000-0010-0000-0000-000072300000}" name="Coluna12397"/>
    <tableColumn id="12403" xr3:uid="{00000000-0010-0000-0000-000073300000}" name="Coluna12398"/>
    <tableColumn id="12404" xr3:uid="{00000000-0010-0000-0000-000074300000}" name="Coluna12399"/>
    <tableColumn id="12405" xr3:uid="{00000000-0010-0000-0000-000075300000}" name="Coluna12400"/>
    <tableColumn id="12406" xr3:uid="{00000000-0010-0000-0000-000076300000}" name="Coluna12401"/>
    <tableColumn id="12407" xr3:uid="{00000000-0010-0000-0000-000077300000}" name="Coluna12402"/>
    <tableColumn id="12408" xr3:uid="{00000000-0010-0000-0000-000078300000}" name="Coluna12403"/>
    <tableColumn id="12409" xr3:uid="{00000000-0010-0000-0000-000079300000}" name="Coluna12404"/>
    <tableColumn id="12410" xr3:uid="{00000000-0010-0000-0000-00007A300000}" name="Coluna12405"/>
    <tableColumn id="12411" xr3:uid="{00000000-0010-0000-0000-00007B300000}" name="Coluna12406"/>
    <tableColumn id="12412" xr3:uid="{00000000-0010-0000-0000-00007C300000}" name="Coluna12407"/>
    <tableColumn id="12413" xr3:uid="{00000000-0010-0000-0000-00007D300000}" name="Coluna12408"/>
    <tableColumn id="12414" xr3:uid="{00000000-0010-0000-0000-00007E300000}" name="Coluna12409"/>
    <tableColumn id="12415" xr3:uid="{00000000-0010-0000-0000-00007F300000}" name="Coluna12410"/>
    <tableColumn id="12416" xr3:uid="{00000000-0010-0000-0000-000080300000}" name="Coluna12411"/>
    <tableColumn id="12417" xr3:uid="{00000000-0010-0000-0000-000081300000}" name="Coluna12412"/>
    <tableColumn id="12418" xr3:uid="{00000000-0010-0000-0000-000082300000}" name="Coluna12413"/>
    <tableColumn id="12419" xr3:uid="{00000000-0010-0000-0000-000083300000}" name="Coluna12414"/>
    <tableColumn id="12420" xr3:uid="{00000000-0010-0000-0000-000084300000}" name="Coluna12415"/>
    <tableColumn id="12421" xr3:uid="{00000000-0010-0000-0000-000085300000}" name="Coluna12416"/>
    <tableColumn id="12422" xr3:uid="{00000000-0010-0000-0000-000086300000}" name="Coluna12417"/>
    <tableColumn id="12423" xr3:uid="{00000000-0010-0000-0000-000087300000}" name="Coluna12418"/>
    <tableColumn id="12424" xr3:uid="{00000000-0010-0000-0000-000088300000}" name="Coluna12419"/>
    <tableColumn id="12425" xr3:uid="{00000000-0010-0000-0000-000089300000}" name="Coluna12420"/>
    <tableColumn id="12426" xr3:uid="{00000000-0010-0000-0000-00008A300000}" name="Coluna12421"/>
    <tableColumn id="12427" xr3:uid="{00000000-0010-0000-0000-00008B300000}" name="Coluna12422"/>
    <tableColumn id="12428" xr3:uid="{00000000-0010-0000-0000-00008C300000}" name="Coluna12423"/>
    <tableColumn id="12429" xr3:uid="{00000000-0010-0000-0000-00008D300000}" name="Coluna12424"/>
    <tableColumn id="12430" xr3:uid="{00000000-0010-0000-0000-00008E300000}" name="Coluna12425"/>
    <tableColumn id="12431" xr3:uid="{00000000-0010-0000-0000-00008F300000}" name="Coluna12426"/>
    <tableColumn id="12432" xr3:uid="{00000000-0010-0000-0000-000090300000}" name="Coluna12427"/>
    <tableColumn id="12433" xr3:uid="{00000000-0010-0000-0000-000091300000}" name="Coluna12428"/>
    <tableColumn id="12434" xr3:uid="{00000000-0010-0000-0000-000092300000}" name="Coluna12429"/>
    <tableColumn id="12435" xr3:uid="{00000000-0010-0000-0000-000093300000}" name="Coluna12430"/>
    <tableColumn id="12436" xr3:uid="{00000000-0010-0000-0000-000094300000}" name="Coluna12431"/>
    <tableColumn id="12437" xr3:uid="{00000000-0010-0000-0000-000095300000}" name="Coluna12432"/>
    <tableColumn id="12438" xr3:uid="{00000000-0010-0000-0000-000096300000}" name="Coluna12433"/>
    <tableColumn id="12439" xr3:uid="{00000000-0010-0000-0000-000097300000}" name="Coluna12434"/>
    <tableColumn id="12440" xr3:uid="{00000000-0010-0000-0000-000098300000}" name="Coluna12435"/>
    <tableColumn id="12441" xr3:uid="{00000000-0010-0000-0000-000099300000}" name="Coluna12436"/>
    <tableColumn id="12442" xr3:uid="{00000000-0010-0000-0000-00009A300000}" name="Coluna12437"/>
    <tableColumn id="12443" xr3:uid="{00000000-0010-0000-0000-00009B300000}" name="Coluna12438"/>
    <tableColumn id="12444" xr3:uid="{00000000-0010-0000-0000-00009C300000}" name="Coluna12439"/>
    <tableColumn id="12445" xr3:uid="{00000000-0010-0000-0000-00009D300000}" name="Coluna12440"/>
    <tableColumn id="12446" xr3:uid="{00000000-0010-0000-0000-00009E300000}" name="Coluna12441"/>
    <tableColumn id="12447" xr3:uid="{00000000-0010-0000-0000-00009F300000}" name="Coluna12442"/>
    <tableColumn id="12448" xr3:uid="{00000000-0010-0000-0000-0000A0300000}" name="Coluna12443"/>
    <tableColumn id="12449" xr3:uid="{00000000-0010-0000-0000-0000A1300000}" name="Coluna12444"/>
    <tableColumn id="12450" xr3:uid="{00000000-0010-0000-0000-0000A2300000}" name="Coluna12445"/>
    <tableColumn id="12451" xr3:uid="{00000000-0010-0000-0000-0000A3300000}" name="Coluna12446"/>
    <tableColumn id="12452" xr3:uid="{00000000-0010-0000-0000-0000A4300000}" name="Coluna12447"/>
    <tableColumn id="12453" xr3:uid="{00000000-0010-0000-0000-0000A5300000}" name="Coluna12448"/>
    <tableColumn id="12454" xr3:uid="{00000000-0010-0000-0000-0000A6300000}" name="Coluna12449"/>
    <tableColumn id="12455" xr3:uid="{00000000-0010-0000-0000-0000A7300000}" name="Coluna12450"/>
    <tableColumn id="12456" xr3:uid="{00000000-0010-0000-0000-0000A8300000}" name="Coluna12451"/>
    <tableColumn id="12457" xr3:uid="{00000000-0010-0000-0000-0000A9300000}" name="Coluna12452"/>
    <tableColumn id="12458" xr3:uid="{00000000-0010-0000-0000-0000AA300000}" name="Coluna12453"/>
    <tableColumn id="12459" xr3:uid="{00000000-0010-0000-0000-0000AB300000}" name="Coluna12454"/>
    <tableColumn id="12460" xr3:uid="{00000000-0010-0000-0000-0000AC300000}" name="Coluna12455"/>
    <tableColumn id="12461" xr3:uid="{00000000-0010-0000-0000-0000AD300000}" name="Coluna12456"/>
    <tableColumn id="12462" xr3:uid="{00000000-0010-0000-0000-0000AE300000}" name="Coluna12457"/>
    <tableColumn id="12463" xr3:uid="{00000000-0010-0000-0000-0000AF300000}" name="Coluna12458"/>
    <tableColumn id="12464" xr3:uid="{00000000-0010-0000-0000-0000B0300000}" name="Coluna12459"/>
    <tableColumn id="12465" xr3:uid="{00000000-0010-0000-0000-0000B1300000}" name="Coluna12460"/>
    <tableColumn id="12466" xr3:uid="{00000000-0010-0000-0000-0000B2300000}" name="Coluna12461"/>
    <tableColumn id="12467" xr3:uid="{00000000-0010-0000-0000-0000B3300000}" name="Coluna12462"/>
    <tableColumn id="12468" xr3:uid="{00000000-0010-0000-0000-0000B4300000}" name="Coluna12463"/>
    <tableColumn id="12469" xr3:uid="{00000000-0010-0000-0000-0000B5300000}" name="Coluna12464"/>
    <tableColumn id="12470" xr3:uid="{00000000-0010-0000-0000-0000B6300000}" name="Coluna12465"/>
    <tableColumn id="12471" xr3:uid="{00000000-0010-0000-0000-0000B7300000}" name="Coluna12466"/>
    <tableColumn id="12472" xr3:uid="{00000000-0010-0000-0000-0000B8300000}" name="Coluna12467"/>
    <tableColumn id="12473" xr3:uid="{00000000-0010-0000-0000-0000B9300000}" name="Coluna12468"/>
    <tableColumn id="12474" xr3:uid="{00000000-0010-0000-0000-0000BA300000}" name="Coluna12469"/>
    <tableColumn id="12475" xr3:uid="{00000000-0010-0000-0000-0000BB300000}" name="Coluna12470"/>
    <tableColumn id="12476" xr3:uid="{00000000-0010-0000-0000-0000BC300000}" name="Coluna12471"/>
    <tableColumn id="12477" xr3:uid="{00000000-0010-0000-0000-0000BD300000}" name="Coluna12472"/>
    <tableColumn id="12478" xr3:uid="{00000000-0010-0000-0000-0000BE300000}" name="Coluna12473"/>
    <tableColumn id="12479" xr3:uid="{00000000-0010-0000-0000-0000BF300000}" name="Coluna12474"/>
    <tableColumn id="12480" xr3:uid="{00000000-0010-0000-0000-0000C0300000}" name="Coluna12475"/>
    <tableColumn id="12481" xr3:uid="{00000000-0010-0000-0000-0000C1300000}" name="Coluna12476"/>
    <tableColumn id="12482" xr3:uid="{00000000-0010-0000-0000-0000C2300000}" name="Coluna12477"/>
    <tableColumn id="12483" xr3:uid="{00000000-0010-0000-0000-0000C3300000}" name="Coluna12478"/>
    <tableColumn id="12484" xr3:uid="{00000000-0010-0000-0000-0000C4300000}" name="Coluna12479"/>
    <tableColumn id="12485" xr3:uid="{00000000-0010-0000-0000-0000C5300000}" name="Coluna12480"/>
    <tableColumn id="12486" xr3:uid="{00000000-0010-0000-0000-0000C6300000}" name="Coluna12481"/>
    <tableColumn id="12487" xr3:uid="{00000000-0010-0000-0000-0000C7300000}" name="Coluna12482"/>
    <tableColumn id="12488" xr3:uid="{00000000-0010-0000-0000-0000C8300000}" name="Coluna12483"/>
    <tableColumn id="12489" xr3:uid="{00000000-0010-0000-0000-0000C9300000}" name="Coluna12484"/>
    <tableColumn id="12490" xr3:uid="{00000000-0010-0000-0000-0000CA300000}" name="Coluna12485"/>
    <tableColumn id="12491" xr3:uid="{00000000-0010-0000-0000-0000CB300000}" name="Coluna12486"/>
    <tableColumn id="12492" xr3:uid="{00000000-0010-0000-0000-0000CC300000}" name="Coluna12487"/>
    <tableColumn id="12493" xr3:uid="{00000000-0010-0000-0000-0000CD300000}" name="Coluna12488"/>
    <tableColumn id="12494" xr3:uid="{00000000-0010-0000-0000-0000CE300000}" name="Coluna12489"/>
    <tableColumn id="12495" xr3:uid="{00000000-0010-0000-0000-0000CF300000}" name="Coluna12490"/>
    <tableColumn id="12496" xr3:uid="{00000000-0010-0000-0000-0000D0300000}" name="Coluna12491"/>
    <tableColumn id="12497" xr3:uid="{00000000-0010-0000-0000-0000D1300000}" name="Coluna12492"/>
    <tableColumn id="12498" xr3:uid="{00000000-0010-0000-0000-0000D2300000}" name="Coluna12493"/>
    <tableColumn id="12499" xr3:uid="{00000000-0010-0000-0000-0000D3300000}" name="Coluna12494"/>
    <tableColumn id="12500" xr3:uid="{00000000-0010-0000-0000-0000D4300000}" name="Coluna12495"/>
    <tableColumn id="12501" xr3:uid="{00000000-0010-0000-0000-0000D5300000}" name="Coluna12496"/>
    <tableColumn id="12502" xr3:uid="{00000000-0010-0000-0000-0000D6300000}" name="Coluna12497"/>
    <tableColumn id="12503" xr3:uid="{00000000-0010-0000-0000-0000D7300000}" name="Coluna12498"/>
    <tableColumn id="12504" xr3:uid="{00000000-0010-0000-0000-0000D8300000}" name="Coluna12499"/>
    <tableColumn id="12505" xr3:uid="{00000000-0010-0000-0000-0000D9300000}" name="Coluna12500"/>
    <tableColumn id="12506" xr3:uid="{00000000-0010-0000-0000-0000DA300000}" name="Coluna12501"/>
    <tableColumn id="12507" xr3:uid="{00000000-0010-0000-0000-0000DB300000}" name="Coluna12502"/>
    <tableColumn id="12508" xr3:uid="{00000000-0010-0000-0000-0000DC300000}" name="Coluna12503"/>
    <tableColumn id="12509" xr3:uid="{00000000-0010-0000-0000-0000DD300000}" name="Coluna12504"/>
    <tableColumn id="12510" xr3:uid="{00000000-0010-0000-0000-0000DE300000}" name="Coluna12505"/>
    <tableColumn id="12511" xr3:uid="{00000000-0010-0000-0000-0000DF300000}" name="Coluna12506"/>
    <tableColumn id="12512" xr3:uid="{00000000-0010-0000-0000-0000E0300000}" name="Coluna12507"/>
    <tableColumn id="12513" xr3:uid="{00000000-0010-0000-0000-0000E1300000}" name="Coluna12508"/>
    <tableColumn id="12514" xr3:uid="{00000000-0010-0000-0000-0000E2300000}" name="Coluna12509"/>
    <tableColumn id="12515" xr3:uid="{00000000-0010-0000-0000-0000E3300000}" name="Coluna12510"/>
    <tableColumn id="12516" xr3:uid="{00000000-0010-0000-0000-0000E4300000}" name="Coluna12511"/>
    <tableColumn id="12517" xr3:uid="{00000000-0010-0000-0000-0000E5300000}" name="Coluna12512"/>
    <tableColumn id="12518" xr3:uid="{00000000-0010-0000-0000-0000E6300000}" name="Coluna12513"/>
    <tableColumn id="12519" xr3:uid="{00000000-0010-0000-0000-0000E7300000}" name="Coluna12514"/>
    <tableColumn id="12520" xr3:uid="{00000000-0010-0000-0000-0000E8300000}" name="Coluna12515"/>
    <tableColumn id="12521" xr3:uid="{00000000-0010-0000-0000-0000E9300000}" name="Coluna12516"/>
    <tableColumn id="12522" xr3:uid="{00000000-0010-0000-0000-0000EA300000}" name="Coluna12517"/>
    <tableColumn id="12523" xr3:uid="{00000000-0010-0000-0000-0000EB300000}" name="Coluna12518"/>
    <tableColumn id="12524" xr3:uid="{00000000-0010-0000-0000-0000EC300000}" name="Coluna12519"/>
    <tableColumn id="12525" xr3:uid="{00000000-0010-0000-0000-0000ED300000}" name="Coluna12520"/>
    <tableColumn id="12526" xr3:uid="{00000000-0010-0000-0000-0000EE300000}" name="Coluna12521"/>
    <tableColumn id="12527" xr3:uid="{00000000-0010-0000-0000-0000EF300000}" name="Coluna12522"/>
    <tableColumn id="12528" xr3:uid="{00000000-0010-0000-0000-0000F0300000}" name="Coluna12523"/>
    <tableColumn id="12529" xr3:uid="{00000000-0010-0000-0000-0000F1300000}" name="Coluna12524"/>
    <tableColumn id="12530" xr3:uid="{00000000-0010-0000-0000-0000F2300000}" name="Coluna12525"/>
    <tableColumn id="12531" xr3:uid="{00000000-0010-0000-0000-0000F3300000}" name="Coluna12526"/>
    <tableColumn id="12532" xr3:uid="{00000000-0010-0000-0000-0000F4300000}" name="Coluna12527"/>
    <tableColumn id="12533" xr3:uid="{00000000-0010-0000-0000-0000F5300000}" name="Coluna12528"/>
    <tableColumn id="12534" xr3:uid="{00000000-0010-0000-0000-0000F6300000}" name="Coluna12529"/>
    <tableColumn id="12535" xr3:uid="{00000000-0010-0000-0000-0000F7300000}" name="Coluna12530"/>
    <tableColumn id="12536" xr3:uid="{00000000-0010-0000-0000-0000F8300000}" name="Coluna12531"/>
    <tableColumn id="12537" xr3:uid="{00000000-0010-0000-0000-0000F9300000}" name="Coluna12532"/>
    <tableColumn id="12538" xr3:uid="{00000000-0010-0000-0000-0000FA300000}" name="Coluna12533"/>
    <tableColumn id="12539" xr3:uid="{00000000-0010-0000-0000-0000FB300000}" name="Coluna12534"/>
    <tableColumn id="12540" xr3:uid="{00000000-0010-0000-0000-0000FC300000}" name="Coluna12535"/>
    <tableColumn id="12541" xr3:uid="{00000000-0010-0000-0000-0000FD300000}" name="Coluna12536"/>
    <tableColumn id="12542" xr3:uid="{00000000-0010-0000-0000-0000FE300000}" name="Coluna12537"/>
    <tableColumn id="12543" xr3:uid="{00000000-0010-0000-0000-0000FF300000}" name="Coluna12538"/>
    <tableColumn id="12544" xr3:uid="{00000000-0010-0000-0000-000000310000}" name="Coluna12539"/>
    <tableColumn id="12545" xr3:uid="{00000000-0010-0000-0000-000001310000}" name="Coluna12540"/>
    <tableColumn id="12546" xr3:uid="{00000000-0010-0000-0000-000002310000}" name="Coluna12541"/>
    <tableColumn id="12547" xr3:uid="{00000000-0010-0000-0000-000003310000}" name="Coluna12542"/>
    <tableColumn id="12548" xr3:uid="{00000000-0010-0000-0000-000004310000}" name="Coluna12543"/>
    <tableColumn id="12549" xr3:uid="{00000000-0010-0000-0000-000005310000}" name="Coluna12544"/>
    <tableColumn id="12550" xr3:uid="{00000000-0010-0000-0000-000006310000}" name="Coluna12545"/>
    <tableColumn id="12551" xr3:uid="{00000000-0010-0000-0000-000007310000}" name="Coluna12546"/>
    <tableColumn id="12552" xr3:uid="{00000000-0010-0000-0000-000008310000}" name="Coluna12547"/>
    <tableColumn id="12553" xr3:uid="{00000000-0010-0000-0000-000009310000}" name="Coluna12548"/>
    <tableColumn id="12554" xr3:uid="{00000000-0010-0000-0000-00000A310000}" name="Coluna12549"/>
    <tableColumn id="12555" xr3:uid="{00000000-0010-0000-0000-00000B310000}" name="Coluna12550"/>
    <tableColumn id="12556" xr3:uid="{00000000-0010-0000-0000-00000C310000}" name="Coluna12551"/>
    <tableColumn id="12557" xr3:uid="{00000000-0010-0000-0000-00000D310000}" name="Coluna12552"/>
    <tableColumn id="12558" xr3:uid="{00000000-0010-0000-0000-00000E310000}" name="Coluna12553"/>
    <tableColumn id="12559" xr3:uid="{00000000-0010-0000-0000-00000F310000}" name="Coluna12554"/>
    <tableColumn id="12560" xr3:uid="{00000000-0010-0000-0000-000010310000}" name="Coluna12555"/>
    <tableColumn id="12561" xr3:uid="{00000000-0010-0000-0000-000011310000}" name="Coluna12556"/>
    <tableColumn id="12562" xr3:uid="{00000000-0010-0000-0000-000012310000}" name="Coluna12557"/>
    <tableColumn id="12563" xr3:uid="{00000000-0010-0000-0000-000013310000}" name="Coluna12558"/>
    <tableColumn id="12564" xr3:uid="{00000000-0010-0000-0000-000014310000}" name="Coluna12559"/>
    <tableColumn id="12565" xr3:uid="{00000000-0010-0000-0000-000015310000}" name="Coluna12560"/>
    <tableColumn id="12566" xr3:uid="{00000000-0010-0000-0000-000016310000}" name="Coluna12561"/>
    <tableColumn id="12567" xr3:uid="{00000000-0010-0000-0000-000017310000}" name="Coluna12562"/>
    <tableColumn id="12568" xr3:uid="{00000000-0010-0000-0000-000018310000}" name="Coluna12563"/>
    <tableColumn id="12569" xr3:uid="{00000000-0010-0000-0000-000019310000}" name="Coluna12564"/>
    <tableColumn id="12570" xr3:uid="{00000000-0010-0000-0000-00001A310000}" name="Coluna12565"/>
    <tableColumn id="12571" xr3:uid="{00000000-0010-0000-0000-00001B310000}" name="Coluna12566"/>
    <tableColumn id="12572" xr3:uid="{00000000-0010-0000-0000-00001C310000}" name="Coluna12567"/>
    <tableColumn id="12573" xr3:uid="{00000000-0010-0000-0000-00001D310000}" name="Coluna12568"/>
    <tableColumn id="12574" xr3:uid="{00000000-0010-0000-0000-00001E310000}" name="Coluna12569"/>
    <tableColumn id="12575" xr3:uid="{00000000-0010-0000-0000-00001F310000}" name="Coluna12570"/>
    <tableColumn id="12576" xr3:uid="{00000000-0010-0000-0000-000020310000}" name="Coluna12571"/>
    <tableColumn id="12577" xr3:uid="{00000000-0010-0000-0000-000021310000}" name="Coluna12572"/>
    <tableColumn id="12578" xr3:uid="{00000000-0010-0000-0000-000022310000}" name="Coluna12573"/>
    <tableColumn id="12579" xr3:uid="{00000000-0010-0000-0000-000023310000}" name="Coluna12574"/>
    <tableColumn id="12580" xr3:uid="{00000000-0010-0000-0000-000024310000}" name="Coluna12575"/>
    <tableColumn id="12581" xr3:uid="{00000000-0010-0000-0000-000025310000}" name="Coluna12576"/>
    <tableColumn id="12582" xr3:uid="{00000000-0010-0000-0000-000026310000}" name="Coluna12577"/>
    <tableColumn id="12583" xr3:uid="{00000000-0010-0000-0000-000027310000}" name="Coluna12578"/>
    <tableColumn id="12584" xr3:uid="{00000000-0010-0000-0000-000028310000}" name="Coluna12579"/>
    <tableColumn id="12585" xr3:uid="{00000000-0010-0000-0000-000029310000}" name="Coluna12580"/>
    <tableColumn id="12586" xr3:uid="{00000000-0010-0000-0000-00002A310000}" name="Coluna12581"/>
    <tableColumn id="12587" xr3:uid="{00000000-0010-0000-0000-00002B310000}" name="Coluna12582"/>
    <tableColumn id="12588" xr3:uid="{00000000-0010-0000-0000-00002C310000}" name="Coluna12583"/>
    <tableColumn id="12589" xr3:uid="{00000000-0010-0000-0000-00002D310000}" name="Coluna12584"/>
    <tableColumn id="12590" xr3:uid="{00000000-0010-0000-0000-00002E310000}" name="Coluna12585"/>
    <tableColumn id="12591" xr3:uid="{00000000-0010-0000-0000-00002F310000}" name="Coluna12586"/>
    <tableColumn id="12592" xr3:uid="{00000000-0010-0000-0000-000030310000}" name="Coluna12587"/>
    <tableColumn id="12593" xr3:uid="{00000000-0010-0000-0000-000031310000}" name="Coluna12588"/>
    <tableColumn id="12594" xr3:uid="{00000000-0010-0000-0000-000032310000}" name="Coluna12589"/>
    <tableColumn id="12595" xr3:uid="{00000000-0010-0000-0000-000033310000}" name="Coluna12590"/>
    <tableColumn id="12596" xr3:uid="{00000000-0010-0000-0000-000034310000}" name="Coluna12591"/>
    <tableColumn id="12597" xr3:uid="{00000000-0010-0000-0000-000035310000}" name="Coluna12592"/>
    <tableColumn id="12598" xr3:uid="{00000000-0010-0000-0000-000036310000}" name="Coluna12593"/>
    <tableColumn id="12599" xr3:uid="{00000000-0010-0000-0000-000037310000}" name="Coluna12594"/>
    <tableColumn id="12600" xr3:uid="{00000000-0010-0000-0000-000038310000}" name="Coluna12595"/>
    <tableColumn id="12601" xr3:uid="{00000000-0010-0000-0000-000039310000}" name="Coluna12596"/>
    <tableColumn id="12602" xr3:uid="{00000000-0010-0000-0000-00003A310000}" name="Coluna12597"/>
    <tableColumn id="12603" xr3:uid="{00000000-0010-0000-0000-00003B310000}" name="Coluna12598"/>
    <tableColumn id="12604" xr3:uid="{00000000-0010-0000-0000-00003C310000}" name="Coluna12599"/>
    <tableColumn id="12605" xr3:uid="{00000000-0010-0000-0000-00003D310000}" name="Coluna12600"/>
    <tableColumn id="12606" xr3:uid="{00000000-0010-0000-0000-00003E310000}" name="Coluna12601"/>
    <tableColumn id="12607" xr3:uid="{00000000-0010-0000-0000-00003F310000}" name="Coluna12602"/>
    <tableColumn id="12608" xr3:uid="{00000000-0010-0000-0000-000040310000}" name="Coluna12603"/>
    <tableColumn id="12609" xr3:uid="{00000000-0010-0000-0000-000041310000}" name="Coluna12604"/>
    <tableColumn id="12610" xr3:uid="{00000000-0010-0000-0000-000042310000}" name="Coluna12605"/>
    <tableColumn id="12611" xr3:uid="{00000000-0010-0000-0000-000043310000}" name="Coluna12606"/>
    <tableColumn id="12612" xr3:uid="{00000000-0010-0000-0000-000044310000}" name="Coluna12607"/>
    <tableColumn id="12613" xr3:uid="{00000000-0010-0000-0000-000045310000}" name="Coluna12608"/>
    <tableColumn id="12614" xr3:uid="{00000000-0010-0000-0000-000046310000}" name="Coluna12609"/>
    <tableColumn id="12615" xr3:uid="{00000000-0010-0000-0000-000047310000}" name="Coluna12610"/>
    <tableColumn id="12616" xr3:uid="{00000000-0010-0000-0000-000048310000}" name="Coluna12611"/>
    <tableColumn id="12617" xr3:uid="{00000000-0010-0000-0000-000049310000}" name="Coluna12612"/>
    <tableColumn id="12618" xr3:uid="{00000000-0010-0000-0000-00004A310000}" name="Coluna12613"/>
    <tableColumn id="12619" xr3:uid="{00000000-0010-0000-0000-00004B310000}" name="Coluna12614"/>
    <tableColumn id="12620" xr3:uid="{00000000-0010-0000-0000-00004C310000}" name="Coluna12615"/>
    <tableColumn id="12621" xr3:uid="{00000000-0010-0000-0000-00004D310000}" name="Coluna12616"/>
    <tableColumn id="12622" xr3:uid="{00000000-0010-0000-0000-00004E310000}" name="Coluna12617"/>
    <tableColumn id="12623" xr3:uid="{00000000-0010-0000-0000-00004F310000}" name="Coluna12618"/>
    <tableColumn id="12624" xr3:uid="{00000000-0010-0000-0000-000050310000}" name="Coluna12619"/>
    <tableColumn id="12625" xr3:uid="{00000000-0010-0000-0000-000051310000}" name="Coluna12620"/>
    <tableColumn id="12626" xr3:uid="{00000000-0010-0000-0000-000052310000}" name="Coluna12621"/>
    <tableColumn id="12627" xr3:uid="{00000000-0010-0000-0000-000053310000}" name="Coluna12622"/>
    <tableColumn id="12628" xr3:uid="{00000000-0010-0000-0000-000054310000}" name="Coluna12623"/>
    <tableColumn id="12629" xr3:uid="{00000000-0010-0000-0000-000055310000}" name="Coluna12624"/>
    <tableColumn id="12630" xr3:uid="{00000000-0010-0000-0000-000056310000}" name="Coluna12625"/>
    <tableColumn id="12631" xr3:uid="{00000000-0010-0000-0000-000057310000}" name="Coluna12626"/>
    <tableColumn id="12632" xr3:uid="{00000000-0010-0000-0000-000058310000}" name="Coluna12627"/>
    <tableColumn id="12633" xr3:uid="{00000000-0010-0000-0000-000059310000}" name="Coluna12628"/>
    <tableColumn id="12634" xr3:uid="{00000000-0010-0000-0000-00005A310000}" name="Coluna12629"/>
    <tableColumn id="12635" xr3:uid="{00000000-0010-0000-0000-00005B310000}" name="Coluna12630"/>
    <tableColumn id="12636" xr3:uid="{00000000-0010-0000-0000-00005C310000}" name="Coluna12631"/>
    <tableColumn id="12637" xr3:uid="{00000000-0010-0000-0000-00005D310000}" name="Coluna12632"/>
    <tableColumn id="12638" xr3:uid="{00000000-0010-0000-0000-00005E310000}" name="Coluna12633"/>
    <tableColumn id="12639" xr3:uid="{00000000-0010-0000-0000-00005F310000}" name="Coluna12634"/>
    <tableColumn id="12640" xr3:uid="{00000000-0010-0000-0000-000060310000}" name="Coluna12635"/>
    <tableColumn id="12641" xr3:uid="{00000000-0010-0000-0000-000061310000}" name="Coluna12636"/>
    <tableColumn id="12642" xr3:uid="{00000000-0010-0000-0000-000062310000}" name="Coluna12637"/>
    <tableColumn id="12643" xr3:uid="{00000000-0010-0000-0000-000063310000}" name="Coluna12638"/>
    <tableColumn id="12644" xr3:uid="{00000000-0010-0000-0000-000064310000}" name="Coluna12639"/>
    <tableColumn id="12645" xr3:uid="{00000000-0010-0000-0000-000065310000}" name="Coluna12640"/>
    <tableColumn id="12646" xr3:uid="{00000000-0010-0000-0000-000066310000}" name="Coluna12641"/>
    <tableColumn id="12647" xr3:uid="{00000000-0010-0000-0000-000067310000}" name="Coluna12642"/>
    <tableColumn id="12648" xr3:uid="{00000000-0010-0000-0000-000068310000}" name="Coluna12643"/>
    <tableColumn id="12649" xr3:uid="{00000000-0010-0000-0000-000069310000}" name="Coluna12644"/>
    <tableColumn id="12650" xr3:uid="{00000000-0010-0000-0000-00006A310000}" name="Coluna12645"/>
    <tableColumn id="12651" xr3:uid="{00000000-0010-0000-0000-00006B310000}" name="Coluna12646"/>
    <tableColumn id="12652" xr3:uid="{00000000-0010-0000-0000-00006C310000}" name="Coluna12647"/>
    <tableColumn id="12653" xr3:uid="{00000000-0010-0000-0000-00006D310000}" name="Coluna12648"/>
    <tableColumn id="12654" xr3:uid="{00000000-0010-0000-0000-00006E310000}" name="Coluna12649"/>
    <tableColumn id="12655" xr3:uid="{00000000-0010-0000-0000-00006F310000}" name="Coluna12650"/>
    <tableColumn id="12656" xr3:uid="{00000000-0010-0000-0000-000070310000}" name="Coluna12651"/>
    <tableColumn id="12657" xr3:uid="{00000000-0010-0000-0000-000071310000}" name="Coluna12652"/>
    <tableColumn id="12658" xr3:uid="{00000000-0010-0000-0000-000072310000}" name="Coluna12653"/>
    <tableColumn id="12659" xr3:uid="{00000000-0010-0000-0000-000073310000}" name="Coluna12654"/>
    <tableColumn id="12660" xr3:uid="{00000000-0010-0000-0000-000074310000}" name="Coluna12655"/>
    <tableColumn id="12661" xr3:uid="{00000000-0010-0000-0000-000075310000}" name="Coluna12656"/>
    <tableColumn id="12662" xr3:uid="{00000000-0010-0000-0000-000076310000}" name="Coluna12657"/>
    <tableColumn id="12663" xr3:uid="{00000000-0010-0000-0000-000077310000}" name="Coluna12658"/>
    <tableColumn id="12664" xr3:uid="{00000000-0010-0000-0000-000078310000}" name="Coluna12659"/>
    <tableColumn id="12665" xr3:uid="{00000000-0010-0000-0000-000079310000}" name="Coluna12660"/>
    <tableColumn id="12666" xr3:uid="{00000000-0010-0000-0000-00007A310000}" name="Coluna12661"/>
    <tableColumn id="12667" xr3:uid="{00000000-0010-0000-0000-00007B310000}" name="Coluna12662"/>
    <tableColumn id="12668" xr3:uid="{00000000-0010-0000-0000-00007C310000}" name="Coluna12663"/>
    <tableColumn id="12669" xr3:uid="{00000000-0010-0000-0000-00007D310000}" name="Coluna12664"/>
    <tableColumn id="12670" xr3:uid="{00000000-0010-0000-0000-00007E310000}" name="Coluna12665"/>
    <tableColumn id="12671" xr3:uid="{00000000-0010-0000-0000-00007F310000}" name="Coluna12666"/>
    <tableColumn id="12672" xr3:uid="{00000000-0010-0000-0000-000080310000}" name="Coluna12667"/>
    <tableColumn id="12673" xr3:uid="{00000000-0010-0000-0000-000081310000}" name="Coluna12668"/>
    <tableColumn id="12674" xr3:uid="{00000000-0010-0000-0000-000082310000}" name="Coluna12669"/>
    <tableColumn id="12675" xr3:uid="{00000000-0010-0000-0000-000083310000}" name="Coluna12670"/>
    <tableColumn id="12676" xr3:uid="{00000000-0010-0000-0000-000084310000}" name="Coluna12671"/>
    <tableColumn id="12677" xr3:uid="{00000000-0010-0000-0000-000085310000}" name="Coluna12672"/>
    <tableColumn id="12678" xr3:uid="{00000000-0010-0000-0000-000086310000}" name="Coluna12673"/>
    <tableColumn id="12679" xr3:uid="{00000000-0010-0000-0000-000087310000}" name="Coluna12674"/>
    <tableColumn id="12680" xr3:uid="{00000000-0010-0000-0000-000088310000}" name="Coluna12675"/>
    <tableColumn id="12681" xr3:uid="{00000000-0010-0000-0000-000089310000}" name="Coluna12676"/>
    <tableColumn id="12682" xr3:uid="{00000000-0010-0000-0000-00008A310000}" name="Coluna12677"/>
    <tableColumn id="12683" xr3:uid="{00000000-0010-0000-0000-00008B310000}" name="Coluna12678"/>
    <tableColumn id="12684" xr3:uid="{00000000-0010-0000-0000-00008C310000}" name="Coluna12679"/>
    <tableColumn id="12685" xr3:uid="{00000000-0010-0000-0000-00008D310000}" name="Coluna12680"/>
    <tableColumn id="12686" xr3:uid="{00000000-0010-0000-0000-00008E310000}" name="Coluna12681"/>
    <tableColumn id="12687" xr3:uid="{00000000-0010-0000-0000-00008F310000}" name="Coluna12682"/>
    <tableColumn id="12688" xr3:uid="{00000000-0010-0000-0000-000090310000}" name="Coluna12683"/>
    <tableColumn id="12689" xr3:uid="{00000000-0010-0000-0000-000091310000}" name="Coluna12684"/>
    <tableColumn id="12690" xr3:uid="{00000000-0010-0000-0000-000092310000}" name="Coluna12685"/>
    <tableColumn id="12691" xr3:uid="{00000000-0010-0000-0000-000093310000}" name="Coluna12686"/>
    <tableColumn id="12692" xr3:uid="{00000000-0010-0000-0000-000094310000}" name="Coluna12687"/>
    <tableColumn id="12693" xr3:uid="{00000000-0010-0000-0000-000095310000}" name="Coluna12688"/>
    <tableColumn id="12694" xr3:uid="{00000000-0010-0000-0000-000096310000}" name="Coluna12689"/>
    <tableColumn id="12695" xr3:uid="{00000000-0010-0000-0000-000097310000}" name="Coluna12690"/>
    <tableColumn id="12696" xr3:uid="{00000000-0010-0000-0000-000098310000}" name="Coluna12691"/>
    <tableColumn id="12697" xr3:uid="{00000000-0010-0000-0000-000099310000}" name="Coluna12692"/>
    <tableColumn id="12698" xr3:uid="{00000000-0010-0000-0000-00009A310000}" name="Coluna12693"/>
    <tableColumn id="12699" xr3:uid="{00000000-0010-0000-0000-00009B310000}" name="Coluna12694"/>
    <tableColumn id="12700" xr3:uid="{00000000-0010-0000-0000-00009C310000}" name="Coluna12695"/>
    <tableColumn id="12701" xr3:uid="{00000000-0010-0000-0000-00009D310000}" name="Coluna12696"/>
    <tableColumn id="12702" xr3:uid="{00000000-0010-0000-0000-00009E310000}" name="Coluna12697"/>
    <tableColumn id="12703" xr3:uid="{00000000-0010-0000-0000-00009F310000}" name="Coluna12698"/>
    <tableColumn id="12704" xr3:uid="{00000000-0010-0000-0000-0000A0310000}" name="Coluna12699"/>
    <tableColumn id="12705" xr3:uid="{00000000-0010-0000-0000-0000A1310000}" name="Coluna12700"/>
    <tableColumn id="12706" xr3:uid="{00000000-0010-0000-0000-0000A2310000}" name="Coluna12701"/>
    <tableColumn id="12707" xr3:uid="{00000000-0010-0000-0000-0000A3310000}" name="Coluna12702"/>
    <tableColumn id="12708" xr3:uid="{00000000-0010-0000-0000-0000A4310000}" name="Coluna12703"/>
    <tableColumn id="12709" xr3:uid="{00000000-0010-0000-0000-0000A5310000}" name="Coluna12704"/>
    <tableColumn id="12710" xr3:uid="{00000000-0010-0000-0000-0000A6310000}" name="Coluna12705"/>
    <tableColumn id="12711" xr3:uid="{00000000-0010-0000-0000-0000A7310000}" name="Coluna12706"/>
    <tableColumn id="12712" xr3:uid="{00000000-0010-0000-0000-0000A8310000}" name="Coluna12707"/>
    <tableColumn id="12713" xr3:uid="{00000000-0010-0000-0000-0000A9310000}" name="Coluna12708"/>
    <tableColumn id="12714" xr3:uid="{00000000-0010-0000-0000-0000AA310000}" name="Coluna12709"/>
    <tableColumn id="12715" xr3:uid="{00000000-0010-0000-0000-0000AB310000}" name="Coluna12710"/>
    <tableColumn id="12716" xr3:uid="{00000000-0010-0000-0000-0000AC310000}" name="Coluna12711"/>
    <tableColumn id="12717" xr3:uid="{00000000-0010-0000-0000-0000AD310000}" name="Coluna12712"/>
    <tableColumn id="12718" xr3:uid="{00000000-0010-0000-0000-0000AE310000}" name="Coluna12713"/>
    <tableColumn id="12719" xr3:uid="{00000000-0010-0000-0000-0000AF310000}" name="Coluna12714"/>
    <tableColumn id="12720" xr3:uid="{00000000-0010-0000-0000-0000B0310000}" name="Coluna12715"/>
    <tableColumn id="12721" xr3:uid="{00000000-0010-0000-0000-0000B1310000}" name="Coluna12716"/>
    <tableColumn id="12722" xr3:uid="{00000000-0010-0000-0000-0000B2310000}" name="Coluna12717"/>
    <tableColumn id="12723" xr3:uid="{00000000-0010-0000-0000-0000B3310000}" name="Coluna12718"/>
    <tableColumn id="12724" xr3:uid="{00000000-0010-0000-0000-0000B4310000}" name="Coluna12719"/>
    <tableColumn id="12725" xr3:uid="{00000000-0010-0000-0000-0000B5310000}" name="Coluna12720"/>
    <tableColumn id="12726" xr3:uid="{00000000-0010-0000-0000-0000B6310000}" name="Coluna12721"/>
    <tableColumn id="12727" xr3:uid="{00000000-0010-0000-0000-0000B7310000}" name="Coluna12722"/>
    <tableColumn id="12728" xr3:uid="{00000000-0010-0000-0000-0000B8310000}" name="Coluna12723"/>
    <tableColumn id="12729" xr3:uid="{00000000-0010-0000-0000-0000B9310000}" name="Coluna12724"/>
    <tableColumn id="12730" xr3:uid="{00000000-0010-0000-0000-0000BA310000}" name="Coluna12725"/>
    <tableColumn id="12731" xr3:uid="{00000000-0010-0000-0000-0000BB310000}" name="Coluna12726"/>
    <tableColumn id="12732" xr3:uid="{00000000-0010-0000-0000-0000BC310000}" name="Coluna12727"/>
    <tableColumn id="12733" xr3:uid="{00000000-0010-0000-0000-0000BD310000}" name="Coluna12728"/>
    <tableColumn id="12734" xr3:uid="{00000000-0010-0000-0000-0000BE310000}" name="Coluna12729"/>
    <tableColumn id="12735" xr3:uid="{00000000-0010-0000-0000-0000BF310000}" name="Coluna12730"/>
    <tableColumn id="12736" xr3:uid="{00000000-0010-0000-0000-0000C0310000}" name="Coluna12731"/>
    <tableColumn id="12737" xr3:uid="{00000000-0010-0000-0000-0000C1310000}" name="Coluna12732"/>
    <tableColumn id="12738" xr3:uid="{00000000-0010-0000-0000-0000C2310000}" name="Coluna12733"/>
    <tableColumn id="12739" xr3:uid="{00000000-0010-0000-0000-0000C3310000}" name="Coluna12734"/>
    <tableColumn id="12740" xr3:uid="{00000000-0010-0000-0000-0000C4310000}" name="Coluna12735"/>
    <tableColumn id="12741" xr3:uid="{00000000-0010-0000-0000-0000C5310000}" name="Coluna12736"/>
    <tableColumn id="12742" xr3:uid="{00000000-0010-0000-0000-0000C6310000}" name="Coluna12737"/>
    <tableColumn id="12743" xr3:uid="{00000000-0010-0000-0000-0000C7310000}" name="Coluna12738"/>
    <tableColumn id="12744" xr3:uid="{00000000-0010-0000-0000-0000C8310000}" name="Coluna12739"/>
    <tableColumn id="12745" xr3:uid="{00000000-0010-0000-0000-0000C9310000}" name="Coluna12740"/>
    <tableColumn id="12746" xr3:uid="{00000000-0010-0000-0000-0000CA310000}" name="Coluna12741"/>
    <tableColumn id="12747" xr3:uid="{00000000-0010-0000-0000-0000CB310000}" name="Coluna12742"/>
    <tableColumn id="12748" xr3:uid="{00000000-0010-0000-0000-0000CC310000}" name="Coluna12743"/>
    <tableColumn id="12749" xr3:uid="{00000000-0010-0000-0000-0000CD310000}" name="Coluna12744"/>
    <tableColumn id="12750" xr3:uid="{00000000-0010-0000-0000-0000CE310000}" name="Coluna12745"/>
    <tableColumn id="12751" xr3:uid="{00000000-0010-0000-0000-0000CF310000}" name="Coluna12746"/>
    <tableColumn id="12752" xr3:uid="{00000000-0010-0000-0000-0000D0310000}" name="Coluna12747"/>
    <tableColumn id="12753" xr3:uid="{00000000-0010-0000-0000-0000D1310000}" name="Coluna12748"/>
    <tableColumn id="12754" xr3:uid="{00000000-0010-0000-0000-0000D2310000}" name="Coluna12749"/>
    <tableColumn id="12755" xr3:uid="{00000000-0010-0000-0000-0000D3310000}" name="Coluna12750"/>
    <tableColumn id="12756" xr3:uid="{00000000-0010-0000-0000-0000D4310000}" name="Coluna12751"/>
    <tableColumn id="12757" xr3:uid="{00000000-0010-0000-0000-0000D5310000}" name="Coluna12752"/>
    <tableColumn id="12758" xr3:uid="{00000000-0010-0000-0000-0000D6310000}" name="Coluna12753"/>
    <tableColumn id="12759" xr3:uid="{00000000-0010-0000-0000-0000D7310000}" name="Coluna12754"/>
    <tableColumn id="12760" xr3:uid="{00000000-0010-0000-0000-0000D8310000}" name="Coluna12755"/>
    <tableColumn id="12761" xr3:uid="{00000000-0010-0000-0000-0000D9310000}" name="Coluna12756"/>
    <tableColumn id="12762" xr3:uid="{00000000-0010-0000-0000-0000DA310000}" name="Coluna12757"/>
    <tableColumn id="12763" xr3:uid="{00000000-0010-0000-0000-0000DB310000}" name="Coluna12758"/>
    <tableColumn id="12764" xr3:uid="{00000000-0010-0000-0000-0000DC310000}" name="Coluna12759"/>
    <tableColumn id="12765" xr3:uid="{00000000-0010-0000-0000-0000DD310000}" name="Coluna12760"/>
    <tableColumn id="12766" xr3:uid="{00000000-0010-0000-0000-0000DE310000}" name="Coluna12761"/>
    <tableColumn id="12767" xr3:uid="{00000000-0010-0000-0000-0000DF310000}" name="Coluna12762"/>
    <tableColumn id="12768" xr3:uid="{00000000-0010-0000-0000-0000E0310000}" name="Coluna12763"/>
    <tableColumn id="12769" xr3:uid="{00000000-0010-0000-0000-0000E1310000}" name="Coluna12764"/>
    <tableColumn id="12770" xr3:uid="{00000000-0010-0000-0000-0000E2310000}" name="Coluna12765"/>
    <tableColumn id="12771" xr3:uid="{00000000-0010-0000-0000-0000E3310000}" name="Coluna12766"/>
    <tableColumn id="12772" xr3:uid="{00000000-0010-0000-0000-0000E4310000}" name="Coluna12767"/>
    <tableColumn id="12773" xr3:uid="{00000000-0010-0000-0000-0000E5310000}" name="Coluna12768"/>
    <tableColumn id="12774" xr3:uid="{00000000-0010-0000-0000-0000E6310000}" name="Coluna12769"/>
    <tableColumn id="12775" xr3:uid="{00000000-0010-0000-0000-0000E7310000}" name="Coluna12770"/>
    <tableColumn id="12776" xr3:uid="{00000000-0010-0000-0000-0000E8310000}" name="Coluna12771"/>
    <tableColumn id="12777" xr3:uid="{00000000-0010-0000-0000-0000E9310000}" name="Coluna12772"/>
    <tableColumn id="12778" xr3:uid="{00000000-0010-0000-0000-0000EA310000}" name="Coluna12773"/>
    <tableColumn id="12779" xr3:uid="{00000000-0010-0000-0000-0000EB310000}" name="Coluna12774"/>
    <tableColumn id="12780" xr3:uid="{00000000-0010-0000-0000-0000EC310000}" name="Coluna12775"/>
    <tableColumn id="12781" xr3:uid="{00000000-0010-0000-0000-0000ED310000}" name="Coluna12776"/>
    <tableColumn id="12782" xr3:uid="{00000000-0010-0000-0000-0000EE310000}" name="Coluna12777"/>
    <tableColumn id="12783" xr3:uid="{00000000-0010-0000-0000-0000EF310000}" name="Coluna12778"/>
    <tableColumn id="12784" xr3:uid="{00000000-0010-0000-0000-0000F0310000}" name="Coluna12779"/>
    <tableColumn id="12785" xr3:uid="{00000000-0010-0000-0000-0000F1310000}" name="Coluna12780"/>
    <tableColumn id="12786" xr3:uid="{00000000-0010-0000-0000-0000F2310000}" name="Coluna12781"/>
    <tableColumn id="12787" xr3:uid="{00000000-0010-0000-0000-0000F3310000}" name="Coluna12782"/>
    <tableColumn id="12788" xr3:uid="{00000000-0010-0000-0000-0000F4310000}" name="Coluna12783"/>
    <tableColumn id="12789" xr3:uid="{00000000-0010-0000-0000-0000F5310000}" name="Coluna12784"/>
    <tableColumn id="12790" xr3:uid="{00000000-0010-0000-0000-0000F6310000}" name="Coluna12785"/>
    <tableColumn id="12791" xr3:uid="{00000000-0010-0000-0000-0000F7310000}" name="Coluna12786"/>
    <tableColumn id="12792" xr3:uid="{00000000-0010-0000-0000-0000F8310000}" name="Coluna12787"/>
    <tableColumn id="12793" xr3:uid="{00000000-0010-0000-0000-0000F9310000}" name="Coluna12788"/>
    <tableColumn id="12794" xr3:uid="{00000000-0010-0000-0000-0000FA310000}" name="Coluna12789"/>
    <tableColumn id="12795" xr3:uid="{00000000-0010-0000-0000-0000FB310000}" name="Coluna12790"/>
    <tableColumn id="12796" xr3:uid="{00000000-0010-0000-0000-0000FC310000}" name="Coluna12791"/>
    <tableColumn id="12797" xr3:uid="{00000000-0010-0000-0000-0000FD310000}" name="Coluna12792"/>
    <tableColumn id="12798" xr3:uid="{00000000-0010-0000-0000-0000FE310000}" name="Coluna12793"/>
    <tableColumn id="12799" xr3:uid="{00000000-0010-0000-0000-0000FF310000}" name="Coluna12794"/>
    <tableColumn id="12800" xr3:uid="{00000000-0010-0000-0000-000000320000}" name="Coluna12795"/>
    <tableColumn id="12801" xr3:uid="{00000000-0010-0000-0000-000001320000}" name="Coluna12796"/>
    <tableColumn id="12802" xr3:uid="{00000000-0010-0000-0000-000002320000}" name="Coluna12797"/>
    <tableColumn id="12803" xr3:uid="{00000000-0010-0000-0000-000003320000}" name="Coluna12798"/>
    <tableColumn id="12804" xr3:uid="{00000000-0010-0000-0000-000004320000}" name="Coluna12799"/>
    <tableColumn id="12805" xr3:uid="{00000000-0010-0000-0000-000005320000}" name="Coluna12800"/>
    <tableColumn id="12806" xr3:uid="{00000000-0010-0000-0000-000006320000}" name="Coluna12801"/>
    <tableColumn id="12807" xr3:uid="{00000000-0010-0000-0000-000007320000}" name="Coluna12802"/>
    <tableColumn id="12808" xr3:uid="{00000000-0010-0000-0000-000008320000}" name="Coluna12803"/>
    <tableColumn id="12809" xr3:uid="{00000000-0010-0000-0000-000009320000}" name="Coluna12804"/>
    <tableColumn id="12810" xr3:uid="{00000000-0010-0000-0000-00000A320000}" name="Coluna12805"/>
    <tableColumn id="12811" xr3:uid="{00000000-0010-0000-0000-00000B320000}" name="Coluna12806"/>
    <tableColumn id="12812" xr3:uid="{00000000-0010-0000-0000-00000C320000}" name="Coluna12807"/>
    <tableColumn id="12813" xr3:uid="{00000000-0010-0000-0000-00000D320000}" name="Coluna12808"/>
    <tableColumn id="12814" xr3:uid="{00000000-0010-0000-0000-00000E320000}" name="Coluna12809"/>
    <tableColumn id="12815" xr3:uid="{00000000-0010-0000-0000-00000F320000}" name="Coluna12810"/>
    <tableColumn id="12816" xr3:uid="{00000000-0010-0000-0000-000010320000}" name="Coluna12811"/>
    <tableColumn id="12817" xr3:uid="{00000000-0010-0000-0000-000011320000}" name="Coluna12812"/>
    <tableColumn id="12818" xr3:uid="{00000000-0010-0000-0000-000012320000}" name="Coluna12813"/>
    <tableColumn id="12819" xr3:uid="{00000000-0010-0000-0000-000013320000}" name="Coluna12814"/>
    <tableColumn id="12820" xr3:uid="{00000000-0010-0000-0000-000014320000}" name="Coluna12815"/>
    <tableColumn id="12821" xr3:uid="{00000000-0010-0000-0000-000015320000}" name="Coluna12816"/>
    <tableColumn id="12822" xr3:uid="{00000000-0010-0000-0000-000016320000}" name="Coluna12817"/>
    <tableColumn id="12823" xr3:uid="{00000000-0010-0000-0000-000017320000}" name="Coluna12818"/>
    <tableColumn id="12824" xr3:uid="{00000000-0010-0000-0000-000018320000}" name="Coluna12819"/>
    <tableColumn id="12825" xr3:uid="{00000000-0010-0000-0000-000019320000}" name="Coluna12820"/>
    <tableColumn id="12826" xr3:uid="{00000000-0010-0000-0000-00001A320000}" name="Coluna12821"/>
    <tableColumn id="12827" xr3:uid="{00000000-0010-0000-0000-00001B320000}" name="Coluna12822"/>
    <tableColumn id="12828" xr3:uid="{00000000-0010-0000-0000-00001C320000}" name="Coluna12823"/>
    <tableColumn id="12829" xr3:uid="{00000000-0010-0000-0000-00001D320000}" name="Coluna12824"/>
    <tableColumn id="12830" xr3:uid="{00000000-0010-0000-0000-00001E320000}" name="Coluna12825"/>
    <tableColumn id="12831" xr3:uid="{00000000-0010-0000-0000-00001F320000}" name="Coluna12826"/>
    <tableColumn id="12832" xr3:uid="{00000000-0010-0000-0000-000020320000}" name="Coluna12827"/>
    <tableColumn id="12833" xr3:uid="{00000000-0010-0000-0000-000021320000}" name="Coluna12828"/>
    <tableColumn id="12834" xr3:uid="{00000000-0010-0000-0000-000022320000}" name="Coluna12829"/>
    <tableColumn id="12835" xr3:uid="{00000000-0010-0000-0000-000023320000}" name="Coluna12830"/>
    <tableColumn id="12836" xr3:uid="{00000000-0010-0000-0000-000024320000}" name="Coluna12831"/>
    <tableColumn id="12837" xr3:uid="{00000000-0010-0000-0000-000025320000}" name="Coluna12832"/>
    <tableColumn id="12838" xr3:uid="{00000000-0010-0000-0000-000026320000}" name="Coluna12833"/>
    <tableColumn id="12839" xr3:uid="{00000000-0010-0000-0000-000027320000}" name="Coluna12834"/>
    <tableColumn id="12840" xr3:uid="{00000000-0010-0000-0000-000028320000}" name="Coluna12835"/>
    <tableColumn id="12841" xr3:uid="{00000000-0010-0000-0000-000029320000}" name="Coluna12836"/>
    <tableColumn id="12842" xr3:uid="{00000000-0010-0000-0000-00002A320000}" name="Coluna12837"/>
    <tableColumn id="12843" xr3:uid="{00000000-0010-0000-0000-00002B320000}" name="Coluna12838"/>
    <tableColumn id="12844" xr3:uid="{00000000-0010-0000-0000-00002C320000}" name="Coluna12839"/>
    <tableColumn id="12845" xr3:uid="{00000000-0010-0000-0000-00002D320000}" name="Coluna12840"/>
    <tableColumn id="12846" xr3:uid="{00000000-0010-0000-0000-00002E320000}" name="Coluna12841"/>
    <tableColumn id="12847" xr3:uid="{00000000-0010-0000-0000-00002F320000}" name="Coluna12842"/>
    <tableColumn id="12848" xr3:uid="{00000000-0010-0000-0000-000030320000}" name="Coluna12843"/>
    <tableColumn id="12849" xr3:uid="{00000000-0010-0000-0000-000031320000}" name="Coluna12844"/>
    <tableColumn id="12850" xr3:uid="{00000000-0010-0000-0000-000032320000}" name="Coluna12845"/>
    <tableColumn id="12851" xr3:uid="{00000000-0010-0000-0000-000033320000}" name="Coluna12846"/>
    <tableColumn id="12852" xr3:uid="{00000000-0010-0000-0000-000034320000}" name="Coluna12847"/>
    <tableColumn id="12853" xr3:uid="{00000000-0010-0000-0000-000035320000}" name="Coluna12848"/>
    <tableColumn id="12854" xr3:uid="{00000000-0010-0000-0000-000036320000}" name="Coluna12849"/>
    <tableColumn id="12855" xr3:uid="{00000000-0010-0000-0000-000037320000}" name="Coluna12850"/>
    <tableColumn id="12856" xr3:uid="{00000000-0010-0000-0000-000038320000}" name="Coluna12851"/>
    <tableColumn id="12857" xr3:uid="{00000000-0010-0000-0000-000039320000}" name="Coluna12852"/>
    <tableColumn id="12858" xr3:uid="{00000000-0010-0000-0000-00003A320000}" name="Coluna12853"/>
    <tableColumn id="12859" xr3:uid="{00000000-0010-0000-0000-00003B320000}" name="Coluna12854"/>
    <tableColumn id="12860" xr3:uid="{00000000-0010-0000-0000-00003C320000}" name="Coluna12855"/>
    <tableColumn id="12861" xr3:uid="{00000000-0010-0000-0000-00003D320000}" name="Coluna12856"/>
    <tableColumn id="12862" xr3:uid="{00000000-0010-0000-0000-00003E320000}" name="Coluna12857"/>
    <tableColumn id="12863" xr3:uid="{00000000-0010-0000-0000-00003F320000}" name="Coluna12858"/>
    <tableColumn id="12864" xr3:uid="{00000000-0010-0000-0000-000040320000}" name="Coluna12859"/>
    <tableColumn id="12865" xr3:uid="{00000000-0010-0000-0000-000041320000}" name="Coluna12860"/>
    <tableColumn id="12866" xr3:uid="{00000000-0010-0000-0000-000042320000}" name="Coluna12861"/>
    <tableColumn id="12867" xr3:uid="{00000000-0010-0000-0000-000043320000}" name="Coluna12862"/>
    <tableColumn id="12868" xr3:uid="{00000000-0010-0000-0000-000044320000}" name="Coluna12863"/>
    <tableColumn id="12869" xr3:uid="{00000000-0010-0000-0000-000045320000}" name="Coluna12864"/>
    <tableColumn id="12870" xr3:uid="{00000000-0010-0000-0000-000046320000}" name="Coluna12865"/>
    <tableColumn id="12871" xr3:uid="{00000000-0010-0000-0000-000047320000}" name="Coluna12866"/>
    <tableColumn id="12872" xr3:uid="{00000000-0010-0000-0000-000048320000}" name="Coluna12867"/>
    <tableColumn id="12873" xr3:uid="{00000000-0010-0000-0000-000049320000}" name="Coluna12868"/>
    <tableColumn id="12874" xr3:uid="{00000000-0010-0000-0000-00004A320000}" name="Coluna12869"/>
    <tableColumn id="12875" xr3:uid="{00000000-0010-0000-0000-00004B320000}" name="Coluna12870"/>
    <tableColumn id="12876" xr3:uid="{00000000-0010-0000-0000-00004C320000}" name="Coluna12871"/>
    <tableColumn id="12877" xr3:uid="{00000000-0010-0000-0000-00004D320000}" name="Coluna12872"/>
    <tableColumn id="12878" xr3:uid="{00000000-0010-0000-0000-00004E320000}" name="Coluna12873"/>
    <tableColumn id="12879" xr3:uid="{00000000-0010-0000-0000-00004F320000}" name="Coluna12874"/>
    <tableColumn id="12880" xr3:uid="{00000000-0010-0000-0000-000050320000}" name="Coluna12875"/>
    <tableColumn id="12881" xr3:uid="{00000000-0010-0000-0000-000051320000}" name="Coluna12876"/>
    <tableColumn id="12882" xr3:uid="{00000000-0010-0000-0000-000052320000}" name="Coluna12877"/>
    <tableColumn id="12883" xr3:uid="{00000000-0010-0000-0000-000053320000}" name="Coluna12878"/>
    <tableColumn id="12884" xr3:uid="{00000000-0010-0000-0000-000054320000}" name="Coluna12879"/>
    <tableColumn id="12885" xr3:uid="{00000000-0010-0000-0000-000055320000}" name="Coluna12880"/>
    <tableColumn id="12886" xr3:uid="{00000000-0010-0000-0000-000056320000}" name="Coluna12881"/>
    <tableColumn id="12887" xr3:uid="{00000000-0010-0000-0000-000057320000}" name="Coluna12882"/>
    <tableColumn id="12888" xr3:uid="{00000000-0010-0000-0000-000058320000}" name="Coluna12883"/>
    <tableColumn id="12889" xr3:uid="{00000000-0010-0000-0000-000059320000}" name="Coluna12884"/>
    <tableColumn id="12890" xr3:uid="{00000000-0010-0000-0000-00005A320000}" name="Coluna12885"/>
    <tableColumn id="12891" xr3:uid="{00000000-0010-0000-0000-00005B320000}" name="Coluna12886"/>
    <tableColumn id="12892" xr3:uid="{00000000-0010-0000-0000-00005C320000}" name="Coluna12887"/>
    <tableColumn id="12893" xr3:uid="{00000000-0010-0000-0000-00005D320000}" name="Coluna12888"/>
    <tableColumn id="12894" xr3:uid="{00000000-0010-0000-0000-00005E320000}" name="Coluna12889"/>
    <tableColumn id="12895" xr3:uid="{00000000-0010-0000-0000-00005F320000}" name="Coluna12890"/>
    <tableColumn id="12896" xr3:uid="{00000000-0010-0000-0000-000060320000}" name="Coluna12891"/>
    <tableColumn id="12897" xr3:uid="{00000000-0010-0000-0000-000061320000}" name="Coluna12892"/>
    <tableColumn id="12898" xr3:uid="{00000000-0010-0000-0000-000062320000}" name="Coluna12893"/>
    <tableColumn id="12899" xr3:uid="{00000000-0010-0000-0000-000063320000}" name="Coluna12894"/>
    <tableColumn id="12900" xr3:uid="{00000000-0010-0000-0000-000064320000}" name="Coluna12895"/>
    <tableColumn id="12901" xr3:uid="{00000000-0010-0000-0000-000065320000}" name="Coluna12896"/>
    <tableColumn id="12902" xr3:uid="{00000000-0010-0000-0000-000066320000}" name="Coluna12897"/>
    <tableColumn id="12903" xr3:uid="{00000000-0010-0000-0000-000067320000}" name="Coluna12898"/>
    <tableColumn id="12904" xr3:uid="{00000000-0010-0000-0000-000068320000}" name="Coluna12899"/>
    <tableColumn id="12905" xr3:uid="{00000000-0010-0000-0000-000069320000}" name="Coluna12900"/>
    <tableColumn id="12906" xr3:uid="{00000000-0010-0000-0000-00006A320000}" name="Coluna12901"/>
    <tableColumn id="12907" xr3:uid="{00000000-0010-0000-0000-00006B320000}" name="Coluna12902"/>
    <tableColumn id="12908" xr3:uid="{00000000-0010-0000-0000-00006C320000}" name="Coluna12903"/>
    <tableColumn id="12909" xr3:uid="{00000000-0010-0000-0000-00006D320000}" name="Coluna12904"/>
    <tableColumn id="12910" xr3:uid="{00000000-0010-0000-0000-00006E320000}" name="Coluna12905"/>
    <tableColumn id="12911" xr3:uid="{00000000-0010-0000-0000-00006F320000}" name="Coluna12906"/>
    <tableColumn id="12912" xr3:uid="{00000000-0010-0000-0000-000070320000}" name="Coluna12907"/>
    <tableColumn id="12913" xr3:uid="{00000000-0010-0000-0000-000071320000}" name="Coluna12908"/>
    <tableColumn id="12914" xr3:uid="{00000000-0010-0000-0000-000072320000}" name="Coluna12909"/>
    <tableColumn id="12915" xr3:uid="{00000000-0010-0000-0000-000073320000}" name="Coluna12910"/>
    <tableColumn id="12916" xr3:uid="{00000000-0010-0000-0000-000074320000}" name="Coluna12911"/>
    <tableColumn id="12917" xr3:uid="{00000000-0010-0000-0000-000075320000}" name="Coluna12912"/>
    <tableColumn id="12918" xr3:uid="{00000000-0010-0000-0000-000076320000}" name="Coluna12913"/>
    <tableColumn id="12919" xr3:uid="{00000000-0010-0000-0000-000077320000}" name="Coluna12914"/>
    <tableColumn id="12920" xr3:uid="{00000000-0010-0000-0000-000078320000}" name="Coluna12915"/>
    <tableColumn id="12921" xr3:uid="{00000000-0010-0000-0000-000079320000}" name="Coluna12916"/>
    <tableColumn id="12922" xr3:uid="{00000000-0010-0000-0000-00007A320000}" name="Coluna12917"/>
    <tableColumn id="12923" xr3:uid="{00000000-0010-0000-0000-00007B320000}" name="Coluna12918"/>
    <tableColumn id="12924" xr3:uid="{00000000-0010-0000-0000-00007C320000}" name="Coluna12919"/>
    <tableColumn id="12925" xr3:uid="{00000000-0010-0000-0000-00007D320000}" name="Coluna12920"/>
    <tableColumn id="12926" xr3:uid="{00000000-0010-0000-0000-00007E320000}" name="Coluna12921"/>
    <tableColumn id="12927" xr3:uid="{00000000-0010-0000-0000-00007F320000}" name="Coluna12922"/>
    <tableColumn id="12928" xr3:uid="{00000000-0010-0000-0000-000080320000}" name="Coluna12923"/>
    <tableColumn id="12929" xr3:uid="{00000000-0010-0000-0000-000081320000}" name="Coluna12924"/>
    <tableColumn id="12930" xr3:uid="{00000000-0010-0000-0000-000082320000}" name="Coluna12925"/>
    <tableColumn id="12931" xr3:uid="{00000000-0010-0000-0000-000083320000}" name="Coluna12926"/>
    <tableColumn id="12932" xr3:uid="{00000000-0010-0000-0000-000084320000}" name="Coluna12927"/>
    <tableColumn id="12933" xr3:uid="{00000000-0010-0000-0000-000085320000}" name="Coluna12928"/>
    <tableColumn id="12934" xr3:uid="{00000000-0010-0000-0000-000086320000}" name="Coluna12929"/>
    <tableColumn id="12935" xr3:uid="{00000000-0010-0000-0000-000087320000}" name="Coluna12930"/>
    <tableColumn id="12936" xr3:uid="{00000000-0010-0000-0000-000088320000}" name="Coluna12931"/>
    <tableColumn id="12937" xr3:uid="{00000000-0010-0000-0000-000089320000}" name="Coluna12932"/>
    <tableColumn id="12938" xr3:uid="{00000000-0010-0000-0000-00008A320000}" name="Coluna12933"/>
    <tableColumn id="12939" xr3:uid="{00000000-0010-0000-0000-00008B320000}" name="Coluna12934"/>
    <tableColumn id="12940" xr3:uid="{00000000-0010-0000-0000-00008C320000}" name="Coluna12935"/>
    <tableColumn id="12941" xr3:uid="{00000000-0010-0000-0000-00008D320000}" name="Coluna12936"/>
    <tableColumn id="12942" xr3:uid="{00000000-0010-0000-0000-00008E320000}" name="Coluna12937"/>
    <tableColumn id="12943" xr3:uid="{00000000-0010-0000-0000-00008F320000}" name="Coluna12938"/>
    <tableColumn id="12944" xr3:uid="{00000000-0010-0000-0000-000090320000}" name="Coluna12939"/>
    <tableColumn id="12945" xr3:uid="{00000000-0010-0000-0000-000091320000}" name="Coluna12940"/>
    <tableColumn id="12946" xr3:uid="{00000000-0010-0000-0000-000092320000}" name="Coluna12941"/>
    <tableColumn id="12947" xr3:uid="{00000000-0010-0000-0000-000093320000}" name="Coluna12942"/>
    <tableColumn id="12948" xr3:uid="{00000000-0010-0000-0000-000094320000}" name="Coluna12943"/>
    <tableColumn id="12949" xr3:uid="{00000000-0010-0000-0000-000095320000}" name="Coluna12944"/>
    <tableColumn id="12950" xr3:uid="{00000000-0010-0000-0000-000096320000}" name="Coluna12945"/>
    <tableColumn id="12951" xr3:uid="{00000000-0010-0000-0000-000097320000}" name="Coluna12946"/>
    <tableColumn id="12952" xr3:uid="{00000000-0010-0000-0000-000098320000}" name="Coluna12947"/>
    <tableColumn id="12953" xr3:uid="{00000000-0010-0000-0000-000099320000}" name="Coluna12948"/>
    <tableColumn id="12954" xr3:uid="{00000000-0010-0000-0000-00009A320000}" name="Coluna12949"/>
    <tableColumn id="12955" xr3:uid="{00000000-0010-0000-0000-00009B320000}" name="Coluna12950"/>
    <tableColumn id="12956" xr3:uid="{00000000-0010-0000-0000-00009C320000}" name="Coluna12951"/>
    <tableColumn id="12957" xr3:uid="{00000000-0010-0000-0000-00009D320000}" name="Coluna12952"/>
    <tableColumn id="12958" xr3:uid="{00000000-0010-0000-0000-00009E320000}" name="Coluna12953"/>
    <tableColumn id="12959" xr3:uid="{00000000-0010-0000-0000-00009F320000}" name="Coluna12954"/>
    <tableColumn id="12960" xr3:uid="{00000000-0010-0000-0000-0000A0320000}" name="Coluna12955"/>
    <tableColumn id="12961" xr3:uid="{00000000-0010-0000-0000-0000A1320000}" name="Coluna12956"/>
    <tableColumn id="12962" xr3:uid="{00000000-0010-0000-0000-0000A2320000}" name="Coluna12957"/>
    <tableColumn id="12963" xr3:uid="{00000000-0010-0000-0000-0000A3320000}" name="Coluna12958"/>
    <tableColumn id="12964" xr3:uid="{00000000-0010-0000-0000-0000A4320000}" name="Coluna12959"/>
    <tableColumn id="12965" xr3:uid="{00000000-0010-0000-0000-0000A5320000}" name="Coluna12960"/>
    <tableColumn id="12966" xr3:uid="{00000000-0010-0000-0000-0000A6320000}" name="Coluna12961"/>
    <tableColumn id="12967" xr3:uid="{00000000-0010-0000-0000-0000A7320000}" name="Coluna12962"/>
    <tableColumn id="12968" xr3:uid="{00000000-0010-0000-0000-0000A8320000}" name="Coluna12963"/>
    <tableColumn id="12969" xr3:uid="{00000000-0010-0000-0000-0000A9320000}" name="Coluna12964"/>
    <tableColumn id="12970" xr3:uid="{00000000-0010-0000-0000-0000AA320000}" name="Coluna12965"/>
    <tableColumn id="12971" xr3:uid="{00000000-0010-0000-0000-0000AB320000}" name="Coluna12966"/>
    <tableColumn id="12972" xr3:uid="{00000000-0010-0000-0000-0000AC320000}" name="Coluna12967"/>
    <tableColumn id="12973" xr3:uid="{00000000-0010-0000-0000-0000AD320000}" name="Coluna12968"/>
    <tableColumn id="12974" xr3:uid="{00000000-0010-0000-0000-0000AE320000}" name="Coluna12969"/>
    <tableColumn id="12975" xr3:uid="{00000000-0010-0000-0000-0000AF320000}" name="Coluna12970"/>
    <tableColumn id="12976" xr3:uid="{00000000-0010-0000-0000-0000B0320000}" name="Coluna12971"/>
    <tableColumn id="12977" xr3:uid="{00000000-0010-0000-0000-0000B1320000}" name="Coluna12972"/>
    <tableColumn id="12978" xr3:uid="{00000000-0010-0000-0000-0000B2320000}" name="Coluna12973"/>
    <tableColumn id="12979" xr3:uid="{00000000-0010-0000-0000-0000B3320000}" name="Coluna12974"/>
    <tableColumn id="12980" xr3:uid="{00000000-0010-0000-0000-0000B4320000}" name="Coluna12975"/>
    <tableColumn id="12981" xr3:uid="{00000000-0010-0000-0000-0000B5320000}" name="Coluna12976"/>
    <tableColumn id="12982" xr3:uid="{00000000-0010-0000-0000-0000B6320000}" name="Coluna12977"/>
    <tableColumn id="12983" xr3:uid="{00000000-0010-0000-0000-0000B7320000}" name="Coluna12978"/>
    <tableColumn id="12984" xr3:uid="{00000000-0010-0000-0000-0000B8320000}" name="Coluna12979"/>
    <tableColumn id="12985" xr3:uid="{00000000-0010-0000-0000-0000B9320000}" name="Coluna12980"/>
    <tableColumn id="12986" xr3:uid="{00000000-0010-0000-0000-0000BA320000}" name="Coluna12981"/>
    <tableColumn id="12987" xr3:uid="{00000000-0010-0000-0000-0000BB320000}" name="Coluna12982"/>
    <tableColumn id="12988" xr3:uid="{00000000-0010-0000-0000-0000BC320000}" name="Coluna12983"/>
    <tableColumn id="12989" xr3:uid="{00000000-0010-0000-0000-0000BD320000}" name="Coluna12984"/>
    <tableColumn id="12990" xr3:uid="{00000000-0010-0000-0000-0000BE320000}" name="Coluna12985"/>
    <tableColumn id="12991" xr3:uid="{00000000-0010-0000-0000-0000BF320000}" name="Coluna12986"/>
    <tableColumn id="12992" xr3:uid="{00000000-0010-0000-0000-0000C0320000}" name="Coluna12987"/>
    <tableColumn id="12993" xr3:uid="{00000000-0010-0000-0000-0000C1320000}" name="Coluna12988"/>
    <tableColumn id="12994" xr3:uid="{00000000-0010-0000-0000-0000C2320000}" name="Coluna12989"/>
    <tableColumn id="12995" xr3:uid="{00000000-0010-0000-0000-0000C3320000}" name="Coluna12990"/>
    <tableColumn id="12996" xr3:uid="{00000000-0010-0000-0000-0000C4320000}" name="Coluna12991"/>
    <tableColumn id="12997" xr3:uid="{00000000-0010-0000-0000-0000C5320000}" name="Coluna12992"/>
    <tableColumn id="12998" xr3:uid="{00000000-0010-0000-0000-0000C6320000}" name="Coluna12993"/>
    <tableColumn id="12999" xr3:uid="{00000000-0010-0000-0000-0000C7320000}" name="Coluna12994"/>
    <tableColumn id="13000" xr3:uid="{00000000-0010-0000-0000-0000C8320000}" name="Coluna12995"/>
    <tableColumn id="13001" xr3:uid="{00000000-0010-0000-0000-0000C9320000}" name="Coluna12996"/>
    <tableColumn id="13002" xr3:uid="{00000000-0010-0000-0000-0000CA320000}" name="Coluna12997"/>
    <tableColumn id="13003" xr3:uid="{00000000-0010-0000-0000-0000CB320000}" name="Coluna12998"/>
    <tableColumn id="13004" xr3:uid="{00000000-0010-0000-0000-0000CC320000}" name="Coluna12999"/>
    <tableColumn id="13005" xr3:uid="{00000000-0010-0000-0000-0000CD320000}" name="Coluna13000"/>
    <tableColumn id="13006" xr3:uid="{00000000-0010-0000-0000-0000CE320000}" name="Coluna13001"/>
    <tableColumn id="13007" xr3:uid="{00000000-0010-0000-0000-0000CF320000}" name="Coluna13002"/>
    <tableColumn id="13008" xr3:uid="{00000000-0010-0000-0000-0000D0320000}" name="Coluna13003"/>
    <tableColumn id="13009" xr3:uid="{00000000-0010-0000-0000-0000D1320000}" name="Coluna13004"/>
    <tableColumn id="13010" xr3:uid="{00000000-0010-0000-0000-0000D2320000}" name="Coluna13005"/>
    <tableColumn id="13011" xr3:uid="{00000000-0010-0000-0000-0000D3320000}" name="Coluna13006"/>
    <tableColumn id="13012" xr3:uid="{00000000-0010-0000-0000-0000D4320000}" name="Coluna13007"/>
    <tableColumn id="13013" xr3:uid="{00000000-0010-0000-0000-0000D5320000}" name="Coluna13008"/>
    <tableColumn id="13014" xr3:uid="{00000000-0010-0000-0000-0000D6320000}" name="Coluna13009"/>
    <tableColumn id="13015" xr3:uid="{00000000-0010-0000-0000-0000D7320000}" name="Coluna13010"/>
    <tableColumn id="13016" xr3:uid="{00000000-0010-0000-0000-0000D8320000}" name="Coluna13011"/>
    <tableColumn id="13017" xr3:uid="{00000000-0010-0000-0000-0000D9320000}" name="Coluna13012"/>
    <tableColumn id="13018" xr3:uid="{00000000-0010-0000-0000-0000DA320000}" name="Coluna13013"/>
    <tableColumn id="13019" xr3:uid="{00000000-0010-0000-0000-0000DB320000}" name="Coluna13014"/>
    <tableColumn id="13020" xr3:uid="{00000000-0010-0000-0000-0000DC320000}" name="Coluna13015"/>
    <tableColumn id="13021" xr3:uid="{00000000-0010-0000-0000-0000DD320000}" name="Coluna13016"/>
    <tableColumn id="13022" xr3:uid="{00000000-0010-0000-0000-0000DE320000}" name="Coluna13017"/>
    <tableColumn id="13023" xr3:uid="{00000000-0010-0000-0000-0000DF320000}" name="Coluna13018"/>
    <tableColumn id="13024" xr3:uid="{00000000-0010-0000-0000-0000E0320000}" name="Coluna13019"/>
    <tableColumn id="13025" xr3:uid="{00000000-0010-0000-0000-0000E1320000}" name="Coluna13020"/>
    <tableColumn id="13026" xr3:uid="{00000000-0010-0000-0000-0000E2320000}" name="Coluna13021"/>
    <tableColumn id="13027" xr3:uid="{00000000-0010-0000-0000-0000E3320000}" name="Coluna13022"/>
    <tableColumn id="13028" xr3:uid="{00000000-0010-0000-0000-0000E4320000}" name="Coluna13023"/>
    <tableColumn id="13029" xr3:uid="{00000000-0010-0000-0000-0000E5320000}" name="Coluna13024"/>
    <tableColumn id="13030" xr3:uid="{00000000-0010-0000-0000-0000E6320000}" name="Coluna13025"/>
    <tableColumn id="13031" xr3:uid="{00000000-0010-0000-0000-0000E7320000}" name="Coluna13026"/>
    <tableColumn id="13032" xr3:uid="{00000000-0010-0000-0000-0000E8320000}" name="Coluna13027"/>
    <tableColumn id="13033" xr3:uid="{00000000-0010-0000-0000-0000E9320000}" name="Coluna13028"/>
    <tableColumn id="13034" xr3:uid="{00000000-0010-0000-0000-0000EA320000}" name="Coluna13029"/>
    <tableColumn id="13035" xr3:uid="{00000000-0010-0000-0000-0000EB320000}" name="Coluna13030"/>
    <tableColumn id="13036" xr3:uid="{00000000-0010-0000-0000-0000EC320000}" name="Coluna13031"/>
    <tableColumn id="13037" xr3:uid="{00000000-0010-0000-0000-0000ED320000}" name="Coluna13032"/>
    <tableColumn id="13038" xr3:uid="{00000000-0010-0000-0000-0000EE320000}" name="Coluna13033"/>
    <tableColumn id="13039" xr3:uid="{00000000-0010-0000-0000-0000EF320000}" name="Coluna13034"/>
    <tableColumn id="13040" xr3:uid="{00000000-0010-0000-0000-0000F0320000}" name="Coluna13035"/>
    <tableColumn id="13041" xr3:uid="{00000000-0010-0000-0000-0000F1320000}" name="Coluna13036"/>
    <tableColumn id="13042" xr3:uid="{00000000-0010-0000-0000-0000F2320000}" name="Coluna13037"/>
    <tableColumn id="13043" xr3:uid="{00000000-0010-0000-0000-0000F3320000}" name="Coluna13038"/>
    <tableColumn id="13044" xr3:uid="{00000000-0010-0000-0000-0000F4320000}" name="Coluna13039"/>
    <tableColumn id="13045" xr3:uid="{00000000-0010-0000-0000-0000F5320000}" name="Coluna13040"/>
    <tableColumn id="13046" xr3:uid="{00000000-0010-0000-0000-0000F6320000}" name="Coluna13041"/>
    <tableColumn id="13047" xr3:uid="{00000000-0010-0000-0000-0000F7320000}" name="Coluna13042"/>
    <tableColumn id="13048" xr3:uid="{00000000-0010-0000-0000-0000F8320000}" name="Coluna13043"/>
    <tableColumn id="13049" xr3:uid="{00000000-0010-0000-0000-0000F9320000}" name="Coluna13044"/>
    <tableColumn id="13050" xr3:uid="{00000000-0010-0000-0000-0000FA320000}" name="Coluna13045"/>
    <tableColumn id="13051" xr3:uid="{00000000-0010-0000-0000-0000FB320000}" name="Coluna13046"/>
    <tableColumn id="13052" xr3:uid="{00000000-0010-0000-0000-0000FC320000}" name="Coluna13047"/>
    <tableColumn id="13053" xr3:uid="{00000000-0010-0000-0000-0000FD320000}" name="Coluna13048"/>
    <tableColumn id="13054" xr3:uid="{00000000-0010-0000-0000-0000FE320000}" name="Coluna13049"/>
    <tableColumn id="13055" xr3:uid="{00000000-0010-0000-0000-0000FF320000}" name="Coluna13050"/>
    <tableColumn id="13056" xr3:uid="{00000000-0010-0000-0000-000000330000}" name="Coluna13051"/>
    <tableColumn id="13057" xr3:uid="{00000000-0010-0000-0000-000001330000}" name="Coluna13052"/>
    <tableColumn id="13058" xr3:uid="{00000000-0010-0000-0000-000002330000}" name="Coluna13053"/>
    <tableColumn id="13059" xr3:uid="{00000000-0010-0000-0000-000003330000}" name="Coluna13054"/>
    <tableColumn id="13060" xr3:uid="{00000000-0010-0000-0000-000004330000}" name="Coluna13055"/>
    <tableColumn id="13061" xr3:uid="{00000000-0010-0000-0000-000005330000}" name="Coluna13056"/>
    <tableColumn id="13062" xr3:uid="{00000000-0010-0000-0000-000006330000}" name="Coluna13057"/>
    <tableColumn id="13063" xr3:uid="{00000000-0010-0000-0000-000007330000}" name="Coluna13058"/>
    <tableColumn id="13064" xr3:uid="{00000000-0010-0000-0000-000008330000}" name="Coluna13059"/>
    <tableColumn id="13065" xr3:uid="{00000000-0010-0000-0000-000009330000}" name="Coluna13060"/>
    <tableColumn id="13066" xr3:uid="{00000000-0010-0000-0000-00000A330000}" name="Coluna13061"/>
    <tableColumn id="13067" xr3:uid="{00000000-0010-0000-0000-00000B330000}" name="Coluna13062"/>
    <tableColumn id="13068" xr3:uid="{00000000-0010-0000-0000-00000C330000}" name="Coluna13063"/>
    <tableColumn id="13069" xr3:uid="{00000000-0010-0000-0000-00000D330000}" name="Coluna13064"/>
    <tableColumn id="13070" xr3:uid="{00000000-0010-0000-0000-00000E330000}" name="Coluna13065"/>
    <tableColumn id="13071" xr3:uid="{00000000-0010-0000-0000-00000F330000}" name="Coluna13066"/>
    <tableColumn id="13072" xr3:uid="{00000000-0010-0000-0000-000010330000}" name="Coluna13067"/>
    <tableColumn id="13073" xr3:uid="{00000000-0010-0000-0000-000011330000}" name="Coluna13068"/>
    <tableColumn id="13074" xr3:uid="{00000000-0010-0000-0000-000012330000}" name="Coluna13069"/>
    <tableColumn id="13075" xr3:uid="{00000000-0010-0000-0000-000013330000}" name="Coluna13070"/>
    <tableColumn id="13076" xr3:uid="{00000000-0010-0000-0000-000014330000}" name="Coluna13071"/>
    <tableColumn id="13077" xr3:uid="{00000000-0010-0000-0000-000015330000}" name="Coluna13072"/>
    <tableColumn id="13078" xr3:uid="{00000000-0010-0000-0000-000016330000}" name="Coluna13073"/>
    <tableColumn id="13079" xr3:uid="{00000000-0010-0000-0000-000017330000}" name="Coluna13074"/>
    <tableColumn id="13080" xr3:uid="{00000000-0010-0000-0000-000018330000}" name="Coluna13075"/>
    <tableColumn id="13081" xr3:uid="{00000000-0010-0000-0000-000019330000}" name="Coluna13076"/>
    <tableColumn id="13082" xr3:uid="{00000000-0010-0000-0000-00001A330000}" name="Coluna13077"/>
    <tableColumn id="13083" xr3:uid="{00000000-0010-0000-0000-00001B330000}" name="Coluna13078"/>
    <tableColumn id="13084" xr3:uid="{00000000-0010-0000-0000-00001C330000}" name="Coluna13079"/>
    <tableColumn id="13085" xr3:uid="{00000000-0010-0000-0000-00001D330000}" name="Coluna13080"/>
    <tableColumn id="13086" xr3:uid="{00000000-0010-0000-0000-00001E330000}" name="Coluna13081"/>
    <tableColumn id="13087" xr3:uid="{00000000-0010-0000-0000-00001F330000}" name="Coluna13082"/>
    <tableColumn id="13088" xr3:uid="{00000000-0010-0000-0000-000020330000}" name="Coluna13083"/>
    <tableColumn id="13089" xr3:uid="{00000000-0010-0000-0000-000021330000}" name="Coluna13084"/>
    <tableColumn id="13090" xr3:uid="{00000000-0010-0000-0000-000022330000}" name="Coluna13085"/>
    <tableColumn id="13091" xr3:uid="{00000000-0010-0000-0000-000023330000}" name="Coluna13086"/>
    <tableColumn id="13092" xr3:uid="{00000000-0010-0000-0000-000024330000}" name="Coluna13087"/>
    <tableColumn id="13093" xr3:uid="{00000000-0010-0000-0000-000025330000}" name="Coluna13088"/>
    <tableColumn id="13094" xr3:uid="{00000000-0010-0000-0000-000026330000}" name="Coluna13089"/>
    <tableColumn id="13095" xr3:uid="{00000000-0010-0000-0000-000027330000}" name="Coluna13090"/>
    <tableColumn id="13096" xr3:uid="{00000000-0010-0000-0000-000028330000}" name="Coluna13091"/>
    <tableColumn id="13097" xr3:uid="{00000000-0010-0000-0000-000029330000}" name="Coluna13092"/>
    <tableColumn id="13098" xr3:uid="{00000000-0010-0000-0000-00002A330000}" name="Coluna13093"/>
    <tableColumn id="13099" xr3:uid="{00000000-0010-0000-0000-00002B330000}" name="Coluna13094"/>
    <tableColumn id="13100" xr3:uid="{00000000-0010-0000-0000-00002C330000}" name="Coluna13095"/>
    <tableColumn id="13101" xr3:uid="{00000000-0010-0000-0000-00002D330000}" name="Coluna13096"/>
    <tableColumn id="13102" xr3:uid="{00000000-0010-0000-0000-00002E330000}" name="Coluna13097"/>
    <tableColumn id="13103" xr3:uid="{00000000-0010-0000-0000-00002F330000}" name="Coluna13098"/>
    <tableColumn id="13104" xr3:uid="{00000000-0010-0000-0000-000030330000}" name="Coluna13099"/>
    <tableColumn id="13105" xr3:uid="{00000000-0010-0000-0000-000031330000}" name="Coluna13100"/>
    <tableColumn id="13106" xr3:uid="{00000000-0010-0000-0000-000032330000}" name="Coluna13101"/>
    <tableColumn id="13107" xr3:uid="{00000000-0010-0000-0000-000033330000}" name="Coluna13102"/>
    <tableColumn id="13108" xr3:uid="{00000000-0010-0000-0000-000034330000}" name="Coluna13103"/>
    <tableColumn id="13109" xr3:uid="{00000000-0010-0000-0000-000035330000}" name="Coluna13104"/>
    <tableColumn id="13110" xr3:uid="{00000000-0010-0000-0000-000036330000}" name="Coluna13105"/>
    <tableColumn id="13111" xr3:uid="{00000000-0010-0000-0000-000037330000}" name="Coluna13106"/>
    <tableColumn id="13112" xr3:uid="{00000000-0010-0000-0000-000038330000}" name="Coluna13107"/>
    <tableColumn id="13113" xr3:uid="{00000000-0010-0000-0000-000039330000}" name="Coluna13108"/>
    <tableColumn id="13114" xr3:uid="{00000000-0010-0000-0000-00003A330000}" name="Coluna13109"/>
    <tableColumn id="13115" xr3:uid="{00000000-0010-0000-0000-00003B330000}" name="Coluna13110"/>
    <tableColumn id="13116" xr3:uid="{00000000-0010-0000-0000-00003C330000}" name="Coluna13111"/>
    <tableColumn id="13117" xr3:uid="{00000000-0010-0000-0000-00003D330000}" name="Coluna13112"/>
    <tableColumn id="13118" xr3:uid="{00000000-0010-0000-0000-00003E330000}" name="Coluna13113"/>
    <tableColumn id="13119" xr3:uid="{00000000-0010-0000-0000-00003F330000}" name="Coluna13114"/>
    <tableColumn id="13120" xr3:uid="{00000000-0010-0000-0000-000040330000}" name="Coluna13115"/>
    <tableColumn id="13121" xr3:uid="{00000000-0010-0000-0000-000041330000}" name="Coluna13116"/>
    <tableColumn id="13122" xr3:uid="{00000000-0010-0000-0000-000042330000}" name="Coluna13117"/>
    <tableColumn id="13123" xr3:uid="{00000000-0010-0000-0000-000043330000}" name="Coluna13118"/>
    <tableColumn id="13124" xr3:uid="{00000000-0010-0000-0000-000044330000}" name="Coluna13119"/>
    <tableColumn id="13125" xr3:uid="{00000000-0010-0000-0000-000045330000}" name="Coluna13120"/>
    <tableColumn id="13126" xr3:uid="{00000000-0010-0000-0000-000046330000}" name="Coluna13121"/>
    <tableColumn id="13127" xr3:uid="{00000000-0010-0000-0000-000047330000}" name="Coluna13122"/>
    <tableColumn id="13128" xr3:uid="{00000000-0010-0000-0000-000048330000}" name="Coluna13123"/>
    <tableColumn id="13129" xr3:uid="{00000000-0010-0000-0000-000049330000}" name="Coluna13124"/>
    <tableColumn id="13130" xr3:uid="{00000000-0010-0000-0000-00004A330000}" name="Coluna13125"/>
    <tableColumn id="13131" xr3:uid="{00000000-0010-0000-0000-00004B330000}" name="Coluna13126"/>
    <tableColumn id="13132" xr3:uid="{00000000-0010-0000-0000-00004C330000}" name="Coluna13127"/>
    <tableColumn id="13133" xr3:uid="{00000000-0010-0000-0000-00004D330000}" name="Coluna13128"/>
    <tableColumn id="13134" xr3:uid="{00000000-0010-0000-0000-00004E330000}" name="Coluna13129"/>
    <tableColumn id="13135" xr3:uid="{00000000-0010-0000-0000-00004F330000}" name="Coluna13130"/>
    <tableColumn id="13136" xr3:uid="{00000000-0010-0000-0000-000050330000}" name="Coluna13131"/>
    <tableColumn id="13137" xr3:uid="{00000000-0010-0000-0000-000051330000}" name="Coluna13132"/>
    <tableColumn id="13138" xr3:uid="{00000000-0010-0000-0000-000052330000}" name="Coluna13133"/>
    <tableColumn id="13139" xr3:uid="{00000000-0010-0000-0000-000053330000}" name="Coluna13134"/>
    <tableColumn id="13140" xr3:uid="{00000000-0010-0000-0000-000054330000}" name="Coluna13135"/>
    <tableColumn id="13141" xr3:uid="{00000000-0010-0000-0000-000055330000}" name="Coluna13136"/>
    <tableColumn id="13142" xr3:uid="{00000000-0010-0000-0000-000056330000}" name="Coluna13137"/>
    <tableColumn id="13143" xr3:uid="{00000000-0010-0000-0000-000057330000}" name="Coluna13138"/>
    <tableColumn id="13144" xr3:uid="{00000000-0010-0000-0000-000058330000}" name="Coluna13139"/>
    <tableColumn id="13145" xr3:uid="{00000000-0010-0000-0000-000059330000}" name="Coluna13140"/>
    <tableColumn id="13146" xr3:uid="{00000000-0010-0000-0000-00005A330000}" name="Coluna13141"/>
    <tableColumn id="13147" xr3:uid="{00000000-0010-0000-0000-00005B330000}" name="Coluna13142"/>
    <tableColumn id="13148" xr3:uid="{00000000-0010-0000-0000-00005C330000}" name="Coluna13143"/>
    <tableColumn id="13149" xr3:uid="{00000000-0010-0000-0000-00005D330000}" name="Coluna13144"/>
    <tableColumn id="13150" xr3:uid="{00000000-0010-0000-0000-00005E330000}" name="Coluna13145"/>
    <tableColumn id="13151" xr3:uid="{00000000-0010-0000-0000-00005F330000}" name="Coluna13146"/>
    <tableColumn id="13152" xr3:uid="{00000000-0010-0000-0000-000060330000}" name="Coluna13147"/>
    <tableColumn id="13153" xr3:uid="{00000000-0010-0000-0000-000061330000}" name="Coluna13148"/>
    <tableColumn id="13154" xr3:uid="{00000000-0010-0000-0000-000062330000}" name="Coluna13149"/>
    <tableColumn id="13155" xr3:uid="{00000000-0010-0000-0000-000063330000}" name="Coluna13150"/>
    <tableColumn id="13156" xr3:uid="{00000000-0010-0000-0000-000064330000}" name="Coluna13151"/>
    <tableColumn id="13157" xr3:uid="{00000000-0010-0000-0000-000065330000}" name="Coluna13152"/>
    <tableColumn id="13158" xr3:uid="{00000000-0010-0000-0000-000066330000}" name="Coluna13153"/>
    <tableColumn id="13159" xr3:uid="{00000000-0010-0000-0000-000067330000}" name="Coluna13154"/>
    <tableColumn id="13160" xr3:uid="{00000000-0010-0000-0000-000068330000}" name="Coluna13155"/>
    <tableColumn id="13161" xr3:uid="{00000000-0010-0000-0000-000069330000}" name="Coluna13156"/>
    <tableColumn id="13162" xr3:uid="{00000000-0010-0000-0000-00006A330000}" name="Coluna13157"/>
    <tableColumn id="13163" xr3:uid="{00000000-0010-0000-0000-00006B330000}" name="Coluna13158"/>
    <tableColumn id="13164" xr3:uid="{00000000-0010-0000-0000-00006C330000}" name="Coluna13159"/>
    <tableColumn id="13165" xr3:uid="{00000000-0010-0000-0000-00006D330000}" name="Coluna13160"/>
    <tableColumn id="13166" xr3:uid="{00000000-0010-0000-0000-00006E330000}" name="Coluna13161"/>
    <tableColumn id="13167" xr3:uid="{00000000-0010-0000-0000-00006F330000}" name="Coluna13162"/>
    <tableColumn id="13168" xr3:uid="{00000000-0010-0000-0000-000070330000}" name="Coluna13163"/>
    <tableColumn id="13169" xr3:uid="{00000000-0010-0000-0000-000071330000}" name="Coluna13164"/>
    <tableColumn id="13170" xr3:uid="{00000000-0010-0000-0000-000072330000}" name="Coluna13165"/>
    <tableColumn id="13171" xr3:uid="{00000000-0010-0000-0000-000073330000}" name="Coluna13166"/>
    <tableColumn id="13172" xr3:uid="{00000000-0010-0000-0000-000074330000}" name="Coluna13167"/>
    <tableColumn id="13173" xr3:uid="{00000000-0010-0000-0000-000075330000}" name="Coluna13168"/>
    <tableColumn id="13174" xr3:uid="{00000000-0010-0000-0000-000076330000}" name="Coluna13169"/>
    <tableColumn id="13175" xr3:uid="{00000000-0010-0000-0000-000077330000}" name="Coluna13170"/>
    <tableColumn id="13176" xr3:uid="{00000000-0010-0000-0000-000078330000}" name="Coluna13171"/>
    <tableColumn id="13177" xr3:uid="{00000000-0010-0000-0000-000079330000}" name="Coluna13172"/>
    <tableColumn id="13178" xr3:uid="{00000000-0010-0000-0000-00007A330000}" name="Coluna13173"/>
    <tableColumn id="13179" xr3:uid="{00000000-0010-0000-0000-00007B330000}" name="Coluna13174"/>
    <tableColumn id="13180" xr3:uid="{00000000-0010-0000-0000-00007C330000}" name="Coluna13175"/>
    <tableColumn id="13181" xr3:uid="{00000000-0010-0000-0000-00007D330000}" name="Coluna13176"/>
    <tableColumn id="13182" xr3:uid="{00000000-0010-0000-0000-00007E330000}" name="Coluna13177"/>
    <tableColumn id="13183" xr3:uid="{00000000-0010-0000-0000-00007F330000}" name="Coluna13178"/>
    <tableColumn id="13184" xr3:uid="{00000000-0010-0000-0000-000080330000}" name="Coluna13179"/>
    <tableColumn id="13185" xr3:uid="{00000000-0010-0000-0000-000081330000}" name="Coluna13180"/>
    <tableColumn id="13186" xr3:uid="{00000000-0010-0000-0000-000082330000}" name="Coluna13181"/>
    <tableColumn id="13187" xr3:uid="{00000000-0010-0000-0000-000083330000}" name="Coluna13182"/>
    <tableColumn id="13188" xr3:uid="{00000000-0010-0000-0000-000084330000}" name="Coluna13183"/>
    <tableColumn id="13189" xr3:uid="{00000000-0010-0000-0000-000085330000}" name="Coluna13184"/>
    <tableColumn id="13190" xr3:uid="{00000000-0010-0000-0000-000086330000}" name="Coluna13185"/>
    <tableColumn id="13191" xr3:uid="{00000000-0010-0000-0000-000087330000}" name="Coluna13186"/>
    <tableColumn id="13192" xr3:uid="{00000000-0010-0000-0000-000088330000}" name="Coluna13187"/>
    <tableColumn id="13193" xr3:uid="{00000000-0010-0000-0000-000089330000}" name="Coluna13188"/>
    <tableColumn id="13194" xr3:uid="{00000000-0010-0000-0000-00008A330000}" name="Coluna13189"/>
    <tableColumn id="13195" xr3:uid="{00000000-0010-0000-0000-00008B330000}" name="Coluna13190"/>
    <tableColumn id="13196" xr3:uid="{00000000-0010-0000-0000-00008C330000}" name="Coluna13191"/>
    <tableColumn id="13197" xr3:uid="{00000000-0010-0000-0000-00008D330000}" name="Coluna13192"/>
    <tableColumn id="13198" xr3:uid="{00000000-0010-0000-0000-00008E330000}" name="Coluna13193"/>
    <tableColumn id="13199" xr3:uid="{00000000-0010-0000-0000-00008F330000}" name="Coluna13194"/>
    <tableColumn id="13200" xr3:uid="{00000000-0010-0000-0000-000090330000}" name="Coluna13195"/>
    <tableColumn id="13201" xr3:uid="{00000000-0010-0000-0000-000091330000}" name="Coluna13196"/>
    <tableColumn id="13202" xr3:uid="{00000000-0010-0000-0000-000092330000}" name="Coluna13197"/>
    <tableColumn id="13203" xr3:uid="{00000000-0010-0000-0000-000093330000}" name="Coluna13198"/>
    <tableColumn id="13204" xr3:uid="{00000000-0010-0000-0000-000094330000}" name="Coluna13199"/>
    <tableColumn id="13205" xr3:uid="{00000000-0010-0000-0000-000095330000}" name="Coluna13200"/>
    <tableColumn id="13206" xr3:uid="{00000000-0010-0000-0000-000096330000}" name="Coluna13201"/>
    <tableColumn id="13207" xr3:uid="{00000000-0010-0000-0000-000097330000}" name="Coluna13202"/>
    <tableColumn id="13208" xr3:uid="{00000000-0010-0000-0000-000098330000}" name="Coluna13203"/>
    <tableColumn id="13209" xr3:uid="{00000000-0010-0000-0000-000099330000}" name="Coluna13204"/>
    <tableColumn id="13210" xr3:uid="{00000000-0010-0000-0000-00009A330000}" name="Coluna13205"/>
    <tableColumn id="13211" xr3:uid="{00000000-0010-0000-0000-00009B330000}" name="Coluna13206"/>
    <tableColumn id="13212" xr3:uid="{00000000-0010-0000-0000-00009C330000}" name="Coluna13207"/>
    <tableColumn id="13213" xr3:uid="{00000000-0010-0000-0000-00009D330000}" name="Coluna13208"/>
    <tableColumn id="13214" xr3:uid="{00000000-0010-0000-0000-00009E330000}" name="Coluna13209"/>
    <tableColumn id="13215" xr3:uid="{00000000-0010-0000-0000-00009F330000}" name="Coluna13210"/>
    <tableColumn id="13216" xr3:uid="{00000000-0010-0000-0000-0000A0330000}" name="Coluna13211"/>
    <tableColumn id="13217" xr3:uid="{00000000-0010-0000-0000-0000A1330000}" name="Coluna13212"/>
    <tableColumn id="13218" xr3:uid="{00000000-0010-0000-0000-0000A2330000}" name="Coluna13213"/>
    <tableColumn id="13219" xr3:uid="{00000000-0010-0000-0000-0000A3330000}" name="Coluna13214"/>
    <tableColumn id="13220" xr3:uid="{00000000-0010-0000-0000-0000A4330000}" name="Coluna13215"/>
    <tableColumn id="13221" xr3:uid="{00000000-0010-0000-0000-0000A5330000}" name="Coluna13216"/>
    <tableColumn id="13222" xr3:uid="{00000000-0010-0000-0000-0000A6330000}" name="Coluna13217"/>
    <tableColumn id="13223" xr3:uid="{00000000-0010-0000-0000-0000A7330000}" name="Coluna13218"/>
    <tableColumn id="13224" xr3:uid="{00000000-0010-0000-0000-0000A8330000}" name="Coluna13219"/>
    <tableColumn id="13225" xr3:uid="{00000000-0010-0000-0000-0000A9330000}" name="Coluna13220"/>
    <tableColumn id="13226" xr3:uid="{00000000-0010-0000-0000-0000AA330000}" name="Coluna13221"/>
    <tableColumn id="13227" xr3:uid="{00000000-0010-0000-0000-0000AB330000}" name="Coluna13222"/>
    <tableColumn id="13228" xr3:uid="{00000000-0010-0000-0000-0000AC330000}" name="Coluna13223"/>
    <tableColumn id="13229" xr3:uid="{00000000-0010-0000-0000-0000AD330000}" name="Coluna13224"/>
    <tableColumn id="13230" xr3:uid="{00000000-0010-0000-0000-0000AE330000}" name="Coluna13225"/>
    <tableColumn id="13231" xr3:uid="{00000000-0010-0000-0000-0000AF330000}" name="Coluna13226"/>
    <tableColumn id="13232" xr3:uid="{00000000-0010-0000-0000-0000B0330000}" name="Coluna13227"/>
    <tableColumn id="13233" xr3:uid="{00000000-0010-0000-0000-0000B1330000}" name="Coluna13228"/>
    <tableColumn id="13234" xr3:uid="{00000000-0010-0000-0000-0000B2330000}" name="Coluna13229"/>
    <tableColumn id="13235" xr3:uid="{00000000-0010-0000-0000-0000B3330000}" name="Coluna13230"/>
    <tableColumn id="13236" xr3:uid="{00000000-0010-0000-0000-0000B4330000}" name="Coluna13231"/>
    <tableColumn id="13237" xr3:uid="{00000000-0010-0000-0000-0000B5330000}" name="Coluna13232"/>
    <tableColumn id="13238" xr3:uid="{00000000-0010-0000-0000-0000B6330000}" name="Coluna13233"/>
    <tableColumn id="13239" xr3:uid="{00000000-0010-0000-0000-0000B7330000}" name="Coluna13234"/>
    <tableColumn id="13240" xr3:uid="{00000000-0010-0000-0000-0000B8330000}" name="Coluna13235"/>
    <tableColumn id="13241" xr3:uid="{00000000-0010-0000-0000-0000B9330000}" name="Coluna13236"/>
    <tableColumn id="13242" xr3:uid="{00000000-0010-0000-0000-0000BA330000}" name="Coluna13237"/>
    <tableColumn id="13243" xr3:uid="{00000000-0010-0000-0000-0000BB330000}" name="Coluna13238"/>
    <tableColumn id="13244" xr3:uid="{00000000-0010-0000-0000-0000BC330000}" name="Coluna13239"/>
    <tableColumn id="13245" xr3:uid="{00000000-0010-0000-0000-0000BD330000}" name="Coluna13240"/>
    <tableColumn id="13246" xr3:uid="{00000000-0010-0000-0000-0000BE330000}" name="Coluna13241"/>
    <tableColumn id="13247" xr3:uid="{00000000-0010-0000-0000-0000BF330000}" name="Coluna13242"/>
    <tableColumn id="13248" xr3:uid="{00000000-0010-0000-0000-0000C0330000}" name="Coluna13243"/>
    <tableColumn id="13249" xr3:uid="{00000000-0010-0000-0000-0000C1330000}" name="Coluna13244"/>
    <tableColumn id="13250" xr3:uid="{00000000-0010-0000-0000-0000C2330000}" name="Coluna13245"/>
    <tableColumn id="13251" xr3:uid="{00000000-0010-0000-0000-0000C3330000}" name="Coluna13246"/>
    <tableColumn id="13252" xr3:uid="{00000000-0010-0000-0000-0000C4330000}" name="Coluna13247"/>
    <tableColumn id="13253" xr3:uid="{00000000-0010-0000-0000-0000C5330000}" name="Coluna13248"/>
    <tableColumn id="13254" xr3:uid="{00000000-0010-0000-0000-0000C6330000}" name="Coluna13249"/>
    <tableColumn id="13255" xr3:uid="{00000000-0010-0000-0000-0000C7330000}" name="Coluna13250"/>
    <tableColumn id="13256" xr3:uid="{00000000-0010-0000-0000-0000C8330000}" name="Coluna13251"/>
    <tableColumn id="13257" xr3:uid="{00000000-0010-0000-0000-0000C9330000}" name="Coluna13252"/>
    <tableColumn id="13258" xr3:uid="{00000000-0010-0000-0000-0000CA330000}" name="Coluna13253"/>
    <tableColumn id="13259" xr3:uid="{00000000-0010-0000-0000-0000CB330000}" name="Coluna13254"/>
    <tableColumn id="13260" xr3:uid="{00000000-0010-0000-0000-0000CC330000}" name="Coluna13255"/>
    <tableColumn id="13261" xr3:uid="{00000000-0010-0000-0000-0000CD330000}" name="Coluna13256"/>
    <tableColumn id="13262" xr3:uid="{00000000-0010-0000-0000-0000CE330000}" name="Coluna13257"/>
    <tableColumn id="13263" xr3:uid="{00000000-0010-0000-0000-0000CF330000}" name="Coluna13258"/>
    <tableColumn id="13264" xr3:uid="{00000000-0010-0000-0000-0000D0330000}" name="Coluna13259"/>
    <tableColumn id="13265" xr3:uid="{00000000-0010-0000-0000-0000D1330000}" name="Coluna13260"/>
    <tableColumn id="13266" xr3:uid="{00000000-0010-0000-0000-0000D2330000}" name="Coluna13261"/>
    <tableColumn id="13267" xr3:uid="{00000000-0010-0000-0000-0000D3330000}" name="Coluna13262"/>
    <tableColumn id="13268" xr3:uid="{00000000-0010-0000-0000-0000D4330000}" name="Coluna13263"/>
    <tableColumn id="13269" xr3:uid="{00000000-0010-0000-0000-0000D5330000}" name="Coluna13264"/>
    <tableColumn id="13270" xr3:uid="{00000000-0010-0000-0000-0000D6330000}" name="Coluna13265"/>
    <tableColumn id="13271" xr3:uid="{00000000-0010-0000-0000-0000D7330000}" name="Coluna13266"/>
    <tableColumn id="13272" xr3:uid="{00000000-0010-0000-0000-0000D8330000}" name="Coluna13267"/>
    <tableColumn id="13273" xr3:uid="{00000000-0010-0000-0000-0000D9330000}" name="Coluna13268"/>
    <tableColumn id="13274" xr3:uid="{00000000-0010-0000-0000-0000DA330000}" name="Coluna13269"/>
    <tableColumn id="13275" xr3:uid="{00000000-0010-0000-0000-0000DB330000}" name="Coluna13270"/>
    <tableColumn id="13276" xr3:uid="{00000000-0010-0000-0000-0000DC330000}" name="Coluna13271"/>
    <tableColumn id="13277" xr3:uid="{00000000-0010-0000-0000-0000DD330000}" name="Coluna13272"/>
    <tableColumn id="13278" xr3:uid="{00000000-0010-0000-0000-0000DE330000}" name="Coluna13273"/>
    <tableColumn id="13279" xr3:uid="{00000000-0010-0000-0000-0000DF330000}" name="Coluna13274"/>
    <tableColumn id="13280" xr3:uid="{00000000-0010-0000-0000-0000E0330000}" name="Coluna13275"/>
    <tableColumn id="13281" xr3:uid="{00000000-0010-0000-0000-0000E1330000}" name="Coluna13276"/>
    <tableColumn id="13282" xr3:uid="{00000000-0010-0000-0000-0000E2330000}" name="Coluna13277"/>
    <tableColumn id="13283" xr3:uid="{00000000-0010-0000-0000-0000E3330000}" name="Coluna13278"/>
    <tableColumn id="13284" xr3:uid="{00000000-0010-0000-0000-0000E4330000}" name="Coluna13279"/>
    <tableColumn id="13285" xr3:uid="{00000000-0010-0000-0000-0000E5330000}" name="Coluna13280"/>
    <tableColumn id="13286" xr3:uid="{00000000-0010-0000-0000-0000E6330000}" name="Coluna13281"/>
    <tableColumn id="13287" xr3:uid="{00000000-0010-0000-0000-0000E7330000}" name="Coluna13282"/>
    <tableColumn id="13288" xr3:uid="{00000000-0010-0000-0000-0000E8330000}" name="Coluna13283"/>
    <tableColumn id="13289" xr3:uid="{00000000-0010-0000-0000-0000E9330000}" name="Coluna13284"/>
    <tableColumn id="13290" xr3:uid="{00000000-0010-0000-0000-0000EA330000}" name="Coluna13285"/>
    <tableColumn id="13291" xr3:uid="{00000000-0010-0000-0000-0000EB330000}" name="Coluna13286"/>
    <tableColumn id="13292" xr3:uid="{00000000-0010-0000-0000-0000EC330000}" name="Coluna13287"/>
    <tableColumn id="13293" xr3:uid="{00000000-0010-0000-0000-0000ED330000}" name="Coluna13288"/>
    <tableColumn id="13294" xr3:uid="{00000000-0010-0000-0000-0000EE330000}" name="Coluna13289"/>
    <tableColumn id="13295" xr3:uid="{00000000-0010-0000-0000-0000EF330000}" name="Coluna13290"/>
    <tableColumn id="13296" xr3:uid="{00000000-0010-0000-0000-0000F0330000}" name="Coluna13291"/>
    <tableColumn id="13297" xr3:uid="{00000000-0010-0000-0000-0000F1330000}" name="Coluna13292"/>
    <tableColumn id="13298" xr3:uid="{00000000-0010-0000-0000-0000F2330000}" name="Coluna13293"/>
    <tableColumn id="13299" xr3:uid="{00000000-0010-0000-0000-0000F3330000}" name="Coluna13294"/>
    <tableColumn id="13300" xr3:uid="{00000000-0010-0000-0000-0000F4330000}" name="Coluna13295"/>
    <tableColumn id="13301" xr3:uid="{00000000-0010-0000-0000-0000F5330000}" name="Coluna13296"/>
    <tableColumn id="13302" xr3:uid="{00000000-0010-0000-0000-0000F6330000}" name="Coluna13297"/>
    <tableColumn id="13303" xr3:uid="{00000000-0010-0000-0000-0000F7330000}" name="Coluna13298"/>
    <tableColumn id="13304" xr3:uid="{00000000-0010-0000-0000-0000F8330000}" name="Coluna13299"/>
    <tableColumn id="13305" xr3:uid="{00000000-0010-0000-0000-0000F9330000}" name="Coluna13300"/>
    <tableColumn id="13306" xr3:uid="{00000000-0010-0000-0000-0000FA330000}" name="Coluna13301"/>
    <tableColumn id="13307" xr3:uid="{00000000-0010-0000-0000-0000FB330000}" name="Coluna13302"/>
    <tableColumn id="13308" xr3:uid="{00000000-0010-0000-0000-0000FC330000}" name="Coluna13303"/>
    <tableColumn id="13309" xr3:uid="{00000000-0010-0000-0000-0000FD330000}" name="Coluna13304"/>
    <tableColumn id="13310" xr3:uid="{00000000-0010-0000-0000-0000FE330000}" name="Coluna13305"/>
    <tableColumn id="13311" xr3:uid="{00000000-0010-0000-0000-0000FF330000}" name="Coluna13306"/>
    <tableColumn id="13312" xr3:uid="{00000000-0010-0000-0000-000000340000}" name="Coluna13307"/>
    <tableColumn id="13313" xr3:uid="{00000000-0010-0000-0000-000001340000}" name="Coluna13308"/>
    <tableColumn id="13314" xr3:uid="{00000000-0010-0000-0000-000002340000}" name="Coluna13309"/>
    <tableColumn id="13315" xr3:uid="{00000000-0010-0000-0000-000003340000}" name="Coluna13310"/>
    <tableColumn id="13316" xr3:uid="{00000000-0010-0000-0000-000004340000}" name="Coluna13311"/>
    <tableColumn id="13317" xr3:uid="{00000000-0010-0000-0000-000005340000}" name="Coluna13312"/>
    <tableColumn id="13318" xr3:uid="{00000000-0010-0000-0000-000006340000}" name="Coluna13313"/>
    <tableColumn id="13319" xr3:uid="{00000000-0010-0000-0000-000007340000}" name="Coluna13314"/>
    <tableColumn id="13320" xr3:uid="{00000000-0010-0000-0000-000008340000}" name="Coluna13315"/>
    <tableColumn id="13321" xr3:uid="{00000000-0010-0000-0000-000009340000}" name="Coluna13316"/>
    <tableColumn id="13322" xr3:uid="{00000000-0010-0000-0000-00000A340000}" name="Coluna13317"/>
    <tableColumn id="13323" xr3:uid="{00000000-0010-0000-0000-00000B340000}" name="Coluna13318"/>
    <tableColumn id="13324" xr3:uid="{00000000-0010-0000-0000-00000C340000}" name="Coluna13319"/>
    <tableColumn id="13325" xr3:uid="{00000000-0010-0000-0000-00000D340000}" name="Coluna13320"/>
    <tableColumn id="13326" xr3:uid="{00000000-0010-0000-0000-00000E340000}" name="Coluna13321"/>
    <tableColumn id="13327" xr3:uid="{00000000-0010-0000-0000-00000F340000}" name="Coluna13322"/>
    <tableColumn id="13328" xr3:uid="{00000000-0010-0000-0000-000010340000}" name="Coluna13323"/>
    <tableColumn id="13329" xr3:uid="{00000000-0010-0000-0000-000011340000}" name="Coluna13324"/>
    <tableColumn id="13330" xr3:uid="{00000000-0010-0000-0000-000012340000}" name="Coluna13325"/>
    <tableColumn id="13331" xr3:uid="{00000000-0010-0000-0000-000013340000}" name="Coluna13326"/>
    <tableColumn id="13332" xr3:uid="{00000000-0010-0000-0000-000014340000}" name="Coluna13327"/>
    <tableColumn id="13333" xr3:uid="{00000000-0010-0000-0000-000015340000}" name="Coluna13328"/>
    <tableColumn id="13334" xr3:uid="{00000000-0010-0000-0000-000016340000}" name="Coluna13329"/>
    <tableColumn id="13335" xr3:uid="{00000000-0010-0000-0000-000017340000}" name="Coluna13330"/>
    <tableColumn id="13336" xr3:uid="{00000000-0010-0000-0000-000018340000}" name="Coluna13331"/>
    <tableColumn id="13337" xr3:uid="{00000000-0010-0000-0000-000019340000}" name="Coluna13332"/>
    <tableColumn id="13338" xr3:uid="{00000000-0010-0000-0000-00001A340000}" name="Coluna13333"/>
    <tableColumn id="13339" xr3:uid="{00000000-0010-0000-0000-00001B340000}" name="Coluna13334"/>
    <tableColumn id="13340" xr3:uid="{00000000-0010-0000-0000-00001C340000}" name="Coluna13335"/>
    <tableColumn id="13341" xr3:uid="{00000000-0010-0000-0000-00001D340000}" name="Coluna13336"/>
    <tableColumn id="13342" xr3:uid="{00000000-0010-0000-0000-00001E340000}" name="Coluna13337"/>
    <tableColumn id="13343" xr3:uid="{00000000-0010-0000-0000-00001F340000}" name="Coluna13338"/>
    <tableColumn id="13344" xr3:uid="{00000000-0010-0000-0000-000020340000}" name="Coluna13339"/>
    <tableColumn id="13345" xr3:uid="{00000000-0010-0000-0000-000021340000}" name="Coluna13340"/>
    <tableColumn id="13346" xr3:uid="{00000000-0010-0000-0000-000022340000}" name="Coluna13341"/>
    <tableColumn id="13347" xr3:uid="{00000000-0010-0000-0000-000023340000}" name="Coluna13342"/>
    <tableColumn id="13348" xr3:uid="{00000000-0010-0000-0000-000024340000}" name="Coluna13343"/>
    <tableColumn id="13349" xr3:uid="{00000000-0010-0000-0000-000025340000}" name="Coluna13344"/>
    <tableColumn id="13350" xr3:uid="{00000000-0010-0000-0000-000026340000}" name="Coluna13345"/>
    <tableColumn id="13351" xr3:uid="{00000000-0010-0000-0000-000027340000}" name="Coluna13346"/>
    <tableColumn id="13352" xr3:uid="{00000000-0010-0000-0000-000028340000}" name="Coluna13347"/>
    <tableColumn id="13353" xr3:uid="{00000000-0010-0000-0000-000029340000}" name="Coluna13348"/>
    <tableColumn id="13354" xr3:uid="{00000000-0010-0000-0000-00002A340000}" name="Coluna13349"/>
    <tableColumn id="13355" xr3:uid="{00000000-0010-0000-0000-00002B340000}" name="Coluna13350"/>
    <tableColumn id="13356" xr3:uid="{00000000-0010-0000-0000-00002C340000}" name="Coluna13351"/>
    <tableColumn id="13357" xr3:uid="{00000000-0010-0000-0000-00002D340000}" name="Coluna13352"/>
    <tableColumn id="13358" xr3:uid="{00000000-0010-0000-0000-00002E340000}" name="Coluna13353"/>
    <tableColumn id="13359" xr3:uid="{00000000-0010-0000-0000-00002F340000}" name="Coluna13354"/>
    <tableColumn id="13360" xr3:uid="{00000000-0010-0000-0000-000030340000}" name="Coluna13355"/>
    <tableColumn id="13361" xr3:uid="{00000000-0010-0000-0000-000031340000}" name="Coluna13356"/>
    <tableColumn id="13362" xr3:uid="{00000000-0010-0000-0000-000032340000}" name="Coluna13357"/>
    <tableColumn id="13363" xr3:uid="{00000000-0010-0000-0000-000033340000}" name="Coluna13358"/>
    <tableColumn id="13364" xr3:uid="{00000000-0010-0000-0000-000034340000}" name="Coluna13359"/>
    <tableColumn id="13365" xr3:uid="{00000000-0010-0000-0000-000035340000}" name="Coluna13360"/>
    <tableColumn id="13366" xr3:uid="{00000000-0010-0000-0000-000036340000}" name="Coluna13361"/>
    <tableColumn id="13367" xr3:uid="{00000000-0010-0000-0000-000037340000}" name="Coluna13362"/>
    <tableColumn id="13368" xr3:uid="{00000000-0010-0000-0000-000038340000}" name="Coluna13363"/>
    <tableColumn id="13369" xr3:uid="{00000000-0010-0000-0000-000039340000}" name="Coluna13364"/>
    <tableColumn id="13370" xr3:uid="{00000000-0010-0000-0000-00003A340000}" name="Coluna13365"/>
    <tableColumn id="13371" xr3:uid="{00000000-0010-0000-0000-00003B340000}" name="Coluna13366"/>
    <tableColumn id="13372" xr3:uid="{00000000-0010-0000-0000-00003C340000}" name="Coluna13367"/>
    <tableColumn id="13373" xr3:uid="{00000000-0010-0000-0000-00003D340000}" name="Coluna13368"/>
    <tableColumn id="13374" xr3:uid="{00000000-0010-0000-0000-00003E340000}" name="Coluna13369"/>
    <tableColumn id="13375" xr3:uid="{00000000-0010-0000-0000-00003F340000}" name="Coluna13370"/>
    <tableColumn id="13376" xr3:uid="{00000000-0010-0000-0000-000040340000}" name="Coluna13371"/>
    <tableColumn id="13377" xr3:uid="{00000000-0010-0000-0000-000041340000}" name="Coluna13372"/>
    <tableColumn id="13378" xr3:uid="{00000000-0010-0000-0000-000042340000}" name="Coluna13373"/>
    <tableColumn id="13379" xr3:uid="{00000000-0010-0000-0000-000043340000}" name="Coluna13374"/>
    <tableColumn id="13380" xr3:uid="{00000000-0010-0000-0000-000044340000}" name="Coluna13375"/>
    <tableColumn id="13381" xr3:uid="{00000000-0010-0000-0000-000045340000}" name="Coluna13376"/>
    <tableColumn id="13382" xr3:uid="{00000000-0010-0000-0000-000046340000}" name="Coluna13377"/>
    <tableColumn id="13383" xr3:uid="{00000000-0010-0000-0000-000047340000}" name="Coluna13378"/>
    <tableColumn id="13384" xr3:uid="{00000000-0010-0000-0000-000048340000}" name="Coluna13379"/>
    <tableColumn id="13385" xr3:uid="{00000000-0010-0000-0000-000049340000}" name="Coluna13380"/>
    <tableColumn id="13386" xr3:uid="{00000000-0010-0000-0000-00004A340000}" name="Coluna13381"/>
    <tableColumn id="13387" xr3:uid="{00000000-0010-0000-0000-00004B340000}" name="Coluna13382"/>
    <tableColumn id="13388" xr3:uid="{00000000-0010-0000-0000-00004C340000}" name="Coluna13383"/>
    <tableColumn id="13389" xr3:uid="{00000000-0010-0000-0000-00004D340000}" name="Coluna13384"/>
    <tableColumn id="13390" xr3:uid="{00000000-0010-0000-0000-00004E340000}" name="Coluna13385"/>
    <tableColumn id="13391" xr3:uid="{00000000-0010-0000-0000-00004F340000}" name="Coluna13386"/>
    <tableColumn id="13392" xr3:uid="{00000000-0010-0000-0000-000050340000}" name="Coluna13387"/>
    <tableColumn id="13393" xr3:uid="{00000000-0010-0000-0000-000051340000}" name="Coluna13388"/>
    <tableColumn id="13394" xr3:uid="{00000000-0010-0000-0000-000052340000}" name="Coluna13389"/>
    <tableColumn id="13395" xr3:uid="{00000000-0010-0000-0000-000053340000}" name="Coluna13390"/>
    <tableColumn id="13396" xr3:uid="{00000000-0010-0000-0000-000054340000}" name="Coluna13391"/>
    <tableColumn id="13397" xr3:uid="{00000000-0010-0000-0000-000055340000}" name="Coluna13392"/>
    <tableColumn id="13398" xr3:uid="{00000000-0010-0000-0000-000056340000}" name="Coluna13393"/>
    <tableColumn id="13399" xr3:uid="{00000000-0010-0000-0000-000057340000}" name="Coluna13394"/>
    <tableColumn id="13400" xr3:uid="{00000000-0010-0000-0000-000058340000}" name="Coluna13395"/>
    <tableColumn id="13401" xr3:uid="{00000000-0010-0000-0000-000059340000}" name="Coluna13396"/>
    <tableColumn id="13402" xr3:uid="{00000000-0010-0000-0000-00005A340000}" name="Coluna13397"/>
    <tableColumn id="13403" xr3:uid="{00000000-0010-0000-0000-00005B340000}" name="Coluna13398"/>
    <tableColumn id="13404" xr3:uid="{00000000-0010-0000-0000-00005C340000}" name="Coluna13399"/>
    <tableColumn id="13405" xr3:uid="{00000000-0010-0000-0000-00005D340000}" name="Coluna13400"/>
    <tableColumn id="13406" xr3:uid="{00000000-0010-0000-0000-00005E340000}" name="Coluna13401"/>
    <tableColumn id="13407" xr3:uid="{00000000-0010-0000-0000-00005F340000}" name="Coluna13402"/>
    <tableColumn id="13408" xr3:uid="{00000000-0010-0000-0000-000060340000}" name="Coluna13403"/>
    <tableColumn id="13409" xr3:uid="{00000000-0010-0000-0000-000061340000}" name="Coluna13404"/>
    <tableColumn id="13410" xr3:uid="{00000000-0010-0000-0000-000062340000}" name="Coluna13405"/>
    <tableColumn id="13411" xr3:uid="{00000000-0010-0000-0000-000063340000}" name="Coluna13406"/>
    <tableColumn id="13412" xr3:uid="{00000000-0010-0000-0000-000064340000}" name="Coluna13407"/>
    <tableColumn id="13413" xr3:uid="{00000000-0010-0000-0000-000065340000}" name="Coluna13408"/>
    <tableColumn id="13414" xr3:uid="{00000000-0010-0000-0000-000066340000}" name="Coluna13409"/>
    <tableColumn id="13415" xr3:uid="{00000000-0010-0000-0000-000067340000}" name="Coluna13410"/>
    <tableColumn id="13416" xr3:uid="{00000000-0010-0000-0000-000068340000}" name="Coluna13411"/>
    <tableColumn id="13417" xr3:uid="{00000000-0010-0000-0000-000069340000}" name="Coluna13412"/>
    <tableColumn id="13418" xr3:uid="{00000000-0010-0000-0000-00006A340000}" name="Coluna13413"/>
    <tableColumn id="13419" xr3:uid="{00000000-0010-0000-0000-00006B340000}" name="Coluna13414"/>
    <tableColumn id="13420" xr3:uid="{00000000-0010-0000-0000-00006C340000}" name="Coluna13415"/>
    <tableColumn id="13421" xr3:uid="{00000000-0010-0000-0000-00006D340000}" name="Coluna13416"/>
    <tableColumn id="13422" xr3:uid="{00000000-0010-0000-0000-00006E340000}" name="Coluna13417"/>
    <tableColumn id="13423" xr3:uid="{00000000-0010-0000-0000-00006F340000}" name="Coluna13418"/>
    <tableColumn id="13424" xr3:uid="{00000000-0010-0000-0000-000070340000}" name="Coluna13419"/>
    <tableColumn id="13425" xr3:uid="{00000000-0010-0000-0000-000071340000}" name="Coluna13420"/>
    <tableColumn id="13426" xr3:uid="{00000000-0010-0000-0000-000072340000}" name="Coluna13421"/>
    <tableColumn id="13427" xr3:uid="{00000000-0010-0000-0000-000073340000}" name="Coluna13422"/>
    <tableColumn id="13428" xr3:uid="{00000000-0010-0000-0000-000074340000}" name="Coluna13423"/>
    <tableColumn id="13429" xr3:uid="{00000000-0010-0000-0000-000075340000}" name="Coluna13424"/>
    <tableColumn id="13430" xr3:uid="{00000000-0010-0000-0000-000076340000}" name="Coluna13425"/>
    <tableColumn id="13431" xr3:uid="{00000000-0010-0000-0000-000077340000}" name="Coluna13426"/>
    <tableColumn id="13432" xr3:uid="{00000000-0010-0000-0000-000078340000}" name="Coluna13427"/>
    <tableColumn id="13433" xr3:uid="{00000000-0010-0000-0000-000079340000}" name="Coluna13428"/>
    <tableColumn id="13434" xr3:uid="{00000000-0010-0000-0000-00007A340000}" name="Coluna13429"/>
    <tableColumn id="13435" xr3:uid="{00000000-0010-0000-0000-00007B340000}" name="Coluna13430"/>
    <tableColumn id="13436" xr3:uid="{00000000-0010-0000-0000-00007C340000}" name="Coluna13431"/>
    <tableColumn id="13437" xr3:uid="{00000000-0010-0000-0000-00007D340000}" name="Coluna13432"/>
    <tableColumn id="13438" xr3:uid="{00000000-0010-0000-0000-00007E340000}" name="Coluna13433"/>
    <tableColumn id="13439" xr3:uid="{00000000-0010-0000-0000-00007F340000}" name="Coluna13434"/>
    <tableColumn id="13440" xr3:uid="{00000000-0010-0000-0000-000080340000}" name="Coluna13435"/>
    <tableColumn id="13441" xr3:uid="{00000000-0010-0000-0000-000081340000}" name="Coluna13436"/>
    <tableColumn id="13442" xr3:uid="{00000000-0010-0000-0000-000082340000}" name="Coluna13437"/>
    <tableColumn id="13443" xr3:uid="{00000000-0010-0000-0000-000083340000}" name="Coluna13438"/>
    <tableColumn id="13444" xr3:uid="{00000000-0010-0000-0000-000084340000}" name="Coluna13439"/>
    <tableColumn id="13445" xr3:uid="{00000000-0010-0000-0000-000085340000}" name="Coluna13440"/>
    <tableColumn id="13446" xr3:uid="{00000000-0010-0000-0000-000086340000}" name="Coluna13441"/>
    <tableColumn id="13447" xr3:uid="{00000000-0010-0000-0000-000087340000}" name="Coluna13442"/>
    <tableColumn id="13448" xr3:uid="{00000000-0010-0000-0000-000088340000}" name="Coluna13443"/>
    <tableColumn id="13449" xr3:uid="{00000000-0010-0000-0000-000089340000}" name="Coluna13444"/>
    <tableColumn id="13450" xr3:uid="{00000000-0010-0000-0000-00008A340000}" name="Coluna13445"/>
    <tableColumn id="13451" xr3:uid="{00000000-0010-0000-0000-00008B340000}" name="Coluna13446"/>
    <tableColumn id="13452" xr3:uid="{00000000-0010-0000-0000-00008C340000}" name="Coluna13447"/>
    <tableColumn id="13453" xr3:uid="{00000000-0010-0000-0000-00008D340000}" name="Coluna13448"/>
    <tableColumn id="13454" xr3:uid="{00000000-0010-0000-0000-00008E340000}" name="Coluna13449"/>
    <tableColumn id="13455" xr3:uid="{00000000-0010-0000-0000-00008F340000}" name="Coluna13450"/>
    <tableColumn id="13456" xr3:uid="{00000000-0010-0000-0000-000090340000}" name="Coluna13451"/>
    <tableColumn id="13457" xr3:uid="{00000000-0010-0000-0000-000091340000}" name="Coluna13452"/>
    <tableColumn id="13458" xr3:uid="{00000000-0010-0000-0000-000092340000}" name="Coluna13453"/>
    <tableColumn id="13459" xr3:uid="{00000000-0010-0000-0000-000093340000}" name="Coluna13454"/>
    <tableColumn id="13460" xr3:uid="{00000000-0010-0000-0000-000094340000}" name="Coluna13455"/>
    <tableColumn id="13461" xr3:uid="{00000000-0010-0000-0000-000095340000}" name="Coluna13456"/>
    <tableColumn id="13462" xr3:uid="{00000000-0010-0000-0000-000096340000}" name="Coluna13457"/>
    <tableColumn id="13463" xr3:uid="{00000000-0010-0000-0000-000097340000}" name="Coluna13458"/>
    <tableColumn id="13464" xr3:uid="{00000000-0010-0000-0000-000098340000}" name="Coluna13459"/>
    <tableColumn id="13465" xr3:uid="{00000000-0010-0000-0000-000099340000}" name="Coluna13460"/>
    <tableColumn id="13466" xr3:uid="{00000000-0010-0000-0000-00009A340000}" name="Coluna13461"/>
    <tableColumn id="13467" xr3:uid="{00000000-0010-0000-0000-00009B340000}" name="Coluna13462"/>
    <tableColumn id="13468" xr3:uid="{00000000-0010-0000-0000-00009C340000}" name="Coluna13463"/>
    <tableColumn id="13469" xr3:uid="{00000000-0010-0000-0000-00009D340000}" name="Coluna13464"/>
    <tableColumn id="13470" xr3:uid="{00000000-0010-0000-0000-00009E340000}" name="Coluna13465"/>
    <tableColumn id="13471" xr3:uid="{00000000-0010-0000-0000-00009F340000}" name="Coluna13466"/>
    <tableColumn id="13472" xr3:uid="{00000000-0010-0000-0000-0000A0340000}" name="Coluna13467"/>
    <tableColumn id="13473" xr3:uid="{00000000-0010-0000-0000-0000A1340000}" name="Coluna13468"/>
    <tableColumn id="13474" xr3:uid="{00000000-0010-0000-0000-0000A2340000}" name="Coluna13469"/>
    <tableColumn id="13475" xr3:uid="{00000000-0010-0000-0000-0000A3340000}" name="Coluna13470"/>
    <tableColumn id="13476" xr3:uid="{00000000-0010-0000-0000-0000A4340000}" name="Coluna13471"/>
    <tableColumn id="13477" xr3:uid="{00000000-0010-0000-0000-0000A5340000}" name="Coluna13472"/>
    <tableColumn id="13478" xr3:uid="{00000000-0010-0000-0000-0000A6340000}" name="Coluna13473"/>
    <tableColumn id="13479" xr3:uid="{00000000-0010-0000-0000-0000A7340000}" name="Coluna13474"/>
    <tableColumn id="13480" xr3:uid="{00000000-0010-0000-0000-0000A8340000}" name="Coluna13475"/>
    <tableColumn id="13481" xr3:uid="{00000000-0010-0000-0000-0000A9340000}" name="Coluna13476"/>
    <tableColumn id="13482" xr3:uid="{00000000-0010-0000-0000-0000AA340000}" name="Coluna13477"/>
    <tableColumn id="13483" xr3:uid="{00000000-0010-0000-0000-0000AB340000}" name="Coluna13478"/>
    <tableColumn id="13484" xr3:uid="{00000000-0010-0000-0000-0000AC340000}" name="Coluna13479"/>
    <tableColumn id="13485" xr3:uid="{00000000-0010-0000-0000-0000AD340000}" name="Coluna13480"/>
    <tableColumn id="13486" xr3:uid="{00000000-0010-0000-0000-0000AE340000}" name="Coluna13481"/>
    <tableColumn id="13487" xr3:uid="{00000000-0010-0000-0000-0000AF340000}" name="Coluna13482"/>
    <tableColumn id="13488" xr3:uid="{00000000-0010-0000-0000-0000B0340000}" name="Coluna13483"/>
    <tableColumn id="13489" xr3:uid="{00000000-0010-0000-0000-0000B1340000}" name="Coluna13484"/>
    <tableColumn id="13490" xr3:uid="{00000000-0010-0000-0000-0000B2340000}" name="Coluna13485"/>
    <tableColumn id="13491" xr3:uid="{00000000-0010-0000-0000-0000B3340000}" name="Coluna13486"/>
    <tableColumn id="13492" xr3:uid="{00000000-0010-0000-0000-0000B4340000}" name="Coluna13487"/>
    <tableColumn id="13493" xr3:uid="{00000000-0010-0000-0000-0000B5340000}" name="Coluna13488"/>
    <tableColumn id="13494" xr3:uid="{00000000-0010-0000-0000-0000B6340000}" name="Coluna13489"/>
    <tableColumn id="13495" xr3:uid="{00000000-0010-0000-0000-0000B7340000}" name="Coluna13490"/>
    <tableColumn id="13496" xr3:uid="{00000000-0010-0000-0000-0000B8340000}" name="Coluna13491"/>
    <tableColumn id="13497" xr3:uid="{00000000-0010-0000-0000-0000B9340000}" name="Coluna13492"/>
    <tableColumn id="13498" xr3:uid="{00000000-0010-0000-0000-0000BA340000}" name="Coluna13493"/>
    <tableColumn id="13499" xr3:uid="{00000000-0010-0000-0000-0000BB340000}" name="Coluna13494"/>
    <tableColumn id="13500" xr3:uid="{00000000-0010-0000-0000-0000BC340000}" name="Coluna13495"/>
    <tableColumn id="13501" xr3:uid="{00000000-0010-0000-0000-0000BD340000}" name="Coluna13496"/>
    <tableColumn id="13502" xr3:uid="{00000000-0010-0000-0000-0000BE340000}" name="Coluna13497"/>
    <tableColumn id="13503" xr3:uid="{00000000-0010-0000-0000-0000BF340000}" name="Coluna13498"/>
    <tableColumn id="13504" xr3:uid="{00000000-0010-0000-0000-0000C0340000}" name="Coluna13499"/>
    <tableColumn id="13505" xr3:uid="{00000000-0010-0000-0000-0000C1340000}" name="Coluna13500"/>
    <tableColumn id="13506" xr3:uid="{00000000-0010-0000-0000-0000C2340000}" name="Coluna13501"/>
    <tableColumn id="13507" xr3:uid="{00000000-0010-0000-0000-0000C3340000}" name="Coluna13502"/>
    <tableColumn id="13508" xr3:uid="{00000000-0010-0000-0000-0000C4340000}" name="Coluna13503"/>
    <tableColumn id="13509" xr3:uid="{00000000-0010-0000-0000-0000C5340000}" name="Coluna13504"/>
    <tableColumn id="13510" xr3:uid="{00000000-0010-0000-0000-0000C6340000}" name="Coluna13505"/>
    <tableColumn id="13511" xr3:uid="{00000000-0010-0000-0000-0000C7340000}" name="Coluna13506"/>
    <tableColumn id="13512" xr3:uid="{00000000-0010-0000-0000-0000C8340000}" name="Coluna13507"/>
    <tableColumn id="13513" xr3:uid="{00000000-0010-0000-0000-0000C9340000}" name="Coluna13508"/>
    <tableColumn id="13514" xr3:uid="{00000000-0010-0000-0000-0000CA340000}" name="Coluna13509"/>
    <tableColumn id="13515" xr3:uid="{00000000-0010-0000-0000-0000CB340000}" name="Coluna13510"/>
    <tableColumn id="13516" xr3:uid="{00000000-0010-0000-0000-0000CC340000}" name="Coluna13511"/>
    <tableColumn id="13517" xr3:uid="{00000000-0010-0000-0000-0000CD340000}" name="Coluna13512"/>
    <tableColumn id="13518" xr3:uid="{00000000-0010-0000-0000-0000CE340000}" name="Coluna13513"/>
    <tableColumn id="13519" xr3:uid="{00000000-0010-0000-0000-0000CF340000}" name="Coluna13514"/>
    <tableColumn id="13520" xr3:uid="{00000000-0010-0000-0000-0000D0340000}" name="Coluna13515"/>
    <tableColumn id="13521" xr3:uid="{00000000-0010-0000-0000-0000D1340000}" name="Coluna13516"/>
    <tableColumn id="13522" xr3:uid="{00000000-0010-0000-0000-0000D2340000}" name="Coluna13517"/>
    <tableColumn id="13523" xr3:uid="{00000000-0010-0000-0000-0000D3340000}" name="Coluna13518"/>
    <tableColumn id="13524" xr3:uid="{00000000-0010-0000-0000-0000D4340000}" name="Coluna13519"/>
    <tableColumn id="13525" xr3:uid="{00000000-0010-0000-0000-0000D5340000}" name="Coluna13520"/>
    <tableColumn id="13526" xr3:uid="{00000000-0010-0000-0000-0000D6340000}" name="Coluna13521"/>
    <tableColumn id="13527" xr3:uid="{00000000-0010-0000-0000-0000D7340000}" name="Coluna13522"/>
    <tableColumn id="13528" xr3:uid="{00000000-0010-0000-0000-0000D8340000}" name="Coluna13523"/>
    <tableColumn id="13529" xr3:uid="{00000000-0010-0000-0000-0000D9340000}" name="Coluna13524"/>
    <tableColumn id="13530" xr3:uid="{00000000-0010-0000-0000-0000DA340000}" name="Coluna13525"/>
    <tableColumn id="13531" xr3:uid="{00000000-0010-0000-0000-0000DB340000}" name="Coluna13526"/>
    <tableColumn id="13532" xr3:uid="{00000000-0010-0000-0000-0000DC340000}" name="Coluna13527"/>
    <tableColumn id="13533" xr3:uid="{00000000-0010-0000-0000-0000DD340000}" name="Coluna13528"/>
    <tableColumn id="13534" xr3:uid="{00000000-0010-0000-0000-0000DE340000}" name="Coluna13529"/>
    <tableColumn id="13535" xr3:uid="{00000000-0010-0000-0000-0000DF340000}" name="Coluna13530"/>
    <tableColumn id="13536" xr3:uid="{00000000-0010-0000-0000-0000E0340000}" name="Coluna13531"/>
    <tableColumn id="13537" xr3:uid="{00000000-0010-0000-0000-0000E1340000}" name="Coluna13532"/>
    <tableColumn id="13538" xr3:uid="{00000000-0010-0000-0000-0000E2340000}" name="Coluna13533"/>
    <tableColumn id="13539" xr3:uid="{00000000-0010-0000-0000-0000E3340000}" name="Coluna13534"/>
    <tableColumn id="13540" xr3:uid="{00000000-0010-0000-0000-0000E4340000}" name="Coluna13535"/>
    <tableColumn id="13541" xr3:uid="{00000000-0010-0000-0000-0000E5340000}" name="Coluna13536"/>
    <tableColumn id="13542" xr3:uid="{00000000-0010-0000-0000-0000E6340000}" name="Coluna13537"/>
    <tableColumn id="13543" xr3:uid="{00000000-0010-0000-0000-0000E7340000}" name="Coluna13538"/>
    <tableColumn id="13544" xr3:uid="{00000000-0010-0000-0000-0000E8340000}" name="Coluna13539"/>
    <tableColumn id="13545" xr3:uid="{00000000-0010-0000-0000-0000E9340000}" name="Coluna13540"/>
    <tableColumn id="13546" xr3:uid="{00000000-0010-0000-0000-0000EA340000}" name="Coluna13541"/>
    <tableColumn id="13547" xr3:uid="{00000000-0010-0000-0000-0000EB340000}" name="Coluna13542"/>
    <tableColumn id="13548" xr3:uid="{00000000-0010-0000-0000-0000EC340000}" name="Coluna13543"/>
    <tableColumn id="13549" xr3:uid="{00000000-0010-0000-0000-0000ED340000}" name="Coluna13544"/>
    <tableColumn id="13550" xr3:uid="{00000000-0010-0000-0000-0000EE340000}" name="Coluna13545"/>
    <tableColumn id="13551" xr3:uid="{00000000-0010-0000-0000-0000EF340000}" name="Coluna13546"/>
    <tableColumn id="13552" xr3:uid="{00000000-0010-0000-0000-0000F0340000}" name="Coluna13547"/>
    <tableColumn id="13553" xr3:uid="{00000000-0010-0000-0000-0000F1340000}" name="Coluna13548"/>
    <tableColumn id="13554" xr3:uid="{00000000-0010-0000-0000-0000F2340000}" name="Coluna13549"/>
    <tableColumn id="13555" xr3:uid="{00000000-0010-0000-0000-0000F3340000}" name="Coluna13550"/>
    <tableColumn id="13556" xr3:uid="{00000000-0010-0000-0000-0000F4340000}" name="Coluna13551"/>
    <tableColumn id="13557" xr3:uid="{00000000-0010-0000-0000-0000F5340000}" name="Coluna13552"/>
    <tableColumn id="13558" xr3:uid="{00000000-0010-0000-0000-0000F6340000}" name="Coluna13553"/>
    <tableColumn id="13559" xr3:uid="{00000000-0010-0000-0000-0000F7340000}" name="Coluna13554"/>
    <tableColumn id="13560" xr3:uid="{00000000-0010-0000-0000-0000F8340000}" name="Coluna13555"/>
    <tableColumn id="13561" xr3:uid="{00000000-0010-0000-0000-0000F9340000}" name="Coluna13556"/>
    <tableColumn id="13562" xr3:uid="{00000000-0010-0000-0000-0000FA340000}" name="Coluna13557"/>
    <tableColumn id="13563" xr3:uid="{00000000-0010-0000-0000-0000FB340000}" name="Coluna13558"/>
    <tableColumn id="13564" xr3:uid="{00000000-0010-0000-0000-0000FC340000}" name="Coluna13559"/>
    <tableColumn id="13565" xr3:uid="{00000000-0010-0000-0000-0000FD340000}" name="Coluna13560"/>
    <tableColumn id="13566" xr3:uid="{00000000-0010-0000-0000-0000FE340000}" name="Coluna13561"/>
    <tableColumn id="13567" xr3:uid="{00000000-0010-0000-0000-0000FF340000}" name="Coluna13562"/>
    <tableColumn id="13568" xr3:uid="{00000000-0010-0000-0000-000000350000}" name="Coluna13563"/>
    <tableColumn id="13569" xr3:uid="{00000000-0010-0000-0000-000001350000}" name="Coluna13564"/>
    <tableColumn id="13570" xr3:uid="{00000000-0010-0000-0000-000002350000}" name="Coluna13565"/>
    <tableColumn id="13571" xr3:uid="{00000000-0010-0000-0000-000003350000}" name="Coluna13566"/>
    <tableColumn id="13572" xr3:uid="{00000000-0010-0000-0000-000004350000}" name="Coluna13567"/>
    <tableColumn id="13573" xr3:uid="{00000000-0010-0000-0000-000005350000}" name="Coluna13568"/>
    <tableColumn id="13574" xr3:uid="{00000000-0010-0000-0000-000006350000}" name="Coluna13569"/>
    <tableColumn id="13575" xr3:uid="{00000000-0010-0000-0000-000007350000}" name="Coluna13570"/>
    <tableColumn id="13576" xr3:uid="{00000000-0010-0000-0000-000008350000}" name="Coluna13571"/>
    <tableColumn id="13577" xr3:uid="{00000000-0010-0000-0000-000009350000}" name="Coluna13572"/>
    <tableColumn id="13578" xr3:uid="{00000000-0010-0000-0000-00000A350000}" name="Coluna13573"/>
    <tableColumn id="13579" xr3:uid="{00000000-0010-0000-0000-00000B350000}" name="Coluna13574"/>
    <tableColumn id="13580" xr3:uid="{00000000-0010-0000-0000-00000C350000}" name="Coluna13575"/>
    <tableColumn id="13581" xr3:uid="{00000000-0010-0000-0000-00000D350000}" name="Coluna13576"/>
    <tableColumn id="13582" xr3:uid="{00000000-0010-0000-0000-00000E350000}" name="Coluna13577"/>
    <tableColumn id="13583" xr3:uid="{00000000-0010-0000-0000-00000F350000}" name="Coluna13578"/>
    <tableColumn id="13584" xr3:uid="{00000000-0010-0000-0000-000010350000}" name="Coluna13579"/>
    <tableColumn id="13585" xr3:uid="{00000000-0010-0000-0000-000011350000}" name="Coluna13580"/>
    <tableColumn id="13586" xr3:uid="{00000000-0010-0000-0000-000012350000}" name="Coluna13581"/>
    <tableColumn id="13587" xr3:uid="{00000000-0010-0000-0000-000013350000}" name="Coluna13582"/>
    <tableColumn id="13588" xr3:uid="{00000000-0010-0000-0000-000014350000}" name="Coluna13583"/>
    <tableColumn id="13589" xr3:uid="{00000000-0010-0000-0000-000015350000}" name="Coluna13584"/>
    <tableColumn id="13590" xr3:uid="{00000000-0010-0000-0000-000016350000}" name="Coluna13585"/>
    <tableColumn id="13591" xr3:uid="{00000000-0010-0000-0000-000017350000}" name="Coluna13586"/>
    <tableColumn id="13592" xr3:uid="{00000000-0010-0000-0000-000018350000}" name="Coluna13587"/>
    <tableColumn id="13593" xr3:uid="{00000000-0010-0000-0000-000019350000}" name="Coluna13588"/>
    <tableColumn id="13594" xr3:uid="{00000000-0010-0000-0000-00001A350000}" name="Coluna13589"/>
    <tableColumn id="13595" xr3:uid="{00000000-0010-0000-0000-00001B350000}" name="Coluna13590"/>
    <tableColumn id="13596" xr3:uid="{00000000-0010-0000-0000-00001C350000}" name="Coluna13591"/>
    <tableColumn id="13597" xr3:uid="{00000000-0010-0000-0000-00001D350000}" name="Coluna13592"/>
    <tableColumn id="13598" xr3:uid="{00000000-0010-0000-0000-00001E350000}" name="Coluna13593"/>
    <tableColumn id="13599" xr3:uid="{00000000-0010-0000-0000-00001F350000}" name="Coluna13594"/>
    <tableColumn id="13600" xr3:uid="{00000000-0010-0000-0000-000020350000}" name="Coluna13595"/>
    <tableColumn id="13601" xr3:uid="{00000000-0010-0000-0000-000021350000}" name="Coluna13596"/>
    <tableColumn id="13602" xr3:uid="{00000000-0010-0000-0000-000022350000}" name="Coluna13597"/>
    <tableColumn id="13603" xr3:uid="{00000000-0010-0000-0000-000023350000}" name="Coluna13598"/>
    <tableColumn id="13604" xr3:uid="{00000000-0010-0000-0000-000024350000}" name="Coluna13599"/>
    <tableColumn id="13605" xr3:uid="{00000000-0010-0000-0000-000025350000}" name="Coluna13600"/>
    <tableColumn id="13606" xr3:uid="{00000000-0010-0000-0000-000026350000}" name="Coluna13601"/>
    <tableColumn id="13607" xr3:uid="{00000000-0010-0000-0000-000027350000}" name="Coluna13602"/>
    <tableColumn id="13608" xr3:uid="{00000000-0010-0000-0000-000028350000}" name="Coluna13603"/>
    <tableColumn id="13609" xr3:uid="{00000000-0010-0000-0000-000029350000}" name="Coluna13604"/>
    <tableColumn id="13610" xr3:uid="{00000000-0010-0000-0000-00002A350000}" name="Coluna13605"/>
    <tableColumn id="13611" xr3:uid="{00000000-0010-0000-0000-00002B350000}" name="Coluna13606"/>
    <tableColumn id="13612" xr3:uid="{00000000-0010-0000-0000-00002C350000}" name="Coluna13607"/>
    <tableColumn id="13613" xr3:uid="{00000000-0010-0000-0000-00002D350000}" name="Coluna13608"/>
    <tableColumn id="13614" xr3:uid="{00000000-0010-0000-0000-00002E350000}" name="Coluna13609"/>
    <tableColumn id="13615" xr3:uid="{00000000-0010-0000-0000-00002F350000}" name="Coluna13610"/>
    <tableColumn id="13616" xr3:uid="{00000000-0010-0000-0000-000030350000}" name="Coluna13611"/>
    <tableColumn id="13617" xr3:uid="{00000000-0010-0000-0000-000031350000}" name="Coluna13612"/>
    <tableColumn id="13618" xr3:uid="{00000000-0010-0000-0000-000032350000}" name="Coluna13613"/>
    <tableColumn id="13619" xr3:uid="{00000000-0010-0000-0000-000033350000}" name="Coluna13614"/>
    <tableColumn id="13620" xr3:uid="{00000000-0010-0000-0000-000034350000}" name="Coluna13615"/>
    <tableColumn id="13621" xr3:uid="{00000000-0010-0000-0000-000035350000}" name="Coluna13616"/>
    <tableColumn id="13622" xr3:uid="{00000000-0010-0000-0000-000036350000}" name="Coluna13617"/>
    <tableColumn id="13623" xr3:uid="{00000000-0010-0000-0000-000037350000}" name="Coluna13618"/>
    <tableColumn id="13624" xr3:uid="{00000000-0010-0000-0000-000038350000}" name="Coluna13619"/>
    <tableColumn id="13625" xr3:uid="{00000000-0010-0000-0000-000039350000}" name="Coluna13620"/>
    <tableColumn id="13626" xr3:uid="{00000000-0010-0000-0000-00003A350000}" name="Coluna13621"/>
    <tableColumn id="13627" xr3:uid="{00000000-0010-0000-0000-00003B350000}" name="Coluna13622"/>
    <tableColumn id="13628" xr3:uid="{00000000-0010-0000-0000-00003C350000}" name="Coluna13623"/>
    <tableColumn id="13629" xr3:uid="{00000000-0010-0000-0000-00003D350000}" name="Coluna13624"/>
    <tableColumn id="13630" xr3:uid="{00000000-0010-0000-0000-00003E350000}" name="Coluna13625"/>
    <tableColumn id="13631" xr3:uid="{00000000-0010-0000-0000-00003F350000}" name="Coluna13626"/>
    <tableColumn id="13632" xr3:uid="{00000000-0010-0000-0000-000040350000}" name="Coluna13627"/>
    <tableColumn id="13633" xr3:uid="{00000000-0010-0000-0000-000041350000}" name="Coluna13628"/>
    <tableColumn id="13634" xr3:uid="{00000000-0010-0000-0000-000042350000}" name="Coluna13629"/>
    <tableColumn id="13635" xr3:uid="{00000000-0010-0000-0000-000043350000}" name="Coluna13630"/>
    <tableColumn id="13636" xr3:uid="{00000000-0010-0000-0000-000044350000}" name="Coluna13631"/>
    <tableColumn id="13637" xr3:uid="{00000000-0010-0000-0000-000045350000}" name="Coluna13632"/>
    <tableColumn id="13638" xr3:uid="{00000000-0010-0000-0000-000046350000}" name="Coluna13633"/>
    <tableColumn id="13639" xr3:uid="{00000000-0010-0000-0000-000047350000}" name="Coluna13634"/>
    <tableColumn id="13640" xr3:uid="{00000000-0010-0000-0000-000048350000}" name="Coluna13635"/>
    <tableColumn id="13641" xr3:uid="{00000000-0010-0000-0000-000049350000}" name="Coluna13636"/>
    <tableColumn id="13642" xr3:uid="{00000000-0010-0000-0000-00004A350000}" name="Coluna13637"/>
    <tableColumn id="13643" xr3:uid="{00000000-0010-0000-0000-00004B350000}" name="Coluna13638"/>
    <tableColumn id="13644" xr3:uid="{00000000-0010-0000-0000-00004C350000}" name="Coluna13639"/>
    <tableColumn id="13645" xr3:uid="{00000000-0010-0000-0000-00004D350000}" name="Coluna13640"/>
    <tableColumn id="13646" xr3:uid="{00000000-0010-0000-0000-00004E350000}" name="Coluna13641"/>
    <tableColumn id="13647" xr3:uid="{00000000-0010-0000-0000-00004F350000}" name="Coluna13642"/>
    <tableColumn id="13648" xr3:uid="{00000000-0010-0000-0000-000050350000}" name="Coluna13643"/>
    <tableColumn id="13649" xr3:uid="{00000000-0010-0000-0000-000051350000}" name="Coluna13644"/>
    <tableColumn id="13650" xr3:uid="{00000000-0010-0000-0000-000052350000}" name="Coluna13645"/>
    <tableColumn id="13651" xr3:uid="{00000000-0010-0000-0000-000053350000}" name="Coluna13646"/>
    <tableColumn id="13652" xr3:uid="{00000000-0010-0000-0000-000054350000}" name="Coluna13647"/>
    <tableColumn id="13653" xr3:uid="{00000000-0010-0000-0000-000055350000}" name="Coluna13648"/>
    <tableColumn id="13654" xr3:uid="{00000000-0010-0000-0000-000056350000}" name="Coluna13649"/>
    <tableColumn id="13655" xr3:uid="{00000000-0010-0000-0000-000057350000}" name="Coluna13650"/>
    <tableColumn id="13656" xr3:uid="{00000000-0010-0000-0000-000058350000}" name="Coluna13651"/>
    <tableColumn id="13657" xr3:uid="{00000000-0010-0000-0000-000059350000}" name="Coluna13652"/>
    <tableColumn id="13658" xr3:uid="{00000000-0010-0000-0000-00005A350000}" name="Coluna13653"/>
    <tableColumn id="13659" xr3:uid="{00000000-0010-0000-0000-00005B350000}" name="Coluna13654"/>
    <tableColumn id="13660" xr3:uid="{00000000-0010-0000-0000-00005C350000}" name="Coluna13655"/>
    <tableColumn id="13661" xr3:uid="{00000000-0010-0000-0000-00005D350000}" name="Coluna13656"/>
    <tableColumn id="13662" xr3:uid="{00000000-0010-0000-0000-00005E350000}" name="Coluna13657"/>
    <tableColumn id="13663" xr3:uid="{00000000-0010-0000-0000-00005F350000}" name="Coluna13658"/>
    <tableColumn id="13664" xr3:uid="{00000000-0010-0000-0000-000060350000}" name="Coluna13659"/>
    <tableColumn id="13665" xr3:uid="{00000000-0010-0000-0000-000061350000}" name="Coluna13660"/>
    <tableColumn id="13666" xr3:uid="{00000000-0010-0000-0000-000062350000}" name="Coluna13661"/>
    <tableColumn id="13667" xr3:uid="{00000000-0010-0000-0000-000063350000}" name="Coluna13662"/>
    <tableColumn id="13668" xr3:uid="{00000000-0010-0000-0000-000064350000}" name="Coluna13663"/>
    <tableColumn id="13669" xr3:uid="{00000000-0010-0000-0000-000065350000}" name="Coluna13664"/>
    <tableColumn id="13670" xr3:uid="{00000000-0010-0000-0000-000066350000}" name="Coluna13665"/>
    <tableColumn id="13671" xr3:uid="{00000000-0010-0000-0000-000067350000}" name="Coluna13666"/>
    <tableColumn id="13672" xr3:uid="{00000000-0010-0000-0000-000068350000}" name="Coluna13667"/>
    <tableColumn id="13673" xr3:uid="{00000000-0010-0000-0000-000069350000}" name="Coluna13668"/>
    <tableColumn id="13674" xr3:uid="{00000000-0010-0000-0000-00006A350000}" name="Coluna13669"/>
    <tableColumn id="13675" xr3:uid="{00000000-0010-0000-0000-00006B350000}" name="Coluna13670"/>
    <tableColumn id="13676" xr3:uid="{00000000-0010-0000-0000-00006C350000}" name="Coluna13671"/>
    <tableColumn id="13677" xr3:uid="{00000000-0010-0000-0000-00006D350000}" name="Coluna13672"/>
    <tableColumn id="13678" xr3:uid="{00000000-0010-0000-0000-00006E350000}" name="Coluna13673"/>
    <tableColumn id="13679" xr3:uid="{00000000-0010-0000-0000-00006F350000}" name="Coluna13674"/>
    <tableColumn id="13680" xr3:uid="{00000000-0010-0000-0000-000070350000}" name="Coluna13675"/>
    <tableColumn id="13681" xr3:uid="{00000000-0010-0000-0000-000071350000}" name="Coluna13676"/>
    <tableColumn id="13682" xr3:uid="{00000000-0010-0000-0000-000072350000}" name="Coluna13677"/>
    <tableColumn id="13683" xr3:uid="{00000000-0010-0000-0000-000073350000}" name="Coluna13678"/>
    <tableColumn id="13684" xr3:uid="{00000000-0010-0000-0000-000074350000}" name="Coluna13679"/>
    <tableColumn id="13685" xr3:uid="{00000000-0010-0000-0000-000075350000}" name="Coluna13680"/>
    <tableColumn id="13686" xr3:uid="{00000000-0010-0000-0000-000076350000}" name="Coluna13681"/>
    <tableColumn id="13687" xr3:uid="{00000000-0010-0000-0000-000077350000}" name="Coluna13682"/>
    <tableColumn id="13688" xr3:uid="{00000000-0010-0000-0000-000078350000}" name="Coluna13683"/>
    <tableColumn id="13689" xr3:uid="{00000000-0010-0000-0000-000079350000}" name="Coluna13684"/>
    <tableColumn id="13690" xr3:uid="{00000000-0010-0000-0000-00007A350000}" name="Coluna13685"/>
    <tableColumn id="13691" xr3:uid="{00000000-0010-0000-0000-00007B350000}" name="Coluna13686"/>
    <tableColumn id="13692" xr3:uid="{00000000-0010-0000-0000-00007C350000}" name="Coluna13687"/>
    <tableColumn id="13693" xr3:uid="{00000000-0010-0000-0000-00007D350000}" name="Coluna13688"/>
    <tableColumn id="13694" xr3:uid="{00000000-0010-0000-0000-00007E350000}" name="Coluna13689"/>
    <tableColumn id="13695" xr3:uid="{00000000-0010-0000-0000-00007F350000}" name="Coluna13690"/>
    <tableColumn id="13696" xr3:uid="{00000000-0010-0000-0000-000080350000}" name="Coluna13691"/>
    <tableColumn id="13697" xr3:uid="{00000000-0010-0000-0000-000081350000}" name="Coluna13692"/>
    <tableColumn id="13698" xr3:uid="{00000000-0010-0000-0000-000082350000}" name="Coluna13693"/>
    <tableColumn id="13699" xr3:uid="{00000000-0010-0000-0000-000083350000}" name="Coluna13694"/>
    <tableColumn id="13700" xr3:uid="{00000000-0010-0000-0000-000084350000}" name="Coluna13695"/>
    <tableColumn id="13701" xr3:uid="{00000000-0010-0000-0000-000085350000}" name="Coluna13696"/>
    <tableColumn id="13702" xr3:uid="{00000000-0010-0000-0000-000086350000}" name="Coluna13697"/>
    <tableColumn id="13703" xr3:uid="{00000000-0010-0000-0000-000087350000}" name="Coluna13698"/>
    <tableColumn id="13704" xr3:uid="{00000000-0010-0000-0000-000088350000}" name="Coluna13699"/>
    <tableColumn id="13705" xr3:uid="{00000000-0010-0000-0000-000089350000}" name="Coluna13700"/>
    <tableColumn id="13706" xr3:uid="{00000000-0010-0000-0000-00008A350000}" name="Coluna13701"/>
    <tableColumn id="13707" xr3:uid="{00000000-0010-0000-0000-00008B350000}" name="Coluna13702"/>
    <tableColumn id="13708" xr3:uid="{00000000-0010-0000-0000-00008C350000}" name="Coluna13703"/>
    <tableColumn id="13709" xr3:uid="{00000000-0010-0000-0000-00008D350000}" name="Coluna13704"/>
    <tableColumn id="13710" xr3:uid="{00000000-0010-0000-0000-00008E350000}" name="Coluna13705"/>
    <tableColumn id="13711" xr3:uid="{00000000-0010-0000-0000-00008F350000}" name="Coluna13706"/>
    <tableColumn id="13712" xr3:uid="{00000000-0010-0000-0000-000090350000}" name="Coluna13707"/>
    <tableColumn id="13713" xr3:uid="{00000000-0010-0000-0000-000091350000}" name="Coluna13708"/>
    <tableColumn id="13714" xr3:uid="{00000000-0010-0000-0000-000092350000}" name="Coluna13709"/>
    <tableColumn id="13715" xr3:uid="{00000000-0010-0000-0000-000093350000}" name="Coluna13710"/>
    <tableColumn id="13716" xr3:uid="{00000000-0010-0000-0000-000094350000}" name="Coluna13711"/>
    <tableColumn id="13717" xr3:uid="{00000000-0010-0000-0000-000095350000}" name="Coluna13712"/>
    <tableColumn id="13718" xr3:uid="{00000000-0010-0000-0000-000096350000}" name="Coluna13713"/>
    <tableColumn id="13719" xr3:uid="{00000000-0010-0000-0000-000097350000}" name="Coluna13714"/>
    <tableColumn id="13720" xr3:uid="{00000000-0010-0000-0000-000098350000}" name="Coluna13715"/>
    <tableColumn id="13721" xr3:uid="{00000000-0010-0000-0000-000099350000}" name="Coluna13716"/>
    <tableColumn id="13722" xr3:uid="{00000000-0010-0000-0000-00009A350000}" name="Coluna13717"/>
    <tableColumn id="13723" xr3:uid="{00000000-0010-0000-0000-00009B350000}" name="Coluna13718"/>
    <tableColumn id="13724" xr3:uid="{00000000-0010-0000-0000-00009C350000}" name="Coluna13719"/>
    <tableColumn id="13725" xr3:uid="{00000000-0010-0000-0000-00009D350000}" name="Coluna13720"/>
    <tableColumn id="13726" xr3:uid="{00000000-0010-0000-0000-00009E350000}" name="Coluna13721"/>
    <tableColumn id="13727" xr3:uid="{00000000-0010-0000-0000-00009F350000}" name="Coluna13722"/>
    <tableColumn id="13728" xr3:uid="{00000000-0010-0000-0000-0000A0350000}" name="Coluna13723"/>
    <tableColumn id="13729" xr3:uid="{00000000-0010-0000-0000-0000A1350000}" name="Coluna13724"/>
    <tableColumn id="13730" xr3:uid="{00000000-0010-0000-0000-0000A2350000}" name="Coluna13725"/>
    <tableColumn id="13731" xr3:uid="{00000000-0010-0000-0000-0000A3350000}" name="Coluna13726"/>
    <tableColumn id="13732" xr3:uid="{00000000-0010-0000-0000-0000A4350000}" name="Coluna13727"/>
    <tableColumn id="13733" xr3:uid="{00000000-0010-0000-0000-0000A5350000}" name="Coluna13728"/>
    <tableColumn id="13734" xr3:uid="{00000000-0010-0000-0000-0000A6350000}" name="Coluna13729"/>
    <tableColumn id="13735" xr3:uid="{00000000-0010-0000-0000-0000A7350000}" name="Coluna13730"/>
    <tableColumn id="13736" xr3:uid="{00000000-0010-0000-0000-0000A8350000}" name="Coluna13731"/>
    <tableColumn id="13737" xr3:uid="{00000000-0010-0000-0000-0000A9350000}" name="Coluna13732"/>
    <tableColumn id="13738" xr3:uid="{00000000-0010-0000-0000-0000AA350000}" name="Coluna13733"/>
    <tableColumn id="13739" xr3:uid="{00000000-0010-0000-0000-0000AB350000}" name="Coluna13734"/>
    <tableColumn id="13740" xr3:uid="{00000000-0010-0000-0000-0000AC350000}" name="Coluna13735"/>
    <tableColumn id="13741" xr3:uid="{00000000-0010-0000-0000-0000AD350000}" name="Coluna13736"/>
    <tableColumn id="13742" xr3:uid="{00000000-0010-0000-0000-0000AE350000}" name="Coluna13737"/>
    <tableColumn id="13743" xr3:uid="{00000000-0010-0000-0000-0000AF350000}" name="Coluna13738"/>
    <tableColumn id="13744" xr3:uid="{00000000-0010-0000-0000-0000B0350000}" name="Coluna13739"/>
    <tableColumn id="13745" xr3:uid="{00000000-0010-0000-0000-0000B1350000}" name="Coluna13740"/>
    <tableColumn id="13746" xr3:uid="{00000000-0010-0000-0000-0000B2350000}" name="Coluna13741"/>
    <tableColumn id="13747" xr3:uid="{00000000-0010-0000-0000-0000B3350000}" name="Coluna13742"/>
    <tableColumn id="13748" xr3:uid="{00000000-0010-0000-0000-0000B4350000}" name="Coluna13743"/>
    <tableColumn id="13749" xr3:uid="{00000000-0010-0000-0000-0000B5350000}" name="Coluna13744"/>
    <tableColumn id="13750" xr3:uid="{00000000-0010-0000-0000-0000B6350000}" name="Coluna13745"/>
    <tableColumn id="13751" xr3:uid="{00000000-0010-0000-0000-0000B7350000}" name="Coluna13746"/>
    <tableColumn id="13752" xr3:uid="{00000000-0010-0000-0000-0000B8350000}" name="Coluna13747"/>
    <tableColumn id="13753" xr3:uid="{00000000-0010-0000-0000-0000B9350000}" name="Coluna13748"/>
    <tableColumn id="13754" xr3:uid="{00000000-0010-0000-0000-0000BA350000}" name="Coluna13749"/>
    <tableColumn id="13755" xr3:uid="{00000000-0010-0000-0000-0000BB350000}" name="Coluna13750"/>
    <tableColumn id="13756" xr3:uid="{00000000-0010-0000-0000-0000BC350000}" name="Coluna13751"/>
    <tableColumn id="13757" xr3:uid="{00000000-0010-0000-0000-0000BD350000}" name="Coluna13752"/>
    <tableColumn id="13758" xr3:uid="{00000000-0010-0000-0000-0000BE350000}" name="Coluna13753"/>
    <tableColumn id="13759" xr3:uid="{00000000-0010-0000-0000-0000BF350000}" name="Coluna13754"/>
    <tableColumn id="13760" xr3:uid="{00000000-0010-0000-0000-0000C0350000}" name="Coluna13755"/>
    <tableColumn id="13761" xr3:uid="{00000000-0010-0000-0000-0000C1350000}" name="Coluna13756"/>
    <tableColumn id="13762" xr3:uid="{00000000-0010-0000-0000-0000C2350000}" name="Coluna13757"/>
    <tableColumn id="13763" xr3:uid="{00000000-0010-0000-0000-0000C3350000}" name="Coluna13758"/>
    <tableColumn id="13764" xr3:uid="{00000000-0010-0000-0000-0000C4350000}" name="Coluna13759"/>
    <tableColumn id="13765" xr3:uid="{00000000-0010-0000-0000-0000C5350000}" name="Coluna13760"/>
    <tableColumn id="13766" xr3:uid="{00000000-0010-0000-0000-0000C6350000}" name="Coluna13761"/>
    <tableColumn id="13767" xr3:uid="{00000000-0010-0000-0000-0000C7350000}" name="Coluna13762"/>
    <tableColumn id="13768" xr3:uid="{00000000-0010-0000-0000-0000C8350000}" name="Coluna13763"/>
    <tableColumn id="13769" xr3:uid="{00000000-0010-0000-0000-0000C9350000}" name="Coluna13764"/>
    <tableColumn id="13770" xr3:uid="{00000000-0010-0000-0000-0000CA350000}" name="Coluna13765"/>
    <tableColumn id="13771" xr3:uid="{00000000-0010-0000-0000-0000CB350000}" name="Coluna13766"/>
    <tableColumn id="13772" xr3:uid="{00000000-0010-0000-0000-0000CC350000}" name="Coluna13767"/>
    <tableColumn id="13773" xr3:uid="{00000000-0010-0000-0000-0000CD350000}" name="Coluna13768"/>
    <tableColumn id="13774" xr3:uid="{00000000-0010-0000-0000-0000CE350000}" name="Coluna13769"/>
    <tableColumn id="13775" xr3:uid="{00000000-0010-0000-0000-0000CF350000}" name="Coluna13770"/>
    <tableColumn id="13776" xr3:uid="{00000000-0010-0000-0000-0000D0350000}" name="Coluna13771"/>
    <tableColumn id="13777" xr3:uid="{00000000-0010-0000-0000-0000D1350000}" name="Coluna13772"/>
    <tableColumn id="13778" xr3:uid="{00000000-0010-0000-0000-0000D2350000}" name="Coluna13773"/>
    <tableColumn id="13779" xr3:uid="{00000000-0010-0000-0000-0000D3350000}" name="Coluna13774"/>
    <tableColumn id="13780" xr3:uid="{00000000-0010-0000-0000-0000D4350000}" name="Coluna13775"/>
    <tableColumn id="13781" xr3:uid="{00000000-0010-0000-0000-0000D5350000}" name="Coluna13776"/>
    <tableColumn id="13782" xr3:uid="{00000000-0010-0000-0000-0000D6350000}" name="Coluna13777"/>
    <tableColumn id="13783" xr3:uid="{00000000-0010-0000-0000-0000D7350000}" name="Coluna13778"/>
    <tableColumn id="13784" xr3:uid="{00000000-0010-0000-0000-0000D8350000}" name="Coluna13779"/>
    <tableColumn id="13785" xr3:uid="{00000000-0010-0000-0000-0000D9350000}" name="Coluna13780"/>
    <tableColumn id="13786" xr3:uid="{00000000-0010-0000-0000-0000DA350000}" name="Coluna13781"/>
    <tableColumn id="13787" xr3:uid="{00000000-0010-0000-0000-0000DB350000}" name="Coluna13782"/>
    <tableColumn id="13788" xr3:uid="{00000000-0010-0000-0000-0000DC350000}" name="Coluna13783"/>
    <tableColumn id="13789" xr3:uid="{00000000-0010-0000-0000-0000DD350000}" name="Coluna13784"/>
    <tableColumn id="13790" xr3:uid="{00000000-0010-0000-0000-0000DE350000}" name="Coluna13785"/>
    <tableColumn id="13791" xr3:uid="{00000000-0010-0000-0000-0000DF350000}" name="Coluna13786"/>
    <tableColumn id="13792" xr3:uid="{00000000-0010-0000-0000-0000E0350000}" name="Coluna13787"/>
    <tableColumn id="13793" xr3:uid="{00000000-0010-0000-0000-0000E1350000}" name="Coluna13788"/>
    <tableColumn id="13794" xr3:uid="{00000000-0010-0000-0000-0000E2350000}" name="Coluna13789"/>
    <tableColumn id="13795" xr3:uid="{00000000-0010-0000-0000-0000E3350000}" name="Coluna13790"/>
    <tableColumn id="13796" xr3:uid="{00000000-0010-0000-0000-0000E4350000}" name="Coluna13791"/>
    <tableColumn id="13797" xr3:uid="{00000000-0010-0000-0000-0000E5350000}" name="Coluna13792"/>
    <tableColumn id="13798" xr3:uid="{00000000-0010-0000-0000-0000E6350000}" name="Coluna13793"/>
    <tableColumn id="13799" xr3:uid="{00000000-0010-0000-0000-0000E7350000}" name="Coluna13794"/>
    <tableColumn id="13800" xr3:uid="{00000000-0010-0000-0000-0000E8350000}" name="Coluna13795"/>
    <tableColumn id="13801" xr3:uid="{00000000-0010-0000-0000-0000E9350000}" name="Coluna13796"/>
    <tableColumn id="13802" xr3:uid="{00000000-0010-0000-0000-0000EA350000}" name="Coluna13797"/>
    <tableColumn id="13803" xr3:uid="{00000000-0010-0000-0000-0000EB350000}" name="Coluna13798"/>
    <tableColumn id="13804" xr3:uid="{00000000-0010-0000-0000-0000EC350000}" name="Coluna13799"/>
    <tableColumn id="13805" xr3:uid="{00000000-0010-0000-0000-0000ED350000}" name="Coluna13800"/>
    <tableColumn id="13806" xr3:uid="{00000000-0010-0000-0000-0000EE350000}" name="Coluna13801"/>
    <tableColumn id="13807" xr3:uid="{00000000-0010-0000-0000-0000EF350000}" name="Coluna13802"/>
    <tableColumn id="13808" xr3:uid="{00000000-0010-0000-0000-0000F0350000}" name="Coluna13803"/>
    <tableColumn id="13809" xr3:uid="{00000000-0010-0000-0000-0000F1350000}" name="Coluna13804"/>
    <tableColumn id="13810" xr3:uid="{00000000-0010-0000-0000-0000F2350000}" name="Coluna13805"/>
    <tableColumn id="13811" xr3:uid="{00000000-0010-0000-0000-0000F3350000}" name="Coluna13806"/>
    <tableColumn id="13812" xr3:uid="{00000000-0010-0000-0000-0000F4350000}" name="Coluna13807"/>
    <tableColumn id="13813" xr3:uid="{00000000-0010-0000-0000-0000F5350000}" name="Coluna13808"/>
    <tableColumn id="13814" xr3:uid="{00000000-0010-0000-0000-0000F6350000}" name="Coluna13809"/>
    <tableColumn id="13815" xr3:uid="{00000000-0010-0000-0000-0000F7350000}" name="Coluna13810"/>
    <tableColumn id="13816" xr3:uid="{00000000-0010-0000-0000-0000F8350000}" name="Coluna13811"/>
    <tableColumn id="13817" xr3:uid="{00000000-0010-0000-0000-0000F9350000}" name="Coluna13812"/>
    <tableColumn id="13818" xr3:uid="{00000000-0010-0000-0000-0000FA350000}" name="Coluna13813"/>
    <tableColumn id="13819" xr3:uid="{00000000-0010-0000-0000-0000FB350000}" name="Coluna13814"/>
    <tableColumn id="13820" xr3:uid="{00000000-0010-0000-0000-0000FC350000}" name="Coluna13815"/>
    <tableColumn id="13821" xr3:uid="{00000000-0010-0000-0000-0000FD350000}" name="Coluna13816"/>
    <tableColumn id="13822" xr3:uid="{00000000-0010-0000-0000-0000FE350000}" name="Coluna13817"/>
    <tableColumn id="13823" xr3:uid="{00000000-0010-0000-0000-0000FF350000}" name="Coluna13818"/>
    <tableColumn id="13824" xr3:uid="{00000000-0010-0000-0000-000000360000}" name="Coluna13819"/>
    <tableColumn id="13825" xr3:uid="{00000000-0010-0000-0000-000001360000}" name="Coluna13820"/>
    <tableColumn id="13826" xr3:uid="{00000000-0010-0000-0000-000002360000}" name="Coluna13821"/>
    <tableColumn id="13827" xr3:uid="{00000000-0010-0000-0000-000003360000}" name="Coluna13822"/>
    <tableColumn id="13828" xr3:uid="{00000000-0010-0000-0000-000004360000}" name="Coluna13823"/>
    <tableColumn id="13829" xr3:uid="{00000000-0010-0000-0000-000005360000}" name="Coluna13824"/>
    <tableColumn id="13830" xr3:uid="{00000000-0010-0000-0000-000006360000}" name="Coluna13825"/>
    <tableColumn id="13831" xr3:uid="{00000000-0010-0000-0000-000007360000}" name="Coluna13826"/>
    <tableColumn id="13832" xr3:uid="{00000000-0010-0000-0000-000008360000}" name="Coluna13827"/>
    <tableColumn id="13833" xr3:uid="{00000000-0010-0000-0000-000009360000}" name="Coluna13828"/>
    <tableColumn id="13834" xr3:uid="{00000000-0010-0000-0000-00000A360000}" name="Coluna13829"/>
    <tableColumn id="13835" xr3:uid="{00000000-0010-0000-0000-00000B360000}" name="Coluna13830"/>
    <tableColumn id="13836" xr3:uid="{00000000-0010-0000-0000-00000C360000}" name="Coluna13831"/>
    <tableColumn id="13837" xr3:uid="{00000000-0010-0000-0000-00000D360000}" name="Coluna13832"/>
    <tableColumn id="13838" xr3:uid="{00000000-0010-0000-0000-00000E360000}" name="Coluna13833"/>
    <tableColumn id="13839" xr3:uid="{00000000-0010-0000-0000-00000F360000}" name="Coluna13834"/>
    <tableColumn id="13840" xr3:uid="{00000000-0010-0000-0000-000010360000}" name="Coluna13835"/>
    <tableColumn id="13841" xr3:uid="{00000000-0010-0000-0000-000011360000}" name="Coluna13836"/>
    <tableColumn id="13842" xr3:uid="{00000000-0010-0000-0000-000012360000}" name="Coluna13837"/>
    <tableColumn id="13843" xr3:uid="{00000000-0010-0000-0000-000013360000}" name="Coluna13838"/>
    <tableColumn id="13844" xr3:uid="{00000000-0010-0000-0000-000014360000}" name="Coluna13839"/>
    <tableColumn id="13845" xr3:uid="{00000000-0010-0000-0000-000015360000}" name="Coluna13840"/>
    <tableColumn id="13846" xr3:uid="{00000000-0010-0000-0000-000016360000}" name="Coluna13841"/>
    <tableColumn id="13847" xr3:uid="{00000000-0010-0000-0000-000017360000}" name="Coluna13842"/>
    <tableColumn id="13848" xr3:uid="{00000000-0010-0000-0000-000018360000}" name="Coluna13843"/>
    <tableColumn id="13849" xr3:uid="{00000000-0010-0000-0000-000019360000}" name="Coluna13844"/>
    <tableColumn id="13850" xr3:uid="{00000000-0010-0000-0000-00001A360000}" name="Coluna13845"/>
    <tableColumn id="13851" xr3:uid="{00000000-0010-0000-0000-00001B360000}" name="Coluna13846"/>
    <tableColumn id="13852" xr3:uid="{00000000-0010-0000-0000-00001C360000}" name="Coluna13847"/>
    <tableColumn id="13853" xr3:uid="{00000000-0010-0000-0000-00001D360000}" name="Coluna13848"/>
    <tableColumn id="13854" xr3:uid="{00000000-0010-0000-0000-00001E360000}" name="Coluna13849"/>
    <tableColumn id="13855" xr3:uid="{00000000-0010-0000-0000-00001F360000}" name="Coluna13850"/>
    <tableColumn id="13856" xr3:uid="{00000000-0010-0000-0000-000020360000}" name="Coluna13851"/>
    <tableColumn id="13857" xr3:uid="{00000000-0010-0000-0000-000021360000}" name="Coluna13852"/>
    <tableColumn id="13858" xr3:uid="{00000000-0010-0000-0000-000022360000}" name="Coluna13853"/>
    <tableColumn id="13859" xr3:uid="{00000000-0010-0000-0000-000023360000}" name="Coluna13854"/>
    <tableColumn id="13860" xr3:uid="{00000000-0010-0000-0000-000024360000}" name="Coluna13855"/>
    <tableColumn id="13861" xr3:uid="{00000000-0010-0000-0000-000025360000}" name="Coluna13856"/>
    <tableColumn id="13862" xr3:uid="{00000000-0010-0000-0000-000026360000}" name="Coluna13857"/>
    <tableColumn id="13863" xr3:uid="{00000000-0010-0000-0000-000027360000}" name="Coluna13858"/>
    <tableColumn id="13864" xr3:uid="{00000000-0010-0000-0000-000028360000}" name="Coluna13859"/>
    <tableColumn id="13865" xr3:uid="{00000000-0010-0000-0000-000029360000}" name="Coluna13860"/>
    <tableColumn id="13866" xr3:uid="{00000000-0010-0000-0000-00002A360000}" name="Coluna13861"/>
    <tableColumn id="13867" xr3:uid="{00000000-0010-0000-0000-00002B360000}" name="Coluna13862"/>
    <tableColumn id="13868" xr3:uid="{00000000-0010-0000-0000-00002C360000}" name="Coluna13863"/>
    <tableColumn id="13869" xr3:uid="{00000000-0010-0000-0000-00002D360000}" name="Coluna13864"/>
    <tableColumn id="13870" xr3:uid="{00000000-0010-0000-0000-00002E360000}" name="Coluna13865"/>
    <tableColumn id="13871" xr3:uid="{00000000-0010-0000-0000-00002F360000}" name="Coluna13866"/>
    <tableColumn id="13872" xr3:uid="{00000000-0010-0000-0000-000030360000}" name="Coluna13867"/>
    <tableColumn id="13873" xr3:uid="{00000000-0010-0000-0000-000031360000}" name="Coluna13868"/>
    <tableColumn id="13874" xr3:uid="{00000000-0010-0000-0000-000032360000}" name="Coluna13869"/>
    <tableColumn id="13875" xr3:uid="{00000000-0010-0000-0000-000033360000}" name="Coluna13870"/>
    <tableColumn id="13876" xr3:uid="{00000000-0010-0000-0000-000034360000}" name="Coluna13871"/>
    <tableColumn id="13877" xr3:uid="{00000000-0010-0000-0000-000035360000}" name="Coluna13872"/>
    <tableColumn id="13878" xr3:uid="{00000000-0010-0000-0000-000036360000}" name="Coluna13873"/>
    <tableColumn id="13879" xr3:uid="{00000000-0010-0000-0000-000037360000}" name="Coluna13874"/>
    <tableColumn id="13880" xr3:uid="{00000000-0010-0000-0000-000038360000}" name="Coluna13875"/>
    <tableColumn id="13881" xr3:uid="{00000000-0010-0000-0000-000039360000}" name="Coluna13876"/>
    <tableColumn id="13882" xr3:uid="{00000000-0010-0000-0000-00003A360000}" name="Coluna13877"/>
    <tableColumn id="13883" xr3:uid="{00000000-0010-0000-0000-00003B360000}" name="Coluna13878"/>
    <tableColumn id="13884" xr3:uid="{00000000-0010-0000-0000-00003C360000}" name="Coluna13879"/>
    <tableColumn id="13885" xr3:uid="{00000000-0010-0000-0000-00003D360000}" name="Coluna13880"/>
    <tableColumn id="13886" xr3:uid="{00000000-0010-0000-0000-00003E360000}" name="Coluna13881"/>
    <tableColumn id="13887" xr3:uid="{00000000-0010-0000-0000-00003F360000}" name="Coluna13882"/>
    <tableColumn id="13888" xr3:uid="{00000000-0010-0000-0000-000040360000}" name="Coluna13883"/>
    <tableColumn id="13889" xr3:uid="{00000000-0010-0000-0000-000041360000}" name="Coluna13884"/>
    <tableColumn id="13890" xr3:uid="{00000000-0010-0000-0000-000042360000}" name="Coluna13885"/>
    <tableColumn id="13891" xr3:uid="{00000000-0010-0000-0000-000043360000}" name="Coluna13886"/>
    <tableColumn id="13892" xr3:uid="{00000000-0010-0000-0000-000044360000}" name="Coluna13887"/>
    <tableColumn id="13893" xr3:uid="{00000000-0010-0000-0000-000045360000}" name="Coluna13888"/>
    <tableColumn id="13894" xr3:uid="{00000000-0010-0000-0000-000046360000}" name="Coluna13889"/>
    <tableColumn id="13895" xr3:uid="{00000000-0010-0000-0000-000047360000}" name="Coluna13890"/>
    <tableColumn id="13896" xr3:uid="{00000000-0010-0000-0000-000048360000}" name="Coluna13891"/>
    <tableColumn id="13897" xr3:uid="{00000000-0010-0000-0000-000049360000}" name="Coluna13892"/>
    <tableColumn id="13898" xr3:uid="{00000000-0010-0000-0000-00004A360000}" name="Coluna13893"/>
    <tableColumn id="13899" xr3:uid="{00000000-0010-0000-0000-00004B360000}" name="Coluna13894"/>
    <tableColumn id="13900" xr3:uid="{00000000-0010-0000-0000-00004C360000}" name="Coluna13895"/>
    <tableColumn id="13901" xr3:uid="{00000000-0010-0000-0000-00004D360000}" name="Coluna13896"/>
    <tableColumn id="13902" xr3:uid="{00000000-0010-0000-0000-00004E360000}" name="Coluna13897"/>
    <tableColumn id="13903" xr3:uid="{00000000-0010-0000-0000-00004F360000}" name="Coluna13898"/>
    <tableColumn id="13904" xr3:uid="{00000000-0010-0000-0000-000050360000}" name="Coluna13899"/>
    <tableColumn id="13905" xr3:uid="{00000000-0010-0000-0000-000051360000}" name="Coluna13900"/>
    <tableColumn id="13906" xr3:uid="{00000000-0010-0000-0000-000052360000}" name="Coluna13901"/>
    <tableColumn id="13907" xr3:uid="{00000000-0010-0000-0000-000053360000}" name="Coluna13902"/>
    <tableColumn id="13908" xr3:uid="{00000000-0010-0000-0000-000054360000}" name="Coluna13903"/>
    <tableColumn id="13909" xr3:uid="{00000000-0010-0000-0000-000055360000}" name="Coluna13904"/>
    <tableColumn id="13910" xr3:uid="{00000000-0010-0000-0000-000056360000}" name="Coluna13905"/>
    <tableColumn id="13911" xr3:uid="{00000000-0010-0000-0000-000057360000}" name="Coluna13906"/>
    <tableColumn id="13912" xr3:uid="{00000000-0010-0000-0000-000058360000}" name="Coluna13907"/>
    <tableColumn id="13913" xr3:uid="{00000000-0010-0000-0000-000059360000}" name="Coluna13908"/>
    <tableColumn id="13914" xr3:uid="{00000000-0010-0000-0000-00005A360000}" name="Coluna13909"/>
    <tableColumn id="13915" xr3:uid="{00000000-0010-0000-0000-00005B360000}" name="Coluna13910"/>
    <tableColumn id="13916" xr3:uid="{00000000-0010-0000-0000-00005C360000}" name="Coluna13911"/>
    <tableColumn id="13917" xr3:uid="{00000000-0010-0000-0000-00005D360000}" name="Coluna13912"/>
    <tableColumn id="13918" xr3:uid="{00000000-0010-0000-0000-00005E360000}" name="Coluna13913"/>
    <tableColumn id="13919" xr3:uid="{00000000-0010-0000-0000-00005F360000}" name="Coluna13914"/>
    <tableColumn id="13920" xr3:uid="{00000000-0010-0000-0000-000060360000}" name="Coluna13915"/>
    <tableColumn id="13921" xr3:uid="{00000000-0010-0000-0000-000061360000}" name="Coluna13916"/>
    <tableColumn id="13922" xr3:uid="{00000000-0010-0000-0000-000062360000}" name="Coluna13917"/>
    <tableColumn id="13923" xr3:uid="{00000000-0010-0000-0000-000063360000}" name="Coluna13918"/>
    <tableColumn id="13924" xr3:uid="{00000000-0010-0000-0000-000064360000}" name="Coluna13919"/>
    <tableColumn id="13925" xr3:uid="{00000000-0010-0000-0000-000065360000}" name="Coluna13920"/>
    <tableColumn id="13926" xr3:uid="{00000000-0010-0000-0000-000066360000}" name="Coluna13921"/>
    <tableColumn id="13927" xr3:uid="{00000000-0010-0000-0000-000067360000}" name="Coluna13922"/>
    <tableColumn id="13928" xr3:uid="{00000000-0010-0000-0000-000068360000}" name="Coluna13923"/>
    <tableColumn id="13929" xr3:uid="{00000000-0010-0000-0000-000069360000}" name="Coluna13924"/>
    <tableColumn id="13930" xr3:uid="{00000000-0010-0000-0000-00006A360000}" name="Coluna13925"/>
    <tableColumn id="13931" xr3:uid="{00000000-0010-0000-0000-00006B360000}" name="Coluna13926"/>
    <tableColumn id="13932" xr3:uid="{00000000-0010-0000-0000-00006C360000}" name="Coluna13927"/>
    <tableColumn id="13933" xr3:uid="{00000000-0010-0000-0000-00006D360000}" name="Coluna13928"/>
    <tableColumn id="13934" xr3:uid="{00000000-0010-0000-0000-00006E360000}" name="Coluna13929"/>
    <tableColumn id="13935" xr3:uid="{00000000-0010-0000-0000-00006F360000}" name="Coluna13930"/>
    <tableColumn id="13936" xr3:uid="{00000000-0010-0000-0000-000070360000}" name="Coluna13931"/>
    <tableColumn id="13937" xr3:uid="{00000000-0010-0000-0000-000071360000}" name="Coluna13932"/>
    <tableColumn id="13938" xr3:uid="{00000000-0010-0000-0000-000072360000}" name="Coluna13933"/>
    <tableColumn id="13939" xr3:uid="{00000000-0010-0000-0000-000073360000}" name="Coluna13934"/>
    <tableColumn id="13940" xr3:uid="{00000000-0010-0000-0000-000074360000}" name="Coluna13935"/>
    <tableColumn id="13941" xr3:uid="{00000000-0010-0000-0000-000075360000}" name="Coluna13936"/>
    <tableColumn id="13942" xr3:uid="{00000000-0010-0000-0000-000076360000}" name="Coluna13937"/>
    <tableColumn id="13943" xr3:uid="{00000000-0010-0000-0000-000077360000}" name="Coluna13938"/>
    <tableColumn id="13944" xr3:uid="{00000000-0010-0000-0000-000078360000}" name="Coluna13939"/>
    <tableColumn id="13945" xr3:uid="{00000000-0010-0000-0000-000079360000}" name="Coluna13940"/>
    <tableColumn id="13946" xr3:uid="{00000000-0010-0000-0000-00007A360000}" name="Coluna13941"/>
    <tableColumn id="13947" xr3:uid="{00000000-0010-0000-0000-00007B360000}" name="Coluna13942"/>
    <tableColumn id="13948" xr3:uid="{00000000-0010-0000-0000-00007C360000}" name="Coluna13943"/>
    <tableColumn id="13949" xr3:uid="{00000000-0010-0000-0000-00007D360000}" name="Coluna13944"/>
    <tableColumn id="13950" xr3:uid="{00000000-0010-0000-0000-00007E360000}" name="Coluna13945"/>
    <tableColumn id="13951" xr3:uid="{00000000-0010-0000-0000-00007F360000}" name="Coluna13946"/>
    <tableColumn id="13952" xr3:uid="{00000000-0010-0000-0000-000080360000}" name="Coluna13947"/>
    <tableColumn id="13953" xr3:uid="{00000000-0010-0000-0000-000081360000}" name="Coluna13948"/>
    <tableColumn id="13954" xr3:uid="{00000000-0010-0000-0000-000082360000}" name="Coluna13949"/>
    <tableColumn id="13955" xr3:uid="{00000000-0010-0000-0000-000083360000}" name="Coluna13950"/>
    <tableColumn id="13956" xr3:uid="{00000000-0010-0000-0000-000084360000}" name="Coluna13951"/>
    <tableColumn id="13957" xr3:uid="{00000000-0010-0000-0000-000085360000}" name="Coluna13952"/>
    <tableColumn id="13958" xr3:uid="{00000000-0010-0000-0000-000086360000}" name="Coluna13953"/>
    <tableColumn id="13959" xr3:uid="{00000000-0010-0000-0000-000087360000}" name="Coluna13954"/>
    <tableColumn id="13960" xr3:uid="{00000000-0010-0000-0000-000088360000}" name="Coluna13955"/>
    <tableColumn id="13961" xr3:uid="{00000000-0010-0000-0000-000089360000}" name="Coluna13956"/>
    <tableColumn id="13962" xr3:uid="{00000000-0010-0000-0000-00008A360000}" name="Coluna13957"/>
    <tableColumn id="13963" xr3:uid="{00000000-0010-0000-0000-00008B360000}" name="Coluna13958"/>
    <tableColumn id="13964" xr3:uid="{00000000-0010-0000-0000-00008C360000}" name="Coluna13959"/>
    <tableColumn id="13965" xr3:uid="{00000000-0010-0000-0000-00008D360000}" name="Coluna13960"/>
    <tableColumn id="13966" xr3:uid="{00000000-0010-0000-0000-00008E360000}" name="Coluna13961"/>
    <tableColumn id="13967" xr3:uid="{00000000-0010-0000-0000-00008F360000}" name="Coluna13962"/>
    <tableColumn id="13968" xr3:uid="{00000000-0010-0000-0000-000090360000}" name="Coluna13963"/>
    <tableColumn id="13969" xr3:uid="{00000000-0010-0000-0000-000091360000}" name="Coluna13964"/>
    <tableColumn id="13970" xr3:uid="{00000000-0010-0000-0000-000092360000}" name="Coluna13965"/>
    <tableColumn id="13971" xr3:uid="{00000000-0010-0000-0000-000093360000}" name="Coluna13966"/>
    <tableColumn id="13972" xr3:uid="{00000000-0010-0000-0000-000094360000}" name="Coluna13967"/>
    <tableColumn id="13973" xr3:uid="{00000000-0010-0000-0000-000095360000}" name="Coluna13968"/>
    <tableColumn id="13974" xr3:uid="{00000000-0010-0000-0000-000096360000}" name="Coluna13969"/>
    <tableColumn id="13975" xr3:uid="{00000000-0010-0000-0000-000097360000}" name="Coluna13970"/>
    <tableColumn id="13976" xr3:uid="{00000000-0010-0000-0000-000098360000}" name="Coluna13971"/>
    <tableColumn id="13977" xr3:uid="{00000000-0010-0000-0000-000099360000}" name="Coluna13972"/>
    <tableColumn id="13978" xr3:uid="{00000000-0010-0000-0000-00009A360000}" name="Coluna13973"/>
    <tableColumn id="13979" xr3:uid="{00000000-0010-0000-0000-00009B360000}" name="Coluna13974"/>
    <tableColumn id="13980" xr3:uid="{00000000-0010-0000-0000-00009C360000}" name="Coluna13975"/>
    <tableColumn id="13981" xr3:uid="{00000000-0010-0000-0000-00009D360000}" name="Coluna13976"/>
    <tableColumn id="13982" xr3:uid="{00000000-0010-0000-0000-00009E360000}" name="Coluna13977"/>
    <tableColumn id="13983" xr3:uid="{00000000-0010-0000-0000-00009F360000}" name="Coluna13978"/>
    <tableColumn id="13984" xr3:uid="{00000000-0010-0000-0000-0000A0360000}" name="Coluna13979"/>
    <tableColumn id="13985" xr3:uid="{00000000-0010-0000-0000-0000A1360000}" name="Coluna13980"/>
    <tableColumn id="13986" xr3:uid="{00000000-0010-0000-0000-0000A2360000}" name="Coluna13981"/>
    <tableColumn id="13987" xr3:uid="{00000000-0010-0000-0000-0000A3360000}" name="Coluna13982"/>
    <tableColumn id="13988" xr3:uid="{00000000-0010-0000-0000-0000A4360000}" name="Coluna13983"/>
    <tableColumn id="13989" xr3:uid="{00000000-0010-0000-0000-0000A5360000}" name="Coluna13984"/>
    <tableColumn id="13990" xr3:uid="{00000000-0010-0000-0000-0000A6360000}" name="Coluna13985"/>
    <tableColumn id="13991" xr3:uid="{00000000-0010-0000-0000-0000A7360000}" name="Coluna13986"/>
    <tableColumn id="13992" xr3:uid="{00000000-0010-0000-0000-0000A8360000}" name="Coluna13987"/>
    <tableColumn id="13993" xr3:uid="{00000000-0010-0000-0000-0000A9360000}" name="Coluna13988"/>
    <tableColumn id="13994" xr3:uid="{00000000-0010-0000-0000-0000AA360000}" name="Coluna13989"/>
    <tableColumn id="13995" xr3:uid="{00000000-0010-0000-0000-0000AB360000}" name="Coluna13990"/>
    <tableColumn id="13996" xr3:uid="{00000000-0010-0000-0000-0000AC360000}" name="Coluna13991"/>
    <tableColumn id="13997" xr3:uid="{00000000-0010-0000-0000-0000AD360000}" name="Coluna13992"/>
    <tableColumn id="13998" xr3:uid="{00000000-0010-0000-0000-0000AE360000}" name="Coluna13993"/>
    <tableColumn id="13999" xr3:uid="{00000000-0010-0000-0000-0000AF360000}" name="Coluna13994"/>
    <tableColumn id="14000" xr3:uid="{00000000-0010-0000-0000-0000B0360000}" name="Coluna13995"/>
    <tableColumn id="14001" xr3:uid="{00000000-0010-0000-0000-0000B1360000}" name="Coluna13996"/>
    <tableColumn id="14002" xr3:uid="{00000000-0010-0000-0000-0000B2360000}" name="Coluna13997"/>
    <tableColumn id="14003" xr3:uid="{00000000-0010-0000-0000-0000B3360000}" name="Coluna13998"/>
    <tableColumn id="14004" xr3:uid="{00000000-0010-0000-0000-0000B4360000}" name="Coluna13999"/>
    <tableColumn id="14005" xr3:uid="{00000000-0010-0000-0000-0000B5360000}" name="Coluna14000"/>
    <tableColumn id="14006" xr3:uid="{00000000-0010-0000-0000-0000B6360000}" name="Coluna14001"/>
    <tableColumn id="14007" xr3:uid="{00000000-0010-0000-0000-0000B7360000}" name="Coluna14002"/>
    <tableColumn id="14008" xr3:uid="{00000000-0010-0000-0000-0000B8360000}" name="Coluna14003"/>
    <tableColumn id="14009" xr3:uid="{00000000-0010-0000-0000-0000B9360000}" name="Coluna14004"/>
    <tableColumn id="14010" xr3:uid="{00000000-0010-0000-0000-0000BA360000}" name="Coluna14005"/>
    <tableColumn id="14011" xr3:uid="{00000000-0010-0000-0000-0000BB360000}" name="Coluna14006"/>
    <tableColumn id="14012" xr3:uid="{00000000-0010-0000-0000-0000BC360000}" name="Coluna14007"/>
    <tableColumn id="14013" xr3:uid="{00000000-0010-0000-0000-0000BD360000}" name="Coluna14008"/>
    <tableColumn id="14014" xr3:uid="{00000000-0010-0000-0000-0000BE360000}" name="Coluna14009"/>
    <tableColumn id="14015" xr3:uid="{00000000-0010-0000-0000-0000BF360000}" name="Coluna14010"/>
    <tableColumn id="14016" xr3:uid="{00000000-0010-0000-0000-0000C0360000}" name="Coluna14011"/>
    <tableColumn id="14017" xr3:uid="{00000000-0010-0000-0000-0000C1360000}" name="Coluna14012"/>
    <tableColumn id="14018" xr3:uid="{00000000-0010-0000-0000-0000C2360000}" name="Coluna14013"/>
    <tableColumn id="14019" xr3:uid="{00000000-0010-0000-0000-0000C3360000}" name="Coluna14014"/>
    <tableColumn id="14020" xr3:uid="{00000000-0010-0000-0000-0000C4360000}" name="Coluna14015"/>
    <tableColumn id="14021" xr3:uid="{00000000-0010-0000-0000-0000C5360000}" name="Coluna14016"/>
    <tableColumn id="14022" xr3:uid="{00000000-0010-0000-0000-0000C6360000}" name="Coluna14017"/>
    <tableColumn id="14023" xr3:uid="{00000000-0010-0000-0000-0000C7360000}" name="Coluna14018"/>
    <tableColumn id="14024" xr3:uid="{00000000-0010-0000-0000-0000C8360000}" name="Coluna14019"/>
    <tableColumn id="14025" xr3:uid="{00000000-0010-0000-0000-0000C9360000}" name="Coluna14020"/>
    <tableColumn id="14026" xr3:uid="{00000000-0010-0000-0000-0000CA360000}" name="Coluna14021"/>
    <tableColumn id="14027" xr3:uid="{00000000-0010-0000-0000-0000CB360000}" name="Coluna14022"/>
    <tableColumn id="14028" xr3:uid="{00000000-0010-0000-0000-0000CC360000}" name="Coluna14023"/>
    <tableColumn id="14029" xr3:uid="{00000000-0010-0000-0000-0000CD360000}" name="Coluna14024"/>
    <tableColumn id="14030" xr3:uid="{00000000-0010-0000-0000-0000CE360000}" name="Coluna14025"/>
    <tableColumn id="14031" xr3:uid="{00000000-0010-0000-0000-0000CF360000}" name="Coluna14026"/>
    <tableColumn id="14032" xr3:uid="{00000000-0010-0000-0000-0000D0360000}" name="Coluna14027"/>
    <tableColumn id="14033" xr3:uid="{00000000-0010-0000-0000-0000D1360000}" name="Coluna14028"/>
    <tableColumn id="14034" xr3:uid="{00000000-0010-0000-0000-0000D2360000}" name="Coluna14029"/>
    <tableColumn id="14035" xr3:uid="{00000000-0010-0000-0000-0000D3360000}" name="Coluna14030"/>
    <tableColumn id="14036" xr3:uid="{00000000-0010-0000-0000-0000D4360000}" name="Coluna14031"/>
    <tableColumn id="14037" xr3:uid="{00000000-0010-0000-0000-0000D5360000}" name="Coluna14032"/>
    <tableColumn id="14038" xr3:uid="{00000000-0010-0000-0000-0000D6360000}" name="Coluna14033"/>
    <tableColumn id="14039" xr3:uid="{00000000-0010-0000-0000-0000D7360000}" name="Coluna14034"/>
    <tableColumn id="14040" xr3:uid="{00000000-0010-0000-0000-0000D8360000}" name="Coluna14035"/>
    <tableColumn id="14041" xr3:uid="{00000000-0010-0000-0000-0000D9360000}" name="Coluna14036"/>
    <tableColumn id="14042" xr3:uid="{00000000-0010-0000-0000-0000DA360000}" name="Coluna14037"/>
    <tableColumn id="14043" xr3:uid="{00000000-0010-0000-0000-0000DB360000}" name="Coluna14038"/>
    <tableColumn id="14044" xr3:uid="{00000000-0010-0000-0000-0000DC360000}" name="Coluna14039"/>
    <tableColumn id="14045" xr3:uid="{00000000-0010-0000-0000-0000DD360000}" name="Coluna14040"/>
    <tableColumn id="14046" xr3:uid="{00000000-0010-0000-0000-0000DE360000}" name="Coluna14041"/>
    <tableColumn id="14047" xr3:uid="{00000000-0010-0000-0000-0000DF360000}" name="Coluna14042"/>
    <tableColumn id="14048" xr3:uid="{00000000-0010-0000-0000-0000E0360000}" name="Coluna14043"/>
    <tableColumn id="14049" xr3:uid="{00000000-0010-0000-0000-0000E1360000}" name="Coluna14044"/>
    <tableColumn id="14050" xr3:uid="{00000000-0010-0000-0000-0000E2360000}" name="Coluna14045"/>
    <tableColumn id="14051" xr3:uid="{00000000-0010-0000-0000-0000E3360000}" name="Coluna14046"/>
    <tableColumn id="14052" xr3:uid="{00000000-0010-0000-0000-0000E4360000}" name="Coluna14047"/>
    <tableColumn id="14053" xr3:uid="{00000000-0010-0000-0000-0000E5360000}" name="Coluna14048"/>
    <tableColumn id="14054" xr3:uid="{00000000-0010-0000-0000-0000E6360000}" name="Coluna14049"/>
    <tableColumn id="14055" xr3:uid="{00000000-0010-0000-0000-0000E7360000}" name="Coluna14050"/>
    <tableColumn id="14056" xr3:uid="{00000000-0010-0000-0000-0000E8360000}" name="Coluna14051"/>
    <tableColumn id="14057" xr3:uid="{00000000-0010-0000-0000-0000E9360000}" name="Coluna14052"/>
    <tableColumn id="14058" xr3:uid="{00000000-0010-0000-0000-0000EA360000}" name="Coluna14053"/>
    <tableColumn id="14059" xr3:uid="{00000000-0010-0000-0000-0000EB360000}" name="Coluna14054"/>
    <tableColumn id="14060" xr3:uid="{00000000-0010-0000-0000-0000EC360000}" name="Coluna14055"/>
    <tableColumn id="14061" xr3:uid="{00000000-0010-0000-0000-0000ED360000}" name="Coluna14056"/>
    <tableColumn id="14062" xr3:uid="{00000000-0010-0000-0000-0000EE360000}" name="Coluna14057"/>
    <tableColumn id="14063" xr3:uid="{00000000-0010-0000-0000-0000EF360000}" name="Coluna14058"/>
    <tableColumn id="14064" xr3:uid="{00000000-0010-0000-0000-0000F0360000}" name="Coluna14059"/>
    <tableColumn id="14065" xr3:uid="{00000000-0010-0000-0000-0000F1360000}" name="Coluna14060"/>
    <tableColumn id="14066" xr3:uid="{00000000-0010-0000-0000-0000F2360000}" name="Coluna14061"/>
    <tableColumn id="14067" xr3:uid="{00000000-0010-0000-0000-0000F3360000}" name="Coluna14062"/>
    <tableColumn id="14068" xr3:uid="{00000000-0010-0000-0000-0000F4360000}" name="Coluna14063"/>
    <tableColumn id="14069" xr3:uid="{00000000-0010-0000-0000-0000F5360000}" name="Coluna14064"/>
    <tableColumn id="14070" xr3:uid="{00000000-0010-0000-0000-0000F6360000}" name="Coluna14065"/>
    <tableColumn id="14071" xr3:uid="{00000000-0010-0000-0000-0000F7360000}" name="Coluna14066"/>
    <tableColumn id="14072" xr3:uid="{00000000-0010-0000-0000-0000F8360000}" name="Coluna14067"/>
    <tableColumn id="14073" xr3:uid="{00000000-0010-0000-0000-0000F9360000}" name="Coluna14068"/>
    <tableColumn id="14074" xr3:uid="{00000000-0010-0000-0000-0000FA360000}" name="Coluna14069"/>
    <tableColumn id="14075" xr3:uid="{00000000-0010-0000-0000-0000FB360000}" name="Coluna14070"/>
    <tableColumn id="14076" xr3:uid="{00000000-0010-0000-0000-0000FC360000}" name="Coluna14071"/>
    <tableColumn id="14077" xr3:uid="{00000000-0010-0000-0000-0000FD360000}" name="Coluna14072"/>
    <tableColumn id="14078" xr3:uid="{00000000-0010-0000-0000-0000FE360000}" name="Coluna14073"/>
    <tableColumn id="14079" xr3:uid="{00000000-0010-0000-0000-0000FF360000}" name="Coluna14074"/>
    <tableColumn id="14080" xr3:uid="{00000000-0010-0000-0000-000000370000}" name="Coluna14075"/>
    <tableColumn id="14081" xr3:uid="{00000000-0010-0000-0000-000001370000}" name="Coluna14076"/>
    <tableColumn id="14082" xr3:uid="{00000000-0010-0000-0000-000002370000}" name="Coluna14077"/>
    <tableColumn id="14083" xr3:uid="{00000000-0010-0000-0000-000003370000}" name="Coluna14078"/>
    <tableColumn id="14084" xr3:uid="{00000000-0010-0000-0000-000004370000}" name="Coluna14079"/>
    <tableColumn id="14085" xr3:uid="{00000000-0010-0000-0000-000005370000}" name="Coluna14080"/>
    <tableColumn id="14086" xr3:uid="{00000000-0010-0000-0000-000006370000}" name="Coluna14081"/>
    <tableColumn id="14087" xr3:uid="{00000000-0010-0000-0000-000007370000}" name="Coluna14082"/>
    <tableColumn id="14088" xr3:uid="{00000000-0010-0000-0000-000008370000}" name="Coluna14083"/>
    <tableColumn id="14089" xr3:uid="{00000000-0010-0000-0000-000009370000}" name="Coluna14084"/>
    <tableColumn id="14090" xr3:uid="{00000000-0010-0000-0000-00000A370000}" name="Coluna14085"/>
    <tableColumn id="14091" xr3:uid="{00000000-0010-0000-0000-00000B370000}" name="Coluna14086"/>
    <tableColumn id="14092" xr3:uid="{00000000-0010-0000-0000-00000C370000}" name="Coluna14087"/>
    <tableColumn id="14093" xr3:uid="{00000000-0010-0000-0000-00000D370000}" name="Coluna14088"/>
    <tableColumn id="14094" xr3:uid="{00000000-0010-0000-0000-00000E370000}" name="Coluna14089"/>
    <tableColumn id="14095" xr3:uid="{00000000-0010-0000-0000-00000F370000}" name="Coluna14090"/>
    <tableColumn id="14096" xr3:uid="{00000000-0010-0000-0000-000010370000}" name="Coluna14091"/>
    <tableColumn id="14097" xr3:uid="{00000000-0010-0000-0000-000011370000}" name="Coluna14092"/>
    <tableColumn id="14098" xr3:uid="{00000000-0010-0000-0000-000012370000}" name="Coluna14093"/>
    <tableColumn id="14099" xr3:uid="{00000000-0010-0000-0000-000013370000}" name="Coluna14094"/>
    <tableColumn id="14100" xr3:uid="{00000000-0010-0000-0000-000014370000}" name="Coluna14095"/>
    <tableColumn id="14101" xr3:uid="{00000000-0010-0000-0000-000015370000}" name="Coluna14096"/>
    <tableColumn id="14102" xr3:uid="{00000000-0010-0000-0000-000016370000}" name="Coluna14097"/>
    <tableColumn id="14103" xr3:uid="{00000000-0010-0000-0000-000017370000}" name="Coluna14098"/>
    <tableColumn id="14104" xr3:uid="{00000000-0010-0000-0000-000018370000}" name="Coluna14099"/>
    <tableColumn id="14105" xr3:uid="{00000000-0010-0000-0000-000019370000}" name="Coluna14100"/>
    <tableColumn id="14106" xr3:uid="{00000000-0010-0000-0000-00001A370000}" name="Coluna14101"/>
    <tableColumn id="14107" xr3:uid="{00000000-0010-0000-0000-00001B370000}" name="Coluna14102"/>
    <tableColumn id="14108" xr3:uid="{00000000-0010-0000-0000-00001C370000}" name="Coluna14103"/>
    <tableColumn id="14109" xr3:uid="{00000000-0010-0000-0000-00001D370000}" name="Coluna14104"/>
    <tableColumn id="14110" xr3:uid="{00000000-0010-0000-0000-00001E370000}" name="Coluna14105"/>
    <tableColumn id="14111" xr3:uid="{00000000-0010-0000-0000-00001F370000}" name="Coluna14106"/>
    <tableColumn id="14112" xr3:uid="{00000000-0010-0000-0000-000020370000}" name="Coluna14107"/>
    <tableColumn id="14113" xr3:uid="{00000000-0010-0000-0000-000021370000}" name="Coluna14108"/>
    <tableColumn id="14114" xr3:uid="{00000000-0010-0000-0000-000022370000}" name="Coluna14109"/>
    <tableColumn id="14115" xr3:uid="{00000000-0010-0000-0000-000023370000}" name="Coluna14110"/>
    <tableColumn id="14116" xr3:uid="{00000000-0010-0000-0000-000024370000}" name="Coluna14111"/>
    <tableColumn id="14117" xr3:uid="{00000000-0010-0000-0000-000025370000}" name="Coluna14112"/>
    <tableColumn id="14118" xr3:uid="{00000000-0010-0000-0000-000026370000}" name="Coluna14113"/>
    <tableColumn id="14119" xr3:uid="{00000000-0010-0000-0000-000027370000}" name="Coluna14114"/>
    <tableColumn id="14120" xr3:uid="{00000000-0010-0000-0000-000028370000}" name="Coluna14115"/>
    <tableColumn id="14121" xr3:uid="{00000000-0010-0000-0000-000029370000}" name="Coluna14116"/>
    <tableColumn id="14122" xr3:uid="{00000000-0010-0000-0000-00002A370000}" name="Coluna14117"/>
    <tableColumn id="14123" xr3:uid="{00000000-0010-0000-0000-00002B370000}" name="Coluna14118"/>
    <tableColumn id="14124" xr3:uid="{00000000-0010-0000-0000-00002C370000}" name="Coluna14119"/>
    <tableColumn id="14125" xr3:uid="{00000000-0010-0000-0000-00002D370000}" name="Coluna14120"/>
    <tableColumn id="14126" xr3:uid="{00000000-0010-0000-0000-00002E370000}" name="Coluna14121"/>
    <tableColumn id="14127" xr3:uid="{00000000-0010-0000-0000-00002F370000}" name="Coluna14122"/>
    <tableColumn id="14128" xr3:uid="{00000000-0010-0000-0000-000030370000}" name="Coluna14123"/>
    <tableColumn id="14129" xr3:uid="{00000000-0010-0000-0000-000031370000}" name="Coluna14124"/>
    <tableColumn id="14130" xr3:uid="{00000000-0010-0000-0000-000032370000}" name="Coluna14125"/>
    <tableColumn id="14131" xr3:uid="{00000000-0010-0000-0000-000033370000}" name="Coluna14126"/>
    <tableColumn id="14132" xr3:uid="{00000000-0010-0000-0000-000034370000}" name="Coluna14127"/>
    <tableColumn id="14133" xr3:uid="{00000000-0010-0000-0000-000035370000}" name="Coluna14128"/>
    <tableColumn id="14134" xr3:uid="{00000000-0010-0000-0000-000036370000}" name="Coluna14129"/>
    <tableColumn id="14135" xr3:uid="{00000000-0010-0000-0000-000037370000}" name="Coluna14130"/>
    <tableColumn id="14136" xr3:uid="{00000000-0010-0000-0000-000038370000}" name="Coluna14131"/>
    <tableColumn id="14137" xr3:uid="{00000000-0010-0000-0000-000039370000}" name="Coluna14132"/>
    <tableColumn id="14138" xr3:uid="{00000000-0010-0000-0000-00003A370000}" name="Coluna14133"/>
    <tableColumn id="14139" xr3:uid="{00000000-0010-0000-0000-00003B370000}" name="Coluna14134"/>
    <tableColumn id="14140" xr3:uid="{00000000-0010-0000-0000-00003C370000}" name="Coluna14135"/>
    <tableColumn id="14141" xr3:uid="{00000000-0010-0000-0000-00003D370000}" name="Coluna14136"/>
    <tableColumn id="14142" xr3:uid="{00000000-0010-0000-0000-00003E370000}" name="Coluna14137"/>
    <tableColumn id="14143" xr3:uid="{00000000-0010-0000-0000-00003F370000}" name="Coluna14138"/>
    <tableColumn id="14144" xr3:uid="{00000000-0010-0000-0000-000040370000}" name="Coluna14139"/>
    <tableColumn id="14145" xr3:uid="{00000000-0010-0000-0000-000041370000}" name="Coluna14140"/>
    <tableColumn id="14146" xr3:uid="{00000000-0010-0000-0000-000042370000}" name="Coluna14141"/>
    <tableColumn id="14147" xr3:uid="{00000000-0010-0000-0000-000043370000}" name="Coluna14142"/>
    <tableColumn id="14148" xr3:uid="{00000000-0010-0000-0000-000044370000}" name="Coluna14143"/>
    <tableColumn id="14149" xr3:uid="{00000000-0010-0000-0000-000045370000}" name="Coluna14144"/>
    <tableColumn id="14150" xr3:uid="{00000000-0010-0000-0000-000046370000}" name="Coluna14145"/>
    <tableColumn id="14151" xr3:uid="{00000000-0010-0000-0000-000047370000}" name="Coluna14146"/>
    <tableColumn id="14152" xr3:uid="{00000000-0010-0000-0000-000048370000}" name="Coluna14147"/>
    <tableColumn id="14153" xr3:uid="{00000000-0010-0000-0000-000049370000}" name="Coluna14148"/>
    <tableColumn id="14154" xr3:uid="{00000000-0010-0000-0000-00004A370000}" name="Coluna14149"/>
    <tableColumn id="14155" xr3:uid="{00000000-0010-0000-0000-00004B370000}" name="Coluna14150"/>
    <tableColumn id="14156" xr3:uid="{00000000-0010-0000-0000-00004C370000}" name="Coluna14151"/>
    <tableColumn id="14157" xr3:uid="{00000000-0010-0000-0000-00004D370000}" name="Coluna14152"/>
    <tableColumn id="14158" xr3:uid="{00000000-0010-0000-0000-00004E370000}" name="Coluna14153"/>
    <tableColumn id="14159" xr3:uid="{00000000-0010-0000-0000-00004F370000}" name="Coluna14154"/>
    <tableColumn id="14160" xr3:uid="{00000000-0010-0000-0000-000050370000}" name="Coluna14155"/>
    <tableColumn id="14161" xr3:uid="{00000000-0010-0000-0000-000051370000}" name="Coluna14156"/>
    <tableColumn id="14162" xr3:uid="{00000000-0010-0000-0000-000052370000}" name="Coluna14157"/>
    <tableColumn id="14163" xr3:uid="{00000000-0010-0000-0000-000053370000}" name="Coluna14158"/>
    <tableColumn id="14164" xr3:uid="{00000000-0010-0000-0000-000054370000}" name="Coluna14159"/>
    <tableColumn id="14165" xr3:uid="{00000000-0010-0000-0000-000055370000}" name="Coluna14160"/>
    <tableColumn id="14166" xr3:uid="{00000000-0010-0000-0000-000056370000}" name="Coluna14161"/>
    <tableColumn id="14167" xr3:uid="{00000000-0010-0000-0000-000057370000}" name="Coluna14162"/>
    <tableColumn id="14168" xr3:uid="{00000000-0010-0000-0000-000058370000}" name="Coluna14163"/>
    <tableColumn id="14169" xr3:uid="{00000000-0010-0000-0000-000059370000}" name="Coluna14164"/>
    <tableColumn id="14170" xr3:uid="{00000000-0010-0000-0000-00005A370000}" name="Coluna14165"/>
    <tableColumn id="14171" xr3:uid="{00000000-0010-0000-0000-00005B370000}" name="Coluna14166"/>
    <tableColumn id="14172" xr3:uid="{00000000-0010-0000-0000-00005C370000}" name="Coluna14167"/>
    <tableColumn id="14173" xr3:uid="{00000000-0010-0000-0000-00005D370000}" name="Coluna14168"/>
    <tableColumn id="14174" xr3:uid="{00000000-0010-0000-0000-00005E370000}" name="Coluna14169"/>
    <tableColumn id="14175" xr3:uid="{00000000-0010-0000-0000-00005F370000}" name="Coluna14170"/>
    <tableColumn id="14176" xr3:uid="{00000000-0010-0000-0000-000060370000}" name="Coluna14171"/>
    <tableColumn id="14177" xr3:uid="{00000000-0010-0000-0000-000061370000}" name="Coluna14172"/>
    <tableColumn id="14178" xr3:uid="{00000000-0010-0000-0000-000062370000}" name="Coluna14173"/>
    <tableColumn id="14179" xr3:uid="{00000000-0010-0000-0000-000063370000}" name="Coluna14174"/>
    <tableColumn id="14180" xr3:uid="{00000000-0010-0000-0000-000064370000}" name="Coluna14175"/>
    <tableColumn id="14181" xr3:uid="{00000000-0010-0000-0000-000065370000}" name="Coluna14176"/>
    <tableColumn id="14182" xr3:uid="{00000000-0010-0000-0000-000066370000}" name="Coluna14177"/>
    <tableColumn id="14183" xr3:uid="{00000000-0010-0000-0000-000067370000}" name="Coluna14178"/>
    <tableColumn id="14184" xr3:uid="{00000000-0010-0000-0000-000068370000}" name="Coluna14179"/>
    <tableColumn id="14185" xr3:uid="{00000000-0010-0000-0000-000069370000}" name="Coluna14180"/>
    <tableColumn id="14186" xr3:uid="{00000000-0010-0000-0000-00006A370000}" name="Coluna14181"/>
    <tableColumn id="14187" xr3:uid="{00000000-0010-0000-0000-00006B370000}" name="Coluna14182"/>
    <tableColumn id="14188" xr3:uid="{00000000-0010-0000-0000-00006C370000}" name="Coluna14183"/>
    <tableColumn id="14189" xr3:uid="{00000000-0010-0000-0000-00006D370000}" name="Coluna14184"/>
    <tableColumn id="14190" xr3:uid="{00000000-0010-0000-0000-00006E370000}" name="Coluna14185"/>
    <tableColumn id="14191" xr3:uid="{00000000-0010-0000-0000-00006F370000}" name="Coluna14186"/>
    <tableColumn id="14192" xr3:uid="{00000000-0010-0000-0000-000070370000}" name="Coluna14187"/>
    <tableColumn id="14193" xr3:uid="{00000000-0010-0000-0000-000071370000}" name="Coluna14188"/>
    <tableColumn id="14194" xr3:uid="{00000000-0010-0000-0000-000072370000}" name="Coluna14189"/>
    <tableColumn id="14195" xr3:uid="{00000000-0010-0000-0000-000073370000}" name="Coluna14190"/>
    <tableColumn id="14196" xr3:uid="{00000000-0010-0000-0000-000074370000}" name="Coluna14191"/>
    <tableColumn id="14197" xr3:uid="{00000000-0010-0000-0000-000075370000}" name="Coluna14192"/>
    <tableColumn id="14198" xr3:uid="{00000000-0010-0000-0000-000076370000}" name="Coluna14193"/>
    <tableColumn id="14199" xr3:uid="{00000000-0010-0000-0000-000077370000}" name="Coluna14194"/>
    <tableColumn id="14200" xr3:uid="{00000000-0010-0000-0000-000078370000}" name="Coluna14195"/>
    <tableColumn id="14201" xr3:uid="{00000000-0010-0000-0000-000079370000}" name="Coluna14196"/>
    <tableColumn id="14202" xr3:uid="{00000000-0010-0000-0000-00007A370000}" name="Coluna14197"/>
    <tableColumn id="14203" xr3:uid="{00000000-0010-0000-0000-00007B370000}" name="Coluna14198"/>
    <tableColumn id="14204" xr3:uid="{00000000-0010-0000-0000-00007C370000}" name="Coluna14199"/>
    <tableColumn id="14205" xr3:uid="{00000000-0010-0000-0000-00007D370000}" name="Coluna14200"/>
    <tableColumn id="14206" xr3:uid="{00000000-0010-0000-0000-00007E370000}" name="Coluna14201"/>
    <tableColumn id="14207" xr3:uid="{00000000-0010-0000-0000-00007F370000}" name="Coluna14202"/>
    <tableColumn id="14208" xr3:uid="{00000000-0010-0000-0000-000080370000}" name="Coluna14203"/>
    <tableColumn id="14209" xr3:uid="{00000000-0010-0000-0000-000081370000}" name="Coluna14204"/>
    <tableColumn id="14210" xr3:uid="{00000000-0010-0000-0000-000082370000}" name="Coluna14205"/>
    <tableColumn id="14211" xr3:uid="{00000000-0010-0000-0000-000083370000}" name="Coluna14206"/>
    <tableColumn id="14212" xr3:uid="{00000000-0010-0000-0000-000084370000}" name="Coluna14207"/>
    <tableColumn id="14213" xr3:uid="{00000000-0010-0000-0000-000085370000}" name="Coluna14208"/>
    <tableColumn id="14214" xr3:uid="{00000000-0010-0000-0000-000086370000}" name="Coluna14209"/>
    <tableColumn id="14215" xr3:uid="{00000000-0010-0000-0000-000087370000}" name="Coluna14210"/>
    <tableColumn id="14216" xr3:uid="{00000000-0010-0000-0000-000088370000}" name="Coluna14211"/>
    <tableColumn id="14217" xr3:uid="{00000000-0010-0000-0000-000089370000}" name="Coluna14212"/>
    <tableColumn id="14218" xr3:uid="{00000000-0010-0000-0000-00008A370000}" name="Coluna14213"/>
    <tableColumn id="14219" xr3:uid="{00000000-0010-0000-0000-00008B370000}" name="Coluna14214"/>
    <tableColumn id="14220" xr3:uid="{00000000-0010-0000-0000-00008C370000}" name="Coluna14215"/>
    <tableColumn id="14221" xr3:uid="{00000000-0010-0000-0000-00008D370000}" name="Coluna14216"/>
    <tableColumn id="14222" xr3:uid="{00000000-0010-0000-0000-00008E370000}" name="Coluna14217"/>
    <tableColumn id="14223" xr3:uid="{00000000-0010-0000-0000-00008F370000}" name="Coluna14218"/>
    <tableColumn id="14224" xr3:uid="{00000000-0010-0000-0000-000090370000}" name="Coluna14219"/>
    <tableColumn id="14225" xr3:uid="{00000000-0010-0000-0000-000091370000}" name="Coluna14220"/>
    <tableColumn id="14226" xr3:uid="{00000000-0010-0000-0000-000092370000}" name="Coluna14221"/>
    <tableColumn id="14227" xr3:uid="{00000000-0010-0000-0000-000093370000}" name="Coluna14222"/>
    <tableColumn id="14228" xr3:uid="{00000000-0010-0000-0000-000094370000}" name="Coluna14223"/>
    <tableColumn id="14229" xr3:uid="{00000000-0010-0000-0000-000095370000}" name="Coluna14224"/>
    <tableColumn id="14230" xr3:uid="{00000000-0010-0000-0000-000096370000}" name="Coluna14225"/>
    <tableColumn id="14231" xr3:uid="{00000000-0010-0000-0000-000097370000}" name="Coluna14226"/>
    <tableColumn id="14232" xr3:uid="{00000000-0010-0000-0000-000098370000}" name="Coluna14227"/>
    <tableColumn id="14233" xr3:uid="{00000000-0010-0000-0000-000099370000}" name="Coluna14228"/>
    <tableColumn id="14234" xr3:uid="{00000000-0010-0000-0000-00009A370000}" name="Coluna14229"/>
    <tableColumn id="14235" xr3:uid="{00000000-0010-0000-0000-00009B370000}" name="Coluna14230"/>
    <tableColumn id="14236" xr3:uid="{00000000-0010-0000-0000-00009C370000}" name="Coluna14231"/>
    <tableColumn id="14237" xr3:uid="{00000000-0010-0000-0000-00009D370000}" name="Coluna14232"/>
    <tableColumn id="14238" xr3:uid="{00000000-0010-0000-0000-00009E370000}" name="Coluna14233"/>
    <tableColumn id="14239" xr3:uid="{00000000-0010-0000-0000-00009F370000}" name="Coluna14234"/>
    <tableColumn id="14240" xr3:uid="{00000000-0010-0000-0000-0000A0370000}" name="Coluna14235"/>
    <tableColumn id="14241" xr3:uid="{00000000-0010-0000-0000-0000A1370000}" name="Coluna14236"/>
    <tableColumn id="14242" xr3:uid="{00000000-0010-0000-0000-0000A2370000}" name="Coluna14237"/>
    <tableColumn id="14243" xr3:uid="{00000000-0010-0000-0000-0000A3370000}" name="Coluna14238"/>
    <tableColumn id="14244" xr3:uid="{00000000-0010-0000-0000-0000A4370000}" name="Coluna14239"/>
    <tableColumn id="14245" xr3:uid="{00000000-0010-0000-0000-0000A5370000}" name="Coluna14240"/>
    <tableColumn id="14246" xr3:uid="{00000000-0010-0000-0000-0000A6370000}" name="Coluna14241"/>
    <tableColumn id="14247" xr3:uid="{00000000-0010-0000-0000-0000A7370000}" name="Coluna14242"/>
    <tableColumn id="14248" xr3:uid="{00000000-0010-0000-0000-0000A8370000}" name="Coluna14243"/>
    <tableColumn id="14249" xr3:uid="{00000000-0010-0000-0000-0000A9370000}" name="Coluna14244"/>
    <tableColumn id="14250" xr3:uid="{00000000-0010-0000-0000-0000AA370000}" name="Coluna14245"/>
    <tableColumn id="14251" xr3:uid="{00000000-0010-0000-0000-0000AB370000}" name="Coluna14246"/>
    <tableColumn id="14252" xr3:uid="{00000000-0010-0000-0000-0000AC370000}" name="Coluna14247"/>
    <tableColumn id="14253" xr3:uid="{00000000-0010-0000-0000-0000AD370000}" name="Coluna14248"/>
    <tableColumn id="14254" xr3:uid="{00000000-0010-0000-0000-0000AE370000}" name="Coluna14249"/>
    <tableColumn id="14255" xr3:uid="{00000000-0010-0000-0000-0000AF370000}" name="Coluna14250"/>
    <tableColumn id="14256" xr3:uid="{00000000-0010-0000-0000-0000B0370000}" name="Coluna14251"/>
    <tableColumn id="14257" xr3:uid="{00000000-0010-0000-0000-0000B1370000}" name="Coluna14252"/>
    <tableColumn id="14258" xr3:uid="{00000000-0010-0000-0000-0000B2370000}" name="Coluna14253"/>
    <tableColumn id="14259" xr3:uid="{00000000-0010-0000-0000-0000B3370000}" name="Coluna14254"/>
    <tableColumn id="14260" xr3:uid="{00000000-0010-0000-0000-0000B4370000}" name="Coluna14255"/>
    <tableColumn id="14261" xr3:uid="{00000000-0010-0000-0000-0000B5370000}" name="Coluna14256"/>
    <tableColumn id="14262" xr3:uid="{00000000-0010-0000-0000-0000B6370000}" name="Coluna14257"/>
    <tableColumn id="14263" xr3:uid="{00000000-0010-0000-0000-0000B7370000}" name="Coluna14258"/>
    <tableColumn id="14264" xr3:uid="{00000000-0010-0000-0000-0000B8370000}" name="Coluna14259"/>
    <tableColumn id="14265" xr3:uid="{00000000-0010-0000-0000-0000B9370000}" name="Coluna14260"/>
    <tableColumn id="14266" xr3:uid="{00000000-0010-0000-0000-0000BA370000}" name="Coluna14261"/>
    <tableColumn id="14267" xr3:uid="{00000000-0010-0000-0000-0000BB370000}" name="Coluna14262"/>
    <tableColumn id="14268" xr3:uid="{00000000-0010-0000-0000-0000BC370000}" name="Coluna14263"/>
    <tableColumn id="14269" xr3:uid="{00000000-0010-0000-0000-0000BD370000}" name="Coluna14264"/>
    <tableColumn id="14270" xr3:uid="{00000000-0010-0000-0000-0000BE370000}" name="Coluna14265"/>
    <tableColumn id="14271" xr3:uid="{00000000-0010-0000-0000-0000BF370000}" name="Coluna14266"/>
    <tableColumn id="14272" xr3:uid="{00000000-0010-0000-0000-0000C0370000}" name="Coluna14267"/>
    <tableColumn id="14273" xr3:uid="{00000000-0010-0000-0000-0000C1370000}" name="Coluna14268"/>
    <tableColumn id="14274" xr3:uid="{00000000-0010-0000-0000-0000C2370000}" name="Coluna14269"/>
    <tableColumn id="14275" xr3:uid="{00000000-0010-0000-0000-0000C3370000}" name="Coluna14270"/>
    <tableColumn id="14276" xr3:uid="{00000000-0010-0000-0000-0000C4370000}" name="Coluna14271"/>
    <tableColumn id="14277" xr3:uid="{00000000-0010-0000-0000-0000C5370000}" name="Coluna14272"/>
    <tableColumn id="14278" xr3:uid="{00000000-0010-0000-0000-0000C6370000}" name="Coluna14273"/>
    <tableColumn id="14279" xr3:uid="{00000000-0010-0000-0000-0000C7370000}" name="Coluna14274"/>
    <tableColumn id="14280" xr3:uid="{00000000-0010-0000-0000-0000C8370000}" name="Coluna14275"/>
    <tableColumn id="14281" xr3:uid="{00000000-0010-0000-0000-0000C9370000}" name="Coluna14276"/>
    <tableColumn id="14282" xr3:uid="{00000000-0010-0000-0000-0000CA370000}" name="Coluna14277"/>
    <tableColumn id="14283" xr3:uid="{00000000-0010-0000-0000-0000CB370000}" name="Coluna14278"/>
    <tableColumn id="14284" xr3:uid="{00000000-0010-0000-0000-0000CC370000}" name="Coluna14279"/>
    <tableColumn id="14285" xr3:uid="{00000000-0010-0000-0000-0000CD370000}" name="Coluna14280"/>
    <tableColumn id="14286" xr3:uid="{00000000-0010-0000-0000-0000CE370000}" name="Coluna14281"/>
    <tableColumn id="14287" xr3:uid="{00000000-0010-0000-0000-0000CF370000}" name="Coluna14282"/>
    <tableColumn id="14288" xr3:uid="{00000000-0010-0000-0000-0000D0370000}" name="Coluna14283"/>
    <tableColumn id="14289" xr3:uid="{00000000-0010-0000-0000-0000D1370000}" name="Coluna14284"/>
    <tableColumn id="14290" xr3:uid="{00000000-0010-0000-0000-0000D2370000}" name="Coluna14285"/>
    <tableColumn id="14291" xr3:uid="{00000000-0010-0000-0000-0000D3370000}" name="Coluna14286"/>
    <tableColumn id="14292" xr3:uid="{00000000-0010-0000-0000-0000D4370000}" name="Coluna14287"/>
    <tableColumn id="14293" xr3:uid="{00000000-0010-0000-0000-0000D5370000}" name="Coluna14288"/>
    <tableColumn id="14294" xr3:uid="{00000000-0010-0000-0000-0000D6370000}" name="Coluna14289"/>
    <tableColumn id="14295" xr3:uid="{00000000-0010-0000-0000-0000D7370000}" name="Coluna14290"/>
    <tableColumn id="14296" xr3:uid="{00000000-0010-0000-0000-0000D8370000}" name="Coluna14291"/>
    <tableColumn id="14297" xr3:uid="{00000000-0010-0000-0000-0000D9370000}" name="Coluna14292"/>
    <tableColumn id="14298" xr3:uid="{00000000-0010-0000-0000-0000DA370000}" name="Coluna14293"/>
    <tableColumn id="14299" xr3:uid="{00000000-0010-0000-0000-0000DB370000}" name="Coluna14294"/>
    <tableColumn id="14300" xr3:uid="{00000000-0010-0000-0000-0000DC370000}" name="Coluna14295"/>
    <tableColumn id="14301" xr3:uid="{00000000-0010-0000-0000-0000DD370000}" name="Coluna14296"/>
    <tableColumn id="14302" xr3:uid="{00000000-0010-0000-0000-0000DE370000}" name="Coluna14297"/>
    <tableColumn id="14303" xr3:uid="{00000000-0010-0000-0000-0000DF370000}" name="Coluna14298"/>
    <tableColumn id="14304" xr3:uid="{00000000-0010-0000-0000-0000E0370000}" name="Coluna14299"/>
    <tableColumn id="14305" xr3:uid="{00000000-0010-0000-0000-0000E1370000}" name="Coluna14300"/>
    <tableColumn id="14306" xr3:uid="{00000000-0010-0000-0000-0000E2370000}" name="Coluna14301"/>
    <tableColumn id="14307" xr3:uid="{00000000-0010-0000-0000-0000E3370000}" name="Coluna14302"/>
    <tableColumn id="14308" xr3:uid="{00000000-0010-0000-0000-0000E4370000}" name="Coluna14303"/>
    <tableColumn id="14309" xr3:uid="{00000000-0010-0000-0000-0000E5370000}" name="Coluna14304"/>
    <tableColumn id="14310" xr3:uid="{00000000-0010-0000-0000-0000E6370000}" name="Coluna14305"/>
    <tableColumn id="14311" xr3:uid="{00000000-0010-0000-0000-0000E7370000}" name="Coluna14306"/>
    <tableColumn id="14312" xr3:uid="{00000000-0010-0000-0000-0000E8370000}" name="Coluna14307"/>
    <tableColumn id="14313" xr3:uid="{00000000-0010-0000-0000-0000E9370000}" name="Coluna14308"/>
    <tableColumn id="14314" xr3:uid="{00000000-0010-0000-0000-0000EA370000}" name="Coluna14309"/>
    <tableColumn id="14315" xr3:uid="{00000000-0010-0000-0000-0000EB370000}" name="Coluna14310"/>
    <tableColumn id="14316" xr3:uid="{00000000-0010-0000-0000-0000EC370000}" name="Coluna14311"/>
    <tableColumn id="14317" xr3:uid="{00000000-0010-0000-0000-0000ED370000}" name="Coluna14312"/>
    <tableColumn id="14318" xr3:uid="{00000000-0010-0000-0000-0000EE370000}" name="Coluna14313"/>
    <tableColumn id="14319" xr3:uid="{00000000-0010-0000-0000-0000EF370000}" name="Coluna14314"/>
    <tableColumn id="14320" xr3:uid="{00000000-0010-0000-0000-0000F0370000}" name="Coluna14315"/>
    <tableColumn id="14321" xr3:uid="{00000000-0010-0000-0000-0000F1370000}" name="Coluna14316"/>
    <tableColumn id="14322" xr3:uid="{00000000-0010-0000-0000-0000F2370000}" name="Coluna14317"/>
    <tableColumn id="14323" xr3:uid="{00000000-0010-0000-0000-0000F3370000}" name="Coluna14318"/>
    <tableColumn id="14324" xr3:uid="{00000000-0010-0000-0000-0000F4370000}" name="Coluna14319"/>
    <tableColumn id="14325" xr3:uid="{00000000-0010-0000-0000-0000F5370000}" name="Coluna14320"/>
    <tableColumn id="14326" xr3:uid="{00000000-0010-0000-0000-0000F6370000}" name="Coluna14321"/>
    <tableColumn id="14327" xr3:uid="{00000000-0010-0000-0000-0000F7370000}" name="Coluna14322"/>
    <tableColumn id="14328" xr3:uid="{00000000-0010-0000-0000-0000F8370000}" name="Coluna14323"/>
    <tableColumn id="14329" xr3:uid="{00000000-0010-0000-0000-0000F9370000}" name="Coluna14324"/>
    <tableColumn id="14330" xr3:uid="{00000000-0010-0000-0000-0000FA370000}" name="Coluna14325"/>
    <tableColumn id="14331" xr3:uid="{00000000-0010-0000-0000-0000FB370000}" name="Coluna14326"/>
    <tableColumn id="14332" xr3:uid="{00000000-0010-0000-0000-0000FC370000}" name="Coluna14327"/>
    <tableColumn id="14333" xr3:uid="{00000000-0010-0000-0000-0000FD370000}" name="Coluna14328"/>
    <tableColumn id="14334" xr3:uid="{00000000-0010-0000-0000-0000FE370000}" name="Coluna14329"/>
    <tableColumn id="14335" xr3:uid="{00000000-0010-0000-0000-0000FF370000}" name="Coluna14330"/>
    <tableColumn id="14336" xr3:uid="{00000000-0010-0000-0000-000000380000}" name="Coluna14331"/>
    <tableColumn id="14337" xr3:uid="{00000000-0010-0000-0000-000001380000}" name="Coluna14332"/>
    <tableColumn id="14338" xr3:uid="{00000000-0010-0000-0000-000002380000}" name="Coluna14333"/>
    <tableColumn id="14339" xr3:uid="{00000000-0010-0000-0000-000003380000}" name="Coluna14334"/>
    <tableColumn id="14340" xr3:uid="{00000000-0010-0000-0000-000004380000}" name="Coluna14335"/>
    <tableColumn id="14341" xr3:uid="{00000000-0010-0000-0000-000005380000}" name="Coluna14336"/>
    <tableColumn id="14342" xr3:uid="{00000000-0010-0000-0000-000006380000}" name="Coluna14337"/>
    <tableColumn id="14343" xr3:uid="{00000000-0010-0000-0000-000007380000}" name="Coluna14338"/>
    <tableColumn id="14344" xr3:uid="{00000000-0010-0000-0000-000008380000}" name="Coluna14339"/>
    <tableColumn id="14345" xr3:uid="{00000000-0010-0000-0000-000009380000}" name="Coluna14340"/>
    <tableColumn id="14346" xr3:uid="{00000000-0010-0000-0000-00000A380000}" name="Coluna14341"/>
    <tableColumn id="14347" xr3:uid="{00000000-0010-0000-0000-00000B380000}" name="Coluna14342"/>
    <tableColumn id="14348" xr3:uid="{00000000-0010-0000-0000-00000C380000}" name="Coluna14343"/>
    <tableColumn id="14349" xr3:uid="{00000000-0010-0000-0000-00000D380000}" name="Coluna14344"/>
    <tableColumn id="14350" xr3:uid="{00000000-0010-0000-0000-00000E380000}" name="Coluna14345"/>
    <tableColumn id="14351" xr3:uid="{00000000-0010-0000-0000-00000F380000}" name="Coluna14346"/>
    <tableColumn id="14352" xr3:uid="{00000000-0010-0000-0000-000010380000}" name="Coluna14347"/>
    <tableColumn id="14353" xr3:uid="{00000000-0010-0000-0000-000011380000}" name="Coluna14348"/>
    <tableColumn id="14354" xr3:uid="{00000000-0010-0000-0000-000012380000}" name="Coluna14349"/>
    <tableColumn id="14355" xr3:uid="{00000000-0010-0000-0000-000013380000}" name="Coluna14350"/>
    <tableColumn id="14356" xr3:uid="{00000000-0010-0000-0000-000014380000}" name="Coluna14351"/>
    <tableColumn id="14357" xr3:uid="{00000000-0010-0000-0000-000015380000}" name="Coluna14352"/>
    <tableColumn id="14358" xr3:uid="{00000000-0010-0000-0000-000016380000}" name="Coluna14353"/>
    <tableColumn id="14359" xr3:uid="{00000000-0010-0000-0000-000017380000}" name="Coluna14354"/>
    <tableColumn id="14360" xr3:uid="{00000000-0010-0000-0000-000018380000}" name="Coluna14355"/>
    <tableColumn id="14361" xr3:uid="{00000000-0010-0000-0000-000019380000}" name="Coluna14356"/>
    <tableColumn id="14362" xr3:uid="{00000000-0010-0000-0000-00001A380000}" name="Coluna14357"/>
    <tableColumn id="14363" xr3:uid="{00000000-0010-0000-0000-00001B380000}" name="Coluna14358"/>
    <tableColumn id="14364" xr3:uid="{00000000-0010-0000-0000-00001C380000}" name="Coluna14359"/>
    <tableColumn id="14365" xr3:uid="{00000000-0010-0000-0000-00001D380000}" name="Coluna14360"/>
    <tableColumn id="14366" xr3:uid="{00000000-0010-0000-0000-00001E380000}" name="Coluna14361"/>
    <tableColumn id="14367" xr3:uid="{00000000-0010-0000-0000-00001F380000}" name="Coluna14362"/>
    <tableColumn id="14368" xr3:uid="{00000000-0010-0000-0000-000020380000}" name="Coluna14363"/>
    <tableColumn id="14369" xr3:uid="{00000000-0010-0000-0000-000021380000}" name="Coluna14364"/>
    <tableColumn id="14370" xr3:uid="{00000000-0010-0000-0000-000022380000}" name="Coluna14365"/>
    <tableColumn id="14371" xr3:uid="{00000000-0010-0000-0000-000023380000}" name="Coluna14366"/>
    <tableColumn id="14372" xr3:uid="{00000000-0010-0000-0000-000024380000}" name="Coluna14367"/>
    <tableColumn id="14373" xr3:uid="{00000000-0010-0000-0000-000025380000}" name="Coluna14368"/>
    <tableColumn id="14374" xr3:uid="{00000000-0010-0000-0000-000026380000}" name="Coluna14369"/>
    <tableColumn id="14375" xr3:uid="{00000000-0010-0000-0000-000027380000}" name="Coluna14370"/>
    <tableColumn id="14376" xr3:uid="{00000000-0010-0000-0000-000028380000}" name="Coluna14371"/>
    <tableColumn id="14377" xr3:uid="{00000000-0010-0000-0000-000029380000}" name="Coluna14372"/>
    <tableColumn id="14378" xr3:uid="{00000000-0010-0000-0000-00002A380000}" name="Coluna14373"/>
    <tableColumn id="14379" xr3:uid="{00000000-0010-0000-0000-00002B380000}" name="Coluna14374"/>
    <tableColumn id="14380" xr3:uid="{00000000-0010-0000-0000-00002C380000}" name="Coluna14375"/>
    <tableColumn id="14381" xr3:uid="{00000000-0010-0000-0000-00002D380000}" name="Coluna14376"/>
    <tableColumn id="14382" xr3:uid="{00000000-0010-0000-0000-00002E380000}" name="Coluna14377"/>
    <tableColumn id="14383" xr3:uid="{00000000-0010-0000-0000-00002F380000}" name="Coluna14378"/>
    <tableColumn id="14384" xr3:uid="{00000000-0010-0000-0000-000030380000}" name="Coluna14379"/>
    <tableColumn id="14385" xr3:uid="{00000000-0010-0000-0000-000031380000}" name="Coluna14380"/>
    <tableColumn id="14386" xr3:uid="{00000000-0010-0000-0000-000032380000}" name="Coluna14381"/>
    <tableColumn id="14387" xr3:uid="{00000000-0010-0000-0000-000033380000}" name="Coluna14382"/>
    <tableColumn id="14388" xr3:uid="{00000000-0010-0000-0000-000034380000}" name="Coluna14383"/>
    <tableColumn id="14389" xr3:uid="{00000000-0010-0000-0000-000035380000}" name="Coluna14384"/>
    <tableColumn id="14390" xr3:uid="{00000000-0010-0000-0000-000036380000}" name="Coluna14385"/>
    <tableColumn id="14391" xr3:uid="{00000000-0010-0000-0000-000037380000}" name="Coluna14386"/>
    <tableColumn id="14392" xr3:uid="{00000000-0010-0000-0000-000038380000}" name="Coluna14387"/>
    <tableColumn id="14393" xr3:uid="{00000000-0010-0000-0000-000039380000}" name="Coluna14388"/>
    <tableColumn id="14394" xr3:uid="{00000000-0010-0000-0000-00003A380000}" name="Coluna14389"/>
    <tableColumn id="14395" xr3:uid="{00000000-0010-0000-0000-00003B380000}" name="Coluna14390"/>
    <tableColumn id="14396" xr3:uid="{00000000-0010-0000-0000-00003C380000}" name="Coluna14391"/>
    <tableColumn id="14397" xr3:uid="{00000000-0010-0000-0000-00003D380000}" name="Coluna14392"/>
    <tableColumn id="14398" xr3:uid="{00000000-0010-0000-0000-00003E380000}" name="Coluna14393"/>
    <tableColumn id="14399" xr3:uid="{00000000-0010-0000-0000-00003F380000}" name="Coluna14394"/>
    <tableColumn id="14400" xr3:uid="{00000000-0010-0000-0000-000040380000}" name="Coluna14395"/>
    <tableColumn id="14401" xr3:uid="{00000000-0010-0000-0000-000041380000}" name="Coluna14396"/>
    <tableColumn id="14402" xr3:uid="{00000000-0010-0000-0000-000042380000}" name="Coluna14397"/>
    <tableColumn id="14403" xr3:uid="{00000000-0010-0000-0000-000043380000}" name="Coluna14398"/>
    <tableColumn id="14404" xr3:uid="{00000000-0010-0000-0000-000044380000}" name="Coluna14399"/>
    <tableColumn id="14405" xr3:uid="{00000000-0010-0000-0000-000045380000}" name="Coluna14400"/>
    <tableColumn id="14406" xr3:uid="{00000000-0010-0000-0000-000046380000}" name="Coluna14401"/>
    <tableColumn id="14407" xr3:uid="{00000000-0010-0000-0000-000047380000}" name="Coluna14402"/>
    <tableColumn id="14408" xr3:uid="{00000000-0010-0000-0000-000048380000}" name="Coluna14403"/>
    <tableColumn id="14409" xr3:uid="{00000000-0010-0000-0000-000049380000}" name="Coluna14404"/>
    <tableColumn id="14410" xr3:uid="{00000000-0010-0000-0000-00004A380000}" name="Coluna14405"/>
    <tableColumn id="14411" xr3:uid="{00000000-0010-0000-0000-00004B380000}" name="Coluna14406"/>
    <tableColumn id="14412" xr3:uid="{00000000-0010-0000-0000-00004C380000}" name="Coluna14407"/>
    <tableColumn id="14413" xr3:uid="{00000000-0010-0000-0000-00004D380000}" name="Coluna14408"/>
    <tableColumn id="14414" xr3:uid="{00000000-0010-0000-0000-00004E380000}" name="Coluna14409"/>
    <tableColumn id="14415" xr3:uid="{00000000-0010-0000-0000-00004F380000}" name="Coluna14410"/>
    <tableColumn id="14416" xr3:uid="{00000000-0010-0000-0000-000050380000}" name="Coluna14411"/>
    <tableColumn id="14417" xr3:uid="{00000000-0010-0000-0000-000051380000}" name="Coluna14412"/>
    <tableColumn id="14418" xr3:uid="{00000000-0010-0000-0000-000052380000}" name="Coluna14413"/>
    <tableColumn id="14419" xr3:uid="{00000000-0010-0000-0000-000053380000}" name="Coluna14414"/>
    <tableColumn id="14420" xr3:uid="{00000000-0010-0000-0000-000054380000}" name="Coluna14415"/>
    <tableColumn id="14421" xr3:uid="{00000000-0010-0000-0000-000055380000}" name="Coluna14416"/>
    <tableColumn id="14422" xr3:uid="{00000000-0010-0000-0000-000056380000}" name="Coluna14417"/>
    <tableColumn id="14423" xr3:uid="{00000000-0010-0000-0000-000057380000}" name="Coluna14418"/>
    <tableColumn id="14424" xr3:uid="{00000000-0010-0000-0000-000058380000}" name="Coluna14419"/>
    <tableColumn id="14425" xr3:uid="{00000000-0010-0000-0000-000059380000}" name="Coluna14420"/>
    <tableColumn id="14426" xr3:uid="{00000000-0010-0000-0000-00005A380000}" name="Coluna14421"/>
    <tableColumn id="14427" xr3:uid="{00000000-0010-0000-0000-00005B380000}" name="Coluna14422"/>
    <tableColumn id="14428" xr3:uid="{00000000-0010-0000-0000-00005C380000}" name="Coluna14423"/>
    <tableColumn id="14429" xr3:uid="{00000000-0010-0000-0000-00005D380000}" name="Coluna14424"/>
    <tableColumn id="14430" xr3:uid="{00000000-0010-0000-0000-00005E380000}" name="Coluna14425"/>
    <tableColumn id="14431" xr3:uid="{00000000-0010-0000-0000-00005F380000}" name="Coluna14426"/>
    <tableColumn id="14432" xr3:uid="{00000000-0010-0000-0000-000060380000}" name="Coluna14427"/>
    <tableColumn id="14433" xr3:uid="{00000000-0010-0000-0000-000061380000}" name="Coluna14428"/>
    <tableColumn id="14434" xr3:uid="{00000000-0010-0000-0000-000062380000}" name="Coluna14429"/>
    <tableColumn id="14435" xr3:uid="{00000000-0010-0000-0000-000063380000}" name="Coluna14430"/>
    <tableColumn id="14436" xr3:uid="{00000000-0010-0000-0000-000064380000}" name="Coluna14431"/>
    <tableColumn id="14437" xr3:uid="{00000000-0010-0000-0000-000065380000}" name="Coluna14432"/>
    <tableColumn id="14438" xr3:uid="{00000000-0010-0000-0000-000066380000}" name="Coluna14433"/>
    <tableColumn id="14439" xr3:uid="{00000000-0010-0000-0000-000067380000}" name="Coluna14434"/>
    <tableColumn id="14440" xr3:uid="{00000000-0010-0000-0000-000068380000}" name="Coluna14435"/>
    <tableColumn id="14441" xr3:uid="{00000000-0010-0000-0000-000069380000}" name="Coluna14436"/>
    <tableColumn id="14442" xr3:uid="{00000000-0010-0000-0000-00006A380000}" name="Coluna14437"/>
    <tableColumn id="14443" xr3:uid="{00000000-0010-0000-0000-00006B380000}" name="Coluna14438"/>
    <tableColumn id="14444" xr3:uid="{00000000-0010-0000-0000-00006C380000}" name="Coluna14439"/>
    <tableColumn id="14445" xr3:uid="{00000000-0010-0000-0000-00006D380000}" name="Coluna14440"/>
    <tableColumn id="14446" xr3:uid="{00000000-0010-0000-0000-00006E380000}" name="Coluna14441"/>
    <tableColumn id="14447" xr3:uid="{00000000-0010-0000-0000-00006F380000}" name="Coluna14442"/>
    <tableColumn id="14448" xr3:uid="{00000000-0010-0000-0000-000070380000}" name="Coluna14443"/>
    <tableColumn id="14449" xr3:uid="{00000000-0010-0000-0000-000071380000}" name="Coluna14444"/>
    <tableColumn id="14450" xr3:uid="{00000000-0010-0000-0000-000072380000}" name="Coluna14445"/>
    <tableColumn id="14451" xr3:uid="{00000000-0010-0000-0000-000073380000}" name="Coluna14446"/>
    <tableColumn id="14452" xr3:uid="{00000000-0010-0000-0000-000074380000}" name="Coluna14447"/>
    <tableColumn id="14453" xr3:uid="{00000000-0010-0000-0000-000075380000}" name="Coluna14448"/>
    <tableColumn id="14454" xr3:uid="{00000000-0010-0000-0000-000076380000}" name="Coluna14449"/>
    <tableColumn id="14455" xr3:uid="{00000000-0010-0000-0000-000077380000}" name="Coluna14450"/>
    <tableColumn id="14456" xr3:uid="{00000000-0010-0000-0000-000078380000}" name="Coluna14451"/>
    <tableColumn id="14457" xr3:uid="{00000000-0010-0000-0000-000079380000}" name="Coluna14452"/>
    <tableColumn id="14458" xr3:uid="{00000000-0010-0000-0000-00007A380000}" name="Coluna14453"/>
    <tableColumn id="14459" xr3:uid="{00000000-0010-0000-0000-00007B380000}" name="Coluna14454"/>
    <tableColumn id="14460" xr3:uid="{00000000-0010-0000-0000-00007C380000}" name="Coluna14455"/>
    <tableColumn id="14461" xr3:uid="{00000000-0010-0000-0000-00007D380000}" name="Coluna14456"/>
    <tableColumn id="14462" xr3:uid="{00000000-0010-0000-0000-00007E380000}" name="Coluna14457"/>
    <tableColumn id="14463" xr3:uid="{00000000-0010-0000-0000-00007F380000}" name="Coluna14458"/>
    <tableColumn id="14464" xr3:uid="{00000000-0010-0000-0000-000080380000}" name="Coluna14459"/>
    <tableColumn id="14465" xr3:uid="{00000000-0010-0000-0000-000081380000}" name="Coluna14460"/>
    <tableColumn id="14466" xr3:uid="{00000000-0010-0000-0000-000082380000}" name="Coluna14461"/>
    <tableColumn id="14467" xr3:uid="{00000000-0010-0000-0000-000083380000}" name="Coluna14462"/>
    <tableColumn id="14468" xr3:uid="{00000000-0010-0000-0000-000084380000}" name="Coluna14463"/>
    <tableColumn id="14469" xr3:uid="{00000000-0010-0000-0000-000085380000}" name="Coluna14464"/>
    <tableColumn id="14470" xr3:uid="{00000000-0010-0000-0000-000086380000}" name="Coluna14465"/>
    <tableColumn id="14471" xr3:uid="{00000000-0010-0000-0000-000087380000}" name="Coluna14466"/>
    <tableColumn id="14472" xr3:uid="{00000000-0010-0000-0000-000088380000}" name="Coluna14467"/>
    <tableColumn id="14473" xr3:uid="{00000000-0010-0000-0000-000089380000}" name="Coluna14468"/>
    <tableColumn id="14474" xr3:uid="{00000000-0010-0000-0000-00008A380000}" name="Coluna14469"/>
    <tableColumn id="14475" xr3:uid="{00000000-0010-0000-0000-00008B380000}" name="Coluna14470"/>
    <tableColumn id="14476" xr3:uid="{00000000-0010-0000-0000-00008C380000}" name="Coluna14471"/>
    <tableColumn id="14477" xr3:uid="{00000000-0010-0000-0000-00008D380000}" name="Coluna14472"/>
    <tableColumn id="14478" xr3:uid="{00000000-0010-0000-0000-00008E380000}" name="Coluna14473"/>
    <tableColumn id="14479" xr3:uid="{00000000-0010-0000-0000-00008F380000}" name="Coluna14474"/>
    <tableColumn id="14480" xr3:uid="{00000000-0010-0000-0000-000090380000}" name="Coluna14475"/>
    <tableColumn id="14481" xr3:uid="{00000000-0010-0000-0000-000091380000}" name="Coluna14476"/>
    <tableColumn id="14482" xr3:uid="{00000000-0010-0000-0000-000092380000}" name="Coluna14477"/>
    <tableColumn id="14483" xr3:uid="{00000000-0010-0000-0000-000093380000}" name="Coluna14478"/>
    <tableColumn id="14484" xr3:uid="{00000000-0010-0000-0000-000094380000}" name="Coluna14479"/>
    <tableColumn id="14485" xr3:uid="{00000000-0010-0000-0000-000095380000}" name="Coluna14480"/>
    <tableColumn id="14486" xr3:uid="{00000000-0010-0000-0000-000096380000}" name="Coluna14481"/>
    <tableColumn id="14487" xr3:uid="{00000000-0010-0000-0000-000097380000}" name="Coluna14482"/>
    <tableColumn id="14488" xr3:uid="{00000000-0010-0000-0000-000098380000}" name="Coluna14483"/>
    <tableColumn id="14489" xr3:uid="{00000000-0010-0000-0000-000099380000}" name="Coluna14484"/>
    <tableColumn id="14490" xr3:uid="{00000000-0010-0000-0000-00009A380000}" name="Coluna14485"/>
    <tableColumn id="14491" xr3:uid="{00000000-0010-0000-0000-00009B380000}" name="Coluna14486"/>
    <tableColumn id="14492" xr3:uid="{00000000-0010-0000-0000-00009C380000}" name="Coluna14487"/>
    <tableColumn id="14493" xr3:uid="{00000000-0010-0000-0000-00009D380000}" name="Coluna14488"/>
    <tableColumn id="14494" xr3:uid="{00000000-0010-0000-0000-00009E380000}" name="Coluna14489"/>
    <tableColumn id="14495" xr3:uid="{00000000-0010-0000-0000-00009F380000}" name="Coluna14490"/>
    <tableColumn id="14496" xr3:uid="{00000000-0010-0000-0000-0000A0380000}" name="Coluna14491"/>
    <tableColumn id="14497" xr3:uid="{00000000-0010-0000-0000-0000A1380000}" name="Coluna14492"/>
    <tableColumn id="14498" xr3:uid="{00000000-0010-0000-0000-0000A2380000}" name="Coluna14493"/>
    <tableColumn id="14499" xr3:uid="{00000000-0010-0000-0000-0000A3380000}" name="Coluna14494"/>
    <tableColumn id="14500" xr3:uid="{00000000-0010-0000-0000-0000A4380000}" name="Coluna14495"/>
    <tableColumn id="14501" xr3:uid="{00000000-0010-0000-0000-0000A5380000}" name="Coluna14496"/>
    <tableColumn id="14502" xr3:uid="{00000000-0010-0000-0000-0000A6380000}" name="Coluna14497"/>
    <tableColumn id="14503" xr3:uid="{00000000-0010-0000-0000-0000A7380000}" name="Coluna14498"/>
    <tableColumn id="14504" xr3:uid="{00000000-0010-0000-0000-0000A8380000}" name="Coluna14499"/>
    <tableColumn id="14505" xr3:uid="{00000000-0010-0000-0000-0000A9380000}" name="Coluna14500"/>
    <tableColumn id="14506" xr3:uid="{00000000-0010-0000-0000-0000AA380000}" name="Coluna14501"/>
    <tableColumn id="14507" xr3:uid="{00000000-0010-0000-0000-0000AB380000}" name="Coluna14502"/>
    <tableColumn id="14508" xr3:uid="{00000000-0010-0000-0000-0000AC380000}" name="Coluna14503"/>
    <tableColumn id="14509" xr3:uid="{00000000-0010-0000-0000-0000AD380000}" name="Coluna14504"/>
    <tableColumn id="14510" xr3:uid="{00000000-0010-0000-0000-0000AE380000}" name="Coluna14505"/>
    <tableColumn id="14511" xr3:uid="{00000000-0010-0000-0000-0000AF380000}" name="Coluna14506"/>
    <tableColumn id="14512" xr3:uid="{00000000-0010-0000-0000-0000B0380000}" name="Coluna14507"/>
    <tableColumn id="14513" xr3:uid="{00000000-0010-0000-0000-0000B1380000}" name="Coluna14508"/>
    <tableColumn id="14514" xr3:uid="{00000000-0010-0000-0000-0000B2380000}" name="Coluna14509"/>
    <tableColumn id="14515" xr3:uid="{00000000-0010-0000-0000-0000B3380000}" name="Coluna14510"/>
    <tableColumn id="14516" xr3:uid="{00000000-0010-0000-0000-0000B4380000}" name="Coluna14511"/>
    <tableColumn id="14517" xr3:uid="{00000000-0010-0000-0000-0000B5380000}" name="Coluna14512"/>
    <tableColumn id="14518" xr3:uid="{00000000-0010-0000-0000-0000B6380000}" name="Coluna14513"/>
    <tableColumn id="14519" xr3:uid="{00000000-0010-0000-0000-0000B7380000}" name="Coluna14514"/>
    <tableColumn id="14520" xr3:uid="{00000000-0010-0000-0000-0000B8380000}" name="Coluna14515"/>
    <tableColumn id="14521" xr3:uid="{00000000-0010-0000-0000-0000B9380000}" name="Coluna14516"/>
    <tableColumn id="14522" xr3:uid="{00000000-0010-0000-0000-0000BA380000}" name="Coluna14517"/>
    <tableColumn id="14523" xr3:uid="{00000000-0010-0000-0000-0000BB380000}" name="Coluna14518"/>
    <tableColumn id="14524" xr3:uid="{00000000-0010-0000-0000-0000BC380000}" name="Coluna14519"/>
    <tableColumn id="14525" xr3:uid="{00000000-0010-0000-0000-0000BD380000}" name="Coluna14520"/>
    <tableColumn id="14526" xr3:uid="{00000000-0010-0000-0000-0000BE380000}" name="Coluna14521"/>
    <tableColumn id="14527" xr3:uid="{00000000-0010-0000-0000-0000BF380000}" name="Coluna14522"/>
    <tableColumn id="14528" xr3:uid="{00000000-0010-0000-0000-0000C0380000}" name="Coluna14523"/>
    <tableColumn id="14529" xr3:uid="{00000000-0010-0000-0000-0000C1380000}" name="Coluna14524"/>
    <tableColumn id="14530" xr3:uid="{00000000-0010-0000-0000-0000C2380000}" name="Coluna14525"/>
    <tableColumn id="14531" xr3:uid="{00000000-0010-0000-0000-0000C3380000}" name="Coluna14526"/>
    <tableColumn id="14532" xr3:uid="{00000000-0010-0000-0000-0000C4380000}" name="Coluna14527"/>
    <tableColumn id="14533" xr3:uid="{00000000-0010-0000-0000-0000C5380000}" name="Coluna14528"/>
    <tableColumn id="14534" xr3:uid="{00000000-0010-0000-0000-0000C6380000}" name="Coluna14529"/>
    <tableColumn id="14535" xr3:uid="{00000000-0010-0000-0000-0000C7380000}" name="Coluna14530"/>
    <tableColumn id="14536" xr3:uid="{00000000-0010-0000-0000-0000C8380000}" name="Coluna14531"/>
    <tableColumn id="14537" xr3:uid="{00000000-0010-0000-0000-0000C9380000}" name="Coluna14532"/>
    <tableColumn id="14538" xr3:uid="{00000000-0010-0000-0000-0000CA380000}" name="Coluna14533"/>
    <tableColumn id="14539" xr3:uid="{00000000-0010-0000-0000-0000CB380000}" name="Coluna14534"/>
    <tableColumn id="14540" xr3:uid="{00000000-0010-0000-0000-0000CC380000}" name="Coluna14535"/>
    <tableColumn id="14541" xr3:uid="{00000000-0010-0000-0000-0000CD380000}" name="Coluna14536"/>
    <tableColumn id="14542" xr3:uid="{00000000-0010-0000-0000-0000CE380000}" name="Coluna14537"/>
    <tableColumn id="14543" xr3:uid="{00000000-0010-0000-0000-0000CF380000}" name="Coluna14538"/>
    <tableColumn id="14544" xr3:uid="{00000000-0010-0000-0000-0000D0380000}" name="Coluna14539"/>
    <tableColumn id="14545" xr3:uid="{00000000-0010-0000-0000-0000D1380000}" name="Coluna14540"/>
    <tableColumn id="14546" xr3:uid="{00000000-0010-0000-0000-0000D2380000}" name="Coluna14541"/>
    <tableColumn id="14547" xr3:uid="{00000000-0010-0000-0000-0000D3380000}" name="Coluna14542"/>
    <tableColumn id="14548" xr3:uid="{00000000-0010-0000-0000-0000D4380000}" name="Coluna14543"/>
    <tableColumn id="14549" xr3:uid="{00000000-0010-0000-0000-0000D5380000}" name="Coluna14544"/>
    <tableColumn id="14550" xr3:uid="{00000000-0010-0000-0000-0000D6380000}" name="Coluna14545"/>
    <tableColumn id="14551" xr3:uid="{00000000-0010-0000-0000-0000D7380000}" name="Coluna14546"/>
    <tableColumn id="14552" xr3:uid="{00000000-0010-0000-0000-0000D8380000}" name="Coluna14547"/>
    <tableColumn id="14553" xr3:uid="{00000000-0010-0000-0000-0000D9380000}" name="Coluna14548"/>
    <tableColumn id="14554" xr3:uid="{00000000-0010-0000-0000-0000DA380000}" name="Coluna14549"/>
    <tableColumn id="14555" xr3:uid="{00000000-0010-0000-0000-0000DB380000}" name="Coluna14550"/>
    <tableColumn id="14556" xr3:uid="{00000000-0010-0000-0000-0000DC380000}" name="Coluna14551"/>
    <tableColumn id="14557" xr3:uid="{00000000-0010-0000-0000-0000DD380000}" name="Coluna14552"/>
    <tableColumn id="14558" xr3:uid="{00000000-0010-0000-0000-0000DE380000}" name="Coluna14553"/>
    <tableColumn id="14559" xr3:uid="{00000000-0010-0000-0000-0000DF380000}" name="Coluna14554"/>
    <tableColumn id="14560" xr3:uid="{00000000-0010-0000-0000-0000E0380000}" name="Coluna14555"/>
    <tableColumn id="14561" xr3:uid="{00000000-0010-0000-0000-0000E1380000}" name="Coluna14556"/>
    <tableColumn id="14562" xr3:uid="{00000000-0010-0000-0000-0000E2380000}" name="Coluna14557"/>
    <tableColumn id="14563" xr3:uid="{00000000-0010-0000-0000-0000E3380000}" name="Coluna14558"/>
    <tableColumn id="14564" xr3:uid="{00000000-0010-0000-0000-0000E4380000}" name="Coluna14559"/>
    <tableColumn id="14565" xr3:uid="{00000000-0010-0000-0000-0000E5380000}" name="Coluna14560"/>
    <tableColumn id="14566" xr3:uid="{00000000-0010-0000-0000-0000E6380000}" name="Coluna14561"/>
    <tableColumn id="14567" xr3:uid="{00000000-0010-0000-0000-0000E7380000}" name="Coluna14562"/>
    <tableColumn id="14568" xr3:uid="{00000000-0010-0000-0000-0000E8380000}" name="Coluna14563"/>
    <tableColumn id="14569" xr3:uid="{00000000-0010-0000-0000-0000E9380000}" name="Coluna14564"/>
    <tableColumn id="14570" xr3:uid="{00000000-0010-0000-0000-0000EA380000}" name="Coluna14565"/>
    <tableColumn id="14571" xr3:uid="{00000000-0010-0000-0000-0000EB380000}" name="Coluna14566"/>
    <tableColumn id="14572" xr3:uid="{00000000-0010-0000-0000-0000EC380000}" name="Coluna14567"/>
    <tableColumn id="14573" xr3:uid="{00000000-0010-0000-0000-0000ED380000}" name="Coluna14568"/>
    <tableColumn id="14574" xr3:uid="{00000000-0010-0000-0000-0000EE380000}" name="Coluna14569"/>
    <tableColumn id="14575" xr3:uid="{00000000-0010-0000-0000-0000EF380000}" name="Coluna14570"/>
    <tableColumn id="14576" xr3:uid="{00000000-0010-0000-0000-0000F0380000}" name="Coluna14571"/>
    <tableColumn id="14577" xr3:uid="{00000000-0010-0000-0000-0000F1380000}" name="Coluna14572"/>
    <tableColumn id="14578" xr3:uid="{00000000-0010-0000-0000-0000F2380000}" name="Coluna14573"/>
    <tableColumn id="14579" xr3:uid="{00000000-0010-0000-0000-0000F3380000}" name="Coluna14574"/>
    <tableColumn id="14580" xr3:uid="{00000000-0010-0000-0000-0000F4380000}" name="Coluna14575"/>
    <tableColumn id="14581" xr3:uid="{00000000-0010-0000-0000-0000F5380000}" name="Coluna14576"/>
    <tableColumn id="14582" xr3:uid="{00000000-0010-0000-0000-0000F6380000}" name="Coluna14577"/>
    <tableColumn id="14583" xr3:uid="{00000000-0010-0000-0000-0000F7380000}" name="Coluna14578"/>
    <tableColumn id="14584" xr3:uid="{00000000-0010-0000-0000-0000F8380000}" name="Coluna14579"/>
    <tableColumn id="14585" xr3:uid="{00000000-0010-0000-0000-0000F9380000}" name="Coluna14580"/>
    <tableColumn id="14586" xr3:uid="{00000000-0010-0000-0000-0000FA380000}" name="Coluna14581"/>
    <tableColumn id="14587" xr3:uid="{00000000-0010-0000-0000-0000FB380000}" name="Coluna14582"/>
    <tableColumn id="14588" xr3:uid="{00000000-0010-0000-0000-0000FC380000}" name="Coluna14583"/>
    <tableColumn id="14589" xr3:uid="{00000000-0010-0000-0000-0000FD380000}" name="Coluna14584"/>
    <tableColumn id="14590" xr3:uid="{00000000-0010-0000-0000-0000FE380000}" name="Coluna14585"/>
    <tableColumn id="14591" xr3:uid="{00000000-0010-0000-0000-0000FF380000}" name="Coluna14586"/>
    <tableColumn id="14592" xr3:uid="{00000000-0010-0000-0000-000000390000}" name="Coluna14587"/>
    <tableColumn id="14593" xr3:uid="{00000000-0010-0000-0000-000001390000}" name="Coluna14588"/>
    <tableColumn id="14594" xr3:uid="{00000000-0010-0000-0000-000002390000}" name="Coluna14589"/>
    <tableColumn id="14595" xr3:uid="{00000000-0010-0000-0000-000003390000}" name="Coluna14590"/>
    <tableColumn id="14596" xr3:uid="{00000000-0010-0000-0000-000004390000}" name="Coluna14591"/>
    <tableColumn id="14597" xr3:uid="{00000000-0010-0000-0000-000005390000}" name="Coluna14592"/>
    <tableColumn id="14598" xr3:uid="{00000000-0010-0000-0000-000006390000}" name="Coluna14593"/>
    <tableColumn id="14599" xr3:uid="{00000000-0010-0000-0000-000007390000}" name="Coluna14594"/>
    <tableColumn id="14600" xr3:uid="{00000000-0010-0000-0000-000008390000}" name="Coluna14595"/>
    <tableColumn id="14601" xr3:uid="{00000000-0010-0000-0000-000009390000}" name="Coluna14596"/>
    <tableColumn id="14602" xr3:uid="{00000000-0010-0000-0000-00000A390000}" name="Coluna14597"/>
    <tableColumn id="14603" xr3:uid="{00000000-0010-0000-0000-00000B390000}" name="Coluna14598"/>
    <tableColumn id="14604" xr3:uid="{00000000-0010-0000-0000-00000C390000}" name="Coluna14599"/>
    <tableColumn id="14605" xr3:uid="{00000000-0010-0000-0000-00000D390000}" name="Coluna14600"/>
    <tableColumn id="14606" xr3:uid="{00000000-0010-0000-0000-00000E390000}" name="Coluna14601"/>
    <tableColumn id="14607" xr3:uid="{00000000-0010-0000-0000-00000F390000}" name="Coluna14602"/>
    <tableColumn id="14608" xr3:uid="{00000000-0010-0000-0000-000010390000}" name="Coluna14603"/>
    <tableColumn id="14609" xr3:uid="{00000000-0010-0000-0000-000011390000}" name="Coluna14604"/>
    <tableColumn id="14610" xr3:uid="{00000000-0010-0000-0000-000012390000}" name="Coluna14605"/>
    <tableColumn id="14611" xr3:uid="{00000000-0010-0000-0000-000013390000}" name="Coluna14606"/>
    <tableColumn id="14612" xr3:uid="{00000000-0010-0000-0000-000014390000}" name="Coluna14607"/>
    <tableColumn id="14613" xr3:uid="{00000000-0010-0000-0000-000015390000}" name="Coluna14608"/>
    <tableColumn id="14614" xr3:uid="{00000000-0010-0000-0000-000016390000}" name="Coluna14609"/>
    <tableColumn id="14615" xr3:uid="{00000000-0010-0000-0000-000017390000}" name="Coluna14610"/>
    <tableColumn id="14616" xr3:uid="{00000000-0010-0000-0000-000018390000}" name="Coluna14611"/>
    <tableColumn id="14617" xr3:uid="{00000000-0010-0000-0000-000019390000}" name="Coluna14612"/>
    <tableColumn id="14618" xr3:uid="{00000000-0010-0000-0000-00001A390000}" name="Coluna14613"/>
    <tableColumn id="14619" xr3:uid="{00000000-0010-0000-0000-00001B390000}" name="Coluna14614"/>
    <tableColumn id="14620" xr3:uid="{00000000-0010-0000-0000-00001C390000}" name="Coluna14615"/>
    <tableColumn id="14621" xr3:uid="{00000000-0010-0000-0000-00001D390000}" name="Coluna14616"/>
    <tableColumn id="14622" xr3:uid="{00000000-0010-0000-0000-00001E390000}" name="Coluna14617"/>
    <tableColumn id="14623" xr3:uid="{00000000-0010-0000-0000-00001F390000}" name="Coluna14618"/>
    <tableColumn id="14624" xr3:uid="{00000000-0010-0000-0000-000020390000}" name="Coluna14619"/>
    <tableColumn id="14625" xr3:uid="{00000000-0010-0000-0000-000021390000}" name="Coluna14620"/>
    <tableColumn id="14626" xr3:uid="{00000000-0010-0000-0000-000022390000}" name="Coluna14621"/>
    <tableColumn id="14627" xr3:uid="{00000000-0010-0000-0000-000023390000}" name="Coluna14622"/>
    <tableColumn id="14628" xr3:uid="{00000000-0010-0000-0000-000024390000}" name="Coluna14623"/>
    <tableColumn id="14629" xr3:uid="{00000000-0010-0000-0000-000025390000}" name="Coluna14624"/>
    <tableColumn id="14630" xr3:uid="{00000000-0010-0000-0000-000026390000}" name="Coluna14625"/>
    <tableColumn id="14631" xr3:uid="{00000000-0010-0000-0000-000027390000}" name="Coluna14626"/>
    <tableColumn id="14632" xr3:uid="{00000000-0010-0000-0000-000028390000}" name="Coluna14627"/>
    <tableColumn id="14633" xr3:uid="{00000000-0010-0000-0000-000029390000}" name="Coluna14628"/>
    <tableColumn id="14634" xr3:uid="{00000000-0010-0000-0000-00002A390000}" name="Coluna14629"/>
    <tableColumn id="14635" xr3:uid="{00000000-0010-0000-0000-00002B390000}" name="Coluna14630"/>
    <tableColumn id="14636" xr3:uid="{00000000-0010-0000-0000-00002C390000}" name="Coluna14631"/>
    <tableColumn id="14637" xr3:uid="{00000000-0010-0000-0000-00002D390000}" name="Coluna14632"/>
    <tableColumn id="14638" xr3:uid="{00000000-0010-0000-0000-00002E390000}" name="Coluna14633"/>
    <tableColumn id="14639" xr3:uid="{00000000-0010-0000-0000-00002F390000}" name="Coluna14634"/>
    <tableColumn id="14640" xr3:uid="{00000000-0010-0000-0000-000030390000}" name="Coluna14635"/>
    <tableColumn id="14641" xr3:uid="{00000000-0010-0000-0000-000031390000}" name="Coluna14636"/>
    <tableColumn id="14642" xr3:uid="{00000000-0010-0000-0000-000032390000}" name="Coluna14637"/>
    <tableColumn id="14643" xr3:uid="{00000000-0010-0000-0000-000033390000}" name="Coluna14638"/>
    <tableColumn id="14644" xr3:uid="{00000000-0010-0000-0000-000034390000}" name="Coluna14639"/>
    <tableColumn id="14645" xr3:uid="{00000000-0010-0000-0000-000035390000}" name="Coluna14640"/>
    <tableColumn id="14646" xr3:uid="{00000000-0010-0000-0000-000036390000}" name="Coluna14641"/>
    <tableColumn id="14647" xr3:uid="{00000000-0010-0000-0000-000037390000}" name="Coluna14642"/>
    <tableColumn id="14648" xr3:uid="{00000000-0010-0000-0000-000038390000}" name="Coluna14643"/>
    <tableColumn id="14649" xr3:uid="{00000000-0010-0000-0000-000039390000}" name="Coluna14644"/>
    <tableColumn id="14650" xr3:uid="{00000000-0010-0000-0000-00003A390000}" name="Coluna14645"/>
    <tableColumn id="14651" xr3:uid="{00000000-0010-0000-0000-00003B390000}" name="Coluna14646"/>
    <tableColumn id="14652" xr3:uid="{00000000-0010-0000-0000-00003C390000}" name="Coluna14647"/>
    <tableColumn id="14653" xr3:uid="{00000000-0010-0000-0000-00003D390000}" name="Coluna14648"/>
    <tableColumn id="14654" xr3:uid="{00000000-0010-0000-0000-00003E390000}" name="Coluna14649"/>
    <tableColumn id="14655" xr3:uid="{00000000-0010-0000-0000-00003F390000}" name="Coluna14650"/>
    <tableColumn id="14656" xr3:uid="{00000000-0010-0000-0000-000040390000}" name="Coluna14651"/>
    <tableColumn id="14657" xr3:uid="{00000000-0010-0000-0000-000041390000}" name="Coluna14652"/>
    <tableColumn id="14658" xr3:uid="{00000000-0010-0000-0000-000042390000}" name="Coluna14653"/>
    <tableColumn id="14659" xr3:uid="{00000000-0010-0000-0000-000043390000}" name="Coluna14654"/>
    <tableColumn id="14660" xr3:uid="{00000000-0010-0000-0000-000044390000}" name="Coluna14655"/>
    <tableColumn id="14661" xr3:uid="{00000000-0010-0000-0000-000045390000}" name="Coluna14656"/>
    <tableColumn id="14662" xr3:uid="{00000000-0010-0000-0000-000046390000}" name="Coluna14657"/>
    <tableColumn id="14663" xr3:uid="{00000000-0010-0000-0000-000047390000}" name="Coluna14658"/>
    <tableColumn id="14664" xr3:uid="{00000000-0010-0000-0000-000048390000}" name="Coluna14659"/>
    <tableColumn id="14665" xr3:uid="{00000000-0010-0000-0000-000049390000}" name="Coluna14660"/>
    <tableColumn id="14666" xr3:uid="{00000000-0010-0000-0000-00004A390000}" name="Coluna14661"/>
    <tableColumn id="14667" xr3:uid="{00000000-0010-0000-0000-00004B390000}" name="Coluna14662"/>
    <tableColumn id="14668" xr3:uid="{00000000-0010-0000-0000-00004C390000}" name="Coluna14663"/>
    <tableColumn id="14669" xr3:uid="{00000000-0010-0000-0000-00004D390000}" name="Coluna14664"/>
    <tableColumn id="14670" xr3:uid="{00000000-0010-0000-0000-00004E390000}" name="Coluna14665"/>
    <tableColumn id="14671" xr3:uid="{00000000-0010-0000-0000-00004F390000}" name="Coluna14666"/>
    <tableColumn id="14672" xr3:uid="{00000000-0010-0000-0000-000050390000}" name="Coluna14667"/>
    <tableColumn id="14673" xr3:uid="{00000000-0010-0000-0000-000051390000}" name="Coluna14668"/>
    <tableColumn id="14674" xr3:uid="{00000000-0010-0000-0000-000052390000}" name="Coluna14669"/>
    <tableColumn id="14675" xr3:uid="{00000000-0010-0000-0000-000053390000}" name="Coluna14670"/>
    <tableColumn id="14676" xr3:uid="{00000000-0010-0000-0000-000054390000}" name="Coluna14671"/>
    <tableColumn id="14677" xr3:uid="{00000000-0010-0000-0000-000055390000}" name="Coluna14672"/>
    <tableColumn id="14678" xr3:uid="{00000000-0010-0000-0000-000056390000}" name="Coluna14673"/>
    <tableColumn id="14679" xr3:uid="{00000000-0010-0000-0000-000057390000}" name="Coluna14674"/>
    <tableColumn id="14680" xr3:uid="{00000000-0010-0000-0000-000058390000}" name="Coluna14675"/>
    <tableColumn id="14681" xr3:uid="{00000000-0010-0000-0000-000059390000}" name="Coluna14676"/>
    <tableColumn id="14682" xr3:uid="{00000000-0010-0000-0000-00005A390000}" name="Coluna14677"/>
    <tableColumn id="14683" xr3:uid="{00000000-0010-0000-0000-00005B390000}" name="Coluna14678"/>
    <tableColumn id="14684" xr3:uid="{00000000-0010-0000-0000-00005C390000}" name="Coluna14679"/>
    <tableColumn id="14685" xr3:uid="{00000000-0010-0000-0000-00005D390000}" name="Coluna14680"/>
    <tableColumn id="14686" xr3:uid="{00000000-0010-0000-0000-00005E390000}" name="Coluna14681"/>
    <tableColumn id="14687" xr3:uid="{00000000-0010-0000-0000-00005F390000}" name="Coluna14682"/>
    <tableColumn id="14688" xr3:uid="{00000000-0010-0000-0000-000060390000}" name="Coluna14683"/>
    <tableColumn id="14689" xr3:uid="{00000000-0010-0000-0000-000061390000}" name="Coluna14684"/>
    <tableColumn id="14690" xr3:uid="{00000000-0010-0000-0000-000062390000}" name="Coluna14685"/>
    <tableColumn id="14691" xr3:uid="{00000000-0010-0000-0000-000063390000}" name="Coluna14686"/>
    <tableColumn id="14692" xr3:uid="{00000000-0010-0000-0000-000064390000}" name="Coluna14687"/>
    <tableColumn id="14693" xr3:uid="{00000000-0010-0000-0000-000065390000}" name="Coluna14688"/>
    <tableColumn id="14694" xr3:uid="{00000000-0010-0000-0000-000066390000}" name="Coluna14689"/>
    <tableColumn id="14695" xr3:uid="{00000000-0010-0000-0000-000067390000}" name="Coluna14690"/>
    <tableColumn id="14696" xr3:uid="{00000000-0010-0000-0000-000068390000}" name="Coluna14691"/>
    <tableColumn id="14697" xr3:uid="{00000000-0010-0000-0000-000069390000}" name="Coluna14692"/>
    <tableColumn id="14698" xr3:uid="{00000000-0010-0000-0000-00006A390000}" name="Coluna14693"/>
    <tableColumn id="14699" xr3:uid="{00000000-0010-0000-0000-00006B390000}" name="Coluna14694"/>
    <tableColumn id="14700" xr3:uid="{00000000-0010-0000-0000-00006C390000}" name="Coluna14695"/>
    <tableColumn id="14701" xr3:uid="{00000000-0010-0000-0000-00006D390000}" name="Coluna14696"/>
    <tableColumn id="14702" xr3:uid="{00000000-0010-0000-0000-00006E390000}" name="Coluna14697"/>
    <tableColumn id="14703" xr3:uid="{00000000-0010-0000-0000-00006F390000}" name="Coluna14698"/>
    <tableColumn id="14704" xr3:uid="{00000000-0010-0000-0000-000070390000}" name="Coluna14699"/>
    <tableColumn id="14705" xr3:uid="{00000000-0010-0000-0000-000071390000}" name="Coluna14700"/>
    <tableColumn id="14706" xr3:uid="{00000000-0010-0000-0000-000072390000}" name="Coluna14701"/>
    <tableColumn id="14707" xr3:uid="{00000000-0010-0000-0000-000073390000}" name="Coluna14702"/>
    <tableColumn id="14708" xr3:uid="{00000000-0010-0000-0000-000074390000}" name="Coluna14703"/>
    <tableColumn id="14709" xr3:uid="{00000000-0010-0000-0000-000075390000}" name="Coluna14704"/>
    <tableColumn id="14710" xr3:uid="{00000000-0010-0000-0000-000076390000}" name="Coluna14705"/>
    <tableColumn id="14711" xr3:uid="{00000000-0010-0000-0000-000077390000}" name="Coluna14706"/>
    <tableColumn id="14712" xr3:uid="{00000000-0010-0000-0000-000078390000}" name="Coluna14707"/>
    <tableColumn id="14713" xr3:uid="{00000000-0010-0000-0000-000079390000}" name="Coluna14708"/>
    <tableColumn id="14714" xr3:uid="{00000000-0010-0000-0000-00007A390000}" name="Coluna14709"/>
    <tableColumn id="14715" xr3:uid="{00000000-0010-0000-0000-00007B390000}" name="Coluna14710"/>
    <tableColumn id="14716" xr3:uid="{00000000-0010-0000-0000-00007C390000}" name="Coluna14711"/>
    <tableColumn id="14717" xr3:uid="{00000000-0010-0000-0000-00007D390000}" name="Coluna14712"/>
    <tableColumn id="14718" xr3:uid="{00000000-0010-0000-0000-00007E390000}" name="Coluna14713"/>
    <tableColumn id="14719" xr3:uid="{00000000-0010-0000-0000-00007F390000}" name="Coluna14714"/>
    <tableColumn id="14720" xr3:uid="{00000000-0010-0000-0000-000080390000}" name="Coluna14715"/>
    <tableColumn id="14721" xr3:uid="{00000000-0010-0000-0000-000081390000}" name="Coluna14716"/>
    <tableColumn id="14722" xr3:uid="{00000000-0010-0000-0000-000082390000}" name="Coluna14717"/>
    <tableColumn id="14723" xr3:uid="{00000000-0010-0000-0000-000083390000}" name="Coluna14718"/>
    <tableColumn id="14724" xr3:uid="{00000000-0010-0000-0000-000084390000}" name="Coluna14719"/>
    <tableColumn id="14725" xr3:uid="{00000000-0010-0000-0000-000085390000}" name="Coluna14720"/>
    <tableColumn id="14726" xr3:uid="{00000000-0010-0000-0000-000086390000}" name="Coluna14721"/>
    <tableColumn id="14727" xr3:uid="{00000000-0010-0000-0000-000087390000}" name="Coluna14722"/>
    <tableColumn id="14728" xr3:uid="{00000000-0010-0000-0000-000088390000}" name="Coluna14723"/>
    <tableColumn id="14729" xr3:uid="{00000000-0010-0000-0000-000089390000}" name="Coluna14724"/>
    <tableColumn id="14730" xr3:uid="{00000000-0010-0000-0000-00008A390000}" name="Coluna14725"/>
    <tableColumn id="14731" xr3:uid="{00000000-0010-0000-0000-00008B390000}" name="Coluna14726"/>
    <tableColumn id="14732" xr3:uid="{00000000-0010-0000-0000-00008C390000}" name="Coluna14727"/>
    <tableColumn id="14733" xr3:uid="{00000000-0010-0000-0000-00008D390000}" name="Coluna14728"/>
    <tableColumn id="14734" xr3:uid="{00000000-0010-0000-0000-00008E390000}" name="Coluna14729"/>
    <tableColumn id="14735" xr3:uid="{00000000-0010-0000-0000-00008F390000}" name="Coluna14730"/>
    <tableColumn id="14736" xr3:uid="{00000000-0010-0000-0000-000090390000}" name="Coluna14731"/>
    <tableColumn id="14737" xr3:uid="{00000000-0010-0000-0000-000091390000}" name="Coluna14732"/>
    <tableColumn id="14738" xr3:uid="{00000000-0010-0000-0000-000092390000}" name="Coluna14733"/>
    <tableColumn id="14739" xr3:uid="{00000000-0010-0000-0000-000093390000}" name="Coluna14734"/>
    <tableColumn id="14740" xr3:uid="{00000000-0010-0000-0000-000094390000}" name="Coluna14735"/>
    <tableColumn id="14741" xr3:uid="{00000000-0010-0000-0000-000095390000}" name="Coluna14736"/>
    <tableColumn id="14742" xr3:uid="{00000000-0010-0000-0000-000096390000}" name="Coluna14737"/>
    <tableColumn id="14743" xr3:uid="{00000000-0010-0000-0000-000097390000}" name="Coluna14738"/>
    <tableColumn id="14744" xr3:uid="{00000000-0010-0000-0000-000098390000}" name="Coluna14739"/>
    <tableColumn id="14745" xr3:uid="{00000000-0010-0000-0000-000099390000}" name="Coluna14740"/>
    <tableColumn id="14746" xr3:uid="{00000000-0010-0000-0000-00009A390000}" name="Coluna14741"/>
    <tableColumn id="14747" xr3:uid="{00000000-0010-0000-0000-00009B390000}" name="Coluna14742"/>
    <tableColumn id="14748" xr3:uid="{00000000-0010-0000-0000-00009C390000}" name="Coluna14743"/>
    <tableColumn id="14749" xr3:uid="{00000000-0010-0000-0000-00009D390000}" name="Coluna14744"/>
    <tableColumn id="14750" xr3:uid="{00000000-0010-0000-0000-00009E390000}" name="Coluna14745"/>
    <tableColumn id="14751" xr3:uid="{00000000-0010-0000-0000-00009F390000}" name="Coluna14746"/>
    <tableColumn id="14752" xr3:uid="{00000000-0010-0000-0000-0000A0390000}" name="Coluna14747"/>
    <tableColumn id="14753" xr3:uid="{00000000-0010-0000-0000-0000A1390000}" name="Coluna14748"/>
    <tableColumn id="14754" xr3:uid="{00000000-0010-0000-0000-0000A2390000}" name="Coluna14749"/>
    <tableColumn id="14755" xr3:uid="{00000000-0010-0000-0000-0000A3390000}" name="Coluna14750"/>
    <tableColumn id="14756" xr3:uid="{00000000-0010-0000-0000-0000A4390000}" name="Coluna14751"/>
    <tableColumn id="14757" xr3:uid="{00000000-0010-0000-0000-0000A5390000}" name="Coluna14752"/>
    <tableColumn id="14758" xr3:uid="{00000000-0010-0000-0000-0000A6390000}" name="Coluna14753"/>
    <tableColumn id="14759" xr3:uid="{00000000-0010-0000-0000-0000A7390000}" name="Coluna14754"/>
    <tableColumn id="14760" xr3:uid="{00000000-0010-0000-0000-0000A8390000}" name="Coluna14755"/>
    <tableColumn id="14761" xr3:uid="{00000000-0010-0000-0000-0000A9390000}" name="Coluna14756"/>
    <tableColumn id="14762" xr3:uid="{00000000-0010-0000-0000-0000AA390000}" name="Coluna14757"/>
    <tableColumn id="14763" xr3:uid="{00000000-0010-0000-0000-0000AB390000}" name="Coluna14758"/>
    <tableColumn id="14764" xr3:uid="{00000000-0010-0000-0000-0000AC390000}" name="Coluna14759"/>
    <tableColumn id="14765" xr3:uid="{00000000-0010-0000-0000-0000AD390000}" name="Coluna14760"/>
    <tableColumn id="14766" xr3:uid="{00000000-0010-0000-0000-0000AE390000}" name="Coluna14761"/>
    <tableColumn id="14767" xr3:uid="{00000000-0010-0000-0000-0000AF390000}" name="Coluna14762"/>
    <tableColumn id="14768" xr3:uid="{00000000-0010-0000-0000-0000B0390000}" name="Coluna14763"/>
    <tableColumn id="14769" xr3:uid="{00000000-0010-0000-0000-0000B1390000}" name="Coluna14764"/>
    <tableColumn id="14770" xr3:uid="{00000000-0010-0000-0000-0000B2390000}" name="Coluna14765"/>
    <tableColumn id="14771" xr3:uid="{00000000-0010-0000-0000-0000B3390000}" name="Coluna14766"/>
    <tableColumn id="14772" xr3:uid="{00000000-0010-0000-0000-0000B4390000}" name="Coluna14767"/>
    <tableColumn id="14773" xr3:uid="{00000000-0010-0000-0000-0000B5390000}" name="Coluna14768"/>
    <tableColumn id="14774" xr3:uid="{00000000-0010-0000-0000-0000B6390000}" name="Coluna14769"/>
    <tableColumn id="14775" xr3:uid="{00000000-0010-0000-0000-0000B7390000}" name="Coluna14770"/>
    <tableColumn id="14776" xr3:uid="{00000000-0010-0000-0000-0000B8390000}" name="Coluna14771"/>
    <tableColumn id="14777" xr3:uid="{00000000-0010-0000-0000-0000B9390000}" name="Coluna14772"/>
    <tableColumn id="14778" xr3:uid="{00000000-0010-0000-0000-0000BA390000}" name="Coluna14773"/>
    <tableColumn id="14779" xr3:uid="{00000000-0010-0000-0000-0000BB390000}" name="Coluna14774"/>
    <tableColumn id="14780" xr3:uid="{00000000-0010-0000-0000-0000BC390000}" name="Coluna14775"/>
    <tableColumn id="14781" xr3:uid="{00000000-0010-0000-0000-0000BD390000}" name="Coluna14776"/>
    <tableColumn id="14782" xr3:uid="{00000000-0010-0000-0000-0000BE390000}" name="Coluna14777"/>
    <tableColumn id="14783" xr3:uid="{00000000-0010-0000-0000-0000BF390000}" name="Coluna14778"/>
    <tableColumn id="14784" xr3:uid="{00000000-0010-0000-0000-0000C0390000}" name="Coluna14779"/>
    <tableColumn id="14785" xr3:uid="{00000000-0010-0000-0000-0000C1390000}" name="Coluna14780"/>
    <tableColumn id="14786" xr3:uid="{00000000-0010-0000-0000-0000C2390000}" name="Coluna14781"/>
    <tableColumn id="14787" xr3:uid="{00000000-0010-0000-0000-0000C3390000}" name="Coluna14782"/>
    <tableColumn id="14788" xr3:uid="{00000000-0010-0000-0000-0000C4390000}" name="Coluna14783"/>
    <tableColumn id="14789" xr3:uid="{00000000-0010-0000-0000-0000C5390000}" name="Coluna14784"/>
    <tableColumn id="14790" xr3:uid="{00000000-0010-0000-0000-0000C6390000}" name="Coluna14785"/>
    <tableColumn id="14791" xr3:uid="{00000000-0010-0000-0000-0000C7390000}" name="Coluna14786"/>
    <tableColumn id="14792" xr3:uid="{00000000-0010-0000-0000-0000C8390000}" name="Coluna14787"/>
    <tableColumn id="14793" xr3:uid="{00000000-0010-0000-0000-0000C9390000}" name="Coluna14788"/>
    <tableColumn id="14794" xr3:uid="{00000000-0010-0000-0000-0000CA390000}" name="Coluna14789"/>
    <tableColumn id="14795" xr3:uid="{00000000-0010-0000-0000-0000CB390000}" name="Coluna14790"/>
    <tableColumn id="14796" xr3:uid="{00000000-0010-0000-0000-0000CC390000}" name="Coluna14791"/>
    <tableColumn id="14797" xr3:uid="{00000000-0010-0000-0000-0000CD390000}" name="Coluna14792"/>
    <tableColumn id="14798" xr3:uid="{00000000-0010-0000-0000-0000CE390000}" name="Coluna14793"/>
    <tableColumn id="14799" xr3:uid="{00000000-0010-0000-0000-0000CF390000}" name="Coluna14794"/>
    <tableColumn id="14800" xr3:uid="{00000000-0010-0000-0000-0000D0390000}" name="Coluna14795"/>
    <tableColumn id="14801" xr3:uid="{00000000-0010-0000-0000-0000D1390000}" name="Coluna14796"/>
    <tableColumn id="14802" xr3:uid="{00000000-0010-0000-0000-0000D2390000}" name="Coluna14797"/>
    <tableColumn id="14803" xr3:uid="{00000000-0010-0000-0000-0000D3390000}" name="Coluna14798"/>
    <tableColumn id="14804" xr3:uid="{00000000-0010-0000-0000-0000D4390000}" name="Coluna14799"/>
    <tableColumn id="14805" xr3:uid="{00000000-0010-0000-0000-0000D5390000}" name="Coluna14800"/>
    <tableColumn id="14806" xr3:uid="{00000000-0010-0000-0000-0000D6390000}" name="Coluna14801"/>
    <tableColumn id="14807" xr3:uid="{00000000-0010-0000-0000-0000D7390000}" name="Coluna14802"/>
    <tableColumn id="14808" xr3:uid="{00000000-0010-0000-0000-0000D8390000}" name="Coluna14803"/>
    <tableColumn id="14809" xr3:uid="{00000000-0010-0000-0000-0000D9390000}" name="Coluna14804"/>
    <tableColumn id="14810" xr3:uid="{00000000-0010-0000-0000-0000DA390000}" name="Coluna14805"/>
    <tableColumn id="14811" xr3:uid="{00000000-0010-0000-0000-0000DB390000}" name="Coluna14806"/>
    <tableColumn id="14812" xr3:uid="{00000000-0010-0000-0000-0000DC390000}" name="Coluna14807"/>
    <tableColumn id="14813" xr3:uid="{00000000-0010-0000-0000-0000DD390000}" name="Coluna14808"/>
    <tableColumn id="14814" xr3:uid="{00000000-0010-0000-0000-0000DE390000}" name="Coluna14809"/>
    <tableColumn id="14815" xr3:uid="{00000000-0010-0000-0000-0000DF390000}" name="Coluna14810"/>
    <tableColumn id="14816" xr3:uid="{00000000-0010-0000-0000-0000E0390000}" name="Coluna14811"/>
    <tableColumn id="14817" xr3:uid="{00000000-0010-0000-0000-0000E1390000}" name="Coluna14812"/>
    <tableColumn id="14818" xr3:uid="{00000000-0010-0000-0000-0000E2390000}" name="Coluna14813"/>
    <tableColumn id="14819" xr3:uid="{00000000-0010-0000-0000-0000E3390000}" name="Coluna14814"/>
    <tableColumn id="14820" xr3:uid="{00000000-0010-0000-0000-0000E4390000}" name="Coluna14815"/>
    <tableColumn id="14821" xr3:uid="{00000000-0010-0000-0000-0000E5390000}" name="Coluna14816"/>
    <tableColumn id="14822" xr3:uid="{00000000-0010-0000-0000-0000E6390000}" name="Coluna14817"/>
    <tableColumn id="14823" xr3:uid="{00000000-0010-0000-0000-0000E7390000}" name="Coluna14818"/>
    <tableColumn id="14824" xr3:uid="{00000000-0010-0000-0000-0000E8390000}" name="Coluna14819"/>
    <tableColumn id="14825" xr3:uid="{00000000-0010-0000-0000-0000E9390000}" name="Coluna14820"/>
    <tableColumn id="14826" xr3:uid="{00000000-0010-0000-0000-0000EA390000}" name="Coluna14821"/>
    <tableColumn id="14827" xr3:uid="{00000000-0010-0000-0000-0000EB390000}" name="Coluna14822"/>
    <tableColumn id="14828" xr3:uid="{00000000-0010-0000-0000-0000EC390000}" name="Coluna14823"/>
    <tableColumn id="14829" xr3:uid="{00000000-0010-0000-0000-0000ED390000}" name="Coluna14824"/>
    <tableColumn id="14830" xr3:uid="{00000000-0010-0000-0000-0000EE390000}" name="Coluna14825"/>
    <tableColumn id="14831" xr3:uid="{00000000-0010-0000-0000-0000EF390000}" name="Coluna14826"/>
    <tableColumn id="14832" xr3:uid="{00000000-0010-0000-0000-0000F0390000}" name="Coluna14827"/>
    <tableColumn id="14833" xr3:uid="{00000000-0010-0000-0000-0000F1390000}" name="Coluna14828"/>
    <tableColumn id="14834" xr3:uid="{00000000-0010-0000-0000-0000F2390000}" name="Coluna14829"/>
    <tableColumn id="14835" xr3:uid="{00000000-0010-0000-0000-0000F3390000}" name="Coluna14830"/>
    <tableColumn id="14836" xr3:uid="{00000000-0010-0000-0000-0000F4390000}" name="Coluna14831"/>
    <tableColumn id="14837" xr3:uid="{00000000-0010-0000-0000-0000F5390000}" name="Coluna14832"/>
    <tableColumn id="14838" xr3:uid="{00000000-0010-0000-0000-0000F6390000}" name="Coluna14833"/>
    <tableColumn id="14839" xr3:uid="{00000000-0010-0000-0000-0000F7390000}" name="Coluna14834"/>
    <tableColumn id="14840" xr3:uid="{00000000-0010-0000-0000-0000F8390000}" name="Coluna14835"/>
    <tableColumn id="14841" xr3:uid="{00000000-0010-0000-0000-0000F9390000}" name="Coluna14836"/>
    <tableColumn id="14842" xr3:uid="{00000000-0010-0000-0000-0000FA390000}" name="Coluna14837"/>
    <tableColumn id="14843" xr3:uid="{00000000-0010-0000-0000-0000FB390000}" name="Coluna14838"/>
    <tableColumn id="14844" xr3:uid="{00000000-0010-0000-0000-0000FC390000}" name="Coluna14839"/>
    <tableColumn id="14845" xr3:uid="{00000000-0010-0000-0000-0000FD390000}" name="Coluna14840"/>
    <tableColumn id="14846" xr3:uid="{00000000-0010-0000-0000-0000FE390000}" name="Coluna14841"/>
    <tableColumn id="14847" xr3:uid="{00000000-0010-0000-0000-0000FF390000}" name="Coluna14842"/>
    <tableColumn id="14848" xr3:uid="{00000000-0010-0000-0000-0000003A0000}" name="Coluna14843"/>
    <tableColumn id="14849" xr3:uid="{00000000-0010-0000-0000-0000013A0000}" name="Coluna14844"/>
    <tableColumn id="14850" xr3:uid="{00000000-0010-0000-0000-0000023A0000}" name="Coluna14845"/>
    <tableColumn id="14851" xr3:uid="{00000000-0010-0000-0000-0000033A0000}" name="Coluna14846"/>
    <tableColumn id="14852" xr3:uid="{00000000-0010-0000-0000-0000043A0000}" name="Coluna14847"/>
    <tableColumn id="14853" xr3:uid="{00000000-0010-0000-0000-0000053A0000}" name="Coluna14848"/>
    <tableColumn id="14854" xr3:uid="{00000000-0010-0000-0000-0000063A0000}" name="Coluna14849"/>
    <tableColumn id="14855" xr3:uid="{00000000-0010-0000-0000-0000073A0000}" name="Coluna14850"/>
    <tableColumn id="14856" xr3:uid="{00000000-0010-0000-0000-0000083A0000}" name="Coluna14851"/>
    <tableColumn id="14857" xr3:uid="{00000000-0010-0000-0000-0000093A0000}" name="Coluna14852"/>
    <tableColumn id="14858" xr3:uid="{00000000-0010-0000-0000-00000A3A0000}" name="Coluna14853"/>
    <tableColumn id="14859" xr3:uid="{00000000-0010-0000-0000-00000B3A0000}" name="Coluna14854"/>
    <tableColumn id="14860" xr3:uid="{00000000-0010-0000-0000-00000C3A0000}" name="Coluna14855"/>
    <tableColumn id="14861" xr3:uid="{00000000-0010-0000-0000-00000D3A0000}" name="Coluna14856"/>
    <tableColumn id="14862" xr3:uid="{00000000-0010-0000-0000-00000E3A0000}" name="Coluna14857"/>
    <tableColumn id="14863" xr3:uid="{00000000-0010-0000-0000-00000F3A0000}" name="Coluna14858"/>
    <tableColumn id="14864" xr3:uid="{00000000-0010-0000-0000-0000103A0000}" name="Coluna14859"/>
    <tableColumn id="14865" xr3:uid="{00000000-0010-0000-0000-0000113A0000}" name="Coluna14860"/>
    <tableColumn id="14866" xr3:uid="{00000000-0010-0000-0000-0000123A0000}" name="Coluna14861"/>
    <tableColumn id="14867" xr3:uid="{00000000-0010-0000-0000-0000133A0000}" name="Coluna14862"/>
    <tableColumn id="14868" xr3:uid="{00000000-0010-0000-0000-0000143A0000}" name="Coluna14863"/>
    <tableColumn id="14869" xr3:uid="{00000000-0010-0000-0000-0000153A0000}" name="Coluna14864"/>
    <tableColumn id="14870" xr3:uid="{00000000-0010-0000-0000-0000163A0000}" name="Coluna14865"/>
    <tableColumn id="14871" xr3:uid="{00000000-0010-0000-0000-0000173A0000}" name="Coluna14866"/>
    <tableColumn id="14872" xr3:uid="{00000000-0010-0000-0000-0000183A0000}" name="Coluna14867"/>
    <tableColumn id="14873" xr3:uid="{00000000-0010-0000-0000-0000193A0000}" name="Coluna14868"/>
    <tableColumn id="14874" xr3:uid="{00000000-0010-0000-0000-00001A3A0000}" name="Coluna14869"/>
    <tableColumn id="14875" xr3:uid="{00000000-0010-0000-0000-00001B3A0000}" name="Coluna14870"/>
    <tableColumn id="14876" xr3:uid="{00000000-0010-0000-0000-00001C3A0000}" name="Coluna14871"/>
    <tableColumn id="14877" xr3:uid="{00000000-0010-0000-0000-00001D3A0000}" name="Coluna14872"/>
    <tableColumn id="14878" xr3:uid="{00000000-0010-0000-0000-00001E3A0000}" name="Coluna14873"/>
    <tableColumn id="14879" xr3:uid="{00000000-0010-0000-0000-00001F3A0000}" name="Coluna14874"/>
    <tableColumn id="14880" xr3:uid="{00000000-0010-0000-0000-0000203A0000}" name="Coluna14875"/>
    <tableColumn id="14881" xr3:uid="{00000000-0010-0000-0000-0000213A0000}" name="Coluna14876"/>
    <tableColumn id="14882" xr3:uid="{00000000-0010-0000-0000-0000223A0000}" name="Coluna14877"/>
    <tableColumn id="14883" xr3:uid="{00000000-0010-0000-0000-0000233A0000}" name="Coluna14878"/>
    <tableColumn id="14884" xr3:uid="{00000000-0010-0000-0000-0000243A0000}" name="Coluna14879"/>
    <tableColumn id="14885" xr3:uid="{00000000-0010-0000-0000-0000253A0000}" name="Coluna14880"/>
    <tableColumn id="14886" xr3:uid="{00000000-0010-0000-0000-0000263A0000}" name="Coluna14881"/>
    <tableColumn id="14887" xr3:uid="{00000000-0010-0000-0000-0000273A0000}" name="Coluna14882"/>
    <tableColumn id="14888" xr3:uid="{00000000-0010-0000-0000-0000283A0000}" name="Coluna14883"/>
    <tableColumn id="14889" xr3:uid="{00000000-0010-0000-0000-0000293A0000}" name="Coluna14884"/>
    <tableColumn id="14890" xr3:uid="{00000000-0010-0000-0000-00002A3A0000}" name="Coluna14885"/>
    <tableColumn id="14891" xr3:uid="{00000000-0010-0000-0000-00002B3A0000}" name="Coluna14886"/>
    <tableColumn id="14892" xr3:uid="{00000000-0010-0000-0000-00002C3A0000}" name="Coluna14887"/>
    <tableColumn id="14893" xr3:uid="{00000000-0010-0000-0000-00002D3A0000}" name="Coluna14888"/>
    <tableColumn id="14894" xr3:uid="{00000000-0010-0000-0000-00002E3A0000}" name="Coluna14889"/>
    <tableColumn id="14895" xr3:uid="{00000000-0010-0000-0000-00002F3A0000}" name="Coluna14890"/>
    <tableColumn id="14896" xr3:uid="{00000000-0010-0000-0000-0000303A0000}" name="Coluna14891"/>
    <tableColumn id="14897" xr3:uid="{00000000-0010-0000-0000-0000313A0000}" name="Coluna14892"/>
    <tableColumn id="14898" xr3:uid="{00000000-0010-0000-0000-0000323A0000}" name="Coluna14893"/>
    <tableColumn id="14899" xr3:uid="{00000000-0010-0000-0000-0000333A0000}" name="Coluna14894"/>
    <tableColumn id="14900" xr3:uid="{00000000-0010-0000-0000-0000343A0000}" name="Coluna14895"/>
    <tableColumn id="14901" xr3:uid="{00000000-0010-0000-0000-0000353A0000}" name="Coluna14896"/>
    <tableColumn id="14902" xr3:uid="{00000000-0010-0000-0000-0000363A0000}" name="Coluna14897"/>
    <tableColumn id="14903" xr3:uid="{00000000-0010-0000-0000-0000373A0000}" name="Coluna14898"/>
    <tableColumn id="14904" xr3:uid="{00000000-0010-0000-0000-0000383A0000}" name="Coluna14899"/>
    <tableColumn id="14905" xr3:uid="{00000000-0010-0000-0000-0000393A0000}" name="Coluna14900"/>
    <tableColumn id="14906" xr3:uid="{00000000-0010-0000-0000-00003A3A0000}" name="Coluna14901"/>
    <tableColumn id="14907" xr3:uid="{00000000-0010-0000-0000-00003B3A0000}" name="Coluna14902"/>
    <tableColumn id="14908" xr3:uid="{00000000-0010-0000-0000-00003C3A0000}" name="Coluna14903"/>
    <tableColumn id="14909" xr3:uid="{00000000-0010-0000-0000-00003D3A0000}" name="Coluna14904"/>
    <tableColumn id="14910" xr3:uid="{00000000-0010-0000-0000-00003E3A0000}" name="Coluna14905"/>
    <tableColumn id="14911" xr3:uid="{00000000-0010-0000-0000-00003F3A0000}" name="Coluna14906"/>
    <tableColumn id="14912" xr3:uid="{00000000-0010-0000-0000-0000403A0000}" name="Coluna14907"/>
    <tableColumn id="14913" xr3:uid="{00000000-0010-0000-0000-0000413A0000}" name="Coluna14908"/>
    <tableColumn id="14914" xr3:uid="{00000000-0010-0000-0000-0000423A0000}" name="Coluna14909"/>
    <tableColumn id="14915" xr3:uid="{00000000-0010-0000-0000-0000433A0000}" name="Coluna14910"/>
    <tableColumn id="14916" xr3:uid="{00000000-0010-0000-0000-0000443A0000}" name="Coluna14911"/>
    <tableColumn id="14917" xr3:uid="{00000000-0010-0000-0000-0000453A0000}" name="Coluna14912"/>
    <tableColumn id="14918" xr3:uid="{00000000-0010-0000-0000-0000463A0000}" name="Coluna14913"/>
    <tableColumn id="14919" xr3:uid="{00000000-0010-0000-0000-0000473A0000}" name="Coluna14914"/>
    <tableColumn id="14920" xr3:uid="{00000000-0010-0000-0000-0000483A0000}" name="Coluna14915"/>
    <tableColumn id="14921" xr3:uid="{00000000-0010-0000-0000-0000493A0000}" name="Coluna14916"/>
    <tableColumn id="14922" xr3:uid="{00000000-0010-0000-0000-00004A3A0000}" name="Coluna14917"/>
    <tableColumn id="14923" xr3:uid="{00000000-0010-0000-0000-00004B3A0000}" name="Coluna14918"/>
    <tableColumn id="14924" xr3:uid="{00000000-0010-0000-0000-00004C3A0000}" name="Coluna14919"/>
    <tableColumn id="14925" xr3:uid="{00000000-0010-0000-0000-00004D3A0000}" name="Coluna14920"/>
    <tableColumn id="14926" xr3:uid="{00000000-0010-0000-0000-00004E3A0000}" name="Coluna14921"/>
    <tableColumn id="14927" xr3:uid="{00000000-0010-0000-0000-00004F3A0000}" name="Coluna14922"/>
    <tableColumn id="14928" xr3:uid="{00000000-0010-0000-0000-0000503A0000}" name="Coluna14923"/>
    <tableColumn id="14929" xr3:uid="{00000000-0010-0000-0000-0000513A0000}" name="Coluna14924"/>
    <tableColumn id="14930" xr3:uid="{00000000-0010-0000-0000-0000523A0000}" name="Coluna14925"/>
    <tableColumn id="14931" xr3:uid="{00000000-0010-0000-0000-0000533A0000}" name="Coluna14926"/>
    <tableColumn id="14932" xr3:uid="{00000000-0010-0000-0000-0000543A0000}" name="Coluna14927"/>
    <tableColumn id="14933" xr3:uid="{00000000-0010-0000-0000-0000553A0000}" name="Coluna14928"/>
    <tableColumn id="14934" xr3:uid="{00000000-0010-0000-0000-0000563A0000}" name="Coluna14929"/>
    <tableColumn id="14935" xr3:uid="{00000000-0010-0000-0000-0000573A0000}" name="Coluna14930"/>
    <tableColumn id="14936" xr3:uid="{00000000-0010-0000-0000-0000583A0000}" name="Coluna14931"/>
    <tableColumn id="14937" xr3:uid="{00000000-0010-0000-0000-0000593A0000}" name="Coluna14932"/>
    <tableColumn id="14938" xr3:uid="{00000000-0010-0000-0000-00005A3A0000}" name="Coluna14933"/>
    <tableColumn id="14939" xr3:uid="{00000000-0010-0000-0000-00005B3A0000}" name="Coluna14934"/>
    <tableColumn id="14940" xr3:uid="{00000000-0010-0000-0000-00005C3A0000}" name="Coluna14935"/>
    <tableColumn id="14941" xr3:uid="{00000000-0010-0000-0000-00005D3A0000}" name="Coluna14936"/>
    <tableColumn id="14942" xr3:uid="{00000000-0010-0000-0000-00005E3A0000}" name="Coluna14937"/>
    <tableColumn id="14943" xr3:uid="{00000000-0010-0000-0000-00005F3A0000}" name="Coluna14938"/>
    <tableColumn id="14944" xr3:uid="{00000000-0010-0000-0000-0000603A0000}" name="Coluna14939"/>
    <tableColumn id="14945" xr3:uid="{00000000-0010-0000-0000-0000613A0000}" name="Coluna14940"/>
    <tableColumn id="14946" xr3:uid="{00000000-0010-0000-0000-0000623A0000}" name="Coluna14941"/>
    <tableColumn id="14947" xr3:uid="{00000000-0010-0000-0000-0000633A0000}" name="Coluna14942"/>
    <tableColumn id="14948" xr3:uid="{00000000-0010-0000-0000-0000643A0000}" name="Coluna14943"/>
    <tableColumn id="14949" xr3:uid="{00000000-0010-0000-0000-0000653A0000}" name="Coluna14944"/>
    <tableColumn id="14950" xr3:uid="{00000000-0010-0000-0000-0000663A0000}" name="Coluna14945"/>
    <tableColumn id="14951" xr3:uid="{00000000-0010-0000-0000-0000673A0000}" name="Coluna14946"/>
    <tableColumn id="14952" xr3:uid="{00000000-0010-0000-0000-0000683A0000}" name="Coluna14947"/>
    <tableColumn id="14953" xr3:uid="{00000000-0010-0000-0000-0000693A0000}" name="Coluna14948"/>
    <tableColumn id="14954" xr3:uid="{00000000-0010-0000-0000-00006A3A0000}" name="Coluna14949"/>
    <tableColumn id="14955" xr3:uid="{00000000-0010-0000-0000-00006B3A0000}" name="Coluna14950"/>
    <tableColumn id="14956" xr3:uid="{00000000-0010-0000-0000-00006C3A0000}" name="Coluna14951"/>
    <tableColumn id="14957" xr3:uid="{00000000-0010-0000-0000-00006D3A0000}" name="Coluna14952"/>
    <tableColumn id="14958" xr3:uid="{00000000-0010-0000-0000-00006E3A0000}" name="Coluna14953"/>
    <tableColumn id="14959" xr3:uid="{00000000-0010-0000-0000-00006F3A0000}" name="Coluna14954"/>
    <tableColumn id="14960" xr3:uid="{00000000-0010-0000-0000-0000703A0000}" name="Coluna14955"/>
    <tableColumn id="14961" xr3:uid="{00000000-0010-0000-0000-0000713A0000}" name="Coluna14956"/>
    <tableColumn id="14962" xr3:uid="{00000000-0010-0000-0000-0000723A0000}" name="Coluna14957"/>
    <tableColumn id="14963" xr3:uid="{00000000-0010-0000-0000-0000733A0000}" name="Coluna14958"/>
    <tableColumn id="14964" xr3:uid="{00000000-0010-0000-0000-0000743A0000}" name="Coluna14959"/>
    <tableColumn id="14965" xr3:uid="{00000000-0010-0000-0000-0000753A0000}" name="Coluna14960"/>
    <tableColumn id="14966" xr3:uid="{00000000-0010-0000-0000-0000763A0000}" name="Coluna14961"/>
    <tableColumn id="14967" xr3:uid="{00000000-0010-0000-0000-0000773A0000}" name="Coluna14962"/>
    <tableColumn id="14968" xr3:uid="{00000000-0010-0000-0000-0000783A0000}" name="Coluna14963"/>
    <tableColumn id="14969" xr3:uid="{00000000-0010-0000-0000-0000793A0000}" name="Coluna14964"/>
    <tableColumn id="14970" xr3:uid="{00000000-0010-0000-0000-00007A3A0000}" name="Coluna14965"/>
    <tableColumn id="14971" xr3:uid="{00000000-0010-0000-0000-00007B3A0000}" name="Coluna14966"/>
    <tableColumn id="14972" xr3:uid="{00000000-0010-0000-0000-00007C3A0000}" name="Coluna14967"/>
    <tableColumn id="14973" xr3:uid="{00000000-0010-0000-0000-00007D3A0000}" name="Coluna14968"/>
    <tableColumn id="14974" xr3:uid="{00000000-0010-0000-0000-00007E3A0000}" name="Coluna14969"/>
    <tableColumn id="14975" xr3:uid="{00000000-0010-0000-0000-00007F3A0000}" name="Coluna14970"/>
    <tableColumn id="14976" xr3:uid="{00000000-0010-0000-0000-0000803A0000}" name="Coluna14971"/>
    <tableColumn id="14977" xr3:uid="{00000000-0010-0000-0000-0000813A0000}" name="Coluna14972"/>
    <tableColumn id="14978" xr3:uid="{00000000-0010-0000-0000-0000823A0000}" name="Coluna14973"/>
    <tableColumn id="14979" xr3:uid="{00000000-0010-0000-0000-0000833A0000}" name="Coluna14974"/>
    <tableColumn id="14980" xr3:uid="{00000000-0010-0000-0000-0000843A0000}" name="Coluna14975"/>
    <tableColumn id="14981" xr3:uid="{00000000-0010-0000-0000-0000853A0000}" name="Coluna14976"/>
    <tableColumn id="14982" xr3:uid="{00000000-0010-0000-0000-0000863A0000}" name="Coluna14977"/>
    <tableColumn id="14983" xr3:uid="{00000000-0010-0000-0000-0000873A0000}" name="Coluna14978"/>
    <tableColumn id="14984" xr3:uid="{00000000-0010-0000-0000-0000883A0000}" name="Coluna14979"/>
    <tableColumn id="14985" xr3:uid="{00000000-0010-0000-0000-0000893A0000}" name="Coluna14980"/>
    <tableColumn id="14986" xr3:uid="{00000000-0010-0000-0000-00008A3A0000}" name="Coluna14981"/>
    <tableColumn id="14987" xr3:uid="{00000000-0010-0000-0000-00008B3A0000}" name="Coluna14982"/>
    <tableColumn id="14988" xr3:uid="{00000000-0010-0000-0000-00008C3A0000}" name="Coluna14983"/>
    <tableColumn id="14989" xr3:uid="{00000000-0010-0000-0000-00008D3A0000}" name="Coluna14984"/>
    <tableColumn id="14990" xr3:uid="{00000000-0010-0000-0000-00008E3A0000}" name="Coluna14985"/>
    <tableColumn id="14991" xr3:uid="{00000000-0010-0000-0000-00008F3A0000}" name="Coluna14986"/>
    <tableColumn id="14992" xr3:uid="{00000000-0010-0000-0000-0000903A0000}" name="Coluna14987"/>
    <tableColumn id="14993" xr3:uid="{00000000-0010-0000-0000-0000913A0000}" name="Coluna14988"/>
    <tableColumn id="14994" xr3:uid="{00000000-0010-0000-0000-0000923A0000}" name="Coluna14989"/>
    <tableColumn id="14995" xr3:uid="{00000000-0010-0000-0000-0000933A0000}" name="Coluna14990"/>
    <tableColumn id="14996" xr3:uid="{00000000-0010-0000-0000-0000943A0000}" name="Coluna14991"/>
    <tableColumn id="14997" xr3:uid="{00000000-0010-0000-0000-0000953A0000}" name="Coluna14992"/>
    <tableColumn id="14998" xr3:uid="{00000000-0010-0000-0000-0000963A0000}" name="Coluna14993"/>
    <tableColumn id="14999" xr3:uid="{00000000-0010-0000-0000-0000973A0000}" name="Coluna14994"/>
    <tableColumn id="15000" xr3:uid="{00000000-0010-0000-0000-0000983A0000}" name="Coluna14995"/>
    <tableColumn id="15001" xr3:uid="{00000000-0010-0000-0000-0000993A0000}" name="Coluna14996"/>
    <tableColumn id="15002" xr3:uid="{00000000-0010-0000-0000-00009A3A0000}" name="Coluna14997"/>
    <tableColumn id="15003" xr3:uid="{00000000-0010-0000-0000-00009B3A0000}" name="Coluna14998"/>
    <tableColumn id="15004" xr3:uid="{00000000-0010-0000-0000-00009C3A0000}" name="Coluna14999"/>
    <tableColumn id="15005" xr3:uid="{00000000-0010-0000-0000-00009D3A0000}" name="Coluna15000"/>
    <tableColumn id="15006" xr3:uid="{00000000-0010-0000-0000-00009E3A0000}" name="Coluna15001"/>
    <tableColumn id="15007" xr3:uid="{00000000-0010-0000-0000-00009F3A0000}" name="Coluna15002"/>
    <tableColumn id="15008" xr3:uid="{00000000-0010-0000-0000-0000A03A0000}" name="Coluna15003"/>
    <tableColumn id="15009" xr3:uid="{00000000-0010-0000-0000-0000A13A0000}" name="Coluna15004"/>
    <tableColumn id="15010" xr3:uid="{00000000-0010-0000-0000-0000A23A0000}" name="Coluna15005"/>
    <tableColumn id="15011" xr3:uid="{00000000-0010-0000-0000-0000A33A0000}" name="Coluna15006"/>
    <tableColumn id="15012" xr3:uid="{00000000-0010-0000-0000-0000A43A0000}" name="Coluna15007"/>
    <tableColumn id="15013" xr3:uid="{00000000-0010-0000-0000-0000A53A0000}" name="Coluna15008"/>
    <tableColumn id="15014" xr3:uid="{00000000-0010-0000-0000-0000A63A0000}" name="Coluna15009"/>
    <tableColumn id="15015" xr3:uid="{00000000-0010-0000-0000-0000A73A0000}" name="Coluna15010"/>
    <tableColumn id="15016" xr3:uid="{00000000-0010-0000-0000-0000A83A0000}" name="Coluna15011"/>
    <tableColumn id="15017" xr3:uid="{00000000-0010-0000-0000-0000A93A0000}" name="Coluna15012"/>
    <tableColumn id="15018" xr3:uid="{00000000-0010-0000-0000-0000AA3A0000}" name="Coluna15013"/>
    <tableColumn id="15019" xr3:uid="{00000000-0010-0000-0000-0000AB3A0000}" name="Coluna15014"/>
    <tableColumn id="15020" xr3:uid="{00000000-0010-0000-0000-0000AC3A0000}" name="Coluna15015"/>
    <tableColumn id="15021" xr3:uid="{00000000-0010-0000-0000-0000AD3A0000}" name="Coluna15016"/>
    <tableColumn id="15022" xr3:uid="{00000000-0010-0000-0000-0000AE3A0000}" name="Coluna15017"/>
    <tableColumn id="15023" xr3:uid="{00000000-0010-0000-0000-0000AF3A0000}" name="Coluna15018"/>
    <tableColumn id="15024" xr3:uid="{00000000-0010-0000-0000-0000B03A0000}" name="Coluna15019"/>
    <tableColumn id="15025" xr3:uid="{00000000-0010-0000-0000-0000B13A0000}" name="Coluna15020"/>
    <tableColumn id="15026" xr3:uid="{00000000-0010-0000-0000-0000B23A0000}" name="Coluna15021"/>
    <tableColumn id="15027" xr3:uid="{00000000-0010-0000-0000-0000B33A0000}" name="Coluna15022"/>
    <tableColumn id="15028" xr3:uid="{00000000-0010-0000-0000-0000B43A0000}" name="Coluna15023"/>
    <tableColumn id="15029" xr3:uid="{00000000-0010-0000-0000-0000B53A0000}" name="Coluna15024"/>
    <tableColumn id="15030" xr3:uid="{00000000-0010-0000-0000-0000B63A0000}" name="Coluna15025"/>
    <tableColumn id="15031" xr3:uid="{00000000-0010-0000-0000-0000B73A0000}" name="Coluna15026"/>
    <tableColumn id="15032" xr3:uid="{00000000-0010-0000-0000-0000B83A0000}" name="Coluna15027"/>
    <tableColumn id="15033" xr3:uid="{00000000-0010-0000-0000-0000B93A0000}" name="Coluna15028"/>
    <tableColumn id="15034" xr3:uid="{00000000-0010-0000-0000-0000BA3A0000}" name="Coluna15029"/>
    <tableColumn id="15035" xr3:uid="{00000000-0010-0000-0000-0000BB3A0000}" name="Coluna15030"/>
    <tableColumn id="15036" xr3:uid="{00000000-0010-0000-0000-0000BC3A0000}" name="Coluna15031"/>
    <tableColumn id="15037" xr3:uid="{00000000-0010-0000-0000-0000BD3A0000}" name="Coluna15032"/>
    <tableColumn id="15038" xr3:uid="{00000000-0010-0000-0000-0000BE3A0000}" name="Coluna15033"/>
    <tableColumn id="15039" xr3:uid="{00000000-0010-0000-0000-0000BF3A0000}" name="Coluna15034"/>
    <tableColumn id="15040" xr3:uid="{00000000-0010-0000-0000-0000C03A0000}" name="Coluna15035"/>
    <tableColumn id="15041" xr3:uid="{00000000-0010-0000-0000-0000C13A0000}" name="Coluna15036"/>
    <tableColumn id="15042" xr3:uid="{00000000-0010-0000-0000-0000C23A0000}" name="Coluna15037"/>
    <tableColumn id="15043" xr3:uid="{00000000-0010-0000-0000-0000C33A0000}" name="Coluna15038"/>
    <tableColumn id="15044" xr3:uid="{00000000-0010-0000-0000-0000C43A0000}" name="Coluna15039"/>
    <tableColumn id="15045" xr3:uid="{00000000-0010-0000-0000-0000C53A0000}" name="Coluna15040"/>
    <tableColumn id="15046" xr3:uid="{00000000-0010-0000-0000-0000C63A0000}" name="Coluna15041"/>
    <tableColumn id="15047" xr3:uid="{00000000-0010-0000-0000-0000C73A0000}" name="Coluna15042"/>
    <tableColumn id="15048" xr3:uid="{00000000-0010-0000-0000-0000C83A0000}" name="Coluna15043"/>
    <tableColumn id="15049" xr3:uid="{00000000-0010-0000-0000-0000C93A0000}" name="Coluna15044"/>
    <tableColumn id="15050" xr3:uid="{00000000-0010-0000-0000-0000CA3A0000}" name="Coluna15045"/>
    <tableColumn id="15051" xr3:uid="{00000000-0010-0000-0000-0000CB3A0000}" name="Coluna15046"/>
    <tableColumn id="15052" xr3:uid="{00000000-0010-0000-0000-0000CC3A0000}" name="Coluna15047"/>
    <tableColumn id="15053" xr3:uid="{00000000-0010-0000-0000-0000CD3A0000}" name="Coluna15048"/>
    <tableColumn id="15054" xr3:uid="{00000000-0010-0000-0000-0000CE3A0000}" name="Coluna15049"/>
    <tableColumn id="15055" xr3:uid="{00000000-0010-0000-0000-0000CF3A0000}" name="Coluna15050"/>
    <tableColumn id="15056" xr3:uid="{00000000-0010-0000-0000-0000D03A0000}" name="Coluna15051"/>
    <tableColumn id="15057" xr3:uid="{00000000-0010-0000-0000-0000D13A0000}" name="Coluna15052"/>
    <tableColumn id="15058" xr3:uid="{00000000-0010-0000-0000-0000D23A0000}" name="Coluna15053"/>
    <tableColumn id="15059" xr3:uid="{00000000-0010-0000-0000-0000D33A0000}" name="Coluna15054"/>
    <tableColumn id="15060" xr3:uid="{00000000-0010-0000-0000-0000D43A0000}" name="Coluna15055"/>
    <tableColumn id="15061" xr3:uid="{00000000-0010-0000-0000-0000D53A0000}" name="Coluna15056"/>
    <tableColumn id="15062" xr3:uid="{00000000-0010-0000-0000-0000D63A0000}" name="Coluna15057"/>
    <tableColumn id="15063" xr3:uid="{00000000-0010-0000-0000-0000D73A0000}" name="Coluna15058"/>
    <tableColumn id="15064" xr3:uid="{00000000-0010-0000-0000-0000D83A0000}" name="Coluna15059"/>
    <tableColumn id="15065" xr3:uid="{00000000-0010-0000-0000-0000D93A0000}" name="Coluna15060"/>
    <tableColumn id="15066" xr3:uid="{00000000-0010-0000-0000-0000DA3A0000}" name="Coluna15061"/>
    <tableColumn id="15067" xr3:uid="{00000000-0010-0000-0000-0000DB3A0000}" name="Coluna15062"/>
    <tableColumn id="15068" xr3:uid="{00000000-0010-0000-0000-0000DC3A0000}" name="Coluna15063"/>
    <tableColumn id="15069" xr3:uid="{00000000-0010-0000-0000-0000DD3A0000}" name="Coluna15064"/>
    <tableColumn id="15070" xr3:uid="{00000000-0010-0000-0000-0000DE3A0000}" name="Coluna15065"/>
    <tableColumn id="15071" xr3:uid="{00000000-0010-0000-0000-0000DF3A0000}" name="Coluna15066"/>
    <tableColumn id="15072" xr3:uid="{00000000-0010-0000-0000-0000E03A0000}" name="Coluna15067"/>
    <tableColumn id="15073" xr3:uid="{00000000-0010-0000-0000-0000E13A0000}" name="Coluna15068"/>
    <tableColumn id="15074" xr3:uid="{00000000-0010-0000-0000-0000E23A0000}" name="Coluna15069"/>
    <tableColumn id="15075" xr3:uid="{00000000-0010-0000-0000-0000E33A0000}" name="Coluna15070"/>
    <tableColumn id="15076" xr3:uid="{00000000-0010-0000-0000-0000E43A0000}" name="Coluna15071"/>
    <tableColumn id="15077" xr3:uid="{00000000-0010-0000-0000-0000E53A0000}" name="Coluna15072"/>
    <tableColumn id="15078" xr3:uid="{00000000-0010-0000-0000-0000E63A0000}" name="Coluna15073"/>
    <tableColumn id="15079" xr3:uid="{00000000-0010-0000-0000-0000E73A0000}" name="Coluna15074"/>
    <tableColumn id="15080" xr3:uid="{00000000-0010-0000-0000-0000E83A0000}" name="Coluna15075"/>
    <tableColumn id="15081" xr3:uid="{00000000-0010-0000-0000-0000E93A0000}" name="Coluna15076"/>
    <tableColumn id="15082" xr3:uid="{00000000-0010-0000-0000-0000EA3A0000}" name="Coluna15077"/>
    <tableColumn id="15083" xr3:uid="{00000000-0010-0000-0000-0000EB3A0000}" name="Coluna15078"/>
    <tableColumn id="15084" xr3:uid="{00000000-0010-0000-0000-0000EC3A0000}" name="Coluna15079"/>
    <tableColumn id="15085" xr3:uid="{00000000-0010-0000-0000-0000ED3A0000}" name="Coluna15080"/>
    <tableColumn id="15086" xr3:uid="{00000000-0010-0000-0000-0000EE3A0000}" name="Coluna15081"/>
    <tableColumn id="15087" xr3:uid="{00000000-0010-0000-0000-0000EF3A0000}" name="Coluna15082"/>
    <tableColumn id="15088" xr3:uid="{00000000-0010-0000-0000-0000F03A0000}" name="Coluna15083"/>
    <tableColumn id="15089" xr3:uid="{00000000-0010-0000-0000-0000F13A0000}" name="Coluna15084"/>
    <tableColumn id="15090" xr3:uid="{00000000-0010-0000-0000-0000F23A0000}" name="Coluna15085"/>
    <tableColumn id="15091" xr3:uid="{00000000-0010-0000-0000-0000F33A0000}" name="Coluna15086"/>
    <tableColumn id="15092" xr3:uid="{00000000-0010-0000-0000-0000F43A0000}" name="Coluna15087"/>
    <tableColumn id="15093" xr3:uid="{00000000-0010-0000-0000-0000F53A0000}" name="Coluna15088"/>
    <tableColumn id="15094" xr3:uid="{00000000-0010-0000-0000-0000F63A0000}" name="Coluna15089"/>
    <tableColumn id="15095" xr3:uid="{00000000-0010-0000-0000-0000F73A0000}" name="Coluna15090"/>
    <tableColumn id="15096" xr3:uid="{00000000-0010-0000-0000-0000F83A0000}" name="Coluna15091"/>
    <tableColumn id="15097" xr3:uid="{00000000-0010-0000-0000-0000F93A0000}" name="Coluna15092"/>
    <tableColumn id="15098" xr3:uid="{00000000-0010-0000-0000-0000FA3A0000}" name="Coluna15093"/>
    <tableColumn id="15099" xr3:uid="{00000000-0010-0000-0000-0000FB3A0000}" name="Coluna15094"/>
    <tableColumn id="15100" xr3:uid="{00000000-0010-0000-0000-0000FC3A0000}" name="Coluna15095"/>
    <tableColumn id="15101" xr3:uid="{00000000-0010-0000-0000-0000FD3A0000}" name="Coluna15096"/>
    <tableColumn id="15102" xr3:uid="{00000000-0010-0000-0000-0000FE3A0000}" name="Coluna15097"/>
    <tableColumn id="15103" xr3:uid="{00000000-0010-0000-0000-0000FF3A0000}" name="Coluna15098"/>
    <tableColumn id="15104" xr3:uid="{00000000-0010-0000-0000-0000003B0000}" name="Coluna15099"/>
    <tableColumn id="15105" xr3:uid="{00000000-0010-0000-0000-0000013B0000}" name="Coluna15100"/>
    <tableColumn id="15106" xr3:uid="{00000000-0010-0000-0000-0000023B0000}" name="Coluna15101"/>
    <tableColumn id="15107" xr3:uid="{00000000-0010-0000-0000-0000033B0000}" name="Coluna15102"/>
    <tableColumn id="15108" xr3:uid="{00000000-0010-0000-0000-0000043B0000}" name="Coluna15103"/>
    <tableColumn id="15109" xr3:uid="{00000000-0010-0000-0000-0000053B0000}" name="Coluna15104"/>
    <tableColumn id="15110" xr3:uid="{00000000-0010-0000-0000-0000063B0000}" name="Coluna15105"/>
    <tableColumn id="15111" xr3:uid="{00000000-0010-0000-0000-0000073B0000}" name="Coluna15106"/>
    <tableColumn id="15112" xr3:uid="{00000000-0010-0000-0000-0000083B0000}" name="Coluna15107"/>
    <tableColumn id="15113" xr3:uid="{00000000-0010-0000-0000-0000093B0000}" name="Coluna15108"/>
    <tableColumn id="15114" xr3:uid="{00000000-0010-0000-0000-00000A3B0000}" name="Coluna15109"/>
    <tableColumn id="15115" xr3:uid="{00000000-0010-0000-0000-00000B3B0000}" name="Coluna15110"/>
    <tableColumn id="15116" xr3:uid="{00000000-0010-0000-0000-00000C3B0000}" name="Coluna15111"/>
    <tableColumn id="15117" xr3:uid="{00000000-0010-0000-0000-00000D3B0000}" name="Coluna15112"/>
    <tableColumn id="15118" xr3:uid="{00000000-0010-0000-0000-00000E3B0000}" name="Coluna15113"/>
    <tableColumn id="15119" xr3:uid="{00000000-0010-0000-0000-00000F3B0000}" name="Coluna15114"/>
    <tableColumn id="15120" xr3:uid="{00000000-0010-0000-0000-0000103B0000}" name="Coluna15115"/>
    <tableColumn id="15121" xr3:uid="{00000000-0010-0000-0000-0000113B0000}" name="Coluna15116"/>
    <tableColumn id="15122" xr3:uid="{00000000-0010-0000-0000-0000123B0000}" name="Coluna15117"/>
    <tableColumn id="15123" xr3:uid="{00000000-0010-0000-0000-0000133B0000}" name="Coluna15118"/>
    <tableColumn id="15124" xr3:uid="{00000000-0010-0000-0000-0000143B0000}" name="Coluna15119"/>
    <tableColumn id="15125" xr3:uid="{00000000-0010-0000-0000-0000153B0000}" name="Coluna15120"/>
    <tableColumn id="15126" xr3:uid="{00000000-0010-0000-0000-0000163B0000}" name="Coluna15121"/>
    <tableColumn id="15127" xr3:uid="{00000000-0010-0000-0000-0000173B0000}" name="Coluna15122"/>
    <tableColumn id="15128" xr3:uid="{00000000-0010-0000-0000-0000183B0000}" name="Coluna15123"/>
    <tableColumn id="15129" xr3:uid="{00000000-0010-0000-0000-0000193B0000}" name="Coluna15124"/>
    <tableColumn id="15130" xr3:uid="{00000000-0010-0000-0000-00001A3B0000}" name="Coluna15125"/>
    <tableColumn id="15131" xr3:uid="{00000000-0010-0000-0000-00001B3B0000}" name="Coluna15126"/>
    <tableColumn id="15132" xr3:uid="{00000000-0010-0000-0000-00001C3B0000}" name="Coluna15127"/>
    <tableColumn id="15133" xr3:uid="{00000000-0010-0000-0000-00001D3B0000}" name="Coluna15128"/>
    <tableColumn id="15134" xr3:uid="{00000000-0010-0000-0000-00001E3B0000}" name="Coluna15129"/>
    <tableColumn id="15135" xr3:uid="{00000000-0010-0000-0000-00001F3B0000}" name="Coluna15130"/>
    <tableColumn id="15136" xr3:uid="{00000000-0010-0000-0000-0000203B0000}" name="Coluna15131"/>
    <tableColumn id="15137" xr3:uid="{00000000-0010-0000-0000-0000213B0000}" name="Coluna15132"/>
    <tableColumn id="15138" xr3:uid="{00000000-0010-0000-0000-0000223B0000}" name="Coluna15133"/>
    <tableColumn id="15139" xr3:uid="{00000000-0010-0000-0000-0000233B0000}" name="Coluna15134"/>
    <tableColumn id="15140" xr3:uid="{00000000-0010-0000-0000-0000243B0000}" name="Coluna15135"/>
    <tableColumn id="15141" xr3:uid="{00000000-0010-0000-0000-0000253B0000}" name="Coluna15136"/>
    <tableColumn id="15142" xr3:uid="{00000000-0010-0000-0000-0000263B0000}" name="Coluna15137"/>
    <tableColumn id="15143" xr3:uid="{00000000-0010-0000-0000-0000273B0000}" name="Coluna15138"/>
    <tableColumn id="15144" xr3:uid="{00000000-0010-0000-0000-0000283B0000}" name="Coluna15139"/>
    <tableColumn id="15145" xr3:uid="{00000000-0010-0000-0000-0000293B0000}" name="Coluna15140"/>
    <tableColumn id="15146" xr3:uid="{00000000-0010-0000-0000-00002A3B0000}" name="Coluna15141"/>
    <tableColumn id="15147" xr3:uid="{00000000-0010-0000-0000-00002B3B0000}" name="Coluna15142"/>
    <tableColumn id="15148" xr3:uid="{00000000-0010-0000-0000-00002C3B0000}" name="Coluna15143"/>
    <tableColumn id="15149" xr3:uid="{00000000-0010-0000-0000-00002D3B0000}" name="Coluna15144"/>
    <tableColumn id="15150" xr3:uid="{00000000-0010-0000-0000-00002E3B0000}" name="Coluna15145"/>
    <tableColumn id="15151" xr3:uid="{00000000-0010-0000-0000-00002F3B0000}" name="Coluna15146"/>
    <tableColumn id="15152" xr3:uid="{00000000-0010-0000-0000-0000303B0000}" name="Coluna15147"/>
    <tableColumn id="15153" xr3:uid="{00000000-0010-0000-0000-0000313B0000}" name="Coluna15148"/>
    <tableColumn id="15154" xr3:uid="{00000000-0010-0000-0000-0000323B0000}" name="Coluna15149"/>
    <tableColumn id="15155" xr3:uid="{00000000-0010-0000-0000-0000333B0000}" name="Coluna15150"/>
    <tableColumn id="15156" xr3:uid="{00000000-0010-0000-0000-0000343B0000}" name="Coluna15151"/>
    <tableColumn id="15157" xr3:uid="{00000000-0010-0000-0000-0000353B0000}" name="Coluna15152"/>
    <tableColumn id="15158" xr3:uid="{00000000-0010-0000-0000-0000363B0000}" name="Coluna15153"/>
    <tableColumn id="15159" xr3:uid="{00000000-0010-0000-0000-0000373B0000}" name="Coluna15154"/>
    <tableColumn id="15160" xr3:uid="{00000000-0010-0000-0000-0000383B0000}" name="Coluna15155"/>
    <tableColumn id="15161" xr3:uid="{00000000-0010-0000-0000-0000393B0000}" name="Coluna15156"/>
    <tableColumn id="15162" xr3:uid="{00000000-0010-0000-0000-00003A3B0000}" name="Coluna15157"/>
    <tableColumn id="15163" xr3:uid="{00000000-0010-0000-0000-00003B3B0000}" name="Coluna15158"/>
    <tableColumn id="15164" xr3:uid="{00000000-0010-0000-0000-00003C3B0000}" name="Coluna15159"/>
    <tableColumn id="15165" xr3:uid="{00000000-0010-0000-0000-00003D3B0000}" name="Coluna15160"/>
    <tableColumn id="15166" xr3:uid="{00000000-0010-0000-0000-00003E3B0000}" name="Coluna15161"/>
    <tableColumn id="15167" xr3:uid="{00000000-0010-0000-0000-00003F3B0000}" name="Coluna15162"/>
    <tableColumn id="15168" xr3:uid="{00000000-0010-0000-0000-0000403B0000}" name="Coluna15163"/>
    <tableColumn id="15169" xr3:uid="{00000000-0010-0000-0000-0000413B0000}" name="Coluna15164"/>
    <tableColumn id="15170" xr3:uid="{00000000-0010-0000-0000-0000423B0000}" name="Coluna15165"/>
    <tableColumn id="15171" xr3:uid="{00000000-0010-0000-0000-0000433B0000}" name="Coluna15166"/>
    <tableColumn id="15172" xr3:uid="{00000000-0010-0000-0000-0000443B0000}" name="Coluna15167"/>
    <tableColumn id="15173" xr3:uid="{00000000-0010-0000-0000-0000453B0000}" name="Coluna15168"/>
    <tableColumn id="15174" xr3:uid="{00000000-0010-0000-0000-0000463B0000}" name="Coluna15169"/>
    <tableColumn id="15175" xr3:uid="{00000000-0010-0000-0000-0000473B0000}" name="Coluna15170"/>
    <tableColumn id="15176" xr3:uid="{00000000-0010-0000-0000-0000483B0000}" name="Coluna15171"/>
    <tableColumn id="15177" xr3:uid="{00000000-0010-0000-0000-0000493B0000}" name="Coluna15172"/>
    <tableColumn id="15178" xr3:uid="{00000000-0010-0000-0000-00004A3B0000}" name="Coluna15173"/>
    <tableColumn id="15179" xr3:uid="{00000000-0010-0000-0000-00004B3B0000}" name="Coluna15174"/>
    <tableColumn id="15180" xr3:uid="{00000000-0010-0000-0000-00004C3B0000}" name="Coluna15175"/>
    <tableColumn id="15181" xr3:uid="{00000000-0010-0000-0000-00004D3B0000}" name="Coluna15176"/>
    <tableColumn id="15182" xr3:uid="{00000000-0010-0000-0000-00004E3B0000}" name="Coluna15177"/>
    <tableColumn id="15183" xr3:uid="{00000000-0010-0000-0000-00004F3B0000}" name="Coluna15178"/>
    <tableColumn id="15184" xr3:uid="{00000000-0010-0000-0000-0000503B0000}" name="Coluna15179"/>
    <tableColumn id="15185" xr3:uid="{00000000-0010-0000-0000-0000513B0000}" name="Coluna15180"/>
    <tableColumn id="15186" xr3:uid="{00000000-0010-0000-0000-0000523B0000}" name="Coluna15181"/>
    <tableColumn id="15187" xr3:uid="{00000000-0010-0000-0000-0000533B0000}" name="Coluna15182"/>
    <tableColumn id="15188" xr3:uid="{00000000-0010-0000-0000-0000543B0000}" name="Coluna15183"/>
    <tableColumn id="15189" xr3:uid="{00000000-0010-0000-0000-0000553B0000}" name="Coluna15184"/>
    <tableColumn id="15190" xr3:uid="{00000000-0010-0000-0000-0000563B0000}" name="Coluna15185"/>
    <tableColumn id="15191" xr3:uid="{00000000-0010-0000-0000-0000573B0000}" name="Coluna15186"/>
    <tableColumn id="15192" xr3:uid="{00000000-0010-0000-0000-0000583B0000}" name="Coluna15187"/>
    <tableColumn id="15193" xr3:uid="{00000000-0010-0000-0000-0000593B0000}" name="Coluna15188"/>
    <tableColumn id="15194" xr3:uid="{00000000-0010-0000-0000-00005A3B0000}" name="Coluna15189"/>
    <tableColumn id="15195" xr3:uid="{00000000-0010-0000-0000-00005B3B0000}" name="Coluna15190"/>
    <tableColumn id="15196" xr3:uid="{00000000-0010-0000-0000-00005C3B0000}" name="Coluna15191"/>
    <tableColumn id="15197" xr3:uid="{00000000-0010-0000-0000-00005D3B0000}" name="Coluna15192"/>
    <tableColumn id="15198" xr3:uid="{00000000-0010-0000-0000-00005E3B0000}" name="Coluna15193"/>
    <tableColumn id="15199" xr3:uid="{00000000-0010-0000-0000-00005F3B0000}" name="Coluna15194"/>
    <tableColumn id="15200" xr3:uid="{00000000-0010-0000-0000-0000603B0000}" name="Coluna15195"/>
    <tableColumn id="15201" xr3:uid="{00000000-0010-0000-0000-0000613B0000}" name="Coluna15196"/>
    <tableColumn id="15202" xr3:uid="{00000000-0010-0000-0000-0000623B0000}" name="Coluna15197"/>
    <tableColumn id="15203" xr3:uid="{00000000-0010-0000-0000-0000633B0000}" name="Coluna15198"/>
    <tableColumn id="15204" xr3:uid="{00000000-0010-0000-0000-0000643B0000}" name="Coluna15199"/>
    <tableColumn id="15205" xr3:uid="{00000000-0010-0000-0000-0000653B0000}" name="Coluna15200"/>
    <tableColumn id="15206" xr3:uid="{00000000-0010-0000-0000-0000663B0000}" name="Coluna15201"/>
    <tableColumn id="15207" xr3:uid="{00000000-0010-0000-0000-0000673B0000}" name="Coluna15202"/>
    <tableColumn id="15208" xr3:uid="{00000000-0010-0000-0000-0000683B0000}" name="Coluna15203"/>
    <tableColumn id="15209" xr3:uid="{00000000-0010-0000-0000-0000693B0000}" name="Coluna15204"/>
    <tableColumn id="15210" xr3:uid="{00000000-0010-0000-0000-00006A3B0000}" name="Coluna15205"/>
    <tableColumn id="15211" xr3:uid="{00000000-0010-0000-0000-00006B3B0000}" name="Coluna15206"/>
    <tableColumn id="15212" xr3:uid="{00000000-0010-0000-0000-00006C3B0000}" name="Coluna15207"/>
    <tableColumn id="15213" xr3:uid="{00000000-0010-0000-0000-00006D3B0000}" name="Coluna15208"/>
    <tableColumn id="15214" xr3:uid="{00000000-0010-0000-0000-00006E3B0000}" name="Coluna15209"/>
    <tableColumn id="15215" xr3:uid="{00000000-0010-0000-0000-00006F3B0000}" name="Coluna15210"/>
    <tableColumn id="15216" xr3:uid="{00000000-0010-0000-0000-0000703B0000}" name="Coluna15211"/>
    <tableColumn id="15217" xr3:uid="{00000000-0010-0000-0000-0000713B0000}" name="Coluna15212"/>
    <tableColumn id="15218" xr3:uid="{00000000-0010-0000-0000-0000723B0000}" name="Coluna15213"/>
    <tableColumn id="15219" xr3:uid="{00000000-0010-0000-0000-0000733B0000}" name="Coluna15214"/>
    <tableColumn id="15220" xr3:uid="{00000000-0010-0000-0000-0000743B0000}" name="Coluna15215"/>
    <tableColumn id="15221" xr3:uid="{00000000-0010-0000-0000-0000753B0000}" name="Coluna15216"/>
    <tableColumn id="15222" xr3:uid="{00000000-0010-0000-0000-0000763B0000}" name="Coluna15217"/>
    <tableColumn id="15223" xr3:uid="{00000000-0010-0000-0000-0000773B0000}" name="Coluna15218"/>
    <tableColumn id="15224" xr3:uid="{00000000-0010-0000-0000-0000783B0000}" name="Coluna15219"/>
    <tableColumn id="15225" xr3:uid="{00000000-0010-0000-0000-0000793B0000}" name="Coluna15220"/>
    <tableColumn id="15226" xr3:uid="{00000000-0010-0000-0000-00007A3B0000}" name="Coluna15221"/>
    <tableColumn id="15227" xr3:uid="{00000000-0010-0000-0000-00007B3B0000}" name="Coluna15222"/>
    <tableColumn id="15228" xr3:uid="{00000000-0010-0000-0000-00007C3B0000}" name="Coluna15223"/>
    <tableColumn id="15229" xr3:uid="{00000000-0010-0000-0000-00007D3B0000}" name="Coluna15224"/>
    <tableColumn id="15230" xr3:uid="{00000000-0010-0000-0000-00007E3B0000}" name="Coluna15225"/>
    <tableColumn id="15231" xr3:uid="{00000000-0010-0000-0000-00007F3B0000}" name="Coluna15226"/>
    <tableColumn id="15232" xr3:uid="{00000000-0010-0000-0000-0000803B0000}" name="Coluna15227"/>
    <tableColumn id="15233" xr3:uid="{00000000-0010-0000-0000-0000813B0000}" name="Coluna15228"/>
    <tableColumn id="15234" xr3:uid="{00000000-0010-0000-0000-0000823B0000}" name="Coluna15229"/>
    <tableColumn id="15235" xr3:uid="{00000000-0010-0000-0000-0000833B0000}" name="Coluna15230"/>
    <tableColumn id="15236" xr3:uid="{00000000-0010-0000-0000-0000843B0000}" name="Coluna15231"/>
    <tableColumn id="15237" xr3:uid="{00000000-0010-0000-0000-0000853B0000}" name="Coluna15232"/>
    <tableColumn id="15238" xr3:uid="{00000000-0010-0000-0000-0000863B0000}" name="Coluna15233"/>
    <tableColumn id="15239" xr3:uid="{00000000-0010-0000-0000-0000873B0000}" name="Coluna15234"/>
    <tableColumn id="15240" xr3:uid="{00000000-0010-0000-0000-0000883B0000}" name="Coluna15235"/>
    <tableColumn id="15241" xr3:uid="{00000000-0010-0000-0000-0000893B0000}" name="Coluna15236"/>
    <tableColumn id="15242" xr3:uid="{00000000-0010-0000-0000-00008A3B0000}" name="Coluna15237"/>
    <tableColumn id="15243" xr3:uid="{00000000-0010-0000-0000-00008B3B0000}" name="Coluna15238"/>
    <tableColumn id="15244" xr3:uid="{00000000-0010-0000-0000-00008C3B0000}" name="Coluna15239"/>
    <tableColumn id="15245" xr3:uid="{00000000-0010-0000-0000-00008D3B0000}" name="Coluna15240"/>
    <tableColumn id="15246" xr3:uid="{00000000-0010-0000-0000-00008E3B0000}" name="Coluna15241"/>
    <tableColumn id="15247" xr3:uid="{00000000-0010-0000-0000-00008F3B0000}" name="Coluna15242"/>
    <tableColumn id="15248" xr3:uid="{00000000-0010-0000-0000-0000903B0000}" name="Coluna15243"/>
    <tableColumn id="15249" xr3:uid="{00000000-0010-0000-0000-0000913B0000}" name="Coluna15244"/>
    <tableColumn id="15250" xr3:uid="{00000000-0010-0000-0000-0000923B0000}" name="Coluna15245"/>
    <tableColumn id="15251" xr3:uid="{00000000-0010-0000-0000-0000933B0000}" name="Coluna15246"/>
    <tableColumn id="15252" xr3:uid="{00000000-0010-0000-0000-0000943B0000}" name="Coluna15247"/>
    <tableColumn id="15253" xr3:uid="{00000000-0010-0000-0000-0000953B0000}" name="Coluna15248"/>
    <tableColumn id="15254" xr3:uid="{00000000-0010-0000-0000-0000963B0000}" name="Coluna15249"/>
    <tableColumn id="15255" xr3:uid="{00000000-0010-0000-0000-0000973B0000}" name="Coluna15250"/>
    <tableColumn id="15256" xr3:uid="{00000000-0010-0000-0000-0000983B0000}" name="Coluna15251"/>
    <tableColumn id="15257" xr3:uid="{00000000-0010-0000-0000-0000993B0000}" name="Coluna15252"/>
    <tableColumn id="15258" xr3:uid="{00000000-0010-0000-0000-00009A3B0000}" name="Coluna15253"/>
    <tableColumn id="15259" xr3:uid="{00000000-0010-0000-0000-00009B3B0000}" name="Coluna15254"/>
    <tableColumn id="15260" xr3:uid="{00000000-0010-0000-0000-00009C3B0000}" name="Coluna15255"/>
    <tableColumn id="15261" xr3:uid="{00000000-0010-0000-0000-00009D3B0000}" name="Coluna15256"/>
    <tableColumn id="15262" xr3:uid="{00000000-0010-0000-0000-00009E3B0000}" name="Coluna15257"/>
    <tableColumn id="15263" xr3:uid="{00000000-0010-0000-0000-00009F3B0000}" name="Coluna15258"/>
    <tableColumn id="15264" xr3:uid="{00000000-0010-0000-0000-0000A03B0000}" name="Coluna15259"/>
    <tableColumn id="15265" xr3:uid="{00000000-0010-0000-0000-0000A13B0000}" name="Coluna15260"/>
    <tableColumn id="15266" xr3:uid="{00000000-0010-0000-0000-0000A23B0000}" name="Coluna15261"/>
    <tableColumn id="15267" xr3:uid="{00000000-0010-0000-0000-0000A33B0000}" name="Coluna15262"/>
    <tableColumn id="15268" xr3:uid="{00000000-0010-0000-0000-0000A43B0000}" name="Coluna15263"/>
    <tableColumn id="15269" xr3:uid="{00000000-0010-0000-0000-0000A53B0000}" name="Coluna15264"/>
    <tableColumn id="15270" xr3:uid="{00000000-0010-0000-0000-0000A63B0000}" name="Coluna15265"/>
    <tableColumn id="15271" xr3:uid="{00000000-0010-0000-0000-0000A73B0000}" name="Coluna15266"/>
    <tableColumn id="15272" xr3:uid="{00000000-0010-0000-0000-0000A83B0000}" name="Coluna15267"/>
    <tableColumn id="15273" xr3:uid="{00000000-0010-0000-0000-0000A93B0000}" name="Coluna15268"/>
    <tableColumn id="15274" xr3:uid="{00000000-0010-0000-0000-0000AA3B0000}" name="Coluna15269"/>
    <tableColumn id="15275" xr3:uid="{00000000-0010-0000-0000-0000AB3B0000}" name="Coluna15270"/>
    <tableColumn id="15276" xr3:uid="{00000000-0010-0000-0000-0000AC3B0000}" name="Coluna15271"/>
    <tableColumn id="15277" xr3:uid="{00000000-0010-0000-0000-0000AD3B0000}" name="Coluna15272"/>
    <tableColumn id="15278" xr3:uid="{00000000-0010-0000-0000-0000AE3B0000}" name="Coluna15273"/>
    <tableColumn id="15279" xr3:uid="{00000000-0010-0000-0000-0000AF3B0000}" name="Coluna15274"/>
    <tableColumn id="15280" xr3:uid="{00000000-0010-0000-0000-0000B03B0000}" name="Coluna15275"/>
    <tableColumn id="15281" xr3:uid="{00000000-0010-0000-0000-0000B13B0000}" name="Coluna15276"/>
    <tableColumn id="15282" xr3:uid="{00000000-0010-0000-0000-0000B23B0000}" name="Coluna15277"/>
    <tableColumn id="15283" xr3:uid="{00000000-0010-0000-0000-0000B33B0000}" name="Coluna15278"/>
    <tableColumn id="15284" xr3:uid="{00000000-0010-0000-0000-0000B43B0000}" name="Coluna15279"/>
    <tableColumn id="15285" xr3:uid="{00000000-0010-0000-0000-0000B53B0000}" name="Coluna15280"/>
    <tableColumn id="15286" xr3:uid="{00000000-0010-0000-0000-0000B63B0000}" name="Coluna15281"/>
    <tableColumn id="15287" xr3:uid="{00000000-0010-0000-0000-0000B73B0000}" name="Coluna15282"/>
    <tableColumn id="15288" xr3:uid="{00000000-0010-0000-0000-0000B83B0000}" name="Coluna15283"/>
    <tableColumn id="15289" xr3:uid="{00000000-0010-0000-0000-0000B93B0000}" name="Coluna15284"/>
    <tableColumn id="15290" xr3:uid="{00000000-0010-0000-0000-0000BA3B0000}" name="Coluna15285"/>
    <tableColumn id="15291" xr3:uid="{00000000-0010-0000-0000-0000BB3B0000}" name="Coluna15286"/>
    <tableColumn id="15292" xr3:uid="{00000000-0010-0000-0000-0000BC3B0000}" name="Coluna15287"/>
    <tableColumn id="15293" xr3:uid="{00000000-0010-0000-0000-0000BD3B0000}" name="Coluna15288"/>
    <tableColumn id="15294" xr3:uid="{00000000-0010-0000-0000-0000BE3B0000}" name="Coluna15289"/>
    <tableColumn id="15295" xr3:uid="{00000000-0010-0000-0000-0000BF3B0000}" name="Coluna15290"/>
    <tableColumn id="15296" xr3:uid="{00000000-0010-0000-0000-0000C03B0000}" name="Coluna15291"/>
    <tableColumn id="15297" xr3:uid="{00000000-0010-0000-0000-0000C13B0000}" name="Coluna15292"/>
    <tableColumn id="15298" xr3:uid="{00000000-0010-0000-0000-0000C23B0000}" name="Coluna15293"/>
    <tableColumn id="15299" xr3:uid="{00000000-0010-0000-0000-0000C33B0000}" name="Coluna15294"/>
    <tableColumn id="15300" xr3:uid="{00000000-0010-0000-0000-0000C43B0000}" name="Coluna15295"/>
    <tableColumn id="15301" xr3:uid="{00000000-0010-0000-0000-0000C53B0000}" name="Coluna15296"/>
    <tableColumn id="15302" xr3:uid="{00000000-0010-0000-0000-0000C63B0000}" name="Coluna15297"/>
    <tableColumn id="15303" xr3:uid="{00000000-0010-0000-0000-0000C73B0000}" name="Coluna15298"/>
    <tableColumn id="15304" xr3:uid="{00000000-0010-0000-0000-0000C83B0000}" name="Coluna15299"/>
    <tableColumn id="15305" xr3:uid="{00000000-0010-0000-0000-0000C93B0000}" name="Coluna15300"/>
    <tableColumn id="15306" xr3:uid="{00000000-0010-0000-0000-0000CA3B0000}" name="Coluna15301"/>
    <tableColumn id="15307" xr3:uid="{00000000-0010-0000-0000-0000CB3B0000}" name="Coluna15302"/>
    <tableColumn id="15308" xr3:uid="{00000000-0010-0000-0000-0000CC3B0000}" name="Coluna15303"/>
    <tableColumn id="15309" xr3:uid="{00000000-0010-0000-0000-0000CD3B0000}" name="Coluna15304"/>
    <tableColumn id="15310" xr3:uid="{00000000-0010-0000-0000-0000CE3B0000}" name="Coluna15305"/>
    <tableColumn id="15311" xr3:uid="{00000000-0010-0000-0000-0000CF3B0000}" name="Coluna15306"/>
    <tableColumn id="15312" xr3:uid="{00000000-0010-0000-0000-0000D03B0000}" name="Coluna15307"/>
    <tableColumn id="15313" xr3:uid="{00000000-0010-0000-0000-0000D13B0000}" name="Coluna15308"/>
    <tableColumn id="15314" xr3:uid="{00000000-0010-0000-0000-0000D23B0000}" name="Coluna15309"/>
    <tableColumn id="15315" xr3:uid="{00000000-0010-0000-0000-0000D33B0000}" name="Coluna15310"/>
    <tableColumn id="15316" xr3:uid="{00000000-0010-0000-0000-0000D43B0000}" name="Coluna15311"/>
    <tableColumn id="15317" xr3:uid="{00000000-0010-0000-0000-0000D53B0000}" name="Coluna15312"/>
    <tableColumn id="15318" xr3:uid="{00000000-0010-0000-0000-0000D63B0000}" name="Coluna15313"/>
    <tableColumn id="15319" xr3:uid="{00000000-0010-0000-0000-0000D73B0000}" name="Coluna15314"/>
    <tableColumn id="15320" xr3:uid="{00000000-0010-0000-0000-0000D83B0000}" name="Coluna15315"/>
    <tableColumn id="15321" xr3:uid="{00000000-0010-0000-0000-0000D93B0000}" name="Coluna15316"/>
    <tableColumn id="15322" xr3:uid="{00000000-0010-0000-0000-0000DA3B0000}" name="Coluna15317"/>
    <tableColumn id="15323" xr3:uid="{00000000-0010-0000-0000-0000DB3B0000}" name="Coluna15318"/>
    <tableColumn id="15324" xr3:uid="{00000000-0010-0000-0000-0000DC3B0000}" name="Coluna15319"/>
    <tableColumn id="15325" xr3:uid="{00000000-0010-0000-0000-0000DD3B0000}" name="Coluna15320"/>
    <tableColumn id="15326" xr3:uid="{00000000-0010-0000-0000-0000DE3B0000}" name="Coluna15321"/>
    <tableColumn id="15327" xr3:uid="{00000000-0010-0000-0000-0000DF3B0000}" name="Coluna15322"/>
    <tableColumn id="15328" xr3:uid="{00000000-0010-0000-0000-0000E03B0000}" name="Coluna15323"/>
    <tableColumn id="15329" xr3:uid="{00000000-0010-0000-0000-0000E13B0000}" name="Coluna15324"/>
    <tableColumn id="15330" xr3:uid="{00000000-0010-0000-0000-0000E23B0000}" name="Coluna15325"/>
    <tableColumn id="15331" xr3:uid="{00000000-0010-0000-0000-0000E33B0000}" name="Coluna15326"/>
    <tableColumn id="15332" xr3:uid="{00000000-0010-0000-0000-0000E43B0000}" name="Coluna15327"/>
    <tableColumn id="15333" xr3:uid="{00000000-0010-0000-0000-0000E53B0000}" name="Coluna15328"/>
    <tableColumn id="15334" xr3:uid="{00000000-0010-0000-0000-0000E63B0000}" name="Coluna15329"/>
    <tableColumn id="15335" xr3:uid="{00000000-0010-0000-0000-0000E73B0000}" name="Coluna15330"/>
    <tableColumn id="15336" xr3:uid="{00000000-0010-0000-0000-0000E83B0000}" name="Coluna15331"/>
    <tableColumn id="15337" xr3:uid="{00000000-0010-0000-0000-0000E93B0000}" name="Coluna15332"/>
    <tableColumn id="15338" xr3:uid="{00000000-0010-0000-0000-0000EA3B0000}" name="Coluna15333"/>
    <tableColumn id="15339" xr3:uid="{00000000-0010-0000-0000-0000EB3B0000}" name="Coluna15334"/>
    <tableColumn id="15340" xr3:uid="{00000000-0010-0000-0000-0000EC3B0000}" name="Coluna15335"/>
    <tableColumn id="15341" xr3:uid="{00000000-0010-0000-0000-0000ED3B0000}" name="Coluna15336"/>
    <tableColumn id="15342" xr3:uid="{00000000-0010-0000-0000-0000EE3B0000}" name="Coluna15337"/>
    <tableColumn id="15343" xr3:uid="{00000000-0010-0000-0000-0000EF3B0000}" name="Coluna15338"/>
    <tableColumn id="15344" xr3:uid="{00000000-0010-0000-0000-0000F03B0000}" name="Coluna15339"/>
    <tableColumn id="15345" xr3:uid="{00000000-0010-0000-0000-0000F13B0000}" name="Coluna15340"/>
    <tableColumn id="15346" xr3:uid="{00000000-0010-0000-0000-0000F23B0000}" name="Coluna15341"/>
    <tableColumn id="15347" xr3:uid="{00000000-0010-0000-0000-0000F33B0000}" name="Coluna15342"/>
    <tableColumn id="15348" xr3:uid="{00000000-0010-0000-0000-0000F43B0000}" name="Coluna15343"/>
    <tableColumn id="15349" xr3:uid="{00000000-0010-0000-0000-0000F53B0000}" name="Coluna15344"/>
    <tableColumn id="15350" xr3:uid="{00000000-0010-0000-0000-0000F63B0000}" name="Coluna15345"/>
    <tableColumn id="15351" xr3:uid="{00000000-0010-0000-0000-0000F73B0000}" name="Coluna15346"/>
    <tableColumn id="15352" xr3:uid="{00000000-0010-0000-0000-0000F83B0000}" name="Coluna15347"/>
    <tableColumn id="15353" xr3:uid="{00000000-0010-0000-0000-0000F93B0000}" name="Coluna15348"/>
    <tableColumn id="15354" xr3:uid="{00000000-0010-0000-0000-0000FA3B0000}" name="Coluna15349"/>
    <tableColumn id="15355" xr3:uid="{00000000-0010-0000-0000-0000FB3B0000}" name="Coluna15350"/>
    <tableColumn id="15356" xr3:uid="{00000000-0010-0000-0000-0000FC3B0000}" name="Coluna15351"/>
    <tableColumn id="15357" xr3:uid="{00000000-0010-0000-0000-0000FD3B0000}" name="Coluna15352"/>
    <tableColumn id="15358" xr3:uid="{00000000-0010-0000-0000-0000FE3B0000}" name="Coluna15353"/>
    <tableColumn id="15359" xr3:uid="{00000000-0010-0000-0000-0000FF3B0000}" name="Coluna15354"/>
    <tableColumn id="15360" xr3:uid="{00000000-0010-0000-0000-0000003C0000}" name="Coluna15355"/>
    <tableColumn id="15361" xr3:uid="{00000000-0010-0000-0000-0000013C0000}" name="Coluna15356"/>
    <tableColumn id="15362" xr3:uid="{00000000-0010-0000-0000-0000023C0000}" name="Coluna15357"/>
    <tableColumn id="15363" xr3:uid="{00000000-0010-0000-0000-0000033C0000}" name="Coluna15358"/>
    <tableColumn id="15364" xr3:uid="{00000000-0010-0000-0000-0000043C0000}" name="Coluna15359"/>
    <tableColumn id="15365" xr3:uid="{00000000-0010-0000-0000-0000053C0000}" name="Coluna15360"/>
    <tableColumn id="15366" xr3:uid="{00000000-0010-0000-0000-0000063C0000}" name="Coluna15361"/>
    <tableColumn id="15367" xr3:uid="{00000000-0010-0000-0000-0000073C0000}" name="Coluna15362"/>
    <tableColumn id="15368" xr3:uid="{00000000-0010-0000-0000-0000083C0000}" name="Coluna15363"/>
    <tableColumn id="15369" xr3:uid="{00000000-0010-0000-0000-0000093C0000}" name="Coluna15364"/>
    <tableColumn id="15370" xr3:uid="{00000000-0010-0000-0000-00000A3C0000}" name="Coluna15365"/>
    <tableColumn id="15371" xr3:uid="{00000000-0010-0000-0000-00000B3C0000}" name="Coluna15366"/>
    <tableColumn id="15372" xr3:uid="{00000000-0010-0000-0000-00000C3C0000}" name="Coluna15367"/>
    <tableColumn id="15373" xr3:uid="{00000000-0010-0000-0000-00000D3C0000}" name="Coluna15368"/>
    <tableColumn id="15374" xr3:uid="{00000000-0010-0000-0000-00000E3C0000}" name="Coluna15369"/>
    <tableColumn id="15375" xr3:uid="{00000000-0010-0000-0000-00000F3C0000}" name="Coluna15370"/>
    <tableColumn id="15376" xr3:uid="{00000000-0010-0000-0000-0000103C0000}" name="Coluna15371"/>
    <tableColumn id="15377" xr3:uid="{00000000-0010-0000-0000-0000113C0000}" name="Coluna15372"/>
    <tableColumn id="15378" xr3:uid="{00000000-0010-0000-0000-0000123C0000}" name="Coluna15373"/>
    <tableColumn id="15379" xr3:uid="{00000000-0010-0000-0000-0000133C0000}" name="Coluna15374"/>
    <tableColumn id="15380" xr3:uid="{00000000-0010-0000-0000-0000143C0000}" name="Coluna15375"/>
    <tableColumn id="15381" xr3:uid="{00000000-0010-0000-0000-0000153C0000}" name="Coluna15376"/>
    <tableColumn id="15382" xr3:uid="{00000000-0010-0000-0000-0000163C0000}" name="Coluna15377"/>
    <tableColumn id="15383" xr3:uid="{00000000-0010-0000-0000-0000173C0000}" name="Coluna15378"/>
    <tableColumn id="15384" xr3:uid="{00000000-0010-0000-0000-0000183C0000}" name="Coluna15379"/>
    <tableColumn id="15385" xr3:uid="{00000000-0010-0000-0000-0000193C0000}" name="Coluna15380"/>
    <tableColumn id="15386" xr3:uid="{00000000-0010-0000-0000-00001A3C0000}" name="Coluna15381"/>
    <tableColumn id="15387" xr3:uid="{00000000-0010-0000-0000-00001B3C0000}" name="Coluna15382"/>
    <tableColumn id="15388" xr3:uid="{00000000-0010-0000-0000-00001C3C0000}" name="Coluna15383"/>
    <tableColumn id="15389" xr3:uid="{00000000-0010-0000-0000-00001D3C0000}" name="Coluna15384"/>
    <tableColumn id="15390" xr3:uid="{00000000-0010-0000-0000-00001E3C0000}" name="Coluna15385"/>
    <tableColumn id="15391" xr3:uid="{00000000-0010-0000-0000-00001F3C0000}" name="Coluna15386"/>
    <tableColumn id="15392" xr3:uid="{00000000-0010-0000-0000-0000203C0000}" name="Coluna15387"/>
    <tableColumn id="15393" xr3:uid="{00000000-0010-0000-0000-0000213C0000}" name="Coluna15388"/>
    <tableColumn id="15394" xr3:uid="{00000000-0010-0000-0000-0000223C0000}" name="Coluna15389"/>
    <tableColumn id="15395" xr3:uid="{00000000-0010-0000-0000-0000233C0000}" name="Coluna15390"/>
    <tableColumn id="15396" xr3:uid="{00000000-0010-0000-0000-0000243C0000}" name="Coluna15391"/>
    <tableColumn id="15397" xr3:uid="{00000000-0010-0000-0000-0000253C0000}" name="Coluna15392"/>
    <tableColumn id="15398" xr3:uid="{00000000-0010-0000-0000-0000263C0000}" name="Coluna15393"/>
    <tableColumn id="15399" xr3:uid="{00000000-0010-0000-0000-0000273C0000}" name="Coluna15394"/>
    <tableColumn id="15400" xr3:uid="{00000000-0010-0000-0000-0000283C0000}" name="Coluna15395"/>
    <tableColumn id="15401" xr3:uid="{00000000-0010-0000-0000-0000293C0000}" name="Coluna15396"/>
    <tableColumn id="15402" xr3:uid="{00000000-0010-0000-0000-00002A3C0000}" name="Coluna15397"/>
    <tableColumn id="15403" xr3:uid="{00000000-0010-0000-0000-00002B3C0000}" name="Coluna15398"/>
    <tableColumn id="15404" xr3:uid="{00000000-0010-0000-0000-00002C3C0000}" name="Coluna15399"/>
    <tableColumn id="15405" xr3:uid="{00000000-0010-0000-0000-00002D3C0000}" name="Coluna15400"/>
    <tableColumn id="15406" xr3:uid="{00000000-0010-0000-0000-00002E3C0000}" name="Coluna15401"/>
    <tableColumn id="15407" xr3:uid="{00000000-0010-0000-0000-00002F3C0000}" name="Coluna15402"/>
    <tableColumn id="15408" xr3:uid="{00000000-0010-0000-0000-0000303C0000}" name="Coluna15403"/>
    <tableColumn id="15409" xr3:uid="{00000000-0010-0000-0000-0000313C0000}" name="Coluna15404"/>
    <tableColumn id="15410" xr3:uid="{00000000-0010-0000-0000-0000323C0000}" name="Coluna15405"/>
    <tableColumn id="15411" xr3:uid="{00000000-0010-0000-0000-0000333C0000}" name="Coluna15406"/>
    <tableColumn id="15412" xr3:uid="{00000000-0010-0000-0000-0000343C0000}" name="Coluna15407"/>
    <tableColumn id="15413" xr3:uid="{00000000-0010-0000-0000-0000353C0000}" name="Coluna15408"/>
    <tableColumn id="15414" xr3:uid="{00000000-0010-0000-0000-0000363C0000}" name="Coluna15409"/>
    <tableColumn id="15415" xr3:uid="{00000000-0010-0000-0000-0000373C0000}" name="Coluna15410"/>
    <tableColumn id="15416" xr3:uid="{00000000-0010-0000-0000-0000383C0000}" name="Coluna15411"/>
    <tableColumn id="15417" xr3:uid="{00000000-0010-0000-0000-0000393C0000}" name="Coluna15412"/>
    <tableColumn id="15418" xr3:uid="{00000000-0010-0000-0000-00003A3C0000}" name="Coluna15413"/>
    <tableColumn id="15419" xr3:uid="{00000000-0010-0000-0000-00003B3C0000}" name="Coluna15414"/>
    <tableColumn id="15420" xr3:uid="{00000000-0010-0000-0000-00003C3C0000}" name="Coluna15415"/>
    <tableColumn id="15421" xr3:uid="{00000000-0010-0000-0000-00003D3C0000}" name="Coluna15416"/>
    <tableColumn id="15422" xr3:uid="{00000000-0010-0000-0000-00003E3C0000}" name="Coluna15417"/>
    <tableColumn id="15423" xr3:uid="{00000000-0010-0000-0000-00003F3C0000}" name="Coluna15418"/>
    <tableColumn id="15424" xr3:uid="{00000000-0010-0000-0000-0000403C0000}" name="Coluna15419"/>
    <tableColumn id="15425" xr3:uid="{00000000-0010-0000-0000-0000413C0000}" name="Coluna15420"/>
    <tableColumn id="15426" xr3:uid="{00000000-0010-0000-0000-0000423C0000}" name="Coluna15421"/>
    <tableColumn id="15427" xr3:uid="{00000000-0010-0000-0000-0000433C0000}" name="Coluna15422"/>
    <tableColumn id="15428" xr3:uid="{00000000-0010-0000-0000-0000443C0000}" name="Coluna15423"/>
    <tableColumn id="15429" xr3:uid="{00000000-0010-0000-0000-0000453C0000}" name="Coluna15424"/>
    <tableColumn id="15430" xr3:uid="{00000000-0010-0000-0000-0000463C0000}" name="Coluna15425"/>
    <tableColumn id="15431" xr3:uid="{00000000-0010-0000-0000-0000473C0000}" name="Coluna15426"/>
    <tableColumn id="15432" xr3:uid="{00000000-0010-0000-0000-0000483C0000}" name="Coluna15427"/>
    <tableColumn id="15433" xr3:uid="{00000000-0010-0000-0000-0000493C0000}" name="Coluna15428"/>
    <tableColumn id="15434" xr3:uid="{00000000-0010-0000-0000-00004A3C0000}" name="Coluna15429"/>
    <tableColumn id="15435" xr3:uid="{00000000-0010-0000-0000-00004B3C0000}" name="Coluna15430"/>
    <tableColumn id="15436" xr3:uid="{00000000-0010-0000-0000-00004C3C0000}" name="Coluna15431"/>
    <tableColumn id="15437" xr3:uid="{00000000-0010-0000-0000-00004D3C0000}" name="Coluna15432"/>
    <tableColumn id="15438" xr3:uid="{00000000-0010-0000-0000-00004E3C0000}" name="Coluna15433"/>
    <tableColumn id="15439" xr3:uid="{00000000-0010-0000-0000-00004F3C0000}" name="Coluna15434"/>
    <tableColumn id="15440" xr3:uid="{00000000-0010-0000-0000-0000503C0000}" name="Coluna15435"/>
    <tableColumn id="15441" xr3:uid="{00000000-0010-0000-0000-0000513C0000}" name="Coluna15436"/>
    <tableColumn id="15442" xr3:uid="{00000000-0010-0000-0000-0000523C0000}" name="Coluna15437"/>
    <tableColumn id="15443" xr3:uid="{00000000-0010-0000-0000-0000533C0000}" name="Coluna15438"/>
    <tableColumn id="15444" xr3:uid="{00000000-0010-0000-0000-0000543C0000}" name="Coluna15439"/>
    <tableColumn id="15445" xr3:uid="{00000000-0010-0000-0000-0000553C0000}" name="Coluna15440"/>
    <tableColumn id="15446" xr3:uid="{00000000-0010-0000-0000-0000563C0000}" name="Coluna15441"/>
    <tableColumn id="15447" xr3:uid="{00000000-0010-0000-0000-0000573C0000}" name="Coluna15442"/>
    <tableColumn id="15448" xr3:uid="{00000000-0010-0000-0000-0000583C0000}" name="Coluna15443"/>
    <tableColumn id="15449" xr3:uid="{00000000-0010-0000-0000-0000593C0000}" name="Coluna15444"/>
    <tableColumn id="15450" xr3:uid="{00000000-0010-0000-0000-00005A3C0000}" name="Coluna15445"/>
    <tableColumn id="15451" xr3:uid="{00000000-0010-0000-0000-00005B3C0000}" name="Coluna15446"/>
    <tableColumn id="15452" xr3:uid="{00000000-0010-0000-0000-00005C3C0000}" name="Coluna15447"/>
    <tableColumn id="15453" xr3:uid="{00000000-0010-0000-0000-00005D3C0000}" name="Coluna15448"/>
    <tableColumn id="15454" xr3:uid="{00000000-0010-0000-0000-00005E3C0000}" name="Coluna15449"/>
    <tableColumn id="15455" xr3:uid="{00000000-0010-0000-0000-00005F3C0000}" name="Coluna15450"/>
    <tableColumn id="15456" xr3:uid="{00000000-0010-0000-0000-0000603C0000}" name="Coluna15451"/>
    <tableColumn id="15457" xr3:uid="{00000000-0010-0000-0000-0000613C0000}" name="Coluna15452"/>
    <tableColumn id="15458" xr3:uid="{00000000-0010-0000-0000-0000623C0000}" name="Coluna15453"/>
    <tableColumn id="15459" xr3:uid="{00000000-0010-0000-0000-0000633C0000}" name="Coluna15454"/>
    <tableColumn id="15460" xr3:uid="{00000000-0010-0000-0000-0000643C0000}" name="Coluna15455"/>
    <tableColumn id="15461" xr3:uid="{00000000-0010-0000-0000-0000653C0000}" name="Coluna15456"/>
    <tableColumn id="15462" xr3:uid="{00000000-0010-0000-0000-0000663C0000}" name="Coluna15457"/>
    <tableColumn id="15463" xr3:uid="{00000000-0010-0000-0000-0000673C0000}" name="Coluna15458"/>
    <tableColumn id="15464" xr3:uid="{00000000-0010-0000-0000-0000683C0000}" name="Coluna15459"/>
    <tableColumn id="15465" xr3:uid="{00000000-0010-0000-0000-0000693C0000}" name="Coluna15460"/>
    <tableColumn id="15466" xr3:uid="{00000000-0010-0000-0000-00006A3C0000}" name="Coluna15461"/>
    <tableColumn id="15467" xr3:uid="{00000000-0010-0000-0000-00006B3C0000}" name="Coluna15462"/>
    <tableColumn id="15468" xr3:uid="{00000000-0010-0000-0000-00006C3C0000}" name="Coluna15463"/>
    <tableColumn id="15469" xr3:uid="{00000000-0010-0000-0000-00006D3C0000}" name="Coluna15464"/>
    <tableColumn id="15470" xr3:uid="{00000000-0010-0000-0000-00006E3C0000}" name="Coluna15465"/>
    <tableColumn id="15471" xr3:uid="{00000000-0010-0000-0000-00006F3C0000}" name="Coluna15466"/>
    <tableColumn id="15472" xr3:uid="{00000000-0010-0000-0000-0000703C0000}" name="Coluna15467"/>
    <tableColumn id="15473" xr3:uid="{00000000-0010-0000-0000-0000713C0000}" name="Coluna15468"/>
    <tableColumn id="15474" xr3:uid="{00000000-0010-0000-0000-0000723C0000}" name="Coluna15469"/>
    <tableColumn id="15475" xr3:uid="{00000000-0010-0000-0000-0000733C0000}" name="Coluna15470"/>
    <tableColumn id="15476" xr3:uid="{00000000-0010-0000-0000-0000743C0000}" name="Coluna15471"/>
    <tableColumn id="15477" xr3:uid="{00000000-0010-0000-0000-0000753C0000}" name="Coluna15472"/>
    <tableColumn id="15478" xr3:uid="{00000000-0010-0000-0000-0000763C0000}" name="Coluna15473"/>
    <tableColumn id="15479" xr3:uid="{00000000-0010-0000-0000-0000773C0000}" name="Coluna15474"/>
    <tableColumn id="15480" xr3:uid="{00000000-0010-0000-0000-0000783C0000}" name="Coluna15475"/>
    <tableColumn id="15481" xr3:uid="{00000000-0010-0000-0000-0000793C0000}" name="Coluna15476"/>
    <tableColumn id="15482" xr3:uid="{00000000-0010-0000-0000-00007A3C0000}" name="Coluna15477"/>
    <tableColumn id="15483" xr3:uid="{00000000-0010-0000-0000-00007B3C0000}" name="Coluna15478"/>
    <tableColumn id="15484" xr3:uid="{00000000-0010-0000-0000-00007C3C0000}" name="Coluna15479"/>
    <tableColumn id="15485" xr3:uid="{00000000-0010-0000-0000-00007D3C0000}" name="Coluna15480"/>
    <tableColumn id="15486" xr3:uid="{00000000-0010-0000-0000-00007E3C0000}" name="Coluna15481"/>
    <tableColumn id="15487" xr3:uid="{00000000-0010-0000-0000-00007F3C0000}" name="Coluna15482"/>
    <tableColumn id="15488" xr3:uid="{00000000-0010-0000-0000-0000803C0000}" name="Coluna15483"/>
    <tableColumn id="15489" xr3:uid="{00000000-0010-0000-0000-0000813C0000}" name="Coluna15484"/>
    <tableColumn id="15490" xr3:uid="{00000000-0010-0000-0000-0000823C0000}" name="Coluna15485"/>
    <tableColumn id="15491" xr3:uid="{00000000-0010-0000-0000-0000833C0000}" name="Coluna15486"/>
    <tableColumn id="15492" xr3:uid="{00000000-0010-0000-0000-0000843C0000}" name="Coluna15487"/>
    <tableColumn id="15493" xr3:uid="{00000000-0010-0000-0000-0000853C0000}" name="Coluna15488"/>
    <tableColumn id="15494" xr3:uid="{00000000-0010-0000-0000-0000863C0000}" name="Coluna15489"/>
    <tableColumn id="15495" xr3:uid="{00000000-0010-0000-0000-0000873C0000}" name="Coluna15490"/>
    <tableColumn id="15496" xr3:uid="{00000000-0010-0000-0000-0000883C0000}" name="Coluna15491"/>
    <tableColumn id="15497" xr3:uid="{00000000-0010-0000-0000-0000893C0000}" name="Coluna15492"/>
    <tableColumn id="15498" xr3:uid="{00000000-0010-0000-0000-00008A3C0000}" name="Coluna15493"/>
    <tableColumn id="15499" xr3:uid="{00000000-0010-0000-0000-00008B3C0000}" name="Coluna15494"/>
    <tableColumn id="15500" xr3:uid="{00000000-0010-0000-0000-00008C3C0000}" name="Coluna15495"/>
    <tableColumn id="15501" xr3:uid="{00000000-0010-0000-0000-00008D3C0000}" name="Coluna15496"/>
    <tableColumn id="15502" xr3:uid="{00000000-0010-0000-0000-00008E3C0000}" name="Coluna15497"/>
    <tableColumn id="15503" xr3:uid="{00000000-0010-0000-0000-00008F3C0000}" name="Coluna15498"/>
    <tableColumn id="15504" xr3:uid="{00000000-0010-0000-0000-0000903C0000}" name="Coluna15499"/>
    <tableColumn id="15505" xr3:uid="{00000000-0010-0000-0000-0000913C0000}" name="Coluna15500"/>
    <tableColumn id="15506" xr3:uid="{00000000-0010-0000-0000-0000923C0000}" name="Coluna15501"/>
    <tableColumn id="15507" xr3:uid="{00000000-0010-0000-0000-0000933C0000}" name="Coluna15502"/>
    <tableColumn id="15508" xr3:uid="{00000000-0010-0000-0000-0000943C0000}" name="Coluna15503"/>
    <tableColumn id="15509" xr3:uid="{00000000-0010-0000-0000-0000953C0000}" name="Coluna15504"/>
    <tableColumn id="15510" xr3:uid="{00000000-0010-0000-0000-0000963C0000}" name="Coluna15505"/>
    <tableColumn id="15511" xr3:uid="{00000000-0010-0000-0000-0000973C0000}" name="Coluna15506"/>
    <tableColumn id="15512" xr3:uid="{00000000-0010-0000-0000-0000983C0000}" name="Coluna15507"/>
    <tableColumn id="15513" xr3:uid="{00000000-0010-0000-0000-0000993C0000}" name="Coluna15508"/>
    <tableColumn id="15514" xr3:uid="{00000000-0010-0000-0000-00009A3C0000}" name="Coluna15509"/>
    <tableColumn id="15515" xr3:uid="{00000000-0010-0000-0000-00009B3C0000}" name="Coluna15510"/>
    <tableColumn id="15516" xr3:uid="{00000000-0010-0000-0000-00009C3C0000}" name="Coluna15511"/>
    <tableColumn id="15517" xr3:uid="{00000000-0010-0000-0000-00009D3C0000}" name="Coluna15512"/>
    <tableColumn id="15518" xr3:uid="{00000000-0010-0000-0000-00009E3C0000}" name="Coluna15513"/>
    <tableColumn id="15519" xr3:uid="{00000000-0010-0000-0000-00009F3C0000}" name="Coluna15514"/>
    <tableColumn id="15520" xr3:uid="{00000000-0010-0000-0000-0000A03C0000}" name="Coluna15515"/>
    <tableColumn id="15521" xr3:uid="{00000000-0010-0000-0000-0000A13C0000}" name="Coluna15516"/>
    <tableColumn id="15522" xr3:uid="{00000000-0010-0000-0000-0000A23C0000}" name="Coluna15517"/>
    <tableColumn id="15523" xr3:uid="{00000000-0010-0000-0000-0000A33C0000}" name="Coluna15518"/>
    <tableColumn id="15524" xr3:uid="{00000000-0010-0000-0000-0000A43C0000}" name="Coluna15519"/>
    <tableColumn id="15525" xr3:uid="{00000000-0010-0000-0000-0000A53C0000}" name="Coluna15520"/>
    <tableColumn id="15526" xr3:uid="{00000000-0010-0000-0000-0000A63C0000}" name="Coluna15521"/>
    <tableColumn id="15527" xr3:uid="{00000000-0010-0000-0000-0000A73C0000}" name="Coluna15522"/>
    <tableColumn id="15528" xr3:uid="{00000000-0010-0000-0000-0000A83C0000}" name="Coluna15523"/>
    <tableColumn id="15529" xr3:uid="{00000000-0010-0000-0000-0000A93C0000}" name="Coluna15524"/>
    <tableColumn id="15530" xr3:uid="{00000000-0010-0000-0000-0000AA3C0000}" name="Coluna15525"/>
    <tableColumn id="15531" xr3:uid="{00000000-0010-0000-0000-0000AB3C0000}" name="Coluna15526"/>
    <tableColumn id="15532" xr3:uid="{00000000-0010-0000-0000-0000AC3C0000}" name="Coluna15527"/>
    <tableColumn id="15533" xr3:uid="{00000000-0010-0000-0000-0000AD3C0000}" name="Coluna15528"/>
    <tableColumn id="15534" xr3:uid="{00000000-0010-0000-0000-0000AE3C0000}" name="Coluna15529"/>
    <tableColumn id="15535" xr3:uid="{00000000-0010-0000-0000-0000AF3C0000}" name="Coluna15530"/>
    <tableColumn id="15536" xr3:uid="{00000000-0010-0000-0000-0000B03C0000}" name="Coluna15531"/>
    <tableColumn id="15537" xr3:uid="{00000000-0010-0000-0000-0000B13C0000}" name="Coluna15532"/>
    <tableColumn id="15538" xr3:uid="{00000000-0010-0000-0000-0000B23C0000}" name="Coluna15533"/>
    <tableColumn id="15539" xr3:uid="{00000000-0010-0000-0000-0000B33C0000}" name="Coluna15534"/>
    <tableColumn id="15540" xr3:uid="{00000000-0010-0000-0000-0000B43C0000}" name="Coluna15535"/>
    <tableColumn id="15541" xr3:uid="{00000000-0010-0000-0000-0000B53C0000}" name="Coluna15536"/>
    <tableColumn id="15542" xr3:uid="{00000000-0010-0000-0000-0000B63C0000}" name="Coluna15537"/>
    <tableColumn id="15543" xr3:uid="{00000000-0010-0000-0000-0000B73C0000}" name="Coluna15538"/>
    <tableColumn id="15544" xr3:uid="{00000000-0010-0000-0000-0000B83C0000}" name="Coluna15539"/>
    <tableColumn id="15545" xr3:uid="{00000000-0010-0000-0000-0000B93C0000}" name="Coluna15540"/>
    <tableColumn id="15546" xr3:uid="{00000000-0010-0000-0000-0000BA3C0000}" name="Coluna15541"/>
    <tableColumn id="15547" xr3:uid="{00000000-0010-0000-0000-0000BB3C0000}" name="Coluna15542"/>
    <tableColumn id="15548" xr3:uid="{00000000-0010-0000-0000-0000BC3C0000}" name="Coluna15543"/>
    <tableColumn id="15549" xr3:uid="{00000000-0010-0000-0000-0000BD3C0000}" name="Coluna15544"/>
    <tableColumn id="15550" xr3:uid="{00000000-0010-0000-0000-0000BE3C0000}" name="Coluna15545"/>
    <tableColumn id="15551" xr3:uid="{00000000-0010-0000-0000-0000BF3C0000}" name="Coluna15546"/>
    <tableColumn id="15552" xr3:uid="{00000000-0010-0000-0000-0000C03C0000}" name="Coluna15547"/>
    <tableColumn id="15553" xr3:uid="{00000000-0010-0000-0000-0000C13C0000}" name="Coluna15548"/>
    <tableColumn id="15554" xr3:uid="{00000000-0010-0000-0000-0000C23C0000}" name="Coluna15549"/>
    <tableColumn id="15555" xr3:uid="{00000000-0010-0000-0000-0000C33C0000}" name="Coluna15550"/>
    <tableColumn id="15556" xr3:uid="{00000000-0010-0000-0000-0000C43C0000}" name="Coluna15551"/>
    <tableColumn id="15557" xr3:uid="{00000000-0010-0000-0000-0000C53C0000}" name="Coluna15552"/>
    <tableColumn id="15558" xr3:uid="{00000000-0010-0000-0000-0000C63C0000}" name="Coluna15553"/>
    <tableColumn id="15559" xr3:uid="{00000000-0010-0000-0000-0000C73C0000}" name="Coluna15554"/>
    <tableColumn id="15560" xr3:uid="{00000000-0010-0000-0000-0000C83C0000}" name="Coluna15555"/>
    <tableColumn id="15561" xr3:uid="{00000000-0010-0000-0000-0000C93C0000}" name="Coluna15556"/>
    <tableColumn id="15562" xr3:uid="{00000000-0010-0000-0000-0000CA3C0000}" name="Coluna15557"/>
    <tableColumn id="15563" xr3:uid="{00000000-0010-0000-0000-0000CB3C0000}" name="Coluna15558"/>
    <tableColumn id="15564" xr3:uid="{00000000-0010-0000-0000-0000CC3C0000}" name="Coluna15559"/>
    <tableColumn id="15565" xr3:uid="{00000000-0010-0000-0000-0000CD3C0000}" name="Coluna15560"/>
    <tableColumn id="15566" xr3:uid="{00000000-0010-0000-0000-0000CE3C0000}" name="Coluna15561"/>
    <tableColumn id="15567" xr3:uid="{00000000-0010-0000-0000-0000CF3C0000}" name="Coluna15562"/>
    <tableColumn id="15568" xr3:uid="{00000000-0010-0000-0000-0000D03C0000}" name="Coluna15563"/>
    <tableColumn id="15569" xr3:uid="{00000000-0010-0000-0000-0000D13C0000}" name="Coluna15564"/>
    <tableColumn id="15570" xr3:uid="{00000000-0010-0000-0000-0000D23C0000}" name="Coluna15565"/>
    <tableColumn id="15571" xr3:uid="{00000000-0010-0000-0000-0000D33C0000}" name="Coluna15566"/>
    <tableColumn id="15572" xr3:uid="{00000000-0010-0000-0000-0000D43C0000}" name="Coluna15567"/>
    <tableColumn id="15573" xr3:uid="{00000000-0010-0000-0000-0000D53C0000}" name="Coluna15568"/>
    <tableColumn id="15574" xr3:uid="{00000000-0010-0000-0000-0000D63C0000}" name="Coluna15569"/>
    <tableColumn id="15575" xr3:uid="{00000000-0010-0000-0000-0000D73C0000}" name="Coluna15570"/>
    <tableColumn id="15576" xr3:uid="{00000000-0010-0000-0000-0000D83C0000}" name="Coluna15571"/>
    <tableColumn id="15577" xr3:uid="{00000000-0010-0000-0000-0000D93C0000}" name="Coluna15572"/>
    <tableColumn id="15578" xr3:uid="{00000000-0010-0000-0000-0000DA3C0000}" name="Coluna15573"/>
    <tableColumn id="15579" xr3:uid="{00000000-0010-0000-0000-0000DB3C0000}" name="Coluna15574"/>
    <tableColumn id="15580" xr3:uid="{00000000-0010-0000-0000-0000DC3C0000}" name="Coluna15575"/>
    <tableColumn id="15581" xr3:uid="{00000000-0010-0000-0000-0000DD3C0000}" name="Coluna15576"/>
    <tableColumn id="15582" xr3:uid="{00000000-0010-0000-0000-0000DE3C0000}" name="Coluna15577"/>
    <tableColumn id="15583" xr3:uid="{00000000-0010-0000-0000-0000DF3C0000}" name="Coluna15578"/>
    <tableColumn id="15584" xr3:uid="{00000000-0010-0000-0000-0000E03C0000}" name="Coluna15579"/>
    <tableColumn id="15585" xr3:uid="{00000000-0010-0000-0000-0000E13C0000}" name="Coluna15580"/>
    <tableColumn id="15586" xr3:uid="{00000000-0010-0000-0000-0000E23C0000}" name="Coluna15581"/>
    <tableColumn id="15587" xr3:uid="{00000000-0010-0000-0000-0000E33C0000}" name="Coluna15582"/>
    <tableColumn id="15588" xr3:uid="{00000000-0010-0000-0000-0000E43C0000}" name="Coluna15583"/>
    <tableColumn id="15589" xr3:uid="{00000000-0010-0000-0000-0000E53C0000}" name="Coluna15584"/>
    <tableColumn id="15590" xr3:uid="{00000000-0010-0000-0000-0000E63C0000}" name="Coluna15585"/>
    <tableColumn id="15591" xr3:uid="{00000000-0010-0000-0000-0000E73C0000}" name="Coluna15586"/>
    <tableColumn id="15592" xr3:uid="{00000000-0010-0000-0000-0000E83C0000}" name="Coluna15587"/>
    <tableColumn id="15593" xr3:uid="{00000000-0010-0000-0000-0000E93C0000}" name="Coluna15588"/>
    <tableColumn id="15594" xr3:uid="{00000000-0010-0000-0000-0000EA3C0000}" name="Coluna15589"/>
    <tableColumn id="15595" xr3:uid="{00000000-0010-0000-0000-0000EB3C0000}" name="Coluna15590"/>
    <tableColumn id="15596" xr3:uid="{00000000-0010-0000-0000-0000EC3C0000}" name="Coluna15591"/>
    <tableColumn id="15597" xr3:uid="{00000000-0010-0000-0000-0000ED3C0000}" name="Coluna15592"/>
    <tableColumn id="15598" xr3:uid="{00000000-0010-0000-0000-0000EE3C0000}" name="Coluna15593"/>
    <tableColumn id="15599" xr3:uid="{00000000-0010-0000-0000-0000EF3C0000}" name="Coluna15594"/>
    <tableColumn id="15600" xr3:uid="{00000000-0010-0000-0000-0000F03C0000}" name="Coluna15595"/>
    <tableColumn id="15601" xr3:uid="{00000000-0010-0000-0000-0000F13C0000}" name="Coluna15596"/>
    <tableColumn id="15602" xr3:uid="{00000000-0010-0000-0000-0000F23C0000}" name="Coluna15597"/>
    <tableColumn id="15603" xr3:uid="{00000000-0010-0000-0000-0000F33C0000}" name="Coluna15598"/>
    <tableColumn id="15604" xr3:uid="{00000000-0010-0000-0000-0000F43C0000}" name="Coluna15599"/>
    <tableColumn id="15605" xr3:uid="{00000000-0010-0000-0000-0000F53C0000}" name="Coluna15600"/>
    <tableColumn id="15606" xr3:uid="{00000000-0010-0000-0000-0000F63C0000}" name="Coluna15601"/>
    <tableColumn id="15607" xr3:uid="{00000000-0010-0000-0000-0000F73C0000}" name="Coluna15602"/>
    <tableColumn id="15608" xr3:uid="{00000000-0010-0000-0000-0000F83C0000}" name="Coluna15603"/>
    <tableColumn id="15609" xr3:uid="{00000000-0010-0000-0000-0000F93C0000}" name="Coluna15604"/>
    <tableColumn id="15610" xr3:uid="{00000000-0010-0000-0000-0000FA3C0000}" name="Coluna15605"/>
    <tableColumn id="15611" xr3:uid="{00000000-0010-0000-0000-0000FB3C0000}" name="Coluna15606"/>
    <tableColumn id="15612" xr3:uid="{00000000-0010-0000-0000-0000FC3C0000}" name="Coluna15607"/>
    <tableColumn id="15613" xr3:uid="{00000000-0010-0000-0000-0000FD3C0000}" name="Coluna15608"/>
    <tableColumn id="15614" xr3:uid="{00000000-0010-0000-0000-0000FE3C0000}" name="Coluna15609"/>
    <tableColumn id="15615" xr3:uid="{00000000-0010-0000-0000-0000FF3C0000}" name="Coluna15610"/>
    <tableColumn id="15616" xr3:uid="{00000000-0010-0000-0000-0000003D0000}" name="Coluna15611"/>
    <tableColumn id="15617" xr3:uid="{00000000-0010-0000-0000-0000013D0000}" name="Coluna15612"/>
    <tableColumn id="15618" xr3:uid="{00000000-0010-0000-0000-0000023D0000}" name="Coluna15613"/>
    <tableColumn id="15619" xr3:uid="{00000000-0010-0000-0000-0000033D0000}" name="Coluna15614"/>
    <tableColumn id="15620" xr3:uid="{00000000-0010-0000-0000-0000043D0000}" name="Coluna15615"/>
    <tableColumn id="15621" xr3:uid="{00000000-0010-0000-0000-0000053D0000}" name="Coluna15616"/>
    <tableColumn id="15622" xr3:uid="{00000000-0010-0000-0000-0000063D0000}" name="Coluna15617"/>
    <tableColumn id="15623" xr3:uid="{00000000-0010-0000-0000-0000073D0000}" name="Coluna15618"/>
    <tableColumn id="15624" xr3:uid="{00000000-0010-0000-0000-0000083D0000}" name="Coluna15619"/>
    <tableColumn id="15625" xr3:uid="{00000000-0010-0000-0000-0000093D0000}" name="Coluna15620"/>
    <tableColumn id="15626" xr3:uid="{00000000-0010-0000-0000-00000A3D0000}" name="Coluna15621"/>
    <tableColumn id="15627" xr3:uid="{00000000-0010-0000-0000-00000B3D0000}" name="Coluna15622"/>
    <tableColumn id="15628" xr3:uid="{00000000-0010-0000-0000-00000C3D0000}" name="Coluna15623"/>
    <tableColumn id="15629" xr3:uid="{00000000-0010-0000-0000-00000D3D0000}" name="Coluna15624"/>
    <tableColumn id="15630" xr3:uid="{00000000-0010-0000-0000-00000E3D0000}" name="Coluna15625"/>
    <tableColumn id="15631" xr3:uid="{00000000-0010-0000-0000-00000F3D0000}" name="Coluna15626"/>
    <tableColumn id="15632" xr3:uid="{00000000-0010-0000-0000-0000103D0000}" name="Coluna15627"/>
    <tableColumn id="15633" xr3:uid="{00000000-0010-0000-0000-0000113D0000}" name="Coluna15628"/>
    <tableColumn id="15634" xr3:uid="{00000000-0010-0000-0000-0000123D0000}" name="Coluna15629"/>
    <tableColumn id="15635" xr3:uid="{00000000-0010-0000-0000-0000133D0000}" name="Coluna15630"/>
    <tableColumn id="15636" xr3:uid="{00000000-0010-0000-0000-0000143D0000}" name="Coluna15631"/>
    <tableColumn id="15637" xr3:uid="{00000000-0010-0000-0000-0000153D0000}" name="Coluna15632"/>
    <tableColumn id="15638" xr3:uid="{00000000-0010-0000-0000-0000163D0000}" name="Coluna15633"/>
    <tableColumn id="15639" xr3:uid="{00000000-0010-0000-0000-0000173D0000}" name="Coluna15634"/>
    <tableColumn id="15640" xr3:uid="{00000000-0010-0000-0000-0000183D0000}" name="Coluna15635"/>
    <tableColumn id="15641" xr3:uid="{00000000-0010-0000-0000-0000193D0000}" name="Coluna15636"/>
    <tableColumn id="15642" xr3:uid="{00000000-0010-0000-0000-00001A3D0000}" name="Coluna15637"/>
    <tableColumn id="15643" xr3:uid="{00000000-0010-0000-0000-00001B3D0000}" name="Coluna15638"/>
    <tableColumn id="15644" xr3:uid="{00000000-0010-0000-0000-00001C3D0000}" name="Coluna15639"/>
    <tableColumn id="15645" xr3:uid="{00000000-0010-0000-0000-00001D3D0000}" name="Coluna15640"/>
    <tableColumn id="15646" xr3:uid="{00000000-0010-0000-0000-00001E3D0000}" name="Coluna15641"/>
    <tableColumn id="15647" xr3:uid="{00000000-0010-0000-0000-00001F3D0000}" name="Coluna15642"/>
    <tableColumn id="15648" xr3:uid="{00000000-0010-0000-0000-0000203D0000}" name="Coluna15643"/>
    <tableColumn id="15649" xr3:uid="{00000000-0010-0000-0000-0000213D0000}" name="Coluna15644"/>
    <tableColumn id="15650" xr3:uid="{00000000-0010-0000-0000-0000223D0000}" name="Coluna15645"/>
    <tableColumn id="15651" xr3:uid="{00000000-0010-0000-0000-0000233D0000}" name="Coluna15646"/>
    <tableColumn id="15652" xr3:uid="{00000000-0010-0000-0000-0000243D0000}" name="Coluna15647"/>
    <tableColumn id="15653" xr3:uid="{00000000-0010-0000-0000-0000253D0000}" name="Coluna15648"/>
    <tableColumn id="15654" xr3:uid="{00000000-0010-0000-0000-0000263D0000}" name="Coluna15649"/>
    <tableColumn id="15655" xr3:uid="{00000000-0010-0000-0000-0000273D0000}" name="Coluna15650"/>
    <tableColumn id="15656" xr3:uid="{00000000-0010-0000-0000-0000283D0000}" name="Coluna15651"/>
    <tableColumn id="15657" xr3:uid="{00000000-0010-0000-0000-0000293D0000}" name="Coluna15652"/>
    <tableColumn id="15658" xr3:uid="{00000000-0010-0000-0000-00002A3D0000}" name="Coluna15653"/>
    <tableColumn id="15659" xr3:uid="{00000000-0010-0000-0000-00002B3D0000}" name="Coluna15654"/>
    <tableColumn id="15660" xr3:uid="{00000000-0010-0000-0000-00002C3D0000}" name="Coluna15655"/>
    <tableColumn id="15661" xr3:uid="{00000000-0010-0000-0000-00002D3D0000}" name="Coluna15656"/>
    <tableColumn id="15662" xr3:uid="{00000000-0010-0000-0000-00002E3D0000}" name="Coluna15657"/>
    <tableColumn id="15663" xr3:uid="{00000000-0010-0000-0000-00002F3D0000}" name="Coluna15658"/>
    <tableColumn id="15664" xr3:uid="{00000000-0010-0000-0000-0000303D0000}" name="Coluna15659"/>
    <tableColumn id="15665" xr3:uid="{00000000-0010-0000-0000-0000313D0000}" name="Coluna15660"/>
    <tableColumn id="15666" xr3:uid="{00000000-0010-0000-0000-0000323D0000}" name="Coluna15661"/>
    <tableColumn id="15667" xr3:uid="{00000000-0010-0000-0000-0000333D0000}" name="Coluna15662"/>
    <tableColumn id="15668" xr3:uid="{00000000-0010-0000-0000-0000343D0000}" name="Coluna15663"/>
    <tableColumn id="15669" xr3:uid="{00000000-0010-0000-0000-0000353D0000}" name="Coluna15664"/>
    <tableColumn id="15670" xr3:uid="{00000000-0010-0000-0000-0000363D0000}" name="Coluna15665"/>
    <tableColumn id="15671" xr3:uid="{00000000-0010-0000-0000-0000373D0000}" name="Coluna15666"/>
    <tableColumn id="15672" xr3:uid="{00000000-0010-0000-0000-0000383D0000}" name="Coluna15667"/>
    <tableColumn id="15673" xr3:uid="{00000000-0010-0000-0000-0000393D0000}" name="Coluna15668"/>
    <tableColumn id="15674" xr3:uid="{00000000-0010-0000-0000-00003A3D0000}" name="Coluna15669"/>
    <tableColumn id="15675" xr3:uid="{00000000-0010-0000-0000-00003B3D0000}" name="Coluna15670"/>
    <tableColumn id="15676" xr3:uid="{00000000-0010-0000-0000-00003C3D0000}" name="Coluna15671"/>
    <tableColumn id="15677" xr3:uid="{00000000-0010-0000-0000-00003D3D0000}" name="Coluna15672"/>
    <tableColumn id="15678" xr3:uid="{00000000-0010-0000-0000-00003E3D0000}" name="Coluna15673"/>
    <tableColumn id="15679" xr3:uid="{00000000-0010-0000-0000-00003F3D0000}" name="Coluna15674"/>
    <tableColumn id="15680" xr3:uid="{00000000-0010-0000-0000-0000403D0000}" name="Coluna15675"/>
    <tableColumn id="15681" xr3:uid="{00000000-0010-0000-0000-0000413D0000}" name="Coluna15676"/>
    <tableColumn id="15682" xr3:uid="{00000000-0010-0000-0000-0000423D0000}" name="Coluna15677"/>
    <tableColumn id="15683" xr3:uid="{00000000-0010-0000-0000-0000433D0000}" name="Coluna15678"/>
    <tableColumn id="15684" xr3:uid="{00000000-0010-0000-0000-0000443D0000}" name="Coluna15679"/>
    <tableColumn id="15685" xr3:uid="{00000000-0010-0000-0000-0000453D0000}" name="Coluna15680"/>
    <tableColumn id="15686" xr3:uid="{00000000-0010-0000-0000-0000463D0000}" name="Coluna15681"/>
    <tableColumn id="15687" xr3:uid="{00000000-0010-0000-0000-0000473D0000}" name="Coluna15682"/>
    <tableColumn id="15688" xr3:uid="{00000000-0010-0000-0000-0000483D0000}" name="Coluna15683"/>
    <tableColumn id="15689" xr3:uid="{00000000-0010-0000-0000-0000493D0000}" name="Coluna15684"/>
    <tableColumn id="15690" xr3:uid="{00000000-0010-0000-0000-00004A3D0000}" name="Coluna15685"/>
    <tableColumn id="15691" xr3:uid="{00000000-0010-0000-0000-00004B3D0000}" name="Coluna15686"/>
    <tableColumn id="15692" xr3:uid="{00000000-0010-0000-0000-00004C3D0000}" name="Coluna15687"/>
    <tableColumn id="15693" xr3:uid="{00000000-0010-0000-0000-00004D3D0000}" name="Coluna15688"/>
    <tableColumn id="15694" xr3:uid="{00000000-0010-0000-0000-00004E3D0000}" name="Coluna15689"/>
    <tableColumn id="15695" xr3:uid="{00000000-0010-0000-0000-00004F3D0000}" name="Coluna15690"/>
    <tableColumn id="15696" xr3:uid="{00000000-0010-0000-0000-0000503D0000}" name="Coluna15691"/>
    <tableColumn id="15697" xr3:uid="{00000000-0010-0000-0000-0000513D0000}" name="Coluna15692"/>
    <tableColumn id="15698" xr3:uid="{00000000-0010-0000-0000-0000523D0000}" name="Coluna15693"/>
    <tableColumn id="15699" xr3:uid="{00000000-0010-0000-0000-0000533D0000}" name="Coluna15694"/>
    <tableColumn id="15700" xr3:uid="{00000000-0010-0000-0000-0000543D0000}" name="Coluna15695"/>
    <tableColumn id="15701" xr3:uid="{00000000-0010-0000-0000-0000553D0000}" name="Coluna15696"/>
    <tableColumn id="15702" xr3:uid="{00000000-0010-0000-0000-0000563D0000}" name="Coluna15697"/>
    <tableColumn id="15703" xr3:uid="{00000000-0010-0000-0000-0000573D0000}" name="Coluna15698"/>
    <tableColumn id="15704" xr3:uid="{00000000-0010-0000-0000-0000583D0000}" name="Coluna15699"/>
    <tableColumn id="15705" xr3:uid="{00000000-0010-0000-0000-0000593D0000}" name="Coluna15700"/>
    <tableColumn id="15706" xr3:uid="{00000000-0010-0000-0000-00005A3D0000}" name="Coluna15701"/>
    <tableColumn id="15707" xr3:uid="{00000000-0010-0000-0000-00005B3D0000}" name="Coluna15702"/>
    <tableColumn id="15708" xr3:uid="{00000000-0010-0000-0000-00005C3D0000}" name="Coluna15703"/>
    <tableColumn id="15709" xr3:uid="{00000000-0010-0000-0000-00005D3D0000}" name="Coluna15704"/>
    <tableColumn id="15710" xr3:uid="{00000000-0010-0000-0000-00005E3D0000}" name="Coluna15705"/>
    <tableColumn id="15711" xr3:uid="{00000000-0010-0000-0000-00005F3D0000}" name="Coluna15706"/>
    <tableColumn id="15712" xr3:uid="{00000000-0010-0000-0000-0000603D0000}" name="Coluna15707"/>
    <tableColumn id="15713" xr3:uid="{00000000-0010-0000-0000-0000613D0000}" name="Coluna15708"/>
    <tableColumn id="15714" xr3:uid="{00000000-0010-0000-0000-0000623D0000}" name="Coluna15709"/>
    <tableColumn id="15715" xr3:uid="{00000000-0010-0000-0000-0000633D0000}" name="Coluna15710"/>
    <tableColumn id="15716" xr3:uid="{00000000-0010-0000-0000-0000643D0000}" name="Coluna15711"/>
    <tableColumn id="15717" xr3:uid="{00000000-0010-0000-0000-0000653D0000}" name="Coluna15712"/>
    <tableColumn id="15718" xr3:uid="{00000000-0010-0000-0000-0000663D0000}" name="Coluna15713"/>
    <tableColumn id="15719" xr3:uid="{00000000-0010-0000-0000-0000673D0000}" name="Coluna15714"/>
    <tableColumn id="15720" xr3:uid="{00000000-0010-0000-0000-0000683D0000}" name="Coluna15715"/>
    <tableColumn id="15721" xr3:uid="{00000000-0010-0000-0000-0000693D0000}" name="Coluna15716"/>
    <tableColumn id="15722" xr3:uid="{00000000-0010-0000-0000-00006A3D0000}" name="Coluna15717"/>
    <tableColumn id="15723" xr3:uid="{00000000-0010-0000-0000-00006B3D0000}" name="Coluna15718"/>
    <tableColumn id="15724" xr3:uid="{00000000-0010-0000-0000-00006C3D0000}" name="Coluna15719"/>
    <tableColumn id="15725" xr3:uid="{00000000-0010-0000-0000-00006D3D0000}" name="Coluna15720"/>
    <tableColumn id="15726" xr3:uid="{00000000-0010-0000-0000-00006E3D0000}" name="Coluna15721"/>
    <tableColumn id="15727" xr3:uid="{00000000-0010-0000-0000-00006F3D0000}" name="Coluna15722"/>
    <tableColumn id="15728" xr3:uid="{00000000-0010-0000-0000-0000703D0000}" name="Coluna15723"/>
    <tableColumn id="15729" xr3:uid="{00000000-0010-0000-0000-0000713D0000}" name="Coluna15724"/>
    <tableColumn id="15730" xr3:uid="{00000000-0010-0000-0000-0000723D0000}" name="Coluna15725"/>
    <tableColumn id="15731" xr3:uid="{00000000-0010-0000-0000-0000733D0000}" name="Coluna15726"/>
    <tableColumn id="15732" xr3:uid="{00000000-0010-0000-0000-0000743D0000}" name="Coluna15727"/>
    <tableColumn id="15733" xr3:uid="{00000000-0010-0000-0000-0000753D0000}" name="Coluna15728"/>
    <tableColumn id="15734" xr3:uid="{00000000-0010-0000-0000-0000763D0000}" name="Coluna15729"/>
    <tableColumn id="15735" xr3:uid="{00000000-0010-0000-0000-0000773D0000}" name="Coluna15730"/>
    <tableColumn id="15736" xr3:uid="{00000000-0010-0000-0000-0000783D0000}" name="Coluna15731"/>
    <tableColumn id="15737" xr3:uid="{00000000-0010-0000-0000-0000793D0000}" name="Coluna15732"/>
    <tableColumn id="15738" xr3:uid="{00000000-0010-0000-0000-00007A3D0000}" name="Coluna15733"/>
    <tableColumn id="15739" xr3:uid="{00000000-0010-0000-0000-00007B3D0000}" name="Coluna15734"/>
    <tableColumn id="15740" xr3:uid="{00000000-0010-0000-0000-00007C3D0000}" name="Coluna15735"/>
    <tableColumn id="15741" xr3:uid="{00000000-0010-0000-0000-00007D3D0000}" name="Coluna15736"/>
    <tableColumn id="15742" xr3:uid="{00000000-0010-0000-0000-00007E3D0000}" name="Coluna15737"/>
    <tableColumn id="15743" xr3:uid="{00000000-0010-0000-0000-00007F3D0000}" name="Coluna15738"/>
    <tableColumn id="15744" xr3:uid="{00000000-0010-0000-0000-0000803D0000}" name="Coluna15739"/>
    <tableColumn id="15745" xr3:uid="{00000000-0010-0000-0000-0000813D0000}" name="Coluna15740"/>
    <tableColumn id="15746" xr3:uid="{00000000-0010-0000-0000-0000823D0000}" name="Coluna15741"/>
    <tableColumn id="15747" xr3:uid="{00000000-0010-0000-0000-0000833D0000}" name="Coluna15742"/>
    <tableColumn id="15748" xr3:uid="{00000000-0010-0000-0000-0000843D0000}" name="Coluna15743"/>
    <tableColumn id="15749" xr3:uid="{00000000-0010-0000-0000-0000853D0000}" name="Coluna15744"/>
    <tableColumn id="15750" xr3:uid="{00000000-0010-0000-0000-0000863D0000}" name="Coluna15745"/>
    <tableColumn id="15751" xr3:uid="{00000000-0010-0000-0000-0000873D0000}" name="Coluna15746"/>
    <tableColumn id="15752" xr3:uid="{00000000-0010-0000-0000-0000883D0000}" name="Coluna15747"/>
    <tableColumn id="15753" xr3:uid="{00000000-0010-0000-0000-0000893D0000}" name="Coluna15748"/>
    <tableColumn id="15754" xr3:uid="{00000000-0010-0000-0000-00008A3D0000}" name="Coluna15749"/>
    <tableColumn id="15755" xr3:uid="{00000000-0010-0000-0000-00008B3D0000}" name="Coluna15750"/>
    <tableColumn id="15756" xr3:uid="{00000000-0010-0000-0000-00008C3D0000}" name="Coluna15751"/>
    <tableColumn id="15757" xr3:uid="{00000000-0010-0000-0000-00008D3D0000}" name="Coluna15752"/>
    <tableColumn id="15758" xr3:uid="{00000000-0010-0000-0000-00008E3D0000}" name="Coluna15753"/>
    <tableColumn id="15759" xr3:uid="{00000000-0010-0000-0000-00008F3D0000}" name="Coluna15754"/>
    <tableColumn id="15760" xr3:uid="{00000000-0010-0000-0000-0000903D0000}" name="Coluna15755"/>
    <tableColumn id="15761" xr3:uid="{00000000-0010-0000-0000-0000913D0000}" name="Coluna15756"/>
    <tableColumn id="15762" xr3:uid="{00000000-0010-0000-0000-0000923D0000}" name="Coluna15757"/>
    <tableColumn id="15763" xr3:uid="{00000000-0010-0000-0000-0000933D0000}" name="Coluna15758"/>
    <tableColumn id="15764" xr3:uid="{00000000-0010-0000-0000-0000943D0000}" name="Coluna15759"/>
    <tableColumn id="15765" xr3:uid="{00000000-0010-0000-0000-0000953D0000}" name="Coluna15760"/>
    <tableColumn id="15766" xr3:uid="{00000000-0010-0000-0000-0000963D0000}" name="Coluna15761"/>
    <tableColumn id="15767" xr3:uid="{00000000-0010-0000-0000-0000973D0000}" name="Coluna15762"/>
    <tableColumn id="15768" xr3:uid="{00000000-0010-0000-0000-0000983D0000}" name="Coluna15763"/>
    <tableColumn id="15769" xr3:uid="{00000000-0010-0000-0000-0000993D0000}" name="Coluna15764"/>
    <tableColumn id="15770" xr3:uid="{00000000-0010-0000-0000-00009A3D0000}" name="Coluna15765"/>
    <tableColumn id="15771" xr3:uid="{00000000-0010-0000-0000-00009B3D0000}" name="Coluna15766"/>
    <tableColumn id="15772" xr3:uid="{00000000-0010-0000-0000-00009C3D0000}" name="Coluna15767"/>
    <tableColumn id="15773" xr3:uid="{00000000-0010-0000-0000-00009D3D0000}" name="Coluna15768"/>
    <tableColumn id="15774" xr3:uid="{00000000-0010-0000-0000-00009E3D0000}" name="Coluna15769"/>
    <tableColumn id="15775" xr3:uid="{00000000-0010-0000-0000-00009F3D0000}" name="Coluna15770"/>
    <tableColumn id="15776" xr3:uid="{00000000-0010-0000-0000-0000A03D0000}" name="Coluna15771"/>
    <tableColumn id="15777" xr3:uid="{00000000-0010-0000-0000-0000A13D0000}" name="Coluna15772"/>
    <tableColumn id="15778" xr3:uid="{00000000-0010-0000-0000-0000A23D0000}" name="Coluna15773"/>
    <tableColumn id="15779" xr3:uid="{00000000-0010-0000-0000-0000A33D0000}" name="Coluna15774"/>
    <tableColumn id="15780" xr3:uid="{00000000-0010-0000-0000-0000A43D0000}" name="Coluna15775"/>
    <tableColumn id="15781" xr3:uid="{00000000-0010-0000-0000-0000A53D0000}" name="Coluna15776"/>
    <tableColumn id="15782" xr3:uid="{00000000-0010-0000-0000-0000A63D0000}" name="Coluna15777"/>
    <tableColumn id="15783" xr3:uid="{00000000-0010-0000-0000-0000A73D0000}" name="Coluna15778"/>
    <tableColumn id="15784" xr3:uid="{00000000-0010-0000-0000-0000A83D0000}" name="Coluna15779"/>
    <tableColumn id="15785" xr3:uid="{00000000-0010-0000-0000-0000A93D0000}" name="Coluna15780"/>
    <tableColumn id="15786" xr3:uid="{00000000-0010-0000-0000-0000AA3D0000}" name="Coluna15781"/>
    <tableColumn id="15787" xr3:uid="{00000000-0010-0000-0000-0000AB3D0000}" name="Coluna15782"/>
    <tableColumn id="15788" xr3:uid="{00000000-0010-0000-0000-0000AC3D0000}" name="Coluna15783"/>
    <tableColumn id="15789" xr3:uid="{00000000-0010-0000-0000-0000AD3D0000}" name="Coluna15784"/>
    <tableColumn id="15790" xr3:uid="{00000000-0010-0000-0000-0000AE3D0000}" name="Coluna15785"/>
    <tableColumn id="15791" xr3:uid="{00000000-0010-0000-0000-0000AF3D0000}" name="Coluna15786"/>
    <tableColumn id="15792" xr3:uid="{00000000-0010-0000-0000-0000B03D0000}" name="Coluna15787"/>
    <tableColumn id="15793" xr3:uid="{00000000-0010-0000-0000-0000B13D0000}" name="Coluna15788"/>
    <tableColumn id="15794" xr3:uid="{00000000-0010-0000-0000-0000B23D0000}" name="Coluna15789"/>
    <tableColumn id="15795" xr3:uid="{00000000-0010-0000-0000-0000B33D0000}" name="Coluna15790"/>
    <tableColumn id="15796" xr3:uid="{00000000-0010-0000-0000-0000B43D0000}" name="Coluna15791"/>
    <tableColumn id="15797" xr3:uid="{00000000-0010-0000-0000-0000B53D0000}" name="Coluna15792"/>
    <tableColumn id="15798" xr3:uid="{00000000-0010-0000-0000-0000B63D0000}" name="Coluna15793"/>
    <tableColumn id="15799" xr3:uid="{00000000-0010-0000-0000-0000B73D0000}" name="Coluna15794"/>
    <tableColumn id="15800" xr3:uid="{00000000-0010-0000-0000-0000B83D0000}" name="Coluna15795"/>
    <tableColumn id="15801" xr3:uid="{00000000-0010-0000-0000-0000B93D0000}" name="Coluna15796"/>
    <tableColumn id="15802" xr3:uid="{00000000-0010-0000-0000-0000BA3D0000}" name="Coluna15797"/>
    <tableColumn id="15803" xr3:uid="{00000000-0010-0000-0000-0000BB3D0000}" name="Coluna15798"/>
    <tableColumn id="15804" xr3:uid="{00000000-0010-0000-0000-0000BC3D0000}" name="Coluna15799"/>
    <tableColumn id="15805" xr3:uid="{00000000-0010-0000-0000-0000BD3D0000}" name="Coluna15800"/>
    <tableColumn id="15806" xr3:uid="{00000000-0010-0000-0000-0000BE3D0000}" name="Coluna15801"/>
    <tableColumn id="15807" xr3:uid="{00000000-0010-0000-0000-0000BF3D0000}" name="Coluna15802"/>
    <tableColumn id="15808" xr3:uid="{00000000-0010-0000-0000-0000C03D0000}" name="Coluna15803"/>
    <tableColumn id="15809" xr3:uid="{00000000-0010-0000-0000-0000C13D0000}" name="Coluna15804"/>
    <tableColumn id="15810" xr3:uid="{00000000-0010-0000-0000-0000C23D0000}" name="Coluna15805"/>
    <tableColumn id="15811" xr3:uid="{00000000-0010-0000-0000-0000C33D0000}" name="Coluna15806"/>
    <tableColumn id="15812" xr3:uid="{00000000-0010-0000-0000-0000C43D0000}" name="Coluna15807"/>
    <tableColumn id="15813" xr3:uid="{00000000-0010-0000-0000-0000C53D0000}" name="Coluna15808"/>
    <tableColumn id="15814" xr3:uid="{00000000-0010-0000-0000-0000C63D0000}" name="Coluna15809"/>
    <tableColumn id="15815" xr3:uid="{00000000-0010-0000-0000-0000C73D0000}" name="Coluna15810"/>
    <tableColumn id="15816" xr3:uid="{00000000-0010-0000-0000-0000C83D0000}" name="Coluna15811"/>
    <tableColumn id="15817" xr3:uid="{00000000-0010-0000-0000-0000C93D0000}" name="Coluna15812"/>
    <tableColumn id="15818" xr3:uid="{00000000-0010-0000-0000-0000CA3D0000}" name="Coluna15813"/>
    <tableColumn id="15819" xr3:uid="{00000000-0010-0000-0000-0000CB3D0000}" name="Coluna15814"/>
    <tableColumn id="15820" xr3:uid="{00000000-0010-0000-0000-0000CC3D0000}" name="Coluna15815"/>
    <tableColumn id="15821" xr3:uid="{00000000-0010-0000-0000-0000CD3D0000}" name="Coluna15816"/>
    <tableColumn id="15822" xr3:uid="{00000000-0010-0000-0000-0000CE3D0000}" name="Coluna15817"/>
    <tableColumn id="15823" xr3:uid="{00000000-0010-0000-0000-0000CF3D0000}" name="Coluna15818"/>
    <tableColumn id="15824" xr3:uid="{00000000-0010-0000-0000-0000D03D0000}" name="Coluna15819"/>
    <tableColumn id="15825" xr3:uid="{00000000-0010-0000-0000-0000D13D0000}" name="Coluna15820"/>
    <tableColumn id="15826" xr3:uid="{00000000-0010-0000-0000-0000D23D0000}" name="Coluna15821"/>
    <tableColumn id="15827" xr3:uid="{00000000-0010-0000-0000-0000D33D0000}" name="Coluna15822"/>
    <tableColumn id="15828" xr3:uid="{00000000-0010-0000-0000-0000D43D0000}" name="Coluna15823"/>
    <tableColumn id="15829" xr3:uid="{00000000-0010-0000-0000-0000D53D0000}" name="Coluna15824"/>
    <tableColumn id="15830" xr3:uid="{00000000-0010-0000-0000-0000D63D0000}" name="Coluna15825"/>
    <tableColumn id="15831" xr3:uid="{00000000-0010-0000-0000-0000D73D0000}" name="Coluna15826"/>
    <tableColumn id="15832" xr3:uid="{00000000-0010-0000-0000-0000D83D0000}" name="Coluna15827"/>
    <tableColumn id="15833" xr3:uid="{00000000-0010-0000-0000-0000D93D0000}" name="Coluna15828"/>
    <tableColumn id="15834" xr3:uid="{00000000-0010-0000-0000-0000DA3D0000}" name="Coluna15829"/>
    <tableColumn id="15835" xr3:uid="{00000000-0010-0000-0000-0000DB3D0000}" name="Coluna15830"/>
    <tableColumn id="15836" xr3:uid="{00000000-0010-0000-0000-0000DC3D0000}" name="Coluna15831"/>
    <tableColumn id="15837" xr3:uid="{00000000-0010-0000-0000-0000DD3D0000}" name="Coluna15832"/>
    <tableColumn id="15838" xr3:uid="{00000000-0010-0000-0000-0000DE3D0000}" name="Coluna15833"/>
    <tableColumn id="15839" xr3:uid="{00000000-0010-0000-0000-0000DF3D0000}" name="Coluna15834"/>
    <tableColumn id="15840" xr3:uid="{00000000-0010-0000-0000-0000E03D0000}" name="Coluna15835"/>
    <tableColumn id="15841" xr3:uid="{00000000-0010-0000-0000-0000E13D0000}" name="Coluna15836"/>
    <tableColumn id="15842" xr3:uid="{00000000-0010-0000-0000-0000E23D0000}" name="Coluna15837"/>
    <tableColumn id="15843" xr3:uid="{00000000-0010-0000-0000-0000E33D0000}" name="Coluna15838"/>
    <tableColumn id="15844" xr3:uid="{00000000-0010-0000-0000-0000E43D0000}" name="Coluna15839"/>
    <tableColumn id="15845" xr3:uid="{00000000-0010-0000-0000-0000E53D0000}" name="Coluna15840"/>
    <tableColumn id="15846" xr3:uid="{00000000-0010-0000-0000-0000E63D0000}" name="Coluna15841"/>
    <tableColumn id="15847" xr3:uid="{00000000-0010-0000-0000-0000E73D0000}" name="Coluna15842"/>
    <tableColumn id="15848" xr3:uid="{00000000-0010-0000-0000-0000E83D0000}" name="Coluna15843"/>
    <tableColumn id="15849" xr3:uid="{00000000-0010-0000-0000-0000E93D0000}" name="Coluna15844"/>
    <tableColumn id="15850" xr3:uid="{00000000-0010-0000-0000-0000EA3D0000}" name="Coluna15845"/>
    <tableColumn id="15851" xr3:uid="{00000000-0010-0000-0000-0000EB3D0000}" name="Coluna15846"/>
    <tableColumn id="15852" xr3:uid="{00000000-0010-0000-0000-0000EC3D0000}" name="Coluna15847"/>
    <tableColumn id="15853" xr3:uid="{00000000-0010-0000-0000-0000ED3D0000}" name="Coluna15848"/>
    <tableColumn id="15854" xr3:uid="{00000000-0010-0000-0000-0000EE3D0000}" name="Coluna15849"/>
    <tableColumn id="15855" xr3:uid="{00000000-0010-0000-0000-0000EF3D0000}" name="Coluna15850"/>
    <tableColumn id="15856" xr3:uid="{00000000-0010-0000-0000-0000F03D0000}" name="Coluna15851"/>
    <tableColumn id="15857" xr3:uid="{00000000-0010-0000-0000-0000F13D0000}" name="Coluna15852"/>
    <tableColumn id="15858" xr3:uid="{00000000-0010-0000-0000-0000F23D0000}" name="Coluna15853"/>
    <tableColumn id="15859" xr3:uid="{00000000-0010-0000-0000-0000F33D0000}" name="Coluna15854"/>
    <tableColumn id="15860" xr3:uid="{00000000-0010-0000-0000-0000F43D0000}" name="Coluna15855"/>
    <tableColumn id="15861" xr3:uid="{00000000-0010-0000-0000-0000F53D0000}" name="Coluna15856"/>
    <tableColumn id="15862" xr3:uid="{00000000-0010-0000-0000-0000F63D0000}" name="Coluna15857"/>
    <tableColumn id="15863" xr3:uid="{00000000-0010-0000-0000-0000F73D0000}" name="Coluna15858"/>
    <tableColumn id="15864" xr3:uid="{00000000-0010-0000-0000-0000F83D0000}" name="Coluna15859"/>
    <tableColumn id="15865" xr3:uid="{00000000-0010-0000-0000-0000F93D0000}" name="Coluna15860"/>
    <tableColumn id="15866" xr3:uid="{00000000-0010-0000-0000-0000FA3D0000}" name="Coluna15861"/>
    <tableColumn id="15867" xr3:uid="{00000000-0010-0000-0000-0000FB3D0000}" name="Coluna15862"/>
    <tableColumn id="15868" xr3:uid="{00000000-0010-0000-0000-0000FC3D0000}" name="Coluna15863"/>
    <tableColumn id="15869" xr3:uid="{00000000-0010-0000-0000-0000FD3D0000}" name="Coluna15864"/>
    <tableColumn id="15870" xr3:uid="{00000000-0010-0000-0000-0000FE3D0000}" name="Coluna15865"/>
    <tableColumn id="15871" xr3:uid="{00000000-0010-0000-0000-0000FF3D0000}" name="Coluna15866"/>
    <tableColumn id="15872" xr3:uid="{00000000-0010-0000-0000-0000003E0000}" name="Coluna15867"/>
    <tableColumn id="15873" xr3:uid="{00000000-0010-0000-0000-0000013E0000}" name="Coluna15868"/>
    <tableColumn id="15874" xr3:uid="{00000000-0010-0000-0000-0000023E0000}" name="Coluna15869"/>
    <tableColumn id="15875" xr3:uid="{00000000-0010-0000-0000-0000033E0000}" name="Coluna15870"/>
    <tableColumn id="15876" xr3:uid="{00000000-0010-0000-0000-0000043E0000}" name="Coluna15871"/>
    <tableColumn id="15877" xr3:uid="{00000000-0010-0000-0000-0000053E0000}" name="Coluna15872"/>
    <tableColumn id="15878" xr3:uid="{00000000-0010-0000-0000-0000063E0000}" name="Coluna15873"/>
    <tableColumn id="15879" xr3:uid="{00000000-0010-0000-0000-0000073E0000}" name="Coluna15874"/>
    <tableColumn id="15880" xr3:uid="{00000000-0010-0000-0000-0000083E0000}" name="Coluna15875"/>
    <tableColumn id="15881" xr3:uid="{00000000-0010-0000-0000-0000093E0000}" name="Coluna15876"/>
    <tableColumn id="15882" xr3:uid="{00000000-0010-0000-0000-00000A3E0000}" name="Coluna15877"/>
    <tableColumn id="15883" xr3:uid="{00000000-0010-0000-0000-00000B3E0000}" name="Coluna15878"/>
    <tableColumn id="15884" xr3:uid="{00000000-0010-0000-0000-00000C3E0000}" name="Coluna15879"/>
    <tableColumn id="15885" xr3:uid="{00000000-0010-0000-0000-00000D3E0000}" name="Coluna15880"/>
    <tableColumn id="15886" xr3:uid="{00000000-0010-0000-0000-00000E3E0000}" name="Coluna15881"/>
    <tableColumn id="15887" xr3:uid="{00000000-0010-0000-0000-00000F3E0000}" name="Coluna15882"/>
    <tableColumn id="15888" xr3:uid="{00000000-0010-0000-0000-0000103E0000}" name="Coluna15883"/>
    <tableColumn id="15889" xr3:uid="{00000000-0010-0000-0000-0000113E0000}" name="Coluna15884"/>
    <tableColumn id="15890" xr3:uid="{00000000-0010-0000-0000-0000123E0000}" name="Coluna15885"/>
    <tableColumn id="15891" xr3:uid="{00000000-0010-0000-0000-0000133E0000}" name="Coluna15886"/>
    <tableColumn id="15892" xr3:uid="{00000000-0010-0000-0000-0000143E0000}" name="Coluna15887"/>
    <tableColumn id="15893" xr3:uid="{00000000-0010-0000-0000-0000153E0000}" name="Coluna15888"/>
    <tableColumn id="15894" xr3:uid="{00000000-0010-0000-0000-0000163E0000}" name="Coluna15889"/>
    <tableColumn id="15895" xr3:uid="{00000000-0010-0000-0000-0000173E0000}" name="Coluna15890"/>
    <tableColumn id="15896" xr3:uid="{00000000-0010-0000-0000-0000183E0000}" name="Coluna15891"/>
    <tableColumn id="15897" xr3:uid="{00000000-0010-0000-0000-0000193E0000}" name="Coluna15892"/>
    <tableColumn id="15898" xr3:uid="{00000000-0010-0000-0000-00001A3E0000}" name="Coluna15893"/>
    <tableColumn id="15899" xr3:uid="{00000000-0010-0000-0000-00001B3E0000}" name="Coluna15894"/>
    <tableColumn id="15900" xr3:uid="{00000000-0010-0000-0000-00001C3E0000}" name="Coluna15895"/>
    <tableColumn id="15901" xr3:uid="{00000000-0010-0000-0000-00001D3E0000}" name="Coluna15896"/>
    <tableColumn id="15902" xr3:uid="{00000000-0010-0000-0000-00001E3E0000}" name="Coluna15897"/>
    <tableColumn id="15903" xr3:uid="{00000000-0010-0000-0000-00001F3E0000}" name="Coluna15898"/>
    <tableColumn id="15904" xr3:uid="{00000000-0010-0000-0000-0000203E0000}" name="Coluna15899"/>
    <tableColumn id="15905" xr3:uid="{00000000-0010-0000-0000-0000213E0000}" name="Coluna15900"/>
    <tableColumn id="15906" xr3:uid="{00000000-0010-0000-0000-0000223E0000}" name="Coluna15901"/>
    <tableColumn id="15907" xr3:uid="{00000000-0010-0000-0000-0000233E0000}" name="Coluna15902"/>
    <tableColumn id="15908" xr3:uid="{00000000-0010-0000-0000-0000243E0000}" name="Coluna15903"/>
    <tableColumn id="15909" xr3:uid="{00000000-0010-0000-0000-0000253E0000}" name="Coluna15904"/>
    <tableColumn id="15910" xr3:uid="{00000000-0010-0000-0000-0000263E0000}" name="Coluna15905"/>
    <tableColumn id="15911" xr3:uid="{00000000-0010-0000-0000-0000273E0000}" name="Coluna15906"/>
    <tableColumn id="15912" xr3:uid="{00000000-0010-0000-0000-0000283E0000}" name="Coluna15907"/>
    <tableColumn id="15913" xr3:uid="{00000000-0010-0000-0000-0000293E0000}" name="Coluna15908"/>
    <tableColumn id="15914" xr3:uid="{00000000-0010-0000-0000-00002A3E0000}" name="Coluna15909"/>
    <tableColumn id="15915" xr3:uid="{00000000-0010-0000-0000-00002B3E0000}" name="Coluna15910"/>
    <tableColumn id="15916" xr3:uid="{00000000-0010-0000-0000-00002C3E0000}" name="Coluna15911"/>
    <tableColumn id="15917" xr3:uid="{00000000-0010-0000-0000-00002D3E0000}" name="Coluna15912"/>
    <tableColumn id="15918" xr3:uid="{00000000-0010-0000-0000-00002E3E0000}" name="Coluna15913"/>
    <tableColumn id="15919" xr3:uid="{00000000-0010-0000-0000-00002F3E0000}" name="Coluna15914"/>
    <tableColumn id="15920" xr3:uid="{00000000-0010-0000-0000-0000303E0000}" name="Coluna15915"/>
    <tableColumn id="15921" xr3:uid="{00000000-0010-0000-0000-0000313E0000}" name="Coluna15916"/>
    <tableColumn id="15922" xr3:uid="{00000000-0010-0000-0000-0000323E0000}" name="Coluna15917"/>
    <tableColumn id="15923" xr3:uid="{00000000-0010-0000-0000-0000333E0000}" name="Coluna15918"/>
    <tableColumn id="15924" xr3:uid="{00000000-0010-0000-0000-0000343E0000}" name="Coluna15919"/>
    <tableColumn id="15925" xr3:uid="{00000000-0010-0000-0000-0000353E0000}" name="Coluna15920"/>
    <tableColumn id="15926" xr3:uid="{00000000-0010-0000-0000-0000363E0000}" name="Coluna15921"/>
    <tableColumn id="15927" xr3:uid="{00000000-0010-0000-0000-0000373E0000}" name="Coluna15922"/>
    <tableColumn id="15928" xr3:uid="{00000000-0010-0000-0000-0000383E0000}" name="Coluna15923"/>
    <tableColumn id="15929" xr3:uid="{00000000-0010-0000-0000-0000393E0000}" name="Coluna15924"/>
    <tableColumn id="15930" xr3:uid="{00000000-0010-0000-0000-00003A3E0000}" name="Coluna15925"/>
    <tableColumn id="15931" xr3:uid="{00000000-0010-0000-0000-00003B3E0000}" name="Coluna15926"/>
    <tableColumn id="15932" xr3:uid="{00000000-0010-0000-0000-00003C3E0000}" name="Coluna15927"/>
    <tableColumn id="15933" xr3:uid="{00000000-0010-0000-0000-00003D3E0000}" name="Coluna15928"/>
    <tableColumn id="15934" xr3:uid="{00000000-0010-0000-0000-00003E3E0000}" name="Coluna15929"/>
    <tableColumn id="15935" xr3:uid="{00000000-0010-0000-0000-00003F3E0000}" name="Coluna15930"/>
    <tableColumn id="15936" xr3:uid="{00000000-0010-0000-0000-0000403E0000}" name="Coluna15931"/>
    <tableColumn id="15937" xr3:uid="{00000000-0010-0000-0000-0000413E0000}" name="Coluna15932"/>
    <tableColumn id="15938" xr3:uid="{00000000-0010-0000-0000-0000423E0000}" name="Coluna15933"/>
    <tableColumn id="15939" xr3:uid="{00000000-0010-0000-0000-0000433E0000}" name="Coluna15934"/>
    <tableColumn id="15940" xr3:uid="{00000000-0010-0000-0000-0000443E0000}" name="Coluna15935"/>
    <tableColumn id="15941" xr3:uid="{00000000-0010-0000-0000-0000453E0000}" name="Coluna15936"/>
    <tableColumn id="15942" xr3:uid="{00000000-0010-0000-0000-0000463E0000}" name="Coluna15937"/>
    <tableColumn id="15943" xr3:uid="{00000000-0010-0000-0000-0000473E0000}" name="Coluna15938"/>
    <tableColumn id="15944" xr3:uid="{00000000-0010-0000-0000-0000483E0000}" name="Coluna15939"/>
    <tableColumn id="15945" xr3:uid="{00000000-0010-0000-0000-0000493E0000}" name="Coluna15940"/>
    <tableColumn id="15946" xr3:uid="{00000000-0010-0000-0000-00004A3E0000}" name="Coluna15941"/>
    <tableColumn id="15947" xr3:uid="{00000000-0010-0000-0000-00004B3E0000}" name="Coluna15942"/>
    <tableColumn id="15948" xr3:uid="{00000000-0010-0000-0000-00004C3E0000}" name="Coluna15943"/>
    <tableColumn id="15949" xr3:uid="{00000000-0010-0000-0000-00004D3E0000}" name="Coluna15944"/>
    <tableColumn id="15950" xr3:uid="{00000000-0010-0000-0000-00004E3E0000}" name="Coluna15945"/>
    <tableColumn id="15951" xr3:uid="{00000000-0010-0000-0000-00004F3E0000}" name="Coluna15946"/>
    <tableColumn id="15952" xr3:uid="{00000000-0010-0000-0000-0000503E0000}" name="Coluna15947"/>
    <tableColumn id="15953" xr3:uid="{00000000-0010-0000-0000-0000513E0000}" name="Coluna15948"/>
    <tableColumn id="15954" xr3:uid="{00000000-0010-0000-0000-0000523E0000}" name="Coluna15949"/>
    <tableColumn id="15955" xr3:uid="{00000000-0010-0000-0000-0000533E0000}" name="Coluna15950"/>
    <tableColumn id="15956" xr3:uid="{00000000-0010-0000-0000-0000543E0000}" name="Coluna15951"/>
    <tableColumn id="15957" xr3:uid="{00000000-0010-0000-0000-0000553E0000}" name="Coluna15952"/>
    <tableColumn id="15958" xr3:uid="{00000000-0010-0000-0000-0000563E0000}" name="Coluna15953"/>
    <tableColumn id="15959" xr3:uid="{00000000-0010-0000-0000-0000573E0000}" name="Coluna15954"/>
    <tableColumn id="15960" xr3:uid="{00000000-0010-0000-0000-0000583E0000}" name="Coluna15955"/>
    <tableColumn id="15961" xr3:uid="{00000000-0010-0000-0000-0000593E0000}" name="Coluna15956"/>
    <tableColumn id="15962" xr3:uid="{00000000-0010-0000-0000-00005A3E0000}" name="Coluna15957"/>
    <tableColumn id="15963" xr3:uid="{00000000-0010-0000-0000-00005B3E0000}" name="Coluna15958"/>
    <tableColumn id="15964" xr3:uid="{00000000-0010-0000-0000-00005C3E0000}" name="Coluna15959"/>
    <tableColumn id="15965" xr3:uid="{00000000-0010-0000-0000-00005D3E0000}" name="Coluna15960"/>
    <tableColumn id="15966" xr3:uid="{00000000-0010-0000-0000-00005E3E0000}" name="Coluna15961"/>
    <tableColumn id="15967" xr3:uid="{00000000-0010-0000-0000-00005F3E0000}" name="Coluna15962"/>
    <tableColumn id="15968" xr3:uid="{00000000-0010-0000-0000-0000603E0000}" name="Coluna15963"/>
    <tableColumn id="15969" xr3:uid="{00000000-0010-0000-0000-0000613E0000}" name="Coluna15964"/>
    <tableColumn id="15970" xr3:uid="{00000000-0010-0000-0000-0000623E0000}" name="Coluna15965"/>
    <tableColumn id="15971" xr3:uid="{00000000-0010-0000-0000-0000633E0000}" name="Coluna15966"/>
    <tableColumn id="15972" xr3:uid="{00000000-0010-0000-0000-0000643E0000}" name="Coluna15967"/>
    <tableColumn id="15973" xr3:uid="{00000000-0010-0000-0000-0000653E0000}" name="Coluna15968"/>
    <tableColumn id="15974" xr3:uid="{00000000-0010-0000-0000-0000663E0000}" name="Coluna15969"/>
    <tableColumn id="15975" xr3:uid="{00000000-0010-0000-0000-0000673E0000}" name="Coluna15970"/>
    <tableColumn id="15976" xr3:uid="{00000000-0010-0000-0000-0000683E0000}" name="Coluna15971"/>
    <tableColumn id="15977" xr3:uid="{00000000-0010-0000-0000-0000693E0000}" name="Coluna15972"/>
    <tableColumn id="15978" xr3:uid="{00000000-0010-0000-0000-00006A3E0000}" name="Coluna15973"/>
    <tableColumn id="15979" xr3:uid="{00000000-0010-0000-0000-00006B3E0000}" name="Coluna15974"/>
    <tableColumn id="15980" xr3:uid="{00000000-0010-0000-0000-00006C3E0000}" name="Coluna15975"/>
    <tableColumn id="15981" xr3:uid="{00000000-0010-0000-0000-00006D3E0000}" name="Coluna15976"/>
    <tableColumn id="15982" xr3:uid="{00000000-0010-0000-0000-00006E3E0000}" name="Coluna15977"/>
    <tableColumn id="15983" xr3:uid="{00000000-0010-0000-0000-00006F3E0000}" name="Coluna15978"/>
    <tableColumn id="15984" xr3:uid="{00000000-0010-0000-0000-0000703E0000}" name="Coluna15979"/>
    <tableColumn id="15985" xr3:uid="{00000000-0010-0000-0000-0000713E0000}" name="Coluna15980"/>
    <tableColumn id="15986" xr3:uid="{00000000-0010-0000-0000-0000723E0000}" name="Coluna15981"/>
    <tableColumn id="15987" xr3:uid="{00000000-0010-0000-0000-0000733E0000}" name="Coluna15982"/>
    <tableColumn id="15988" xr3:uid="{00000000-0010-0000-0000-0000743E0000}" name="Coluna15983"/>
    <tableColumn id="15989" xr3:uid="{00000000-0010-0000-0000-0000753E0000}" name="Coluna15984"/>
    <tableColumn id="15990" xr3:uid="{00000000-0010-0000-0000-0000763E0000}" name="Coluna15985"/>
    <tableColumn id="15991" xr3:uid="{00000000-0010-0000-0000-0000773E0000}" name="Coluna15986"/>
    <tableColumn id="15992" xr3:uid="{00000000-0010-0000-0000-0000783E0000}" name="Coluna15987"/>
    <tableColumn id="15993" xr3:uid="{00000000-0010-0000-0000-0000793E0000}" name="Coluna15988"/>
    <tableColumn id="15994" xr3:uid="{00000000-0010-0000-0000-00007A3E0000}" name="Coluna15989"/>
    <tableColumn id="15995" xr3:uid="{00000000-0010-0000-0000-00007B3E0000}" name="Coluna15990"/>
    <tableColumn id="15996" xr3:uid="{00000000-0010-0000-0000-00007C3E0000}" name="Coluna15991"/>
    <tableColumn id="15997" xr3:uid="{00000000-0010-0000-0000-00007D3E0000}" name="Coluna15992"/>
    <tableColumn id="15998" xr3:uid="{00000000-0010-0000-0000-00007E3E0000}" name="Coluna15993"/>
    <tableColumn id="15999" xr3:uid="{00000000-0010-0000-0000-00007F3E0000}" name="Coluna15994"/>
    <tableColumn id="16000" xr3:uid="{00000000-0010-0000-0000-0000803E0000}" name="Coluna15995"/>
    <tableColumn id="16001" xr3:uid="{00000000-0010-0000-0000-0000813E0000}" name="Coluna15996"/>
    <tableColumn id="16002" xr3:uid="{00000000-0010-0000-0000-0000823E0000}" name="Coluna15997"/>
    <tableColumn id="16003" xr3:uid="{00000000-0010-0000-0000-0000833E0000}" name="Coluna15998"/>
    <tableColumn id="16004" xr3:uid="{00000000-0010-0000-0000-0000843E0000}" name="Coluna15999"/>
    <tableColumn id="16005" xr3:uid="{00000000-0010-0000-0000-0000853E0000}" name="Coluna16000"/>
    <tableColumn id="16006" xr3:uid="{00000000-0010-0000-0000-0000863E0000}" name="Coluna16001"/>
    <tableColumn id="16007" xr3:uid="{00000000-0010-0000-0000-0000873E0000}" name="Coluna16002"/>
    <tableColumn id="16008" xr3:uid="{00000000-0010-0000-0000-0000883E0000}" name="Coluna16003"/>
    <tableColumn id="16009" xr3:uid="{00000000-0010-0000-0000-0000893E0000}" name="Coluna16004"/>
    <tableColumn id="16010" xr3:uid="{00000000-0010-0000-0000-00008A3E0000}" name="Coluna16005"/>
    <tableColumn id="16011" xr3:uid="{00000000-0010-0000-0000-00008B3E0000}" name="Coluna16006"/>
    <tableColumn id="16012" xr3:uid="{00000000-0010-0000-0000-00008C3E0000}" name="Coluna16007"/>
    <tableColumn id="16013" xr3:uid="{00000000-0010-0000-0000-00008D3E0000}" name="Coluna16008"/>
    <tableColumn id="16014" xr3:uid="{00000000-0010-0000-0000-00008E3E0000}" name="Coluna16009"/>
    <tableColumn id="16015" xr3:uid="{00000000-0010-0000-0000-00008F3E0000}" name="Coluna16010"/>
    <tableColumn id="16016" xr3:uid="{00000000-0010-0000-0000-0000903E0000}" name="Coluna16011"/>
    <tableColumn id="16017" xr3:uid="{00000000-0010-0000-0000-0000913E0000}" name="Coluna16012"/>
    <tableColumn id="16018" xr3:uid="{00000000-0010-0000-0000-0000923E0000}" name="Coluna16013"/>
    <tableColumn id="16019" xr3:uid="{00000000-0010-0000-0000-0000933E0000}" name="Coluna16014"/>
    <tableColumn id="16020" xr3:uid="{00000000-0010-0000-0000-0000943E0000}" name="Coluna16015"/>
    <tableColumn id="16021" xr3:uid="{00000000-0010-0000-0000-0000953E0000}" name="Coluna16016"/>
    <tableColumn id="16022" xr3:uid="{00000000-0010-0000-0000-0000963E0000}" name="Coluna16017"/>
    <tableColumn id="16023" xr3:uid="{00000000-0010-0000-0000-0000973E0000}" name="Coluna16018"/>
    <tableColumn id="16024" xr3:uid="{00000000-0010-0000-0000-0000983E0000}" name="Coluna16019"/>
    <tableColumn id="16025" xr3:uid="{00000000-0010-0000-0000-0000993E0000}" name="Coluna16020"/>
    <tableColumn id="16026" xr3:uid="{00000000-0010-0000-0000-00009A3E0000}" name="Coluna16021"/>
    <tableColumn id="16027" xr3:uid="{00000000-0010-0000-0000-00009B3E0000}" name="Coluna16022"/>
    <tableColumn id="16028" xr3:uid="{00000000-0010-0000-0000-00009C3E0000}" name="Coluna16023"/>
    <tableColumn id="16029" xr3:uid="{00000000-0010-0000-0000-00009D3E0000}" name="Coluna16024"/>
    <tableColumn id="16030" xr3:uid="{00000000-0010-0000-0000-00009E3E0000}" name="Coluna16025"/>
    <tableColumn id="16031" xr3:uid="{00000000-0010-0000-0000-00009F3E0000}" name="Coluna16026"/>
    <tableColumn id="16032" xr3:uid="{00000000-0010-0000-0000-0000A03E0000}" name="Coluna16027"/>
    <tableColumn id="16033" xr3:uid="{00000000-0010-0000-0000-0000A13E0000}" name="Coluna16028"/>
    <tableColumn id="16034" xr3:uid="{00000000-0010-0000-0000-0000A23E0000}" name="Coluna16029"/>
    <tableColumn id="16035" xr3:uid="{00000000-0010-0000-0000-0000A33E0000}" name="Coluna16030"/>
    <tableColumn id="16036" xr3:uid="{00000000-0010-0000-0000-0000A43E0000}" name="Coluna16031"/>
    <tableColumn id="16037" xr3:uid="{00000000-0010-0000-0000-0000A53E0000}" name="Coluna16032"/>
    <tableColumn id="16038" xr3:uid="{00000000-0010-0000-0000-0000A63E0000}" name="Coluna16033"/>
    <tableColumn id="16039" xr3:uid="{00000000-0010-0000-0000-0000A73E0000}" name="Coluna16034"/>
    <tableColumn id="16040" xr3:uid="{00000000-0010-0000-0000-0000A83E0000}" name="Coluna16035"/>
    <tableColumn id="16041" xr3:uid="{00000000-0010-0000-0000-0000A93E0000}" name="Coluna16036"/>
    <tableColumn id="16042" xr3:uid="{00000000-0010-0000-0000-0000AA3E0000}" name="Coluna16037"/>
    <tableColumn id="16043" xr3:uid="{00000000-0010-0000-0000-0000AB3E0000}" name="Coluna16038"/>
    <tableColumn id="16044" xr3:uid="{00000000-0010-0000-0000-0000AC3E0000}" name="Coluna16039"/>
    <tableColumn id="16045" xr3:uid="{00000000-0010-0000-0000-0000AD3E0000}" name="Coluna16040"/>
    <tableColumn id="16046" xr3:uid="{00000000-0010-0000-0000-0000AE3E0000}" name="Coluna16041"/>
    <tableColumn id="16047" xr3:uid="{00000000-0010-0000-0000-0000AF3E0000}" name="Coluna16042"/>
    <tableColumn id="16048" xr3:uid="{00000000-0010-0000-0000-0000B03E0000}" name="Coluna16043"/>
    <tableColumn id="16049" xr3:uid="{00000000-0010-0000-0000-0000B13E0000}" name="Coluna16044"/>
    <tableColumn id="16050" xr3:uid="{00000000-0010-0000-0000-0000B23E0000}" name="Coluna16045"/>
    <tableColumn id="16051" xr3:uid="{00000000-0010-0000-0000-0000B33E0000}" name="Coluna16046"/>
    <tableColumn id="16052" xr3:uid="{00000000-0010-0000-0000-0000B43E0000}" name="Coluna16047"/>
    <tableColumn id="16053" xr3:uid="{00000000-0010-0000-0000-0000B53E0000}" name="Coluna16048"/>
    <tableColumn id="16054" xr3:uid="{00000000-0010-0000-0000-0000B63E0000}" name="Coluna16049"/>
    <tableColumn id="16055" xr3:uid="{00000000-0010-0000-0000-0000B73E0000}" name="Coluna16050"/>
    <tableColumn id="16056" xr3:uid="{00000000-0010-0000-0000-0000B83E0000}" name="Coluna16051"/>
    <tableColumn id="16057" xr3:uid="{00000000-0010-0000-0000-0000B93E0000}" name="Coluna16052"/>
    <tableColumn id="16058" xr3:uid="{00000000-0010-0000-0000-0000BA3E0000}" name="Coluna16053"/>
    <tableColumn id="16059" xr3:uid="{00000000-0010-0000-0000-0000BB3E0000}" name="Coluna16054"/>
    <tableColumn id="16060" xr3:uid="{00000000-0010-0000-0000-0000BC3E0000}" name="Coluna16055"/>
    <tableColumn id="16061" xr3:uid="{00000000-0010-0000-0000-0000BD3E0000}" name="Coluna16056"/>
    <tableColumn id="16062" xr3:uid="{00000000-0010-0000-0000-0000BE3E0000}" name="Coluna16057"/>
    <tableColumn id="16063" xr3:uid="{00000000-0010-0000-0000-0000BF3E0000}" name="Coluna16058"/>
    <tableColumn id="16064" xr3:uid="{00000000-0010-0000-0000-0000C03E0000}" name="Coluna16059"/>
    <tableColumn id="16065" xr3:uid="{00000000-0010-0000-0000-0000C13E0000}" name="Coluna16060"/>
    <tableColumn id="16066" xr3:uid="{00000000-0010-0000-0000-0000C23E0000}" name="Coluna16061"/>
    <tableColumn id="16067" xr3:uid="{00000000-0010-0000-0000-0000C33E0000}" name="Coluna16062"/>
    <tableColumn id="16068" xr3:uid="{00000000-0010-0000-0000-0000C43E0000}" name="Coluna16063"/>
    <tableColumn id="16069" xr3:uid="{00000000-0010-0000-0000-0000C53E0000}" name="Coluna16064"/>
    <tableColumn id="16070" xr3:uid="{00000000-0010-0000-0000-0000C63E0000}" name="Coluna16065"/>
    <tableColumn id="16071" xr3:uid="{00000000-0010-0000-0000-0000C73E0000}" name="Coluna16066"/>
    <tableColumn id="16072" xr3:uid="{00000000-0010-0000-0000-0000C83E0000}" name="Coluna16067"/>
    <tableColumn id="16073" xr3:uid="{00000000-0010-0000-0000-0000C93E0000}" name="Coluna16068"/>
    <tableColumn id="16074" xr3:uid="{00000000-0010-0000-0000-0000CA3E0000}" name="Coluna16069"/>
    <tableColumn id="16075" xr3:uid="{00000000-0010-0000-0000-0000CB3E0000}" name="Coluna16070"/>
    <tableColumn id="16076" xr3:uid="{00000000-0010-0000-0000-0000CC3E0000}" name="Coluna16071"/>
    <tableColumn id="16077" xr3:uid="{00000000-0010-0000-0000-0000CD3E0000}" name="Coluna16072"/>
    <tableColumn id="16078" xr3:uid="{00000000-0010-0000-0000-0000CE3E0000}" name="Coluna16073"/>
    <tableColumn id="16079" xr3:uid="{00000000-0010-0000-0000-0000CF3E0000}" name="Coluna16074"/>
    <tableColumn id="16080" xr3:uid="{00000000-0010-0000-0000-0000D03E0000}" name="Coluna16075"/>
    <tableColumn id="16081" xr3:uid="{00000000-0010-0000-0000-0000D13E0000}" name="Coluna16076"/>
    <tableColumn id="16082" xr3:uid="{00000000-0010-0000-0000-0000D23E0000}" name="Coluna16077"/>
    <tableColumn id="16083" xr3:uid="{00000000-0010-0000-0000-0000D33E0000}" name="Coluna16078"/>
    <tableColumn id="16084" xr3:uid="{00000000-0010-0000-0000-0000D43E0000}" name="Coluna16079"/>
    <tableColumn id="16085" xr3:uid="{00000000-0010-0000-0000-0000D53E0000}" name="Coluna16080"/>
    <tableColumn id="16086" xr3:uid="{00000000-0010-0000-0000-0000D63E0000}" name="Coluna16081"/>
    <tableColumn id="16087" xr3:uid="{00000000-0010-0000-0000-0000D73E0000}" name="Coluna16082"/>
    <tableColumn id="16088" xr3:uid="{00000000-0010-0000-0000-0000D83E0000}" name="Coluna16083"/>
    <tableColumn id="16089" xr3:uid="{00000000-0010-0000-0000-0000D93E0000}" name="Coluna16084"/>
    <tableColumn id="16090" xr3:uid="{00000000-0010-0000-0000-0000DA3E0000}" name="Coluna16085"/>
    <tableColumn id="16091" xr3:uid="{00000000-0010-0000-0000-0000DB3E0000}" name="Coluna16086"/>
    <tableColumn id="16092" xr3:uid="{00000000-0010-0000-0000-0000DC3E0000}" name="Coluna16087"/>
    <tableColumn id="16093" xr3:uid="{00000000-0010-0000-0000-0000DD3E0000}" name="Coluna16088"/>
    <tableColumn id="16094" xr3:uid="{00000000-0010-0000-0000-0000DE3E0000}" name="Coluna16089"/>
    <tableColumn id="16095" xr3:uid="{00000000-0010-0000-0000-0000DF3E0000}" name="Coluna16090"/>
    <tableColumn id="16096" xr3:uid="{00000000-0010-0000-0000-0000E03E0000}" name="Coluna16091"/>
    <tableColumn id="16097" xr3:uid="{00000000-0010-0000-0000-0000E13E0000}" name="Coluna16092"/>
    <tableColumn id="16098" xr3:uid="{00000000-0010-0000-0000-0000E23E0000}" name="Coluna16093"/>
    <tableColumn id="16099" xr3:uid="{00000000-0010-0000-0000-0000E33E0000}" name="Coluna16094"/>
    <tableColumn id="16100" xr3:uid="{00000000-0010-0000-0000-0000E43E0000}" name="Coluna16095"/>
    <tableColumn id="16101" xr3:uid="{00000000-0010-0000-0000-0000E53E0000}" name="Coluna16096"/>
    <tableColumn id="16102" xr3:uid="{00000000-0010-0000-0000-0000E63E0000}" name="Coluna16097"/>
    <tableColumn id="16103" xr3:uid="{00000000-0010-0000-0000-0000E73E0000}" name="Coluna16098"/>
    <tableColumn id="16104" xr3:uid="{00000000-0010-0000-0000-0000E83E0000}" name="Coluna16099"/>
    <tableColumn id="16105" xr3:uid="{00000000-0010-0000-0000-0000E93E0000}" name="Coluna16100"/>
    <tableColumn id="16106" xr3:uid="{00000000-0010-0000-0000-0000EA3E0000}" name="Coluna16101"/>
    <tableColumn id="16107" xr3:uid="{00000000-0010-0000-0000-0000EB3E0000}" name="Coluna16102"/>
    <tableColumn id="16108" xr3:uid="{00000000-0010-0000-0000-0000EC3E0000}" name="Coluna16103"/>
    <tableColumn id="16109" xr3:uid="{00000000-0010-0000-0000-0000ED3E0000}" name="Coluna16104"/>
    <tableColumn id="16110" xr3:uid="{00000000-0010-0000-0000-0000EE3E0000}" name="Coluna16105"/>
    <tableColumn id="16111" xr3:uid="{00000000-0010-0000-0000-0000EF3E0000}" name="Coluna16106"/>
    <tableColumn id="16112" xr3:uid="{00000000-0010-0000-0000-0000F03E0000}" name="Coluna16107"/>
    <tableColumn id="16113" xr3:uid="{00000000-0010-0000-0000-0000F13E0000}" name="Coluna16108"/>
    <tableColumn id="16114" xr3:uid="{00000000-0010-0000-0000-0000F23E0000}" name="Coluna16109"/>
    <tableColumn id="16115" xr3:uid="{00000000-0010-0000-0000-0000F33E0000}" name="Coluna16110"/>
    <tableColumn id="16116" xr3:uid="{00000000-0010-0000-0000-0000F43E0000}" name="Coluna16111"/>
    <tableColumn id="16117" xr3:uid="{00000000-0010-0000-0000-0000F53E0000}" name="Coluna16112"/>
    <tableColumn id="16118" xr3:uid="{00000000-0010-0000-0000-0000F63E0000}" name="Coluna16113"/>
    <tableColumn id="16119" xr3:uid="{00000000-0010-0000-0000-0000F73E0000}" name="Coluna16114"/>
    <tableColumn id="16120" xr3:uid="{00000000-0010-0000-0000-0000F83E0000}" name="Coluna16115"/>
    <tableColumn id="16121" xr3:uid="{00000000-0010-0000-0000-0000F93E0000}" name="Coluna16116"/>
    <tableColumn id="16122" xr3:uid="{00000000-0010-0000-0000-0000FA3E0000}" name="Coluna16117"/>
    <tableColumn id="16123" xr3:uid="{00000000-0010-0000-0000-0000FB3E0000}" name="Coluna16118"/>
    <tableColumn id="16124" xr3:uid="{00000000-0010-0000-0000-0000FC3E0000}" name="Coluna16119"/>
    <tableColumn id="16125" xr3:uid="{00000000-0010-0000-0000-0000FD3E0000}" name="Coluna16120"/>
    <tableColumn id="16126" xr3:uid="{00000000-0010-0000-0000-0000FE3E0000}" name="Coluna16121"/>
    <tableColumn id="16127" xr3:uid="{00000000-0010-0000-0000-0000FF3E0000}" name="Coluna16122"/>
    <tableColumn id="16128" xr3:uid="{00000000-0010-0000-0000-0000003F0000}" name="Coluna16123"/>
    <tableColumn id="16129" xr3:uid="{00000000-0010-0000-0000-0000013F0000}" name="Coluna16124"/>
    <tableColumn id="16130" xr3:uid="{00000000-0010-0000-0000-0000023F0000}" name="Coluna16125"/>
    <tableColumn id="16131" xr3:uid="{00000000-0010-0000-0000-0000033F0000}" name="Coluna16126"/>
    <tableColumn id="16132" xr3:uid="{00000000-0010-0000-0000-0000043F0000}" name="Coluna16127"/>
    <tableColumn id="16133" xr3:uid="{00000000-0010-0000-0000-0000053F0000}" name="Coluna16128"/>
    <tableColumn id="16134" xr3:uid="{00000000-0010-0000-0000-0000063F0000}" name="Coluna16129"/>
    <tableColumn id="16135" xr3:uid="{00000000-0010-0000-0000-0000073F0000}" name="Coluna16130"/>
    <tableColumn id="16136" xr3:uid="{00000000-0010-0000-0000-0000083F0000}" name="Coluna16131"/>
    <tableColumn id="16137" xr3:uid="{00000000-0010-0000-0000-0000093F0000}" name="Coluna16132"/>
    <tableColumn id="16138" xr3:uid="{00000000-0010-0000-0000-00000A3F0000}" name="Coluna16133"/>
    <tableColumn id="16139" xr3:uid="{00000000-0010-0000-0000-00000B3F0000}" name="Coluna16134"/>
    <tableColumn id="16140" xr3:uid="{00000000-0010-0000-0000-00000C3F0000}" name="Coluna16135"/>
    <tableColumn id="16141" xr3:uid="{00000000-0010-0000-0000-00000D3F0000}" name="Coluna16136"/>
    <tableColumn id="16142" xr3:uid="{00000000-0010-0000-0000-00000E3F0000}" name="Coluna16137"/>
    <tableColumn id="16143" xr3:uid="{00000000-0010-0000-0000-00000F3F0000}" name="Coluna16138"/>
    <tableColumn id="16144" xr3:uid="{00000000-0010-0000-0000-0000103F0000}" name="Coluna16139"/>
    <tableColumn id="16145" xr3:uid="{00000000-0010-0000-0000-0000113F0000}" name="Coluna16140"/>
    <tableColumn id="16146" xr3:uid="{00000000-0010-0000-0000-0000123F0000}" name="Coluna16141"/>
    <tableColumn id="16147" xr3:uid="{00000000-0010-0000-0000-0000133F0000}" name="Coluna16142"/>
    <tableColumn id="16148" xr3:uid="{00000000-0010-0000-0000-0000143F0000}" name="Coluna16143"/>
    <tableColumn id="16149" xr3:uid="{00000000-0010-0000-0000-0000153F0000}" name="Coluna16144"/>
    <tableColumn id="16150" xr3:uid="{00000000-0010-0000-0000-0000163F0000}" name="Coluna16145"/>
    <tableColumn id="16151" xr3:uid="{00000000-0010-0000-0000-0000173F0000}" name="Coluna16146"/>
    <tableColumn id="16152" xr3:uid="{00000000-0010-0000-0000-0000183F0000}" name="Coluna16147"/>
    <tableColumn id="16153" xr3:uid="{00000000-0010-0000-0000-0000193F0000}" name="Coluna16148"/>
    <tableColumn id="16154" xr3:uid="{00000000-0010-0000-0000-00001A3F0000}" name="Coluna16149"/>
    <tableColumn id="16155" xr3:uid="{00000000-0010-0000-0000-00001B3F0000}" name="Coluna16150"/>
    <tableColumn id="16156" xr3:uid="{00000000-0010-0000-0000-00001C3F0000}" name="Coluna16151"/>
    <tableColumn id="16157" xr3:uid="{00000000-0010-0000-0000-00001D3F0000}" name="Coluna16152"/>
    <tableColumn id="16158" xr3:uid="{00000000-0010-0000-0000-00001E3F0000}" name="Coluna16153"/>
    <tableColumn id="16159" xr3:uid="{00000000-0010-0000-0000-00001F3F0000}" name="Coluna16154"/>
    <tableColumn id="16160" xr3:uid="{00000000-0010-0000-0000-0000203F0000}" name="Coluna16155"/>
    <tableColumn id="16161" xr3:uid="{00000000-0010-0000-0000-0000213F0000}" name="Coluna16156"/>
    <tableColumn id="16162" xr3:uid="{00000000-0010-0000-0000-0000223F0000}" name="Coluna16157"/>
    <tableColumn id="16163" xr3:uid="{00000000-0010-0000-0000-0000233F0000}" name="Coluna16158"/>
    <tableColumn id="16164" xr3:uid="{00000000-0010-0000-0000-0000243F0000}" name="Coluna16159"/>
    <tableColumn id="16165" xr3:uid="{00000000-0010-0000-0000-0000253F0000}" name="Coluna16160"/>
    <tableColumn id="16166" xr3:uid="{00000000-0010-0000-0000-0000263F0000}" name="Coluna16161"/>
    <tableColumn id="16167" xr3:uid="{00000000-0010-0000-0000-0000273F0000}" name="Coluna16162"/>
    <tableColumn id="16168" xr3:uid="{00000000-0010-0000-0000-0000283F0000}" name="Coluna16163"/>
    <tableColumn id="16169" xr3:uid="{00000000-0010-0000-0000-0000293F0000}" name="Coluna16164"/>
    <tableColumn id="16170" xr3:uid="{00000000-0010-0000-0000-00002A3F0000}" name="Coluna16165"/>
    <tableColumn id="16171" xr3:uid="{00000000-0010-0000-0000-00002B3F0000}" name="Coluna16166"/>
    <tableColumn id="16172" xr3:uid="{00000000-0010-0000-0000-00002C3F0000}" name="Coluna16167"/>
    <tableColumn id="16173" xr3:uid="{00000000-0010-0000-0000-00002D3F0000}" name="Coluna16168"/>
    <tableColumn id="16174" xr3:uid="{00000000-0010-0000-0000-00002E3F0000}" name="Coluna16169"/>
    <tableColumn id="16175" xr3:uid="{00000000-0010-0000-0000-00002F3F0000}" name="Coluna16170"/>
    <tableColumn id="16176" xr3:uid="{00000000-0010-0000-0000-0000303F0000}" name="Coluna16171"/>
    <tableColumn id="16177" xr3:uid="{00000000-0010-0000-0000-0000313F0000}" name="Coluna16172"/>
    <tableColumn id="16178" xr3:uid="{00000000-0010-0000-0000-0000323F0000}" name="Coluna16173"/>
    <tableColumn id="16179" xr3:uid="{00000000-0010-0000-0000-0000333F0000}" name="Coluna16174"/>
    <tableColumn id="16180" xr3:uid="{00000000-0010-0000-0000-0000343F0000}" name="Coluna16175"/>
    <tableColumn id="16181" xr3:uid="{00000000-0010-0000-0000-0000353F0000}" name="Coluna16176"/>
    <tableColumn id="16182" xr3:uid="{00000000-0010-0000-0000-0000363F0000}" name="Coluna16177"/>
    <tableColumn id="16183" xr3:uid="{00000000-0010-0000-0000-0000373F0000}" name="Coluna16178"/>
    <tableColumn id="16184" xr3:uid="{00000000-0010-0000-0000-0000383F0000}" name="Coluna16179"/>
    <tableColumn id="16185" xr3:uid="{00000000-0010-0000-0000-0000393F0000}" name="Coluna16180"/>
    <tableColumn id="16186" xr3:uid="{00000000-0010-0000-0000-00003A3F0000}" name="Coluna16181"/>
    <tableColumn id="16187" xr3:uid="{00000000-0010-0000-0000-00003B3F0000}" name="Coluna16182"/>
    <tableColumn id="16188" xr3:uid="{00000000-0010-0000-0000-00003C3F0000}" name="Coluna16183"/>
    <tableColumn id="16189" xr3:uid="{00000000-0010-0000-0000-00003D3F0000}" name="Coluna16184"/>
    <tableColumn id="16190" xr3:uid="{00000000-0010-0000-0000-00003E3F0000}" name="Coluna16185"/>
    <tableColumn id="16191" xr3:uid="{00000000-0010-0000-0000-00003F3F0000}" name="Coluna16186"/>
    <tableColumn id="16192" xr3:uid="{00000000-0010-0000-0000-0000403F0000}" name="Coluna16187"/>
    <tableColumn id="16193" xr3:uid="{00000000-0010-0000-0000-0000413F0000}" name="Coluna16188"/>
    <tableColumn id="16194" xr3:uid="{00000000-0010-0000-0000-0000423F0000}" name="Coluna16189"/>
    <tableColumn id="16195" xr3:uid="{00000000-0010-0000-0000-0000433F0000}" name="Coluna16190"/>
    <tableColumn id="16196" xr3:uid="{00000000-0010-0000-0000-0000443F0000}" name="Coluna16191"/>
    <tableColumn id="16197" xr3:uid="{00000000-0010-0000-0000-0000453F0000}" name="Coluna16192"/>
    <tableColumn id="16198" xr3:uid="{00000000-0010-0000-0000-0000463F0000}" name="Coluna16193"/>
    <tableColumn id="16199" xr3:uid="{00000000-0010-0000-0000-0000473F0000}" name="Coluna16194"/>
    <tableColumn id="16200" xr3:uid="{00000000-0010-0000-0000-0000483F0000}" name="Coluna16195"/>
    <tableColumn id="16201" xr3:uid="{00000000-0010-0000-0000-0000493F0000}" name="Coluna16196"/>
    <tableColumn id="16202" xr3:uid="{00000000-0010-0000-0000-00004A3F0000}" name="Coluna16197"/>
    <tableColumn id="16203" xr3:uid="{00000000-0010-0000-0000-00004B3F0000}" name="Coluna16198"/>
    <tableColumn id="16204" xr3:uid="{00000000-0010-0000-0000-00004C3F0000}" name="Coluna16199"/>
    <tableColumn id="16205" xr3:uid="{00000000-0010-0000-0000-00004D3F0000}" name="Coluna16200"/>
    <tableColumn id="16206" xr3:uid="{00000000-0010-0000-0000-00004E3F0000}" name="Coluna16201"/>
    <tableColumn id="16207" xr3:uid="{00000000-0010-0000-0000-00004F3F0000}" name="Coluna16202"/>
    <tableColumn id="16208" xr3:uid="{00000000-0010-0000-0000-0000503F0000}" name="Coluna16203"/>
    <tableColumn id="16209" xr3:uid="{00000000-0010-0000-0000-0000513F0000}" name="Coluna16204"/>
    <tableColumn id="16210" xr3:uid="{00000000-0010-0000-0000-0000523F0000}" name="Coluna16205"/>
    <tableColumn id="16211" xr3:uid="{00000000-0010-0000-0000-0000533F0000}" name="Coluna16206"/>
    <tableColumn id="16212" xr3:uid="{00000000-0010-0000-0000-0000543F0000}" name="Coluna16207"/>
    <tableColumn id="16213" xr3:uid="{00000000-0010-0000-0000-0000553F0000}" name="Coluna16208"/>
    <tableColumn id="16214" xr3:uid="{00000000-0010-0000-0000-0000563F0000}" name="Coluna16209"/>
    <tableColumn id="16215" xr3:uid="{00000000-0010-0000-0000-0000573F0000}" name="Coluna16210"/>
    <tableColumn id="16216" xr3:uid="{00000000-0010-0000-0000-0000583F0000}" name="Coluna16211"/>
    <tableColumn id="16217" xr3:uid="{00000000-0010-0000-0000-0000593F0000}" name="Coluna16212"/>
    <tableColumn id="16218" xr3:uid="{00000000-0010-0000-0000-00005A3F0000}" name="Coluna16213"/>
    <tableColumn id="16219" xr3:uid="{00000000-0010-0000-0000-00005B3F0000}" name="Coluna16214"/>
    <tableColumn id="16220" xr3:uid="{00000000-0010-0000-0000-00005C3F0000}" name="Coluna16215"/>
    <tableColumn id="16221" xr3:uid="{00000000-0010-0000-0000-00005D3F0000}" name="Coluna16216"/>
    <tableColumn id="16222" xr3:uid="{00000000-0010-0000-0000-00005E3F0000}" name="Coluna16217"/>
    <tableColumn id="16223" xr3:uid="{00000000-0010-0000-0000-00005F3F0000}" name="Coluna16218"/>
    <tableColumn id="16224" xr3:uid="{00000000-0010-0000-0000-0000603F0000}" name="Coluna16219"/>
    <tableColumn id="16225" xr3:uid="{00000000-0010-0000-0000-0000613F0000}" name="Coluna16220"/>
    <tableColumn id="16226" xr3:uid="{00000000-0010-0000-0000-0000623F0000}" name="Coluna16221"/>
    <tableColumn id="16227" xr3:uid="{00000000-0010-0000-0000-0000633F0000}" name="Coluna16222"/>
    <tableColumn id="16228" xr3:uid="{00000000-0010-0000-0000-0000643F0000}" name="Coluna16223"/>
    <tableColumn id="16229" xr3:uid="{00000000-0010-0000-0000-0000653F0000}" name="Coluna16224"/>
    <tableColumn id="16230" xr3:uid="{00000000-0010-0000-0000-0000663F0000}" name="Coluna16225"/>
    <tableColumn id="16231" xr3:uid="{00000000-0010-0000-0000-0000673F0000}" name="Coluna16226"/>
    <tableColumn id="16232" xr3:uid="{00000000-0010-0000-0000-0000683F0000}" name="Coluna16227"/>
    <tableColumn id="16233" xr3:uid="{00000000-0010-0000-0000-0000693F0000}" name="Coluna16228"/>
    <tableColumn id="16234" xr3:uid="{00000000-0010-0000-0000-00006A3F0000}" name="Coluna16229"/>
    <tableColumn id="16235" xr3:uid="{00000000-0010-0000-0000-00006B3F0000}" name="Coluna16230"/>
    <tableColumn id="16236" xr3:uid="{00000000-0010-0000-0000-00006C3F0000}" name="Coluna16231"/>
    <tableColumn id="16237" xr3:uid="{00000000-0010-0000-0000-00006D3F0000}" name="Coluna16232"/>
    <tableColumn id="16238" xr3:uid="{00000000-0010-0000-0000-00006E3F0000}" name="Coluna16233"/>
    <tableColumn id="16239" xr3:uid="{00000000-0010-0000-0000-00006F3F0000}" name="Coluna16234"/>
    <tableColumn id="16240" xr3:uid="{00000000-0010-0000-0000-0000703F0000}" name="Coluna16235"/>
    <tableColumn id="16241" xr3:uid="{00000000-0010-0000-0000-0000713F0000}" name="Coluna16236"/>
    <tableColumn id="16242" xr3:uid="{00000000-0010-0000-0000-0000723F0000}" name="Coluna16237"/>
    <tableColumn id="16243" xr3:uid="{00000000-0010-0000-0000-0000733F0000}" name="Coluna16238"/>
    <tableColumn id="16244" xr3:uid="{00000000-0010-0000-0000-0000743F0000}" name="Coluna16239"/>
    <tableColumn id="16245" xr3:uid="{00000000-0010-0000-0000-0000753F0000}" name="Coluna16240"/>
    <tableColumn id="16246" xr3:uid="{00000000-0010-0000-0000-0000763F0000}" name="Coluna16241"/>
    <tableColumn id="16247" xr3:uid="{00000000-0010-0000-0000-0000773F0000}" name="Coluna16242"/>
    <tableColumn id="16248" xr3:uid="{00000000-0010-0000-0000-0000783F0000}" name="Coluna16243"/>
    <tableColumn id="16249" xr3:uid="{00000000-0010-0000-0000-0000793F0000}" name="Coluna16244"/>
    <tableColumn id="16250" xr3:uid="{00000000-0010-0000-0000-00007A3F0000}" name="Coluna16245"/>
    <tableColumn id="16251" xr3:uid="{00000000-0010-0000-0000-00007B3F0000}" name="Coluna16246"/>
    <tableColumn id="16252" xr3:uid="{00000000-0010-0000-0000-00007C3F0000}" name="Coluna16247"/>
    <tableColumn id="16253" xr3:uid="{00000000-0010-0000-0000-00007D3F0000}" name="Coluna16248"/>
    <tableColumn id="16254" xr3:uid="{00000000-0010-0000-0000-00007E3F0000}" name="Coluna16249"/>
    <tableColumn id="16255" xr3:uid="{00000000-0010-0000-0000-00007F3F0000}" name="Coluna16250"/>
    <tableColumn id="16256" xr3:uid="{00000000-0010-0000-0000-0000803F0000}" name="Coluna16251"/>
    <tableColumn id="16257" xr3:uid="{00000000-0010-0000-0000-0000813F0000}" name="Coluna16252"/>
    <tableColumn id="16258" xr3:uid="{00000000-0010-0000-0000-0000823F0000}" name="Coluna16253"/>
    <tableColumn id="16259" xr3:uid="{00000000-0010-0000-0000-0000833F0000}" name="Coluna16254"/>
    <tableColumn id="16260" xr3:uid="{00000000-0010-0000-0000-0000843F0000}" name="Coluna16255"/>
    <tableColumn id="16261" xr3:uid="{00000000-0010-0000-0000-0000853F0000}" name="Coluna16256"/>
    <tableColumn id="16262" xr3:uid="{00000000-0010-0000-0000-0000863F0000}" name="Coluna16257"/>
    <tableColumn id="16263" xr3:uid="{00000000-0010-0000-0000-0000873F0000}" name="Coluna16258"/>
    <tableColumn id="16264" xr3:uid="{00000000-0010-0000-0000-0000883F0000}" name="Coluna16259"/>
    <tableColumn id="16265" xr3:uid="{00000000-0010-0000-0000-0000893F0000}" name="Coluna16260"/>
    <tableColumn id="16266" xr3:uid="{00000000-0010-0000-0000-00008A3F0000}" name="Coluna16261"/>
    <tableColumn id="16267" xr3:uid="{00000000-0010-0000-0000-00008B3F0000}" name="Coluna16262"/>
    <tableColumn id="16268" xr3:uid="{00000000-0010-0000-0000-00008C3F0000}" name="Coluna16263"/>
    <tableColumn id="16269" xr3:uid="{00000000-0010-0000-0000-00008D3F0000}" name="Coluna16264"/>
    <tableColumn id="16270" xr3:uid="{00000000-0010-0000-0000-00008E3F0000}" name="Coluna16265"/>
    <tableColumn id="16271" xr3:uid="{00000000-0010-0000-0000-00008F3F0000}" name="Coluna16266"/>
    <tableColumn id="16272" xr3:uid="{00000000-0010-0000-0000-0000903F0000}" name="Coluna16267"/>
    <tableColumn id="16273" xr3:uid="{00000000-0010-0000-0000-0000913F0000}" name="Coluna16268"/>
    <tableColumn id="16274" xr3:uid="{00000000-0010-0000-0000-0000923F0000}" name="Coluna16269"/>
    <tableColumn id="16275" xr3:uid="{00000000-0010-0000-0000-0000933F0000}" name="Coluna16270"/>
    <tableColumn id="16276" xr3:uid="{00000000-0010-0000-0000-0000943F0000}" name="Coluna16271"/>
    <tableColumn id="16277" xr3:uid="{00000000-0010-0000-0000-0000953F0000}" name="Coluna16272"/>
    <tableColumn id="16278" xr3:uid="{00000000-0010-0000-0000-0000963F0000}" name="Coluna16273"/>
    <tableColumn id="16279" xr3:uid="{00000000-0010-0000-0000-0000973F0000}" name="Coluna16274"/>
    <tableColumn id="16280" xr3:uid="{00000000-0010-0000-0000-0000983F0000}" name="Coluna16275"/>
    <tableColumn id="16281" xr3:uid="{00000000-0010-0000-0000-0000993F0000}" name="Coluna16276"/>
    <tableColumn id="16282" xr3:uid="{00000000-0010-0000-0000-00009A3F0000}" name="Coluna16277"/>
    <tableColumn id="16283" xr3:uid="{00000000-0010-0000-0000-00009B3F0000}" name="Coluna16278"/>
    <tableColumn id="16284" xr3:uid="{00000000-0010-0000-0000-00009C3F0000}" name="Coluna16279"/>
    <tableColumn id="16285" xr3:uid="{00000000-0010-0000-0000-00009D3F0000}" name="Coluna16280"/>
    <tableColumn id="16286" xr3:uid="{00000000-0010-0000-0000-00009E3F0000}" name="Coluna16281"/>
    <tableColumn id="16287" xr3:uid="{00000000-0010-0000-0000-00009F3F0000}" name="Coluna16282"/>
    <tableColumn id="16288" xr3:uid="{00000000-0010-0000-0000-0000A03F0000}" name="Coluna16283"/>
    <tableColumn id="16289" xr3:uid="{00000000-0010-0000-0000-0000A13F0000}" name="Coluna16284"/>
    <tableColumn id="16290" xr3:uid="{00000000-0010-0000-0000-0000A23F0000}" name="Coluna16285"/>
    <tableColumn id="16291" xr3:uid="{00000000-0010-0000-0000-0000A33F0000}" name="Coluna16286"/>
    <tableColumn id="16292" xr3:uid="{00000000-0010-0000-0000-0000A43F0000}" name="Coluna16287"/>
    <tableColumn id="16293" xr3:uid="{00000000-0010-0000-0000-0000A53F0000}" name="Coluna16288"/>
    <tableColumn id="16294" xr3:uid="{00000000-0010-0000-0000-0000A63F0000}" name="Coluna16289"/>
    <tableColumn id="16295" xr3:uid="{00000000-0010-0000-0000-0000A73F0000}" name="Coluna16290"/>
    <tableColumn id="16296" xr3:uid="{00000000-0010-0000-0000-0000A83F0000}" name="Coluna16291"/>
    <tableColumn id="16297" xr3:uid="{00000000-0010-0000-0000-0000A93F0000}" name="Coluna16292"/>
    <tableColumn id="16298" xr3:uid="{00000000-0010-0000-0000-0000AA3F0000}" name="Coluna16293"/>
    <tableColumn id="16299" xr3:uid="{00000000-0010-0000-0000-0000AB3F0000}" name="Coluna16294"/>
    <tableColumn id="16300" xr3:uid="{00000000-0010-0000-0000-0000AC3F0000}" name="Coluna16295"/>
    <tableColumn id="16301" xr3:uid="{00000000-0010-0000-0000-0000AD3F0000}" name="Coluna16296"/>
    <tableColumn id="16302" xr3:uid="{00000000-0010-0000-0000-0000AE3F0000}" name="Coluna16297"/>
    <tableColumn id="16303" xr3:uid="{00000000-0010-0000-0000-0000AF3F0000}" name="Coluna16298"/>
    <tableColumn id="16304" xr3:uid="{00000000-0010-0000-0000-0000B03F0000}" name="Coluna16299"/>
    <tableColumn id="16305" xr3:uid="{00000000-0010-0000-0000-0000B13F0000}" name="Coluna16300"/>
    <tableColumn id="16306" xr3:uid="{00000000-0010-0000-0000-0000B23F0000}" name="Coluna16301"/>
    <tableColumn id="16307" xr3:uid="{00000000-0010-0000-0000-0000B33F0000}" name="Coluna16302"/>
    <tableColumn id="16308" xr3:uid="{00000000-0010-0000-0000-0000B43F0000}" name="Coluna16303"/>
    <tableColumn id="16309" xr3:uid="{00000000-0010-0000-0000-0000B53F0000}" name="Coluna16304"/>
    <tableColumn id="16310" xr3:uid="{00000000-0010-0000-0000-0000B63F0000}" name="Coluna16305"/>
    <tableColumn id="16311" xr3:uid="{00000000-0010-0000-0000-0000B73F0000}" name="Coluna16306"/>
    <tableColumn id="16312" xr3:uid="{00000000-0010-0000-0000-0000B83F0000}" name="Coluna16307"/>
    <tableColumn id="16313" xr3:uid="{00000000-0010-0000-0000-0000B93F0000}" name="Coluna16308"/>
    <tableColumn id="16314" xr3:uid="{00000000-0010-0000-0000-0000BA3F0000}" name="Coluna16309"/>
    <tableColumn id="16315" xr3:uid="{00000000-0010-0000-0000-0000BB3F0000}" name="Coluna16310"/>
    <tableColumn id="16316" xr3:uid="{00000000-0010-0000-0000-0000BC3F0000}" name="Coluna16311"/>
    <tableColumn id="16317" xr3:uid="{00000000-0010-0000-0000-0000BD3F0000}" name="Coluna16312"/>
    <tableColumn id="16318" xr3:uid="{00000000-0010-0000-0000-0000BE3F0000}" name="Coluna16313"/>
    <tableColumn id="16319" xr3:uid="{00000000-0010-0000-0000-0000BF3F0000}" name="Coluna16314"/>
    <tableColumn id="16320" xr3:uid="{00000000-0010-0000-0000-0000C03F0000}" name="Coluna16315"/>
    <tableColumn id="16321" xr3:uid="{00000000-0010-0000-0000-0000C13F0000}" name="Coluna16316"/>
    <tableColumn id="16322" xr3:uid="{00000000-0010-0000-0000-0000C23F0000}" name="Coluna16317"/>
    <tableColumn id="16323" xr3:uid="{00000000-0010-0000-0000-0000C33F0000}" name="Coluna16318"/>
    <tableColumn id="16324" xr3:uid="{00000000-0010-0000-0000-0000C43F0000}" name="Coluna16319"/>
    <tableColumn id="16325" xr3:uid="{00000000-0010-0000-0000-0000C53F0000}" name="Coluna16320"/>
    <tableColumn id="16326" xr3:uid="{00000000-0010-0000-0000-0000C63F0000}" name="Coluna16321"/>
    <tableColumn id="16327" xr3:uid="{00000000-0010-0000-0000-0000C73F0000}" name="Coluna16322"/>
    <tableColumn id="16328" xr3:uid="{00000000-0010-0000-0000-0000C83F0000}" name="Coluna16323"/>
    <tableColumn id="16329" xr3:uid="{00000000-0010-0000-0000-0000C93F0000}" name="Coluna16324"/>
    <tableColumn id="16330" xr3:uid="{00000000-0010-0000-0000-0000CA3F0000}" name="Coluna16325"/>
    <tableColumn id="16331" xr3:uid="{00000000-0010-0000-0000-0000CB3F0000}" name="Coluna16326"/>
    <tableColumn id="16332" xr3:uid="{00000000-0010-0000-0000-0000CC3F0000}" name="Coluna16327"/>
    <tableColumn id="16333" xr3:uid="{00000000-0010-0000-0000-0000CD3F0000}" name="Coluna16328"/>
    <tableColumn id="16334" xr3:uid="{00000000-0010-0000-0000-0000CE3F0000}" name="Coluna16329"/>
    <tableColumn id="16335" xr3:uid="{00000000-0010-0000-0000-0000CF3F0000}" name="Coluna16330"/>
    <tableColumn id="16336" xr3:uid="{00000000-0010-0000-0000-0000D03F0000}" name="Coluna16331"/>
    <tableColumn id="16337" xr3:uid="{00000000-0010-0000-0000-0000D13F0000}" name="Coluna16332"/>
    <tableColumn id="16338" xr3:uid="{00000000-0010-0000-0000-0000D23F0000}" name="Coluna16333"/>
    <tableColumn id="16339" xr3:uid="{00000000-0010-0000-0000-0000D33F0000}" name="Coluna16334"/>
    <tableColumn id="16340" xr3:uid="{00000000-0010-0000-0000-0000D43F0000}" name="Coluna16335"/>
    <tableColumn id="16341" xr3:uid="{00000000-0010-0000-0000-0000D53F0000}" name="Coluna16336"/>
    <tableColumn id="16342" xr3:uid="{00000000-0010-0000-0000-0000D63F0000}" name="Coluna16337"/>
    <tableColumn id="16343" xr3:uid="{00000000-0010-0000-0000-0000D73F0000}" name="Coluna16338"/>
    <tableColumn id="16344" xr3:uid="{00000000-0010-0000-0000-0000D83F0000}" name="Coluna16339"/>
    <tableColumn id="16345" xr3:uid="{00000000-0010-0000-0000-0000D93F0000}" name="Coluna16340"/>
    <tableColumn id="16346" xr3:uid="{00000000-0010-0000-0000-0000DA3F0000}" name="Coluna16341"/>
    <tableColumn id="16347" xr3:uid="{00000000-0010-0000-0000-0000DB3F0000}" name="Coluna16342"/>
    <tableColumn id="16348" xr3:uid="{00000000-0010-0000-0000-0000DC3F0000}" name="Coluna16343"/>
    <tableColumn id="16349" xr3:uid="{00000000-0010-0000-0000-0000DD3F0000}" name="Coluna16344"/>
    <tableColumn id="16350" xr3:uid="{00000000-0010-0000-0000-0000DE3F0000}" name="Coluna16345"/>
    <tableColumn id="16351" xr3:uid="{00000000-0010-0000-0000-0000DF3F0000}" name="Coluna16346"/>
    <tableColumn id="16352" xr3:uid="{00000000-0010-0000-0000-0000E03F0000}" name="Coluna16347"/>
    <tableColumn id="16353" xr3:uid="{00000000-0010-0000-0000-0000E13F0000}" name="Coluna16348"/>
    <tableColumn id="16354" xr3:uid="{00000000-0010-0000-0000-0000E23F0000}" name="Coluna16349"/>
    <tableColumn id="16355" xr3:uid="{00000000-0010-0000-0000-0000E33F0000}" name="Coluna16350"/>
    <tableColumn id="16356" xr3:uid="{00000000-0010-0000-0000-0000E43F0000}" name="Coluna16351"/>
    <tableColumn id="16357" xr3:uid="{00000000-0010-0000-0000-0000E53F0000}" name="Coluna16352"/>
    <tableColumn id="16358" xr3:uid="{00000000-0010-0000-0000-0000E63F0000}" name="Coluna16353"/>
    <tableColumn id="16359" xr3:uid="{00000000-0010-0000-0000-0000E73F0000}" name="Coluna16354"/>
    <tableColumn id="16360" xr3:uid="{00000000-0010-0000-0000-0000E83F0000}" name="Coluna16355"/>
    <tableColumn id="16361" xr3:uid="{00000000-0010-0000-0000-0000E93F0000}" name="Coluna16356"/>
    <tableColumn id="16362" xr3:uid="{00000000-0010-0000-0000-0000EA3F0000}" name="Coluna16357"/>
    <tableColumn id="16363" xr3:uid="{00000000-0010-0000-0000-0000EB3F0000}" name="Coluna16358"/>
    <tableColumn id="16364" xr3:uid="{00000000-0010-0000-0000-0000EC3F0000}" name="Coluna16359"/>
    <tableColumn id="16365" xr3:uid="{00000000-0010-0000-0000-0000ED3F0000}" name="Coluna16360"/>
    <tableColumn id="16366" xr3:uid="{00000000-0010-0000-0000-0000EE3F0000}" name="Coluna16361"/>
    <tableColumn id="16367" xr3:uid="{00000000-0010-0000-0000-0000EF3F0000}" name="Coluna16362"/>
    <tableColumn id="16368" xr3:uid="{00000000-0010-0000-0000-0000F03F0000}" name="Coluna16363"/>
    <tableColumn id="16369" xr3:uid="{00000000-0010-0000-0000-0000F13F0000}" name="Coluna16364"/>
    <tableColumn id="16370" xr3:uid="{00000000-0010-0000-0000-0000F23F0000}" name="Coluna16365"/>
    <tableColumn id="16371" xr3:uid="{00000000-0010-0000-0000-0000F33F0000}" name="Coluna16366"/>
    <tableColumn id="16372" xr3:uid="{00000000-0010-0000-0000-0000F43F0000}" name="Coluna16367"/>
    <tableColumn id="16373" xr3:uid="{00000000-0010-0000-0000-0000F53F0000}" name="Coluna16368"/>
    <tableColumn id="16374" xr3:uid="{00000000-0010-0000-0000-0000F63F0000}" name="Coluna16369"/>
    <tableColumn id="16375" xr3:uid="{00000000-0010-0000-0000-0000F73F0000}" name="Coluna16370"/>
    <tableColumn id="16376" xr3:uid="{00000000-0010-0000-0000-0000F83F0000}" name="Coluna16371"/>
    <tableColumn id="16377" xr3:uid="{00000000-0010-0000-0000-0000F93F0000}" name="Coluna16372"/>
    <tableColumn id="16378" xr3:uid="{00000000-0010-0000-0000-0000FA3F0000}" name="Coluna16373"/>
    <tableColumn id="16379" xr3:uid="{00000000-0010-0000-0000-0000FB3F0000}" name="Coluna16374"/>
    <tableColumn id="16380" xr3:uid="{00000000-0010-0000-0000-0000FC3F0000}" name="Coluna16375"/>
    <tableColumn id="16381" xr3:uid="{00000000-0010-0000-0000-0000FD3F0000}" name="Coluna16376"/>
    <tableColumn id="16382" xr3:uid="{00000000-0010-0000-0000-0000FE3F0000}" name="Coluna16377"/>
    <tableColumn id="16383" xr3:uid="{00000000-0010-0000-0000-0000FF3F0000}" name="Coluna16378"/>
    <tableColumn id="16384" xr3:uid="{00000000-0010-0000-0000-000000400000}" name="Coluna1637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57B8D-61D1-49F8-BFB2-F100C57F3D56}" name="Tabela2" displayName="Tabela2" ref="A1:C13" totalsRowShown="0">
  <autoFilter ref="A1:C13" xr:uid="{3633C9EA-EAF8-44AE-8FFC-C8558B484818}"/>
  <tableColumns count="3">
    <tableColumn id="1" xr3:uid="{3ED9E9E8-730D-442B-9C34-50AFE9933C31}" name="MÊS/2025"/>
    <tableColumn id="2" xr3:uid="{9FB5C27C-6369-48BB-8729-C52119B14A08}" name="TOTAL GASTOS" dataDxfId="0" dataCellStyle="Moeda">
      <calculatedColumnFormula>SUMIF(Tabela1[[#All],[Coluna3]],Planilha1!A2,Tabela1[[#All],[Valor Pago]])</calculatedColumnFormula>
    </tableColumn>
    <tableColumn id="3" xr3:uid="{6E56BCCF-D7F2-4A65-B8D5-9A7157CD3AE5}" name="TOTAL ITENS PAGOS">
      <calculatedColumnFormula>COUNTIF(Tabela1[[#All],[Coluna3]],Planilha1!A2)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887"/>
  <sheetViews>
    <sheetView topLeftCell="C8864" workbookViewId="0">
      <selection activeCell="H8884" sqref="H8884"/>
    </sheetView>
  </sheetViews>
  <sheetFormatPr defaultRowHeight="15" x14ac:dyDescent="0.25"/>
  <cols>
    <col min="1" max="1" width="10" customWidth="1"/>
    <col min="2" max="2" width="109.85546875" bestFit="1" customWidth="1"/>
    <col min="3" max="3" width="18.28515625" customWidth="1"/>
    <col min="4" max="4" width="18" bestFit="1" customWidth="1"/>
    <col min="5" max="5" width="13.85546875" bestFit="1" customWidth="1"/>
    <col min="6" max="6" width="10.28515625" customWidth="1"/>
    <col min="7" max="7" width="10.28515625" style="3" customWidth="1"/>
    <col min="8" max="14" width="10.28515625" customWidth="1"/>
    <col min="15" max="104" width="11.28515625" customWidth="1"/>
    <col min="105" max="1004" width="12.28515625" customWidth="1"/>
    <col min="1005" max="10004" width="13.28515625" customWidth="1"/>
    <col min="10005" max="16384" width="14.28515625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17697</v>
      </c>
      <c r="G1" s="3" t="s">
        <v>17698</v>
      </c>
      <c r="H1" t="s">
        <v>17699</v>
      </c>
      <c r="I1" t="s">
        <v>17700</v>
      </c>
      <c r="J1" t="s">
        <v>17701</v>
      </c>
      <c r="K1" t="s">
        <v>17702</v>
      </c>
      <c r="L1" t="s">
        <v>17703</v>
      </c>
      <c r="M1" t="s">
        <v>17704</v>
      </c>
      <c r="N1" t="s">
        <v>17705</v>
      </c>
      <c r="O1" t="s">
        <v>17706</v>
      </c>
      <c r="P1" t="s">
        <v>17707</v>
      </c>
      <c r="Q1" t="s">
        <v>17708</v>
      </c>
      <c r="R1" t="s">
        <v>17709</v>
      </c>
      <c r="S1" t="s">
        <v>17710</v>
      </c>
      <c r="T1" t="s">
        <v>17711</v>
      </c>
      <c r="U1" t="s">
        <v>17712</v>
      </c>
      <c r="V1" t="s">
        <v>17713</v>
      </c>
      <c r="W1" t="s">
        <v>17714</v>
      </c>
      <c r="X1" t="s">
        <v>17715</v>
      </c>
      <c r="Y1" t="s">
        <v>17716</v>
      </c>
      <c r="Z1" t="s">
        <v>17717</v>
      </c>
      <c r="AA1" t="s">
        <v>17718</v>
      </c>
      <c r="AB1" t="s">
        <v>17719</v>
      </c>
      <c r="AC1" t="s">
        <v>17720</v>
      </c>
      <c r="AD1" t="s">
        <v>17721</v>
      </c>
      <c r="AE1" t="s">
        <v>17722</v>
      </c>
      <c r="AF1" t="s">
        <v>17723</v>
      </c>
      <c r="AG1" t="s">
        <v>17724</v>
      </c>
      <c r="AH1" t="s">
        <v>17725</v>
      </c>
      <c r="AI1" t="s">
        <v>17726</v>
      </c>
      <c r="AJ1" t="s">
        <v>17727</v>
      </c>
      <c r="AK1" t="s">
        <v>17728</v>
      </c>
      <c r="AL1" t="s">
        <v>17729</v>
      </c>
      <c r="AM1" t="s">
        <v>17730</v>
      </c>
      <c r="AN1" t="s">
        <v>17731</v>
      </c>
      <c r="AO1" t="s">
        <v>17732</v>
      </c>
      <c r="AP1" t="s">
        <v>17733</v>
      </c>
      <c r="AQ1" t="s">
        <v>17734</v>
      </c>
      <c r="AR1" t="s">
        <v>17735</v>
      </c>
      <c r="AS1" t="s">
        <v>17736</v>
      </c>
      <c r="AT1" t="s">
        <v>17737</v>
      </c>
      <c r="AU1" t="s">
        <v>17738</v>
      </c>
      <c r="AV1" t="s">
        <v>17739</v>
      </c>
      <c r="AW1" t="s">
        <v>17740</v>
      </c>
      <c r="AX1" t="s">
        <v>17741</v>
      </c>
      <c r="AY1" t="s">
        <v>17742</v>
      </c>
      <c r="AZ1" t="s">
        <v>17743</v>
      </c>
      <c r="BA1" t="s">
        <v>17744</v>
      </c>
      <c r="BB1" t="s">
        <v>17745</v>
      </c>
      <c r="BC1" t="s">
        <v>17746</v>
      </c>
      <c r="BD1" t="s">
        <v>17747</v>
      </c>
      <c r="BE1" t="s">
        <v>17748</v>
      </c>
      <c r="BF1" t="s">
        <v>17749</v>
      </c>
      <c r="BG1" t="s">
        <v>17750</v>
      </c>
      <c r="BH1" t="s">
        <v>17751</v>
      </c>
      <c r="BI1" t="s">
        <v>17752</v>
      </c>
      <c r="BJ1" t="s">
        <v>17753</v>
      </c>
      <c r="BK1" t="s">
        <v>17754</v>
      </c>
      <c r="BL1" t="s">
        <v>17755</v>
      </c>
      <c r="BM1" t="s">
        <v>17756</v>
      </c>
      <c r="BN1" t="s">
        <v>17757</v>
      </c>
      <c r="BO1" t="s">
        <v>17758</v>
      </c>
      <c r="BP1" t="s">
        <v>17759</v>
      </c>
      <c r="BQ1" t="s">
        <v>17760</v>
      </c>
      <c r="BR1" t="s">
        <v>17761</v>
      </c>
      <c r="BS1" t="s">
        <v>17762</v>
      </c>
      <c r="BT1" t="s">
        <v>17763</v>
      </c>
      <c r="BU1" t="s">
        <v>17764</v>
      </c>
      <c r="BV1" t="s">
        <v>17765</v>
      </c>
      <c r="BW1" t="s">
        <v>17766</v>
      </c>
      <c r="BX1" t="s">
        <v>17767</v>
      </c>
      <c r="BY1" t="s">
        <v>17768</v>
      </c>
      <c r="BZ1" t="s">
        <v>17769</v>
      </c>
      <c r="CA1" t="s">
        <v>17770</v>
      </c>
      <c r="CB1" t="s">
        <v>17771</v>
      </c>
      <c r="CC1" t="s">
        <v>17772</v>
      </c>
      <c r="CD1" t="s">
        <v>17773</v>
      </c>
      <c r="CE1" t="s">
        <v>17774</v>
      </c>
      <c r="CF1" t="s">
        <v>17775</v>
      </c>
      <c r="CG1" t="s">
        <v>17776</v>
      </c>
      <c r="CH1" t="s">
        <v>17777</v>
      </c>
      <c r="CI1" t="s">
        <v>17778</v>
      </c>
      <c r="CJ1" t="s">
        <v>17779</v>
      </c>
      <c r="CK1" t="s">
        <v>17780</v>
      </c>
      <c r="CL1" t="s">
        <v>17781</v>
      </c>
      <c r="CM1" t="s">
        <v>17782</v>
      </c>
      <c r="CN1" t="s">
        <v>17783</v>
      </c>
      <c r="CO1" t="s">
        <v>17784</v>
      </c>
      <c r="CP1" t="s">
        <v>17785</v>
      </c>
      <c r="CQ1" t="s">
        <v>17786</v>
      </c>
      <c r="CR1" t="s">
        <v>17787</v>
      </c>
      <c r="CS1" t="s">
        <v>17788</v>
      </c>
      <c r="CT1" t="s">
        <v>17789</v>
      </c>
      <c r="CU1" t="s">
        <v>17790</v>
      </c>
      <c r="CV1" t="s">
        <v>17791</v>
      </c>
      <c r="CW1" t="s">
        <v>17792</v>
      </c>
      <c r="CX1" t="s">
        <v>17793</v>
      </c>
      <c r="CY1" t="s">
        <v>17794</v>
      </c>
      <c r="CZ1" t="s">
        <v>17795</v>
      </c>
      <c r="DA1" t="s">
        <v>17796</v>
      </c>
      <c r="DB1" t="s">
        <v>17797</v>
      </c>
      <c r="DC1" t="s">
        <v>17798</v>
      </c>
      <c r="DD1" t="s">
        <v>17799</v>
      </c>
      <c r="DE1" t="s">
        <v>17800</v>
      </c>
      <c r="DF1" t="s">
        <v>17801</v>
      </c>
      <c r="DG1" t="s">
        <v>17802</v>
      </c>
      <c r="DH1" t="s">
        <v>17803</v>
      </c>
      <c r="DI1" t="s">
        <v>17804</v>
      </c>
      <c r="DJ1" t="s">
        <v>17805</v>
      </c>
      <c r="DK1" t="s">
        <v>17806</v>
      </c>
      <c r="DL1" t="s">
        <v>17807</v>
      </c>
      <c r="DM1" t="s">
        <v>17808</v>
      </c>
      <c r="DN1" t="s">
        <v>17809</v>
      </c>
      <c r="DO1" t="s">
        <v>17810</v>
      </c>
      <c r="DP1" t="s">
        <v>17811</v>
      </c>
      <c r="DQ1" t="s">
        <v>17812</v>
      </c>
      <c r="DR1" t="s">
        <v>17813</v>
      </c>
      <c r="DS1" t="s">
        <v>17814</v>
      </c>
      <c r="DT1" t="s">
        <v>17815</v>
      </c>
      <c r="DU1" t="s">
        <v>17816</v>
      </c>
      <c r="DV1" t="s">
        <v>17817</v>
      </c>
      <c r="DW1" t="s">
        <v>17818</v>
      </c>
      <c r="DX1" t="s">
        <v>17819</v>
      </c>
      <c r="DY1" t="s">
        <v>17820</v>
      </c>
      <c r="DZ1" t="s">
        <v>17821</v>
      </c>
      <c r="EA1" t="s">
        <v>17822</v>
      </c>
      <c r="EB1" t="s">
        <v>17823</v>
      </c>
      <c r="EC1" t="s">
        <v>17824</v>
      </c>
      <c r="ED1" t="s">
        <v>17825</v>
      </c>
      <c r="EE1" t="s">
        <v>17826</v>
      </c>
      <c r="EF1" t="s">
        <v>17827</v>
      </c>
      <c r="EG1" t="s">
        <v>17828</v>
      </c>
      <c r="EH1" t="s">
        <v>17829</v>
      </c>
      <c r="EI1" t="s">
        <v>17830</v>
      </c>
      <c r="EJ1" t="s">
        <v>17831</v>
      </c>
      <c r="EK1" t="s">
        <v>17832</v>
      </c>
      <c r="EL1" t="s">
        <v>17833</v>
      </c>
      <c r="EM1" t="s">
        <v>17834</v>
      </c>
      <c r="EN1" t="s">
        <v>17835</v>
      </c>
      <c r="EO1" t="s">
        <v>17836</v>
      </c>
      <c r="EP1" t="s">
        <v>17837</v>
      </c>
      <c r="EQ1" t="s">
        <v>17838</v>
      </c>
      <c r="ER1" t="s">
        <v>17839</v>
      </c>
      <c r="ES1" t="s">
        <v>17840</v>
      </c>
      <c r="ET1" t="s">
        <v>17841</v>
      </c>
      <c r="EU1" t="s">
        <v>17842</v>
      </c>
      <c r="EV1" t="s">
        <v>17843</v>
      </c>
      <c r="EW1" t="s">
        <v>17844</v>
      </c>
      <c r="EX1" t="s">
        <v>17845</v>
      </c>
      <c r="EY1" t="s">
        <v>17846</v>
      </c>
      <c r="EZ1" t="s">
        <v>17847</v>
      </c>
      <c r="FA1" t="s">
        <v>17848</v>
      </c>
      <c r="FB1" t="s">
        <v>17849</v>
      </c>
      <c r="FC1" t="s">
        <v>17850</v>
      </c>
      <c r="FD1" t="s">
        <v>17851</v>
      </c>
      <c r="FE1" t="s">
        <v>17852</v>
      </c>
      <c r="FF1" t="s">
        <v>17853</v>
      </c>
      <c r="FG1" t="s">
        <v>17854</v>
      </c>
      <c r="FH1" t="s">
        <v>17855</v>
      </c>
      <c r="FI1" t="s">
        <v>17856</v>
      </c>
      <c r="FJ1" t="s">
        <v>17857</v>
      </c>
      <c r="FK1" t="s">
        <v>17858</v>
      </c>
      <c r="FL1" t="s">
        <v>17859</v>
      </c>
      <c r="FM1" t="s">
        <v>17860</v>
      </c>
      <c r="FN1" t="s">
        <v>17861</v>
      </c>
      <c r="FO1" t="s">
        <v>17862</v>
      </c>
      <c r="FP1" t="s">
        <v>17863</v>
      </c>
      <c r="FQ1" t="s">
        <v>17864</v>
      </c>
      <c r="FR1" t="s">
        <v>17865</v>
      </c>
      <c r="FS1" t="s">
        <v>17866</v>
      </c>
      <c r="FT1" t="s">
        <v>17867</v>
      </c>
      <c r="FU1" t="s">
        <v>17868</v>
      </c>
      <c r="FV1" t="s">
        <v>17869</v>
      </c>
      <c r="FW1" t="s">
        <v>17870</v>
      </c>
      <c r="FX1" t="s">
        <v>17871</v>
      </c>
      <c r="FY1" t="s">
        <v>17872</v>
      </c>
      <c r="FZ1" t="s">
        <v>17873</v>
      </c>
      <c r="GA1" t="s">
        <v>17874</v>
      </c>
      <c r="GB1" t="s">
        <v>17875</v>
      </c>
      <c r="GC1" t="s">
        <v>17876</v>
      </c>
      <c r="GD1" t="s">
        <v>17877</v>
      </c>
      <c r="GE1" t="s">
        <v>17878</v>
      </c>
      <c r="GF1" t="s">
        <v>17879</v>
      </c>
      <c r="GG1" t="s">
        <v>17880</v>
      </c>
      <c r="GH1" t="s">
        <v>17881</v>
      </c>
      <c r="GI1" t="s">
        <v>17882</v>
      </c>
      <c r="GJ1" t="s">
        <v>17883</v>
      </c>
      <c r="GK1" t="s">
        <v>17884</v>
      </c>
      <c r="GL1" t="s">
        <v>17885</v>
      </c>
      <c r="GM1" t="s">
        <v>17886</v>
      </c>
      <c r="GN1" t="s">
        <v>17887</v>
      </c>
      <c r="GO1" t="s">
        <v>17888</v>
      </c>
      <c r="GP1" t="s">
        <v>17889</v>
      </c>
      <c r="GQ1" t="s">
        <v>17890</v>
      </c>
      <c r="GR1" t="s">
        <v>17891</v>
      </c>
      <c r="GS1" t="s">
        <v>17892</v>
      </c>
      <c r="GT1" t="s">
        <v>17893</v>
      </c>
      <c r="GU1" t="s">
        <v>17894</v>
      </c>
      <c r="GV1" t="s">
        <v>17895</v>
      </c>
      <c r="GW1" t="s">
        <v>17896</v>
      </c>
      <c r="GX1" t="s">
        <v>17897</v>
      </c>
      <c r="GY1" t="s">
        <v>17898</v>
      </c>
      <c r="GZ1" t="s">
        <v>17899</v>
      </c>
      <c r="HA1" t="s">
        <v>17900</v>
      </c>
      <c r="HB1" t="s">
        <v>17901</v>
      </c>
      <c r="HC1" t="s">
        <v>17902</v>
      </c>
      <c r="HD1" t="s">
        <v>17903</v>
      </c>
      <c r="HE1" t="s">
        <v>17904</v>
      </c>
      <c r="HF1" t="s">
        <v>17905</v>
      </c>
      <c r="HG1" t="s">
        <v>17906</v>
      </c>
      <c r="HH1" t="s">
        <v>17907</v>
      </c>
      <c r="HI1" t="s">
        <v>17908</v>
      </c>
      <c r="HJ1" t="s">
        <v>17909</v>
      </c>
      <c r="HK1" t="s">
        <v>17910</v>
      </c>
      <c r="HL1" t="s">
        <v>17911</v>
      </c>
      <c r="HM1" t="s">
        <v>17912</v>
      </c>
      <c r="HN1" t="s">
        <v>17913</v>
      </c>
      <c r="HO1" t="s">
        <v>17914</v>
      </c>
      <c r="HP1" t="s">
        <v>17915</v>
      </c>
      <c r="HQ1" t="s">
        <v>17916</v>
      </c>
      <c r="HR1" t="s">
        <v>17917</v>
      </c>
      <c r="HS1" t="s">
        <v>17918</v>
      </c>
      <c r="HT1" t="s">
        <v>17919</v>
      </c>
      <c r="HU1" t="s">
        <v>17920</v>
      </c>
      <c r="HV1" t="s">
        <v>17921</v>
      </c>
      <c r="HW1" t="s">
        <v>17922</v>
      </c>
      <c r="HX1" t="s">
        <v>17923</v>
      </c>
      <c r="HY1" t="s">
        <v>17924</v>
      </c>
      <c r="HZ1" t="s">
        <v>17925</v>
      </c>
      <c r="IA1" t="s">
        <v>17926</v>
      </c>
      <c r="IB1" t="s">
        <v>17927</v>
      </c>
      <c r="IC1" t="s">
        <v>17928</v>
      </c>
      <c r="ID1" t="s">
        <v>17929</v>
      </c>
      <c r="IE1" t="s">
        <v>17930</v>
      </c>
      <c r="IF1" t="s">
        <v>17931</v>
      </c>
      <c r="IG1" t="s">
        <v>17932</v>
      </c>
      <c r="IH1" t="s">
        <v>17933</v>
      </c>
      <c r="II1" t="s">
        <v>17934</v>
      </c>
      <c r="IJ1" t="s">
        <v>17935</v>
      </c>
      <c r="IK1" t="s">
        <v>17936</v>
      </c>
      <c r="IL1" t="s">
        <v>17937</v>
      </c>
      <c r="IM1" t="s">
        <v>17938</v>
      </c>
      <c r="IN1" t="s">
        <v>17939</v>
      </c>
      <c r="IO1" t="s">
        <v>17940</v>
      </c>
      <c r="IP1" t="s">
        <v>17941</v>
      </c>
      <c r="IQ1" t="s">
        <v>17942</v>
      </c>
      <c r="IR1" t="s">
        <v>17943</v>
      </c>
      <c r="IS1" t="s">
        <v>17944</v>
      </c>
      <c r="IT1" t="s">
        <v>17945</v>
      </c>
      <c r="IU1" t="s">
        <v>17946</v>
      </c>
      <c r="IV1" t="s">
        <v>17947</v>
      </c>
      <c r="IW1" t="s">
        <v>17948</v>
      </c>
      <c r="IX1" t="s">
        <v>17949</v>
      </c>
      <c r="IY1" t="s">
        <v>17950</v>
      </c>
      <c r="IZ1" t="s">
        <v>17951</v>
      </c>
      <c r="JA1" t="s">
        <v>17952</v>
      </c>
      <c r="JB1" t="s">
        <v>17953</v>
      </c>
      <c r="JC1" t="s">
        <v>17954</v>
      </c>
      <c r="JD1" t="s">
        <v>17955</v>
      </c>
      <c r="JE1" t="s">
        <v>17956</v>
      </c>
      <c r="JF1" t="s">
        <v>17957</v>
      </c>
      <c r="JG1" t="s">
        <v>17958</v>
      </c>
      <c r="JH1" t="s">
        <v>17959</v>
      </c>
      <c r="JI1" t="s">
        <v>17960</v>
      </c>
      <c r="JJ1" t="s">
        <v>17961</v>
      </c>
      <c r="JK1" t="s">
        <v>17962</v>
      </c>
      <c r="JL1" t="s">
        <v>17963</v>
      </c>
      <c r="JM1" t="s">
        <v>17964</v>
      </c>
      <c r="JN1" t="s">
        <v>17965</v>
      </c>
      <c r="JO1" t="s">
        <v>17966</v>
      </c>
      <c r="JP1" t="s">
        <v>17967</v>
      </c>
      <c r="JQ1" t="s">
        <v>17968</v>
      </c>
      <c r="JR1" t="s">
        <v>17969</v>
      </c>
      <c r="JS1" t="s">
        <v>17970</v>
      </c>
      <c r="JT1" t="s">
        <v>17971</v>
      </c>
      <c r="JU1" t="s">
        <v>17972</v>
      </c>
      <c r="JV1" t="s">
        <v>17973</v>
      </c>
      <c r="JW1" t="s">
        <v>17974</v>
      </c>
      <c r="JX1" t="s">
        <v>17975</v>
      </c>
      <c r="JY1" t="s">
        <v>17976</v>
      </c>
      <c r="JZ1" t="s">
        <v>17977</v>
      </c>
      <c r="KA1" t="s">
        <v>17978</v>
      </c>
      <c r="KB1" t="s">
        <v>17979</v>
      </c>
      <c r="KC1" t="s">
        <v>17980</v>
      </c>
      <c r="KD1" t="s">
        <v>17981</v>
      </c>
      <c r="KE1" t="s">
        <v>17982</v>
      </c>
      <c r="KF1" t="s">
        <v>17983</v>
      </c>
      <c r="KG1" t="s">
        <v>17984</v>
      </c>
      <c r="KH1" t="s">
        <v>17985</v>
      </c>
      <c r="KI1" t="s">
        <v>17986</v>
      </c>
      <c r="KJ1" t="s">
        <v>17987</v>
      </c>
      <c r="KK1" t="s">
        <v>17988</v>
      </c>
      <c r="KL1" t="s">
        <v>17989</v>
      </c>
      <c r="KM1" t="s">
        <v>17990</v>
      </c>
      <c r="KN1" t="s">
        <v>17991</v>
      </c>
      <c r="KO1" t="s">
        <v>17992</v>
      </c>
      <c r="KP1" t="s">
        <v>17993</v>
      </c>
      <c r="KQ1" t="s">
        <v>17994</v>
      </c>
      <c r="KR1" t="s">
        <v>17995</v>
      </c>
      <c r="KS1" t="s">
        <v>17996</v>
      </c>
      <c r="KT1" t="s">
        <v>17997</v>
      </c>
      <c r="KU1" t="s">
        <v>17998</v>
      </c>
      <c r="KV1" t="s">
        <v>17999</v>
      </c>
      <c r="KW1" t="s">
        <v>18000</v>
      </c>
      <c r="KX1" t="s">
        <v>18001</v>
      </c>
      <c r="KY1" t="s">
        <v>18002</v>
      </c>
      <c r="KZ1" t="s">
        <v>18003</v>
      </c>
      <c r="LA1" t="s">
        <v>18004</v>
      </c>
      <c r="LB1" t="s">
        <v>18005</v>
      </c>
      <c r="LC1" t="s">
        <v>18006</v>
      </c>
      <c r="LD1" t="s">
        <v>18007</v>
      </c>
      <c r="LE1" t="s">
        <v>18008</v>
      </c>
      <c r="LF1" t="s">
        <v>18009</v>
      </c>
      <c r="LG1" t="s">
        <v>18010</v>
      </c>
      <c r="LH1" t="s">
        <v>18011</v>
      </c>
      <c r="LI1" t="s">
        <v>18012</v>
      </c>
      <c r="LJ1" t="s">
        <v>18013</v>
      </c>
      <c r="LK1" t="s">
        <v>18014</v>
      </c>
      <c r="LL1" t="s">
        <v>18015</v>
      </c>
      <c r="LM1" t="s">
        <v>18016</v>
      </c>
      <c r="LN1" t="s">
        <v>18017</v>
      </c>
      <c r="LO1" t="s">
        <v>18018</v>
      </c>
      <c r="LP1" t="s">
        <v>18019</v>
      </c>
      <c r="LQ1" t="s">
        <v>18020</v>
      </c>
      <c r="LR1" t="s">
        <v>18021</v>
      </c>
      <c r="LS1" t="s">
        <v>18022</v>
      </c>
      <c r="LT1" t="s">
        <v>18023</v>
      </c>
      <c r="LU1" t="s">
        <v>18024</v>
      </c>
      <c r="LV1" t="s">
        <v>18025</v>
      </c>
      <c r="LW1" t="s">
        <v>18026</v>
      </c>
      <c r="LX1" t="s">
        <v>18027</v>
      </c>
      <c r="LY1" t="s">
        <v>18028</v>
      </c>
      <c r="LZ1" t="s">
        <v>18029</v>
      </c>
      <c r="MA1" t="s">
        <v>18030</v>
      </c>
      <c r="MB1" t="s">
        <v>18031</v>
      </c>
      <c r="MC1" t="s">
        <v>18032</v>
      </c>
      <c r="MD1" t="s">
        <v>18033</v>
      </c>
      <c r="ME1" t="s">
        <v>18034</v>
      </c>
      <c r="MF1" t="s">
        <v>18035</v>
      </c>
      <c r="MG1" t="s">
        <v>18036</v>
      </c>
      <c r="MH1" t="s">
        <v>18037</v>
      </c>
      <c r="MI1" t="s">
        <v>18038</v>
      </c>
      <c r="MJ1" t="s">
        <v>18039</v>
      </c>
      <c r="MK1" t="s">
        <v>18040</v>
      </c>
      <c r="ML1" t="s">
        <v>18041</v>
      </c>
      <c r="MM1" t="s">
        <v>18042</v>
      </c>
      <c r="MN1" t="s">
        <v>18043</v>
      </c>
      <c r="MO1" t="s">
        <v>18044</v>
      </c>
      <c r="MP1" t="s">
        <v>18045</v>
      </c>
      <c r="MQ1" t="s">
        <v>18046</v>
      </c>
      <c r="MR1" t="s">
        <v>18047</v>
      </c>
      <c r="MS1" t="s">
        <v>18048</v>
      </c>
      <c r="MT1" t="s">
        <v>18049</v>
      </c>
      <c r="MU1" t="s">
        <v>18050</v>
      </c>
      <c r="MV1" t="s">
        <v>18051</v>
      </c>
      <c r="MW1" t="s">
        <v>18052</v>
      </c>
      <c r="MX1" t="s">
        <v>18053</v>
      </c>
      <c r="MY1" t="s">
        <v>18054</v>
      </c>
      <c r="MZ1" t="s">
        <v>18055</v>
      </c>
      <c r="NA1" t="s">
        <v>18056</v>
      </c>
      <c r="NB1" t="s">
        <v>18057</v>
      </c>
      <c r="NC1" t="s">
        <v>18058</v>
      </c>
      <c r="ND1" t="s">
        <v>18059</v>
      </c>
      <c r="NE1" t="s">
        <v>18060</v>
      </c>
      <c r="NF1" t="s">
        <v>18061</v>
      </c>
      <c r="NG1" t="s">
        <v>18062</v>
      </c>
      <c r="NH1" t="s">
        <v>18063</v>
      </c>
      <c r="NI1" t="s">
        <v>18064</v>
      </c>
      <c r="NJ1" t="s">
        <v>18065</v>
      </c>
      <c r="NK1" t="s">
        <v>18066</v>
      </c>
      <c r="NL1" t="s">
        <v>18067</v>
      </c>
      <c r="NM1" t="s">
        <v>18068</v>
      </c>
      <c r="NN1" t="s">
        <v>18069</v>
      </c>
      <c r="NO1" t="s">
        <v>18070</v>
      </c>
      <c r="NP1" t="s">
        <v>18071</v>
      </c>
      <c r="NQ1" t="s">
        <v>18072</v>
      </c>
      <c r="NR1" t="s">
        <v>18073</v>
      </c>
      <c r="NS1" t="s">
        <v>18074</v>
      </c>
      <c r="NT1" t="s">
        <v>18075</v>
      </c>
      <c r="NU1" t="s">
        <v>18076</v>
      </c>
      <c r="NV1" t="s">
        <v>18077</v>
      </c>
      <c r="NW1" t="s">
        <v>18078</v>
      </c>
      <c r="NX1" t="s">
        <v>18079</v>
      </c>
      <c r="NY1" t="s">
        <v>18080</v>
      </c>
      <c r="NZ1" t="s">
        <v>18081</v>
      </c>
      <c r="OA1" t="s">
        <v>18082</v>
      </c>
      <c r="OB1" t="s">
        <v>18083</v>
      </c>
      <c r="OC1" t="s">
        <v>18084</v>
      </c>
      <c r="OD1" t="s">
        <v>18085</v>
      </c>
      <c r="OE1" t="s">
        <v>18086</v>
      </c>
      <c r="OF1" t="s">
        <v>18087</v>
      </c>
      <c r="OG1" t="s">
        <v>18088</v>
      </c>
      <c r="OH1" t="s">
        <v>18089</v>
      </c>
      <c r="OI1" t="s">
        <v>18090</v>
      </c>
      <c r="OJ1" t="s">
        <v>18091</v>
      </c>
      <c r="OK1" t="s">
        <v>18092</v>
      </c>
      <c r="OL1" t="s">
        <v>18093</v>
      </c>
      <c r="OM1" t="s">
        <v>18094</v>
      </c>
      <c r="ON1" t="s">
        <v>18095</v>
      </c>
      <c r="OO1" t="s">
        <v>18096</v>
      </c>
      <c r="OP1" t="s">
        <v>18097</v>
      </c>
      <c r="OQ1" t="s">
        <v>18098</v>
      </c>
      <c r="OR1" t="s">
        <v>18099</v>
      </c>
      <c r="OS1" t="s">
        <v>18100</v>
      </c>
      <c r="OT1" t="s">
        <v>18101</v>
      </c>
      <c r="OU1" t="s">
        <v>18102</v>
      </c>
      <c r="OV1" t="s">
        <v>18103</v>
      </c>
      <c r="OW1" t="s">
        <v>18104</v>
      </c>
      <c r="OX1" t="s">
        <v>18105</v>
      </c>
      <c r="OY1" t="s">
        <v>18106</v>
      </c>
      <c r="OZ1" t="s">
        <v>18107</v>
      </c>
      <c r="PA1" t="s">
        <v>18108</v>
      </c>
      <c r="PB1" t="s">
        <v>18109</v>
      </c>
      <c r="PC1" t="s">
        <v>18110</v>
      </c>
      <c r="PD1" t="s">
        <v>18111</v>
      </c>
      <c r="PE1" t="s">
        <v>18112</v>
      </c>
      <c r="PF1" t="s">
        <v>18113</v>
      </c>
      <c r="PG1" t="s">
        <v>18114</v>
      </c>
      <c r="PH1" t="s">
        <v>18115</v>
      </c>
      <c r="PI1" t="s">
        <v>18116</v>
      </c>
      <c r="PJ1" t="s">
        <v>18117</v>
      </c>
      <c r="PK1" t="s">
        <v>18118</v>
      </c>
      <c r="PL1" t="s">
        <v>18119</v>
      </c>
      <c r="PM1" t="s">
        <v>18120</v>
      </c>
      <c r="PN1" t="s">
        <v>18121</v>
      </c>
      <c r="PO1" t="s">
        <v>18122</v>
      </c>
      <c r="PP1" t="s">
        <v>18123</v>
      </c>
      <c r="PQ1" t="s">
        <v>18124</v>
      </c>
      <c r="PR1" t="s">
        <v>18125</v>
      </c>
      <c r="PS1" t="s">
        <v>18126</v>
      </c>
      <c r="PT1" t="s">
        <v>18127</v>
      </c>
      <c r="PU1" t="s">
        <v>18128</v>
      </c>
      <c r="PV1" t="s">
        <v>18129</v>
      </c>
      <c r="PW1" t="s">
        <v>18130</v>
      </c>
      <c r="PX1" t="s">
        <v>18131</v>
      </c>
      <c r="PY1" t="s">
        <v>18132</v>
      </c>
      <c r="PZ1" t="s">
        <v>18133</v>
      </c>
      <c r="QA1" t="s">
        <v>18134</v>
      </c>
      <c r="QB1" t="s">
        <v>18135</v>
      </c>
      <c r="QC1" t="s">
        <v>18136</v>
      </c>
      <c r="QD1" t="s">
        <v>18137</v>
      </c>
      <c r="QE1" t="s">
        <v>18138</v>
      </c>
      <c r="QF1" t="s">
        <v>18139</v>
      </c>
      <c r="QG1" t="s">
        <v>18140</v>
      </c>
      <c r="QH1" t="s">
        <v>18141</v>
      </c>
      <c r="QI1" t="s">
        <v>18142</v>
      </c>
      <c r="QJ1" t="s">
        <v>18143</v>
      </c>
      <c r="QK1" t="s">
        <v>18144</v>
      </c>
      <c r="QL1" t="s">
        <v>18145</v>
      </c>
      <c r="QM1" t="s">
        <v>18146</v>
      </c>
      <c r="QN1" t="s">
        <v>18147</v>
      </c>
      <c r="QO1" t="s">
        <v>18148</v>
      </c>
      <c r="QP1" t="s">
        <v>18149</v>
      </c>
      <c r="QQ1" t="s">
        <v>18150</v>
      </c>
      <c r="QR1" t="s">
        <v>18151</v>
      </c>
      <c r="QS1" t="s">
        <v>18152</v>
      </c>
      <c r="QT1" t="s">
        <v>18153</v>
      </c>
      <c r="QU1" t="s">
        <v>18154</v>
      </c>
      <c r="QV1" t="s">
        <v>18155</v>
      </c>
      <c r="QW1" t="s">
        <v>18156</v>
      </c>
      <c r="QX1" t="s">
        <v>18157</v>
      </c>
      <c r="QY1" t="s">
        <v>18158</v>
      </c>
      <c r="QZ1" t="s">
        <v>18159</v>
      </c>
      <c r="RA1" t="s">
        <v>18160</v>
      </c>
      <c r="RB1" t="s">
        <v>18161</v>
      </c>
      <c r="RC1" t="s">
        <v>18162</v>
      </c>
      <c r="RD1" t="s">
        <v>18163</v>
      </c>
      <c r="RE1" t="s">
        <v>18164</v>
      </c>
      <c r="RF1" t="s">
        <v>18165</v>
      </c>
      <c r="RG1" t="s">
        <v>18166</v>
      </c>
      <c r="RH1" t="s">
        <v>18167</v>
      </c>
      <c r="RI1" t="s">
        <v>18168</v>
      </c>
      <c r="RJ1" t="s">
        <v>18169</v>
      </c>
      <c r="RK1" t="s">
        <v>18170</v>
      </c>
      <c r="RL1" t="s">
        <v>18171</v>
      </c>
      <c r="RM1" t="s">
        <v>18172</v>
      </c>
      <c r="RN1" t="s">
        <v>18173</v>
      </c>
      <c r="RO1" t="s">
        <v>18174</v>
      </c>
      <c r="RP1" t="s">
        <v>18175</v>
      </c>
      <c r="RQ1" t="s">
        <v>18176</v>
      </c>
      <c r="RR1" t="s">
        <v>18177</v>
      </c>
      <c r="RS1" t="s">
        <v>18178</v>
      </c>
      <c r="RT1" t="s">
        <v>18179</v>
      </c>
      <c r="RU1" t="s">
        <v>18180</v>
      </c>
      <c r="RV1" t="s">
        <v>18181</v>
      </c>
      <c r="RW1" t="s">
        <v>18182</v>
      </c>
      <c r="RX1" t="s">
        <v>18183</v>
      </c>
      <c r="RY1" t="s">
        <v>18184</v>
      </c>
      <c r="RZ1" t="s">
        <v>18185</v>
      </c>
      <c r="SA1" t="s">
        <v>18186</v>
      </c>
      <c r="SB1" t="s">
        <v>18187</v>
      </c>
      <c r="SC1" t="s">
        <v>18188</v>
      </c>
      <c r="SD1" t="s">
        <v>18189</v>
      </c>
      <c r="SE1" t="s">
        <v>18190</v>
      </c>
      <c r="SF1" t="s">
        <v>18191</v>
      </c>
      <c r="SG1" t="s">
        <v>18192</v>
      </c>
      <c r="SH1" t="s">
        <v>18193</v>
      </c>
      <c r="SI1" t="s">
        <v>18194</v>
      </c>
      <c r="SJ1" t="s">
        <v>18195</v>
      </c>
      <c r="SK1" t="s">
        <v>18196</v>
      </c>
      <c r="SL1" t="s">
        <v>18197</v>
      </c>
      <c r="SM1" t="s">
        <v>18198</v>
      </c>
      <c r="SN1" t="s">
        <v>18199</v>
      </c>
      <c r="SO1" t="s">
        <v>18200</v>
      </c>
      <c r="SP1" t="s">
        <v>18201</v>
      </c>
      <c r="SQ1" t="s">
        <v>18202</v>
      </c>
      <c r="SR1" t="s">
        <v>18203</v>
      </c>
      <c r="SS1" t="s">
        <v>18204</v>
      </c>
      <c r="ST1" t="s">
        <v>18205</v>
      </c>
      <c r="SU1" t="s">
        <v>18206</v>
      </c>
      <c r="SV1" t="s">
        <v>18207</v>
      </c>
      <c r="SW1" t="s">
        <v>18208</v>
      </c>
      <c r="SX1" t="s">
        <v>18209</v>
      </c>
      <c r="SY1" t="s">
        <v>18210</v>
      </c>
      <c r="SZ1" t="s">
        <v>18211</v>
      </c>
      <c r="TA1" t="s">
        <v>18212</v>
      </c>
      <c r="TB1" t="s">
        <v>18213</v>
      </c>
      <c r="TC1" t="s">
        <v>18214</v>
      </c>
      <c r="TD1" t="s">
        <v>18215</v>
      </c>
      <c r="TE1" t="s">
        <v>18216</v>
      </c>
      <c r="TF1" t="s">
        <v>18217</v>
      </c>
      <c r="TG1" t="s">
        <v>18218</v>
      </c>
      <c r="TH1" t="s">
        <v>18219</v>
      </c>
      <c r="TI1" t="s">
        <v>18220</v>
      </c>
      <c r="TJ1" t="s">
        <v>18221</v>
      </c>
      <c r="TK1" t="s">
        <v>18222</v>
      </c>
      <c r="TL1" t="s">
        <v>18223</v>
      </c>
      <c r="TM1" t="s">
        <v>18224</v>
      </c>
      <c r="TN1" t="s">
        <v>18225</v>
      </c>
      <c r="TO1" t="s">
        <v>18226</v>
      </c>
      <c r="TP1" t="s">
        <v>18227</v>
      </c>
      <c r="TQ1" t="s">
        <v>18228</v>
      </c>
      <c r="TR1" t="s">
        <v>18229</v>
      </c>
      <c r="TS1" t="s">
        <v>18230</v>
      </c>
      <c r="TT1" t="s">
        <v>18231</v>
      </c>
      <c r="TU1" t="s">
        <v>18232</v>
      </c>
      <c r="TV1" t="s">
        <v>18233</v>
      </c>
      <c r="TW1" t="s">
        <v>18234</v>
      </c>
      <c r="TX1" t="s">
        <v>18235</v>
      </c>
      <c r="TY1" t="s">
        <v>18236</v>
      </c>
      <c r="TZ1" t="s">
        <v>18237</v>
      </c>
      <c r="UA1" t="s">
        <v>18238</v>
      </c>
      <c r="UB1" t="s">
        <v>18239</v>
      </c>
      <c r="UC1" t="s">
        <v>18240</v>
      </c>
      <c r="UD1" t="s">
        <v>18241</v>
      </c>
      <c r="UE1" t="s">
        <v>18242</v>
      </c>
      <c r="UF1" t="s">
        <v>18243</v>
      </c>
      <c r="UG1" t="s">
        <v>18244</v>
      </c>
      <c r="UH1" t="s">
        <v>18245</v>
      </c>
      <c r="UI1" t="s">
        <v>18246</v>
      </c>
      <c r="UJ1" t="s">
        <v>18247</v>
      </c>
      <c r="UK1" t="s">
        <v>18248</v>
      </c>
      <c r="UL1" t="s">
        <v>18249</v>
      </c>
      <c r="UM1" t="s">
        <v>18250</v>
      </c>
      <c r="UN1" t="s">
        <v>18251</v>
      </c>
      <c r="UO1" t="s">
        <v>18252</v>
      </c>
      <c r="UP1" t="s">
        <v>18253</v>
      </c>
      <c r="UQ1" t="s">
        <v>18254</v>
      </c>
      <c r="UR1" t="s">
        <v>18255</v>
      </c>
      <c r="US1" t="s">
        <v>18256</v>
      </c>
      <c r="UT1" t="s">
        <v>18257</v>
      </c>
      <c r="UU1" t="s">
        <v>18258</v>
      </c>
      <c r="UV1" t="s">
        <v>18259</v>
      </c>
      <c r="UW1" t="s">
        <v>18260</v>
      </c>
      <c r="UX1" t="s">
        <v>18261</v>
      </c>
      <c r="UY1" t="s">
        <v>18262</v>
      </c>
      <c r="UZ1" t="s">
        <v>18263</v>
      </c>
      <c r="VA1" t="s">
        <v>18264</v>
      </c>
      <c r="VB1" t="s">
        <v>18265</v>
      </c>
      <c r="VC1" t="s">
        <v>18266</v>
      </c>
      <c r="VD1" t="s">
        <v>18267</v>
      </c>
      <c r="VE1" t="s">
        <v>18268</v>
      </c>
      <c r="VF1" t="s">
        <v>18269</v>
      </c>
      <c r="VG1" t="s">
        <v>18270</v>
      </c>
      <c r="VH1" t="s">
        <v>18271</v>
      </c>
      <c r="VI1" t="s">
        <v>18272</v>
      </c>
      <c r="VJ1" t="s">
        <v>18273</v>
      </c>
      <c r="VK1" t="s">
        <v>18274</v>
      </c>
      <c r="VL1" t="s">
        <v>18275</v>
      </c>
      <c r="VM1" t="s">
        <v>18276</v>
      </c>
      <c r="VN1" t="s">
        <v>18277</v>
      </c>
      <c r="VO1" t="s">
        <v>18278</v>
      </c>
      <c r="VP1" t="s">
        <v>18279</v>
      </c>
      <c r="VQ1" t="s">
        <v>18280</v>
      </c>
      <c r="VR1" t="s">
        <v>18281</v>
      </c>
      <c r="VS1" t="s">
        <v>18282</v>
      </c>
      <c r="VT1" t="s">
        <v>18283</v>
      </c>
      <c r="VU1" t="s">
        <v>18284</v>
      </c>
      <c r="VV1" t="s">
        <v>18285</v>
      </c>
      <c r="VW1" t="s">
        <v>18286</v>
      </c>
      <c r="VX1" t="s">
        <v>18287</v>
      </c>
      <c r="VY1" t="s">
        <v>18288</v>
      </c>
      <c r="VZ1" t="s">
        <v>18289</v>
      </c>
      <c r="WA1" t="s">
        <v>18290</v>
      </c>
      <c r="WB1" t="s">
        <v>18291</v>
      </c>
      <c r="WC1" t="s">
        <v>18292</v>
      </c>
      <c r="WD1" t="s">
        <v>18293</v>
      </c>
      <c r="WE1" t="s">
        <v>18294</v>
      </c>
      <c r="WF1" t="s">
        <v>18295</v>
      </c>
      <c r="WG1" t="s">
        <v>18296</v>
      </c>
      <c r="WH1" t="s">
        <v>18297</v>
      </c>
      <c r="WI1" t="s">
        <v>18298</v>
      </c>
      <c r="WJ1" t="s">
        <v>18299</v>
      </c>
      <c r="WK1" t="s">
        <v>18300</v>
      </c>
      <c r="WL1" t="s">
        <v>18301</v>
      </c>
      <c r="WM1" t="s">
        <v>18302</v>
      </c>
      <c r="WN1" t="s">
        <v>18303</v>
      </c>
      <c r="WO1" t="s">
        <v>18304</v>
      </c>
      <c r="WP1" t="s">
        <v>18305</v>
      </c>
      <c r="WQ1" t="s">
        <v>18306</v>
      </c>
      <c r="WR1" t="s">
        <v>18307</v>
      </c>
      <c r="WS1" t="s">
        <v>18308</v>
      </c>
      <c r="WT1" t="s">
        <v>18309</v>
      </c>
      <c r="WU1" t="s">
        <v>18310</v>
      </c>
      <c r="WV1" t="s">
        <v>18311</v>
      </c>
      <c r="WW1" t="s">
        <v>18312</v>
      </c>
      <c r="WX1" t="s">
        <v>18313</v>
      </c>
      <c r="WY1" t="s">
        <v>18314</v>
      </c>
      <c r="WZ1" t="s">
        <v>18315</v>
      </c>
      <c r="XA1" t="s">
        <v>18316</v>
      </c>
      <c r="XB1" t="s">
        <v>18317</v>
      </c>
      <c r="XC1" t="s">
        <v>18318</v>
      </c>
      <c r="XD1" t="s">
        <v>18319</v>
      </c>
      <c r="XE1" t="s">
        <v>18320</v>
      </c>
      <c r="XF1" t="s">
        <v>18321</v>
      </c>
      <c r="XG1" t="s">
        <v>18322</v>
      </c>
      <c r="XH1" t="s">
        <v>18323</v>
      </c>
      <c r="XI1" t="s">
        <v>18324</v>
      </c>
      <c r="XJ1" t="s">
        <v>18325</v>
      </c>
      <c r="XK1" t="s">
        <v>18326</v>
      </c>
      <c r="XL1" t="s">
        <v>18327</v>
      </c>
      <c r="XM1" t="s">
        <v>18328</v>
      </c>
      <c r="XN1" t="s">
        <v>18329</v>
      </c>
      <c r="XO1" t="s">
        <v>18330</v>
      </c>
      <c r="XP1" t="s">
        <v>18331</v>
      </c>
      <c r="XQ1" t="s">
        <v>18332</v>
      </c>
      <c r="XR1" t="s">
        <v>18333</v>
      </c>
      <c r="XS1" t="s">
        <v>18334</v>
      </c>
      <c r="XT1" t="s">
        <v>18335</v>
      </c>
      <c r="XU1" t="s">
        <v>18336</v>
      </c>
      <c r="XV1" t="s">
        <v>18337</v>
      </c>
      <c r="XW1" t="s">
        <v>18338</v>
      </c>
      <c r="XX1" t="s">
        <v>18339</v>
      </c>
      <c r="XY1" t="s">
        <v>18340</v>
      </c>
      <c r="XZ1" t="s">
        <v>18341</v>
      </c>
      <c r="YA1" t="s">
        <v>18342</v>
      </c>
      <c r="YB1" t="s">
        <v>18343</v>
      </c>
      <c r="YC1" t="s">
        <v>18344</v>
      </c>
      <c r="YD1" t="s">
        <v>18345</v>
      </c>
      <c r="YE1" t="s">
        <v>18346</v>
      </c>
      <c r="YF1" t="s">
        <v>18347</v>
      </c>
      <c r="YG1" t="s">
        <v>18348</v>
      </c>
      <c r="YH1" t="s">
        <v>18349</v>
      </c>
      <c r="YI1" t="s">
        <v>18350</v>
      </c>
      <c r="YJ1" t="s">
        <v>18351</v>
      </c>
      <c r="YK1" t="s">
        <v>18352</v>
      </c>
      <c r="YL1" t="s">
        <v>18353</v>
      </c>
      <c r="YM1" t="s">
        <v>18354</v>
      </c>
      <c r="YN1" t="s">
        <v>18355</v>
      </c>
      <c r="YO1" t="s">
        <v>18356</v>
      </c>
      <c r="YP1" t="s">
        <v>18357</v>
      </c>
      <c r="YQ1" t="s">
        <v>18358</v>
      </c>
      <c r="YR1" t="s">
        <v>18359</v>
      </c>
      <c r="YS1" t="s">
        <v>18360</v>
      </c>
      <c r="YT1" t="s">
        <v>18361</v>
      </c>
      <c r="YU1" t="s">
        <v>18362</v>
      </c>
      <c r="YV1" t="s">
        <v>18363</v>
      </c>
      <c r="YW1" t="s">
        <v>18364</v>
      </c>
      <c r="YX1" t="s">
        <v>18365</v>
      </c>
      <c r="YY1" t="s">
        <v>18366</v>
      </c>
      <c r="YZ1" t="s">
        <v>18367</v>
      </c>
      <c r="ZA1" t="s">
        <v>18368</v>
      </c>
      <c r="ZB1" t="s">
        <v>18369</v>
      </c>
      <c r="ZC1" t="s">
        <v>18370</v>
      </c>
      <c r="ZD1" t="s">
        <v>18371</v>
      </c>
      <c r="ZE1" t="s">
        <v>18372</v>
      </c>
      <c r="ZF1" t="s">
        <v>18373</v>
      </c>
      <c r="ZG1" t="s">
        <v>18374</v>
      </c>
      <c r="ZH1" t="s">
        <v>18375</v>
      </c>
      <c r="ZI1" t="s">
        <v>18376</v>
      </c>
      <c r="ZJ1" t="s">
        <v>18377</v>
      </c>
      <c r="ZK1" t="s">
        <v>18378</v>
      </c>
      <c r="ZL1" t="s">
        <v>18379</v>
      </c>
      <c r="ZM1" t="s">
        <v>18380</v>
      </c>
      <c r="ZN1" t="s">
        <v>18381</v>
      </c>
      <c r="ZO1" t="s">
        <v>18382</v>
      </c>
      <c r="ZP1" t="s">
        <v>18383</v>
      </c>
      <c r="ZQ1" t="s">
        <v>18384</v>
      </c>
      <c r="ZR1" t="s">
        <v>18385</v>
      </c>
      <c r="ZS1" t="s">
        <v>18386</v>
      </c>
      <c r="ZT1" t="s">
        <v>18387</v>
      </c>
      <c r="ZU1" t="s">
        <v>18388</v>
      </c>
      <c r="ZV1" t="s">
        <v>18389</v>
      </c>
      <c r="ZW1" t="s">
        <v>18390</v>
      </c>
      <c r="ZX1" t="s">
        <v>18391</v>
      </c>
      <c r="ZY1" t="s">
        <v>18392</v>
      </c>
      <c r="ZZ1" t="s">
        <v>18393</v>
      </c>
      <c r="AAA1" t="s">
        <v>18394</v>
      </c>
      <c r="AAB1" t="s">
        <v>18395</v>
      </c>
      <c r="AAC1" t="s">
        <v>18396</v>
      </c>
      <c r="AAD1" t="s">
        <v>18397</v>
      </c>
      <c r="AAE1" t="s">
        <v>18398</v>
      </c>
      <c r="AAF1" t="s">
        <v>18399</v>
      </c>
      <c r="AAG1" t="s">
        <v>18400</v>
      </c>
      <c r="AAH1" t="s">
        <v>18401</v>
      </c>
      <c r="AAI1" t="s">
        <v>18402</v>
      </c>
      <c r="AAJ1" t="s">
        <v>18403</v>
      </c>
      <c r="AAK1" t="s">
        <v>18404</v>
      </c>
      <c r="AAL1" t="s">
        <v>18405</v>
      </c>
      <c r="AAM1" t="s">
        <v>18406</v>
      </c>
      <c r="AAN1" t="s">
        <v>18407</v>
      </c>
      <c r="AAO1" t="s">
        <v>18408</v>
      </c>
      <c r="AAP1" t="s">
        <v>18409</v>
      </c>
      <c r="AAQ1" t="s">
        <v>18410</v>
      </c>
      <c r="AAR1" t="s">
        <v>18411</v>
      </c>
      <c r="AAS1" t="s">
        <v>18412</v>
      </c>
      <c r="AAT1" t="s">
        <v>18413</v>
      </c>
      <c r="AAU1" t="s">
        <v>18414</v>
      </c>
      <c r="AAV1" t="s">
        <v>18415</v>
      </c>
      <c r="AAW1" t="s">
        <v>18416</v>
      </c>
      <c r="AAX1" t="s">
        <v>18417</v>
      </c>
      <c r="AAY1" t="s">
        <v>18418</v>
      </c>
      <c r="AAZ1" t="s">
        <v>18419</v>
      </c>
      <c r="ABA1" t="s">
        <v>18420</v>
      </c>
      <c r="ABB1" t="s">
        <v>18421</v>
      </c>
      <c r="ABC1" t="s">
        <v>18422</v>
      </c>
      <c r="ABD1" t="s">
        <v>18423</v>
      </c>
      <c r="ABE1" t="s">
        <v>18424</v>
      </c>
      <c r="ABF1" t="s">
        <v>18425</v>
      </c>
      <c r="ABG1" t="s">
        <v>18426</v>
      </c>
      <c r="ABH1" t="s">
        <v>18427</v>
      </c>
      <c r="ABI1" t="s">
        <v>18428</v>
      </c>
      <c r="ABJ1" t="s">
        <v>18429</v>
      </c>
      <c r="ABK1" t="s">
        <v>18430</v>
      </c>
      <c r="ABL1" t="s">
        <v>18431</v>
      </c>
      <c r="ABM1" t="s">
        <v>18432</v>
      </c>
      <c r="ABN1" t="s">
        <v>18433</v>
      </c>
      <c r="ABO1" t="s">
        <v>18434</v>
      </c>
      <c r="ABP1" t="s">
        <v>18435</v>
      </c>
      <c r="ABQ1" t="s">
        <v>18436</v>
      </c>
      <c r="ABR1" t="s">
        <v>18437</v>
      </c>
      <c r="ABS1" t="s">
        <v>18438</v>
      </c>
      <c r="ABT1" t="s">
        <v>18439</v>
      </c>
      <c r="ABU1" t="s">
        <v>18440</v>
      </c>
      <c r="ABV1" t="s">
        <v>18441</v>
      </c>
      <c r="ABW1" t="s">
        <v>18442</v>
      </c>
      <c r="ABX1" t="s">
        <v>18443</v>
      </c>
      <c r="ABY1" t="s">
        <v>18444</v>
      </c>
      <c r="ABZ1" t="s">
        <v>18445</v>
      </c>
      <c r="ACA1" t="s">
        <v>18446</v>
      </c>
      <c r="ACB1" t="s">
        <v>18447</v>
      </c>
      <c r="ACC1" t="s">
        <v>18448</v>
      </c>
      <c r="ACD1" t="s">
        <v>18449</v>
      </c>
      <c r="ACE1" t="s">
        <v>18450</v>
      </c>
      <c r="ACF1" t="s">
        <v>18451</v>
      </c>
      <c r="ACG1" t="s">
        <v>18452</v>
      </c>
      <c r="ACH1" t="s">
        <v>18453</v>
      </c>
      <c r="ACI1" t="s">
        <v>18454</v>
      </c>
      <c r="ACJ1" t="s">
        <v>18455</v>
      </c>
      <c r="ACK1" t="s">
        <v>18456</v>
      </c>
      <c r="ACL1" t="s">
        <v>18457</v>
      </c>
      <c r="ACM1" t="s">
        <v>18458</v>
      </c>
      <c r="ACN1" t="s">
        <v>18459</v>
      </c>
      <c r="ACO1" t="s">
        <v>18460</v>
      </c>
      <c r="ACP1" t="s">
        <v>18461</v>
      </c>
      <c r="ACQ1" t="s">
        <v>18462</v>
      </c>
      <c r="ACR1" t="s">
        <v>18463</v>
      </c>
      <c r="ACS1" t="s">
        <v>18464</v>
      </c>
      <c r="ACT1" t="s">
        <v>18465</v>
      </c>
      <c r="ACU1" t="s">
        <v>18466</v>
      </c>
      <c r="ACV1" t="s">
        <v>18467</v>
      </c>
      <c r="ACW1" t="s">
        <v>18468</v>
      </c>
      <c r="ACX1" t="s">
        <v>18469</v>
      </c>
      <c r="ACY1" t="s">
        <v>18470</v>
      </c>
      <c r="ACZ1" t="s">
        <v>18471</v>
      </c>
      <c r="ADA1" t="s">
        <v>18472</v>
      </c>
      <c r="ADB1" t="s">
        <v>18473</v>
      </c>
      <c r="ADC1" t="s">
        <v>18474</v>
      </c>
      <c r="ADD1" t="s">
        <v>18475</v>
      </c>
      <c r="ADE1" t="s">
        <v>18476</v>
      </c>
      <c r="ADF1" t="s">
        <v>18477</v>
      </c>
      <c r="ADG1" t="s">
        <v>18478</v>
      </c>
      <c r="ADH1" t="s">
        <v>18479</v>
      </c>
      <c r="ADI1" t="s">
        <v>18480</v>
      </c>
      <c r="ADJ1" t="s">
        <v>18481</v>
      </c>
      <c r="ADK1" t="s">
        <v>18482</v>
      </c>
      <c r="ADL1" t="s">
        <v>18483</v>
      </c>
      <c r="ADM1" t="s">
        <v>18484</v>
      </c>
      <c r="ADN1" t="s">
        <v>18485</v>
      </c>
      <c r="ADO1" t="s">
        <v>18486</v>
      </c>
      <c r="ADP1" t="s">
        <v>18487</v>
      </c>
      <c r="ADQ1" t="s">
        <v>18488</v>
      </c>
      <c r="ADR1" t="s">
        <v>18489</v>
      </c>
      <c r="ADS1" t="s">
        <v>18490</v>
      </c>
      <c r="ADT1" t="s">
        <v>18491</v>
      </c>
      <c r="ADU1" t="s">
        <v>18492</v>
      </c>
      <c r="ADV1" t="s">
        <v>18493</v>
      </c>
      <c r="ADW1" t="s">
        <v>18494</v>
      </c>
      <c r="ADX1" t="s">
        <v>18495</v>
      </c>
      <c r="ADY1" t="s">
        <v>18496</v>
      </c>
      <c r="ADZ1" t="s">
        <v>18497</v>
      </c>
      <c r="AEA1" t="s">
        <v>18498</v>
      </c>
      <c r="AEB1" t="s">
        <v>18499</v>
      </c>
      <c r="AEC1" t="s">
        <v>18500</v>
      </c>
      <c r="AED1" t="s">
        <v>18501</v>
      </c>
      <c r="AEE1" t="s">
        <v>18502</v>
      </c>
      <c r="AEF1" t="s">
        <v>18503</v>
      </c>
      <c r="AEG1" t="s">
        <v>18504</v>
      </c>
      <c r="AEH1" t="s">
        <v>18505</v>
      </c>
      <c r="AEI1" t="s">
        <v>18506</v>
      </c>
      <c r="AEJ1" t="s">
        <v>18507</v>
      </c>
      <c r="AEK1" t="s">
        <v>18508</v>
      </c>
      <c r="AEL1" t="s">
        <v>18509</v>
      </c>
      <c r="AEM1" t="s">
        <v>18510</v>
      </c>
      <c r="AEN1" t="s">
        <v>18511</v>
      </c>
      <c r="AEO1" t="s">
        <v>18512</v>
      </c>
      <c r="AEP1" t="s">
        <v>18513</v>
      </c>
      <c r="AEQ1" t="s">
        <v>18514</v>
      </c>
      <c r="AER1" t="s">
        <v>18515</v>
      </c>
      <c r="AES1" t="s">
        <v>18516</v>
      </c>
      <c r="AET1" t="s">
        <v>18517</v>
      </c>
      <c r="AEU1" t="s">
        <v>18518</v>
      </c>
      <c r="AEV1" t="s">
        <v>18519</v>
      </c>
      <c r="AEW1" t="s">
        <v>18520</v>
      </c>
      <c r="AEX1" t="s">
        <v>18521</v>
      </c>
      <c r="AEY1" t="s">
        <v>18522</v>
      </c>
      <c r="AEZ1" t="s">
        <v>18523</v>
      </c>
      <c r="AFA1" t="s">
        <v>18524</v>
      </c>
      <c r="AFB1" t="s">
        <v>18525</v>
      </c>
      <c r="AFC1" t="s">
        <v>18526</v>
      </c>
      <c r="AFD1" t="s">
        <v>18527</v>
      </c>
      <c r="AFE1" t="s">
        <v>18528</v>
      </c>
      <c r="AFF1" t="s">
        <v>18529</v>
      </c>
      <c r="AFG1" t="s">
        <v>18530</v>
      </c>
      <c r="AFH1" t="s">
        <v>18531</v>
      </c>
      <c r="AFI1" t="s">
        <v>18532</v>
      </c>
      <c r="AFJ1" t="s">
        <v>18533</v>
      </c>
      <c r="AFK1" t="s">
        <v>18534</v>
      </c>
      <c r="AFL1" t="s">
        <v>18535</v>
      </c>
      <c r="AFM1" t="s">
        <v>18536</v>
      </c>
      <c r="AFN1" t="s">
        <v>18537</v>
      </c>
      <c r="AFO1" t="s">
        <v>18538</v>
      </c>
      <c r="AFP1" t="s">
        <v>18539</v>
      </c>
      <c r="AFQ1" t="s">
        <v>18540</v>
      </c>
      <c r="AFR1" t="s">
        <v>18541</v>
      </c>
      <c r="AFS1" t="s">
        <v>18542</v>
      </c>
      <c r="AFT1" t="s">
        <v>18543</v>
      </c>
      <c r="AFU1" t="s">
        <v>18544</v>
      </c>
      <c r="AFV1" t="s">
        <v>18545</v>
      </c>
      <c r="AFW1" t="s">
        <v>18546</v>
      </c>
      <c r="AFX1" t="s">
        <v>18547</v>
      </c>
      <c r="AFY1" t="s">
        <v>18548</v>
      </c>
      <c r="AFZ1" t="s">
        <v>18549</v>
      </c>
      <c r="AGA1" t="s">
        <v>18550</v>
      </c>
      <c r="AGB1" t="s">
        <v>18551</v>
      </c>
      <c r="AGC1" t="s">
        <v>18552</v>
      </c>
      <c r="AGD1" t="s">
        <v>18553</v>
      </c>
      <c r="AGE1" t="s">
        <v>18554</v>
      </c>
      <c r="AGF1" t="s">
        <v>18555</v>
      </c>
      <c r="AGG1" t="s">
        <v>18556</v>
      </c>
      <c r="AGH1" t="s">
        <v>18557</v>
      </c>
      <c r="AGI1" t="s">
        <v>18558</v>
      </c>
      <c r="AGJ1" t="s">
        <v>18559</v>
      </c>
      <c r="AGK1" t="s">
        <v>18560</v>
      </c>
      <c r="AGL1" t="s">
        <v>18561</v>
      </c>
      <c r="AGM1" t="s">
        <v>18562</v>
      </c>
      <c r="AGN1" t="s">
        <v>18563</v>
      </c>
      <c r="AGO1" t="s">
        <v>18564</v>
      </c>
      <c r="AGP1" t="s">
        <v>18565</v>
      </c>
      <c r="AGQ1" t="s">
        <v>18566</v>
      </c>
      <c r="AGR1" t="s">
        <v>18567</v>
      </c>
      <c r="AGS1" t="s">
        <v>18568</v>
      </c>
      <c r="AGT1" t="s">
        <v>18569</v>
      </c>
      <c r="AGU1" t="s">
        <v>18570</v>
      </c>
      <c r="AGV1" t="s">
        <v>18571</v>
      </c>
      <c r="AGW1" t="s">
        <v>18572</v>
      </c>
      <c r="AGX1" t="s">
        <v>18573</v>
      </c>
      <c r="AGY1" t="s">
        <v>18574</v>
      </c>
      <c r="AGZ1" t="s">
        <v>18575</v>
      </c>
      <c r="AHA1" t="s">
        <v>18576</v>
      </c>
      <c r="AHB1" t="s">
        <v>18577</v>
      </c>
      <c r="AHC1" t="s">
        <v>18578</v>
      </c>
      <c r="AHD1" t="s">
        <v>18579</v>
      </c>
      <c r="AHE1" t="s">
        <v>18580</v>
      </c>
      <c r="AHF1" t="s">
        <v>18581</v>
      </c>
      <c r="AHG1" t="s">
        <v>18582</v>
      </c>
      <c r="AHH1" t="s">
        <v>18583</v>
      </c>
      <c r="AHI1" t="s">
        <v>18584</v>
      </c>
      <c r="AHJ1" t="s">
        <v>18585</v>
      </c>
      <c r="AHK1" t="s">
        <v>18586</v>
      </c>
      <c r="AHL1" t="s">
        <v>18587</v>
      </c>
      <c r="AHM1" t="s">
        <v>18588</v>
      </c>
      <c r="AHN1" t="s">
        <v>18589</v>
      </c>
      <c r="AHO1" t="s">
        <v>18590</v>
      </c>
      <c r="AHP1" t="s">
        <v>18591</v>
      </c>
      <c r="AHQ1" t="s">
        <v>18592</v>
      </c>
      <c r="AHR1" t="s">
        <v>18593</v>
      </c>
      <c r="AHS1" t="s">
        <v>18594</v>
      </c>
      <c r="AHT1" t="s">
        <v>18595</v>
      </c>
      <c r="AHU1" t="s">
        <v>18596</v>
      </c>
      <c r="AHV1" t="s">
        <v>18597</v>
      </c>
      <c r="AHW1" t="s">
        <v>18598</v>
      </c>
      <c r="AHX1" t="s">
        <v>18599</v>
      </c>
      <c r="AHY1" t="s">
        <v>18600</v>
      </c>
      <c r="AHZ1" t="s">
        <v>18601</v>
      </c>
      <c r="AIA1" t="s">
        <v>18602</v>
      </c>
      <c r="AIB1" t="s">
        <v>18603</v>
      </c>
      <c r="AIC1" t="s">
        <v>18604</v>
      </c>
      <c r="AID1" t="s">
        <v>18605</v>
      </c>
      <c r="AIE1" t="s">
        <v>18606</v>
      </c>
      <c r="AIF1" t="s">
        <v>18607</v>
      </c>
      <c r="AIG1" t="s">
        <v>18608</v>
      </c>
      <c r="AIH1" t="s">
        <v>18609</v>
      </c>
      <c r="AII1" t="s">
        <v>18610</v>
      </c>
      <c r="AIJ1" t="s">
        <v>18611</v>
      </c>
      <c r="AIK1" t="s">
        <v>18612</v>
      </c>
      <c r="AIL1" t="s">
        <v>18613</v>
      </c>
      <c r="AIM1" t="s">
        <v>18614</v>
      </c>
      <c r="AIN1" t="s">
        <v>18615</v>
      </c>
      <c r="AIO1" t="s">
        <v>18616</v>
      </c>
      <c r="AIP1" t="s">
        <v>18617</v>
      </c>
      <c r="AIQ1" t="s">
        <v>18618</v>
      </c>
      <c r="AIR1" t="s">
        <v>18619</v>
      </c>
      <c r="AIS1" t="s">
        <v>18620</v>
      </c>
      <c r="AIT1" t="s">
        <v>18621</v>
      </c>
      <c r="AIU1" t="s">
        <v>18622</v>
      </c>
      <c r="AIV1" t="s">
        <v>18623</v>
      </c>
      <c r="AIW1" t="s">
        <v>18624</v>
      </c>
      <c r="AIX1" t="s">
        <v>18625</v>
      </c>
      <c r="AIY1" t="s">
        <v>18626</v>
      </c>
      <c r="AIZ1" t="s">
        <v>18627</v>
      </c>
      <c r="AJA1" t="s">
        <v>18628</v>
      </c>
      <c r="AJB1" t="s">
        <v>18629</v>
      </c>
      <c r="AJC1" t="s">
        <v>18630</v>
      </c>
      <c r="AJD1" t="s">
        <v>18631</v>
      </c>
      <c r="AJE1" t="s">
        <v>18632</v>
      </c>
      <c r="AJF1" t="s">
        <v>18633</v>
      </c>
      <c r="AJG1" t="s">
        <v>18634</v>
      </c>
      <c r="AJH1" t="s">
        <v>18635</v>
      </c>
      <c r="AJI1" t="s">
        <v>18636</v>
      </c>
      <c r="AJJ1" t="s">
        <v>18637</v>
      </c>
      <c r="AJK1" t="s">
        <v>18638</v>
      </c>
      <c r="AJL1" t="s">
        <v>18639</v>
      </c>
      <c r="AJM1" t="s">
        <v>18640</v>
      </c>
      <c r="AJN1" t="s">
        <v>18641</v>
      </c>
      <c r="AJO1" t="s">
        <v>18642</v>
      </c>
      <c r="AJP1" t="s">
        <v>18643</v>
      </c>
      <c r="AJQ1" t="s">
        <v>18644</v>
      </c>
      <c r="AJR1" t="s">
        <v>18645</v>
      </c>
      <c r="AJS1" t="s">
        <v>18646</v>
      </c>
      <c r="AJT1" t="s">
        <v>18647</v>
      </c>
      <c r="AJU1" t="s">
        <v>18648</v>
      </c>
      <c r="AJV1" t="s">
        <v>18649</v>
      </c>
      <c r="AJW1" t="s">
        <v>18650</v>
      </c>
      <c r="AJX1" t="s">
        <v>18651</v>
      </c>
      <c r="AJY1" t="s">
        <v>18652</v>
      </c>
      <c r="AJZ1" t="s">
        <v>18653</v>
      </c>
      <c r="AKA1" t="s">
        <v>18654</v>
      </c>
      <c r="AKB1" t="s">
        <v>18655</v>
      </c>
      <c r="AKC1" t="s">
        <v>18656</v>
      </c>
      <c r="AKD1" t="s">
        <v>18657</v>
      </c>
      <c r="AKE1" t="s">
        <v>18658</v>
      </c>
      <c r="AKF1" t="s">
        <v>18659</v>
      </c>
      <c r="AKG1" t="s">
        <v>18660</v>
      </c>
      <c r="AKH1" t="s">
        <v>18661</v>
      </c>
      <c r="AKI1" t="s">
        <v>18662</v>
      </c>
      <c r="AKJ1" t="s">
        <v>18663</v>
      </c>
      <c r="AKK1" t="s">
        <v>18664</v>
      </c>
      <c r="AKL1" t="s">
        <v>18665</v>
      </c>
      <c r="AKM1" t="s">
        <v>18666</v>
      </c>
      <c r="AKN1" t="s">
        <v>18667</v>
      </c>
      <c r="AKO1" t="s">
        <v>18668</v>
      </c>
      <c r="AKP1" t="s">
        <v>18669</v>
      </c>
      <c r="AKQ1" t="s">
        <v>18670</v>
      </c>
      <c r="AKR1" t="s">
        <v>18671</v>
      </c>
      <c r="AKS1" t="s">
        <v>18672</v>
      </c>
      <c r="AKT1" t="s">
        <v>18673</v>
      </c>
      <c r="AKU1" t="s">
        <v>18674</v>
      </c>
      <c r="AKV1" t="s">
        <v>18675</v>
      </c>
      <c r="AKW1" t="s">
        <v>18676</v>
      </c>
      <c r="AKX1" t="s">
        <v>18677</v>
      </c>
      <c r="AKY1" t="s">
        <v>18678</v>
      </c>
      <c r="AKZ1" t="s">
        <v>18679</v>
      </c>
      <c r="ALA1" t="s">
        <v>18680</v>
      </c>
      <c r="ALB1" t="s">
        <v>18681</v>
      </c>
      <c r="ALC1" t="s">
        <v>18682</v>
      </c>
      <c r="ALD1" t="s">
        <v>18683</v>
      </c>
      <c r="ALE1" t="s">
        <v>18684</v>
      </c>
      <c r="ALF1" t="s">
        <v>18685</v>
      </c>
      <c r="ALG1" t="s">
        <v>18686</v>
      </c>
      <c r="ALH1" t="s">
        <v>18687</v>
      </c>
      <c r="ALI1" t="s">
        <v>18688</v>
      </c>
      <c r="ALJ1" t="s">
        <v>18689</v>
      </c>
      <c r="ALK1" t="s">
        <v>18690</v>
      </c>
      <c r="ALL1" t="s">
        <v>18691</v>
      </c>
      <c r="ALM1" t="s">
        <v>18692</v>
      </c>
      <c r="ALN1" t="s">
        <v>18693</v>
      </c>
      <c r="ALO1" t="s">
        <v>18694</v>
      </c>
      <c r="ALP1" t="s">
        <v>18695</v>
      </c>
      <c r="ALQ1" t="s">
        <v>18696</v>
      </c>
      <c r="ALR1" t="s">
        <v>18697</v>
      </c>
      <c r="ALS1" t="s">
        <v>18698</v>
      </c>
      <c r="ALT1" t="s">
        <v>18699</v>
      </c>
      <c r="ALU1" t="s">
        <v>18700</v>
      </c>
      <c r="ALV1" t="s">
        <v>18701</v>
      </c>
      <c r="ALW1" t="s">
        <v>18702</v>
      </c>
      <c r="ALX1" t="s">
        <v>18703</v>
      </c>
      <c r="ALY1" t="s">
        <v>18704</v>
      </c>
      <c r="ALZ1" t="s">
        <v>18705</v>
      </c>
      <c r="AMA1" t="s">
        <v>18706</v>
      </c>
      <c r="AMB1" t="s">
        <v>18707</v>
      </c>
      <c r="AMC1" t="s">
        <v>18708</v>
      </c>
      <c r="AMD1" t="s">
        <v>18709</v>
      </c>
      <c r="AME1" t="s">
        <v>18710</v>
      </c>
      <c r="AMF1" t="s">
        <v>18711</v>
      </c>
      <c r="AMG1" t="s">
        <v>18712</v>
      </c>
      <c r="AMH1" t="s">
        <v>18713</v>
      </c>
      <c r="AMI1" t="s">
        <v>18714</v>
      </c>
      <c r="AMJ1" t="s">
        <v>18715</v>
      </c>
      <c r="AMK1" t="s">
        <v>18716</v>
      </c>
      <c r="AML1" t="s">
        <v>18717</v>
      </c>
      <c r="AMM1" t="s">
        <v>18718</v>
      </c>
      <c r="AMN1" t="s">
        <v>18719</v>
      </c>
      <c r="AMO1" t="s">
        <v>18720</v>
      </c>
      <c r="AMP1" t="s">
        <v>18721</v>
      </c>
      <c r="AMQ1" t="s">
        <v>18722</v>
      </c>
      <c r="AMR1" t="s">
        <v>18723</v>
      </c>
      <c r="AMS1" t="s">
        <v>18724</v>
      </c>
      <c r="AMT1" t="s">
        <v>18725</v>
      </c>
      <c r="AMU1" t="s">
        <v>18726</v>
      </c>
      <c r="AMV1" t="s">
        <v>18727</v>
      </c>
      <c r="AMW1" t="s">
        <v>18728</v>
      </c>
      <c r="AMX1" t="s">
        <v>18729</v>
      </c>
      <c r="AMY1" t="s">
        <v>18730</v>
      </c>
      <c r="AMZ1" t="s">
        <v>18731</v>
      </c>
      <c r="ANA1" t="s">
        <v>18732</v>
      </c>
      <c r="ANB1" t="s">
        <v>18733</v>
      </c>
      <c r="ANC1" t="s">
        <v>18734</v>
      </c>
      <c r="AND1" t="s">
        <v>18735</v>
      </c>
      <c r="ANE1" t="s">
        <v>18736</v>
      </c>
      <c r="ANF1" t="s">
        <v>18737</v>
      </c>
      <c r="ANG1" t="s">
        <v>18738</v>
      </c>
      <c r="ANH1" t="s">
        <v>18739</v>
      </c>
      <c r="ANI1" t="s">
        <v>18740</v>
      </c>
      <c r="ANJ1" t="s">
        <v>18741</v>
      </c>
      <c r="ANK1" t="s">
        <v>18742</v>
      </c>
      <c r="ANL1" t="s">
        <v>18743</v>
      </c>
      <c r="ANM1" t="s">
        <v>18744</v>
      </c>
      <c r="ANN1" t="s">
        <v>18745</v>
      </c>
      <c r="ANO1" t="s">
        <v>18746</v>
      </c>
      <c r="ANP1" t="s">
        <v>18747</v>
      </c>
      <c r="ANQ1" t="s">
        <v>18748</v>
      </c>
      <c r="ANR1" t="s">
        <v>18749</v>
      </c>
      <c r="ANS1" t="s">
        <v>18750</v>
      </c>
      <c r="ANT1" t="s">
        <v>18751</v>
      </c>
      <c r="ANU1" t="s">
        <v>18752</v>
      </c>
      <c r="ANV1" t="s">
        <v>18753</v>
      </c>
      <c r="ANW1" t="s">
        <v>18754</v>
      </c>
      <c r="ANX1" t="s">
        <v>18755</v>
      </c>
      <c r="ANY1" t="s">
        <v>18756</v>
      </c>
      <c r="ANZ1" t="s">
        <v>18757</v>
      </c>
      <c r="AOA1" t="s">
        <v>18758</v>
      </c>
      <c r="AOB1" t="s">
        <v>18759</v>
      </c>
      <c r="AOC1" t="s">
        <v>18760</v>
      </c>
      <c r="AOD1" t="s">
        <v>18761</v>
      </c>
      <c r="AOE1" t="s">
        <v>18762</v>
      </c>
      <c r="AOF1" t="s">
        <v>18763</v>
      </c>
      <c r="AOG1" t="s">
        <v>18764</v>
      </c>
      <c r="AOH1" t="s">
        <v>18765</v>
      </c>
      <c r="AOI1" t="s">
        <v>18766</v>
      </c>
      <c r="AOJ1" t="s">
        <v>18767</v>
      </c>
      <c r="AOK1" t="s">
        <v>18768</v>
      </c>
      <c r="AOL1" t="s">
        <v>18769</v>
      </c>
      <c r="AOM1" t="s">
        <v>18770</v>
      </c>
      <c r="AON1" t="s">
        <v>18771</v>
      </c>
      <c r="AOO1" t="s">
        <v>18772</v>
      </c>
      <c r="AOP1" t="s">
        <v>18773</v>
      </c>
      <c r="AOQ1" t="s">
        <v>18774</v>
      </c>
      <c r="AOR1" t="s">
        <v>18775</v>
      </c>
      <c r="AOS1" t="s">
        <v>18776</v>
      </c>
      <c r="AOT1" t="s">
        <v>18777</v>
      </c>
      <c r="AOU1" t="s">
        <v>18778</v>
      </c>
      <c r="AOV1" t="s">
        <v>18779</v>
      </c>
      <c r="AOW1" t="s">
        <v>18780</v>
      </c>
      <c r="AOX1" t="s">
        <v>18781</v>
      </c>
      <c r="AOY1" t="s">
        <v>18782</v>
      </c>
      <c r="AOZ1" t="s">
        <v>18783</v>
      </c>
      <c r="APA1" t="s">
        <v>18784</v>
      </c>
      <c r="APB1" t="s">
        <v>18785</v>
      </c>
      <c r="APC1" t="s">
        <v>18786</v>
      </c>
      <c r="APD1" t="s">
        <v>18787</v>
      </c>
      <c r="APE1" t="s">
        <v>18788</v>
      </c>
      <c r="APF1" t="s">
        <v>18789</v>
      </c>
      <c r="APG1" t="s">
        <v>18790</v>
      </c>
      <c r="APH1" t="s">
        <v>18791</v>
      </c>
      <c r="API1" t="s">
        <v>18792</v>
      </c>
      <c r="APJ1" t="s">
        <v>18793</v>
      </c>
      <c r="APK1" t="s">
        <v>18794</v>
      </c>
      <c r="APL1" t="s">
        <v>18795</v>
      </c>
      <c r="APM1" t="s">
        <v>18796</v>
      </c>
      <c r="APN1" t="s">
        <v>18797</v>
      </c>
      <c r="APO1" t="s">
        <v>18798</v>
      </c>
      <c r="APP1" t="s">
        <v>18799</v>
      </c>
      <c r="APQ1" t="s">
        <v>18800</v>
      </c>
      <c r="APR1" t="s">
        <v>18801</v>
      </c>
      <c r="APS1" t="s">
        <v>18802</v>
      </c>
      <c r="APT1" t="s">
        <v>18803</v>
      </c>
      <c r="APU1" t="s">
        <v>18804</v>
      </c>
      <c r="APV1" t="s">
        <v>18805</v>
      </c>
      <c r="APW1" t="s">
        <v>18806</v>
      </c>
      <c r="APX1" t="s">
        <v>18807</v>
      </c>
      <c r="APY1" t="s">
        <v>18808</v>
      </c>
      <c r="APZ1" t="s">
        <v>18809</v>
      </c>
      <c r="AQA1" t="s">
        <v>18810</v>
      </c>
      <c r="AQB1" t="s">
        <v>18811</v>
      </c>
      <c r="AQC1" t="s">
        <v>18812</v>
      </c>
      <c r="AQD1" t="s">
        <v>18813</v>
      </c>
      <c r="AQE1" t="s">
        <v>18814</v>
      </c>
      <c r="AQF1" t="s">
        <v>18815</v>
      </c>
      <c r="AQG1" t="s">
        <v>18816</v>
      </c>
      <c r="AQH1" t="s">
        <v>18817</v>
      </c>
      <c r="AQI1" t="s">
        <v>18818</v>
      </c>
      <c r="AQJ1" t="s">
        <v>18819</v>
      </c>
      <c r="AQK1" t="s">
        <v>18820</v>
      </c>
      <c r="AQL1" t="s">
        <v>18821</v>
      </c>
      <c r="AQM1" t="s">
        <v>18822</v>
      </c>
      <c r="AQN1" t="s">
        <v>18823</v>
      </c>
      <c r="AQO1" t="s">
        <v>18824</v>
      </c>
      <c r="AQP1" t="s">
        <v>18825</v>
      </c>
      <c r="AQQ1" t="s">
        <v>18826</v>
      </c>
      <c r="AQR1" t="s">
        <v>18827</v>
      </c>
      <c r="AQS1" t="s">
        <v>18828</v>
      </c>
      <c r="AQT1" t="s">
        <v>18829</v>
      </c>
      <c r="AQU1" t="s">
        <v>18830</v>
      </c>
      <c r="AQV1" t="s">
        <v>18831</v>
      </c>
      <c r="AQW1" t="s">
        <v>18832</v>
      </c>
      <c r="AQX1" t="s">
        <v>18833</v>
      </c>
      <c r="AQY1" t="s">
        <v>18834</v>
      </c>
      <c r="AQZ1" t="s">
        <v>18835</v>
      </c>
      <c r="ARA1" t="s">
        <v>18836</v>
      </c>
      <c r="ARB1" t="s">
        <v>18837</v>
      </c>
      <c r="ARC1" t="s">
        <v>18838</v>
      </c>
      <c r="ARD1" t="s">
        <v>18839</v>
      </c>
      <c r="ARE1" t="s">
        <v>18840</v>
      </c>
      <c r="ARF1" t="s">
        <v>18841</v>
      </c>
      <c r="ARG1" t="s">
        <v>18842</v>
      </c>
      <c r="ARH1" t="s">
        <v>18843</v>
      </c>
      <c r="ARI1" t="s">
        <v>18844</v>
      </c>
      <c r="ARJ1" t="s">
        <v>18845</v>
      </c>
      <c r="ARK1" t="s">
        <v>18846</v>
      </c>
      <c r="ARL1" t="s">
        <v>18847</v>
      </c>
      <c r="ARM1" t="s">
        <v>18848</v>
      </c>
      <c r="ARN1" t="s">
        <v>18849</v>
      </c>
      <c r="ARO1" t="s">
        <v>18850</v>
      </c>
      <c r="ARP1" t="s">
        <v>18851</v>
      </c>
      <c r="ARQ1" t="s">
        <v>18852</v>
      </c>
      <c r="ARR1" t="s">
        <v>18853</v>
      </c>
      <c r="ARS1" t="s">
        <v>18854</v>
      </c>
      <c r="ART1" t="s">
        <v>18855</v>
      </c>
      <c r="ARU1" t="s">
        <v>18856</v>
      </c>
      <c r="ARV1" t="s">
        <v>18857</v>
      </c>
      <c r="ARW1" t="s">
        <v>18858</v>
      </c>
      <c r="ARX1" t="s">
        <v>18859</v>
      </c>
      <c r="ARY1" t="s">
        <v>18860</v>
      </c>
      <c r="ARZ1" t="s">
        <v>18861</v>
      </c>
      <c r="ASA1" t="s">
        <v>18862</v>
      </c>
      <c r="ASB1" t="s">
        <v>18863</v>
      </c>
      <c r="ASC1" t="s">
        <v>18864</v>
      </c>
      <c r="ASD1" t="s">
        <v>18865</v>
      </c>
      <c r="ASE1" t="s">
        <v>18866</v>
      </c>
      <c r="ASF1" t="s">
        <v>18867</v>
      </c>
      <c r="ASG1" t="s">
        <v>18868</v>
      </c>
      <c r="ASH1" t="s">
        <v>18869</v>
      </c>
      <c r="ASI1" t="s">
        <v>18870</v>
      </c>
      <c r="ASJ1" t="s">
        <v>18871</v>
      </c>
      <c r="ASK1" t="s">
        <v>18872</v>
      </c>
      <c r="ASL1" t="s">
        <v>18873</v>
      </c>
      <c r="ASM1" t="s">
        <v>18874</v>
      </c>
      <c r="ASN1" t="s">
        <v>18875</v>
      </c>
      <c r="ASO1" t="s">
        <v>18876</v>
      </c>
      <c r="ASP1" t="s">
        <v>18877</v>
      </c>
      <c r="ASQ1" t="s">
        <v>18878</v>
      </c>
      <c r="ASR1" t="s">
        <v>18879</v>
      </c>
      <c r="ASS1" t="s">
        <v>18880</v>
      </c>
      <c r="AST1" t="s">
        <v>18881</v>
      </c>
      <c r="ASU1" t="s">
        <v>18882</v>
      </c>
      <c r="ASV1" t="s">
        <v>18883</v>
      </c>
      <c r="ASW1" t="s">
        <v>18884</v>
      </c>
      <c r="ASX1" t="s">
        <v>18885</v>
      </c>
      <c r="ASY1" t="s">
        <v>18886</v>
      </c>
      <c r="ASZ1" t="s">
        <v>18887</v>
      </c>
      <c r="ATA1" t="s">
        <v>18888</v>
      </c>
      <c r="ATB1" t="s">
        <v>18889</v>
      </c>
      <c r="ATC1" t="s">
        <v>18890</v>
      </c>
      <c r="ATD1" t="s">
        <v>18891</v>
      </c>
      <c r="ATE1" t="s">
        <v>18892</v>
      </c>
      <c r="ATF1" t="s">
        <v>18893</v>
      </c>
      <c r="ATG1" t="s">
        <v>18894</v>
      </c>
      <c r="ATH1" t="s">
        <v>18895</v>
      </c>
      <c r="ATI1" t="s">
        <v>18896</v>
      </c>
      <c r="ATJ1" t="s">
        <v>18897</v>
      </c>
      <c r="ATK1" t="s">
        <v>18898</v>
      </c>
      <c r="ATL1" t="s">
        <v>18899</v>
      </c>
      <c r="ATM1" t="s">
        <v>18900</v>
      </c>
      <c r="ATN1" t="s">
        <v>18901</v>
      </c>
      <c r="ATO1" t="s">
        <v>18902</v>
      </c>
      <c r="ATP1" t="s">
        <v>18903</v>
      </c>
      <c r="ATQ1" t="s">
        <v>18904</v>
      </c>
      <c r="ATR1" t="s">
        <v>18905</v>
      </c>
      <c r="ATS1" t="s">
        <v>18906</v>
      </c>
      <c r="ATT1" t="s">
        <v>18907</v>
      </c>
      <c r="ATU1" t="s">
        <v>18908</v>
      </c>
      <c r="ATV1" t="s">
        <v>18909</v>
      </c>
      <c r="ATW1" t="s">
        <v>18910</v>
      </c>
      <c r="ATX1" t="s">
        <v>18911</v>
      </c>
      <c r="ATY1" t="s">
        <v>18912</v>
      </c>
      <c r="ATZ1" t="s">
        <v>18913</v>
      </c>
      <c r="AUA1" t="s">
        <v>18914</v>
      </c>
      <c r="AUB1" t="s">
        <v>18915</v>
      </c>
      <c r="AUC1" t="s">
        <v>18916</v>
      </c>
      <c r="AUD1" t="s">
        <v>18917</v>
      </c>
      <c r="AUE1" t="s">
        <v>18918</v>
      </c>
      <c r="AUF1" t="s">
        <v>18919</v>
      </c>
      <c r="AUG1" t="s">
        <v>18920</v>
      </c>
      <c r="AUH1" t="s">
        <v>18921</v>
      </c>
      <c r="AUI1" t="s">
        <v>18922</v>
      </c>
      <c r="AUJ1" t="s">
        <v>18923</v>
      </c>
      <c r="AUK1" t="s">
        <v>18924</v>
      </c>
      <c r="AUL1" t="s">
        <v>18925</v>
      </c>
      <c r="AUM1" t="s">
        <v>18926</v>
      </c>
      <c r="AUN1" t="s">
        <v>18927</v>
      </c>
      <c r="AUO1" t="s">
        <v>18928</v>
      </c>
      <c r="AUP1" t="s">
        <v>18929</v>
      </c>
      <c r="AUQ1" t="s">
        <v>18930</v>
      </c>
      <c r="AUR1" t="s">
        <v>18931</v>
      </c>
      <c r="AUS1" t="s">
        <v>18932</v>
      </c>
      <c r="AUT1" t="s">
        <v>18933</v>
      </c>
      <c r="AUU1" t="s">
        <v>18934</v>
      </c>
      <c r="AUV1" t="s">
        <v>18935</v>
      </c>
      <c r="AUW1" t="s">
        <v>18936</v>
      </c>
      <c r="AUX1" t="s">
        <v>18937</v>
      </c>
      <c r="AUY1" t="s">
        <v>18938</v>
      </c>
      <c r="AUZ1" t="s">
        <v>18939</v>
      </c>
      <c r="AVA1" t="s">
        <v>18940</v>
      </c>
      <c r="AVB1" t="s">
        <v>18941</v>
      </c>
      <c r="AVC1" t="s">
        <v>18942</v>
      </c>
      <c r="AVD1" t="s">
        <v>18943</v>
      </c>
      <c r="AVE1" t="s">
        <v>18944</v>
      </c>
      <c r="AVF1" t="s">
        <v>18945</v>
      </c>
      <c r="AVG1" t="s">
        <v>18946</v>
      </c>
      <c r="AVH1" t="s">
        <v>18947</v>
      </c>
      <c r="AVI1" t="s">
        <v>18948</v>
      </c>
      <c r="AVJ1" t="s">
        <v>18949</v>
      </c>
      <c r="AVK1" t="s">
        <v>18950</v>
      </c>
      <c r="AVL1" t="s">
        <v>18951</v>
      </c>
      <c r="AVM1" t="s">
        <v>18952</v>
      </c>
      <c r="AVN1" t="s">
        <v>18953</v>
      </c>
      <c r="AVO1" t="s">
        <v>18954</v>
      </c>
      <c r="AVP1" t="s">
        <v>18955</v>
      </c>
      <c r="AVQ1" t="s">
        <v>18956</v>
      </c>
      <c r="AVR1" t="s">
        <v>18957</v>
      </c>
      <c r="AVS1" t="s">
        <v>18958</v>
      </c>
      <c r="AVT1" t="s">
        <v>18959</v>
      </c>
      <c r="AVU1" t="s">
        <v>18960</v>
      </c>
      <c r="AVV1" t="s">
        <v>18961</v>
      </c>
      <c r="AVW1" t="s">
        <v>18962</v>
      </c>
      <c r="AVX1" t="s">
        <v>18963</v>
      </c>
      <c r="AVY1" t="s">
        <v>18964</v>
      </c>
      <c r="AVZ1" t="s">
        <v>18965</v>
      </c>
      <c r="AWA1" t="s">
        <v>18966</v>
      </c>
      <c r="AWB1" t="s">
        <v>18967</v>
      </c>
      <c r="AWC1" t="s">
        <v>18968</v>
      </c>
      <c r="AWD1" t="s">
        <v>18969</v>
      </c>
      <c r="AWE1" t="s">
        <v>18970</v>
      </c>
      <c r="AWF1" t="s">
        <v>18971</v>
      </c>
      <c r="AWG1" t="s">
        <v>18972</v>
      </c>
      <c r="AWH1" t="s">
        <v>18973</v>
      </c>
      <c r="AWI1" t="s">
        <v>18974</v>
      </c>
      <c r="AWJ1" t="s">
        <v>18975</v>
      </c>
      <c r="AWK1" t="s">
        <v>18976</v>
      </c>
      <c r="AWL1" t="s">
        <v>18977</v>
      </c>
      <c r="AWM1" t="s">
        <v>18978</v>
      </c>
      <c r="AWN1" t="s">
        <v>18979</v>
      </c>
      <c r="AWO1" t="s">
        <v>18980</v>
      </c>
      <c r="AWP1" t="s">
        <v>18981</v>
      </c>
      <c r="AWQ1" t="s">
        <v>18982</v>
      </c>
      <c r="AWR1" t="s">
        <v>18983</v>
      </c>
      <c r="AWS1" t="s">
        <v>18984</v>
      </c>
      <c r="AWT1" t="s">
        <v>18985</v>
      </c>
      <c r="AWU1" t="s">
        <v>18986</v>
      </c>
      <c r="AWV1" t="s">
        <v>18987</v>
      </c>
      <c r="AWW1" t="s">
        <v>18988</v>
      </c>
      <c r="AWX1" t="s">
        <v>18989</v>
      </c>
      <c r="AWY1" t="s">
        <v>18990</v>
      </c>
      <c r="AWZ1" t="s">
        <v>18991</v>
      </c>
      <c r="AXA1" t="s">
        <v>18992</v>
      </c>
      <c r="AXB1" t="s">
        <v>18993</v>
      </c>
      <c r="AXC1" t="s">
        <v>18994</v>
      </c>
      <c r="AXD1" t="s">
        <v>18995</v>
      </c>
      <c r="AXE1" t="s">
        <v>18996</v>
      </c>
      <c r="AXF1" t="s">
        <v>18997</v>
      </c>
      <c r="AXG1" t="s">
        <v>18998</v>
      </c>
      <c r="AXH1" t="s">
        <v>18999</v>
      </c>
      <c r="AXI1" t="s">
        <v>19000</v>
      </c>
      <c r="AXJ1" t="s">
        <v>19001</v>
      </c>
      <c r="AXK1" t="s">
        <v>19002</v>
      </c>
      <c r="AXL1" t="s">
        <v>19003</v>
      </c>
      <c r="AXM1" t="s">
        <v>19004</v>
      </c>
      <c r="AXN1" t="s">
        <v>19005</v>
      </c>
      <c r="AXO1" t="s">
        <v>19006</v>
      </c>
      <c r="AXP1" t="s">
        <v>19007</v>
      </c>
      <c r="AXQ1" t="s">
        <v>19008</v>
      </c>
      <c r="AXR1" t="s">
        <v>19009</v>
      </c>
      <c r="AXS1" t="s">
        <v>19010</v>
      </c>
      <c r="AXT1" t="s">
        <v>19011</v>
      </c>
      <c r="AXU1" t="s">
        <v>19012</v>
      </c>
      <c r="AXV1" t="s">
        <v>19013</v>
      </c>
      <c r="AXW1" t="s">
        <v>19014</v>
      </c>
      <c r="AXX1" t="s">
        <v>19015</v>
      </c>
      <c r="AXY1" t="s">
        <v>19016</v>
      </c>
      <c r="AXZ1" t="s">
        <v>19017</v>
      </c>
      <c r="AYA1" t="s">
        <v>19018</v>
      </c>
      <c r="AYB1" t="s">
        <v>19019</v>
      </c>
      <c r="AYC1" t="s">
        <v>19020</v>
      </c>
      <c r="AYD1" t="s">
        <v>19021</v>
      </c>
      <c r="AYE1" t="s">
        <v>19022</v>
      </c>
      <c r="AYF1" t="s">
        <v>19023</v>
      </c>
      <c r="AYG1" t="s">
        <v>19024</v>
      </c>
      <c r="AYH1" t="s">
        <v>19025</v>
      </c>
      <c r="AYI1" t="s">
        <v>19026</v>
      </c>
      <c r="AYJ1" t="s">
        <v>19027</v>
      </c>
      <c r="AYK1" t="s">
        <v>19028</v>
      </c>
      <c r="AYL1" t="s">
        <v>19029</v>
      </c>
      <c r="AYM1" t="s">
        <v>19030</v>
      </c>
      <c r="AYN1" t="s">
        <v>19031</v>
      </c>
      <c r="AYO1" t="s">
        <v>19032</v>
      </c>
      <c r="AYP1" t="s">
        <v>19033</v>
      </c>
      <c r="AYQ1" t="s">
        <v>19034</v>
      </c>
      <c r="AYR1" t="s">
        <v>19035</v>
      </c>
      <c r="AYS1" t="s">
        <v>19036</v>
      </c>
      <c r="AYT1" t="s">
        <v>19037</v>
      </c>
      <c r="AYU1" t="s">
        <v>19038</v>
      </c>
      <c r="AYV1" t="s">
        <v>19039</v>
      </c>
      <c r="AYW1" t="s">
        <v>19040</v>
      </c>
      <c r="AYX1" t="s">
        <v>19041</v>
      </c>
      <c r="AYY1" t="s">
        <v>19042</v>
      </c>
      <c r="AYZ1" t="s">
        <v>19043</v>
      </c>
      <c r="AZA1" t="s">
        <v>19044</v>
      </c>
      <c r="AZB1" t="s">
        <v>19045</v>
      </c>
      <c r="AZC1" t="s">
        <v>19046</v>
      </c>
      <c r="AZD1" t="s">
        <v>19047</v>
      </c>
      <c r="AZE1" t="s">
        <v>19048</v>
      </c>
      <c r="AZF1" t="s">
        <v>19049</v>
      </c>
      <c r="AZG1" t="s">
        <v>19050</v>
      </c>
      <c r="AZH1" t="s">
        <v>19051</v>
      </c>
      <c r="AZI1" t="s">
        <v>19052</v>
      </c>
      <c r="AZJ1" t="s">
        <v>19053</v>
      </c>
      <c r="AZK1" t="s">
        <v>19054</v>
      </c>
      <c r="AZL1" t="s">
        <v>19055</v>
      </c>
      <c r="AZM1" t="s">
        <v>19056</v>
      </c>
      <c r="AZN1" t="s">
        <v>19057</v>
      </c>
      <c r="AZO1" t="s">
        <v>19058</v>
      </c>
      <c r="AZP1" t="s">
        <v>19059</v>
      </c>
      <c r="AZQ1" t="s">
        <v>19060</v>
      </c>
      <c r="AZR1" t="s">
        <v>19061</v>
      </c>
      <c r="AZS1" t="s">
        <v>19062</v>
      </c>
      <c r="AZT1" t="s">
        <v>19063</v>
      </c>
      <c r="AZU1" t="s">
        <v>19064</v>
      </c>
      <c r="AZV1" t="s">
        <v>19065</v>
      </c>
      <c r="AZW1" t="s">
        <v>19066</v>
      </c>
      <c r="AZX1" t="s">
        <v>19067</v>
      </c>
      <c r="AZY1" t="s">
        <v>19068</v>
      </c>
      <c r="AZZ1" t="s">
        <v>19069</v>
      </c>
      <c r="BAA1" t="s">
        <v>19070</v>
      </c>
      <c r="BAB1" t="s">
        <v>19071</v>
      </c>
      <c r="BAC1" t="s">
        <v>19072</v>
      </c>
      <c r="BAD1" t="s">
        <v>19073</v>
      </c>
      <c r="BAE1" t="s">
        <v>19074</v>
      </c>
      <c r="BAF1" t="s">
        <v>19075</v>
      </c>
      <c r="BAG1" t="s">
        <v>19076</v>
      </c>
      <c r="BAH1" t="s">
        <v>19077</v>
      </c>
      <c r="BAI1" t="s">
        <v>19078</v>
      </c>
      <c r="BAJ1" t="s">
        <v>19079</v>
      </c>
      <c r="BAK1" t="s">
        <v>19080</v>
      </c>
      <c r="BAL1" t="s">
        <v>19081</v>
      </c>
      <c r="BAM1" t="s">
        <v>19082</v>
      </c>
      <c r="BAN1" t="s">
        <v>19083</v>
      </c>
      <c r="BAO1" t="s">
        <v>19084</v>
      </c>
      <c r="BAP1" t="s">
        <v>19085</v>
      </c>
      <c r="BAQ1" t="s">
        <v>19086</v>
      </c>
      <c r="BAR1" t="s">
        <v>19087</v>
      </c>
      <c r="BAS1" t="s">
        <v>19088</v>
      </c>
      <c r="BAT1" t="s">
        <v>19089</v>
      </c>
      <c r="BAU1" t="s">
        <v>19090</v>
      </c>
      <c r="BAV1" t="s">
        <v>19091</v>
      </c>
      <c r="BAW1" t="s">
        <v>19092</v>
      </c>
      <c r="BAX1" t="s">
        <v>19093</v>
      </c>
      <c r="BAY1" t="s">
        <v>19094</v>
      </c>
      <c r="BAZ1" t="s">
        <v>19095</v>
      </c>
      <c r="BBA1" t="s">
        <v>19096</v>
      </c>
      <c r="BBB1" t="s">
        <v>19097</v>
      </c>
      <c r="BBC1" t="s">
        <v>19098</v>
      </c>
      <c r="BBD1" t="s">
        <v>19099</v>
      </c>
      <c r="BBE1" t="s">
        <v>19100</v>
      </c>
      <c r="BBF1" t="s">
        <v>19101</v>
      </c>
      <c r="BBG1" t="s">
        <v>19102</v>
      </c>
      <c r="BBH1" t="s">
        <v>19103</v>
      </c>
      <c r="BBI1" t="s">
        <v>19104</v>
      </c>
      <c r="BBJ1" t="s">
        <v>19105</v>
      </c>
      <c r="BBK1" t="s">
        <v>19106</v>
      </c>
      <c r="BBL1" t="s">
        <v>19107</v>
      </c>
      <c r="BBM1" t="s">
        <v>19108</v>
      </c>
      <c r="BBN1" t="s">
        <v>19109</v>
      </c>
      <c r="BBO1" t="s">
        <v>19110</v>
      </c>
      <c r="BBP1" t="s">
        <v>19111</v>
      </c>
      <c r="BBQ1" t="s">
        <v>19112</v>
      </c>
      <c r="BBR1" t="s">
        <v>19113</v>
      </c>
      <c r="BBS1" t="s">
        <v>19114</v>
      </c>
      <c r="BBT1" t="s">
        <v>19115</v>
      </c>
      <c r="BBU1" t="s">
        <v>19116</v>
      </c>
      <c r="BBV1" t="s">
        <v>19117</v>
      </c>
      <c r="BBW1" t="s">
        <v>19118</v>
      </c>
      <c r="BBX1" t="s">
        <v>19119</v>
      </c>
      <c r="BBY1" t="s">
        <v>19120</v>
      </c>
      <c r="BBZ1" t="s">
        <v>19121</v>
      </c>
      <c r="BCA1" t="s">
        <v>19122</v>
      </c>
      <c r="BCB1" t="s">
        <v>19123</v>
      </c>
      <c r="BCC1" t="s">
        <v>19124</v>
      </c>
      <c r="BCD1" t="s">
        <v>19125</v>
      </c>
      <c r="BCE1" t="s">
        <v>19126</v>
      </c>
      <c r="BCF1" t="s">
        <v>19127</v>
      </c>
      <c r="BCG1" t="s">
        <v>19128</v>
      </c>
      <c r="BCH1" t="s">
        <v>19129</v>
      </c>
      <c r="BCI1" t="s">
        <v>19130</v>
      </c>
      <c r="BCJ1" t="s">
        <v>19131</v>
      </c>
      <c r="BCK1" t="s">
        <v>19132</v>
      </c>
      <c r="BCL1" t="s">
        <v>19133</v>
      </c>
      <c r="BCM1" t="s">
        <v>19134</v>
      </c>
      <c r="BCN1" t="s">
        <v>19135</v>
      </c>
      <c r="BCO1" t="s">
        <v>19136</v>
      </c>
      <c r="BCP1" t="s">
        <v>19137</v>
      </c>
      <c r="BCQ1" t="s">
        <v>19138</v>
      </c>
      <c r="BCR1" t="s">
        <v>19139</v>
      </c>
      <c r="BCS1" t="s">
        <v>19140</v>
      </c>
      <c r="BCT1" t="s">
        <v>19141</v>
      </c>
      <c r="BCU1" t="s">
        <v>19142</v>
      </c>
      <c r="BCV1" t="s">
        <v>19143</v>
      </c>
      <c r="BCW1" t="s">
        <v>19144</v>
      </c>
      <c r="BCX1" t="s">
        <v>19145</v>
      </c>
      <c r="BCY1" t="s">
        <v>19146</v>
      </c>
      <c r="BCZ1" t="s">
        <v>19147</v>
      </c>
      <c r="BDA1" t="s">
        <v>19148</v>
      </c>
      <c r="BDB1" t="s">
        <v>19149</v>
      </c>
      <c r="BDC1" t="s">
        <v>19150</v>
      </c>
      <c r="BDD1" t="s">
        <v>19151</v>
      </c>
      <c r="BDE1" t="s">
        <v>19152</v>
      </c>
      <c r="BDF1" t="s">
        <v>19153</v>
      </c>
      <c r="BDG1" t="s">
        <v>19154</v>
      </c>
      <c r="BDH1" t="s">
        <v>19155</v>
      </c>
      <c r="BDI1" t="s">
        <v>19156</v>
      </c>
      <c r="BDJ1" t="s">
        <v>19157</v>
      </c>
      <c r="BDK1" t="s">
        <v>19158</v>
      </c>
      <c r="BDL1" t="s">
        <v>19159</v>
      </c>
      <c r="BDM1" t="s">
        <v>19160</v>
      </c>
      <c r="BDN1" t="s">
        <v>19161</v>
      </c>
      <c r="BDO1" t="s">
        <v>19162</v>
      </c>
      <c r="BDP1" t="s">
        <v>19163</v>
      </c>
      <c r="BDQ1" t="s">
        <v>19164</v>
      </c>
      <c r="BDR1" t="s">
        <v>19165</v>
      </c>
      <c r="BDS1" t="s">
        <v>19166</v>
      </c>
      <c r="BDT1" t="s">
        <v>19167</v>
      </c>
      <c r="BDU1" t="s">
        <v>19168</v>
      </c>
      <c r="BDV1" t="s">
        <v>19169</v>
      </c>
      <c r="BDW1" t="s">
        <v>19170</v>
      </c>
      <c r="BDX1" t="s">
        <v>19171</v>
      </c>
      <c r="BDY1" t="s">
        <v>19172</v>
      </c>
      <c r="BDZ1" t="s">
        <v>19173</v>
      </c>
      <c r="BEA1" t="s">
        <v>19174</v>
      </c>
      <c r="BEB1" t="s">
        <v>19175</v>
      </c>
      <c r="BEC1" t="s">
        <v>19176</v>
      </c>
      <c r="BED1" t="s">
        <v>19177</v>
      </c>
      <c r="BEE1" t="s">
        <v>19178</v>
      </c>
      <c r="BEF1" t="s">
        <v>19179</v>
      </c>
      <c r="BEG1" t="s">
        <v>19180</v>
      </c>
      <c r="BEH1" t="s">
        <v>19181</v>
      </c>
      <c r="BEI1" t="s">
        <v>19182</v>
      </c>
      <c r="BEJ1" t="s">
        <v>19183</v>
      </c>
      <c r="BEK1" t="s">
        <v>19184</v>
      </c>
      <c r="BEL1" t="s">
        <v>19185</v>
      </c>
      <c r="BEM1" t="s">
        <v>19186</v>
      </c>
      <c r="BEN1" t="s">
        <v>19187</v>
      </c>
      <c r="BEO1" t="s">
        <v>19188</v>
      </c>
      <c r="BEP1" t="s">
        <v>19189</v>
      </c>
      <c r="BEQ1" t="s">
        <v>19190</v>
      </c>
      <c r="BER1" t="s">
        <v>19191</v>
      </c>
      <c r="BES1" t="s">
        <v>19192</v>
      </c>
      <c r="BET1" t="s">
        <v>19193</v>
      </c>
      <c r="BEU1" t="s">
        <v>19194</v>
      </c>
      <c r="BEV1" t="s">
        <v>19195</v>
      </c>
      <c r="BEW1" t="s">
        <v>19196</v>
      </c>
      <c r="BEX1" t="s">
        <v>19197</v>
      </c>
      <c r="BEY1" t="s">
        <v>19198</v>
      </c>
      <c r="BEZ1" t="s">
        <v>19199</v>
      </c>
      <c r="BFA1" t="s">
        <v>19200</v>
      </c>
      <c r="BFB1" t="s">
        <v>19201</v>
      </c>
      <c r="BFC1" t="s">
        <v>19202</v>
      </c>
      <c r="BFD1" t="s">
        <v>19203</v>
      </c>
      <c r="BFE1" t="s">
        <v>19204</v>
      </c>
      <c r="BFF1" t="s">
        <v>19205</v>
      </c>
      <c r="BFG1" t="s">
        <v>19206</v>
      </c>
      <c r="BFH1" t="s">
        <v>19207</v>
      </c>
      <c r="BFI1" t="s">
        <v>19208</v>
      </c>
      <c r="BFJ1" t="s">
        <v>19209</v>
      </c>
      <c r="BFK1" t="s">
        <v>19210</v>
      </c>
      <c r="BFL1" t="s">
        <v>19211</v>
      </c>
      <c r="BFM1" t="s">
        <v>19212</v>
      </c>
      <c r="BFN1" t="s">
        <v>19213</v>
      </c>
      <c r="BFO1" t="s">
        <v>19214</v>
      </c>
      <c r="BFP1" t="s">
        <v>19215</v>
      </c>
      <c r="BFQ1" t="s">
        <v>19216</v>
      </c>
      <c r="BFR1" t="s">
        <v>19217</v>
      </c>
      <c r="BFS1" t="s">
        <v>19218</v>
      </c>
      <c r="BFT1" t="s">
        <v>19219</v>
      </c>
      <c r="BFU1" t="s">
        <v>19220</v>
      </c>
      <c r="BFV1" t="s">
        <v>19221</v>
      </c>
      <c r="BFW1" t="s">
        <v>19222</v>
      </c>
      <c r="BFX1" t="s">
        <v>19223</v>
      </c>
      <c r="BFY1" t="s">
        <v>19224</v>
      </c>
      <c r="BFZ1" t="s">
        <v>19225</v>
      </c>
      <c r="BGA1" t="s">
        <v>19226</v>
      </c>
      <c r="BGB1" t="s">
        <v>19227</v>
      </c>
      <c r="BGC1" t="s">
        <v>19228</v>
      </c>
      <c r="BGD1" t="s">
        <v>19229</v>
      </c>
      <c r="BGE1" t="s">
        <v>19230</v>
      </c>
      <c r="BGF1" t="s">
        <v>19231</v>
      </c>
      <c r="BGG1" t="s">
        <v>19232</v>
      </c>
      <c r="BGH1" t="s">
        <v>19233</v>
      </c>
      <c r="BGI1" t="s">
        <v>19234</v>
      </c>
      <c r="BGJ1" t="s">
        <v>19235</v>
      </c>
      <c r="BGK1" t="s">
        <v>19236</v>
      </c>
      <c r="BGL1" t="s">
        <v>19237</v>
      </c>
      <c r="BGM1" t="s">
        <v>19238</v>
      </c>
      <c r="BGN1" t="s">
        <v>19239</v>
      </c>
      <c r="BGO1" t="s">
        <v>19240</v>
      </c>
      <c r="BGP1" t="s">
        <v>19241</v>
      </c>
      <c r="BGQ1" t="s">
        <v>19242</v>
      </c>
      <c r="BGR1" t="s">
        <v>19243</v>
      </c>
      <c r="BGS1" t="s">
        <v>19244</v>
      </c>
      <c r="BGT1" t="s">
        <v>19245</v>
      </c>
      <c r="BGU1" t="s">
        <v>19246</v>
      </c>
      <c r="BGV1" t="s">
        <v>19247</v>
      </c>
      <c r="BGW1" t="s">
        <v>19248</v>
      </c>
      <c r="BGX1" t="s">
        <v>19249</v>
      </c>
      <c r="BGY1" t="s">
        <v>19250</v>
      </c>
      <c r="BGZ1" t="s">
        <v>19251</v>
      </c>
      <c r="BHA1" t="s">
        <v>19252</v>
      </c>
      <c r="BHB1" t="s">
        <v>19253</v>
      </c>
      <c r="BHC1" t="s">
        <v>19254</v>
      </c>
      <c r="BHD1" t="s">
        <v>19255</v>
      </c>
      <c r="BHE1" t="s">
        <v>19256</v>
      </c>
      <c r="BHF1" t="s">
        <v>19257</v>
      </c>
      <c r="BHG1" t="s">
        <v>19258</v>
      </c>
      <c r="BHH1" t="s">
        <v>19259</v>
      </c>
      <c r="BHI1" t="s">
        <v>19260</v>
      </c>
      <c r="BHJ1" t="s">
        <v>19261</v>
      </c>
      <c r="BHK1" t="s">
        <v>19262</v>
      </c>
      <c r="BHL1" t="s">
        <v>19263</v>
      </c>
      <c r="BHM1" t="s">
        <v>19264</v>
      </c>
      <c r="BHN1" t="s">
        <v>19265</v>
      </c>
      <c r="BHO1" t="s">
        <v>19266</v>
      </c>
      <c r="BHP1" t="s">
        <v>19267</v>
      </c>
      <c r="BHQ1" t="s">
        <v>19268</v>
      </c>
      <c r="BHR1" t="s">
        <v>19269</v>
      </c>
      <c r="BHS1" t="s">
        <v>19270</v>
      </c>
      <c r="BHT1" t="s">
        <v>19271</v>
      </c>
      <c r="BHU1" t="s">
        <v>19272</v>
      </c>
      <c r="BHV1" t="s">
        <v>19273</v>
      </c>
      <c r="BHW1" t="s">
        <v>19274</v>
      </c>
      <c r="BHX1" t="s">
        <v>19275</v>
      </c>
      <c r="BHY1" t="s">
        <v>19276</v>
      </c>
      <c r="BHZ1" t="s">
        <v>19277</v>
      </c>
      <c r="BIA1" t="s">
        <v>19278</v>
      </c>
      <c r="BIB1" t="s">
        <v>19279</v>
      </c>
      <c r="BIC1" t="s">
        <v>19280</v>
      </c>
      <c r="BID1" t="s">
        <v>19281</v>
      </c>
      <c r="BIE1" t="s">
        <v>19282</v>
      </c>
      <c r="BIF1" t="s">
        <v>19283</v>
      </c>
      <c r="BIG1" t="s">
        <v>19284</v>
      </c>
      <c r="BIH1" t="s">
        <v>19285</v>
      </c>
      <c r="BII1" t="s">
        <v>19286</v>
      </c>
      <c r="BIJ1" t="s">
        <v>19287</v>
      </c>
      <c r="BIK1" t="s">
        <v>19288</v>
      </c>
      <c r="BIL1" t="s">
        <v>19289</v>
      </c>
      <c r="BIM1" t="s">
        <v>19290</v>
      </c>
      <c r="BIN1" t="s">
        <v>19291</v>
      </c>
      <c r="BIO1" t="s">
        <v>19292</v>
      </c>
      <c r="BIP1" t="s">
        <v>19293</v>
      </c>
      <c r="BIQ1" t="s">
        <v>19294</v>
      </c>
      <c r="BIR1" t="s">
        <v>19295</v>
      </c>
      <c r="BIS1" t="s">
        <v>19296</v>
      </c>
      <c r="BIT1" t="s">
        <v>19297</v>
      </c>
      <c r="BIU1" t="s">
        <v>19298</v>
      </c>
      <c r="BIV1" t="s">
        <v>19299</v>
      </c>
      <c r="BIW1" t="s">
        <v>19300</v>
      </c>
      <c r="BIX1" t="s">
        <v>19301</v>
      </c>
      <c r="BIY1" t="s">
        <v>19302</v>
      </c>
      <c r="BIZ1" t="s">
        <v>19303</v>
      </c>
      <c r="BJA1" t="s">
        <v>19304</v>
      </c>
      <c r="BJB1" t="s">
        <v>19305</v>
      </c>
      <c r="BJC1" t="s">
        <v>19306</v>
      </c>
      <c r="BJD1" t="s">
        <v>19307</v>
      </c>
      <c r="BJE1" t="s">
        <v>19308</v>
      </c>
      <c r="BJF1" t="s">
        <v>19309</v>
      </c>
      <c r="BJG1" t="s">
        <v>19310</v>
      </c>
      <c r="BJH1" t="s">
        <v>19311</v>
      </c>
      <c r="BJI1" t="s">
        <v>19312</v>
      </c>
      <c r="BJJ1" t="s">
        <v>19313</v>
      </c>
      <c r="BJK1" t="s">
        <v>19314</v>
      </c>
      <c r="BJL1" t="s">
        <v>19315</v>
      </c>
      <c r="BJM1" t="s">
        <v>19316</v>
      </c>
      <c r="BJN1" t="s">
        <v>19317</v>
      </c>
      <c r="BJO1" t="s">
        <v>19318</v>
      </c>
      <c r="BJP1" t="s">
        <v>19319</v>
      </c>
      <c r="BJQ1" t="s">
        <v>19320</v>
      </c>
      <c r="BJR1" t="s">
        <v>19321</v>
      </c>
      <c r="BJS1" t="s">
        <v>19322</v>
      </c>
      <c r="BJT1" t="s">
        <v>19323</v>
      </c>
      <c r="BJU1" t="s">
        <v>19324</v>
      </c>
      <c r="BJV1" t="s">
        <v>19325</v>
      </c>
      <c r="BJW1" t="s">
        <v>19326</v>
      </c>
      <c r="BJX1" t="s">
        <v>19327</v>
      </c>
      <c r="BJY1" t="s">
        <v>19328</v>
      </c>
      <c r="BJZ1" t="s">
        <v>19329</v>
      </c>
      <c r="BKA1" t="s">
        <v>19330</v>
      </c>
      <c r="BKB1" t="s">
        <v>19331</v>
      </c>
      <c r="BKC1" t="s">
        <v>19332</v>
      </c>
      <c r="BKD1" t="s">
        <v>19333</v>
      </c>
      <c r="BKE1" t="s">
        <v>19334</v>
      </c>
      <c r="BKF1" t="s">
        <v>19335</v>
      </c>
      <c r="BKG1" t="s">
        <v>19336</v>
      </c>
      <c r="BKH1" t="s">
        <v>19337</v>
      </c>
      <c r="BKI1" t="s">
        <v>19338</v>
      </c>
      <c r="BKJ1" t="s">
        <v>19339</v>
      </c>
      <c r="BKK1" t="s">
        <v>19340</v>
      </c>
      <c r="BKL1" t="s">
        <v>19341</v>
      </c>
      <c r="BKM1" t="s">
        <v>19342</v>
      </c>
      <c r="BKN1" t="s">
        <v>19343</v>
      </c>
      <c r="BKO1" t="s">
        <v>19344</v>
      </c>
      <c r="BKP1" t="s">
        <v>19345</v>
      </c>
      <c r="BKQ1" t="s">
        <v>19346</v>
      </c>
      <c r="BKR1" t="s">
        <v>19347</v>
      </c>
      <c r="BKS1" t="s">
        <v>19348</v>
      </c>
      <c r="BKT1" t="s">
        <v>19349</v>
      </c>
      <c r="BKU1" t="s">
        <v>19350</v>
      </c>
      <c r="BKV1" t="s">
        <v>19351</v>
      </c>
      <c r="BKW1" t="s">
        <v>19352</v>
      </c>
      <c r="BKX1" t="s">
        <v>19353</v>
      </c>
      <c r="BKY1" t="s">
        <v>19354</v>
      </c>
      <c r="BKZ1" t="s">
        <v>19355</v>
      </c>
      <c r="BLA1" t="s">
        <v>19356</v>
      </c>
      <c r="BLB1" t="s">
        <v>19357</v>
      </c>
      <c r="BLC1" t="s">
        <v>19358</v>
      </c>
      <c r="BLD1" t="s">
        <v>19359</v>
      </c>
      <c r="BLE1" t="s">
        <v>19360</v>
      </c>
      <c r="BLF1" t="s">
        <v>19361</v>
      </c>
      <c r="BLG1" t="s">
        <v>19362</v>
      </c>
      <c r="BLH1" t="s">
        <v>19363</v>
      </c>
      <c r="BLI1" t="s">
        <v>19364</v>
      </c>
      <c r="BLJ1" t="s">
        <v>19365</v>
      </c>
      <c r="BLK1" t="s">
        <v>19366</v>
      </c>
      <c r="BLL1" t="s">
        <v>19367</v>
      </c>
      <c r="BLM1" t="s">
        <v>19368</v>
      </c>
      <c r="BLN1" t="s">
        <v>19369</v>
      </c>
      <c r="BLO1" t="s">
        <v>19370</v>
      </c>
      <c r="BLP1" t="s">
        <v>19371</v>
      </c>
      <c r="BLQ1" t="s">
        <v>19372</v>
      </c>
      <c r="BLR1" t="s">
        <v>19373</v>
      </c>
      <c r="BLS1" t="s">
        <v>19374</v>
      </c>
      <c r="BLT1" t="s">
        <v>19375</v>
      </c>
      <c r="BLU1" t="s">
        <v>19376</v>
      </c>
      <c r="BLV1" t="s">
        <v>19377</v>
      </c>
      <c r="BLW1" t="s">
        <v>19378</v>
      </c>
      <c r="BLX1" t="s">
        <v>19379</v>
      </c>
      <c r="BLY1" t="s">
        <v>19380</v>
      </c>
      <c r="BLZ1" t="s">
        <v>19381</v>
      </c>
      <c r="BMA1" t="s">
        <v>19382</v>
      </c>
      <c r="BMB1" t="s">
        <v>19383</v>
      </c>
      <c r="BMC1" t="s">
        <v>19384</v>
      </c>
      <c r="BMD1" t="s">
        <v>19385</v>
      </c>
      <c r="BME1" t="s">
        <v>19386</v>
      </c>
      <c r="BMF1" t="s">
        <v>19387</v>
      </c>
      <c r="BMG1" t="s">
        <v>19388</v>
      </c>
      <c r="BMH1" t="s">
        <v>19389</v>
      </c>
      <c r="BMI1" t="s">
        <v>19390</v>
      </c>
      <c r="BMJ1" t="s">
        <v>19391</v>
      </c>
      <c r="BMK1" t="s">
        <v>19392</v>
      </c>
      <c r="BML1" t="s">
        <v>19393</v>
      </c>
      <c r="BMM1" t="s">
        <v>19394</v>
      </c>
      <c r="BMN1" t="s">
        <v>19395</v>
      </c>
      <c r="BMO1" t="s">
        <v>19396</v>
      </c>
      <c r="BMP1" t="s">
        <v>19397</v>
      </c>
      <c r="BMQ1" t="s">
        <v>19398</v>
      </c>
      <c r="BMR1" t="s">
        <v>19399</v>
      </c>
      <c r="BMS1" t="s">
        <v>19400</v>
      </c>
      <c r="BMT1" t="s">
        <v>19401</v>
      </c>
      <c r="BMU1" t="s">
        <v>19402</v>
      </c>
      <c r="BMV1" t="s">
        <v>19403</v>
      </c>
      <c r="BMW1" t="s">
        <v>19404</v>
      </c>
      <c r="BMX1" t="s">
        <v>19405</v>
      </c>
      <c r="BMY1" t="s">
        <v>19406</v>
      </c>
      <c r="BMZ1" t="s">
        <v>19407</v>
      </c>
      <c r="BNA1" t="s">
        <v>19408</v>
      </c>
      <c r="BNB1" t="s">
        <v>19409</v>
      </c>
      <c r="BNC1" t="s">
        <v>19410</v>
      </c>
      <c r="BND1" t="s">
        <v>19411</v>
      </c>
      <c r="BNE1" t="s">
        <v>19412</v>
      </c>
      <c r="BNF1" t="s">
        <v>19413</v>
      </c>
      <c r="BNG1" t="s">
        <v>19414</v>
      </c>
      <c r="BNH1" t="s">
        <v>19415</v>
      </c>
      <c r="BNI1" t="s">
        <v>19416</v>
      </c>
      <c r="BNJ1" t="s">
        <v>19417</v>
      </c>
      <c r="BNK1" t="s">
        <v>19418</v>
      </c>
      <c r="BNL1" t="s">
        <v>19419</v>
      </c>
      <c r="BNM1" t="s">
        <v>19420</v>
      </c>
      <c r="BNN1" t="s">
        <v>19421</v>
      </c>
      <c r="BNO1" t="s">
        <v>19422</v>
      </c>
      <c r="BNP1" t="s">
        <v>19423</v>
      </c>
      <c r="BNQ1" t="s">
        <v>19424</v>
      </c>
      <c r="BNR1" t="s">
        <v>19425</v>
      </c>
      <c r="BNS1" t="s">
        <v>19426</v>
      </c>
      <c r="BNT1" t="s">
        <v>19427</v>
      </c>
      <c r="BNU1" t="s">
        <v>19428</v>
      </c>
      <c r="BNV1" t="s">
        <v>19429</v>
      </c>
      <c r="BNW1" t="s">
        <v>19430</v>
      </c>
      <c r="BNX1" t="s">
        <v>19431</v>
      </c>
      <c r="BNY1" t="s">
        <v>19432</v>
      </c>
      <c r="BNZ1" t="s">
        <v>19433</v>
      </c>
      <c r="BOA1" t="s">
        <v>19434</v>
      </c>
      <c r="BOB1" t="s">
        <v>19435</v>
      </c>
      <c r="BOC1" t="s">
        <v>19436</v>
      </c>
      <c r="BOD1" t="s">
        <v>19437</v>
      </c>
      <c r="BOE1" t="s">
        <v>19438</v>
      </c>
      <c r="BOF1" t="s">
        <v>19439</v>
      </c>
      <c r="BOG1" t="s">
        <v>19440</v>
      </c>
      <c r="BOH1" t="s">
        <v>19441</v>
      </c>
      <c r="BOI1" t="s">
        <v>19442</v>
      </c>
      <c r="BOJ1" t="s">
        <v>19443</v>
      </c>
      <c r="BOK1" t="s">
        <v>19444</v>
      </c>
      <c r="BOL1" t="s">
        <v>19445</v>
      </c>
      <c r="BOM1" t="s">
        <v>19446</v>
      </c>
      <c r="BON1" t="s">
        <v>19447</v>
      </c>
      <c r="BOO1" t="s">
        <v>19448</v>
      </c>
      <c r="BOP1" t="s">
        <v>19449</v>
      </c>
      <c r="BOQ1" t="s">
        <v>19450</v>
      </c>
      <c r="BOR1" t="s">
        <v>19451</v>
      </c>
      <c r="BOS1" t="s">
        <v>19452</v>
      </c>
      <c r="BOT1" t="s">
        <v>19453</v>
      </c>
      <c r="BOU1" t="s">
        <v>19454</v>
      </c>
      <c r="BOV1" t="s">
        <v>19455</v>
      </c>
      <c r="BOW1" t="s">
        <v>19456</v>
      </c>
      <c r="BOX1" t="s">
        <v>19457</v>
      </c>
      <c r="BOY1" t="s">
        <v>19458</v>
      </c>
      <c r="BOZ1" t="s">
        <v>19459</v>
      </c>
      <c r="BPA1" t="s">
        <v>19460</v>
      </c>
      <c r="BPB1" t="s">
        <v>19461</v>
      </c>
      <c r="BPC1" t="s">
        <v>19462</v>
      </c>
      <c r="BPD1" t="s">
        <v>19463</v>
      </c>
      <c r="BPE1" t="s">
        <v>19464</v>
      </c>
      <c r="BPF1" t="s">
        <v>19465</v>
      </c>
      <c r="BPG1" t="s">
        <v>19466</v>
      </c>
      <c r="BPH1" t="s">
        <v>19467</v>
      </c>
      <c r="BPI1" t="s">
        <v>19468</v>
      </c>
      <c r="BPJ1" t="s">
        <v>19469</v>
      </c>
      <c r="BPK1" t="s">
        <v>19470</v>
      </c>
      <c r="BPL1" t="s">
        <v>19471</v>
      </c>
      <c r="BPM1" t="s">
        <v>19472</v>
      </c>
      <c r="BPN1" t="s">
        <v>19473</v>
      </c>
      <c r="BPO1" t="s">
        <v>19474</v>
      </c>
      <c r="BPP1" t="s">
        <v>19475</v>
      </c>
      <c r="BPQ1" t="s">
        <v>19476</v>
      </c>
      <c r="BPR1" t="s">
        <v>19477</v>
      </c>
      <c r="BPS1" t="s">
        <v>19478</v>
      </c>
      <c r="BPT1" t="s">
        <v>19479</v>
      </c>
      <c r="BPU1" t="s">
        <v>19480</v>
      </c>
      <c r="BPV1" t="s">
        <v>19481</v>
      </c>
      <c r="BPW1" t="s">
        <v>19482</v>
      </c>
      <c r="BPX1" t="s">
        <v>19483</v>
      </c>
      <c r="BPY1" t="s">
        <v>19484</v>
      </c>
      <c r="BPZ1" t="s">
        <v>19485</v>
      </c>
      <c r="BQA1" t="s">
        <v>19486</v>
      </c>
      <c r="BQB1" t="s">
        <v>19487</v>
      </c>
      <c r="BQC1" t="s">
        <v>19488</v>
      </c>
      <c r="BQD1" t="s">
        <v>19489</v>
      </c>
      <c r="BQE1" t="s">
        <v>19490</v>
      </c>
      <c r="BQF1" t="s">
        <v>19491</v>
      </c>
      <c r="BQG1" t="s">
        <v>19492</v>
      </c>
      <c r="BQH1" t="s">
        <v>19493</v>
      </c>
      <c r="BQI1" t="s">
        <v>19494</v>
      </c>
      <c r="BQJ1" t="s">
        <v>19495</v>
      </c>
      <c r="BQK1" t="s">
        <v>19496</v>
      </c>
      <c r="BQL1" t="s">
        <v>19497</v>
      </c>
      <c r="BQM1" t="s">
        <v>19498</v>
      </c>
      <c r="BQN1" t="s">
        <v>19499</v>
      </c>
      <c r="BQO1" t="s">
        <v>19500</v>
      </c>
      <c r="BQP1" t="s">
        <v>19501</v>
      </c>
      <c r="BQQ1" t="s">
        <v>19502</v>
      </c>
      <c r="BQR1" t="s">
        <v>19503</v>
      </c>
      <c r="BQS1" t="s">
        <v>19504</v>
      </c>
      <c r="BQT1" t="s">
        <v>19505</v>
      </c>
      <c r="BQU1" t="s">
        <v>19506</v>
      </c>
      <c r="BQV1" t="s">
        <v>19507</v>
      </c>
      <c r="BQW1" t="s">
        <v>19508</v>
      </c>
      <c r="BQX1" t="s">
        <v>19509</v>
      </c>
      <c r="BQY1" t="s">
        <v>19510</v>
      </c>
      <c r="BQZ1" t="s">
        <v>19511</v>
      </c>
      <c r="BRA1" t="s">
        <v>19512</v>
      </c>
      <c r="BRB1" t="s">
        <v>19513</v>
      </c>
      <c r="BRC1" t="s">
        <v>19514</v>
      </c>
      <c r="BRD1" t="s">
        <v>19515</v>
      </c>
      <c r="BRE1" t="s">
        <v>19516</v>
      </c>
      <c r="BRF1" t="s">
        <v>19517</v>
      </c>
      <c r="BRG1" t="s">
        <v>19518</v>
      </c>
      <c r="BRH1" t="s">
        <v>19519</v>
      </c>
      <c r="BRI1" t="s">
        <v>19520</v>
      </c>
      <c r="BRJ1" t="s">
        <v>19521</v>
      </c>
      <c r="BRK1" t="s">
        <v>19522</v>
      </c>
      <c r="BRL1" t="s">
        <v>19523</v>
      </c>
      <c r="BRM1" t="s">
        <v>19524</v>
      </c>
      <c r="BRN1" t="s">
        <v>19525</v>
      </c>
      <c r="BRO1" t="s">
        <v>19526</v>
      </c>
      <c r="BRP1" t="s">
        <v>19527</v>
      </c>
      <c r="BRQ1" t="s">
        <v>19528</v>
      </c>
      <c r="BRR1" t="s">
        <v>19529</v>
      </c>
      <c r="BRS1" t="s">
        <v>19530</v>
      </c>
      <c r="BRT1" t="s">
        <v>19531</v>
      </c>
      <c r="BRU1" t="s">
        <v>19532</v>
      </c>
      <c r="BRV1" t="s">
        <v>19533</v>
      </c>
      <c r="BRW1" t="s">
        <v>19534</v>
      </c>
      <c r="BRX1" t="s">
        <v>19535</v>
      </c>
      <c r="BRY1" t="s">
        <v>19536</v>
      </c>
      <c r="BRZ1" t="s">
        <v>19537</v>
      </c>
      <c r="BSA1" t="s">
        <v>19538</v>
      </c>
      <c r="BSB1" t="s">
        <v>19539</v>
      </c>
      <c r="BSC1" t="s">
        <v>19540</v>
      </c>
      <c r="BSD1" t="s">
        <v>19541</v>
      </c>
      <c r="BSE1" t="s">
        <v>19542</v>
      </c>
      <c r="BSF1" t="s">
        <v>19543</v>
      </c>
      <c r="BSG1" t="s">
        <v>19544</v>
      </c>
      <c r="BSH1" t="s">
        <v>19545</v>
      </c>
      <c r="BSI1" t="s">
        <v>19546</v>
      </c>
      <c r="BSJ1" t="s">
        <v>19547</v>
      </c>
      <c r="BSK1" t="s">
        <v>19548</v>
      </c>
      <c r="BSL1" t="s">
        <v>19549</v>
      </c>
      <c r="BSM1" t="s">
        <v>19550</v>
      </c>
      <c r="BSN1" t="s">
        <v>19551</v>
      </c>
      <c r="BSO1" t="s">
        <v>19552</v>
      </c>
      <c r="BSP1" t="s">
        <v>19553</v>
      </c>
      <c r="BSQ1" t="s">
        <v>19554</v>
      </c>
      <c r="BSR1" t="s">
        <v>19555</v>
      </c>
      <c r="BSS1" t="s">
        <v>19556</v>
      </c>
      <c r="BST1" t="s">
        <v>19557</v>
      </c>
      <c r="BSU1" t="s">
        <v>19558</v>
      </c>
      <c r="BSV1" t="s">
        <v>19559</v>
      </c>
      <c r="BSW1" t="s">
        <v>19560</v>
      </c>
      <c r="BSX1" t="s">
        <v>19561</v>
      </c>
      <c r="BSY1" t="s">
        <v>19562</v>
      </c>
      <c r="BSZ1" t="s">
        <v>19563</v>
      </c>
      <c r="BTA1" t="s">
        <v>19564</v>
      </c>
      <c r="BTB1" t="s">
        <v>19565</v>
      </c>
      <c r="BTC1" t="s">
        <v>19566</v>
      </c>
      <c r="BTD1" t="s">
        <v>19567</v>
      </c>
      <c r="BTE1" t="s">
        <v>19568</v>
      </c>
      <c r="BTF1" t="s">
        <v>19569</v>
      </c>
      <c r="BTG1" t="s">
        <v>19570</v>
      </c>
      <c r="BTH1" t="s">
        <v>19571</v>
      </c>
      <c r="BTI1" t="s">
        <v>19572</v>
      </c>
      <c r="BTJ1" t="s">
        <v>19573</v>
      </c>
      <c r="BTK1" t="s">
        <v>19574</v>
      </c>
      <c r="BTL1" t="s">
        <v>19575</v>
      </c>
      <c r="BTM1" t="s">
        <v>19576</v>
      </c>
      <c r="BTN1" t="s">
        <v>19577</v>
      </c>
      <c r="BTO1" t="s">
        <v>19578</v>
      </c>
      <c r="BTP1" t="s">
        <v>19579</v>
      </c>
      <c r="BTQ1" t="s">
        <v>19580</v>
      </c>
      <c r="BTR1" t="s">
        <v>19581</v>
      </c>
      <c r="BTS1" t="s">
        <v>19582</v>
      </c>
      <c r="BTT1" t="s">
        <v>19583</v>
      </c>
      <c r="BTU1" t="s">
        <v>19584</v>
      </c>
      <c r="BTV1" t="s">
        <v>19585</v>
      </c>
      <c r="BTW1" t="s">
        <v>19586</v>
      </c>
      <c r="BTX1" t="s">
        <v>19587</v>
      </c>
      <c r="BTY1" t="s">
        <v>19588</v>
      </c>
      <c r="BTZ1" t="s">
        <v>19589</v>
      </c>
      <c r="BUA1" t="s">
        <v>19590</v>
      </c>
      <c r="BUB1" t="s">
        <v>19591</v>
      </c>
      <c r="BUC1" t="s">
        <v>19592</v>
      </c>
      <c r="BUD1" t="s">
        <v>19593</v>
      </c>
      <c r="BUE1" t="s">
        <v>19594</v>
      </c>
      <c r="BUF1" t="s">
        <v>19595</v>
      </c>
      <c r="BUG1" t="s">
        <v>19596</v>
      </c>
      <c r="BUH1" t="s">
        <v>19597</v>
      </c>
      <c r="BUI1" t="s">
        <v>19598</v>
      </c>
      <c r="BUJ1" t="s">
        <v>19599</v>
      </c>
      <c r="BUK1" t="s">
        <v>19600</v>
      </c>
      <c r="BUL1" t="s">
        <v>19601</v>
      </c>
      <c r="BUM1" t="s">
        <v>19602</v>
      </c>
      <c r="BUN1" t="s">
        <v>19603</v>
      </c>
      <c r="BUO1" t="s">
        <v>19604</v>
      </c>
      <c r="BUP1" t="s">
        <v>19605</v>
      </c>
      <c r="BUQ1" t="s">
        <v>19606</v>
      </c>
      <c r="BUR1" t="s">
        <v>19607</v>
      </c>
      <c r="BUS1" t="s">
        <v>19608</v>
      </c>
      <c r="BUT1" t="s">
        <v>19609</v>
      </c>
      <c r="BUU1" t="s">
        <v>19610</v>
      </c>
      <c r="BUV1" t="s">
        <v>19611</v>
      </c>
      <c r="BUW1" t="s">
        <v>19612</v>
      </c>
      <c r="BUX1" t="s">
        <v>19613</v>
      </c>
      <c r="BUY1" t="s">
        <v>19614</v>
      </c>
      <c r="BUZ1" t="s">
        <v>19615</v>
      </c>
      <c r="BVA1" t="s">
        <v>19616</v>
      </c>
      <c r="BVB1" t="s">
        <v>19617</v>
      </c>
      <c r="BVC1" t="s">
        <v>19618</v>
      </c>
      <c r="BVD1" t="s">
        <v>19619</v>
      </c>
      <c r="BVE1" t="s">
        <v>19620</v>
      </c>
      <c r="BVF1" t="s">
        <v>19621</v>
      </c>
      <c r="BVG1" t="s">
        <v>19622</v>
      </c>
      <c r="BVH1" t="s">
        <v>19623</v>
      </c>
      <c r="BVI1" t="s">
        <v>19624</v>
      </c>
      <c r="BVJ1" t="s">
        <v>19625</v>
      </c>
      <c r="BVK1" t="s">
        <v>19626</v>
      </c>
      <c r="BVL1" t="s">
        <v>19627</v>
      </c>
      <c r="BVM1" t="s">
        <v>19628</v>
      </c>
      <c r="BVN1" t="s">
        <v>19629</v>
      </c>
      <c r="BVO1" t="s">
        <v>19630</v>
      </c>
      <c r="BVP1" t="s">
        <v>19631</v>
      </c>
      <c r="BVQ1" t="s">
        <v>19632</v>
      </c>
      <c r="BVR1" t="s">
        <v>19633</v>
      </c>
      <c r="BVS1" t="s">
        <v>19634</v>
      </c>
      <c r="BVT1" t="s">
        <v>19635</v>
      </c>
      <c r="BVU1" t="s">
        <v>19636</v>
      </c>
      <c r="BVV1" t="s">
        <v>19637</v>
      </c>
      <c r="BVW1" t="s">
        <v>19638</v>
      </c>
      <c r="BVX1" t="s">
        <v>19639</v>
      </c>
      <c r="BVY1" t="s">
        <v>19640</v>
      </c>
      <c r="BVZ1" t="s">
        <v>19641</v>
      </c>
      <c r="BWA1" t="s">
        <v>19642</v>
      </c>
      <c r="BWB1" t="s">
        <v>19643</v>
      </c>
      <c r="BWC1" t="s">
        <v>19644</v>
      </c>
      <c r="BWD1" t="s">
        <v>19645</v>
      </c>
      <c r="BWE1" t="s">
        <v>19646</v>
      </c>
      <c r="BWF1" t="s">
        <v>19647</v>
      </c>
      <c r="BWG1" t="s">
        <v>19648</v>
      </c>
      <c r="BWH1" t="s">
        <v>19649</v>
      </c>
      <c r="BWI1" t="s">
        <v>19650</v>
      </c>
      <c r="BWJ1" t="s">
        <v>19651</v>
      </c>
      <c r="BWK1" t="s">
        <v>19652</v>
      </c>
      <c r="BWL1" t="s">
        <v>19653</v>
      </c>
      <c r="BWM1" t="s">
        <v>19654</v>
      </c>
      <c r="BWN1" t="s">
        <v>19655</v>
      </c>
      <c r="BWO1" t="s">
        <v>19656</v>
      </c>
      <c r="BWP1" t="s">
        <v>19657</v>
      </c>
      <c r="BWQ1" t="s">
        <v>19658</v>
      </c>
      <c r="BWR1" t="s">
        <v>19659</v>
      </c>
      <c r="BWS1" t="s">
        <v>19660</v>
      </c>
      <c r="BWT1" t="s">
        <v>19661</v>
      </c>
      <c r="BWU1" t="s">
        <v>19662</v>
      </c>
      <c r="BWV1" t="s">
        <v>19663</v>
      </c>
      <c r="BWW1" t="s">
        <v>19664</v>
      </c>
      <c r="BWX1" t="s">
        <v>19665</v>
      </c>
      <c r="BWY1" t="s">
        <v>19666</v>
      </c>
      <c r="BWZ1" t="s">
        <v>19667</v>
      </c>
      <c r="BXA1" t="s">
        <v>19668</v>
      </c>
      <c r="BXB1" t="s">
        <v>19669</v>
      </c>
      <c r="BXC1" t="s">
        <v>19670</v>
      </c>
      <c r="BXD1" t="s">
        <v>19671</v>
      </c>
      <c r="BXE1" t="s">
        <v>19672</v>
      </c>
      <c r="BXF1" t="s">
        <v>19673</v>
      </c>
      <c r="BXG1" t="s">
        <v>19674</v>
      </c>
      <c r="BXH1" t="s">
        <v>19675</v>
      </c>
      <c r="BXI1" t="s">
        <v>19676</v>
      </c>
      <c r="BXJ1" t="s">
        <v>19677</v>
      </c>
      <c r="BXK1" t="s">
        <v>19678</v>
      </c>
      <c r="BXL1" t="s">
        <v>19679</v>
      </c>
      <c r="BXM1" t="s">
        <v>19680</v>
      </c>
      <c r="BXN1" t="s">
        <v>19681</v>
      </c>
      <c r="BXO1" t="s">
        <v>19682</v>
      </c>
      <c r="BXP1" t="s">
        <v>19683</v>
      </c>
      <c r="BXQ1" t="s">
        <v>19684</v>
      </c>
      <c r="BXR1" t="s">
        <v>19685</v>
      </c>
      <c r="BXS1" t="s">
        <v>19686</v>
      </c>
      <c r="BXT1" t="s">
        <v>19687</v>
      </c>
      <c r="BXU1" t="s">
        <v>19688</v>
      </c>
      <c r="BXV1" t="s">
        <v>19689</v>
      </c>
      <c r="BXW1" t="s">
        <v>19690</v>
      </c>
      <c r="BXX1" t="s">
        <v>19691</v>
      </c>
      <c r="BXY1" t="s">
        <v>19692</v>
      </c>
      <c r="BXZ1" t="s">
        <v>19693</v>
      </c>
      <c r="BYA1" t="s">
        <v>19694</v>
      </c>
      <c r="BYB1" t="s">
        <v>19695</v>
      </c>
      <c r="BYC1" t="s">
        <v>19696</v>
      </c>
      <c r="BYD1" t="s">
        <v>19697</v>
      </c>
      <c r="BYE1" t="s">
        <v>19698</v>
      </c>
      <c r="BYF1" t="s">
        <v>19699</v>
      </c>
      <c r="BYG1" t="s">
        <v>19700</v>
      </c>
      <c r="BYH1" t="s">
        <v>19701</v>
      </c>
      <c r="BYI1" t="s">
        <v>19702</v>
      </c>
      <c r="BYJ1" t="s">
        <v>19703</v>
      </c>
      <c r="BYK1" t="s">
        <v>19704</v>
      </c>
      <c r="BYL1" t="s">
        <v>19705</v>
      </c>
      <c r="BYM1" t="s">
        <v>19706</v>
      </c>
      <c r="BYN1" t="s">
        <v>19707</v>
      </c>
      <c r="BYO1" t="s">
        <v>19708</v>
      </c>
      <c r="BYP1" t="s">
        <v>19709</v>
      </c>
      <c r="BYQ1" t="s">
        <v>19710</v>
      </c>
      <c r="BYR1" t="s">
        <v>19711</v>
      </c>
      <c r="BYS1" t="s">
        <v>19712</v>
      </c>
      <c r="BYT1" t="s">
        <v>19713</v>
      </c>
      <c r="BYU1" t="s">
        <v>19714</v>
      </c>
      <c r="BYV1" t="s">
        <v>19715</v>
      </c>
      <c r="BYW1" t="s">
        <v>19716</v>
      </c>
      <c r="BYX1" t="s">
        <v>19717</v>
      </c>
      <c r="BYY1" t="s">
        <v>19718</v>
      </c>
      <c r="BYZ1" t="s">
        <v>19719</v>
      </c>
      <c r="BZA1" t="s">
        <v>19720</v>
      </c>
      <c r="BZB1" t="s">
        <v>19721</v>
      </c>
      <c r="BZC1" t="s">
        <v>19722</v>
      </c>
      <c r="BZD1" t="s">
        <v>19723</v>
      </c>
      <c r="BZE1" t="s">
        <v>19724</v>
      </c>
      <c r="BZF1" t="s">
        <v>19725</v>
      </c>
      <c r="BZG1" t="s">
        <v>19726</v>
      </c>
      <c r="BZH1" t="s">
        <v>19727</v>
      </c>
      <c r="BZI1" t="s">
        <v>19728</v>
      </c>
      <c r="BZJ1" t="s">
        <v>19729</v>
      </c>
      <c r="BZK1" t="s">
        <v>19730</v>
      </c>
      <c r="BZL1" t="s">
        <v>19731</v>
      </c>
      <c r="BZM1" t="s">
        <v>19732</v>
      </c>
      <c r="BZN1" t="s">
        <v>19733</v>
      </c>
      <c r="BZO1" t="s">
        <v>19734</v>
      </c>
      <c r="BZP1" t="s">
        <v>19735</v>
      </c>
      <c r="BZQ1" t="s">
        <v>19736</v>
      </c>
      <c r="BZR1" t="s">
        <v>19737</v>
      </c>
      <c r="BZS1" t="s">
        <v>19738</v>
      </c>
      <c r="BZT1" t="s">
        <v>19739</v>
      </c>
      <c r="BZU1" t="s">
        <v>19740</v>
      </c>
      <c r="BZV1" t="s">
        <v>19741</v>
      </c>
      <c r="BZW1" t="s">
        <v>19742</v>
      </c>
      <c r="BZX1" t="s">
        <v>19743</v>
      </c>
      <c r="BZY1" t="s">
        <v>19744</v>
      </c>
      <c r="BZZ1" t="s">
        <v>19745</v>
      </c>
      <c r="CAA1" t="s">
        <v>19746</v>
      </c>
      <c r="CAB1" t="s">
        <v>19747</v>
      </c>
      <c r="CAC1" t="s">
        <v>19748</v>
      </c>
      <c r="CAD1" t="s">
        <v>19749</v>
      </c>
      <c r="CAE1" t="s">
        <v>19750</v>
      </c>
      <c r="CAF1" t="s">
        <v>19751</v>
      </c>
      <c r="CAG1" t="s">
        <v>19752</v>
      </c>
      <c r="CAH1" t="s">
        <v>19753</v>
      </c>
      <c r="CAI1" t="s">
        <v>19754</v>
      </c>
      <c r="CAJ1" t="s">
        <v>19755</v>
      </c>
      <c r="CAK1" t="s">
        <v>19756</v>
      </c>
      <c r="CAL1" t="s">
        <v>19757</v>
      </c>
      <c r="CAM1" t="s">
        <v>19758</v>
      </c>
      <c r="CAN1" t="s">
        <v>19759</v>
      </c>
      <c r="CAO1" t="s">
        <v>19760</v>
      </c>
      <c r="CAP1" t="s">
        <v>19761</v>
      </c>
      <c r="CAQ1" t="s">
        <v>19762</v>
      </c>
      <c r="CAR1" t="s">
        <v>19763</v>
      </c>
      <c r="CAS1" t="s">
        <v>19764</v>
      </c>
      <c r="CAT1" t="s">
        <v>19765</v>
      </c>
      <c r="CAU1" t="s">
        <v>19766</v>
      </c>
      <c r="CAV1" t="s">
        <v>19767</v>
      </c>
      <c r="CAW1" t="s">
        <v>19768</v>
      </c>
      <c r="CAX1" t="s">
        <v>19769</v>
      </c>
      <c r="CAY1" t="s">
        <v>19770</v>
      </c>
      <c r="CAZ1" t="s">
        <v>19771</v>
      </c>
      <c r="CBA1" t="s">
        <v>19772</v>
      </c>
      <c r="CBB1" t="s">
        <v>19773</v>
      </c>
      <c r="CBC1" t="s">
        <v>19774</v>
      </c>
      <c r="CBD1" t="s">
        <v>19775</v>
      </c>
      <c r="CBE1" t="s">
        <v>19776</v>
      </c>
      <c r="CBF1" t="s">
        <v>19777</v>
      </c>
      <c r="CBG1" t="s">
        <v>19778</v>
      </c>
      <c r="CBH1" t="s">
        <v>19779</v>
      </c>
      <c r="CBI1" t="s">
        <v>19780</v>
      </c>
      <c r="CBJ1" t="s">
        <v>19781</v>
      </c>
      <c r="CBK1" t="s">
        <v>19782</v>
      </c>
      <c r="CBL1" t="s">
        <v>19783</v>
      </c>
      <c r="CBM1" t="s">
        <v>19784</v>
      </c>
      <c r="CBN1" t="s">
        <v>19785</v>
      </c>
      <c r="CBO1" t="s">
        <v>19786</v>
      </c>
      <c r="CBP1" t="s">
        <v>19787</v>
      </c>
      <c r="CBQ1" t="s">
        <v>19788</v>
      </c>
      <c r="CBR1" t="s">
        <v>19789</v>
      </c>
      <c r="CBS1" t="s">
        <v>19790</v>
      </c>
      <c r="CBT1" t="s">
        <v>19791</v>
      </c>
      <c r="CBU1" t="s">
        <v>19792</v>
      </c>
      <c r="CBV1" t="s">
        <v>19793</v>
      </c>
      <c r="CBW1" t="s">
        <v>19794</v>
      </c>
      <c r="CBX1" t="s">
        <v>19795</v>
      </c>
      <c r="CBY1" t="s">
        <v>19796</v>
      </c>
      <c r="CBZ1" t="s">
        <v>19797</v>
      </c>
      <c r="CCA1" t="s">
        <v>19798</v>
      </c>
      <c r="CCB1" t="s">
        <v>19799</v>
      </c>
      <c r="CCC1" t="s">
        <v>19800</v>
      </c>
      <c r="CCD1" t="s">
        <v>19801</v>
      </c>
      <c r="CCE1" t="s">
        <v>19802</v>
      </c>
      <c r="CCF1" t="s">
        <v>19803</v>
      </c>
      <c r="CCG1" t="s">
        <v>19804</v>
      </c>
      <c r="CCH1" t="s">
        <v>19805</v>
      </c>
      <c r="CCI1" t="s">
        <v>19806</v>
      </c>
      <c r="CCJ1" t="s">
        <v>19807</v>
      </c>
      <c r="CCK1" t="s">
        <v>19808</v>
      </c>
      <c r="CCL1" t="s">
        <v>19809</v>
      </c>
      <c r="CCM1" t="s">
        <v>19810</v>
      </c>
      <c r="CCN1" t="s">
        <v>19811</v>
      </c>
      <c r="CCO1" t="s">
        <v>19812</v>
      </c>
      <c r="CCP1" t="s">
        <v>19813</v>
      </c>
      <c r="CCQ1" t="s">
        <v>19814</v>
      </c>
      <c r="CCR1" t="s">
        <v>19815</v>
      </c>
      <c r="CCS1" t="s">
        <v>19816</v>
      </c>
      <c r="CCT1" t="s">
        <v>19817</v>
      </c>
      <c r="CCU1" t="s">
        <v>19818</v>
      </c>
      <c r="CCV1" t="s">
        <v>19819</v>
      </c>
      <c r="CCW1" t="s">
        <v>19820</v>
      </c>
      <c r="CCX1" t="s">
        <v>19821</v>
      </c>
      <c r="CCY1" t="s">
        <v>19822</v>
      </c>
      <c r="CCZ1" t="s">
        <v>19823</v>
      </c>
      <c r="CDA1" t="s">
        <v>19824</v>
      </c>
      <c r="CDB1" t="s">
        <v>19825</v>
      </c>
      <c r="CDC1" t="s">
        <v>19826</v>
      </c>
      <c r="CDD1" t="s">
        <v>19827</v>
      </c>
      <c r="CDE1" t="s">
        <v>19828</v>
      </c>
      <c r="CDF1" t="s">
        <v>19829</v>
      </c>
      <c r="CDG1" t="s">
        <v>19830</v>
      </c>
      <c r="CDH1" t="s">
        <v>19831</v>
      </c>
      <c r="CDI1" t="s">
        <v>19832</v>
      </c>
      <c r="CDJ1" t="s">
        <v>19833</v>
      </c>
      <c r="CDK1" t="s">
        <v>19834</v>
      </c>
      <c r="CDL1" t="s">
        <v>19835</v>
      </c>
      <c r="CDM1" t="s">
        <v>19836</v>
      </c>
      <c r="CDN1" t="s">
        <v>19837</v>
      </c>
      <c r="CDO1" t="s">
        <v>19838</v>
      </c>
      <c r="CDP1" t="s">
        <v>19839</v>
      </c>
      <c r="CDQ1" t="s">
        <v>19840</v>
      </c>
      <c r="CDR1" t="s">
        <v>19841</v>
      </c>
      <c r="CDS1" t="s">
        <v>19842</v>
      </c>
      <c r="CDT1" t="s">
        <v>19843</v>
      </c>
      <c r="CDU1" t="s">
        <v>19844</v>
      </c>
      <c r="CDV1" t="s">
        <v>19845</v>
      </c>
      <c r="CDW1" t="s">
        <v>19846</v>
      </c>
      <c r="CDX1" t="s">
        <v>19847</v>
      </c>
      <c r="CDY1" t="s">
        <v>19848</v>
      </c>
      <c r="CDZ1" t="s">
        <v>19849</v>
      </c>
      <c r="CEA1" t="s">
        <v>19850</v>
      </c>
      <c r="CEB1" t="s">
        <v>19851</v>
      </c>
      <c r="CEC1" t="s">
        <v>19852</v>
      </c>
      <c r="CED1" t="s">
        <v>19853</v>
      </c>
      <c r="CEE1" t="s">
        <v>19854</v>
      </c>
      <c r="CEF1" t="s">
        <v>19855</v>
      </c>
      <c r="CEG1" t="s">
        <v>19856</v>
      </c>
      <c r="CEH1" t="s">
        <v>19857</v>
      </c>
      <c r="CEI1" t="s">
        <v>19858</v>
      </c>
      <c r="CEJ1" t="s">
        <v>19859</v>
      </c>
      <c r="CEK1" t="s">
        <v>19860</v>
      </c>
      <c r="CEL1" t="s">
        <v>19861</v>
      </c>
      <c r="CEM1" t="s">
        <v>19862</v>
      </c>
      <c r="CEN1" t="s">
        <v>19863</v>
      </c>
      <c r="CEO1" t="s">
        <v>19864</v>
      </c>
      <c r="CEP1" t="s">
        <v>19865</v>
      </c>
      <c r="CEQ1" t="s">
        <v>19866</v>
      </c>
      <c r="CER1" t="s">
        <v>19867</v>
      </c>
      <c r="CES1" t="s">
        <v>19868</v>
      </c>
      <c r="CET1" t="s">
        <v>19869</v>
      </c>
      <c r="CEU1" t="s">
        <v>19870</v>
      </c>
      <c r="CEV1" t="s">
        <v>19871</v>
      </c>
      <c r="CEW1" t="s">
        <v>19872</v>
      </c>
      <c r="CEX1" t="s">
        <v>19873</v>
      </c>
      <c r="CEY1" t="s">
        <v>19874</v>
      </c>
      <c r="CEZ1" t="s">
        <v>19875</v>
      </c>
      <c r="CFA1" t="s">
        <v>19876</v>
      </c>
      <c r="CFB1" t="s">
        <v>19877</v>
      </c>
      <c r="CFC1" t="s">
        <v>19878</v>
      </c>
      <c r="CFD1" t="s">
        <v>19879</v>
      </c>
      <c r="CFE1" t="s">
        <v>19880</v>
      </c>
      <c r="CFF1" t="s">
        <v>19881</v>
      </c>
      <c r="CFG1" t="s">
        <v>19882</v>
      </c>
      <c r="CFH1" t="s">
        <v>19883</v>
      </c>
      <c r="CFI1" t="s">
        <v>19884</v>
      </c>
      <c r="CFJ1" t="s">
        <v>19885</v>
      </c>
      <c r="CFK1" t="s">
        <v>19886</v>
      </c>
      <c r="CFL1" t="s">
        <v>19887</v>
      </c>
      <c r="CFM1" t="s">
        <v>19888</v>
      </c>
      <c r="CFN1" t="s">
        <v>19889</v>
      </c>
      <c r="CFO1" t="s">
        <v>19890</v>
      </c>
      <c r="CFP1" t="s">
        <v>19891</v>
      </c>
      <c r="CFQ1" t="s">
        <v>19892</v>
      </c>
      <c r="CFR1" t="s">
        <v>19893</v>
      </c>
      <c r="CFS1" t="s">
        <v>19894</v>
      </c>
      <c r="CFT1" t="s">
        <v>19895</v>
      </c>
      <c r="CFU1" t="s">
        <v>19896</v>
      </c>
      <c r="CFV1" t="s">
        <v>19897</v>
      </c>
      <c r="CFW1" t="s">
        <v>19898</v>
      </c>
      <c r="CFX1" t="s">
        <v>19899</v>
      </c>
      <c r="CFY1" t="s">
        <v>19900</v>
      </c>
      <c r="CFZ1" t="s">
        <v>19901</v>
      </c>
      <c r="CGA1" t="s">
        <v>19902</v>
      </c>
      <c r="CGB1" t="s">
        <v>19903</v>
      </c>
      <c r="CGC1" t="s">
        <v>19904</v>
      </c>
      <c r="CGD1" t="s">
        <v>19905</v>
      </c>
      <c r="CGE1" t="s">
        <v>19906</v>
      </c>
      <c r="CGF1" t="s">
        <v>19907</v>
      </c>
      <c r="CGG1" t="s">
        <v>19908</v>
      </c>
      <c r="CGH1" t="s">
        <v>19909</v>
      </c>
      <c r="CGI1" t="s">
        <v>19910</v>
      </c>
      <c r="CGJ1" t="s">
        <v>19911</v>
      </c>
      <c r="CGK1" t="s">
        <v>19912</v>
      </c>
      <c r="CGL1" t="s">
        <v>19913</v>
      </c>
      <c r="CGM1" t="s">
        <v>19914</v>
      </c>
      <c r="CGN1" t="s">
        <v>19915</v>
      </c>
      <c r="CGO1" t="s">
        <v>19916</v>
      </c>
      <c r="CGP1" t="s">
        <v>19917</v>
      </c>
      <c r="CGQ1" t="s">
        <v>19918</v>
      </c>
      <c r="CGR1" t="s">
        <v>19919</v>
      </c>
      <c r="CGS1" t="s">
        <v>19920</v>
      </c>
      <c r="CGT1" t="s">
        <v>19921</v>
      </c>
      <c r="CGU1" t="s">
        <v>19922</v>
      </c>
      <c r="CGV1" t="s">
        <v>19923</v>
      </c>
      <c r="CGW1" t="s">
        <v>19924</v>
      </c>
      <c r="CGX1" t="s">
        <v>19925</v>
      </c>
      <c r="CGY1" t="s">
        <v>19926</v>
      </c>
      <c r="CGZ1" t="s">
        <v>19927</v>
      </c>
      <c r="CHA1" t="s">
        <v>19928</v>
      </c>
      <c r="CHB1" t="s">
        <v>19929</v>
      </c>
      <c r="CHC1" t="s">
        <v>19930</v>
      </c>
      <c r="CHD1" t="s">
        <v>19931</v>
      </c>
      <c r="CHE1" t="s">
        <v>19932</v>
      </c>
      <c r="CHF1" t="s">
        <v>19933</v>
      </c>
      <c r="CHG1" t="s">
        <v>19934</v>
      </c>
      <c r="CHH1" t="s">
        <v>19935</v>
      </c>
      <c r="CHI1" t="s">
        <v>19936</v>
      </c>
      <c r="CHJ1" t="s">
        <v>19937</v>
      </c>
      <c r="CHK1" t="s">
        <v>19938</v>
      </c>
      <c r="CHL1" t="s">
        <v>19939</v>
      </c>
      <c r="CHM1" t="s">
        <v>19940</v>
      </c>
      <c r="CHN1" t="s">
        <v>19941</v>
      </c>
      <c r="CHO1" t="s">
        <v>19942</v>
      </c>
      <c r="CHP1" t="s">
        <v>19943</v>
      </c>
      <c r="CHQ1" t="s">
        <v>19944</v>
      </c>
      <c r="CHR1" t="s">
        <v>19945</v>
      </c>
      <c r="CHS1" t="s">
        <v>19946</v>
      </c>
      <c r="CHT1" t="s">
        <v>19947</v>
      </c>
      <c r="CHU1" t="s">
        <v>19948</v>
      </c>
      <c r="CHV1" t="s">
        <v>19949</v>
      </c>
      <c r="CHW1" t="s">
        <v>19950</v>
      </c>
      <c r="CHX1" t="s">
        <v>19951</v>
      </c>
      <c r="CHY1" t="s">
        <v>19952</v>
      </c>
      <c r="CHZ1" t="s">
        <v>19953</v>
      </c>
      <c r="CIA1" t="s">
        <v>19954</v>
      </c>
      <c r="CIB1" t="s">
        <v>19955</v>
      </c>
      <c r="CIC1" t="s">
        <v>19956</v>
      </c>
      <c r="CID1" t="s">
        <v>19957</v>
      </c>
      <c r="CIE1" t="s">
        <v>19958</v>
      </c>
      <c r="CIF1" t="s">
        <v>19959</v>
      </c>
      <c r="CIG1" t="s">
        <v>19960</v>
      </c>
      <c r="CIH1" t="s">
        <v>19961</v>
      </c>
      <c r="CII1" t="s">
        <v>19962</v>
      </c>
      <c r="CIJ1" t="s">
        <v>19963</v>
      </c>
      <c r="CIK1" t="s">
        <v>19964</v>
      </c>
      <c r="CIL1" t="s">
        <v>19965</v>
      </c>
      <c r="CIM1" t="s">
        <v>19966</v>
      </c>
      <c r="CIN1" t="s">
        <v>19967</v>
      </c>
      <c r="CIO1" t="s">
        <v>19968</v>
      </c>
      <c r="CIP1" t="s">
        <v>19969</v>
      </c>
      <c r="CIQ1" t="s">
        <v>19970</v>
      </c>
      <c r="CIR1" t="s">
        <v>19971</v>
      </c>
      <c r="CIS1" t="s">
        <v>19972</v>
      </c>
      <c r="CIT1" t="s">
        <v>19973</v>
      </c>
      <c r="CIU1" t="s">
        <v>19974</v>
      </c>
      <c r="CIV1" t="s">
        <v>19975</v>
      </c>
      <c r="CIW1" t="s">
        <v>19976</v>
      </c>
      <c r="CIX1" t="s">
        <v>19977</v>
      </c>
      <c r="CIY1" t="s">
        <v>19978</v>
      </c>
      <c r="CIZ1" t="s">
        <v>19979</v>
      </c>
      <c r="CJA1" t="s">
        <v>19980</v>
      </c>
      <c r="CJB1" t="s">
        <v>19981</v>
      </c>
      <c r="CJC1" t="s">
        <v>19982</v>
      </c>
      <c r="CJD1" t="s">
        <v>19983</v>
      </c>
      <c r="CJE1" t="s">
        <v>19984</v>
      </c>
      <c r="CJF1" t="s">
        <v>19985</v>
      </c>
      <c r="CJG1" t="s">
        <v>19986</v>
      </c>
      <c r="CJH1" t="s">
        <v>19987</v>
      </c>
      <c r="CJI1" t="s">
        <v>19988</v>
      </c>
      <c r="CJJ1" t="s">
        <v>19989</v>
      </c>
      <c r="CJK1" t="s">
        <v>19990</v>
      </c>
      <c r="CJL1" t="s">
        <v>19991</v>
      </c>
      <c r="CJM1" t="s">
        <v>19992</v>
      </c>
      <c r="CJN1" t="s">
        <v>19993</v>
      </c>
      <c r="CJO1" t="s">
        <v>19994</v>
      </c>
      <c r="CJP1" t="s">
        <v>19995</v>
      </c>
      <c r="CJQ1" t="s">
        <v>19996</v>
      </c>
      <c r="CJR1" t="s">
        <v>19997</v>
      </c>
      <c r="CJS1" t="s">
        <v>19998</v>
      </c>
      <c r="CJT1" t="s">
        <v>19999</v>
      </c>
      <c r="CJU1" t="s">
        <v>20000</v>
      </c>
      <c r="CJV1" t="s">
        <v>20001</v>
      </c>
      <c r="CJW1" t="s">
        <v>20002</v>
      </c>
      <c r="CJX1" t="s">
        <v>20003</v>
      </c>
      <c r="CJY1" t="s">
        <v>20004</v>
      </c>
      <c r="CJZ1" t="s">
        <v>20005</v>
      </c>
      <c r="CKA1" t="s">
        <v>20006</v>
      </c>
      <c r="CKB1" t="s">
        <v>20007</v>
      </c>
      <c r="CKC1" t="s">
        <v>20008</v>
      </c>
      <c r="CKD1" t="s">
        <v>20009</v>
      </c>
      <c r="CKE1" t="s">
        <v>20010</v>
      </c>
      <c r="CKF1" t="s">
        <v>20011</v>
      </c>
      <c r="CKG1" t="s">
        <v>20012</v>
      </c>
      <c r="CKH1" t="s">
        <v>20013</v>
      </c>
      <c r="CKI1" t="s">
        <v>20014</v>
      </c>
      <c r="CKJ1" t="s">
        <v>20015</v>
      </c>
      <c r="CKK1" t="s">
        <v>20016</v>
      </c>
      <c r="CKL1" t="s">
        <v>20017</v>
      </c>
      <c r="CKM1" t="s">
        <v>20018</v>
      </c>
      <c r="CKN1" t="s">
        <v>20019</v>
      </c>
      <c r="CKO1" t="s">
        <v>20020</v>
      </c>
      <c r="CKP1" t="s">
        <v>20021</v>
      </c>
      <c r="CKQ1" t="s">
        <v>20022</v>
      </c>
      <c r="CKR1" t="s">
        <v>20023</v>
      </c>
      <c r="CKS1" t="s">
        <v>20024</v>
      </c>
      <c r="CKT1" t="s">
        <v>20025</v>
      </c>
      <c r="CKU1" t="s">
        <v>20026</v>
      </c>
      <c r="CKV1" t="s">
        <v>20027</v>
      </c>
      <c r="CKW1" t="s">
        <v>20028</v>
      </c>
      <c r="CKX1" t="s">
        <v>20029</v>
      </c>
      <c r="CKY1" t="s">
        <v>20030</v>
      </c>
      <c r="CKZ1" t="s">
        <v>20031</v>
      </c>
      <c r="CLA1" t="s">
        <v>20032</v>
      </c>
      <c r="CLB1" t="s">
        <v>20033</v>
      </c>
      <c r="CLC1" t="s">
        <v>20034</v>
      </c>
      <c r="CLD1" t="s">
        <v>20035</v>
      </c>
      <c r="CLE1" t="s">
        <v>20036</v>
      </c>
      <c r="CLF1" t="s">
        <v>20037</v>
      </c>
      <c r="CLG1" t="s">
        <v>20038</v>
      </c>
      <c r="CLH1" t="s">
        <v>20039</v>
      </c>
      <c r="CLI1" t="s">
        <v>20040</v>
      </c>
      <c r="CLJ1" t="s">
        <v>20041</v>
      </c>
      <c r="CLK1" t="s">
        <v>20042</v>
      </c>
      <c r="CLL1" t="s">
        <v>20043</v>
      </c>
      <c r="CLM1" t="s">
        <v>20044</v>
      </c>
      <c r="CLN1" t="s">
        <v>20045</v>
      </c>
      <c r="CLO1" t="s">
        <v>20046</v>
      </c>
      <c r="CLP1" t="s">
        <v>20047</v>
      </c>
      <c r="CLQ1" t="s">
        <v>20048</v>
      </c>
      <c r="CLR1" t="s">
        <v>20049</v>
      </c>
      <c r="CLS1" t="s">
        <v>20050</v>
      </c>
      <c r="CLT1" t="s">
        <v>20051</v>
      </c>
      <c r="CLU1" t="s">
        <v>20052</v>
      </c>
      <c r="CLV1" t="s">
        <v>20053</v>
      </c>
      <c r="CLW1" t="s">
        <v>20054</v>
      </c>
      <c r="CLX1" t="s">
        <v>20055</v>
      </c>
      <c r="CLY1" t="s">
        <v>20056</v>
      </c>
      <c r="CLZ1" t="s">
        <v>20057</v>
      </c>
      <c r="CMA1" t="s">
        <v>20058</v>
      </c>
      <c r="CMB1" t="s">
        <v>20059</v>
      </c>
      <c r="CMC1" t="s">
        <v>20060</v>
      </c>
      <c r="CMD1" t="s">
        <v>20061</v>
      </c>
      <c r="CME1" t="s">
        <v>20062</v>
      </c>
      <c r="CMF1" t="s">
        <v>20063</v>
      </c>
      <c r="CMG1" t="s">
        <v>20064</v>
      </c>
      <c r="CMH1" t="s">
        <v>20065</v>
      </c>
      <c r="CMI1" t="s">
        <v>20066</v>
      </c>
      <c r="CMJ1" t="s">
        <v>20067</v>
      </c>
      <c r="CMK1" t="s">
        <v>20068</v>
      </c>
      <c r="CML1" t="s">
        <v>20069</v>
      </c>
      <c r="CMM1" t="s">
        <v>20070</v>
      </c>
      <c r="CMN1" t="s">
        <v>20071</v>
      </c>
      <c r="CMO1" t="s">
        <v>20072</v>
      </c>
      <c r="CMP1" t="s">
        <v>20073</v>
      </c>
      <c r="CMQ1" t="s">
        <v>20074</v>
      </c>
      <c r="CMR1" t="s">
        <v>20075</v>
      </c>
      <c r="CMS1" t="s">
        <v>20076</v>
      </c>
      <c r="CMT1" t="s">
        <v>20077</v>
      </c>
      <c r="CMU1" t="s">
        <v>20078</v>
      </c>
      <c r="CMV1" t="s">
        <v>20079</v>
      </c>
      <c r="CMW1" t="s">
        <v>20080</v>
      </c>
      <c r="CMX1" t="s">
        <v>20081</v>
      </c>
      <c r="CMY1" t="s">
        <v>20082</v>
      </c>
      <c r="CMZ1" t="s">
        <v>20083</v>
      </c>
      <c r="CNA1" t="s">
        <v>20084</v>
      </c>
      <c r="CNB1" t="s">
        <v>20085</v>
      </c>
      <c r="CNC1" t="s">
        <v>20086</v>
      </c>
      <c r="CND1" t="s">
        <v>20087</v>
      </c>
      <c r="CNE1" t="s">
        <v>20088</v>
      </c>
      <c r="CNF1" t="s">
        <v>20089</v>
      </c>
      <c r="CNG1" t="s">
        <v>20090</v>
      </c>
      <c r="CNH1" t="s">
        <v>20091</v>
      </c>
      <c r="CNI1" t="s">
        <v>20092</v>
      </c>
      <c r="CNJ1" t="s">
        <v>20093</v>
      </c>
      <c r="CNK1" t="s">
        <v>20094</v>
      </c>
      <c r="CNL1" t="s">
        <v>20095</v>
      </c>
      <c r="CNM1" t="s">
        <v>20096</v>
      </c>
      <c r="CNN1" t="s">
        <v>20097</v>
      </c>
      <c r="CNO1" t="s">
        <v>20098</v>
      </c>
      <c r="CNP1" t="s">
        <v>20099</v>
      </c>
      <c r="CNQ1" t="s">
        <v>20100</v>
      </c>
      <c r="CNR1" t="s">
        <v>20101</v>
      </c>
      <c r="CNS1" t="s">
        <v>20102</v>
      </c>
      <c r="CNT1" t="s">
        <v>20103</v>
      </c>
      <c r="CNU1" t="s">
        <v>20104</v>
      </c>
      <c r="CNV1" t="s">
        <v>20105</v>
      </c>
      <c r="CNW1" t="s">
        <v>20106</v>
      </c>
      <c r="CNX1" t="s">
        <v>20107</v>
      </c>
      <c r="CNY1" t="s">
        <v>20108</v>
      </c>
      <c r="CNZ1" t="s">
        <v>20109</v>
      </c>
      <c r="COA1" t="s">
        <v>20110</v>
      </c>
      <c r="COB1" t="s">
        <v>20111</v>
      </c>
      <c r="COC1" t="s">
        <v>20112</v>
      </c>
      <c r="COD1" t="s">
        <v>20113</v>
      </c>
      <c r="COE1" t="s">
        <v>20114</v>
      </c>
      <c r="COF1" t="s">
        <v>20115</v>
      </c>
      <c r="COG1" t="s">
        <v>20116</v>
      </c>
      <c r="COH1" t="s">
        <v>20117</v>
      </c>
      <c r="COI1" t="s">
        <v>20118</v>
      </c>
      <c r="COJ1" t="s">
        <v>20119</v>
      </c>
      <c r="COK1" t="s">
        <v>20120</v>
      </c>
      <c r="COL1" t="s">
        <v>20121</v>
      </c>
      <c r="COM1" t="s">
        <v>20122</v>
      </c>
      <c r="CON1" t="s">
        <v>20123</v>
      </c>
      <c r="COO1" t="s">
        <v>20124</v>
      </c>
      <c r="COP1" t="s">
        <v>20125</v>
      </c>
      <c r="COQ1" t="s">
        <v>20126</v>
      </c>
      <c r="COR1" t="s">
        <v>20127</v>
      </c>
      <c r="COS1" t="s">
        <v>20128</v>
      </c>
      <c r="COT1" t="s">
        <v>20129</v>
      </c>
      <c r="COU1" t="s">
        <v>20130</v>
      </c>
      <c r="COV1" t="s">
        <v>20131</v>
      </c>
      <c r="COW1" t="s">
        <v>20132</v>
      </c>
      <c r="COX1" t="s">
        <v>20133</v>
      </c>
      <c r="COY1" t="s">
        <v>20134</v>
      </c>
      <c r="COZ1" t="s">
        <v>20135</v>
      </c>
      <c r="CPA1" t="s">
        <v>20136</v>
      </c>
      <c r="CPB1" t="s">
        <v>20137</v>
      </c>
      <c r="CPC1" t="s">
        <v>20138</v>
      </c>
      <c r="CPD1" t="s">
        <v>20139</v>
      </c>
      <c r="CPE1" t="s">
        <v>20140</v>
      </c>
      <c r="CPF1" t="s">
        <v>20141</v>
      </c>
      <c r="CPG1" t="s">
        <v>20142</v>
      </c>
      <c r="CPH1" t="s">
        <v>20143</v>
      </c>
      <c r="CPI1" t="s">
        <v>20144</v>
      </c>
      <c r="CPJ1" t="s">
        <v>20145</v>
      </c>
      <c r="CPK1" t="s">
        <v>20146</v>
      </c>
      <c r="CPL1" t="s">
        <v>20147</v>
      </c>
      <c r="CPM1" t="s">
        <v>20148</v>
      </c>
      <c r="CPN1" t="s">
        <v>20149</v>
      </c>
      <c r="CPO1" t="s">
        <v>20150</v>
      </c>
      <c r="CPP1" t="s">
        <v>20151</v>
      </c>
      <c r="CPQ1" t="s">
        <v>20152</v>
      </c>
      <c r="CPR1" t="s">
        <v>20153</v>
      </c>
      <c r="CPS1" t="s">
        <v>20154</v>
      </c>
      <c r="CPT1" t="s">
        <v>20155</v>
      </c>
      <c r="CPU1" t="s">
        <v>20156</v>
      </c>
      <c r="CPV1" t="s">
        <v>20157</v>
      </c>
      <c r="CPW1" t="s">
        <v>20158</v>
      </c>
      <c r="CPX1" t="s">
        <v>20159</v>
      </c>
      <c r="CPY1" t="s">
        <v>20160</v>
      </c>
      <c r="CPZ1" t="s">
        <v>20161</v>
      </c>
      <c r="CQA1" t="s">
        <v>20162</v>
      </c>
      <c r="CQB1" t="s">
        <v>20163</v>
      </c>
      <c r="CQC1" t="s">
        <v>20164</v>
      </c>
      <c r="CQD1" t="s">
        <v>20165</v>
      </c>
      <c r="CQE1" t="s">
        <v>20166</v>
      </c>
      <c r="CQF1" t="s">
        <v>20167</v>
      </c>
      <c r="CQG1" t="s">
        <v>20168</v>
      </c>
      <c r="CQH1" t="s">
        <v>20169</v>
      </c>
      <c r="CQI1" t="s">
        <v>20170</v>
      </c>
      <c r="CQJ1" t="s">
        <v>20171</v>
      </c>
      <c r="CQK1" t="s">
        <v>20172</v>
      </c>
      <c r="CQL1" t="s">
        <v>20173</v>
      </c>
      <c r="CQM1" t="s">
        <v>20174</v>
      </c>
      <c r="CQN1" t="s">
        <v>20175</v>
      </c>
      <c r="CQO1" t="s">
        <v>20176</v>
      </c>
      <c r="CQP1" t="s">
        <v>20177</v>
      </c>
      <c r="CQQ1" t="s">
        <v>20178</v>
      </c>
      <c r="CQR1" t="s">
        <v>20179</v>
      </c>
      <c r="CQS1" t="s">
        <v>20180</v>
      </c>
      <c r="CQT1" t="s">
        <v>20181</v>
      </c>
      <c r="CQU1" t="s">
        <v>20182</v>
      </c>
      <c r="CQV1" t="s">
        <v>20183</v>
      </c>
      <c r="CQW1" t="s">
        <v>20184</v>
      </c>
      <c r="CQX1" t="s">
        <v>20185</v>
      </c>
      <c r="CQY1" t="s">
        <v>20186</v>
      </c>
      <c r="CQZ1" t="s">
        <v>20187</v>
      </c>
      <c r="CRA1" t="s">
        <v>20188</v>
      </c>
      <c r="CRB1" t="s">
        <v>20189</v>
      </c>
      <c r="CRC1" t="s">
        <v>20190</v>
      </c>
      <c r="CRD1" t="s">
        <v>20191</v>
      </c>
      <c r="CRE1" t="s">
        <v>20192</v>
      </c>
      <c r="CRF1" t="s">
        <v>20193</v>
      </c>
      <c r="CRG1" t="s">
        <v>20194</v>
      </c>
      <c r="CRH1" t="s">
        <v>20195</v>
      </c>
      <c r="CRI1" t="s">
        <v>20196</v>
      </c>
      <c r="CRJ1" t="s">
        <v>20197</v>
      </c>
      <c r="CRK1" t="s">
        <v>20198</v>
      </c>
      <c r="CRL1" t="s">
        <v>20199</v>
      </c>
      <c r="CRM1" t="s">
        <v>20200</v>
      </c>
      <c r="CRN1" t="s">
        <v>20201</v>
      </c>
      <c r="CRO1" t="s">
        <v>20202</v>
      </c>
      <c r="CRP1" t="s">
        <v>20203</v>
      </c>
      <c r="CRQ1" t="s">
        <v>20204</v>
      </c>
      <c r="CRR1" t="s">
        <v>20205</v>
      </c>
      <c r="CRS1" t="s">
        <v>20206</v>
      </c>
      <c r="CRT1" t="s">
        <v>20207</v>
      </c>
      <c r="CRU1" t="s">
        <v>20208</v>
      </c>
      <c r="CRV1" t="s">
        <v>20209</v>
      </c>
      <c r="CRW1" t="s">
        <v>20210</v>
      </c>
      <c r="CRX1" t="s">
        <v>20211</v>
      </c>
      <c r="CRY1" t="s">
        <v>20212</v>
      </c>
      <c r="CRZ1" t="s">
        <v>20213</v>
      </c>
      <c r="CSA1" t="s">
        <v>20214</v>
      </c>
      <c r="CSB1" t="s">
        <v>20215</v>
      </c>
      <c r="CSC1" t="s">
        <v>20216</v>
      </c>
      <c r="CSD1" t="s">
        <v>20217</v>
      </c>
      <c r="CSE1" t="s">
        <v>20218</v>
      </c>
      <c r="CSF1" t="s">
        <v>20219</v>
      </c>
      <c r="CSG1" t="s">
        <v>20220</v>
      </c>
      <c r="CSH1" t="s">
        <v>20221</v>
      </c>
      <c r="CSI1" t="s">
        <v>20222</v>
      </c>
      <c r="CSJ1" t="s">
        <v>20223</v>
      </c>
      <c r="CSK1" t="s">
        <v>20224</v>
      </c>
      <c r="CSL1" t="s">
        <v>20225</v>
      </c>
      <c r="CSM1" t="s">
        <v>20226</v>
      </c>
      <c r="CSN1" t="s">
        <v>20227</v>
      </c>
      <c r="CSO1" t="s">
        <v>20228</v>
      </c>
      <c r="CSP1" t="s">
        <v>20229</v>
      </c>
      <c r="CSQ1" t="s">
        <v>20230</v>
      </c>
      <c r="CSR1" t="s">
        <v>20231</v>
      </c>
      <c r="CSS1" t="s">
        <v>20232</v>
      </c>
      <c r="CST1" t="s">
        <v>20233</v>
      </c>
      <c r="CSU1" t="s">
        <v>20234</v>
      </c>
      <c r="CSV1" t="s">
        <v>20235</v>
      </c>
      <c r="CSW1" t="s">
        <v>20236</v>
      </c>
      <c r="CSX1" t="s">
        <v>20237</v>
      </c>
      <c r="CSY1" t="s">
        <v>20238</v>
      </c>
      <c r="CSZ1" t="s">
        <v>20239</v>
      </c>
      <c r="CTA1" t="s">
        <v>20240</v>
      </c>
      <c r="CTB1" t="s">
        <v>20241</v>
      </c>
      <c r="CTC1" t="s">
        <v>20242</v>
      </c>
      <c r="CTD1" t="s">
        <v>20243</v>
      </c>
      <c r="CTE1" t="s">
        <v>20244</v>
      </c>
      <c r="CTF1" t="s">
        <v>20245</v>
      </c>
      <c r="CTG1" t="s">
        <v>20246</v>
      </c>
      <c r="CTH1" t="s">
        <v>20247</v>
      </c>
      <c r="CTI1" t="s">
        <v>20248</v>
      </c>
      <c r="CTJ1" t="s">
        <v>20249</v>
      </c>
      <c r="CTK1" t="s">
        <v>20250</v>
      </c>
      <c r="CTL1" t="s">
        <v>20251</v>
      </c>
      <c r="CTM1" t="s">
        <v>20252</v>
      </c>
      <c r="CTN1" t="s">
        <v>20253</v>
      </c>
      <c r="CTO1" t="s">
        <v>20254</v>
      </c>
      <c r="CTP1" t="s">
        <v>20255</v>
      </c>
      <c r="CTQ1" t="s">
        <v>20256</v>
      </c>
      <c r="CTR1" t="s">
        <v>20257</v>
      </c>
      <c r="CTS1" t="s">
        <v>20258</v>
      </c>
      <c r="CTT1" t="s">
        <v>20259</v>
      </c>
      <c r="CTU1" t="s">
        <v>20260</v>
      </c>
      <c r="CTV1" t="s">
        <v>20261</v>
      </c>
      <c r="CTW1" t="s">
        <v>20262</v>
      </c>
      <c r="CTX1" t="s">
        <v>20263</v>
      </c>
      <c r="CTY1" t="s">
        <v>20264</v>
      </c>
      <c r="CTZ1" t="s">
        <v>20265</v>
      </c>
      <c r="CUA1" t="s">
        <v>20266</v>
      </c>
      <c r="CUB1" t="s">
        <v>20267</v>
      </c>
      <c r="CUC1" t="s">
        <v>20268</v>
      </c>
      <c r="CUD1" t="s">
        <v>20269</v>
      </c>
      <c r="CUE1" t="s">
        <v>20270</v>
      </c>
      <c r="CUF1" t="s">
        <v>20271</v>
      </c>
      <c r="CUG1" t="s">
        <v>20272</v>
      </c>
      <c r="CUH1" t="s">
        <v>20273</v>
      </c>
      <c r="CUI1" t="s">
        <v>20274</v>
      </c>
      <c r="CUJ1" t="s">
        <v>20275</v>
      </c>
      <c r="CUK1" t="s">
        <v>20276</v>
      </c>
      <c r="CUL1" t="s">
        <v>20277</v>
      </c>
      <c r="CUM1" t="s">
        <v>20278</v>
      </c>
      <c r="CUN1" t="s">
        <v>20279</v>
      </c>
      <c r="CUO1" t="s">
        <v>20280</v>
      </c>
      <c r="CUP1" t="s">
        <v>20281</v>
      </c>
      <c r="CUQ1" t="s">
        <v>20282</v>
      </c>
      <c r="CUR1" t="s">
        <v>20283</v>
      </c>
      <c r="CUS1" t="s">
        <v>20284</v>
      </c>
      <c r="CUT1" t="s">
        <v>20285</v>
      </c>
      <c r="CUU1" t="s">
        <v>20286</v>
      </c>
      <c r="CUV1" t="s">
        <v>20287</v>
      </c>
      <c r="CUW1" t="s">
        <v>20288</v>
      </c>
      <c r="CUX1" t="s">
        <v>20289</v>
      </c>
      <c r="CUY1" t="s">
        <v>20290</v>
      </c>
      <c r="CUZ1" t="s">
        <v>20291</v>
      </c>
      <c r="CVA1" t="s">
        <v>20292</v>
      </c>
      <c r="CVB1" t="s">
        <v>20293</v>
      </c>
      <c r="CVC1" t="s">
        <v>20294</v>
      </c>
      <c r="CVD1" t="s">
        <v>20295</v>
      </c>
      <c r="CVE1" t="s">
        <v>20296</v>
      </c>
      <c r="CVF1" t="s">
        <v>20297</v>
      </c>
      <c r="CVG1" t="s">
        <v>20298</v>
      </c>
      <c r="CVH1" t="s">
        <v>20299</v>
      </c>
      <c r="CVI1" t="s">
        <v>20300</v>
      </c>
      <c r="CVJ1" t="s">
        <v>20301</v>
      </c>
      <c r="CVK1" t="s">
        <v>20302</v>
      </c>
      <c r="CVL1" t="s">
        <v>20303</v>
      </c>
      <c r="CVM1" t="s">
        <v>20304</v>
      </c>
      <c r="CVN1" t="s">
        <v>20305</v>
      </c>
      <c r="CVO1" t="s">
        <v>20306</v>
      </c>
      <c r="CVP1" t="s">
        <v>20307</v>
      </c>
      <c r="CVQ1" t="s">
        <v>20308</v>
      </c>
      <c r="CVR1" t="s">
        <v>20309</v>
      </c>
      <c r="CVS1" t="s">
        <v>20310</v>
      </c>
      <c r="CVT1" t="s">
        <v>20311</v>
      </c>
      <c r="CVU1" t="s">
        <v>20312</v>
      </c>
      <c r="CVV1" t="s">
        <v>20313</v>
      </c>
      <c r="CVW1" t="s">
        <v>20314</v>
      </c>
      <c r="CVX1" t="s">
        <v>20315</v>
      </c>
      <c r="CVY1" t="s">
        <v>20316</v>
      </c>
      <c r="CVZ1" t="s">
        <v>20317</v>
      </c>
      <c r="CWA1" t="s">
        <v>20318</v>
      </c>
      <c r="CWB1" t="s">
        <v>20319</v>
      </c>
      <c r="CWC1" t="s">
        <v>20320</v>
      </c>
      <c r="CWD1" t="s">
        <v>20321</v>
      </c>
      <c r="CWE1" t="s">
        <v>20322</v>
      </c>
      <c r="CWF1" t="s">
        <v>20323</v>
      </c>
      <c r="CWG1" t="s">
        <v>20324</v>
      </c>
      <c r="CWH1" t="s">
        <v>20325</v>
      </c>
      <c r="CWI1" t="s">
        <v>20326</v>
      </c>
      <c r="CWJ1" t="s">
        <v>20327</v>
      </c>
      <c r="CWK1" t="s">
        <v>20328</v>
      </c>
      <c r="CWL1" t="s">
        <v>20329</v>
      </c>
      <c r="CWM1" t="s">
        <v>20330</v>
      </c>
      <c r="CWN1" t="s">
        <v>20331</v>
      </c>
      <c r="CWO1" t="s">
        <v>20332</v>
      </c>
      <c r="CWP1" t="s">
        <v>20333</v>
      </c>
      <c r="CWQ1" t="s">
        <v>20334</v>
      </c>
      <c r="CWR1" t="s">
        <v>20335</v>
      </c>
      <c r="CWS1" t="s">
        <v>20336</v>
      </c>
      <c r="CWT1" t="s">
        <v>20337</v>
      </c>
      <c r="CWU1" t="s">
        <v>20338</v>
      </c>
      <c r="CWV1" t="s">
        <v>20339</v>
      </c>
      <c r="CWW1" t="s">
        <v>20340</v>
      </c>
      <c r="CWX1" t="s">
        <v>20341</v>
      </c>
      <c r="CWY1" t="s">
        <v>20342</v>
      </c>
      <c r="CWZ1" t="s">
        <v>20343</v>
      </c>
      <c r="CXA1" t="s">
        <v>20344</v>
      </c>
      <c r="CXB1" t="s">
        <v>20345</v>
      </c>
      <c r="CXC1" t="s">
        <v>20346</v>
      </c>
      <c r="CXD1" t="s">
        <v>20347</v>
      </c>
      <c r="CXE1" t="s">
        <v>20348</v>
      </c>
      <c r="CXF1" t="s">
        <v>20349</v>
      </c>
      <c r="CXG1" t="s">
        <v>20350</v>
      </c>
      <c r="CXH1" t="s">
        <v>20351</v>
      </c>
      <c r="CXI1" t="s">
        <v>20352</v>
      </c>
      <c r="CXJ1" t="s">
        <v>20353</v>
      </c>
      <c r="CXK1" t="s">
        <v>20354</v>
      </c>
      <c r="CXL1" t="s">
        <v>20355</v>
      </c>
      <c r="CXM1" t="s">
        <v>20356</v>
      </c>
      <c r="CXN1" t="s">
        <v>20357</v>
      </c>
      <c r="CXO1" t="s">
        <v>20358</v>
      </c>
      <c r="CXP1" t="s">
        <v>20359</v>
      </c>
      <c r="CXQ1" t="s">
        <v>20360</v>
      </c>
      <c r="CXR1" t="s">
        <v>20361</v>
      </c>
      <c r="CXS1" t="s">
        <v>20362</v>
      </c>
      <c r="CXT1" t="s">
        <v>20363</v>
      </c>
      <c r="CXU1" t="s">
        <v>20364</v>
      </c>
      <c r="CXV1" t="s">
        <v>20365</v>
      </c>
      <c r="CXW1" t="s">
        <v>20366</v>
      </c>
      <c r="CXX1" t="s">
        <v>20367</v>
      </c>
      <c r="CXY1" t="s">
        <v>20368</v>
      </c>
      <c r="CXZ1" t="s">
        <v>20369</v>
      </c>
      <c r="CYA1" t="s">
        <v>20370</v>
      </c>
      <c r="CYB1" t="s">
        <v>20371</v>
      </c>
      <c r="CYC1" t="s">
        <v>20372</v>
      </c>
      <c r="CYD1" t="s">
        <v>20373</v>
      </c>
      <c r="CYE1" t="s">
        <v>20374</v>
      </c>
      <c r="CYF1" t="s">
        <v>20375</v>
      </c>
      <c r="CYG1" t="s">
        <v>20376</v>
      </c>
      <c r="CYH1" t="s">
        <v>20377</v>
      </c>
      <c r="CYI1" t="s">
        <v>20378</v>
      </c>
      <c r="CYJ1" t="s">
        <v>20379</v>
      </c>
      <c r="CYK1" t="s">
        <v>20380</v>
      </c>
      <c r="CYL1" t="s">
        <v>20381</v>
      </c>
      <c r="CYM1" t="s">
        <v>20382</v>
      </c>
      <c r="CYN1" t="s">
        <v>20383</v>
      </c>
      <c r="CYO1" t="s">
        <v>20384</v>
      </c>
      <c r="CYP1" t="s">
        <v>20385</v>
      </c>
      <c r="CYQ1" t="s">
        <v>20386</v>
      </c>
      <c r="CYR1" t="s">
        <v>20387</v>
      </c>
      <c r="CYS1" t="s">
        <v>20388</v>
      </c>
      <c r="CYT1" t="s">
        <v>20389</v>
      </c>
      <c r="CYU1" t="s">
        <v>20390</v>
      </c>
      <c r="CYV1" t="s">
        <v>20391</v>
      </c>
      <c r="CYW1" t="s">
        <v>20392</v>
      </c>
      <c r="CYX1" t="s">
        <v>20393</v>
      </c>
      <c r="CYY1" t="s">
        <v>20394</v>
      </c>
      <c r="CYZ1" t="s">
        <v>20395</v>
      </c>
      <c r="CZA1" t="s">
        <v>20396</v>
      </c>
      <c r="CZB1" t="s">
        <v>20397</v>
      </c>
      <c r="CZC1" t="s">
        <v>20398</v>
      </c>
      <c r="CZD1" t="s">
        <v>20399</v>
      </c>
      <c r="CZE1" t="s">
        <v>20400</v>
      </c>
      <c r="CZF1" t="s">
        <v>20401</v>
      </c>
      <c r="CZG1" t="s">
        <v>20402</v>
      </c>
      <c r="CZH1" t="s">
        <v>20403</v>
      </c>
      <c r="CZI1" t="s">
        <v>20404</v>
      </c>
      <c r="CZJ1" t="s">
        <v>20405</v>
      </c>
      <c r="CZK1" t="s">
        <v>20406</v>
      </c>
      <c r="CZL1" t="s">
        <v>20407</v>
      </c>
      <c r="CZM1" t="s">
        <v>20408</v>
      </c>
      <c r="CZN1" t="s">
        <v>20409</v>
      </c>
      <c r="CZO1" t="s">
        <v>20410</v>
      </c>
      <c r="CZP1" t="s">
        <v>20411</v>
      </c>
      <c r="CZQ1" t="s">
        <v>20412</v>
      </c>
      <c r="CZR1" t="s">
        <v>20413</v>
      </c>
      <c r="CZS1" t="s">
        <v>20414</v>
      </c>
      <c r="CZT1" t="s">
        <v>20415</v>
      </c>
      <c r="CZU1" t="s">
        <v>20416</v>
      </c>
      <c r="CZV1" t="s">
        <v>20417</v>
      </c>
      <c r="CZW1" t="s">
        <v>20418</v>
      </c>
      <c r="CZX1" t="s">
        <v>20419</v>
      </c>
      <c r="CZY1" t="s">
        <v>20420</v>
      </c>
      <c r="CZZ1" t="s">
        <v>20421</v>
      </c>
      <c r="DAA1" t="s">
        <v>20422</v>
      </c>
      <c r="DAB1" t="s">
        <v>20423</v>
      </c>
      <c r="DAC1" t="s">
        <v>20424</v>
      </c>
      <c r="DAD1" t="s">
        <v>20425</v>
      </c>
      <c r="DAE1" t="s">
        <v>20426</v>
      </c>
      <c r="DAF1" t="s">
        <v>20427</v>
      </c>
      <c r="DAG1" t="s">
        <v>20428</v>
      </c>
      <c r="DAH1" t="s">
        <v>20429</v>
      </c>
      <c r="DAI1" t="s">
        <v>20430</v>
      </c>
      <c r="DAJ1" t="s">
        <v>20431</v>
      </c>
      <c r="DAK1" t="s">
        <v>20432</v>
      </c>
      <c r="DAL1" t="s">
        <v>20433</v>
      </c>
      <c r="DAM1" t="s">
        <v>20434</v>
      </c>
      <c r="DAN1" t="s">
        <v>20435</v>
      </c>
      <c r="DAO1" t="s">
        <v>20436</v>
      </c>
      <c r="DAP1" t="s">
        <v>20437</v>
      </c>
      <c r="DAQ1" t="s">
        <v>20438</v>
      </c>
      <c r="DAR1" t="s">
        <v>20439</v>
      </c>
      <c r="DAS1" t="s">
        <v>20440</v>
      </c>
      <c r="DAT1" t="s">
        <v>20441</v>
      </c>
      <c r="DAU1" t="s">
        <v>20442</v>
      </c>
      <c r="DAV1" t="s">
        <v>20443</v>
      </c>
      <c r="DAW1" t="s">
        <v>20444</v>
      </c>
      <c r="DAX1" t="s">
        <v>20445</v>
      </c>
      <c r="DAY1" t="s">
        <v>20446</v>
      </c>
      <c r="DAZ1" t="s">
        <v>20447</v>
      </c>
      <c r="DBA1" t="s">
        <v>20448</v>
      </c>
      <c r="DBB1" t="s">
        <v>20449</v>
      </c>
      <c r="DBC1" t="s">
        <v>20450</v>
      </c>
      <c r="DBD1" t="s">
        <v>20451</v>
      </c>
      <c r="DBE1" t="s">
        <v>20452</v>
      </c>
      <c r="DBF1" t="s">
        <v>20453</v>
      </c>
      <c r="DBG1" t="s">
        <v>20454</v>
      </c>
      <c r="DBH1" t="s">
        <v>20455</v>
      </c>
      <c r="DBI1" t="s">
        <v>20456</v>
      </c>
      <c r="DBJ1" t="s">
        <v>20457</v>
      </c>
      <c r="DBK1" t="s">
        <v>20458</v>
      </c>
      <c r="DBL1" t="s">
        <v>20459</v>
      </c>
      <c r="DBM1" t="s">
        <v>20460</v>
      </c>
      <c r="DBN1" t="s">
        <v>20461</v>
      </c>
      <c r="DBO1" t="s">
        <v>20462</v>
      </c>
      <c r="DBP1" t="s">
        <v>20463</v>
      </c>
      <c r="DBQ1" t="s">
        <v>20464</v>
      </c>
      <c r="DBR1" t="s">
        <v>20465</v>
      </c>
      <c r="DBS1" t="s">
        <v>20466</v>
      </c>
      <c r="DBT1" t="s">
        <v>20467</v>
      </c>
      <c r="DBU1" t="s">
        <v>20468</v>
      </c>
      <c r="DBV1" t="s">
        <v>20469</v>
      </c>
      <c r="DBW1" t="s">
        <v>20470</v>
      </c>
      <c r="DBX1" t="s">
        <v>20471</v>
      </c>
      <c r="DBY1" t="s">
        <v>20472</v>
      </c>
      <c r="DBZ1" t="s">
        <v>20473</v>
      </c>
      <c r="DCA1" t="s">
        <v>20474</v>
      </c>
      <c r="DCB1" t="s">
        <v>20475</v>
      </c>
      <c r="DCC1" t="s">
        <v>20476</v>
      </c>
      <c r="DCD1" t="s">
        <v>20477</v>
      </c>
      <c r="DCE1" t="s">
        <v>20478</v>
      </c>
      <c r="DCF1" t="s">
        <v>20479</v>
      </c>
      <c r="DCG1" t="s">
        <v>20480</v>
      </c>
      <c r="DCH1" t="s">
        <v>20481</v>
      </c>
      <c r="DCI1" t="s">
        <v>20482</v>
      </c>
      <c r="DCJ1" t="s">
        <v>20483</v>
      </c>
      <c r="DCK1" t="s">
        <v>20484</v>
      </c>
      <c r="DCL1" t="s">
        <v>20485</v>
      </c>
      <c r="DCM1" t="s">
        <v>20486</v>
      </c>
      <c r="DCN1" t="s">
        <v>20487</v>
      </c>
      <c r="DCO1" t="s">
        <v>20488</v>
      </c>
      <c r="DCP1" t="s">
        <v>20489</v>
      </c>
      <c r="DCQ1" t="s">
        <v>20490</v>
      </c>
      <c r="DCR1" t="s">
        <v>20491</v>
      </c>
      <c r="DCS1" t="s">
        <v>20492</v>
      </c>
      <c r="DCT1" t="s">
        <v>20493</v>
      </c>
      <c r="DCU1" t="s">
        <v>20494</v>
      </c>
      <c r="DCV1" t="s">
        <v>20495</v>
      </c>
      <c r="DCW1" t="s">
        <v>20496</v>
      </c>
      <c r="DCX1" t="s">
        <v>20497</v>
      </c>
      <c r="DCY1" t="s">
        <v>20498</v>
      </c>
      <c r="DCZ1" t="s">
        <v>20499</v>
      </c>
      <c r="DDA1" t="s">
        <v>20500</v>
      </c>
      <c r="DDB1" t="s">
        <v>20501</v>
      </c>
      <c r="DDC1" t="s">
        <v>20502</v>
      </c>
      <c r="DDD1" t="s">
        <v>20503</v>
      </c>
      <c r="DDE1" t="s">
        <v>20504</v>
      </c>
      <c r="DDF1" t="s">
        <v>20505</v>
      </c>
      <c r="DDG1" t="s">
        <v>20506</v>
      </c>
      <c r="DDH1" t="s">
        <v>20507</v>
      </c>
      <c r="DDI1" t="s">
        <v>20508</v>
      </c>
      <c r="DDJ1" t="s">
        <v>20509</v>
      </c>
      <c r="DDK1" t="s">
        <v>20510</v>
      </c>
      <c r="DDL1" t="s">
        <v>20511</v>
      </c>
      <c r="DDM1" t="s">
        <v>20512</v>
      </c>
      <c r="DDN1" t="s">
        <v>20513</v>
      </c>
      <c r="DDO1" t="s">
        <v>20514</v>
      </c>
      <c r="DDP1" t="s">
        <v>20515</v>
      </c>
      <c r="DDQ1" t="s">
        <v>20516</v>
      </c>
      <c r="DDR1" t="s">
        <v>20517</v>
      </c>
      <c r="DDS1" t="s">
        <v>20518</v>
      </c>
      <c r="DDT1" t="s">
        <v>20519</v>
      </c>
      <c r="DDU1" t="s">
        <v>20520</v>
      </c>
      <c r="DDV1" t="s">
        <v>20521</v>
      </c>
      <c r="DDW1" t="s">
        <v>20522</v>
      </c>
      <c r="DDX1" t="s">
        <v>20523</v>
      </c>
      <c r="DDY1" t="s">
        <v>20524</v>
      </c>
      <c r="DDZ1" t="s">
        <v>20525</v>
      </c>
      <c r="DEA1" t="s">
        <v>20526</v>
      </c>
      <c r="DEB1" t="s">
        <v>20527</v>
      </c>
      <c r="DEC1" t="s">
        <v>20528</v>
      </c>
      <c r="DED1" t="s">
        <v>20529</v>
      </c>
      <c r="DEE1" t="s">
        <v>20530</v>
      </c>
      <c r="DEF1" t="s">
        <v>20531</v>
      </c>
      <c r="DEG1" t="s">
        <v>20532</v>
      </c>
      <c r="DEH1" t="s">
        <v>20533</v>
      </c>
      <c r="DEI1" t="s">
        <v>20534</v>
      </c>
      <c r="DEJ1" t="s">
        <v>20535</v>
      </c>
      <c r="DEK1" t="s">
        <v>20536</v>
      </c>
      <c r="DEL1" t="s">
        <v>20537</v>
      </c>
      <c r="DEM1" t="s">
        <v>20538</v>
      </c>
      <c r="DEN1" t="s">
        <v>20539</v>
      </c>
      <c r="DEO1" t="s">
        <v>20540</v>
      </c>
      <c r="DEP1" t="s">
        <v>20541</v>
      </c>
      <c r="DEQ1" t="s">
        <v>20542</v>
      </c>
      <c r="DER1" t="s">
        <v>20543</v>
      </c>
      <c r="DES1" t="s">
        <v>20544</v>
      </c>
      <c r="DET1" t="s">
        <v>20545</v>
      </c>
      <c r="DEU1" t="s">
        <v>20546</v>
      </c>
      <c r="DEV1" t="s">
        <v>20547</v>
      </c>
      <c r="DEW1" t="s">
        <v>20548</v>
      </c>
      <c r="DEX1" t="s">
        <v>20549</v>
      </c>
      <c r="DEY1" t="s">
        <v>20550</v>
      </c>
      <c r="DEZ1" t="s">
        <v>20551</v>
      </c>
      <c r="DFA1" t="s">
        <v>20552</v>
      </c>
      <c r="DFB1" t="s">
        <v>20553</v>
      </c>
      <c r="DFC1" t="s">
        <v>20554</v>
      </c>
      <c r="DFD1" t="s">
        <v>20555</v>
      </c>
      <c r="DFE1" t="s">
        <v>20556</v>
      </c>
      <c r="DFF1" t="s">
        <v>20557</v>
      </c>
      <c r="DFG1" t="s">
        <v>20558</v>
      </c>
      <c r="DFH1" t="s">
        <v>20559</v>
      </c>
      <c r="DFI1" t="s">
        <v>20560</v>
      </c>
      <c r="DFJ1" t="s">
        <v>20561</v>
      </c>
      <c r="DFK1" t="s">
        <v>20562</v>
      </c>
      <c r="DFL1" t="s">
        <v>20563</v>
      </c>
      <c r="DFM1" t="s">
        <v>20564</v>
      </c>
      <c r="DFN1" t="s">
        <v>20565</v>
      </c>
      <c r="DFO1" t="s">
        <v>20566</v>
      </c>
      <c r="DFP1" t="s">
        <v>20567</v>
      </c>
      <c r="DFQ1" t="s">
        <v>20568</v>
      </c>
      <c r="DFR1" t="s">
        <v>20569</v>
      </c>
      <c r="DFS1" t="s">
        <v>20570</v>
      </c>
      <c r="DFT1" t="s">
        <v>20571</v>
      </c>
      <c r="DFU1" t="s">
        <v>20572</v>
      </c>
      <c r="DFV1" t="s">
        <v>20573</v>
      </c>
      <c r="DFW1" t="s">
        <v>20574</v>
      </c>
      <c r="DFX1" t="s">
        <v>20575</v>
      </c>
      <c r="DFY1" t="s">
        <v>20576</v>
      </c>
      <c r="DFZ1" t="s">
        <v>20577</v>
      </c>
      <c r="DGA1" t="s">
        <v>20578</v>
      </c>
      <c r="DGB1" t="s">
        <v>20579</v>
      </c>
      <c r="DGC1" t="s">
        <v>20580</v>
      </c>
      <c r="DGD1" t="s">
        <v>20581</v>
      </c>
      <c r="DGE1" t="s">
        <v>20582</v>
      </c>
      <c r="DGF1" t="s">
        <v>20583</v>
      </c>
      <c r="DGG1" t="s">
        <v>20584</v>
      </c>
      <c r="DGH1" t="s">
        <v>20585</v>
      </c>
      <c r="DGI1" t="s">
        <v>20586</v>
      </c>
      <c r="DGJ1" t="s">
        <v>20587</v>
      </c>
      <c r="DGK1" t="s">
        <v>20588</v>
      </c>
      <c r="DGL1" t="s">
        <v>20589</v>
      </c>
      <c r="DGM1" t="s">
        <v>20590</v>
      </c>
      <c r="DGN1" t="s">
        <v>20591</v>
      </c>
      <c r="DGO1" t="s">
        <v>20592</v>
      </c>
      <c r="DGP1" t="s">
        <v>20593</v>
      </c>
      <c r="DGQ1" t="s">
        <v>20594</v>
      </c>
      <c r="DGR1" t="s">
        <v>20595</v>
      </c>
      <c r="DGS1" t="s">
        <v>20596</v>
      </c>
      <c r="DGT1" t="s">
        <v>20597</v>
      </c>
      <c r="DGU1" t="s">
        <v>20598</v>
      </c>
      <c r="DGV1" t="s">
        <v>20599</v>
      </c>
      <c r="DGW1" t="s">
        <v>20600</v>
      </c>
      <c r="DGX1" t="s">
        <v>20601</v>
      </c>
      <c r="DGY1" t="s">
        <v>20602</v>
      </c>
      <c r="DGZ1" t="s">
        <v>20603</v>
      </c>
      <c r="DHA1" t="s">
        <v>20604</v>
      </c>
      <c r="DHB1" t="s">
        <v>20605</v>
      </c>
      <c r="DHC1" t="s">
        <v>20606</v>
      </c>
      <c r="DHD1" t="s">
        <v>20607</v>
      </c>
      <c r="DHE1" t="s">
        <v>20608</v>
      </c>
      <c r="DHF1" t="s">
        <v>20609</v>
      </c>
      <c r="DHG1" t="s">
        <v>20610</v>
      </c>
      <c r="DHH1" t="s">
        <v>20611</v>
      </c>
      <c r="DHI1" t="s">
        <v>20612</v>
      </c>
      <c r="DHJ1" t="s">
        <v>20613</v>
      </c>
      <c r="DHK1" t="s">
        <v>20614</v>
      </c>
      <c r="DHL1" t="s">
        <v>20615</v>
      </c>
      <c r="DHM1" t="s">
        <v>20616</v>
      </c>
      <c r="DHN1" t="s">
        <v>20617</v>
      </c>
      <c r="DHO1" t="s">
        <v>20618</v>
      </c>
      <c r="DHP1" t="s">
        <v>20619</v>
      </c>
      <c r="DHQ1" t="s">
        <v>20620</v>
      </c>
      <c r="DHR1" t="s">
        <v>20621</v>
      </c>
      <c r="DHS1" t="s">
        <v>20622</v>
      </c>
      <c r="DHT1" t="s">
        <v>20623</v>
      </c>
      <c r="DHU1" t="s">
        <v>20624</v>
      </c>
      <c r="DHV1" t="s">
        <v>20625</v>
      </c>
      <c r="DHW1" t="s">
        <v>20626</v>
      </c>
      <c r="DHX1" t="s">
        <v>20627</v>
      </c>
      <c r="DHY1" t="s">
        <v>20628</v>
      </c>
      <c r="DHZ1" t="s">
        <v>20629</v>
      </c>
      <c r="DIA1" t="s">
        <v>20630</v>
      </c>
      <c r="DIB1" t="s">
        <v>20631</v>
      </c>
      <c r="DIC1" t="s">
        <v>20632</v>
      </c>
      <c r="DID1" t="s">
        <v>20633</v>
      </c>
      <c r="DIE1" t="s">
        <v>20634</v>
      </c>
      <c r="DIF1" t="s">
        <v>20635</v>
      </c>
      <c r="DIG1" t="s">
        <v>20636</v>
      </c>
      <c r="DIH1" t="s">
        <v>20637</v>
      </c>
      <c r="DII1" t="s">
        <v>20638</v>
      </c>
      <c r="DIJ1" t="s">
        <v>20639</v>
      </c>
      <c r="DIK1" t="s">
        <v>20640</v>
      </c>
      <c r="DIL1" t="s">
        <v>20641</v>
      </c>
      <c r="DIM1" t="s">
        <v>20642</v>
      </c>
      <c r="DIN1" t="s">
        <v>20643</v>
      </c>
      <c r="DIO1" t="s">
        <v>20644</v>
      </c>
      <c r="DIP1" t="s">
        <v>20645</v>
      </c>
      <c r="DIQ1" t="s">
        <v>20646</v>
      </c>
      <c r="DIR1" t="s">
        <v>20647</v>
      </c>
      <c r="DIS1" t="s">
        <v>20648</v>
      </c>
      <c r="DIT1" t="s">
        <v>20649</v>
      </c>
      <c r="DIU1" t="s">
        <v>20650</v>
      </c>
      <c r="DIV1" t="s">
        <v>20651</v>
      </c>
      <c r="DIW1" t="s">
        <v>20652</v>
      </c>
      <c r="DIX1" t="s">
        <v>20653</v>
      </c>
      <c r="DIY1" t="s">
        <v>20654</v>
      </c>
      <c r="DIZ1" t="s">
        <v>20655</v>
      </c>
      <c r="DJA1" t="s">
        <v>20656</v>
      </c>
      <c r="DJB1" t="s">
        <v>20657</v>
      </c>
      <c r="DJC1" t="s">
        <v>20658</v>
      </c>
      <c r="DJD1" t="s">
        <v>20659</v>
      </c>
      <c r="DJE1" t="s">
        <v>20660</v>
      </c>
      <c r="DJF1" t="s">
        <v>20661</v>
      </c>
      <c r="DJG1" t="s">
        <v>20662</v>
      </c>
      <c r="DJH1" t="s">
        <v>20663</v>
      </c>
      <c r="DJI1" t="s">
        <v>20664</v>
      </c>
      <c r="DJJ1" t="s">
        <v>20665</v>
      </c>
      <c r="DJK1" t="s">
        <v>20666</v>
      </c>
      <c r="DJL1" t="s">
        <v>20667</v>
      </c>
      <c r="DJM1" t="s">
        <v>20668</v>
      </c>
      <c r="DJN1" t="s">
        <v>20669</v>
      </c>
      <c r="DJO1" t="s">
        <v>20670</v>
      </c>
      <c r="DJP1" t="s">
        <v>20671</v>
      </c>
      <c r="DJQ1" t="s">
        <v>20672</v>
      </c>
      <c r="DJR1" t="s">
        <v>20673</v>
      </c>
      <c r="DJS1" t="s">
        <v>20674</v>
      </c>
      <c r="DJT1" t="s">
        <v>20675</v>
      </c>
      <c r="DJU1" t="s">
        <v>20676</v>
      </c>
      <c r="DJV1" t="s">
        <v>20677</v>
      </c>
      <c r="DJW1" t="s">
        <v>20678</v>
      </c>
      <c r="DJX1" t="s">
        <v>20679</v>
      </c>
      <c r="DJY1" t="s">
        <v>20680</v>
      </c>
      <c r="DJZ1" t="s">
        <v>20681</v>
      </c>
      <c r="DKA1" t="s">
        <v>20682</v>
      </c>
      <c r="DKB1" t="s">
        <v>20683</v>
      </c>
      <c r="DKC1" t="s">
        <v>20684</v>
      </c>
      <c r="DKD1" t="s">
        <v>20685</v>
      </c>
      <c r="DKE1" t="s">
        <v>20686</v>
      </c>
      <c r="DKF1" t="s">
        <v>20687</v>
      </c>
      <c r="DKG1" t="s">
        <v>20688</v>
      </c>
      <c r="DKH1" t="s">
        <v>20689</v>
      </c>
      <c r="DKI1" t="s">
        <v>20690</v>
      </c>
      <c r="DKJ1" t="s">
        <v>20691</v>
      </c>
      <c r="DKK1" t="s">
        <v>20692</v>
      </c>
      <c r="DKL1" t="s">
        <v>20693</v>
      </c>
      <c r="DKM1" t="s">
        <v>20694</v>
      </c>
      <c r="DKN1" t="s">
        <v>20695</v>
      </c>
      <c r="DKO1" t="s">
        <v>20696</v>
      </c>
      <c r="DKP1" t="s">
        <v>20697</v>
      </c>
      <c r="DKQ1" t="s">
        <v>20698</v>
      </c>
      <c r="DKR1" t="s">
        <v>20699</v>
      </c>
      <c r="DKS1" t="s">
        <v>20700</v>
      </c>
      <c r="DKT1" t="s">
        <v>20701</v>
      </c>
      <c r="DKU1" t="s">
        <v>20702</v>
      </c>
      <c r="DKV1" t="s">
        <v>20703</v>
      </c>
      <c r="DKW1" t="s">
        <v>20704</v>
      </c>
      <c r="DKX1" t="s">
        <v>20705</v>
      </c>
      <c r="DKY1" t="s">
        <v>20706</v>
      </c>
      <c r="DKZ1" t="s">
        <v>20707</v>
      </c>
      <c r="DLA1" t="s">
        <v>20708</v>
      </c>
      <c r="DLB1" t="s">
        <v>20709</v>
      </c>
      <c r="DLC1" t="s">
        <v>20710</v>
      </c>
      <c r="DLD1" t="s">
        <v>20711</v>
      </c>
      <c r="DLE1" t="s">
        <v>20712</v>
      </c>
      <c r="DLF1" t="s">
        <v>20713</v>
      </c>
      <c r="DLG1" t="s">
        <v>20714</v>
      </c>
      <c r="DLH1" t="s">
        <v>20715</v>
      </c>
      <c r="DLI1" t="s">
        <v>20716</v>
      </c>
      <c r="DLJ1" t="s">
        <v>20717</v>
      </c>
      <c r="DLK1" t="s">
        <v>20718</v>
      </c>
      <c r="DLL1" t="s">
        <v>20719</v>
      </c>
      <c r="DLM1" t="s">
        <v>20720</v>
      </c>
      <c r="DLN1" t="s">
        <v>20721</v>
      </c>
      <c r="DLO1" t="s">
        <v>20722</v>
      </c>
      <c r="DLP1" t="s">
        <v>20723</v>
      </c>
      <c r="DLQ1" t="s">
        <v>20724</v>
      </c>
      <c r="DLR1" t="s">
        <v>20725</v>
      </c>
      <c r="DLS1" t="s">
        <v>20726</v>
      </c>
      <c r="DLT1" t="s">
        <v>20727</v>
      </c>
      <c r="DLU1" t="s">
        <v>20728</v>
      </c>
      <c r="DLV1" t="s">
        <v>20729</v>
      </c>
      <c r="DLW1" t="s">
        <v>20730</v>
      </c>
      <c r="DLX1" t="s">
        <v>20731</v>
      </c>
      <c r="DLY1" t="s">
        <v>20732</v>
      </c>
      <c r="DLZ1" t="s">
        <v>20733</v>
      </c>
      <c r="DMA1" t="s">
        <v>20734</v>
      </c>
      <c r="DMB1" t="s">
        <v>20735</v>
      </c>
      <c r="DMC1" t="s">
        <v>20736</v>
      </c>
      <c r="DMD1" t="s">
        <v>20737</v>
      </c>
      <c r="DME1" t="s">
        <v>20738</v>
      </c>
      <c r="DMF1" t="s">
        <v>20739</v>
      </c>
      <c r="DMG1" t="s">
        <v>20740</v>
      </c>
      <c r="DMH1" t="s">
        <v>20741</v>
      </c>
      <c r="DMI1" t="s">
        <v>20742</v>
      </c>
      <c r="DMJ1" t="s">
        <v>20743</v>
      </c>
      <c r="DMK1" t="s">
        <v>20744</v>
      </c>
      <c r="DML1" t="s">
        <v>20745</v>
      </c>
      <c r="DMM1" t="s">
        <v>20746</v>
      </c>
      <c r="DMN1" t="s">
        <v>20747</v>
      </c>
      <c r="DMO1" t="s">
        <v>20748</v>
      </c>
      <c r="DMP1" t="s">
        <v>20749</v>
      </c>
      <c r="DMQ1" t="s">
        <v>20750</v>
      </c>
      <c r="DMR1" t="s">
        <v>20751</v>
      </c>
      <c r="DMS1" t="s">
        <v>20752</v>
      </c>
      <c r="DMT1" t="s">
        <v>20753</v>
      </c>
      <c r="DMU1" t="s">
        <v>20754</v>
      </c>
      <c r="DMV1" t="s">
        <v>20755</v>
      </c>
      <c r="DMW1" t="s">
        <v>20756</v>
      </c>
      <c r="DMX1" t="s">
        <v>20757</v>
      </c>
      <c r="DMY1" t="s">
        <v>20758</v>
      </c>
      <c r="DMZ1" t="s">
        <v>20759</v>
      </c>
      <c r="DNA1" t="s">
        <v>20760</v>
      </c>
      <c r="DNB1" t="s">
        <v>20761</v>
      </c>
      <c r="DNC1" t="s">
        <v>20762</v>
      </c>
      <c r="DND1" t="s">
        <v>20763</v>
      </c>
      <c r="DNE1" t="s">
        <v>20764</v>
      </c>
      <c r="DNF1" t="s">
        <v>20765</v>
      </c>
      <c r="DNG1" t="s">
        <v>20766</v>
      </c>
      <c r="DNH1" t="s">
        <v>20767</v>
      </c>
      <c r="DNI1" t="s">
        <v>20768</v>
      </c>
      <c r="DNJ1" t="s">
        <v>20769</v>
      </c>
      <c r="DNK1" t="s">
        <v>20770</v>
      </c>
      <c r="DNL1" t="s">
        <v>20771</v>
      </c>
      <c r="DNM1" t="s">
        <v>20772</v>
      </c>
      <c r="DNN1" t="s">
        <v>20773</v>
      </c>
      <c r="DNO1" t="s">
        <v>20774</v>
      </c>
      <c r="DNP1" t="s">
        <v>20775</v>
      </c>
      <c r="DNQ1" t="s">
        <v>20776</v>
      </c>
      <c r="DNR1" t="s">
        <v>20777</v>
      </c>
      <c r="DNS1" t="s">
        <v>20778</v>
      </c>
      <c r="DNT1" t="s">
        <v>20779</v>
      </c>
      <c r="DNU1" t="s">
        <v>20780</v>
      </c>
      <c r="DNV1" t="s">
        <v>20781</v>
      </c>
      <c r="DNW1" t="s">
        <v>20782</v>
      </c>
      <c r="DNX1" t="s">
        <v>20783</v>
      </c>
      <c r="DNY1" t="s">
        <v>20784</v>
      </c>
      <c r="DNZ1" t="s">
        <v>20785</v>
      </c>
      <c r="DOA1" t="s">
        <v>20786</v>
      </c>
      <c r="DOB1" t="s">
        <v>20787</v>
      </c>
      <c r="DOC1" t="s">
        <v>20788</v>
      </c>
      <c r="DOD1" t="s">
        <v>20789</v>
      </c>
      <c r="DOE1" t="s">
        <v>20790</v>
      </c>
      <c r="DOF1" t="s">
        <v>20791</v>
      </c>
      <c r="DOG1" t="s">
        <v>20792</v>
      </c>
      <c r="DOH1" t="s">
        <v>20793</v>
      </c>
      <c r="DOI1" t="s">
        <v>20794</v>
      </c>
      <c r="DOJ1" t="s">
        <v>20795</v>
      </c>
      <c r="DOK1" t="s">
        <v>20796</v>
      </c>
      <c r="DOL1" t="s">
        <v>20797</v>
      </c>
      <c r="DOM1" t="s">
        <v>20798</v>
      </c>
      <c r="DON1" t="s">
        <v>20799</v>
      </c>
      <c r="DOO1" t="s">
        <v>20800</v>
      </c>
      <c r="DOP1" t="s">
        <v>20801</v>
      </c>
      <c r="DOQ1" t="s">
        <v>20802</v>
      </c>
      <c r="DOR1" t="s">
        <v>20803</v>
      </c>
      <c r="DOS1" t="s">
        <v>20804</v>
      </c>
      <c r="DOT1" t="s">
        <v>20805</v>
      </c>
      <c r="DOU1" t="s">
        <v>20806</v>
      </c>
      <c r="DOV1" t="s">
        <v>20807</v>
      </c>
      <c r="DOW1" t="s">
        <v>20808</v>
      </c>
      <c r="DOX1" t="s">
        <v>20809</v>
      </c>
      <c r="DOY1" t="s">
        <v>20810</v>
      </c>
      <c r="DOZ1" t="s">
        <v>20811</v>
      </c>
      <c r="DPA1" t="s">
        <v>20812</v>
      </c>
      <c r="DPB1" t="s">
        <v>20813</v>
      </c>
      <c r="DPC1" t="s">
        <v>20814</v>
      </c>
      <c r="DPD1" t="s">
        <v>20815</v>
      </c>
      <c r="DPE1" t="s">
        <v>20816</v>
      </c>
      <c r="DPF1" t="s">
        <v>20817</v>
      </c>
      <c r="DPG1" t="s">
        <v>20818</v>
      </c>
      <c r="DPH1" t="s">
        <v>20819</v>
      </c>
      <c r="DPI1" t="s">
        <v>20820</v>
      </c>
      <c r="DPJ1" t="s">
        <v>20821</v>
      </c>
      <c r="DPK1" t="s">
        <v>20822</v>
      </c>
      <c r="DPL1" t="s">
        <v>20823</v>
      </c>
      <c r="DPM1" t="s">
        <v>20824</v>
      </c>
      <c r="DPN1" t="s">
        <v>20825</v>
      </c>
      <c r="DPO1" t="s">
        <v>20826</v>
      </c>
      <c r="DPP1" t="s">
        <v>20827</v>
      </c>
      <c r="DPQ1" t="s">
        <v>20828</v>
      </c>
      <c r="DPR1" t="s">
        <v>20829</v>
      </c>
      <c r="DPS1" t="s">
        <v>20830</v>
      </c>
      <c r="DPT1" t="s">
        <v>20831</v>
      </c>
      <c r="DPU1" t="s">
        <v>20832</v>
      </c>
      <c r="DPV1" t="s">
        <v>20833</v>
      </c>
      <c r="DPW1" t="s">
        <v>20834</v>
      </c>
      <c r="DPX1" t="s">
        <v>20835</v>
      </c>
      <c r="DPY1" t="s">
        <v>20836</v>
      </c>
      <c r="DPZ1" t="s">
        <v>20837</v>
      </c>
      <c r="DQA1" t="s">
        <v>20838</v>
      </c>
      <c r="DQB1" t="s">
        <v>20839</v>
      </c>
      <c r="DQC1" t="s">
        <v>20840</v>
      </c>
      <c r="DQD1" t="s">
        <v>20841</v>
      </c>
      <c r="DQE1" t="s">
        <v>20842</v>
      </c>
      <c r="DQF1" t="s">
        <v>20843</v>
      </c>
      <c r="DQG1" t="s">
        <v>20844</v>
      </c>
      <c r="DQH1" t="s">
        <v>20845</v>
      </c>
      <c r="DQI1" t="s">
        <v>20846</v>
      </c>
      <c r="DQJ1" t="s">
        <v>20847</v>
      </c>
      <c r="DQK1" t="s">
        <v>20848</v>
      </c>
      <c r="DQL1" t="s">
        <v>20849</v>
      </c>
      <c r="DQM1" t="s">
        <v>20850</v>
      </c>
      <c r="DQN1" t="s">
        <v>20851</v>
      </c>
      <c r="DQO1" t="s">
        <v>20852</v>
      </c>
      <c r="DQP1" t="s">
        <v>20853</v>
      </c>
      <c r="DQQ1" t="s">
        <v>20854</v>
      </c>
      <c r="DQR1" t="s">
        <v>20855</v>
      </c>
      <c r="DQS1" t="s">
        <v>20856</v>
      </c>
      <c r="DQT1" t="s">
        <v>20857</v>
      </c>
      <c r="DQU1" t="s">
        <v>20858</v>
      </c>
      <c r="DQV1" t="s">
        <v>20859</v>
      </c>
      <c r="DQW1" t="s">
        <v>20860</v>
      </c>
      <c r="DQX1" t="s">
        <v>20861</v>
      </c>
      <c r="DQY1" t="s">
        <v>20862</v>
      </c>
      <c r="DQZ1" t="s">
        <v>20863</v>
      </c>
      <c r="DRA1" t="s">
        <v>20864</v>
      </c>
      <c r="DRB1" t="s">
        <v>20865</v>
      </c>
      <c r="DRC1" t="s">
        <v>20866</v>
      </c>
      <c r="DRD1" t="s">
        <v>20867</v>
      </c>
      <c r="DRE1" t="s">
        <v>20868</v>
      </c>
      <c r="DRF1" t="s">
        <v>20869</v>
      </c>
      <c r="DRG1" t="s">
        <v>20870</v>
      </c>
      <c r="DRH1" t="s">
        <v>20871</v>
      </c>
      <c r="DRI1" t="s">
        <v>20872</v>
      </c>
      <c r="DRJ1" t="s">
        <v>20873</v>
      </c>
      <c r="DRK1" t="s">
        <v>20874</v>
      </c>
      <c r="DRL1" t="s">
        <v>20875</v>
      </c>
      <c r="DRM1" t="s">
        <v>20876</v>
      </c>
      <c r="DRN1" t="s">
        <v>20877</v>
      </c>
      <c r="DRO1" t="s">
        <v>20878</v>
      </c>
      <c r="DRP1" t="s">
        <v>20879</v>
      </c>
      <c r="DRQ1" t="s">
        <v>20880</v>
      </c>
      <c r="DRR1" t="s">
        <v>20881</v>
      </c>
      <c r="DRS1" t="s">
        <v>20882</v>
      </c>
      <c r="DRT1" t="s">
        <v>20883</v>
      </c>
      <c r="DRU1" t="s">
        <v>20884</v>
      </c>
      <c r="DRV1" t="s">
        <v>20885</v>
      </c>
      <c r="DRW1" t="s">
        <v>20886</v>
      </c>
      <c r="DRX1" t="s">
        <v>20887</v>
      </c>
      <c r="DRY1" t="s">
        <v>20888</v>
      </c>
      <c r="DRZ1" t="s">
        <v>20889</v>
      </c>
      <c r="DSA1" t="s">
        <v>20890</v>
      </c>
      <c r="DSB1" t="s">
        <v>20891</v>
      </c>
      <c r="DSC1" t="s">
        <v>20892</v>
      </c>
      <c r="DSD1" t="s">
        <v>20893</v>
      </c>
      <c r="DSE1" t="s">
        <v>20894</v>
      </c>
      <c r="DSF1" t="s">
        <v>20895</v>
      </c>
      <c r="DSG1" t="s">
        <v>20896</v>
      </c>
      <c r="DSH1" t="s">
        <v>20897</v>
      </c>
      <c r="DSI1" t="s">
        <v>20898</v>
      </c>
      <c r="DSJ1" t="s">
        <v>20899</v>
      </c>
      <c r="DSK1" t="s">
        <v>20900</v>
      </c>
      <c r="DSL1" t="s">
        <v>20901</v>
      </c>
      <c r="DSM1" t="s">
        <v>20902</v>
      </c>
      <c r="DSN1" t="s">
        <v>20903</v>
      </c>
      <c r="DSO1" t="s">
        <v>20904</v>
      </c>
      <c r="DSP1" t="s">
        <v>20905</v>
      </c>
      <c r="DSQ1" t="s">
        <v>20906</v>
      </c>
      <c r="DSR1" t="s">
        <v>20907</v>
      </c>
      <c r="DSS1" t="s">
        <v>20908</v>
      </c>
      <c r="DST1" t="s">
        <v>20909</v>
      </c>
      <c r="DSU1" t="s">
        <v>20910</v>
      </c>
      <c r="DSV1" t="s">
        <v>20911</v>
      </c>
      <c r="DSW1" t="s">
        <v>20912</v>
      </c>
      <c r="DSX1" t="s">
        <v>20913</v>
      </c>
      <c r="DSY1" t="s">
        <v>20914</v>
      </c>
      <c r="DSZ1" t="s">
        <v>20915</v>
      </c>
      <c r="DTA1" t="s">
        <v>20916</v>
      </c>
      <c r="DTB1" t="s">
        <v>20917</v>
      </c>
      <c r="DTC1" t="s">
        <v>20918</v>
      </c>
      <c r="DTD1" t="s">
        <v>20919</v>
      </c>
      <c r="DTE1" t="s">
        <v>20920</v>
      </c>
      <c r="DTF1" t="s">
        <v>20921</v>
      </c>
      <c r="DTG1" t="s">
        <v>20922</v>
      </c>
      <c r="DTH1" t="s">
        <v>20923</v>
      </c>
      <c r="DTI1" t="s">
        <v>20924</v>
      </c>
      <c r="DTJ1" t="s">
        <v>20925</v>
      </c>
      <c r="DTK1" t="s">
        <v>20926</v>
      </c>
      <c r="DTL1" t="s">
        <v>20927</v>
      </c>
      <c r="DTM1" t="s">
        <v>20928</v>
      </c>
      <c r="DTN1" t="s">
        <v>20929</v>
      </c>
      <c r="DTO1" t="s">
        <v>20930</v>
      </c>
      <c r="DTP1" t="s">
        <v>20931</v>
      </c>
      <c r="DTQ1" t="s">
        <v>20932</v>
      </c>
      <c r="DTR1" t="s">
        <v>20933</v>
      </c>
      <c r="DTS1" t="s">
        <v>20934</v>
      </c>
      <c r="DTT1" t="s">
        <v>20935</v>
      </c>
      <c r="DTU1" t="s">
        <v>20936</v>
      </c>
      <c r="DTV1" t="s">
        <v>20937</v>
      </c>
      <c r="DTW1" t="s">
        <v>20938</v>
      </c>
      <c r="DTX1" t="s">
        <v>20939</v>
      </c>
      <c r="DTY1" t="s">
        <v>20940</v>
      </c>
      <c r="DTZ1" t="s">
        <v>20941</v>
      </c>
      <c r="DUA1" t="s">
        <v>20942</v>
      </c>
      <c r="DUB1" t="s">
        <v>20943</v>
      </c>
      <c r="DUC1" t="s">
        <v>20944</v>
      </c>
      <c r="DUD1" t="s">
        <v>20945</v>
      </c>
      <c r="DUE1" t="s">
        <v>20946</v>
      </c>
      <c r="DUF1" t="s">
        <v>20947</v>
      </c>
      <c r="DUG1" t="s">
        <v>20948</v>
      </c>
      <c r="DUH1" t="s">
        <v>20949</v>
      </c>
      <c r="DUI1" t="s">
        <v>20950</v>
      </c>
      <c r="DUJ1" t="s">
        <v>20951</v>
      </c>
      <c r="DUK1" t="s">
        <v>20952</v>
      </c>
      <c r="DUL1" t="s">
        <v>20953</v>
      </c>
      <c r="DUM1" t="s">
        <v>20954</v>
      </c>
      <c r="DUN1" t="s">
        <v>20955</v>
      </c>
      <c r="DUO1" t="s">
        <v>20956</v>
      </c>
      <c r="DUP1" t="s">
        <v>20957</v>
      </c>
      <c r="DUQ1" t="s">
        <v>20958</v>
      </c>
      <c r="DUR1" t="s">
        <v>20959</v>
      </c>
      <c r="DUS1" t="s">
        <v>20960</v>
      </c>
      <c r="DUT1" t="s">
        <v>20961</v>
      </c>
      <c r="DUU1" t="s">
        <v>20962</v>
      </c>
      <c r="DUV1" t="s">
        <v>20963</v>
      </c>
      <c r="DUW1" t="s">
        <v>20964</v>
      </c>
      <c r="DUX1" t="s">
        <v>20965</v>
      </c>
      <c r="DUY1" t="s">
        <v>20966</v>
      </c>
      <c r="DUZ1" t="s">
        <v>20967</v>
      </c>
      <c r="DVA1" t="s">
        <v>20968</v>
      </c>
      <c r="DVB1" t="s">
        <v>20969</v>
      </c>
      <c r="DVC1" t="s">
        <v>20970</v>
      </c>
      <c r="DVD1" t="s">
        <v>20971</v>
      </c>
      <c r="DVE1" t="s">
        <v>20972</v>
      </c>
      <c r="DVF1" t="s">
        <v>20973</v>
      </c>
      <c r="DVG1" t="s">
        <v>20974</v>
      </c>
      <c r="DVH1" t="s">
        <v>20975</v>
      </c>
      <c r="DVI1" t="s">
        <v>20976</v>
      </c>
      <c r="DVJ1" t="s">
        <v>20977</v>
      </c>
      <c r="DVK1" t="s">
        <v>20978</v>
      </c>
      <c r="DVL1" t="s">
        <v>20979</v>
      </c>
      <c r="DVM1" t="s">
        <v>20980</v>
      </c>
      <c r="DVN1" t="s">
        <v>20981</v>
      </c>
      <c r="DVO1" t="s">
        <v>20982</v>
      </c>
      <c r="DVP1" t="s">
        <v>20983</v>
      </c>
      <c r="DVQ1" t="s">
        <v>20984</v>
      </c>
      <c r="DVR1" t="s">
        <v>20985</v>
      </c>
      <c r="DVS1" t="s">
        <v>20986</v>
      </c>
      <c r="DVT1" t="s">
        <v>20987</v>
      </c>
      <c r="DVU1" t="s">
        <v>20988</v>
      </c>
      <c r="DVV1" t="s">
        <v>20989</v>
      </c>
      <c r="DVW1" t="s">
        <v>20990</v>
      </c>
      <c r="DVX1" t="s">
        <v>20991</v>
      </c>
      <c r="DVY1" t="s">
        <v>20992</v>
      </c>
      <c r="DVZ1" t="s">
        <v>20993</v>
      </c>
      <c r="DWA1" t="s">
        <v>20994</v>
      </c>
      <c r="DWB1" t="s">
        <v>20995</v>
      </c>
      <c r="DWC1" t="s">
        <v>20996</v>
      </c>
      <c r="DWD1" t="s">
        <v>20997</v>
      </c>
      <c r="DWE1" t="s">
        <v>20998</v>
      </c>
      <c r="DWF1" t="s">
        <v>20999</v>
      </c>
      <c r="DWG1" t="s">
        <v>21000</v>
      </c>
      <c r="DWH1" t="s">
        <v>21001</v>
      </c>
      <c r="DWI1" t="s">
        <v>21002</v>
      </c>
      <c r="DWJ1" t="s">
        <v>21003</v>
      </c>
      <c r="DWK1" t="s">
        <v>21004</v>
      </c>
      <c r="DWL1" t="s">
        <v>21005</v>
      </c>
      <c r="DWM1" t="s">
        <v>21006</v>
      </c>
      <c r="DWN1" t="s">
        <v>21007</v>
      </c>
      <c r="DWO1" t="s">
        <v>21008</v>
      </c>
      <c r="DWP1" t="s">
        <v>21009</v>
      </c>
      <c r="DWQ1" t="s">
        <v>21010</v>
      </c>
      <c r="DWR1" t="s">
        <v>21011</v>
      </c>
      <c r="DWS1" t="s">
        <v>21012</v>
      </c>
      <c r="DWT1" t="s">
        <v>21013</v>
      </c>
      <c r="DWU1" t="s">
        <v>21014</v>
      </c>
      <c r="DWV1" t="s">
        <v>21015</v>
      </c>
      <c r="DWW1" t="s">
        <v>21016</v>
      </c>
      <c r="DWX1" t="s">
        <v>21017</v>
      </c>
      <c r="DWY1" t="s">
        <v>21018</v>
      </c>
      <c r="DWZ1" t="s">
        <v>21019</v>
      </c>
      <c r="DXA1" t="s">
        <v>21020</v>
      </c>
      <c r="DXB1" t="s">
        <v>21021</v>
      </c>
      <c r="DXC1" t="s">
        <v>21022</v>
      </c>
      <c r="DXD1" t="s">
        <v>21023</v>
      </c>
      <c r="DXE1" t="s">
        <v>21024</v>
      </c>
      <c r="DXF1" t="s">
        <v>21025</v>
      </c>
      <c r="DXG1" t="s">
        <v>21026</v>
      </c>
      <c r="DXH1" t="s">
        <v>21027</v>
      </c>
      <c r="DXI1" t="s">
        <v>21028</v>
      </c>
      <c r="DXJ1" t="s">
        <v>21029</v>
      </c>
      <c r="DXK1" t="s">
        <v>21030</v>
      </c>
      <c r="DXL1" t="s">
        <v>21031</v>
      </c>
      <c r="DXM1" t="s">
        <v>21032</v>
      </c>
      <c r="DXN1" t="s">
        <v>21033</v>
      </c>
      <c r="DXO1" t="s">
        <v>21034</v>
      </c>
      <c r="DXP1" t="s">
        <v>21035</v>
      </c>
      <c r="DXQ1" t="s">
        <v>21036</v>
      </c>
      <c r="DXR1" t="s">
        <v>21037</v>
      </c>
      <c r="DXS1" t="s">
        <v>21038</v>
      </c>
      <c r="DXT1" t="s">
        <v>21039</v>
      </c>
      <c r="DXU1" t="s">
        <v>21040</v>
      </c>
      <c r="DXV1" t="s">
        <v>21041</v>
      </c>
      <c r="DXW1" t="s">
        <v>21042</v>
      </c>
      <c r="DXX1" t="s">
        <v>21043</v>
      </c>
      <c r="DXY1" t="s">
        <v>21044</v>
      </c>
      <c r="DXZ1" t="s">
        <v>21045</v>
      </c>
      <c r="DYA1" t="s">
        <v>21046</v>
      </c>
      <c r="DYB1" t="s">
        <v>21047</v>
      </c>
      <c r="DYC1" t="s">
        <v>21048</v>
      </c>
      <c r="DYD1" t="s">
        <v>21049</v>
      </c>
      <c r="DYE1" t="s">
        <v>21050</v>
      </c>
      <c r="DYF1" t="s">
        <v>21051</v>
      </c>
      <c r="DYG1" t="s">
        <v>21052</v>
      </c>
      <c r="DYH1" t="s">
        <v>21053</v>
      </c>
      <c r="DYI1" t="s">
        <v>21054</v>
      </c>
      <c r="DYJ1" t="s">
        <v>21055</v>
      </c>
      <c r="DYK1" t="s">
        <v>21056</v>
      </c>
      <c r="DYL1" t="s">
        <v>21057</v>
      </c>
      <c r="DYM1" t="s">
        <v>21058</v>
      </c>
      <c r="DYN1" t="s">
        <v>21059</v>
      </c>
      <c r="DYO1" t="s">
        <v>21060</v>
      </c>
      <c r="DYP1" t="s">
        <v>21061</v>
      </c>
      <c r="DYQ1" t="s">
        <v>21062</v>
      </c>
      <c r="DYR1" t="s">
        <v>21063</v>
      </c>
      <c r="DYS1" t="s">
        <v>21064</v>
      </c>
      <c r="DYT1" t="s">
        <v>21065</v>
      </c>
      <c r="DYU1" t="s">
        <v>21066</v>
      </c>
      <c r="DYV1" t="s">
        <v>21067</v>
      </c>
      <c r="DYW1" t="s">
        <v>21068</v>
      </c>
      <c r="DYX1" t="s">
        <v>21069</v>
      </c>
      <c r="DYY1" t="s">
        <v>21070</v>
      </c>
      <c r="DYZ1" t="s">
        <v>21071</v>
      </c>
      <c r="DZA1" t="s">
        <v>21072</v>
      </c>
      <c r="DZB1" t="s">
        <v>21073</v>
      </c>
      <c r="DZC1" t="s">
        <v>21074</v>
      </c>
      <c r="DZD1" t="s">
        <v>21075</v>
      </c>
      <c r="DZE1" t="s">
        <v>21076</v>
      </c>
      <c r="DZF1" t="s">
        <v>21077</v>
      </c>
      <c r="DZG1" t="s">
        <v>21078</v>
      </c>
      <c r="DZH1" t="s">
        <v>21079</v>
      </c>
      <c r="DZI1" t="s">
        <v>21080</v>
      </c>
      <c r="DZJ1" t="s">
        <v>21081</v>
      </c>
      <c r="DZK1" t="s">
        <v>21082</v>
      </c>
      <c r="DZL1" t="s">
        <v>21083</v>
      </c>
      <c r="DZM1" t="s">
        <v>21084</v>
      </c>
      <c r="DZN1" t="s">
        <v>21085</v>
      </c>
      <c r="DZO1" t="s">
        <v>21086</v>
      </c>
      <c r="DZP1" t="s">
        <v>21087</v>
      </c>
      <c r="DZQ1" t="s">
        <v>21088</v>
      </c>
      <c r="DZR1" t="s">
        <v>21089</v>
      </c>
      <c r="DZS1" t="s">
        <v>21090</v>
      </c>
      <c r="DZT1" t="s">
        <v>21091</v>
      </c>
      <c r="DZU1" t="s">
        <v>21092</v>
      </c>
      <c r="DZV1" t="s">
        <v>21093</v>
      </c>
      <c r="DZW1" t="s">
        <v>21094</v>
      </c>
      <c r="DZX1" t="s">
        <v>21095</v>
      </c>
      <c r="DZY1" t="s">
        <v>21096</v>
      </c>
      <c r="DZZ1" t="s">
        <v>21097</v>
      </c>
      <c r="EAA1" t="s">
        <v>21098</v>
      </c>
      <c r="EAB1" t="s">
        <v>21099</v>
      </c>
      <c r="EAC1" t="s">
        <v>21100</v>
      </c>
      <c r="EAD1" t="s">
        <v>21101</v>
      </c>
      <c r="EAE1" t="s">
        <v>21102</v>
      </c>
      <c r="EAF1" t="s">
        <v>21103</v>
      </c>
      <c r="EAG1" t="s">
        <v>21104</v>
      </c>
      <c r="EAH1" t="s">
        <v>21105</v>
      </c>
      <c r="EAI1" t="s">
        <v>21106</v>
      </c>
      <c r="EAJ1" t="s">
        <v>21107</v>
      </c>
      <c r="EAK1" t="s">
        <v>21108</v>
      </c>
      <c r="EAL1" t="s">
        <v>21109</v>
      </c>
      <c r="EAM1" t="s">
        <v>21110</v>
      </c>
      <c r="EAN1" t="s">
        <v>21111</v>
      </c>
      <c r="EAO1" t="s">
        <v>21112</v>
      </c>
      <c r="EAP1" t="s">
        <v>21113</v>
      </c>
      <c r="EAQ1" t="s">
        <v>21114</v>
      </c>
      <c r="EAR1" t="s">
        <v>21115</v>
      </c>
      <c r="EAS1" t="s">
        <v>21116</v>
      </c>
      <c r="EAT1" t="s">
        <v>21117</v>
      </c>
      <c r="EAU1" t="s">
        <v>21118</v>
      </c>
      <c r="EAV1" t="s">
        <v>21119</v>
      </c>
      <c r="EAW1" t="s">
        <v>21120</v>
      </c>
      <c r="EAX1" t="s">
        <v>21121</v>
      </c>
      <c r="EAY1" t="s">
        <v>21122</v>
      </c>
      <c r="EAZ1" t="s">
        <v>21123</v>
      </c>
      <c r="EBA1" t="s">
        <v>21124</v>
      </c>
      <c r="EBB1" t="s">
        <v>21125</v>
      </c>
      <c r="EBC1" t="s">
        <v>21126</v>
      </c>
      <c r="EBD1" t="s">
        <v>21127</v>
      </c>
      <c r="EBE1" t="s">
        <v>21128</v>
      </c>
      <c r="EBF1" t="s">
        <v>21129</v>
      </c>
      <c r="EBG1" t="s">
        <v>21130</v>
      </c>
      <c r="EBH1" t="s">
        <v>21131</v>
      </c>
      <c r="EBI1" t="s">
        <v>21132</v>
      </c>
      <c r="EBJ1" t="s">
        <v>21133</v>
      </c>
      <c r="EBK1" t="s">
        <v>21134</v>
      </c>
      <c r="EBL1" t="s">
        <v>21135</v>
      </c>
      <c r="EBM1" t="s">
        <v>21136</v>
      </c>
      <c r="EBN1" t="s">
        <v>21137</v>
      </c>
      <c r="EBO1" t="s">
        <v>21138</v>
      </c>
      <c r="EBP1" t="s">
        <v>21139</v>
      </c>
      <c r="EBQ1" t="s">
        <v>21140</v>
      </c>
      <c r="EBR1" t="s">
        <v>21141</v>
      </c>
      <c r="EBS1" t="s">
        <v>21142</v>
      </c>
      <c r="EBT1" t="s">
        <v>21143</v>
      </c>
      <c r="EBU1" t="s">
        <v>21144</v>
      </c>
      <c r="EBV1" t="s">
        <v>21145</v>
      </c>
      <c r="EBW1" t="s">
        <v>21146</v>
      </c>
      <c r="EBX1" t="s">
        <v>21147</v>
      </c>
      <c r="EBY1" t="s">
        <v>21148</v>
      </c>
      <c r="EBZ1" t="s">
        <v>21149</v>
      </c>
      <c r="ECA1" t="s">
        <v>21150</v>
      </c>
      <c r="ECB1" t="s">
        <v>21151</v>
      </c>
      <c r="ECC1" t="s">
        <v>21152</v>
      </c>
      <c r="ECD1" t="s">
        <v>21153</v>
      </c>
      <c r="ECE1" t="s">
        <v>21154</v>
      </c>
      <c r="ECF1" t="s">
        <v>21155</v>
      </c>
      <c r="ECG1" t="s">
        <v>21156</v>
      </c>
      <c r="ECH1" t="s">
        <v>21157</v>
      </c>
      <c r="ECI1" t="s">
        <v>21158</v>
      </c>
      <c r="ECJ1" t="s">
        <v>21159</v>
      </c>
      <c r="ECK1" t="s">
        <v>21160</v>
      </c>
      <c r="ECL1" t="s">
        <v>21161</v>
      </c>
      <c r="ECM1" t="s">
        <v>21162</v>
      </c>
      <c r="ECN1" t="s">
        <v>21163</v>
      </c>
      <c r="ECO1" t="s">
        <v>21164</v>
      </c>
      <c r="ECP1" t="s">
        <v>21165</v>
      </c>
      <c r="ECQ1" t="s">
        <v>21166</v>
      </c>
      <c r="ECR1" t="s">
        <v>21167</v>
      </c>
      <c r="ECS1" t="s">
        <v>21168</v>
      </c>
      <c r="ECT1" t="s">
        <v>21169</v>
      </c>
      <c r="ECU1" t="s">
        <v>21170</v>
      </c>
      <c r="ECV1" t="s">
        <v>21171</v>
      </c>
      <c r="ECW1" t="s">
        <v>21172</v>
      </c>
      <c r="ECX1" t="s">
        <v>21173</v>
      </c>
      <c r="ECY1" t="s">
        <v>21174</v>
      </c>
      <c r="ECZ1" t="s">
        <v>21175</v>
      </c>
      <c r="EDA1" t="s">
        <v>21176</v>
      </c>
      <c r="EDB1" t="s">
        <v>21177</v>
      </c>
      <c r="EDC1" t="s">
        <v>21178</v>
      </c>
      <c r="EDD1" t="s">
        <v>21179</v>
      </c>
      <c r="EDE1" t="s">
        <v>21180</v>
      </c>
      <c r="EDF1" t="s">
        <v>21181</v>
      </c>
      <c r="EDG1" t="s">
        <v>21182</v>
      </c>
      <c r="EDH1" t="s">
        <v>21183</v>
      </c>
      <c r="EDI1" t="s">
        <v>21184</v>
      </c>
      <c r="EDJ1" t="s">
        <v>21185</v>
      </c>
      <c r="EDK1" t="s">
        <v>21186</v>
      </c>
      <c r="EDL1" t="s">
        <v>21187</v>
      </c>
      <c r="EDM1" t="s">
        <v>21188</v>
      </c>
      <c r="EDN1" t="s">
        <v>21189</v>
      </c>
      <c r="EDO1" t="s">
        <v>21190</v>
      </c>
      <c r="EDP1" t="s">
        <v>21191</v>
      </c>
      <c r="EDQ1" t="s">
        <v>21192</v>
      </c>
      <c r="EDR1" t="s">
        <v>21193</v>
      </c>
      <c r="EDS1" t="s">
        <v>21194</v>
      </c>
      <c r="EDT1" t="s">
        <v>21195</v>
      </c>
      <c r="EDU1" t="s">
        <v>21196</v>
      </c>
      <c r="EDV1" t="s">
        <v>21197</v>
      </c>
      <c r="EDW1" t="s">
        <v>21198</v>
      </c>
      <c r="EDX1" t="s">
        <v>21199</v>
      </c>
      <c r="EDY1" t="s">
        <v>21200</v>
      </c>
      <c r="EDZ1" t="s">
        <v>21201</v>
      </c>
      <c r="EEA1" t="s">
        <v>21202</v>
      </c>
      <c r="EEB1" t="s">
        <v>21203</v>
      </c>
      <c r="EEC1" t="s">
        <v>21204</v>
      </c>
      <c r="EED1" t="s">
        <v>21205</v>
      </c>
      <c r="EEE1" t="s">
        <v>21206</v>
      </c>
      <c r="EEF1" t="s">
        <v>21207</v>
      </c>
      <c r="EEG1" t="s">
        <v>21208</v>
      </c>
      <c r="EEH1" t="s">
        <v>21209</v>
      </c>
      <c r="EEI1" t="s">
        <v>21210</v>
      </c>
      <c r="EEJ1" t="s">
        <v>21211</v>
      </c>
      <c r="EEK1" t="s">
        <v>21212</v>
      </c>
      <c r="EEL1" t="s">
        <v>21213</v>
      </c>
      <c r="EEM1" t="s">
        <v>21214</v>
      </c>
      <c r="EEN1" t="s">
        <v>21215</v>
      </c>
      <c r="EEO1" t="s">
        <v>21216</v>
      </c>
      <c r="EEP1" t="s">
        <v>21217</v>
      </c>
      <c r="EEQ1" t="s">
        <v>21218</v>
      </c>
      <c r="EER1" t="s">
        <v>21219</v>
      </c>
      <c r="EES1" t="s">
        <v>21220</v>
      </c>
      <c r="EET1" t="s">
        <v>21221</v>
      </c>
      <c r="EEU1" t="s">
        <v>21222</v>
      </c>
      <c r="EEV1" t="s">
        <v>21223</v>
      </c>
      <c r="EEW1" t="s">
        <v>21224</v>
      </c>
      <c r="EEX1" t="s">
        <v>21225</v>
      </c>
      <c r="EEY1" t="s">
        <v>21226</v>
      </c>
      <c r="EEZ1" t="s">
        <v>21227</v>
      </c>
      <c r="EFA1" t="s">
        <v>21228</v>
      </c>
      <c r="EFB1" t="s">
        <v>21229</v>
      </c>
      <c r="EFC1" t="s">
        <v>21230</v>
      </c>
      <c r="EFD1" t="s">
        <v>21231</v>
      </c>
      <c r="EFE1" t="s">
        <v>21232</v>
      </c>
      <c r="EFF1" t="s">
        <v>21233</v>
      </c>
      <c r="EFG1" t="s">
        <v>21234</v>
      </c>
      <c r="EFH1" t="s">
        <v>21235</v>
      </c>
      <c r="EFI1" t="s">
        <v>21236</v>
      </c>
      <c r="EFJ1" t="s">
        <v>21237</v>
      </c>
      <c r="EFK1" t="s">
        <v>21238</v>
      </c>
      <c r="EFL1" t="s">
        <v>21239</v>
      </c>
      <c r="EFM1" t="s">
        <v>21240</v>
      </c>
      <c r="EFN1" t="s">
        <v>21241</v>
      </c>
      <c r="EFO1" t="s">
        <v>21242</v>
      </c>
      <c r="EFP1" t="s">
        <v>21243</v>
      </c>
      <c r="EFQ1" t="s">
        <v>21244</v>
      </c>
      <c r="EFR1" t="s">
        <v>21245</v>
      </c>
      <c r="EFS1" t="s">
        <v>21246</v>
      </c>
      <c r="EFT1" t="s">
        <v>21247</v>
      </c>
      <c r="EFU1" t="s">
        <v>21248</v>
      </c>
      <c r="EFV1" t="s">
        <v>21249</v>
      </c>
      <c r="EFW1" t="s">
        <v>21250</v>
      </c>
      <c r="EFX1" t="s">
        <v>21251</v>
      </c>
      <c r="EFY1" t="s">
        <v>21252</v>
      </c>
      <c r="EFZ1" t="s">
        <v>21253</v>
      </c>
      <c r="EGA1" t="s">
        <v>21254</v>
      </c>
      <c r="EGB1" t="s">
        <v>21255</v>
      </c>
      <c r="EGC1" t="s">
        <v>21256</v>
      </c>
      <c r="EGD1" t="s">
        <v>21257</v>
      </c>
      <c r="EGE1" t="s">
        <v>21258</v>
      </c>
      <c r="EGF1" t="s">
        <v>21259</v>
      </c>
      <c r="EGG1" t="s">
        <v>21260</v>
      </c>
      <c r="EGH1" t="s">
        <v>21261</v>
      </c>
      <c r="EGI1" t="s">
        <v>21262</v>
      </c>
      <c r="EGJ1" t="s">
        <v>21263</v>
      </c>
      <c r="EGK1" t="s">
        <v>21264</v>
      </c>
      <c r="EGL1" t="s">
        <v>21265</v>
      </c>
      <c r="EGM1" t="s">
        <v>21266</v>
      </c>
      <c r="EGN1" t="s">
        <v>21267</v>
      </c>
      <c r="EGO1" t="s">
        <v>21268</v>
      </c>
      <c r="EGP1" t="s">
        <v>21269</v>
      </c>
      <c r="EGQ1" t="s">
        <v>21270</v>
      </c>
      <c r="EGR1" t="s">
        <v>21271</v>
      </c>
      <c r="EGS1" t="s">
        <v>21272</v>
      </c>
      <c r="EGT1" t="s">
        <v>21273</v>
      </c>
      <c r="EGU1" t="s">
        <v>21274</v>
      </c>
      <c r="EGV1" t="s">
        <v>21275</v>
      </c>
      <c r="EGW1" t="s">
        <v>21276</v>
      </c>
      <c r="EGX1" t="s">
        <v>21277</v>
      </c>
      <c r="EGY1" t="s">
        <v>21278</v>
      </c>
      <c r="EGZ1" t="s">
        <v>21279</v>
      </c>
      <c r="EHA1" t="s">
        <v>21280</v>
      </c>
      <c r="EHB1" t="s">
        <v>21281</v>
      </c>
      <c r="EHC1" t="s">
        <v>21282</v>
      </c>
      <c r="EHD1" t="s">
        <v>21283</v>
      </c>
      <c r="EHE1" t="s">
        <v>21284</v>
      </c>
      <c r="EHF1" t="s">
        <v>21285</v>
      </c>
      <c r="EHG1" t="s">
        <v>21286</v>
      </c>
      <c r="EHH1" t="s">
        <v>21287</v>
      </c>
      <c r="EHI1" t="s">
        <v>21288</v>
      </c>
      <c r="EHJ1" t="s">
        <v>21289</v>
      </c>
      <c r="EHK1" t="s">
        <v>21290</v>
      </c>
      <c r="EHL1" t="s">
        <v>21291</v>
      </c>
      <c r="EHM1" t="s">
        <v>21292</v>
      </c>
      <c r="EHN1" t="s">
        <v>21293</v>
      </c>
      <c r="EHO1" t="s">
        <v>21294</v>
      </c>
      <c r="EHP1" t="s">
        <v>21295</v>
      </c>
      <c r="EHQ1" t="s">
        <v>21296</v>
      </c>
      <c r="EHR1" t="s">
        <v>21297</v>
      </c>
      <c r="EHS1" t="s">
        <v>21298</v>
      </c>
      <c r="EHT1" t="s">
        <v>21299</v>
      </c>
      <c r="EHU1" t="s">
        <v>21300</v>
      </c>
      <c r="EHV1" t="s">
        <v>21301</v>
      </c>
      <c r="EHW1" t="s">
        <v>21302</v>
      </c>
      <c r="EHX1" t="s">
        <v>21303</v>
      </c>
      <c r="EHY1" t="s">
        <v>21304</v>
      </c>
      <c r="EHZ1" t="s">
        <v>21305</v>
      </c>
      <c r="EIA1" t="s">
        <v>21306</v>
      </c>
      <c r="EIB1" t="s">
        <v>21307</v>
      </c>
      <c r="EIC1" t="s">
        <v>21308</v>
      </c>
      <c r="EID1" t="s">
        <v>21309</v>
      </c>
      <c r="EIE1" t="s">
        <v>21310</v>
      </c>
      <c r="EIF1" t="s">
        <v>21311</v>
      </c>
      <c r="EIG1" t="s">
        <v>21312</v>
      </c>
      <c r="EIH1" t="s">
        <v>21313</v>
      </c>
      <c r="EII1" t="s">
        <v>21314</v>
      </c>
      <c r="EIJ1" t="s">
        <v>21315</v>
      </c>
      <c r="EIK1" t="s">
        <v>21316</v>
      </c>
      <c r="EIL1" t="s">
        <v>21317</v>
      </c>
      <c r="EIM1" t="s">
        <v>21318</v>
      </c>
      <c r="EIN1" t="s">
        <v>21319</v>
      </c>
      <c r="EIO1" t="s">
        <v>21320</v>
      </c>
      <c r="EIP1" t="s">
        <v>21321</v>
      </c>
      <c r="EIQ1" t="s">
        <v>21322</v>
      </c>
      <c r="EIR1" t="s">
        <v>21323</v>
      </c>
      <c r="EIS1" t="s">
        <v>21324</v>
      </c>
      <c r="EIT1" t="s">
        <v>21325</v>
      </c>
      <c r="EIU1" t="s">
        <v>21326</v>
      </c>
      <c r="EIV1" t="s">
        <v>21327</v>
      </c>
      <c r="EIW1" t="s">
        <v>21328</v>
      </c>
      <c r="EIX1" t="s">
        <v>21329</v>
      </c>
      <c r="EIY1" t="s">
        <v>21330</v>
      </c>
      <c r="EIZ1" t="s">
        <v>21331</v>
      </c>
      <c r="EJA1" t="s">
        <v>21332</v>
      </c>
      <c r="EJB1" t="s">
        <v>21333</v>
      </c>
      <c r="EJC1" t="s">
        <v>21334</v>
      </c>
      <c r="EJD1" t="s">
        <v>21335</v>
      </c>
      <c r="EJE1" t="s">
        <v>21336</v>
      </c>
      <c r="EJF1" t="s">
        <v>21337</v>
      </c>
      <c r="EJG1" t="s">
        <v>21338</v>
      </c>
      <c r="EJH1" t="s">
        <v>21339</v>
      </c>
      <c r="EJI1" t="s">
        <v>21340</v>
      </c>
      <c r="EJJ1" t="s">
        <v>21341</v>
      </c>
      <c r="EJK1" t="s">
        <v>21342</v>
      </c>
      <c r="EJL1" t="s">
        <v>21343</v>
      </c>
      <c r="EJM1" t="s">
        <v>21344</v>
      </c>
      <c r="EJN1" t="s">
        <v>21345</v>
      </c>
      <c r="EJO1" t="s">
        <v>21346</v>
      </c>
      <c r="EJP1" t="s">
        <v>21347</v>
      </c>
      <c r="EJQ1" t="s">
        <v>21348</v>
      </c>
      <c r="EJR1" t="s">
        <v>21349</v>
      </c>
      <c r="EJS1" t="s">
        <v>21350</v>
      </c>
      <c r="EJT1" t="s">
        <v>21351</v>
      </c>
      <c r="EJU1" t="s">
        <v>21352</v>
      </c>
      <c r="EJV1" t="s">
        <v>21353</v>
      </c>
      <c r="EJW1" t="s">
        <v>21354</v>
      </c>
      <c r="EJX1" t="s">
        <v>21355</v>
      </c>
      <c r="EJY1" t="s">
        <v>21356</v>
      </c>
      <c r="EJZ1" t="s">
        <v>21357</v>
      </c>
      <c r="EKA1" t="s">
        <v>21358</v>
      </c>
      <c r="EKB1" t="s">
        <v>21359</v>
      </c>
      <c r="EKC1" t="s">
        <v>21360</v>
      </c>
      <c r="EKD1" t="s">
        <v>21361</v>
      </c>
      <c r="EKE1" t="s">
        <v>21362</v>
      </c>
      <c r="EKF1" t="s">
        <v>21363</v>
      </c>
      <c r="EKG1" t="s">
        <v>21364</v>
      </c>
      <c r="EKH1" t="s">
        <v>21365</v>
      </c>
      <c r="EKI1" t="s">
        <v>21366</v>
      </c>
      <c r="EKJ1" t="s">
        <v>21367</v>
      </c>
      <c r="EKK1" t="s">
        <v>21368</v>
      </c>
      <c r="EKL1" t="s">
        <v>21369</v>
      </c>
      <c r="EKM1" t="s">
        <v>21370</v>
      </c>
      <c r="EKN1" t="s">
        <v>21371</v>
      </c>
      <c r="EKO1" t="s">
        <v>21372</v>
      </c>
      <c r="EKP1" t="s">
        <v>21373</v>
      </c>
      <c r="EKQ1" t="s">
        <v>21374</v>
      </c>
      <c r="EKR1" t="s">
        <v>21375</v>
      </c>
      <c r="EKS1" t="s">
        <v>21376</v>
      </c>
      <c r="EKT1" t="s">
        <v>21377</v>
      </c>
      <c r="EKU1" t="s">
        <v>21378</v>
      </c>
      <c r="EKV1" t="s">
        <v>21379</v>
      </c>
      <c r="EKW1" t="s">
        <v>21380</v>
      </c>
      <c r="EKX1" t="s">
        <v>21381</v>
      </c>
      <c r="EKY1" t="s">
        <v>21382</v>
      </c>
      <c r="EKZ1" t="s">
        <v>21383</v>
      </c>
      <c r="ELA1" t="s">
        <v>21384</v>
      </c>
      <c r="ELB1" t="s">
        <v>21385</v>
      </c>
      <c r="ELC1" t="s">
        <v>21386</v>
      </c>
      <c r="ELD1" t="s">
        <v>21387</v>
      </c>
      <c r="ELE1" t="s">
        <v>21388</v>
      </c>
      <c r="ELF1" t="s">
        <v>21389</v>
      </c>
      <c r="ELG1" t="s">
        <v>21390</v>
      </c>
      <c r="ELH1" t="s">
        <v>21391</v>
      </c>
      <c r="ELI1" t="s">
        <v>21392</v>
      </c>
      <c r="ELJ1" t="s">
        <v>21393</v>
      </c>
      <c r="ELK1" t="s">
        <v>21394</v>
      </c>
      <c r="ELL1" t="s">
        <v>21395</v>
      </c>
      <c r="ELM1" t="s">
        <v>21396</v>
      </c>
      <c r="ELN1" t="s">
        <v>21397</v>
      </c>
      <c r="ELO1" t="s">
        <v>21398</v>
      </c>
      <c r="ELP1" t="s">
        <v>21399</v>
      </c>
      <c r="ELQ1" t="s">
        <v>21400</v>
      </c>
      <c r="ELR1" t="s">
        <v>21401</v>
      </c>
      <c r="ELS1" t="s">
        <v>21402</v>
      </c>
      <c r="ELT1" t="s">
        <v>21403</v>
      </c>
      <c r="ELU1" t="s">
        <v>21404</v>
      </c>
      <c r="ELV1" t="s">
        <v>21405</v>
      </c>
      <c r="ELW1" t="s">
        <v>21406</v>
      </c>
      <c r="ELX1" t="s">
        <v>21407</v>
      </c>
      <c r="ELY1" t="s">
        <v>21408</v>
      </c>
      <c r="ELZ1" t="s">
        <v>21409</v>
      </c>
      <c r="EMA1" t="s">
        <v>21410</v>
      </c>
      <c r="EMB1" t="s">
        <v>21411</v>
      </c>
      <c r="EMC1" t="s">
        <v>21412</v>
      </c>
      <c r="EMD1" t="s">
        <v>21413</v>
      </c>
      <c r="EME1" t="s">
        <v>21414</v>
      </c>
      <c r="EMF1" t="s">
        <v>21415</v>
      </c>
      <c r="EMG1" t="s">
        <v>21416</v>
      </c>
      <c r="EMH1" t="s">
        <v>21417</v>
      </c>
      <c r="EMI1" t="s">
        <v>21418</v>
      </c>
      <c r="EMJ1" t="s">
        <v>21419</v>
      </c>
      <c r="EMK1" t="s">
        <v>21420</v>
      </c>
      <c r="EML1" t="s">
        <v>21421</v>
      </c>
      <c r="EMM1" t="s">
        <v>21422</v>
      </c>
      <c r="EMN1" t="s">
        <v>21423</v>
      </c>
      <c r="EMO1" t="s">
        <v>21424</v>
      </c>
      <c r="EMP1" t="s">
        <v>21425</v>
      </c>
      <c r="EMQ1" t="s">
        <v>21426</v>
      </c>
      <c r="EMR1" t="s">
        <v>21427</v>
      </c>
      <c r="EMS1" t="s">
        <v>21428</v>
      </c>
      <c r="EMT1" t="s">
        <v>21429</v>
      </c>
      <c r="EMU1" t="s">
        <v>21430</v>
      </c>
      <c r="EMV1" t="s">
        <v>21431</v>
      </c>
      <c r="EMW1" t="s">
        <v>21432</v>
      </c>
      <c r="EMX1" t="s">
        <v>21433</v>
      </c>
      <c r="EMY1" t="s">
        <v>21434</v>
      </c>
      <c r="EMZ1" t="s">
        <v>21435</v>
      </c>
      <c r="ENA1" t="s">
        <v>21436</v>
      </c>
      <c r="ENB1" t="s">
        <v>21437</v>
      </c>
      <c r="ENC1" t="s">
        <v>21438</v>
      </c>
      <c r="END1" t="s">
        <v>21439</v>
      </c>
      <c r="ENE1" t="s">
        <v>21440</v>
      </c>
      <c r="ENF1" t="s">
        <v>21441</v>
      </c>
      <c r="ENG1" t="s">
        <v>21442</v>
      </c>
      <c r="ENH1" t="s">
        <v>21443</v>
      </c>
      <c r="ENI1" t="s">
        <v>21444</v>
      </c>
      <c r="ENJ1" t="s">
        <v>21445</v>
      </c>
      <c r="ENK1" t="s">
        <v>21446</v>
      </c>
      <c r="ENL1" t="s">
        <v>21447</v>
      </c>
      <c r="ENM1" t="s">
        <v>21448</v>
      </c>
      <c r="ENN1" t="s">
        <v>21449</v>
      </c>
      <c r="ENO1" t="s">
        <v>21450</v>
      </c>
      <c r="ENP1" t="s">
        <v>21451</v>
      </c>
      <c r="ENQ1" t="s">
        <v>21452</v>
      </c>
      <c r="ENR1" t="s">
        <v>21453</v>
      </c>
      <c r="ENS1" t="s">
        <v>21454</v>
      </c>
      <c r="ENT1" t="s">
        <v>21455</v>
      </c>
      <c r="ENU1" t="s">
        <v>21456</v>
      </c>
      <c r="ENV1" t="s">
        <v>21457</v>
      </c>
      <c r="ENW1" t="s">
        <v>21458</v>
      </c>
      <c r="ENX1" t="s">
        <v>21459</v>
      </c>
      <c r="ENY1" t="s">
        <v>21460</v>
      </c>
      <c r="ENZ1" t="s">
        <v>21461</v>
      </c>
      <c r="EOA1" t="s">
        <v>21462</v>
      </c>
      <c r="EOB1" t="s">
        <v>21463</v>
      </c>
      <c r="EOC1" t="s">
        <v>21464</v>
      </c>
      <c r="EOD1" t="s">
        <v>21465</v>
      </c>
      <c r="EOE1" t="s">
        <v>21466</v>
      </c>
      <c r="EOF1" t="s">
        <v>21467</v>
      </c>
      <c r="EOG1" t="s">
        <v>21468</v>
      </c>
      <c r="EOH1" t="s">
        <v>21469</v>
      </c>
      <c r="EOI1" t="s">
        <v>21470</v>
      </c>
      <c r="EOJ1" t="s">
        <v>21471</v>
      </c>
      <c r="EOK1" t="s">
        <v>21472</v>
      </c>
      <c r="EOL1" t="s">
        <v>21473</v>
      </c>
      <c r="EOM1" t="s">
        <v>21474</v>
      </c>
      <c r="EON1" t="s">
        <v>21475</v>
      </c>
      <c r="EOO1" t="s">
        <v>21476</v>
      </c>
      <c r="EOP1" t="s">
        <v>21477</v>
      </c>
      <c r="EOQ1" t="s">
        <v>21478</v>
      </c>
      <c r="EOR1" t="s">
        <v>21479</v>
      </c>
      <c r="EOS1" t="s">
        <v>21480</v>
      </c>
      <c r="EOT1" t="s">
        <v>21481</v>
      </c>
      <c r="EOU1" t="s">
        <v>21482</v>
      </c>
      <c r="EOV1" t="s">
        <v>21483</v>
      </c>
      <c r="EOW1" t="s">
        <v>21484</v>
      </c>
      <c r="EOX1" t="s">
        <v>21485</v>
      </c>
      <c r="EOY1" t="s">
        <v>21486</v>
      </c>
      <c r="EOZ1" t="s">
        <v>21487</v>
      </c>
      <c r="EPA1" t="s">
        <v>21488</v>
      </c>
      <c r="EPB1" t="s">
        <v>21489</v>
      </c>
      <c r="EPC1" t="s">
        <v>21490</v>
      </c>
      <c r="EPD1" t="s">
        <v>21491</v>
      </c>
      <c r="EPE1" t="s">
        <v>21492</v>
      </c>
      <c r="EPF1" t="s">
        <v>21493</v>
      </c>
      <c r="EPG1" t="s">
        <v>21494</v>
      </c>
      <c r="EPH1" t="s">
        <v>21495</v>
      </c>
      <c r="EPI1" t="s">
        <v>21496</v>
      </c>
      <c r="EPJ1" t="s">
        <v>21497</v>
      </c>
      <c r="EPK1" t="s">
        <v>21498</v>
      </c>
      <c r="EPL1" t="s">
        <v>21499</v>
      </c>
      <c r="EPM1" t="s">
        <v>21500</v>
      </c>
      <c r="EPN1" t="s">
        <v>21501</v>
      </c>
      <c r="EPO1" t="s">
        <v>21502</v>
      </c>
      <c r="EPP1" t="s">
        <v>21503</v>
      </c>
      <c r="EPQ1" t="s">
        <v>21504</v>
      </c>
      <c r="EPR1" t="s">
        <v>21505</v>
      </c>
      <c r="EPS1" t="s">
        <v>21506</v>
      </c>
      <c r="EPT1" t="s">
        <v>21507</v>
      </c>
      <c r="EPU1" t="s">
        <v>21508</v>
      </c>
      <c r="EPV1" t="s">
        <v>21509</v>
      </c>
      <c r="EPW1" t="s">
        <v>21510</v>
      </c>
      <c r="EPX1" t="s">
        <v>21511</v>
      </c>
      <c r="EPY1" t="s">
        <v>21512</v>
      </c>
      <c r="EPZ1" t="s">
        <v>21513</v>
      </c>
      <c r="EQA1" t="s">
        <v>21514</v>
      </c>
      <c r="EQB1" t="s">
        <v>21515</v>
      </c>
      <c r="EQC1" t="s">
        <v>21516</v>
      </c>
      <c r="EQD1" t="s">
        <v>21517</v>
      </c>
      <c r="EQE1" t="s">
        <v>21518</v>
      </c>
      <c r="EQF1" t="s">
        <v>21519</v>
      </c>
      <c r="EQG1" t="s">
        <v>21520</v>
      </c>
      <c r="EQH1" t="s">
        <v>21521</v>
      </c>
      <c r="EQI1" t="s">
        <v>21522</v>
      </c>
      <c r="EQJ1" t="s">
        <v>21523</v>
      </c>
      <c r="EQK1" t="s">
        <v>21524</v>
      </c>
      <c r="EQL1" t="s">
        <v>21525</v>
      </c>
      <c r="EQM1" t="s">
        <v>21526</v>
      </c>
      <c r="EQN1" t="s">
        <v>21527</v>
      </c>
      <c r="EQO1" t="s">
        <v>21528</v>
      </c>
      <c r="EQP1" t="s">
        <v>21529</v>
      </c>
      <c r="EQQ1" t="s">
        <v>21530</v>
      </c>
      <c r="EQR1" t="s">
        <v>21531</v>
      </c>
      <c r="EQS1" t="s">
        <v>21532</v>
      </c>
      <c r="EQT1" t="s">
        <v>21533</v>
      </c>
      <c r="EQU1" t="s">
        <v>21534</v>
      </c>
      <c r="EQV1" t="s">
        <v>21535</v>
      </c>
      <c r="EQW1" t="s">
        <v>21536</v>
      </c>
      <c r="EQX1" t="s">
        <v>21537</v>
      </c>
      <c r="EQY1" t="s">
        <v>21538</v>
      </c>
      <c r="EQZ1" t="s">
        <v>21539</v>
      </c>
      <c r="ERA1" t="s">
        <v>21540</v>
      </c>
      <c r="ERB1" t="s">
        <v>21541</v>
      </c>
      <c r="ERC1" t="s">
        <v>21542</v>
      </c>
      <c r="ERD1" t="s">
        <v>21543</v>
      </c>
      <c r="ERE1" t="s">
        <v>21544</v>
      </c>
      <c r="ERF1" t="s">
        <v>21545</v>
      </c>
      <c r="ERG1" t="s">
        <v>21546</v>
      </c>
      <c r="ERH1" t="s">
        <v>21547</v>
      </c>
      <c r="ERI1" t="s">
        <v>21548</v>
      </c>
      <c r="ERJ1" t="s">
        <v>21549</v>
      </c>
      <c r="ERK1" t="s">
        <v>21550</v>
      </c>
      <c r="ERL1" t="s">
        <v>21551</v>
      </c>
      <c r="ERM1" t="s">
        <v>21552</v>
      </c>
      <c r="ERN1" t="s">
        <v>21553</v>
      </c>
      <c r="ERO1" t="s">
        <v>21554</v>
      </c>
      <c r="ERP1" t="s">
        <v>21555</v>
      </c>
      <c r="ERQ1" t="s">
        <v>21556</v>
      </c>
      <c r="ERR1" t="s">
        <v>21557</v>
      </c>
      <c r="ERS1" t="s">
        <v>21558</v>
      </c>
      <c r="ERT1" t="s">
        <v>21559</v>
      </c>
      <c r="ERU1" t="s">
        <v>21560</v>
      </c>
      <c r="ERV1" t="s">
        <v>21561</v>
      </c>
      <c r="ERW1" t="s">
        <v>21562</v>
      </c>
      <c r="ERX1" t="s">
        <v>21563</v>
      </c>
      <c r="ERY1" t="s">
        <v>21564</v>
      </c>
      <c r="ERZ1" t="s">
        <v>21565</v>
      </c>
      <c r="ESA1" t="s">
        <v>21566</v>
      </c>
      <c r="ESB1" t="s">
        <v>21567</v>
      </c>
      <c r="ESC1" t="s">
        <v>21568</v>
      </c>
      <c r="ESD1" t="s">
        <v>21569</v>
      </c>
      <c r="ESE1" t="s">
        <v>21570</v>
      </c>
      <c r="ESF1" t="s">
        <v>21571</v>
      </c>
      <c r="ESG1" t="s">
        <v>21572</v>
      </c>
      <c r="ESH1" t="s">
        <v>21573</v>
      </c>
      <c r="ESI1" t="s">
        <v>21574</v>
      </c>
      <c r="ESJ1" t="s">
        <v>21575</v>
      </c>
      <c r="ESK1" t="s">
        <v>21576</v>
      </c>
      <c r="ESL1" t="s">
        <v>21577</v>
      </c>
      <c r="ESM1" t="s">
        <v>21578</v>
      </c>
      <c r="ESN1" t="s">
        <v>21579</v>
      </c>
      <c r="ESO1" t="s">
        <v>21580</v>
      </c>
      <c r="ESP1" t="s">
        <v>21581</v>
      </c>
      <c r="ESQ1" t="s">
        <v>21582</v>
      </c>
      <c r="ESR1" t="s">
        <v>21583</v>
      </c>
      <c r="ESS1" t="s">
        <v>21584</v>
      </c>
      <c r="EST1" t="s">
        <v>21585</v>
      </c>
      <c r="ESU1" t="s">
        <v>21586</v>
      </c>
      <c r="ESV1" t="s">
        <v>21587</v>
      </c>
      <c r="ESW1" t="s">
        <v>21588</v>
      </c>
      <c r="ESX1" t="s">
        <v>21589</v>
      </c>
      <c r="ESY1" t="s">
        <v>21590</v>
      </c>
      <c r="ESZ1" t="s">
        <v>21591</v>
      </c>
      <c r="ETA1" t="s">
        <v>21592</v>
      </c>
      <c r="ETB1" t="s">
        <v>21593</v>
      </c>
      <c r="ETC1" t="s">
        <v>21594</v>
      </c>
      <c r="ETD1" t="s">
        <v>21595</v>
      </c>
      <c r="ETE1" t="s">
        <v>21596</v>
      </c>
      <c r="ETF1" t="s">
        <v>21597</v>
      </c>
      <c r="ETG1" t="s">
        <v>21598</v>
      </c>
      <c r="ETH1" t="s">
        <v>21599</v>
      </c>
      <c r="ETI1" t="s">
        <v>21600</v>
      </c>
      <c r="ETJ1" t="s">
        <v>21601</v>
      </c>
      <c r="ETK1" t="s">
        <v>21602</v>
      </c>
      <c r="ETL1" t="s">
        <v>21603</v>
      </c>
      <c r="ETM1" t="s">
        <v>21604</v>
      </c>
      <c r="ETN1" t="s">
        <v>21605</v>
      </c>
      <c r="ETO1" t="s">
        <v>21606</v>
      </c>
      <c r="ETP1" t="s">
        <v>21607</v>
      </c>
      <c r="ETQ1" t="s">
        <v>21608</v>
      </c>
      <c r="ETR1" t="s">
        <v>21609</v>
      </c>
      <c r="ETS1" t="s">
        <v>21610</v>
      </c>
      <c r="ETT1" t="s">
        <v>21611</v>
      </c>
      <c r="ETU1" t="s">
        <v>21612</v>
      </c>
      <c r="ETV1" t="s">
        <v>21613</v>
      </c>
      <c r="ETW1" t="s">
        <v>21614</v>
      </c>
      <c r="ETX1" t="s">
        <v>21615</v>
      </c>
      <c r="ETY1" t="s">
        <v>21616</v>
      </c>
      <c r="ETZ1" t="s">
        <v>21617</v>
      </c>
      <c r="EUA1" t="s">
        <v>21618</v>
      </c>
      <c r="EUB1" t="s">
        <v>21619</v>
      </c>
      <c r="EUC1" t="s">
        <v>21620</v>
      </c>
      <c r="EUD1" t="s">
        <v>21621</v>
      </c>
      <c r="EUE1" t="s">
        <v>21622</v>
      </c>
      <c r="EUF1" t="s">
        <v>21623</v>
      </c>
      <c r="EUG1" t="s">
        <v>21624</v>
      </c>
      <c r="EUH1" t="s">
        <v>21625</v>
      </c>
      <c r="EUI1" t="s">
        <v>21626</v>
      </c>
      <c r="EUJ1" t="s">
        <v>21627</v>
      </c>
      <c r="EUK1" t="s">
        <v>21628</v>
      </c>
      <c r="EUL1" t="s">
        <v>21629</v>
      </c>
      <c r="EUM1" t="s">
        <v>21630</v>
      </c>
      <c r="EUN1" t="s">
        <v>21631</v>
      </c>
      <c r="EUO1" t="s">
        <v>21632</v>
      </c>
      <c r="EUP1" t="s">
        <v>21633</v>
      </c>
      <c r="EUQ1" t="s">
        <v>21634</v>
      </c>
      <c r="EUR1" t="s">
        <v>21635</v>
      </c>
      <c r="EUS1" t="s">
        <v>21636</v>
      </c>
      <c r="EUT1" t="s">
        <v>21637</v>
      </c>
      <c r="EUU1" t="s">
        <v>21638</v>
      </c>
      <c r="EUV1" t="s">
        <v>21639</v>
      </c>
      <c r="EUW1" t="s">
        <v>21640</v>
      </c>
      <c r="EUX1" t="s">
        <v>21641</v>
      </c>
      <c r="EUY1" t="s">
        <v>21642</v>
      </c>
      <c r="EUZ1" t="s">
        <v>21643</v>
      </c>
      <c r="EVA1" t="s">
        <v>21644</v>
      </c>
      <c r="EVB1" t="s">
        <v>21645</v>
      </c>
      <c r="EVC1" t="s">
        <v>21646</v>
      </c>
      <c r="EVD1" t="s">
        <v>21647</v>
      </c>
      <c r="EVE1" t="s">
        <v>21648</v>
      </c>
      <c r="EVF1" t="s">
        <v>21649</v>
      </c>
      <c r="EVG1" t="s">
        <v>21650</v>
      </c>
      <c r="EVH1" t="s">
        <v>21651</v>
      </c>
      <c r="EVI1" t="s">
        <v>21652</v>
      </c>
      <c r="EVJ1" t="s">
        <v>21653</v>
      </c>
      <c r="EVK1" t="s">
        <v>21654</v>
      </c>
      <c r="EVL1" t="s">
        <v>21655</v>
      </c>
      <c r="EVM1" t="s">
        <v>21656</v>
      </c>
      <c r="EVN1" t="s">
        <v>21657</v>
      </c>
      <c r="EVO1" t="s">
        <v>21658</v>
      </c>
      <c r="EVP1" t="s">
        <v>21659</v>
      </c>
      <c r="EVQ1" t="s">
        <v>21660</v>
      </c>
      <c r="EVR1" t="s">
        <v>21661</v>
      </c>
      <c r="EVS1" t="s">
        <v>21662</v>
      </c>
      <c r="EVT1" t="s">
        <v>21663</v>
      </c>
      <c r="EVU1" t="s">
        <v>21664</v>
      </c>
      <c r="EVV1" t="s">
        <v>21665</v>
      </c>
      <c r="EVW1" t="s">
        <v>21666</v>
      </c>
      <c r="EVX1" t="s">
        <v>21667</v>
      </c>
      <c r="EVY1" t="s">
        <v>21668</v>
      </c>
      <c r="EVZ1" t="s">
        <v>21669</v>
      </c>
      <c r="EWA1" t="s">
        <v>21670</v>
      </c>
      <c r="EWB1" t="s">
        <v>21671</v>
      </c>
      <c r="EWC1" t="s">
        <v>21672</v>
      </c>
      <c r="EWD1" t="s">
        <v>21673</v>
      </c>
      <c r="EWE1" t="s">
        <v>21674</v>
      </c>
      <c r="EWF1" t="s">
        <v>21675</v>
      </c>
      <c r="EWG1" t="s">
        <v>21676</v>
      </c>
      <c r="EWH1" t="s">
        <v>21677</v>
      </c>
      <c r="EWI1" t="s">
        <v>21678</v>
      </c>
      <c r="EWJ1" t="s">
        <v>21679</v>
      </c>
      <c r="EWK1" t="s">
        <v>21680</v>
      </c>
      <c r="EWL1" t="s">
        <v>21681</v>
      </c>
      <c r="EWM1" t="s">
        <v>21682</v>
      </c>
      <c r="EWN1" t="s">
        <v>21683</v>
      </c>
      <c r="EWO1" t="s">
        <v>21684</v>
      </c>
      <c r="EWP1" t="s">
        <v>21685</v>
      </c>
      <c r="EWQ1" t="s">
        <v>21686</v>
      </c>
      <c r="EWR1" t="s">
        <v>21687</v>
      </c>
      <c r="EWS1" t="s">
        <v>21688</v>
      </c>
      <c r="EWT1" t="s">
        <v>21689</v>
      </c>
      <c r="EWU1" t="s">
        <v>21690</v>
      </c>
      <c r="EWV1" t="s">
        <v>21691</v>
      </c>
      <c r="EWW1" t="s">
        <v>21692</v>
      </c>
      <c r="EWX1" t="s">
        <v>21693</v>
      </c>
      <c r="EWY1" t="s">
        <v>21694</v>
      </c>
      <c r="EWZ1" t="s">
        <v>21695</v>
      </c>
      <c r="EXA1" t="s">
        <v>21696</v>
      </c>
      <c r="EXB1" t="s">
        <v>21697</v>
      </c>
      <c r="EXC1" t="s">
        <v>21698</v>
      </c>
      <c r="EXD1" t="s">
        <v>21699</v>
      </c>
      <c r="EXE1" t="s">
        <v>21700</v>
      </c>
      <c r="EXF1" t="s">
        <v>21701</v>
      </c>
      <c r="EXG1" t="s">
        <v>21702</v>
      </c>
      <c r="EXH1" t="s">
        <v>21703</v>
      </c>
      <c r="EXI1" t="s">
        <v>21704</v>
      </c>
      <c r="EXJ1" t="s">
        <v>21705</v>
      </c>
      <c r="EXK1" t="s">
        <v>21706</v>
      </c>
      <c r="EXL1" t="s">
        <v>21707</v>
      </c>
      <c r="EXM1" t="s">
        <v>21708</v>
      </c>
      <c r="EXN1" t="s">
        <v>21709</v>
      </c>
      <c r="EXO1" t="s">
        <v>21710</v>
      </c>
      <c r="EXP1" t="s">
        <v>21711</v>
      </c>
      <c r="EXQ1" t="s">
        <v>21712</v>
      </c>
      <c r="EXR1" t="s">
        <v>21713</v>
      </c>
      <c r="EXS1" t="s">
        <v>21714</v>
      </c>
      <c r="EXT1" t="s">
        <v>21715</v>
      </c>
      <c r="EXU1" t="s">
        <v>21716</v>
      </c>
      <c r="EXV1" t="s">
        <v>21717</v>
      </c>
      <c r="EXW1" t="s">
        <v>21718</v>
      </c>
      <c r="EXX1" t="s">
        <v>21719</v>
      </c>
      <c r="EXY1" t="s">
        <v>21720</v>
      </c>
      <c r="EXZ1" t="s">
        <v>21721</v>
      </c>
      <c r="EYA1" t="s">
        <v>21722</v>
      </c>
      <c r="EYB1" t="s">
        <v>21723</v>
      </c>
      <c r="EYC1" t="s">
        <v>21724</v>
      </c>
      <c r="EYD1" t="s">
        <v>21725</v>
      </c>
      <c r="EYE1" t="s">
        <v>21726</v>
      </c>
      <c r="EYF1" t="s">
        <v>21727</v>
      </c>
      <c r="EYG1" t="s">
        <v>21728</v>
      </c>
      <c r="EYH1" t="s">
        <v>21729</v>
      </c>
      <c r="EYI1" t="s">
        <v>21730</v>
      </c>
      <c r="EYJ1" t="s">
        <v>21731</v>
      </c>
      <c r="EYK1" t="s">
        <v>21732</v>
      </c>
      <c r="EYL1" t="s">
        <v>21733</v>
      </c>
      <c r="EYM1" t="s">
        <v>21734</v>
      </c>
      <c r="EYN1" t="s">
        <v>21735</v>
      </c>
      <c r="EYO1" t="s">
        <v>21736</v>
      </c>
      <c r="EYP1" t="s">
        <v>21737</v>
      </c>
      <c r="EYQ1" t="s">
        <v>21738</v>
      </c>
      <c r="EYR1" t="s">
        <v>21739</v>
      </c>
      <c r="EYS1" t="s">
        <v>21740</v>
      </c>
      <c r="EYT1" t="s">
        <v>21741</v>
      </c>
      <c r="EYU1" t="s">
        <v>21742</v>
      </c>
      <c r="EYV1" t="s">
        <v>21743</v>
      </c>
      <c r="EYW1" t="s">
        <v>21744</v>
      </c>
      <c r="EYX1" t="s">
        <v>21745</v>
      </c>
      <c r="EYY1" t="s">
        <v>21746</v>
      </c>
      <c r="EYZ1" t="s">
        <v>21747</v>
      </c>
      <c r="EZA1" t="s">
        <v>21748</v>
      </c>
      <c r="EZB1" t="s">
        <v>21749</v>
      </c>
      <c r="EZC1" t="s">
        <v>21750</v>
      </c>
      <c r="EZD1" t="s">
        <v>21751</v>
      </c>
      <c r="EZE1" t="s">
        <v>21752</v>
      </c>
      <c r="EZF1" t="s">
        <v>21753</v>
      </c>
      <c r="EZG1" t="s">
        <v>21754</v>
      </c>
      <c r="EZH1" t="s">
        <v>21755</v>
      </c>
      <c r="EZI1" t="s">
        <v>21756</v>
      </c>
      <c r="EZJ1" t="s">
        <v>21757</v>
      </c>
      <c r="EZK1" t="s">
        <v>21758</v>
      </c>
      <c r="EZL1" t="s">
        <v>21759</v>
      </c>
      <c r="EZM1" t="s">
        <v>21760</v>
      </c>
      <c r="EZN1" t="s">
        <v>21761</v>
      </c>
      <c r="EZO1" t="s">
        <v>21762</v>
      </c>
      <c r="EZP1" t="s">
        <v>21763</v>
      </c>
      <c r="EZQ1" t="s">
        <v>21764</v>
      </c>
      <c r="EZR1" t="s">
        <v>21765</v>
      </c>
      <c r="EZS1" t="s">
        <v>21766</v>
      </c>
      <c r="EZT1" t="s">
        <v>21767</v>
      </c>
      <c r="EZU1" t="s">
        <v>21768</v>
      </c>
      <c r="EZV1" t="s">
        <v>21769</v>
      </c>
      <c r="EZW1" t="s">
        <v>21770</v>
      </c>
      <c r="EZX1" t="s">
        <v>21771</v>
      </c>
      <c r="EZY1" t="s">
        <v>21772</v>
      </c>
      <c r="EZZ1" t="s">
        <v>21773</v>
      </c>
      <c r="FAA1" t="s">
        <v>21774</v>
      </c>
      <c r="FAB1" t="s">
        <v>21775</v>
      </c>
      <c r="FAC1" t="s">
        <v>21776</v>
      </c>
      <c r="FAD1" t="s">
        <v>21777</v>
      </c>
      <c r="FAE1" t="s">
        <v>21778</v>
      </c>
      <c r="FAF1" t="s">
        <v>21779</v>
      </c>
      <c r="FAG1" t="s">
        <v>21780</v>
      </c>
      <c r="FAH1" t="s">
        <v>21781</v>
      </c>
      <c r="FAI1" t="s">
        <v>21782</v>
      </c>
      <c r="FAJ1" t="s">
        <v>21783</v>
      </c>
      <c r="FAK1" t="s">
        <v>21784</v>
      </c>
      <c r="FAL1" t="s">
        <v>21785</v>
      </c>
      <c r="FAM1" t="s">
        <v>21786</v>
      </c>
      <c r="FAN1" t="s">
        <v>21787</v>
      </c>
      <c r="FAO1" t="s">
        <v>21788</v>
      </c>
      <c r="FAP1" t="s">
        <v>21789</v>
      </c>
      <c r="FAQ1" t="s">
        <v>21790</v>
      </c>
      <c r="FAR1" t="s">
        <v>21791</v>
      </c>
      <c r="FAS1" t="s">
        <v>21792</v>
      </c>
      <c r="FAT1" t="s">
        <v>21793</v>
      </c>
      <c r="FAU1" t="s">
        <v>21794</v>
      </c>
      <c r="FAV1" t="s">
        <v>21795</v>
      </c>
      <c r="FAW1" t="s">
        <v>21796</v>
      </c>
      <c r="FAX1" t="s">
        <v>21797</v>
      </c>
      <c r="FAY1" t="s">
        <v>21798</v>
      </c>
      <c r="FAZ1" t="s">
        <v>21799</v>
      </c>
      <c r="FBA1" t="s">
        <v>21800</v>
      </c>
      <c r="FBB1" t="s">
        <v>21801</v>
      </c>
      <c r="FBC1" t="s">
        <v>21802</v>
      </c>
      <c r="FBD1" t="s">
        <v>21803</v>
      </c>
      <c r="FBE1" t="s">
        <v>21804</v>
      </c>
      <c r="FBF1" t="s">
        <v>21805</v>
      </c>
      <c r="FBG1" t="s">
        <v>21806</v>
      </c>
      <c r="FBH1" t="s">
        <v>21807</v>
      </c>
      <c r="FBI1" t="s">
        <v>21808</v>
      </c>
      <c r="FBJ1" t="s">
        <v>21809</v>
      </c>
      <c r="FBK1" t="s">
        <v>21810</v>
      </c>
      <c r="FBL1" t="s">
        <v>21811</v>
      </c>
      <c r="FBM1" t="s">
        <v>21812</v>
      </c>
      <c r="FBN1" t="s">
        <v>21813</v>
      </c>
      <c r="FBO1" t="s">
        <v>21814</v>
      </c>
      <c r="FBP1" t="s">
        <v>21815</v>
      </c>
      <c r="FBQ1" t="s">
        <v>21816</v>
      </c>
      <c r="FBR1" t="s">
        <v>21817</v>
      </c>
      <c r="FBS1" t="s">
        <v>21818</v>
      </c>
      <c r="FBT1" t="s">
        <v>21819</v>
      </c>
      <c r="FBU1" t="s">
        <v>21820</v>
      </c>
      <c r="FBV1" t="s">
        <v>21821</v>
      </c>
      <c r="FBW1" t="s">
        <v>21822</v>
      </c>
      <c r="FBX1" t="s">
        <v>21823</v>
      </c>
      <c r="FBY1" t="s">
        <v>21824</v>
      </c>
      <c r="FBZ1" t="s">
        <v>21825</v>
      </c>
      <c r="FCA1" t="s">
        <v>21826</v>
      </c>
      <c r="FCB1" t="s">
        <v>21827</v>
      </c>
      <c r="FCC1" t="s">
        <v>21828</v>
      </c>
      <c r="FCD1" t="s">
        <v>21829</v>
      </c>
      <c r="FCE1" t="s">
        <v>21830</v>
      </c>
      <c r="FCF1" t="s">
        <v>21831</v>
      </c>
      <c r="FCG1" t="s">
        <v>21832</v>
      </c>
      <c r="FCH1" t="s">
        <v>21833</v>
      </c>
      <c r="FCI1" t="s">
        <v>21834</v>
      </c>
      <c r="FCJ1" t="s">
        <v>21835</v>
      </c>
      <c r="FCK1" t="s">
        <v>21836</v>
      </c>
      <c r="FCL1" t="s">
        <v>21837</v>
      </c>
      <c r="FCM1" t="s">
        <v>21838</v>
      </c>
      <c r="FCN1" t="s">
        <v>21839</v>
      </c>
      <c r="FCO1" t="s">
        <v>21840</v>
      </c>
      <c r="FCP1" t="s">
        <v>21841</v>
      </c>
      <c r="FCQ1" t="s">
        <v>21842</v>
      </c>
      <c r="FCR1" t="s">
        <v>21843</v>
      </c>
      <c r="FCS1" t="s">
        <v>21844</v>
      </c>
      <c r="FCT1" t="s">
        <v>21845</v>
      </c>
      <c r="FCU1" t="s">
        <v>21846</v>
      </c>
      <c r="FCV1" t="s">
        <v>21847</v>
      </c>
      <c r="FCW1" t="s">
        <v>21848</v>
      </c>
      <c r="FCX1" t="s">
        <v>21849</v>
      </c>
      <c r="FCY1" t="s">
        <v>21850</v>
      </c>
      <c r="FCZ1" t="s">
        <v>21851</v>
      </c>
      <c r="FDA1" t="s">
        <v>21852</v>
      </c>
      <c r="FDB1" t="s">
        <v>21853</v>
      </c>
      <c r="FDC1" t="s">
        <v>21854</v>
      </c>
      <c r="FDD1" t="s">
        <v>21855</v>
      </c>
      <c r="FDE1" t="s">
        <v>21856</v>
      </c>
      <c r="FDF1" t="s">
        <v>21857</v>
      </c>
      <c r="FDG1" t="s">
        <v>21858</v>
      </c>
      <c r="FDH1" t="s">
        <v>21859</v>
      </c>
      <c r="FDI1" t="s">
        <v>21860</v>
      </c>
      <c r="FDJ1" t="s">
        <v>21861</v>
      </c>
      <c r="FDK1" t="s">
        <v>21862</v>
      </c>
      <c r="FDL1" t="s">
        <v>21863</v>
      </c>
      <c r="FDM1" t="s">
        <v>21864</v>
      </c>
      <c r="FDN1" t="s">
        <v>21865</v>
      </c>
      <c r="FDO1" t="s">
        <v>21866</v>
      </c>
      <c r="FDP1" t="s">
        <v>21867</v>
      </c>
      <c r="FDQ1" t="s">
        <v>21868</v>
      </c>
      <c r="FDR1" t="s">
        <v>21869</v>
      </c>
      <c r="FDS1" t="s">
        <v>21870</v>
      </c>
      <c r="FDT1" t="s">
        <v>21871</v>
      </c>
      <c r="FDU1" t="s">
        <v>21872</v>
      </c>
      <c r="FDV1" t="s">
        <v>21873</v>
      </c>
      <c r="FDW1" t="s">
        <v>21874</v>
      </c>
      <c r="FDX1" t="s">
        <v>21875</v>
      </c>
      <c r="FDY1" t="s">
        <v>21876</v>
      </c>
      <c r="FDZ1" t="s">
        <v>21877</v>
      </c>
      <c r="FEA1" t="s">
        <v>21878</v>
      </c>
      <c r="FEB1" t="s">
        <v>21879</v>
      </c>
      <c r="FEC1" t="s">
        <v>21880</v>
      </c>
      <c r="FED1" t="s">
        <v>21881</v>
      </c>
      <c r="FEE1" t="s">
        <v>21882</v>
      </c>
      <c r="FEF1" t="s">
        <v>21883</v>
      </c>
      <c r="FEG1" t="s">
        <v>21884</v>
      </c>
      <c r="FEH1" t="s">
        <v>21885</v>
      </c>
      <c r="FEI1" t="s">
        <v>21886</v>
      </c>
      <c r="FEJ1" t="s">
        <v>21887</v>
      </c>
      <c r="FEK1" t="s">
        <v>21888</v>
      </c>
      <c r="FEL1" t="s">
        <v>21889</v>
      </c>
      <c r="FEM1" t="s">
        <v>21890</v>
      </c>
      <c r="FEN1" t="s">
        <v>21891</v>
      </c>
      <c r="FEO1" t="s">
        <v>21892</v>
      </c>
      <c r="FEP1" t="s">
        <v>21893</v>
      </c>
      <c r="FEQ1" t="s">
        <v>21894</v>
      </c>
      <c r="FER1" t="s">
        <v>21895</v>
      </c>
      <c r="FES1" t="s">
        <v>21896</v>
      </c>
      <c r="FET1" t="s">
        <v>21897</v>
      </c>
      <c r="FEU1" t="s">
        <v>21898</v>
      </c>
      <c r="FEV1" t="s">
        <v>21899</v>
      </c>
      <c r="FEW1" t="s">
        <v>21900</v>
      </c>
      <c r="FEX1" t="s">
        <v>21901</v>
      </c>
      <c r="FEY1" t="s">
        <v>21902</v>
      </c>
      <c r="FEZ1" t="s">
        <v>21903</v>
      </c>
      <c r="FFA1" t="s">
        <v>21904</v>
      </c>
      <c r="FFB1" t="s">
        <v>21905</v>
      </c>
      <c r="FFC1" t="s">
        <v>21906</v>
      </c>
      <c r="FFD1" t="s">
        <v>21907</v>
      </c>
      <c r="FFE1" t="s">
        <v>21908</v>
      </c>
      <c r="FFF1" t="s">
        <v>21909</v>
      </c>
      <c r="FFG1" t="s">
        <v>21910</v>
      </c>
      <c r="FFH1" t="s">
        <v>21911</v>
      </c>
      <c r="FFI1" t="s">
        <v>21912</v>
      </c>
      <c r="FFJ1" t="s">
        <v>21913</v>
      </c>
      <c r="FFK1" t="s">
        <v>21914</v>
      </c>
      <c r="FFL1" t="s">
        <v>21915</v>
      </c>
      <c r="FFM1" t="s">
        <v>21916</v>
      </c>
      <c r="FFN1" t="s">
        <v>21917</v>
      </c>
      <c r="FFO1" t="s">
        <v>21918</v>
      </c>
      <c r="FFP1" t="s">
        <v>21919</v>
      </c>
      <c r="FFQ1" t="s">
        <v>21920</v>
      </c>
      <c r="FFR1" t="s">
        <v>21921</v>
      </c>
      <c r="FFS1" t="s">
        <v>21922</v>
      </c>
      <c r="FFT1" t="s">
        <v>21923</v>
      </c>
      <c r="FFU1" t="s">
        <v>21924</v>
      </c>
      <c r="FFV1" t="s">
        <v>21925</v>
      </c>
      <c r="FFW1" t="s">
        <v>21926</v>
      </c>
      <c r="FFX1" t="s">
        <v>21927</v>
      </c>
      <c r="FFY1" t="s">
        <v>21928</v>
      </c>
      <c r="FFZ1" t="s">
        <v>21929</v>
      </c>
      <c r="FGA1" t="s">
        <v>21930</v>
      </c>
      <c r="FGB1" t="s">
        <v>21931</v>
      </c>
      <c r="FGC1" t="s">
        <v>21932</v>
      </c>
      <c r="FGD1" t="s">
        <v>21933</v>
      </c>
      <c r="FGE1" t="s">
        <v>21934</v>
      </c>
      <c r="FGF1" t="s">
        <v>21935</v>
      </c>
      <c r="FGG1" t="s">
        <v>21936</v>
      </c>
      <c r="FGH1" t="s">
        <v>21937</v>
      </c>
      <c r="FGI1" t="s">
        <v>21938</v>
      </c>
      <c r="FGJ1" t="s">
        <v>21939</v>
      </c>
      <c r="FGK1" t="s">
        <v>21940</v>
      </c>
      <c r="FGL1" t="s">
        <v>21941</v>
      </c>
      <c r="FGM1" t="s">
        <v>21942</v>
      </c>
      <c r="FGN1" t="s">
        <v>21943</v>
      </c>
      <c r="FGO1" t="s">
        <v>21944</v>
      </c>
      <c r="FGP1" t="s">
        <v>21945</v>
      </c>
      <c r="FGQ1" t="s">
        <v>21946</v>
      </c>
      <c r="FGR1" t="s">
        <v>21947</v>
      </c>
      <c r="FGS1" t="s">
        <v>21948</v>
      </c>
      <c r="FGT1" t="s">
        <v>21949</v>
      </c>
      <c r="FGU1" t="s">
        <v>21950</v>
      </c>
      <c r="FGV1" t="s">
        <v>21951</v>
      </c>
      <c r="FGW1" t="s">
        <v>21952</v>
      </c>
      <c r="FGX1" t="s">
        <v>21953</v>
      </c>
      <c r="FGY1" t="s">
        <v>21954</v>
      </c>
      <c r="FGZ1" t="s">
        <v>21955</v>
      </c>
      <c r="FHA1" t="s">
        <v>21956</v>
      </c>
      <c r="FHB1" t="s">
        <v>21957</v>
      </c>
      <c r="FHC1" t="s">
        <v>21958</v>
      </c>
      <c r="FHD1" t="s">
        <v>21959</v>
      </c>
      <c r="FHE1" t="s">
        <v>21960</v>
      </c>
      <c r="FHF1" t="s">
        <v>21961</v>
      </c>
      <c r="FHG1" t="s">
        <v>21962</v>
      </c>
      <c r="FHH1" t="s">
        <v>21963</v>
      </c>
      <c r="FHI1" t="s">
        <v>21964</v>
      </c>
      <c r="FHJ1" t="s">
        <v>21965</v>
      </c>
      <c r="FHK1" t="s">
        <v>21966</v>
      </c>
      <c r="FHL1" t="s">
        <v>21967</v>
      </c>
      <c r="FHM1" t="s">
        <v>21968</v>
      </c>
      <c r="FHN1" t="s">
        <v>21969</v>
      </c>
      <c r="FHO1" t="s">
        <v>21970</v>
      </c>
      <c r="FHP1" t="s">
        <v>21971</v>
      </c>
      <c r="FHQ1" t="s">
        <v>21972</v>
      </c>
      <c r="FHR1" t="s">
        <v>21973</v>
      </c>
      <c r="FHS1" t="s">
        <v>21974</v>
      </c>
      <c r="FHT1" t="s">
        <v>21975</v>
      </c>
      <c r="FHU1" t="s">
        <v>21976</v>
      </c>
      <c r="FHV1" t="s">
        <v>21977</v>
      </c>
      <c r="FHW1" t="s">
        <v>21978</v>
      </c>
      <c r="FHX1" t="s">
        <v>21979</v>
      </c>
      <c r="FHY1" t="s">
        <v>21980</v>
      </c>
      <c r="FHZ1" t="s">
        <v>21981</v>
      </c>
      <c r="FIA1" t="s">
        <v>21982</v>
      </c>
      <c r="FIB1" t="s">
        <v>21983</v>
      </c>
      <c r="FIC1" t="s">
        <v>21984</v>
      </c>
      <c r="FID1" t="s">
        <v>21985</v>
      </c>
      <c r="FIE1" t="s">
        <v>21986</v>
      </c>
      <c r="FIF1" t="s">
        <v>21987</v>
      </c>
      <c r="FIG1" t="s">
        <v>21988</v>
      </c>
      <c r="FIH1" t="s">
        <v>21989</v>
      </c>
      <c r="FII1" t="s">
        <v>21990</v>
      </c>
      <c r="FIJ1" t="s">
        <v>21991</v>
      </c>
      <c r="FIK1" t="s">
        <v>21992</v>
      </c>
      <c r="FIL1" t="s">
        <v>21993</v>
      </c>
      <c r="FIM1" t="s">
        <v>21994</v>
      </c>
      <c r="FIN1" t="s">
        <v>21995</v>
      </c>
      <c r="FIO1" t="s">
        <v>21996</v>
      </c>
      <c r="FIP1" t="s">
        <v>21997</v>
      </c>
      <c r="FIQ1" t="s">
        <v>21998</v>
      </c>
      <c r="FIR1" t="s">
        <v>21999</v>
      </c>
      <c r="FIS1" t="s">
        <v>22000</v>
      </c>
      <c r="FIT1" t="s">
        <v>22001</v>
      </c>
      <c r="FIU1" t="s">
        <v>22002</v>
      </c>
      <c r="FIV1" t="s">
        <v>22003</v>
      </c>
      <c r="FIW1" t="s">
        <v>22004</v>
      </c>
      <c r="FIX1" t="s">
        <v>22005</v>
      </c>
      <c r="FIY1" t="s">
        <v>22006</v>
      </c>
      <c r="FIZ1" t="s">
        <v>22007</v>
      </c>
      <c r="FJA1" t="s">
        <v>22008</v>
      </c>
      <c r="FJB1" t="s">
        <v>22009</v>
      </c>
      <c r="FJC1" t="s">
        <v>22010</v>
      </c>
      <c r="FJD1" t="s">
        <v>22011</v>
      </c>
      <c r="FJE1" t="s">
        <v>22012</v>
      </c>
      <c r="FJF1" t="s">
        <v>22013</v>
      </c>
      <c r="FJG1" t="s">
        <v>22014</v>
      </c>
      <c r="FJH1" t="s">
        <v>22015</v>
      </c>
      <c r="FJI1" t="s">
        <v>22016</v>
      </c>
      <c r="FJJ1" t="s">
        <v>22017</v>
      </c>
      <c r="FJK1" t="s">
        <v>22018</v>
      </c>
      <c r="FJL1" t="s">
        <v>22019</v>
      </c>
      <c r="FJM1" t="s">
        <v>22020</v>
      </c>
      <c r="FJN1" t="s">
        <v>22021</v>
      </c>
      <c r="FJO1" t="s">
        <v>22022</v>
      </c>
      <c r="FJP1" t="s">
        <v>22023</v>
      </c>
      <c r="FJQ1" t="s">
        <v>22024</v>
      </c>
      <c r="FJR1" t="s">
        <v>22025</v>
      </c>
      <c r="FJS1" t="s">
        <v>22026</v>
      </c>
      <c r="FJT1" t="s">
        <v>22027</v>
      </c>
      <c r="FJU1" t="s">
        <v>22028</v>
      </c>
      <c r="FJV1" t="s">
        <v>22029</v>
      </c>
      <c r="FJW1" t="s">
        <v>22030</v>
      </c>
      <c r="FJX1" t="s">
        <v>22031</v>
      </c>
      <c r="FJY1" t="s">
        <v>22032</v>
      </c>
      <c r="FJZ1" t="s">
        <v>22033</v>
      </c>
      <c r="FKA1" t="s">
        <v>22034</v>
      </c>
      <c r="FKB1" t="s">
        <v>22035</v>
      </c>
      <c r="FKC1" t="s">
        <v>22036</v>
      </c>
      <c r="FKD1" t="s">
        <v>22037</v>
      </c>
      <c r="FKE1" t="s">
        <v>22038</v>
      </c>
      <c r="FKF1" t="s">
        <v>22039</v>
      </c>
      <c r="FKG1" t="s">
        <v>22040</v>
      </c>
      <c r="FKH1" t="s">
        <v>22041</v>
      </c>
      <c r="FKI1" t="s">
        <v>22042</v>
      </c>
      <c r="FKJ1" t="s">
        <v>22043</v>
      </c>
      <c r="FKK1" t="s">
        <v>22044</v>
      </c>
      <c r="FKL1" t="s">
        <v>22045</v>
      </c>
      <c r="FKM1" t="s">
        <v>22046</v>
      </c>
      <c r="FKN1" t="s">
        <v>22047</v>
      </c>
      <c r="FKO1" t="s">
        <v>22048</v>
      </c>
      <c r="FKP1" t="s">
        <v>22049</v>
      </c>
      <c r="FKQ1" t="s">
        <v>22050</v>
      </c>
      <c r="FKR1" t="s">
        <v>22051</v>
      </c>
      <c r="FKS1" t="s">
        <v>22052</v>
      </c>
      <c r="FKT1" t="s">
        <v>22053</v>
      </c>
      <c r="FKU1" t="s">
        <v>22054</v>
      </c>
      <c r="FKV1" t="s">
        <v>22055</v>
      </c>
      <c r="FKW1" t="s">
        <v>22056</v>
      </c>
      <c r="FKX1" t="s">
        <v>22057</v>
      </c>
      <c r="FKY1" t="s">
        <v>22058</v>
      </c>
      <c r="FKZ1" t="s">
        <v>22059</v>
      </c>
      <c r="FLA1" t="s">
        <v>22060</v>
      </c>
      <c r="FLB1" t="s">
        <v>22061</v>
      </c>
      <c r="FLC1" t="s">
        <v>22062</v>
      </c>
      <c r="FLD1" t="s">
        <v>22063</v>
      </c>
      <c r="FLE1" t="s">
        <v>22064</v>
      </c>
      <c r="FLF1" t="s">
        <v>22065</v>
      </c>
      <c r="FLG1" t="s">
        <v>22066</v>
      </c>
      <c r="FLH1" t="s">
        <v>22067</v>
      </c>
      <c r="FLI1" t="s">
        <v>22068</v>
      </c>
      <c r="FLJ1" t="s">
        <v>22069</v>
      </c>
      <c r="FLK1" t="s">
        <v>22070</v>
      </c>
      <c r="FLL1" t="s">
        <v>22071</v>
      </c>
      <c r="FLM1" t="s">
        <v>22072</v>
      </c>
      <c r="FLN1" t="s">
        <v>22073</v>
      </c>
      <c r="FLO1" t="s">
        <v>22074</v>
      </c>
      <c r="FLP1" t="s">
        <v>22075</v>
      </c>
      <c r="FLQ1" t="s">
        <v>22076</v>
      </c>
      <c r="FLR1" t="s">
        <v>22077</v>
      </c>
      <c r="FLS1" t="s">
        <v>22078</v>
      </c>
      <c r="FLT1" t="s">
        <v>22079</v>
      </c>
      <c r="FLU1" t="s">
        <v>22080</v>
      </c>
      <c r="FLV1" t="s">
        <v>22081</v>
      </c>
      <c r="FLW1" t="s">
        <v>22082</v>
      </c>
      <c r="FLX1" t="s">
        <v>22083</v>
      </c>
      <c r="FLY1" t="s">
        <v>22084</v>
      </c>
      <c r="FLZ1" t="s">
        <v>22085</v>
      </c>
      <c r="FMA1" t="s">
        <v>22086</v>
      </c>
      <c r="FMB1" t="s">
        <v>22087</v>
      </c>
      <c r="FMC1" t="s">
        <v>22088</v>
      </c>
      <c r="FMD1" t="s">
        <v>22089</v>
      </c>
      <c r="FME1" t="s">
        <v>22090</v>
      </c>
      <c r="FMF1" t="s">
        <v>22091</v>
      </c>
      <c r="FMG1" t="s">
        <v>22092</v>
      </c>
      <c r="FMH1" t="s">
        <v>22093</v>
      </c>
      <c r="FMI1" t="s">
        <v>22094</v>
      </c>
      <c r="FMJ1" t="s">
        <v>22095</v>
      </c>
      <c r="FMK1" t="s">
        <v>22096</v>
      </c>
      <c r="FML1" t="s">
        <v>22097</v>
      </c>
      <c r="FMM1" t="s">
        <v>22098</v>
      </c>
      <c r="FMN1" t="s">
        <v>22099</v>
      </c>
      <c r="FMO1" t="s">
        <v>22100</v>
      </c>
      <c r="FMP1" t="s">
        <v>22101</v>
      </c>
      <c r="FMQ1" t="s">
        <v>22102</v>
      </c>
      <c r="FMR1" t="s">
        <v>22103</v>
      </c>
      <c r="FMS1" t="s">
        <v>22104</v>
      </c>
      <c r="FMT1" t="s">
        <v>22105</v>
      </c>
      <c r="FMU1" t="s">
        <v>22106</v>
      </c>
      <c r="FMV1" t="s">
        <v>22107</v>
      </c>
      <c r="FMW1" t="s">
        <v>22108</v>
      </c>
      <c r="FMX1" t="s">
        <v>22109</v>
      </c>
      <c r="FMY1" t="s">
        <v>22110</v>
      </c>
      <c r="FMZ1" t="s">
        <v>22111</v>
      </c>
      <c r="FNA1" t="s">
        <v>22112</v>
      </c>
      <c r="FNB1" t="s">
        <v>22113</v>
      </c>
      <c r="FNC1" t="s">
        <v>22114</v>
      </c>
      <c r="FND1" t="s">
        <v>22115</v>
      </c>
      <c r="FNE1" t="s">
        <v>22116</v>
      </c>
      <c r="FNF1" t="s">
        <v>22117</v>
      </c>
      <c r="FNG1" t="s">
        <v>22118</v>
      </c>
      <c r="FNH1" t="s">
        <v>22119</v>
      </c>
      <c r="FNI1" t="s">
        <v>22120</v>
      </c>
      <c r="FNJ1" t="s">
        <v>22121</v>
      </c>
      <c r="FNK1" t="s">
        <v>22122</v>
      </c>
      <c r="FNL1" t="s">
        <v>22123</v>
      </c>
      <c r="FNM1" t="s">
        <v>22124</v>
      </c>
      <c r="FNN1" t="s">
        <v>22125</v>
      </c>
      <c r="FNO1" t="s">
        <v>22126</v>
      </c>
      <c r="FNP1" t="s">
        <v>22127</v>
      </c>
      <c r="FNQ1" t="s">
        <v>22128</v>
      </c>
      <c r="FNR1" t="s">
        <v>22129</v>
      </c>
      <c r="FNS1" t="s">
        <v>22130</v>
      </c>
      <c r="FNT1" t="s">
        <v>22131</v>
      </c>
      <c r="FNU1" t="s">
        <v>22132</v>
      </c>
      <c r="FNV1" t="s">
        <v>22133</v>
      </c>
      <c r="FNW1" t="s">
        <v>22134</v>
      </c>
      <c r="FNX1" t="s">
        <v>22135</v>
      </c>
      <c r="FNY1" t="s">
        <v>22136</v>
      </c>
      <c r="FNZ1" t="s">
        <v>22137</v>
      </c>
      <c r="FOA1" t="s">
        <v>22138</v>
      </c>
      <c r="FOB1" t="s">
        <v>22139</v>
      </c>
      <c r="FOC1" t="s">
        <v>22140</v>
      </c>
      <c r="FOD1" t="s">
        <v>22141</v>
      </c>
      <c r="FOE1" t="s">
        <v>22142</v>
      </c>
      <c r="FOF1" t="s">
        <v>22143</v>
      </c>
      <c r="FOG1" t="s">
        <v>22144</v>
      </c>
      <c r="FOH1" t="s">
        <v>22145</v>
      </c>
      <c r="FOI1" t="s">
        <v>22146</v>
      </c>
      <c r="FOJ1" t="s">
        <v>22147</v>
      </c>
      <c r="FOK1" t="s">
        <v>22148</v>
      </c>
      <c r="FOL1" t="s">
        <v>22149</v>
      </c>
      <c r="FOM1" t="s">
        <v>22150</v>
      </c>
      <c r="FON1" t="s">
        <v>22151</v>
      </c>
      <c r="FOO1" t="s">
        <v>22152</v>
      </c>
      <c r="FOP1" t="s">
        <v>22153</v>
      </c>
      <c r="FOQ1" t="s">
        <v>22154</v>
      </c>
      <c r="FOR1" t="s">
        <v>22155</v>
      </c>
      <c r="FOS1" t="s">
        <v>22156</v>
      </c>
      <c r="FOT1" t="s">
        <v>22157</v>
      </c>
      <c r="FOU1" t="s">
        <v>22158</v>
      </c>
      <c r="FOV1" t="s">
        <v>22159</v>
      </c>
      <c r="FOW1" t="s">
        <v>22160</v>
      </c>
      <c r="FOX1" t="s">
        <v>22161</v>
      </c>
      <c r="FOY1" t="s">
        <v>22162</v>
      </c>
      <c r="FOZ1" t="s">
        <v>22163</v>
      </c>
      <c r="FPA1" t="s">
        <v>22164</v>
      </c>
      <c r="FPB1" t="s">
        <v>22165</v>
      </c>
      <c r="FPC1" t="s">
        <v>22166</v>
      </c>
      <c r="FPD1" t="s">
        <v>22167</v>
      </c>
      <c r="FPE1" t="s">
        <v>22168</v>
      </c>
      <c r="FPF1" t="s">
        <v>22169</v>
      </c>
      <c r="FPG1" t="s">
        <v>22170</v>
      </c>
      <c r="FPH1" t="s">
        <v>22171</v>
      </c>
      <c r="FPI1" t="s">
        <v>22172</v>
      </c>
      <c r="FPJ1" t="s">
        <v>22173</v>
      </c>
      <c r="FPK1" t="s">
        <v>22174</v>
      </c>
      <c r="FPL1" t="s">
        <v>22175</v>
      </c>
      <c r="FPM1" t="s">
        <v>22176</v>
      </c>
      <c r="FPN1" t="s">
        <v>22177</v>
      </c>
      <c r="FPO1" t="s">
        <v>22178</v>
      </c>
      <c r="FPP1" t="s">
        <v>22179</v>
      </c>
      <c r="FPQ1" t="s">
        <v>22180</v>
      </c>
      <c r="FPR1" t="s">
        <v>22181</v>
      </c>
      <c r="FPS1" t="s">
        <v>22182</v>
      </c>
      <c r="FPT1" t="s">
        <v>22183</v>
      </c>
      <c r="FPU1" t="s">
        <v>22184</v>
      </c>
      <c r="FPV1" t="s">
        <v>22185</v>
      </c>
      <c r="FPW1" t="s">
        <v>22186</v>
      </c>
      <c r="FPX1" t="s">
        <v>22187</v>
      </c>
      <c r="FPY1" t="s">
        <v>22188</v>
      </c>
      <c r="FPZ1" t="s">
        <v>22189</v>
      </c>
      <c r="FQA1" t="s">
        <v>22190</v>
      </c>
      <c r="FQB1" t="s">
        <v>22191</v>
      </c>
      <c r="FQC1" t="s">
        <v>22192</v>
      </c>
      <c r="FQD1" t="s">
        <v>22193</v>
      </c>
      <c r="FQE1" t="s">
        <v>22194</v>
      </c>
      <c r="FQF1" t="s">
        <v>22195</v>
      </c>
      <c r="FQG1" t="s">
        <v>22196</v>
      </c>
      <c r="FQH1" t="s">
        <v>22197</v>
      </c>
      <c r="FQI1" t="s">
        <v>22198</v>
      </c>
      <c r="FQJ1" t="s">
        <v>22199</v>
      </c>
      <c r="FQK1" t="s">
        <v>22200</v>
      </c>
      <c r="FQL1" t="s">
        <v>22201</v>
      </c>
      <c r="FQM1" t="s">
        <v>22202</v>
      </c>
      <c r="FQN1" t="s">
        <v>22203</v>
      </c>
      <c r="FQO1" t="s">
        <v>22204</v>
      </c>
      <c r="FQP1" t="s">
        <v>22205</v>
      </c>
      <c r="FQQ1" t="s">
        <v>22206</v>
      </c>
      <c r="FQR1" t="s">
        <v>22207</v>
      </c>
      <c r="FQS1" t="s">
        <v>22208</v>
      </c>
      <c r="FQT1" t="s">
        <v>22209</v>
      </c>
      <c r="FQU1" t="s">
        <v>22210</v>
      </c>
      <c r="FQV1" t="s">
        <v>22211</v>
      </c>
      <c r="FQW1" t="s">
        <v>22212</v>
      </c>
      <c r="FQX1" t="s">
        <v>22213</v>
      </c>
      <c r="FQY1" t="s">
        <v>22214</v>
      </c>
      <c r="FQZ1" t="s">
        <v>22215</v>
      </c>
      <c r="FRA1" t="s">
        <v>22216</v>
      </c>
      <c r="FRB1" t="s">
        <v>22217</v>
      </c>
      <c r="FRC1" t="s">
        <v>22218</v>
      </c>
      <c r="FRD1" t="s">
        <v>22219</v>
      </c>
      <c r="FRE1" t="s">
        <v>22220</v>
      </c>
      <c r="FRF1" t="s">
        <v>22221</v>
      </c>
      <c r="FRG1" t="s">
        <v>22222</v>
      </c>
      <c r="FRH1" t="s">
        <v>22223</v>
      </c>
      <c r="FRI1" t="s">
        <v>22224</v>
      </c>
      <c r="FRJ1" t="s">
        <v>22225</v>
      </c>
      <c r="FRK1" t="s">
        <v>22226</v>
      </c>
      <c r="FRL1" t="s">
        <v>22227</v>
      </c>
      <c r="FRM1" t="s">
        <v>22228</v>
      </c>
      <c r="FRN1" t="s">
        <v>22229</v>
      </c>
      <c r="FRO1" t="s">
        <v>22230</v>
      </c>
      <c r="FRP1" t="s">
        <v>22231</v>
      </c>
      <c r="FRQ1" t="s">
        <v>22232</v>
      </c>
      <c r="FRR1" t="s">
        <v>22233</v>
      </c>
      <c r="FRS1" t="s">
        <v>22234</v>
      </c>
      <c r="FRT1" t="s">
        <v>22235</v>
      </c>
      <c r="FRU1" t="s">
        <v>22236</v>
      </c>
      <c r="FRV1" t="s">
        <v>22237</v>
      </c>
      <c r="FRW1" t="s">
        <v>22238</v>
      </c>
      <c r="FRX1" t="s">
        <v>22239</v>
      </c>
      <c r="FRY1" t="s">
        <v>22240</v>
      </c>
      <c r="FRZ1" t="s">
        <v>22241</v>
      </c>
      <c r="FSA1" t="s">
        <v>22242</v>
      </c>
      <c r="FSB1" t="s">
        <v>22243</v>
      </c>
      <c r="FSC1" t="s">
        <v>22244</v>
      </c>
      <c r="FSD1" t="s">
        <v>22245</v>
      </c>
      <c r="FSE1" t="s">
        <v>22246</v>
      </c>
      <c r="FSF1" t="s">
        <v>22247</v>
      </c>
      <c r="FSG1" t="s">
        <v>22248</v>
      </c>
      <c r="FSH1" t="s">
        <v>22249</v>
      </c>
      <c r="FSI1" t="s">
        <v>22250</v>
      </c>
      <c r="FSJ1" t="s">
        <v>22251</v>
      </c>
      <c r="FSK1" t="s">
        <v>22252</v>
      </c>
      <c r="FSL1" t="s">
        <v>22253</v>
      </c>
      <c r="FSM1" t="s">
        <v>22254</v>
      </c>
      <c r="FSN1" t="s">
        <v>22255</v>
      </c>
      <c r="FSO1" t="s">
        <v>22256</v>
      </c>
      <c r="FSP1" t="s">
        <v>22257</v>
      </c>
      <c r="FSQ1" t="s">
        <v>22258</v>
      </c>
      <c r="FSR1" t="s">
        <v>22259</v>
      </c>
      <c r="FSS1" t="s">
        <v>22260</v>
      </c>
      <c r="FST1" t="s">
        <v>22261</v>
      </c>
      <c r="FSU1" t="s">
        <v>22262</v>
      </c>
      <c r="FSV1" t="s">
        <v>22263</v>
      </c>
      <c r="FSW1" t="s">
        <v>22264</v>
      </c>
      <c r="FSX1" t="s">
        <v>22265</v>
      </c>
      <c r="FSY1" t="s">
        <v>22266</v>
      </c>
      <c r="FSZ1" t="s">
        <v>22267</v>
      </c>
      <c r="FTA1" t="s">
        <v>22268</v>
      </c>
      <c r="FTB1" t="s">
        <v>22269</v>
      </c>
      <c r="FTC1" t="s">
        <v>22270</v>
      </c>
      <c r="FTD1" t="s">
        <v>22271</v>
      </c>
      <c r="FTE1" t="s">
        <v>22272</v>
      </c>
      <c r="FTF1" t="s">
        <v>22273</v>
      </c>
      <c r="FTG1" t="s">
        <v>22274</v>
      </c>
      <c r="FTH1" t="s">
        <v>22275</v>
      </c>
      <c r="FTI1" t="s">
        <v>22276</v>
      </c>
      <c r="FTJ1" t="s">
        <v>22277</v>
      </c>
      <c r="FTK1" t="s">
        <v>22278</v>
      </c>
      <c r="FTL1" t="s">
        <v>22279</v>
      </c>
      <c r="FTM1" t="s">
        <v>22280</v>
      </c>
      <c r="FTN1" t="s">
        <v>22281</v>
      </c>
      <c r="FTO1" t="s">
        <v>22282</v>
      </c>
      <c r="FTP1" t="s">
        <v>22283</v>
      </c>
      <c r="FTQ1" t="s">
        <v>22284</v>
      </c>
      <c r="FTR1" t="s">
        <v>22285</v>
      </c>
      <c r="FTS1" t="s">
        <v>22286</v>
      </c>
      <c r="FTT1" t="s">
        <v>22287</v>
      </c>
      <c r="FTU1" t="s">
        <v>22288</v>
      </c>
      <c r="FTV1" t="s">
        <v>22289</v>
      </c>
      <c r="FTW1" t="s">
        <v>22290</v>
      </c>
      <c r="FTX1" t="s">
        <v>22291</v>
      </c>
      <c r="FTY1" t="s">
        <v>22292</v>
      </c>
      <c r="FTZ1" t="s">
        <v>22293</v>
      </c>
      <c r="FUA1" t="s">
        <v>22294</v>
      </c>
      <c r="FUB1" t="s">
        <v>22295</v>
      </c>
      <c r="FUC1" t="s">
        <v>22296</v>
      </c>
      <c r="FUD1" t="s">
        <v>22297</v>
      </c>
      <c r="FUE1" t="s">
        <v>22298</v>
      </c>
      <c r="FUF1" t="s">
        <v>22299</v>
      </c>
      <c r="FUG1" t="s">
        <v>22300</v>
      </c>
      <c r="FUH1" t="s">
        <v>22301</v>
      </c>
      <c r="FUI1" t="s">
        <v>22302</v>
      </c>
      <c r="FUJ1" t="s">
        <v>22303</v>
      </c>
      <c r="FUK1" t="s">
        <v>22304</v>
      </c>
      <c r="FUL1" t="s">
        <v>22305</v>
      </c>
      <c r="FUM1" t="s">
        <v>22306</v>
      </c>
      <c r="FUN1" t="s">
        <v>22307</v>
      </c>
      <c r="FUO1" t="s">
        <v>22308</v>
      </c>
      <c r="FUP1" t="s">
        <v>22309</v>
      </c>
      <c r="FUQ1" t="s">
        <v>22310</v>
      </c>
      <c r="FUR1" t="s">
        <v>22311</v>
      </c>
      <c r="FUS1" t="s">
        <v>22312</v>
      </c>
      <c r="FUT1" t="s">
        <v>22313</v>
      </c>
      <c r="FUU1" t="s">
        <v>22314</v>
      </c>
      <c r="FUV1" t="s">
        <v>22315</v>
      </c>
      <c r="FUW1" t="s">
        <v>22316</v>
      </c>
      <c r="FUX1" t="s">
        <v>22317</v>
      </c>
      <c r="FUY1" t="s">
        <v>22318</v>
      </c>
      <c r="FUZ1" t="s">
        <v>22319</v>
      </c>
      <c r="FVA1" t="s">
        <v>22320</v>
      </c>
      <c r="FVB1" t="s">
        <v>22321</v>
      </c>
      <c r="FVC1" t="s">
        <v>22322</v>
      </c>
      <c r="FVD1" t="s">
        <v>22323</v>
      </c>
      <c r="FVE1" t="s">
        <v>22324</v>
      </c>
      <c r="FVF1" t="s">
        <v>22325</v>
      </c>
      <c r="FVG1" t="s">
        <v>22326</v>
      </c>
      <c r="FVH1" t="s">
        <v>22327</v>
      </c>
      <c r="FVI1" t="s">
        <v>22328</v>
      </c>
      <c r="FVJ1" t="s">
        <v>22329</v>
      </c>
      <c r="FVK1" t="s">
        <v>22330</v>
      </c>
      <c r="FVL1" t="s">
        <v>22331</v>
      </c>
      <c r="FVM1" t="s">
        <v>22332</v>
      </c>
      <c r="FVN1" t="s">
        <v>22333</v>
      </c>
      <c r="FVO1" t="s">
        <v>22334</v>
      </c>
      <c r="FVP1" t="s">
        <v>22335</v>
      </c>
      <c r="FVQ1" t="s">
        <v>22336</v>
      </c>
      <c r="FVR1" t="s">
        <v>22337</v>
      </c>
      <c r="FVS1" t="s">
        <v>22338</v>
      </c>
      <c r="FVT1" t="s">
        <v>22339</v>
      </c>
      <c r="FVU1" t="s">
        <v>22340</v>
      </c>
      <c r="FVV1" t="s">
        <v>22341</v>
      </c>
      <c r="FVW1" t="s">
        <v>22342</v>
      </c>
      <c r="FVX1" t="s">
        <v>22343</v>
      </c>
      <c r="FVY1" t="s">
        <v>22344</v>
      </c>
      <c r="FVZ1" t="s">
        <v>22345</v>
      </c>
      <c r="FWA1" t="s">
        <v>22346</v>
      </c>
      <c r="FWB1" t="s">
        <v>22347</v>
      </c>
      <c r="FWC1" t="s">
        <v>22348</v>
      </c>
      <c r="FWD1" t="s">
        <v>22349</v>
      </c>
      <c r="FWE1" t="s">
        <v>22350</v>
      </c>
      <c r="FWF1" t="s">
        <v>22351</v>
      </c>
      <c r="FWG1" t="s">
        <v>22352</v>
      </c>
      <c r="FWH1" t="s">
        <v>22353</v>
      </c>
      <c r="FWI1" t="s">
        <v>22354</v>
      </c>
      <c r="FWJ1" t="s">
        <v>22355</v>
      </c>
      <c r="FWK1" t="s">
        <v>22356</v>
      </c>
      <c r="FWL1" t="s">
        <v>22357</v>
      </c>
      <c r="FWM1" t="s">
        <v>22358</v>
      </c>
      <c r="FWN1" t="s">
        <v>22359</v>
      </c>
      <c r="FWO1" t="s">
        <v>22360</v>
      </c>
      <c r="FWP1" t="s">
        <v>22361</v>
      </c>
      <c r="FWQ1" t="s">
        <v>22362</v>
      </c>
      <c r="FWR1" t="s">
        <v>22363</v>
      </c>
      <c r="FWS1" t="s">
        <v>22364</v>
      </c>
      <c r="FWT1" t="s">
        <v>22365</v>
      </c>
      <c r="FWU1" t="s">
        <v>22366</v>
      </c>
      <c r="FWV1" t="s">
        <v>22367</v>
      </c>
      <c r="FWW1" t="s">
        <v>22368</v>
      </c>
      <c r="FWX1" t="s">
        <v>22369</v>
      </c>
      <c r="FWY1" t="s">
        <v>22370</v>
      </c>
      <c r="FWZ1" t="s">
        <v>22371</v>
      </c>
      <c r="FXA1" t="s">
        <v>22372</v>
      </c>
      <c r="FXB1" t="s">
        <v>22373</v>
      </c>
      <c r="FXC1" t="s">
        <v>22374</v>
      </c>
      <c r="FXD1" t="s">
        <v>22375</v>
      </c>
      <c r="FXE1" t="s">
        <v>22376</v>
      </c>
      <c r="FXF1" t="s">
        <v>22377</v>
      </c>
      <c r="FXG1" t="s">
        <v>22378</v>
      </c>
      <c r="FXH1" t="s">
        <v>22379</v>
      </c>
      <c r="FXI1" t="s">
        <v>22380</v>
      </c>
      <c r="FXJ1" t="s">
        <v>22381</v>
      </c>
      <c r="FXK1" t="s">
        <v>22382</v>
      </c>
      <c r="FXL1" t="s">
        <v>22383</v>
      </c>
      <c r="FXM1" t="s">
        <v>22384</v>
      </c>
      <c r="FXN1" t="s">
        <v>22385</v>
      </c>
      <c r="FXO1" t="s">
        <v>22386</v>
      </c>
      <c r="FXP1" t="s">
        <v>22387</v>
      </c>
      <c r="FXQ1" t="s">
        <v>22388</v>
      </c>
      <c r="FXR1" t="s">
        <v>22389</v>
      </c>
      <c r="FXS1" t="s">
        <v>22390</v>
      </c>
      <c r="FXT1" t="s">
        <v>22391</v>
      </c>
      <c r="FXU1" t="s">
        <v>22392</v>
      </c>
      <c r="FXV1" t="s">
        <v>22393</v>
      </c>
      <c r="FXW1" t="s">
        <v>22394</v>
      </c>
      <c r="FXX1" t="s">
        <v>22395</v>
      </c>
      <c r="FXY1" t="s">
        <v>22396</v>
      </c>
      <c r="FXZ1" t="s">
        <v>22397</v>
      </c>
      <c r="FYA1" t="s">
        <v>22398</v>
      </c>
      <c r="FYB1" t="s">
        <v>22399</v>
      </c>
      <c r="FYC1" t="s">
        <v>22400</v>
      </c>
      <c r="FYD1" t="s">
        <v>22401</v>
      </c>
      <c r="FYE1" t="s">
        <v>22402</v>
      </c>
      <c r="FYF1" t="s">
        <v>22403</v>
      </c>
      <c r="FYG1" t="s">
        <v>22404</v>
      </c>
      <c r="FYH1" t="s">
        <v>22405</v>
      </c>
      <c r="FYI1" t="s">
        <v>22406</v>
      </c>
      <c r="FYJ1" t="s">
        <v>22407</v>
      </c>
      <c r="FYK1" t="s">
        <v>22408</v>
      </c>
      <c r="FYL1" t="s">
        <v>22409</v>
      </c>
      <c r="FYM1" t="s">
        <v>22410</v>
      </c>
      <c r="FYN1" t="s">
        <v>22411</v>
      </c>
      <c r="FYO1" t="s">
        <v>22412</v>
      </c>
      <c r="FYP1" t="s">
        <v>22413</v>
      </c>
      <c r="FYQ1" t="s">
        <v>22414</v>
      </c>
      <c r="FYR1" t="s">
        <v>22415</v>
      </c>
      <c r="FYS1" t="s">
        <v>22416</v>
      </c>
      <c r="FYT1" t="s">
        <v>22417</v>
      </c>
      <c r="FYU1" t="s">
        <v>22418</v>
      </c>
      <c r="FYV1" t="s">
        <v>22419</v>
      </c>
      <c r="FYW1" t="s">
        <v>22420</v>
      </c>
      <c r="FYX1" t="s">
        <v>22421</v>
      </c>
      <c r="FYY1" t="s">
        <v>22422</v>
      </c>
      <c r="FYZ1" t="s">
        <v>22423</v>
      </c>
      <c r="FZA1" t="s">
        <v>22424</v>
      </c>
      <c r="FZB1" t="s">
        <v>22425</v>
      </c>
      <c r="FZC1" t="s">
        <v>22426</v>
      </c>
      <c r="FZD1" t="s">
        <v>22427</v>
      </c>
      <c r="FZE1" t="s">
        <v>22428</v>
      </c>
      <c r="FZF1" t="s">
        <v>22429</v>
      </c>
      <c r="FZG1" t="s">
        <v>22430</v>
      </c>
      <c r="FZH1" t="s">
        <v>22431</v>
      </c>
      <c r="FZI1" t="s">
        <v>22432</v>
      </c>
      <c r="FZJ1" t="s">
        <v>22433</v>
      </c>
      <c r="FZK1" t="s">
        <v>22434</v>
      </c>
      <c r="FZL1" t="s">
        <v>22435</v>
      </c>
      <c r="FZM1" t="s">
        <v>22436</v>
      </c>
      <c r="FZN1" t="s">
        <v>22437</v>
      </c>
      <c r="FZO1" t="s">
        <v>22438</v>
      </c>
      <c r="FZP1" t="s">
        <v>22439</v>
      </c>
      <c r="FZQ1" t="s">
        <v>22440</v>
      </c>
      <c r="FZR1" t="s">
        <v>22441</v>
      </c>
      <c r="FZS1" t="s">
        <v>22442</v>
      </c>
      <c r="FZT1" t="s">
        <v>22443</v>
      </c>
      <c r="FZU1" t="s">
        <v>22444</v>
      </c>
      <c r="FZV1" t="s">
        <v>22445</v>
      </c>
      <c r="FZW1" t="s">
        <v>22446</v>
      </c>
      <c r="FZX1" t="s">
        <v>22447</v>
      </c>
      <c r="FZY1" t="s">
        <v>22448</v>
      </c>
      <c r="FZZ1" t="s">
        <v>22449</v>
      </c>
      <c r="GAA1" t="s">
        <v>22450</v>
      </c>
      <c r="GAB1" t="s">
        <v>22451</v>
      </c>
      <c r="GAC1" t="s">
        <v>22452</v>
      </c>
      <c r="GAD1" t="s">
        <v>22453</v>
      </c>
      <c r="GAE1" t="s">
        <v>22454</v>
      </c>
      <c r="GAF1" t="s">
        <v>22455</v>
      </c>
      <c r="GAG1" t="s">
        <v>22456</v>
      </c>
      <c r="GAH1" t="s">
        <v>22457</v>
      </c>
      <c r="GAI1" t="s">
        <v>22458</v>
      </c>
      <c r="GAJ1" t="s">
        <v>22459</v>
      </c>
      <c r="GAK1" t="s">
        <v>22460</v>
      </c>
      <c r="GAL1" t="s">
        <v>22461</v>
      </c>
      <c r="GAM1" t="s">
        <v>22462</v>
      </c>
      <c r="GAN1" t="s">
        <v>22463</v>
      </c>
      <c r="GAO1" t="s">
        <v>22464</v>
      </c>
      <c r="GAP1" t="s">
        <v>22465</v>
      </c>
      <c r="GAQ1" t="s">
        <v>22466</v>
      </c>
      <c r="GAR1" t="s">
        <v>22467</v>
      </c>
      <c r="GAS1" t="s">
        <v>22468</v>
      </c>
      <c r="GAT1" t="s">
        <v>22469</v>
      </c>
      <c r="GAU1" t="s">
        <v>22470</v>
      </c>
      <c r="GAV1" t="s">
        <v>22471</v>
      </c>
      <c r="GAW1" t="s">
        <v>22472</v>
      </c>
      <c r="GAX1" t="s">
        <v>22473</v>
      </c>
      <c r="GAY1" t="s">
        <v>22474</v>
      </c>
      <c r="GAZ1" t="s">
        <v>22475</v>
      </c>
      <c r="GBA1" t="s">
        <v>22476</v>
      </c>
      <c r="GBB1" t="s">
        <v>22477</v>
      </c>
      <c r="GBC1" t="s">
        <v>22478</v>
      </c>
      <c r="GBD1" t="s">
        <v>22479</v>
      </c>
      <c r="GBE1" t="s">
        <v>22480</v>
      </c>
      <c r="GBF1" t="s">
        <v>22481</v>
      </c>
      <c r="GBG1" t="s">
        <v>22482</v>
      </c>
      <c r="GBH1" t="s">
        <v>22483</v>
      </c>
      <c r="GBI1" t="s">
        <v>22484</v>
      </c>
      <c r="GBJ1" t="s">
        <v>22485</v>
      </c>
      <c r="GBK1" t="s">
        <v>22486</v>
      </c>
      <c r="GBL1" t="s">
        <v>22487</v>
      </c>
      <c r="GBM1" t="s">
        <v>22488</v>
      </c>
      <c r="GBN1" t="s">
        <v>22489</v>
      </c>
      <c r="GBO1" t="s">
        <v>22490</v>
      </c>
      <c r="GBP1" t="s">
        <v>22491</v>
      </c>
      <c r="GBQ1" t="s">
        <v>22492</v>
      </c>
      <c r="GBR1" t="s">
        <v>22493</v>
      </c>
      <c r="GBS1" t="s">
        <v>22494</v>
      </c>
      <c r="GBT1" t="s">
        <v>22495</v>
      </c>
      <c r="GBU1" t="s">
        <v>22496</v>
      </c>
      <c r="GBV1" t="s">
        <v>22497</v>
      </c>
      <c r="GBW1" t="s">
        <v>22498</v>
      </c>
      <c r="GBX1" t="s">
        <v>22499</v>
      </c>
      <c r="GBY1" t="s">
        <v>22500</v>
      </c>
      <c r="GBZ1" t="s">
        <v>22501</v>
      </c>
      <c r="GCA1" t="s">
        <v>22502</v>
      </c>
      <c r="GCB1" t="s">
        <v>22503</v>
      </c>
      <c r="GCC1" t="s">
        <v>22504</v>
      </c>
      <c r="GCD1" t="s">
        <v>22505</v>
      </c>
      <c r="GCE1" t="s">
        <v>22506</v>
      </c>
      <c r="GCF1" t="s">
        <v>22507</v>
      </c>
      <c r="GCG1" t="s">
        <v>22508</v>
      </c>
      <c r="GCH1" t="s">
        <v>22509</v>
      </c>
      <c r="GCI1" t="s">
        <v>22510</v>
      </c>
      <c r="GCJ1" t="s">
        <v>22511</v>
      </c>
      <c r="GCK1" t="s">
        <v>22512</v>
      </c>
      <c r="GCL1" t="s">
        <v>22513</v>
      </c>
      <c r="GCM1" t="s">
        <v>22514</v>
      </c>
      <c r="GCN1" t="s">
        <v>22515</v>
      </c>
      <c r="GCO1" t="s">
        <v>22516</v>
      </c>
      <c r="GCP1" t="s">
        <v>22517</v>
      </c>
      <c r="GCQ1" t="s">
        <v>22518</v>
      </c>
      <c r="GCR1" t="s">
        <v>22519</v>
      </c>
      <c r="GCS1" t="s">
        <v>22520</v>
      </c>
      <c r="GCT1" t="s">
        <v>22521</v>
      </c>
      <c r="GCU1" t="s">
        <v>22522</v>
      </c>
      <c r="GCV1" t="s">
        <v>22523</v>
      </c>
      <c r="GCW1" t="s">
        <v>22524</v>
      </c>
      <c r="GCX1" t="s">
        <v>22525</v>
      </c>
      <c r="GCY1" t="s">
        <v>22526</v>
      </c>
      <c r="GCZ1" t="s">
        <v>22527</v>
      </c>
      <c r="GDA1" t="s">
        <v>22528</v>
      </c>
      <c r="GDB1" t="s">
        <v>22529</v>
      </c>
      <c r="GDC1" t="s">
        <v>22530</v>
      </c>
      <c r="GDD1" t="s">
        <v>22531</v>
      </c>
      <c r="GDE1" t="s">
        <v>22532</v>
      </c>
      <c r="GDF1" t="s">
        <v>22533</v>
      </c>
      <c r="GDG1" t="s">
        <v>22534</v>
      </c>
      <c r="GDH1" t="s">
        <v>22535</v>
      </c>
      <c r="GDI1" t="s">
        <v>22536</v>
      </c>
      <c r="GDJ1" t="s">
        <v>22537</v>
      </c>
      <c r="GDK1" t="s">
        <v>22538</v>
      </c>
      <c r="GDL1" t="s">
        <v>22539</v>
      </c>
      <c r="GDM1" t="s">
        <v>22540</v>
      </c>
      <c r="GDN1" t="s">
        <v>22541</v>
      </c>
      <c r="GDO1" t="s">
        <v>22542</v>
      </c>
      <c r="GDP1" t="s">
        <v>22543</v>
      </c>
      <c r="GDQ1" t="s">
        <v>22544</v>
      </c>
      <c r="GDR1" t="s">
        <v>22545</v>
      </c>
      <c r="GDS1" t="s">
        <v>22546</v>
      </c>
      <c r="GDT1" t="s">
        <v>22547</v>
      </c>
      <c r="GDU1" t="s">
        <v>22548</v>
      </c>
      <c r="GDV1" t="s">
        <v>22549</v>
      </c>
      <c r="GDW1" t="s">
        <v>22550</v>
      </c>
      <c r="GDX1" t="s">
        <v>22551</v>
      </c>
      <c r="GDY1" t="s">
        <v>22552</v>
      </c>
      <c r="GDZ1" t="s">
        <v>22553</v>
      </c>
      <c r="GEA1" t="s">
        <v>22554</v>
      </c>
      <c r="GEB1" t="s">
        <v>22555</v>
      </c>
      <c r="GEC1" t="s">
        <v>22556</v>
      </c>
      <c r="GED1" t="s">
        <v>22557</v>
      </c>
      <c r="GEE1" t="s">
        <v>22558</v>
      </c>
      <c r="GEF1" t="s">
        <v>22559</v>
      </c>
      <c r="GEG1" t="s">
        <v>22560</v>
      </c>
      <c r="GEH1" t="s">
        <v>22561</v>
      </c>
      <c r="GEI1" t="s">
        <v>22562</v>
      </c>
      <c r="GEJ1" t="s">
        <v>22563</v>
      </c>
      <c r="GEK1" t="s">
        <v>22564</v>
      </c>
      <c r="GEL1" t="s">
        <v>22565</v>
      </c>
      <c r="GEM1" t="s">
        <v>22566</v>
      </c>
      <c r="GEN1" t="s">
        <v>22567</v>
      </c>
      <c r="GEO1" t="s">
        <v>22568</v>
      </c>
      <c r="GEP1" t="s">
        <v>22569</v>
      </c>
      <c r="GEQ1" t="s">
        <v>22570</v>
      </c>
      <c r="GER1" t="s">
        <v>22571</v>
      </c>
      <c r="GES1" t="s">
        <v>22572</v>
      </c>
      <c r="GET1" t="s">
        <v>22573</v>
      </c>
      <c r="GEU1" t="s">
        <v>22574</v>
      </c>
      <c r="GEV1" t="s">
        <v>22575</v>
      </c>
      <c r="GEW1" t="s">
        <v>22576</v>
      </c>
      <c r="GEX1" t="s">
        <v>22577</v>
      </c>
      <c r="GEY1" t="s">
        <v>22578</v>
      </c>
      <c r="GEZ1" t="s">
        <v>22579</v>
      </c>
      <c r="GFA1" t="s">
        <v>22580</v>
      </c>
      <c r="GFB1" t="s">
        <v>22581</v>
      </c>
      <c r="GFC1" t="s">
        <v>22582</v>
      </c>
      <c r="GFD1" t="s">
        <v>22583</v>
      </c>
      <c r="GFE1" t="s">
        <v>22584</v>
      </c>
      <c r="GFF1" t="s">
        <v>22585</v>
      </c>
      <c r="GFG1" t="s">
        <v>22586</v>
      </c>
      <c r="GFH1" t="s">
        <v>22587</v>
      </c>
      <c r="GFI1" t="s">
        <v>22588</v>
      </c>
      <c r="GFJ1" t="s">
        <v>22589</v>
      </c>
      <c r="GFK1" t="s">
        <v>22590</v>
      </c>
      <c r="GFL1" t="s">
        <v>22591</v>
      </c>
      <c r="GFM1" t="s">
        <v>22592</v>
      </c>
      <c r="GFN1" t="s">
        <v>22593</v>
      </c>
      <c r="GFO1" t="s">
        <v>22594</v>
      </c>
      <c r="GFP1" t="s">
        <v>22595</v>
      </c>
      <c r="GFQ1" t="s">
        <v>22596</v>
      </c>
      <c r="GFR1" t="s">
        <v>22597</v>
      </c>
      <c r="GFS1" t="s">
        <v>22598</v>
      </c>
      <c r="GFT1" t="s">
        <v>22599</v>
      </c>
      <c r="GFU1" t="s">
        <v>22600</v>
      </c>
      <c r="GFV1" t="s">
        <v>22601</v>
      </c>
      <c r="GFW1" t="s">
        <v>22602</v>
      </c>
      <c r="GFX1" t="s">
        <v>22603</v>
      </c>
      <c r="GFY1" t="s">
        <v>22604</v>
      </c>
      <c r="GFZ1" t="s">
        <v>22605</v>
      </c>
      <c r="GGA1" t="s">
        <v>22606</v>
      </c>
      <c r="GGB1" t="s">
        <v>22607</v>
      </c>
      <c r="GGC1" t="s">
        <v>22608</v>
      </c>
      <c r="GGD1" t="s">
        <v>22609</v>
      </c>
      <c r="GGE1" t="s">
        <v>22610</v>
      </c>
      <c r="GGF1" t="s">
        <v>22611</v>
      </c>
      <c r="GGG1" t="s">
        <v>22612</v>
      </c>
      <c r="GGH1" t="s">
        <v>22613</v>
      </c>
      <c r="GGI1" t="s">
        <v>22614</v>
      </c>
      <c r="GGJ1" t="s">
        <v>22615</v>
      </c>
      <c r="GGK1" t="s">
        <v>22616</v>
      </c>
      <c r="GGL1" t="s">
        <v>22617</v>
      </c>
      <c r="GGM1" t="s">
        <v>22618</v>
      </c>
      <c r="GGN1" t="s">
        <v>22619</v>
      </c>
      <c r="GGO1" t="s">
        <v>22620</v>
      </c>
      <c r="GGP1" t="s">
        <v>22621</v>
      </c>
      <c r="GGQ1" t="s">
        <v>22622</v>
      </c>
      <c r="GGR1" t="s">
        <v>22623</v>
      </c>
      <c r="GGS1" t="s">
        <v>22624</v>
      </c>
      <c r="GGT1" t="s">
        <v>22625</v>
      </c>
      <c r="GGU1" t="s">
        <v>22626</v>
      </c>
      <c r="GGV1" t="s">
        <v>22627</v>
      </c>
      <c r="GGW1" t="s">
        <v>22628</v>
      </c>
      <c r="GGX1" t="s">
        <v>22629</v>
      </c>
      <c r="GGY1" t="s">
        <v>22630</v>
      </c>
      <c r="GGZ1" t="s">
        <v>22631</v>
      </c>
      <c r="GHA1" t="s">
        <v>22632</v>
      </c>
      <c r="GHB1" t="s">
        <v>22633</v>
      </c>
      <c r="GHC1" t="s">
        <v>22634</v>
      </c>
      <c r="GHD1" t="s">
        <v>22635</v>
      </c>
      <c r="GHE1" t="s">
        <v>22636</v>
      </c>
      <c r="GHF1" t="s">
        <v>22637</v>
      </c>
      <c r="GHG1" t="s">
        <v>22638</v>
      </c>
      <c r="GHH1" t="s">
        <v>22639</v>
      </c>
      <c r="GHI1" t="s">
        <v>22640</v>
      </c>
      <c r="GHJ1" t="s">
        <v>22641</v>
      </c>
      <c r="GHK1" t="s">
        <v>22642</v>
      </c>
      <c r="GHL1" t="s">
        <v>22643</v>
      </c>
      <c r="GHM1" t="s">
        <v>22644</v>
      </c>
      <c r="GHN1" t="s">
        <v>22645</v>
      </c>
      <c r="GHO1" t="s">
        <v>22646</v>
      </c>
      <c r="GHP1" t="s">
        <v>22647</v>
      </c>
      <c r="GHQ1" t="s">
        <v>22648</v>
      </c>
      <c r="GHR1" t="s">
        <v>22649</v>
      </c>
      <c r="GHS1" t="s">
        <v>22650</v>
      </c>
      <c r="GHT1" t="s">
        <v>22651</v>
      </c>
      <c r="GHU1" t="s">
        <v>22652</v>
      </c>
      <c r="GHV1" t="s">
        <v>22653</v>
      </c>
      <c r="GHW1" t="s">
        <v>22654</v>
      </c>
      <c r="GHX1" t="s">
        <v>22655</v>
      </c>
      <c r="GHY1" t="s">
        <v>22656</v>
      </c>
      <c r="GHZ1" t="s">
        <v>22657</v>
      </c>
      <c r="GIA1" t="s">
        <v>22658</v>
      </c>
      <c r="GIB1" t="s">
        <v>22659</v>
      </c>
      <c r="GIC1" t="s">
        <v>22660</v>
      </c>
      <c r="GID1" t="s">
        <v>22661</v>
      </c>
      <c r="GIE1" t="s">
        <v>22662</v>
      </c>
      <c r="GIF1" t="s">
        <v>22663</v>
      </c>
      <c r="GIG1" t="s">
        <v>22664</v>
      </c>
      <c r="GIH1" t="s">
        <v>22665</v>
      </c>
      <c r="GII1" t="s">
        <v>22666</v>
      </c>
      <c r="GIJ1" t="s">
        <v>22667</v>
      </c>
      <c r="GIK1" t="s">
        <v>22668</v>
      </c>
      <c r="GIL1" t="s">
        <v>22669</v>
      </c>
      <c r="GIM1" t="s">
        <v>22670</v>
      </c>
      <c r="GIN1" t="s">
        <v>22671</v>
      </c>
      <c r="GIO1" t="s">
        <v>22672</v>
      </c>
      <c r="GIP1" t="s">
        <v>22673</v>
      </c>
      <c r="GIQ1" t="s">
        <v>22674</v>
      </c>
      <c r="GIR1" t="s">
        <v>22675</v>
      </c>
      <c r="GIS1" t="s">
        <v>22676</v>
      </c>
      <c r="GIT1" t="s">
        <v>22677</v>
      </c>
      <c r="GIU1" t="s">
        <v>22678</v>
      </c>
      <c r="GIV1" t="s">
        <v>22679</v>
      </c>
      <c r="GIW1" t="s">
        <v>22680</v>
      </c>
      <c r="GIX1" t="s">
        <v>22681</v>
      </c>
      <c r="GIY1" t="s">
        <v>22682</v>
      </c>
      <c r="GIZ1" t="s">
        <v>22683</v>
      </c>
      <c r="GJA1" t="s">
        <v>22684</v>
      </c>
      <c r="GJB1" t="s">
        <v>22685</v>
      </c>
      <c r="GJC1" t="s">
        <v>22686</v>
      </c>
      <c r="GJD1" t="s">
        <v>22687</v>
      </c>
      <c r="GJE1" t="s">
        <v>22688</v>
      </c>
      <c r="GJF1" t="s">
        <v>22689</v>
      </c>
      <c r="GJG1" t="s">
        <v>22690</v>
      </c>
      <c r="GJH1" t="s">
        <v>22691</v>
      </c>
      <c r="GJI1" t="s">
        <v>22692</v>
      </c>
      <c r="GJJ1" t="s">
        <v>22693</v>
      </c>
      <c r="GJK1" t="s">
        <v>22694</v>
      </c>
      <c r="GJL1" t="s">
        <v>22695</v>
      </c>
      <c r="GJM1" t="s">
        <v>22696</v>
      </c>
      <c r="GJN1" t="s">
        <v>22697</v>
      </c>
      <c r="GJO1" t="s">
        <v>22698</v>
      </c>
      <c r="GJP1" t="s">
        <v>22699</v>
      </c>
      <c r="GJQ1" t="s">
        <v>22700</v>
      </c>
      <c r="GJR1" t="s">
        <v>22701</v>
      </c>
      <c r="GJS1" t="s">
        <v>22702</v>
      </c>
      <c r="GJT1" t="s">
        <v>22703</v>
      </c>
      <c r="GJU1" t="s">
        <v>22704</v>
      </c>
      <c r="GJV1" t="s">
        <v>22705</v>
      </c>
      <c r="GJW1" t="s">
        <v>22706</v>
      </c>
      <c r="GJX1" t="s">
        <v>22707</v>
      </c>
      <c r="GJY1" t="s">
        <v>22708</v>
      </c>
      <c r="GJZ1" t="s">
        <v>22709</v>
      </c>
      <c r="GKA1" t="s">
        <v>22710</v>
      </c>
      <c r="GKB1" t="s">
        <v>22711</v>
      </c>
      <c r="GKC1" t="s">
        <v>22712</v>
      </c>
      <c r="GKD1" t="s">
        <v>22713</v>
      </c>
      <c r="GKE1" t="s">
        <v>22714</v>
      </c>
      <c r="GKF1" t="s">
        <v>22715</v>
      </c>
      <c r="GKG1" t="s">
        <v>22716</v>
      </c>
      <c r="GKH1" t="s">
        <v>22717</v>
      </c>
      <c r="GKI1" t="s">
        <v>22718</v>
      </c>
      <c r="GKJ1" t="s">
        <v>22719</v>
      </c>
      <c r="GKK1" t="s">
        <v>22720</v>
      </c>
      <c r="GKL1" t="s">
        <v>22721</v>
      </c>
      <c r="GKM1" t="s">
        <v>22722</v>
      </c>
      <c r="GKN1" t="s">
        <v>22723</v>
      </c>
      <c r="GKO1" t="s">
        <v>22724</v>
      </c>
      <c r="GKP1" t="s">
        <v>22725</v>
      </c>
      <c r="GKQ1" t="s">
        <v>22726</v>
      </c>
      <c r="GKR1" t="s">
        <v>22727</v>
      </c>
      <c r="GKS1" t="s">
        <v>22728</v>
      </c>
      <c r="GKT1" t="s">
        <v>22729</v>
      </c>
      <c r="GKU1" t="s">
        <v>22730</v>
      </c>
      <c r="GKV1" t="s">
        <v>22731</v>
      </c>
      <c r="GKW1" t="s">
        <v>22732</v>
      </c>
      <c r="GKX1" t="s">
        <v>22733</v>
      </c>
      <c r="GKY1" t="s">
        <v>22734</v>
      </c>
      <c r="GKZ1" t="s">
        <v>22735</v>
      </c>
      <c r="GLA1" t="s">
        <v>22736</v>
      </c>
      <c r="GLB1" t="s">
        <v>22737</v>
      </c>
      <c r="GLC1" t="s">
        <v>22738</v>
      </c>
      <c r="GLD1" t="s">
        <v>22739</v>
      </c>
      <c r="GLE1" t="s">
        <v>22740</v>
      </c>
      <c r="GLF1" t="s">
        <v>22741</v>
      </c>
      <c r="GLG1" t="s">
        <v>22742</v>
      </c>
      <c r="GLH1" t="s">
        <v>22743</v>
      </c>
      <c r="GLI1" t="s">
        <v>22744</v>
      </c>
      <c r="GLJ1" t="s">
        <v>22745</v>
      </c>
      <c r="GLK1" t="s">
        <v>22746</v>
      </c>
      <c r="GLL1" t="s">
        <v>22747</v>
      </c>
      <c r="GLM1" t="s">
        <v>22748</v>
      </c>
      <c r="GLN1" t="s">
        <v>22749</v>
      </c>
      <c r="GLO1" t="s">
        <v>22750</v>
      </c>
      <c r="GLP1" t="s">
        <v>22751</v>
      </c>
      <c r="GLQ1" t="s">
        <v>22752</v>
      </c>
      <c r="GLR1" t="s">
        <v>22753</v>
      </c>
      <c r="GLS1" t="s">
        <v>22754</v>
      </c>
      <c r="GLT1" t="s">
        <v>22755</v>
      </c>
      <c r="GLU1" t="s">
        <v>22756</v>
      </c>
      <c r="GLV1" t="s">
        <v>22757</v>
      </c>
      <c r="GLW1" t="s">
        <v>22758</v>
      </c>
      <c r="GLX1" t="s">
        <v>22759</v>
      </c>
      <c r="GLY1" t="s">
        <v>22760</v>
      </c>
      <c r="GLZ1" t="s">
        <v>22761</v>
      </c>
      <c r="GMA1" t="s">
        <v>22762</v>
      </c>
      <c r="GMB1" t="s">
        <v>22763</v>
      </c>
      <c r="GMC1" t="s">
        <v>22764</v>
      </c>
      <c r="GMD1" t="s">
        <v>22765</v>
      </c>
      <c r="GME1" t="s">
        <v>22766</v>
      </c>
      <c r="GMF1" t="s">
        <v>22767</v>
      </c>
      <c r="GMG1" t="s">
        <v>22768</v>
      </c>
      <c r="GMH1" t="s">
        <v>22769</v>
      </c>
      <c r="GMI1" t="s">
        <v>22770</v>
      </c>
      <c r="GMJ1" t="s">
        <v>22771</v>
      </c>
      <c r="GMK1" t="s">
        <v>22772</v>
      </c>
      <c r="GML1" t="s">
        <v>22773</v>
      </c>
      <c r="GMM1" t="s">
        <v>22774</v>
      </c>
      <c r="GMN1" t="s">
        <v>22775</v>
      </c>
      <c r="GMO1" t="s">
        <v>22776</v>
      </c>
      <c r="GMP1" t="s">
        <v>22777</v>
      </c>
      <c r="GMQ1" t="s">
        <v>22778</v>
      </c>
      <c r="GMR1" t="s">
        <v>22779</v>
      </c>
      <c r="GMS1" t="s">
        <v>22780</v>
      </c>
      <c r="GMT1" t="s">
        <v>22781</v>
      </c>
      <c r="GMU1" t="s">
        <v>22782</v>
      </c>
      <c r="GMV1" t="s">
        <v>22783</v>
      </c>
      <c r="GMW1" t="s">
        <v>22784</v>
      </c>
      <c r="GMX1" t="s">
        <v>22785</v>
      </c>
      <c r="GMY1" t="s">
        <v>22786</v>
      </c>
      <c r="GMZ1" t="s">
        <v>22787</v>
      </c>
      <c r="GNA1" t="s">
        <v>22788</v>
      </c>
      <c r="GNB1" t="s">
        <v>22789</v>
      </c>
      <c r="GNC1" t="s">
        <v>22790</v>
      </c>
      <c r="GND1" t="s">
        <v>22791</v>
      </c>
      <c r="GNE1" t="s">
        <v>22792</v>
      </c>
      <c r="GNF1" t="s">
        <v>22793</v>
      </c>
      <c r="GNG1" t="s">
        <v>22794</v>
      </c>
      <c r="GNH1" t="s">
        <v>22795</v>
      </c>
      <c r="GNI1" t="s">
        <v>22796</v>
      </c>
      <c r="GNJ1" t="s">
        <v>22797</v>
      </c>
      <c r="GNK1" t="s">
        <v>22798</v>
      </c>
      <c r="GNL1" t="s">
        <v>22799</v>
      </c>
      <c r="GNM1" t="s">
        <v>22800</v>
      </c>
      <c r="GNN1" t="s">
        <v>22801</v>
      </c>
      <c r="GNO1" t="s">
        <v>22802</v>
      </c>
      <c r="GNP1" t="s">
        <v>22803</v>
      </c>
      <c r="GNQ1" t="s">
        <v>22804</v>
      </c>
      <c r="GNR1" t="s">
        <v>22805</v>
      </c>
      <c r="GNS1" t="s">
        <v>22806</v>
      </c>
      <c r="GNT1" t="s">
        <v>22807</v>
      </c>
      <c r="GNU1" t="s">
        <v>22808</v>
      </c>
      <c r="GNV1" t="s">
        <v>22809</v>
      </c>
      <c r="GNW1" t="s">
        <v>22810</v>
      </c>
      <c r="GNX1" t="s">
        <v>22811</v>
      </c>
      <c r="GNY1" t="s">
        <v>22812</v>
      </c>
      <c r="GNZ1" t="s">
        <v>22813</v>
      </c>
      <c r="GOA1" t="s">
        <v>22814</v>
      </c>
      <c r="GOB1" t="s">
        <v>22815</v>
      </c>
      <c r="GOC1" t="s">
        <v>22816</v>
      </c>
      <c r="GOD1" t="s">
        <v>22817</v>
      </c>
      <c r="GOE1" t="s">
        <v>22818</v>
      </c>
      <c r="GOF1" t="s">
        <v>22819</v>
      </c>
      <c r="GOG1" t="s">
        <v>22820</v>
      </c>
      <c r="GOH1" t="s">
        <v>22821</v>
      </c>
      <c r="GOI1" t="s">
        <v>22822</v>
      </c>
      <c r="GOJ1" t="s">
        <v>22823</v>
      </c>
      <c r="GOK1" t="s">
        <v>22824</v>
      </c>
      <c r="GOL1" t="s">
        <v>22825</v>
      </c>
      <c r="GOM1" t="s">
        <v>22826</v>
      </c>
      <c r="GON1" t="s">
        <v>22827</v>
      </c>
      <c r="GOO1" t="s">
        <v>22828</v>
      </c>
      <c r="GOP1" t="s">
        <v>22829</v>
      </c>
      <c r="GOQ1" t="s">
        <v>22830</v>
      </c>
      <c r="GOR1" t="s">
        <v>22831</v>
      </c>
      <c r="GOS1" t="s">
        <v>22832</v>
      </c>
      <c r="GOT1" t="s">
        <v>22833</v>
      </c>
      <c r="GOU1" t="s">
        <v>22834</v>
      </c>
      <c r="GOV1" t="s">
        <v>22835</v>
      </c>
      <c r="GOW1" t="s">
        <v>22836</v>
      </c>
      <c r="GOX1" t="s">
        <v>22837</v>
      </c>
      <c r="GOY1" t="s">
        <v>22838</v>
      </c>
      <c r="GOZ1" t="s">
        <v>22839</v>
      </c>
      <c r="GPA1" t="s">
        <v>22840</v>
      </c>
      <c r="GPB1" t="s">
        <v>22841</v>
      </c>
      <c r="GPC1" t="s">
        <v>22842</v>
      </c>
      <c r="GPD1" t="s">
        <v>22843</v>
      </c>
      <c r="GPE1" t="s">
        <v>22844</v>
      </c>
      <c r="GPF1" t="s">
        <v>22845</v>
      </c>
      <c r="GPG1" t="s">
        <v>22846</v>
      </c>
      <c r="GPH1" t="s">
        <v>22847</v>
      </c>
      <c r="GPI1" t="s">
        <v>22848</v>
      </c>
      <c r="GPJ1" t="s">
        <v>22849</v>
      </c>
      <c r="GPK1" t="s">
        <v>22850</v>
      </c>
      <c r="GPL1" t="s">
        <v>22851</v>
      </c>
      <c r="GPM1" t="s">
        <v>22852</v>
      </c>
      <c r="GPN1" t="s">
        <v>22853</v>
      </c>
      <c r="GPO1" t="s">
        <v>22854</v>
      </c>
      <c r="GPP1" t="s">
        <v>22855</v>
      </c>
      <c r="GPQ1" t="s">
        <v>22856</v>
      </c>
      <c r="GPR1" t="s">
        <v>22857</v>
      </c>
      <c r="GPS1" t="s">
        <v>22858</v>
      </c>
      <c r="GPT1" t="s">
        <v>22859</v>
      </c>
      <c r="GPU1" t="s">
        <v>22860</v>
      </c>
      <c r="GPV1" t="s">
        <v>22861</v>
      </c>
      <c r="GPW1" t="s">
        <v>22862</v>
      </c>
      <c r="GPX1" t="s">
        <v>22863</v>
      </c>
      <c r="GPY1" t="s">
        <v>22864</v>
      </c>
      <c r="GPZ1" t="s">
        <v>22865</v>
      </c>
      <c r="GQA1" t="s">
        <v>22866</v>
      </c>
      <c r="GQB1" t="s">
        <v>22867</v>
      </c>
      <c r="GQC1" t="s">
        <v>22868</v>
      </c>
      <c r="GQD1" t="s">
        <v>22869</v>
      </c>
      <c r="GQE1" t="s">
        <v>22870</v>
      </c>
      <c r="GQF1" t="s">
        <v>22871</v>
      </c>
      <c r="GQG1" t="s">
        <v>22872</v>
      </c>
      <c r="GQH1" t="s">
        <v>22873</v>
      </c>
      <c r="GQI1" t="s">
        <v>22874</v>
      </c>
      <c r="GQJ1" t="s">
        <v>22875</v>
      </c>
      <c r="GQK1" t="s">
        <v>22876</v>
      </c>
      <c r="GQL1" t="s">
        <v>22877</v>
      </c>
      <c r="GQM1" t="s">
        <v>22878</v>
      </c>
      <c r="GQN1" t="s">
        <v>22879</v>
      </c>
      <c r="GQO1" t="s">
        <v>22880</v>
      </c>
      <c r="GQP1" t="s">
        <v>22881</v>
      </c>
      <c r="GQQ1" t="s">
        <v>22882</v>
      </c>
      <c r="GQR1" t="s">
        <v>22883</v>
      </c>
      <c r="GQS1" t="s">
        <v>22884</v>
      </c>
      <c r="GQT1" t="s">
        <v>22885</v>
      </c>
      <c r="GQU1" t="s">
        <v>22886</v>
      </c>
      <c r="GQV1" t="s">
        <v>22887</v>
      </c>
      <c r="GQW1" t="s">
        <v>22888</v>
      </c>
      <c r="GQX1" t="s">
        <v>22889</v>
      </c>
      <c r="GQY1" t="s">
        <v>22890</v>
      </c>
      <c r="GQZ1" t="s">
        <v>22891</v>
      </c>
      <c r="GRA1" t="s">
        <v>22892</v>
      </c>
      <c r="GRB1" t="s">
        <v>22893</v>
      </c>
      <c r="GRC1" t="s">
        <v>22894</v>
      </c>
      <c r="GRD1" t="s">
        <v>22895</v>
      </c>
      <c r="GRE1" t="s">
        <v>22896</v>
      </c>
      <c r="GRF1" t="s">
        <v>22897</v>
      </c>
      <c r="GRG1" t="s">
        <v>22898</v>
      </c>
      <c r="GRH1" t="s">
        <v>22899</v>
      </c>
      <c r="GRI1" t="s">
        <v>22900</v>
      </c>
      <c r="GRJ1" t="s">
        <v>22901</v>
      </c>
      <c r="GRK1" t="s">
        <v>22902</v>
      </c>
      <c r="GRL1" t="s">
        <v>22903</v>
      </c>
      <c r="GRM1" t="s">
        <v>22904</v>
      </c>
      <c r="GRN1" t="s">
        <v>22905</v>
      </c>
      <c r="GRO1" t="s">
        <v>22906</v>
      </c>
      <c r="GRP1" t="s">
        <v>22907</v>
      </c>
      <c r="GRQ1" t="s">
        <v>22908</v>
      </c>
      <c r="GRR1" t="s">
        <v>22909</v>
      </c>
      <c r="GRS1" t="s">
        <v>22910</v>
      </c>
      <c r="GRT1" t="s">
        <v>22911</v>
      </c>
      <c r="GRU1" t="s">
        <v>22912</v>
      </c>
      <c r="GRV1" t="s">
        <v>22913</v>
      </c>
      <c r="GRW1" t="s">
        <v>22914</v>
      </c>
      <c r="GRX1" t="s">
        <v>22915</v>
      </c>
      <c r="GRY1" t="s">
        <v>22916</v>
      </c>
      <c r="GRZ1" t="s">
        <v>22917</v>
      </c>
      <c r="GSA1" t="s">
        <v>22918</v>
      </c>
      <c r="GSB1" t="s">
        <v>22919</v>
      </c>
      <c r="GSC1" t="s">
        <v>22920</v>
      </c>
      <c r="GSD1" t="s">
        <v>22921</v>
      </c>
      <c r="GSE1" t="s">
        <v>22922</v>
      </c>
      <c r="GSF1" t="s">
        <v>22923</v>
      </c>
      <c r="GSG1" t="s">
        <v>22924</v>
      </c>
      <c r="GSH1" t="s">
        <v>22925</v>
      </c>
      <c r="GSI1" t="s">
        <v>22926</v>
      </c>
      <c r="GSJ1" t="s">
        <v>22927</v>
      </c>
      <c r="GSK1" t="s">
        <v>22928</v>
      </c>
      <c r="GSL1" t="s">
        <v>22929</v>
      </c>
      <c r="GSM1" t="s">
        <v>22930</v>
      </c>
      <c r="GSN1" t="s">
        <v>22931</v>
      </c>
      <c r="GSO1" t="s">
        <v>22932</v>
      </c>
      <c r="GSP1" t="s">
        <v>22933</v>
      </c>
      <c r="GSQ1" t="s">
        <v>22934</v>
      </c>
      <c r="GSR1" t="s">
        <v>22935</v>
      </c>
      <c r="GSS1" t="s">
        <v>22936</v>
      </c>
      <c r="GST1" t="s">
        <v>22937</v>
      </c>
      <c r="GSU1" t="s">
        <v>22938</v>
      </c>
      <c r="GSV1" t="s">
        <v>22939</v>
      </c>
      <c r="GSW1" t="s">
        <v>22940</v>
      </c>
      <c r="GSX1" t="s">
        <v>22941</v>
      </c>
      <c r="GSY1" t="s">
        <v>22942</v>
      </c>
      <c r="GSZ1" t="s">
        <v>22943</v>
      </c>
      <c r="GTA1" t="s">
        <v>22944</v>
      </c>
      <c r="GTB1" t="s">
        <v>22945</v>
      </c>
      <c r="GTC1" t="s">
        <v>22946</v>
      </c>
      <c r="GTD1" t="s">
        <v>22947</v>
      </c>
      <c r="GTE1" t="s">
        <v>22948</v>
      </c>
      <c r="GTF1" t="s">
        <v>22949</v>
      </c>
      <c r="GTG1" t="s">
        <v>22950</v>
      </c>
      <c r="GTH1" t="s">
        <v>22951</v>
      </c>
      <c r="GTI1" t="s">
        <v>22952</v>
      </c>
      <c r="GTJ1" t="s">
        <v>22953</v>
      </c>
      <c r="GTK1" t="s">
        <v>22954</v>
      </c>
      <c r="GTL1" t="s">
        <v>22955</v>
      </c>
      <c r="GTM1" t="s">
        <v>22956</v>
      </c>
      <c r="GTN1" t="s">
        <v>22957</v>
      </c>
      <c r="GTO1" t="s">
        <v>22958</v>
      </c>
      <c r="GTP1" t="s">
        <v>22959</v>
      </c>
      <c r="GTQ1" t="s">
        <v>22960</v>
      </c>
      <c r="GTR1" t="s">
        <v>22961</v>
      </c>
      <c r="GTS1" t="s">
        <v>22962</v>
      </c>
      <c r="GTT1" t="s">
        <v>22963</v>
      </c>
      <c r="GTU1" t="s">
        <v>22964</v>
      </c>
      <c r="GTV1" t="s">
        <v>22965</v>
      </c>
      <c r="GTW1" t="s">
        <v>22966</v>
      </c>
      <c r="GTX1" t="s">
        <v>22967</v>
      </c>
      <c r="GTY1" t="s">
        <v>22968</v>
      </c>
      <c r="GTZ1" t="s">
        <v>22969</v>
      </c>
      <c r="GUA1" t="s">
        <v>22970</v>
      </c>
      <c r="GUB1" t="s">
        <v>22971</v>
      </c>
      <c r="GUC1" t="s">
        <v>22972</v>
      </c>
      <c r="GUD1" t="s">
        <v>22973</v>
      </c>
      <c r="GUE1" t="s">
        <v>22974</v>
      </c>
      <c r="GUF1" t="s">
        <v>22975</v>
      </c>
      <c r="GUG1" t="s">
        <v>22976</v>
      </c>
      <c r="GUH1" t="s">
        <v>22977</v>
      </c>
      <c r="GUI1" t="s">
        <v>22978</v>
      </c>
      <c r="GUJ1" t="s">
        <v>22979</v>
      </c>
      <c r="GUK1" t="s">
        <v>22980</v>
      </c>
      <c r="GUL1" t="s">
        <v>22981</v>
      </c>
      <c r="GUM1" t="s">
        <v>22982</v>
      </c>
      <c r="GUN1" t="s">
        <v>22983</v>
      </c>
      <c r="GUO1" t="s">
        <v>22984</v>
      </c>
      <c r="GUP1" t="s">
        <v>22985</v>
      </c>
      <c r="GUQ1" t="s">
        <v>22986</v>
      </c>
      <c r="GUR1" t="s">
        <v>22987</v>
      </c>
      <c r="GUS1" t="s">
        <v>22988</v>
      </c>
      <c r="GUT1" t="s">
        <v>22989</v>
      </c>
      <c r="GUU1" t="s">
        <v>22990</v>
      </c>
      <c r="GUV1" t="s">
        <v>22991</v>
      </c>
      <c r="GUW1" t="s">
        <v>22992</v>
      </c>
      <c r="GUX1" t="s">
        <v>22993</v>
      </c>
      <c r="GUY1" t="s">
        <v>22994</v>
      </c>
      <c r="GUZ1" t="s">
        <v>22995</v>
      </c>
      <c r="GVA1" t="s">
        <v>22996</v>
      </c>
      <c r="GVB1" t="s">
        <v>22997</v>
      </c>
      <c r="GVC1" t="s">
        <v>22998</v>
      </c>
      <c r="GVD1" t="s">
        <v>22999</v>
      </c>
      <c r="GVE1" t="s">
        <v>23000</v>
      </c>
      <c r="GVF1" t="s">
        <v>23001</v>
      </c>
      <c r="GVG1" t="s">
        <v>23002</v>
      </c>
      <c r="GVH1" t="s">
        <v>23003</v>
      </c>
      <c r="GVI1" t="s">
        <v>23004</v>
      </c>
      <c r="GVJ1" t="s">
        <v>23005</v>
      </c>
      <c r="GVK1" t="s">
        <v>23006</v>
      </c>
      <c r="GVL1" t="s">
        <v>23007</v>
      </c>
      <c r="GVM1" t="s">
        <v>23008</v>
      </c>
      <c r="GVN1" t="s">
        <v>23009</v>
      </c>
      <c r="GVO1" t="s">
        <v>23010</v>
      </c>
      <c r="GVP1" t="s">
        <v>23011</v>
      </c>
      <c r="GVQ1" t="s">
        <v>23012</v>
      </c>
      <c r="GVR1" t="s">
        <v>23013</v>
      </c>
      <c r="GVS1" t="s">
        <v>23014</v>
      </c>
      <c r="GVT1" t="s">
        <v>23015</v>
      </c>
      <c r="GVU1" t="s">
        <v>23016</v>
      </c>
      <c r="GVV1" t="s">
        <v>23017</v>
      </c>
      <c r="GVW1" t="s">
        <v>23018</v>
      </c>
      <c r="GVX1" t="s">
        <v>23019</v>
      </c>
      <c r="GVY1" t="s">
        <v>23020</v>
      </c>
      <c r="GVZ1" t="s">
        <v>23021</v>
      </c>
      <c r="GWA1" t="s">
        <v>23022</v>
      </c>
      <c r="GWB1" t="s">
        <v>23023</v>
      </c>
      <c r="GWC1" t="s">
        <v>23024</v>
      </c>
      <c r="GWD1" t="s">
        <v>23025</v>
      </c>
      <c r="GWE1" t="s">
        <v>23026</v>
      </c>
      <c r="GWF1" t="s">
        <v>23027</v>
      </c>
      <c r="GWG1" t="s">
        <v>23028</v>
      </c>
      <c r="GWH1" t="s">
        <v>23029</v>
      </c>
      <c r="GWI1" t="s">
        <v>23030</v>
      </c>
      <c r="GWJ1" t="s">
        <v>23031</v>
      </c>
      <c r="GWK1" t="s">
        <v>23032</v>
      </c>
      <c r="GWL1" t="s">
        <v>23033</v>
      </c>
      <c r="GWM1" t="s">
        <v>23034</v>
      </c>
      <c r="GWN1" t="s">
        <v>23035</v>
      </c>
      <c r="GWO1" t="s">
        <v>23036</v>
      </c>
      <c r="GWP1" t="s">
        <v>23037</v>
      </c>
      <c r="GWQ1" t="s">
        <v>23038</v>
      </c>
      <c r="GWR1" t="s">
        <v>23039</v>
      </c>
      <c r="GWS1" t="s">
        <v>23040</v>
      </c>
      <c r="GWT1" t="s">
        <v>23041</v>
      </c>
      <c r="GWU1" t="s">
        <v>23042</v>
      </c>
      <c r="GWV1" t="s">
        <v>23043</v>
      </c>
      <c r="GWW1" t="s">
        <v>23044</v>
      </c>
      <c r="GWX1" t="s">
        <v>23045</v>
      </c>
      <c r="GWY1" t="s">
        <v>23046</v>
      </c>
      <c r="GWZ1" t="s">
        <v>23047</v>
      </c>
      <c r="GXA1" t="s">
        <v>23048</v>
      </c>
      <c r="GXB1" t="s">
        <v>23049</v>
      </c>
      <c r="GXC1" t="s">
        <v>23050</v>
      </c>
      <c r="GXD1" t="s">
        <v>23051</v>
      </c>
      <c r="GXE1" t="s">
        <v>23052</v>
      </c>
      <c r="GXF1" t="s">
        <v>23053</v>
      </c>
      <c r="GXG1" t="s">
        <v>23054</v>
      </c>
      <c r="GXH1" t="s">
        <v>23055</v>
      </c>
      <c r="GXI1" t="s">
        <v>23056</v>
      </c>
      <c r="GXJ1" t="s">
        <v>23057</v>
      </c>
      <c r="GXK1" t="s">
        <v>23058</v>
      </c>
      <c r="GXL1" t="s">
        <v>23059</v>
      </c>
      <c r="GXM1" t="s">
        <v>23060</v>
      </c>
      <c r="GXN1" t="s">
        <v>23061</v>
      </c>
      <c r="GXO1" t="s">
        <v>23062</v>
      </c>
      <c r="GXP1" t="s">
        <v>23063</v>
      </c>
      <c r="GXQ1" t="s">
        <v>23064</v>
      </c>
      <c r="GXR1" t="s">
        <v>23065</v>
      </c>
      <c r="GXS1" t="s">
        <v>23066</v>
      </c>
      <c r="GXT1" t="s">
        <v>23067</v>
      </c>
      <c r="GXU1" t="s">
        <v>23068</v>
      </c>
      <c r="GXV1" t="s">
        <v>23069</v>
      </c>
      <c r="GXW1" t="s">
        <v>23070</v>
      </c>
      <c r="GXX1" t="s">
        <v>23071</v>
      </c>
      <c r="GXY1" t="s">
        <v>23072</v>
      </c>
      <c r="GXZ1" t="s">
        <v>23073</v>
      </c>
      <c r="GYA1" t="s">
        <v>23074</v>
      </c>
      <c r="GYB1" t="s">
        <v>23075</v>
      </c>
      <c r="GYC1" t="s">
        <v>23076</v>
      </c>
      <c r="GYD1" t="s">
        <v>23077</v>
      </c>
      <c r="GYE1" t="s">
        <v>23078</v>
      </c>
      <c r="GYF1" t="s">
        <v>23079</v>
      </c>
      <c r="GYG1" t="s">
        <v>23080</v>
      </c>
      <c r="GYH1" t="s">
        <v>23081</v>
      </c>
      <c r="GYI1" t="s">
        <v>23082</v>
      </c>
      <c r="GYJ1" t="s">
        <v>23083</v>
      </c>
      <c r="GYK1" t="s">
        <v>23084</v>
      </c>
      <c r="GYL1" t="s">
        <v>23085</v>
      </c>
      <c r="GYM1" t="s">
        <v>23086</v>
      </c>
      <c r="GYN1" t="s">
        <v>23087</v>
      </c>
      <c r="GYO1" t="s">
        <v>23088</v>
      </c>
      <c r="GYP1" t="s">
        <v>23089</v>
      </c>
      <c r="GYQ1" t="s">
        <v>23090</v>
      </c>
      <c r="GYR1" t="s">
        <v>23091</v>
      </c>
      <c r="GYS1" t="s">
        <v>23092</v>
      </c>
      <c r="GYT1" t="s">
        <v>23093</v>
      </c>
      <c r="GYU1" t="s">
        <v>23094</v>
      </c>
      <c r="GYV1" t="s">
        <v>23095</v>
      </c>
      <c r="GYW1" t="s">
        <v>23096</v>
      </c>
      <c r="GYX1" t="s">
        <v>23097</v>
      </c>
      <c r="GYY1" t="s">
        <v>23098</v>
      </c>
      <c r="GYZ1" t="s">
        <v>23099</v>
      </c>
      <c r="GZA1" t="s">
        <v>23100</v>
      </c>
      <c r="GZB1" t="s">
        <v>23101</v>
      </c>
      <c r="GZC1" t="s">
        <v>23102</v>
      </c>
      <c r="GZD1" t="s">
        <v>23103</v>
      </c>
      <c r="GZE1" t="s">
        <v>23104</v>
      </c>
      <c r="GZF1" t="s">
        <v>23105</v>
      </c>
      <c r="GZG1" t="s">
        <v>23106</v>
      </c>
      <c r="GZH1" t="s">
        <v>23107</v>
      </c>
      <c r="GZI1" t="s">
        <v>23108</v>
      </c>
      <c r="GZJ1" t="s">
        <v>23109</v>
      </c>
      <c r="GZK1" t="s">
        <v>23110</v>
      </c>
      <c r="GZL1" t="s">
        <v>23111</v>
      </c>
      <c r="GZM1" t="s">
        <v>23112</v>
      </c>
      <c r="GZN1" t="s">
        <v>23113</v>
      </c>
      <c r="GZO1" t="s">
        <v>23114</v>
      </c>
      <c r="GZP1" t="s">
        <v>23115</v>
      </c>
      <c r="GZQ1" t="s">
        <v>23116</v>
      </c>
      <c r="GZR1" t="s">
        <v>23117</v>
      </c>
      <c r="GZS1" t="s">
        <v>23118</v>
      </c>
      <c r="GZT1" t="s">
        <v>23119</v>
      </c>
      <c r="GZU1" t="s">
        <v>23120</v>
      </c>
      <c r="GZV1" t="s">
        <v>23121</v>
      </c>
      <c r="GZW1" t="s">
        <v>23122</v>
      </c>
      <c r="GZX1" t="s">
        <v>23123</v>
      </c>
      <c r="GZY1" t="s">
        <v>23124</v>
      </c>
      <c r="GZZ1" t="s">
        <v>23125</v>
      </c>
      <c r="HAA1" t="s">
        <v>23126</v>
      </c>
      <c r="HAB1" t="s">
        <v>23127</v>
      </c>
      <c r="HAC1" t="s">
        <v>23128</v>
      </c>
      <c r="HAD1" t="s">
        <v>23129</v>
      </c>
      <c r="HAE1" t="s">
        <v>23130</v>
      </c>
      <c r="HAF1" t="s">
        <v>23131</v>
      </c>
      <c r="HAG1" t="s">
        <v>23132</v>
      </c>
      <c r="HAH1" t="s">
        <v>23133</v>
      </c>
      <c r="HAI1" t="s">
        <v>23134</v>
      </c>
      <c r="HAJ1" t="s">
        <v>23135</v>
      </c>
      <c r="HAK1" t="s">
        <v>23136</v>
      </c>
      <c r="HAL1" t="s">
        <v>23137</v>
      </c>
      <c r="HAM1" t="s">
        <v>23138</v>
      </c>
      <c r="HAN1" t="s">
        <v>23139</v>
      </c>
      <c r="HAO1" t="s">
        <v>23140</v>
      </c>
      <c r="HAP1" t="s">
        <v>23141</v>
      </c>
      <c r="HAQ1" t="s">
        <v>23142</v>
      </c>
      <c r="HAR1" t="s">
        <v>23143</v>
      </c>
      <c r="HAS1" t="s">
        <v>23144</v>
      </c>
      <c r="HAT1" t="s">
        <v>23145</v>
      </c>
      <c r="HAU1" t="s">
        <v>23146</v>
      </c>
      <c r="HAV1" t="s">
        <v>23147</v>
      </c>
      <c r="HAW1" t="s">
        <v>23148</v>
      </c>
      <c r="HAX1" t="s">
        <v>23149</v>
      </c>
      <c r="HAY1" t="s">
        <v>23150</v>
      </c>
      <c r="HAZ1" t="s">
        <v>23151</v>
      </c>
      <c r="HBA1" t="s">
        <v>23152</v>
      </c>
      <c r="HBB1" t="s">
        <v>23153</v>
      </c>
      <c r="HBC1" t="s">
        <v>23154</v>
      </c>
      <c r="HBD1" t="s">
        <v>23155</v>
      </c>
      <c r="HBE1" t="s">
        <v>23156</v>
      </c>
      <c r="HBF1" t="s">
        <v>23157</v>
      </c>
      <c r="HBG1" t="s">
        <v>23158</v>
      </c>
      <c r="HBH1" t="s">
        <v>23159</v>
      </c>
      <c r="HBI1" t="s">
        <v>23160</v>
      </c>
      <c r="HBJ1" t="s">
        <v>23161</v>
      </c>
      <c r="HBK1" t="s">
        <v>23162</v>
      </c>
      <c r="HBL1" t="s">
        <v>23163</v>
      </c>
      <c r="HBM1" t="s">
        <v>23164</v>
      </c>
      <c r="HBN1" t="s">
        <v>23165</v>
      </c>
      <c r="HBO1" t="s">
        <v>23166</v>
      </c>
      <c r="HBP1" t="s">
        <v>23167</v>
      </c>
      <c r="HBQ1" t="s">
        <v>23168</v>
      </c>
      <c r="HBR1" t="s">
        <v>23169</v>
      </c>
      <c r="HBS1" t="s">
        <v>23170</v>
      </c>
      <c r="HBT1" t="s">
        <v>23171</v>
      </c>
      <c r="HBU1" t="s">
        <v>23172</v>
      </c>
      <c r="HBV1" t="s">
        <v>23173</v>
      </c>
      <c r="HBW1" t="s">
        <v>23174</v>
      </c>
      <c r="HBX1" t="s">
        <v>23175</v>
      </c>
      <c r="HBY1" t="s">
        <v>23176</v>
      </c>
      <c r="HBZ1" t="s">
        <v>23177</v>
      </c>
      <c r="HCA1" t="s">
        <v>23178</v>
      </c>
      <c r="HCB1" t="s">
        <v>23179</v>
      </c>
      <c r="HCC1" t="s">
        <v>23180</v>
      </c>
      <c r="HCD1" t="s">
        <v>23181</v>
      </c>
      <c r="HCE1" t="s">
        <v>23182</v>
      </c>
      <c r="HCF1" t="s">
        <v>23183</v>
      </c>
      <c r="HCG1" t="s">
        <v>23184</v>
      </c>
      <c r="HCH1" t="s">
        <v>23185</v>
      </c>
      <c r="HCI1" t="s">
        <v>23186</v>
      </c>
      <c r="HCJ1" t="s">
        <v>23187</v>
      </c>
      <c r="HCK1" t="s">
        <v>23188</v>
      </c>
      <c r="HCL1" t="s">
        <v>23189</v>
      </c>
      <c r="HCM1" t="s">
        <v>23190</v>
      </c>
      <c r="HCN1" t="s">
        <v>23191</v>
      </c>
      <c r="HCO1" t="s">
        <v>23192</v>
      </c>
      <c r="HCP1" t="s">
        <v>23193</v>
      </c>
      <c r="HCQ1" t="s">
        <v>23194</v>
      </c>
      <c r="HCR1" t="s">
        <v>23195</v>
      </c>
      <c r="HCS1" t="s">
        <v>23196</v>
      </c>
      <c r="HCT1" t="s">
        <v>23197</v>
      </c>
      <c r="HCU1" t="s">
        <v>23198</v>
      </c>
      <c r="HCV1" t="s">
        <v>23199</v>
      </c>
      <c r="HCW1" t="s">
        <v>23200</v>
      </c>
      <c r="HCX1" t="s">
        <v>23201</v>
      </c>
      <c r="HCY1" t="s">
        <v>23202</v>
      </c>
      <c r="HCZ1" t="s">
        <v>23203</v>
      </c>
      <c r="HDA1" t="s">
        <v>23204</v>
      </c>
      <c r="HDB1" t="s">
        <v>23205</v>
      </c>
      <c r="HDC1" t="s">
        <v>23206</v>
      </c>
      <c r="HDD1" t="s">
        <v>23207</v>
      </c>
      <c r="HDE1" t="s">
        <v>23208</v>
      </c>
      <c r="HDF1" t="s">
        <v>23209</v>
      </c>
      <c r="HDG1" t="s">
        <v>23210</v>
      </c>
      <c r="HDH1" t="s">
        <v>23211</v>
      </c>
      <c r="HDI1" t="s">
        <v>23212</v>
      </c>
      <c r="HDJ1" t="s">
        <v>23213</v>
      </c>
      <c r="HDK1" t="s">
        <v>23214</v>
      </c>
      <c r="HDL1" t="s">
        <v>23215</v>
      </c>
      <c r="HDM1" t="s">
        <v>23216</v>
      </c>
      <c r="HDN1" t="s">
        <v>23217</v>
      </c>
      <c r="HDO1" t="s">
        <v>23218</v>
      </c>
      <c r="HDP1" t="s">
        <v>23219</v>
      </c>
      <c r="HDQ1" t="s">
        <v>23220</v>
      </c>
      <c r="HDR1" t="s">
        <v>23221</v>
      </c>
      <c r="HDS1" t="s">
        <v>23222</v>
      </c>
      <c r="HDT1" t="s">
        <v>23223</v>
      </c>
      <c r="HDU1" t="s">
        <v>23224</v>
      </c>
      <c r="HDV1" t="s">
        <v>23225</v>
      </c>
      <c r="HDW1" t="s">
        <v>23226</v>
      </c>
      <c r="HDX1" t="s">
        <v>23227</v>
      </c>
      <c r="HDY1" t="s">
        <v>23228</v>
      </c>
      <c r="HDZ1" t="s">
        <v>23229</v>
      </c>
      <c r="HEA1" t="s">
        <v>23230</v>
      </c>
      <c r="HEB1" t="s">
        <v>23231</v>
      </c>
      <c r="HEC1" t="s">
        <v>23232</v>
      </c>
      <c r="HED1" t="s">
        <v>23233</v>
      </c>
      <c r="HEE1" t="s">
        <v>23234</v>
      </c>
      <c r="HEF1" t="s">
        <v>23235</v>
      </c>
      <c r="HEG1" t="s">
        <v>23236</v>
      </c>
      <c r="HEH1" t="s">
        <v>23237</v>
      </c>
      <c r="HEI1" t="s">
        <v>23238</v>
      </c>
      <c r="HEJ1" t="s">
        <v>23239</v>
      </c>
      <c r="HEK1" t="s">
        <v>23240</v>
      </c>
      <c r="HEL1" t="s">
        <v>23241</v>
      </c>
      <c r="HEM1" t="s">
        <v>23242</v>
      </c>
      <c r="HEN1" t="s">
        <v>23243</v>
      </c>
      <c r="HEO1" t="s">
        <v>23244</v>
      </c>
      <c r="HEP1" t="s">
        <v>23245</v>
      </c>
      <c r="HEQ1" t="s">
        <v>23246</v>
      </c>
      <c r="HER1" t="s">
        <v>23247</v>
      </c>
      <c r="HES1" t="s">
        <v>23248</v>
      </c>
      <c r="HET1" t="s">
        <v>23249</v>
      </c>
      <c r="HEU1" t="s">
        <v>23250</v>
      </c>
      <c r="HEV1" t="s">
        <v>23251</v>
      </c>
      <c r="HEW1" t="s">
        <v>23252</v>
      </c>
      <c r="HEX1" t="s">
        <v>23253</v>
      </c>
      <c r="HEY1" t="s">
        <v>23254</v>
      </c>
      <c r="HEZ1" t="s">
        <v>23255</v>
      </c>
      <c r="HFA1" t="s">
        <v>23256</v>
      </c>
      <c r="HFB1" t="s">
        <v>23257</v>
      </c>
      <c r="HFC1" t="s">
        <v>23258</v>
      </c>
      <c r="HFD1" t="s">
        <v>23259</v>
      </c>
      <c r="HFE1" t="s">
        <v>23260</v>
      </c>
      <c r="HFF1" t="s">
        <v>23261</v>
      </c>
      <c r="HFG1" t="s">
        <v>23262</v>
      </c>
      <c r="HFH1" t="s">
        <v>23263</v>
      </c>
      <c r="HFI1" t="s">
        <v>23264</v>
      </c>
      <c r="HFJ1" t="s">
        <v>23265</v>
      </c>
      <c r="HFK1" t="s">
        <v>23266</v>
      </c>
      <c r="HFL1" t="s">
        <v>23267</v>
      </c>
      <c r="HFM1" t="s">
        <v>23268</v>
      </c>
      <c r="HFN1" t="s">
        <v>23269</v>
      </c>
      <c r="HFO1" t="s">
        <v>23270</v>
      </c>
      <c r="HFP1" t="s">
        <v>23271</v>
      </c>
      <c r="HFQ1" t="s">
        <v>23272</v>
      </c>
      <c r="HFR1" t="s">
        <v>23273</v>
      </c>
      <c r="HFS1" t="s">
        <v>23274</v>
      </c>
      <c r="HFT1" t="s">
        <v>23275</v>
      </c>
      <c r="HFU1" t="s">
        <v>23276</v>
      </c>
      <c r="HFV1" t="s">
        <v>23277</v>
      </c>
      <c r="HFW1" t="s">
        <v>23278</v>
      </c>
      <c r="HFX1" t="s">
        <v>23279</v>
      </c>
      <c r="HFY1" t="s">
        <v>23280</v>
      </c>
      <c r="HFZ1" t="s">
        <v>23281</v>
      </c>
      <c r="HGA1" t="s">
        <v>23282</v>
      </c>
      <c r="HGB1" t="s">
        <v>23283</v>
      </c>
      <c r="HGC1" t="s">
        <v>23284</v>
      </c>
      <c r="HGD1" t="s">
        <v>23285</v>
      </c>
      <c r="HGE1" t="s">
        <v>23286</v>
      </c>
      <c r="HGF1" t="s">
        <v>23287</v>
      </c>
      <c r="HGG1" t="s">
        <v>23288</v>
      </c>
      <c r="HGH1" t="s">
        <v>23289</v>
      </c>
      <c r="HGI1" t="s">
        <v>23290</v>
      </c>
      <c r="HGJ1" t="s">
        <v>23291</v>
      </c>
      <c r="HGK1" t="s">
        <v>23292</v>
      </c>
      <c r="HGL1" t="s">
        <v>23293</v>
      </c>
      <c r="HGM1" t="s">
        <v>23294</v>
      </c>
      <c r="HGN1" t="s">
        <v>23295</v>
      </c>
      <c r="HGO1" t="s">
        <v>23296</v>
      </c>
      <c r="HGP1" t="s">
        <v>23297</v>
      </c>
      <c r="HGQ1" t="s">
        <v>23298</v>
      </c>
      <c r="HGR1" t="s">
        <v>23299</v>
      </c>
      <c r="HGS1" t="s">
        <v>23300</v>
      </c>
      <c r="HGT1" t="s">
        <v>23301</v>
      </c>
      <c r="HGU1" t="s">
        <v>23302</v>
      </c>
      <c r="HGV1" t="s">
        <v>23303</v>
      </c>
      <c r="HGW1" t="s">
        <v>23304</v>
      </c>
      <c r="HGX1" t="s">
        <v>23305</v>
      </c>
      <c r="HGY1" t="s">
        <v>23306</v>
      </c>
      <c r="HGZ1" t="s">
        <v>23307</v>
      </c>
      <c r="HHA1" t="s">
        <v>23308</v>
      </c>
      <c r="HHB1" t="s">
        <v>23309</v>
      </c>
      <c r="HHC1" t="s">
        <v>23310</v>
      </c>
      <c r="HHD1" t="s">
        <v>23311</v>
      </c>
      <c r="HHE1" t="s">
        <v>23312</v>
      </c>
      <c r="HHF1" t="s">
        <v>23313</v>
      </c>
      <c r="HHG1" t="s">
        <v>23314</v>
      </c>
      <c r="HHH1" t="s">
        <v>23315</v>
      </c>
      <c r="HHI1" t="s">
        <v>23316</v>
      </c>
      <c r="HHJ1" t="s">
        <v>23317</v>
      </c>
      <c r="HHK1" t="s">
        <v>23318</v>
      </c>
      <c r="HHL1" t="s">
        <v>23319</v>
      </c>
      <c r="HHM1" t="s">
        <v>23320</v>
      </c>
      <c r="HHN1" t="s">
        <v>23321</v>
      </c>
      <c r="HHO1" t="s">
        <v>23322</v>
      </c>
      <c r="HHP1" t="s">
        <v>23323</v>
      </c>
      <c r="HHQ1" t="s">
        <v>23324</v>
      </c>
      <c r="HHR1" t="s">
        <v>23325</v>
      </c>
      <c r="HHS1" t="s">
        <v>23326</v>
      </c>
      <c r="HHT1" t="s">
        <v>23327</v>
      </c>
      <c r="HHU1" t="s">
        <v>23328</v>
      </c>
      <c r="HHV1" t="s">
        <v>23329</v>
      </c>
      <c r="HHW1" t="s">
        <v>23330</v>
      </c>
      <c r="HHX1" t="s">
        <v>23331</v>
      </c>
      <c r="HHY1" t="s">
        <v>23332</v>
      </c>
      <c r="HHZ1" t="s">
        <v>23333</v>
      </c>
      <c r="HIA1" t="s">
        <v>23334</v>
      </c>
      <c r="HIB1" t="s">
        <v>23335</v>
      </c>
      <c r="HIC1" t="s">
        <v>23336</v>
      </c>
      <c r="HID1" t="s">
        <v>23337</v>
      </c>
      <c r="HIE1" t="s">
        <v>23338</v>
      </c>
      <c r="HIF1" t="s">
        <v>23339</v>
      </c>
      <c r="HIG1" t="s">
        <v>23340</v>
      </c>
      <c r="HIH1" t="s">
        <v>23341</v>
      </c>
      <c r="HII1" t="s">
        <v>23342</v>
      </c>
      <c r="HIJ1" t="s">
        <v>23343</v>
      </c>
      <c r="HIK1" t="s">
        <v>23344</v>
      </c>
      <c r="HIL1" t="s">
        <v>23345</v>
      </c>
      <c r="HIM1" t="s">
        <v>23346</v>
      </c>
      <c r="HIN1" t="s">
        <v>23347</v>
      </c>
      <c r="HIO1" t="s">
        <v>23348</v>
      </c>
      <c r="HIP1" t="s">
        <v>23349</v>
      </c>
      <c r="HIQ1" t="s">
        <v>23350</v>
      </c>
      <c r="HIR1" t="s">
        <v>23351</v>
      </c>
      <c r="HIS1" t="s">
        <v>23352</v>
      </c>
      <c r="HIT1" t="s">
        <v>23353</v>
      </c>
      <c r="HIU1" t="s">
        <v>23354</v>
      </c>
      <c r="HIV1" t="s">
        <v>23355</v>
      </c>
      <c r="HIW1" t="s">
        <v>23356</v>
      </c>
      <c r="HIX1" t="s">
        <v>23357</v>
      </c>
      <c r="HIY1" t="s">
        <v>23358</v>
      </c>
      <c r="HIZ1" t="s">
        <v>23359</v>
      </c>
      <c r="HJA1" t="s">
        <v>23360</v>
      </c>
      <c r="HJB1" t="s">
        <v>23361</v>
      </c>
      <c r="HJC1" t="s">
        <v>23362</v>
      </c>
      <c r="HJD1" t="s">
        <v>23363</v>
      </c>
      <c r="HJE1" t="s">
        <v>23364</v>
      </c>
      <c r="HJF1" t="s">
        <v>23365</v>
      </c>
      <c r="HJG1" t="s">
        <v>23366</v>
      </c>
      <c r="HJH1" t="s">
        <v>23367</v>
      </c>
      <c r="HJI1" t="s">
        <v>23368</v>
      </c>
      <c r="HJJ1" t="s">
        <v>23369</v>
      </c>
      <c r="HJK1" t="s">
        <v>23370</v>
      </c>
      <c r="HJL1" t="s">
        <v>23371</v>
      </c>
      <c r="HJM1" t="s">
        <v>23372</v>
      </c>
      <c r="HJN1" t="s">
        <v>23373</v>
      </c>
      <c r="HJO1" t="s">
        <v>23374</v>
      </c>
      <c r="HJP1" t="s">
        <v>23375</v>
      </c>
      <c r="HJQ1" t="s">
        <v>23376</v>
      </c>
      <c r="HJR1" t="s">
        <v>23377</v>
      </c>
      <c r="HJS1" t="s">
        <v>23378</v>
      </c>
      <c r="HJT1" t="s">
        <v>23379</v>
      </c>
      <c r="HJU1" t="s">
        <v>23380</v>
      </c>
      <c r="HJV1" t="s">
        <v>23381</v>
      </c>
      <c r="HJW1" t="s">
        <v>23382</v>
      </c>
      <c r="HJX1" t="s">
        <v>23383</v>
      </c>
      <c r="HJY1" t="s">
        <v>23384</v>
      </c>
      <c r="HJZ1" t="s">
        <v>23385</v>
      </c>
      <c r="HKA1" t="s">
        <v>23386</v>
      </c>
      <c r="HKB1" t="s">
        <v>23387</v>
      </c>
      <c r="HKC1" t="s">
        <v>23388</v>
      </c>
      <c r="HKD1" t="s">
        <v>23389</v>
      </c>
      <c r="HKE1" t="s">
        <v>23390</v>
      </c>
      <c r="HKF1" t="s">
        <v>23391</v>
      </c>
      <c r="HKG1" t="s">
        <v>23392</v>
      </c>
      <c r="HKH1" t="s">
        <v>23393</v>
      </c>
      <c r="HKI1" t="s">
        <v>23394</v>
      </c>
      <c r="HKJ1" t="s">
        <v>23395</v>
      </c>
      <c r="HKK1" t="s">
        <v>23396</v>
      </c>
      <c r="HKL1" t="s">
        <v>23397</v>
      </c>
      <c r="HKM1" t="s">
        <v>23398</v>
      </c>
      <c r="HKN1" t="s">
        <v>23399</v>
      </c>
      <c r="HKO1" t="s">
        <v>23400</v>
      </c>
      <c r="HKP1" t="s">
        <v>23401</v>
      </c>
      <c r="HKQ1" t="s">
        <v>23402</v>
      </c>
      <c r="HKR1" t="s">
        <v>23403</v>
      </c>
      <c r="HKS1" t="s">
        <v>23404</v>
      </c>
      <c r="HKT1" t="s">
        <v>23405</v>
      </c>
      <c r="HKU1" t="s">
        <v>23406</v>
      </c>
      <c r="HKV1" t="s">
        <v>23407</v>
      </c>
      <c r="HKW1" t="s">
        <v>23408</v>
      </c>
      <c r="HKX1" t="s">
        <v>23409</v>
      </c>
      <c r="HKY1" t="s">
        <v>23410</v>
      </c>
      <c r="HKZ1" t="s">
        <v>23411</v>
      </c>
      <c r="HLA1" t="s">
        <v>23412</v>
      </c>
      <c r="HLB1" t="s">
        <v>23413</v>
      </c>
      <c r="HLC1" t="s">
        <v>23414</v>
      </c>
      <c r="HLD1" t="s">
        <v>23415</v>
      </c>
      <c r="HLE1" t="s">
        <v>23416</v>
      </c>
      <c r="HLF1" t="s">
        <v>23417</v>
      </c>
      <c r="HLG1" t="s">
        <v>23418</v>
      </c>
      <c r="HLH1" t="s">
        <v>23419</v>
      </c>
      <c r="HLI1" t="s">
        <v>23420</v>
      </c>
      <c r="HLJ1" t="s">
        <v>23421</v>
      </c>
      <c r="HLK1" t="s">
        <v>23422</v>
      </c>
      <c r="HLL1" t="s">
        <v>23423</v>
      </c>
      <c r="HLM1" t="s">
        <v>23424</v>
      </c>
      <c r="HLN1" t="s">
        <v>23425</v>
      </c>
      <c r="HLO1" t="s">
        <v>23426</v>
      </c>
      <c r="HLP1" t="s">
        <v>23427</v>
      </c>
      <c r="HLQ1" t="s">
        <v>23428</v>
      </c>
      <c r="HLR1" t="s">
        <v>23429</v>
      </c>
      <c r="HLS1" t="s">
        <v>23430</v>
      </c>
      <c r="HLT1" t="s">
        <v>23431</v>
      </c>
      <c r="HLU1" t="s">
        <v>23432</v>
      </c>
      <c r="HLV1" t="s">
        <v>23433</v>
      </c>
      <c r="HLW1" t="s">
        <v>23434</v>
      </c>
      <c r="HLX1" t="s">
        <v>23435</v>
      </c>
      <c r="HLY1" t="s">
        <v>23436</v>
      </c>
      <c r="HLZ1" t="s">
        <v>23437</v>
      </c>
      <c r="HMA1" t="s">
        <v>23438</v>
      </c>
      <c r="HMB1" t="s">
        <v>23439</v>
      </c>
      <c r="HMC1" t="s">
        <v>23440</v>
      </c>
      <c r="HMD1" t="s">
        <v>23441</v>
      </c>
      <c r="HME1" t="s">
        <v>23442</v>
      </c>
      <c r="HMF1" t="s">
        <v>23443</v>
      </c>
      <c r="HMG1" t="s">
        <v>23444</v>
      </c>
      <c r="HMH1" t="s">
        <v>23445</v>
      </c>
      <c r="HMI1" t="s">
        <v>23446</v>
      </c>
      <c r="HMJ1" t="s">
        <v>23447</v>
      </c>
      <c r="HMK1" t="s">
        <v>23448</v>
      </c>
      <c r="HML1" t="s">
        <v>23449</v>
      </c>
      <c r="HMM1" t="s">
        <v>23450</v>
      </c>
      <c r="HMN1" t="s">
        <v>23451</v>
      </c>
      <c r="HMO1" t="s">
        <v>23452</v>
      </c>
      <c r="HMP1" t="s">
        <v>23453</v>
      </c>
      <c r="HMQ1" t="s">
        <v>23454</v>
      </c>
      <c r="HMR1" t="s">
        <v>23455</v>
      </c>
      <c r="HMS1" t="s">
        <v>23456</v>
      </c>
      <c r="HMT1" t="s">
        <v>23457</v>
      </c>
      <c r="HMU1" t="s">
        <v>23458</v>
      </c>
      <c r="HMV1" t="s">
        <v>23459</v>
      </c>
      <c r="HMW1" t="s">
        <v>23460</v>
      </c>
      <c r="HMX1" t="s">
        <v>23461</v>
      </c>
      <c r="HMY1" t="s">
        <v>23462</v>
      </c>
      <c r="HMZ1" t="s">
        <v>23463</v>
      </c>
      <c r="HNA1" t="s">
        <v>23464</v>
      </c>
      <c r="HNB1" t="s">
        <v>23465</v>
      </c>
      <c r="HNC1" t="s">
        <v>23466</v>
      </c>
      <c r="HND1" t="s">
        <v>23467</v>
      </c>
      <c r="HNE1" t="s">
        <v>23468</v>
      </c>
      <c r="HNF1" t="s">
        <v>23469</v>
      </c>
      <c r="HNG1" t="s">
        <v>23470</v>
      </c>
      <c r="HNH1" t="s">
        <v>23471</v>
      </c>
      <c r="HNI1" t="s">
        <v>23472</v>
      </c>
      <c r="HNJ1" t="s">
        <v>23473</v>
      </c>
      <c r="HNK1" t="s">
        <v>23474</v>
      </c>
      <c r="HNL1" t="s">
        <v>23475</v>
      </c>
      <c r="HNM1" t="s">
        <v>23476</v>
      </c>
      <c r="HNN1" t="s">
        <v>23477</v>
      </c>
      <c r="HNO1" t="s">
        <v>23478</v>
      </c>
      <c r="HNP1" t="s">
        <v>23479</v>
      </c>
      <c r="HNQ1" t="s">
        <v>23480</v>
      </c>
      <c r="HNR1" t="s">
        <v>23481</v>
      </c>
      <c r="HNS1" t="s">
        <v>23482</v>
      </c>
      <c r="HNT1" t="s">
        <v>23483</v>
      </c>
      <c r="HNU1" t="s">
        <v>23484</v>
      </c>
      <c r="HNV1" t="s">
        <v>23485</v>
      </c>
      <c r="HNW1" t="s">
        <v>23486</v>
      </c>
      <c r="HNX1" t="s">
        <v>23487</v>
      </c>
      <c r="HNY1" t="s">
        <v>23488</v>
      </c>
      <c r="HNZ1" t="s">
        <v>23489</v>
      </c>
      <c r="HOA1" t="s">
        <v>23490</v>
      </c>
      <c r="HOB1" t="s">
        <v>23491</v>
      </c>
      <c r="HOC1" t="s">
        <v>23492</v>
      </c>
      <c r="HOD1" t="s">
        <v>23493</v>
      </c>
      <c r="HOE1" t="s">
        <v>23494</v>
      </c>
      <c r="HOF1" t="s">
        <v>23495</v>
      </c>
      <c r="HOG1" t="s">
        <v>23496</v>
      </c>
      <c r="HOH1" t="s">
        <v>23497</v>
      </c>
      <c r="HOI1" t="s">
        <v>23498</v>
      </c>
      <c r="HOJ1" t="s">
        <v>23499</v>
      </c>
      <c r="HOK1" t="s">
        <v>23500</v>
      </c>
      <c r="HOL1" t="s">
        <v>23501</v>
      </c>
      <c r="HOM1" t="s">
        <v>23502</v>
      </c>
      <c r="HON1" t="s">
        <v>23503</v>
      </c>
      <c r="HOO1" t="s">
        <v>23504</v>
      </c>
      <c r="HOP1" t="s">
        <v>23505</v>
      </c>
      <c r="HOQ1" t="s">
        <v>23506</v>
      </c>
      <c r="HOR1" t="s">
        <v>23507</v>
      </c>
      <c r="HOS1" t="s">
        <v>23508</v>
      </c>
      <c r="HOT1" t="s">
        <v>23509</v>
      </c>
      <c r="HOU1" t="s">
        <v>23510</v>
      </c>
      <c r="HOV1" t="s">
        <v>23511</v>
      </c>
      <c r="HOW1" t="s">
        <v>23512</v>
      </c>
      <c r="HOX1" t="s">
        <v>23513</v>
      </c>
      <c r="HOY1" t="s">
        <v>23514</v>
      </c>
      <c r="HOZ1" t="s">
        <v>23515</v>
      </c>
      <c r="HPA1" t="s">
        <v>23516</v>
      </c>
      <c r="HPB1" t="s">
        <v>23517</v>
      </c>
      <c r="HPC1" t="s">
        <v>23518</v>
      </c>
      <c r="HPD1" t="s">
        <v>23519</v>
      </c>
      <c r="HPE1" t="s">
        <v>23520</v>
      </c>
      <c r="HPF1" t="s">
        <v>23521</v>
      </c>
      <c r="HPG1" t="s">
        <v>23522</v>
      </c>
      <c r="HPH1" t="s">
        <v>23523</v>
      </c>
      <c r="HPI1" t="s">
        <v>23524</v>
      </c>
      <c r="HPJ1" t="s">
        <v>23525</v>
      </c>
      <c r="HPK1" t="s">
        <v>23526</v>
      </c>
      <c r="HPL1" t="s">
        <v>23527</v>
      </c>
      <c r="HPM1" t="s">
        <v>23528</v>
      </c>
      <c r="HPN1" t="s">
        <v>23529</v>
      </c>
      <c r="HPO1" t="s">
        <v>23530</v>
      </c>
      <c r="HPP1" t="s">
        <v>23531</v>
      </c>
      <c r="HPQ1" t="s">
        <v>23532</v>
      </c>
      <c r="HPR1" t="s">
        <v>23533</v>
      </c>
      <c r="HPS1" t="s">
        <v>23534</v>
      </c>
      <c r="HPT1" t="s">
        <v>23535</v>
      </c>
      <c r="HPU1" t="s">
        <v>23536</v>
      </c>
      <c r="HPV1" t="s">
        <v>23537</v>
      </c>
      <c r="HPW1" t="s">
        <v>23538</v>
      </c>
      <c r="HPX1" t="s">
        <v>23539</v>
      </c>
      <c r="HPY1" t="s">
        <v>23540</v>
      </c>
      <c r="HPZ1" t="s">
        <v>23541</v>
      </c>
      <c r="HQA1" t="s">
        <v>23542</v>
      </c>
      <c r="HQB1" t="s">
        <v>23543</v>
      </c>
      <c r="HQC1" t="s">
        <v>23544</v>
      </c>
      <c r="HQD1" t="s">
        <v>23545</v>
      </c>
      <c r="HQE1" t="s">
        <v>23546</v>
      </c>
      <c r="HQF1" t="s">
        <v>23547</v>
      </c>
      <c r="HQG1" t="s">
        <v>23548</v>
      </c>
      <c r="HQH1" t="s">
        <v>23549</v>
      </c>
      <c r="HQI1" t="s">
        <v>23550</v>
      </c>
      <c r="HQJ1" t="s">
        <v>23551</v>
      </c>
      <c r="HQK1" t="s">
        <v>23552</v>
      </c>
      <c r="HQL1" t="s">
        <v>23553</v>
      </c>
      <c r="HQM1" t="s">
        <v>23554</v>
      </c>
      <c r="HQN1" t="s">
        <v>23555</v>
      </c>
      <c r="HQO1" t="s">
        <v>23556</v>
      </c>
      <c r="HQP1" t="s">
        <v>23557</v>
      </c>
      <c r="HQQ1" t="s">
        <v>23558</v>
      </c>
      <c r="HQR1" t="s">
        <v>23559</v>
      </c>
      <c r="HQS1" t="s">
        <v>23560</v>
      </c>
      <c r="HQT1" t="s">
        <v>23561</v>
      </c>
      <c r="HQU1" t="s">
        <v>23562</v>
      </c>
      <c r="HQV1" t="s">
        <v>23563</v>
      </c>
      <c r="HQW1" t="s">
        <v>23564</v>
      </c>
      <c r="HQX1" t="s">
        <v>23565</v>
      </c>
      <c r="HQY1" t="s">
        <v>23566</v>
      </c>
      <c r="HQZ1" t="s">
        <v>23567</v>
      </c>
      <c r="HRA1" t="s">
        <v>23568</v>
      </c>
      <c r="HRB1" t="s">
        <v>23569</v>
      </c>
      <c r="HRC1" t="s">
        <v>23570</v>
      </c>
      <c r="HRD1" t="s">
        <v>23571</v>
      </c>
      <c r="HRE1" t="s">
        <v>23572</v>
      </c>
      <c r="HRF1" t="s">
        <v>23573</v>
      </c>
      <c r="HRG1" t="s">
        <v>23574</v>
      </c>
      <c r="HRH1" t="s">
        <v>23575</v>
      </c>
      <c r="HRI1" t="s">
        <v>23576</v>
      </c>
      <c r="HRJ1" t="s">
        <v>23577</v>
      </c>
      <c r="HRK1" t="s">
        <v>23578</v>
      </c>
      <c r="HRL1" t="s">
        <v>23579</v>
      </c>
      <c r="HRM1" t="s">
        <v>23580</v>
      </c>
      <c r="HRN1" t="s">
        <v>23581</v>
      </c>
      <c r="HRO1" t="s">
        <v>23582</v>
      </c>
      <c r="HRP1" t="s">
        <v>23583</v>
      </c>
      <c r="HRQ1" t="s">
        <v>23584</v>
      </c>
      <c r="HRR1" t="s">
        <v>23585</v>
      </c>
      <c r="HRS1" t="s">
        <v>23586</v>
      </c>
      <c r="HRT1" t="s">
        <v>23587</v>
      </c>
      <c r="HRU1" t="s">
        <v>23588</v>
      </c>
      <c r="HRV1" t="s">
        <v>23589</v>
      </c>
      <c r="HRW1" t="s">
        <v>23590</v>
      </c>
      <c r="HRX1" t="s">
        <v>23591</v>
      </c>
      <c r="HRY1" t="s">
        <v>23592</v>
      </c>
      <c r="HRZ1" t="s">
        <v>23593</v>
      </c>
      <c r="HSA1" t="s">
        <v>23594</v>
      </c>
      <c r="HSB1" t="s">
        <v>23595</v>
      </c>
      <c r="HSC1" t="s">
        <v>23596</v>
      </c>
      <c r="HSD1" t="s">
        <v>23597</v>
      </c>
      <c r="HSE1" t="s">
        <v>23598</v>
      </c>
      <c r="HSF1" t="s">
        <v>23599</v>
      </c>
      <c r="HSG1" t="s">
        <v>23600</v>
      </c>
      <c r="HSH1" t="s">
        <v>23601</v>
      </c>
      <c r="HSI1" t="s">
        <v>23602</v>
      </c>
      <c r="HSJ1" t="s">
        <v>23603</v>
      </c>
      <c r="HSK1" t="s">
        <v>23604</v>
      </c>
      <c r="HSL1" t="s">
        <v>23605</v>
      </c>
      <c r="HSM1" t="s">
        <v>23606</v>
      </c>
      <c r="HSN1" t="s">
        <v>23607</v>
      </c>
      <c r="HSO1" t="s">
        <v>23608</v>
      </c>
      <c r="HSP1" t="s">
        <v>23609</v>
      </c>
      <c r="HSQ1" t="s">
        <v>23610</v>
      </c>
      <c r="HSR1" t="s">
        <v>23611</v>
      </c>
      <c r="HSS1" t="s">
        <v>23612</v>
      </c>
      <c r="HST1" t="s">
        <v>23613</v>
      </c>
      <c r="HSU1" t="s">
        <v>23614</v>
      </c>
      <c r="HSV1" t="s">
        <v>23615</v>
      </c>
      <c r="HSW1" t="s">
        <v>23616</v>
      </c>
      <c r="HSX1" t="s">
        <v>23617</v>
      </c>
      <c r="HSY1" t="s">
        <v>23618</v>
      </c>
      <c r="HSZ1" t="s">
        <v>23619</v>
      </c>
      <c r="HTA1" t="s">
        <v>23620</v>
      </c>
      <c r="HTB1" t="s">
        <v>23621</v>
      </c>
      <c r="HTC1" t="s">
        <v>23622</v>
      </c>
      <c r="HTD1" t="s">
        <v>23623</v>
      </c>
      <c r="HTE1" t="s">
        <v>23624</v>
      </c>
      <c r="HTF1" t="s">
        <v>23625</v>
      </c>
      <c r="HTG1" t="s">
        <v>23626</v>
      </c>
      <c r="HTH1" t="s">
        <v>23627</v>
      </c>
      <c r="HTI1" t="s">
        <v>23628</v>
      </c>
      <c r="HTJ1" t="s">
        <v>23629</v>
      </c>
      <c r="HTK1" t="s">
        <v>23630</v>
      </c>
      <c r="HTL1" t="s">
        <v>23631</v>
      </c>
      <c r="HTM1" t="s">
        <v>23632</v>
      </c>
      <c r="HTN1" t="s">
        <v>23633</v>
      </c>
      <c r="HTO1" t="s">
        <v>23634</v>
      </c>
      <c r="HTP1" t="s">
        <v>23635</v>
      </c>
      <c r="HTQ1" t="s">
        <v>23636</v>
      </c>
      <c r="HTR1" t="s">
        <v>23637</v>
      </c>
      <c r="HTS1" t="s">
        <v>23638</v>
      </c>
      <c r="HTT1" t="s">
        <v>23639</v>
      </c>
      <c r="HTU1" t="s">
        <v>23640</v>
      </c>
      <c r="HTV1" t="s">
        <v>23641</v>
      </c>
      <c r="HTW1" t="s">
        <v>23642</v>
      </c>
      <c r="HTX1" t="s">
        <v>23643</v>
      </c>
      <c r="HTY1" t="s">
        <v>23644</v>
      </c>
      <c r="HTZ1" t="s">
        <v>23645</v>
      </c>
      <c r="HUA1" t="s">
        <v>23646</v>
      </c>
      <c r="HUB1" t="s">
        <v>23647</v>
      </c>
      <c r="HUC1" t="s">
        <v>23648</v>
      </c>
      <c r="HUD1" t="s">
        <v>23649</v>
      </c>
      <c r="HUE1" t="s">
        <v>23650</v>
      </c>
      <c r="HUF1" t="s">
        <v>23651</v>
      </c>
      <c r="HUG1" t="s">
        <v>23652</v>
      </c>
      <c r="HUH1" t="s">
        <v>23653</v>
      </c>
      <c r="HUI1" t="s">
        <v>23654</v>
      </c>
      <c r="HUJ1" t="s">
        <v>23655</v>
      </c>
      <c r="HUK1" t="s">
        <v>23656</v>
      </c>
      <c r="HUL1" t="s">
        <v>23657</v>
      </c>
      <c r="HUM1" t="s">
        <v>23658</v>
      </c>
      <c r="HUN1" t="s">
        <v>23659</v>
      </c>
      <c r="HUO1" t="s">
        <v>23660</v>
      </c>
      <c r="HUP1" t="s">
        <v>23661</v>
      </c>
      <c r="HUQ1" t="s">
        <v>23662</v>
      </c>
      <c r="HUR1" t="s">
        <v>23663</v>
      </c>
      <c r="HUS1" t="s">
        <v>23664</v>
      </c>
      <c r="HUT1" t="s">
        <v>23665</v>
      </c>
      <c r="HUU1" t="s">
        <v>23666</v>
      </c>
      <c r="HUV1" t="s">
        <v>23667</v>
      </c>
      <c r="HUW1" t="s">
        <v>23668</v>
      </c>
      <c r="HUX1" t="s">
        <v>23669</v>
      </c>
      <c r="HUY1" t="s">
        <v>23670</v>
      </c>
      <c r="HUZ1" t="s">
        <v>23671</v>
      </c>
      <c r="HVA1" t="s">
        <v>23672</v>
      </c>
      <c r="HVB1" t="s">
        <v>23673</v>
      </c>
      <c r="HVC1" t="s">
        <v>23674</v>
      </c>
      <c r="HVD1" t="s">
        <v>23675</v>
      </c>
      <c r="HVE1" t="s">
        <v>23676</v>
      </c>
      <c r="HVF1" t="s">
        <v>23677</v>
      </c>
      <c r="HVG1" t="s">
        <v>23678</v>
      </c>
      <c r="HVH1" t="s">
        <v>23679</v>
      </c>
      <c r="HVI1" t="s">
        <v>23680</v>
      </c>
      <c r="HVJ1" t="s">
        <v>23681</v>
      </c>
      <c r="HVK1" t="s">
        <v>23682</v>
      </c>
      <c r="HVL1" t="s">
        <v>23683</v>
      </c>
      <c r="HVM1" t="s">
        <v>23684</v>
      </c>
      <c r="HVN1" t="s">
        <v>23685</v>
      </c>
      <c r="HVO1" t="s">
        <v>23686</v>
      </c>
      <c r="HVP1" t="s">
        <v>23687</v>
      </c>
      <c r="HVQ1" t="s">
        <v>23688</v>
      </c>
      <c r="HVR1" t="s">
        <v>23689</v>
      </c>
      <c r="HVS1" t="s">
        <v>23690</v>
      </c>
      <c r="HVT1" t="s">
        <v>23691</v>
      </c>
      <c r="HVU1" t="s">
        <v>23692</v>
      </c>
      <c r="HVV1" t="s">
        <v>23693</v>
      </c>
      <c r="HVW1" t="s">
        <v>23694</v>
      </c>
      <c r="HVX1" t="s">
        <v>23695</v>
      </c>
      <c r="HVY1" t="s">
        <v>23696</v>
      </c>
      <c r="HVZ1" t="s">
        <v>23697</v>
      </c>
      <c r="HWA1" t="s">
        <v>23698</v>
      </c>
      <c r="HWB1" t="s">
        <v>23699</v>
      </c>
      <c r="HWC1" t="s">
        <v>23700</v>
      </c>
      <c r="HWD1" t="s">
        <v>23701</v>
      </c>
      <c r="HWE1" t="s">
        <v>23702</v>
      </c>
      <c r="HWF1" t="s">
        <v>23703</v>
      </c>
      <c r="HWG1" t="s">
        <v>23704</v>
      </c>
      <c r="HWH1" t="s">
        <v>23705</v>
      </c>
      <c r="HWI1" t="s">
        <v>23706</v>
      </c>
      <c r="HWJ1" t="s">
        <v>23707</v>
      </c>
      <c r="HWK1" t="s">
        <v>23708</v>
      </c>
      <c r="HWL1" t="s">
        <v>23709</v>
      </c>
      <c r="HWM1" t="s">
        <v>23710</v>
      </c>
      <c r="HWN1" t="s">
        <v>23711</v>
      </c>
      <c r="HWO1" t="s">
        <v>23712</v>
      </c>
      <c r="HWP1" t="s">
        <v>23713</v>
      </c>
      <c r="HWQ1" t="s">
        <v>23714</v>
      </c>
      <c r="HWR1" t="s">
        <v>23715</v>
      </c>
      <c r="HWS1" t="s">
        <v>23716</v>
      </c>
      <c r="HWT1" t="s">
        <v>23717</v>
      </c>
      <c r="HWU1" t="s">
        <v>23718</v>
      </c>
      <c r="HWV1" t="s">
        <v>23719</v>
      </c>
      <c r="HWW1" t="s">
        <v>23720</v>
      </c>
      <c r="HWX1" t="s">
        <v>23721</v>
      </c>
      <c r="HWY1" t="s">
        <v>23722</v>
      </c>
      <c r="HWZ1" t="s">
        <v>23723</v>
      </c>
      <c r="HXA1" t="s">
        <v>23724</v>
      </c>
      <c r="HXB1" t="s">
        <v>23725</v>
      </c>
      <c r="HXC1" t="s">
        <v>23726</v>
      </c>
      <c r="HXD1" t="s">
        <v>23727</v>
      </c>
      <c r="HXE1" t="s">
        <v>23728</v>
      </c>
      <c r="HXF1" t="s">
        <v>23729</v>
      </c>
      <c r="HXG1" t="s">
        <v>23730</v>
      </c>
      <c r="HXH1" t="s">
        <v>23731</v>
      </c>
      <c r="HXI1" t="s">
        <v>23732</v>
      </c>
      <c r="HXJ1" t="s">
        <v>23733</v>
      </c>
      <c r="HXK1" t="s">
        <v>23734</v>
      </c>
      <c r="HXL1" t="s">
        <v>23735</v>
      </c>
      <c r="HXM1" t="s">
        <v>23736</v>
      </c>
      <c r="HXN1" t="s">
        <v>23737</v>
      </c>
      <c r="HXO1" t="s">
        <v>23738</v>
      </c>
      <c r="HXP1" t="s">
        <v>23739</v>
      </c>
      <c r="HXQ1" t="s">
        <v>23740</v>
      </c>
      <c r="HXR1" t="s">
        <v>23741</v>
      </c>
      <c r="HXS1" t="s">
        <v>23742</v>
      </c>
      <c r="HXT1" t="s">
        <v>23743</v>
      </c>
      <c r="HXU1" t="s">
        <v>23744</v>
      </c>
      <c r="HXV1" t="s">
        <v>23745</v>
      </c>
      <c r="HXW1" t="s">
        <v>23746</v>
      </c>
      <c r="HXX1" t="s">
        <v>23747</v>
      </c>
      <c r="HXY1" t="s">
        <v>23748</v>
      </c>
      <c r="HXZ1" t="s">
        <v>23749</v>
      </c>
      <c r="HYA1" t="s">
        <v>23750</v>
      </c>
      <c r="HYB1" t="s">
        <v>23751</v>
      </c>
      <c r="HYC1" t="s">
        <v>23752</v>
      </c>
      <c r="HYD1" t="s">
        <v>23753</v>
      </c>
      <c r="HYE1" t="s">
        <v>23754</v>
      </c>
      <c r="HYF1" t="s">
        <v>23755</v>
      </c>
      <c r="HYG1" t="s">
        <v>23756</v>
      </c>
      <c r="HYH1" t="s">
        <v>23757</v>
      </c>
      <c r="HYI1" t="s">
        <v>23758</v>
      </c>
      <c r="HYJ1" t="s">
        <v>23759</v>
      </c>
      <c r="HYK1" t="s">
        <v>23760</v>
      </c>
      <c r="HYL1" t="s">
        <v>23761</v>
      </c>
      <c r="HYM1" t="s">
        <v>23762</v>
      </c>
      <c r="HYN1" t="s">
        <v>23763</v>
      </c>
      <c r="HYO1" t="s">
        <v>23764</v>
      </c>
      <c r="HYP1" t="s">
        <v>23765</v>
      </c>
      <c r="HYQ1" t="s">
        <v>23766</v>
      </c>
      <c r="HYR1" t="s">
        <v>23767</v>
      </c>
      <c r="HYS1" t="s">
        <v>23768</v>
      </c>
      <c r="HYT1" t="s">
        <v>23769</v>
      </c>
      <c r="HYU1" t="s">
        <v>23770</v>
      </c>
      <c r="HYV1" t="s">
        <v>23771</v>
      </c>
      <c r="HYW1" t="s">
        <v>23772</v>
      </c>
      <c r="HYX1" t="s">
        <v>23773</v>
      </c>
      <c r="HYY1" t="s">
        <v>23774</v>
      </c>
      <c r="HYZ1" t="s">
        <v>23775</v>
      </c>
      <c r="HZA1" t="s">
        <v>23776</v>
      </c>
      <c r="HZB1" t="s">
        <v>23777</v>
      </c>
      <c r="HZC1" t="s">
        <v>23778</v>
      </c>
      <c r="HZD1" t="s">
        <v>23779</v>
      </c>
      <c r="HZE1" t="s">
        <v>23780</v>
      </c>
      <c r="HZF1" t="s">
        <v>23781</v>
      </c>
      <c r="HZG1" t="s">
        <v>23782</v>
      </c>
      <c r="HZH1" t="s">
        <v>23783</v>
      </c>
      <c r="HZI1" t="s">
        <v>23784</v>
      </c>
      <c r="HZJ1" t="s">
        <v>23785</v>
      </c>
      <c r="HZK1" t="s">
        <v>23786</v>
      </c>
      <c r="HZL1" t="s">
        <v>23787</v>
      </c>
      <c r="HZM1" t="s">
        <v>23788</v>
      </c>
      <c r="HZN1" t="s">
        <v>23789</v>
      </c>
      <c r="HZO1" t="s">
        <v>23790</v>
      </c>
      <c r="HZP1" t="s">
        <v>23791</v>
      </c>
      <c r="HZQ1" t="s">
        <v>23792</v>
      </c>
      <c r="HZR1" t="s">
        <v>23793</v>
      </c>
      <c r="HZS1" t="s">
        <v>23794</v>
      </c>
      <c r="HZT1" t="s">
        <v>23795</v>
      </c>
      <c r="HZU1" t="s">
        <v>23796</v>
      </c>
      <c r="HZV1" t="s">
        <v>23797</v>
      </c>
      <c r="HZW1" t="s">
        <v>23798</v>
      </c>
      <c r="HZX1" t="s">
        <v>23799</v>
      </c>
      <c r="HZY1" t="s">
        <v>23800</v>
      </c>
      <c r="HZZ1" t="s">
        <v>23801</v>
      </c>
      <c r="IAA1" t="s">
        <v>23802</v>
      </c>
      <c r="IAB1" t="s">
        <v>23803</v>
      </c>
      <c r="IAC1" t="s">
        <v>23804</v>
      </c>
      <c r="IAD1" t="s">
        <v>23805</v>
      </c>
      <c r="IAE1" t="s">
        <v>23806</v>
      </c>
      <c r="IAF1" t="s">
        <v>23807</v>
      </c>
      <c r="IAG1" t="s">
        <v>23808</v>
      </c>
      <c r="IAH1" t="s">
        <v>23809</v>
      </c>
      <c r="IAI1" t="s">
        <v>23810</v>
      </c>
      <c r="IAJ1" t="s">
        <v>23811</v>
      </c>
      <c r="IAK1" t="s">
        <v>23812</v>
      </c>
      <c r="IAL1" t="s">
        <v>23813</v>
      </c>
      <c r="IAM1" t="s">
        <v>23814</v>
      </c>
      <c r="IAN1" t="s">
        <v>23815</v>
      </c>
      <c r="IAO1" t="s">
        <v>23816</v>
      </c>
      <c r="IAP1" t="s">
        <v>23817</v>
      </c>
      <c r="IAQ1" t="s">
        <v>23818</v>
      </c>
      <c r="IAR1" t="s">
        <v>23819</v>
      </c>
      <c r="IAS1" t="s">
        <v>23820</v>
      </c>
      <c r="IAT1" t="s">
        <v>23821</v>
      </c>
      <c r="IAU1" t="s">
        <v>23822</v>
      </c>
      <c r="IAV1" t="s">
        <v>23823</v>
      </c>
      <c r="IAW1" t="s">
        <v>23824</v>
      </c>
      <c r="IAX1" t="s">
        <v>23825</v>
      </c>
      <c r="IAY1" t="s">
        <v>23826</v>
      </c>
      <c r="IAZ1" t="s">
        <v>23827</v>
      </c>
      <c r="IBA1" t="s">
        <v>23828</v>
      </c>
      <c r="IBB1" t="s">
        <v>23829</v>
      </c>
      <c r="IBC1" t="s">
        <v>23830</v>
      </c>
      <c r="IBD1" t="s">
        <v>23831</v>
      </c>
      <c r="IBE1" t="s">
        <v>23832</v>
      </c>
      <c r="IBF1" t="s">
        <v>23833</v>
      </c>
      <c r="IBG1" t="s">
        <v>23834</v>
      </c>
      <c r="IBH1" t="s">
        <v>23835</v>
      </c>
      <c r="IBI1" t="s">
        <v>23836</v>
      </c>
      <c r="IBJ1" t="s">
        <v>23837</v>
      </c>
      <c r="IBK1" t="s">
        <v>23838</v>
      </c>
      <c r="IBL1" t="s">
        <v>23839</v>
      </c>
      <c r="IBM1" t="s">
        <v>23840</v>
      </c>
      <c r="IBN1" t="s">
        <v>23841</v>
      </c>
      <c r="IBO1" t="s">
        <v>23842</v>
      </c>
      <c r="IBP1" t="s">
        <v>23843</v>
      </c>
      <c r="IBQ1" t="s">
        <v>23844</v>
      </c>
      <c r="IBR1" t="s">
        <v>23845</v>
      </c>
      <c r="IBS1" t="s">
        <v>23846</v>
      </c>
      <c r="IBT1" t="s">
        <v>23847</v>
      </c>
      <c r="IBU1" t="s">
        <v>23848</v>
      </c>
      <c r="IBV1" t="s">
        <v>23849</v>
      </c>
      <c r="IBW1" t="s">
        <v>23850</v>
      </c>
      <c r="IBX1" t="s">
        <v>23851</v>
      </c>
      <c r="IBY1" t="s">
        <v>23852</v>
      </c>
      <c r="IBZ1" t="s">
        <v>23853</v>
      </c>
      <c r="ICA1" t="s">
        <v>23854</v>
      </c>
      <c r="ICB1" t="s">
        <v>23855</v>
      </c>
      <c r="ICC1" t="s">
        <v>23856</v>
      </c>
      <c r="ICD1" t="s">
        <v>23857</v>
      </c>
      <c r="ICE1" t="s">
        <v>23858</v>
      </c>
      <c r="ICF1" t="s">
        <v>23859</v>
      </c>
      <c r="ICG1" t="s">
        <v>23860</v>
      </c>
      <c r="ICH1" t="s">
        <v>23861</v>
      </c>
      <c r="ICI1" t="s">
        <v>23862</v>
      </c>
      <c r="ICJ1" t="s">
        <v>23863</v>
      </c>
      <c r="ICK1" t="s">
        <v>23864</v>
      </c>
      <c r="ICL1" t="s">
        <v>23865</v>
      </c>
      <c r="ICM1" t="s">
        <v>23866</v>
      </c>
      <c r="ICN1" t="s">
        <v>23867</v>
      </c>
      <c r="ICO1" t="s">
        <v>23868</v>
      </c>
      <c r="ICP1" t="s">
        <v>23869</v>
      </c>
      <c r="ICQ1" t="s">
        <v>23870</v>
      </c>
      <c r="ICR1" t="s">
        <v>23871</v>
      </c>
      <c r="ICS1" t="s">
        <v>23872</v>
      </c>
      <c r="ICT1" t="s">
        <v>23873</v>
      </c>
      <c r="ICU1" t="s">
        <v>23874</v>
      </c>
      <c r="ICV1" t="s">
        <v>23875</v>
      </c>
      <c r="ICW1" t="s">
        <v>23876</v>
      </c>
      <c r="ICX1" t="s">
        <v>23877</v>
      </c>
      <c r="ICY1" t="s">
        <v>23878</v>
      </c>
      <c r="ICZ1" t="s">
        <v>23879</v>
      </c>
      <c r="IDA1" t="s">
        <v>23880</v>
      </c>
      <c r="IDB1" t="s">
        <v>23881</v>
      </c>
      <c r="IDC1" t="s">
        <v>23882</v>
      </c>
      <c r="IDD1" t="s">
        <v>23883</v>
      </c>
      <c r="IDE1" t="s">
        <v>23884</v>
      </c>
      <c r="IDF1" t="s">
        <v>23885</v>
      </c>
      <c r="IDG1" t="s">
        <v>23886</v>
      </c>
      <c r="IDH1" t="s">
        <v>23887</v>
      </c>
      <c r="IDI1" t="s">
        <v>23888</v>
      </c>
      <c r="IDJ1" t="s">
        <v>23889</v>
      </c>
      <c r="IDK1" t="s">
        <v>23890</v>
      </c>
      <c r="IDL1" t="s">
        <v>23891</v>
      </c>
      <c r="IDM1" t="s">
        <v>23892</v>
      </c>
      <c r="IDN1" t="s">
        <v>23893</v>
      </c>
      <c r="IDO1" t="s">
        <v>23894</v>
      </c>
      <c r="IDP1" t="s">
        <v>23895</v>
      </c>
      <c r="IDQ1" t="s">
        <v>23896</v>
      </c>
      <c r="IDR1" t="s">
        <v>23897</v>
      </c>
      <c r="IDS1" t="s">
        <v>23898</v>
      </c>
      <c r="IDT1" t="s">
        <v>23899</v>
      </c>
      <c r="IDU1" t="s">
        <v>23900</v>
      </c>
      <c r="IDV1" t="s">
        <v>23901</v>
      </c>
      <c r="IDW1" t="s">
        <v>23902</v>
      </c>
      <c r="IDX1" t="s">
        <v>23903</v>
      </c>
      <c r="IDY1" t="s">
        <v>23904</v>
      </c>
      <c r="IDZ1" t="s">
        <v>23905</v>
      </c>
      <c r="IEA1" t="s">
        <v>23906</v>
      </c>
      <c r="IEB1" t="s">
        <v>23907</v>
      </c>
      <c r="IEC1" t="s">
        <v>23908</v>
      </c>
      <c r="IED1" t="s">
        <v>23909</v>
      </c>
      <c r="IEE1" t="s">
        <v>23910</v>
      </c>
      <c r="IEF1" t="s">
        <v>23911</v>
      </c>
      <c r="IEG1" t="s">
        <v>23912</v>
      </c>
      <c r="IEH1" t="s">
        <v>23913</v>
      </c>
      <c r="IEI1" t="s">
        <v>23914</v>
      </c>
      <c r="IEJ1" t="s">
        <v>23915</v>
      </c>
      <c r="IEK1" t="s">
        <v>23916</v>
      </c>
      <c r="IEL1" t="s">
        <v>23917</v>
      </c>
      <c r="IEM1" t="s">
        <v>23918</v>
      </c>
      <c r="IEN1" t="s">
        <v>23919</v>
      </c>
      <c r="IEO1" t="s">
        <v>23920</v>
      </c>
      <c r="IEP1" t="s">
        <v>23921</v>
      </c>
      <c r="IEQ1" t="s">
        <v>23922</v>
      </c>
      <c r="IER1" t="s">
        <v>23923</v>
      </c>
      <c r="IES1" t="s">
        <v>23924</v>
      </c>
      <c r="IET1" t="s">
        <v>23925</v>
      </c>
      <c r="IEU1" t="s">
        <v>23926</v>
      </c>
      <c r="IEV1" t="s">
        <v>23927</v>
      </c>
      <c r="IEW1" t="s">
        <v>23928</v>
      </c>
      <c r="IEX1" t="s">
        <v>23929</v>
      </c>
      <c r="IEY1" t="s">
        <v>23930</v>
      </c>
      <c r="IEZ1" t="s">
        <v>23931</v>
      </c>
      <c r="IFA1" t="s">
        <v>23932</v>
      </c>
      <c r="IFB1" t="s">
        <v>23933</v>
      </c>
      <c r="IFC1" t="s">
        <v>23934</v>
      </c>
      <c r="IFD1" t="s">
        <v>23935</v>
      </c>
      <c r="IFE1" t="s">
        <v>23936</v>
      </c>
      <c r="IFF1" t="s">
        <v>23937</v>
      </c>
      <c r="IFG1" t="s">
        <v>23938</v>
      </c>
      <c r="IFH1" t="s">
        <v>23939</v>
      </c>
      <c r="IFI1" t="s">
        <v>23940</v>
      </c>
      <c r="IFJ1" t="s">
        <v>23941</v>
      </c>
      <c r="IFK1" t="s">
        <v>23942</v>
      </c>
      <c r="IFL1" t="s">
        <v>23943</v>
      </c>
      <c r="IFM1" t="s">
        <v>23944</v>
      </c>
      <c r="IFN1" t="s">
        <v>23945</v>
      </c>
      <c r="IFO1" t="s">
        <v>23946</v>
      </c>
      <c r="IFP1" t="s">
        <v>23947</v>
      </c>
      <c r="IFQ1" t="s">
        <v>23948</v>
      </c>
      <c r="IFR1" t="s">
        <v>23949</v>
      </c>
      <c r="IFS1" t="s">
        <v>23950</v>
      </c>
      <c r="IFT1" t="s">
        <v>23951</v>
      </c>
      <c r="IFU1" t="s">
        <v>23952</v>
      </c>
      <c r="IFV1" t="s">
        <v>23953</v>
      </c>
      <c r="IFW1" t="s">
        <v>23954</v>
      </c>
      <c r="IFX1" t="s">
        <v>23955</v>
      </c>
      <c r="IFY1" t="s">
        <v>23956</v>
      </c>
      <c r="IFZ1" t="s">
        <v>23957</v>
      </c>
      <c r="IGA1" t="s">
        <v>23958</v>
      </c>
      <c r="IGB1" t="s">
        <v>23959</v>
      </c>
      <c r="IGC1" t="s">
        <v>23960</v>
      </c>
      <c r="IGD1" t="s">
        <v>23961</v>
      </c>
      <c r="IGE1" t="s">
        <v>23962</v>
      </c>
      <c r="IGF1" t="s">
        <v>23963</v>
      </c>
      <c r="IGG1" t="s">
        <v>23964</v>
      </c>
      <c r="IGH1" t="s">
        <v>23965</v>
      </c>
      <c r="IGI1" t="s">
        <v>23966</v>
      </c>
      <c r="IGJ1" t="s">
        <v>23967</v>
      </c>
      <c r="IGK1" t="s">
        <v>23968</v>
      </c>
      <c r="IGL1" t="s">
        <v>23969</v>
      </c>
      <c r="IGM1" t="s">
        <v>23970</v>
      </c>
      <c r="IGN1" t="s">
        <v>23971</v>
      </c>
      <c r="IGO1" t="s">
        <v>23972</v>
      </c>
      <c r="IGP1" t="s">
        <v>23973</v>
      </c>
      <c r="IGQ1" t="s">
        <v>23974</v>
      </c>
      <c r="IGR1" t="s">
        <v>23975</v>
      </c>
      <c r="IGS1" t="s">
        <v>23976</v>
      </c>
      <c r="IGT1" t="s">
        <v>23977</v>
      </c>
      <c r="IGU1" t="s">
        <v>23978</v>
      </c>
      <c r="IGV1" t="s">
        <v>23979</v>
      </c>
      <c r="IGW1" t="s">
        <v>23980</v>
      </c>
      <c r="IGX1" t="s">
        <v>23981</v>
      </c>
      <c r="IGY1" t="s">
        <v>23982</v>
      </c>
      <c r="IGZ1" t="s">
        <v>23983</v>
      </c>
      <c r="IHA1" t="s">
        <v>23984</v>
      </c>
      <c r="IHB1" t="s">
        <v>23985</v>
      </c>
      <c r="IHC1" t="s">
        <v>23986</v>
      </c>
      <c r="IHD1" t="s">
        <v>23987</v>
      </c>
      <c r="IHE1" t="s">
        <v>23988</v>
      </c>
      <c r="IHF1" t="s">
        <v>23989</v>
      </c>
      <c r="IHG1" t="s">
        <v>23990</v>
      </c>
      <c r="IHH1" t="s">
        <v>23991</v>
      </c>
      <c r="IHI1" t="s">
        <v>23992</v>
      </c>
      <c r="IHJ1" t="s">
        <v>23993</v>
      </c>
      <c r="IHK1" t="s">
        <v>23994</v>
      </c>
      <c r="IHL1" t="s">
        <v>23995</v>
      </c>
      <c r="IHM1" t="s">
        <v>23996</v>
      </c>
      <c r="IHN1" t="s">
        <v>23997</v>
      </c>
      <c r="IHO1" t="s">
        <v>23998</v>
      </c>
      <c r="IHP1" t="s">
        <v>23999</v>
      </c>
      <c r="IHQ1" t="s">
        <v>24000</v>
      </c>
      <c r="IHR1" t="s">
        <v>24001</v>
      </c>
      <c r="IHS1" t="s">
        <v>24002</v>
      </c>
      <c r="IHT1" t="s">
        <v>24003</v>
      </c>
      <c r="IHU1" t="s">
        <v>24004</v>
      </c>
      <c r="IHV1" t="s">
        <v>24005</v>
      </c>
      <c r="IHW1" t="s">
        <v>24006</v>
      </c>
      <c r="IHX1" t="s">
        <v>24007</v>
      </c>
      <c r="IHY1" t="s">
        <v>24008</v>
      </c>
      <c r="IHZ1" t="s">
        <v>24009</v>
      </c>
      <c r="IIA1" t="s">
        <v>24010</v>
      </c>
      <c r="IIB1" t="s">
        <v>24011</v>
      </c>
      <c r="IIC1" t="s">
        <v>24012</v>
      </c>
      <c r="IID1" t="s">
        <v>24013</v>
      </c>
      <c r="IIE1" t="s">
        <v>24014</v>
      </c>
      <c r="IIF1" t="s">
        <v>24015</v>
      </c>
      <c r="IIG1" t="s">
        <v>24016</v>
      </c>
      <c r="IIH1" t="s">
        <v>24017</v>
      </c>
      <c r="III1" t="s">
        <v>24018</v>
      </c>
      <c r="IIJ1" t="s">
        <v>24019</v>
      </c>
      <c r="IIK1" t="s">
        <v>24020</v>
      </c>
      <c r="IIL1" t="s">
        <v>24021</v>
      </c>
      <c r="IIM1" t="s">
        <v>24022</v>
      </c>
      <c r="IIN1" t="s">
        <v>24023</v>
      </c>
      <c r="IIO1" t="s">
        <v>24024</v>
      </c>
      <c r="IIP1" t="s">
        <v>24025</v>
      </c>
      <c r="IIQ1" t="s">
        <v>24026</v>
      </c>
      <c r="IIR1" t="s">
        <v>24027</v>
      </c>
      <c r="IIS1" t="s">
        <v>24028</v>
      </c>
      <c r="IIT1" t="s">
        <v>24029</v>
      </c>
      <c r="IIU1" t="s">
        <v>24030</v>
      </c>
      <c r="IIV1" t="s">
        <v>24031</v>
      </c>
      <c r="IIW1" t="s">
        <v>24032</v>
      </c>
      <c r="IIX1" t="s">
        <v>24033</v>
      </c>
      <c r="IIY1" t="s">
        <v>24034</v>
      </c>
      <c r="IIZ1" t="s">
        <v>24035</v>
      </c>
      <c r="IJA1" t="s">
        <v>24036</v>
      </c>
      <c r="IJB1" t="s">
        <v>24037</v>
      </c>
      <c r="IJC1" t="s">
        <v>24038</v>
      </c>
      <c r="IJD1" t="s">
        <v>24039</v>
      </c>
      <c r="IJE1" t="s">
        <v>24040</v>
      </c>
      <c r="IJF1" t="s">
        <v>24041</v>
      </c>
      <c r="IJG1" t="s">
        <v>24042</v>
      </c>
      <c r="IJH1" t="s">
        <v>24043</v>
      </c>
      <c r="IJI1" t="s">
        <v>24044</v>
      </c>
      <c r="IJJ1" t="s">
        <v>24045</v>
      </c>
      <c r="IJK1" t="s">
        <v>24046</v>
      </c>
      <c r="IJL1" t="s">
        <v>24047</v>
      </c>
      <c r="IJM1" t="s">
        <v>24048</v>
      </c>
      <c r="IJN1" t="s">
        <v>24049</v>
      </c>
      <c r="IJO1" t="s">
        <v>24050</v>
      </c>
      <c r="IJP1" t="s">
        <v>24051</v>
      </c>
      <c r="IJQ1" t="s">
        <v>24052</v>
      </c>
      <c r="IJR1" t="s">
        <v>24053</v>
      </c>
      <c r="IJS1" t="s">
        <v>24054</v>
      </c>
      <c r="IJT1" t="s">
        <v>24055</v>
      </c>
      <c r="IJU1" t="s">
        <v>24056</v>
      </c>
      <c r="IJV1" t="s">
        <v>24057</v>
      </c>
      <c r="IJW1" t="s">
        <v>24058</v>
      </c>
      <c r="IJX1" t="s">
        <v>24059</v>
      </c>
      <c r="IJY1" t="s">
        <v>24060</v>
      </c>
      <c r="IJZ1" t="s">
        <v>24061</v>
      </c>
      <c r="IKA1" t="s">
        <v>24062</v>
      </c>
      <c r="IKB1" t="s">
        <v>24063</v>
      </c>
      <c r="IKC1" t="s">
        <v>24064</v>
      </c>
      <c r="IKD1" t="s">
        <v>24065</v>
      </c>
      <c r="IKE1" t="s">
        <v>24066</v>
      </c>
      <c r="IKF1" t="s">
        <v>24067</v>
      </c>
      <c r="IKG1" t="s">
        <v>24068</v>
      </c>
      <c r="IKH1" t="s">
        <v>24069</v>
      </c>
      <c r="IKI1" t="s">
        <v>24070</v>
      </c>
      <c r="IKJ1" t="s">
        <v>24071</v>
      </c>
      <c r="IKK1" t="s">
        <v>24072</v>
      </c>
      <c r="IKL1" t="s">
        <v>24073</v>
      </c>
      <c r="IKM1" t="s">
        <v>24074</v>
      </c>
      <c r="IKN1" t="s">
        <v>24075</v>
      </c>
      <c r="IKO1" t="s">
        <v>24076</v>
      </c>
      <c r="IKP1" t="s">
        <v>24077</v>
      </c>
      <c r="IKQ1" t="s">
        <v>24078</v>
      </c>
      <c r="IKR1" t="s">
        <v>24079</v>
      </c>
      <c r="IKS1" t="s">
        <v>24080</v>
      </c>
      <c r="IKT1" t="s">
        <v>24081</v>
      </c>
      <c r="IKU1" t="s">
        <v>24082</v>
      </c>
      <c r="IKV1" t="s">
        <v>24083</v>
      </c>
      <c r="IKW1" t="s">
        <v>24084</v>
      </c>
      <c r="IKX1" t="s">
        <v>24085</v>
      </c>
      <c r="IKY1" t="s">
        <v>24086</v>
      </c>
      <c r="IKZ1" t="s">
        <v>24087</v>
      </c>
      <c r="ILA1" t="s">
        <v>24088</v>
      </c>
      <c r="ILB1" t="s">
        <v>24089</v>
      </c>
      <c r="ILC1" t="s">
        <v>24090</v>
      </c>
      <c r="ILD1" t="s">
        <v>24091</v>
      </c>
      <c r="ILE1" t="s">
        <v>24092</v>
      </c>
      <c r="ILF1" t="s">
        <v>24093</v>
      </c>
      <c r="ILG1" t="s">
        <v>24094</v>
      </c>
      <c r="ILH1" t="s">
        <v>24095</v>
      </c>
      <c r="ILI1" t="s">
        <v>24096</v>
      </c>
      <c r="ILJ1" t="s">
        <v>24097</v>
      </c>
      <c r="ILK1" t="s">
        <v>24098</v>
      </c>
      <c r="ILL1" t="s">
        <v>24099</v>
      </c>
      <c r="ILM1" t="s">
        <v>24100</v>
      </c>
      <c r="ILN1" t="s">
        <v>24101</v>
      </c>
      <c r="ILO1" t="s">
        <v>24102</v>
      </c>
      <c r="ILP1" t="s">
        <v>24103</v>
      </c>
      <c r="ILQ1" t="s">
        <v>24104</v>
      </c>
      <c r="ILR1" t="s">
        <v>24105</v>
      </c>
      <c r="ILS1" t="s">
        <v>24106</v>
      </c>
      <c r="ILT1" t="s">
        <v>24107</v>
      </c>
      <c r="ILU1" t="s">
        <v>24108</v>
      </c>
      <c r="ILV1" t="s">
        <v>24109</v>
      </c>
      <c r="ILW1" t="s">
        <v>24110</v>
      </c>
      <c r="ILX1" t="s">
        <v>24111</v>
      </c>
      <c r="ILY1" t="s">
        <v>24112</v>
      </c>
      <c r="ILZ1" t="s">
        <v>24113</v>
      </c>
      <c r="IMA1" t="s">
        <v>24114</v>
      </c>
      <c r="IMB1" t="s">
        <v>24115</v>
      </c>
      <c r="IMC1" t="s">
        <v>24116</v>
      </c>
      <c r="IMD1" t="s">
        <v>24117</v>
      </c>
      <c r="IME1" t="s">
        <v>24118</v>
      </c>
      <c r="IMF1" t="s">
        <v>24119</v>
      </c>
      <c r="IMG1" t="s">
        <v>24120</v>
      </c>
      <c r="IMH1" t="s">
        <v>24121</v>
      </c>
      <c r="IMI1" t="s">
        <v>24122</v>
      </c>
      <c r="IMJ1" t="s">
        <v>24123</v>
      </c>
      <c r="IMK1" t="s">
        <v>24124</v>
      </c>
      <c r="IML1" t="s">
        <v>24125</v>
      </c>
      <c r="IMM1" t="s">
        <v>24126</v>
      </c>
      <c r="IMN1" t="s">
        <v>24127</v>
      </c>
      <c r="IMO1" t="s">
        <v>24128</v>
      </c>
      <c r="IMP1" t="s">
        <v>24129</v>
      </c>
      <c r="IMQ1" t="s">
        <v>24130</v>
      </c>
      <c r="IMR1" t="s">
        <v>24131</v>
      </c>
      <c r="IMS1" t="s">
        <v>24132</v>
      </c>
      <c r="IMT1" t="s">
        <v>24133</v>
      </c>
      <c r="IMU1" t="s">
        <v>24134</v>
      </c>
      <c r="IMV1" t="s">
        <v>24135</v>
      </c>
      <c r="IMW1" t="s">
        <v>24136</v>
      </c>
      <c r="IMX1" t="s">
        <v>24137</v>
      </c>
      <c r="IMY1" t="s">
        <v>24138</v>
      </c>
      <c r="IMZ1" t="s">
        <v>24139</v>
      </c>
      <c r="INA1" t="s">
        <v>24140</v>
      </c>
      <c r="INB1" t="s">
        <v>24141</v>
      </c>
      <c r="INC1" t="s">
        <v>24142</v>
      </c>
      <c r="IND1" t="s">
        <v>24143</v>
      </c>
      <c r="INE1" t="s">
        <v>24144</v>
      </c>
      <c r="INF1" t="s">
        <v>24145</v>
      </c>
      <c r="ING1" t="s">
        <v>24146</v>
      </c>
      <c r="INH1" t="s">
        <v>24147</v>
      </c>
      <c r="INI1" t="s">
        <v>24148</v>
      </c>
      <c r="INJ1" t="s">
        <v>24149</v>
      </c>
      <c r="INK1" t="s">
        <v>24150</v>
      </c>
      <c r="INL1" t="s">
        <v>24151</v>
      </c>
      <c r="INM1" t="s">
        <v>24152</v>
      </c>
      <c r="INN1" t="s">
        <v>24153</v>
      </c>
      <c r="INO1" t="s">
        <v>24154</v>
      </c>
      <c r="INP1" t="s">
        <v>24155</v>
      </c>
      <c r="INQ1" t="s">
        <v>24156</v>
      </c>
      <c r="INR1" t="s">
        <v>24157</v>
      </c>
      <c r="INS1" t="s">
        <v>24158</v>
      </c>
      <c r="INT1" t="s">
        <v>24159</v>
      </c>
      <c r="INU1" t="s">
        <v>24160</v>
      </c>
      <c r="INV1" t="s">
        <v>24161</v>
      </c>
      <c r="INW1" t="s">
        <v>24162</v>
      </c>
      <c r="INX1" t="s">
        <v>24163</v>
      </c>
      <c r="INY1" t="s">
        <v>24164</v>
      </c>
      <c r="INZ1" t="s">
        <v>24165</v>
      </c>
      <c r="IOA1" t="s">
        <v>24166</v>
      </c>
      <c r="IOB1" t="s">
        <v>24167</v>
      </c>
      <c r="IOC1" t="s">
        <v>24168</v>
      </c>
      <c r="IOD1" t="s">
        <v>24169</v>
      </c>
      <c r="IOE1" t="s">
        <v>24170</v>
      </c>
      <c r="IOF1" t="s">
        <v>24171</v>
      </c>
      <c r="IOG1" t="s">
        <v>24172</v>
      </c>
      <c r="IOH1" t="s">
        <v>24173</v>
      </c>
      <c r="IOI1" t="s">
        <v>24174</v>
      </c>
      <c r="IOJ1" t="s">
        <v>24175</v>
      </c>
      <c r="IOK1" t="s">
        <v>24176</v>
      </c>
      <c r="IOL1" t="s">
        <v>24177</v>
      </c>
      <c r="IOM1" t="s">
        <v>24178</v>
      </c>
      <c r="ION1" t="s">
        <v>24179</v>
      </c>
      <c r="IOO1" t="s">
        <v>24180</v>
      </c>
      <c r="IOP1" t="s">
        <v>24181</v>
      </c>
      <c r="IOQ1" t="s">
        <v>24182</v>
      </c>
      <c r="IOR1" t="s">
        <v>24183</v>
      </c>
      <c r="IOS1" t="s">
        <v>24184</v>
      </c>
      <c r="IOT1" t="s">
        <v>24185</v>
      </c>
      <c r="IOU1" t="s">
        <v>24186</v>
      </c>
      <c r="IOV1" t="s">
        <v>24187</v>
      </c>
      <c r="IOW1" t="s">
        <v>24188</v>
      </c>
      <c r="IOX1" t="s">
        <v>24189</v>
      </c>
      <c r="IOY1" t="s">
        <v>24190</v>
      </c>
      <c r="IOZ1" t="s">
        <v>24191</v>
      </c>
      <c r="IPA1" t="s">
        <v>24192</v>
      </c>
      <c r="IPB1" t="s">
        <v>24193</v>
      </c>
      <c r="IPC1" t="s">
        <v>24194</v>
      </c>
      <c r="IPD1" t="s">
        <v>24195</v>
      </c>
      <c r="IPE1" t="s">
        <v>24196</v>
      </c>
      <c r="IPF1" t="s">
        <v>24197</v>
      </c>
      <c r="IPG1" t="s">
        <v>24198</v>
      </c>
      <c r="IPH1" t="s">
        <v>24199</v>
      </c>
      <c r="IPI1" t="s">
        <v>24200</v>
      </c>
      <c r="IPJ1" t="s">
        <v>24201</v>
      </c>
      <c r="IPK1" t="s">
        <v>24202</v>
      </c>
      <c r="IPL1" t="s">
        <v>24203</v>
      </c>
      <c r="IPM1" t="s">
        <v>24204</v>
      </c>
      <c r="IPN1" t="s">
        <v>24205</v>
      </c>
      <c r="IPO1" t="s">
        <v>24206</v>
      </c>
      <c r="IPP1" t="s">
        <v>24207</v>
      </c>
      <c r="IPQ1" t="s">
        <v>24208</v>
      </c>
      <c r="IPR1" t="s">
        <v>24209</v>
      </c>
      <c r="IPS1" t="s">
        <v>24210</v>
      </c>
      <c r="IPT1" t="s">
        <v>24211</v>
      </c>
      <c r="IPU1" t="s">
        <v>24212</v>
      </c>
      <c r="IPV1" t="s">
        <v>24213</v>
      </c>
      <c r="IPW1" t="s">
        <v>24214</v>
      </c>
      <c r="IPX1" t="s">
        <v>24215</v>
      </c>
      <c r="IPY1" t="s">
        <v>24216</v>
      </c>
      <c r="IPZ1" t="s">
        <v>24217</v>
      </c>
      <c r="IQA1" t="s">
        <v>24218</v>
      </c>
      <c r="IQB1" t="s">
        <v>24219</v>
      </c>
      <c r="IQC1" t="s">
        <v>24220</v>
      </c>
      <c r="IQD1" t="s">
        <v>24221</v>
      </c>
      <c r="IQE1" t="s">
        <v>24222</v>
      </c>
      <c r="IQF1" t="s">
        <v>24223</v>
      </c>
      <c r="IQG1" t="s">
        <v>24224</v>
      </c>
      <c r="IQH1" t="s">
        <v>24225</v>
      </c>
      <c r="IQI1" t="s">
        <v>24226</v>
      </c>
      <c r="IQJ1" t="s">
        <v>24227</v>
      </c>
      <c r="IQK1" t="s">
        <v>24228</v>
      </c>
      <c r="IQL1" t="s">
        <v>24229</v>
      </c>
      <c r="IQM1" t="s">
        <v>24230</v>
      </c>
      <c r="IQN1" t="s">
        <v>24231</v>
      </c>
      <c r="IQO1" t="s">
        <v>24232</v>
      </c>
      <c r="IQP1" t="s">
        <v>24233</v>
      </c>
      <c r="IQQ1" t="s">
        <v>24234</v>
      </c>
      <c r="IQR1" t="s">
        <v>24235</v>
      </c>
      <c r="IQS1" t="s">
        <v>24236</v>
      </c>
      <c r="IQT1" t="s">
        <v>24237</v>
      </c>
      <c r="IQU1" t="s">
        <v>24238</v>
      </c>
      <c r="IQV1" t="s">
        <v>24239</v>
      </c>
      <c r="IQW1" t="s">
        <v>24240</v>
      </c>
      <c r="IQX1" t="s">
        <v>24241</v>
      </c>
      <c r="IQY1" t="s">
        <v>24242</v>
      </c>
      <c r="IQZ1" t="s">
        <v>24243</v>
      </c>
      <c r="IRA1" t="s">
        <v>24244</v>
      </c>
      <c r="IRB1" t="s">
        <v>24245</v>
      </c>
      <c r="IRC1" t="s">
        <v>24246</v>
      </c>
      <c r="IRD1" t="s">
        <v>24247</v>
      </c>
      <c r="IRE1" t="s">
        <v>24248</v>
      </c>
      <c r="IRF1" t="s">
        <v>24249</v>
      </c>
      <c r="IRG1" t="s">
        <v>24250</v>
      </c>
      <c r="IRH1" t="s">
        <v>24251</v>
      </c>
      <c r="IRI1" t="s">
        <v>24252</v>
      </c>
      <c r="IRJ1" t="s">
        <v>24253</v>
      </c>
      <c r="IRK1" t="s">
        <v>24254</v>
      </c>
      <c r="IRL1" t="s">
        <v>24255</v>
      </c>
      <c r="IRM1" t="s">
        <v>24256</v>
      </c>
      <c r="IRN1" t="s">
        <v>24257</v>
      </c>
      <c r="IRO1" t="s">
        <v>24258</v>
      </c>
      <c r="IRP1" t="s">
        <v>24259</v>
      </c>
      <c r="IRQ1" t="s">
        <v>24260</v>
      </c>
      <c r="IRR1" t="s">
        <v>24261</v>
      </c>
      <c r="IRS1" t="s">
        <v>24262</v>
      </c>
      <c r="IRT1" t="s">
        <v>24263</v>
      </c>
      <c r="IRU1" t="s">
        <v>24264</v>
      </c>
      <c r="IRV1" t="s">
        <v>24265</v>
      </c>
      <c r="IRW1" t="s">
        <v>24266</v>
      </c>
      <c r="IRX1" t="s">
        <v>24267</v>
      </c>
      <c r="IRY1" t="s">
        <v>24268</v>
      </c>
      <c r="IRZ1" t="s">
        <v>24269</v>
      </c>
      <c r="ISA1" t="s">
        <v>24270</v>
      </c>
      <c r="ISB1" t="s">
        <v>24271</v>
      </c>
      <c r="ISC1" t="s">
        <v>24272</v>
      </c>
      <c r="ISD1" t="s">
        <v>24273</v>
      </c>
      <c r="ISE1" t="s">
        <v>24274</v>
      </c>
      <c r="ISF1" t="s">
        <v>24275</v>
      </c>
      <c r="ISG1" t="s">
        <v>24276</v>
      </c>
      <c r="ISH1" t="s">
        <v>24277</v>
      </c>
      <c r="ISI1" t="s">
        <v>24278</v>
      </c>
      <c r="ISJ1" t="s">
        <v>24279</v>
      </c>
      <c r="ISK1" t="s">
        <v>24280</v>
      </c>
      <c r="ISL1" t="s">
        <v>24281</v>
      </c>
      <c r="ISM1" t="s">
        <v>24282</v>
      </c>
      <c r="ISN1" t="s">
        <v>24283</v>
      </c>
      <c r="ISO1" t="s">
        <v>24284</v>
      </c>
      <c r="ISP1" t="s">
        <v>24285</v>
      </c>
      <c r="ISQ1" t="s">
        <v>24286</v>
      </c>
      <c r="ISR1" t="s">
        <v>24287</v>
      </c>
      <c r="ISS1" t="s">
        <v>24288</v>
      </c>
      <c r="IST1" t="s">
        <v>24289</v>
      </c>
      <c r="ISU1" t="s">
        <v>24290</v>
      </c>
      <c r="ISV1" t="s">
        <v>24291</v>
      </c>
      <c r="ISW1" t="s">
        <v>24292</v>
      </c>
      <c r="ISX1" t="s">
        <v>24293</v>
      </c>
      <c r="ISY1" t="s">
        <v>24294</v>
      </c>
      <c r="ISZ1" t="s">
        <v>24295</v>
      </c>
      <c r="ITA1" t="s">
        <v>24296</v>
      </c>
      <c r="ITB1" t="s">
        <v>24297</v>
      </c>
      <c r="ITC1" t="s">
        <v>24298</v>
      </c>
      <c r="ITD1" t="s">
        <v>24299</v>
      </c>
      <c r="ITE1" t="s">
        <v>24300</v>
      </c>
      <c r="ITF1" t="s">
        <v>24301</v>
      </c>
      <c r="ITG1" t="s">
        <v>24302</v>
      </c>
      <c r="ITH1" t="s">
        <v>24303</v>
      </c>
      <c r="ITI1" t="s">
        <v>24304</v>
      </c>
      <c r="ITJ1" t="s">
        <v>24305</v>
      </c>
      <c r="ITK1" t="s">
        <v>24306</v>
      </c>
      <c r="ITL1" t="s">
        <v>24307</v>
      </c>
      <c r="ITM1" t="s">
        <v>24308</v>
      </c>
      <c r="ITN1" t="s">
        <v>24309</v>
      </c>
      <c r="ITO1" t="s">
        <v>24310</v>
      </c>
      <c r="ITP1" t="s">
        <v>24311</v>
      </c>
      <c r="ITQ1" t="s">
        <v>24312</v>
      </c>
      <c r="ITR1" t="s">
        <v>24313</v>
      </c>
      <c r="ITS1" t="s">
        <v>24314</v>
      </c>
      <c r="ITT1" t="s">
        <v>24315</v>
      </c>
      <c r="ITU1" t="s">
        <v>24316</v>
      </c>
      <c r="ITV1" t="s">
        <v>24317</v>
      </c>
      <c r="ITW1" t="s">
        <v>24318</v>
      </c>
      <c r="ITX1" t="s">
        <v>24319</v>
      </c>
      <c r="ITY1" t="s">
        <v>24320</v>
      </c>
      <c r="ITZ1" t="s">
        <v>24321</v>
      </c>
      <c r="IUA1" t="s">
        <v>24322</v>
      </c>
      <c r="IUB1" t="s">
        <v>24323</v>
      </c>
      <c r="IUC1" t="s">
        <v>24324</v>
      </c>
      <c r="IUD1" t="s">
        <v>24325</v>
      </c>
      <c r="IUE1" t="s">
        <v>24326</v>
      </c>
      <c r="IUF1" t="s">
        <v>24327</v>
      </c>
      <c r="IUG1" t="s">
        <v>24328</v>
      </c>
      <c r="IUH1" t="s">
        <v>24329</v>
      </c>
      <c r="IUI1" t="s">
        <v>24330</v>
      </c>
      <c r="IUJ1" t="s">
        <v>24331</v>
      </c>
      <c r="IUK1" t="s">
        <v>24332</v>
      </c>
      <c r="IUL1" t="s">
        <v>24333</v>
      </c>
      <c r="IUM1" t="s">
        <v>24334</v>
      </c>
      <c r="IUN1" t="s">
        <v>24335</v>
      </c>
      <c r="IUO1" t="s">
        <v>24336</v>
      </c>
      <c r="IUP1" t="s">
        <v>24337</v>
      </c>
      <c r="IUQ1" t="s">
        <v>24338</v>
      </c>
      <c r="IUR1" t="s">
        <v>24339</v>
      </c>
      <c r="IUS1" t="s">
        <v>24340</v>
      </c>
      <c r="IUT1" t="s">
        <v>24341</v>
      </c>
      <c r="IUU1" t="s">
        <v>24342</v>
      </c>
      <c r="IUV1" t="s">
        <v>24343</v>
      </c>
      <c r="IUW1" t="s">
        <v>24344</v>
      </c>
      <c r="IUX1" t="s">
        <v>24345</v>
      </c>
      <c r="IUY1" t="s">
        <v>24346</v>
      </c>
      <c r="IUZ1" t="s">
        <v>24347</v>
      </c>
      <c r="IVA1" t="s">
        <v>24348</v>
      </c>
      <c r="IVB1" t="s">
        <v>24349</v>
      </c>
      <c r="IVC1" t="s">
        <v>24350</v>
      </c>
      <c r="IVD1" t="s">
        <v>24351</v>
      </c>
      <c r="IVE1" t="s">
        <v>24352</v>
      </c>
      <c r="IVF1" t="s">
        <v>24353</v>
      </c>
      <c r="IVG1" t="s">
        <v>24354</v>
      </c>
      <c r="IVH1" t="s">
        <v>24355</v>
      </c>
      <c r="IVI1" t="s">
        <v>24356</v>
      </c>
      <c r="IVJ1" t="s">
        <v>24357</v>
      </c>
      <c r="IVK1" t="s">
        <v>24358</v>
      </c>
      <c r="IVL1" t="s">
        <v>24359</v>
      </c>
      <c r="IVM1" t="s">
        <v>24360</v>
      </c>
      <c r="IVN1" t="s">
        <v>24361</v>
      </c>
      <c r="IVO1" t="s">
        <v>24362</v>
      </c>
      <c r="IVP1" t="s">
        <v>24363</v>
      </c>
      <c r="IVQ1" t="s">
        <v>24364</v>
      </c>
      <c r="IVR1" t="s">
        <v>24365</v>
      </c>
      <c r="IVS1" t="s">
        <v>24366</v>
      </c>
      <c r="IVT1" t="s">
        <v>24367</v>
      </c>
      <c r="IVU1" t="s">
        <v>24368</v>
      </c>
      <c r="IVV1" t="s">
        <v>24369</v>
      </c>
      <c r="IVW1" t="s">
        <v>24370</v>
      </c>
      <c r="IVX1" t="s">
        <v>24371</v>
      </c>
      <c r="IVY1" t="s">
        <v>24372</v>
      </c>
      <c r="IVZ1" t="s">
        <v>24373</v>
      </c>
      <c r="IWA1" t="s">
        <v>24374</v>
      </c>
      <c r="IWB1" t="s">
        <v>24375</v>
      </c>
      <c r="IWC1" t="s">
        <v>24376</v>
      </c>
      <c r="IWD1" t="s">
        <v>24377</v>
      </c>
      <c r="IWE1" t="s">
        <v>24378</v>
      </c>
      <c r="IWF1" t="s">
        <v>24379</v>
      </c>
      <c r="IWG1" t="s">
        <v>24380</v>
      </c>
      <c r="IWH1" t="s">
        <v>24381</v>
      </c>
      <c r="IWI1" t="s">
        <v>24382</v>
      </c>
      <c r="IWJ1" t="s">
        <v>24383</v>
      </c>
      <c r="IWK1" t="s">
        <v>24384</v>
      </c>
      <c r="IWL1" t="s">
        <v>24385</v>
      </c>
      <c r="IWM1" t="s">
        <v>24386</v>
      </c>
      <c r="IWN1" t="s">
        <v>24387</v>
      </c>
      <c r="IWO1" t="s">
        <v>24388</v>
      </c>
      <c r="IWP1" t="s">
        <v>24389</v>
      </c>
      <c r="IWQ1" t="s">
        <v>24390</v>
      </c>
      <c r="IWR1" t="s">
        <v>24391</v>
      </c>
      <c r="IWS1" t="s">
        <v>24392</v>
      </c>
      <c r="IWT1" t="s">
        <v>24393</v>
      </c>
      <c r="IWU1" t="s">
        <v>24394</v>
      </c>
      <c r="IWV1" t="s">
        <v>24395</v>
      </c>
      <c r="IWW1" t="s">
        <v>24396</v>
      </c>
      <c r="IWX1" t="s">
        <v>24397</v>
      </c>
      <c r="IWY1" t="s">
        <v>24398</v>
      </c>
      <c r="IWZ1" t="s">
        <v>24399</v>
      </c>
      <c r="IXA1" t="s">
        <v>24400</v>
      </c>
      <c r="IXB1" t="s">
        <v>24401</v>
      </c>
      <c r="IXC1" t="s">
        <v>24402</v>
      </c>
      <c r="IXD1" t="s">
        <v>24403</v>
      </c>
      <c r="IXE1" t="s">
        <v>24404</v>
      </c>
      <c r="IXF1" t="s">
        <v>24405</v>
      </c>
      <c r="IXG1" t="s">
        <v>24406</v>
      </c>
      <c r="IXH1" t="s">
        <v>24407</v>
      </c>
      <c r="IXI1" t="s">
        <v>24408</v>
      </c>
      <c r="IXJ1" t="s">
        <v>24409</v>
      </c>
      <c r="IXK1" t="s">
        <v>24410</v>
      </c>
      <c r="IXL1" t="s">
        <v>24411</v>
      </c>
      <c r="IXM1" t="s">
        <v>24412</v>
      </c>
      <c r="IXN1" t="s">
        <v>24413</v>
      </c>
      <c r="IXO1" t="s">
        <v>24414</v>
      </c>
      <c r="IXP1" t="s">
        <v>24415</v>
      </c>
      <c r="IXQ1" t="s">
        <v>24416</v>
      </c>
      <c r="IXR1" t="s">
        <v>24417</v>
      </c>
      <c r="IXS1" t="s">
        <v>24418</v>
      </c>
      <c r="IXT1" t="s">
        <v>24419</v>
      </c>
      <c r="IXU1" t="s">
        <v>24420</v>
      </c>
      <c r="IXV1" t="s">
        <v>24421</v>
      </c>
      <c r="IXW1" t="s">
        <v>24422</v>
      </c>
      <c r="IXX1" t="s">
        <v>24423</v>
      </c>
      <c r="IXY1" t="s">
        <v>24424</v>
      </c>
      <c r="IXZ1" t="s">
        <v>24425</v>
      </c>
      <c r="IYA1" t="s">
        <v>24426</v>
      </c>
      <c r="IYB1" t="s">
        <v>24427</v>
      </c>
      <c r="IYC1" t="s">
        <v>24428</v>
      </c>
      <c r="IYD1" t="s">
        <v>24429</v>
      </c>
      <c r="IYE1" t="s">
        <v>24430</v>
      </c>
      <c r="IYF1" t="s">
        <v>24431</v>
      </c>
      <c r="IYG1" t="s">
        <v>24432</v>
      </c>
      <c r="IYH1" t="s">
        <v>24433</v>
      </c>
      <c r="IYI1" t="s">
        <v>24434</v>
      </c>
      <c r="IYJ1" t="s">
        <v>24435</v>
      </c>
      <c r="IYK1" t="s">
        <v>24436</v>
      </c>
      <c r="IYL1" t="s">
        <v>24437</v>
      </c>
      <c r="IYM1" t="s">
        <v>24438</v>
      </c>
      <c r="IYN1" t="s">
        <v>24439</v>
      </c>
      <c r="IYO1" t="s">
        <v>24440</v>
      </c>
      <c r="IYP1" t="s">
        <v>24441</v>
      </c>
      <c r="IYQ1" t="s">
        <v>24442</v>
      </c>
      <c r="IYR1" t="s">
        <v>24443</v>
      </c>
      <c r="IYS1" t="s">
        <v>24444</v>
      </c>
      <c r="IYT1" t="s">
        <v>24445</v>
      </c>
      <c r="IYU1" t="s">
        <v>24446</v>
      </c>
      <c r="IYV1" t="s">
        <v>24447</v>
      </c>
      <c r="IYW1" t="s">
        <v>24448</v>
      </c>
      <c r="IYX1" t="s">
        <v>24449</v>
      </c>
      <c r="IYY1" t="s">
        <v>24450</v>
      </c>
      <c r="IYZ1" t="s">
        <v>24451</v>
      </c>
      <c r="IZA1" t="s">
        <v>24452</v>
      </c>
      <c r="IZB1" t="s">
        <v>24453</v>
      </c>
      <c r="IZC1" t="s">
        <v>24454</v>
      </c>
      <c r="IZD1" t="s">
        <v>24455</v>
      </c>
      <c r="IZE1" t="s">
        <v>24456</v>
      </c>
      <c r="IZF1" t="s">
        <v>24457</v>
      </c>
      <c r="IZG1" t="s">
        <v>24458</v>
      </c>
      <c r="IZH1" t="s">
        <v>24459</v>
      </c>
      <c r="IZI1" t="s">
        <v>24460</v>
      </c>
      <c r="IZJ1" t="s">
        <v>24461</v>
      </c>
      <c r="IZK1" t="s">
        <v>24462</v>
      </c>
      <c r="IZL1" t="s">
        <v>24463</v>
      </c>
      <c r="IZM1" t="s">
        <v>24464</v>
      </c>
      <c r="IZN1" t="s">
        <v>24465</v>
      </c>
      <c r="IZO1" t="s">
        <v>24466</v>
      </c>
      <c r="IZP1" t="s">
        <v>24467</v>
      </c>
      <c r="IZQ1" t="s">
        <v>24468</v>
      </c>
      <c r="IZR1" t="s">
        <v>24469</v>
      </c>
      <c r="IZS1" t="s">
        <v>24470</v>
      </c>
      <c r="IZT1" t="s">
        <v>24471</v>
      </c>
      <c r="IZU1" t="s">
        <v>24472</v>
      </c>
      <c r="IZV1" t="s">
        <v>24473</v>
      </c>
      <c r="IZW1" t="s">
        <v>24474</v>
      </c>
      <c r="IZX1" t="s">
        <v>24475</v>
      </c>
      <c r="IZY1" t="s">
        <v>24476</v>
      </c>
      <c r="IZZ1" t="s">
        <v>24477</v>
      </c>
      <c r="JAA1" t="s">
        <v>24478</v>
      </c>
      <c r="JAB1" t="s">
        <v>24479</v>
      </c>
      <c r="JAC1" t="s">
        <v>24480</v>
      </c>
      <c r="JAD1" t="s">
        <v>24481</v>
      </c>
      <c r="JAE1" t="s">
        <v>24482</v>
      </c>
      <c r="JAF1" t="s">
        <v>24483</v>
      </c>
      <c r="JAG1" t="s">
        <v>24484</v>
      </c>
      <c r="JAH1" t="s">
        <v>24485</v>
      </c>
      <c r="JAI1" t="s">
        <v>24486</v>
      </c>
      <c r="JAJ1" t="s">
        <v>24487</v>
      </c>
      <c r="JAK1" t="s">
        <v>24488</v>
      </c>
      <c r="JAL1" t="s">
        <v>24489</v>
      </c>
      <c r="JAM1" t="s">
        <v>24490</v>
      </c>
      <c r="JAN1" t="s">
        <v>24491</v>
      </c>
      <c r="JAO1" t="s">
        <v>24492</v>
      </c>
      <c r="JAP1" t="s">
        <v>24493</v>
      </c>
      <c r="JAQ1" t="s">
        <v>24494</v>
      </c>
      <c r="JAR1" t="s">
        <v>24495</v>
      </c>
      <c r="JAS1" t="s">
        <v>24496</v>
      </c>
      <c r="JAT1" t="s">
        <v>24497</v>
      </c>
      <c r="JAU1" t="s">
        <v>24498</v>
      </c>
      <c r="JAV1" t="s">
        <v>24499</v>
      </c>
      <c r="JAW1" t="s">
        <v>24500</v>
      </c>
      <c r="JAX1" t="s">
        <v>24501</v>
      </c>
      <c r="JAY1" t="s">
        <v>24502</v>
      </c>
      <c r="JAZ1" t="s">
        <v>24503</v>
      </c>
      <c r="JBA1" t="s">
        <v>24504</v>
      </c>
      <c r="JBB1" t="s">
        <v>24505</v>
      </c>
      <c r="JBC1" t="s">
        <v>24506</v>
      </c>
      <c r="JBD1" t="s">
        <v>24507</v>
      </c>
      <c r="JBE1" t="s">
        <v>24508</v>
      </c>
      <c r="JBF1" t="s">
        <v>24509</v>
      </c>
      <c r="JBG1" t="s">
        <v>24510</v>
      </c>
      <c r="JBH1" t="s">
        <v>24511</v>
      </c>
      <c r="JBI1" t="s">
        <v>24512</v>
      </c>
      <c r="JBJ1" t="s">
        <v>24513</v>
      </c>
      <c r="JBK1" t="s">
        <v>24514</v>
      </c>
      <c r="JBL1" t="s">
        <v>24515</v>
      </c>
      <c r="JBM1" t="s">
        <v>24516</v>
      </c>
      <c r="JBN1" t="s">
        <v>24517</v>
      </c>
      <c r="JBO1" t="s">
        <v>24518</v>
      </c>
      <c r="JBP1" t="s">
        <v>24519</v>
      </c>
      <c r="JBQ1" t="s">
        <v>24520</v>
      </c>
      <c r="JBR1" t="s">
        <v>24521</v>
      </c>
      <c r="JBS1" t="s">
        <v>24522</v>
      </c>
      <c r="JBT1" t="s">
        <v>24523</v>
      </c>
      <c r="JBU1" t="s">
        <v>24524</v>
      </c>
      <c r="JBV1" t="s">
        <v>24525</v>
      </c>
      <c r="JBW1" t="s">
        <v>24526</v>
      </c>
      <c r="JBX1" t="s">
        <v>24527</v>
      </c>
      <c r="JBY1" t="s">
        <v>24528</v>
      </c>
      <c r="JBZ1" t="s">
        <v>24529</v>
      </c>
      <c r="JCA1" t="s">
        <v>24530</v>
      </c>
      <c r="JCB1" t="s">
        <v>24531</v>
      </c>
      <c r="JCC1" t="s">
        <v>24532</v>
      </c>
      <c r="JCD1" t="s">
        <v>24533</v>
      </c>
      <c r="JCE1" t="s">
        <v>24534</v>
      </c>
      <c r="JCF1" t="s">
        <v>24535</v>
      </c>
      <c r="JCG1" t="s">
        <v>24536</v>
      </c>
      <c r="JCH1" t="s">
        <v>24537</v>
      </c>
      <c r="JCI1" t="s">
        <v>24538</v>
      </c>
      <c r="JCJ1" t="s">
        <v>24539</v>
      </c>
      <c r="JCK1" t="s">
        <v>24540</v>
      </c>
      <c r="JCL1" t="s">
        <v>24541</v>
      </c>
      <c r="JCM1" t="s">
        <v>24542</v>
      </c>
      <c r="JCN1" t="s">
        <v>24543</v>
      </c>
      <c r="JCO1" t="s">
        <v>24544</v>
      </c>
      <c r="JCP1" t="s">
        <v>24545</v>
      </c>
      <c r="JCQ1" t="s">
        <v>24546</v>
      </c>
      <c r="JCR1" t="s">
        <v>24547</v>
      </c>
      <c r="JCS1" t="s">
        <v>24548</v>
      </c>
      <c r="JCT1" t="s">
        <v>24549</v>
      </c>
      <c r="JCU1" t="s">
        <v>24550</v>
      </c>
      <c r="JCV1" t="s">
        <v>24551</v>
      </c>
      <c r="JCW1" t="s">
        <v>24552</v>
      </c>
      <c r="JCX1" t="s">
        <v>24553</v>
      </c>
      <c r="JCY1" t="s">
        <v>24554</v>
      </c>
      <c r="JCZ1" t="s">
        <v>24555</v>
      </c>
      <c r="JDA1" t="s">
        <v>24556</v>
      </c>
      <c r="JDB1" t="s">
        <v>24557</v>
      </c>
      <c r="JDC1" t="s">
        <v>24558</v>
      </c>
      <c r="JDD1" t="s">
        <v>24559</v>
      </c>
      <c r="JDE1" t="s">
        <v>24560</v>
      </c>
      <c r="JDF1" t="s">
        <v>24561</v>
      </c>
      <c r="JDG1" t="s">
        <v>24562</v>
      </c>
      <c r="JDH1" t="s">
        <v>24563</v>
      </c>
      <c r="JDI1" t="s">
        <v>24564</v>
      </c>
      <c r="JDJ1" t="s">
        <v>24565</v>
      </c>
      <c r="JDK1" t="s">
        <v>24566</v>
      </c>
      <c r="JDL1" t="s">
        <v>24567</v>
      </c>
      <c r="JDM1" t="s">
        <v>24568</v>
      </c>
      <c r="JDN1" t="s">
        <v>24569</v>
      </c>
      <c r="JDO1" t="s">
        <v>24570</v>
      </c>
      <c r="JDP1" t="s">
        <v>24571</v>
      </c>
      <c r="JDQ1" t="s">
        <v>24572</v>
      </c>
      <c r="JDR1" t="s">
        <v>24573</v>
      </c>
      <c r="JDS1" t="s">
        <v>24574</v>
      </c>
      <c r="JDT1" t="s">
        <v>24575</v>
      </c>
      <c r="JDU1" t="s">
        <v>24576</v>
      </c>
      <c r="JDV1" t="s">
        <v>24577</v>
      </c>
      <c r="JDW1" t="s">
        <v>24578</v>
      </c>
      <c r="JDX1" t="s">
        <v>24579</v>
      </c>
      <c r="JDY1" t="s">
        <v>24580</v>
      </c>
      <c r="JDZ1" t="s">
        <v>24581</v>
      </c>
      <c r="JEA1" t="s">
        <v>24582</v>
      </c>
      <c r="JEB1" t="s">
        <v>24583</v>
      </c>
      <c r="JEC1" t="s">
        <v>24584</v>
      </c>
      <c r="JED1" t="s">
        <v>24585</v>
      </c>
      <c r="JEE1" t="s">
        <v>24586</v>
      </c>
      <c r="JEF1" t="s">
        <v>24587</v>
      </c>
      <c r="JEG1" t="s">
        <v>24588</v>
      </c>
      <c r="JEH1" t="s">
        <v>24589</v>
      </c>
      <c r="JEI1" t="s">
        <v>24590</v>
      </c>
      <c r="JEJ1" t="s">
        <v>24591</v>
      </c>
      <c r="JEK1" t="s">
        <v>24592</v>
      </c>
      <c r="JEL1" t="s">
        <v>24593</v>
      </c>
      <c r="JEM1" t="s">
        <v>24594</v>
      </c>
      <c r="JEN1" t="s">
        <v>24595</v>
      </c>
      <c r="JEO1" t="s">
        <v>24596</v>
      </c>
      <c r="JEP1" t="s">
        <v>24597</v>
      </c>
      <c r="JEQ1" t="s">
        <v>24598</v>
      </c>
      <c r="JER1" t="s">
        <v>24599</v>
      </c>
      <c r="JES1" t="s">
        <v>24600</v>
      </c>
      <c r="JET1" t="s">
        <v>24601</v>
      </c>
      <c r="JEU1" t="s">
        <v>24602</v>
      </c>
      <c r="JEV1" t="s">
        <v>24603</v>
      </c>
      <c r="JEW1" t="s">
        <v>24604</v>
      </c>
      <c r="JEX1" t="s">
        <v>24605</v>
      </c>
      <c r="JEY1" t="s">
        <v>24606</v>
      </c>
      <c r="JEZ1" t="s">
        <v>24607</v>
      </c>
      <c r="JFA1" t="s">
        <v>24608</v>
      </c>
      <c r="JFB1" t="s">
        <v>24609</v>
      </c>
      <c r="JFC1" t="s">
        <v>24610</v>
      </c>
      <c r="JFD1" t="s">
        <v>24611</v>
      </c>
      <c r="JFE1" t="s">
        <v>24612</v>
      </c>
      <c r="JFF1" t="s">
        <v>24613</v>
      </c>
      <c r="JFG1" t="s">
        <v>24614</v>
      </c>
      <c r="JFH1" t="s">
        <v>24615</v>
      </c>
      <c r="JFI1" t="s">
        <v>24616</v>
      </c>
      <c r="JFJ1" t="s">
        <v>24617</v>
      </c>
      <c r="JFK1" t="s">
        <v>24618</v>
      </c>
      <c r="JFL1" t="s">
        <v>24619</v>
      </c>
      <c r="JFM1" t="s">
        <v>24620</v>
      </c>
      <c r="JFN1" t="s">
        <v>24621</v>
      </c>
      <c r="JFO1" t="s">
        <v>24622</v>
      </c>
      <c r="JFP1" t="s">
        <v>24623</v>
      </c>
      <c r="JFQ1" t="s">
        <v>24624</v>
      </c>
      <c r="JFR1" t="s">
        <v>24625</v>
      </c>
      <c r="JFS1" t="s">
        <v>24626</v>
      </c>
      <c r="JFT1" t="s">
        <v>24627</v>
      </c>
      <c r="JFU1" t="s">
        <v>24628</v>
      </c>
      <c r="JFV1" t="s">
        <v>24629</v>
      </c>
      <c r="JFW1" t="s">
        <v>24630</v>
      </c>
      <c r="JFX1" t="s">
        <v>24631</v>
      </c>
      <c r="JFY1" t="s">
        <v>24632</v>
      </c>
      <c r="JFZ1" t="s">
        <v>24633</v>
      </c>
      <c r="JGA1" t="s">
        <v>24634</v>
      </c>
      <c r="JGB1" t="s">
        <v>24635</v>
      </c>
      <c r="JGC1" t="s">
        <v>24636</v>
      </c>
      <c r="JGD1" t="s">
        <v>24637</v>
      </c>
      <c r="JGE1" t="s">
        <v>24638</v>
      </c>
      <c r="JGF1" t="s">
        <v>24639</v>
      </c>
      <c r="JGG1" t="s">
        <v>24640</v>
      </c>
      <c r="JGH1" t="s">
        <v>24641</v>
      </c>
      <c r="JGI1" t="s">
        <v>24642</v>
      </c>
      <c r="JGJ1" t="s">
        <v>24643</v>
      </c>
      <c r="JGK1" t="s">
        <v>24644</v>
      </c>
      <c r="JGL1" t="s">
        <v>24645</v>
      </c>
      <c r="JGM1" t="s">
        <v>24646</v>
      </c>
      <c r="JGN1" t="s">
        <v>24647</v>
      </c>
      <c r="JGO1" t="s">
        <v>24648</v>
      </c>
      <c r="JGP1" t="s">
        <v>24649</v>
      </c>
      <c r="JGQ1" t="s">
        <v>24650</v>
      </c>
      <c r="JGR1" t="s">
        <v>24651</v>
      </c>
      <c r="JGS1" t="s">
        <v>24652</v>
      </c>
      <c r="JGT1" t="s">
        <v>24653</v>
      </c>
      <c r="JGU1" t="s">
        <v>24654</v>
      </c>
      <c r="JGV1" t="s">
        <v>24655</v>
      </c>
      <c r="JGW1" t="s">
        <v>24656</v>
      </c>
      <c r="JGX1" t="s">
        <v>24657</v>
      </c>
      <c r="JGY1" t="s">
        <v>24658</v>
      </c>
      <c r="JGZ1" t="s">
        <v>24659</v>
      </c>
      <c r="JHA1" t="s">
        <v>24660</v>
      </c>
      <c r="JHB1" t="s">
        <v>24661</v>
      </c>
      <c r="JHC1" t="s">
        <v>24662</v>
      </c>
      <c r="JHD1" t="s">
        <v>24663</v>
      </c>
      <c r="JHE1" t="s">
        <v>24664</v>
      </c>
      <c r="JHF1" t="s">
        <v>24665</v>
      </c>
      <c r="JHG1" t="s">
        <v>24666</v>
      </c>
      <c r="JHH1" t="s">
        <v>24667</v>
      </c>
      <c r="JHI1" t="s">
        <v>24668</v>
      </c>
      <c r="JHJ1" t="s">
        <v>24669</v>
      </c>
      <c r="JHK1" t="s">
        <v>24670</v>
      </c>
      <c r="JHL1" t="s">
        <v>24671</v>
      </c>
      <c r="JHM1" t="s">
        <v>24672</v>
      </c>
      <c r="JHN1" t="s">
        <v>24673</v>
      </c>
      <c r="JHO1" t="s">
        <v>24674</v>
      </c>
      <c r="JHP1" t="s">
        <v>24675</v>
      </c>
      <c r="JHQ1" t="s">
        <v>24676</v>
      </c>
      <c r="JHR1" t="s">
        <v>24677</v>
      </c>
      <c r="JHS1" t="s">
        <v>24678</v>
      </c>
      <c r="JHT1" t="s">
        <v>24679</v>
      </c>
      <c r="JHU1" t="s">
        <v>24680</v>
      </c>
      <c r="JHV1" t="s">
        <v>24681</v>
      </c>
      <c r="JHW1" t="s">
        <v>24682</v>
      </c>
      <c r="JHX1" t="s">
        <v>24683</v>
      </c>
      <c r="JHY1" t="s">
        <v>24684</v>
      </c>
      <c r="JHZ1" t="s">
        <v>24685</v>
      </c>
      <c r="JIA1" t="s">
        <v>24686</v>
      </c>
      <c r="JIB1" t="s">
        <v>24687</v>
      </c>
      <c r="JIC1" t="s">
        <v>24688</v>
      </c>
      <c r="JID1" t="s">
        <v>24689</v>
      </c>
      <c r="JIE1" t="s">
        <v>24690</v>
      </c>
      <c r="JIF1" t="s">
        <v>24691</v>
      </c>
      <c r="JIG1" t="s">
        <v>24692</v>
      </c>
      <c r="JIH1" t="s">
        <v>24693</v>
      </c>
      <c r="JII1" t="s">
        <v>24694</v>
      </c>
      <c r="JIJ1" t="s">
        <v>24695</v>
      </c>
      <c r="JIK1" t="s">
        <v>24696</v>
      </c>
      <c r="JIL1" t="s">
        <v>24697</v>
      </c>
      <c r="JIM1" t="s">
        <v>24698</v>
      </c>
      <c r="JIN1" t="s">
        <v>24699</v>
      </c>
      <c r="JIO1" t="s">
        <v>24700</v>
      </c>
      <c r="JIP1" t="s">
        <v>24701</v>
      </c>
      <c r="JIQ1" t="s">
        <v>24702</v>
      </c>
      <c r="JIR1" t="s">
        <v>24703</v>
      </c>
      <c r="JIS1" t="s">
        <v>24704</v>
      </c>
      <c r="JIT1" t="s">
        <v>24705</v>
      </c>
      <c r="JIU1" t="s">
        <v>24706</v>
      </c>
      <c r="JIV1" t="s">
        <v>24707</v>
      </c>
      <c r="JIW1" t="s">
        <v>24708</v>
      </c>
      <c r="JIX1" t="s">
        <v>24709</v>
      </c>
      <c r="JIY1" t="s">
        <v>24710</v>
      </c>
      <c r="JIZ1" t="s">
        <v>24711</v>
      </c>
      <c r="JJA1" t="s">
        <v>24712</v>
      </c>
      <c r="JJB1" t="s">
        <v>24713</v>
      </c>
      <c r="JJC1" t="s">
        <v>24714</v>
      </c>
      <c r="JJD1" t="s">
        <v>24715</v>
      </c>
      <c r="JJE1" t="s">
        <v>24716</v>
      </c>
      <c r="JJF1" t="s">
        <v>24717</v>
      </c>
      <c r="JJG1" t="s">
        <v>24718</v>
      </c>
      <c r="JJH1" t="s">
        <v>24719</v>
      </c>
      <c r="JJI1" t="s">
        <v>24720</v>
      </c>
      <c r="JJJ1" t="s">
        <v>24721</v>
      </c>
      <c r="JJK1" t="s">
        <v>24722</v>
      </c>
      <c r="JJL1" t="s">
        <v>24723</v>
      </c>
      <c r="JJM1" t="s">
        <v>24724</v>
      </c>
      <c r="JJN1" t="s">
        <v>24725</v>
      </c>
      <c r="JJO1" t="s">
        <v>24726</v>
      </c>
      <c r="JJP1" t="s">
        <v>24727</v>
      </c>
      <c r="JJQ1" t="s">
        <v>24728</v>
      </c>
      <c r="JJR1" t="s">
        <v>24729</v>
      </c>
      <c r="JJS1" t="s">
        <v>24730</v>
      </c>
      <c r="JJT1" t="s">
        <v>24731</v>
      </c>
      <c r="JJU1" t="s">
        <v>24732</v>
      </c>
      <c r="JJV1" t="s">
        <v>24733</v>
      </c>
      <c r="JJW1" t="s">
        <v>24734</v>
      </c>
      <c r="JJX1" t="s">
        <v>24735</v>
      </c>
      <c r="JJY1" t="s">
        <v>24736</v>
      </c>
      <c r="JJZ1" t="s">
        <v>24737</v>
      </c>
      <c r="JKA1" t="s">
        <v>24738</v>
      </c>
      <c r="JKB1" t="s">
        <v>24739</v>
      </c>
      <c r="JKC1" t="s">
        <v>24740</v>
      </c>
      <c r="JKD1" t="s">
        <v>24741</v>
      </c>
      <c r="JKE1" t="s">
        <v>24742</v>
      </c>
      <c r="JKF1" t="s">
        <v>24743</v>
      </c>
      <c r="JKG1" t="s">
        <v>24744</v>
      </c>
      <c r="JKH1" t="s">
        <v>24745</v>
      </c>
      <c r="JKI1" t="s">
        <v>24746</v>
      </c>
      <c r="JKJ1" t="s">
        <v>24747</v>
      </c>
      <c r="JKK1" t="s">
        <v>24748</v>
      </c>
      <c r="JKL1" t="s">
        <v>24749</v>
      </c>
      <c r="JKM1" t="s">
        <v>24750</v>
      </c>
      <c r="JKN1" t="s">
        <v>24751</v>
      </c>
      <c r="JKO1" t="s">
        <v>24752</v>
      </c>
      <c r="JKP1" t="s">
        <v>24753</v>
      </c>
      <c r="JKQ1" t="s">
        <v>24754</v>
      </c>
      <c r="JKR1" t="s">
        <v>24755</v>
      </c>
      <c r="JKS1" t="s">
        <v>24756</v>
      </c>
      <c r="JKT1" t="s">
        <v>24757</v>
      </c>
      <c r="JKU1" t="s">
        <v>24758</v>
      </c>
      <c r="JKV1" t="s">
        <v>24759</v>
      </c>
      <c r="JKW1" t="s">
        <v>24760</v>
      </c>
      <c r="JKX1" t="s">
        <v>24761</v>
      </c>
      <c r="JKY1" t="s">
        <v>24762</v>
      </c>
      <c r="JKZ1" t="s">
        <v>24763</v>
      </c>
      <c r="JLA1" t="s">
        <v>24764</v>
      </c>
      <c r="JLB1" t="s">
        <v>24765</v>
      </c>
      <c r="JLC1" t="s">
        <v>24766</v>
      </c>
      <c r="JLD1" t="s">
        <v>24767</v>
      </c>
      <c r="JLE1" t="s">
        <v>24768</v>
      </c>
      <c r="JLF1" t="s">
        <v>24769</v>
      </c>
      <c r="JLG1" t="s">
        <v>24770</v>
      </c>
      <c r="JLH1" t="s">
        <v>24771</v>
      </c>
      <c r="JLI1" t="s">
        <v>24772</v>
      </c>
      <c r="JLJ1" t="s">
        <v>24773</v>
      </c>
      <c r="JLK1" t="s">
        <v>24774</v>
      </c>
      <c r="JLL1" t="s">
        <v>24775</v>
      </c>
      <c r="JLM1" t="s">
        <v>24776</v>
      </c>
      <c r="JLN1" t="s">
        <v>24777</v>
      </c>
      <c r="JLO1" t="s">
        <v>24778</v>
      </c>
      <c r="JLP1" t="s">
        <v>24779</v>
      </c>
      <c r="JLQ1" t="s">
        <v>24780</v>
      </c>
      <c r="JLR1" t="s">
        <v>24781</v>
      </c>
      <c r="JLS1" t="s">
        <v>24782</v>
      </c>
      <c r="JLT1" t="s">
        <v>24783</v>
      </c>
      <c r="JLU1" t="s">
        <v>24784</v>
      </c>
      <c r="JLV1" t="s">
        <v>24785</v>
      </c>
      <c r="JLW1" t="s">
        <v>24786</v>
      </c>
      <c r="JLX1" t="s">
        <v>24787</v>
      </c>
      <c r="JLY1" t="s">
        <v>24788</v>
      </c>
      <c r="JLZ1" t="s">
        <v>24789</v>
      </c>
      <c r="JMA1" t="s">
        <v>24790</v>
      </c>
      <c r="JMB1" t="s">
        <v>24791</v>
      </c>
      <c r="JMC1" t="s">
        <v>24792</v>
      </c>
      <c r="JMD1" t="s">
        <v>24793</v>
      </c>
      <c r="JME1" t="s">
        <v>24794</v>
      </c>
      <c r="JMF1" t="s">
        <v>24795</v>
      </c>
      <c r="JMG1" t="s">
        <v>24796</v>
      </c>
      <c r="JMH1" t="s">
        <v>24797</v>
      </c>
      <c r="JMI1" t="s">
        <v>24798</v>
      </c>
      <c r="JMJ1" t="s">
        <v>24799</v>
      </c>
      <c r="JMK1" t="s">
        <v>24800</v>
      </c>
      <c r="JML1" t="s">
        <v>24801</v>
      </c>
      <c r="JMM1" t="s">
        <v>24802</v>
      </c>
      <c r="JMN1" t="s">
        <v>24803</v>
      </c>
      <c r="JMO1" t="s">
        <v>24804</v>
      </c>
      <c r="JMP1" t="s">
        <v>24805</v>
      </c>
      <c r="JMQ1" t="s">
        <v>24806</v>
      </c>
      <c r="JMR1" t="s">
        <v>24807</v>
      </c>
      <c r="JMS1" t="s">
        <v>24808</v>
      </c>
      <c r="JMT1" t="s">
        <v>24809</v>
      </c>
      <c r="JMU1" t="s">
        <v>24810</v>
      </c>
      <c r="JMV1" t="s">
        <v>24811</v>
      </c>
      <c r="JMW1" t="s">
        <v>24812</v>
      </c>
      <c r="JMX1" t="s">
        <v>24813</v>
      </c>
      <c r="JMY1" t="s">
        <v>24814</v>
      </c>
      <c r="JMZ1" t="s">
        <v>24815</v>
      </c>
      <c r="JNA1" t="s">
        <v>24816</v>
      </c>
      <c r="JNB1" t="s">
        <v>24817</v>
      </c>
      <c r="JNC1" t="s">
        <v>24818</v>
      </c>
      <c r="JND1" t="s">
        <v>24819</v>
      </c>
      <c r="JNE1" t="s">
        <v>24820</v>
      </c>
      <c r="JNF1" t="s">
        <v>24821</v>
      </c>
      <c r="JNG1" t="s">
        <v>24822</v>
      </c>
      <c r="JNH1" t="s">
        <v>24823</v>
      </c>
      <c r="JNI1" t="s">
        <v>24824</v>
      </c>
      <c r="JNJ1" t="s">
        <v>24825</v>
      </c>
      <c r="JNK1" t="s">
        <v>24826</v>
      </c>
      <c r="JNL1" t="s">
        <v>24827</v>
      </c>
      <c r="JNM1" t="s">
        <v>24828</v>
      </c>
      <c r="JNN1" t="s">
        <v>24829</v>
      </c>
      <c r="JNO1" t="s">
        <v>24830</v>
      </c>
      <c r="JNP1" t="s">
        <v>24831</v>
      </c>
      <c r="JNQ1" t="s">
        <v>24832</v>
      </c>
      <c r="JNR1" t="s">
        <v>24833</v>
      </c>
      <c r="JNS1" t="s">
        <v>24834</v>
      </c>
      <c r="JNT1" t="s">
        <v>24835</v>
      </c>
      <c r="JNU1" t="s">
        <v>24836</v>
      </c>
      <c r="JNV1" t="s">
        <v>24837</v>
      </c>
      <c r="JNW1" t="s">
        <v>24838</v>
      </c>
      <c r="JNX1" t="s">
        <v>24839</v>
      </c>
      <c r="JNY1" t="s">
        <v>24840</v>
      </c>
      <c r="JNZ1" t="s">
        <v>24841</v>
      </c>
      <c r="JOA1" t="s">
        <v>24842</v>
      </c>
      <c r="JOB1" t="s">
        <v>24843</v>
      </c>
      <c r="JOC1" t="s">
        <v>24844</v>
      </c>
      <c r="JOD1" t="s">
        <v>24845</v>
      </c>
      <c r="JOE1" t="s">
        <v>24846</v>
      </c>
      <c r="JOF1" t="s">
        <v>24847</v>
      </c>
      <c r="JOG1" t="s">
        <v>24848</v>
      </c>
      <c r="JOH1" t="s">
        <v>24849</v>
      </c>
      <c r="JOI1" t="s">
        <v>24850</v>
      </c>
      <c r="JOJ1" t="s">
        <v>24851</v>
      </c>
      <c r="JOK1" t="s">
        <v>24852</v>
      </c>
      <c r="JOL1" t="s">
        <v>24853</v>
      </c>
      <c r="JOM1" t="s">
        <v>24854</v>
      </c>
      <c r="JON1" t="s">
        <v>24855</v>
      </c>
      <c r="JOO1" t="s">
        <v>24856</v>
      </c>
      <c r="JOP1" t="s">
        <v>24857</v>
      </c>
      <c r="JOQ1" t="s">
        <v>24858</v>
      </c>
      <c r="JOR1" t="s">
        <v>24859</v>
      </c>
      <c r="JOS1" t="s">
        <v>24860</v>
      </c>
      <c r="JOT1" t="s">
        <v>24861</v>
      </c>
      <c r="JOU1" t="s">
        <v>24862</v>
      </c>
      <c r="JOV1" t="s">
        <v>24863</v>
      </c>
      <c r="JOW1" t="s">
        <v>24864</v>
      </c>
      <c r="JOX1" t="s">
        <v>24865</v>
      </c>
      <c r="JOY1" t="s">
        <v>24866</v>
      </c>
      <c r="JOZ1" t="s">
        <v>24867</v>
      </c>
      <c r="JPA1" t="s">
        <v>24868</v>
      </c>
      <c r="JPB1" t="s">
        <v>24869</v>
      </c>
      <c r="JPC1" t="s">
        <v>24870</v>
      </c>
      <c r="JPD1" t="s">
        <v>24871</v>
      </c>
      <c r="JPE1" t="s">
        <v>24872</v>
      </c>
      <c r="JPF1" t="s">
        <v>24873</v>
      </c>
      <c r="JPG1" t="s">
        <v>24874</v>
      </c>
      <c r="JPH1" t="s">
        <v>24875</v>
      </c>
      <c r="JPI1" t="s">
        <v>24876</v>
      </c>
      <c r="JPJ1" t="s">
        <v>24877</v>
      </c>
      <c r="JPK1" t="s">
        <v>24878</v>
      </c>
      <c r="JPL1" t="s">
        <v>24879</v>
      </c>
      <c r="JPM1" t="s">
        <v>24880</v>
      </c>
      <c r="JPN1" t="s">
        <v>24881</v>
      </c>
      <c r="JPO1" t="s">
        <v>24882</v>
      </c>
      <c r="JPP1" t="s">
        <v>24883</v>
      </c>
      <c r="JPQ1" t="s">
        <v>24884</v>
      </c>
      <c r="JPR1" t="s">
        <v>24885</v>
      </c>
      <c r="JPS1" t="s">
        <v>24886</v>
      </c>
      <c r="JPT1" t="s">
        <v>24887</v>
      </c>
      <c r="JPU1" t="s">
        <v>24888</v>
      </c>
      <c r="JPV1" t="s">
        <v>24889</v>
      </c>
      <c r="JPW1" t="s">
        <v>24890</v>
      </c>
      <c r="JPX1" t="s">
        <v>24891</v>
      </c>
      <c r="JPY1" t="s">
        <v>24892</v>
      </c>
      <c r="JPZ1" t="s">
        <v>24893</v>
      </c>
      <c r="JQA1" t="s">
        <v>24894</v>
      </c>
      <c r="JQB1" t="s">
        <v>24895</v>
      </c>
      <c r="JQC1" t="s">
        <v>24896</v>
      </c>
      <c r="JQD1" t="s">
        <v>24897</v>
      </c>
      <c r="JQE1" t="s">
        <v>24898</v>
      </c>
      <c r="JQF1" t="s">
        <v>24899</v>
      </c>
      <c r="JQG1" t="s">
        <v>24900</v>
      </c>
      <c r="JQH1" t="s">
        <v>24901</v>
      </c>
      <c r="JQI1" t="s">
        <v>24902</v>
      </c>
      <c r="JQJ1" t="s">
        <v>24903</v>
      </c>
      <c r="JQK1" t="s">
        <v>24904</v>
      </c>
      <c r="JQL1" t="s">
        <v>24905</v>
      </c>
      <c r="JQM1" t="s">
        <v>24906</v>
      </c>
      <c r="JQN1" t="s">
        <v>24907</v>
      </c>
      <c r="JQO1" t="s">
        <v>24908</v>
      </c>
      <c r="JQP1" t="s">
        <v>24909</v>
      </c>
      <c r="JQQ1" t="s">
        <v>24910</v>
      </c>
      <c r="JQR1" t="s">
        <v>24911</v>
      </c>
      <c r="JQS1" t="s">
        <v>24912</v>
      </c>
      <c r="JQT1" t="s">
        <v>24913</v>
      </c>
      <c r="JQU1" t="s">
        <v>24914</v>
      </c>
      <c r="JQV1" t="s">
        <v>24915</v>
      </c>
      <c r="JQW1" t="s">
        <v>24916</v>
      </c>
      <c r="JQX1" t="s">
        <v>24917</v>
      </c>
      <c r="JQY1" t="s">
        <v>24918</v>
      </c>
      <c r="JQZ1" t="s">
        <v>24919</v>
      </c>
      <c r="JRA1" t="s">
        <v>24920</v>
      </c>
      <c r="JRB1" t="s">
        <v>24921</v>
      </c>
      <c r="JRC1" t="s">
        <v>24922</v>
      </c>
      <c r="JRD1" t="s">
        <v>24923</v>
      </c>
      <c r="JRE1" t="s">
        <v>24924</v>
      </c>
      <c r="JRF1" t="s">
        <v>24925</v>
      </c>
      <c r="JRG1" t="s">
        <v>24926</v>
      </c>
      <c r="JRH1" t="s">
        <v>24927</v>
      </c>
      <c r="JRI1" t="s">
        <v>24928</v>
      </c>
      <c r="JRJ1" t="s">
        <v>24929</v>
      </c>
      <c r="JRK1" t="s">
        <v>24930</v>
      </c>
      <c r="JRL1" t="s">
        <v>24931</v>
      </c>
      <c r="JRM1" t="s">
        <v>24932</v>
      </c>
      <c r="JRN1" t="s">
        <v>24933</v>
      </c>
      <c r="JRO1" t="s">
        <v>24934</v>
      </c>
      <c r="JRP1" t="s">
        <v>24935</v>
      </c>
      <c r="JRQ1" t="s">
        <v>24936</v>
      </c>
      <c r="JRR1" t="s">
        <v>24937</v>
      </c>
      <c r="JRS1" t="s">
        <v>24938</v>
      </c>
      <c r="JRT1" t="s">
        <v>24939</v>
      </c>
      <c r="JRU1" t="s">
        <v>24940</v>
      </c>
      <c r="JRV1" t="s">
        <v>24941</v>
      </c>
      <c r="JRW1" t="s">
        <v>24942</v>
      </c>
      <c r="JRX1" t="s">
        <v>24943</v>
      </c>
      <c r="JRY1" t="s">
        <v>24944</v>
      </c>
      <c r="JRZ1" t="s">
        <v>24945</v>
      </c>
      <c r="JSA1" t="s">
        <v>24946</v>
      </c>
      <c r="JSB1" t="s">
        <v>24947</v>
      </c>
      <c r="JSC1" t="s">
        <v>24948</v>
      </c>
      <c r="JSD1" t="s">
        <v>24949</v>
      </c>
      <c r="JSE1" t="s">
        <v>24950</v>
      </c>
      <c r="JSF1" t="s">
        <v>24951</v>
      </c>
      <c r="JSG1" t="s">
        <v>24952</v>
      </c>
      <c r="JSH1" t="s">
        <v>24953</v>
      </c>
      <c r="JSI1" t="s">
        <v>24954</v>
      </c>
      <c r="JSJ1" t="s">
        <v>24955</v>
      </c>
      <c r="JSK1" t="s">
        <v>24956</v>
      </c>
      <c r="JSL1" t="s">
        <v>24957</v>
      </c>
      <c r="JSM1" t="s">
        <v>24958</v>
      </c>
      <c r="JSN1" t="s">
        <v>24959</v>
      </c>
      <c r="JSO1" t="s">
        <v>24960</v>
      </c>
      <c r="JSP1" t="s">
        <v>24961</v>
      </c>
      <c r="JSQ1" t="s">
        <v>24962</v>
      </c>
      <c r="JSR1" t="s">
        <v>24963</v>
      </c>
      <c r="JSS1" t="s">
        <v>24964</v>
      </c>
      <c r="JST1" t="s">
        <v>24965</v>
      </c>
      <c r="JSU1" t="s">
        <v>24966</v>
      </c>
      <c r="JSV1" t="s">
        <v>24967</v>
      </c>
      <c r="JSW1" t="s">
        <v>24968</v>
      </c>
      <c r="JSX1" t="s">
        <v>24969</v>
      </c>
      <c r="JSY1" t="s">
        <v>24970</v>
      </c>
      <c r="JSZ1" t="s">
        <v>24971</v>
      </c>
      <c r="JTA1" t="s">
        <v>24972</v>
      </c>
      <c r="JTB1" t="s">
        <v>24973</v>
      </c>
      <c r="JTC1" t="s">
        <v>24974</v>
      </c>
      <c r="JTD1" t="s">
        <v>24975</v>
      </c>
      <c r="JTE1" t="s">
        <v>24976</v>
      </c>
      <c r="JTF1" t="s">
        <v>24977</v>
      </c>
      <c r="JTG1" t="s">
        <v>24978</v>
      </c>
      <c r="JTH1" t="s">
        <v>24979</v>
      </c>
      <c r="JTI1" t="s">
        <v>24980</v>
      </c>
      <c r="JTJ1" t="s">
        <v>24981</v>
      </c>
      <c r="JTK1" t="s">
        <v>24982</v>
      </c>
      <c r="JTL1" t="s">
        <v>24983</v>
      </c>
      <c r="JTM1" t="s">
        <v>24984</v>
      </c>
      <c r="JTN1" t="s">
        <v>24985</v>
      </c>
      <c r="JTO1" t="s">
        <v>24986</v>
      </c>
      <c r="JTP1" t="s">
        <v>24987</v>
      </c>
      <c r="JTQ1" t="s">
        <v>24988</v>
      </c>
      <c r="JTR1" t="s">
        <v>24989</v>
      </c>
      <c r="JTS1" t="s">
        <v>24990</v>
      </c>
      <c r="JTT1" t="s">
        <v>24991</v>
      </c>
      <c r="JTU1" t="s">
        <v>24992</v>
      </c>
      <c r="JTV1" t="s">
        <v>24993</v>
      </c>
      <c r="JTW1" t="s">
        <v>24994</v>
      </c>
      <c r="JTX1" t="s">
        <v>24995</v>
      </c>
      <c r="JTY1" t="s">
        <v>24996</v>
      </c>
      <c r="JTZ1" t="s">
        <v>24997</v>
      </c>
      <c r="JUA1" t="s">
        <v>24998</v>
      </c>
      <c r="JUB1" t="s">
        <v>24999</v>
      </c>
      <c r="JUC1" t="s">
        <v>25000</v>
      </c>
      <c r="JUD1" t="s">
        <v>25001</v>
      </c>
      <c r="JUE1" t="s">
        <v>25002</v>
      </c>
      <c r="JUF1" t="s">
        <v>25003</v>
      </c>
      <c r="JUG1" t="s">
        <v>25004</v>
      </c>
      <c r="JUH1" t="s">
        <v>25005</v>
      </c>
      <c r="JUI1" t="s">
        <v>25006</v>
      </c>
      <c r="JUJ1" t="s">
        <v>25007</v>
      </c>
      <c r="JUK1" t="s">
        <v>25008</v>
      </c>
      <c r="JUL1" t="s">
        <v>25009</v>
      </c>
      <c r="JUM1" t="s">
        <v>25010</v>
      </c>
      <c r="JUN1" t="s">
        <v>25011</v>
      </c>
      <c r="JUO1" t="s">
        <v>25012</v>
      </c>
      <c r="JUP1" t="s">
        <v>25013</v>
      </c>
      <c r="JUQ1" t="s">
        <v>25014</v>
      </c>
      <c r="JUR1" t="s">
        <v>25015</v>
      </c>
      <c r="JUS1" t="s">
        <v>25016</v>
      </c>
      <c r="JUT1" t="s">
        <v>25017</v>
      </c>
      <c r="JUU1" t="s">
        <v>25018</v>
      </c>
      <c r="JUV1" t="s">
        <v>25019</v>
      </c>
      <c r="JUW1" t="s">
        <v>25020</v>
      </c>
      <c r="JUX1" t="s">
        <v>25021</v>
      </c>
      <c r="JUY1" t="s">
        <v>25022</v>
      </c>
      <c r="JUZ1" t="s">
        <v>25023</v>
      </c>
      <c r="JVA1" t="s">
        <v>25024</v>
      </c>
      <c r="JVB1" t="s">
        <v>25025</v>
      </c>
      <c r="JVC1" t="s">
        <v>25026</v>
      </c>
      <c r="JVD1" t="s">
        <v>25027</v>
      </c>
      <c r="JVE1" t="s">
        <v>25028</v>
      </c>
      <c r="JVF1" t="s">
        <v>25029</v>
      </c>
      <c r="JVG1" t="s">
        <v>25030</v>
      </c>
      <c r="JVH1" t="s">
        <v>25031</v>
      </c>
      <c r="JVI1" t="s">
        <v>25032</v>
      </c>
      <c r="JVJ1" t="s">
        <v>25033</v>
      </c>
      <c r="JVK1" t="s">
        <v>25034</v>
      </c>
      <c r="JVL1" t="s">
        <v>25035</v>
      </c>
      <c r="JVM1" t="s">
        <v>25036</v>
      </c>
      <c r="JVN1" t="s">
        <v>25037</v>
      </c>
      <c r="JVO1" t="s">
        <v>25038</v>
      </c>
      <c r="JVP1" t="s">
        <v>25039</v>
      </c>
      <c r="JVQ1" t="s">
        <v>25040</v>
      </c>
      <c r="JVR1" t="s">
        <v>25041</v>
      </c>
      <c r="JVS1" t="s">
        <v>25042</v>
      </c>
      <c r="JVT1" t="s">
        <v>25043</v>
      </c>
      <c r="JVU1" t="s">
        <v>25044</v>
      </c>
      <c r="JVV1" t="s">
        <v>25045</v>
      </c>
      <c r="JVW1" t="s">
        <v>25046</v>
      </c>
      <c r="JVX1" t="s">
        <v>25047</v>
      </c>
      <c r="JVY1" t="s">
        <v>25048</v>
      </c>
      <c r="JVZ1" t="s">
        <v>25049</v>
      </c>
      <c r="JWA1" t="s">
        <v>25050</v>
      </c>
      <c r="JWB1" t="s">
        <v>25051</v>
      </c>
      <c r="JWC1" t="s">
        <v>25052</v>
      </c>
      <c r="JWD1" t="s">
        <v>25053</v>
      </c>
      <c r="JWE1" t="s">
        <v>25054</v>
      </c>
      <c r="JWF1" t="s">
        <v>25055</v>
      </c>
      <c r="JWG1" t="s">
        <v>25056</v>
      </c>
      <c r="JWH1" t="s">
        <v>25057</v>
      </c>
      <c r="JWI1" t="s">
        <v>25058</v>
      </c>
      <c r="JWJ1" t="s">
        <v>25059</v>
      </c>
      <c r="JWK1" t="s">
        <v>25060</v>
      </c>
      <c r="JWL1" t="s">
        <v>25061</v>
      </c>
      <c r="JWM1" t="s">
        <v>25062</v>
      </c>
      <c r="JWN1" t="s">
        <v>25063</v>
      </c>
      <c r="JWO1" t="s">
        <v>25064</v>
      </c>
      <c r="JWP1" t="s">
        <v>25065</v>
      </c>
      <c r="JWQ1" t="s">
        <v>25066</v>
      </c>
      <c r="JWR1" t="s">
        <v>25067</v>
      </c>
      <c r="JWS1" t="s">
        <v>25068</v>
      </c>
      <c r="JWT1" t="s">
        <v>25069</v>
      </c>
      <c r="JWU1" t="s">
        <v>25070</v>
      </c>
      <c r="JWV1" t="s">
        <v>25071</v>
      </c>
      <c r="JWW1" t="s">
        <v>25072</v>
      </c>
      <c r="JWX1" t="s">
        <v>25073</v>
      </c>
      <c r="JWY1" t="s">
        <v>25074</v>
      </c>
      <c r="JWZ1" t="s">
        <v>25075</v>
      </c>
      <c r="JXA1" t="s">
        <v>25076</v>
      </c>
      <c r="JXB1" t="s">
        <v>25077</v>
      </c>
      <c r="JXC1" t="s">
        <v>25078</v>
      </c>
      <c r="JXD1" t="s">
        <v>25079</v>
      </c>
      <c r="JXE1" t="s">
        <v>25080</v>
      </c>
      <c r="JXF1" t="s">
        <v>25081</v>
      </c>
      <c r="JXG1" t="s">
        <v>25082</v>
      </c>
      <c r="JXH1" t="s">
        <v>25083</v>
      </c>
      <c r="JXI1" t="s">
        <v>25084</v>
      </c>
      <c r="JXJ1" t="s">
        <v>25085</v>
      </c>
      <c r="JXK1" t="s">
        <v>25086</v>
      </c>
      <c r="JXL1" t="s">
        <v>25087</v>
      </c>
      <c r="JXM1" t="s">
        <v>25088</v>
      </c>
      <c r="JXN1" t="s">
        <v>25089</v>
      </c>
      <c r="JXO1" t="s">
        <v>25090</v>
      </c>
      <c r="JXP1" t="s">
        <v>25091</v>
      </c>
      <c r="JXQ1" t="s">
        <v>25092</v>
      </c>
      <c r="JXR1" t="s">
        <v>25093</v>
      </c>
      <c r="JXS1" t="s">
        <v>25094</v>
      </c>
      <c r="JXT1" t="s">
        <v>25095</v>
      </c>
      <c r="JXU1" t="s">
        <v>25096</v>
      </c>
      <c r="JXV1" t="s">
        <v>25097</v>
      </c>
      <c r="JXW1" t="s">
        <v>25098</v>
      </c>
      <c r="JXX1" t="s">
        <v>25099</v>
      </c>
      <c r="JXY1" t="s">
        <v>25100</v>
      </c>
      <c r="JXZ1" t="s">
        <v>25101</v>
      </c>
      <c r="JYA1" t="s">
        <v>25102</v>
      </c>
      <c r="JYB1" t="s">
        <v>25103</v>
      </c>
      <c r="JYC1" t="s">
        <v>25104</v>
      </c>
      <c r="JYD1" t="s">
        <v>25105</v>
      </c>
      <c r="JYE1" t="s">
        <v>25106</v>
      </c>
      <c r="JYF1" t="s">
        <v>25107</v>
      </c>
      <c r="JYG1" t="s">
        <v>25108</v>
      </c>
      <c r="JYH1" t="s">
        <v>25109</v>
      </c>
      <c r="JYI1" t="s">
        <v>25110</v>
      </c>
      <c r="JYJ1" t="s">
        <v>25111</v>
      </c>
      <c r="JYK1" t="s">
        <v>25112</v>
      </c>
      <c r="JYL1" t="s">
        <v>25113</v>
      </c>
      <c r="JYM1" t="s">
        <v>25114</v>
      </c>
      <c r="JYN1" t="s">
        <v>25115</v>
      </c>
      <c r="JYO1" t="s">
        <v>25116</v>
      </c>
      <c r="JYP1" t="s">
        <v>25117</v>
      </c>
      <c r="JYQ1" t="s">
        <v>25118</v>
      </c>
      <c r="JYR1" t="s">
        <v>25119</v>
      </c>
      <c r="JYS1" t="s">
        <v>25120</v>
      </c>
      <c r="JYT1" t="s">
        <v>25121</v>
      </c>
      <c r="JYU1" t="s">
        <v>25122</v>
      </c>
      <c r="JYV1" t="s">
        <v>25123</v>
      </c>
      <c r="JYW1" t="s">
        <v>25124</v>
      </c>
      <c r="JYX1" t="s">
        <v>25125</v>
      </c>
      <c r="JYY1" t="s">
        <v>25126</v>
      </c>
      <c r="JYZ1" t="s">
        <v>25127</v>
      </c>
      <c r="JZA1" t="s">
        <v>25128</v>
      </c>
      <c r="JZB1" t="s">
        <v>25129</v>
      </c>
      <c r="JZC1" t="s">
        <v>25130</v>
      </c>
      <c r="JZD1" t="s">
        <v>25131</v>
      </c>
      <c r="JZE1" t="s">
        <v>25132</v>
      </c>
      <c r="JZF1" t="s">
        <v>25133</v>
      </c>
      <c r="JZG1" t="s">
        <v>25134</v>
      </c>
      <c r="JZH1" t="s">
        <v>25135</v>
      </c>
      <c r="JZI1" t="s">
        <v>25136</v>
      </c>
      <c r="JZJ1" t="s">
        <v>25137</v>
      </c>
      <c r="JZK1" t="s">
        <v>25138</v>
      </c>
      <c r="JZL1" t="s">
        <v>25139</v>
      </c>
      <c r="JZM1" t="s">
        <v>25140</v>
      </c>
      <c r="JZN1" t="s">
        <v>25141</v>
      </c>
      <c r="JZO1" t="s">
        <v>25142</v>
      </c>
      <c r="JZP1" t="s">
        <v>25143</v>
      </c>
      <c r="JZQ1" t="s">
        <v>25144</v>
      </c>
      <c r="JZR1" t="s">
        <v>25145</v>
      </c>
      <c r="JZS1" t="s">
        <v>25146</v>
      </c>
      <c r="JZT1" t="s">
        <v>25147</v>
      </c>
      <c r="JZU1" t="s">
        <v>25148</v>
      </c>
      <c r="JZV1" t="s">
        <v>25149</v>
      </c>
      <c r="JZW1" t="s">
        <v>25150</v>
      </c>
      <c r="JZX1" t="s">
        <v>25151</v>
      </c>
      <c r="JZY1" t="s">
        <v>25152</v>
      </c>
      <c r="JZZ1" t="s">
        <v>25153</v>
      </c>
      <c r="KAA1" t="s">
        <v>25154</v>
      </c>
      <c r="KAB1" t="s">
        <v>25155</v>
      </c>
      <c r="KAC1" t="s">
        <v>25156</v>
      </c>
      <c r="KAD1" t="s">
        <v>25157</v>
      </c>
      <c r="KAE1" t="s">
        <v>25158</v>
      </c>
      <c r="KAF1" t="s">
        <v>25159</v>
      </c>
      <c r="KAG1" t="s">
        <v>25160</v>
      </c>
      <c r="KAH1" t="s">
        <v>25161</v>
      </c>
      <c r="KAI1" t="s">
        <v>25162</v>
      </c>
      <c r="KAJ1" t="s">
        <v>25163</v>
      </c>
      <c r="KAK1" t="s">
        <v>25164</v>
      </c>
      <c r="KAL1" t="s">
        <v>25165</v>
      </c>
      <c r="KAM1" t="s">
        <v>25166</v>
      </c>
      <c r="KAN1" t="s">
        <v>25167</v>
      </c>
      <c r="KAO1" t="s">
        <v>25168</v>
      </c>
      <c r="KAP1" t="s">
        <v>25169</v>
      </c>
      <c r="KAQ1" t="s">
        <v>25170</v>
      </c>
      <c r="KAR1" t="s">
        <v>25171</v>
      </c>
      <c r="KAS1" t="s">
        <v>25172</v>
      </c>
      <c r="KAT1" t="s">
        <v>25173</v>
      </c>
      <c r="KAU1" t="s">
        <v>25174</v>
      </c>
      <c r="KAV1" t="s">
        <v>25175</v>
      </c>
      <c r="KAW1" t="s">
        <v>25176</v>
      </c>
      <c r="KAX1" t="s">
        <v>25177</v>
      </c>
      <c r="KAY1" t="s">
        <v>25178</v>
      </c>
      <c r="KAZ1" t="s">
        <v>25179</v>
      </c>
      <c r="KBA1" t="s">
        <v>25180</v>
      </c>
      <c r="KBB1" t="s">
        <v>25181</v>
      </c>
      <c r="KBC1" t="s">
        <v>25182</v>
      </c>
      <c r="KBD1" t="s">
        <v>25183</v>
      </c>
      <c r="KBE1" t="s">
        <v>25184</v>
      </c>
      <c r="KBF1" t="s">
        <v>25185</v>
      </c>
      <c r="KBG1" t="s">
        <v>25186</v>
      </c>
      <c r="KBH1" t="s">
        <v>25187</v>
      </c>
      <c r="KBI1" t="s">
        <v>25188</v>
      </c>
      <c r="KBJ1" t="s">
        <v>25189</v>
      </c>
      <c r="KBK1" t="s">
        <v>25190</v>
      </c>
      <c r="KBL1" t="s">
        <v>25191</v>
      </c>
      <c r="KBM1" t="s">
        <v>25192</v>
      </c>
      <c r="KBN1" t="s">
        <v>25193</v>
      </c>
      <c r="KBO1" t="s">
        <v>25194</v>
      </c>
      <c r="KBP1" t="s">
        <v>25195</v>
      </c>
      <c r="KBQ1" t="s">
        <v>25196</v>
      </c>
      <c r="KBR1" t="s">
        <v>25197</v>
      </c>
      <c r="KBS1" t="s">
        <v>25198</v>
      </c>
      <c r="KBT1" t="s">
        <v>25199</v>
      </c>
      <c r="KBU1" t="s">
        <v>25200</v>
      </c>
      <c r="KBV1" t="s">
        <v>25201</v>
      </c>
      <c r="KBW1" t="s">
        <v>25202</v>
      </c>
      <c r="KBX1" t="s">
        <v>25203</v>
      </c>
      <c r="KBY1" t="s">
        <v>25204</v>
      </c>
      <c r="KBZ1" t="s">
        <v>25205</v>
      </c>
      <c r="KCA1" t="s">
        <v>25206</v>
      </c>
      <c r="KCB1" t="s">
        <v>25207</v>
      </c>
      <c r="KCC1" t="s">
        <v>25208</v>
      </c>
      <c r="KCD1" t="s">
        <v>25209</v>
      </c>
      <c r="KCE1" t="s">
        <v>25210</v>
      </c>
      <c r="KCF1" t="s">
        <v>25211</v>
      </c>
      <c r="KCG1" t="s">
        <v>25212</v>
      </c>
      <c r="KCH1" t="s">
        <v>25213</v>
      </c>
      <c r="KCI1" t="s">
        <v>25214</v>
      </c>
      <c r="KCJ1" t="s">
        <v>25215</v>
      </c>
      <c r="KCK1" t="s">
        <v>25216</v>
      </c>
      <c r="KCL1" t="s">
        <v>25217</v>
      </c>
      <c r="KCM1" t="s">
        <v>25218</v>
      </c>
      <c r="KCN1" t="s">
        <v>25219</v>
      </c>
      <c r="KCO1" t="s">
        <v>25220</v>
      </c>
      <c r="KCP1" t="s">
        <v>25221</v>
      </c>
      <c r="KCQ1" t="s">
        <v>25222</v>
      </c>
      <c r="KCR1" t="s">
        <v>25223</v>
      </c>
      <c r="KCS1" t="s">
        <v>25224</v>
      </c>
      <c r="KCT1" t="s">
        <v>25225</v>
      </c>
      <c r="KCU1" t="s">
        <v>25226</v>
      </c>
      <c r="KCV1" t="s">
        <v>25227</v>
      </c>
      <c r="KCW1" t="s">
        <v>25228</v>
      </c>
      <c r="KCX1" t="s">
        <v>25229</v>
      </c>
      <c r="KCY1" t="s">
        <v>25230</v>
      </c>
      <c r="KCZ1" t="s">
        <v>25231</v>
      </c>
      <c r="KDA1" t="s">
        <v>25232</v>
      </c>
      <c r="KDB1" t="s">
        <v>25233</v>
      </c>
      <c r="KDC1" t="s">
        <v>25234</v>
      </c>
      <c r="KDD1" t="s">
        <v>25235</v>
      </c>
      <c r="KDE1" t="s">
        <v>25236</v>
      </c>
      <c r="KDF1" t="s">
        <v>25237</v>
      </c>
      <c r="KDG1" t="s">
        <v>25238</v>
      </c>
      <c r="KDH1" t="s">
        <v>25239</v>
      </c>
      <c r="KDI1" t="s">
        <v>25240</v>
      </c>
      <c r="KDJ1" t="s">
        <v>25241</v>
      </c>
      <c r="KDK1" t="s">
        <v>25242</v>
      </c>
      <c r="KDL1" t="s">
        <v>25243</v>
      </c>
      <c r="KDM1" t="s">
        <v>25244</v>
      </c>
      <c r="KDN1" t="s">
        <v>25245</v>
      </c>
      <c r="KDO1" t="s">
        <v>25246</v>
      </c>
      <c r="KDP1" t="s">
        <v>25247</v>
      </c>
      <c r="KDQ1" t="s">
        <v>25248</v>
      </c>
      <c r="KDR1" t="s">
        <v>25249</v>
      </c>
      <c r="KDS1" t="s">
        <v>25250</v>
      </c>
      <c r="KDT1" t="s">
        <v>25251</v>
      </c>
      <c r="KDU1" t="s">
        <v>25252</v>
      </c>
      <c r="KDV1" t="s">
        <v>25253</v>
      </c>
      <c r="KDW1" t="s">
        <v>25254</v>
      </c>
      <c r="KDX1" t="s">
        <v>25255</v>
      </c>
      <c r="KDY1" t="s">
        <v>25256</v>
      </c>
      <c r="KDZ1" t="s">
        <v>25257</v>
      </c>
      <c r="KEA1" t="s">
        <v>25258</v>
      </c>
      <c r="KEB1" t="s">
        <v>25259</v>
      </c>
      <c r="KEC1" t="s">
        <v>25260</v>
      </c>
      <c r="KED1" t="s">
        <v>25261</v>
      </c>
      <c r="KEE1" t="s">
        <v>25262</v>
      </c>
      <c r="KEF1" t="s">
        <v>25263</v>
      </c>
      <c r="KEG1" t="s">
        <v>25264</v>
      </c>
      <c r="KEH1" t="s">
        <v>25265</v>
      </c>
      <c r="KEI1" t="s">
        <v>25266</v>
      </c>
      <c r="KEJ1" t="s">
        <v>25267</v>
      </c>
      <c r="KEK1" t="s">
        <v>25268</v>
      </c>
      <c r="KEL1" t="s">
        <v>25269</v>
      </c>
      <c r="KEM1" t="s">
        <v>25270</v>
      </c>
      <c r="KEN1" t="s">
        <v>25271</v>
      </c>
      <c r="KEO1" t="s">
        <v>25272</v>
      </c>
      <c r="KEP1" t="s">
        <v>25273</v>
      </c>
      <c r="KEQ1" t="s">
        <v>25274</v>
      </c>
      <c r="KER1" t="s">
        <v>25275</v>
      </c>
      <c r="KES1" t="s">
        <v>25276</v>
      </c>
      <c r="KET1" t="s">
        <v>25277</v>
      </c>
      <c r="KEU1" t="s">
        <v>25278</v>
      </c>
      <c r="KEV1" t="s">
        <v>25279</v>
      </c>
      <c r="KEW1" t="s">
        <v>25280</v>
      </c>
      <c r="KEX1" t="s">
        <v>25281</v>
      </c>
      <c r="KEY1" t="s">
        <v>25282</v>
      </c>
      <c r="KEZ1" t="s">
        <v>25283</v>
      </c>
      <c r="KFA1" t="s">
        <v>25284</v>
      </c>
      <c r="KFB1" t="s">
        <v>25285</v>
      </c>
      <c r="KFC1" t="s">
        <v>25286</v>
      </c>
      <c r="KFD1" t="s">
        <v>25287</v>
      </c>
      <c r="KFE1" t="s">
        <v>25288</v>
      </c>
      <c r="KFF1" t="s">
        <v>25289</v>
      </c>
      <c r="KFG1" t="s">
        <v>25290</v>
      </c>
      <c r="KFH1" t="s">
        <v>25291</v>
      </c>
      <c r="KFI1" t="s">
        <v>25292</v>
      </c>
      <c r="KFJ1" t="s">
        <v>25293</v>
      </c>
      <c r="KFK1" t="s">
        <v>25294</v>
      </c>
      <c r="KFL1" t="s">
        <v>25295</v>
      </c>
      <c r="KFM1" t="s">
        <v>25296</v>
      </c>
      <c r="KFN1" t="s">
        <v>25297</v>
      </c>
      <c r="KFO1" t="s">
        <v>25298</v>
      </c>
      <c r="KFP1" t="s">
        <v>25299</v>
      </c>
      <c r="KFQ1" t="s">
        <v>25300</v>
      </c>
      <c r="KFR1" t="s">
        <v>25301</v>
      </c>
      <c r="KFS1" t="s">
        <v>25302</v>
      </c>
      <c r="KFT1" t="s">
        <v>25303</v>
      </c>
      <c r="KFU1" t="s">
        <v>25304</v>
      </c>
      <c r="KFV1" t="s">
        <v>25305</v>
      </c>
      <c r="KFW1" t="s">
        <v>25306</v>
      </c>
      <c r="KFX1" t="s">
        <v>25307</v>
      </c>
      <c r="KFY1" t="s">
        <v>25308</v>
      </c>
      <c r="KFZ1" t="s">
        <v>25309</v>
      </c>
      <c r="KGA1" t="s">
        <v>25310</v>
      </c>
      <c r="KGB1" t="s">
        <v>25311</v>
      </c>
      <c r="KGC1" t="s">
        <v>25312</v>
      </c>
      <c r="KGD1" t="s">
        <v>25313</v>
      </c>
      <c r="KGE1" t="s">
        <v>25314</v>
      </c>
      <c r="KGF1" t="s">
        <v>25315</v>
      </c>
      <c r="KGG1" t="s">
        <v>25316</v>
      </c>
      <c r="KGH1" t="s">
        <v>25317</v>
      </c>
      <c r="KGI1" t="s">
        <v>25318</v>
      </c>
      <c r="KGJ1" t="s">
        <v>25319</v>
      </c>
      <c r="KGK1" t="s">
        <v>25320</v>
      </c>
      <c r="KGL1" t="s">
        <v>25321</v>
      </c>
      <c r="KGM1" t="s">
        <v>25322</v>
      </c>
      <c r="KGN1" t="s">
        <v>25323</v>
      </c>
      <c r="KGO1" t="s">
        <v>25324</v>
      </c>
      <c r="KGP1" t="s">
        <v>25325</v>
      </c>
      <c r="KGQ1" t="s">
        <v>25326</v>
      </c>
      <c r="KGR1" t="s">
        <v>25327</v>
      </c>
      <c r="KGS1" t="s">
        <v>25328</v>
      </c>
      <c r="KGT1" t="s">
        <v>25329</v>
      </c>
      <c r="KGU1" t="s">
        <v>25330</v>
      </c>
      <c r="KGV1" t="s">
        <v>25331</v>
      </c>
      <c r="KGW1" t="s">
        <v>25332</v>
      </c>
      <c r="KGX1" t="s">
        <v>25333</v>
      </c>
      <c r="KGY1" t="s">
        <v>25334</v>
      </c>
      <c r="KGZ1" t="s">
        <v>25335</v>
      </c>
      <c r="KHA1" t="s">
        <v>25336</v>
      </c>
      <c r="KHB1" t="s">
        <v>25337</v>
      </c>
      <c r="KHC1" t="s">
        <v>25338</v>
      </c>
      <c r="KHD1" t="s">
        <v>25339</v>
      </c>
      <c r="KHE1" t="s">
        <v>25340</v>
      </c>
      <c r="KHF1" t="s">
        <v>25341</v>
      </c>
      <c r="KHG1" t="s">
        <v>25342</v>
      </c>
      <c r="KHH1" t="s">
        <v>25343</v>
      </c>
      <c r="KHI1" t="s">
        <v>25344</v>
      </c>
      <c r="KHJ1" t="s">
        <v>25345</v>
      </c>
      <c r="KHK1" t="s">
        <v>25346</v>
      </c>
      <c r="KHL1" t="s">
        <v>25347</v>
      </c>
      <c r="KHM1" t="s">
        <v>25348</v>
      </c>
      <c r="KHN1" t="s">
        <v>25349</v>
      </c>
      <c r="KHO1" t="s">
        <v>25350</v>
      </c>
      <c r="KHP1" t="s">
        <v>25351</v>
      </c>
      <c r="KHQ1" t="s">
        <v>25352</v>
      </c>
      <c r="KHR1" t="s">
        <v>25353</v>
      </c>
      <c r="KHS1" t="s">
        <v>25354</v>
      </c>
      <c r="KHT1" t="s">
        <v>25355</v>
      </c>
      <c r="KHU1" t="s">
        <v>25356</v>
      </c>
      <c r="KHV1" t="s">
        <v>25357</v>
      </c>
      <c r="KHW1" t="s">
        <v>25358</v>
      </c>
      <c r="KHX1" t="s">
        <v>25359</v>
      </c>
      <c r="KHY1" t="s">
        <v>25360</v>
      </c>
      <c r="KHZ1" t="s">
        <v>25361</v>
      </c>
      <c r="KIA1" t="s">
        <v>25362</v>
      </c>
      <c r="KIB1" t="s">
        <v>25363</v>
      </c>
      <c r="KIC1" t="s">
        <v>25364</v>
      </c>
      <c r="KID1" t="s">
        <v>25365</v>
      </c>
      <c r="KIE1" t="s">
        <v>25366</v>
      </c>
      <c r="KIF1" t="s">
        <v>25367</v>
      </c>
      <c r="KIG1" t="s">
        <v>25368</v>
      </c>
      <c r="KIH1" t="s">
        <v>25369</v>
      </c>
      <c r="KII1" t="s">
        <v>25370</v>
      </c>
      <c r="KIJ1" t="s">
        <v>25371</v>
      </c>
      <c r="KIK1" t="s">
        <v>25372</v>
      </c>
      <c r="KIL1" t="s">
        <v>25373</v>
      </c>
      <c r="KIM1" t="s">
        <v>25374</v>
      </c>
      <c r="KIN1" t="s">
        <v>25375</v>
      </c>
      <c r="KIO1" t="s">
        <v>25376</v>
      </c>
      <c r="KIP1" t="s">
        <v>25377</v>
      </c>
      <c r="KIQ1" t="s">
        <v>25378</v>
      </c>
      <c r="KIR1" t="s">
        <v>25379</v>
      </c>
      <c r="KIS1" t="s">
        <v>25380</v>
      </c>
      <c r="KIT1" t="s">
        <v>25381</v>
      </c>
      <c r="KIU1" t="s">
        <v>25382</v>
      </c>
      <c r="KIV1" t="s">
        <v>25383</v>
      </c>
      <c r="KIW1" t="s">
        <v>25384</v>
      </c>
      <c r="KIX1" t="s">
        <v>25385</v>
      </c>
      <c r="KIY1" t="s">
        <v>25386</v>
      </c>
      <c r="KIZ1" t="s">
        <v>25387</v>
      </c>
      <c r="KJA1" t="s">
        <v>25388</v>
      </c>
      <c r="KJB1" t="s">
        <v>25389</v>
      </c>
      <c r="KJC1" t="s">
        <v>25390</v>
      </c>
      <c r="KJD1" t="s">
        <v>25391</v>
      </c>
      <c r="KJE1" t="s">
        <v>25392</v>
      </c>
      <c r="KJF1" t="s">
        <v>25393</v>
      </c>
      <c r="KJG1" t="s">
        <v>25394</v>
      </c>
      <c r="KJH1" t="s">
        <v>25395</v>
      </c>
      <c r="KJI1" t="s">
        <v>25396</v>
      </c>
      <c r="KJJ1" t="s">
        <v>25397</v>
      </c>
      <c r="KJK1" t="s">
        <v>25398</v>
      </c>
      <c r="KJL1" t="s">
        <v>25399</v>
      </c>
      <c r="KJM1" t="s">
        <v>25400</v>
      </c>
      <c r="KJN1" t="s">
        <v>25401</v>
      </c>
      <c r="KJO1" t="s">
        <v>25402</v>
      </c>
      <c r="KJP1" t="s">
        <v>25403</v>
      </c>
      <c r="KJQ1" t="s">
        <v>25404</v>
      </c>
      <c r="KJR1" t="s">
        <v>25405</v>
      </c>
      <c r="KJS1" t="s">
        <v>25406</v>
      </c>
      <c r="KJT1" t="s">
        <v>25407</v>
      </c>
      <c r="KJU1" t="s">
        <v>25408</v>
      </c>
      <c r="KJV1" t="s">
        <v>25409</v>
      </c>
      <c r="KJW1" t="s">
        <v>25410</v>
      </c>
      <c r="KJX1" t="s">
        <v>25411</v>
      </c>
      <c r="KJY1" t="s">
        <v>25412</v>
      </c>
      <c r="KJZ1" t="s">
        <v>25413</v>
      </c>
      <c r="KKA1" t="s">
        <v>25414</v>
      </c>
      <c r="KKB1" t="s">
        <v>25415</v>
      </c>
      <c r="KKC1" t="s">
        <v>25416</v>
      </c>
      <c r="KKD1" t="s">
        <v>25417</v>
      </c>
      <c r="KKE1" t="s">
        <v>25418</v>
      </c>
      <c r="KKF1" t="s">
        <v>25419</v>
      </c>
      <c r="KKG1" t="s">
        <v>25420</v>
      </c>
      <c r="KKH1" t="s">
        <v>25421</v>
      </c>
      <c r="KKI1" t="s">
        <v>25422</v>
      </c>
      <c r="KKJ1" t="s">
        <v>25423</v>
      </c>
      <c r="KKK1" t="s">
        <v>25424</v>
      </c>
      <c r="KKL1" t="s">
        <v>25425</v>
      </c>
      <c r="KKM1" t="s">
        <v>25426</v>
      </c>
      <c r="KKN1" t="s">
        <v>25427</v>
      </c>
      <c r="KKO1" t="s">
        <v>25428</v>
      </c>
      <c r="KKP1" t="s">
        <v>25429</v>
      </c>
      <c r="KKQ1" t="s">
        <v>25430</v>
      </c>
      <c r="KKR1" t="s">
        <v>25431</v>
      </c>
      <c r="KKS1" t="s">
        <v>25432</v>
      </c>
      <c r="KKT1" t="s">
        <v>25433</v>
      </c>
      <c r="KKU1" t="s">
        <v>25434</v>
      </c>
      <c r="KKV1" t="s">
        <v>25435</v>
      </c>
      <c r="KKW1" t="s">
        <v>25436</v>
      </c>
      <c r="KKX1" t="s">
        <v>25437</v>
      </c>
      <c r="KKY1" t="s">
        <v>25438</v>
      </c>
      <c r="KKZ1" t="s">
        <v>25439</v>
      </c>
      <c r="KLA1" t="s">
        <v>25440</v>
      </c>
      <c r="KLB1" t="s">
        <v>25441</v>
      </c>
      <c r="KLC1" t="s">
        <v>25442</v>
      </c>
      <c r="KLD1" t="s">
        <v>25443</v>
      </c>
      <c r="KLE1" t="s">
        <v>25444</v>
      </c>
      <c r="KLF1" t="s">
        <v>25445</v>
      </c>
      <c r="KLG1" t="s">
        <v>25446</v>
      </c>
      <c r="KLH1" t="s">
        <v>25447</v>
      </c>
      <c r="KLI1" t="s">
        <v>25448</v>
      </c>
      <c r="KLJ1" t="s">
        <v>25449</v>
      </c>
      <c r="KLK1" t="s">
        <v>25450</v>
      </c>
      <c r="KLL1" t="s">
        <v>25451</v>
      </c>
      <c r="KLM1" t="s">
        <v>25452</v>
      </c>
      <c r="KLN1" t="s">
        <v>25453</v>
      </c>
      <c r="KLO1" t="s">
        <v>25454</v>
      </c>
      <c r="KLP1" t="s">
        <v>25455</v>
      </c>
      <c r="KLQ1" t="s">
        <v>25456</v>
      </c>
      <c r="KLR1" t="s">
        <v>25457</v>
      </c>
      <c r="KLS1" t="s">
        <v>25458</v>
      </c>
      <c r="KLT1" t="s">
        <v>25459</v>
      </c>
      <c r="KLU1" t="s">
        <v>25460</v>
      </c>
      <c r="KLV1" t="s">
        <v>25461</v>
      </c>
      <c r="KLW1" t="s">
        <v>25462</v>
      </c>
      <c r="KLX1" t="s">
        <v>25463</v>
      </c>
      <c r="KLY1" t="s">
        <v>25464</v>
      </c>
      <c r="KLZ1" t="s">
        <v>25465</v>
      </c>
      <c r="KMA1" t="s">
        <v>25466</v>
      </c>
      <c r="KMB1" t="s">
        <v>25467</v>
      </c>
      <c r="KMC1" t="s">
        <v>25468</v>
      </c>
      <c r="KMD1" t="s">
        <v>25469</v>
      </c>
      <c r="KME1" t="s">
        <v>25470</v>
      </c>
      <c r="KMF1" t="s">
        <v>25471</v>
      </c>
      <c r="KMG1" t="s">
        <v>25472</v>
      </c>
      <c r="KMH1" t="s">
        <v>25473</v>
      </c>
      <c r="KMI1" t="s">
        <v>25474</v>
      </c>
      <c r="KMJ1" t="s">
        <v>25475</v>
      </c>
      <c r="KMK1" t="s">
        <v>25476</v>
      </c>
      <c r="KML1" t="s">
        <v>25477</v>
      </c>
      <c r="KMM1" t="s">
        <v>25478</v>
      </c>
      <c r="KMN1" t="s">
        <v>25479</v>
      </c>
      <c r="KMO1" t="s">
        <v>25480</v>
      </c>
      <c r="KMP1" t="s">
        <v>25481</v>
      </c>
      <c r="KMQ1" t="s">
        <v>25482</v>
      </c>
      <c r="KMR1" t="s">
        <v>25483</v>
      </c>
      <c r="KMS1" t="s">
        <v>25484</v>
      </c>
      <c r="KMT1" t="s">
        <v>25485</v>
      </c>
      <c r="KMU1" t="s">
        <v>25486</v>
      </c>
      <c r="KMV1" t="s">
        <v>25487</v>
      </c>
      <c r="KMW1" t="s">
        <v>25488</v>
      </c>
      <c r="KMX1" t="s">
        <v>25489</v>
      </c>
      <c r="KMY1" t="s">
        <v>25490</v>
      </c>
      <c r="KMZ1" t="s">
        <v>25491</v>
      </c>
      <c r="KNA1" t="s">
        <v>25492</v>
      </c>
      <c r="KNB1" t="s">
        <v>25493</v>
      </c>
      <c r="KNC1" t="s">
        <v>25494</v>
      </c>
      <c r="KND1" t="s">
        <v>25495</v>
      </c>
      <c r="KNE1" t="s">
        <v>25496</v>
      </c>
      <c r="KNF1" t="s">
        <v>25497</v>
      </c>
      <c r="KNG1" t="s">
        <v>25498</v>
      </c>
      <c r="KNH1" t="s">
        <v>25499</v>
      </c>
      <c r="KNI1" t="s">
        <v>25500</v>
      </c>
      <c r="KNJ1" t="s">
        <v>25501</v>
      </c>
      <c r="KNK1" t="s">
        <v>25502</v>
      </c>
      <c r="KNL1" t="s">
        <v>25503</v>
      </c>
      <c r="KNM1" t="s">
        <v>25504</v>
      </c>
      <c r="KNN1" t="s">
        <v>25505</v>
      </c>
      <c r="KNO1" t="s">
        <v>25506</v>
      </c>
      <c r="KNP1" t="s">
        <v>25507</v>
      </c>
      <c r="KNQ1" t="s">
        <v>25508</v>
      </c>
      <c r="KNR1" t="s">
        <v>25509</v>
      </c>
      <c r="KNS1" t="s">
        <v>25510</v>
      </c>
      <c r="KNT1" t="s">
        <v>25511</v>
      </c>
      <c r="KNU1" t="s">
        <v>25512</v>
      </c>
      <c r="KNV1" t="s">
        <v>25513</v>
      </c>
      <c r="KNW1" t="s">
        <v>25514</v>
      </c>
      <c r="KNX1" t="s">
        <v>25515</v>
      </c>
      <c r="KNY1" t="s">
        <v>25516</v>
      </c>
      <c r="KNZ1" t="s">
        <v>25517</v>
      </c>
      <c r="KOA1" t="s">
        <v>25518</v>
      </c>
      <c r="KOB1" t="s">
        <v>25519</v>
      </c>
      <c r="KOC1" t="s">
        <v>25520</v>
      </c>
      <c r="KOD1" t="s">
        <v>25521</v>
      </c>
      <c r="KOE1" t="s">
        <v>25522</v>
      </c>
      <c r="KOF1" t="s">
        <v>25523</v>
      </c>
      <c r="KOG1" t="s">
        <v>25524</v>
      </c>
      <c r="KOH1" t="s">
        <v>25525</v>
      </c>
      <c r="KOI1" t="s">
        <v>25526</v>
      </c>
      <c r="KOJ1" t="s">
        <v>25527</v>
      </c>
      <c r="KOK1" t="s">
        <v>25528</v>
      </c>
      <c r="KOL1" t="s">
        <v>25529</v>
      </c>
      <c r="KOM1" t="s">
        <v>25530</v>
      </c>
      <c r="KON1" t="s">
        <v>25531</v>
      </c>
      <c r="KOO1" t="s">
        <v>25532</v>
      </c>
      <c r="KOP1" t="s">
        <v>25533</v>
      </c>
      <c r="KOQ1" t="s">
        <v>25534</v>
      </c>
      <c r="KOR1" t="s">
        <v>25535</v>
      </c>
      <c r="KOS1" t="s">
        <v>25536</v>
      </c>
      <c r="KOT1" t="s">
        <v>25537</v>
      </c>
      <c r="KOU1" t="s">
        <v>25538</v>
      </c>
      <c r="KOV1" t="s">
        <v>25539</v>
      </c>
      <c r="KOW1" t="s">
        <v>25540</v>
      </c>
      <c r="KOX1" t="s">
        <v>25541</v>
      </c>
      <c r="KOY1" t="s">
        <v>25542</v>
      </c>
      <c r="KOZ1" t="s">
        <v>25543</v>
      </c>
      <c r="KPA1" t="s">
        <v>25544</v>
      </c>
      <c r="KPB1" t="s">
        <v>25545</v>
      </c>
      <c r="KPC1" t="s">
        <v>25546</v>
      </c>
      <c r="KPD1" t="s">
        <v>25547</v>
      </c>
      <c r="KPE1" t="s">
        <v>25548</v>
      </c>
      <c r="KPF1" t="s">
        <v>25549</v>
      </c>
      <c r="KPG1" t="s">
        <v>25550</v>
      </c>
      <c r="KPH1" t="s">
        <v>25551</v>
      </c>
      <c r="KPI1" t="s">
        <v>25552</v>
      </c>
      <c r="KPJ1" t="s">
        <v>25553</v>
      </c>
      <c r="KPK1" t="s">
        <v>25554</v>
      </c>
      <c r="KPL1" t="s">
        <v>25555</v>
      </c>
      <c r="KPM1" t="s">
        <v>25556</v>
      </c>
      <c r="KPN1" t="s">
        <v>25557</v>
      </c>
      <c r="KPO1" t="s">
        <v>25558</v>
      </c>
      <c r="KPP1" t="s">
        <v>25559</v>
      </c>
      <c r="KPQ1" t="s">
        <v>25560</v>
      </c>
      <c r="KPR1" t="s">
        <v>25561</v>
      </c>
      <c r="KPS1" t="s">
        <v>25562</v>
      </c>
      <c r="KPT1" t="s">
        <v>25563</v>
      </c>
      <c r="KPU1" t="s">
        <v>25564</v>
      </c>
      <c r="KPV1" t="s">
        <v>25565</v>
      </c>
      <c r="KPW1" t="s">
        <v>25566</v>
      </c>
      <c r="KPX1" t="s">
        <v>25567</v>
      </c>
      <c r="KPY1" t="s">
        <v>25568</v>
      </c>
      <c r="KPZ1" t="s">
        <v>25569</v>
      </c>
      <c r="KQA1" t="s">
        <v>25570</v>
      </c>
      <c r="KQB1" t="s">
        <v>25571</v>
      </c>
      <c r="KQC1" t="s">
        <v>25572</v>
      </c>
      <c r="KQD1" t="s">
        <v>25573</v>
      </c>
      <c r="KQE1" t="s">
        <v>25574</v>
      </c>
      <c r="KQF1" t="s">
        <v>25575</v>
      </c>
      <c r="KQG1" t="s">
        <v>25576</v>
      </c>
      <c r="KQH1" t="s">
        <v>25577</v>
      </c>
      <c r="KQI1" t="s">
        <v>25578</v>
      </c>
      <c r="KQJ1" t="s">
        <v>25579</v>
      </c>
      <c r="KQK1" t="s">
        <v>25580</v>
      </c>
      <c r="KQL1" t="s">
        <v>25581</v>
      </c>
      <c r="KQM1" t="s">
        <v>25582</v>
      </c>
      <c r="KQN1" t="s">
        <v>25583</v>
      </c>
      <c r="KQO1" t="s">
        <v>25584</v>
      </c>
      <c r="KQP1" t="s">
        <v>25585</v>
      </c>
      <c r="KQQ1" t="s">
        <v>25586</v>
      </c>
      <c r="KQR1" t="s">
        <v>25587</v>
      </c>
      <c r="KQS1" t="s">
        <v>25588</v>
      </c>
      <c r="KQT1" t="s">
        <v>25589</v>
      </c>
      <c r="KQU1" t="s">
        <v>25590</v>
      </c>
      <c r="KQV1" t="s">
        <v>25591</v>
      </c>
      <c r="KQW1" t="s">
        <v>25592</v>
      </c>
      <c r="KQX1" t="s">
        <v>25593</v>
      </c>
      <c r="KQY1" t="s">
        <v>25594</v>
      </c>
      <c r="KQZ1" t="s">
        <v>25595</v>
      </c>
      <c r="KRA1" t="s">
        <v>25596</v>
      </c>
      <c r="KRB1" t="s">
        <v>25597</v>
      </c>
      <c r="KRC1" t="s">
        <v>25598</v>
      </c>
      <c r="KRD1" t="s">
        <v>25599</v>
      </c>
      <c r="KRE1" t="s">
        <v>25600</v>
      </c>
      <c r="KRF1" t="s">
        <v>25601</v>
      </c>
      <c r="KRG1" t="s">
        <v>25602</v>
      </c>
      <c r="KRH1" t="s">
        <v>25603</v>
      </c>
      <c r="KRI1" t="s">
        <v>25604</v>
      </c>
      <c r="KRJ1" t="s">
        <v>25605</v>
      </c>
      <c r="KRK1" t="s">
        <v>25606</v>
      </c>
      <c r="KRL1" t="s">
        <v>25607</v>
      </c>
      <c r="KRM1" t="s">
        <v>25608</v>
      </c>
      <c r="KRN1" t="s">
        <v>25609</v>
      </c>
      <c r="KRO1" t="s">
        <v>25610</v>
      </c>
      <c r="KRP1" t="s">
        <v>25611</v>
      </c>
      <c r="KRQ1" t="s">
        <v>25612</v>
      </c>
      <c r="KRR1" t="s">
        <v>25613</v>
      </c>
      <c r="KRS1" t="s">
        <v>25614</v>
      </c>
      <c r="KRT1" t="s">
        <v>25615</v>
      </c>
      <c r="KRU1" t="s">
        <v>25616</v>
      </c>
      <c r="KRV1" t="s">
        <v>25617</v>
      </c>
      <c r="KRW1" t="s">
        <v>25618</v>
      </c>
      <c r="KRX1" t="s">
        <v>25619</v>
      </c>
      <c r="KRY1" t="s">
        <v>25620</v>
      </c>
      <c r="KRZ1" t="s">
        <v>25621</v>
      </c>
      <c r="KSA1" t="s">
        <v>25622</v>
      </c>
      <c r="KSB1" t="s">
        <v>25623</v>
      </c>
      <c r="KSC1" t="s">
        <v>25624</v>
      </c>
      <c r="KSD1" t="s">
        <v>25625</v>
      </c>
      <c r="KSE1" t="s">
        <v>25626</v>
      </c>
      <c r="KSF1" t="s">
        <v>25627</v>
      </c>
      <c r="KSG1" t="s">
        <v>25628</v>
      </c>
      <c r="KSH1" t="s">
        <v>25629</v>
      </c>
      <c r="KSI1" t="s">
        <v>25630</v>
      </c>
      <c r="KSJ1" t="s">
        <v>25631</v>
      </c>
      <c r="KSK1" t="s">
        <v>25632</v>
      </c>
      <c r="KSL1" t="s">
        <v>25633</v>
      </c>
      <c r="KSM1" t="s">
        <v>25634</v>
      </c>
      <c r="KSN1" t="s">
        <v>25635</v>
      </c>
      <c r="KSO1" t="s">
        <v>25636</v>
      </c>
      <c r="KSP1" t="s">
        <v>25637</v>
      </c>
      <c r="KSQ1" t="s">
        <v>25638</v>
      </c>
      <c r="KSR1" t="s">
        <v>25639</v>
      </c>
      <c r="KSS1" t="s">
        <v>25640</v>
      </c>
      <c r="KST1" t="s">
        <v>25641</v>
      </c>
      <c r="KSU1" t="s">
        <v>25642</v>
      </c>
      <c r="KSV1" t="s">
        <v>25643</v>
      </c>
      <c r="KSW1" t="s">
        <v>25644</v>
      </c>
      <c r="KSX1" t="s">
        <v>25645</v>
      </c>
      <c r="KSY1" t="s">
        <v>25646</v>
      </c>
      <c r="KSZ1" t="s">
        <v>25647</v>
      </c>
      <c r="KTA1" t="s">
        <v>25648</v>
      </c>
      <c r="KTB1" t="s">
        <v>25649</v>
      </c>
      <c r="KTC1" t="s">
        <v>25650</v>
      </c>
      <c r="KTD1" t="s">
        <v>25651</v>
      </c>
      <c r="KTE1" t="s">
        <v>25652</v>
      </c>
      <c r="KTF1" t="s">
        <v>25653</v>
      </c>
      <c r="KTG1" t="s">
        <v>25654</v>
      </c>
      <c r="KTH1" t="s">
        <v>25655</v>
      </c>
      <c r="KTI1" t="s">
        <v>25656</v>
      </c>
      <c r="KTJ1" t="s">
        <v>25657</v>
      </c>
      <c r="KTK1" t="s">
        <v>25658</v>
      </c>
      <c r="KTL1" t="s">
        <v>25659</v>
      </c>
      <c r="KTM1" t="s">
        <v>25660</v>
      </c>
      <c r="KTN1" t="s">
        <v>25661</v>
      </c>
      <c r="KTO1" t="s">
        <v>25662</v>
      </c>
      <c r="KTP1" t="s">
        <v>25663</v>
      </c>
      <c r="KTQ1" t="s">
        <v>25664</v>
      </c>
      <c r="KTR1" t="s">
        <v>25665</v>
      </c>
      <c r="KTS1" t="s">
        <v>25666</v>
      </c>
      <c r="KTT1" t="s">
        <v>25667</v>
      </c>
      <c r="KTU1" t="s">
        <v>25668</v>
      </c>
      <c r="KTV1" t="s">
        <v>25669</v>
      </c>
      <c r="KTW1" t="s">
        <v>25670</v>
      </c>
      <c r="KTX1" t="s">
        <v>25671</v>
      </c>
      <c r="KTY1" t="s">
        <v>25672</v>
      </c>
      <c r="KTZ1" t="s">
        <v>25673</v>
      </c>
      <c r="KUA1" t="s">
        <v>25674</v>
      </c>
      <c r="KUB1" t="s">
        <v>25675</v>
      </c>
      <c r="KUC1" t="s">
        <v>25676</v>
      </c>
      <c r="KUD1" t="s">
        <v>25677</v>
      </c>
      <c r="KUE1" t="s">
        <v>25678</v>
      </c>
      <c r="KUF1" t="s">
        <v>25679</v>
      </c>
      <c r="KUG1" t="s">
        <v>25680</v>
      </c>
      <c r="KUH1" t="s">
        <v>25681</v>
      </c>
      <c r="KUI1" t="s">
        <v>25682</v>
      </c>
      <c r="KUJ1" t="s">
        <v>25683</v>
      </c>
      <c r="KUK1" t="s">
        <v>25684</v>
      </c>
      <c r="KUL1" t="s">
        <v>25685</v>
      </c>
      <c r="KUM1" t="s">
        <v>25686</v>
      </c>
      <c r="KUN1" t="s">
        <v>25687</v>
      </c>
      <c r="KUO1" t="s">
        <v>25688</v>
      </c>
      <c r="KUP1" t="s">
        <v>25689</v>
      </c>
      <c r="KUQ1" t="s">
        <v>25690</v>
      </c>
      <c r="KUR1" t="s">
        <v>25691</v>
      </c>
      <c r="KUS1" t="s">
        <v>25692</v>
      </c>
      <c r="KUT1" t="s">
        <v>25693</v>
      </c>
      <c r="KUU1" t="s">
        <v>25694</v>
      </c>
      <c r="KUV1" t="s">
        <v>25695</v>
      </c>
      <c r="KUW1" t="s">
        <v>25696</v>
      </c>
      <c r="KUX1" t="s">
        <v>25697</v>
      </c>
      <c r="KUY1" t="s">
        <v>25698</v>
      </c>
      <c r="KUZ1" t="s">
        <v>25699</v>
      </c>
      <c r="KVA1" t="s">
        <v>25700</v>
      </c>
      <c r="KVB1" t="s">
        <v>25701</v>
      </c>
      <c r="KVC1" t="s">
        <v>25702</v>
      </c>
      <c r="KVD1" t="s">
        <v>25703</v>
      </c>
      <c r="KVE1" t="s">
        <v>25704</v>
      </c>
      <c r="KVF1" t="s">
        <v>25705</v>
      </c>
      <c r="KVG1" t="s">
        <v>25706</v>
      </c>
      <c r="KVH1" t="s">
        <v>25707</v>
      </c>
      <c r="KVI1" t="s">
        <v>25708</v>
      </c>
      <c r="KVJ1" t="s">
        <v>25709</v>
      </c>
      <c r="KVK1" t="s">
        <v>25710</v>
      </c>
      <c r="KVL1" t="s">
        <v>25711</v>
      </c>
      <c r="KVM1" t="s">
        <v>25712</v>
      </c>
      <c r="KVN1" t="s">
        <v>25713</v>
      </c>
      <c r="KVO1" t="s">
        <v>25714</v>
      </c>
      <c r="KVP1" t="s">
        <v>25715</v>
      </c>
      <c r="KVQ1" t="s">
        <v>25716</v>
      </c>
      <c r="KVR1" t="s">
        <v>25717</v>
      </c>
      <c r="KVS1" t="s">
        <v>25718</v>
      </c>
      <c r="KVT1" t="s">
        <v>25719</v>
      </c>
      <c r="KVU1" t="s">
        <v>25720</v>
      </c>
      <c r="KVV1" t="s">
        <v>25721</v>
      </c>
      <c r="KVW1" t="s">
        <v>25722</v>
      </c>
      <c r="KVX1" t="s">
        <v>25723</v>
      </c>
      <c r="KVY1" t="s">
        <v>25724</v>
      </c>
      <c r="KVZ1" t="s">
        <v>25725</v>
      </c>
      <c r="KWA1" t="s">
        <v>25726</v>
      </c>
      <c r="KWB1" t="s">
        <v>25727</v>
      </c>
      <c r="KWC1" t="s">
        <v>25728</v>
      </c>
      <c r="KWD1" t="s">
        <v>25729</v>
      </c>
      <c r="KWE1" t="s">
        <v>25730</v>
      </c>
      <c r="KWF1" t="s">
        <v>25731</v>
      </c>
      <c r="KWG1" t="s">
        <v>25732</v>
      </c>
      <c r="KWH1" t="s">
        <v>25733</v>
      </c>
      <c r="KWI1" t="s">
        <v>25734</v>
      </c>
      <c r="KWJ1" t="s">
        <v>25735</v>
      </c>
      <c r="KWK1" t="s">
        <v>25736</v>
      </c>
      <c r="KWL1" t="s">
        <v>25737</v>
      </c>
      <c r="KWM1" t="s">
        <v>25738</v>
      </c>
      <c r="KWN1" t="s">
        <v>25739</v>
      </c>
      <c r="KWO1" t="s">
        <v>25740</v>
      </c>
      <c r="KWP1" t="s">
        <v>25741</v>
      </c>
      <c r="KWQ1" t="s">
        <v>25742</v>
      </c>
      <c r="KWR1" t="s">
        <v>25743</v>
      </c>
      <c r="KWS1" t="s">
        <v>25744</v>
      </c>
      <c r="KWT1" t="s">
        <v>25745</v>
      </c>
      <c r="KWU1" t="s">
        <v>25746</v>
      </c>
      <c r="KWV1" t="s">
        <v>25747</v>
      </c>
      <c r="KWW1" t="s">
        <v>25748</v>
      </c>
      <c r="KWX1" t="s">
        <v>25749</v>
      </c>
      <c r="KWY1" t="s">
        <v>25750</v>
      </c>
      <c r="KWZ1" t="s">
        <v>25751</v>
      </c>
      <c r="KXA1" t="s">
        <v>25752</v>
      </c>
      <c r="KXB1" t="s">
        <v>25753</v>
      </c>
      <c r="KXC1" t="s">
        <v>25754</v>
      </c>
      <c r="KXD1" t="s">
        <v>25755</v>
      </c>
      <c r="KXE1" t="s">
        <v>25756</v>
      </c>
      <c r="KXF1" t="s">
        <v>25757</v>
      </c>
      <c r="KXG1" t="s">
        <v>25758</v>
      </c>
      <c r="KXH1" t="s">
        <v>25759</v>
      </c>
      <c r="KXI1" t="s">
        <v>25760</v>
      </c>
      <c r="KXJ1" t="s">
        <v>25761</v>
      </c>
      <c r="KXK1" t="s">
        <v>25762</v>
      </c>
      <c r="KXL1" t="s">
        <v>25763</v>
      </c>
      <c r="KXM1" t="s">
        <v>25764</v>
      </c>
      <c r="KXN1" t="s">
        <v>25765</v>
      </c>
      <c r="KXO1" t="s">
        <v>25766</v>
      </c>
      <c r="KXP1" t="s">
        <v>25767</v>
      </c>
      <c r="KXQ1" t="s">
        <v>25768</v>
      </c>
      <c r="KXR1" t="s">
        <v>25769</v>
      </c>
      <c r="KXS1" t="s">
        <v>25770</v>
      </c>
      <c r="KXT1" t="s">
        <v>25771</v>
      </c>
      <c r="KXU1" t="s">
        <v>25772</v>
      </c>
      <c r="KXV1" t="s">
        <v>25773</v>
      </c>
      <c r="KXW1" t="s">
        <v>25774</v>
      </c>
      <c r="KXX1" t="s">
        <v>25775</v>
      </c>
      <c r="KXY1" t="s">
        <v>25776</v>
      </c>
      <c r="KXZ1" t="s">
        <v>25777</v>
      </c>
      <c r="KYA1" t="s">
        <v>25778</v>
      </c>
      <c r="KYB1" t="s">
        <v>25779</v>
      </c>
      <c r="KYC1" t="s">
        <v>25780</v>
      </c>
      <c r="KYD1" t="s">
        <v>25781</v>
      </c>
      <c r="KYE1" t="s">
        <v>25782</v>
      </c>
      <c r="KYF1" t="s">
        <v>25783</v>
      </c>
      <c r="KYG1" t="s">
        <v>25784</v>
      </c>
      <c r="KYH1" t="s">
        <v>25785</v>
      </c>
      <c r="KYI1" t="s">
        <v>25786</v>
      </c>
      <c r="KYJ1" t="s">
        <v>25787</v>
      </c>
      <c r="KYK1" t="s">
        <v>25788</v>
      </c>
      <c r="KYL1" t="s">
        <v>25789</v>
      </c>
      <c r="KYM1" t="s">
        <v>25790</v>
      </c>
      <c r="KYN1" t="s">
        <v>25791</v>
      </c>
      <c r="KYO1" t="s">
        <v>25792</v>
      </c>
      <c r="KYP1" t="s">
        <v>25793</v>
      </c>
      <c r="KYQ1" t="s">
        <v>25794</v>
      </c>
      <c r="KYR1" t="s">
        <v>25795</v>
      </c>
      <c r="KYS1" t="s">
        <v>25796</v>
      </c>
      <c r="KYT1" t="s">
        <v>25797</v>
      </c>
      <c r="KYU1" t="s">
        <v>25798</v>
      </c>
      <c r="KYV1" t="s">
        <v>25799</v>
      </c>
      <c r="KYW1" t="s">
        <v>25800</v>
      </c>
      <c r="KYX1" t="s">
        <v>25801</v>
      </c>
      <c r="KYY1" t="s">
        <v>25802</v>
      </c>
      <c r="KYZ1" t="s">
        <v>25803</v>
      </c>
      <c r="KZA1" t="s">
        <v>25804</v>
      </c>
      <c r="KZB1" t="s">
        <v>25805</v>
      </c>
      <c r="KZC1" t="s">
        <v>25806</v>
      </c>
      <c r="KZD1" t="s">
        <v>25807</v>
      </c>
      <c r="KZE1" t="s">
        <v>25808</v>
      </c>
      <c r="KZF1" t="s">
        <v>25809</v>
      </c>
      <c r="KZG1" t="s">
        <v>25810</v>
      </c>
      <c r="KZH1" t="s">
        <v>25811</v>
      </c>
      <c r="KZI1" t="s">
        <v>25812</v>
      </c>
      <c r="KZJ1" t="s">
        <v>25813</v>
      </c>
      <c r="KZK1" t="s">
        <v>25814</v>
      </c>
      <c r="KZL1" t="s">
        <v>25815</v>
      </c>
      <c r="KZM1" t="s">
        <v>25816</v>
      </c>
      <c r="KZN1" t="s">
        <v>25817</v>
      </c>
      <c r="KZO1" t="s">
        <v>25818</v>
      </c>
      <c r="KZP1" t="s">
        <v>25819</v>
      </c>
      <c r="KZQ1" t="s">
        <v>25820</v>
      </c>
      <c r="KZR1" t="s">
        <v>25821</v>
      </c>
      <c r="KZS1" t="s">
        <v>25822</v>
      </c>
      <c r="KZT1" t="s">
        <v>25823</v>
      </c>
      <c r="KZU1" t="s">
        <v>25824</v>
      </c>
      <c r="KZV1" t="s">
        <v>25825</v>
      </c>
      <c r="KZW1" t="s">
        <v>25826</v>
      </c>
      <c r="KZX1" t="s">
        <v>25827</v>
      </c>
      <c r="KZY1" t="s">
        <v>25828</v>
      </c>
      <c r="KZZ1" t="s">
        <v>25829</v>
      </c>
      <c r="LAA1" t="s">
        <v>25830</v>
      </c>
      <c r="LAB1" t="s">
        <v>25831</v>
      </c>
      <c r="LAC1" t="s">
        <v>25832</v>
      </c>
      <c r="LAD1" t="s">
        <v>25833</v>
      </c>
      <c r="LAE1" t="s">
        <v>25834</v>
      </c>
      <c r="LAF1" t="s">
        <v>25835</v>
      </c>
      <c r="LAG1" t="s">
        <v>25836</v>
      </c>
      <c r="LAH1" t="s">
        <v>25837</v>
      </c>
      <c r="LAI1" t="s">
        <v>25838</v>
      </c>
      <c r="LAJ1" t="s">
        <v>25839</v>
      </c>
      <c r="LAK1" t="s">
        <v>25840</v>
      </c>
      <c r="LAL1" t="s">
        <v>25841</v>
      </c>
      <c r="LAM1" t="s">
        <v>25842</v>
      </c>
      <c r="LAN1" t="s">
        <v>25843</v>
      </c>
      <c r="LAO1" t="s">
        <v>25844</v>
      </c>
      <c r="LAP1" t="s">
        <v>25845</v>
      </c>
      <c r="LAQ1" t="s">
        <v>25846</v>
      </c>
      <c r="LAR1" t="s">
        <v>25847</v>
      </c>
      <c r="LAS1" t="s">
        <v>25848</v>
      </c>
      <c r="LAT1" t="s">
        <v>25849</v>
      </c>
      <c r="LAU1" t="s">
        <v>25850</v>
      </c>
      <c r="LAV1" t="s">
        <v>25851</v>
      </c>
      <c r="LAW1" t="s">
        <v>25852</v>
      </c>
      <c r="LAX1" t="s">
        <v>25853</v>
      </c>
      <c r="LAY1" t="s">
        <v>25854</v>
      </c>
      <c r="LAZ1" t="s">
        <v>25855</v>
      </c>
      <c r="LBA1" t="s">
        <v>25856</v>
      </c>
      <c r="LBB1" t="s">
        <v>25857</v>
      </c>
      <c r="LBC1" t="s">
        <v>25858</v>
      </c>
      <c r="LBD1" t="s">
        <v>25859</v>
      </c>
      <c r="LBE1" t="s">
        <v>25860</v>
      </c>
      <c r="LBF1" t="s">
        <v>25861</v>
      </c>
      <c r="LBG1" t="s">
        <v>25862</v>
      </c>
      <c r="LBH1" t="s">
        <v>25863</v>
      </c>
      <c r="LBI1" t="s">
        <v>25864</v>
      </c>
      <c r="LBJ1" t="s">
        <v>25865</v>
      </c>
      <c r="LBK1" t="s">
        <v>25866</v>
      </c>
      <c r="LBL1" t="s">
        <v>25867</v>
      </c>
      <c r="LBM1" t="s">
        <v>25868</v>
      </c>
      <c r="LBN1" t="s">
        <v>25869</v>
      </c>
      <c r="LBO1" t="s">
        <v>25870</v>
      </c>
      <c r="LBP1" t="s">
        <v>25871</v>
      </c>
      <c r="LBQ1" t="s">
        <v>25872</v>
      </c>
      <c r="LBR1" t="s">
        <v>25873</v>
      </c>
      <c r="LBS1" t="s">
        <v>25874</v>
      </c>
      <c r="LBT1" t="s">
        <v>25875</v>
      </c>
      <c r="LBU1" t="s">
        <v>25876</v>
      </c>
      <c r="LBV1" t="s">
        <v>25877</v>
      </c>
      <c r="LBW1" t="s">
        <v>25878</v>
      </c>
      <c r="LBX1" t="s">
        <v>25879</v>
      </c>
      <c r="LBY1" t="s">
        <v>25880</v>
      </c>
      <c r="LBZ1" t="s">
        <v>25881</v>
      </c>
      <c r="LCA1" t="s">
        <v>25882</v>
      </c>
      <c r="LCB1" t="s">
        <v>25883</v>
      </c>
      <c r="LCC1" t="s">
        <v>25884</v>
      </c>
      <c r="LCD1" t="s">
        <v>25885</v>
      </c>
      <c r="LCE1" t="s">
        <v>25886</v>
      </c>
      <c r="LCF1" t="s">
        <v>25887</v>
      </c>
      <c r="LCG1" t="s">
        <v>25888</v>
      </c>
      <c r="LCH1" t="s">
        <v>25889</v>
      </c>
      <c r="LCI1" t="s">
        <v>25890</v>
      </c>
      <c r="LCJ1" t="s">
        <v>25891</v>
      </c>
      <c r="LCK1" t="s">
        <v>25892</v>
      </c>
      <c r="LCL1" t="s">
        <v>25893</v>
      </c>
      <c r="LCM1" t="s">
        <v>25894</v>
      </c>
      <c r="LCN1" t="s">
        <v>25895</v>
      </c>
      <c r="LCO1" t="s">
        <v>25896</v>
      </c>
      <c r="LCP1" t="s">
        <v>25897</v>
      </c>
      <c r="LCQ1" t="s">
        <v>25898</v>
      </c>
      <c r="LCR1" t="s">
        <v>25899</v>
      </c>
      <c r="LCS1" t="s">
        <v>25900</v>
      </c>
      <c r="LCT1" t="s">
        <v>25901</v>
      </c>
      <c r="LCU1" t="s">
        <v>25902</v>
      </c>
      <c r="LCV1" t="s">
        <v>25903</v>
      </c>
      <c r="LCW1" t="s">
        <v>25904</v>
      </c>
      <c r="LCX1" t="s">
        <v>25905</v>
      </c>
      <c r="LCY1" t="s">
        <v>25906</v>
      </c>
      <c r="LCZ1" t="s">
        <v>25907</v>
      </c>
      <c r="LDA1" t="s">
        <v>25908</v>
      </c>
      <c r="LDB1" t="s">
        <v>25909</v>
      </c>
      <c r="LDC1" t="s">
        <v>25910</v>
      </c>
      <c r="LDD1" t="s">
        <v>25911</v>
      </c>
      <c r="LDE1" t="s">
        <v>25912</v>
      </c>
      <c r="LDF1" t="s">
        <v>25913</v>
      </c>
      <c r="LDG1" t="s">
        <v>25914</v>
      </c>
      <c r="LDH1" t="s">
        <v>25915</v>
      </c>
      <c r="LDI1" t="s">
        <v>25916</v>
      </c>
      <c r="LDJ1" t="s">
        <v>25917</v>
      </c>
      <c r="LDK1" t="s">
        <v>25918</v>
      </c>
      <c r="LDL1" t="s">
        <v>25919</v>
      </c>
      <c r="LDM1" t="s">
        <v>25920</v>
      </c>
      <c r="LDN1" t="s">
        <v>25921</v>
      </c>
      <c r="LDO1" t="s">
        <v>25922</v>
      </c>
      <c r="LDP1" t="s">
        <v>25923</v>
      </c>
      <c r="LDQ1" t="s">
        <v>25924</v>
      </c>
      <c r="LDR1" t="s">
        <v>25925</v>
      </c>
      <c r="LDS1" t="s">
        <v>25926</v>
      </c>
      <c r="LDT1" t="s">
        <v>25927</v>
      </c>
      <c r="LDU1" t="s">
        <v>25928</v>
      </c>
      <c r="LDV1" t="s">
        <v>25929</v>
      </c>
      <c r="LDW1" t="s">
        <v>25930</v>
      </c>
      <c r="LDX1" t="s">
        <v>25931</v>
      </c>
      <c r="LDY1" t="s">
        <v>25932</v>
      </c>
      <c r="LDZ1" t="s">
        <v>25933</v>
      </c>
      <c r="LEA1" t="s">
        <v>25934</v>
      </c>
      <c r="LEB1" t="s">
        <v>25935</v>
      </c>
      <c r="LEC1" t="s">
        <v>25936</v>
      </c>
      <c r="LED1" t="s">
        <v>25937</v>
      </c>
      <c r="LEE1" t="s">
        <v>25938</v>
      </c>
      <c r="LEF1" t="s">
        <v>25939</v>
      </c>
      <c r="LEG1" t="s">
        <v>25940</v>
      </c>
      <c r="LEH1" t="s">
        <v>25941</v>
      </c>
      <c r="LEI1" t="s">
        <v>25942</v>
      </c>
      <c r="LEJ1" t="s">
        <v>25943</v>
      </c>
      <c r="LEK1" t="s">
        <v>25944</v>
      </c>
      <c r="LEL1" t="s">
        <v>25945</v>
      </c>
      <c r="LEM1" t="s">
        <v>25946</v>
      </c>
      <c r="LEN1" t="s">
        <v>25947</v>
      </c>
      <c r="LEO1" t="s">
        <v>25948</v>
      </c>
      <c r="LEP1" t="s">
        <v>25949</v>
      </c>
      <c r="LEQ1" t="s">
        <v>25950</v>
      </c>
      <c r="LER1" t="s">
        <v>25951</v>
      </c>
      <c r="LES1" t="s">
        <v>25952</v>
      </c>
      <c r="LET1" t="s">
        <v>25953</v>
      </c>
      <c r="LEU1" t="s">
        <v>25954</v>
      </c>
      <c r="LEV1" t="s">
        <v>25955</v>
      </c>
      <c r="LEW1" t="s">
        <v>25956</v>
      </c>
      <c r="LEX1" t="s">
        <v>25957</v>
      </c>
      <c r="LEY1" t="s">
        <v>25958</v>
      </c>
      <c r="LEZ1" t="s">
        <v>25959</v>
      </c>
      <c r="LFA1" t="s">
        <v>25960</v>
      </c>
      <c r="LFB1" t="s">
        <v>25961</v>
      </c>
      <c r="LFC1" t="s">
        <v>25962</v>
      </c>
      <c r="LFD1" t="s">
        <v>25963</v>
      </c>
      <c r="LFE1" t="s">
        <v>25964</v>
      </c>
      <c r="LFF1" t="s">
        <v>25965</v>
      </c>
      <c r="LFG1" t="s">
        <v>25966</v>
      </c>
      <c r="LFH1" t="s">
        <v>25967</v>
      </c>
      <c r="LFI1" t="s">
        <v>25968</v>
      </c>
      <c r="LFJ1" t="s">
        <v>25969</v>
      </c>
      <c r="LFK1" t="s">
        <v>25970</v>
      </c>
      <c r="LFL1" t="s">
        <v>25971</v>
      </c>
      <c r="LFM1" t="s">
        <v>25972</v>
      </c>
      <c r="LFN1" t="s">
        <v>25973</v>
      </c>
      <c r="LFO1" t="s">
        <v>25974</v>
      </c>
      <c r="LFP1" t="s">
        <v>25975</v>
      </c>
      <c r="LFQ1" t="s">
        <v>25976</v>
      </c>
      <c r="LFR1" t="s">
        <v>25977</v>
      </c>
      <c r="LFS1" t="s">
        <v>25978</v>
      </c>
      <c r="LFT1" t="s">
        <v>25979</v>
      </c>
      <c r="LFU1" t="s">
        <v>25980</v>
      </c>
      <c r="LFV1" t="s">
        <v>25981</v>
      </c>
      <c r="LFW1" t="s">
        <v>25982</v>
      </c>
      <c r="LFX1" t="s">
        <v>25983</v>
      </c>
      <c r="LFY1" t="s">
        <v>25984</v>
      </c>
      <c r="LFZ1" t="s">
        <v>25985</v>
      </c>
      <c r="LGA1" t="s">
        <v>25986</v>
      </c>
      <c r="LGB1" t="s">
        <v>25987</v>
      </c>
      <c r="LGC1" t="s">
        <v>25988</v>
      </c>
      <c r="LGD1" t="s">
        <v>25989</v>
      </c>
      <c r="LGE1" t="s">
        <v>25990</v>
      </c>
      <c r="LGF1" t="s">
        <v>25991</v>
      </c>
      <c r="LGG1" t="s">
        <v>25992</v>
      </c>
      <c r="LGH1" t="s">
        <v>25993</v>
      </c>
      <c r="LGI1" t="s">
        <v>25994</v>
      </c>
      <c r="LGJ1" t="s">
        <v>25995</v>
      </c>
      <c r="LGK1" t="s">
        <v>25996</v>
      </c>
      <c r="LGL1" t="s">
        <v>25997</v>
      </c>
      <c r="LGM1" t="s">
        <v>25998</v>
      </c>
      <c r="LGN1" t="s">
        <v>25999</v>
      </c>
      <c r="LGO1" t="s">
        <v>26000</v>
      </c>
      <c r="LGP1" t="s">
        <v>26001</v>
      </c>
      <c r="LGQ1" t="s">
        <v>26002</v>
      </c>
      <c r="LGR1" t="s">
        <v>26003</v>
      </c>
      <c r="LGS1" t="s">
        <v>26004</v>
      </c>
      <c r="LGT1" t="s">
        <v>26005</v>
      </c>
      <c r="LGU1" t="s">
        <v>26006</v>
      </c>
      <c r="LGV1" t="s">
        <v>26007</v>
      </c>
      <c r="LGW1" t="s">
        <v>26008</v>
      </c>
      <c r="LGX1" t="s">
        <v>26009</v>
      </c>
      <c r="LGY1" t="s">
        <v>26010</v>
      </c>
      <c r="LGZ1" t="s">
        <v>26011</v>
      </c>
      <c r="LHA1" t="s">
        <v>26012</v>
      </c>
      <c r="LHB1" t="s">
        <v>26013</v>
      </c>
      <c r="LHC1" t="s">
        <v>26014</v>
      </c>
      <c r="LHD1" t="s">
        <v>26015</v>
      </c>
      <c r="LHE1" t="s">
        <v>26016</v>
      </c>
      <c r="LHF1" t="s">
        <v>26017</v>
      </c>
      <c r="LHG1" t="s">
        <v>26018</v>
      </c>
      <c r="LHH1" t="s">
        <v>26019</v>
      </c>
      <c r="LHI1" t="s">
        <v>26020</v>
      </c>
      <c r="LHJ1" t="s">
        <v>26021</v>
      </c>
      <c r="LHK1" t="s">
        <v>26022</v>
      </c>
      <c r="LHL1" t="s">
        <v>26023</v>
      </c>
      <c r="LHM1" t="s">
        <v>26024</v>
      </c>
      <c r="LHN1" t="s">
        <v>26025</v>
      </c>
      <c r="LHO1" t="s">
        <v>26026</v>
      </c>
      <c r="LHP1" t="s">
        <v>26027</v>
      </c>
      <c r="LHQ1" t="s">
        <v>26028</v>
      </c>
      <c r="LHR1" t="s">
        <v>26029</v>
      </c>
      <c r="LHS1" t="s">
        <v>26030</v>
      </c>
      <c r="LHT1" t="s">
        <v>26031</v>
      </c>
      <c r="LHU1" t="s">
        <v>26032</v>
      </c>
      <c r="LHV1" t="s">
        <v>26033</v>
      </c>
      <c r="LHW1" t="s">
        <v>26034</v>
      </c>
      <c r="LHX1" t="s">
        <v>26035</v>
      </c>
      <c r="LHY1" t="s">
        <v>26036</v>
      </c>
      <c r="LHZ1" t="s">
        <v>26037</v>
      </c>
      <c r="LIA1" t="s">
        <v>26038</v>
      </c>
      <c r="LIB1" t="s">
        <v>26039</v>
      </c>
      <c r="LIC1" t="s">
        <v>26040</v>
      </c>
      <c r="LID1" t="s">
        <v>26041</v>
      </c>
      <c r="LIE1" t="s">
        <v>26042</v>
      </c>
      <c r="LIF1" t="s">
        <v>26043</v>
      </c>
      <c r="LIG1" t="s">
        <v>26044</v>
      </c>
      <c r="LIH1" t="s">
        <v>26045</v>
      </c>
      <c r="LII1" t="s">
        <v>26046</v>
      </c>
      <c r="LIJ1" t="s">
        <v>26047</v>
      </c>
      <c r="LIK1" t="s">
        <v>26048</v>
      </c>
      <c r="LIL1" t="s">
        <v>26049</v>
      </c>
      <c r="LIM1" t="s">
        <v>26050</v>
      </c>
      <c r="LIN1" t="s">
        <v>26051</v>
      </c>
      <c r="LIO1" t="s">
        <v>26052</v>
      </c>
      <c r="LIP1" t="s">
        <v>26053</v>
      </c>
      <c r="LIQ1" t="s">
        <v>26054</v>
      </c>
      <c r="LIR1" t="s">
        <v>26055</v>
      </c>
      <c r="LIS1" t="s">
        <v>26056</v>
      </c>
      <c r="LIT1" t="s">
        <v>26057</v>
      </c>
      <c r="LIU1" t="s">
        <v>26058</v>
      </c>
      <c r="LIV1" t="s">
        <v>26059</v>
      </c>
      <c r="LIW1" t="s">
        <v>26060</v>
      </c>
      <c r="LIX1" t="s">
        <v>26061</v>
      </c>
      <c r="LIY1" t="s">
        <v>26062</v>
      </c>
      <c r="LIZ1" t="s">
        <v>26063</v>
      </c>
      <c r="LJA1" t="s">
        <v>26064</v>
      </c>
      <c r="LJB1" t="s">
        <v>26065</v>
      </c>
      <c r="LJC1" t="s">
        <v>26066</v>
      </c>
      <c r="LJD1" t="s">
        <v>26067</v>
      </c>
      <c r="LJE1" t="s">
        <v>26068</v>
      </c>
      <c r="LJF1" t="s">
        <v>26069</v>
      </c>
      <c r="LJG1" t="s">
        <v>26070</v>
      </c>
      <c r="LJH1" t="s">
        <v>26071</v>
      </c>
      <c r="LJI1" t="s">
        <v>26072</v>
      </c>
      <c r="LJJ1" t="s">
        <v>26073</v>
      </c>
      <c r="LJK1" t="s">
        <v>26074</v>
      </c>
      <c r="LJL1" t="s">
        <v>26075</v>
      </c>
      <c r="LJM1" t="s">
        <v>26076</v>
      </c>
      <c r="LJN1" t="s">
        <v>26077</v>
      </c>
      <c r="LJO1" t="s">
        <v>26078</v>
      </c>
      <c r="LJP1" t="s">
        <v>26079</v>
      </c>
      <c r="LJQ1" t="s">
        <v>26080</v>
      </c>
      <c r="LJR1" t="s">
        <v>26081</v>
      </c>
      <c r="LJS1" t="s">
        <v>26082</v>
      </c>
      <c r="LJT1" t="s">
        <v>26083</v>
      </c>
      <c r="LJU1" t="s">
        <v>26084</v>
      </c>
      <c r="LJV1" t="s">
        <v>26085</v>
      </c>
      <c r="LJW1" t="s">
        <v>26086</v>
      </c>
      <c r="LJX1" t="s">
        <v>26087</v>
      </c>
      <c r="LJY1" t="s">
        <v>26088</v>
      </c>
      <c r="LJZ1" t="s">
        <v>26089</v>
      </c>
      <c r="LKA1" t="s">
        <v>26090</v>
      </c>
      <c r="LKB1" t="s">
        <v>26091</v>
      </c>
      <c r="LKC1" t="s">
        <v>26092</v>
      </c>
      <c r="LKD1" t="s">
        <v>26093</v>
      </c>
      <c r="LKE1" t="s">
        <v>26094</v>
      </c>
      <c r="LKF1" t="s">
        <v>26095</v>
      </c>
      <c r="LKG1" t="s">
        <v>26096</v>
      </c>
      <c r="LKH1" t="s">
        <v>26097</v>
      </c>
      <c r="LKI1" t="s">
        <v>26098</v>
      </c>
      <c r="LKJ1" t="s">
        <v>26099</v>
      </c>
      <c r="LKK1" t="s">
        <v>26100</v>
      </c>
      <c r="LKL1" t="s">
        <v>26101</v>
      </c>
      <c r="LKM1" t="s">
        <v>26102</v>
      </c>
      <c r="LKN1" t="s">
        <v>26103</v>
      </c>
      <c r="LKO1" t="s">
        <v>26104</v>
      </c>
      <c r="LKP1" t="s">
        <v>26105</v>
      </c>
      <c r="LKQ1" t="s">
        <v>26106</v>
      </c>
      <c r="LKR1" t="s">
        <v>26107</v>
      </c>
      <c r="LKS1" t="s">
        <v>26108</v>
      </c>
      <c r="LKT1" t="s">
        <v>26109</v>
      </c>
      <c r="LKU1" t="s">
        <v>26110</v>
      </c>
      <c r="LKV1" t="s">
        <v>26111</v>
      </c>
      <c r="LKW1" t="s">
        <v>26112</v>
      </c>
      <c r="LKX1" t="s">
        <v>26113</v>
      </c>
      <c r="LKY1" t="s">
        <v>26114</v>
      </c>
      <c r="LKZ1" t="s">
        <v>26115</v>
      </c>
      <c r="LLA1" t="s">
        <v>26116</v>
      </c>
      <c r="LLB1" t="s">
        <v>26117</v>
      </c>
      <c r="LLC1" t="s">
        <v>26118</v>
      </c>
      <c r="LLD1" t="s">
        <v>26119</v>
      </c>
      <c r="LLE1" t="s">
        <v>26120</v>
      </c>
      <c r="LLF1" t="s">
        <v>26121</v>
      </c>
      <c r="LLG1" t="s">
        <v>26122</v>
      </c>
      <c r="LLH1" t="s">
        <v>26123</v>
      </c>
      <c r="LLI1" t="s">
        <v>26124</v>
      </c>
      <c r="LLJ1" t="s">
        <v>26125</v>
      </c>
      <c r="LLK1" t="s">
        <v>26126</v>
      </c>
      <c r="LLL1" t="s">
        <v>26127</v>
      </c>
      <c r="LLM1" t="s">
        <v>26128</v>
      </c>
      <c r="LLN1" t="s">
        <v>26129</v>
      </c>
      <c r="LLO1" t="s">
        <v>26130</v>
      </c>
      <c r="LLP1" t="s">
        <v>26131</v>
      </c>
      <c r="LLQ1" t="s">
        <v>26132</v>
      </c>
      <c r="LLR1" t="s">
        <v>26133</v>
      </c>
      <c r="LLS1" t="s">
        <v>26134</v>
      </c>
      <c r="LLT1" t="s">
        <v>26135</v>
      </c>
      <c r="LLU1" t="s">
        <v>26136</v>
      </c>
      <c r="LLV1" t="s">
        <v>26137</v>
      </c>
      <c r="LLW1" t="s">
        <v>26138</v>
      </c>
      <c r="LLX1" t="s">
        <v>26139</v>
      </c>
      <c r="LLY1" t="s">
        <v>26140</v>
      </c>
      <c r="LLZ1" t="s">
        <v>26141</v>
      </c>
      <c r="LMA1" t="s">
        <v>26142</v>
      </c>
      <c r="LMB1" t="s">
        <v>26143</v>
      </c>
      <c r="LMC1" t="s">
        <v>26144</v>
      </c>
      <c r="LMD1" t="s">
        <v>26145</v>
      </c>
      <c r="LME1" t="s">
        <v>26146</v>
      </c>
      <c r="LMF1" t="s">
        <v>26147</v>
      </c>
      <c r="LMG1" t="s">
        <v>26148</v>
      </c>
      <c r="LMH1" t="s">
        <v>26149</v>
      </c>
      <c r="LMI1" t="s">
        <v>26150</v>
      </c>
      <c r="LMJ1" t="s">
        <v>26151</v>
      </c>
      <c r="LMK1" t="s">
        <v>26152</v>
      </c>
      <c r="LML1" t="s">
        <v>26153</v>
      </c>
      <c r="LMM1" t="s">
        <v>26154</v>
      </c>
      <c r="LMN1" t="s">
        <v>26155</v>
      </c>
      <c r="LMO1" t="s">
        <v>26156</v>
      </c>
      <c r="LMP1" t="s">
        <v>26157</v>
      </c>
      <c r="LMQ1" t="s">
        <v>26158</v>
      </c>
      <c r="LMR1" t="s">
        <v>26159</v>
      </c>
      <c r="LMS1" t="s">
        <v>26160</v>
      </c>
      <c r="LMT1" t="s">
        <v>26161</v>
      </c>
      <c r="LMU1" t="s">
        <v>26162</v>
      </c>
      <c r="LMV1" t="s">
        <v>26163</v>
      </c>
      <c r="LMW1" t="s">
        <v>26164</v>
      </c>
      <c r="LMX1" t="s">
        <v>26165</v>
      </c>
      <c r="LMY1" t="s">
        <v>26166</v>
      </c>
      <c r="LMZ1" t="s">
        <v>26167</v>
      </c>
      <c r="LNA1" t="s">
        <v>26168</v>
      </c>
      <c r="LNB1" t="s">
        <v>26169</v>
      </c>
      <c r="LNC1" t="s">
        <v>26170</v>
      </c>
      <c r="LND1" t="s">
        <v>26171</v>
      </c>
      <c r="LNE1" t="s">
        <v>26172</v>
      </c>
      <c r="LNF1" t="s">
        <v>26173</v>
      </c>
      <c r="LNG1" t="s">
        <v>26174</v>
      </c>
      <c r="LNH1" t="s">
        <v>26175</v>
      </c>
      <c r="LNI1" t="s">
        <v>26176</v>
      </c>
      <c r="LNJ1" t="s">
        <v>26177</v>
      </c>
      <c r="LNK1" t="s">
        <v>26178</v>
      </c>
      <c r="LNL1" t="s">
        <v>26179</v>
      </c>
      <c r="LNM1" t="s">
        <v>26180</v>
      </c>
      <c r="LNN1" t="s">
        <v>26181</v>
      </c>
      <c r="LNO1" t="s">
        <v>26182</v>
      </c>
      <c r="LNP1" t="s">
        <v>26183</v>
      </c>
      <c r="LNQ1" t="s">
        <v>26184</v>
      </c>
      <c r="LNR1" t="s">
        <v>26185</v>
      </c>
      <c r="LNS1" t="s">
        <v>26186</v>
      </c>
      <c r="LNT1" t="s">
        <v>26187</v>
      </c>
      <c r="LNU1" t="s">
        <v>26188</v>
      </c>
      <c r="LNV1" t="s">
        <v>26189</v>
      </c>
      <c r="LNW1" t="s">
        <v>26190</v>
      </c>
      <c r="LNX1" t="s">
        <v>26191</v>
      </c>
      <c r="LNY1" t="s">
        <v>26192</v>
      </c>
      <c r="LNZ1" t="s">
        <v>26193</v>
      </c>
      <c r="LOA1" t="s">
        <v>26194</v>
      </c>
      <c r="LOB1" t="s">
        <v>26195</v>
      </c>
      <c r="LOC1" t="s">
        <v>26196</v>
      </c>
      <c r="LOD1" t="s">
        <v>26197</v>
      </c>
      <c r="LOE1" t="s">
        <v>26198</v>
      </c>
      <c r="LOF1" t="s">
        <v>26199</v>
      </c>
      <c r="LOG1" t="s">
        <v>26200</v>
      </c>
      <c r="LOH1" t="s">
        <v>26201</v>
      </c>
      <c r="LOI1" t="s">
        <v>26202</v>
      </c>
      <c r="LOJ1" t="s">
        <v>26203</v>
      </c>
      <c r="LOK1" t="s">
        <v>26204</v>
      </c>
      <c r="LOL1" t="s">
        <v>26205</v>
      </c>
      <c r="LOM1" t="s">
        <v>26206</v>
      </c>
      <c r="LON1" t="s">
        <v>26207</v>
      </c>
      <c r="LOO1" t="s">
        <v>26208</v>
      </c>
      <c r="LOP1" t="s">
        <v>26209</v>
      </c>
      <c r="LOQ1" t="s">
        <v>26210</v>
      </c>
      <c r="LOR1" t="s">
        <v>26211</v>
      </c>
      <c r="LOS1" t="s">
        <v>26212</v>
      </c>
      <c r="LOT1" t="s">
        <v>26213</v>
      </c>
      <c r="LOU1" t="s">
        <v>26214</v>
      </c>
      <c r="LOV1" t="s">
        <v>26215</v>
      </c>
      <c r="LOW1" t="s">
        <v>26216</v>
      </c>
      <c r="LOX1" t="s">
        <v>26217</v>
      </c>
      <c r="LOY1" t="s">
        <v>26218</v>
      </c>
      <c r="LOZ1" t="s">
        <v>26219</v>
      </c>
      <c r="LPA1" t="s">
        <v>26220</v>
      </c>
      <c r="LPB1" t="s">
        <v>26221</v>
      </c>
      <c r="LPC1" t="s">
        <v>26222</v>
      </c>
      <c r="LPD1" t="s">
        <v>26223</v>
      </c>
      <c r="LPE1" t="s">
        <v>26224</v>
      </c>
      <c r="LPF1" t="s">
        <v>26225</v>
      </c>
      <c r="LPG1" t="s">
        <v>26226</v>
      </c>
      <c r="LPH1" t="s">
        <v>26227</v>
      </c>
      <c r="LPI1" t="s">
        <v>26228</v>
      </c>
      <c r="LPJ1" t="s">
        <v>26229</v>
      </c>
      <c r="LPK1" t="s">
        <v>26230</v>
      </c>
      <c r="LPL1" t="s">
        <v>26231</v>
      </c>
      <c r="LPM1" t="s">
        <v>26232</v>
      </c>
      <c r="LPN1" t="s">
        <v>26233</v>
      </c>
      <c r="LPO1" t="s">
        <v>26234</v>
      </c>
      <c r="LPP1" t="s">
        <v>26235</v>
      </c>
      <c r="LPQ1" t="s">
        <v>26236</v>
      </c>
      <c r="LPR1" t="s">
        <v>26237</v>
      </c>
      <c r="LPS1" t="s">
        <v>26238</v>
      </c>
      <c r="LPT1" t="s">
        <v>26239</v>
      </c>
      <c r="LPU1" t="s">
        <v>26240</v>
      </c>
      <c r="LPV1" t="s">
        <v>26241</v>
      </c>
      <c r="LPW1" t="s">
        <v>26242</v>
      </c>
      <c r="LPX1" t="s">
        <v>26243</v>
      </c>
      <c r="LPY1" t="s">
        <v>26244</v>
      </c>
      <c r="LPZ1" t="s">
        <v>26245</v>
      </c>
      <c r="LQA1" t="s">
        <v>26246</v>
      </c>
      <c r="LQB1" t="s">
        <v>26247</v>
      </c>
      <c r="LQC1" t="s">
        <v>26248</v>
      </c>
      <c r="LQD1" t="s">
        <v>26249</v>
      </c>
      <c r="LQE1" t="s">
        <v>26250</v>
      </c>
      <c r="LQF1" t="s">
        <v>26251</v>
      </c>
      <c r="LQG1" t="s">
        <v>26252</v>
      </c>
      <c r="LQH1" t="s">
        <v>26253</v>
      </c>
      <c r="LQI1" t="s">
        <v>26254</v>
      </c>
      <c r="LQJ1" t="s">
        <v>26255</v>
      </c>
      <c r="LQK1" t="s">
        <v>26256</v>
      </c>
      <c r="LQL1" t="s">
        <v>26257</v>
      </c>
      <c r="LQM1" t="s">
        <v>26258</v>
      </c>
      <c r="LQN1" t="s">
        <v>26259</v>
      </c>
      <c r="LQO1" t="s">
        <v>26260</v>
      </c>
      <c r="LQP1" t="s">
        <v>26261</v>
      </c>
      <c r="LQQ1" t="s">
        <v>26262</v>
      </c>
      <c r="LQR1" t="s">
        <v>26263</v>
      </c>
      <c r="LQS1" t="s">
        <v>26264</v>
      </c>
      <c r="LQT1" t="s">
        <v>26265</v>
      </c>
      <c r="LQU1" t="s">
        <v>26266</v>
      </c>
      <c r="LQV1" t="s">
        <v>26267</v>
      </c>
      <c r="LQW1" t="s">
        <v>26268</v>
      </c>
      <c r="LQX1" t="s">
        <v>26269</v>
      </c>
      <c r="LQY1" t="s">
        <v>26270</v>
      </c>
      <c r="LQZ1" t="s">
        <v>26271</v>
      </c>
      <c r="LRA1" t="s">
        <v>26272</v>
      </c>
      <c r="LRB1" t="s">
        <v>26273</v>
      </c>
      <c r="LRC1" t="s">
        <v>26274</v>
      </c>
      <c r="LRD1" t="s">
        <v>26275</v>
      </c>
      <c r="LRE1" t="s">
        <v>26276</v>
      </c>
      <c r="LRF1" t="s">
        <v>26277</v>
      </c>
      <c r="LRG1" t="s">
        <v>26278</v>
      </c>
      <c r="LRH1" t="s">
        <v>26279</v>
      </c>
      <c r="LRI1" t="s">
        <v>26280</v>
      </c>
      <c r="LRJ1" t="s">
        <v>26281</v>
      </c>
      <c r="LRK1" t="s">
        <v>26282</v>
      </c>
      <c r="LRL1" t="s">
        <v>26283</v>
      </c>
      <c r="LRM1" t="s">
        <v>26284</v>
      </c>
      <c r="LRN1" t="s">
        <v>26285</v>
      </c>
      <c r="LRO1" t="s">
        <v>26286</v>
      </c>
      <c r="LRP1" t="s">
        <v>26287</v>
      </c>
      <c r="LRQ1" t="s">
        <v>26288</v>
      </c>
      <c r="LRR1" t="s">
        <v>26289</v>
      </c>
      <c r="LRS1" t="s">
        <v>26290</v>
      </c>
      <c r="LRT1" t="s">
        <v>26291</v>
      </c>
      <c r="LRU1" t="s">
        <v>26292</v>
      </c>
      <c r="LRV1" t="s">
        <v>26293</v>
      </c>
      <c r="LRW1" t="s">
        <v>26294</v>
      </c>
      <c r="LRX1" t="s">
        <v>26295</v>
      </c>
      <c r="LRY1" t="s">
        <v>26296</v>
      </c>
      <c r="LRZ1" t="s">
        <v>26297</v>
      </c>
      <c r="LSA1" t="s">
        <v>26298</v>
      </c>
      <c r="LSB1" t="s">
        <v>26299</v>
      </c>
      <c r="LSC1" t="s">
        <v>26300</v>
      </c>
      <c r="LSD1" t="s">
        <v>26301</v>
      </c>
      <c r="LSE1" t="s">
        <v>26302</v>
      </c>
      <c r="LSF1" t="s">
        <v>26303</v>
      </c>
      <c r="LSG1" t="s">
        <v>26304</v>
      </c>
      <c r="LSH1" t="s">
        <v>26305</v>
      </c>
      <c r="LSI1" t="s">
        <v>26306</v>
      </c>
      <c r="LSJ1" t="s">
        <v>26307</v>
      </c>
      <c r="LSK1" t="s">
        <v>26308</v>
      </c>
      <c r="LSL1" t="s">
        <v>26309</v>
      </c>
      <c r="LSM1" t="s">
        <v>26310</v>
      </c>
      <c r="LSN1" t="s">
        <v>26311</v>
      </c>
      <c r="LSO1" t="s">
        <v>26312</v>
      </c>
      <c r="LSP1" t="s">
        <v>26313</v>
      </c>
      <c r="LSQ1" t="s">
        <v>26314</v>
      </c>
      <c r="LSR1" t="s">
        <v>26315</v>
      </c>
      <c r="LSS1" t="s">
        <v>26316</v>
      </c>
      <c r="LST1" t="s">
        <v>26317</v>
      </c>
      <c r="LSU1" t="s">
        <v>26318</v>
      </c>
      <c r="LSV1" t="s">
        <v>26319</v>
      </c>
      <c r="LSW1" t="s">
        <v>26320</v>
      </c>
      <c r="LSX1" t="s">
        <v>26321</v>
      </c>
      <c r="LSY1" t="s">
        <v>26322</v>
      </c>
      <c r="LSZ1" t="s">
        <v>26323</v>
      </c>
      <c r="LTA1" t="s">
        <v>26324</v>
      </c>
      <c r="LTB1" t="s">
        <v>26325</v>
      </c>
      <c r="LTC1" t="s">
        <v>26326</v>
      </c>
      <c r="LTD1" t="s">
        <v>26327</v>
      </c>
      <c r="LTE1" t="s">
        <v>26328</v>
      </c>
      <c r="LTF1" t="s">
        <v>26329</v>
      </c>
      <c r="LTG1" t="s">
        <v>26330</v>
      </c>
      <c r="LTH1" t="s">
        <v>26331</v>
      </c>
      <c r="LTI1" t="s">
        <v>26332</v>
      </c>
      <c r="LTJ1" t="s">
        <v>26333</v>
      </c>
      <c r="LTK1" t="s">
        <v>26334</v>
      </c>
      <c r="LTL1" t="s">
        <v>26335</v>
      </c>
      <c r="LTM1" t="s">
        <v>26336</v>
      </c>
      <c r="LTN1" t="s">
        <v>26337</v>
      </c>
      <c r="LTO1" t="s">
        <v>26338</v>
      </c>
      <c r="LTP1" t="s">
        <v>26339</v>
      </c>
      <c r="LTQ1" t="s">
        <v>26340</v>
      </c>
      <c r="LTR1" t="s">
        <v>26341</v>
      </c>
      <c r="LTS1" t="s">
        <v>26342</v>
      </c>
      <c r="LTT1" t="s">
        <v>26343</v>
      </c>
      <c r="LTU1" t="s">
        <v>26344</v>
      </c>
      <c r="LTV1" t="s">
        <v>26345</v>
      </c>
      <c r="LTW1" t="s">
        <v>26346</v>
      </c>
      <c r="LTX1" t="s">
        <v>26347</v>
      </c>
      <c r="LTY1" t="s">
        <v>26348</v>
      </c>
      <c r="LTZ1" t="s">
        <v>26349</v>
      </c>
      <c r="LUA1" t="s">
        <v>26350</v>
      </c>
      <c r="LUB1" t="s">
        <v>26351</v>
      </c>
      <c r="LUC1" t="s">
        <v>26352</v>
      </c>
      <c r="LUD1" t="s">
        <v>26353</v>
      </c>
      <c r="LUE1" t="s">
        <v>26354</v>
      </c>
      <c r="LUF1" t="s">
        <v>26355</v>
      </c>
      <c r="LUG1" t="s">
        <v>26356</v>
      </c>
      <c r="LUH1" t="s">
        <v>26357</v>
      </c>
      <c r="LUI1" t="s">
        <v>26358</v>
      </c>
      <c r="LUJ1" t="s">
        <v>26359</v>
      </c>
      <c r="LUK1" t="s">
        <v>26360</v>
      </c>
      <c r="LUL1" t="s">
        <v>26361</v>
      </c>
      <c r="LUM1" t="s">
        <v>26362</v>
      </c>
      <c r="LUN1" t="s">
        <v>26363</v>
      </c>
      <c r="LUO1" t="s">
        <v>26364</v>
      </c>
      <c r="LUP1" t="s">
        <v>26365</v>
      </c>
      <c r="LUQ1" t="s">
        <v>26366</v>
      </c>
      <c r="LUR1" t="s">
        <v>26367</v>
      </c>
      <c r="LUS1" t="s">
        <v>26368</v>
      </c>
      <c r="LUT1" t="s">
        <v>26369</v>
      </c>
      <c r="LUU1" t="s">
        <v>26370</v>
      </c>
      <c r="LUV1" t="s">
        <v>26371</v>
      </c>
      <c r="LUW1" t="s">
        <v>26372</v>
      </c>
      <c r="LUX1" t="s">
        <v>26373</v>
      </c>
      <c r="LUY1" t="s">
        <v>26374</v>
      </c>
      <c r="LUZ1" t="s">
        <v>26375</v>
      </c>
      <c r="LVA1" t="s">
        <v>26376</v>
      </c>
      <c r="LVB1" t="s">
        <v>26377</v>
      </c>
      <c r="LVC1" t="s">
        <v>26378</v>
      </c>
      <c r="LVD1" t="s">
        <v>26379</v>
      </c>
      <c r="LVE1" t="s">
        <v>26380</v>
      </c>
      <c r="LVF1" t="s">
        <v>26381</v>
      </c>
      <c r="LVG1" t="s">
        <v>26382</v>
      </c>
      <c r="LVH1" t="s">
        <v>26383</v>
      </c>
      <c r="LVI1" t="s">
        <v>26384</v>
      </c>
      <c r="LVJ1" t="s">
        <v>26385</v>
      </c>
      <c r="LVK1" t="s">
        <v>26386</v>
      </c>
      <c r="LVL1" t="s">
        <v>26387</v>
      </c>
      <c r="LVM1" t="s">
        <v>26388</v>
      </c>
      <c r="LVN1" t="s">
        <v>26389</v>
      </c>
      <c r="LVO1" t="s">
        <v>26390</v>
      </c>
      <c r="LVP1" t="s">
        <v>26391</v>
      </c>
      <c r="LVQ1" t="s">
        <v>26392</v>
      </c>
      <c r="LVR1" t="s">
        <v>26393</v>
      </c>
      <c r="LVS1" t="s">
        <v>26394</v>
      </c>
      <c r="LVT1" t="s">
        <v>26395</v>
      </c>
      <c r="LVU1" t="s">
        <v>26396</v>
      </c>
      <c r="LVV1" t="s">
        <v>26397</v>
      </c>
      <c r="LVW1" t="s">
        <v>26398</v>
      </c>
      <c r="LVX1" t="s">
        <v>26399</v>
      </c>
      <c r="LVY1" t="s">
        <v>26400</v>
      </c>
      <c r="LVZ1" t="s">
        <v>26401</v>
      </c>
      <c r="LWA1" t="s">
        <v>26402</v>
      </c>
      <c r="LWB1" t="s">
        <v>26403</v>
      </c>
      <c r="LWC1" t="s">
        <v>26404</v>
      </c>
      <c r="LWD1" t="s">
        <v>26405</v>
      </c>
      <c r="LWE1" t="s">
        <v>26406</v>
      </c>
      <c r="LWF1" t="s">
        <v>26407</v>
      </c>
      <c r="LWG1" t="s">
        <v>26408</v>
      </c>
      <c r="LWH1" t="s">
        <v>26409</v>
      </c>
      <c r="LWI1" t="s">
        <v>26410</v>
      </c>
      <c r="LWJ1" t="s">
        <v>26411</v>
      </c>
      <c r="LWK1" t="s">
        <v>26412</v>
      </c>
      <c r="LWL1" t="s">
        <v>26413</v>
      </c>
      <c r="LWM1" t="s">
        <v>26414</v>
      </c>
      <c r="LWN1" t="s">
        <v>26415</v>
      </c>
      <c r="LWO1" t="s">
        <v>26416</v>
      </c>
      <c r="LWP1" t="s">
        <v>26417</v>
      </c>
      <c r="LWQ1" t="s">
        <v>26418</v>
      </c>
      <c r="LWR1" t="s">
        <v>26419</v>
      </c>
      <c r="LWS1" t="s">
        <v>26420</v>
      </c>
      <c r="LWT1" t="s">
        <v>26421</v>
      </c>
      <c r="LWU1" t="s">
        <v>26422</v>
      </c>
      <c r="LWV1" t="s">
        <v>26423</v>
      </c>
      <c r="LWW1" t="s">
        <v>26424</v>
      </c>
      <c r="LWX1" t="s">
        <v>26425</v>
      </c>
      <c r="LWY1" t="s">
        <v>26426</v>
      </c>
      <c r="LWZ1" t="s">
        <v>26427</v>
      </c>
      <c r="LXA1" t="s">
        <v>26428</v>
      </c>
      <c r="LXB1" t="s">
        <v>26429</v>
      </c>
      <c r="LXC1" t="s">
        <v>26430</v>
      </c>
      <c r="LXD1" t="s">
        <v>26431</v>
      </c>
      <c r="LXE1" t="s">
        <v>26432</v>
      </c>
      <c r="LXF1" t="s">
        <v>26433</v>
      </c>
      <c r="LXG1" t="s">
        <v>26434</v>
      </c>
      <c r="LXH1" t="s">
        <v>26435</v>
      </c>
      <c r="LXI1" t="s">
        <v>26436</v>
      </c>
      <c r="LXJ1" t="s">
        <v>26437</v>
      </c>
      <c r="LXK1" t="s">
        <v>26438</v>
      </c>
      <c r="LXL1" t="s">
        <v>26439</v>
      </c>
      <c r="LXM1" t="s">
        <v>26440</v>
      </c>
      <c r="LXN1" t="s">
        <v>26441</v>
      </c>
      <c r="LXO1" t="s">
        <v>26442</v>
      </c>
      <c r="LXP1" t="s">
        <v>26443</v>
      </c>
      <c r="LXQ1" t="s">
        <v>26444</v>
      </c>
      <c r="LXR1" t="s">
        <v>26445</v>
      </c>
      <c r="LXS1" t="s">
        <v>26446</v>
      </c>
      <c r="LXT1" t="s">
        <v>26447</v>
      </c>
      <c r="LXU1" t="s">
        <v>26448</v>
      </c>
      <c r="LXV1" t="s">
        <v>26449</v>
      </c>
      <c r="LXW1" t="s">
        <v>26450</v>
      </c>
      <c r="LXX1" t="s">
        <v>26451</v>
      </c>
      <c r="LXY1" t="s">
        <v>26452</v>
      </c>
      <c r="LXZ1" t="s">
        <v>26453</v>
      </c>
      <c r="LYA1" t="s">
        <v>26454</v>
      </c>
      <c r="LYB1" t="s">
        <v>26455</v>
      </c>
      <c r="LYC1" t="s">
        <v>26456</v>
      </c>
      <c r="LYD1" t="s">
        <v>26457</v>
      </c>
      <c r="LYE1" t="s">
        <v>26458</v>
      </c>
      <c r="LYF1" t="s">
        <v>26459</v>
      </c>
      <c r="LYG1" t="s">
        <v>26460</v>
      </c>
      <c r="LYH1" t="s">
        <v>26461</v>
      </c>
      <c r="LYI1" t="s">
        <v>26462</v>
      </c>
      <c r="LYJ1" t="s">
        <v>26463</v>
      </c>
      <c r="LYK1" t="s">
        <v>26464</v>
      </c>
      <c r="LYL1" t="s">
        <v>26465</v>
      </c>
      <c r="LYM1" t="s">
        <v>26466</v>
      </c>
      <c r="LYN1" t="s">
        <v>26467</v>
      </c>
      <c r="LYO1" t="s">
        <v>26468</v>
      </c>
      <c r="LYP1" t="s">
        <v>26469</v>
      </c>
      <c r="LYQ1" t="s">
        <v>26470</v>
      </c>
      <c r="LYR1" t="s">
        <v>26471</v>
      </c>
      <c r="LYS1" t="s">
        <v>26472</v>
      </c>
      <c r="LYT1" t="s">
        <v>26473</v>
      </c>
      <c r="LYU1" t="s">
        <v>26474</v>
      </c>
      <c r="LYV1" t="s">
        <v>26475</v>
      </c>
      <c r="LYW1" t="s">
        <v>26476</v>
      </c>
      <c r="LYX1" t="s">
        <v>26477</v>
      </c>
      <c r="LYY1" t="s">
        <v>26478</v>
      </c>
      <c r="LYZ1" t="s">
        <v>26479</v>
      </c>
      <c r="LZA1" t="s">
        <v>26480</v>
      </c>
      <c r="LZB1" t="s">
        <v>26481</v>
      </c>
      <c r="LZC1" t="s">
        <v>26482</v>
      </c>
      <c r="LZD1" t="s">
        <v>26483</v>
      </c>
      <c r="LZE1" t="s">
        <v>26484</v>
      </c>
      <c r="LZF1" t="s">
        <v>26485</v>
      </c>
      <c r="LZG1" t="s">
        <v>26486</v>
      </c>
      <c r="LZH1" t="s">
        <v>26487</v>
      </c>
      <c r="LZI1" t="s">
        <v>26488</v>
      </c>
      <c r="LZJ1" t="s">
        <v>26489</v>
      </c>
      <c r="LZK1" t="s">
        <v>26490</v>
      </c>
      <c r="LZL1" t="s">
        <v>26491</v>
      </c>
      <c r="LZM1" t="s">
        <v>26492</v>
      </c>
      <c r="LZN1" t="s">
        <v>26493</v>
      </c>
      <c r="LZO1" t="s">
        <v>26494</v>
      </c>
      <c r="LZP1" t="s">
        <v>26495</v>
      </c>
      <c r="LZQ1" t="s">
        <v>26496</v>
      </c>
      <c r="LZR1" t="s">
        <v>26497</v>
      </c>
      <c r="LZS1" t="s">
        <v>26498</v>
      </c>
      <c r="LZT1" t="s">
        <v>26499</v>
      </c>
      <c r="LZU1" t="s">
        <v>26500</v>
      </c>
      <c r="LZV1" t="s">
        <v>26501</v>
      </c>
      <c r="LZW1" t="s">
        <v>26502</v>
      </c>
      <c r="LZX1" t="s">
        <v>26503</v>
      </c>
      <c r="LZY1" t="s">
        <v>26504</v>
      </c>
      <c r="LZZ1" t="s">
        <v>26505</v>
      </c>
      <c r="MAA1" t="s">
        <v>26506</v>
      </c>
      <c r="MAB1" t="s">
        <v>26507</v>
      </c>
      <c r="MAC1" t="s">
        <v>26508</v>
      </c>
      <c r="MAD1" t="s">
        <v>26509</v>
      </c>
      <c r="MAE1" t="s">
        <v>26510</v>
      </c>
      <c r="MAF1" t="s">
        <v>26511</v>
      </c>
      <c r="MAG1" t="s">
        <v>26512</v>
      </c>
      <c r="MAH1" t="s">
        <v>26513</v>
      </c>
      <c r="MAI1" t="s">
        <v>26514</v>
      </c>
      <c r="MAJ1" t="s">
        <v>26515</v>
      </c>
      <c r="MAK1" t="s">
        <v>26516</v>
      </c>
      <c r="MAL1" t="s">
        <v>26517</v>
      </c>
      <c r="MAM1" t="s">
        <v>26518</v>
      </c>
      <c r="MAN1" t="s">
        <v>26519</v>
      </c>
      <c r="MAO1" t="s">
        <v>26520</v>
      </c>
      <c r="MAP1" t="s">
        <v>26521</v>
      </c>
      <c r="MAQ1" t="s">
        <v>26522</v>
      </c>
      <c r="MAR1" t="s">
        <v>26523</v>
      </c>
      <c r="MAS1" t="s">
        <v>26524</v>
      </c>
      <c r="MAT1" t="s">
        <v>26525</v>
      </c>
      <c r="MAU1" t="s">
        <v>26526</v>
      </c>
      <c r="MAV1" t="s">
        <v>26527</v>
      </c>
      <c r="MAW1" t="s">
        <v>26528</v>
      </c>
      <c r="MAX1" t="s">
        <v>26529</v>
      </c>
      <c r="MAY1" t="s">
        <v>26530</v>
      </c>
      <c r="MAZ1" t="s">
        <v>26531</v>
      </c>
      <c r="MBA1" t="s">
        <v>26532</v>
      </c>
      <c r="MBB1" t="s">
        <v>26533</v>
      </c>
      <c r="MBC1" t="s">
        <v>26534</v>
      </c>
      <c r="MBD1" t="s">
        <v>26535</v>
      </c>
      <c r="MBE1" t="s">
        <v>26536</v>
      </c>
      <c r="MBF1" t="s">
        <v>26537</v>
      </c>
      <c r="MBG1" t="s">
        <v>26538</v>
      </c>
      <c r="MBH1" t="s">
        <v>26539</v>
      </c>
      <c r="MBI1" t="s">
        <v>26540</v>
      </c>
      <c r="MBJ1" t="s">
        <v>26541</v>
      </c>
      <c r="MBK1" t="s">
        <v>26542</v>
      </c>
      <c r="MBL1" t="s">
        <v>26543</v>
      </c>
      <c r="MBM1" t="s">
        <v>26544</v>
      </c>
      <c r="MBN1" t="s">
        <v>26545</v>
      </c>
      <c r="MBO1" t="s">
        <v>26546</v>
      </c>
      <c r="MBP1" t="s">
        <v>26547</v>
      </c>
      <c r="MBQ1" t="s">
        <v>26548</v>
      </c>
      <c r="MBR1" t="s">
        <v>26549</v>
      </c>
      <c r="MBS1" t="s">
        <v>26550</v>
      </c>
      <c r="MBT1" t="s">
        <v>26551</v>
      </c>
      <c r="MBU1" t="s">
        <v>26552</v>
      </c>
      <c r="MBV1" t="s">
        <v>26553</v>
      </c>
      <c r="MBW1" t="s">
        <v>26554</v>
      </c>
      <c r="MBX1" t="s">
        <v>26555</v>
      </c>
      <c r="MBY1" t="s">
        <v>26556</v>
      </c>
      <c r="MBZ1" t="s">
        <v>26557</v>
      </c>
      <c r="MCA1" t="s">
        <v>26558</v>
      </c>
      <c r="MCB1" t="s">
        <v>26559</v>
      </c>
      <c r="MCC1" t="s">
        <v>26560</v>
      </c>
      <c r="MCD1" t="s">
        <v>26561</v>
      </c>
      <c r="MCE1" t="s">
        <v>26562</v>
      </c>
      <c r="MCF1" t="s">
        <v>26563</v>
      </c>
      <c r="MCG1" t="s">
        <v>26564</v>
      </c>
      <c r="MCH1" t="s">
        <v>26565</v>
      </c>
      <c r="MCI1" t="s">
        <v>26566</v>
      </c>
      <c r="MCJ1" t="s">
        <v>26567</v>
      </c>
      <c r="MCK1" t="s">
        <v>26568</v>
      </c>
      <c r="MCL1" t="s">
        <v>26569</v>
      </c>
      <c r="MCM1" t="s">
        <v>26570</v>
      </c>
      <c r="MCN1" t="s">
        <v>26571</v>
      </c>
      <c r="MCO1" t="s">
        <v>26572</v>
      </c>
      <c r="MCP1" t="s">
        <v>26573</v>
      </c>
      <c r="MCQ1" t="s">
        <v>26574</v>
      </c>
      <c r="MCR1" t="s">
        <v>26575</v>
      </c>
      <c r="MCS1" t="s">
        <v>26576</v>
      </c>
      <c r="MCT1" t="s">
        <v>26577</v>
      </c>
      <c r="MCU1" t="s">
        <v>26578</v>
      </c>
      <c r="MCV1" t="s">
        <v>26579</v>
      </c>
      <c r="MCW1" t="s">
        <v>26580</v>
      </c>
      <c r="MCX1" t="s">
        <v>26581</v>
      </c>
      <c r="MCY1" t="s">
        <v>26582</v>
      </c>
      <c r="MCZ1" t="s">
        <v>26583</v>
      </c>
      <c r="MDA1" t="s">
        <v>26584</v>
      </c>
      <c r="MDB1" t="s">
        <v>26585</v>
      </c>
      <c r="MDC1" t="s">
        <v>26586</v>
      </c>
      <c r="MDD1" t="s">
        <v>26587</v>
      </c>
      <c r="MDE1" t="s">
        <v>26588</v>
      </c>
      <c r="MDF1" t="s">
        <v>26589</v>
      </c>
      <c r="MDG1" t="s">
        <v>26590</v>
      </c>
      <c r="MDH1" t="s">
        <v>26591</v>
      </c>
      <c r="MDI1" t="s">
        <v>26592</v>
      </c>
      <c r="MDJ1" t="s">
        <v>26593</v>
      </c>
      <c r="MDK1" t="s">
        <v>26594</v>
      </c>
      <c r="MDL1" t="s">
        <v>26595</v>
      </c>
      <c r="MDM1" t="s">
        <v>26596</v>
      </c>
      <c r="MDN1" t="s">
        <v>26597</v>
      </c>
      <c r="MDO1" t="s">
        <v>26598</v>
      </c>
      <c r="MDP1" t="s">
        <v>26599</v>
      </c>
      <c r="MDQ1" t="s">
        <v>26600</v>
      </c>
      <c r="MDR1" t="s">
        <v>26601</v>
      </c>
      <c r="MDS1" t="s">
        <v>26602</v>
      </c>
      <c r="MDT1" t="s">
        <v>26603</v>
      </c>
      <c r="MDU1" t="s">
        <v>26604</v>
      </c>
      <c r="MDV1" t="s">
        <v>26605</v>
      </c>
      <c r="MDW1" t="s">
        <v>26606</v>
      </c>
      <c r="MDX1" t="s">
        <v>26607</v>
      </c>
      <c r="MDY1" t="s">
        <v>26608</v>
      </c>
      <c r="MDZ1" t="s">
        <v>26609</v>
      </c>
      <c r="MEA1" t="s">
        <v>26610</v>
      </c>
      <c r="MEB1" t="s">
        <v>26611</v>
      </c>
      <c r="MEC1" t="s">
        <v>26612</v>
      </c>
      <c r="MED1" t="s">
        <v>26613</v>
      </c>
      <c r="MEE1" t="s">
        <v>26614</v>
      </c>
      <c r="MEF1" t="s">
        <v>26615</v>
      </c>
      <c r="MEG1" t="s">
        <v>26616</v>
      </c>
      <c r="MEH1" t="s">
        <v>26617</v>
      </c>
      <c r="MEI1" t="s">
        <v>26618</v>
      </c>
      <c r="MEJ1" t="s">
        <v>26619</v>
      </c>
      <c r="MEK1" t="s">
        <v>26620</v>
      </c>
      <c r="MEL1" t="s">
        <v>26621</v>
      </c>
      <c r="MEM1" t="s">
        <v>26622</v>
      </c>
      <c r="MEN1" t="s">
        <v>26623</v>
      </c>
      <c r="MEO1" t="s">
        <v>26624</v>
      </c>
      <c r="MEP1" t="s">
        <v>26625</v>
      </c>
      <c r="MEQ1" t="s">
        <v>26626</v>
      </c>
      <c r="MER1" t="s">
        <v>26627</v>
      </c>
      <c r="MES1" t="s">
        <v>26628</v>
      </c>
      <c r="MET1" t="s">
        <v>26629</v>
      </c>
      <c r="MEU1" t="s">
        <v>26630</v>
      </c>
      <c r="MEV1" t="s">
        <v>26631</v>
      </c>
      <c r="MEW1" t="s">
        <v>26632</v>
      </c>
      <c r="MEX1" t="s">
        <v>26633</v>
      </c>
      <c r="MEY1" t="s">
        <v>26634</v>
      </c>
      <c r="MEZ1" t="s">
        <v>26635</v>
      </c>
      <c r="MFA1" t="s">
        <v>26636</v>
      </c>
      <c r="MFB1" t="s">
        <v>26637</v>
      </c>
      <c r="MFC1" t="s">
        <v>26638</v>
      </c>
      <c r="MFD1" t="s">
        <v>26639</v>
      </c>
      <c r="MFE1" t="s">
        <v>26640</v>
      </c>
      <c r="MFF1" t="s">
        <v>26641</v>
      </c>
      <c r="MFG1" t="s">
        <v>26642</v>
      </c>
      <c r="MFH1" t="s">
        <v>26643</v>
      </c>
      <c r="MFI1" t="s">
        <v>26644</v>
      </c>
      <c r="MFJ1" t="s">
        <v>26645</v>
      </c>
      <c r="MFK1" t="s">
        <v>26646</v>
      </c>
      <c r="MFL1" t="s">
        <v>26647</v>
      </c>
      <c r="MFM1" t="s">
        <v>26648</v>
      </c>
      <c r="MFN1" t="s">
        <v>26649</v>
      </c>
      <c r="MFO1" t="s">
        <v>26650</v>
      </c>
      <c r="MFP1" t="s">
        <v>26651</v>
      </c>
      <c r="MFQ1" t="s">
        <v>26652</v>
      </c>
      <c r="MFR1" t="s">
        <v>26653</v>
      </c>
      <c r="MFS1" t="s">
        <v>26654</v>
      </c>
      <c r="MFT1" t="s">
        <v>26655</v>
      </c>
      <c r="MFU1" t="s">
        <v>26656</v>
      </c>
      <c r="MFV1" t="s">
        <v>26657</v>
      </c>
      <c r="MFW1" t="s">
        <v>26658</v>
      </c>
      <c r="MFX1" t="s">
        <v>26659</v>
      </c>
      <c r="MFY1" t="s">
        <v>26660</v>
      </c>
      <c r="MFZ1" t="s">
        <v>26661</v>
      </c>
      <c r="MGA1" t="s">
        <v>26662</v>
      </c>
      <c r="MGB1" t="s">
        <v>26663</v>
      </c>
      <c r="MGC1" t="s">
        <v>26664</v>
      </c>
      <c r="MGD1" t="s">
        <v>26665</v>
      </c>
      <c r="MGE1" t="s">
        <v>26666</v>
      </c>
      <c r="MGF1" t="s">
        <v>26667</v>
      </c>
      <c r="MGG1" t="s">
        <v>26668</v>
      </c>
      <c r="MGH1" t="s">
        <v>26669</v>
      </c>
      <c r="MGI1" t="s">
        <v>26670</v>
      </c>
      <c r="MGJ1" t="s">
        <v>26671</v>
      </c>
      <c r="MGK1" t="s">
        <v>26672</v>
      </c>
      <c r="MGL1" t="s">
        <v>26673</v>
      </c>
      <c r="MGM1" t="s">
        <v>26674</v>
      </c>
      <c r="MGN1" t="s">
        <v>26675</v>
      </c>
      <c r="MGO1" t="s">
        <v>26676</v>
      </c>
      <c r="MGP1" t="s">
        <v>26677</v>
      </c>
      <c r="MGQ1" t="s">
        <v>26678</v>
      </c>
      <c r="MGR1" t="s">
        <v>26679</v>
      </c>
      <c r="MGS1" t="s">
        <v>26680</v>
      </c>
      <c r="MGT1" t="s">
        <v>26681</v>
      </c>
      <c r="MGU1" t="s">
        <v>26682</v>
      </c>
      <c r="MGV1" t="s">
        <v>26683</v>
      </c>
      <c r="MGW1" t="s">
        <v>26684</v>
      </c>
      <c r="MGX1" t="s">
        <v>26685</v>
      </c>
      <c r="MGY1" t="s">
        <v>26686</v>
      </c>
      <c r="MGZ1" t="s">
        <v>26687</v>
      </c>
      <c r="MHA1" t="s">
        <v>26688</v>
      </c>
      <c r="MHB1" t="s">
        <v>26689</v>
      </c>
      <c r="MHC1" t="s">
        <v>26690</v>
      </c>
      <c r="MHD1" t="s">
        <v>26691</v>
      </c>
      <c r="MHE1" t="s">
        <v>26692</v>
      </c>
      <c r="MHF1" t="s">
        <v>26693</v>
      </c>
      <c r="MHG1" t="s">
        <v>26694</v>
      </c>
      <c r="MHH1" t="s">
        <v>26695</v>
      </c>
      <c r="MHI1" t="s">
        <v>26696</v>
      </c>
      <c r="MHJ1" t="s">
        <v>26697</v>
      </c>
      <c r="MHK1" t="s">
        <v>26698</v>
      </c>
      <c r="MHL1" t="s">
        <v>26699</v>
      </c>
      <c r="MHM1" t="s">
        <v>26700</v>
      </c>
      <c r="MHN1" t="s">
        <v>26701</v>
      </c>
      <c r="MHO1" t="s">
        <v>26702</v>
      </c>
      <c r="MHP1" t="s">
        <v>26703</v>
      </c>
      <c r="MHQ1" t="s">
        <v>26704</v>
      </c>
      <c r="MHR1" t="s">
        <v>26705</v>
      </c>
      <c r="MHS1" t="s">
        <v>26706</v>
      </c>
      <c r="MHT1" t="s">
        <v>26707</v>
      </c>
      <c r="MHU1" t="s">
        <v>26708</v>
      </c>
      <c r="MHV1" t="s">
        <v>26709</v>
      </c>
      <c r="MHW1" t="s">
        <v>26710</v>
      </c>
      <c r="MHX1" t="s">
        <v>26711</v>
      </c>
      <c r="MHY1" t="s">
        <v>26712</v>
      </c>
      <c r="MHZ1" t="s">
        <v>26713</v>
      </c>
      <c r="MIA1" t="s">
        <v>26714</v>
      </c>
      <c r="MIB1" t="s">
        <v>26715</v>
      </c>
      <c r="MIC1" t="s">
        <v>26716</v>
      </c>
      <c r="MID1" t="s">
        <v>26717</v>
      </c>
      <c r="MIE1" t="s">
        <v>26718</v>
      </c>
      <c r="MIF1" t="s">
        <v>26719</v>
      </c>
      <c r="MIG1" t="s">
        <v>26720</v>
      </c>
      <c r="MIH1" t="s">
        <v>26721</v>
      </c>
      <c r="MII1" t="s">
        <v>26722</v>
      </c>
      <c r="MIJ1" t="s">
        <v>26723</v>
      </c>
      <c r="MIK1" t="s">
        <v>26724</v>
      </c>
      <c r="MIL1" t="s">
        <v>26725</v>
      </c>
      <c r="MIM1" t="s">
        <v>26726</v>
      </c>
      <c r="MIN1" t="s">
        <v>26727</v>
      </c>
      <c r="MIO1" t="s">
        <v>26728</v>
      </c>
      <c r="MIP1" t="s">
        <v>26729</v>
      </c>
      <c r="MIQ1" t="s">
        <v>26730</v>
      </c>
      <c r="MIR1" t="s">
        <v>26731</v>
      </c>
      <c r="MIS1" t="s">
        <v>26732</v>
      </c>
      <c r="MIT1" t="s">
        <v>26733</v>
      </c>
      <c r="MIU1" t="s">
        <v>26734</v>
      </c>
      <c r="MIV1" t="s">
        <v>26735</v>
      </c>
      <c r="MIW1" t="s">
        <v>26736</v>
      </c>
      <c r="MIX1" t="s">
        <v>26737</v>
      </c>
      <c r="MIY1" t="s">
        <v>26738</v>
      </c>
      <c r="MIZ1" t="s">
        <v>26739</v>
      </c>
      <c r="MJA1" t="s">
        <v>26740</v>
      </c>
      <c r="MJB1" t="s">
        <v>26741</v>
      </c>
      <c r="MJC1" t="s">
        <v>26742</v>
      </c>
      <c r="MJD1" t="s">
        <v>26743</v>
      </c>
      <c r="MJE1" t="s">
        <v>26744</v>
      </c>
      <c r="MJF1" t="s">
        <v>26745</v>
      </c>
      <c r="MJG1" t="s">
        <v>26746</v>
      </c>
      <c r="MJH1" t="s">
        <v>26747</v>
      </c>
      <c r="MJI1" t="s">
        <v>26748</v>
      </c>
      <c r="MJJ1" t="s">
        <v>26749</v>
      </c>
      <c r="MJK1" t="s">
        <v>26750</v>
      </c>
      <c r="MJL1" t="s">
        <v>26751</v>
      </c>
      <c r="MJM1" t="s">
        <v>26752</v>
      </c>
      <c r="MJN1" t="s">
        <v>26753</v>
      </c>
      <c r="MJO1" t="s">
        <v>26754</v>
      </c>
      <c r="MJP1" t="s">
        <v>26755</v>
      </c>
      <c r="MJQ1" t="s">
        <v>26756</v>
      </c>
      <c r="MJR1" t="s">
        <v>26757</v>
      </c>
      <c r="MJS1" t="s">
        <v>26758</v>
      </c>
      <c r="MJT1" t="s">
        <v>26759</v>
      </c>
      <c r="MJU1" t="s">
        <v>26760</v>
      </c>
      <c r="MJV1" t="s">
        <v>26761</v>
      </c>
      <c r="MJW1" t="s">
        <v>26762</v>
      </c>
      <c r="MJX1" t="s">
        <v>26763</v>
      </c>
      <c r="MJY1" t="s">
        <v>26764</v>
      </c>
      <c r="MJZ1" t="s">
        <v>26765</v>
      </c>
      <c r="MKA1" t="s">
        <v>26766</v>
      </c>
      <c r="MKB1" t="s">
        <v>26767</v>
      </c>
      <c r="MKC1" t="s">
        <v>26768</v>
      </c>
      <c r="MKD1" t="s">
        <v>26769</v>
      </c>
      <c r="MKE1" t="s">
        <v>26770</v>
      </c>
      <c r="MKF1" t="s">
        <v>26771</v>
      </c>
      <c r="MKG1" t="s">
        <v>26772</v>
      </c>
      <c r="MKH1" t="s">
        <v>26773</v>
      </c>
      <c r="MKI1" t="s">
        <v>26774</v>
      </c>
      <c r="MKJ1" t="s">
        <v>26775</v>
      </c>
      <c r="MKK1" t="s">
        <v>26776</v>
      </c>
      <c r="MKL1" t="s">
        <v>26777</v>
      </c>
      <c r="MKM1" t="s">
        <v>26778</v>
      </c>
      <c r="MKN1" t="s">
        <v>26779</v>
      </c>
      <c r="MKO1" t="s">
        <v>26780</v>
      </c>
      <c r="MKP1" t="s">
        <v>26781</v>
      </c>
      <c r="MKQ1" t="s">
        <v>26782</v>
      </c>
      <c r="MKR1" t="s">
        <v>26783</v>
      </c>
      <c r="MKS1" t="s">
        <v>26784</v>
      </c>
      <c r="MKT1" t="s">
        <v>26785</v>
      </c>
      <c r="MKU1" t="s">
        <v>26786</v>
      </c>
      <c r="MKV1" t="s">
        <v>26787</v>
      </c>
      <c r="MKW1" t="s">
        <v>26788</v>
      </c>
      <c r="MKX1" t="s">
        <v>26789</v>
      </c>
      <c r="MKY1" t="s">
        <v>26790</v>
      </c>
      <c r="MKZ1" t="s">
        <v>26791</v>
      </c>
      <c r="MLA1" t="s">
        <v>26792</v>
      </c>
      <c r="MLB1" t="s">
        <v>26793</v>
      </c>
      <c r="MLC1" t="s">
        <v>26794</v>
      </c>
      <c r="MLD1" t="s">
        <v>26795</v>
      </c>
      <c r="MLE1" t="s">
        <v>26796</v>
      </c>
      <c r="MLF1" t="s">
        <v>26797</v>
      </c>
      <c r="MLG1" t="s">
        <v>26798</v>
      </c>
      <c r="MLH1" t="s">
        <v>26799</v>
      </c>
      <c r="MLI1" t="s">
        <v>26800</v>
      </c>
      <c r="MLJ1" t="s">
        <v>26801</v>
      </c>
      <c r="MLK1" t="s">
        <v>26802</v>
      </c>
      <c r="MLL1" t="s">
        <v>26803</v>
      </c>
      <c r="MLM1" t="s">
        <v>26804</v>
      </c>
      <c r="MLN1" t="s">
        <v>26805</v>
      </c>
      <c r="MLO1" t="s">
        <v>26806</v>
      </c>
      <c r="MLP1" t="s">
        <v>26807</v>
      </c>
      <c r="MLQ1" t="s">
        <v>26808</v>
      </c>
      <c r="MLR1" t="s">
        <v>26809</v>
      </c>
      <c r="MLS1" t="s">
        <v>26810</v>
      </c>
      <c r="MLT1" t="s">
        <v>26811</v>
      </c>
      <c r="MLU1" t="s">
        <v>26812</v>
      </c>
      <c r="MLV1" t="s">
        <v>26813</v>
      </c>
      <c r="MLW1" t="s">
        <v>26814</v>
      </c>
      <c r="MLX1" t="s">
        <v>26815</v>
      </c>
      <c r="MLY1" t="s">
        <v>26816</v>
      </c>
      <c r="MLZ1" t="s">
        <v>26817</v>
      </c>
      <c r="MMA1" t="s">
        <v>26818</v>
      </c>
      <c r="MMB1" t="s">
        <v>26819</v>
      </c>
      <c r="MMC1" t="s">
        <v>26820</v>
      </c>
      <c r="MMD1" t="s">
        <v>26821</v>
      </c>
      <c r="MME1" t="s">
        <v>26822</v>
      </c>
      <c r="MMF1" t="s">
        <v>26823</v>
      </c>
      <c r="MMG1" t="s">
        <v>26824</v>
      </c>
      <c r="MMH1" t="s">
        <v>26825</v>
      </c>
      <c r="MMI1" t="s">
        <v>26826</v>
      </c>
      <c r="MMJ1" t="s">
        <v>26827</v>
      </c>
      <c r="MMK1" t="s">
        <v>26828</v>
      </c>
      <c r="MML1" t="s">
        <v>26829</v>
      </c>
      <c r="MMM1" t="s">
        <v>26830</v>
      </c>
      <c r="MMN1" t="s">
        <v>26831</v>
      </c>
      <c r="MMO1" t="s">
        <v>26832</v>
      </c>
      <c r="MMP1" t="s">
        <v>26833</v>
      </c>
      <c r="MMQ1" t="s">
        <v>26834</v>
      </c>
      <c r="MMR1" t="s">
        <v>26835</v>
      </c>
      <c r="MMS1" t="s">
        <v>26836</v>
      </c>
      <c r="MMT1" t="s">
        <v>26837</v>
      </c>
      <c r="MMU1" t="s">
        <v>26838</v>
      </c>
      <c r="MMV1" t="s">
        <v>26839</v>
      </c>
      <c r="MMW1" t="s">
        <v>26840</v>
      </c>
      <c r="MMX1" t="s">
        <v>26841</v>
      </c>
      <c r="MMY1" t="s">
        <v>26842</v>
      </c>
      <c r="MMZ1" t="s">
        <v>26843</v>
      </c>
      <c r="MNA1" t="s">
        <v>26844</v>
      </c>
      <c r="MNB1" t="s">
        <v>26845</v>
      </c>
      <c r="MNC1" t="s">
        <v>26846</v>
      </c>
      <c r="MND1" t="s">
        <v>26847</v>
      </c>
      <c r="MNE1" t="s">
        <v>26848</v>
      </c>
      <c r="MNF1" t="s">
        <v>26849</v>
      </c>
      <c r="MNG1" t="s">
        <v>26850</v>
      </c>
      <c r="MNH1" t="s">
        <v>26851</v>
      </c>
      <c r="MNI1" t="s">
        <v>26852</v>
      </c>
      <c r="MNJ1" t="s">
        <v>26853</v>
      </c>
      <c r="MNK1" t="s">
        <v>26854</v>
      </c>
      <c r="MNL1" t="s">
        <v>26855</v>
      </c>
      <c r="MNM1" t="s">
        <v>26856</v>
      </c>
      <c r="MNN1" t="s">
        <v>26857</v>
      </c>
      <c r="MNO1" t="s">
        <v>26858</v>
      </c>
      <c r="MNP1" t="s">
        <v>26859</v>
      </c>
      <c r="MNQ1" t="s">
        <v>26860</v>
      </c>
      <c r="MNR1" t="s">
        <v>26861</v>
      </c>
      <c r="MNS1" t="s">
        <v>26862</v>
      </c>
      <c r="MNT1" t="s">
        <v>26863</v>
      </c>
      <c r="MNU1" t="s">
        <v>26864</v>
      </c>
      <c r="MNV1" t="s">
        <v>26865</v>
      </c>
      <c r="MNW1" t="s">
        <v>26866</v>
      </c>
      <c r="MNX1" t="s">
        <v>26867</v>
      </c>
      <c r="MNY1" t="s">
        <v>26868</v>
      </c>
      <c r="MNZ1" t="s">
        <v>26869</v>
      </c>
      <c r="MOA1" t="s">
        <v>26870</v>
      </c>
      <c r="MOB1" t="s">
        <v>26871</v>
      </c>
      <c r="MOC1" t="s">
        <v>26872</v>
      </c>
      <c r="MOD1" t="s">
        <v>26873</v>
      </c>
      <c r="MOE1" t="s">
        <v>26874</v>
      </c>
      <c r="MOF1" t="s">
        <v>26875</v>
      </c>
      <c r="MOG1" t="s">
        <v>26876</v>
      </c>
      <c r="MOH1" t="s">
        <v>26877</v>
      </c>
      <c r="MOI1" t="s">
        <v>26878</v>
      </c>
      <c r="MOJ1" t="s">
        <v>26879</v>
      </c>
      <c r="MOK1" t="s">
        <v>26880</v>
      </c>
      <c r="MOL1" t="s">
        <v>26881</v>
      </c>
      <c r="MOM1" t="s">
        <v>26882</v>
      </c>
      <c r="MON1" t="s">
        <v>26883</v>
      </c>
      <c r="MOO1" t="s">
        <v>26884</v>
      </c>
      <c r="MOP1" t="s">
        <v>26885</v>
      </c>
      <c r="MOQ1" t="s">
        <v>26886</v>
      </c>
      <c r="MOR1" t="s">
        <v>26887</v>
      </c>
      <c r="MOS1" t="s">
        <v>26888</v>
      </c>
      <c r="MOT1" t="s">
        <v>26889</v>
      </c>
      <c r="MOU1" t="s">
        <v>26890</v>
      </c>
      <c r="MOV1" t="s">
        <v>26891</v>
      </c>
      <c r="MOW1" t="s">
        <v>26892</v>
      </c>
      <c r="MOX1" t="s">
        <v>26893</v>
      </c>
      <c r="MOY1" t="s">
        <v>26894</v>
      </c>
      <c r="MOZ1" t="s">
        <v>26895</v>
      </c>
      <c r="MPA1" t="s">
        <v>26896</v>
      </c>
      <c r="MPB1" t="s">
        <v>26897</v>
      </c>
      <c r="MPC1" t="s">
        <v>26898</v>
      </c>
      <c r="MPD1" t="s">
        <v>26899</v>
      </c>
      <c r="MPE1" t="s">
        <v>26900</v>
      </c>
      <c r="MPF1" t="s">
        <v>26901</v>
      </c>
      <c r="MPG1" t="s">
        <v>26902</v>
      </c>
      <c r="MPH1" t="s">
        <v>26903</v>
      </c>
      <c r="MPI1" t="s">
        <v>26904</v>
      </c>
      <c r="MPJ1" t="s">
        <v>26905</v>
      </c>
      <c r="MPK1" t="s">
        <v>26906</v>
      </c>
      <c r="MPL1" t="s">
        <v>26907</v>
      </c>
      <c r="MPM1" t="s">
        <v>26908</v>
      </c>
      <c r="MPN1" t="s">
        <v>26909</v>
      </c>
      <c r="MPO1" t="s">
        <v>26910</v>
      </c>
      <c r="MPP1" t="s">
        <v>26911</v>
      </c>
      <c r="MPQ1" t="s">
        <v>26912</v>
      </c>
      <c r="MPR1" t="s">
        <v>26913</v>
      </c>
      <c r="MPS1" t="s">
        <v>26914</v>
      </c>
      <c r="MPT1" t="s">
        <v>26915</v>
      </c>
      <c r="MPU1" t="s">
        <v>26916</v>
      </c>
      <c r="MPV1" t="s">
        <v>26917</v>
      </c>
      <c r="MPW1" t="s">
        <v>26918</v>
      </c>
      <c r="MPX1" t="s">
        <v>26919</v>
      </c>
      <c r="MPY1" t="s">
        <v>26920</v>
      </c>
      <c r="MPZ1" t="s">
        <v>26921</v>
      </c>
      <c r="MQA1" t="s">
        <v>26922</v>
      </c>
      <c r="MQB1" t="s">
        <v>26923</v>
      </c>
      <c r="MQC1" t="s">
        <v>26924</v>
      </c>
      <c r="MQD1" t="s">
        <v>26925</v>
      </c>
      <c r="MQE1" t="s">
        <v>26926</v>
      </c>
      <c r="MQF1" t="s">
        <v>26927</v>
      </c>
      <c r="MQG1" t="s">
        <v>26928</v>
      </c>
      <c r="MQH1" t="s">
        <v>26929</v>
      </c>
      <c r="MQI1" t="s">
        <v>26930</v>
      </c>
      <c r="MQJ1" t="s">
        <v>26931</v>
      </c>
      <c r="MQK1" t="s">
        <v>26932</v>
      </c>
      <c r="MQL1" t="s">
        <v>26933</v>
      </c>
      <c r="MQM1" t="s">
        <v>26934</v>
      </c>
      <c r="MQN1" t="s">
        <v>26935</v>
      </c>
      <c r="MQO1" t="s">
        <v>26936</v>
      </c>
      <c r="MQP1" t="s">
        <v>26937</v>
      </c>
      <c r="MQQ1" t="s">
        <v>26938</v>
      </c>
      <c r="MQR1" t="s">
        <v>26939</v>
      </c>
      <c r="MQS1" t="s">
        <v>26940</v>
      </c>
      <c r="MQT1" t="s">
        <v>26941</v>
      </c>
      <c r="MQU1" t="s">
        <v>26942</v>
      </c>
      <c r="MQV1" t="s">
        <v>26943</v>
      </c>
      <c r="MQW1" t="s">
        <v>26944</v>
      </c>
      <c r="MQX1" t="s">
        <v>26945</v>
      </c>
      <c r="MQY1" t="s">
        <v>26946</v>
      </c>
      <c r="MQZ1" t="s">
        <v>26947</v>
      </c>
      <c r="MRA1" t="s">
        <v>26948</v>
      </c>
      <c r="MRB1" t="s">
        <v>26949</v>
      </c>
      <c r="MRC1" t="s">
        <v>26950</v>
      </c>
      <c r="MRD1" t="s">
        <v>26951</v>
      </c>
      <c r="MRE1" t="s">
        <v>26952</v>
      </c>
      <c r="MRF1" t="s">
        <v>26953</v>
      </c>
      <c r="MRG1" t="s">
        <v>26954</v>
      </c>
      <c r="MRH1" t="s">
        <v>26955</v>
      </c>
      <c r="MRI1" t="s">
        <v>26956</v>
      </c>
      <c r="MRJ1" t="s">
        <v>26957</v>
      </c>
      <c r="MRK1" t="s">
        <v>26958</v>
      </c>
      <c r="MRL1" t="s">
        <v>26959</v>
      </c>
      <c r="MRM1" t="s">
        <v>26960</v>
      </c>
      <c r="MRN1" t="s">
        <v>26961</v>
      </c>
      <c r="MRO1" t="s">
        <v>26962</v>
      </c>
      <c r="MRP1" t="s">
        <v>26963</v>
      </c>
      <c r="MRQ1" t="s">
        <v>26964</v>
      </c>
      <c r="MRR1" t="s">
        <v>26965</v>
      </c>
      <c r="MRS1" t="s">
        <v>26966</v>
      </c>
      <c r="MRT1" t="s">
        <v>26967</v>
      </c>
      <c r="MRU1" t="s">
        <v>26968</v>
      </c>
      <c r="MRV1" t="s">
        <v>26969</v>
      </c>
      <c r="MRW1" t="s">
        <v>26970</v>
      </c>
      <c r="MRX1" t="s">
        <v>26971</v>
      </c>
      <c r="MRY1" t="s">
        <v>26972</v>
      </c>
      <c r="MRZ1" t="s">
        <v>26973</v>
      </c>
      <c r="MSA1" t="s">
        <v>26974</v>
      </c>
      <c r="MSB1" t="s">
        <v>26975</v>
      </c>
      <c r="MSC1" t="s">
        <v>26976</v>
      </c>
      <c r="MSD1" t="s">
        <v>26977</v>
      </c>
      <c r="MSE1" t="s">
        <v>26978</v>
      </c>
      <c r="MSF1" t="s">
        <v>26979</v>
      </c>
      <c r="MSG1" t="s">
        <v>26980</v>
      </c>
      <c r="MSH1" t="s">
        <v>26981</v>
      </c>
      <c r="MSI1" t="s">
        <v>26982</v>
      </c>
      <c r="MSJ1" t="s">
        <v>26983</v>
      </c>
      <c r="MSK1" t="s">
        <v>26984</v>
      </c>
      <c r="MSL1" t="s">
        <v>26985</v>
      </c>
      <c r="MSM1" t="s">
        <v>26986</v>
      </c>
      <c r="MSN1" t="s">
        <v>26987</v>
      </c>
      <c r="MSO1" t="s">
        <v>26988</v>
      </c>
      <c r="MSP1" t="s">
        <v>26989</v>
      </c>
      <c r="MSQ1" t="s">
        <v>26990</v>
      </c>
      <c r="MSR1" t="s">
        <v>26991</v>
      </c>
      <c r="MSS1" t="s">
        <v>26992</v>
      </c>
      <c r="MST1" t="s">
        <v>26993</v>
      </c>
      <c r="MSU1" t="s">
        <v>26994</v>
      </c>
      <c r="MSV1" t="s">
        <v>26995</v>
      </c>
      <c r="MSW1" t="s">
        <v>26996</v>
      </c>
      <c r="MSX1" t="s">
        <v>26997</v>
      </c>
      <c r="MSY1" t="s">
        <v>26998</v>
      </c>
      <c r="MSZ1" t="s">
        <v>26999</v>
      </c>
      <c r="MTA1" t="s">
        <v>27000</v>
      </c>
      <c r="MTB1" t="s">
        <v>27001</v>
      </c>
      <c r="MTC1" t="s">
        <v>27002</v>
      </c>
      <c r="MTD1" t="s">
        <v>27003</v>
      </c>
      <c r="MTE1" t="s">
        <v>27004</v>
      </c>
      <c r="MTF1" t="s">
        <v>27005</v>
      </c>
      <c r="MTG1" t="s">
        <v>27006</v>
      </c>
      <c r="MTH1" t="s">
        <v>27007</v>
      </c>
      <c r="MTI1" t="s">
        <v>27008</v>
      </c>
      <c r="MTJ1" t="s">
        <v>27009</v>
      </c>
      <c r="MTK1" t="s">
        <v>27010</v>
      </c>
      <c r="MTL1" t="s">
        <v>27011</v>
      </c>
      <c r="MTM1" t="s">
        <v>27012</v>
      </c>
      <c r="MTN1" t="s">
        <v>27013</v>
      </c>
      <c r="MTO1" t="s">
        <v>27014</v>
      </c>
      <c r="MTP1" t="s">
        <v>27015</v>
      </c>
      <c r="MTQ1" t="s">
        <v>27016</v>
      </c>
      <c r="MTR1" t="s">
        <v>27017</v>
      </c>
      <c r="MTS1" t="s">
        <v>27018</v>
      </c>
      <c r="MTT1" t="s">
        <v>27019</v>
      </c>
      <c r="MTU1" t="s">
        <v>27020</v>
      </c>
      <c r="MTV1" t="s">
        <v>27021</v>
      </c>
      <c r="MTW1" t="s">
        <v>27022</v>
      </c>
      <c r="MTX1" t="s">
        <v>27023</v>
      </c>
      <c r="MTY1" t="s">
        <v>27024</v>
      </c>
      <c r="MTZ1" t="s">
        <v>27025</v>
      </c>
      <c r="MUA1" t="s">
        <v>27026</v>
      </c>
      <c r="MUB1" t="s">
        <v>27027</v>
      </c>
      <c r="MUC1" t="s">
        <v>27028</v>
      </c>
      <c r="MUD1" t="s">
        <v>27029</v>
      </c>
      <c r="MUE1" t="s">
        <v>27030</v>
      </c>
      <c r="MUF1" t="s">
        <v>27031</v>
      </c>
      <c r="MUG1" t="s">
        <v>27032</v>
      </c>
      <c r="MUH1" t="s">
        <v>27033</v>
      </c>
      <c r="MUI1" t="s">
        <v>27034</v>
      </c>
      <c r="MUJ1" t="s">
        <v>27035</v>
      </c>
      <c r="MUK1" t="s">
        <v>27036</v>
      </c>
      <c r="MUL1" t="s">
        <v>27037</v>
      </c>
      <c r="MUM1" t="s">
        <v>27038</v>
      </c>
      <c r="MUN1" t="s">
        <v>27039</v>
      </c>
      <c r="MUO1" t="s">
        <v>27040</v>
      </c>
      <c r="MUP1" t="s">
        <v>27041</v>
      </c>
      <c r="MUQ1" t="s">
        <v>27042</v>
      </c>
      <c r="MUR1" t="s">
        <v>27043</v>
      </c>
      <c r="MUS1" t="s">
        <v>27044</v>
      </c>
      <c r="MUT1" t="s">
        <v>27045</v>
      </c>
      <c r="MUU1" t="s">
        <v>27046</v>
      </c>
      <c r="MUV1" t="s">
        <v>27047</v>
      </c>
      <c r="MUW1" t="s">
        <v>27048</v>
      </c>
      <c r="MUX1" t="s">
        <v>27049</v>
      </c>
      <c r="MUY1" t="s">
        <v>27050</v>
      </c>
      <c r="MUZ1" t="s">
        <v>27051</v>
      </c>
      <c r="MVA1" t="s">
        <v>27052</v>
      </c>
      <c r="MVB1" t="s">
        <v>27053</v>
      </c>
      <c r="MVC1" t="s">
        <v>27054</v>
      </c>
      <c r="MVD1" t="s">
        <v>27055</v>
      </c>
      <c r="MVE1" t="s">
        <v>27056</v>
      </c>
      <c r="MVF1" t="s">
        <v>27057</v>
      </c>
      <c r="MVG1" t="s">
        <v>27058</v>
      </c>
      <c r="MVH1" t="s">
        <v>27059</v>
      </c>
      <c r="MVI1" t="s">
        <v>27060</v>
      </c>
      <c r="MVJ1" t="s">
        <v>27061</v>
      </c>
      <c r="MVK1" t="s">
        <v>27062</v>
      </c>
      <c r="MVL1" t="s">
        <v>27063</v>
      </c>
      <c r="MVM1" t="s">
        <v>27064</v>
      </c>
      <c r="MVN1" t="s">
        <v>27065</v>
      </c>
      <c r="MVO1" t="s">
        <v>27066</v>
      </c>
      <c r="MVP1" t="s">
        <v>27067</v>
      </c>
      <c r="MVQ1" t="s">
        <v>27068</v>
      </c>
      <c r="MVR1" t="s">
        <v>27069</v>
      </c>
      <c r="MVS1" t="s">
        <v>27070</v>
      </c>
      <c r="MVT1" t="s">
        <v>27071</v>
      </c>
      <c r="MVU1" t="s">
        <v>27072</v>
      </c>
      <c r="MVV1" t="s">
        <v>27073</v>
      </c>
      <c r="MVW1" t="s">
        <v>27074</v>
      </c>
      <c r="MVX1" t="s">
        <v>27075</v>
      </c>
      <c r="MVY1" t="s">
        <v>27076</v>
      </c>
      <c r="MVZ1" t="s">
        <v>27077</v>
      </c>
      <c r="MWA1" t="s">
        <v>27078</v>
      </c>
      <c r="MWB1" t="s">
        <v>27079</v>
      </c>
      <c r="MWC1" t="s">
        <v>27080</v>
      </c>
      <c r="MWD1" t="s">
        <v>27081</v>
      </c>
      <c r="MWE1" t="s">
        <v>27082</v>
      </c>
      <c r="MWF1" t="s">
        <v>27083</v>
      </c>
      <c r="MWG1" t="s">
        <v>27084</v>
      </c>
      <c r="MWH1" t="s">
        <v>27085</v>
      </c>
      <c r="MWI1" t="s">
        <v>27086</v>
      </c>
      <c r="MWJ1" t="s">
        <v>27087</v>
      </c>
      <c r="MWK1" t="s">
        <v>27088</v>
      </c>
      <c r="MWL1" t="s">
        <v>27089</v>
      </c>
      <c r="MWM1" t="s">
        <v>27090</v>
      </c>
      <c r="MWN1" t="s">
        <v>27091</v>
      </c>
      <c r="MWO1" t="s">
        <v>27092</v>
      </c>
      <c r="MWP1" t="s">
        <v>27093</v>
      </c>
      <c r="MWQ1" t="s">
        <v>27094</v>
      </c>
      <c r="MWR1" t="s">
        <v>27095</v>
      </c>
      <c r="MWS1" t="s">
        <v>27096</v>
      </c>
      <c r="MWT1" t="s">
        <v>27097</v>
      </c>
      <c r="MWU1" t="s">
        <v>27098</v>
      </c>
      <c r="MWV1" t="s">
        <v>27099</v>
      </c>
      <c r="MWW1" t="s">
        <v>27100</v>
      </c>
      <c r="MWX1" t="s">
        <v>27101</v>
      </c>
      <c r="MWY1" t="s">
        <v>27102</v>
      </c>
      <c r="MWZ1" t="s">
        <v>27103</v>
      </c>
      <c r="MXA1" t="s">
        <v>27104</v>
      </c>
      <c r="MXB1" t="s">
        <v>27105</v>
      </c>
      <c r="MXC1" t="s">
        <v>27106</v>
      </c>
      <c r="MXD1" t="s">
        <v>27107</v>
      </c>
      <c r="MXE1" t="s">
        <v>27108</v>
      </c>
      <c r="MXF1" t="s">
        <v>27109</v>
      </c>
      <c r="MXG1" t="s">
        <v>27110</v>
      </c>
      <c r="MXH1" t="s">
        <v>27111</v>
      </c>
      <c r="MXI1" t="s">
        <v>27112</v>
      </c>
      <c r="MXJ1" t="s">
        <v>27113</v>
      </c>
      <c r="MXK1" t="s">
        <v>27114</v>
      </c>
      <c r="MXL1" t="s">
        <v>27115</v>
      </c>
      <c r="MXM1" t="s">
        <v>27116</v>
      </c>
      <c r="MXN1" t="s">
        <v>27117</v>
      </c>
      <c r="MXO1" t="s">
        <v>27118</v>
      </c>
      <c r="MXP1" t="s">
        <v>27119</v>
      </c>
      <c r="MXQ1" t="s">
        <v>27120</v>
      </c>
      <c r="MXR1" t="s">
        <v>27121</v>
      </c>
      <c r="MXS1" t="s">
        <v>27122</v>
      </c>
      <c r="MXT1" t="s">
        <v>27123</v>
      </c>
      <c r="MXU1" t="s">
        <v>27124</v>
      </c>
      <c r="MXV1" t="s">
        <v>27125</v>
      </c>
      <c r="MXW1" t="s">
        <v>27126</v>
      </c>
      <c r="MXX1" t="s">
        <v>27127</v>
      </c>
      <c r="MXY1" t="s">
        <v>27128</v>
      </c>
      <c r="MXZ1" t="s">
        <v>27129</v>
      </c>
      <c r="MYA1" t="s">
        <v>27130</v>
      </c>
      <c r="MYB1" t="s">
        <v>27131</v>
      </c>
      <c r="MYC1" t="s">
        <v>27132</v>
      </c>
      <c r="MYD1" t="s">
        <v>27133</v>
      </c>
      <c r="MYE1" t="s">
        <v>27134</v>
      </c>
      <c r="MYF1" t="s">
        <v>27135</v>
      </c>
      <c r="MYG1" t="s">
        <v>27136</v>
      </c>
      <c r="MYH1" t="s">
        <v>27137</v>
      </c>
      <c r="MYI1" t="s">
        <v>27138</v>
      </c>
      <c r="MYJ1" t="s">
        <v>27139</v>
      </c>
      <c r="MYK1" t="s">
        <v>27140</v>
      </c>
      <c r="MYL1" t="s">
        <v>27141</v>
      </c>
      <c r="MYM1" t="s">
        <v>27142</v>
      </c>
      <c r="MYN1" t="s">
        <v>27143</v>
      </c>
      <c r="MYO1" t="s">
        <v>27144</v>
      </c>
      <c r="MYP1" t="s">
        <v>27145</v>
      </c>
      <c r="MYQ1" t="s">
        <v>27146</v>
      </c>
      <c r="MYR1" t="s">
        <v>27147</v>
      </c>
      <c r="MYS1" t="s">
        <v>27148</v>
      </c>
      <c r="MYT1" t="s">
        <v>27149</v>
      </c>
      <c r="MYU1" t="s">
        <v>27150</v>
      </c>
      <c r="MYV1" t="s">
        <v>27151</v>
      </c>
      <c r="MYW1" t="s">
        <v>27152</v>
      </c>
      <c r="MYX1" t="s">
        <v>27153</v>
      </c>
      <c r="MYY1" t="s">
        <v>27154</v>
      </c>
      <c r="MYZ1" t="s">
        <v>27155</v>
      </c>
      <c r="MZA1" t="s">
        <v>27156</v>
      </c>
      <c r="MZB1" t="s">
        <v>27157</v>
      </c>
      <c r="MZC1" t="s">
        <v>27158</v>
      </c>
      <c r="MZD1" t="s">
        <v>27159</v>
      </c>
      <c r="MZE1" t="s">
        <v>27160</v>
      </c>
      <c r="MZF1" t="s">
        <v>27161</v>
      </c>
      <c r="MZG1" t="s">
        <v>27162</v>
      </c>
      <c r="MZH1" t="s">
        <v>27163</v>
      </c>
      <c r="MZI1" t="s">
        <v>27164</v>
      </c>
      <c r="MZJ1" t="s">
        <v>27165</v>
      </c>
      <c r="MZK1" t="s">
        <v>27166</v>
      </c>
      <c r="MZL1" t="s">
        <v>27167</v>
      </c>
      <c r="MZM1" t="s">
        <v>27168</v>
      </c>
      <c r="MZN1" t="s">
        <v>27169</v>
      </c>
      <c r="MZO1" t="s">
        <v>27170</v>
      </c>
      <c r="MZP1" t="s">
        <v>27171</v>
      </c>
      <c r="MZQ1" t="s">
        <v>27172</v>
      </c>
      <c r="MZR1" t="s">
        <v>27173</v>
      </c>
      <c r="MZS1" t="s">
        <v>27174</v>
      </c>
      <c r="MZT1" t="s">
        <v>27175</v>
      </c>
      <c r="MZU1" t="s">
        <v>27176</v>
      </c>
      <c r="MZV1" t="s">
        <v>27177</v>
      </c>
      <c r="MZW1" t="s">
        <v>27178</v>
      </c>
      <c r="MZX1" t="s">
        <v>27179</v>
      </c>
      <c r="MZY1" t="s">
        <v>27180</v>
      </c>
      <c r="MZZ1" t="s">
        <v>27181</v>
      </c>
      <c r="NAA1" t="s">
        <v>27182</v>
      </c>
      <c r="NAB1" t="s">
        <v>27183</v>
      </c>
      <c r="NAC1" t="s">
        <v>27184</v>
      </c>
      <c r="NAD1" t="s">
        <v>27185</v>
      </c>
      <c r="NAE1" t="s">
        <v>27186</v>
      </c>
      <c r="NAF1" t="s">
        <v>27187</v>
      </c>
      <c r="NAG1" t="s">
        <v>27188</v>
      </c>
      <c r="NAH1" t="s">
        <v>27189</v>
      </c>
      <c r="NAI1" t="s">
        <v>27190</v>
      </c>
      <c r="NAJ1" t="s">
        <v>27191</v>
      </c>
      <c r="NAK1" t="s">
        <v>27192</v>
      </c>
      <c r="NAL1" t="s">
        <v>27193</v>
      </c>
      <c r="NAM1" t="s">
        <v>27194</v>
      </c>
      <c r="NAN1" t="s">
        <v>27195</v>
      </c>
      <c r="NAO1" t="s">
        <v>27196</v>
      </c>
      <c r="NAP1" t="s">
        <v>27197</v>
      </c>
      <c r="NAQ1" t="s">
        <v>27198</v>
      </c>
      <c r="NAR1" t="s">
        <v>27199</v>
      </c>
      <c r="NAS1" t="s">
        <v>27200</v>
      </c>
      <c r="NAT1" t="s">
        <v>27201</v>
      </c>
      <c r="NAU1" t="s">
        <v>27202</v>
      </c>
      <c r="NAV1" t="s">
        <v>27203</v>
      </c>
      <c r="NAW1" t="s">
        <v>27204</v>
      </c>
      <c r="NAX1" t="s">
        <v>27205</v>
      </c>
      <c r="NAY1" t="s">
        <v>27206</v>
      </c>
      <c r="NAZ1" t="s">
        <v>27207</v>
      </c>
      <c r="NBA1" t="s">
        <v>27208</v>
      </c>
      <c r="NBB1" t="s">
        <v>27209</v>
      </c>
      <c r="NBC1" t="s">
        <v>27210</v>
      </c>
      <c r="NBD1" t="s">
        <v>27211</v>
      </c>
      <c r="NBE1" t="s">
        <v>27212</v>
      </c>
      <c r="NBF1" t="s">
        <v>27213</v>
      </c>
      <c r="NBG1" t="s">
        <v>27214</v>
      </c>
      <c r="NBH1" t="s">
        <v>27215</v>
      </c>
      <c r="NBI1" t="s">
        <v>27216</v>
      </c>
      <c r="NBJ1" t="s">
        <v>27217</v>
      </c>
      <c r="NBK1" t="s">
        <v>27218</v>
      </c>
      <c r="NBL1" t="s">
        <v>27219</v>
      </c>
      <c r="NBM1" t="s">
        <v>27220</v>
      </c>
      <c r="NBN1" t="s">
        <v>27221</v>
      </c>
      <c r="NBO1" t="s">
        <v>27222</v>
      </c>
      <c r="NBP1" t="s">
        <v>27223</v>
      </c>
      <c r="NBQ1" t="s">
        <v>27224</v>
      </c>
      <c r="NBR1" t="s">
        <v>27225</v>
      </c>
      <c r="NBS1" t="s">
        <v>27226</v>
      </c>
      <c r="NBT1" t="s">
        <v>27227</v>
      </c>
      <c r="NBU1" t="s">
        <v>27228</v>
      </c>
      <c r="NBV1" t="s">
        <v>27229</v>
      </c>
      <c r="NBW1" t="s">
        <v>27230</v>
      </c>
      <c r="NBX1" t="s">
        <v>27231</v>
      </c>
      <c r="NBY1" t="s">
        <v>27232</v>
      </c>
      <c r="NBZ1" t="s">
        <v>27233</v>
      </c>
      <c r="NCA1" t="s">
        <v>27234</v>
      </c>
      <c r="NCB1" t="s">
        <v>27235</v>
      </c>
      <c r="NCC1" t="s">
        <v>27236</v>
      </c>
      <c r="NCD1" t="s">
        <v>27237</v>
      </c>
      <c r="NCE1" t="s">
        <v>27238</v>
      </c>
      <c r="NCF1" t="s">
        <v>27239</v>
      </c>
      <c r="NCG1" t="s">
        <v>27240</v>
      </c>
      <c r="NCH1" t="s">
        <v>27241</v>
      </c>
      <c r="NCI1" t="s">
        <v>27242</v>
      </c>
      <c r="NCJ1" t="s">
        <v>27243</v>
      </c>
      <c r="NCK1" t="s">
        <v>27244</v>
      </c>
      <c r="NCL1" t="s">
        <v>27245</v>
      </c>
      <c r="NCM1" t="s">
        <v>27246</v>
      </c>
      <c r="NCN1" t="s">
        <v>27247</v>
      </c>
      <c r="NCO1" t="s">
        <v>27248</v>
      </c>
      <c r="NCP1" t="s">
        <v>27249</v>
      </c>
      <c r="NCQ1" t="s">
        <v>27250</v>
      </c>
      <c r="NCR1" t="s">
        <v>27251</v>
      </c>
      <c r="NCS1" t="s">
        <v>27252</v>
      </c>
      <c r="NCT1" t="s">
        <v>27253</v>
      </c>
      <c r="NCU1" t="s">
        <v>27254</v>
      </c>
      <c r="NCV1" t="s">
        <v>27255</v>
      </c>
      <c r="NCW1" t="s">
        <v>27256</v>
      </c>
      <c r="NCX1" t="s">
        <v>27257</v>
      </c>
      <c r="NCY1" t="s">
        <v>27258</v>
      </c>
      <c r="NCZ1" t="s">
        <v>27259</v>
      </c>
      <c r="NDA1" t="s">
        <v>27260</v>
      </c>
      <c r="NDB1" t="s">
        <v>27261</v>
      </c>
      <c r="NDC1" t="s">
        <v>27262</v>
      </c>
      <c r="NDD1" t="s">
        <v>27263</v>
      </c>
      <c r="NDE1" t="s">
        <v>27264</v>
      </c>
      <c r="NDF1" t="s">
        <v>27265</v>
      </c>
      <c r="NDG1" t="s">
        <v>27266</v>
      </c>
      <c r="NDH1" t="s">
        <v>27267</v>
      </c>
      <c r="NDI1" t="s">
        <v>27268</v>
      </c>
      <c r="NDJ1" t="s">
        <v>27269</v>
      </c>
      <c r="NDK1" t="s">
        <v>27270</v>
      </c>
      <c r="NDL1" t="s">
        <v>27271</v>
      </c>
      <c r="NDM1" t="s">
        <v>27272</v>
      </c>
      <c r="NDN1" t="s">
        <v>27273</v>
      </c>
      <c r="NDO1" t="s">
        <v>27274</v>
      </c>
      <c r="NDP1" t="s">
        <v>27275</v>
      </c>
      <c r="NDQ1" t="s">
        <v>27276</v>
      </c>
      <c r="NDR1" t="s">
        <v>27277</v>
      </c>
      <c r="NDS1" t="s">
        <v>27278</v>
      </c>
      <c r="NDT1" t="s">
        <v>27279</v>
      </c>
      <c r="NDU1" t="s">
        <v>27280</v>
      </c>
      <c r="NDV1" t="s">
        <v>27281</v>
      </c>
      <c r="NDW1" t="s">
        <v>27282</v>
      </c>
      <c r="NDX1" t="s">
        <v>27283</v>
      </c>
      <c r="NDY1" t="s">
        <v>27284</v>
      </c>
      <c r="NDZ1" t="s">
        <v>27285</v>
      </c>
      <c r="NEA1" t="s">
        <v>27286</v>
      </c>
      <c r="NEB1" t="s">
        <v>27287</v>
      </c>
      <c r="NEC1" t="s">
        <v>27288</v>
      </c>
      <c r="NED1" t="s">
        <v>27289</v>
      </c>
      <c r="NEE1" t="s">
        <v>27290</v>
      </c>
      <c r="NEF1" t="s">
        <v>27291</v>
      </c>
      <c r="NEG1" t="s">
        <v>27292</v>
      </c>
      <c r="NEH1" t="s">
        <v>27293</v>
      </c>
      <c r="NEI1" t="s">
        <v>27294</v>
      </c>
      <c r="NEJ1" t="s">
        <v>27295</v>
      </c>
      <c r="NEK1" t="s">
        <v>27296</v>
      </c>
      <c r="NEL1" t="s">
        <v>27297</v>
      </c>
      <c r="NEM1" t="s">
        <v>27298</v>
      </c>
      <c r="NEN1" t="s">
        <v>27299</v>
      </c>
      <c r="NEO1" t="s">
        <v>27300</v>
      </c>
      <c r="NEP1" t="s">
        <v>27301</v>
      </c>
      <c r="NEQ1" t="s">
        <v>27302</v>
      </c>
      <c r="NER1" t="s">
        <v>27303</v>
      </c>
      <c r="NES1" t="s">
        <v>27304</v>
      </c>
      <c r="NET1" t="s">
        <v>27305</v>
      </c>
      <c r="NEU1" t="s">
        <v>27306</v>
      </c>
      <c r="NEV1" t="s">
        <v>27307</v>
      </c>
      <c r="NEW1" t="s">
        <v>27308</v>
      </c>
      <c r="NEX1" t="s">
        <v>27309</v>
      </c>
      <c r="NEY1" t="s">
        <v>27310</v>
      </c>
      <c r="NEZ1" t="s">
        <v>27311</v>
      </c>
      <c r="NFA1" t="s">
        <v>27312</v>
      </c>
      <c r="NFB1" t="s">
        <v>27313</v>
      </c>
      <c r="NFC1" t="s">
        <v>27314</v>
      </c>
      <c r="NFD1" t="s">
        <v>27315</v>
      </c>
      <c r="NFE1" t="s">
        <v>27316</v>
      </c>
      <c r="NFF1" t="s">
        <v>27317</v>
      </c>
      <c r="NFG1" t="s">
        <v>27318</v>
      </c>
      <c r="NFH1" t="s">
        <v>27319</v>
      </c>
      <c r="NFI1" t="s">
        <v>27320</v>
      </c>
      <c r="NFJ1" t="s">
        <v>27321</v>
      </c>
      <c r="NFK1" t="s">
        <v>27322</v>
      </c>
      <c r="NFL1" t="s">
        <v>27323</v>
      </c>
      <c r="NFM1" t="s">
        <v>27324</v>
      </c>
      <c r="NFN1" t="s">
        <v>27325</v>
      </c>
      <c r="NFO1" t="s">
        <v>27326</v>
      </c>
      <c r="NFP1" t="s">
        <v>27327</v>
      </c>
      <c r="NFQ1" t="s">
        <v>27328</v>
      </c>
      <c r="NFR1" t="s">
        <v>27329</v>
      </c>
      <c r="NFS1" t="s">
        <v>27330</v>
      </c>
      <c r="NFT1" t="s">
        <v>27331</v>
      </c>
      <c r="NFU1" t="s">
        <v>27332</v>
      </c>
      <c r="NFV1" t="s">
        <v>27333</v>
      </c>
      <c r="NFW1" t="s">
        <v>27334</v>
      </c>
      <c r="NFX1" t="s">
        <v>27335</v>
      </c>
      <c r="NFY1" t="s">
        <v>27336</v>
      </c>
      <c r="NFZ1" t="s">
        <v>27337</v>
      </c>
      <c r="NGA1" t="s">
        <v>27338</v>
      </c>
      <c r="NGB1" t="s">
        <v>27339</v>
      </c>
      <c r="NGC1" t="s">
        <v>27340</v>
      </c>
      <c r="NGD1" t="s">
        <v>27341</v>
      </c>
      <c r="NGE1" t="s">
        <v>27342</v>
      </c>
      <c r="NGF1" t="s">
        <v>27343</v>
      </c>
      <c r="NGG1" t="s">
        <v>27344</v>
      </c>
      <c r="NGH1" t="s">
        <v>27345</v>
      </c>
      <c r="NGI1" t="s">
        <v>27346</v>
      </c>
      <c r="NGJ1" t="s">
        <v>27347</v>
      </c>
      <c r="NGK1" t="s">
        <v>27348</v>
      </c>
      <c r="NGL1" t="s">
        <v>27349</v>
      </c>
      <c r="NGM1" t="s">
        <v>27350</v>
      </c>
      <c r="NGN1" t="s">
        <v>27351</v>
      </c>
      <c r="NGO1" t="s">
        <v>27352</v>
      </c>
      <c r="NGP1" t="s">
        <v>27353</v>
      </c>
      <c r="NGQ1" t="s">
        <v>27354</v>
      </c>
      <c r="NGR1" t="s">
        <v>27355</v>
      </c>
      <c r="NGS1" t="s">
        <v>27356</v>
      </c>
      <c r="NGT1" t="s">
        <v>27357</v>
      </c>
      <c r="NGU1" t="s">
        <v>27358</v>
      </c>
      <c r="NGV1" t="s">
        <v>27359</v>
      </c>
      <c r="NGW1" t="s">
        <v>27360</v>
      </c>
      <c r="NGX1" t="s">
        <v>27361</v>
      </c>
      <c r="NGY1" t="s">
        <v>27362</v>
      </c>
      <c r="NGZ1" t="s">
        <v>27363</v>
      </c>
      <c r="NHA1" t="s">
        <v>27364</v>
      </c>
      <c r="NHB1" t="s">
        <v>27365</v>
      </c>
      <c r="NHC1" t="s">
        <v>27366</v>
      </c>
      <c r="NHD1" t="s">
        <v>27367</v>
      </c>
      <c r="NHE1" t="s">
        <v>27368</v>
      </c>
      <c r="NHF1" t="s">
        <v>27369</v>
      </c>
      <c r="NHG1" t="s">
        <v>27370</v>
      </c>
      <c r="NHH1" t="s">
        <v>27371</v>
      </c>
      <c r="NHI1" t="s">
        <v>27372</v>
      </c>
      <c r="NHJ1" t="s">
        <v>27373</v>
      </c>
      <c r="NHK1" t="s">
        <v>27374</v>
      </c>
      <c r="NHL1" t="s">
        <v>27375</v>
      </c>
      <c r="NHM1" t="s">
        <v>27376</v>
      </c>
      <c r="NHN1" t="s">
        <v>27377</v>
      </c>
      <c r="NHO1" t="s">
        <v>27378</v>
      </c>
      <c r="NHP1" t="s">
        <v>27379</v>
      </c>
      <c r="NHQ1" t="s">
        <v>27380</v>
      </c>
      <c r="NHR1" t="s">
        <v>27381</v>
      </c>
      <c r="NHS1" t="s">
        <v>27382</v>
      </c>
      <c r="NHT1" t="s">
        <v>27383</v>
      </c>
      <c r="NHU1" t="s">
        <v>27384</v>
      </c>
      <c r="NHV1" t="s">
        <v>27385</v>
      </c>
      <c r="NHW1" t="s">
        <v>27386</v>
      </c>
      <c r="NHX1" t="s">
        <v>27387</v>
      </c>
      <c r="NHY1" t="s">
        <v>27388</v>
      </c>
      <c r="NHZ1" t="s">
        <v>27389</v>
      </c>
      <c r="NIA1" t="s">
        <v>27390</v>
      </c>
      <c r="NIB1" t="s">
        <v>27391</v>
      </c>
      <c r="NIC1" t="s">
        <v>27392</v>
      </c>
      <c r="NID1" t="s">
        <v>27393</v>
      </c>
      <c r="NIE1" t="s">
        <v>27394</v>
      </c>
      <c r="NIF1" t="s">
        <v>27395</v>
      </c>
      <c r="NIG1" t="s">
        <v>27396</v>
      </c>
      <c r="NIH1" t="s">
        <v>27397</v>
      </c>
      <c r="NII1" t="s">
        <v>27398</v>
      </c>
      <c r="NIJ1" t="s">
        <v>27399</v>
      </c>
      <c r="NIK1" t="s">
        <v>27400</v>
      </c>
      <c r="NIL1" t="s">
        <v>27401</v>
      </c>
      <c r="NIM1" t="s">
        <v>27402</v>
      </c>
      <c r="NIN1" t="s">
        <v>27403</v>
      </c>
      <c r="NIO1" t="s">
        <v>27404</v>
      </c>
      <c r="NIP1" t="s">
        <v>27405</v>
      </c>
      <c r="NIQ1" t="s">
        <v>27406</v>
      </c>
      <c r="NIR1" t="s">
        <v>27407</v>
      </c>
      <c r="NIS1" t="s">
        <v>27408</v>
      </c>
      <c r="NIT1" t="s">
        <v>27409</v>
      </c>
      <c r="NIU1" t="s">
        <v>27410</v>
      </c>
      <c r="NIV1" t="s">
        <v>27411</v>
      </c>
      <c r="NIW1" t="s">
        <v>27412</v>
      </c>
      <c r="NIX1" t="s">
        <v>27413</v>
      </c>
      <c r="NIY1" t="s">
        <v>27414</v>
      </c>
      <c r="NIZ1" t="s">
        <v>27415</v>
      </c>
      <c r="NJA1" t="s">
        <v>27416</v>
      </c>
      <c r="NJB1" t="s">
        <v>27417</v>
      </c>
      <c r="NJC1" t="s">
        <v>27418</v>
      </c>
      <c r="NJD1" t="s">
        <v>27419</v>
      </c>
      <c r="NJE1" t="s">
        <v>27420</v>
      </c>
      <c r="NJF1" t="s">
        <v>27421</v>
      </c>
      <c r="NJG1" t="s">
        <v>27422</v>
      </c>
      <c r="NJH1" t="s">
        <v>27423</v>
      </c>
      <c r="NJI1" t="s">
        <v>27424</v>
      </c>
      <c r="NJJ1" t="s">
        <v>27425</v>
      </c>
      <c r="NJK1" t="s">
        <v>27426</v>
      </c>
      <c r="NJL1" t="s">
        <v>27427</v>
      </c>
      <c r="NJM1" t="s">
        <v>27428</v>
      </c>
      <c r="NJN1" t="s">
        <v>27429</v>
      </c>
      <c r="NJO1" t="s">
        <v>27430</v>
      </c>
      <c r="NJP1" t="s">
        <v>27431</v>
      </c>
      <c r="NJQ1" t="s">
        <v>27432</v>
      </c>
      <c r="NJR1" t="s">
        <v>27433</v>
      </c>
      <c r="NJS1" t="s">
        <v>27434</v>
      </c>
      <c r="NJT1" t="s">
        <v>27435</v>
      </c>
      <c r="NJU1" t="s">
        <v>27436</v>
      </c>
      <c r="NJV1" t="s">
        <v>27437</v>
      </c>
      <c r="NJW1" t="s">
        <v>27438</v>
      </c>
      <c r="NJX1" t="s">
        <v>27439</v>
      </c>
      <c r="NJY1" t="s">
        <v>27440</v>
      </c>
      <c r="NJZ1" t="s">
        <v>27441</v>
      </c>
      <c r="NKA1" t="s">
        <v>27442</v>
      </c>
      <c r="NKB1" t="s">
        <v>27443</v>
      </c>
      <c r="NKC1" t="s">
        <v>27444</v>
      </c>
      <c r="NKD1" t="s">
        <v>27445</v>
      </c>
      <c r="NKE1" t="s">
        <v>27446</v>
      </c>
      <c r="NKF1" t="s">
        <v>27447</v>
      </c>
      <c r="NKG1" t="s">
        <v>27448</v>
      </c>
      <c r="NKH1" t="s">
        <v>27449</v>
      </c>
      <c r="NKI1" t="s">
        <v>27450</v>
      </c>
      <c r="NKJ1" t="s">
        <v>27451</v>
      </c>
      <c r="NKK1" t="s">
        <v>27452</v>
      </c>
      <c r="NKL1" t="s">
        <v>27453</v>
      </c>
      <c r="NKM1" t="s">
        <v>27454</v>
      </c>
      <c r="NKN1" t="s">
        <v>27455</v>
      </c>
      <c r="NKO1" t="s">
        <v>27456</v>
      </c>
      <c r="NKP1" t="s">
        <v>27457</v>
      </c>
      <c r="NKQ1" t="s">
        <v>27458</v>
      </c>
      <c r="NKR1" t="s">
        <v>27459</v>
      </c>
      <c r="NKS1" t="s">
        <v>27460</v>
      </c>
      <c r="NKT1" t="s">
        <v>27461</v>
      </c>
      <c r="NKU1" t="s">
        <v>27462</v>
      </c>
      <c r="NKV1" t="s">
        <v>27463</v>
      </c>
      <c r="NKW1" t="s">
        <v>27464</v>
      </c>
      <c r="NKX1" t="s">
        <v>27465</v>
      </c>
      <c r="NKY1" t="s">
        <v>27466</v>
      </c>
      <c r="NKZ1" t="s">
        <v>27467</v>
      </c>
      <c r="NLA1" t="s">
        <v>27468</v>
      </c>
      <c r="NLB1" t="s">
        <v>27469</v>
      </c>
      <c r="NLC1" t="s">
        <v>27470</v>
      </c>
      <c r="NLD1" t="s">
        <v>27471</v>
      </c>
      <c r="NLE1" t="s">
        <v>27472</v>
      </c>
      <c r="NLF1" t="s">
        <v>27473</v>
      </c>
      <c r="NLG1" t="s">
        <v>27474</v>
      </c>
      <c r="NLH1" t="s">
        <v>27475</v>
      </c>
      <c r="NLI1" t="s">
        <v>27476</v>
      </c>
      <c r="NLJ1" t="s">
        <v>27477</v>
      </c>
      <c r="NLK1" t="s">
        <v>27478</v>
      </c>
      <c r="NLL1" t="s">
        <v>27479</v>
      </c>
      <c r="NLM1" t="s">
        <v>27480</v>
      </c>
      <c r="NLN1" t="s">
        <v>27481</v>
      </c>
      <c r="NLO1" t="s">
        <v>27482</v>
      </c>
      <c r="NLP1" t="s">
        <v>27483</v>
      </c>
      <c r="NLQ1" t="s">
        <v>27484</v>
      </c>
      <c r="NLR1" t="s">
        <v>27485</v>
      </c>
      <c r="NLS1" t="s">
        <v>27486</v>
      </c>
      <c r="NLT1" t="s">
        <v>27487</v>
      </c>
      <c r="NLU1" t="s">
        <v>27488</v>
      </c>
      <c r="NLV1" t="s">
        <v>27489</v>
      </c>
      <c r="NLW1" t="s">
        <v>27490</v>
      </c>
      <c r="NLX1" t="s">
        <v>27491</v>
      </c>
      <c r="NLY1" t="s">
        <v>27492</v>
      </c>
      <c r="NLZ1" t="s">
        <v>27493</v>
      </c>
      <c r="NMA1" t="s">
        <v>27494</v>
      </c>
      <c r="NMB1" t="s">
        <v>27495</v>
      </c>
      <c r="NMC1" t="s">
        <v>27496</v>
      </c>
      <c r="NMD1" t="s">
        <v>27497</v>
      </c>
      <c r="NME1" t="s">
        <v>27498</v>
      </c>
      <c r="NMF1" t="s">
        <v>27499</v>
      </c>
      <c r="NMG1" t="s">
        <v>27500</v>
      </c>
      <c r="NMH1" t="s">
        <v>27501</v>
      </c>
      <c r="NMI1" t="s">
        <v>27502</v>
      </c>
      <c r="NMJ1" t="s">
        <v>27503</v>
      </c>
      <c r="NMK1" t="s">
        <v>27504</v>
      </c>
      <c r="NML1" t="s">
        <v>27505</v>
      </c>
      <c r="NMM1" t="s">
        <v>27506</v>
      </c>
      <c r="NMN1" t="s">
        <v>27507</v>
      </c>
      <c r="NMO1" t="s">
        <v>27508</v>
      </c>
      <c r="NMP1" t="s">
        <v>27509</v>
      </c>
      <c r="NMQ1" t="s">
        <v>27510</v>
      </c>
      <c r="NMR1" t="s">
        <v>27511</v>
      </c>
      <c r="NMS1" t="s">
        <v>27512</v>
      </c>
      <c r="NMT1" t="s">
        <v>27513</v>
      </c>
      <c r="NMU1" t="s">
        <v>27514</v>
      </c>
      <c r="NMV1" t="s">
        <v>27515</v>
      </c>
      <c r="NMW1" t="s">
        <v>27516</v>
      </c>
      <c r="NMX1" t="s">
        <v>27517</v>
      </c>
      <c r="NMY1" t="s">
        <v>27518</v>
      </c>
      <c r="NMZ1" t="s">
        <v>27519</v>
      </c>
      <c r="NNA1" t="s">
        <v>27520</v>
      </c>
      <c r="NNB1" t="s">
        <v>27521</v>
      </c>
      <c r="NNC1" t="s">
        <v>27522</v>
      </c>
      <c r="NND1" t="s">
        <v>27523</v>
      </c>
      <c r="NNE1" t="s">
        <v>27524</v>
      </c>
      <c r="NNF1" t="s">
        <v>27525</v>
      </c>
      <c r="NNG1" t="s">
        <v>27526</v>
      </c>
      <c r="NNH1" t="s">
        <v>27527</v>
      </c>
      <c r="NNI1" t="s">
        <v>27528</v>
      </c>
      <c r="NNJ1" t="s">
        <v>27529</v>
      </c>
      <c r="NNK1" t="s">
        <v>27530</v>
      </c>
      <c r="NNL1" t="s">
        <v>27531</v>
      </c>
      <c r="NNM1" t="s">
        <v>27532</v>
      </c>
      <c r="NNN1" t="s">
        <v>27533</v>
      </c>
      <c r="NNO1" t="s">
        <v>27534</v>
      </c>
      <c r="NNP1" t="s">
        <v>27535</v>
      </c>
      <c r="NNQ1" t="s">
        <v>27536</v>
      </c>
      <c r="NNR1" t="s">
        <v>27537</v>
      </c>
      <c r="NNS1" t="s">
        <v>27538</v>
      </c>
      <c r="NNT1" t="s">
        <v>27539</v>
      </c>
      <c r="NNU1" t="s">
        <v>27540</v>
      </c>
      <c r="NNV1" t="s">
        <v>27541</v>
      </c>
      <c r="NNW1" t="s">
        <v>27542</v>
      </c>
      <c r="NNX1" t="s">
        <v>27543</v>
      </c>
      <c r="NNY1" t="s">
        <v>27544</v>
      </c>
      <c r="NNZ1" t="s">
        <v>27545</v>
      </c>
      <c r="NOA1" t="s">
        <v>27546</v>
      </c>
      <c r="NOB1" t="s">
        <v>27547</v>
      </c>
      <c r="NOC1" t="s">
        <v>27548</v>
      </c>
      <c r="NOD1" t="s">
        <v>27549</v>
      </c>
      <c r="NOE1" t="s">
        <v>27550</v>
      </c>
      <c r="NOF1" t="s">
        <v>27551</v>
      </c>
      <c r="NOG1" t="s">
        <v>27552</v>
      </c>
      <c r="NOH1" t="s">
        <v>27553</v>
      </c>
      <c r="NOI1" t="s">
        <v>27554</v>
      </c>
      <c r="NOJ1" t="s">
        <v>27555</v>
      </c>
      <c r="NOK1" t="s">
        <v>27556</v>
      </c>
      <c r="NOL1" t="s">
        <v>27557</v>
      </c>
      <c r="NOM1" t="s">
        <v>27558</v>
      </c>
      <c r="NON1" t="s">
        <v>27559</v>
      </c>
      <c r="NOO1" t="s">
        <v>27560</v>
      </c>
      <c r="NOP1" t="s">
        <v>27561</v>
      </c>
      <c r="NOQ1" t="s">
        <v>27562</v>
      </c>
      <c r="NOR1" t="s">
        <v>27563</v>
      </c>
      <c r="NOS1" t="s">
        <v>27564</v>
      </c>
      <c r="NOT1" t="s">
        <v>27565</v>
      </c>
      <c r="NOU1" t="s">
        <v>27566</v>
      </c>
      <c r="NOV1" t="s">
        <v>27567</v>
      </c>
      <c r="NOW1" t="s">
        <v>27568</v>
      </c>
      <c r="NOX1" t="s">
        <v>27569</v>
      </c>
      <c r="NOY1" t="s">
        <v>27570</v>
      </c>
      <c r="NOZ1" t="s">
        <v>27571</v>
      </c>
      <c r="NPA1" t="s">
        <v>27572</v>
      </c>
      <c r="NPB1" t="s">
        <v>27573</v>
      </c>
      <c r="NPC1" t="s">
        <v>27574</v>
      </c>
      <c r="NPD1" t="s">
        <v>27575</v>
      </c>
      <c r="NPE1" t="s">
        <v>27576</v>
      </c>
      <c r="NPF1" t="s">
        <v>27577</v>
      </c>
      <c r="NPG1" t="s">
        <v>27578</v>
      </c>
      <c r="NPH1" t="s">
        <v>27579</v>
      </c>
      <c r="NPI1" t="s">
        <v>27580</v>
      </c>
      <c r="NPJ1" t="s">
        <v>27581</v>
      </c>
      <c r="NPK1" t="s">
        <v>27582</v>
      </c>
      <c r="NPL1" t="s">
        <v>27583</v>
      </c>
      <c r="NPM1" t="s">
        <v>27584</v>
      </c>
      <c r="NPN1" t="s">
        <v>27585</v>
      </c>
      <c r="NPO1" t="s">
        <v>27586</v>
      </c>
      <c r="NPP1" t="s">
        <v>27587</v>
      </c>
      <c r="NPQ1" t="s">
        <v>27588</v>
      </c>
      <c r="NPR1" t="s">
        <v>27589</v>
      </c>
      <c r="NPS1" t="s">
        <v>27590</v>
      </c>
      <c r="NPT1" t="s">
        <v>27591</v>
      </c>
      <c r="NPU1" t="s">
        <v>27592</v>
      </c>
      <c r="NPV1" t="s">
        <v>27593</v>
      </c>
      <c r="NPW1" t="s">
        <v>27594</v>
      </c>
      <c r="NPX1" t="s">
        <v>27595</v>
      </c>
      <c r="NPY1" t="s">
        <v>27596</v>
      </c>
      <c r="NPZ1" t="s">
        <v>27597</v>
      </c>
      <c r="NQA1" t="s">
        <v>27598</v>
      </c>
      <c r="NQB1" t="s">
        <v>27599</v>
      </c>
      <c r="NQC1" t="s">
        <v>27600</v>
      </c>
      <c r="NQD1" t="s">
        <v>27601</v>
      </c>
      <c r="NQE1" t="s">
        <v>27602</v>
      </c>
      <c r="NQF1" t="s">
        <v>27603</v>
      </c>
      <c r="NQG1" t="s">
        <v>27604</v>
      </c>
      <c r="NQH1" t="s">
        <v>27605</v>
      </c>
      <c r="NQI1" t="s">
        <v>27606</v>
      </c>
      <c r="NQJ1" t="s">
        <v>27607</v>
      </c>
      <c r="NQK1" t="s">
        <v>27608</v>
      </c>
      <c r="NQL1" t="s">
        <v>27609</v>
      </c>
      <c r="NQM1" t="s">
        <v>27610</v>
      </c>
      <c r="NQN1" t="s">
        <v>27611</v>
      </c>
      <c r="NQO1" t="s">
        <v>27612</v>
      </c>
      <c r="NQP1" t="s">
        <v>27613</v>
      </c>
      <c r="NQQ1" t="s">
        <v>27614</v>
      </c>
      <c r="NQR1" t="s">
        <v>27615</v>
      </c>
      <c r="NQS1" t="s">
        <v>27616</v>
      </c>
      <c r="NQT1" t="s">
        <v>27617</v>
      </c>
      <c r="NQU1" t="s">
        <v>27618</v>
      </c>
      <c r="NQV1" t="s">
        <v>27619</v>
      </c>
      <c r="NQW1" t="s">
        <v>27620</v>
      </c>
      <c r="NQX1" t="s">
        <v>27621</v>
      </c>
      <c r="NQY1" t="s">
        <v>27622</v>
      </c>
      <c r="NQZ1" t="s">
        <v>27623</v>
      </c>
      <c r="NRA1" t="s">
        <v>27624</v>
      </c>
      <c r="NRB1" t="s">
        <v>27625</v>
      </c>
      <c r="NRC1" t="s">
        <v>27626</v>
      </c>
      <c r="NRD1" t="s">
        <v>27627</v>
      </c>
      <c r="NRE1" t="s">
        <v>27628</v>
      </c>
      <c r="NRF1" t="s">
        <v>27629</v>
      </c>
      <c r="NRG1" t="s">
        <v>27630</v>
      </c>
      <c r="NRH1" t="s">
        <v>27631</v>
      </c>
      <c r="NRI1" t="s">
        <v>27632</v>
      </c>
      <c r="NRJ1" t="s">
        <v>27633</v>
      </c>
      <c r="NRK1" t="s">
        <v>27634</v>
      </c>
      <c r="NRL1" t="s">
        <v>27635</v>
      </c>
      <c r="NRM1" t="s">
        <v>27636</v>
      </c>
      <c r="NRN1" t="s">
        <v>27637</v>
      </c>
      <c r="NRO1" t="s">
        <v>27638</v>
      </c>
      <c r="NRP1" t="s">
        <v>27639</v>
      </c>
      <c r="NRQ1" t="s">
        <v>27640</v>
      </c>
      <c r="NRR1" t="s">
        <v>27641</v>
      </c>
      <c r="NRS1" t="s">
        <v>27642</v>
      </c>
      <c r="NRT1" t="s">
        <v>27643</v>
      </c>
      <c r="NRU1" t="s">
        <v>27644</v>
      </c>
      <c r="NRV1" t="s">
        <v>27645</v>
      </c>
      <c r="NRW1" t="s">
        <v>27646</v>
      </c>
      <c r="NRX1" t="s">
        <v>27647</v>
      </c>
      <c r="NRY1" t="s">
        <v>27648</v>
      </c>
      <c r="NRZ1" t="s">
        <v>27649</v>
      </c>
      <c r="NSA1" t="s">
        <v>27650</v>
      </c>
      <c r="NSB1" t="s">
        <v>27651</v>
      </c>
      <c r="NSC1" t="s">
        <v>27652</v>
      </c>
      <c r="NSD1" t="s">
        <v>27653</v>
      </c>
      <c r="NSE1" t="s">
        <v>27654</v>
      </c>
      <c r="NSF1" t="s">
        <v>27655</v>
      </c>
      <c r="NSG1" t="s">
        <v>27656</v>
      </c>
      <c r="NSH1" t="s">
        <v>27657</v>
      </c>
      <c r="NSI1" t="s">
        <v>27658</v>
      </c>
      <c r="NSJ1" t="s">
        <v>27659</v>
      </c>
      <c r="NSK1" t="s">
        <v>27660</v>
      </c>
      <c r="NSL1" t="s">
        <v>27661</v>
      </c>
      <c r="NSM1" t="s">
        <v>27662</v>
      </c>
      <c r="NSN1" t="s">
        <v>27663</v>
      </c>
      <c r="NSO1" t="s">
        <v>27664</v>
      </c>
      <c r="NSP1" t="s">
        <v>27665</v>
      </c>
      <c r="NSQ1" t="s">
        <v>27666</v>
      </c>
      <c r="NSR1" t="s">
        <v>27667</v>
      </c>
      <c r="NSS1" t="s">
        <v>27668</v>
      </c>
      <c r="NST1" t="s">
        <v>27669</v>
      </c>
      <c r="NSU1" t="s">
        <v>27670</v>
      </c>
      <c r="NSV1" t="s">
        <v>27671</v>
      </c>
      <c r="NSW1" t="s">
        <v>27672</v>
      </c>
      <c r="NSX1" t="s">
        <v>27673</v>
      </c>
      <c r="NSY1" t="s">
        <v>27674</v>
      </c>
      <c r="NSZ1" t="s">
        <v>27675</v>
      </c>
      <c r="NTA1" t="s">
        <v>27676</v>
      </c>
      <c r="NTB1" t="s">
        <v>27677</v>
      </c>
      <c r="NTC1" t="s">
        <v>27678</v>
      </c>
      <c r="NTD1" t="s">
        <v>27679</v>
      </c>
      <c r="NTE1" t="s">
        <v>27680</v>
      </c>
      <c r="NTF1" t="s">
        <v>27681</v>
      </c>
      <c r="NTG1" t="s">
        <v>27682</v>
      </c>
      <c r="NTH1" t="s">
        <v>27683</v>
      </c>
      <c r="NTI1" t="s">
        <v>27684</v>
      </c>
      <c r="NTJ1" t="s">
        <v>27685</v>
      </c>
      <c r="NTK1" t="s">
        <v>27686</v>
      </c>
      <c r="NTL1" t="s">
        <v>27687</v>
      </c>
      <c r="NTM1" t="s">
        <v>27688</v>
      </c>
      <c r="NTN1" t="s">
        <v>27689</v>
      </c>
      <c r="NTO1" t="s">
        <v>27690</v>
      </c>
      <c r="NTP1" t="s">
        <v>27691</v>
      </c>
      <c r="NTQ1" t="s">
        <v>27692</v>
      </c>
      <c r="NTR1" t="s">
        <v>27693</v>
      </c>
      <c r="NTS1" t="s">
        <v>27694</v>
      </c>
      <c r="NTT1" t="s">
        <v>27695</v>
      </c>
      <c r="NTU1" t="s">
        <v>27696</v>
      </c>
      <c r="NTV1" t="s">
        <v>27697</v>
      </c>
      <c r="NTW1" t="s">
        <v>27698</v>
      </c>
      <c r="NTX1" t="s">
        <v>27699</v>
      </c>
      <c r="NTY1" t="s">
        <v>27700</v>
      </c>
      <c r="NTZ1" t="s">
        <v>27701</v>
      </c>
      <c r="NUA1" t="s">
        <v>27702</v>
      </c>
      <c r="NUB1" t="s">
        <v>27703</v>
      </c>
      <c r="NUC1" t="s">
        <v>27704</v>
      </c>
      <c r="NUD1" t="s">
        <v>27705</v>
      </c>
      <c r="NUE1" t="s">
        <v>27706</v>
      </c>
      <c r="NUF1" t="s">
        <v>27707</v>
      </c>
      <c r="NUG1" t="s">
        <v>27708</v>
      </c>
      <c r="NUH1" t="s">
        <v>27709</v>
      </c>
      <c r="NUI1" t="s">
        <v>27710</v>
      </c>
      <c r="NUJ1" t="s">
        <v>27711</v>
      </c>
      <c r="NUK1" t="s">
        <v>27712</v>
      </c>
      <c r="NUL1" t="s">
        <v>27713</v>
      </c>
      <c r="NUM1" t="s">
        <v>27714</v>
      </c>
      <c r="NUN1" t="s">
        <v>27715</v>
      </c>
      <c r="NUO1" t="s">
        <v>27716</v>
      </c>
      <c r="NUP1" t="s">
        <v>27717</v>
      </c>
      <c r="NUQ1" t="s">
        <v>27718</v>
      </c>
      <c r="NUR1" t="s">
        <v>27719</v>
      </c>
      <c r="NUS1" t="s">
        <v>27720</v>
      </c>
      <c r="NUT1" t="s">
        <v>27721</v>
      </c>
      <c r="NUU1" t="s">
        <v>27722</v>
      </c>
      <c r="NUV1" t="s">
        <v>27723</v>
      </c>
      <c r="NUW1" t="s">
        <v>27724</v>
      </c>
      <c r="NUX1" t="s">
        <v>27725</v>
      </c>
      <c r="NUY1" t="s">
        <v>27726</v>
      </c>
      <c r="NUZ1" t="s">
        <v>27727</v>
      </c>
      <c r="NVA1" t="s">
        <v>27728</v>
      </c>
      <c r="NVB1" t="s">
        <v>27729</v>
      </c>
      <c r="NVC1" t="s">
        <v>27730</v>
      </c>
      <c r="NVD1" t="s">
        <v>27731</v>
      </c>
      <c r="NVE1" t="s">
        <v>27732</v>
      </c>
      <c r="NVF1" t="s">
        <v>27733</v>
      </c>
      <c r="NVG1" t="s">
        <v>27734</v>
      </c>
      <c r="NVH1" t="s">
        <v>27735</v>
      </c>
      <c r="NVI1" t="s">
        <v>27736</v>
      </c>
      <c r="NVJ1" t="s">
        <v>27737</v>
      </c>
      <c r="NVK1" t="s">
        <v>27738</v>
      </c>
      <c r="NVL1" t="s">
        <v>27739</v>
      </c>
      <c r="NVM1" t="s">
        <v>27740</v>
      </c>
      <c r="NVN1" t="s">
        <v>27741</v>
      </c>
      <c r="NVO1" t="s">
        <v>27742</v>
      </c>
      <c r="NVP1" t="s">
        <v>27743</v>
      </c>
      <c r="NVQ1" t="s">
        <v>27744</v>
      </c>
      <c r="NVR1" t="s">
        <v>27745</v>
      </c>
      <c r="NVS1" t="s">
        <v>27746</v>
      </c>
      <c r="NVT1" t="s">
        <v>27747</v>
      </c>
      <c r="NVU1" t="s">
        <v>27748</v>
      </c>
      <c r="NVV1" t="s">
        <v>27749</v>
      </c>
      <c r="NVW1" t="s">
        <v>27750</v>
      </c>
      <c r="NVX1" t="s">
        <v>27751</v>
      </c>
      <c r="NVY1" t="s">
        <v>27752</v>
      </c>
      <c r="NVZ1" t="s">
        <v>27753</v>
      </c>
      <c r="NWA1" t="s">
        <v>27754</v>
      </c>
      <c r="NWB1" t="s">
        <v>27755</v>
      </c>
      <c r="NWC1" t="s">
        <v>27756</v>
      </c>
      <c r="NWD1" t="s">
        <v>27757</v>
      </c>
      <c r="NWE1" t="s">
        <v>27758</v>
      </c>
      <c r="NWF1" t="s">
        <v>27759</v>
      </c>
      <c r="NWG1" t="s">
        <v>27760</v>
      </c>
      <c r="NWH1" t="s">
        <v>27761</v>
      </c>
      <c r="NWI1" t="s">
        <v>27762</v>
      </c>
      <c r="NWJ1" t="s">
        <v>27763</v>
      </c>
      <c r="NWK1" t="s">
        <v>27764</v>
      </c>
      <c r="NWL1" t="s">
        <v>27765</v>
      </c>
      <c r="NWM1" t="s">
        <v>27766</v>
      </c>
      <c r="NWN1" t="s">
        <v>27767</v>
      </c>
      <c r="NWO1" t="s">
        <v>27768</v>
      </c>
      <c r="NWP1" t="s">
        <v>27769</v>
      </c>
      <c r="NWQ1" t="s">
        <v>27770</v>
      </c>
      <c r="NWR1" t="s">
        <v>27771</v>
      </c>
      <c r="NWS1" t="s">
        <v>27772</v>
      </c>
      <c r="NWT1" t="s">
        <v>27773</v>
      </c>
      <c r="NWU1" t="s">
        <v>27774</v>
      </c>
      <c r="NWV1" t="s">
        <v>27775</v>
      </c>
      <c r="NWW1" t="s">
        <v>27776</v>
      </c>
      <c r="NWX1" t="s">
        <v>27777</v>
      </c>
      <c r="NWY1" t="s">
        <v>27778</v>
      </c>
      <c r="NWZ1" t="s">
        <v>27779</v>
      </c>
      <c r="NXA1" t="s">
        <v>27780</v>
      </c>
      <c r="NXB1" t="s">
        <v>27781</v>
      </c>
      <c r="NXC1" t="s">
        <v>27782</v>
      </c>
      <c r="NXD1" t="s">
        <v>27783</v>
      </c>
      <c r="NXE1" t="s">
        <v>27784</v>
      </c>
      <c r="NXF1" t="s">
        <v>27785</v>
      </c>
      <c r="NXG1" t="s">
        <v>27786</v>
      </c>
      <c r="NXH1" t="s">
        <v>27787</v>
      </c>
      <c r="NXI1" t="s">
        <v>27788</v>
      </c>
      <c r="NXJ1" t="s">
        <v>27789</v>
      </c>
      <c r="NXK1" t="s">
        <v>27790</v>
      </c>
      <c r="NXL1" t="s">
        <v>27791</v>
      </c>
      <c r="NXM1" t="s">
        <v>27792</v>
      </c>
      <c r="NXN1" t="s">
        <v>27793</v>
      </c>
      <c r="NXO1" t="s">
        <v>27794</v>
      </c>
      <c r="NXP1" t="s">
        <v>27795</v>
      </c>
      <c r="NXQ1" t="s">
        <v>27796</v>
      </c>
      <c r="NXR1" t="s">
        <v>27797</v>
      </c>
      <c r="NXS1" t="s">
        <v>27798</v>
      </c>
      <c r="NXT1" t="s">
        <v>27799</v>
      </c>
      <c r="NXU1" t="s">
        <v>27800</v>
      </c>
      <c r="NXV1" t="s">
        <v>27801</v>
      </c>
      <c r="NXW1" t="s">
        <v>27802</v>
      </c>
      <c r="NXX1" t="s">
        <v>27803</v>
      </c>
      <c r="NXY1" t="s">
        <v>27804</v>
      </c>
      <c r="NXZ1" t="s">
        <v>27805</v>
      </c>
      <c r="NYA1" t="s">
        <v>27806</v>
      </c>
      <c r="NYB1" t="s">
        <v>27807</v>
      </c>
      <c r="NYC1" t="s">
        <v>27808</v>
      </c>
      <c r="NYD1" t="s">
        <v>27809</v>
      </c>
      <c r="NYE1" t="s">
        <v>27810</v>
      </c>
      <c r="NYF1" t="s">
        <v>27811</v>
      </c>
      <c r="NYG1" t="s">
        <v>27812</v>
      </c>
      <c r="NYH1" t="s">
        <v>27813</v>
      </c>
      <c r="NYI1" t="s">
        <v>27814</v>
      </c>
      <c r="NYJ1" t="s">
        <v>27815</v>
      </c>
      <c r="NYK1" t="s">
        <v>27816</v>
      </c>
      <c r="NYL1" t="s">
        <v>27817</v>
      </c>
      <c r="NYM1" t="s">
        <v>27818</v>
      </c>
      <c r="NYN1" t="s">
        <v>27819</v>
      </c>
      <c r="NYO1" t="s">
        <v>27820</v>
      </c>
      <c r="NYP1" t="s">
        <v>27821</v>
      </c>
      <c r="NYQ1" t="s">
        <v>27822</v>
      </c>
      <c r="NYR1" t="s">
        <v>27823</v>
      </c>
      <c r="NYS1" t="s">
        <v>27824</v>
      </c>
      <c r="NYT1" t="s">
        <v>27825</v>
      </c>
      <c r="NYU1" t="s">
        <v>27826</v>
      </c>
      <c r="NYV1" t="s">
        <v>27827</v>
      </c>
      <c r="NYW1" t="s">
        <v>27828</v>
      </c>
      <c r="NYX1" t="s">
        <v>27829</v>
      </c>
      <c r="NYY1" t="s">
        <v>27830</v>
      </c>
      <c r="NYZ1" t="s">
        <v>27831</v>
      </c>
      <c r="NZA1" t="s">
        <v>27832</v>
      </c>
      <c r="NZB1" t="s">
        <v>27833</v>
      </c>
      <c r="NZC1" t="s">
        <v>27834</v>
      </c>
      <c r="NZD1" t="s">
        <v>27835</v>
      </c>
      <c r="NZE1" t="s">
        <v>27836</v>
      </c>
      <c r="NZF1" t="s">
        <v>27837</v>
      </c>
      <c r="NZG1" t="s">
        <v>27838</v>
      </c>
      <c r="NZH1" t="s">
        <v>27839</v>
      </c>
      <c r="NZI1" t="s">
        <v>27840</v>
      </c>
      <c r="NZJ1" t="s">
        <v>27841</v>
      </c>
      <c r="NZK1" t="s">
        <v>27842</v>
      </c>
      <c r="NZL1" t="s">
        <v>27843</v>
      </c>
      <c r="NZM1" t="s">
        <v>27844</v>
      </c>
      <c r="NZN1" t="s">
        <v>27845</v>
      </c>
      <c r="NZO1" t="s">
        <v>27846</v>
      </c>
      <c r="NZP1" t="s">
        <v>27847</v>
      </c>
      <c r="NZQ1" t="s">
        <v>27848</v>
      </c>
      <c r="NZR1" t="s">
        <v>27849</v>
      </c>
      <c r="NZS1" t="s">
        <v>27850</v>
      </c>
      <c r="NZT1" t="s">
        <v>27851</v>
      </c>
      <c r="NZU1" t="s">
        <v>27852</v>
      </c>
      <c r="NZV1" t="s">
        <v>27853</v>
      </c>
      <c r="NZW1" t="s">
        <v>27854</v>
      </c>
      <c r="NZX1" t="s">
        <v>27855</v>
      </c>
      <c r="NZY1" t="s">
        <v>27856</v>
      </c>
      <c r="NZZ1" t="s">
        <v>27857</v>
      </c>
      <c r="OAA1" t="s">
        <v>27858</v>
      </c>
      <c r="OAB1" t="s">
        <v>27859</v>
      </c>
      <c r="OAC1" t="s">
        <v>27860</v>
      </c>
      <c r="OAD1" t="s">
        <v>27861</v>
      </c>
      <c r="OAE1" t="s">
        <v>27862</v>
      </c>
      <c r="OAF1" t="s">
        <v>27863</v>
      </c>
      <c r="OAG1" t="s">
        <v>27864</v>
      </c>
      <c r="OAH1" t="s">
        <v>27865</v>
      </c>
      <c r="OAI1" t="s">
        <v>27866</v>
      </c>
      <c r="OAJ1" t="s">
        <v>27867</v>
      </c>
      <c r="OAK1" t="s">
        <v>27868</v>
      </c>
      <c r="OAL1" t="s">
        <v>27869</v>
      </c>
      <c r="OAM1" t="s">
        <v>27870</v>
      </c>
      <c r="OAN1" t="s">
        <v>27871</v>
      </c>
      <c r="OAO1" t="s">
        <v>27872</v>
      </c>
      <c r="OAP1" t="s">
        <v>27873</v>
      </c>
      <c r="OAQ1" t="s">
        <v>27874</v>
      </c>
      <c r="OAR1" t="s">
        <v>27875</v>
      </c>
      <c r="OAS1" t="s">
        <v>27876</v>
      </c>
      <c r="OAT1" t="s">
        <v>27877</v>
      </c>
      <c r="OAU1" t="s">
        <v>27878</v>
      </c>
      <c r="OAV1" t="s">
        <v>27879</v>
      </c>
      <c r="OAW1" t="s">
        <v>27880</v>
      </c>
      <c r="OAX1" t="s">
        <v>27881</v>
      </c>
      <c r="OAY1" t="s">
        <v>27882</v>
      </c>
      <c r="OAZ1" t="s">
        <v>27883</v>
      </c>
      <c r="OBA1" t="s">
        <v>27884</v>
      </c>
      <c r="OBB1" t="s">
        <v>27885</v>
      </c>
      <c r="OBC1" t="s">
        <v>27886</v>
      </c>
      <c r="OBD1" t="s">
        <v>27887</v>
      </c>
      <c r="OBE1" t="s">
        <v>27888</v>
      </c>
      <c r="OBF1" t="s">
        <v>27889</v>
      </c>
      <c r="OBG1" t="s">
        <v>27890</v>
      </c>
      <c r="OBH1" t="s">
        <v>27891</v>
      </c>
      <c r="OBI1" t="s">
        <v>27892</v>
      </c>
      <c r="OBJ1" t="s">
        <v>27893</v>
      </c>
      <c r="OBK1" t="s">
        <v>27894</v>
      </c>
      <c r="OBL1" t="s">
        <v>27895</v>
      </c>
      <c r="OBM1" t="s">
        <v>27896</v>
      </c>
      <c r="OBN1" t="s">
        <v>27897</v>
      </c>
      <c r="OBO1" t="s">
        <v>27898</v>
      </c>
      <c r="OBP1" t="s">
        <v>27899</v>
      </c>
      <c r="OBQ1" t="s">
        <v>27900</v>
      </c>
      <c r="OBR1" t="s">
        <v>27901</v>
      </c>
      <c r="OBS1" t="s">
        <v>27902</v>
      </c>
      <c r="OBT1" t="s">
        <v>27903</v>
      </c>
      <c r="OBU1" t="s">
        <v>27904</v>
      </c>
      <c r="OBV1" t="s">
        <v>27905</v>
      </c>
      <c r="OBW1" t="s">
        <v>27906</v>
      </c>
      <c r="OBX1" t="s">
        <v>27907</v>
      </c>
      <c r="OBY1" t="s">
        <v>27908</v>
      </c>
      <c r="OBZ1" t="s">
        <v>27909</v>
      </c>
      <c r="OCA1" t="s">
        <v>27910</v>
      </c>
      <c r="OCB1" t="s">
        <v>27911</v>
      </c>
      <c r="OCC1" t="s">
        <v>27912</v>
      </c>
      <c r="OCD1" t="s">
        <v>27913</v>
      </c>
      <c r="OCE1" t="s">
        <v>27914</v>
      </c>
      <c r="OCF1" t="s">
        <v>27915</v>
      </c>
      <c r="OCG1" t="s">
        <v>27916</v>
      </c>
      <c r="OCH1" t="s">
        <v>27917</v>
      </c>
      <c r="OCI1" t="s">
        <v>27918</v>
      </c>
      <c r="OCJ1" t="s">
        <v>27919</v>
      </c>
      <c r="OCK1" t="s">
        <v>27920</v>
      </c>
      <c r="OCL1" t="s">
        <v>27921</v>
      </c>
      <c r="OCM1" t="s">
        <v>27922</v>
      </c>
      <c r="OCN1" t="s">
        <v>27923</v>
      </c>
      <c r="OCO1" t="s">
        <v>27924</v>
      </c>
      <c r="OCP1" t="s">
        <v>27925</v>
      </c>
      <c r="OCQ1" t="s">
        <v>27926</v>
      </c>
      <c r="OCR1" t="s">
        <v>27927</v>
      </c>
      <c r="OCS1" t="s">
        <v>27928</v>
      </c>
      <c r="OCT1" t="s">
        <v>27929</v>
      </c>
      <c r="OCU1" t="s">
        <v>27930</v>
      </c>
      <c r="OCV1" t="s">
        <v>27931</v>
      </c>
      <c r="OCW1" t="s">
        <v>27932</v>
      </c>
      <c r="OCX1" t="s">
        <v>27933</v>
      </c>
      <c r="OCY1" t="s">
        <v>27934</v>
      </c>
      <c r="OCZ1" t="s">
        <v>27935</v>
      </c>
      <c r="ODA1" t="s">
        <v>27936</v>
      </c>
      <c r="ODB1" t="s">
        <v>27937</v>
      </c>
      <c r="ODC1" t="s">
        <v>27938</v>
      </c>
      <c r="ODD1" t="s">
        <v>27939</v>
      </c>
      <c r="ODE1" t="s">
        <v>27940</v>
      </c>
      <c r="ODF1" t="s">
        <v>27941</v>
      </c>
      <c r="ODG1" t="s">
        <v>27942</v>
      </c>
      <c r="ODH1" t="s">
        <v>27943</v>
      </c>
      <c r="ODI1" t="s">
        <v>27944</v>
      </c>
      <c r="ODJ1" t="s">
        <v>27945</v>
      </c>
      <c r="ODK1" t="s">
        <v>27946</v>
      </c>
      <c r="ODL1" t="s">
        <v>27947</v>
      </c>
      <c r="ODM1" t="s">
        <v>27948</v>
      </c>
      <c r="ODN1" t="s">
        <v>27949</v>
      </c>
      <c r="ODO1" t="s">
        <v>27950</v>
      </c>
      <c r="ODP1" t="s">
        <v>27951</v>
      </c>
      <c r="ODQ1" t="s">
        <v>27952</v>
      </c>
      <c r="ODR1" t="s">
        <v>27953</v>
      </c>
      <c r="ODS1" t="s">
        <v>27954</v>
      </c>
      <c r="ODT1" t="s">
        <v>27955</v>
      </c>
      <c r="ODU1" t="s">
        <v>27956</v>
      </c>
      <c r="ODV1" t="s">
        <v>27957</v>
      </c>
      <c r="ODW1" t="s">
        <v>27958</v>
      </c>
      <c r="ODX1" t="s">
        <v>27959</v>
      </c>
      <c r="ODY1" t="s">
        <v>27960</v>
      </c>
      <c r="ODZ1" t="s">
        <v>27961</v>
      </c>
      <c r="OEA1" t="s">
        <v>27962</v>
      </c>
      <c r="OEB1" t="s">
        <v>27963</v>
      </c>
      <c r="OEC1" t="s">
        <v>27964</v>
      </c>
      <c r="OED1" t="s">
        <v>27965</v>
      </c>
      <c r="OEE1" t="s">
        <v>27966</v>
      </c>
      <c r="OEF1" t="s">
        <v>27967</v>
      </c>
      <c r="OEG1" t="s">
        <v>27968</v>
      </c>
      <c r="OEH1" t="s">
        <v>27969</v>
      </c>
      <c r="OEI1" t="s">
        <v>27970</v>
      </c>
      <c r="OEJ1" t="s">
        <v>27971</v>
      </c>
      <c r="OEK1" t="s">
        <v>27972</v>
      </c>
      <c r="OEL1" t="s">
        <v>27973</v>
      </c>
      <c r="OEM1" t="s">
        <v>27974</v>
      </c>
      <c r="OEN1" t="s">
        <v>27975</v>
      </c>
      <c r="OEO1" t="s">
        <v>27976</v>
      </c>
      <c r="OEP1" t="s">
        <v>27977</v>
      </c>
      <c r="OEQ1" t="s">
        <v>27978</v>
      </c>
      <c r="OER1" t="s">
        <v>27979</v>
      </c>
      <c r="OES1" t="s">
        <v>27980</v>
      </c>
      <c r="OET1" t="s">
        <v>27981</v>
      </c>
      <c r="OEU1" t="s">
        <v>27982</v>
      </c>
      <c r="OEV1" t="s">
        <v>27983</v>
      </c>
      <c r="OEW1" t="s">
        <v>27984</v>
      </c>
      <c r="OEX1" t="s">
        <v>27985</v>
      </c>
      <c r="OEY1" t="s">
        <v>27986</v>
      </c>
      <c r="OEZ1" t="s">
        <v>27987</v>
      </c>
      <c r="OFA1" t="s">
        <v>27988</v>
      </c>
      <c r="OFB1" t="s">
        <v>27989</v>
      </c>
      <c r="OFC1" t="s">
        <v>27990</v>
      </c>
      <c r="OFD1" t="s">
        <v>27991</v>
      </c>
      <c r="OFE1" t="s">
        <v>27992</v>
      </c>
      <c r="OFF1" t="s">
        <v>27993</v>
      </c>
      <c r="OFG1" t="s">
        <v>27994</v>
      </c>
      <c r="OFH1" t="s">
        <v>27995</v>
      </c>
      <c r="OFI1" t="s">
        <v>27996</v>
      </c>
      <c r="OFJ1" t="s">
        <v>27997</v>
      </c>
      <c r="OFK1" t="s">
        <v>27998</v>
      </c>
      <c r="OFL1" t="s">
        <v>27999</v>
      </c>
      <c r="OFM1" t="s">
        <v>28000</v>
      </c>
      <c r="OFN1" t="s">
        <v>28001</v>
      </c>
      <c r="OFO1" t="s">
        <v>28002</v>
      </c>
      <c r="OFP1" t="s">
        <v>28003</v>
      </c>
      <c r="OFQ1" t="s">
        <v>28004</v>
      </c>
      <c r="OFR1" t="s">
        <v>28005</v>
      </c>
      <c r="OFS1" t="s">
        <v>28006</v>
      </c>
      <c r="OFT1" t="s">
        <v>28007</v>
      </c>
      <c r="OFU1" t="s">
        <v>28008</v>
      </c>
      <c r="OFV1" t="s">
        <v>28009</v>
      </c>
      <c r="OFW1" t="s">
        <v>28010</v>
      </c>
      <c r="OFX1" t="s">
        <v>28011</v>
      </c>
      <c r="OFY1" t="s">
        <v>28012</v>
      </c>
      <c r="OFZ1" t="s">
        <v>28013</v>
      </c>
      <c r="OGA1" t="s">
        <v>28014</v>
      </c>
      <c r="OGB1" t="s">
        <v>28015</v>
      </c>
      <c r="OGC1" t="s">
        <v>28016</v>
      </c>
      <c r="OGD1" t="s">
        <v>28017</v>
      </c>
      <c r="OGE1" t="s">
        <v>28018</v>
      </c>
      <c r="OGF1" t="s">
        <v>28019</v>
      </c>
      <c r="OGG1" t="s">
        <v>28020</v>
      </c>
      <c r="OGH1" t="s">
        <v>28021</v>
      </c>
      <c r="OGI1" t="s">
        <v>28022</v>
      </c>
      <c r="OGJ1" t="s">
        <v>28023</v>
      </c>
      <c r="OGK1" t="s">
        <v>28024</v>
      </c>
      <c r="OGL1" t="s">
        <v>28025</v>
      </c>
      <c r="OGM1" t="s">
        <v>28026</v>
      </c>
      <c r="OGN1" t="s">
        <v>28027</v>
      </c>
      <c r="OGO1" t="s">
        <v>28028</v>
      </c>
      <c r="OGP1" t="s">
        <v>28029</v>
      </c>
      <c r="OGQ1" t="s">
        <v>28030</v>
      </c>
      <c r="OGR1" t="s">
        <v>28031</v>
      </c>
      <c r="OGS1" t="s">
        <v>28032</v>
      </c>
      <c r="OGT1" t="s">
        <v>28033</v>
      </c>
      <c r="OGU1" t="s">
        <v>28034</v>
      </c>
      <c r="OGV1" t="s">
        <v>28035</v>
      </c>
      <c r="OGW1" t="s">
        <v>28036</v>
      </c>
      <c r="OGX1" t="s">
        <v>28037</v>
      </c>
      <c r="OGY1" t="s">
        <v>28038</v>
      </c>
      <c r="OGZ1" t="s">
        <v>28039</v>
      </c>
      <c r="OHA1" t="s">
        <v>28040</v>
      </c>
      <c r="OHB1" t="s">
        <v>28041</v>
      </c>
      <c r="OHC1" t="s">
        <v>28042</v>
      </c>
      <c r="OHD1" t="s">
        <v>28043</v>
      </c>
      <c r="OHE1" t="s">
        <v>28044</v>
      </c>
      <c r="OHF1" t="s">
        <v>28045</v>
      </c>
      <c r="OHG1" t="s">
        <v>28046</v>
      </c>
      <c r="OHH1" t="s">
        <v>28047</v>
      </c>
      <c r="OHI1" t="s">
        <v>28048</v>
      </c>
      <c r="OHJ1" t="s">
        <v>28049</v>
      </c>
      <c r="OHK1" t="s">
        <v>28050</v>
      </c>
      <c r="OHL1" t="s">
        <v>28051</v>
      </c>
      <c r="OHM1" t="s">
        <v>28052</v>
      </c>
      <c r="OHN1" t="s">
        <v>28053</v>
      </c>
      <c r="OHO1" t="s">
        <v>28054</v>
      </c>
      <c r="OHP1" t="s">
        <v>28055</v>
      </c>
      <c r="OHQ1" t="s">
        <v>28056</v>
      </c>
      <c r="OHR1" t="s">
        <v>28057</v>
      </c>
      <c r="OHS1" t="s">
        <v>28058</v>
      </c>
      <c r="OHT1" t="s">
        <v>28059</v>
      </c>
      <c r="OHU1" t="s">
        <v>28060</v>
      </c>
      <c r="OHV1" t="s">
        <v>28061</v>
      </c>
      <c r="OHW1" t="s">
        <v>28062</v>
      </c>
      <c r="OHX1" t="s">
        <v>28063</v>
      </c>
      <c r="OHY1" t="s">
        <v>28064</v>
      </c>
      <c r="OHZ1" t="s">
        <v>28065</v>
      </c>
      <c r="OIA1" t="s">
        <v>28066</v>
      </c>
      <c r="OIB1" t="s">
        <v>28067</v>
      </c>
      <c r="OIC1" t="s">
        <v>28068</v>
      </c>
      <c r="OID1" t="s">
        <v>28069</v>
      </c>
      <c r="OIE1" t="s">
        <v>28070</v>
      </c>
      <c r="OIF1" t="s">
        <v>28071</v>
      </c>
      <c r="OIG1" t="s">
        <v>28072</v>
      </c>
      <c r="OIH1" t="s">
        <v>28073</v>
      </c>
      <c r="OII1" t="s">
        <v>28074</v>
      </c>
      <c r="OIJ1" t="s">
        <v>28075</v>
      </c>
      <c r="OIK1" t="s">
        <v>28076</v>
      </c>
      <c r="OIL1" t="s">
        <v>28077</v>
      </c>
      <c r="OIM1" t="s">
        <v>28078</v>
      </c>
      <c r="OIN1" t="s">
        <v>28079</v>
      </c>
      <c r="OIO1" t="s">
        <v>28080</v>
      </c>
      <c r="OIP1" t="s">
        <v>28081</v>
      </c>
      <c r="OIQ1" t="s">
        <v>28082</v>
      </c>
      <c r="OIR1" t="s">
        <v>28083</v>
      </c>
      <c r="OIS1" t="s">
        <v>28084</v>
      </c>
      <c r="OIT1" t="s">
        <v>28085</v>
      </c>
      <c r="OIU1" t="s">
        <v>28086</v>
      </c>
      <c r="OIV1" t="s">
        <v>28087</v>
      </c>
      <c r="OIW1" t="s">
        <v>28088</v>
      </c>
      <c r="OIX1" t="s">
        <v>28089</v>
      </c>
      <c r="OIY1" t="s">
        <v>28090</v>
      </c>
      <c r="OIZ1" t="s">
        <v>28091</v>
      </c>
      <c r="OJA1" t="s">
        <v>28092</v>
      </c>
      <c r="OJB1" t="s">
        <v>28093</v>
      </c>
      <c r="OJC1" t="s">
        <v>28094</v>
      </c>
      <c r="OJD1" t="s">
        <v>28095</v>
      </c>
      <c r="OJE1" t="s">
        <v>28096</v>
      </c>
      <c r="OJF1" t="s">
        <v>28097</v>
      </c>
      <c r="OJG1" t="s">
        <v>28098</v>
      </c>
      <c r="OJH1" t="s">
        <v>28099</v>
      </c>
      <c r="OJI1" t="s">
        <v>28100</v>
      </c>
      <c r="OJJ1" t="s">
        <v>28101</v>
      </c>
      <c r="OJK1" t="s">
        <v>28102</v>
      </c>
      <c r="OJL1" t="s">
        <v>28103</v>
      </c>
      <c r="OJM1" t="s">
        <v>28104</v>
      </c>
      <c r="OJN1" t="s">
        <v>28105</v>
      </c>
      <c r="OJO1" t="s">
        <v>28106</v>
      </c>
      <c r="OJP1" t="s">
        <v>28107</v>
      </c>
      <c r="OJQ1" t="s">
        <v>28108</v>
      </c>
      <c r="OJR1" t="s">
        <v>28109</v>
      </c>
      <c r="OJS1" t="s">
        <v>28110</v>
      </c>
      <c r="OJT1" t="s">
        <v>28111</v>
      </c>
      <c r="OJU1" t="s">
        <v>28112</v>
      </c>
      <c r="OJV1" t="s">
        <v>28113</v>
      </c>
      <c r="OJW1" t="s">
        <v>28114</v>
      </c>
      <c r="OJX1" t="s">
        <v>28115</v>
      </c>
      <c r="OJY1" t="s">
        <v>28116</v>
      </c>
      <c r="OJZ1" t="s">
        <v>28117</v>
      </c>
      <c r="OKA1" t="s">
        <v>28118</v>
      </c>
      <c r="OKB1" t="s">
        <v>28119</v>
      </c>
      <c r="OKC1" t="s">
        <v>28120</v>
      </c>
      <c r="OKD1" t="s">
        <v>28121</v>
      </c>
      <c r="OKE1" t="s">
        <v>28122</v>
      </c>
      <c r="OKF1" t="s">
        <v>28123</v>
      </c>
      <c r="OKG1" t="s">
        <v>28124</v>
      </c>
      <c r="OKH1" t="s">
        <v>28125</v>
      </c>
      <c r="OKI1" t="s">
        <v>28126</v>
      </c>
      <c r="OKJ1" t="s">
        <v>28127</v>
      </c>
      <c r="OKK1" t="s">
        <v>28128</v>
      </c>
      <c r="OKL1" t="s">
        <v>28129</v>
      </c>
      <c r="OKM1" t="s">
        <v>28130</v>
      </c>
      <c r="OKN1" t="s">
        <v>28131</v>
      </c>
      <c r="OKO1" t="s">
        <v>28132</v>
      </c>
      <c r="OKP1" t="s">
        <v>28133</v>
      </c>
      <c r="OKQ1" t="s">
        <v>28134</v>
      </c>
      <c r="OKR1" t="s">
        <v>28135</v>
      </c>
      <c r="OKS1" t="s">
        <v>28136</v>
      </c>
      <c r="OKT1" t="s">
        <v>28137</v>
      </c>
      <c r="OKU1" t="s">
        <v>28138</v>
      </c>
      <c r="OKV1" t="s">
        <v>28139</v>
      </c>
      <c r="OKW1" t="s">
        <v>28140</v>
      </c>
      <c r="OKX1" t="s">
        <v>28141</v>
      </c>
      <c r="OKY1" t="s">
        <v>28142</v>
      </c>
      <c r="OKZ1" t="s">
        <v>28143</v>
      </c>
      <c r="OLA1" t="s">
        <v>28144</v>
      </c>
      <c r="OLB1" t="s">
        <v>28145</v>
      </c>
      <c r="OLC1" t="s">
        <v>28146</v>
      </c>
      <c r="OLD1" t="s">
        <v>28147</v>
      </c>
      <c r="OLE1" t="s">
        <v>28148</v>
      </c>
      <c r="OLF1" t="s">
        <v>28149</v>
      </c>
      <c r="OLG1" t="s">
        <v>28150</v>
      </c>
      <c r="OLH1" t="s">
        <v>28151</v>
      </c>
      <c r="OLI1" t="s">
        <v>28152</v>
      </c>
      <c r="OLJ1" t="s">
        <v>28153</v>
      </c>
      <c r="OLK1" t="s">
        <v>28154</v>
      </c>
      <c r="OLL1" t="s">
        <v>28155</v>
      </c>
      <c r="OLM1" t="s">
        <v>28156</v>
      </c>
      <c r="OLN1" t="s">
        <v>28157</v>
      </c>
      <c r="OLO1" t="s">
        <v>28158</v>
      </c>
      <c r="OLP1" t="s">
        <v>28159</v>
      </c>
      <c r="OLQ1" t="s">
        <v>28160</v>
      </c>
      <c r="OLR1" t="s">
        <v>28161</v>
      </c>
      <c r="OLS1" t="s">
        <v>28162</v>
      </c>
      <c r="OLT1" t="s">
        <v>28163</v>
      </c>
      <c r="OLU1" t="s">
        <v>28164</v>
      </c>
      <c r="OLV1" t="s">
        <v>28165</v>
      </c>
      <c r="OLW1" t="s">
        <v>28166</v>
      </c>
      <c r="OLX1" t="s">
        <v>28167</v>
      </c>
      <c r="OLY1" t="s">
        <v>28168</v>
      </c>
      <c r="OLZ1" t="s">
        <v>28169</v>
      </c>
      <c r="OMA1" t="s">
        <v>28170</v>
      </c>
      <c r="OMB1" t="s">
        <v>28171</v>
      </c>
      <c r="OMC1" t="s">
        <v>28172</v>
      </c>
      <c r="OMD1" t="s">
        <v>28173</v>
      </c>
      <c r="OME1" t="s">
        <v>28174</v>
      </c>
      <c r="OMF1" t="s">
        <v>28175</v>
      </c>
      <c r="OMG1" t="s">
        <v>28176</v>
      </c>
      <c r="OMH1" t="s">
        <v>28177</v>
      </c>
      <c r="OMI1" t="s">
        <v>28178</v>
      </c>
      <c r="OMJ1" t="s">
        <v>28179</v>
      </c>
      <c r="OMK1" t="s">
        <v>28180</v>
      </c>
      <c r="OML1" t="s">
        <v>28181</v>
      </c>
      <c r="OMM1" t="s">
        <v>28182</v>
      </c>
      <c r="OMN1" t="s">
        <v>28183</v>
      </c>
      <c r="OMO1" t="s">
        <v>28184</v>
      </c>
      <c r="OMP1" t="s">
        <v>28185</v>
      </c>
      <c r="OMQ1" t="s">
        <v>28186</v>
      </c>
      <c r="OMR1" t="s">
        <v>28187</v>
      </c>
      <c r="OMS1" t="s">
        <v>28188</v>
      </c>
      <c r="OMT1" t="s">
        <v>28189</v>
      </c>
      <c r="OMU1" t="s">
        <v>28190</v>
      </c>
      <c r="OMV1" t="s">
        <v>28191</v>
      </c>
      <c r="OMW1" t="s">
        <v>28192</v>
      </c>
      <c r="OMX1" t="s">
        <v>28193</v>
      </c>
      <c r="OMY1" t="s">
        <v>28194</v>
      </c>
      <c r="OMZ1" t="s">
        <v>28195</v>
      </c>
      <c r="ONA1" t="s">
        <v>28196</v>
      </c>
      <c r="ONB1" t="s">
        <v>28197</v>
      </c>
      <c r="ONC1" t="s">
        <v>28198</v>
      </c>
      <c r="OND1" t="s">
        <v>28199</v>
      </c>
      <c r="ONE1" t="s">
        <v>28200</v>
      </c>
      <c r="ONF1" t="s">
        <v>28201</v>
      </c>
      <c r="ONG1" t="s">
        <v>28202</v>
      </c>
      <c r="ONH1" t="s">
        <v>28203</v>
      </c>
      <c r="ONI1" t="s">
        <v>28204</v>
      </c>
      <c r="ONJ1" t="s">
        <v>28205</v>
      </c>
      <c r="ONK1" t="s">
        <v>28206</v>
      </c>
      <c r="ONL1" t="s">
        <v>28207</v>
      </c>
      <c r="ONM1" t="s">
        <v>28208</v>
      </c>
      <c r="ONN1" t="s">
        <v>28209</v>
      </c>
      <c r="ONO1" t="s">
        <v>28210</v>
      </c>
      <c r="ONP1" t="s">
        <v>28211</v>
      </c>
      <c r="ONQ1" t="s">
        <v>28212</v>
      </c>
      <c r="ONR1" t="s">
        <v>28213</v>
      </c>
      <c r="ONS1" t="s">
        <v>28214</v>
      </c>
      <c r="ONT1" t="s">
        <v>28215</v>
      </c>
      <c r="ONU1" t="s">
        <v>28216</v>
      </c>
      <c r="ONV1" t="s">
        <v>28217</v>
      </c>
      <c r="ONW1" t="s">
        <v>28218</v>
      </c>
      <c r="ONX1" t="s">
        <v>28219</v>
      </c>
      <c r="ONY1" t="s">
        <v>28220</v>
      </c>
      <c r="ONZ1" t="s">
        <v>28221</v>
      </c>
      <c r="OOA1" t="s">
        <v>28222</v>
      </c>
      <c r="OOB1" t="s">
        <v>28223</v>
      </c>
      <c r="OOC1" t="s">
        <v>28224</v>
      </c>
      <c r="OOD1" t="s">
        <v>28225</v>
      </c>
      <c r="OOE1" t="s">
        <v>28226</v>
      </c>
      <c r="OOF1" t="s">
        <v>28227</v>
      </c>
      <c r="OOG1" t="s">
        <v>28228</v>
      </c>
      <c r="OOH1" t="s">
        <v>28229</v>
      </c>
      <c r="OOI1" t="s">
        <v>28230</v>
      </c>
      <c r="OOJ1" t="s">
        <v>28231</v>
      </c>
      <c r="OOK1" t="s">
        <v>28232</v>
      </c>
      <c r="OOL1" t="s">
        <v>28233</v>
      </c>
      <c r="OOM1" t="s">
        <v>28234</v>
      </c>
      <c r="OON1" t="s">
        <v>28235</v>
      </c>
      <c r="OOO1" t="s">
        <v>28236</v>
      </c>
      <c r="OOP1" t="s">
        <v>28237</v>
      </c>
      <c r="OOQ1" t="s">
        <v>28238</v>
      </c>
      <c r="OOR1" t="s">
        <v>28239</v>
      </c>
      <c r="OOS1" t="s">
        <v>28240</v>
      </c>
      <c r="OOT1" t="s">
        <v>28241</v>
      </c>
      <c r="OOU1" t="s">
        <v>28242</v>
      </c>
      <c r="OOV1" t="s">
        <v>28243</v>
      </c>
      <c r="OOW1" t="s">
        <v>28244</v>
      </c>
      <c r="OOX1" t="s">
        <v>28245</v>
      </c>
      <c r="OOY1" t="s">
        <v>28246</v>
      </c>
      <c r="OOZ1" t="s">
        <v>28247</v>
      </c>
      <c r="OPA1" t="s">
        <v>28248</v>
      </c>
      <c r="OPB1" t="s">
        <v>28249</v>
      </c>
      <c r="OPC1" t="s">
        <v>28250</v>
      </c>
      <c r="OPD1" t="s">
        <v>28251</v>
      </c>
      <c r="OPE1" t="s">
        <v>28252</v>
      </c>
      <c r="OPF1" t="s">
        <v>28253</v>
      </c>
      <c r="OPG1" t="s">
        <v>28254</v>
      </c>
      <c r="OPH1" t="s">
        <v>28255</v>
      </c>
      <c r="OPI1" t="s">
        <v>28256</v>
      </c>
      <c r="OPJ1" t="s">
        <v>28257</v>
      </c>
      <c r="OPK1" t="s">
        <v>28258</v>
      </c>
      <c r="OPL1" t="s">
        <v>28259</v>
      </c>
      <c r="OPM1" t="s">
        <v>28260</v>
      </c>
      <c r="OPN1" t="s">
        <v>28261</v>
      </c>
      <c r="OPO1" t="s">
        <v>28262</v>
      </c>
      <c r="OPP1" t="s">
        <v>28263</v>
      </c>
      <c r="OPQ1" t="s">
        <v>28264</v>
      </c>
      <c r="OPR1" t="s">
        <v>28265</v>
      </c>
      <c r="OPS1" t="s">
        <v>28266</v>
      </c>
      <c r="OPT1" t="s">
        <v>28267</v>
      </c>
      <c r="OPU1" t="s">
        <v>28268</v>
      </c>
      <c r="OPV1" t="s">
        <v>28269</v>
      </c>
      <c r="OPW1" t="s">
        <v>28270</v>
      </c>
      <c r="OPX1" t="s">
        <v>28271</v>
      </c>
      <c r="OPY1" t="s">
        <v>28272</v>
      </c>
      <c r="OPZ1" t="s">
        <v>28273</v>
      </c>
      <c r="OQA1" t="s">
        <v>28274</v>
      </c>
      <c r="OQB1" t="s">
        <v>28275</v>
      </c>
      <c r="OQC1" t="s">
        <v>28276</v>
      </c>
      <c r="OQD1" t="s">
        <v>28277</v>
      </c>
      <c r="OQE1" t="s">
        <v>28278</v>
      </c>
      <c r="OQF1" t="s">
        <v>28279</v>
      </c>
      <c r="OQG1" t="s">
        <v>28280</v>
      </c>
      <c r="OQH1" t="s">
        <v>28281</v>
      </c>
      <c r="OQI1" t="s">
        <v>28282</v>
      </c>
      <c r="OQJ1" t="s">
        <v>28283</v>
      </c>
      <c r="OQK1" t="s">
        <v>28284</v>
      </c>
      <c r="OQL1" t="s">
        <v>28285</v>
      </c>
      <c r="OQM1" t="s">
        <v>28286</v>
      </c>
      <c r="OQN1" t="s">
        <v>28287</v>
      </c>
      <c r="OQO1" t="s">
        <v>28288</v>
      </c>
      <c r="OQP1" t="s">
        <v>28289</v>
      </c>
      <c r="OQQ1" t="s">
        <v>28290</v>
      </c>
      <c r="OQR1" t="s">
        <v>28291</v>
      </c>
      <c r="OQS1" t="s">
        <v>28292</v>
      </c>
      <c r="OQT1" t="s">
        <v>28293</v>
      </c>
      <c r="OQU1" t="s">
        <v>28294</v>
      </c>
      <c r="OQV1" t="s">
        <v>28295</v>
      </c>
      <c r="OQW1" t="s">
        <v>28296</v>
      </c>
      <c r="OQX1" t="s">
        <v>28297</v>
      </c>
      <c r="OQY1" t="s">
        <v>28298</v>
      </c>
      <c r="OQZ1" t="s">
        <v>28299</v>
      </c>
      <c r="ORA1" t="s">
        <v>28300</v>
      </c>
      <c r="ORB1" t="s">
        <v>28301</v>
      </c>
      <c r="ORC1" t="s">
        <v>28302</v>
      </c>
      <c r="ORD1" t="s">
        <v>28303</v>
      </c>
      <c r="ORE1" t="s">
        <v>28304</v>
      </c>
      <c r="ORF1" t="s">
        <v>28305</v>
      </c>
      <c r="ORG1" t="s">
        <v>28306</v>
      </c>
      <c r="ORH1" t="s">
        <v>28307</v>
      </c>
      <c r="ORI1" t="s">
        <v>28308</v>
      </c>
      <c r="ORJ1" t="s">
        <v>28309</v>
      </c>
      <c r="ORK1" t="s">
        <v>28310</v>
      </c>
      <c r="ORL1" t="s">
        <v>28311</v>
      </c>
      <c r="ORM1" t="s">
        <v>28312</v>
      </c>
      <c r="ORN1" t="s">
        <v>28313</v>
      </c>
      <c r="ORO1" t="s">
        <v>28314</v>
      </c>
      <c r="ORP1" t="s">
        <v>28315</v>
      </c>
      <c r="ORQ1" t="s">
        <v>28316</v>
      </c>
      <c r="ORR1" t="s">
        <v>28317</v>
      </c>
      <c r="ORS1" t="s">
        <v>28318</v>
      </c>
      <c r="ORT1" t="s">
        <v>28319</v>
      </c>
      <c r="ORU1" t="s">
        <v>28320</v>
      </c>
      <c r="ORV1" t="s">
        <v>28321</v>
      </c>
      <c r="ORW1" t="s">
        <v>28322</v>
      </c>
      <c r="ORX1" t="s">
        <v>28323</v>
      </c>
      <c r="ORY1" t="s">
        <v>28324</v>
      </c>
      <c r="ORZ1" t="s">
        <v>28325</v>
      </c>
      <c r="OSA1" t="s">
        <v>28326</v>
      </c>
      <c r="OSB1" t="s">
        <v>28327</v>
      </c>
      <c r="OSC1" t="s">
        <v>28328</v>
      </c>
      <c r="OSD1" t="s">
        <v>28329</v>
      </c>
      <c r="OSE1" t="s">
        <v>28330</v>
      </c>
      <c r="OSF1" t="s">
        <v>28331</v>
      </c>
      <c r="OSG1" t="s">
        <v>28332</v>
      </c>
      <c r="OSH1" t="s">
        <v>28333</v>
      </c>
      <c r="OSI1" t="s">
        <v>28334</v>
      </c>
      <c r="OSJ1" t="s">
        <v>28335</v>
      </c>
      <c r="OSK1" t="s">
        <v>28336</v>
      </c>
      <c r="OSL1" t="s">
        <v>28337</v>
      </c>
      <c r="OSM1" t="s">
        <v>28338</v>
      </c>
      <c r="OSN1" t="s">
        <v>28339</v>
      </c>
      <c r="OSO1" t="s">
        <v>28340</v>
      </c>
      <c r="OSP1" t="s">
        <v>28341</v>
      </c>
      <c r="OSQ1" t="s">
        <v>28342</v>
      </c>
      <c r="OSR1" t="s">
        <v>28343</v>
      </c>
      <c r="OSS1" t="s">
        <v>28344</v>
      </c>
      <c r="OST1" t="s">
        <v>28345</v>
      </c>
      <c r="OSU1" t="s">
        <v>28346</v>
      </c>
      <c r="OSV1" t="s">
        <v>28347</v>
      </c>
      <c r="OSW1" t="s">
        <v>28348</v>
      </c>
      <c r="OSX1" t="s">
        <v>28349</v>
      </c>
      <c r="OSY1" t="s">
        <v>28350</v>
      </c>
      <c r="OSZ1" t="s">
        <v>28351</v>
      </c>
      <c r="OTA1" t="s">
        <v>28352</v>
      </c>
      <c r="OTB1" t="s">
        <v>28353</v>
      </c>
      <c r="OTC1" t="s">
        <v>28354</v>
      </c>
      <c r="OTD1" t="s">
        <v>28355</v>
      </c>
      <c r="OTE1" t="s">
        <v>28356</v>
      </c>
      <c r="OTF1" t="s">
        <v>28357</v>
      </c>
      <c r="OTG1" t="s">
        <v>28358</v>
      </c>
      <c r="OTH1" t="s">
        <v>28359</v>
      </c>
      <c r="OTI1" t="s">
        <v>28360</v>
      </c>
      <c r="OTJ1" t="s">
        <v>28361</v>
      </c>
      <c r="OTK1" t="s">
        <v>28362</v>
      </c>
      <c r="OTL1" t="s">
        <v>28363</v>
      </c>
      <c r="OTM1" t="s">
        <v>28364</v>
      </c>
      <c r="OTN1" t="s">
        <v>28365</v>
      </c>
      <c r="OTO1" t="s">
        <v>28366</v>
      </c>
      <c r="OTP1" t="s">
        <v>28367</v>
      </c>
      <c r="OTQ1" t="s">
        <v>28368</v>
      </c>
      <c r="OTR1" t="s">
        <v>28369</v>
      </c>
      <c r="OTS1" t="s">
        <v>28370</v>
      </c>
      <c r="OTT1" t="s">
        <v>28371</v>
      </c>
      <c r="OTU1" t="s">
        <v>28372</v>
      </c>
      <c r="OTV1" t="s">
        <v>28373</v>
      </c>
      <c r="OTW1" t="s">
        <v>28374</v>
      </c>
      <c r="OTX1" t="s">
        <v>28375</v>
      </c>
      <c r="OTY1" t="s">
        <v>28376</v>
      </c>
      <c r="OTZ1" t="s">
        <v>28377</v>
      </c>
      <c r="OUA1" t="s">
        <v>28378</v>
      </c>
      <c r="OUB1" t="s">
        <v>28379</v>
      </c>
      <c r="OUC1" t="s">
        <v>28380</v>
      </c>
      <c r="OUD1" t="s">
        <v>28381</v>
      </c>
      <c r="OUE1" t="s">
        <v>28382</v>
      </c>
      <c r="OUF1" t="s">
        <v>28383</v>
      </c>
      <c r="OUG1" t="s">
        <v>28384</v>
      </c>
      <c r="OUH1" t="s">
        <v>28385</v>
      </c>
      <c r="OUI1" t="s">
        <v>28386</v>
      </c>
      <c r="OUJ1" t="s">
        <v>28387</v>
      </c>
      <c r="OUK1" t="s">
        <v>28388</v>
      </c>
      <c r="OUL1" t="s">
        <v>28389</v>
      </c>
      <c r="OUM1" t="s">
        <v>28390</v>
      </c>
      <c r="OUN1" t="s">
        <v>28391</v>
      </c>
      <c r="OUO1" t="s">
        <v>28392</v>
      </c>
      <c r="OUP1" t="s">
        <v>28393</v>
      </c>
      <c r="OUQ1" t="s">
        <v>28394</v>
      </c>
      <c r="OUR1" t="s">
        <v>28395</v>
      </c>
      <c r="OUS1" t="s">
        <v>28396</v>
      </c>
      <c r="OUT1" t="s">
        <v>28397</v>
      </c>
      <c r="OUU1" t="s">
        <v>28398</v>
      </c>
      <c r="OUV1" t="s">
        <v>28399</v>
      </c>
      <c r="OUW1" t="s">
        <v>28400</v>
      </c>
      <c r="OUX1" t="s">
        <v>28401</v>
      </c>
      <c r="OUY1" t="s">
        <v>28402</v>
      </c>
      <c r="OUZ1" t="s">
        <v>28403</v>
      </c>
      <c r="OVA1" t="s">
        <v>28404</v>
      </c>
      <c r="OVB1" t="s">
        <v>28405</v>
      </c>
      <c r="OVC1" t="s">
        <v>28406</v>
      </c>
      <c r="OVD1" t="s">
        <v>28407</v>
      </c>
      <c r="OVE1" t="s">
        <v>28408</v>
      </c>
      <c r="OVF1" t="s">
        <v>28409</v>
      </c>
      <c r="OVG1" t="s">
        <v>28410</v>
      </c>
      <c r="OVH1" t="s">
        <v>28411</v>
      </c>
      <c r="OVI1" t="s">
        <v>28412</v>
      </c>
      <c r="OVJ1" t="s">
        <v>28413</v>
      </c>
      <c r="OVK1" t="s">
        <v>28414</v>
      </c>
      <c r="OVL1" t="s">
        <v>28415</v>
      </c>
      <c r="OVM1" t="s">
        <v>28416</v>
      </c>
      <c r="OVN1" t="s">
        <v>28417</v>
      </c>
      <c r="OVO1" t="s">
        <v>28418</v>
      </c>
      <c r="OVP1" t="s">
        <v>28419</v>
      </c>
      <c r="OVQ1" t="s">
        <v>28420</v>
      </c>
      <c r="OVR1" t="s">
        <v>28421</v>
      </c>
      <c r="OVS1" t="s">
        <v>28422</v>
      </c>
      <c r="OVT1" t="s">
        <v>28423</v>
      </c>
      <c r="OVU1" t="s">
        <v>28424</v>
      </c>
      <c r="OVV1" t="s">
        <v>28425</v>
      </c>
      <c r="OVW1" t="s">
        <v>28426</v>
      </c>
      <c r="OVX1" t="s">
        <v>28427</v>
      </c>
      <c r="OVY1" t="s">
        <v>28428</v>
      </c>
      <c r="OVZ1" t="s">
        <v>28429</v>
      </c>
      <c r="OWA1" t="s">
        <v>28430</v>
      </c>
      <c r="OWB1" t="s">
        <v>28431</v>
      </c>
      <c r="OWC1" t="s">
        <v>28432</v>
      </c>
      <c r="OWD1" t="s">
        <v>28433</v>
      </c>
      <c r="OWE1" t="s">
        <v>28434</v>
      </c>
      <c r="OWF1" t="s">
        <v>28435</v>
      </c>
      <c r="OWG1" t="s">
        <v>28436</v>
      </c>
      <c r="OWH1" t="s">
        <v>28437</v>
      </c>
      <c r="OWI1" t="s">
        <v>28438</v>
      </c>
      <c r="OWJ1" t="s">
        <v>28439</v>
      </c>
      <c r="OWK1" t="s">
        <v>28440</v>
      </c>
      <c r="OWL1" t="s">
        <v>28441</v>
      </c>
      <c r="OWM1" t="s">
        <v>28442</v>
      </c>
      <c r="OWN1" t="s">
        <v>28443</v>
      </c>
      <c r="OWO1" t="s">
        <v>28444</v>
      </c>
      <c r="OWP1" t="s">
        <v>28445</v>
      </c>
      <c r="OWQ1" t="s">
        <v>28446</v>
      </c>
      <c r="OWR1" t="s">
        <v>28447</v>
      </c>
      <c r="OWS1" t="s">
        <v>28448</v>
      </c>
      <c r="OWT1" t="s">
        <v>28449</v>
      </c>
      <c r="OWU1" t="s">
        <v>28450</v>
      </c>
      <c r="OWV1" t="s">
        <v>28451</v>
      </c>
      <c r="OWW1" t="s">
        <v>28452</v>
      </c>
      <c r="OWX1" t="s">
        <v>28453</v>
      </c>
      <c r="OWY1" t="s">
        <v>28454</v>
      </c>
      <c r="OWZ1" t="s">
        <v>28455</v>
      </c>
      <c r="OXA1" t="s">
        <v>28456</v>
      </c>
      <c r="OXB1" t="s">
        <v>28457</v>
      </c>
      <c r="OXC1" t="s">
        <v>28458</v>
      </c>
      <c r="OXD1" t="s">
        <v>28459</v>
      </c>
      <c r="OXE1" t="s">
        <v>28460</v>
      </c>
      <c r="OXF1" t="s">
        <v>28461</v>
      </c>
      <c r="OXG1" t="s">
        <v>28462</v>
      </c>
      <c r="OXH1" t="s">
        <v>28463</v>
      </c>
      <c r="OXI1" t="s">
        <v>28464</v>
      </c>
      <c r="OXJ1" t="s">
        <v>28465</v>
      </c>
      <c r="OXK1" t="s">
        <v>28466</v>
      </c>
      <c r="OXL1" t="s">
        <v>28467</v>
      </c>
      <c r="OXM1" t="s">
        <v>28468</v>
      </c>
      <c r="OXN1" t="s">
        <v>28469</v>
      </c>
      <c r="OXO1" t="s">
        <v>28470</v>
      </c>
      <c r="OXP1" t="s">
        <v>28471</v>
      </c>
      <c r="OXQ1" t="s">
        <v>28472</v>
      </c>
      <c r="OXR1" t="s">
        <v>28473</v>
      </c>
      <c r="OXS1" t="s">
        <v>28474</v>
      </c>
      <c r="OXT1" t="s">
        <v>28475</v>
      </c>
      <c r="OXU1" t="s">
        <v>28476</v>
      </c>
      <c r="OXV1" t="s">
        <v>28477</v>
      </c>
      <c r="OXW1" t="s">
        <v>28478</v>
      </c>
      <c r="OXX1" t="s">
        <v>28479</v>
      </c>
      <c r="OXY1" t="s">
        <v>28480</v>
      </c>
      <c r="OXZ1" t="s">
        <v>28481</v>
      </c>
      <c r="OYA1" t="s">
        <v>28482</v>
      </c>
      <c r="OYB1" t="s">
        <v>28483</v>
      </c>
      <c r="OYC1" t="s">
        <v>28484</v>
      </c>
      <c r="OYD1" t="s">
        <v>28485</v>
      </c>
      <c r="OYE1" t="s">
        <v>28486</v>
      </c>
      <c r="OYF1" t="s">
        <v>28487</v>
      </c>
      <c r="OYG1" t="s">
        <v>28488</v>
      </c>
      <c r="OYH1" t="s">
        <v>28489</v>
      </c>
      <c r="OYI1" t="s">
        <v>28490</v>
      </c>
      <c r="OYJ1" t="s">
        <v>28491</v>
      </c>
      <c r="OYK1" t="s">
        <v>28492</v>
      </c>
      <c r="OYL1" t="s">
        <v>28493</v>
      </c>
      <c r="OYM1" t="s">
        <v>28494</v>
      </c>
      <c r="OYN1" t="s">
        <v>28495</v>
      </c>
      <c r="OYO1" t="s">
        <v>28496</v>
      </c>
      <c r="OYP1" t="s">
        <v>28497</v>
      </c>
      <c r="OYQ1" t="s">
        <v>28498</v>
      </c>
      <c r="OYR1" t="s">
        <v>28499</v>
      </c>
      <c r="OYS1" t="s">
        <v>28500</v>
      </c>
      <c r="OYT1" t="s">
        <v>28501</v>
      </c>
      <c r="OYU1" t="s">
        <v>28502</v>
      </c>
      <c r="OYV1" t="s">
        <v>28503</v>
      </c>
      <c r="OYW1" t="s">
        <v>28504</v>
      </c>
      <c r="OYX1" t="s">
        <v>28505</v>
      </c>
      <c r="OYY1" t="s">
        <v>28506</v>
      </c>
      <c r="OYZ1" t="s">
        <v>28507</v>
      </c>
      <c r="OZA1" t="s">
        <v>28508</v>
      </c>
      <c r="OZB1" t="s">
        <v>28509</v>
      </c>
      <c r="OZC1" t="s">
        <v>28510</v>
      </c>
      <c r="OZD1" t="s">
        <v>28511</v>
      </c>
      <c r="OZE1" t="s">
        <v>28512</v>
      </c>
      <c r="OZF1" t="s">
        <v>28513</v>
      </c>
      <c r="OZG1" t="s">
        <v>28514</v>
      </c>
      <c r="OZH1" t="s">
        <v>28515</v>
      </c>
      <c r="OZI1" t="s">
        <v>28516</v>
      </c>
      <c r="OZJ1" t="s">
        <v>28517</v>
      </c>
      <c r="OZK1" t="s">
        <v>28518</v>
      </c>
      <c r="OZL1" t="s">
        <v>28519</v>
      </c>
      <c r="OZM1" t="s">
        <v>28520</v>
      </c>
      <c r="OZN1" t="s">
        <v>28521</v>
      </c>
      <c r="OZO1" t="s">
        <v>28522</v>
      </c>
      <c r="OZP1" t="s">
        <v>28523</v>
      </c>
      <c r="OZQ1" t="s">
        <v>28524</v>
      </c>
      <c r="OZR1" t="s">
        <v>28525</v>
      </c>
      <c r="OZS1" t="s">
        <v>28526</v>
      </c>
      <c r="OZT1" t="s">
        <v>28527</v>
      </c>
      <c r="OZU1" t="s">
        <v>28528</v>
      </c>
      <c r="OZV1" t="s">
        <v>28529</v>
      </c>
      <c r="OZW1" t="s">
        <v>28530</v>
      </c>
      <c r="OZX1" t="s">
        <v>28531</v>
      </c>
      <c r="OZY1" t="s">
        <v>28532</v>
      </c>
      <c r="OZZ1" t="s">
        <v>28533</v>
      </c>
      <c r="PAA1" t="s">
        <v>28534</v>
      </c>
      <c r="PAB1" t="s">
        <v>28535</v>
      </c>
      <c r="PAC1" t="s">
        <v>28536</v>
      </c>
      <c r="PAD1" t="s">
        <v>28537</v>
      </c>
      <c r="PAE1" t="s">
        <v>28538</v>
      </c>
      <c r="PAF1" t="s">
        <v>28539</v>
      </c>
      <c r="PAG1" t="s">
        <v>28540</v>
      </c>
      <c r="PAH1" t="s">
        <v>28541</v>
      </c>
      <c r="PAI1" t="s">
        <v>28542</v>
      </c>
      <c r="PAJ1" t="s">
        <v>28543</v>
      </c>
      <c r="PAK1" t="s">
        <v>28544</v>
      </c>
      <c r="PAL1" t="s">
        <v>28545</v>
      </c>
      <c r="PAM1" t="s">
        <v>28546</v>
      </c>
      <c r="PAN1" t="s">
        <v>28547</v>
      </c>
      <c r="PAO1" t="s">
        <v>28548</v>
      </c>
      <c r="PAP1" t="s">
        <v>28549</v>
      </c>
      <c r="PAQ1" t="s">
        <v>28550</v>
      </c>
      <c r="PAR1" t="s">
        <v>28551</v>
      </c>
      <c r="PAS1" t="s">
        <v>28552</v>
      </c>
      <c r="PAT1" t="s">
        <v>28553</v>
      </c>
      <c r="PAU1" t="s">
        <v>28554</v>
      </c>
      <c r="PAV1" t="s">
        <v>28555</v>
      </c>
      <c r="PAW1" t="s">
        <v>28556</v>
      </c>
      <c r="PAX1" t="s">
        <v>28557</v>
      </c>
      <c r="PAY1" t="s">
        <v>28558</v>
      </c>
      <c r="PAZ1" t="s">
        <v>28559</v>
      </c>
      <c r="PBA1" t="s">
        <v>28560</v>
      </c>
      <c r="PBB1" t="s">
        <v>28561</v>
      </c>
      <c r="PBC1" t="s">
        <v>28562</v>
      </c>
      <c r="PBD1" t="s">
        <v>28563</v>
      </c>
      <c r="PBE1" t="s">
        <v>28564</v>
      </c>
      <c r="PBF1" t="s">
        <v>28565</v>
      </c>
      <c r="PBG1" t="s">
        <v>28566</v>
      </c>
      <c r="PBH1" t="s">
        <v>28567</v>
      </c>
      <c r="PBI1" t="s">
        <v>28568</v>
      </c>
      <c r="PBJ1" t="s">
        <v>28569</v>
      </c>
      <c r="PBK1" t="s">
        <v>28570</v>
      </c>
      <c r="PBL1" t="s">
        <v>28571</v>
      </c>
      <c r="PBM1" t="s">
        <v>28572</v>
      </c>
      <c r="PBN1" t="s">
        <v>28573</v>
      </c>
      <c r="PBO1" t="s">
        <v>28574</v>
      </c>
      <c r="PBP1" t="s">
        <v>28575</v>
      </c>
      <c r="PBQ1" t="s">
        <v>28576</v>
      </c>
      <c r="PBR1" t="s">
        <v>28577</v>
      </c>
      <c r="PBS1" t="s">
        <v>28578</v>
      </c>
      <c r="PBT1" t="s">
        <v>28579</v>
      </c>
      <c r="PBU1" t="s">
        <v>28580</v>
      </c>
      <c r="PBV1" t="s">
        <v>28581</v>
      </c>
      <c r="PBW1" t="s">
        <v>28582</v>
      </c>
      <c r="PBX1" t="s">
        <v>28583</v>
      </c>
      <c r="PBY1" t="s">
        <v>28584</v>
      </c>
      <c r="PBZ1" t="s">
        <v>28585</v>
      </c>
      <c r="PCA1" t="s">
        <v>28586</v>
      </c>
      <c r="PCB1" t="s">
        <v>28587</v>
      </c>
      <c r="PCC1" t="s">
        <v>28588</v>
      </c>
      <c r="PCD1" t="s">
        <v>28589</v>
      </c>
      <c r="PCE1" t="s">
        <v>28590</v>
      </c>
      <c r="PCF1" t="s">
        <v>28591</v>
      </c>
      <c r="PCG1" t="s">
        <v>28592</v>
      </c>
      <c r="PCH1" t="s">
        <v>28593</v>
      </c>
      <c r="PCI1" t="s">
        <v>28594</v>
      </c>
      <c r="PCJ1" t="s">
        <v>28595</v>
      </c>
      <c r="PCK1" t="s">
        <v>28596</v>
      </c>
      <c r="PCL1" t="s">
        <v>28597</v>
      </c>
      <c r="PCM1" t="s">
        <v>28598</v>
      </c>
      <c r="PCN1" t="s">
        <v>28599</v>
      </c>
      <c r="PCO1" t="s">
        <v>28600</v>
      </c>
      <c r="PCP1" t="s">
        <v>28601</v>
      </c>
      <c r="PCQ1" t="s">
        <v>28602</v>
      </c>
      <c r="PCR1" t="s">
        <v>28603</v>
      </c>
      <c r="PCS1" t="s">
        <v>28604</v>
      </c>
      <c r="PCT1" t="s">
        <v>28605</v>
      </c>
      <c r="PCU1" t="s">
        <v>28606</v>
      </c>
      <c r="PCV1" t="s">
        <v>28607</v>
      </c>
      <c r="PCW1" t="s">
        <v>28608</v>
      </c>
      <c r="PCX1" t="s">
        <v>28609</v>
      </c>
      <c r="PCY1" t="s">
        <v>28610</v>
      </c>
      <c r="PCZ1" t="s">
        <v>28611</v>
      </c>
      <c r="PDA1" t="s">
        <v>28612</v>
      </c>
      <c r="PDB1" t="s">
        <v>28613</v>
      </c>
      <c r="PDC1" t="s">
        <v>28614</v>
      </c>
      <c r="PDD1" t="s">
        <v>28615</v>
      </c>
      <c r="PDE1" t="s">
        <v>28616</v>
      </c>
      <c r="PDF1" t="s">
        <v>28617</v>
      </c>
      <c r="PDG1" t="s">
        <v>28618</v>
      </c>
      <c r="PDH1" t="s">
        <v>28619</v>
      </c>
      <c r="PDI1" t="s">
        <v>28620</v>
      </c>
      <c r="PDJ1" t="s">
        <v>28621</v>
      </c>
      <c r="PDK1" t="s">
        <v>28622</v>
      </c>
      <c r="PDL1" t="s">
        <v>28623</v>
      </c>
      <c r="PDM1" t="s">
        <v>28624</v>
      </c>
      <c r="PDN1" t="s">
        <v>28625</v>
      </c>
      <c r="PDO1" t="s">
        <v>28626</v>
      </c>
      <c r="PDP1" t="s">
        <v>28627</v>
      </c>
      <c r="PDQ1" t="s">
        <v>28628</v>
      </c>
      <c r="PDR1" t="s">
        <v>28629</v>
      </c>
      <c r="PDS1" t="s">
        <v>28630</v>
      </c>
      <c r="PDT1" t="s">
        <v>28631</v>
      </c>
      <c r="PDU1" t="s">
        <v>28632</v>
      </c>
      <c r="PDV1" t="s">
        <v>28633</v>
      </c>
      <c r="PDW1" t="s">
        <v>28634</v>
      </c>
      <c r="PDX1" t="s">
        <v>28635</v>
      </c>
      <c r="PDY1" t="s">
        <v>28636</v>
      </c>
      <c r="PDZ1" t="s">
        <v>28637</v>
      </c>
      <c r="PEA1" t="s">
        <v>28638</v>
      </c>
      <c r="PEB1" t="s">
        <v>28639</v>
      </c>
      <c r="PEC1" t="s">
        <v>28640</v>
      </c>
      <c r="PED1" t="s">
        <v>28641</v>
      </c>
      <c r="PEE1" t="s">
        <v>28642</v>
      </c>
      <c r="PEF1" t="s">
        <v>28643</v>
      </c>
      <c r="PEG1" t="s">
        <v>28644</v>
      </c>
      <c r="PEH1" t="s">
        <v>28645</v>
      </c>
      <c r="PEI1" t="s">
        <v>28646</v>
      </c>
      <c r="PEJ1" t="s">
        <v>28647</v>
      </c>
      <c r="PEK1" t="s">
        <v>28648</v>
      </c>
      <c r="PEL1" t="s">
        <v>28649</v>
      </c>
      <c r="PEM1" t="s">
        <v>28650</v>
      </c>
      <c r="PEN1" t="s">
        <v>28651</v>
      </c>
      <c r="PEO1" t="s">
        <v>28652</v>
      </c>
      <c r="PEP1" t="s">
        <v>28653</v>
      </c>
      <c r="PEQ1" t="s">
        <v>28654</v>
      </c>
      <c r="PER1" t="s">
        <v>28655</v>
      </c>
      <c r="PES1" t="s">
        <v>28656</v>
      </c>
      <c r="PET1" t="s">
        <v>28657</v>
      </c>
      <c r="PEU1" t="s">
        <v>28658</v>
      </c>
      <c r="PEV1" t="s">
        <v>28659</v>
      </c>
      <c r="PEW1" t="s">
        <v>28660</v>
      </c>
      <c r="PEX1" t="s">
        <v>28661</v>
      </c>
      <c r="PEY1" t="s">
        <v>28662</v>
      </c>
      <c r="PEZ1" t="s">
        <v>28663</v>
      </c>
      <c r="PFA1" t="s">
        <v>28664</v>
      </c>
      <c r="PFB1" t="s">
        <v>28665</v>
      </c>
      <c r="PFC1" t="s">
        <v>28666</v>
      </c>
      <c r="PFD1" t="s">
        <v>28667</v>
      </c>
      <c r="PFE1" t="s">
        <v>28668</v>
      </c>
      <c r="PFF1" t="s">
        <v>28669</v>
      </c>
      <c r="PFG1" t="s">
        <v>28670</v>
      </c>
      <c r="PFH1" t="s">
        <v>28671</v>
      </c>
      <c r="PFI1" t="s">
        <v>28672</v>
      </c>
      <c r="PFJ1" t="s">
        <v>28673</v>
      </c>
      <c r="PFK1" t="s">
        <v>28674</v>
      </c>
      <c r="PFL1" t="s">
        <v>28675</v>
      </c>
      <c r="PFM1" t="s">
        <v>28676</v>
      </c>
      <c r="PFN1" t="s">
        <v>28677</v>
      </c>
      <c r="PFO1" t="s">
        <v>28678</v>
      </c>
      <c r="PFP1" t="s">
        <v>28679</v>
      </c>
      <c r="PFQ1" t="s">
        <v>28680</v>
      </c>
      <c r="PFR1" t="s">
        <v>28681</v>
      </c>
      <c r="PFS1" t="s">
        <v>28682</v>
      </c>
      <c r="PFT1" t="s">
        <v>28683</v>
      </c>
      <c r="PFU1" t="s">
        <v>28684</v>
      </c>
      <c r="PFV1" t="s">
        <v>28685</v>
      </c>
      <c r="PFW1" t="s">
        <v>28686</v>
      </c>
      <c r="PFX1" t="s">
        <v>28687</v>
      </c>
      <c r="PFY1" t="s">
        <v>28688</v>
      </c>
      <c r="PFZ1" t="s">
        <v>28689</v>
      </c>
      <c r="PGA1" t="s">
        <v>28690</v>
      </c>
      <c r="PGB1" t="s">
        <v>28691</v>
      </c>
      <c r="PGC1" t="s">
        <v>28692</v>
      </c>
      <c r="PGD1" t="s">
        <v>28693</v>
      </c>
      <c r="PGE1" t="s">
        <v>28694</v>
      </c>
      <c r="PGF1" t="s">
        <v>28695</v>
      </c>
      <c r="PGG1" t="s">
        <v>28696</v>
      </c>
      <c r="PGH1" t="s">
        <v>28697</v>
      </c>
      <c r="PGI1" t="s">
        <v>28698</v>
      </c>
      <c r="PGJ1" t="s">
        <v>28699</v>
      </c>
      <c r="PGK1" t="s">
        <v>28700</v>
      </c>
      <c r="PGL1" t="s">
        <v>28701</v>
      </c>
      <c r="PGM1" t="s">
        <v>28702</v>
      </c>
      <c r="PGN1" t="s">
        <v>28703</v>
      </c>
      <c r="PGO1" t="s">
        <v>28704</v>
      </c>
      <c r="PGP1" t="s">
        <v>28705</v>
      </c>
      <c r="PGQ1" t="s">
        <v>28706</v>
      </c>
      <c r="PGR1" t="s">
        <v>28707</v>
      </c>
      <c r="PGS1" t="s">
        <v>28708</v>
      </c>
      <c r="PGT1" t="s">
        <v>28709</v>
      </c>
      <c r="PGU1" t="s">
        <v>28710</v>
      </c>
      <c r="PGV1" t="s">
        <v>28711</v>
      </c>
      <c r="PGW1" t="s">
        <v>28712</v>
      </c>
      <c r="PGX1" t="s">
        <v>28713</v>
      </c>
      <c r="PGY1" t="s">
        <v>28714</v>
      </c>
      <c r="PGZ1" t="s">
        <v>28715</v>
      </c>
      <c r="PHA1" t="s">
        <v>28716</v>
      </c>
      <c r="PHB1" t="s">
        <v>28717</v>
      </c>
      <c r="PHC1" t="s">
        <v>28718</v>
      </c>
      <c r="PHD1" t="s">
        <v>28719</v>
      </c>
      <c r="PHE1" t="s">
        <v>28720</v>
      </c>
      <c r="PHF1" t="s">
        <v>28721</v>
      </c>
      <c r="PHG1" t="s">
        <v>28722</v>
      </c>
      <c r="PHH1" t="s">
        <v>28723</v>
      </c>
      <c r="PHI1" t="s">
        <v>28724</v>
      </c>
      <c r="PHJ1" t="s">
        <v>28725</v>
      </c>
      <c r="PHK1" t="s">
        <v>28726</v>
      </c>
      <c r="PHL1" t="s">
        <v>28727</v>
      </c>
      <c r="PHM1" t="s">
        <v>28728</v>
      </c>
      <c r="PHN1" t="s">
        <v>28729</v>
      </c>
      <c r="PHO1" t="s">
        <v>28730</v>
      </c>
      <c r="PHP1" t="s">
        <v>28731</v>
      </c>
      <c r="PHQ1" t="s">
        <v>28732</v>
      </c>
      <c r="PHR1" t="s">
        <v>28733</v>
      </c>
      <c r="PHS1" t="s">
        <v>28734</v>
      </c>
      <c r="PHT1" t="s">
        <v>28735</v>
      </c>
      <c r="PHU1" t="s">
        <v>28736</v>
      </c>
      <c r="PHV1" t="s">
        <v>28737</v>
      </c>
      <c r="PHW1" t="s">
        <v>28738</v>
      </c>
      <c r="PHX1" t="s">
        <v>28739</v>
      </c>
      <c r="PHY1" t="s">
        <v>28740</v>
      </c>
      <c r="PHZ1" t="s">
        <v>28741</v>
      </c>
      <c r="PIA1" t="s">
        <v>28742</v>
      </c>
      <c r="PIB1" t="s">
        <v>28743</v>
      </c>
      <c r="PIC1" t="s">
        <v>28744</v>
      </c>
      <c r="PID1" t="s">
        <v>28745</v>
      </c>
      <c r="PIE1" t="s">
        <v>28746</v>
      </c>
      <c r="PIF1" t="s">
        <v>28747</v>
      </c>
      <c r="PIG1" t="s">
        <v>28748</v>
      </c>
      <c r="PIH1" t="s">
        <v>28749</v>
      </c>
      <c r="PII1" t="s">
        <v>28750</v>
      </c>
      <c r="PIJ1" t="s">
        <v>28751</v>
      </c>
      <c r="PIK1" t="s">
        <v>28752</v>
      </c>
      <c r="PIL1" t="s">
        <v>28753</v>
      </c>
      <c r="PIM1" t="s">
        <v>28754</v>
      </c>
      <c r="PIN1" t="s">
        <v>28755</v>
      </c>
      <c r="PIO1" t="s">
        <v>28756</v>
      </c>
      <c r="PIP1" t="s">
        <v>28757</v>
      </c>
      <c r="PIQ1" t="s">
        <v>28758</v>
      </c>
      <c r="PIR1" t="s">
        <v>28759</v>
      </c>
      <c r="PIS1" t="s">
        <v>28760</v>
      </c>
      <c r="PIT1" t="s">
        <v>28761</v>
      </c>
      <c r="PIU1" t="s">
        <v>28762</v>
      </c>
      <c r="PIV1" t="s">
        <v>28763</v>
      </c>
      <c r="PIW1" t="s">
        <v>28764</v>
      </c>
      <c r="PIX1" t="s">
        <v>28765</v>
      </c>
      <c r="PIY1" t="s">
        <v>28766</v>
      </c>
      <c r="PIZ1" t="s">
        <v>28767</v>
      </c>
      <c r="PJA1" t="s">
        <v>28768</v>
      </c>
      <c r="PJB1" t="s">
        <v>28769</v>
      </c>
      <c r="PJC1" t="s">
        <v>28770</v>
      </c>
      <c r="PJD1" t="s">
        <v>28771</v>
      </c>
      <c r="PJE1" t="s">
        <v>28772</v>
      </c>
      <c r="PJF1" t="s">
        <v>28773</v>
      </c>
      <c r="PJG1" t="s">
        <v>28774</v>
      </c>
      <c r="PJH1" t="s">
        <v>28775</v>
      </c>
      <c r="PJI1" t="s">
        <v>28776</v>
      </c>
      <c r="PJJ1" t="s">
        <v>28777</v>
      </c>
      <c r="PJK1" t="s">
        <v>28778</v>
      </c>
      <c r="PJL1" t="s">
        <v>28779</v>
      </c>
      <c r="PJM1" t="s">
        <v>28780</v>
      </c>
      <c r="PJN1" t="s">
        <v>28781</v>
      </c>
      <c r="PJO1" t="s">
        <v>28782</v>
      </c>
      <c r="PJP1" t="s">
        <v>28783</v>
      </c>
      <c r="PJQ1" t="s">
        <v>28784</v>
      </c>
      <c r="PJR1" t="s">
        <v>28785</v>
      </c>
      <c r="PJS1" t="s">
        <v>28786</v>
      </c>
      <c r="PJT1" t="s">
        <v>28787</v>
      </c>
      <c r="PJU1" t="s">
        <v>28788</v>
      </c>
      <c r="PJV1" t="s">
        <v>28789</v>
      </c>
      <c r="PJW1" t="s">
        <v>28790</v>
      </c>
      <c r="PJX1" t="s">
        <v>28791</v>
      </c>
      <c r="PJY1" t="s">
        <v>28792</v>
      </c>
      <c r="PJZ1" t="s">
        <v>28793</v>
      </c>
      <c r="PKA1" t="s">
        <v>28794</v>
      </c>
      <c r="PKB1" t="s">
        <v>28795</v>
      </c>
      <c r="PKC1" t="s">
        <v>28796</v>
      </c>
      <c r="PKD1" t="s">
        <v>28797</v>
      </c>
      <c r="PKE1" t="s">
        <v>28798</v>
      </c>
      <c r="PKF1" t="s">
        <v>28799</v>
      </c>
      <c r="PKG1" t="s">
        <v>28800</v>
      </c>
      <c r="PKH1" t="s">
        <v>28801</v>
      </c>
      <c r="PKI1" t="s">
        <v>28802</v>
      </c>
      <c r="PKJ1" t="s">
        <v>28803</v>
      </c>
      <c r="PKK1" t="s">
        <v>28804</v>
      </c>
      <c r="PKL1" t="s">
        <v>28805</v>
      </c>
      <c r="PKM1" t="s">
        <v>28806</v>
      </c>
      <c r="PKN1" t="s">
        <v>28807</v>
      </c>
      <c r="PKO1" t="s">
        <v>28808</v>
      </c>
      <c r="PKP1" t="s">
        <v>28809</v>
      </c>
      <c r="PKQ1" t="s">
        <v>28810</v>
      </c>
      <c r="PKR1" t="s">
        <v>28811</v>
      </c>
      <c r="PKS1" t="s">
        <v>28812</v>
      </c>
      <c r="PKT1" t="s">
        <v>28813</v>
      </c>
      <c r="PKU1" t="s">
        <v>28814</v>
      </c>
      <c r="PKV1" t="s">
        <v>28815</v>
      </c>
      <c r="PKW1" t="s">
        <v>28816</v>
      </c>
      <c r="PKX1" t="s">
        <v>28817</v>
      </c>
      <c r="PKY1" t="s">
        <v>28818</v>
      </c>
      <c r="PKZ1" t="s">
        <v>28819</v>
      </c>
      <c r="PLA1" t="s">
        <v>28820</v>
      </c>
      <c r="PLB1" t="s">
        <v>28821</v>
      </c>
      <c r="PLC1" t="s">
        <v>28822</v>
      </c>
      <c r="PLD1" t="s">
        <v>28823</v>
      </c>
      <c r="PLE1" t="s">
        <v>28824</v>
      </c>
      <c r="PLF1" t="s">
        <v>28825</v>
      </c>
      <c r="PLG1" t="s">
        <v>28826</v>
      </c>
      <c r="PLH1" t="s">
        <v>28827</v>
      </c>
      <c r="PLI1" t="s">
        <v>28828</v>
      </c>
      <c r="PLJ1" t="s">
        <v>28829</v>
      </c>
      <c r="PLK1" t="s">
        <v>28830</v>
      </c>
      <c r="PLL1" t="s">
        <v>28831</v>
      </c>
      <c r="PLM1" t="s">
        <v>28832</v>
      </c>
      <c r="PLN1" t="s">
        <v>28833</v>
      </c>
      <c r="PLO1" t="s">
        <v>28834</v>
      </c>
      <c r="PLP1" t="s">
        <v>28835</v>
      </c>
      <c r="PLQ1" t="s">
        <v>28836</v>
      </c>
      <c r="PLR1" t="s">
        <v>28837</v>
      </c>
      <c r="PLS1" t="s">
        <v>28838</v>
      </c>
      <c r="PLT1" t="s">
        <v>28839</v>
      </c>
      <c r="PLU1" t="s">
        <v>28840</v>
      </c>
      <c r="PLV1" t="s">
        <v>28841</v>
      </c>
      <c r="PLW1" t="s">
        <v>28842</v>
      </c>
      <c r="PLX1" t="s">
        <v>28843</v>
      </c>
      <c r="PLY1" t="s">
        <v>28844</v>
      </c>
      <c r="PLZ1" t="s">
        <v>28845</v>
      </c>
      <c r="PMA1" t="s">
        <v>28846</v>
      </c>
      <c r="PMB1" t="s">
        <v>28847</v>
      </c>
      <c r="PMC1" t="s">
        <v>28848</v>
      </c>
      <c r="PMD1" t="s">
        <v>28849</v>
      </c>
      <c r="PME1" t="s">
        <v>28850</v>
      </c>
      <c r="PMF1" t="s">
        <v>28851</v>
      </c>
      <c r="PMG1" t="s">
        <v>28852</v>
      </c>
      <c r="PMH1" t="s">
        <v>28853</v>
      </c>
      <c r="PMI1" t="s">
        <v>28854</v>
      </c>
      <c r="PMJ1" t="s">
        <v>28855</v>
      </c>
      <c r="PMK1" t="s">
        <v>28856</v>
      </c>
      <c r="PML1" t="s">
        <v>28857</v>
      </c>
      <c r="PMM1" t="s">
        <v>28858</v>
      </c>
      <c r="PMN1" t="s">
        <v>28859</v>
      </c>
      <c r="PMO1" t="s">
        <v>28860</v>
      </c>
      <c r="PMP1" t="s">
        <v>28861</v>
      </c>
      <c r="PMQ1" t="s">
        <v>28862</v>
      </c>
      <c r="PMR1" t="s">
        <v>28863</v>
      </c>
      <c r="PMS1" t="s">
        <v>28864</v>
      </c>
      <c r="PMT1" t="s">
        <v>28865</v>
      </c>
      <c r="PMU1" t="s">
        <v>28866</v>
      </c>
      <c r="PMV1" t="s">
        <v>28867</v>
      </c>
      <c r="PMW1" t="s">
        <v>28868</v>
      </c>
      <c r="PMX1" t="s">
        <v>28869</v>
      </c>
      <c r="PMY1" t="s">
        <v>28870</v>
      </c>
      <c r="PMZ1" t="s">
        <v>28871</v>
      </c>
      <c r="PNA1" t="s">
        <v>28872</v>
      </c>
      <c r="PNB1" t="s">
        <v>28873</v>
      </c>
      <c r="PNC1" t="s">
        <v>28874</v>
      </c>
      <c r="PND1" t="s">
        <v>28875</v>
      </c>
      <c r="PNE1" t="s">
        <v>28876</v>
      </c>
      <c r="PNF1" t="s">
        <v>28877</v>
      </c>
      <c r="PNG1" t="s">
        <v>28878</v>
      </c>
      <c r="PNH1" t="s">
        <v>28879</v>
      </c>
      <c r="PNI1" t="s">
        <v>28880</v>
      </c>
      <c r="PNJ1" t="s">
        <v>28881</v>
      </c>
      <c r="PNK1" t="s">
        <v>28882</v>
      </c>
      <c r="PNL1" t="s">
        <v>28883</v>
      </c>
      <c r="PNM1" t="s">
        <v>28884</v>
      </c>
      <c r="PNN1" t="s">
        <v>28885</v>
      </c>
      <c r="PNO1" t="s">
        <v>28886</v>
      </c>
      <c r="PNP1" t="s">
        <v>28887</v>
      </c>
      <c r="PNQ1" t="s">
        <v>28888</v>
      </c>
      <c r="PNR1" t="s">
        <v>28889</v>
      </c>
      <c r="PNS1" t="s">
        <v>28890</v>
      </c>
      <c r="PNT1" t="s">
        <v>28891</v>
      </c>
      <c r="PNU1" t="s">
        <v>28892</v>
      </c>
      <c r="PNV1" t="s">
        <v>28893</v>
      </c>
      <c r="PNW1" t="s">
        <v>28894</v>
      </c>
      <c r="PNX1" t="s">
        <v>28895</v>
      </c>
      <c r="PNY1" t="s">
        <v>28896</v>
      </c>
      <c r="PNZ1" t="s">
        <v>28897</v>
      </c>
      <c r="POA1" t="s">
        <v>28898</v>
      </c>
      <c r="POB1" t="s">
        <v>28899</v>
      </c>
      <c r="POC1" t="s">
        <v>28900</v>
      </c>
      <c r="POD1" t="s">
        <v>28901</v>
      </c>
      <c r="POE1" t="s">
        <v>28902</v>
      </c>
      <c r="POF1" t="s">
        <v>28903</v>
      </c>
      <c r="POG1" t="s">
        <v>28904</v>
      </c>
      <c r="POH1" t="s">
        <v>28905</v>
      </c>
      <c r="POI1" t="s">
        <v>28906</v>
      </c>
      <c r="POJ1" t="s">
        <v>28907</v>
      </c>
      <c r="POK1" t="s">
        <v>28908</v>
      </c>
      <c r="POL1" t="s">
        <v>28909</v>
      </c>
      <c r="POM1" t="s">
        <v>28910</v>
      </c>
      <c r="PON1" t="s">
        <v>28911</v>
      </c>
      <c r="POO1" t="s">
        <v>28912</v>
      </c>
      <c r="POP1" t="s">
        <v>28913</v>
      </c>
      <c r="POQ1" t="s">
        <v>28914</v>
      </c>
      <c r="POR1" t="s">
        <v>28915</v>
      </c>
      <c r="POS1" t="s">
        <v>28916</v>
      </c>
      <c r="POT1" t="s">
        <v>28917</v>
      </c>
      <c r="POU1" t="s">
        <v>28918</v>
      </c>
      <c r="POV1" t="s">
        <v>28919</v>
      </c>
      <c r="POW1" t="s">
        <v>28920</v>
      </c>
      <c r="POX1" t="s">
        <v>28921</v>
      </c>
      <c r="POY1" t="s">
        <v>28922</v>
      </c>
      <c r="POZ1" t="s">
        <v>28923</v>
      </c>
      <c r="PPA1" t="s">
        <v>28924</v>
      </c>
      <c r="PPB1" t="s">
        <v>28925</v>
      </c>
      <c r="PPC1" t="s">
        <v>28926</v>
      </c>
      <c r="PPD1" t="s">
        <v>28927</v>
      </c>
      <c r="PPE1" t="s">
        <v>28928</v>
      </c>
      <c r="PPF1" t="s">
        <v>28929</v>
      </c>
      <c r="PPG1" t="s">
        <v>28930</v>
      </c>
      <c r="PPH1" t="s">
        <v>28931</v>
      </c>
      <c r="PPI1" t="s">
        <v>28932</v>
      </c>
      <c r="PPJ1" t="s">
        <v>28933</v>
      </c>
      <c r="PPK1" t="s">
        <v>28934</v>
      </c>
      <c r="PPL1" t="s">
        <v>28935</v>
      </c>
      <c r="PPM1" t="s">
        <v>28936</v>
      </c>
      <c r="PPN1" t="s">
        <v>28937</v>
      </c>
      <c r="PPO1" t="s">
        <v>28938</v>
      </c>
      <c r="PPP1" t="s">
        <v>28939</v>
      </c>
      <c r="PPQ1" t="s">
        <v>28940</v>
      </c>
      <c r="PPR1" t="s">
        <v>28941</v>
      </c>
      <c r="PPS1" t="s">
        <v>28942</v>
      </c>
      <c r="PPT1" t="s">
        <v>28943</v>
      </c>
      <c r="PPU1" t="s">
        <v>28944</v>
      </c>
      <c r="PPV1" t="s">
        <v>28945</v>
      </c>
      <c r="PPW1" t="s">
        <v>28946</v>
      </c>
      <c r="PPX1" t="s">
        <v>28947</v>
      </c>
      <c r="PPY1" t="s">
        <v>28948</v>
      </c>
      <c r="PPZ1" t="s">
        <v>28949</v>
      </c>
      <c r="PQA1" t="s">
        <v>28950</v>
      </c>
      <c r="PQB1" t="s">
        <v>28951</v>
      </c>
      <c r="PQC1" t="s">
        <v>28952</v>
      </c>
      <c r="PQD1" t="s">
        <v>28953</v>
      </c>
      <c r="PQE1" t="s">
        <v>28954</v>
      </c>
      <c r="PQF1" t="s">
        <v>28955</v>
      </c>
      <c r="PQG1" t="s">
        <v>28956</v>
      </c>
      <c r="PQH1" t="s">
        <v>28957</v>
      </c>
      <c r="PQI1" t="s">
        <v>28958</v>
      </c>
      <c r="PQJ1" t="s">
        <v>28959</v>
      </c>
      <c r="PQK1" t="s">
        <v>28960</v>
      </c>
      <c r="PQL1" t="s">
        <v>28961</v>
      </c>
      <c r="PQM1" t="s">
        <v>28962</v>
      </c>
      <c r="PQN1" t="s">
        <v>28963</v>
      </c>
      <c r="PQO1" t="s">
        <v>28964</v>
      </c>
      <c r="PQP1" t="s">
        <v>28965</v>
      </c>
      <c r="PQQ1" t="s">
        <v>28966</v>
      </c>
      <c r="PQR1" t="s">
        <v>28967</v>
      </c>
      <c r="PQS1" t="s">
        <v>28968</v>
      </c>
      <c r="PQT1" t="s">
        <v>28969</v>
      </c>
      <c r="PQU1" t="s">
        <v>28970</v>
      </c>
      <c r="PQV1" t="s">
        <v>28971</v>
      </c>
      <c r="PQW1" t="s">
        <v>28972</v>
      </c>
      <c r="PQX1" t="s">
        <v>28973</v>
      </c>
      <c r="PQY1" t="s">
        <v>28974</v>
      </c>
      <c r="PQZ1" t="s">
        <v>28975</v>
      </c>
      <c r="PRA1" t="s">
        <v>28976</v>
      </c>
      <c r="PRB1" t="s">
        <v>28977</v>
      </c>
      <c r="PRC1" t="s">
        <v>28978</v>
      </c>
      <c r="PRD1" t="s">
        <v>28979</v>
      </c>
      <c r="PRE1" t="s">
        <v>28980</v>
      </c>
      <c r="PRF1" t="s">
        <v>28981</v>
      </c>
      <c r="PRG1" t="s">
        <v>28982</v>
      </c>
      <c r="PRH1" t="s">
        <v>28983</v>
      </c>
      <c r="PRI1" t="s">
        <v>28984</v>
      </c>
      <c r="PRJ1" t="s">
        <v>28985</v>
      </c>
      <c r="PRK1" t="s">
        <v>28986</v>
      </c>
      <c r="PRL1" t="s">
        <v>28987</v>
      </c>
      <c r="PRM1" t="s">
        <v>28988</v>
      </c>
      <c r="PRN1" t="s">
        <v>28989</v>
      </c>
      <c r="PRO1" t="s">
        <v>28990</v>
      </c>
      <c r="PRP1" t="s">
        <v>28991</v>
      </c>
      <c r="PRQ1" t="s">
        <v>28992</v>
      </c>
      <c r="PRR1" t="s">
        <v>28993</v>
      </c>
      <c r="PRS1" t="s">
        <v>28994</v>
      </c>
      <c r="PRT1" t="s">
        <v>28995</v>
      </c>
      <c r="PRU1" t="s">
        <v>28996</v>
      </c>
      <c r="PRV1" t="s">
        <v>28997</v>
      </c>
      <c r="PRW1" t="s">
        <v>28998</v>
      </c>
      <c r="PRX1" t="s">
        <v>28999</v>
      </c>
      <c r="PRY1" t="s">
        <v>29000</v>
      </c>
      <c r="PRZ1" t="s">
        <v>29001</v>
      </c>
      <c r="PSA1" t="s">
        <v>29002</v>
      </c>
      <c r="PSB1" t="s">
        <v>29003</v>
      </c>
      <c r="PSC1" t="s">
        <v>29004</v>
      </c>
      <c r="PSD1" t="s">
        <v>29005</v>
      </c>
      <c r="PSE1" t="s">
        <v>29006</v>
      </c>
      <c r="PSF1" t="s">
        <v>29007</v>
      </c>
      <c r="PSG1" t="s">
        <v>29008</v>
      </c>
      <c r="PSH1" t="s">
        <v>29009</v>
      </c>
      <c r="PSI1" t="s">
        <v>29010</v>
      </c>
      <c r="PSJ1" t="s">
        <v>29011</v>
      </c>
      <c r="PSK1" t="s">
        <v>29012</v>
      </c>
      <c r="PSL1" t="s">
        <v>29013</v>
      </c>
      <c r="PSM1" t="s">
        <v>29014</v>
      </c>
      <c r="PSN1" t="s">
        <v>29015</v>
      </c>
      <c r="PSO1" t="s">
        <v>29016</v>
      </c>
      <c r="PSP1" t="s">
        <v>29017</v>
      </c>
      <c r="PSQ1" t="s">
        <v>29018</v>
      </c>
      <c r="PSR1" t="s">
        <v>29019</v>
      </c>
      <c r="PSS1" t="s">
        <v>29020</v>
      </c>
      <c r="PST1" t="s">
        <v>29021</v>
      </c>
      <c r="PSU1" t="s">
        <v>29022</v>
      </c>
      <c r="PSV1" t="s">
        <v>29023</v>
      </c>
      <c r="PSW1" t="s">
        <v>29024</v>
      </c>
      <c r="PSX1" t="s">
        <v>29025</v>
      </c>
      <c r="PSY1" t="s">
        <v>29026</v>
      </c>
      <c r="PSZ1" t="s">
        <v>29027</v>
      </c>
      <c r="PTA1" t="s">
        <v>29028</v>
      </c>
      <c r="PTB1" t="s">
        <v>29029</v>
      </c>
      <c r="PTC1" t="s">
        <v>29030</v>
      </c>
      <c r="PTD1" t="s">
        <v>29031</v>
      </c>
      <c r="PTE1" t="s">
        <v>29032</v>
      </c>
      <c r="PTF1" t="s">
        <v>29033</v>
      </c>
      <c r="PTG1" t="s">
        <v>29034</v>
      </c>
      <c r="PTH1" t="s">
        <v>29035</v>
      </c>
      <c r="PTI1" t="s">
        <v>29036</v>
      </c>
      <c r="PTJ1" t="s">
        <v>29037</v>
      </c>
      <c r="PTK1" t="s">
        <v>29038</v>
      </c>
      <c r="PTL1" t="s">
        <v>29039</v>
      </c>
      <c r="PTM1" t="s">
        <v>29040</v>
      </c>
      <c r="PTN1" t="s">
        <v>29041</v>
      </c>
      <c r="PTO1" t="s">
        <v>29042</v>
      </c>
      <c r="PTP1" t="s">
        <v>29043</v>
      </c>
      <c r="PTQ1" t="s">
        <v>29044</v>
      </c>
      <c r="PTR1" t="s">
        <v>29045</v>
      </c>
      <c r="PTS1" t="s">
        <v>29046</v>
      </c>
      <c r="PTT1" t="s">
        <v>29047</v>
      </c>
      <c r="PTU1" t="s">
        <v>29048</v>
      </c>
      <c r="PTV1" t="s">
        <v>29049</v>
      </c>
      <c r="PTW1" t="s">
        <v>29050</v>
      </c>
      <c r="PTX1" t="s">
        <v>29051</v>
      </c>
      <c r="PTY1" t="s">
        <v>29052</v>
      </c>
      <c r="PTZ1" t="s">
        <v>29053</v>
      </c>
      <c r="PUA1" t="s">
        <v>29054</v>
      </c>
      <c r="PUB1" t="s">
        <v>29055</v>
      </c>
      <c r="PUC1" t="s">
        <v>29056</v>
      </c>
      <c r="PUD1" t="s">
        <v>29057</v>
      </c>
      <c r="PUE1" t="s">
        <v>29058</v>
      </c>
      <c r="PUF1" t="s">
        <v>29059</v>
      </c>
      <c r="PUG1" t="s">
        <v>29060</v>
      </c>
      <c r="PUH1" t="s">
        <v>29061</v>
      </c>
      <c r="PUI1" t="s">
        <v>29062</v>
      </c>
      <c r="PUJ1" t="s">
        <v>29063</v>
      </c>
      <c r="PUK1" t="s">
        <v>29064</v>
      </c>
      <c r="PUL1" t="s">
        <v>29065</v>
      </c>
      <c r="PUM1" t="s">
        <v>29066</v>
      </c>
      <c r="PUN1" t="s">
        <v>29067</v>
      </c>
      <c r="PUO1" t="s">
        <v>29068</v>
      </c>
      <c r="PUP1" t="s">
        <v>29069</v>
      </c>
      <c r="PUQ1" t="s">
        <v>29070</v>
      </c>
      <c r="PUR1" t="s">
        <v>29071</v>
      </c>
      <c r="PUS1" t="s">
        <v>29072</v>
      </c>
      <c r="PUT1" t="s">
        <v>29073</v>
      </c>
      <c r="PUU1" t="s">
        <v>29074</v>
      </c>
      <c r="PUV1" t="s">
        <v>29075</v>
      </c>
      <c r="PUW1" t="s">
        <v>29076</v>
      </c>
      <c r="PUX1" t="s">
        <v>29077</v>
      </c>
      <c r="PUY1" t="s">
        <v>29078</v>
      </c>
      <c r="PUZ1" t="s">
        <v>29079</v>
      </c>
      <c r="PVA1" t="s">
        <v>29080</v>
      </c>
      <c r="PVB1" t="s">
        <v>29081</v>
      </c>
      <c r="PVC1" t="s">
        <v>29082</v>
      </c>
      <c r="PVD1" t="s">
        <v>29083</v>
      </c>
      <c r="PVE1" t="s">
        <v>29084</v>
      </c>
      <c r="PVF1" t="s">
        <v>29085</v>
      </c>
      <c r="PVG1" t="s">
        <v>29086</v>
      </c>
      <c r="PVH1" t="s">
        <v>29087</v>
      </c>
      <c r="PVI1" t="s">
        <v>29088</v>
      </c>
      <c r="PVJ1" t="s">
        <v>29089</v>
      </c>
      <c r="PVK1" t="s">
        <v>29090</v>
      </c>
      <c r="PVL1" t="s">
        <v>29091</v>
      </c>
      <c r="PVM1" t="s">
        <v>29092</v>
      </c>
      <c r="PVN1" t="s">
        <v>29093</v>
      </c>
      <c r="PVO1" t="s">
        <v>29094</v>
      </c>
      <c r="PVP1" t="s">
        <v>29095</v>
      </c>
      <c r="PVQ1" t="s">
        <v>29096</v>
      </c>
      <c r="PVR1" t="s">
        <v>29097</v>
      </c>
      <c r="PVS1" t="s">
        <v>29098</v>
      </c>
      <c r="PVT1" t="s">
        <v>29099</v>
      </c>
      <c r="PVU1" t="s">
        <v>29100</v>
      </c>
      <c r="PVV1" t="s">
        <v>29101</v>
      </c>
      <c r="PVW1" t="s">
        <v>29102</v>
      </c>
      <c r="PVX1" t="s">
        <v>29103</v>
      </c>
      <c r="PVY1" t="s">
        <v>29104</v>
      </c>
      <c r="PVZ1" t="s">
        <v>29105</v>
      </c>
      <c r="PWA1" t="s">
        <v>29106</v>
      </c>
      <c r="PWB1" t="s">
        <v>29107</v>
      </c>
      <c r="PWC1" t="s">
        <v>29108</v>
      </c>
      <c r="PWD1" t="s">
        <v>29109</v>
      </c>
      <c r="PWE1" t="s">
        <v>29110</v>
      </c>
      <c r="PWF1" t="s">
        <v>29111</v>
      </c>
      <c r="PWG1" t="s">
        <v>29112</v>
      </c>
      <c r="PWH1" t="s">
        <v>29113</v>
      </c>
      <c r="PWI1" t="s">
        <v>29114</v>
      </c>
      <c r="PWJ1" t="s">
        <v>29115</v>
      </c>
      <c r="PWK1" t="s">
        <v>29116</v>
      </c>
      <c r="PWL1" t="s">
        <v>29117</v>
      </c>
      <c r="PWM1" t="s">
        <v>29118</v>
      </c>
      <c r="PWN1" t="s">
        <v>29119</v>
      </c>
      <c r="PWO1" t="s">
        <v>29120</v>
      </c>
      <c r="PWP1" t="s">
        <v>29121</v>
      </c>
      <c r="PWQ1" t="s">
        <v>29122</v>
      </c>
      <c r="PWR1" t="s">
        <v>29123</v>
      </c>
      <c r="PWS1" t="s">
        <v>29124</v>
      </c>
      <c r="PWT1" t="s">
        <v>29125</v>
      </c>
      <c r="PWU1" t="s">
        <v>29126</v>
      </c>
      <c r="PWV1" t="s">
        <v>29127</v>
      </c>
      <c r="PWW1" t="s">
        <v>29128</v>
      </c>
      <c r="PWX1" t="s">
        <v>29129</v>
      </c>
      <c r="PWY1" t="s">
        <v>29130</v>
      </c>
      <c r="PWZ1" t="s">
        <v>29131</v>
      </c>
      <c r="PXA1" t="s">
        <v>29132</v>
      </c>
      <c r="PXB1" t="s">
        <v>29133</v>
      </c>
      <c r="PXC1" t="s">
        <v>29134</v>
      </c>
      <c r="PXD1" t="s">
        <v>29135</v>
      </c>
      <c r="PXE1" t="s">
        <v>29136</v>
      </c>
      <c r="PXF1" t="s">
        <v>29137</v>
      </c>
      <c r="PXG1" t="s">
        <v>29138</v>
      </c>
      <c r="PXH1" t="s">
        <v>29139</v>
      </c>
      <c r="PXI1" t="s">
        <v>29140</v>
      </c>
      <c r="PXJ1" t="s">
        <v>29141</v>
      </c>
      <c r="PXK1" t="s">
        <v>29142</v>
      </c>
      <c r="PXL1" t="s">
        <v>29143</v>
      </c>
      <c r="PXM1" t="s">
        <v>29144</v>
      </c>
      <c r="PXN1" t="s">
        <v>29145</v>
      </c>
      <c r="PXO1" t="s">
        <v>29146</v>
      </c>
      <c r="PXP1" t="s">
        <v>29147</v>
      </c>
      <c r="PXQ1" t="s">
        <v>29148</v>
      </c>
      <c r="PXR1" t="s">
        <v>29149</v>
      </c>
      <c r="PXS1" t="s">
        <v>29150</v>
      </c>
      <c r="PXT1" t="s">
        <v>29151</v>
      </c>
      <c r="PXU1" t="s">
        <v>29152</v>
      </c>
      <c r="PXV1" t="s">
        <v>29153</v>
      </c>
      <c r="PXW1" t="s">
        <v>29154</v>
      </c>
      <c r="PXX1" t="s">
        <v>29155</v>
      </c>
      <c r="PXY1" t="s">
        <v>29156</v>
      </c>
      <c r="PXZ1" t="s">
        <v>29157</v>
      </c>
      <c r="PYA1" t="s">
        <v>29158</v>
      </c>
      <c r="PYB1" t="s">
        <v>29159</v>
      </c>
      <c r="PYC1" t="s">
        <v>29160</v>
      </c>
      <c r="PYD1" t="s">
        <v>29161</v>
      </c>
      <c r="PYE1" t="s">
        <v>29162</v>
      </c>
      <c r="PYF1" t="s">
        <v>29163</v>
      </c>
      <c r="PYG1" t="s">
        <v>29164</v>
      </c>
      <c r="PYH1" t="s">
        <v>29165</v>
      </c>
      <c r="PYI1" t="s">
        <v>29166</v>
      </c>
      <c r="PYJ1" t="s">
        <v>29167</v>
      </c>
      <c r="PYK1" t="s">
        <v>29168</v>
      </c>
      <c r="PYL1" t="s">
        <v>29169</v>
      </c>
      <c r="PYM1" t="s">
        <v>29170</v>
      </c>
      <c r="PYN1" t="s">
        <v>29171</v>
      </c>
      <c r="PYO1" t="s">
        <v>29172</v>
      </c>
      <c r="PYP1" t="s">
        <v>29173</v>
      </c>
      <c r="PYQ1" t="s">
        <v>29174</v>
      </c>
      <c r="PYR1" t="s">
        <v>29175</v>
      </c>
      <c r="PYS1" t="s">
        <v>29176</v>
      </c>
      <c r="PYT1" t="s">
        <v>29177</v>
      </c>
      <c r="PYU1" t="s">
        <v>29178</v>
      </c>
      <c r="PYV1" t="s">
        <v>29179</v>
      </c>
      <c r="PYW1" t="s">
        <v>29180</v>
      </c>
      <c r="PYX1" t="s">
        <v>29181</v>
      </c>
      <c r="PYY1" t="s">
        <v>29182</v>
      </c>
      <c r="PYZ1" t="s">
        <v>29183</v>
      </c>
      <c r="PZA1" t="s">
        <v>29184</v>
      </c>
      <c r="PZB1" t="s">
        <v>29185</v>
      </c>
      <c r="PZC1" t="s">
        <v>29186</v>
      </c>
      <c r="PZD1" t="s">
        <v>29187</v>
      </c>
      <c r="PZE1" t="s">
        <v>29188</v>
      </c>
      <c r="PZF1" t="s">
        <v>29189</v>
      </c>
      <c r="PZG1" t="s">
        <v>29190</v>
      </c>
      <c r="PZH1" t="s">
        <v>29191</v>
      </c>
      <c r="PZI1" t="s">
        <v>29192</v>
      </c>
      <c r="PZJ1" t="s">
        <v>29193</v>
      </c>
      <c r="PZK1" t="s">
        <v>29194</v>
      </c>
      <c r="PZL1" t="s">
        <v>29195</v>
      </c>
      <c r="PZM1" t="s">
        <v>29196</v>
      </c>
      <c r="PZN1" t="s">
        <v>29197</v>
      </c>
      <c r="PZO1" t="s">
        <v>29198</v>
      </c>
      <c r="PZP1" t="s">
        <v>29199</v>
      </c>
      <c r="PZQ1" t="s">
        <v>29200</v>
      </c>
      <c r="PZR1" t="s">
        <v>29201</v>
      </c>
      <c r="PZS1" t="s">
        <v>29202</v>
      </c>
      <c r="PZT1" t="s">
        <v>29203</v>
      </c>
      <c r="PZU1" t="s">
        <v>29204</v>
      </c>
      <c r="PZV1" t="s">
        <v>29205</v>
      </c>
      <c r="PZW1" t="s">
        <v>29206</v>
      </c>
      <c r="PZX1" t="s">
        <v>29207</v>
      </c>
      <c r="PZY1" t="s">
        <v>29208</v>
      </c>
      <c r="PZZ1" t="s">
        <v>29209</v>
      </c>
      <c r="QAA1" t="s">
        <v>29210</v>
      </c>
      <c r="QAB1" t="s">
        <v>29211</v>
      </c>
      <c r="QAC1" t="s">
        <v>29212</v>
      </c>
      <c r="QAD1" t="s">
        <v>29213</v>
      </c>
      <c r="QAE1" t="s">
        <v>29214</v>
      </c>
      <c r="QAF1" t="s">
        <v>29215</v>
      </c>
      <c r="QAG1" t="s">
        <v>29216</v>
      </c>
      <c r="QAH1" t="s">
        <v>29217</v>
      </c>
      <c r="QAI1" t="s">
        <v>29218</v>
      </c>
      <c r="QAJ1" t="s">
        <v>29219</v>
      </c>
      <c r="QAK1" t="s">
        <v>29220</v>
      </c>
      <c r="QAL1" t="s">
        <v>29221</v>
      </c>
      <c r="QAM1" t="s">
        <v>29222</v>
      </c>
      <c r="QAN1" t="s">
        <v>29223</v>
      </c>
      <c r="QAO1" t="s">
        <v>29224</v>
      </c>
      <c r="QAP1" t="s">
        <v>29225</v>
      </c>
      <c r="QAQ1" t="s">
        <v>29226</v>
      </c>
      <c r="QAR1" t="s">
        <v>29227</v>
      </c>
      <c r="QAS1" t="s">
        <v>29228</v>
      </c>
      <c r="QAT1" t="s">
        <v>29229</v>
      </c>
      <c r="QAU1" t="s">
        <v>29230</v>
      </c>
      <c r="QAV1" t="s">
        <v>29231</v>
      </c>
      <c r="QAW1" t="s">
        <v>29232</v>
      </c>
      <c r="QAX1" t="s">
        <v>29233</v>
      </c>
      <c r="QAY1" t="s">
        <v>29234</v>
      </c>
      <c r="QAZ1" t="s">
        <v>29235</v>
      </c>
      <c r="QBA1" t="s">
        <v>29236</v>
      </c>
      <c r="QBB1" t="s">
        <v>29237</v>
      </c>
      <c r="QBC1" t="s">
        <v>29238</v>
      </c>
      <c r="QBD1" t="s">
        <v>29239</v>
      </c>
      <c r="QBE1" t="s">
        <v>29240</v>
      </c>
      <c r="QBF1" t="s">
        <v>29241</v>
      </c>
      <c r="QBG1" t="s">
        <v>29242</v>
      </c>
      <c r="QBH1" t="s">
        <v>29243</v>
      </c>
      <c r="QBI1" t="s">
        <v>29244</v>
      </c>
      <c r="QBJ1" t="s">
        <v>29245</v>
      </c>
      <c r="QBK1" t="s">
        <v>29246</v>
      </c>
      <c r="QBL1" t="s">
        <v>29247</v>
      </c>
      <c r="QBM1" t="s">
        <v>29248</v>
      </c>
      <c r="QBN1" t="s">
        <v>29249</v>
      </c>
      <c r="QBO1" t="s">
        <v>29250</v>
      </c>
      <c r="QBP1" t="s">
        <v>29251</v>
      </c>
      <c r="QBQ1" t="s">
        <v>29252</v>
      </c>
      <c r="QBR1" t="s">
        <v>29253</v>
      </c>
      <c r="QBS1" t="s">
        <v>29254</v>
      </c>
      <c r="QBT1" t="s">
        <v>29255</v>
      </c>
      <c r="QBU1" t="s">
        <v>29256</v>
      </c>
      <c r="QBV1" t="s">
        <v>29257</v>
      </c>
      <c r="QBW1" t="s">
        <v>29258</v>
      </c>
      <c r="QBX1" t="s">
        <v>29259</v>
      </c>
      <c r="QBY1" t="s">
        <v>29260</v>
      </c>
      <c r="QBZ1" t="s">
        <v>29261</v>
      </c>
      <c r="QCA1" t="s">
        <v>29262</v>
      </c>
      <c r="QCB1" t="s">
        <v>29263</v>
      </c>
      <c r="QCC1" t="s">
        <v>29264</v>
      </c>
      <c r="QCD1" t="s">
        <v>29265</v>
      </c>
      <c r="QCE1" t="s">
        <v>29266</v>
      </c>
      <c r="QCF1" t="s">
        <v>29267</v>
      </c>
      <c r="QCG1" t="s">
        <v>29268</v>
      </c>
      <c r="QCH1" t="s">
        <v>29269</v>
      </c>
      <c r="QCI1" t="s">
        <v>29270</v>
      </c>
      <c r="QCJ1" t="s">
        <v>29271</v>
      </c>
      <c r="QCK1" t="s">
        <v>29272</v>
      </c>
      <c r="QCL1" t="s">
        <v>29273</v>
      </c>
      <c r="QCM1" t="s">
        <v>29274</v>
      </c>
      <c r="QCN1" t="s">
        <v>29275</v>
      </c>
      <c r="QCO1" t="s">
        <v>29276</v>
      </c>
      <c r="QCP1" t="s">
        <v>29277</v>
      </c>
      <c r="QCQ1" t="s">
        <v>29278</v>
      </c>
      <c r="QCR1" t="s">
        <v>29279</v>
      </c>
      <c r="QCS1" t="s">
        <v>29280</v>
      </c>
      <c r="QCT1" t="s">
        <v>29281</v>
      </c>
      <c r="QCU1" t="s">
        <v>29282</v>
      </c>
      <c r="QCV1" t="s">
        <v>29283</v>
      </c>
      <c r="QCW1" t="s">
        <v>29284</v>
      </c>
      <c r="QCX1" t="s">
        <v>29285</v>
      </c>
      <c r="QCY1" t="s">
        <v>29286</v>
      </c>
      <c r="QCZ1" t="s">
        <v>29287</v>
      </c>
      <c r="QDA1" t="s">
        <v>29288</v>
      </c>
      <c r="QDB1" t="s">
        <v>29289</v>
      </c>
      <c r="QDC1" t="s">
        <v>29290</v>
      </c>
      <c r="QDD1" t="s">
        <v>29291</v>
      </c>
      <c r="QDE1" t="s">
        <v>29292</v>
      </c>
      <c r="QDF1" t="s">
        <v>29293</v>
      </c>
      <c r="QDG1" t="s">
        <v>29294</v>
      </c>
      <c r="QDH1" t="s">
        <v>29295</v>
      </c>
      <c r="QDI1" t="s">
        <v>29296</v>
      </c>
      <c r="QDJ1" t="s">
        <v>29297</v>
      </c>
      <c r="QDK1" t="s">
        <v>29298</v>
      </c>
      <c r="QDL1" t="s">
        <v>29299</v>
      </c>
      <c r="QDM1" t="s">
        <v>29300</v>
      </c>
      <c r="QDN1" t="s">
        <v>29301</v>
      </c>
      <c r="QDO1" t="s">
        <v>29302</v>
      </c>
      <c r="QDP1" t="s">
        <v>29303</v>
      </c>
      <c r="QDQ1" t="s">
        <v>29304</v>
      </c>
      <c r="QDR1" t="s">
        <v>29305</v>
      </c>
      <c r="QDS1" t="s">
        <v>29306</v>
      </c>
      <c r="QDT1" t="s">
        <v>29307</v>
      </c>
      <c r="QDU1" t="s">
        <v>29308</v>
      </c>
      <c r="QDV1" t="s">
        <v>29309</v>
      </c>
      <c r="QDW1" t="s">
        <v>29310</v>
      </c>
      <c r="QDX1" t="s">
        <v>29311</v>
      </c>
      <c r="QDY1" t="s">
        <v>29312</v>
      </c>
      <c r="QDZ1" t="s">
        <v>29313</v>
      </c>
      <c r="QEA1" t="s">
        <v>29314</v>
      </c>
      <c r="QEB1" t="s">
        <v>29315</v>
      </c>
      <c r="QEC1" t="s">
        <v>29316</v>
      </c>
      <c r="QED1" t="s">
        <v>29317</v>
      </c>
      <c r="QEE1" t="s">
        <v>29318</v>
      </c>
      <c r="QEF1" t="s">
        <v>29319</v>
      </c>
      <c r="QEG1" t="s">
        <v>29320</v>
      </c>
      <c r="QEH1" t="s">
        <v>29321</v>
      </c>
      <c r="QEI1" t="s">
        <v>29322</v>
      </c>
      <c r="QEJ1" t="s">
        <v>29323</v>
      </c>
      <c r="QEK1" t="s">
        <v>29324</v>
      </c>
      <c r="QEL1" t="s">
        <v>29325</v>
      </c>
      <c r="QEM1" t="s">
        <v>29326</v>
      </c>
      <c r="QEN1" t="s">
        <v>29327</v>
      </c>
      <c r="QEO1" t="s">
        <v>29328</v>
      </c>
      <c r="QEP1" t="s">
        <v>29329</v>
      </c>
      <c r="QEQ1" t="s">
        <v>29330</v>
      </c>
      <c r="QER1" t="s">
        <v>29331</v>
      </c>
      <c r="QES1" t="s">
        <v>29332</v>
      </c>
      <c r="QET1" t="s">
        <v>29333</v>
      </c>
      <c r="QEU1" t="s">
        <v>29334</v>
      </c>
      <c r="QEV1" t="s">
        <v>29335</v>
      </c>
      <c r="QEW1" t="s">
        <v>29336</v>
      </c>
      <c r="QEX1" t="s">
        <v>29337</v>
      </c>
      <c r="QEY1" t="s">
        <v>29338</v>
      </c>
      <c r="QEZ1" t="s">
        <v>29339</v>
      </c>
      <c r="QFA1" t="s">
        <v>29340</v>
      </c>
      <c r="QFB1" t="s">
        <v>29341</v>
      </c>
      <c r="QFC1" t="s">
        <v>29342</v>
      </c>
      <c r="QFD1" t="s">
        <v>29343</v>
      </c>
      <c r="QFE1" t="s">
        <v>29344</v>
      </c>
      <c r="QFF1" t="s">
        <v>29345</v>
      </c>
      <c r="QFG1" t="s">
        <v>29346</v>
      </c>
      <c r="QFH1" t="s">
        <v>29347</v>
      </c>
      <c r="QFI1" t="s">
        <v>29348</v>
      </c>
      <c r="QFJ1" t="s">
        <v>29349</v>
      </c>
      <c r="QFK1" t="s">
        <v>29350</v>
      </c>
      <c r="QFL1" t="s">
        <v>29351</v>
      </c>
      <c r="QFM1" t="s">
        <v>29352</v>
      </c>
      <c r="QFN1" t="s">
        <v>29353</v>
      </c>
      <c r="QFO1" t="s">
        <v>29354</v>
      </c>
      <c r="QFP1" t="s">
        <v>29355</v>
      </c>
      <c r="QFQ1" t="s">
        <v>29356</v>
      </c>
      <c r="QFR1" t="s">
        <v>29357</v>
      </c>
      <c r="QFS1" t="s">
        <v>29358</v>
      </c>
      <c r="QFT1" t="s">
        <v>29359</v>
      </c>
      <c r="QFU1" t="s">
        <v>29360</v>
      </c>
      <c r="QFV1" t="s">
        <v>29361</v>
      </c>
      <c r="QFW1" t="s">
        <v>29362</v>
      </c>
      <c r="QFX1" t="s">
        <v>29363</v>
      </c>
      <c r="QFY1" t="s">
        <v>29364</v>
      </c>
      <c r="QFZ1" t="s">
        <v>29365</v>
      </c>
      <c r="QGA1" t="s">
        <v>29366</v>
      </c>
      <c r="QGB1" t="s">
        <v>29367</v>
      </c>
      <c r="QGC1" t="s">
        <v>29368</v>
      </c>
      <c r="QGD1" t="s">
        <v>29369</v>
      </c>
      <c r="QGE1" t="s">
        <v>29370</v>
      </c>
      <c r="QGF1" t="s">
        <v>29371</v>
      </c>
      <c r="QGG1" t="s">
        <v>29372</v>
      </c>
      <c r="QGH1" t="s">
        <v>29373</v>
      </c>
      <c r="QGI1" t="s">
        <v>29374</v>
      </c>
      <c r="QGJ1" t="s">
        <v>29375</v>
      </c>
      <c r="QGK1" t="s">
        <v>29376</v>
      </c>
      <c r="QGL1" t="s">
        <v>29377</v>
      </c>
      <c r="QGM1" t="s">
        <v>29378</v>
      </c>
      <c r="QGN1" t="s">
        <v>29379</v>
      </c>
      <c r="QGO1" t="s">
        <v>29380</v>
      </c>
      <c r="QGP1" t="s">
        <v>29381</v>
      </c>
      <c r="QGQ1" t="s">
        <v>29382</v>
      </c>
      <c r="QGR1" t="s">
        <v>29383</v>
      </c>
      <c r="QGS1" t="s">
        <v>29384</v>
      </c>
      <c r="QGT1" t="s">
        <v>29385</v>
      </c>
      <c r="QGU1" t="s">
        <v>29386</v>
      </c>
      <c r="QGV1" t="s">
        <v>29387</v>
      </c>
      <c r="QGW1" t="s">
        <v>29388</v>
      </c>
      <c r="QGX1" t="s">
        <v>29389</v>
      </c>
      <c r="QGY1" t="s">
        <v>29390</v>
      </c>
      <c r="QGZ1" t="s">
        <v>29391</v>
      </c>
      <c r="QHA1" t="s">
        <v>29392</v>
      </c>
      <c r="QHB1" t="s">
        <v>29393</v>
      </c>
      <c r="QHC1" t="s">
        <v>29394</v>
      </c>
      <c r="QHD1" t="s">
        <v>29395</v>
      </c>
      <c r="QHE1" t="s">
        <v>29396</v>
      </c>
      <c r="QHF1" t="s">
        <v>29397</v>
      </c>
      <c r="QHG1" t="s">
        <v>29398</v>
      </c>
      <c r="QHH1" t="s">
        <v>29399</v>
      </c>
      <c r="QHI1" t="s">
        <v>29400</v>
      </c>
      <c r="QHJ1" t="s">
        <v>29401</v>
      </c>
      <c r="QHK1" t="s">
        <v>29402</v>
      </c>
      <c r="QHL1" t="s">
        <v>29403</v>
      </c>
      <c r="QHM1" t="s">
        <v>29404</v>
      </c>
      <c r="QHN1" t="s">
        <v>29405</v>
      </c>
      <c r="QHO1" t="s">
        <v>29406</v>
      </c>
      <c r="QHP1" t="s">
        <v>29407</v>
      </c>
      <c r="QHQ1" t="s">
        <v>29408</v>
      </c>
      <c r="QHR1" t="s">
        <v>29409</v>
      </c>
      <c r="QHS1" t="s">
        <v>29410</v>
      </c>
      <c r="QHT1" t="s">
        <v>29411</v>
      </c>
      <c r="QHU1" t="s">
        <v>29412</v>
      </c>
      <c r="QHV1" t="s">
        <v>29413</v>
      </c>
      <c r="QHW1" t="s">
        <v>29414</v>
      </c>
      <c r="QHX1" t="s">
        <v>29415</v>
      </c>
      <c r="QHY1" t="s">
        <v>29416</v>
      </c>
      <c r="QHZ1" t="s">
        <v>29417</v>
      </c>
      <c r="QIA1" t="s">
        <v>29418</v>
      </c>
      <c r="QIB1" t="s">
        <v>29419</v>
      </c>
      <c r="QIC1" t="s">
        <v>29420</v>
      </c>
      <c r="QID1" t="s">
        <v>29421</v>
      </c>
      <c r="QIE1" t="s">
        <v>29422</v>
      </c>
      <c r="QIF1" t="s">
        <v>29423</v>
      </c>
      <c r="QIG1" t="s">
        <v>29424</v>
      </c>
      <c r="QIH1" t="s">
        <v>29425</v>
      </c>
      <c r="QII1" t="s">
        <v>29426</v>
      </c>
      <c r="QIJ1" t="s">
        <v>29427</v>
      </c>
      <c r="QIK1" t="s">
        <v>29428</v>
      </c>
      <c r="QIL1" t="s">
        <v>29429</v>
      </c>
      <c r="QIM1" t="s">
        <v>29430</v>
      </c>
      <c r="QIN1" t="s">
        <v>29431</v>
      </c>
      <c r="QIO1" t="s">
        <v>29432</v>
      </c>
      <c r="QIP1" t="s">
        <v>29433</v>
      </c>
      <c r="QIQ1" t="s">
        <v>29434</v>
      </c>
      <c r="QIR1" t="s">
        <v>29435</v>
      </c>
      <c r="QIS1" t="s">
        <v>29436</v>
      </c>
      <c r="QIT1" t="s">
        <v>29437</v>
      </c>
      <c r="QIU1" t="s">
        <v>29438</v>
      </c>
      <c r="QIV1" t="s">
        <v>29439</v>
      </c>
      <c r="QIW1" t="s">
        <v>29440</v>
      </c>
      <c r="QIX1" t="s">
        <v>29441</v>
      </c>
      <c r="QIY1" t="s">
        <v>29442</v>
      </c>
      <c r="QIZ1" t="s">
        <v>29443</v>
      </c>
      <c r="QJA1" t="s">
        <v>29444</v>
      </c>
      <c r="QJB1" t="s">
        <v>29445</v>
      </c>
      <c r="QJC1" t="s">
        <v>29446</v>
      </c>
      <c r="QJD1" t="s">
        <v>29447</v>
      </c>
      <c r="QJE1" t="s">
        <v>29448</v>
      </c>
      <c r="QJF1" t="s">
        <v>29449</v>
      </c>
      <c r="QJG1" t="s">
        <v>29450</v>
      </c>
      <c r="QJH1" t="s">
        <v>29451</v>
      </c>
      <c r="QJI1" t="s">
        <v>29452</v>
      </c>
      <c r="QJJ1" t="s">
        <v>29453</v>
      </c>
      <c r="QJK1" t="s">
        <v>29454</v>
      </c>
      <c r="QJL1" t="s">
        <v>29455</v>
      </c>
      <c r="QJM1" t="s">
        <v>29456</v>
      </c>
      <c r="QJN1" t="s">
        <v>29457</v>
      </c>
      <c r="QJO1" t="s">
        <v>29458</v>
      </c>
      <c r="QJP1" t="s">
        <v>29459</v>
      </c>
      <c r="QJQ1" t="s">
        <v>29460</v>
      </c>
      <c r="QJR1" t="s">
        <v>29461</v>
      </c>
      <c r="QJS1" t="s">
        <v>29462</v>
      </c>
      <c r="QJT1" t="s">
        <v>29463</v>
      </c>
      <c r="QJU1" t="s">
        <v>29464</v>
      </c>
      <c r="QJV1" t="s">
        <v>29465</v>
      </c>
      <c r="QJW1" t="s">
        <v>29466</v>
      </c>
      <c r="QJX1" t="s">
        <v>29467</v>
      </c>
      <c r="QJY1" t="s">
        <v>29468</v>
      </c>
      <c r="QJZ1" t="s">
        <v>29469</v>
      </c>
      <c r="QKA1" t="s">
        <v>29470</v>
      </c>
      <c r="QKB1" t="s">
        <v>29471</v>
      </c>
      <c r="QKC1" t="s">
        <v>29472</v>
      </c>
      <c r="QKD1" t="s">
        <v>29473</v>
      </c>
      <c r="QKE1" t="s">
        <v>29474</v>
      </c>
      <c r="QKF1" t="s">
        <v>29475</v>
      </c>
      <c r="QKG1" t="s">
        <v>29476</v>
      </c>
      <c r="QKH1" t="s">
        <v>29477</v>
      </c>
      <c r="QKI1" t="s">
        <v>29478</v>
      </c>
      <c r="QKJ1" t="s">
        <v>29479</v>
      </c>
      <c r="QKK1" t="s">
        <v>29480</v>
      </c>
      <c r="QKL1" t="s">
        <v>29481</v>
      </c>
      <c r="QKM1" t="s">
        <v>29482</v>
      </c>
      <c r="QKN1" t="s">
        <v>29483</v>
      </c>
      <c r="QKO1" t="s">
        <v>29484</v>
      </c>
      <c r="QKP1" t="s">
        <v>29485</v>
      </c>
      <c r="QKQ1" t="s">
        <v>29486</v>
      </c>
      <c r="QKR1" t="s">
        <v>29487</v>
      </c>
      <c r="QKS1" t="s">
        <v>29488</v>
      </c>
      <c r="QKT1" t="s">
        <v>29489</v>
      </c>
      <c r="QKU1" t="s">
        <v>29490</v>
      </c>
      <c r="QKV1" t="s">
        <v>29491</v>
      </c>
      <c r="QKW1" t="s">
        <v>29492</v>
      </c>
      <c r="QKX1" t="s">
        <v>29493</v>
      </c>
      <c r="QKY1" t="s">
        <v>29494</v>
      </c>
      <c r="QKZ1" t="s">
        <v>29495</v>
      </c>
      <c r="QLA1" t="s">
        <v>29496</v>
      </c>
      <c r="QLB1" t="s">
        <v>29497</v>
      </c>
      <c r="QLC1" t="s">
        <v>29498</v>
      </c>
      <c r="QLD1" t="s">
        <v>29499</v>
      </c>
      <c r="QLE1" t="s">
        <v>29500</v>
      </c>
      <c r="QLF1" t="s">
        <v>29501</v>
      </c>
      <c r="QLG1" t="s">
        <v>29502</v>
      </c>
      <c r="QLH1" t="s">
        <v>29503</v>
      </c>
      <c r="QLI1" t="s">
        <v>29504</v>
      </c>
      <c r="QLJ1" t="s">
        <v>29505</v>
      </c>
      <c r="QLK1" t="s">
        <v>29506</v>
      </c>
      <c r="QLL1" t="s">
        <v>29507</v>
      </c>
      <c r="QLM1" t="s">
        <v>29508</v>
      </c>
      <c r="QLN1" t="s">
        <v>29509</v>
      </c>
      <c r="QLO1" t="s">
        <v>29510</v>
      </c>
      <c r="QLP1" t="s">
        <v>29511</v>
      </c>
      <c r="QLQ1" t="s">
        <v>29512</v>
      </c>
      <c r="QLR1" t="s">
        <v>29513</v>
      </c>
      <c r="QLS1" t="s">
        <v>29514</v>
      </c>
      <c r="QLT1" t="s">
        <v>29515</v>
      </c>
      <c r="QLU1" t="s">
        <v>29516</v>
      </c>
      <c r="QLV1" t="s">
        <v>29517</v>
      </c>
      <c r="QLW1" t="s">
        <v>29518</v>
      </c>
      <c r="QLX1" t="s">
        <v>29519</v>
      </c>
      <c r="QLY1" t="s">
        <v>29520</v>
      </c>
      <c r="QLZ1" t="s">
        <v>29521</v>
      </c>
      <c r="QMA1" t="s">
        <v>29522</v>
      </c>
      <c r="QMB1" t="s">
        <v>29523</v>
      </c>
      <c r="QMC1" t="s">
        <v>29524</v>
      </c>
      <c r="QMD1" t="s">
        <v>29525</v>
      </c>
      <c r="QME1" t="s">
        <v>29526</v>
      </c>
      <c r="QMF1" t="s">
        <v>29527</v>
      </c>
      <c r="QMG1" t="s">
        <v>29528</v>
      </c>
      <c r="QMH1" t="s">
        <v>29529</v>
      </c>
      <c r="QMI1" t="s">
        <v>29530</v>
      </c>
      <c r="QMJ1" t="s">
        <v>29531</v>
      </c>
      <c r="QMK1" t="s">
        <v>29532</v>
      </c>
      <c r="QML1" t="s">
        <v>29533</v>
      </c>
      <c r="QMM1" t="s">
        <v>29534</v>
      </c>
      <c r="QMN1" t="s">
        <v>29535</v>
      </c>
      <c r="QMO1" t="s">
        <v>29536</v>
      </c>
      <c r="QMP1" t="s">
        <v>29537</v>
      </c>
      <c r="QMQ1" t="s">
        <v>29538</v>
      </c>
      <c r="QMR1" t="s">
        <v>29539</v>
      </c>
      <c r="QMS1" t="s">
        <v>29540</v>
      </c>
      <c r="QMT1" t="s">
        <v>29541</v>
      </c>
      <c r="QMU1" t="s">
        <v>29542</v>
      </c>
      <c r="QMV1" t="s">
        <v>29543</v>
      </c>
      <c r="QMW1" t="s">
        <v>29544</v>
      </c>
      <c r="QMX1" t="s">
        <v>29545</v>
      </c>
      <c r="QMY1" t="s">
        <v>29546</v>
      </c>
      <c r="QMZ1" t="s">
        <v>29547</v>
      </c>
      <c r="QNA1" t="s">
        <v>29548</v>
      </c>
      <c r="QNB1" t="s">
        <v>29549</v>
      </c>
      <c r="QNC1" t="s">
        <v>29550</v>
      </c>
      <c r="QND1" t="s">
        <v>29551</v>
      </c>
      <c r="QNE1" t="s">
        <v>29552</v>
      </c>
      <c r="QNF1" t="s">
        <v>29553</v>
      </c>
      <c r="QNG1" t="s">
        <v>29554</v>
      </c>
      <c r="QNH1" t="s">
        <v>29555</v>
      </c>
      <c r="QNI1" t="s">
        <v>29556</v>
      </c>
      <c r="QNJ1" t="s">
        <v>29557</v>
      </c>
      <c r="QNK1" t="s">
        <v>29558</v>
      </c>
      <c r="QNL1" t="s">
        <v>29559</v>
      </c>
      <c r="QNM1" t="s">
        <v>29560</v>
      </c>
      <c r="QNN1" t="s">
        <v>29561</v>
      </c>
      <c r="QNO1" t="s">
        <v>29562</v>
      </c>
      <c r="QNP1" t="s">
        <v>29563</v>
      </c>
      <c r="QNQ1" t="s">
        <v>29564</v>
      </c>
      <c r="QNR1" t="s">
        <v>29565</v>
      </c>
      <c r="QNS1" t="s">
        <v>29566</v>
      </c>
      <c r="QNT1" t="s">
        <v>29567</v>
      </c>
      <c r="QNU1" t="s">
        <v>29568</v>
      </c>
      <c r="QNV1" t="s">
        <v>29569</v>
      </c>
      <c r="QNW1" t="s">
        <v>29570</v>
      </c>
      <c r="QNX1" t="s">
        <v>29571</v>
      </c>
      <c r="QNY1" t="s">
        <v>29572</v>
      </c>
      <c r="QNZ1" t="s">
        <v>29573</v>
      </c>
      <c r="QOA1" t="s">
        <v>29574</v>
      </c>
      <c r="QOB1" t="s">
        <v>29575</v>
      </c>
      <c r="QOC1" t="s">
        <v>29576</v>
      </c>
      <c r="QOD1" t="s">
        <v>29577</v>
      </c>
      <c r="QOE1" t="s">
        <v>29578</v>
      </c>
      <c r="QOF1" t="s">
        <v>29579</v>
      </c>
      <c r="QOG1" t="s">
        <v>29580</v>
      </c>
      <c r="QOH1" t="s">
        <v>29581</v>
      </c>
      <c r="QOI1" t="s">
        <v>29582</v>
      </c>
      <c r="QOJ1" t="s">
        <v>29583</v>
      </c>
      <c r="QOK1" t="s">
        <v>29584</v>
      </c>
      <c r="QOL1" t="s">
        <v>29585</v>
      </c>
      <c r="QOM1" t="s">
        <v>29586</v>
      </c>
      <c r="QON1" t="s">
        <v>29587</v>
      </c>
      <c r="QOO1" t="s">
        <v>29588</v>
      </c>
      <c r="QOP1" t="s">
        <v>29589</v>
      </c>
      <c r="QOQ1" t="s">
        <v>29590</v>
      </c>
      <c r="QOR1" t="s">
        <v>29591</v>
      </c>
      <c r="QOS1" t="s">
        <v>29592</v>
      </c>
      <c r="QOT1" t="s">
        <v>29593</v>
      </c>
      <c r="QOU1" t="s">
        <v>29594</v>
      </c>
      <c r="QOV1" t="s">
        <v>29595</v>
      </c>
      <c r="QOW1" t="s">
        <v>29596</v>
      </c>
      <c r="QOX1" t="s">
        <v>29597</v>
      </c>
      <c r="QOY1" t="s">
        <v>29598</v>
      </c>
      <c r="QOZ1" t="s">
        <v>29599</v>
      </c>
      <c r="QPA1" t="s">
        <v>29600</v>
      </c>
      <c r="QPB1" t="s">
        <v>29601</v>
      </c>
      <c r="QPC1" t="s">
        <v>29602</v>
      </c>
      <c r="QPD1" t="s">
        <v>29603</v>
      </c>
      <c r="QPE1" t="s">
        <v>29604</v>
      </c>
      <c r="QPF1" t="s">
        <v>29605</v>
      </c>
      <c r="QPG1" t="s">
        <v>29606</v>
      </c>
      <c r="QPH1" t="s">
        <v>29607</v>
      </c>
      <c r="QPI1" t="s">
        <v>29608</v>
      </c>
      <c r="QPJ1" t="s">
        <v>29609</v>
      </c>
      <c r="QPK1" t="s">
        <v>29610</v>
      </c>
      <c r="QPL1" t="s">
        <v>29611</v>
      </c>
      <c r="QPM1" t="s">
        <v>29612</v>
      </c>
      <c r="QPN1" t="s">
        <v>29613</v>
      </c>
      <c r="QPO1" t="s">
        <v>29614</v>
      </c>
      <c r="QPP1" t="s">
        <v>29615</v>
      </c>
      <c r="QPQ1" t="s">
        <v>29616</v>
      </c>
      <c r="QPR1" t="s">
        <v>29617</v>
      </c>
      <c r="QPS1" t="s">
        <v>29618</v>
      </c>
      <c r="QPT1" t="s">
        <v>29619</v>
      </c>
      <c r="QPU1" t="s">
        <v>29620</v>
      </c>
      <c r="QPV1" t="s">
        <v>29621</v>
      </c>
      <c r="QPW1" t="s">
        <v>29622</v>
      </c>
      <c r="QPX1" t="s">
        <v>29623</v>
      </c>
      <c r="QPY1" t="s">
        <v>29624</v>
      </c>
      <c r="QPZ1" t="s">
        <v>29625</v>
      </c>
      <c r="QQA1" t="s">
        <v>29626</v>
      </c>
      <c r="QQB1" t="s">
        <v>29627</v>
      </c>
      <c r="QQC1" t="s">
        <v>29628</v>
      </c>
      <c r="QQD1" t="s">
        <v>29629</v>
      </c>
      <c r="QQE1" t="s">
        <v>29630</v>
      </c>
      <c r="QQF1" t="s">
        <v>29631</v>
      </c>
      <c r="QQG1" t="s">
        <v>29632</v>
      </c>
      <c r="QQH1" t="s">
        <v>29633</v>
      </c>
      <c r="QQI1" t="s">
        <v>29634</v>
      </c>
      <c r="QQJ1" t="s">
        <v>29635</v>
      </c>
      <c r="QQK1" t="s">
        <v>29636</v>
      </c>
      <c r="QQL1" t="s">
        <v>29637</v>
      </c>
      <c r="QQM1" t="s">
        <v>29638</v>
      </c>
      <c r="QQN1" t="s">
        <v>29639</v>
      </c>
      <c r="QQO1" t="s">
        <v>29640</v>
      </c>
      <c r="QQP1" t="s">
        <v>29641</v>
      </c>
      <c r="QQQ1" t="s">
        <v>29642</v>
      </c>
      <c r="QQR1" t="s">
        <v>29643</v>
      </c>
      <c r="QQS1" t="s">
        <v>29644</v>
      </c>
      <c r="QQT1" t="s">
        <v>29645</v>
      </c>
      <c r="QQU1" t="s">
        <v>29646</v>
      </c>
      <c r="QQV1" t="s">
        <v>29647</v>
      </c>
      <c r="QQW1" t="s">
        <v>29648</v>
      </c>
      <c r="QQX1" t="s">
        <v>29649</v>
      </c>
      <c r="QQY1" t="s">
        <v>29650</v>
      </c>
      <c r="QQZ1" t="s">
        <v>29651</v>
      </c>
      <c r="QRA1" t="s">
        <v>29652</v>
      </c>
      <c r="QRB1" t="s">
        <v>29653</v>
      </c>
      <c r="QRC1" t="s">
        <v>29654</v>
      </c>
      <c r="QRD1" t="s">
        <v>29655</v>
      </c>
      <c r="QRE1" t="s">
        <v>29656</v>
      </c>
      <c r="QRF1" t="s">
        <v>29657</v>
      </c>
      <c r="QRG1" t="s">
        <v>29658</v>
      </c>
      <c r="QRH1" t="s">
        <v>29659</v>
      </c>
      <c r="QRI1" t="s">
        <v>29660</v>
      </c>
      <c r="QRJ1" t="s">
        <v>29661</v>
      </c>
      <c r="QRK1" t="s">
        <v>29662</v>
      </c>
      <c r="QRL1" t="s">
        <v>29663</v>
      </c>
      <c r="QRM1" t="s">
        <v>29664</v>
      </c>
      <c r="QRN1" t="s">
        <v>29665</v>
      </c>
      <c r="QRO1" t="s">
        <v>29666</v>
      </c>
      <c r="QRP1" t="s">
        <v>29667</v>
      </c>
      <c r="QRQ1" t="s">
        <v>29668</v>
      </c>
      <c r="QRR1" t="s">
        <v>29669</v>
      </c>
      <c r="QRS1" t="s">
        <v>29670</v>
      </c>
      <c r="QRT1" t="s">
        <v>29671</v>
      </c>
      <c r="QRU1" t="s">
        <v>29672</v>
      </c>
      <c r="QRV1" t="s">
        <v>29673</v>
      </c>
      <c r="QRW1" t="s">
        <v>29674</v>
      </c>
      <c r="QRX1" t="s">
        <v>29675</v>
      </c>
      <c r="QRY1" t="s">
        <v>29676</v>
      </c>
      <c r="QRZ1" t="s">
        <v>29677</v>
      </c>
      <c r="QSA1" t="s">
        <v>29678</v>
      </c>
      <c r="QSB1" t="s">
        <v>29679</v>
      </c>
      <c r="QSC1" t="s">
        <v>29680</v>
      </c>
      <c r="QSD1" t="s">
        <v>29681</v>
      </c>
      <c r="QSE1" t="s">
        <v>29682</v>
      </c>
      <c r="QSF1" t="s">
        <v>29683</v>
      </c>
      <c r="QSG1" t="s">
        <v>29684</v>
      </c>
      <c r="QSH1" t="s">
        <v>29685</v>
      </c>
      <c r="QSI1" t="s">
        <v>29686</v>
      </c>
      <c r="QSJ1" t="s">
        <v>29687</v>
      </c>
      <c r="QSK1" t="s">
        <v>29688</v>
      </c>
      <c r="QSL1" t="s">
        <v>29689</v>
      </c>
      <c r="QSM1" t="s">
        <v>29690</v>
      </c>
      <c r="QSN1" t="s">
        <v>29691</v>
      </c>
      <c r="QSO1" t="s">
        <v>29692</v>
      </c>
      <c r="QSP1" t="s">
        <v>29693</v>
      </c>
      <c r="QSQ1" t="s">
        <v>29694</v>
      </c>
      <c r="QSR1" t="s">
        <v>29695</v>
      </c>
      <c r="QSS1" t="s">
        <v>29696</v>
      </c>
      <c r="QST1" t="s">
        <v>29697</v>
      </c>
      <c r="QSU1" t="s">
        <v>29698</v>
      </c>
      <c r="QSV1" t="s">
        <v>29699</v>
      </c>
      <c r="QSW1" t="s">
        <v>29700</v>
      </c>
      <c r="QSX1" t="s">
        <v>29701</v>
      </c>
      <c r="QSY1" t="s">
        <v>29702</v>
      </c>
      <c r="QSZ1" t="s">
        <v>29703</v>
      </c>
      <c r="QTA1" t="s">
        <v>29704</v>
      </c>
      <c r="QTB1" t="s">
        <v>29705</v>
      </c>
      <c r="QTC1" t="s">
        <v>29706</v>
      </c>
      <c r="QTD1" t="s">
        <v>29707</v>
      </c>
      <c r="QTE1" t="s">
        <v>29708</v>
      </c>
      <c r="QTF1" t="s">
        <v>29709</v>
      </c>
      <c r="QTG1" t="s">
        <v>29710</v>
      </c>
      <c r="QTH1" t="s">
        <v>29711</v>
      </c>
      <c r="QTI1" t="s">
        <v>29712</v>
      </c>
      <c r="QTJ1" t="s">
        <v>29713</v>
      </c>
      <c r="QTK1" t="s">
        <v>29714</v>
      </c>
      <c r="QTL1" t="s">
        <v>29715</v>
      </c>
      <c r="QTM1" t="s">
        <v>29716</v>
      </c>
      <c r="QTN1" t="s">
        <v>29717</v>
      </c>
      <c r="QTO1" t="s">
        <v>29718</v>
      </c>
      <c r="QTP1" t="s">
        <v>29719</v>
      </c>
      <c r="QTQ1" t="s">
        <v>29720</v>
      </c>
      <c r="QTR1" t="s">
        <v>29721</v>
      </c>
      <c r="QTS1" t="s">
        <v>29722</v>
      </c>
      <c r="QTT1" t="s">
        <v>29723</v>
      </c>
      <c r="QTU1" t="s">
        <v>29724</v>
      </c>
      <c r="QTV1" t="s">
        <v>29725</v>
      </c>
      <c r="QTW1" t="s">
        <v>29726</v>
      </c>
      <c r="QTX1" t="s">
        <v>29727</v>
      </c>
      <c r="QTY1" t="s">
        <v>29728</v>
      </c>
      <c r="QTZ1" t="s">
        <v>29729</v>
      </c>
      <c r="QUA1" t="s">
        <v>29730</v>
      </c>
      <c r="QUB1" t="s">
        <v>29731</v>
      </c>
      <c r="QUC1" t="s">
        <v>29732</v>
      </c>
      <c r="QUD1" t="s">
        <v>29733</v>
      </c>
      <c r="QUE1" t="s">
        <v>29734</v>
      </c>
      <c r="QUF1" t="s">
        <v>29735</v>
      </c>
      <c r="QUG1" t="s">
        <v>29736</v>
      </c>
      <c r="QUH1" t="s">
        <v>29737</v>
      </c>
      <c r="QUI1" t="s">
        <v>29738</v>
      </c>
      <c r="QUJ1" t="s">
        <v>29739</v>
      </c>
      <c r="QUK1" t="s">
        <v>29740</v>
      </c>
      <c r="QUL1" t="s">
        <v>29741</v>
      </c>
      <c r="QUM1" t="s">
        <v>29742</v>
      </c>
      <c r="QUN1" t="s">
        <v>29743</v>
      </c>
      <c r="QUO1" t="s">
        <v>29744</v>
      </c>
      <c r="QUP1" t="s">
        <v>29745</v>
      </c>
      <c r="QUQ1" t="s">
        <v>29746</v>
      </c>
      <c r="QUR1" t="s">
        <v>29747</v>
      </c>
      <c r="QUS1" t="s">
        <v>29748</v>
      </c>
      <c r="QUT1" t="s">
        <v>29749</v>
      </c>
      <c r="QUU1" t="s">
        <v>29750</v>
      </c>
      <c r="QUV1" t="s">
        <v>29751</v>
      </c>
      <c r="QUW1" t="s">
        <v>29752</v>
      </c>
      <c r="QUX1" t="s">
        <v>29753</v>
      </c>
      <c r="QUY1" t="s">
        <v>29754</v>
      </c>
      <c r="QUZ1" t="s">
        <v>29755</v>
      </c>
      <c r="QVA1" t="s">
        <v>29756</v>
      </c>
      <c r="QVB1" t="s">
        <v>29757</v>
      </c>
      <c r="QVC1" t="s">
        <v>29758</v>
      </c>
      <c r="QVD1" t="s">
        <v>29759</v>
      </c>
      <c r="QVE1" t="s">
        <v>29760</v>
      </c>
      <c r="QVF1" t="s">
        <v>29761</v>
      </c>
      <c r="QVG1" t="s">
        <v>29762</v>
      </c>
      <c r="QVH1" t="s">
        <v>29763</v>
      </c>
      <c r="QVI1" t="s">
        <v>29764</v>
      </c>
      <c r="QVJ1" t="s">
        <v>29765</v>
      </c>
      <c r="QVK1" t="s">
        <v>29766</v>
      </c>
      <c r="QVL1" t="s">
        <v>29767</v>
      </c>
      <c r="QVM1" t="s">
        <v>29768</v>
      </c>
      <c r="QVN1" t="s">
        <v>29769</v>
      </c>
      <c r="QVO1" t="s">
        <v>29770</v>
      </c>
      <c r="QVP1" t="s">
        <v>29771</v>
      </c>
      <c r="QVQ1" t="s">
        <v>29772</v>
      </c>
      <c r="QVR1" t="s">
        <v>29773</v>
      </c>
      <c r="QVS1" t="s">
        <v>29774</v>
      </c>
      <c r="QVT1" t="s">
        <v>29775</v>
      </c>
      <c r="QVU1" t="s">
        <v>29776</v>
      </c>
      <c r="QVV1" t="s">
        <v>29777</v>
      </c>
      <c r="QVW1" t="s">
        <v>29778</v>
      </c>
      <c r="QVX1" t="s">
        <v>29779</v>
      </c>
      <c r="QVY1" t="s">
        <v>29780</v>
      </c>
      <c r="QVZ1" t="s">
        <v>29781</v>
      </c>
      <c r="QWA1" t="s">
        <v>29782</v>
      </c>
      <c r="QWB1" t="s">
        <v>29783</v>
      </c>
      <c r="QWC1" t="s">
        <v>29784</v>
      </c>
      <c r="QWD1" t="s">
        <v>29785</v>
      </c>
      <c r="QWE1" t="s">
        <v>29786</v>
      </c>
      <c r="QWF1" t="s">
        <v>29787</v>
      </c>
      <c r="QWG1" t="s">
        <v>29788</v>
      </c>
      <c r="QWH1" t="s">
        <v>29789</v>
      </c>
      <c r="QWI1" t="s">
        <v>29790</v>
      </c>
      <c r="QWJ1" t="s">
        <v>29791</v>
      </c>
      <c r="QWK1" t="s">
        <v>29792</v>
      </c>
      <c r="QWL1" t="s">
        <v>29793</v>
      </c>
      <c r="QWM1" t="s">
        <v>29794</v>
      </c>
      <c r="QWN1" t="s">
        <v>29795</v>
      </c>
      <c r="QWO1" t="s">
        <v>29796</v>
      </c>
      <c r="QWP1" t="s">
        <v>29797</v>
      </c>
      <c r="QWQ1" t="s">
        <v>29798</v>
      </c>
      <c r="QWR1" t="s">
        <v>29799</v>
      </c>
      <c r="QWS1" t="s">
        <v>29800</v>
      </c>
      <c r="QWT1" t="s">
        <v>29801</v>
      </c>
      <c r="QWU1" t="s">
        <v>29802</v>
      </c>
      <c r="QWV1" t="s">
        <v>29803</v>
      </c>
      <c r="QWW1" t="s">
        <v>29804</v>
      </c>
      <c r="QWX1" t="s">
        <v>29805</v>
      </c>
      <c r="QWY1" t="s">
        <v>29806</v>
      </c>
      <c r="QWZ1" t="s">
        <v>29807</v>
      </c>
      <c r="QXA1" t="s">
        <v>29808</v>
      </c>
      <c r="QXB1" t="s">
        <v>29809</v>
      </c>
      <c r="QXC1" t="s">
        <v>29810</v>
      </c>
      <c r="QXD1" t="s">
        <v>29811</v>
      </c>
      <c r="QXE1" t="s">
        <v>29812</v>
      </c>
      <c r="QXF1" t="s">
        <v>29813</v>
      </c>
      <c r="QXG1" t="s">
        <v>29814</v>
      </c>
      <c r="QXH1" t="s">
        <v>29815</v>
      </c>
      <c r="QXI1" t="s">
        <v>29816</v>
      </c>
      <c r="QXJ1" t="s">
        <v>29817</v>
      </c>
      <c r="QXK1" t="s">
        <v>29818</v>
      </c>
      <c r="QXL1" t="s">
        <v>29819</v>
      </c>
      <c r="QXM1" t="s">
        <v>29820</v>
      </c>
      <c r="QXN1" t="s">
        <v>29821</v>
      </c>
      <c r="QXO1" t="s">
        <v>29822</v>
      </c>
      <c r="QXP1" t="s">
        <v>29823</v>
      </c>
      <c r="QXQ1" t="s">
        <v>29824</v>
      </c>
      <c r="QXR1" t="s">
        <v>29825</v>
      </c>
      <c r="QXS1" t="s">
        <v>29826</v>
      </c>
      <c r="QXT1" t="s">
        <v>29827</v>
      </c>
      <c r="QXU1" t="s">
        <v>29828</v>
      </c>
      <c r="QXV1" t="s">
        <v>29829</v>
      </c>
      <c r="QXW1" t="s">
        <v>29830</v>
      </c>
      <c r="QXX1" t="s">
        <v>29831</v>
      </c>
      <c r="QXY1" t="s">
        <v>29832</v>
      </c>
      <c r="QXZ1" t="s">
        <v>29833</v>
      </c>
      <c r="QYA1" t="s">
        <v>29834</v>
      </c>
      <c r="QYB1" t="s">
        <v>29835</v>
      </c>
      <c r="QYC1" t="s">
        <v>29836</v>
      </c>
      <c r="QYD1" t="s">
        <v>29837</v>
      </c>
      <c r="QYE1" t="s">
        <v>29838</v>
      </c>
      <c r="QYF1" t="s">
        <v>29839</v>
      </c>
      <c r="QYG1" t="s">
        <v>29840</v>
      </c>
      <c r="QYH1" t="s">
        <v>29841</v>
      </c>
      <c r="QYI1" t="s">
        <v>29842</v>
      </c>
      <c r="QYJ1" t="s">
        <v>29843</v>
      </c>
      <c r="QYK1" t="s">
        <v>29844</v>
      </c>
      <c r="QYL1" t="s">
        <v>29845</v>
      </c>
      <c r="QYM1" t="s">
        <v>29846</v>
      </c>
      <c r="QYN1" t="s">
        <v>29847</v>
      </c>
      <c r="QYO1" t="s">
        <v>29848</v>
      </c>
      <c r="QYP1" t="s">
        <v>29849</v>
      </c>
      <c r="QYQ1" t="s">
        <v>29850</v>
      </c>
      <c r="QYR1" t="s">
        <v>29851</v>
      </c>
      <c r="QYS1" t="s">
        <v>29852</v>
      </c>
      <c r="QYT1" t="s">
        <v>29853</v>
      </c>
      <c r="QYU1" t="s">
        <v>29854</v>
      </c>
      <c r="QYV1" t="s">
        <v>29855</v>
      </c>
      <c r="QYW1" t="s">
        <v>29856</v>
      </c>
      <c r="QYX1" t="s">
        <v>29857</v>
      </c>
      <c r="QYY1" t="s">
        <v>29858</v>
      </c>
      <c r="QYZ1" t="s">
        <v>29859</v>
      </c>
      <c r="QZA1" t="s">
        <v>29860</v>
      </c>
      <c r="QZB1" t="s">
        <v>29861</v>
      </c>
      <c r="QZC1" t="s">
        <v>29862</v>
      </c>
      <c r="QZD1" t="s">
        <v>29863</v>
      </c>
      <c r="QZE1" t="s">
        <v>29864</v>
      </c>
      <c r="QZF1" t="s">
        <v>29865</v>
      </c>
      <c r="QZG1" t="s">
        <v>29866</v>
      </c>
      <c r="QZH1" t="s">
        <v>29867</v>
      </c>
      <c r="QZI1" t="s">
        <v>29868</v>
      </c>
      <c r="QZJ1" t="s">
        <v>29869</v>
      </c>
      <c r="QZK1" t="s">
        <v>29870</v>
      </c>
      <c r="QZL1" t="s">
        <v>29871</v>
      </c>
      <c r="QZM1" t="s">
        <v>29872</v>
      </c>
      <c r="QZN1" t="s">
        <v>29873</v>
      </c>
      <c r="QZO1" t="s">
        <v>29874</v>
      </c>
      <c r="QZP1" t="s">
        <v>29875</v>
      </c>
      <c r="QZQ1" t="s">
        <v>29876</v>
      </c>
      <c r="QZR1" t="s">
        <v>29877</v>
      </c>
      <c r="QZS1" t="s">
        <v>29878</v>
      </c>
      <c r="QZT1" t="s">
        <v>29879</v>
      </c>
      <c r="QZU1" t="s">
        <v>29880</v>
      </c>
      <c r="QZV1" t="s">
        <v>29881</v>
      </c>
      <c r="QZW1" t="s">
        <v>29882</v>
      </c>
      <c r="QZX1" t="s">
        <v>29883</v>
      </c>
      <c r="QZY1" t="s">
        <v>29884</v>
      </c>
      <c r="QZZ1" t="s">
        <v>29885</v>
      </c>
      <c r="RAA1" t="s">
        <v>29886</v>
      </c>
      <c r="RAB1" t="s">
        <v>29887</v>
      </c>
      <c r="RAC1" t="s">
        <v>29888</v>
      </c>
      <c r="RAD1" t="s">
        <v>29889</v>
      </c>
      <c r="RAE1" t="s">
        <v>29890</v>
      </c>
      <c r="RAF1" t="s">
        <v>29891</v>
      </c>
      <c r="RAG1" t="s">
        <v>29892</v>
      </c>
      <c r="RAH1" t="s">
        <v>29893</v>
      </c>
      <c r="RAI1" t="s">
        <v>29894</v>
      </c>
      <c r="RAJ1" t="s">
        <v>29895</v>
      </c>
      <c r="RAK1" t="s">
        <v>29896</v>
      </c>
      <c r="RAL1" t="s">
        <v>29897</v>
      </c>
      <c r="RAM1" t="s">
        <v>29898</v>
      </c>
      <c r="RAN1" t="s">
        <v>29899</v>
      </c>
      <c r="RAO1" t="s">
        <v>29900</v>
      </c>
      <c r="RAP1" t="s">
        <v>29901</v>
      </c>
      <c r="RAQ1" t="s">
        <v>29902</v>
      </c>
      <c r="RAR1" t="s">
        <v>29903</v>
      </c>
      <c r="RAS1" t="s">
        <v>29904</v>
      </c>
      <c r="RAT1" t="s">
        <v>29905</v>
      </c>
      <c r="RAU1" t="s">
        <v>29906</v>
      </c>
      <c r="RAV1" t="s">
        <v>29907</v>
      </c>
      <c r="RAW1" t="s">
        <v>29908</v>
      </c>
      <c r="RAX1" t="s">
        <v>29909</v>
      </c>
      <c r="RAY1" t="s">
        <v>29910</v>
      </c>
      <c r="RAZ1" t="s">
        <v>29911</v>
      </c>
      <c r="RBA1" t="s">
        <v>29912</v>
      </c>
      <c r="RBB1" t="s">
        <v>29913</v>
      </c>
      <c r="RBC1" t="s">
        <v>29914</v>
      </c>
      <c r="RBD1" t="s">
        <v>29915</v>
      </c>
      <c r="RBE1" t="s">
        <v>29916</v>
      </c>
      <c r="RBF1" t="s">
        <v>29917</v>
      </c>
      <c r="RBG1" t="s">
        <v>29918</v>
      </c>
      <c r="RBH1" t="s">
        <v>29919</v>
      </c>
      <c r="RBI1" t="s">
        <v>29920</v>
      </c>
      <c r="RBJ1" t="s">
        <v>29921</v>
      </c>
      <c r="RBK1" t="s">
        <v>29922</v>
      </c>
      <c r="RBL1" t="s">
        <v>29923</v>
      </c>
      <c r="RBM1" t="s">
        <v>29924</v>
      </c>
      <c r="RBN1" t="s">
        <v>29925</v>
      </c>
      <c r="RBO1" t="s">
        <v>29926</v>
      </c>
      <c r="RBP1" t="s">
        <v>29927</v>
      </c>
      <c r="RBQ1" t="s">
        <v>29928</v>
      </c>
      <c r="RBR1" t="s">
        <v>29929</v>
      </c>
      <c r="RBS1" t="s">
        <v>29930</v>
      </c>
      <c r="RBT1" t="s">
        <v>29931</v>
      </c>
      <c r="RBU1" t="s">
        <v>29932</v>
      </c>
      <c r="RBV1" t="s">
        <v>29933</v>
      </c>
      <c r="RBW1" t="s">
        <v>29934</v>
      </c>
      <c r="RBX1" t="s">
        <v>29935</v>
      </c>
      <c r="RBY1" t="s">
        <v>29936</v>
      </c>
      <c r="RBZ1" t="s">
        <v>29937</v>
      </c>
      <c r="RCA1" t="s">
        <v>29938</v>
      </c>
      <c r="RCB1" t="s">
        <v>29939</v>
      </c>
      <c r="RCC1" t="s">
        <v>29940</v>
      </c>
      <c r="RCD1" t="s">
        <v>29941</v>
      </c>
      <c r="RCE1" t="s">
        <v>29942</v>
      </c>
      <c r="RCF1" t="s">
        <v>29943</v>
      </c>
      <c r="RCG1" t="s">
        <v>29944</v>
      </c>
      <c r="RCH1" t="s">
        <v>29945</v>
      </c>
      <c r="RCI1" t="s">
        <v>29946</v>
      </c>
      <c r="RCJ1" t="s">
        <v>29947</v>
      </c>
      <c r="RCK1" t="s">
        <v>29948</v>
      </c>
      <c r="RCL1" t="s">
        <v>29949</v>
      </c>
      <c r="RCM1" t="s">
        <v>29950</v>
      </c>
      <c r="RCN1" t="s">
        <v>29951</v>
      </c>
      <c r="RCO1" t="s">
        <v>29952</v>
      </c>
      <c r="RCP1" t="s">
        <v>29953</v>
      </c>
      <c r="RCQ1" t="s">
        <v>29954</v>
      </c>
      <c r="RCR1" t="s">
        <v>29955</v>
      </c>
      <c r="RCS1" t="s">
        <v>29956</v>
      </c>
      <c r="RCT1" t="s">
        <v>29957</v>
      </c>
      <c r="RCU1" t="s">
        <v>29958</v>
      </c>
      <c r="RCV1" t="s">
        <v>29959</v>
      </c>
      <c r="RCW1" t="s">
        <v>29960</v>
      </c>
      <c r="RCX1" t="s">
        <v>29961</v>
      </c>
      <c r="RCY1" t="s">
        <v>29962</v>
      </c>
      <c r="RCZ1" t="s">
        <v>29963</v>
      </c>
      <c r="RDA1" t="s">
        <v>29964</v>
      </c>
      <c r="RDB1" t="s">
        <v>29965</v>
      </c>
      <c r="RDC1" t="s">
        <v>29966</v>
      </c>
      <c r="RDD1" t="s">
        <v>29967</v>
      </c>
      <c r="RDE1" t="s">
        <v>29968</v>
      </c>
      <c r="RDF1" t="s">
        <v>29969</v>
      </c>
      <c r="RDG1" t="s">
        <v>29970</v>
      </c>
      <c r="RDH1" t="s">
        <v>29971</v>
      </c>
      <c r="RDI1" t="s">
        <v>29972</v>
      </c>
      <c r="RDJ1" t="s">
        <v>29973</v>
      </c>
      <c r="RDK1" t="s">
        <v>29974</v>
      </c>
      <c r="RDL1" t="s">
        <v>29975</v>
      </c>
      <c r="RDM1" t="s">
        <v>29976</v>
      </c>
      <c r="RDN1" t="s">
        <v>29977</v>
      </c>
      <c r="RDO1" t="s">
        <v>29978</v>
      </c>
      <c r="RDP1" t="s">
        <v>29979</v>
      </c>
      <c r="RDQ1" t="s">
        <v>29980</v>
      </c>
      <c r="RDR1" t="s">
        <v>29981</v>
      </c>
      <c r="RDS1" t="s">
        <v>29982</v>
      </c>
      <c r="RDT1" t="s">
        <v>29983</v>
      </c>
      <c r="RDU1" t="s">
        <v>29984</v>
      </c>
      <c r="RDV1" t="s">
        <v>29985</v>
      </c>
      <c r="RDW1" t="s">
        <v>29986</v>
      </c>
      <c r="RDX1" t="s">
        <v>29987</v>
      </c>
      <c r="RDY1" t="s">
        <v>29988</v>
      </c>
      <c r="RDZ1" t="s">
        <v>29989</v>
      </c>
      <c r="REA1" t="s">
        <v>29990</v>
      </c>
      <c r="REB1" t="s">
        <v>29991</v>
      </c>
      <c r="REC1" t="s">
        <v>29992</v>
      </c>
      <c r="RED1" t="s">
        <v>29993</v>
      </c>
      <c r="REE1" t="s">
        <v>29994</v>
      </c>
      <c r="REF1" t="s">
        <v>29995</v>
      </c>
      <c r="REG1" t="s">
        <v>29996</v>
      </c>
      <c r="REH1" t="s">
        <v>29997</v>
      </c>
      <c r="REI1" t="s">
        <v>29998</v>
      </c>
      <c r="REJ1" t="s">
        <v>29999</v>
      </c>
      <c r="REK1" t="s">
        <v>30000</v>
      </c>
      <c r="REL1" t="s">
        <v>30001</v>
      </c>
      <c r="REM1" t="s">
        <v>30002</v>
      </c>
      <c r="REN1" t="s">
        <v>30003</v>
      </c>
      <c r="REO1" t="s">
        <v>30004</v>
      </c>
      <c r="REP1" t="s">
        <v>30005</v>
      </c>
      <c r="REQ1" t="s">
        <v>30006</v>
      </c>
      <c r="RER1" t="s">
        <v>30007</v>
      </c>
      <c r="RES1" t="s">
        <v>30008</v>
      </c>
      <c r="RET1" t="s">
        <v>30009</v>
      </c>
      <c r="REU1" t="s">
        <v>30010</v>
      </c>
      <c r="REV1" t="s">
        <v>30011</v>
      </c>
      <c r="REW1" t="s">
        <v>30012</v>
      </c>
      <c r="REX1" t="s">
        <v>30013</v>
      </c>
      <c r="REY1" t="s">
        <v>30014</v>
      </c>
      <c r="REZ1" t="s">
        <v>30015</v>
      </c>
      <c r="RFA1" t="s">
        <v>30016</v>
      </c>
      <c r="RFB1" t="s">
        <v>30017</v>
      </c>
      <c r="RFC1" t="s">
        <v>30018</v>
      </c>
      <c r="RFD1" t="s">
        <v>30019</v>
      </c>
      <c r="RFE1" t="s">
        <v>30020</v>
      </c>
      <c r="RFF1" t="s">
        <v>30021</v>
      </c>
      <c r="RFG1" t="s">
        <v>30022</v>
      </c>
      <c r="RFH1" t="s">
        <v>30023</v>
      </c>
      <c r="RFI1" t="s">
        <v>30024</v>
      </c>
      <c r="RFJ1" t="s">
        <v>30025</v>
      </c>
      <c r="RFK1" t="s">
        <v>30026</v>
      </c>
      <c r="RFL1" t="s">
        <v>30027</v>
      </c>
      <c r="RFM1" t="s">
        <v>30028</v>
      </c>
      <c r="RFN1" t="s">
        <v>30029</v>
      </c>
      <c r="RFO1" t="s">
        <v>30030</v>
      </c>
      <c r="RFP1" t="s">
        <v>30031</v>
      </c>
      <c r="RFQ1" t="s">
        <v>30032</v>
      </c>
      <c r="RFR1" t="s">
        <v>30033</v>
      </c>
      <c r="RFS1" t="s">
        <v>30034</v>
      </c>
      <c r="RFT1" t="s">
        <v>30035</v>
      </c>
      <c r="RFU1" t="s">
        <v>30036</v>
      </c>
      <c r="RFV1" t="s">
        <v>30037</v>
      </c>
      <c r="RFW1" t="s">
        <v>30038</v>
      </c>
      <c r="RFX1" t="s">
        <v>30039</v>
      </c>
      <c r="RFY1" t="s">
        <v>30040</v>
      </c>
      <c r="RFZ1" t="s">
        <v>30041</v>
      </c>
      <c r="RGA1" t="s">
        <v>30042</v>
      </c>
      <c r="RGB1" t="s">
        <v>30043</v>
      </c>
      <c r="RGC1" t="s">
        <v>30044</v>
      </c>
      <c r="RGD1" t="s">
        <v>30045</v>
      </c>
      <c r="RGE1" t="s">
        <v>30046</v>
      </c>
      <c r="RGF1" t="s">
        <v>30047</v>
      </c>
      <c r="RGG1" t="s">
        <v>30048</v>
      </c>
      <c r="RGH1" t="s">
        <v>30049</v>
      </c>
      <c r="RGI1" t="s">
        <v>30050</v>
      </c>
      <c r="RGJ1" t="s">
        <v>30051</v>
      </c>
      <c r="RGK1" t="s">
        <v>30052</v>
      </c>
      <c r="RGL1" t="s">
        <v>30053</v>
      </c>
      <c r="RGM1" t="s">
        <v>30054</v>
      </c>
      <c r="RGN1" t="s">
        <v>30055</v>
      </c>
      <c r="RGO1" t="s">
        <v>30056</v>
      </c>
      <c r="RGP1" t="s">
        <v>30057</v>
      </c>
      <c r="RGQ1" t="s">
        <v>30058</v>
      </c>
      <c r="RGR1" t="s">
        <v>30059</v>
      </c>
      <c r="RGS1" t="s">
        <v>30060</v>
      </c>
      <c r="RGT1" t="s">
        <v>30061</v>
      </c>
      <c r="RGU1" t="s">
        <v>30062</v>
      </c>
      <c r="RGV1" t="s">
        <v>30063</v>
      </c>
      <c r="RGW1" t="s">
        <v>30064</v>
      </c>
      <c r="RGX1" t="s">
        <v>30065</v>
      </c>
      <c r="RGY1" t="s">
        <v>30066</v>
      </c>
      <c r="RGZ1" t="s">
        <v>30067</v>
      </c>
      <c r="RHA1" t="s">
        <v>30068</v>
      </c>
      <c r="RHB1" t="s">
        <v>30069</v>
      </c>
      <c r="RHC1" t="s">
        <v>30070</v>
      </c>
      <c r="RHD1" t="s">
        <v>30071</v>
      </c>
      <c r="RHE1" t="s">
        <v>30072</v>
      </c>
      <c r="RHF1" t="s">
        <v>30073</v>
      </c>
      <c r="RHG1" t="s">
        <v>30074</v>
      </c>
      <c r="RHH1" t="s">
        <v>30075</v>
      </c>
      <c r="RHI1" t="s">
        <v>30076</v>
      </c>
      <c r="RHJ1" t="s">
        <v>30077</v>
      </c>
      <c r="RHK1" t="s">
        <v>30078</v>
      </c>
      <c r="RHL1" t="s">
        <v>30079</v>
      </c>
      <c r="RHM1" t="s">
        <v>30080</v>
      </c>
      <c r="RHN1" t="s">
        <v>30081</v>
      </c>
      <c r="RHO1" t="s">
        <v>30082</v>
      </c>
      <c r="RHP1" t="s">
        <v>30083</v>
      </c>
      <c r="RHQ1" t="s">
        <v>30084</v>
      </c>
      <c r="RHR1" t="s">
        <v>30085</v>
      </c>
      <c r="RHS1" t="s">
        <v>30086</v>
      </c>
      <c r="RHT1" t="s">
        <v>30087</v>
      </c>
      <c r="RHU1" t="s">
        <v>30088</v>
      </c>
      <c r="RHV1" t="s">
        <v>30089</v>
      </c>
      <c r="RHW1" t="s">
        <v>30090</v>
      </c>
      <c r="RHX1" t="s">
        <v>30091</v>
      </c>
      <c r="RHY1" t="s">
        <v>30092</v>
      </c>
      <c r="RHZ1" t="s">
        <v>30093</v>
      </c>
      <c r="RIA1" t="s">
        <v>30094</v>
      </c>
      <c r="RIB1" t="s">
        <v>30095</v>
      </c>
      <c r="RIC1" t="s">
        <v>30096</v>
      </c>
      <c r="RID1" t="s">
        <v>30097</v>
      </c>
      <c r="RIE1" t="s">
        <v>30098</v>
      </c>
      <c r="RIF1" t="s">
        <v>30099</v>
      </c>
      <c r="RIG1" t="s">
        <v>30100</v>
      </c>
      <c r="RIH1" t="s">
        <v>30101</v>
      </c>
      <c r="RII1" t="s">
        <v>30102</v>
      </c>
      <c r="RIJ1" t="s">
        <v>30103</v>
      </c>
      <c r="RIK1" t="s">
        <v>30104</v>
      </c>
      <c r="RIL1" t="s">
        <v>30105</v>
      </c>
      <c r="RIM1" t="s">
        <v>30106</v>
      </c>
      <c r="RIN1" t="s">
        <v>30107</v>
      </c>
      <c r="RIO1" t="s">
        <v>30108</v>
      </c>
      <c r="RIP1" t="s">
        <v>30109</v>
      </c>
      <c r="RIQ1" t="s">
        <v>30110</v>
      </c>
      <c r="RIR1" t="s">
        <v>30111</v>
      </c>
      <c r="RIS1" t="s">
        <v>30112</v>
      </c>
      <c r="RIT1" t="s">
        <v>30113</v>
      </c>
      <c r="RIU1" t="s">
        <v>30114</v>
      </c>
      <c r="RIV1" t="s">
        <v>30115</v>
      </c>
      <c r="RIW1" t="s">
        <v>30116</v>
      </c>
      <c r="RIX1" t="s">
        <v>30117</v>
      </c>
      <c r="RIY1" t="s">
        <v>30118</v>
      </c>
      <c r="RIZ1" t="s">
        <v>30119</v>
      </c>
      <c r="RJA1" t="s">
        <v>30120</v>
      </c>
      <c r="RJB1" t="s">
        <v>30121</v>
      </c>
      <c r="RJC1" t="s">
        <v>30122</v>
      </c>
      <c r="RJD1" t="s">
        <v>30123</v>
      </c>
      <c r="RJE1" t="s">
        <v>30124</v>
      </c>
      <c r="RJF1" t="s">
        <v>30125</v>
      </c>
      <c r="RJG1" t="s">
        <v>30126</v>
      </c>
      <c r="RJH1" t="s">
        <v>30127</v>
      </c>
      <c r="RJI1" t="s">
        <v>30128</v>
      </c>
      <c r="RJJ1" t="s">
        <v>30129</v>
      </c>
      <c r="RJK1" t="s">
        <v>30130</v>
      </c>
      <c r="RJL1" t="s">
        <v>30131</v>
      </c>
      <c r="RJM1" t="s">
        <v>30132</v>
      </c>
      <c r="RJN1" t="s">
        <v>30133</v>
      </c>
      <c r="RJO1" t="s">
        <v>30134</v>
      </c>
      <c r="RJP1" t="s">
        <v>30135</v>
      </c>
      <c r="RJQ1" t="s">
        <v>30136</v>
      </c>
      <c r="RJR1" t="s">
        <v>30137</v>
      </c>
      <c r="RJS1" t="s">
        <v>30138</v>
      </c>
      <c r="RJT1" t="s">
        <v>30139</v>
      </c>
      <c r="RJU1" t="s">
        <v>30140</v>
      </c>
      <c r="RJV1" t="s">
        <v>30141</v>
      </c>
      <c r="RJW1" t="s">
        <v>30142</v>
      </c>
      <c r="RJX1" t="s">
        <v>30143</v>
      </c>
      <c r="RJY1" t="s">
        <v>30144</v>
      </c>
      <c r="RJZ1" t="s">
        <v>30145</v>
      </c>
      <c r="RKA1" t="s">
        <v>30146</v>
      </c>
      <c r="RKB1" t="s">
        <v>30147</v>
      </c>
      <c r="RKC1" t="s">
        <v>30148</v>
      </c>
      <c r="RKD1" t="s">
        <v>30149</v>
      </c>
      <c r="RKE1" t="s">
        <v>30150</v>
      </c>
      <c r="RKF1" t="s">
        <v>30151</v>
      </c>
      <c r="RKG1" t="s">
        <v>30152</v>
      </c>
      <c r="RKH1" t="s">
        <v>30153</v>
      </c>
      <c r="RKI1" t="s">
        <v>30154</v>
      </c>
      <c r="RKJ1" t="s">
        <v>30155</v>
      </c>
      <c r="RKK1" t="s">
        <v>30156</v>
      </c>
      <c r="RKL1" t="s">
        <v>30157</v>
      </c>
      <c r="RKM1" t="s">
        <v>30158</v>
      </c>
      <c r="RKN1" t="s">
        <v>30159</v>
      </c>
      <c r="RKO1" t="s">
        <v>30160</v>
      </c>
      <c r="RKP1" t="s">
        <v>30161</v>
      </c>
      <c r="RKQ1" t="s">
        <v>30162</v>
      </c>
      <c r="RKR1" t="s">
        <v>30163</v>
      </c>
      <c r="RKS1" t="s">
        <v>30164</v>
      </c>
      <c r="RKT1" t="s">
        <v>30165</v>
      </c>
      <c r="RKU1" t="s">
        <v>30166</v>
      </c>
      <c r="RKV1" t="s">
        <v>30167</v>
      </c>
      <c r="RKW1" t="s">
        <v>30168</v>
      </c>
      <c r="RKX1" t="s">
        <v>30169</v>
      </c>
      <c r="RKY1" t="s">
        <v>30170</v>
      </c>
      <c r="RKZ1" t="s">
        <v>30171</v>
      </c>
      <c r="RLA1" t="s">
        <v>30172</v>
      </c>
      <c r="RLB1" t="s">
        <v>30173</v>
      </c>
      <c r="RLC1" t="s">
        <v>30174</v>
      </c>
      <c r="RLD1" t="s">
        <v>30175</v>
      </c>
      <c r="RLE1" t="s">
        <v>30176</v>
      </c>
      <c r="RLF1" t="s">
        <v>30177</v>
      </c>
      <c r="RLG1" t="s">
        <v>30178</v>
      </c>
      <c r="RLH1" t="s">
        <v>30179</v>
      </c>
      <c r="RLI1" t="s">
        <v>30180</v>
      </c>
      <c r="RLJ1" t="s">
        <v>30181</v>
      </c>
      <c r="RLK1" t="s">
        <v>30182</v>
      </c>
      <c r="RLL1" t="s">
        <v>30183</v>
      </c>
      <c r="RLM1" t="s">
        <v>30184</v>
      </c>
      <c r="RLN1" t="s">
        <v>30185</v>
      </c>
      <c r="RLO1" t="s">
        <v>30186</v>
      </c>
      <c r="RLP1" t="s">
        <v>30187</v>
      </c>
      <c r="RLQ1" t="s">
        <v>30188</v>
      </c>
      <c r="RLR1" t="s">
        <v>30189</v>
      </c>
      <c r="RLS1" t="s">
        <v>30190</v>
      </c>
      <c r="RLT1" t="s">
        <v>30191</v>
      </c>
      <c r="RLU1" t="s">
        <v>30192</v>
      </c>
      <c r="RLV1" t="s">
        <v>30193</v>
      </c>
      <c r="RLW1" t="s">
        <v>30194</v>
      </c>
      <c r="RLX1" t="s">
        <v>30195</v>
      </c>
      <c r="RLY1" t="s">
        <v>30196</v>
      </c>
      <c r="RLZ1" t="s">
        <v>30197</v>
      </c>
      <c r="RMA1" t="s">
        <v>30198</v>
      </c>
      <c r="RMB1" t="s">
        <v>30199</v>
      </c>
      <c r="RMC1" t="s">
        <v>30200</v>
      </c>
      <c r="RMD1" t="s">
        <v>30201</v>
      </c>
      <c r="RME1" t="s">
        <v>30202</v>
      </c>
      <c r="RMF1" t="s">
        <v>30203</v>
      </c>
      <c r="RMG1" t="s">
        <v>30204</v>
      </c>
      <c r="RMH1" t="s">
        <v>30205</v>
      </c>
      <c r="RMI1" t="s">
        <v>30206</v>
      </c>
      <c r="RMJ1" t="s">
        <v>30207</v>
      </c>
      <c r="RMK1" t="s">
        <v>30208</v>
      </c>
      <c r="RML1" t="s">
        <v>30209</v>
      </c>
      <c r="RMM1" t="s">
        <v>30210</v>
      </c>
      <c r="RMN1" t="s">
        <v>30211</v>
      </c>
      <c r="RMO1" t="s">
        <v>30212</v>
      </c>
      <c r="RMP1" t="s">
        <v>30213</v>
      </c>
      <c r="RMQ1" t="s">
        <v>30214</v>
      </c>
      <c r="RMR1" t="s">
        <v>30215</v>
      </c>
      <c r="RMS1" t="s">
        <v>30216</v>
      </c>
      <c r="RMT1" t="s">
        <v>30217</v>
      </c>
      <c r="RMU1" t="s">
        <v>30218</v>
      </c>
      <c r="RMV1" t="s">
        <v>30219</v>
      </c>
      <c r="RMW1" t="s">
        <v>30220</v>
      </c>
      <c r="RMX1" t="s">
        <v>30221</v>
      </c>
      <c r="RMY1" t="s">
        <v>30222</v>
      </c>
      <c r="RMZ1" t="s">
        <v>30223</v>
      </c>
      <c r="RNA1" t="s">
        <v>30224</v>
      </c>
      <c r="RNB1" t="s">
        <v>30225</v>
      </c>
      <c r="RNC1" t="s">
        <v>30226</v>
      </c>
      <c r="RND1" t="s">
        <v>30227</v>
      </c>
      <c r="RNE1" t="s">
        <v>30228</v>
      </c>
      <c r="RNF1" t="s">
        <v>30229</v>
      </c>
      <c r="RNG1" t="s">
        <v>30230</v>
      </c>
      <c r="RNH1" t="s">
        <v>30231</v>
      </c>
      <c r="RNI1" t="s">
        <v>30232</v>
      </c>
      <c r="RNJ1" t="s">
        <v>30233</v>
      </c>
      <c r="RNK1" t="s">
        <v>30234</v>
      </c>
      <c r="RNL1" t="s">
        <v>30235</v>
      </c>
      <c r="RNM1" t="s">
        <v>30236</v>
      </c>
      <c r="RNN1" t="s">
        <v>30237</v>
      </c>
      <c r="RNO1" t="s">
        <v>30238</v>
      </c>
      <c r="RNP1" t="s">
        <v>30239</v>
      </c>
      <c r="RNQ1" t="s">
        <v>30240</v>
      </c>
      <c r="RNR1" t="s">
        <v>30241</v>
      </c>
      <c r="RNS1" t="s">
        <v>30242</v>
      </c>
      <c r="RNT1" t="s">
        <v>30243</v>
      </c>
      <c r="RNU1" t="s">
        <v>30244</v>
      </c>
      <c r="RNV1" t="s">
        <v>30245</v>
      </c>
      <c r="RNW1" t="s">
        <v>30246</v>
      </c>
      <c r="RNX1" t="s">
        <v>30247</v>
      </c>
      <c r="RNY1" t="s">
        <v>30248</v>
      </c>
      <c r="RNZ1" t="s">
        <v>30249</v>
      </c>
      <c r="ROA1" t="s">
        <v>30250</v>
      </c>
      <c r="ROB1" t="s">
        <v>30251</v>
      </c>
      <c r="ROC1" t="s">
        <v>30252</v>
      </c>
      <c r="ROD1" t="s">
        <v>30253</v>
      </c>
      <c r="ROE1" t="s">
        <v>30254</v>
      </c>
      <c r="ROF1" t="s">
        <v>30255</v>
      </c>
      <c r="ROG1" t="s">
        <v>30256</v>
      </c>
      <c r="ROH1" t="s">
        <v>30257</v>
      </c>
      <c r="ROI1" t="s">
        <v>30258</v>
      </c>
      <c r="ROJ1" t="s">
        <v>30259</v>
      </c>
      <c r="ROK1" t="s">
        <v>30260</v>
      </c>
      <c r="ROL1" t="s">
        <v>30261</v>
      </c>
      <c r="ROM1" t="s">
        <v>30262</v>
      </c>
      <c r="RON1" t="s">
        <v>30263</v>
      </c>
      <c r="ROO1" t="s">
        <v>30264</v>
      </c>
      <c r="ROP1" t="s">
        <v>30265</v>
      </c>
      <c r="ROQ1" t="s">
        <v>30266</v>
      </c>
      <c r="ROR1" t="s">
        <v>30267</v>
      </c>
      <c r="ROS1" t="s">
        <v>30268</v>
      </c>
      <c r="ROT1" t="s">
        <v>30269</v>
      </c>
      <c r="ROU1" t="s">
        <v>30270</v>
      </c>
      <c r="ROV1" t="s">
        <v>30271</v>
      </c>
      <c r="ROW1" t="s">
        <v>30272</v>
      </c>
      <c r="ROX1" t="s">
        <v>30273</v>
      </c>
      <c r="ROY1" t="s">
        <v>30274</v>
      </c>
      <c r="ROZ1" t="s">
        <v>30275</v>
      </c>
      <c r="RPA1" t="s">
        <v>30276</v>
      </c>
      <c r="RPB1" t="s">
        <v>30277</v>
      </c>
      <c r="RPC1" t="s">
        <v>30278</v>
      </c>
      <c r="RPD1" t="s">
        <v>30279</v>
      </c>
      <c r="RPE1" t="s">
        <v>30280</v>
      </c>
      <c r="RPF1" t="s">
        <v>30281</v>
      </c>
      <c r="RPG1" t="s">
        <v>30282</v>
      </c>
      <c r="RPH1" t="s">
        <v>30283</v>
      </c>
      <c r="RPI1" t="s">
        <v>30284</v>
      </c>
      <c r="RPJ1" t="s">
        <v>30285</v>
      </c>
      <c r="RPK1" t="s">
        <v>30286</v>
      </c>
      <c r="RPL1" t="s">
        <v>30287</v>
      </c>
      <c r="RPM1" t="s">
        <v>30288</v>
      </c>
      <c r="RPN1" t="s">
        <v>30289</v>
      </c>
      <c r="RPO1" t="s">
        <v>30290</v>
      </c>
      <c r="RPP1" t="s">
        <v>30291</v>
      </c>
      <c r="RPQ1" t="s">
        <v>30292</v>
      </c>
      <c r="RPR1" t="s">
        <v>30293</v>
      </c>
      <c r="RPS1" t="s">
        <v>30294</v>
      </c>
      <c r="RPT1" t="s">
        <v>30295</v>
      </c>
      <c r="RPU1" t="s">
        <v>30296</v>
      </c>
      <c r="RPV1" t="s">
        <v>30297</v>
      </c>
      <c r="RPW1" t="s">
        <v>30298</v>
      </c>
      <c r="RPX1" t="s">
        <v>30299</v>
      </c>
      <c r="RPY1" t="s">
        <v>30300</v>
      </c>
      <c r="RPZ1" t="s">
        <v>30301</v>
      </c>
      <c r="RQA1" t="s">
        <v>30302</v>
      </c>
      <c r="RQB1" t="s">
        <v>30303</v>
      </c>
      <c r="RQC1" t="s">
        <v>30304</v>
      </c>
      <c r="RQD1" t="s">
        <v>30305</v>
      </c>
      <c r="RQE1" t="s">
        <v>30306</v>
      </c>
      <c r="RQF1" t="s">
        <v>30307</v>
      </c>
      <c r="RQG1" t="s">
        <v>30308</v>
      </c>
      <c r="RQH1" t="s">
        <v>30309</v>
      </c>
      <c r="RQI1" t="s">
        <v>30310</v>
      </c>
      <c r="RQJ1" t="s">
        <v>30311</v>
      </c>
      <c r="RQK1" t="s">
        <v>30312</v>
      </c>
      <c r="RQL1" t="s">
        <v>30313</v>
      </c>
      <c r="RQM1" t="s">
        <v>30314</v>
      </c>
      <c r="RQN1" t="s">
        <v>30315</v>
      </c>
      <c r="RQO1" t="s">
        <v>30316</v>
      </c>
      <c r="RQP1" t="s">
        <v>30317</v>
      </c>
      <c r="RQQ1" t="s">
        <v>30318</v>
      </c>
      <c r="RQR1" t="s">
        <v>30319</v>
      </c>
      <c r="RQS1" t="s">
        <v>30320</v>
      </c>
      <c r="RQT1" t="s">
        <v>30321</v>
      </c>
      <c r="RQU1" t="s">
        <v>30322</v>
      </c>
      <c r="RQV1" t="s">
        <v>30323</v>
      </c>
      <c r="RQW1" t="s">
        <v>30324</v>
      </c>
      <c r="RQX1" t="s">
        <v>30325</v>
      </c>
      <c r="RQY1" t="s">
        <v>30326</v>
      </c>
      <c r="RQZ1" t="s">
        <v>30327</v>
      </c>
      <c r="RRA1" t="s">
        <v>30328</v>
      </c>
      <c r="RRB1" t="s">
        <v>30329</v>
      </c>
      <c r="RRC1" t="s">
        <v>30330</v>
      </c>
      <c r="RRD1" t="s">
        <v>30331</v>
      </c>
      <c r="RRE1" t="s">
        <v>30332</v>
      </c>
      <c r="RRF1" t="s">
        <v>30333</v>
      </c>
      <c r="RRG1" t="s">
        <v>30334</v>
      </c>
      <c r="RRH1" t="s">
        <v>30335</v>
      </c>
      <c r="RRI1" t="s">
        <v>30336</v>
      </c>
      <c r="RRJ1" t="s">
        <v>30337</v>
      </c>
      <c r="RRK1" t="s">
        <v>30338</v>
      </c>
      <c r="RRL1" t="s">
        <v>30339</v>
      </c>
      <c r="RRM1" t="s">
        <v>30340</v>
      </c>
      <c r="RRN1" t="s">
        <v>30341</v>
      </c>
      <c r="RRO1" t="s">
        <v>30342</v>
      </c>
      <c r="RRP1" t="s">
        <v>30343</v>
      </c>
      <c r="RRQ1" t="s">
        <v>30344</v>
      </c>
      <c r="RRR1" t="s">
        <v>30345</v>
      </c>
      <c r="RRS1" t="s">
        <v>30346</v>
      </c>
      <c r="RRT1" t="s">
        <v>30347</v>
      </c>
      <c r="RRU1" t="s">
        <v>30348</v>
      </c>
      <c r="RRV1" t="s">
        <v>30349</v>
      </c>
      <c r="RRW1" t="s">
        <v>30350</v>
      </c>
      <c r="RRX1" t="s">
        <v>30351</v>
      </c>
      <c r="RRY1" t="s">
        <v>30352</v>
      </c>
      <c r="RRZ1" t="s">
        <v>30353</v>
      </c>
      <c r="RSA1" t="s">
        <v>30354</v>
      </c>
      <c r="RSB1" t="s">
        <v>30355</v>
      </c>
      <c r="RSC1" t="s">
        <v>30356</v>
      </c>
      <c r="RSD1" t="s">
        <v>30357</v>
      </c>
      <c r="RSE1" t="s">
        <v>30358</v>
      </c>
      <c r="RSF1" t="s">
        <v>30359</v>
      </c>
      <c r="RSG1" t="s">
        <v>30360</v>
      </c>
      <c r="RSH1" t="s">
        <v>30361</v>
      </c>
      <c r="RSI1" t="s">
        <v>30362</v>
      </c>
      <c r="RSJ1" t="s">
        <v>30363</v>
      </c>
      <c r="RSK1" t="s">
        <v>30364</v>
      </c>
      <c r="RSL1" t="s">
        <v>30365</v>
      </c>
      <c r="RSM1" t="s">
        <v>30366</v>
      </c>
      <c r="RSN1" t="s">
        <v>30367</v>
      </c>
      <c r="RSO1" t="s">
        <v>30368</v>
      </c>
      <c r="RSP1" t="s">
        <v>30369</v>
      </c>
      <c r="RSQ1" t="s">
        <v>30370</v>
      </c>
      <c r="RSR1" t="s">
        <v>30371</v>
      </c>
      <c r="RSS1" t="s">
        <v>30372</v>
      </c>
      <c r="RST1" t="s">
        <v>30373</v>
      </c>
      <c r="RSU1" t="s">
        <v>30374</v>
      </c>
      <c r="RSV1" t="s">
        <v>30375</v>
      </c>
      <c r="RSW1" t="s">
        <v>30376</v>
      </c>
      <c r="RSX1" t="s">
        <v>30377</v>
      </c>
      <c r="RSY1" t="s">
        <v>30378</v>
      </c>
      <c r="RSZ1" t="s">
        <v>30379</v>
      </c>
      <c r="RTA1" t="s">
        <v>30380</v>
      </c>
      <c r="RTB1" t="s">
        <v>30381</v>
      </c>
      <c r="RTC1" t="s">
        <v>30382</v>
      </c>
      <c r="RTD1" t="s">
        <v>30383</v>
      </c>
      <c r="RTE1" t="s">
        <v>30384</v>
      </c>
      <c r="RTF1" t="s">
        <v>30385</v>
      </c>
      <c r="RTG1" t="s">
        <v>30386</v>
      </c>
      <c r="RTH1" t="s">
        <v>30387</v>
      </c>
      <c r="RTI1" t="s">
        <v>30388</v>
      </c>
      <c r="RTJ1" t="s">
        <v>30389</v>
      </c>
      <c r="RTK1" t="s">
        <v>30390</v>
      </c>
      <c r="RTL1" t="s">
        <v>30391</v>
      </c>
      <c r="RTM1" t="s">
        <v>30392</v>
      </c>
      <c r="RTN1" t="s">
        <v>30393</v>
      </c>
      <c r="RTO1" t="s">
        <v>30394</v>
      </c>
      <c r="RTP1" t="s">
        <v>30395</v>
      </c>
      <c r="RTQ1" t="s">
        <v>30396</v>
      </c>
      <c r="RTR1" t="s">
        <v>30397</v>
      </c>
      <c r="RTS1" t="s">
        <v>30398</v>
      </c>
      <c r="RTT1" t="s">
        <v>30399</v>
      </c>
      <c r="RTU1" t="s">
        <v>30400</v>
      </c>
      <c r="RTV1" t="s">
        <v>30401</v>
      </c>
      <c r="RTW1" t="s">
        <v>30402</v>
      </c>
      <c r="RTX1" t="s">
        <v>30403</v>
      </c>
      <c r="RTY1" t="s">
        <v>30404</v>
      </c>
      <c r="RTZ1" t="s">
        <v>30405</v>
      </c>
      <c r="RUA1" t="s">
        <v>30406</v>
      </c>
      <c r="RUB1" t="s">
        <v>30407</v>
      </c>
      <c r="RUC1" t="s">
        <v>30408</v>
      </c>
      <c r="RUD1" t="s">
        <v>30409</v>
      </c>
      <c r="RUE1" t="s">
        <v>30410</v>
      </c>
      <c r="RUF1" t="s">
        <v>30411</v>
      </c>
      <c r="RUG1" t="s">
        <v>30412</v>
      </c>
      <c r="RUH1" t="s">
        <v>30413</v>
      </c>
      <c r="RUI1" t="s">
        <v>30414</v>
      </c>
      <c r="RUJ1" t="s">
        <v>30415</v>
      </c>
      <c r="RUK1" t="s">
        <v>30416</v>
      </c>
      <c r="RUL1" t="s">
        <v>30417</v>
      </c>
      <c r="RUM1" t="s">
        <v>30418</v>
      </c>
      <c r="RUN1" t="s">
        <v>30419</v>
      </c>
      <c r="RUO1" t="s">
        <v>30420</v>
      </c>
      <c r="RUP1" t="s">
        <v>30421</v>
      </c>
      <c r="RUQ1" t="s">
        <v>30422</v>
      </c>
      <c r="RUR1" t="s">
        <v>30423</v>
      </c>
      <c r="RUS1" t="s">
        <v>30424</v>
      </c>
      <c r="RUT1" t="s">
        <v>30425</v>
      </c>
      <c r="RUU1" t="s">
        <v>30426</v>
      </c>
      <c r="RUV1" t="s">
        <v>30427</v>
      </c>
      <c r="RUW1" t="s">
        <v>30428</v>
      </c>
      <c r="RUX1" t="s">
        <v>30429</v>
      </c>
      <c r="RUY1" t="s">
        <v>30430</v>
      </c>
      <c r="RUZ1" t="s">
        <v>30431</v>
      </c>
      <c r="RVA1" t="s">
        <v>30432</v>
      </c>
      <c r="RVB1" t="s">
        <v>30433</v>
      </c>
      <c r="RVC1" t="s">
        <v>30434</v>
      </c>
      <c r="RVD1" t="s">
        <v>30435</v>
      </c>
      <c r="RVE1" t="s">
        <v>30436</v>
      </c>
      <c r="RVF1" t="s">
        <v>30437</v>
      </c>
      <c r="RVG1" t="s">
        <v>30438</v>
      </c>
      <c r="RVH1" t="s">
        <v>30439</v>
      </c>
      <c r="RVI1" t="s">
        <v>30440</v>
      </c>
      <c r="RVJ1" t="s">
        <v>30441</v>
      </c>
      <c r="RVK1" t="s">
        <v>30442</v>
      </c>
      <c r="RVL1" t="s">
        <v>30443</v>
      </c>
      <c r="RVM1" t="s">
        <v>30444</v>
      </c>
      <c r="RVN1" t="s">
        <v>30445</v>
      </c>
      <c r="RVO1" t="s">
        <v>30446</v>
      </c>
      <c r="RVP1" t="s">
        <v>30447</v>
      </c>
      <c r="RVQ1" t="s">
        <v>30448</v>
      </c>
      <c r="RVR1" t="s">
        <v>30449</v>
      </c>
      <c r="RVS1" t="s">
        <v>30450</v>
      </c>
      <c r="RVT1" t="s">
        <v>30451</v>
      </c>
      <c r="RVU1" t="s">
        <v>30452</v>
      </c>
      <c r="RVV1" t="s">
        <v>30453</v>
      </c>
      <c r="RVW1" t="s">
        <v>30454</v>
      </c>
      <c r="RVX1" t="s">
        <v>30455</v>
      </c>
      <c r="RVY1" t="s">
        <v>30456</v>
      </c>
      <c r="RVZ1" t="s">
        <v>30457</v>
      </c>
      <c r="RWA1" t="s">
        <v>30458</v>
      </c>
      <c r="RWB1" t="s">
        <v>30459</v>
      </c>
      <c r="RWC1" t="s">
        <v>30460</v>
      </c>
      <c r="RWD1" t="s">
        <v>30461</v>
      </c>
      <c r="RWE1" t="s">
        <v>30462</v>
      </c>
      <c r="RWF1" t="s">
        <v>30463</v>
      </c>
      <c r="RWG1" t="s">
        <v>30464</v>
      </c>
      <c r="RWH1" t="s">
        <v>30465</v>
      </c>
      <c r="RWI1" t="s">
        <v>30466</v>
      </c>
      <c r="RWJ1" t="s">
        <v>30467</v>
      </c>
      <c r="RWK1" t="s">
        <v>30468</v>
      </c>
      <c r="RWL1" t="s">
        <v>30469</v>
      </c>
      <c r="RWM1" t="s">
        <v>30470</v>
      </c>
      <c r="RWN1" t="s">
        <v>30471</v>
      </c>
      <c r="RWO1" t="s">
        <v>30472</v>
      </c>
      <c r="RWP1" t="s">
        <v>30473</v>
      </c>
      <c r="RWQ1" t="s">
        <v>30474</v>
      </c>
      <c r="RWR1" t="s">
        <v>30475</v>
      </c>
      <c r="RWS1" t="s">
        <v>30476</v>
      </c>
      <c r="RWT1" t="s">
        <v>30477</v>
      </c>
      <c r="RWU1" t="s">
        <v>30478</v>
      </c>
      <c r="RWV1" t="s">
        <v>30479</v>
      </c>
      <c r="RWW1" t="s">
        <v>30480</v>
      </c>
      <c r="RWX1" t="s">
        <v>30481</v>
      </c>
      <c r="RWY1" t="s">
        <v>30482</v>
      </c>
      <c r="RWZ1" t="s">
        <v>30483</v>
      </c>
      <c r="RXA1" t="s">
        <v>30484</v>
      </c>
      <c r="RXB1" t="s">
        <v>30485</v>
      </c>
      <c r="RXC1" t="s">
        <v>30486</v>
      </c>
      <c r="RXD1" t="s">
        <v>30487</v>
      </c>
      <c r="RXE1" t="s">
        <v>30488</v>
      </c>
      <c r="RXF1" t="s">
        <v>30489</v>
      </c>
      <c r="RXG1" t="s">
        <v>30490</v>
      </c>
      <c r="RXH1" t="s">
        <v>30491</v>
      </c>
      <c r="RXI1" t="s">
        <v>30492</v>
      </c>
      <c r="RXJ1" t="s">
        <v>30493</v>
      </c>
      <c r="RXK1" t="s">
        <v>30494</v>
      </c>
      <c r="RXL1" t="s">
        <v>30495</v>
      </c>
      <c r="RXM1" t="s">
        <v>30496</v>
      </c>
      <c r="RXN1" t="s">
        <v>30497</v>
      </c>
      <c r="RXO1" t="s">
        <v>30498</v>
      </c>
      <c r="RXP1" t="s">
        <v>30499</v>
      </c>
      <c r="RXQ1" t="s">
        <v>30500</v>
      </c>
      <c r="RXR1" t="s">
        <v>30501</v>
      </c>
      <c r="RXS1" t="s">
        <v>30502</v>
      </c>
      <c r="RXT1" t="s">
        <v>30503</v>
      </c>
      <c r="RXU1" t="s">
        <v>30504</v>
      </c>
      <c r="RXV1" t="s">
        <v>30505</v>
      </c>
      <c r="RXW1" t="s">
        <v>30506</v>
      </c>
      <c r="RXX1" t="s">
        <v>30507</v>
      </c>
      <c r="RXY1" t="s">
        <v>30508</v>
      </c>
      <c r="RXZ1" t="s">
        <v>30509</v>
      </c>
      <c r="RYA1" t="s">
        <v>30510</v>
      </c>
      <c r="RYB1" t="s">
        <v>30511</v>
      </c>
      <c r="RYC1" t="s">
        <v>30512</v>
      </c>
      <c r="RYD1" t="s">
        <v>30513</v>
      </c>
      <c r="RYE1" t="s">
        <v>30514</v>
      </c>
      <c r="RYF1" t="s">
        <v>30515</v>
      </c>
      <c r="RYG1" t="s">
        <v>30516</v>
      </c>
      <c r="RYH1" t="s">
        <v>30517</v>
      </c>
      <c r="RYI1" t="s">
        <v>30518</v>
      </c>
      <c r="RYJ1" t="s">
        <v>30519</v>
      </c>
      <c r="RYK1" t="s">
        <v>30520</v>
      </c>
      <c r="RYL1" t="s">
        <v>30521</v>
      </c>
      <c r="RYM1" t="s">
        <v>30522</v>
      </c>
      <c r="RYN1" t="s">
        <v>30523</v>
      </c>
      <c r="RYO1" t="s">
        <v>30524</v>
      </c>
      <c r="RYP1" t="s">
        <v>30525</v>
      </c>
      <c r="RYQ1" t="s">
        <v>30526</v>
      </c>
      <c r="RYR1" t="s">
        <v>30527</v>
      </c>
      <c r="RYS1" t="s">
        <v>30528</v>
      </c>
      <c r="RYT1" t="s">
        <v>30529</v>
      </c>
      <c r="RYU1" t="s">
        <v>30530</v>
      </c>
      <c r="RYV1" t="s">
        <v>30531</v>
      </c>
      <c r="RYW1" t="s">
        <v>30532</v>
      </c>
      <c r="RYX1" t="s">
        <v>30533</v>
      </c>
      <c r="RYY1" t="s">
        <v>30534</v>
      </c>
      <c r="RYZ1" t="s">
        <v>30535</v>
      </c>
      <c r="RZA1" t="s">
        <v>30536</v>
      </c>
      <c r="RZB1" t="s">
        <v>30537</v>
      </c>
      <c r="RZC1" t="s">
        <v>30538</v>
      </c>
      <c r="RZD1" t="s">
        <v>30539</v>
      </c>
      <c r="RZE1" t="s">
        <v>30540</v>
      </c>
      <c r="RZF1" t="s">
        <v>30541</v>
      </c>
      <c r="RZG1" t="s">
        <v>30542</v>
      </c>
      <c r="RZH1" t="s">
        <v>30543</v>
      </c>
      <c r="RZI1" t="s">
        <v>30544</v>
      </c>
      <c r="RZJ1" t="s">
        <v>30545</v>
      </c>
      <c r="RZK1" t="s">
        <v>30546</v>
      </c>
      <c r="RZL1" t="s">
        <v>30547</v>
      </c>
      <c r="RZM1" t="s">
        <v>30548</v>
      </c>
      <c r="RZN1" t="s">
        <v>30549</v>
      </c>
      <c r="RZO1" t="s">
        <v>30550</v>
      </c>
      <c r="RZP1" t="s">
        <v>30551</v>
      </c>
      <c r="RZQ1" t="s">
        <v>30552</v>
      </c>
      <c r="RZR1" t="s">
        <v>30553</v>
      </c>
      <c r="RZS1" t="s">
        <v>30554</v>
      </c>
      <c r="RZT1" t="s">
        <v>30555</v>
      </c>
      <c r="RZU1" t="s">
        <v>30556</v>
      </c>
      <c r="RZV1" t="s">
        <v>30557</v>
      </c>
      <c r="RZW1" t="s">
        <v>30558</v>
      </c>
      <c r="RZX1" t="s">
        <v>30559</v>
      </c>
      <c r="RZY1" t="s">
        <v>30560</v>
      </c>
      <c r="RZZ1" t="s">
        <v>30561</v>
      </c>
      <c r="SAA1" t="s">
        <v>30562</v>
      </c>
      <c r="SAB1" t="s">
        <v>30563</v>
      </c>
      <c r="SAC1" t="s">
        <v>30564</v>
      </c>
      <c r="SAD1" t="s">
        <v>30565</v>
      </c>
      <c r="SAE1" t="s">
        <v>30566</v>
      </c>
      <c r="SAF1" t="s">
        <v>30567</v>
      </c>
      <c r="SAG1" t="s">
        <v>30568</v>
      </c>
      <c r="SAH1" t="s">
        <v>30569</v>
      </c>
      <c r="SAI1" t="s">
        <v>30570</v>
      </c>
      <c r="SAJ1" t="s">
        <v>30571</v>
      </c>
      <c r="SAK1" t="s">
        <v>30572</v>
      </c>
      <c r="SAL1" t="s">
        <v>30573</v>
      </c>
      <c r="SAM1" t="s">
        <v>30574</v>
      </c>
      <c r="SAN1" t="s">
        <v>30575</v>
      </c>
      <c r="SAO1" t="s">
        <v>30576</v>
      </c>
      <c r="SAP1" t="s">
        <v>30577</v>
      </c>
      <c r="SAQ1" t="s">
        <v>30578</v>
      </c>
      <c r="SAR1" t="s">
        <v>30579</v>
      </c>
      <c r="SAS1" t="s">
        <v>30580</v>
      </c>
      <c r="SAT1" t="s">
        <v>30581</v>
      </c>
      <c r="SAU1" t="s">
        <v>30582</v>
      </c>
      <c r="SAV1" t="s">
        <v>30583</v>
      </c>
      <c r="SAW1" t="s">
        <v>30584</v>
      </c>
      <c r="SAX1" t="s">
        <v>30585</v>
      </c>
      <c r="SAY1" t="s">
        <v>30586</v>
      </c>
      <c r="SAZ1" t="s">
        <v>30587</v>
      </c>
      <c r="SBA1" t="s">
        <v>30588</v>
      </c>
      <c r="SBB1" t="s">
        <v>30589</v>
      </c>
      <c r="SBC1" t="s">
        <v>30590</v>
      </c>
      <c r="SBD1" t="s">
        <v>30591</v>
      </c>
      <c r="SBE1" t="s">
        <v>30592</v>
      </c>
      <c r="SBF1" t="s">
        <v>30593</v>
      </c>
      <c r="SBG1" t="s">
        <v>30594</v>
      </c>
      <c r="SBH1" t="s">
        <v>30595</v>
      </c>
      <c r="SBI1" t="s">
        <v>30596</v>
      </c>
      <c r="SBJ1" t="s">
        <v>30597</v>
      </c>
      <c r="SBK1" t="s">
        <v>30598</v>
      </c>
      <c r="SBL1" t="s">
        <v>30599</v>
      </c>
      <c r="SBM1" t="s">
        <v>30600</v>
      </c>
      <c r="SBN1" t="s">
        <v>30601</v>
      </c>
      <c r="SBO1" t="s">
        <v>30602</v>
      </c>
      <c r="SBP1" t="s">
        <v>30603</v>
      </c>
      <c r="SBQ1" t="s">
        <v>30604</v>
      </c>
      <c r="SBR1" t="s">
        <v>30605</v>
      </c>
      <c r="SBS1" t="s">
        <v>30606</v>
      </c>
      <c r="SBT1" t="s">
        <v>30607</v>
      </c>
      <c r="SBU1" t="s">
        <v>30608</v>
      </c>
      <c r="SBV1" t="s">
        <v>30609</v>
      </c>
      <c r="SBW1" t="s">
        <v>30610</v>
      </c>
      <c r="SBX1" t="s">
        <v>30611</v>
      </c>
      <c r="SBY1" t="s">
        <v>30612</v>
      </c>
      <c r="SBZ1" t="s">
        <v>30613</v>
      </c>
      <c r="SCA1" t="s">
        <v>30614</v>
      </c>
      <c r="SCB1" t="s">
        <v>30615</v>
      </c>
      <c r="SCC1" t="s">
        <v>30616</v>
      </c>
      <c r="SCD1" t="s">
        <v>30617</v>
      </c>
      <c r="SCE1" t="s">
        <v>30618</v>
      </c>
      <c r="SCF1" t="s">
        <v>30619</v>
      </c>
      <c r="SCG1" t="s">
        <v>30620</v>
      </c>
      <c r="SCH1" t="s">
        <v>30621</v>
      </c>
      <c r="SCI1" t="s">
        <v>30622</v>
      </c>
      <c r="SCJ1" t="s">
        <v>30623</v>
      </c>
      <c r="SCK1" t="s">
        <v>30624</v>
      </c>
      <c r="SCL1" t="s">
        <v>30625</v>
      </c>
      <c r="SCM1" t="s">
        <v>30626</v>
      </c>
      <c r="SCN1" t="s">
        <v>30627</v>
      </c>
      <c r="SCO1" t="s">
        <v>30628</v>
      </c>
      <c r="SCP1" t="s">
        <v>30629</v>
      </c>
      <c r="SCQ1" t="s">
        <v>30630</v>
      </c>
      <c r="SCR1" t="s">
        <v>30631</v>
      </c>
      <c r="SCS1" t="s">
        <v>30632</v>
      </c>
      <c r="SCT1" t="s">
        <v>30633</v>
      </c>
      <c r="SCU1" t="s">
        <v>30634</v>
      </c>
      <c r="SCV1" t="s">
        <v>30635</v>
      </c>
      <c r="SCW1" t="s">
        <v>30636</v>
      </c>
      <c r="SCX1" t="s">
        <v>30637</v>
      </c>
      <c r="SCY1" t="s">
        <v>30638</v>
      </c>
      <c r="SCZ1" t="s">
        <v>30639</v>
      </c>
      <c r="SDA1" t="s">
        <v>30640</v>
      </c>
      <c r="SDB1" t="s">
        <v>30641</v>
      </c>
      <c r="SDC1" t="s">
        <v>30642</v>
      </c>
      <c r="SDD1" t="s">
        <v>30643</v>
      </c>
      <c r="SDE1" t="s">
        <v>30644</v>
      </c>
      <c r="SDF1" t="s">
        <v>30645</v>
      </c>
      <c r="SDG1" t="s">
        <v>30646</v>
      </c>
      <c r="SDH1" t="s">
        <v>30647</v>
      </c>
      <c r="SDI1" t="s">
        <v>30648</v>
      </c>
      <c r="SDJ1" t="s">
        <v>30649</v>
      </c>
      <c r="SDK1" t="s">
        <v>30650</v>
      </c>
      <c r="SDL1" t="s">
        <v>30651</v>
      </c>
      <c r="SDM1" t="s">
        <v>30652</v>
      </c>
      <c r="SDN1" t="s">
        <v>30653</v>
      </c>
      <c r="SDO1" t="s">
        <v>30654</v>
      </c>
      <c r="SDP1" t="s">
        <v>30655</v>
      </c>
      <c r="SDQ1" t="s">
        <v>30656</v>
      </c>
      <c r="SDR1" t="s">
        <v>30657</v>
      </c>
      <c r="SDS1" t="s">
        <v>30658</v>
      </c>
      <c r="SDT1" t="s">
        <v>30659</v>
      </c>
      <c r="SDU1" t="s">
        <v>30660</v>
      </c>
      <c r="SDV1" t="s">
        <v>30661</v>
      </c>
      <c r="SDW1" t="s">
        <v>30662</v>
      </c>
      <c r="SDX1" t="s">
        <v>30663</v>
      </c>
      <c r="SDY1" t="s">
        <v>30664</v>
      </c>
      <c r="SDZ1" t="s">
        <v>30665</v>
      </c>
      <c r="SEA1" t="s">
        <v>30666</v>
      </c>
      <c r="SEB1" t="s">
        <v>30667</v>
      </c>
      <c r="SEC1" t="s">
        <v>30668</v>
      </c>
      <c r="SED1" t="s">
        <v>30669</v>
      </c>
      <c r="SEE1" t="s">
        <v>30670</v>
      </c>
      <c r="SEF1" t="s">
        <v>30671</v>
      </c>
      <c r="SEG1" t="s">
        <v>30672</v>
      </c>
      <c r="SEH1" t="s">
        <v>30673</v>
      </c>
      <c r="SEI1" t="s">
        <v>30674</v>
      </c>
      <c r="SEJ1" t="s">
        <v>30675</v>
      </c>
      <c r="SEK1" t="s">
        <v>30676</v>
      </c>
      <c r="SEL1" t="s">
        <v>30677</v>
      </c>
      <c r="SEM1" t="s">
        <v>30678</v>
      </c>
      <c r="SEN1" t="s">
        <v>30679</v>
      </c>
      <c r="SEO1" t="s">
        <v>30680</v>
      </c>
      <c r="SEP1" t="s">
        <v>30681</v>
      </c>
      <c r="SEQ1" t="s">
        <v>30682</v>
      </c>
      <c r="SER1" t="s">
        <v>30683</v>
      </c>
      <c r="SES1" t="s">
        <v>30684</v>
      </c>
      <c r="SET1" t="s">
        <v>30685</v>
      </c>
      <c r="SEU1" t="s">
        <v>30686</v>
      </c>
      <c r="SEV1" t="s">
        <v>30687</v>
      </c>
      <c r="SEW1" t="s">
        <v>30688</v>
      </c>
      <c r="SEX1" t="s">
        <v>30689</v>
      </c>
      <c r="SEY1" t="s">
        <v>30690</v>
      </c>
      <c r="SEZ1" t="s">
        <v>30691</v>
      </c>
      <c r="SFA1" t="s">
        <v>30692</v>
      </c>
      <c r="SFB1" t="s">
        <v>30693</v>
      </c>
      <c r="SFC1" t="s">
        <v>30694</v>
      </c>
      <c r="SFD1" t="s">
        <v>30695</v>
      </c>
      <c r="SFE1" t="s">
        <v>30696</v>
      </c>
      <c r="SFF1" t="s">
        <v>30697</v>
      </c>
      <c r="SFG1" t="s">
        <v>30698</v>
      </c>
      <c r="SFH1" t="s">
        <v>30699</v>
      </c>
      <c r="SFI1" t="s">
        <v>30700</v>
      </c>
      <c r="SFJ1" t="s">
        <v>30701</v>
      </c>
      <c r="SFK1" t="s">
        <v>30702</v>
      </c>
      <c r="SFL1" t="s">
        <v>30703</v>
      </c>
      <c r="SFM1" t="s">
        <v>30704</v>
      </c>
      <c r="SFN1" t="s">
        <v>30705</v>
      </c>
      <c r="SFO1" t="s">
        <v>30706</v>
      </c>
      <c r="SFP1" t="s">
        <v>30707</v>
      </c>
      <c r="SFQ1" t="s">
        <v>30708</v>
      </c>
      <c r="SFR1" t="s">
        <v>30709</v>
      </c>
      <c r="SFS1" t="s">
        <v>30710</v>
      </c>
      <c r="SFT1" t="s">
        <v>30711</v>
      </c>
      <c r="SFU1" t="s">
        <v>30712</v>
      </c>
      <c r="SFV1" t="s">
        <v>30713</v>
      </c>
      <c r="SFW1" t="s">
        <v>30714</v>
      </c>
      <c r="SFX1" t="s">
        <v>30715</v>
      </c>
      <c r="SFY1" t="s">
        <v>30716</v>
      </c>
      <c r="SFZ1" t="s">
        <v>30717</v>
      </c>
      <c r="SGA1" t="s">
        <v>30718</v>
      </c>
      <c r="SGB1" t="s">
        <v>30719</v>
      </c>
      <c r="SGC1" t="s">
        <v>30720</v>
      </c>
      <c r="SGD1" t="s">
        <v>30721</v>
      </c>
      <c r="SGE1" t="s">
        <v>30722</v>
      </c>
      <c r="SGF1" t="s">
        <v>30723</v>
      </c>
      <c r="SGG1" t="s">
        <v>30724</v>
      </c>
      <c r="SGH1" t="s">
        <v>30725</v>
      </c>
      <c r="SGI1" t="s">
        <v>30726</v>
      </c>
      <c r="SGJ1" t="s">
        <v>30727</v>
      </c>
      <c r="SGK1" t="s">
        <v>30728</v>
      </c>
      <c r="SGL1" t="s">
        <v>30729</v>
      </c>
      <c r="SGM1" t="s">
        <v>30730</v>
      </c>
      <c r="SGN1" t="s">
        <v>30731</v>
      </c>
      <c r="SGO1" t="s">
        <v>30732</v>
      </c>
      <c r="SGP1" t="s">
        <v>30733</v>
      </c>
      <c r="SGQ1" t="s">
        <v>30734</v>
      </c>
      <c r="SGR1" t="s">
        <v>30735</v>
      </c>
      <c r="SGS1" t="s">
        <v>30736</v>
      </c>
      <c r="SGT1" t="s">
        <v>30737</v>
      </c>
      <c r="SGU1" t="s">
        <v>30738</v>
      </c>
      <c r="SGV1" t="s">
        <v>30739</v>
      </c>
      <c r="SGW1" t="s">
        <v>30740</v>
      </c>
      <c r="SGX1" t="s">
        <v>30741</v>
      </c>
      <c r="SGY1" t="s">
        <v>30742</v>
      </c>
      <c r="SGZ1" t="s">
        <v>30743</v>
      </c>
      <c r="SHA1" t="s">
        <v>30744</v>
      </c>
      <c r="SHB1" t="s">
        <v>30745</v>
      </c>
      <c r="SHC1" t="s">
        <v>30746</v>
      </c>
      <c r="SHD1" t="s">
        <v>30747</v>
      </c>
      <c r="SHE1" t="s">
        <v>30748</v>
      </c>
      <c r="SHF1" t="s">
        <v>30749</v>
      </c>
      <c r="SHG1" t="s">
        <v>30750</v>
      </c>
      <c r="SHH1" t="s">
        <v>30751</v>
      </c>
      <c r="SHI1" t="s">
        <v>30752</v>
      </c>
      <c r="SHJ1" t="s">
        <v>30753</v>
      </c>
      <c r="SHK1" t="s">
        <v>30754</v>
      </c>
      <c r="SHL1" t="s">
        <v>30755</v>
      </c>
      <c r="SHM1" t="s">
        <v>30756</v>
      </c>
      <c r="SHN1" t="s">
        <v>30757</v>
      </c>
      <c r="SHO1" t="s">
        <v>30758</v>
      </c>
      <c r="SHP1" t="s">
        <v>30759</v>
      </c>
      <c r="SHQ1" t="s">
        <v>30760</v>
      </c>
      <c r="SHR1" t="s">
        <v>30761</v>
      </c>
      <c r="SHS1" t="s">
        <v>30762</v>
      </c>
      <c r="SHT1" t="s">
        <v>30763</v>
      </c>
      <c r="SHU1" t="s">
        <v>30764</v>
      </c>
      <c r="SHV1" t="s">
        <v>30765</v>
      </c>
      <c r="SHW1" t="s">
        <v>30766</v>
      </c>
      <c r="SHX1" t="s">
        <v>30767</v>
      </c>
      <c r="SHY1" t="s">
        <v>30768</v>
      </c>
      <c r="SHZ1" t="s">
        <v>30769</v>
      </c>
      <c r="SIA1" t="s">
        <v>30770</v>
      </c>
      <c r="SIB1" t="s">
        <v>30771</v>
      </c>
      <c r="SIC1" t="s">
        <v>30772</v>
      </c>
      <c r="SID1" t="s">
        <v>30773</v>
      </c>
      <c r="SIE1" t="s">
        <v>30774</v>
      </c>
      <c r="SIF1" t="s">
        <v>30775</v>
      </c>
      <c r="SIG1" t="s">
        <v>30776</v>
      </c>
      <c r="SIH1" t="s">
        <v>30777</v>
      </c>
      <c r="SII1" t="s">
        <v>30778</v>
      </c>
      <c r="SIJ1" t="s">
        <v>30779</v>
      </c>
      <c r="SIK1" t="s">
        <v>30780</v>
      </c>
      <c r="SIL1" t="s">
        <v>30781</v>
      </c>
      <c r="SIM1" t="s">
        <v>30782</v>
      </c>
      <c r="SIN1" t="s">
        <v>30783</v>
      </c>
      <c r="SIO1" t="s">
        <v>30784</v>
      </c>
      <c r="SIP1" t="s">
        <v>30785</v>
      </c>
      <c r="SIQ1" t="s">
        <v>30786</v>
      </c>
      <c r="SIR1" t="s">
        <v>30787</v>
      </c>
      <c r="SIS1" t="s">
        <v>30788</v>
      </c>
      <c r="SIT1" t="s">
        <v>30789</v>
      </c>
      <c r="SIU1" t="s">
        <v>30790</v>
      </c>
      <c r="SIV1" t="s">
        <v>30791</v>
      </c>
      <c r="SIW1" t="s">
        <v>30792</v>
      </c>
      <c r="SIX1" t="s">
        <v>30793</v>
      </c>
      <c r="SIY1" t="s">
        <v>30794</v>
      </c>
      <c r="SIZ1" t="s">
        <v>30795</v>
      </c>
      <c r="SJA1" t="s">
        <v>30796</v>
      </c>
      <c r="SJB1" t="s">
        <v>30797</v>
      </c>
      <c r="SJC1" t="s">
        <v>30798</v>
      </c>
      <c r="SJD1" t="s">
        <v>30799</v>
      </c>
      <c r="SJE1" t="s">
        <v>30800</v>
      </c>
      <c r="SJF1" t="s">
        <v>30801</v>
      </c>
      <c r="SJG1" t="s">
        <v>30802</v>
      </c>
      <c r="SJH1" t="s">
        <v>30803</v>
      </c>
      <c r="SJI1" t="s">
        <v>30804</v>
      </c>
      <c r="SJJ1" t="s">
        <v>30805</v>
      </c>
      <c r="SJK1" t="s">
        <v>30806</v>
      </c>
      <c r="SJL1" t="s">
        <v>30807</v>
      </c>
      <c r="SJM1" t="s">
        <v>30808</v>
      </c>
      <c r="SJN1" t="s">
        <v>30809</v>
      </c>
      <c r="SJO1" t="s">
        <v>30810</v>
      </c>
      <c r="SJP1" t="s">
        <v>30811</v>
      </c>
      <c r="SJQ1" t="s">
        <v>30812</v>
      </c>
      <c r="SJR1" t="s">
        <v>30813</v>
      </c>
      <c r="SJS1" t="s">
        <v>30814</v>
      </c>
      <c r="SJT1" t="s">
        <v>30815</v>
      </c>
      <c r="SJU1" t="s">
        <v>30816</v>
      </c>
      <c r="SJV1" t="s">
        <v>30817</v>
      </c>
      <c r="SJW1" t="s">
        <v>30818</v>
      </c>
      <c r="SJX1" t="s">
        <v>30819</v>
      </c>
      <c r="SJY1" t="s">
        <v>30820</v>
      </c>
      <c r="SJZ1" t="s">
        <v>30821</v>
      </c>
      <c r="SKA1" t="s">
        <v>30822</v>
      </c>
      <c r="SKB1" t="s">
        <v>30823</v>
      </c>
      <c r="SKC1" t="s">
        <v>30824</v>
      </c>
      <c r="SKD1" t="s">
        <v>30825</v>
      </c>
      <c r="SKE1" t="s">
        <v>30826</v>
      </c>
      <c r="SKF1" t="s">
        <v>30827</v>
      </c>
      <c r="SKG1" t="s">
        <v>30828</v>
      </c>
      <c r="SKH1" t="s">
        <v>30829</v>
      </c>
      <c r="SKI1" t="s">
        <v>30830</v>
      </c>
      <c r="SKJ1" t="s">
        <v>30831</v>
      </c>
      <c r="SKK1" t="s">
        <v>30832</v>
      </c>
      <c r="SKL1" t="s">
        <v>30833</v>
      </c>
      <c r="SKM1" t="s">
        <v>30834</v>
      </c>
      <c r="SKN1" t="s">
        <v>30835</v>
      </c>
      <c r="SKO1" t="s">
        <v>30836</v>
      </c>
      <c r="SKP1" t="s">
        <v>30837</v>
      </c>
      <c r="SKQ1" t="s">
        <v>30838</v>
      </c>
      <c r="SKR1" t="s">
        <v>30839</v>
      </c>
      <c r="SKS1" t="s">
        <v>30840</v>
      </c>
      <c r="SKT1" t="s">
        <v>30841</v>
      </c>
      <c r="SKU1" t="s">
        <v>30842</v>
      </c>
      <c r="SKV1" t="s">
        <v>30843</v>
      </c>
      <c r="SKW1" t="s">
        <v>30844</v>
      </c>
      <c r="SKX1" t="s">
        <v>30845</v>
      </c>
      <c r="SKY1" t="s">
        <v>30846</v>
      </c>
      <c r="SKZ1" t="s">
        <v>30847</v>
      </c>
      <c r="SLA1" t="s">
        <v>30848</v>
      </c>
      <c r="SLB1" t="s">
        <v>30849</v>
      </c>
      <c r="SLC1" t="s">
        <v>30850</v>
      </c>
      <c r="SLD1" t="s">
        <v>30851</v>
      </c>
      <c r="SLE1" t="s">
        <v>30852</v>
      </c>
      <c r="SLF1" t="s">
        <v>30853</v>
      </c>
      <c r="SLG1" t="s">
        <v>30854</v>
      </c>
      <c r="SLH1" t="s">
        <v>30855</v>
      </c>
      <c r="SLI1" t="s">
        <v>30856</v>
      </c>
      <c r="SLJ1" t="s">
        <v>30857</v>
      </c>
      <c r="SLK1" t="s">
        <v>30858</v>
      </c>
      <c r="SLL1" t="s">
        <v>30859</v>
      </c>
      <c r="SLM1" t="s">
        <v>30860</v>
      </c>
      <c r="SLN1" t="s">
        <v>30861</v>
      </c>
      <c r="SLO1" t="s">
        <v>30862</v>
      </c>
      <c r="SLP1" t="s">
        <v>30863</v>
      </c>
      <c r="SLQ1" t="s">
        <v>30864</v>
      </c>
      <c r="SLR1" t="s">
        <v>30865</v>
      </c>
      <c r="SLS1" t="s">
        <v>30866</v>
      </c>
      <c r="SLT1" t="s">
        <v>30867</v>
      </c>
      <c r="SLU1" t="s">
        <v>30868</v>
      </c>
      <c r="SLV1" t="s">
        <v>30869</v>
      </c>
      <c r="SLW1" t="s">
        <v>30870</v>
      </c>
      <c r="SLX1" t="s">
        <v>30871</v>
      </c>
      <c r="SLY1" t="s">
        <v>30872</v>
      </c>
      <c r="SLZ1" t="s">
        <v>30873</v>
      </c>
      <c r="SMA1" t="s">
        <v>30874</v>
      </c>
      <c r="SMB1" t="s">
        <v>30875</v>
      </c>
      <c r="SMC1" t="s">
        <v>30876</v>
      </c>
      <c r="SMD1" t="s">
        <v>30877</v>
      </c>
      <c r="SME1" t="s">
        <v>30878</v>
      </c>
      <c r="SMF1" t="s">
        <v>30879</v>
      </c>
      <c r="SMG1" t="s">
        <v>30880</v>
      </c>
      <c r="SMH1" t="s">
        <v>30881</v>
      </c>
      <c r="SMI1" t="s">
        <v>30882</v>
      </c>
      <c r="SMJ1" t="s">
        <v>30883</v>
      </c>
      <c r="SMK1" t="s">
        <v>30884</v>
      </c>
      <c r="SML1" t="s">
        <v>30885</v>
      </c>
      <c r="SMM1" t="s">
        <v>30886</v>
      </c>
      <c r="SMN1" t="s">
        <v>30887</v>
      </c>
      <c r="SMO1" t="s">
        <v>30888</v>
      </c>
      <c r="SMP1" t="s">
        <v>30889</v>
      </c>
      <c r="SMQ1" t="s">
        <v>30890</v>
      </c>
      <c r="SMR1" t="s">
        <v>30891</v>
      </c>
      <c r="SMS1" t="s">
        <v>30892</v>
      </c>
      <c r="SMT1" t="s">
        <v>30893</v>
      </c>
      <c r="SMU1" t="s">
        <v>30894</v>
      </c>
      <c r="SMV1" t="s">
        <v>30895</v>
      </c>
      <c r="SMW1" t="s">
        <v>30896</v>
      </c>
      <c r="SMX1" t="s">
        <v>30897</v>
      </c>
      <c r="SMY1" t="s">
        <v>30898</v>
      </c>
      <c r="SMZ1" t="s">
        <v>30899</v>
      </c>
      <c r="SNA1" t="s">
        <v>30900</v>
      </c>
      <c r="SNB1" t="s">
        <v>30901</v>
      </c>
      <c r="SNC1" t="s">
        <v>30902</v>
      </c>
      <c r="SND1" t="s">
        <v>30903</v>
      </c>
      <c r="SNE1" t="s">
        <v>30904</v>
      </c>
      <c r="SNF1" t="s">
        <v>30905</v>
      </c>
      <c r="SNG1" t="s">
        <v>30906</v>
      </c>
      <c r="SNH1" t="s">
        <v>30907</v>
      </c>
      <c r="SNI1" t="s">
        <v>30908</v>
      </c>
      <c r="SNJ1" t="s">
        <v>30909</v>
      </c>
      <c r="SNK1" t="s">
        <v>30910</v>
      </c>
      <c r="SNL1" t="s">
        <v>30911</v>
      </c>
      <c r="SNM1" t="s">
        <v>30912</v>
      </c>
      <c r="SNN1" t="s">
        <v>30913</v>
      </c>
      <c r="SNO1" t="s">
        <v>30914</v>
      </c>
      <c r="SNP1" t="s">
        <v>30915</v>
      </c>
      <c r="SNQ1" t="s">
        <v>30916</v>
      </c>
      <c r="SNR1" t="s">
        <v>30917</v>
      </c>
      <c r="SNS1" t="s">
        <v>30918</v>
      </c>
      <c r="SNT1" t="s">
        <v>30919</v>
      </c>
      <c r="SNU1" t="s">
        <v>30920</v>
      </c>
      <c r="SNV1" t="s">
        <v>30921</v>
      </c>
      <c r="SNW1" t="s">
        <v>30922</v>
      </c>
      <c r="SNX1" t="s">
        <v>30923</v>
      </c>
      <c r="SNY1" t="s">
        <v>30924</v>
      </c>
      <c r="SNZ1" t="s">
        <v>30925</v>
      </c>
      <c r="SOA1" t="s">
        <v>30926</v>
      </c>
      <c r="SOB1" t="s">
        <v>30927</v>
      </c>
      <c r="SOC1" t="s">
        <v>30928</v>
      </c>
      <c r="SOD1" t="s">
        <v>30929</v>
      </c>
      <c r="SOE1" t="s">
        <v>30930</v>
      </c>
      <c r="SOF1" t="s">
        <v>30931</v>
      </c>
      <c r="SOG1" t="s">
        <v>30932</v>
      </c>
      <c r="SOH1" t="s">
        <v>30933</v>
      </c>
      <c r="SOI1" t="s">
        <v>30934</v>
      </c>
      <c r="SOJ1" t="s">
        <v>30935</v>
      </c>
      <c r="SOK1" t="s">
        <v>30936</v>
      </c>
      <c r="SOL1" t="s">
        <v>30937</v>
      </c>
      <c r="SOM1" t="s">
        <v>30938</v>
      </c>
      <c r="SON1" t="s">
        <v>30939</v>
      </c>
      <c r="SOO1" t="s">
        <v>30940</v>
      </c>
      <c r="SOP1" t="s">
        <v>30941</v>
      </c>
      <c r="SOQ1" t="s">
        <v>30942</v>
      </c>
      <c r="SOR1" t="s">
        <v>30943</v>
      </c>
      <c r="SOS1" t="s">
        <v>30944</v>
      </c>
      <c r="SOT1" t="s">
        <v>30945</v>
      </c>
      <c r="SOU1" t="s">
        <v>30946</v>
      </c>
      <c r="SOV1" t="s">
        <v>30947</v>
      </c>
      <c r="SOW1" t="s">
        <v>30948</v>
      </c>
      <c r="SOX1" t="s">
        <v>30949</v>
      </c>
      <c r="SOY1" t="s">
        <v>30950</v>
      </c>
      <c r="SOZ1" t="s">
        <v>30951</v>
      </c>
      <c r="SPA1" t="s">
        <v>30952</v>
      </c>
      <c r="SPB1" t="s">
        <v>30953</v>
      </c>
      <c r="SPC1" t="s">
        <v>30954</v>
      </c>
      <c r="SPD1" t="s">
        <v>30955</v>
      </c>
      <c r="SPE1" t="s">
        <v>30956</v>
      </c>
      <c r="SPF1" t="s">
        <v>30957</v>
      </c>
      <c r="SPG1" t="s">
        <v>30958</v>
      </c>
      <c r="SPH1" t="s">
        <v>30959</v>
      </c>
      <c r="SPI1" t="s">
        <v>30960</v>
      </c>
      <c r="SPJ1" t="s">
        <v>30961</v>
      </c>
      <c r="SPK1" t="s">
        <v>30962</v>
      </c>
      <c r="SPL1" t="s">
        <v>30963</v>
      </c>
      <c r="SPM1" t="s">
        <v>30964</v>
      </c>
      <c r="SPN1" t="s">
        <v>30965</v>
      </c>
      <c r="SPO1" t="s">
        <v>30966</v>
      </c>
      <c r="SPP1" t="s">
        <v>30967</v>
      </c>
      <c r="SPQ1" t="s">
        <v>30968</v>
      </c>
      <c r="SPR1" t="s">
        <v>30969</v>
      </c>
      <c r="SPS1" t="s">
        <v>30970</v>
      </c>
      <c r="SPT1" t="s">
        <v>30971</v>
      </c>
      <c r="SPU1" t="s">
        <v>30972</v>
      </c>
      <c r="SPV1" t="s">
        <v>30973</v>
      </c>
      <c r="SPW1" t="s">
        <v>30974</v>
      </c>
      <c r="SPX1" t="s">
        <v>30975</v>
      </c>
      <c r="SPY1" t="s">
        <v>30976</v>
      </c>
      <c r="SPZ1" t="s">
        <v>30977</v>
      </c>
      <c r="SQA1" t="s">
        <v>30978</v>
      </c>
      <c r="SQB1" t="s">
        <v>30979</v>
      </c>
      <c r="SQC1" t="s">
        <v>30980</v>
      </c>
      <c r="SQD1" t="s">
        <v>30981</v>
      </c>
      <c r="SQE1" t="s">
        <v>30982</v>
      </c>
      <c r="SQF1" t="s">
        <v>30983</v>
      </c>
      <c r="SQG1" t="s">
        <v>30984</v>
      </c>
      <c r="SQH1" t="s">
        <v>30985</v>
      </c>
      <c r="SQI1" t="s">
        <v>30986</v>
      </c>
      <c r="SQJ1" t="s">
        <v>30987</v>
      </c>
      <c r="SQK1" t="s">
        <v>30988</v>
      </c>
      <c r="SQL1" t="s">
        <v>30989</v>
      </c>
      <c r="SQM1" t="s">
        <v>30990</v>
      </c>
      <c r="SQN1" t="s">
        <v>30991</v>
      </c>
      <c r="SQO1" t="s">
        <v>30992</v>
      </c>
      <c r="SQP1" t="s">
        <v>30993</v>
      </c>
      <c r="SQQ1" t="s">
        <v>30994</v>
      </c>
      <c r="SQR1" t="s">
        <v>30995</v>
      </c>
      <c r="SQS1" t="s">
        <v>30996</v>
      </c>
      <c r="SQT1" t="s">
        <v>30997</v>
      </c>
      <c r="SQU1" t="s">
        <v>30998</v>
      </c>
      <c r="SQV1" t="s">
        <v>30999</v>
      </c>
      <c r="SQW1" t="s">
        <v>31000</v>
      </c>
      <c r="SQX1" t="s">
        <v>31001</v>
      </c>
      <c r="SQY1" t="s">
        <v>31002</v>
      </c>
      <c r="SQZ1" t="s">
        <v>31003</v>
      </c>
      <c r="SRA1" t="s">
        <v>31004</v>
      </c>
      <c r="SRB1" t="s">
        <v>31005</v>
      </c>
      <c r="SRC1" t="s">
        <v>31006</v>
      </c>
      <c r="SRD1" t="s">
        <v>31007</v>
      </c>
      <c r="SRE1" t="s">
        <v>31008</v>
      </c>
      <c r="SRF1" t="s">
        <v>31009</v>
      </c>
      <c r="SRG1" t="s">
        <v>31010</v>
      </c>
      <c r="SRH1" t="s">
        <v>31011</v>
      </c>
      <c r="SRI1" t="s">
        <v>31012</v>
      </c>
      <c r="SRJ1" t="s">
        <v>31013</v>
      </c>
      <c r="SRK1" t="s">
        <v>31014</v>
      </c>
      <c r="SRL1" t="s">
        <v>31015</v>
      </c>
      <c r="SRM1" t="s">
        <v>31016</v>
      </c>
      <c r="SRN1" t="s">
        <v>31017</v>
      </c>
      <c r="SRO1" t="s">
        <v>31018</v>
      </c>
      <c r="SRP1" t="s">
        <v>31019</v>
      </c>
      <c r="SRQ1" t="s">
        <v>31020</v>
      </c>
      <c r="SRR1" t="s">
        <v>31021</v>
      </c>
      <c r="SRS1" t="s">
        <v>31022</v>
      </c>
      <c r="SRT1" t="s">
        <v>31023</v>
      </c>
      <c r="SRU1" t="s">
        <v>31024</v>
      </c>
      <c r="SRV1" t="s">
        <v>31025</v>
      </c>
      <c r="SRW1" t="s">
        <v>31026</v>
      </c>
      <c r="SRX1" t="s">
        <v>31027</v>
      </c>
      <c r="SRY1" t="s">
        <v>31028</v>
      </c>
      <c r="SRZ1" t="s">
        <v>31029</v>
      </c>
      <c r="SSA1" t="s">
        <v>31030</v>
      </c>
      <c r="SSB1" t="s">
        <v>31031</v>
      </c>
      <c r="SSC1" t="s">
        <v>31032</v>
      </c>
      <c r="SSD1" t="s">
        <v>31033</v>
      </c>
      <c r="SSE1" t="s">
        <v>31034</v>
      </c>
      <c r="SSF1" t="s">
        <v>31035</v>
      </c>
      <c r="SSG1" t="s">
        <v>31036</v>
      </c>
      <c r="SSH1" t="s">
        <v>31037</v>
      </c>
      <c r="SSI1" t="s">
        <v>31038</v>
      </c>
      <c r="SSJ1" t="s">
        <v>31039</v>
      </c>
      <c r="SSK1" t="s">
        <v>31040</v>
      </c>
      <c r="SSL1" t="s">
        <v>31041</v>
      </c>
      <c r="SSM1" t="s">
        <v>31042</v>
      </c>
      <c r="SSN1" t="s">
        <v>31043</v>
      </c>
      <c r="SSO1" t="s">
        <v>31044</v>
      </c>
      <c r="SSP1" t="s">
        <v>31045</v>
      </c>
      <c r="SSQ1" t="s">
        <v>31046</v>
      </c>
      <c r="SSR1" t="s">
        <v>31047</v>
      </c>
      <c r="SSS1" t="s">
        <v>31048</v>
      </c>
      <c r="SST1" t="s">
        <v>31049</v>
      </c>
      <c r="SSU1" t="s">
        <v>31050</v>
      </c>
      <c r="SSV1" t="s">
        <v>31051</v>
      </c>
      <c r="SSW1" t="s">
        <v>31052</v>
      </c>
      <c r="SSX1" t="s">
        <v>31053</v>
      </c>
      <c r="SSY1" t="s">
        <v>31054</v>
      </c>
      <c r="SSZ1" t="s">
        <v>31055</v>
      </c>
      <c r="STA1" t="s">
        <v>31056</v>
      </c>
      <c r="STB1" t="s">
        <v>31057</v>
      </c>
      <c r="STC1" t="s">
        <v>31058</v>
      </c>
      <c r="STD1" t="s">
        <v>31059</v>
      </c>
      <c r="STE1" t="s">
        <v>31060</v>
      </c>
      <c r="STF1" t="s">
        <v>31061</v>
      </c>
      <c r="STG1" t="s">
        <v>31062</v>
      </c>
      <c r="STH1" t="s">
        <v>31063</v>
      </c>
      <c r="STI1" t="s">
        <v>31064</v>
      </c>
      <c r="STJ1" t="s">
        <v>31065</v>
      </c>
      <c r="STK1" t="s">
        <v>31066</v>
      </c>
      <c r="STL1" t="s">
        <v>31067</v>
      </c>
      <c r="STM1" t="s">
        <v>31068</v>
      </c>
      <c r="STN1" t="s">
        <v>31069</v>
      </c>
      <c r="STO1" t="s">
        <v>31070</v>
      </c>
      <c r="STP1" t="s">
        <v>31071</v>
      </c>
      <c r="STQ1" t="s">
        <v>31072</v>
      </c>
      <c r="STR1" t="s">
        <v>31073</v>
      </c>
      <c r="STS1" t="s">
        <v>31074</v>
      </c>
      <c r="STT1" t="s">
        <v>31075</v>
      </c>
      <c r="STU1" t="s">
        <v>31076</v>
      </c>
      <c r="STV1" t="s">
        <v>31077</v>
      </c>
      <c r="STW1" t="s">
        <v>31078</v>
      </c>
      <c r="STX1" t="s">
        <v>31079</v>
      </c>
      <c r="STY1" t="s">
        <v>31080</v>
      </c>
      <c r="STZ1" t="s">
        <v>31081</v>
      </c>
      <c r="SUA1" t="s">
        <v>31082</v>
      </c>
      <c r="SUB1" t="s">
        <v>31083</v>
      </c>
      <c r="SUC1" t="s">
        <v>31084</v>
      </c>
      <c r="SUD1" t="s">
        <v>31085</v>
      </c>
      <c r="SUE1" t="s">
        <v>31086</v>
      </c>
      <c r="SUF1" t="s">
        <v>31087</v>
      </c>
      <c r="SUG1" t="s">
        <v>31088</v>
      </c>
      <c r="SUH1" t="s">
        <v>31089</v>
      </c>
      <c r="SUI1" t="s">
        <v>31090</v>
      </c>
      <c r="SUJ1" t="s">
        <v>31091</v>
      </c>
      <c r="SUK1" t="s">
        <v>31092</v>
      </c>
      <c r="SUL1" t="s">
        <v>31093</v>
      </c>
      <c r="SUM1" t="s">
        <v>31094</v>
      </c>
      <c r="SUN1" t="s">
        <v>31095</v>
      </c>
      <c r="SUO1" t="s">
        <v>31096</v>
      </c>
      <c r="SUP1" t="s">
        <v>31097</v>
      </c>
      <c r="SUQ1" t="s">
        <v>31098</v>
      </c>
      <c r="SUR1" t="s">
        <v>31099</v>
      </c>
      <c r="SUS1" t="s">
        <v>31100</v>
      </c>
      <c r="SUT1" t="s">
        <v>31101</v>
      </c>
      <c r="SUU1" t="s">
        <v>31102</v>
      </c>
      <c r="SUV1" t="s">
        <v>31103</v>
      </c>
      <c r="SUW1" t="s">
        <v>31104</v>
      </c>
      <c r="SUX1" t="s">
        <v>31105</v>
      </c>
      <c r="SUY1" t="s">
        <v>31106</v>
      </c>
      <c r="SUZ1" t="s">
        <v>31107</v>
      </c>
      <c r="SVA1" t="s">
        <v>31108</v>
      </c>
      <c r="SVB1" t="s">
        <v>31109</v>
      </c>
      <c r="SVC1" t="s">
        <v>31110</v>
      </c>
      <c r="SVD1" t="s">
        <v>31111</v>
      </c>
      <c r="SVE1" t="s">
        <v>31112</v>
      </c>
      <c r="SVF1" t="s">
        <v>31113</v>
      </c>
      <c r="SVG1" t="s">
        <v>31114</v>
      </c>
      <c r="SVH1" t="s">
        <v>31115</v>
      </c>
      <c r="SVI1" t="s">
        <v>31116</v>
      </c>
      <c r="SVJ1" t="s">
        <v>31117</v>
      </c>
      <c r="SVK1" t="s">
        <v>31118</v>
      </c>
      <c r="SVL1" t="s">
        <v>31119</v>
      </c>
      <c r="SVM1" t="s">
        <v>31120</v>
      </c>
      <c r="SVN1" t="s">
        <v>31121</v>
      </c>
      <c r="SVO1" t="s">
        <v>31122</v>
      </c>
      <c r="SVP1" t="s">
        <v>31123</v>
      </c>
      <c r="SVQ1" t="s">
        <v>31124</v>
      </c>
      <c r="SVR1" t="s">
        <v>31125</v>
      </c>
      <c r="SVS1" t="s">
        <v>31126</v>
      </c>
      <c r="SVT1" t="s">
        <v>31127</v>
      </c>
      <c r="SVU1" t="s">
        <v>31128</v>
      </c>
      <c r="SVV1" t="s">
        <v>31129</v>
      </c>
      <c r="SVW1" t="s">
        <v>31130</v>
      </c>
      <c r="SVX1" t="s">
        <v>31131</v>
      </c>
      <c r="SVY1" t="s">
        <v>31132</v>
      </c>
      <c r="SVZ1" t="s">
        <v>31133</v>
      </c>
      <c r="SWA1" t="s">
        <v>31134</v>
      </c>
      <c r="SWB1" t="s">
        <v>31135</v>
      </c>
      <c r="SWC1" t="s">
        <v>31136</v>
      </c>
      <c r="SWD1" t="s">
        <v>31137</v>
      </c>
      <c r="SWE1" t="s">
        <v>31138</v>
      </c>
      <c r="SWF1" t="s">
        <v>31139</v>
      </c>
      <c r="SWG1" t="s">
        <v>31140</v>
      </c>
      <c r="SWH1" t="s">
        <v>31141</v>
      </c>
      <c r="SWI1" t="s">
        <v>31142</v>
      </c>
      <c r="SWJ1" t="s">
        <v>31143</v>
      </c>
      <c r="SWK1" t="s">
        <v>31144</v>
      </c>
      <c r="SWL1" t="s">
        <v>31145</v>
      </c>
      <c r="SWM1" t="s">
        <v>31146</v>
      </c>
      <c r="SWN1" t="s">
        <v>31147</v>
      </c>
      <c r="SWO1" t="s">
        <v>31148</v>
      </c>
      <c r="SWP1" t="s">
        <v>31149</v>
      </c>
      <c r="SWQ1" t="s">
        <v>31150</v>
      </c>
      <c r="SWR1" t="s">
        <v>31151</v>
      </c>
      <c r="SWS1" t="s">
        <v>31152</v>
      </c>
      <c r="SWT1" t="s">
        <v>31153</v>
      </c>
      <c r="SWU1" t="s">
        <v>31154</v>
      </c>
      <c r="SWV1" t="s">
        <v>31155</v>
      </c>
      <c r="SWW1" t="s">
        <v>31156</v>
      </c>
      <c r="SWX1" t="s">
        <v>31157</v>
      </c>
      <c r="SWY1" t="s">
        <v>31158</v>
      </c>
      <c r="SWZ1" t="s">
        <v>31159</v>
      </c>
      <c r="SXA1" t="s">
        <v>31160</v>
      </c>
      <c r="SXB1" t="s">
        <v>31161</v>
      </c>
      <c r="SXC1" t="s">
        <v>31162</v>
      </c>
      <c r="SXD1" t="s">
        <v>31163</v>
      </c>
      <c r="SXE1" t="s">
        <v>31164</v>
      </c>
      <c r="SXF1" t="s">
        <v>31165</v>
      </c>
      <c r="SXG1" t="s">
        <v>31166</v>
      </c>
      <c r="SXH1" t="s">
        <v>31167</v>
      </c>
      <c r="SXI1" t="s">
        <v>31168</v>
      </c>
      <c r="SXJ1" t="s">
        <v>31169</v>
      </c>
      <c r="SXK1" t="s">
        <v>31170</v>
      </c>
      <c r="SXL1" t="s">
        <v>31171</v>
      </c>
      <c r="SXM1" t="s">
        <v>31172</v>
      </c>
      <c r="SXN1" t="s">
        <v>31173</v>
      </c>
      <c r="SXO1" t="s">
        <v>31174</v>
      </c>
      <c r="SXP1" t="s">
        <v>31175</v>
      </c>
      <c r="SXQ1" t="s">
        <v>31176</v>
      </c>
      <c r="SXR1" t="s">
        <v>31177</v>
      </c>
      <c r="SXS1" t="s">
        <v>31178</v>
      </c>
      <c r="SXT1" t="s">
        <v>31179</v>
      </c>
      <c r="SXU1" t="s">
        <v>31180</v>
      </c>
      <c r="SXV1" t="s">
        <v>31181</v>
      </c>
      <c r="SXW1" t="s">
        <v>31182</v>
      </c>
      <c r="SXX1" t="s">
        <v>31183</v>
      </c>
      <c r="SXY1" t="s">
        <v>31184</v>
      </c>
      <c r="SXZ1" t="s">
        <v>31185</v>
      </c>
      <c r="SYA1" t="s">
        <v>31186</v>
      </c>
      <c r="SYB1" t="s">
        <v>31187</v>
      </c>
      <c r="SYC1" t="s">
        <v>31188</v>
      </c>
      <c r="SYD1" t="s">
        <v>31189</v>
      </c>
      <c r="SYE1" t="s">
        <v>31190</v>
      </c>
      <c r="SYF1" t="s">
        <v>31191</v>
      </c>
      <c r="SYG1" t="s">
        <v>31192</v>
      </c>
      <c r="SYH1" t="s">
        <v>31193</v>
      </c>
      <c r="SYI1" t="s">
        <v>31194</v>
      </c>
      <c r="SYJ1" t="s">
        <v>31195</v>
      </c>
      <c r="SYK1" t="s">
        <v>31196</v>
      </c>
      <c r="SYL1" t="s">
        <v>31197</v>
      </c>
      <c r="SYM1" t="s">
        <v>31198</v>
      </c>
      <c r="SYN1" t="s">
        <v>31199</v>
      </c>
      <c r="SYO1" t="s">
        <v>31200</v>
      </c>
      <c r="SYP1" t="s">
        <v>31201</v>
      </c>
      <c r="SYQ1" t="s">
        <v>31202</v>
      </c>
      <c r="SYR1" t="s">
        <v>31203</v>
      </c>
      <c r="SYS1" t="s">
        <v>31204</v>
      </c>
      <c r="SYT1" t="s">
        <v>31205</v>
      </c>
      <c r="SYU1" t="s">
        <v>31206</v>
      </c>
      <c r="SYV1" t="s">
        <v>31207</v>
      </c>
      <c r="SYW1" t="s">
        <v>31208</v>
      </c>
      <c r="SYX1" t="s">
        <v>31209</v>
      </c>
      <c r="SYY1" t="s">
        <v>31210</v>
      </c>
      <c r="SYZ1" t="s">
        <v>31211</v>
      </c>
      <c r="SZA1" t="s">
        <v>31212</v>
      </c>
      <c r="SZB1" t="s">
        <v>31213</v>
      </c>
      <c r="SZC1" t="s">
        <v>31214</v>
      </c>
      <c r="SZD1" t="s">
        <v>31215</v>
      </c>
      <c r="SZE1" t="s">
        <v>31216</v>
      </c>
      <c r="SZF1" t="s">
        <v>31217</v>
      </c>
      <c r="SZG1" t="s">
        <v>31218</v>
      </c>
      <c r="SZH1" t="s">
        <v>31219</v>
      </c>
      <c r="SZI1" t="s">
        <v>31220</v>
      </c>
      <c r="SZJ1" t="s">
        <v>31221</v>
      </c>
      <c r="SZK1" t="s">
        <v>31222</v>
      </c>
      <c r="SZL1" t="s">
        <v>31223</v>
      </c>
      <c r="SZM1" t="s">
        <v>31224</v>
      </c>
      <c r="SZN1" t="s">
        <v>31225</v>
      </c>
      <c r="SZO1" t="s">
        <v>31226</v>
      </c>
      <c r="SZP1" t="s">
        <v>31227</v>
      </c>
      <c r="SZQ1" t="s">
        <v>31228</v>
      </c>
      <c r="SZR1" t="s">
        <v>31229</v>
      </c>
      <c r="SZS1" t="s">
        <v>31230</v>
      </c>
      <c r="SZT1" t="s">
        <v>31231</v>
      </c>
      <c r="SZU1" t="s">
        <v>31232</v>
      </c>
      <c r="SZV1" t="s">
        <v>31233</v>
      </c>
      <c r="SZW1" t="s">
        <v>31234</v>
      </c>
      <c r="SZX1" t="s">
        <v>31235</v>
      </c>
      <c r="SZY1" t="s">
        <v>31236</v>
      </c>
      <c r="SZZ1" t="s">
        <v>31237</v>
      </c>
      <c r="TAA1" t="s">
        <v>31238</v>
      </c>
      <c r="TAB1" t="s">
        <v>31239</v>
      </c>
      <c r="TAC1" t="s">
        <v>31240</v>
      </c>
      <c r="TAD1" t="s">
        <v>31241</v>
      </c>
      <c r="TAE1" t="s">
        <v>31242</v>
      </c>
      <c r="TAF1" t="s">
        <v>31243</v>
      </c>
      <c r="TAG1" t="s">
        <v>31244</v>
      </c>
      <c r="TAH1" t="s">
        <v>31245</v>
      </c>
      <c r="TAI1" t="s">
        <v>31246</v>
      </c>
      <c r="TAJ1" t="s">
        <v>31247</v>
      </c>
      <c r="TAK1" t="s">
        <v>31248</v>
      </c>
      <c r="TAL1" t="s">
        <v>31249</v>
      </c>
      <c r="TAM1" t="s">
        <v>31250</v>
      </c>
      <c r="TAN1" t="s">
        <v>31251</v>
      </c>
      <c r="TAO1" t="s">
        <v>31252</v>
      </c>
      <c r="TAP1" t="s">
        <v>31253</v>
      </c>
      <c r="TAQ1" t="s">
        <v>31254</v>
      </c>
      <c r="TAR1" t="s">
        <v>31255</v>
      </c>
      <c r="TAS1" t="s">
        <v>31256</v>
      </c>
      <c r="TAT1" t="s">
        <v>31257</v>
      </c>
      <c r="TAU1" t="s">
        <v>31258</v>
      </c>
      <c r="TAV1" t="s">
        <v>31259</v>
      </c>
      <c r="TAW1" t="s">
        <v>31260</v>
      </c>
      <c r="TAX1" t="s">
        <v>31261</v>
      </c>
      <c r="TAY1" t="s">
        <v>31262</v>
      </c>
      <c r="TAZ1" t="s">
        <v>31263</v>
      </c>
      <c r="TBA1" t="s">
        <v>31264</v>
      </c>
      <c r="TBB1" t="s">
        <v>31265</v>
      </c>
      <c r="TBC1" t="s">
        <v>31266</v>
      </c>
      <c r="TBD1" t="s">
        <v>31267</v>
      </c>
      <c r="TBE1" t="s">
        <v>31268</v>
      </c>
      <c r="TBF1" t="s">
        <v>31269</v>
      </c>
      <c r="TBG1" t="s">
        <v>31270</v>
      </c>
      <c r="TBH1" t="s">
        <v>31271</v>
      </c>
      <c r="TBI1" t="s">
        <v>31272</v>
      </c>
      <c r="TBJ1" t="s">
        <v>31273</v>
      </c>
      <c r="TBK1" t="s">
        <v>31274</v>
      </c>
      <c r="TBL1" t="s">
        <v>31275</v>
      </c>
      <c r="TBM1" t="s">
        <v>31276</v>
      </c>
      <c r="TBN1" t="s">
        <v>31277</v>
      </c>
      <c r="TBO1" t="s">
        <v>31278</v>
      </c>
      <c r="TBP1" t="s">
        <v>31279</v>
      </c>
      <c r="TBQ1" t="s">
        <v>31280</v>
      </c>
      <c r="TBR1" t="s">
        <v>31281</v>
      </c>
      <c r="TBS1" t="s">
        <v>31282</v>
      </c>
      <c r="TBT1" t="s">
        <v>31283</v>
      </c>
      <c r="TBU1" t="s">
        <v>31284</v>
      </c>
      <c r="TBV1" t="s">
        <v>31285</v>
      </c>
      <c r="TBW1" t="s">
        <v>31286</v>
      </c>
      <c r="TBX1" t="s">
        <v>31287</v>
      </c>
      <c r="TBY1" t="s">
        <v>31288</v>
      </c>
      <c r="TBZ1" t="s">
        <v>31289</v>
      </c>
      <c r="TCA1" t="s">
        <v>31290</v>
      </c>
      <c r="TCB1" t="s">
        <v>31291</v>
      </c>
      <c r="TCC1" t="s">
        <v>31292</v>
      </c>
      <c r="TCD1" t="s">
        <v>31293</v>
      </c>
      <c r="TCE1" t="s">
        <v>31294</v>
      </c>
      <c r="TCF1" t="s">
        <v>31295</v>
      </c>
      <c r="TCG1" t="s">
        <v>31296</v>
      </c>
      <c r="TCH1" t="s">
        <v>31297</v>
      </c>
      <c r="TCI1" t="s">
        <v>31298</v>
      </c>
      <c r="TCJ1" t="s">
        <v>31299</v>
      </c>
      <c r="TCK1" t="s">
        <v>31300</v>
      </c>
      <c r="TCL1" t="s">
        <v>31301</v>
      </c>
      <c r="TCM1" t="s">
        <v>31302</v>
      </c>
      <c r="TCN1" t="s">
        <v>31303</v>
      </c>
      <c r="TCO1" t="s">
        <v>31304</v>
      </c>
      <c r="TCP1" t="s">
        <v>31305</v>
      </c>
      <c r="TCQ1" t="s">
        <v>31306</v>
      </c>
      <c r="TCR1" t="s">
        <v>31307</v>
      </c>
      <c r="TCS1" t="s">
        <v>31308</v>
      </c>
      <c r="TCT1" t="s">
        <v>31309</v>
      </c>
      <c r="TCU1" t="s">
        <v>31310</v>
      </c>
      <c r="TCV1" t="s">
        <v>31311</v>
      </c>
      <c r="TCW1" t="s">
        <v>31312</v>
      </c>
      <c r="TCX1" t="s">
        <v>31313</v>
      </c>
      <c r="TCY1" t="s">
        <v>31314</v>
      </c>
      <c r="TCZ1" t="s">
        <v>31315</v>
      </c>
      <c r="TDA1" t="s">
        <v>31316</v>
      </c>
      <c r="TDB1" t="s">
        <v>31317</v>
      </c>
      <c r="TDC1" t="s">
        <v>31318</v>
      </c>
      <c r="TDD1" t="s">
        <v>31319</v>
      </c>
      <c r="TDE1" t="s">
        <v>31320</v>
      </c>
      <c r="TDF1" t="s">
        <v>31321</v>
      </c>
      <c r="TDG1" t="s">
        <v>31322</v>
      </c>
      <c r="TDH1" t="s">
        <v>31323</v>
      </c>
      <c r="TDI1" t="s">
        <v>31324</v>
      </c>
      <c r="TDJ1" t="s">
        <v>31325</v>
      </c>
      <c r="TDK1" t="s">
        <v>31326</v>
      </c>
      <c r="TDL1" t="s">
        <v>31327</v>
      </c>
      <c r="TDM1" t="s">
        <v>31328</v>
      </c>
      <c r="TDN1" t="s">
        <v>31329</v>
      </c>
      <c r="TDO1" t="s">
        <v>31330</v>
      </c>
      <c r="TDP1" t="s">
        <v>31331</v>
      </c>
      <c r="TDQ1" t="s">
        <v>31332</v>
      </c>
      <c r="TDR1" t="s">
        <v>31333</v>
      </c>
      <c r="TDS1" t="s">
        <v>31334</v>
      </c>
      <c r="TDT1" t="s">
        <v>31335</v>
      </c>
      <c r="TDU1" t="s">
        <v>31336</v>
      </c>
      <c r="TDV1" t="s">
        <v>31337</v>
      </c>
      <c r="TDW1" t="s">
        <v>31338</v>
      </c>
      <c r="TDX1" t="s">
        <v>31339</v>
      </c>
      <c r="TDY1" t="s">
        <v>31340</v>
      </c>
      <c r="TDZ1" t="s">
        <v>31341</v>
      </c>
      <c r="TEA1" t="s">
        <v>31342</v>
      </c>
      <c r="TEB1" t="s">
        <v>31343</v>
      </c>
      <c r="TEC1" t="s">
        <v>31344</v>
      </c>
      <c r="TED1" t="s">
        <v>31345</v>
      </c>
      <c r="TEE1" t="s">
        <v>31346</v>
      </c>
      <c r="TEF1" t="s">
        <v>31347</v>
      </c>
      <c r="TEG1" t="s">
        <v>31348</v>
      </c>
      <c r="TEH1" t="s">
        <v>31349</v>
      </c>
      <c r="TEI1" t="s">
        <v>31350</v>
      </c>
      <c r="TEJ1" t="s">
        <v>31351</v>
      </c>
      <c r="TEK1" t="s">
        <v>31352</v>
      </c>
      <c r="TEL1" t="s">
        <v>31353</v>
      </c>
      <c r="TEM1" t="s">
        <v>31354</v>
      </c>
      <c r="TEN1" t="s">
        <v>31355</v>
      </c>
      <c r="TEO1" t="s">
        <v>31356</v>
      </c>
      <c r="TEP1" t="s">
        <v>31357</v>
      </c>
      <c r="TEQ1" t="s">
        <v>31358</v>
      </c>
      <c r="TER1" t="s">
        <v>31359</v>
      </c>
      <c r="TES1" t="s">
        <v>31360</v>
      </c>
      <c r="TET1" t="s">
        <v>31361</v>
      </c>
      <c r="TEU1" t="s">
        <v>31362</v>
      </c>
      <c r="TEV1" t="s">
        <v>31363</v>
      </c>
      <c r="TEW1" t="s">
        <v>31364</v>
      </c>
      <c r="TEX1" t="s">
        <v>31365</v>
      </c>
      <c r="TEY1" t="s">
        <v>31366</v>
      </c>
      <c r="TEZ1" t="s">
        <v>31367</v>
      </c>
      <c r="TFA1" t="s">
        <v>31368</v>
      </c>
      <c r="TFB1" t="s">
        <v>31369</v>
      </c>
      <c r="TFC1" t="s">
        <v>31370</v>
      </c>
      <c r="TFD1" t="s">
        <v>31371</v>
      </c>
      <c r="TFE1" t="s">
        <v>31372</v>
      </c>
      <c r="TFF1" t="s">
        <v>31373</v>
      </c>
      <c r="TFG1" t="s">
        <v>31374</v>
      </c>
      <c r="TFH1" t="s">
        <v>31375</v>
      </c>
      <c r="TFI1" t="s">
        <v>31376</v>
      </c>
      <c r="TFJ1" t="s">
        <v>31377</v>
      </c>
      <c r="TFK1" t="s">
        <v>31378</v>
      </c>
      <c r="TFL1" t="s">
        <v>31379</v>
      </c>
      <c r="TFM1" t="s">
        <v>31380</v>
      </c>
      <c r="TFN1" t="s">
        <v>31381</v>
      </c>
      <c r="TFO1" t="s">
        <v>31382</v>
      </c>
      <c r="TFP1" t="s">
        <v>31383</v>
      </c>
      <c r="TFQ1" t="s">
        <v>31384</v>
      </c>
      <c r="TFR1" t="s">
        <v>31385</v>
      </c>
      <c r="TFS1" t="s">
        <v>31386</v>
      </c>
      <c r="TFT1" t="s">
        <v>31387</v>
      </c>
      <c r="TFU1" t="s">
        <v>31388</v>
      </c>
      <c r="TFV1" t="s">
        <v>31389</v>
      </c>
      <c r="TFW1" t="s">
        <v>31390</v>
      </c>
      <c r="TFX1" t="s">
        <v>31391</v>
      </c>
      <c r="TFY1" t="s">
        <v>31392</v>
      </c>
      <c r="TFZ1" t="s">
        <v>31393</v>
      </c>
      <c r="TGA1" t="s">
        <v>31394</v>
      </c>
      <c r="TGB1" t="s">
        <v>31395</v>
      </c>
      <c r="TGC1" t="s">
        <v>31396</v>
      </c>
      <c r="TGD1" t="s">
        <v>31397</v>
      </c>
      <c r="TGE1" t="s">
        <v>31398</v>
      </c>
      <c r="TGF1" t="s">
        <v>31399</v>
      </c>
      <c r="TGG1" t="s">
        <v>31400</v>
      </c>
      <c r="TGH1" t="s">
        <v>31401</v>
      </c>
      <c r="TGI1" t="s">
        <v>31402</v>
      </c>
      <c r="TGJ1" t="s">
        <v>31403</v>
      </c>
      <c r="TGK1" t="s">
        <v>31404</v>
      </c>
      <c r="TGL1" t="s">
        <v>31405</v>
      </c>
      <c r="TGM1" t="s">
        <v>31406</v>
      </c>
      <c r="TGN1" t="s">
        <v>31407</v>
      </c>
      <c r="TGO1" t="s">
        <v>31408</v>
      </c>
      <c r="TGP1" t="s">
        <v>31409</v>
      </c>
      <c r="TGQ1" t="s">
        <v>31410</v>
      </c>
      <c r="TGR1" t="s">
        <v>31411</v>
      </c>
      <c r="TGS1" t="s">
        <v>31412</v>
      </c>
      <c r="TGT1" t="s">
        <v>31413</v>
      </c>
      <c r="TGU1" t="s">
        <v>31414</v>
      </c>
      <c r="TGV1" t="s">
        <v>31415</v>
      </c>
      <c r="TGW1" t="s">
        <v>31416</v>
      </c>
      <c r="TGX1" t="s">
        <v>31417</v>
      </c>
      <c r="TGY1" t="s">
        <v>31418</v>
      </c>
      <c r="TGZ1" t="s">
        <v>31419</v>
      </c>
      <c r="THA1" t="s">
        <v>31420</v>
      </c>
      <c r="THB1" t="s">
        <v>31421</v>
      </c>
      <c r="THC1" t="s">
        <v>31422</v>
      </c>
      <c r="THD1" t="s">
        <v>31423</v>
      </c>
      <c r="THE1" t="s">
        <v>31424</v>
      </c>
      <c r="THF1" t="s">
        <v>31425</v>
      </c>
      <c r="THG1" t="s">
        <v>31426</v>
      </c>
      <c r="THH1" t="s">
        <v>31427</v>
      </c>
      <c r="THI1" t="s">
        <v>31428</v>
      </c>
      <c r="THJ1" t="s">
        <v>31429</v>
      </c>
      <c r="THK1" t="s">
        <v>31430</v>
      </c>
      <c r="THL1" t="s">
        <v>31431</v>
      </c>
      <c r="THM1" t="s">
        <v>31432</v>
      </c>
      <c r="THN1" t="s">
        <v>31433</v>
      </c>
      <c r="THO1" t="s">
        <v>31434</v>
      </c>
      <c r="THP1" t="s">
        <v>31435</v>
      </c>
      <c r="THQ1" t="s">
        <v>31436</v>
      </c>
      <c r="THR1" t="s">
        <v>31437</v>
      </c>
      <c r="THS1" t="s">
        <v>31438</v>
      </c>
      <c r="THT1" t="s">
        <v>31439</v>
      </c>
      <c r="THU1" t="s">
        <v>31440</v>
      </c>
      <c r="THV1" t="s">
        <v>31441</v>
      </c>
      <c r="THW1" t="s">
        <v>31442</v>
      </c>
      <c r="THX1" t="s">
        <v>31443</v>
      </c>
      <c r="THY1" t="s">
        <v>31444</v>
      </c>
      <c r="THZ1" t="s">
        <v>31445</v>
      </c>
      <c r="TIA1" t="s">
        <v>31446</v>
      </c>
      <c r="TIB1" t="s">
        <v>31447</v>
      </c>
      <c r="TIC1" t="s">
        <v>31448</v>
      </c>
      <c r="TID1" t="s">
        <v>31449</v>
      </c>
      <c r="TIE1" t="s">
        <v>31450</v>
      </c>
      <c r="TIF1" t="s">
        <v>31451</v>
      </c>
      <c r="TIG1" t="s">
        <v>31452</v>
      </c>
      <c r="TIH1" t="s">
        <v>31453</v>
      </c>
      <c r="TII1" t="s">
        <v>31454</v>
      </c>
      <c r="TIJ1" t="s">
        <v>31455</v>
      </c>
      <c r="TIK1" t="s">
        <v>31456</v>
      </c>
      <c r="TIL1" t="s">
        <v>31457</v>
      </c>
      <c r="TIM1" t="s">
        <v>31458</v>
      </c>
      <c r="TIN1" t="s">
        <v>31459</v>
      </c>
      <c r="TIO1" t="s">
        <v>31460</v>
      </c>
      <c r="TIP1" t="s">
        <v>31461</v>
      </c>
      <c r="TIQ1" t="s">
        <v>31462</v>
      </c>
      <c r="TIR1" t="s">
        <v>31463</v>
      </c>
      <c r="TIS1" t="s">
        <v>31464</v>
      </c>
      <c r="TIT1" t="s">
        <v>31465</v>
      </c>
      <c r="TIU1" t="s">
        <v>31466</v>
      </c>
      <c r="TIV1" t="s">
        <v>31467</v>
      </c>
      <c r="TIW1" t="s">
        <v>31468</v>
      </c>
      <c r="TIX1" t="s">
        <v>31469</v>
      </c>
      <c r="TIY1" t="s">
        <v>31470</v>
      </c>
      <c r="TIZ1" t="s">
        <v>31471</v>
      </c>
      <c r="TJA1" t="s">
        <v>31472</v>
      </c>
      <c r="TJB1" t="s">
        <v>31473</v>
      </c>
      <c r="TJC1" t="s">
        <v>31474</v>
      </c>
      <c r="TJD1" t="s">
        <v>31475</v>
      </c>
      <c r="TJE1" t="s">
        <v>31476</v>
      </c>
      <c r="TJF1" t="s">
        <v>31477</v>
      </c>
      <c r="TJG1" t="s">
        <v>31478</v>
      </c>
      <c r="TJH1" t="s">
        <v>31479</v>
      </c>
      <c r="TJI1" t="s">
        <v>31480</v>
      </c>
      <c r="TJJ1" t="s">
        <v>31481</v>
      </c>
      <c r="TJK1" t="s">
        <v>31482</v>
      </c>
      <c r="TJL1" t="s">
        <v>31483</v>
      </c>
      <c r="TJM1" t="s">
        <v>31484</v>
      </c>
      <c r="TJN1" t="s">
        <v>31485</v>
      </c>
      <c r="TJO1" t="s">
        <v>31486</v>
      </c>
      <c r="TJP1" t="s">
        <v>31487</v>
      </c>
      <c r="TJQ1" t="s">
        <v>31488</v>
      </c>
      <c r="TJR1" t="s">
        <v>31489</v>
      </c>
      <c r="TJS1" t="s">
        <v>31490</v>
      </c>
      <c r="TJT1" t="s">
        <v>31491</v>
      </c>
      <c r="TJU1" t="s">
        <v>31492</v>
      </c>
      <c r="TJV1" t="s">
        <v>31493</v>
      </c>
      <c r="TJW1" t="s">
        <v>31494</v>
      </c>
      <c r="TJX1" t="s">
        <v>31495</v>
      </c>
      <c r="TJY1" t="s">
        <v>31496</v>
      </c>
      <c r="TJZ1" t="s">
        <v>31497</v>
      </c>
      <c r="TKA1" t="s">
        <v>31498</v>
      </c>
      <c r="TKB1" t="s">
        <v>31499</v>
      </c>
      <c r="TKC1" t="s">
        <v>31500</v>
      </c>
      <c r="TKD1" t="s">
        <v>31501</v>
      </c>
      <c r="TKE1" t="s">
        <v>31502</v>
      </c>
      <c r="TKF1" t="s">
        <v>31503</v>
      </c>
      <c r="TKG1" t="s">
        <v>31504</v>
      </c>
      <c r="TKH1" t="s">
        <v>31505</v>
      </c>
      <c r="TKI1" t="s">
        <v>31506</v>
      </c>
      <c r="TKJ1" t="s">
        <v>31507</v>
      </c>
      <c r="TKK1" t="s">
        <v>31508</v>
      </c>
      <c r="TKL1" t="s">
        <v>31509</v>
      </c>
      <c r="TKM1" t="s">
        <v>31510</v>
      </c>
      <c r="TKN1" t="s">
        <v>31511</v>
      </c>
      <c r="TKO1" t="s">
        <v>31512</v>
      </c>
      <c r="TKP1" t="s">
        <v>31513</v>
      </c>
      <c r="TKQ1" t="s">
        <v>31514</v>
      </c>
      <c r="TKR1" t="s">
        <v>31515</v>
      </c>
      <c r="TKS1" t="s">
        <v>31516</v>
      </c>
      <c r="TKT1" t="s">
        <v>31517</v>
      </c>
      <c r="TKU1" t="s">
        <v>31518</v>
      </c>
      <c r="TKV1" t="s">
        <v>31519</v>
      </c>
      <c r="TKW1" t="s">
        <v>31520</v>
      </c>
      <c r="TKX1" t="s">
        <v>31521</v>
      </c>
      <c r="TKY1" t="s">
        <v>31522</v>
      </c>
      <c r="TKZ1" t="s">
        <v>31523</v>
      </c>
      <c r="TLA1" t="s">
        <v>31524</v>
      </c>
      <c r="TLB1" t="s">
        <v>31525</v>
      </c>
      <c r="TLC1" t="s">
        <v>31526</v>
      </c>
      <c r="TLD1" t="s">
        <v>31527</v>
      </c>
      <c r="TLE1" t="s">
        <v>31528</v>
      </c>
      <c r="TLF1" t="s">
        <v>31529</v>
      </c>
      <c r="TLG1" t="s">
        <v>31530</v>
      </c>
      <c r="TLH1" t="s">
        <v>31531</v>
      </c>
      <c r="TLI1" t="s">
        <v>31532</v>
      </c>
      <c r="TLJ1" t="s">
        <v>31533</v>
      </c>
      <c r="TLK1" t="s">
        <v>31534</v>
      </c>
      <c r="TLL1" t="s">
        <v>31535</v>
      </c>
      <c r="TLM1" t="s">
        <v>31536</v>
      </c>
      <c r="TLN1" t="s">
        <v>31537</v>
      </c>
      <c r="TLO1" t="s">
        <v>31538</v>
      </c>
      <c r="TLP1" t="s">
        <v>31539</v>
      </c>
      <c r="TLQ1" t="s">
        <v>31540</v>
      </c>
      <c r="TLR1" t="s">
        <v>31541</v>
      </c>
      <c r="TLS1" t="s">
        <v>31542</v>
      </c>
      <c r="TLT1" t="s">
        <v>31543</v>
      </c>
      <c r="TLU1" t="s">
        <v>31544</v>
      </c>
      <c r="TLV1" t="s">
        <v>31545</v>
      </c>
      <c r="TLW1" t="s">
        <v>31546</v>
      </c>
      <c r="TLX1" t="s">
        <v>31547</v>
      </c>
      <c r="TLY1" t="s">
        <v>31548</v>
      </c>
      <c r="TLZ1" t="s">
        <v>31549</v>
      </c>
      <c r="TMA1" t="s">
        <v>31550</v>
      </c>
      <c r="TMB1" t="s">
        <v>31551</v>
      </c>
      <c r="TMC1" t="s">
        <v>31552</v>
      </c>
      <c r="TMD1" t="s">
        <v>31553</v>
      </c>
      <c r="TME1" t="s">
        <v>31554</v>
      </c>
      <c r="TMF1" t="s">
        <v>31555</v>
      </c>
      <c r="TMG1" t="s">
        <v>31556</v>
      </c>
      <c r="TMH1" t="s">
        <v>31557</v>
      </c>
      <c r="TMI1" t="s">
        <v>31558</v>
      </c>
      <c r="TMJ1" t="s">
        <v>31559</v>
      </c>
      <c r="TMK1" t="s">
        <v>31560</v>
      </c>
      <c r="TML1" t="s">
        <v>31561</v>
      </c>
      <c r="TMM1" t="s">
        <v>31562</v>
      </c>
      <c r="TMN1" t="s">
        <v>31563</v>
      </c>
      <c r="TMO1" t="s">
        <v>31564</v>
      </c>
      <c r="TMP1" t="s">
        <v>31565</v>
      </c>
      <c r="TMQ1" t="s">
        <v>31566</v>
      </c>
      <c r="TMR1" t="s">
        <v>31567</v>
      </c>
      <c r="TMS1" t="s">
        <v>31568</v>
      </c>
      <c r="TMT1" t="s">
        <v>31569</v>
      </c>
      <c r="TMU1" t="s">
        <v>31570</v>
      </c>
      <c r="TMV1" t="s">
        <v>31571</v>
      </c>
      <c r="TMW1" t="s">
        <v>31572</v>
      </c>
      <c r="TMX1" t="s">
        <v>31573</v>
      </c>
      <c r="TMY1" t="s">
        <v>31574</v>
      </c>
      <c r="TMZ1" t="s">
        <v>31575</v>
      </c>
      <c r="TNA1" t="s">
        <v>31576</v>
      </c>
      <c r="TNB1" t="s">
        <v>31577</v>
      </c>
      <c r="TNC1" t="s">
        <v>31578</v>
      </c>
      <c r="TND1" t="s">
        <v>31579</v>
      </c>
      <c r="TNE1" t="s">
        <v>31580</v>
      </c>
      <c r="TNF1" t="s">
        <v>31581</v>
      </c>
      <c r="TNG1" t="s">
        <v>31582</v>
      </c>
      <c r="TNH1" t="s">
        <v>31583</v>
      </c>
      <c r="TNI1" t="s">
        <v>31584</v>
      </c>
      <c r="TNJ1" t="s">
        <v>31585</v>
      </c>
      <c r="TNK1" t="s">
        <v>31586</v>
      </c>
      <c r="TNL1" t="s">
        <v>31587</v>
      </c>
      <c r="TNM1" t="s">
        <v>31588</v>
      </c>
      <c r="TNN1" t="s">
        <v>31589</v>
      </c>
      <c r="TNO1" t="s">
        <v>31590</v>
      </c>
      <c r="TNP1" t="s">
        <v>31591</v>
      </c>
      <c r="TNQ1" t="s">
        <v>31592</v>
      </c>
      <c r="TNR1" t="s">
        <v>31593</v>
      </c>
      <c r="TNS1" t="s">
        <v>31594</v>
      </c>
      <c r="TNT1" t="s">
        <v>31595</v>
      </c>
      <c r="TNU1" t="s">
        <v>31596</v>
      </c>
      <c r="TNV1" t="s">
        <v>31597</v>
      </c>
      <c r="TNW1" t="s">
        <v>31598</v>
      </c>
      <c r="TNX1" t="s">
        <v>31599</v>
      </c>
      <c r="TNY1" t="s">
        <v>31600</v>
      </c>
      <c r="TNZ1" t="s">
        <v>31601</v>
      </c>
      <c r="TOA1" t="s">
        <v>31602</v>
      </c>
      <c r="TOB1" t="s">
        <v>31603</v>
      </c>
      <c r="TOC1" t="s">
        <v>31604</v>
      </c>
      <c r="TOD1" t="s">
        <v>31605</v>
      </c>
      <c r="TOE1" t="s">
        <v>31606</v>
      </c>
      <c r="TOF1" t="s">
        <v>31607</v>
      </c>
      <c r="TOG1" t="s">
        <v>31608</v>
      </c>
      <c r="TOH1" t="s">
        <v>31609</v>
      </c>
      <c r="TOI1" t="s">
        <v>31610</v>
      </c>
      <c r="TOJ1" t="s">
        <v>31611</v>
      </c>
      <c r="TOK1" t="s">
        <v>31612</v>
      </c>
      <c r="TOL1" t="s">
        <v>31613</v>
      </c>
      <c r="TOM1" t="s">
        <v>31614</v>
      </c>
      <c r="TON1" t="s">
        <v>31615</v>
      </c>
      <c r="TOO1" t="s">
        <v>31616</v>
      </c>
      <c r="TOP1" t="s">
        <v>31617</v>
      </c>
      <c r="TOQ1" t="s">
        <v>31618</v>
      </c>
      <c r="TOR1" t="s">
        <v>31619</v>
      </c>
      <c r="TOS1" t="s">
        <v>31620</v>
      </c>
      <c r="TOT1" t="s">
        <v>31621</v>
      </c>
      <c r="TOU1" t="s">
        <v>31622</v>
      </c>
      <c r="TOV1" t="s">
        <v>31623</v>
      </c>
      <c r="TOW1" t="s">
        <v>31624</v>
      </c>
      <c r="TOX1" t="s">
        <v>31625</v>
      </c>
      <c r="TOY1" t="s">
        <v>31626</v>
      </c>
      <c r="TOZ1" t="s">
        <v>31627</v>
      </c>
      <c r="TPA1" t="s">
        <v>31628</v>
      </c>
      <c r="TPB1" t="s">
        <v>31629</v>
      </c>
      <c r="TPC1" t="s">
        <v>31630</v>
      </c>
      <c r="TPD1" t="s">
        <v>31631</v>
      </c>
      <c r="TPE1" t="s">
        <v>31632</v>
      </c>
      <c r="TPF1" t="s">
        <v>31633</v>
      </c>
      <c r="TPG1" t="s">
        <v>31634</v>
      </c>
      <c r="TPH1" t="s">
        <v>31635</v>
      </c>
      <c r="TPI1" t="s">
        <v>31636</v>
      </c>
      <c r="TPJ1" t="s">
        <v>31637</v>
      </c>
      <c r="TPK1" t="s">
        <v>31638</v>
      </c>
      <c r="TPL1" t="s">
        <v>31639</v>
      </c>
      <c r="TPM1" t="s">
        <v>31640</v>
      </c>
      <c r="TPN1" t="s">
        <v>31641</v>
      </c>
      <c r="TPO1" t="s">
        <v>31642</v>
      </c>
      <c r="TPP1" t="s">
        <v>31643</v>
      </c>
      <c r="TPQ1" t="s">
        <v>31644</v>
      </c>
      <c r="TPR1" t="s">
        <v>31645</v>
      </c>
      <c r="TPS1" t="s">
        <v>31646</v>
      </c>
      <c r="TPT1" t="s">
        <v>31647</v>
      </c>
      <c r="TPU1" t="s">
        <v>31648</v>
      </c>
      <c r="TPV1" t="s">
        <v>31649</v>
      </c>
      <c r="TPW1" t="s">
        <v>31650</v>
      </c>
      <c r="TPX1" t="s">
        <v>31651</v>
      </c>
      <c r="TPY1" t="s">
        <v>31652</v>
      </c>
      <c r="TPZ1" t="s">
        <v>31653</v>
      </c>
      <c r="TQA1" t="s">
        <v>31654</v>
      </c>
      <c r="TQB1" t="s">
        <v>31655</v>
      </c>
      <c r="TQC1" t="s">
        <v>31656</v>
      </c>
      <c r="TQD1" t="s">
        <v>31657</v>
      </c>
      <c r="TQE1" t="s">
        <v>31658</v>
      </c>
      <c r="TQF1" t="s">
        <v>31659</v>
      </c>
      <c r="TQG1" t="s">
        <v>31660</v>
      </c>
      <c r="TQH1" t="s">
        <v>31661</v>
      </c>
      <c r="TQI1" t="s">
        <v>31662</v>
      </c>
      <c r="TQJ1" t="s">
        <v>31663</v>
      </c>
      <c r="TQK1" t="s">
        <v>31664</v>
      </c>
      <c r="TQL1" t="s">
        <v>31665</v>
      </c>
      <c r="TQM1" t="s">
        <v>31666</v>
      </c>
      <c r="TQN1" t="s">
        <v>31667</v>
      </c>
      <c r="TQO1" t="s">
        <v>31668</v>
      </c>
      <c r="TQP1" t="s">
        <v>31669</v>
      </c>
      <c r="TQQ1" t="s">
        <v>31670</v>
      </c>
      <c r="TQR1" t="s">
        <v>31671</v>
      </c>
      <c r="TQS1" t="s">
        <v>31672</v>
      </c>
      <c r="TQT1" t="s">
        <v>31673</v>
      </c>
      <c r="TQU1" t="s">
        <v>31674</v>
      </c>
      <c r="TQV1" t="s">
        <v>31675</v>
      </c>
      <c r="TQW1" t="s">
        <v>31676</v>
      </c>
      <c r="TQX1" t="s">
        <v>31677</v>
      </c>
      <c r="TQY1" t="s">
        <v>31678</v>
      </c>
      <c r="TQZ1" t="s">
        <v>31679</v>
      </c>
      <c r="TRA1" t="s">
        <v>31680</v>
      </c>
      <c r="TRB1" t="s">
        <v>31681</v>
      </c>
      <c r="TRC1" t="s">
        <v>31682</v>
      </c>
      <c r="TRD1" t="s">
        <v>31683</v>
      </c>
      <c r="TRE1" t="s">
        <v>31684</v>
      </c>
      <c r="TRF1" t="s">
        <v>31685</v>
      </c>
      <c r="TRG1" t="s">
        <v>31686</v>
      </c>
      <c r="TRH1" t="s">
        <v>31687</v>
      </c>
      <c r="TRI1" t="s">
        <v>31688</v>
      </c>
      <c r="TRJ1" t="s">
        <v>31689</v>
      </c>
      <c r="TRK1" t="s">
        <v>31690</v>
      </c>
      <c r="TRL1" t="s">
        <v>31691</v>
      </c>
      <c r="TRM1" t="s">
        <v>31692</v>
      </c>
      <c r="TRN1" t="s">
        <v>31693</v>
      </c>
      <c r="TRO1" t="s">
        <v>31694</v>
      </c>
      <c r="TRP1" t="s">
        <v>31695</v>
      </c>
      <c r="TRQ1" t="s">
        <v>31696</v>
      </c>
      <c r="TRR1" t="s">
        <v>31697</v>
      </c>
      <c r="TRS1" t="s">
        <v>31698</v>
      </c>
      <c r="TRT1" t="s">
        <v>31699</v>
      </c>
      <c r="TRU1" t="s">
        <v>31700</v>
      </c>
      <c r="TRV1" t="s">
        <v>31701</v>
      </c>
      <c r="TRW1" t="s">
        <v>31702</v>
      </c>
      <c r="TRX1" t="s">
        <v>31703</v>
      </c>
      <c r="TRY1" t="s">
        <v>31704</v>
      </c>
      <c r="TRZ1" t="s">
        <v>31705</v>
      </c>
      <c r="TSA1" t="s">
        <v>31706</v>
      </c>
      <c r="TSB1" t="s">
        <v>31707</v>
      </c>
      <c r="TSC1" t="s">
        <v>31708</v>
      </c>
      <c r="TSD1" t="s">
        <v>31709</v>
      </c>
      <c r="TSE1" t="s">
        <v>31710</v>
      </c>
      <c r="TSF1" t="s">
        <v>31711</v>
      </c>
      <c r="TSG1" t="s">
        <v>31712</v>
      </c>
      <c r="TSH1" t="s">
        <v>31713</v>
      </c>
      <c r="TSI1" t="s">
        <v>31714</v>
      </c>
      <c r="TSJ1" t="s">
        <v>31715</v>
      </c>
      <c r="TSK1" t="s">
        <v>31716</v>
      </c>
      <c r="TSL1" t="s">
        <v>31717</v>
      </c>
      <c r="TSM1" t="s">
        <v>31718</v>
      </c>
      <c r="TSN1" t="s">
        <v>31719</v>
      </c>
      <c r="TSO1" t="s">
        <v>31720</v>
      </c>
      <c r="TSP1" t="s">
        <v>31721</v>
      </c>
      <c r="TSQ1" t="s">
        <v>31722</v>
      </c>
      <c r="TSR1" t="s">
        <v>31723</v>
      </c>
      <c r="TSS1" t="s">
        <v>31724</v>
      </c>
      <c r="TST1" t="s">
        <v>31725</v>
      </c>
      <c r="TSU1" t="s">
        <v>31726</v>
      </c>
      <c r="TSV1" t="s">
        <v>31727</v>
      </c>
      <c r="TSW1" t="s">
        <v>31728</v>
      </c>
      <c r="TSX1" t="s">
        <v>31729</v>
      </c>
      <c r="TSY1" t="s">
        <v>31730</v>
      </c>
      <c r="TSZ1" t="s">
        <v>31731</v>
      </c>
      <c r="TTA1" t="s">
        <v>31732</v>
      </c>
      <c r="TTB1" t="s">
        <v>31733</v>
      </c>
      <c r="TTC1" t="s">
        <v>31734</v>
      </c>
      <c r="TTD1" t="s">
        <v>31735</v>
      </c>
      <c r="TTE1" t="s">
        <v>31736</v>
      </c>
      <c r="TTF1" t="s">
        <v>31737</v>
      </c>
      <c r="TTG1" t="s">
        <v>31738</v>
      </c>
      <c r="TTH1" t="s">
        <v>31739</v>
      </c>
      <c r="TTI1" t="s">
        <v>31740</v>
      </c>
      <c r="TTJ1" t="s">
        <v>31741</v>
      </c>
      <c r="TTK1" t="s">
        <v>31742</v>
      </c>
      <c r="TTL1" t="s">
        <v>31743</v>
      </c>
      <c r="TTM1" t="s">
        <v>31744</v>
      </c>
      <c r="TTN1" t="s">
        <v>31745</v>
      </c>
      <c r="TTO1" t="s">
        <v>31746</v>
      </c>
      <c r="TTP1" t="s">
        <v>31747</v>
      </c>
      <c r="TTQ1" t="s">
        <v>31748</v>
      </c>
      <c r="TTR1" t="s">
        <v>31749</v>
      </c>
      <c r="TTS1" t="s">
        <v>31750</v>
      </c>
      <c r="TTT1" t="s">
        <v>31751</v>
      </c>
      <c r="TTU1" t="s">
        <v>31752</v>
      </c>
      <c r="TTV1" t="s">
        <v>31753</v>
      </c>
      <c r="TTW1" t="s">
        <v>31754</v>
      </c>
      <c r="TTX1" t="s">
        <v>31755</v>
      </c>
      <c r="TTY1" t="s">
        <v>31756</v>
      </c>
      <c r="TTZ1" t="s">
        <v>31757</v>
      </c>
      <c r="TUA1" t="s">
        <v>31758</v>
      </c>
      <c r="TUB1" t="s">
        <v>31759</v>
      </c>
      <c r="TUC1" t="s">
        <v>31760</v>
      </c>
      <c r="TUD1" t="s">
        <v>31761</v>
      </c>
      <c r="TUE1" t="s">
        <v>31762</v>
      </c>
      <c r="TUF1" t="s">
        <v>31763</v>
      </c>
      <c r="TUG1" t="s">
        <v>31764</v>
      </c>
      <c r="TUH1" t="s">
        <v>31765</v>
      </c>
      <c r="TUI1" t="s">
        <v>31766</v>
      </c>
      <c r="TUJ1" t="s">
        <v>31767</v>
      </c>
      <c r="TUK1" t="s">
        <v>31768</v>
      </c>
      <c r="TUL1" t="s">
        <v>31769</v>
      </c>
      <c r="TUM1" t="s">
        <v>31770</v>
      </c>
      <c r="TUN1" t="s">
        <v>31771</v>
      </c>
      <c r="TUO1" t="s">
        <v>31772</v>
      </c>
      <c r="TUP1" t="s">
        <v>31773</v>
      </c>
      <c r="TUQ1" t="s">
        <v>31774</v>
      </c>
      <c r="TUR1" t="s">
        <v>31775</v>
      </c>
      <c r="TUS1" t="s">
        <v>31776</v>
      </c>
      <c r="TUT1" t="s">
        <v>31777</v>
      </c>
      <c r="TUU1" t="s">
        <v>31778</v>
      </c>
      <c r="TUV1" t="s">
        <v>31779</v>
      </c>
      <c r="TUW1" t="s">
        <v>31780</v>
      </c>
      <c r="TUX1" t="s">
        <v>31781</v>
      </c>
      <c r="TUY1" t="s">
        <v>31782</v>
      </c>
      <c r="TUZ1" t="s">
        <v>31783</v>
      </c>
      <c r="TVA1" t="s">
        <v>31784</v>
      </c>
      <c r="TVB1" t="s">
        <v>31785</v>
      </c>
      <c r="TVC1" t="s">
        <v>31786</v>
      </c>
      <c r="TVD1" t="s">
        <v>31787</v>
      </c>
      <c r="TVE1" t="s">
        <v>31788</v>
      </c>
      <c r="TVF1" t="s">
        <v>31789</v>
      </c>
      <c r="TVG1" t="s">
        <v>31790</v>
      </c>
      <c r="TVH1" t="s">
        <v>31791</v>
      </c>
      <c r="TVI1" t="s">
        <v>31792</v>
      </c>
      <c r="TVJ1" t="s">
        <v>31793</v>
      </c>
      <c r="TVK1" t="s">
        <v>31794</v>
      </c>
      <c r="TVL1" t="s">
        <v>31795</v>
      </c>
      <c r="TVM1" t="s">
        <v>31796</v>
      </c>
      <c r="TVN1" t="s">
        <v>31797</v>
      </c>
      <c r="TVO1" t="s">
        <v>31798</v>
      </c>
      <c r="TVP1" t="s">
        <v>31799</v>
      </c>
      <c r="TVQ1" t="s">
        <v>31800</v>
      </c>
      <c r="TVR1" t="s">
        <v>31801</v>
      </c>
      <c r="TVS1" t="s">
        <v>31802</v>
      </c>
      <c r="TVT1" t="s">
        <v>31803</v>
      </c>
      <c r="TVU1" t="s">
        <v>31804</v>
      </c>
      <c r="TVV1" t="s">
        <v>31805</v>
      </c>
      <c r="TVW1" t="s">
        <v>31806</v>
      </c>
      <c r="TVX1" t="s">
        <v>31807</v>
      </c>
      <c r="TVY1" t="s">
        <v>31808</v>
      </c>
      <c r="TVZ1" t="s">
        <v>31809</v>
      </c>
      <c r="TWA1" t="s">
        <v>31810</v>
      </c>
      <c r="TWB1" t="s">
        <v>31811</v>
      </c>
      <c r="TWC1" t="s">
        <v>31812</v>
      </c>
      <c r="TWD1" t="s">
        <v>31813</v>
      </c>
      <c r="TWE1" t="s">
        <v>31814</v>
      </c>
      <c r="TWF1" t="s">
        <v>31815</v>
      </c>
      <c r="TWG1" t="s">
        <v>31816</v>
      </c>
      <c r="TWH1" t="s">
        <v>31817</v>
      </c>
      <c r="TWI1" t="s">
        <v>31818</v>
      </c>
      <c r="TWJ1" t="s">
        <v>31819</v>
      </c>
      <c r="TWK1" t="s">
        <v>31820</v>
      </c>
      <c r="TWL1" t="s">
        <v>31821</v>
      </c>
      <c r="TWM1" t="s">
        <v>31822</v>
      </c>
      <c r="TWN1" t="s">
        <v>31823</v>
      </c>
      <c r="TWO1" t="s">
        <v>31824</v>
      </c>
      <c r="TWP1" t="s">
        <v>31825</v>
      </c>
      <c r="TWQ1" t="s">
        <v>31826</v>
      </c>
      <c r="TWR1" t="s">
        <v>31827</v>
      </c>
      <c r="TWS1" t="s">
        <v>31828</v>
      </c>
      <c r="TWT1" t="s">
        <v>31829</v>
      </c>
      <c r="TWU1" t="s">
        <v>31830</v>
      </c>
      <c r="TWV1" t="s">
        <v>31831</v>
      </c>
      <c r="TWW1" t="s">
        <v>31832</v>
      </c>
      <c r="TWX1" t="s">
        <v>31833</v>
      </c>
      <c r="TWY1" t="s">
        <v>31834</v>
      </c>
      <c r="TWZ1" t="s">
        <v>31835</v>
      </c>
      <c r="TXA1" t="s">
        <v>31836</v>
      </c>
      <c r="TXB1" t="s">
        <v>31837</v>
      </c>
      <c r="TXC1" t="s">
        <v>31838</v>
      </c>
      <c r="TXD1" t="s">
        <v>31839</v>
      </c>
      <c r="TXE1" t="s">
        <v>31840</v>
      </c>
      <c r="TXF1" t="s">
        <v>31841</v>
      </c>
      <c r="TXG1" t="s">
        <v>31842</v>
      </c>
      <c r="TXH1" t="s">
        <v>31843</v>
      </c>
      <c r="TXI1" t="s">
        <v>31844</v>
      </c>
      <c r="TXJ1" t="s">
        <v>31845</v>
      </c>
      <c r="TXK1" t="s">
        <v>31846</v>
      </c>
      <c r="TXL1" t="s">
        <v>31847</v>
      </c>
      <c r="TXM1" t="s">
        <v>31848</v>
      </c>
      <c r="TXN1" t="s">
        <v>31849</v>
      </c>
      <c r="TXO1" t="s">
        <v>31850</v>
      </c>
      <c r="TXP1" t="s">
        <v>31851</v>
      </c>
      <c r="TXQ1" t="s">
        <v>31852</v>
      </c>
      <c r="TXR1" t="s">
        <v>31853</v>
      </c>
      <c r="TXS1" t="s">
        <v>31854</v>
      </c>
      <c r="TXT1" t="s">
        <v>31855</v>
      </c>
      <c r="TXU1" t="s">
        <v>31856</v>
      </c>
      <c r="TXV1" t="s">
        <v>31857</v>
      </c>
      <c r="TXW1" t="s">
        <v>31858</v>
      </c>
      <c r="TXX1" t="s">
        <v>31859</v>
      </c>
      <c r="TXY1" t="s">
        <v>31860</v>
      </c>
      <c r="TXZ1" t="s">
        <v>31861</v>
      </c>
      <c r="TYA1" t="s">
        <v>31862</v>
      </c>
      <c r="TYB1" t="s">
        <v>31863</v>
      </c>
      <c r="TYC1" t="s">
        <v>31864</v>
      </c>
      <c r="TYD1" t="s">
        <v>31865</v>
      </c>
      <c r="TYE1" t="s">
        <v>31866</v>
      </c>
      <c r="TYF1" t="s">
        <v>31867</v>
      </c>
      <c r="TYG1" t="s">
        <v>31868</v>
      </c>
      <c r="TYH1" t="s">
        <v>31869</v>
      </c>
      <c r="TYI1" t="s">
        <v>31870</v>
      </c>
      <c r="TYJ1" t="s">
        <v>31871</v>
      </c>
      <c r="TYK1" t="s">
        <v>31872</v>
      </c>
      <c r="TYL1" t="s">
        <v>31873</v>
      </c>
      <c r="TYM1" t="s">
        <v>31874</v>
      </c>
      <c r="TYN1" t="s">
        <v>31875</v>
      </c>
      <c r="TYO1" t="s">
        <v>31876</v>
      </c>
      <c r="TYP1" t="s">
        <v>31877</v>
      </c>
      <c r="TYQ1" t="s">
        <v>31878</v>
      </c>
      <c r="TYR1" t="s">
        <v>31879</v>
      </c>
      <c r="TYS1" t="s">
        <v>31880</v>
      </c>
      <c r="TYT1" t="s">
        <v>31881</v>
      </c>
      <c r="TYU1" t="s">
        <v>31882</v>
      </c>
      <c r="TYV1" t="s">
        <v>31883</v>
      </c>
      <c r="TYW1" t="s">
        <v>31884</v>
      </c>
      <c r="TYX1" t="s">
        <v>31885</v>
      </c>
      <c r="TYY1" t="s">
        <v>31886</v>
      </c>
      <c r="TYZ1" t="s">
        <v>31887</v>
      </c>
      <c r="TZA1" t="s">
        <v>31888</v>
      </c>
      <c r="TZB1" t="s">
        <v>31889</v>
      </c>
      <c r="TZC1" t="s">
        <v>31890</v>
      </c>
      <c r="TZD1" t="s">
        <v>31891</v>
      </c>
      <c r="TZE1" t="s">
        <v>31892</v>
      </c>
      <c r="TZF1" t="s">
        <v>31893</v>
      </c>
      <c r="TZG1" t="s">
        <v>31894</v>
      </c>
      <c r="TZH1" t="s">
        <v>31895</v>
      </c>
      <c r="TZI1" t="s">
        <v>31896</v>
      </c>
      <c r="TZJ1" t="s">
        <v>31897</v>
      </c>
      <c r="TZK1" t="s">
        <v>31898</v>
      </c>
      <c r="TZL1" t="s">
        <v>31899</v>
      </c>
      <c r="TZM1" t="s">
        <v>31900</v>
      </c>
      <c r="TZN1" t="s">
        <v>31901</v>
      </c>
      <c r="TZO1" t="s">
        <v>31902</v>
      </c>
      <c r="TZP1" t="s">
        <v>31903</v>
      </c>
      <c r="TZQ1" t="s">
        <v>31904</v>
      </c>
      <c r="TZR1" t="s">
        <v>31905</v>
      </c>
      <c r="TZS1" t="s">
        <v>31906</v>
      </c>
      <c r="TZT1" t="s">
        <v>31907</v>
      </c>
      <c r="TZU1" t="s">
        <v>31908</v>
      </c>
      <c r="TZV1" t="s">
        <v>31909</v>
      </c>
      <c r="TZW1" t="s">
        <v>31910</v>
      </c>
      <c r="TZX1" t="s">
        <v>31911</v>
      </c>
      <c r="TZY1" t="s">
        <v>31912</v>
      </c>
      <c r="TZZ1" t="s">
        <v>31913</v>
      </c>
      <c r="UAA1" t="s">
        <v>31914</v>
      </c>
      <c r="UAB1" t="s">
        <v>31915</v>
      </c>
      <c r="UAC1" t="s">
        <v>31916</v>
      </c>
      <c r="UAD1" t="s">
        <v>31917</v>
      </c>
      <c r="UAE1" t="s">
        <v>31918</v>
      </c>
      <c r="UAF1" t="s">
        <v>31919</v>
      </c>
      <c r="UAG1" t="s">
        <v>31920</v>
      </c>
      <c r="UAH1" t="s">
        <v>31921</v>
      </c>
      <c r="UAI1" t="s">
        <v>31922</v>
      </c>
      <c r="UAJ1" t="s">
        <v>31923</v>
      </c>
      <c r="UAK1" t="s">
        <v>31924</v>
      </c>
      <c r="UAL1" t="s">
        <v>31925</v>
      </c>
      <c r="UAM1" t="s">
        <v>31926</v>
      </c>
      <c r="UAN1" t="s">
        <v>31927</v>
      </c>
      <c r="UAO1" t="s">
        <v>31928</v>
      </c>
      <c r="UAP1" t="s">
        <v>31929</v>
      </c>
      <c r="UAQ1" t="s">
        <v>31930</v>
      </c>
      <c r="UAR1" t="s">
        <v>31931</v>
      </c>
      <c r="UAS1" t="s">
        <v>31932</v>
      </c>
      <c r="UAT1" t="s">
        <v>31933</v>
      </c>
      <c r="UAU1" t="s">
        <v>31934</v>
      </c>
      <c r="UAV1" t="s">
        <v>31935</v>
      </c>
      <c r="UAW1" t="s">
        <v>31936</v>
      </c>
      <c r="UAX1" t="s">
        <v>31937</v>
      </c>
      <c r="UAY1" t="s">
        <v>31938</v>
      </c>
      <c r="UAZ1" t="s">
        <v>31939</v>
      </c>
      <c r="UBA1" t="s">
        <v>31940</v>
      </c>
      <c r="UBB1" t="s">
        <v>31941</v>
      </c>
      <c r="UBC1" t="s">
        <v>31942</v>
      </c>
      <c r="UBD1" t="s">
        <v>31943</v>
      </c>
      <c r="UBE1" t="s">
        <v>31944</v>
      </c>
      <c r="UBF1" t="s">
        <v>31945</v>
      </c>
      <c r="UBG1" t="s">
        <v>31946</v>
      </c>
      <c r="UBH1" t="s">
        <v>31947</v>
      </c>
      <c r="UBI1" t="s">
        <v>31948</v>
      </c>
      <c r="UBJ1" t="s">
        <v>31949</v>
      </c>
      <c r="UBK1" t="s">
        <v>31950</v>
      </c>
      <c r="UBL1" t="s">
        <v>31951</v>
      </c>
      <c r="UBM1" t="s">
        <v>31952</v>
      </c>
      <c r="UBN1" t="s">
        <v>31953</v>
      </c>
      <c r="UBO1" t="s">
        <v>31954</v>
      </c>
      <c r="UBP1" t="s">
        <v>31955</v>
      </c>
      <c r="UBQ1" t="s">
        <v>31956</v>
      </c>
      <c r="UBR1" t="s">
        <v>31957</v>
      </c>
      <c r="UBS1" t="s">
        <v>31958</v>
      </c>
      <c r="UBT1" t="s">
        <v>31959</v>
      </c>
      <c r="UBU1" t="s">
        <v>31960</v>
      </c>
      <c r="UBV1" t="s">
        <v>31961</v>
      </c>
      <c r="UBW1" t="s">
        <v>31962</v>
      </c>
      <c r="UBX1" t="s">
        <v>31963</v>
      </c>
      <c r="UBY1" t="s">
        <v>31964</v>
      </c>
      <c r="UBZ1" t="s">
        <v>31965</v>
      </c>
      <c r="UCA1" t="s">
        <v>31966</v>
      </c>
      <c r="UCB1" t="s">
        <v>31967</v>
      </c>
      <c r="UCC1" t="s">
        <v>31968</v>
      </c>
      <c r="UCD1" t="s">
        <v>31969</v>
      </c>
      <c r="UCE1" t="s">
        <v>31970</v>
      </c>
      <c r="UCF1" t="s">
        <v>31971</v>
      </c>
      <c r="UCG1" t="s">
        <v>31972</v>
      </c>
      <c r="UCH1" t="s">
        <v>31973</v>
      </c>
      <c r="UCI1" t="s">
        <v>31974</v>
      </c>
      <c r="UCJ1" t="s">
        <v>31975</v>
      </c>
      <c r="UCK1" t="s">
        <v>31976</v>
      </c>
      <c r="UCL1" t="s">
        <v>31977</v>
      </c>
      <c r="UCM1" t="s">
        <v>31978</v>
      </c>
      <c r="UCN1" t="s">
        <v>31979</v>
      </c>
      <c r="UCO1" t="s">
        <v>31980</v>
      </c>
      <c r="UCP1" t="s">
        <v>31981</v>
      </c>
      <c r="UCQ1" t="s">
        <v>31982</v>
      </c>
      <c r="UCR1" t="s">
        <v>31983</v>
      </c>
      <c r="UCS1" t="s">
        <v>31984</v>
      </c>
      <c r="UCT1" t="s">
        <v>31985</v>
      </c>
      <c r="UCU1" t="s">
        <v>31986</v>
      </c>
      <c r="UCV1" t="s">
        <v>31987</v>
      </c>
      <c r="UCW1" t="s">
        <v>31988</v>
      </c>
      <c r="UCX1" t="s">
        <v>31989</v>
      </c>
      <c r="UCY1" t="s">
        <v>31990</v>
      </c>
      <c r="UCZ1" t="s">
        <v>31991</v>
      </c>
      <c r="UDA1" t="s">
        <v>31992</v>
      </c>
      <c r="UDB1" t="s">
        <v>31993</v>
      </c>
      <c r="UDC1" t="s">
        <v>31994</v>
      </c>
      <c r="UDD1" t="s">
        <v>31995</v>
      </c>
      <c r="UDE1" t="s">
        <v>31996</v>
      </c>
      <c r="UDF1" t="s">
        <v>31997</v>
      </c>
      <c r="UDG1" t="s">
        <v>31998</v>
      </c>
      <c r="UDH1" t="s">
        <v>31999</v>
      </c>
      <c r="UDI1" t="s">
        <v>32000</v>
      </c>
      <c r="UDJ1" t="s">
        <v>32001</v>
      </c>
      <c r="UDK1" t="s">
        <v>32002</v>
      </c>
      <c r="UDL1" t="s">
        <v>32003</v>
      </c>
      <c r="UDM1" t="s">
        <v>32004</v>
      </c>
      <c r="UDN1" t="s">
        <v>32005</v>
      </c>
      <c r="UDO1" t="s">
        <v>32006</v>
      </c>
      <c r="UDP1" t="s">
        <v>32007</v>
      </c>
      <c r="UDQ1" t="s">
        <v>32008</v>
      </c>
      <c r="UDR1" t="s">
        <v>32009</v>
      </c>
      <c r="UDS1" t="s">
        <v>32010</v>
      </c>
      <c r="UDT1" t="s">
        <v>32011</v>
      </c>
      <c r="UDU1" t="s">
        <v>32012</v>
      </c>
      <c r="UDV1" t="s">
        <v>32013</v>
      </c>
      <c r="UDW1" t="s">
        <v>32014</v>
      </c>
      <c r="UDX1" t="s">
        <v>32015</v>
      </c>
      <c r="UDY1" t="s">
        <v>32016</v>
      </c>
      <c r="UDZ1" t="s">
        <v>32017</v>
      </c>
      <c r="UEA1" t="s">
        <v>32018</v>
      </c>
      <c r="UEB1" t="s">
        <v>32019</v>
      </c>
      <c r="UEC1" t="s">
        <v>32020</v>
      </c>
      <c r="UED1" t="s">
        <v>32021</v>
      </c>
      <c r="UEE1" t="s">
        <v>32022</v>
      </c>
      <c r="UEF1" t="s">
        <v>32023</v>
      </c>
      <c r="UEG1" t="s">
        <v>32024</v>
      </c>
      <c r="UEH1" t="s">
        <v>32025</v>
      </c>
      <c r="UEI1" t="s">
        <v>32026</v>
      </c>
      <c r="UEJ1" t="s">
        <v>32027</v>
      </c>
      <c r="UEK1" t="s">
        <v>32028</v>
      </c>
      <c r="UEL1" t="s">
        <v>32029</v>
      </c>
      <c r="UEM1" t="s">
        <v>32030</v>
      </c>
      <c r="UEN1" t="s">
        <v>32031</v>
      </c>
      <c r="UEO1" t="s">
        <v>32032</v>
      </c>
      <c r="UEP1" t="s">
        <v>32033</v>
      </c>
      <c r="UEQ1" t="s">
        <v>32034</v>
      </c>
      <c r="UER1" t="s">
        <v>32035</v>
      </c>
      <c r="UES1" t="s">
        <v>32036</v>
      </c>
      <c r="UET1" t="s">
        <v>32037</v>
      </c>
      <c r="UEU1" t="s">
        <v>32038</v>
      </c>
      <c r="UEV1" t="s">
        <v>32039</v>
      </c>
      <c r="UEW1" t="s">
        <v>32040</v>
      </c>
      <c r="UEX1" t="s">
        <v>32041</v>
      </c>
      <c r="UEY1" t="s">
        <v>32042</v>
      </c>
      <c r="UEZ1" t="s">
        <v>32043</v>
      </c>
      <c r="UFA1" t="s">
        <v>32044</v>
      </c>
      <c r="UFB1" t="s">
        <v>32045</v>
      </c>
      <c r="UFC1" t="s">
        <v>32046</v>
      </c>
      <c r="UFD1" t="s">
        <v>32047</v>
      </c>
      <c r="UFE1" t="s">
        <v>32048</v>
      </c>
      <c r="UFF1" t="s">
        <v>32049</v>
      </c>
      <c r="UFG1" t="s">
        <v>32050</v>
      </c>
      <c r="UFH1" t="s">
        <v>32051</v>
      </c>
      <c r="UFI1" t="s">
        <v>32052</v>
      </c>
      <c r="UFJ1" t="s">
        <v>32053</v>
      </c>
      <c r="UFK1" t="s">
        <v>32054</v>
      </c>
      <c r="UFL1" t="s">
        <v>32055</v>
      </c>
      <c r="UFM1" t="s">
        <v>32056</v>
      </c>
      <c r="UFN1" t="s">
        <v>32057</v>
      </c>
      <c r="UFO1" t="s">
        <v>32058</v>
      </c>
      <c r="UFP1" t="s">
        <v>32059</v>
      </c>
      <c r="UFQ1" t="s">
        <v>32060</v>
      </c>
      <c r="UFR1" t="s">
        <v>32061</v>
      </c>
      <c r="UFS1" t="s">
        <v>32062</v>
      </c>
      <c r="UFT1" t="s">
        <v>32063</v>
      </c>
      <c r="UFU1" t="s">
        <v>32064</v>
      </c>
      <c r="UFV1" t="s">
        <v>32065</v>
      </c>
      <c r="UFW1" t="s">
        <v>32066</v>
      </c>
      <c r="UFX1" t="s">
        <v>32067</v>
      </c>
      <c r="UFY1" t="s">
        <v>32068</v>
      </c>
      <c r="UFZ1" t="s">
        <v>32069</v>
      </c>
      <c r="UGA1" t="s">
        <v>32070</v>
      </c>
      <c r="UGB1" t="s">
        <v>32071</v>
      </c>
      <c r="UGC1" t="s">
        <v>32072</v>
      </c>
      <c r="UGD1" t="s">
        <v>32073</v>
      </c>
      <c r="UGE1" t="s">
        <v>32074</v>
      </c>
      <c r="UGF1" t="s">
        <v>32075</v>
      </c>
      <c r="UGG1" t="s">
        <v>32076</v>
      </c>
      <c r="UGH1" t="s">
        <v>32077</v>
      </c>
      <c r="UGI1" t="s">
        <v>32078</v>
      </c>
      <c r="UGJ1" t="s">
        <v>32079</v>
      </c>
      <c r="UGK1" t="s">
        <v>32080</v>
      </c>
      <c r="UGL1" t="s">
        <v>32081</v>
      </c>
      <c r="UGM1" t="s">
        <v>32082</v>
      </c>
      <c r="UGN1" t="s">
        <v>32083</v>
      </c>
      <c r="UGO1" t="s">
        <v>32084</v>
      </c>
      <c r="UGP1" t="s">
        <v>32085</v>
      </c>
      <c r="UGQ1" t="s">
        <v>32086</v>
      </c>
      <c r="UGR1" t="s">
        <v>32087</v>
      </c>
      <c r="UGS1" t="s">
        <v>32088</v>
      </c>
      <c r="UGT1" t="s">
        <v>32089</v>
      </c>
      <c r="UGU1" t="s">
        <v>32090</v>
      </c>
      <c r="UGV1" t="s">
        <v>32091</v>
      </c>
      <c r="UGW1" t="s">
        <v>32092</v>
      </c>
      <c r="UGX1" t="s">
        <v>32093</v>
      </c>
      <c r="UGY1" t="s">
        <v>32094</v>
      </c>
      <c r="UGZ1" t="s">
        <v>32095</v>
      </c>
      <c r="UHA1" t="s">
        <v>32096</v>
      </c>
      <c r="UHB1" t="s">
        <v>32097</v>
      </c>
      <c r="UHC1" t="s">
        <v>32098</v>
      </c>
      <c r="UHD1" t="s">
        <v>32099</v>
      </c>
      <c r="UHE1" t="s">
        <v>32100</v>
      </c>
      <c r="UHF1" t="s">
        <v>32101</v>
      </c>
      <c r="UHG1" t="s">
        <v>32102</v>
      </c>
      <c r="UHH1" t="s">
        <v>32103</v>
      </c>
      <c r="UHI1" t="s">
        <v>32104</v>
      </c>
      <c r="UHJ1" t="s">
        <v>32105</v>
      </c>
      <c r="UHK1" t="s">
        <v>32106</v>
      </c>
      <c r="UHL1" t="s">
        <v>32107</v>
      </c>
      <c r="UHM1" t="s">
        <v>32108</v>
      </c>
      <c r="UHN1" t="s">
        <v>32109</v>
      </c>
      <c r="UHO1" t="s">
        <v>32110</v>
      </c>
      <c r="UHP1" t="s">
        <v>32111</v>
      </c>
      <c r="UHQ1" t="s">
        <v>32112</v>
      </c>
      <c r="UHR1" t="s">
        <v>32113</v>
      </c>
      <c r="UHS1" t="s">
        <v>32114</v>
      </c>
      <c r="UHT1" t="s">
        <v>32115</v>
      </c>
      <c r="UHU1" t="s">
        <v>32116</v>
      </c>
      <c r="UHV1" t="s">
        <v>32117</v>
      </c>
      <c r="UHW1" t="s">
        <v>32118</v>
      </c>
      <c r="UHX1" t="s">
        <v>32119</v>
      </c>
      <c r="UHY1" t="s">
        <v>32120</v>
      </c>
      <c r="UHZ1" t="s">
        <v>32121</v>
      </c>
      <c r="UIA1" t="s">
        <v>32122</v>
      </c>
      <c r="UIB1" t="s">
        <v>32123</v>
      </c>
      <c r="UIC1" t="s">
        <v>32124</v>
      </c>
      <c r="UID1" t="s">
        <v>32125</v>
      </c>
      <c r="UIE1" t="s">
        <v>32126</v>
      </c>
      <c r="UIF1" t="s">
        <v>32127</v>
      </c>
      <c r="UIG1" t="s">
        <v>32128</v>
      </c>
      <c r="UIH1" t="s">
        <v>32129</v>
      </c>
      <c r="UII1" t="s">
        <v>32130</v>
      </c>
      <c r="UIJ1" t="s">
        <v>32131</v>
      </c>
      <c r="UIK1" t="s">
        <v>32132</v>
      </c>
      <c r="UIL1" t="s">
        <v>32133</v>
      </c>
      <c r="UIM1" t="s">
        <v>32134</v>
      </c>
      <c r="UIN1" t="s">
        <v>32135</v>
      </c>
      <c r="UIO1" t="s">
        <v>32136</v>
      </c>
      <c r="UIP1" t="s">
        <v>32137</v>
      </c>
      <c r="UIQ1" t="s">
        <v>32138</v>
      </c>
      <c r="UIR1" t="s">
        <v>32139</v>
      </c>
      <c r="UIS1" t="s">
        <v>32140</v>
      </c>
      <c r="UIT1" t="s">
        <v>32141</v>
      </c>
      <c r="UIU1" t="s">
        <v>32142</v>
      </c>
      <c r="UIV1" t="s">
        <v>32143</v>
      </c>
      <c r="UIW1" t="s">
        <v>32144</v>
      </c>
      <c r="UIX1" t="s">
        <v>32145</v>
      </c>
      <c r="UIY1" t="s">
        <v>32146</v>
      </c>
      <c r="UIZ1" t="s">
        <v>32147</v>
      </c>
      <c r="UJA1" t="s">
        <v>32148</v>
      </c>
      <c r="UJB1" t="s">
        <v>32149</v>
      </c>
      <c r="UJC1" t="s">
        <v>32150</v>
      </c>
      <c r="UJD1" t="s">
        <v>32151</v>
      </c>
      <c r="UJE1" t="s">
        <v>32152</v>
      </c>
      <c r="UJF1" t="s">
        <v>32153</v>
      </c>
      <c r="UJG1" t="s">
        <v>32154</v>
      </c>
      <c r="UJH1" t="s">
        <v>32155</v>
      </c>
      <c r="UJI1" t="s">
        <v>32156</v>
      </c>
      <c r="UJJ1" t="s">
        <v>32157</v>
      </c>
      <c r="UJK1" t="s">
        <v>32158</v>
      </c>
      <c r="UJL1" t="s">
        <v>32159</v>
      </c>
      <c r="UJM1" t="s">
        <v>32160</v>
      </c>
      <c r="UJN1" t="s">
        <v>32161</v>
      </c>
      <c r="UJO1" t="s">
        <v>32162</v>
      </c>
      <c r="UJP1" t="s">
        <v>32163</v>
      </c>
      <c r="UJQ1" t="s">
        <v>32164</v>
      </c>
      <c r="UJR1" t="s">
        <v>32165</v>
      </c>
      <c r="UJS1" t="s">
        <v>32166</v>
      </c>
      <c r="UJT1" t="s">
        <v>32167</v>
      </c>
      <c r="UJU1" t="s">
        <v>32168</v>
      </c>
      <c r="UJV1" t="s">
        <v>32169</v>
      </c>
      <c r="UJW1" t="s">
        <v>32170</v>
      </c>
      <c r="UJX1" t="s">
        <v>32171</v>
      </c>
      <c r="UJY1" t="s">
        <v>32172</v>
      </c>
      <c r="UJZ1" t="s">
        <v>32173</v>
      </c>
      <c r="UKA1" t="s">
        <v>32174</v>
      </c>
      <c r="UKB1" t="s">
        <v>32175</v>
      </c>
      <c r="UKC1" t="s">
        <v>32176</v>
      </c>
      <c r="UKD1" t="s">
        <v>32177</v>
      </c>
      <c r="UKE1" t="s">
        <v>32178</v>
      </c>
      <c r="UKF1" t="s">
        <v>32179</v>
      </c>
      <c r="UKG1" t="s">
        <v>32180</v>
      </c>
      <c r="UKH1" t="s">
        <v>32181</v>
      </c>
      <c r="UKI1" t="s">
        <v>32182</v>
      </c>
      <c r="UKJ1" t="s">
        <v>32183</v>
      </c>
      <c r="UKK1" t="s">
        <v>32184</v>
      </c>
      <c r="UKL1" t="s">
        <v>32185</v>
      </c>
      <c r="UKM1" t="s">
        <v>32186</v>
      </c>
      <c r="UKN1" t="s">
        <v>32187</v>
      </c>
      <c r="UKO1" t="s">
        <v>32188</v>
      </c>
      <c r="UKP1" t="s">
        <v>32189</v>
      </c>
      <c r="UKQ1" t="s">
        <v>32190</v>
      </c>
      <c r="UKR1" t="s">
        <v>32191</v>
      </c>
      <c r="UKS1" t="s">
        <v>32192</v>
      </c>
      <c r="UKT1" t="s">
        <v>32193</v>
      </c>
      <c r="UKU1" t="s">
        <v>32194</v>
      </c>
      <c r="UKV1" t="s">
        <v>32195</v>
      </c>
      <c r="UKW1" t="s">
        <v>32196</v>
      </c>
      <c r="UKX1" t="s">
        <v>32197</v>
      </c>
      <c r="UKY1" t="s">
        <v>32198</v>
      </c>
      <c r="UKZ1" t="s">
        <v>32199</v>
      </c>
      <c r="ULA1" t="s">
        <v>32200</v>
      </c>
      <c r="ULB1" t="s">
        <v>32201</v>
      </c>
      <c r="ULC1" t="s">
        <v>32202</v>
      </c>
      <c r="ULD1" t="s">
        <v>32203</v>
      </c>
      <c r="ULE1" t="s">
        <v>32204</v>
      </c>
      <c r="ULF1" t="s">
        <v>32205</v>
      </c>
      <c r="ULG1" t="s">
        <v>32206</v>
      </c>
      <c r="ULH1" t="s">
        <v>32207</v>
      </c>
      <c r="ULI1" t="s">
        <v>32208</v>
      </c>
      <c r="ULJ1" t="s">
        <v>32209</v>
      </c>
      <c r="ULK1" t="s">
        <v>32210</v>
      </c>
      <c r="ULL1" t="s">
        <v>32211</v>
      </c>
      <c r="ULM1" t="s">
        <v>32212</v>
      </c>
      <c r="ULN1" t="s">
        <v>32213</v>
      </c>
      <c r="ULO1" t="s">
        <v>32214</v>
      </c>
      <c r="ULP1" t="s">
        <v>32215</v>
      </c>
      <c r="ULQ1" t="s">
        <v>32216</v>
      </c>
      <c r="ULR1" t="s">
        <v>32217</v>
      </c>
      <c r="ULS1" t="s">
        <v>32218</v>
      </c>
      <c r="ULT1" t="s">
        <v>32219</v>
      </c>
      <c r="ULU1" t="s">
        <v>32220</v>
      </c>
      <c r="ULV1" t="s">
        <v>32221</v>
      </c>
      <c r="ULW1" t="s">
        <v>32222</v>
      </c>
      <c r="ULX1" t="s">
        <v>32223</v>
      </c>
      <c r="ULY1" t="s">
        <v>32224</v>
      </c>
      <c r="ULZ1" t="s">
        <v>32225</v>
      </c>
      <c r="UMA1" t="s">
        <v>32226</v>
      </c>
      <c r="UMB1" t="s">
        <v>32227</v>
      </c>
      <c r="UMC1" t="s">
        <v>32228</v>
      </c>
      <c r="UMD1" t="s">
        <v>32229</v>
      </c>
      <c r="UME1" t="s">
        <v>32230</v>
      </c>
      <c r="UMF1" t="s">
        <v>32231</v>
      </c>
      <c r="UMG1" t="s">
        <v>32232</v>
      </c>
      <c r="UMH1" t="s">
        <v>32233</v>
      </c>
      <c r="UMI1" t="s">
        <v>32234</v>
      </c>
      <c r="UMJ1" t="s">
        <v>32235</v>
      </c>
      <c r="UMK1" t="s">
        <v>32236</v>
      </c>
      <c r="UML1" t="s">
        <v>32237</v>
      </c>
      <c r="UMM1" t="s">
        <v>32238</v>
      </c>
      <c r="UMN1" t="s">
        <v>32239</v>
      </c>
      <c r="UMO1" t="s">
        <v>32240</v>
      </c>
      <c r="UMP1" t="s">
        <v>32241</v>
      </c>
      <c r="UMQ1" t="s">
        <v>32242</v>
      </c>
      <c r="UMR1" t="s">
        <v>32243</v>
      </c>
      <c r="UMS1" t="s">
        <v>32244</v>
      </c>
      <c r="UMT1" t="s">
        <v>32245</v>
      </c>
      <c r="UMU1" t="s">
        <v>32246</v>
      </c>
      <c r="UMV1" t="s">
        <v>32247</v>
      </c>
      <c r="UMW1" t="s">
        <v>32248</v>
      </c>
      <c r="UMX1" t="s">
        <v>32249</v>
      </c>
      <c r="UMY1" t="s">
        <v>32250</v>
      </c>
      <c r="UMZ1" t="s">
        <v>32251</v>
      </c>
      <c r="UNA1" t="s">
        <v>32252</v>
      </c>
      <c r="UNB1" t="s">
        <v>32253</v>
      </c>
      <c r="UNC1" t="s">
        <v>32254</v>
      </c>
      <c r="UND1" t="s">
        <v>32255</v>
      </c>
      <c r="UNE1" t="s">
        <v>32256</v>
      </c>
      <c r="UNF1" t="s">
        <v>32257</v>
      </c>
      <c r="UNG1" t="s">
        <v>32258</v>
      </c>
      <c r="UNH1" t="s">
        <v>32259</v>
      </c>
      <c r="UNI1" t="s">
        <v>32260</v>
      </c>
      <c r="UNJ1" t="s">
        <v>32261</v>
      </c>
      <c r="UNK1" t="s">
        <v>32262</v>
      </c>
      <c r="UNL1" t="s">
        <v>32263</v>
      </c>
      <c r="UNM1" t="s">
        <v>32264</v>
      </c>
      <c r="UNN1" t="s">
        <v>32265</v>
      </c>
      <c r="UNO1" t="s">
        <v>32266</v>
      </c>
      <c r="UNP1" t="s">
        <v>32267</v>
      </c>
      <c r="UNQ1" t="s">
        <v>32268</v>
      </c>
      <c r="UNR1" t="s">
        <v>32269</v>
      </c>
      <c r="UNS1" t="s">
        <v>32270</v>
      </c>
      <c r="UNT1" t="s">
        <v>32271</v>
      </c>
      <c r="UNU1" t="s">
        <v>32272</v>
      </c>
      <c r="UNV1" t="s">
        <v>32273</v>
      </c>
      <c r="UNW1" t="s">
        <v>32274</v>
      </c>
      <c r="UNX1" t="s">
        <v>32275</v>
      </c>
      <c r="UNY1" t="s">
        <v>32276</v>
      </c>
      <c r="UNZ1" t="s">
        <v>32277</v>
      </c>
      <c r="UOA1" t="s">
        <v>32278</v>
      </c>
      <c r="UOB1" t="s">
        <v>32279</v>
      </c>
      <c r="UOC1" t="s">
        <v>32280</v>
      </c>
      <c r="UOD1" t="s">
        <v>32281</v>
      </c>
      <c r="UOE1" t="s">
        <v>32282</v>
      </c>
      <c r="UOF1" t="s">
        <v>32283</v>
      </c>
      <c r="UOG1" t="s">
        <v>32284</v>
      </c>
      <c r="UOH1" t="s">
        <v>32285</v>
      </c>
      <c r="UOI1" t="s">
        <v>32286</v>
      </c>
      <c r="UOJ1" t="s">
        <v>32287</v>
      </c>
      <c r="UOK1" t="s">
        <v>32288</v>
      </c>
      <c r="UOL1" t="s">
        <v>32289</v>
      </c>
      <c r="UOM1" t="s">
        <v>32290</v>
      </c>
      <c r="UON1" t="s">
        <v>32291</v>
      </c>
      <c r="UOO1" t="s">
        <v>32292</v>
      </c>
      <c r="UOP1" t="s">
        <v>32293</v>
      </c>
      <c r="UOQ1" t="s">
        <v>32294</v>
      </c>
      <c r="UOR1" t="s">
        <v>32295</v>
      </c>
      <c r="UOS1" t="s">
        <v>32296</v>
      </c>
      <c r="UOT1" t="s">
        <v>32297</v>
      </c>
      <c r="UOU1" t="s">
        <v>32298</v>
      </c>
      <c r="UOV1" t="s">
        <v>32299</v>
      </c>
      <c r="UOW1" t="s">
        <v>32300</v>
      </c>
      <c r="UOX1" t="s">
        <v>32301</v>
      </c>
      <c r="UOY1" t="s">
        <v>32302</v>
      </c>
      <c r="UOZ1" t="s">
        <v>32303</v>
      </c>
      <c r="UPA1" t="s">
        <v>32304</v>
      </c>
      <c r="UPB1" t="s">
        <v>32305</v>
      </c>
      <c r="UPC1" t="s">
        <v>32306</v>
      </c>
      <c r="UPD1" t="s">
        <v>32307</v>
      </c>
      <c r="UPE1" t="s">
        <v>32308</v>
      </c>
      <c r="UPF1" t="s">
        <v>32309</v>
      </c>
      <c r="UPG1" t="s">
        <v>32310</v>
      </c>
      <c r="UPH1" t="s">
        <v>32311</v>
      </c>
      <c r="UPI1" t="s">
        <v>32312</v>
      </c>
      <c r="UPJ1" t="s">
        <v>32313</v>
      </c>
      <c r="UPK1" t="s">
        <v>32314</v>
      </c>
      <c r="UPL1" t="s">
        <v>32315</v>
      </c>
      <c r="UPM1" t="s">
        <v>32316</v>
      </c>
      <c r="UPN1" t="s">
        <v>32317</v>
      </c>
      <c r="UPO1" t="s">
        <v>32318</v>
      </c>
      <c r="UPP1" t="s">
        <v>32319</v>
      </c>
      <c r="UPQ1" t="s">
        <v>32320</v>
      </c>
      <c r="UPR1" t="s">
        <v>32321</v>
      </c>
      <c r="UPS1" t="s">
        <v>32322</v>
      </c>
      <c r="UPT1" t="s">
        <v>32323</v>
      </c>
      <c r="UPU1" t="s">
        <v>32324</v>
      </c>
      <c r="UPV1" t="s">
        <v>32325</v>
      </c>
      <c r="UPW1" t="s">
        <v>32326</v>
      </c>
      <c r="UPX1" t="s">
        <v>32327</v>
      </c>
      <c r="UPY1" t="s">
        <v>32328</v>
      </c>
      <c r="UPZ1" t="s">
        <v>32329</v>
      </c>
      <c r="UQA1" t="s">
        <v>32330</v>
      </c>
      <c r="UQB1" t="s">
        <v>32331</v>
      </c>
      <c r="UQC1" t="s">
        <v>32332</v>
      </c>
      <c r="UQD1" t="s">
        <v>32333</v>
      </c>
      <c r="UQE1" t="s">
        <v>32334</v>
      </c>
      <c r="UQF1" t="s">
        <v>32335</v>
      </c>
      <c r="UQG1" t="s">
        <v>32336</v>
      </c>
      <c r="UQH1" t="s">
        <v>32337</v>
      </c>
      <c r="UQI1" t="s">
        <v>32338</v>
      </c>
      <c r="UQJ1" t="s">
        <v>32339</v>
      </c>
      <c r="UQK1" t="s">
        <v>32340</v>
      </c>
      <c r="UQL1" t="s">
        <v>32341</v>
      </c>
      <c r="UQM1" t="s">
        <v>32342</v>
      </c>
      <c r="UQN1" t="s">
        <v>32343</v>
      </c>
      <c r="UQO1" t="s">
        <v>32344</v>
      </c>
      <c r="UQP1" t="s">
        <v>32345</v>
      </c>
      <c r="UQQ1" t="s">
        <v>32346</v>
      </c>
      <c r="UQR1" t="s">
        <v>32347</v>
      </c>
      <c r="UQS1" t="s">
        <v>32348</v>
      </c>
      <c r="UQT1" t="s">
        <v>32349</v>
      </c>
      <c r="UQU1" t="s">
        <v>32350</v>
      </c>
      <c r="UQV1" t="s">
        <v>32351</v>
      </c>
      <c r="UQW1" t="s">
        <v>32352</v>
      </c>
      <c r="UQX1" t="s">
        <v>32353</v>
      </c>
      <c r="UQY1" t="s">
        <v>32354</v>
      </c>
      <c r="UQZ1" t="s">
        <v>32355</v>
      </c>
      <c r="URA1" t="s">
        <v>32356</v>
      </c>
      <c r="URB1" t="s">
        <v>32357</v>
      </c>
      <c r="URC1" t="s">
        <v>32358</v>
      </c>
      <c r="URD1" t="s">
        <v>32359</v>
      </c>
      <c r="URE1" t="s">
        <v>32360</v>
      </c>
      <c r="URF1" t="s">
        <v>32361</v>
      </c>
      <c r="URG1" t="s">
        <v>32362</v>
      </c>
      <c r="URH1" t="s">
        <v>32363</v>
      </c>
      <c r="URI1" t="s">
        <v>32364</v>
      </c>
      <c r="URJ1" t="s">
        <v>32365</v>
      </c>
      <c r="URK1" t="s">
        <v>32366</v>
      </c>
      <c r="URL1" t="s">
        <v>32367</v>
      </c>
      <c r="URM1" t="s">
        <v>32368</v>
      </c>
      <c r="URN1" t="s">
        <v>32369</v>
      </c>
      <c r="URO1" t="s">
        <v>32370</v>
      </c>
      <c r="URP1" t="s">
        <v>32371</v>
      </c>
      <c r="URQ1" t="s">
        <v>32372</v>
      </c>
      <c r="URR1" t="s">
        <v>32373</v>
      </c>
      <c r="URS1" t="s">
        <v>32374</v>
      </c>
      <c r="URT1" t="s">
        <v>32375</v>
      </c>
      <c r="URU1" t="s">
        <v>32376</v>
      </c>
      <c r="URV1" t="s">
        <v>32377</v>
      </c>
      <c r="URW1" t="s">
        <v>32378</v>
      </c>
      <c r="URX1" t="s">
        <v>32379</v>
      </c>
      <c r="URY1" t="s">
        <v>32380</v>
      </c>
      <c r="URZ1" t="s">
        <v>32381</v>
      </c>
      <c r="USA1" t="s">
        <v>32382</v>
      </c>
      <c r="USB1" t="s">
        <v>32383</v>
      </c>
      <c r="USC1" t="s">
        <v>32384</v>
      </c>
      <c r="USD1" t="s">
        <v>32385</v>
      </c>
      <c r="USE1" t="s">
        <v>32386</v>
      </c>
      <c r="USF1" t="s">
        <v>32387</v>
      </c>
      <c r="USG1" t="s">
        <v>32388</v>
      </c>
      <c r="USH1" t="s">
        <v>32389</v>
      </c>
      <c r="USI1" t="s">
        <v>32390</v>
      </c>
      <c r="USJ1" t="s">
        <v>32391</v>
      </c>
      <c r="USK1" t="s">
        <v>32392</v>
      </c>
      <c r="USL1" t="s">
        <v>32393</v>
      </c>
      <c r="USM1" t="s">
        <v>32394</v>
      </c>
      <c r="USN1" t="s">
        <v>32395</v>
      </c>
      <c r="USO1" t="s">
        <v>32396</v>
      </c>
      <c r="USP1" t="s">
        <v>32397</v>
      </c>
      <c r="USQ1" t="s">
        <v>32398</v>
      </c>
      <c r="USR1" t="s">
        <v>32399</v>
      </c>
      <c r="USS1" t="s">
        <v>32400</v>
      </c>
      <c r="UST1" t="s">
        <v>32401</v>
      </c>
      <c r="USU1" t="s">
        <v>32402</v>
      </c>
      <c r="USV1" t="s">
        <v>32403</v>
      </c>
      <c r="USW1" t="s">
        <v>32404</v>
      </c>
      <c r="USX1" t="s">
        <v>32405</v>
      </c>
      <c r="USY1" t="s">
        <v>32406</v>
      </c>
      <c r="USZ1" t="s">
        <v>32407</v>
      </c>
      <c r="UTA1" t="s">
        <v>32408</v>
      </c>
      <c r="UTB1" t="s">
        <v>32409</v>
      </c>
      <c r="UTC1" t="s">
        <v>32410</v>
      </c>
      <c r="UTD1" t="s">
        <v>32411</v>
      </c>
      <c r="UTE1" t="s">
        <v>32412</v>
      </c>
      <c r="UTF1" t="s">
        <v>32413</v>
      </c>
      <c r="UTG1" t="s">
        <v>32414</v>
      </c>
      <c r="UTH1" t="s">
        <v>32415</v>
      </c>
      <c r="UTI1" t="s">
        <v>32416</v>
      </c>
      <c r="UTJ1" t="s">
        <v>32417</v>
      </c>
      <c r="UTK1" t="s">
        <v>32418</v>
      </c>
      <c r="UTL1" t="s">
        <v>32419</v>
      </c>
      <c r="UTM1" t="s">
        <v>32420</v>
      </c>
      <c r="UTN1" t="s">
        <v>32421</v>
      </c>
      <c r="UTO1" t="s">
        <v>32422</v>
      </c>
      <c r="UTP1" t="s">
        <v>32423</v>
      </c>
      <c r="UTQ1" t="s">
        <v>32424</v>
      </c>
      <c r="UTR1" t="s">
        <v>32425</v>
      </c>
      <c r="UTS1" t="s">
        <v>32426</v>
      </c>
      <c r="UTT1" t="s">
        <v>32427</v>
      </c>
      <c r="UTU1" t="s">
        <v>32428</v>
      </c>
      <c r="UTV1" t="s">
        <v>32429</v>
      </c>
      <c r="UTW1" t="s">
        <v>32430</v>
      </c>
      <c r="UTX1" t="s">
        <v>32431</v>
      </c>
      <c r="UTY1" t="s">
        <v>32432</v>
      </c>
      <c r="UTZ1" t="s">
        <v>32433</v>
      </c>
      <c r="UUA1" t="s">
        <v>32434</v>
      </c>
      <c r="UUB1" t="s">
        <v>32435</v>
      </c>
      <c r="UUC1" t="s">
        <v>32436</v>
      </c>
      <c r="UUD1" t="s">
        <v>32437</v>
      </c>
      <c r="UUE1" t="s">
        <v>32438</v>
      </c>
      <c r="UUF1" t="s">
        <v>32439</v>
      </c>
      <c r="UUG1" t="s">
        <v>32440</v>
      </c>
      <c r="UUH1" t="s">
        <v>32441</v>
      </c>
      <c r="UUI1" t="s">
        <v>32442</v>
      </c>
      <c r="UUJ1" t="s">
        <v>32443</v>
      </c>
      <c r="UUK1" t="s">
        <v>32444</v>
      </c>
      <c r="UUL1" t="s">
        <v>32445</v>
      </c>
      <c r="UUM1" t="s">
        <v>32446</v>
      </c>
      <c r="UUN1" t="s">
        <v>32447</v>
      </c>
      <c r="UUO1" t="s">
        <v>32448</v>
      </c>
      <c r="UUP1" t="s">
        <v>32449</v>
      </c>
      <c r="UUQ1" t="s">
        <v>32450</v>
      </c>
      <c r="UUR1" t="s">
        <v>32451</v>
      </c>
      <c r="UUS1" t="s">
        <v>32452</v>
      </c>
      <c r="UUT1" t="s">
        <v>32453</v>
      </c>
      <c r="UUU1" t="s">
        <v>32454</v>
      </c>
      <c r="UUV1" t="s">
        <v>32455</v>
      </c>
      <c r="UUW1" t="s">
        <v>32456</v>
      </c>
      <c r="UUX1" t="s">
        <v>32457</v>
      </c>
      <c r="UUY1" t="s">
        <v>32458</v>
      </c>
      <c r="UUZ1" t="s">
        <v>32459</v>
      </c>
      <c r="UVA1" t="s">
        <v>32460</v>
      </c>
      <c r="UVB1" t="s">
        <v>32461</v>
      </c>
      <c r="UVC1" t="s">
        <v>32462</v>
      </c>
      <c r="UVD1" t="s">
        <v>32463</v>
      </c>
      <c r="UVE1" t="s">
        <v>32464</v>
      </c>
      <c r="UVF1" t="s">
        <v>32465</v>
      </c>
      <c r="UVG1" t="s">
        <v>32466</v>
      </c>
      <c r="UVH1" t="s">
        <v>32467</v>
      </c>
      <c r="UVI1" t="s">
        <v>32468</v>
      </c>
      <c r="UVJ1" t="s">
        <v>32469</v>
      </c>
      <c r="UVK1" t="s">
        <v>32470</v>
      </c>
      <c r="UVL1" t="s">
        <v>32471</v>
      </c>
      <c r="UVM1" t="s">
        <v>32472</v>
      </c>
      <c r="UVN1" t="s">
        <v>32473</v>
      </c>
      <c r="UVO1" t="s">
        <v>32474</v>
      </c>
      <c r="UVP1" t="s">
        <v>32475</v>
      </c>
      <c r="UVQ1" t="s">
        <v>32476</v>
      </c>
      <c r="UVR1" t="s">
        <v>32477</v>
      </c>
      <c r="UVS1" t="s">
        <v>32478</v>
      </c>
      <c r="UVT1" t="s">
        <v>32479</v>
      </c>
      <c r="UVU1" t="s">
        <v>32480</v>
      </c>
      <c r="UVV1" t="s">
        <v>32481</v>
      </c>
      <c r="UVW1" t="s">
        <v>32482</v>
      </c>
      <c r="UVX1" t="s">
        <v>32483</v>
      </c>
      <c r="UVY1" t="s">
        <v>32484</v>
      </c>
      <c r="UVZ1" t="s">
        <v>32485</v>
      </c>
      <c r="UWA1" t="s">
        <v>32486</v>
      </c>
      <c r="UWB1" t="s">
        <v>32487</v>
      </c>
      <c r="UWC1" t="s">
        <v>32488</v>
      </c>
      <c r="UWD1" t="s">
        <v>32489</v>
      </c>
      <c r="UWE1" t="s">
        <v>32490</v>
      </c>
      <c r="UWF1" t="s">
        <v>32491</v>
      </c>
      <c r="UWG1" t="s">
        <v>32492</v>
      </c>
      <c r="UWH1" t="s">
        <v>32493</v>
      </c>
      <c r="UWI1" t="s">
        <v>32494</v>
      </c>
      <c r="UWJ1" t="s">
        <v>32495</v>
      </c>
      <c r="UWK1" t="s">
        <v>32496</v>
      </c>
      <c r="UWL1" t="s">
        <v>32497</v>
      </c>
      <c r="UWM1" t="s">
        <v>32498</v>
      </c>
      <c r="UWN1" t="s">
        <v>32499</v>
      </c>
      <c r="UWO1" t="s">
        <v>32500</v>
      </c>
      <c r="UWP1" t="s">
        <v>32501</v>
      </c>
      <c r="UWQ1" t="s">
        <v>32502</v>
      </c>
      <c r="UWR1" t="s">
        <v>32503</v>
      </c>
      <c r="UWS1" t="s">
        <v>32504</v>
      </c>
      <c r="UWT1" t="s">
        <v>32505</v>
      </c>
      <c r="UWU1" t="s">
        <v>32506</v>
      </c>
      <c r="UWV1" t="s">
        <v>32507</v>
      </c>
      <c r="UWW1" t="s">
        <v>32508</v>
      </c>
      <c r="UWX1" t="s">
        <v>32509</v>
      </c>
      <c r="UWY1" t="s">
        <v>32510</v>
      </c>
      <c r="UWZ1" t="s">
        <v>32511</v>
      </c>
      <c r="UXA1" t="s">
        <v>32512</v>
      </c>
      <c r="UXB1" t="s">
        <v>32513</v>
      </c>
      <c r="UXC1" t="s">
        <v>32514</v>
      </c>
      <c r="UXD1" t="s">
        <v>32515</v>
      </c>
      <c r="UXE1" t="s">
        <v>32516</v>
      </c>
      <c r="UXF1" t="s">
        <v>32517</v>
      </c>
      <c r="UXG1" t="s">
        <v>32518</v>
      </c>
      <c r="UXH1" t="s">
        <v>32519</v>
      </c>
      <c r="UXI1" t="s">
        <v>32520</v>
      </c>
      <c r="UXJ1" t="s">
        <v>32521</v>
      </c>
      <c r="UXK1" t="s">
        <v>32522</v>
      </c>
      <c r="UXL1" t="s">
        <v>32523</v>
      </c>
      <c r="UXM1" t="s">
        <v>32524</v>
      </c>
      <c r="UXN1" t="s">
        <v>32525</v>
      </c>
      <c r="UXO1" t="s">
        <v>32526</v>
      </c>
      <c r="UXP1" t="s">
        <v>32527</v>
      </c>
      <c r="UXQ1" t="s">
        <v>32528</v>
      </c>
      <c r="UXR1" t="s">
        <v>32529</v>
      </c>
      <c r="UXS1" t="s">
        <v>32530</v>
      </c>
      <c r="UXT1" t="s">
        <v>32531</v>
      </c>
      <c r="UXU1" t="s">
        <v>32532</v>
      </c>
      <c r="UXV1" t="s">
        <v>32533</v>
      </c>
      <c r="UXW1" t="s">
        <v>32534</v>
      </c>
      <c r="UXX1" t="s">
        <v>32535</v>
      </c>
      <c r="UXY1" t="s">
        <v>32536</v>
      </c>
      <c r="UXZ1" t="s">
        <v>32537</v>
      </c>
      <c r="UYA1" t="s">
        <v>32538</v>
      </c>
      <c r="UYB1" t="s">
        <v>32539</v>
      </c>
      <c r="UYC1" t="s">
        <v>32540</v>
      </c>
      <c r="UYD1" t="s">
        <v>32541</v>
      </c>
      <c r="UYE1" t="s">
        <v>32542</v>
      </c>
      <c r="UYF1" t="s">
        <v>32543</v>
      </c>
      <c r="UYG1" t="s">
        <v>32544</v>
      </c>
      <c r="UYH1" t="s">
        <v>32545</v>
      </c>
      <c r="UYI1" t="s">
        <v>32546</v>
      </c>
      <c r="UYJ1" t="s">
        <v>32547</v>
      </c>
      <c r="UYK1" t="s">
        <v>32548</v>
      </c>
      <c r="UYL1" t="s">
        <v>32549</v>
      </c>
      <c r="UYM1" t="s">
        <v>32550</v>
      </c>
      <c r="UYN1" t="s">
        <v>32551</v>
      </c>
      <c r="UYO1" t="s">
        <v>32552</v>
      </c>
      <c r="UYP1" t="s">
        <v>32553</v>
      </c>
      <c r="UYQ1" t="s">
        <v>32554</v>
      </c>
      <c r="UYR1" t="s">
        <v>32555</v>
      </c>
      <c r="UYS1" t="s">
        <v>32556</v>
      </c>
      <c r="UYT1" t="s">
        <v>32557</v>
      </c>
      <c r="UYU1" t="s">
        <v>32558</v>
      </c>
      <c r="UYV1" t="s">
        <v>32559</v>
      </c>
      <c r="UYW1" t="s">
        <v>32560</v>
      </c>
      <c r="UYX1" t="s">
        <v>32561</v>
      </c>
      <c r="UYY1" t="s">
        <v>32562</v>
      </c>
      <c r="UYZ1" t="s">
        <v>32563</v>
      </c>
      <c r="UZA1" t="s">
        <v>32564</v>
      </c>
      <c r="UZB1" t="s">
        <v>32565</v>
      </c>
      <c r="UZC1" t="s">
        <v>32566</v>
      </c>
      <c r="UZD1" t="s">
        <v>32567</v>
      </c>
      <c r="UZE1" t="s">
        <v>32568</v>
      </c>
      <c r="UZF1" t="s">
        <v>32569</v>
      </c>
      <c r="UZG1" t="s">
        <v>32570</v>
      </c>
      <c r="UZH1" t="s">
        <v>32571</v>
      </c>
      <c r="UZI1" t="s">
        <v>32572</v>
      </c>
      <c r="UZJ1" t="s">
        <v>32573</v>
      </c>
      <c r="UZK1" t="s">
        <v>32574</v>
      </c>
      <c r="UZL1" t="s">
        <v>32575</v>
      </c>
      <c r="UZM1" t="s">
        <v>32576</v>
      </c>
      <c r="UZN1" t="s">
        <v>32577</v>
      </c>
      <c r="UZO1" t="s">
        <v>32578</v>
      </c>
      <c r="UZP1" t="s">
        <v>32579</v>
      </c>
      <c r="UZQ1" t="s">
        <v>32580</v>
      </c>
      <c r="UZR1" t="s">
        <v>32581</v>
      </c>
      <c r="UZS1" t="s">
        <v>32582</v>
      </c>
      <c r="UZT1" t="s">
        <v>32583</v>
      </c>
      <c r="UZU1" t="s">
        <v>32584</v>
      </c>
      <c r="UZV1" t="s">
        <v>32585</v>
      </c>
      <c r="UZW1" t="s">
        <v>32586</v>
      </c>
      <c r="UZX1" t="s">
        <v>32587</v>
      </c>
      <c r="UZY1" t="s">
        <v>32588</v>
      </c>
      <c r="UZZ1" t="s">
        <v>32589</v>
      </c>
      <c r="VAA1" t="s">
        <v>32590</v>
      </c>
      <c r="VAB1" t="s">
        <v>32591</v>
      </c>
      <c r="VAC1" t="s">
        <v>32592</v>
      </c>
      <c r="VAD1" t="s">
        <v>32593</v>
      </c>
      <c r="VAE1" t="s">
        <v>32594</v>
      </c>
      <c r="VAF1" t="s">
        <v>32595</v>
      </c>
      <c r="VAG1" t="s">
        <v>32596</v>
      </c>
      <c r="VAH1" t="s">
        <v>32597</v>
      </c>
      <c r="VAI1" t="s">
        <v>32598</v>
      </c>
      <c r="VAJ1" t="s">
        <v>32599</v>
      </c>
      <c r="VAK1" t="s">
        <v>32600</v>
      </c>
      <c r="VAL1" t="s">
        <v>32601</v>
      </c>
      <c r="VAM1" t="s">
        <v>32602</v>
      </c>
      <c r="VAN1" t="s">
        <v>32603</v>
      </c>
      <c r="VAO1" t="s">
        <v>32604</v>
      </c>
      <c r="VAP1" t="s">
        <v>32605</v>
      </c>
      <c r="VAQ1" t="s">
        <v>32606</v>
      </c>
      <c r="VAR1" t="s">
        <v>32607</v>
      </c>
      <c r="VAS1" t="s">
        <v>32608</v>
      </c>
      <c r="VAT1" t="s">
        <v>32609</v>
      </c>
      <c r="VAU1" t="s">
        <v>32610</v>
      </c>
      <c r="VAV1" t="s">
        <v>32611</v>
      </c>
      <c r="VAW1" t="s">
        <v>32612</v>
      </c>
      <c r="VAX1" t="s">
        <v>32613</v>
      </c>
      <c r="VAY1" t="s">
        <v>32614</v>
      </c>
      <c r="VAZ1" t="s">
        <v>32615</v>
      </c>
      <c r="VBA1" t="s">
        <v>32616</v>
      </c>
      <c r="VBB1" t="s">
        <v>32617</v>
      </c>
      <c r="VBC1" t="s">
        <v>32618</v>
      </c>
      <c r="VBD1" t="s">
        <v>32619</v>
      </c>
      <c r="VBE1" t="s">
        <v>32620</v>
      </c>
      <c r="VBF1" t="s">
        <v>32621</v>
      </c>
      <c r="VBG1" t="s">
        <v>32622</v>
      </c>
      <c r="VBH1" t="s">
        <v>32623</v>
      </c>
      <c r="VBI1" t="s">
        <v>32624</v>
      </c>
      <c r="VBJ1" t="s">
        <v>32625</v>
      </c>
      <c r="VBK1" t="s">
        <v>32626</v>
      </c>
      <c r="VBL1" t="s">
        <v>32627</v>
      </c>
      <c r="VBM1" t="s">
        <v>32628</v>
      </c>
      <c r="VBN1" t="s">
        <v>32629</v>
      </c>
      <c r="VBO1" t="s">
        <v>32630</v>
      </c>
      <c r="VBP1" t="s">
        <v>32631</v>
      </c>
      <c r="VBQ1" t="s">
        <v>32632</v>
      </c>
      <c r="VBR1" t="s">
        <v>32633</v>
      </c>
      <c r="VBS1" t="s">
        <v>32634</v>
      </c>
      <c r="VBT1" t="s">
        <v>32635</v>
      </c>
      <c r="VBU1" t="s">
        <v>32636</v>
      </c>
      <c r="VBV1" t="s">
        <v>32637</v>
      </c>
      <c r="VBW1" t="s">
        <v>32638</v>
      </c>
      <c r="VBX1" t="s">
        <v>32639</v>
      </c>
      <c r="VBY1" t="s">
        <v>32640</v>
      </c>
      <c r="VBZ1" t="s">
        <v>32641</v>
      </c>
      <c r="VCA1" t="s">
        <v>32642</v>
      </c>
      <c r="VCB1" t="s">
        <v>32643</v>
      </c>
      <c r="VCC1" t="s">
        <v>32644</v>
      </c>
      <c r="VCD1" t="s">
        <v>32645</v>
      </c>
      <c r="VCE1" t="s">
        <v>32646</v>
      </c>
      <c r="VCF1" t="s">
        <v>32647</v>
      </c>
      <c r="VCG1" t="s">
        <v>32648</v>
      </c>
      <c r="VCH1" t="s">
        <v>32649</v>
      </c>
      <c r="VCI1" t="s">
        <v>32650</v>
      </c>
      <c r="VCJ1" t="s">
        <v>32651</v>
      </c>
      <c r="VCK1" t="s">
        <v>32652</v>
      </c>
      <c r="VCL1" t="s">
        <v>32653</v>
      </c>
      <c r="VCM1" t="s">
        <v>32654</v>
      </c>
      <c r="VCN1" t="s">
        <v>32655</v>
      </c>
      <c r="VCO1" t="s">
        <v>32656</v>
      </c>
      <c r="VCP1" t="s">
        <v>32657</v>
      </c>
      <c r="VCQ1" t="s">
        <v>32658</v>
      </c>
      <c r="VCR1" t="s">
        <v>32659</v>
      </c>
      <c r="VCS1" t="s">
        <v>32660</v>
      </c>
      <c r="VCT1" t="s">
        <v>32661</v>
      </c>
      <c r="VCU1" t="s">
        <v>32662</v>
      </c>
      <c r="VCV1" t="s">
        <v>32663</v>
      </c>
      <c r="VCW1" t="s">
        <v>32664</v>
      </c>
      <c r="VCX1" t="s">
        <v>32665</v>
      </c>
      <c r="VCY1" t="s">
        <v>32666</v>
      </c>
      <c r="VCZ1" t="s">
        <v>32667</v>
      </c>
      <c r="VDA1" t="s">
        <v>32668</v>
      </c>
      <c r="VDB1" t="s">
        <v>32669</v>
      </c>
      <c r="VDC1" t="s">
        <v>32670</v>
      </c>
      <c r="VDD1" t="s">
        <v>32671</v>
      </c>
      <c r="VDE1" t="s">
        <v>32672</v>
      </c>
      <c r="VDF1" t="s">
        <v>32673</v>
      </c>
      <c r="VDG1" t="s">
        <v>32674</v>
      </c>
      <c r="VDH1" t="s">
        <v>32675</v>
      </c>
      <c r="VDI1" t="s">
        <v>32676</v>
      </c>
      <c r="VDJ1" t="s">
        <v>32677</v>
      </c>
      <c r="VDK1" t="s">
        <v>32678</v>
      </c>
      <c r="VDL1" t="s">
        <v>32679</v>
      </c>
      <c r="VDM1" t="s">
        <v>32680</v>
      </c>
      <c r="VDN1" t="s">
        <v>32681</v>
      </c>
      <c r="VDO1" t="s">
        <v>32682</v>
      </c>
      <c r="VDP1" t="s">
        <v>32683</v>
      </c>
      <c r="VDQ1" t="s">
        <v>32684</v>
      </c>
      <c r="VDR1" t="s">
        <v>32685</v>
      </c>
      <c r="VDS1" t="s">
        <v>32686</v>
      </c>
      <c r="VDT1" t="s">
        <v>32687</v>
      </c>
      <c r="VDU1" t="s">
        <v>32688</v>
      </c>
      <c r="VDV1" t="s">
        <v>32689</v>
      </c>
      <c r="VDW1" t="s">
        <v>32690</v>
      </c>
      <c r="VDX1" t="s">
        <v>32691</v>
      </c>
      <c r="VDY1" t="s">
        <v>32692</v>
      </c>
      <c r="VDZ1" t="s">
        <v>32693</v>
      </c>
      <c r="VEA1" t="s">
        <v>32694</v>
      </c>
      <c r="VEB1" t="s">
        <v>32695</v>
      </c>
      <c r="VEC1" t="s">
        <v>32696</v>
      </c>
      <c r="VED1" t="s">
        <v>32697</v>
      </c>
      <c r="VEE1" t="s">
        <v>32698</v>
      </c>
      <c r="VEF1" t="s">
        <v>32699</v>
      </c>
      <c r="VEG1" t="s">
        <v>32700</v>
      </c>
      <c r="VEH1" t="s">
        <v>32701</v>
      </c>
      <c r="VEI1" t="s">
        <v>32702</v>
      </c>
      <c r="VEJ1" t="s">
        <v>32703</v>
      </c>
      <c r="VEK1" t="s">
        <v>32704</v>
      </c>
      <c r="VEL1" t="s">
        <v>32705</v>
      </c>
      <c r="VEM1" t="s">
        <v>32706</v>
      </c>
      <c r="VEN1" t="s">
        <v>32707</v>
      </c>
      <c r="VEO1" t="s">
        <v>32708</v>
      </c>
      <c r="VEP1" t="s">
        <v>32709</v>
      </c>
      <c r="VEQ1" t="s">
        <v>32710</v>
      </c>
      <c r="VER1" t="s">
        <v>32711</v>
      </c>
      <c r="VES1" t="s">
        <v>32712</v>
      </c>
      <c r="VET1" t="s">
        <v>32713</v>
      </c>
      <c r="VEU1" t="s">
        <v>32714</v>
      </c>
      <c r="VEV1" t="s">
        <v>32715</v>
      </c>
      <c r="VEW1" t="s">
        <v>32716</v>
      </c>
      <c r="VEX1" t="s">
        <v>32717</v>
      </c>
      <c r="VEY1" t="s">
        <v>32718</v>
      </c>
      <c r="VEZ1" t="s">
        <v>32719</v>
      </c>
      <c r="VFA1" t="s">
        <v>32720</v>
      </c>
      <c r="VFB1" t="s">
        <v>32721</v>
      </c>
      <c r="VFC1" t="s">
        <v>32722</v>
      </c>
      <c r="VFD1" t="s">
        <v>32723</v>
      </c>
      <c r="VFE1" t="s">
        <v>32724</v>
      </c>
      <c r="VFF1" t="s">
        <v>32725</v>
      </c>
      <c r="VFG1" t="s">
        <v>32726</v>
      </c>
      <c r="VFH1" t="s">
        <v>32727</v>
      </c>
      <c r="VFI1" t="s">
        <v>32728</v>
      </c>
      <c r="VFJ1" t="s">
        <v>32729</v>
      </c>
      <c r="VFK1" t="s">
        <v>32730</v>
      </c>
      <c r="VFL1" t="s">
        <v>32731</v>
      </c>
      <c r="VFM1" t="s">
        <v>32732</v>
      </c>
      <c r="VFN1" t="s">
        <v>32733</v>
      </c>
      <c r="VFO1" t="s">
        <v>32734</v>
      </c>
      <c r="VFP1" t="s">
        <v>32735</v>
      </c>
      <c r="VFQ1" t="s">
        <v>32736</v>
      </c>
      <c r="VFR1" t="s">
        <v>32737</v>
      </c>
      <c r="VFS1" t="s">
        <v>32738</v>
      </c>
      <c r="VFT1" t="s">
        <v>32739</v>
      </c>
      <c r="VFU1" t="s">
        <v>32740</v>
      </c>
      <c r="VFV1" t="s">
        <v>32741</v>
      </c>
      <c r="VFW1" t="s">
        <v>32742</v>
      </c>
      <c r="VFX1" t="s">
        <v>32743</v>
      </c>
      <c r="VFY1" t="s">
        <v>32744</v>
      </c>
      <c r="VFZ1" t="s">
        <v>32745</v>
      </c>
      <c r="VGA1" t="s">
        <v>32746</v>
      </c>
      <c r="VGB1" t="s">
        <v>32747</v>
      </c>
      <c r="VGC1" t="s">
        <v>32748</v>
      </c>
      <c r="VGD1" t="s">
        <v>32749</v>
      </c>
      <c r="VGE1" t="s">
        <v>32750</v>
      </c>
      <c r="VGF1" t="s">
        <v>32751</v>
      </c>
      <c r="VGG1" t="s">
        <v>32752</v>
      </c>
      <c r="VGH1" t="s">
        <v>32753</v>
      </c>
      <c r="VGI1" t="s">
        <v>32754</v>
      </c>
      <c r="VGJ1" t="s">
        <v>32755</v>
      </c>
      <c r="VGK1" t="s">
        <v>32756</v>
      </c>
      <c r="VGL1" t="s">
        <v>32757</v>
      </c>
      <c r="VGM1" t="s">
        <v>32758</v>
      </c>
      <c r="VGN1" t="s">
        <v>32759</v>
      </c>
      <c r="VGO1" t="s">
        <v>32760</v>
      </c>
      <c r="VGP1" t="s">
        <v>32761</v>
      </c>
      <c r="VGQ1" t="s">
        <v>32762</v>
      </c>
      <c r="VGR1" t="s">
        <v>32763</v>
      </c>
      <c r="VGS1" t="s">
        <v>32764</v>
      </c>
      <c r="VGT1" t="s">
        <v>32765</v>
      </c>
      <c r="VGU1" t="s">
        <v>32766</v>
      </c>
      <c r="VGV1" t="s">
        <v>32767</v>
      </c>
      <c r="VGW1" t="s">
        <v>32768</v>
      </c>
      <c r="VGX1" t="s">
        <v>32769</v>
      </c>
      <c r="VGY1" t="s">
        <v>32770</v>
      </c>
      <c r="VGZ1" t="s">
        <v>32771</v>
      </c>
      <c r="VHA1" t="s">
        <v>32772</v>
      </c>
      <c r="VHB1" t="s">
        <v>32773</v>
      </c>
      <c r="VHC1" t="s">
        <v>32774</v>
      </c>
      <c r="VHD1" t="s">
        <v>32775</v>
      </c>
      <c r="VHE1" t="s">
        <v>32776</v>
      </c>
      <c r="VHF1" t="s">
        <v>32777</v>
      </c>
      <c r="VHG1" t="s">
        <v>32778</v>
      </c>
      <c r="VHH1" t="s">
        <v>32779</v>
      </c>
      <c r="VHI1" t="s">
        <v>32780</v>
      </c>
      <c r="VHJ1" t="s">
        <v>32781</v>
      </c>
      <c r="VHK1" t="s">
        <v>32782</v>
      </c>
      <c r="VHL1" t="s">
        <v>32783</v>
      </c>
      <c r="VHM1" t="s">
        <v>32784</v>
      </c>
      <c r="VHN1" t="s">
        <v>32785</v>
      </c>
      <c r="VHO1" t="s">
        <v>32786</v>
      </c>
      <c r="VHP1" t="s">
        <v>32787</v>
      </c>
      <c r="VHQ1" t="s">
        <v>32788</v>
      </c>
      <c r="VHR1" t="s">
        <v>32789</v>
      </c>
      <c r="VHS1" t="s">
        <v>32790</v>
      </c>
      <c r="VHT1" t="s">
        <v>32791</v>
      </c>
      <c r="VHU1" t="s">
        <v>32792</v>
      </c>
      <c r="VHV1" t="s">
        <v>32793</v>
      </c>
      <c r="VHW1" t="s">
        <v>32794</v>
      </c>
      <c r="VHX1" t="s">
        <v>32795</v>
      </c>
      <c r="VHY1" t="s">
        <v>32796</v>
      </c>
      <c r="VHZ1" t="s">
        <v>32797</v>
      </c>
      <c r="VIA1" t="s">
        <v>32798</v>
      </c>
      <c r="VIB1" t="s">
        <v>32799</v>
      </c>
      <c r="VIC1" t="s">
        <v>32800</v>
      </c>
      <c r="VID1" t="s">
        <v>32801</v>
      </c>
      <c r="VIE1" t="s">
        <v>32802</v>
      </c>
      <c r="VIF1" t="s">
        <v>32803</v>
      </c>
      <c r="VIG1" t="s">
        <v>32804</v>
      </c>
      <c r="VIH1" t="s">
        <v>32805</v>
      </c>
      <c r="VII1" t="s">
        <v>32806</v>
      </c>
      <c r="VIJ1" t="s">
        <v>32807</v>
      </c>
      <c r="VIK1" t="s">
        <v>32808</v>
      </c>
      <c r="VIL1" t="s">
        <v>32809</v>
      </c>
      <c r="VIM1" t="s">
        <v>32810</v>
      </c>
      <c r="VIN1" t="s">
        <v>32811</v>
      </c>
      <c r="VIO1" t="s">
        <v>32812</v>
      </c>
      <c r="VIP1" t="s">
        <v>32813</v>
      </c>
      <c r="VIQ1" t="s">
        <v>32814</v>
      </c>
      <c r="VIR1" t="s">
        <v>32815</v>
      </c>
      <c r="VIS1" t="s">
        <v>32816</v>
      </c>
      <c r="VIT1" t="s">
        <v>32817</v>
      </c>
      <c r="VIU1" t="s">
        <v>32818</v>
      </c>
      <c r="VIV1" t="s">
        <v>32819</v>
      </c>
      <c r="VIW1" t="s">
        <v>32820</v>
      </c>
      <c r="VIX1" t="s">
        <v>32821</v>
      </c>
      <c r="VIY1" t="s">
        <v>32822</v>
      </c>
      <c r="VIZ1" t="s">
        <v>32823</v>
      </c>
      <c r="VJA1" t="s">
        <v>32824</v>
      </c>
      <c r="VJB1" t="s">
        <v>32825</v>
      </c>
      <c r="VJC1" t="s">
        <v>32826</v>
      </c>
      <c r="VJD1" t="s">
        <v>32827</v>
      </c>
      <c r="VJE1" t="s">
        <v>32828</v>
      </c>
      <c r="VJF1" t="s">
        <v>32829</v>
      </c>
      <c r="VJG1" t="s">
        <v>32830</v>
      </c>
      <c r="VJH1" t="s">
        <v>32831</v>
      </c>
      <c r="VJI1" t="s">
        <v>32832</v>
      </c>
      <c r="VJJ1" t="s">
        <v>32833</v>
      </c>
      <c r="VJK1" t="s">
        <v>32834</v>
      </c>
      <c r="VJL1" t="s">
        <v>32835</v>
      </c>
      <c r="VJM1" t="s">
        <v>32836</v>
      </c>
      <c r="VJN1" t="s">
        <v>32837</v>
      </c>
      <c r="VJO1" t="s">
        <v>32838</v>
      </c>
      <c r="VJP1" t="s">
        <v>32839</v>
      </c>
      <c r="VJQ1" t="s">
        <v>32840</v>
      </c>
      <c r="VJR1" t="s">
        <v>32841</v>
      </c>
      <c r="VJS1" t="s">
        <v>32842</v>
      </c>
      <c r="VJT1" t="s">
        <v>32843</v>
      </c>
      <c r="VJU1" t="s">
        <v>32844</v>
      </c>
      <c r="VJV1" t="s">
        <v>32845</v>
      </c>
      <c r="VJW1" t="s">
        <v>32846</v>
      </c>
      <c r="VJX1" t="s">
        <v>32847</v>
      </c>
      <c r="VJY1" t="s">
        <v>32848</v>
      </c>
      <c r="VJZ1" t="s">
        <v>32849</v>
      </c>
      <c r="VKA1" t="s">
        <v>32850</v>
      </c>
      <c r="VKB1" t="s">
        <v>32851</v>
      </c>
      <c r="VKC1" t="s">
        <v>32852</v>
      </c>
      <c r="VKD1" t="s">
        <v>32853</v>
      </c>
      <c r="VKE1" t="s">
        <v>32854</v>
      </c>
      <c r="VKF1" t="s">
        <v>32855</v>
      </c>
      <c r="VKG1" t="s">
        <v>32856</v>
      </c>
      <c r="VKH1" t="s">
        <v>32857</v>
      </c>
      <c r="VKI1" t="s">
        <v>32858</v>
      </c>
      <c r="VKJ1" t="s">
        <v>32859</v>
      </c>
      <c r="VKK1" t="s">
        <v>32860</v>
      </c>
      <c r="VKL1" t="s">
        <v>32861</v>
      </c>
      <c r="VKM1" t="s">
        <v>32862</v>
      </c>
      <c r="VKN1" t="s">
        <v>32863</v>
      </c>
      <c r="VKO1" t="s">
        <v>32864</v>
      </c>
      <c r="VKP1" t="s">
        <v>32865</v>
      </c>
      <c r="VKQ1" t="s">
        <v>32866</v>
      </c>
      <c r="VKR1" t="s">
        <v>32867</v>
      </c>
      <c r="VKS1" t="s">
        <v>32868</v>
      </c>
      <c r="VKT1" t="s">
        <v>32869</v>
      </c>
      <c r="VKU1" t="s">
        <v>32870</v>
      </c>
      <c r="VKV1" t="s">
        <v>32871</v>
      </c>
      <c r="VKW1" t="s">
        <v>32872</v>
      </c>
      <c r="VKX1" t="s">
        <v>32873</v>
      </c>
      <c r="VKY1" t="s">
        <v>32874</v>
      </c>
      <c r="VKZ1" t="s">
        <v>32875</v>
      </c>
      <c r="VLA1" t="s">
        <v>32876</v>
      </c>
      <c r="VLB1" t="s">
        <v>32877</v>
      </c>
      <c r="VLC1" t="s">
        <v>32878</v>
      </c>
      <c r="VLD1" t="s">
        <v>32879</v>
      </c>
      <c r="VLE1" t="s">
        <v>32880</v>
      </c>
      <c r="VLF1" t="s">
        <v>32881</v>
      </c>
      <c r="VLG1" t="s">
        <v>32882</v>
      </c>
      <c r="VLH1" t="s">
        <v>32883</v>
      </c>
      <c r="VLI1" t="s">
        <v>32884</v>
      </c>
      <c r="VLJ1" t="s">
        <v>32885</v>
      </c>
      <c r="VLK1" t="s">
        <v>32886</v>
      </c>
      <c r="VLL1" t="s">
        <v>32887</v>
      </c>
      <c r="VLM1" t="s">
        <v>32888</v>
      </c>
      <c r="VLN1" t="s">
        <v>32889</v>
      </c>
      <c r="VLO1" t="s">
        <v>32890</v>
      </c>
      <c r="VLP1" t="s">
        <v>32891</v>
      </c>
      <c r="VLQ1" t="s">
        <v>32892</v>
      </c>
      <c r="VLR1" t="s">
        <v>32893</v>
      </c>
      <c r="VLS1" t="s">
        <v>32894</v>
      </c>
      <c r="VLT1" t="s">
        <v>32895</v>
      </c>
      <c r="VLU1" t="s">
        <v>32896</v>
      </c>
      <c r="VLV1" t="s">
        <v>32897</v>
      </c>
      <c r="VLW1" t="s">
        <v>32898</v>
      </c>
      <c r="VLX1" t="s">
        <v>32899</v>
      </c>
      <c r="VLY1" t="s">
        <v>32900</v>
      </c>
      <c r="VLZ1" t="s">
        <v>32901</v>
      </c>
      <c r="VMA1" t="s">
        <v>32902</v>
      </c>
      <c r="VMB1" t="s">
        <v>32903</v>
      </c>
      <c r="VMC1" t="s">
        <v>32904</v>
      </c>
      <c r="VMD1" t="s">
        <v>32905</v>
      </c>
      <c r="VME1" t="s">
        <v>32906</v>
      </c>
      <c r="VMF1" t="s">
        <v>32907</v>
      </c>
      <c r="VMG1" t="s">
        <v>32908</v>
      </c>
      <c r="VMH1" t="s">
        <v>32909</v>
      </c>
      <c r="VMI1" t="s">
        <v>32910</v>
      </c>
      <c r="VMJ1" t="s">
        <v>32911</v>
      </c>
      <c r="VMK1" t="s">
        <v>32912</v>
      </c>
      <c r="VML1" t="s">
        <v>32913</v>
      </c>
      <c r="VMM1" t="s">
        <v>32914</v>
      </c>
      <c r="VMN1" t="s">
        <v>32915</v>
      </c>
      <c r="VMO1" t="s">
        <v>32916</v>
      </c>
      <c r="VMP1" t="s">
        <v>32917</v>
      </c>
      <c r="VMQ1" t="s">
        <v>32918</v>
      </c>
      <c r="VMR1" t="s">
        <v>32919</v>
      </c>
      <c r="VMS1" t="s">
        <v>32920</v>
      </c>
      <c r="VMT1" t="s">
        <v>32921</v>
      </c>
      <c r="VMU1" t="s">
        <v>32922</v>
      </c>
      <c r="VMV1" t="s">
        <v>32923</v>
      </c>
      <c r="VMW1" t="s">
        <v>32924</v>
      </c>
      <c r="VMX1" t="s">
        <v>32925</v>
      </c>
      <c r="VMY1" t="s">
        <v>32926</v>
      </c>
      <c r="VMZ1" t="s">
        <v>32927</v>
      </c>
      <c r="VNA1" t="s">
        <v>32928</v>
      </c>
      <c r="VNB1" t="s">
        <v>32929</v>
      </c>
      <c r="VNC1" t="s">
        <v>32930</v>
      </c>
      <c r="VND1" t="s">
        <v>32931</v>
      </c>
      <c r="VNE1" t="s">
        <v>32932</v>
      </c>
      <c r="VNF1" t="s">
        <v>32933</v>
      </c>
      <c r="VNG1" t="s">
        <v>32934</v>
      </c>
      <c r="VNH1" t="s">
        <v>32935</v>
      </c>
      <c r="VNI1" t="s">
        <v>32936</v>
      </c>
      <c r="VNJ1" t="s">
        <v>32937</v>
      </c>
      <c r="VNK1" t="s">
        <v>32938</v>
      </c>
      <c r="VNL1" t="s">
        <v>32939</v>
      </c>
      <c r="VNM1" t="s">
        <v>32940</v>
      </c>
      <c r="VNN1" t="s">
        <v>32941</v>
      </c>
      <c r="VNO1" t="s">
        <v>32942</v>
      </c>
      <c r="VNP1" t="s">
        <v>32943</v>
      </c>
      <c r="VNQ1" t="s">
        <v>32944</v>
      </c>
      <c r="VNR1" t="s">
        <v>32945</v>
      </c>
      <c r="VNS1" t="s">
        <v>32946</v>
      </c>
      <c r="VNT1" t="s">
        <v>32947</v>
      </c>
      <c r="VNU1" t="s">
        <v>32948</v>
      </c>
      <c r="VNV1" t="s">
        <v>32949</v>
      </c>
      <c r="VNW1" t="s">
        <v>32950</v>
      </c>
      <c r="VNX1" t="s">
        <v>32951</v>
      </c>
      <c r="VNY1" t="s">
        <v>32952</v>
      </c>
      <c r="VNZ1" t="s">
        <v>32953</v>
      </c>
      <c r="VOA1" t="s">
        <v>32954</v>
      </c>
      <c r="VOB1" t="s">
        <v>32955</v>
      </c>
      <c r="VOC1" t="s">
        <v>32956</v>
      </c>
      <c r="VOD1" t="s">
        <v>32957</v>
      </c>
      <c r="VOE1" t="s">
        <v>32958</v>
      </c>
      <c r="VOF1" t="s">
        <v>32959</v>
      </c>
      <c r="VOG1" t="s">
        <v>32960</v>
      </c>
      <c r="VOH1" t="s">
        <v>32961</v>
      </c>
      <c r="VOI1" t="s">
        <v>32962</v>
      </c>
      <c r="VOJ1" t="s">
        <v>32963</v>
      </c>
      <c r="VOK1" t="s">
        <v>32964</v>
      </c>
      <c r="VOL1" t="s">
        <v>32965</v>
      </c>
      <c r="VOM1" t="s">
        <v>32966</v>
      </c>
      <c r="VON1" t="s">
        <v>32967</v>
      </c>
      <c r="VOO1" t="s">
        <v>32968</v>
      </c>
      <c r="VOP1" t="s">
        <v>32969</v>
      </c>
      <c r="VOQ1" t="s">
        <v>32970</v>
      </c>
      <c r="VOR1" t="s">
        <v>32971</v>
      </c>
      <c r="VOS1" t="s">
        <v>32972</v>
      </c>
      <c r="VOT1" t="s">
        <v>32973</v>
      </c>
      <c r="VOU1" t="s">
        <v>32974</v>
      </c>
      <c r="VOV1" t="s">
        <v>32975</v>
      </c>
      <c r="VOW1" t="s">
        <v>32976</v>
      </c>
      <c r="VOX1" t="s">
        <v>32977</v>
      </c>
      <c r="VOY1" t="s">
        <v>32978</v>
      </c>
      <c r="VOZ1" t="s">
        <v>32979</v>
      </c>
      <c r="VPA1" t="s">
        <v>32980</v>
      </c>
      <c r="VPB1" t="s">
        <v>32981</v>
      </c>
      <c r="VPC1" t="s">
        <v>32982</v>
      </c>
      <c r="VPD1" t="s">
        <v>32983</v>
      </c>
      <c r="VPE1" t="s">
        <v>32984</v>
      </c>
      <c r="VPF1" t="s">
        <v>32985</v>
      </c>
      <c r="VPG1" t="s">
        <v>32986</v>
      </c>
      <c r="VPH1" t="s">
        <v>32987</v>
      </c>
      <c r="VPI1" t="s">
        <v>32988</v>
      </c>
      <c r="VPJ1" t="s">
        <v>32989</v>
      </c>
      <c r="VPK1" t="s">
        <v>32990</v>
      </c>
      <c r="VPL1" t="s">
        <v>32991</v>
      </c>
      <c r="VPM1" t="s">
        <v>32992</v>
      </c>
      <c r="VPN1" t="s">
        <v>32993</v>
      </c>
      <c r="VPO1" t="s">
        <v>32994</v>
      </c>
      <c r="VPP1" t="s">
        <v>32995</v>
      </c>
      <c r="VPQ1" t="s">
        <v>32996</v>
      </c>
      <c r="VPR1" t="s">
        <v>32997</v>
      </c>
      <c r="VPS1" t="s">
        <v>32998</v>
      </c>
      <c r="VPT1" t="s">
        <v>32999</v>
      </c>
      <c r="VPU1" t="s">
        <v>33000</v>
      </c>
      <c r="VPV1" t="s">
        <v>33001</v>
      </c>
      <c r="VPW1" t="s">
        <v>33002</v>
      </c>
      <c r="VPX1" t="s">
        <v>33003</v>
      </c>
      <c r="VPY1" t="s">
        <v>33004</v>
      </c>
      <c r="VPZ1" t="s">
        <v>33005</v>
      </c>
      <c r="VQA1" t="s">
        <v>33006</v>
      </c>
      <c r="VQB1" t="s">
        <v>33007</v>
      </c>
      <c r="VQC1" t="s">
        <v>33008</v>
      </c>
      <c r="VQD1" t="s">
        <v>33009</v>
      </c>
      <c r="VQE1" t="s">
        <v>33010</v>
      </c>
      <c r="VQF1" t="s">
        <v>33011</v>
      </c>
      <c r="VQG1" t="s">
        <v>33012</v>
      </c>
      <c r="VQH1" t="s">
        <v>33013</v>
      </c>
      <c r="VQI1" t="s">
        <v>33014</v>
      </c>
      <c r="VQJ1" t="s">
        <v>33015</v>
      </c>
      <c r="VQK1" t="s">
        <v>33016</v>
      </c>
      <c r="VQL1" t="s">
        <v>33017</v>
      </c>
      <c r="VQM1" t="s">
        <v>33018</v>
      </c>
      <c r="VQN1" t="s">
        <v>33019</v>
      </c>
      <c r="VQO1" t="s">
        <v>33020</v>
      </c>
      <c r="VQP1" t="s">
        <v>33021</v>
      </c>
      <c r="VQQ1" t="s">
        <v>33022</v>
      </c>
      <c r="VQR1" t="s">
        <v>33023</v>
      </c>
      <c r="VQS1" t="s">
        <v>33024</v>
      </c>
      <c r="VQT1" t="s">
        <v>33025</v>
      </c>
      <c r="VQU1" t="s">
        <v>33026</v>
      </c>
      <c r="VQV1" t="s">
        <v>33027</v>
      </c>
      <c r="VQW1" t="s">
        <v>33028</v>
      </c>
      <c r="VQX1" t="s">
        <v>33029</v>
      </c>
      <c r="VQY1" t="s">
        <v>33030</v>
      </c>
      <c r="VQZ1" t="s">
        <v>33031</v>
      </c>
      <c r="VRA1" t="s">
        <v>33032</v>
      </c>
      <c r="VRB1" t="s">
        <v>33033</v>
      </c>
      <c r="VRC1" t="s">
        <v>33034</v>
      </c>
      <c r="VRD1" t="s">
        <v>33035</v>
      </c>
      <c r="VRE1" t="s">
        <v>33036</v>
      </c>
      <c r="VRF1" t="s">
        <v>33037</v>
      </c>
      <c r="VRG1" t="s">
        <v>33038</v>
      </c>
      <c r="VRH1" t="s">
        <v>33039</v>
      </c>
      <c r="VRI1" t="s">
        <v>33040</v>
      </c>
      <c r="VRJ1" t="s">
        <v>33041</v>
      </c>
      <c r="VRK1" t="s">
        <v>33042</v>
      </c>
      <c r="VRL1" t="s">
        <v>33043</v>
      </c>
      <c r="VRM1" t="s">
        <v>33044</v>
      </c>
      <c r="VRN1" t="s">
        <v>33045</v>
      </c>
      <c r="VRO1" t="s">
        <v>33046</v>
      </c>
      <c r="VRP1" t="s">
        <v>33047</v>
      </c>
      <c r="VRQ1" t="s">
        <v>33048</v>
      </c>
      <c r="VRR1" t="s">
        <v>33049</v>
      </c>
      <c r="VRS1" t="s">
        <v>33050</v>
      </c>
      <c r="VRT1" t="s">
        <v>33051</v>
      </c>
      <c r="VRU1" t="s">
        <v>33052</v>
      </c>
      <c r="VRV1" t="s">
        <v>33053</v>
      </c>
      <c r="VRW1" t="s">
        <v>33054</v>
      </c>
      <c r="VRX1" t="s">
        <v>33055</v>
      </c>
      <c r="VRY1" t="s">
        <v>33056</v>
      </c>
      <c r="VRZ1" t="s">
        <v>33057</v>
      </c>
      <c r="VSA1" t="s">
        <v>33058</v>
      </c>
      <c r="VSB1" t="s">
        <v>33059</v>
      </c>
      <c r="VSC1" t="s">
        <v>33060</v>
      </c>
      <c r="VSD1" t="s">
        <v>33061</v>
      </c>
      <c r="VSE1" t="s">
        <v>33062</v>
      </c>
      <c r="VSF1" t="s">
        <v>33063</v>
      </c>
      <c r="VSG1" t="s">
        <v>33064</v>
      </c>
      <c r="VSH1" t="s">
        <v>33065</v>
      </c>
      <c r="VSI1" t="s">
        <v>33066</v>
      </c>
      <c r="VSJ1" t="s">
        <v>33067</v>
      </c>
      <c r="VSK1" t="s">
        <v>33068</v>
      </c>
      <c r="VSL1" t="s">
        <v>33069</v>
      </c>
      <c r="VSM1" t="s">
        <v>33070</v>
      </c>
      <c r="VSN1" t="s">
        <v>33071</v>
      </c>
      <c r="VSO1" t="s">
        <v>33072</v>
      </c>
      <c r="VSP1" t="s">
        <v>33073</v>
      </c>
      <c r="VSQ1" t="s">
        <v>33074</v>
      </c>
      <c r="VSR1" t="s">
        <v>33075</v>
      </c>
      <c r="VSS1" t="s">
        <v>33076</v>
      </c>
      <c r="VST1" t="s">
        <v>33077</v>
      </c>
      <c r="VSU1" t="s">
        <v>33078</v>
      </c>
      <c r="VSV1" t="s">
        <v>33079</v>
      </c>
      <c r="VSW1" t="s">
        <v>33080</v>
      </c>
      <c r="VSX1" t="s">
        <v>33081</v>
      </c>
      <c r="VSY1" t="s">
        <v>33082</v>
      </c>
      <c r="VSZ1" t="s">
        <v>33083</v>
      </c>
      <c r="VTA1" t="s">
        <v>33084</v>
      </c>
      <c r="VTB1" t="s">
        <v>33085</v>
      </c>
      <c r="VTC1" t="s">
        <v>33086</v>
      </c>
      <c r="VTD1" t="s">
        <v>33087</v>
      </c>
      <c r="VTE1" t="s">
        <v>33088</v>
      </c>
      <c r="VTF1" t="s">
        <v>33089</v>
      </c>
      <c r="VTG1" t="s">
        <v>33090</v>
      </c>
      <c r="VTH1" t="s">
        <v>33091</v>
      </c>
      <c r="VTI1" t="s">
        <v>33092</v>
      </c>
      <c r="VTJ1" t="s">
        <v>33093</v>
      </c>
      <c r="VTK1" t="s">
        <v>33094</v>
      </c>
      <c r="VTL1" t="s">
        <v>33095</v>
      </c>
      <c r="VTM1" t="s">
        <v>33096</v>
      </c>
      <c r="VTN1" t="s">
        <v>33097</v>
      </c>
      <c r="VTO1" t="s">
        <v>33098</v>
      </c>
      <c r="VTP1" t="s">
        <v>33099</v>
      </c>
      <c r="VTQ1" t="s">
        <v>33100</v>
      </c>
      <c r="VTR1" t="s">
        <v>33101</v>
      </c>
      <c r="VTS1" t="s">
        <v>33102</v>
      </c>
      <c r="VTT1" t="s">
        <v>33103</v>
      </c>
      <c r="VTU1" t="s">
        <v>33104</v>
      </c>
      <c r="VTV1" t="s">
        <v>33105</v>
      </c>
      <c r="VTW1" t="s">
        <v>33106</v>
      </c>
      <c r="VTX1" t="s">
        <v>33107</v>
      </c>
      <c r="VTY1" t="s">
        <v>33108</v>
      </c>
      <c r="VTZ1" t="s">
        <v>33109</v>
      </c>
      <c r="VUA1" t="s">
        <v>33110</v>
      </c>
      <c r="VUB1" t="s">
        <v>33111</v>
      </c>
      <c r="VUC1" t="s">
        <v>33112</v>
      </c>
      <c r="VUD1" t="s">
        <v>33113</v>
      </c>
      <c r="VUE1" t="s">
        <v>33114</v>
      </c>
      <c r="VUF1" t="s">
        <v>33115</v>
      </c>
      <c r="VUG1" t="s">
        <v>33116</v>
      </c>
      <c r="VUH1" t="s">
        <v>33117</v>
      </c>
      <c r="VUI1" t="s">
        <v>33118</v>
      </c>
      <c r="VUJ1" t="s">
        <v>33119</v>
      </c>
      <c r="VUK1" t="s">
        <v>33120</v>
      </c>
      <c r="VUL1" t="s">
        <v>33121</v>
      </c>
      <c r="VUM1" t="s">
        <v>33122</v>
      </c>
      <c r="VUN1" t="s">
        <v>33123</v>
      </c>
      <c r="VUO1" t="s">
        <v>33124</v>
      </c>
      <c r="VUP1" t="s">
        <v>33125</v>
      </c>
      <c r="VUQ1" t="s">
        <v>33126</v>
      </c>
      <c r="VUR1" t="s">
        <v>33127</v>
      </c>
      <c r="VUS1" t="s">
        <v>33128</v>
      </c>
      <c r="VUT1" t="s">
        <v>33129</v>
      </c>
      <c r="VUU1" t="s">
        <v>33130</v>
      </c>
      <c r="VUV1" t="s">
        <v>33131</v>
      </c>
      <c r="VUW1" t="s">
        <v>33132</v>
      </c>
      <c r="VUX1" t="s">
        <v>33133</v>
      </c>
      <c r="VUY1" t="s">
        <v>33134</v>
      </c>
      <c r="VUZ1" t="s">
        <v>33135</v>
      </c>
      <c r="VVA1" t="s">
        <v>33136</v>
      </c>
      <c r="VVB1" t="s">
        <v>33137</v>
      </c>
      <c r="VVC1" t="s">
        <v>33138</v>
      </c>
      <c r="VVD1" t="s">
        <v>33139</v>
      </c>
      <c r="VVE1" t="s">
        <v>33140</v>
      </c>
      <c r="VVF1" t="s">
        <v>33141</v>
      </c>
      <c r="VVG1" t="s">
        <v>33142</v>
      </c>
      <c r="VVH1" t="s">
        <v>33143</v>
      </c>
      <c r="VVI1" t="s">
        <v>33144</v>
      </c>
      <c r="VVJ1" t="s">
        <v>33145</v>
      </c>
      <c r="VVK1" t="s">
        <v>33146</v>
      </c>
      <c r="VVL1" t="s">
        <v>33147</v>
      </c>
      <c r="VVM1" t="s">
        <v>33148</v>
      </c>
      <c r="VVN1" t="s">
        <v>33149</v>
      </c>
      <c r="VVO1" t="s">
        <v>33150</v>
      </c>
      <c r="VVP1" t="s">
        <v>33151</v>
      </c>
      <c r="VVQ1" t="s">
        <v>33152</v>
      </c>
      <c r="VVR1" t="s">
        <v>33153</v>
      </c>
      <c r="VVS1" t="s">
        <v>33154</v>
      </c>
      <c r="VVT1" t="s">
        <v>33155</v>
      </c>
      <c r="VVU1" t="s">
        <v>33156</v>
      </c>
      <c r="VVV1" t="s">
        <v>33157</v>
      </c>
      <c r="VVW1" t="s">
        <v>33158</v>
      </c>
      <c r="VVX1" t="s">
        <v>33159</v>
      </c>
      <c r="VVY1" t="s">
        <v>33160</v>
      </c>
      <c r="VVZ1" t="s">
        <v>33161</v>
      </c>
      <c r="VWA1" t="s">
        <v>33162</v>
      </c>
      <c r="VWB1" t="s">
        <v>33163</v>
      </c>
      <c r="VWC1" t="s">
        <v>33164</v>
      </c>
      <c r="VWD1" t="s">
        <v>33165</v>
      </c>
      <c r="VWE1" t="s">
        <v>33166</v>
      </c>
      <c r="VWF1" t="s">
        <v>33167</v>
      </c>
      <c r="VWG1" t="s">
        <v>33168</v>
      </c>
      <c r="VWH1" t="s">
        <v>33169</v>
      </c>
      <c r="VWI1" t="s">
        <v>33170</v>
      </c>
      <c r="VWJ1" t="s">
        <v>33171</v>
      </c>
      <c r="VWK1" t="s">
        <v>33172</v>
      </c>
      <c r="VWL1" t="s">
        <v>33173</v>
      </c>
      <c r="VWM1" t="s">
        <v>33174</v>
      </c>
      <c r="VWN1" t="s">
        <v>33175</v>
      </c>
      <c r="VWO1" t="s">
        <v>33176</v>
      </c>
      <c r="VWP1" t="s">
        <v>33177</v>
      </c>
      <c r="VWQ1" t="s">
        <v>33178</v>
      </c>
      <c r="VWR1" t="s">
        <v>33179</v>
      </c>
      <c r="VWS1" t="s">
        <v>33180</v>
      </c>
      <c r="VWT1" t="s">
        <v>33181</v>
      </c>
      <c r="VWU1" t="s">
        <v>33182</v>
      </c>
      <c r="VWV1" t="s">
        <v>33183</v>
      </c>
      <c r="VWW1" t="s">
        <v>33184</v>
      </c>
      <c r="VWX1" t="s">
        <v>33185</v>
      </c>
      <c r="VWY1" t="s">
        <v>33186</v>
      </c>
      <c r="VWZ1" t="s">
        <v>33187</v>
      </c>
      <c r="VXA1" t="s">
        <v>33188</v>
      </c>
      <c r="VXB1" t="s">
        <v>33189</v>
      </c>
      <c r="VXC1" t="s">
        <v>33190</v>
      </c>
      <c r="VXD1" t="s">
        <v>33191</v>
      </c>
      <c r="VXE1" t="s">
        <v>33192</v>
      </c>
      <c r="VXF1" t="s">
        <v>33193</v>
      </c>
      <c r="VXG1" t="s">
        <v>33194</v>
      </c>
      <c r="VXH1" t="s">
        <v>33195</v>
      </c>
      <c r="VXI1" t="s">
        <v>33196</v>
      </c>
      <c r="VXJ1" t="s">
        <v>33197</v>
      </c>
      <c r="VXK1" t="s">
        <v>33198</v>
      </c>
      <c r="VXL1" t="s">
        <v>33199</v>
      </c>
      <c r="VXM1" t="s">
        <v>33200</v>
      </c>
      <c r="VXN1" t="s">
        <v>33201</v>
      </c>
      <c r="VXO1" t="s">
        <v>33202</v>
      </c>
      <c r="VXP1" t="s">
        <v>33203</v>
      </c>
      <c r="VXQ1" t="s">
        <v>33204</v>
      </c>
      <c r="VXR1" t="s">
        <v>33205</v>
      </c>
      <c r="VXS1" t="s">
        <v>33206</v>
      </c>
      <c r="VXT1" t="s">
        <v>33207</v>
      </c>
      <c r="VXU1" t="s">
        <v>33208</v>
      </c>
      <c r="VXV1" t="s">
        <v>33209</v>
      </c>
      <c r="VXW1" t="s">
        <v>33210</v>
      </c>
      <c r="VXX1" t="s">
        <v>33211</v>
      </c>
      <c r="VXY1" t="s">
        <v>33212</v>
      </c>
      <c r="VXZ1" t="s">
        <v>33213</v>
      </c>
      <c r="VYA1" t="s">
        <v>33214</v>
      </c>
      <c r="VYB1" t="s">
        <v>33215</v>
      </c>
      <c r="VYC1" t="s">
        <v>33216</v>
      </c>
      <c r="VYD1" t="s">
        <v>33217</v>
      </c>
      <c r="VYE1" t="s">
        <v>33218</v>
      </c>
      <c r="VYF1" t="s">
        <v>33219</v>
      </c>
      <c r="VYG1" t="s">
        <v>33220</v>
      </c>
      <c r="VYH1" t="s">
        <v>33221</v>
      </c>
      <c r="VYI1" t="s">
        <v>33222</v>
      </c>
      <c r="VYJ1" t="s">
        <v>33223</v>
      </c>
      <c r="VYK1" t="s">
        <v>33224</v>
      </c>
      <c r="VYL1" t="s">
        <v>33225</v>
      </c>
      <c r="VYM1" t="s">
        <v>33226</v>
      </c>
      <c r="VYN1" t="s">
        <v>33227</v>
      </c>
      <c r="VYO1" t="s">
        <v>33228</v>
      </c>
      <c r="VYP1" t="s">
        <v>33229</v>
      </c>
      <c r="VYQ1" t="s">
        <v>33230</v>
      </c>
      <c r="VYR1" t="s">
        <v>33231</v>
      </c>
      <c r="VYS1" t="s">
        <v>33232</v>
      </c>
      <c r="VYT1" t="s">
        <v>33233</v>
      </c>
      <c r="VYU1" t="s">
        <v>33234</v>
      </c>
      <c r="VYV1" t="s">
        <v>33235</v>
      </c>
      <c r="VYW1" t="s">
        <v>33236</v>
      </c>
      <c r="VYX1" t="s">
        <v>33237</v>
      </c>
      <c r="VYY1" t="s">
        <v>33238</v>
      </c>
      <c r="VYZ1" t="s">
        <v>33239</v>
      </c>
      <c r="VZA1" t="s">
        <v>33240</v>
      </c>
      <c r="VZB1" t="s">
        <v>33241</v>
      </c>
      <c r="VZC1" t="s">
        <v>33242</v>
      </c>
      <c r="VZD1" t="s">
        <v>33243</v>
      </c>
      <c r="VZE1" t="s">
        <v>33244</v>
      </c>
      <c r="VZF1" t="s">
        <v>33245</v>
      </c>
      <c r="VZG1" t="s">
        <v>33246</v>
      </c>
      <c r="VZH1" t="s">
        <v>33247</v>
      </c>
      <c r="VZI1" t="s">
        <v>33248</v>
      </c>
      <c r="VZJ1" t="s">
        <v>33249</v>
      </c>
      <c r="VZK1" t="s">
        <v>33250</v>
      </c>
      <c r="VZL1" t="s">
        <v>33251</v>
      </c>
      <c r="VZM1" t="s">
        <v>33252</v>
      </c>
      <c r="VZN1" t="s">
        <v>33253</v>
      </c>
      <c r="VZO1" t="s">
        <v>33254</v>
      </c>
      <c r="VZP1" t="s">
        <v>33255</v>
      </c>
      <c r="VZQ1" t="s">
        <v>33256</v>
      </c>
      <c r="VZR1" t="s">
        <v>33257</v>
      </c>
      <c r="VZS1" t="s">
        <v>33258</v>
      </c>
      <c r="VZT1" t="s">
        <v>33259</v>
      </c>
      <c r="VZU1" t="s">
        <v>33260</v>
      </c>
      <c r="VZV1" t="s">
        <v>33261</v>
      </c>
      <c r="VZW1" t="s">
        <v>33262</v>
      </c>
      <c r="VZX1" t="s">
        <v>33263</v>
      </c>
      <c r="VZY1" t="s">
        <v>33264</v>
      </c>
      <c r="VZZ1" t="s">
        <v>33265</v>
      </c>
      <c r="WAA1" t="s">
        <v>33266</v>
      </c>
      <c r="WAB1" t="s">
        <v>33267</v>
      </c>
      <c r="WAC1" t="s">
        <v>33268</v>
      </c>
      <c r="WAD1" t="s">
        <v>33269</v>
      </c>
      <c r="WAE1" t="s">
        <v>33270</v>
      </c>
      <c r="WAF1" t="s">
        <v>33271</v>
      </c>
      <c r="WAG1" t="s">
        <v>33272</v>
      </c>
      <c r="WAH1" t="s">
        <v>33273</v>
      </c>
      <c r="WAI1" t="s">
        <v>33274</v>
      </c>
      <c r="WAJ1" t="s">
        <v>33275</v>
      </c>
      <c r="WAK1" t="s">
        <v>33276</v>
      </c>
      <c r="WAL1" t="s">
        <v>33277</v>
      </c>
      <c r="WAM1" t="s">
        <v>33278</v>
      </c>
      <c r="WAN1" t="s">
        <v>33279</v>
      </c>
      <c r="WAO1" t="s">
        <v>33280</v>
      </c>
      <c r="WAP1" t="s">
        <v>33281</v>
      </c>
      <c r="WAQ1" t="s">
        <v>33282</v>
      </c>
      <c r="WAR1" t="s">
        <v>33283</v>
      </c>
      <c r="WAS1" t="s">
        <v>33284</v>
      </c>
      <c r="WAT1" t="s">
        <v>33285</v>
      </c>
      <c r="WAU1" t="s">
        <v>33286</v>
      </c>
      <c r="WAV1" t="s">
        <v>33287</v>
      </c>
      <c r="WAW1" t="s">
        <v>33288</v>
      </c>
      <c r="WAX1" t="s">
        <v>33289</v>
      </c>
      <c r="WAY1" t="s">
        <v>33290</v>
      </c>
      <c r="WAZ1" t="s">
        <v>33291</v>
      </c>
      <c r="WBA1" t="s">
        <v>33292</v>
      </c>
      <c r="WBB1" t="s">
        <v>33293</v>
      </c>
      <c r="WBC1" t="s">
        <v>33294</v>
      </c>
      <c r="WBD1" t="s">
        <v>33295</v>
      </c>
      <c r="WBE1" t="s">
        <v>33296</v>
      </c>
      <c r="WBF1" t="s">
        <v>33297</v>
      </c>
      <c r="WBG1" t="s">
        <v>33298</v>
      </c>
      <c r="WBH1" t="s">
        <v>33299</v>
      </c>
      <c r="WBI1" t="s">
        <v>33300</v>
      </c>
      <c r="WBJ1" t="s">
        <v>33301</v>
      </c>
      <c r="WBK1" t="s">
        <v>33302</v>
      </c>
      <c r="WBL1" t="s">
        <v>33303</v>
      </c>
      <c r="WBM1" t="s">
        <v>33304</v>
      </c>
      <c r="WBN1" t="s">
        <v>33305</v>
      </c>
      <c r="WBO1" t="s">
        <v>33306</v>
      </c>
      <c r="WBP1" t="s">
        <v>33307</v>
      </c>
      <c r="WBQ1" t="s">
        <v>33308</v>
      </c>
      <c r="WBR1" t="s">
        <v>33309</v>
      </c>
      <c r="WBS1" t="s">
        <v>33310</v>
      </c>
      <c r="WBT1" t="s">
        <v>33311</v>
      </c>
      <c r="WBU1" t="s">
        <v>33312</v>
      </c>
      <c r="WBV1" t="s">
        <v>33313</v>
      </c>
      <c r="WBW1" t="s">
        <v>33314</v>
      </c>
      <c r="WBX1" t="s">
        <v>33315</v>
      </c>
      <c r="WBY1" t="s">
        <v>33316</v>
      </c>
      <c r="WBZ1" t="s">
        <v>33317</v>
      </c>
      <c r="WCA1" t="s">
        <v>33318</v>
      </c>
      <c r="WCB1" t="s">
        <v>33319</v>
      </c>
      <c r="WCC1" t="s">
        <v>33320</v>
      </c>
      <c r="WCD1" t="s">
        <v>33321</v>
      </c>
      <c r="WCE1" t="s">
        <v>33322</v>
      </c>
      <c r="WCF1" t="s">
        <v>33323</v>
      </c>
      <c r="WCG1" t="s">
        <v>33324</v>
      </c>
      <c r="WCH1" t="s">
        <v>33325</v>
      </c>
      <c r="WCI1" t="s">
        <v>33326</v>
      </c>
      <c r="WCJ1" t="s">
        <v>33327</v>
      </c>
      <c r="WCK1" t="s">
        <v>33328</v>
      </c>
      <c r="WCL1" t="s">
        <v>33329</v>
      </c>
      <c r="WCM1" t="s">
        <v>33330</v>
      </c>
      <c r="WCN1" t="s">
        <v>33331</v>
      </c>
      <c r="WCO1" t="s">
        <v>33332</v>
      </c>
      <c r="WCP1" t="s">
        <v>33333</v>
      </c>
      <c r="WCQ1" t="s">
        <v>33334</v>
      </c>
      <c r="WCR1" t="s">
        <v>33335</v>
      </c>
      <c r="WCS1" t="s">
        <v>33336</v>
      </c>
      <c r="WCT1" t="s">
        <v>33337</v>
      </c>
      <c r="WCU1" t="s">
        <v>33338</v>
      </c>
      <c r="WCV1" t="s">
        <v>33339</v>
      </c>
      <c r="WCW1" t="s">
        <v>33340</v>
      </c>
      <c r="WCX1" t="s">
        <v>33341</v>
      </c>
      <c r="WCY1" t="s">
        <v>33342</v>
      </c>
      <c r="WCZ1" t="s">
        <v>33343</v>
      </c>
      <c r="WDA1" t="s">
        <v>33344</v>
      </c>
      <c r="WDB1" t="s">
        <v>33345</v>
      </c>
      <c r="WDC1" t="s">
        <v>33346</v>
      </c>
      <c r="WDD1" t="s">
        <v>33347</v>
      </c>
      <c r="WDE1" t="s">
        <v>33348</v>
      </c>
      <c r="WDF1" t="s">
        <v>33349</v>
      </c>
      <c r="WDG1" t="s">
        <v>33350</v>
      </c>
      <c r="WDH1" t="s">
        <v>33351</v>
      </c>
      <c r="WDI1" t="s">
        <v>33352</v>
      </c>
      <c r="WDJ1" t="s">
        <v>33353</v>
      </c>
      <c r="WDK1" t="s">
        <v>33354</v>
      </c>
      <c r="WDL1" t="s">
        <v>33355</v>
      </c>
      <c r="WDM1" t="s">
        <v>33356</v>
      </c>
      <c r="WDN1" t="s">
        <v>33357</v>
      </c>
      <c r="WDO1" t="s">
        <v>33358</v>
      </c>
      <c r="WDP1" t="s">
        <v>33359</v>
      </c>
      <c r="WDQ1" t="s">
        <v>33360</v>
      </c>
      <c r="WDR1" t="s">
        <v>33361</v>
      </c>
      <c r="WDS1" t="s">
        <v>33362</v>
      </c>
      <c r="WDT1" t="s">
        <v>33363</v>
      </c>
      <c r="WDU1" t="s">
        <v>33364</v>
      </c>
      <c r="WDV1" t="s">
        <v>33365</v>
      </c>
      <c r="WDW1" t="s">
        <v>33366</v>
      </c>
      <c r="WDX1" t="s">
        <v>33367</v>
      </c>
      <c r="WDY1" t="s">
        <v>33368</v>
      </c>
      <c r="WDZ1" t="s">
        <v>33369</v>
      </c>
      <c r="WEA1" t="s">
        <v>33370</v>
      </c>
      <c r="WEB1" t="s">
        <v>33371</v>
      </c>
      <c r="WEC1" t="s">
        <v>33372</v>
      </c>
      <c r="WED1" t="s">
        <v>33373</v>
      </c>
      <c r="WEE1" t="s">
        <v>33374</v>
      </c>
      <c r="WEF1" t="s">
        <v>33375</v>
      </c>
      <c r="WEG1" t="s">
        <v>33376</v>
      </c>
      <c r="WEH1" t="s">
        <v>33377</v>
      </c>
      <c r="WEI1" t="s">
        <v>33378</v>
      </c>
      <c r="WEJ1" t="s">
        <v>33379</v>
      </c>
      <c r="WEK1" t="s">
        <v>33380</v>
      </c>
      <c r="WEL1" t="s">
        <v>33381</v>
      </c>
      <c r="WEM1" t="s">
        <v>33382</v>
      </c>
      <c r="WEN1" t="s">
        <v>33383</v>
      </c>
      <c r="WEO1" t="s">
        <v>33384</v>
      </c>
      <c r="WEP1" t="s">
        <v>33385</v>
      </c>
      <c r="WEQ1" t="s">
        <v>33386</v>
      </c>
      <c r="WER1" t="s">
        <v>33387</v>
      </c>
      <c r="WES1" t="s">
        <v>33388</v>
      </c>
      <c r="WET1" t="s">
        <v>33389</v>
      </c>
      <c r="WEU1" t="s">
        <v>33390</v>
      </c>
      <c r="WEV1" t="s">
        <v>33391</v>
      </c>
      <c r="WEW1" t="s">
        <v>33392</v>
      </c>
      <c r="WEX1" t="s">
        <v>33393</v>
      </c>
      <c r="WEY1" t="s">
        <v>33394</v>
      </c>
      <c r="WEZ1" t="s">
        <v>33395</v>
      </c>
      <c r="WFA1" t="s">
        <v>33396</v>
      </c>
      <c r="WFB1" t="s">
        <v>33397</v>
      </c>
      <c r="WFC1" t="s">
        <v>33398</v>
      </c>
      <c r="WFD1" t="s">
        <v>33399</v>
      </c>
      <c r="WFE1" t="s">
        <v>33400</v>
      </c>
      <c r="WFF1" t="s">
        <v>33401</v>
      </c>
      <c r="WFG1" t="s">
        <v>33402</v>
      </c>
      <c r="WFH1" t="s">
        <v>33403</v>
      </c>
      <c r="WFI1" t="s">
        <v>33404</v>
      </c>
      <c r="WFJ1" t="s">
        <v>33405</v>
      </c>
      <c r="WFK1" t="s">
        <v>33406</v>
      </c>
      <c r="WFL1" t="s">
        <v>33407</v>
      </c>
      <c r="WFM1" t="s">
        <v>33408</v>
      </c>
      <c r="WFN1" t="s">
        <v>33409</v>
      </c>
      <c r="WFO1" t="s">
        <v>33410</v>
      </c>
      <c r="WFP1" t="s">
        <v>33411</v>
      </c>
      <c r="WFQ1" t="s">
        <v>33412</v>
      </c>
      <c r="WFR1" t="s">
        <v>33413</v>
      </c>
      <c r="WFS1" t="s">
        <v>33414</v>
      </c>
      <c r="WFT1" t="s">
        <v>33415</v>
      </c>
      <c r="WFU1" t="s">
        <v>33416</v>
      </c>
      <c r="WFV1" t="s">
        <v>33417</v>
      </c>
      <c r="WFW1" t="s">
        <v>33418</v>
      </c>
      <c r="WFX1" t="s">
        <v>33419</v>
      </c>
      <c r="WFY1" t="s">
        <v>33420</v>
      </c>
      <c r="WFZ1" t="s">
        <v>33421</v>
      </c>
      <c r="WGA1" t="s">
        <v>33422</v>
      </c>
      <c r="WGB1" t="s">
        <v>33423</v>
      </c>
      <c r="WGC1" t="s">
        <v>33424</v>
      </c>
      <c r="WGD1" t="s">
        <v>33425</v>
      </c>
      <c r="WGE1" t="s">
        <v>33426</v>
      </c>
      <c r="WGF1" t="s">
        <v>33427</v>
      </c>
      <c r="WGG1" t="s">
        <v>33428</v>
      </c>
      <c r="WGH1" t="s">
        <v>33429</v>
      </c>
      <c r="WGI1" t="s">
        <v>33430</v>
      </c>
      <c r="WGJ1" t="s">
        <v>33431</v>
      </c>
      <c r="WGK1" t="s">
        <v>33432</v>
      </c>
      <c r="WGL1" t="s">
        <v>33433</v>
      </c>
      <c r="WGM1" t="s">
        <v>33434</v>
      </c>
      <c r="WGN1" t="s">
        <v>33435</v>
      </c>
      <c r="WGO1" t="s">
        <v>33436</v>
      </c>
      <c r="WGP1" t="s">
        <v>33437</v>
      </c>
      <c r="WGQ1" t="s">
        <v>33438</v>
      </c>
      <c r="WGR1" t="s">
        <v>33439</v>
      </c>
      <c r="WGS1" t="s">
        <v>33440</v>
      </c>
      <c r="WGT1" t="s">
        <v>33441</v>
      </c>
      <c r="WGU1" t="s">
        <v>33442</v>
      </c>
      <c r="WGV1" t="s">
        <v>33443</v>
      </c>
      <c r="WGW1" t="s">
        <v>33444</v>
      </c>
      <c r="WGX1" t="s">
        <v>33445</v>
      </c>
      <c r="WGY1" t="s">
        <v>33446</v>
      </c>
      <c r="WGZ1" t="s">
        <v>33447</v>
      </c>
      <c r="WHA1" t="s">
        <v>33448</v>
      </c>
      <c r="WHB1" t="s">
        <v>33449</v>
      </c>
      <c r="WHC1" t="s">
        <v>33450</v>
      </c>
      <c r="WHD1" t="s">
        <v>33451</v>
      </c>
      <c r="WHE1" t="s">
        <v>33452</v>
      </c>
      <c r="WHF1" t="s">
        <v>33453</v>
      </c>
      <c r="WHG1" t="s">
        <v>33454</v>
      </c>
      <c r="WHH1" t="s">
        <v>33455</v>
      </c>
      <c r="WHI1" t="s">
        <v>33456</v>
      </c>
      <c r="WHJ1" t="s">
        <v>33457</v>
      </c>
      <c r="WHK1" t="s">
        <v>33458</v>
      </c>
      <c r="WHL1" t="s">
        <v>33459</v>
      </c>
      <c r="WHM1" t="s">
        <v>33460</v>
      </c>
      <c r="WHN1" t="s">
        <v>33461</v>
      </c>
      <c r="WHO1" t="s">
        <v>33462</v>
      </c>
      <c r="WHP1" t="s">
        <v>33463</v>
      </c>
      <c r="WHQ1" t="s">
        <v>33464</v>
      </c>
      <c r="WHR1" t="s">
        <v>33465</v>
      </c>
      <c r="WHS1" t="s">
        <v>33466</v>
      </c>
      <c r="WHT1" t="s">
        <v>33467</v>
      </c>
      <c r="WHU1" t="s">
        <v>33468</v>
      </c>
      <c r="WHV1" t="s">
        <v>33469</v>
      </c>
      <c r="WHW1" t="s">
        <v>33470</v>
      </c>
      <c r="WHX1" t="s">
        <v>33471</v>
      </c>
      <c r="WHY1" t="s">
        <v>33472</v>
      </c>
      <c r="WHZ1" t="s">
        <v>33473</v>
      </c>
      <c r="WIA1" t="s">
        <v>33474</v>
      </c>
      <c r="WIB1" t="s">
        <v>33475</v>
      </c>
      <c r="WIC1" t="s">
        <v>33476</v>
      </c>
      <c r="WID1" t="s">
        <v>33477</v>
      </c>
      <c r="WIE1" t="s">
        <v>33478</v>
      </c>
      <c r="WIF1" t="s">
        <v>33479</v>
      </c>
      <c r="WIG1" t="s">
        <v>33480</v>
      </c>
      <c r="WIH1" t="s">
        <v>33481</v>
      </c>
      <c r="WII1" t="s">
        <v>33482</v>
      </c>
      <c r="WIJ1" t="s">
        <v>33483</v>
      </c>
      <c r="WIK1" t="s">
        <v>33484</v>
      </c>
      <c r="WIL1" t="s">
        <v>33485</v>
      </c>
      <c r="WIM1" t="s">
        <v>33486</v>
      </c>
      <c r="WIN1" t="s">
        <v>33487</v>
      </c>
      <c r="WIO1" t="s">
        <v>33488</v>
      </c>
      <c r="WIP1" t="s">
        <v>33489</v>
      </c>
      <c r="WIQ1" t="s">
        <v>33490</v>
      </c>
      <c r="WIR1" t="s">
        <v>33491</v>
      </c>
      <c r="WIS1" t="s">
        <v>33492</v>
      </c>
      <c r="WIT1" t="s">
        <v>33493</v>
      </c>
      <c r="WIU1" t="s">
        <v>33494</v>
      </c>
      <c r="WIV1" t="s">
        <v>33495</v>
      </c>
      <c r="WIW1" t="s">
        <v>33496</v>
      </c>
      <c r="WIX1" t="s">
        <v>33497</v>
      </c>
      <c r="WIY1" t="s">
        <v>33498</v>
      </c>
      <c r="WIZ1" t="s">
        <v>33499</v>
      </c>
      <c r="WJA1" t="s">
        <v>33500</v>
      </c>
      <c r="WJB1" t="s">
        <v>33501</v>
      </c>
      <c r="WJC1" t="s">
        <v>33502</v>
      </c>
      <c r="WJD1" t="s">
        <v>33503</v>
      </c>
      <c r="WJE1" t="s">
        <v>33504</v>
      </c>
      <c r="WJF1" t="s">
        <v>33505</v>
      </c>
      <c r="WJG1" t="s">
        <v>33506</v>
      </c>
      <c r="WJH1" t="s">
        <v>33507</v>
      </c>
      <c r="WJI1" t="s">
        <v>33508</v>
      </c>
      <c r="WJJ1" t="s">
        <v>33509</v>
      </c>
      <c r="WJK1" t="s">
        <v>33510</v>
      </c>
      <c r="WJL1" t="s">
        <v>33511</v>
      </c>
      <c r="WJM1" t="s">
        <v>33512</v>
      </c>
      <c r="WJN1" t="s">
        <v>33513</v>
      </c>
      <c r="WJO1" t="s">
        <v>33514</v>
      </c>
      <c r="WJP1" t="s">
        <v>33515</v>
      </c>
      <c r="WJQ1" t="s">
        <v>33516</v>
      </c>
      <c r="WJR1" t="s">
        <v>33517</v>
      </c>
      <c r="WJS1" t="s">
        <v>33518</v>
      </c>
      <c r="WJT1" t="s">
        <v>33519</v>
      </c>
      <c r="WJU1" t="s">
        <v>33520</v>
      </c>
      <c r="WJV1" t="s">
        <v>33521</v>
      </c>
      <c r="WJW1" t="s">
        <v>33522</v>
      </c>
      <c r="WJX1" t="s">
        <v>33523</v>
      </c>
      <c r="WJY1" t="s">
        <v>33524</v>
      </c>
      <c r="WJZ1" t="s">
        <v>33525</v>
      </c>
      <c r="WKA1" t="s">
        <v>33526</v>
      </c>
      <c r="WKB1" t="s">
        <v>33527</v>
      </c>
      <c r="WKC1" t="s">
        <v>33528</v>
      </c>
      <c r="WKD1" t="s">
        <v>33529</v>
      </c>
      <c r="WKE1" t="s">
        <v>33530</v>
      </c>
      <c r="WKF1" t="s">
        <v>33531</v>
      </c>
      <c r="WKG1" t="s">
        <v>33532</v>
      </c>
      <c r="WKH1" t="s">
        <v>33533</v>
      </c>
      <c r="WKI1" t="s">
        <v>33534</v>
      </c>
      <c r="WKJ1" t="s">
        <v>33535</v>
      </c>
      <c r="WKK1" t="s">
        <v>33536</v>
      </c>
      <c r="WKL1" t="s">
        <v>33537</v>
      </c>
      <c r="WKM1" t="s">
        <v>33538</v>
      </c>
      <c r="WKN1" t="s">
        <v>33539</v>
      </c>
      <c r="WKO1" t="s">
        <v>33540</v>
      </c>
      <c r="WKP1" t="s">
        <v>33541</v>
      </c>
      <c r="WKQ1" t="s">
        <v>33542</v>
      </c>
      <c r="WKR1" t="s">
        <v>33543</v>
      </c>
      <c r="WKS1" t="s">
        <v>33544</v>
      </c>
      <c r="WKT1" t="s">
        <v>33545</v>
      </c>
      <c r="WKU1" t="s">
        <v>33546</v>
      </c>
      <c r="WKV1" t="s">
        <v>33547</v>
      </c>
      <c r="WKW1" t="s">
        <v>33548</v>
      </c>
      <c r="WKX1" t="s">
        <v>33549</v>
      </c>
      <c r="WKY1" t="s">
        <v>33550</v>
      </c>
      <c r="WKZ1" t="s">
        <v>33551</v>
      </c>
      <c r="WLA1" t="s">
        <v>33552</v>
      </c>
      <c r="WLB1" t="s">
        <v>33553</v>
      </c>
      <c r="WLC1" t="s">
        <v>33554</v>
      </c>
      <c r="WLD1" t="s">
        <v>33555</v>
      </c>
      <c r="WLE1" t="s">
        <v>33556</v>
      </c>
      <c r="WLF1" t="s">
        <v>33557</v>
      </c>
      <c r="WLG1" t="s">
        <v>33558</v>
      </c>
      <c r="WLH1" t="s">
        <v>33559</v>
      </c>
      <c r="WLI1" t="s">
        <v>33560</v>
      </c>
      <c r="WLJ1" t="s">
        <v>33561</v>
      </c>
      <c r="WLK1" t="s">
        <v>33562</v>
      </c>
      <c r="WLL1" t="s">
        <v>33563</v>
      </c>
      <c r="WLM1" t="s">
        <v>33564</v>
      </c>
      <c r="WLN1" t="s">
        <v>33565</v>
      </c>
      <c r="WLO1" t="s">
        <v>33566</v>
      </c>
      <c r="WLP1" t="s">
        <v>33567</v>
      </c>
      <c r="WLQ1" t="s">
        <v>33568</v>
      </c>
      <c r="WLR1" t="s">
        <v>33569</v>
      </c>
      <c r="WLS1" t="s">
        <v>33570</v>
      </c>
      <c r="WLT1" t="s">
        <v>33571</v>
      </c>
      <c r="WLU1" t="s">
        <v>33572</v>
      </c>
      <c r="WLV1" t="s">
        <v>33573</v>
      </c>
      <c r="WLW1" t="s">
        <v>33574</v>
      </c>
      <c r="WLX1" t="s">
        <v>33575</v>
      </c>
      <c r="WLY1" t="s">
        <v>33576</v>
      </c>
      <c r="WLZ1" t="s">
        <v>33577</v>
      </c>
      <c r="WMA1" t="s">
        <v>33578</v>
      </c>
      <c r="WMB1" t="s">
        <v>33579</v>
      </c>
      <c r="WMC1" t="s">
        <v>33580</v>
      </c>
      <c r="WMD1" t="s">
        <v>33581</v>
      </c>
      <c r="WME1" t="s">
        <v>33582</v>
      </c>
      <c r="WMF1" t="s">
        <v>33583</v>
      </c>
      <c r="WMG1" t="s">
        <v>33584</v>
      </c>
      <c r="WMH1" t="s">
        <v>33585</v>
      </c>
      <c r="WMI1" t="s">
        <v>33586</v>
      </c>
      <c r="WMJ1" t="s">
        <v>33587</v>
      </c>
      <c r="WMK1" t="s">
        <v>33588</v>
      </c>
      <c r="WML1" t="s">
        <v>33589</v>
      </c>
      <c r="WMM1" t="s">
        <v>33590</v>
      </c>
      <c r="WMN1" t="s">
        <v>33591</v>
      </c>
      <c r="WMO1" t="s">
        <v>33592</v>
      </c>
      <c r="WMP1" t="s">
        <v>33593</v>
      </c>
      <c r="WMQ1" t="s">
        <v>33594</v>
      </c>
      <c r="WMR1" t="s">
        <v>33595</v>
      </c>
      <c r="WMS1" t="s">
        <v>33596</v>
      </c>
      <c r="WMT1" t="s">
        <v>33597</v>
      </c>
      <c r="WMU1" t="s">
        <v>33598</v>
      </c>
      <c r="WMV1" t="s">
        <v>33599</v>
      </c>
      <c r="WMW1" t="s">
        <v>33600</v>
      </c>
      <c r="WMX1" t="s">
        <v>33601</v>
      </c>
      <c r="WMY1" t="s">
        <v>33602</v>
      </c>
      <c r="WMZ1" t="s">
        <v>33603</v>
      </c>
      <c r="WNA1" t="s">
        <v>33604</v>
      </c>
      <c r="WNB1" t="s">
        <v>33605</v>
      </c>
      <c r="WNC1" t="s">
        <v>33606</v>
      </c>
      <c r="WND1" t="s">
        <v>33607</v>
      </c>
      <c r="WNE1" t="s">
        <v>33608</v>
      </c>
      <c r="WNF1" t="s">
        <v>33609</v>
      </c>
      <c r="WNG1" t="s">
        <v>33610</v>
      </c>
      <c r="WNH1" t="s">
        <v>33611</v>
      </c>
      <c r="WNI1" t="s">
        <v>33612</v>
      </c>
      <c r="WNJ1" t="s">
        <v>33613</v>
      </c>
      <c r="WNK1" t="s">
        <v>33614</v>
      </c>
      <c r="WNL1" t="s">
        <v>33615</v>
      </c>
      <c r="WNM1" t="s">
        <v>33616</v>
      </c>
      <c r="WNN1" t="s">
        <v>33617</v>
      </c>
      <c r="WNO1" t="s">
        <v>33618</v>
      </c>
      <c r="WNP1" t="s">
        <v>33619</v>
      </c>
      <c r="WNQ1" t="s">
        <v>33620</v>
      </c>
      <c r="WNR1" t="s">
        <v>33621</v>
      </c>
      <c r="WNS1" t="s">
        <v>33622</v>
      </c>
      <c r="WNT1" t="s">
        <v>33623</v>
      </c>
      <c r="WNU1" t="s">
        <v>33624</v>
      </c>
      <c r="WNV1" t="s">
        <v>33625</v>
      </c>
      <c r="WNW1" t="s">
        <v>33626</v>
      </c>
      <c r="WNX1" t="s">
        <v>33627</v>
      </c>
      <c r="WNY1" t="s">
        <v>33628</v>
      </c>
      <c r="WNZ1" t="s">
        <v>33629</v>
      </c>
      <c r="WOA1" t="s">
        <v>33630</v>
      </c>
      <c r="WOB1" t="s">
        <v>33631</v>
      </c>
      <c r="WOC1" t="s">
        <v>33632</v>
      </c>
      <c r="WOD1" t="s">
        <v>33633</v>
      </c>
      <c r="WOE1" t="s">
        <v>33634</v>
      </c>
      <c r="WOF1" t="s">
        <v>33635</v>
      </c>
      <c r="WOG1" t="s">
        <v>33636</v>
      </c>
      <c r="WOH1" t="s">
        <v>33637</v>
      </c>
      <c r="WOI1" t="s">
        <v>33638</v>
      </c>
      <c r="WOJ1" t="s">
        <v>33639</v>
      </c>
      <c r="WOK1" t="s">
        <v>33640</v>
      </c>
      <c r="WOL1" t="s">
        <v>33641</v>
      </c>
      <c r="WOM1" t="s">
        <v>33642</v>
      </c>
      <c r="WON1" t="s">
        <v>33643</v>
      </c>
      <c r="WOO1" t="s">
        <v>33644</v>
      </c>
      <c r="WOP1" t="s">
        <v>33645</v>
      </c>
      <c r="WOQ1" t="s">
        <v>33646</v>
      </c>
      <c r="WOR1" t="s">
        <v>33647</v>
      </c>
      <c r="WOS1" t="s">
        <v>33648</v>
      </c>
      <c r="WOT1" t="s">
        <v>33649</v>
      </c>
      <c r="WOU1" t="s">
        <v>33650</v>
      </c>
      <c r="WOV1" t="s">
        <v>33651</v>
      </c>
      <c r="WOW1" t="s">
        <v>33652</v>
      </c>
      <c r="WOX1" t="s">
        <v>33653</v>
      </c>
      <c r="WOY1" t="s">
        <v>33654</v>
      </c>
      <c r="WOZ1" t="s">
        <v>33655</v>
      </c>
      <c r="WPA1" t="s">
        <v>33656</v>
      </c>
      <c r="WPB1" t="s">
        <v>33657</v>
      </c>
      <c r="WPC1" t="s">
        <v>33658</v>
      </c>
      <c r="WPD1" t="s">
        <v>33659</v>
      </c>
      <c r="WPE1" t="s">
        <v>33660</v>
      </c>
      <c r="WPF1" t="s">
        <v>33661</v>
      </c>
      <c r="WPG1" t="s">
        <v>33662</v>
      </c>
      <c r="WPH1" t="s">
        <v>33663</v>
      </c>
      <c r="WPI1" t="s">
        <v>33664</v>
      </c>
      <c r="WPJ1" t="s">
        <v>33665</v>
      </c>
      <c r="WPK1" t="s">
        <v>33666</v>
      </c>
      <c r="WPL1" t="s">
        <v>33667</v>
      </c>
      <c r="WPM1" t="s">
        <v>33668</v>
      </c>
      <c r="WPN1" t="s">
        <v>33669</v>
      </c>
      <c r="WPO1" t="s">
        <v>33670</v>
      </c>
      <c r="WPP1" t="s">
        <v>33671</v>
      </c>
      <c r="WPQ1" t="s">
        <v>33672</v>
      </c>
      <c r="WPR1" t="s">
        <v>33673</v>
      </c>
      <c r="WPS1" t="s">
        <v>33674</v>
      </c>
      <c r="WPT1" t="s">
        <v>33675</v>
      </c>
      <c r="WPU1" t="s">
        <v>33676</v>
      </c>
      <c r="WPV1" t="s">
        <v>33677</v>
      </c>
      <c r="WPW1" t="s">
        <v>33678</v>
      </c>
      <c r="WPX1" t="s">
        <v>33679</v>
      </c>
      <c r="WPY1" t="s">
        <v>33680</v>
      </c>
      <c r="WPZ1" t="s">
        <v>33681</v>
      </c>
      <c r="WQA1" t="s">
        <v>33682</v>
      </c>
      <c r="WQB1" t="s">
        <v>33683</v>
      </c>
      <c r="WQC1" t="s">
        <v>33684</v>
      </c>
      <c r="WQD1" t="s">
        <v>33685</v>
      </c>
      <c r="WQE1" t="s">
        <v>33686</v>
      </c>
      <c r="WQF1" t="s">
        <v>33687</v>
      </c>
      <c r="WQG1" t="s">
        <v>33688</v>
      </c>
      <c r="WQH1" t="s">
        <v>33689</v>
      </c>
      <c r="WQI1" t="s">
        <v>33690</v>
      </c>
      <c r="WQJ1" t="s">
        <v>33691</v>
      </c>
      <c r="WQK1" t="s">
        <v>33692</v>
      </c>
      <c r="WQL1" t="s">
        <v>33693</v>
      </c>
      <c r="WQM1" t="s">
        <v>33694</v>
      </c>
      <c r="WQN1" t="s">
        <v>33695</v>
      </c>
      <c r="WQO1" t="s">
        <v>33696</v>
      </c>
      <c r="WQP1" t="s">
        <v>33697</v>
      </c>
      <c r="WQQ1" t="s">
        <v>33698</v>
      </c>
      <c r="WQR1" t="s">
        <v>33699</v>
      </c>
      <c r="WQS1" t="s">
        <v>33700</v>
      </c>
      <c r="WQT1" t="s">
        <v>33701</v>
      </c>
      <c r="WQU1" t="s">
        <v>33702</v>
      </c>
      <c r="WQV1" t="s">
        <v>33703</v>
      </c>
      <c r="WQW1" t="s">
        <v>33704</v>
      </c>
      <c r="WQX1" t="s">
        <v>33705</v>
      </c>
      <c r="WQY1" t="s">
        <v>33706</v>
      </c>
      <c r="WQZ1" t="s">
        <v>33707</v>
      </c>
      <c r="WRA1" t="s">
        <v>33708</v>
      </c>
      <c r="WRB1" t="s">
        <v>33709</v>
      </c>
      <c r="WRC1" t="s">
        <v>33710</v>
      </c>
      <c r="WRD1" t="s">
        <v>33711</v>
      </c>
      <c r="WRE1" t="s">
        <v>33712</v>
      </c>
      <c r="WRF1" t="s">
        <v>33713</v>
      </c>
      <c r="WRG1" t="s">
        <v>33714</v>
      </c>
      <c r="WRH1" t="s">
        <v>33715</v>
      </c>
      <c r="WRI1" t="s">
        <v>33716</v>
      </c>
      <c r="WRJ1" t="s">
        <v>33717</v>
      </c>
      <c r="WRK1" t="s">
        <v>33718</v>
      </c>
      <c r="WRL1" t="s">
        <v>33719</v>
      </c>
      <c r="WRM1" t="s">
        <v>33720</v>
      </c>
      <c r="WRN1" t="s">
        <v>33721</v>
      </c>
      <c r="WRO1" t="s">
        <v>33722</v>
      </c>
      <c r="WRP1" t="s">
        <v>33723</v>
      </c>
      <c r="WRQ1" t="s">
        <v>33724</v>
      </c>
      <c r="WRR1" t="s">
        <v>33725</v>
      </c>
      <c r="WRS1" t="s">
        <v>33726</v>
      </c>
      <c r="WRT1" t="s">
        <v>33727</v>
      </c>
      <c r="WRU1" t="s">
        <v>33728</v>
      </c>
      <c r="WRV1" t="s">
        <v>33729</v>
      </c>
      <c r="WRW1" t="s">
        <v>33730</v>
      </c>
      <c r="WRX1" t="s">
        <v>33731</v>
      </c>
      <c r="WRY1" t="s">
        <v>33732</v>
      </c>
      <c r="WRZ1" t="s">
        <v>33733</v>
      </c>
      <c r="WSA1" t="s">
        <v>33734</v>
      </c>
      <c r="WSB1" t="s">
        <v>33735</v>
      </c>
      <c r="WSC1" t="s">
        <v>33736</v>
      </c>
      <c r="WSD1" t="s">
        <v>33737</v>
      </c>
      <c r="WSE1" t="s">
        <v>33738</v>
      </c>
      <c r="WSF1" t="s">
        <v>33739</v>
      </c>
      <c r="WSG1" t="s">
        <v>33740</v>
      </c>
      <c r="WSH1" t="s">
        <v>33741</v>
      </c>
      <c r="WSI1" t="s">
        <v>33742</v>
      </c>
      <c r="WSJ1" t="s">
        <v>33743</v>
      </c>
      <c r="WSK1" t="s">
        <v>33744</v>
      </c>
      <c r="WSL1" t="s">
        <v>33745</v>
      </c>
      <c r="WSM1" t="s">
        <v>33746</v>
      </c>
      <c r="WSN1" t="s">
        <v>33747</v>
      </c>
      <c r="WSO1" t="s">
        <v>33748</v>
      </c>
      <c r="WSP1" t="s">
        <v>33749</v>
      </c>
      <c r="WSQ1" t="s">
        <v>33750</v>
      </c>
      <c r="WSR1" t="s">
        <v>33751</v>
      </c>
      <c r="WSS1" t="s">
        <v>33752</v>
      </c>
      <c r="WST1" t="s">
        <v>33753</v>
      </c>
      <c r="WSU1" t="s">
        <v>33754</v>
      </c>
      <c r="WSV1" t="s">
        <v>33755</v>
      </c>
      <c r="WSW1" t="s">
        <v>33756</v>
      </c>
      <c r="WSX1" t="s">
        <v>33757</v>
      </c>
      <c r="WSY1" t="s">
        <v>33758</v>
      </c>
      <c r="WSZ1" t="s">
        <v>33759</v>
      </c>
      <c r="WTA1" t="s">
        <v>33760</v>
      </c>
      <c r="WTB1" t="s">
        <v>33761</v>
      </c>
      <c r="WTC1" t="s">
        <v>33762</v>
      </c>
      <c r="WTD1" t="s">
        <v>33763</v>
      </c>
      <c r="WTE1" t="s">
        <v>33764</v>
      </c>
      <c r="WTF1" t="s">
        <v>33765</v>
      </c>
      <c r="WTG1" t="s">
        <v>33766</v>
      </c>
      <c r="WTH1" t="s">
        <v>33767</v>
      </c>
      <c r="WTI1" t="s">
        <v>33768</v>
      </c>
      <c r="WTJ1" t="s">
        <v>33769</v>
      </c>
      <c r="WTK1" t="s">
        <v>33770</v>
      </c>
      <c r="WTL1" t="s">
        <v>33771</v>
      </c>
      <c r="WTM1" t="s">
        <v>33772</v>
      </c>
      <c r="WTN1" t="s">
        <v>33773</v>
      </c>
      <c r="WTO1" t="s">
        <v>33774</v>
      </c>
      <c r="WTP1" t="s">
        <v>33775</v>
      </c>
      <c r="WTQ1" t="s">
        <v>33776</v>
      </c>
      <c r="WTR1" t="s">
        <v>33777</v>
      </c>
      <c r="WTS1" t="s">
        <v>33778</v>
      </c>
      <c r="WTT1" t="s">
        <v>33779</v>
      </c>
      <c r="WTU1" t="s">
        <v>33780</v>
      </c>
      <c r="WTV1" t="s">
        <v>33781</v>
      </c>
      <c r="WTW1" t="s">
        <v>33782</v>
      </c>
      <c r="WTX1" t="s">
        <v>33783</v>
      </c>
      <c r="WTY1" t="s">
        <v>33784</v>
      </c>
      <c r="WTZ1" t="s">
        <v>33785</v>
      </c>
      <c r="WUA1" t="s">
        <v>33786</v>
      </c>
      <c r="WUB1" t="s">
        <v>33787</v>
      </c>
      <c r="WUC1" t="s">
        <v>33788</v>
      </c>
      <c r="WUD1" t="s">
        <v>33789</v>
      </c>
      <c r="WUE1" t="s">
        <v>33790</v>
      </c>
      <c r="WUF1" t="s">
        <v>33791</v>
      </c>
      <c r="WUG1" t="s">
        <v>33792</v>
      </c>
      <c r="WUH1" t="s">
        <v>33793</v>
      </c>
      <c r="WUI1" t="s">
        <v>33794</v>
      </c>
      <c r="WUJ1" t="s">
        <v>33795</v>
      </c>
      <c r="WUK1" t="s">
        <v>33796</v>
      </c>
      <c r="WUL1" t="s">
        <v>33797</v>
      </c>
      <c r="WUM1" t="s">
        <v>33798</v>
      </c>
      <c r="WUN1" t="s">
        <v>33799</v>
      </c>
      <c r="WUO1" t="s">
        <v>33800</v>
      </c>
      <c r="WUP1" t="s">
        <v>33801</v>
      </c>
      <c r="WUQ1" t="s">
        <v>33802</v>
      </c>
      <c r="WUR1" t="s">
        <v>33803</v>
      </c>
      <c r="WUS1" t="s">
        <v>33804</v>
      </c>
      <c r="WUT1" t="s">
        <v>33805</v>
      </c>
      <c r="WUU1" t="s">
        <v>33806</v>
      </c>
      <c r="WUV1" t="s">
        <v>33807</v>
      </c>
      <c r="WUW1" t="s">
        <v>33808</v>
      </c>
      <c r="WUX1" t="s">
        <v>33809</v>
      </c>
      <c r="WUY1" t="s">
        <v>33810</v>
      </c>
      <c r="WUZ1" t="s">
        <v>33811</v>
      </c>
      <c r="WVA1" t="s">
        <v>33812</v>
      </c>
      <c r="WVB1" t="s">
        <v>33813</v>
      </c>
      <c r="WVC1" t="s">
        <v>33814</v>
      </c>
      <c r="WVD1" t="s">
        <v>33815</v>
      </c>
      <c r="WVE1" t="s">
        <v>33816</v>
      </c>
      <c r="WVF1" t="s">
        <v>33817</v>
      </c>
      <c r="WVG1" t="s">
        <v>33818</v>
      </c>
      <c r="WVH1" t="s">
        <v>33819</v>
      </c>
      <c r="WVI1" t="s">
        <v>33820</v>
      </c>
      <c r="WVJ1" t="s">
        <v>33821</v>
      </c>
      <c r="WVK1" t="s">
        <v>33822</v>
      </c>
      <c r="WVL1" t="s">
        <v>33823</v>
      </c>
      <c r="WVM1" t="s">
        <v>33824</v>
      </c>
      <c r="WVN1" t="s">
        <v>33825</v>
      </c>
      <c r="WVO1" t="s">
        <v>33826</v>
      </c>
      <c r="WVP1" t="s">
        <v>33827</v>
      </c>
      <c r="WVQ1" t="s">
        <v>33828</v>
      </c>
      <c r="WVR1" t="s">
        <v>33829</v>
      </c>
      <c r="WVS1" t="s">
        <v>33830</v>
      </c>
      <c r="WVT1" t="s">
        <v>33831</v>
      </c>
      <c r="WVU1" t="s">
        <v>33832</v>
      </c>
      <c r="WVV1" t="s">
        <v>33833</v>
      </c>
      <c r="WVW1" t="s">
        <v>33834</v>
      </c>
      <c r="WVX1" t="s">
        <v>33835</v>
      </c>
      <c r="WVY1" t="s">
        <v>33836</v>
      </c>
      <c r="WVZ1" t="s">
        <v>33837</v>
      </c>
      <c r="WWA1" t="s">
        <v>33838</v>
      </c>
      <c r="WWB1" t="s">
        <v>33839</v>
      </c>
      <c r="WWC1" t="s">
        <v>33840</v>
      </c>
      <c r="WWD1" t="s">
        <v>33841</v>
      </c>
      <c r="WWE1" t="s">
        <v>33842</v>
      </c>
      <c r="WWF1" t="s">
        <v>33843</v>
      </c>
      <c r="WWG1" t="s">
        <v>33844</v>
      </c>
      <c r="WWH1" t="s">
        <v>33845</v>
      </c>
      <c r="WWI1" t="s">
        <v>33846</v>
      </c>
      <c r="WWJ1" t="s">
        <v>33847</v>
      </c>
      <c r="WWK1" t="s">
        <v>33848</v>
      </c>
      <c r="WWL1" t="s">
        <v>33849</v>
      </c>
      <c r="WWM1" t="s">
        <v>33850</v>
      </c>
      <c r="WWN1" t="s">
        <v>33851</v>
      </c>
      <c r="WWO1" t="s">
        <v>33852</v>
      </c>
      <c r="WWP1" t="s">
        <v>33853</v>
      </c>
      <c r="WWQ1" t="s">
        <v>33854</v>
      </c>
      <c r="WWR1" t="s">
        <v>33855</v>
      </c>
      <c r="WWS1" t="s">
        <v>33856</v>
      </c>
      <c r="WWT1" t="s">
        <v>33857</v>
      </c>
      <c r="WWU1" t="s">
        <v>33858</v>
      </c>
      <c r="WWV1" t="s">
        <v>33859</v>
      </c>
      <c r="WWW1" t="s">
        <v>33860</v>
      </c>
      <c r="WWX1" t="s">
        <v>33861</v>
      </c>
      <c r="WWY1" t="s">
        <v>33862</v>
      </c>
      <c r="WWZ1" t="s">
        <v>33863</v>
      </c>
      <c r="WXA1" t="s">
        <v>33864</v>
      </c>
      <c r="WXB1" t="s">
        <v>33865</v>
      </c>
      <c r="WXC1" t="s">
        <v>33866</v>
      </c>
      <c r="WXD1" t="s">
        <v>33867</v>
      </c>
      <c r="WXE1" t="s">
        <v>33868</v>
      </c>
      <c r="WXF1" t="s">
        <v>33869</v>
      </c>
      <c r="WXG1" t="s">
        <v>33870</v>
      </c>
      <c r="WXH1" t="s">
        <v>33871</v>
      </c>
      <c r="WXI1" t="s">
        <v>33872</v>
      </c>
      <c r="WXJ1" t="s">
        <v>33873</v>
      </c>
      <c r="WXK1" t="s">
        <v>33874</v>
      </c>
      <c r="WXL1" t="s">
        <v>33875</v>
      </c>
      <c r="WXM1" t="s">
        <v>33876</v>
      </c>
      <c r="WXN1" t="s">
        <v>33877</v>
      </c>
      <c r="WXO1" t="s">
        <v>33878</v>
      </c>
      <c r="WXP1" t="s">
        <v>33879</v>
      </c>
      <c r="WXQ1" t="s">
        <v>33880</v>
      </c>
      <c r="WXR1" t="s">
        <v>33881</v>
      </c>
      <c r="WXS1" t="s">
        <v>33882</v>
      </c>
      <c r="WXT1" t="s">
        <v>33883</v>
      </c>
      <c r="WXU1" t="s">
        <v>33884</v>
      </c>
      <c r="WXV1" t="s">
        <v>33885</v>
      </c>
      <c r="WXW1" t="s">
        <v>33886</v>
      </c>
      <c r="WXX1" t="s">
        <v>33887</v>
      </c>
      <c r="WXY1" t="s">
        <v>33888</v>
      </c>
      <c r="WXZ1" t="s">
        <v>33889</v>
      </c>
      <c r="WYA1" t="s">
        <v>33890</v>
      </c>
      <c r="WYB1" t="s">
        <v>33891</v>
      </c>
      <c r="WYC1" t="s">
        <v>33892</v>
      </c>
      <c r="WYD1" t="s">
        <v>33893</v>
      </c>
      <c r="WYE1" t="s">
        <v>33894</v>
      </c>
      <c r="WYF1" t="s">
        <v>33895</v>
      </c>
      <c r="WYG1" t="s">
        <v>33896</v>
      </c>
      <c r="WYH1" t="s">
        <v>33897</v>
      </c>
      <c r="WYI1" t="s">
        <v>33898</v>
      </c>
      <c r="WYJ1" t="s">
        <v>33899</v>
      </c>
      <c r="WYK1" t="s">
        <v>33900</v>
      </c>
      <c r="WYL1" t="s">
        <v>33901</v>
      </c>
      <c r="WYM1" t="s">
        <v>33902</v>
      </c>
      <c r="WYN1" t="s">
        <v>33903</v>
      </c>
      <c r="WYO1" t="s">
        <v>33904</v>
      </c>
      <c r="WYP1" t="s">
        <v>33905</v>
      </c>
      <c r="WYQ1" t="s">
        <v>33906</v>
      </c>
      <c r="WYR1" t="s">
        <v>33907</v>
      </c>
      <c r="WYS1" t="s">
        <v>33908</v>
      </c>
      <c r="WYT1" t="s">
        <v>33909</v>
      </c>
      <c r="WYU1" t="s">
        <v>33910</v>
      </c>
      <c r="WYV1" t="s">
        <v>33911</v>
      </c>
      <c r="WYW1" t="s">
        <v>33912</v>
      </c>
      <c r="WYX1" t="s">
        <v>33913</v>
      </c>
      <c r="WYY1" t="s">
        <v>33914</v>
      </c>
      <c r="WYZ1" t="s">
        <v>33915</v>
      </c>
      <c r="WZA1" t="s">
        <v>33916</v>
      </c>
      <c r="WZB1" t="s">
        <v>33917</v>
      </c>
      <c r="WZC1" t="s">
        <v>33918</v>
      </c>
      <c r="WZD1" t="s">
        <v>33919</v>
      </c>
      <c r="WZE1" t="s">
        <v>33920</v>
      </c>
      <c r="WZF1" t="s">
        <v>33921</v>
      </c>
      <c r="WZG1" t="s">
        <v>33922</v>
      </c>
      <c r="WZH1" t="s">
        <v>33923</v>
      </c>
      <c r="WZI1" t="s">
        <v>33924</v>
      </c>
      <c r="WZJ1" t="s">
        <v>33925</v>
      </c>
      <c r="WZK1" t="s">
        <v>33926</v>
      </c>
      <c r="WZL1" t="s">
        <v>33927</v>
      </c>
      <c r="WZM1" t="s">
        <v>33928</v>
      </c>
      <c r="WZN1" t="s">
        <v>33929</v>
      </c>
      <c r="WZO1" t="s">
        <v>33930</v>
      </c>
      <c r="WZP1" t="s">
        <v>33931</v>
      </c>
      <c r="WZQ1" t="s">
        <v>33932</v>
      </c>
      <c r="WZR1" t="s">
        <v>33933</v>
      </c>
      <c r="WZS1" t="s">
        <v>33934</v>
      </c>
      <c r="WZT1" t="s">
        <v>33935</v>
      </c>
      <c r="WZU1" t="s">
        <v>33936</v>
      </c>
      <c r="WZV1" t="s">
        <v>33937</v>
      </c>
      <c r="WZW1" t="s">
        <v>33938</v>
      </c>
      <c r="WZX1" t="s">
        <v>33939</v>
      </c>
      <c r="WZY1" t="s">
        <v>33940</v>
      </c>
      <c r="WZZ1" t="s">
        <v>33941</v>
      </c>
      <c r="XAA1" t="s">
        <v>33942</v>
      </c>
      <c r="XAB1" t="s">
        <v>33943</v>
      </c>
      <c r="XAC1" t="s">
        <v>33944</v>
      </c>
      <c r="XAD1" t="s">
        <v>33945</v>
      </c>
      <c r="XAE1" t="s">
        <v>33946</v>
      </c>
      <c r="XAF1" t="s">
        <v>33947</v>
      </c>
      <c r="XAG1" t="s">
        <v>33948</v>
      </c>
      <c r="XAH1" t="s">
        <v>33949</v>
      </c>
      <c r="XAI1" t="s">
        <v>33950</v>
      </c>
      <c r="XAJ1" t="s">
        <v>33951</v>
      </c>
      <c r="XAK1" t="s">
        <v>33952</v>
      </c>
      <c r="XAL1" t="s">
        <v>33953</v>
      </c>
      <c r="XAM1" t="s">
        <v>33954</v>
      </c>
      <c r="XAN1" t="s">
        <v>33955</v>
      </c>
      <c r="XAO1" t="s">
        <v>33956</v>
      </c>
      <c r="XAP1" t="s">
        <v>33957</v>
      </c>
      <c r="XAQ1" t="s">
        <v>33958</v>
      </c>
      <c r="XAR1" t="s">
        <v>33959</v>
      </c>
      <c r="XAS1" t="s">
        <v>33960</v>
      </c>
      <c r="XAT1" t="s">
        <v>33961</v>
      </c>
      <c r="XAU1" t="s">
        <v>33962</v>
      </c>
      <c r="XAV1" t="s">
        <v>33963</v>
      </c>
      <c r="XAW1" t="s">
        <v>33964</v>
      </c>
      <c r="XAX1" t="s">
        <v>33965</v>
      </c>
      <c r="XAY1" t="s">
        <v>33966</v>
      </c>
      <c r="XAZ1" t="s">
        <v>33967</v>
      </c>
      <c r="XBA1" t="s">
        <v>33968</v>
      </c>
      <c r="XBB1" t="s">
        <v>33969</v>
      </c>
      <c r="XBC1" t="s">
        <v>33970</v>
      </c>
      <c r="XBD1" t="s">
        <v>33971</v>
      </c>
      <c r="XBE1" t="s">
        <v>33972</v>
      </c>
      <c r="XBF1" t="s">
        <v>33973</v>
      </c>
      <c r="XBG1" t="s">
        <v>33974</v>
      </c>
      <c r="XBH1" t="s">
        <v>33975</v>
      </c>
      <c r="XBI1" t="s">
        <v>33976</v>
      </c>
      <c r="XBJ1" t="s">
        <v>33977</v>
      </c>
      <c r="XBK1" t="s">
        <v>33978</v>
      </c>
      <c r="XBL1" t="s">
        <v>33979</v>
      </c>
      <c r="XBM1" t="s">
        <v>33980</v>
      </c>
      <c r="XBN1" t="s">
        <v>33981</v>
      </c>
      <c r="XBO1" t="s">
        <v>33982</v>
      </c>
      <c r="XBP1" t="s">
        <v>33983</v>
      </c>
      <c r="XBQ1" t="s">
        <v>33984</v>
      </c>
      <c r="XBR1" t="s">
        <v>33985</v>
      </c>
      <c r="XBS1" t="s">
        <v>33986</v>
      </c>
      <c r="XBT1" t="s">
        <v>33987</v>
      </c>
      <c r="XBU1" t="s">
        <v>33988</v>
      </c>
      <c r="XBV1" t="s">
        <v>33989</v>
      </c>
      <c r="XBW1" t="s">
        <v>33990</v>
      </c>
      <c r="XBX1" t="s">
        <v>33991</v>
      </c>
      <c r="XBY1" t="s">
        <v>33992</v>
      </c>
      <c r="XBZ1" t="s">
        <v>33993</v>
      </c>
      <c r="XCA1" t="s">
        <v>33994</v>
      </c>
      <c r="XCB1" t="s">
        <v>33995</v>
      </c>
      <c r="XCC1" t="s">
        <v>33996</v>
      </c>
      <c r="XCD1" t="s">
        <v>33997</v>
      </c>
      <c r="XCE1" t="s">
        <v>33998</v>
      </c>
      <c r="XCF1" t="s">
        <v>33999</v>
      </c>
      <c r="XCG1" t="s">
        <v>34000</v>
      </c>
      <c r="XCH1" t="s">
        <v>34001</v>
      </c>
      <c r="XCI1" t="s">
        <v>34002</v>
      </c>
      <c r="XCJ1" t="s">
        <v>34003</v>
      </c>
      <c r="XCK1" t="s">
        <v>34004</v>
      </c>
      <c r="XCL1" t="s">
        <v>34005</v>
      </c>
      <c r="XCM1" t="s">
        <v>34006</v>
      </c>
      <c r="XCN1" t="s">
        <v>34007</v>
      </c>
      <c r="XCO1" t="s">
        <v>34008</v>
      </c>
      <c r="XCP1" t="s">
        <v>34009</v>
      </c>
      <c r="XCQ1" t="s">
        <v>34010</v>
      </c>
      <c r="XCR1" t="s">
        <v>34011</v>
      </c>
      <c r="XCS1" t="s">
        <v>34012</v>
      </c>
      <c r="XCT1" t="s">
        <v>34013</v>
      </c>
      <c r="XCU1" t="s">
        <v>34014</v>
      </c>
      <c r="XCV1" t="s">
        <v>34015</v>
      </c>
      <c r="XCW1" t="s">
        <v>34016</v>
      </c>
      <c r="XCX1" t="s">
        <v>34017</v>
      </c>
      <c r="XCY1" t="s">
        <v>34018</v>
      </c>
      <c r="XCZ1" t="s">
        <v>34019</v>
      </c>
      <c r="XDA1" t="s">
        <v>34020</v>
      </c>
      <c r="XDB1" t="s">
        <v>34021</v>
      </c>
      <c r="XDC1" t="s">
        <v>34022</v>
      </c>
      <c r="XDD1" t="s">
        <v>34023</v>
      </c>
      <c r="XDE1" t="s">
        <v>34024</v>
      </c>
      <c r="XDF1" t="s">
        <v>34025</v>
      </c>
      <c r="XDG1" t="s">
        <v>34026</v>
      </c>
      <c r="XDH1" t="s">
        <v>34027</v>
      </c>
      <c r="XDI1" t="s">
        <v>34028</v>
      </c>
      <c r="XDJ1" t="s">
        <v>34029</v>
      </c>
      <c r="XDK1" t="s">
        <v>34030</v>
      </c>
      <c r="XDL1" t="s">
        <v>34031</v>
      </c>
      <c r="XDM1" t="s">
        <v>34032</v>
      </c>
      <c r="XDN1" t="s">
        <v>34033</v>
      </c>
      <c r="XDO1" t="s">
        <v>34034</v>
      </c>
      <c r="XDP1" t="s">
        <v>34035</v>
      </c>
      <c r="XDQ1" t="s">
        <v>34036</v>
      </c>
      <c r="XDR1" t="s">
        <v>34037</v>
      </c>
      <c r="XDS1" t="s">
        <v>34038</v>
      </c>
      <c r="XDT1" t="s">
        <v>34039</v>
      </c>
      <c r="XDU1" t="s">
        <v>34040</v>
      </c>
      <c r="XDV1" t="s">
        <v>34041</v>
      </c>
      <c r="XDW1" t="s">
        <v>34042</v>
      </c>
      <c r="XDX1" t="s">
        <v>34043</v>
      </c>
      <c r="XDY1" t="s">
        <v>34044</v>
      </c>
      <c r="XDZ1" t="s">
        <v>34045</v>
      </c>
      <c r="XEA1" t="s">
        <v>34046</v>
      </c>
      <c r="XEB1" t="s">
        <v>34047</v>
      </c>
      <c r="XEC1" t="s">
        <v>34048</v>
      </c>
      <c r="XED1" t="s">
        <v>34049</v>
      </c>
      <c r="XEE1" t="s">
        <v>34050</v>
      </c>
      <c r="XEF1" t="s">
        <v>34051</v>
      </c>
      <c r="XEG1" t="s">
        <v>34052</v>
      </c>
      <c r="XEH1" t="s">
        <v>34053</v>
      </c>
      <c r="XEI1" t="s">
        <v>34054</v>
      </c>
      <c r="XEJ1" t="s">
        <v>34055</v>
      </c>
      <c r="XEK1" t="s">
        <v>34056</v>
      </c>
      <c r="XEL1" t="s">
        <v>34057</v>
      </c>
      <c r="XEM1" t="s">
        <v>34058</v>
      </c>
      <c r="XEN1" t="s">
        <v>34059</v>
      </c>
      <c r="XEO1" t="s">
        <v>34060</v>
      </c>
      <c r="XEP1" t="s">
        <v>34061</v>
      </c>
      <c r="XEQ1" t="s">
        <v>34062</v>
      </c>
      <c r="XER1" t="s">
        <v>34063</v>
      </c>
      <c r="XES1" t="s">
        <v>34064</v>
      </c>
      <c r="XET1" t="s">
        <v>34065</v>
      </c>
      <c r="XEU1" t="s">
        <v>34066</v>
      </c>
      <c r="XEV1" t="s">
        <v>34067</v>
      </c>
      <c r="XEW1" t="s">
        <v>34068</v>
      </c>
      <c r="XEX1" t="s">
        <v>34069</v>
      </c>
      <c r="XEY1" t="s">
        <v>34070</v>
      </c>
      <c r="XEZ1" t="s">
        <v>34071</v>
      </c>
      <c r="XFA1" t="s">
        <v>34072</v>
      </c>
      <c r="XFB1" t="s">
        <v>34073</v>
      </c>
      <c r="XFC1" t="s">
        <v>34074</v>
      </c>
      <c r="XFD1" t="s">
        <v>34075</v>
      </c>
    </row>
    <row r="2" spans="1:16384" x14ac:dyDescent="0.25">
      <c r="A2">
        <v>2025</v>
      </c>
      <c r="B2" t="s">
        <v>5</v>
      </c>
      <c r="C2" s="1">
        <v>45880</v>
      </c>
      <c r="D2" t="s">
        <v>6</v>
      </c>
      <c r="E2" s="2">
        <v>3920</v>
      </c>
      <c r="G2" s="3">
        <f>MONTH(Tabela1[[#This Row],[Último pagto ano]])</f>
        <v>8</v>
      </c>
      <c r="H2" t="str">
        <f>TEXT(Tabela1[[#This Row],[Coluna2]]*29,"mmmm")</f>
        <v>agosto</v>
      </c>
      <c r="I2" t="str">
        <f>TEXT(MONTH(Tabela1[[#This Row],[Último pagto ano]])*29,"mmmm")</f>
        <v>agosto</v>
      </c>
    </row>
    <row r="3" spans="1:16384" x14ac:dyDescent="0.25">
      <c r="A3">
        <v>2025</v>
      </c>
      <c r="B3" t="s">
        <v>7</v>
      </c>
      <c r="C3" s="1">
        <v>45736</v>
      </c>
      <c r="D3" t="s">
        <v>8</v>
      </c>
      <c r="E3" s="2">
        <v>1010</v>
      </c>
      <c r="G3" s="3">
        <f>MONTH(Tabela1[[#This Row],[Último pagto ano]])</f>
        <v>3</v>
      </c>
      <c r="H3" t="str">
        <f>TEXT(Tabela1[[#This Row],[Coluna2]]*29,"mmmm")</f>
        <v>março</v>
      </c>
      <c r="I3" t="str">
        <f>TEXT(MONTH(Tabela1[[#This Row],[Último pagto ano]])*29,"mmmm")</f>
        <v>março</v>
      </c>
    </row>
    <row r="4" spans="1:16384" x14ac:dyDescent="0.25">
      <c r="A4">
        <v>2025</v>
      </c>
      <c r="B4" t="s">
        <v>9</v>
      </c>
      <c r="C4" s="1">
        <v>45922</v>
      </c>
      <c r="D4" t="s">
        <v>10</v>
      </c>
      <c r="E4" s="2">
        <v>12759.87</v>
      </c>
      <c r="G4" s="3">
        <f>MONTH(Tabela1[[#This Row],[Último pagto ano]])</f>
        <v>9</v>
      </c>
      <c r="H4" t="str">
        <f>TEXT(Tabela1[[#This Row],[Coluna2]]*29,"mmmm")</f>
        <v>setembro</v>
      </c>
      <c r="I4" t="str">
        <f>TEXT(MONTH(Tabela1[[#This Row],[Último pagto ano]])*29,"mmmm")</f>
        <v>setembro</v>
      </c>
    </row>
    <row r="5" spans="1:16384" x14ac:dyDescent="0.25">
      <c r="A5">
        <v>2025</v>
      </c>
      <c r="B5" t="s">
        <v>11</v>
      </c>
      <c r="C5" s="1">
        <v>45876</v>
      </c>
      <c r="D5" t="s">
        <v>12</v>
      </c>
      <c r="E5">
        <v>1.34</v>
      </c>
      <c r="G5" s="3">
        <f>MONTH(Tabela1[[#This Row],[Último pagto ano]])</f>
        <v>8</v>
      </c>
      <c r="H5" t="str">
        <f>TEXT(Tabela1[[#This Row],[Coluna2]]*29,"mmmm")</f>
        <v>agosto</v>
      </c>
      <c r="I5" t="str">
        <f>TEXT(MONTH(Tabela1[[#This Row],[Último pagto ano]])*29,"mmmm")</f>
        <v>agosto</v>
      </c>
    </row>
    <row r="6" spans="1:16384" x14ac:dyDescent="0.25">
      <c r="A6">
        <v>2025</v>
      </c>
      <c r="B6" t="s">
        <v>13</v>
      </c>
      <c r="C6" s="1">
        <v>45798</v>
      </c>
      <c r="D6" t="s">
        <v>14</v>
      </c>
      <c r="E6">
        <v>720</v>
      </c>
      <c r="G6" s="3">
        <f>MONTH(Tabela1[[#This Row],[Último pagto ano]])</f>
        <v>5</v>
      </c>
      <c r="H6" t="str">
        <f>TEXT(Tabela1[[#This Row],[Coluna2]]*29,"mmmm")</f>
        <v>maio</v>
      </c>
      <c r="I6" t="str">
        <f>TEXT(MONTH(Tabela1[[#This Row],[Último pagto ano]])*29,"mmmm")</f>
        <v>maio</v>
      </c>
    </row>
    <row r="7" spans="1:16384" x14ac:dyDescent="0.25">
      <c r="A7">
        <v>2025</v>
      </c>
      <c r="B7" t="s">
        <v>15</v>
      </c>
      <c r="C7" s="1">
        <v>45931</v>
      </c>
      <c r="D7" t="s">
        <v>16</v>
      </c>
      <c r="E7" s="2">
        <v>3960</v>
      </c>
      <c r="G7" s="3">
        <f>MONTH(Tabela1[[#This Row],[Último pagto ano]])</f>
        <v>10</v>
      </c>
      <c r="H7" t="str">
        <f>TEXT(Tabela1[[#This Row],[Coluna2]]*29,"mmmm")</f>
        <v>outubro</v>
      </c>
      <c r="I7" t="str">
        <f>TEXT(MONTH(Tabela1[[#This Row],[Último pagto ano]])*29,"mmmm")</f>
        <v>outubro</v>
      </c>
    </row>
    <row r="8" spans="1:16384" x14ac:dyDescent="0.25">
      <c r="A8">
        <v>2025</v>
      </c>
      <c r="B8" t="s">
        <v>17</v>
      </c>
      <c r="C8" s="1">
        <v>45915</v>
      </c>
      <c r="D8" t="s">
        <v>18</v>
      </c>
      <c r="E8">
        <v>875.2</v>
      </c>
      <c r="G8" s="3">
        <f>MONTH(Tabela1[[#This Row],[Último pagto ano]])</f>
        <v>9</v>
      </c>
      <c r="H8" t="str">
        <f>TEXT(Tabela1[[#This Row],[Coluna2]]*29,"mmmm")</f>
        <v>setembro</v>
      </c>
      <c r="I8" t="str">
        <f>TEXT(MONTH(Tabela1[[#This Row],[Último pagto ano]])*29,"mmmm")</f>
        <v>setembro</v>
      </c>
    </row>
    <row r="9" spans="1:16384" x14ac:dyDescent="0.25">
      <c r="A9">
        <v>2025</v>
      </c>
      <c r="B9" t="s">
        <v>19</v>
      </c>
      <c r="C9" s="1">
        <v>45960</v>
      </c>
      <c r="D9" t="s">
        <v>20</v>
      </c>
      <c r="E9" s="2">
        <v>828208</v>
      </c>
      <c r="G9" s="3">
        <f>MONTH(Tabela1[[#This Row],[Último pagto ano]])</f>
        <v>10</v>
      </c>
      <c r="H9" t="str">
        <f>TEXT(Tabela1[[#This Row],[Coluna2]]*29,"mmmm")</f>
        <v>outubro</v>
      </c>
      <c r="I9" t="str">
        <f>TEXT(MONTH(Tabela1[[#This Row],[Último pagto ano]])*29,"mmmm")</f>
        <v>outubro</v>
      </c>
    </row>
    <row r="10" spans="1:16384" x14ac:dyDescent="0.25">
      <c r="A10">
        <v>2025</v>
      </c>
      <c r="B10" t="s">
        <v>19</v>
      </c>
      <c r="C10" s="1">
        <v>45733</v>
      </c>
      <c r="D10" t="s">
        <v>21</v>
      </c>
      <c r="E10" s="2">
        <v>1049.7</v>
      </c>
      <c r="G10" s="3">
        <f>MONTH(Tabela1[[#This Row],[Último pagto ano]])</f>
        <v>3</v>
      </c>
      <c r="H10" t="str">
        <f>TEXT(Tabela1[[#This Row],[Coluna2]]*29,"mmmm")</f>
        <v>março</v>
      </c>
      <c r="I10" t="str">
        <f>TEXT(MONTH(Tabela1[[#This Row],[Último pagto ano]])*29,"mmmm")</f>
        <v>março</v>
      </c>
    </row>
    <row r="11" spans="1:16384" x14ac:dyDescent="0.25">
      <c r="A11">
        <v>2025</v>
      </c>
      <c r="B11" t="s">
        <v>22</v>
      </c>
      <c r="C11" s="1">
        <v>45663</v>
      </c>
      <c r="D11" t="s">
        <v>23</v>
      </c>
      <c r="E11" s="2">
        <v>17809.68</v>
      </c>
      <c r="G11" s="3">
        <f>MONTH(Tabela1[[#This Row],[Último pagto ano]])</f>
        <v>1</v>
      </c>
      <c r="H11" t="str">
        <f>TEXT(Tabela1[[#This Row],[Coluna2]]*29,"mmmm")</f>
        <v>janeiro</v>
      </c>
      <c r="I11" t="str">
        <f>TEXT(MONTH(Tabela1[[#This Row],[Último pagto ano]])*29,"mmmm")</f>
        <v>janeiro</v>
      </c>
    </row>
    <row r="12" spans="1:16384" x14ac:dyDescent="0.25">
      <c r="A12">
        <v>2025</v>
      </c>
      <c r="B12" t="s">
        <v>24</v>
      </c>
      <c r="C12" s="1">
        <v>45803</v>
      </c>
      <c r="D12" t="s">
        <v>25</v>
      </c>
      <c r="E12" s="2">
        <v>4360.5</v>
      </c>
      <c r="G12" s="3">
        <f>MONTH(Tabela1[[#This Row],[Último pagto ano]])</f>
        <v>5</v>
      </c>
      <c r="H12" t="str">
        <f>TEXT(Tabela1[[#This Row],[Coluna2]]*29,"mmmm")</f>
        <v>maio</v>
      </c>
      <c r="I12" t="str">
        <f>TEXT(MONTH(Tabela1[[#This Row],[Último pagto ano]])*29,"mmmm")</f>
        <v>maio</v>
      </c>
    </row>
    <row r="13" spans="1:16384" x14ac:dyDescent="0.25">
      <c r="A13">
        <v>2025</v>
      </c>
      <c r="B13" t="s">
        <v>26</v>
      </c>
      <c r="C13" s="1">
        <v>46009</v>
      </c>
      <c r="D13" t="s">
        <v>27</v>
      </c>
      <c r="E13" s="2">
        <v>10161.4</v>
      </c>
      <c r="G13" s="3">
        <f>MONTH(Tabela1[[#This Row],[Último pagto ano]])</f>
        <v>12</v>
      </c>
      <c r="H13" t="str">
        <f>TEXT(Tabela1[[#This Row],[Coluna2]]*29,"mmmm")</f>
        <v>dezembro</v>
      </c>
      <c r="I13" t="str">
        <f>TEXT(MONTH(Tabela1[[#This Row],[Último pagto ano]])*29,"mmmm")</f>
        <v>dezembro</v>
      </c>
    </row>
    <row r="14" spans="1:16384" x14ac:dyDescent="0.25">
      <c r="A14">
        <v>2025</v>
      </c>
      <c r="B14" t="s">
        <v>28</v>
      </c>
      <c r="C14" s="1">
        <v>45995</v>
      </c>
      <c r="D14" t="s">
        <v>29</v>
      </c>
      <c r="E14">
        <v>154</v>
      </c>
      <c r="G14" s="3">
        <f>MONTH(Tabela1[[#This Row],[Último pagto ano]])</f>
        <v>12</v>
      </c>
      <c r="H14" t="str">
        <f>TEXT(Tabela1[[#This Row],[Coluna2]]*29,"mmmm")</f>
        <v>dezembro</v>
      </c>
      <c r="I14" t="str">
        <f>TEXT(MONTH(Tabela1[[#This Row],[Último pagto ano]])*29,"mmmm")</f>
        <v>dezembro</v>
      </c>
    </row>
    <row r="15" spans="1:16384" x14ac:dyDescent="0.25">
      <c r="A15">
        <v>2025</v>
      </c>
      <c r="B15" t="s">
        <v>30</v>
      </c>
      <c r="C15" s="1">
        <v>46021</v>
      </c>
      <c r="D15" t="s">
        <v>31</v>
      </c>
      <c r="E15" s="2">
        <v>4998.24</v>
      </c>
      <c r="G15" s="3">
        <f>MONTH(Tabela1[[#This Row],[Último pagto ano]])</f>
        <v>12</v>
      </c>
      <c r="H15" t="str">
        <f>TEXT(Tabela1[[#This Row],[Coluna2]]*29,"mmmm")</f>
        <v>dezembro</v>
      </c>
      <c r="I15" t="str">
        <f>TEXT(MONTH(Tabela1[[#This Row],[Último pagto ano]])*29,"mmmm")</f>
        <v>dezembro</v>
      </c>
    </row>
    <row r="16" spans="1:16384" x14ac:dyDescent="0.25">
      <c r="A16">
        <v>2025</v>
      </c>
      <c r="B16" t="s">
        <v>32</v>
      </c>
      <c r="C16" s="1">
        <v>45762</v>
      </c>
      <c r="D16" t="s">
        <v>33</v>
      </c>
      <c r="E16" s="2">
        <v>1467.52</v>
      </c>
      <c r="G16" s="3">
        <f>MONTH(Tabela1[[#This Row],[Último pagto ano]])</f>
        <v>4</v>
      </c>
      <c r="H16" t="str">
        <f>TEXT(Tabela1[[#This Row],[Coluna2]]*29,"mmmm")</f>
        <v>abril</v>
      </c>
      <c r="I16" t="str">
        <f>TEXT(MONTH(Tabela1[[#This Row],[Último pagto ano]])*29,"mmmm")</f>
        <v>abril</v>
      </c>
    </row>
    <row r="17" spans="1:9" x14ac:dyDescent="0.25">
      <c r="A17">
        <v>2025</v>
      </c>
      <c r="B17" t="s">
        <v>34</v>
      </c>
      <c r="C17" s="1">
        <v>46003</v>
      </c>
      <c r="D17" t="s">
        <v>35</v>
      </c>
      <c r="E17" s="2">
        <v>5582.57</v>
      </c>
      <c r="G17" s="3">
        <f>MONTH(Tabela1[[#This Row],[Último pagto ano]])</f>
        <v>12</v>
      </c>
      <c r="H17" t="str">
        <f>TEXT(Tabela1[[#This Row],[Coluna2]]*29,"mmmm")</f>
        <v>dezembro</v>
      </c>
      <c r="I17" t="str">
        <f>TEXT(MONTH(Tabela1[[#This Row],[Último pagto ano]])*29,"mmmm")</f>
        <v>dezembro</v>
      </c>
    </row>
    <row r="18" spans="1:9" x14ac:dyDescent="0.25">
      <c r="A18">
        <v>2025</v>
      </c>
      <c r="B18" t="s">
        <v>36</v>
      </c>
      <c r="C18" s="1">
        <v>45978</v>
      </c>
      <c r="D18" t="s">
        <v>37</v>
      </c>
      <c r="E18">
        <v>132</v>
      </c>
      <c r="G18" s="3">
        <f>MONTH(Tabela1[[#This Row],[Último pagto ano]])</f>
        <v>11</v>
      </c>
      <c r="H18" t="str">
        <f>TEXT(Tabela1[[#This Row],[Coluna2]]*29,"mmmm")</f>
        <v>novembro</v>
      </c>
      <c r="I18" t="str">
        <f>TEXT(MONTH(Tabela1[[#This Row],[Último pagto ano]])*29,"mmmm")</f>
        <v>novembro</v>
      </c>
    </row>
    <row r="19" spans="1:9" x14ac:dyDescent="0.25">
      <c r="A19">
        <v>2025</v>
      </c>
      <c r="B19" t="s">
        <v>38</v>
      </c>
      <c r="C19" s="1">
        <v>45937</v>
      </c>
      <c r="D19" t="s">
        <v>39</v>
      </c>
      <c r="E19" s="2">
        <v>182000</v>
      </c>
      <c r="G19" s="3">
        <f>MONTH(Tabela1[[#This Row],[Último pagto ano]])</f>
        <v>10</v>
      </c>
      <c r="H19" t="str">
        <f>TEXT(Tabela1[[#This Row],[Coluna2]]*29,"mmmm")</f>
        <v>outubro</v>
      </c>
      <c r="I19" t="str">
        <f>TEXT(MONTH(Tabela1[[#This Row],[Último pagto ano]])*29,"mmmm")</f>
        <v>outubro</v>
      </c>
    </row>
    <row r="20" spans="1:9" x14ac:dyDescent="0.25">
      <c r="A20">
        <v>2025</v>
      </c>
      <c r="B20" t="s">
        <v>40</v>
      </c>
      <c r="C20" s="1">
        <v>45664</v>
      </c>
      <c r="D20" t="s">
        <v>41</v>
      </c>
      <c r="E20">
        <v>619.6</v>
      </c>
      <c r="G20" s="3">
        <f>MONTH(Tabela1[[#This Row],[Último pagto ano]])</f>
        <v>1</v>
      </c>
      <c r="H20" t="str">
        <f>TEXT(Tabela1[[#This Row],[Coluna2]]*29,"mmmm")</f>
        <v>janeiro</v>
      </c>
      <c r="I20" t="str">
        <f>TEXT(MONTH(Tabela1[[#This Row],[Último pagto ano]])*29,"mmmm")</f>
        <v>janeiro</v>
      </c>
    </row>
    <row r="21" spans="1:9" x14ac:dyDescent="0.25">
      <c r="A21">
        <v>2025</v>
      </c>
      <c r="B21" t="s">
        <v>42</v>
      </c>
      <c r="C21" s="1">
        <v>46014</v>
      </c>
      <c r="D21" t="s">
        <v>43</v>
      </c>
      <c r="E21" s="2">
        <v>706658.29</v>
      </c>
      <c r="G21" s="3">
        <f>MONTH(Tabela1[[#This Row],[Último pagto ano]])</f>
        <v>12</v>
      </c>
      <c r="H21" t="str">
        <f>TEXT(Tabela1[[#This Row],[Coluna2]]*29,"mmmm")</f>
        <v>dezembro</v>
      </c>
      <c r="I21" t="str">
        <f>TEXT(MONTH(Tabela1[[#This Row],[Último pagto ano]])*29,"mmmm")</f>
        <v>dezembro</v>
      </c>
    </row>
    <row r="22" spans="1:9" x14ac:dyDescent="0.25">
      <c r="A22">
        <v>2025</v>
      </c>
      <c r="B22" t="s">
        <v>44</v>
      </c>
      <c r="C22" s="1">
        <v>45821</v>
      </c>
      <c r="D22" t="s">
        <v>45</v>
      </c>
      <c r="E22" s="2">
        <v>5827.74</v>
      </c>
      <c r="G22" s="3">
        <f>MONTH(Tabela1[[#This Row],[Último pagto ano]])</f>
        <v>6</v>
      </c>
      <c r="H22" t="str">
        <f>TEXT(Tabela1[[#This Row],[Coluna2]]*29,"mmmm")</f>
        <v>junho</v>
      </c>
      <c r="I22" t="str">
        <f>TEXT(MONTH(Tabela1[[#This Row],[Último pagto ano]])*29,"mmmm")</f>
        <v>junho</v>
      </c>
    </row>
    <row r="23" spans="1:9" x14ac:dyDescent="0.25">
      <c r="A23">
        <v>2025</v>
      </c>
      <c r="B23" t="s">
        <v>46</v>
      </c>
      <c r="C23" s="1">
        <v>45959</v>
      </c>
      <c r="D23" t="s">
        <v>47</v>
      </c>
      <c r="E23" s="2">
        <v>1710</v>
      </c>
      <c r="G23" s="3">
        <f>MONTH(Tabela1[[#This Row],[Último pagto ano]])</f>
        <v>10</v>
      </c>
      <c r="H23" t="str">
        <f>TEXT(Tabela1[[#This Row],[Coluna2]]*29,"mmmm")</f>
        <v>outubro</v>
      </c>
      <c r="I23" t="str">
        <f>TEXT(MONTH(Tabela1[[#This Row],[Último pagto ano]])*29,"mmmm")</f>
        <v>outubro</v>
      </c>
    </row>
    <row r="24" spans="1:9" x14ac:dyDescent="0.25">
      <c r="A24">
        <v>2025</v>
      </c>
      <c r="B24" t="s">
        <v>48</v>
      </c>
      <c r="C24" s="1">
        <v>45999</v>
      </c>
      <c r="D24" t="s">
        <v>49</v>
      </c>
      <c r="E24" s="2">
        <v>461033.64</v>
      </c>
      <c r="G24" s="3">
        <f>MONTH(Tabela1[[#This Row],[Último pagto ano]])</f>
        <v>12</v>
      </c>
      <c r="H24" t="str">
        <f>TEXT(Tabela1[[#This Row],[Coluna2]]*29,"mmmm")</f>
        <v>dezembro</v>
      </c>
      <c r="I24" t="str">
        <f>TEXT(MONTH(Tabela1[[#This Row],[Último pagto ano]])*29,"mmmm")</f>
        <v>dezembro</v>
      </c>
    </row>
    <row r="25" spans="1:9" x14ac:dyDescent="0.25">
      <c r="A25">
        <v>2025</v>
      </c>
      <c r="B25" t="s">
        <v>50</v>
      </c>
      <c r="C25" s="1">
        <v>45995</v>
      </c>
      <c r="D25" t="s">
        <v>51</v>
      </c>
      <c r="E25" s="2">
        <v>10657.8</v>
      </c>
      <c r="G25" s="3">
        <f>MONTH(Tabela1[[#This Row],[Último pagto ano]])</f>
        <v>12</v>
      </c>
      <c r="H25" t="str">
        <f>TEXT(Tabela1[[#This Row],[Coluna2]]*29,"mmmm")</f>
        <v>dezembro</v>
      </c>
      <c r="I25" t="str">
        <f>TEXT(MONTH(Tabela1[[#This Row],[Último pagto ano]])*29,"mmmm")</f>
        <v>dezembro</v>
      </c>
    </row>
    <row r="26" spans="1:9" x14ac:dyDescent="0.25">
      <c r="A26">
        <v>2025</v>
      </c>
      <c r="B26" t="s">
        <v>52</v>
      </c>
      <c r="C26" s="1">
        <v>45742</v>
      </c>
      <c r="D26" t="s">
        <v>53</v>
      </c>
      <c r="E26" s="2">
        <v>889760</v>
      </c>
      <c r="G26" s="3">
        <f>MONTH(Tabela1[[#This Row],[Último pagto ano]])</f>
        <v>3</v>
      </c>
      <c r="H26" t="str">
        <f>TEXT(Tabela1[[#This Row],[Coluna2]]*29,"mmmm")</f>
        <v>março</v>
      </c>
      <c r="I26" t="str">
        <f>TEXT(MONTH(Tabela1[[#This Row],[Último pagto ano]])*29,"mmmm")</f>
        <v>março</v>
      </c>
    </row>
    <row r="27" spans="1:9" x14ac:dyDescent="0.25">
      <c r="A27">
        <v>2025</v>
      </c>
      <c r="B27" t="s">
        <v>54</v>
      </c>
      <c r="C27" s="1">
        <v>45898</v>
      </c>
      <c r="D27" t="s">
        <v>55</v>
      </c>
      <c r="E27" s="2">
        <v>18690</v>
      </c>
      <c r="G27" s="3">
        <f>MONTH(Tabela1[[#This Row],[Último pagto ano]])</f>
        <v>8</v>
      </c>
      <c r="H27" t="str">
        <f>TEXT(Tabela1[[#This Row],[Coluna2]]*29,"mmmm")</f>
        <v>agosto</v>
      </c>
      <c r="I27" t="str">
        <f>TEXT(MONTH(Tabela1[[#This Row],[Último pagto ano]])*29,"mmmm")</f>
        <v>agosto</v>
      </c>
    </row>
    <row r="28" spans="1:9" x14ac:dyDescent="0.25">
      <c r="A28">
        <v>2025</v>
      </c>
      <c r="B28" t="s">
        <v>56</v>
      </c>
      <c r="C28" s="1">
        <v>46006</v>
      </c>
      <c r="D28" t="s">
        <v>57</v>
      </c>
      <c r="E28" s="2">
        <v>6054.52</v>
      </c>
      <c r="G28" s="3">
        <f>MONTH(Tabela1[[#This Row],[Último pagto ano]])</f>
        <v>12</v>
      </c>
      <c r="H28" t="str">
        <f>TEXT(Tabela1[[#This Row],[Coluna2]]*29,"mmmm")</f>
        <v>dezembro</v>
      </c>
      <c r="I28" t="str">
        <f>TEXT(MONTH(Tabela1[[#This Row],[Último pagto ano]])*29,"mmmm")</f>
        <v>dezembro</v>
      </c>
    </row>
    <row r="29" spans="1:9" x14ac:dyDescent="0.25">
      <c r="A29">
        <v>2025</v>
      </c>
      <c r="B29" t="s">
        <v>58</v>
      </c>
      <c r="C29" s="1">
        <v>45930</v>
      </c>
      <c r="D29" t="s">
        <v>59</v>
      </c>
      <c r="E29" s="2">
        <v>2847</v>
      </c>
      <c r="G29" s="3">
        <f>MONTH(Tabela1[[#This Row],[Último pagto ano]])</f>
        <v>9</v>
      </c>
      <c r="H29" t="str">
        <f>TEXT(Tabela1[[#This Row],[Coluna2]]*29,"mmmm")</f>
        <v>setembro</v>
      </c>
      <c r="I29" t="str">
        <f>TEXT(MONTH(Tabela1[[#This Row],[Último pagto ano]])*29,"mmmm")</f>
        <v>setembro</v>
      </c>
    </row>
    <row r="30" spans="1:9" x14ac:dyDescent="0.25">
      <c r="A30">
        <v>2025</v>
      </c>
      <c r="B30" t="s">
        <v>60</v>
      </c>
      <c r="C30" s="1">
        <v>45784</v>
      </c>
      <c r="D30" t="s">
        <v>61</v>
      </c>
      <c r="E30">
        <v>783.5</v>
      </c>
      <c r="G30" s="3">
        <f>MONTH(Tabela1[[#This Row],[Último pagto ano]])</f>
        <v>5</v>
      </c>
      <c r="H30" t="str">
        <f>TEXT(Tabela1[[#This Row],[Coluna2]]*29,"mmmm")</f>
        <v>maio</v>
      </c>
      <c r="I30" t="str">
        <f>TEXT(MONTH(Tabela1[[#This Row],[Último pagto ano]])*29,"mmmm")</f>
        <v>maio</v>
      </c>
    </row>
    <row r="31" spans="1:9" x14ac:dyDescent="0.25">
      <c r="A31">
        <v>2025</v>
      </c>
      <c r="B31" t="s">
        <v>62</v>
      </c>
      <c r="C31" s="1">
        <v>45964</v>
      </c>
      <c r="D31" t="s">
        <v>63</v>
      </c>
      <c r="E31" s="2">
        <v>3605</v>
      </c>
      <c r="G31" s="3">
        <f>MONTH(Tabela1[[#This Row],[Último pagto ano]])</f>
        <v>11</v>
      </c>
      <c r="H31" t="str">
        <f>TEXT(Tabela1[[#This Row],[Coluna2]]*29,"mmmm")</f>
        <v>novembro</v>
      </c>
      <c r="I31" t="str">
        <f>TEXT(MONTH(Tabela1[[#This Row],[Último pagto ano]])*29,"mmmm")</f>
        <v>novembro</v>
      </c>
    </row>
    <row r="32" spans="1:9" x14ac:dyDescent="0.25">
      <c r="A32">
        <v>2025</v>
      </c>
      <c r="B32" t="s">
        <v>64</v>
      </c>
      <c r="C32" s="1">
        <v>46014</v>
      </c>
      <c r="D32" t="s">
        <v>65</v>
      </c>
      <c r="E32" s="2">
        <v>99717</v>
      </c>
      <c r="G32" s="3">
        <f>MONTH(Tabela1[[#This Row],[Último pagto ano]])</f>
        <v>12</v>
      </c>
      <c r="H32" t="str">
        <f>TEXT(Tabela1[[#This Row],[Coluna2]]*29,"mmmm")</f>
        <v>dezembro</v>
      </c>
      <c r="I32" t="str">
        <f>TEXT(MONTH(Tabela1[[#This Row],[Último pagto ano]])*29,"mmmm")</f>
        <v>dezembro</v>
      </c>
    </row>
    <row r="33" spans="1:9" x14ac:dyDescent="0.25">
      <c r="A33">
        <v>2025</v>
      </c>
      <c r="B33" t="s">
        <v>66</v>
      </c>
      <c r="C33" s="1">
        <v>45873</v>
      </c>
      <c r="D33" t="s">
        <v>67</v>
      </c>
      <c r="E33">
        <v>16.2</v>
      </c>
      <c r="G33" s="3">
        <f>MONTH(Tabela1[[#This Row],[Último pagto ano]])</f>
        <v>8</v>
      </c>
      <c r="H33" t="str">
        <f>TEXT(Tabela1[[#This Row],[Coluna2]]*29,"mmmm")</f>
        <v>agosto</v>
      </c>
      <c r="I33" t="str">
        <f>TEXT(MONTH(Tabela1[[#This Row],[Último pagto ano]])*29,"mmmm")</f>
        <v>agosto</v>
      </c>
    </row>
    <row r="34" spans="1:9" x14ac:dyDescent="0.25">
      <c r="A34">
        <v>2025</v>
      </c>
      <c r="B34" t="s">
        <v>68</v>
      </c>
      <c r="C34" s="1">
        <v>46014</v>
      </c>
      <c r="D34" t="s">
        <v>69</v>
      </c>
      <c r="E34" s="2">
        <v>3685066.39</v>
      </c>
      <c r="G34" s="3">
        <f>MONTH(Tabela1[[#This Row],[Último pagto ano]])</f>
        <v>12</v>
      </c>
      <c r="H34" t="str">
        <f>TEXT(Tabela1[[#This Row],[Coluna2]]*29,"mmmm")</f>
        <v>dezembro</v>
      </c>
      <c r="I34" t="str">
        <f>TEXT(MONTH(Tabela1[[#This Row],[Último pagto ano]])*29,"mmmm")</f>
        <v>dezembro</v>
      </c>
    </row>
    <row r="35" spans="1:9" x14ac:dyDescent="0.25">
      <c r="A35">
        <v>2025</v>
      </c>
      <c r="B35" t="s">
        <v>70</v>
      </c>
      <c r="C35" s="1">
        <v>46013</v>
      </c>
      <c r="D35" t="s">
        <v>71</v>
      </c>
      <c r="E35" s="2">
        <v>8955</v>
      </c>
      <c r="G35" s="3">
        <f>MONTH(Tabela1[[#This Row],[Último pagto ano]])</f>
        <v>12</v>
      </c>
      <c r="H35" t="str">
        <f>TEXT(Tabela1[[#This Row],[Coluna2]]*29,"mmmm")</f>
        <v>dezembro</v>
      </c>
      <c r="I35" t="str">
        <f>TEXT(MONTH(Tabela1[[#This Row],[Último pagto ano]])*29,"mmmm")</f>
        <v>dezembro</v>
      </c>
    </row>
    <row r="36" spans="1:9" x14ac:dyDescent="0.25">
      <c r="A36">
        <v>2025</v>
      </c>
      <c r="B36" t="s">
        <v>72</v>
      </c>
      <c r="C36" s="1">
        <v>45954</v>
      </c>
      <c r="D36" t="s">
        <v>73</v>
      </c>
      <c r="E36" s="2">
        <v>88374</v>
      </c>
      <c r="G36" s="3">
        <f>MONTH(Tabela1[[#This Row],[Último pagto ano]])</f>
        <v>10</v>
      </c>
      <c r="H36" t="str">
        <f>TEXT(Tabela1[[#This Row],[Coluna2]]*29,"mmmm")</f>
        <v>outubro</v>
      </c>
      <c r="I36" t="str">
        <f>TEXT(MONTH(Tabela1[[#This Row],[Último pagto ano]])*29,"mmmm")</f>
        <v>outubro</v>
      </c>
    </row>
    <row r="37" spans="1:9" x14ac:dyDescent="0.25">
      <c r="A37">
        <v>2025</v>
      </c>
      <c r="B37" t="s">
        <v>74</v>
      </c>
      <c r="C37" s="1">
        <v>46014</v>
      </c>
      <c r="D37" t="s">
        <v>75</v>
      </c>
      <c r="E37" s="2">
        <v>18440</v>
      </c>
      <c r="G37" s="3">
        <f>MONTH(Tabela1[[#This Row],[Último pagto ano]])</f>
        <v>12</v>
      </c>
      <c r="H37" t="str">
        <f>TEXT(Tabela1[[#This Row],[Coluna2]]*29,"mmmm")</f>
        <v>dezembro</v>
      </c>
      <c r="I37" t="str">
        <f>TEXT(MONTH(Tabela1[[#This Row],[Último pagto ano]])*29,"mmmm")</f>
        <v>dezembro</v>
      </c>
    </row>
    <row r="38" spans="1:9" x14ac:dyDescent="0.25">
      <c r="A38">
        <v>2025</v>
      </c>
      <c r="B38" t="s">
        <v>76</v>
      </c>
      <c r="C38" s="1">
        <v>46010</v>
      </c>
      <c r="D38" t="s">
        <v>77</v>
      </c>
      <c r="E38">
        <v>7.75</v>
      </c>
      <c r="G38" s="3">
        <f>MONTH(Tabela1[[#This Row],[Último pagto ano]])</f>
        <v>12</v>
      </c>
      <c r="H38" t="str">
        <f>TEXT(Tabela1[[#This Row],[Coluna2]]*29,"mmmm")</f>
        <v>dezembro</v>
      </c>
      <c r="I38" t="str">
        <f>TEXT(MONTH(Tabela1[[#This Row],[Último pagto ano]])*29,"mmmm")</f>
        <v>dezembro</v>
      </c>
    </row>
    <row r="39" spans="1:9" x14ac:dyDescent="0.25">
      <c r="A39">
        <v>2025</v>
      </c>
      <c r="B39" t="s">
        <v>78</v>
      </c>
      <c r="C39" s="1">
        <v>45968</v>
      </c>
      <c r="D39" t="s">
        <v>79</v>
      </c>
      <c r="E39" s="2">
        <v>7000</v>
      </c>
      <c r="G39" s="3">
        <f>MONTH(Tabela1[[#This Row],[Último pagto ano]])</f>
        <v>11</v>
      </c>
      <c r="H39" t="str">
        <f>TEXT(Tabela1[[#This Row],[Coluna2]]*29,"mmmm")</f>
        <v>novembro</v>
      </c>
      <c r="I39" t="str">
        <f>TEXT(MONTH(Tabela1[[#This Row],[Último pagto ano]])*29,"mmmm")</f>
        <v>novembro</v>
      </c>
    </row>
    <row r="40" spans="1:9" x14ac:dyDescent="0.25">
      <c r="A40">
        <v>2025</v>
      </c>
      <c r="B40" t="s">
        <v>80</v>
      </c>
      <c r="C40" s="1">
        <v>45995</v>
      </c>
      <c r="D40" t="s">
        <v>81</v>
      </c>
      <c r="E40">
        <v>388.8</v>
      </c>
      <c r="G40" s="3">
        <f>MONTH(Tabela1[[#This Row],[Último pagto ano]])</f>
        <v>12</v>
      </c>
      <c r="H40" t="str">
        <f>TEXT(Tabela1[[#This Row],[Coluna2]]*29,"mmmm")</f>
        <v>dezembro</v>
      </c>
      <c r="I40" t="str">
        <f>TEXT(MONTH(Tabela1[[#This Row],[Último pagto ano]])*29,"mmmm")</f>
        <v>dezembro</v>
      </c>
    </row>
    <row r="41" spans="1:9" x14ac:dyDescent="0.25">
      <c r="A41">
        <v>2025</v>
      </c>
      <c r="B41" t="s">
        <v>82</v>
      </c>
      <c r="C41" s="1">
        <v>45924</v>
      </c>
      <c r="D41" t="s">
        <v>83</v>
      </c>
      <c r="E41" s="2">
        <v>4480</v>
      </c>
      <c r="G41" s="3">
        <f>MONTH(Tabela1[[#This Row],[Último pagto ano]])</f>
        <v>9</v>
      </c>
      <c r="H41" t="str">
        <f>TEXT(Tabela1[[#This Row],[Coluna2]]*29,"mmmm")</f>
        <v>setembro</v>
      </c>
      <c r="I41" t="str">
        <f>TEXT(MONTH(Tabela1[[#This Row],[Último pagto ano]])*29,"mmmm")</f>
        <v>setembro</v>
      </c>
    </row>
    <row r="42" spans="1:9" x14ac:dyDescent="0.25">
      <c r="A42">
        <v>2025</v>
      </c>
      <c r="B42" t="s">
        <v>84</v>
      </c>
      <c r="C42" s="1">
        <v>45989</v>
      </c>
      <c r="D42" t="s">
        <v>85</v>
      </c>
      <c r="E42" s="2">
        <v>2152.8000000000002</v>
      </c>
      <c r="G42" s="3">
        <f>MONTH(Tabela1[[#This Row],[Último pagto ano]])</f>
        <v>11</v>
      </c>
      <c r="H42" t="str">
        <f>TEXT(Tabela1[[#This Row],[Coluna2]]*29,"mmmm")</f>
        <v>novembro</v>
      </c>
      <c r="I42" t="str">
        <f>TEXT(MONTH(Tabela1[[#This Row],[Último pagto ano]])*29,"mmmm")</f>
        <v>novembro</v>
      </c>
    </row>
    <row r="43" spans="1:9" x14ac:dyDescent="0.25">
      <c r="A43">
        <v>2025</v>
      </c>
      <c r="B43" t="s">
        <v>86</v>
      </c>
      <c r="C43" s="1">
        <v>46014</v>
      </c>
      <c r="D43" t="s">
        <v>87</v>
      </c>
      <c r="E43" s="2">
        <v>6505</v>
      </c>
      <c r="G43" s="3">
        <f>MONTH(Tabela1[[#This Row],[Último pagto ano]])</f>
        <v>12</v>
      </c>
      <c r="H43" t="str">
        <f>TEXT(Tabela1[[#This Row],[Coluna2]]*29,"mmmm")</f>
        <v>dezembro</v>
      </c>
      <c r="I43" t="str">
        <f>TEXT(MONTH(Tabela1[[#This Row],[Último pagto ano]])*29,"mmmm")</f>
        <v>dezembro</v>
      </c>
    </row>
    <row r="44" spans="1:9" x14ac:dyDescent="0.25">
      <c r="A44">
        <v>2025</v>
      </c>
      <c r="B44" t="s">
        <v>88</v>
      </c>
      <c r="C44" s="1">
        <v>45992</v>
      </c>
      <c r="D44" t="s">
        <v>89</v>
      </c>
      <c r="E44" s="2">
        <v>52100</v>
      </c>
      <c r="G44" s="3">
        <f>MONTH(Tabela1[[#This Row],[Último pagto ano]])</f>
        <v>12</v>
      </c>
      <c r="H44" t="str">
        <f>TEXT(Tabela1[[#This Row],[Coluna2]]*29,"mmmm")</f>
        <v>dezembro</v>
      </c>
      <c r="I44" t="str">
        <f>TEXT(MONTH(Tabela1[[#This Row],[Último pagto ano]])*29,"mmmm")</f>
        <v>dezembro</v>
      </c>
    </row>
    <row r="45" spans="1:9" x14ac:dyDescent="0.25">
      <c r="A45">
        <v>2025</v>
      </c>
      <c r="B45" t="s">
        <v>90</v>
      </c>
      <c r="C45" s="1">
        <v>45846</v>
      </c>
      <c r="D45" t="s">
        <v>91</v>
      </c>
      <c r="E45" s="2">
        <v>6198.09</v>
      </c>
      <c r="G45" s="3">
        <f>MONTH(Tabela1[[#This Row],[Último pagto ano]])</f>
        <v>7</v>
      </c>
      <c r="H45" t="str">
        <f>TEXT(Tabela1[[#This Row],[Coluna2]]*29,"mmmm")</f>
        <v>julho</v>
      </c>
      <c r="I45" t="str">
        <f>TEXT(MONTH(Tabela1[[#This Row],[Último pagto ano]])*29,"mmmm")</f>
        <v>julho</v>
      </c>
    </row>
    <row r="46" spans="1:9" x14ac:dyDescent="0.25">
      <c r="A46">
        <v>2025</v>
      </c>
      <c r="B46" t="s">
        <v>92</v>
      </c>
      <c r="C46" s="1">
        <v>45945</v>
      </c>
      <c r="D46" t="s">
        <v>93</v>
      </c>
      <c r="E46" s="2">
        <v>2921.76</v>
      </c>
      <c r="G46" s="3">
        <f>MONTH(Tabela1[[#This Row],[Último pagto ano]])</f>
        <v>10</v>
      </c>
      <c r="H46" t="str">
        <f>TEXT(Tabela1[[#This Row],[Coluna2]]*29,"mmmm")</f>
        <v>outubro</v>
      </c>
      <c r="I46" t="str">
        <f>TEXT(MONTH(Tabela1[[#This Row],[Último pagto ano]])*29,"mmmm")</f>
        <v>outubro</v>
      </c>
    </row>
    <row r="47" spans="1:9" x14ac:dyDescent="0.25">
      <c r="A47">
        <v>2025</v>
      </c>
      <c r="B47" t="s">
        <v>94</v>
      </c>
      <c r="C47" s="1">
        <v>45761</v>
      </c>
      <c r="D47" t="s">
        <v>95</v>
      </c>
      <c r="E47">
        <v>291.98</v>
      </c>
      <c r="G47" s="3">
        <f>MONTH(Tabela1[[#This Row],[Último pagto ano]])</f>
        <v>4</v>
      </c>
      <c r="H47" t="str">
        <f>TEXT(Tabela1[[#This Row],[Coluna2]]*29,"mmmm")</f>
        <v>abril</v>
      </c>
      <c r="I47" t="str">
        <f>TEXT(MONTH(Tabela1[[#This Row],[Último pagto ano]])*29,"mmmm")</f>
        <v>abril</v>
      </c>
    </row>
    <row r="48" spans="1:9" x14ac:dyDescent="0.25">
      <c r="A48">
        <v>2025</v>
      </c>
      <c r="B48" t="s">
        <v>96</v>
      </c>
      <c r="C48" s="1">
        <v>45883</v>
      </c>
      <c r="D48" t="s">
        <v>97</v>
      </c>
      <c r="E48" s="2">
        <v>22005.24</v>
      </c>
      <c r="G48" s="3">
        <f>MONTH(Tabela1[[#This Row],[Último pagto ano]])</f>
        <v>8</v>
      </c>
      <c r="H48" t="str">
        <f>TEXT(Tabela1[[#This Row],[Coluna2]]*29,"mmmm")</f>
        <v>agosto</v>
      </c>
      <c r="I48" t="str">
        <f>TEXT(MONTH(Tabela1[[#This Row],[Último pagto ano]])*29,"mmmm")</f>
        <v>agosto</v>
      </c>
    </row>
    <row r="49" spans="1:9" x14ac:dyDescent="0.25">
      <c r="A49">
        <v>2025</v>
      </c>
      <c r="B49" t="s">
        <v>98</v>
      </c>
      <c r="C49" s="1">
        <v>46010</v>
      </c>
      <c r="D49" t="s">
        <v>99</v>
      </c>
      <c r="E49" s="2">
        <v>8400</v>
      </c>
      <c r="G49" s="3">
        <f>MONTH(Tabela1[[#This Row],[Último pagto ano]])</f>
        <v>12</v>
      </c>
      <c r="H49" t="str">
        <f>TEXT(Tabela1[[#This Row],[Coluna2]]*29,"mmmm")</f>
        <v>dezembro</v>
      </c>
      <c r="I49" t="str">
        <f>TEXT(MONTH(Tabela1[[#This Row],[Último pagto ano]])*29,"mmmm")</f>
        <v>dezembro</v>
      </c>
    </row>
    <row r="50" spans="1:9" x14ac:dyDescent="0.25">
      <c r="A50">
        <v>2025</v>
      </c>
      <c r="B50" t="s">
        <v>100</v>
      </c>
      <c r="C50" s="1">
        <v>45663</v>
      </c>
      <c r="D50" t="s">
        <v>101</v>
      </c>
      <c r="E50" s="2">
        <v>58890</v>
      </c>
      <c r="G50" s="3">
        <f>MONTH(Tabela1[[#This Row],[Último pagto ano]])</f>
        <v>1</v>
      </c>
      <c r="H50" t="str">
        <f>TEXT(Tabela1[[#This Row],[Coluna2]]*29,"mmmm")</f>
        <v>janeiro</v>
      </c>
      <c r="I50" t="str">
        <f>TEXT(MONTH(Tabela1[[#This Row],[Último pagto ano]])*29,"mmmm")</f>
        <v>janeiro</v>
      </c>
    </row>
    <row r="51" spans="1:9" x14ac:dyDescent="0.25">
      <c r="A51">
        <v>2025</v>
      </c>
      <c r="B51" t="s">
        <v>102</v>
      </c>
      <c r="C51" s="1">
        <v>46010</v>
      </c>
      <c r="D51" t="s">
        <v>103</v>
      </c>
      <c r="E51" s="2">
        <v>2800</v>
      </c>
      <c r="G51" s="3">
        <f>MONTH(Tabela1[[#This Row],[Último pagto ano]])</f>
        <v>12</v>
      </c>
      <c r="H51" t="str">
        <f>TEXT(Tabela1[[#This Row],[Coluna2]]*29,"mmmm")</f>
        <v>dezembro</v>
      </c>
      <c r="I51" t="str">
        <f>TEXT(MONTH(Tabela1[[#This Row],[Último pagto ano]])*29,"mmmm")</f>
        <v>dezembro</v>
      </c>
    </row>
    <row r="52" spans="1:9" x14ac:dyDescent="0.25">
      <c r="A52">
        <v>2025</v>
      </c>
      <c r="B52" t="s">
        <v>104</v>
      </c>
      <c r="C52" s="1">
        <v>46010</v>
      </c>
      <c r="D52" t="s">
        <v>105</v>
      </c>
      <c r="E52" s="2">
        <v>8400</v>
      </c>
      <c r="G52" s="3">
        <f>MONTH(Tabela1[[#This Row],[Último pagto ano]])</f>
        <v>12</v>
      </c>
      <c r="H52" t="str">
        <f>TEXT(Tabela1[[#This Row],[Coluna2]]*29,"mmmm")</f>
        <v>dezembro</v>
      </c>
      <c r="I52" t="str">
        <f>TEXT(MONTH(Tabela1[[#This Row],[Último pagto ano]])*29,"mmmm")</f>
        <v>dezembro</v>
      </c>
    </row>
    <row r="53" spans="1:9" x14ac:dyDescent="0.25">
      <c r="A53">
        <v>2025</v>
      </c>
      <c r="B53" t="s">
        <v>106</v>
      </c>
      <c r="C53" s="1">
        <v>46010</v>
      </c>
      <c r="D53" t="s">
        <v>107</v>
      </c>
      <c r="E53">
        <v>3.24</v>
      </c>
      <c r="G53" s="3">
        <f>MONTH(Tabela1[[#This Row],[Último pagto ano]])</f>
        <v>12</v>
      </c>
      <c r="H53" t="str">
        <f>TEXT(Tabela1[[#This Row],[Coluna2]]*29,"mmmm")</f>
        <v>dezembro</v>
      </c>
      <c r="I53" t="str">
        <f>TEXT(MONTH(Tabela1[[#This Row],[Último pagto ano]])*29,"mmmm")</f>
        <v>dezembro</v>
      </c>
    </row>
    <row r="54" spans="1:9" x14ac:dyDescent="0.25">
      <c r="A54">
        <v>2025</v>
      </c>
      <c r="B54" t="s">
        <v>108</v>
      </c>
      <c r="C54" s="1">
        <v>46014</v>
      </c>
      <c r="D54" t="s">
        <v>109</v>
      </c>
      <c r="E54" s="2">
        <v>9570</v>
      </c>
      <c r="G54" s="3">
        <f>MONTH(Tabela1[[#This Row],[Último pagto ano]])</f>
        <v>12</v>
      </c>
      <c r="H54" t="str">
        <f>TEXT(Tabela1[[#This Row],[Coluna2]]*29,"mmmm")</f>
        <v>dezembro</v>
      </c>
      <c r="I54" t="str">
        <f>TEXT(MONTH(Tabela1[[#This Row],[Último pagto ano]])*29,"mmmm")</f>
        <v>dezembro</v>
      </c>
    </row>
    <row r="55" spans="1:9" x14ac:dyDescent="0.25">
      <c r="A55">
        <v>2025</v>
      </c>
      <c r="B55" t="s">
        <v>110</v>
      </c>
      <c r="C55" s="1">
        <v>46010</v>
      </c>
      <c r="D55" t="s">
        <v>111</v>
      </c>
      <c r="E55" s="2">
        <v>8400</v>
      </c>
      <c r="G55" s="3">
        <f>MONTH(Tabela1[[#This Row],[Último pagto ano]])</f>
        <v>12</v>
      </c>
      <c r="H55" t="str">
        <f>TEXT(Tabela1[[#This Row],[Coluna2]]*29,"mmmm")</f>
        <v>dezembro</v>
      </c>
      <c r="I55" t="str">
        <f>TEXT(MONTH(Tabela1[[#This Row],[Último pagto ano]])*29,"mmmm")</f>
        <v>dezembro</v>
      </c>
    </row>
    <row r="56" spans="1:9" x14ac:dyDescent="0.25">
      <c r="A56">
        <v>2025</v>
      </c>
      <c r="B56" t="s">
        <v>112</v>
      </c>
      <c r="C56" s="1">
        <v>46013</v>
      </c>
      <c r="D56" t="s">
        <v>113</v>
      </c>
      <c r="E56" s="2">
        <v>6480</v>
      </c>
      <c r="G56" s="3">
        <f>MONTH(Tabela1[[#This Row],[Último pagto ano]])</f>
        <v>12</v>
      </c>
      <c r="H56" t="str">
        <f>TEXT(Tabela1[[#This Row],[Coluna2]]*29,"mmmm")</f>
        <v>dezembro</v>
      </c>
      <c r="I56" t="str">
        <f>TEXT(MONTH(Tabela1[[#This Row],[Último pagto ano]])*29,"mmmm")</f>
        <v>dezembro</v>
      </c>
    </row>
    <row r="57" spans="1:9" x14ac:dyDescent="0.25">
      <c r="A57">
        <v>2025</v>
      </c>
      <c r="B57" t="s">
        <v>114</v>
      </c>
      <c r="C57" s="1">
        <v>46002</v>
      </c>
      <c r="D57" t="s">
        <v>115</v>
      </c>
      <c r="E57" s="2">
        <v>34939.699999999997</v>
      </c>
      <c r="G57" s="3">
        <f>MONTH(Tabela1[[#This Row],[Último pagto ano]])</f>
        <v>12</v>
      </c>
      <c r="H57" t="str">
        <f>TEXT(Tabela1[[#This Row],[Coluna2]]*29,"mmmm")</f>
        <v>dezembro</v>
      </c>
      <c r="I57" t="str">
        <f>TEXT(MONTH(Tabela1[[#This Row],[Último pagto ano]])*29,"mmmm")</f>
        <v>dezembro</v>
      </c>
    </row>
    <row r="58" spans="1:9" x14ac:dyDescent="0.25">
      <c r="A58">
        <v>2025</v>
      </c>
      <c r="B58" t="s">
        <v>116</v>
      </c>
      <c r="C58" s="1">
        <v>46006</v>
      </c>
      <c r="D58" t="s">
        <v>117</v>
      </c>
      <c r="E58" s="2">
        <v>34259.879999999997</v>
      </c>
      <c r="G58" s="3">
        <f>MONTH(Tabela1[[#This Row],[Último pagto ano]])</f>
        <v>12</v>
      </c>
      <c r="H58" t="str">
        <f>TEXT(Tabela1[[#This Row],[Coluna2]]*29,"mmmm")</f>
        <v>dezembro</v>
      </c>
      <c r="I58" t="str">
        <f>TEXT(MONTH(Tabela1[[#This Row],[Último pagto ano]])*29,"mmmm")</f>
        <v>dezembro</v>
      </c>
    </row>
    <row r="59" spans="1:9" x14ac:dyDescent="0.25">
      <c r="A59">
        <v>2025</v>
      </c>
      <c r="B59" t="s">
        <v>118</v>
      </c>
      <c r="C59" s="1">
        <v>45996</v>
      </c>
      <c r="D59" t="s">
        <v>119</v>
      </c>
      <c r="E59" s="2">
        <v>37350</v>
      </c>
      <c r="G59" s="3">
        <f>MONTH(Tabela1[[#This Row],[Último pagto ano]])</f>
        <v>12</v>
      </c>
      <c r="H59" t="str">
        <f>TEXT(Tabela1[[#This Row],[Coluna2]]*29,"mmmm")</f>
        <v>dezembro</v>
      </c>
      <c r="I59" t="str">
        <f>TEXT(MONTH(Tabela1[[#This Row],[Último pagto ano]])*29,"mmmm")</f>
        <v>dezembro</v>
      </c>
    </row>
    <row r="60" spans="1:9" x14ac:dyDescent="0.25">
      <c r="A60">
        <v>2025</v>
      </c>
      <c r="B60" t="s">
        <v>120</v>
      </c>
      <c r="C60" s="1">
        <v>46013</v>
      </c>
      <c r="D60" t="s">
        <v>121</v>
      </c>
      <c r="E60" s="2">
        <v>1926</v>
      </c>
      <c r="G60" s="3">
        <f>MONTH(Tabela1[[#This Row],[Último pagto ano]])</f>
        <v>12</v>
      </c>
      <c r="H60" t="str">
        <f>TEXT(Tabela1[[#This Row],[Coluna2]]*29,"mmmm")</f>
        <v>dezembro</v>
      </c>
      <c r="I60" t="str">
        <f>TEXT(MONTH(Tabela1[[#This Row],[Último pagto ano]])*29,"mmmm")</f>
        <v>dezembro</v>
      </c>
    </row>
    <row r="61" spans="1:9" x14ac:dyDescent="0.25">
      <c r="A61">
        <v>2025</v>
      </c>
      <c r="B61" t="s">
        <v>122</v>
      </c>
      <c r="C61" s="1">
        <v>45950</v>
      </c>
      <c r="D61" t="s">
        <v>123</v>
      </c>
      <c r="E61">
        <v>11</v>
      </c>
      <c r="G61" s="3">
        <f>MONTH(Tabela1[[#This Row],[Último pagto ano]])</f>
        <v>10</v>
      </c>
      <c r="H61" t="str">
        <f>TEXT(Tabela1[[#This Row],[Coluna2]]*29,"mmmm")</f>
        <v>outubro</v>
      </c>
      <c r="I61" t="str">
        <f>TEXT(MONTH(Tabela1[[#This Row],[Último pagto ano]])*29,"mmmm")</f>
        <v>outubro</v>
      </c>
    </row>
    <row r="62" spans="1:9" x14ac:dyDescent="0.25">
      <c r="A62">
        <v>2025</v>
      </c>
      <c r="B62" t="s">
        <v>124</v>
      </c>
      <c r="C62" s="1">
        <v>45750</v>
      </c>
      <c r="D62" t="s">
        <v>125</v>
      </c>
      <c r="E62">
        <v>175.67</v>
      </c>
      <c r="G62" s="3">
        <f>MONTH(Tabela1[[#This Row],[Último pagto ano]])</f>
        <v>4</v>
      </c>
      <c r="H62" t="str">
        <f>TEXT(Tabela1[[#This Row],[Coluna2]]*29,"mmmm")</f>
        <v>abril</v>
      </c>
      <c r="I62" t="str">
        <f>TEXT(MONTH(Tabela1[[#This Row],[Último pagto ano]])*29,"mmmm")</f>
        <v>abril</v>
      </c>
    </row>
    <row r="63" spans="1:9" x14ac:dyDescent="0.25">
      <c r="A63">
        <v>2025</v>
      </c>
      <c r="B63" t="s">
        <v>126</v>
      </c>
      <c r="C63" s="1">
        <v>45911</v>
      </c>
      <c r="D63" t="s">
        <v>127</v>
      </c>
      <c r="E63" s="2">
        <v>2110.8000000000002</v>
      </c>
      <c r="G63" s="3">
        <f>MONTH(Tabela1[[#This Row],[Último pagto ano]])</f>
        <v>9</v>
      </c>
      <c r="H63" t="str">
        <f>TEXT(Tabela1[[#This Row],[Coluna2]]*29,"mmmm")</f>
        <v>setembro</v>
      </c>
      <c r="I63" t="str">
        <f>TEXT(MONTH(Tabela1[[#This Row],[Último pagto ano]])*29,"mmmm")</f>
        <v>setembro</v>
      </c>
    </row>
    <row r="64" spans="1:9" x14ac:dyDescent="0.25">
      <c r="A64">
        <v>2025</v>
      </c>
      <c r="B64" t="s">
        <v>128</v>
      </c>
      <c r="C64" s="1">
        <v>45702</v>
      </c>
      <c r="D64" t="s">
        <v>129</v>
      </c>
      <c r="E64">
        <v>44</v>
      </c>
      <c r="G64" s="3">
        <f>MONTH(Tabela1[[#This Row],[Último pagto ano]])</f>
        <v>2</v>
      </c>
      <c r="H64" t="str">
        <f>TEXT(Tabela1[[#This Row],[Coluna2]]*29,"mmmm")</f>
        <v>fevereiro</v>
      </c>
      <c r="I64" t="str">
        <f>TEXT(MONTH(Tabela1[[#This Row],[Último pagto ano]])*29,"mmmm")</f>
        <v>fevereiro</v>
      </c>
    </row>
    <row r="65" spans="1:9" x14ac:dyDescent="0.25">
      <c r="A65">
        <v>2025</v>
      </c>
      <c r="B65" t="s">
        <v>130</v>
      </c>
      <c r="C65" s="1">
        <v>45996</v>
      </c>
      <c r="D65" t="s">
        <v>131</v>
      </c>
      <c r="E65" s="2">
        <v>64800</v>
      </c>
      <c r="G65" s="3">
        <f>MONTH(Tabela1[[#This Row],[Último pagto ano]])</f>
        <v>12</v>
      </c>
      <c r="H65" t="str">
        <f>TEXT(Tabela1[[#This Row],[Coluna2]]*29,"mmmm")</f>
        <v>dezembro</v>
      </c>
      <c r="I65" t="str">
        <f>TEXT(MONTH(Tabela1[[#This Row],[Último pagto ano]])*29,"mmmm")</f>
        <v>dezembro</v>
      </c>
    </row>
    <row r="66" spans="1:9" x14ac:dyDescent="0.25">
      <c r="A66">
        <v>2025</v>
      </c>
      <c r="B66" t="s">
        <v>132</v>
      </c>
      <c r="C66" s="1">
        <v>45975</v>
      </c>
      <c r="D66" t="s">
        <v>133</v>
      </c>
      <c r="E66" s="2">
        <v>5330.88</v>
      </c>
      <c r="G66" s="3">
        <f>MONTH(Tabela1[[#This Row],[Último pagto ano]])</f>
        <v>11</v>
      </c>
      <c r="H66" t="str">
        <f>TEXT(Tabela1[[#This Row],[Coluna2]]*29,"mmmm")</f>
        <v>novembro</v>
      </c>
      <c r="I66" t="str">
        <f>TEXT(MONTH(Tabela1[[#This Row],[Último pagto ano]])*29,"mmmm")</f>
        <v>novembro</v>
      </c>
    </row>
    <row r="67" spans="1:9" x14ac:dyDescent="0.25">
      <c r="A67">
        <v>2025</v>
      </c>
      <c r="B67" t="s">
        <v>134</v>
      </c>
      <c r="C67" s="1">
        <v>45905</v>
      </c>
      <c r="D67" t="s">
        <v>135</v>
      </c>
      <c r="E67" s="2">
        <v>1800</v>
      </c>
      <c r="G67" s="3">
        <f>MONTH(Tabela1[[#This Row],[Último pagto ano]])</f>
        <v>9</v>
      </c>
      <c r="H67" t="str">
        <f>TEXT(Tabela1[[#This Row],[Coluna2]]*29,"mmmm")</f>
        <v>setembro</v>
      </c>
      <c r="I67" t="str">
        <f>TEXT(MONTH(Tabela1[[#This Row],[Último pagto ano]])*29,"mmmm")</f>
        <v>setembro</v>
      </c>
    </row>
    <row r="68" spans="1:9" x14ac:dyDescent="0.25">
      <c r="A68">
        <v>2025</v>
      </c>
      <c r="B68" t="s">
        <v>136</v>
      </c>
      <c r="C68" s="1">
        <v>46006</v>
      </c>
      <c r="D68" t="s">
        <v>137</v>
      </c>
      <c r="E68" s="2">
        <v>4738.5600000000004</v>
      </c>
      <c r="G68" s="3">
        <f>MONTH(Tabela1[[#This Row],[Último pagto ano]])</f>
        <v>12</v>
      </c>
      <c r="H68" t="str">
        <f>TEXT(Tabela1[[#This Row],[Coluna2]]*29,"mmmm")</f>
        <v>dezembro</v>
      </c>
      <c r="I68" t="str">
        <f>TEXT(MONTH(Tabela1[[#This Row],[Último pagto ano]])*29,"mmmm")</f>
        <v>dezembro</v>
      </c>
    </row>
    <row r="69" spans="1:9" x14ac:dyDescent="0.25">
      <c r="A69">
        <v>2025</v>
      </c>
      <c r="B69" t="s">
        <v>138</v>
      </c>
      <c r="C69" s="1">
        <v>45945</v>
      </c>
      <c r="D69" t="s">
        <v>139</v>
      </c>
      <c r="E69" s="2">
        <v>7996.32</v>
      </c>
      <c r="G69" s="3">
        <f>MONTH(Tabela1[[#This Row],[Último pagto ano]])</f>
        <v>10</v>
      </c>
      <c r="H69" t="str">
        <f>TEXT(Tabela1[[#This Row],[Coluna2]]*29,"mmmm")</f>
        <v>outubro</v>
      </c>
      <c r="I69" t="str">
        <f>TEXT(MONTH(Tabela1[[#This Row],[Último pagto ano]])*29,"mmmm")</f>
        <v>outubro</v>
      </c>
    </row>
    <row r="70" spans="1:9" x14ac:dyDescent="0.25">
      <c r="A70">
        <v>2025</v>
      </c>
      <c r="B70" t="s">
        <v>140</v>
      </c>
      <c r="C70" s="1">
        <v>45915</v>
      </c>
      <c r="D70" t="s">
        <v>141</v>
      </c>
      <c r="E70">
        <v>11</v>
      </c>
      <c r="G70" s="3">
        <f>MONTH(Tabela1[[#This Row],[Último pagto ano]])</f>
        <v>9</v>
      </c>
      <c r="H70" t="str">
        <f>TEXT(Tabela1[[#This Row],[Coluna2]]*29,"mmmm")</f>
        <v>setembro</v>
      </c>
      <c r="I70" t="str">
        <f>TEXT(MONTH(Tabela1[[#This Row],[Último pagto ano]])*29,"mmmm")</f>
        <v>setembro</v>
      </c>
    </row>
    <row r="71" spans="1:9" x14ac:dyDescent="0.25">
      <c r="A71">
        <v>2025</v>
      </c>
      <c r="B71" t="s">
        <v>142</v>
      </c>
      <c r="C71" s="1">
        <v>45854</v>
      </c>
      <c r="D71" t="s">
        <v>143</v>
      </c>
      <c r="E71" s="2">
        <v>11320</v>
      </c>
      <c r="G71" s="3">
        <f>MONTH(Tabela1[[#This Row],[Último pagto ano]])</f>
        <v>7</v>
      </c>
      <c r="H71" t="str">
        <f>TEXT(Tabela1[[#This Row],[Coluna2]]*29,"mmmm")</f>
        <v>julho</v>
      </c>
      <c r="I71" t="str">
        <f>TEXT(MONTH(Tabela1[[#This Row],[Último pagto ano]])*29,"mmmm")</f>
        <v>julho</v>
      </c>
    </row>
    <row r="72" spans="1:9" x14ac:dyDescent="0.25">
      <c r="A72">
        <v>2025</v>
      </c>
      <c r="B72" t="s">
        <v>144</v>
      </c>
      <c r="C72" s="1">
        <v>45988</v>
      </c>
      <c r="D72" t="s">
        <v>145</v>
      </c>
      <c r="E72">
        <v>172.8</v>
      </c>
      <c r="G72" s="3">
        <f>MONTH(Tabela1[[#This Row],[Último pagto ano]])</f>
        <v>11</v>
      </c>
      <c r="H72" t="str">
        <f>TEXT(Tabela1[[#This Row],[Coluna2]]*29,"mmmm")</f>
        <v>novembro</v>
      </c>
      <c r="I72" t="str">
        <f>TEXT(MONTH(Tabela1[[#This Row],[Último pagto ano]])*29,"mmmm")</f>
        <v>novembro</v>
      </c>
    </row>
    <row r="73" spans="1:9" x14ac:dyDescent="0.25">
      <c r="A73">
        <v>2025</v>
      </c>
      <c r="B73" t="s">
        <v>146</v>
      </c>
      <c r="C73" s="1">
        <v>46010</v>
      </c>
      <c r="D73" t="s">
        <v>147</v>
      </c>
      <c r="E73" s="2">
        <v>4800238.04</v>
      </c>
      <c r="G73" s="3">
        <f>MONTH(Tabela1[[#This Row],[Último pagto ano]])</f>
        <v>12</v>
      </c>
      <c r="H73" t="str">
        <f>TEXT(Tabela1[[#This Row],[Coluna2]]*29,"mmmm")</f>
        <v>dezembro</v>
      </c>
      <c r="I73" t="str">
        <f>TEXT(MONTH(Tabela1[[#This Row],[Último pagto ano]])*29,"mmmm")</f>
        <v>dezembro</v>
      </c>
    </row>
    <row r="74" spans="1:9" x14ac:dyDescent="0.25">
      <c r="A74">
        <v>2025</v>
      </c>
      <c r="B74" t="s">
        <v>148</v>
      </c>
      <c r="C74" s="1">
        <v>46010</v>
      </c>
      <c r="D74" t="s">
        <v>149</v>
      </c>
      <c r="E74" s="2">
        <v>12000</v>
      </c>
      <c r="G74" s="3">
        <f>MONTH(Tabela1[[#This Row],[Último pagto ano]])</f>
        <v>12</v>
      </c>
      <c r="H74" t="str">
        <f>TEXT(Tabela1[[#This Row],[Coluna2]]*29,"mmmm")</f>
        <v>dezembro</v>
      </c>
      <c r="I74" t="str">
        <f>TEXT(MONTH(Tabela1[[#This Row],[Último pagto ano]])*29,"mmmm")</f>
        <v>dezembro</v>
      </c>
    </row>
    <row r="75" spans="1:9" x14ac:dyDescent="0.25">
      <c r="A75">
        <v>2025</v>
      </c>
      <c r="B75" t="s">
        <v>150</v>
      </c>
      <c r="C75" s="1">
        <v>46007</v>
      </c>
      <c r="D75" t="s">
        <v>151</v>
      </c>
      <c r="E75" s="2">
        <v>101320.56</v>
      </c>
      <c r="G75" s="3">
        <f>MONTH(Tabela1[[#This Row],[Último pagto ano]])</f>
        <v>12</v>
      </c>
      <c r="H75" t="str">
        <f>TEXT(Tabela1[[#This Row],[Coluna2]]*29,"mmmm")</f>
        <v>dezembro</v>
      </c>
      <c r="I75" t="str">
        <f>TEXT(MONTH(Tabela1[[#This Row],[Último pagto ano]])*29,"mmmm")</f>
        <v>dezembro</v>
      </c>
    </row>
    <row r="76" spans="1:9" x14ac:dyDescent="0.25">
      <c r="A76">
        <v>2025</v>
      </c>
      <c r="B76" t="s">
        <v>152</v>
      </c>
      <c r="C76" s="1">
        <v>46010</v>
      </c>
      <c r="D76" t="s">
        <v>153</v>
      </c>
      <c r="E76" s="2">
        <v>3500</v>
      </c>
      <c r="G76" s="3">
        <f>MONTH(Tabela1[[#This Row],[Último pagto ano]])</f>
        <v>12</v>
      </c>
      <c r="H76" t="str">
        <f>TEXT(Tabela1[[#This Row],[Coluna2]]*29,"mmmm")</f>
        <v>dezembro</v>
      </c>
      <c r="I76" t="str">
        <f>TEXT(MONTH(Tabela1[[#This Row],[Último pagto ano]])*29,"mmmm")</f>
        <v>dezembro</v>
      </c>
    </row>
    <row r="77" spans="1:9" x14ac:dyDescent="0.25">
      <c r="A77">
        <v>2025</v>
      </c>
      <c r="B77" t="s">
        <v>154</v>
      </c>
      <c r="C77" s="1">
        <v>45853</v>
      </c>
      <c r="D77" t="s">
        <v>155</v>
      </c>
      <c r="E77" s="2">
        <v>7943.2</v>
      </c>
      <c r="G77" s="3">
        <f>MONTH(Tabela1[[#This Row],[Último pagto ano]])</f>
        <v>7</v>
      </c>
      <c r="H77" t="str">
        <f>TEXT(Tabela1[[#This Row],[Coluna2]]*29,"mmmm")</f>
        <v>julho</v>
      </c>
      <c r="I77" t="str">
        <f>TEXT(MONTH(Tabela1[[#This Row],[Último pagto ano]])*29,"mmmm")</f>
        <v>julho</v>
      </c>
    </row>
    <row r="78" spans="1:9" x14ac:dyDescent="0.25">
      <c r="A78">
        <v>2025</v>
      </c>
      <c r="B78" t="s">
        <v>156</v>
      </c>
      <c r="C78" s="1">
        <v>45712</v>
      </c>
      <c r="D78" t="s">
        <v>157</v>
      </c>
      <c r="E78" s="2">
        <v>1400</v>
      </c>
      <c r="G78" s="3">
        <f>MONTH(Tabela1[[#This Row],[Último pagto ano]])</f>
        <v>2</v>
      </c>
      <c r="H78" t="str">
        <f>TEXT(Tabela1[[#This Row],[Coluna2]]*29,"mmmm")</f>
        <v>fevereiro</v>
      </c>
      <c r="I78" t="str">
        <f>TEXT(MONTH(Tabela1[[#This Row],[Último pagto ano]])*29,"mmmm")</f>
        <v>fevereiro</v>
      </c>
    </row>
    <row r="79" spans="1:9" x14ac:dyDescent="0.25">
      <c r="A79">
        <v>2025</v>
      </c>
      <c r="B79" t="s">
        <v>158</v>
      </c>
      <c r="C79" s="1">
        <v>45996</v>
      </c>
      <c r="D79" t="s">
        <v>159</v>
      </c>
      <c r="E79" s="2">
        <v>62400</v>
      </c>
      <c r="G79" s="3">
        <f>MONTH(Tabela1[[#This Row],[Último pagto ano]])</f>
        <v>12</v>
      </c>
      <c r="H79" t="str">
        <f>TEXT(Tabela1[[#This Row],[Coluna2]]*29,"mmmm")</f>
        <v>dezembro</v>
      </c>
      <c r="I79" t="str">
        <f>TEXT(MONTH(Tabela1[[#This Row],[Último pagto ano]])*29,"mmmm")</f>
        <v>dezembro</v>
      </c>
    </row>
    <row r="80" spans="1:9" x14ac:dyDescent="0.25">
      <c r="A80">
        <v>2025</v>
      </c>
      <c r="B80" t="s">
        <v>160</v>
      </c>
      <c r="C80" s="1">
        <v>45964</v>
      </c>
      <c r="D80" t="s">
        <v>161</v>
      </c>
      <c r="E80">
        <v>110</v>
      </c>
      <c r="G80" s="3">
        <f>MONTH(Tabela1[[#This Row],[Último pagto ano]])</f>
        <v>11</v>
      </c>
      <c r="H80" t="str">
        <f>TEXT(Tabela1[[#This Row],[Coluna2]]*29,"mmmm")</f>
        <v>novembro</v>
      </c>
      <c r="I80" t="str">
        <f>TEXT(MONTH(Tabela1[[#This Row],[Último pagto ano]])*29,"mmmm")</f>
        <v>novembro</v>
      </c>
    </row>
    <row r="81" spans="1:9" x14ac:dyDescent="0.25">
      <c r="A81">
        <v>2025</v>
      </c>
      <c r="B81" t="s">
        <v>162</v>
      </c>
      <c r="C81" s="1">
        <v>45996</v>
      </c>
      <c r="D81" t="s">
        <v>163</v>
      </c>
      <c r="E81" s="2">
        <v>4800</v>
      </c>
      <c r="G81" s="3">
        <f>MONTH(Tabela1[[#This Row],[Último pagto ano]])</f>
        <v>12</v>
      </c>
      <c r="H81" t="str">
        <f>TEXT(Tabela1[[#This Row],[Coluna2]]*29,"mmmm")</f>
        <v>dezembro</v>
      </c>
      <c r="I81" t="str">
        <f>TEXT(MONTH(Tabela1[[#This Row],[Último pagto ano]])*29,"mmmm")</f>
        <v>dezembro</v>
      </c>
    </row>
    <row r="82" spans="1:9" x14ac:dyDescent="0.25">
      <c r="A82">
        <v>2025</v>
      </c>
      <c r="B82" t="s">
        <v>164</v>
      </c>
      <c r="C82" s="1">
        <v>46021</v>
      </c>
      <c r="D82" t="s">
        <v>165</v>
      </c>
      <c r="E82" s="2">
        <v>2841072.68</v>
      </c>
      <c r="G82" s="3">
        <f>MONTH(Tabela1[[#This Row],[Último pagto ano]])</f>
        <v>12</v>
      </c>
      <c r="H82" t="str">
        <f>TEXT(Tabela1[[#This Row],[Coluna2]]*29,"mmmm")</f>
        <v>dezembro</v>
      </c>
      <c r="I82" t="str">
        <f>TEXT(MONTH(Tabela1[[#This Row],[Último pagto ano]])*29,"mmmm")</f>
        <v>dezembro</v>
      </c>
    </row>
    <row r="83" spans="1:9" x14ac:dyDescent="0.25">
      <c r="A83">
        <v>2025</v>
      </c>
      <c r="B83" t="s">
        <v>166</v>
      </c>
      <c r="C83" s="1">
        <v>45673</v>
      </c>
      <c r="D83" t="s">
        <v>167</v>
      </c>
      <c r="E83">
        <v>600</v>
      </c>
      <c r="G83" s="3">
        <f>MONTH(Tabela1[[#This Row],[Último pagto ano]])</f>
        <v>1</v>
      </c>
      <c r="H83" t="str">
        <f>TEXT(Tabela1[[#This Row],[Coluna2]]*29,"mmmm")</f>
        <v>janeiro</v>
      </c>
      <c r="I83" t="str">
        <f>TEXT(MONTH(Tabela1[[#This Row],[Último pagto ano]])*29,"mmmm")</f>
        <v>janeiro</v>
      </c>
    </row>
    <row r="84" spans="1:9" x14ac:dyDescent="0.25">
      <c r="A84">
        <v>2025</v>
      </c>
      <c r="B84" t="s">
        <v>168</v>
      </c>
      <c r="C84" s="1">
        <v>45897</v>
      </c>
      <c r="D84" t="s">
        <v>169</v>
      </c>
      <c r="E84" s="2">
        <v>1006.2</v>
      </c>
      <c r="G84" s="3">
        <f>MONTH(Tabela1[[#This Row],[Último pagto ano]])</f>
        <v>8</v>
      </c>
      <c r="H84" t="str">
        <f>TEXT(Tabela1[[#This Row],[Coluna2]]*29,"mmmm")</f>
        <v>agosto</v>
      </c>
      <c r="I84" t="str">
        <f>TEXT(MONTH(Tabela1[[#This Row],[Último pagto ano]])*29,"mmmm")</f>
        <v>agosto</v>
      </c>
    </row>
    <row r="85" spans="1:9" x14ac:dyDescent="0.25">
      <c r="A85">
        <v>2025</v>
      </c>
      <c r="B85" t="s">
        <v>170</v>
      </c>
      <c r="C85" s="1">
        <v>45748</v>
      </c>
      <c r="D85" t="s">
        <v>171</v>
      </c>
      <c r="E85" s="2">
        <v>2140.9299999999998</v>
      </c>
      <c r="G85" s="3">
        <f>MONTH(Tabela1[[#This Row],[Último pagto ano]])</f>
        <v>4</v>
      </c>
      <c r="H85" t="str">
        <f>TEXT(Tabela1[[#This Row],[Coluna2]]*29,"mmmm")</f>
        <v>abril</v>
      </c>
      <c r="I85" t="str">
        <f>TEXT(MONTH(Tabela1[[#This Row],[Último pagto ano]])*29,"mmmm")</f>
        <v>abril</v>
      </c>
    </row>
    <row r="86" spans="1:9" x14ac:dyDescent="0.25">
      <c r="A86">
        <v>2025</v>
      </c>
      <c r="B86" t="s">
        <v>172</v>
      </c>
      <c r="C86" s="1">
        <v>45702</v>
      </c>
      <c r="D86" t="s">
        <v>173</v>
      </c>
      <c r="E86">
        <v>247.39</v>
      </c>
      <c r="G86" s="3">
        <f>MONTH(Tabela1[[#This Row],[Último pagto ano]])</f>
        <v>2</v>
      </c>
      <c r="H86" t="str">
        <f>TEXT(Tabela1[[#This Row],[Coluna2]]*29,"mmmm")</f>
        <v>fevereiro</v>
      </c>
      <c r="I86" t="str">
        <f>TEXT(MONTH(Tabela1[[#This Row],[Último pagto ano]])*29,"mmmm")</f>
        <v>fevereiro</v>
      </c>
    </row>
    <row r="87" spans="1:9" x14ac:dyDescent="0.25">
      <c r="A87">
        <v>2025</v>
      </c>
      <c r="B87" t="s">
        <v>174</v>
      </c>
      <c r="C87" s="1">
        <v>46013</v>
      </c>
      <c r="D87" t="s">
        <v>175</v>
      </c>
      <c r="E87" s="2">
        <v>10434.25</v>
      </c>
      <c r="G87" s="3">
        <f>MONTH(Tabela1[[#This Row],[Último pagto ano]])</f>
        <v>12</v>
      </c>
      <c r="H87" t="str">
        <f>TEXT(Tabela1[[#This Row],[Coluna2]]*29,"mmmm")</f>
        <v>dezembro</v>
      </c>
      <c r="I87" t="str">
        <f>TEXT(MONTH(Tabela1[[#This Row],[Último pagto ano]])*29,"mmmm")</f>
        <v>dezembro</v>
      </c>
    </row>
    <row r="88" spans="1:9" x14ac:dyDescent="0.25">
      <c r="A88">
        <v>2025</v>
      </c>
      <c r="B88" t="s">
        <v>176</v>
      </c>
      <c r="C88" s="1">
        <v>46013</v>
      </c>
      <c r="D88" t="s">
        <v>177</v>
      </c>
      <c r="E88" s="2">
        <v>4052.3</v>
      </c>
      <c r="G88" s="3">
        <f>MONTH(Tabela1[[#This Row],[Último pagto ano]])</f>
        <v>12</v>
      </c>
      <c r="H88" t="str">
        <f>TEXT(Tabela1[[#This Row],[Coluna2]]*29,"mmmm")</f>
        <v>dezembro</v>
      </c>
      <c r="I88" t="str">
        <f>TEXT(MONTH(Tabela1[[#This Row],[Último pagto ano]])*29,"mmmm")</f>
        <v>dezembro</v>
      </c>
    </row>
    <row r="89" spans="1:9" x14ac:dyDescent="0.25">
      <c r="A89">
        <v>2025</v>
      </c>
      <c r="B89" t="s">
        <v>178</v>
      </c>
      <c r="C89" s="1">
        <v>45988</v>
      </c>
      <c r="D89" t="s">
        <v>179</v>
      </c>
      <c r="E89">
        <v>86.4</v>
      </c>
      <c r="G89" s="3">
        <f>MONTH(Tabela1[[#This Row],[Último pagto ano]])</f>
        <v>11</v>
      </c>
      <c r="H89" t="str">
        <f>TEXT(Tabela1[[#This Row],[Coluna2]]*29,"mmmm")</f>
        <v>novembro</v>
      </c>
      <c r="I89" t="str">
        <f>TEXT(MONTH(Tabela1[[#This Row],[Último pagto ano]])*29,"mmmm")</f>
        <v>novembro</v>
      </c>
    </row>
    <row r="90" spans="1:9" x14ac:dyDescent="0.25">
      <c r="A90">
        <v>2025</v>
      </c>
      <c r="B90" t="s">
        <v>180</v>
      </c>
      <c r="C90" s="1">
        <v>45757</v>
      </c>
      <c r="D90" t="s">
        <v>181</v>
      </c>
      <c r="E90" s="2">
        <v>1311.14</v>
      </c>
      <c r="G90" s="3">
        <f>MONTH(Tabela1[[#This Row],[Último pagto ano]])</f>
        <v>4</v>
      </c>
      <c r="H90" t="str">
        <f>TEXT(Tabela1[[#This Row],[Coluna2]]*29,"mmmm")</f>
        <v>abril</v>
      </c>
      <c r="I90" t="str">
        <f>TEXT(MONTH(Tabela1[[#This Row],[Último pagto ano]])*29,"mmmm")</f>
        <v>abril</v>
      </c>
    </row>
    <row r="91" spans="1:9" x14ac:dyDescent="0.25">
      <c r="A91">
        <v>2025</v>
      </c>
      <c r="B91" t="s">
        <v>182</v>
      </c>
      <c r="C91" s="1">
        <v>46010</v>
      </c>
      <c r="D91" t="s">
        <v>183</v>
      </c>
      <c r="E91" s="2">
        <v>8300</v>
      </c>
      <c r="G91" s="3">
        <f>MONTH(Tabela1[[#This Row],[Último pagto ano]])</f>
        <v>12</v>
      </c>
      <c r="H91" t="str">
        <f>TEXT(Tabela1[[#This Row],[Coluna2]]*29,"mmmm")</f>
        <v>dezembro</v>
      </c>
      <c r="I91" t="str">
        <f>TEXT(MONTH(Tabela1[[#This Row],[Último pagto ano]])*29,"mmmm")</f>
        <v>dezembro</v>
      </c>
    </row>
    <row r="92" spans="1:9" x14ac:dyDescent="0.25">
      <c r="A92">
        <v>2025</v>
      </c>
      <c r="B92" t="s">
        <v>184</v>
      </c>
      <c r="C92" s="1">
        <v>45838</v>
      </c>
      <c r="D92" t="s">
        <v>185</v>
      </c>
      <c r="E92">
        <v>209</v>
      </c>
      <c r="G92" s="3">
        <f>MONTH(Tabela1[[#This Row],[Último pagto ano]])</f>
        <v>6</v>
      </c>
      <c r="H92" t="str">
        <f>TEXT(Tabela1[[#This Row],[Coluna2]]*29,"mmmm")</f>
        <v>junho</v>
      </c>
      <c r="I92" t="str">
        <f>TEXT(MONTH(Tabela1[[#This Row],[Último pagto ano]])*29,"mmmm")</f>
        <v>junho</v>
      </c>
    </row>
    <row r="93" spans="1:9" x14ac:dyDescent="0.25">
      <c r="A93">
        <v>2025</v>
      </c>
      <c r="B93" t="s">
        <v>186</v>
      </c>
      <c r="C93" s="1">
        <v>45964</v>
      </c>
      <c r="D93" t="s">
        <v>187</v>
      </c>
      <c r="E93">
        <v>110</v>
      </c>
      <c r="G93" s="3">
        <f>MONTH(Tabela1[[#This Row],[Último pagto ano]])</f>
        <v>11</v>
      </c>
      <c r="H93" t="str">
        <f>TEXT(Tabela1[[#This Row],[Coluna2]]*29,"mmmm")</f>
        <v>novembro</v>
      </c>
      <c r="I93" t="str">
        <f>TEXT(MONTH(Tabela1[[#This Row],[Último pagto ano]])*29,"mmmm")</f>
        <v>novembro</v>
      </c>
    </row>
    <row r="94" spans="1:9" x14ac:dyDescent="0.25">
      <c r="A94">
        <v>2025</v>
      </c>
      <c r="B94" t="s">
        <v>188</v>
      </c>
      <c r="C94" s="1">
        <v>45832</v>
      </c>
      <c r="D94" t="s">
        <v>189</v>
      </c>
      <c r="E94" s="2">
        <v>4200</v>
      </c>
      <c r="G94" s="3">
        <f>MONTH(Tabela1[[#This Row],[Último pagto ano]])</f>
        <v>6</v>
      </c>
      <c r="H94" t="str">
        <f>TEXT(Tabela1[[#This Row],[Coluna2]]*29,"mmmm")</f>
        <v>junho</v>
      </c>
      <c r="I94" t="str">
        <f>TEXT(MONTH(Tabela1[[#This Row],[Último pagto ano]])*29,"mmmm")</f>
        <v>junho</v>
      </c>
    </row>
    <row r="95" spans="1:9" x14ac:dyDescent="0.25">
      <c r="A95">
        <v>2025</v>
      </c>
      <c r="B95" t="s">
        <v>190</v>
      </c>
      <c r="C95" s="1">
        <v>45985</v>
      </c>
      <c r="D95" t="s">
        <v>191</v>
      </c>
      <c r="E95" s="2">
        <v>11000</v>
      </c>
      <c r="G95" s="3">
        <f>MONTH(Tabela1[[#This Row],[Último pagto ano]])</f>
        <v>11</v>
      </c>
      <c r="H95" t="str">
        <f>TEXT(Tabela1[[#This Row],[Coluna2]]*29,"mmmm")</f>
        <v>novembro</v>
      </c>
      <c r="I95" t="str">
        <f>TEXT(MONTH(Tabela1[[#This Row],[Último pagto ano]])*29,"mmmm")</f>
        <v>novembro</v>
      </c>
    </row>
    <row r="96" spans="1:9" x14ac:dyDescent="0.25">
      <c r="A96">
        <v>2025</v>
      </c>
      <c r="B96" t="s">
        <v>192</v>
      </c>
      <c r="C96" s="1">
        <v>45985</v>
      </c>
      <c r="D96" t="s">
        <v>193</v>
      </c>
      <c r="E96">
        <v>88</v>
      </c>
      <c r="G96" s="3">
        <f>MONTH(Tabela1[[#This Row],[Último pagto ano]])</f>
        <v>11</v>
      </c>
      <c r="H96" t="str">
        <f>TEXT(Tabela1[[#This Row],[Coluna2]]*29,"mmmm")</f>
        <v>novembro</v>
      </c>
      <c r="I96" t="str">
        <f>TEXT(MONTH(Tabela1[[#This Row],[Último pagto ano]])*29,"mmmm")</f>
        <v>novembro</v>
      </c>
    </row>
    <row r="97" spans="1:9" x14ac:dyDescent="0.25">
      <c r="A97">
        <v>2025</v>
      </c>
      <c r="B97" t="s">
        <v>194</v>
      </c>
      <c r="C97" s="1">
        <v>45894</v>
      </c>
      <c r="D97" t="s">
        <v>195</v>
      </c>
      <c r="E97">
        <v>418.21</v>
      </c>
      <c r="G97" s="3">
        <f>MONTH(Tabela1[[#This Row],[Último pagto ano]])</f>
        <v>8</v>
      </c>
      <c r="H97" t="str">
        <f>TEXT(Tabela1[[#This Row],[Coluna2]]*29,"mmmm")</f>
        <v>agosto</v>
      </c>
      <c r="I97" t="str">
        <f>TEXT(MONTH(Tabela1[[#This Row],[Último pagto ano]])*29,"mmmm")</f>
        <v>agosto</v>
      </c>
    </row>
    <row r="98" spans="1:9" x14ac:dyDescent="0.25">
      <c r="A98">
        <v>2025</v>
      </c>
      <c r="B98" t="s">
        <v>196</v>
      </c>
      <c r="C98" s="1">
        <v>45744</v>
      </c>
      <c r="D98" t="s">
        <v>197</v>
      </c>
      <c r="E98" s="2">
        <v>66622.63</v>
      </c>
      <c r="G98" s="3">
        <f>MONTH(Tabela1[[#This Row],[Último pagto ano]])</f>
        <v>3</v>
      </c>
      <c r="H98" t="str">
        <f>TEXT(Tabela1[[#This Row],[Coluna2]]*29,"mmmm")</f>
        <v>março</v>
      </c>
      <c r="I98" t="str">
        <f>TEXT(MONTH(Tabela1[[#This Row],[Último pagto ano]])*29,"mmmm")</f>
        <v>março</v>
      </c>
    </row>
    <row r="99" spans="1:9" x14ac:dyDescent="0.25">
      <c r="A99">
        <v>2025</v>
      </c>
      <c r="B99" t="s">
        <v>198</v>
      </c>
      <c r="C99" s="1">
        <v>46021</v>
      </c>
      <c r="D99" t="s">
        <v>199</v>
      </c>
      <c r="E99" s="2">
        <v>6348.6</v>
      </c>
      <c r="G99" s="3">
        <f>MONTH(Tabela1[[#This Row],[Último pagto ano]])</f>
        <v>12</v>
      </c>
      <c r="H99" t="str">
        <f>TEXT(Tabela1[[#This Row],[Coluna2]]*29,"mmmm")</f>
        <v>dezembro</v>
      </c>
      <c r="I99" t="str">
        <f>TEXT(MONTH(Tabela1[[#This Row],[Último pagto ano]])*29,"mmmm")</f>
        <v>dezembro</v>
      </c>
    </row>
    <row r="100" spans="1:9" x14ac:dyDescent="0.25">
      <c r="A100">
        <v>2025</v>
      </c>
      <c r="B100" t="s">
        <v>200</v>
      </c>
      <c r="C100" s="1">
        <v>45841</v>
      </c>
      <c r="D100" t="s">
        <v>201</v>
      </c>
      <c r="E100" s="2">
        <v>4406.49</v>
      </c>
      <c r="G100" s="3">
        <f>MONTH(Tabela1[[#This Row],[Último pagto ano]])</f>
        <v>7</v>
      </c>
      <c r="H100" t="str">
        <f>TEXT(Tabela1[[#This Row],[Coluna2]]*29,"mmmm")</f>
        <v>julho</v>
      </c>
      <c r="I100" t="str">
        <f>TEXT(MONTH(Tabela1[[#This Row],[Último pagto ano]])*29,"mmmm")</f>
        <v>julho</v>
      </c>
    </row>
    <row r="101" spans="1:9" x14ac:dyDescent="0.25">
      <c r="A101">
        <v>2025</v>
      </c>
      <c r="B101" t="s">
        <v>202</v>
      </c>
      <c r="C101" s="1">
        <v>45740</v>
      </c>
      <c r="D101" t="s">
        <v>203</v>
      </c>
      <c r="E101">
        <v>33</v>
      </c>
      <c r="G101" s="3">
        <f>MONTH(Tabela1[[#This Row],[Último pagto ano]])</f>
        <v>3</v>
      </c>
      <c r="H101" t="str">
        <f>TEXT(Tabela1[[#This Row],[Coluna2]]*29,"mmmm")</f>
        <v>março</v>
      </c>
      <c r="I101" t="str">
        <f>TEXT(MONTH(Tabela1[[#This Row],[Último pagto ano]])*29,"mmmm")</f>
        <v>março</v>
      </c>
    </row>
    <row r="102" spans="1:9" x14ac:dyDescent="0.25">
      <c r="A102">
        <v>2025</v>
      </c>
      <c r="B102" t="s">
        <v>204</v>
      </c>
      <c r="C102" s="1">
        <v>45996</v>
      </c>
      <c r="D102" t="s">
        <v>205</v>
      </c>
      <c r="E102" s="2">
        <v>36000</v>
      </c>
      <c r="G102" s="3">
        <f>MONTH(Tabela1[[#This Row],[Último pagto ano]])</f>
        <v>12</v>
      </c>
      <c r="H102" t="str">
        <f>TEXT(Tabela1[[#This Row],[Coluna2]]*29,"mmmm")</f>
        <v>dezembro</v>
      </c>
      <c r="I102" t="str">
        <f>TEXT(MONTH(Tabela1[[#This Row],[Último pagto ano]])*29,"mmmm")</f>
        <v>dezembro</v>
      </c>
    </row>
    <row r="103" spans="1:9" x14ac:dyDescent="0.25">
      <c r="A103">
        <v>2025</v>
      </c>
      <c r="B103" t="s">
        <v>206</v>
      </c>
      <c r="C103" s="1">
        <v>45838</v>
      </c>
      <c r="D103" t="s">
        <v>207</v>
      </c>
      <c r="E103" s="2">
        <v>5929.52</v>
      </c>
      <c r="G103" s="3">
        <f>MONTH(Tabela1[[#This Row],[Último pagto ano]])</f>
        <v>6</v>
      </c>
      <c r="H103" t="str">
        <f>TEXT(Tabela1[[#This Row],[Coluna2]]*29,"mmmm")</f>
        <v>junho</v>
      </c>
      <c r="I103" t="str">
        <f>TEXT(MONTH(Tabela1[[#This Row],[Último pagto ano]])*29,"mmmm")</f>
        <v>junho</v>
      </c>
    </row>
    <row r="104" spans="1:9" x14ac:dyDescent="0.25">
      <c r="A104">
        <v>2025</v>
      </c>
      <c r="B104" t="s">
        <v>208</v>
      </c>
      <c r="C104" s="1">
        <v>46021</v>
      </c>
      <c r="D104" t="s">
        <v>209</v>
      </c>
      <c r="E104" s="2">
        <v>14152.37</v>
      </c>
      <c r="G104" s="3">
        <f>MONTH(Tabela1[[#This Row],[Último pagto ano]])</f>
        <v>12</v>
      </c>
      <c r="H104" t="str">
        <f>TEXT(Tabela1[[#This Row],[Coluna2]]*29,"mmmm")</f>
        <v>dezembro</v>
      </c>
      <c r="I104" t="str">
        <f>TEXT(MONTH(Tabela1[[#This Row],[Último pagto ano]])*29,"mmmm")</f>
        <v>dezembro</v>
      </c>
    </row>
    <row r="105" spans="1:9" x14ac:dyDescent="0.25">
      <c r="A105">
        <v>2025</v>
      </c>
      <c r="B105" t="s">
        <v>210</v>
      </c>
      <c r="C105" s="1">
        <v>45996</v>
      </c>
      <c r="D105" t="s">
        <v>211</v>
      </c>
      <c r="E105" s="2">
        <v>5400</v>
      </c>
      <c r="G105" s="3">
        <f>MONTH(Tabela1[[#This Row],[Último pagto ano]])</f>
        <v>12</v>
      </c>
      <c r="H105" t="str">
        <f>TEXT(Tabela1[[#This Row],[Coluna2]]*29,"mmmm")</f>
        <v>dezembro</v>
      </c>
      <c r="I105" t="str">
        <f>TEXT(MONTH(Tabela1[[#This Row],[Último pagto ano]])*29,"mmmm")</f>
        <v>dezembro</v>
      </c>
    </row>
    <row r="106" spans="1:9" x14ac:dyDescent="0.25">
      <c r="A106">
        <v>2025</v>
      </c>
      <c r="B106" t="s">
        <v>212</v>
      </c>
      <c r="C106" s="1">
        <v>46006</v>
      </c>
      <c r="D106" t="s">
        <v>213</v>
      </c>
      <c r="E106" s="2">
        <v>10177.68</v>
      </c>
      <c r="G106" s="3">
        <f>MONTH(Tabela1[[#This Row],[Último pagto ano]])</f>
        <v>12</v>
      </c>
      <c r="H106" t="str">
        <f>TEXT(Tabela1[[#This Row],[Coluna2]]*29,"mmmm")</f>
        <v>dezembro</v>
      </c>
      <c r="I106" t="str">
        <f>TEXT(MONTH(Tabela1[[#This Row],[Último pagto ano]])*29,"mmmm")</f>
        <v>dezembro</v>
      </c>
    </row>
    <row r="107" spans="1:9" x14ac:dyDescent="0.25">
      <c r="A107">
        <v>2025</v>
      </c>
      <c r="B107" t="s">
        <v>214</v>
      </c>
      <c r="C107" s="1">
        <v>45915</v>
      </c>
      <c r="D107" t="s">
        <v>215</v>
      </c>
      <c r="E107" s="2">
        <v>1480.8</v>
      </c>
      <c r="G107" s="3">
        <f>MONTH(Tabela1[[#This Row],[Último pagto ano]])</f>
        <v>9</v>
      </c>
      <c r="H107" t="str">
        <f>TEXT(Tabela1[[#This Row],[Coluna2]]*29,"mmmm")</f>
        <v>setembro</v>
      </c>
      <c r="I107" t="str">
        <f>TEXT(MONTH(Tabela1[[#This Row],[Último pagto ano]])*29,"mmmm")</f>
        <v>setembro</v>
      </c>
    </row>
    <row r="108" spans="1:9" x14ac:dyDescent="0.25">
      <c r="A108">
        <v>2025</v>
      </c>
      <c r="B108" t="s">
        <v>216</v>
      </c>
      <c r="C108" s="1">
        <v>46006</v>
      </c>
      <c r="D108" t="s">
        <v>217</v>
      </c>
      <c r="E108" s="2">
        <v>3836.8</v>
      </c>
      <c r="G108" s="3">
        <f>MONTH(Tabela1[[#This Row],[Último pagto ano]])</f>
        <v>12</v>
      </c>
      <c r="H108" t="str">
        <f>TEXT(Tabela1[[#This Row],[Coluna2]]*29,"mmmm")</f>
        <v>dezembro</v>
      </c>
      <c r="I108" t="str">
        <f>TEXT(MONTH(Tabela1[[#This Row],[Último pagto ano]])*29,"mmmm")</f>
        <v>dezembro</v>
      </c>
    </row>
    <row r="109" spans="1:9" x14ac:dyDescent="0.25">
      <c r="A109">
        <v>2025</v>
      </c>
      <c r="B109" t="s">
        <v>218</v>
      </c>
      <c r="C109" s="1">
        <v>46010</v>
      </c>
      <c r="D109" t="s">
        <v>219</v>
      </c>
      <c r="E109" s="2">
        <v>8400</v>
      </c>
      <c r="G109" s="3">
        <f>MONTH(Tabela1[[#This Row],[Último pagto ano]])</f>
        <v>12</v>
      </c>
      <c r="H109" t="str">
        <f>TEXT(Tabela1[[#This Row],[Coluna2]]*29,"mmmm")</f>
        <v>dezembro</v>
      </c>
      <c r="I109" t="str">
        <f>TEXT(MONTH(Tabela1[[#This Row],[Último pagto ano]])*29,"mmmm")</f>
        <v>dezembro</v>
      </c>
    </row>
    <row r="110" spans="1:9" x14ac:dyDescent="0.25">
      <c r="A110">
        <v>2025</v>
      </c>
      <c r="B110" t="s">
        <v>220</v>
      </c>
      <c r="C110" s="1">
        <v>46003</v>
      </c>
      <c r="D110" t="s">
        <v>221</v>
      </c>
      <c r="E110" s="2">
        <v>24189.279999999999</v>
      </c>
      <c r="G110" s="3">
        <f>MONTH(Tabela1[[#This Row],[Último pagto ano]])</f>
        <v>12</v>
      </c>
      <c r="H110" t="str">
        <f>TEXT(Tabela1[[#This Row],[Coluna2]]*29,"mmmm")</f>
        <v>dezembro</v>
      </c>
      <c r="I110" t="str">
        <f>TEXT(MONTH(Tabela1[[#This Row],[Último pagto ano]])*29,"mmmm")</f>
        <v>dezembro</v>
      </c>
    </row>
    <row r="111" spans="1:9" x14ac:dyDescent="0.25">
      <c r="A111">
        <v>2025</v>
      </c>
      <c r="B111" t="s">
        <v>222</v>
      </c>
      <c r="C111" s="1">
        <v>45853</v>
      </c>
      <c r="D111" t="s">
        <v>223</v>
      </c>
      <c r="E111" s="2">
        <v>5627.04</v>
      </c>
      <c r="G111" s="3">
        <f>MONTH(Tabela1[[#This Row],[Último pagto ano]])</f>
        <v>7</v>
      </c>
      <c r="H111" t="str">
        <f>TEXT(Tabela1[[#This Row],[Coluna2]]*29,"mmmm")</f>
        <v>julho</v>
      </c>
      <c r="I111" t="str">
        <f>TEXT(MONTH(Tabela1[[#This Row],[Último pagto ano]])*29,"mmmm")</f>
        <v>julho</v>
      </c>
    </row>
    <row r="112" spans="1:9" x14ac:dyDescent="0.25">
      <c r="A112">
        <v>2025</v>
      </c>
      <c r="B112" t="s">
        <v>224</v>
      </c>
      <c r="C112" s="1">
        <v>45978</v>
      </c>
      <c r="D112" t="s">
        <v>225</v>
      </c>
      <c r="E112" s="2">
        <v>3650</v>
      </c>
      <c r="G112" s="3">
        <f>MONTH(Tabela1[[#This Row],[Último pagto ano]])</f>
        <v>11</v>
      </c>
      <c r="H112" t="str">
        <f>TEXT(Tabela1[[#This Row],[Coluna2]]*29,"mmmm")</f>
        <v>novembro</v>
      </c>
      <c r="I112" t="str">
        <f>TEXT(MONTH(Tabela1[[#This Row],[Último pagto ano]])*29,"mmmm")</f>
        <v>novembro</v>
      </c>
    </row>
    <row r="113" spans="1:9" x14ac:dyDescent="0.25">
      <c r="A113">
        <v>2025</v>
      </c>
      <c r="B113" t="s">
        <v>226</v>
      </c>
      <c r="C113" s="1">
        <v>45985</v>
      </c>
      <c r="D113" t="s">
        <v>227</v>
      </c>
      <c r="E113">
        <v>183.4</v>
      </c>
      <c r="G113" s="3">
        <f>MONTH(Tabela1[[#This Row],[Último pagto ano]])</f>
        <v>11</v>
      </c>
      <c r="H113" t="str">
        <f>TEXT(Tabela1[[#This Row],[Coluna2]]*29,"mmmm")</f>
        <v>novembro</v>
      </c>
      <c r="I113" t="str">
        <f>TEXT(MONTH(Tabela1[[#This Row],[Último pagto ano]])*29,"mmmm")</f>
        <v>novembro</v>
      </c>
    </row>
    <row r="114" spans="1:9" x14ac:dyDescent="0.25">
      <c r="A114">
        <v>2025</v>
      </c>
      <c r="B114" t="s">
        <v>228</v>
      </c>
      <c r="C114" s="1">
        <v>46010</v>
      </c>
      <c r="D114" t="s">
        <v>229</v>
      </c>
      <c r="E114" s="2">
        <v>2100</v>
      </c>
      <c r="G114" s="3">
        <f>MONTH(Tabela1[[#This Row],[Último pagto ano]])</f>
        <v>12</v>
      </c>
      <c r="H114" t="str">
        <f>TEXT(Tabela1[[#This Row],[Coluna2]]*29,"mmmm")</f>
        <v>dezembro</v>
      </c>
      <c r="I114" t="str">
        <f>TEXT(MONTH(Tabela1[[#This Row],[Último pagto ano]])*29,"mmmm")</f>
        <v>dezembro</v>
      </c>
    </row>
    <row r="115" spans="1:9" x14ac:dyDescent="0.25">
      <c r="A115">
        <v>2025</v>
      </c>
      <c r="B115" t="s">
        <v>230</v>
      </c>
      <c r="C115" s="1">
        <v>45936</v>
      </c>
      <c r="D115" t="s">
        <v>231</v>
      </c>
      <c r="E115">
        <v>22</v>
      </c>
      <c r="G115" s="3">
        <f>MONTH(Tabela1[[#This Row],[Último pagto ano]])</f>
        <v>10</v>
      </c>
      <c r="H115" t="str">
        <f>TEXT(Tabela1[[#This Row],[Coluna2]]*29,"mmmm")</f>
        <v>outubro</v>
      </c>
      <c r="I115" t="str">
        <f>TEXT(MONTH(Tabela1[[#This Row],[Último pagto ano]])*29,"mmmm")</f>
        <v>outubro</v>
      </c>
    </row>
    <row r="116" spans="1:9" x14ac:dyDescent="0.25">
      <c r="A116">
        <v>2025</v>
      </c>
      <c r="B116" t="s">
        <v>232</v>
      </c>
      <c r="C116" s="1">
        <v>45985</v>
      </c>
      <c r="D116" t="s">
        <v>233</v>
      </c>
      <c r="E116">
        <v>77</v>
      </c>
      <c r="G116" s="3">
        <f>MONTH(Tabela1[[#This Row],[Último pagto ano]])</f>
        <v>11</v>
      </c>
      <c r="H116" t="str">
        <f>TEXT(Tabela1[[#This Row],[Coluna2]]*29,"mmmm")</f>
        <v>novembro</v>
      </c>
      <c r="I116" t="str">
        <f>TEXT(MONTH(Tabela1[[#This Row],[Último pagto ano]])*29,"mmmm")</f>
        <v>novembro</v>
      </c>
    </row>
    <row r="117" spans="1:9" x14ac:dyDescent="0.25">
      <c r="A117">
        <v>2025</v>
      </c>
      <c r="B117" t="s">
        <v>234</v>
      </c>
      <c r="C117" s="1">
        <v>45868</v>
      </c>
      <c r="D117" t="s">
        <v>235</v>
      </c>
      <c r="E117" s="2">
        <v>6752.36</v>
      </c>
      <c r="G117" s="3">
        <f>MONTH(Tabela1[[#This Row],[Último pagto ano]])</f>
        <v>7</v>
      </c>
      <c r="H117" t="str">
        <f>TEXT(Tabela1[[#This Row],[Coluna2]]*29,"mmmm")</f>
        <v>julho</v>
      </c>
      <c r="I117" t="str">
        <f>TEXT(MONTH(Tabela1[[#This Row],[Último pagto ano]])*29,"mmmm")</f>
        <v>julho</v>
      </c>
    </row>
    <row r="118" spans="1:9" x14ac:dyDescent="0.25">
      <c r="A118">
        <v>2025</v>
      </c>
      <c r="B118" t="s">
        <v>236</v>
      </c>
      <c r="C118" s="1">
        <v>45853</v>
      </c>
      <c r="D118" t="s">
        <v>237</v>
      </c>
      <c r="E118" s="2">
        <v>5923.2</v>
      </c>
      <c r="G118" s="3">
        <f>MONTH(Tabela1[[#This Row],[Último pagto ano]])</f>
        <v>7</v>
      </c>
      <c r="H118" t="str">
        <f>TEXT(Tabela1[[#This Row],[Coluna2]]*29,"mmmm")</f>
        <v>julho</v>
      </c>
      <c r="I118" t="str">
        <f>TEXT(MONTH(Tabela1[[#This Row],[Último pagto ano]])*29,"mmmm")</f>
        <v>julho</v>
      </c>
    </row>
    <row r="119" spans="1:9" x14ac:dyDescent="0.25">
      <c r="A119">
        <v>2025</v>
      </c>
      <c r="B119" t="s">
        <v>238</v>
      </c>
      <c r="C119" s="1">
        <v>45996</v>
      </c>
      <c r="D119" t="s">
        <v>239</v>
      </c>
      <c r="E119" s="2">
        <v>10700</v>
      </c>
      <c r="G119" s="3">
        <f>MONTH(Tabela1[[#This Row],[Último pagto ano]])</f>
        <v>12</v>
      </c>
      <c r="H119" t="str">
        <f>TEXT(Tabela1[[#This Row],[Coluna2]]*29,"mmmm")</f>
        <v>dezembro</v>
      </c>
      <c r="I119" t="str">
        <f>TEXT(MONTH(Tabela1[[#This Row],[Último pagto ano]])*29,"mmmm")</f>
        <v>dezembro</v>
      </c>
    </row>
    <row r="120" spans="1:9" x14ac:dyDescent="0.25">
      <c r="A120">
        <v>2025</v>
      </c>
      <c r="B120" t="s">
        <v>240</v>
      </c>
      <c r="C120" s="1">
        <v>45849</v>
      </c>
      <c r="D120" t="s">
        <v>241</v>
      </c>
      <c r="E120" s="2">
        <v>5628.09</v>
      </c>
      <c r="G120" s="3">
        <f>MONTH(Tabela1[[#This Row],[Último pagto ano]])</f>
        <v>7</v>
      </c>
      <c r="H120" t="str">
        <f>TEXT(Tabela1[[#This Row],[Coluna2]]*29,"mmmm")</f>
        <v>julho</v>
      </c>
      <c r="I120" t="str">
        <f>TEXT(MONTH(Tabela1[[#This Row],[Último pagto ano]])*29,"mmmm")</f>
        <v>julho</v>
      </c>
    </row>
    <row r="121" spans="1:9" x14ac:dyDescent="0.25">
      <c r="A121">
        <v>2025</v>
      </c>
      <c r="B121" t="s">
        <v>242</v>
      </c>
      <c r="C121" s="1">
        <v>46010</v>
      </c>
      <c r="D121" t="s">
        <v>243</v>
      </c>
      <c r="E121" s="2">
        <v>8400</v>
      </c>
      <c r="G121" s="3">
        <f>MONTH(Tabela1[[#This Row],[Último pagto ano]])</f>
        <v>12</v>
      </c>
      <c r="H121" t="str">
        <f>TEXT(Tabela1[[#This Row],[Coluna2]]*29,"mmmm")</f>
        <v>dezembro</v>
      </c>
      <c r="I121" t="str">
        <f>TEXT(MONTH(Tabela1[[#This Row],[Último pagto ano]])*29,"mmmm")</f>
        <v>dezembro</v>
      </c>
    </row>
    <row r="122" spans="1:9" x14ac:dyDescent="0.25">
      <c r="A122">
        <v>2025</v>
      </c>
      <c r="B122" t="s">
        <v>244</v>
      </c>
      <c r="C122" s="1">
        <v>45996</v>
      </c>
      <c r="D122" t="s">
        <v>245</v>
      </c>
      <c r="E122" s="2">
        <v>7200</v>
      </c>
      <c r="G122" s="3">
        <f>MONTH(Tabela1[[#This Row],[Último pagto ano]])</f>
        <v>12</v>
      </c>
      <c r="H122" t="str">
        <f>TEXT(Tabela1[[#This Row],[Coluna2]]*29,"mmmm")</f>
        <v>dezembro</v>
      </c>
      <c r="I122" t="str">
        <f>TEXT(MONTH(Tabela1[[#This Row],[Último pagto ano]])*29,"mmmm")</f>
        <v>dezembro</v>
      </c>
    </row>
    <row r="123" spans="1:9" x14ac:dyDescent="0.25">
      <c r="A123">
        <v>2025</v>
      </c>
      <c r="B123" t="s">
        <v>246</v>
      </c>
      <c r="C123" s="1">
        <v>45716</v>
      </c>
      <c r="D123" t="s">
        <v>247</v>
      </c>
      <c r="E123" s="2">
        <v>1995.74</v>
      </c>
      <c r="G123" s="3">
        <f>MONTH(Tabela1[[#This Row],[Último pagto ano]])</f>
        <v>2</v>
      </c>
      <c r="H123" t="str">
        <f>TEXT(Tabela1[[#This Row],[Coluna2]]*29,"mmmm")</f>
        <v>fevereiro</v>
      </c>
      <c r="I123" t="str">
        <f>TEXT(MONTH(Tabela1[[#This Row],[Último pagto ano]])*29,"mmmm")</f>
        <v>fevereiro</v>
      </c>
    </row>
    <row r="124" spans="1:9" x14ac:dyDescent="0.25">
      <c r="A124">
        <v>2025</v>
      </c>
      <c r="B124" t="s">
        <v>248</v>
      </c>
      <c r="C124" s="1">
        <v>45905</v>
      </c>
      <c r="D124" t="s">
        <v>249</v>
      </c>
      <c r="E124" s="2">
        <v>5000</v>
      </c>
      <c r="G124" s="3">
        <f>MONTH(Tabela1[[#This Row],[Último pagto ano]])</f>
        <v>9</v>
      </c>
      <c r="H124" t="str">
        <f>TEXT(Tabela1[[#This Row],[Coluna2]]*29,"mmmm")</f>
        <v>setembro</v>
      </c>
      <c r="I124" t="str">
        <f>TEXT(MONTH(Tabela1[[#This Row],[Último pagto ano]])*29,"mmmm")</f>
        <v>setembro</v>
      </c>
    </row>
    <row r="125" spans="1:9" x14ac:dyDescent="0.25">
      <c r="A125">
        <v>2025</v>
      </c>
      <c r="B125" t="s">
        <v>250</v>
      </c>
      <c r="C125" s="1">
        <v>45793</v>
      </c>
      <c r="D125" t="s">
        <v>251</v>
      </c>
      <c r="E125" s="2">
        <v>1813.23</v>
      </c>
      <c r="G125" s="3">
        <f>MONTH(Tabela1[[#This Row],[Último pagto ano]])</f>
        <v>5</v>
      </c>
      <c r="H125" t="str">
        <f>TEXT(Tabela1[[#This Row],[Coluna2]]*29,"mmmm")</f>
        <v>maio</v>
      </c>
      <c r="I125" t="str">
        <f>TEXT(MONTH(Tabela1[[#This Row],[Último pagto ano]])*29,"mmmm")</f>
        <v>maio</v>
      </c>
    </row>
    <row r="126" spans="1:9" x14ac:dyDescent="0.25">
      <c r="A126">
        <v>2025</v>
      </c>
      <c r="B126" t="s">
        <v>252</v>
      </c>
      <c r="C126" s="1">
        <v>45996</v>
      </c>
      <c r="D126" t="s">
        <v>253</v>
      </c>
      <c r="E126" s="2">
        <v>59400</v>
      </c>
      <c r="G126" s="3">
        <f>MONTH(Tabela1[[#This Row],[Último pagto ano]])</f>
        <v>12</v>
      </c>
      <c r="H126" t="str">
        <f>TEXT(Tabela1[[#This Row],[Coluna2]]*29,"mmmm")</f>
        <v>dezembro</v>
      </c>
      <c r="I126" t="str">
        <f>TEXT(MONTH(Tabela1[[#This Row],[Último pagto ano]])*29,"mmmm")</f>
        <v>dezembro</v>
      </c>
    </row>
    <row r="127" spans="1:9" x14ac:dyDescent="0.25">
      <c r="A127">
        <v>2025</v>
      </c>
      <c r="B127" t="s">
        <v>254</v>
      </c>
      <c r="C127" s="1">
        <v>45838</v>
      </c>
      <c r="D127" t="s">
        <v>255</v>
      </c>
      <c r="E127">
        <v>71.2</v>
      </c>
      <c r="G127" s="3">
        <f>MONTH(Tabela1[[#This Row],[Último pagto ano]])</f>
        <v>6</v>
      </c>
      <c r="H127" t="str">
        <f>TEXT(Tabela1[[#This Row],[Coluna2]]*29,"mmmm")</f>
        <v>junho</v>
      </c>
      <c r="I127" t="str">
        <f>TEXT(MONTH(Tabela1[[#This Row],[Último pagto ano]])*29,"mmmm")</f>
        <v>junho</v>
      </c>
    </row>
    <row r="128" spans="1:9" x14ac:dyDescent="0.25">
      <c r="A128">
        <v>2025</v>
      </c>
      <c r="B128" t="s">
        <v>256</v>
      </c>
      <c r="C128" s="1">
        <v>45975</v>
      </c>
      <c r="D128" t="s">
        <v>257</v>
      </c>
      <c r="E128">
        <v>774.48</v>
      </c>
      <c r="G128" s="3">
        <f>MONTH(Tabela1[[#This Row],[Último pagto ano]])</f>
        <v>11</v>
      </c>
      <c r="H128" t="str">
        <f>TEXT(Tabela1[[#This Row],[Coluna2]]*29,"mmmm")</f>
        <v>novembro</v>
      </c>
      <c r="I128" t="str">
        <f>TEXT(MONTH(Tabela1[[#This Row],[Último pagto ano]])*29,"mmmm")</f>
        <v>novembro</v>
      </c>
    </row>
    <row r="129" spans="1:9" x14ac:dyDescent="0.25">
      <c r="A129">
        <v>2025</v>
      </c>
      <c r="B129" t="s">
        <v>258</v>
      </c>
      <c r="C129" s="1">
        <v>46014</v>
      </c>
      <c r="D129" t="s">
        <v>259</v>
      </c>
      <c r="E129" s="2">
        <v>213105.2</v>
      </c>
      <c r="G129" s="3">
        <f>MONTH(Tabela1[[#This Row],[Último pagto ano]])</f>
        <v>12</v>
      </c>
      <c r="H129" t="str">
        <f>TEXT(Tabela1[[#This Row],[Coluna2]]*29,"mmmm")</f>
        <v>dezembro</v>
      </c>
      <c r="I129" t="str">
        <f>TEXT(MONTH(Tabela1[[#This Row],[Último pagto ano]])*29,"mmmm")</f>
        <v>dezembro</v>
      </c>
    </row>
    <row r="130" spans="1:9" x14ac:dyDescent="0.25">
      <c r="A130">
        <v>2025</v>
      </c>
      <c r="B130" t="s">
        <v>260</v>
      </c>
      <c r="C130" s="1">
        <v>45673</v>
      </c>
      <c r="D130" t="s">
        <v>261</v>
      </c>
      <c r="E130" s="2">
        <v>2500</v>
      </c>
      <c r="G130" s="3">
        <f>MONTH(Tabela1[[#This Row],[Último pagto ano]])</f>
        <v>1</v>
      </c>
      <c r="H130" t="str">
        <f>TEXT(Tabela1[[#This Row],[Coluna2]]*29,"mmmm")</f>
        <v>janeiro</v>
      </c>
      <c r="I130" t="str">
        <f>TEXT(MONTH(Tabela1[[#This Row],[Último pagto ano]])*29,"mmmm")</f>
        <v>janeiro</v>
      </c>
    </row>
    <row r="131" spans="1:9" x14ac:dyDescent="0.25">
      <c r="A131">
        <v>2025</v>
      </c>
      <c r="B131" t="s">
        <v>262</v>
      </c>
      <c r="C131" s="1">
        <v>45856</v>
      </c>
      <c r="D131" t="s">
        <v>263</v>
      </c>
      <c r="E131" s="2">
        <v>6380.04</v>
      </c>
      <c r="G131" s="3">
        <f>MONTH(Tabela1[[#This Row],[Último pagto ano]])</f>
        <v>7</v>
      </c>
      <c r="H131" t="str">
        <f>TEXT(Tabela1[[#This Row],[Coluna2]]*29,"mmmm")</f>
        <v>julho</v>
      </c>
      <c r="I131" t="str">
        <f>TEXT(MONTH(Tabela1[[#This Row],[Último pagto ano]])*29,"mmmm")</f>
        <v>julho</v>
      </c>
    </row>
    <row r="132" spans="1:9" x14ac:dyDescent="0.25">
      <c r="A132">
        <v>2025</v>
      </c>
      <c r="B132" t="s">
        <v>264</v>
      </c>
      <c r="C132" s="1">
        <v>46008</v>
      </c>
      <c r="D132" t="s">
        <v>265</v>
      </c>
      <c r="E132" s="2">
        <v>484882.9</v>
      </c>
      <c r="G132" s="3">
        <f>MONTH(Tabela1[[#This Row],[Último pagto ano]])</f>
        <v>12</v>
      </c>
      <c r="H132" t="str">
        <f>TEXT(Tabela1[[#This Row],[Coluna2]]*29,"mmmm")</f>
        <v>dezembro</v>
      </c>
      <c r="I132" t="str">
        <f>TEXT(MONTH(Tabela1[[#This Row],[Último pagto ano]])*29,"mmmm")</f>
        <v>dezembro</v>
      </c>
    </row>
    <row r="133" spans="1:9" x14ac:dyDescent="0.25">
      <c r="A133">
        <v>2025</v>
      </c>
      <c r="B133" t="s">
        <v>266</v>
      </c>
      <c r="C133" s="1">
        <v>45700</v>
      </c>
      <c r="D133" t="s">
        <v>267</v>
      </c>
      <c r="E133" s="2">
        <v>1236.1199999999999</v>
      </c>
      <c r="G133" s="3">
        <f>MONTH(Tabela1[[#This Row],[Último pagto ano]])</f>
        <v>2</v>
      </c>
      <c r="H133" t="str">
        <f>TEXT(Tabela1[[#This Row],[Coluna2]]*29,"mmmm")</f>
        <v>fevereiro</v>
      </c>
      <c r="I133" t="str">
        <f>TEXT(MONTH(Tabela1[[#This Row],[Último pagto ano]])*29,"mmmm")</f>
        <v>fevereiro</v>
      </c>
    </row>
    <row r="134" spans="1:9" x14ac:dyDescent="0.25">
      <c r="A134">
        <v>2025</v>
      </c>
      <c r="B134" t="s">
        <v>266</v>
      </c>
      <c r="C134" s="1">
        <v>45988</v>
      </c>
      <c r="D134" t="s">
        <v>267</v>
      </c>
      <c r="E134" s="2">
        <v>2599.3000000000002</v>
      </c>
      <c r="G134" s="3">
        <f>MONTH(Tabela1[[#This Row],[Último pagto ano]])</f>
        <v>11</v>
      </c>
      <c r="H134" t="str">
        <f>TEXT(Tabela1[[#This Row],[Coluna2]]*29,"mmmm")</f>
        <v>novembro</v>
      </c>
      <c r="I134" t="str">
        <f>TEXT(MONTH(Tabela1[[#This Row],[Último pagto ano]])*29,"mmmm")</f>
        <v>novembro</v>
      </c>
    </row>
    <row r="135" spans="1:9" x14ac:dyDescent="0.25">
      <c r="A135">
        <v>2025</v>
      </c>
      <c r="B135" t="s">
        <v>268</v>
      </c>
      <c r="C135" s="1">
        <v>45959</v>
      </c>
      <c r="D135" t="s">
        <v>269</v>
      </c>
      <c r="E135" s="2">
        <v>2152.8000000000002</v>
      </c>
      <c r="G135" s="3">
        <f>MONTH(Tabela1[[#This Row],[Último pagto ano]])</f>
        <v>10</v>
      </c>
      <c r="H135" t="str">
        <f>TEXT(Tabela1[[#This Row],[Coluna2]]*29,"mmmm")</f>
        <v>outubro</v>
      </c>
      <c r="I135" t="str">
        <f>TEXT(MONTH(Tabela1[[#This Row],[Último pagto ano]])*29,"mmmm")</f>
        <v>outubro</v>
      </c>
    </row>
    <row r="136" spans="1:9" x14ac:dyDescent="0.25">
      <c r="A136">
        <v>2025</v>
      </c>
      <c r="B136" t="s">
        <v>270</v>
      </c>
      <c r="C136" s="1">
        <v>45996</v>
      </c>
      <c r="D136" t="s">
        <v>271</v>
      </c>
      <c r="E136" s="2">
        <v>1800</v>
      </c>
      <c r="G136" s="3">
        <f>MONTH(Tabela1[[#This Row],[Último pagto ano]])</f>
        <v>12</v>
      </c>
      <c r="H136" t="str">
        <f>TEXT(Tabela1[[#This Row],[Coluna2]]*29,"mmmm")</f>
        <v>dezembro</v>
      </c>
      <c r="I136" t="str">
        <f>TEXT(MONTH(Tabela1[[#This Row],[Último pagto ano]])*29,"mmmm")</f>
        <v>dezembro</v>
      </c>
    </row>
    <row r="137" spans="1:9" x14ac:dyDescent="0.25">
      <c r="A137">
        <v>2025</v>
      </c>
      <c r="B137" t="s">
        <v>272</v>
      </c>
      <c r="C137" s="1">
        <v>46021</v>
      </c>
      <c r="D137" t="s">
        <v>273</v>
      </c>
      <c r="E137">
        <v>973.09</v>
      </c>
      <c r="G137" s="3">
        <f>MONTH(Tabela1[[#This Row],[Último pagto ano]])</f>
        <v>12</v>
      </c>
      <c r="H137" t="str">
        <f>TEXT(Tabela1[[#This Row],[Coluna2]]*29,"mmmm")</f>
        <v>dezembro</v>
      </c>
      <c r="I137" t="str">
        <f>TEXT(MONTH(Tabela1[[#This Row],[Último pagto ano]])*29,"mmmm")</f>
        <v>dezembro</v>
      </c>
    </row>
    <row r="138" spans="1:9" x14ac:dyDescent="0.25">
      <c r="A138">
        <v>2025</v>
      </c>
      <c r="B138" t="s">
        <v>274</v>
      </c>
      <c r="C138" s="1">
        <v>46021</v>
      </c>
      <c r="D138" t="s">
        <v>275</v>
      </c>
      <c r="E138" s="2">
        <v>796956.97</v>
      </c>
      <c r="G138" s="3">
        <f>MONTH(Tabela1[[#This Row],[Último pagto ano]])</f>
        <v>12</v>
      </c>
      <c r="H138" t="str">
        <f>TEXT(Tabela1[[#This Row],[Coluna2]]*29,"mmmm")</f>
        <v>dezembro</v>
      </c>
      <c r="I138" t="str">
        <f>TEXT(MONTH(Tabela1[[#This Row],[Último pagto ano]])*29,"mmmm")</f>
        <v>dezembro</v>
      </c>
    </row>
    <row r="139" spans="1:9" x14ac:dyDescent="0.25">
      <c r="A139">
        <v>2025</v>
      </c>
      <c r="B139" t="s">
        <v>276</v>
      </c>
      <c r="C139" s="1">
        <v>46008</v>
      </c>
      <c r="D139" t="s">
        <v>277</v>
      </c>
      <c r="E139" s="2">
        <v>116005.26</v>
      </c>
      <c r="G139" s="3">
        <f>MONTH(Tabela1[[#This Row],[Último pagto ano]])</f>
        <v>12</v>
      </c>
      <c r="H139" t="str">
        <f>TEXT(Tabela1[[#This Row],[Coluna2]]*29,"mmmm")</f>
        <v>dezembro</v>
      </c>
      <c r="I139" t="str">
        <f>TEXT(MONTH(Tabela1[[#This Row],[Último pagto ano]])*29,"mmmm")</f>
        <v>dezembro</v>
      </c>
    </row>
    <row r="140" spans="1:9" x14ac:dyDescent="0.25">
      <c r="A140">
        <v>2025</v>
      </c>
      <c r="B140" t="s">
        <v>278</v>
      </c>
      <c r="C140" s="1">
        <v>45824</v>
      </c>
      <c r="D140" t="s">
        <v>279</v>
      </c>
      <c r="E140" s="2">
        <v>17121.57</v>
      </c>
      <c r="G140" s="3">
        <f>MONTH(Tabela1[[#This Row],[Último pagto ano]])</f>
        <v>6</v>
      </c>
      <c r="H140" t="str">
        <f>TEXT(Tabela1[[#This Row],[Coluna2]]*29,"mmmm")</f>
        <v>junho</v>
      </c>
      <c r="I140" t="str">
        <f>TEXT(MONTH(Tabela1[[#This Row],[Último pagto ano]])*29,"mmmm")</f>
        <v>junho</v>
      </c>
    </row>
    <row r="141" spans="1:9" x14ac:dyDescent="0.25">
      <c r="A141">
        <v>2025</v>
      </c>
      <c r="B141" t="s">
        <v>280</v>
      </c>
      <c r="C141" s="1">
        <v>45868</v>
      </c>
      <c r="D141" t="s">
        <v>281</v>
      </c>
      <c r="E141" s="2">
        <v>1901.04</v>
      </c>
      <c r="G141" s="3">
        <f>MONTH(Tabela1[[#This Row],[Último pagto ano]])</f>
        <v>7</v>
      </c>
      <c r="H141" t="str">
        <f>TEXT(Tabela1[[#This Row],[Coluna2]]*29,"mmmm")</f>
        <v>julho</v>
      </c>
      <c r="I141" t="str">
        <f>TEXT(MONTH(Tabela1[[#This Row],[Último pagto ano]])*29,"mmmm")</f>
        <v>julho</v>
      </c>
    </row>
    <row r="142" spans="1:9" x14ac:dyDescent="0.25">
      <c r="A142">
        <v>2025</v>
      </c>
      <c r="B142" t="s">
        <v>282</v>
      </c>
      <c r="C142" s="1">
        <v>46014</v>
      </c>
      <c r="D142" t="s">
        <v>283</v>
      </c>
      <c r="E142" s="2">
        <v>339472.67</v>
      </c>
      <c r="G142" s="3">
        <f>MONTH(Tabela1[[#This Row],[Último pagto ano]])</f>
        <v>12</v>
      </c>
      <c r="H142" t="str">
        <f>TEXT(Tabela1[[#This Row],[Coluna2]]*29,"mmmm")</f>
        <v>dezembro</v>
      </c>
      <c r="I142" t="str">
        <f>TEXT(MONTH(Tabela1[[#This Row],[Último pagto ano]])*29,"mmmm")</f>
        <v>dezembro</v>
      </c>
    </row>
    <row r="143" spans="1:9" x14ac:dyDescent="0.25">
      <c r="A143">
        <v>2025</v>
      </c>
      <c r="B143" t="s">
        <v>284</v>
      </c>
      <c r="C143" s="1">
        <v>45987</v>
      </c>
      <c r="D143" t="s">
        <v>285</v>
      </c>
      <c r="E143" s="2">
        <v>786800.28</v>
      </c>
      <c r="G143" s="3">
        <f>MONTH(Tabela1[[#This Row],[Último pagto ano]])</f>
        <v>11</v>
      </c>
      <c r="H143" t="str">
        <f>TEXT(Tabela1[[#This Row],[Coluna2]]*29,"mmmm")</f>
        <v>novembro</v>
      </c>
      <c r="I143" t="str">
        <f>TEXT(MONTH(Tabela1[[#This Row],[Último pagto ano]])*29,"mmmm")</f>
        <v>novembro</v>
      </c>
    </row>
    <row r="144" spans="1:9" x14ac:dyDescent="0.25">
      <c r="A144">
        <v>2025</v>
      </c>
      <c r="B144" t="s">
        <v>286</v>
      </c>
      <c r="C144" s="1">
        <v>45848</v>
      </c>
      <c r="D144" t="s">
        <v>287</v>
      </c>
      <c r="E144" s="2">
        <v>143638</v>
      </c>
      <c r="G144" s="3">
        <f>MONTH(Tabela1[[#This Row],[Último pagto ano]])</f>
        <v>7</v>
      </c>
      <c r="H144" t="str">
        <f>TEXT(Tabela1[[#This Row],[Coluna2]]*29,"mmmm")</f>
        <v>julho</v>
      </c>
      <c r="I144" t="str">
        <f>TEXT(MONTH(Tabela1[[#This Row],[Último pagto ano]])*29,"mmmm")</f>
        <v>julho</v>
      </c>
    </row>
    <row r="145" spans="1:9" x14ac:dyDescent="0.25">
      <c r="A145">
        <v>2025</v>
      </c>
      <c r="B145" t="s">
        <v>288</v>
      </c>
      <c r="C145" s="1">
        <v>45754</v>
      </c>
      <c r="D145" t="s">
        <v>289</v>
      </c>
      <c r="E145" s="2">
        <v>248544</v>
      </c>
      <c r="G145" s="3">
        <f>MONTH(Tabela1[[#This Row],[Último pagto ano]])</f>
        <v>4</v>
      </c>
      <c r="H145" t="str">
        <f>TEXT(Tabela1[[#This Row],[Coluna2]]*29,"mmmm")</f>
        <v>abril</v>
      </c>
      <c r="I145" t="str">
        <f>TEXT(MONTH(Tabela1[[#This Row],[Último pagto ano]])*29,"mmmm")</f>
        <v>abril</v>
      </c>
    </row>
    <row r="146" spans="1:9" x14ac:dyDescent="0.25">
      <c r="A146">
        <v>2025</v>
      </c>
      <c r="B146" t="s">
        <v>290</v>
      </c>
      <c r="C146" s="1">
        <v>45922</v>
      </c>
      <c r="D146" t="s">
        <v>291</v>
      </c>
      <c r="E146">
        <v>54.14</v>
      </c>
      <c r="G146" s="3">
        <f>MONTH(Tabela1[[#This Row],[Último pagto ano]])</f>
        <v>9</v>
      </c>
      <c r="H146" t="str">
        <f>TEXT(Tabela1[[#This Row],[Coluna2]]*29,"mmmm")</f>
        <v>setembro</v>
      </c>
      <c r="I146" t="str">
        <f>TEXT(MONTH(Tabela1[[#This Row],[Último pagto ano]])*29,"mmmm")</f>
        <v>setembro</v>
      </c>
    </row>
    <row r="147" spans="1:9" x14ac:dyDescent="0.25">
      <c r="A147">
        <v>2025</v>
      </c>
      <c r="B147" t="s">
        <v>292</v>
      </c>
      <c r="C147" s="1">
        <v>46010</v>
      </c>
      <c r="D147" t="s">
        <v>293</v>
      </c>
      <c r="E147" s="2">
        <v>8400</v>
      </c>
      <c r="G147" s="3">
        <f>MONTH(Tabela1[[#This Row],[Último pagto ano]])</f>
        <v>12</v>
      </c>
      <c r="H147" t="str">
        <f>TEXT(Tabela1[[#This Row],[Coluna2]]*29,"mmmm")</f>
        <v>dezembro</v>
      </c>
      <c r="I147" t="str">
        <f>TEXT(MONTH(Tabela1[[#This Row],[Último pagto ano]])*29,"mmmm")</f>
        <v>dezembro</v>
      </c>
    </row>
    <row r="148" spans="1:9" x14ac:dyDescent="0.25">
      <c r="A148">
        <v>2025</v>
      </c>
      <c r="B148" t="s">
        <v>294</v>
      </c>
      <c r="C148" s="1">
        <v>45842</v>
      </c>
      <c r="D148" t="s">
        <v>295</v>
      </c>
      <c r="E148">
        <v>5.36</v>
      </c>
      <c r="G148" s="3">
        <f>MONTH(Tabela1[[#This Row],[Último pagto ano]])</f>
        <v>7</v>
      </c>
      <c r="H148" t="str">
        <f>TEXT(Tabela1[[#This Row],[Coluna2]]*29,"mmmm")</f>
        <v>julho</v>
      </c>
      <c r="I148" t="str">
        <f>TEXT(MONTH(Tabela1[[#This Row],[Último pagto ano]])*29,"mmmm")</f>
        <v>julho</v>
      </c>
    </row>
    <row r="149" spans="1:9" x14ac:dyDescent="0.25">
      <c r="A149">
        <v>2025</v>
      </c>
      <c r="B149" t="s">
        <v>296</v>
      </c>
      <c r="C149" s="1">
        <v>46003</v>
      </c>
      <c r="D149" t="s">
        <v>297</v>
      </c>
      <c r="E149" s="2">
        <v>43493.4</v>
      </c>
      <c r="G149" s="3">
        <f>MONTH(Tabela1[[#This Row],[Último pagto ano]])</f>
        <v>12</v>
      </c>
      <c r="H149" t="str">
        <f>TEXT(Tabela1[[#This Row],[Coluna2]]*29,"mmmm")</f>
        <v>dezembro</v>
      </c>
      <c r="I149" t="str">
        <f>TEXT(MONTH(Tabela1[[#This Row],[Último pagto ano]])*29,"mmmm")</f>
        <v>dezembro</v>
      </c>
    </row>
    <row r="150" spans="1:9" x14ac:dyDescent="0.25">
      <c r="A150">
        <v>2025</v>
      </c>
      <c r="B150" t="s">
        <v>298</v>
      </c>
      <c r="C150" s="1">
        <v>46010</v>
      </c>
      <c r="D150" t="s">
        <v>299</v>
      </c>
      <c r="E150" s="2">
        <v>8400</v>
      </c>
      <c r="G150" s="3">
        <f>MONTH(Tabela1[[#This Row],[Último pagto ano]])</f>
        <v>12</v>
      </c>
      <c r="H150" t="str">
        <f>TEXT(Tabela1[[#This Row],[Coluna2]]*29,"mmmm")</f>
        <v>dezembro</v>
      </c>
      <c r="I150" t="str">
        <f>TEXT(MONTH(Tabela1[[#This Row],[Último pagto ano]])*29,"mmmm")</f>
        <v>dezembro</v>
      </c>
    </row>
    <row r="151" spans="1:9" x14ac:dyDescent="0.25">
      <c r="A151">
        <v>2025</v>
      </c>
      <c r="B151" t="s">
        <v>300</v>
      </c>
      <c r="C151" s="1">
        <v>45915</v>
      </c>
      <c r="D151" t="s">
        <v>301</v>
      </c>
      <c r="E151">
        <v>121</v>
      </c>
      <c r="G151" s="3">
        <f>MONTH(Tabela1[[#This Row],[Último pagto ano]])</f>
        <v>9</v>
      </c>
      <c r="H151" t="str">
        <f>TEXT(Tabela1[[#This Row],[Coluna2]]*29,"mmmm")</f>
        <v>setembro</v>
      </c>
      <c r="I151" t="str">
        <f>TEXT(MONTH(Tabela1[[#This Row],[Último pagto ano]])*29,"mmmm")</f>
        <v>setembro</v>
      </c>
    </row>
    <row r="152" spans="1:9" x14ac:dyDescent="0.25">
      <c r="A152">
        <v>2025</v>
      </c>
      <c r="B152" t="s">
        <v>302</v>
      </c>
      <c r="C152" s="1">
        <v>45988</v>
      </c>
      <c r="D152" t="s">
        <v>303</v>
      </c>
      <c r="E152">
        <v>151.19999999999999</v>
      </c>
      <c r="G152" s="3">
        <f>MONTH(Tabela1[[#This Row],[Último pagto ano]])</f>
        <v>11</v>
      </c>
      <c r="H152" t="str">
        <f>TEXT(Tabela1[[#This Row],[Coluna2]]*29,"mmmm")</f>
        <v>novembro</v>
      </c>
      <c r="I152" t="str">
        <f>TEXT(MONTH(Tabela1[[#This Row],[Último pagto ano]])*29,"mmmm")</f>
        <v>novembro</v>
      </c>
    </row>
    <row r="153" spans="1:9" x14ac:dyDescent="0.25">
      <c r="A153">
        <v>2025</v>
      </c>
      <c r="B153" t="s">
        <v>304</v>
      </c>
      <c r="C153" s="1">
        <v>46006</v>
      </c>
      <c r="D153" t="s">
        <v>305</v>
      </c>
      <c r="E153" s="2">
        <v>285528.11</v>
      </c>
      <c r="G153" s="3">
        <f>MONTH(Tabela1[[#This Row],[Último pagto ano]])</f>
        <v>12</v>
      </c>
      <c r="H153" t="str">
        <f>TEXT(Tabela1[[#This Row],[Coluna2]]*29,"mmmm")</f>
        <v>dezembro</v>
      </c>
      <c r="I153" t="str">
        <f>TEXT(MONTH(Tabela1[[#This Row],[Último pagto ano]])*29,"mmmm")</f>
        <v>dezembro</v>
      </c>
    </row>
    <row r="154" spans="1:9" x14ac:dyDescent="0.25">
      <c r="A154">
        <v>2025</v>
      </c>
      <c r="B154" t="s">
        <v>306</v>
      </c>
      <c r="C154" s="1">
        <v>46014</v>
      </c>
      <c r="D154" t="s">
        <v>307</v>
      </c>
      <c r="E154" s="2">
        <v>17507.72</v>
      </c>
      <c r="G154" s="3">
        <f>MONTH(Tabela1[[#This Row],[Último pagto ano]])</f>
        <v>12</v>
      </c>
      <c r="H154" t="str">
        <f>TEXT(Tabela1[[#This Row],[Coluna2]]*29,"mmmm")</f>
        <v>dezembro</v>
      </c>
      <c r="I154" t="str">
        <f>TEXT(MONTH(Tabela1[[#This Row],[Último pagto ano]])*29,"mmmm")</f>
        <v>dezembro</v>
      </c>
    </row>
    <row r="155" spans="1:9" x14ac:dyDescent="0.25">
      <c r="A155">
        <v>2025</v>
      </c>
      <c r="B155" t="s">
        <v>308</v>
      </c>
      <c r="C155" s="1">
        <v>45845</v>
      </c>
      <c r="D155" t="s">
        <v>309</v>
      </c>
      <c r="E155" s="2">
        <v>57780</v>
      </c>
      <c r="G155" s="3">
        <f>MONTH(Tabela1[[#This Row],[Último pagto ano]])</f>
        <v>7</v>
      </c>
      <c r="H155" t="str">
        <f>TEXT(Tabela1[[#This Row],[Coluna2]]*29,"mmmm")</f>
        <v>julho</v>
      </c>
      <c r="I155" t="str">
        <f>TEXT(MONTH(Tabela1[[#This Row],[Último pagto ano]])*29,"mmmm")</f>
        <v>julho</v>
      </c>
    </row>
    <row r="156" spans="1:9" x14ac:dyDescent="0.25">
      <c r="A156">
        <v>2025</v>
      </c>
      <c r="B156" t="s">
        <v>310</v>
      </c>
      <c r="C156" s="1">
        <v>45873</v>
      </c>
      <c r="D156" t="s">
        <v>311</v>
      </c>
      <c r="E156">
        <v>88</v>
      </c>
      <c r="G156" s="3">
        <f>MONTH(Tabela1[[#This Row],[Último pagto ano]])</f>
        <v>8</v>
      </c>
      <c r="H156" t="str">
        <f>TEXT(Tabela1[[#This Row],[Coluna2]]*29,"mmmm")</f>
        <v>agosto</v>
      </c>
      <c r="I156" t="str">
        <f>TEXT(MONTH(Tabela1[[#This Row],[Último pagto ano]])*29,"mmmm")</f>
        <v>agosto</v>
      </c>
    </row>
    <row r="157" spans="1:9" x14ac:dyDescent="0.25">
      <c r="A157">
        <v>2025</v>
      </c>
      <c r="B157" t="s">
        <v>312</v>
      </c>
      <c r="C157" s="1">
        <v>45810</v>
      </c>
      <c r="D157" t="s">
        <v>313</v>
      </c>
      <c r="E157">
        <v>302.43</v>
      </c>
      <c r="G157" s="3">
        <f>MONTH(Tabela1[[#This Row],[Último pagto ano]])</f>
        <v>6</v>
      </c>
      <c r="H157" t="str">
        <f>TEXT(Tabela1[[#This Row],[Coluna2]]*29,"mmmm")</f>
        <v>junho</v>
      </c>
      <c r="I157" t="str">
        <f>TEXT(MONTH(Tabela1[[#This Row],[Último pagto ano]])*29,"mmmm")</f>
        <v>junho</v>
      </c>
    </row>
    <row r="158" spans="1:9" x14ac:dyDescent="0.25">
      <c r="A158">
        <v>2025</v>
      </c>
      <c r="B158" t="s">
        <v>314</v>
      </c>
      <c r="C158" s="1">
        <v>45944</v>
      </c>
      <c r="D158" t="s">
        <v>315</v>
      </c>
      <c r="E158" s="2">
        <v>11900</v>
      </c>
      <c r="G158" s="3">
        <f>MONTH(Tabela1[[#This Row],[Último pagto ano]])</f>
        <v>10</v>
      </c>
      <c r="H158" t="str">
        <f>TEXT(Tabela1[[#This Row],[Coluna2]]*29,"mmmm")</f>
        <v>outubro</v>
      </c>
      <c r="I158" t="str">
        <f>TEXT(MONTH(Tabela1[[#This Row],[Último pagto ano]])*29,"mmmm")</f>
        <v>outubro</v>
      </c>
    </row>
    <row r="159" spans="1:9" x14ac:dyDescent="0.25">
      <c r="A159">
        <v>2025</v>
      </c>
      <c r="B159" t="s">
        <v>316</v>
      </c>
      <c r="C159" s="1">
        <v>45996</v>
      </c>
      <c r="D159" t="s">
        <v>317</v>
      </c>
      <c r="E159" s="2">
        <v>18600</v>
      </c>
      <c r="G159" s="3">
        <f>MONTH(Tabela1[[#This Row],[Último pagto ano]])</f>
        <v>12</v>
      </c>
      <c r="H159" t="str">
        <f>TEXT(Tabela1[[#This Row],[Coluna2]]*29,"mmmm")</f>
        <v>dezembro</v>
      </c>
      <c r="I159" t="str">
        <f>TEXT(MONTH(Tabela1[[#This Row],[Último pagto ano]])*29,"mmmm")</f>
        <v>dezembro</v>
      </c>
    </row>
    <row r="160" spans="1:9" x14ac:dyDescent="0.25">
      <c r="A160">
        <v>2025</v>
      </c>
      <c r="B160" t="s">
        <v>318</v>
      </c>
      <c r="C160" s="1">
        <v>46010</v>
      </c>
      <c r="D160" t="s">
        <v>319</v>
      </c>
      <c r="E160" s="2">
        <v>5600</v>
      </c>
      <c r="G160" s="3">
        <f>MONTH(Tabela1[[#This Row],[Último pagto ano]])</f>
        <v>12</v>
      </c>
      <c r="H160" t="str">
        <f>TEXT(Tabela1[[#This Row],[Coluna2]]*29,"mmmm")</f>
        <v>dezembro</v>
      </c>
      <c r="I160" t="str">
        <f>TEXT(MONTH(Tabela1[[#This Row],[Último pagto ano]])*29,"mmmm")</f>
        <v>dezembro</v>
      </c>
    </row>
    <row r="161" spans="1:9" x14ac:dyDescent="0.25">
      <c r="A161">
        <v>2025</v>
      </c>
      <c r="B161" t="s">
        <v>320</v>
      </c>
      <c r="C161" s="1">
        <v>45989</v>
      </c>
      <c r="D161" t="s">
        <v>321</v>
      </c>
      <c r="E161" s="2">
        <v>8090.68</v>
      </c>
      <c r="G161" s="3">
        <f>MONTH(Tabela1[[#This Row],[Último pagto ano]])</f>
        <v>11</v>
      </c>
      <c r="H161" t="str">
        <f>TEXT(Tabela1[[#This Row],[Coluna2]]*29,"mmmm")</f>
        <v>novembro</v>
      </c>
      <c r="I161" t="str">
        <f>TEXT(MONTH(Tabela1[[#This Row],[Último pagto ano]])*29,"mmmm")</f>
        <v>novembro</v>
      </c>
    </row>
    <row r="162" spans="1:9" x14ac:dyDescent="0.25">
      <c r="A162">
        <v>2025</v>
      </c>
      <c r="B162" t="s">
        <v>322</v>
      </c>
      <c r="C162" s="1">
        <v>45722</v>
      </c>
      <c r="D162" t="s">
        <v>323</v>
      </c>
      <c r="E162" s="2">
        <v>2542.46</v>
      </c>
      <c r="G162" s="3">
        <f>MONTH(Tabela1[[#This Row],[Último pagto ano]])</f>
        <v>3</v>
      </c>
      <c r="H162" t="str">
        <f>TEXT(Tabela1[[#This Row],[Coluna2]]*29,"mmmm")</f>
        <v>março</v>
      </c>
      <c r="I162" t="str">
        <f>TEXT(MONTH(Tabela1[[#This Row],[Último pagto ano]])*29,"mmmm")</f>
        <v>março</v>
      </c>
    </row>
    <row r="163" spans="1:9" x14ac:dyDescent="0.25">
      <c r="A163">
        <v>2025</v>
      </c>
      <c r="B163" t="s">
        <v>324</v>
      </c>
      <c r="C163" s="1">
        <v>45869</v>
      </c>
      <c r="D163" t="s">
        <v>325</v>
      </c>
      <c r="E163">
        <v>149.4</v>
      </c>
      <c r="G163" s="3">
        <f>MONTH(Tabela1[[#This Row],[Último pagto ano]])</f>
        <v>7</v>
      </c>
      <c r="H163" t="str">
        <f>TEXT(Tabela1[[#This Row],[Coluna2]]*29,"mmmm")</f>
        <v>julho</v>
      </c>
      <c r="I163" t="str">
        <f>TEXT(MONTH(Tabela1[[#This Row],[Último pagto ano]])*29,"mmmm")</f>
        <v>julho</v>
      </c>
    </row>
    <row r="164" spans="1:9" x14ac:dyDescent="0.25">
      <c r="A164">
        <v>2025</v>
      </c>
      <c r="B164" t="s">
        <v>326</v>
      </c>
      <c r="C164" s="1">
        <v>45910</v>
      </c>
      <c r="D164" t="s">
        <v>327</v>
      </c>
      <c r="E164">
        <v>250</v>
      </c>
      <c r="G164" s="3">
        <f>MONTH(Tabela1[[#This Row],[Último pagto ano]])</f>
        <v>9</v>
      </c>
      <c r="H164" t="str">
        <f>TEXT(Tabela1[[#This Row],[Coluna2]]*29,"mmmm")</f>
        <v>setembro</v>
      </c>
      <c r="I164" t="str">
        <f>TEXT(MONTH(Tabela1[[#This Row],[Último pagto ano]])*29,"mmmm")</f>
        <v>setembro</v>
      </c>
    </row>
    <row r="165" spans="1:9" x14ac:dyDescent="0.25">
      <c r="A165">
        <v>2025</v>
      </c>
      <c r="B165" t="s">
        <v>328</v>
      </c>
      <c r="C165" s="1">
        <v>45824</v>
      </c>
      <c r="D165" t="s">
        <v>329</v>
      </c>
      <c r="E165" s="2">
        <v>1834.24</v>
      </c>
      <c r="G165" s="3">
        <f>MONTH(Tabela1[[#This Row],[Último pagto ano]])</f>
        <v>6</v>
      </c>
      <c r="H165" t="str">
        <f>TEXT(Tabela1[[#This Row],[Coluna2]]*29,"mmmm")</f>
        <v>junho</v>
      </c>
      <c r="I165" t="str">
        <f>TEXT(MONTH(Tabela1[[#This Row],[Último pagto ano]])*29,"mmmm")</f>
        <v>junho</v>
      </c>
    </row>
    <row r="166" spans="1:9" x14ac:dyDescent="0.25">
      <c r="A166">
        <v>2025</v>
      </c>
      <c r="B166" t="s">
        <v>330</v>
      </c>
      <c r="C166" s="1">
        <v>45712</v>
      </c>
      <c r="D166" t="s">
        <v>331</v>
      </c>
      <c r="E166" s="2">
        <v>1400</v>
      </c>
      <c r="G166" s="3">
        <f>MONTH(Tabela1[[#This Row],[Último pagto ano]])</f>
        <v>2</v>
      </c>
      <c r="H166" t="str">
        <f>TEXT(Tabela1[[#This Row],[Coluna2]]*29,"mmmm")</f>
        <v>fevereiro</v>
      </c>
      <c r="I166" t="str">
        <f>TEXT(MONTH(Tabela1[[#This Row],[Último pagto ano]])*29,"mmmm")</f>
        <v>fevereiro</v>
      </c>
    </row>
    <row r="167" spans="1:9" x14ac:dyDescent="0.25">
      <c r="A167">
        <v>2025</v>
      </c>
      <c r="B167" t="s">
        <v>332</v>
      </c>
      <c r="C167" s="1">
        <v>46013</v>
      </c>
      <c r="D167" t="s">
        <v>333</v>
      </c>
      <c r="E167" s="2">
        <v>1880</v>
      </c>
      <c r="G167" s="3">
        <f>MONTH(Tabela1[[#This Row],[Último pagto ano]])</f>
        <v>12</v>
      </c>
      <c r="H167" t="str">
        <f>TEXT(Tabela1[[#This Row],[Coluna2]]*29,"mmmm")</f>
        <v>dezembro</v>
      </c>
      <c r="I167" t="str">
        <f>TEXT(MONTH(Tabela1[[#This Row],[Último pagto ano]])*29,"mmmm")</f>
        <v>dezembro</v>
      </c>
    </row>
    <row r="168" spans="1:9" x14ac:dyDescent="0.25">
      <c r="A168">
        <v>2025</v>
      </c>
      <c r="B168" t="s">
        <v>334</v>
      </c>
      <c r="C168" s="1">
        <v>46013</v>
      </c>
      <c r="D168" t="s">
        <v>335</v>
      </c>
      <c r="E168" s="2">
        <v>4496.3999999999996</v>
      </c>
      <c r="G168" s="3">
        <f>MONTH(Tabela1[[#This Row],[Último pagto ano]])</f>
        <v>12</v>
      </c>
      <c r="H168" t="str">
        <f>TEXT(Tabela1[[#This Row],[Coluna2]]*29,"mmmm")</f>
        <v>dezembro</v>
      </c>
      <c r="I168" t="str">
        <f>TEXT(MONTH(Tabela1[[#This Row],[Último pagto ano]])*29,"mmmm")</f>
        <v>dezembro</v>
      </c>
    </row>
    <row r="169" spans="1:9" x14ac:dyDescent="0.25">
      <c r="A169">
        <v>2025</v>
      </c>
      <c r="B169" t="s">
        <v>336</v>
      </c>
      <c r="C169" s="1">
        <v>45712</v>
      </c>
      <c r="D169" t="s">
        <v>337</v>
      </c>
      <c r="E169" s="2">
        <v>1400</v>
      </c>
      <c r="G169" s="3">
        <f>MONTH(Tabela1[[#This Row],[Último pagto ano]])</f>
        <v>2</v>
      </c>
      <c r="H169" t="str">
        <f>TEXT(Tabela1[[#This Row],[Coluna2]]*29,"mmmm")</f>
        <v>fevereiro</v>
      </c>
      <c r="I169" t="str">
        <f>TEXT(MONTH(Tabela1[[#This Row],[Último pagto ano]])*29,"mmmm")</f>
        <v>fevereiro</v>
      </c>
    </row>
    <row r="170" spans="1:9" x14ac:dyDescent="0.25">
      <c r="A170">
        <v>2025</v>
      </c>
      <c r="B170" t="s">
        <v>338</v>
      </c>
      <c r="C170" s="1">
        <v>45740</v>
      </c>
      <c r="D170" t="s">
        <v>339</v>
      </c>
      <c r="E170">
        <v>516.6</v>
      </c>
      <c r="G170" s="3">
        <f>MONTH(Tabela1[[#This Row],[Último pagto ano]])</f>
        <v>3</v>
      </c>
      <c r="H170" t="str">
        <f>TEXT(Tabela1[[#This Row],[Coluna2]]*29,"mmmm")</f>
        <v>março</v>
      </c>
      <c r="I170" t="str">
        <f>TEXT(MONTH(Tabela1[[#This Row],[Último pagto ano]])*29,"mmmm")</f>
        <v>março</v>
      </c>
    </row>
    <row r="171" spans="1:9" x14ac:dyDescent="0.25">
      <c r="A171">
        <v>2025</v>
      </c>
      <c r="B171" t="s">
        <v>340</v>
      </c>
      <c r="C171" s="1">
        <v>45975</v>
      </c>
      <c r="D171" t="s">
        <v>341</v>
      </c>
      <c r="E171" s="2">
        <v>2665.44</v>
      </c>
      <c r="G171" s="3">
        <f>MONTH(Tabela1[[#This Row],[Último pagto ano]])</f>
        <v>11</v>
      </c>
      <c r="H171" t="str">
        <f>TEXT(Tabela1[[#This Row],[Coluna2]]*29,"mmmm")</f>
        <v>novembro</v>
      </c>
      <c r="I171" t="str">
        <f>TEXT(MONTH(Tabela1[[#This Row],[Último pagto ano]])*29,"mmmm")</f>
        <v>novembro</v>
      </c>
    </row>
    <row r="172" spans="1:9" x14ac:dyDescent="0.25">
      <c r="A172">
        <v>2025</v>
      </c>
      <c r="B172" t="s">
        <v>342</v>
      </c>
      <c r="C172" s="1">
        <v>46006</v>
      </c>
      <c r="D172" t="s">
        <v>343</v>
      </c>
      <c r="E172" s="2">
        <v>8400</v>
      </c>
      <c r="G172" s="3">
        <f>MONTH(Tabela1[[#This Row],[Último pagto ano]])</f>
        <v>12</v>
      </c>
      <c r="H172" t="str">
        <f>TEXT(Tabela1[[#This Row],[Coluna2]]*29,"mmmm")</f>
        <v>dezembro</v>
      </c>
      <c r="I172" t="str">
        <f>TEXT(MONTH(Tabela1[[#This Row],[Último pagto ano]])*29,"mmmm")</f>
        <v>dezembro</v>
      </c>
    </row>
    <row r="173" spans="1:9" x14ac:dyDescent="0.25">
      <c r="A173">
        <v>2025</v>
      </c>
      <c r="B173" t="s">
        <v>344</v>
      </c>
      <c r="C173" s="1">
        <v>46021</v>
      </c>
      <c r="D173" t="s">
        <v>345</v>
      </c>
      <c r="E173" s="2">
        <v>4619.7700000000004</v>
      </c>
      <c r="G173" s="3">
        <f>MONTH(Tabela1[[#This Row],[Último pagto ano]])</f>
        <v>12</v>
      </c>
      <c r="H173" t="str">
        <f>TEXT(Tabela1[[#This Row],[Coluna2]]*29,"mmmm")</f>
        <v>dezembro</v>
      </c>
      <c r="I173" t="str">
        <f>TEXT(MONTH(Tabela1[[#This Row],[Último pagto ano]])*29,"mmmm")</f>
        <v>dezembro</v>
      </c>
    </row>
    <row r="174" spans="1:9" x14ac:dyDescent="0.25">
      <c r="A174">
        <v>2025</v>
      </c>
      <c r="B174" t="s">
        <v>346</v>
      </c>
      <c r="C174" s="1">
        <v>45996</v>
      </c>
      <c r="D174" t="s">
        <v>347</v>
      </c>
      <c r="E174" s="2">
        <v>2200</v>
      </c>
      <c r="G174" s="3">
        <f>MONTH(Tabela1[[#This Row],[Último pagto ano]])</f>
        <v>12</v>
      </c>
      <c r="H174" t="str">
        <f>TEXT(Tabela1[[#This Row],[Coluna2]]*29,"mmmm")</f>
        <v>dezembro</v>
      </c>
      <c r="I174" t="str">
        <f>TEXT(MONTH(Tabela1[[#This Row],[Último pagto ano]])*29,"mmmm")</f>
        <v>dezembro</v>
      </c>
    </row>
    <row r="175" spans="1:9" x14ac:dyDescent="0.25">
      <c r="A175">
        <v>2025</v>
      </c>
      <c r="B175" t="s">
        <v>348</v>
      </c>
      <c r="C175" s="1">
        <v>45950</v>
      </c>
      <c r="D175" t="s">
        <v>349</v>
      </c>
      <c r="E175">
        <v>154</v>
      </c>
      <c r="G175" s="3">
        <f>MONTH(Tabela1[[#This Row],[Último pagto ano]])</f>
        <v>10</v>
      </c>
      <c r="H175" t="str">
        <f>TEXT(Tabela1[[#This Row],[Coluna2]]*29,"mmmm")</f>
        <v>outubro</v>
      </c>
      <c r="I175" t="str">
        <f>TEXT(MONTH(Tabela1[[#This Row],[Último pagto ano]])*29,"mmmm")</f>
        <v>outubro</v>
      </c>
    </row>
    <row r="176" spans="1:9" x14ac:dyDescent="0.25">
      <c r="A176">
        <v>2025</v>
      </c>
      <c r="B176" t="s">
        <v>350</v>
      </c>
      <c r="C176" s="1">
        <v>46014</v>
      </c>
      <c r="D176" t="s">
        <v>351</v>
      </c>
      <c r="E176" s="2">
        <v>47842.84</v>
      </c>
      <c r="G176" s="3">
        <f>MONTH(Tabela1[[#This Row],[Último pagto ano]])</f>
        <v>12</v>
      </c>
      <c r="H176" t="str">
        <f>TEXT(Tabela1[[#This Row],[Coluna2]]*29,"mmmm")</f>
        <v>dezembro</v>
      </c>
      <c r="I176" t="str">
        <f>TEXT(MONTH(Tabela1[[#This Row],[Último pagto ano]])*29,"mmmm")</f>
        <v>dezembro</v>
      </c>
    </row>
    <row r="177" spans="1:9" x14ac:dyDescent="0.25">
      <c r="A177">
        <v>2025</v>
      </c>
      <c r="B177" t="s">
        <v>352</v>
      </c>
      <c r="C177" s="1">
        <v>45996</v>
      </c>
      <c r="D177" t="s">
        <v>353</v>
      </c>
      <c r="E177" s="2">
        <v>88655.6</v>
      </c>
      <c r="G177" s="3">
        <f>MONTH(Tabela1[[#This Row],[Último pagto ano]])</f>
        <v>12</v>
      </c>
      <c r="H177" t="str">
        <f>TEXT(Tabela1[[#This Row],[Coluna2]]*29,"mmmm")</f>
        <v>dezembro</v>
      </c>
      <c r="I177" t="str">
        <f>TEXT(MONTH(Tabela1[[#This Row],[Último pagto ano]])*29,"mmmm")</f>
        <v>dezembro</v>
      </c>
    </row>
    <row r="178" spans="1:9" x14ac:dyDescent="0.25">
      <c r="A178">
        <v>2025</v>
      </c>
      <c r="B178" t="s">
        <v>354</v>
      </c>
      <c r="C178" s="1">
        <v>45988</v>
      </c>
      <c r="D178" t="s">
        <v>355</v>
      </c>
      <c r="E178">
        <v>518.70000000000005</v>
      </c>
      <c r="G178" s="3">
        <f>MONTH(Tabela1[[#This Row],[Último pagto ano]])</f>
        <v>11</v>
      </c>
      <c r="H178" t="str">
        <f>TEXT(Tabela1[[#This Row],[Coluna2]]*29,"mmmm")</f>
        <v>novembro</v>
      </c>
      <c r="I178" t="str">
        <f>TEXT(MONTH(Tabela1[[#This Row],[Último pagto ano]])*29,"mmmm")</f>
        <v>novembro</v>
      </c>
    </row>
    <row r="179" spans="1:9" x14ac:dyDescent="0.25">
      <c r="A179">
        <v>2025</v>
      </c>
      <c r="B179" t="s">
        <v>356</v>
      </c>
      <c r="C179" s="1">
        <v>46021</v>
      </c>
      <c r="D179" t="s">
        <v>357</v>
      </c>
      <c r="E179" s="2">
        <v>12602.42</v>
      </c>
      <c r="G179" s="3">
        <f>MONTH(Tabela1[[#This Row],[Último pagto ano]])</f>
        <v>12</v>
      </c>
      <c r="H179" t="str">
        <f>TEXT(Tabela1[[#This Row],[Coluna2]]*29,"mmmm")</f>
        <v>dezembro</v>
      </c>
      <c r="I179" t="str">
        <f>TEXT(MONTH(Tabela1[[#This Row],[Último pagto ano]])*29,"mmmm")</f>
        <v>dezembro</v>
      </c>
    </row>
    <row r="180" spans="1:9" x14ac:dyDescent="0.25">
      <c r="A180">
        <v>2025</v>
      </c>
      <c r="B180" t="s">
        <v>358</v>
      </c>
      <c r="C180" s="1">
        <v>46006</v>
      </c>
      <c r="D180" t="s">
        <v>359</v>
      </c>
      <c r="E180" s="2">
        <v>12459.78</v>
      </c>
      <c r="G180" s="3">
        <f>MONTH(Tabela1[[#This Row],[Último pagto ano]])</f>
        <v>12</v>
      </c>
      <c r="H180" t="str">
        <f>TEXT(Tabela1[[#This Row],[Coluna2]]*29,"mmmm")</f>
        <v>dezembro</v>
      </c>
      <c r="I180" t="str">
        <f>TEXT(MONTH(Tabela1[[#This Row],[Último pagto ano]])*29,"mmmm")</f>
        <v>dezembro</v>
      </c>
    </row>
    <row r="181" spans="1:9" x14ac:dyDescent="0.25">
      <c r="A181">
        <v>2025</v>
      </c>
      <c r="B181" t="s">
        <v>360</v>
      </c>
      <c r="C181" s="1">
        <v>45959</v>
      </c>
      <c r="D181" t="s">
        <v>361</v>
      </c>
      <c r="E181" s="2">
        <v>4200</v>
      </c>
      <c r="G181" s="3">
        <f>MONTH(Tabela1[[#This Row],[Último pagto ano]])</f>
        <v>10</v>
      </c>
      <c r="H181" t="str">
        <f>TEXT(Tabela1[[#This Row],[Coluna2]]*29,"mmmm")</f>
        <v>outubro</v>
      </c>
      <c r="I181" t="str">
        <f>TEXT(MONTH(Tabela1[[#This Row],[Último pagto ano]])*29,"mmmm")</f>
        <v>outubro</v>
      </c>
    </row>
    <row r="182" spans="1:9" x14ac:dyDescent="0.25">
      <c r="A182">
        <v>2025</v>
      </c>
      <c r="B182" t="s">
        <v>362</v>
      </c>
      <c r="C182" s="1">
        <v>45674</v>
      </c>
      <c r="D182" t="s">
        <v>363</v>
      </c>
      <c r="E182" s="2">
        <v>6585.12</v>
      </c>
      <c r="G182" s="3">
        <f>MONTH(Tabela1[[#This Row],[Último pagto ano]])</f>
        <v>1</v>
      </c>
      <c r="H182" t="str">
        <f>TEXT(Tabela1[[#This Row],[Coluna2]]*29,"mmmm")</f>
        <v>janeiro</v>
      </c>
      <c r="I182" t="str">
        <f>TEXT(MONTH(Tabela1[[#This Row],[Último pagto ano]])*29,"mmmm")</f>
        <v>janeiro</v>
      </c>
    </row>
    <row r="183" spans="1:9" x14ac:dyDescent="0.25">
      <c r="A183">
        <v>2025</v>
      </c>
      <c r="B183" t="s">
        <v>364</v>
      </c>
      <c r="C183" s="1">
        <v>46007</v>
      </c>
      <c r="D183" t="s">
        <v>365</v>
      </c>
      <c r="E183">
        <v>12.94</v>
      </c>
      <c r="G183" s="3">
        <f>MONTH(Tabela1[[#This Row],[Último pagto ano]])</f>
        <v>12</v>
      </c>
      <c r="H183" t="str">
        <f>TEXT(Tabela1[[#This Row],[Coluna2]]*29,"mmmm")</f>
        <v>dezembro</v>
      </c>
      <c r="I183" t="str">
        <f>TEXT(MONTH(Tabela1[[#This Row],[Último pagto ano]])*29,"mmmm")</f>
        <v>dezembro</v>
      </c>
    </row>
    <row r="184" spans="1:9" x14ac:dyDescent="0.25">
      <c r="A184">
        <v>2025</v>
      </c>
      <c r="B184" t="s">
        <v>366</v>
      </c>
      <c r="C184" s="1">
        <v>46010</v>
      </c>
      <c r="D184" t="s">
        <v>367</v>
      </c>
      <c r="E184" s="2">
        <v>24000</v>
      </c>
      <c r="G184" s="3">
        <f>MONTH(Tabela1[[#This Row],[Último pagto ano]])</f>
        <v>12</v>
      </c>
      <c r="H184" t="str">
        <f>TEXT(Tabela1[[#This Row],[Coluna2]]*29,"mmmm")</f>
        <v>dezembro</v>
      </c>
      <c r="I184" t="str">
        <f>TEXT(MONTH(Tabela1[[#This Row],[Último pagto ano]])*29,"mmmm")</f>
        <v>dezembro</v>
      </c>
    </row>
    <row r="185" spans="1:9" x14ac:dyDescent="0.25">
      <c r="A185">
        <v>2025</v>
      </c>
      <c r="B185" t="s">
        <v>368</v>
      </c>
      <c r="C185" s="1">
        <v>46006</v>
      </c>
      <c r="D185" t="s">
        <v>369</v>
      </c>
      <c r="E185" s="2">
        <v>19022.64</v>
      </c>
      <c r="G185" s="3">
        <f>MONTH(Tabela1[[#This Row],[Último pagto ano]])</f>
        <v>12</v>
      </c>
      <c r="H185" t="str">
        <f>TEXT(Tabela1[[#This Row],[Coluna2]]*29,"mmmm")</f>
        <v>dezembro</v>
      </c>
      <c r="I185" t="str">
        <f>TEXT(MONTH(Tabela1[[#This Row],[Último pagto ano]])*29,"mmmm")</f>
        <v>dezembro</v>
      </c>
    </row>
    <row r="186" spans="1:9" x14ac:dyDescent="0.25">
      <c r="A186">
        <v>2025</v>
      </c>
      <c r="B186" t="s">
        <v>370</v>
      </c>
      <c r="C186" s="1">
        <v>45989</v>
      </c>
      <c r="D186" t="s">
        <v>371</v>
      </c>
      <c r="E186" s="2">
        <v>2713.9</v>
      </c>
      <c r="G186" s="3">
        <f>MONTH(Tabela1[[#This Row],[Último pagto ano]])</f>
        <v>11</v>
      </c>
      <c r="H186" t="str">
        <f>TEXT(Tabela1[[#This Row],[Coluna2]]*29,"mmmm")</f>
        <v>novembro</v>
      </c>
      <c r="I186" t="str">
        <f>TEXT(MONTH(Tabela1[[#This Row],[Último pagto ano]])*29,"mmmm")</f>
        <v>novembro</v>
      </c>
    </row>
    <row r="187" spans="1:9" x14ac:dyDescent="0.25">
      <c r="A187">
        <v>2025</v>
      </c>
      <c r="B187" t="s">
        <v>372</v>
      </c>
      <c r="C187" s="1">
        <v>45971</v>
      </c>
      <c r="D187" t="s">
        <v>373</v>
      </c>
      <c r="E187" s="2">
        <v>1350</v>
      </c>
      <c r="G187" s="3">
        <f>MONTH(Tabela1[[#This Row],[Último pagto ano]])</f>
        <v>11</v>
      </c>
      <c r="H187" t="str">
        <f>TEXT(Tabela1[[#This Row],[Coluna2]]*29,"mmmm")</f>
        <v>novembro</v>
      </c>
      <c r="I187" t="str">
        <f>TEXT(MONTH(Tabela1[[#This Row],[Último pagto ano]])*29,"mmmm")</f>
        <v>novembro</v>
      </c>
    </row>
    <row r="188" spans="1:9" x14ac:dyDescent="0.25">
      <c r="A188">
        <v>2025</v>
      </c>
      <c r="B188" t="s">
        <v>374</v>
      </c>
      <c r="C188" s="1">
        <v>45887</v>
      </c>
      <c r="D188" t="s">
        <v>375</v>
      </c>
      <c r="E188" s="2">
        <v>16398.63</v>
      </c>
      <c r="G188" s="3">
        <f>MONTH(Tabela1[[#This Row],[Último pagto ano]])</f>
        <v>8</v>
      </c>
      <c r="H188" t="str">
        <f>TEXT(Tabela1[[#This Row],[Coluna2]]*29,"mmmm")</f>
        <v>agosto</v>
      </c>
      <c r="I188" t="str">
        <f>TEXT(MONTH(Tabela1[[#This Row],[Último pagto ano]])*29,"mmmm")</f>
        <v>agosto</v>
      </c>
    </row>
    <row r="189" spans="1:9" x14ac:dyDescent="0.25">
      <c r="A189">
        <v>2025</v>
      </c>
      <c r="B189" t="s">
        <v>376</v>
      </c>
      <c r="C189" s="1">
        <v>45783</v>
      </c>
      <c r="D189" t="s">
        <v>377</v>
      </c>
      <c r="E189" s="2">
        <v>3698.97</v>
      </c>
      <c r="G189" s="3">
        <f>MONTH(Tabela1[[#This Row],[Último pagto ano]])</f>
        <v>5</v>
      </c>
      <c r="H189" t="str">
        <f>TEXT(Tabela1[[#This Row],[Coluna2]]*29,"mmmm")</f>
        <v>maio</v>
      </c>
      <c r="I189" t="str">
        <f>TEXT(MONTH(Tabela1[[#This Row],[Último pagto ano]])*29,"mmmm")</f>
        <v>maio</v>
      </c>
    </row>
    <row r="190" spans="1:9" x14ac:dyDescent="0.25">
      <c r="A190">
        <v>2025</v>
      </c>
      <c r="B190" t="s">
        <v>378</v>
      </c>
      <c r="C190" s="1">
        <v>45985</v>
      </c>
      <c r="D190" t="s">
        <v>379</v>
      </c>
      <c r="E190" s="2">
        <v>155836</v>
      </c>
      <c r="G190" s="3">
        <f>MONTH(Tabela1[[#This Row],[Último pagto ano]])</f>
        <v>11</v>
      </c>
      <c r="H190" t="str">
        <f>TEXT(Tabela1[[#This Row],[Coluna2]]*29,"mmmm")</f>
        <v>novembro</v>
      </c>
      <c r="I190" t="str">
        <f>TEXT(MONTH(Tabela1[[#This Row],[Último pagto ano]])*29,"mmmm")</f>
        <v>novembro</v>
      </c>
    </row>
    <row r="191" spans="1:9" x14ac:dyDescent="0.25">
      <c r="A191">
        <v>2025</v>
      </c>
      <c r="B191" t="s">
        <v>380</v>
      </c>
      <c r="C191" s="1">
        <v>45968</v>
      </c>
      <c r="D191" t="s">
        <v>381</v>
      </c>
      <c r="E191" s="2">
        <v>4000</v>
      </c>
      <c r="G191" s="3">
        <f>MONTH(Tabela1[[#This Row],[Último pagto ano]])</f>
        <v>11</v>
      </c>
      <c r="H191" t="str">
        <f>TEXT(Tabela1[[#This Row],[Coluna2]]*29,"mmmm")</f>
        <v>novembro</v>
      </c>
      <c r="I191" t="str">
        <f>TEXT(MONTH(Tabela1[[#This Row],[Último pagto ano]])*29,"mmmm")</f>
        <v>novembro</v>
      </c>
    </row>
    <row r="192" spans="1:9" x14ac:dyDescent="0.25">
      <c r="A192">
        <v>2025</v>
      </c>
      <c r="B192" t="s">
        <v>382</v>
      </c>
      <c r="C192" s="1">
        <v>45975</v>
      </c>
      <c r="D192" t="s">
        <v>383</v>
      </c>
      <c r="E192" s="2">
        <v>4425.3599999999997</v>
      </c>
      <c r="G192" s="3">
        <f>MONTH(Tabela1[[#This Row],[Último pagto ano]])</f>
        <v>11</v>
      </c>
      <c r="H192" t="str">
        <f>TEXT(Tabela1[[#This Row],[Coluna2]]*29,"mmmm")</f>
        <v>novembro</v>
      </c>
      <c r="I192" t="str">
        <f>TEXT(MONTH(Tabela1[[#This Row],[Último pagto ano]])*29,"mmmm")</f>
        <v>novembro</v>
      </c>
    </row>
    <row r="193" spans="1:9" x14ac:dyDescent="0.25">
      <c r="A193">
        <v>2025</v>
      </c>
      <c r="B193" t="s">
        <v>384</v>
      </c>
      <c r="C193" s="1">
        <v>45832</v>
      </c>
      <c r="D193" t="s">
        <v>385</v>
      </c>
      <c r="E193" s="2">
        <v>4200</v>
      </c>
      <c r="G193" s="3">
        <f>MONTH(Tabela1[[#This Row],[Último pagto ano]])</f>
        <v>6</v>
      </c>
      <c r="H193" t="str">
        <f>TEXT(Tabela1[[#This Row],[Coluna2]]*29,"mmmm")</f>
        <v>junho</v>
      </c>
      <c r="I193" t="str">
        <f>TEXT(MONTH(Tabela1[[#This Row],[Último pagto ano]])*29,"mmmm")</f>
        <v>junho</v>
      </c>
    </row>
    <row r="194" spans="1:9" x14ac:dyDescent="0.25">
      <c r="A194">
        <v>2025</v>
      </c>
      <c r="B194" t="s">
        <v>386</v>
      </c>
      <c r="C194" s="1">
        <v>45861</v>
      </c>
      <c r="D194" t="s">
        <v>387</v>
      </c>
      <c r="E194" s="2">
        <v>5972</v>
      </c>
      <c r="G194" s="3">
        <f>MONTH(Tabela1[[#This Row],[Último pagto ano]])</f>
        <v>7</v>
      </c>
      <c r="H194" t="str">
        <f>TEXT(Tabela1[[#This Row],[Coluna2]]*29,"mmmm")</f>
        <v>julho</v>
      </c>
      <c r="I194" t="str">
        <f>TEXT(MONTH(Tabela1[[#This Row],[Último pagto ano]])*29,"mmmm")</f>
        <v>julho</v>
      </c>
    </row>
    <row r="195" spans="1:9" x14ac:dyDescent="0.25">
      <c r="A195">
        <v>2025</v>
      </c>
      <c r="B195" t="s">
        <v>388</v>
      </c>
      <c r="C195" s="1">
        <v>45943</v>
      </c>
      <c r="D195" t="s">
        <v>389</v>
      </c>
      <c r="E195">
        <v>22</v>
      </c>
      <c r="G195" s="3">
        <f>MONTH(Tabela1[[#This Row],[Último pagto ano]])</f>
        <v>10</v>
      </c>
      <c r="H195" t="str">
        <f>TEXT(Tabela1[[#This Row],[Coluna2]]*29,"mmmm")</f>
        <v>outubro</v>
      </c>
      <c r="I195" t="str">
        <f>TEXT(MONTH(Tabela1[[#This Row],[Último pagto ano]])*29,"mmmm")</f>
        <v>outubro</v>
      </c>
    </row>
    <row r="196" spans="1:9" x14ac:dyDescent="0.25">
      <c r="A196">
        <v>2025</v>
      </c>
      <c r="B196" t="s">
        <v>390</v>
      </c>
      <c r="C196" s="1">
        <v>45782</v>
      </c>
      <c r="D196" t="s">
        <v>391</v>
      </c>
      <c r="E196">
        <v>29.4</v>
      </c>
      <c r="G196" s="3">
        <f>MONTH(Tabela1[[#This Row],[Último pagto ano]])</f>
        <v>5</v>
      </c>
      <c r="H196" t="str">
        <f>TEXT(Tabela1[[#This Row],[Coluna2]]*29,"mmmm")</f>
        <v>maio</v>
      </c>
      <c r="I196" t="str">
        <f>TEXT(MONTH(Tabela1[[#This Row],[Último pagto ano]])*29,"mmmm")</f>
        <v>maio</v>
      </c>
    </row>
    <row r="197" spans="1:9" x14ac:dyDescent="0.25">
      <c r="A197">
        <v>2025</v>
      </c>
      <c r="B197" t="s">
        <v>392</v>
      </c>
      <c r="C197" s="1">
        <v>45929</v>
      </c>
      <c r="D197" t="s">
        <v>393</v>
      </c>
      <c r="E197">
        <v>66</v>
      </c>
      <c r="G197" s="3">
        <f>MONTH(Tabela1[[#This Row],[Último pagto ano]])</f>
        <v>9</v>
      </c>
      <c r="H197" t="str">
        <f>TEXT(Tabela1[[#This Row],[Coluna2]]*29,"mmmm")</f>
        <v>setembro</v>
      </c>
      <c r="I197" t="str">
        <f>TEXT(MONTH(Tabela1[[#This Row],[Último pagto ano]])*29,"mmmm")</f>
        <v>setembro</v>
      </c>
    </row>
    <row r="198" spans="1:9" x14ac:dyDescent="0.25">
      <c r="A198">
        <v>2025</v>
      </c>
      <c r="B198" t="s">
        <v>394</v>
      </c>
      <c r="C198" s="1">
        <v>46021</v>
      </c>
      <c r="D198" t="s">
        <v>395</v>
      </c>
      <c r="E198" s="2">
        <v>12714.7</v>
      </c>
      <c r="G198" s="3">
        <f>MONTH(Tabela1[[#This Row],[Último pagto ano]])</f>
        <v>12</v>
      </c>
      <c r="H198" t="str">
        <f>TEXT(Tabela1[[#This Row],[Coluna2]]*29,"mmmm")</f>
        <v>dezembro</v>
      </c>
      <c r="I198" t="str">
        <f>TEXT(MONTH(Tabela1[[#This Row],[Último pagto ano]])*29,"mmmm")</f>
        <v>dezembro</v>
      </c>
    </row>
    <row r="199" spans="1:9" x14ac:dyDescent="0.25">
      <c r="A199">
        <v>2025</v>
      </c>
      <c r="B199" t="s">
        <v>396</v>
      </c>
      <c r="C199" s="1">
        <v>45989</v>
      </c>
      <c r="D199" t="s">
        <v>397</v>
      </c>
      <c r="E199" s="2">
        <v>2937.4</v>
      </c>
      <c r="G199" s="3">
        <f>MONTH(Tabela1[[#This Row],[Último pagto ano]])</f>
        <v>11</v>
      </c>
      <c r="H199" t="str">
        <f>TEXT(Tabela1[[#This Row],[Coluna2]]*29,"mmmm")</f>
        <v>novembro</v>
      </c>
      <c r="I199" t="str">
        <f>TEXT(MONTH(Tabela1[[#This Row],[Último pagto ano]])*29,"mmmm")</f>
        <v>novembro</v>
      </c>
    </row>
    <row r="200" spans="1:9" x14ac:dyDescent="0.25">
      <c r="A200">
        <v>2025</v>
      </c>
      <c r="B200" t="s">
        <v>398</v>
      </c>
      <c r="C200" s="1">
        <v>46010</v>
      </c>
      <c r="D200" t="s">
        <v>399</v>
      </c>
      <c r="E200" s="2">
        <v>12000</v>
      </c>
      <c r="G200" s="3">
        <f>MONTH(Tabela1[[#This Row],[Último pagto ano]])</f>
        <v>12</v>
      </c>
      <c r="H200" t="str">
        <f>TEXT(Tabela1[[#This Row],[Coluna2]]*29,"mmmm")</f>
        <v>dezembro</v>
      </c>
      <c r="I200" t="str">
        <f>TEXT(MONTH(Tabela1[[#This Row],[Último pagto ano]])*29,"mmmm")</f>
        <v>dezembro</v>
      </c>
    </row>
    <row r="201" spans="1:9" x14ac:dyDescent="0.25">
      <c r="A201">
        <v>2025</v>
      </c>
      <c r="B201" t="s">
        <v>400</v>
      </c>
      <c r="C201" s="1">
        <v>45910</v>
      </c>
      <c r="D201" t="s">
        <v>401</v>
      </c>
      <c r="E201" s="2">
        <v>1579.95</v>
      </c>
      <c r="G201" s="3">
        <f>MONTH(Tabela1[[#This Row],[Último pagto ano]])</f>
        <v>9</v>
      </c>
      <c r="H201" t="str">
        <f>TEXT(Tabela1[[#This Row],[Coluna2]]*29,"mmmm")</f>
        <v>setembro</v>
      </c>
      <c r="I201" t="str">
        <f>TEXT(MONTH(Tabela1[[#This Row],[Último pagto ano]])*29,"mmmm")</f>
        <v>setembro</v>
      </c>
    </row>
    <row r="202" spans="1:9" x14ac:dyDescent="0.25">
      <c r="A202">
        <v>2025</v>
      </c>
      <c r="B202" t="s">
        <v>402</v>
      </c>
      <c r="C202" s="1">
        <v>45673</v>
      </c>
      <c r="D202" t="s">
        <v>403</v>
      </c>
      <c r="E202" s="2">
        <v>1200</v>
      </c>
      <c r="G202" s="3">
        <f>MONTH(Tabela1[[#This Row],[Último pagto ano]])</f>
        <v>1</v>
      </c>
      <c r="H202" t="str">
        <f>TEXT(Tabela1[[#This Row],[Coluna2]]*29,"mmmm")</f>
        <v>janeiro</v>
      </c>
      <c r="I202" t="str">
        <f>TEXT(MONTH(Tabela1[[#This Row],[Último pagto ano]])*29,"mmmm")</f>
        <v>janeiro</v>
      </c>
    </row>
    <row r="203" spans="1:9" x14ac:dyDescent="0.25">
      <c r="A203">
        <v>2025</v>
      </c>
      <c r="B203" t="s">
        <v>404</v>
      </c>
      <c r="C203" s="1">
        <v>46006</v>
      </c>
      <c r="D203" t="s">
        <v>405</v>
      </c>
      <c r="E203" s="2">
        <v>10000</v>
      </c>
      <c r="G203" s="3">
        <f>MONTH(Tabela1[[#This Row],[Último pagto ano]])</f>
        <v>12</v>
      </c>
      <c r="H203" t="str">
        <f>TEXT(Tabela1[[#This Row],[Coluna2]]*29,"mmmm")</f>
        <v>dezembro</v>
      </c>
      <c r="I203" t="str">
        <f>TEXT(MONTH(Tabela1[[#This Row],[Último pagto ano]])*29,"mmmm")</f>
        <v>dezembro</v>
      </c>
    </row>
    <row r="204" spans="1:9" x14ac:dyDescent="0.25">
      <c r="A204">
        <v>2025</v>
      </c>
      <c r="B204" t="s">
        <v>406</v>
      </c>
      <c r="C204" s="1">
        <v>46010</v>
      </c>
      <c r="D204" t="s">
        <v>407</v>
      </c>
      <c r="E204" s="2">
        <v>9100</v>
      </c>
      <c r="G204" s="3">
        <f>MONTH(Tabela1[[#This Row],[Último pagto ano]])</f>
        <v>12</v>
      </c>
      <c r="H204" t="str">
        <f>TEXT(Tabela1[[#This Row],[Coluna2]]*29,"mmmm")</f>
        <v>dezembro</v>
      </c>
      <c r="I204" t="str">
        <f>TEXT(MONTH(Tabela1[[#This Row],[Último pagto ano]])*29,"mmmm")</f>
        <v>dezembro</v>
      </c>
    </row>
    <row r="205" spans="1:9" x14ac:dyDescent="0.25">
      <c r="A205">
        <v>2025</v>
      </c>
      <c r="B205" t="s">
        <v>408</v>
      </c>
      <c r="C205" s="1">
        <v>45832</v>
      </c>
      <c r="D205" t="s">
        <v>409</v>
      </c>
      <c r="E205" s="2">
        <v>4200</v>
      </c>
      <c r="G205" s="3">
        <f>MONTH(Tabela1[[#This Row],[Último pagto ano]])</f>
        <v>6</v>
      </c>
      <c r="H205" t="str">
        <f>TEXT(Tabela1[[#This Row],[Coluna2]]*29,"mmmm")</f>
        <v>junho</v>
      </c>
      <c r="I205" t="str">
        <f>TEXT(MONTH(Tabela1[[#This Row],[Último pagto ano]])*29,"mmmm")</f>
        <v>junho</v>
      </c>
    </row>
    <row r="206" spans="1:9" x14ac:dyDescent="0.25">
      <c r="A206">
        <v>2025</v>
      </c>
      <c r="B206" t="s">
        <v>410</v>
      </c>
      <c r="C206" s="1">
        <v>46010</v>
      </c>
      <c r="D206" t="s">
        <v>411</v>
      </c>
      <c r="E206" s="2">
        <v>7000</v>
      </c>
      <c r="G206" s="3">
        <f>MONTH(Tabela1[[#This Row],[Último pagto ano]])</f>
        <v>12</v>
      </c>
      <c r="H206" t="str">
        <f>TEXT(Tabela1[[#This Row],[Coluna2]]*29,"mmmm")</f>
        <v>dezembro</v>
      </c>
      <c r="I206" t="str">
        <f>TEXT(MONTH(Tabela1[[#This Row],[Último pagto ano]])*29,"mmmm")</f>
        <v>dezembro</v>
      </c>
    </row>
    <row r="207" spans="1:9" x14ac:dyDescent="0.25">
      <c r="A207">
        <v>2025</v>
      </c>
      <c r="B207" t="s">
        <v>412</v>
      </c>
      <c r="C207" s="1">
        <v>45712</v>
      </c>
      <c r="D207" t="s">
        <v>413</v>
      </c>
      <c r="E207">
        <v>163.80000000000001</v>
      </c>
      <c r="G207" s="3">
        <f>MONTH(Tabela1[[#This Row],[Último pagto ano]])</f>
        <v>2</v>
      </c>
      <c r="H207" t="str">
        <f>TEXT(Tabela1[[#This Row],[Coluna2]]*29,"mmmm")</f>
        <v>fevereiro</v>
      </c>
      <c r="I207" t="str">
        <f>TEXT(MONTH(Tabela1[[#This Row],[Último pagto ano]])*29,"mmmm")</f>
        <v>fevereiro</v>
      </c>
    </row>
    <row r="208" spans="1:9" x14ac:dyDescent="0.25">
      <c r="A208">
        <v>2025</v>
      </c>
      <c r="B208" t="s">
        <v>414</v>
      </c>
      <c r="C208" s="1">
        <v>45996</v>
      </c>
      <c r="D208" t="s">
        <v>415</v>
      </c>
      <c r="E208" s="2">
        <v>115224.1</v>
      </c>
      <c r="G208" s="3">
        <f>MONTH(Tabela1[[#This Row],[Último pagto ano]])</f>
        <v>12</v>
      </c>
      <c r="H208" t="str">
        <f>TEXT(Tabela1[[#This Row],[Coluna2]]*29,"mmmm")</f>
        <v>dezembro</v>
      </c>
      <c r="I208" t="str">
        <f>TEXT(MONTH(Tabela1[[#This Row],[Último pagto ano]])*29,"mmmm")</f>
        <v>dezembro</v>
      </c>
    </row>
    <row r="209" spans="1:9" x14ac:dyDescent="0.25">
      <c r="A209">
        <v>2025</v>
      </c>
      <c r="B209" t="s">
        <v>416</v>
      </c>
      <c r="C209" s="1">
        <v>45915</v>
      </c>
      <c r="D209" t="s">
        <v>417</v>
      </c>
      <c r="E209" s="2">
        <v>16215</v>
      </c>
      <c r="G209" s="3">
        <f>MONTH(Tabela1[[#This Row],[Último pagto ano]])</f>
        <v>9</v>
      </c>
      <c r="H209" t="str">
        <f>TEXT(Tabela1[[#This Row],[Coluna2]]*29,"mmmm")</f>
        <v>setembro</v>
      </c>
      <c r="I209" t="str">
        <f>TEXT(MONTH(Tabela1[[#This Row],[Último pagto ano]])*29,"mmmm")</f>
        <v>setembro</v>
      </c>
    </row>
    <row r="210" spans="1:9" x14ac:dyDescent="0.25">
      <c r="A210">
        <v>2025</v>
      </c>
      <c r="B210" t="s">
        <v>418</v>
      </c>
      <c r="C210" s="1">
        <v>45740</v>
      </c>
      <c r="D210" t="s">
        <v>419</v>
      </c>
      <c r="E210" s="2">
        <v>2100</v>
      </c>
      <c r="G210" s="3">
        <f>MONTH(Tabela1[[#This Row],[Último pagto ano]])</f>
        <v>3</v>
      </c>
      <c r="H210" t="str">
        <f>TEXT(Tabela1[[#This Row],[Coluna2]]*29,"mmmm")</f>
        <v>março</v>
      </c>
      <c r="I210" t="str">
        <f>TEXT(MONTH(Tabela1[[#This Row],[Último pagto ano]])*29,"mmmm")</f>
        <v>março</v>
      </c>
    </row>
    <row r="211" spans="1:9" x14ac:dyDescent="0.25">
      <c r="A211">
        <v>2025</v>
      </c>
      <c r="B211" t="s">
        <v>420</v>
      </c>
      <c r="C211" s="1">
        <v>46006</v>
      </c>
      <c r="D211" t="s">
        <v>421</v>
      </c>
      <c r="E211" s="2">
        <v>18335.36</v>
      </c>
      <c r="G211" s="3">
        <f>MONTH(Tabela1[[#This Row],[Último pagto ano]])</f>
        <v>12</v>
      </c>
      <c r="H211" t="str">
        <f>TEXT(Tabela1[[#This Row],[Coluna2]]*29,"mmmm")</f>
        <v>dezembro</v>
      </c>
      <c r="I211" t="str">
        <f>TEXT(MONTH(Tabela1[[#This Row],[Último pagto ano]])*29,"mmmm")</f>
        <v>dezembro</v>
      </c>
    </row>
    <row r="212" spans="1:9" x14ac:dyDescent="0.25">
      <c r="A212">
        <v>2025</v>
      </c>
      <c r="B212" t="s">
        <v>422</v>
      </c>
      <c r="C212" s="1">
        <v>46013</v>
      </c>
      <c r="D212" t="s">
        <v>423</v>
      </c>
      <c r="E212" s="2">
        <v>6090</v>
      </c>
      <c r="G212" s="3">
        <f>MONTH(Tabela1[[#This Row],[Último pagto ano]])</f>
        <v>12</v>
      </c>
      <c r="H212" t="str">
        <f>TEXT(Tabela1[[#This Row],[Coluna2]]*29,"mmmm")</f>
        <v>dezembro</v>
      </c>
      <c r="I212" t="str">
        <f>TEXT(MONTH(Tabela1[[#This Row],[Último pagto ano]])*29,"mmmm")</f>
        <v>dezembro</v>
      </c>
    </row>
    <row r="213" spans="1:9" x14ac:dyDescent="0.25">
      <c r="A213">
        <v>2025</v>
      </c>
      <c r="B213" t="s">
        <v>424</v>
      </c>
      <c r="C213" s="1">
        <v>45975</v>
      </c>
      <c r="D213" t="s">
        <v>425</v>
      </c>
      <c r="E213" s="2">
        <v>11497.12</v>
      </c>
      <c r="G213" s="3">
        <f>MONTH(Tabela1[[#This Row],[Último pagto ano]])</f>
        <v>11</v>
      </c>
      <c r="H213" t="str">
        <f>TEXT(Tabela1[[#This Row],[Coluna2]]*29,"mmmm")</f>
        <v>novembro</v>
      </c>
      <c r="I213" t="str">
        <f>TEXT(MONTH(Tabela1[[#This Row],[Último pagto ano]])*29,"mmmm")</f>
        <v>novembro</v>
      </c>
    </row>
    <row r="214" spans="1:9" x14ac:dyDescent="0.25">
      <c r="A214">
        <v>2025</v>
      </c>
      <c r="B214" t="s">
        <v>426</v>
      </c>
      <c r="C214" s="1">
        <v>45996</v>
      </c>
      <c r="D214" t="s">
        <v>427</v>
      </c>
      <c r="E214" s="2">
        <v>5150</v>
      </c>
      <c r="G214" s="3">
        <f>MONTH(Tabela1[[#This Row],[Último pagto ano]])</f>
        <v>12</v>
      </c>
      <c r="H214" t="str">
        <f>TEXT(Tabela1[[#This Row],[Coluna2]]*29,"mmmm")</f>
        <v>dezembro</v>
      </c>
      <c r="I214" t="str">
        <f>TEXT(MONTH(Tabela1[[#This Row],[Último pagto ano]])*29,"mmmm")</f>
        <v>dezembro</v>
      </c>
    </row>
    <row r="215" spans="1:9" x14ac:dyDescent="0.25">
      <c r="A215">
        <v>2025</v>
      </c>
      <c r="B215" t="s">
        <v>428</v>
      </c>
      <c r="C215" s="1">
        <v>46013</v>
      </c>
      <c r="D215" t="s">
        <v>429</v>
      </c>
      <c r="E215" s="2">
        <v>5652</v>
      </c>
      <c r="G215" s="3">
        <f>MONTH(Tabela1[[#This Row],[Último pagto ano]])</f>
        <v>12</v>
      </c>
      <c r="H215" t="str">
        <f>TEXT(Tabela1[[#This Row],[Coluna2]]*29,"mmmm")</f>
        <v>dezembro</v>
      </c>
      <c r="I215" t="str">
        <f>TEXT(MONTH(Tabela1[[#This Row],[Último pagto ano]])*29,"mmmm")</f>
        <v>dezembro</v>
      </c>
    </row>
    <row r="216" spans="1:9" x14ac:dyDescent="0.25">
      <c r="A216">
        <v>2025</v>
      </c>
      <c r="B216" t="s">
        <v>430</v>
      </c>
      <c r="C216" s="1">
        <v>45996</v>
      </c>
      <c r="D216" t="s">
        <v>431</v>
      </c>
      <c r="E216" s="2">
        <v>3000</v>
      </c>
      <c r="G216" s="3">
        <f>MONTH(Tabela1[[#This Row],[Último pagto ano]])</f>
        <v>12</v>
      </c>
      <c r="H216" t="str">
        <f>TEXT(Tabela1[[#This Row],[Coluna2]]*29,"mmmm")</f>
        <v>dezembro</v>
      </c>
      <c r="I216" t="str">
        <f>TEXT(MONTH(Tabela1[[#This Row],[Último pagto ano]])*29,"mmmm")</f>
        <v>dezembro</v>
      </c>
    </row>
    <row r="217" spans="1:9" x14ac:dyDescent="0.25">
      <c r="A217">
        <v>2025</v>
      </c>
      <c r="B217" t="s">
        <v>432</v>
      </c>
      <c r="C217" s="1">
        <v>45999</v>
      </c>
      <c r="D217" t="s">
        <v>433</v>
      </c>
      <c r="E217">
        <v>297</v>
      </c>
      <c r="G217" s="3">
        <f>MONTH(Tabela1[[#This Row],[Último pagto ano]])</f>
        <v>12</v>
      </c>
      <c r="H217" t="str">
        <f>TEXT(Tabela1[[#This Row],[Coluna2]]*29,"mmmm")</f>
        <v>dezembro</v>
      </c>
      <c r="I217" t="str">
        <f>TEXT(MONTH(Tabela1[[#This Row],[Último pagto ano]])*29,"mmmm")</f>
        <v>dezembro</v>
      </c>
    </row>
    <row r="218" spans="1:9" x14ac:dyDescent="0.25">
      <c r="A218">
        <v>2025</v>
      </c>
      <c r="B218" t="s">
        <v>434</v>
      </c>
      <c r="C218" s="1">
        <v>45985</v>
      </c>
      <c r="D218" t="s">
        <v>435</v>
      </c>
      <c r="E218" s="2">
        <v>7700</v>
      </c>
      <c r="G218" s="3">
        <f>MONTH(Tabela1[[#This Row],[Último pagto ano]])</f>
        <v>11</v>
      </c>
      <c r="H218" t="str">
        <f>TEXT(Tabela1[[#This Row],[Coluna2]]*29,"mmmm")</f>
        <v>novembro</v>
      </c>
      <c r="I218" t="str">
        <f>TEXT(MONTH(Tabela1[[#This Row],[Último pagto ano]])*29,"mmmm")</f>
        <v>novembro</v>
      </c>
    </row>
    <row r="219" spans="1:9" x14ac:dyDescent="0.25">
      <c r="A219">
        <v>2025</v>
      </c>
      <c r="B219" t="s">
        <v>436</v>
      </c>
      <c r="C219" s="1">
        <v>46006</v>
      </c>
      <c r="D219" t="s">
        <v>437</v>
      </c>
      <c r="E219" s="2">
        <v>10197.6</v>
      </c>
      <c r="G219" s="3">
        <f>MONTH(Tabela1[[#This Row],[Último pagto ano]])</f>
        <v>12</v>
      </c>
      <c r="H219" t="str">
        <f>TEXT(Tabela1[[#This Row],[Coluna2]]*29,"mmmm")</f>
        <v>dezembro</v>
      </c>
      <c r="I219" t="str">
        <f>TEXT(MONTH(Tabela1[[#This Row],[Último pagto ano]])*29,"mmmm")</f>
        <v>dezembro</v>
      </c>
    </row>
    <row r="220" spans="1:9" x14ac:dyDescent="0.25">
      <c r="A220">
        <v>2025</v>
      </c>
      <c r="B220" t="s">
        <v>438</v>
      </c>
      <c r="C220" s="1">
        <v>45945</v>
      </c>
      <c r="D220" t="s">
        <v>439</v>
      </c>
      <c r="E220" s="2">
        <v>3958.32</v>
      </c>
      <c r="G220" s="3">
        <f>MONTH(Tabela1[[#This Row],[Último pagto ano]])</f>
        <v>10</v>
      </c>
      <c r="H220" t="str">
        <f>TEXT(Tabela1[[#This Row],[Coluna2]]*29,"mmmm")</f>
        <v>outubro</v>
      </c>
      <c r="I220" t="str">
        <f>TEXT(MONTH(Tabela1[[#This Row],[Último pagto ano]])*29,"mmmm")</f>
        <v>outubro</v>
      </c>
    </row>
    <row r="221" spans="1:9" x14ac:dyDescent="0.25">
      <c r="A221">
        <v>2025</v>
      </c>
      <c r="B221" t="s">
        <v>440</v>
      </c>
      <c r="C221" s="1">
        <v>45975</v>
      </c>
      <c r="D221" t="s">
        <v>441</v>
      </c>
      <c r="E221" s="2">
        <v>5600.48</v>
      </c>
      <c r="G221" s="3">
        <f>MONTH(Tabela1[[#This Row],[Último pagto ano]])</f>
        <v>11</v>
      </c>
      <c r="H221" t="str">
        <f>TEXT(Tabela1[[#This Row],[Coluna2]]*29,"mmmm")</f>
        <v>novembro</v>
      </c>
      <c r="I221" t="str">
        <f>TEXT(MONTH(Tabela1[[#This Row],[Último pagto ano]])*29,"mmmm")</f>
        <v>novembro</v>
      </c>
    </row>
    <row r="222" spans="1:9" x14ac:dyDescent="0.25">
      <c r="A222">
        <v>2025</v>
      </c>
      <c r="B222" t="s">
        <v>442</v>
      </c>
      <c r="C222" s="1">
        <v>46010</v>
      </c>
      <c r="D222" t="s">
        <v>443</v>
      </c>
      <c r="E222" s="2">
        <v>2800</v>
      </c>
      <c r="G222" s="3">
        <f>MONTH(Tabela1[[#This Row],[Último pagto ano]])</f>
        <v>12</v>
      </c>
      <c r="H222" t="str">
        <f>TEXT(Tabela1[[#This Row],[Coluna2]]*29,"mmmm")</f>
        <v>dezembro</v>
      </c>
      <c r="I222" t="str">
        <f>TEXT(MONTH(Tabela1[[#This Row],[Último pagto ano]])*29,"mmmm")</f>
        <v>dezembro</v>
      </c>
    </row>
    <row r="223" spans="1:9" x14ac:dyDescent="0.25">
      <c r="A223">
        <v>2025</v>
      </c>
      <c r="B223" t="s">
        <v>444</v>
      </c>
      <c r="C223" s="1">
        <v>45803</v>
      </c>
      <c r="D223" t="s">
        <v>445</v>
      </c>
      <c r="E223">
        <v>508.46</v>
      </c>
      <c r="G223" s="3">
        <f>MONTH(Tabela1[[#This Row],[Último pagto ano]])</f>
        <v>5</v>
      </c>
      <c r="H223" t="str">
        <f>TEXT(Tabela1[[#This Row],[Coluna2]]*29,"mmmm")</f>
        <v>maio</v>
      </c>
      <c r="I223" t="str">
        <f>TEXT(MONTH(Tabela1[[#This Row],[Último pagto ano]])*29,"mmmm")</f>
        <v>maio</v>
      </c>
    </row>
    <row r="224" spans="1:9" x14ac:dyDescent="0.25">
      <c r="A224">
        <v>2025</v>
      </c>
      <c r="B224" t="s">
        <v>446</v>
      </c>
      <c r="C224" s="1">
        <v>46006</v>
      </c>
      <c r="D224" t="s">
        <v>447</v>
      </c>
      <c r="E224" s="2">
        <v>5923.2</v>
      </c>
      <c r="G224" s="3">
        <f>MONTH(Tabela1[[#This Row],[Último pagto ano]])</f>
        <v>12</v>
      </c>
      <c r="H224" t="str">
        <f>TEXT(Tabela1[[#This Row],[Coluna2]]*29,"mmmm")</f>
        <v>dezembro</v>
      </c>
      <c r="I224" t="str">
        <f>TEXT(MONTH(Tabela1[[#This Row],[Último pagto ano]])*29,"mmmm")</f>
        <v>dezembro</v>
      </c>
    </row>
    <row r="225" spans="1:9" x14ac:dyDescent="0.25">
      <c r="A225">
        <v>2025</v>
      </c>
      <c r="B225" t="s">
        <v>448</v>
      </c>
      <c r="C225" s="1">
        <v>46006</v>
      </c>
      <c r="D225" t="s">
        <v>449</v>
      </c>
      <c r="E225">
        <v>592.32000000000005</v>
      </c>
      <c r="G225" s="3">
        <f>MONTH(Tabela1[[#This Row],[Último pagto ano]])</f>
        <v>12</v>
      </c>
      <c r="H225" t="str">
        <f>TEXT(Tabela1[[#This Row],[Coluna2]]*29,"mmmm")</f>
        <v>dezembro</v>
      </c>
      <c r="I225" t="str">
        <f>TEXT(MONTH(Tabela1[[#This Row],[Último pagto ano]])*29,"mmmm")</f>
        <v>dezembro</v>
      </c>
    </row>
    <row r="226" spans="1:9" x14ac:dyDescent="0.25">
      <c r="A226">
        <v>2025</v>
      </c>
      <c r="B226" t="s">
        <v>450</v>
      </c>
      <c r="C226" s="1">
        <v>45975</v>
      </c>
      <c r="D226" t="s">
        <v>451</v>
      </c>
      <c r="E226" s="2">
        <v>6206.08</v>
      </c>
      <c r="G226" s="3">
        <f>MONTH(Tabela1[[#This Row],[Último pagto ano]])</f>
        <v>11</v>
      </c>
      <c r="H226" t="str">
        <f>TEXT(Tabela1[[#This Row],[Coluna2]]*29,"mmmm")</f>
        <v>novembro</v>
      </c>
      <c r="I226" t="str">
        <f>TEXT(MONTH(Tabela1[[#This Row],[Último pagto ano]])*29,"mmmm")</f>
        <v>novembro</v>
      </c>
    </row>
    <row r="227" spans="1:9" x14ac:dyDescent="0.25">
      <c r="A227">
        <v>2025</v>
      </c>
      <c r="B227" t="s">
        <v>452</v>
      </c>
      <c r="C227" s="1">
        <v>46010</v>
      </c>
      <c r="D227" t="s">
        <v>453</v>
      </c>
      <c r="E227" s="2">
        <v>12000</v>
      </c>
      <c r="G227" s="3">
        <f>MONTH(Tabela1[[#This Row],[Último pagto ano]])</f>
        <v>12</v>
      </c>
      <c r="H227" t="str">
        <f>TEXT(Tabela1[[#This Row],[Coluna2]]*29,"mmmm")</f>
        <v>dezembro</v>
      </c>
      <c r="I227" t="str">
        <f>TEXT(MONTH(Tabela1[[#This Row],[Último pagto ano]])*29,"mmmm")</f>
        <v>dezembro</v>
      </c>
    </row>
    <row r="228" spans="1:9" x14ac:dyDescent="0.25">
      <c r="A228">
        <v>2025</v>
      </c>
      <c r="B228" t="s">
        <v>454</v>
      </c>
      <c r="C228" s="1">
        <v>45824</v>
      </c>
      <c r="D228" t="s">
        <v>455</v>
      </c>
      <c r="E228" s="2">
        <v>5870.08</v>
      </c>
      <c r="G228" s="3">
        <f>MONTH(Tabela1[[#This Row],[Último pagto ano]])</f>
        <v>6</v>
      </c>
      <c r="H228" t="str">
        <f>TEXT(Tabela1[[#This Row],[Coluna2]]*29,"mmmm")</f>
        <v>junho</v>
      </c>
      <c r="I228" t="str">
        <f>TEXT(MONTH(Tabela1[[#This Row],[Último pagto ano]])*29,"mmmm")</f>
        <v>junho</v>
      </c>
    </row>
    <row r="229" spans="1:9" x14ac:dyDescent="0.25">
      <c r="A229">
        <v>2025</v>
      </c>
      <c r="B229" t="s">
        <v>456</v>
      </c>
      <c r="C229" s="1">
        <v>45996</v>
      </c>
      <c r="D229" t="s">
        <v>457</v>
      </c>
      <c r="E229" s="2">
        <v>1500</v>
      </c>
      <c r="G229" s="3">
        <f>MONTH(Tabela1[[#This Row],[Último pagto ano]])</f>
        <v>12</v>
      </c>
      <c r="H229" t="str">
        <f>TEXT(Tabela1[[#This Row],[Coluna2]]*29,"mmmm")</f>
        <v>dezembro</v>
      </c>
      <c r="I229" t="str">
        <f>TEXT(MONTH(Tabela1[[#This Row],[Último pagto ano]])*29,"mmmm")</f>
        <v>dezembro</v>
      </c>
    </row>
    <row r="230" spans="1:9" x14ac:dyDescent="0.25">
      <c r="A230">
        <v>2025</v>
      </c>
      <c r="B230" t="s">
        <v>458</v>
      </c>
      <c r="C230" s="1">
        <v>46006</v>
      </c>
      <c r="D230" t="s">
        <v>459</v>
      </c>
      <c r="E230" s="2">
        <v>5896.64</v>
      </c>
      <c r="G230" s="3">
        <f>MONTH(Tabela1[[#This Row],[Último pagto ano]])</f>
        <v>12</v>
      </c>
      <c r="H230" t="str">
        <f>TEXT(Tabela1[[#This Row],[Coluna2]]*29,"mmmm")</f>
        <v>dezembro</v>
      </c>
      <c r="I230" t="str">
        <f>TEXT(MONTH(Tabela1[[#This Row],[Último pagto ano]])*29,"mmmm")</f>
        <v>dezembro</v>
      </c>
    </row>
    <row r="231" spans="1:9" x14ac:dyDescent="0.25">
      <c r="A231">
        <v>2025</v>
      </c>
      <c r="B231" t="s">
        <v>460</v>
      </c>
      <c r="C231" s="1">
        <v>45959</v>
      </c>
      <c r="D231" t="s">
        <v>461</v>
      </c>
      <c r="E231" s="2">
        <v>105860.3</v>
      </c>
      <c r="G231" s="3">
        <f>MONTH(Tabela1[[#This Row],[Último pagto ano]])</f>
        <v>10</v>
      </c>
      <c r="H231" t="str">
        <f>TEXT(Tabela1[[#This Row],[Coluna2]]*29,"mmmm")</f>
        <v>outubro</v>
      </c>
      <c r="I231" t="str">
        <f>TEXT(MONTH(Tabela1[[#This Row],[Último pagto ano]])*29,"mmmm")</f>
        <v>outubro</v>
      </c>
    </row>
    <row r="232" spans="1:9" x14ac:dyDescent="0.25">
      <c r="A232">
        <v>2025</v>
      </c>
      <c r="B232" t="s">
        <v>462</v>
      </c>
      <c r="C232" s="1">
        <v>45996</v>
      </c>
      <c r="D232" t="s">
        <v>463</v>
      </c>
      <c r="E232" s="2">
        <v>27500</v>
      </c>
      <c r="G232" s="3">
        <f>MONTH(Tabela1[[#This Row],[Último pagto ano]])</f>
        <v>12</v>
      </c>
      <c r="H232" t="str">
        <f>TEXT(Tabela1[[#This Row],[Coluna2]]*29,"mmmm")</f>
        <v>dezembro</v>
      </c>
      <c r="I232" t="str">
        <f>TEXT(MONTH(Tabela1[[#This Row],[Último pagto ano]])*29,"mmmm")</f>
        <v>dezembro</v>
      </c>
    </row>
    <row r="233" spans="1:9" x14ac:dyDescent="0.25">
      <c r="A233">
        <v>2025</v>
      </c>
      <c r="B233" t="s">
        <v>464</v>
      </c>
      <c r="C233" s="1">
        <v>46006</v>
      </c>
      <c r="D233" t="s">
        <v>465</v>
      </c>
      <c r="E233" s="2">
        <v>3553.92</v>
      </c>
      <c r="G233" s="3">
        <f>MONTH(Tabela1[[#This Row],[Último pagto ano]])</f>
        <v>12</v>
      </c>
      <c r="H233" t="str">
        <f>TEXT(Tabela1[[#This Row],[Coluna2]]*29,"mmmm")</f>
        <v>dezembro</v>
      </c>
      <c r="I233" t="str">
        <f>TEXT(MONTH(Tabela1[[#This Row],[Último pagto ano]])*29,"mmmm")</f>
        <v>dezembro</v>
      </c>
    </row>
    <row r="234" spans="1:9" x14ac:dyDescent="0.25">
      <c r="A234">
        <v>2025</v>
      </c>
      <c r="B234" t="s">
        <v>466</v>
      </c>
      <c r="C234" s="1">
        <v>45817</v>
      </c>
      <c r="D234" t="s">
        <v>467</v>
      </c>
      <c r="E234" s="2">
        <v>1500</v>
      </c>
      <c r="G234" s="3">
        <f>MONTH(Tabela1[[#This Row],[Último pagto ano]])</f>
        <v>6</v>
      </c>
      <c r="H234" t="str">
        <f>TEXT(Tabela1[[#This Row],[Coluna2]]*29,"mmmm")</f>
        <v>junho</v>
      </c>
      <c r="I234" t="str">
        <f>TEXT(MONTH(Tabela1[[#This Row],[Último pagto ano]])*29,"mmmm")</f>
        <v>junho</v>
      </c>
    </row>
    <row r="235" spans="1:9" x14ac:dyDescent="0.25">
      <c r="A235">
        <v>2025</v>
      </c>
      <c r="B235" t="s">
        <v>468</v>
      </c>
      <c r="C235" s="1">
        <v>45722</v>
      </c>
      <c r="D235" t="s">
        <v>469</v>
      </c>
      <c r="E235">
        <v>22</v>
      </c>
      <c r="G235" s="3">
        <f>MONTH(Tabela1[[#This Row],[Último pagto ano]])</f>
        <v>3</v>
      </c>
      <c r="H235" t="str">
        <f>TEXT(Tabela1[[#This Row],[Coluna2]]*29,"mmmm")</f>
        <v>março</v>
      </c>
      <c r="I235" t="str">
        <f>TEXT(MONTH(Tabela1[[#This Row],[Último pagto ano]])*29,"mmmm")</f>
        <v>março</v>
      </c>
    </row>
    <row r="236" spans="1:9" x14ac:dyDescent="0.25">
      <c r="A236">
        <v>2025</v>
      </c>
      <c r="B236" t="s">
        <v>470</v>
      </c>
      <c r="C236" s="1">
        <v>46013</v>
      </c>
      <c r="D236" t="s">
        <v>471</v>
      </c>
      <c r="E236" s="2">
        <v>2530.8000000000002</v>
      </c>
      <c r="G236" s="3">
        <f>MONTH(Tabela1[[#This Row],[Último pagto ano]])</f>
        <v>12</v>
      </c>
      <c r="H236" t="str">
        <f>TEXT(Tabela1[[#This Row],[Coluna2]]*29,"mmmm")</f>
        <v>dezembro</v>
      </c>
      <c r="I236" t="str">
        <f>TEXT(MONTH(Tabela1[[#This Row],[Último pagto ano]])*29,"mmmm")</f>
        <v>dezembro</v>
      </c>
    </row>
    <row r="237" spans="1:9" x14ac:dyDescent="0.25">
      <c r="A237">
        <v>2025</v>
      </c>
      <c r="B237" t="s">
        <v>472</v>
      </c>
      <c r="C237" s="1">
        <v>46013</v>
      </c>
      <c r="D237" t="s">
        <v>473</v>
      </c>
      <c r="E237" s="2">
        <v>29057.1</v>
      </c>
      <c r="G237" s="3">
        <f>MONTH(Tabela1[[#This Row],[Último pagto ano]])</f>
        <v>12</v>
      </c>
      <c r="H237" t="str">
        <f>TEXT(Tabela1[[#This Row],[Coluna2]]*29,"mmmm")</f>
        <v>dezembro</v>
      </c>
      <c r="I237" t="str">
        <f>TEXT(MONTH(Tabela1[[#This Row],[Último pagto ano]])*29,"mmmm")</f>
        <v>dezembro</v>
      </c>
    </row>
    <row r="238" spans="1:9" x14ac:dyDescent="0.25">
      <c r="A238">
        <v>2025</v>
      </c>
      <c r="B238" t="s">
        <v>474</v>
      </c>
      <c r="C238" s="1">
        <v>45996</v>
      </c>
      <c r="D238" t="s">
        <v>475</v>
      </c>
      <c r="E238" s="2">
        <v>6950</v>
      </c>
      <c r="G238" s="3">
        <f>MONTH(Tabela1[[#This Row],[Último pagto ano]])</f>
        <v>12</v>
      </c>
      <c r="H238" t="str">
        <f>TEXT(Tabela1[[#This Row],[Coluna2]]*29,"mmmm")</f>
        <v>dezembro</v>
      </c>
      <c r="I238" t="str">
        <f>TEXT(MONTH(Tabela1[[#This Row],[Último pagto ano]])*29,"mmmm")</f>
        <v>dezembro</v>
      </c>
    </row>
    <row r="239" spans="1:9" x14ac:dyDescent="0.25">
      <c r="A239">
        <v>2025</v>
      </c>
      <c r="B239" t="s">
        <v>476</v>
      </c>
      <c r="C239" s="1">
        <v>45978</v>
      </c>
      <c r="D239" t="s">
        <v>477</v>
      </c>
      <c r="E239">
        <v>66</v>
      </c>
      <c r="G239" s="3">
        <f>MONTH(Tabela1[[#This Row],[Último pagto ano]])</f>
        <v>11</v>
      </c>
      <c r="H239" t="str">
        <f>TEXT(Tabela1[[#This Row],[Coluna2]]*29,"mmmm")</f>
        <v>novembro</v>
      </c>
      <c r="I239" t="str">
        <f>TEXT(MONTH(Tabela1[[#This Row],[Último pagto ano]])*29,"mmmm")</f>
        <v>novembro</v>
      </c>
    </row>
    <row r="240" spans="1:9" x14ac:dyDescent="0.25">
      <c r="A240">
        <v>2025</v>
      </c>
      <c r="B240" t="s">
        <v>478</v>
      </c>
      <c r="C240" s="1">
        <v>45838</v>
      </c>
      <c r="D240" t="s">
        <v>479</v>
      </c>
      <c r="E240" s="2">
        <v>1757.3</v>
      </c>
      <c r="G240" s="3">
        <f>MONTH(Tabela1[[#This Row],[Último pagto ano]])</f>
        <v>6</v>
      </c>
      <c r="H240" t="str">
        <f>TEXT(Tabela1[[#This Row],[Coluna2]]*29,"mmmm")</f>
        <v>junho</v>
      </c>
      <c r="I240" t="str">
        <f>TEXT(MONTH(Tabela1[[#This Row],[Último pagto ano]])*29,"mmmm")</f>
        <v>junho</v>
      </c>
    </row>
    <row r="241" spans="1:9" x14ac:dyDescent="0.25">
      <c r="A241">
        <v>2025</v>
      </c>
      <c r="B241" t="s">
        <v>480</v>
      </c>
      <c r="C241" s="1">
        <v>45677</v>
      </c>
      <c r="D241" t="s">
        <v>481</v>
      </c>
      <c r="E241">
        <v>505.41</v>
      </c>
      <c r="G241" s="3">
        <f>MONTH(Tabela1[[#This Row],[Último pagto ano]])</f>
        <v>1</v>
      </c>
      <c r="H241" t="str">
        <f>TEXT(Tabela1[[#This Row],[Coluna2]]*29,"mmmm")</f>
        <v>janeiro</v>
      </c>
      <c r="I241" t="str">
        <f>TEXT(MONTH(Tabela1[[#This Row],[Último pagto ano]])*29,"mmmm")</f>
        <v>janeiro</v>
      </c>
    </row>
    <row r="242" spans="1:9" x14ac:dyDescent="0.25">
      <c r="A242">
        <v>2025</v>
      </c>
      <c r="B242" t="s">
        <v>482</v>
      </c>
      <c r="C242" s="1">
        <v>45833</v>
      </c>
      <c r="D242" t="s">
        <v>483</v>
      </c>
      <c r="E242">
        <v>923.4</v>
      </c>
      <c r="G242" s="3">
        <f>MONTH(Tabela1[[#This Row],[Último pagto ano]])</f>
        <v>6</v>
      </c>
      <c r="H242" t="str">
        <f>TEXT(Tabela1[[#This Row],[Coluna2]]*29,"mmmm")</f>
        <v>junho</v>
      </c>
      <c r="I242" t="str">
        <f>TEXT(MONTH(Tabela1[[#This Row],[Último pagto ano]])*29,"mmmm")</f>
        <v>junho</v>
      </c>
    </row>
    <row r="243" spans="1:9" x14ac:dyDescent="0.25">
      <c r="A243">
        <v>2025</v>
      </c>
      <c r="B243" t="s">
        <v>484</v>
      </c>
      <c r="C243" s="1">
        <v>45996</v>
      </c>
      <c r="D243" t="s">
        <v>485</v>
      </c>
      <c r="E243" s="2">
        <v>10000</v>
      </c>
      <c r="G243" s="3">
        <f>MONTH(Tabela1[[#This Row],[Último pagto ano]])</f>
        <v>12</v>
      </c>
      <c r="H243" t="str">
        <f>TEXT(Tabela1[[#This Row],[Coluna2]]*29,"mmmm")</f>
        <v>dezembro</v>
      </c>
      <c r="I243" t="str">
        <f>TEXT(MONTH(Tabela1[[#This Row],[Último pagto ano]])*29,"mmmm")</f>
        <v>dezembro</v>
      </c>
    </row>
    <row r="244" spans="1:9" x14ac:dyDescent="0.25">
      <c r="A244">
        <v>2025</v>
      </c>
      <c r="B244" t="s">
        <v>486</v>
      </c>
      <c r="C244" s="1">
        <v>45824</v>
      </c>
      <c r="D244" t="s">
        <v>487</v>
      </c>
      <c r="E244" s="2">
        <v>2549.75</v>
      </c>
      <c r="G244" s="3">
        <f>MONTH(Tabela1[[#This Row],[Último pagto ano]])</f>
        <v>6</v>
      </c>
      <c r="H244" t="str">
        <f>TEXT(Tabela1[[#This Row],[Coluna2]]*29,"mmmm")</f>
        <v>junho</v>
      </c>
      <c r="I244" t="str">
        <f>TEXT(MONTH(Tabela1[[#This Row],[Último pagto ano]])*29,"mmmm")</f>
        <v>junho</v>
      </c>
    </row>
    <row r="245" spans="1:9" x14ac:dyDescent="0.25">
      <c r="A245">
        <v>2025</v>
      </c>
      <c r="B245" t="s">
        <v>488</v>
      </c>
      <c r="C245" s="1">
        <v>46010</v>
      </c>
      <c r="D245" t="s">
        <v>489</v>
      </c>
      <c r="E245" s="2">
        <v>3500</v>
      </c>
      <c r="G245" s="3">
        <f>MONTH(Tabela1[[#This Row],[Último pagto ano]])</f>
        <v>12</v>
      </c>
      <c r="H245" t="str">
        <f>TEXT(Tabela1[[#This Row],[Coluna2]]*29,"mmmm")</f>
        <v>dezembro</v>
      </c>
      <c r="I245" t="str">
        <f>TEXT(MONTH(Tabela1[[#This Row],[Último pagto ano]])*29,"mmmm")</f>
        <v>dezembro</v>
      </c>
    </row>
    <row r="246" spans="1:9" x14ac:dyDescent="0.25">
      <c r="A246">
        <v>2025</v>
      </c>
      <c r="B246" t="s">
        <v>490</v>
      </c>
      <c r="C246" s="1">
        <v>45701</v>
      </c>
      <c r="D246" t="s">
        <v>491</v>
      </c>
      <c r="E246" s="2">
        <v>1641.6</v>
      </c>
      <c r="G246" s="3">
        <f>MONTH(Tabela1[[#This Row],[Último pagto ano]])</f>
        <v>2</v>
      </c>
      <c r="H246" t="str">
        <f>TEXT(Tabela1[[#This Row],[Coluna2]]*29,"mmmm")</f>
        <v>fevereiro</v>
      </c>
      <c r="I246" t="str">
        <f>TEXT(MONTH(Tabela1[[#This Row],[Último pagto ano]])*29,"mmmm")</f>
        <v>fevereiro</v>
      </c>
    </row>
    <row r="247" spans="1:9" x14ac:dyDescent="0.25">
      <c r="A247">
        <v>2025</v>
      </c>
      <c r="B247" t="s">
        <v>492</v>
      </c>
      <c r="C247" s="1">
        <v>45883</v>
      </c>
      <c r="D247" t="s">
        <v>493</v>
      </c>
      <c r="E247" s="2">
        <v>29082.12</v>
      </c>
      <c r="G247" s="3">
        <f>MONTH(Tabela1[[#This Row],[Último pagto ano]])</f>
        <v>8</v>
      </c>
      <c r="H247" t="str">
        <f>TEXT(Tabela1[[#This Row],[Coluna2]]*29,"mmmm")</f>
        <v>agosto</v>
      </c>
      <c r="I247" t="str">
        <f>TEXT(MONTH(Tabela1[[#This Row],[Último pagto ano]])*29,"mmmm")</f>
        <v>agosto</v>
      </c>
    </row>
    <row r="248" spans="1:9" x14ac:dyDescent="0.25">
      <c r="A248">
        <v>2025</v>
      </c>
      <c r="B248" t="s">
        <v>494</v>
      </c>
      <c r="C248" s="1">
        <v>45887</v>
      </c>
      <c r="D248" t="s">
        <v>495</v>
      </c>
      <c r="E248">
        <v>44</v>
      </c>
      <c r="G248" s="3">
        <f>MONTH(Tabela1[[#This Row],[Último pagto ano]])</f>
        <v>8</v>
      </c>
      <c r="H248" t="str">
        <f>TEXT(Tabela1[[#This Row],[Coluna2]]*29,"mmmm")</f>
        <v>agosto</v>
      </c>
      <c r="I248" t="str">
        <f>TEXT(MONTH(Tabela1[[#This Row],[Último pagto ano]])*29,"mmmm")</f>
        <v>agosto</v>
      </c>
    </row>
    <row r="249" spans="1:9" x14ac:dyDescent="0.25">
      <c r="A249">
        <v>2025</v>
      </c>
      <c r="B249" t="s">
        <v>496</v>
      </c>
      <c r="C249" s="1">
        <v>46014</v>
      </c>
      <c r="D249" t="s">
        <v>497</v>
      </c>
      <c r="E249">
        <v>121</v>
      </c>
      <c r="G249" s="3">
        <f>MONTH(Tabela1[[#This Row],[Último pagto ano]])</f>
        <v>12</v>
      </c>
      <c r="H249" t="str">
        <f>TEXT(Tabela1[[#This Row],[Coluna2]]*29,"mmmm")</f>
        <v>dezembro</v>
      </c>
      <c r="I249" t="str">
        <f>TEXT(MONTH(Tabela1[[#This Row],[Último pagto ano]])*29,"mmmm")</f>
        <v>dezembro</v>
      </c>
    </row>
    <row r="250" spans="1:9" x14ac:dyDescent="0.25">
      <c r="A250">
        <v>2025</v>
      </c>
      <c r="B250" t="s">
        <v>498</v>
      </c>
      <c r="C250" s="1">
        <v>45999</v>
      </c>
      <c r="D250" t="s">
        <v>499</v>
      </c>
      <c r="E250">
        <v>330</v>
      </c>
      <c r="G250" s="3">
        <f>MONTH(Tabela1[[#This Row],[Último pagto ano]])</f>
        <v>12</v>
      </c>
      <c r="H250" t="str">
        <f>TEXT(Tabela1[[#This Row],[Coluna2]]*29,"mmmm")</f>
        <v>dezembro</v>
      </c>
      <c r="I250" t="str">
        <f>TEXT(MONTH(Tabela1[[#This Row],[Último pagto ano]])*29,"mmmm")</f>
        <v>dezembro</v>
      </c>
    </row>
    <row r="251" spans="1:9" x14ac:dyDescent="0.25">
      <c r="A251">
        <v>2025</v>
      </c>
      <c r="B251" t="s">
        <v>500</v>
      </c>
      <c r="C251" s="1">
        <v>45989</v>
      </c>
      <c r="D251" t="s">
        <v>501</v>
      </c>
      <c r="E251" s="2">
        <v>3566.73</v>
      </c>
      <c r="G251" s="3">
        <f>MONTH(Tabela1[[#This Row],[Último pagto ano]])</f>
        <v>11</v>
      </c>
      <c r="H251" t="str">
        <f>TEXT(Tabela1[[#This Row],[Coluna2]]*29,"mmmm")</f>
        <v>novembro</v>
      </c>
      <c r="I251" t="str">
        <f>TEXT(MONTH(Tabela1[[#This Row],[Último pagto ano]])*29,"mmmm")</f>
        <v>novembro</v>
      </c>
    </row>
    <row r="252" spans="1:9" x14ac:dyDescent="0.25">
      <c r="A252">
        <v>2025</v>
      </c>
      <c r="B252" t="s">
        <v>502</v>
      </c>
      <c r="C252" s="1">
        <v>46003</v>
      </c>
      <c r="D252" t="s">
        <v>503</v>
      </c>
      <c r="E252" s="2">
        <v>19566.68</v>
      </c>
      <c r="G252" s="3">
        <f>MONTH(Tabela1[[#This Row],[Último pagto ano]])</f>
        <v>12</v>
      </c>
      <c r="H252" t="str">
        <f>TEXT(Tabela1[[#This Row],[Coluna2]]*29,"mmmm")</f>
        <v>dezembro</v>
      </c>
      <c r="I252" t="str">
        <f>TEXT(MONTH(Tabela1[[#This Row],[Último pagto ano]])*29,"mmmm")</f>
        <v>dezembro</v>
      </c>
    </row>
    <row r="253" spans="1:9" x14ac:dyDescent="0.25">
      <c r="A253">
        <v>2025</v>
      </c>
      <c r="B253" t="s">
        <v>504</v>
      </c>
      <c r="C253" s="1">
        <v>46006</v>
      </c>
      <c r="D253" t="s">
        <v>505</v>
      </c>
      <c r="E253" s="2">
        <v>12955.6</v>
      </c>
      <c r="G253" s="3">
        <f>MONTH(Tabela1[[#This Row],[Último pagto ano]])</f>
        <v>12</v>
      </c>
      <c r="H253" t="str">
        <f>TEXT(Tabela1[[#This Row],[Coluna2]]*29,"mmmm")</f>
        <v>dezembro</v>
      </c>
      <c r="I253" t="str">
        <f>TEXT(MONTH(Tabela1[[#This Row],[Último pagto ano]])*29,"mmmm")</f>
        <v>dezembro</v>
      </c>
    </row>
    <row r="254" spans="1:9" x14ac:dyDescent="0.25">
      <c r="A254">
        <v>2025</v>
      </c>
      <c r="B254" t="s">
        <v>506</v>
      </c>
      <c r="C254" s="1">
        <v>46013</v>
      </c>
      <c r="D254" t="s">
        <v>507</v>
      </c>
      <c r="E254">
        <v>199.9</v>
      </c>
      <c r="G254" s="3">
        <f>MONTH(Tabela1[[#This Row],[Último pagto ano]])</f>
        <v>12</v>
      </c>
      <c r="H254" t="str">
        <f>TEXT(Tabela1[[#This Row],[Coluna2]]*29,"mmmm")</f>
        <v>dezembro</v>
      </c>
      <c r="I254" t="str">
        <f>TEXT(MONTH(Tabela1[[#This Row],[Último pagto ano]])*29,"mmmm")</f>
        <v>dezembro</v>
      </c>
    </row>
    <row r="255" spans="1:9" x14ac:dyDescent="0.25">
      <c r="A255">
        <v>2025</v>
      </c>
      <c r="B255" t="s">
        <v>508</v>
      </c>
      <c r="C255" s="1">
        <v>46009</v>
      </c>
      <c r="D255" t="s">
        <v>509</v>
      </c>
      <c r="E255" s="2">
        <v>1199.45</v>
      </c>
      <c r="G255" s="3">
        <f>MONTH(Tabela1[[#This Row],[Último pagto ano]])</f>
        <v>12</v>
      </c>
      <c r="H255" t="str">
        <f>TEXT(Tabela1[[#This Row],[Coluna2]]*29,"mmmm")</f>
        <v>dezembro</v>
      </c>
      <c r="I255" t="str">
        <f>TEXT(MONTH(Tabela1[[#This Row],[Último pagto ano]])*29,"mmmm")</f>
        <v>dezembro</v>
      </c>
    </row>
    <row r="256" spans="1:9" x14ac:dyDescent="0.25">
      <c r="A256">
        <v>2025</v>
      </c>
      <c r="B256" t="s">
        <v>510</v>
      </c>
      <c r="C256" s="1">
        <v>45973</v>
      </c>
      <c r="D256" t="s">
        <v>511</v>
      </c>
      <c r="E256" s="2">
        <v>1692.7</v>
      </c>
      <c r="G256" s="3">
        <f>MONTH(Tabela1[[#This Row],[Último pagto ano]])</f>
        <v>11</v>
      </c>
      <c r="H256" t="str">
        <f>TEXT(Tabela1[[#This Row],[Coluna2]]*29,"mmmm")</f>
        <v>novembro</v>
      </c>
      <c r="I256" t="str">
        <f>TEXT(MONTH(Tabela1[[#This Row],[Último pagto ano]])*29,"mmmm")</f>
        <v>novembro</v>
      </c>
    </row>
    <row r="257" spans="1:9" x14ac:dyDescent="0.25">
      <c r="A257">
        <v>2025</v>
      </c>
      <c r="B257" t="s">
        <v>512</v>
      </c>
      <c r="C257" s="1">
        <v>45954</v>
      </c>
      <c r="D257" t="s">
        <v>513</v>
      </c>
      <c r="E257" s="2">
        <v>89123.520000000004</v>
      </c>
      <c r="G257" s="3">
        <f>MONTH(Tabela1[[#This Row],[Último pagto ano]])</f>
        <v>10</v>
      </c>
      <c r="H257" t="str">
        <f>TEXT(Tabela1[[#This Row],[Coluna2]]*29,"mmmm")</f>
        <v>outubro</v>
      </c>
      <c r="I257" t="str">
        <f>TEXT(MONTH(Tabela1[[#This Row],[Último pagto ano]])*29,"mmmm")</f>
        <v>outubro</v>
      </c>
    </row>
    <row r="258" spans="1:9" x14ac:dyDescent="0.25">
      <c r="A258">
        <v>2025</v>
      </c>
      <c r="B258" t="s">
        <v>514</v>
      </c>
      <c r="C258" s="1">
        <v>45974</v>
      </c>
      <c r="D258" t="s">
        <v>515</v>
      </c>
      <c r="E258" s="2">
        <v>3303.3</v>
      </c>
      <c r="G258" s="3">
        <f>MONTH(Tabela1[[#This Row],[Último pagto ano]])</f>
        <v>11</v>
      </c>
      <c r="H258" t="str">
        <f>TEXT(Tabela1[[#This Row],[Coluna2]]*29,"mmmm")</f>
        <v>novembro</v>
      </c>
      <c r="I258" t="str">
        <f>TEXT(MONTH(Tabela1[[#This Row],[Último pagto ano]])*29,"mmmm")</f>
        <v>novembro</v>
      </c>
    </row>
    <row r="259" spans="1:9" x14ac:dyDescent="0.25">
      <c r="A259">
        <v>2025</v>
      </c>
      <c r="B259" t="s">
        <v>516</v>
      </c>
      <c r="C259" s="1">
        <v>45747</v>
      </c>
      <c r="D259" t="s">
        <v>517</v>
      </c>
      <c r="E259" s="2">
        <v>25412.04</v>
      </c>
      <c r="G259" s="3">
        <f>MONTH(Tabela1[[#This Row],[Último pagto ano]])</f>
        <v>3</v>
      </c>
      <c r="H259" t="str">
        <f>TEXT(Tabela1[[#This Row],[Coluna2]]*29,"mmmm")</f>
        <v>março</v>
      </c>
      <c r="I259" t="str">
        <f>TEXT(MONTH(Tabela1[[#This Row],[Último pagto ano]])*29,"mmmm")</f>
        <v>março</v>
      </c>
    </row>
    <row r="260" spans="1:9" x14ac:dyDescent="0.25">
      <c r="A260">
        <v>2025</v>
      </c>
      <c r="B260" t="s">
        <v>518</v>
      </c>
      <c r="C260" s="1">
        <v>45992</v>
      </c>
      <c r="D260" t="s">
        <v>519</v>
      </c>
      <c r="E260" s="2">
        <v>61233.5</v>
      </c>
      <c r="G260" s="3">
        <f>MONTH(Tabela1[[#This Row],[Último pagto ano]])</f>
        <v>12</v>
      </c>
      <c r="H260" t="str">
        <f>TEXT(Tabela1[[#This Row],[Coluna2]]*29,"mmmm")</f>
        <v>dezembro</v>
      </c>
      <c r="I260" t="str">
        <f>TEXT(MONTH(Tabela1[[#This Row],[Último pagto ano]])*29,"mmmm")</f>
        <v>dezembro</v>
      </c>
    </row>
    <row r="261" spans="1:9" x14ac:dyDescent="0.25">
      <c r="A261">
        <v>2025</v>
      </c>
      <c r="B261" t="s">
        <v>520</v>
      </c>
      <c r="C261" s="1">
        <v>45908</v>
      </c>
      <c r="D261" t="s">
        <v>521</v>
      </c>
      <c r="E261" s="2">
        <v>10000</v>
      </c>
      <c r="G261" s="3">
        <f>MONTH(Tabela1[[#This Row],[Último pagto ano]])</f>
        <v>9</v>
      </c>
      <c r="H261" t="str">
        <f>TEXT(Tabela1[[#This Row],[Coluna2]]*29,"mmmm")</f>
        <v>setembro</v>
      </c>
      <c r="I261" t="str">
        <f>TEXT(MONTH(Tabela1[[#This Row],[Último pagto ano]])*29,"mmmm")</f>
        <v>setembro</v>
      </c>
    </row>
    <row r="262" spans="1:9" x14ac:dyDescent="0.25">
      <c r="A262">
        <v>2025</v>
      </c>
      <c r="B262" t="s">
        <v>522</v>
      </c>
      <c r="C262" s="1">
        <v>45894</v>
      </c>
      <c r="D262" t="s">
        <v>523</v>
      </c>
      <c r="E262" s="2">
        <v>5600</v>
      </c>
      <c r="G262" s="3">
        <f>MONTH(Tabela1[[#This Row],[Último pagto ano]])</f>
        <v>8</v>
      </c>
      <c r="H262" t="str">
        <f>TEXT(Tabela1[[#This Row],[Coluna2]]*29,"mmmm")</f>
        <v>agosto</v>
      </c>
      <c r="I262" t="str">
        <f>TEXT(MONTH(Tabela1[[#This Row],[Último pagto ano]])*29,"mmmm")</f>
        <v>agosto</v>
      </c>
    </row>
    <row r="263" spans="1:9" x14ac:dyDescent="0.25">
      <c r="A263">
        <v>2025</v>
      </c>
      <c r="B263" t="s">
        <v>524</v>
      </c>
      <c r="C263" s="1">
        <v>46006</v>
      </c>
      <c r="D263" t="s">
        <v>525</v>
      </c>
      <c r="E263" s="2">
        <v>11806.56</v>
      </c>
      <c r="G263" s="3">
        <f>MONTH(Tabela1[[#This Row],[Último pagto ano]])</f>
        <v>12</v>
      </c>
      <c r="H263" t="str">
        <f>TEXT(Tabela1[[#This Row],[Coluna2]]*29,"mmmm")</f>
        <v>dezembro</v>
      </c>
      <c r="I263" t="str">
        <f>TEXT(MONTH(Tabela1[[#This Row],[Último pagto ano]])*29,"mmmm")</f>
        <v>dezembro</v>
      </c>
    </row>
    <row r="264" spans="1:9" x14ac:dyDescent="0.25">
      <c r="A264">
        <v>2025</v>
      </c>
      <c r="B264" t="s">
        <v>526</v>
      </c>
      <c r="C264" s="1">
        <v>45873</v>
      </c>
      <c r="D264" t="s">
        <v>527</v>
      </c>
      <c r="E264">
        <v>88</v>
      </c>
      <c r="G264" s="3">
        <f>MONTH(Tabela1[[#This Row],[Último pagto ano]])</f>
        <v>8</v>
      </c>
      <c r="H264" t="str">
        <f>TEXT(Tabela1[[#This Row],[Coluna2]]*29,"mmmm")</f>
        <v>agosto</v>
      </c>
      <c r="I264" t="str">
        <f>TEXT(MONTH(Tabela1[[#This Row],[Último pagto ano]])*29,"mmmm")</f>
        <v>agosto</v>
      </c>
    </row>
    <row r="265" spans="1:9" x14ac:dyDescent="0.25">
      <c r="A265">
        <v>2025</v>
      </c>
      <c r="B265" t="s">
        <v>528</v>
      </c>
      <c r="C265" s="1">
        <v>45993</v>
      </c>
      <c r="D265" t="s">
        <v>529</v>
      </c>
      <c r="E265" s="2">
        <v>9168.61</v>
      </c>
      <c r="G265" s="3">
        <f>MONTH(Tabela1[[#This Row],[Último pagto ano]])</f>
        <v>12</v>
      </c>
      <c r="H265" t="str">
        <f>TEXT(Tabela1[[#This Row],[Coluna2]]*29,"mmmm")</f>
        <v>dezembro</v>
      </c>
      <c r="I265" t="str">
        <f>TEXT(MONTH(Tabela1[[#This Row],[Último pagto ano]])*29,"mmmm")</f>
        <v>dezembro</v>
      </c>
    </row>
    <row r="266" spans="1:9" x14ac:dyDescent="0.25">
      <c r="A266">
        <v>2025</v>
      </c>
      <c r="B266" t="s">
        <v>530</v>
      </c>
      <c r="C266" s="1">
        <v>45999</v>
      </c>
      <c r="D266" t="s">
        <v>531</v>
      </c>
      <c r="E266">
        <v>132</v>
      </c>
      <c r="G266" s="3">
        <f>MONTH(Tabela1[[#This Row],[Último pagto ano]])</f>
        <v>12</v>
      </c>
      <c r="H266" t="str">
        <f>TEXT(Tabela1[[#This Row],[Coluna2]]*29,"mmmm")</f>
        <v>dezembro</v>
      </c>
      <c r="I266" t="str">
        <f>TEXT(MONTH(Tabela1[[#This Row],[Último pagto ano]])*29,"mmmm")</f>
        <v>dezembro</v>
      </c>
    </row>
    <row r="267" spans="1:9" x14ac:dyDescent="0.25">
      <c r="A267">
        <v>2025</v>
      </c>
      <c r="B267" t="s">
        <v>532</v>
      </c>
      <c r="C267" s="1">
        <v>45771</v>
      </c>
      <c r="D267" t="s">
        <v>533</v>
      </c>
      <c r="E267" s="2">
        <v>11097.96</v>
      </c>
      <c r="G267" s="3">
        <f>MONTH(Tabela1[[#This Row],[Último pagto ano]])</f>
        <v>4</v>
      </c>
      <c r="H267" t="str">
        <f>TEXT(Tabela1[[#This Row],[Coluna2]]*29,"mmmm")</f>
        <v>abril</v>
      </c>
      <c r="I267" t="str">
        <f>TEXT(MONTH(Tabela1[[#This Row],[Último pagto ano]])*29,"mmmm")</f>
        <v>abril</v>
      </c>
    </row>
    <row r="268" spans="1:9" x14ac:dyDescent="0.25">
      <c r="A268">
        <v>2025</v>
      </c>
      <c r="B268" t="s">
        <v>534</v>
      </c>
      <c r="C268" s="1">
        <v>46006</v>
      </c>
      <c r="D268" t="s">
        <v>535</v>
      </c>
      <c r="E268" s="2">
        <v>22665.48</v>
      </c>
      <c r="G268" s="3">
        <f>MONTH(Tabela1[[#This Row],[Último pagto ano]])</f>
        <v>12</v>
      </c>
      <c r="H268" t="str">
        <f>TEXT(Tabela1[[#This Row],[Coluna2]]*29,"mmmm")</f>
        <v>dezembro</v>
      </c>
      <c r="I268" t="str">
        <f>TEXT(MONTH(Tabela1[[#This Row],[Último pagto ano]])*29,"mmmm")</f>
        <v>dezembro</v>
      </c>
    </row>
    <row r="269" spans="1:9" x14ac:dyDescent="0.25">
      <c r="A269">
        <v>2025</v>
      </c>
      <c r="B269" t="s">
        <v>536</v>
      </c>
      <c r="C269" s="1">
        <v>45853</v>
      </c>
      <c r="D269" t="s">
        <v>537</v>
      </c>
      <c r="E269" s="2">
        <v>4900</v>
      </c>
      <c r="G269" s="3">
        <f>MONTH(Tabela1[[#This Row],[Último pagto ano]])</f>
        <v>7</v>
      </c>
      <c r="H269" t="str">
        <f>TEXT(Tabela1[[#This Row],[Coluna2]]*29,"mmmm")</f>
        <v>julho</v>
      </c>
      <c r="I269" t="str">
        <f>TEXT(MONTH(Tabela1[[#This Row],[Último pagto ano]])*29,"mmmm")</f>
        <v>julho</v>
      </c>
    </row>
    <row r="270" spans="1:9" x14ac:dyDescent="0.25">
      <c r="A270">
        <v>2025</v>
      </c>
      <c r="B270" t="s">
        <v>538</v>
      </c>
      <c r="C270" s="1">
        <v>46006</v>
      </c>
      <c r="D270" t="s">
        <v>539</v>
      </c>
      <c r="E270" s="2">
        <v>3257.76</v>
      </c>
      <c r="G270" s="3">
        <f>MONTH(Tabela1[[#This Row],[Último pagto ano]])</f>
        <v>12</v>
      </c>
      <c r="H270" t="str">
        <f>TEXT(Tabela1[[#This Row],[Coluna2]]*29,"mmmm")</f>
        <v>dezembro</v>
      </c>
      <c r="I270" t="str">
        <f>TEXT(MONTH(Tabela1[[#This Row],[Último pagto ano]])*29,"mmmm")</f>
        <v>dezembro</v>
      </c>
    </row>
    <row r="271" spans="1:9" x14ac:dyDescent="0.25">
      <c r="A271">
        <v>2025</v>
      </c>
      <c r="B271" t="s">
        <v>540</v>
      </c>
      <c r="C271" s="1">
        <v>46010</v>
      </c>
      <c r="D271" t="s">
        <v>541</v>
      </c>
      <c r="E271" s="2">
        <v>2800</v>
      </c>
      <c r="G271" s="3">
        <f>MONTH(Tabela1[[#This Row],[Último pagto ano]])</f>
        <v>12</v>
      </c>
      <c r="H271" t="str">
        <f>TEXT(Tabela1[[#This Row],[Coluna2]]*29,"mmmm")</f>
        <v>dezembro</v>
      </c>
      <c r="I271" t="str">
        <f>TEXT(MONTH(Tabela1[[#This Row],[Último pagto ano]])*29,"mmmm")</f>
        <v>dezembro</v>
      </c>
    </row>
    <row r="272" spans="1:9" x14ac:dyDescent="0.25">
      <c r="A272">
        <v>2025</v>
      </c>
      <c r="B272" t="s">
        <v>542</v>
      </c>
      <c r="C272" s="1">
        <v>45792</v>
      </c>
      <c r="D272" t="s">
        <v>543</v>
      </c>
      <c r="E272">
        <v>44</v>
      </c>
      <c r="G272" s="3">
        <f>MONTH(Tabela1[[#This Row],[Último pagto ano]])</f>
        <v>5</v>
      </c>
      <c r="H272" t="str">
        <f>TEXT(Tabela1[[#This Row],[Coluna2]]*29,"mmmm")</f>
        <v>maio</v>
      </c>
      <c r="I272" t="str">
        <f>TEXT(MONTH(Tabela1[[#This Row],[Último pagto ano]])*29,"mmmm")</f>
        <v>maio</v>
      </c>
    </row>
    <row r="273" spans="1:9" x14ac:dyDescent="0.25">
      <c r="A273">
        <v>2025</v>
      </c>
      <c r="B273" t="s">
        <v>544</v>
      </c>
      <c r="C273" s="1">
        <v>45911</v>
      </c>
      <c r="D273" t="s">
        <v>545</v>
      </c>
      <c r="E273" s="2">
        <v>2903.23</v>
      </c>
      <c r="G273" s="3">
        <f>MONTH(Tabela1[[#This Row],[Último pagto ano]])</f>
        <v>9</v>
      </c>
      <c r="H273" t="str">
        <f>TEXT(Tabela1[[#This Row],[Coluna2]]*29,"mmmm")</f>
        <v>setembro</v>
      </c>
      <c r="I273" t="str">
        <f>TEXT(MONTH(Tabela1[[#This Row],[Último pagto ano]])*29,"mmmm")</f>
        <v>setembro</v>
      </c>
    </row>
    <row r="274" spans="1:9" x14ac:dyDescent="0.25">
      <c r="A274">
        <v>2025</v>
      </c>
      <c r="B274" t="s">
        <v>546</v>
      </c>
      <c r="C274" s="1">
        <v>45854</v>
      </c>
      <c r="D274" t="s">
        <v>547</v>
      </c>
      <c r="E274" s="2">
        <v>1202.51</v>
      </c>
      <c r="G274" s="3">
        <f>MONTH(Tabela1[[#This Row],[Último pagto ano]])</f>
        <v>7</v>
      </c>
      <c r="H274" t="str">
        <f>TEXT(Tabela1[[#This Row],[Coluna2]]*29,"mmmm")</f>
        <v>julho</v>
      </c>
      <c r="I274" t="str">
        <f>TEXT(MONTH(Tabela1[[#This Row],[Último pagto ano]])*29,"mmmm")</f>
        <v>julho</v>
      </c>
    </row>
    <row r="275" spans="1:9" x14ac:dyDescent="0.25">
      <c r="A275">
        <v>2025</v>
      </c>
      <c r="B275" t="s">
        <v>546</v>
      </c>
      <c r="C275" s="1">
        <v>46008</v>
      </c>
      <c r="D275" t="s">
        <v>548</v>
      </c>
      <c r="E275">
        <v>114.59</v>
      </c>
      <c r="G275" s="3">
        <f>MONTH(Tabela1[[#This Row],[Último pagto ano]])</f>
        <v>12</v>
      </c>
      <c r="H275" t="str">
        <f>TEXT(Tabela1[[#This Row],[Coluna2]]*29,"mmmm")</f>
        <v>dezembro</v>
      </c>
      <c r="I275" t="str">
        <f>TEXT(MONTH(Tabela1[[#This Row],[Último pagto ano]])*29,"mmmm")</f>
        <v>dezembro</v>
      </c>
    </row>
    <row r="276" spans="1:9" x14ac:dyDescent="0.25">
      <c r="A276">
        <v>2025</v>
      </c>
      <c r="B276" t="s">
        <v>549</v>
      </c>
      <c r="C276" s="1">
        <v>45890</v>
      </c>
      <c r="D276" t="s">
        <v>550</v>
      </c>
      <c r="E276" s="2">
        <v>12150</v>
      </c>
      <c r="G276" s="3">
        <f>MONTH(Tabela1[[#This Row],[Último pagto ano]])</f>
        <v>8</v>
      </c>
      <c r="H276" t="str">
        <f>TEXT(Tabela1[[#This Row],[Coluna2]]*29,"mmmm")</f>
        <v>agosto</v>
      </c>
      <c r="I276" t="str">
        <f>TEXT(MONTH(Tabela1[[#This Row],[Último pagto ano]])*29,"mmmm")</f>
        <v>agosto</v>
      </c>
    </row>
    <row r="277" spans="1:9" x14ac:dyDescent="0.25">
      <c r="A277">
        <v>2025</v>
      </c>
      <c r="B277" t="s">
        <v>551</v>
      </c>
      <c r="C277" s="1">
        <v>46010</v>
      </c>
      <c r="D277" t="s">
        <v>552</v>
      </c>
      <c r="E277" s="2">
        <v>8400</v>
      </c>
      <c r="G277" s="3">
        <f>MONTH(Tabela1[[#This Row],[Último pagto ano]])</f>
        <v>12</v>
      </c>
      <c r="H277" t="str">
        <f>TEXT(Tabela1[[#This Row],[Coluna2]]*29,"mmmm")</f>
        <v>dezembro</v>
      </c>
      <c r="I277" t="str">
        <f>TEXT(MONTH(Tabela1[[#This Row],[Último pagto ano]])*29,"mmmm")</f>
        <v>dezembro</v>
      </c>
    </row>
    <row r="278" spans="1:9" x14ac:dyDescent="0.25">
      <c r="A278">
        <v>2025</v>
      </c>
      <c r="B278" t="s">
        <v>553</v>
      </c>
      <c r="C278" s="1">
        <v>45894</v>
      </c>
      <c r="D278" t="s">
        <v>554</v>
      </c>
      <c r="E278" s="2">
        <v>5600</v>
      </c>
      <c r="G278" s="3">
        <f>MONTH(Tabela1[[#This Row],[Último pagto ano]])</f>
        <v>8</v>
      </c>
      <c r="H278" t="str">
        <f>TEXT(Tabela1[[#This Row],[Coluna2]]*29,"mmmm")</f>
        <v>agosto</v>
      </c>
      <c r="I278" t="str">
        <f>TEXT(MONTH(Tabela1[[#This Row],[Último pagto ano]])*29,"mmmm")</f>
        <v>agosto</v>
      </c>
    </row>
    <row r="279" spans="1:9" x14ac:dyDescent="0.25">
      <c r="A279">
        <v>2025</v>
      </c>
      <c r="B279" t="s">
        <v>555</v>
      </c>
      <c r="C279" s="1">
        <v>46014</v>
      </c>
      <c r="D279" t="s">
        <v>556</v>
      </c>
      <c r="E279" s="2">
        <v>8993.3700000000008</v>
      </c>
      <c r="G279" s="3">
        <f>MONTH(Tabela1[[#This Row],[Último pagto ano]])</f>
        <v>12</v>
      </c>
      <c r="H279" t="str">
        <f>TEXT(Tabela1[[#This Row],[Coluna2]]*29,"mmmm")</f>
        <v>dezembro</v>
      </c>
      <c r="I279" t="str">
        <f>TEXT(MONTH(Tabela1[[#This Row],[Último pagto ano]])*29,"mmmm")</f>
        <v>dezembro</v>
      </c>
    </row>
    <row r="280" spans="1:9" x14ac:dyDescent="0.25">
      <c r="A280">
        <v>2025</v>
      </c>
      <c r="B280" t="s">
        <v>557</v>
      </c>
      <c r="C280" s="1">
        <v>45722</v>
      </c>
      <c r="D280" t="s">
        <v>558</v>
      </c>
      <c r="E280" s="2">
        <v>18208.2</v>
      </c>
      <c r="G280" s="3">
        <f>MONTH(Tabela1[[#This Row],[Último pagto ano]])</f>
        <v>3</v>
      </c>
      <c r="H280" t="str">
        <f>TEXT(Tabela1[[#This Row],[Coluna2]]*29,"mmmm")</f>
        <v>março</v>
      </c>
      <c r="I280" t="str">
        <f>TEXT(MONTH(Tabela1[[#This Row],[Último pagto ano]])*29,"mmmm")</f>
        <v>março</v>
      </c>
    </row>
    <row r="281" spans="1:9" x14ac:dyDescent="0.25">
      <c r="A281">
        <v>2025</v>
      </c>
      <c r="B281" t="s">
        <v>559</v>
      </c>
      <c r="C281" s="1">
        <v>46014</v>
      </c>
      <c r="D281" t="s">
        <v>560</v>
      </c>
      <c r="E281" s="2">
        <v>424708.64</v>
      </c>
      <c r="G281" s="3">
        <f>MONTH(Tabela1[[#This Row],[Último pagto ano]])</f>
        <v>12</v>
      </c>
      <c r="H281" t="str">
        <f>TEXT(Tabela1[[#This Row],[Coluna2]]*29,"mmmm")</f>
        <v>dezembro</v>
      </c>
      <c r="I281" t="str">
        <f>TEXT(MONTH(Tabela1[[#This Row],[Último pagto ano]])*29,"mmmm")</f>
        <v>dezembro</v>
      </c>
    </row>
    <row r="282" spans="1:9" x14ac:dyDescent="0.25">
      <c r="A282">
        <v>2025</v>
      </c>
      <c r="B282" t="s">
        <v>561</v>
      </c>
      <c r="C282" s="1">
        <v>45989</v>
      </c>
      <c r="D282" t="s">
        <v>562</v>
      </c>
      <c r="E282" s="2">
        <v>3259.22</v>
      </c>
      <c r="G282" s="3">
        <f>MONTH(Tabela1[[#This Row],[Último pagto ano]])</f>
        <v>11</v>
      </c>
      <c r="H282" t="str">
        <f>TEXT(Tabela1[[#This Row],[Coluna2]]*29,"mmmm")</f>
        <v>novembro</v>
      </c>
      <c r="I282" t="str">
        <f>TEXT(MONTH(Tabela1[[#This Row],[Último pagto ano]])*29,"mmmm")</f>
        <v>novembro</v>
      </c>
    </row>
    <row r="283" spans="1:9" x14ac:dyDescent="0.25">
      <c r="A283">
        <v>2025</v>
      </c>
      <c r="B283" t="s">
        <v>563</v>
      </c>
      <c r="C283" s="1">
        <v>45841</v>
      </c>
      <c r="D283" t="s">
        <v>564</v>
      </c>
      <c r="E283" s="2">
        <v>5885.82</v>
      </c>
      <c r="G283" s="3">
        <f>MONTH(Tabela1[[#This Row],[Último pagto ano]])</f>
        <v>7</v>
      </c>
      <c r="H283" t="str">
        <f>TEXT(Tabela1[[#This Row],[Coluna2]]*29,"mmmm")</f>
        <v>julho</v>
      </c>
      <c r="I283" t="str">
        <f>TEXT(MONTH(Tabela1[[#This Row],[Último pagto ano]])*29,"mmmm")</f>
        <v>julho</v>
      </c>
    </row>
    <row r="284" spans="1:9" x14ac:dyDescent="0.25">
      <c r="A284">
        <v>2025</v>
      </c>
      <c r="B284" t="s">
        <v>565</v>
      </c>
      <c r="C284" s="1">
        <v>45824</v>
      </c>
      <c r="D284" t="s">
        <v>566</v>
      </c>
      <c r="E284" s="2">
        <v>8856.89</v>
      </c>
      <c r="G284" s="3">
        <f>MONTH(Tabela1[[#This Row],[Último pagto ano]])</f>
        <v>6</v>
      </c>
      <c r="H284" t="str">
        <f>TEXT(Tabela1[[#This Row],[Coluna2]]*29,"mmmm")</f>
        <v>junho</v>
      </c>
      <c r="I284" t="str">
        <f>TEXT(MONTH(Tabela1[[#This Row],[Último pagto ano]])*29,"mmmm")</f>
        <v>junho</v>
      </c>
    </row>
    <row r="285" spans="1:9" x14ac:dyDescent="0.25">
      <c r="A285">
        <v>2025</v>
      </c>
      <c r="B285" t="s">
        <v>567</v>
      </c>
      <c r="C285" s="1">
        <v>46021</v>
      </c>
      <c r="D285" t="s">
        <v>568</v>
      </c>
      <c r="E285" s="2">
        <v>16833.12</v>
      </c>
      <c r="G285" s="3">
        <f>MONTH(Tabela1[[#This Row],[Último pagto ano]])</f>
        <v>12</v>
      </c>
      <c r="H285" t="str">
        <f>TEXT(Tabela1[[#This Row],[Coluna2]]*29,"mmmm")</f>
        <v>dezembro</v>
      </c>
      <c r="I285" t="str">
        <f>TEXT(MONTH(Tabela1[[#This Row],[Último pagto ano]])*29,"mmmm")</f>
        <v>dezembro</v>
      </c>
    </row>
    <row r="286" spans="1:9" x14ac:dyDescent="0.25">
      <c r="A286">
        <v>2025</v>
      </c>
      <c r="B286" t="s">
        <v>569</v>
      </c>
      <c r="C286" s="1">
        <v>45996</v>
      </c>
      <c r="D286" t="s">
        <v>570</v>
      </c>
      <c r="E286" s="2">
        <v>4000</v>
      </c>
      <c r="G286" s="3">
        <f>MONTH(Tabela1[[#This Row],[Último pagto ano]])</f>
        <v>12</v>
      </c>
      <c r="H286" t="str">
        <f>TEXT(Tabela1[[#This Row],[Coluna2]]*29,"mmmm")</f>
        <v>dezembro</v>
      </c>
      <c r="I286" t="str">
        <f>TEXT(MONTH(Tabela1[[#This Row],[Último pagto ano]])*29,"mmmm")</f>
        <v>dezembro</v>
      </c>
    </row>
    <row r="287" spans="1:9" x14ac:dyDescent="0.25">
      <c r="A287">
        <v>2025</v>
      </c>
      <c r="B287" t="s">
        <v>571</v>
      </c>
      <c r="C287" s="1">
        <v>45702</v>
      </c>
      <c r="D287" t="s">
        <v>572</v>
      </c>
      <c r="E287" s="2">
        <v>1154.8900000000001</v>
      </c>
      <c r="G287" s="3">
        <f>MONTH(Tabela1[[#This Row],[Último pagto ano]])</f>
        <v>2</v>
      </c>
      <c r="H287" t="str">
        <f>TEXT(Tabela1[[#This Row],[Coluna2]]*29,"mmmm")</f>
        <v>fevereiro</v>
      </c>
      <c r="I287" t="str">
        <f>TEXT(MONTH(Tabela1[[#This Row],[Último pagto ano]])*29,"mmmm")</f>
        <v>fevereiro</v>
      </c>
    </row>
    <row r="288" spans="1:9" x14ac:dyDescent="0.25">
      <c r="A288">
        <v>2025</v>
      </c>
      <c r="B288" t="s">
        <v>573</v>
      </c>
      <c r="C288" s="1">
        <v>45989</v>
      </c>
      <c r="D288" t="s">
        <v>574</v>
      </c>
      <c r="E288" s="2">
        <v>3267.11</v>
      </c>
      <c r="G288" s="3">
        <f>MONTH(Tabela1[[#This Row],[Último pagto ano]])</f>
        <v>11</v>
      </c>
      <c r="H288" t="str">
        <f>TEXT(Tabela1[[#This Row],[Coluna2]]*29,"mmmm")</f>
        <v>novembro</v>
      </c>
      <c r="I288" t="str">
        <f>TEXT(MONTH(Tabela1[[#This Row],[Último pagto ano]])*29,"mmmm")</f>
        <v>novembro</v>
      </c>
    </row>
    <row r="289" spans="1:9" x14ac:dyDescent="0.25">
      <c r="A289">
        <v>2025</v>
      </c>
      <c r="B289" t="s">
        <v>575</v>
      </c>
      <c r="C289" s="1">
        <v>45884</v>
      </c>
      <c r="D289" t="s">
        <v>576</v>
      </c>
      <c r="E289" s="2">
        <v>5735.28</v>
      </c>
      <c r="G289" s="3">
        <f>MONTH(Tabela1[[#This Row],[Último pagto ano]])</f>
        <v>8</v>
      </c>
      <c r="H289" t="str">
        <f>TEXT(Tabela1[[#This Row],[Coluna2]]*29,"mmmm")</f>
        <v>agosto</v>
      </c>
      <c r="I289" t="str">
        <f>TEXT(MONTH(Tabela1[[#This Row],[Último pagto ano]])*29,"mmmm")</f>
        <v>agosto</v>
      </c>
    </row>
    <row r="290" spans="1:9" x14ac:dyDescent="0.25">
      <c r="A290">
        <v>2025</v>
      </c>
      <c r="B290" t="s">
        <v>577</v>
      </c>
      <c r="C290" s="1">
        <v>45989</v>
      </c>
      <c r="D290" t="s">
        <v>578</v>
      </c>
      <c r="E290" s="2">
        <v>4020.78</v>
      </c>
      <c r="G290" s="3">
        <f>MONTH(Tabela1[[#This Row],[Último pagto ano]])</f>
        <v>11</v>
      </c>
      <c r="H290" t="str">
        <f>TEXT(Tabela1[[#This Row],[Coluna2]]*29,"mmmm")</f>
        <v>novembro</v>
      </c>
      <c r="I290" t="str">
        <f>TEXT(MONTH(Tabela1[[#This Row],[Último pagto ano]])*29,"mmmm")</f>
        <v>novembro</v>
      </c>
    </row>
    <row r="291" spans="1:9" x14ac:dyDescent="0.25">
      <c r="A291">
        <v>2025</v>
      </c>
      <c r="B291" t="s">
        <v>579</v>
      </c>
      <c r="C291" s="1">
        <v>45975</v>
      </c>
      <c r="D291" t="s">
        <v>580</v>
      </c>
      <c r="E291" s="2">
        <v>2638.88</v>
      </c>
      <c r="G291" s="3">
        <f>MONTH(Tabela1[[#This Row],[Último pagto ano]])</f>
        <v>11</v>
      </c>
      <c r="H291" t="str">
        <f>TEXT(Tabela1[[#This Row],[Coluna2]]*29,"mmmm")</f>
        <v>novembro</v>
      </c>
      <c r="I291" t="str">
        <f>TEXT(MONTH(Tabela1[[#This Row],[Último pagto ano]])*29,"mmmm")</f>
        <v>novembro</v>
      </c>
    </row>
    <row r="292" spans="1:9" x14ac:dyDescent="0.25">
      <c r="A292">
        <v>2025</v>
      </c>
      <c r="B292" t="s">
        <v>581</v>
      </c>
      <c r="C292" s="1">
        <v>45995</v>
      </c>
      <c r="D292" t="s">
        <v>582</v>
      </c>
      <c r="E292">
        <v>139.6</v>
      </c>
      <c r="G292" s="3">
        <f>MONTH(Tabela1[[#This Row],[Último pagto ano]])</f>
        <v>12</v>
      </c>
      <c r="H292" t="str">
        <f>TEXT(Tabela1[[#This Row],[Coluna2]]*29,"mmmm")</f>
        <v>dezembro</v>
      </c>
      <c r="I292" t="str">
        <f>TEXT(MONTH(Tabela1[[#This Row],[Último pagto ano]])*29,"mmmm")</f>
        <v>dezembro</v>
      </c>
    </row>
    <row r="293" spans="1:9" x14ac:dyDescent="0.25">
      <c r="A293">
        <v>2025</v>
      </c>
      <c r="B293" t="s">
        <v>583</v>
      </c>
      <c r="C293" s="1">
        <v>45943</v>
      </c>
      <c r="D293" t="s">
        <v>584</v>
      </c>
      <c r="E293" s="2">
        <v>2708.67</v>
      </c>
      <c r="G293" s="3">
        <f>MONTH(Tabela1[[#This Row],[Último pagto ano]])</f>
        <v>10</v>
      </c>
      <c r="H293" t="str">
        <f>TEXT(Tabela1[[#This Row],[Coluna2]]*29,"mmmm")</f>
        <v>outubro</v>
      </c>
      <c r="I293" t="str">
        <f>TEXT(MONTH(Tabela1[[#This Row],[Último pagto ano]])*29,"mmmm")</f>
        <v>outubro</v>
      </c>
    </row>
    <row r="294" spans="1:9" x14ac:dyDescent="0.25">
      <c r="A294">
        <v>2025</v>
      </c>
      <c r="B294" t="s">
        <v>585</v>
      </c>
      <c r="C294" s="1">
        <v>46014</v>
      </c>
      <c r="D294" t="s">
        <v>586</v>
      </c>
      <c r="E294">
        <v>45.22</v>
      </c>
      <c r="G294" s="3">
        <f>MONTH(Tabela1[[#This Row],[Último pagto ano]])</f>
        <v>12</v>
      </c>
      <c r="H294" t="str">
        <f>TEXT(Tabela1[[#This Row],[Coluna2]]*29,"mmmm")</f>
        <v>dezembro</v>
      </c>
      <c r="I294" t="str">
        <f>TEXT(MONTH(Tabela1[[#This Row],[Último pagto ano]])*29,"mmmm")</f>
        <v>dezembro</v>
      </c>
    </row>
    <row r="295" spans="1:9" x14ac:dyDescent="0.25">
      <c r="A295">
        <v>2025</v>
      </c>
      <c r="B295" t="s">
        <v>587</v>
      </c>
      <c r="C295" s="1">
        <v>45988</v>
      </c>
      <c r="D295" t="s">
        <v>588</v>
      </c>
      <c r="E295" s="2">
        <v>7300.7</v>
      </c>
      <c r="G295" s="3">
        <f>MONTH(Tabela1[[#This Row],[Último pagto ano]])</f>
        <v>11</v>
      </c>
      <c r="H295" t="str">
        <f>TEXT(Tabela1[[#This Row],[Coluna2]]*29,"mmmm")</f>
        <v>novembro</v>
      </c>
      <c r="I295" t="str">
        <f>TEXT(MONTH(Tabela1[[#This Row],[Último pagto ano]])*29,"mmmm")</f>
        <v>novembro</v>
      </c>
    </row>
    <row r="296" spans="1:9" x14ac:dyDescent="0.25">
      <c r="A296">
        <v>2025</v>
      </c>
      <c r="B296" t="s">
        <v>589</v>
      </c>
      <c r="C296" s="1">
        <v>45908</v>
      </c>
      <c r="D296" t="s">
        <v>590</v>
      </c>
      <c r="E296">
        <v>503.1</v>
      </c>
      <c r="G296" s="3">
        <f>MONTH(Tabela1[[#This Row],[Último pagto ano]])</f>
        <v>9</v>
      </c>
      <c r="H296" t="str">
        <f>TEXT(Tabela1[[#This Row],[Coluna2]]*29,"mmmm")</f>
        <v>setembro</v>
      </c>
      <c r="I296" t="str">
        <f>TEXT(MONTH(Tabela1[[#This Row],[Último pagto ano]])*29,"mmmm")</f>
        <v>setembro</v>
      </c>
    </row>
    <row r="297" spans="1:9" x14ac:dyDescent="0.25">
      <c r="A297">
        <v>2025</v>
      </c>
      <c r="B297" t="s">
        <v>591</v>
      </c>
      <c r="C297" s="1">
        <v>45989</v>
      </c>
      <c r="D297" t="s">
        <v>592</v>
      </c>
      <c r="E297" s="2">
        <v>11399.3</v>
      </c>
      <c r="G297" s="3">
        <f>MONTH(Tabela1[[#This Row],[Último pagto ano]])</f>
        <v>11</v>
      </c>
      <c r="H297" t="str">
        <f>TEXT(Tabela1[[#This Row],[Coluna2]]*29,"mmmm")</f>
        <v>novembro</v>
      </c>
      <c r="I297" t="str">
        <f>TEXT(MONTH(Tabela1[[#This Row],[Último pagto ano]])*29,"mmmm")</f>
        <v>novembro</v>
      </c>
    </row>
    <row r="298" spans="1:9" x14ac:dyDescent="0.25">
      <c r="A298">
        <v>2025</v>
      </c>
      <c r="B298" t="s">
        <v>593</v>
      </c>
      <c r="C298" s="1">
        <v>45831</v>
      </c>
      <c r="D298" t="s">
        <v>594</v>
      </c>
      <c r="E298" s="2">
        <v>7058.97</v>
      </c>
      <c r="G298" s="3">
        <f>MONTH(Tabela1[[#This Row],[Último pagto ano]])</f>
        <v>6</v>
      </c>
      <c r="H298" t="str">
        <f>TEXT(Tabela1[[#This Row],[Coluna2]]*29,"mmmm")</f>
        <v>junho</v>
      </c>
      <c r="I298" t="str">
        <f>TEXT(MONTH(Tabela1[[#This Row],[Último pagto ano]])*29,"mmmm")</f>
        <v>junho</v>
      </c>
    </row>
    <row r="299" spans="1:9" x14ac:dyDescent="0.25">
      <c r="A299">
        <v>2025</v>
      </c>
      <c r="B299" t="s">
        <v>595</v>
      </c>
      <c r="C299" s="1">
        <v>45971</v>
      </c>
      <c r="D299" t="s">
        <v>596</v>
      </c>
      <c r="E299">
        <v>721.2</v>
      </c>
      <c r="G299" s="3">
        <f>MONTH(Tabela1[[#This Row],[Último pagto ano]])</f>
        <v>11</v>
      </c>
      <c r="H299" t="str">
        <f>TEXT(Tabela1[[#This Row],[Coluna2]]*29,"mmmm")</f>
        <v>novembro</v>
      </c>
      <c r="I299" t="str">
        <f>TEXT(MONTH(Tabela1[[#This Row],[Último pagto ano]])*29,"mmmm")</f>
        <v>novembro</v>
      </c>
    </row>
    <row r="300" spans="1:9" x14ac:dyDescent="0.25">
      <c r="A300">
        <v>2025</v>
      </c>
      <c r="B300" t="s">
        <v>597</v>
      </c>
      <c r="C300" s="1">
        <v>45852</v>
      </c>
      <c r="D300" t="s">
        <v>598</v>
      </c>
      <c r="E300">
        <v>384.22</v>
      </c>
      <c r="G300" s="3">
        <f>MONTH(Tabela1[[#This Row],[Último pagto ano]])</f>
        <v>7</v>
      </c>
      <c r="H300" t="str">
        <f>TEXT(Tabela1[[#This Row],[Coluna2]]*29,"mmmm")</f>
        <v>julho</v>
      </c>
      <c r="I300" t="str">
        <f>TEXT(MONTH(Tabela1[[#This Row],[Último pagto ano]])*29,"mmmm")</f>
        <v>julho</v>
      </c>
    </row>
    <row r="301" spans="1:9" x14ac:dyDescent="0.25">
      <c r="A301">
        <v>2025</v>
      </c>
      <c r="B301" t="s">
        <v>599</v>
      </c>
      <c r="C301" s="1">
        <v>45887</v>
      </c>
      <c r="D301" t="s">
        <v>600</v>
      </c>
      <c r="E301">
        <v>44</v>
      </c>
      <c r="G301" s="3">
        <f>MONTH(Tabela1[[#This Row],[Último pagto ano]])</f>
        <v>8</v>
      </c>
      <c r="H301" t="str">
        <f>TEXT(Tabela1[[#This Row],[Coluna2]]*29,"mmmm")</f>
        <v>agosto</v>
      </c>
      <c r="I301" t="str">
        <f>TEXT(MONTH(Tabela1[[#This Row],[Último pagto ano]])*29,"mmmm")</f>
        <v>agosto</v>
      </c>
    </row>
    <row r="302" spans="1:9" x14ac:dyDescent="0.25">
      <c r="A302">
        <v>2025</v>
      </c>
      <c r="B302" t="s">
        <v>601</v>
      </c>
      <c r="C302" s="1">
        <v>45702</v>
      </c>
      <c r="D302" t="s">
        <v>602</v>
      </c>
      <c r="E302">
        <v>31.93</v>
      </c>
      <c r="G302" s="3">
        <f>MONTH(Tabela1[[#This Row],[Último pagto ano]])</f>
        <v>2</v>
      </c>
      <c r="H302" t="str">
        <f>TEXT(Tabela1[[#This Row],[Coluna2]]*29,"mmmm")</f>
        <v>fevereiro</v>
      </c>
      <c r="I302" t="str">
        <f>TEXT(MONTH(Tabela1[[#This Row],[Último pagto ano]])*29,"mmmm")</f>
        <v>fevereiro</v>
      </c>
    </row>
    <row r="303" spans="1:9" x14ac:dyDescent="0.25">
      <c r="A303">
        <v>2025</v>
      </c>
      <c r="B303" t="s">
        <v>603</v>
      </c>
      <c r="C303" s="1">
        <v>45947</v>
      </c>
      <c r="D303" t="s">
        <v>604</v>
      </c>
      <c r="E303" s="2">
        <v>22778.34</v>
      </c>
      <c r="G303" s="3">
        <f>MONTH(Tabela1[[#This Row],[Último pagto ano]])</f>
        <v>10</v>
      </c>
      <c r="H303" t="str">
        <f>TEXT(Tabela1[[#This Row],[Coluna2]]*29,"mmmm")</f>
        <v>outubro</v>
      </c>
      <c r="I303" t="str">
        <f>TEXT(MONTH(Tabela1[[#This Row],[Último pagto ano]])*29,"mmmm")</f>
        <v>outubro</v>
      </c>
    </row>
    <row r="304" spans="1:9" x14ac:dyDescent="0.25">
      <c r="A304">
        <v>2025</v>
      </c>
      <c r="B304" t="s">
        <v>605</v>
      </c>
      <c r="C304" s="1">
        <v>45908</v>
      </c>
      <c r="D304" t="s">
        <v>606</v>
      </c>
      <c r="E304" s="2">
        <v>1338</v>
      </c>
      <c r="G304" s="3">
        <f>MONTH(Tabela1[[#This Row],[Último pagto ano]])</f>
        <v>9</v>
      </c>
      <c r="H304" t="str">
        <f>TEXT(Tabela1[[#This Row],[Coluna2]]*29,"mmmm")</f>
        <v>setembro</v>
      </c>
      <c r="I304" t="str">
        <f>TEXT(MONTH(Tabela1[[#This Row],[Último pagto ano]])*29,"mmmm")</f>
        <v>setembro</v>
      </c>
    </row>
    <row r="305" spans="1:9" x14ac:dyDescent="0.25">
      <c r="A305">
        <v>2025</v>
      </c>
      <c r="B305" t="s">
        <v>607</v>
      </c>
      <c r="C305" s="1">
        <v>46021</v>
      </c>
      <c r="D305" t="s">
        <v>608</v>
      </c>
      <c r="E305" s="2">
        <v>10350.59</v>
      </c>
      <c r="G305" s="3">
        <f>MONTH(Tabela1[[#This Row],[Último pagto ano]])</f>
        <v>12</v>
      </c>
      <c r="H305" t="str">
        <f>TEXT(Tabela1[[#This Row],[Coluna2]]*29,"mmmm")</f>
        <v>dezembro</v>
      </c>
      <c r="I305" t="str">
        <f>TEXT(MONTH(Tabela1[[#This Row],[Último pagto ano]])*29,"mmmm")</f>
        <v>dezembro</v>
      </c>
    </row>
    <row r="306" spans="1:9" x14ac:dyDescent="0.25">
      <c r="A306">
        <v>2025</v>
      </c>
      <c r="B306" t="s">
        <v>609</v>
      </c>
      <c r="C306" s="1">
        <v>45911</v>
      </c>
      <c r="D306" t="s">
        <v>610</v>
      </c>
      <c r="E306" s="2">
        <v>1702.11</v>
      </c>
      <c r="G306" s="3">
        <f>MONTH(Tabela1[[#This Row],[Último pagto ano]])</f>
        <v>9</v>
      </c>
      <c r="H306" t="str">
        <f>TEXT(Tabela1[[#This Row],[Coluna2]]*29,"mmmm")</f>
        <v>setembro</v>
      </c>
      <c r="I306" t="str">
        <f>TEXT(MONTH(Tabela1[[#This Row],[Último pagto ano]])*29,"mmmm")</f>
        <v>setembro</v>
      </c>
    </row>
    <row r="307" spans="1:9" x14ac:dyDescent="0.25">
      <c r="A307">
        <v>2025</v>
      </c>
      <c r="B307" t="s">
        <v>611</v>
      </c>
      <c r="C307" s="1">
        <v>45989</v>
      </c>
      <c r="D307" t="s">
        <v>612</v>
      </c>
      <c r="E307" s="2">
        <v>6943.46</v>
      </c>
      <c r="G307" s="3">
        <f>MONTH(Tabela1[[#This Row],[Último pagto ano]])</f>
        <v>11</v>
      </c>
      <c r="H307" t="str">
        <f>TEXT(Tabela1[[#This Row],[Coluna2]]*29,"mmmm")</f>
        <v>novembro</v>
      </c>
      <c r="I307" t="str">
        <f>TEXT(MONTH(Tabela1[[#This Row],[Último pagto ano]])*29,"mmmm")</f>
        <v>novembro</v>
      </c>
    </row>
    <row r="308" spans="1:9" x14ac:dyDescent="0.25">
      <c r="A308">
        <v>2025</v>
      </c>
      <c r="B308" t="s">
        <v>613</v>
      </c>
      <c r="C308" s="1">
        <v>45883</v>
      </c>
      <c r="D308" t="s">
        <v>614</v>
      </c>
      <c r="E308">
        <v>600</v>
      </c>
      <c r="G308" s="3">
        <f>MONTH(Tabela1[[#This Row],[Último pagto ano]])</f>
        <v>8</v>
      </c>
      <c r="H308" t="str">
        <f>TEXT(Tabela1[[#This Row],[Coluna2]]*29,"mmmm")</f>
        <v>agosto</v>
      </c>
      <c r="I308" t="str">
        <f>TEXT(MONTH(Tabela1[[#This Row],[Último pagto ano]])*29,"mmmm")</f>
        <v>agosto</v>
      </c>
    </row>
    <row r="309" spans="1:9" x14ac:dyDescent="0.25">
      <c r="A309">
        <v>2025</v>
      </c>
      <c r="B309" t="s">
        <v>615</v>
      </c>
      <c r="C309" s="1">
        <v>45813</v>
      </c>
      <c r="D309" t="s">
        <v>616</v>
      </c>
      <c r="E309" s="2">
        <v>3883.2</v>
      </c>
      <c r="G309" s="3">
        <f>MONTH(Tabela1[[#This Row],[Último pagto ano]])</f>
        <v>6</v>
      </c>
      <c r="H309" t="str">
        <f>TEXT(Tabela1[[#This Row],[Coluna2]]*29,"mmmm")</f>
        <v>junho</v>
      </c>
      <c r="I309" t="str">
        <f>TEXT(MONTH(Tabela1[[#This Row],[Último pagto ano]])*29,"mmmm")</f>
        <v>junho</v>
      </c>
    </row>
    <row r="310" spans="1:9" x14ac:dyDescent="0.25">
      <c r="A310">
        <v>2025</v>
      </c>
      <c r="B310" t="s">
        <v>617</v>
      </c>
      <c r="C310" s="1">
        <v>45803</v>
      </c>
      <c r="D310" t="s">
        <v>618</v>
      </c>
      <c r="E310">
        <v>209</v>
      </c>
      <c r="G310" s="3">
        <f>MONTH(Tabela1[[#This Row],[Último pagto ano]])</f>
        <v>5</v>
      </c>
      <c r="H310" t="str">
        <f>TEXT(Tabela1[[#This Row],[Coluna2]]*29,"mmmm")</f>
        <v>maio</v>
      </c>
      <c r="I310" t="str">
        <f>TEXT(MONTH(Tabela1[[#This Row],[Último pagto ano]])*29,"mmmm")</f>
        <v>maio</v>
      </c>
    </row>
    <row r="311" spans="1:9" x14ac:dyDescent="0.25">
      <c r="A311">
        <v>2025</v>
      </c>
      <c r="B311" t="s">
        <v>619</v>
      </c>
      <c r="C311" s="1">
        <v>45876</v>
      </c>
      <c r="D311" t="s">
        <v>620</v>
      </c>
      <c r="E311" s="2">
        <v>25200</v>
      </c>
      <c r="G311" s="3">
        <f>MONTH(Tabela1[[#This Row],[Último pagto ano]])</f>
        <v>8</v>
      </c>
      <c r="H311" t="str">
        <f>TEXT(Tabela1[[#This Row],[Coluna2]]*29,"mmmm")</f>
        <v>agosto</v>
      </c>
      <c r="I311" t="str">
        <f>TEXT(MONTH(Tabela1[[#This Row],[Último pagto ano]])*29,"mmmm")</f>
        <v>agosto</v>
      </c>
    </row>
    <row r="312" spans="1:9" x14ac:dyDescent="0.25">
      <c r="A312">
        <v>2025</v>
      </c>
      <c r="B312" t="s">
        <v>621</v>
      </c>
      <c r="C312" s="1">
        <v>45672</v>
      </c>
      <c r="D312" t="s">
        <v>622</v>
      </c>
      <c r="E312">
        <v>700</v>
      </c>
      <c r="G312" s="3">
        <f>MONTH(Tabela1[[#This Row],[Último pagto ano]])</f>
        <v>1</v>
      </c>
      <c r="H312" t="str">
        <f>TEXT(Tabela1[[#This Row],[Coluna2]]*29,"mmmm")</f>
        <v>janeiro</v>
      </c>
      <c r="I312" t="str">
        <f>TEXT(MONTH(Tabela1[[#This Row],[Último pagto ano]])*29,"mmmm")</f>
        <v>janeiro</v>
      </c>
    </row>
    <row r="313" spans="1:9" x14ac:dyDescent="0.25">
      <c r="A313">
        <v>2025</v>
      </c>
      <c r="B313" t="s">
        <v>623</v>
      </c>
      <c r="C313" s="1">
        <v>46006</v>
      </c>
      <c r="D313" t="s">
        <v>624</v>
      </c>
      <c r="E313">
        <v>700</v>
      </c>
      <c r="G313" s="3">
        <f>MONTH(Tabela1[[#This Row],[Último pagto ano]])</f>
        <v>12</v>
      </c>
      <c r="H313" t="str">
        <f>TEXT(Tabela1[[#This Row],[Coluna2]]*29,"mmmm")</f>
        <v>dezembro</v>
      </c>
      <c r="I313" t="str">
        <f>TEXT(MONTH(Tabela1[[#This Row],[Último pagto ano]])*29,"mmmm")</f>
        <v>dezembro</v>
      </c>
    </row>
    <row r="314" spans="1:9" x14ac:dyDescent="0.25">
      <c r="A314">
        <v>2025</v>
      </c>
      <c r="B314" t="s">
        <v>625</v>
      </c>
      <c r="C314" s="1">
        <v>46006</v>
      </c>
      <c r="D314" t="s">
        <v>626</v>
      </c>
      <c r="E314" s="2">
        <v>7552.08</v>
      </c>
      <c r="G314" s="3">
        <f>MONTH(Tabela1[[#This Row],[Último pagto ano]])</f>
        <v>12</v>
      </c>
      <c r="H314" t="str">
        <f>TEXT(Tabela1[[#This Row],[Coluna2]]*29,"mmmm")</f>
        <v>dezembro</v>
      </c>
      <c r="I314" t="str">
        <f>TEXT(MONTH(Tabela1[[#This Row],[Último pagto ano]])*29,"mmmm")</f>
        <v>dezembro</v>
      </c>
    </row>
    <row r="315" spans="1:9" x14ac:dyDescent="0.25">
      <c r="A315">
        <v>2025</v>
      </c>
      <c r="B315" t="s">
        <v>627</v>
      </c>
      <c r="C315" s="1">
        <v>46013</v>
      </c>
      <c r="D315" t="s">
        <v>628</v>
      </c>
      <c r="E315" s="2">
        <v>3945.6</v>
      </c>
      <c r="G315" s="3">
        <f>MONTH(Tabela1[[#This Row],[Último pagto ano]])</f>
        <v>12</v>
      </c>
      <c r="H315" t="str">
        <f>TEXT(Tabela1[[#This Row],[Coluna2]]*29,"mmmm")</f>
        <v>dezembro</v>
      </c>
      <c r="I315" t="str">
        <f>TEXT(MONTH(Tabela1[[#This Row],[Último pagto ano]])*29,"mmmm")</f>
        <v>dezembro</v>
      </c>
    </row>
    <row r="316" spans="1:9" x14ac:dyDescent="0.25">
      <c r="A316">
        <v>2025</v>
      </c>
      <c r="B316" t="s">
        <v>629</v>
      </c>
      <c r="C316" s="1">
        <v>45989</v>
      </c>
      <c r="D316" t="s">
        <v>630</v>
      </c>
      <c r="E316" s="2">
        <v>7415.09</v>
      </c>
      <c r="G316" s="3">
        <f>MONTH(Tabela1[[#This Row],[Último pagto ano]])</f>
        <v>11</v>
      </c>
      <c r="H316" t="str">
        <f>TEXT(Tabela1[[#This Row],[Coluna2]]*29,"mmmm")</f>
        <v>novembro</v>
      </c>
      <c r="I316" t="str">
        <f>TEXT(MONTH(Tabela1[[#This Row],[Último pagto ano]])*29,"mmmm")</f>
        <v>novembro</v>
      </c>
    </row>
    <row r="317" spans="1:9" x14ac:dyDescent="0.25">
      <c r="A317">
        <v>2025</v>
      </c>
      <c r="B317" t="s">
        <v>631</v>
      </c>
      <c r="C317" s="1">
        <v>45817</v>
      </c>
      <c r="D317" t="s">
        <v>632</v>
      </c>
      <c r="E317">
        <v>41.3</v>
      </c>
      <c r="G317" s="3">
        <f>MONTH(Tabela1[[#This Row],[Último pagto ano]])</f>
        <v>6</v>
      </c>
      <c r="H317" t="str">
        <f>TEXT(Tabela1[[#This Row],[Coluna2]]*29,"mmmm")</f>
        <v>junho</v>
      </c>
      <c r="I317" t="str">
        <f>TEXT(MONTH(Tabela1[[#This Row],[Último pagto ano]])*29,"mmmm")</f>
        <v>junho</v>
      </c>
    </row>
    <row r="318" spans="1:9" x14ac:dyDescent="0.25">
      <c r="A318">
        <v>2025</v>
      </c>
      <c r="B318" t="s">
        <v>633</v>
      </c>
      <c r="C318" s="1">
        <v>45821</v>
      </c>
      <c r="D318" t="s">
        <v>634</v>
      </c>
      <c r="E318" s="2">
        <v>17417.939999999999</v>
      </c>
      <c r="G318" s="3">
        <f>MONTH(Tabela1[[#This Row],[Último pagto ano]])</f>
        <v>6</v>
      </c>
      <c r="H318" t="str">
        <f>TEXT(Tabela1[[#This Row],[Coluna2]]*29,"mmmm")</f>
        <v>junho</v>
      </c>
      <c r="I318" t="str">
        <f>TEXT(MONTH(Tabela1[[#This Row],[Último pagto ano]])*29,"mmmm")</f>
        <v>junho</v>
      </c>
    </row>
    <row r="319" spans="1:9" x14ac:dyDescent="0.25">
      <c r="A319">
        <v>2025</v>
      </c>
      <c r="B319" t="s">
        <v>635</v>
      </c>
      <c r="C319" s="1">
        <v>45777</v>
      </c>
      <c r="D319" t="s">
        <v>636</v>
      </c>
      <c r="E319" s="2">
        <v>3917.69</v>
      </c>
      <c r="G319" s="3">
        <f>MONTH(Tabela1[[#This Row],[Último pagto ano]])</f>
        <v>4</v>
      </c>
      <c r="H319" t="str">
        <f>TEXT(Tabela1[[#This Row],[Coluna2]]*29,"mmmm")</f>
        <v>abril</v>
      </c>
      <c r="I319" t="str">
        <f>TEXT(MONTH(Tabela1[[#This Row],[Último pagto ano]])*29,"mmmm")</f>
        <v>abril</v>
      </c>
    </row>
    <row r="320" spans="1:9" x14ac:dyDescent="0.25">
      <c r="A320">
        <v>2025</v>
      </c>
      <c r="B320" t="s">
        <v>637</v>
      </c>
      <c r="C320" s="1">
        <v>46013</v>
      </c>
      <c r="D320" t="s">
        <v>638</v>
      </c>
      <c r="E320">
        <v>163.80000000000001</v>
      </c>
      <c r="G320" s="3">
        <f>MONTH(Tabela1[[#This Row],[Último pagto ano]])</f>
        <v>12</v>
      </c>
      <c r="H320" t="str">
        <f>TEXT(Tabela1[[#This Row],[Coluna2]]*29,"mmmm")</f>
        <v>dezembro</v>
      </c>
      <c r="I320" t="str">
        <f>TEXT(MONTH(Tabela1[[#This Row],[Último pagto ano]])*29,"mmmm")</f>
        <v>dezembro</v>
      </c>
    </row>
    <row r="321" spans="1:9" x14ac:dyDescent="0.25">
      <c r="A321">
        <v>2025</v>
      </c>
      <c r="B321" t="s">
        <v>639</v>
      </c>
      <c r="C321" s="1">
        <v>45996</v>
      </c>
      <c r="D321" t="s">
        <v>640</v>
      </c>
      <c r="E321" s="2">
        <v>20518.650000000001</v>
      </c>
      <c r="G321" s="3">
        <f>MONTH(Tabela1[[#This Row],[Último pagto ano]])</f>
        <v>12</v>
      </c>
      <c r="H321" t="str">
        <f>TEXT(Tabela1[[#This Row],[Coluna2]]*29,"mmmm")</f>
        <v>dezembro</v>
      </c>
      <c r="I321" t="str">
        <f>TEXT(MONTH(Tabela1[[#This Row],[Último pagto ano]])*29,"mmmm")</f>
        <v>dezembro</v>
      </c>
    </row>
    <row r="322" spans="1:9" x14ac:dyDescent="0.25">
      <c r="A322">
        <v>2025</v>
      </c>
      <c r="B322" t="s">
        <v>641</v>
      </c>
      <c r="C322" s="1">
        <v>45868</v>
      </c>
      <c r="D322" t="s">
        <v>642</v>
      </c>
      <c r="E322" s="2">
        <v>6962.3</v>
      </c>
      <c r="G322" s="3">
        <f>MONTH(Tabela1[[#This Row],[Último pagto ano]])</f>
        <v>7</v>
      </c>
      <c r="H322" t="str">
        <f>TEXT(Tabela1[[#This Row],[Coluna2]]*29,"mmmm")</f>
        <v>julho</v>
      </c>
      <c r="I322" t="str">
        <f>TEXT(MONTH(Tabela1[[#This Row],[Último pagto ano]])*29,"mmmm")</f>
        <v>julho</v>
      </c>
    </row>
    <row r="323" spans="1:9" x14ac:dyDescent="0.25">
      <c r="A323">
        <v>2025</v>
      </c>
      <c r="B323" t="s">
        <v>643</v>
      </c>
      <c r="C323" s="1">
        <v>45988</v>
      </c>
      <c r="D323" t="s">
        <v>644</v>
      </c>
      <c r="E323" s="2">
        <v>7643.9</v>
      </c>
      <c r="G323" s="3">
        <f>MONTH(Tabela1[[#This Row],[Último pagto ano]])</f>
        <v>11</v>
      </c>
      <c r="H323" t="str">
        <f>TEXT(Tabela1[[#This Row],[Coluna2]]*29,"mmmm")</f>
        <v>novembro</v>
      </c>
      <c r="I323" t="str">
        <f>TEXT(MONTH(Tabela1[[#This Row],[Último pagto ano]])*29,"mmmm")</f>
        <v>novembro</v>
      </c>
    </row>
    <row r="324" spans="1:9" x14ac:dyDescent="0.25">
      <c r="A324">
        <v>2025</v>
      </c>
      <c r="B324" t="s">
        <v>645</v>
      </c>
      <c r="C324" s="1">
        <v>45898</v>
      </c>
      <c r="D324" t="s">
        <v>646</v>
      </c>
      <c r="E324" s="2">
        <v>7987.24</v>
      </c>
      <c r="G324" s="3">
        <f>MONTH(Tabela1[[#This Row],[Último pagto ano]])</f>
        <v>8</v>
      </c>
      <c r="H324" t="str">
        <f>TEXT(Tabela1[[#This Row],[Coluna2]]*29,"mmmm")</f>
        <v>agosto</v>
      </c>
      <c r="I324" t="str">
        <f>TEXT(MONTH(Tabela1[[#This Row],[Último pagto ano]])*29,"mmmm")</f>
        <v>agosto</v>
      </c>
    </row>
    <row r="325" spans="1:9" x14ac:dyDescent="0.25">
      <c r="A325">
        <v>2025</v>
      </c>
      <c r="B325" t="s">
        <v>647</v>
      </c>
      <c r="C325" s="1">
        <v>45975</v>
      </c>
      <c r="D325" t="s">
        <v>648</v>
      </c>
      <c r="E325" s="2">
        <v>15842.36</v>
      </c>
      <c r="G325" s="3">
        <f>MONTH(Tabela1[[#This Row],[Último pagto ano]])</f>
        <v>11</v>
      </c>
      <c r="H325" t="str">
        <f>TEXT(Tabela1[[#This Row],[Coluna2]]*29,"mmmm")</f>
        <v>novembro</v>
      </c>
      <c r="I325" t="str">
        <f>TEXT(MONTH(Tabela1[[#This Row],[Último pagto ano]])*29,"mmmm")</f>
        <v>novembro</v>
      </c>
    </row>
    <row r="326" spans="1:9" x14ac:dyDescent="0.25">
      <c r="A326">
        <v>2025</v>
      </c>
      <c r="B326" t="s">
        <v>649</v>
      </c>
      <c r="C326" s="1">
        <v>45975</v>
      </c>
      <c r="D326" t="s">
        <v>650</v>
      </c>
      <c r="E326" s="2">
        <v>2369.2800000000002</v>
      </c>
      <c r="G326" s="3">
        <f>MONTH(Tabela1[[#This Row],[Último pagto ano]])</f>
        <v>11</v>
      </c>
      <c r="H326" t="str">
        <f>TEXT(Tabela1[[#This Row],[Coluna2]]*29,"mmmm")</f>
        <v>novembro</v>
      </c>
      <c r="I326" t="str">
        <f>TEXT(MONTH(Tabela1[[#This Row],[Último pagto ano]])*29,"mmmm")</f>
        <v>novembro</v>
      </c>
    </row>
    <row r="327" spans="1:9" x14ac:dyDescent="0.25">
      <c r="A327">
        <v>2025</v>
      </c>
      <c r="B327" t="s">
        <v>651</v>
      </c>
      <c r="C327" s="1">
        <v>45968</v>
      </c>
      <c r="D327" t="s">
        <v>652</v>
      </c>
      <c r="E327" s="2">
        <v>7000</v>
      </c>
      <c r="G327" s="3">
        <f>MONTH(Tabela1[[#This Row],[Último pagto ano]])</f>
        <v>11</v>
      </c>
      <c r="H327" t="str">
        <f>TEXT(Tabela1[[#This Row],[Coluna2]]*29,"mmmm")</f>
        <v>novembro</v>
      </c>
      <c r="I327" t="str">
        <f>TEXT(MONTH(Tabela1[[#This Row],[Último pagto ano]])*29,"mmmm")</f>
        <v>novembro</v>
      </c>
    </row>
    <row r="328" spans="1:9" x14ac:dyDescent="0.25">
      <c r="A328">
        <v>2025</v>
      </c>
      <c r="B328" t="s">
        <v>653</v>
      </c>
      <c r="C328" s="1">
        <v>45996</v>
      </c>
      <c r="D328" t="s">
        <v>654</v>
      </c>
      <c r="E328" s="2">
        <v>5399.2</v>
      </c>
      <c r="G328" s="3">
        <f>MONTH(Tabela1[[#This Row],[Último pagto ano]])</f>
        <v>12</v>
      </c>
      <c r="H328" t="str">
        <f>TEXT(Tabela1[[#This Row],[Coluna2]]*29,"mmmm")</f>
        <v>dezembro</v>
      </c>
      <c r="I328" t="str">
        <f>TEXT(MONTH(Tabela1[[#This Row],[Último pagto ano]])*29,"mmmm")</f>
        <v>dezembro</v>
      </c>
    </row>
    <row r="329" spans="1:9" x14ac:dyDescent="0.25">
      <c r="A329">
        <v>2025</v>
      </c>
      <c r="B329" t="s">
        <v>655</v>
      </c>
      <c r="C329" s="1">
        <v>45673</v>
      </c>
      <c r="D329" t="s">
        <v>656</v>
      </c>
      <c r="E329" s="2">
        <v>2362.5</v>
      </c>
      <c r="G329" s="3">
        <f>MONTH(Tabela1[[#This Row],[Último pagto ano]])</f>
        <v>1</v>
      </c>
      <c r="H329" t="str">
        <f>TEXT(Tabela1[[#This Row],[Coluna2]]*29,"mmmm")</f>
        <v>janeiro</v>
      </c>
      <c r="I329" t="str">
        <f>TEXT(MONTH(Tabela1[[#This Row],[Último pagto ano]])*29,"mmmm")</f>
        <v>janeiro</v>
      </c>
    </row>
    <row r="330" spans="1:9" x14ac:dyDescent="0.25">
      <c r="A330">
        <v>2025</v>
      </c>
      <c r="B330" t="s">
        <v>657</v>
      </c>
      <c r="C330" s="1">
        <v>45771</v>
      </c>
      <c r="D330" t="s">
        <v>658</v>
      </c>
      <c r="E330" s="2">
        <v>22280.53</v>
      </c>
      <c r="G330" s="3">
        <f>MONTH(Tabela1[[#This Row],[Último pagto ano]])</f>
        <v>4</v>
      </c>
      <c r="H330" t="str">
        <f>TEXT(Tabela1[[#This Row],[Coluna2]]*29,"mmmm")</f>
        <v>abril</v>
      </c>
      <c r="I330" t="str">
        <f>TEXT(MONTH(Tabela1[[#This Row],[Último pagto ano]])*29,"mmmm")</f>
        <v>abril</v>
      </c>
    </row>
    <row r="331" spans="1:9" x14ac:dyDescent="0.25">
      <c r="A331">
        <v>2025</v>
      </c>
      <c r="B331" t="s">
        <v>659</v>
      </c>
      <c r="C331" s="1">
        <v>46021</v>
      </c>
      <c r="D331" t="s">
        <v>660</v>
      </c>
      <c r="E331" s="2">
        <v>10253.48</v>
      </c>
      <c r="G331" s="3">
        <f>MONTH(Tabela1[[#This Row],[Último pagto ano]])</f>
        <v>12</v>
      </c>
      <c r="H331" t="str">
        <f>TEXT(Tabela1[[#This Row],[Coluna2]]*29,"mmmm")</f>
        <v>dezembro</v>
      </c>
      <c r="I331" t="str">
        <f>TEXT(MONTH(Tabela1[[#This Row],[Último pagto ano]])*29,"mmmm")</f>
        <v>dezembro</v>
      </c>
    </row>
    <row r="332" spans="1:9" x14ac:dyDescent="0.25">
      <c r="A332">
        <v>2025</v>
      </c>
      <c r="B332" t="s">
        <v>661</v>
      </c>
      <c r="C332" s="1">
        <v>45824</v>
      </c>
      <c r="D332" t="s">
        <v>662</v>
      </c>
      <c r="E332" s="2">
        <v>3298.32</v>
      </c>
      <c r="G332" s="3">
        <f>MONTH(Tabela1[[#This Row],[Último pagto ano]])</f>
        <v>6</v>
      </c>
      <c r="H332" t="str">
        <f>TEXT(Tabela1[[#This Row],[Coluna2]]*29,"mmmm")</f>
        <v>junho</v>
      </c>
      <c r="I332" t="str">
        <f>TEXT(MONTH(Tabela1[[#This Row],[Último pagto ano]])*29,"mmmm")</f>
        <v>junho</v>
      </c>
    </row>
    <row r="333" spans="1:9" x14ac:dyDescent="0.25">
      <c r="A333">
        <v>2025</v>
      </c>
      <c r="B333" t="s">
        <v>663</v>
      </c>
      <c r="C333" s="1">
        <v>46006</v>
      </c>
      <c r="D333" t="s">
        <v>664</v>
      </c>
      <c r="E333" s="2">
        <v>5034.72</v>
      </c>
      <c r="G333" s="3">
        <f>MONTH(Tabela1[[#This Row],[Último pagto ano]])</f>
        <v>12</v>
      </c>
      <c r="H333" t="str">
        <f>TEXT(Tabela1[[#This Row],[Coluna2]]*29,"mmmm")</f>
        <v>dezembro</v>
      </c>
      <c r="I333" t="str">
        <f>TEXT(MONTH(Tabela1[[#This Row],[Último pagto ano]])*29,"mmmm")</f>
        <v>dezembro</v>
      </c>
    </row>
    <row r="334" spans="1:9" x14ac:dyDescent="0.25">
      <c r="A334">
        <v>2025</v>
      </c>
      <c r="B334" t="s">
        <v>665</v>
      </c>
      <c r="C334" s="1">
        <v>45968</v>
      </c>
      <c r="D334" t="s">
        <v>666</v>
      </c>
      <c r="E334" s="2">
        <v>8000</v>
      </c>
      <c r="G334" s="3">
        <f>MONTH(Tabela1[[#This Row],[Último pagto ano]])</f>
        <v>11</v>
      </c>
      <c r="H334" t="str">
        <f>TEXT(Tabela1[[#This Row],[Coluna2]]*29,"mmmm")</f>
        <v>novembro</v>
      </c>
      <c r="I334" t="str">
        <f>TEXT(MONTH(Tabela1[[#This Row],[Último pagto ano]])*29,"mmmm")</f>
        <v>novembro</v>
      </c>
    </row>
    <row r="335" spans="1:9" x14ac:dyDescent="0.25">
      <c r="A335">
        <v>2025</v>
      </c>
      <c r="B335" t="s">
        <v>667</v>
      </c>
      <c r="C335" s="1">
        <v>46006</v>
      </c>
      <c r="D335" t="s">
        <v>668</v>
      </c>
      <c r="E335" s="2">
        <v>4442.3999999999996</v>
      </c>
      <c r="G335" s="3">
        <f>MONTH(Tabela1[[#This Row],[Último pagto ano]])</f>
        <v>12</v>
      </c>
      <c r="H335" t="str">
        <f>TEXT(Tabela1[[#This Row],[Coluna2]]*29,"mmmm")</f>
        <v>dezembro</v>
      </c>
      <c r="I335" t="str">
        <f>TEXT(MONTH(Tabela1[[#This Row],[Último pagto ano]])*29,"mmmm")</f>
        <v>dezembro</v>
      </c>
    </row>
    <row r="336" spans="1:9" x14ac:dyDescent="0.25">
      <c r="A336">
        <v>2025</v>
      </c>
      <c r="B336" t="s">
        <v>669</v>
      </c>
      <c r="C336" s="1">
        <v>45996</v>
      </c>
      <c r="D336" t="s">
        <v>670</v>
      </c>
      <c r="E336" s="2">
        <v>115086.3</v>
      </c>
      <c r="G336" s="3">
        <f>MONTH(Tabela1[[#This Row],[Último pagto ano]])</f>
        <v>12</v>
      </c>
      <c r="H336" t="str">
        <f>TEXT(Tabela1[[#This Row],[Coluna2]]*29,"mmmm")</f>
        <v>dezembro</v>
      </c>
      <c r="I336" t="str">
        <f>TEXT(MONTH(Tabela1[[#This Row],[Último pagto ano]])*29,"mmmm")</f>
        <v>dezembro</v>
      </c>
    </row>
    <row r="337" spans="1:9" x14ac:dyDescent="0.25">
      <c r="A337">
        <v>2025</v>
      </c>
      <c r="B337" t="s">
        <v>671</v>
      </c>
      <c r="C337" s="1">
        <v>46006</v>
      </c>
      <c r="D337" t="s">
        <v>672</v>
      </c>
      <c r="E337" s="2">
        <v>5627.04</v>
      </c>
      <c r="G337" s="3">
        <f>MONTH(Tabela1[[#This Row],[Último pagto ano]])</f>
        <v>12</v>
      </c>
      <c r="H337" t="str">
        <f>TEXT(Tabela1[[#This Row],[Coluna2]]*29,"mmmm")</f>
        <v>dezembro</v>
      </c>
      <c r="I337" t="str">
        <f>TEXT(MONTH(Tabela1[[#This Row],[Último pagto ano]])*29,"mmmm")</f>
        <v>dezembro</v>
      </c>
    </row>
    <row r="338" spans="1:9" x14ac:dyDescent="0.25">
      <c r="A338">
        <v>2025</v>
      </c>
      <c r="B338" t="s">
        <v>673</v>
      </c>
      <c r="C338" s="1">
        <v>45996</v>
      </c>
      <c r="D338" t="s">
        <v>674</v>
      </c>
      <c r="E338" s="2">
        <v>6600</v>
      </c>
      <c r="G338" s="3">
        <f>MONTH(Tabela1[[#This Row],[Último pagto ano]])</f>
        <v>12</v>
      </c>
      <c r="H338" t="str">
        <f>TEXT(Tabela1[[#This Row],[Coluna2]]*29,"mmmm")</f>
        <v>dezembro</v>
      </c>
      <c r="I338" t="str">
        <f>TEXT(MONTH(Tabela1[[#This Row],[Último pagto ano]])*29,"mmmm")</f>
        <v>dezembro</v>
      </c>
    </row>
    <row r="339" spans="1:9" x14ac:dyDescent="0.25">
      <c r="A339">
        <v>2025</v>
      </c>
      <c r="B339" t="s">
        <v>675</v>
      </c>
      <c r="C339" s="1">
        <v>45796</v>
      </c>
      <c r="D339" t="s">
        <v>676</v>
      </c>
      <c r="E339">
        <v>415</v>
      </c>
      <c r="G339" s="3">
        <f>MONTH(Tabela1[[#This Row],[Último pagto ano]])</f>
        <v>5</v>
      </c>
      <c r="H339" t="str">
        <f>TEXT(Tabela1[[#This Row],[Coluna2]]*29,"mmmm")</f>
        <v>maio</v>
      </c>
      <c r="I339" t="str">
        <f>TEXT(MONTH(Tabela1[[#This Row],[Último pagto ano]])*29,"mmmm")</f>
        <v>maio</v>
      </c>
    </row>
    <row r="340" spans="1:9" x14ac:dyDescent="0.25">
      <c r="A340">
        <v>2025</v>
      </c>
      <c r="B340" t="s">
        <v>677</v>
      </c>
      <c r="C340" s="1">
        <v>45971</v>
      </c>
      <c r="D340" t="s">
        <v>678</v>
      </c>
      <c r="E340">
        <v>624</v>
      </c>
      <c r="G340" s="3">
        <f>MONTH(Tabela1[[#This Row],[Último pagto ano]])</f>
        <v>11</v>
      </c>
      <c r="H340" t="str">
        <f>TEXT(Tabela1[[#This Row],[Coluna2]]*29,"mmmm")</f>
        <v>novembro</v>
      </c>
      <c r="I340" t="str">
        <f>TEXT(MONTH(Tabela1[[#This Row],[Último pagto ano]])*29,"mmmm")</f>
        <v>novembro</v>
      </c>
    </row>
    <row r="341" spans="1:9" x14ac:dyDescent="0.25">
      <c r="A341">
        <v>2025</v>
      </c>
      <c r="B341" t="s">
        <v>679</v>
      </c>
      <c r="C341" s="1">
        <v>45964</v>
      </c>
      <c r="D341" t="s">
        <v>680</v>
      </c>
      <c r="E341">
        <v>21.4</v>
      </c>
      <c r="G341" s="3">
        <f>MONTH(Tabela1[[#This Row],[Último pagto ano]])</f>
        <v>11</v>
      </c>
      <c r="H341" t="str">
        <f>TEXT(Tabela1[[#This Row],[Coluna2]]*29,"mmmm")</f>
        <v>novembro</v>
      </c>
      <c r="I341" t="str">
        <f>TEXT(MONTH(Tabela1[[#This Row],[Último pagto ano]])*29,"mmmm")</f>
        <v>novembro</v>
      </c>
    </row>
    <row r="342" spans="1:9" x14ac:dyDescent="0.25">
      <c r="A342">
        <v>2025</v>
      </c>
      <c r="B342" t="s">
        <v>681</v>
      </c>
      <c r="C342" s="1">
        <v>45940</v>
      </c>
      <c r="D342" t="s">
        <v>682</v>
      </c>
      <c r="E342">
        <v>6.22</v>
      </c>
      <c r="G342" s="3">
        <f>MONTH(Tabela1[[#This Row],[Último pagto ano]])</f>
        <v>10</v>
      </c>
      <c r="H342" t="str">
        <f>TEXT(Tabela1[[#This Row],[Coluna2]]*29,"mmmm")</f>
        <v>outubro</v>
      </c>
      <c r="I342" t="str">
        <f>TEXT(MONTH(Tabela1[[#This Row],[Último pagto ano]])*29,"mmmm")</f>
        <v>outubro</v>
      </c>
    </row>
    <row r="343" spans="1:9" x14ac:dyDescent="0.25">
      <c r="A343">
        <v>2025</v>
      </c>
      <c r="B343" t="s">
        <v>683</v>
      </c>
      <c r="C343" s="1">
        <v>46010</v>
      </c>
      <c r="D343" t="s">
        <v>684</v>
      </c>
      <c r="E343">
        <v>590.76</v>
      </c>
      <c r="G343" s="3">
        <f>MONTH(Tabela1[[#This Row],[Último pagto ano]])</f>
        <v>12</v>
      </c>
      <c r="H343" t="str">
        <f>TEXT(Tabela1[[#This Row],[Coluna2]]*29,"mmmm")</f>
        <v>dezembro</v>
      </c>
      <c r="I343" t="str">
        <f>TEXT(MONTH(Tabela1[[#This Row],[Último pagto ano]])*29,"mmmm")</f>
        <v>dezembro</v>
      </c>
    </row>
    <row r="344" spans="1:9" x14ac:dyDescent="0.25">
      <c r="A344">
        <v>2025</v>
      </c>
      <c r="B344" t="s">
        <v>685</v>
      </c>
      <c r="C344" s="1">
        <v>46010</v>
      </c>
      <c r="D344" t="s">
        <v>686</v>
      </c>
      <c r="E344" s="2">
        <v>8400</v>
      </c>
      <c r="G344" s="3">
        <f>MONTH(Tabela1[[#This Row],[Último pagto ano]])</f>
        <v>12</v>
      </c>
      <c r="H344" t="str">
        <f>TEXT(Tabela1[[#This Row],[Coluna2]]*29,"mmmm")</f>
        <v>dezembro</v>
      </c>
      <c r="I344" t="str">
        <f>TEXT(MONTH(Tabela1[[#This Row],[Último pagto ano]])*29,"mmmm")</f>
        <v>dezembro</v>
      </c>
    </row>
    <row r="345" spans="1:9" x14ac:dyDescent="0.25">
      <c r="A345">
        <v>2025</v>
      </c>
      <c r="B345" t="s">
        <v>687</v>
      </c>
      <c r="C345" s="1">
        <v>46014</v>
      </c>
      <c r="D345" t="s">
        <v>688</v>
      </c>
      <c r="E345" s="2">
        <v>5760</v>
      </c>
      <c r="G345" s="3">
        <f>MONTH(Tabela1[[#This Row],[Último pagto ano]])</f>
        <v>12</v>
      </c>
      <c r="H345" t="str">
        <f>TEXT(Tabela1[[#This Row],[Coluna2]]*29,"mmmm")</f>
        <v>dezembro</v>
      </c>
      <c r="I345" t="str">
        <f>TEXT(MONTH(Tabela1[[#This Row],[Último pagto ano]])*29,"mmmm")</f>
        <v>dezembro</v>
      </c>
    </row>
    <row r="346" spans="1:9" x14ac:dyDescent="0.25">
      <c r="A346">
        <v>2025</v>
      </c>
      <c r="B346" t="s">
        <v>689</v>
      </c>
      <c r="C346" s="1">
        <v>45944</v>
      </c>
      <c r="D346" t="s">
        <v>690</v>
      </c>
      <c r="E346" s="2">
        <v>9376.66</v>
      </c>
      <c r="G346" s="3">
        <f>MONTH(Tabela1[[#This Row],[Último pagto ano]])</f>
        <v>10</v>
      </c>
      <c r="H346" t="str">
        <f>TEXT(Tabela1[[#This Row],[Coluna2]]*29,"mmmm")</f>
        <v>outubro</v>
      </c>
      <c r="I346" t="str">
        <f>TEXT(MONTH(Tabela1[[#This Row],[Último pagto ano]])*29,"mmmm")</f>
        <v>outubro</v>
      </c>
    </row>
    <row r="347" spans="1:9" x14ac:dyDescent="0.25">
      <c r="A347">
        <v>2025</v>
      </c>
      <c r="B347" t="s">
        <v>691</v>
      </c>
      <c r="C347" s="1">
        <v>45698</v>
      </c>
      <c r="D347" t="s">
        <v>692</v>
      </c>
      <c r="E347">
        <v>354.09</v>
      </c>
      <c r="G347" s="3">
        <f>MONTH(Tabela1[[#This Row],[Último pagto ano]])</f>
        <v>2</v>
      </c>
      <c r="H347" t="str">
        <f>TEXT(Tabela1[[#This Row],[Coluna2]]*29,"mmmm")</f>
        <v>fevereiro</v>
      </c>
      <c r="I347" t="str">
        <f>TEXT(MONTH(Tabela1[[#This Row],[Último pagto ano]])*29,"mmmm")</f>
        <v>fevereiro</v>
      </c>
    </row>
    <row r="348" spans="1:9" x14ac:dyDescent="0.25">
      <c r="A348">
        <v>2025</v>
      </c>
      <c r="B348" t="s">
        <v>693</v>
      </c>
      <c r="C348" s="1">
        <v>45876</v>
      </c>
      <c r="D348" t="s">
        <v>694</v>
      </c>
      <c r="E348" s="2">
        <v>9916.11</v>
      </c>
      <c r="G348" s="3">
        <f>MONTH(Tabela1[[#This Row],[Último pagto ano]])</f>
        <v>8</v>
      </c>
      <c r="H348" t="str">
        <f>TEXT(Tabela1[[#This Row],[Coluna2]]*29,"mmmm")</f>
        <v>agosto</v>
      </c>
      <c r="I348" t="str">
        <f>TEXT(MONTH(Tabela1[[#This Row],[Último pagto ano]])*29,"mmmm")</f>
        <v>agosto</v>
      </c>
    </row>
    <row r="349" spans="1:9" x14ac:dyDescent="0.25">
      <c r="A349">
        <v>2025</v>
      </c>
      <c r="B349" t="s">
        <v>695</v>
      </c>
      <c r="C349" s="1">
        <v>45859</v>
      </c>
      <c r="D349" t="s">
        <v>696</v>
      </c>
      <c r="E349" s="2">
        <v>4800</v>
      </c>
      <c r="G349" s="3">
        <f>MONTH(Tabela1[[#This Row],[Último pagto ano]])</f>
        <v>7</v>
      </c>
      <c r="H349" t="str">
        <f>TEXT(Tabela1[[#This Row],[Coluna2]]*29,"mmmm")</f>
        <v>julho</v>
      </c>
      <c r="I349" t="str">
        <f>TEXT(MONTH(Tabela1[[#This Row],[Último pagto ano]])*29,"mmmm")</f>
        <v>julho</v>
      </c>
    </row>
    <row r="350" spans="1:9" x14ac:dyDescent="0.25">
      <c r="A350">
        <v>2025</v>
      </c>
      <c r="B350" t="s">
        <v>697</v>
      </c>
      <c r="C350" s="1">
        <v>46007</v>
      </c>
      <c r="D350" t="s">
        <v>698</v>
      </c>
      <c r="E350" s="2">
        <v>83657.279999999999</v>
      </c>
      <c r="G350" s="3">
        <f>MONTH(Tabela1[[#This Row],[Último pagto ano]])</f>
        <v>12</v>
      </c>
      <c r="H350" t="str">
        <f>TEXT(Tabela1[[#This Row],[Coluna2]]*29,"mmmm")</f>
        <v>dezembro</v>
      </c>
      <c r="I350" t="str">
        <f>TEXT(MONTH(Tabela1[[#This Row],[Último pagto ano]])*29,"mmmm")</f>
        <v>dezembro</v>
      </c>
    </row>
    <row r="351" spans="1:9" x14ac:dyDescent="0.25">
      <c r="A351">
        <v>2025</v>
      </c>
      <c r="B351" t="s">
        <v>699</v>
      </c>
      <c r="C351" s="1">
        <v>45673</v>
      </c>
      <c r="D351" t="s">
        <v>700</v>
      </c>
      <c r="E351" s="2">
        <v>2100</v>
      </c>
      <c r="G351" s="3">
        <f>MONTH(Tabela1[[#This Row],[Último pagto ano]])</f>
        <v>1</v>
      </c>
      <c r="H351" t="str">
        <f>TEXT(Tabela1[[#This Row],[Coluna2]]*29,"mmmm")</f>
        <v>janeiro</v>
      </c>
      <c r="I351" t="str">
        <f>TEXT(MONTH(Tabela1[[#This Row],[Último pagto ano]])*29,"mmmm")</f>
        <v>janeiro</v>
      </c>
    </row>
    <row r="352" spans="1:9" x14ac:dyDescent="0.25">
      <c r="A352">
        <v>2025</v>
      </c>
      <c r="B352" t="s">
        <v>701</v>
      </c>
      <c r="C352" s="1">
        <v>46010</v>
      </c>
      <c r="D352" t="s">
        <v>702</v>
      </c>
      <c r="E352" s="2">
        <v>60170</v>
      </c>
      <c r="G352" s="3">
        <f>MONTH(Tabela1[[#This Row],[Último pagto ano]])</f>
        <v>12</v>
      </c>
      <c r="H352" t="str">
        <f>TEXT(Tabela1[[#This Row],[Coluna2]]*29,"mmmm")</f>
        <v>dezembro</v>
      </c>
      <c r="I352" t="str">
        <f>TEXT(MONTH(Tabela1[[#This Row],[Último pagto ano]])*29,"mmmm")</f>
        <v>dezembro</v>
      </c>
    </row>
    <row r="353" spans="1:9" x14ac:dyDescent="0.25">
      <c r="A353">
        <v>2025</v>
      </c>
      <c r="B353" t="s">
        <v>703</v>
      </c>
      <c r="C353" s="1">
        <v>45985</v>
      </c>
      <c r="D353" t="s">
        <v>704</v>
      </c>
      <c r="E353" s="2">
        <v>4200</v>
      </c>
      <c r="G353" s="3">
        <f>MONTH(Tabela1[[#This Row],[Último pagto ano]])</f>
        <v>11</v>
      </c>
      <c r="H353" t="str">
        <f>TEXT(Tabela1[[#This Row],[Coluna2]]*29,"mmmm")</f>
        <v>novembro</v>
      </c>
      <c r="I353" t="str">
        <f>TEXT(MONTH(Tabela1[[#This Row],[Último pagto ano]])*29,"mmmm")</f>
        <v>novembro</v>
      </c>
    </row>
    <row r="354" spans="1:9" x14ac:dyDescent="0.25">
      <c r="A354">
        <v>2025</v>
      </c>
      <c r="B354" t="s">
        <v>705</v>
      </c>
      <c r="C354" s="1">
        <v>45771</v>
      </c>
      <c r="D354" t="s">
        <v>706</v>
      </c>
      <c r="E354" s="2">
        <v>2800</v>
      </c>
      <c r="G354" s="3">
        <f>MONTH(Tabela1[[#This Row],[Último pagto ano]])</f>
        <v>4</v>
      </c>
      <c r="H354" t="str">
        <f>TEXT(Tabela1[[#This Row],[Coluna2]]*29,"mmmm")</f>
        <v>abril</v>
      </c>
      <c r="I354" t="str">
        <f>TEXT(MONTH(Tabela1[[#This Row],[Último pagto ano]])*29,"mmmm")</f>
        <v>abril</v>
      </c>
    </row>
    <row r="355" spans="1:9" x14ac:dyDescent="0.25">
      <c r="A355">
        <v>2025</v>
      </c>
      <c r="B355" t="s">
        <v>707</v>
      </c>
      <c r="C355" s="1">
        <v>45698</v>
      </c>
      <c r="D355" t="s">
        <v>708</v>
      </c>
      <c r="E355">
        <v>200.1</v>
      </c>
      <c r="G355" s="3">
        <f>MONTH(Tabela1[[#This Row],[Último pagto ano]])</f>
        <v>2</v>
      </c>
      <c r="H355" t="str">
        <f>TEXT(Tabela1[[#This Row],[Coluna2]]*29,"mmmm")</f>
        <v>fevereiro</v>
      </c>
      <c r="I355" t="str">
        <f>TEXT(MONTH(Tabela1[[#This Row],[Último pagto ano]])*29,"mmmm")</f>
        <v>fevereiro</v>
      </c>
    </row>
    <row r="356" spans="1:9" x14ac:dyDescent="0.25">
      <c r="A356">
        <v>2025</v>
      </c>
      <c r="B356" t="s">
        <v>709</v>
      </c>
      <c r="C356" s="1">
        <v>46014</v>
      </c>
      <c r="D356" t="s">
        <v>710</v>
      </c>
      <c r="E356">
        <v>286</v>
      </c>
      <c r="G356" s="3">
        <f>MONTH(Tabela1[[#This Row],[Último pagto ano]])</f>
        <v>12</v>
      </c>
      <c r="H356" t="str">
        <f>TEXT(Tabela1[[#This Row],[Coluna2]]*29,"mmmm")</f>
        <v>dezembro</v>
      </c>
      <c r="I356" t="str">
        <f>TEXT(MONTH(Tabela1[[#This Row],[Último pagto ano]])*29,"mmmm")</f>
        <v>dezembro</v>
      </c>
    </row>
    <row r="357" spans="1:9" x14ac:dyDescent="0.25">
      <c r="A357">
        <v>2025</v>
      </c>
      <c r="B357" t="s">
        <v>711</v>
      </c>
      <c r="C357" s="1">
        <v>45960</v>
      </c>
      <c r="D357" t="s">
        <v>712</v>
      </c>
      <c r="E357" s="2">
        <v>9956.73</v>
      </c>
      <c r="G357" s="3">
        <f>MONTH(Tabela1[[#This Row],[Último pagto ano]])</f>
        <v>10</v>
      </c>
      <c r="H357" t="str">
        <f>TEXT(Tabela1[[#This Row],[Coluna2]]*29,"mmmm")</f>
        <v>outubro</v>
      </c>
      <c r="I357" t="str">
        <f>TEXT(MONTH(Tabela1[[#This Row],[Último pagto ano]])*29,"mmmm")</f>
        <v>outubro</v>
      </c>
    </row>
    <row r="358" spans="1:9" x14ac:dyDescent="0.25">
      <c r="A358">
        <v>2025</v>
      </c>
      <c r="B358" t="s">
        <v>713</v>
      </c>
      <c r="C358" s="1">
        <v>45996</v>
      </c>
      <c r="D358" t="s">
        <v>714</v>
      </c>
      <c r="E358" s="2">
        <v>59859</v>
      </c>
      <c r="G358" s="3">
        <f>MONTH(Tabela1[[#This Row],[Último pagto ano]])</f>
        <v>12</v>
      </c>
      <c r="H358" t="str">
        <f>TEXT(Tabela1[[#This Row],[Coluna2]]*29,"mmmm")</f>
        <v>dezembro</v>
      </c>
      <c r="I358" t="str">
        <f>TEXT(MONTH(Tabela1[[#This Row],[Último pagto ano]])*29,"mmmm")</f>
        <v>dezembro</v>
      </c>
    </row>
    <row r="359" spans="1:9" x14ac:dyDescent="0.25">
      <c r="A359">
        <v>2025</v>
      </c>
      <c r="B359" t="s">
        <v>715</v>
      </c>
      <c r="C359" s="1">
        <v>45852</v>
      </c>
      <c r="D359" t="s">
        <v>716</v>
      </c>
      <c r="E359">
        <v>33</v>
      </c>
      <c r="G359" s="3">
        <f>MONTH(Tabela1[[#This Row],[Último pagto ano]])</f>
        <v>7</v>
      </c>
      <c r="H359" t="str">
        <f>TEXT(Tabela1[[#This Row],[Coluna2]]*29,"mmmm")</f>
        <v>julho</v>
      </c>
      <c r="I359" t="str">
        <f>TEXT(MONTH(Tabela1[[#This Row],[Último pagto ano]])*29,"mmmm")</f>
        <v>julho</v>
      </c>
    </row>
    <row r="360" spans="1:9" x14ac:dyDescent="0.25">
      <c r="A360">
        <v>2025</v>
      </c>
      <c r="B360" t="s">
        <v>717</v>
      </c>
      <c r="C360" s="1">
        <v>46010</v>
      </c>
      <c r="D360" t="s">
        <v>718</v>
      </c>
      <c r="E360" s="2">
        <v>4900</v>
      </c>
      <c r="G360" s="3">
        <f>MONTH(Tabela1[[#This Row],[Último pagto ano]])</f>
        <v>12</v>
      </c>
      <c r="H360" t="str">
        <f>TEXT(Tabela1[[#This Row],[Coluna2]]*29,"mmmm")</f>
        <v>dezembro</v>
      </c>
      <c r="I360" t="str">
        <f>TEXT(MONTH(Tabela1[[#This Row],[Último pagto ano]])*29,"mmmm")</f>
        <v>dezembro</v>
      </c>
    </row>
    <row r="361" spans="1:9" x14ac:dyDescent="0.25">
      <c r="A361">
        <v>2025</v>
      </c>
      <c r="B361" t="s">
        <v>719</v>
      </c>
      <c r="C361" s="1">
        <v>45915</v>
      </c>
      <c r="D361" t="s">
        <v>720</v>
      </c>
      <c r="E361">
        <v>296.16000000000003</v>
      </c>
      <c r="G361" s="3">
        <f>MONTH(Tabela1[[#This Row],[Último pagto ano]])</f>
        <v>9</v>
      </c>
      <c r="H361" t="str">
        <f>TEXT(Tabela1[[#This Row],[Coluna2]]*29,"mmmm")</f>
        <v>setembro</v>
      </c>
      <c r="I361" t="str">
        <f>TEXT(MONTH(Tabela1[[#This Row],[Último pagto ano]])*29,"mmmm")</f>
        <v>setembro</v>
      </c>
    </row>
    <row r="362" spans="1:9" x14ac:dyDescent="0.25">
      <c r="A362">
        <v>2025</v>
      </c>
      <c r="B362" t="s">
        <v>721</v>
      </c>
      <c r="C362" s="1">
        <v>46006</v>
      </c>
      <c r="D362" t="s">
        <v>722</v>
      </c>
      <c r="E362" s="2">
        <v>3257.76</v>
      </c>
      <c r="G362" s="3">
        <f>MONTH(Tabela1[[#This Row],[Último pagto ano]])</f>
        <v>12</v>
      </c>
      <c r="H362" t="str">
        <f>TEXT(Tabela1[[#This Row],[Coluna2]]*29,"mmmm")</f>
        <v>dezembro</v>
      </c>
      <c r="I362" t="str">
        <f>TEXT(MONTH(Tabela1[[#This Row],[Último pagto ano]])*29,"mmmm")</f>
        <v>dezembro</v>
      </c>
    </row>
    <row r="363" spans="1:9" x14ac:dyDescent="0.25">
      <c r="A363">
        <v>2025</v>
      </c>
      <c r="B363" t="s">
        <v>723</v>
      </c>
      <c r="C363" s="1">
        <v>45964</v>
      </c>
      <c r="D363" t="s">
        <v>724</v>
      </c>
      <c r="E363">
        <v>209</v>
      </c>
      <c r="G363" s="3">
        <f>MONTH(Tabela1[[#This Row],[Último pagto ano]])</f>
        <v>11</v>
      </c>
      <c r="H363" t="str">
        <f>TEXT(Tabela1[[#This Row],[Coluna2]]*29,"mmmm")</f>
        <v>novembro</v>
      </c>
      <c r="I363" t="str">
        <f>TEXT(MONTH(Tabela1[[#This Row],[Último pagto ano]])*29,"mmmm")</f>
        <v>novembro</v>
      </c>
    </row>
    <row r="364" spans="1:9" x14ac:dyDescent="0.25">
      <c r="A364">
        <v>2025</v>
      </c>
      <c r="B364" t="s">
        <v>725</v>
      </c>
      <c r="C364" s="1">
        <v>45959</v>
      </c>
      <c r="D364" t="s">
        <v>726</v>
      </c>
      <c r="E364">
        <v>701</v>
      </c>
      <c r="G364" s="3">
        <f>MONTH(Tabela1[[#This Row],[Último pagto ano]])</f>
        <v>10</v>
      </c>
      <c r="H364" t="str">
        <f>TEXT(Tabela1[[#This Row],[Coluna2]]*29,"mmmm")</f>
        <v>outubro</v>
      </c>
      <c r="I364" t="str">
        <f>TEXT(MONTH(Tabela1[[#This Row],[Último pagto ano]])*29,"mmmm")</f>
        <v>outubro</v>
      </c>
    </row>
    <row r="365" spans="1:9" x14ac:dyDescent="0.25">
      <c r="A365">
        <v>2025</v>
      </c>
      <c r="B365" t="s">
        <v>727</v>
      </c>
      <c r="C365" s="1">
        <v>45964</v>
      </c>
      <c r="D365" t="s">
        <v>728</v>
      </c>
      <c r="E365">
        <v>44</v>
      </c>
      <c r="G365" s="3">
        <f>MONTH(Tabela1[[#This Row],[Último pagto ano]])</f>
        <v>11</v>
      </c>
      <c r="H365" t="str">
        <f>TEXT(Tabela1[[#This Row],[Coluna2]]*29,"mmmm")</f>
        <v>novembro</v>
      </c>
      <c r="I365" t="str">
        <f>TEXT(MONTH(Tabela1[[#This Row],[Último pagto ano]])*29,"mmmm")</f>
        <v>novembro</v>
      </c>
    </row>
    <row r="366" spans="1:9" x14ac:dyDescent="0.25">
      <c r="A366">
        <v>2025</v>
      </c>
      <c r="B366" t="s">
        <v>729</v>
      </c>
      <c r="C366" s="1">
        <v>45852</v>
      </c>
      <c r="D366" t="s">
        <v>730</v>
      </c>
      <c r="E366" s="2">
        <v>7674.12</v>
      </c>
      <c r="G366" s="3">
        <f>MONTH(Tabela1[[#This Row],[Último pagto ano]])</f>
        <v>7</v>
      </c>
      <c r="H366" t="str">
        <f>TEXT(Tabela1[[#This Row],[Coluna2]]*29,"mmmm")</f>
        <v>julho</v>
      </c>
      <c r="I366" t="str">
        <f>TEXT(MONTH(Tabela1[[#This Row],[Último pagto ano]])*29,"mmmm")</f>
        <v>julho</v>
      </c>
    </row>
    <row r="367" spans="1:9" x14ac:dyDescent="0.25">
      <c r="A367">
        <v>2025</v>
      </c>
      <c r="B367" t="s">
        <v>731</v>
      </c>
      <c r="C367" s="1">
        <v>45985</v>
      </c>
      <c r="D367" t="s">
        <v>732</v>
      </c>
      <c r="E367">
        <v>451</v>
      </c>
      <c r="G367" s="3">
        <f>MONTH(Tabela1[[#This Row],[Último pagto ano]])</f>
        <v>11</v>
      </c>
      <c r="H367" t="str">
        <f>TEXT(Tabela1[[#This Row],[Coluna2]]*29,"mmmm")</f>
        <v>novembro</v>
      </c>
      <c r="I367" t="str">
        <f>TEXT(MONTH(Tabela1[[#This Row],[Último pagto ano]])*29,"mmmm")</f>
        <v>novembro</v>
      </c>
    </row>
    <row r="368" spans="1:9" x14ac:dyDescent="0.25">
      <c r="A368">
        <v>2025</v>
      </c>
      <c r="B368" t="s">
        <v>733</v>
      </c>
      <c r="C368" s="1">
        <v>46010</v>
      </c>
      <c r="D368" t="s">
        <v>734</v>
      </c>
      <c r="E368" s="2">
        <v>8400</v>
      </c>
      <c r="G368" s="3">
        <f>MONTH(Tabela1[[#This Row],[Último pagto ano]])</f>
        <v>12</v>
      </c>
      <c r="H368" t="str">
        <f>TEXT(Tabela1[[#This Row],[Coluna2]]*29,"mmmm")</f>
        <v>dezembro</v>
      </c>
      <c r="I368" t="str">
        <f>TEXT(MONTH(Tabela1[[#This Row],[Último pagto ano]])*29,"mmmm")</f>
        <v>dezembro</v>
      </c>
    </row>
    <row r="369" spans="1:9" x14ac:dyDescent="0.25">
      <c r="A369">
        <v>2025</v>
      </c>
      <c r="B369" t="s">
        <v>735</v>
      </c>
      <c r="C369" s="1">
        <v>45876</v>
      </c>
      <c r="D369" t="s">
        <v>736</v>
      </c>
      <c r="E369" s="2">
        <v>6654.45</v>
      </c>
      <c r="G369" s="3">
        <f>MONTH(Tabela1[[#This Row],[Último pagto ano]])</f>
        <v>8</v>
      </c>
      <c r="H369" t="str">
        <f>TEXT(Tabela1[[#This Row],[Coluna2]]*29,"mmmm")</f>
        <v>agosto</v>
      </c>
      <c r="I369" t="str">
        <f>TEXT(MONTH(Tabela1[[#This Row],[Último pagto ano]])*29,"mmmm")</f>
        <v>agosto</v>
      </c>
    </row>
    <row r="370" spans="1:9" x14ac:dyDescent="0.25">
      <c r="A370">
        <v>2025</v>
      </c>
      <c r="B370" t="s">
        <v>737</v>
      </c>
      <c r="C370" s="1">
        <v>45989</v>
      </c>
      <c r="D370" t="s">
        <v>738</v>
      </c>
      <c r="E370" s="2">
        <v>11696.97</v>
      </c>
      <c r="G370" s="3">
        <f>MONTH(Tabela1[[#This Row],[Último pagto ano]])</f>
        <v>11</v>
      </c>
      <c r="H370" t="str">
        <f>TEXT(Tabela1[[#This Row],[Coluna2]]*29,"mmmm")</f>
        <v>novembro</v>
      </c>
      <c r="I370" t="str">
        <f>TEXT(MONTH(Tabela1[[#This Row],[Último pagto ano]])*29,"mmmm")</f>
        <v>novembro</v>
      </c>
    </row>
    <row r="371" spans="1:9" x14ac:dyDescent="0.25">
      <c r="A371">
        <v>2025</v>
      </c>
      <c r="B371" t="s">
        <v>739</v>
      </c>
      <c r="C371" s="1">
        <v>45989</v>
      </c>
      <c r="D371" t="s">
        <v>740</v>
      </c>
      <c r="E371" s="2">
        <v>7329.7</v>
      </c>
      <c r="G371" s="3">
        <f>MONTH(Tabela1[[#This Row],[Último pagto ano]])</f>
        <v>11</v>
      </c>
      <c r="H371" t="str">
        <f>TEXT(Tabela1[[#This Row],[Coluna2]]*29,"mmmm")</f>
        <v>novembro</v>
      </c>
      <c r="I371" t="str">
        <f>TEXT(MONTH(Tabela1[[#This Row],[Último pagto ano]])*29,"mmmm")</f>
        <v>novembro</v>
      </c>
    </row>
    <row r="372" spans="1:9" x14ac:dyDescent="0.25">
      <c r="A372">
        <v>2025</v>
      </c>
      <c r="B372" t="s">
        <v>741</v>
      </c>
      <c r="C372" s="1">
        <v>46010</v>
      </c>
      <c r="D372" t="s">
        <v>742</v>
      </c>
      <c r="E372" s="2">
        <v>8400</v>
      </c>
      <c r="G372" s="3">
        <f>MONTH(Tabela1[[#This Row],[Último pagto ano]])</f>
        <v>12</v>
      </c>
      <c r="H372" t="str">
        <f>TEXT(Tabela1[[#This Row],[Coluna2]]*29,"mmmm")</f>
        <v>dezembro</v>
      </c>
      <c r="I372" t="str">
        <f>TEXT(MONTH(Tabela1[[#This Row],[Último pagto ano]])*29,"mmmm")</f>
        <v>dezembro</v>
      </c>
    </row>
    <row r="373" spans="1:9" x14ac:dyDescent="0.25">
      <c r="A373">
        <v>2025</v>
      </c>
      <c r="B373" t="s">
        <v>743</v>
      </c>
      <c r="C373" s="1">
        <v>46010</v>
      </c>
      <c r="D373" t="s">
        <v>744</v>
      </c>
      <c r="E373" s="2">
        <v>3500</v>
      </c>
      <c r="G373" s="3">
        <f>MONTH(Tabela1[[#This Row],[Último pagto ano]])</f>
        <v>12</v>
      </c>
      <c r="H373" t="str">
        <f>TEXT(Tabela1[[#This Row],[Coluna2]]*29,"mmmm")</f>
        <v>dezembro</v>
      </c>
      <c r="I373" t="str">
        <f>TEXT(MONTH(Tabela1[[#This Row],[Último pagto ano]])*29,"mmmm")</f>
        <v>dezembro</v>
      </c>
    </row>
    <row r="374" spans="1:9" x14ac:dyDescent="0.25">
      <c r="A374">
        <v>2025</v>
      </c>
      <c r="B374" t="s">
        <v>745</v>
      </c>
      <c r="C374" s="1">
        <v>45930</v>
      </c>
      <c r="D374" t="s">
        <v>746</v>
      </c>
      <c r="E374" s="2">
        <v>1516.49</v>
      </c>
      <c r="G374" s="3">
        <f>MONTH(Tabela1[[#This Row],[Último pagto ano]])</f>
        <v>9</v>
      </c>
      <c r="H374" t="str">
        <f>TEXT(Tabela1[[#This Row],[Coluna2]]*29,"mmmm")</f>
        <v>setembro</v>
      </c>
      <c r="I374" t="str">
        <f>TEXT(MONTH(Tabela1[[#This Row],[Último pagto ano]])*29,"mmmm")</f>
        <v>setembro</v>
      </c>
    </row>
    <row r="375" spans="1:9" x14ac:dyDescent="0.25">
      <c r="A375">
        <v>2025</v>
      </c>
      <c r="B375" t="s">
        <v>747</v>
      </c>
      <c r="C375" s="1">
        <v>45670</v>
      </c>
      <c r="D375" t="s">
        <v>748</v>
      </c>
      <c r="E375">
        <v>904.03</v>
      </c>
      <c r="G375" s="3">
        <f>MONTH(Tabela1[[#This Row],[Último pagto ano]])</f>
        <v>1</v>
      </c>
      <c r="H375" t="str">
        <f>TEXT(Tabela1[[#This Row],[Coluna2]]*29,"mmmm")</f>
        <v>janeiro</v>
      </c>
      <c r="I375" t="str">
        <f>TEXT(MONTH(Tabela1[[#This Row],[Último pagto ano]])*29,"mmmm")</f>
        <v>janeiro</v>
      </c>
    </row>
    <row r="376" spans="1:9" x14ac:dyDescent="0.25">
      <c r="A376">
        <v>2025</v>
      </c>
      <c r="B376" t="s">
        <v>749</v>
      </c>
      <c r="C376" s="1">
        <v>45846</v>
      </c>
      <c r="D376" t="s">
        <v>750</v>
      </c>
      <c r="E376" s="2">
        <v>6197.2</v>
      </c>
      <c r="G376" s="3">
        <f>MONTH(Tabela1[[#This Row],[Último pagto ano]])</f>
        <v>7</v>
      </c>
      <c r="H376" t="str">
        <f>TEXT(Tabela1[[#This Row],[Coluna2]]*29,"mmmm")</f>
        <v>julho</v>
      </c>
      <c r="I376" t="str">
        <f>TEXT(MONTH(Tabela1[[#This Row],[Último pagto ano]])*29,"mmmm")</f>
        <v>julho</v>
      </c>
    </row>
    <row r="377" spans="1:9" x14ac:dyDescent="0.25">
      <c r="A377">
        <v>2025</v>
      </c>
      <c r="B377" t="s">
        <v>751</v>
      </c>
      <c r="C377" s="1">
        <v>46014</v>
      </c>
      <c r="D377" t="s">
        <v>752</v>
      </c>
      <c r="E377">
        <v>108.2</v>
      </c>
      <c r="G377" s="3">
        <f>MONTH(Tabela1[[#This Row],[Último pagto ano]])</f>
        <v>12</v>
      </c>
      <c r="H377" t="str">
        <f>TEXT(Tabela1[[#This Row],[Coluna2]]*29,"mmmm")</f>
        <v>dezembro</v>
      </c>
      <c r="I377" t="str">
        <f>TEXT(MONTH(Tabela1[[#This Row],[Último pagto ano]])*29,"mmmm")</f>
        <v>dezembro</v>
      </c>
    </row>
    <row r="378" spans="1:9" x14ac:dyDescent="0.25">
      <c r="A378">
        <v>2025</v>
      </c>
      <c r="B378" t="s">
        <v>753</v>
      </c>
      <c r="C378" s="1">
        <v>45959</v>
      </c>
      <c r="D378" t="s">
        <v>754</v>
      </c>
      <c r="E378" s="2">
        <v>7000</v>
      </c>
      <c r="G378" s="3">
        <f>MONTH(Tabela1[[#This Row],[Último pagto ano]])</f>
        <v>10</v>
      </c>
      <c r="H378" t="str">
        <f>TEXT(Tabela1[[#This Row],[Coluna2]]*29,"mmmm")</f>
        <v>outubro</v>
      </c>
      <c r="I378" t="str">
        <f>TEXT(MONTH(Tabela1[[#This Row],[Último pagto ano]])*29,"mmmm")</f>
        <v>outubro</v>
      </c>
    </row>
    <row r="379" spans="1:9" x14ac:dyDescent="0.25">
      <c r="A379">
        <v>2025</v>
      </c>
      <c r="B379" t="s">
        <v>755</v>
      </c>
      <c r="C379" s="1">
        <v>45861</v>
      </c>
      <c r="D379" t="s">
        <v>756</v>
      </c>
      <c r="E379" s="2">
        <v>5731.66</v>
      </c>
      <c r="G379" s="3">
        <f>MONTH(Tabela1[[#This Row],[Último pagto ano]])</f>
        <v>7</v>
      </c>
      <c r="H379" t="str">
        <f>TEXT(Tabela1[[#This Row],[Coluna2]]*29,"mmmm")</f>
        <v>julho</v>
      </c>
      <c r="I379" t="str">
        <f>TEXT(MONTH(Tabela1[[#This Row],[Último pagto ano]])*29,"mmmm")</f>
        <v>julho</v>
      </c>
    </row>
    <row r="380" spans="1:9" x14ac:dyDescent="0.25">
      <c r="A380">
        <v>2025</v>
      </c>
      <c r="B380" t="s">
        <v>757</v>
      </c>
      <c r="C380" s="1">
        <v>45989</v>
      </c>
      <c r="D380" t="s">
        <v>758</v>
      </c>
      <c r="E380" s="2">
        <v>10973.83</v>
      </c>
      <c r="G380" s="3">
        <f>MONTH(Tabela1[[#This Row],[Último pagto ano]])</f>
        <v>11</v>
      </c>
      <c r="H380" t="str">
        <f>TEXT(Tabela1[[#This Row],[Coluna2]]*29,"mmmm")</f>
        <v>novembro</v>
      </c>
      <c r="I380" t="str">
        <f>TEXT(MONTH(Tabela1[[#This Row],[Último pagto ano]])*29,"mmmm")</f>
        <v>novembro</v>
      </c>
    </row>
    <row r="381" spans="1:9" x14ac:dyDescent="0.25">
      <c r="A381">
        <v>2025</v>
      </c>
      <c r="B381" t="s">
        <v>759</v>
      </c>
      <c r="C381" s="1">
        <v>46010</v>
      </c>
      <c r="D381" t="s">
        <v>760</v>
      </c>
      <c r="E381" s="2">
        <v>8400</v>
      </c>
      <c r="G381" s="3">
        <f>MONTH(Tabela1[[#This Row],[Último pagto ano]])</f>
        <v>12</v>
      </c>
      <c r="H381" t="str">
        <f>TEXT(Tabela1[[#This Row],[Coluna2]]*29,"mmmm")</f>
        <v>dezembro</v>
      </c>
      <c r="I381" t="str">
        <f>TEXT(MONTH(Tabela1[[#This Row],[Último pagto ano]])*29,"mmmm")</f>
        <v>dezembro</v>
      </c>
    </row>
    <row r="382" spans="1:9" x14ac:dyDescent="0.25">
      <c r="A382">
        <v>2025</v>
      </c>
      <c r="B382" t="s">
        <v>761</v>
      </c>
      <c r="C382" s="1">
        <v>45726</v>
      </c>
      <c r="D382" t="s">
        <v>762</v>
      </c>
      <c r="E382">
        <v>79.7</v>
      </c>
      <c r="G382" s="3">
        <f>MONTH(Tabela1[[#This Row],[Último pagto ano]])</f>
        <v>3</v>
      </c>
      <c r="H382" t="str">
        <f>TEXT(Tabela1[[#This Row],[Coluna2]]*29,"mmmm")</f>
        <v>março</v>
      </c>
      <c r="I382" t="str">
        <f>TEXT(MONTH(Tabela1[[#This Row],[Último pagto ano]])*29,"mmmm")</f>
        <v>março</v>
      </c>
    </row>
    <row r="383" spans="1:9" x14ac:dyDescent="0.25">
      <c r="A383">
        <v>2025</v>
      </c>
      <c r="B383" t="s">
        <v>763</v>
      </c>
      <c r="C383" s="1">
        <v>45989</v>
      </c>
      <c r="D383" t="s">
        <v>764</v>
      </c>
      <c r="E383" s="2">
        <v>7371.36</v>
      </c>
      <c r="G383" s="3">
        <f>MONTH(Tabela1[[#This Row],[Último pagto ano]])</f>
        <v>11</v>
      </c>
      <c r="H383" t="str">
        <f>TEXT(Tabela1[[#This Row],[Coluna2]]*29,"mmmm")</f>
        <v>novembro</v>
      </c>
      <c r="I383" t="str">
        <f>TEXT(MONTH(Tabela1[[#This Row],[Último pagto ano]])*29,"mmmm")</f>
        <v>novembro</v>
      </c>
    </row>
    <row r="384" spans="1:9" x14ac:dyDescent="0.25">
      <c r="A384">
        <v>2025</v>
      </c>
      <c r="B384" t="s">
        <v>765</v>
      </c>
      <c r="C384" s="1">
        <v>45702</v>
      </c>
      <c r="D384" t="s">
        <v>766</v>
      </c>
      <c r="E384">
        <v>163.09</v>
      </c>
      <c r="G384" s="3">
        <f>MONTH(Tabela1[[#This Row],[Último pagto ano]])</f>
        <v>2</v>
      </c>
      <c r="H384" t="str">
        <f>TEXT(Tabela1[[#This Row],[Coluna2]]*29,"mmmm")</f>
        <v>fevereiro</v>
      </c>
      <c r="I384" t="str">
        <f>TEXT(MONTH(Tabela1[[#This Row],[Último pagto ano]])*29,"mmmm")</f>
        <v>fevereiro</v>
      </c>
    </row>
    <row r="385" spans="1:9" x14ac:dyDescent="0.25">
      <c r="A385">
        <v>2025</v>
      </c>
      <c r="B385" t="s">
        <v>767</v>
      </c>
      <c r="C385" s="1">
        <v>45930</v>
      </c>
      <c r="D385" t="s">
        <v>768</v>
      </c>
      <c r="E385" s="2">
        <v>9006.94</v>
      </c>
      <c r="G385" s="3">
        <f>MONTH(Tabela1[[#This Row],[Último pagto ano]])</f>
        <v>9</v>
      </c>
      <c r="H385" t="str">
        <f>TEXT(Tabela1[[#This Row],[Coluna2]]*29,"mmmm")</f>
        <v>setembro</v>
      </c>
      <c r="I385" t="str">
        <f>TEXT(MONTH(Tabela1[[#This Row],[Último pagto ano]])*29,"mmmm")</f>
        <v>setembro</v>
      </c>
    </row>
    <row r="386" spans="1:9" x14ac:dyDescent="0.25">
      <c r="A386">
        <v>2025</v>
      </c>
      <c r="B386" t="s">
        <v>769</v>
      </c>
      <c r="C386" s="1">
        <v>45748</v>
      </c>
      <c r="D386" t="s">
        <v>770</v>
      </c>
      <c r="E386">
        <v>920.24</v>
      </c>
      <c r="G386" s="3">
        <f>MONTH(Tabela1[[#This Row],[Último pagto ano]])</f>
        <v>4</v>
      </c>
      <c r="H386" t="str">
        <f>TEXT(Tabela1[[#This Row],[Coluna2]]*29,"mmmm")</f>
        <v>abril</v>
      </c>
      <c r="I386" t="str">
        <f>TEXT(MONTH(Tabela1[[#This Row],[Último pagto ano]])*29,"mmmm")</f>
        <v>abril</v>
      </c>
    </row>
    <row r="387" spans="1:9" x14ac:dyDescent="0.25">
      <c r="A387">
        <v>2025</v>
      </c>
      <c r="B387" t="s">
        <v>771</v>
      </c>
      <c r="C387" s="1">
        <v>45673</v>
      </c>
      <c r="D387" t="s">
        <v>772</v>
      </c>
      <c r="E387" s="2">
        <v>1100</v>
      </c>
      <c r="G387" s="3">
        <f>MONTH(Tabela1[[#This Row],[Último pagto ano]])</f>
        <v>1</v>
      </c>
      <c r="H387" t="str">
        <f>TEXT(Tabela1[[#This Row],[Coluna2]]*29,"mmmm")</f>
        <v>janeiro</v>
      </c>
      <c r="I387" t="str">
        <f>TEXT(MONTH(Tabela1[[#This Row],[Último pagto ano]])*29,"mmmm")</f>
        <v>janeiro</v>
      </c>
    </row>
    <row r="388" spans="1:9" x14ac:dyDescent="0.25">
      <c r="A388">
        <v>2025</v>
      </c>
      <c r="B388" t="s">
        <v>773</v>
      </c>
      <c r="C388" s="1">
        <v>45996</v>
      </c>
      <c r="D388" t="s">
        <v>774</v>
      </c>
      <c r="E388" s="2">
        <v>2520</v>
      </c>
      <c r="G388" s="3">
        <f>MONTH(Tabela1[[#This Row],[Último pagto ano]])</f>
        <v>12</v>
      </c>
      <c r="H388" t="str">
        <f>TEXT(Tabela1[[#This Row],[Coluna2]]*29,"mmmm")</f>
        <v>dezembro</v>
      </c>
      <c r="I388" t="str">
        <f>TEXT(MONTH(Tabela1[[#This Row],[Último pagto ano]])*29,"mmmm")</f>
        <v>dezembro</v>
      </c>
    </row>
    <row r="389" spans="1:9" x14ac:dyDescent="0.25">
      <c r="A389">
        <v>2025</v>
      </c>
      <c r="B389" t="s">
        <v>775</v>
      </c>
      <c r="C389" s="1">
        <v>45989</v>
      </c>
      <c r="D389" t="s">
        <v>776</v>
      </c>
      <c r="E389" s="2">
        <v>3526.76</v>
      </c>
      <c r="G389" s="3">
        <f>MONTH(Tabela1[[#This Row],[Último pagto ano]])</f>
        <v>11</v>
      </c>
      <c r="H389" t="str">
        <f>TEXT(Tabela1[[#This Row],[Coluna2]]*29,"mmmm")</f>
        <v>novembro</v>
      </c>
      <c r="I389" t="str">
        <f>TEXT(MONTH(Tabela1[[#This Row],[Último pagto ano]])*29,"mmmm")</f>
        <v>novembro</v>
      </c>
    </row>
    <row r="390" spans="1:9" x14ac:dyDescent="0.25">
      <c r="A390">
        <v>2025</v>
      </c>
      <c r="B390" t="s">
        <v>777</v>
      </c>
      <c r="C390" s="1">
        <v>45989</v>
      </c>
      <c r="D390" t="s">
        <v>778</v>
      </c>
      <c r="E390" s="2">
        <v>11776.65</v>
      </c>
      <c r="G390" s="3">
        <f>MONTH(Tabela1[[#This Row],[Último pagto ano]])</f>
        <v>11</v>
      </c>
      <c r="H390" t="str">
        <f>TEXT(Tabela1[[#This Row],[Coluna2]]*29,"mmmm")</f>
        <v>novembro</v>
      </c>
      <c r="I390" t="str">
        <f>TEXT(MONTH(Tabela1[[#This Row],[Último pagto ano]])*29,"mmmm")</f>
        <v>novembro</v>
      </c>
    </row>
    <row r="391" spans="1:9" x14ac:dyDescent="0.25">
      <c r="A391">
        <v>2025</v>
      </c>
      <c r="B391" t="s">
        <v>779</v>
      </c>
      <c r="C391" s="1">
        <v>46010</v>
      </c>
      <c r="D391" t="s">
        <v>780</v>
      </c>
      <c r="E391" s="2">
        <v>9000</v>
      </c>
      <c r="G391" s="3">
        <f>MONTH(Tabela1[[#This Row],[Último pagto ano]])</f>
        <v>12</v>
      </c>
      <c r="H391" t="str">
        <f>TEXT(Tabela1[[#This Row],[Coluna2]]*29,"mmmm")</f>
        <v>dezembro</v>
      </c>
      <c r="I391" t="str">
        <f>TEXT(MONTH(Tabela1[[#This Row],[Último pagto ano]])*29,"mmmm")</f>
        <v>dezembro</v>
      </c>
    </row>
    <row r="392" spans="1:9" x14ac:dyDescent="0.25">
      <c r="A392">
        <v>2025</v>
      </c>
      <c r="B392" t="s">
        <v>781</v>
      </c>
      <c r="C392" s="1">
        <v>45792</v>
      </c>
      <c r="D392" t="s">
        <v>782</v>
      </c>
      <c r="E392" s="2">
        <v>1776.96</v>
      </c>
      <c r="G392" s="3">
        <f>MONTH(Tabela1[[#This Row],[Último pagto ano]])</f>
        <v>5</v>
      </c>
      <c r="H392" t="str">
        <f>TEXT(Tabela1[[#This Row],[Coluna2]]*29,"mmmm")</f>
        <v>maio</v>
      </c>
      <c r="I392" t="str">
        <f>TEXT(MONTH(Tabela1[[#This Row],[Último pagto ano]])*29,"mmmm")</f>
        <v>maio</v>
      </c>
    </row>
    <row r="393" spans="1:9" x14ac:dyDescent="0.25">
      <c r="A393">
        <v>2025</v>
      </c>
      <c r="B393" t="s">
        <v>783</v>
      </c>
      <c r="C393" s="1">
        <v>45992</v>
      </c>
      <c r="D393" t="s">
        <v>784</v>
      </c>
      <c r="E393" s="2">
        <v>17600</v>
      </c>
      <c r="G393" s="3">
        <f>MONTH(Tabela1[[#This Row],[Último pagto ano]])</f>
        <v>12</v>
      </c>
      <c r="H393" t="str">
        <f>TEXT(Tabela1[[#This Row],[Coluna2]]*29,"mmmm")</f>
        <v>dezembro</v>
      </c>
      <c r="I393" t="str">
        <f>TEXT(MONTH(Tabela1[[#This Row],[Último pagto ano]])*29,"mmmm")</f>
        <v>dezembro</v>
      </c>
    </row>
    <row r="394" spans="1:9" x14ac:dyDescent="0.25">
      <c r="A394">
        <v>2025</v>
      </c>
      <c r="B394" t="s">
        <v>785</v>
      </c>
      <c r="C394" s="1">
        <v>46010</v>
      </c>
      <c r="D394" t="s">
        <v>786</v>
      </c>
      <c r="E394" s="2">
        <v>8400</v>
      </c>
      <c r="G394" s="3">
        <f>MONTH(Tabela1[[#This Row],[Último pagto ano]])</f>
        <v>12</v>
      </c>
      <c r="H394" t="str">
        <f>TEXT(Tabela1[[#This Row],[Coluna2]]*29,"mmmm")</f>
        <v>dezembro</v>
      </c>
      <c r="I394" t="str">
        <f>TEXT(MONTH(Tabela1[[#This Row],[Último pagto ano]])*29,"mmmm")</f>
        <v>dezembro</v>
      </c>
    </row>
    <row r="395" spans="1:9" x14ac:dyDescent="0.25">
      <c r="A395">
        <v>2025</v>
      </c>
      <c r="B395" t="s">
        <v>787</v>
      </c>
      <c r="C395" s="1">
        <v>45673</v>
      </c>
      <c r="D395" t="s">
        <v>788</v>
      </c>
      <c r="E395" s="2">
        <v>1800</v>
      </c>
      <c r="G395" s="3">
        <f>MONTH(Tabela1[[#This Row],[Último pagto ano]])</f>
        <v>1</v>
      </c>
      <c r="H395" t="str">
        <f>TEXT(Tabela1[[#This Row],[Coluna2]]*29,"mmmm")</f>
        <v>janeiro</v>
      </c>
      <c r="I395" t="str">
        <f>TEXT(MONTH(Tabela1[[#This Row],[Último pagto ano]])*29,"mmmm")</f>
        <v>janeiro</v>
      </c>
    </row>
    <row r="396" spans="1:9" x14ac:dyDescent="0.25">
      <c r="A396">
        <v>2025</v>
      </c>
      <c r="B396" t="s">
        <v>789</v>
      </c>
      <c r="C396" s="1">
        <v>45968</v>
      </c>
      <c r="D396" t="s">
        <v>790</v>
      </c>
      <c r="E396" s="2">
        <v>10300</v>
      </c>
      <c r="G396" s="3">
        <f>MONTH(Tabela1[[#This Row],[Último pagto ano]])</f>
        <v>11</v>
      </c>
      <c r="H396" t="str">
        <f>TEXT(Tabela1[[#This Row],[Coluna2]]*29,"mmmm")</f>
        <v>novembro</v>
      </c>
      <c r="I396" t="str">
        <f>TEXT(MONTH(Tabela1[[#This Row],[Último pagto ano]])*29,"mmmm")</f>
        <v>novembro</v>
      </c>
    </row>
    <row r="397" spans="1:9" x14ac:dyDescent="0.25">
      <c r="A397">
        <v>2025</v>
      </c>
      <c r="B397" t="s">
        <v>791</v>
      </c>
      <c r="C397" s="1">
        <v>45744</v>
      </c>
      <c r="D397" t="s">
        <v>792</v>
      </c>
      <c r="E397" s="2">
        <v>3058.22</v>
      </c>
      <c r="G397" s="3">
        <f>MONTH(Tabela1[[#This Row],[Último pagto ano]])</f>
        <v>3</v>
      </c>
      <c r="H397" t="str">
        <f>TEXT(Tabela1[[#This Row],[Coluna2]]*29,"mmmm")</f>
        <v>março</v>
      </c>
      <c r="I397" t="str">
        <f>TEXT(MONTH(Tabela1[[#This Row],[Último pagto ano]])*29,"mmmm")</f>
        <v>março</v>
      </c>
    </row>
    <row r="398" spans="1:9" x14ac:dyDescent="0.25">
      <c r="A398">
        <v>2025</v>
      </c>
      <c r="B398" t="s">
        <v>793</v>
      </c>
      <c r="C398" s="1">
        <v>46010</v>
      </c>
      <c r="D398" t="s">
        <v>794</v>
      </c>
      <c r="E398" s="2">
        <v>8400</v>
      </c>
      <c r="G398" s="3">
        <f>MONTH(Tabela1[[#This Row],[Último pagto ano]])</f>
        <v>12</v>
      </c>
      <c r="H398" t="str">
        <f>TEXT(Tabela1[[#This Row],[Coluna2]]*29,"mmmm")</f>
        <v>dezembro</v>
      </c>
      <c r="I398" t="str">
        <f>TEXT(MONTH(Tabela1[[#This Row],[Último pagto ano]])*29,"mmmm")</f>
        <v>dezembro</v>
      </c>
    </row>
    <row r="399" spans="1:9" x14ac:dyDescent="0.25">
      <c r="A399">
        <v>2025</v>
      </c>
      <c r="B399" t="s">
        <v>795</v>
      </c>
      <c r="C399" s="1">
        <v>45996</v>
      </c>
      <c r="D399" t="s">
        <v>796</v>
      </c>
      <c r="E399" s="2">
        <v>48000</v>
      </c>
      <c r="G399" s="3">
        <f>MONTH(Tabela1[[#This Row],[Último pagto ano]])</f>
        <v>12</v>
      </c>
      <c r="H399" t="str">
        <f>TEXT(Tabela1[[#This Row],[Coluna2]]*29,"mmmm")</f>
        <v>dezembro</v>
      </c>
      <c r="I399" t="str">
        <f>TEXT(MONTH(Tabela1[[#This Row],[Último pagto ano]])*29,"mmmm")</f>
        <v>dezembro</v>
      </c>
    </row>
    <row r="400" spans="1:9" x14ac:dyDescent="0.25">
      <c r="A400">
        <v>2025</v>
      </c>
      <c r="B400" t="s">
        <v>797</v>
      </c>
      <c r="C400" s="1">
        <v>46010</v>
      </c>
      <c r="D400" t="s">
        <v>798</v>
      </c>
      <c r="E400" s="2">
        <v>8400</v>
      </c>
      <c r="G400" s="3">
        <f>MONTH(Tabela1[[#This Row],[Último pagto ano]])</f>
        <v>12</v>
      </c>
      <c r="H400" t="str">
        <f>TEXT(Tabela1[[#This Row],[Coluna2]]*29,"mmmm")</f>
        <v>dezembro</v>
      </c>
      <c r="I400" t="str">
        <f>TEXT(MONTH(Tabela1[[#This Row],[Último pagto ano]])*29,"mmmm")</f>
        <v>dezembro</v>
      </c>
    </row>
    <row r="401" spans="1:9" x14ac:dyDescent="0.25">
      <c r="A401">
        <v>2025</v>
      </c>
      <c r="B401" t="s">
        <v>799</v>
      </c>
      <c r="C401" s="1">
        <v>46006</v>
      </c>
      <c r="D401" t="s">
        <v>800</v>
      </c>
      <c r="E401" s="2">
        <v>5923.2</v>
      </c>
      <c r="G401" s="3">
        <f>MONTH(Tabela1[[#This Row],[Último pagto ano]])</f>
        <v>12</v>
      </c>
      <c r="H401" t="str">
        <f>TEXT(Tabela1[[#This Row],[Coluna2]]*29,"mmmm")</f>
        <v>dezembro</v>
      </c>
      <c r="I401" t="str">
        <f>TEXT(MONTH(Tabela1[[#This Row],[Último pagto ano]])*29,"mmmm")</f>
        <v>dezembro</v>
      </c>
    </row>
    <row r="402" spans="1:9" x14ac:dyDescent="0.25">
      <c r="A402">
        <v>2025</v>
      </c>
      <c r="B402" t="s">
        <v>801</v>
      </c>
      <c r="C402" s="1">
        <v>45807</v>
      </c>
      <c r="D402" t="s">
        <v>802</v>
      </c>
      <c r="E402" s="2">
        <v>3218.25</v>
      </c>
      <c r="G402" s="3">
        <f>MONTH(Tabela1[[#This Row],[Último pagto ano]])</f>
        <v>5</v>
      </c>
      <c r="H402" t="str">
        <f>TEXT(Tabela1[[#This Row],[Coluna2]]*29,"mmmm")</f>
        <v>maio</v>
      </c>
      <c r="I402" t="str">
        <f>TEXT(MONTH(Tabela1[[#This Row],[Último pagto ano]])*29,"mmmm")</f>
        <v>maio</v>
      </c>
    </row>
    <row r="403" spans="1:9" x14ac:dyDescent="0.25">
      <c r="A403">
        <v>2025</v>
      </c>
      <c r="B403" t="s">
        <v>803</v>
      </c>
      <c r="C403" s="1">
        <v>46010</v>
      </c>
      <c r="D403" t="s">
        <v>804</v>
      </c>
      <c r="E403" s="2">
        <v>54000</v>
      </c>
      <c r="G403" s="3">
        <f>MONTH(Tabela1[[#This Row],[Último pagto ano]])</f>
        <v>12</v>
      </c>
      <c r="H403" t="str">
        <f>TEXT(Tabela1[[#This Row],[Coluna2]]*29,"mmmm")</f>
        <v>dezembro</v>
      </c>
      <c r="I403" t="str">
        <f>TEXT(MONTH(Tabela1[[#This Row],[Último pagto ano]])*29,"mmmm")</f>
        <v>dezembro</v>
      </c>
    </row>
    <row r="404" spans="1:9" x14ac:dyDescent="0.25">
      <c r="A404">
        <v>2025</v>
      </c>
      <c r="B404" t="s">
        <v>805</v>
      </c>
      <c r="C404" s="1">
        <v>46010</v>
      </c>
      <c r="D404" t="s">
        <v>806</v>
      </c>
      <c r="E404" s="2">
        <v>8400</v>
      </c>
      <c r="G404" s="3">
        <f>MONTH(Tabela1[[#This Row],[Último pagto ano]])</f>
        <v>12</v>
      </c>
      <c r="H404" t="str">
        <f>TEXT(Tabela1[[#This Row],[Coluna2]]*29,"mmmm")</f>
        <v>dezembro</v>
      </c>
      <c r="I404" t="str">
        <f>TEXT(MONTH(Tabela1[[#This Row],[Último pagto ano]])*29,"mmmm")</f>
        <v>dezembro</v>
      </c>
    </row>
    <row r="405" spans="1:9" x14ac:dyDescent="0.25">
      <c r="A405">
        <v>2025</v>
      </c>
      <c r="B405" t="s">
        <v>807</v>
      </c>
      <c r="C405" s="1">
        <v>45743</v>
      </c>
      <c r="D405" t="s">
        <v>808</v>
      </c>
      <c r="E405" s="2">
        <v>38750</v>
      </c>
      <c r="G405" s="3">
        <f>MONTH(Tabela1[[#This Row],[Último pagto ano]])</f>
        <v>3</v>
      </c>
      <c r="H405" t="str">
        <f>TEXT(Tabela1[[#This Row],[Coluna2]]*29,"mmmm")</f>
        <v>março</v>
      </c>
      <c r="I405" t="str">
        <f>TEXT(MONTH(Tabela1[[#This Row],[Último pagto ano]])*29,"mmmm")</f>
        <v>março</v>
      </c>
    </row>
    <row r="406" spans="1:9" x14ac:dyDescent="0.25">
      <c r="A406">
        <v>2025</v>
      </c>
      <c r="B406" t="s">
        <v>809</v>
      </c>
      <c r="C406" s="1">
        <v>45884</v>
      </c>
      <c r="D406" t="s">
        <v>810</v>
      </c>
      <c r="E406" s="2">
        <v>16028</v>
      </c>
      <c r="G406" s="3">
        <f>MONTH(Tabela1[[#This Row],[Último pagto ano]])</f>
        <v>8</v>
      </c>
      <c r="H406" t="str">
        <f>TEXT(Tabela1[[#This Row],[Coluna2]]*29,"mmmm")</f>
        <v>agosto</v>
      </c>
      <c r="I406" t="str">
        <f>TEXT(MONTH(Tabela1[[#This Row],[Último pagto ano]])*29,"mmmm")</f>
        <v>agosto</v>
      </c>
    </row>
    <row r="407" spans="1:9" x14ac:dyDescent="0.25">
      <c r="A407">
        <v>2025</v>
      </c>
      <c r="B407" t="s">
        <v>811</v>
      </c>
      <c r="C407" s="1">
        <v>45707</v>
      </c>
      <c r="D407" t="s">
        <v>812</v>
      </c>
      <c r="E407" s="2">
        <v>2905918.97</v>
      </c>
      <c r="G407" s="3">
        <f>MONTH(Tabela1[[#This Row],[Último pagto ano]])</f>
        <v>2</v>
      </c>
      <c r="H407" t="str">
        <f>TEXT(Tabela1[[#This Row],[Coluna2]]*29,"mmmm")</f>
        <v>fevereiro</v>
      </c>
      <c r="I407" t="str">
        <f>TEXT(MONTH(Tabela1[[#This Row],[Último pagto ano]])*29,"mmmm")</f>
        <v>fevereiro</v>
      </c>
    </row>
    <row r="408" spans="1:9" x14ac:dyDescent="0.25">
      <c r="A408">
        <v>2025</v>
      </c>
      <c r="B408" t="s">
        <v>813</v>
      </c>
      <c r="C408" s="1">
        <v>45945</v>
      </c>
      <c r="D408" t="s">
        <v>814</v>
      </c>
      <c r="E408" s="2">
        <v>3090</v>
      </c>
      <c r="G408" s="3">
        <f>MONTH(Tabela1[[#This Row],[Último pagto ano]])</f>
        <v>10</v>
      </c>
      <c r="H408" t="str">
        <f>TEXT(Tabela1[[#This Row],[Coluna2]]*29,"mmmm")</f>
        <v>outubro</v>
      </c>
      <c r="I408" t="str">
        <f>TEXT(MONTH(Tabela1[[#This Row],[Último pagto ano]])*29,"mmmm")</f>
        <v>outubro</v>
      </c>
    </row>
    <row r="409" spans="1:9" x14ac:dyDescent="0.25">
      <c r="A409">
        <v>2025</v>
      </c>
      <c r="B409" t="s">
        <v>815</v>
      </c>
      <c r="C409" s="1">
        <v>45889</v>
      </c>
      <c r="D409" t="s">
        <v>816</v>
      </c>
      <c r="E409" s="2">
        <v>51539.21</v>
      </c>
      <c r="G409" s="3">
        <f>MONTH(Tabela1[[#This Row],[Último pagto ano]])</f>
        <v>8</v>
      </c>
      <c r="H409" t="str">
        <f>TEXT(Tabela1[[#This Row],[Coluna2]]*29,"mmmm")</f>
        <v>agosto</v>
      </c>
      <c r="I409" t="str">
        <f>TEXT(MONTH(Tabela1[[#This Row],[Último pagto ano]])*29,"mmmm")</f>
        <v>agosto</v>
      </c>
    </row>
    <row r="410" spans="1:9" x14ac:dyDescent="0.25">
      <c r="A410">
        <v>2025</v>
      </c>
      <c r="B410" t="s">
        <v>817</v>
      </c>
      <c r="C410" s="1">
        <v>46014</v>
      </c>
      <c r="D410" t="s">
        <v>818</v>
      </c>
      <c r="E410" s="2">
        <v>78760</v>
      </c>
      <c r="G410" s="3">
        <f>MONTH(Tabela1[[#This Row],[Último pagto ano]])</f>
        <v>12</v>
      </c>
      <c r="H410" t="str">
        <f>TEXT(Tabela1[[#This Row],[Coluna2]]*29,"mmmm")</f>
        <v>dezembro</v>
      </c>
      <c r="I410" t="str">
        <f>TEXT(MONTH(Tabela1[[#This Row],[Último pagto ano]])*29,"mmmm")</f>
        <v>dezembro</v>
      </c>
    </row>
    <row r="411" spans="1:9" x14ac:dyDescent="0.25">
      <c r="A411">
        <v>2025</v>
      </c>
      <c r="B411" t="s">
        <v>819</v>
      </c>
      <c r="C411" s="1">
        <v>45968</v>
      </c>
      <c r="D411" t="s">
        <v>820</v>
      </c>
      <c r="E411" s="2">
        <v>21909.69</v>
      </c>
      <c r="G411" s="3">
        <f>MONTH(Tabela1[[#This Row],[Último pagto ano]])</f>
        <v>11</v>
      </c>
      <c r="H411" t="str">
        <f>TEXT(Tabela1[[#This Row],[Coluna2]]*29,"mmmm")</f>
        <v>novembro</v>
      </c>
      <c r="I411" t="str">
        <f>TEXT(MONTH(Tabela1[[#This Row],[Último pagto ano]])*29,"mmmm")</f>
        <v>novembro</v>
      </c>
    </row>
    <row r="412" spans="1:9" x14ac:dyDescent="0.25">
      <c r="A412">
        <v>2025</v>
      </c>
      <c r="B412" t="s">
        <v>821</v>
      </c>
      <c r="C412" s="1">
        <v>45933</v>
      </c>
      <c r="D412" t="s">
        <v>822</v>
      </c>
      <c r="E412" s="2">
        <v>74004</v>
      </c>
      <c r="G412" s="3">
        <f>MONTH(Tabela1[[#This Row],[Último pagto ano]])</f>
        <v>10</v>
      </c>
      <c r="H412" t="str">
        <f>TEXT(Tabela1[[#This Row],[Coluna2]]*29,"mmmm")</f>
        <v>outubro</v>
      </c>
      <c r="I412" t="str">
        <f>TEXT(MONTH(Tabela1[[#This Row],[Último pagto ano]])*29,"mmmm")</f>
        <v>outubro</v>
      </c>
    </row>
    <row r="413" spans="1:9" x14ac:dyDescent="0.25">
      <c r="A413">
        <v>2025</v>
      </c>
      <c r="B413" t="s">
        <v>823</v>
      </c>
      <c r="C413" s="1">
        <v>46014</v>
      </c>
      <c r="D413" t="s">
        <v>824</v>
      </c>
      <c r="E413" s="2">
        <v>52867.199999999997</v>
      </c>
      <c r="G413" s="3">
        <f>MONTH(Tabela1[[#This Row],[Último pagto ano]])</f>
        <v>12</v>
      </c>
      <c r="H413" t="str">
        <f>TEXT(Tabela1[[#This Row],[Coluna2]]*29,"mmmm")</f>
        <v>dezembro</v>
      </c>
      <c r="I413" t="str">
        <f>TEXT(MONTH(Tabela1[[#This Row],[Último pagto ano]])*29,"mmmm")</f>
        <v>dezembro</v>
      </c>
    </row>
    <row r="414" spans="1:9" x14ac:dyDescent="0.25">
      <c r="A414">
        <v>2025</v>
      </c>
      <c r="B414" t="s">
        <v>825</v>
      </c>
      <c r="C414" s="1">
        <v>45762</v>
      </c>
      <c r="D414" t="s">
        <v>826</v>
      </c>
      <c r="E414" s="2">
        <v>127512</v>
      </c>
      <c r="G414" s="3">
        <f>MONTH(Tabela1[[#This Row],[Último pagto ano]])</f>
        <v>4</v>
      </c>
      <c r="H414" t="str">
        <f>TEXT(Tabela1[[#This Row],[Coluna2]]*29,"mmmm")</f>
        <v>abril</v>
      </c>
      <c r="I414" t="str">
        <f>TEXT(MONTH(Tabela1[[#This Row],[Último pagto ano]])*29,"mmmm")</f>
        <v>abril</v>
      </c>
    </row>
    <row r="415" spans="1:9" x14ac:dyDescent="0.25">
      <c r="A415">
        <v>2025</v>
      </c>
      <c r="B415" t="s">
        <v>827</v>
      </c>
      <c r="C415" s="1">
        <v>45989</v>
      </c>
      <c r="D415" t="s">
        <v>828</v>
      </c>
      <c r="E415" s="2">
        <v>3236.38</v>
      </c>
      <c r="G415" s="3">
        <f>MONTH(Tabela1[[#This Row],[Último pagto ano]])</f>
        <v>11</v>
      </c>
      <c r="H415" t="str">
        <f>TEXT(Tabela1[[#This Row],[Coluna2]]*29,"mmmm")</f>
        <v>novembro</v>
      </c>
      <c r="I415" t="str">
        <f>TEXT(MONTH(Tabela1[[#This Row],[Último pagto ano]])*29,"mmmm")</f>
        <v>novembro</v>
      </c>
    </row>
    <row r="416" spans="1:9" x14ac:dyDescent="0.25">
      <c r="A416">
        <v>2025</v>
      </c>
      <c r="B416" t="s">
        <v>829</v>
      </c>
      <c r="C416" s="1">
        <v>46021</v>
      </c>
      <c r="D416" t="s">
        <v>830</v>
      </c>
      <c r="E416" s="2">
        <v>3517.98</v>
      </c>
      <c r="G416" s="3">
        <f>MONTH(Tabela1[[#This Row],[Último pagto ano]])</f>
        <v>12</v>
      </c>
      <c r="H416" t="str">
        <f>TEXT(Tabela1[[#This Row],[Coluna2]]*29,"mmmm")</f>
        <v>dezembro</v>
      </c>
      <c r="I416" t="str">
        <f>TEXT(MONTH(Tabela1[[#This Row],[Último pagto ano]])*29,"mmmm")</f>
        <v>dezembro</v>
      </c>
    </row>
    <row r="417" spans="1:9" x14ac:dyDescent="0.25">
      <c r="A417">
        <v>2025</v>
      </c>
      <c r="B417" t="s">
        <v>831</v>
      </c>
      <c r="C417" s="1">
        <v>46021</v>
      </c>
      <c r="D417" t="s">
        <v>832</v>
      </c>
      <c r="E417" s="2">
        <v>11394.85</v>
      </c>
      <c r="G417" s="3">
        <f>MONTH(Tabela1[[#This Row],[Último pagto ano]])</f>
        <v>12</v>
      </c>
      <c r="H417" t="str">
        <f>TEXT(Tabela1[[#This Row],[Coluna2]]*29,"mmmm")</f>
        <v>dezembro</v>
      </c>
      <c r="I417" t="str">
        <f>TEXT(MONTH(Tabela1[[#This Row],[Último pagto ano]])*29,"mmmm")</f>
        <v>dezembro</v>
      </c>
    </row>
    <row r="418" spans="1:9" x14ac:dyDescent="0.25">
      <c r="A418">
        <v>2025</v>
      </c>
      <c r="B418" t="s">
        <v>833</v>
      </c>
      <c r="C418" s="1">
        <v>45845</v>
      </c>
      <c r="D418" t="s">
        <v>834</v>
      </c>
      <c r="E418">
        <v>250</v>
      </c>
      <c r="G418" s="3">
        <f>MONTH(Tabela1[[#This Row],[Último pagto ano]])</f>
        <v>7</v>
      </c>
      <c r="H418" t="str">
        <f>TEXT(Tabela1[[#This Row],[Coluna2]]*29,"mmmm")</f>
        <v>julho</v>
      </c>
      <c r="I418" t="str">
        <f>TEXT(MONTH(Tabela1[[#This Row],[Último pagto ano]])*29,"mmmm")</f>
        <v>julho</v>
      </c>
    </row>
    <row r="419" spans="1:9" x14ac:dyDescent="0.25">
      <c r="A419">
        <v>2025</v>
      </c>
      <c r="B419" t="s">
        <v>835</v>
      </c>
      <c r="C419" s="1">
        <v>45716</v>
      </c>
      <c r="D419" t="s">
        <v>836</v>
      </c>
      <c r="E419" s="2">
        <v>2112.36</v>
      </c>
      <c r="G419" s="3">
        <f>MONTH(Tabela1[[#This Row],[Último pagto ano]])</f>
        <v>2</v>
      </c>
      <c r="H419" t="str">
        <f>TEXT(Tabela1[[#This Row],[Coluna2]]*29,"mmmm")</f>
        <v>fevereiro</v>
      </c>
      <c r="I419" t="str">
        <f>TEXT(MONTH(Tabela1[[#This Row],[Último pagto ano]])*29,"mmmm")</f>
        <v>fevereiro</v>
      </c>
    </row>
    <row r="420" spans="1:9" x14ac:dyDescent="0.25">
      <c r="A420">
        <v>2025</v>
      </c>
      <c r="B420" t="s">
        <v>837</v>
      </c>
      <c r="C420" s="1">
        <v>45702</v>
      </c>
      <c r="D420" t="s">
        <v>838</v>
      </c>
      <c r="E420">
        <v>908.83</v>
      </c>
      <c r="G420" s="3">
        <f>MONTH(Tabela1[[#This Row],[Último pagto ano]])</f>
        <v>2</v>
      </c>
      <c r="H420" t="str">
        <f>TEXT(Tabela1[[#This Row],[Coluna2]]*29,"mmmm")</f>
        <v>fevereiro</v>
      </c>
      <c r="I420" t="str">
        <f>TEXT(MONTH(Tabela1[[#This Row],[Último pagto ano]])*29,"mmmm")</f>
        <v>fevereiro</v>
      </c>
    </row>
    <row r="421" spans="1:9" x14ac:dyDescent="0.25">
      <c r="A421">
        <v>2025</v>
      </c>
      <c r="B421" t="s">
        <v>839</v>
      </c>
      <c r="C421" s="1">
        <v>45996</v>
      </c>
      <c r="D421" t="s">
        <v>840</v>
      </c>
      <c r="E421" s="2">
        <v>13281.6</v>
      </c>
      <c r="G421" s="3">
        <f>MONTH(Tabela1[[#This Row],[Último pagto ano]])</f>
        <v>12</v>
      </c>
      <c r="H421" t="str">
        <f>TEXT(Tabela1[[#This Row],[Coluna2]]*29,"mmmm")</f>
        <v>dezembro</v>
      </c>
      <c r="I421" t="str">
        <f>TEXT(MONTH(Tabela1[[#This Row],[Último pagto ano]])*29,"mmmm")</f>
        <v>dezembro</v>
      </c>
    </row>
    <row r="422" spans="1:9" x14ac:dyDescent="0.25">
      <c r="A422">
        <v>2025</v>
      </c>
      <c r="B422" t="s">
        <v>841</v>
      </c>
      <c r="C422" s="1">
        <v>45868</v>
      </c>
      <c r="D422" t="s">
        <v>842</v>
      </c>
      <c r="E422" s="2">
        <v>7402.3</v>
      </c>
      <c r="G422" s="3">
        <f>MONTH(Tabela1[[#This Row],[Último pagto ano]])</f>
        <v>7</v>
      </c>
      <c r="H422" t="str">
        <f>TEXT(Tabela1[[#This Row],[Coluna2]]*29,"mmmm")</f>
        <v>julho</v>
      </c>
      <c r="I422" t="str">
        <f>TEXT(MONTH(Tabela1[[#This Row],[Último pagto ano]])*29,"mmmm")</f>
        <v>julho</v>
      </c>
    </row>
    <row r="423" spans="1:9" x14ac:dyDescent="0.25">
      <c r="A423">
        <v>2025</v>
      </c>
      <c r="B423" t="s">
        <v>843</v>
      </c>
      <c r="C423" s="1">
        <v>45702</v>
      </c>
      <c r="D423" t="s">
        <v>844</v>
      </c>
      <c r="E423">
        <v>595.98</v>
      </c>
      <c r="G423" s="3">
        <f>MONTH(Tabela1[[#This Row],[Último pagto ano]])</f>
        <v>2</v>
      </c>
      <c r="H423" t="str">
        <f>TEXT(Tabela1[[#This Row],[Coluna2]]*29,"mmmm")</f>
        <v>fevereiro</v>
      </c>
      <c r="I423" t="str">
        <f>TEXT(MONTH(Tabela1[[#This Row],[Último pagto ano]])*29,"mmmm")</f>
        <v>fevereiro</v>
      </c>
    </row>
    <row r="424" spans="1:9" x14ac:dyDescent="0.25">
      <c r="A424">
        <v>2025</v>
      </c>
      <c r="B424" t="s">
        <v>845</v>
      </c>
      <c r="C424" s="1">
        <v>45996</v>
      </c>
      <c r="D424" t="s">
        <v>846</v>
      </c>
      <c r="E424" s="2">
        <v>11100</v>
      </c>
      <c r="G424" s="3">
        <f>MONTH(Tabela1[[#This Row],[Último pagto ano]])</f>
        <v>12</v>
      </c>
      <c r="H424" t="str">
        <f>TEXT(Tabela1[[#This Row],[Coluna2]]*29,"mmmm")</f>
        <v>dezembro</v>
      </c>
      <c r="I424" t="str">
        <f>TEXT(MONTH(Tabela1[[#This Row],[Último pagto ano]])*29,"mmmm")</f>
        <v>dezembro</v>
      </c>
    </row>
    <row r="425" spans="1:9" x14ac:dyDescent="0.25">
      <c r="A425">
        <v>2025</v>
      </c>
      <c r="B425" t="s">
        <v>847</v>
      </c>
      <c r="C425" s="1">
        <v>45989</v>
      </c>
      <c r="D425" t="s">
        <v>848</v>
      </c>
      <c r="E425" s="2">
        <v>10313.950000000001</v>
      </c>
      <c r="G425" s="3">
        <f>MONTH(Tabela1[[#This Row],[Último pagto ano]])</f>
        <v>11</v>
      </c>
      <c r="H425" t="str">
        <f>TEXT(Tabela1[[#This Row],[Coluna2]]*29,"mmmm")</f>
        <v>novembro</v>
      </c>
      <c r="I425" t="str">
        <f>TEXT(MONTH(Tabela1[[#This Row],[Último pagto ano]])*29,"mmmm")</f>
        <v>novembro</v>
      </c>
    </row>
    <row r="426" spans="1:9" x14ac:dyDescent="0.25">
      <c r="A426">
        <v>2025</v>
      </c>
      <c r="B426" t="s">
        <v>849</v>
      </c>
      <c r="C426" s="1">
        <v>45702</v>
      </c>
      <c r="D426" t="s">
        <v>850</v>
      </c>
      <c r="E426">
        <v>284.41000000000003</v>
      </c>
      <c r="G426" s="3">
        <f>MONTH(Tabela1[[#This Row],[Último pagto ano]])</f>
        <v>2</v>
      </c>
      <c r="H426" t="str">
        <f>TEXT(Tabela1[[#This Row],[Coluna2]]*29,"mmmm")</f>
        <v>fevereiro</v>
      </c>
      <c r="I426" t="str">
        <f>TEXT(MONTH(Tabela1[[#This Row],[Último pagto ano]])*29,"mmmm")</f>
        <v>fevereiro</v>
      </c>
    </row>
    <row r="427" spans="1:9" x14ac:dyDescent="0.25">
      <c r="A427">
        <v>2025</v>
      </c>
      <c r="B427" t="s">
        <v>851</v>
      </c>
      <c r="C427" s="1">
        <v>46021</v>
      </c>
      <c r="D427" t="s">
        <v>852</v>
      </c>
      <c r="E427" s="2">
        <v>12028.82</v>
      </c>
      <c r="G427" s="3">
        <f>MONTH(Tabela1[[#This Row],[Último pagto ano]])</f>
        <v>12</v>
      </c>
      <c r="H427" t="str">
        <f>TEXT(Tabela1[[#This Row],[Coluna2]]*29,"mmmm")</f>
        <v>dezembro</v>
      </c>
      <c r="I427" t="str">
        <f>TEXT(MONTH(Tabela1[[#This Row],[Último pagto ano]])*29,"mmmm")</f>
        <v>dezembro</v>
      </c>
    </row>
    <row r="428" spans="1:9" x14ac:dyDescent="0.25">
      <c r="A428">
        <v>2025</v>
      </c>
      <c r="B428" t="s">
        <v>853</v>
      </c>
      <c r="C428" s="1">
        <v>45995</v>
      </c>
      <c r="D428" t="s">
        <v>854</v>
      </c>
      <c r="E428">
        <v>558.4</v>
      </c>
      <c r="G428" s="3">
        <f>MONTH(Tabela1[[#This Row],[Último pagto ano]])</f>
        <v>12</v>
      </c>
      <c r="H428" t="str">
        <f>TEXT(Tabela1[[#This Row],[Coluna2]]*29,"mmmm")</f>
        <v>dezembro</v>
      </c>
      <c r="I428" t="str">
        <f>TEXT(MONTH(Tabela1[[#This Row],[Último pagto ano]])*29,"mmmm")</f>
        <v>dezembro</v>
      </c>
    </row>
    <row r="429" spans="1:9" x14ac:dyDescent="0.25">
      <c r="A429">
        <v>2025</v>
      </c>
      <c r="B429" t="s">
        <v>855</v>
      </c>
      <c r="C429" s="1">
        <v>45978</v>
      </c>
      <c r="D429" t="s">
        <v>856</v>
      </c>
      <c r="E429">
        <v>242</v>
      </c>
      <c r="G429" s="3">
        <f>MONTH(Tabela1[[#This Row],[Último pagto ano]])</f>
        <v>11</v>
      </c>
      <c r="H429" t="str">
        <f>TEXT(Tabela1[[#This Row],[Coluna2]]*29,"mmmm")</f>
        <v>novembro</v>
      </c>
      <c r="I429" t="str">
        <f>TEXT(MONTH(Tabela1[[#This Row],[Último pagto ano]])*29,"mmmm")</f>
        <v>novembro</v>
      </c>
    </row>
    <row r="430" spans="1:9" x14ac:dyDescent="0.25">
      <c r="A430">
        <v>2025</v>
      </c>
      <c r="B430" t="s">
        <v>857</v>
      </c>
      <c r="C430" s="1">
        <v>45845</v>
      </c>
      <c r="D430" t="s">
        <v>858</v>
      </c>
      <c r="E430">
        <v>37.94</v>
      </c>
      <c r="G430" s="3">
        <f>MONTH(Tabela1[[#This Row],[Último pagto ano]])</f>
        <v>7</v>
      </c>
      <c r="H430" t="str">
        <f>TEXT(Tabela1[[#This Row],[Coluna2]]*29,"mmmm")</f>
        <v>julho</v>
      </c>
      <c r="I430" t="str">
        <f>TEXT(MONTH(Tabela1[[#This Row],[Último pagto ano]])*29,"mmmm")</f>
        <v>julho</v>
      </c>
    </row>
    <row r="431" spans="1:9" x14ac:dyDescent="0.25">
      <c r="A431">
        <v>2025</v>
      </c>
      <c r="B431" t="s">
        <v>859</v>
      </c>
      <c r="C431" s="1">
        <v>45702</v>
      </c>
      <c r="D431" t="s">
        <v>860</v>
      </c>
      <c r="E431" s="2">
        <v>1285.6400000000001</v>
      </c>
      <c r="G431" s="3">
        <f>MONTH(Tabela1[[#This Row],[Último pagto ano]])</f>
        <v>2</v>
      </c>
      <c r="H431" t="str">
        <f>TEXT(Tabela1[[#This Row],[Coluna2]]*29,"mmmm")</f>
        <v>fevereiro</v>
      </c>
      <c r="I431" t="str">
        <f>TEXT(MONTH(Tabela1[[#This Row],[Último pagto ano]])*29,"mmmm")</f>
        <v>fevereiro</v>
      </c>
    </row>
    <row r="432" spans="1:9" x14ac:dyDescent="0.25">
      <c r="A432">
        <v>2025</v>
      </c>
      <c r="B432" t="s">
        <v>861</v>
      </c>
      <c r="C432" s="1">
        <v>45702</v>
      </c>
      <c r="D432" t="s">
        <v>862</v>
      </c>
      <c r="E432">
        <v>596.89</v>
      </c>
      <c r="G432" s="3">
        <f>MONTH(Tabela1[[#This Row],[Último pagto ano]])</f>
        <v>2</v>
      </c>
      <c r="H432" t="str">
        <f>TEXT(Tabela1[[#This Row],[Coluna2]]*29,"mmmm")</f>
        <v>fevereiro</v>
      </c>
      <c r="I432" t="str">
        <f>TEXT(MONTH(Tabela1[[#This Row],[Último pagto ano]])*29,"mmmm")</f>
        <v>fevereiro</v>
      </c>
    </row>
    <row r="433" spans="1:9" x14ac:dyDescent="0.25">
      <c r="A433">
        <v>2025</v>
      </c>
      <c r="B433" t="s">
        <v>863</v>
      </c>
      <c r="C433" s="1">
        <v>45702</v>
      </c>
      <c r="D433" t="s">
        <v>864</v>
      </c>
      <c r="E433">
        <v>553.61</v>
      </c>
      <c r="G433" s="3">
        <f>MONTH(Tabela1[[#This Row],[Último pagto ano]])</f>
        <v>2</v>
      </c>
      <c r="H433" t="str">
        <f>TEXT(Tabela1[[#This Row],[Coluna2]]*29,"mmmm")</f>
        <v>fevereiro</v>
      </c>
      <c r="I433" t="str">
        <f>TEXT(MONTH(Tabela1[[#This Row],[Último pagto ano]])*29,"mmmm")</f>
        <v>fevereiro</v>
      </c>
    </row>
    <row r="434" spans="1:9" x14ac:dyDescent="0.25">
      <c r="A434">
        <v>2025</v>
      </c>
      <c r="B434" t="s">
        <v>865</v>
      </c>
      <c r="C434" s="1">
        <v>46021</v>
      </c>
      <c r="D434" t="s">
        <v>866</v>
      </c>
      <c r="E434">
        <v>846.48</v>
      </c>
      <c r="G434" s="3">
        <f>MONTH(Tabela1[[#This Row],[Último pagto ano]])</f>
        <v>12</v>
      </c>
      <c r="H434" t="str">
        <f>TEXT(Tabela1[[#This Row],[Coluna2]]*29,"mmmm")</f>
        <v>dezembro</v>
      </c>
      <c r="I434" t="str">
        <f>TEXT(MONTH(Tabela1[[#This Row],[Último pagto ano]])*29,"mmmm")</f>
        <v>dezembro</v>
      </c>
    </row>
    <row r="435" spans="1:9" x14ac:dyDescent="0.25">
      <c r="A435">
        <v>2025</v>
      </c>
      <c r="B435" t="s">
        <v>867</v>
      </c>
      <c r="C435" s="1">
        <v>45702</v>
      </c>
      <c r="D435" t="s">
        <v>868</v>
      </c>
      <c r="E435">
        <v>847.63</v>
      </c>
      <c r="G435" s="3">
        <f>MONTH(Tabela1[[#This Row],[Último pagto ano]])</f>
        <v>2</v>
      </c>
      <c r="H435" t="str">
        <f>TEXT(Tabela1[[#This Row],[Coluna2]]*29,"mmmm")</f>
        <v>fevereiro</v>
      </c>
      <c r="I435" t="str">
        <f>TEXT(MONTH(Tabela1[[#This Row],[Último pagto ano]])*29,"mmmm")</f>
        <v>fevereiro</v>
      </c>
    </row>
    <row r="436" spans="1:9" x14ac:dyDescent="0.25">
      <c r="A436">
        <v>2025</v>
      </c>
      <c r="B436" t="s">
        <v>869</v>
      </c>
      <c r="C436" s="1">
        <v>45838</v>
      </c>
      <c r="D436" t="s">
        <v>870</v>
      </c>
      <c r="E436">
        <v>66</v>
      </c>
      <c r="G436" s="3">
        <f>MONTH(Tabela1[[#This Row],[Último pagto ano]])</f>
        <v>6</v>
      </c>
      <c r="H436" t="str">
        <f>TEXT(Tabela1[[#This Row],[Coluna2]]*29,"mmmm")</f>
        <v>junho</v>
      </c>
      <c r="I436" t="str">
        <f>TEXT(MONTH(Tabela1[[#This Row],[Último pagto ano]])*29,"mmmm")</f>
        <v>junho</v>
      </c>
    </row>
    <row r="437" spans="1:9" x14ac:dyDescent="0.25">
      <c r="A437">
        <v>2025</v>
      </c>
      <c r="B437" t="s">
        <v>871</v>
      </c>
      <c r="C437" s="1">
        <v>45673</v>
      </c>
      <c r="D437" t="s">
        <v>872</v>
      </c>
      <c r="E437">
        <v>400</v>
      </c>
      <c r="G437" s="3">
        <f>MONTH(Tabela1[[#This Row],[Último pagto ano]])</f>
        <v>1</v>
      </c>
      <c r="H437" t="str">
        <f>TEXT(Tabela1[[#This Row],[Coluna2]]*29,"mmmm")</f>
        <v>janeiro</v>
      </c>
      <c r="I437" t="str">
        <f>TEXT(MONTH(Tabela1[[#This Row],[Último pagto ano]])*29,"mmmm")</f>
        <v>janeiro</v>
      </c>
    </row>
    <row r="438" spans="1:9" x14ac:dyDescent="0.25">
      <c r="A438">
        <v>2025</v>
      </c>
      <c r="B438" t="s">
        <v>873</v>
      </c>
      <c r="C438" s="1">
        <v>45964</v>
      </c>
      <c r="D438" t="s">
        <v>874</v>
      </c>
      <c r="E438">
        <v>88</v>
      </c>
      <c r="G438" s="3">
        <f>MONTH(Tabela1[[#This Row],[Último pagto ano]])</f>
        <v>11</v>
      </c>
      <c r="H438" t="str">
        <f>TEXT(Tabela1[[#This Row],[Coluna2]]*29,"mmmm")</f>
        <v>novembro</v>
      </c>
      <c r="I438" t="str">
        <f>TEXT(MONTH(Tabela1[[#This Row],[Último pagto ano]])*29,"mmmm")</f>
        <v>novembro</v>
      </c>
    </row>
    <row r="439" spans="1:9" x14ac:dyDescent="0.25">
      <c r="A439">
        <v>2025</v>
      </c>
      <c r="B439" t="s">
        <v>875</v>
      </c>
      <c r="C439" s="1">
        <v>45702</v>
      </c>
      <c r="D439" t="s">
        <v>876</v>
      </c>
      <c r="E439" s="2">
        <v>1151.77</v>
      </c>
      <c r="G439" s="3">
        <f>MONTH(Tabela1[[#This Row],[Último pagto ano]])</f>
        <v>2</v>
      </c>
      <c r="H439" t="str">
        <f>TEXT(Tabela1[[#This Row],[Coluna2]]*29,"mmmm")</f>
        <v>fevereiro</v>
      </c>
      <c r="I439" t="str">
        <f>TEXT(MONTH(Tabela1[[#This Row],[Último pagto ano]])*29,"mmmm")</f>
        <v>fevereiro</v>
      </c>
    </row>
    <row r="440" spans="1:9" x14ac:dyDescent="0.25">
      <c r="A440">
        <v>2025</v>
      </c>
      <c r="B440" t="s">
        <v>877</v>
      </c>
      <c r="C440" s="1">
        <v>45943</v>
      </c>
      <c r="D440" t="s">
        <v>878</v>
      </c>
      <c r="E440">
        <v>33</v>
      </c>
      <c r="G440" s="3">
        <f>MONTH(Tabela1[[#This Row],[Último pagto ano]])</f>
        <v>10</v>
      </c>
      <c r="H440" t="str">
        <f>TEXT(Tabela1[[#This Row],[Coluna2]]*29,"mmmm")</f>
        <v>outubro</v>
      </c>
      <c r="I440" t="str">
        <f>TEXT(MONTH(Tabela1[[#This Row],[Último pagto ano]])*29,"mmmm")</f>
        <v>outubro</v>
      </c>
    </row>
    <row r="441" spans="1:9" x14ac:dyDescent="0.25">
      <c r="A441">
        <v>2025</v>
      </c>
      <c r="B441" t="s">
        <v>879</v>
      </c>
      <c r="C441" s="1">
        <v>45702</v>
      </c>
      <c r="D441" t="s">
        <v>880</v>
      </c>
      <c r="E441">
        <v>412.58</v>
      </c>
      <c r="G441" s="3">
        <f>MONTH(Tabela1[[#This Row],[Último pagto ano]])</f>
        <v>2</v>
      </c>
      <c r="H441" t="str">
        <f>TEXT(Tabela1[[#This Row],[Coluna2]]*29,"mmmm")</f>
        <v>fevereiro</v>
      </c>
      <c r="I441" t="str">
        <f>TEXT(MONTH(Tabela1[[#This Row],[Último pagto ano]])*29,"mmmm")</f>
        <v>fevereiro</v>
      </c>
    </row>
    <row r="442" spans="1:9" x14ac:dyDescent="0.25">
      <c r="A442">
        <v>2025</v>
      </c>
      <c r="B442" t="s">
        <v>881</v>
      </c>
      <c r="C442" s="1">
        <v>45709</v>
      </c>
      <c r="D442" t="s">
        <v>882</v>
      </c>
      <c r="E442">
        <v>77.459999999999994</v>
      </c>
      <c r="G442" s="3">
        <f>MONTH(Tabela1[[#This Row],[Último pagto ano]])</f>
        <v>2</v>
      </c>
      <c r="H442" t="str">
        <f>TEXT(Tabela1[[#This Row],[Coluna2]]*29,"mmmm")</f>
        <v>fevereiro</v>
      </c>
      <c r="I442" t="str">
        <f>TEXT(MONTH(Tabela1[[#This Row],[Último pagto ano]])*29,"mmmm")</f>
        <v>fevereiro</v>
      </c>
    </row>
    <row r="443" spans="1:9" x14ac:dyDescent="0.25">
      <c r="A443">
        <v>2025</v>
      </c>
      <c r="B443" t="s">
        <v>883</v>
      </c>
      <c r="C443" s="1">
        <v>45905</v>
      </c>
      <c r="D443" t="s">
        <v>884</v>
      </c>
      <c r="E443" s="2">
        <v>9999</v>
      </c>
      <c r="G443" s="3">
        <f>MONTH(Tabela1[[#This Row],[Último pagto ano]])</f>
        <v>9</v>
      </c>
      <c r="H443" t="str">
        <f>TEXT(Tabela1[[#This Row],[Coluna2]]*29,"mmmm")</f>
        <v>setembro</v>
      </c>
      <c r="I443" t="str">
        <f>TEXT(MONTH(Tabela1[[#This Row],[Último pagto ano]])*29,"mmmm")</f>
        <v>setembro</v>
      </c>
    </row>
    <row r="444" spans="1:9" x14ac:dyDescent="0.25">
      <c r="A444">
        <v>2025</v>
      </c>
      <c r="B444" t="s">
        <v>885</v>
      </c>
      <c r="C444" s="1">
        <v>45996</v>
      </c>
      <c r="D444" t="s">
        <v>886</v>
      </c>
      <c r="E444" s="2">
        <v>12100</v>
      </c>
      <c r="G444" s="3">
        <f>MONTH(Tabela1[[#This Row],[Último pagto ano]])</f>
        <v>12</v>
      </c>
      <c r="H444" t="str">
        <f>TEXT(Tabela1[[#This Row],[Coluna2]]*29,"mmmm")</f>
        <v>dezembro</v>
      </c>
      <c r="I444" t="str">
        <f>TEXT(MONTH(Tabela1[[#This Row],[Último pagto ano]])*29,"mmmm")</f>
        <v>dezembro</v>
      </c>
    </row>
    <row r="445" spans="1:9" x14ac:dyDescent="0.25">
      <c r="A445">
        <v>2025</v>
      </c>
      <c r="B445" t="s">
        <v>887</v>
      </c>
      <c r="C445" s="1">
        <v>45702</v>
      </c>
      <c r="D445" t="s">
        <v>888</v>
      </c>
      <c r="E445">
        <v>4.8</v>
      </c>
      <c r="G445" s="3">
        <f>MONTH(Tabela1[[#This Row],[Último pagto ano]])</f>
        <v>2</v>
      </c>
      <c r="H445" t="str">
        <f>TEXT(Tabela1[[#This Row],[Coluna2]]*29,"mmmm")</f>
        <v>fevereiro</v>
      </c>
      <c r="I445" t="str">
        <f>TEXT(MONTH(Tabela1[[#This Row],[Último pagto ano]])*29,"mmmm")</f>
        <v>fevereiro</v>
      </c>
    </row>
    <row r="446" spans="1:9" x14ac:dyDescent="0.25">
      <c r="A446">
        <v>2025</v>
      </c>
      <c r="B446" t="s">
        <v>889</v>
      </c>
      <c r="C446" s="1">
        <v>46021</v>
      </c>
      <c r="D446" t="s">
        <v>890</v>
      </c>
      <c r="E446" s="2">
        <v>10389.52</v>
      </c>
      <c r="G446" s="3">
        <f>MONTH(Tabela1[[#This Row],[Último pagto ano]])</f>
        <v>12</v>
      </c>
      <c r="H446" t="str">
        <f>TEXT(Tabela1[[#This Row],[Coluna2]]*29,"mmmm")</f>
        <v>dezembro</v>
      </c>
      <c r="I446" t="str">
        <f>TEXT(MONTH(Tabela1[[#This Row],[Último pagto ano]])*29,"mmmm")</f>
        <v>dezembro</v>
      </c>
    </row>
    <row r="447" spans="1:9" x14ac:dyDescent="0.25">
      <c r="A447">
        <v>2025</v>
      </c>
      <c r="B447" t="s">
        <v>891</v>
      </c>
      <c r="C447" s="1">
        <v>45709</v>
      </c>
      <c r="D447" t="s">
        <v>892</v>
      </c>
      <c r="E447">
        <v>183.81</v>
      </c>
      <c r="G447" s="3">
        <f>MONTH(Tabela1[[#This Row],[Último pagto ano]])</f>
        <v>2</v>
      </c>
      <c r="H447" t="str">
        <f>TEXT(Tabela1[[#This Row],[Coluna2]]*29,"mmmm")</f>
        <v>fevereiro</v>
      </c>
      <c r="I447" t="str">
        <f>TEXT(MONTH(Tabela1[[#This Row],[Último pagto ano]])*29,"mmmm")</f>
        <v>fevereiro</v>
      </c>
    </row>
    <row r="448" spans="1:9" x14ac:dyDescent="0.25">
      <c r="A448">
        <v>2025</v>
      </c>
      <c r="B448" t="s">
        <v>893</v>
      </c>
      <c r="C448" s="1">
        <v>45762</v>
      </c>
      <c r="D448" t="s">
        <v>894</v>
      </c>
      <c r="E448">
        <v>592.32000000000005</v>
      </c>
      <c r="G448" s="3">
        <f>MONTH(Tabela1[[#This Row],[Último pagto ano]])</f>
        <v>4</v>
      </c>
      <c r="H448" t="str">
        <f>TEXT(Tabela1[[#This Row],[Coluna2]]*29,"mmmm")</f>
        <v>abril</v>
      </c>
      <c r="I448" t="str">
        <f>TEXT(MONTH(Tabela1[[#This Row],[Último pagto ano]])*29,"mmmm")</f>
        <v>abril</v>
      </c>
    </row>
    <row r="449" spans="1:9" x14ac:dyDescent="0.25">
      <c r="A449">
        <v>2025</v>
      </c>
      <c r="B449" t="s">
        <v>895</v>
      </c>
      <c r="C449" s="1">
        <v>45930</v>
      </c>
      <c r="D449" t="s">
        <v>896</v>
      </c>
      <c r="E449" s="2">
        <v>1093.3699999999999</v>
      </c>
      <c r="G449" s="3">
        <f>MONTH(Tabela1[[#This Row],[Último pagto ano]])</f>
        <v>9</v>
      </c>
      <c r="H449" t="str">
        <f>TEXT(Tabela1[[#This Row],[Coluna2]]*29,"mmmm")</f>
        <v>setembro</v>
      </c>
      <c r="I449" t="str">
        <f>TEXT(MONTH(Tabela1[[#This Row],[Último pagto ano]])*29,"mmmm")</f>
        <v>setembro</v>
      </c>
    </row>
    <row r="450" spans="1:9" x14ac:dyDescent="0.25">
      <c r="A450">
        <v>2025</v>
      </c>
      <c r="B450" t="s">
        <v>897</v>
      </c>
      <c r="C450" s="1">
        <v>45996</v>
      </c>
      <c r="D450" t="s">
        <v>898</v>
      </c>
      <c r="E450" s="2">
        <v>45360</v>
      </c>
      <c r="G450" s="3">
        <f>MONTH(Tabela1[[#This Row],[Último pagto ano]])</f>
        <v>12</v>
      </c>
      <c r="H450" t="str">
        <f>TEXT(Tabela1[[#This Row],[Coluna2]]*29,"mmmm")</f>
        <v>dezembro</v>
      </c>
      <c r="I450" t="str">
        <f>TEXT(MONTH(Tabela1[[#This Row],[Último pagto ano]])*29,"mmmm")</f>
        <v>dezembro</v>
      </c>
    </row>
    <row r="451" spans="1:9" x14ac:dyDescent="0.25">
      <c r="A451">
        <v>2025</v>
      </c>
      <c r="B451" t="s">
        <v>899</v>
      </c>
      <c r="C451" s="1">
        <v>45868</v>
      </c>
      <c r="D451" t="s">
        <v>900</v>
      </c>
      <c r="E451" s="2">
        <v>7425.6</v>
      </c>
      <c r="G451" s="3">
        <f>MONTH(Tabela1[[#This Row],[Último pagto ano]])</f>
        <v>7</v>
      </c>
      <c r="H451" t="str">
        <f>TEXT(Tabela1[[#This Row],[Coluna2]]*29,"mmmm")</f>
        <v>julho</v>
      </c>
      <c r="I451" t="str">
        <f>TEXT(MONTH(Tabela1[[#This Row],[Último pagto ano]])*29,"mmmm")</f>
        <v>julho</v>
      </c>
    </row>
    <row r="452" spans="1:9" x14ac:dyDescent="0.25">
      <c r="A452">
        <v>2025</v>
      </c>
      <c r="B452" t="s">
        <v>901</v>
      </c>
      <c r="C452" s="1">
        <v>45996</v>
      </c>
      <c r="D452" t="s">
        <v>902</v>
      </c>
      <c r="E452" s="2">
        <v>5500</v>
      </c>
      <c r="G452" s="3">
        <f>MONTH(Tabela1[[#This Row],[Último pagto ano]])</f>
        <v>12</v>
      </c>
      <c r="H452" t="str">
        <f>TEXT(Tabela1[[#This Row],[Coluna2]]*29,"mmmm")</f>
        <v>dezembro</v>
      </c>
      <c r="I452" t="str">
        <f>TEXT(MONTH(Tabela1[[#This Row],[Último pagto ano]])*29,"mmmm")</f>
        <v>dezembro</v>
      </c>
    </row>
    <row r="453" spans="1:9" x14ac:dyDescent="0.25">
      <c r="A453">
        <v>2025</v>
      </c>
      <c r="B453" t="s">
        <v>903</v>
      </c>
      <c r="C453" s="1">
        <v>45989</v>
      </c>
      <c r="D453" t="s">
        <v>904</v>
      </c>
      <c r="E453" s="2">
        <v>11604.02</v>
      </c>
      <c r="G453" s="3">
        <f>MONTH(Tabela1[[#This Row],[Último pagto ano]])</f>
        <v>11</v>
      </c>
      <c r="H453" t="str">
        <f>TEXT(Tabela1[[#This Row],[Coluna2]]*29,"mmmm")</f>
        <v>novembro</v>
      </c>
      <c r="I453" t="str">
        <f>TEXT(MONTH(Tabela1[[#This Row],[Último pagto ano]])*29,"mmmm")</f>
        <v>novembro</v>
      </c>
    </row>
    <row r="454" spans="1:9" x14ac:dyDescent="0.25">
      <c r="A454">
        <v>2025</v>
      </c>
      <c r="B454" t="s">
        <v>905</v>
      </c>
      <c r="C454" s="1">
        <v>45786</v>
      </c>
      <c r="D454" t="s">
        <v>906</v>
      </c>
      <c r="E454" s="2">
        <v>12500</v>
      </c>
      <c r="G454" s="3">
        <f>MONTH(Tabela1[[#This Row],[Último pagto ano]])</f>
        <v>5</v>
      </c>
      <c r="H454" t="str">
        <f>TEXT(Tabela1[[#This Row],[Coluna2]]*29,"mmmm")</f>
        <v>maio</v>
      </c>
      <c r="I454" t="str">
        <f>TEXT(MONTH(Tabela1[[#This Row],[Último pagto ano]])*29,"mmmm")</f>
        <v>maio</v>
      </c>
    </row>
    <row r="455" spans="1:9" x14ac:dyDescent="0.25">
      <c r="A455">
        <v>2025</v>
      </c>
      <c r="B455" t="s">
        <v>907</v>
      </c>
      <c r="C455" s="1">
        <v>45996</v>
      </c>
      <c r="D455" t="s">
        <v>908</v>
      </c>
      <c r="E455" s="2">
        <v>6000</v>
      </c>
      <c r="G455" s="3">
        <f>MONTH(Tabela1[[#This Row],[Último pagto ano]])</f>
        <v>12</v>
      </c>
      <c r="H455" t="str">
        <f>TEXT(Tabela1[[#This Row],[Coluna2]]*29,"mmmm")</f>
        <v>dezembro</v>
      </c>
      <c r="I455" t="str">
        <f>TEXT(MONTH(Tabela1[[#This Row],[Último pagto ano]])*29,"mmmm")</f>
        <v>dezembro</v>
      </c>
    </row>
    <row r="456" spans="1:9" x14ac:dyDescent="0.25">
      <c r="A456">
        <v>2025</v>
      </c>
      <c r="B456" t="s">
        <v>909</v>
      </c>
      <c r="C456" s="1">
        <v>45989</v>
      </c>
      <c r="D456" t="s">
        <v>910</v>
      </c>
      <c r="E456" s="2">
        <v>7857.13</v>
      </c>
      <c r="G456" s="3">
        <f>MONTH(Tabela1[[#This Row],[Último pagto ano]])</f>
        <v>11</v>
      </c>
      <c r="H456" t="str">
        <f>TEXT(Tabela1[[#This Row],[Coluna2]]*29,"mmmm")</f>
        <v>novembro</v>
      </c>
      <c r="I456" t="str">
        <f>TEXT(MONTH(Tabela1[[#This Row],[Último pagto ano]])*29,"mmmm")</f>
        <v>novembro</v>
      </c>
    </row>
    <row r="457" spans="1:9" x14ac:dyDescent="0.25">
      <c r="A457">
        <v>2025</v>
      </c>
      <c r="B457" t="s">
        <v>911</v>
      </c>
      <c r="C457" s="1">
        <v>45989</v>
      </c>
      <c r="D457" t="s">
        <v>912</v>
      </c>
      <c r="E457" s="2">
        <v>10431.18</v>
      </c>
      <c r="G457" s="3">
        <f>MONTH(Tabela1[[#This Row],[Último pagto ano]])</f>
        <v>11</v>
      </c>
      <c r="H457" t="str">
        <f>TEXT(Tabela1[[#This Row],[Coluna2]]*29,"mmmm")</f>
        <v>novembro</v>
      </c>
      <c r="I457" t="str">
        <f>TEXT(MONTH(Tabela1[[#This Row],[Último pagto ano]])*29,"mmmm")</f>
        <v>novembro</v>
      </c>
    </row>
    <row r="458" spans="1:9" x14ac:dyDescent="0.25">
      <c r="A458">
        <v>2025</v>
      </c>
      <c r="B458" t="s">
        <v>913</v>
      </c>
      <c r="C458" s="1">
        <v>45835</v>
      </c>
      <c r="D458" t="s">
        <v>914</v>
      </c>
      <c r="E458">
        <v>44</v>
      </c>
      <c r="G458" s="3">
        <f>MONTH(Tabela1[[#This Row],[Último pagto ano]])</f>
        <v>6</v>
      </c>
      <c r="H458" t="str">
        <f>TEXT(Tabela1[[#This Row],[Coluna2]]*29,"mmmm")</f>
        <v>junho</v>
      </c>
      <c r="I458" t="str">
        <f>TEXT(MONTH(Tabela1[[#This Row],[Último pagto ano]])*29,"mmmm")</f>
        <v>junho</v>
      </c>
    </row>
    <row r="459" spans="1:9" x14ac:dyDescent="0.25">
      <c r="A459">
        <v>2025</v>
      </c>
      <c r="B459" t="s">
        <v>915</v>
      </c>
      <c r="C459" s="1">
        <v>45841</v>
      </c>
      <c r="D459" t="s">
        <v>916</v>
      </c>
      <c r="E459" s="2">
        <v>5785.17</v>
      </c>
      <c r="G459" s="3">
        <f>MONTH(Tabela1[[#This Row],[Último pagto ano]])</f>
        <v>7</v>
      </c>
      <c r="H459" t="str">
        <f>TEXT(Tabela1[[#This Row],[Coluna2]]*29,"mmmm")</f>
        <v>julho</v>
      </c>
      <c r="I459" t="str">
        <f>TEXT(MONTH(Tabela1[[#This Row],[Último pagto ano]])*29,"mmmm")</f>
        <v>julho</v>
      </c>
    </row>
    <row r="460" spans="1:9" x14ac:dyDescent="0.25">
      <c r="A460">
        <v>2025</v>
      </c>
      <c r="B460" t="s">
        <v>917</v>
      </c>
      <c r="C460" s="1">
        <v>46010</v>
      </c>
      <c r="D460" t="s">
        <v>918</v>
      </c>
      <c r="E460" s="2">
        <v>10300</v>
      </c>
      <c r="G460" s="3">
        <f>MONTH(Tabela1[[#This Row],[Último pagto ano]])</f>
        <v>12</v>
      </c>
      <c r="H460" t="str">
        <f>TEXT(Tabela1[[#This Row],[Coluna2]]*29,"mmmm")</f>
        <v>dezembro</v>
      </c>
      <c r="I460" t="str">
        <f>TEXT(MONTH(Tabela1[[#This Row],[Último pagto ano]])*29,"mmmm")</f>
        <v>dezembro</v>
      </c>
    </row>
    <row r="461" spans="1:9" x14ac:dyDescent="0.25">
      <c r="A461">
        <v>2025</v>
      </c>
      <c r="B461" t="s">
        <v>919</v>
      </c>
      <c r="C461" s="1">
        <v>45702</v>
      </c>
      <c r="D461" t="s">
        <v>920</v>
      </c>
      <c r="E461">
        <v>46.43</v>
      </c>
      <c r="G461" s="3">
        <f>MONTH(Tabela1[[#This Row],[Último pagto ano]])</f>
        <v>2</v>
      </c>
      <c r="H461" t="str">
        <f>TEXT(Tabela1[[#This Row],[Coluna2]]*29,"mmmm")</f>
        <v>fevereiro</v>
      </c>
      <c r="I461" t="str">
        <f>TEXT(MONTH(Tabela1[[#This Row],[Último pagto ano]])*29,"mmmm")</f>
        <v>fevereiro</v>
      </c>
    </row>
    <row r="462" spans="1:9" x14ac:dyDescent="0.25">
      <c r="A462">
        <v>2025</v>
      </c>
      <c r="B462" t="s">
        <v>921</v>
      </c>
      <c r="C462" s="1">
        <v>45740</v>
      </c>
      <c r="D462" t="s">
        <v>922</v>
      </c>
      <c r="E462" s="2">
        <v>3000</v>
      </c>
      <c r="G462" s="3">
        <f>MONTH(Tabela1[[#This Row],[Último pagto ano]])</f>
        <v>3</v>
      </c>
      <c r="H462" t="str">
        <f>TEXT(Tabela1[[#This Row],[Coluna2]]*29,"mmmm")</f>
        <v>março</v>
      </c>
      <c r="I462" t="str">
        <f>TEXT(MONTH(Tabela1[[#This Row],[Último pagto ano]])*29,"mmmm")</f>
        <v>março</v>
      </c>
    </row>
    <row r="463" spans="1:9" x14ac:dyDescent="0.25">
      <c r="A463">
        <v>2025</v>
      </c>
      <c r="B463" t="s">
        <v>923</v>
      </c>
      <c r="C463" s="1">
        <v>45702</v>
      </c>
      <c r="D463" t="s">
        <v>924</v>
      </c>
      <c r="E463">
        <v>596.41</v>
      </c>
      <c r="G463" s="3">
        <f>MONTH(Tabela1[[#This Row],[Último pagto ano]])</f>
        <v>2</v>
      </c>
      <c r="H463" t="str">
        <f>TEXT(Tabela1[[#This Row],[Coluna2]]*29,"mmmm")</f>
        <v>fevereiro</v>
      </c>
      <c r="I463" t="str">
        <f>TEXT(MONTH(Tabela1[[#This Row],[Último pagto ano]])*29,"mmmm")</f>
        <v>fevereiro</v>
      </c>
    </row>
    <row r="464" spans="1:9" x14ac:dyDescent="0.25">
      <c r="A464">
        <v>2025</v>
      </c>
      <c r="B464" t="s">
        <v>925</v>
      </c>
      <c r="C464" s="1">
        <v>45996</v>
      </c>
      <c r="D464" t="s">
        <v>926</v>
      </c>
      <c r="E464" s="2">
        <v>11000</v>
      </c>
      <c r="G464" s="3">
        <f>MONTH(Tabela1[[#This Row],[Último pagto ano]])</f>
        <v>12</v>
      </c>
      <c r="H464" t="str">
        <f>TEXT(Tabela1[[#This Row],[Coluna2]]*29,"mmmm")</f>
        <v>dezembro</v>
      </c>
      <c r="I464" t="str">
        <f>TEXT(MONTH(Tabela1[[#This Row],[Último pagto ano]])*29,"mmmm")</f>
        <v>dezembro</v>
      </c>
    </row>
    <row r="465" spans="1:9" x14ac:dyDescent="0.25">
      <c r="A465">
        <v>2025</v>
      </c>
      <c r="B465" t="s">
        <v>927</v>
      </c>
      <c r="C465" s="1">
        <v>45687</v>
      </c>
      <c r="D465" t="s">
        <v>928</v>
      </c>
      <c r="E465">
        <v>348.94</v>
      </c>
      <c r="G465" s="3">
        <f>MONTH(Tabela1[[#This Row],[Último pagto ano]])</f>
        <v>1</v>
      </c>
      <c r="H465" t="str">
        <f>TEXT(Tabela1[[#This Row],[Coluna2]]*29,"mmmm")</f>
        <v>janeiro</v>
      </c>
      <c r="I465" t="str">
        <f>TEXT(MONTH(Tabela1[[#This Row],[Último pagto ano]])*29,"mmmm")</f>
        <v>janeiro</v>
      </c>
    </row>
    <row r="466" spans="1:9" x14ac:dyDescent="0.25">
      <c r="A466">
        <v>2025</v>
      </c>
      <c r="B466" t="s">
        <v>929</v>
      </c>
      <c r="C466" s="1">
        <v>45687</v>
      </c>
      <c r="D466" t="s">
        <v>930</v>
      </c>
      <c r="E466">
        <v>988.07</v>
      </c>
      <c r="G466" s="3">
        <f>MONTH(Tabela1[[#This Row],[Último pagto ano]])</f>
        <v>1</v>
      </c>
      <c r="H466" t="str">
        <f>TEXT(Tabela1[[#This Row],[Coluna2]]*29,"mmmm")</f>
        <v>janeiro</v>
      </c>
      <c r="I466" t="str">
        <f>TEXT(MONTH(Tabela1[[#This Row],[Último pagto ano]])*29,"mmmm")</f>
        <v>janeiro</v>
      </c>
    </row>
    <row r="467" spans="1:9" x14ac:dyDescent="0.25">
      <c r="A467">
        <v>2025</v>
      </c>
      <c r="B467" t="s">
        <v>931</v>
      </c>
      <c r="C467" s="1">
        <v>45856</v>
      </c>
      <c r="D467" t="s">
        <v>932</v>
      </c>
      <c r="E467" s="2">
        <v>5649.81</v>
      </c>
      <c r="G467" s="3">
        <f>MONTH(Tabela1[[#This Row],[Último pagto ano]])</f>
        <v>7</v>
      </c>
      <c r="H467" t="str">
        <f>TEXT(Tabela1[[#This Row],[Coluna2]]*29,"mmmm")</f>
        <v>julho</v>
      </c>
      <c r="I467" t="str">
        <f>TEXT(MONTH(Tabela1[[#This Row],[Último pagto ano]])*29,"mmmm")</f>
        <v>julho</v>
      </c>
    </row>
    <row r="468" spans="1:9" x14ac:dyDescent="0.25">
      <c r="A468">
        <v>2025</v>
      </c>
      <c r="B468" t="s">
        <v>933</v>
      </c>
      <c r="C468" s="1">
        <v>45996</v>
      </c>
      <c r="D468" t="s">
        <v>934</v>
      </c>
      <c r="E468" s="2">
        <v>9900</v>
      </c>
      <c r="G468" s="3">
        <f>MONTH(Tabela1[[#This Row],[Último pagto ano]])</f>
        <v>12</v>
      </c>
      <c r="H468" t="str">
        <f>TEXT(Tabela1[[#This Row],[Coluna2]]*29,"mmmm")</f>
        <v>dezembro</v>
      </c>
      <c r="I468" t="str">
        <f>TEXT(MONTH(Tabela1[[#This Row],[Último pagto ano]])*29,"mmmm")</f>
        <v>dezembro</v>
      </c>
    </row>
    <row r="469" spans="1:9" x14ac:dyDescent="0.25">
      <c r="A469">
        <v>2025</v>
      </c>
      <c r="B469" t="s">
        <v>935</v>
      </c>
      <c r="C469" s="1">
        <v>45996</v>
      </c>
      <c r="D469" t="s">
        <v>936</v>
      </c>
      <c r="E469" s="2">
        <v>6050</v>
      </c>
      <c r="G469" s="3">
        <f>MONTH(Tabela1[[#This Row],[Último pagto ano]])</f>
        <v>12</v>
      </c>
      <c r="H469" t="str">
        <f>TEXT(Tabela1[[#This Row],[Coluna2]]*29,"mmmm")</f>
        <v>dezembro</v>
      </c>
      <c r="I469" t="str">
        <f>TEXT(MONTH(Tabela1[[#This Row],[Último pagto ano]])*29,"mmmm")</f>
        <v>dezembro</v>
      </c>
    </row>
    <row r="470" spans="1:9" x14ac:dyDescent="0.25">
      <c r="A470">
        <v>2025</v>
      </c>
      <c r="B470" t="s">
        <v>937</v>
      </c>
      <c r="C470" s="1">
        <v>46014</v>
      </c>
      <c r="D470" t="s">
        <v>938</v>
      </c>
      <c r="E470" s="2">
        <v>5995.8</v>
      </c>
      <c r="G470" s="3">
        <f>MONTH(Tabela1[[#This Row],[Último pagto ano]])</f>
        <v>12</v>
      </c>
      <c r="H470" t="str">
        <f>TEXT(Tabela1[[#This Row],[Coluna2]]*29,"mmmm")</f>
        <v>dezembro</v>
      </c>
      <c r="I470" t="str">
        <f>TEXT(MONTH(Tabela1[[#This Row],[Último pagto ano]])*29,"mmmm")</f>
        <v>dezembro</v>
      </c>
    </row>
    <row r="471" spans="1:9" x14ac:dyDescent="0.25">
      <c r="A471">
        <v>2025</v>
      </c>
      <c r="B471" t="s">
        <v>939</v>
      </c>
      <c r="C471" s="1">
        <v>45715</v>
      </c>
      <c r="D471" t="s">
        <v>940</v>
      </c>
      <c r="E471" s="2">
        <v>1352.88</v>
      </c>
      <c r="G471" s="3">
        <f>MONTH(Tabela1[[#This Row],[Último pagto ano]])</f>
        <v>2</v>
      </c>
      <c r="H471" t="str">
        <f>TEXT(Tabela1[[#This Row],[Coluna2]]*29,"mmmm")</f>
        <v>fevereiro</v>
      </c>
      <c r="I471" t="str">
        <f>TEXT(MONTH(Tabela1[[#This Row],[Último pagto ano]])*29,"mmmm")</f>
        <v>fevereiro</v>
      </c>
    </row>
    <row r="472" spans="1:9" x14ac:dyDescent="0.25">
      <c r="A472">
        <v>2025</v>
      </c>
      <c r="B472" t="s">
        <v>941</v>
      </c>
      <c r="C472" s="1">
        <v>45687</v>
      </c>
      <c r="D472" t="s">
        <v>942</v>
      </c>
      <c r="E472">
        <v>991.71</v>
      </c>
      <c r="G472" s="3">
        <f>MONTH(Tabela1[[#This Row],[Último pagto ano]])</f>
        <v>1</v>
      </c>
      <c r="H472" t="str">
        <f>TEXT(Tabela1[[#This Row],[Coluna2]]*29,"mmmm")</f>
        <v>janeiro</v>
      </c>
      <c r="I472" t="str">
        <f>TEXT(MONTH(Tabela1[[#This Row],[Último pagto ano]])*29,"mmmm")</f>
        <v>janeiro</v>
      </c>
    </row>
    <row r="473" spans="1:9" x14ac:dyDescent="0.25">
      <c r="A473">
        <v>2025</v>
      </c>
      <c r="B473" t="s">
        <v>943</v>
      </c>
      <c r="C473" s="1">
        <v>45989</v>
      </c>
      <c r="D473" t="s">
        <v>944</v>
      </c>
      <c r="E473" s="2">
        <v>9752.69</v>
      </c>
      <c r="G473" s="3">
        <f>MONTH(Tabela1[[#This Row],[Último pagto ano]])</f>
        <v>11</v>
      </c>
      <c r="H473" t="str">
        <f>TEXT(Tabela1[[#This Row],[Coluna2]]*29,"mmmm")</f>
        <v>novembro</v>
      </c>
      <c r="I473" t="str">
        <f>TEXT(MONTH(Tabela1[[#This Row],[Último pagto ano]])*29,"mmmm")</f>
        <v>novembro</v>
      </c>
    </row>
    <row r="474" spans="1:9" x14ac:dyDescent="0.25">
      <c r="A474">
        <v>2025</v>
      </c>
      <c r="B474" t="s">
        <v>945</v>
      </c>
      <c r="C474" s="1">
        <v>45996</v>
      </c>
      <c r="D474" t="s">
        <v>946</v>
      </c>
      <c r="E474" s="2">
        <v>10000</v>
      </c>
      <c r="G474" s="3">
        <f>MONTH(Tabela1[[#This Row],[Último pagto ano]])</f>
        <v>12</v>
      </c>
      <c r="H474" t="str">
        <f>TEXT(Tabela1[[#This Row],[Coluna2]]*29,"mmmm")</f>
        <v>dezembro</v>
      </c>
      <c r="I474" t="str">
        <f>TEXT(MONTH(Tabela1[[#This Row],[Último pagto ano]])*29,"mmmm")</f>
        <v>dezembro</v>
      </c>
    </row>
    <row r="475" spans="1:9" x14ac:dyDescent="0.25">
      <c r="A475">
        <v>2025</v>
      </c>
      <c r="B475" t="s">
        <v>947</v>
      </c>
      <c r="C475" s="1">
        <v>45968</v>
      </c>
      <c r="D475" t="s">
        <v>948</v>
      </c>
      <c r="E475" s="2">
        <v>6000</v>
      </c>
      <c r="G475" s="3">
        <f>MONTH(Tabela1[[#This Row],[Último pagto ano]])</f>
        <v>11</v>
      </c>
      <c r="H475" t="str">
        <f>TEXT(Tabela1[[#This Row],[Coluna2]]*29,"mmmm")</f>
        <v>novembro</v>
      </c>
      <c r="I475" t="str">
        <f>TEXT(MONTH(Tabela1[[#This Row],[Último pagto ano]])*29,"mmmm")</f>
        <v>novembro</v>
      </c>
    </row>
    <row r="476" spans="1:9" x14ac:dyDescent="0.25">
      <c r="A476">
        <v>2025</v>
      </c>
      <c r="B476" t="s">
        <v>949</v>
      </c>
      <c r="C476" s="1">
        <v>45989</v>
      </c>
      <c r="D476" t="s">
        <v>950</v>
      </c>
      <c r="E476" s="2">
        <v>5667.82</v>
      </c>
      <c r="G476" s="3">
        <f>MONTH(Tabela1[[#This Row],[Último pagto ano]])</f>
        <v>11</v>
      </c>
      <c r="H476" t="str">
        <f>TEXT(Tabela1[[#This Row],[Coluna2]]*29,"mmmm")</f>
        <v>novembro</v>
      </c>
      <c r="I476" t="str">
        <f>TEXT(MONTH(Tabela1[[#This Row],[Último pagto ano]])*29,"mmmm")</f>
        <v>novembro</v>
      </c>
    </row>
    <row r="477" spans="1:9" x14ac:dyDescent="0.25">
      <c r="A477">
        <v>2025</v>
      </c>
      <c r="B477" t="s">
        <v>951</v>
      </c>
      <c r="C477" s="1">
        <v>45702</v>
      </c>
      <c r="D477" t="s">
        <v>952</v>
      </c>
      <c r="E477" s="2">
        <v>1287.57</v>
      </c>
      <c r="G477" s="3">
        <f>MONTH(Tabela1[[#This Row],[Último pagto ano]])</f>
        <v>2</v>
      </c>
      <c r="H477" t="str">
        <f>TEXT(Tabela1[[#This Row],[Coluna2]]*29,"mmmm")</f>
        <v>fevereiro</v>
      </c>
      <c r="I477" t="str">
        <f>TEXT(MONTH(Tabela1[[#This Row],[Último pagto ano]])*29,"mmmm")</f>
        <v>fevereiro</v>
      </c>
    </row>
    <row r="478" spans="1:9" x14ac:dyDescent="0.25">
      <c r="A478">
        <v>2025</v>
      </c>
      <c r="B478" t="s">
        <v>953</v>
      </c>
      <c r="C478" s="1">
        <v>45915</v>
      </c>
      <c r="D478" t="s">
        <v>954</v>
      </c>
      <c r="E478" s="2">
        <v>5896.64</v>
      </c>
      <c r="G478" s="3">
        <f>MONTH(Tabela1[[#This Row],[Último pagto ano]])</f>
        <v>9</v>
      </c>
      <c r="H478" t="str">
        <f>TEXT(Tabela1[[#This Row],[Coluna2]]*29,"mmmm")</f>
        <v>setembro</v>
      </c>
      <c r="I478" t="str">
        <f>TEXT(MONTH(Tabela1[[#This Row],[Último pagto ano]])*29,"mmmm")</f>
        <v>setembro</v>
      </c>
    </row>
    <row r="479" spans="1:9" x14ac:dyDescent="0.25">
      <c r="A479">
        <v>2025</v>
      </c>
      <c r="B479" t="s">
        <v>955</v>
      </c>
      <c r="C479" s="1">
        <v>46021</v>
      </c>
      <c r="D479" t="s">
        <v>956</v>
      </c>
      <c r="E479" s="2">
        <v>9152.64</v>
      </c>
      <c r="G479" s="3">
        <f>MONTH(Tabela1[[#This Row],[Último pagto ano]])</f>
        <v>12</v>
      </c>
      <c r="H479" t="str">
        <f>TEXT(Tabela1[[#This Row],[Coluna2]]*29,"mmmm")</f>
        <v>dezembro</v>
      </c>
      <c r="I479" t="str">
        <f>TEXT(MONTH(Tabela1[[#This Row],[Último pagto ano]])*29,"mmmm")</f>
        <v>dezembro</v>
      </c>
    </row>
    <row r="480" spans="1:9" x14ac:dyDescent="0.25">
      <c r="A480">
        <v>2025</v>
      </c>
      <c r="B480" t="s">
        <v>957</v>
      </c>
      <c r="C480" s="1">
        <v>45989</v>
      </c>
      <c r="D480" t="s">
        <v>958</v>
      </c>
      <c r="E480" s="2">
        <v>11625.66</v>
      </c>
      <c r="G480" s="3">
        <f>MONTH(Tabela1[[#This Row],[Último pagto ano]])</f>
        <v>11</v>
      </c>
      <c r="H480" t="str">
        <f>TEXT(Tabela1[[#This Row],[Coluna2]]*29,"mmmm")</f>
        <v>novembro</v>
      </c>
      <c r="I480" t="str">
        <f>TEXT(MONTH(Tabela1[[#This Row],[Último pagto ano]])*29,"mmmm")</f>
        <v>novembro</v>
      </c>
    </row>
    <row r="481" spans="1:9" x14ac:dyDescent="0.25">
      <c r="A481">
        <v>2025</v>
      </c>
      <c r="B481" t="s">
        <v>959</v>
      </c>
      <c r="C481" s="1">
        <v>46010</v>
      </c>
      <c r="D481" t="s">
        <v>960</v>
      </c>
      <c r="E481" s="2">
        <v>12000</v>
      </c>
      <c r="G481" s="3">
        <f>MONTH(Tabela1[[#This Row],[Último pagto ano]])</f>
        <v>12</v>
      </c>
      <c r="H481" t="str">
        <f>TEXT(Tabela1[[#This Row],[Coluna2]]*29,"mmmm")</f>
        <v>dezembro</v>
      </c>
      <c r="I481" t="str">
        <f>TEXT(MONTH(Tabela1[[#This Row],[Último pagto ano]])*29,"mmmm")</f>
        <v>dezembro</v>
      </c>
    </row>
    <row r="482" spans="1:9" x14ac:dyDescent="0.25">
      <c r="A482">
        <v>2025</v>
      </c>
      <c r="B482" t="s">
        <v>961</v>
      </c>
      <c r="C482" s="1">
        <v>45702</v>
      </c>
      <c r="D482" t="s">
        <v>962</v>
      </c>
      <c r="E482">
        <v>111.95</v>
      </c>
      <c r="G482" s="3">
        <f>MONTH(Tabela1[[#This Row],[Último pagto ano]])</f>
        <v>2</v>
      </c>
      <c r="H482" t="str">
        <f>TEXT(Tabela1[[#This Row],[Coluna2]]*29,"mmmm")</f>
        <v>fevereiro</v>
      </c>
      <c r="I482" t="str">
        <f>TEXT(MONTH(Tabela1[[#This Row],[Último pagto ano]])*29,"mmmm")</f>
        <v>fevereiro</v>
      </c>
    </row>
    <row r="483" spans="1:9" x14ac:dyDescent="0.25">
      <c r="A483">
        <v>2025</v>
      </c>
      <c r="B483" t="s">
        <v>963</v>
      </c>
      <c r="C483" s="1">
        <v>45989</v>
      </c>
      <c r="D483" t="s">
        <v>964</v>
      </c>
      <c r="E483" s="2">
        <v>7344.51</v>
      </c>
      <c r="G483" s="3">
        <f>MONTH(Tabela1[[#This Row],[Último pagto ano]])</f>
        <v>11</v>
      </c>
      <c r="H483" t="str">
        <f>TEXT(Tabela1[[#This Row],[Coluna2]]*29,"mmmm")</f>
        <v>novembro</v>
      </c>
      <c r="I483" t="str">
        <f>TEXT(MONTH(Tabela1[[#This Row],[Último pagto ano]])*29,"mmmm")</f>
        <v>novembro</v>
      </c>
    </row>
    <row r="484" spans="1:9" x14ac:dyDescent="0.25">
      <c r="A484">
        <v>2025</v>
      </c>
      <c r="B484" t="s">
        <v>965</v>
      </c>
      <c r="C484" s="1">
        <v>45898</v>
      </c>
      <c r="D484" t="s">
        <v>966</v>
      </c>
      <c r="E484" s="2">
        <v>2848.41</v>
      </c>
      <c r="G484" s="3">
        <f>MONTH(Tabela1[[#This Row],[Último pagto ano]])</f>
        <v>8</v>
      </c>
      <c r="H484" t="str">
        <f>TEXT(Tabela1[[#This Row],[Coluna2]]*29,"mmmm")</f>
        <v>agosto</v>
      </c>
      <c r="I484" t="str">
        <f>TEXT(MONTH(Tabela1[[#This Row],[Último pagto ano]])*29,"mmmm")</f>
        <v>agosto</v>
      </c>
    </row>
    <row r="485" spans="1:9" x14ac:dyDescent="0.25">
      <c r="A485">
        <v>2025</v>
      </c>
      <c r="B485" t="s">
        <v>967</v>
      </c>
      <c r="C485" s="1">
        <v>46014</v>
      </c>
      <c r="D485" t="s">
        <v>968</v>
      </c>
      <c r="E485">
        <v>640</v>
      </c>
      <c r="G485" s="3">
        <f>MONTH(Tabela1[[#This Row],[Último pagto ano]])</f>
        <v>12</v>
      </c>
      <c r="H485" t="str">
        <f>TEXT(Tabela1[[#This Row],[Coluna2]]*29,"mmmm")</f>
        <v>dezembro</v>
      </c>
      <c r="I485" t="str">
        <f>TEXT(MONTH(Tabela1[[#This Row],[Último pagto ano]])*29,"mmmm")</f>
        <v>dezembro</v>
      </c>
    </row>
    <row r="486" spans="1:9" x14ac:dyDescent="0.25">
      <c r="A486">
        <v>2025</v>
      </c>
      <c r="B486" t="s">
        <v>969</v>
      </c>
      <c r="C486" s="1">
        <v>45978</v>
      </c>
      <c r="D486" t="s">
        <v>970</v>
      </c>
      <c r="E486">
        <v>44</v>
      </c>
      <c r="G486" s="3">
        <f>MONTH(Tabela1[[#This Row],[Último pagto ano]])</f>
        <v>11</v>
      </c>
      <c r="H486" t="str">
        <f>TEXT(Tabela1[[#This Row],[Coluna2]]*29,"mmmm")</f>
        <v>novembro</v>
      </c>
      <c r="I486" t="str">
        <f>TEXT(MONTH(Tabela1[[#This Row],[Último pagto ano]])*29,"mmmm")</f>
        <v>novembro</v>
      </c>
    </row>
    <row r="487" spans="1:9" x14ac:dyDescent="0.25">
      <c r="A487">
        <v>2025</v>
      </c>
      <c r="B487" t="s">
        <v>971</v>
      </c>
      <c r="C487" s="1">
        <v>46010</v>
      </c>
      <c r="D487" t="s">
        <v>972</v>
      </c>
      <c r="E487" s="2">
        <v>8400</v>
      </c>
      <c r="G487" s="3">
        <f>MONTH(Tabela1[[#This Row],[Último pagto ano]])</f>
        <v>12</v>
      </c>
      <c r="H487" t="str">
        <f>TEXT(Tabela1[[#This Row],[Coluna2]]*29,"mmmm")</f>
        <v>dezembro</v>
      </c>
      <c r="I487" t="str">
        <f>TEXT(MONTH(Tabela1[[#This Row],[Último pagto ano]])*29,"mmmm")</f>
        <v>dezembro</v>
      </c>
    </row>
    <row r="488" spans="1:9" x14ac:dyDescent="0.25">
      <c r="A488">
        <v>2025</v>
      </c>
      <c r="B488" t="s">
        <v>973</v>
      </c>
      <c r="C488" s="1">
        <v>46013</v>
      </c>
      <c r="D488" t="s">
        <v>974</v>
      </c>
      <c r="E488" s="2">
        <v>8207.6299999999992</v>
      </c>
      <c r="G488" s="3">
        <f>MONTH(Tabela1[[#This Row],[Último pagto ano]])</f>
        <v>12</v>
      </c>
      <c r="H488" t="str">
        <f>TEXT(Tabela1[[#This Row],[Coluna2]]*29,"mmmm")</f>
        <v>dezembro</v>
      </c>
      <c r="I488" t="str">
        <f>TEXT(MONTH(Tabela1[[#This Row],[Último pagto ano]])*29,"mmmm")</f>
        <v>dezembro</v>
      </c>
    </row>
    <row r="489" spans="1:9" x14ac:dyDescent="0.25">
      <c r="A489">
        <v>2025</v>
      </c>
      <c r="B489" t="s">
        <v>975</v>
      </c>
      <c r="C489" s="1">
        <v>45702</v>
      </c>
      <c r="D489" t="s">
        <v>976</v>
      </c>
      <c r="E489">
        <v>23.11</v>
      </c>
      <c r="G489" s="3">
        <f>MONTH(Tabela1[[#This Row],[Último pagto ano]])</f>
        <v>2</v>
      </c>
      <c r="H489" t="str">
        <f>TEXT(Tabela1[[#This Row],[Coluna2]]*29,"mmmm")</f>
        <v>fevereiro</v>
      </c>
      <c r="I489" t="str">
        <f>TEXT(MONTH(Tabela1[[#This Row],[Último pagto ano]])*29,"mmmm")</f>
        <v>fevereiro</v>
      </c>
    </row>
    <row r="490" spans="1:9" x14ac:dyDescent="0.25">
      <c r="A490">
        <v>2025</v>
      </c>
      <c r="B490" t="s">
        <v>977</v>
      </c>
      <c r="C490" s="1">
        <v>45996</v>
      </c>
      <c r="D490" t="s">
        <v>978</v>
      </c>
      <c r="E490" s="2">
        <v>29860.05</v>
      </c>
      <c r="G490" s="3">
        <f>MONTH(Tabela1[[#This Row],[Último pagto ano]])</f>
        <v>12</v>
      </c>
      <c r="H490" t="str">
        <f>TEXT(Tabela1[[#This Row],[Coluna2]]*29,"mmmm")</f>
        <v>dezembro</v>
      </c>
      <c r="I490" t="str">
        <f>TEXT(MONTH(Tabela1[[#This Row],[Último pagto ano]])*29,"mmmm")</f>
        <v>dezembro</v>
      </c>
    </row>
    <row r="491" spans="1:9" x14ac:dyDescent="0.25">
      <c r="A491">
        <v>2025</v>
      </c>
      <c r="B491" t="s">
        <v>979</v>
      </c>
      <c r="C491" s="1">
        <v>45681</v>
      </c>
      <c r="D491" t="s">
        <v>980</v>
      </c>
      <c r="E491">
        <v>700</v>
      </c>
      <c r="G491" s="3">
        <f>MONTH(Tabela1[[#This Row],[Último pagto ano]])</f>
        <v>1</v>
      </c>
      <c r="H491" t="str">
        <f>TEXT(Tabela1[[#This Row],[Coluna2]]*29,"mmmm")</f>
        <v>janeiro</v>
      </c>
      <c r="I491" t="str">
        <f>TEXT(MONTH(Tabela1[[#This Row],[Último pagto ano]])*29,"mmmm")</f>
        <v>janeiro</v>
      </c>
    </row>
    <row r="492" spans="1:9" x14ac:dyDescent="0.25">
      <c r="A492">
        <v>2025</v>
      </c>
      <c r="B492" t="s">
        <v>981</v>
      </c>
      <c r="C492" s="1">
        <v>45936</v>
      </c>
      <c r="D492" t="s">
        <v>982</v>
      </c>
      <c r="E492">
        <v>66</v>
      </c>
      <c r="G492" s="3">
        <f>MONTH(Tabela1[[#This Row],[Último pagto ano]])</f>
        <v>10</v>
      </c>
      <c r="H492" t="str">
        <f>TEXT(Tabela1[[#This Row],[Coluna2]]*29,"mmmm")</f>
        <v>outubro</v>
      </c>
      <c r="I492" t="str">
        <f>TEXT(MONTH(Tabela1[[#This Row],[Último pagto ano]])*29,"mmmm")</f>
        <v>outubro</v>
      </c>
    </row>
    <row r="493" spans="1:9" x14ac:dyDescent="0.25">
      <c r="A493">
        <v>2025</v>
      </c>
      <c r="B493" t="s">
        <v>983</v>
      </c>
      <c r="C493" s="1">
        <v>45849</v>
      </c>
      <c r="D493" t="s">
        <v>984</v>
      </c>
      <c r="E493">
        <v>44</v>
      </c>
      <c r="G493" s="3">
        <f>MONTH(Tabela1[[#This Row],[Último pagto ano]])</f>
        <v>7</v>
      </c>
      <c r="H493" t="str">
        <f>TEXT(Tabela1[[#This Row],[Coluna2]]*29,"mmmm")</f>
        <v>julho</v>
      </c>
      <c r="I493" t="str">
        <f>TEXT(MONTH(Tabela1[[#This Row],[Último pagto ano]])*29,"mmmm")</f>
        <v>julho</v>
      </c>
    </row>
    <row r="494" spans="1:9" x14ac:dyDescent="0.25">
      <c r="A494">
        <v>2025</v>
      </c>
      <c r="B494" t="s">
        <v>985</v>
      </c>
      <c r="C494" s="1">
        <v>45838</v>
      </c>
      <c r="D494" t="s">
        <v>986</v>
      </c>
      <c r="E494" s="2">
        <v>3862.89</v>
      </c>
      <c r="G494" s="3">
        <f>MONTH(Tabela1[[#This Row],[Último pagto ano]])</f>
        <v>6</v>
      </c>
      <c r="H494" t="str">
        <f>TEXT(Tabela1[[#This Row],[Coluna2]]*29,"mmmm")</f>
        <v>junho</v>
      </c>
      <c r="I494" t="str">
        <f>TEXT(MONTH(Tabela1[[#This Row],[Último pagto ano]])*29,"mmmm")</f>
        <v>junho</v>
      </c>
    </row>
    <row r="495" spans="1:9" x14ac:dyDescent="0.25">
      <c r="A495">
        <v>2025</v>
      </c>
      <c r="B495" t="s">
        <v>987</v>
      </c>
      <c r="C495" s="1">
        <v>46006</v>
      </c>
      <c r="D495" t="s">
        <v>988</v>
      </c>
      <c r="E495" s="2">
        <v>6300</v>
      </c>
      <c r="G495" s="3">
        <f>MONTH(Tabela1[[#This Row],[Último pagto ano]])</f>
        <v>12</v>
      </c>
      <c r="H495" t="str">
        <f>TEXT(Tabela1[[#This Row],[Coluna2]]*29,"mmmm")</f>
        <v>dezembro</v>
      </c>
      <c r="I495" t="str">
        <f>TEXT(MONTH(Tabela1[[#This Row],[Último pagto ano]])*29,"mmmm")</f>
        <v>dezembro</v>
      </c>
    </row>
    <row r="496" spans="1:9" x14ac:dyDescent="0.25">
      <c r="A496">
        <v>2025</v>
      </c>
      <c r="B496" t="s">
        <v>989</v>
      </c>
      <c r="C496" s="1">
        <v>45702</v>
      </c>
      <c r="D496" t="s">
        <v>990</v>
      </c>
      <c r="E496">
        <v>895.35</v>
      </c>
      <c r="G496" s="3">
        <f>MONTH(Tabela1[[#This Row],[Último pagto ano]])</f>
        <v>2</v>
      </c>
      <c r="H496" t="str">
        <f>TEXT(Tabela1[[#This Row],[Coluna2]]*29,"mmmm")</f>
        <v>fevereiro</v>
      </c>
      <c r="I496" t="str">
        <f>TEXT(MONTH(Tabela1[[#This Row],[Último pagto ano]])*29,"mmmm")</f>
        <v>fevereiro</v>
      </c>
    </row>
    <row r="497" spans="1:9" x14ac:dyDescent="0.25">
      <c r="A497">
        <v>2025</v>
      </c>
      <c r="B497" t="s">
        <v>991</v>
      </c>
      <c r="C497" s="1">
        <v>46013</v>
      </c>
      <c r="D497" t="s">
        <v>992</v>
      </c>
      <c r="E497" s="2">
        <v>7954.8</v>
      </c>
      <c r="G497" s="3">
        <f>MONTH(Tabela1[[#This Row],[Último pagto ano]])</f>
        <v>12</v>
      </c>
      <c r="H497" t="str">
        <f>TEXT(Tabela1[[#This Row],[Coluna2]]*29,"mmmm")</f>
        <v>dezembro</v>
      </c>
      <c r="I497" t="str">
        <f>TEXT(MONTH(Tabela1[[#This Row],[Último pagto ano]])*29,"mmmm")</f>
        <v>dezembro</v>
      </c>
    </row>
    <row r="498" spans="1:9" x14ac:dyDescent="0.25">
      <c r="A498">
        <v>2025</v>
      </c>
      <c r="B498" t="s">
        <v>993</v>
      </c>
      <c r="C498" s="1">
        <v>45897</v>
      </c>
      <c r="D498" t="s">
        <v>994</v>
      </c>
      <c r="E498" s="2">
        <v>1719.9</v>
      </c>
      <c r="G498" s="3">
        <f>MONTH(Tabela1[[#This Row],[Último pagto ano]])</f>
        <v>8</v>
      </c>
      <c r="H498" t="str">
        <f>TEXT(Tabela1[[#This Row],[Coluna2]]*29,"mmmm")</f>
        <v>agosto</v>
      </c>
      <c r="I498" t="str">
        <f>TEXT(MONTH(Tabela1[[#This Row],[Último pagto ano]])*29,"mmmm")</f>
        <v>agosto</v>
      </c>
    </row>
    <row r="499" spans="1:9" x14ac:dyDescent="0.25">
      <c r="A499">
        <v>2025</v>
      </c>
      <c r="B499" t="s">
        <v>995</v>
      </c>
      <c r="C499" s="1">
        <v>45989</v>
      </c>
      <c r="D499" t="s">
        <v>996</v>
      </c>
      <c r="E499" s="2">
        <v>7514.99</v>
      </c>
      <c r="G499" s="3">
        <f>MONTH(Tabela1[[#This Row],[Último pagto ano]])</f>
        <v>11</v>
      </c>
      <c r="H499" t="str">
        <f>TEXT(Tabela1[[#This Row],[Coluna2]]*29,"mmmm")</f>
        <v>novembro</v>
      </c>
      <c r="I499" t="str">
        <f>TEXT(MONTH(Tabela1[[#This Row],[Último pagto ano]])*29,"mmmm")</f>
        <v>novembro</v>
      </c>
    </row>
    <row r="500" spans="1:9" x14ac:dyDescent="0.25">
      <c r="A500">
        <v>2025</v>
      </c>
      <c r="B500" t="s">
        <v>997</v>
      </c>
      <c r="C500" s="1">
        <v>45702</v>
      </c>
      <c r="D500" t="s">
        <v>998</v>
      </c>
      <c r="E500" s="2">
        <v>1289.02</v>
      </c>
      <c r="G500" s="3">
        <f>MONTH(Tabela1[[#This Row],[Último pagto ano]])</f>
        <v>2</v>
      </c>
      <c r="H500" t="str">
        <f>TEXT(Tabela1[[#This Row],[Coluna2]]*29,"mmmm")</f>
        <v>fevereiro</v>
      </c>
      <c r="I500" t="str">
        <f>TEXT(MONTH(Tabela1[[#This Row],[Último pagto ano]])*29,"mmmm")</f>
        <v>fevereiro</v>
      </c>
    </row>
    <row r="501" spans="1:9" x14ac:dyDescent="0.25">
      <c r="A501">
        <v>2025</v>
      </c>
      <c r="B501" t="s">
        <v>999</v>
      </c>
      <c r="C501" s="1">
        <v>45687</v>
      </c>
      <c r="D501" t="s">
        <v>1000</v>
      </c>
      <c r="E501">
        <v>991.71</v>
      </c>
      <c r="G501" s="3">
        <f>MONTH(Tabela1[[#This Row],[Último pagto ano]])</f>
        <v>1</v>
      </c>
      <c r="H501" t="str">
        <f>TEXT(Tabela1[[#This Row],[Coluna2]]*29,"mmmm")</f>
        <v>janeiro</v>
      </c>
      <c r="I501" t="str">
        <f>TEXT(MONTH(Tabela1[[#This Row],[Último pagto ano]])*29,"mmmm")</f>
        <v>janeiro</v>
      </c>
    </row>
    <row r="502" spans="1:9" x14ac:dyDescent="0.25">
      <c r="A502">
        <v>2025</v>
      </c>
      <c r="B502" t="s">
        <v>1001</v>
      </c>
      <c r="C502" s="1">
        <v>45989</v>
      </c>
      <c r="D502" t="s">
        <v>1002</v>
      </c>
      <c r="E502" s="2">
        <v>11420.61</v>
      </c>
      <c r="G502" s="3">
        <f>MONTH(Tabela1[[#This Row],[Último pagto ano]])</f>
        <v>11</v>
      </c>
      <c r="H502" t="str">
        <f>TEXT(Tabela1[[#This Row],[Coluna2]]*29,"mmmm")</f>
        <v>novembro</v>
      </c>
      <c r="I502" t="str">
        <f>TEXT(MONTH(Tabela1[[#This Row],[Último pagto ano]])*29,"mmmm")</f>
        <v>novembro</v>
      </c>
    </row>
    <row r="503" spans="1:9" x14ac:dyDescent="0.25">
      <c r="A503">
        <v>2025</v>
      </c>
      <c r="B503" t="s">
        <v>1003</v>
      </c>
      <c r="C503" s="1">
        <v>45989</v>
      </c>
      <c r="D503" t="s">
        <v>1004</v>
      </c>
      <c r="E503" s="2">
        <v>7300.44</v>
      </c>
      <c r="G503" s="3">
        <f>MONTH(Tabela1[[#This Row],[Último pagto ano]])</f>
        <v>11</v>
      </c>
      <c r="H503" t="str">
        <f>TEXT(Tabela1[[#This Row],[Coluna2]]*29,"mmmm")</f>
        <v>novembro</v>
      </c>
      <c r="I503" t="str">
        <f>TEXT(MONTH(Tabela1[[#This Row],[Último pagto ano]])*29,"mmmm")</f>
        <v>novembro</v>
      </c>
    </row>
    <row r="504" spans="1:9" x14ac:dyDescent="0.25">
      <c r="A504">
        <v>2025</v>
      </c>
      <c r="B504" t="s">
        <v>1005</v>
      </c>
      <c r="C504" s="1">
        <v>45924</v>
      </c>
      <c r="D504" t="s">
        <v>1006</v>
      </c>
      <c r="E504" s="2">
        <v>9000</v>
      </c>
      <c r="G504" s="3">
        <f>MONTH(Tabela1[[#This Row],[Último pagto ano]])</f>
        <v>9</v>
      </c>
      <c r="H504" t="str">
        <f>TEXT(Tabela1[[#This Row],[Coluna2]]*29,"mmmm")</f>
        <v>setembro</v>
      </c>
      <c r="I504" t="str">
        <f>TEXT(MONTH(Tabela1[[#This Row],[Último pagto ano]])*29,"mmmm")</f>
        <v>setembro</v>
      </c>
    </row>
    <row r="505" spans="1:9" x14ac:dyDescent="0.25">
      <c r="A505">
        <v>2025</v>
      </c>
      <c r="B505" t="s">
        <v>1007</v>
      </c>
      <c r="C505" s="1">
        <v>45996</v>
      </c>
      <c r="D505" t="s">
        <v>1008</v>
      </c>
      <c r="E505" s="2">
        <v>3000</v>
      </c>
      <c r="G505" s="3">
        <f>MONTH(Tabela1[[#This Row],[Último pagto ano]])</f>
        <v>12</v>
      </c>
      <c r="H505" t="str">
        <f>TEXT(Tabela1[[#This Row],[Coluna2]]*29,"mmmm")</f>
        <v>dezembro</v>
      </c>
      <c r="I505" t="str">
        <f>TEXT(MONTH(Tabela1[[#This Row],[Último pagto ano]])*29,"mmmm")</f>
        <v>dezembro</v>
      </c>
    </row>
    <row r="506" spans="1:9" x14ac:dyDescent="0.25">
      <c r="A506">
        <v>2025</v>
      </c>
      <c r="B506" t="s">
        <v>1009</v>
      </c>
      <c r="C506" s="1">
        <v>45989</v>
      </c>
      <c r="D506" t="s">
        <v>1010</v>
      </c>
      <c r="E506" s="2">
        <v>3277.44</v>
      </c>
      <c r="G506" s="3">
        <f>MONTH(Tabela1[[#This Row],[Último pagto ano]])</f>
        <v>11</v>
      </c>
      <c r="H506" t="str">
        <f>TEXT(Tabela1[[#This Row],[Coluna2]]*29,"mmmm")</f>
        <v>novembro</v>
      </c>
      <c r="I506" t="str">
        <f>TEXT(MONTH(Tabela1[[#This Row],[Último pagto ano]])*29,"mmmm")</f>
        <v>novembro</v>
      </c>
    </row>
    <row r="507" spans="1:9" x14ac:dyDescent="0.25">
      <c r="A507">
        <v>2025</v>
      </c>
      <c r="B507" t="s">
        <v>1011</v>
      </c>
      <c r="C507" s="1">
        <v>45996</v>
      </c>
      <c r="D507" t="s">
        <v>1012</v>
      </c>
      <c r="E507" s="2">
        <v>115086.3</v>
      </c>
      <c r="G507" s="3">
        <f>MONTH(Tabela1[[#This Row],[Último pagto ano]])</f>
        <v>12</v>
      </c>
      <c r="H507" t="str">
        <f>TEXT(Tabela1[[#This Row],[Coluna2]]*29,"mmmm")</f>
        <v>dezembro</v>
      </c>
      <c r="I507" t="str">
        <f>TEXT(MONTH(Tabela1[[#This Row],[Último pagto ano]])*29,"mmmm")</f>
        <v>dezembro</v>
      </c>
    </row>
    <row r="508" spans="1:9" x14ac:dyDescent="0.25">
      <c r="A508">
        <v>2025</v>
      </c>
      <c r="B508" t="s">
        <v>1013</v>
      </c>
      <c r="C508" s="1">
        <v>46006</v>
      </c>
      <c r="D508" t="s">
        <v>1014</v>
      </c>
      <c r="E508" s="2">
        <v>12000</v>
      </c>
      <c r="G508" s="3">
        <f>MONTH(Tabela1[[#This Row],[Último pagto ano]])</f>
        <v>12</v>
      </c>
      <c r="H508" t="str">
        <f>TEXT(Tabela1[[#This Row],[Coluna2]]*29,"mmmm")</f>
        <v>dezembro</v>
      </c>
      <c r="I508" t="str">
        <f>TEXT(MONTH(Tabela1[[#This Row],[Último pagto ano]])*29,"mmmm")</f>
        <v>dezembro</v>
      </c>
    </row>
    <row r="509" spans="1:9" x14ac:dyDescent="0.25">
      <c r="A509">
        <v>2025</v>
      </c>
      <c r="B509" t="s">
        <v>1015</v>
      </c>
      <c r="C509" s="1">
        <v>45702</v>
      </c>
      <c r="D509" t="s">
        <v>1016</v>
      </c>
      <c r="E509">
        <v>202.48</v>
      </c>
      <c r="G509" s="3">
        <f>MONTH(Tabela1[[#This Row],[Último pagto ano]])</f>
        <v>2</v>
      </c>
      <c r="H509" t="str">
        <f>TEXT(Tabela1[[#This Row],[Coluna2]]*29,"mmmm")</f>
        <v>fevereiro</v>
      </c>
      <c r="I509" t="str">
        <f>TEXT(MONTH(Tabela1[[#This Row],[Último pagto ano]])*29,"mmmm")</f>
        <v>fevereiro</v>
      </c>
    </row>
    <row r="510" spans="1:9" x14ac:dyDescent="0.25">
      <c r="A510">
        <v>2025</v>
      </c>
      <c r="B510" t="s">
        <v>1017</v>
      </c>
      <c r="C510" s="1">
        <v>45989</v>
      </c>
      <c r="D510" t="s">
        <v>1018</v>
      </c>
      <c r="E510" s="2">
        <v>3025.11</v>
      </c>
      <c r="G510" s="3">
        <f>MONTH(Tabela1[[#This Row],[Último pagto ano]])</f>
        <v>11</v>
      </c>
      <c r="H510" t="str">
        <f>TEXT(Tabela1[[#This Row],[Coluna2]]*29,"mmmm")</f>
        <v>novembro</v>
      </c>
      <c r="I510" t="str">
        <f>TEXT(MONTH(Tabela1[[#This Row],[Último pagto ano]])*29,"mmmm")</f>
        <v>novembro</v>
      </c>
    </row>
    <row r="511" spans="1:9" x14ac:dyDescent="0.25">
      <c r="A511">
        <v>2025</v>
      </c>
      <c r="B511" t="s">
        <v>1019</v>
      </c>
      <c r="C511" s="1">
        <v>45852</v>
      </c>
      <c r="D511" t="s">
        <v>1020</v>
      </c>
      <c r="E511" s="2">
        <v>2342.6799999999998</v>
      </c>
      <c r="G511" s="3">
        <f>MONTH(Tabela1[[#This Row],[Último pagto ano]])</f>
        <v>7</v>
      </c>
      <c r="H511" t="str">
        <f>TEXT(Tabela1[[#This Row],[Coluna2]]*29,"mmmm")</f>
        <v>julho</v>
      </c>
      <c r="I511" t="str">
        <f>TEXT(MONTH(Tabela1[[#This Row],[Último pagto ano]])*29,"mmmm")</f>
        <v>julho</v>
      </c>
    </row>
    <row r="512" spans="1:9" x14ac:dyDescent="0.25">
      <c r="A512">
        <v>2025</v>
      </c>
      <c r="B512" t="s">
        <v>1021</v>
      </c>
      <c r="C512" s="1">
        <v>45824</v>
      </c>
      <c r="D512" t="s">
        <v>1022</v>
      </c>
      <c r="E512" s="2">
        <v>10013.1</v>
      </c>
      <c r="G512" s="3">
        <f>MONTH(Tabela1[[#This Row],[Último pagto ano]])</f>
        <v>6</v>
      </c>
      <c r="H512" t="str">
        <f>TEXT(Tabela1[[#This Row],[Coluna2]]*29,"mmmm")</f>
        <v>junho</v>
      </c>
      <c r="I512" t="str">
        <f>TEXT(MONTH(Tabela1[[#This Row],[Último pagto ano]])*29,"mmmm")</f>
        <v>junho</v>
      </c>
    </row>
    <row r="513" spans="1:9" x14ac:dyDescent="0.25">
      <c r="A513">
        <v>2025</v>
      </c>
      <c r="B513" t="s">
        <v>1023</v>
      </c>
      <c r="C513" s="1">
        <v>45996</v>
      </c>
      <c r="D513" t="s">
        <v>1024</v>
      </c>
      <c r="E513" s="2">
        <v>13281.6</v>
      </c>
      <c r="G513" s="3">
        <f>MONTH(Tabela1[[#This Row],[Último pagto ano]])</f>
        <v>12</v>
      </c>
      <c r="H513" t="str">
        <f>TEXT(Tabela1[[#This Row],[Coluna2]]*29,"mmmm")</f>
        <v>dezembro</v>
      </c>
      <c r="I513" t="str">
        <f>TEXT(MONTH(Tabela1[[#This Row],[Último pagto ano]])*29,"mmmm")</f>
        <v>dezembro</v>
      </c>
    </row>
    <row r="514" spans="1:9" x14ac:dyDescent="0.25">
      <c r="A514">
        <v>2025</v>
      </c>
      <c r="B514" t="s">
        <v>1025</v>
      </c>
      <c r="C514" s="1">
        <v>46021</v>
      </c>
      <c r="D514" t="s">
        <v>1026</v>
      </c>
      <c r="E514" s="2">
        <v>8339.11</v>
      </c>
      <c r="G514" s="3">
        <f>MONTH(Tabela1[[#This Row],[Último pagto ano]])</f>
        <v>12</v>
      </c>
      <c r="H514" t="str">
        <f>TEXT(Tabela1[[#This Row],[Coluna2]]*29,"mmmm")</f>
        <v>dezembro</v>
      </c>
      <c r="I514" t="str">
        <f>TEXT(MONTH(Tabela1[[#This Row],[Último pagto ano]])*29,"mmmm")</f>
        <v>dezembro</v>
      </c>
    </row>
    <row r="515" spans="1:9" x14ac:dyDescent="0.25">
      <c r="A515">
        <v>2025</v>
      </c>
      <c r="B515" t="s">
        <v>1027</v>
      </c>
      <c r="C515" s="1">
        <v>45702</v>
      </c>
      <c r="D515" t="s">
        <v>1028</v>
      </c>
      <c r="E515">
        <v>55.87</v>
      </c>
      <c r="G515" s="3">
        <f>MONTH(Tabela1[[#This Row],[Último pagto ano]])</f>
        <v>2</v>
      </c>
      <c r="H515" t="str">
        <f>TEXT(Tabela1[[#This Row],[Coluna2]]*29,"mmmm")</f>
        <v>fevereiro</v>
      </c>
      <c r="I515" t="str">
        <f>TEXT(MONTH(Tabela1[[#This Row],[Último pagto ano]])*29,"mmmm")</f>
        <v>fevereiro</v>
      </c>
    </row>
    <row r="516" spans="1:9" x14ac:dyDescent="0.25">
      <c r="A516">
        <v>2025</v>
      </c>
      <c r="B516" t="s">
        <v>1029</v>
      </c>
      <c r="C516" s="1">
        <v>45943</v>
      </c>
      <c r="D516" t="s">
        <v>1030</v>
      </c>
      <c r="E516">
        <v>55</v>
      </c>
      <c r="G516" s="3">
        <f>MONTH(Tabela1[[#This Row],[Último pagto ano]])</f>
        <v>10</v>
      </c>
      <c r="H516" t="str">
        <f>TEXT(Tabela1[[#This Row],[Coluna2]]*29,"mmmm")</f>
        <v>outubro</v>
      </c>
      <c r="I516" t="str">
        <f>TEXT(MONTH(Tabela1[[#This Row],[Último pagto ano]])*29,"mmmm")</f>
        <v>outubro</v>
      </c>
    </row>
    <row r="517" spans="1:9" x14ac:dyDescent="0.25">
      <c r="A517">
        <v>2025</v>
      </c>
      <c r="B517" t="s">
        <v>1031</v>
      </c>
      <c r="C517" s="1">
        <v>45996</v>
      </c>
      <c r="D517" t="s">
        <v>1032</v>
      </c>
      <c r="E517" s="2">
        <v>14800</v>
      </c>
      <c r="G517" s="3">
        <f>MONTH(Tabela1[[#This Row],[Último pagto ano]])</f>
        <v>12</v>
      </c>
      <c r="H517" t="str">
        <f>TEXT(Tabela1[[#This Row],[Coluna2]]*29,"mmmm")</f>
        <v>dezembro</v>
      </c>
      <c r="I517" t="str">
        <f>TEXT(MONTH(Tabela1[[#This Row],[Último pagto ano]])*29,"mmmm")</f>
        <v>dezembro</v>
      </c>
    </row>
    <row r="518" spans="1:9" x14ac:dyDescent="0.25">
      <c r="A518">
        <v>2025</v>
      </c>
      <c r="B518" t="s">
        <v>1033</v>
      </c>
      <c r="C518" s="1">
        <v>45702</v>
      </c>
      <c r="D518" t="s">
        <v>1034</v>
      </c>
      <c r="E518">
        <v>169.9</v>
      </c>
      <c r="G518" s="3">
        <f>MONTH(Tabela1[[#This Row],[Último pagto ano]])</f>
        <v>2</v>
      </c>
      <c r="H518" t="str">
        <f>TEXT(Tabela1[[#This Row],[Coluna2]]*29,"mmmm")</f>
        <v>fevereiro</v>
      </c>
      <c r="I518" t="str">
        <f>TEXT(MONTH(Tabela1[[#This Row],[Último pagto ano]])*29,"mmmm")</f>
        <v>fevereiro</v>
      </c>
    </row>
    <row r="519" spans="1:9" x14ac:dyDescent="0.25">
      <c r="A519">
        <v>2025</v>
      </c>
      <c r="B519" t="s">
        <v>1035</v>
      </c>
      <c r="C519" s="1">
        <v>45702</v>
      </c>
      <c r="D519" t="s">
        <v>1036</v>
      </c>
      <c r="E519">
        <v>554.03</v>
      </c>
      <c r="G519" s="3">
        <f>MONTH(Tabela1[[#This Row],[Último pagto ano]])</f>
        <v>2</v>
      </c>
      <c r="H519" t="str">
        <f>TEXT(Tabela1[[#This Row],[Coluna2]]*29,"mmmm")</f>
        <v>fevereiro</v>
      </c>
      <c r="I519" t="str">
        <f>TEXT(MONTH(Tabela1[[#This Row],[Último pagto ano]])*29,"mmmm")</f>
        <v>fevereiro</v>
      </c>
    </row>
    <row r="520" spans="1:9" x14ac:dyDescent="0.25">
      <c r="A520">
        <v>2025</v>
      </c>
      <c r="B520" t="s">
        <v>1037</v>
      </c>
      <c r="C520" s="1">
        <v>45996</v>
      </c>
      <c r="D520" t="s">
        <v>1038</v>
      </c>
      <c r="E520" s="2">
        <v>11000</v>
      </c>
      <c r="G520" s="3">
        <f>MONTH(Tabela1[[#This Row],[Último pagto ano]])</f>
        <v>12</v>
      </c>
      <c r="H520" t="str">
        <f>TEXT(Tabela1[[#This Row],[Coluna2]]*29,"mmmm")</f>
        <v>dezembro</v>
      </c>
      <c r="I520" t="str">
        <f>TEXT(MONTH(Tabela1[[#This Row],[Último pagto ano]])*29,"mmmm")</f>
        <v>dezembro</v>
      </c>
    </row>
    <row r="521" spans="1:9" x14ac:dyDescent="0.25">
      <c r="A521">
        <v>2025</v>
      </c>
      <c r="B521" t="s">
        <v>1039</v>
      </c>
      <c r="C521" s="1">
        <v>45996</v>
      </c>
      <c r="D521" t="s">
        <v>1040</v>
      </c>
      <c r="E521" s="2">
        <v>2700</v>
      </c>
      <c r="G521" s="3">
        <f>MONTH(Tabela1[[#This Row],[Último pagto ano]])</f>
        <v>12</v>
      </c>
      <c r="H521" t="str">
        <f>TEXT(Tabela1[[#This Row],[Coluna2]]*29,"mmmm")</f>
        <v>dezembro</v>
      </c>
      <c r="I521" t="str">
        <f>TEXT(MONTH(Tabela1[[#This Row],[Último pagto ano]])*29,"mmmm")</f>
        <v>dezembro</v>
      </c>
    </row>
    <row r="522" spans="1:9" x14ac:dyDescent="0.25">
      <c r="A522">
        <v>2025</v>
      </c>
      <c r="B522" t="s">
        <v>1041</v>
      </c>
      <c r="C522" s="1">
        <v>45700</v>
      </c>
      <c r="D522" t="s">
        <v>1042</v>
      </c>
      <c r="E522">
        <v>436.7</v>
      </c>
      <c r="G522" s="3">
        <f>MONTH(Tabela1[[#This Row],[Último pagto ano]])</f>
        <v>2</v>
      </c>
      <c r="H522" t="str">
        <f>TEXT(Tabela1[[#This Row],[Coluna2]]*29,"mmmm")</f>
        <v>fevereiro</v>
      </c>
      <c r="I522" t="str">
        <f>TEXT(MONTH(Tabela1[[#This Row],[Último pagto ano]])*29,"mmmm")</f>
        <v>fevereiro</v>
      </c>
    </row>
    <row r="523" spans="1:9" x14ac:dyDescent="0.25">
      <c r="A523">
        <v>2025</v>
      </c>
      <c r="B523" t="s">
        <v>1043</v>
      </c>
      <c r="C523" s="1">
        <v>45996</v>
      </c>
      <c r="D523" t="s">
        <v>1044</v>
      </c>
      <c r="E523" s="2">
        <v>5600</v>
      </c>
      <c r="G523" s="3">
        <f>MONTH(Tabela1[[#This Row],[Último pagto ano]])</f>
        <v>12</v>
      </c>
      <c r="H523" t="str">
        <f>TEXT(Tabela1[[#This Row],[Coluna2]]*29,"mmmm")</f>
        <v>dezembro</v>
      </c>
      <c r="I523" t="str">
        <f>TEXT(MONTH(Tabela1[[#This Row],[Último pagto ano]])*29,"mmmm")</f>
        <v>dezembro</v>
      </c>
    </row>
    <row r="524" spans="1:9" x14ac:dyDescent="0.25">
      <c r="A524">
        <v>2025</v>
      </c>
      <c r="B524" t="s">
        <v>1045</v>
      </c>
      <c r="C524" s="1">
        <v>45702</v>
      </c>
      <c r="D524" t="s">
        <v>1046</v>
      </c>
      <c r="E524">
        <v>12.5</v>
      </c>
      <c r="G524" s="3">
        <f>MONTH(Tabela1[[#This Row],[Último pagto ano]])</f>
        <v>2</v>
      </c>
      <c r="H524" t="str">
        <f>TEXT(Tabela1[[#This Row],[Coluna2]]*29,"mmmm")</f>
        <v>fevereiro</v>
      </c>
      <c r="I524" t="str">
        <f>TEXT(MONTH(Tabela1[[#This Row],[Último pagto ano]])*29,"mmmm")</f>
        <v>fevereiro</v>
      </c>
    </row>
    <row r="525" spans="1:9" x14ac:dyDescent="0.25">
      <c r="A525">
        <v>2025</v>
      </c>
      <c r="B525" t="s">
        <v>1047</v>
      </c>
      <c r="C525" s="1">
        <v>45989</v>
      </c>
      <c r="D525" t="s">
        <v>1048</v>
      </c>
      <c r="E525" s="2">
        <v>4020.78</v>
      </c>
      <c r="G525" s="3">
        <f>MONTH(Tabela1[[#This Row],[Último pagto ano]])</f>
        <v>11</v>
      </c>
      <c r="H525" t="str">
        <f>TEXT(Tabela1[[#This Row],[Coluna2]]*29,"mmmm")</f>
        <v>novembro</v>
      </c>
      <c r="I525" t="str">
        <f>TEXT(MONTH(Tabela1[[#This Row],[Último pagto ano]])*29,"mmmm")</f>
        <v>novembro</v>
      </c>
    </row>
    <row r="526" spans="1:9" x14ac:dyDescent="0.25">
      <c r="A526">
        <v>2025</v>
      </c>
      <c r="B526" t="s">
        <v>1049</v>
      </c>
      <c r="C526" s="1">
        <v>45905</v>
      </c>
      <c r="D526" t="s">
        <v>1050</v>
      </c>
      <c r="E526" s="2">
        <v>16940</v>
      </c>
      <c r="G526" s="3">
        <f>MONTH(Tabela1[[#This Row],[Último pagto ano]])</f>
        <v>9</v>
      </c>
      <c r="H526" t="str">
        <f>TEXT(Tabela1[[#This Row],[Coluna2]]*29,"mmmm")</f>
        <v>setembro</v>
      </c>
      <c r="I526" t="str">
        <f>TEXT(MONTH(Tabela1[[#This Row],[Último pagto ano]])*29,"mmmm")</f>
        <v>setembro</v>
      </c>
    </row>
    <row r="527" spans="1:9" x14ac:dyDescent="0.25">
      <c r="A527">
        <v>2025</v>
      </c>
      <c r="B527" t="s">
        <v>1051</v>
      </c>
      <c r="C527" s="1">
        <v>46021</v>
      </c>
      <c r="D527" t="s">
        <v>1052</v>
      </c>
      <c r="E527" s="2">
        <v>2250.75</v>
      </c>
      <c r="G527" s="3">
        <f>MONTH(Tabela1[[#This Row],[Último pagto ano]])</f>
        <v>12</v>
      </c>
      <c r="H527" t="str">
        <f>TEXT(Tabela1[[#This Row],[Coluna2]]*29,"mmmm")</f>
        <v>dezembro</v>
      </c>
      <c r="I527" t="str">
        <f>TEXT(MONTH(Tabela1[[#This Row],[Último pagto ano]])*29,"mmmm")</f>
        <v>dezembro</v>
      </c>
    </row>
    <row r="528" spans="1:9" x14ac:dyDescent="0.25">
      <c r="A528">
        <v>2025</v>
      </c>
      <c r="B528" t="s">
        <v>1053</v>
      </c>
      <c r="C528" s="1">
        <v>45989</v>
      </c>
      <c r="D528" t="s">
        <v>1054</v>
      </c>
      <c r="E528" s="2">
        <v>5398.84</v>
      </c>
      <c r="G528" s="3">
        <f>MONTH(Tabela1[[#This Row],[Último pagto ano]])</f>
        <v>11</v>
      </c>
      <c r="H528" t="str">
        <f>TEXT(Tabela1[[#This Row],[Coluna2]]*29,"mmmm")</f>
        <v>novembro</v>
      </c>
      <c r="I528" t="str">
        <f>TEXT(MONTH(Tabela1[[#This Row],[Último pagto ano]])*29,"mmmm")</f>
        <v>novembro</v>
      </c>
    </row>
    <row r="529" spans="1:9" x14ac:dyDescent="0.25">
      <c r="A529">
        <v>2025</v>
      </c>
      <c r="B529" t="s">
        <v>1055</v>
      </c>
      <c r="C529" s="1">
        <v>45712</v>
      </c>
      <c r="D529" t="s">
        <v>1056</v>
      </c>
      <c r="E529" s="2">
        <v>1567.8</v>
      </c>
      <c r="G529" s="3">
        <f>MONTH(Tabela1[[#This Row],[Último pagto ano]])</f>
        <v>2</v>
      </c>
      <c r="H529" t="str">
        <f>TEXT(Tabela1[[#This Row],[Coluna2]]*29,"mmmm")</f>
        <v>fevereiro</v>
      </c>
      <c r="I529" t="str">
        <f>TEXT(MONTH(Tabela1[[#This Row],[Último pagto ano]])*29,"mmmm")</f>
        <v>fevereiro</v>
      </c>
    </row>
    <row r="530" spans="1:9" x14ac:dyDescent="0.25">
      <c r="A530">
        <v>2025</v>
      </c>
      <c r="B530" t="s">
        <v>1057</v>
      </c>
      <c r="C530" s="1">
        <v>45999</v>
      </c>
      <c r="D530" t="s">
        <v>1058</v>
      </c>
      <c r="E530">
        <v>220</v>
      </c>
      <c r="G530" s="3">
        <f>MONTH(Tabela1[[#This Row],[Último pagto ano]])</f>
        <v>12</v>
      </c>
      <c r="H530" t="str">
        <f>TEXT(Tabela1[[#This Row],[Coluna2]]*29,"mmmm")</f>
        <v>dezembro</v>
      </c>
      <c r="I530" t="str">
        <f>TEXT(MONTH(Tabela1[[#This Row],[Último pagto ano]])*29,"mmmm")</f>
        <v>dezembro</v>
      </c>
    </row>
    <row r="531" spans="1:9" x14ac:dyDescent="0.25">
      <c r="A531">
        <v>2025</v>
      </c>
      <c r="B531" t="s">
        <v>1059</v>
      </c>
      <c r="C531" s="1">
        <v>45989</v>
      </c>
      <c r="D531" t="s">
        <v>1060</v>
      </c>
      <c r="E531" s="2">
        <v>2135.98</v>
      </c>
      <c r="G531" s="3">
        <f>MONTH(Tabela1[[#This Row],[Último pagto ano]])</f>
        <v>11</v>
      </c>
      <c r="H531" t="str">
        <f>TEXT(Tabela1[[#This Row],[Coluna2]]*29,"mmmm")</f>
        <v>novembro</v>
      </c>
      <c r="I531" t="str">
        <f>TEXT(MONTH(Tabela1[[#This Row],[Último pagto ano]])*29,"mmmm")</f>
        <v>novembro</v>
      </c>
    </row>
    <row r="532" spans="1:9" x14ac:dyDescent="0.25">
      <c r="A532">
        <v>2025</v>
      </c>
      <c r="B532" t="s">
        <v>1061</v>
      </c>
      <c r="C532" s="1">
        <v>46010</v>
      </c>
      <c r="D532" t="s">
        <v>1062</v>
      </c>
      <c r="E532">
        <v>700</v>
      </c>
      <c r="G532" s="3">
        <f>MONTH(Tabela1[[#This Row],[Último pagto ano]])</f>
        <v>12</v>
      </c>
      <c r="H532" t="str">
        <f>TEXT(Tabela1[[#This Row],[Coluna2]]*29,"mmmm")</f>
        <v>dezembro</v>
      </c>
      <c r="I532" t="str">
        <f>TEXT(MONTH(Tabela1[[#This Row],[Último pagto ano]])*29,"mmmm")</f>
        <v>dezembro</v>
      </c>
    </row>
    <row r="533" spans="1:9" x14ac:dyDescent="0.25">
      <c r="A533">
        <v>2025</v>
      </c>
      <c r="B533" t="s">
        <v>1063</v>
      </c>
      <c r="C533" s="1">
        <v>45999</v>
      </c>
      <c r="D533" t="s">
        <v>1064</v>
      </c>
      <c r="E533">
        <v>121</v>
      </c>
      <c r="G533" s="3">
        <f>MONTH(Tabela1[[#This Row],[Último pagto ano]])</f>
        <v>12</v>
      </c>
      <c r="H533" t="str">
        <f>TEXT(Tabela1[[#This Row],[Coluna2]]*29,"mmmm")</f>
        <v>dezembro</v>
      </c>
      <c r="I533" t="str">
        <f>TEXT(MONTH(Tabela1[[#This Row],[Último pagto ano]])*29,"mmmm")</f>
        <v>dezembro</v>
      </c>
    </row>
    <row r="534" spans="1:9" x14ac:dyDescent="0.25">
      <c r="A534">
        <v>2025</v>
      </c>
      <c r="B534" t="s">
        <v>1065</v>
      </c>
      <c r="C534" s="1">
        <v>45936</v>
      </c>
      <c r="D534" t="s">
        <v>1066</v>
      </c>
      <c r="E534">
        <v>218.8</v>
      </c>
      <c r="G534" s="3">
        <f>MONTH(Tabela1[[#This Row],[Último pagto ano]])</f>
        <v>10</v>
      </c>
      <c r="H534" t="str">
        <f>TEXT(Tabela1[[#This Row],[Coluna2]]*29,"mmmm")</f>
        <v>outubro</v>
      </c>
      <c r="I534" t="str">
        <f>TEXT(MONTH(Tabela1[[#This Row],[Último pagto ano]])*29,"mmmm")</f>
        <v>outubro</v>
      </c>
    </row>
    <row r="535" spans="1:9" x14ac:dyDescent="0.25">
      <c r="A535">
        <v>2025</v>
      </c>
      <c r="B535" t="s">
        <v>1067</v>
      </c>
      <c r="C535" s="1">
        <v>46021</v>
      </c>
      <c r="D535" t="s">
        <v>1068</v>
      </c>
      <c r="E535" s="2">
        <v>12758.43</v>
      </c>
      <c r="G535" s="3">
        <f>MONTH(Tabela1[[#This Row],[Último pagto ano]])</f>
        <v>12</v>
      </c>
      <c r="H535" t="str">
        <f>TEXT(Tabela1[[#This Row],[Coluna2]]*29,"mmmm")</f>
        <v>dezembro</v>
      </c>
      <c r="I535" t="str">
        <f>TEXT(MONTH(Tabela1[[#This Row],[Último pagto ano]])*29,"mmmm")</f>
        <v>dezembro</v>
      </c>
    </row>
    <row r="536" spans="1:9" x14ac:dyDescent="0.25">
      <c r="A536">
        <v>2025</v>
      </c>
      <c r="B536" t="s">
        <v>1069</v>
      </c>
      <c r="C536" s="1">
        <v>45996</v>
      </c>
      <c r="D536" t="s">
        <v>1070</v>
      </c>
      <c r="E536">
        <v>520</v>
      </c>
      <c r="G536" s="3">
        <f>MONTH(Tabela1[[#This Row],[Último pagto ano]])</f>
        <v>12</v>
      </c>
      <c r="H536" t="str">
        <f>TEXT(Tabela1[[#This Row],[Coluna2]]*29,"mmmm")</f>
        <v>dezembro</v>
      </c>
      <c r="I536" t="str">
        <f>TEXT(MONTH(Tabela1[[#This Row],[Último pagto ano]])*29,"mmmm")</f>
        <v>dezembro</v>
      </c>
    </row>
    <row r="537" spans="1:9" x14ac:dyDescent="0.25">
      <c r="A537">
        <v>2025</v>
      </c>
      <c r="B537" t="s">
        <v>1071</v>
      </c>
      <c r="C537" s="1">
        <v>45673</v>
      </c>
      <c r="D537" t="s">
        <v>1072</v>
      </c>
      <c r="E537">
        <v>500</v>
      </c>
      <c r="G537" s="3">
        <f>MONTH(Tabela1[[#This Row],[Último pagto ano]])</f>
        <v>1</v>
      </c>
      <c r="H537" t="str">
        <f>TEXT(Tabela1[[#This Row],[Coluna2]]*29,"mmmm")</f>
        <v>janeiro</v>
      </c>
      <c r="I537" t="str">
        <f>TEXT(MONTH(Tabela1[[#This Row],[Último pagto ano]])*29,"mmmm")</f>
        <v>janeiro</v>
      </c>
    </row>
    <row r="538" spans="1:9" x14ac:dyDescent="0.25">
      <c r="A538">
        <v>2025</v>
      </c>
      <c r="B538" t="s">
        <v>1073</v>
      </c>
      <c r="C538" s="1">
        <v>46006</v>
      </c>
      <c r="D538" t="s">
        <v>1074</v>
      </c>
      <c r="E538">
        <v>33</v>
      </c>
      <c r="G538" s="3">
        <f>MONTH(Tabela1[[#This Row],[Último pagto ano]])</f>
        <v>12</v>
      </c>
      <c r="H538" t="str">
        <f>TEXT(Tabela1[[#This Row],[Coluna2]]*29,"mmmm")</f>
        <v>dezembro</v>
      </c>
      <c r="I538" t="str">
        <f>TEXT(MONTH(Tabela1[[#This Row],[Último pagto ano]])*29,"mmmm")</f>
        <v>dezembro</v>
      </c>
    </row>
    <row r="539" spans="1:9" x14ac:dyDescent="0.25">
      <c r="A539">
        <v>2025</v>
      </c>
      <c r="B539" t="s">
        <v>1075</v>
      </c>
      <c r="C539" s="1">
        <v>45883</v>
      </c>
      <c r="D539" t="s">
        <v>1076</v>
      </c>
      <c r="E539">
        <v>43.38</v>
      </c>
      <c r="G539" s="3">
        <f>MONTH(Tabela1[[#This Row],[Último pagto ano]])</f>
        <v>8</v>
      </c>
      <c r="H539" t="str">
        <f>TEXT(Tabela1[[#This Row],[Coluna2]]*29,"mmmm")</f>
        <v>agosto</v>
      </c>
      <c r="I539" t="str">
        <f>TEXT(MONTH(Tabela1[[#This Row],[Último pagto ano]])*29,"mmmm")</f>
        <v>agosto</v>
      </c>
    </row>
    <row r="540" spans="1:9" x14ac:dyDescent="0.25">
      <c r="A540">
        <v>2025</v>
      </c>
      <c r="B540" t="s">
        <v>1077</v>
      </c>
      <c r="C540" s="1">
        <v>45831</v>
      </c>
      <c r="D540" t="s">
        <v>1078</v>
      </c>
      <c r="E540" s="2">
        <v>3585.39</v>
      </c>
      <c r="G540" s="3">
        <f>MONTH(Tabela1[[#This Row],[Último pagto ano]])</f>
        <v>6</v>
      </c>
      <c r="H540" t="str">
        <f>TEXT(Tabela1[[#This Row],[Coluna2]]*29,"mmmm")</f>
        <v>junho</v>
      </c>
      <c r="I540" t="str">
        <f>TEXT(MONTH(Tabela1[[#This Row],[Último pagto ano]])*29,"mmmm")</f>
        <v>junho</v>
      </c>
    </row>
    <row r="541" spans="1:9" x14ac:dyDescent="0.25">
      <c r="A541">
        <v>2025</v>
      </c>
      <c r="B541" t="s">
        <v>1079</v>
      </c>
      <c r="C541" s="1">
        <v>45758</v>
      </c>
      <c r="D541" t="s">
        <v>1080</v>
      </c>
      <c r="E541">
        <v>54.08</v>
      </c>
      <c r="G541" s="3">
        <f>MONTH(Tabela1[[#This Row],[Último pagto ano]])</f>
        <v>4</v>
      </c>
      <c r="H541" t="str">
        <f>TEXT(Tabela1[[#This Row],[Coluna2]]*29,"mmmm")</f>
        <v>abril</v>
      </c>
      <c r="I541" t="str">
        <f>TEXT(MONTH(Tabela1[[#This Row],[Último pagto ano]])*29,"mmmm")</f>
        <v>abril</v>
      </c>
    </row>
    <row r="542" spans="1:9" x14ac:dyDescent="0.25">
      <c r="A542">
        <v>2025</v>
      </c>
      <c r="B542" t="s">
        <v>1081</v>
      </c>
      <c r="C542" s="1">
        <v>45835</v>
      </c>
      <c r="D542" t="s">
        <v>1082</v>
      </c>
      <c r="E542">
        <v>66</v>
      </c>
      <c r="G542" s="3">
        <f>MONTH(Tabela1[[#This Row],[Último pagto ano]])</f>
        <v>6</v>
      </c>
      <c r="H542" t="str">
        <f>TEXT(Tabela1[[#This Row],[Coluna2]]*29,"mmmm")</f>
        <v>junho</v>
      </c>
      <c r="I542" t="str">
        <f>TEXT(MONTH(Tabela1[[#This Row],[Último pagto ano]])*29,"mmmm")</f>
        <v>junho</v>
      </c>
    </row>
    <row r="543" spans="1:9" x14ac:dyDescent="0.25">
      <c r="A543">
        <v>2025</v>
      </c>
      <c r="B543" t="s">
        <v>1083</v>
      </c>
      <c r="C543" s="1">
        <v>45996</v>
      </c>
      <c r="D543" t="s">
        <v>1084</v>
      </c>
      <c r="E543">
        <v>800</v>
      </c>
      <c r="G543" s="3">
        <f>MONTH(Tabela1[[#This Row],[Último pagto ano]])</f>
        <v>12</v>
      </c>
      <c r="H543" t="str">
        <f>TEXT(Tabela1[[#This Row],[Coluna2]]*29,"mmmm")</f>
        <v>dezembro</v>
      </c>
      <c r="I543" t="str">
        <f>TEXT(MONTH(Tabela1[[#This Row],[Último pagto ano]])*29,"mmmm")</f>
        <v>dezembro</v>
      </c>
    </row>
    <row r="544" spans="1:9" x14ac:dyDescent="0.25">
      <c r="A544">
        <v>2025</v>
      </c>
      <c r="B544" t="s">
        <v>1085</v>
      </c>
      <c r="C544" s="1">
        <v>46021</v>
      </c>
      <c r="D544" t="s">
        <v>1086</v>
      </c>
      <c r="E544" s="2">
        <v>6066.44</v>
      </c>
      <c r="G544" s="3">
        <f>MONTH(Tabela1[[#This Row],[Último pagto ano]])</f>
        <v>12</v>
      </c>
      <c r="H544" t="str">
        <f>TEXT(Tabela1[[#This Row],[Coluna2]]*29,"mmmm")</f>
        <v>dezembro</v>
      </c>
      <c r="I544" t="str">
        <f>TEXT(MONTH(Tabela1[[#This Row],[Último pagto ano]])*29,"mmmm")</f>
        <v>dezembro</v>
      </c>
    </row>
    <row r="545" spans="1:9" x14ac:dyDescent="0.25">
      <c r="A545">
        <v>2025</v>
      </c>
      <c r="B545" t="s">
        <v>1087</v>
      </c>
      <c r="C545" s="1">
        <v>45989</v>
      </c>
      <c r="D545" t="s">
        <v>1088</v>
      </c>
      <c r="E545" s="2">
        <v>11650.88</v>
      </c>
      <c r="G545" s="3">
        <f>MONTH(Tabela1[[#This Row],[Último pagto ano]])</f>
        <v>11</v>
      </c>
      <c r="H545" t="str">
        <f>TEXT(Tabela1[[#This Row],[Coluna2]]*29,"mmmm")</f>
        <v>novembro</v>
      </c>
      <c r="I545" t="str">
        <f>TEXT(MONTH(Tabela1[[#This Row],[Último pagto ano]])*29,"mmmm")</f>
        <v>novembro</v>
      </c>
    </row>
    <row r="546" spans="1:9" x14ac:dyDescent="0.25">
      <c r="A546">
        <v>2025</v>
      </c>
      <c r="B546" t="s">
        <v>1089</v>
      </c>
      <c r="C546" s="1">
        <v>45959</v>
      </c>
      <c r="D546" t="s">
        <v>1090</v>
      </c>
      <c r="E546" s="2">
        <v>4200</v>
      </c>
      <c r="G546" s="3">
        <f>MONTH(Tabela1[[#This Row],[Último pagto ano]])</f>
        <v>10</v>
      </c>
      <c r="H546" t="str">
        <f>TEXT(Tabela1[[#This Row],[Coluna2]]*29,"mmmm")</f>
        <v>outubro</v>
      </c>
      <c r="I546" t="str">
        <f>TEXT(MONTH(Tabela1[[#This Row],[Último pagto ano]])*29,"mmmm")</f>
        <v>outubro</v>
      </c>
    </row>
    <row r="547" spans="1:9" x14ac:dyDescent="0.25">
      <c r="A547">
        <v>2025</v>
      </c>
      <c r="B547" t="s">
        <v>1091</v>
      </c>
      <c r="C547" s="1">
        <v>45930</v>
      </c>
      <c r="D547" t="s">
        <v>1092</v>
      </c>
      <c r="E547" s="2">
        <v>4233.95</v>
      </c>
      <c r="G547" s="3">
        <f>MONTH(Tabela1[[#This Row],[Último pagto ano]])</f>
        <v>9</v>
      </c>
      <c r="H547" t="str">
        <f>TEXT(Tabela1[[#This Row],[Coluna2]]*29,"mmmm")</f>
        <v>setembro</v>
      </c>
      <c r="I547" t="str">
        <f>TEXT(MONTH(Tabela1[[#This Row],[Último pagto ano]])*29,"mmmm")</f>
        <v>setembro</v>
      </c>
    </row>
    <row r="548" spans="1:9" x14ac:dyDescent="0.25">
      <c r="A548">
        <v>2025</v>
      </c>
      <c r="B548" t="s">
        <v>1093</v>
      </c>
      <c r="C548" s="1">
        <v>45702</v>
      </c>
      <c r="D548" t="s">
        <v>1094</v>
      </c>
      <c r="E548">
        <v>94.26</v>
      </c>
      <c r="G548" s="3">
        <f>MONTH(Tabela1[[#This Row],[Último pagto ano]])</f>
        <v>2</v>
      </c>
      <c r="H548" t="str">
        <f>TEXT(Tabela1[[#This Row],[Coluna2]]*29,"mmmm")</f>
        <v>fevereiro</v>
      </c>
      <c r="I548" t="str">
        <f>TEXT(MONTH(Tabela1[[#This Row],[Último pagto ano]])*29,"mmmm")</f>
        <v>fevereiro</v>
      </c>
    </row>
    <row r="549" spans="1:9" x14ac:dyDescent="0.25">
      <c r="A549">
        <v>2025</v>
      </c>
      <c r="B549" t="s">
        <v>1095</v>
      </c>
      <c r="C549" s="1">
        <v>45989</v>
      </c>
      <c r="D549" t="s">
        <v>1096</v>
      </c>
      <c r="E549" s="2">
        <v>10958.75</v>
      </c>
      <c r="G549" s="3">
        <f>MONTH(Tabela1[[#This Row],[Último pagto ano]])</f>
        <v>11</v>
      </c>
      <c r="H549" t="str">
        <f>TEXT(Tabela1[[#This Row],[Coluna2]]*29,"mmmm")</f>
        <v>novembro</v>
      </c>
      <c r="I549" t="str">
        <f>TEXT(MONTH(Tabela1[[#This Row],[Último pagto ano]])*29,"mmmm")</f>
        <v>novembro</v>
      </c>
    </row>
    <row r="550" spans="1:9" x14ac:dyDescent="0.25">
      <c r="A550">
        <v>2025</v>
      </c>
      <c r="B550" t="s">
        <v>1097</v>
      </c>
      <c r="C550" s="1">
        <v>45702</v>
      </c>
      <c r="D550" t="s">
        <v>1098</v>
      </c>
      <c r="E550">
        <v>30.4</v>
      </c>
      <c r="G550" s="3">
        <f>MONTH(Tabela1[[#This Row],[Último pagto ano]])</f>
        <v>2</v>
      </c>
      <c r="H550" t="str">
        <f>TEXT(Tabela1[[#This Row],[Coluna2]]*29,"mmmm")</f>
        <v>fevereiro</v>
      </c>
      <c r="I550" t="str">
        <f>TEXT(MONTH(Tabela1[[#This Row],[Último pagto ano]])*29,"mmmm")</f>
        <v>fevereiro</v>
      </c>
    </row>
    <row r="551" spans="1:9" x14ac:dyDescent="0.25">
      <c r="A551">
        <v>2025</v>
      </c>
      <c r="B551" t="s">
        <v>1099</v>
      </c>
      <c r="C551" s="1">
        <v>45841</v>
      </c>
      <c r="D551" t="s">
        <v>1100</v>
      </c>
      <c r="E551" s="2">
        <v>5816.4</v>
      </c>
      <c r="G551" s="3">
        <f>MONTH(Tabela1[[#This Row],[Último pagto ano]])</f>
        <v>7</v>
      </c>
      <c r="H551" t="str">
        <f>TEXT(Tabela1[[#This Row],[Coluna2]]*29,"mmmm")</f>
        <v>julho</v>
      </c>
      <c r="I551" t="str">
        <f>TEXT(MONTH(Tabela1[[#This Row],[Último pagto ano]])*29,"mmmm")</f>
        <v>julho</v>
      </c>
    </row>
    <row r="552" spans="1:9" x14ac:dyDescent="0.25">
      <c r="A552">
        <v>2025</v>
      </c>
      <c r="B552" t="s">
        <v>1101</v>
      </c>
      <c r="C552" s="1">
        <v>45880</v>
      </c>
      <c r="D552" t="s">
        <v>1102</v>
      </c>
      <c r="E552">
        <v>51.19</v>
      </c>
      <c r="G552" s="3">
        <f>MONTH(Tabela1[[#This Row],[Último pagto ano]])</f>
        <v>8</v>
      </c>
      <c r="H552" t="str">
        <f>TEXT(Tabela1[[#This Row],[Coluna2]]*29,"mmmm")</f>
        <v>agosto</v>
      </c>
      <c r="I552" t="str">
        <f>TEXT(MONTH(Tabela1[[#This Row],[Último pagto ano]])*29,"mmmm")</f>
        <v>agosto</v>
      </c>
    </row>
    <row r="553" spans="1:9" x14ac:dyDescent="0.25">
      <c r="A553">
        <v>2025</v>
      </c>
      <c r="B553" t="s">
        <v>1103</v>
      </c>
      <c r="C553" s="1">
        <v>45873</v>
      </c>
      <c r="D553" t="s">
        <v>1104</v>
      </c>
      <c r="E553">
        <v>198</v>
      </c>
      <c r="G553" s="3">
        <f>MONTH(Tabela1[[#This Row],[Último pagto ano]])</f>
        <v>8</v>
      </c>
      <c r="H553" t="str">
        <f>TEXT(Tabela1[[#This Row],[Coluna2]]*29,"mmmm")</f>
        <v>agosto</v>
      </c>
      <c r="I553" t="str">
        <f>TEXT(MONTH(Tabela1[[#This Row],[Último pagto ano]])*29,"mmmm")</f>
        <v>agosto</v>
      </c>
    </row>
    <row r="554" spans="1:9" x14ac:dyDescent="0.25">
      <c r="A554">
        <v>2025</v>
      </c>
      <c r="B554" t="s">
        <v>1105</v>
      </c>
      <c r="C554" s="1">
        <v>45995</v>
      </c>
      <c r="D554" t="s">
        <v>1106</v>
      </c>
      <c r="E554">
        <v>385</v>
      </c>
      <c r="G554" s="3">
        <f>MONTH(Tabela1[[#This Row],[Último pagto ano]])</f>
        <v>12</v>
      </c>
      <c r="H554" t="str">
        <f>TEXT(Tabela1[[#This Row],[Coluna2]]*29,"mmmm")</f>
        <v>dezembro</v>
      </c>
      <c r="I554" t="str">
        <f>TEXT(MONTH(Tabela1[[#This Row],[Último pagto ano]])*29,"mmmm")</f>
        <v>dezembro</v>
      </c>
    </row>
    <row r="555" spans="1:9" x14ac:dyDescent="0.25">
      <c r="A555">
        <v>2025</v>
      </c>
      <c r="B555" t="s">
        <v>1107</v>
      </c>
      <c r="C555" s="1">
        <v>45796</v>
      </c>
      <c r="D555" t="s">
        <v>1108</v>
      </c>
      <c r="E555" s="2">
        <v>4196.46</v>
      </c>
      <c r="G555" s="3">
        <f>MONTH(Tabela1[[#This Row],[Último pagto ano]])</f>
        <v>5</v>
      </c>
      <c r="H555" t="str">
        <f>TEXT(Tabela1[[#This Row],[Coluna2]]*29,"mmmm")</f>
        <v>maio</v>
      </c>
      <c r="I555" t="str">
        <f>TEXT(MONTH(Tabela1[[#This Row],[Último pagto ano]])*29,"mmmm")</f>
        <v>maio</v>
      </c>
    </row>
    <row r="556" spans="1:9" x14ac:dyDescent="0.25">
      <c r="A556">
        <v>2025</v>
      </c>
      <c r="B556" t="s">
        <v>1109</v>
      </c>
      <c r="C556" s="1">
        <v>45831</v>
      </c>
      <c r="D556" t="s">
        <v>1110</v>
      </c>
      <c r="E556">
        <v>141.56</v>
      </c>
      <c r="G556" s="3">
        <f>MONTH(Tabela1[[#This Row],[Último pagto ano]])</f>
        <v>6</v>
      </c>
      <c r="H556" t="str">
        <f>TEXT(Tabela1[[#This Row],[Coluna2]]*29,"mmmm")</f>
        <v>junho</v>
      </c>
      <c r="I556" t="str">
        <f>TEXT(MONTH(Tabela1[[#This Row],[Último pagto ano]])*29,"mmmm")</f>
        <v>junho</v>
      </c>
    </row>
    <row r="557" spans="1:9" x14ac:dyDescent="0.25">
      <c r="A557">
        <v>2025</v>
      </c>
      <c r="B557" t="s">
        <v>1111</v>
      </c>
      <c r="C557" s="1">
        <v>46007</v>
      </c>
      <c r="D557" t="s">
        <v>1112</v>
      </c>
      <c r="E557" s="2">
        <v>113639.2</v>
      </c>
      <c r="G557" s="3">
        <f>MONTH(Tabela1[[#This Row],[Último pagto ano]])</f>
        <v>12</v>
      </c>
      <c r="H557" t="str">
        <f>TEXT(Tabela1[[#This Row],[Coluna2]]*29,"mmmm")</f>
        <v>dezembro</v>
      </c>
      <c r="I557" t="str">
        <f>TEXT(MONTH(Tabela1[[#This Row],[Último pagto ano]])*29,"mmmm")</f>
        <v>dezembro</v>
      </c>
    </row>
    <row r="558" spans="1:9" x14ac:dyDescent="0.25">
      <c r="A558">
        <v>2025</v>
      </c>
      <c r="B558" t="s">
        <v>1113</v>
      </c>
      <c r="C558" s="1">
        <v>46014</v>
      </c>
      <c r="D558" t="s">
        <v>1114</v>
      </c>
      <c r="E558">
        <v>22</v>
      </c>
      <c r="G558" s="3">
        <f>MONTH(Tabela1[[#This Row],[Último pagto ano]])</f>
        <v>12</v>
      </c>
      <c r="H558" t="str">
        <f>TEXT(Tabela1[[#This Row],[Coluna2]]*29,"mmmm")</f>
        <v>dezembro</v>
      </c>
      <c r="I558" t="str">
        <f>TEXT(MONTH(Tabela1[[#This Row],[Último pagto ano]])*29,"mmmm")</f>
        <v>dezembro</v>
      </c>
    </row>
    <row r="559" spans="1:9" x14ac:dyDescent="0.25">
      <c r="A559">
        <v>2025</v>
      </c>
      <c r="B559" t="s">
        <v>1115</v>
      </c>
      <c r="C559" s="1">
        <v>45999</v>
      </c>
      <c r="D559" t="s">
        <v>1116</v>
      </c>
      <c r="E559">
        <v>790.66</v>
      </c>
      <c r="G559" s="3">
        <f>MONTH(Tabela1[[#This Row],[Último pagto ano]])</f>
        <v>12</v>
      </c>
      <c r="H559" t="str">
        <f>TEXT(Tabela1[[#This Row],[Coluna2]]*29,"mmmm")</f>
        <v>dezembro</v>
      </c>
      <c r="I559" t="str">
        <f>TEXT(MONTH(Tabela1[[#This Row],[Último pagto ano]])*29,"mmmm")</f>
        <v>dezembro</v>
      </c>
    </row>
    <row r="560" spans="1:9" x14ac:dyDescent="0.25">
      <c r="A560">
        <v>2025</v>
      </c>
      <c r="B560" t="s">
        <v>1117</v>
      </c>
      <c r="C560" s="1">
        <v>45859</v>
      </c>
      <c r="D560" t="s">
        <v>1118</v>
      </c>
      <c r="E560" s="2">
        <v>3059.2</v>
      </c>
      <c r="G560" s="3">
        <f>MONTH(Tabela1[[#This Row],[Último pagto ano]])</f>
        <v>7</v>
      </c>
      <c r="H560" t="str">
        <f>TEXT(Tabela1[[#This Row],[Coluna2]]*29,"mmmm")</f>
        <v>julho</v>
      </c>
      <c r="I560" t="str">
        <f>TEXT(MONTH(Tabela1[[#This Row],[Último pagto ano]])*29,"mmmm")</f>
        <v>julho</v>
      </c>
    </row>
    <row r="561" spans="1:9" x14ac:dyDescent="0.25">
      <c r="A561">
        <v>2025</v>
      </c>
      <c r="B561" t="s">
        <v>1119</v>
      </c>
      <c r="C561" s="1">
        <v>45744</v>
      </c>
      <c r="D561" t="s">
        <v>1120</v>
      </c>
      <c r="E561" s="2">
        <v>66625.7</v>
      </c>
      <c r="G561" s="3">
        <f>MONTH(Tabela1[[#This Row],[Último pagto ano]])</f>
        <v>3</v>
      </c>
      <c r="H561" t="str">
        <f>TEXT(Tabela1[[#This Row],[Coluna2]]*29,"mmmm")</f>
        <v>março</v>
      </c>
      <c r="I561" t="str">
        <f>TEXT(MONTH(Tabela1[[#This Row],[Último pagto ano]])*29,"mmmm")</f>
        <v>março</v>
      </c>
    </row>
    <row r="562" spans="1:9" x14ac:dyDescent="0.25">
      <c r="A562">
        <v>2025</v>
      </c>
      <c r="B562" t="s">
        <v>1121</v>
      </c>
      <c r="C562" s="1">
        <v>45996</v>
      </c>
      <c r="D562" t="s">
        <v>1122</v>
      </c>
      <c r="E562" s="2">
        <v>67610</v>
      </c>
      <c r="G562" s="3">
        <f>MONTH(Tabela1[[#This Row],[Último pagto ano]])</f>
        <v>12</v>
      </c>
      <c r="H562" t="str">
        <f>TEXT(Tabela1[[#This Row],[Coluna2]]*29,"mmmm")</f>
        <v>dezembro</v>
      </c>
      <c r="I562" t="str">
        <f>TEXT(MONTH(Tabela1[[#This Row],[Último pagto ano]])*29,"mmmm")</f>
        <v>dezembro</v>
      </c>
    </row>
    <row r="563" spans="1:9" x14ac:dyDescent="0.25">
      <c r="A563">
        <v>2025</v>
      </c>
      <c r="B563" t="s">
        <v>1123</v>
      </c>
      <c r="C563" s="1">
        <v>45994</v>
      </c>
      <c r="D563" t="s">
        <v>1124</v>
      </c>
      <c r="E563" s="2">
        <v>55880.639999999999</v>
      </c>
      <c r="G563" s="3">
        <f>MONTH(Tabela1[[#This Row],[Último pagto ano]])</f>
        <v>12</v>
      </c>
      <c r="H563" t="str">
        <f>TEXT(Tabela1[[#This Row],[Coluna2]]*29,"mmmm")</f>
        <v>dezembro</v>
      </c>
      <c r="I563" t="str">
        <f>TEXT(MONTH(Tabela1[[#This Row],[Último pagto ano]])*29,"mmmm")</f>
        <v>dezembro</v>
      </c>
    </row>
    <row r="564" spans="1:9" x14ac:dyDescent="0.25">
      <c r="A564">
        <v>2025</v>
      </c>
      <c r="B564" t="s">
        <v>1125</v>
      </c>
      <c r="C564" s="1">
        <v>45915</v>
      </c>
      <c r="D564" t="s">
        <v>1126</v>
      </c>
      <c r="E564">
        <v>327.60000000000002</v>
      </c>
      <c r="G564" s="3">
        <f>MONTH(Tabela1[[#This Row],[Último pagto ano]])</f>
        <v>9</v>
      </c>
      <c r="H564" t="str">
        <f>TEXT(Tabela1[[#This Row],[Coluna2]]*29,"mmmm")</f>
        <v>setembro</v>
      </c>
      <c r="I564" t="str">
        <f>TEXT(MONTH(Tabela1[[#This Row],[Último pagto ano]])*29,"mmmm")</f>
        <v>setembro</v>
      </c>
    </row>
    <row r="565" spans="1:9" x14ac:dyDescent="0.25">
      <c r="A565">
        <v>2025</v>
      </c>
      <c r="B565" t="s">
        <v>1127</v>
      </c>
      <c r="C565" s="1">
        <v>45968</v>
      </c>
      <c r="D565" t="s">
        <v>1128</v>
      </c>
      <c r="E565" s="2">
        <v>6000</v>
      </c>
      <c r="G565" s="3">
        <f>MONTH(Tabela1[[#This Row],[Último pagto ano]])</f>
        <v>11</v>
      </c>
      <c r="H565" t="str">
        <f>TEXT(Tabela1[[#This Row],[Coluna2]]*29,"mmmm")</f>
        <v>novembro</v>
      </c>
      <c r="I565" t="str">
        <f>TEXT(MONTH(Tabela1[[#This Row],[Último pagto ano]])*29,"mmmm")</f>
        <v>novembro</v>
      </c>
    </row>
    <row r="566" spans="1:9" x14ac:dyDescent="0.25">
      <c r="A566">
        <v>2025</v>
      </c>
      <c r="B566" t="s">
        <v>1129</v>
      </c>
      <c r="C566" s="1">
        <v>45762</v>
      </c>
      <c r="D566" t="s">
        <v>1130</v>
      </c>
      <c r="E566" s="2">
        <v>2800</v>
      </c>
      <c r="G566" s="3">
        <f>MONTH(Tabela1[[#This Row],[Último pagto ano]])</f>
        <v>4</v>
      </c>
      <c r="H566" t="str">
        <f>TEXT(Tabela1[[#This Row],[Coluna2]]*29,"mmmm")</f>
        <v>abril</v>
      </c>
      <c r="I566" t="str">
        <f>TEXT(MONTH(Tabela1[[#This Row],[Último pagto ano]])*29,"mmmm")</f>
        <v>abril</v>
      </c>
    </row>
    <row r="567" spans="1:9" x14ac:dyDescent="0.25">
      <c r="A567">
        <v>2025</v>
      </c>
      <c r="B567" t="s">
        <v>1131</v>
      </c>
      <c r="C567" s="1">
        <v>46013</v>
      </c>
      <c r="D567" t="s">
        <v>1132</v>
      </c>
      <c r="E567" s="2">
        <v>10338.9</v>
      </c>
      <c r="G567" s="3">
        <f>MONTH(Tabela1[[#This Row],[Último pagto ano]])</f>
        <v>12</v>
      </c>
      <c r="H567" t="str">
        <f>TEXT(Tabela1[[#This Row],[Coluna2]]*29,"mmmm")</f>
        <v>dezembro</v>
      </c>
      <c r="I567" t="str">
        <f>TEXT(MONTH(Tabela1[[#This Row],[Último pagto ano]])*29,"mmmm")</f>
        <v>dezembro</v>
      </c>
    </row>
    <row r="568" spans="1:9" x14ac:dyDescent="0.25">
      <c r="A568">
        <v>2025</v>
      </c>
      <c r="B568" t="s">
        <v>1133</v>
      </c>
      <c r="C568" s="1">
        <v>46014</v>
      </c>
      <c r="D568" t="s">
        <v>1134</v>
      </c>
      <c r="E568">
        <v>22</v>
      </c>
      <c r="G568" s="3">
        <f>MONTH(Tabela1[[#This Row],[Último pagto ano]])</f>
        <v>12</v>
      </c>
      <c r="H568" t="str">
        <f>TEXT(Tabela1[[#This Row],[Coluna2]]*29,"mmmm")</f>
        <v>dezembro</v>
      </c>
      <c r="I568" t="str">
        <f>TEXT(MONTH(Tabela1[[#This Row],[Último pagto ano]])*29,"mmmm")</f>
        <v>dezembro</v>
      </c>
    </row>
    <row r="569" spans="1:9" x14ac:dyDescent="0.25">
      <c r="A569">
        <v>2025</v>
      </c>
      <c r="B569" t="s">
        <v>1135</v>
      </c>
      <c r="C569" s="1">
        <v>45681</v>
      </c>
      <c r="D569" t="s">
        <v>1136</v>
      </c>
      <c r="E569">
        <v>700</v>
      </c>
      <c r="G569" s="3">
        <f>MONTH(Tabela1[[#This Row],[Último pagto ano]])</f>
        <v>1</v>
      </c>
      <c r="H569" t="str">
        <f>TEXT(Tabela1[[#This Row],[Coluna2]]*29,"mmmm")</f>
        <v>janeiro</v>
      </c>
      <c r="I569" t="str">
        <f>TEXT(MONTH(Tabela1[[#This Row],[Último pagto ano]])*29,"mmmm")</f>
        <v>janeiro</v>
      </c>
    </row>
    <row r="570" spans="1:9" x14ac:dyDescent="0.25">
      <c r="A570">
        <v>2025</v>
      </c>
      <c r="B570" t="s">
        <v>1137</v>
      </c>
      <c r="C570" s="1">
        <v>46013</v>
      </c>
      <c r="D570" t="s">
        <v>1138</v>
      </c>
      <c r="E570" s="2">
        <v>7043.1</v>
      </c>
      <c r="G570" s="3">
        <f>MONTH(Tabela1[[#This Row],[Último pagto ano]])</f>
        <v>12</v>
      </c>
      <c r="H570" t="str">
        <f>TEXT(Tabela1[[#This Row],[Coluna2]]*29,"mmmm")</f>
        <v>dezembro</v>
      </c>
      <c r="I570" t="str">
        <f>TEXT(MONTH(Tabela1[[#This Row],[Último pagto ano]])*29,"mmmm")</f>
        <v>dezembro</v>
      </c>
    </row>
    <row r="571" spans="1:9" x14ac:dyDescent="0.25">
      <c r="A571">
        <v>2025</v>
      </c>
      <c r="B571" t="s">
        <v>1139</v>
      </c>
      <c r="C571" s="1">
        <v>45996</v>
      </c>
      <c r="D571" t="s">
        <v>1140</v>
      </c>
      <c r="E571" s="2">
        <v>8400</v>
      </c>
      <c r="G571" s="3">
        <f>MONTH(Tabela1[[#This Row],[Último pagto ano]])</f>
        <v>12</v>
      </c>
      <c r="H571" t="str">
        <f>TEXT(Tabela1[[#This Row],[Coluna2]]*29,"mmmm")</f>
        <v>dezembro</v>
      </c>
      <c r="I571" t="str">
        <f>TEXT(MONTH(Tabela1[[#This Row],[Último pagto ano]])*29,"mmmm")</f>
        <v>dezembro</v>
      </c>
    </row>
    <row r="572" spans="1:9" x14ac:dyDescent="0.25">
      <c r="A572">
        <v>2025</v>
      </c>
      <c r="B572" t="s">
        <v>1141</v>
      </c>
      <c r="C572" s="1">
        <v>45989</v>
      </c>
      <c r="D572" t="s">
        <v>1142</v>
      </c>
      <c r="E572" s="2">
        <v>11612.3</v>
      </c>
      <c r="G572" s="3">
        <f>MONTH(Tabela1[[#This Row],[Último pagto ano]])</f>
        <v>11</v>
      </c>
      <c r="H572" t="str">
        <f>TEXT(Tabela1[[#This Row],[Coluna2]]*29,"mmmm")</f>
        <v>novembro</v>
      </c>
      <c r="I572" t="str">
        <f>TEXT(MONTH(Tabela1[[#This Row],[Último pagto ano]])*29,"mmmm")</f>
        <v>novembro</v>
      </c>
    </row>
    <row r="573" spans="1:9" x14ac:dyDescent="0.25">
      <c r="A573">
        <v>2025</v>
      </c>
      <c r="B573" t="s">
        <v>1143</v>
      </c>
      <c r="C573" s="1">
        <v>45705</v>
      </c>
      <c r="D573" t="s">
        <v>1144</v>
      </c>
      <c r="E573" s="2">
        <v>2316.16</v>
      </c>
      <c r="G573" s="3">
        <f>MONTH(Tabela1[[#This Row],[Último pagto ano]])</f>
        <v>2</v>
      </c>
      <c r="H573" t="str">
        <f>TEXT(Tabela1[[#This Row],[Coluna2]]*29,"mmmm")</f>
        <v>fevereiro</v>
      </c>
      <c r="I573" t="str">
        <f>TEXT(MONTH(Tabela1[[#This Row],[Último pagto ano]])*29,"mmmm")</f>
        <v>fevereiro</v>
      </c>
    </row>
    <row r="574" spans="1:9" x14ac:dyDescent="0.25">
      <c r="A574">
        <v>2025</v>
      </c>
      <c r="B574" t="s">
        <v>1145</v>
      </c>
      <c r="C574" s="1">
        <v>45876</v>
      </c>
      <c r="D574" t="s">
        <v>1146</v>
      </c>
      <c r="E574" s="2">
        <v>1996.27</v>
      </c>
      <c r="G574" s="3">
        <f>MONTH(Tabela1[[#This Row],[Último pagto ano]])</f>
        <v>8</v>
      </c>
      <c r="H574" t="str">
        <f>TEXT(Tabela1[[#This Row],[Coluna2]]*29,"mmmm")</f>
        <v>agosto</v>
      </c>
      <c r="I574" t="str">
        <f>TEXT(MONTH(Tabela1[[#This Row],[Último pagto ano]])*29,"mmmm")</f>
        <v>agosto</v>
      </c>
    </row>
    <row r="575" spans="1:9" x14ac:dyDescent="0.25">
      <c r="A575">
        <v>2025</v>
      </c>
      <c r="B575" t="s">
        <v>1147</v>
      </c>
      <c r="C575" s="1">
        <v>45744</v>
      </c>
      <c r="D575" t="s">
        <v>1148</v>
      </c>
      <c r="E575" s="2">
        <v>37741.32</v>
      </c>
      <c r="G575" s="3">
        <f>MONTH(Tabela1[[#This Row],[Último pagto ano]])</f>
        <v>3</v>
      </c>
      <c r="H575" t="str">
        <f>TEXT(Tabela1[[#This Row],[Coluna2]]*29,"mmmm")</f>
        <v>março</v>
      </c>
      <c r="I575" t="str">
        <f>TEXT(MONTH(Tabela1[[#This Row],[Último pagto ano]])*29,"mmmm")</f>
        <v>março</v>
      </c>
    </row>
    <row r="576" spans="1:9" x14ac:dyDescent="0.25">
      <c r="A576">
        <v>2025</v>
      </c>
      <c r="B576" t="s">
        <v>1149</v>
      </c>
      <c r="C576" s="1">
        <v>46006</v>
      </c>
      <c r="D576" t="s">
        <v>1150</v>
      </c>
      <c r="E576">
        <v>592.32000000000005</v>
      </c>
      <c r="G576" s="3">
        <f>MONTH(Tabela1[[#This Row],[Último pagto ano]])</f>
        <v>12</v>
      </c>
      <c r="H576" t="str">
        <f>TEXT(Tabela1[[#This Row],[Coluna2]]*29,"mmmm")</f>
        <v>dezembro</v>
      </c>
      <c r="I576" t="str">
        <f>TEXT(MONTH(Tabela1[[#This Row],[Último pagto ano]])*29,"mmmm")</f>
        <v>dezembro</v>
      </c>
    </row>
    <row r="577" spans="1:9" x14ac:dyDescent="0.25">
      <c r="A577">
        <v>2025</v>
      </c>
      <c r="B577" t="s">
        <v>1151</v>
      </c>
      <c r="C577" s="1">
        <v>46010</v>
      </c>
      <c r="D577" t="s">
        <v>1152</v>
      </c>
      <c r="E577" s="2">
        <v>8400</v>
      </c>
      <c r="G577" s="3">
        <f>MONTH(Tabela1[[#This Row],[Último pagto ano]])</f>
        <v>12</v>
      </c>
      <c r="H577" t="str">
        <f>TEXT(Tabela1[[#This Row],[Coluna2]]*29,"mmmm")</f>
        <v>dezembro</v>
      </c>
      <c r="I577" t="str">
        <f>TEXT(MONTH(Tabela1[[#This Row],[Último pagto ano]])*29,"mmmm")</f>
        <v>dezembro</v>
      </c>
    </row>
    <row r="578" spans="1:9" x14ac:dyDescent="0.25">
      <c r="A578">
        <v>2025</v>
      </c>
      <c r="B578" t="s">
        <v>1153</v>
      </c>
      <c r="C578" s="1">
        <v>45996</v>
      </c>
      <c r="D578" t="s">
        <v>1154</v>
      </c>
      <c r="E578" s="2">
        <v>115086.3</v>
      </c>
      <c r="G578" s="3">
        <f>MONTH(Tabela1[[#This Row],[Último pagto ano]])</f>
        <v>12</v>
      </c>
      <c r="H578" t="str">
        <f>TEXT(Tabela1[[#This Row],[Coluna2]]*29,"mmmm")</f>
        <v>dezembro</v>
      </c>
      <c r="I578" t="str">
        <f>TEXT(MONTH(Tabela1[[#This Row],[Último pagto ano]])*29,"mmmm")</f>
        <v>dezembro</v>
      </c>
    </row>
    <row r="579" spans="1:9" x14ac:dyDescent="0.25">
      <c r="A579">
        <v>2025</v>
      </c>
      <c r="B579" t="s">
        <v>1155</v>
      </c>
      <c r="C579" s="1">
        <v>45985</v>
      </c>
      <c r="D579" t="s">
        <v>1156</v>
      </c>
      <c r="E579" s="2">
        <v>5600</v>
      </c>
      <c r="G579" s="3">
        <f>MONTH(Tabela1[[#This Row],[Último pagto ano]])</f>
        <v>11</v>
      </c>
      <c r="H579" t="str">
        <f>TEXT(Tabela1[[#This Row],[Coluna2]]*29,"mmmm")</f>
        <v>novembro</v>
      </c>
      <c r="I579" t="str">
        <f>TEXT(MONTH(Tabela1[[#This Row],[Último pagto ano]])*29,"mmmm")</f>
        <v>novembro</v>
      </c>
    </row>
    <row r="580" spans="1:9" x14ac:dyDescent="0.25">
      <c r="A580">
        <v>2025</v>
      </c>
      <c r="B580" t="s">
        <v>1157</v>
      </c>
      <c r="C580" s="1">
        <v>45807</v>
      </c>
      <c r="D580" t="s">
        <v>1158</v>
      </c>
      <c r="E580" s="2">
        <v>4776.82</v>
      </c>
      <c r="G580" s="3">
        <f>MONTH(Tabela1[[#This Row],[Último pagto ano]])</f>
        <v>5</v>
      </c>
      <c r="H580" t="str">
        <f>TEXT(Tabela1[[#This Row],[Coluna2]]*29,"mmmm")</f>
        <v>maio</v>
      </c>
      <c r="I580" t="str">
        <f>TEXT(MONTH(Tabela1[[#This Row],[Último pagto ano]])*29,"mmmm")</f>
        <v>maio</v>
      </c>
    </row>
    <row r="581" spans="1:9" x14ac:dyDescent="0.25">
      <c r="A581">
        <v>2025</v>
      </c>
      <c r="B581" t="s">
        <v>1159</v>
      </c>
      <c r="C581" s="1">
        <v>45740</v>
      </c>
      <c r="D581" t="s">
        <v>1160</v>
      </c>
      <c r="E581">
        <v>44</v>
      </c>
      <c r="G581" s="3">
        <f>MONTH(Tabela1[[#This Row],[Último pagto ano]])</f>
        <v>3</v>
      </c>
      <c r="H581" t="str">
        <f>TEXT(Tabela1[[#This Row],[Coluna2]]*29,"mmmm")</f>
        <v>março</v>
      </c>
      <c r="I581" t="str">
        <f>TEXT(MONTH(Tabela1[[#This Row],[Último pagto ano]])*29,"mmmm")</f>
        <v>março</v>
      </c>
    </row>
    <row r="582" spans="1:9" x14ac:dyDescent="0.25">
      <c r="A582">
        <v>2025</v>
      </c>
      <c r="B582" t="s">
        <v>1161</v>
      </c>
      <c r="C582" s="1">
        <v>45817</v>
      </c>
      <c r="D582" t="s">
        <v>1162</v>
      </c>
      <c r="E582">
        <v>42.8</v>
      </c>
      <c r="G582" s="3">
        <f>MONTH(Tabela1[[#This Row],[Último pagto ano]])</f>
        <v>6</v>
      </c>
      <c r="H582" t="str">
        <f>TEXT(Tabela1[[#This Row],[Coluna2]]*29,"mmmm")</f>
        <v>junho</v>
      </c>
      <c r="I582" t="str">
        <f>TEXT(MONTH(Tabela1[[#This Row],[Último pagto ano]])*29,"mmmm")</f>
        <v>junho</v>
      </c>
    </row>
    <row r="583" spans="1:9" x14ac:dyDescent="0.25">
      <c r="A583">
        <v>2025</v>
      </c>
      <c r="B583" t="s">
        <v>1163</v>
      </c>
      <c r="C583" s="1">
        <v>45673</v>
      </c>
      <c r="D583" t="s">
        <v>1164</v>
      </c>
      <c r="E583" s="2">
        <v>1800</v>
      </c>
      <c r="G583" s="3">
        <f>MONTH(Tabela1[[#This Row],[Último pagto ano]])</f>
        <v>1</v>
      </c>
      <c r="H583" t="str">
        <f>TEXT(Tabela1[[#This Row],[Coluna2]]*29,"mmmm")</f>
        <v>janeiro</v>
      </c>
      <c r="I583" t="str">
        <f>TEXT(MONTH(Tabela1[[#This Row],[Último pagto ano]])*29,"mmmm")</f>
        <v>janeiro</v>
      </c>
    </row>
    <row r="584" spans="1:9" x14ac:dyDescent="0.25">
      <c r="A584">
        <v>2025</v>
      </c>
      <c r="B584" t="s">
        <v>1165</v>
      </c>
      <c r="C584" s="1">
        <v>45761</v>
      </c>
      <c r="D584" t="s">
        <v>1166</v>
      </c>
      <c r="E584" s="2">
        <v>3727.8</v>
      </c>
      <c r="G584" s="3">
        <f>MONTH(Tabela1[[#This Row],[Último pagto ano]])</f>
        <v>4</v>
      </c>
      <c r="H584" t="str">
        <f>TEXT(Tabela1[[#This Row],[Coluna2]]*29,"mmmm")</f>
        <v>abril</v>
      </c>
      <c r="I584" t="str">
        <f>TEXT(MONTH(Tabela1[[#This Row],[Último pagto ano]])*29,"mmmm")</f>
        <v>abril</v>
      </c>
    </row>
    <row r="585" spans="1:9" x14ac:dyDescent="0.25">
      <c r="A585">
        <v>2025</v>
      </c>
      <c r="B585" t="s">
        <v>1167</v>
      </c>
      <c r="C585" s="1">
        <v>45943</v>
      </c>
      <c r="D585" t="s">
        <v>1168</v>
      </c>
      <c r="E585">
        <v>349.6</v>
      </c>
      <c r="G585" s="3">
        <f>MONTH(Tabela1[[#This Row],[Último pagto ano]])</f>
        <v>10</v>
      </c>
      <c r="H585" t="str">
        <f>TEXT(Tabela1[[#This Row],[Coluna2]]*29,"mmmm")</f>
        <v>outubro</v>
      </c>
      <c r="I585" t="str">
        <f>TEXT(MONTH(Tabela1[[#This Row],[Último pagto ano]])*29,"mmmm")</f>
        <v>outubro</v>
      </c>
    </row>
    <row r="586" spans="1:9" x14ac:dyDescent="0.25">
      <c r="A586">
        <v>2025</v>
      </c>
      <c r="B586" t="s">
        <v>1169</v>
      </c>
      <c r="C586" s="1">
        <v>45861</v>
      </c>
      <c r="D586" t="s">
        <v>1170</v>
      </c>
      <c r="E586" s="2">
        <v>6754.52</v>
      </c>
      <c r="G586" s="3">
        <f>MONTH(Tabela1[[#This Row],[Último pagto ano]])</f>
        <v>7</v>
      </c>
      <c r="H586" t="str">
        <f>TEXT(Tabela1[[#This Row],[Coluna2]]*29,"mmmm")</f>
        <v>julho</v>
      </c>
      <c r="I586" t="str">
        <f>TEXT(MONTH(Tabela1[[#This Row],[Último pagto ano]])*29,"mmmm")</f>
        <v>julho</v>
      </c>
    </row>
    <row r="587" spans="1:9" x14ac:dyDescent="0.25">
      <c r="A587">
        <v>2025</v>
      </c>
      <c r="B587" t="s">
        <v>1169</v>
      </c>
      <c r="C587" s="1">
        <v>45985</v>
      </c>
      <c r="D587" t="s">
        <v>1170</v>
      </c>
      <c r="E587" s="2">
        <v>4424.28</v>
      </c>
      <c r="G587" s="3">
        <f>MONTH(Tabela1[[#This Row],[Último pagto ano]])</f>
        <v>11</v>
      </c>
      <c r="H587" t="str">
        <f>TEXT(Tabela1[[#This Row],[Coluna2]]*29,"mmmm")</f>
        <v>novembro</v>
      </c>
      <c r="I587" t="str">
        <f>TEXT(MONTH(Tabela1[[#This Row],[Último pagto ano]])*29,"mmmm")</f>
        <v>novembro</v>
      </c>
    </row>
    <row r="588" spans="1:9" x14ac:dyDescent="0.25">
      <c r="A588">
        <v>2025</v>
      </c>
      <c r="B588" t="s">
        <v>1171</v>
      </c>
      <c r="C588" s="1">
        <v>45702</v>
      </c>
      <c r="D588" t="s">
        <v>1172</v>
      </c>
      <c r="E588" s="2">
        <v>1276.55</v>
      </c>
      <c r="G588" s="3">
        <f>MONTH(Tabela1[[#This Row],[Último pagto ano]])</f>
        <v>2</v>
      </c>
      <c r="H588" t="str">
        <f>TEXT(Tabela1[[#This Row],[Coluna2]]*29,"mmmm")</f>
        <v>fevereiro</v>
      </c>
      <c r="I588" t="str">
        <f>TEXT(MONTH(Tabela1[[#This Row],[Último pagto ano]])*29,"mmmm")</f>
        <v>fevereiro</v>
      </c>
    </row>
    <row r="589" spans="1:9" x14ac:dyDescent="0.25">
      <c r="A589">
        <v>2025</v>
      </c>
      <c r="B589" t="s">
        <v>1173</v>
      </c>
      <c r="C589" s="1">
        <v>45989</v>
      </c>
      <c r="D589" t="s">
        <v>1174</v>
      </c>
      <c r="E589" s="2">
        <v>7877.86</v>
      </c>
      <c r="G589" s="3">
        <f>MONTH(Tabela1[[#This Row],[Último pagto ano]])</f>
        <v>11</v>
      </c>
      <c r="H589" t="str">
        <f>TEXT(Tabela1[[#This Row],[Coluna2]]*29,"mmmm")</f>
        <v>novembro</v>
      </c>
      <c r="I589" t="str">
        <f>TEXT(MONTH(Tabela1[[#This Row],[Último pagto ano]])*29,"mmmm")</f>
        <v>novembro</v>
      </c>
    </row>
    <row r="590" spans="1:9" x14ac:dyDescent="0.25">
      <c r="A590">
        <v>2025</v>
      </c>
      <c r="B590" t="s">
        <v>1175</v>
      </c>
      <c r="C590" s="1">
        <v>46021</v>
      </c>
      <c r="D590" t="s">
        <v>1176</v>
      </c>
      <c r="E590" s="2">
        <v>12738.44</v>
      </c>
      <c r="G590" s="3">
        <f>MONTH(Tabela1[[#This Row],[Último pagto ano]])</f>
        <v>12</v>
      </c>
      <c r="H590" t="str">
        <f>TEXT(Tabela1[[#This Row],[Coluna2]]*29,"mmmm")</f>
        <v>dezembro</v>
      </c>
      <c r="I590" t="str">
        <f>TEXT(MONTH(Tabela1[[#This Row],[Último pagto ano]])*29,"mmmm")</f>
        <v>dezembro</v>
      </c>
    </row>
    <row r="591" spans="1:9" x14ac:dyDescent="0.25">
      <c r="A591">
        <v>2025</v>
      </c>
      <c r="B591" t="s">
        <v>1177</v>
      </c>
      <c r="C591" s="1">
        <v>45740</v>
      </c>
      <c r="D591" t="s">
        <v>1178</v>
      </c>
      <c r="E591" s="2">
        <v>2100</v>
      </c>
      <c r="G591" s="3">
        <f>MONTH(Tabela1[[#This Row],[Último pagto ano]])</f>
        <v>3</v>
      </c>
      <c r="H591" t="str">
        <f>TEXT(Tabela1[[#This Row],[Coluna2]]*29,"mmmm")</f>
        <v>março</v>
      </c>
      <c r="I591" t="str">
        <f>TEXT(MONTH(Tabela1[[#This Row],[Último pagto ano]])*29,"mmmm")</f>
        <v>março</v>
      </c>
    </row>
    <row r="592" spans="1:9" x14ac:dyDescent="0.25">
      <c r="A592">
        <v>2025</v>
      </c>
      <c r="B592" t="s">
        <v>1179</v>
      </c>
      <c r="C592" s="1">
        <v>45938</v>
      </c>
      <c r="D592" t="s">
        <v>1180</v>
      </c>
      <c r="E592" s="2">
        <v>6900.5</v>
      </c>
      <c r="G592" s="3">
        <f>MONTH(Tabela1[[#This Row],[Último pagto ano]])</f>
        <v>10</v>
      </c>
      <c r="H592" t="str">
        <f>TEXT(Tabela1[[#This Row],[Coluna2]]*29,"mmmm")</f>
        <v>outubro</v>
      </c>
      <c r="I592" t="str">
        <f>TEXT(MONTH(Tabela1[[#This Row],[Último pagto ano]])*29,"mmmm")</f>
        <v>outubro</v>
      </c>
    </row>
    <row r="593" spans="1:9" x14ac:dyDescent="0.25">
      <c r="A593">
        <v>2025</v>
      </c>
      <c r="B593" t="s">
        <v>1181</v>
      </c>
      <c r="C593" s="1">
        <v>45936</v>
      </c>
      <c r="D593" t="s">
        <v>1182</v>
      </c>
      <c r="E593">
        <v>143</v>
      </c>
      <c r="G593" s="3">
        <f>MONTH(Tabela1[[#This Row],[Último pagto ano]])</f>
        <v>10</v>
      </c>
      <c r="H593" t="str">
        <f>TEXT(Tabela1[[#This Row],[Coluna2]]*29,"mmmm")</f>
        <v>outubro</v>
      </c>
      <c r="I593" t="str">
        <f>TEXT(MONTH(Tabela1[[#This Row],[Último pagto ano]])*29,"mmmm")</f>
        <v>outubro</v>
      </c>
    </row>
    <row r="594" spans="1:9" x14ac:dyDescent="0.25">
      <c r="A594">
        <v>2025</v>
      </c>
      <c r="B594" t="s">
        <v>1183</v>
      </c>
      <c r="C594" s="1">
        <v>45702</v>
      </c>
      <c r="D594" t="s">
        <v>1184</v>
      </c>
      <c r="E594">
        <v>13.86</v>
      </c>
      <c r="G594" s="3">
        <f>MONTH(Tabela1[[#This Row],[Último pagto ano]])</f>
        <v>2</v>
      </c>
      <c r="H594" t="str">
        <f>TEXT(Tabela1[[#This Row],[Coluna2]]*29,"mmmm")</f>
        <v>fevereiro</v>
      </c>
      <c r="I594" t="str">
        <f>TEXT(MONTH(Tabela1[[#This Row],[Último pagto ano]])*29,"mmmm")</f>
        <v>fevereiro</v>
      </c>
    </row>
    <row r="595" spans="1:9" x14ac:dyDescent="0.25">
      <c r="A595">
        <v>2025</v>
      </c>
      <c r="B595" t="s">
        <v>1185</v>
      </c>
      <c r="C595" s="1">
        <v>46013</v>
      </c>
      <c r="D595" t="s">
        <v>1186</v>
      </c>
      <c r="E595">
        <v>339.3</v>
      </c>
      <c r="G595" s="3">
        <f>MONTH(Tabela1[[#This Row],[Último pagto ano]])</f>
        <v>12</v>
      </c>
      <c r="H595" t="str">
        <f>TEXT(Tabela1[[#This Row],[Coluna2]]*29,"mmmm")</f>
        <v>dezembro</v>
      </c>
      <c r="I595" t="str">
        <f>TEXT(MONTH(Tabela1[[#This Row],[Último pagto ano]])*29,"mmmm")</f>
        <v>dezembro</v>
      </c>
    </row>
    <row r="596" spans="1:9" x14ac:dyDescent="0.25">
      <c r="A596">
        <v>2025</v>
      </c>
      <c r="B596" t="s">
        <v>1187</v>
      </c>
      <c r="C596" s="1">
        <v>45754</v>
      </c>
      <c r="D596" t="s">
        <v>1188</v>
      </c>
      <c r="E596">
        <v>315</v>
      </c>
      <c r="G596" s="3">
        <f>MONTH(Tabela1[[#This Row],[Último pagto ano]])</f>
        <v>4</v>
      </c>
      <c r="H596" t="str">
        <f>TEXT(Tabela1[[#This Row],[Coluna2]]*29,"mmmm")</f>
        <v>abril</v>
      </c>
      <c r="I596" t="str">
        <f>TEXT(MONTH(Tabela1[[#This Row],[Último pagto ano]])*29,"mmmm")</f>
        <v>abril</v>
      </c>
    </row>
    <row r="597" spans="1:9" x14ac:dyDescent="0.25">
      <c r="A597">
        <v>2025</v>
      </c>
      <c r="B597" t="s">
        <v>1189</v>
      </c>
      <c r="C597" s="1">
        <v>45887</v>
      </c>
      <c r="D597" t="s">
        <v>1190</v>
      </c>
      <c r="E597">
        <v>132</v>
      </c>
      <c r="G597" s="3">
        <f>MONTH(Tabela1[[#This Row],[Último pagto ano]])</f>
        <v>8</v>
      </c>
      <c r="H597" t="str">
        <f>TEXT(Tabela1[[#This Row],[Coluna2]]*29,"mmmm")</f>
        <v>agosto</v>
      </c>
      <c r="I597" t="str">
        <f>TEXT(MONTH(Tabela1[[#This Row],[Último pagto ano]])*29,"mmmm")</f>
        <v>agosto</v>
      </c>
    </row>
    <row r="598" spans="1:9" x14ac:dyDescent="0.25">
      <c r="A598">
        <v>2025</v>
      </c>
      <c r="B598" t="s">
        <v>1191</v>
      </c>
      <c r="C598" s="1">
        <v>45985</v>
      </c>
      <c r="D598" t="s">
        <v>1192</v>
      </c>
      <c r="E598">
        <v>22</v>
      </c>
      <c r="G598" s="3">
        <f>MONTH(Tabela1[[#This Row],[Último pagto ano]])</f>
        <v>11</v>
      </c>
      <c r="H598" t="str">
        <f>TEXT(Tabela1[[#This Row],[Coluna2]]*29,"mmmm")</f>
        <v>novembro</v>
      </c>
      <c r="I598" t="str">
        <f>TEXT(MONTH(Tabela1[[#This Row],[Último pagto ano]])*29,"mmmm")</f>
        <v>novembro</v>
      </c>
    </row>
    <row r="599" spans="1:9" x14ac:dyDescent="0.25">
      <c r="A599">
        <v>2025</v>
      </c>
      <c r="B599" t="s">
        <v>1193</v>
      </c>
      <c r="C599" s="1">
        <v>45702</v>
      </c>
      <c r="D599" t="s">
        <v>1194</v>
      </c>
      <c r="E599">
        <v>70.739999999999995</v>
      </c>
      <c r="G599" s="3">
        <f>MONTH(Tabela1[[#This Row],[Último pagto ano]])</f>
        <v>2</v>
      </c>
      <c r="H599" t="str">
        <f>TEXT(Tabela1[[#This Row],[Coluna2]]*29,"mmmm")</f>
        <v>fevereiro</v>
      </c>
      <c r="I599" t="str">
        <f>TEXT(MONTH(Tabela1[[#This Row],[Último pagto ano]])*29,"mmmm")</f>
        <v>fevereiro</v>
      </c>
    </row>
    <row r="600" spans="1:9" x14ac:dyDescent="0.25">
      <c r="A600">
        <v>2025</v>
      </c>
      <c r="B600" t="s">
        <v>1195</v>
      </c>
      <c r="C600" s="1">
        <v>45740</v>
      </c>
      <c r="D600" t="s">
        <v>1196</v>
      </c>
      <c r="E600" s="2">
        <v>2100</v>
      </c>
      <c r="G600" s="3">
        <f>MONTH(Tabela1[[#This Row],[Último pagto ano]])</f>
        <v>3</v>
      </c>
      <c r="H600" t="str">
        <f>TEXT(Tabela1[[#This Row],[Coluna2]]*29,"mmmm")</f>
        <v>março</v>
      </c>
      <c r="I600" t="str">
        <f>TEXT(MONTH(Tabela1[[#This Row],[Último pagto ano]])*29,"mmmm")</f>
        <v>março</v>
      </c>
    </row>
    <row r="601" spans="1:9" x14ac:dyDescent="0.25">
      <c r="A601">
        <v>2025</v>
      </c>
      <c r="B601" t="s">
        <v>1197</v>
      </c>
      <c r="C601" s="1">
        <v>45734</v>
      </c>
      <c r="D601" t="s">
        <v>1198</v>
      </c>
      <c r="E601" s="2">
        <v>1319.09</v>
      </c>
      <c r="G601" s="3">
        <f>MONTH(Tabela1[[#This Row],[Último pagto ano]])</f>
        <v>3</v>
      </c>
      <c r="H601" t="str">
        <f>TEXT(Tabela1[[#This Row],[Coluna2]]*29,"mmmm")</f>
        <v>março</v>
      </c>
      <c r="I601" t="str">
        <f>TEXT(MONTH(Tabela1[[#This Row],[Último pagto ano]])*29,"mmmm")</f>
        <v>março</v>
      </c>
    </row>
    <row r="602" spans="1:9" x14ac:dyDescent="0.25">
      <c r="A602">
        <v>2025</v>
      </c>
      <c r="B602" t="s">
        <v>1199</v>
      </c>
      <c r="C602" s="1">
        <v>45853</v>
      </c>
      <c r="D602" t="s">
        <v>1200</v>
      </c>
      <c r="E602">
        <v>50.1</v>
      </c>
      <c r="G602" s="3">
        <f>MONTH(Tabela1[[#This Row],[Último pagto ano]])</f>
        <v>7</v>
      </c>
      <c r="H602" t="str">
        <f>TEXT(Tabela1[[#This Row],[Coluna2]]*29,"mmmm")</f>
        <v>julho</v>
      </c>
      <c r="I602" t="str">
        <f>TEXT(MONTH(Tabela1[[#This Row],[Último pagto ano]])*29,"mmmm")</f>
        <v>julho</v>
      </c>
    </row>
    <row r="603" spans="1:9" x14ac:dyDescent="0.25">
      <c r="A603">
        <v>2025</v>
      </c>
      <c r="B603" t="s">
        <v>1201</v>
      </c>
      <c r="C603" s="1">
        <v>45999</v>
      </c>
      <c r="D603" t="s">
        <v>1202</v>
      </c>
      <c r="E603">
        <v>231</v>
      </c>
      <c r="G603" s="3">
        <f>MONTH(Tabela1[[#This Row],[Último pagto ano]])</f>
        <v>12</v>
      </c>
      <c r="H603" t="str">
        <f>TEXT(Tabela1[[#This Row],[Coluna2]]*29,"mmmm")</f>
        <v>dezembro</v>
      </c>
      <c r="I603" t="str">
        <f>TEXT(MONTH(Tabela1[[#This Row],[Último pagto ano]])*29,"mmmm")</f>
        <v>dezembro</v>
      </c>
    </row>
    <row r="604" spans="1:9" x14ac:dyDescent="0.25">
      <c r="A604">
        <v>2025</v>
      </c>
      <c r="B604" t="s">
        <v>1203</v>
      </c>
      <c r="C604" s="1">
        <v>45702</v>
      </c>
      <c r="D604" t="s">
        <v>1204</v>
      </c>
      <c r="E604">
        <v>859.51</v>
      </c>
      <c r="G604" s="3">
        <f>MONTH(Tabela1[[#This Row],[Último pagto ano]])</f>
        <v>2</v>
      </c>
      <c r="H604" t="str">
        <f>TEXT(Tabela1[[#This Row],[Coluna2]]*29,"mmmm")</f>
        <v>fevereiro</v>
      </c>
      <c r="I604" t="str">
        <f>TEXT(MONTH(Tabela1[[#This Row],[Último pagto ano]])*29,"mmmm")</f>
        <v>fevereiro</v>
      </c>
    </row>
    <row r="605" spans="1:9" x14ac:dyDescent="0.25">
      <c r="A605">
        <v>2025</v>
      </c>
      <c r="B605" t="s">
        <v>1205</v>
      </c>
      <c r="C605" s="1">
        <v>46013</v>
      </c>
      <c r="D605" t="s">
        <v>1206</v>
      </c>
      <c r="E605">
        <v>315.89999999999998</v>
      </c>
      <c r="G605" s="3">
        <f>MONTH(Tabela1[[#This Row],[Último pagto ano]])</f>
        <v>12</v>
      </c>
      <c r="H605" t="str">
        <f>TEXT(Tabela1[[#This Row],[Coluna2]]*29,"mmmm")</f>
        <v>dezembro</v>
      </c>
      <c r="I605" t="str">
        <f>TEXT(MONTH(Tabela1[[#This Row],[Último pagto ano]])*29,"mmmm")</f>
        <v>dezembro</v>
      </c>
    </row>
    <row r="606" spans="1:9" x14ac:dyDescent="0.25">
      <c r="A606">
        <v>2025</v>
      </c>
      <c r="B606" t="s">
        <v>1207</v>
      </c>
      <c r="C606" s="1">
        <v>45964</v>
      </c>
      <c r="D606" t="s">
        <v>1208</v>
      </c>
      <c r="E606">
        <v>77</v>
      </c>
      <c r="G606" s="3">
        <f>MONTH(Tabela1[[#This Row],[Último pagto ano]])</f>
        <v>11</v>
      </c>
      <c r="H606" t="str">
        <f>TEXT(Tabela1[[#This Row],[Coluna2]]*29,"mmmm")</f>
        <v>novembro</v>
      </c>
      <c r="I606" t="str">
        <f>TEXT(MONTH(Tabela1[[#This Row],[Último pagto ano]])*29,"mmmm")</f>
        <v>novembro</v>
      </c>
    </row>
    <row r="607" spans="1:9" x14ac:dyDescent="0.25">
      <c r="A607">
        <v>2025</v>
      </c>
      <c r="B607" t="s">
        <v>1209</v>
      </c>
      <c r="C607" s="1">
        <v>45901</v>
      </c>
      <c r="D607" t="s">
        <v>1210</v>
      </c>
      <c r="E607">
        <v>154</v>
      </c>
      <c r="G607" s="3">
        <f>MONTH(Tabela1[[#This Row],[Último pagto ano]])</f>
        <v>9</v>
      </c>
      <c r="H607" t="str">
        <f>TEXT(Tabela1[[#This Row],[Coluna2]]*29,"mmmm")</f>
        <v>setembro</v>
      </c>
      <c r="I607" t="str">
        <f>TEXT(MONTH(Tabela1[[#This Row],[Último pagto ano]])*29,"mmmm")</f>
        <v>setembro</v>
      </c>
    </row>
    <row r="608" spans="1:9" x14ac:dyDescent="0.25">
      <c r="A608">
        <v>2025</v>
      </c>
      <c r="B608" t="s">
        <v>1211</v>
      </c>
      <c r="C608" s="1">
        <v>45673</v>
      </c>
      <c r="D608" t="s">
        <v>1212</v>
      </c>
      <c r="E608" s="2">
        <v>1100</v>
      </c>
      <c r="G608" s="3">
        <f>MONTH(Tabela1[[#This Row],[Último pagto ano]])</f>
        <v>1</v>
      </c>
      <c r="H608" t="str">
        <f>TEXT(Tabela1[[#This Row],[Coluna2]]*29,"mmmm")</f>
        <v>janeiro</v>
      </c>
      <c r="I608" t="str">
        <f>TEXT(MONTH(Tabela1[[#This Row],[Último pagto ano]])*29,"mmmm")</f>
        <v>janeiro</v>
      </c>
    </row>
    <row r="609" spans="1:9" x14ac:dyDescent="0.25">
      <c r="A609">
        <v>2025</v>
      </c>
      <c r="B609" t="s">
        <v>1213</v>
      </c>
      <c r="C609" s="1">
        <v>45929</v>
      </c>
      <c r="D609" t="s">
        <v>1214</v>
      </c>
      <c r="E609">
        <v>44</v>
      </c>
      <c r="G609" s="3">
        <f>MONTH(Tabela1[[#This Row],[Último pagto ano]])</f>
        <v>9</v>
      </c>
      <c r="H609" t="str">
        <f>TEXT(Tabela1[[#This Row],[Coluna2]]*29,"mmmm")</f>
        <v>setembro</v>
      </c>
      <c r="I609" t="str">
        <f>TEXT(MONTH(Tabela1[[#This Row],[Último pagto ano]])*29,"mmmm")</f>
        <v>setembro</v>
      </c>
    </row>
    <row r="610" spans="1:9" x14ac:dyDescent="0.25">
      <c r="A610">
        <v>2025</v>
      </c>
      <c r="B610" t="s">
        <v>1215</v>
      </c>
      <c r="C610" s="1">
        <v>46006</v>
      </c>
      <c r="D610" t="s">
        <v>1216</v>
      </c>
      <c r="E610" s="2">
        <v>63228</v>
      </c>
      <c r="G610" s="3">
        <f>MONTH(Tabela1[[#This Row],[Último pagto ano]])</f>
        <v>12</v>
      </c>
      <c r="H610" t="str">
        <f>TEXT(Tabela1[[#This Row],[Coluna2]]*29,"mmmm")</f>
        <v>dezembro</v>
      </c>
      <c r="I610" t="str">
        <f>TEXT(MONTH(Tabela1[[#This Row],[Último pagto ano]])*29,"mmmm")</f>
        <v>dezembro</v>
      </c>
    </row>
    <row r="611" spans="1:9" x14ac:dyDescent="0.25">
      <c r="A611">
        <v>2025</v>
      </c>
      <c r="B611" t="s">
        <v>1217</v>
      </c>
      <c r="C611" s="1">
        <v>45870</v>
      </c>
      <c r="D611" t="s">
        <v>1218</v>
      </c>
      <c r="E611" s="2">
        <v>1800.87</v>
      </c>
      <c r="G611" s="3">
        <f>MONTH(Tabela1[[#This Row],[Último pagto ano]])</f>
        <v>8</v>
      </c>
      <c r="H611" t="str">
        <f>TEXT(Tabela1[[#This Row],[Coluna2]]*29,"mmmm")</f>
        <v>agosto</v>
      </c>
      <c r="I611" t="str">
        <f>TEXT(MONTH(Tabela1[[#This Row],[Último pagto ano]])*29,"mmmm")</f>
        <v>agosto</v>
      </c>
    </row>
    <row r="612" spans="1:9" x14ac:dyDescent="0.25">
      <c r="A612">
        <v>2025</v>
      </c>
      <c r="B612" t="s">
        <v>1219</v>
      </c>
      <c r="C612" s="1">
        <v>45702</v>
      </c>
      <c r="D612" t="s">
        <v>1220</v>
      </c>
      <c r="E612" s="2">
        <v>1162.43</v>
      </c>
      <c r="G612" s="3">
        <f>MONTH(Tabela1[[#This Row],[Último pagto ano]])</f>
        <v>2</v>
      </c>
      <c r="H612" t="str">
        <f>TEXT(Tabela1[[#This Row],[Coluna2]]*29,"mmmm")</f>
        <v>fevereiro</v>
      </c>
      <c r="I612" t="str">
        <f>TEXT(MONTH(Tabela1[[#This Row],[Último pagto ano]])*29,"mmmm")</f>
        <v>fevereiro</v>
      </c>
    </row>
    <row r="613" spans="1:9" x14ac:dyDescent="0.25">
      <c r="A613">
        <v>2025</v>
      </c>
      <c r="B613" t="s">
        <v>1221</v>
      </c>
      <c r="C613" s="1">
        <v>46010</v>
      </c>
      <c r="D613" t="s">
        <v>1222</v>
      </c>
      <c r="E613" s="2">
        <v>12000</v>
      </c>
      <c r="G613" s="3">
        <f>MONTH(Tabela1[[#This Row],[Último pagto ano]])</f>
        <v>12</v>
      </c>
      <c r="H613" t="str">
        <f>TEXT(Tabela1[[#This Row],[Coluna2]]*29,"mmmm")</f>
        <v>dezembro</v>
      </c>
      <c r="I613" t="str">
        <f>TEXT(MONTH(Tabela1[[#This Row],[Último pagto ano]])*29,"mmmm")</f>
        <v>dezembro</v>
      </c>
    </row>
    <row r="614" spans="1:9" x14ac:dyDescent="0.25">
      <c r="A614">
        <v>2025</v>
      </c>
      <c r="B614" t="s">
        <v>1223</v>
      </c>
      <c r="C614" s="1">
        <v>45863</v>
      </c>
      <c r="D614" t="s">
        <v>1224</v>
      </c>
      <c r="E614" s="2">
        <v>27659.52</v>
      </c>
      <c r="G614" s="3">
        <f>MONTH(Tabela1[[#This Row],[Último pagto ano]])</f>
        <v>7</v>
      </c>
      <c r="H614" t="str">
        <f>TEXT(Tabela1[[#This Row],[Coluna2]]*29,"mmmm")</f>
        <v>julho</v>
      </c>
      <c r="I614" t="str">
        <f>TEXT(MONTH(Tabela1[[#This Row],[Último pagto ano]])*29,"mmmm")</f>
        <v>julho</v>
      </c>
    </row>
    <row r="615" spans="1:9" x14ac:dyDescent="0.25">
      <c r="A615">
        <v>2025</v>
      </c>
      <c r="B615" t="s">
        <v>1225</v>
      </c>
      <c r="C615" s="1">
        <v>46021</v>
      </c>
      <c r="D615" t="s">
        <v>1226</v>
      </c>
      <c r="E615" s="2">
        <v>16412.52</v>
      </c>
      <c r="G615" s="3">
        <f>MONTH(Tabela1[[#This Row],[Último pagto ano]])</f>
        <v>12</v>
      </c>
      <c r="H615" t="str">
        <f>TEXT(Tabela1[[#This Row],[Coluna2]]*29,"mmmm")</f>
        <v>dezembro</v>
      </c>
      <c r="I615" t="str">
        <f>TEXT(MONTH(Tabela1[[#This Row],[Último pagto ano]])*29,"mmmm")</f>
        <v>dezembro</v>
      </c>
    </row>
    <row r="616" spans="1:9" x14ac:dyDescent="0.25">
      <c r="A616">
        <v>2025</v>
      </c>
      <c r="B616" t="s">
        <v>1227</v>
      </c>
      <c r="C616" s="1">
        <v>45924</v>
      </c>
      <c r="D616" t="s">
        <v>1228</v>
      </c>
      <c r="E616" s="2">
        <v>1400</v>
      </c>
      <c r="G616" s="3">
        <f>MONTH(Tabela1[[#This Row],[Último pagto ano]])</f>
        <v>9</v>
      </c>
      <c r="H616" t="str">
        <f>TEXT(Tabela1[[#This Row],[Coluna2]]*29,"mmmm")</f>
        <v>setembro</v>
      </c>
      <c r="I616" t="str">
        <f>TEXT(MONTH(Tabela1[[#This Row],[Último pagto ano]])*29,"mmmm")</f>
        <v>setembro</v>
      </c>
    </row>
    <row r="617" spans="1:9" x14ac:dyDescent="0.25">
      <c r="A617">
        <v>2025</v>
      </c>
      <c r="B617" t="s">
        <v>1229</v>
      </c>
      <c r="C617" s="1">
        <v>45672</v>
      </c>
      <c r="D617" t="s">
        <v>1230</v>
      </c>
      <c r="E617">
        <v>495.04</v>
      </c>
      <c r="G617" s="3">
        <f>MONTH(Tabela1[[#This Row],[Último pagto ano]])</f>
        <v>1</v>
      </c>
      <c r="H617" t="str">
        <f>TEXT(Tabela1[[#This Row],[Coluna2]]*29,"mmmm")</f>
        <v>janeiro</v>
      </c>
      <c r="I617" t="str">
        <f>TEXT(MONTH(Tabela1[[#This Row],[Último pagto ano]])*29,"mmmm")</f>
        <v>janeiro</v>
      </c>
    </row>
    <row r="618" spans="1:9" x14ac:dyDescent="0.25">
      <c r="A618">
        <v>2025</v>
      </c>
      <c r="B618" t="s">
        <v>1231</v>
      </c>
      <c r="C618" s="1">
        <v>46006</v>
      </c>
      <c r="D618" t="s">
        <v>1232</v>
      </c>
      <c r="E618" s="2">
        <v>5600.48</v>
      </c>
      <c r="G618" s="3">
        <f>MONTH(Tabela1[[#This Row],[Último pagto ano]])</f>
        <v>12</v>
      </c>
      <c r="H618" t="str">
        <f>TEXT(Tabela1[[#This Row],[Coluna2]]*29,"mmmm")</f>
        <v>dezembro</v>
      </c>
      <c r="I618" t="str">
        <f>TEXT(MONTH(Tabela1[[#This Row],[Último pagto ano]])*29,"mmmm")</f>
        <v>dezembro</v>
      </c>
    </row>
    <row r="619" spans="1:9" x14ac:dyDescent="0.25">
      <c r="A619">
        <v>2025</v>
      </c>
      <c r="B619" t="s">
        <v>1233</v>
      </c>
      <c r="C619" s="1">
        <v>46010</v>
      </c>
      <c r="D619" t="s">
        <v>1234</v>
      </c>
      <c r="E619">
        <v>700</v>
      </c>
      <c r="G619" s="3">
        <f>MONTH(Tabela1[[#This Row],[Último pagto ano]])</f>
        <v>12</v>
      </c>
      <c r="H619" t="str">
        <f>TEXT(Tabela1[[#This Row],[Coluna2]]*29,"mmmm")</f>
        <v>dezembro</v>
      </c>
      <c r="I619" t="str">
        <f>TEXT(MONTH(Tabela1[[#This Row],[Último pagto ano]])*29,"mmmm")</f>
        <v>dezembro</v>
      </c>
    </row>
    <row r="620" spans="1:9" x14ac:dyDescent="0.25">
      <c r="A620">
        <v>2025</v>
      </c>
      <c r="B620" t="s">
        <v>1235</v>
      </c>
      <c r="C620" s="1">
        <v>45783</v>
      </c>
      <c r="D620" t="s">
        <v>1236</v>
      </c>
      <c r="E620" s="2">
        <v>3242.98</v>
      </c>
      <c r="G620" s="3">
        <f>MONTH(Tabela1[[#This Row],[Último pagto ano]])</f>
        <v>5</v>
      </c>
      <c r="H620" t="str">
        <f>TEXT(Tabela1[[#This Row],[Coluna2]]*29,"mmmm")</f>
        <v>maio</v>
      </c>
      <c r="I620" t="str">
        <f>TEXT(MONTH(Tabela1[[#This Row],[Último pagto ano]])*29,"mmmm")</f>
        <v>maio</v>
      </c>
    </row>
    <row r="621" spans="1:9" x14ac:dyDescent="0.25">
      <c r="A621">
        <v>2025</v>
      </c>
      <c r="B621" t="s">
        <v>1237</v>
      </c>
      <c r="C621" s="1">
        <v>46006</v>
      </c>
      <c r="D621" t="s">
        <v>1238</v>
      </c>
      <c r="E621" s="2">
        <v>5330.88</v>
      </c>
      <c r="G621" s="3">
        <f>MONTH(Tabela1[[#This Row],[Último pagto ano]])</f>
        <v>12</v>
      </c>
      <c r="H621" t="str">
        <f>TEXT(Tabela1[[#This Row],[Coluna2]]*29,"mmmm")</f>
        <v>dezembro</v>
      </c>
      <c r="I621" t="str">
        <f>TEXT(MONTH(Tabela1[[#This Row],[Último pagto ano]])*29,"mmmm")</f>
        <v>dezembro</v>
      </c>
    </row>
    <row r="622" spans="1:9" x14ac:dyDescent="0.25">
      <c r="A622">
        <v>2025</v>
      </c>
      <c r="B622" t="s">
        <v>1239</v>
      </c>
      <c r="C622" s="1">
        <v>45937</v>
      </c>
      <c r="D622" t="s">
        <v>1240</v>
      </c>
      <c r="E622" s="2">
        <v>3000</v>
      </c>
      <c r="G622" s="3">
        <f>MONTH(Tabela1[[#This Row],[Último pagto ano]])</f>
        <v>10</v>
      </c>
      <c r="H622" t="str">
        <f>TEXT(Tabela1[[#This Row],[Coluna2]]*29,"mmmm")</f>
        <v>outubro</v>
      </c>
      <c r="I622" t="str">
        <f>TEXT(MONTH(Tabela1[[#This Row],[Último pagto ano]])*29,"mmmm")</f>
        <v>outubro</v>
      </c>
    </row>
    <row r="623" spans="1:9" x14ac:dyDescent="0.25">
      <c r="A623">
        <v>2025</v>
      </c>
      <c r="B623" t="s">
        <v>1241</v>
      </c>
      <c r="C623" s="1">
        <v>45824</v>
      </c>
      <c r="D623" t="s">
        <v>1242</v>
      </c>
      <c r="E623" s="2">
        <v>5889.44</v>
      </c>
      <c r="G623" s="3">
        <f>MONTH(Tabela1[[#This Row],[Último pagto ano]])</f>
        <v>6</v>
      </c>
      <c r="H623" t="str">
        <f>TEXT(Tabela1[[#This Row],[Coluna2]]*29,"mmmm")</f>
        <v>junho</v>
      </c>
      <c r="I623" t="str">
        <f>TEXT(MONTH(Tabela1[[#This Row],[Último pagto ano]])*29,"mmmm")</f>
        <v>junho</v>
      </c>
    </row>
    <row r="624" spans="1:9" x14ac:dyDescent="0.25">
      <c r="A624">
        <v>2025</v>
      </c>
      <c r="B624" t="s">
        <v>1243</v>
      </c>
      <c r="C624" s="1">
        <v>45905</v>
      </c>
      <c r="D624" t="s">
        <v>1244</v>
      </c>
      <c r="E624" s="2">
        <v>45900</v>
      </c>
      <c r="G624" s="3">
        <f>MONTH(Tabela1[[#This Row],[Último pagto ano]])</f>
        <v>9</v>
      </c>
      <c r="H624" t="str">
        <f>TEXT(Tabela1[[#This Row],[Coluna2]]*29,"mmmm")</f>
        <v>setembro</v>
      </c>
      <c r="I624" t="str">
        <f>TEXT(MONTH(Tabela1[[#This Row],[Último pagto ano]])*29,"mmmm")</f>
        <v>setembro</v>
      </c>
    </row>
    <row r="625" spans="1:9" x14ac:dyDescent="0.25">
      <c r="A625">
        <v>2025</v>
      </c>
      <c r="B625" t="s">
        <v>1245</v>
      </c>
      <c r="C625" s="1">
        <v>46010</v>
      </c>
      <c r="D625" t="s">
        <v>1246</v>
      </c>
      <c r="E625" s="2">
        <v>2100</v>
      </c>
      <c r="G625" s="3">
        <f>MONTH(Tabela1[[#This Row],[Último pagto ano]])</f>
        <v>12</v>
      </c>
      <c r="H625" t="str">
        <f>TEXT(Tabela1[[#This Row],[Coluna2]]*29,"mmmm")</f>
        <v>dezembro</v>
      </c>
      <c r="I625" t="str">
        <f>TEXT(MONTH(Tabela1[[#This Row],[Último pagto ano]])*29,"mmmm")</f>
        <v>dezembro</v>
      </c>
    </row>
    <row r="626" spans="1:9" x14ac:dyDescent="0.25">
      <c r="A626">
        <v>2025</v>
      </c>
      <c r="B626" t="s">
        <v>1247</v>
      </c>
      <c r="C626" s="1">
        <v>46014</v>
      </c>
      <c r="D626" t="s">
        <v>1248</v>
      </c>
      <c r="E626" s="2">
        <v>10560</v>
      </c>
      <c r="G626" s="3">
        <f>MONTH(Tabela1[[#This Row],[Último pagto ano]])</f>
        <v>12</v>
      </c>
      <c r="H626" t="str">
        <f>TEXT(Tabela1[[#This Row],[Coluna2]]*29,"mmmm")</f>
        <v>dezembro</v>
      </c>
      <c r="I626" t="str">
        <f>TEXT(MONTH(Tabela1[[#This Row],[Último pagto ano]])*29,"mmmm")</f>
        <v>dezembro</v>
      </c>
    </row>
    <row r="627" spans="1:9" x14ac:dyDescent="0.25">
      <c r="A627">
        <v>2025</v>
      </c>
      <c r="B627" t="s">
        <v>1249</v>
      </c>
      <c r="C627" s="1">
        <v>46006</v>
      </c>
      <c r="D627" t="s">
        <v>1250</v>
      </c>
      <c r="E627" s="2">
        <v>3850.08</v>
      </c>
      <c r="G627" s="3">
        <f>MONTH(Tabela1[[#This Row],[Último pagto ano]])</f>
        <v>12</v>
      </c>
      <c r="H627" t="str">
        <f>TEXT(Tabela1[[#This Row],[Coluna2]]*29,"mmmm")</f>
        <v>dezembro</v>
      </c>
      <c r="I627" t="str">
        <f>TEXT(MONTH(Tabela1[[#This Row],[Último pagto ano]])*29,"mmmm")</f>
        <v>dezembro</v>
      </c>
    </row>
    <row r="628" spans="1:9" x14ac:dyDescent="0.25">
      <c r="A628">
        <v>2025</v>
      </c>
      <c r="B628" t="s">
        <v>1251</v>
      </c>
      <c r="C628" s="1">
        <v>45702</v>
      </c>
      <c r="D628" t="s">
        <v>1252</v>
      </c>
      <c r="E628">
        <v>600.73</v>
      </c>
      <c r="G628" s="3">
        <f>MONTH(Tabela1[[#This Row],[Último pagto ano]])</f>
        <v>2</v>
      </c>
      <c r="H628" t="str">
        <f>TEXT(Tabela1[[#This Row],[Coluna2]]*29,"mmmm")</f>
        <v>fevereiro</v>
      </c>
      <c r="I628" t="str">
        <f>TEXT(MONTH(Tabela1[[#This Row],[Último pagto ano]])*29,"mmmm")</f>
        <v>fevereiro</v>
      </c>
    </row>
    <row r="629" spans="1:9" x14ac:dyDescent="0.25">
      <c r="A629">
        <v>2025</v>
      </c>
      <c r="B629" t="s">
        <v>1253</v>
      </c>
      <c r="C629" s="1">
        <v>46006</v>
      </c>
      <c r="D629" t="s">
        <v>1254</v>
      </c>
      <c r="E629" s="2">
        <v>4022.08</v>
      </c>
      <c r="G629" s="3">
        <f>MONTH(Tabela1[[#This Row],[Último pagto ano]])</f>
        <v>12</v>
      </c>
      <c r="H629" t="str">
        <f>TEXT(Tabela1[[#This Row],[Coluna2]]*29,"mmmm")</f>
        <v>dezembro</v>
      </c>
      <c r="I629" t="str">
        <f>TEXT(MONTH(Tabela1[[#This Row],[Último pagto ano]])*29,"mmmm")</f>
        <v>dezembro</v>
      </c>
    </row>
    <row r="630" spans="1:9" x14ac:dyDescent="0.25">
      <c r="A630">
        <v>2025</v>
      </c>
      <c r="B630" t="s">
        <v>1255</v>
      </c>
      <c r="C630" s="1">
        <v>46006</v>
      </c>
      <c r="D630" t="s">
        <v>1256</v>
      </c>
      <c r="E630">
        <v>99</v>
      </c>
      <c r="G630" s="3">
        <f>MONTH(Tabela1[[#This Row],[Último pagto ano]])</f>
        <v>12</v>
      </c>
      <c r="H630" t="str">
        <f>TEXT(Tabela1[[#This Row],[Coluna2]]*29,"mmmm")</f>
        <v>dezembro</v>
      </c>
      <c r="I630" t="str">
        <f>TEXT(MONTH(Tabela1[[#This Row],[Último pagto ano]])*29,"mmmm")</f>
        <v>dezembro</v>
      </c>
    </row>
    <row r="631" spans="1:9" x14ac:dyDescent="0.25">
      <c r="A631">
        <v>2025</v>
      </c>
      <c r="B631" t="s">
        <v>1257</v>
      </c>
      <c r="C631" s="1">
        <v>45975</v>
      </c>
      <c r="D631" t="s">
        <v>1258</v>
      </c>
      <c r="E631" s="2">
        <v>4442.3999999999996</v>
      </c>
      <c r="G631" s="3">
        <f>MONTH(Tabela1[[#This Row],[Último pagto ano]])</f>
        <v>11</v>
      </c>
      <c r="H631" t="str">
        <f>TEXT(Tabela1[[#This Row],[Coluna2]]*29,"mmmm")</f>
        <v>novembro</v>
      </c>
      <c r="I631" t="str">
        <f>TEXT(MONTH(Tabela1[[#This Row],[Último pagto ano]])*29,"mmmm")</f>
        <v>novembro</v>
      </c>
    </row>
    <row r="632" spans="1:9" x14ac:dyDescent="0.25">
      <c r="A632">
        <v>2025</v>
      </c>
      <c r="B632" t="s">
        <v>1259</v>
      </c>
      <c r="C632" s="1">
        <v>45996</v>
      </c>
      <c r="D632" t="s">
        <v>1260</v>
      </c>
      <c r="E632" s="2">
        <v>27000</v>
      </c>
      <c r="G632" s="3">
        <f>MONTH(Tabela1[[#This Row],[Último pagto ano]])</f>
        <v>12</v>
      </c>
      <c r="H632" t="str">
        <f>TEXT(Tabela1[[#This Row],[Coluna2]]*29,"mmmm")</f>
        <v>dezembro</v>
      </c>
      <c r="I632" t="str">
        <f>TEXT(MONTH(Tabela1[[#This Row],[Último pagto ano]])*29,"mmmm")</f>
        <v>dezembro</v>
      </c>
    </row>
    <row r="633" spans="1:9" x14ac:dyDescent="0.25">
      <c r="A633">
        <v>2025</v>
      </c>
      <c r="B633" t="s">
        <v>1261</v>
      </c>
      <c r="C633" s="1">
        <v>45959</v>
      </c>
      <c r="D633" t="s">
        <v>1262</v>
      </c>
      <c r="E633" s="2">
        <v>7000</v>
      </c>
      <c r="G633" s="3">
        <f>MONTH(Tabela1[[#This Row],[Último pagto ano]])</f>
        <v>10</v>
      </c>
      <c r="H633" t="str">
        <f>TEXT(Tabela1[[#This Row],[Coluna2]]*29,"mmmm")</f>
        <v>outubro</v>
      </c>
      <c r="I633" t="str">
        <f>TEXT(MONTH(Tabela1[[#This Row],[Último pagto ano]])*29,"mmmm")</f>
        <v>outubro</v>
      </c>
    </row>
    <row r="634" spans="1:9" x14ac:dyDescent="0.25">
      <c r="A634">
        <v>2025</v>
      </c>
      <c r="B634" t="s">
        <v>1263</v>
      </c>
      <c r="C634" s="1">
        <v>45975</v>
      </c>
      <c r="D634" t="s">
        <v>1264</v>
      </c>
      <c r="E634" s="2">
        <v>7390.72</v>
      </c>
      <c r="G634" s="3">
        <f>MONTH(Tabela1[[#This Row],[Último pagto ano]])</f>
        <v>11</v>
      </c>
      <c r="H634" t="str">
        <f>TEXT(Tabela1[[#This Row],[Coluna2]]*29,"mmmm")</f>
        <v>novembro</v>
      </c>
      <c r="I634" t="str">
        <f>TEXT(MONTH(Tabela1[[#This Row],[Último pagto ano]])*29,"mmmm")</f>
        <v>novembro</v>
      </c>
    </row>
    <row r="635" spans="1:9" x14ac:dyDescent="0.25">
      <c r="A635">
        <v>2025</v>
      </c>
      <c r="B635" t="s">
        <v>1265</v>
      </c>
      <c r="C635" s="1">
        <v>45880</v>
      </c>
      <c r="D635" t="s">
        <v>1266</v>
      </c>
      <c r="E635" s="2">
        <v>2400</v>
      </c>
      <c r="G635" s="3">
        <f>MONTH(Tabela1[[#This Row],[Último pagto ano]])</f>
        <v>8</v>
      </c>
      <c r="H635" t="str">
        <f>TEXT(Tabela1[[#This Row],[Coluna2]]*29,"mmmm")</f>
        <v>agosto</v>
      </c>
      <c r="I635" t="str">
        <f>TEXT(MONTH(Tabela1[[#This Row],[Último pagto ano]])*29,"mmmm")</f>
        <v>agosto</v>
      </c>
    </row>
    <row r="636" spans="1:9" x14ac:dyDescent="0.25">
      <c r="A636">
        <v>2025</v>
      </c>
      <c r="B636" t="s">
        <v>1267</v>
      </c>
      <c r="C636" s="1">
        <v>46021</v>
      </c>
      <c r="D636" t="s">
        <v>1268</v>
      </c>
      <c r="E636" s="2">
        <v>12555.39</v>
      </c>
      <c r="G636" s="3">
        <f>MONTH(Tabela1[[#This Row],[Último pagto ano]])</f>
        <v>12</v>
      </c>
      <c r="H636" t="str">
        <f>TEXT(Tabela1[[#This Row],[Coluna2]]*29,"mmmm")</f>
        <v>dezembro</v>
      </c>
      <c r="I636" t="str">
        <f>TEXT(MONTH(Tabela1[[#This Row],[Último pagto ano]])*29,"mmmm")</f>
        <v>dezembro</v>
      </c>
    </row>
    <row r="637" spans="1:9" x14ac:dyDescent="0.25">
      <c r="A637">
        <v>2025</v>
      </c>
      <c r="B637" t="s">
        <v>1269</v>
      </c>
      <c r="C637" s="1">
        <v>45702</v>
      </c>
      <c r="D637" t="s">
        <v>1270</v>
      </c>
      <c r="E637">
        <v>161.18</v>
      </c>
      <c r="G637" s="3">
        <f>MONTH(Tabela1[[#This Row],[Último pagto ano]])</f>
        <v>2</v>
      </c>
      <c r="H637" t="str">
        <f>TEXT(Tabela1[[#This Row],[Coluna2]]*29,"mmmm")</f>
        <v>fevereiro</v>
      </c>
      <c r="I637" t="str">
        <f>TEXT(MONTH(Tabela1[[#This Row],[Último pagto ano]])*29,"mmmm")</f>
        <v>fevereiro</v>
      </c>
    </row>
    <row r="638" spans="1:9" x14ac:dyDescent="0.25">
      <c r="A638">
        <v>2025</v>
      </c>
      <c r="B638" t="s">
        <v>1271</v>
      </c>
      <c r="C638" s="1">
        <v>46006</v>
      </c>
      <c r="D638" t="s">
        <v>1272</v>
      </c>
      <c r="E638" s="2">
        <v>7707.12</v>
      </c>
      <c r="G638" s="3">
        <f>MONTH(Tabela1[[#This Row],[Último pagto ano]])</f>
        <v>12</v>
      </c>
      <c r="H638" t="str">
        <f>TEXT(Tabela1[[#This Row],[Coluna2]]*29,"mmmm")</f>
        <v>dezembro</v>
      </c>
      <c r="I638" t="str">
        <f>TEXT(MONTH(Tabela1[[#This Row],[Último pagto ano]])*29,"mmmm")</f>
        <v>dezembro</v>
      </c>
    </row>
    <row r="639" spans="1:9" x14ac:dyDescent="0.25">
      <c r="A639">
        <v>2025</v>
      </c>
      <c r="B639" t="s">
        <v>1273</v>
      </c>
      <c r="C639" s="1">
        <v>45929</v>
      </c>
      <c r="D639" t="s">
        <v>1274</v>
      </c>
      <c r="E639">
        <v>19.54</v>
      </c>
      <c r="G639" s="3">
        <f>MONTH(Tabela1[[#This Row],[Último pagto ano]])</f>
        <v>9</v>
      </c>
      <c r="H639" t="str">
        <f>TEXT(Tabela1[[#This Row],[Coluna2]]*29,"mmmm")</f>
        <v>setembro</v>
      </c>
      <c r="I639" t="str">
        <f>TEXT(MONTH(Tabela1[[#This Row],[Último pagto ano]])*29,"mmmm")</f>
        <v>setembro</v>
      </c>
    </row>
    <row r="640" spans="1:9" x14ac:dyDescent="0.25">
      <c r="A640">
        <v>2025</v>
      </c>
      <c r="B640" t="s">
        <v>1275</v>
      </c>
      <c r="C640" s="1">
        <v>45996</v>
      </c>
      <c r="D640" t="s">
        <v>1276</v>
      </c>
      <c r="E640" s="2">
        <v>5200</v>
      </c>
      <c r="G640" s="3">
        <f>MONTH(Tabela1[[#This Row],[Último pagto ano]])</f>
        <v>12</v>
      </c>
      <c r="H640" t="str">
        <f>TEXT(Tabela1[[#This Row],[Coluna2]]*29,"mmmm")</f>
        <v>dezembro</v>
      </c>
      <c r="I640" t="str">
        <f>TEXT(MONTH(Tabela1[[#This Row],[Último pagto ano]])*29,"mmmm")</f>
        <v>dezembro</v>
      </c>
    </row>
    <row r="641" spans="1:9" x14ac:dyDescent="0.25">
      <c r="A641">
        <v>2025</v>
      </c>
      <c r="B641" t="s">
        <v>1277</v>
      </c>
      <c r="C641" s="1">
        <v>45971</v>
      </c>
      <c r="D641" t="s">
        <v>1278</v>
      </c>
      <c r="E641">
        <v>440</v>
      </c>
      <c r="G641" s="3">
        <f>MONTH(Tabela1[[#This Row],[Último pagto ano]])</f>
        <v>11</v>
      </c>
      <c r="H641" t="str">
        <f>TEXT(Tabela1[[#This Row],[Coluna2]]*29,"mmmm")</f>
        <v>novembro</v>
      </c>
      <c r="I641" t="str">
        <f>TEXT(MONTH(Tabela1[[#This Row],[Último pagto ano]])*29,"mmmm")</f>
        <v>novembro</v>
      </c>
    </row>
    <row r="642" spans="1:9" x14ac:dyDescent="0.25">
      <c r="A642">
        <v>2025</v>
      </c>
      <c r="B642" t="s">
        <v>1279</v>
      </c>
      <c r="C642" s="1">
        <v>45996</v>
      </c>
      <c r="D642" t="s">
        <v>1280</v>
      </c>
      <c r="E642" s="2">
        <v>3000</v>
      </c>
      <c r="G642" s="3">
        <f>MONTH(Tabela1[[#This Row],[Último pagto ano]])</f>
        <v>12</v>
      </c>
      <c r="H642" t="str">
        <f>TEXT(Tabela1[[#This Row],[Coluna2]]*29,"mmmm")</f>
        <v>dezembro</v>
      </c>
      <c r="I642" t="str">
        <f>TEXT(MONTH(Tabela1[[#This Row],[Último pagto ano]])*29,"mmmm")</f>
        <v>dezembro</v>
      </c>
    </row>
    <row r="643" spans="1:9" x14ac:dyDescent="0.25">
      <c r="A643">
        <v>2025</v>
      </c>
      <c r="B643" t="s">
        <v>1281</v>
      </c>
      <c r="C643" s="1">
        <v>45989</v>
      </c>
      <c r="D643" t="s">
        <v>1282</v>
      </c>
      <c r="E643" s="2">
        <v>7679.02</v>
      </c>
      <c r="G643" s="3">
        <f>MONTH(Tabela1[[#This Row],[Último pagto ano]])</f>
        <v>11</v>
      </c>
      <c r="H643" t="str">
        <f>TEXT(Tabela1[[#This Row],[Coluna2]]*29,"mmmm")</f>
        <v>novembro</v>
      </c>
      <c r="I643" t="str">
        <f>TEXT(MONTH(Tabela1[[#This Row],[Último pagto ano]])*29,"mmmm")</f>
        <v>novembro</v>
      </c>
    </row>
    <row r="644" spans="1:9" x14ac:dyDescent="0.25">
      <c r="A644">
        <v>2025</v>
      </c>
      <c r="B644" t="s">
        <v>1283</v>
      </c>
      <c r="C644" s="1">
        <v>46006</v>
      </c>
      <c r="D644" t="s">
        <v>1284</v>
      </c>
      <c r="E644" s="2">
        <v>1760</v>
      </c>
      <c r="G644" s="3">
        <f>MONTH(Tabela1[[#This Row],[Último pagto ano]])</f>
        <v>12</v>
      </c>
      <c r="H644" t="str">
        <f>TEXT(Tabela1[[#This Row],[Coluna2]]*29,"mmmm")</f>
        <v>dezembro</v>
      </c>
      <c r="I644" t="str">
        <f>TEXT(MONTH(Tabela1[[#This Row],[Último pagto ano]])*29,"mmmm")</f>
        <v>dezembro</v>
      </c>
    </row>
    <row r="645" spans="1:9" x14ac:dyDescent="0.25">
      <c r="A645">
        <v>2025</v>
      </c>
      <c r="B645" t="s">
        <v>1285</v>
      </c>
      <c r="C645" s="1">
        <v>45673</v>
      </c>
      <c r="D645" t="s">
        <v>1286</v>
      </c>
      <c r="E645">
        <v>950</v>
      </c>
      <c r="G645" s="3">
        <f>MONTH(Tabela1[[#This Row],[Último pagto ano]])</f>
        <v>1</v>
      </c>
      <c r="H645" t="str">
        <f>TEXT(Tabela1[[#This Row],[Coluna2]]*29,"mmmm")</f>
        <v>janeiro</v>
      </c>
      <c r="I645" t="str">
        <f>TEXT(MONTH(Tabela1[[#This Row],[Último pagto ano]])*29,"mmmm")</f>
        <v>janeiro</v>
      </c>
    </row>
    <row r="646" spans="1:9" x14ac:dyDescent="0.25">
      <c r="A646">
        <v>2025</v>
      </c>
      <c r="B646" t="s">
        <v>1287</v>
      </c>
      <c r="C646" s="1">
        <v>45908</v>
      </c>
      <c r="D646" t="s">
        <v>1288</v>
      </c>
      <c r="E646">
        <v>533.14</v>
      </c>
      <c r="G646" s="3">
        <f>MONTH(Tabela1[[#This Row],[Último pagto ano]])</f>
        <v>9</v>
      </c>
      <c r="H646" t="str">
        <f>TEXT(Tabela1[[#This Row],[Coluna2]]*29,"mmmm")</f>
        <v>setembro</v>
      </c>
      <c r="I646" t="str">
        <f>TEXT(MONTH(Tabela1[[#This Row],[Último pagto ano]])*29,"mmmm")</f>
        <v>setembro</v>
      </c>
    </row>
    <row r="647" spans="1:9" x14ac:dyDescent="0.25">
      <c r="A647">
        <v>2025</v>
      </c>
      <c r="B647" t="s">
        <v>1289</v>
      </c>
      <c r="C647" s="1">
        <v>46006</v>
      </c>
      <c r="D647" t="s">
        <v>1290</v>
      </c>
      <c r="E647" s="2">
        <v>3998.16</v>
      </c>
      <c r="G647" s="3">
        <f>MONTH(Tabela1[[#This Row],[Último pagto ano]])</f>
        <v>12</v>
      </c>
      <c r="H647" t="str">
        <f>TEXT(Tabela1[[#This Row],[Coluna2]]*29,"mmmm")</f>
        <v>dezembro</v>
      </c>
      <c r="I647" t="str">
        <f>TEXT(MONTH(Tabela1[[#This Row],[Último pagto ano]])*29,"mmmm")</f>
        <v>dezembro</v>
      </c>
    </row>
    <row r="648" spans="1:9" x14ac:dyDescent="0.25">
      <c r="A648">
        <v>2025</v>
      </c>
      <c r="B648" t="s">
        <v>1291</v>
      </c>
      <c r="C648" s="1">
        <v>45929</v>
      </c>
      <c r="D648" t="s">
        <v>1292</v>
      </c>
      <c r="E648" s="2">
        <v>1170</v>
      </c>
      <c r="G648" s="3">
        <f>MONTH(Tabela1[[#This Row],[Último pagto ano]])</f>
        <v>9</v>
      </c>
      <c r="H648" t="str">
        <f>TEXT(Tabela1[[#This Row],[Coluna2]]*29,"mmmm")</f>
        <v>setembro</v>
      </c>
      <c r="I648" t="str">
        <f>TEXT(MONTH(Tabela1[[#This Row],[Último pagto ano]])*29,"mmmm")</f>
        <v>setembro</v>
      </c>
    </row>
    <row r="649" spans="1:9" x14ac:dyDescent="0.25">
      <c r="A649">
        <v>2025</v>
      </c>
      <c r="B649" t="s">
        <v>1293</v>
      </c>
      <c r="C649" s="1">
        <v>45996</v>
      </c>
      <c r="D649" t="s">
        <v>1294</v>
      </c>
      <c r="E649" s="2">
        <v>15000</v>
      </c>
      <c r="G649" s="3">
        <f>MONTH(Tabela1[[#This Row],[Último pagto ano]])</f>
        <v>12</v>
      </c>
      <c r="H649" t="str">
        <f>TEXT(Tabela1[[#This Row],[Coluna2]]*29,"mmmm")</f>
        <v>dezembro</v>
      </c>
      <c r="I649" t="str">
        <f>TEXT(MONTH(Tabela1[[#This Row],[Último pagto ano]])*29,"mmmm")</f>
        <v>dezembro</v>
      </c>
    </row>
    <row r="650" spans="1:9" x14ac:dyDescent="0.25">
      <c r="A650">
        <v>2025</v>
      </c>
      <c r="B650" t="s">
        <v>1295</v>
      </c>
      <c r="C650" s="1">
        <v>45674</v>
      </c>
      <c r="D650" t="s">
        <v>1296</v>
      </c>
      <c r="E650" s="2">
        <v>5190</v>
      </c>
      <c r="G650" s="3">
        <f>MONTH(Tabela1[[#This Row],[Último pagto ano]])</f>
        <v>1</v>
      </c>
      <c r="H650" t="str">
        <f>TEXT(Tabela1[[#This Row],[Coluna2]]*29,"mmmm")</f>
        <v>janeiro</v>
      </c>
      <c r="I650" t="str">
        <f>TEXT(MONTH(Tabela1[[#This Row],[Último pagto ano]])*29,"mmmm")</f>
        <v>janeiro</v>
      </c>
    </row>
    <row r="651" spans="1:9" x14ac:dyDescent="0.25">
      <c r="A651">
        <v>2025</v>
      </c>
      <c r="B651" t="s">
        <v>1297</v>
      </c>
      <c r="C651" s="1">
        <v>45702</v>
      </c>
      <c r="D651" t="s">
        <v>1298</v>
      </c>
      <c r="E651" s="2">
        <v>1289.1400000000001</v>
      </c>
      <c r="G651" s="3">
        <f>MONTH(Tabela1[[#This Row],[Último pagto ano]])</f>
        <v>2</v>
      </c>
      <c r="H651" t="str">
        <f>TEXT(Tabela1[[#This Row],[Coluna2]]*29,"mmmm")</f>
        <v>fevereiro</v>
      </c>
      <c r="I651" t="str">
        <f>TEXT(MONTH(Tabela1[[#This Row],[Último pagto ano]])*29,"mmmm")</f>
        <v>fevereiro</v>
      </c>
    </row>
    <row r="652" spans="1:9" x14ac:dyDescent="0.25">
      <c r="A652">
        <v>2025</v>
      </c>
      <c r="B652" t="s">
        <v>1299</v>
      </c>
      <c r="C652" s="1">
        <v>46006</v>
      </c>
      <c r="D652" t="s">
        <v>1300</v>
      </c>
      <c r="E652" s="2">
        <v>20090.919999999998</v>
      </c>
      <c r="G652" s="3">
        <f>MONTH(Tabela1[[#This Row],[Último pagto ano]])</f>
        <v>12</v>
      </c>
      <c r="H652" t="str">
        <f>TEXT(Tabela1[[#This Row],[Coluna2]]*29,"mmmm")</f>
        <v>dezembro</v>
      </c>
      <c r="I652" t="str">
        <f>TEXT(MONTH(Tabela1[[#This Row],[Último pagto ano]])*29,"mmmm")</f>
        <v>dezembro</v>
      </c>
    </row>
    <row r="653" spans="1:9" x14ac:dyDescent="0.25">
      <c r="A653">
        <v>2025</v>
      </c>
      <c r="B653" t="s">
        <v>1301</v>
      </c>
      <c r="C653" s="1">
        <v>46006</v>
      </c>
      <c r="D653" t="s">
        <v>1302</v>
      </c>
      <c r="E653" s="2">
        <v>4055.2</v>
      </c>
      <c r="G653" s="3">
        <f>MONTH(Tabela1[[#This Row],[Último pagto ano]])</f>
        <v>12</v>
      </c>
      <c r="H653" t="str">
        <f>TEXT(Tabela1[[#This Row],[Coluna2]]*29,"mmmm")</f>
        <v>dezembro</v>
      </c>
      <c r="I653" t="str">
        <f>TEXT(MONTH(Tabela1[[#This Row],[Último pagto ano]])*29,"mmmm")</f>
        <v>dezembro</v>
      </c>
    </row>
    <row r="654" spans="1:9" x14ac:dyDescent="0.25">
      <c r="A654">
        <v>2025</v>
      </c>
      <c r="B654" t="s">
        <v>1303</v>
      </c>
      <c r="C654" s="1">
        <v>46013</v>
      </c>
      <c r="D654" t="s">
        <v>1304</v>
      </c>
      <c r="E654" s="2">
        <v>7101.8</v>
      </c>
      <c r="G654" s="3">
        <f>MONTH(Tabela1[[#This Row],[Último pagto ano]])</f>
        <v>12</v>
      </c>
      <c r="H654" t="str">
        <f>TEXT(Tabela1[[#This Row],[Coluna2]]*29,"mmmm")</f>
        <v>dezembro</v>
      </c>
      <c r="I654" t="str">
        <f>TEXT(MONTH(Tabela1[[#This Row],[Último pagto ano]])*29,"mmmm")</f>
        <v>dezembro</v>
      </c>
    </row>
    <row r="655" spans="1:9" x14ac:dyDescent="0.25">
      <c r="A655">
        <v>2025</v>
      </c>
      <c r="B655" t="s">
        <v>1305</v>
      </c>
      <c r="C655" s="1">
        <v>46006</v>
      </c>
      <c r="D655" t="s">
        <v>1306</v>
      </c>
      <c r="E655" s="2">
        <v>5535.84</v>
      </c>
      <c r="G655" s="3">
        <f>MONTH(Tabela1[[#This Row],[Último pagto ano]])</f>
        <v>12</v>
      </c>
      <c r="H655" t="str">
        <f>TEXT(Tabela1[[#This Row],[Coluna2]]*29,"mmmm")</f>
        <v>dezembro</v>
      </c>
      <c r="I655" t="str">
        <f>TEXT(MONTH(Tabela1[[#This Row],[Último pagto ano]])*29,"mmmm")</f>
        <v>dezembro</v>
      </c>
    </row>
    <row r="656" spans="1:9" x14ac:dyDescent="0.25">
      <c r="A656">
        <v>2025</v>
      </c>
      <c r="B656" t="s">
        <v>1307</v>
      </c>
      <c r="C656" s="1">
        <v>45996</v>
      </c>
      <c r="D656" t="s">
        <v>1308</v>
      </c>
      <c r="E656" s="2">
        <v>8760</v>
      </c>
      <c r="G656" s="3">
        <f>MONTH(Tabela1[[#This Row],[Último pagto ano]])</f>
        <v>12</v>
      </c>
      <c r="H656" t="str">
        <f>TEXT(Tabela1[[#This Row],[Coluna2]]*29,"mmmm")</f>
        <v>dezembro</v>
      </c>
      <c r="I656" t="str">
        <f>TEXT(MONTH(Tabela1[[#This Row],[Último pagto ano]])*29,"mmmm")</f>
        <v>dezembro</v>
      </c>
    </row>
    <row r="657" spans="1:9" x14ac:dyDescent="0.25">
      <c r="A657">
        <v>2025</v>
      </c>
      <c r="B657" t="s">
        <v>1309</v>
      </c>
      <c r="C657" s="1">
        <v>45975</v>
      </c>
      <c r="D657" t="s">
        <v>1310</v>
      </c>
      <c r="E657" s="2">
        <v>5922.56</v>
      </c>
      <c r="G657" s="3">
        <f>MONTH(Tabela1[[#This Row],[Último pagto ano]])</f>
        <v>11</v>
      </c>
      <c r="H657" t="str">
        <f>TEXT(Tabela1[[#This Row],[Coluna2]]*29,"mmmm")</f>
        <v>novembro</v>
      </c>
      <c r="I657" t="str">
        <f>TEXT(MONTH(Tabela1[[#This Row],[Último pagto ano]])*29,"mmmm")</f>
        <v>novembro</v>
      </c>
    </row>
    <row r="658" spans="1:9" x14ac:dyDescent="0.25">
      <c r="A658">
        <v>2025</v>
      </c>
      <c r="B658" t="s">
        <v>1311</v>
      </c>
      <c r="C658" s="1">
        <v>45733</v>
      </c>
      <c r="D658" t="s">
        <v>1312</v>
      </c>
      <c r="E658" s="2">
        <v>1480.64</v>
      </c>
      <c r="G658" s="3">
        <f>MONTH(Tabela1[[#This Row],[Último pagto ano]])</f>
        <v>3</v>
      </c>
      <c r="H658" t="str">
        <f>TEXT(Tabela1[[#This Row],[Coluna2]]*29,"mmmm")</f>
        <v>março</v>
      </c>
      <c r="I658" t="str">
        <f>TEXT(MONTH(Tabela1[[#This Row],[Último pagto ano]])*29,"mmmm")</f>
        <v>março</v>
      </c>
    </row>
    <row r="659" spans="1:9" x14ac:dyDescent="0.25">
      <c r="A659">
        <v>2025</v>
      </c>
      <c r="B659" t="s">
        <v>1313</v>
      </c>
      <c r="C659" s="1">
        <v>45853</v>
      </c>
      <c r="D659" t="s">
        <v>1314</v>
      </c>
      <c r="E659" s="2">
        <v>2073.12</v>
      </c>
      <c r="G659" s="3">
        <f>MONTH(Tabela1[[#This Row],[Último pagto ano]])</f>
        <v>7</v>
      </c>
      <c r="H659" t="str">
        <f>TEXT(Tabela1[[#This Row],[Coluna2]]*29,"mmmm")</f>
        <v>julho</v>
      </c>
      <c r="I659" t="str">
        <f>TEXT(MONTH(Tabela1[[#This Row],[Último pagto ano]])*29,"mmmm")</f>
        <v>julho</v>
      </c>
    </row>
    <row r="660" spans="1:9" x14ac:dyDescent="0.25">
      <c r="A660">
        <v>2025</v>
      </c>
      <c r="B660" t="s">
        <v>1315</v>
      </c>
      <c r="C660" s="1">
        <v>46010</v>
      </c>
      <c r="D660" t="s">
        <v>1316</v>
      </c>
      <c r="E660" s="2">
        <v>6300</v>
      </c>
      <c r="G660" s="3">
        <f>MONTH(Tabela1[[#This Row],[Último pagto ano]])</f>
        <v>12</v>
      </c>
      <c r="H660" t="str">
        <f>TEXT(Tabela1[[#This Row],[Coluna2]]*29,"mmmm")</f>
        <v>dezembro</v>
      </c>
      <c r="I660" t="str">
        <f>TEXT(MONTH(Tabela1[[#This Row],[Último pagto ano]])*29,"mmmm")</f>
        <v>dezembro</v>
      </c>
    </row>
    <row r="661" spans="1:9" x14ac:dyDescent="0.25">
      <c r="A661">
        <v>2025</v>
      </c>
      <c r="B661" t="s">
        <v>1317</v>
      </c>
      <c r="C661" s="1">
        <v>46006</v>
      </c>
      <c r="D661" t="s">
        <v>1318</v>
      </c>
      <c r="E661" s="2">
        <v>16220.8</v>
      </c>
      <c r="G661" s="3">
        <f>MONTH(Tabela1[[#This Row],[Último pagto ano]])</f>
        <v>12</v>
      </c>
      <c r="H661" t="str">
        <f>TEXT(Tabela1[[#This Row],[Coluna2]]*29,"mmmm")</f>
        <v>dezembro</v>
      </c>
      <c r="I661" t="str">
        <f>TEXT(MONTH(Tabela1[[#This Row],[Último pagto ano]])*29,"mmmm")</f>
        <v>dezembro</v>
      </c>
    </row>
    <row r="662" spans="1:9" x14ac:dyDescent="0.25">
      <c r="A662">
        <v>2025</v>
      </c>
      <c r="B662" t="s">
        <v>1319</v>
      </c>
      <c r="C662" s="1">
        <v>45945</v>
      </c>
      <c r="D662" t="s">
        <v>1320</v>
      </c>
      <c r="E662" s="2">
        <v>6613.8</v>
      </c>
      <c r="G662" s="3">
        <f>MONTH(Tabela1[[#This Row],[Último pagto ano]])</f>
        <v>10</v>
      </c>
      <c r="H662" t="str">
        <f>TEXT(Tabela1[[#This Row],[Coluna2]]*29,"mmmm")</f>
        <v>outubro</v>
      </c>
      <c r="I662" t="str">
        <f>TEXT(MONTH(Tabela1[[#This Row],[Último pagto ano]])*29,"mmmm")</f>
        <v>outubro</v>
      </c>
    </row>
    <row r="663" spans="1:9" x14ac:dyDescent="0.25">
      <c r="A663">
        <v>2025</v>
      </c>
      <c r="B663" t="s">
        <v>1321</v>
      </c>
      <c r="C663" s="1">
        <v>46014</v>
      </c>
      <c r="D663" t="s">
        <v>1322</v>
      </c>
      <c r="E663" s="2">
        <v>6560</v>
      </c>
      <c r="G663" s="3">
        <f>MONTH(Tabela1[[#This Row],[Último pagto ano]])</f>
        <v>12</v>
      </c>
      <c r="H663" t="str">
        <f>TEXT(Tabela1[[#This Row],[Coluna2]]*29,"mmmm")</f>
        <v>dezembro</v>
      </c>
      <c r="I663" t="str">
        <f>TEXT(MONTH(Tabela1[[#This Row],[Último pagto ano]])*29,"mmmm")</f>
        <v>dezembro</v>
      </c>
    </row>
    <row r="664" spans="1:9" x14ac:dyDescent="0.25">
      <c r="A664">
        <v>2025</v>
      </c>
      <c r="B664" t="s">
        <v>1323</v>
      </c>
      <c r="C664" s="1">
        <v>45988</v>
      </c>
      <c r="D664" t="s">
        <v>1324</v>
      </c>
      <c r="E664" s="2">
        <v>3564</v>
      </c>
      <c r="G664" s="3">
        <f>MONTH(Tabela1[[#This Row],[Último pagto ano]])</f>
        <v>11</v>
      </c>
      <c r="H664" t="str">
        <f>TEXT(Tabela1[[#This Row],[Coluna2]]*29,"mmmm")</f>
        <v>novembro</v>
      </c>
      <c r="I664" t="str">
        <f>TEXT(MONTH(Tabela1[[#This Row],[Último pagto ano]])*29,"mmmm")</f>
        <v>novembro</v>
      </c>
    </row>
    <row r="665" spans="1:9" x14ac:dyDescent="0.25">
      <c r="A665">
        <v>2025</v>
      </c>
      <c r="B665" t="s">
        <v>1325</v>
      </c>
      <c r="C665" s="1">
        <v>46010</v>
      </c>
      <c r="D665" t="s">
        <v>1326</v>
      </c>
      <c r="E665" s="2">
        <v>5600</v>
      </c>
      <c r="G665" s="3">
        <f>MONTH(Tabela1[[#This Row],[Último pagto ano]])</f>
        <v>12</v>
      </c>
      <c r="H665" t="str">
        <f>TEXT(Tabela1[[#This Row],[Coluna2]]*29,"mmmm")</f>
        <v>dezembro</v>
      </c>
      <c r="I665" t="str">
        <f>TEXT(MONTH(Tabela1[[#This Row],[Último pagto ano]])*29,"mmmm")</f>
        <v>dezembro</v>
      </c>
    </row>
    <row r="666" spans="1:9" x14ac:dyDescent="0.25">
      <c r="A666">
        <v>2025</v>
      </c>
      <c r="B666" t="s">
        <v>1327</v>
      </c>
      <c r="C666" s="1">
        <v>45884</v>
      </c>
      <c r="D666" t="s">
        <v>1328</v>
      </c>
      <c r="E666" s="2">
        <v>7929.92</v>
      </c>
      <c r="G666" s="3">
        <f>MONTH(Tabela1[[#This Row],[Último pagto ano]])</f>
        <v>8</v>
      </c>
      <c r="H666" t="str">
        <f>TEXT(Tabela1[[#This Row],[Coluna2]]*29,"mmmm")</f>
        <v>agosto</v>
      </c>
      <c r="I666" t="str">
        <f>TEXT(MONTH(Tabela1[[#This Row],[Último pagto ano]])*29,"mmmm")</f>
        <v>agosto</v>
      </c>
    </row>
    <row r="667" spans="1:9" x14ac:dyDescent="0.25">
      <c r="A667">
        <v>2025</v>
      </c>
      <c r="B667" t="s">
        <v>1329</v>
      </c>
      <c r="C667" s="1">
        <v>45999</v>
      </c>
      <c r="D667" t="s">
        <v>1330</v>
      </c>
      <c r="E667" s="2">
        <v>1507</v>
      </c>
      <c r="G667" s="3">
        <f>MONTH(Tabela1[[#This Row],[Último pagto ano]])</f>
        <v>12</v>
      </c>
      <c r="H667" t="str">
        <f>TEXT(Tabela1[[#This Row],[Coluna2]]*29,"mmmm")</f>
        <v>dezembro</v>
      </c>
      <c r="I667" t="str">
        <f>TEXT(MONTH(Tabela1[[#This Row],[Último pagto ano]])*29,"mmmm")</f>
        <v>dezembro</v>
      </c>
    </row>
    <row r="668" spans="1:9" x14ac:dyDescent="0.25">
      <c r="A668">
        <v>2025</v>
      </c>
      <c r="B668" t="s">
        <v>1329</v>
      </c>
      <c r="C668" s="1">
        <v>45975</v>
      </c>
      <c r="D668" t="s">
        <v>1331</v>
      </c>
      <c r="E668" s="2">
        <v>7773.36</v>
      </c>
      <c r="G668" s="3">
        <f>MONTH(Tabela1[[#This Row],[Último pagto ano]])</f>
        <v>11</v>
      </c>
      <c r="H668" t="str">
        <f>TEXT(Tabela1[[#This Row],[Coluna2]]*29,"mmmm")</f>
        <v>novembro</v>
      </c>
      <c r="I668" t="str">
        <f>TEXT(MONTH(Tabela1[[#This Row],[Último pagto ano]])*29,"mmmm")</f>
        <v>novembro</v>
      </c>
    </row>
    <row r="669" spans="1:9" x14ac:dyDescent="0.25">
      <c r="A669">
        <v>2025</v>
      </c>
      <c r="B669" t="s">
        <v>1332</v>
      </c>
      <c r="C669" s="1">
        <v>45996</v>
      </c>
      <c r="D669" t="s">
        <v>1333</v>
      </c>
      <c r="E669" s="2">
        <v>1400</v>
      </c>
      <c r="G669" s="3">
        <f>MONTH(Tabela1[[#This Row],[Último pagto ano]])</f>
        <v>12</v>
      </c>
      <c r="H669" t="str">
        <f>TEXT(Tabela1[[#This Row],[Coluna2]]*29,"mmmm")</f>
        <v>dezembro</v>
      </c>
      <c r="I669" t="str">
        <f>TEXT(MONTH(Tabela1[[#This Row],[Último pagto ano]])*29,"mmmm")</f>
        <v>dezembro</v>
      </c>
    </row>
    <row r="670" spans="1:9" x14ac:dyDescent="0.25">
      <c r="A670">
        <v>2025</v>
      </c>
      <c r="B670" t="s">
        <v>1334</v>
      </c>
      <c r="C670" s="1">
        <v>46003</v>
      </c>
      <c r="D670" t="s">
        <v>1335</v>
      </c>
      <c r="E670" s="2">
        <v>15909.16</v>
      </c>
      <c r="G670" s="3">
        <f>MONTH(Tabela1[[#This Row],[Último pagto ano]])</f>
        <v>12</v>
      </c>
      <c r="H670" t="str">
        <f>TEXT(Tabela1[[#This Row],[Coluna2]]*29,"mmmm")</f>
        <v>dezembro</v>
      </c>
      <c r="I670" t="str">
        <f>TEXT(MONTH(Tabela1[[#This Row],[Último pagto ano]])*29,"mmmm")</f>
        <v>dezembro</v>
      </c>
    </row>
    <row r="671" spans="1:9" x14ac:dyDescent="0.25">
      <c r="A671">
        <v>2025</v>
      </c>
      <c r="B671" t="s">
        <v>1336</v>
      </c>
      <c r="C671" s="1">
        <v>45771</v>
      </c>
      <c r="D671" t="s">
        <v>1337</v>
      </c>
      <c r="E671" s="2">
        <v>2800</v>
      </c>
      <c r="G671" s="3">
        <f>MONTH(Tabela1[[#This Row],[Último pagto ano]])</f>
        <v>4</v>
      </c>
      <c r="H671" t="str">
        <f>TEXT(Tabela1[[#This Row],[Coluna2]]*29,"mmmm")</f>
        <v>abril</v>
      </c>
      <c r="I671" t="str">
        <f>TEXT(MONTH(Tabela1[[#This Row],[Último pagto ano]])*29,"mmmm")</f>
        <v>abril</v>
      </c>
    </row>
    <row r="672" spans="1:9" x14ac:dyDescent="0.25">
      <c r="A672">
        <v>2025</v>
      </c>
      <c r="B672" t="s">
        <v>1338</v>
      </c>
      <c r="C672" s="1">
        <v>45919</v>
      </c>
      <c r="D672" t="s">
        <v>1339</v>
      </c>
      <c r="E672" s="2">
        <v>108460</v>
      </c>
      <c r="G672" s="3">
        <f>MONTH(Tabela1[[#This Row],[Último pagto ano]])</f>
        <v>9</v>
      </c>
      <c r="H672" t="str">
        <f>TEXT(Tabela1[[#This Row],[Coluna2]]*29,"mmmm")</f>
        <v>setembro</v>
      </c>
      <c r="I672" t="str">
        <f>TEXT(MONTH(Tabela1[[#This Row],[Último pagto ano]])*29,"mmmm")</f>
        <v>setembro</v>
      </c>
    </row>
    <row r="673" spans="1:9" x14ac:dyDescent="0.25">
      <c r="A673">
        <v>2025</v>
      </c>
      <c r="B673" t="s">
        <v>1340</v>
      </c>
      <c r="C673" s="1">
        <v>45853</v>
      </c>
      <c r="D673" t="s">
        <v>1341</v>
      </c>
      <c r="E673" s="2">
        <v>2369.2800000000002</v>
      </c>
      <c r="G673" s="3">
        <f>MONTH(Tabela1[[#This Row],[Último pagto ano]])</f>
        <v>7</v>
      </c>
      <c r="H673" t="str">
        <f>TEXT(Tabela1[[#This Row],[Coluna2]]*29,"mmmm")</f>
        <v>julho</v>
      </c>
      <c r="I673" t="str">
        <f>TEXT(MONTH(Tabela1[[#This Row],[Último pagto ano]])*29,"mmmm")</f>
        <v>julho</v>
      </c>
    </row>
    <row r="674" spans="1:9" x14ac:dyDescent="0.25">
      <c r="A674">
        <v>2025</v>
      </c>
      <c r="B674" t="s">
        <v>1342</v>
      </c>
      <c r="C674" s="1">
        <v>45996</v>
      </c>
      <c r="D674" t="s">
        <v>1343</v>
      </c>
      <c r="E674" s="2">
        <v>64800</v>
      </c>
      <c r="G674" s="3">
        <f>MONTH(Tabela1[[#This Row],[Último pagto ano]])</f>
        <v>12</v>
      </c>
      <c r="H674" t="str">
        <f>TEXT(Tabela1[[#This Row],[Coluna2]]*29,"mmmm")</f>
        <v>dezembro</v>
      </c>
      <c r="I674" t="str">
        <f>TEXT(MONTH(Tabela1[[#This Row],[Último pagto ano]])*29,"mmmm")</f>
        <v>dezembro</v>
      </c>
    </row>
    <row r="675" spans="1:9" x14ac:dyDescent="0.25">
      <c r="A675">
        <v>2025</v>
      </c>
      <c r="B675" t="s">
        <v>1344</v>
      </c>
      <c r="C675" s="1">
        <v>45968</v>
      </c>
      <c r="D675" t="s">
        <v>1345</v>
      </c>
      <c r="E675" s="2">
        <v>58080</v>
      </c>
      <c r="G675" s="3">
        <f>MONTH(Tabela1[[#This Row],[Último pagto ano]])</f>
        <v>11</v>
      </c>
      <c r="H675" t="str">
        <f>TEXT(Tabela1[[#This Row],[Coluna2]]*29,"mmmm")</f>
        <v>novembro</v>
      </c>
      <c r="I675" t="str">
        <f>TEXT(MONTH(Tabela1[[#This Row],[Último pagto ano]])*29,"mmmm")</f>
        <v>novembro</v>
      </c>
    </row>
    <row r="676" spans="1:9" x14ac:dyDescent="0.25">
      <c r="A676">
        <v>2025</v>
      </c>
      <c r="B676" t="s">
        <v>1346</v>
      </c>
      <c r="C676" s="1">
        <v>45866</v>
      </c>
      <c r="D676" t="s">
        <v>1347</v>
      </c>
      <c r="E676" s="2">
        <v>4900</v>
      </c>
      <c r="G676" s="3">
        <f>MONTH(Tabela1[[#This Row],[Último pagto ano]])</f>
        <v>7</v>
      </c>
      <c r="H676" t="str">
        <f>TEXT(Tabela1[[#This Row],[Coluna2]]*29,"mmmm")</f>
        <v>julho</v>
      </c>
      <c r="I676" t="str">
        <f>TEXT(MONTH(Tabela1[[#This Row],[Último pagto ano]])*29,"mmmm")</f>
        <v>julho</v>
      </c>
    </row>
    <row r="677" spans="1:9" x14ac:dyDescent="0.25">
      <c r="A677">
        <v>2025</v>
      </c>
      <c r="B677" t="s">
        <v>1348</v>
      </c>
      <c r="C677" s="1">
        <v>45856</v>
      </c>
      <c r="D677" t="s">
        <v>1349</v>
      </c>
      <c r="E677">
        <v>1.04</v>
      </c>
      <c r="G677" s="3">
        <f>MONTH(Tabela1[[#This Row],[Último pagto ano]])</f>
        <v>7</v>
      </c>
      <c r="H677" t="str">
        <f>TEXT(Tabela1[[#This Row],[Coluna2]]*29,"mmmm")</f>
        <v>julho</v>
      </c>
      <c r="I677" t="str">
        <f>TEXT(MONTH(Tabela1[[#This Row],[Último pagto ano]])*29,"mmmm")</f>
        <v>julho</v>
      </c>
    </row>
    <row r="678" spans="1:9" x14ac:dyDescent="0.25">
      <c r="A678">
        <v>2025</v>
      </c>
      <c r="B678" t="s">
        <v>1350</v>
      </c>
      <c r="C678" s="1">
        <v>45807</v>
      </c>
      <c r="D678" t="s">
        <v>1351</v>
      </c>
      <c r="E678">
        <v>57</v>
      </c>
      <c r="G678" s="3">
        <f>MONTH(Tabela1[[#This Row],[Último pagto ano]])</f>
        <v>5</v>
      </c>
      <c r="H678" t="str">
        <f>TEXT(Tabela1[[#This Row],[Coluna2]]*29,"mmmm")</f>
        <v>maio</v>
      </c>
      <c r="I678" t="str">
        <f>TEXT(MONTH(Tabela1[[#This Row],[Último pagto ano]])*29,"mmmm")</f>
        <v>maio</v>
      </c>
    </row>
    <row r="679" spans="1:9" x14ac:dyDescent="0.25">
      <c r="A679">
        <v>2025</v>
      </c>
      <c r="B679" t="s">
        <v>1352</v>
      </c>
      <c r="C679" s="1">
        <v>45882</v>
      </c>
      <c r="D679" t="s">
        <v>1353</v>
      </c>
      <c r="E679" s="2">
        <v>2049.63</v>
      </c>
      <c r="G679" s="3">
        <f>MONTH(Tabela1[[#This Row],[Último pagto ano]])</f>
        <v>8</v>
      </c>
      <c r="H679" t="str">
        <f>TEXT(Tabela1[[#This Row],[Coluna2]]*29,"mmmm")</f>
        <v>agosto</v>
      </c>
      <c r="I679" t="str">
        <f>TEXT(MONTH(Tabela1[[#This Row],[Último pagto ano]])*29,"mmmm")</f>
        <v>agosto</v>
      </c>
    </row>
    <row r="680" spans="1:9" x14ac:dyDescent="0.25">
      <c r="A680">
        <v>2025</v>
      </c>
      <c r="B680" t="s">
        <v>1354</v>
      </c>
      <c r="C680" s="1">
        <v>45989</v>
      </c>
      <c r="D680" t="s">
        <v>1355</v>
      </c>
      <c r="E680" s="2">
        <v>7735.27</v>
      </c>
      <c r="G680" s="3">
        <f>MONTH(Tabela1[[#This Row],[Último pagto ano]])</f>
        <v>11</v>
      </c>
      <c r="H680" t="str">
        <f>TEXT(Tabela1[[#This Row],[Coluna2]]*29,"mmmm")</f>
        <v>novembro</v>
      </c>
      <c r="I680" t="str">
        <f>TEXT(MONTH(Tabela1[[#This Row],[Último pagto ano]])*29,"mmmm")</f>
        <v>novembro</v>
      </c>
    </row>
    <row r="681" spans="1:9" x14ac:dyDescent="0.25">
      <c r="A681">
        <v>2025</v>
      </c>
      <c r="B681" t="s">
        <v>1356</v>
      </c>
      <c r="C681" s="1">
        <v>45777</v>
      </c>
      <c r="D681" t="s">
        <v>1357</v>
      </c>
      <c r="E681" s="2">
        <v>3772.83</v>
      </c>
      <c r="G681" s="3">
        <f>MONTH(Tabela1[[#This Row],[Último pagto ano]])</f>
        <v>4</v>
      </c>
      <c r="H681" t="str">
        <f>TEXT(Tabela1[[#This Row],[Coluna2]]*29,"mmmm")</f>
        <v>abril</v>
      </c>
      <c r="I681" t="str">
        <f>TEXT(MONTH(Tabela1[[#This Row],[Último pagto ano]])*29,"mmmm")</f>
        <v>abril</v>
      </c>
    </row>
    <row r="682" spans="1:9" x14ac:dyDescent="0.25">
      <c r="A682">
        <v>2025</v>
      </c>
      <c r="B682" t="s">
        <v>1358</v>
      </c>
      <c r="C682" s="1">
        <v>45908</v>
      </c>
      <c r="D682" t="s">
        <v>1359</v>
      </c>
      <c r="E682">
        <v>22</v>
      </c>
      <c r="G682" s="3">
        <f>MONTH(Tabela1[[#This Row],[Último pagto ano]])</f>
        <v>9</v>
      </c>
      <c r="H682" t="str">
        <f>TEXT(Tabela1[[#This Row],[Coluna2]]*29,"mmmm")</f>
        <v>setembro</v>
      </c>
      <c r="I682" t="str">
        <f>TEXT(MONTH(Tabela1[[#This Row],[Último pagto ano]])*29,"mmmm")</f>
        <v>setembro</v>
      </c>
    </row>
    <row r="683" spans="1:9" x14ac:dyDescent="0.25">
      <c r="A683">
        <v>2025</v>
      </c>
      <c r="B683" t="s">
        <v>1360</v>
      </c>
      <c r="C683" s="1">
        <v>45702</v>
      </c>
      <c r="D683" t="s">
        <v>1361</v>
      </c>
      <c r="E683" s="2">
        <v>1116.96</v>
      </c>
      <c r="G683" s="3">
        <f>MONTH(Tabela1[[#This Row],[Último pagto ano]])</f>
        <v>2</v>
      </c>
      <c r="H683" t="str">
        <f>TEXT(Tabela1[[#This Row],[Coluna2]]*29,"mmmm")</f>
        <v>fevereiro</v>
      </c>
      <c r="I683" t="str">
        <f>TEXT(MONTH(Tabela1[[#This Row],[Último pagto ano]])*29,"mmmm")</f>
        <v>fevereiro</v>
      </c>
    </row>
    <row r="684" spans="1:9" x14ac:dyDescent="0.25">
      <c r="A684">
        <v>2025</v>
      </c>
      <c r="B684" t="s">
        <v>1362</v>
      </c>
      <c r="C684" s="1">
        <v>45803</v>
      </c>
      <c r="D684" t="s">
        <v>1363</v>
      </c>
      <c r="E684" s="2">
        <v>1640.93</v>
      </c>
      <c r="G684" s="3">
        <f>MONTH(Tabela1[[#This Row],[Último pagto ano]])</f>
        <v>5</v>
      </c>
      <c r="H684" t="str">
        <f>TEXT(Tabela1[[#This Row],[Coluna2]]*29,"mmmm")</f>
        <v>maio</v>
      </c>
      <c r="I684" t="str">
        <f>TEXT(MONTH(Tabela1[[#This Row],[Último pagto ano]])*29,"mmmm")</f>
        <v>maio</v>
      </c>
    </row>
    <row r="685" spans="1:9" x14ac:dyDescent="0.25">
      <c r="A685">
        <v>2025</v>
      </c>
      <c r="B685" t="s">
        <v>1364</v>
      </c>
      <c r="C685" s="1">
        <v>45952</v>
      </c>
      <c r="D685" t="s">
        <v>1365</v>
      </c>
      <c r="E685" s="2">
        <v>1973.41</v>
      </c>
      <c r="G685" s="3">
        <f>MONTH(Tabela1[[#This Row],[Último pagto ano]])</f>
        <v>10</v>
      </c>
      <c r="H685" t="str">
        <f>TEXT(Tabela1[[#This Row],[Coluna2]]*29,"mmmm")</f>
        <v>outubro</v>
      </c>
      <c r="I685" t="str">
        <f>TEXT(MONTH(Tabela1[[#This Row],[Último pagto ano]])*29,"mmmm")</f>
        <v>outubro</v>
      </c>
    </row>
    <row r="686" spans="1:9" x14ac:dyDescent="0.25">
      <c r="A686">
        <v>2025</v>
      </c>
      <c r="B686" t="s">
        <v>1366</v>
      </c>
      <c r="C686" s="1">
        <v>45852</v>
      </c>
      <c r="D686" t="s">
        <v>1367</v>
      </c>
      <c r="E686" s="2">
        <v>5911.21</v>
      </c>
      <c r="G686" s="3">
        <f>MONTH(Tabela1[[#This Row],[Último pagto ano]])</f>
        <v>7</v>
      </c>
      <c r="H686" t="str">
        <f>TEXT(Tabela1[[#This Row],[Coluna2]]*29,"mmmm")</f>
        <v>julho</v>
      </c>
      <c r="I686" t="str">
        <f>TEXT(MONTH(Tabela1[[#This Row],[Último pagto ano]])*29,"mmmm")</f>
        <v>julho</v>
      </c>
    </row>
    <row r="687" spans="1:9" x14ac:dyDescent="0.25">
      <c r="A687">
        <v>2025</v>
      </c>
      <c r="B687" t="s">
        <v>1368</v>
      </c>
      <c r="C687" s="1">
        <v>45996</v>
      </c>
      <c r="D687" t="s">
        <v>1369</v>
      </c>
      <c r="E687" s="2">
        <v>7000</v>
      </c>
      <c r="G687" s="3">
        <f>MONTH(Tabela1[[#This Row],[Último pagto ano]])</f>
        <v>12</v>
      </c>
      <c r="H687" t="str">
        <f>TEXT(Tabela1[[#This Row],[Coluna2]]*29,"mmmm")</f>
        <v>dezembro</v>
      </c>
      <c r="I687" t="str">
        <f>TEXT(MONTH(Tabela1[[#This Row],[Último pagto ano]])*29,"mmmm")</f>
        <v>dezembro</v>
      </c>
    </row>
    <row r="688" spans="1:9" x14ac:dyDescent="0.25">
      <c r="A688">
        <v>2025</v>
      </c>
      <c r="B688" t="s">
        <v>1370</v>
      </c>
      <c r="C688" s="1">
        <v>45807</v>
      </c>
      <c r="D688" t="s">
        <v>1371</v>
      </c>
      <c r="E688" s="2">
        <v>4424.29</v>
      </c>
      <c r="G688" s="3">
        <f>MONTH(Tabela1[[#This Row],[Último pagto ano]])</f>
        <v>5</v>
      </c>
      <c r="H688" t="str">
        <f>TEXT(Tabela1[[#This Row],[Coluna2]]*29,"mmmm")</f>
        <v>maio</v>
      </c>
      <c r="I688" t="str">
        <f>TEXT(MONTH(Tabela1[[#This Row],[Último pagto ano]])*29,"mmmm")</f>
        <v>maio</v>
      </c>
    </row>
    <row r="689" spans="1:9" x14ac:dyDescent="0.25">
      <c r="A689">
        <v>2025</v>
      </c>
      <c r="B689" t="s">
        <v>1372</v>
      </c>
      <c r="C689" s="1">
        <v>45964</v>
      </c>
      <c r="D689" t="s">
        <v>1373</v>
      </c>
      <c r="E689">
        <v>121</v>
      </c>
      <c r="G689" s="3">
        <f>MONTH(Tabela1[[#This Row],[Último pagto ano]])</f>
        <v>11</v>
      </c>
      <c r="H689" t="str">
        <f>TEXT(Tabela1[[#This Row],[Coluna2]]*29,"mmmm")</f>
        <v>novembro</v>
      </c>
      <c r="I689" t="str">
        <f>TEXT(MONTH(Tabela1[[#This Row],[Último pagto ano]])*29,"mmmm")</f>
        <v>novembro</v>
      </c>
    </row>
    <row r="690" spans="1:9" x14ac:dyDescent="0.25">
      <c r="A690">
        <v>2025</v>
      </c>
      <c r="B690" t="s">
        <v>1374</v>
      </c>
      <c r="C690" s="1">
        <v>45989</v>
      </c>
      <c r="D690" t="s">
        <v>1375</v>
      </c>
      <c r="E690" s="2">
        <v>3016.71</v>
      </c>
      <c r="G690" s="3">
        <f>MONTH(Tabela1[[#This Row],[Último pagto ano]])</f>
        <v>11</v>
      </c>
      <c r="H690" t="str">
        <f>TEXT(Tabela1[[#This Row],[Coluna2]]*29,"mmmm")</f>
        <v>novembro</v>
      </c>
      <c r="I690" t="str">
        <f>TEXT(MONTH(Tabela1[[#This Row],[Último pagto ano]])*29,"mmmm")</f>
        <v>novembro</v>
      </c>
    </row>
    <row r="691" spans="1:9" x14ac:dyDescent="0.25">
      <c r="A691">
        <v>2025</v>
      </c>
      <c r="B691" t="s">
        <v>1376</v>
      </c>
      <c r="C691" s="1">
        <v>45964</v>
      </c>
      <c r="D691" t="s">
        <v>1377</v>
      </c>
      <c r="E691">
        <v>88</v>
      </c>
      <c r="G691" s="3">
        <f>MONTH(Tabela1[[#This Row],[Último pagto ano]])</f>
        <v>11</v>
      </c>
      <c r="H691" t="str">
        <f>TEXT(Tabela1[[#This Row],[Coluna2]]*29,"mmmm")</f>
        <v>novembro</v>
      </c>
      <c r="I691" t="str">
        <f>TEXT(MONTH(Tabela1[[#This Row],[Último pagto ano]])*29,"mmmm")</f>
        <v>novembro</v>
      </c>
    </row>
    <row r="692" spans="1:9" x14ac:dyDescent="0.25">
      <c r="A692">
        <v>2025</v>
      </c>
      <c r="B692" t="s">
        <v>1378</v>
      </c>
      <c r="C692" s="1">
        <v>45744</v>
      </c>
      <c r="D692" t="s">
        <v>1379</v>
      </c>
      <c r="E692" s="2">
        <v>32042.77</v>
      </c>
      <c r="G692" s="3">
        <f>MONTH(Tabela1[[#This Row],[Último pagto ano]])</f>
        <v>3</v>
      </c>
      <c r="H692" t="str">
        <f>TEXT(Tabela1[[#This Row],[Coluna2]]*29,"mmmm")</f>
        <v>março</v>
      </c>
      <c r="I692" t="str">
        <f>TEXT(MONTH(Tabela1[[#This Row],[Último pagto ano]])*29,"mmmm")</f>
        <v>março</v>
      </c>
    </row>
    <row r="693" spans="1:9" x14ac:dyDescent="0.25">
      <c r="A693">
        <v>2025</v>
      </c>
      <c r="B693" t="s">
        <v>1380</v>
      </c>
      <c r="C693" s="1">
        <v>45880</v>
      </c>
      <c r="D693" t="s">
        <v>1381</v>
      </c>
      <c r="E693">
        <v>22</v>
      </c>
      <c r="G693" s="3">
        <f>MONTH(Tabela1[[#This Row],[Último pagto ano]])</f>
        <v>8</v>
      </c>
      <c r="H693" t="str">
        <f>TEXT(Tabela1[[#This Row],[Coluna2]]*29,"mmmm")</f>
        <v>agosto</v>
      </c>
      <c r="I693" t="str">
        <f>TEXT(MONTH(Tabela1[[#This Row],[Último pagto ano]])*29,"mmmm")</f>
        <v>agosto</v>
      </c>
    </row>
    <row r="694" spans="1:9" x14ac:dyDescent="0.25">
      <c r="A694">
        <v>2025</v>
      </c>
      <c r="B694" t="s">
        <v>1382</v>
      </c>
      <c r="C694" s="1">
        <v>45965</v>
      </c>
      <c r="D694" t="s">
        <v>1383</v>
      </c>
      <c r="E694" s="2">
        <v>1099</v>
      </c>
      <c r="G694" s="3">
        <f>MONTH(Tabela1[[#This Row],[Último pagto ano]])</f>
        <v>11</v>
      </c>
      <c r="H694" t="str">
        <f>TEXT(Tabela1[[#This Row],[Coluna2]]*29,"mmmm")</f>
        <v>novembro</v>
      </c>
      <c r="I694" t="str">
        <f>TEXT(MONTH(Tabela1[[#This Row],[Último pagto ano]])*29,"mmmm")</f>
        <v>novembro</v>
      </c>
    </row>
    <row r="695" spans="1:9" x14ac:dyDescent="0.25">
      <c r="A695">
        <v>2025</v>
      </c>
      <c r="B695" t="s">
        <v>1384</v>
      </c>
      <c r="C695" s="1">
        <v>45978</v>
      </c>
      <c r="D695" t="s">
        <v>1385</v>
      </c>
      <c r="E695">
        <v>33</v>
      </c>
      <c r="G695" s="3">
        <f>MONTH(Tabela1[[#This Row],[Último pagto ano]])</f>
        <v>11</v>
      </c>
      <c r="H695" t="str">
        <f>TEXT(Tabela1[[#This Row],[Coluna2]]*29,"mmmm")</f>
        <v>novembro</v>
      </c>
      <c r="I695" t="str">
        <f>TEXT(MONTH(Tabela1[[#This Row],[Último pagto ano]])*29,"mmmm")</f>
        <v>novembro</v>
      </c>
    </row>
    <row r="696" spans="1:9" x14ac:dyDescent="0.25">
      <c r="A696">
        <v>2025</v>
      </c>
      <c r="B696" t="s">
        <v>1386</v>
      </c>
      <c r="C696" s="1">
        <v>46006</v>
      </c>
      <c r="D696" t="s">
        <v>1387</v>
      </c>
      <c r="E696">
        <v>33</v>
      </c>
      <c r="G696" s="3">
        <f>MONTH(Tabela1[[#This Row],[Último pagto ano]])</f>
        <v>12</v>
      </c>
      <c r="H696" t="str">
        <f>TEXT(Tabela1[[#This Row],[Coluna2]]*29,"mmmm")</f>
        <v>dezembro</v>
      </c>
      <c r="I696" t="str">
        <f>TEXT(MONTH(Tabela1[[#This Row],[Último pagto ano]])*29,"mmmm")</f>
        <v>dezembro</v>
      </c>
    </row>
    <row r="697" spans="1:9" x14ac:dyDescent="0.25">
      <c r="A697">
        <v>2025</v>
      </c>
      <c r="B697" t="s">
        <v>1388</v>
      </c>
      <c r="C697" s="1">
        <v>45894</v>
      </c>
      <c r="D697" t="s">
        <v>1389</v>
      </c>
      <c r="E697" s="2">
        <v>2100</v>
      </c>
      <c r="G697" s="3">
        <f>MONTH(Tabela1[[#This Row],[Último pagto ano]])</f>
        <v>8</v>
      </c>
      <c r="H697" t="str">
        <f>TEXT(Tabela1[[#This Row],[Coluna2]]*29,"mmmm")</f>
        <v>agosto</v>
      </c>
      <c r="I697" t="str">
        <f>TEXT(MONTH(Tabela1[[#This Row],[Último pagto ano]])*29,"mmmm")</f>
        <v>agosto</v>
      </c>
    </row>
    <row r="698" spans="1:9" x14ac:dyDescent="0.25">
      <c r="A698">
        <v>2025</v>
      </c>
      <c r="B698" t="s">
        <v>1390</v>
      </c>
      <c r="C698" s="1">
        <v>45989</v>
      </c>
      <c r="D698" t="s">
        <v>1391</v>
      </c>
      <c r="E698" s="2">
        <v>8535.0300000000007</v>
      </c>
      <c r="G698" s="3">
        <f>MONTH(Tabela1[[#This Row],[Último pagto ano]])</f>
        <v>11</v>
      </c>
      <c r="H698" t="str">
        <f>TEXT(Tabela1[[#This Row],[Coluna2]]*29,"mmmm")</f>
        <v>novembro</v>
      </c>
      <c r="I698" t="str">
        <f>TEXT(MONTH(Tabela1[[#This Row],[Último pagto ano]])*29,"mmmm")</f>
        <v>novembro</v>
      </c>
    </row>
    <row r="699" spans="1:9" x14ac:dyDescent="0.25">
      <c r="A699">
        <v>2025</v>
      </c>
      <c r="B699" t="s">
        <v>1392</v>
      </c>
      <c r="C699" s="1">
        <v>46013</v>
      </c>
      <c r="D699" t="s">
        <v>1393</v>
      </c>
      <c r="E699" s="2">
        <v>6447.6</v>
      </c>
      <c r="G699" s="3">
        <f>MONTH(Tabela1[[#This Row],[Último pagto ano]])</f>
        <v>12</v>
      </c>
      <c r="H699" t="str">
        <f>TEXT(Tabela1[[#This Row],[Coluna2]]*29,"mmmm")</f>
        <v>dezembro</v>
      </c>
      <c r="I699" t="str">
        <f>TEXT(MONTH(Tabela1[[#This Row],[Último pagto ano]])*29,"mmmm")</f>
        <v>dezembro</v>
      </c>
    </row>
    <row r="700" spans="1:9" x14ac:dyDescent="0.25">
      <c r="A700">
        <v>2025</v>
      </c>
      <c r="B700" t="s">
        <v>1394</v>
      </c>
      <c r="C700" s="1">
        <v>45960</v>
      </c>
      <c r="D700" t="s">
        <v>1395</v>
      </c>
      <c r="E700" s="2">
        <v>6880.05</v>
      </c>
      <c r="G700" s="3">
        <f>MONTH(Tabela1[[#This Row],[Último pagto ano]])</f>
        <v>10</v>
      </c>
      <c r="H700" t="str">
        <f>TEXT(Tabela1[[#This Row],[Coluna2]]*29,"mmmm")</f>
        <v>outubro</v>
      </c>
      <c r="I700" t="str">
        <f>TEXT(MONTH(Tabela1[[#This Row],[Último pagto ano]])*29,"mmmm")</f>
        <v>outubro</v>
      </c>
    </row>
    <row r="701" spans="1:9" x14ac:dyDescent="0.25">
      <c r="A701">
        <v>2025</v>
      </c>
      <c r="B701" t="s">
        <v>1396</v>
      </c>
      <c r="C701" s="1">
        <v>45702</v>
      </c>
      <c r="D701" t="s">
        <v>1397</v>
      </c>
      <c r="E701">
        <v>118.23</v>
      </c>
      <c r="G701" s="3">
        <f>MONTH(Tabela1[[#This Row],[Último pagto ano]])</f>
        <v>2</v>
      </c>
      <c r="H701" t="str">
        <f>TEXT(Tabela1[[#This Row],[Coluna2]]*29,"mmmm")</f>
        <v>fevereiro</v>
      </c>
      <c r="I701" t="str">
        <f>TEXT(MONTH(Tabela1[[#This Row],[Último pagto ano]])*29,"mmmm")</f>
        <v>fevereiro</v>
      </c>
    </row>
    <row r="702" spans="1:9" x14ac:dyDescent="0.25">
      <c r="A702">
        <v>2025</v>
      </c>
      <c r="B702" t="s">
        <v>1398</v>
      </c>
      <c r="C702" s="1">
        <v>46006</v>
      </c>
      <c r="D702" t="s">
        <v>1399</v>
      </c>
      <c r="E702">
        <v>426</v>
      </c>
      <c r="G702" s="3">
        <f>MONTH(Tabela1[[#This Row],[Último pagto ano]])</f>
        <v>12</v>
      </c>
      <c r="H702" t="str">
        <f>TEXT(Tabela1[[#This Row],[Coluna2]]*29,"mmmm")</f>
        <v>dezembro</v>
      </c>
      <c r="I702" t="str">
        <f>TEXT(MONTH(Tabela1[[#This Row],[Último pagto ano]])*29,"mmmm")</f>
        <v>dezembro</v>
      </c>
    </row>
    <row r="703" spans="1:9" x14ac:dyDescent="0.25">
      <c r="A703">
        <v>2025</v>
      </c>
      <c r="B703" t="s">
        <v>1400</v>
      </c>
      <c r="C703" s="1">
        <v>45989</v>
      </c>
      <c r="D703" t="s">
        <v>1401</v>
      </c>
      <c r="E703" s="2">
        <v>11618.28</v>
      </c>
      <c r="G703" s="3">
        <f>MONTH(Tabela1[[#This Row],[Último pagto ano]])</f>
        <v>11</v>
      </c>
      <c r="H703" t="str">
        <f>TEXT(Tabela1[[#This Row],[Coluna2]]*29,"mmmm")</f>
        <v>novembro</v>
      </c>
      <c r="I703" t="str">
        <f>TEXT(MONTH(Tabela1[[#This Row],[Último pagto ano]])*29,"mmmm")</f>
        <v>novembro</v>
      </c>
    </row>
    <row r="704" spans="1:9" x14ac:dyDescent="0.25">
      <c r="A704">
        <v>2025</v>
      </c>
      <c r="B704" t="s">
        <v>1402</v>
      </c>
      <c r="C704" s="1">
        <v>45852</v>
      </c>
      <c r="D704" t="s">
        <v>1403</v>
      </c>
      <c r="E704" s="2">
        <v>9338.74</v>
      </c>
      <c r="G704" s="3">
        <f>MONTH(Tabela1[[#This Row],[Último pagto ano]])</f>
        <v>7</v>
      </c>
      <c r="H704" t="str">
        <f>TEXT(Tabela1[[#This Row],[Coluna2]]*29,"mmmm")</f>
        <v>julho</v>
      </c>
      <c r="I704" t="str">
        <f>TEXT(MONTH(Tabela1[[#This Row],[Último pagto ano]])*29,"mmmm")</f>
        <v>julho</v>
      </c>
    </row>
    <row r="705" spans="1:9" x14ac:dyDescent="0.25">
      <c r="A705">
        <v>2025</v>
      </c>
      <c r="B705" t="s">
        <v>1404</v>
      </c>
      <c r="C705" s="1">
        <v>46006</v>
      </c>
      <c r="D705" t="s">
        <v>1405</v>
      </c>
      <c r="E705">
        <v>888.48</v>
      </c>
      <c r="G705" s="3">
        <f>MONTH(Tabela1[[#This Row],[Último pagto ano]])</f>
        <v>12</v>
      </c>
      <c r="H705" t="str">
        <f>TEXT(Tabela1[[#This Row],[Coluna2]]*29,"mmmm")</f>
        <v>dezembro</v>
      </c>
      <c r="I705" t="str">
        <f>TEXT(MONTH(Tabela1[[#This Row],[Último pagto ano]])*29,"mmmm")</f>
        <v>dezembro</v>
      </c>
    </row>
    <row r="706" spans="1:9" x14ac:dyDescent="0.25">
      <c r="A706">
        <v>2025</v>
      </c>
      <c r="B706" t="s">
        <v>1406</v>
      </c>
      <c r="C706" s="1">
        <v>45702</v>
      </c>
      <c r="D706" t="s">
        <v>1407</v>
      </c>
      <c r="E706">
        <v>15.99</v>
      </c>
      <c r="G706" s="3">
        <f>MONTH(Tabela1[[#This Row],[Último pagto ano]])</f>
        <v>2</v>
      </c>
      <c r="H706" t="str">
        <f>TEXT(Tabela1[[#This Row],[Coluna2]]*29,"mmmm")</f>
        <v>fevereiro</v>
      </c>
      <c r="I706" t="str">
        <f>TEXT(MONTH(Tabela1[[#This Row],[Último pagto ano]])*29,"mmmm")</f>
        <v>fevereiro</v>
      </c>
    </row>
    <row r="707" spans="1:9" x14ac:dyDescent="0.25">
      <c r="A707">
        <v>2025</v>
      </c>
      <c r="B707" t="s">
        <v>1408</v>
      </c>
      <c r="C707" s="1">
        <v>45950</v>
      </c>
      <c r="D707" t="s">
        <v>1409</v>
      </c>
      <c r="E707">
        <v>840</v>
      </c>
      <c r="G707" s="3">
        <f>MONTH(Tabela1[[#This Row],[Último pagto ano]])</f>
        <v>10</v>
      </c>
      <c r="H707" t="str">
        <f>TEXT(Tabela1[[#This Row],[Coluna2]]*29,"mmmm")</f>
        <v>outubro</v>
      </c>
      <c r="I707" t="str">
        <f>TEXT(MONTH(Tabela1[[#This Row],[Último pagto ano]])*29,"mmmm")</f>
        <v>outubro</v>
      </c>
    </row>
    <row r="708" spans="1:9" x14ac:dyDescent="0.25">
      <c r="A708">
        <v>2025</v>
      </c>
      <c r="B708" t="s">
        <v>1410</v>
      </c>
      <c r="C708" s="1">
        <v>45996</v>
      </c>
      <c r="D708" t="s">
        <v>1411</v>
      </c>
      <c r="E708" s="2">
        <v>22700</v>
      </c>
      <c r="G708" s="3">
        <f>MONTH(Tabela1[[#This Row],[Último pagto ano]])</f>
        <v>12</v>
      </c>
      <c r="H708" t="str">
        <f>TEXT(Tabela1[[#This Row],[Coluna2]]*29,"mmmm")</f>
        <v>dezembro</v>
      </c>
      <c r="I708" t="str">
        <f>TEXT(MONTH(Tabela1[[#This Row],[Último pagto ano]])*29,"mmmm")</f>
        <v>dezembro</v>
      </c>
    </row>
    <row r="709" spans="1:9" x14ac:dyDescent="0.25">
      <c r="A709">
        <v>2025</v>
      </c>
      <c r="B709" t="s">
        <v>1412</v>
      </c>
      <c r="C709" s="1">
        <v>46014</v>
      </c>
      <c r="D709" t="s">
        <v>1413</v>
      </c>
      <c r="E709">
        <v>304.2</v>
      </c>
      <c r="G709" s="3">
        <f>MONTH(Tabela1[[#This Row],[Último pagto ano]])</f>
        <v>12</v>
      </c>
      <c r="H709" t="str">
        <f>TEXT(Tabela1[[#This Row],[Coluna2]]*29,"mmmm")</f>
        <v>dezembro</v>
      </c>
      <c r="I709" t="str">
        <f>TEXT(MONTH(Tabela1[[#This Row],[Último pagto ano]])*29,"mmmm")</f>
        <v>dezembro</v>
      </c>
    </row>
    <row r="710" spans="1:9" x14ac:dyDescent="0.25">
      <c r="A710">
        <v>2025</v>
      </c>
      <c r="B710" t="s">
        <v>1414</v>
      </c>
      <c r="C710" s="1">
        <v>45915</v>
      </c>
      <c r="D710" t="s">
        <v>1415</v>
      </c>
      <c r="E710" s="2">
        <v>4994.88</v>
      </c>
      <c r="G710" s="3">
        <f>MONTH(Tabela1[[#This Row],[Último pagto ano]])</f>
        <v>9</v>
      </c>
      <c r="H710" t="str">
        <f>TEXT(Tabela1[[#This Row],[Coluna2]]*29,"mmmm")</f>
        <v>setembro</v>
      </c>
      <c r="I710" t="str">
        <f>TEXT(MONTH(Tabela1[[#This Row],[Último pagto ano]])*29,"mmmm")</f>
        <v>setembro</v>
      </c>
    </row>
    <row r="711" spans="1:9" x14ac:dyDescent="0.25">
      <c r="A711">
        <v>2025</v>
      </c>
      <c r="B711" t="s">
        <v>1416</v>
      </c>
      <c r="C711" s="1">
        <v>45950</v>
      </c>
      <c r="D711" t="s">
        <v>1417</v>
      </c>
      <c r="E711">
        <v>231</v>
      </c>
      <c r="G711" s="3">
        <f>MONTH(Tabela1[[#This Row],[Último pagto ano]])</f>
        <v>10</v>
      </c>
      <c r="H711" t="str">
        <f>TEXT(Tabela1[[#This Row],[Coluna2]]*29,"mmmm")</f>
        <v>outubro</v>
      </c>
      <c r="I711" t="str">
        <f>TEXT(MONTH(Tabela1[[#This Row],[Último pagto ano]])*29,"mmmm")</f>
        <v>outubro</v>
      </c>
    </row>
    <row r="712" spans="1:9" x14ac:dyDescent="0.25">
      <c r="A712">
        <v>2025</v>
      </c>
      <c r="B712" t="s">
        <v>1418</v>
      </c>
      <c r="C712" s="1">
        <v>46013</v>
      </c>
      <c r="D712" t="s">
        <v>1419</v>
      </c>
      <c r="E712" s="2">
        <v>23222.25</v>
      </c>
      <c r="G712" s="3">
        <f>MONTH(Tabela1[[#This Row],[Último pagto ano]])</f>
        <v>12</v>
      </c>
      <c r="H712" t="str">
        <f>TEXT(Tabela1[[#This Row],[Coluna2]]*29,"mmmm")</f>
        <v>dezembro</v>
      </c>
      <c r="I712" t="str">
        <f>TEXT(MONTH(Tabela1[[#This Row],[Último pagto ano]])*29,"mmmm")</f>
        <v>dezembro</v>
      </c>
    </row>
    <row r="713" spans="1:9" x14ac:dyDescent="0.25">
      <c r="A713">
        <v>2025</v>
      </c>
      <c r="B713" t="s">
        <v>1420</v>
      </c>
      <c r="C713" s="1">
        <v>45996</v>
      </c>
      <c r="D713" t="s">
        <v>1421</v>
      </c>
      <c r="E713" s="2">
        <v>115086.3</v>
      </c>
      <c r="G713" s="3">
        <f>MONTH(Tabela1[[#This Row],[Último pagto ano]])</f>
        <v>12</v>
      </c>
      <c r="H713" t="str">
        <f>TEXT(Tabela1[[#This Row],[Coluna2]]*29,"mmmm")</f>
        <v>dezembro</v>
      </c>
      <c r="I713" t="str">
        <f>TEXT(MONTH(Tabela1[[#This Row],[Último pagto ano]])*29,"mmmm")</f>
        <v>dezembro</v>
      </c>
    </row>
    <row r="714" spans="1:9" x14ac:dyDescent="0.25">
      <c r="A714">
        <v>2025</v>
      </c>
      <c r="B714" t="s">
        <v>1422</v>
      </c>
      <c r="C714" s="1">
        <v>45771</v>
      </c>
      <c r="D714" t="s">
        <v>1423</v>
      </c>
      <c r="E714" s="2">
        <v>2800</v>
      </c>
      <c r="G714" s="3">
        <f>MONTH(Tabela1[[#This Row],[Último pagto ano]])</f>
        <v>4</v>
      </c>
      <c r="H714" t="str">
        <f>TEXT(Tabela1[[#This Row],[Coluna2]]*29,"mmmm")</f>
        <v>abril</v>
      </c>
      <c r="I714" t="str">
        <f>TEXT(MONTH(Tabela1[[#This Row],[Último pagto ano]])*29,"mmmm")</f>
        <v>abril</v>
      </c>
    </row>
    <row r="715" spans="1:9" x14ac:dyDescent="0.25">
      <c r="A715">
        <v>2025</v>
      </c>
      <c r="B715" t="s">
        <v>1424</v>
      </c>
      <c r="C715" s="1">
        <v>45968</v>
      </c>
      <c r="D715" t="s">
        <v>1425</v>
      </c>
      <c r="E715" s="2">
        <v>8800</v>
      </c>
      <c r="G715" s="3">
        <f>MONTH(Tabela1[[#This Row],[Último pagto ano]])</f>
        <v>11</v>
      </c>
      <c r="H715" t="str">
        <f>TEXT(Tabela1[[#This Row],[Coluna2]]*29,"mmmm")</f>
        <v>novembro</v>
      </c>
      <c r="I715" t="str">
        <f>TEXT(MONTH(Tabela1[[#This Row],[Último pagto ano]])*29,"mmmm")</f>
        <v>novembro</v>
      </c>
    </row>
    <row r="716" spans="1:9" x14ac:dyDescent="0.25">
      <c r="A716">
        <v>2025</v>
      </c>
      <c r="B716" t="s">
        <v>1426</v>
      </c>
      <c r="C716" s="1">
        <v>45709</v>
      </c>
      <c r="D716" t="s">
        <v>1427</v>
      </c>
      <c r="E716">
        <v>147.37</v>
      </c>
      <c r="G716" s="3">
        <f>MONTH(Tabela1[[#This Row],[Último pagto ano]])</f>
        <v>2</v>
      </c>
      <c r="H716" t="str">
        <f>TEXT(Tabela1[[#This Row],[Coluna2]]*29,"mmmm")</f>
        <v>fevereiro</v>
      </c>
      <c r="I716" t="str">
        <f>TEXT(MONTH(Tabela1[[#This Row],[Último pagto ano]])*29,"mmmm")</f>
        <v>fevereiro</v>
      </c>
    </row>
    <row r="717" spans="1:9" x14ac:dyDescent="0.25">
      <c r="A717">
        <v>2025</v>
      </c>
      <c r="B717" t="s">
        <v>1428</v>
      </c>
      <c r="C717" s="1">
        <v>45702</v>
      </c>
      <c r="D717" t="s">
        <v>1429</v>
      </c>
      <c r="E717" s="2">
        <v>1288.56</v>
      </c>
      <c r="G717" s="3">
        <f>MONTH(Tabela1[[#This Row],[Último pagto ano]])</f>
        <v>2</v>
      </c>
      <c r="H717" t="str">
        <f>TEXT(Tabela1[[#This Row],[Coluna2]]*29,"mmmm")</f>
        <v>fevereiro</v>
      </c>
      <c r="I717" t="str">
        <f>TEXT(MONTH(Tabela1[[#This Row],[Último pagto ano]])*29,"mmmm")</f>
        <v>fevereiro</v>
      </c>
    </row>
    <row r="718" spans="1:9" x14ac:dyDescent="0.25">
      <c r="A718">
        <v>2025</v>
      </c>
      <c r="B718" t="s">
        <v>1430</v>
      </c>
      <c r="C718" s="1">
        <v>46014</v>
      </c>
      <c r="D718" t="s">
        <v>1431</v>
      </c>
      <c r="E718">
        <v>44</v>
      </c>
      <c r="G718" s="3">
        <f>MONTH(Tabela1[[#This Row],[Último pagto ano]])</f>
        <v>12</v>
      </c>
      <c r="H718" t="str">
        <f>TEXT(Tabela1[[#This Row],[Coluna2]]*29,"mmmm")</f>
        <v>dezembro</v>
      </c>
      <c r="I718" t="str">
        <f>TEXT(MONTH(Tabela1[[#This Row],[Último pagto ano]])*29,"mmmm")</f>
        <v>dezembro</v>
      </c>
    </row>
    <row r="719" spans="1:9" x14ac:dyDescent="0.25">
      <c r="A719">
        <v>2025</v>
      </c>
      <c r="B719" t="s">
        <v>1432</v>
      </c>
      <c r="C719" s="1">
        <v>45663</v>
      </c>
      <c r="D719" t="s">
        <v>1433</v>
      </c>
      <c r="E719" s="2">
        <v>3704.4</v>
      </c>
      <c r="G719" s="3">
        <f>MONTH(Tabela1[[#This Row],[Último pagto ano]])</f>
        <v>1</v>
      </c>
      <c r="H719" t="str">
        <f>TEXT(Tabela1[[#This Row],[Coluna2]]*29,"mmmm")</f>
        <v>janeiro</v>
      </c>
      <c r="I719" t="str">
        <f>TEXT(MONTH(Tabela1[[#This Row],[Último pagto ano]])*29,"mmmm")</f>
        <v>janeiro</v>
      </c>
    </row>
    <row r="720" spans="1:9" x14ac:dyDescent="0.25">
      <c r="A720">
        <v>2025</v>
      </c>
      <c r="B720" t="s">
        <v>1434</v>
      </c>
      <c r="C720" s="1">
        <v>46007</v>
      </c>
      <c r="D720" t="s">
        <v>1435</v>
      </c>
      <c r="E720" s="2">
        <v>91746.08</v>
      </c>
      <c r="G720" s="3">
        <f>MONTH(Tabela1[[#This Row],[Último pagto ano]])</f>
        <v>12</v>
      </c>
      <c r="H720" t="str">
        <f>TEXT(Tabela1[[#This Row],[Coluna2]]*29,"mmmm")</f>
        <v>dezembro</v>
      </c>
      <c r="I720" t="str">
        <f>TEXT(MONTH(Tabela1[[#This Row],[Último pagto ano]])*29,"mmmm")</f>
        <v>dezembro</v>
      </c>
    </row>
    <row r="721" spans="1:9" x14ac:dyDescent="0.25">
      <c r="A721">
        <v>2025</v>
      </c>
      <c r="B721" t="s">
        <v>1436</v>
      </c>
      <c r="C721" s="1">
        <v>45993</v>
      </c>
      <c r="D721" t="s">
        <v>1437</v>
      </c>
      <c r="E721" s="2">
        <v>10828.81</v>
      </c>
      <c r="G721" s="3">
        <f>MONTH(Tabela1[[#This Row],[Último pagto ano]])</f>
        <v>12</v>
      </c>
      <c r="H721" t="str">
        <f>TEXT(Tabela1[[#This Row],[Coluna2]]*29,"mmmm")</f>
        <v>dezembro</v>
      </c>
      <c r="I721" t="str">
        <f>TEXT(MONTH(Tabela1[[#This Row],[Último pagto ano]])*29,"mmmm")</f>
        <v>dezembro</v>
      </c>
    </row>
    <row r="722" spans="1:9" x14ac:dyDescent="0.25">
      <c r="A722">
        <v>2025</v>
      </c>
      <c r="B722" t="s">
        <v>1438</v>
      </c>
      <c r="C722" s="1">
        <v>45989</v>
      </c>
      <c r="D722" t="s">
        <v>1439</v>
      </c>
      <c r="E722" s="2">
        <v>3274.4</v>
      </c>
      <c r="G722" s="3">
        <f>MONTH(Tabela1[[#This Row],[Último pagto ano]])</f>
        <v>11</v>
      </c>
      <c r="H722" t="str">
        <f>TEXT(Tabela1[[#This Row],[Coluna2]]*29,"mmmm")</f>
        <v>novembro</v>
      </c>
      <c r="I722" t="str">
        <f>TEXT(MONTH(Tabela1[[#This Row],[Último pagto ano]])*29,"mmmm")</f>
        <v>novembro</v>
      </c>
    </row>
    <row r="723" spans="1:9" x14ac:dyDescent="0.25">
      <c r="A723">
        <v>2025</v>
      </c>
      <c r="B723" t="s">
        <v>1440</v>
      </c>
      <c r="C723" s="1">
        <v>46013</v>
      </c>
      <c r="D723" t="s">
        <v>1441</v>
      </c>
      <c r="E723" s="2">
        <v>17910.75</v>
      </c>
      <c r="G723" s="3">
        <f>MONTH(Tabela1[[#This Row],[Último pagto ano]])</f>
        <v>12</v>
      </c>
      <c r="H723" t="str">
        <f>TEXT(Tabela1[[#This Row],[Coluna2]]*29,"mmmm")</f>
        <v>dezembro</v>
      </c>
      <c r="I723" t="str">
        <f>TEXT(MONTH(Tabela1[[#This Row],[Último pagto ano]])*29,"mmmm")</f>
        <v>dezembro</v>
      </c>
    </row>
    <row r="724" spans="1:9" x14ac:dyDescent="0.25">
      <c r="A724">
        <v>2025</v>
      </c>
      <c r="B724" t="s">
        <v>1442</v>
      </c>
      <c r="C724" s="1">
        <v>45901</v>
      </c>
      <c r="D724" t="s">
        <v>1443</v>
      </c>
      <c r="E724">
        <v>110</v>
      </c>
      <c r="G724" s="3">
        <f>MONTH(Tabela1[[#This Row],[Último pagto ano]])</f>
        <v>9</v>
      </c>
      <c r="H724" t="str">
        <f>TEXT(Tabela1[[#This Row],[Coluna2]]*29,"mmmm")</f>
        <v>setembro</v>
      </c>
      <c r="I724" t="str">
        <f>TEXT(MONTH(Tabela1[[#This Row],[Último pagto ano]])*29,"mmmm")</f>
        <v>setembro</v>
      </c>
    </row>
    <row r="725" spans="1:9" x14ac:dyDescent="0.25">
      <c r="A725">
        <v>2025</v>
      </c>
      <c r="B725" t="s">
        <v>1444</v>
      </c>
      <c r="C725" s="1">
        <v>45979</v>
      </c>
      <c r="D725" t="s">
        <v>1445</v>
      </c>
      <c r="E725" s="2">
        <v>81199.28</v>
      </c>
      <c r="G725" s="3">
        <f>MONTH(Tabela1[[#This Row],[Último pagto ano]])</f>
        <v>11</v>
      </c>
      <c r="H725" t="str">
        <f>TEXT(Tabela1[[#This Row],[Coluna2]]*29,"mmmm")</f>
        <v>novembro</v>
      </c>
      <c r="I725" t="str">
        <f>TEXT(MONTH(Tabela1[[#This Row],[Último pagto ano]])*29,"mmmm")</f>
        <v>novembro</v>
      </c>
    </row>
    <row r="726" spans="1:9" x14ac:dyDescent="0.25">
      <c r="A726">
        <v>2025</v>
      </c>
      <c r="B726" t="s">
        <v>1446</v>
      </c>
      <c r="C726" s="1">
        <v>46013</v>
      </c>
      <c r="D726" t="s">
        <v>1447</v>
      </c>
      <c r="E726" s="2">
        <v>6718.5</v>
      </c>
      <c r="G726" s="3">
        <f>MONTH(Tabela1[[#This Row],[Último pagto ano]])</f>
        <v>12</v>
      </c>
      <c r="H726" t="str">
        <f>TEXT(Tabela1[[#This Row],[Coluna2]]*29,"mmmm")</f>
        <v>dezembro</v>
      </c>
      <c r="I726" t="str">
        <f>TEXT(MONTH(Tabela1[[#This Row],[Último pagto ano]])*29,"mmmm")</f>
        <v>dezembro</v>
      </c>
    </row>
    <row r="727" spans="1:9" x14ac:dyDescent="0.25">
      <c r="A727">
        <v>2025</v>
      </c>
      <c r="B727" t="s">
        <v>1448</v>
      </c>
      <c r="C727" s="1">
        <v>45866</v>
      </c>
      <c r="D727" t="s">
        <v>1449</v>
      </c>
      <c r="E727" s="2">
        <v>1380.6</v>
      </c>
      <c r="G727" s="3">
        <f>MONTH(Tabela1[[#This Row],[Último pagto ano]])</f>
        <v>7</v>
      </c>
      <c r="H727" t="str">
        <f>TEXT(Tabela1[[#This Row],[Coluna2]]*29,"mmmm")</f>
        <v>julho</v>
      </c>
      <c r="I727" t="str">
        <f>TEXT(MONTH(Tabela1[[#This Row],[Último pagto ano]])*29,"mmmm")</f>
        <v>julho</v>
      </c>
    </row>
    <row r="728" spans="1:9" x14ac:dyDescent="0.25">
      <c r="A728">
        <v>2025</v>
      </c>
      <c r="B728" t="s">
        <v>1448</v>
      </c>
      <c r="C728" s="1">
        <v>45702</v>
      </c>
      <c r="D728" t="s">
        <v>1449</v>
      </c>
      <c r="E728">
        <v>163.08000000000001</v>
      </c>
      <c r="G728" s="3">
        <f>MONTH(Tabela1[[#This Row],[Último pagto ano]])</f>
        <v>2</v>
      </c>
      <c r="H728" t="str">
        <f>TEXT(Tabela1[[#This Row],[Coluna2]]*29,"mmmm")</f>
        <v>fevereiro</v>
      </c>
      <c r="I728" t="str">
        <f>TEXT(MONTH(Tabela1[[#This Row],[Último pagto ano]])*29,"mmmm")</f>
        <v>fevereiro</v>
      </c>
    </row>
    <row r="729" spans="1:9" x14ac:dyDescent="0.25">
      <c r="A729">
        <v>2025</v>
      </c>
      <c r="B729" t="s">
        <v>1450</v>
      </c>
      <c r="C729" s="1">
        <v>45702</v>
      </c>
      <c r="D729" t="s">
        <v>1451</v>
      </c>
      <c r="E729" s="2">
        <v>1272.1600000000001</v>
      </c>
      <c r="G729" s="3">
        <f>MONTH(Tabela1[[#This Row],[Último pagto ano]])</f>
        <v>2</v>
      </c>
      <c r="H729" t="str">
        <f>TEXT(Tabela1[[#This Row],[Coluna2]]*29,"mmmm")</f>
        <v>fevereiro</v>
      </c>
      <c r="I729" t="str">
        <f>TEXT(MONTH(Tabela1[[#This Row],[Último pagto ano]])*29,"mmmm")</f>
        <v>fevereiro</v>
      </c>
    </row>
    <row r="730" spans="1:9" x14ac:dyDescent="0.25">
      <c r="A730">
        <v>2025</v>
      </c>
      <c r="B730" t="s">
        <v>1452</v>
      </c>
      <c r="C730" s="1">
        <v>45695</v>
      </c>
      <c r="D730" t="s">
        <v>1453</v>
      </c>
      <c r="E730">
        <v>161.08000000000001</v>
      </c>
      <c r="G730" s="3">
        <f>MONTH(Tabela1[[#This Row],[Último pagto ano]])</f>
        <v>2</v>
      </c>
      <c r="H730" t="str">
        <f>TEXT(Tabela1[[#This Row],[Coluna2]]*29,"mmmm")</f>
        <v>fevereiro</v>
      </c>
      <c r="I730" t="str">
        <f>TEXT(MONTH(Tabela1[[#This Row],[Último pagto ano]])*29,"mmmm")</f>
        <v>fevereiro</v>
      </c>
    </row>
    <row r="731" spans="1:9" x14ac:dyDescent="0.25">
      <c r="A731">
        <v>2025</v>
      </c>
      <c r="B731" t="s">
        <v>1454</v>
      </c>
      <c r="C731" s="1">
        <v>45989</v>
      </c>
      <c r="D731" t="s">
        <v>1455</v>
      </c>
      <c r="E731" s="2">
        <v>11136.27</v>
      </c>
      <c r="G731" s="3">
        <f>MONTH(Tabela1[[#This Row],[Último pagto ano]])</f>
        <v>11</v>
      </c>
      <c r="H731" t="str">
        <f>TEXT(Tabela1[[#This Row],[Coluna2]]*29,"mmmm")</f>
        <v>novembro</v>
      </c>
      <c r="I731" t="str">
        <f>TEXT(MONTH(Tabela1[[#This Row],[Último pagto ano]])*29,"mmmm")</f>
        <v>novembro</v>
      </c>
    </row>
    <row r="732" spans="1:9" x14ac:dyDescent="0.25">
      <c r="A732">
        <v>2025</v>
      </c>
      <c r="B732" t="s">
        <v>1456</v>
      </c>
      <c r="C732" s="1">
        <v>46013</v>
      </c>
      <c r="D732" t="s">
        <v>1457</v>
      </c>
      <c r="E732">
        <v>327.60000000000002</v>
      </c>
      <c r="G732" s="3">
        <f>MONTH(Tabela1[[#This Row],[Último pagto ano]])</f>
        <v>12</v>
      </c>
      <c r="H732" t="str">
        <f>TEXT(Tabela1[[#This Row],[Coluna2]]*29,"mmmm")</f>
        <v>dezembro</v>
      </c>
      <c r="I732" t="str">
        <f>TEXT(MONTH(Tabela1[[#This Row],[Último pagto ano]])*29,"mmmm")</f>
        <v>dezembro</v>
      </c>
    </row>
    <row r="733" spans="1:9" x14ac:dyDescent="0.25">
      <c r="A733">
        <v>2025</v>
      </c>
      <c r="B733" t="s">
        <v>1458</v>
      </c>
      <c r="C733" s="1">
        <v>45771</v>
      </c>
      <c r="D733" t="s">
        <v>1459</v>
      </c>
      <c r="E733" s="2">
        <v>2491.77</v>
      </c>
      <c r="G733" s="3">
        <f>MONTH(Tabela1[[#This Row],[Último pagto ano]])</f>
        <v>4</v>
      </c>
      <c r="H733" t="str">
        <f>TEXT(Tabela1[[#This Row],[Coluna2]]*29,"mmmm")</f>
        <v>abril</v>
      </c>
      <c r="I733" t="str">
        <f>TEXT(MONTH(Tabela1[[#This Row],[Último pagto ano]])*29,"mmmm")</f>
        <v>abril</v>
      </c>
    </row>
    <row r="734" spans="1:9" x14ac:dyDescent="0.25">
      <c r="A734">
        <v>2025</v>
      </c>
      <c r="B734" t="s">
        <v>1460</v>
      </c>
      <c r="C734" s="1">
        <v>45705</v>
      </c>
      <c r="D734" t="s">
        <v>1461</v>
      </c>
      <c r="E734">
        <v>44</v>
      </c>
      <c r="G734" s="3">
        <f>MONTH(Tabela1[[#This Row],[Último pagto ano]])</f>
        <v>2</v>
      </c>
      <c r="H734" t="str">
        <f>TEXT(Tabela1[[#This Row],[Coluna2]]*29,"mmmm")</f>
        <v>fevereiro</v>
      </c>
      <c r="I734" t="str">
        <f>TEXT(MONTH(Tabela1[[#This Row],[Último pagto ano]])*29,"mmmm")</f>
        <v>fevereiro</v>
      </c>
    </row>
    <row r="735" spans="1:9" x14ac:dyDescent="0.25">
      <c r="A735">
        <v>2025</v>
      </c>
      <c r="B735" t="s">
        <v>1462</v>
      </c>
      <c r="C735" s="1">
        <v>46010</v>
      </c>
      <c r="D735" t="s">
        <v>1463</v>
      </c>
      <c r="E735" s="2">
        <v>12000</v>
      </c>
      <c r="G735" s="3">
        <f>MONTH(Tabela1[[#This Row],[Último pagto ano]])</f>
        <v>12</v>
      </c>
      <c r="H735" t="str">
        <f>TEXT(Tabela1[[#This Row],[Coluna2]]*29,"mmmm")</f>
        <v>dezembro</v>
      </c>
      <c r="I735" t="str">
        <f>TEXT(MONTH(Tabela1[[#This Row],[Último pagto ano]])*29,"mmmm")</f>
        <v>dezembro</v>
      </c>
    </row>
    <row r="736" spans="1:9" x14ac:dyDescent="0.25">
      <c r="A736">
        <v>2025</v>
      </c>
      <c r="B736" t="s">
        <v>1464</v>
      </c>
      <c r="C736" s="1">
        <v>46010</v>
      </c>
      <c r="D736" t="s">
        <v>1465</v>
      </c>
      <c r="E736" s="2">
        <v>2100</v>
      </c>
      <c r="G736" s="3">
        <f>MONTH(Tabela1[[#This Row],[Último pagto ano]])</f>
        <v>12</v>
      </c>
      <c r="H736" t="str">
        <f>TEXT(Tabela1[[#This Row],[Coluna2]]*29,"mmmm")</f>
        <v>dezembro</v>
      </c>
      <c r="I736" t="str">
        <f>TEXT(MONTH(Tabela1[[#This Row],[Último pagto ano]])*29,"mmmm")</f>
        <v>dezembro</v>
      </c>
    </row>
    <row r="737" spans="1:9" x14ac:dyDescent="0.25">
      <c r="A737">
        <v>2025</v>
      </c>
      <c r="B737" t="s">
        <v>1466</v>
      </c>
      <c r="C737" s="1">
        <v>45985</v>
      </c>
      <c r="D737" t="s">
        <v>1467</v>
      </c>
      <c r="E737" s="2">
        <v>4900</v>
      </c>
      <c r="G737" s="3">
        <f>MONTH(Tabela1[[#This Row],[Último pagto ano]])</f>
        <v>11</v>
      </c>
      <c r="H737" t="str">
        <f>TEXT(Tabela1[[#This Row],[Coluna2]]*29,"mmmm")</f>
        <v>novembro</v>
      </c>
      <c r="I737" t="str">
        <f>TEXT(MONTH(Tabela1[[#This Row],[Último pagto ano]])*29,"mmmm")</f>
        <v>novembro</v>
      </c>
    </row>
    <row r="738" spans="1:9" x14ac:dyDescent="0.25">
      <c r="A738">
        <v>2025</v>
      </c>
      <c r="B738" t="s">
        <v>1468</v>
      </c>
      <c r="C738" s="1">
        <v>45862</v>
      </c>
      <c r="D738" t="s">
        <v>1469</v>
      </c>
      <c r="E738">
        <v>8.82</v>
      </c>
      <c r="G738" s="3">
        <f>MONTH(Tabela1[[#This Row],[Último pagto ano]])</f>
        <v>7</v>
      </c>
      <c r="H738" t="str">
        <f>TEXT(Tabela1[[#This Row],[Coluna2]]*29,"mmmm")</f>
        <v>julho</v>
      </c>
      <c r="I738" t="str">
        <f>TEXT(MONTH(Tabela1[[#This Row],[Último pagto ano]])*29,"mmmm")</f>
        <v>julho</v>
      </c>
    </row>
    <row r="739" spans="1:9" x14ac:dyDescent="0.25">
      <c r="A739">
        <v>2025</v>
      </c>
      <c r="B739" t="s">
        <v>1470</v>
      </c>
      <c r="C739" s="1">
        <v>46010</v>
      </c>
      <c r="D739" t="s">
        <v>1471</v>
      </c>
      <c r="E739">
        <v>700</v>
      </c>
      <c r="G739" s="3">
        <f>MONTH(Tabela1[[#This Row],[Último pagto ano]])</f>
        <v>12</v>
      </c>
      <c r="H739" t="str">
        <f>TEXT(Tabela1[[#This Row],[Coluna2]]*29,"mmmm")</f>
        <v>dezembro</v>
      </c>
      <c r="I739" t="str">
        <f>TEXT(MONTH(Tabela1[[#This Row],[Último pagto ano]])*29,"mmmm")</f>
        <v>dezembro</v>
      </c>
    </row>
    <row r="740" spans="1:9" x14ac:dyDescent="0.25">
      <c r="A740">
        <v>2025</v>
      </c>
      <c r="B740" t="s">
        <v>1472</v>
      </c>
      <c r="C740" s="1">
        <v>45866</v>
      </c>
      <c r="D740" t="s">
        <v>1473</v>
      </c>
      <c r="E740">
        <v>220.26</v>
      </c>
      <c r="G740" s="3">
        <f>MONTH(Tabela1[[#This Row],[Último pagto ano]])</f>
        <v>7</v>
      </c>
      <c r="H740" t="str">
        <f>TEXT(Tabela1[[#This Row],[Coluna2]]*29,"mmmm")</f>
        <v>julho</v>
      </c>
      <c r="I740" t="str">
        <f>TEXT(MONTH(Tabela1[[#This Row],[Último pagto ano]])*29,"mmmm")</f>
        <v>julho</v>
      </c>
    </row>
    <row r="741" spans="1:9" x14ac:dyDescent="0.25">
      <c r="A741">
        <v>2025</v>
      </c>
      <c r="B741" t="s">
        <v>1474</v>
      </c>
      <c r="C741" s="1">
        <v>45989</v>
      </c>
      <c r="D741" t="s">
        <v>1475</v>
      </c>
      <c r="E741" s="2">
        <v>3861.88</v>
      </c>
      <c r="G741" s="3">
        <f>MONTH(Tabela1[[#This Row],[Último pagto ano]])</f>
        <v>11</v>
      </c>
      <c r="H741" t="str">
        <f>TEXT(Tabela1[[#This Row],[Coluna2]]*29,"mmmm")</f>
        <v>novembro</v>
      </c>
      <c r="I741" t="str">
        <f>TEXT(MONTH(Tabela1[[#This Row],[Último pagto ano]])*29,"mmmm")</f>
        <v>novembro</v>
      </c>
    </row>
    <row r="742" spans="1:9" x14ac:dyDescent="0.25">
      <c r="A742">
        <v>2025</v>
      </c>
      <c r="B742" t="s">
        <v>1476</v>
      </c>
      <c r="C742" s="1">
        <v>45762</v>
      </c>
      <c r="D742" t="s">
        <v>1477</v>
      </c>
      <c r="E742" s="2">
        <v>1184.6400000000001</v>
      </c>
      <c r="G742" s="3">
        <f>MONTH(Tabela1[[#This Row],[Último pagto ano]])</f>
        <v>4</v>
      </c>
      <c r="H742" t="str">
        <f>TEXT(Tabela1[[#This Row],[Coluna2]]*29,"mmmm")</f>
        <v>abril</v>
      </c>
      <c r="I742" t="str">
        <f>TEXT(MONTH(Tabela1[[#This Row],[Último pagto ano]])*29,"mmmm")</f>
        <v>abril</v>
      </c>
    </row>
    <row r="743" spans="1:9" x14ac:dyDescent="0.25">
      <c r="A743">
        <v>2025</v>
      </c>
      <c r="B743" t="s">
        <v>1478</v>
      </c>
      <c r="C743" s="1">
        <v>45747</v>
      </c>
      <c r="D743" t="s">
        <v>1479</v>
      </c>
      <c r="E743">
        <v>66</v>
      </c>
      <c r="G743" s="3">
        <f>MONTH(Tabela1[[#This Row],[Último pagto ano]])</f>
        <v>3</v>
      </c>
      <c r="H743" t="str">
        <f>TEXT(Tabela1[[#This Row],[Coluna2]]*29,"mmmm")</f>
        <v>março</v>
      </c>
      <c r="I743" t="str">
        <f>TEXT(MONTH(Tabela1[[#This Row],[Último pagto ano]])*29,"mmmm")</f>
        <v>março</v>
      </c>
    </row>
    <row r="744" spans="1:9" x14ac:dyDescent="0.25">
      <c r="A744">
        <v>2025</v>
      </c>
      <c r="B744" t="s">
        <v>1480</v>
      </c>
      <c r="C744" s="1">
        <v>45992</v>
      </c>
      <c r="D744" t="s">
        <v>1481</v>
      </c>
      <c r="E744" s="2">
        <v>4257.84</v>
      </c>
      <c r="G744" s="3">
        <f>MONTH(Tabela1[[#This Row],[Último pagto ano]])</f>
        <v>12</v>
      </c>
      <c r="H744" t="str">
        <f>TEXT(Tabela1[[#This Row],[Coluna2]]*29,"mmmm")</f>
        <v>dezembro</v>
      </c>
      <c r="I744" t="str">
        <f>TEXT(MONTH(Tabela1[[#This Row],[Último pagto ano]])*29,"mmmm")</f>
        <v>dezembro</v>
      </c>
    </row>
    <row r="745" spans="1:9" x14ac:dyDescent="0.25">
      <c r="A745">
        <v>2025</v>
      </c>
      <c r="B745" t="s">
        <v>1482</v>
      </c>
      <c r="C745" s="1">
        <v>46014</v>
      </c>
      <c r="D745" t="s">
        <v>1483</v>
      </c>
      <c r="E745" s="2">
        <v>77967.5</v>
      </c>
      <c r="G745" s="3">
        <f>MONTH(Tabela1[[#This Row],[Último pagto ano]])</f>
        <v>12</v>
      </c>
      <c r="H745" t="str">
        <f>TEXT(Tabela1[[#This Row],[Coluna2]]*29,"mmmm")</f>
        <v>dezembro</v>
      </c>
      <c r="I745" t="str">
        <f>TEXT(MONTH(Tabela1[[#This Row],[Último pagto ano]])*29,"mmmm")</f>
        <v>dezembro</v>
      </c>
    </row>
    <row r="746" spans="1:9" x14ac:dyDescent="0.25">
      <c r="A746">
        <v>2025</v>
      </c>
      <c r="B746" t="s">
        <v>1484</v>
      </c>
      <c r="C746" s="1">
        <v>45961</v>
      </c>
      <c r="D746" t="s">
        <v>1485</v>
      </c>
      <c r="E746">
        <v>600</v>
      </c>
      <c r="G746" s="3">
        <f>MONTH(Tabela1[[#This Row],[Último pagto ano]])</f>
        <v>10</v>
      </c>
      <c r="H746" t="str">
        <f>TEXT(Tabela1[[#This Row],[Coluna2]]*29,"mmmm")</f>
        <v>outubro</v>
      </c>
      <c r="I746" t="str">
        <f>TEXT(MONTH(Tabela1[[#This Row],[Último pagto ano]])*29,"mmmm")</f>
        <v>outubro</v>
      </c>
    </row>
    <row r="747" spans="1:9" x14ac:dyDescent="0.25">
      <c r="A747">
        <v>2025</v>
      </c>
      <c r="B747" t="s">
        <v>1486</v>
      </c>
      <c r="C747" s="1">
        <v>45989</v>
      </c>
      <c r="D747" t="s">
        <v>1487</v>
      </c>
      <c r="E747" s="2">
        <v>10686.23</v>
      </c>
      <c r="G747" s="3">
        <f>MONTH(Tabela1[[#This Row],[Último pagto ano]])</f>
        <v>11</v>
      </c>
      <c r="H747" t="str">
        <f>TEXT(Tabela1[[#This Row],[Coluna2]]*29,"mmmm")</f>
        <v>novembro</v>
      </c>
      <c r="I747" t="str">
        <f>TEXT(MONTH(Tabela1[[#This Row],[Último pagto ano]])*29,"mmmm")</f>
        <v>novembro</v>
      </c>
    </row>
    <row r="748" spans="1:9" x14ac:dyDescent="0.25">
      <c r="A748">
        <v>2025</v>
      </c>
      <c r="B748" t="s">
        <v>1488</v>
      </c>
      <c r="C748" s="1">
        <v>45915</v>
      </c>
      <c r="D748" t="s">
        <v>1489</v>
      </c>
      <c r="E748" s="2">
        <v>2073.12</v>
      </c>
      <c r="G748" s="3">
        <f>MONTH(Tabela1[[#This Row],[Último pagto ano]])</f>
        <v>9</v>
      </c>
      <c r="H748" t="str">
        <f>TEXT(Tabela1[[#This Row],[Coluna2]]*29,"mmmm")</f>
        <v>setembro</v>
      </c>
      <c r="I748" t="str">
        <f>TEXT(MONTH(Tabela1[[#This Row],[Último pagto ano]])*29,"mmmm")</f>
        <v>setembro</v>
      </c>
    </row>
    <row r="749" spans="1:9" x14ac:dyDescent="0.25">
      <c r="A749">
        <v>2025</v>
      </c>
      <c r="B749" t="s">
        <v>1490</v>
      </c>
      <c r="C749" s="1">
        <v>45868</v>
      </c>
      <c r="D749" t="s">
        <v>1491</v>
      </c>
      <c r="E749" s="2">
        <v>6520.31</v>
      </c>
      <c r="G749" s="3">
        <f>MONTH(Tabela1[[#This Row],[Último pagto ano]])</f>
        <v>7</v>
      </c>
      <c r="H749" t="str">
        <f>TEXT(Tabela1[[#This Row],[Coluna2]]*29,"mmmm")</f>
        <v>julho</v>
      </c>
      <c r="I749" t="str">
        <f>TEXT(MONTH(Tabela1[[#This Row],[Último pagto ano]])*29,"mmmm")</f>
        <v>julho</v>
      </c>
    </row>
    <row r="750" spans="1:9" x14ac:dyDescent="0.25">
      <c r="A750">
        <v>2025</v>
      </c>
      <c r="B750" t="s">
        <v>1492</v>
      </c>
      <c r="C750" s="1">
        <v>45996</v>
      </c>
      <c r="D750" t="s">
        <v>1493</v>
      </c>
      <c r="E750" s="2">
        <v>23550</v>
      </c>
      <c r="G750" s="3">
        <f>MONTH(Tabela1[[#This Row],[Último pagto ano]])</f>
        <v>12</v>
      </c>
      <c r="H750" t="str">
        <f>TEXT(Tabela1[[#This Row],[Coluna2]]*29,"mmmm")</f>
        <v>dezembro</v>
      </c>
      <c r="I750" t="str">
        <f>TEXT(MONTH(Tabela1[[#This Row],[Último pagto ano]])*29,"mmmm")</f>
        <v>dezembro</v>
      </c>
    </row>
    <row r="751" spans="1:9" x14ac:dyDescent="0.25">
      <c r="A751">
        <v>2025</v>
      </c>
      <c r="B751" t="s">
        <v>1494</v>
      </c>
      <c r="C751" s="1">
        <v>45702</v>
      </c>
      <c r="D751" t="s">
        <v>1495</v>
      </c>
      <c r="E751">
        <v>38.39</v>
      </c>
      <c r="G751" s="3">
        <f>MONTH(Tabela1[[#This Row],[Último pagto ano]])</f>
        <v>2</v>
      </c>
      <c r="H751" t="str">
        <f>TEXT(Tabela1[[#This Row],[Coluna2]]*29,"mmmm")</f>
        <v>fevereiro</v>
      </c>
      <c r="I751" t="str">
        <f>TEXT(MONTH(Tabela1[[#This Row],[Último pagto ano]])*29,"mmmm")</f>
        <v>fevereiro</v>
      </c>
    </row>
    <row r="752" spans="1:9" x14ac:dyDescent="0.25">
      <c r="A752">
        <v>2025</v>
      </c>
      <c r="B752" t="s">
        <v>1496</v>
      </c>
      <c r="C752" s="1">
        <v>45947</v>
      </c>
      <c r="D752" t="s">
        <v>1497</v>
      </c>
      <c r="E752" s="2">
        <v>6996.31</v>
      </c>
      <c r="G752" s="3">
        <f>MONTH(Tabela1[[#This Row],[Último pagto ano]])</f>
        <v>10</v>
      </c>
      <c r="H752" t="str">
        <f>TEXT(Tabela1[[#This Row],[Coluna2]]*29,"mmmm")</f>
        <v>outubro</v>
      </c>
      <c r="I752" t="str">
        <f>TEXT(MONTH(Tabela1[[#This Row],[Último pagto ano]])*29,"mmmm")</f>
        <v>outubro</v>
      </c>
    </row>
    <row r="753" spans="1:9" x14ac:dyDescent="0.25">
      <c r="A753">
        <v>2025</v>
      </c>
      <c r="B753" t="s">
        <v>1498</v>
      </c>
      <c r="C753" s="1">
        <v>45996</v>
      </c>
      <c r="D753" t="s">
        <v>1499</v>
      </c>
      <c r="E753" s="2">
        <v>3000</v>
      </c>
      <c r="G753" s="3">
        <f>MONTH(Tabela1[[#This Row],[Último pagto ano]])</f>
        <v>12</v>
      </c>
      <c r="H753" t="str">
        <f>TEXT(Tabela1[[#This Row],[Coluna2]]*29,"mmmm")</f>
        <v>dezembro</v>
      </c>
      <c r="I753" t="str">
        <f>TEXT(MONTH(Tabela1[[#This Row],[Último pagto ano]])*29,"mmmm")</f>
        <v>dezembro</v>
      </c>
    </row>
    <row r="754" spans="1:9" x14ac:dyDescent="0.25">
      <c r="A754">
        <v>2025</v>
      </c>
      <c r="B754" t="s">
        <v>1500</v>
      </c>
      <c r="C754" s="1">
        <v>46014</v>
      </c>
      <c r="D754" t="s">
        <v>1501</v>
      </c>
      <c r="E754">
        <v>194.4</v>
      </c>
      <c r="G754" s="3">
        <f>MONTH(Tabela1[[#This Row],[Último pagto ano]])</f>
        <v>12</v>
      </c>
      <c r="H754" t="str">
        <f>TEXT(Tabela1[[#This Row],[Coluna2]]*29,"mmmm")</f>
        <v>dezembro</v>
      </c>
      <c r="I754" t="str">
        <f>TEXT(MONTH(Tabela1[[#This Row],[Último pagto ano]])*29,"mmmm")</f>
        <v>dezembro</v>
      </c>
    </row>
    <row r="755" spans="1:9" x14ac:dyDescent="0.25">
      <c r="A755">
        <v>2025</v>
      </c>
      <c r="B755" t="s">
        <v>1502</v>
      </c>
      <c r="C755" s="1">
        <v>45898</v>
      </c>
      <c r="D755" t="s">
        <v>1503</v>
      </c>
      <c r="E755" s="2">
        <v>5364.28</v>
      </c>
      <c r="G755" s="3">
        <f>MONTH(Tabela1[[#This Row],[Último pagto ano]])</f>
        <v>8</v>
      </c>
      <c r="H755" t="str">
        <f>TEXT(Tabela1[[#This Row],[Coluna2]]*29,"mmmm")</f>
        <v>agosto</v>
      </c>
      <c r="I755" t="str">
        <f>TEXT(MONTH(Tabela1[[#This Row],[Último pagto ano]])*29,"mmmm")</f>
        <v>agosto</v>
      </c>
    </row>
    <row r="756" spans="1:9" x14ac:dyDescent="0.25">
      <c r="A756">
        <v>2025</v>
      </c>
      <c r="B756" t="s">
        <v>1504</v>
      </c>
      <c r="C756" s="1">
        <v>45709</v>
      </c>
      <c r="D756" t="s">
        <v>1505</v>
      </c>
      <c r="E756">
        <v>164.22</v>
      </c>
      <c r="G756" s="3">
        <f>MONTH(Tabela1[[#This Row],[Último pagto ano]])</f>
        <v>2</v>
      </c>
      <c r="H756" t="str">
        <f>TEXT(Tabela1[[#This Row],[Coluna2]]*29,"mmmm")</f>
        <v>fevereiro</v>
      </c>
      <c r="I756" t="str">
        <f>TEXT(MONTH(Tabela1[[#This Row],[Último pagto ano]])*29,"mmmm")</f>
        <v>fevereiro</v>
      </c>
    </row>
    <row r="757" spans="1:9" x14ac:dyDescent="0.25">
      <c r="A757">
        <v>2025</v>
      </c>
      <c r="B757" t="s">
        <v>1506</v>
      </c>
      <c r="C757" s="1">
        <v>45866</v>
      </c>
      <c r="D757" t="s">
        <v>1507</v>
      </c>
      <c r="E757">
        <v>44</v>
      </c>
      <c r="G757" s="3">
        <f>MONTH(Tabela1[[#This Row],[Último pagto ano]])</f>
        <v>7</v>
      </c>
      <c r="H757" t="str">
        <f>TEXT(Tabela1[[#This Row],[Coluna2]]*29,"mmmm")</f>
        <v>julho</v>
      </c>
      <c r="I757" t="str">
        <f>TEXT(MONTH(Tabela1[[#This Row],[Último pagto ano]])*29,"mmmm")</f>
        <v>julho</v>
      </c>
    </row>
    <row r="758" spans="1:9" x14ac:dyDescent="0.25">
      <c r="A758">
        <v>2025</v>
      </c>
      <c r="B758" t="s">
        <v>1508</v>
      </c>
      <c r="C758" s="1">
        <v>45996</v>
      </c>
      <c r="D758" t="s">
        <v>1509</v>
      </c>
      <c r="E758" s="2">
        <v>7450</v>
      </c>
      <c r="G758" s="3">
        <f>MONTH(Tabela1[[#This Row],[Último pagto ano]])</f>
        <v>12</v>
      </c>
      <c r="H758" t="str">
        <f>TEXT(Tabela1[[#This Row],[Coluna2]]*29,"mmmm")</f>
        <v>dezembro</v>
      </c>
      <c r="I758" t="str">
        <f>TEXT(MONTH(Tabela1[[#This Row],[Último pagto ano]])*29,"mmmm")</f>
        <v>dezembro</v>
      </c>
    </row>
    <row r="759" spans="1:9" x14ac:dyDescent="0.25">
      <c r="A759">
        <v>2025</v>
      </c>
      <c r="B759" t="s">
        <v>1510</v>
      </c>
      <c r="C759" s="1">
        <v>45989</v>
      </c>
      <c r="D759" t="s">
        <v>1511</v>
      </c>
      <c r="E759" s="2">
        <v>8354.7900000000009</v>
      </c>
      <c r="G759" s="3">
        <f>MONTH(Tabela1[[#This Row],[Último pagto ano]])</f>
        <v>11</v>
      </c>
      <c r="H759" t="str">
        <f>TEXT(Tabela1[[#This Row],[Coluna2]]*29,"mmmm")</f>
        <v>novembro</v>
      </c>
      <c r="I759" t="str">
        <f>TEXT(MONTH(Tabela1[[#This Row],[Último pagto ano]])*29,"mmmm")</f>
        <v>novembro</v>
      </c>
    </row>
    <row r="760" spans="1:9" x14ac:dyDescent="0.25">
      <c r="A760">
        <v>2025</v>
      </c>
      <c r="B760" t="s">
        <v>1512</v>
      </c>
      <c r="C760" s="1">
        <v>45842</v>
      </c>
      <c r="D760" t="s">
        <v>1513</v>
      </c>
      <c r="E760">
        <v>3.07</v>
      </c>
      <c r="G760" s="3">
        <f>MONTH(Tabela1[[#This Row],[Último pagto ano]])</f>
        <v>7</v>
      </c>
      <c r="H760" t="str">
        <f>TEXT(Tabela1[[#This Row],[Coluna2]]*29,"mmmm")</f>
        <v>julho</v>
      </c>
      <c r="I760" t="str">
        <f>TEXT(MONTH(Tabela1[[#This Row],[Último pagto ano]])*29,"mmmm")</f>
        <v>julho</v>
      </c>
    </row>
    <row r="761" spans="1:9" x14ac:dyDescent="0.25">
      <c r="A761">
        <v>2025</v>
      </c>
      <c r="B761" t="s">
        <v>1514</v>
      </c>
      <c r="C761" s="1">
        <v>45673</v>
      </c>
      <c r="D761" t="s">
        <v>1515</v>
      </c>
      <c r="E761" s="2">
        <v>1100</v>
      </c>
      <c r="G761" s="3">
        <f>MONTH(Tabela1[[#This Row],[Último pagto ano]])</f>
        <v>1</v>
      </c>
      <c r="H761" t="str">
        <f>TEXT(Tabela1[[#This Row],[Coluna2]]*29,"mmmm")</f>
        <v>janeiro</v>
      </c>
      <c r="I761" t="str">
        <f>TEXT(MONTH(Tabela1[[#This Row],[Último pagto ano]])*29,"mmmm")</f>
        <v>janeiro</v>
      </c>
    </row>
    <row r="762" spans="1:9" x14ac:dyDescent="0.25">
      <c r="A762">
        <v>2025</v>
      </c>
      <c r="B762" t="s">
        <v>1516</v>
      </c>
      <c r="C762" s="1">
        <v>45782</v>
      </c>
      <c r="D762" t="s">
        <v>1517</v>
      </c>
      <c r="E762">
        <v>98.21</v>
      </c>
      <c r="G762" s="3">
        <f>MONTH(Tabela1[[#This Row],[Último pagto ano]])</f>
        <v>5</v>
      </c>
      <c r="H762" t="str">
        <f>TEXT(Tabela1[[#This Row],[Coluna2]]*29,"mmmm")</f>
        <v>maio</v>
      </c>
      <c r="I762" t="str">
        <f>TEXT(MONTH(Tabela1[[#This Row],[Último pagto ano]])*29,"mmmm")</f>
        <v>maio</v>
      </c>
    </row>
    <row r="763" spans="1:9" x14ac:dyDescent="0.25">
      <c r="A763">
        <v>2025</v>
      </c>
      <c r="B763" t="s">
        <v>1518</v>
      </c>
      <c r="C763" s="1">
        <v>45996</v>
      </c>
      <c r="D763" t="s">
        <v>1519</v>
      </c>
      <c r="E763" s="2">
        <v>3050</v>
      </c>
      <c r="G763" s="3">
        <f>MONTH(Tabela1[[#This Row],[Último pagto ano]])</f>
        <v>12</v>
      </c>
      <c r="H763" t="str">
        <f>TEXT(Tabela1[[#This Row],[Coluna2]]*29,"mmmm")</f>
        <v>dezembro</v>
      </c>
      <c r="I763" t="str">
        <f>TEXT(MONTH(Tabela1[[#This Row],[Último pagto ano]])*29,"mmmm")</f>
        <v>dezembro</v>
      </c>
    </row>
    <row r="764" spans="1:9" x14ac:dyDescent="0.25">
      <c r="A764">
        <v>2025</v>
      </c>
      <c r="B764" t="s">
        <v>1520</v>
      </c>
      <c r="C764" s="1">
        <v>45980</v>
      </c>
      <c r="D764" t="s">
        <v>1521</v>
      </c>
      <c r="E764" s="2">
        <v>20867</v>
      </c>
      <c r="G764" s="3">
        <f>MONTH(Tabela1[[#This Row],[Último pagto ano]])</f>
        <v>11</v>
      </c>
      <c r="H764" t="str">
        <f>TEXT(Tabela1[[#This Row],[Coluna2]]*29,"mmmm")</f>
        <v>novembro</v>
      </c>
      <c r="I764" t="str">
        <f>TEXT(MONTH(Tabela1[[#This Row],[Último pagto ano]])*29,"mmmm")</f>
        <v>novembro</v>
      </c>
    </row>
    <row r="765" spans="1:9" x14ac:dyDescent="0.25">
      <c r="A765">
        <v>2025</v>
      </c>
      <c r="B765" t="s">
        <v>1522</v>
      </c>
      <c r="C765" s="1">
        <v>46021</v>
      </c>
      <c r="D765" t="s">
        <v>1523</v>
      </c>
      <c r="E765" s="2">
        <v>6262.5</v>
      </c>
      <c r="G765" s="3">
        <f>MONTH(Tabela1[[#This Row],[Último pagto ano]])</f>
        <v>12</v>
      </c>
      <c r="H765" t="str">
        <f>TEXT(Tabela1[[#This Row],[Coluna2]]*29,"mmmm")</f>
        <v>dezembro</v>
      </c>
      <c r="I765" t="str">
        <f>TEXT(MONTH(Tabela1[[#This Row],[Último pagto ano]])*29,"mmmm")</f>
        <v>dezembro</v>
      </c>
    </row>
    <row r="766" spans="1:9" x14ac:dyDescent="0.25">
      <c r="A766">
        <v>2025</v>
      </c>
      <c r="B766" t="s">
        <v>1524</v>
      </c>
      <c r="C766" s="1">
        <v>45853</v>
      </c>
      <c r="D766" t="s">
        <v>1525</v>
      </c>
      <c r="E766" s="2">
        <v>13226.4</v>
      </c>
      <c r="G766" s="3">
        <f>MONTH(Tabela1[[#This Row],[Último pagto ano]])</f>
        <v>7</v>
      </c>
      <c r="H766" t="str">
        <f>TEXT(Tabela1[[#This Row],[Coluna2]]*29,"mmmm")</f>
        <v>julho</v>
      </c>
      <c r="I766" t="str">
        <f>TEXT(MONTH(Tabela1[[#This Row],[Último pagto ano]])*29,"mmmm")</f>
        <v>julho</v>
      </c>
    </row>
    <row r="767" spans="1:9" x14ac:dyDescent="0.25">
      <c r="A767">
        <v>2025</v>
      </c>
      <c r="B767" t="s">
        <v>1526</v>
      </c>
      <c r="C767" s="1">
        <v>45996</v>
      </c>
      <c r="D767" t="s">
        <v>1527</v>
      </c>
      <c r="E767" s="2">
        <v>3600</v>
      </c>
      <c r="G767" s="3">
        <f>MONTH(Tabela1[[#This Row],[Último pagto ano]])</f>
        <v>12</v>
      </c>
      <c r="H767" t="str">
        <f>TEXT(Tabela1[[#This Row],[Coluna2]]*29,"mmmm")</f>
        <v>dezembro</v>
      </c>
      <c r="I767" t="str">
        <f>TEXT(MONTH(Tabela1[[#This Row],[Último pagto ano]])*29,"mmmm")</f>
        <v>dezembro</v>
      </c>
    </row>
    <row r="768" spans="1:9" x14ac:dyDescent="0.25">
      <c r="A768">
        <v>2025</v>
      </c>
      <c r="B768" t="s">
        <v>1528</v>
      </c>
      <c r="C768" s="1">
        <v>45792</v>
      </c>
      <c r="D768" t="s">
        <v>1529</v>
      </c>
      <c r="E768" s="2">
        <v>144900</v>
      </c>
      <c r="G768" s="3">
        <f>MONTH(Tabela1[[#This Row],[Último pagto ano]])</f>
        <v>5</v>
      </c>
      <c r="H768" t="str">
        <f>TEXT(Tabela1[[#This Row],[Coluna2]]*29,"mmmm")</f>
        <v>maio</v>
      </c>
      <c r="I768" t="str">
        <f>TEXT(MONTH(Tabela1[[#This Row],[Último pagto ano]])*29,"mmmm")</f>
        <v>maio</v>
      </c>
    </row>
    <row r="769" spans="1:9" x14ac:dyDescent="0.25">
      <c r="A769">
        <v>2025</v>
      </c>
      <c r="B769" t="s">
        <v>1530</v>
      </c>
      <c r="C769" s="1">
        <v>45999</v>
      </c>
      <c r="D769" t="s">
        <v>1531</v>
      </c>
      <c r="E769">
        <v>77</v>
      </c>
      <c r="G769" s="3">
        <f>MONTH(Tabela1[[#This Row],[Último pagto ano]])</f>
        <v>12</v>
      </c>
      <c r="H769" t="str">
        <f>TEXT(Tabela1[[#This Row],[Coluna2]]*29,"mmmm")</f>
        <v>dezembro</v>
      </c>
      <c r="I769" t="str">
        <f>TEXT(MONTH(Tabela1[[#This Row],[Último pagto ano]])*29,"mmmm")</f>
        <v>dezembro</v>
      </c>
    </row>
    <row r="770" spans="1:9" x14ac:dyDescent="0.25">
      <c r="A770">
        <v>2025</v>
      </c>
      <c r="B770" t="s">
        <v>1532</v>
      </c>
      <c r="C770" s="1">
        <v>46010</v>
      </c>
      <c r="D770" t="s">
        <v>1533</v>
      </c>
      <c r="E770" s="2">
        <v>8400</v>
      </c>
      <c r="G770" s="3">
        <f>MONTH(Tabela1[[#This Row],[Último pagto ano]])</f>
        <v>12</v>
      </c>
      <c r="H770" t="str">
        <f>TEXT(Tabela1[[#This Row],[Coluna2]]*29,"mmmm")</f>
        <v>dezembro</v>
      </c>
      <c r="I770" t="str">
        <f>TEXT(MONTH(Tabela1[[#This Row],[Último pagto ano]])*29,"mmmm")</f>
        <v>dezembro</v>
      </c>
    </row>
    <row r="771" spans="1:9" x14ac:dyDescent="0.25">
      <c r="A771">
        <v>2025</v>
      </c>
      <c r="B771" t="s">
        <v>1534</v>
      </c>
      <c r="C771" s="1">
        <v>45769</v>
      </c>
      <c r="D771" t="s">
        <v>1535</v>
      </c>
      <c r="E771">
        <v>451.65</v>
      </c>
      <c r="G771" s="3">
        <f>MONTH(Tabela1[[#This Row],[Último pagto ano]])</f>
        <v>4</v>
      </c>
      <c r="H771" t="str">
        <f>TEXT(Tabela1[[#This Row],[Coluna2]]*29,"mmmm")</f>
        <v>abril</v>
      </c>
      <c r="I771" t="str">
        <f>TEXT(MONTH(Tabela1[[#This Row],[Último pagto ano]])*29,"mmmm")</f>
        <v>abril</v>
      </c>
    </row>
    <row r="772" spans="1:9" x14ac:dyDescent="0.25">
      <c r="A772">
        <v>2025</v>
      </c>
      <c r="B772" t="s">
        <v>1536</v>
      </c>
      <c r="C772" s="1">
        <v>45821</v>
      </c>
      <c r="D772" t="s">
        <v>1537</v>
      </c>
      <c r="E772" s="2">
        <v>3696.64</v>
      </c>
      <c r="G772" s="3">
        <f>MONTH(Tabela1[[#This Row],[Último pagto ano]])</f>
        <v>6</v>
      </c>
      <c r="H772" t="str">
        <f>TEXT(Tabela1[[#This Row],[Coluna2]]*29,"mmmm")</f>
        <v>junho</v>
      </c>
      <c r="I772" t="str">
        <f>TEXT(MONTH(Tabela1[[#This Row],[Último pagto ano]])*29,"mmmm")</f>
        <v>junho</v>
      </c>
    </row>
    <row r="773" spans="1:9" x14ac:dyDescent="0.25">
      <c r="A773">
        <v>2025</v>
      </c>
      <c r="B773" t="s">
        <v>1538</v>
      </c>
      <c r="C773" s="1">
        <v>46010</v>
      </c>
      <c r="D773" t="s">
        <v>1539</v>
      </c>
      <c r="E773" s="2">
        <v>8400</v>
      </c>
      <c r="G773" s="3">
        <f>MONTH(Tabela1[[#This Row],[Último pagto ano]])</f>
        <v>12</v>
      </c>
      <c r="H773" t="str">
        <f>TEXT(Tabela1[[#This Row],[Coluna2]]*29,"mmmm")</f>
        <v>dezembro</v>
      </c>
      <c r="I773" t="str">
        <f>TEXT(MONTH(Tabela1[[#This Row],[Último pagto ano]])*29,"mmmm")</f>
        <v>dezembro</v>
      </c>
    </row>
    <row r="774" spans="1:9" x14ac:dyDescent="0.25">
      <c r="A774">
        <v>2025</v>
      </c>
      <c r="B774" t="s">
        <v>1540</v>
      </c>
      <c r="C774" s="1">
        <v>46010</v>
      </c>
      <c r="D774" t="s">
        <v>1541</v>
      </c>
      <c r="E774" s="2">
        <v>8400</v>
      </c>
      <c r="G774" s="3">
        <f>MONTH(Tabela1[[#This Row],[Último pagto ano]])</f>
        <v>12</v>
      </c>
      <c r="H774" t="str">
        <f>TEXT(Tabela1[[#This Row],[Coluna2]]*29,"mmmm")</f>
        <v>dezembro</v>
      </c>
      <c r="I774" t="str">
        <f>TEXT(MONTH(Tabela1[[#This Row],[Último pagto ano]])*29,"mmmm")</f>
        <v>dezembro</v>
      </c>
    </row>
    <row r="775" spans="1:9" x14ac:dyDescent="0.25">
      <c r="A775">
        <v>2025</v>
      </c>
      <c r="B775" t="s">
        <v>1542</v>
      </c>
      <c r="C775" s="1">
        <v>46010</v>
      </c>
      <c r="D775" t="s">
        <v>1543</v>
      </c>
      <c r="E775" s="2">
        <v>12000</v>
      </c>
      <c r="G775" s="3">
        <f>MONTH(Tabela1[[#This Row],[Último pagto ano]])</f>
        <v>12</v>
      </c>
      <c r="H775" t="str">
        <f>TEXT(Tabela1[[#This Row],[Coluna2]]*29,"mmmm")</f>
        <v>dezembro</v>
      </c>
      <c r="I775" t="str">
        <f>TEXT(MONTH(Tabela1[[#This Row],[Último pagto ano]])*29,"mmmm")</f>
        <v>dezembro</v>
      </c>
    </row>
    <row r="776" spans="1:9" x14ac:dyDescent="0.25">
      <c r="A776">
        <v>2025</v>
      </c>
      <c r="B776" t="s">
        <v>1544</v>
      </c>
      <c r="C776" s="1">
        <v>45950</v>
      </c>
      <c r="D776" t="s">
        <v>1545</v>
      </c>
      <c r="E776">
        <v>199.24</v>
      </c>
      <c r="G776" s="3">
        <f>MONTH(Tabela1[[#This Row],[Último pagto ano]])</f>
        <v>10</v>
      </c>
      <c r="H776" t="str">
        <f>TEXT(Tabela1[[#This Row],[Coluna2]]*29,"mmmm")</f>
        <v>outubro</v>
      </c>
      <c r="I776" t="str">
        <f>TEXT(MONTH(Tabela1[[#This Row],[Último pagto ano]])*29,"mmmm")</f>
        <v>outubro</v>
      </c>
    </row>
    <row r="777" spans="1:9" x14ac:dyDescent="0.25">
      <c r="A777">
        <v>2025</v>
      </c>
      <c r="B777" t="s">
        <v>1546</v>
      </c>
      <c r="C777" s="1">
        <v>46010</v>
      </c>
      <c r="D777" t="s">
        <v>1547</v>
      </c>
      <c r="E777" s="2">
        <v>12000</v>
      </c>
      <c r="G777" s="3">
        <f>MONTH(Tabela1[[#This Row],[Último pagto ano]])</f>
        <v>12</v>
      </c>
      <c r="H777" t="str">
        <f>TEXT(Tabela1[[#This Row],[Coluna2]]*29,"mmmm")</f>
        <v>dezembro</v>
      </c>
      <c r="I777" t="str">
        <f>TEXT(MONTH(Tabela1[[#This Row],[Último pagto ano]])*29,"mmmm")</f>
        <v>dezembro</v>
      </c>
    </row>
    <row r="778" spans="1:9" x14ac:dyDescent="0.25">
      <c r="A778">
        <v>2025</v>
      </c>
      <c r="B778" t="s">
        <v>1548</v>
      </c>
      <c r="C778" s="1">
        <v>45873</v>
      </c>
      <c r="D778" t="s">
        <v>1549</v>
      </c>
      <c r="E778">
        <v>22</v>
      </c>
      <c r="G778" s="3">
        <f>MONTH(Tabela1[[#This Row],[Último pagto ano]])</f>
        <v>8</v>
      </c>
      <c r="H778" t="str">
        <f>TEXT(Tabela1[[#This Row],[Coluna2]]*29,"mmmm")</f>
        <v>agosto</v>
      </c>
      <c r="I778" t="str">
        <f>TEXT(MONTH(Tabela1[[#This Row],[Último pagto ano]])*29,"mmmm")</f>
        <v>agosto</v>
      </c>
    </row>
    <row r="779" spans="1:9" x14ac:dyDescent="0.25">
      <c r="A779">
        <v>2025</v>
      </c>
      <c r="B779" t="s">
        <v>1550</v>
      </c>
      <c r="C779" s="1">
        <v>45824</v>
      </c>
      <c r="D779" t="s">
        <v>1551</v>
      </c>
      <c r="E779">
        <v>888.75</v>
      </c>
      <c r="G779" s="3">
        <f>MONTH(Tabela1[[#This Row],[Último pagto ano]])</f>
        <v>6</v>
      </c>
      <c r="H779" t="str">
        <f>TEXT(Tabela1[[#This Row],[Coluna2]]*29,"mmmm")</f>
        <v>junho</v>
      </c>
      <c r="I779" t="str">
        <f>TEXT(MONTH(Tabela1[[#This Row],[Último pagto ano]])*29,"mmmm")</f>
        <v>junho</v>
      </c>
    </row>
    <row r="780" spans="1:9" x14ac:dyDescent="0.25">
      <c r="A780">
        <v>2025</v>
      </c>
      <c r="B780" t="s">
        <v>1552</v>
      </c>
      <c r="C780" s="1">
        <v>45712</v>
      </c>
      <c r="D780" t="s">
        <v>1553</v>
      </c>
      <c r="E780" s="2">
        <v>1400</v>
      </c>
      <c r="G780" s="3">
        <f>MONTH(Tabela1[[#This Row],[Último pagto ano]])</f>
        <v>2</v>
      </c>
      <c r="H780" t="str">
        <f>TEXT(Tabela1[[#This Row],[Coluna2]]*29,"mmmm")</f>
        <v>fevereiro</v>
      </c>
      <c r="I780" t="str">
        <f>TEXT(MONTH(Tabela1[[#This Row],[Último pagto ano]])*29,"mmmm")</f>
        <v>fevereiro</v>
      </c>
    </row>
    <row r="781" spans="1:9" x14ac:dyDescent="0.25">
      <c r="A781">
        <v>2025</v>
      </c>
      <c r="B781" t="s">
        <v>1554</v>
      </c>
      <c r="C781" s="1">
        <v>45996</v>
      </c>
      <c r="D781" t="s">
        <v>1555</v>
      </c>
      <c r="E781" s="2">
        <v>25987.5</v>
      </c>
      <c r="G781" s="3">
        <f>MONTH(Tabela1[[#This Row],[Último pagto ano]])</f>
        <v>12</v>
      </c>
      <c r="H781" t="str">
        <f>TEXT(Tabela1[[#This Row],[Coluna2]]*29,"mmmm")</f>
        <v>dezembro</v>
      </c>
      <c r="I781" t="str">
        <f>TEXT(MONTH(Tabela1[[#This Row],[Último pagto ano]])*29,"mmmm")</f>
        <v>dezembro</v>
      </c>
    </row>
    <row r="782" spans="1:9" x14ac:dyDescent="0.25">
      <c r="A782">
        <v>2025</v>
      </c>
      <c r="B782" t="s">
        <v>1556</v>
      </c>
      <c r="C782" s="1">
        <v>45925</v>
      </c>
      <c r="D782" t="s">
        <v>1557</v>
      </c>
      <c r="E782" s="2">
        <v>4335.3</v>
      </c>
      <c r="G782" s="3">
        <f>MONTH(Tabela1[[#This Row],[Último pagto ano]])</f>
        <v>9</v>
      </c>
      <c r="H782" t="str">
        <f>TEXT(Tabela1[[#This Row],[Coluna2]]*29,"mmmm")</f>
        <v>setembro</v>
      </c>
      <c r="I782" t="str">
        <f>TEXT(MONTH(Tabela1[[#This Row],[Último pagto ano]])*29,"mmmm")</f>
        <v>setembro</v>
      </c>
    </row>
    <row r="783" spans="1:9" x14ac:dyDescent="0.25">
      <c r="A783">
        <v>2025</v>
      </c>
      <c r="B783" t="s">
        <v>1558</v>
      </c>
      <c r="C783" s="1">
        <v>46010</v>
      </c>
      <c r="D783" t="s">
        <v>1559</v>
      </c>
      <c r="E783" s="2">
        <v>8400</v>
      </c>
      <c r="G783" s="3">
        <f>MONTH(Tabela1[[#This Row],[Último pagto ano]])</f>
        <v>12</v>
      </c>
      <c r="H783" t="str">
        <f>TEXT(Tabela1[[#This Row],[Coluna2]]*29,"mmmm")</f>
        <v>dezembro</v>
      </c>
      <c r="I783" t="str">
        <f>TEXT(MONTH(Tabela1[[#This Row],[Último pagto ano]])*29,"mmmm")</f>
        <v>dezembro</v>
      </c>
    </row>
    <row r="784" spans="1:9" x14ac:dyDescent="0.25">
      <c r="A784">
        <v>2025</v>
      </c>
      <c r="B784" t="s">
        <v>1560</v>
      </c>
      <c r="C784" s="1">
        <v>45740</v>
      </c>
      <c r="D784" t="s">
        <v>1561</v>
      </c>
      <c r="E784" s="2">
        <v>2100</v>
      </c>
      <c r="G784" s="3">
        <f>MONTH(Tabela1[[#This Row],[Último pagto ano]])</f>
        <v>3</v>
      </c>
      <c r="H784" t="str">
        <f>TEXT(Tabela1[[#This Row],[Coluna2]]*29,"mmmm")</f>
        <v>março</v>
      </c>
      <c r="I784" t="str">
        <f>TEXT(MONTH(Tabela1[[#This Row],[Último pagto ano]])*29,"mmmm")</f>
        <v>março</v>
      </c>
    </row>
    <row r="785" spans="1:9" x14ac:dyDescent="0.25">
      <c r="A785">
        <v>2025</v>
      </c>
      <c r="B785" t="s">
        <v>1562</v>
      </c>
      <c r="C785" s="1">
        <v>46006</v>
      </c>
      <c r="D785" t="s">
        <v>1563</v>
      </c>
      <c r="E785" s="2">
        <v>9477.1200000000008</v>
      </c>
      <c r="G785" s="3">
        <f>MONTH(Tabela1[[#This Row],[Último pagto ano]])</f>
        <v>12</v>
      </c>
      <c r="H785" t="str">
        <f>TEXT(Tabela1[[#This Row],[Coluna2]]*29,"mmmm")</f>
        <v>dezembro</v>
      </c>
      <c r="I785" t="str">
        <f>TEXT(MONTH(Tabela1[[#This Row],[Último pagto ano]])*29,"mmmm")</f>
        <v>dezembro</v>
      </c>
    </row>
    <row r="786" spans="1:9" x14ac:dyDescent="0.25">
      <c r="A786">
        <v>2025</v>
      </c>
      <c r="B786" t="s">
        <v>1564</v>
      </c>
      <c r="C786" s="1">
        <v>46006</v>
      </c>
      <c r="D786" t="s">
        <v>1565</v>
      </c>
      <c r="E786" s="2">
        <v>5021.4399999999996</v>
      </c>
      <c r="G786" s="3">
        <f>MONTH(Tabela1[[#This Row],[Último pagto ano]])</f>
        <v>12</v>
      </c>
      <c r="H786" t="str">
        <f>TEXT(Tabela1[[#This Row],[Coluna2]]*29,"mmmm")</f>
        <v>dezembro</v>
      </c>
      <c r="I786" t="str">
        <f>TEXT(MONTH(Tabela1[[#This Row],[Último pagto ano]])*29,"mmmm")</f>
        <v>dezembro</v>
      </c>
    </row>
    <row r="787" spans="1:9" x14ac:dyDescent="0.25">
      <c r="A787">
        <v>2025</v>
      </c>
      <c r="B787" t="s">
        <v>1566</v>
      </c>
      <c r="C787" s="1">
        <v>45880</v>
      </c>
      <c r="D787" t="s">
        <v>1567</v>
      </c>
      <c r="E787" s="2">
        <v>1602.99</v>
      </c>
      <c r="G787" s="3">
        <f>MONTH(Tabela1[[#This Row],[Último pagto ano]])</f>
        <v>8</v>
      </c>
      <c r="H787" t="str">
        <f>TEXT(Tabela1[[#This Row],[Coluna2]]*29,"mmmm")</f>
        <v>agosto</v>
      </c>
      <c r="I787" t="str">
        <f>TEXT(MONTH(Tabela1[[#This Row],[Último pagto ano]])*29,"mmmm")</f>
        <v>agosto</v>
      </c>
    </row>
    <row r="788" spans="1:9" x14ac:dyDescent="0.25">
      <c r="A788">
        <v>2025</v>
      </c>
      <c r="B788" t="s">
        <v>1568</v>
      </c>
      <c r="C788" s="1">
        <v>45915</v>
      </c>
      <c r="D788" t="s">
        <v>1569</v>
      </c>
      <c r="E788">
        <v>888.48</v>
      </c>
      <c r="G788" s="3">
        <f>MONTH(Tabela1[[#This Row],[Último pagto ano]])</f>
        <v>9</v>
      </c>
      <c r="H788" t="str">
        <f>TEXT(Tabela1[[#This Row],[Coluna2]]*29,"mmmm")</f>
        <v>setembro</v>
      </c>
      <c r="I788" t="str">
        <f>TEXT(MONTH(Tabela1[[#This Row],[Último pagto ano]])*29,"mmmm")</f>
        <v>setembro</v>
      </c>
    </row>
    <row r="789" spans="1:9" x14ac:dyDescent="0.25">
      <c r="A789">
        <v>2025</v>
      </c>
      <c r="B789" t="s">
        <v>1570</v>
      </c>
      <c r="C789" s="1">
        <v>45954</v>
      </c>
      <c r="D789" t="s">
        <v>1571</v>
      </c>
      <c r="E789" s="2">
        <v>127224.96000000001</v>
      </c>
      <c r="G789" s="3">
        <f>MONTH(Tabela1[[#This Row],[Último pagto ano]])</f>
        <v>10</v>
      </c>
      <c r="H789" t="str">
        <f>TEXT(Tabela1[[#This Row],[Coluna2]]*29,"mmmm")</f>
        <v>outubro</v>
      </c>
      <c r="I789" t="str">
        <f>TEXT(MONTH(Tabela1[[#This Row],[Último pagto ano]])*29,"mmmm")</f>
        <v>outubro</v>
      </c>
    </row>
    <row r="790" spans="1:9" x14ac:dyDescent="0.25">
      <c r="A790">
        <v>2025</v>
      </c>
      <c r="B790" t="s">
        <v>1572</v>
      </c>
      <c r="C790" s="1">
        <v>46010</v>
      </c>
      <c r="D790" t="s">
        <v>1573</v>
      </c>
      <c r="E790" s="2">
        <v>24000</v>
      </c>
      <c r="G790" s="3">
        <f>MONTH(Tabela1[[#This Row],[Último pagto ano]])</f>
        <v>12</v>
      </c>
      <c r="H790" t="str">
        <f>TEXT(Tabela1[[#This Row],[Coluna2]]*29,"mmmm")</f>
        <v>dezembro</v>
      </c>
      <c r="I790" t="str">
        <f>TEXT(MONTH(Tabela1[[#This Row],[Último pagto ano]])*29,"mmmm")</f>
        <v>dezembro</v>
      </c>
    </row>
    <row r="791" spans="1:9" x14ac:dyDescent="0.25">
      <c r="A791">
        <v>2025</v>
      </c>
      <c r="B791" t="s">
        <v>1574</v>
      </c>
      <c r="C791" s="1">
        <v>45975</v>
      </c>
      <c r="D791" t="s">
        <v>1575</v>
      </c>
      <c r="E791" s="2">
        <v>5627.04</v>
      </c>
      <c r="G791" s="3">
        <f>MONTH(Tabela1[[#This Row],[Último pagto ano]])</f>
        <v>11</v>
      </c>
      <c r="H791" t="str">
        <f>TEXT(Tabela1[[#This Row],[Coluna2]]*29,"mmmm")</f>
        <v>novembro</v>
      </c>
      <c r="I791" t="str">
        <f>TEXT(MONTH(Tabela1[[#This Row],[Último pagto ano]])*29,"mmmm")</f>
        <v>novembro</v>
      </c>
    </row>
    <row r="792" spans="1:9" x14ac:dyDescent="0.25">
      <c r="A792">
        <v>2025</v>
      </c>
      <c r="B792" t="s">
        <v>1576</v>
      </c>
      <c r="C792" s="1">
        <v>45961</v>
      </c>
      <c r="D792" t="s">
        <v>1577</v>
      </c>
      <c r="E792" s="2">
        <v>2382.4899999999998</v>
      </c>
      <c r="G792" s="3">
        <f>MONTH(Tabela1[[#This Row],[Último pagto ano]])</f>
        <v>10</v>
      </c>
      <c r="H792" t="str">
        <f>TEXT(Tabela1[[#This Row],[Coluna2]]*29,"mmmm")</f>
        <v>outubro</v>
      </c>
      <c r="I792" t="str">
        <f>TEXT(MONTH(Tabela1[[#This Row],[Último pagto ano]])*29,"mmmm")</f>
        <v>outubro</v>
      </c>
    </row>
    <row r="793" spans="1:9" x14ac:dyDescent="0.25">
      <c r="A793">
        <v>2025</v>
      </c>
      <c r="B793" t="s">
        <v>1578</v>
      </c>
      <c r="C793" s="1">
        <v>46014</v>
      </c>
      <c r="D793" t="s">
        <v>1579</v>
      </c>
      <c r="E793">
        <v>242</v>
      </c>
      <c r="G793" s="3">
        <f>MONTH(Tabela1[[#This Row],[Último pagto ano]])</f>
        <v>12</v>
      </c>
      <c r="H793" t="str">
        <f>TEXT(Tabela1[[#This Row],[Coluna2]]*29,"mmmm")</f>
        <v>dezembro</v>
      </c>
      <c r="I793" t="str">
        <f>TEXT(MONTH(Tabela1[[#This Row],[Último pagto ano]])*29,"mmmm")</f>
        <v>dezembro</v>
      </c>
    </row>
    <row r="794" spans="1:9" x14ac:dyDescent="0.25">
      <c r="A794">
        <v>2025</v>
      </c>
      <c r="B794" t="s">
        <v>1580</v>
      </c>
      <c r="C794" s="1">
        <v>45832</v>
      </c>
      <c r="D794" t="s">
        <v>1581</v>
      </c>
      <c r="E794" s="2">
        <v>4200</v>
      </c>
      <c r="G794" s="3">
        <f>MONTH(Tabela1[[#This Row],[Último pagto ano]])</f>
        <v>6</v>
      </c>
      <c r="H794" t="str">
        <f>TEXT(Tabela1[[#This Row],[Coluna2]]*29,"mmmm")</f>
        <v>junho</v>
      </c>
      <c r="I794" t="str">
        <f>TEXT(MONTH(Tabela1[[#This Row],[Último pagto ano]])*29,"mmmm")</f>
        <v>junho</v>
      </c>
    </row>
    <row r="795" spans="1:9" x14ac:dyDescent="0.25">
      <c r="A795">
        <v>2025</v>
      </c>
      <c r="B795" t="s">
        <v>1582</v>
      </c>
      <c r="C795" s="1">
        <v>45924</v>
      </c>
      <c r="D795" t="s">
        <v>1583</v>
      </c>
      <c r="E795" s="2">
        <v>1400</v>
      </c>
      <c r="G795" s="3">
        <f>MONTH(Tabela1[[#This Row],[Último pagto ano]])</f>
        <v>9</v>
      </c>
      <c r="H795" t="str">
        <f>TEXT(Tabela1[[#This Row],[Coluna2]]*29,"mmmm")</f>
        <v>setembro</v>
      </c>
      <c r="I795" t="str">
        <f>TEXT(MONTH(Tabela1[[#This Row],[Último pagto ano]])*29,"mmmm")</f>
        <v>setembro</v>
      </c>
    </row>
    <row r="796" spans="1:9" x14ac:dyDescent="0.25">
      <c r="A796">
        <v>2025</v>
      </c>
      <c r="B796" t="s">
        <v>1584</v>
      </c>
      <c r="C796" s="1">
        <v>45926</v>
      </c>
      <c r="D796" t="s">
        <v>1585</v>
      </c>
      <c r="E796">
        <v>889.2</v>
      </c>
      <c r="G796" s="3">
        <f>MONTH(Tabela1[[#This Row],[Último pagto ano]])</f>
        <v>9</v>
      </c>
      <c r="H796" t="str">
        <f>TEXT(Tabela1[[#This Row],[Coluna2]]*29,"mmmm")</f>
        <v>setembro</v>
      </c>
      <c r="I796" t="str">
        <f>TEXT(MONTH(Tabela1[[#This Row],[Último pagto ano]])*29,"mmmm")</f>
        <v>setembro</v>
      </c>
    </row>
    <row r="797" spans="1:9" x14ac:dyDescent="0.25">
      <c r="A797">
        <v>2025</v>
      </c>
      <c r="B797" t="s">
        <v>1586</v>
      </c>
      <c r="C797" s="1">
        <v>45964</v>
      </c>
      <c r="D797" t="s">
        <v>1587</v>
      </c>
      <c r="E797">
        <v>143</v>
      </c>
      <c r="G797" s="3">
        <f>MONTH(Tabela1[[#This Row],[Último pagto ano]])</f>
        <v>11</v>
      </c>
      <c r="H797" t="str">
        <f>TEXT(Tabela1[[#This Row],[Coluna2]]*29,"mmmm")</f>
        <v>novembro</v>
      </c>
      <c r="I797" t="str">
        <f>TEXT(MONTH(Tabela1[[#This Row],[Último pagto ano]])*29,"mmmm")</f>
        <v>novembro</v>
      </c>
    </row>
    <row r="798" spans="1:9" x14ac:dyDescent="0.25">
      <c r="A798">
        <v>2025</v>
      </c>
      <c r="B798" t="s">
        <v>1588</v>
      </c>
      <c r="C798" s="1">
        <v>45959</v>
      </c>
      <c r="D798" t="s">
        <v>1589</v>
      </c>
      <c r="E798">
        <v>315.89999999999998</v>
      </c>
      <c r="G798" s="3">
        <f>MONTH(Tabela1[[#This Row],[Último pagto ano]])</f>
        <v>10</v>
      </c>
      <c r="H798" t="str">
        <f>TEXT(Tabela1[[#This Row],[Coluna2]]*29,"mmmm")</f>
        <v>outubro</v>
      </c>
      <c r="I798" t="str">
        <f>TEXT(MONTH(Tabela1[[#This Row],[Último pagto ano]])*29,"mmmm")</f>
        <v>outubro</v>
      </c>
    </row>
    <row r="799" spans="1:9" x14ac:dyDescent="0.25">
      <c r="A799">
        <v>2025</v>
      </c>
      <c r="B799" t="s">
        <v>1590</v>
      </c>
      <c r="C799" s="1">
        <v>45673</v>
      </c>
      <c r="D799" t="s">
        <v>1591</v>
      </c>
      <c r="E799" s="2">
        <v>5400</v>
      </c>
      <c r="G799" s="3">
        <f>MONTH(Tabela1[[#This Row],[Último pagto ano]])</f>
        <v>1</v>
      </c>
      <c r="H799" t="str">
        <f>TEXT(Tabela1[[#This Row],[Coluna2]]*29,"mmmm")</f>
        <v>janeiro</v>
      </c>
      <c r="I799" t="str">
        <f>TEXT(MONTH(Tabela1[[#This Row],[Último pagto ano]])*29,"mmmm")</f>
        <v>janeiro</v>
      </c>
    </row>
    <row r="800" spans="1:9" x14ac:dyDescent="0.25">
      <c r="A800">
        <v>2025</v>
      </c>
      <c r="B800" t="s">
        <v>1592</v>
      </c>
      <c r="C800" s="1">
        <v>45996</v>
      </c>
      <c r="D800" t="s">
        <v>1593</v>
      </c>
      <c r="E800" s="2">
        <v>22981.599999999999</v>
      </c>
      <c r="G800" s="3">
        <f>MONTH(Tabela1[[#This Row],[Último pagto ano]])</f>
        <v>12</v>
      </c>
      <c r="H800" t="str">
        <f>TEXT(Tabela1[[#This Row],[Coluna2]]*29,"mmmm")</f>
        <v>dezembro</v>
      </c>
      <c r="I800" t="str">
        <f>TEXT(MONTH(Tabela1[[#This Row],[Último pagto ano]])*29,"mmmm")</f>
        <v>dezembro</v>
      </c>
    </row>
    <row r="801" spans="1:9" x14ac:dyDescent="0.25">
      <c r="A801">
        <v>2025</v>
      </c>
      <c r="B801" t="s">
        <v>1594</v>
      </c>
      <c r="C801" s="1">
        <v>45736</v>
      </c>
      <c r="D801" t="s">
        <v>1595</v>
      </c>
      <c r="E801" s="2">
        <v>6000</v>
      </c>
      <c r="G801" s="3">
        <f>MONTH(Tabela1[[#This Row],[Último pagto ano]])</f>
        <v>3</v>
      </c>
      <c r="H801" t="str">
        <f>TEXT(Tabela1[[#This Row],[Coluna2]]*29,"mmmm")</f>
        <v>março</v>
      </c>
      <c r="I801" t="str">
        <f>TEXT(MONTH(Tabela1[[#This Row],[Último pagto ano]])*29,"mmmm")</f>
        <v>março</v>
      </c>
    </row>
    <row r="802" spans="1:9" x14ac:dyDescent="0.25">
      <c r="A802">
        <v>2025</v>
      </c>
      <c r="B802" t="s">
        <v>1596</v>
      </c>
      <c r="C802" s="1">
        <v>45782</v>
      </c>
      <c r="D802" t="s">
        <v>1597</v>
      </c>
      <c r="E802">
        <v>12.01</v>
      </c>
      <c r="G802" s="3">
        <f>MONTH(Tabela1[[#This Row],[Último pagto ano]])</f>
        <v>5</v>
      </c>
      <c r="H802" t="str">
        <f>TEXT(Tabela1[[#This Row],[Coluna2]]*29,"mmmm")</f>
        <v>maio</v>
      </c>
      <c r="I802" t="str">
        <f>TEXT(MONTH(Tabela1[[#This Row],[Último pagto ano]])*29,"mmmm")</f>
        <v>maio</v>
      </c>
    </row>
    <row r="803" spans="1:9" x14ac:dyDescent="0.25">
      <c r="A803">
        <v>2025</v>
      </c>
      <c r="B803" t="s">
        <v>1598</v>
      </c>
      <c r="C803" s="1">
        <v>45999</v>
      </c>
      <c r="D803" t="s">
        <v>1599</v>
      </c>
      <c r="E803">
        <v>197.4</v>
      </c>
      <c r="G803" s="3">
        <f>MONTH(Tabela1[[#This Row],[Último pagto ano]])</f>
        <v>12</v>
      </c>
      <c r="H803" t="str">
        <f>TEXT(Tabela1[[#This Row],[Coluna2]]*29,"mmmm")</f>
        <v>dezembro</v>
      </c>
      <c r="I803" t="str">
        <f>TEXT(MONTH(Tabela1[[#This Row],[Último pagto ano]])*29,"mmmm")</f>
        <v>dezembro</v>
      </c>
    </row>
    <row r="804" spans="1:9" x14ac:dyDescent="0.25">
      <c r="A804">
        <v>2025</v>
      </c>
      <c r="B804" t="s">
        <v>1600</v>
      </c>
      <c r="C804" s="1">
        <v>45902</v>
      </c>
      <c r="D804" t="s">
        <v>1601</v>
      </c>
      <c r="E804" s="2">
        <v>56488.84</v>
      </c>
      <c r="G804" s="3">
        <f>MONTH(Tabela1[[#This Row],[Último pagto ano]])</f>
        <v>9</v>
      </c>
      <c r="H804" t="str">
        <f>TEXT(Tabela1[[#This Row],[Coluna2]]*29,"mmmm")</f>
        <v>setembro</v>
      </c>
      <c r="I804" t="str">
        <f>TEXT(MONTH(Tabela1[[#This Row],[Último pagto ano]])*29,"mmmm")</f>
        <v>setembro</v>
      </c>
    </row>
    <row r="805" spans="1:9" x14ac:dyDescent="0.25">
      <c r="A805">
        <v>2025</v>
      </c>
      <c r="B805" t="s">
        <v>1602</v>
      </c>
      <c r="C805" s="1">
        <v>46014</v>
      </c>
      <c r="D805" t="s">
        <v>1603</v>
      </c>
      <c r="E805">
        <v>386.01</v>
      </c>
      <c r="G805" s="3">
        <f>MONTH(Tabela1[[#This Row],[Último pagto ano]])</f>
        <v>12</v>
      </c>
      <c r="H805" t="str">
        <f>TEXT(Tabela1[[#This Row],[Coluna2]]*29,"mmmm")</f>
        <v>dezembro</v>
      </c>
      <c r="I805" t="str">
        <f>TEXT(MONTH(Tabela1[[#This Row],[Último pagto ano]])*29,"mmmm")</f>
        <v>dezembro</v>
      </c>
    </row>
    <row r="806" spans="1:9" x14ac:dyDescent="0.25">
      <c r="A806">
        <v>2025</v>
      </c>
      <c r="B806" t="s">
        <v>1604</v>
      </c>
      <c r="C806" s="1">
        <v>46010</v>
      </c>
      <c r="D806" t="s">
        <v>1605</v>
      </c>
      <c r="E806" s="2">
        <v>7000</v>
      </c>
      <c r="G806" s="3">
        <f>MONTH(Tabela1[[#This Row],[Último pagto ano]])</f>
        <v>12</v>
      </c>
      <c r="H806" t="str">
        <f>TEXT(Tabela1[[#This Row],[Coluna2]]*29,"mmmm")</f>
        <v>dezembro</v>
      </c>
      <c r="I806" t="str">
        <f>TEXT(MONTH(Tabela1[[#This Row],[Último pagto ano]])*29,"mmmm")</f>
        <v>dezembro</v>
      </c>
    </row>
    <row r="807" spans="1:9" x14ac:dyDescent="0.25">
      <c r="A807">
        <v>2025</v>
      </c>
      <c r="B807" t="s">
        <v>1606</v>
      </c>
      <c r="C807" s="1">
        <v>46006</v>
      </c>
      <c r="D807" t="s">
        <v>1607</v>
      </c>
      <c r="E807">
        <v>759</v>
      </c>
      <c r="G807" s="3">
        <f>MONTH(Tabela1[[#This Row],[Último pagto ano]])</f>
        <v>12</v>
      </c>
      <c r="H807" t="str">
        <f>TEXT(Tabela1[[#This Row],[Coluna2]]*29,"mmmm")</f>
        <v>dezembro</v>
      </c>
      <c r="I807" t="str">
        <f>TEXT(MONTH(Tabela1[[#This Row],[Último pagto ano]])*29,"mmmm")</f>
        <v>dezembro</v>
      </c>
    </row>
    <row r="808" spans="1:9" x14ac:dyDescent="0.25">
      <c r="A808">
        <v>2025</v>
      </c>
      <c r="B808" t="s">
        <v>1608</v>
      </c>
      <c r="C808" s="1">
        <v>46006</v>
      </c>
      <c r="D808" t="s">
        <v>1609</v>
      </c>
      <c r="E808" s="2">
        <v>15051.04</v>
      </c>
      <c r="G808" s="3">
        <f>MONTH(Tabela1[[#This Row],[Último pagto ano]])</f>
        <v>12</v>
      </c>
      <c r="H808" t="str">
        <f>TEXT(Tabela1[[#This Row],[Coluna2]]*29,"mmmm")</f>
        <v>dezembro</v>
      </c>
      <c r="I808" t="str">
        <f>TEXT(MONTH(Tabela1[[#This Row],[Último pagto ano]])*29,"mmmm")</f>
        <v>dezembro</v>
      </c>
    </row>
    <row r="809" spans="1:9" x14ac:dyDescent="0.25">
      <c r="A809">
        <v>2025</v>
      </c>
      <c r="B809" t="s">
        <v>1610</v>
      </c>
      <c r="C809" s="1">
        <v>45726</v>
      </c>
      <c r="D809" t="s">
        <v>1611</v>
      </c>
      <c r="E809">
        <v>0.57999999999999996</v>
      </c>
      <c r="G809" s="3">
        <f>MONTH(Tabela1[[#This Row],[Último pagto ano]])</f>
        <v>3</v>
      </c>
      <c r="H809" t="str">
        <f>TEXT(Tabela1[[#This Row],[Coluna2]]*29,"mmmm")</f>
        <v>março</v>
      </c>
      <c r="I809" t="str">
        <f>TEXT(MONTH(Tabela1[[#This Row],[Último pagto ano]])*29,"mmmm")</f>
        <v>março</v>
      </c>
    </row>
    <row r="810" spans="1:9" x14ac:dyDescent="0.25">
      <c r="A810">
        <v>2025</v>
      </c>
      <c r="B810" t="s">
        <v>1612</v>
      </c>
      <c r="C810" s="1">
        <v>45979</v>
      </c>
      <c r="D810" t="s">
        <v>1613</v>
      </c>
      <c r="E810" s="2">
        <v>3000</v>
      </c>
      <c r="G810" s="3">
        <f>MONTH(Tabela1[[#This Row],[Último pagto ano]])</f>
        <v>11</v>
      </c>
      <c r="H810" t="str">
        <f>TEXT(Tabela1[[#This Row],[Coluna2]]*29,"mmmm")</f>
        <v>novembro</v>
      </c>
      <c r="I810" t="str">
        <f>TEXT(MONTH(Tabela1[[#This Row],[Último pagto ano]])*29,"mmmm")</f>
        <v>novembro</v>
      </c>
    </row>
    <row r="811" spans="1:9" x14ac:dyDescent="0.25">
      <c r="A811">
        <v>2025</v>
      </c>
      <c r="B811" t="s">
        <v>1614</v>
      </c>
      <c r="C811" s="1">
        <v>45793</v>
      </c>
      <c r="D811" t="s">
        <v>1615</v>
      </c>
      <c r="E811" s="2">
        <v>2499.8000000000002</v>
      </c>
      <c r="G811" s="3">
        <f>MONTH(Tabela1[[#This Row],[Último pagto ano]])</f>
        <v>5</v>
      </c>
      <c r="H811" t="str">
        <f>TEXT(Tabela1[[#This Row],[Coluna2]]*29,"mmmm")</f>
        <v>maio</v>
      </c>
      <c r="I811" t="str">
        <f>TEXT(MONTH(Tabela1[[#This Row],[Último pagto ano]])*29,"mmmm")</f>
        <v>maio</v>
      </c>
    </row>
    <row r="812" spans="1:9" x14ac:dyDescent="0.25">
      <c r="A812">
        <v>2025</v>
      </c>
      <c r="B812" t="s">
        <v>1616</v>
      </c>
      <c r="C812" s="1">
        <v>45996</v>
      </c>
      <c r="D812" t="s">
        <v>1617</v>
      </c>
      <c r="E812" s="2">
        <v>7750</v>
      </c>
      <c r="G812" s="3">
        <f>MONTH(Tabela1[[#This Row],[Último pagto ano]])</f>
        <v>12</v>
      </c>
      <c r="H812" t="str">
        <f>TEXT(Tabela1[[#This Row],[Coluna2]]*29,"mmmm")</f>
        <v>dezembro</v>
      </c>
      <c r="I812" t="str">
        <f>TEXT(MONTH(Tabela1[[#This Row],[Último pagto ano]])*29,"mmmm")</f>
        <v>dezembro</v>
      </c>
    </row>
    <row r="813" spans="1:9" x14ac:dyDescent="0.25">
      <c r="A813">
        <v>2025</v>
      </c>
      <c r="B813" t="s">
        <v>1618</v>
      </c>
      <c r="C813" s="1">
        <v>45996</v>
      </c>
      <c r="D813" t="s">
        <v>1619</v>
      </c>
      <c r="E813" s="2">
        <v>6350</v>
      </c>
      <c r="G813" s="3">
        <f>MONTH(Tabela1[[#This Row],[Último pagto ano]])</f>
        <v>12</v>
      </c>
      <c r="H813" t="str">
        <f>TEXT(Tabela1[[#This Row],[Coluna2]]*29,"mmmm")</f>
        <v>dezembro</v>
      </c>
      <c r="I813" t="str">
        <f>TEXT(MONTH(Tabela1[[#This Row],[Último pagto ano]])*29,"mmmm")</f>
        <v>dezembro</v>
      </c>
    </row>
    <row r="814" spans="1:9" x14ac:dyDescent="0.25">
      <c r="A814">
        <v>2025</v>
      </c>
      <c r="B814" t="s">
        <v>1620</v>
      </c>
      <c r="C814" s="1">
        <v>45810</v>
      </c>
      <c r="D814" t="s">
        <v>1621</v>
      </c>
      <c r="E814">
        <v>193</v>
      </c>
      <c r="G814" s="3">
        <f>MONTH(Tabela1[[#This Row],[Último pagto ano]])</f>
        <v>6</v>
      </c>
      <c r="H814" t="str">
        <f>TEXT(Tabela1[[#This Row],[Coluna2]]*29,"mmmm")</f>
        <v>junho</v>
      </c>
      <c r="I814" t="str">
        <f>TEXT(MONTH(Tabela1[[#This Row],[Último pagto ano]])*29,"mmmm")</f>
        <v>junho</v>
      </c>
    </row>
    <row r="815" spans="1:9" x14ac:dyDescent="0.25">
      <c r="A815">
        <v>2025</v>
      </c>
      <c r="B815" t="s">
        <v>1622</v>
      </c>
      <c r="C815" s="1">
        <v>46014</v>
      </c>
      <c r="D815" t="s">
        <v>1623</v>
      </c>
      <c r="E815">
        <v>7.98</v>
      </c>
      <c r="G815" s="3">
        <f>MONTH(Tabela1[[#This Row],[Último pagto ano]])</f>
        <v>12</v>
      </c>
      <c r="H815" t="str">
        <f>TEXT(Tabela1[[#This Row],[Coluna2]]*29,"mmmm")</f>
        <v>dezembro</v>
      </c>
      <c r="I815" t="str">
        <f>TEXT(MONTH(Tabela1[[#This Row],[Último pagto ano]])*29,"mmmm")</f>
        <v>dezembro</v>
      </c>
    </row>
    <row r="816" spans="1:9" x14ac:dyDescent="0.25">
      <c r="A816">
        <v>2025</v>
      </c>
      <c r="B816" t="s">
        <v>1624</v>
      </c>
      <c r="C816" s="1">
        <v>45915</v>
      </c>
      <c r="D816" t="s">
        <v>1625</v>
      </c>
      <c r="E816">
        <v>22</v>
      </c>
      <c r="G816" s="3">
        <f>MONTH(Tabela1[[#This Row],[Último pagto ano]])</f>
        <v>9</v>
      </c>
      <c r="H816" t="str">
        <f>TEXT(Tabela1[[#This Row],[Coluna2]]*29,"mmmm")</f>
        <v>setembro</v>
      </c>
      <c r="I816" t="str">
        <f>TEXT(MONTH(Tabela1[[#This Row],[Último pagto ano]])*29,"mmmm")</f>
        <v>setembro</v>
      </c>
    </row>
    <row r="817" spans="1:9" x14ac:dyDescent="0.25">
      <c r="A817">
        <v>2025</v>
      </c>
      <c r="B817" t="s">
        <v>1626</v>
      </c>
      <c r="C817" s="1">
        <v>46014</v>
      </c>
      <c r="D817" t="s">
        <v>1627</v>
      </c>
      <c r="E817" s="2">
        <v>3400</v>
      </c>
      <c r="G817" s="3">
        <f>MONTH(Tabela1[[#This Row],[Último pagto ano]])</f>
        <v>12</v>
      </c>
      <c r="H817" t="str">
        <f>TEXT(Tabela1[[#This Row],[Coluna2]]*29,"mmmm")</f>
        <v>dezembro</v>
      </c>
      <c r="I817" t="str">
        <f>TEXT(MONTH(Tabela1[[#This Row],[Último pagto ano]])*29,"mmmm")</f>
        <v>dezembro</v>
      </c>
    </row>
    <row r="818" spans="1:9" x14ac:dyDescent="0.25">
      <c r="A818">
        <v>2025</v>
      </c>
      <c r="B818" t="s">
        <v>1628</v>
      </c>
      <c r="C818" s="1">
        <v>45999</v>
      </c>
      <c r="D818" t="s">
        <v>1629</v>
      </c>
      <c r="E818">
        <v>44</v>
      </c>
      <c r="G818" s="3">
        <f>MONTH(Tabela1[[#This Row],[Último pagto ano]])</f>
        <v>12</v>
      </c>
      <c r="H818" t="str">
        <f>TEXT(Tabela1[[#This Row],[Coluna2]]*29,"mmmm")</f>
        <v>dezembro</v>
      </c>
      <c r="I818" t="str">
        <f>TEXT(MONTH(Tabela1[[#This Row],[Último pagto ano]])*29,"mmmm")</f>
        <v>dezembro</v>
      </c>
    </row>
    <row r="819" spans="1:9" x14ac:dyDescent="0.25">
      <c r="A819">
        <v>2025</v>
      </c>
      <c r="B819" t="s">
        <v>1630</v>
      </c>
      <c r="C819" s="1">
        <v>46007</v>
      </c>
      <c r="D819" t="s">
        <v>1631</v>
      </c>
      <c r="E819" s="2">
        <v>52476</v>
      </c>
      <c r="G819" s="3">
        <f>MONTH(Tabela1[[#This Row],[Último pagto ano]])</f>
        <v>12</v>
      </c>
      <c r="H819" t="str">
        <f>TEXT(Tabela1[[#This Row],[Coluna2]]*29,"mmmm")</f>
        <v>dezembro</v>
      </c>
      <c r="I819" t="str">
        <f>TEXT(MONTH(Tabela1[[#This Row],[Último pagto ano]])*29,"mmmm")</f>
        <v>dezembro</v>
      </c>
    </row>
    <row r="820" spans="1:9" x14ac:dyDescent="0.25">
      <c r="A820">
        <v>2025</v>
      </c>
      <c r="B820" t="s">
        <v>1632</v>
      </c>
      <c r="C820" s="1">
        <v>46001</v>
      </c>
      <c r="D820" t="s">
        <v>1633</v>
      </c>
      <c r="E820" s="2">
        <v>87175</v>
      </c>
      <c r="G820" s="3">
        <f>MONTH(Tabela1[[#This Row],[Último pagto ano]])</f>
        <v>12</v>
      </c>
      <c r="H820" t="str">
        <f>TEXT(Tabela1[[#This Row],[Coluna2]]*29,"mmmm")</f>
        <v>dezembro</v>
      </c>
      <c r="I820" t="str">
        <f>TEXT(MONTH(Tabela1[[#This Row],[Último pagto ano]])*29,"mmmm")</f>
        <v>dezembro</v>
      </c>
    </row>
    <row r="821" spans="1:9" x14ac:dyDescent="0.25">
      <c r="A821">
        <v>2025</v>
      </c>
      <c r="B821" t="s">
        <v>1634</v>
      </c>
      <c r="C821" s="1">
        <v>46014</v>
      </c>
      <c r="D821" t="s">
        <v>1635</v>
      </c>
      <c r="E821">
        <v>445</v>
      </c>
      <c r="G821" s="3">
        <f>MONTH(Tabela1[[#This Row],[Último pagto ano]])</f>
        <v>12</v>
      </c>
      <c r="H821" t="str">
        <f>TEXT(Tabela1[[#This Row],[Coluna2]]*29,"mmmm")</f>
        <v>dezembro</v>
      </c>
      <c r="I821" t="str">
        <f>TEXT(MONTH(Tabela1[[#This Row],[Último pagto ano]])*29,"mmmm")</f>
        <v>dezembro</v>
      </c>
    </row>
    <row r="822" spans="1:9" x14ac:dyDescent="0.25">
      <c r="A822">
        <v>2025</v>
      </c>
      <c r="B822" t="s">
        <v>1636</v>
      </c>
      <c r="C822" s="1">
        <v>46003</v>
      </c>
      <c r="D822" t="s">
        <v>1637</v>
      </c>
      <c r="E822" s="2">
        <v>65797</v>
      </c>
      <c r="G822" s="3">
        <f>MONTH(Tabela1[[#This Row],[Último pagto ano]])</f>
        <v>12</v>
      </c>
      <c r="H822" t="str">
        <f>TEXT(Tabela1[[#This Row],[Coluna2]]*29,"mmmm")</f>
        <v>dezembro</v>
      </c>
      <c r="I822" t="str">
        <f>TEXT(MONTH(Tabela1[[#This Row],[Último pagto ano]])*29,"mmmm")</f>
        <v>dezembro</v>
      </c>
    </row>
    <row r="823" spans="1:9" x14ac:dyDescent="0.25">
      <c r="A823">
        <v>2025</v>
      </c>
      <c r="B823" t="s">
        <v>1638</v>
      </c>
      <c r="C823" s="1">
        <v>45728</v>
      </c>
      <c r="D823" t="s">
        <v>1639</v>
      </c>
      <c r="E823">
        <v>66</v>
      </c>
      <c r="G823" s="3">
        <f>MONTH(Tabela1[[#This Row],[Último pagto ano]])</f>
        <v>3</v>
      </c>
      <c r="H823" t="str">
        <f>TEXT(Tabela1[[#This Row],[Coluna2]]*29,"mmmm")</f>
        <v>março</v>
      </c>
      <c r="I823" t="str">
        <f>TEXT(MONTH(Tabela1[[#This Row],[Último pagto ano]])*29,"mmmm")</f>
        <v>março</v>
      </c>
    </row>
    <row r="824" spans="1:9" x14ac:dyDescent="0.25">
      <c r="A824">
        <v>2025</v>
      </c>
      <c r="B824" t="s">
        <v>1640</v>
      </c>
      <c r="C824" s="1">
        <v>46010</v>
      </c>
      <c r="D824" t="s">
        <v>1641</v>
      </c>
      <c r="E824" s="2">
        <v>2800</v>
      </c>
      <c r="G824" s="3">
        <f>MONTH(Tabela1[[#This Row],[Último pagto ano]])</f>
        <v>12</v>
      </c>
      <c r="H824" t="str">
        <f>TEXT(Tabela1[[#This Row],[Coluna2]]*29,"mmmm")</f>
        <v>dezembro</v>
      </c>
      <c r="I824" t="str">
        <f>TEXT(MONTH(Tabela1[[#This Row],[Último pagto ano]])*29,"mmmm")</f>
        <v>dezembro</v>
      </c>
    </row>
    <row r="825" spans="1:9" x14ac:dyDescent="0.25">
      <c r="A825">
        <v>2025</v>
      </c>
      <c r="B825" t="s">
        <v>1642</v>
      </c>
      <c r="C825" s="1">
        <v>46014</v>
      </c>
      <c r="D825" t="s">
        <v>1643</v>
      </c>
      <c r="E825" s="2">
        <v>11602</v>
      </c>
      <c r="G825" s="3">
        <f>MONTH(Tabela1[[#This Row],[Último pagto ano]])</f>
        <v>12</v>
      </c>
      <c r="H825" t="str">
        <f>TEXT(Tabela1[[#This Row],[Coluna2]]*29,"mmmm")</f>
        <v>dezembro</v>
      </c>
      <c r="I825" t="str">
        <f>TEXT(MONTH(Tabela1[[#This Row],[Último pagto ano]])*29,"mmmm")</f>
        <v>dezembro</v>
      </c>
    </row>
    <row r="826" spans="1:9" x14ac:dyDescent="0.25">
      <c r="A826">
        <v>2025</v>
      </c>
      <c r="B826" t="s">
        <v>1644</v>
      </c>
      <c r="C826" s="1">
        <v>45754</v>
      </c>
      <c r="D826" t="s">
        <v>1645</v>
      </c>
      <c r="E826">
        <v>66</v>
      </c>
      <c r="G826" s="3">
        <f>MONTH(Tabela1[[#This Row],[Último pagto ano]])</f>
        <v>4</v>
      </c>
      <c r="H826" t="str">
        <f>TEXT(Tabela1[[#This Row],[Coluna2]]*29,"mmmm")</f>
        <v>abril</v>
      </c>
      <c r="I826" t="str">
        <f>TEXT(MONTH(Tabela1[[#This Row],[Último pagto ano]])*29,"mmmm")</f>
        <v>abril</v>
      </c>
    </row>
    <row r="827" spans="1:9" x14ac:dyDescent="0.25">
      <c r="A827">
        <v>2025</v>
      </c>
      <c r="B827" t="s">
        <v>1646</v>
      </c>
      <c r="C827" s="1">
        <v>45944</v>
      </c>
      <c r="D827" t="s">
        <v>1647</v>
      </c>
      <c r="E827">
        <v>520</v>
      </c>
      <c r="G827" s="3">
        <f>MONTH(Tabela1[[#This Row],[Último pagto ano]])</f>
        <v>10</v>
      </c>
      <c r="H827" t="str">
        <f>TEXT(Tabela1[[#This Row],[Coluna2]]*29,"mmmm")</f>
        <v>outubro</v>
      </c>
      <c r="I827" t="str">
        <f>TEXT(MONTH(Tabela1[[#This Row],[Último pagto ano]])*29,"mmmm")</f>
        <v>outubro</v>
      </c>
    </row>
    <row r="828" spans="1:9" x14ac:dyDescent="0.25">
      <c r="A828">
        <v>2025</v>
      </c>
      <c r="B828" t="s">
        <v>1648</v>
      </c>
      <c r="C828" s="1">
        <v>45747</v>
      </c>
      <c r="D828" t="s">
        <v>1649</v>
      </c>
      <c r="E828">
        <v>451.65</v>
      </c>
      <c r="G828" s="3">
        <f>MONTH(Tabela1[[#This Row],[Último pagto ano]])</f>
        <v>3</v>
      </c>
      <c r="H828" t="str">
        <f>TEXT(Tabela1[[#This Row],[Coluna2]]*29,"mmmm")</f>
        <v>março</v>
      </c>
      <c r="I828" t="str">
        <f>TEXT(MONTH(Tabela1[[#This Row],[Último pagto ano]])*29,"mmmm")</f>
        <v>março</v>
      </c>
    </row>
    <row r="829" spans="1:9" x14ac:dyDescent="0.25">
      <c r="A829">
        <v>2025</v>
      </c>
      <c r="B829" t="s">
        <v>1650</v>
      </c>
      <c r="C829" s="1">
        <v>46014</v>
      </c>
      <c r="D829" t="s">
        <v>1651</v>
      </c>
      <c r="E829" s="2">
        <v>205054</v>
      </c>
      <c r="G829" s="3">
        <f>MONTH(Tabela1[[#This Row],[Último pagto ano]])</f>
        <v>12</v>
      </c>
      <c r="H829" t="str">
        <f>TEXT(Tabela1[[#This Row],[Coluna2]]*29,"mmmm")</f>
        <v>dezembro</v>
      </c>
      <c r="I829" t="str">
        <f>TEXT(MONTH(Tabela1[[#This Row],[Último pagto ano]])*29,"mmmm")</f>
        <v>dezembro</v>
      </c>
    </row>
    <row r="830" spans="1:9" x14ac:dyDescent="0.25">
      <c r="A830">
        <v>2025</v>
      </c>
      <c r="B830" t="s">
        <v>1652</v>
      </c>
      <c r="C830" s="1">
        <v>45894</v>
      </c>
      <c r="D830" t="s">
        <v>1653</v>
      </c>
      <c r="E830" s="2">
        <v>30889985.539999999</v>
      </c>
      <c r="G830" s="3">
        <f>MONTH(Tabela1[[#This Row],[Último pagto ano]])</f>
        <v>8</v>
      </c>
      <c r="H830" t="str">
        <f>TEXT(Tabela1[[#This Row],[Coluna2]]*29,"mmmm")</f>
        <v>agosto</v>
      </c>
      <c r="I830" t="str">
        <f>TEXT(MONTH(Tabela1[[#This Row],[Último pagto ano]])*29,"mmmm")</f>
        <v>agosto</v>
      </c>
    </row>
    <row r="831" spans="1:9" x14ac:dyDescent="0.25">
      <c r="A831">
        <v>2025</v>
      </c>
      <c r="B831" t="s">
        <v>1654</v>
      </c>
      <c r="C831" s="1">
        <v>45712</v>
      </c>
      <c r="D831" t="s">
        <v>1655</v>
      </c>
      <c r="E831">
        <v>920</v>
      </c>
      <c r="G831" s="3">
        <f>MONTH(Tabela1[[#This Row],[Último pagto ano]])</f>
        <v>2</v>
      </c>
      <c r="H831" t="str">
        <f>TEXT(Tabela1[[#This Row],[Coluna2]]*29,"mmmm")</f>
        <v>fevereiro</v>
      </c>
      <c r="I831" t="str">
        <f>TEXT(MONTH(Tabela1[[#This Row],[Último pagto ano]])*29,"mmmm")</f>
        <v>fevereiro</v>
      </c>
    </row>
    <row r="832" spans="1:9" x14ac:dyDescent="0.25">
      <c r="A832">
        <v>2025</v>
      </c>
      <c r="B832" t="s">
        <v>1656</v>
      </c>
      <c r="C832" s="1">
        <v>45831</v>
      </c>
      <c r="D832" t="s">
        <v>1657</v>
      </c>
      <c r="E832" s="2">
        <v>1170.96</v>
      </c>
      <c r="G832" s="3">
        <f>MONTH(Tabela1[[#This Row],[Último pagto ano]])</f>
        <v>6</v>
      </c>
      <c r="H832" t="str">
        <f>TEXT(Tabela1[[#This Row],[Coluna2]]*29,"mmmm")</f>
        <v>junho</v>
      </c>
      <c r="I832" t="str">
        <f>TEXT(MONTH(Tabela1[[#This Row],[Último pagto ano]])*29,"mmmm")</f>
        <v>junho</v>
      </c>
    </row>
    <row r="833" spans="1:9" x14ac:dyDescent="0.25">
      <c r="A833">
        <v>2025</v>
      </c>
      <c r="B833" t="s">
        <v>1658</v>
      </c>
      <c r="C833" s="1">
        <v>45733</v>
      </c>
      <c r="D833" t="s">
        <v>1659</v>
      </c>
      <c r="E833">
        <v>592.32000000000005</v>
      </c>
      <c r="G833" s="3">
        <f>MONTH(Tabela1[[#This Row],[Último pagto ano]])</f>
        <v>3</v>
      </c>
      <c r="H833" t="str">
        <f>TEXT(Tabela1[[#This Row],[Coluna2]]*29,"mmmm")</f>
        <v>março</v>
      </c>
      <c r="I833" t="str">
        <f>TEXT(MONTH(Tabela1[[#This Row],[Último pagto ano]])*29,"mmmm")</f>
        <v>março</v>
      </c>
    </row>
    <row r="834" spans="1:9" x14ac:dyDescent="0.25">
      <c r="A834">
        <v>2025</v>
      </c>
      <c r="B834" t="s">
        <v>1660</v>
      </c>
      <c r="C834" s="1">
        <v>45772</v>
      </c>
      <c r="D834" t="s">
        <v>1661</v>
      </c>
      <c r="E834" s="2">
        <v>3050</v>
      </c>
      <c r="G834" s="3">
        <f>MONTH(Tabela1[[#This Row],[Último pagto ano]])</f>
        <v>4</v>
      </c>
      <c r="H834" t="str">
        <f>TEXT(Tabela1[[#This Row],[Coluna2]]*29,"mmmm")</f>
        <v>abril</v>
      </c>
      <c r="I834" t="str">
        <f>TEXT(MONTH(Tabela1[[#This Row],[Último pagto ano]])*29,"mmmm")</f>
        <v>abril</v>
      </c>
    </row>
    <row r="835" spans="1:9" x14ac:dyDescent="0.25">
      <c r="A835">
        <v>2025</v>
      </c>
      <c r="B835" t="s">
        <v>1662</v>
      </c>
      <c r="C835" s="1">
        <v>45684</v>
      </c>
      <c r="D835" t="s">
        <v>1663</v>
      </c>
      <c r="E835">
        <v>327.60000000000002</v>
      </c>
      <c r="G835" s="3">
        <f>MONTH(Tabela1[[#This Row],[Último pagto ano]])</f>
        <v>1</v>
      </c>
      <c r="H835" t="str">
        <f>TEXT(Tabela1[[#This Row],[Coluna2]]*29,"mmmm")</f>
        <v>janeiro</v>
      </c>
      <c r="I835" t="str">
        <f>TEXT(MONTH(Tabela1[[#This Row],[Último pagto ano]])*29,"mmmm")</f>
        <v>janeiro</v>
      </c>
    </row>
    <row r="836" spans="1:9" x14ac:dyDescent="0.25">
      <c r="A836">
        <v>2025</v>
      </c>
      <c r="B836" t="s">
        <v>1664</v>
      </c>
      <c r="C836" s="1">
        <v>45855</v>
      </c>
      <c r="D836" t="s">
        <v>1665</v>
      </c>
      <c r="E836">
        <v>7.21</v>
      </c>
      <c r="G836" s="3">
        <f>MONTH(Tabela1[[#This Row],[Último pagto ano]])</f>
        <v>7</v>
      </c>
      <c r="H836" t="str">
        <f>TEXT(Tabela1[[#This Row],[Coluna2]]*29,"mmmm")</f>
        <v>julho</v>
      </c>
      <c r="I836" t="str">
        <f>TEXT(MONTH(Tabela1[[#This Row],[Último pagto ano]])*29,"mmmm")</f>
        <v>julho</v>
      </c>
    </row>
    <row r="837" spans="1:9" x14ac:dyDescent="0.25">
      <c r="A837">
        <v>2025</v>
      </c>
      <c r="B837" t="s">
        <v>1666</v>
      </c>
      <c r="C837" s="1">
        <v>46006</v>
      </c>
      <c r="D837" t="s">
        <v>1667</v>
      </c>
      <c r="E837">
        <v>22</v>
      </c>
      <c r="G837" s="3">
        <f>MONTH(Tabela1[[#This Row],[Último pagto ano]])</f>
        <v>12</v>
      </c>
      <c r="H837" t="str">
        <f>TEXT(Tabela1[[#This Row],[Coluna2]]*29,"mmmm")</f>
        <v>dezembro</v>
      </c>
      <c r="I837" t="str">
        <f>TEXT(MONTH(Tabela1[[#This Row],[Último pagto ano]])*29,"mmmm")</f>
        <v>dezembro</v>
      </c>
    </row>
    <row r="838" spans="1:9" x14ac:dyDescent="0.25">
      <c r="A838">
        <v>2025</v>
      </c>
      <c r="B838" t="s">
        <v>1668</v>
      </c>
      <c r="C838" s="1">
        <v>45943</v>
      </c>
      <c r="D838" t="s">
        <v>1669</v>
      </c>
      <c r="E838" s="2">
        <v>4163.78</v>
      </c>
      <c r="G838" s="3">
        <f>MONTH(Tabela1[[#This Row],[Último pagto ano]])</f>
        <v>10</v>
      </c>
      <c r="H838" t="str">
        <f>TEXT(Tabela1[[#This Row],[Coluna2]]*29,"mmmm")</f>
        <v>outubro</v>
      </c>
      <c r="I838" t="str">
        <f>TEXT(MONTH(Tabela1[[#This Row],[Último pagto ano]])*29,"mmmm")</f>
        <v>outubro</v>
      </c>
    </row>
    <row r="839" spans="1:9" x14ac:dyDescent="0.25">
      <c r="A839">
        <v>2025</v>
      </c>
      <c r="B839" t="s">
        <v>1670</v>
      </c>
      <c r="C839" s="1">
        <v>45943</v>
      </c>
      <c r="D839" t="s">
        <v>1671</v>
      </c>
      <c r="E839" s="2">
        <v>7254.76</v>
      </c>
      <c r="G839" s="3">
        <f>MONTH(Tabela1[[#This Row],[Último pagto ano]])</f>
        <v>10</v>
      </c>
      <c r="H839" t="str">
        <f>TEXT(Tabela1[[#This Row],[Coluna2]]*29,"mmmm")</f>
        <v>outubro</v>
      </c>
      <c r="I839" t="str">
        <f>TEXT(MONTH(Tabela1[[#This Row],[Último pagto ano]])*29,"mmmm")</f>
        <v>outubro</v>
      </c>
    </row>
    <row r="840" spans="1:9" x14ac:dyDescent="0.25">
      <c r="A840">
        <v>2025</v>
      </c>
      <c r="B840" t="s">
        <v>1672</v>
      </c>
      <c r="C840" s="1">
        <v>45996</v>
      </c>
      <c r="D840" t="s">
        <v>1673</v>
      </c>
      <c r="E840" s="2">
        <v>13950</v>
      </c>
      <c r="G840" s="3">
        <f>MONTH(Tabela1[[#This Row],[Último pagto ano]])</f>
        <v>12</v>
      </c>
      <c r="H840" t="str">
        <f>TEXT(Tabela1[[#This Row],[Coluna2]]*29,"mmmm")</f>
        <v>dezembro</v>
      </c>
      <c r="I840" t="str">
        <f>TEXT(MONTH(Tabela1[[#This Row],[Último pagto ano]])*29,"mmmm")</f>
        <v>dezembro</v>
      </c>
    </row>
    <row r="841" spans="1:9" x14ac:dyDescent="0.25">
      <c r="A841">
        <v>2025</v>
      </c>
      <c r="B841" t="s">
        <v>1674</v>
      </c>
      <c r="C841" s="1">
        <v>45849</v>
      </c>
      <c r="D841" t="s">
        <v>1675</v>
      </c>
      <c r="E841">
        <v>61.23</v>
      </c>
      <c r="G841" s="3">
        <f>MONTH(Tabela1[[#This Row],[Último pagto ano]])</f>
        <v>7</v>
      </c>
      <c r="H841" t="str">
        <f>TEXT(Tabela1[[#This Row],[Coluna2]]*29,"mmmm")</f>
        <v>julho</v>
      </c>
      <c r="I841" t="str">
        <f>TEXT(MONTH(Tabela1[[#This Row],[Último pagto ano]])*29,"mmmm")</f>
        <v>julho</v>
      </c>
    </row>
    <row r="842" spans="1:9" x14ac:dyDescent="0.25">
      <c r="A842">
        <v>2025</v>
      </c>
      <c r="B842" t="s">
        <v>1676</v>
      </c>
      <c r="C842" s="1">
        <v>45702</v>
      </c>
      <c r="D842" t="s">
        <v>1677</v>
      </c>
      <c r="E842">
        <v>94.3</v>
      </c>
      <c r="G842" s="3">
        <f>MONTH(Tabela1[[#This Row],[Último pagto ano]])</f>
        <v>2</v>
      </c>
      <c r="H842" t="str">
        <f>TEXT(Tabela1[[#This Row],[Coluna2]]*29,"mmmm")</f>
        <v>fevereiro</v>
      </c>
      <c r="I842" t="str">
        <f>TEXT(MONTH(Tabela1[[#This Row],[Último pagto ano]])*29,"mmmm")</f>
        <v>fevereiro</v>
      </c>
    </row>
    <row r="843" spans="1:9" x14ac:dyDescent="0.25">
      <c r="A843">
        <v>2025</v>
      </c>
      <c r="B843" t="s">
        <v>1678</v>
      </c>
      <c r="C843" s="1">
        <v>46010</v>
      </c>
      <c r="D843" t="s">
        <v>1679</v>
      </c>
      <c r="E843" s="2">
        <v>18216</v>
      </c>
      <c r="G843" s="3">
        <f>MONTH(Tabela1[[#This Row],[Último pagto ano]])</f>
        <v>12</v>
      </c>
      <c r="H843" t="str">
        <f>TEXT(Tabela1[[#This Row],[Coluna2]]*29,"mmmm")</f>
        <v>dezembro</v>
      </c>
      <c r="I843" t="str">
        <f>TEXT(MONTH(Tabela1[[#This Row],[Último pagto ano]])*29,"mmmm")</f>
        <v>dezembro</v>
      </c>
    </row>
    <row r="844" spans="1:9" x14ac:dyDescent="0.25">
      <c r="A844">
        <v>2025</v>
      </c>
      <c r="B844" t="s">
        <v>1680</v>
      </c>
      <c r="C844" s="1">
        <v>46010</v>
      </c>
      <c r="D844" t="s">
        <v>1681</v>
      </c>
      <c r="E844" s="2">
        <v>12000</v>
      </c>
      <c r="G844" s="3">
        <f>MONTH(Tabela1[[#This Row],[Último pagto ano]])</f>
        <v>12</v>
      </c>
      <c r="H844" t="str">
        <f>TEXT(Tabela1[[#This Row],[Coluna2]]*29,"mmmm")</f>
        <v>dezembro</v>
      </c>
      <c r="I844" t="str">
        <f>TEXT(MONTH(Tabela1[[#This Row],[Último pagto ano]])*29,"mmmm")</f>
        <v>dezembro</v>
      </c>
    </row>
    <row r="845" spans="1:9" x14ac:dyDescent="0.25">
      <c r="A845">
        <v>2025</v>
      </c>
      <c r="B845" t="s">
        <v>1682</v>
      </c>
      <c r="C845" s="1">
        <v>46013</v>
      </c>
      <c r="D845" t="s">
        <v>1683</v>
      </c>
      <c r="E845" s="2">
        <v>2727.9</v>
      </c>
      <c r="G845" s="3">
        <f>MONTH(Tabela1[[#This Row],[Último pagto ano]])</f>
        <v>12</v>
      </c>
      <c r="H845" t="str">
        <f>TEXT(Tabela1[[#This Row],[Coluna2]]*29,"mmmm")</f>
        <v>dezembro</v>
      </c>
      <c r="I845" t="str">
        <f>TEXT(MONTH(Tabela1[[#This Row],[Último pagto ano]])*29,"mmmm")</f>
        <v>dezembro</v>
      </c>
    </row>
    <row r="846" spans="1:9" x14ac:dyDescent="0.25">
      <c r="A846">
        <v>2025</v>
      </c>
      <c r="B846" t="s">
        <v>1684</v>
      </c>
      <c r="C846" s="1">
        <v>45863</v>
      </c>
      <c r="D846" t="s">
        <v>1685</v>
      </c>
      <c r="E846" s="2">
        <v>1405</v>
      </c>
      <c r="G846" s="3">
        <f>MONTH(Tabela1[[#This Row],[Último pagto ano]])</f>
        <v>7</v>
      </c>
      <c r="H846" t="str">
        <f>TEXT(Tabela1[[#This Row],[Coluna2]]*29,"mmmm")</f>
        <v>julho</v>
      </c>
      <c r="I846" t="str">
        <f>TEXT(MONTH(Tabela1[[#This Row],[Último pagto ano]])*29,"mmmm")</f>
        <v>julho</v>
      </c>
    </row>
    <row r="847" spans="1:9" x14ac:dyDescent="0.25">
      <c r="A847">
        <v>2025</v>
      </c>
      <c r="B847" t="s">
        <v>1686</v>
      </c>
      <c r="C847" s="1">
        <v>45989</v>
      </c>
      <c r="D847" t="s">
        <v>1687</v>
      </c>
      <c r="E847" s="2">
        <v>2950.04</v>
      </c>
      <c r="G847" s="3">
        <f>MONTH(Tabela1[[#This Row],[Último pagto ano]])</f>
        <v>11</v>
      </c>
      <c r="H847" t="str">
        <f>TEXT(Tabela1[[#This Row],[Coluna2]]*29,"mmmm")</f>
        <v>novembro</v>
      </c>
      <c r="I847" t="str">
        <f>TEXT(MONTH(Tabela1[[#This Row],[Último pagto ano]])*29,"mmmm")</f>
        <v>novembro</v>
      </c>
    </row>
    <row r="848" spans="1:9" x14ac:dyDescent="0.25">
      <c r="A848">
        <v>2025</v>
      </c>
      <c r="B848" t="s">
        <v>1688</v>
      </c>
      <c r="C848" s="1">
        <v>45989</v>
      </c>
      <c r="D848" t="s">
        <v>1689</v>
      </c>
      <c r="E848" s="2">
        <v>11149.1</v>
      </c>
      <c r="G848" s="3">
        <f>MONTH(Tabela1[[#This Row],[Último pagto ano]])</f>
        <v>11</v>
      </c>
      <c r="H848" t="str">
        <f>TEXT(Tabela1[[#This Row],[Coluna2]]*29,"mmmm")</f>
        <v>novembro</v>
      </c>
      <c r="I848" t="str">
        <f>TEXT(MONTH(Tabela1[[#This Row],[Último pagto ano]])*29,"mmmm")</f>
        <v>novembro</v>
      </c>
    </row>
    <row r="849" spans="1:9" x14ac:dyDescent="0.25">
      <c r="A849">
        <v>2025</v>
      </c>
      <c r="B849" t="s">
        <v>1690</v>
      </c>
      <c r="C849" s="1">
        <v>45999</v>
      </c>
      <c r="D849" t="s">
        <v>1691</v>
      </c>
      <c r="E849" s="2">
        <v>47583.19</v>
      </c>
      <c r="G849" s="3">
        <f>MONTH(Tabela1[[#This Row],[Último pagto ano]])</f>
        <v>12</v>
      </c>
      <c r="H849" t="str">
        <f>TEXT(Tabela1[[#This Row],[Coluna2]]*29,"mmmm")</f>
        <v>dezembro</v>
      </c>
      <c r="I849" t="str">
        <f>TEXT(MONTH(Tabela1[[#This Row],[Último pagto ano]])*29,"mmmm")</f>
        <v>dezembro</v>
      </c>
    </row>
    <row r="850" spans="1:9" x14ac:dyDescent="0.25">
      <c r="A850">
        <v>2025</v>
      </c>
      <c r="B850" t="s">
        <v>1692</v>
      </c>
      <c r="C850" s="1">
        <v>45996</v>
      </c>
      <c r="D850" t="s">
        <v>1693</v>
      </c>
      <c r="E850" s="2">
        <v>2000</v>
      </c>
      <c r="G850" s="3">
        <f>MONTH(Tabela1[[#This Row],[Último pagto ano]])</f>
        <v>12</v>
      </c>
      <c r="H850" t="str">
        <f>TEXT(Tabela1[[#This Row],[Coluna2]]*29,"mmmm")</f>
        <v>dezembro</v>
      </c>
      <c r="I850" t="str">
        <f>TEXT(MONTH(Tabela1[[#This Row],[Último pagto ano]])*29,"mmmm")</f>
        <v>dezembro</v>
      </c>
    </row>
    <row r="851" spans="1:9" x14ac:dyDescent="0.25">
      <c r="A851">
        <v>2025</v>
      </c>
      <c r="B851" t="s">
        <v>1694</v>
      </c>
      <c r="C851" s="1">
        <v>45989</v>
      </c>
      <c r="D851" t="s">
        <v>1695</v>
      </c>
      <c r="E851" s="2">
        <v>7342.63</v>
      </c>
      <c r="G851" s="3">
        <f>MONTH(Tabela1[[#This Row],[Último pagto ano]])</f>
        <v>11</v>
      </c>
      <c r="H851" t="str">
        <f>TEXT(Tabela1[[#This Row],[Coluna2]]*29,"mmmm")</f>
        <v>novembro</v>
      </c>
      <c r="I851" t="str">
        <f>TEXT(MONTH(Tabela1[[#This Row],[Último pagto ano]])*29,"mmmm")</f>
        <v>novembro</v>
      </c>
    </row>
    <row r="852" spans="1:9" x14ac:dyDescent="0.25">
      <c r="A852">
        <v>2025</v>
      </c>
      <c r="B852" t="s">
        <v>1696</v>
      </c>
      <c r="C852" s="1">
        <v>45996</v>
      </c>
      <c r="D852" t="s">
        <v>1697</v>
      </c>
      <c r="E852" s="2">
        <v>16000</v>
      </c>
      <c r="G852" s="3">
        <f>MONTH(Tabela1[[#This Row],[Último pagto ano]])</f>
        <v>12</v>
      </c>
      <c r="H852" t="str">
        <f>TEXT(Tabela1[[#This Row],[Coluna2]]*29,"mmmm")</f>
        <v>dezembro</v>
      </c>
      <c r="I852" t="str">
        <f>TEXT(MONTH(Tabela1[[#This Row],[Último pagto ano]])*29,"mmmm")</f>
        <v>dezembro</v>
      </c>
    </row>
    <row r="853" spans="1:9" x14ac:dyDescent="0.25">
      <c r="A853">
        <v>2025</v>
      </c>
      <c r="B853" t="s">
        <v>1698</v>
      </c>
      <c r="C853" s="1">
        <v>46010</v>
      </c>
      <c r="D853" t="s">
        <v>1699</v>
      </c>
      <c r="E853" s="2">
        <v>8400</v>
      </c>
      <c r="G853" s="3">
        <f>MONTH(Tabela1[[#This Row],[Último pagto ano]])</f>
        <v>12</v>
      </c>
      <c r="H853" t="str">
        <f>TEXT(Tabela1[[#This Row],[Coluna2]]*29,"mmmm")</f>
        <v>dezembro</v>
      </c>
      <c r="I853" t="str">
        <f>TEXT(MONTH(Tabela1[[#This Row],[Último pagto ano]])*29,"mmmm")</f>
        <v>dezembro</v>
      </c>
    </row>
    <row r="854" spans="1:9" x14ac:dyDescent="0.25">
      <c r="A854">
        <v>2025</v>
      </c>
      <c r="B854" t="s">
        <v>1700</v>
      </c>
      <c r="C854" s="1">
        <v>45894</v>
      </c>
      <c r="D854" t="s">
        <v>1701</v>
      </c>
      <c r="E854" s="2">
        <v>5600</v>
      </c>
      <c r="G854" s="3">
        <f>MONTH(Tabela1[[#This Row],[Último pagto ano]])</f>
        <v>8</v>
      </c>
      <c r="H854" t="str">
        <f>TEXT(Tabela1[[#This Row],[Coluna2]]*29,"mmmm")</f>
        <v>agosto</v>
      </c>
      <c r="I854" t="str">
        <f>TEXT(MONTH(Tabela1[[#This Row],[Último pagto ano]])*29,"mmmm")</f>
        <v>agosto</v>
      </c>
    </row>
    <row r="855" spans="1:9" x14ac:dyDescent="0.25">
      <c r="A855">
        <v>2025</v>
      </c>
      <c r="B855" t="s">
        <v>1702</v>
      </c>
      <c r="C855" s="1">
        <v>45702</v>
      </c>
      <c r="D855" t="s">
        <v>1701</v>
      </c>
      <c r="E855" s="2">
        <v>1230.33</v>
      </c>
      <c r="G855" s="3">
        <f>MONTH(Tabela1[[#This Row],[Último pagto ano]])</f>
        <v>2</v>
      </c>
      <c r="H855" t="str">
        <f>TEXT(Tabela1[[#This Row],[Coluna2]]*29,"mmmm")</f>
        <v>fevereiro</v>
      </c>
      <c r="I855" t="str">
        <f>TEXT(MONTH(Tabela1[[#This Row],[Último pagto ano]])*29,"mmmm")</f>
        <v>fevereiro</v>
      </c>
    </row>
    <row r="856" spans="1:9" x14ac:dyDescent="0.25">
      <c r="A856">
        <v>2025</v>
      </c>
      <c r="B856" t="s">
        <v>1703</v>
      </c>
      <c r="C856" s="1">
        <v>45946</v>
      </c>
      <c r="D856" t="s">
        <v>1704</v>
      </c>
      <c r="E856" s="2">
        <v>3420.58</v>
      </c>
      <c r="G856" s="3">
        <f>MONTH(Tabela1[[#This Row],[Último pagto ano]])</f>
        <v>10</v>
      </c>
      <c r="H856" t="str">
        <f>TEXT(Tabela1[[#This Row],[Coluna2]]*29,"mmmm")</f>
        <v>outubro</v>
      </c>
      <c r="I856" t="str">
        <f>TEXT(MONTH(Tabela1[[#This Row],[Último pagto ano]])*29,"mmmm")</f>
        <v>outubro</v>
      </c>
    </row>
    <row r="857" spans="1:9" x14ac:dyDescent="0.25">
      <c r="A857">
        <v>2025</v>
      </c>
      <c r="B857" t="s">
        <v>1705</v>
      </c>
      <c r="C857" s="1">
        <v>46014</v>
      </c>
      <c r="D857" t="s">
        <v>1706</v>
      </c>
      <c r="E857" s="2">
        <v>132497.64000000001</v>
      </c>
      <c r="G857" s="3">
        <f>MONTH(Tabela1[[#This Row],[Último pagto ano]])</f>
        <v>12</v>
      </c>
      <c r="H857" t="str">
        <f>TEXT(Tabela1[[#This Row],[Coluna2]]*29,"mmmm")</f>
        <v>dezembro</v>
      </c>
      <c r="I857" t="str">
        <f>TEXT(MONTH(Tabela1[[#This Row],[Último pagto ano]])*29,"mmmm")</f>
        <v>dezembro</v>
      </c>
    </row>
    <row r="858" spans="1:9" x14ac:dyDescent="0.25">
      <c r="A858">
        <v>2025</v>
      </c>
      <c r="B858" t="s">
        <v>1707</v>
      </c>
      <c r="C858" s="1">
        <v>45743</v>
      </c>
      <c r="D858" t="s">
        <v>1708</v>
      </c>
      <c r="E858">
        <v>60.56</v>
      </c>
      <c r="G858" s="3">
        <f>MONTH(Tabela1[[#This Row],[Último pagto ano]])</f>
        <v>3</v>
      </c>
      <c r="H858" t="str">
        <f>TEXT(Tabela1[[#This Row],[Coluna2]]*29,"mmmm")</f>
        <v>março</v>
      </c>
      <c r="I858" t="str">
        <f>TEXT(MONTH(Tabela1[[#This Row],[Último pagto ano]])*29,"mmmm")</f>
        <v>março</v>
      </c>
    </row>
    <row r="859" spans="1:9" x14ac:dyDescent="0.25">
      <c r="A859">
        <v>2025</v>
      </c>
      <c r="B859" t="s">
        <v>1709</v>
      </c>
      <c r="C859" s="1">
        <v>45831</v>
      </c>
      <c r="D859" t="s">
        <v>1710</v>
      </c>
      <c r="E859" s="2">
        <v>6206.89</v>
      </c>
      <c r="G859" s="3">
        <f>MONTH(Tabela1[[#This Row],[Último pagto ano]])</f>
        <v>6</v>
      </c>
      <c r="H859" t="str">
        <f>TEXT(Tabela1[[#This Row],[Coluna2]]*29,"mmmm")</f>
        <v>junho</v>
      </c>
      <c r="I859" t="str">
        <f>TEXT(MONTH(Tabela1[[#This Row],[Último pagto ano]])*29,"mmmm")</f>
        <v>junho</v>
      </c>
    </row>
    <row r="860" spans="1:9" x14ac:dyDescent="0.25">
      <c r="A860">
        <v>2025</v>
      </c>
      <c r="B860" t="s">
        <v>1711</v>
      </c>
      <c r="C860" s="1">
        <v>45988</v>
      </c>
      <c r="D860" t="s">
        <v>1712</v>
      </c>
      <c r="E860" s="2">
        <v>1521</v>
      </c>
      <c r="G860" s="3">
        <f>MONTH(Tabela1[[#This Row],[Último pagto ano]])</f>
        <v>11</v>
      </c>
      <c r="H860" t="str">
        <f>TEXT(Tabela1[[#This Row],[Coluna2]]*29,"mmmm")</f>
        <v>novembro</v>
      </c>
      <c r="I860" t="str">
        <f>TEXT(MONTH(Tabela1[[#This Row],[Último pagto ano]])*29,"mmmm")</f>
        <v>novembro</v>
      </c>
    </row>
    <row r="861" spans="1:9" x14ac:dyDescent="0.25">
      <c r="A861">
        <v>2025</v>
      </c>
      <c r="B861" t="s">
        <v>1713</v>
      </c>
      <c r="C861" s="1">
        <v>45792</v>
      </c>
      <c r="D861" t="s">
        <v>1714</v>
      </c>
      <c r="E861">
        <v>592.32000000000005</v>
      </c>
      <c r="G861" s="3">
        <f>MONTH(Tabela1[[#This Row],[Último pagto ano]])</f>
        <v>5</v>
      </c>
      <c r="H861" t="str">
        <f>TEXT(Tabela1[[#This Row],[Coluna2]]*29,"mmmm")</f>
        <v>maio</v>
      </c>
      <c r="I861" t="str">
        <f>TEXT(MONTH(Tabela1[[#This Row],[Último pagto ano]])*29,"mmmm")</f>
        <v>maio</v>
      </c>
    </row>
    <row r="862" spans="1:9" x14ac:dyDescent="0.25">
      <c r="A862">
        <v>2025</v>
      </c>
      <c r="B862" t="s">
        <v>1715</v>
      </c>
      <c r="C862" s="1">
        <v>46013</v>
      </c>
      <c r="D862" t="s">
        <v>1716</v>
      </c>
      <c r="E862" s="2">
        <v>1108.8</v>
      </c>
      <c r="G862" s="3">
        <f>MONTH(Tabela1[[#This Row],[Último pagto ano]])</f>
        <v>12</v>
      </c>
      <c r="H862" t="str">
        <f>TEXT(Tabela1[[#This Row],[Coluna2]]*29,"mmmm")</f>
        <v>dezembro</v>
      </c>
      <c r="I862" t="str">
        <f>TEXT(MONTH(Tabela1[[#This Row],[Último pagto ano]])*29,"mmmm")</f>
        <v>dezembro</v>
      </c>
    </row>
    <row r="863" spans="1:9" x14ac:dyDescent="0.25">
      <c r="A863">
        <v>2025</v>
      </c>
      <c r="B863" t="s">
        <v>1717</v>
      </c>
      <c r="C863" s="1">
        <v>45873</v>
      </c>
      <c r="D863" t="s">
        <v>1718</v>
      </c>
      <c r="E863">
        <v>44</v>
      </c>
      <c r="G863" s="3">
        <f>MONTH(Tabela1[[#This Row],[Último pagto ano]])</f>
        <v>8</v>
      </c>
      <c r="H863" t="str">
        <f>TEXT(Tabela1[[#This Row],[Coluna2]]*29,"mmmm")</f>
        <v>agosto</v>
      </c>
      <c r="I863" t="str">
        <f>TEXT(MONTH(Tabela1[[#This Row],[Último pagto ano]])*29,"mmmm")</f>
        <v>agosto</v>
      </c>
    </row>
    <row r="864" spans="1:9" x14ac:dyDescent="0.25">
      <c r="A864">
        <v>2025</v>
      </c>
      <c r="B864" t="s">
        <v>1719</v>
      </c>
      <c r="C864" s="1">
        <v>46014</v>
      </c>
      <c r="D864" t="s">
        <v>1720</v>
      </c>
      <c r="E864" s="2">
        <v>40998.44</v>
      </c>
      <c r="G864" s="3">
        <f>MONTH(Tabela1[[#This Row],[Último pagto ano]])</f>
        <v>12</v>
      </c>
      <c r="H864" t="str">
        <f>TEXT(Tabela1[[#This Row],[Coluna2]]*29,"mmmm")</f>
        <v>dezembro</v>
      </c>
      <c r="I864" t="str">
        <f>TEXT(MONTH(Tabela1[[#This Row],[Último pagto ano]])*29,"mmmm")</f>
        <v>dezembro</v>
      </c>
    </row>
    <row r="865" spans="1:9" x14ac:dyDescent="0.25">
      <c r="A865">
        <v>2025</v>
      </c>
      <c r="B865" t="s">
        <v>1721</v>
      </c>
      <c r="C865" s="1">
        <v>45726</v>
      </c>
      <c r="D865" t="s">
        <v>1722</v>
      </c>
      <c r="E865" s="2">
        <v>24403.8</v>
      </c>
      <c r="G865" s="3">
        <f>MONTH(Tabela1[[#This Row],[Último pagto ano]])</f>
        <v>3</v>
      </c>
      <c r="H865" t="str">
        <f>TEXT(Tabela1[[#This Row],[Coluna2]]*29,"mmmm")</f>
        <v>março</v>
      </c>
      <c r="I865" t="str">
        <f>TEXT(MONTH(Tabela1[[#This Row],[Último pagto ano]])*29,"mmmm")</f>
        <v>março</v>
      </c>
    </row>
    <row r="866" spans="1:9" x14ac:dyDescent="0.25">
      <c r="A866">
        <v>2025</v>
      </c>
      <c r="B866" t="s">
        <v>1723</v>
      </c>
      <c r="C866" s="1">
        <v>45915</v>
      </c>
      <c r="D866" t="s">
        <v>1724</v>
      </c>
      <c r="E866" s="2">
        <v>5906</v>
      </c>
      <c r="G866" s="3">
        <f>MONTH(Tabela1[[#This Row],[Último pagto ano]])</f>
        <v>9</v>
      </c>
      <c r="H866" t="str">
        <f>TEXT(Tabela1[[#This Row],[Coluna2]]*29,"mmmm")</f>
        <v>setembro</v>
      </c>
      <c r="I866" t="str">
        <f>TEXT(MONTH(Tabela1[[#This Row],[Último pagto ano]])*29,"mmmm")</f>
        <v>setembro</v>
      </c>
    </row>
    <row r="867" spans="1:9" x14ac:dyDescent="0.25">
      <c r="A867">
        <v>2025</v>
      </c>
      <c r="B867" t="s">
        <v>1725</v>
      </c>
      <c r="C867" s="1">
        <v>46010</v>
      </c>
      <c r="D867" t="s">
        <v>1726</v>
      </c>
      <c r="E867" s="2">
        <v>9100</v>
      </c>
      <c r="G867" s="3">
        <f>MONTH(Tabela1[[#This Row],[Último pagto ano]])</f>
        <v>12</v>
      </c>
      <c r="H867" t="str">
        <f>TEXT(Tabela1[[#This Row],[Coluna2]]*29,"mmmm")</f>
        <v>dezembro</v>
      </c>
      <c r="I867" t="str">
        <f>TEXT(MONTH(Tabela1[[#This Row],[Último pagto ano]])*29,"mmmm")</f>
        <v>dezembro</v>
      </c>
    </row>
    <row r="868" spans="1:9" x14ac:dyDescent="0.25">
      <c r="A868">
        <v>2025</v>
      </c>
      <c r="B868" t="s">
        <v>1727</v>
      </c>
      <c r="C868" s="1">
        <v>45945</v>
      </c>
      <c r="D868" t="s">
        <v>1728</v>
      </c>
      <c r="E868" s="2">
        <v>5883.36</v>
      </c>
      <c r="G868" s="3">
        <f>MONTH(Tabela1[[#This Row],[Último pagto ano]])</f>
        <v>10</v>
      </c>
      <c r="H868" t="str">
        <f>TEXT(Tabela1[[#This Row],[Coluna2]]*29,"mmmm")</f>
        <v>outubro</v>
      </c>
      <c r="I868" t="str">
        <f>TEXT(MONTH(Tabela1[[#This Row],[Último pagto ano]])*29,"mmmm")</f>
        <v>outubro</v>
      </c>
    </row>
    <row r="869" spans="1:9" x14ac:dyDescent="0.25">
      <c r="A869">
        <v>2025</v>
      </c>
      <c r="B869" t="s">
        <v>1729</v>
      </c>
      <c r="C869" s="1">
        <v>45996</v>
      </c>
      <c r="D869" t="s">
        <v>1730</v>
      </c>
      <c r="E869" s="2">
        <v>24600</v>
      </c>
      <c r="G869" s="3">
        <f>MONTH(Tabela1[[#This Row],[Último pagto ano]])</f>
        <v>12</v>
      </c>
      <c r="H869" t="str">
        <f>TEXT(Tabela1[[#This Row],[Coluna2]]*29,"mmmm")</f>
        <v>dezembro</v>
      </c>
      <c r="I869" t="str">
        <f>TEXT(MONTH(Tabela1[[#This Row],[Último pagto ano]])*29,"mmmm")</f>
        <v>dezembro</v>
      </c>
    </row>
    <row r="870" spans="1:9" x14ac:dyDescent="0.25">
      <c r="A870">
        <v>2025</v>
      </c>
      <c r="B870" t="s">
        <v>1731</v>
      </c>
      <c r="C870" s="1">
        <v>45673</v>
      </c>
      <c r="D870" t="s">
        <v>1732</v>
      </c>
      <c r="E870" s="2">
        <v>1100</v>
      </c>
      <c r="G870" s="3">
        <f>MONTH(Tabela1[[#This Row],[Último pagto ano]])</f>
        <v>1</v>
      </c>
      <c r="H870" t="str">
        <f>TEXT(Tabela1[[#This Row],[Coluna2]]*29,"mmmm")</f>
        <v>janeiro</v>
      </c>
      <c r="I870" t="str">
        <f>TEXT(MONTH(Tabela1[[#This Row],[Último pagto ano]])*29,"mmmm")</f>
        <v>janeiro</v>
      </c>
    </row>
    <row r="871" spans="1:9" x14ac:dyDescent="0.25">
      <c r="A871">
        <v>2025</v>
      </c>
      <c r="B871" t="s">
        <v>1733</v>
      </c>
      <c r="C871" s="1">
        <v>45796</v>
      </c>
      <c r="D871" t="s">
        <v>1734</v>
      </c>
      <c r="E871" s="2">
        <v>25155.69</v>
      </c>
      <c r="G871" s="3">
        <f>MONTH(Tabela1[[#This Row],[Último pagto ano]])</f>
        <v>5</v>
      </c>
      <c r="H871" t="str">
        <f>TEXT(Tabela1[[#This Row],[Coluna2]]*29,"mmmm")</f>
        <v>maio</v>
      </c>
      <c r="I871" t="str">
        <f>TEXT(MONTH(Tabela1[[#This Row],[Último pagto ano]])*29,"mmmm")</f>
        <v>maio</v>
      </c>
    </row>
    <row r="872" spans="1:9" x14ac:dyDescent="0.25">
      <c r="A872">
        <v>2025</v>
      </c>
      <c r="B872" t="s">
        <v>1735</v>
      </c>
      <c r="C872" s="1">
        <v>46010</v>
      </c>
      <c r="D872" t="s">
        <v>1736</v>
      </c>
      <c r="E872" s="2">
        <v>9400</v>
      </c>
      <c r="G872" s="3">
        <f>MONTH(Tabela1[[#This Row],[Último pagto ano]])</f>
        <v>12</v>
      </c>
      <c r="H872" t="str">
        <f>TEXT(Tabela1[[#This Row],[Coluna2]]*29,"mmmm")</f>
        <v>dezembro</v>
      </c>
      <c r="I872" t="str">
        <f>TEXT(MONTH(Tabela1[[#This Row],[Último pagto ano]])*29,"mmmm")</f>
        <v>dezembro</v>
      </c>
    </row>
    <row r="873" spans="1:9" x14ac:dyDescent="0.25">
      <c r="A873">
        <v>2025</v>
      </c>
      <c r="B873" t="s">
        <v>1737</v>
      </c>
      <c r="C873" s="1">
        <v>45926</v>
      </c>
      <c r="D873" t="s">
        <v>1738</v>
      </c>
      <c r="E873" s="2">
        <v>4758</v>
      </c>
      <c r="G873" s="3">
        <f>MONTH(Tabela1[[#This Row],[Último pagto ano]])</f>
        <v>9</v>
      </c>
      <c r="H873" t="str">
        <f>TEXT(Tabela1[[#This Row],[Coluna2]]*29,"mmmm")</f>
        <v>setembro</v>
      </c>
      <c r="I873" t="str">
        <f>TEXT(MONTH(Tabela1[[#This Row],[Último pagto ano]])*29,"mmmm")</f>
        <v>setembro</v>
      </c>
    </row>
    <row r="874" spans="1:9" x14ac:dyDescent="0.25">
      <c r="A874">
        <v>2025</v>
      </c>
      <c r="B874" t="s">
        <v>1739</v>
      </c>
      <c r="C874" s="1">
        <v>45995</v>
      </c>
      <c r="D874" t="s">
        <v>1740</v>
      </c>
      <c r="E874" s="2">
        <v>3260</v>
      </c>
      <c r="G874" s="3">
        <f>MONTH(Tabela1[[#This Row],[Último pagto ano]])</f>
        <v>12</v>
      </c>
      <c r="H874" t="str">
        <f>TEXT(Tabela1[[#This Row],[Coluna2]]*29,"mmmm")</f>
        <v>dezembro</v>
      </c>
      <c r="I874" t="str">
        <f>TEXT(MONTH(Tabela1[[#This Row],[Último pagto ano]])*29,"mmmm")</f>
        <v>dezembro</v>
      </c>
    </row>
    <row r="875" spans="1:9" x14ac:dyDescent="0.25">
      <c r="A875">
        <v>2025</v>
      </c>
      <c r="B875" t="s">
        <v>1741</v>
      </c>
      <c r="C875" s="1">
        <v>45831</v>
      </c>
      <c r="D875" t="s">
        <v>1742</v>
      </c>
      <c r="E875" s="2">
        <v>7980</v>
      </c>
      <c r="G875" s="3">
        <f>MONTH(Tabela1[[#This Row],[Último pagto ano]])</f>
        <v>6</v>
      </c>
      <c r="H875" t="str">
        <f>TEXT(Tabela1[[#This Row],[Coluna2]]*29,"mmmm")</f>
        <v>junho</v>
      </c>
      <c r="I875" t="str">
        <f>TEXT(MONTH(Tabela1[[#This Row],[Último pagto ano]])*29,"mmmm")</f>
        <v>junho</v>
      </c>
    </row>
    <row r="876" spans="1:9" x14ac:dyDescent="0.25">
      <c r="A876">
        <v>2025</v>
      </c>
      <c r="B876" t="s">
        <v>1743</v>
      </c>
      <c r="C876" s="1">
        <v>45845</v>
      </c>
      <c r="D876" t="s">
        <v>1744</v>
      </c>
      <c r="E876" s="2">
        <v>5200</v>
      </c>
      <c r="G876" s="3">
        <f>MONTH(Tabela1[[#This Row],[Último pagto ano]])</f>
        <v>7</v>
      </c>
      <c r="H876" t="str">
        <f>TEXT(Tabela1[[#This Row],[Coluna2]]*29,"mmmm")</f>
        <v>julho</v>
      </c>
      <c r="I876" t="str">
        <f>TEXT(MONTH(Tabela1[[#This Row],[Último pagto ano]])*29,"mmmm")</f>
        <v>julho</v>
      </c>
    </row>
    <row r="877" spans="1:9" x14ac:dyDescent="0.25">
      <c r="A877">
        <v>2025</v>
      </c>
      <c r="B877" t="s">
        <v>1745</v>
      </c>
      <c r="C877" s="1">
        <v>46021</v>
      </c>
      <c r="D877" t="s">
        <v>1746</v>
      </c>
      <c r="E877" s="2">
        <v>4867.26</v>
      </c>
      <c r="G877" s="3">
        <f>MONTH(Tabela1[[#This Row],[Último pagto ano]])</f>
        <v>12</v>
      </c>
      <c r="H877" t="str">
        <f>TEXT(Tabela1[[#This Row],[Coluna2]]*29,"mmmm")</f>
        <v>dezembro</v>
      </c>
      <c r="I877" t="str">
        <f>TEXT(MONTH(Tabela1[[#This Row],[Último pagto ano]])*29,"mmmm")</f>
        <v>dezembro</v>
      </c>
    </row>
    <row r="878" spans="1:9" x14ac:dyDescent="0.25">
      <c r="A878">
        <v>2025</v>
      </c>
      <c r="B878" t="s">
        <v>1747</v>
      </c>
      <c r="C878" s="1">
        <v>45996</v>
      </c>
      <c r="D878" t="s">
        <v>1746</v>
      </c>
      <c r="E878" s="2">
        <v>4000</v>
      </c>
      <c r="G878" s="3">
        <f>MONTH(Tabela1[[#This Row],[Último pagto ano]])</f>
        <v>12</v>
      </c>
      <c r="H878" t="str">
        <f>TEXT(Tabela1[[#This Row],[Coluna2]]*29,"mmmm")</f>
        <v>dezembro</v>
      </c>
      <c r="I878" t="str">
        <f>TEXT(MONTH(Tabela1[[#This Row],[Último pagto ano]])*29,"mmmm")</f>
        <v>dezembro</v>
      </c>
    </row>
    <row r="879" spans="1:9" x14ac:dyDescent="0.25">
      <c r="A879">
        <v>2025</v>
      </c>
      <c r="B879" t="s">
        <v>1748</v>
      </c>
      <c r="C879" s="1">
        <v>46021</v>
      </c>
      <c r="D879" t="s">
        <v>1749</v>
      </c>
      <c r="E879" s="2">
        <v>4867.26</v>
      </c>
      <c r="G879" s="3">
        <f>MONTH(Tabela1[[#This Row],[Último pagto ano]])</f>
        <v>12</v>
      </c>
      <c r="H879" t="str">
        <f>TEXT(Tabela1[[#This Row],[Coluna2]]*29,"mmmm")</f>
        <v>dezembro</v>
      </c>
      <c r="I879" t="str">
        <f>TEXT(MONTH(Tabela1[[#This Row],[Último pagto ano]])*29,"mmmm")</f>
        <v>dezembro</v>
      </c>
    </row>
    <row r="880" spans="1:9" x14ac:dyDescent="0.25">
      <c r="A880">
        <v>2025</v>
      </c>
      <c r="B880" t="s">
        <v>1750</v>
      </c>
      <c r="C880" s="1">
        <v>45702</v>
      </c>
      <c r="D880" t="s">
        <v>1751</v>
      </c>
      <c r="E880" s="2">
        <v>1052.22</v>
      </c>
      <c r="G880" s="3">
        <f>MONTH(Tabela1[[#This Row],[Último pagto ano]])</f>
        <v>2</v>
      </c>
      <c r="H880" t="str">
        <f>TEXT(Tabela1[[#This Row],[Coluna2]]*29,"mmmm")</f>
        <v>fevereiro</v>
      </c>
      <c r="I880" t="str">
        <f>TEXT(MONTH(Tabela1[[#This Row],[Último pagto ano]])*29,"mmmm")</f>
        <v>fevereiro</v>
      </c>
    </row>
    <row r="881" spans="1:9" x14ac:dyDescent="0.25">
      <c r="A881">
        <v>2025</v>
      </c>
      <c r="B881" t="s">
        <v>1752</v>
      </c>
      <c r="C881" s="1">
        <v>45950</v>
      </c>
      <c r="D881" t="s">
        <v>1753</v>
      </c>
      <c r="E881" s="2">
        <v>7475.94</v>
      </c>
      <c r="G881" s="3">
        <f>MONTH(Tabela1[[#This Row],[Último pagto ano]])</f>
        <v>10</v>
      </c>
      <c r="H881" t="str">
        <f>TEXT(Tabela1[[#This Row],[Coluna2]]*29,"mmmm")</f>
        <v>outubro</v>
      </c>
      <c r="I881" t="str">
        <f>TEXT(MONTH(Tabela1[[#This Row],[Último pagto ano]])*29,"mmmm")</f>
        <v>outubro</v>
      </c>
    </row>
    <row r="882" spans="1:9" x14ac:dyDescent="0.25">
      <c r="A882">
        <v>2025</v>
      </c>
      <c r="B882" t="s">
        <v>1754</v>
      </c>
      <c r="C882" s="1">
        <v>46021</v>
      </c>
      <c r="D882" t="s">
        <v>1755</v>
      </c>
      <c r="E882" s="2">
        <v>7078.32</v>
      </c>
      <c r="G882" s="3">
        <f>MONTH(Tabela1[[#This Row],[Último pagto ano]])</f>
        <v>12</v>
      </c>
      <c r="H882" t="str">
        <f>TEXT(Tabela1[[#This Row],[Coluna2]]*29,"mmmm")</f>
        <v>dezembro</v>
      </c>
      <c r="I882" t="str">
        <f>TEXT(MONTH(Tabela1[[#This Row],[Último pagto ano]])*29,"mmmm")</f>
        <v>dezembro</v>
      </c>
    </row>
    <row r="883" spans="1:9" x14ac:dyDescent="0.25">
      <c r="A883">
        <v>2025</v>
      </c>
      <c r="B883" t="s">
        <v>1756</v>
      </c>
      <c r="C883" s="1">
        <v>45996</v>
      </c>
      <c r="D883" t="s">
        <v>1757</v>
      </c>
      <c r="E883" s="2">
        <v>8250</v>
      </c>
      <c r="G883" s="3">
        <f>MONTH(Tabela1[[#This Row],[Último pagto ano]])</f>
        <v>12</v>
      </c>
      <c r="H883" t="str">
        <f>TEXT(Tabela1[[#This Row],[Coluna2]]*29,"mmmm")</f>
        <v>dezembro</v>
      </c>
      <c r="I883" t="str">
        <f>TEXT(MONTH(Tabela1[[#This Row],[Último pagto ano]])*29,"mmmm")</f>
        <v>dezembro</v>
      </c>
    </row>
    <row r="884" spans="1:9" x14ac:dyDescent="0.25">
      <c r="A884">
        <v>2025</v>
      </c>
      <c r="B884" t="s">
        <v>1758</v>
      </c>
      <c r="C884" s="1">
        <v>45996</v>
      </c>
      <c r="D884" t="s">
        <v>1759</v>
      </c>
      <c r="E884" s="2">
        <v>3900</v>
      </c>
      <c r="G884" s="3">
        <f>MONTH(Tabela1[[#This Row],[Último pagto ano]])</f>
        <v>12</v>
      </c>
      <c r="H884" t="str">
        <f>TEXT(Tabela1[[#This Row],[Coluna2]]*29,"mmmm")</f>
        <v>dezembro</v>
      </c>
      <c r="I884" t="str">
        <f>TEXT(MONTH(Tabela1[[#This Row],[Último pagto ano]])*29,"mmmm")</f>
        <v>dezembro</v>
      </c>
    </row>
    <row r="885" spans="1:9" x14ac:dyDescent="0.25">
      <c r="A885">
        <v>2025</v>
      </c>
      <c r="B885" t="s">
        <v>1760</v>
      </c>
      <c r="C885" s="1">
        <v>45996</v>
      </c>
      <c r="D885" t="s">
        <v>1761</v>
      </c>
      <c r="E885" s="2">
        <v>8800</v>
      </c>
      <c r="G885" s="3">
        <f>MONTH(Tabela1[[#This Row],[Último pagto ano]])</f>
        <v>12</v>
      </c>
      <c r="H885" t="str">
        <f>TEXT(Tabela1[[#This Row],[Coluna2]]*29,"mmmm")</f>
        <v>dezembro</v>
      </c>
      <c r="I885" t="str">
        <f>TEXT(MONTH(Tabela1[[#This Row],[Último pagto ano]])*29,"mmmm")</f>
        <v>dezembro</v>
      </c>
    </row>
    <row r="886" spans="1:9" x14ac:dyDescent="0.25">
      <c r="A886">
        <v>2025</v>
      </c>
      <c r="B886" t="s">
        <v>1762</v>
      </c>
      <c r="C886" s="1">
        <v>45996</v>
      </c>
      <c r="D886" t="s">
        <v>1763</v>
      </c>
      <c r="E886" s="2">
        <v>36000</v>
      </c>
      <c r="G886" s="3">
        <f>MONTH(Tabela1[[#This Row],[Último pagto ano]])</f>
        <v>12</v>
      </c>
      <c r="H886" t="str">
        <f>TEXT(Tabela1[[#This Row],[Coluna2]]*29,"mmmm")</f>
        <v>dezembro</v>
      </c>
      <c r="I886" t="str">
        <f>TEXT(MONTH(Tabela1[[#This Row],[Último pagto ano]])*29,"mmmm")</f>
        <v>dezembro</v>
      </c>
    </row>
    <row r="887" spans="1:9" x14ac:dyDescent="0.25">
      <c r="A887">
        <v>2025</v>
      </c>
      <c r="B887" t="s">
        <v>1764</v>
      </c>
      <c r="C887" s="1">
        <v>45673</v>
      </c>
      <c r="D887" t="s">
        <v>1765</v>
      </c>
      <c r="E887">
        <v>400</v>
      </c>
      <c r="G887" s="3">
        <f>MONTH(Tabela1[[#This Row],[Último pagto ano]])</f>
        <v>1</v>
      </c>
      <c r="H887" t="str">
        <f>TEXT(Tabela1[[#This Row],[Coluna2]]*29,"mmmm")</f>
        <v>janeiro</v>
      </c>
      <c r="I887" t="str">
        <f>TEXT(MONTH(Tabela1[[#This Row],[Último pagto ano]])*29,"mmmm")</f>
        <v>janeiro</v>
      </c>
    </row>
    <row r="888" spans="1:9" x14ac:dyDescent="0.25">
      <c r="A888">
        <v>2025</v>
      </c>
      <c r="B888" t="s">
        <v>1766</v>
      </c>
      <c r="C888" s="1">
        <v>45679</v>
      </c>
      <c r="D888" t="s">
        <v>1767</v>
      </c>
      <c r="E888" s="2">
        <v>9900</v>
      </c>
      <c r="G888" s="3">
        <f>MONTH(Tabela1[[#This Row],[Último pagto ano]])</f>
        <v>1</v>
      </c>
      <c r="H888" t="str">
        <f>TEXT(Tabela1[[#This Row],[Coluna2]]*29,"mmmm")</f>
        <v>janeiro</v>
      </c>
      <c r="I888" t="str">
        <f>TEXT(MONTH(Tabela1[[#This Row],[Último pagto ano]])*29,"mmmm")</f>
        <v>janeiro</v>
      </c>
    </row>
    <row r="889" spans="1:9" x14ac:dyDescent="0.25">
      <c r="A889">
        <v>2025</v>
      </c>
      <c r="B889" t="s">
        <v>1768</v>
      </c>
      <c r="C889" s="1">
        <v>46006</v>
      </c>
      <c r="D889" t="s">
        <v>1769</v>
      </c>
      <c r="E889" s="2">
        <v>6172</v>
      </c>
      <c r="G889" s="3">
        <f>MONTH(Tabela1[[#This Row],[Último pagto ano]])</f>
        <v>12</v>
      </c>
      <c r="H889" t="str">
        <f>TEXT(Tabela1[[#This Row],[Coluna2]]*29,"mmmm")</f>
        <v>dezembro</v>
      </c>
      <c r="I889" t="str">
        <f>TEXT(MONTH(Tabela1[[#This Row],[Último pagto ano]])*29,"mmmm")</f>
        <v>dezembro</v>
      </c>
    </row>
    <row r="890" spans="1:9" x14ac:dyDescent="0.25">
      <c r="A890">
        <v>2025</v>
      </c>
      <c r="B890" t="s">
        <v>1770</v>
      </c>
      <c r="C890" s="1">
        <v>46013</v>
      </c>
      <c r="D890" t="s">
        <v>1771</v>
      </c>
      <c r="E890" s="2">
        <v>4867.2</v>
      </c>
      <c r="G890" s="3">
        <f>MONTH(Tabela1[[#This Row],[Último pagto ano]])</f>
        <v>12</v>
      </c>
      <c r="H890" t="str">
        <f>TEXT(Tabela1[[#This Row],[Coluna2]]*29,"mmmm")</f>
        <v>dezembro</v>
      </c>
      <c r="I890" t="str">
        <f>TEXT(MONTH(Tabela1[[#This Row],[Último pagto ano]])*29,"mmmm")</f>
        <v>dezembro</v>
      </c>
    </row>
    <row r="891" spans="1:9" x14ac:dyDescent="0.25">
      <c r="A891">
        <v>2025</v>
      </c>
      <c r="B891" t="s">
        <v>1770</v>
      </c>
      <c r="C891" s="1">
        <v>45856</v>
      </c>
      <c r="D891" t="s">
        <v>1771</v>
      </c>
      <c r="E891" s="2">
        <v>6183.39</v>
      </c>
      <c r="G891" s="3">
        <f>MONTH(Tabela1[[#This Row],[Último pagto ano]])</f>
        <v>7</v>
      </c>
      <c r="H891" t="str">
        <f>TEXT(Tabela1[[#This Row],[Coluna2]]*29,"mmmm")</f>
        <v>julho</v>
      </c>
      <c r="I891" t="str">
        <f>TEXT(MONTH(Tabela1[[#This Row],[Último pagto ano]])*29,"mmmm")</f>
        <v>julho</v>
      </c>
    </row>
    <row r="892" spans="1:9" x14ac:dyDescent="0.25">
      <c r="A892">
        <v>2025</v>
      </c>
      <c r="B892" t="s">
        <v>1772</v>
      </c>
      <c r="C892" s="1">
        <v>45831</v>
      </c>
      <c r="D892" t="s">
        <v>1773</v>
      </c>
      <c r="E892" s="2">
        <v>281399.64</v>
      </c>
      <c r="G892" s="3">
        <f>MONTH(Tabela1[[#This Row],[Último pagto ano]])</f>
        <v>6</v>
      </c>
      <c r="H892" t="str">
        <f>TEXT(Tabela1[[#This Row],[Coluna2]]*29,"mmmm")</f>
        <v>junho</v>
      </c>
      <c r="I892" t="str">
        <f>TEXT(MONTH(Tabela1[[#This Row],[Último pagto ano]])*29,"mmmm")</f>
        <v>junho</v>
      </c>
    </row>
    <row r="893" spans="1:9" x14ac:dyDescent="0.25">
      <c r="A893">
        <v>2025</v>
      </c>
      <c r="B893" t="s">
        <v>1774</v>
      </c>
      <c r="C893" s="1">
        <v>45775</v>
      </c>
      <c r="D893" t="s">
        <v>1775</v>
      </c>
      <c r="E893">
        <v>604.79999999999995</v>
      </c>
      <c r="G893" s="3">
        <f>MONTH(Tabela1[[#This Row],[Último pagto ano]])</f>
        <v>4</v>
      </c>
      <c r="H893" t="str">
        <f>TEXT(Tabela1[[#This Row],[Coluna2]]*29,"mmmm")</f>
        <v>abril</v>
      </c>
      <c r="I893" t="str">
        <f>TEXT(MONTH(Tabela1[[#This Row],[Último pagto ano]])*29,"mmmm")</f>
        <v>abril</v>
      </c>
    </row>
    <row r="894" spans="1:9" x14ac:dyDescent="0.25">
      <c r="A894">
        <v>2025</v>
      </c>
      <c r="B894" t="s">
        <v>1776</v>
      </c>
      <c r="C894" s="1">
        <v>45996</v>
      </c>
      <c r="D894" t="s">
        <v>1777</v>
      </c>
      <c r="E894" s="2">
        <v>7500</v>
      </c>
      <c r="G894" s="3">
        <f>MONTH(Tabela1[[#This Row],[Último pagto ano]])</f>
        <v>12</v>
      </c>
      <c r="H894" t="str">
        <f>TEXT(Tabela1[[#This Row],[Coluna2]]*29,"mmmm")</f>
        <v>dezembro</v>
      </c>
      <c r="I894" t="str">
        <f>TEXT(MONTH(Tabela1[[#This Row],[Último pagto ano]])*29,"mmmm")</f>
        <v>dezembro</v>
      </c>
    </row>
    <row r="895" spans="1:9" x14ac:dyDescent="0.25">
      <c r="A895">
        <v>2025</v>
      </c>
      <c r="B895" t="s">
        <v>1778</v>
      </c>
      <c r="C895" s="1">
        <v>45807</v>
      </c>
      <c r="D895" t="s">
        <v>1779</v>
      </c>
      <c r="E895" s="2">
        <v>4799.12</v>
      </c>
      <c r="G895" s="3">
        <f>MONTH(Tabela1[[#This Row],[Último pagto ano]])</f>
        <v>5</v>
      </c>
      <c r="H895" t="str">
        <f>TEXT(Tabela1[[#This Row],[Coluna2]]*29,"mmmm")</f>
        <v>maio</v>
      </c>
      <c r="I895" t="str">
        <f>TEXT(MONTH(Tabela1[[#This Row],[Último pagto ano]])*29,"mmmm")</f>
        <v>maio</v>
      </c>
    </row>
    <row r="896" spans="1:9" x14ac:dyDescent="0.25">
      <c r="A896">
        <v>2025</v>
      </c>
      <c r="B896" t="s">
        <v>1780</v>
      </c>
      <c r="C896" s="1">
        <v>45868</v>
      </c>
      <c r="D896" t="s">
        <v>1781</v>
      </c>
      <c r="E896" s="2">
        <v>6890.8</v>
      </c>
      <c r="G896" s="3">
        <f>MONTH(Tabela1[[#This Row],[Último pagto ano]])</f>
        <v>7</v>
      </c>
      <c r="H896" t="str">
        <f>TEXT(Tabela1[[#This Row],[Coluna2]]*29,"mmmm")</f>
        <v>julho</v>
      </c>
      <c r="I896" t="str">
        <f>TEXT(MONTH(Tabela1[[#This Row],[Último pagto ano]])*29,"mmmm")</f>
        <v>julho</v>
      </c>
    </row>
    <row r="897" spans="1:9" x14ac:dyDescent="0.25">
      <c r="A897">
        <v>2025</v>
      </c>
      <c r="B897" t="s">
        <v>1782</v>
      </c>
      <c r="C897" s="1">
        <v>45845</v>
      </c>
      <c r="D897" t="s">
        <v>1783</v>
      </c>
      <c r="E897" s="2">
        <v>149003.98000000001</v>
      </c>
      <c r="G897" s="3">
        <f>MONTH(Tabela1[[#This Row],[Último pagto ano]])</f>
        <v>7</v>
      </c>
      <c r="H897" t="str">
        <f>TEXT(Tabela1[[#This Row],[Coluna2]]*29,"mmmm")</f>
        <v>julho</v>
      </c>
      <c r="I897" t="str">
        <f>TEXT(MONTH(Tabela1[[#This Row],[Último pagto ano]])*29,"mmmm")</f>
        <v>julho</v>
      </c>
    </row>
    <row r="898" spans="1:9" x14ac:dyDescent="0.25">
      <c r="A898">
        <v>2025</v>
      </c>
      <c r="B898" t="s">
        <v>1784</v>
      </c>
      <c r="C898" s="1">
        <v>45848</v>
      </c>
      <c r="D898" t="s">
        <v>1785</v>
      </c>
      <c r="E898" s="2">
        <v>2620</v>
      </c>
      <c r="G898" s="3">
        <f>MONTH(Tabela1[[#This Row],[Último pagto ano]])</f>
        <v>7</v>
      </c>
      <c r="H898" t="str">
        <f>TEXT(Tabela1[[#This Row],[Coluna2]]*29,"mmmm")</f>
        <v>julho</v>
      </c>
      <c r="I898" t="str">
        <f>TEXT(MONTH(Tabela1[[#This Row],[Último pagto ano]])*29,"mmmm")</f>
        <v>julho</v>
      </c>
    </row>
    <row r="899" spans="1:9" x14ac:dyDescent="0.25">
      <c r="A899">
        <v>2025</v>
      </c>
      <c r="B899" t="s">
        <v>1786</v>
      </c>
      <c r="C899" s="1">
        <v>46003</v>
      </c>
      <c r="D899" t="s">
        <v>1787</v>
      </c>
      <c r="E899" s="2">
        <v>26545.53</v>
      </c>
      <c r="G899" s="3">
        <f>MONTH(Tabela1[[#This Row],[Último pagto ano]])</f>
        <v>12</v>
      </c>
      <c r="H899" t="str">
        <f>TEXT(Tabela1[[#This Row],[Coluna2]]*29,"mmmm")</f>
        <v>dezembro</v>
      </c>
      <c r="I899" t="str">
        <f>TEXT(MONTH(Tabela1[[#This Row],[Último pagto ano]])*29,"mmmm")</f>
        <v>dezembro</v>
      </c>
    </row>
    <row r="900" spans="1:9" x14ac:dyDescent="0.25">
      <c r="A900">
        <v>2025</v>
      </c>
      <c r="B900" t="s">
        <v>1788</v>
      </c>
      <c r="C900" s="1">
        <v>46003</v>
      </c>
      <c r="D900" t="s">
        <v>1789</v>
      </c>
      <c r="E900" s="2">
        <v>2656868.7599999998</v>
      </c>
      <c r="G900" s="3">
        <f>MONTH(Tabela1[[#This Row],[Último pagto ano]])</f>
        <v>12</v>
      </c>
      <c r="H900" t="str">
        <f>TEXT(Tabela1[[#This Row],[Coluna2]]*29,"mmmm")</f>
        <v>dezembro</v>
      </c>
      <c r="I900" t="str">
        <f>TEXT(MONTH(Tabela1[[#This Row],[Último pagto ano]])*29,"mmmm")</f>
        <v>dezembro</v>
      </c>
    </row>
    <row r="901" spans="1:9" x14ac:dyDescent="0.25">
      <c r="A901">
        <v>2025</v>
      </c>
      <c r="B901" t="s">
        <v>1790</v>
      </c>
      <c r="C901" s="1">
        <v>45992</v>
      </c>
      <c r="D901" t="s">
        <v>1791</v>
      </c>
      <c r="E901" s="2">
        <v>2007239.04</v>
      </c>
      <c r="G901" s="3">
        <f>MONTH(Tabela1[[#This Row],[Último pagto ano]])</f>
        <v>12</v>
      </c>
      <c r="H901" t="str">
        <f>TEXT(Tabela1[[#This Row],[Coluna2]]*29,"mmmm")</f>
        <v>dezembro</v>
      </c>
      <c r="I901" t="str">
        <f>TEXT(MONTH(Tabela1[[#This Row],[Último pagto ano]])*29,"mmmm")</f>
        <v>dezembro</v>
      </c>
    </row>
    <row r="902" spans="1:9" x14ac:dyDescent="0.25">
      <c r="A902">
        <v>2025</v>
      </c>
      <c r="B902" t="s">
        <v>1792</v>
      </c>
      <c r="C902" s="1">
        <v>45988</v>
      </c>
      <c r="D902" t="s">
        <v>1793</v>
      </c>
      <c r="E902" s="2">
        <v>478819</v>
      </c>
      <c r="G902" s="3">
        <f>MONTH(Tabela1[[#This Row],[Último pagto ano]])</f>
        <v>11</v>
      </c>
      <c r="H902" t="str">
        <f>TEXT(Tabela1[[#This Row],[Coluna2]]*29,"mmmm")</f>
        <v>novembro</v>
      </c>
      <c r="I902" t="str">
        <f>TEXT(MONTH(Tabela1[[#This Row],[Último pagto ano]])*29,"mmmm")</f>
        <v>novembro</v>
      </c>
    </row>
    <row r="903" spans="1:9" x14ac:dyDescent="0.25">
      <c r="A903">
        <v>2025</v>
      </c>
      <c r="B903" t="s">
        <v>1794</v>
      </c>
      <c r="C903" s="1">
        <v>46002</v>
      </c>
      <c r="D903" t="s">
        <v>1795</v>
      </c>
      <c r="E903" s="2">
        <v>509316.21</v>
      </c>
      <c r="G903" s="3">
        <f>MONTH(Tabela1[[#This Row],[Último pagto ano]])</f>
        <v>12</v>
      </c>
      <c r="H903" t="str">
        <f>TEXT(Tabela1[[#This Row],[Coluna2]]*29,"mmmm")</f>
        <v>dezembro</v>
      </c>
      <c r="I903" t="str">
        <f>TEXT(MONTH(Tabela1[[#This Row],[Último pagto ano]])*29,"mmmm")</f>
        <v>dezembro</v>
      </c>
    </row>
    <row r="904" spans="1:9" x14ac:dyDescent="0.25">
      <c r="A904">
        <v>2025</v>
      </c>
      <c r="B904" t="s">
        <v>1796</v>
      </c>
      <c r="C904" s="1">
        <v>46014</v>
      </c>
      <c r="D904" t="s">
        <v>1797</v>
      </c>
      <c r="E904" s="2">
        <v>372932.1</v>
      </c>
      <c r="G904" s="3">
        <f>MONTH(Tabela1[[#This Row],[Último pagto ano]])</f>
        <v>12</v>
      </c>
      <c r="H904" t="str">
        <f>TEXT(Tabela1[[#This Row],[Coluna2]]*29,"mmmm")</f>
        <v>dezembro</v>
      </c>
      <c r="I904" t="str">
        <f>TEXT(MONTH(Tabela1[[#This Row],[Último pagto ano]])*29,"mmmm")</f>
        <v>dezembro</v>
      </c>
    </row>
    <row r="905" spans="1:9" x14ac:dyDescent="0.25">
      <c r="A905">
        <v>2025</v>
      </c>
      <c r="B905" t="s">
        <v>1798</v>
      </c>
      <c r="C905" s="1">
        <v>45842</v>
      </c>
      <c r="D905" t="s">
        <v>1799</v>
      </c>
      <c r="E905" s="2">
        <v>188183.4</v>
      </c>
      <c r="G905" s="3">
        <f>MONTH(Tabela1[[#This Row],[Último pagto ano]])</f>
        <v>7</v>
      </c>
      <c r="H905" t="str">
        <f>TEXT(Tabela1[[#This Row],[Coluna2]]*29,"mmmm")</f>
        <v>julho</v>
      </c>
      <c r="I905" t="str">
        <f>TEXT(MONTH(Tabela1[[#This Row],[Último pagto ano]])*29,"mmmm")</f>
        <v>julho</v>
      </c>
    </row>
    <row r="906" spans="1:9" x14ac:dyDescent="0.25">
      <c r="A906">
        <v>2025</v>
      </c>
      <c r="B906" t="s">
        <v>1800</v>
      </c>
      <c r="C906" s="1">
        <v>45999</v>
      </c>
      <c r="D906" t="s">
        <v>1801</v>
      </c>
      <c r="E906" s="2">
        <v>179261.45</v>
      </c>
      <c r="G906" s="3">
        <f>MONTH(Tabela1[[#This Row],[Último pagto ano]])</f>
        <v>12</v>
      </c>
      <c r="H906" t="str">
        <f>TEXT(Tabela1[[#This Row],[Coluna2]]*29,"mmmm")</f>
        <v>dezembro</v>
      </c>
      <c r="I906" t="str">
        <f>TEXT(MONTH(Tabela1[[#This Row],[Último pagto ano]])*29,"mmmm")</f>
        <v>dezembro</v>
      </c>
    </row>
    <row r="907" spans="1:9" x14ac:dyDescent="0.25">
      <c r="A907">
        <v>2025</v>
      </c>
      <c r="B907" t="s">
        <v>1802</v>
      </c>
      <c r="C907" s="1">
        <v>45992</v>
      </c>
      <c r="D907" t="s">
        <v>1803</v>
      </c>
      <c r="E907" s="2">
        <v>2094579.12</v>
      </c>
      <c r="G907" s="3">
        <f>MONTH(Tabela1[[#This Row],[Último pagto ano]])</f>
        <v>12</v>
      </c>
      <c r="H907" t="str">
        <f>TEXT(Tabela1[[#This Row],[Coluna2]]*29,"mmmm")</f>
        <v>dezembro</v>
      </c>
      <c r="I907" t="str">
        <f>TEXT(MONTH(Tabela1[[#This Row],[Último pagto ano]])*29,"mmmm")</f>
        <v>dezembro</v>
      </c>
    </row>
    <row r="908" spans="1:9" x14ac:dyDescent="0.25">
      <c r="A908">
        <v>2025</v>
      </c>
      <c r="B908" t="s">
        <v>1804</v>
      </c>
      <c r="C908" s="1">
        <v>45999</v>
      </c>
      <c r="D908" t="s">
        <v>1805</v>
      </c>
      <c r="E908" s="2">
        <v>2831991.52</v>
      </c>
      <c r="G908" s="3">
        <f>MONTH(Tabela1[[#This Row],[Último pagto ano]])</f>
        <v>12</v>
      </c>
      <c r="H908" t="str">
        <f>TEXT(Tabela1[[#This Row],[Coluna2]]*29,"mmmm")</f>
        <v>dezembro</v>
      </c>
      <c r="I908" t="str">
        <f>TEXT(MONTH(Tabela1[[#This Row],[Último pagto ano]])*29,"mmmm")</f>
        <v>dezembro</v>
      </c>
    </row>
    <row r="909" spans="1:9" x14ac:dyDescent="0.25">
      <c r="A909">
        <v>2025</v>
      </c>
      <c r="B909" t="s">
        <v>1806</v>
      </c>
      <c r="C909" s="1">
        <v>46002</v>
      </c>
      <c r="D909" t="s">
        <v>1807</v>
      </c>
      <c r="E909" s="2">
        <v>20502.77</v>
      </c>
      <c r="G909" s="3">
        <f>MONTH(Tabela1[[#This Row],[Último pagto ano]])</f>
        <v>12</v>
      </c>
      <c r="H909" t="str">
        <f>TEXT(Tabela1[[#This Row],[Coluna2]]*29,"mmmm")</f>
        <v>dezembro</v>
      </c>
      <c r="I909" t="str">
        <f>TEXT(MONTH(Tabela1[[#This Row],[Último pagto ano]])*29,"mmmm")</f>
        <v>dezembro</v>
      </c>
    </row>
    <row r="910" spans="1:9" x14ac:dyDescent="0.25">
      <c r="A910">
        <v>2025</v>
      </c>
      <c r="B910" t="s">
        <v>1808</v>
      </c>
      <c r="C910" s="1">
        <v>45992</v>
      </c>
      <c r="D910" t="s">
        <v>1809</v>
      </c>
      <c r="E910" s="2">
        <v>24506388.300000001</v>
      </c>
      <c r="G910" s="3">
        <f>MONTH(Tabela1[[#This Row],[Último pagto ano]])</f>
        <v>12</v>
      </c>
      <c r="H910" t="str">
        <f>TEXT(Tabela1[[#This Row],[Coluna2]]*29,"mmmm")</f>
        <v>dezembro</v>
      </c>
      <c r="I910" t="str">
        <f>TEXT(MONTH(Tabela1[[#This Row],[Último pagto ano]])*29,"mmmm")</f>
        <v>dezembro</v>
      </c>
    </row>
    <row r="911" spans="1:9" x14ac:dyDescent="0.25">
      <c r="A911">
        <v>2025</v>
      </c>
      <c r="B911" t="s">
        <v>1810</v>
      </c>
      <c r="C911" s="1">
        <v>45937</v>
      </c>
      <c r="D911" t="s">
        <v>1811</v>
      </c>
      <c r="E911" s="2">
        <v>6000</v>
      </c>
      <c r="G911" s="3">
        <f>MONTH(Tabela1[[#This Row],[Último pagto ano]])</f>
        <v>10</v>
      </c>
      <c r="H911" t="str">
        <f>TEXT(Tabela1[[#This Row],[Coluna2]]*29,"mmmm")</f>
        <v>outubro</v>
      </c>
      <c r="I911" t="str">
        <f>TEXT(MONTH(Tabela1[[#This Row],[Último pagto ano]])*29,"mmmm")</f>
        <v>outubro</v>
      </c>
    </row>
    <row r="912" spans="1:9" x14ac:dyDescent="0.25">
      <c r="A912">
        <v>2025</v>
      </c>
      <c r="B912" t="s">
        <v>1812</v>
      </c>
      <c r="C912" s="1">
        <v>45999</v>
      </c>
      <c r="D912" t="s">
        <v>1813</v>
      </c>
      <c r="E912" s="2">
        <v>2400</v>
      </c>
      <c r="G912" s="3">
        <f>MONTH(Tabela1[[#This Row],[Último pagto ano]])</f>
        <v>12</v>
      </c>
      <c r="H912" t="str">
        <f>TEXT(Tabela1[[#This Row],[Coluna2]]*29,"mmmm")</f>
        <v>dezembro</v>
      </c>
      <c r="I912" t="str">
        <f>TEXT(MONTH(Tabela1[[#This Row],[Último pagto ano]])*29,"mmmm")</f>
        <v>dezembro</v>
      </c>
    </row>
    <row r="913" spans="1:9" x14ac:dyDescent="0.25">
      <c r="A913">
        <v>2025</v>
      </c>
      <c r="B913" t="s">
        <v>1814</v>
      </c>
      <c r="C913" s="1">
        <v>45803</v>
      </c>
      <c r="D913" t="s">
        <v>1815</v>
      </c>
      <c r="E913" s="2">
        <v>9466.32</v>
      </c>
      <c r="G913" s="3">
        <f>MONTH(Tabela1[[#This Row],[Último pagto ano]])</f>
        <v>5</v>
      </c>
      <c r="H913" t="str">
        <f>TEXT(Tabela1[[#This Row],[Coluna2]]*29,"mmmm")</f>
        <v>maio</v>
      </c>
      <c r="I913" t="str">
        <f>TEXT(MONTH(Tabela1[[#This Row],[Último pagto ano]])*29,"mmmm")</f>
        <v>maio</v>
      </c>
    </row>
    <row r="914" spans="1:9" x14ac:dyDescent="0.25">
      <c r="A914">
        <v>2025</v>
      </c>
      <c r="B914" t="s">
        <v>1816</v>
      </c>
      <c r="C914" s="1">
        <v>45992</v>
      </c>
      <c r="D914" t="s">
        <v>1817</v>
      </c>
      <c r="E914" s="2">
        <v>31369070.850000001</v>
      </c>
      <c r="G914" s="3">
        <f>MONTH(Tabela1[[#This Row],[Último pagto ano]])</f>
        <v>12</v>
      </c>
      <c r="H914" t="str">
        <f>TEXT(Tabela1[[#This Row],[Coluna2]]*29,"mmmm")</f>
        <v>dezembro</v>
      </c>
      <c r="I914" t="str">
        <f>TEXT(MONTH(Tabela1[[#This Row],[Último pagto ano]])*29,"mmmm")</f>
        <v>dezembro</v>
      </c>
    </row>
    <row r="915" spans="1:9" x14ac:dyDescent="0.25">
      <c r="A915">
        <v>2025</v>
      </c>
      <c r="B915" t="s">
        <v>1818</v>
      </c>
      <c r="C915" s="1">
        <v>45877</v>
      </c>
      <c r="D915" t="s">
        <v>1819</v>
      </c>
      <c r="E915" s="2">
        <v>10000</v>
      </c>
      <c r="G915" s="3">
        <f>MONTH(Tabela1[[#This Row],[Último pagto ano]])</f>
        <v>8</v>
      </c>
      <c r="H915" t="str">
        <f>TEXT(Tabela1[[#This Row],[Coluna2]]*29,"mmmm")</f>
        <v>agosto</v>
      </c>
      <c r="I915" t="str">
        <f>TEXT(MONTH(Tabela1[[#This Row],[Último pagto ano]])*29,"mmmm")</f>
        <v>agosto</v>
      </c>
    </row>
    <row r="916" spans="1:9" x14ac:dyDescent="0.25">
      <c r="A916">
        <v>2025</v>
      </c>
      <c r="B916" t="s">
        <v>1820</v>
      </c>
      <c r="C916" s="1">
        <v>45996</v>
      </c>
      <c r="D916" t="s">
        <v>1821</v>
      </c>
      <c r="E916" s="2">
        <v>2237815.9</v>
      </c>
      <c r="G916" s="3">
        <f>MONTH(Tabela1[[#This Row],[Último pagto ano]])</f>
        <v>12</v>
      </c>
      <c r="H916" t="str">
        <f>TEXT(Tabela1[[#This Row],[Coluna2]]*29,"mmmm")</f>
        <v>dezembro</v>
      </c>
      <c r="I916" t="str">
        <f>TEXT(MONTH(Tabela1[[#This Row],[Último pagto ano]])*29,"mmmm")</f>
        <v>dezembro</v>
      </c>
    </row>
    <row r="917" spans="1:9" x14ac:dyDescent="0.25">
      <c r="A917">
        <v>2025</v>
      </c>
      <c r="B917" t="s">
        <v>1822</v>
      </c>
      <c r="C917" s="1">
        <v>45842</v>
      </c>
      <c r="D917" t="s">
        <v>1823</v>
      </c>
      <c r="E917" s="2">
        <v>179988.55</v>
      </c>
      <c r="G917" s="3">
        <f>MONTH(Tabela1[[#This Row],[Último pagto ano]])</f>
        <v>7</v>
      </c>
      <c r="H917" t="str">
        <f>TEXT(Tabela1[[#This Row],[Coluna2]]*29,"mmmm")</f>
        <v>julho</v>
      </c>
      <c r="I917" t="str">
        <f>TEXT(MONTH(Tabela1[[#This Row],[Último pagto ano]])*29,"mmmm")</f>
        <v>julho</v>
      </c>
    </row>
    <row r="918" spans="1:9" x14ac:dyDescent="0.25">
      <c r="A918">
        <v>2025</v>
      </c>
      <c r="B918" t="s">
        <v>1824</v>
      </c>
      <c r="C918" s="1">
        <v>45842</v>
      </c>
      <c r="D918" t="s">
        <v>1825</v>
      </c>
      <c r="E918" s="2">
        <v>86700</v>
      </c>
      <c r="G918" s="3">
        <f>MONTH(Tabela1[[#This Row],[Último pagto ano]])</f>
        <v>7</v>
      </c>
      <c r="H918" t="str">
        <f>TEXT(Tabela1[[#This Row],[Coluna2]]*29,"mmmm")</f>
        <v>julho</v>
      </c>
      <c r="I918" t="str">
        <f>TEXT(MONTH(Tabela1[[#This Row],[Último pagto ano]])*29,"mmmm")</f>
        <v>julho</v>
      </c>
    </row>
    <row r="919" spans="1:9" x14ac:dyDescent="0.25">
      <c r="A919">
        <v>2025</v>
      </c>
      <c r="B919" t="s">
        <v>1826</v>
      </c>
      <c r="C919" s="1">
        <v>46014</v>
      </c>
      <c r="D919" t="s">
        <v>1827</v>
      </c>
      <c r="E919" s="2">
        <v>1385561.76</v>
      </c>
      <c r="G919" s="3">
        <f>MONTH(Tabela1[[#This Row],[Último pagto ano]])</f>
        <v>12</v>
      </c>
      <c r="H919" t="str">
        <f>TEXT(Tabela1[[#This Row],[Coluna2]]*29,"mmmm")</f>
        <v>dezembro</v>
      </c>
      <c r="I919" t="str">
        <f>TEXT(MONTH(Tabela1[[#This Row],[Último pagto ano]])*29,"mmmm")</f>
        <v>dezembro</v>
      </c>
    </row>
    <row r="920" spans="1:9" x14ac:dyDescent="0.25">
      <c r="A920">
        <v>2025</v>
      </c>
      <c r="B920" t="s">
        <v>1828</v>
      </c>
      <c r="C920" s="1">
        <v>46003</v>
      </c>
      <c r="D920" t="s">
        <v>1829</v>
      </c>
      <c r="E920" s="2">
        <v>295908.75</v>
      </c>
      <c r="G920" s="3">
        <f>MONTH(Tabela1[[#This Row],[Último pagto ano]])</f>
        <v>12</v>
      </c>
      <c r="H920" t="str">
        <f>TEXT(Tabela1[[#This Row],[Coluna2]]*29,"mmmm")</f>
        <v>dezembro</v>
      </c>
      <c r="I920" t="str">
        <f>TEXT(MONTH(Tabela1[[#This Row],[Último pagto ano]])*29,"mmmm")</f>
        <v>dezembro</v>
      </c>
    </row>
    <row r="921" spans="1:9" x14ac:dyDescent="0.25">
      <c r="A921">
        <v>2025</v>
      </c>
      <c r="B921" t="s">
        <v>1830</v>
      </c>
      <c r="C921" s="1">
        <v>45698</v>
      </c>
      <c r="D921" t="s">
        <v>1831</v>
      </c>
      <c r="E921" s="2">
        <v>9402.36</v>
      </c>
      <c r="G921" s="3">
        <f>MONTH(Tabela1[[#This Row],[Último pagto ano]])</f>
        <v>2</v>
      </c>
      <c r="H921" t="str">
        <f>TEXT(Tabela1[[#This Row],[Coluna2]]*29,"mmmm")</f>
        <v>fevereiro</v>
      </c>
      <c r="I921" t="str">
        <f>TEXT(MONTH(Tabela1[[#This Row],[Último pagto ano]])*29,"mmmm")</f>
        <v>fevereiro</v>
      </c>
    </row>
    <row r="922" spans="1:9" x14ac:dyDescent="0.25">
      <c r="A922">
        <v>2025</v>
      </c>
      <c r="B922" t="s">
        <v>1832</v>
      </c>
      <c r="C922" s="1">
        <v>45905</v>
      </c>
      <c r="D922" t="s">
        <v>1833</v>
      </c>
      <c r="E922" s="2">
        <v>7200</v>
      </c>
      <c r="G922" s="3">
        <f>MONTH(Tabela1[[#This Row],[Último pagto ano]])</f>
        <v>9</v>
      </c>
      <c r="H922" t="str">
        <f>TEXT(Tabela1[[#This Row],[Coluna2]]*29,"mmmm")</f>
        <v>setembro</v>
      </c>
      <c r="I922" t="str">
        <f>TEXT(MONTH(Tabela1[[#This Row],[Último pagto ano]])*29,"mmmm")</f>
        <v>setembro</v>
      </c>
    </row>
    <row r="923" spans="1:9" x14ac:dyDescent="0.25">
      <c r="A923">
        <v>2025</v>
      </c>
      <c r="B923" t="s">
        <v>1834</v>
      </c>
      <c r="C923" s="1">
        <v>45992</v>
      </c>
      <c r="D923" t="s">
        <v>1835</v>
      </c>
      <c r="E923" s="2">
        <v>1869900.6</v>
      </c>
      <c r="G923" s="3">
        <f>MONTH(Tabela1[[#This Row],[Último pagto ano]])</f>
        <v>12</v>
      </c>
      <c r="H923" t="str">
        <f>TEXT(Tabela1[[#This Row],[Coluna2]]*29,"mmmm")</f>
        <v>dezembro</v>
      </c>
      <c r="I923" t="str">
        <f>TEXT(MONTH(Tabela1[[#This Row],[Último pagto ano]])*29,"mmmm")</f>
        <v>dezembro</v>
      </c>
    </row>
    <row r="924" spans="1:9" x14ac:dyDescent="0.25">
      <c r="A924">
        <v>2025</v>
      </c>
      <c r="B924" t="s">
        <v>1836</v>
      </c>
      <c r="C924" s="1">
        <v>45996</v>
      </c>
      <c r="D924" t="s">
        <v>1837</v>
      </c>
      <c r="E924" s="2">
        <v>414585.83</v>
      </c>
      <c r="G924" s="3">
        <f>MONTH(Tabela1[[#This Row],[Último pagto ano]])</f>
        <v>12</v>
      </c>
      <c r="H924" t="str">
        <f>TEXT(Tabela1[[#This Row],[Coluna2]]*29,"mmmm")</f>
        <v>dezembro</v>
      </c>
      <c r="I924" t="str">
        <f>TEXT(MONTH(Tabela1[[#This Row],[Último pagto ano]])*29,"mmmm")</f>
        <v>dezembro</v>
      </c>
    </row>
    <row r="925" spans="1:9" x14ac:dyDescent="0.25">
      <c r="A925">
        <v>2025</v>
      </c>
      <c r="B925" t="s">
        <v>1838</v>
      </c>
      <c r="C925" s="1">
        <v>46006</v>
      </c>
      <c r="D925" t="s">
        <v>1839</v>
      </c>
      <c r="E925" s="2">
        <v>22261294.140000001</v>
      </c>
      <c r="G925" s="3">
        <f>MONTH(Tabela1[[#This Row],[Último pagto ano]])</f>
        <v>12</v>
      </c>
      <c r="H925" t="str">
        <f>TEXT(Tabela1[[#This Row],[Coluna2]]*29,"mmmm")</f>
        <v>dezembro</v>
      </c>
      <c r="I925" t="str">
        <f>TEXT(MONTH(Tabela1[[#This Row],[Último pagto ano]])*29,"mmmm")</f>
        <v>dezembro</v>
      </c>
    </row>
    <row r="926" spans="1:9" x14ac:dyDescent="0.25">
      <c r="A926">
        <v>2025</v>
      </c>
      <c r="B926" t="s">
        <v>1840</v>
      </c>
      <c r="C926" s="1">
        <v>45999</v>
      </c>
      <c r="D926" t="s">
        <v>1841</v>
      </c>
      <c r="E926" s="2">
        <v>1814844.6</v>
      </c>
      <c r="G926" s="3">
        <f>MONTH(Tabela1[[#This Row],[Último pagto ano]])</f>
        <v>12</v>
      </c>
      <c r="H926" t="str">
        <f>TEXT(Tabela1[[#This Row],[Coluna2]]*29,"mmmm")</f>
        <v>dezembro</v>
      </c>
      <c r="I926" t="str">
        <f>TEXT(MONTH(Tabela1[[#This Row],[Último pagto ano]])*29,"mmmm")</f>
        <v>dezembro</v>
      </c>
    </row>
    <row r="927" spans="1:9" x14ac:dyDescent="0.25">
      <c r="A927">
        <v>2025</v>
      </c>
      <c r="B927" t="s">
        <v>1842</v>
      </c>
      <c r="C927" s="1">
        <v>45663</v>
      </c>
      <c r="D927" t="s">
        <v>1843</v>
      </c>
      <c r="E927" s="2">
        <v>1605.51</v>
      </c>
      <c r="G927" s="3">
        <f>MONTH(Tabela1[[#This Row],[Último pagto ano]])</f>
        <v>1</v>
      </c>
      <c r="H927" t="str">
        <f>TEXT(Tabela1[[#This Row],[Coluna2]]*29,"mmmm")</f>
        <v>janeiro</v>
      </c>
      <c r="I927" t="str">
        <f>TEXT(MONTH(Tabela1[[#This Row],[Último pagto ano]])*29,"mmmm")</f>
        <v>janeiro</v>
      </c>
    </row>
    <row r="928" spans="1:9" x14ac:dyDescent="0.25">
      <c r="A928">
        <v>2025</v>
      </c>
      <c r="B928" t="s">
        <v>1844</v>
      </c>
      <c r="C928" s="1">
        <v>45996</v>
      </c>
      <c r="D928" t="s">
        <v>1845</v>
      </c>
      <c r="E928" s="2">
        <v>507740.88</v>
      </c>
      <c r="G928" s="3">
        <f>MONTH(Tabela1[[#This Row],[Último pagto ano]])</f>
        <v>12</v>
      </c>
      <c r="H928" t="str">
        <f>TEXT(Tabela1[[#This Row],[Coluna2]]*29,"mmmm")</f>
        <v>dezembro</v>
      </c>
      <c r="I928" t="str">
        <f>TEXT(MONTH(Tabela1[[#This Row],[Último pagto ano]])*29,"mmmm")</f>
        <v>dezembro</v>
      </c>
    </row>
    <row r="929" spans="1:9" x14ac:dyDescent="0.25">
      <c r="A929">
        <v>2025</v>
      </c>
      <c r="B929" t="s">
        <v>1846</v>
      </c>
      <c r="C929" s="1">
        <v>45999</v>
      </c>
      <c r="D929" t="s">
        <v>1847</v>
      </c>
      <c r="E929" s="2">
        <v>8181.94</v>
      </c>
      <c r="G929" s="3">
        <f>MONTH(Tabela1[[#This Row],[Último pagto ano]])</f>
        <v>12</v>
      </c>
      <c r="H929" t="str">
        <f>TEXT(Tabela1[[#This Row],[Coluna2]]*29,"mmmm")</f>
        <v>dezembro</v>
      </c>
      <c r="I929" t="str">
        <f>TEXT(MONTH(Tabela1[[#This Row],[Último pagto ano]])*29,"mmmm")</f>
        <v>dezembro</v>
      </c>
    </row>
    <row r="930" spans="1:9" x14ac:dyDescent="0.25">
      <c r="A930">
        <v>2025</v>
      </c>
      <c r="B930" t="s">
        <v>1848</v>
      </c>
      <c r="C930" s="1">
        <v>46003</v>
      </c>
      <c r="D930" t="s">
        <v>1849</v>
      </c>
      <c r="E930" s="2">
        <v>9170.18</v>
      </c>
      <c r="G930" s="3">
        <f>MONTH(Tabela1[[#This Row],[Último pagto ano]])</f>
        <v>12</v>
      </c>
      <c r="H930" t="str">
        <f>TEXT(Tabela1[[#This Row],[Coluna2]]*29,"mmmm")</f>
        <v>dezembro</v>
      </c>
      <c r="I930" t="str">
        <f>TEXT(MONTH(Tabela1[[#This Row],[Último pagto ano]])*29,"mmmm")</f>
        <v>dezembro</v>
      </c>
    </row>
    <row r="931" spans="1:9" x14ac:dyDescent="0.25">
      <c r="A931">
        <v>2025</v>
      </c>
      <c r="B931" t="s">
        <v>1850</v>
      </c>
      <c r="C931" s="1">
        <v>45999</v>
      </c>
      <c r="D931" t="s">
        <v>1851</v>
      </c>
      <c r="E931" s="2">
        <v>818581.5</v>
      </c>
      <c r="G931" s="3">
        <f>MONTH(Tabela1[[#This Row],[Último pagto ano]])</f>
        <v>12</v>
      </c>
      <c r="H931" t="str">
        <f>TEXT(Tabela1[[#This Row],[Coluna2]]*29,"mmmm")</f>
        <v>dezembro</v>
      </c>
      <c r="I931" t="str">
        <f>TEXT(MONTH(Tabela1[[#This Row],[Último pagto ano]])*29,"mmmm")</f>
        <v>dezembro</v>
      </c>
    </row>
    <row r="932" spans="1:9" x14ac:dyDescent="0.25">
      <c r="A932">
        <v>2025</v>
      </c>
      <c r="B932" t="s">
        <v>1852</v>
      </c>
      <c r="C932" s="1">
        <v>45786</v>
      </c>
      <c r="D932" t="s">
        <v>1853</v>
      </c>
      <c r="E932" s="2">
        <v>30000</v>
      </c>
      <c r="G932" s="3">
        <f>MONTH(Tabela1[[#This Row],[Último pagto ano]])</f>
        <v>5</v>
      </c>
      <c r="H932" t="str">
        <f>TEXT(Tabela1[[#This Row],[Coluna2]]*29,"mmmm")</f>
        <v>maio</v>
      </c>
      <c r="I932" t="str">
        <f>TEXT(MONTH(Tabela1[[#This Row],[Último pagto ano]])*29,"mmmm")</f>
        <v>maio</v>
      </c>
    </row>
    <row r="933" spans="1:9" x14ac:dyDescent="0.25">
      <c r="A933">
        <v>2025</v>
      </c>
      <c r="B933" t="s">
        <v>1854</v>
      </c>
      <c r="C933" s="1">
        <v>46006</v>
      </c>
      <c r="D933" t="s">
        <v>1855</v>
      </c>
      <c r="E933" s="2">
        <v>15768514.529999999</v>
      </c>
      <c r="G933" s="3">
        <f>MONTH(Tabela1[[#This Row],[Último pagto ano]])</f>
        <v>12</v>
      </c>
      <c r="H933" t="str">
        <f>TEXT(Tabela1[[#This Row],[Coluna2]]*29,"mmmm")</f>
        <v>dezembro</v>
      </c>
      <c r="I933" t="str">
        <f>TEXT(MONTH(Tabela1[[#This Row],[Último pagto ano]])*29,"mmmm")</f>
        <v>dezembro</v>
      </c>
    </row>
    <row r="934" spans="1:9" x14ac:dyDescent="0.25">
      <c r="A934">
        <v>2025</v>
      </c>
      <c r="B934" t="s">
        <v>1856</v>
      </c>
      <c r="C934" s="1">
        <v>46014</v>
      </c>
      <c r="D934" t="s">
        <v>1857</v>
      </c>
      <c r="E934" s="2">
        <v>848027.7</v>
      </c>
      <c r="G934" s="3">
        <f>MONTH(Tabela1[[#This Row],[Último pagto ano]])</f>
        <v>12</v>
      </c>
      <c r="H934" t="str">
        <f>TEXT(Tabela1[[#This Row],[Coluna2]]*29,"mmmm")</f>
        <v>dezembro</v>
      </c>
      <c r="I934" t="str">
        <f>TEXT(MONTH(Tabela1[[#This Row],[Último pagto ano]])*29,"mmmm")</f>
        <v>dezembro</v>
      </c>
    </row>
    <row r="935" spans="1:9" x14ac:dyDescent="0.25">
      <c r="A935">
        <v>2025</v>
      </c>
      <c r="B935" t="s">
        <v>1858</v>
      </c>
      <c r="C935" s="1">
        <v>46006</v>
      </c>
      <c r="D935" t="s">
        <v>1859</v>
      </c>
      <c r="E935" s="2">
        <v>1590495.69</v>
      </c>
      <c r="G935" s="3">
        <f>MONTH(Tabela1[[#This Row],[Último pagto ano]])</f>
        <v>12</v>
      </c>
      <c r="H935" t="str">
        <f>TEXT(Tabela1[[#This Row],[Coluna2]]*29,"mmmm")</f>
        <v>dezembro</v>
      </c>
      <c r="I935" t="str">
        <f>TEXT(MONTH(Tabela1[[#This Row],[Último pagto ano]])*29,"mmmm")</f>
        <v>dezembro</v>
      </c>
    </row>
    <row r="936" spans="1:9" x14ac:dyDescent="0.25">
      <c r="A936">
        <v>2025</v>
      </c>
      <c r="B936" t="s">
        <v>1860</v>
      </c>
      <c r="C936" s="1">
        <v>45999</v>
      </c>
      <c r="D936" t="s">
        <v>1861</v>
      </c>
      <c r="E936" s="2">
        <v>1262400</v>
      </c>
      <c r="G936" s="3">
        <f>MONTH(Tabela1[[#This Row],[Último pagto ano]])</f>
        <v>12</v>
      </c>
      <c r="H936" t="str">
        <f>TEXT(Tabela1[[#This Row],[Coluna2]]*29,"mmmm")</f>
        <v>dezembro</v>
      </c>
      <c r="I936" t="str">
        <f>TEXT(MONTH(Tabela1[[#This Row],[Último pagto ano]])*29,"mmmm")</f>
        <v>dezembro</v>
      </c>
    </row>
    <row r="937" spans="1:9" x14ac:dyDescent="0.25">
      <c r="A937">
        <v>2025</v>
      </c>
      <c r="B937" t="s">
        <v>1862</v>
      </c>
      <c r="C937" s="1">
        <v>45992</v>
      </c>
      <c r="D937" t="s">
        <v>1863</v>
      </c>
      <c r="E937" s="2">
        <v>1784305.06</v>
      </c>
      <c r="G937" s="3">
        <f>MONTH(Tabela1[[#This Row],[Último pagto ano]])</f>
        <v>12</v>
      </c>
      <c r="H937" t="str">
        <f>TEXT(Tabela1[[#This Row],[Coluna2]]*29,"mmmm")</f>
        <v>dezembro</v>
      </c>
      <c r="I937" t="str">
        <f>TEXT(MONTH(Tabela1[[#This Row],[Último pagto ano]])*29,"mmmm")</f>
        <v>dezembro</v>
      </c>
    </row>
    <row r="938" spans="1:9" x14ac:dyDescent="0.25">
      <c r="A938">
        <v>2025</v>
      </c>
      <c r="B938" t="s">
        <v>1864</v>
      </c>
      <c r="C938" s="1">
        <v>45992</v>
      </c>
      <c r="D938" t="s">
        <v>1865</v>
      </c>
      <c r="E938" s="2">
        <v>12329256.800000001</v>
      </c>
      <c r="G938" s="3">
        <f>MONTH(Tabela1[[#This Row],[Último pagto ano]])</f>
        <v>12</v>
      </c>
      <c r="H938" t="str">
        <f>TEXT(Tabela1[[#This Row],[Coluna2]]*29,"mmmm")</f>
        <v>dezembro</v>
      </c>
      <c r="I938" t="str">
        <f>TEXT(MONTH(Tabela1[[#This Row],[Último pagto ano]])*29,"mmmm")</f>
        <v>dezembro</v>
      </c>
    </row>
    <row r="939" spans="1:9" x14ac:dyDescent="0.25">
      <c r="A939">
        <v>2025</v>
      </c>
      <c r="B939" t="s">
        <v>1866</v>
      </c>
      <c r="C939" s="1">
        <v>45777</v>
      </c>
      <c r="D939" t="s">
        <v>1867</v>
      </c>
      <c r="E939" s="2">
        <v>6000</v>
      </c>
      <c r="G939" s="3">
        <f>MONTH(Tabela1[[#This Row],[Último pagto ano]])</f>
        <v>4</v>
      </c>
      <c r="H939" t="str">
        <f>TEXT(Tabela1[[#This Row],[Coluna2]]*29,"mmmm")</f>
        <v>abril</v>
      </c>
      <c r="I939" t="str">
        <f>TEXT(MONTH(Tabela1[[#This Row],[Último pagto ano]])*29,"mmmm")</f>
        <v>abril</v>
      </c>
    </row>
    <row r="940" spans="1:9" x14ac:dyDescent="0.25">
      <c r="A940">
        <v>2025</v>
      </c>
      <c r="B940" t="s">
        <v>1868</v>
      </c>
      <c r="C940" s="1">
        <v>45904</v>
      </c>
      <c r="D940" t="s">
        <v>1869</v>
      </c>
      <c r="E940">
        <v>470.4</v>
      </c>
      <c r="G940" s="3">
        <f>MONTH(Tabela1[[#This Row],[Último pagto ano]])</f>
        <v>9</v>
      </c>
      <c r="H940" t="str">
        <f>TEXT(Tabela1[[#This Row],[Coluna2]]*29,"mmmm")</f>
        <v>setembro</v>
      </c>
      <c r="I940" t="str">
        <f>TEXT(MONTH(Tabela1[[#This Row],[Último pagto ano]])*29,"mmmm")</f>
        <v>setembro</v>
      </c>
    </row>
    <row r="941" spans="1:9" x14ac:dyDescent="0.25">
      <c r="A941">
        <v>2025</v>
      </c>
      <c r="B941" t="s">
        <v>1870</v>
      </c>
      <c r="C941" s="1">
        <v>46006</v>
      </c>
      <c r="D941" t="s">
        <v>1871</v>
      </c>
      <c r="E941" s="2">
        <v>799692.48</v>
      </c>
      <c r="G941" s="3">
        <f>MONTH(Tabela1[[#This Row],[Último pagto ano]])</f>
        <v>12</v>
      </c>
      <c r="H941" t="str">
        <f>TEXT(Tabela1[[#This Row],[Coluna2]]*29,"mmmm")</f>
        <v>dezembro</v>
      </c>
      <c r="I941" t="str">
        <f>TEXT(MONTH(Tabela1[[#This Row],[Último pagto ano]])*29,"mmmm")</f>
        <v>dezembro</v>
      </c>
    </row>
    <row r="942" spans="1:9" x14ac:dyDescent="0.25">
      <c r="A942">
        <v>2025</v>
      </c>
      <c r="B942" t="s">
        <v>1872</v>
      </c>
      <c r="C942" s="1">
        <v>45999</v>
      </c>
      <c r="D942" t="s">
        <v>1873</v>
      </c>
      <c r="E942" s="2">
        <v>984159.97</v>
      </c>
      <c r="G942" s="3">
        <f>MONTH(Tabela1[[#This Row],[Último pagto ano]])</f>
        <v>12</v>
      </c>
      <c r="H942" t="str">
        <f>TEXT(Tabela1[[#This Row],[Coluna2]]*29,"mmmm")</f>
        <v>dezembro</v>
      </c>
      <c r="I942" t="str">
        <f>TEXT(MONTH(Tabela1[[#This Row],[Último pagto ano]])*29,"mmmm")</f>
        <v>dezembro</v>
      </c>
    </row>
    <row r="943" spans="1:9" x14ac:dyDescent="0.25">
      <c r="A943">
        <v>2025</v>
      </c>
      <c r="B943" t="s">
        <v>1874</v>
      </c>
      <c r="C943" s="1">
        <v>46006</v>
      </c>
      <c r="D943" t="s">
        <v>1875</v>
      </c>
      <c r="E943" s="2">
        <v>10391628.720000001</v>
      </c>
      <c r="G943" s="3">
        <f>MONTH(Tabela1[[#This Row],[Último pagto ano]])</f>
        <v>12</v>
      </c>
      <c r="H943" t="str">
        <f>TEXT(Tabela1[[#This Row],[Coluna2]]*29,"mmmm")</f>
        <v>dezembro</v>
      </c>
      <c r="I943" t="str">
        <f>TEXT(MONTH(Tabela1[[#This Row],[Último pagto ano]])*29,"mmmm")</f>
        <v>dezembro</v>
      </c>
    </row>
    <row r="944" spans="1:9" x14ac:dyDescent="0.25">
      <c r="A944">
        <v>2025</v>
      </c>
      <c r="B944" t="s">
        <v>1876</v>
      </c>
      <c r="C944" s="1">
        <v>46014</v>
      </c>
      <c r="D944" t="s">
        <v>1877</v>
      </c>
      <c r="E944" s="2">
        <v>429051.48</v>
      </c>
      <c r="G944" s="3">
        <f>MONTH(Tabela1[[#This Row],[Último pagto ano]])</f>
        <v>12</v>
      </c>
      <c r="H944" t="str">
        <f>TEXT(Tabela1[[#This Row],[Coluna2]]*29,"mmmm")</f>
        <v>dezembro</v>
      </c>
      <c r="I944" t="str">
        <f>TEXT(MONTH(Tabela1[[#This Row],[Último pagto ano]])*29,"mmmm")</f>
        <v>dezembro</v>
      </c>
    </row>
    <row r="945" spans="1:9" x14ac:dyDescent="0.25">
      <c r="A945">
        <v>2025</v>
      </c>
      <c r="B945" t="s">
        <v>1878</v>
      </c>
      <c r="C945" s="1">
        <v>46003</v>
      </c>
      <c r="D945" t="s">
        <v>1879</v>
      </c>
      <c r="E945" s="2">
        <v>197194.8</v>
      </c>
      <c r="G945" s="3">
        <f>MONTH(Tabela1[[#This Row],[Último pagto ano]])</f>
        <v>12</v>
      </c>
      <c r="H945" t="str">
        <f>TEXT(Tabela1[[#This Row],[Coluna2]]*29,"mmmm")</f>
        <v>dezembro</v>
      </c>
      <c r="I945" t="str">
        <f>TEXT(MONTH(Tabela1[[#This Row],[Último pagto ano]])*29,"mmmm")</f>
        <v>dezembro</v>
      </c>
    </row>
    <row r="946" spans="1:9" x14ac:dyDescent="0.25">
      <c r="A946">
        <v>2025</v>
      </c>
      <c r="B946" t="s">
        <v>1880</v>
      </c>
      <c r="C946" s="1">
        <v>45705</v>
      </c>
      <c r="D946" t="s">
        <v>1881</v>
      </c>
      <c r="E946" s="2">
        <v>6430.95</v>
      </c>
      <c r="G946" s="3">
        <f>MONTH(Tabela1[[#This Row],[Último pagto ano]])</f>
        <v>2</v>
      </c>
      <c r="H946" t="str">
        <f>TEXT(Tabela1[[#This Row],[Coluna2]]*29,"mmmm")</f>
        <v>fevereiro</v>
      </c>
      <c r="I946" t="str">
        <f>TEXT(MONTH(Tabela1[[#This Row],[Último pagto ano]])*29,"mmmm")</f>
        <v>fevereiro</v>
      </c>
    </row>
    <row r="947" spans="1:9" x14ac:dyDescent="0.25">
      <c r="A947">
        <v>2025</v>
      </c>
      <c r="B947" t="s">
        <v>1882</v>
      </c>
      <c r="C947" s="1">
        <v>46014</v>
      </c>
      <c r="D947" t="s">
        <v>1883</v>
      </c>
      <c r="E947" s="2">
        <v>675174.53</v>
      </c>
      <c r="G947" s="3">
        <f>MONTH(Tabela1[[#This Row],[Último pagto ano]])</f>
        <v>12</v>
      </c>
      <c r="H947" t="str">
        <f>TEXT(Tabela1[[#This Row],[Coluna2]]*29,"mmmm")</f>
        <v>dezembro</v>
      </c>
      <c r="I947" t="str">
        <f>TEXT(MONTH(Tabela1[[#This Row],[Último pagto ano]])*29,"mmmm")</f>
        <v>dezembro</v>
      </c>
    </row>
    <row r="948" spans="1:9" x14ac:dyDescent="0.25">
      <c r="A948">
        <v>2025</v>
      </c>
      <c r="B948" t="s">
        <v>1884</v>
      </c>
      <c r="C948" s="1">
        <v>46003</v>
      </c>
      <c r="D948" t="s">
        <v>1885</v>
      </c>
      <c r="E948" s="2">
        <v>677367.74</v>
      </c>
      <c r="G948" s="3">
        <f>MONTH(Tabela1[[#This Row],[Último pagto ano]])</f>
        <v>12</v>
      </c>
      <c r="H948" t="str">
        <f>TEXT(Tabela1[[#This Row],[Coluna2]]*29,"mmmm")</f>
        <v>dezembro</v>
      </c>
      <c r="I948" t="str">
        <f>TEXT(MONTH(Tabela1[[#This Row],[Último pagto ano]])*29,"mmmm")</f>
        <v>dezembro</v>
      </c>
    </row>
    <row r="949" spans="1:9" x14ac:dyDescent="0.25">
      <c r="A949">
        <v>2025</v>
      </c>
      <c r="B949" t="s">
        <v>1886</v>
      </c>
      <c r="C949" s="1">
        <v>45975</v>
      </c>
      <c r="D949" t="s">
        <v>1887</v>
      </c>
      <c r="E949" s="2">
        <v>4640</v>
      </c>
      <c r="G949" s="3">
        <f>MONTH(Tabela1[[#This Row],[Último pagto ano]])</f>
        <v>11</v>
      </c>
      <c r="H949" t="str">
        <f>TEXT(Tabela1[[#This Row],[Coluna2]]*29,"mmmm")</f>
        <v>novembro</v>
      </c>
      <c r="I949" t="str">
        <f>TEXT(MONTH(Tabela1[[#This Row],[Último pagto ano]])*29,"mmmm")</f>
        <v>novembro</v>
      </c>
    </row>
    <row r="950" spans="1:9" x14ac:dyDescent="0.25">
      <c r="A950">
        <v>2025</v>
      </c>
      <c r="B950" t="s">
        <v>1888</v>
      </c>
      <c r="C950" s="1">
        <v>46021</v>
      </c>
      <c r="D950" t="s">
        <v>1889</v>
      </c>
      <c r="E950" s="2">
        <v>3132603.9</v>
      </c>
      <c r="G950" s="3">
        <f>MONTH(Tabela1[[#This Row],[Último pagto ano]])</f>
        <v>12</v>
      </c>
      <c r="H950" t="str">
        <f>TEXT(Tabela1[[#This Row],[Coluna2]]*29,"mmmm")</f>
        <v>dezembro</v>
      </c>
      <c r="I950" t="str">
        <f>TEXT(MONTH(Tabela1[[#This Row],[Último pagto ano]])*29,"mmmm")</f>
        <v>dezembro</v>
      </c>
    </row>
    <row r="951" spans="1:9" x14ac:dyDescent="0.25">
      <c r="A951">
        <v>2025</v>
      </c>
      <c r="B951" t="s">
        <v>1890</v>
      </c>
      <c r="C951" s="1">
        <v>46010</v>
      </c>
      <c r="D951" t="s">
        <v>1891</v>
      </c>
      <c r="E951" s="2">
        <v>115154.52</v>
      </c>
      <c r="G951" s="3">
        <f>MONTH(Tabela1[[#This Row],[Último pagto ano]])</f>
        <v>12</v>
      </c>
      <c r="H951" t="str">
        <f>TEXT(Tabela1[[#This Row],[Coluna2]]*29,"mmmm")</f>
        <v>dezembro</v>
      </c>
      <c r="I951" t="str">
        <f>TEXT(MONTH(Tabela1[[#This Row],[Último pagto ano]])*29,"mmmm")</f>
        <v>dezembro</v>
      </c>
    </row>
    <row r="952" spans="1:9" x14ac:dyDescent="0.25">
      <c r="A952">
        <v>2025</v>
      </c>
      <c r="B952" t="s">
        <v>1892</v>
      </c>
      <c r="C952" s="1">
        <v>45999</v>
      </c>
      <c r="D952" t="s">
        <v>1893</v>
      </c>
      <c r="E952" s="2">
        <v>46518.78</v>
      </c>
      <c r="G952" s="3">
        <f>MONTH(Tabela1[[#This Row],[Último pagto ano]])</f>
        <v>12</v>
      </c>
      <c r="H952" t="str">
        <f>TEXT(Tabela1[[#This Row],[Coluna2]]*29,"mmmm")</f>
        <v>dezembro</v>
      </c>
      <c r="I952" t="str">
        <f>TEXT(MONTH(Tabela1[[#This Row],[Último pagto ano]])*29,"mmmm")</f>
        <v>dezembro</v>
      </c>
    </row>
    <row r="953" spans="1:9" x14ac:dyDescent="0.25">
      <c r="A953">
        <v>2025</v>
      </c>
      <c r="B953" t="s">
        <v>1894</v>
      </c>
      <c r="C953" s="1">
        <v>45873</v>
      </c>
      <c r="D953" t="s">
        <v>1895</v>
      </c>
      <c r="E953">
        <v>576.65</v>
      </c>
      <c r="G953" s="3">
        <f>MONTH(Tabela1[[#This Row],[Último pagto ano]])</f>
        <v>8</v>
      </c>
      <c r="H953" t="str">
        <f>TEXT(Tabela1[[#This Row],[Coluna2]]*29,"mmmm")</f>
        <v>agosto</v>
      </c>
      <c r="I953" t="str">
        <f>TEXT(MONTH(Tabela1[[#This Row],[Último pagto ano]])*29,"mmmm")</f>
        <v>agosto</v>
      </c>
    </row>
    <row r="954" spans="1:9" x14ac:dyDescent="0.25">
      <c r="A954">
        <v>2025</v>
      </c>
      <c r="B954" t="s">
        <v>1896</v>
      </c>
      <c r="C954" s="1">
        <v>45677</v>
      </c>
      <c r="D954" t="s">
        <v>1897</v>
      </c>
      <c r="E954" s="2">
        <v>1880</v>
      </c>
      <c r="G954" s="3">
        <f>MONTH(Tabela1[[#This Row],[Último pagto ano]])</f>
        <v>1</v>
      </c>
      <c r="H954" t="str">
        <f>TEXT(Tabela1[[#This Row],[Coluna2]]*29,"mmmm")</f>
        <v>janeiro</v>
      </c>
      <c r="I954" t="str">
        <f>TEXT(MONTH(Tabela1[[#This Row],[Último pagto ano]])*29,"mmmm")</f>
        <v>janeiro</v>
      </c>
    </row>
    <row r="955" spans="1:9" x14ac:dyDescent="0.25">
      <c r="A955">
        <v>2025</v>
      </c>
      <c r="B955" t="s">
        <v>1898</v>
      </c>
      <c r="C955" s="1">
        <v>46014</v>
      </c>
      <c r="D955" t="s">
        <v>1899</v>
      </c>
      <c r="E955" s="2">
        <v>40972.300000000003</v>
      </c>
      <c r="G955" s="3">
        <f>MONTH(Tabela1[[#This Row],[Último pagto ano]])</f>
        <v>12</v>
      </c>
      <c r="H955" t="str">
        <f>TEXT(Tabela1[[#This Row],[Coluna2]]*29,"mmmm")</f>
        <v>dezembro</v>
      </c>
      <c r="I955" t="str">
        <f>TEXT(MONTH(Tabela1[[#This Row],[Último pagto ano]])*29,"mmmm")</f>
        <v>dezembro</v>
      </c>
    </row>
    <row r="956" spans="1:9" x14ac:dyDescent="0.25">
      <c r="A956">
        <v>2025</v>
      </c>
      <c r="B956" t="s">
        <v>1898</v>
      </c>
      <c r="C956" s="1">
        <v>45722</v>
      </c>
      <c r="D956" t="s">
        <v>1900</v>
      </c>
      <c r="E956">
        <v>921</v>
      </c>
      <c r="G956" s="3">
        <f>MONTH(Tabela1[[#This Row],[Último pagto ano]])</f>
        <v>3</v>
      </c>
      <c r="H956" t="str">
        <f>TEXT(Tabela1[[#This Row],[Coluna2]]*29,"mmmm")</f>
        <v>março</v>
      </c>
      <c r="I956" t="str">
        <f>TEXT(MONTH(Tabela1[[#This Row],[Último pagto ano]])*29,"mmmm")</f>
        <v>março</v>
      </c>
    </row>
    <row r="957" spans="1:9" x14ac:dyDescent="0.25">
      <c r="A957">
        <v>2025</v>
      </c>
      <c r="B957" t="s">
        <v>1901</v>
      </c>
      <c r="C957" s="1">
        <v>46001</v>
      </c>
      <c r="D957" t="s">
        <v>1902</v>
      </c>
      <c r="E957" s="2">
        <v>300554.64</v>
      </c>
      <c r="G957" s="3">
        <f>MONTH(Tabela1[[#This Row],[Último pagto ano]])</f>
        <v>12</v>
      </c>
      <c r="H957" t="str">
        <f>TEXT(Tabela1[[#This Row],[Coluna2]]*29,"mmmm")</f>
        <v>dezembro</v>
      </c>
      <c r="I957" t="str">
        <f>TEXT(MONTH(Tabela1[[#This Row],[Último pagto ano]])*29,"mmmm")</f>
        <v>dezembro</v>
      </c>
    </row>
    <row r="958" spans="1:9" x14ac:dyDescent="0.25">
      <c r="A958">
        <v>2025</v>
      </c>
      <c r="B958" t="s">
        <v>1903</v>
      </c>
      <c r="C958" s="1">
        <v>45863</v>
      </c>
      <c r="D958" t="s">
        <v>1904</v>
      </c>
      <c r="E958">
        <v>192.82</v>
      </c>
      <c r="G958" s="3">
        <f>MONTH(Tabela1[[#This Row],[Último pagto ano]])</f>
        <v>7</v>
      </c>
      <c r="H958" t="str">
        <f>TEXT(Tabela1[[#This Row],[Coluna2]]*29,"mmmm")</f>
        <v>julho</v>
      </c>
      <c r="I958" t="str">
        <f>TEXT(MONTH(Tabela1[[#This Row],[Último pagto ano]])*29,"mmmm")</f>
        <v>julho</v>
      </c>
    </row>
    <row r="959" spans="1:9" x14ac:dyDescent="0.25">
      <c r="A959">
        <v>2025</v>
      </c>
      <c r="B959" t="s">
        <v>1905</v>
      </c>
      <c r="C959" s="1">
        <v>45989</v>
      </c>
      <c r="D959" t="s">
        <v>1906</v>
      </c>
      <c r="E959" s="2">
        <v>3202.96</v>
      </c>
      <c r="G959" s="3">
        <f>MONTH(Tabela1[[#This Row],[Último pagto ano]])</f>
        <v>11</v>
      </c>
      <c r="H959" t="str">
        <f>TEXT(Tabela1[[#This Row],[Coluna2]]*29,"mmmm")</f>
        <v>novembro</v>
      </c>
      <c r="I959" t="str">
        <f>TEXT(MONTH(Tabela1[[#This Row],[Último pagto ano]])*29,"mmmm")</f>
        <v>novembro</v>
      </c>
    </row>
    <row r="960" spans="1:9" x14ac:dyDescent="0.25">
      <c r="A960">
        <v>2025</v>
      </c>
      <c r="B960" t="s">
        <v>1907</v>
      </c>
      <c r="C960" s="1">
        <v>46014</v>
      </c>
      <c r="D960" t="s">
        <v>1908</v>
      </c>
      <c r="E960" s="2">
        <v>171760</v>
      </c>
      <c r="G960" s="3">
        <f>MONTH(Tabela1[[#This Row],[Último pagto ano]])</f>
        <v>12</v>
      </c>
      <c r="H960" t="str">
        <f>TEXT(Tabela1[[#This Row],[Coluna2]]*29,"mmmm")</f>
        <v>dezembro</v>
      </c>
      <c r="I960" t="str">
        <f>TEXT(MONTH(Tabela1[[#This Row],[Último pagto ano]])*29,"mmmm")</f>
        <v>dezembro</v>
      </c>
    </row>
    <row r="961" spans="1:9" x14ac:dyDescent="0.25">
      <c r="A961">
        <v>2025</v>
      </c>
      <c r="B961" t="s">
        <v>1909</v>
      </c>
      <c r="C961" s="1">
        <v>45924</v>
      </c>
      <c r="D961" t="s">
        <v>1910</v>
      </c>
      <c r="E961" s="2">
        <v>2113</v>
      </c>
      <c r="G961" s="3">
        <f>MONTH(Tabela1[[#This Row],[Último pagto ano]])</f>
        <v>9</v>
      </c>
      <c r="H961" t="str">
        <f>TEXT(Tabela1[[#This Row],[Coluna2]]*29,"mmmm")</f>
        <v>setembro</v>
      </c>
      <c r="I961" t="str">
        <f>TEXT(MONTH(Tabela1[[#This Row],[Último pagto ano]])*29,"mmmm")</f>
        <v>setembro</v>
      </c>
    </row>
    <row r="962" spans="1:9" x14ac:dyDescent="0.25">
      <c r="A962">
        <v>2025</v>
      </c>
      <c r="B962" t="s">
        <v>1911</v>
      </c>
      <c r="C962" s="1">
        <v>46010</v>
      </c>
      <c r="D962" t="s">
        <v>1912</v>
      </c>
      <c r="E962" s="2">
        <v>28370</v>
      </c>
      <c r="G962" s="3">
        <f>MONTH(Tabela1[[#This Row],[Último pagto ano]])</f>
        <v>12</v>
      </c>
      <c r="H962" t="str">
        <f>TEXT(Tabela1[[#This Row],[Coluna2]]*29,"mmmm")</f>
        <v>dezembro</v>
      </c>
      <c r="I962" t="str">
        <f>TEXT(MONTH(Tabela1[[#This Row],[Último pagto ano]])*29,"mmmm")</f>
        <v>dezembro</v>
      </c>
    </row>
    <row r="963" spans="1:9" x14ac:dyDescent="0.25">
      <c r="A963">
        <v>2025</v>
      </c>
      <c r="B963" t="s">
        <v>1913</v>
      </c>
      <c r="C963" s="1">
        <v>45702</v>
      </c>
      <c r="D963" t="s">
        <v>1914</v>
      </c>
      <c r="E963" s="2">
        <v>1109.01</v>
      </c>
      <c r="G963" s="3">
        <f>MONTH(Tabela1[[#This Row],[Último pagto ano]])</f>
        <v>2</v>
      </c>
      <c r="H963" t="str">
        <f>TEXT(Tabela1[[#This Row],[Coluna2]]*29,"mmmm")</f>
        <v>fevereiro</v>
      </c>
      <c r="I963" t="str">
        <f>TEXT(MONTH(Tabela1[[#This Row],[Último pagto ano]])*29,"mmmm")</f>
        <v>fevereiro</v>
      </c>
    </row>
    <row r="964" spans="1:9" x14ac:dyDescent="0.25">
      <c r="A964">
        <v>2025</v>
      </c>
      <c r="B964" t="s">
        <v>1915</v>
      </c>
      <c r="C964" s="1">
        <v>45964</v>
      </c>
      <c r="D964" t="s">
        <v>1916</v>
      </c>
      <c r="E964">
        <v>230.4</v>
      </c>
      <c r="G964" s="3">
        <f>MONTH(Tabela1[[#This Row],[Último pagto ano]])</f>
        <v>11</v>
      </c>
      <c r="H964" t="str">
        <f>TEXT(Tabela1[[#This Row],[Coluna2]]*29,"mmmm")</f>
        <v>novembro</v>
      </c>
      <c r="I964" t="str">
        <f>TEXT(MONTH(Tabela1[[#This Row],[Último pagto ano]])*29,"mmmm")</f>
        <v>novembro</v>
      </c>
    </row>
    <row r="965" spans="1:9" x14ac:dyDescent="0.25">
      <c r="A965">
        <v>2025</v>
      </c>
      <c r="B965" t="s">
        <v>1917</v>
      </c>
      <c r="C965" s="1">
        <v>45978</v>
      </c>
      <c r="D965" t="s">
        <v>1918</v>
      </c>
      <c r="E965" s="2">
        <v>2420</v>
      </c>
      <c r="G965" s="3">
        <f>MONTH(Tabela1[[#This Row],[Último pagto ano]])</f>
        <v>11</v>
      </c>
      <c r="H965" t="str">
        <f>TEXT(Tabela1[[#This Row],[Coluna2]]*29,"mmmm")</f>
        <v>novembro</v>
      </c>
      <c r="I965" t="str">
        <f>TEXT(MONTH(Tabela1[[#This Row],[Último pagto ano]])*29,"mmmm")</f>
        <v>novembro</v>
      </c>
    </row>
    <row r="966" spans="1:9" x14ac:dyDescent="0.25">
      <c r="A966">
        <v>2025</v>
      </c>
      <c r="B966" t="s">
        <v>1919</v>
      </c>
      <c r="C966" s="1">
        <v>45884</v>
      </c>
      <c r="D966" t="s">
        <v>1920</v>
      </c>
      <c r="E966" s="2">
        <v>8400.7199999999993</v>
      </c>
      <c r="G966" s="3">
        <f>MONTH(Tabela1[[#This Row],[Último pagto ano]])</f>
        <v>8</v>
      </c>
      <c r="H966" t="str">
        <f>TEXT(Tabela1[[#This Row],[Coluna2]]*29,"mmmm")</f>
        <v>agosto</v>
      </c>
      <c r="I966" t="str">
        <f>TEXT(MONTH(Tabela1[[#This Row],[Último pagto ano]])*29,"mmmm")</f>
        <v>agosto</v>
      </c>
    </row>
    <row r="967" spans="1:9" x14ac:dyDescent="0.25">
      <c r="A967">
        <v>2025</v>
      </c>
      <c r="B967" t="s">
        <v>1921</v>
      </c>
      <c r="C967" s="1">
        <v>46014</v>
      </c>
      <c r="D967" t="s">
        <v>1922</v>
      </c>
      <c r="E967">
        <v>11.35</v>
      </c>
      <c r="G967" s="3">
        <f>MONTH(Tabela1[[#This Row],[Último pagto ano]])</f>
        <v>12</v>
      </c>
      <c r="H967" t="str">
        <f>TEXT(Tabela1[[#This Row],[Coluna2]]*29,"mmmm")</f>
        <v>dezembro</v>
      </c>
      <c r="I967" t="str">
        <f>TEXT(MONTH(Tabela1[[#This Row],[Último pagto ano]])*29,"mmmm")</f>
        <v>dezembro</v>
      </c>
    </row>
    <row r="968" spans="1:9" x14ac:dyDescent="0.25">
      <c r="A968">
        <v>2025</v>
      </c>
      <c r="B968" t="s">
        <v>1923</v>
      </c>
      <c r="C968" s="1">
        <v>46021</v>
      </c>
      <c r="D968" t="s">
        <v>1924</v>
      </c>
      <c r="E968" s="2">
        <v>5861.18</v>
      </c>
      <c r="G968" s="3">
        <f>MONTH(Tabela1[[#This Row],[Último pagto ano]])</f>
        <v>12</v>
      </c>
      <c r="H968" t="str">
        <f>TEXT(Tabela1[[#This Row],[Coluna2]]*29,"mmmm")</f>
        <v>dezembro</v>
      </c>
      <c r="I968" t="str">
        <f>TEXT(MONTH(Tabela1[[#This Row],[Último pagto ano]])*29,"mmmm")</f>
        <v>dezembro</v>
      </c>
    </row>
    <row r="969" spans="1:9" x14ac:dyDescent="0.25">
      <c r="A969">
        <v>2025</v>
      </c>
      <c r="B969" t="s">
        <v>1925</v>
      </c>
      <c r="C969" s="1">
        <v>45996</v>
      </c>
      <c r="D969" t="s">
        <v>1926</v>
      </c>
      <c r="E969" s="2">
        <v>9050</v>
      </c>
      <c r="G969" s="3">
        <f>MONTH(Tabela1[[#This Row],[Último pagto ano]])</f>
        <v>12</v>
      </c>
      <c r="H969" t="str">
        <f>TEXT(Tabela1[[#This Row],[Coluna2]]*29,"mmmm")</f>
        <v>dezembro</v>
      </c>
      <c r="I969" t="str">
        <f>TEXT(MONTH(Tabela1[[#This Row],[Último pagto ano]])*29,"mmmm")</f>
        <v>dezembro</v>
      </c>
    </row>
    <row r="970" spans="1:9" x14ac:dyDescent="0.25">
      <c r="A970">
        <v>2025</v>
      </c>
      <c r="B970" t="s">
        <v>1927</v>
      </c>
      <c r="C970" s="1">
        <v>45684</v>
      </c>
      <c r="D970" t="s">
        <v>1928</v>
      </c>
      <c r="E970" s="2">
        <v>2227.3200000000002</v>
      </c>
      <c r="G970" s="3">
        <f>MONTH(Tabela1[[#This Row],[Último pagto ano]])</f>
        <v>1</v>
      </c>
      <c r="H970" t="str">
        <f>TEXT(Tabela1[[#This Row],[Coluna2]]*29,"mmmm")</f>
        <v>janeiro</v>
      </c>
      <c r="I970" t="str">
        <f>TEXT(MONTH(Tabela1[[#This Row],[Último pagto ano]])*29,"mmmm")</f>
        <v>janeiro</v>
      </c>
    </row>
    <row r="971" spans="1:9" x14ac:dyDescent="0.25">
      <c r="A971">
        <v>2025</v>
      </c>
      <c r="B971" t="s">
        <v>1929</v>
      </c>
      <c r="C971" s="1">
        <v>45824</v>
      </c>
      <c r="D971" t="s">
        <v>1930</v>
      </c>
      <c r="E971" s="2">
        <v>3625.28</v>
      </c>
      <c r="G971" s="3">
        <f>MONTH(Tabela1[[#This Row],[Último pagto ano]])</f>
        <v>6</v>
      </c>
      <c r="H971" t="str">
        <f>TEXT(Tabela1[[#This Row],[Coluna2]]*29,"mmmm")</f>
        <v>junho</v>
      </c>
      <c r="I971" t="str">
        <f>TEXT(MONTH(Tabela1[[#This Row],[Último pagto ano]])*29,"mmmm")</f>
        <v>junho</v>
      </c>
    </row>
    <row r="972" spans="1:9" x14ac:dyDescent="0.25">
      <c r="A972">
        <v>2025</v>
      </c>
      <c r="B972" t="s">
        <v>1931</v>
      </c>
      <c r="C972" s="1">
        <v>45705</v>
      </c>
      <c r="D972" t="s">
        <v>1932</v>
      </c>
      <c r="E972" s="2">
        <v>1158.08</v>
      </c>
      <c r="G972" s="3">
        <f>MONTH(Tabela1[[#This Row],[Último pagto ano]])</f>
        <v>2</v>
      </c>
      <c r="H972" t="str">
        <f>TEXT(Tabela1[[#This Row],[Coluna2]]*29,"mmmm")</f>
        <v>fevereiro</v>
      </c>
      <c r="I972" t="str">
        <f>TEXT(MONTH(Tabela1[[#This Row],[Último pagto ano]])*29,"mmmm")</f>
        <v>fevereiro</v>
      </c>
    </row>
    <row r="973" spans="1:9" x14ac:dyDescent="0.25">
      <c r="A973">
        <v>2025</v>
      </c>
      <c r="B973" t="s">
        <v>1933</v>
      </c>
      <c r="C973" s="1">
        <v>45782</v>
      </c>
      <c r="D973" t="s">
        <v>1934</v>
      </c>
      <c r="E973">
        <v>33</v>
      </c>
      <c r="G973" s="3">
        <f>MONTH(Tabela1[[#This Row],[Último pagto ano]])</f>
        <v>5</v>
      </c>
      <c r="H973" t="str">
        <f>TEXT(Tabela1[[#This Row],[Coluna2]]*29,"mmmm")</f>
        <v>maio</v>
      </c>
      <c r="I973" t="str">
        <f>TEXT(MONTH(Tabela1[[#This Row],[Último pagto ano]])*29,"mmmm")</f>
        <v>maio</v>
      </c>
    </row>
    <row r="974" spans="1:9" x14ac:dyDescent="0.25">
      <c r="A974">
        <v>2025</v>
      </c>
      <c r="B974" t="s">
        <v>1935</v>
      </c>
      <c r="C974" s="1">
        <v>45944</v>
      </c>
      <c r="D974" t="s">
        <v>1936</v>
      </c>
      <c r="E974" s="2">
        <v>7000</v>
      </c>
      <c r="G974" s="3">
        <f>MONTH(Tabela1[[#This Row],[Último pagto ano]])</f>
        <v>10</v>
      </c>
      <c r="H974" t="str">
        <f>TEXT(Tabela1[[#This Row],[Coluna2]]*29,"mmmm")</f>
        <v>outubro</v>
      </c>
      <c r="I974" t="str">
        <f>TEXT(MONTH(Tabela1[[#This Row],[Último pagto ano]])*29,"mmmm")</f>
        <v>outubro</v>
      </c>
    </row>
    <row r="975" spans="1:9" x14ac:dyDescent="0.25">
      <c r="A975">
        <v>2025</v>
      </c>
      <c r="B975" t="s">
        <v>1937</v>
      </c>
      <c r="C975" s="1">
        <v>46013</v>
      </c>
      <c r="D975" t="s">
        <v>1938</v>
      </c>
      <c r="E975" s="2">
        <v>3658.08</v>
      </c>
      <c r="G975" s="3">
        <f>MONTH(Tabela1[[#This Row],[Último pagto ano]])</f>
        <v>12</v>
      </c>
      <c r="H975" t="str">
        <f>TEXT(Tabela1[[#This Row],[Coluna2]]*29,"mmmm")</f>
        <v>dezembro</v>
      </c>
      <c r="I975" t="str">
        <f>TEXT(MONTH(Tabela1[[#This Row],[Último pagto ano]])*29,"mmmm")</f>
        <v>dezembro</v>
      </c>
    </row>
    <row r="976" spans="1:9" x14ac:dyDescent="0.25">
      <c r="A976">
        <v>2025</v>
      </c>
      <c r="B976" t="s">
        <v>1939</v>
      </c>
      <c r="C976" s="1">
        <v>46021</v>
      </c>
      <c r="D976" t="s">
        <v>1940</v>
      </c>
      <c r="E976" s="2">
        <v>2966.47</v>
      </c>
      <c r="G976" s="3">
        <f>MONTH(Tabela1[[#This Row],[Último pagto ano]])</f>
        <v>12</v>
      </c>
      <c r="H976" t="str">
        <f>TEXT(Tabela1[[#This Row],[Coluna2]]*29,"mmmm")</f>
        <v>dezembro</v>
      </c>
      <c r="I976" t="str">
        <f>TEXT(MONTH(Tabela1[[#This Row],[Último pagto ano]])*29,"mmmm")</f>
        <v>dezembro</v>
      </c>
    </row>
    <row r="977" spans="1:9" x14ac:dyDescent="0.25">
      <c r="A977">
        <v>2025</v>
      </c>
      <c r="B977" t="s">
        <v>1941</v>
      </c>
      <c r="C977" s="1">
        <v>46014</v>
      </c>
      <c r="D977" t="s">
        <v>1942</v>
      </c>
      <c r="E977" s="2">
        <v>1358371</v>
      </c>
      <c r="G977" s="3">
        <f>MONTH(Tabela1[[#This Row],[Último pagto ano]])</f>
        <v>12</v>
      </c>
      <c r="H977" t="str">
        <f>TEXT(Tabela1[[#This Row],[Coluna2]]*29,"mmmm")</f>
        <v>dezembro</v>
      </c>
      <c r="I977" t="str">
        <f>TEXT(MONTH(Tabela1[[#This Row],[Último pagto ano]])*29,"mmmm")</f>
        <v>dezembro</v>
      </c>
    </row>
    <row r="978" spans="1:9" x14ac:dyDescent="0.25">
      <c r="A978">
        <v>2025</v>
      </c>
      <c r="B978" t="s">
        <v>1943</v>
      </c>
      <c r="C978" s="1">
        <v>45751</v>
      </c>
      <c r="D978" t="s">
        <v>1944</v>
      </c>
      <c r="E978" s="2">
        <v>24974.400000000001</v>
      </c>
      <c r="G978" s="3">
        <f>MONTH(Tabela1[[#This Row],[Último pagto ano]])</f>
        <v>4</v>
      </c>
      <c r="H978" t="str">
        <f>TEXT(Tabela1[[#This Row],[Coluna2]]*29,"mmmm")</f>
        <v>abril</v>
      </c>
      <c r="I978" t="str">
        <f>TEXT(MONTH(Tabela1[[#This Row],[Último pagto ano]])*29,"mmmm")</f>
        <v>abril</v>
      </c>
    </row>
    <row r="979" spans="1:9" x14ac:dyDescent="0.25">
      <c r="A979">
        <v>2025</v>
      </c>
      <c r="B979" t="s">
        <v>1945</v>
      </c>
      <c r="C979" s="1">
        <v>45912</v>
      </c>
      <c r="D979" t="s">
        <v>1946</v>
      </c>
      <c r="E979" s="2">
        <v>6940</v>
      </c>
      <c r="G979" s="3">
        <f>MONTH(Tabela1[[#This Row],[Último pagto ano]])</f>
        <v>9</v>
      </c>
      <c r="H979" t="str">
        <f>TEXT(Tabela1[[#This Row],[Coluna2]]*29,"mmmm")</f>
        <v>setembro</v>
      </c>
      <c r="I979" t="str">
        <f>TEXT(MONTH(Tabela1[[#This Row],[Último pagto ano]])*29,"mmmm")</f>
        <v>setembro</v>
      </c>
    </row>
    <row r="980" spans="1:9" x14ac:dyDescent="0.25">
      <c r="A980">
        <v>2025</v>
      </c>
      <c r="B980" t="s">
        <v>1947</v>
      </c>
      <c r="C980" s="1">
        <v>45761</v>
      </c>
      <c r="D980" t="s">
        <v>1948</v>
      </c>
      <c r="E980" s="2">
        <v>1253.1199999999999</v>
      </c>
      <c r="G980" s="3">
        <f>MONTH(Tabela1[[#This Row],[Último pagto ano]])</f>
        <v>4</v>
      </c>
      <c r="H980" t="str">
        <f>TEXT(Tabela1[[#This Row],[Coluna2]]*29,"mmmm")</f>
        <v>abril</v>
      </c>
      <c r="I980" t="str">
        <f>TEXT(MONTH(Tabela1[[#This Row],[Último pagto ano]])*29,"mmmm")</f>
        <v>abril</v>
      </c>
    </row>
    <row r="981" spans="1:9" x14ac:dyDescent="0.25">
      <c r="A981">
        <v>2025</v>
      </c>
      <c r="B981" t="s">
        <v>1949</v>
      </c>
      <c r="C981" s="1">
        <v>45975</v>
      </c>
      <c r="D981" t="s">
        <v>1950</v>
      </c>
      <c r="E981" s="2">
        <v>207325.8</v>
      </c>
      <c r="G981" s="3">
        <f>MONTH(Tabela1[[#This Row],[Último pagto ano]])</f>
        <v>11</v>
      </c>
      <c r="H981" t="str">
        <f>TEXT(Tabela1[[#This Row],[Coluna2]]*29,"mmmm")</f>
        <v>novembro</v>
      </c>
      <c r="I981" t="str">
        <f>TEXT(MONTH(Tabela1[[#This Row],[Último pagto ano]])*29,"mmmm")</f>
        <v>novembro</v>
      </c>
    </row>
    <row r="982" spans="1:9" x14ac:dyDescent="0.25">
      <c r="A982">
        <v>2025</v>
      </c>
      <c r="B982" t="s">
        <v>1951</v>
      </c>
      <c r="C982" s="1">
        <v>45670</v>
      </c>
      <c r="D982" t="s">
        <v>1952</v>
      </c>
      <c r="E982">
        <v>673.84</v>
      </c>
      <c r="G982" s="3">
        <f>MONTH(Tabela1[[#This Row],[Último pagto ano]])</f>
        <v>1</v>
      </c>
      <c r="H982" t="str">
        <f>TEXT(Tabela1[[#This Row],[Coluna2]]*29,"mmmm")</f>
        <v>janeiro</v>
      </c>
      <c r="I982" t="str">
        <f>TEXT(MONTH(Tabela1[[#This Row],[Último pagto ano]])*29,"mmmm")</f>
        <v>janeiro</v>
      </c>
    </row>
    <row r="983" spans="1:9" x14ac:dyDescent="0.25">
      <c r="A983">
        <v>2025</v>
      </c>
      <c r="B983" t="s">
        <v>1953</v>
      </c>
      <c r="C983" s="1">
        <v>46006</v>
      </c>
      <c r="D983" t="s">
        <v>1954</v>
      </c>
      <c r="E983">
        <v>264</v>
      </c>
      <c r="G983" s="3">
        <f>MONTH(Tabela1[[#This Row],[Último pagto ano]])</f>
        <v>12</v>
      </c>
      <c r="H983" t="str">
        <f>TEXT(Tabela1[[#This Row],[Coluna2]]*29,"mmmm")</f>
        <v>dezembro</v>
      </c>
      <c r="I983" t="str">
        <f>TEXT(MONTH(Tabela1[[#This Row],[Último pagto ano]])*29,"mmmm")</f>
        <v>dezembro</v>
      </c>
    </row>
    <row r="984" spans="1:9" x14ac:dyDescent="0.25">
      <c r="A984">
        <v>2025</v>
      </c>
      <c r="B984" t="s">
        <v>1955</v>
      </c>
      <c r="C984" s="1">
        <v>45971</v>
      </c>
      <c r="D984" t="s">
        <v>1956</v>
      </c>
      <c r="E984" s="2">
        <v>68945.009999999995</v>
      </c>
      <c r="G984" s="3">
        <f>MONTH(Tabela1[[#This Row],[Último pagto ano]])</f>
        <v>11</v>
      </c>
      <c r="H984" t="str">
        <f>TEXT(Tabela1[[#This Row],[Coluna2]]*29,"mmmm")</f>
        <v>novembro</v>
      </c>
      <c r="I984" t="str">
        <f>TEXT(MONTH(Tabela1[[#This Row],[Último pagto ano]])*29,"mmmm")</f>
        <v>novembro</v>
      </c>
    </row>
    <row r="985" spans="1:9" x14ac:dyDescent="0.25">
      <c r="A985">
        <v>2025</v>
      </c>
      <c r="B985" t="s">
        <v>1957</v>
      </c>
      <c r="C985" s="1">
        <v>45995</v>
      </c>
      <c r="D985" t="s">
        <v>1958</v>
      </c>
      <c r="E985" s="2">
        <v>25560</v>
      </c>
      <c r="G985" s="3">
        <f>MONTH(Tabela1[[#This Row],[Último pagto ano]])</f>
        <v>12</v>
      </c>
      <c r="H985" t="str">
        <f>TEXT(Tabela1[[#This Row],[Coluna2]]*29,"mmmm")</f>
        <v>dezembro</v>
      </c>
      <c r="I985" t="str">
        <f>TEXT(MONTH(Tabela1[[#This Row],[Último pagto ano]])*29,"mmmm")</f>
        <v>dezembro</v>
      </c>
    </row>
    <row r="986" spans="1:9" x14ac:dyDescent="0.25">
      <c r="A986">
        <v>2025</v>
      </c>
      <c r="B986" t="s">
        <v>1959</v>
      </c>
      <c r="C986" s="1">
        <v>46014</v>
      </c>
      <c r="D986" t="s">
        <v>1960</v>
      </c>
      <c r="E986" s="2">
        <v>105495</v>
      </c>
      <c r="G986" s="3">
        <f>MONTH(Tabela1[[#This Row],[Último pagto ano]])</f>
        <v>12</v>
      </c>
      <c r="H986" t="str">
        <f>TEXT(Tabela1[[#This Row],[Coluna2]]*29,"mmmm")</f>
        <v>dezembro</v>
      </c>
      <c r="I986" t="str">
        <f>TEXT(MONTH(Tabela1[[#This Row],[Último pagto ano]])*29,"mmmm")</f>
        <v>dezembro</v>
      </c>
    </row>
    <row r="987" spans="1:9" x14ac:dyDescent="0.25">
      <c r="A987">
        <v>2025</v>
      </c>
      <c r="B987" t="s">
        <v>1961</v>
      </c>
      <c r="C987" s="1">
        <v>46002</v>
      </c>
      <c r="D987" t="s">
        <v>1962</v>
      </c>
      <c r="E987">
        <v>104.13</v>
      </c>
      <c r="G987" s="3">
        <f>MONTH(Tabela1[[#This Row],[Último pagto ano]])</f>
        <v>12</v>
      </c>
      <c r="H987" t="str">
        <f>TEXT(Tabela1[[#This Row],[Coluna2]]*29,"mmmm")</f>
        <v>dezembro</v>
      </c>
      <c r="I987" t="str">
        <f>TEXT(MONTH(Tabela1[[#This Row],[Último pagto ano]])*29,"mmmm")</f>
        <v>dezembro</v>
      </c>
    </row>
    <row r="988" spans="1:9" x14ac:dyDescent="0.25">
      <c r="A988">
        <v>2025</v>
      </c>
      <c r="B988" t="s">
        <v>1963</v>
      </c>
      <c r="C988" s="1">
        <v>45980</v>
      </c>
      <c r="D988" t="s">
        <v>1964</v>
      </c>
      <c r="E988" s="2">
        <v>7755</v>
      </c>
      <c r="G988" s="3">
        <f>MONTH(Tabela1[[#This Row],[Último pagto ano]])</f>
        <v>11</v>
      </c>
      <c r="H988" t="str">
        <f>TEXT(Tabela1[[#This Row],[Coluna2]]*29,"mmmm")</f>
        <v>novembro</v>
      </c>
      <c r="I988" t="str">
        <f>TEXT(MONTH(Tabela1[[#This Row],[Último pagto ano]])*29,"mmmm")</f>
        <v>novembro</v>
      </c>
    </row>
    <row r="989" spans="1:9" x14ac:dyDescent="0.25">
      <c r="A989">
        <v>2025</v>
      </c>
      <c r="B989" t="s">
        <v>1965</v>
      </c>
      <c r="C989" s="1">
        <v>46003</v>
      </c>
      <c r="D989" t="s">
        <v>1966</v>
      </c>
      <c r="E989" s="2">
        <v>50400</v>
      </c>
      <c r="G989" s="3">
        <f>MONTH(Tabela1[[#This Row],[Último pagto ano]])</f>
        <v>12</v>
      </c>
      <c r="H989" t="str">
        <f>TEXT(Tabela1[[#This Row],[Coluna2]]*29,"mmmm")</f>
        <v>dezembro</v>
      </c>
      <c r="I989" t="str">
        <f>TEXT(MONTH(Tabela1[[#This Row],[Último pagto ano]])*29,"mmmm")</f>
        <v>dezembro</v>
      </c>
    </row>
    <row r="990" spans="1:9" x14ac:dyDescent="0.25">
      <c r="A990">
        <v>2025</v>
      </c>
      <c r="B990" t="s">
        <v>1967</v>
      </c>
      <c r="C990" s="1">
        <v>45733</v>
      </c>
      <c r="D990" t="s">
        <v>1968</v>
      </c>
      <c r="E990">
        <v>861.92</v>
      </c>
      <c r="G990" s="3">
        <f>MONTH(Tabela1[[#This Row],[Último pagto ano]])</f>
        <v>3</v>
      </c>
      <c r="H990" t="str">
        <f>TEXT(Tabela1[[#This Row],[Coluna2]]*29,"mmmm")</f>
        <v>março</v>
      </c>
      <c r="I990" t="str">
        <f>TEXT(MONTH(Tabela1[[#This Row],[Último pagto ano]])*29,"mmmm")</f>
        <v>março</v>
      </c>
    </row>
    <row r="991" spans="1:9" x14ac:dyDescent="0.25">
      <c r="A991">
        <v>2025</v>
      </c>
      <c r="B991" t="s">
        <v>1969</v>
      </c>
      <c r="C991" s="1">
        <v>46021</v>
      </c>
      <c r="D991" t="s">
        <v>1970</v>
      </c>
      <c r="E991" s="2">
        <v>776705.34</v>
      </c>
      <c r="G991" s="3">
        <f>MONTH(Tabela1[[#This Row],[Último pagto ano]])</f>
        <v>12</v>
      </c>
      <c r="H991" t="str">
        <f>TEXT(Tabela1[[#This Row],[Coluna2]]*29,"mmmm")</f>
        <v>dezembro</v>
      </c>
      <c r="I991" t="str">
        <f>TEXT(MONTH(Tabela1[[#This Row],[Último pagto ano]])*29,"mmmm")</f>
        <v>dezembro</v>
      </c>
    </row>
    <row r="992" spans="1:9" x14ac:dyDescent="0.25">
      <c r="A992">
        <v>2025</v>
      </c>
      <c r="B992" t="s">
        <v>1971</v>
      </c>
      <c r="C992" s="1">
        <v>46010</v>
      </c>
      <c r="D992" t="s">
        <v>1972</v>
      </c>
      <c r="E992" s="2">
        <v>104137.60000000001</v>
      </c>
      <c r="G992" s="3">
        <f>MONTH(Tabela1[[#This Row],[Último pagto ano]])</f>
        <v>12</v>
      </c>
      <c r="H992" t="str">
        <f>TEXT(Tabela1[[#This Row],[Coluna2]]*29,"mmmm")</f>
        <v>dezembro</v>
      </c>
      <c r="I992" t="str">
        <f>TEXT(MONTH(Tabela1[[#This Row],[Último pagto ano]])*29,"mmmm")</f>
        <v>dezembro</v>
      </c>
    </row>
    <row r="993" spans="1:9" x14ac:dyDescent="0.25">
      <c r="A993">
        <v>2025</v>
      </c>
      <c r="B993" t="s">
        <v>1973</v>
      </c>
      <c r="C993" s="1">
        <v>45769</v>
      </c>
      <c r="D993" t="s">
        <v>1974</v>
      </c>
      <c r="E993">
        <v>33</v>
      </c>
      <c r="G993" s="3">
        <f>MONTH(Tabela1[[#This Row],[Último pagto ano]])</f>
        <v>4</v>
      </c>
      <c r="H993" t="str">
        <f>TEXT(Tabela1[[#This Row],[Coluna2]]*29,"mmmm")</f>
        <v>abril</v>
      </c>
      <c r="I993" t="str">
        <f>TEXT(MONTH(Tabela1[[#This Row],[Último pagto ano]])*29,"mmmm")</f>
        <v>abril</v>
      </c>
    </row>
    <row r="994" spans="1:9" x14ac:dyDescent="0.25">
      <c r="A994">
        <v>2025</v>
      </c>
      <c r="B994" t="s">
        <v>1975</v>
      </c>
      <c r="C994" s="1">
        <v>45968</v>
      </c>
      <c r="D994" t="s">
        <v>1976</v>
      </c>
      <c r="E994" s="2">
        <v>24542.240000000002</v>
      </c>
      <c r="G994" s="3">
        <f>MONTH(Tabela1[[#This Row],[Último pagto ano]])</f>
        <v>11</v>
      </c>
      <c r="H994" t="str">
        <f>TEXT(Tabela1[[#This Row],[Coluna2]]*29,"mmmm")</f>
        <v>novembro</v>
      </c>
      <c r="I994" t="str">
        <f>TEXT(MONTH(Tabela1[[#This Row],[Último pagto ano]])*29,"mmmm")</f>
        <v>novembro</v>
      </c>
    </row>
    <row r="995" spans="1:9" x14ac:dyDescent="0.25">
      <c r="A995">
        <v>2025</v>
      </c>
      <c r="B995" t="s">
        <v>1977</v>
      </c>
      <c r="C995" s="1">
        <v>45996</v>
      </c>
      <c r="D995" t="s">
        <v>1978</v>
      </c>
      <c r="E995" s="2">
        <v>1790</v>
      </c>
      <c r="G995" s="3">
        <f>MONTH(Tabela1[[#This Row],[Último pagto ano]])</f>
        <v>12</v>
      </c>
      <c r="H995" t="str">
        <f>TEXT(Tabela1[[#This Row],[Coluna2]]*29,"mmmm")</f>
        <v>dezembro</v>
      </c>
      <c r="I995" t="str">
        <f>TEXT(MONTH(Tabela1[[#This Row],[Último pagto ano]])*29,"mmmm")</f>
        <v>dezembro</v>
      </c>
    </row>
    <row r="996" spans="1:9" x14ac:dyDescent="0.25">
      <c r="A996">
        <v>2025</v>
      </c>
      <c r="B996" t="s">
        <v>1979</v>
      </c>
      <c r="C996" s="1">
        <v>46014</v>
      </c>
      <c r="D996" t="s">
        <v>1980</v>
      </c>
      <c r="E996" s="2">
        <v>125187.54</v>
      </c>
      <c r="G996" s="3">
        <f>MONTH(Tabela1[[#This Row],[Último pagto ano]])</f>
        <v>12</v>
      </c>
      <c r="H996" t="str">
        <f>TEXT(Tabela1[[#This Row],[Coluna2]]*29,"mmmm")</f>
        <v>dezembro</v>
      </c>
      <c r="I996" t="str">
        <f>TEXT(MONTH(Tabela1[[#This Row],[Último pagto ano]])*29,"mmmm")</f>
        <v>dezembro</v>
      </c>
    </row>
    <row r="997" spans="1:9" x14ac:dyDescent="0.25">
      <c r="A997">
        <v>2025</v>
      </c>
      <c r="B997" t="s">
        <v>1981</v>
      </c>
      <c r="C997" s="1">
        <v>45812</v>
      </c>
      <c r="D997" t="s">
        <v>1982</v>
      </c>
      <c r="E997" s="2">
        <v>6800</v>
      </c>
      <c r="G997" s="3">
        <f>MONTH(Tabela1[[#This Row],[Último pagto ano]])</f>
        <v>6</v>
      </c>
      <c r="H997" t="str">
        <f>TEXT(Tabela1[[#This Row],[Coluna2]]*29,"mmmm")</f>
        <v>junho</v>
      </c>
      <c r="I997" t="str">
        <f>TEXT(MONTH(Tabela1[[#This Row],[Último pagto ano]])*29,"mmmm")</f>
        <v>junho</v>
      </c>
    </row>
    <row r="998" spans="1:9" x14ac:dyDescent="0.25">
      <c r="A998">
        <v>2025</v>
      </c>
      <c r="B998" t="s">
        <v>1983</v>
      </c>
      <c r="C998" s="1">
        <v>45966</v>
      </c>
      <c r="D998" t="s">
        <v>1984</v>
      </c>
      <c r="E998" s="2">
        <v>1140</v>
      </c>
      <c r="G998" s="3">
        <f>MONTH(Tabela1[[#This Row],[Último pagto ano]])</f>
        <v>11</v>
      </c>
      <c r="H998" t="str">
        <f>TEXT(Tabela1[[#This Row],[Coluna2]]*29,"mmmm")</f>
        <v>novembro</v>
      </c>
      <c r="I998" t="str">
        <f>TEXT(MONTH(Tabela1[[#This Row],[Último pagto ano]])*29,"mmmm")</f>
        <v>novembro</v>
      </c>
    </row>
    <row r="999" spans="1:9" x14ac:dyDescent="0.25">
      <c r="A999">
        <v>2025</v>
      </c>
      <c r="B999" t="s">
        <v>1985</v>
      </c>
      <c r="C999" s="1">
        <v>45993</v>
      </c>
      <c r="D999" t="s">
        <v>1986</v>
      </c>
      <c r="E999" s="2">
        <v>5996</v>
      </c>
      <c r="G999" s="3">
        <f>MONTH(Tabela1[[#This Row],[Último pagto ano]])</f>
        <v>12</v>
      </c>
      <c r="H999" t="str">
        <f>TEXT(Tabela1[[#This Row],[Coluna2]]*29,"mmmm")</f>
        <v>dezembro</v>
      </c>
      <c r="I999" t="str">
        <f>TEXT(MONTH(Tabela1[[#This Row],[Último pagto ano]])*29,"mmmm")</f>
        <v>dezembro</v>
      </c>
    </row>
    <row r="1000" spans="1:9" x14ac:dyDescent="0.25">
      <c r="A1000">
        <v>2025</v>
      </c>
      <c r="B1000" t="s">
        <v>1987</v>
      </c>
      <c r="C1000" s="1">
        <v>45971</v>
      </c>
      <c r="D1000" t="s">
        <v>1988</v>
      </c>
      <c r="E1000" s="2">
        <v>27950</v>
      </c>
      <c r="G1000" s="3">
        <f>MONTH(Tabela1[[#This Row],[Último pagto ano]])</f>
        <v>11</v>
      </c>
      <c r="H1000" t="str">
        <f>TEXT(Tabela1[[#This Row],[Coluna2]]*29,"mmmm")</f>
        <v>novembro</v>
      </c>
      <c r="I1000" t="str">
        <f>TEXT(MONTH(Tabela1[[#This Row],[Último pagto ano]])*29,"mmmm")</f>
        <v>novembro</v>
      </c>
    </row>
    <row r="1001" spans="1:9" x14ac:dyDescent="0.25">
      <c r="A1001">
        <v>2025</v>
      </c>
      <c r="B1001" t="s">
        <v>1989</v>
      </c>
      <c r="C1001" s="1">
        <v>46021</v>
      </c>
      <c r="D1001" t="s">
        <v>1990</v>
      </c>
      <c r="E1001" s="2">
        <v>5174943.55</v>
      </c>
      <c r="G1001" s="3">
        <f>MONTH(Tabela1[[#This Row],[Último pagto ano]])</f>
        <v>12</v>
      </c>
      <c r="H1001" t="str">
        <f>TEXT(Tabela1[[#This Row],[Coluna2]]*29,"mmmm")</f>
        <v>dezembro</v>
      </c>
      <c r="I1001" t="str">
        <f>TEXT(MONTH(Tabela1[[#This Row],[Último pagto ano]])*29,"mmmm")</f>
        <v>dezembro</v>
      </c>
    </row>
    <row r="1002" spans="1:9" x14ac:dyDescent="0.25">
      <c r="A1002">
        <v>2025</v>
      </c>
      <c r="B1002" t="s">
        <v>1991</v>
      </c>
      <c r="C1002" s="1">
        <v>46014</v>
      </c>
      <c r="D1002" t="s">
        <v>1992</v>
      </c>
      <c r="E1002" s="2">
        <v>7980</v>
      </c>
      <c r="G1002" s="3">
        <f>MONTH(Tabela1[[#This Row],[Último pagto ano]])</f>
        <v>12</v>
      </c>
      <c r="H1002" t="str">
        <f>TEXT(Tabela1[[#This Row],[Coluna2]]*29,"mmmm")</f>
        <v>dezembro</v>
      </c>
      <c r="I1002" t="str">
        <f>TEXT(MONTH(Tabela1[[#This Row],[Último pagto ano]])*29,"mmmm")</f>
        <v>dezembro</v>
      </c>
    </row>
    <row r="1003" spans="1:9" x14ac:dyDescent="0.25">
      <c r="A1003">
        <v>2025</v>
      </c>
      <c r="B1003" t="s">
        <v>1993</v>
      </c>
      <c r="C1003" s="1">
        <v>46006</v>
      </c>
      <c r="D1003" t="s">
        <v>1994</v>
      </c>
      <c r="E1003" s="2">
        <v>203124.7</v>
      </c>
      <c r="G1003" s="3">
        <f>MONTH(Tabela1[[#This Row],[Último pagto ano]])</f>
        <v>12</v>
      </c>
      <c r="H1003" t="str">
        <f>TEXT(Tabela1[[#This Row],[Coluna2]]*29,"mmmm")</f>
        <v>dezembro</v>
      </c>
      <c r="I1003" t="str">
        <f>TEXT(MONTH(Tabela1[[#This Row],[Último pagto ano]])*29,"mmmm")</f>
        <v>dezembro</v>
      </c>
    </row>
    <row r="1004" spans="1:9" x14ac:dyDescent="0.25">
      <c r="A1004">
        <v>2025</v>
      </c>
      <c r="B1004" t="s">
        <v>1995</v>
      </c>
      <c r="C1004" s="1">
        <v>46006</v>
      </c>
      <c r="D1004" t="s">
        <v>1996</v>
      </c>
      <c r="E1004" s="2">
        <v>60989.16</v>
      </c>
      <c r="G1004" s="3">
        <f>MONTH(Tabela1[[#This Row],[Último pagto ano]])</f>
        <v>12</v>
      </c>
      <c r="H1004" t="str">
        <f>TEXT(Tabela1[[#This Row],[Coluna2]]*29,"mmmm")</f>
        <v>dezembro</v>
      </c>
      <c r="I1004" t="str">
        <f>TEXT(MONTH(Tabela1[[#This Row],[Último pagto ano]])*29,"mmmm")</f>
        <v>dezembro</v>
      </c>
    </row>
    <row r="1005" spans="1:9" x14ac:dyDescent="0.25">
      <c r="A1005">
        <v>2025</v>
      </c>
      <c r="B1005" t="s">
        <v>1997</v>
      </c>
      <c r="C1005" s="1">
        <v>46021</v>
      </c>
      <c r="D1005" t="s">
        <v>1998</v>
      </c>
      <c r="E1005" s="2">
        <v>19718891.07</v>
      </c>
      <c r="G1005" s="3">
        <f>MONTH(Tabela1[[#This Row],[Último pagto ano]])</f>
        <v>12</v>
      </c>
      <c r="H1005" t="str">
        <f>TEXT(Tabela1[[#This Row],[Coluna2]]*29,"mmmm")</f>
        <v>dezembro</v>
      </c>
      <c r="I1005" t="str">
        <f>TEXT(MONTH(Tabela1[[#This Row],[Último pagto ano]])*29,"mmmm")</f>
        <v>dezembro</v>
      </c>
    </row>
    <row r="1006" spans="1:9" x14ac:dyDescent="0.25">
      <c r="A1006">
        <v>2025</v>
      </c>
      <c r="B1006" t="s">
        <v>1997</v>
      </c>
      <c r="C1006" s="1">
        <v>45995</v>
      </c>
      <c r="D1006" t="s">
        <v>1999</v>
      </c>
      <c r="E1006" s="2">
        <v>911168.82</v>
      </c>
      <c r="G1006" s="3">
        <f>MONTH(Tabela1[[#This Row],[Último pagto ano]])</f>
        <v>12</v>
      </c>
      <c r="H1006" t="str">
        <f>TEXT(Tabela1[[#This Row],[Coluna2]]*29,"mmmm")</f>
        <v>dezembro</v>
      </c>
      <c r="I1006" t="str">
        <f>TEXT(MONTH(Tabela1[[#This Row],[Último pagto ano]])*29,"mmmm")</f>
        <v>dezembro</v>
      </c>
    </row>
    <row r="1007" spans="1:9" x14ac:dyDescent="0.25">
      <c r="A1007">
        <v>2025</v>
      </c>
      <c r="B1007" t="s">
        <v>2000</v>
      </c>
      <c r="C1007" s="1">
        <v>45883</v>
      </c>
      <c r="D1007" t="s">
        <v>2001</v>
      </c>
      <c r="E1007" s="2">
        <v>45995536.469999999</v>
      </c>
      <c r="G1007" s="3">
        <f>MONTH(Tabela1[[#This Row],[Último pagto ano]])</f>
        <v>8</v>
      </c>
      <c r="H1007" t="str">
        <f>TEXT(Tabela1[[#This Row],[Coluna2]]*29,"mmmm")</f>
        <v>agosto</v>
      </c>
      <c r="I1007" t="str">
        <f>TEXT(MONTH(Tabela1[[#This Row],[Último pagto ano]])*29,"mmmm")</f>
        <v>agosto</v>
      </c>
    </row>
    <row r="1008" spans="1:9" x14ac:dyDescent="0.25">
      <c r="A1008">
        <v>2025</v>
      </c>
      <c r="B1008" t="s">
        <v>2002</v>
      </c>
      <c r="C1008" s="1">
        <v>46006</v>
      </c>
      <c r="D1008" t="s">
        <v>2003</v>
      </c>
      <c r="E1008" s="2">
        <v>506032.52</v>
      </c>
      <c r="G1008" s="3">
        <f>MONTH(Tabela1[[#This Row],[Último pagto ano]])</f>
        <v>12</v>
      </c>
      <c r="H1008" t="str">
        <f>TEXT(Tabela1[[#This Row],[Coluna2]]*29,"mmmm")</f>
        <v>dezembro</v>
      </c>
      <c r="I1008" t="str">
        <f>TEXT(MONTH(Tabela1[[#This Row],[Último pagto ano]])*29,"mmmm")</f>
        <v>dezembro</v>
      </c>
    </row>
    <row r="1009" spans="1:9" x14ac:dyDescent="0.25">
      <c r="A1009">
        <v>2025</v>
      </c>
      <c r="B1009" t="s">
        <v>2004</v>
      </c>
      <c r="C1009" s="1">
        <v>46006</v>
      </c>
      <c r="D1009" t="s">
        <v>2005</v>
      </c>
      <c r="E1009" s="2">
        <v>264978.76</v>
      </c>
      <c r="G1009" s="3">
        <f>MONTH(Tabela1[[#This Row],[Último pagto ano]])</f>
        <v>12</v>
      </c>
      <c r="H1009" t="str">
        <f>TEXT(Tabela1[[#This Row],[Coluna2]]*29,"mmmm")</f>
        <v>dezembro</v>
      </c>
      <c r="I1009" t="str">
        <f>TEXT(MONTH(Tabela1[[#This Row],[Último pagto ano]])*29,"mmmm")</f>
        <v>dezembro</v>
      </c>
    </row>
    <row r="1010" spans="1:9" x14ac:dyDescent="0.25">
      <c r="A1010">
        <v>2025</v>
      </c>
      <c r="B1010" t="s">
        <v>2006</v>
      </c>
      <c r="C1010" s="1">
        <v>45884</v>
      </c>
      <c r="D1010" t="s">
        <v>2007</v>
      </c>
      <c r="E1010" s="2">
        <v>8000</v>
      </c>
      <c r="G1010" s="3">
        <f>MONTH(Tabela1[[#This Row],[Último pagto ano]])</f>
        <v>8</v>
      </c>
      <c r="H1010" t="str">
        <f>TEXT(Tabela1[[#This Row],[Coluna2]]*29,"mmmm")</f>
        <v>agosto</v>
      </c>
      <c r="I1010" t="str">
        <f>TEXT(MONTH(Tabela1[[#This Row],[Último pagto ano]])*29,"mmmm")</f>
        <v>agosto</v>
      </c>
    </row>
    <row r="1011" spans="1:9" x14ac:dyDescent="0.25">
      <c r="A1011">
        <v>2025</v>
      </c>
      <c r="B1011" t="s">
        <v>2008</v>
      </c>
      <c r="C1011" s="1">
        <v>45782</v>
      </c>
      <c r="D1011" t="s">
        <v>2009</v>
      </c>
      <c r="E1011">
        <v>77.09</v>
      </c>
      <c r="G1011" s="3">
        <f>MONTH(Tabela1[[#This Row],[Último pagto ano]])</f>
        <v>5</v>
      </c>
      <c r="H1011" t="str">
        <f>TEXT(Tabela1[[#This Row],[Coluna2]]*29,"mmmm")</f>
        <v>maio</v>
      </c>
      <c r="I1011" t="str">
        <f>TEXT(MONTH(Tabela1[[#This Row],[Último pagto ano]])*29,"mmmm")</f>
        <v>maio</v>
      </c>
    </row>
    <row r="1012" spans="1:9" x14ac:dyDescent="0.25">
      <c r="A1012">
        <v>2025</v>
      </c>
      <c r="B1012" t="s">
        <v>2010</v>
      </c>
      <c r="C1012" s="1">
        <v>45876</v>
      </c>
      <c r="D1012" t="s">
        <v>2011</v>
      </c>
      <c r="E1012" s="2">
        <v>10000</v>
      </c>
      <c r="G1012" s="3">
        <f>MONTH(Tabela1[[#This Row],[Último pagto ano]])</f>
        <v>8</v>
      </c>
      <c r="H1012" t="str">
        <f>TEXT(Tabela1[[#This Row],[Coluna2]]*29,"mmmm")</f>
        <v>agosto</v>
      </c>
      <c r="I1012" t="str">
        <f>TEXT(MONTH(Tabela1[[#This Row],[Último pagto ano]])*29,"mmmm")</f>
        <v>agosto</v>
      </c>
    </row>
    <row r="1013" spans="1:9" x14ac:dyDescent="0.25">
      <c r="A1013">
        <v>2025</v>
      </c>
      <c r="B1013" t="s">
        <v>2012</v>
      </c>
      <c r="C1013" s="1">
        <v>46010</v>
      </c>
      <c r="D1013" t="s">
        <v>2013</v>
      </c>
      <c r="E1013" s="2">
        <v>6300</v>
      </c>
      <c r="G1013" s="3">
        <f>MONTH(Tabela1[[#This Row],[Último pagto ano]])</f>
        <v>12</v>
      </c>
      <c r="H1013" t="str">
        <f>TEXT(Tabela1[[#This Row],[Coluna2]]*29,"mmmm")</f>
        <v>dezembro</v>
      </c>
      <c r="I1013" t="str">
        <f>TEXT(MONTH(Tabela1[[#This Row],[Último pagto ano]])*29,"mmmm")</f>
        <v>dezembro</v>
      </c>
    </row>
    <row r="1014" spans="1:9" x14ac:dyDescent="0.25">
      <c r="A1014">
        <v>2025</v>
      </c>
      <c r="B1014" t="s">
        <v>2014</v>
      </c>
      <c r="C1014" s="1">
        <v>45702</v>
      </c>
      <c r="D1014" t="s">
        <v>2015</v>
      </c>
      <c r="E1014">
        <v>289.69</v>
      </c>
      <c r="G1014" s="3">
        <f>MONTH(Tabela1[[#This Row],[Último pagto ano]])</f>
        <v>2</v>
      </c>
      <c r="H1014" t="str">
        <f>TEXT(Tabela1[[#This Row],[Coluna2]]*29,"mmmm")</f>
        <v>fevereiro</v>
      </c>
      <c r="I1014" t="str">
        <f>TEXT(MONTH(Tabela1[[#This Row],[Último pagto ano]])*29,"mmmm")</f>
        <v>fevereiro</v>
      </c>
    </row>
    <row r="1015" spans="1:9" x14ac:dyDescent="0.25">
      <c r="A1015">
        <v>2025</v>
      </c>
      <c r="B1015" t="s">
        <v>2016</v>
      </c>
      <c r="C1015" s="1">
        <v>45702</v>
      </c>
      <c r="D1015" t="s">
        <v>2017</v>
      </c>
      <c r="E1015">
        <v>153.54</v>
      </c>
      <c r="G1015" s="3">
        <f>MONTH(Tabela1[[#This Row],[Último pagto ano]])</f>
        <v>2</v>
      </c>
      <c r="H1015" t="str">
        <f>TEXT(Tabela1[[#This Row],[Coluna2]]*29,"mmmm")</f>
        <v>fevereiro</v>
      </c>
      <c r="I1015" t="str">
        <f>TEXT(MONTH(Tabela1[[#This Row],[Último pagto ano]])*29,"mmmm")</f>
        <v>fevereiro</v>
      </c>
    </row>
    <row r="1016" spans="1:9" x14ac:dyDescent="0.25">
      <c r="A1016">
        <v>2025</v>
      </c>
      <c r="B1016" t="s">
        <v>2018</v>
      </c>
      <c r="C1016" s="1">
        <v>45996</v>
      </c>
      <c r="D1016" t="s">
        <v>2019</v>
      </c>
      <c r="E1016" s="2">
        <v>46065.96</v>
      </c>
      <c r="G1016" s="3">
        <f>MONTH(Tabela1[[#This Row],[Último pagto ano]])</f>
        <v>12</v>
      </c>
      <c r="H1016" t="str">
        <f>TEXT(Tabela1[[#This Row],[Coluna2]]*29,"mmmm")</f>
        <v>dezembro</v>
      </c>
      <c r="I1016" t="str">
        <f>TEXT(MONTH(Tabela1[[#This Row],[Último pagto ano]])*29,"mmmm")</f>
        <v>dezembro</v>
      </c>
    </row>
    <row r="1017" spans="1:9" x14ac:dyDescent="0.25">
      <c r="A1017">
        <v>2025</v>
      </c>
      <c r="B1017" t="s">
        <v>2020</v>
      </c>
      <c r="C1017" s="1">
        <v>45702</v>
      </c>
      <c r="D1017" t="s">
        <v>2021</v>
      </c>
      <c r="E1017">
        <v>699.29</v>
      </c>
      <c r="G1017" s="3">
        <f>MONTH(Tabela1[[#This Row],[Último pagto ano]])</f>
        <v>2</v>
      </c>
      <c r="H1017" t="str">
        <f>TEXT(Tabela1[[#This Row],[Coluna2]]*29,"mmmm")</f>
        <v>fevereiro</v>
      </c>
      <c r="I1017" t="str">
        <f>TEXT(MONTH(Tabela1[[#This Row],[Último pagto ano]])*29,"mmmm")</f>
        <v>fevereiro</v>
      </c>
    </row>
    <row r="1018" spans="1:9" x14ac:dyDescent="0.25">
      <c r="A1018">
        <v>2025</v>
      </c>
      <c r="B1018" t="s">
        <v>2022</v>
      </c>
      <c r="C1018" s="1">
        <v>45876</v>
      </c>
      <c r="D1018" t="s">
        <v>2023</v>
      </c>
      <c r="E1018" s="2">
        <v>10001.65</v>
      </c>
      <c r="G1018" s="3">
        <f>MONTH(Tabela1[[#This Row],[Último pagto ano]])</f>
        <v>8</v>
      </c>
      <c r="H1018" t="str">
        <f>TEXT(Tabela1[[#This Row],[Coluna2]]*29,"mmmm")</f>
        <v>agosto</v>
      </c>
      <c r="I1018" t="str">
        <f>TEXT(MONTH(Tabela1[[#This Row],[Último pagto ano]])*29,"mmmm")</f>
        <v>agosto</v>
      </c>
    </row>
    <row r="1019" spans="1:9" x14ac:dyDescent="0.25">
      <c r="A1019">
        <v>2025</v>
      </c>
      <c r="B1019" t="s">
        <v>2024</v>
      </c>
      <c r="C1019" s="1">
        <v>46003</v>
      </c>
      <c r="D1019" t="s">
        <v>2025</v>
      </c>
      <c r="E1019" s="2">
        <v>39800</v>
      </c>
      <c r="G1019" s="3">
        <f>MONTH(Tabela1[[#This Row],[Último pagto ano]])</f>
        <v>12</v>
      </c>
      <c r="H1019" t="str">
        <f>TEXT(Tabela1[[#This Row],[Coluna2]]*29,"mmmm")</f>
        <v>dezembro</v>
      </c>
      <c r="I1019" t="str">
        <f>TEXT(MONTH(Tabela1[[#This Row],[Último pagto ano]])*29,"mmmm")</f>
        <v>dezembro</v>
      </c>
    </row>
    <row r="1020" spans="1:9" x14ac:dyDescent="0.25">
      <c r="A1020">
        <v>2025</v>
      </c>
      <c r="B1020" t="s">
        <v>2026</v>
      </c>
      <c r="C1020" s="1">
        <v>45989</v>
      </c>
      <c r="D1020" t="s">
        <v>2027</v>
      </c>
      <c r="E1020" s="2">
        <v>10900.44</v>
      </c>
      <c r="G1020" s="3">
        <f>MONTH(Tabela1[[#This Row],[Último pagto ano]])</f>
        <v>11</v>
      </c>
      <c r="H1020" t="str">
        <f>TEXT(Tabela1[[#This Row],[Coluna2]]*29,"mmmm")</f>
        <v>novembro</v>
      </c>
      <c r="I1020" t="str">
        <f>TEXT(MONTH(Tabela1[[#This Row],[Último pagto ano]])*29,"mmmm")</f>
        <v>novembro</v>
      </c>
    </row>
    <row r="1021" spans="1:9" x14ac:dyDescent="0.25">
      <c r="A1021">
        <v>2025</v>
      </c>
      <c r="B1021" t="s">
        <v>2028</v>
      </c>
      <c r="C1021" s="1">
        <v>45702</v>
      </c>
      <c r="D1021" t="s">
        <v>2029</v>
      </c>
      <c r="E1021" s="2">
        <v>1289.25</v>
      </c>
      <c r="G1021" s="3">
        <f>MONTH(Tabela1[[#This Row],[Último pagto ano]])</f>
        <v>2</v>
      </c>
      <c r="H1021" t="str">
        <f>TEXT(Tabela1[[#This Row],[Coluna2]]*29,"mmmm")</f>
        <v>fevereiro</v>
      </c>
      <c r="I1021" t="str">
        <f>TEXT(MONTH(Tabela1[[#This Row],[Último pagto ano]])*29,"mmmm")</f>
        <v>fevereiro</v>
      </c>
    </row>
    <row r="1022" spans="1:9" x14ac:dyDescent="0.25">
      <c r="A1022">
        <v>2025</v>
      </c>
      <c r="B1022" t="s">
        <v>2030</v>
      </c>
      <c r="C1022" s="1">
        <v>45915</v>
      </c>
      <c r="D1022" t="s">
        <v>2031</v>
      </c>
      <c r="E1022" s="2">
        <v>3836.8</v>
      </c>
      <c r="G1022" s="3">
        <f>MONTH(Tabela1[[#This Row],[Último pagto ano]])</f>
        <v>9</v>
      </c>
      <c r="H1022" t="str">
        <f>TEXT(Tabela1[[#This Row],[Coluna2]]*29,"mmmm")</f>
        <v>setembro</v>
      </c>
      <c r="I1022" t="str">
        <f>TEXT(MONTH(Tabela1[[#This Row],[Último pagto ano]])*29,"mmmm")</f>
        <v>setembro</v>
      </c>
    </row>
    <row r="1023" spans="1:9" x14ac:dyDescent="0.25">
      <c r="A1023">
        <v>2025</v>
      </c>
      <c r="B1023" t="s">
        <v>2032</v>
      </c>
      <c r="C1023" s="1">
        <v>45716</v>
      </c>
      <c r="D1023" t="s">
        <v>2033</v>
      </c>
      <c r="E1023" s="2">
        <v>2060.5</v>
      </c>
      <c r="G1023" s="3">
        <f>MONTH(Tabela1[[#This Row],[Último pagto ano]])</f>
        <v>2</v>
      </c>
      <c r="H1023" t="str">
        <f>TEXT(Tabela1[[#This Row],[Coluna2]]*29,"mmmm")</f>
        <v>fevereiro</v>
      </c>
      <c r="I1023" t="str">
        <f>TEXT(MONTH(Tabela1[[#This Row],[Último pagto ano]])*29,"mmmm")</f>
        <v>fevereiro</v>
      </c>
    </row>
    <row r="1024" spans="1:9" x14ac:dyDescent="0.25">
      <c r="A1024">
        <v>2025</v>
      </c>
      <c r="B1024" t="s">
        <v>2034</v>
      </c>
      <c r="C1024" s="1">
        <v>45989</v>
      </c>
      <c r="D1024" t="s">
        <v>2035</v>
      </c>
      <c r="E1024" s="2">
        <v>8718.02</v>
      </c>
      <c r="G1024" s="3">
        <f>MONTH(Tabela1[[#This Row],[Último pagto ano]])</f>
        <v>11</v>
      </c>
      <c r="H1024" t="str">
        <f>TEXT(Tabela1[[#This Row],[Coluna2]]*29,"mmmm")</f>
        <v>novembro</v>
      </c>
      <c r="I1024" t="str">
        <f>TEXT(MONTH(Tabela1[[#This Row],[Último pagto ano]])*29,"mmmm")</f>
        <v>novembro</v>
      </c>
    </row>
    <row r="1025" spans="1:9" x14ac:dyDescent="0.25">
      <c r="A1025">
        <v>2025</v>
      </c>
      <c r="B1025" t="s">
        <v>2036</v>
      </c>
      <c r="C1025" s="1">
        <v>46006</v>
      </c>
      <c r="D1025" t="s">
        <v>2037</v>
      </c>
      <c r="E1025" s="2">
        <v>11474.96</v>
      </c>
      <c r="G1025" s="3">
        <f>MONTH(Tabela1[[#This Row],[Último pagto ano]])</f>
        <v>12</v>
      </c>
      <c r="H1025" t="str">
        <f>TEXT(Tabela1[[#This Row],[Coluna2]]*29,"mmmm")</f>
        <v>dezembro</v>
      </c>
      <c r="I1025" t="str">
        <f>TEXT(MONTH(Tabela1[[#This Row],[Último pagto ano]])*29,"mmmm")</f>
        <v>dezembro</v>
      </c>
    </row>
    <row r="1026" spans="1:9" x14ac:dyDescent="0.25">
      <c r="A1026">
        <v>2025</v>
      </c>
      <c r="B1026" t="s">
        <v>2038</v>
      </c>
      <c r="C1026" s="1">
        <v>45876</v>
      </c>
      <c r="D1026" t="s">
        <v>2039</v>
      </c>
      <c r="E1026" s="2">
        <v>5500</v>
      </c>
      <c r="G1026" s="3">
        <f>MONTH(Tabela1[[#This Row],[Último pagto ano]])</f>
        <v>8</v>
      </c>
      <c r="H1026" t="str">
        <f>TEXT(Tabela1[[#This Row],[Coluna2]]*29,"mmmm")</f>
        <v>agosto</v>
      </c>
      <c r="I1026" t="str">
        <f>TEXT(MONTH(Tabela1[[#This Row],[Último pagto ano]])*29,"mmmm")</f>
        <v>agosto</v>
      </c>
    </row>
    <row r="1027" spans="1:9" x14ac:dyDescent="0.25">
      <c r="A1027">
        <v>2025</v>
      </c>
      <c r="B1027" t="s">
        <v>2040</v>
      </c>
      <c r="C1027" s="1">
        <v>45996</v>
      </c>
      <c r="D1027" t="s">
        <v>2041</v>
      </c>
      <c r="E1027" s="2">
        <v>5050</v>
      </c>
      <c r="G1027" s="3">
        <f>MONTH(Tabela1[[#This Row],[Último pagto ano]])</f>
        <v>12</v>
      </c>
      <c r="H1027" t="str">
        <f>TEXT(Tabela1[[#This Row],[Coluna2]]*29,"mmmm")</f>
        <v>dezembro</v>
      </c>
      <c r="I1027" t="str">
        <f>TEXT(MONTH(Tabela1[[#This Row],[Último pagto ano]])*29,"mmmm")</f>
        <v>dezembro</v>
      </c>
    </row>
    <row r="1028" spans="1:9" x14ac:dyDescent="0.25">
      <c r="A1028">
        <v>2025</v>
      </c>
      <c r="B1028" t="s">
        <v>2042</v>
      </c>
      <c r="C1028" s="1">
        <v>45691</v>
      </c>
      <c r="D1028" t="s">
        <v>2043</v>
      </c>
      <c r="E1028" s="2">
        <v>8000</v>
      </c>
      <c r="G1028" s="3">
        <f>MONTH(Tabela1[[#This Row],[Último pagto ano]])</f>
        <v>2</v>
      </c>
      <c r="H1028" t="str">
        <f>TEXT(Tabela1[[#This Row],[Coluna2]]*29,"mmmm")</f>
        <v>fevereiro</v>
      </c>
      <c r="I1028" t="str">
        <f>TEXT(MONTH(Tabela1[[#This Row],[Último pagto ano]])*29,"mmmm")</f>
        <v>fevereiro</v>
      </c>
    </row>
    <row r="1029" spans="1:9" x14ac:dyDescent="0.25">
      <c r="A1029">
        <v>2025</v>
      </c>
      <c r="B1029" t="s">
        <v>2044</v>
      </c>
      <c r="C1029" s="1">
        <v>46014</v>
      </c>
      <c r="D1029" t="s">
        <v>2045</v>
      </c>
      <c r="E1029" s="2">
        <v>4312406.7</v>
      </c>
      <c r="G1029" s="3">
        <f>MONTH(Tabela1[[#This Row],[Último pagto ano]])</f>
        <v>12</v>
      </c>
      <c r="H1029" t="str">
        <f>TEXT(Tabela1[[#This Row],[Coluna2]]*29,"mmmm")</f>
        <v>dezembro</v>
      </c>
      <c r="I1029" t="str">
        <f>TEXT(MONTH(Tabela1[[#This Row],[Último pagto ano]])*29,"mmmm")</f>
        <v>dezembro</v>
      </c>
    </row>
    <row r="1030" spans="1:9" x14ac:dyDescent="0.25">
      <c r="A1030">
        <v>2025</v>
      </c>
      <c r="B1030" t="s">
        <v>2046</v>
      </c>
      <c r="C1030" s="1">
        <v>46008</v>
      </c>
      <c r="D1030" t="s">
        <v>2047</v>
      </c>
      <c r="E1030" s="2">
        <v>9295</v>
      </c>
      <c r="G1030" s="3">
        <f>MONTH(Tabela1[[#This Row],[Último pagto ano]])</f>
        <v>12</v>
      </c>
      <c r="H1030" t="str">
        <f>TEXT(Tabela1[[#This Row],[Coluna2]]*29,"mmmm")</f>
        <v>dezembro</v>
      </c>
      <c r="I1030" t="str">
        <f>TEXT(MONTH(Tabela1[[#This Row],[Último pagto ano]])*29,"mmmm")</f>
        <v>dezembro</v>
      </c>
    </row>
    <row r="1031" spans="1:9" x14ac:dyDescent="0.25">
      <c r="A1031">
        <v>2025</v>
      </c>
      <c r="B1031" t="s">
        <v>2048</v>
      </c>
      <c r="C1031" s="1">
        <v>46013</v>
      </c>
      <c r="D1031" t="s">
        <v>2049</v>
      </c>
      <c r="E1031" s="2">
        <v>56890.2</v>
      </c>
      <c r="G1031" s="3">
        <f>MONTH(Tabela1[[#This Row],[Último pagto ano]])</f>
        <v>12</v>
      </c>
      <c r="H1031" t="str">
        <f>TEXT(Tabela1[[#This Row],[Coluna2]]*29,"mmmm")</f>
        <v>dezembro</v>
      </c>
      <c r="I1031" t="str">
        <f>TEXT(MONTH(Tabela1[[#This Row],[Último pagto ano]])*29,"mmmm")</f>
        <v>dezembro</v>
      </c>
    </row>
    <row r="1032" spans="1:9" x14ac:dyDescent="0.25">
      <c r="A1032">
        <v>2025</v>
      </c>
      <c r="B1032" t="s">
        <v>2050</v>
      </c>
      <c r="C1032" s="1">
        <v>45966</v>
      </c>
      <c r="D1032" t="s">
        <v>2051</v>
      </c>
      <c r="E1032" s="2">
        <v>292272</v>
      </c>
      <c r="G1032" s="3">
        <f>MONTH(Tabela1[[#This Row],[Último pagto ano]])</f>
        <v>11</v>
      </c>
      <c r="H1032" t="str">
        <f>TEXT(Tabela1[[#This Row],[Coluna2]]*29,"mmmm")</f>
        <v>novembro</v>
      </c>
      <c r="I1032" t="str">
        <f>TEXT(MONTH(Tabela1[[#This Row],[Último pagto ano]])*29,"mmmm")</f>
        <v>novembro</v>
      </c>
    </row>
    <row r="1033" spans="1:9" x14ac:dyDescent="0.25">
      <c r="A1033">
        <v>2025</v>
      </c>
      <c r="B1033" t="s">
        <v>2052</v>
      </c>
      <c r="C1033" s="1">
        <v>45673</v>
      </c>
      <c r="D1033" t="s">
        <v>2053</v>
      </c>
      <c r="E1033" s="2">
        <v>2390.0100000000002</v>
      </c>
      <c r="G1033" s="3">
        <f>MONTH(Tabela1[[#This Row],[Último pagto ano]])</f>
        <v>1</v>
      </c>
      <c r="H1033" t="str">
        <f>TEXT(Tabela1[[#This Row],[Coluna2]]*29,"mmmm")</f>
        <v>janeiro</v>
      </c>
      <c r="I1033" t="str">
        <f>TEXT(MONTH(Tabela1[[#This Row],[Último pagto ano]])*29,"mmmm")</f>
        <v>janeiro</v>
      </c>
    </row>
    <row r="1034" spans="1:9" x14ac:dyDescent="0.25">
      <c r="A1034">
        <v>2025</v>
      </c>
      <c r="B1034" t="s">
        <v>2054</v>
      </c>
      <c r="C1034" s="1">
        <v>45740</v>
      </c>
      <c r="D1034" t="s">
        <v>2055</v>
      </c>
      <c r="E1034" s="2">
        <v>2063.9699999999998</v>
      </c>
      <c r="G1034" s="3">
        <f>MONTH(Tabela1[[#This Row],[Último pagto ano]])</f>
        <v>3</v>
      </c>
      <c r="H1034" t="str">
        <f>TEXT(Tabela1[[#This Row],[Coluna2]]*29,"mmmm")</f>
        <v>março</v>
      </c>
      <c r="I1034" t="str">
        <f>TEXT(MONTH(Tabela1[[#This Row],[Último pagto ano]])*29,"mmmm")</f>
        <v>março</v>
      </c>
    </row>
    <row r="1035" spans="1:9" x14ac:dyDescent="0.25">
      <c r="A1035">
        <v>2025</v>
      </c>
      <c r="B1035" t="s">
        <v>2056</v>
      </c>
      <c r="C1035" s="1">
        <v>45884</v>
      </c>
      <c r="D1035" t="s">
        <v>2057</v>
      </c>
      <c r="E1035" s="2">
        <v>2073.12</v>
      </c>
      <c r="G1035" s="3">
        <f>MONTH(Tabela1[[#This Row],[Último pagto ano]])</f>
        <v>8</v>
      </c>
      <c r="H1035" t="str">
        <f>TEXT(Tabela1[[#This Row],[Coluna2]]*29,"mmmm")</f>
        <v>agosto</v>
      </c>
      <c r="I1035" t="str">
        <f>TEXT(MONTH(Tabela1[[#This Row],[Último pagto ano]])*29,"mmmm")</f>
        <v>agosto</v>
      </c>
    </row>
    <row r="1036" spans="1:9" x14ac:dyDescent="0.25">
      <c r="A1036">
        <v>2025</v>
      </c>
      <c r="B1036" t="s">
        <v>2058</v>
      </c>
      <c r="C1036" s="1">
        <v>45793</v>
      </c>
      <c r="D1036" t="s">
        <v>2059</v>
      </c>
      <c r="E1036" s="2">
        <v>3844.54</v>
      </c>
      <c r="G1036" s="3">
        <f>MONTH(Tabela1[[#This Row],[Último pagto ano]])</f>
        <v>5</v>
      </c>
      <c r="H1036" t="str">
        <f>TEXT(Tabela1[[#This Row],[Coluna2]]*29,"mmmm")</f>
        <v>maio</v>
      </c>
      <c r="I1036" t="str">
        <f>TEXT(MONTH(Tabela1[[#This Row],[Último pagto ano]])*29,"mmmm")</f>
        <v>maio</v>
      </c>
    </row>
    <row r="1037" spans="1:9" x14ac:dyDescent="0.25">
      <c r="A1037">
        <v>2025</v>
      </c>
      <c r="B1037" t="s">
        <v>2060</v>
      </c>
      <c r="C1037" s="1">
        <v>46013</v>
      </c>
      <c r="D1037" t="s">
        <v>2061</v>
      </c>
      <c r="E1037" s="2">
        <v>4760</v>
      </c>
      <c r="G1037" s="3">
        <f>MONTH(Tabela1[[#This Row],[Último pagto ano]])</f>
        <v>12</v>
      </c>
      <c r="H1037" t="str">
        <f>TEXT(Tabela1[[#This Row],[Coluna2]]*29,"mmmm")</f>
        <v>dezembro</v>
      </c>
      <c r="I1037" t="str">
        <f>TEXT(MONTH(Tabela1[[#This Row],[Último pagto ano]])*29,"mmmm")</f>
        <v>dezembro</v>
      </c>
    </row>
    <row r="1038" spans="1:9" x14ac:dyDescent="0.25">
      <c r="A1038">
        <v>2025</v>
      </c>
      <c r="B1038" t="s">
        <v>2062</v>
      </c>
      <c r="C1038" s="1">
        <v>46010</v>
      </c>
      <c r="D1038" t="s">
        <v>2063</v>
      </c>
      <c r="E1038" s="2">
        <v>8400</v>
      </c>
      <c r="G1038" s="3">
        <f>MONTH(Tabela1[[#This Row],[Último pagto ano]])</f>
        <v>12</v>
      </c>
      <c r="H1038" t="str">
        <f>TEXT(Tabela1[[#This Row],[Coluna2]]*29,"mmmm")</f>
        <v>dezembro</v>
      </c>
      <c r="I1038" t="str">
        <f>TEXT(MONTH(Tabela1[[#This Row],[Último pagto ano]])*29,"mmmm")</f>
        <v>dezembro</v>
      </c>
    </row>
    <row r="1039" spans="1:9" x14ac:dyDescent="0.25">
      <c r="A1039">
        <v>2025</v>
      </c>
      <c r="B1039" t="s">
        <v>2064</v>
      </c>
      <c r="C1039" s="1">
        <v>45887</v>
      </c>
      <c r="D1039" t="s">
        <v>2065</v>
      </c>
      <c r="E1039">
        <v>66</v>
      </c>
      <c r="G1039" s="3">
        <f>MONTH(Tabela1[[#This Row],[Último pagto ano]])</f>
        <v>8</v>
      </c>
      <c r="H1039" t="str">
        <f>TEXT(Tabela1[[#This Row],[Coluna2]]*29,"mmmm")</f>
        <v>agosto</v>
      </c>
      <c r="I1039" t="str">
        <f>TEXT(MONTH(Tabela1[[#This Row],[Último pagto ano]])*29,"mmmm")</f>
        <v>agosto</v>
      </c>
    </row>
    <row r="1040" spans="1:9" x14ac:dyDescent="0.25">
      <c r="A1040">
        <v>2025</v>
      </c>
      <c r="B1040" t="s">
        <v>2066</v>
      </c>
      <c r="C1040" s="1">
        <v>45835</v>
      </c>
      <c r="D1040" t="s">
        <v>2067</v>
      </c>
      <c r="E1040">
        <v>33</v>
      </c>
      <c r="G1040" s="3">
        <f>MONTH(Tabela1[[#This Row],[Último pagto ano]])</f>
        <v>6</v>
      </c>
      <c r="H1040" t="str">
        <f>TEXT(Tabela1[[#This Row],[Coluna2]]*29,"mmmm")</f>
        <v>junho</v>
      </c>
      <c r="I1040" t="str">
        <f>TEXT(MONTH(Tabela1[[#This Row],[Último pagto ano]])*29,"mmmm")</f>
        <v>junho</v>
      </c>
    </row>
    <row r="1041" spans="1:9" x14ac:dyDescent="0.25">
      <c r="A1041">
        <v>2025</v>
      </c>
      <c r="B1041" t="s">
        <v>2068</v>
      </c>
      <c r="C1041" s="1">
        <v>46021</v>
      </c>
      <c r="D1041" t="s">
        <v>2069</v>
      </c>
      <c r="E1041" s="2">
        <v>4831.99</v>
      </c>
      <c r="G1041" s="3">
        <f>MONTH(Tabela1[[#This Row],[Último pagto ano]])</f>
        <v>12</v>
      </c>
      <c r="H1041" t="str">
        <f>TEXT(Tabela1[[#This Row],[Coluna2]]*29,"mmmm")</f>
        <v>dezembro</v>
      </c>
      <c r="I1041" t="str">
        <f>TEXT(MONTH(Tabela1[[#This Row],[Último pagto ano]])*29,"mmmm")</f>
        <v>dezembro</v>
      </c>
    </row>
    <row r="1042" spans="1:9" x14ac:dyDescent="0.25">
      <c r="A1042">
        <v>2025</v>
      </c>
      <c r="B1042" t="s">
        <v>2070</v>
      </c>
      <c r="C1042" s="1">
        <v>45702</v>
      </c>
      <c r="D1042" t="s">
        <v>2071</v>
      </c>
      <c r="E1042">
        <v>113.86</v>
      </c>
      <c r="G1042" s="3">
        <f>MONTH(Tabela1[[#This Row],[Último pagto ano]])</f>
        <v>2</v>
      </c>
      <c r="H1042" t="str">
        <f>TEXT(Tabela1[[#This Row],[Coluna2]]*29,"mmmm")</f>
        <v>fevereiro</v>
      </c>
      <c r="I1042" t="str">
        <f>TEXT(MONTH(Tabela1[[#This Row],[Último pagto ano]])*29,"mmmm")</f>
        <v>fevereiro</v>
      </c>
    </row>
    <row r="1043" spans="1:9" x14ac:dyDescent="0.25">
      <c r="A1043">
        <v>2025</v>
      </c>
      <c r="B1043" t="s">
        <v>2072</v>
      </c>
      <c r="C1043" s="1">
        <v>45996</v>
      </c>
      <c r="D1043" t="s">
        <v>2073</v>
      </c>
      <c r="E1043" s="2">
        <v>64800</v>
      </c>
      <c r="G1043" s="3">
        <f>MONTH(Tabela1[[#This Row],[Último pagto ano]])</f>
        <v>12</v>
      </c>
      <c r="H1043" t="str">
        <f>TEXT(Tabela1[[#This Row],[Coluna2]]*29,"mmmm")</f>
        <v>dezembro</v>
      </c>
      <c r="I1043" t="str">
        <f>TEXT(MONTH(Tabela1[[#This Row],[Último pagto ano]])*29,"mmmm")</f>
        <v>dezembro</v>
      </c>
    </row>
    <row r="1044" spans="1:9" x14ac:dyDescent="0.25">
      <c r="A1044">
        <v>2025</v>
      </c>
      <c r="B1044" t="s">
        <v>2074</v>
      </c>
      <c r="C1044" s="1">
        <v>45968</v>
      </c>
      <c r="D1044" t="s">
        <v>2075</v>
      </c>
      <c r="E1044" s="2">
        <v>9800</v>
      </c>
      <c r="G1044" s="3">
        <f>MONTH(Tabela1[[#This Row],[Último pagto ano]])</f>
        <v>11</v>
      </c>
      <c r="H1044" t="str">
        <f>TEXT(Tabela1[[#This Row],[Coluna2]]*29,"mmmm")</f>
        <v>novembro</v>
      </c>
      <c r="I1044" t="str">
        <f>TEXT(MONTH(Tabela1[[#This Row],[Último pagto ano]])*29,"mmmm")</f>
        <v>novembro</v>
      </c>
    </row>
    <row r="1045" spans="1:9" x14ac:dyDescent="0.25">
      <c r="A1045">
        <v>2025</v>
      </c>
      <c r="B1045" t="s">
        <v>2076</v>
      </c>
      <c r="C1045" s="1">
        <v>45734</v>
      </c>
      <c r="D1045" t="s">
        <v>2077</v>
      </c>
      <c r="E1045">
        <v>883.25</v>
      </c>
      <c r="G1045" s="3">
        <f>MONTH(Tabela1[[#This Row],[Último pagto ano]])</f>
        <v>3</v>
      </c>
      <c r="H1045" t="str">
        <f>TEXT(Tabela1[[#This Row],[Coluna2]]*29,"mmmm")</f>
        <v>março</v>
      </c>
      <c r="I1045" t="str">
        <f>TEXT(MONTH(Tabela1[[#This Row],[Último pagto ano]])*29,"mmmm")</f>
        <v>março</v>
      </c>
    </row>
    <row r="1046" spans="1:9" x14ac:dyDescent="0.25">
      <c r="A1046">
        <v>2025</v>
      </c>
      <c r="B1046" t="s">
        <v>2078</v>
      </c>
      <c r="C1046" s="1">
        <v>45807</v>
      </c>
      <c r="D1046" t="s">
        <v>2079</v>
      </c>
      <c r="E1046" s="2">
        <v>4959.8900000000003</v>
      </c>
      <c r="G1046" s="3">
        <f>MONTH(Tabela1[[#This Row],[Último pagto ano]])</f>
        <v>5</v>
      </c>
      <c r="H1046" t="str">
        <f>TEXT(Tabela1[[#This Row],[Coluna2]]*29,"mmmm")</f>
        <v>maio</v>
      </c>
      <c r="I1046" t="str">
        <f>TEXT(MONTH(Tabela1[[#This Row],[Último pagto ano]])*29,"mmmm")</f>
        <v>maio</v>
      </c>
    </row>
    <row r="1047" spans="1:9" x14ac:dyDescent="0.25">
      <c r="A1047">
        <v>2025</v>
      </c>
      <c r="B1047" t="s">
        <v>2080</v>
      </c>
      <c r="C1047" s="1">
        <v>45988</v>
      </c>
      <c r="D1047" t="s">
        <v>2081</v>
      </c>
      <c r="E1047" s="2">
        <v>1101.5999999999999</v>
      </c>
      <c r="G1047" s="3">
        <f>MONTH(Tabela1[[#This Row],[Último pagto ano]])</f>
        <v>11</v>
      </c>
      <c r="H1047" t="str">
        <f>TEXT(Tabela1[[#This Row],[Coluna2]]*29,"mmmm")</f>
        <v>novembro</v>
      </c>
      <c r="I1047" t="str">
        <f>TEXT(MONTH(Tabela1[[#This Row],[Último pagto ano]])*29,"mmmm")</f>
        <v>novembro</v>
      </c>
    </row>
    <row r="1048" spans="1:9" x14ac:dyDescent="0.25">
      <c r="A1048">
        <v>2025</v>
      </c>
      <c r="B1048" t="s">
        <v>2082</v>
      </c>
      <c r="C1048" s="1">
        <v>45702</v>
      </c>
      <c r="D1048" t="s">
        <v>2083</v>
      </c>
      <c r="E1048">
        <v>18.59</v>
      </c>
      <c r="G1048" s="3">
        <f>MONTH(Tabela1[[#This Row],[Último pagto ano]])</f>
        <v>2</v>
      </c>
      <c r="H1048" t="str">
        <f>TEXT(Tabela1[[#This Row],[Coluna2]]*29,"mmmm")</f>
        <v>fevereiro</v>
      </c>
      <c r="I1048" t="str">
        <f>TEXT(MONTH(Tabela1[[#This Row],[Último pagto ano]])*29,"mmmm")</f>
        <v>fevereiro</v>
      </c>
    </row>
    <row r="1049" spans="1:9" x14ac:dyDescent="0.25">
      <c r="A1049">
        <v>2025</v>
      </c>
      <c r="B1049" t="s">
        <v>2084</v>
      </c>
      <c r="C1049" s="1">
        <v>45702</v>
      </c>
      <c r="D1049" t="s">
        <v>2085</v>
      </c>
      <c r="E1049" s="2">
        <v>1071.52</v>
      </c>
      <c r="G1049" s="3">
        <f>MONTH(Tabela1[[#This Row],[Último pagto ano]])</f>
        <v>2</v>
      </c>
      <c r="H1049" t="str">
        <f>TEXT(Tabela1[[#This Row],[Coluna2]]*29,"mmmm")</f>
        <v>fevereiro</v>
      </c>
      <c r="I1049" t="str">
        <f>TEXT(MONTH(Tabela1[[#This Row],[Último pagto ano]])*29,"mmmm")</f>
        <v>fevereiro</v>
      </c>
    </row>
    <row r="1050" spans="1:9" x14ac:dyDescent="0.25">
      <c r="A1050">
        <v>2025</v>
      </c>
      <c r="B1050" t="s">
        <v>2086</v>
      </c>
      <c r="C1050" s="1">
        <v>45996</v>
      </c>
      <c r="D1050" t="s">
        <v>2087</v>
      </c>
      <c r="E1050" s="2">
        <v>2500</v>
      </c>
      <c r="G1050" s="3">
        <f>MONTH(Tabela1[[#This Row],[Último pagto ano]])</f>
        <v>12</v>
      </c>
      <c r="H1050" t="str">
        <f>TEXT(Tabela1[[#This Row],[Coluna2]]*29,"mmmm")</f>
        <v>dezembro</v>
      </c>
      <c r="I1050" t="str">
        <f>TEXT(MONTH(Tabela1[[#This Row],[Último pagto ano]])*29,"mmmm")</f>
        <v>dezembro</v>
      </c>
    </row>
    <row r="1051" spans="1:9" x14ac:dyDescent="0.25">
      <c r="A1051">
        <v>2025</v>
      </c>
      <c r="B1051" t="s">
        <v>2088</v>
      </c>
      <c r="C1051" s="1">
        <v>45968</v>
      </c>
      <c r="D1051" t="s">
        <v>2089</v>
      </c>
      <c r="E1051" s="2">
        <v>4000</v>
      </c>
      <c r="G1051" s="3">
        <f>MONTH(Tabela1[[#This Row],[Último pagto ano]])</f>
        <v>11</v>
      </c>
      <c r="H1051" t="str">
        <f>TEXT(Tabela1[[#This Row],[Coluna2]]*29,"mmmm")</f>
        <v>novembro</v>
      </c>
      <c r="I1051" t="str">
        <f>TEXT(MONTH(Tabela1[[#This Row],[Último pagto ano]])*29,"mmmm")</f>
        <v>novembro</v>
      </c>
    </row>
    <row r="1052" spans="1:9" x14ac:dyDescent="0.25">
      <c r="A1052">
        <v>2025</v>
      </c>
      <c r="B1052" t="s">
        <v>2090</v>
      </c>
      <c r="C1052" s="1">
        <v>45702</v>
      </c>
      <c r="D1052" t="s">
        <v>2091</v>
      </c>
      <c r="E1052">
        <v>988</v>
      </c>
      <c r="G1052" s="3">
        <f>MONTH(Tabela1[[#This Row],[Último pagto ano]])</f>
        <v>2</v>
      </c>
      <c r="H1052" t="str">
        <f>TEXT(Tabela1[[#This Row],[Coluna2]]*29,"mmmm")</f>
        <v>fevereiro</v>
      </c>
      <c r="I1052" t="str">
        <f>TEXT(MONTH(Tabela1[[#This Row],[Último pagto ano]])*29,"mmmm")</f>
        <v>fevereiro</v>
      </c>
    </row>
    <row r="1053" spans="1:9" x14ac:dyDescent="0.25">
      <c r="A1053">
        <v>2025</v>
      </c>
      <c r="B1053" t="s">
        <v>2092</v>
      </c>
      <c r="C1053" s="1">
        <v>45777</v>
      </c>
      <c r="D1053" t="s">
        <v>2093</v>
      </c>
      <c r="E1053" s="2">
        <v>3649.13</v>
      </c>
      <c r="G1053" s="3">
        <f>MONTH(Tabela1[[#This Row],[Último pagto ano]])</f>
        <v>4</v>
      </c>
      <c r="H1053" t="str">
        <f>TEXT(Tabela1[[#This Row],[Coluna2]]*29,"mmmm")</f>
        <v>abril</v>
      </c>
      <c r="I1053" t="str">
        <f>TEXT(MONTH(Tabela1[[#This Row],[Último pagto ano]])*29,"mmmm")</f>
        <v>abril</v>
      </c>
    </row>
    <row r="1054" spans="1:9" x14ac:dyDescent="0.25">
      <c r="A1054">
        <v>2025</v>
      </c>
      <c r="B1054" t="s">
        <v>2094</v>
      </c>
      <c r="C1054" s="1">
        <v>46021</v>
      </c>
      <c r="D1054" t="s">
        <v>2095</v>
      </c>
      <c r="E1054" s="2">
        <v>8038.19</v>
      </c>
      <c r="G1054" s="3">
        <f>MONTH(Tabela1[[#This Row],[Último pagto ano]])</f>
        <v>12</v>
      </c>
      <c r="H1054" t="str">
        <f>TEXT(Tabela1[[#This Row],[Coluna2]]*29,"mmmm")</f>
        <v>dezembro</v>
      </c>
      <c r="I1054" t="str">
        <f>TEXT(MONTH(Tabela1[[#This Row],[Último pagto ano]])*29,"mmmm")</f>
        <v>dezembro</v>
      </c>
    </row>
    <row r="1055" spans="1:9" x14ac:dyDescent="0.25">
      <c r="A1055">
        <v>2025</v>
      </c>
      <c r="B1055" t="s">
        <v>2096</v>
      </c>
      <c r="C1055" s="1">
        <v>45702</v>
      </c>
      <c r="D1055" t="s">
        <v>2097</v>
      </c>
      <c r="E1055">
        <v>81.44</v>
      </c>
      <c r="G1055" s="3">
        <f>MONTH(Tabela1[[#This Row],[Último pagto ano]])</f>
        <v>2</v>
      </c>
      <c r="H1055" t="str">
        <f>TEXT(Tabela1[[#This Row],[Coluna2]]*29,"mmmm")</f>
        <v>fevereiro</v>
      </c>
      <c r="I1055" t="str">
        <f>TEXT(MONTH(Tabela1[[#This Row],[Último pagto ano]])*29,"mmmm")</f>
        <v>fevereiro</v>
      </c>
    </row>
    <row r="1056" spans="1:9" x14ac:dyDescent="0.25">
      <c r="A1056">
        <v>2025</v>
      </c>
      <c r="B1056" t="s">
        <v>2098</v>
      </c>
      <c r="C1056" s="1">
        <v>45922</v>
      </c>
      <c r="D1056" t="s">
        <v>2099</v>
      </c>
      <c r="E1056">
        <v>198</v>
      </c>
      <c r="G1056" s="3">
        <f>MONTH(Tabela1[[#This Row],[Último pagto ano]])</f>
        <v>9</v>
      </c>
      <c r="H1056" t="str">
        <f>TEXT(Tabela1[[#This Row],[Coluna2]]*29,"mmmm")</f>
        <v>setembro</v>
      </c>
      <c r="I1056" t="str">
        <f>TEXT(MONTH(Tabela1[[#This Row],[Último pagto ano]])*29,"mmmm")</f>
        <v>setembro</v>
      </c>
    </row>
    <row r="1057" spans="1:9" x14ac:dyDescent="0.25">
      <c r="A1057">
        <v>2025</v>
      </c>
      <c r="B1057" t="s">
        <v>2100</v>
      </c>
      <c r="C1057" s="1">
        <v>45996</v>
      </c>
      <c r="D1057" t="s">
        <v>2101</v>
      </c>
      <c r="E1057" s="2">
        <v>5950</v>
      </c>
      <c r="G1057" s="3">
        <f>MONTH(Tabela1[[#This Row],[Último pagto ano]])</f>
        <v>12</v>
      </c>
      <c r="H1057" t="str">
        <f>TEXT(Tabela1[[#This Row],[Coluna2]]*29,"mmmm")</f>
        <v>dezembro</v>
      </c>
      <c r="I1057" t="str">
        <f>TEXT(MONTH(Tabela1[[#This Row],[Último pagto ano]])*29,"mmmm")</f>
        <v>dezembro</v>
      </c>
    </row>
    <row r="1058" spans="1:9" x14ac:dyDescent="0.25">
      <c r="A1058">
        <v>2025</v>
      </c>
      <c r="B1058" t="s">
        <v>2102</v>
      </c>
      <c r="C1058" s="1">
        <v>45930</v>
      </c>
      <c r="D1058" t="s">
        <v>2103</v>
      </c>
      <c r="E1058">
        <v>583.13</v>
      </c>
      <c r="G1058" s="3">
        <f>MONTH(Tabela1[[#This Row],[Último pagto ano]])</f>
        <v>9</v>
      </c>
      <c r="H1058" t="str">
        <f>TEXT(Tabela1[[#This Row],[Coluna2]]*29,"mmmm")</f>
        <v>setembro</v>
      </c>
      <c r="I1058" t="str">
        <f>TEXT(MONTH(Tabela1[[#This Row],[Último pagto ano]])*29,"mmmm")</f>
        <v>setembro</v>
      </c>
    </row>
    <row r="1059" spans="1:9" x14ac:dyDescent="0.25">
      <c r="A1059">
        <v>2025</v>
      </c>
      <c r="B1059" t="s">
        <v>2104</v>
      </c>
      <c r="C1059" s="1">
        <v>45722</v>
      </c>
      <c r="D1059" t="s">
        <v>2105</v>
      </c>
      <c r="E1059" s="2">
        <v>1976</v>
      </c>
      <c r="G1059" s="3">
        <f>MONTH(Tabela1[[#This Row],[Último pagto ano]])</f>
        <v>3</v>
      </c>
      <c r="H1059" t="str">
        <f>TEXT(Tabela1[[#This Row],[Coluna2]]*29,"mmmm")</f>
        <v>março</v>
      </c>
      <c r="I1059" t="str">
        <f>TEXT(MONTH(Tabela1[[#This Row],[Último pagto ano]])*29,"mmmm")</f>
        <v>março</v>
      </c>
    </row>
    <row r="1060" spans="1:9" x14ac:dyDescent="0.25">
      <c r="A1060">
        <v>2025</v>
      </c>
      <c r="B1060" t="s">
        <v>2106</v>
      </c>
      <c r="C1060" s="1">
        <v>45996</v>
      </c>
      <c r="D1060" t="s">
        <v>2107</v>
      </c>
      <c r="E1060" s="2">
        <v>7700</v>
      </c>
      <c r="G1060" s="3">
        <f>MONTH(Tabela1[[#This Row],[Último pagto ano]])</f>
        <v>12</v>
      </c>
      <c r="H1060" t="str">
        <f>TEXT(Tabela1[[#This Row],[Coluna2]]*29,"mmmm")</f>
        <v>dezembro</v>
      </c>
      <c r="I1060" t="str">
        <f>TEXT(MONTH(Tabela1[[#This Row],[Último pagto ano]])*29,"mmmm")</f>
        <v>dezembro</v>
      </c>
    </row>
    <row r="1061" spans="1:9" x14ac:dyDescent="0.25">
      <c r="A1061">
        <v>2025</v>
      </c>
      <c r="B1061" t="s">
        <v>2108</v>
      </c>
      <c r="C1061" s="1">
        <v>46014</v>
      </c>
      <c r="D1061" t="s">
        <v>2109</v>
      </c>
      <c r="E1061">
        <v>22</v>
      </c>
      <c r="G1061" s="3">
        <f>MONTH(Tabela1[[#This Row],[Último pagto ano]])</f>
        <v>12</v>
      </c>
      <c r="H1061" t="str">
        <f>TEXT(Tabela1[[#This Row],[Coluna2]]*29,"mmmm")</f>
        <v>dezembro</v>
      </c>
      <c r="I1061" t="str">
        <f>TEXT(MONTH(Tabela1[[#This Row],[Último pagto ano]])*29,"mmmm")</f>
        <v>dezembro</v>
      </c>
    </row>
    <row r="1062" spans="1:9" x14ac:dyDescent="0.25">
      <c r="A1062">
        <v>2025</v>
      </c>
      <c r="B1062" t="s">
        <v>2110</v>
      </c>
      <c r="C1062" s="1">
        <v>45868</v>
      </c>
      <c r="D1062" t="s">
        <v>2111</v>
      </c>
      <c r="E1062" s="2">
        <v>5674.92</v>
      </c>
      <c r="G1062" s="3">
        <f>MONTH(Tabela1[[#This Row],[Último pagto ano]])</f>
        <v>7</v>
      </c>
      <c r="H1062" t="str">
        <f>TEXT(Tabela1[[#This Row],[Coluna2]]*29,"mmmm")</f>
        <v>julho</v>
      </c>
      <c r="I1062" t="str">
        <f>TEXT(MONTH(Tabela1[[#This Row],[Último pagto ano]])*29,"mmmm")</f>
        <v>julho</v>
      </c>
    </row>
    <row r="1063" spans="1:9" x14ac:dyDescent="0.25">
      <c r="A1063">
        <v>2025</v>
      </c>
      <c r="B1063" t="s">
        <v>2112</v>
      </c>
      <c r="C1063" s="1">
        <v>45988</v>
      </c>
      <c r="D1063" t="s">
        <v>2113</v>
      </c>
      <c r="E1063" s="2">
        <v>13400</v>
      </c>
      <c r="G1063" s="3">
        <f>MONTH(Tabela1[[#This Row],[Último pagto ano]])</f>
        <v>11</v>
      </c>
      <c r="H1063" t="str">
        <f>TEXT(Tabela1[[#This Row],[Coluna2]]*29,"mmmm")</f>
        <v>novembro</v>
      </c>
      <c r="I1063" t="str">
        <f>TEXT(MONTH(Tabela1[[#This Row],[Último pagto ano]])*29,"mmmm")</f>
        <v>novembro</v>
      </c>
    </row>
    <row r="1064" spans="1:9" x14ac:dyDescent="0.25">
      <c r="A1064">
        <v>2025</v>
      </c>
      <c r="B1064" t="s">
        <v>2114</v>
      </c>
      <c r="C1064" s="1">
        <v>45908</v>
      </c>
      <c r="D1064" t="s">
        <v>2115</v>
      </c>
      <c r="E1064" s="2">
        <v>58522.9</v>
      </c>
      <c r="G1064" s="3">
        <f>MONTH(Tabela1[[#This Row],[Último pagto ano]])</f>
        <v>9</v>
      </c>
      <c r="H1064" t="str">
        <f>TEXT(Tabela1[[#This Row],[Coluna2]]*29,"mmmm")</f>
        <v>setembro</v>
      </c>
      <c r="I1064" t="str">
        <f>TEXT(MONTH(Tabela1[[#This Row],[Último pagto ano]])*29,"mmmm")</f>
        <v>setembro</v>
      </c>
    </row>
    <row r="1065" spans="1:9" x14ac:dyDescent="0.25">
      <c r="A1065">
        <v>2025</v>
      </c>
      <c r="B1065" t="s">
        <v>2116</v>
      </c>
      <c r="C1065" s="1">
        <v>45673</v>
      </c>
      <c r="D1065" t="s">
        <v>2117</v>
      </c>
      <c r="E1065" s="2">
        <v>1250</v>
      </c>
      <c r="G1065" s="3">
        <f>MONTH(Tabela1[[#This Row],[Último pagto ano]])</f>
        <v>1</v>
      </c>
      <c r="H1065" t="str">
        <f>TEXT(Tabela1[[#This Row],[Coluna2]]*29,"mmmm")</f>
        <v>janeiro</v>
      </c>
      <c r="I1065" t="str">
        <f>TEXT(MONTH(Tabela1[[#This Row],[Último pagto ano]])*29,"mmmm")</f>
        <v>janeiro</v>
      </c>
    </row>
    <row r="1066" spans="1:9" x14ac:dyDescent="0.25">
      <c r="A1066">
        <v>2025</v>
      </c>
      <c r="B1066" t="s">
        <v>2118</v>
      </c>
      <c r="C1066" s="1">
        <v>45756</v>
      </c>
      <c r="D1066" t="s">
        <v>2119</v>
      </c>
      <c r="E1066" s="2">
        <v>10360</v>
      </c>
      <c r="G1066" s="3">
        <f>MONTH(Tabela1[[#This Row],[Último pagto ano]])</f>
        <v>4</v>
      </c>
      <c r="H1066" t="str">
        <f>TEXT(Tabela1[[#This Row],[Coluna2]]*29,"mmmm")</f>
        <v>abril</v>
      </c>
      <c r="I1066" t="str">
        <f>TEXT(MONTH(Tabela1[[#This Row],[Último pagto ano]])*29,"mmmm")</f>
        <v>abril</v>
      </c>
    </row>
    <row r="1067" spans="1:9" x14ac:dyDescent="0.25">
      <c r="A1067">
        <v>2025</v>
      </c>
      <c r="B1067" t="s">
        <v>2120</v>
      </c>
      <c r="C1067" s="1">
        <v>45943</v>
      </c>
      <c r="D1067" t="s">
        <v>2121</v>
      </c>
      <c r="E1067" s="2">
        <v>3554.92</v>
      </c>
      <c r="G1067" s="3">
        <f>MONTH(Tabela1[[#This Row],[Último pagto ano]])</f>
        <v>10</v>
      </c>
      <c r="H1067" t="str">
        <f>TEXT(Tabela1[[#This Row],[Coluna2]]*29,"mmmm")</f>
        <v>outubro</v>
      </c>
      <c r="I1067" t="str">
        <f>TEXT(MONTH(Tabela1[[#This Row],[Último pagto ano]])*29,"mmmm")</f>
        <v>outubro</v>
      </c>
    </row>
    <row r="1068" spans="1:9" x14ac:dyDescent="0.25">
      <c r="A1068">
        <v>2025</v>
      </c>
      <c r="B1068" t="s">
        <v>2122</v>
      </c>
      <c r="C1068" s="1">
        <v>46014</v>
      </c>
      <c r="D1068" t="s">
        <v>2123</v>
      </c>
      <c r="E1068" s="2">
        <v>22351.78</v>
      </c>
      <c r="G1068" s="3">
        <f>MONTH(Tabela1[[#This Row],[Último pagto ano]])</f>
        <v>12</v>
      </c>
      <c r="H1068" t="str">
        <f>TEXT(Tabela1[[#This Row],[Coluna2]]*29,"mmmm")</f>
        <v>dezembro</v>
      </c>
      <c r="I1068" t="str">
        <f>TEXT(MONTH(Tabela1[[#This Row],[Último pagto ano]])*29,"mmmm")</f>
        <v>dezembro</v>
      </c>
    </row>
    <row r="1069" spans="1:9" x14ac:dyDescent="0.25">
      <c r="A1069">
        <v>2025</v>
      </c>
      <c r="B1069" t="s">
        <v>2124</v>
      </c>
      <c r="C1069" s="1">
        <v>45835</v>
      </c>
      <c r="D1069" t="s">
        <v>2125</v>
      </c>
      <c r="E1069">
        <v>1.23</v>
      </c>
      <c r="G1069" s="3">
        <f>MONTH(Tabela1[[#This Row],[Último pagto ano]])</f>
        <v>6</v>
      </c>
      <c r="H1069" t="str">
        <f>TEXT(Tabela1[[#This Row],[Coluna2]]*29,"mmmm")</f>
        <v>junho</v>
      </c>
      <c r="I1069" t="str">
        <f>TEXT(MONTH(Tabela1[[#This Row],[Último pagto ano]])*29,"mmmm")</f>
        <v>junho</v>
      </c>
    </row>
    <row r="1070" spans="1:9" x14ac:dyDescent="0.25">
      <c r="A1070">
        <v>2025</v>
      </c>
      <c r="B1070" t="s">
        <v>2126</v>
      </c>
      <c r="C1070" s="1">
        <v>45663</v>
      </c>
      <c r="D1070" t="s">
        <v>2127</v>
      </c>
      <c r="E1070">
        <v>50.84</v>
      </c>
      <c r="G1070" s="3">
        <f>MONTH(Tabela1[[#This Row],[Último pagto ano]])</f>
        <v>1</v>
      </c>
      <c r="H1070" t="str">
        <f>TEXT(Tabela1[[#This Row],[Coluna2]]*29,"mmmm")</f>
        <v>janeiro</v>
      </c>
      <c r="I1070" t="str">
        <f>TEXT(MONTH(Tabela1[[#This Row],[Último pagto ano]])*29,"mmmm")</f>
        <v>janeiro</v>
      </c>
    </row>
    <row r="1071" spans="1:9" x14ac:dyDescent="0.25">
      <c r="A1071">
        <v>2025</v>
      </c>
      <c r="B1071" t="s">
        <v>2128</v>
      </c>
      <c r="C1071" s="1">
        <v>45979</v>
      </c>
      <c r="D1071" t="s">
        <v>2129</v>
      </c>
      <c r="E1071" s="2">
        <v>109852.16</v>
      </c>
      <c r="G1071" s="3">
        <f>MONTH(Tabela1[[#This Row],[Último pagto ano]])</f>
        <v>11</v>
      </c>
      <c r="H1071" t="str">
        <f>TEXT(Tabela1[[#This Row],[Coluna2]]*29,"mmmm")</f>
        <v>novembro</v>
      </c>
      <c r="I1071" t="str">
        <f>TEXT(MONTH(Tabela1[[#This Row],[Último pagto ano]])*29,"mmmm")</f>
        <v>novembro</v>
      </c>
    </row>
    <row r="1072" spans="1:9" x14ac:dyDescent="0.25">
      <c r="A1072">
        <v>2025</v>
      </c>
      <c r="B1072" t="s">
        <v>2130</v>
      </c>
      <c r="C1072" s="1">
        <v>45852</v>
      </c>
      <c r="D1072" t="s">
        <v>2131</v>
      </c>
      <c r="E1072">
        <v>44</v>
      </c>
      <c r="G1072" s="3">
        <f>MONTH(Tabela1[[#This Row],[Último pagto ano]])</f>
        <v>7</v>
      </c>
      <c r="H1072" t="str">
        <f>TEXT(Tabela1[[#This Row],[Coluna2]]*29,"mmmm")</f>
        <v>julho</v>
      </c>
      <c r="I1072" t="str">
        <f>TEXT(MONTH(Tabela1[[#This Row],[Último pagto ano]])*29,"mmmm")</f>
        <v>julho</v>
      </c>
    </row>
    <row r="1073" spans="1:9" x14ac:dyDescent="0.25">
      <c r="A1073">
        <v>2025</v>
      </c>
      <c r="B1073" t="s">
        <v>2132</v>
      </c>
      <c r="C1073" s="1">
        <v>46014</v>
      </c>
      <c r="D1073" t="s">
        <v>2133</v>
      </c>
      <c r="E1073">
        <v>66</v>
      </c>
      <c r="G1073" s="3">
        <f>MONTH(Tabela1[[#This Row],[Último pagto ano]])</f>
        <v>12</v>
      </c>
      <c r="H1073" t="str">
        <f>TEXT(Tabela1[[#This Row],[Coluna2]]*29,"mmmm")</f>
        <v>dezembro</v>
      </c>
      <c r="I1073" t="str">
        <f>TEXT(MONTH(Tabela1[[#This Row],[Último pagto ano]])*29,"mmmm")</f>
        <v>dezembro</v>
      </c>
    </row>
    <row r="1074" spans="1:9" x14ac:dyDescent="0.25">
      <c r="A1074">
        <v>2025</v>
      </c>
      <c r="B1074" t="s">
        <v>2134</v>
      </c>
      <c r="C1074" s="1">
        <v>46010</v>
      </c>
      <c r="D1074" t="s">
        <v>2135</v>
      </c>
      <c r="E1074" s="2">
        <v>8400</v>
      </c>
      <c r="G1074" s="3">
        <f>MONTH(Tabela1[[#This Row],[Último pagto ano]])</f>
        <v>12</v>
      </c>
      <c r="H1074" t="str">
        <f>TEXT(Tabela1[[#This Row],[Coluna2]]*29,"mmmm")</f>
        <v>dezembro</v>
      </c>
      <c r="I1074" t="str">
        <f>TEXT(MONTH(Tabela1[[#This Row],[Último pagto ano]])*29,"mmmm")</f>
        <v>dezembro</v>
      </c>
    </row>
    <row r="1075" spans="1:9" x14ac:dyDescent="0.25">
      <c r="A1075">
        <v>2025</v>
      </c>
      <c r="B1075" t="s">
        <v>2136</v>
      </c>
      <c r="C1075" s="1">
        <v>45797</v>
      </c>
      <c r="D1075" t="s">
        <v>2137</v>
      </c>
      <c r="E1075" s="2">
        <v>17799.2</v>
      </c>
      <c r="G1075" s="3">
        <f>MONTH(Tabela1[[#This Row],[Último pagto ano]])</f>
        <v>5</v>
      </c>
      <c r="H1075" t="str">
        <f>TEXT(Tabela1[[#This Row],[Coluna2]]*29,"mmmm")</f>
        <v>maio</v>
      </c>
      <c r="I1075" t="str">
        <f>TEXT(MONTH(Tabela1[[#This Row],[Último pagto ano]])*29,"mmmm")</f>
        <v>maio</v>
      </c>
    </row>
    <row r="1076" spans="1:9" x14ac:dyDescent="0.25">
      <c r="A1076">
        <v>2025</v>
      </c>
      <c r="B1076" t="s">
        <v>2138</v>
      </c>
      <c r="C1076" s="1">
        <v>45917</v>
      </c>
      <c r="D1076" t="s">
        <v>2139</v>
      </c>
      <c r="E1076">
        <v>786.47</v>
      </c>
      <c r="G1076" s="3">
        <f>MONTH(Tabela1[[#This Row],[Último pagto ano]])</f>
        <v>9</v>
      </c>
      <c r="H1076" t="str">
        <f>TEXT(Tabela1[[#This Row],[Coluna2]]*29,"mmmm")</f>
        <v>setembro</v>
      </c>
      <c r="I1076" t="str">
        <f>TEXT(MONTH(Tabela1[[#This Row],[Último pagto ano]])*29,"mmmm")</f>
        <v>setembro</v>
      </c>
    </row>
    <row r="1077" spans="1:9" x14ac:dyDescent="0.25">
      <c r="A1077">
        <v>2025</v>
      </c>
      <c r="B1077" t="s">
        <v>2140</v>
      </c>
      <c r="C1077" s="1">
        <v>46021</v>
      </c>
      <c r="D1077" t="s">
        <v>2141</v>
      </c>
      <c r="E1077" s="2">
        <v>3790.11</v>
      </c>
      <c r="G1077" s="3">
        <f>MONTH(Tabela1[[#This Row],[Último pagto ano]])</f>
        <v>12</v>
      </c>
      <c r="H1077" t="str">
        <f>TEXT(Tabela1[[#This Row],[Coluna2]]*29,"mmmm")</f>
        <v>dezembro</v>
      </c>
      <c r="I1077" t="str">
        <f>TEXT(MONTH(Tabela1[[#This Row],[Último pagto ano]])*29,"mmmm")</f>
        <v>dezembro</v>
      </c>
    </row>
    <row r="1078" spans="1:9" x14ac:dyDescent="0.25">
      <c r="A1078">
        <v>2025</v>
      </c>
      <c r="B1078" t="s">
        <v>2142</v>
      </c>
      <c r="C1078" s="1">
        <v>45866</v>
      </c>
      <c r="D1078" t="s">
        <v>2143</v>
      </c>
      <c r="E1078">
        <v>1.47</v>
      </c>
      <c r="G1078" s="3">
        <f>MONTH(Tabela1[[#This Row],[Último pagto ano]])</f>
        <v>7</v>
      </c>
      <c r="H1078" t="str">
        <f>TEXT(Tabela1[[#This Row],[Coluna2]]*29,"mmmm")</f>
        <v>julho</v>
      </c>
      <c r="I1078" t="str">
        <f>TEXT(MONTH(Tabela1[[#This Row],[Último pagto ano]])*29,"mmmm")</f>
        <v>julho</v>
      </c>
    </row>
    <row r="1079" spans="1:9" x14ac:dyDescent="0.25">
      <c r="A1079">
        <v>2025</v>
      </c>
      <c r="B1079" t="s">
        <v>2144</v>
      </c>
      <c r="C1079" s="1">
        <v>46010</v>
      </c>
      <c r="D1079" t="s">
        <v>2145</v>
      </c>
      <c r="E1079" s="2">
        <v>8400</v>
      </c>
      <c r="G1079" s="3">
        <f>MONTH(Tabela1[[#This Row],[Último pagto ano]])</f>
        <v>12</v>
      </c>
      <c r="H1079" t="str">
        <f>TEXT(Tabela1[[#This Row],[Coluna2]]*29,"mmmm")</f>
        <v>dezembro</v>
      </c>
      <c r="I1079" t="str">
        <f>TEXT(MONTH(Tabela1[[#This Row],[Último pagto ano]])*29,"mmmm")</f>
        <v>dezembro</v>
      </c>
    </row>
    <row r="1080" spans="1:9" x14ac:dyDescent="0.25">
      <c r="A1080">
        <v>2025</v>
      </c>
      <c r="B1080" t="s">
        <v>2146</v>
      </c>
      <c r="C1080" s="1">
        <v>45922</v>
      </c>
      <c r="D1080" t="s">
        <v>2147</v>
      </c>
      <c r="E1080" s="2">
        <v>5520</v>
      </c>
      <c r="G1080" s="3">
        <f>MONTH(Tabela1[[#This Row],[Último pagto ano]])</f>
        <v>9</v>
      </c>
      <c r="H1080" t="str">
        <f>TEXT(Tabela1[[#This Row],[Coluna2]]*29,"mmmm")</f>
        <v>setembro</v>
      </c>
      <c r="I1080" t="str">
        <f>TEXT(MONTH(Tabela1[[#This Row],[Último pagto ano]])*29,"mmmm")</f>
        <v>setembro</v>
      </c>
    </row>
    <row r="1081" spans="1:9" x14ac:dyDescent="0.25">
      <c r="A1081">
        <v>2025</v>
      </c>
      <c r="B1081" t="s">
        <v>2148</v>
      </c>
      <c r="C1081" s="1">
        <v>45876</v>
      </c>
      <c r="D1081" t="s">
        <v>2149</v>
      </c>
      <c r="E1081" s="2">
        <v>4080.74</v>
      </c>
      <c r="G1081" s="3">
        <f>MONTH(Tabela1[[#This Row],[Último pagto ano]])</f>
        <v>8</v>
      </c>
      <c r="H1081" t="str">
        <f>TEXT(Tabela1[[#This Row],[Coluna2]]*29,"mmmm")</f>
        <v>agosto</v>
      </c>
      <c r="I1081" t="str">
        <f>TEXT(MONTH(Tabela1[[#This Row],[Último pagto ano]])*29,"mmmm")</f>
        <v>agosto</v>
      </c>
    </row>
    <row r="1082" spans="1:9" x14ac:dyDescent="0.25">
      <c r="A1082">
        <v>2025</v>
      </c>
      <c r="B1082" t="s">
        <v>2150</v>
      </c>
      <c r="C1082" s="1">
        <v>45988</v>
      </c>
      <c r="D1082" t="s">
        <v>2151</v>
      </c>
      <c r="E1082" s="2">
        <v>4949.1000000000004</v>
      </c>
      <c r="G1082" s="3">
        <f>MONTH(Tabela1[[#This Row],[Último pagto ano]])</f>
        <v>11</v>
      </c>
      <c r="H1082" t="str">
        <f>TEXT(Tabela1[[#This Row],[Coluna2]]*29,"mmmm")</f>
        <v>novembro</v>
      </c>
      <c r="I1082" t="str">
        <f>TEXT(MONTH(Tabela1[[#This Row],[Último pagto ano]])*29,"mmmm")</f>
        <v>novembro</v>
      </c>
    </row>
    <row r="1083" spans="1:9" x14ac:dyDescent="0.25">
      <c r="A1083">
        <v>2025</v>
      </c>
      <c r="B1083" t="s">
        <v>2152</v>
      </c>
      <c r="C1083" s="1">
        <v>45786</v>
      </c>
      <c r="D1083" t="s">
        <v>2153</v>
      </c>
      <c r="E1083" s="2">
        <v>7100</v>
      </c>
      <c r="G1083" s="3">
        <f>MONTH(Tabela1[[#This Row],[Último pagto ano]])</f>
        <v>5</v>
      </c>
      <c r="H1083" t="str">
        <f>TEXT(Tabela1[[#This Row],[Coluna2]]*29,"mmmm")</f>
        <v>maio</v>
      </c>
      <c r="I1083" t="str">
        <f>TEXT(MONTH(Tabela1[[#This Row],[Último pagto ano]])*29,"mmmm")</f>
        <v>maio</v>
      </c>
    </row>
    <row r="1084" spans="1:9" x14ac:dyDescent="0.25">
      <c r="A1084">
        <v>2025</v>
      </c>
      <c r="B1084" t="s">
        <v>2154</v>
      </c>
      <c r="C1084" s="1">
        <v>45996</v>
      </c>
      <c r="D1084" t="s">
        <v>2155</v>
      </c>
      <c r="E1084" s="2">
        <v>17830</v>
      </c>
      <c r="G1084" s="3">
        <f>MONTH(Tabela1[[#This Row],[Último pagto ano]])</f>
        <v>12</v>
      </c>
      <c r="H1084" t="str">
        <f>TEXT(Tabela1[[#This Row],[Coluna2]]*29,"mmmm")</f>
        <v>dezembro</v>
      </c>
      <c r="I1084" t="str">
        <f>TEXT(MONTH(Tabela1[[#This Row],[Último pagto ano]])*29,"mmmm")</f>
        <v>dezembro</v>
      </c>
    </row>
    <row r="1085" spans="1:9" x14ac:dyDescent="0.25">
      <c r="A1085">
        <v>2025</v>
      </c>
      <c r="B1085" t="s">
        <v>2156</v>
      </c>
      <c r="C1085" s="1">
        <v>45695</v>
      </c>
      <c r="D1085" t="s">
        <v>2157</v>
      </c>
      <c r="E1085" s="2">
        <v>10800</v>
      </c>
      <c r="G1085" s="3">
        <f>MONTH(Tabela1[[#This Row],[Último pagto ano]])</f>
        <v>2</v>
      </c>
      <c r="H1085" t="str">
        <f>TEXT(Tabela1[[#This Row],[Coluna2]]*29,"mmmm")</f>
        <v>fevereiro</v>
      </c>
      <c r="I1085" t="str">
        <f>TEXT(MONTH(Tabela1[[#This Row],[Último pagto ano]])*29,"mmmm")</f>
        <v>fevereiro</v>
      </c>
    </row>
    <row r="1086" spans="1:9" x14ac:dyDescent="0.25">
      <c r="A1086">
        <v>2025</v>
      </c>
      <c r="B1086" t="s">
        <v>2158</v>
      </c>
      <c r="C1086" s="1">
        <v>45861</v>
      </c>
      <c r="D1086" t="s">
        <v>2159</v>
      </c>
      <c r="E1086" s="2">
        <v>56300</v>
      </c>
      <c r="G1086" s="3">
        <f>MONTH(Tabela1[[#This Row],[Último pagto ano]])</f>
        <v>7</v>
      </c>
      <c r="H1086" t="str">
        <f>TEXT(Tabela1[[#This Row],[Coluna2]]*29,"mmmm")</f>
        <v>julho</v>
      </c>
      <c r="I1086" t="str">
        <f>TEXT(MONTH(Tabela1[[#This Row],[Último pagto ano]])*29,"mmmm")</f>
        <v>julho</v>
      </c>
    </row>
    <row r="1087" spans="1:9" x14ac:dyDescent="0.25">
      <c r="A1087">
        <v>2025</v>
      </c>
      <c r="B1087" t="s">
        <v>2160</v>
      </c>
      <c r="C1087" s="1">
        <v>46008</v>
      </c>
      <c r="D1087" t="s">
        <v>2161</v>
      </c>
      <c r="E1087" s="2">
        <v>863689.04</v>
      </c>
      <c r="G1087" s="3">
        <f>MONTH(Tabela1[[#This Row],[Último pagto ano]])</f>
        <v>12</v>
      </c>
      <c r="H1087" t="str">
        <f>TEXT(Tabela1[[#This Row],[Coluna2]]*29,"mmmm")</f>
        <v>dezembro</v>
      </c>
      <c r="I1087" t="str">
        <f>TEXT(MONTH(Tabela1[[#This Row],[Último pagto ano]])*29,"mmmm")</f>
        <v>dezembro</v>
      </c>
    </row>
    <row r="1088" spans="1:9" x14ac:dyDescent="0.25">
      <c r="A1088">
        <v>2025</v>
      </c>
      <c r="B1088" t="s">
        <v>2162</v>
      </c>
      <c r="C1088" s="1">
        <v>45898</v>
      </c>
      <c r="D1088" t="s">
        <v>2163</v>
      </c>
      <c r="E1088" s="2">
        <v>6325.24</v>
      </c>
      <c r="G1088" s="3">
        <f>MONTH(Tabela1[[#This Row],[Último pagto ano]])</f>
        <v>8</v>
      </c>
      <c r="H1088" t="str">
        <f>TEXT(Tabela1[[#This Row],[Coluna2]]*29,"mmmm")</f>
        <v>agosto</v>
      </c>
      <c r="I1088" t="str">
        <f>TEXT(MONTH(Tabela1[[#This Row],[Último pagto ano]])*29,"mmmm")</f>
        <v>agosto</v>
      </c>
    </row>
    <row r="1089" spans="1:9" x14ac:dyDescent="0.25">
      <c r="A1089">
        <v>2025</v>
      </c>
      <c r="B1089" t="s">
        <v>2164</v>
      </c>
      <c r="C1089" s="1">
        <v>45989</v>
      </c>
      <c r="D1089" t="s">
        <v>2165</v>
      </c>
      <c r="E1089" s="2">
        <v>7762.93</v>
      </c>
      <c r="G1089" s="3">
        <f>MONTH(Tabela1[[#This Row],[Último pagto ano]])</f>
        <v>11</v>
      </c>
      <c r="H1089" t="str">
        <f>TEXT(Tabela1[[#This Row],[Coluna2]]*29,"mmmm")</f>
        <v>novembro</v>
      </c>
      <c r="I1089" t="str">
        <f>TEXT(MONTH(Tabela1[[#This Row],[Último pagto ano]])*29,"mmmm")</f>
        <v>novembro</v>
      </c>
    </row>
    <row r="1090" spans="1:9" x14ac:dyDescent="0.25">
      <c r="A1090">
        <v>2025</v>
      </c>
      <c r="B1090" t="s">
        <v>2166</v>
      </c>
      <c r="C1090" s="1">
        <v>46013</v>
      </c>
      <c r="D1090" t="s">
        <v>2167</v>
      </c>
      <c r="E1090" s="2">
        <v>9320.4</v>
      </c>
      <c r="G1090" s="3">
        <f>MONTH(Tabela1[[#This Row],[Último pagto ano]])</f>
        <v>12</v>
      </c>
      <c r="H1090" t="str">
        <f>TEXT(Tabela1[[#This Row],[Coluna2]]*29,"mmmm")</f>
        <v>dezembro</v>
      </c>
      <c r="I1090" t="str">
        <f>TEXT(MONTH(Tabela1[[#This Row],[Último pagto ano]])*29,"mmmm")</f>
        <v>dezembro</v>
      </c>
    </row>
    <row r="1091" spans="1:9" x14ac:dyDescent="0.25">
      <c r="A1091">
        <v>2025</v>
      </c>
      <c r="B1091" t="s">
        <v>2168</v>
      </c>
      <c r="C1091" s="1">
        <v>45868</v>
      </c>
      <c r="D1091" t="s">
        <v>2169</v>
      </c>
      <c r="E1091" s="2">
        <v>1920.32</v>
      </c>
      <c r="G1091" s="3">
        <f>MONTH(Tabela1[[#This Row],[Último pagto ano]])</f>
        <v>7</v>
      </c>
      <c r="H1091" t="str">
        <f>TEXT(Tabela1[[#This Row],[Coluna2]]*29,"mmmm")</f>
        <v>julho</v>
      </c>
      <c r="I1091" t="str">
        <f>TEXT(MONTH(Tabela1[[#This Row],[Último pagto ano]])*29,"mmmm")</f>
        <v>julho</v>
      </c>
    </row>
    <row r="1092" spans="1:9" x14ac:dyDescent="0.25">
      <c r="A1092">
        <v>2025</v>
      </c>
      <c r="B1092" t="s">
        <v>2170</v>
      </c>
      <c r="C1092" s="1">
        <v>46006</v>
      </c>
      <c r="D1092" t="s">
        <v>2171</v>
      </c>
      <c r="E1092" s="2">
        <v>13526.08</v>
      </c>
      <c r="G1092" s="3">
        <f>MONTH(Tabela1[[#This Row],[Último pagto ano]])</f>
        <v>12</v>
      </c>
      <c r="H1092" t="str">
        <f>TEXT(Tabela1[[#This Row],[Coluna2]]*29,"mmmm")</f>
        <v>dezembro</v>
      </c>
      <c r="I1092" t="str">
        <f>TEXT(MONTH(Tabela1[[#This Row],[Último pagto ano]])*29,"mmmm")</f>
        <v>dezembro</v>
      </c>
    </row>
    <row r="1093" spans="1:9" x14ac:dyDescent="0.25">
      <c r="A1093">
        <v>2025</v>
      </c>
      <c r="B1093" t="s">
        <v>2172</v>
      </c>
      <c r="C1093" s="1">
        <v>45989</v>
      </c>
      <c r="D1093" t="s">
        <v>2173</v>
      </c>
      <c r="E1093" s="2">
        <v>7993.88</v>
      </c>
      <c r="G1093" s="3">
        <f>MONTH(Tabela1[[#This Row],[Último pagto ano]])</f>
        <v>11</v>
      </c>
      <c r="H1093" t="str">
        <f>TEXT(Tabela1[[#This Row],[Coluna2]]*29,"mmmm")</f>
        <v>novembro</v>
      </c>
      <c r="I1093" t="str">
        <f>TEXT(MONTH(Tabela1[[#This Row],[Último pagto ano]])*29,"mmmm")</f>
        <v>novembro</v>
      </c>
    </row>
    <row r="1094" spans="1:9" x14ac:dyDescent="0.25">
      <c r="A1094">
        <v>2025</v>
      </c>
      <c r="B1094" t="s">
        <v>2174</v>
      </c>
      <c r="C1094" s="1">
        <v>45702</v>
      </c>
      <c r="D1094" t="s">
        <v>2175</v>
      </c>
      <c r="E1094">
        <v>996.68</v>
      </c>
      <c r="G1094" s="3">
        <f>MONTH(Tabela1[[#This Row],[Último pagto ano]])</f>
        <v>2</v>
      </c>
      <c r="H1094" t="str">
        <f>TEXT(Tabela1[[#This Row],[Coluna2]]*29,"mmmm")</f>
        <v>fevereiro</v>
      </c>
      <c r="I1094" t="str">
        <f>TEXT(MONTH(Tabela1[[#This Row],[Último pagto ano]])*29,"mmmm")</f>
        <v>fevereiro</v>
      </c>
    </row>
    <row r="1095" spans="1:9" x14ac:dyDescent="0.25">
      <c r="A1095">
        <v>2025</v>
      </c>
      <c r="B1095" t="s">
        <v>2176</v>
      </c>
      <c r="C1095" s="1">
        <v>46013</v>
      </c>
      <c r="D1095" t="s">
        <v>2177</v>
      </c>
      <c r="E1095" s="2">
        <v>4153.5</v>
      </c>
      <c r="G1095" s="3">
        <f>MONTH(Tabela1[[#This Row],[Último pagto ano]])</f>
        <v>12</v>
      </c>
      <c r="H1095" t="str">
        <f>TEXT(Tabela1[[#This Row],[Coluna2]]*29,"mmmm")</f>
        <v>dezembro</v>
      </c>
      <c r="I1095" t="str">
        <f>TEXT(MONTH(Tabela1[[#This Row],[Último pagto ano]])*29,"mmmm")</f>
        <v>dezembro</v>
      </c>
    </row>
    <row r="1096" spans="1:9" x14ac:dyDescent="0.25">
      <c r="A1096">
        <v>2025</v>
      </c>
      <c r="B1096" t="s">
        <v>2178</v>
      </c>
      <c r="C1096" s="1">
        <v>45740</v>
      </c>
      <c r="D1096" t="s">
        <v>2179</v>
      </c>
      <c r="E1096">
        <v>700</v>
      </c>
      <c r="G1096" s="3">
        <f>MONTH(Tabela1[[#This Row],[Último pagto ano]])</f>
        <v>3</v>
      </c>
      <c r="H1096" t="str">
        <f>TEXT(Tabela1[[#This Row],[Coluna2]]*29,"mmmm")</f>
        <v>março</v>
      </c>
      <c r="I1096" t="str">
        <f>TEXT(MONTH(Tabela1[[#This Row],[Último pagto ano]])*29,"mmmm")</f>
        <v>março</v>
      </c>
    </row>
    <row r="1097" spans="1:9" x14ac:dyDescent="0.25">
      <c r="A1097">
        <v>2025</v>
      </c>
      <c r="B1097" t="s">
        <v>2180</v>
      </c>
      <c r="C1097" s="1">
        <v>45754</v>
      </c>
      <c r="D1097" t="s">
        <v>2181</v>
      </c>
      <c r="E1097" s="2">
        <v>12116.76</v>
      </c>
      <c r="G1097" s="3">
        <f>MONTH(Tabela1[[#This Row],[Último pagto ano]])</f>
        <v>4</v>
      </c>
      <c r="H1097" t="str">
        <f>TEXT(Tabela1[[#This Row],[Coluna2]]*29,"mmmm")</f>
        <v>abril</v>
      </c>
      <c r="I1097" t="str">
        <f>TEXT(MONTH(Tabela1[[#This Row],[Último pagto ano]])*29,"mmmm")</f>
        <v>abril</v>
      </c>
    </row>
    <row r="1098" spans="1:9" x14ac:dyDescent="0.25">
      <c r="A1098">
        <v>2025</v>
      </c>
      <c r="B1098" t="s">
        <v>2182</v>
      </c>
      <c r="C1098" s="1">
        <v>46014</v>
      </c>
      <c r="D1098" t="s">
        <v>2183</v>
      </c>
      <c r="E1098" s="2">
        <v>7534.8</v>
      </c>
      <c r="G1098" s="3">
        <f>MONTH(Tabela1[[#This Row],[Último pagto ano]])</f>
        <v>12</v>
      </c>
      <c r="H1098" t="str">
        <f>TEXT(Tabela1[[#This Row],[Coluna2]]*29,"mmmm")</f>
        <v>dezembro</v>
      </c>
      <c r="I1098" t="str">
        <f>TEXT(MONTH(Tabela1[[#This Row],[Último pagto ano]])*29,"mmmm")</f>
        <v>dezembro</v>
      </c>
    </row>
    <row r="1099" spans="1:9" x14ac:dyDescent="0.25">
      <c r="A1099">
        <v>2025</v>
      </c>
      <c r="B1099" t="s">
        <v>2184</v>
      </c>
      <c r="C1099" s="1">
        <v>45702</v>
      </c>
      <c r="D1099" t="s">
        <v>2185</v>
      </c>
      <c r="E1099">
        <v>42.43</v>
      </c>
      <c r="G1099" s="3">
        <f>MONTH(Tabela1[[#This Row],[Último pagto ano]])</f>
        <v>2</v>
      </c>
      <c r="H1099" t="str">
        <f>TEXT(Tabela1[[#This Row],[Coluna2]]*29,"mmmm")</f>
        <v>fevereiro</v>
      </c>
      <c r="I1099" t="str">
        <f>TEXT(MONTH(Tabela1[[#This Row],[Último pagto ano]])*29,"mmmm")</f>
        <v>fevereiro</v>
      </c>
    </row>
    <row r="1100" spans="1:9" x14ac:dyDescent="0.25">
      <c r="A1100">
        <v>2025</v>
      </c>
      <c r="B1100" t="s">
        <v>2186</v>
      </c>
      <c r="C1100" s="1">
        <v>45894</v>
      </c>
      <c r="D1100" t="s">
        <v>2187</v>
      </c>
      <c r="E1100" s="2">
        <v>20750</v>
      </c>
      <c r="G1100" s="3">
        <f>MONTH(Tabela1[[#This Row],[Último pagto ano]])</f>
        <v>8</v>
      </c>
      <c r="H1100" t="str">
        <f>TEXT(Tabela1[[#This Row],[Coluna2]]*29,"mmmm")</f>
        <v>agosto</v>
      </c>
      <c r="I1100" t="str">
        <f>TEXT(MONTH(Tabela1[[#This Row],[Último pagto ano]])*29,"mmmm")</f>
        <v>agosto</v>
      </c>
    </row>
    <row r="1101" spans="1:9" x14ac:dyDescent="0.25">
      <c r="A1101">
        <v>2025</v>
      </c>
      <c r="B1101" t="s">
        <v>2188</v>
      </c>
      <c r="C1101" s="1">
        <v>45782</v>
      </c>
      <c r="D1101" t="s">
        <v>2189</v>
      </c>
      <c r="E1101" s="2">
        <v>1553429.4</v>
      </c>
      <c r="G1101" s="3">
        <f>MONTH(Tabela1[[#This Row],[Último pagto ano]])</f>
        <v>5</v>
      </c>
      <c r="H1101" t="str">
        <f>TEXT(Tabela1[[#This Row],[Coluna2]]*29,"mmmm")</f>
        <v>maio</v>
      </c>
      <c r="I1101" t="str">
        <f>TEXT(MONTH(Tabela1[[#This Row],[Último pagto ano]])*29,"mmmm")</f>
        <v>maio</v>
      </c>
    </row>
    <row r="1102" spans="1:9" x14ac:dyDescent="0.25">
      <c r="A1102">
        <v>2025</v>
      </c>
      <c r="B1102" t="s">
        <v>2190</v>
      </c>
      <c r="C1102" s="1">
        <v>45712</v>
      </c>
      <c r="D1102" t="s">
        <v>2191</v>
      </c>
      <c r="E1102" s="2">
        <v>30120</v>
      </c>
      <c r="G1102" s="3">
        <f>MONTH(Tabela1[[#This Row],[Último pagto ano]])</f>
        <v>2</v>
      </c>
      <c r="H1102" t="str">
        <f>TEXT(Tabela1[[#This Row],[Coluna2]]*29,"mmmm")</f>
        <v>fevereiro</v>
      </c>
      <c r="I1102" t="str">
        <f>TEXT(MONTH(Tabela1[[#This Row],[Último pagto ano]])*29,"mmmm")</f>
        <v>fevereiro</v>
      </c>
    </row>
    <row r="1103" spans="1:9" x14ac:dyDescent="0.25">
      <c r="A1103">
        <v>2025</v>
      </c>
      <c r="B1103" t="s">
        <v>2192</v>
      </c>
      <c r="C1103" s="1">
        <v>46014</v>
      </c>
      <c r="D1103" t="s">
        <v>2193</v>
      </c>
      <c r="E1103" s="2">
        <v>11426367.689999999</v>
      </c>
      <c r="G1103" s="3">
        <f>MONTH(Tabela1[[#This Row],[Último pagto ano]])</f>
        <v>12</v>
      </c>
      <c r="H1103" t="str">
        <f>TEXT(Tabela1[[#This Row],[Coluna2]]*29,"mmmm")</f>
        <v>dezembro</v>
      </c>
      <c r="I1103" t="str">
        <f>TEXT(MONTH(Tabela1[[#This Row],[Último pagto ano]])*29,"mmmm")</f>
        <v>dezembro</v>
      </c>
    </row>
    <row r="1104" spans="1:9" x14ac:dyDescent="0.25">
      <c r="A1104">
        <v>2025</v>
      </c>
      <c r="B1104" t="s">
        <v>2194</v>
      </c>
      <c r="C1104" s="1">
        <v>45903</v>
      </c>
      <c r="D1104" t="s">
        <v>2195</v>
      </c>
      <c r="E1104" s="2">
        <v>241991.2</v>
      </c>
      <c r="G1104" s="3">
        <f>MONTH(Tabela1[[#This Row],[Último pagto ano]])</f>
        <v>9</v>
      </c>
      <c r="H1104" t="str">
        <f>TEXT(Tabela1[[#This Row],[Coluna2]]*29,"mmmm")</f>
        <v>setembro</v>
      </c>
      <c r="I1104" t="str">
        <f>TEXT(MONTH(Tabela1[[#This Row],[Último pagto ano]])*29,"mmmm")</f>
        <v>setembro</v>
      </c>
    </row>
    <row r="1105" spans="1:9" x14ac:dyDescent="0.25">
      <c r="A1105">
        <v>2025</v>
      </c>
      <c r="B1105" t="s">
        <v>2196</v>
      </c>
      <c r="C1105" s="1">
        <v>45769</v>
      </c>
      <c r="D1105" t="s">
        <v>2197</v>
      </c>
      <c r="E1105" s="2">
        <v>15840</v>
      </c>
      <c r="G1105" s="3">
        <f>MONTH(Tabela1[[#This Row],[Último pagto ano]])</f>
        <v>4</v>
      </c>
      <c r="H1105" t="str">
        <f>TEXT(Tabela1[[#This Row],[Coluna2]]*29,"mmmm")</f>
        <v>abril</v>
      </c>
      <c r="I1105" t="str">
        <f>TEXT(MONTH(Tabela1[[#This Row],[Último pagto ano]])*29,"mmmm")</f>
        <v>abril</v>
      </c>
    </row>
    <row r="1106" spans="1:9" x14ac:dyDescent="0.25">
      <c r="A1106">
        <v>2025</v>
      </c>
      <c r="B1106" t="s">
        <v>2198</v>
      </c>
      <c r="C1106" s="1">
        <v>46008</v>
      </c>
      <c r="D1106" t="s">
        <v>2199</v>
      </c>
      <c r="E1106" s="2">
        <v>9929</v>
      </c>
      <c r="G1106" s="3">
        <f>MONTH(Tabela1[[#This Row],[Último pagto ano]])</f>
        <v>12</v>
      </c>
      <c r="H1106" t="str">
        <f>TEXT(Tabela1[[#This Row],[Coluna2]]*29,"mmmm")</f>
        <v>dezembro</v>
      </c>
      <c r="I1106" t="str">
        <f>TEXT(MONTH(Tabela1[[#This Row],[Último pagto ano]])*29,"mmmm")</f>
        <v>dezembro</v>
      </c>
    </row>
    <row r="1107" spans="1:9" x14ac:dyDescent="0.25">
      <c r="A1107">
        <v>2025</v>
      </c>
      <c r="B1107" t="s">
        <v>2200</v>
      </c>
      <c r="C1107" s="1">
        <v>45894</v>
      </c>
      <c r="D1107" t="s">
        <v>2201</v>
      </c>
      <c r="E1107" s="2">
        <v>29850</v>
      </c>
      <c r="G1107" s="3">
        <f>MONTH(Tabela1[[#This Row],[Último pagto ano]])</f>
        <v>8</v>
      </c>
      <c r="H1107" t="str">
        <f>TEXT(Tabela1[[#This Row],[Coluna2]]*29,"mmmm")</f>
        <v>agosto</v>
      </c>
      <c r="I1107" t="str">
        <f>TEXT(MONTH(Tabela1[[#This Row],[Último pagto ano]])*29,"mmmm")</f>
        <v>agosto</v>
      </c>
    </row>
    <row r="1108" spans="1:9" x14ac:dyDescent="0.25">
      <c r="A1108">
        <v>2025</v>
      </c>
      <c r="B1108" t="s">
        <v>2202</v>
      </c>
      <c r="C1108" s="1">
        <v>46014</v>
      </c>
      <c r="D1108" t="s">
        <v>2203</v>
      </c>
      <c r="E1108" s="2">
        <v>48057.48</v>
      </c>
      <c r="G1108" s="3">
        <f>MONTH(Tabela1[[#This Row],[Último pagto ano]])</f>
        <v>12</v>
      </c>
      <c r="H1108" t="str">
        <f>TEXT(Tabela1[[#This Row],[Coluna2]]*29,"mmmm")</f>
        <v>dezembro</v>
      </c>
      <c r="I1108" t="str">
        <f>TEXT(MONTH(Tabela1[[#This Row],[Último pagto ano]])*29,"mmmm")</f>
        <v>dezembro</v>
      </c>
    </row>
    <row r="1109" spans="1:9" x14ac:dyDescent="0.25">
      <c r="A1109">
        <v>2025</v>
      </c>
      <c r="B1109" t="s">
        <v>2204</v>
      </c>
      <c r="C1109" s="1">
        <v>45999</v>
      </c>
      <c r="D1109" t="s">
        <v>2205</v>
      </c>
      <c r="E1109" s="2">
        <v>254563.36</v>
      </c>
      <c r="G1109" s="3">
        <f>MONTH(Tabela1[[#This Row],[Último pagto ano]])</f>
        <v>12</v>
      </c>
      <c r="H1109" t="str">
        <f>TEXT(Tabela1[[#This Row],[Coluna2]]*29,"mmmm")</f>
        <v>dezembro</v>
      </c>
      <c r="I1109" t="str">
        <f>TEXT(MONTH(Tabela1[[#This Row],[Último pagto ano]])*29,"mmmm")</f>
        <v>dezembro</v>
      </c>
    </row>
    <row r="1110" spans="1:9" x14ac:dyDescent="0.25">
      <c r="A1110">
        <v>2025</v>
      </c>
      <c r="B1110" t="s">
        <v>2206</v>
      </c>
      <c r="C1110" s="1">
        <v>45894</v>
      </c>
      <c r="D1110" t="s">
        <v>2207</v>
      </c>
      <c r="E1110" s="2">
        <v>1460</v>
      </c>
      <c r="G1110" s="3">
        <f>MONTH(Tabela1[[#This Row],[Último pagto ano]])</f>
        <v>8</v>
      </c>
      <c r="H1110" t="str">
        <f>TEXT(Tabela1[[#This Row],[Coluna2]]*29,"mmmm")</f>
        <v>agosto</v>
      </c>
      <c r="I1110" t="str">
        <f>TEXT(MONTH(Tabela1[[#This Row],[Último pagto ano]])*29,"mmmm")</f>
        <v>agosto</v>
      </c>
    </row>
    <row r="1111" spans="1:9" x14ac:dyDescent="0.25">
      <c r="A1111">
        <v>2025</v>
      </c>
      <c r="B1111" t="s">
        <v>2208</v>
      </c>
      <c r="C1111" s="1">
        <v>45880</v>
      </c>
      <c r="D1111" t="s">
        <v>2209</v>
      </c>
      <c r="E1111">
        <v>716.33</v>
      </c>
      <c r="G1111" s="3">
        <f>MONTH(Tabela1[[#This Row],[Último pagto ano]])</f>
        <v>8</v>
      </c>
      <c r="H1111" t="str">
        <f>TEXT(Tabela1[[#This Row],[Coluna2]]*29,"mmmm")</f>
        <v>agosto</v>
      </c>
      <c r="I1111" t="str">
        <f>TEXT(MONTH(Tabela1[[#This Row],[Último pagto ano]])*29,"mmmm")</f>
        <v>agosto</v>
      </c>
    </row>
    <row r="1112" spans="1:9" x14ac:dyDescent="0.25">
      <c r="A1112">
        <v>2025</v>
      </c>
      <c r="B1112" t="s">
        <v>2210</v>
      </c>
      <c r="C1112" s="1">
        <v>45978</v>
      </c>
      <c r="D1112" t="s">
        <v>2211</v>
      </c>
      <c r="E1112" s="2">
        <v>2132.33</v>
      </c>
      <c r="G1112" s="3">
        <f>MONTH(Tabela1[[#This Row],[Último pagto ano]])</f>
        <v>11</v>
      </c>
      <c r="H1112" t="str">
        <f>TEXT(Tabela1[[#This Row],[Coluna2]]*29,"mmmm")</f>
        <v>novembro</v>
      </c>
      <c r="I1112" t="str">
        <f>TEXT(MONTH(Tabela1[[#This Row],[Último pagto ano]])*29,"mmmm")</f>
        <v>novembro</v>
      </c>
    </row>
    <row r="1113" spans="1:9" x14ac:dyDescent="0.25">
      <c r="A1113">
        <v>2025</v>
      </c>
      <c r="B1113" t="s">
        <v>2212</v>
      </c>
      <c r="C1113" s="1">
        <v>45769</v>
      </c>
      <c r="D1113" t="s">
        <v>2213</v>
      </c>
      <c r="E1113">
        <v>170.72</v>
      </c>
      <c r="G1113" s="3">
        <f>MONTH(Tabela1[[#This Row],[Último pagto ano]])</f>
        <v>4</v>
      </c>
      <c r="H1113" t="str">
        <f>TEXT(Tabela1[[#This Row],[Coluna2]]*29,"mmmm")</f>
        <v>abril</v>
      </c>
      <c r="I1113" t="str">
        <f>TEXT(MONTH(Tabela1[[#This Row],[Último pagto ano]])*29,"mmmm")</f>
        <v>abril</v>
      </c>
    </row>
    <row r="1114" spans="1:9" x14ac:dyDescent="0.25">
      <c r="A1114">
        <v>2025</v>
      </c>
      <c r="B1114" t="s">
        <v>2214</v>
      </c>
      <c r="C1114" s="1">
        <v>46014</v>
      </c>
      <c r="D1114" t="s">
        <v>2215</v>
      </c>
      <c r="E1114" s="2">
        <v>178147.20000000001</v>
      </c>
      <c r="G1114" s="3">
        <f>MONTH(Tabela1[[#This Row],[Último pagto ano]])</f>
        <v>12</v>
      </c>
      <c r="H1114" t="str">
        <f>TEXT(Tabela1[[#This Row],[Coluna2]]*29,"mmmm")</f>
        <v>dezembro</v>
      </c>
      <c r="I1114" t="str">
        <f>TEXT(MONTH(Tabela1[[#This Row],[Último pagto ano]])*29,"mmmm")</f>
        <v>dezembro</v>
      </c>
    </row>
    <row r="1115" spans="1:9" x14ac:dyDescent="0.25">
      <c r="A1115">
        <v>2025</v>
      </c>
      <c r="B1115" t="s">
        <v>2216</v>
      </c>
      <c r="C1115" s="1">
        <v>45931</v>
      </c>
      <c r="D1115" t="s">
        <v>2217</v>
      </c>
      <c r="E1115" s="2">
        <v>2458333.2999999998</v>
      </c>
      <c r="G1115" s="3">
        <f>MONTH(Tabela1[[#This Row],[Último pagto ano]])</f>
        <v>10</v>
      </c>
      <c r="H1115" t="str">
        <f>TEXT(Tabela1[[#This Row],[Coluna2]]*29,"mmmm")</f>
        <v>outubro</v>
      </c>
      <c r="I1115" t="str">
        <f>TEXT(MONTH(Tabela1[[#This Row],[Último pagto ano]])*29,"mmmm")</f>
        <v>outubro</v>
      </c>
    </row>
    <row r="1116" spans="1:9" x14ac:dyDescent="0.25">
      <c r="A1116">
        <v>2025</v>
      </c>
      <c r="B1116" t="s">
        <v>2218</v>
      </c>
      <c r="C1116" s="1">
        <v>46014</v>
      </c>
      <c r="D1116" t="s">
        <v>2219</v>
      </c>
      <c r="E1116" s="2">
        <v>54252.3</v>
      </c>
      <c r="G1116" s="3">
        <f>MONTH(Tabela1[[#This Row],[Último pagto ano]])</f>
        <v>12</v>
      </c>
      <c r="H1116" t="str">
        <f>TEXT(Tabela1[[#This Row],[Coluna2]]*29,"mmmm")</f>
        <v>dezembro</v>
      </c>
      <c r="I1116" t="str">
        <f>TEXT(MONTH(Tabela1[[#This Row],[Último pagto ano]])*29,"mmmm")</f>
        <v>dezembro</v>
      </c>
    </row>
    <row r="1117" spans="1:9" x14ac:dyDescent="0.25">
      <c r="A1117">
        <v>2025</v>
      </c>
      <c r="B1117" t="s">
        <v>2220</v>
      </c>
      <c r="C1117" s="1">
        <v>45754</v>
      </c>
      <c r="D1117" t="s">
        <v>2221</v>
      </c>
      <c r="E1117" s="2">
        <v>227998.48</v>
      </c>
      <c r="G1117" s="3">
        <f>MONTH(Tabela1[[#This Row],[Último pagto ano]])</f>
        <v>4</v>
      </c>
      <c r="H1117" t="str">
        <f>TEXT(Tabela1[[#This Row],[Coluna2]]*29,"mmmm")</f>
        <v>abril</v>
      </c>
      <c r="I1117" t="str">
        <f>TEXT(MONTH(Tabela1[[#This Row],[Último pagto ano]])*29,"mmmm")</f>
        <v>abril</v>
      </c>
    </row>
    <row r="1118" spans="1:9" x14ac:dyDescent="0.25">
      <c r="A1118">
        <v>2025</v>
      </c>
      <c r="B1118" t="s">
        <v>2222</v>
      </c>
      <c r="C1118" s="1">
        <v>45971</v>
      </c>
      <c r="D1118" t="s">
        <v>2223</v>
      </c>
      <c r="E1118">
        <v>143.9</v>
      </c>
      <c r="G1118" s="3">
        <f>MONTH(Tabela1[[#This Row],[Último pagto ano]])</f>
        <v>11</v>
      </c>
      <c r="H1118" t="str">
        <f>TEXT(Tabela1[[#This Row],[Coluna2]]*29,"mmmm")</f>
        <v>novembro</v>
      </c>
      <c r="I1118" t="str">
        <f>TEXT(MONTH(Tabela1[[#This Row],[Último pagto ano]])*29,"mmmm")</f>
        <v>novembro</v>
      </c>
    </row>
    <row r="1119" spans="1:9" x14ac:dyDescent="0.25">
      <c r="A1119">
        <v>2025</v>
      </c>
      <c r="B1119" t="s">
        <v>2224</v>
      </c>
      <c r="C1119" s="1">
        <v>45820</v>
      </c>
      <c r="D1119" t="s">
        <v>2225</v>
      </c>
      <c r="E1119">
        <v>980</v>
      </c>
      <c r="G1119" s="3">
        <f>MONTH(Tabela1[[#This Row],[Último pagto ano]])</f>
        <v>6</v>
      </c>
      <c r="H1119" t="str">
        <f>TEXT(Tabela1[[#This Row],[Coluna2]]*29,"mmmm")</f>
        <v>junho</v>
      </c>
      <c r="I1119" t="str">
        <f>TEXT(MONTH(Tabela1[[#This Row],[Último pagto ano]])*29,"mmmm")</f>
        <v>junho</v>
      </c>
    </row>
    <row r="1120" spans="1:9" x14ac:dyDescent="0.25">
      <c r="A1120">
        <v>2025</v>
      </c>
      <c r="B1120" t="s">
        <v>2226</v>
      </c>
      <c r="C1120" s="1">
        <v>46003</v>
      </c>
      <c r="D1120" t="s">
        <v>2227</v>
      </c>
      <c r="E1120" s="2">
        <v>79200</v>
      </c>
      <c r="G1120" s="3">
        <f>MONTH(Tabela1[[#This Row],[Último pagto ano]])</f>
        <v>12</v>
      </c>
      <c r="H1120" t="str">
        <f>TEXT(Tabela1[[#This Row],[Coluna2]]*29,"mmmm")</f>
        <v>dezembro</v>
      </c>
      <c r="I1120" t="str">
        <f>TEXT(MONTH(Tabela1[[#This Row],[Último pagto ano]])*29,"mmmm")</f>
        <v>dezembro</v>
      </c>
    </row>
    <row r="1121" spans="1:9" x14ac:dyDescent="0.25">
      <c r="A1121">
        <v>2025</v>
      </c>
      <c r="B1121" t="s">
        <v>2228</v>
      </c>
      <c r="C1121" s="1">
        <v>45792</v>
      </c>
      <c r="D1121" t="s">
        <v>2229</v>
      </c>
      <c r="E1121" s="2">
        <v>1380</v>
      </c>
      <c r="G1121" s="3">
        <f>MONTH(Tabela1[[#This Row],[Último pagto ano]])</f>
        <v>5</v>
      </c>
      <c r="H1121" t="str">
        <f>TEXT(Tabela1[[#This Row],[Coluna2]]*29,"mmmm")</f>
        <v>maio</v>
      </c>
      <c r="I1121" t="str">
        <f>TEXT(MONTH(Tabela1[[#This Row],[Último pagto ano]])*29,"mmmm")</f>
        <v>maio</v>
      </c>
    </row>
    <row r="1122" spans="1:9" x14ac:dyDescent="0.25">
      <c r="A1122">
        <v>2025</v>
      </c>
      <c r="B1122" t="s">
        <v>2230</v>
      </c>
      <c r="C1122" s="1">
        <v>46010</v>
      </c>
      <c r="D1122" t="s">
        <v>2231</v>
      </c>
      <c r="E1122" s="2">
        <v>3500</v>
      </c>
      <c r="G1122" s="3">
        <f>MONTH(Tabela1[[#This Row],[Último pagto ano]])</f>
        <v>12</v>
      </c>
      <c r="H1122" t="str">
        <f>TEXT(Tabela1[[#This Row],[Coluna2]]*29,"mmmm")</f>
        <v>dezembro</v>
      </c>
      <c r="I1122" t="str">
        <f>TEXT(MONTH(Tabela1[[#This Row],[Último pagto ano]])*29,"mmmm")</f>
        <v>dezembro</v>
      </c>
    </row>
    <row r="1123" spans="1:9" x14ac:dyDescent="0.25">
      <c r="A1123">
        <v>2025</v>
      </c>
      <c r="B1123" t="s">
        <v>2232</v>
      </c>
      <c r="C1123" s="1">
        <v>45817</v>
      </c>
      <c r="D1123" t="s">
        <v>2233</v>
      </c>
      <c r="E1123">
        <v>6.39</v>
      </c>
      <c r="G1123" s="3">
        <f>MONTH(Tabela1[[#This Row],[Último pagto ano]])</f>
        <v>6</v>
      </c>
      <c r="H1123" t="str">
        <f>TEXT(Tabela1[[#This Row],[Coluna2]]*29,"mmmm")</f>
        <v>junho</v>
      </c>
      <c r="I1123" t="str">
        <f>TEXT(MONTH(Tabela1[[#This Row],[Último pagto ano]])*29,"mmmm")</f>
        <v>junho</v>
      </c>
    </row>
    <row r="1124" spans="1:9" x14ac:dyDescent="0.25">
      <c r="A1124">
        <v>2025</v>
      </c>
      <c r="B1124" t="s">
        <v>2234</v>
      </c>
      <c r="C1124" s="1">
        <v>45698</v>
      </c>
      <c r="D1124" t="s">
        <v>2235</v>
      </c>
      <c r="E1124" s="2">
        <v>51499.69</v>
      </c>
      <c r="G1124" s="3">
        <f>MONTH(Tabela1[[#This Row],[Último pagto ano]])</f>
        <v>2</v>
      </c>
      <c r="H1124" t="str">
        <f>TEXT(Tabela1[[#This Row],[Coluna2]]*29,"mmmm")</f>
        <v>fevereiro</v>
      </c>
      <c r="I1124" t="str">
        <f>TEXT(MONTH(Tabela1[[#This Row],[Último pagto ano]])*29,"mmmm")</f>
        <v>fevereiro</v>
      </c>
    </row>
    <row r="1125" spans="1:9" x14ac:dyDescent="0.25">
      <c r="A1125">
        <v>2025</v>
      </c>
      <c r="B1125" t="s">
        <v>2236</v>
      </c>
      <c r="C1125" s="1">
        <v>45891</v>
      </c>
      <c r="D1125" t="s">
        <v>2237</v>
      </c>
      <c r="E1125">
        <v>585.6</v>
      </c>
      <c r="G1125" s="3">
        <f>MONTH(Tabela1[[#This Row],[Último pagto ano]])</f>
        <v>8</v>
      </c>
      <c r="H1125" t="str">
        <f>TEXT(Tabela1[[#This Row],[Coluna2]]*29,"mmmm")</f>
        <v>agosto</v>
      </c>
      <c r="I1125" t="str">
        <f>TEXT(MONTH(Tabela1[[#This Row],[Último pagto ano]])*29,"mmmm")</f>
        <v>agosto</v>
      </c>
    </row>
    <row r="1126" spans="1:9" x14ac:dyDescent="0.25">
      <c r="A1126">
        <v>2025</v>
      </c>
      <c r="B1126" t="s">
        <v>2238</v>
      </c>
      <c r="C1126" s="1">
        <v>45915</v>
      </c>
      <c r="D1126" t="s">
        <v>2239</v>
      </c>
      <c r="E1126" s="2">
        <v>47706.16</v>
      </c>
      <c r="G1126" s="3">
        <f>MONTH(Tabela1[[#This Row],[Último pagto ano]])</f>
        <v>9</v>
      </c>
      <c r="H1126" t="str">
        <f>TEXT(Tabela1[[#This Row],[Coluna2]]*29,"mmmm")</f>
        <v>setembro</v>
      </c>
      <c r="I1126" t="str">
        <f>TEXT(MONTH(Tabela1[[#This Row],[Último pagto ano]])*29,"mmmm")</f>
        <v>setembro</v>
      </c>
    </row>
    <row r="1127" spans="1:9" x14ac:dyDescent="0.25">
      <c r="A1127">
        <v>2025</v>
      </c>
      <c r="B1127" t="s">
        <v>2240</v>
      </c>
      <c r="C1127" s="1">
        <v>45889</v>
      </c>
      <c r="D1127" t="s">
        <v>2241</v>
      </c>
      <c r="E1127">
        <v>898.57</v>
      </c>
      <c r="G1127" s="3">
        <f>MONTH(Tabela1[[#This Row],[Último pagto ano]])</f>
        <v>8</v>
      </c>
      <c r="H1127" t="str">
        <f>TEXT(Tabela1[[#This Row],[Coluna2]]*29,"mmmm")</f>
        <v>agosto</v>
      </c>
      <c r="I1127" t="str">
        <f>TEXT(MONTH(Tabela1[[#This Row],[Último pagto ano]])*29,"mmmm")</f>
        <v>agosto</v>
      </c>
    </row>
    <row r="1128" spans="1:9" x14ac:dyDescent="0.25">
      <c r="A1128">
        <v>2025</v>
      </c>
      <c r="B1128" t="s">
        <v>2242</v>
      </c>
      <c r="C1128" s="1">
        <v>46014</v>
      </c>
      <c r="D1128" t="s">
        <v>2243</v>
      </c>
      <c r="E1128" s="2">
        <v>140157.47</v>
      </c>
      <c r="G1128" s="3">
        <f>MONTH(Tabela1[[#This Row],[Último pagto ano]])</f>
        <v>12</v>
      </c>
      <c r="H1128" t="str">
        <f>TEXT(Tabela1[[#This Row],[Coluna2]]*29,"mmmm")</f>
        <v>dezembro</v>
      </c>
      <c r="I1128" t="str">
        <f>TEXT(MONTH(Tabela1[[#This Row],[Último pagto ano]])*29,"mmmm")</f>
        <v>dezembro</v>
      </c>
    </row>
    <row r="1129" spans="1:9" x14ac:dyDescent="0.25">
      <c r="A1129">
        <v>2025</v>
      </c>
      <c r="B1129" t="s">
        <v>2244</v>
      </c>
      <c r="C1129" s="1">
        <v>45702</v>
      </c>
      <c r="D1129" t="s">
        <v>2245</v>
      </c>
      <c r="E1129" s="2">
        <v>4100</v>
      </c>
      <c r="G1129" s="3">
        <f>MONTH(Tabela1[[#This Row],[Último pagto ano]])</f>
        <v>2</v>
      </c>
      <c r="H1129" t="str">
        <f>TEXT(Tabela1[[#This Row],[Coluna2]]*29,"mmmm")</f>
        <v>fevereiro</v>
      </c>
      <c r="I1129" t="str">
        <f>TEXT(MONTH(Tabela1[[#This Row],[Último pagto ano]])*29,"mmmm")</f>
        <v>fevereiro</v>
      </c>
    </row>
    <row r="1130" spans="1:9" x14ac:dyDescent="0.25">
      <c r="A1130">
        <v>2025</v>
      </c>
      <c r="B1130" t="s">
        <v>2246</v>
      </c>
      <c r="C1130" s="1">
        <v>45701</v>
      </c>
      <c r="D1130" t="s">
        <v>2247</v>
      </c>
      <c r="E1130" s="2">
        <v>219997.44</v>
      </c>
      <c r="G1130" s="3">
        <f>MONTH(Tabela1[[#This Row],[Último pagto ano]])</f>
        <v>2</v>
      </c>
      <c r="H1130" t="str">
        <f>TEXT(Tabela1[[#This Row],[Coluna2]]*29,"mmmm")</f>
        <v>fevereiro</v>
      </c>
      <c r="I1130" t="str">
        <f>TEXT(MONTH(Tabela1[[#This Row],[Último pagto ano]])*29,"mmmm")</f>
        <v>fevereiro</v>
      </c>
    </row>
    <row r="1131" spans="1:9" x14ac:dyDescent="0.25">
      <c r="A1131">
        <v>2025</v>
      </c>
      <c r="B1131" t="s">
        <v>2248</v>
      </c>
      <c r="C1131" s="1">
        <v>45926</v>
      </c>
      <c r="D1131" t="s">
        <v>2249</v>
      </c>
      <c r="E1131" s="2">
        <v>53801.4</v>
      </c>
      <c r="G1131" s="3">
        <f>MONTH(Tabela1[[#This Row],[Último pagto ano]])</f>
        <v>9</v>
      </c>
      <c r="H1131" t="str">
        <f>TEXT(Tabela1[[#This Row],[Coluna2]]*29,"mmmm")</f>
        <v>setembro</v>
      </c>
      <c r="I1131" t="str">
        <f>TEXT(MONTH(Tabela1[[#This Row],[Último pagto ano]])*29,"mmmm")</f>
        <v>setembro</v>
      </c>
    </row>
    <row r="1132" spans="1:9" x14ac:dyDescent="0.25">
      <c r="A1132">
        <v>2025</v>
      </c>
      <c r="B1132" t="s">
        <v>2250</v>
      </c>
      <c r="C1132" s="1">
        <v>45996</v>
      </c>
      <c r="D1132" t="s">
        <v>2251</v>
      </c>
      <c r="E1132" s="2">
        <v>9600</v>
      </c>
      <c r="G1132" s="3">
        <f>MONTH(Tabela1[[#This Row],[Último pagto ano]])</f>
        <v>12</v>
      </c>
      <c r="H1132" t="str">
        <f>TEXT(Tabela1[[#This Row],[Coluna2]]*29,"mmmm")</f>
        <v>dezembro</v>
      </c>
      <c r="I1132" t="str">
        <f>TEXT(MONTH(Tabela1[[#This Row],[Último pagto ano]])*29,"mmmm")</f>
        <v>dezembro</v>
      </c>
    </row>
    <row r="1133" spans="1:9" x14ac:dyDescent="0.25">
      <c r="A1133">
        <v>2025</v>
      </c>
      <c r="B1133" t="s">
        <v>2252</v>
      </c>
      <c r="C1133" s="1">
        <v>45894</v>
      </c>
      <c r="D1133" t="s">
        <v>2253</v>
      </c>
      <c r="E1133">
        <v>86.8</v>
      </c>
      <c r="G1133" s="3">
        <f>MONTH(Tabela1[[#This Row],[Último pagto ano]])</f>
        <v>8</v>
      </c>
      <c r="H1133" t="str">
        <f>TEXT(Tabela1[[#This Row],[Coluna2]]*29,"mmmm")</f>
        <v>agosto</v>
      </c>
      <c r="I1133" t="str">
        <f>TEXT(MONTH(Tabela1[[#This Row],[Último pagto ano]])*29,"mmmm")</f>
        <v>agosto</v>
      </c>
    </row>
    <row r="1134" spans="1:9" x14ac:dyDescent="0.25">
      <c r="A1134">
        <v>2025</v>
      </c>
      <c r="B1134" t="s">
        <v>2254</v>
      </c>
      <c r="C1134" s="1">
        <v>45950</v>
      </c>
      <c r="D1134" t="s">
        <v>2255</v>
      </c>
      <c r="E1134">
        <v>22</v>
      </c>
      <c r="G1134" s="3">
        <f>MONTH(Tabela1[[#This Row],[Último pagto ano]])</f>
        <v>10</v>
      </c>
      <c r="H1134" t="str">
        <f>TEXT(Tabela1[[#This Row],[Coluna2]]*29,"mmmm")</f>
        <v>outubro</v>
      </c>
      <c r="I1134" t="str">
        <f>TEXT(MONTH(Tabela1[[#This Row],[Último pagto ano]])*29,"mmmm")</f>
        <v>outubro</v>
      </c>
    </row>
    <row r="1135" spans="1:9" x14ac:dyDescent="0.25">
      <c r="A1135">
        <v>2025</v>
      </c>
      <c r="B1135" t="s">
        <v>2256</v>
      </c>
      <c r="C1135" s="1">
        <v>46021</v>
      </c>
      <c r="D1135" t="s">
        <v>2257</v>
      </c>
      <c r="E1135" s="2">
        <v>14699.77</v>
      </c>
      <c r="G1135" s="3">
        <f>MONTH(Tabela1[[#This Row],[Último pagto ano]])</f>
        <v>12</v>
      </c>
      <c r="H1135" t="str">
        <f>TEXT(Tabela1[[#This Row],[Coluna2]]*29,"mmmm")</f>
        <v>dezembro</v>
      </c>
      <c r="I1135" t="str">
        <f>TEXT(MONTH(Tabela1[[#This Row],[Último pagto ano]])*29,"mmmm")</f>
        <v>dezembro</v>
      </c>
    </row>
    <row r="1136" spans="1:9" x14ac:dyDescent="0.25">
      <c r="A1136">
        <v>2025</v>
      </c>
      <c r="B1136" t="s">
        <v>2258</v>
      </c>
      <c r="C1136" s="1">
        <v>46003</v>
      </c>
      <c r="D1136" t="s">
        <v>2259</v>
      </c>
      <c r="E1136" s="2">
        <v>71465.7</v>
      </c>
      <c r="G1136" s="3">
        <f>MONTH(Tabela1[[#This Row],[Último pagto ano]])</f>
        <v>12</v>
      </c>
      <c r="H1136" t="str">
        <f>TEXT(Tabela1[[#This Row],[Coluna2]]*29,"mmmm")</f>
        <v>dezembro</v>
      </c>
      <c r="I1136" t="str">
        <f>TEXT(MONTH(Tabela1[[#This Row],[Último pagto ano]])*29,"mmmm")</f>
        <v>dezembro</v>
      </c>
    </row>
    <row r="1137" spans="1:9" x14ac:dyDescent="0.25">
      <c r="A1137">
        <v>2025</v>
      </c>
      <c r="B1137" t="s">
        <v>2260</v>
      </c>
      <c r="C1137" s="1">
        <v>45996</v>
      </c>
      <c r="D1137" t="s">
        <v>2261</v>
      </c>
      <c r="E1137" s="2">
        <v>10800</v>
      </c>
      <c r="G1137" s="3">
        <f>MONTH(Tabela1[[#This Row],[Último pagto ano]])</f>
        <v>12</v>
      </c>
      <c r="H1137" t="str">
        <f>TEXT(Tabela1[[#This Row],[Coluna2]]*29,"mmmm")</f>
        <v>dezembro</v>
      </c>
      <c r="I1137" t="str">
        <f>TEXT(MONTH(Tabela1[[#This Row],[Último pagto ano]])*29,"mmmm")</f>
        <v>dezembro</v>
      </c>
    </row>
    <row r="1138" spans="1:9" x14ac:dyDescent="0.25">
      <c r="A1138">
        <v>2025</v>
      </c>
      <c r="B1138" t="s">
        <v>2262</v>
      </c>
      <c r="C1138" s="1">
        <v>45898</v>
      </c>
      <c r="D1138" t="s">
        <v>2263</v>
      </c>
      <c r="E1138" s="2">
        <v>7206.57</v>
      </c>
      <c r="G1138" s="3">
        <f>MONTH(Tabela1[[#This Row],[Último pagto ano]])</f>
        <v>8</v>
      </c>
      <c r="H1138" t="str">
        <f>TEXT(Tabela1[[#This Row],[Coluna2]]*29,"mmmm")</f>
        <v>agosto</v>
      </c>
      <c r="I1138" t="str">
        <f>TEXT(MONTH(Tabela1[[#This Row],[Último pagto ano]])*29,"mmmm")</f>
        <v>agosto</v>
      </c>
    </row>
    <row r="1139" spans="1:9" x14ac:dyDescent="0.25">
      <c r="A1139">
        <v>2025</v>
      </c>
      <c r="B1139" t="s">
        <v>2264</v>
      </c>
      <c r="C1139" s="1">
        <v>45996</v>
      </c>
      <c r="D1139" t="s">
        <v>2265</v>
      </c>
      <c r="E1139" s="2">
        <v>5000</v>
      </c>
      <c r="G1139" s="3">
        <f>MONTH(Tabela1[[#This Row],[Último pagto ano]])</f>
        <v>12</v>
      </c>
      <c r="H1139" t="str">
        <f>TEXT(Tabela1[[#This Row],[Coluna2]]*29,"mmmm")</f>
        <v>dezembro</v>
      </c>
      <c r="I1139" t="str">
        <f>TEXT(MONTH(Tabela1[[#This Row],[Último pagto ano]])*29,"mmmm")</f>
        <v>dezembro</v>
      </c>
    </row>
    <row r="1140" spans="1:9" x14ac:dyDescent="0.25">
      <c r="A1140">
        <v>2025</v>
      </c>
      <c r="B1140" t="s">
        <v>2266</v>
      </c>
      <c r="C1140" s="1">
        <v>45954</v>
      </c>
      <c r="D1140" t="s">
        <v>2267</v>
      </c>
      <c r="E1140" s="2">
        <v>9216.2000000000007</v>
      </c>
      <c r="G1140" s="3">
        <f>MONTH(Tabela1[[#This Row],[Último pagto ano]])</f>
        <v>10</v>
      </c>
      <c r="H1140" t="str">
        <f>TEXT(Tabela1[[#This Row],[Coluna2]]*29,"mmmm")</f>
        <v>outubro</v>
      </c>
      <c r="I1140" t="str">
        <f>TEXT(MONTH(Tabela1[[#This Row],[Último pagto ano]])*29,"mmmm")</f>
        <v>outubro</v>
      </c>
    </row>
    <row r="1141" spans="1:9" x14ac:dyDescent="0.25">
      <c r="A1141">
        <v>2025</v>
      </c>
      <c r="B1141" t="s">
        <v>2268</v>
      </c>
      <c r="C1141" s="1">
        <v>45938</v>
      </c>
      <c r="D1141" t="s">
        <v>2269</v>
      </c>
      <c r="E1141" s="2">
        <v>9435.6200000000008</v>
      </c>
      <c r="G1141" s="3">
        <f>MONTH(Tabela1[[#This Row],[Último pagto ano]])</f>
        <v>10</v>
      </c>
      <c r="H1141" t="str">
        <f>TEXT(Tabela1[[#This Row],[Coluna2]]*29,"mmmm")</f>
        <v>outubro</v>
      </c>
      <c r="I1141" t="str">
        <f>TEXT(MONTH(Tabela1[[#This Row],[Último pagto ano]])*29,"mmmm")</f>
        <v>outubro</v>
      </c>
    </row>
    <row r="1142" spans="1:9" x14ac:dyDescent="0.25">
      <c r="A1142">
        <v>2025</v>
      </c>
      <c r="B1142" t="s">
        <v>2270</v>
      </c>
      <c r="C1142" s="1">
        <v>45702</v>
      </c>
      <c r="D1142" t="s">
        <v>2271</v>
      </c>
      <c r="E1142">
        <v>24.85</v>
      </c>
      <c r="G1142" s="3">
        <f>MONTH(Tabela1[[#This Row],[Último pagto ano]])</f>
        <v>2</v>
      </c>
      <c r="H1142" t="str">
        <f>TEXT(Tabela1[[#This Row],[Coluna2]]*29,"mmmm")</f>
        <v>fevereiro</v>
      </c>
      <c r="I1142" t="str">
        <f>TEXT(MONTH(Tabela1[[#This Row],[Último pagto ano]])*29,"mmmm")</f>
        <v>fevereiro</v>
      </c>
    </row>
    <row r="1143" spans="1:9" x14ac:dyDescent="0.25">
      <c r="A1143">
        <v>2025</v>
      </c>
      <c r="B1143" t="s">
        <v>2272</v>
      </c>
      <c r="C1143" s="1">
        <v>45996</v>
      </c>
      <c r="D1143" t="s">
        <v>2273</v>
      </c>
      <c r="E1143" s="2">
        <v>54000</v>
      </c>
      <c r="G1143" s="3">
        <f>MONTH(Tabela1[[#This Row],[Último pagto ano]])</f>
        <v>12</v>
      </c>
      <c r="H1143" t="str">
        <f>TEXT(Tabela1[[#This Row],[Coluna2]]*29,"mmmm")</f>
        <v>dezembro</v>
      </c>
      <c r="I1143" t="str">
        <f>TEXT(MONTH(Tabela1[[#This Row],[Último pagto ano]])*29,"mmmm")</f>
        <v>dezembro</v>
      </c>
    </row>
    <row r="1144" spans="1:9" x14ac:dyDescent="0.25">
      <c r="A1144">
        <v>2025</v>
      </c>
      <c r="B1144" t="s">
        <v>2274</v>
      </c>
      <c r="C1144" s="1">
        <v>45996</v>
      </c>
      <c r="D1144" t="s">
        <v>2275</v>
      </c>
      <c r="E1144" s="2">
        <v>5500</v>
      </c>
      <c r="G1144" s="3">
        <f>MONTH(Tabela1[[#This Row],[Último pagto ano]])</f>
        <v>12</v>
      </c>
      <c r="H1144" t="str">
        <f>TEXT(Tabela1[[#This Row],[Coluna2]]*29,"mmmm")</f>
        <v>dezembro</v>
      </c>
      <c r="I1144" t="str">
        <f>TEXT(MONTH(Tabela1[[#This Row],[Último pagto ano]])*29,"mmmm")</f>
        <v>dezembro</v>
      </c>
    </row>
    <row r="1145" spans="1:9" x14ac:dyDescent="0.25">
      <c r="A1145">
        <v>2025</v>
      </c>
      <c r="B1145" t="s">
        <v>2276</v>
      </c>
      <c r="C1145" s="1">
        <v>45989</v>
      </c>
      <c r="D1145" t="s">
        <v>2277</v>
      </c>
      <c r="E1145" s="2">
        <v>3913.69</v>
      </c>
      <c r="G1145" s="3">
        <f>MONTH(Tabela1[[#This Row],[Último pagto ano]])</f>
        <v>11</v>
      </c>
      <c r="H1145" t="str">
        <f>TEXT(Tabela1[[#This Row],[Coluna2]]*29,"mmmm")</f>
        <v>novembro</v>
      </c>
      <c r="I1145" t="str">
        <f>TEXT(MONTH(Tabela1[[#This Row],[Último pagto ano]])*29,"mmmm")</f>
        <v>novembro</v>
      </c>
    </row>
    <row r="1146" spans="1:9" x14ac:dyDescent="0.25">
      <c r="A1146">
        <v>2025</v>
      </c>
      <c r="B1146" t="s">
        <v>2278</v>
      </c>
      <c r="C1146" s="1">
        <v>46014</v>
      </c>
      <c r="D1146" t="s">
        <v>2279</v>
      </c>
      <c r="E1146">
        <v>242</v>
      </c>
      <c r="G1146" s="3">
        <f>MONTH(Tabela1[[#This Row],[Último pagto ano]])</f>
        <v>12</v>
      </c>
      <c r="H1146" t="str">
        <f>TEXT(Tabela1[[#This Row],[Coluna2]]*29,"mmmm")</f>
        <v>dezembro</v>
      </c>
      <c r="I1146" t="str">
        <f>TEXT(MONTH(Tabela1[[#This Row],[Último pagto ano]])*29,"mmmm")</f>
        <v>dezembro</v>
      </c>
    </row>
    <row r="1147" spans="1:9" x14ac:dyDescent="0.25">
      <c r="A1147">
        <v>2025</v>
      </c>
      <c r="B1147" t="s">
        <v>2280</v>
      </c>
      <c r="C1147" s="1">
        <v>45887</v>
      </c>
      <c r="D1147" t="s">
        <v>2281</v>
      </c>
      <c r="E1147">
        <v>660</v>
      </c>
      <c r="G1147" s="3">
        <f>MONTH(Tabela1[[#This Row],[Último pagto ano]])</f>
        <v>8</v>
      </c>
      <c r="H1147" t="str">
        <f>TEXT(Tabela1[[#This Row],[Coluna2]]*29,"mmmm")</f>
        <v>agosto</v>
      </c>
      <c r="I1147" t="str">
        <f>TEXT(MONTH(Tabela1[[#This Row],[Último pagto ano]])*29,"mmmm")</f>
        <v>agosto</v>
      </c>
    </row>
    <row r="1148" spans="1:9" x14ac:dyDescent="0.25">
      <c r="A1148">
        <v>2025</v>
      </c>
      <c r="B1148" t="s">
        <v>2282</v>
      </c>
      <c r="C1148" s="1">
        <v>45996</v>
      </c>
      <c r="D1148" t="s">
        <v>2283</v>
      </c>
      <c r="E1148" s="2">
        <v>15100</v>
      </c>
      <c r="G1148" s="3">
        <f>MONTH(Tabela1[[#This Row],[Último pagto ano]])</f>
        <v>12</v>
      </c>
      <c r="H1148" t="str">
        <f>TEXT(Tabela1[[#This Row],[Coluna2]]*29,"mmmm")</f>
        <v>dezembro</v>
      </c>
      <c r="I1148" t="str">
        <f>TEXT(MONTH(Tabela1[[#This Row],[Último pagto ano]])*29,"mmmm")</f>
        <v>dezembro</v>
      </c>
    </row>
    <row r="1149" spans="1:9" x14ac:dyDescent="0.25">
      <c r="A1149">
        <v>2025</v>
      </c>
      <c r="B1149" t="s">
        <v>2284</v>
      </c>
      <c r="C1149" s="1">
        <v>45996</v>
      </c>
      <c r="D1149" t="s">
        <v>2285</v>
      </c>
      <c r="E1149" s="2">
        <v>27800</v>
      </c>
      <c r="G1149" s="3">
        <f>MONTH(Tabela1[[#This Row],[Último pagto ano]])</f>
        <v>12</v>
      </c>
      <c r="H1149" t="str">
        <f>TEXT(Tabela1[[#This Row],[Coluna2]]*29,"mmmm")</f>
        <v>dezembro</v>
      </c>
      <c r="I1149" t="str">
        <f>TEXT(MONTH(Tabela1[[#This Row],[Último pagto ano]])*29,"mmmm")</f>
        <v>dezembro</v>
      </c>
    </row>
    <row r="1150" spans="1:9" x14ac:dyDescent="0.25">
      <c r="A1150">
        <v>2025</v>
      </c>
      <c r="B1150" t="s">
        <v>2286</v>
      </c>
      <c r="C1150" s="1">
        <v>45853</v>
      </c>
      <c r="D1150" t="s">
        <v>2287</v>
      </c>
      <c r="E1150" s="2">
        <v>5330.88</v>
      </c>
      <c r="G1150" s="3">
        <f>MONTH(Tabela1[[#This Row],[Último pagto ano]])</f>
        <v>7</v>
      </c>
      <c r="H1150" t="str">
        <f>TEXT(Tabela1[[#This Row],[Coluna2]]*29,"mmmm")</f>
        <v>julho</v>
      </c>
      <c r="I1150" t="str">
        <f>TEXT(MONTH(Tabela1[[#This Row],[Último pagto ano]])*29,"mmmm")</f>
        <v>julho</v>
      </c>
    </row>
    <row r="1151" spans="1:9" x14ac:dyDescent="0.25">
      <c r="A1151">
        <v>2025</v>
      </c>
      <c r="B1151" t="s">
        <v>2288</v>
      </c>
      <c r="C1151" s="1">
        <v>45887</v>
      </c>
      <c r="D1151" t="s">
        <v>2289</v>
      </c>
      <c r="E1151">
        <v>57.1</v>
      </c>
      <c r="G1151" s="3">
        <f>MONTH(Tabela1[[#This Row],[Último pagto ano]])</f>
        <v>8</v>
      </c>
      <c r="H1151" t="str">
        <f>TEXT(Tabela1[[#This Row],[Coluna2]]*29,"mmmm")</f>
        <v>agosto</v>
      </c>
      <c r="I1151" t="str">
        <f>TEXT(MONTH(Tabela1[[#This Row],[Último pagto ano]])*29,"mmmm")</f>
        <v>agosto</v>
      </c>
    </row>
    <row r="1152" spans="1:9" x14ac:dyDescent="0.25">
      <c r="A1152">
        <v>2025</v>
      </c>
      <c r="B1152" t="s">
        <v>2290</v>
      </c>
      <c r="C1152" s="1">
        <v>45915</v>
      </c>
      <c r="D1152" t="s">
        <v>2291</v>
      </c>
      <c r="E1152" s="2">
        <v>56345.56</v>
      </c>
      <c r="G1152" s="3">
        <f>MONTH(Tabela1[[#This Row],[Último pagto ano]])</f>
        <v>9</v>
      </c>
      <c r="H1152" t="str">
        <f>TEXT(Tabela1[[#This Row],[Coluna2]]*29,"mmmm")</f>
        <v>setembro</v>
      </c>
      <c r="I1152" t="str">
        <f>TEXT(MONTH(Tabela1[[#This Row],[Último pagto ano]])*29,"mmmm")</f>
        <v>setembro</v>
      </c>
    </row>
    <row r="1153" spans="1:9" x14ac:dyDescent="0.25">
      <c r="A1153">
        <v>2025</v>
      </c>
      <c r="B1153" t="s">
        <v>2292</v>
      </c>
      <c r="C1153" s="1">
        <v>46013</v>
      </c>
      <c r="D1153" t="s">
        <v>2293</v>
      </c>
      <c r="E1153" s="2">
        <v>7862.4</v>
      </c>
      <c r="G1153" s="3">
        <f>MONTH(Tabela1[[#This Row],[Último pagto ano]])</f>
        <v>12</v>
      </c>
      <c r="H1153" t="str">
        <f>TEXT(Tabela1[[#This Row],[Coluna2]]*29,"mmmm")</f>
        <v>dezembro</v>
      </c>
      <c r="I1153" t="str">
        <f>TEXT(MONTH(Tabela1[[#This Row],[Último pagto ano]])*29,"mmmm")</f>
        <v>dezembro</v>
      </c>
    </row>
    <row r="1154" spans="1:9" x14ac:dyDescent="0.25">
      <c r="A1154">
        <v>2025</v>
      </c>
      <c r="B1154" t="s">
        <v>2294</v>
      </c>
      <c r="C1154" s="1">
        <v>46014</v>
      </c>
      <c r="D1154" t="s">
        <v>2295</v>
      </c>
      <c r="E1154" s="2">
        <v>1344</v>
      </c>
      <c r="G1154" s="3">
        <f>MONTH(Tabela1[[#This Row],[Último pagto ano]])</f>
        <v>12</v>
      </c>
      <c r="H1154" t="str">
        <f>TEXT(Tabela1[[#This Row],[Coluna2]]*29,"mmmm")</f>
        <v>dezembro</v>
      </c>
      <c r="I1154" t="str">
        <f>TEXT(MONTH(Tabela1[[#This Row],[Último pagto ano]])*29,"mmmm")</f>
        <v>dezembro</v>
      </c>
    </row>
    <row r="1155" spans="1:9" x14ac:dyDescent="0.25">
      <c r="A1155">
        <v>2025</v>
      </c>
      <c r="B1155" t="s">
        <v>2296</v>
      </c>
      <c r="C1155" s="1">
        <v>46013</v>
      </c>
      <c r="D1155" t="s">
        <v>2297</v>
      </c>
      <c r="E1155" s="2">
        <v>10321.200000000001</v>
      </c>
      <c r="G1155" s="3">
        <f>MONTH(Tabela1[[#This Row],[Último pagto ano]])</f>
        <v>12</v>
      </c>
      <c r="H1155" t="str">
        <f>TEXT(Tabela1[[#This Row],[Coluna2]]*29,"mmmm")</f>
        <v>dezembro</v>
      </c>
      <c r="I1155" t="str">
        <f>TEXT(MONTH(Tabela1[[#This Row],[Último pagto ano]])*29,"mmmm")</f>
        <v>dezembro</v>
      </c>
    </row>
    <row r="1156" spans="1:9" x14ac:dyDescent="0.25">
      <c r="A1156">
        <v>2025</v>
      </c>
      <c r="B1156" t="s">
        <v>2298</v>
      </c>
      <c r="C1156" s="1">
        <v>45996</v>
      </c>
      <c r="D1156" t="s">
        <v>2299</v>
      </c>
      <c r="E1156" s="2">
        <v>9900</v>
      </c>
      <c r="G1156" s="3">
        <f>MONTH(Tabela1[[#This Row],[Último pagto ano]])</f>
        <v>12</v>
      </c>
      <c r="H1156" t="str">
        <f>TEXT(Tabela1[[#This Row],[Coluna2]]*29,"mmmm")</f>
        <v>dezembro</v>
      </c>
      <c r="I1156" t="str">
        <f>TEXT(MONTH(Tabela1[[#This Row],[Último pagto ano]])*29,"mmmm")</f>
        <v>dezembro</v>
      </c>
    </row>
    <row r="1157" spans="1:9" x14ac:dyDescent="0.25">
      <c r="A1157">
        <v>2025</v>
      </c>
      <c r="B1157" t="s">
        <v>2300</v>
      </c>
      <c r="C1157" s="1">
        <v>45673</v>
      </c>
      <c r="D1157" t="s">
        <v>2301</v>
      </c>
      <c r="E1157" s="2">
        <v>2339.9899999999998</v>
      </c>
      <c r="G1157" s="3">
        <f>MONTH(Tabela1[[#This Row],[Último pagto ano]])</f>
        <v>1</v>
      </c>
      <c r="H1157" t="str">
        <f>TEXT(Tabela1[[#This Row],[Coluna2]]*29,"mmmm")</f>
        <v>janeiro</v>
      </c>
      <c r="I1157" t="str">
        <f>TEXT(MONTH(Tabela1[[#This Row],[Último pagto ano]])*29,"mmmm")</f>
        <v>janeiro</v>
      </c>
    </row>
    <row r="1158" spans="1:9" x14ac:dyDescent="0.25">
      <c r="A1158">
        <v>2025</v>
      </c>
      <c r="B1158" t="s">
        <v>2302</v>
      </c>
      <c r="C1158" s="1">
        <v>45835</v>
      </c>
      <c r="D1158" t="s">
        <v>2303</v>
      </c>
      <c r="E1158">
        <v>33</v>
      </c>
      <c r="G1158" s="3">
        <f>MONTH(Tabela1[[#This Row],[Último pagto ano]])</f>
        <v>6</v>
      </c>
      <c r="H1158" t="str">
        <f>TEXT(Tabela1[[#This Row],[Coluna2]]*29,"mmmm")</f>
        <v>junho</v>
      </c>
      <c r="I1158" t="str">
        <f>TEXT(MONTH(Tabela1[[#This Row],[Último pagto ano]])*29,"mmmm")</f>
        <v>junho</v>
      </c>
    </row>
    <row r="1159" spans="1:9" x14ac:dyDescent="0.25">
      <c r="A1159">
        <v>2025</v>
      </c>
      <c r="B1159" t="s">
        <v>2304</v>
      </c>
      <c r="C1159" s="1">
        <v>45744</v>
      </c>
      <c r="D1159" t="s">
        <v>2305</v>
      </c>
      <c r="E1159" s="2">
        <v>3074.31</v>
      </c>
      <c r="G1159" s="3">
        <f>MONTH(Tabela1[[#This Row],[Último pagto ano]])</f>
        <v>3</v>
      </c>
      <c r="H1159" t="str">
        <f>TEXT(Tabela1[[#This Row],[Coluna2]]*29,"mmmm")</f>
        <v>março</v>
      </c>
      <c r="I1159" t="str">
        <f>TEXT(MONTH(Tabela1[[#This Row],[Último pagto ano]])*29,"mmmm")</f>
        <v>março</v>
      </c>
    </row>
    <row r="1160" spans="1:9" x14ac:dyDescent="0.25">
      <c r="A1160">
        <v>2025</v>
      </c>
      <c r="B1160" t="s">
        <v>2306</v>
      </c>
      <c r="C1160" s="1">
        <v>45986</v>
      </c>
      <c r="D1160" t="s">
        <v>2307</v>
      </c>
      <c r="E1160" s="2">
        <v>10787.81</v>
      </c>
      <c r="G1160" s="3">
        <f>MONTH(Tabela1[[#This Row],[Último pagto ano]])</f>
        <v>11</v>
      </c>
      <c r="H1160" t="str">
        <f>TEXT(Tabela1[[#This Row],[Coluna2]]*29,"mmmm")</f>
        <v>novembro</v>
      </c>
      <c r="I1160" t="str">
        <f>TEXT(MONTH(Tabela1[[#This Row],[Último pagto ano]])*29,"mmmm")</f>
        <v>novembro</v>
      </c>
    </row>
    <row r="1161" spans="1:9" x14ac:dyDescent="0.25">
      <c r="A1161">
        <v>2025</v>
      </c>
      <c r="B1161" t="s">
        <v>2308</v>
      </c>
      <c r="C1161" s="1">
        <v>46021</v>
      </c>
      <c r="D1161" t="s">
        <v>2309</v>
      </c>
      <c r="E1161" s="2">
        <v>1093.3699999999999</v>
      </c>
      <c r="G1161" s="3">
        <f>MONTH(Tabela1[[#This Row],[Último pagto ano]])</f>
        <v>12</v>
      </c>
      <c r="H1161" t="str">
        <f>TEXT(Tabela1[[#This Row],[Coluna2]]*29,"mmmm")</f>
        <v>dezembro</v>
      </c>
      <c r="I1161" t="str">
        <f>TEXT(MONTH(Tabela1[[#This Row],[Último pagto ano]])*29,"mmmm")</f>
        <v>dezembro</v>
      </c>
    </row>
    <row r="1162" spans="1:9" x14ac:dyDescent="0.25">
      <c r="A1162">
        <v>2025</v>
      </c>
      <c r="B1162" t="s">
        <v>2310</v>
      </c>
      <c r="C1162" s="1">
        <v>45712</v>
      </c>
      <c r="D1162" t="s">
        <v>2311</v>
      </c>
      <c r="E1162">
        <v>140.4</v>
      </c>
      <c r="G1162" s="3">
        <f>MONTH(Tabela1[[#This Row],[Último pagto ano]])</f>
        <v>2</v>
      </c>
      <c r="H1162" t="str">
        <f>TEXT(Tabela1[[#This Row],[Coluna2]]*29,"mmmm")</f>
        <v>fevereiro</v>
      </c>
      <c r="I1162" t="str">
        <f>TEXT(MONTH(Tabela1[[#This Row],[Último pagto ano]])*29,"mmmm")</f>
        <v>fevereiro</v>
      </c>
    </row>
    <row r="1163" spans="1:9" x14ac:dyDescent="0.25">
      <c r="A1163">
        <v>2025</v>
      </c>
      <c r="B1163" t="s">
        <v>2312</v>
      </c>
      <c r="C1163" s="1">
        <v>45884</v>
      </c>
      <c r="D1163" t="s">
        <v>2313</v>
      </c>
      <c r="E1163" s="2">
        <v>1776.96</v>
      </c>
      <c r="G1163" s="3">
        <f>MONTH(Tabela1[[#This Row],[Último pagto ano]])</f>
        <v>8</v>
      </c>
      <c r="H1163" t="str">
        <f>TEXT(Tabela1[[#This Row],[Coluna2]]*29,"mmmm")</f>
        <v>agosto</v>
      </c>
      <c r="I1163" t="str">
        <f>TEXT(MONTH(Tabela1[[#This Row],[Último pagto ano]])*29,"mmmm")</f>
        <v>agosto</v>
      </c>
    </row>
    <row r="1164" spans="1:9" x14ac:dyDescent="0.25">
      <c r="A1164">
        <v>2025</v>
      </c>
      <c r="B1164" t="s">
        <v>2314</v>
      </c>
      <c r="C1164" s="1">
        <v>45989</v>
      </c>
      <c r="D1164" t="s">
        <v>2315</v>
      </c>
      <c r="E1164" s="2">
        <v>11632.69</v>
      </c>
      <c r="G1164" s="3">
        <f>MONTH(Tabela1[[#This Row],[Último pagto ano]])</f>
        <v>11</v>
      </c>
      <c r="H1164" t="str">
        <f>TEXT(Tabela1[[#This Row],[Coluna2]]*29,"mmmm")</f>
        <v>novembro</v>
      </c>
      <c r="I1164" t="str">
        <f>TEXT(MONTH(Tabela1[[#This Row],[Último pagto ano]])*29,"mmmm")</f>
        <v>novembro</v>
      </c>
    </row>
    <row r="1165" spans="1:9" x14ac:dyDescent="0.25">
      <c r="A1165">
        <v>2025</v>
      </c>
      <c r="B1165" t="s">
        <v>2316</v>
      </c>
      <c r="C1165" s="1">
        <v>45709</v>
      </c>
      <c r="D1165" t="s">
        <v>2317</v>
      </c>
      <c r="E1165">
        <v>8.4700000000000006</v>
      </c>
      <c r="G1165" s="3">
        <f>MONTH(Tabela1[[#This Row],[Último pagto ano]])</f>
        <v>2</v>
      </c>
      <c r="H1165" t="str">
        <f>TEXT(Tabela1[[#This Row],[Coluna2]]*29,"mmmm")</f>
        <v>fevereiro</v>
      </c>
      <c r="I1165" t="str">
        <f>TEXT(MONTH(Tabela1[[#This Row],[Último pagto ano]])*29,"mmmm")</f>
        <v>fevereiro</v>
      </c>
    </row>
    <row r="1166" spans="1:9" x14ac:dyDescent="0.25">
      <c r="A1166">
        <v>2025</v>
      </c>
      <c r="B1166" t="s">
        <v>2318</v>
      </c>
      <c r="C1166" s="1">
        <v>45841</v>
      </c>
      <c r="D1166" t="s">
        <v>2319</v>
      </c>
      <c r="E1166" s="2">
        <v>3111.25</v>
      </c>
      <c r="G1166" s="3">
        <f>MONTH(Tabela1[[#This Row],[Último pagto ano]])</f>
        <v>7</v>
      </c>
      <c r="H1166" t="str">
        <f>TEXT(Tabela1[[#This Row],[Coluna2]]*29,"mmmm")</f>
        <v>julho</v>
      </c>
      <c r="I1166" t="str">
        <f>TEXT(MONTH(Tabela1[[#This Row],[Último pagto ano]])*29,"mmmm")</f>
        <v>julho</v>
      </c>
    </row>
    <row r="1167" spans="1:9" x14ac:dyDescent="0.25">
      <c r="A1167">
        <v>2025</v>
      </c>
      <c r="B1167" t="s">
        <v>2320</v>
      </c>
      <c r="C1167" s="1">
        <v>46013</v>
      </c>
      <c r="D1167" t="s">
        <v>2321</v>
      </c>
      <c r="E1167" s="2">
        <v>6791.15</v>
      </c>
      <c r="G1167" s="3">
        <f>MONTH(Tabela1[[#This Row],[Último pagto ano]])</f>
        <v>12</v>
      </c>
      <c r="H1167" t="str">
        <f>TEXT(Tabela1[[#This Row],[Coluna2]]*29,"mmmm")</f>
        <v>dezembro</v>
      </c>
      <c r="I1167" t="str">
        <f>TEXT(MONTH(Tabela1[[#This Row],[Último pagto ano]])*29,"mmmm")</f>
        <v>dezembro</v>
      </c>
    </row>
    <row r="1168" spans="1:9" x14ac:dyDescent="0.25">
      <c r="A1168">
        <v>2025</v>
      </c>
      <c r="B1168" t="s">
        <v>2322</v>
      </c>
      <c r="C1168" s="1">
        <v>45702</v>
      </c>
      <c r="D1168" t="s">
        <v>2323</v>
      </c>
      <c r="E1168">
        <v>111.98</v>
      </c>
      <c r="G1168" s="3">
        <f>MONTH(Tabela1[[#This Row],[Último pagto ano]])</f>
        <v>2</v>
      </c>
      <c r="H1168" t="str">
        <f>TEXT(Tabela1[[#This Row],[Coluna2]]*29,"mmmm")</f>
        <v>fevereiro</v>
      </c>
      <c r="I1168" t="str">
        <f>TEXT(MONTH(Tabela1[[#This Row],[Último pagto ano]])*29,"mmmm")</f>
        <v>fevereiro</v>
      </c>
    </row>
    <row r="1169" spans="1:9" x14ac:dyDescent="0.25">
      <c r="A1169">
        <v>2025</v>
      </c>
      <c r="B1169" t="s">
        <v>2324</v>
      </c>
      <c r="C1169" s="1">
        <v>45769</v>
      </c>
      <c r="D1169" t="s">
        <v>2325</v>
      </c>
      <c r="E1169">
        <v>11</v>
      </c>
      <c r="G1169" s="3">
        <f>MONTH(Tabela1[[#This Row],[Último pagto ano]])</f>
        <v>4</v>
      </c>
      <c r="H1169" t="str">
        <f>TEXT(Tabela1[[#This Row],[Coluna2]]*29,"mmmm")</f>
        <v>abril</v>
      </c>
      <c r="I1169" t="str">
        <f>TEXT(MONTH(Tabela1[[#This Row],[Último pagto ano]])*29,"mmmm")</f>
        <v>abril</v>
      </c>
    </row>
    <row r="1170" spans="1:9" x14ac:dyDescent="0.25">
      <c r="A1170">
        <v>2025</v>
      </c>
      <c r="B1170" t="s">
        <v>2326</v>
      </c>
      <c r="C1170" s="1">
        <v>46006</v>
      </c>
      <c r="D1170" t="s">
        <v>2327</v>
      </c>
      <c r="E1170">
        <v>44</v>
      </c>
      <c r="G1170" s="3">
        <f>MONTH(Tabela1[[#This Row],[Último pagto ano]])</f>
        <v>12</v>
      </c>
      <c r="H1170" t="str">
        <f>TEXT(Tabela1[[#This Row],[Coluna2]]*29,"mmmm")</f>
        <v>dezembro</v>
      </c>
      <c r="I1170" t="str">
        <f>TEXT(MONTH(Tabela1[[#This Row],[Último pagto ano]])*29,"mmmm")</f>
        <v>dezembro</v>
      </c>
    </row>
    <row r="1171" spans="1:9" x14ac:dyDescent="0.25">
      <c r="A1171">
        <v>2025</v>
      </c>
      <c r="B1171" t="s">
        <v>2328</v>
      </c>
      <c r="C1171" s="1">
        <v>45841</v>
      </c>
      <c r="D1171" t="s">
        <v>2329</v>
      </c>
      <c r="E1171" s="2">
        <v>5539.18</v>
      </c>
      <c r="G1171" s="3">
        <f>MONTH(Tabela1[[#This Row],[Último pagto ano]])</f>
        <v>7</v>
      </c>
      <c r="H1171" t="str">
        <f>TEXT(Tabela1[[#This Row],[Coluna2]]*29,"mmmm")</f>
        <v>julho</v>
      </c>
      <c r="I1171" t="str">
        <f>TEXT(MONTH(Tabela1[[#This Row],[Último pagto ano]])*29,"mmmm")</f>
        <v>julho</v>
      </c>
    </row>
    <row r="1172" spans="1:9" x14ac:dyDescent="0.25">
      <c r="A1172">
        <v>2025</v>
      </c>
      <c r="B1172" t="s">
        <v>2330</v>
      </c>
      <c r="C1172" s="1">
        <v>46010</v>
      </c>
      <c r="D1172" t="s">
        <v>2331</v>
      </c>
      <c r="E1172" s="2">
        <v>9934</v>
      </c>
      <c r="G1172" s="3">
        <f>MONTH(Tabela1[[#This Row],[Último pagto ano]])</f>
        <v>12</v>
      </c>
      <c r="H1172" t="str">
        <f>TEXT(Tabela1[[#This Row],[Coluna2]]*29,"mmmm")</f>
        <v>dezembro</v>
      </c>
      <c r="I1172" t="str">
        <f>TEXT(MONTH(Tabela1[[#This Row],[Último pagto ano]])*29,"mmmm")</f>
        <v>dezembro</v>
      </c>
    </row>
    <row r="1173" spans="1:9" x14ac:dyDescent="0.25">
      <c r="A1173">
        <v>2025</v>
      </c>
      <c r="B1173" t="s">
        <v>2332</v>
      </c>
      <c r="C1173" s="1">
        <v>46010</v>
      </c>
      <c r="D1173" t="s">
        <v>2333</v>
      </c>
      <c r="E1173" s="2">
        <v>12000</v>
      </c>
      <c r="G1173" s="3">
        <f>MONTH(Tabela1[[#This Row],[Último pagto ano]])</f>
        <v>12</v>
      </c>
      <c r="H1173" t="str">
        <f>TEXT(Tabela1[[#This Row],[Coluna2]]*29,"mmmm")</f>
        <v>dezembro</v>
      </c>
      <c r="I1173" t="str">
        <f>TEXT(MONTH(Tabela1[[#This Row],[Último pagto ano]])*29,"mmmm")</f>
        <v>dezembro</v>
      </c>
    </row>
    <row r="1174" spans="1:9" x14ac:dyDescent="0.25">
      <c r="A1174">
        <v>2025</v>
      </c>
      <c r="B1174" t="s">
        <v>2334</v>
      </c>
      <c r="C1174" s="1">
        <v>46021</v>
      </c>
      <c r="D1174" t="s">
        <v>2335</v>
      </c>
      <c r="E1174" s="2">
        <v>8330.83</v>
      </c>
      <c r="G1174" s="3">
        <f>MONTH(Tabela1[[#This Row],[Último pagto ano]])</f>
        <v>12</v>
      </c>
      <c r="H1174" t="str">
        <f>TEXT(Tabela1[[#This Row],[Coluna2]]*29,"mmmm")</f>
        <v>dezembro</v>
      </c>
      <c r="I1174" t="str">
        <f>TEXT(MONTH(Tabela1[[#This Row],[Último pagto ano]])*29,"mmmm")</f>
        <v>dezembro</v>
      </c>
    </row>
    <row r="1175" spans="1:9" x14ac:dyDescent="0.25">
      <c r="A1175">
        <v>2025</v>
      </c>
      <c r="B1175" t="s">
        <v>2336</v>
      </c>
      <c r="C1175" s="1">
        <v>46010</v>
      </c>
      <c r="D1175" t="s">
        <v>2337</v>
      </c>
      <c r="E1175" s="2">
        <v>8400</v>
      </c>
      <c r="G1175" s="3">
        <f>MONTH(Tabela1[[#This Row],[Último pagto ano]])</f>
        <v>12</v>
      </c>
      <c r="H1175" t="str">
        <f>TEXT(Tabela1[[#This Row],[Coluna2]]*29,"mmmm")</f>
        <v>dezembro</v>
      </c>
      <c r="I1175" t="str">
        <f>TEXT(MONTH(Tabela1[[#This Row],[Último pagto ano]])*29,"mmmm")</f>
        <v>dezembro</v>
      </c>
    </row>
    <row r="1176" spans="1:9" x14ac:dyDescent="0.25">
      <c r="A1176">
        <v>2025</v>
      </c>
      <c r="B1176" t="s">
        <v>2338</v>
      </c>
      <c r="C1176" s="1">
        <v>46014</v>
      </c>
      <c r="D1176" t="s">
        <v>2339</v>
      </c>
      <c r="E1176">
        <v>803</v>
      </c>
      <c r="G1176" s="3">
        <f>MONTH(Tabela1[[#This Row],[Último pagto ano]])</f>
        <v>12</v>
      </c>
      <c r="H1176" t="str">
        <f>TEXT(Tabela1[[#This Row],[Coluna2]]*29,"mmmm")</f>
        <v>dezembro</v>
      </c>
      <c r="I1176" t="str">
        <f>TEXT(MONTH(Tabela1[[#This Row],[Último pagto ano]])*29,"mmmm")</f>
        <v>dezembro</v>
      </c>
    </row>
    <row r="1177" spans="1:9" x14ac:dyDescent="0.25">
      <c r="A1177">
        <v>2025</v>
      </c>
      <c r="B1177" t="s">
        <v>2340</v>
      </c>
      <c r="C1177" s="1">
        <v>45702</v>
      </c>
      <c r="D1177" t="s">
        <v>2341</v>
      </c>
      <c r="E1177" s="2">
        <v>1154.8900000000001</v>
      </c>
      <c r="G1177" s="3">
        <f>MONTH(Tabela1[[#This Row],[Último pagto ano]])</f>
        <v>2</v>
      </c>
      <c r="H1177" t="str">
        <f>TEXT(Tabela1[[#This Row],[Coluna2]]*29,"mmmm")</f>
        <v>fevereiro</v>
      </c>
      <c r="I1177" t="str">
        <f>TEXT(MONTH(Tabela1[[#This Row],[Último pagto ano]])*29,"mmmm")</f>
        <v>fevereiro</v>
      </c>
    </row>
    <row r="1178" spans="1:9" x14ac:dyDescent="0.25">
      <c r="A1178">
        <v>2025</v>
      </c>
      <c r="B1178" t="s">
        <v>2342</v>
      </c>
      <c r="C1178" s="1">
        <v>46021</v>
      </c>
      <c r="D1178" t="s">
        <v>2343</v>
      </c>
      <c r="E1178" s="2">
        <v>7263.99</v>
      </c>
      <c r="G1178" s="3">
        <f>MONTH(Tabela1[[#This Row],[Último pagto ano]])</f>
        <v>12</v>
      </c>
      <c r="H1178" t="str">
        <f>TEXT(Tabela1[[#This Row],[Coluna2]]*29,"mmmm")</f>
        <v>dezembro</v>
      </c>
      <c r="I1178" t="str">
        <f>TEXT(MONTH(Tabela1[[#This Row],[Último pagto ano]])*29,"mmmm")</f>
        <v>dezembro</v>
      </c>
    </row>
    <row r="1179" spans="1:9" x14ac:dyDescent="0.25">
      <c r="A1179">
        <v>2025</v>
      </c>
      <c r="B1179" t="s">
        <v>2344</v>
      </c>
      <c r="C1179" s="1">
        <v>45838</v>
      </c>
      <c r="D1179" t="s">
        <v>2345</v>
      </c>
      <c r="E1179" s="2">
        <v>4953.8999999999996</v>
      </c>
      <c r="G1179" s="3">
        <f>MONTH(Tabela1[[#This Row],[Último pagto ano]])</f>
        <v>6</v>
      </c>
      <c r="H1179" t="str">
        <f>TEXT(Tabela1[[#This Row],[Coluna2]]*29,"mmmm")</f>
        <v>junho</v>
      </c>
      <c r="I1179" t="str">
        <f>TEXT(MONTH(Tabela1[[#This Row],[Último pagto ano]])*29,"mmmm")</f>
        <v>junho</v>
      </c>
    </row>
    <row r="1180" spans="1:9" x14ac:dyDescent="0.25">
      <c r="A1180">
        <v>2025</v>
      </c>
      <c r="B1180" t="s">
        <v>2346</v>
      </c>
      <c r="C1180" s="1">
        <v>45702</v>
      </c>
      <c r="D1180" t="s">
        <v>2347</v>
      </c>
      <c r="E1180">
        <v>185.57</v>
      </c>
      <c r="G1180" s="3">
        <f>MONTH(Tabela1[[#This Row],[Último pagto ano]])</f>
        <v>2</v>
      </c>
      <c r="H1180" t="str">
        <f>TEXT(Tabela1[[#This Row],[Coluna2]]*29,"mmmm")</f>
        <v>fevereiro</v>
      </c>
      <c r="I1180" t="str">
        <f>TEXT(MONTH(Tabela1[[#This Row],[Último pagto ano]])*29,"mmmm")</f>
        <v>fevereiro</v>
      </c>
    </row>
    <row r="1181" spans="1:9" x14ac:dyDescent="0.25">
      <c r="A1181">
        <v>2025</v>
      </c>
      <c r="B1181" t="s">
        <v>2348</v>
      </c>
      <c r="C1181" s="1">
        <v>46010</v>
      </c>
      <c r="D1181" t="s">
        <v>2349</v>
      </c>
      <c r="E1181" s="2">
        <v>5600</v>
      </c>
      <c r="G1181" s="3">
        <f>MONTH(Tabela1[[#This Row],[Último pagto ano]])</f>
        <v>12</v>
      </c>
      <c r="H1181" t="str">
        <f>TEXT(Tabela1[[#This Row],[Coluna2]]*29,"mmmm")</f>
        <v>dezembro</v>
      </c>
      <c r="I1181" t="str">
        <f>TEXT(MONTH(Tabela1[[#This Row],[Último pagto ano]])*29,"mmmm")</f>
        <v>dezembro</v>
      </c>
    </row>
    <row r="1182" spans="1:9" x14ac:dyDescent="0.25">
      <c r="A1182">
        <v>2025</v>
      </c>
      <c r="B1182" t="s">
        <v>2350</v>
      </c>
      <c r="C1182" s="1">
        <v>45996</v>
      </c>
      <c r="D1182" t="s">
        <v>2351</v>
      </c>
      <c r="E1182" s="2">
        <v>10008</v>
      </c>
      <c r="G1182" s="3">
        <f>MONTH(Tabela1[[#This Row],[Último pagto ano]])</f>
        <v>12</v>
      </c>
      <c r="H1182" t="str">
        <f>TEXT(Tabela1[[#This Row],[Coluna2]]*29,"mmmm")</f>
        <v>dezembro</v>
      </c>
      <c r="I1182" t="str">
        <f>TEXT(MONTH(Tabela1[[#This Row],[Último pagto ano]])*29,"mmmm")</f>
        <v>dezembro</v>
      </c>
    </row>
    <row r="1183" spans="1:9" x14ac:dyDescent="0.25">
      <c r="A1183">
        <v>2025</v>
      </c>
      <c r="B1183" t="s">
        <v>2352</v>
      </c>
      <c r="C1183" s="1">
        <v>45873</v>
      </c>
      <c r="D1183" t="s">
        <v>2353</v>
      </c>
      <c r="E1183">
        <v>218</v>
      </c>
      <c r="G1183" s="3">
        <f>MONTH(Tabela1[[#This Row],[Último pagto ano]])</f>
        <v>8</v>
      </c>
      <c r="H1183" t="str">
        <f>TEXT(Tabela1[[#This Row],[Coluna2]]*29,"mmmm")</f>
        <v>agosto</v>
      </c>
      <c r="I1183" t="str">
        <f>TEXT(MONTH(Tabela1[[#This Row],[Último pagto ano]])*29,"mmmm")</f>
        <v>agosto</v>
      </c>
    </row>
    <row r="1184" spans="1:9" x14ac:dyDescent="0.25">
      <c r="A1184">
        <v>2025</v>
      </c>
      <c r="B1184" t="s">
        <v>2354</v>
      </c>
      <c r="C1184" s="1">
        <v>45866</v>
      </c>
      <c r="D1184" t="s">
        <v>2355</v>
      </c>
      <c r="E1184">
        <v>22</v>
      </c>
      <c r="G1184" s="3">
        <f>MONTH(Tabela1[[#This Row],[Último pagto ano]])</f>
        <v>7</v>
      </c>
      <c r="H1184" t="str">
        <f>TEXT(Tabela1[[#This Row],[Coluna2]]*29,"mmmm")</f>
        <v>julho</v>
      </c>
      <c r="I1184" t="str">
        <f>TEXT(MONTH(Tabela1[[#This Row],[Último pagto ano]])*29,"mmmm")</f>
        <v>julho</v>
      </c>
    </row>
    <row r="1185" spans="1:9" x14ac:dyDescent="0.25">
      <c r="A1185">
        <v>2025</v>
      </c>
      <c r="B1185" t="s">
        <v>2356</v>
      </c>
      <c r="C1185" s="1">
        <v>46013</v>
      </c>
      <c r="D1185" t="s">
        <v>2357</v>
      </c>
      <c r="E1185" s="2">
        <v>6446.7</v>
      </c>
      <c r="G1185" s="3">
        <f>MONTH(Tabela1[[#This Row],[Último pagto ano]])</f>
        <v>12</v>
      </c>
      <c r="H1185" t="str">
        <f>TEXT(Tabela1[[#This Row],[Coluna2]]*29,"mmmm")</f>
        <v>dezembro</v>
      </c>
      <c r="I1185" t="str">
        <f>TEXT(MONTH(Tabela1[[#This Row],[Último pagto ano]])*29,"mmmm")</f>
        <v>dezembro</v>
      </c>
    </row>
    <row r="1186" spans="1:9" x14ac:dyDescent="0.25">
      <c r="A1186">
        <v>2025</v>
      </c>
      <c r="B1186" t="s">
        <v>2358</v>
      </c>
      <c r="C1186" s="1">
        <v>46021</v>
      </c>
      <c r="D1186" t="s">
        <v>2359</v>
      </c>
      <c r="E1186" s="2">
        <v>9232.89</v>
      </c>
      <c r="G1186" s="3">
        <f>MONTH(Tabela1[[#This Row],[Último pagto ano]])</f>
        <v>12</v>
      </c>
      <c r="H1186" t="str">
        <f>TEXT(Tabela1[[#This Row],[Coluna2]]*29,"mmmm")</f>
        <v>dezembro</v>
      </c>
      <c r="I1186" t="str">
        <f>TEXT(MONTH(Tabela1[[#This Row],[Último pagto ano]])*29,"mmmm")</f>
        <v>dezembro</v>
      </c>
    </row>
    <row r="1187" spans="1:9" x14ac:dyDescent="0.25">
      <c r="A1187">
        <v>2025</v>
      </c>
      <c r="B1187" t="s">
        <v>2360</v>
      </c>
      <c r="C1187" s="1">
        <v>45968</v>
      </c>
      <c r="D1187" t="s">
        <v>2361</v>
      </c>
      <c r="E1187" s="2">
        <v>4800</v>
      </c>
      <c r="G1187" s="3">
        <f>MONTH(Tabela1[[#This Row],[Último pagto ano]])</f>
        <v>11</v>
      </c>
      <c r="H1187" t="str">
        <f>TEXT(Tabela1[[#This Row],[Coluna2]]*29,"mmmm")</f>
        <v>novembro</v>
      </c>
      <c r="I1187" t="str">
        <f>TEXT(MONTH(Tabela1[[#This Row],[Último pagto ano]])*29,"mmmm")</f>
        <v>novembro</v>
      </c>
    </row>
    <row r="1188" spans="1:9" x14ac:dyDescent="0.25">
      <c r="A1188">
        <v>2025</v>
      </c>
      <c r="B1188" t="s">
        <v>2362</v>
      </c>
      <c r="C1188" s="1">
        <v>45873</v>
      </c>
      <c r="D1188" t="s">
        <v>2363</v>
      </c>
      <c r="E1188">
        <v>1.8</v>
      </c>
      <c r="G1188" s="3">
        <f>MONTH(Tabela1[[#This Row],[Último pagto ano]])</f>
        <v>8</v>
      </c>
      <c r="H1188" t="str">
        <f>TEXT(Tabela1[[#This Row],[Coluna2]]*29,"mmmm")</f>
        <v>agosto</v>
      </c>
      <c r="I1188" t="str">
        <f>TEXT(MONTH(Tabela1[[#This Row],[Último pagto ano]])*29,"mmmm")</f>
        <v>agosto</v>
      </c>
    </row>
    <row r="1189" spans="1:9" x14ac:dyDescent="0.25">
      <c r="A1189">
        <v>2025</v>
      </c>
      <c r="B1189" t="s">
        <v>2364</v>
      </c>
      <c r="C1189" s="1">
        <v>46002</v>
      </c>
      <c r="D1189" t="s">
        <v>2365</v>
      </c>
      <c r="E1189" s="2">
        <v>6354.8</v>
      </c>
      <c r="G1189" s="3">
        <f>MONTH(Tabela1[[#This Row],[Último pagto ano]])</f>
        <v>12</v>
      </c>
      <c r="H1189" t="str">
        <f>TEXT(Tabela1[[#This Row],[Coluna2]]*29,"mmmm")</f>
        <v>dezembro</v>
      </c>
      <c r="I1189" t="str">
        <f>TEXT(MONTH(Tabela1[[#This Row],[Último pagto ano]])*29,"mmmm")</f>
        <v>dezembro</v>
      </c>
    </row>
    <row r="1190" spans="1:9" x14ac:dyDescent="0.25">
      <c r="A1190">
        <v>2025</v>
      </c>
      <c r="B1190" t="s">
        <v>2366</v>
      </c>
      <c r="C1190" s="1">
        <v>45996</v>
      </c>
      <c r="D1190" t="s">
        <v>2367</v>
      </c>
      <c r="E1190" s="2">
        <v>30900</v>
      </c>
      <c r="G1190" s="3">
        <f>MONTH(Tabela1[[#This Row],[Último pagto ano]])</f>
        <v>12</v>
      </c>
      <c r="H1190" t="str">
        <f>TEXT(Tabela1[[#This Row],[Coluna2]]*29,"mmmm")</f>
        <v>dezembro</v>
      </c>
      <c r="I1190" t="str">
        <f>TEXT(MONTH(Tabela1[[#This Row],[Último pagto ano]])*29,"mmmm")</f>
        <v>dezembro</v>
      </c>
    </row>
    <row r="1191" spans="1:9" x14ac:dyDescent="0.25">
      <c r="A1191">
        <v>2025</v>
      </c>
      <c r="B1191" t="s">
        <v>2368</v>
      </c>
      <c r="C1191" s="1">
        <v>45937</v>
      </c>
      <c r="D1191" t="s">
        <v>2369</v>
      </c>
      <c r="E1191" s="2">
        <v>15000</v>
      </c>
      <c r="G1191" s="3">
        <f>MONTH(Tabela1[[#This Row],[Último pagto ano]])</f>
        <v>10</v>
      </c>
      <c r="H1191" t="str">
        <f>TEXT(Tabela1[[#This Row],[Coluna2]]*29,"mmmm")</f>
        <v>outubro</v>
      </c>
      <c r="I1191" t="str">
        <f>TEXT(MONTH(Tabela1[[#This Row],[Último pagto ano]])*29,"mmmm")</f>
        <v>outubro</v>
      </c>
    </row>
    <row r="1192" spans="1:9" x14ac:dyDescent="0.25">
      <c r="A1192">
        <v>2025</v>
      </c>
      <c r="B1192" t="s">
        <v>2370</v>
      </c>
      <c r="C1192" s="1">
        <v>45985</v>
      </c>
      <c r="D1192" t="s">
        <v>2371</v>
      </c>
      <c r="E1192" s="2">
        <v>8765</v>
      </c>
      <c r="G1192" s="3">
        <f>MONTH(Tabela1[[#This Row],[Último pagto ano]])</f>
        <v>11</v>
      </c>
      <c r="H1192" t="str">
        <f>TEXT(Tabela1[[#This Row],[Coluna2]]*29,"mmmm")</f>
        <v>novembro</v>
      </c>
      <c r="I1192" t="str">
        <f>TEXT(MONTH(Tabela1[[#This Row],[Último pagto ano]])*29,"mmmm")</f>
        <v>novembro</v>
      </c>
    </row>
    <row r="1193" spans="1:9" x14ac:dyDescent="0.25">
      <c r="A1193">
        <v>2025</v>
      </c>
      <c r="B1193" t="s">
        <v>2372</v>
      </c>
      <c r="C1193" s="1">
        <v>45945</v>
      </c>
      <c r="D1193" t="s">
        <v>2373</v>
      </c>
      <c r="E1193" s="2">
        <v>3117.38</v>
      </c>
      <c r="G1193" s="3">
        <f>MONTH(Tabela1[[#This Row],[Último pagto ano]])</f>
        <v>10</v>
      </c>
      <c r="H1193" t="str">
        <f>TEXT(Tabela1[[#This Row],[Coluna2]]*29,"mmmm")</f>
        <v>outubro</v>
      </c>
      <c r="I1193" t="str">
        <f>TEXT(MONTH(Tabela1[[#This Row],[Último pagto ano]])*29,"mmmm")</f>
        <v>outubro</v>
      </c>
    </row>
    <row r="1194" spans="1:9" x14ac:dyDescent="0.25">
      <c r="A1194">
        <v>2025</v>
      </c>
      <c r="B1194" t="s">
        <v>2374</v>
      </c>
      <c r="C1194" s="1">
        <v>45996</v>
      </c>
      <c r="D1194" t="s">
        <v>2375</v>
      </c>
      <c r="E1194" s="2">
        <v>32400</v>
      </c>
      <c r="G1194" s="3">
        <f>MONTH(Tabela1[[#This Row],[Último pagto ano]])</f>
        <v>12</v>
      </c>
      <c r="H1194" t="str">
        <f>TEXT(Tabela1[[#This Row],[Coluna2]]*29,"mmmm")</f>
        <v>dezembro</v>
      </c>
      <c r="I1194" t="str">
        <f>TEXT(MONTH(Tabela1[[#This Row],[Último pagto ano]])*29,"mmmm")</f>
        <v>dezembro</v>
      </c>
    </row>
    <row r="1195" spans="1:9" x14ac:dyDescent="0.25">
      <c r="A1195">
        <v>2025</v>
      </c>
      <c r="B1195" t="s">
        <v>2376</v>
      </c>
      <c r="C1195" s="1">
        <v>45937</v>
      </c>
      <c r="D1195" t="s">
        <v>2377</v>
      </c>
      <c r="E1195" s="2">
        <v>2000</v>
      </c>
      <c r="G1195" s="3">
        <f>MONTH(Tabela1[[#This Row],[Último pagto ano]])</f>
        <v>10</v>
      </c>
      <c r="H1195" t="str">
        <f>TEXT(Tabela1[[#This Row],[Coluna2]]*29,"mmmm")</f>
        <v>outubro</v>
      </c>
      <c r="I1195" t="str">
        <f>TEXT(MONTH(Tabela1[[#This Row],[Último pagto ano]])*29,"mmmm")</f>
        <v>outubro</v>
      </c>
    </row>
    <row r="1196" spans="1:9" x14ac:dyDescent="0.25">
      <c r="A1196">
        <v>2025</v>
      </c>
      <c r="B1196" t="s">
        <v>2378</v>
      </c>
      <c r="C1196" s="1">
        <v>46014</v>
      </c>
      <c r="D1196" t="s">
        <v>2379</v>
      </c>
      <c r="E1196" s="2">
        <v>19939.2</v>
      </c>
      <c r="G1196" s="3">
        <f>MONTH(Tabela1[[#This Row],[Último pagto ano]])</f>
        <v>12</v>
      </c>
      <c r="H1196" t="str">
        <f>TEXT(Tabela1[[#This Row],[Coluna2]]*29,"mmmm")</f>
        <v>dezembro</v>
      </c>
      <c r="I1196" t="str">
        <f>TEXT(MONTH(Tabela1[[#This Row],[Último pagto ano]])*29,"mmmm")</f>
        <v>dezembro</v>
      </c>
    </row>
    <row r="1197" spans="1:9" x14ac:dyDescent="0.25">
      <c r="A1197">
        <v>2025</v>
      </c>
      <c r="B1197" t="s">
        <v>2380</v>
      </c>
      <c r="C1197" s="1">
        <v>46003</v>
      </c>
      <c r="D1197" t="s">
        <v>2381</v>
      </c>
      <c r="E1197" s="2">
        <v>24859.08</v>
      </c>
      <c r="G1197" s="3">
        <f>MONTH(Tabela1[[#This Row],[Último pagto ano]])</f>
        <v>12</v>
      </c>
      <c r="H1197" t="str">
        <f>TEXT(Tabela1[[#This Row],[Coluna2]]*29,"mmmm")</f>
        <v>dezembro</v>
      </c>
      <c r="I1197" t="str">
        <f>TEXT(MONTH(Tabela1[[#This Row],[Último pagto ano]])*29,"mmmm")</f>
        <v>dezembro</v>
      </c>
    </row>
    <row r="1198" spans="1:9" x14ac:dyDescent="0.25">
      <c r="A1198">
        <v>2025</v>
      </c>
      <c r="B1198" t="s">
        <v>2382</v>
      </c>
      <c r="C1198" s="1">
        <v>45769</v>
      </c>
      <c r="D1198" t="s">
        <v>2383</v>
      </c>
      <c r="E1198" s="2">
        <v>10902.56</v>
      </c>
      <c r="G1198" s="3">
        <f>MONTH(Tabela1[[#This Row],[Último pagto ano]])</f>
        <v>4</v>
      </c>
      <c r="H1198" t="str">
        <f>TEXT(Tabela1[[#This Row],[Coluna2]]*29,"mmmm")</f>
        <v>abril</v>
      </c>
      <c r="I1198" t="str">
        <f>TEXT(MONTH(Tabela1[[#This Row],[Último pagto ano]])*29,"mmmm")</f>
        <v>abril</v>
      </c>
    </row>
    <row r="1199" spans="1:9" x14ac:dyDescent="0.25">
      <c r="A1199">
        <v>2025</v>
      </c>
      <c r="B1199" t="s">
        <v>2384</v>
      </c>
      <c r="C1199" s="1">
        <v>46013</v>
      </c>
      <c r="D1199" t="s">
        <v>2385</v>
      </c>
      <c r="E1199">
        <v>721.5</v>
      </c>
      <c r="G1199" s="3">
        <f>MONTH(Tabela1[[#This Row],[Último pagto ano]])</f>
        <v>12</v>
      </c>
      <c r="H1199" t="str">
        <f>TEXT(Tabela1[[#This Row],[Coluna2]]*29,"mmmm")</f>
        <v>dezembro</v>
      </c>
      <c r="I1199" t="str">
        <f>TEXT(MONTH(Tabela1[[#This Row],[Último pagto ano]])*29,"mmmm")</f>
        <v>dezembro</v>
      </c>
    </row>
    <row r="1200" spans="1:9" x14ac:dyDescent="0.25">
      <c r="A1200">
        <v>2025</v>
      </c>
      <c r="B1200" t="s">
        <v>2386</v>
      </c>
      <c r="C1200" s="1">
        <v>45975</v>
      </c>
      <c r="D1200" t="s">
        <v>2387</v>
      </c>
      <c r="E1200" s="2">
        <v>5587.2</v>
      </c>
      <c r="G1200" s="3">
        <f>MONTH(Tabela1[[#This Row],[Último pagto ano]])</f>
        <v>11</v>
      </c>
      <c r="H1200" t="str">
        <f>TEXT(Tabela1[[#This Row],[Coluna2]]*29,"mmmm")</f>
        <v>novembro</v>
      </c>
      <c r="I1200" t="str">
        <f>TEXT(MONTH(Tabela1[[#This Row],[Último pagto ano]])*29,"mmmm")</f>
        <v>novembro</v>
      </c>
    </row>
    <row r="1201" spans="1:9" x14ac:dyDescent="0.25">
      <c r="A1201">
        <v>2025</v>
      </c>
      <c r="B1201" t="s">
        <v>2388</v>
      </c>
      <c r="C1201" s="1">
        <v>45996</v>
      </c>
      <c r="D1201" t="s">
        <v>2389</v>
      </c>
      <c r="E1201" s="2">
        <v>4500</v>
      </c>
      <c r="G1201" s="3">
        <f>MONTH(Tabela1[[#This Row],[Último pagto ano]])</f>
        <v>12</v>
      </c>
      <c r="H1201" t="str">
        <f>TEXT(Tabela1[[#This Row],[Coluna2]]*29,"mmmm")</f>
        <v>dezembro</v>
      </c>
      <c r="I1201" t="str">
        <f>TEXT(MONTH(Tabela1[[#This Row],[Último pagto ano]])*29,"mmmm")</f>
        <v>dezembro</v>
      </c>
    </row>
    <row r="1202" spans="1:9" x14ac:dyDescent="0.25">
      <c r="A1202">
        <v>2025</v>
      </c>
      <c r="B1202" t="s">
        <v>2390</v>
      </c>
      <c r="C1202" s="1">
        <v>45996</v>
      </c>
      <c r="D1202" t="s">
        <v>2391</v>
      </c>
      <c r="E1202" s="2">
        <v>17010</v>
      </c>
      <c r="G1202" s="3">
        <f>MONTH(Tabela1[[#This Row],[Último pagto ano]])</f>
        <v>12</v>
      </c>
      <c r="H1202" t="str">
        <f>TEXT(Tabela1[[#This Row],[Coluna2]]*29,"mmmm")</f>
        <v>dezembro</v>
      </c>
      <c r="I1202" t="str">
        <f>TEXT(MONTH(Tabela1[[#This Row],[Último pagto ano]])*29,"mmmm")</f>
        <v>dezembro</v>
      </c>
    </row>
    <row r="1203" spans="1:9" x14ac:dyDescent="0.25">
      <c r="A1203">
        <v>2025</v>
      </c>
      <c r="B1203" t="s">
        <v>2392</v>
      </c>
      <c r="C1203" s="1">
        <v>46010</v>
      </c>
      <c r="D1203" t="s">
        <v>2393</v>
      </c>
      <c r="E1203" s="2">
        <v>2100</v>
      </c>
      <c r="G1203" s="3">
        <f>MONTH(Tabela1[[#This Row],[Último pagto ano]])</f>
        <v>12</v>
      </c>
      <c r="H1203" t="str">
        <f>TEXT(Tabela1[[#This Row],[Coluna2]]*29,"mmmm")</f>
        <v>dezembro</v>
      </c>
      <c r="I1203" t="str">
        <f>TEXT(MONTH(Tabela1[[#This Row],[Último pagto ano]])*29,"mmmm")</f>
        <v>dezembro</v>
      </c>
    </row>
    <row r="1204" spans="1:9" x14ac:dyDescent="0.25">
      <c r="A1204">
        <v>2025</v>
      </c>
      <c r="B1204" t="s">
        <v>2394</v>
      </c>
      <c r="C1204" s="1">
        <v>45996</v>
      </c>
      <c r="D1204" t="s">
        <v>2395</v>
      </c>
      <c r="E1204" s="2">
        <v>24775</v>
      </c>
      <c r="G1204" s="3">
        <f>MONTH(Tabela1[[#This Row],[Último pagto ano]])</f>
        <v>12</v>
      </c>
      <c r="H1204" t="str">
        <f>TEXT(Tabela1[[#This Row],[Coluna2]]*29,"mmmm")</f>
        <v>dezembro</v>
      </c>
      <c r="I1204" t="str">
        <f>TEXT(MONTH(Tabela1[[#This Row],[Último pagto ano]])*29,"mmmm")</f>
        <v>dezembro</v>
      </c>
    </row>
    <row r="1205" spans="1:9" x14ac:dyDescent="0.25">
      <c r="A1205">
        <v>2025</v>
      </c>
      <c r="B1205" t="s">
        <v>2396</v>
      </c>
      <c r="C1205" s="1">
        <v>45853</v>
      </c>
      <c r="D1205" t="s">
        <v>2397</v>
      </c>
      <c r="E1205" s="2">
        <v>7068</v>
      </c>
      <c r="G1205" s="3">
        <f>MONTH(Tabela1[[#This Row],[Último pagto ano]])</f>
        <v>7</v>
      </c>
      <c r="H1205" t="str">
        <f>TEXT(Tabela1[[#This Row],[Coluna2]]*29,"mmmm")</f>
        <v>julho</v>
      </c>
      <c r="I1205" t="str">
        <f>TEXT(MONTH(Tabela1[[#This Row],[Último pagto ano]])*29,"mmmm")</f>
        <v>julho</v>
      </c>
    </row>
    <row r="1206" spans="1:9" x14ac:dyDescent="0.25">
      <c r="A1206">
        <v>2025</v>
      </c>
      <c r="B1206" t="s">
        <v>2398</v>
      </c>
      <c r="C1206" s="1">
        <v>45684</v>
      </c>
      <c r="D1206" t="s">
        <v>2399</v>
      </c>
      <c r="E1206" s="2">
        <v>20000</v>
      </c>
      <c r="G1206" s="3">
        <f>MONTH(Tabela1[[#This Row],[Último pagto ano]])</f>
        <v>1</v>
      </c>
      <c r="H1206" t="str">
        <f>TEXT(Tabela1[[#This Row],[Coluna2]]*29,"mmmm")</f>
        <v>janeiro</v>
      </c>
      <c r="I1206" t="str">
        <f>TEXT(MONTH(Tabela1[[#This Row],[Último pagto ano]])*29,"mmmm")</f>
        <v>janeiro</v>
      </c>
    </row>
    <row r="1207" spans="1:9" x14ac:dyDescent="0.25">
      <c r="A1207">
        <v>2025</v>
      </c>
      <c r="B1207" t="s">
        <v>2400</v>
      </c>
      <c r="C1207" s="1">
        <v>46006</v>
      </c>
      <c r="D1207" t="s">
        <v>2401</v>
      </c>
      <c r="E1207" s="2">
        <v>11214.24</v>
      </c>
      <c r="G1207" s="3">
        <f>MONTH(Tabela1[[#This Row],[Último pagto ano]])</f>
        <v>12</v>
      </c>
      <c r="H1207" t="str">
        <f>TEXT(Tabela1[[#This Row],[Coluna2]]*29,"mmmm")</f>
        <v>dezembro</v>
      </c>
      <c r="I1207" t="str">
        <f>TEXT(MONTH(Tabela1[[#This Row],[Último pagto ano]])*29,"mmmm")</f>
        <v>dezembro</v>
      </c>
    </row>
    <row r="1208" spans="1:9" x14ac:dyDescent="0.25">
      <c r="A1208">
        <v>2025</v>
      </c>
      <c r="B1208" t="s">
        <v>2402</v>
      </c>
      <c r="C1208" s="1">
        <v>46006</v>
      </c>
      <c r="D1208" t="s">
        <v>2403</v>
      </c>
      <c r="E1208" s="2">
        <v>25242</v>
      </c>
      <c r="G1208" s="3">
        <f>MONTH(Tabela1[[#This Row],[Último pagto ano]])</f>
        <v>12</v>
      </c>
      <c r="H1208" t="str">
        <f>TEXT(Tabela1[[#This Row],[Coluna2]]*29,"mmmm")</f>
        <v>dezembro</v>
      </c>
      <c r="I1208" t="str">
        <f>TEXT(MONTH(Tabela1[[#This Row],[Último pagto ano]])*29,"mmmm")</f>
        <v>dezembro</v>
      </c>
    </row>
    <row r="1209" spans="1:9" x14ac:dyDescent="0.25">
      <c r="A1209">
        <v>2025</v>
      </c>
      <c r="B1209" t="s">
        <v>2404</v>
      </c>
      <c r="C1209" s="1">
        <v>45996</v>
      </c>
      <c r="D1209" t="s">
        <v>2405</v>
      </c>
      <c r="E1209" s="2">
        <v>32400</v>
      </c>
      <c r="G1209" s="3">
        <f>MONTH(Tabela1[[#This Row],[Último pagto ano]])</f>
        <v>12</v>
      </c>
      <c r="H1209" t="str">
        <f>TEXT(Tabela1[[#This Row],[Coluna2]]*29,"mmmm")</f>
        <v>dezembro</v>
      </c>
      <c r="I1209" t="str">
        <f>TEXT(MONTH(Tabela1[[#This Row],[Último pagto ano]])*29,"mmmm")</f>
        <v>dezembro</v>
      </c>
    </row>
    <row r="1210" spans="1:9" x14ac:dyDescent="0.25">
      <c r="A1210">
        <v>2025</v>
      </c>
      <c r="B1210" t="s">
        <v>2406</v>
      </c>
      <c r="C1210" s="1">
        <v>45915</v>
      </c>
      <c r="D1210" t="s">
        <v>2407</v>
      </c>
      <c r="E1210">
        <v>296.16000000000003</v>
      </c>
      <c r="G1210" s="3">
        <f>MONTH(Tabela1[[#This Row],[Último pagto ano]])</f>
        <v>9</v>
      </c>
      <c r="H1210" t="str">
        <f>TEXT(Tabela1[[#This Row],[Coluna2]]*29,"mmmm")</f>
        <v>setembro</v>
      </c>
      <c r="I1210" t="str">
        <f>TEXT(MONTH(Tabela1[[#This Row],[Último pagto ano]])*29,"mmmm")</f>
        <v>setembro</v>
      </c>
    </row>
    <row r="1211" spans="1:9" x14ac:dyDescent="0.25">
      <c r="A1211">
        <v>2025</v>
      </c>
      <c r="B1211" t="s">
        <v>2408</v>
      </c>
      <c r="C1211" s="1">
        <v>45996</v>
      </c>
      <c r="D1211" t="s">
        <v>2409</v>
      </c>
      <c r="E1211" s="2">
        <v>28980</v>
      </c>
      <c r="G1211" s="3">
        <f>MONTH(Tabela1[[#This Row],[Último pagto ano]])</f>
        <v>12</v>
      </c>
      <c r="H1211" t="str">
        <f>TEXT(Tabela1[[#This Row],[Coluna2]]*29,"mmmm")</f>
        <v>dezembro</v>
      </c>
      <c r="I1211" t="str">
        <f>TEXT(MONTH(Tabela1[[#This Row],[Último pagto ano]])*29,"mmmm")</f>
        <v>dezembro</v>
      </c>
    </row>
    <row r="1212" spans="1:9" x14ac:dyDescent="0.25">
      <c r="A1212">
        <v>2025</v>
      </c>
      <c r="B1212" t="s">
        <v>2410</v>
      </c>
      <c r="C1212" s="1">
        <v>45845</v>
      </c>
      <c r="D1212" t="s">
        <v>2411</v>
      </c>
      <c r="E1212" s="2">
        <v>29500</v>
      </c>
      <c r="G1212" s="3">
        <f>MONTH(Tabela1[[#This Row],[Último pagto ano]])</f>
        <v>7</v>
      </c>
      <c r="H1212" t="str">
        <f>TEXT(Tabela1[[#This Row],[Coluna2]]*29,"mmmm")</f>
        <v>julho</v>
      </c>
      <c r="I1212" t="str">
        <f>TEXT(MONTH(Tabela1[[#This Row],[Último pagto ano]])*29,"mmmm")</f>
        <v>julho</v>
      </c>
    </row>
    <row r="1213" spans="1:9" x14ac:dyDescent="0.25">
      <c r="A1213">
        <v>2025</v>
      </c>
      <c r="B1213" t="s">
        <v>2412</v>
      </c>
      <c r="C1213" s="1">
        <v>45996</v>
      </c>
      <c r="D1213" t="s">
        <v>2413</v>
      </c>
      <c r="E1213" s="2">
        <v>31657.5</v>
      </c>
      <c r="G1213" s="3">
        <f>MONTH(Tabela1[[#This Row],[Último pagto ano]])</f>
        <v>12</v>
      </c>
      <c r="H1213" t="str">
        <f>TEXT(Tabela1[[#This Row],[Coluna2]]*29,"mmmm")</f>
        <v>dezembro</v>
      </c>
      <c r="I1213" t="str">
        <f>TEXT(MONTH(Tabela1[[#This Row],[Último pagto ano]])*29,"mmmm")</f>
        <v>dezembro</v>
      </c>
    </row>
    <row r="1214" spans="1:9" x14ac:dyDescent="0.25">
      <c r="A1214">
        <v>2025</v>
      </c>
      <c r="B1214" t="s">
        <v>2414</v>
      </c>
      <c r="C1214" s="1">
        <v>45968</v>
      </c>
      <c r="D1214" t="s">
        <v>2415</v>
      </c>
      <c r="E1214" s="2">
        <v>9200</v>
      </c>
      <c r="G1214" s="3">
        <f>MONTH(Tabela1[[#This Row],[Último pagto ano]])</f>
        <v>11</v>
      </c>
      <c r="H1214" t="str">
        <f>TEXT(Tabela1[[#This Row],[Coluna2]]*29,"mmmm")</f>
        <v>novembro</v>
      </c>
      <c r="I1214" t="str">
        <f>TEXT(MONTH(Tabela1[[#This Row],[Último pagto ano]])*29,"mmmm")</f>
        <v>novembro</v>
      </c>
    </row>
    <row r="1215" spans="1:9" x14ac:dyDescent="0.25">
      <c r="A1215">
        <v>2025</v>
      </c>
      <c r="B1215" t="s">
        <v>2416</v>
      </c>
      <c r="C1215" s="1">
        <v>46014</v>
      </c>
      <c r="D1215" t="s">
        <v>2417</v>
      </c>
      <c r="E1215">
        <v>352</v>
      </c>
      <c r="G1215" s="3">
        <f>MONTH(Tabela1[[#This Row],[Último pagto ano]])</f>
        <v>12</v>
      </c>
      <c r="H1215" t="str">
        <f>TEXT(Tabela1[[#This Row],[Coluna2]]*29,"mmmm")</f>
        <v>dezembro</v>
      </c>
      <c r="I1215" t="str">
        <f>TEXT(MONTH(Tabela1[[#This Row],[Último pagto ano]])*29,"mmmm")</f>
        <v>dezembro</v>
      </c>
    </row>
    <row r="1216" spans="1:9" x14ac:dyDescent="0.25">
      <c r="A1216">
        <v>2025</v>
      </c>
      <c r="B1216" t="s">
        <v>2418</v>
      </c>
      <c r="C1216" s="1">
        <v>46010</v>
      </c>
      <c r="D1216" t="s">
        <v>2419</v>
      </c>
      <c r="E1216" s="2">
        <v>2800</v>
      </c>
      <c r="G1216" s="3">
        <f>MONTH(Tabela1[[#This Row],[Último pagto ano]])</f>
        <v>12</v>
      </c>
      <c r="H1216" t="str">
        <f>TEXT(Tabela1[[#This Row],[Coluna2]]*29,"mmmm")</f>
        <v>dezembro</v>
      </c>
      <c r="I1216" t="str">
        <f>TEXT(MONTH(Tabela1[[#This Row],[Último pagto ano]])*29,"mmmm")</f>
        <v>dezembro</v>
      </c>
    </row>
    <row r="1217" spans="1:9" x14ac:dyDescent="0.25">
      <c r="A1217">
        <v>2025</v>
      </c>
      <c r="B1217" t="s">
        <v>2420</v>
      </c>
      <c r="C1217" s="1">
        <v>45996</v>
      </c>
      <c r="D1217" t="s">
        <v>2421</v>
      </c>
      <c r="E1217" s="2">
        <v>24500</v>
      </c>
      <c r="G1217" s="3">
        <f>MONTH(Tabela1[[#This Row],[Último pagto ano]])</f>
        <v>12</v>
      </c>
      <c r="H1217" t="str">
        <f>TEXT(Tabela1[[#This Row],[Coluna2]]*29,"mmmm")</f>
        <v>dezembro</v>
      </c>
      <c r="I1217" t="str">
        <f>TEXT(MONTH(Tabela1[[#This Row],[Último pagto ano]])*29,"mmmm")</f>
        <v>dezembro</v>
      </c>
    </row>
    <row r="1218" spans="1:9" x14ac:dyDescent="0.25">
      <c r="A1218">
        <v>2025</v>
      </c>
      <c r="B1218" t="s">
        <v>2422</v>
      </c>
      <c r="C1218" s="1">
        <v>45954</v>
      </c>
      <c r="D1218" t="s">
        <v>2423</v>
      </c>
      <c r="E1218" s="2">
        <v>73815</v>
      </c>
      <c r="G1218" s="3">
        <f>MONTH(Tabela1[[#This Row],[Último pagto ano]])</f>
        <v>10</v>
      </c>
      <c r="H1218" t="str">
        <f>TEXT(Tabela1[[#This Row],[Coluna2]]*29,"mmmm")</f>
        <v>outubro</v>
      </c>
      <c r="I1218" t="str">
        <f>TEXT(MONTH(Tabela1[[#This Row],[Último pagto ano]])*29,"mmmm")</f>
        <v>outubro</v>
      </c>
    </row>
    <row r="1219" spans="1:9" x14ac:dyDescent="0.25">
      <c r="A1219">
        <v>2025</v>
      </c>
      <c r="B1219" t="s">
        <v>2424</v>
      </c>
      <c r="C1219" s="1">
        <v>45996</v>
      </c>
      <c r="D1219" t="s">
        <v>2425</v>
      </c>
      <c r="E1219" s="2">
        <v>22680</v>
      </c>
      <c r="G1219" s="3">
        <f>MONTH(Tabela1[[#This Row],[Último pagto ano]])</f>
        <v>12</v>
      </c>
      <c r="H1219" t="str">
        <f>TEXT(Tabela1[[#This Row],[Coluna2]]*29,"mmmm")</f>
        <v>dezembro</v>
      </c>
      <c r="I1219" t="str">
        <f>TEXT(MONTH(Tabela1[[#This Row],[Último pagto ano]])*29,"mmmm")</f>
        <v>dezembro</v>
      </c>
    </row>
    <row r="1220" spans="1:9" x14ac:dyDescent="0.25">
      <c r="A1220">
        <v>2025</v>
      </c>
      <c r="B1220" t="s">
        <v>2426</v>
      </c>
      <c r="C1220" s="1">
        <v>45996</v>
      </c>
      <c r="D1220" t="s">
        <v>2427</v>
      </c>
      <c r="E1220" s="2">
        <v>17010</v>
      </c>
      <c r="G1220" s="3">
        <f>MONTH(Tabela1[[#This Row],[Último pagto ano]])</f>
        <v>12</v>
      </c>
      <c r="H1220" t="str">
        <f>TEXT(Tabela1[[#This Row],[Coluna2]]*29,"mmmm")</f>
        <v>dezembro</v>
      </c>
      <c r="I1220" t="str">
        <f>TEXT(MONTH(Tabela1[[#This Row],[Último pagto ano]])*29,"mmmm")</f>
        <v>dezembro</v>
      </c>
    </row>
    <row r="1221" spans="1:9" x14ac:dyDescent="0.25">
      <c r="A1221">
        <v>2025</v>
      </c>
      <c r="B1221" t="s">
        <v>2428</v>
      </c>
      <c r="C1221" s="1">
        <v>45943</v>
      </c>
      <c r="D1221" t="s">
        <v>2429</v>
      </c>
      <c r="E1221">
        <v>154</v>
      </c>
      <c r="G1221" s="3">
        <f>MONTH(Tabela1[[#This Row],[Último pagto ano]])</f>
        <v>10</v>
      </c>
      <c r="H1221" t="str">
        <f>TEXT(Tabela1[[#This Row],[Coluna2]]*29,"mmmm")</f>
        <v>outubro</v>
      </c>
      <c r="I1221" t="str">
        <f>TEXT(MONTH(Tabela1[[#This Row],[Último pagto ano]])*29,"mmmm")</f>
        <v>outubro</v>
      </c>
    </row>
    <row r="1222" spans="1:9" x14ac:dyDescent="0.25">
      <c r="A1222">
        <v>2025</v>
      </c>
      <c r="B1222" t="s">
        <v>2430</v>
      </c>
      <c r="C1222" s="1">
        <v>45975</v>
      </c>
      <c r="D1222" t="s">
        <v>2431</v>
      </c>
      <c r="E1222">
        <v>888.48</v>
      </c>
      <c r="G1222" s="3">
        <f>MONTH(Tabela1[[#This Row],[Último pagto ano]])</f>
        <v>11</v>
      </c>
      <c r="H1222" t="str">
        <f>TEXT(Tabela1[[#This Row],[Coluna2]]*29,"mmmm")</f>
        <v>novembro</v>
      </c>
      <c r="I1222" t="str">
        <f>TEXT(MONTH(Tabela1[[#This Row],[Último pagto ano]])*29,"mmmm")</f>
        <v>novembro</v>
      </c>
    </row>
    <row r="1223" spans="1:9" x14ac:dyDescent="0.25">
      <c r="A1223">
        <v>2025</v>
      </c>
      <c r="B1223" t="s">
        <v>2432</v>
      </c>
      <c r="C1223" s="1">
        <v>46006</v>
      </c>
      <c r="D1223" t="s">
        <v>2433</v>
      </c>
      <c r="E1223" s="2">
        <v>5883.36</v>
      </c>
      <c r="G1223" s="3">
        <f>MONTH(Tabela1[[#This Row],[Último pagto ano]])</f>
        <v>12</v>
      </c>
      <c r="H1223" t="str">
        <f>TEXT(Tabela1[[#This Row],[Coluna2]]*29,"mmmm")</f>
        <v>dezembro</v>
      </c>
      <c r="I1223" t="str">
        <f>TEXT(MONTH(Tabela1[[#This Row],[Último pagto ano]])*29,"mmmm")</f>
        <v>dezembro</v>
      </c>
    </row>
    <row r="1224" spans="1:9" x14ac:dyDescent="0.25">
      <c r="A1224">
        <v>2025</v>
      </c>
      <c r="B1224" t="s">
        <v>2434</v>
      </c>
      <c r="C1224" s="1">
        <v>45887</v>
      </c>
      <c r="D1224" t="s">
        <v>2435</v>
      </c>
      <c r="E1224" s="2">
        <v>2315</v>
      </c>
      <c r="G1224" s="3">
        <f>MONTH(Tabela1[[#This Row],[Último pagto ano]])</f>
        <v>8</v>
      </c>
      <c r="H1224" t="str">
        <f>TEXT(Tabela1[[#This Row],[Coluna2]]*29,"mmmm")</f>
        <v>agosto</v>
      </c>
      <c r="I1224" t="str">
        <f>TEXT(MONTH(Tabela1[[#This Row],[Último pagto ano]])*29,"mmmm")</f>
        <v>agosto</v>
      </c>
    </row>
    <row r="1225" spans="1:9" x14ac:dyDescent="0.25">
      <c r="A1225">
        <v>2025</v>
      </c>
      <c r="B1225" t="s">
        <v>2436</v>
      </c>
      <c r="C1225" s="1">
        <v>46013</v>
      </c>
      <c r="D1225" t="s">
        <v>2437</v>
      </c>
      <c r="E1225">
        <v>352.8</v>
      </c>
      <c r="G1225" s="3">
        <f>MONTH(Tabela1[[#This Row],[Último pagto ano]])</f>
        <v>12</v>
      </c>
      <c r="H1225" t="str">
        <f>TEXT(Tabela1[[#This Row],[Coluna2]]*29,"mmmm")</f>
        <v>dezembro</v>
      </c>
      <c r="I1225" t="str">
        <f>TEXT(MONTH(Tabela1[[#This Row],[Último pagto ano]])*29,"mmmm")</f>
        <v>dezembro</v>
      </c>
    </row>
    <row r="1226" spans="1:9" x14ac:dyDescent="0.25">
      <c r="A1226">
        <v>2025</v>
      </c>
      <c r="B1226" t="s">
        <v>2438</v>
      </c>
      <c r="C1226" s="1">
        <v>45894</v>
      </c>
      <c r="D1226" t="s">
        <v>2439</v>
      </c>
      <c r="E1226" s="2">
        <v>1400</v>
      </c>
      <c r="G1226" s="3">
        <f>MONTH(Tabela1[[#This Row],[Último pagto ano]])</f>
        <v>8</v>
      </c>
      <c r="H1226" t="str">
        <f>TEXT(Tabela1[[#This Row],[Coluna2]]*29,"mmmm")</f>
        <v>agosto</v>
      </c>
      <c r="I1226" t="str">
        <f>TEXT(MONTH(Tabela1[[#This Row],[Último pagto ano]])*29,"mmmm")</f>
        <v>agosto</v>
      </c>
    </row>
    <row r="1227" spans="1:9" x14ac:dyDescent="0.25">
      <c r="A1227">
        <v>2025</v>
      </c>
      <c r="B1227" t="s">
        <v>2440</v>
      </c>
      <c r="C1227" s="1">
        <v>45996</v>
      </c>
      <c r="D1227" t="s">
        <v>2441</v>
      </c>
      <c r="E1227" s="2">
        <v>15000</v>
      </c>
      <c r="G1227" s="3">
        <f>MONTH(Tabela1[[#This Row],[Último pagto ano]])</f>
        <v>12</v>
      </c>
      <c r="H1227" t="str">
        <f>TEXT(Tabela1[[#This Row],[Coluna2]]*29,"mmmm")</f>
        <v>dezembro</v>
      </c>
      <c r="I1227" t="str">
        <f>TEXT(MONTH(Tabela1[[#This Row],[Último pagto ano]])*29,"mmmm")</f>
        <v>dezembro</v>
      </c>
    </row>
    <row r="1228" spans="1:9" x14ac:dyDescent="0.25">
      <c r="A1228">
        <v>2025</v>
      </c>
      <c r="B1228" t="s">
        <v>2442</v>
      </c>
      <c r="C1228" s="1">
        <v>45945</v>
      </c>
      <c r="D1228" t="s">
        <v>2443</v>
      </c>
      <c r="E1228" s="2">
        <v>5923.2</v>
      </c>
      <c r="G1228" s="3">
        <f>MONTH(Tabela1[[#This Row],[Último pagto ano]])</f>
        <v>10</v>
      </c>
      <c r="H1228" t="str">
        <f>TEXT(Tabela1[[#This Row],[Coluna2]]*29,"mmmm")</f>
        <v>outubro</v>
      </c>
      <c r="I1228" t="str">
        <f>TEXT(MONTH(Tabela1[[#This Row],[Último pagto ano]])*29,"mmmm")</f>
        <v>outubro</v>
      </c>
    </row>
    <row r="1229" spans="1:9" x14ac:dyDescent="0.25">
      <c r="A1229">
        <v>2025</v>
      </c>
      <c r="B1229" t="s">
        <v>2444</v>
      </c>
      <c r="C1229" s="1">
        <v>46003</v>
      </c>
      <c r="D1229" t="s">
        <v>2445</v>
      </c>
      <c r="E1229" s="2">
        <v>3628.8</v>
      </c>
      <c r="G1229" s="3">
        <f>MONTH(Tabela1[[#This Row],[Último pagto ano]])</f>
        <v>12</v>
      </c>
      <c r="H1229" t="str">
        <f>TEXT(Tabela1[[#This Row],[Coluna2]]*29,"mmmm")</f>
        <v>dezembro</v>
      </c>
      <c r="I1229" t="str">
        <f>TEXT(MONTH(Tabela1[[#This Row],[Último pagto ano]])*29,"mmmm")</f>
        <v>dezembro</v>
      </c>
    </row>
    <row r="1230" spans="1:9" x14ac:dyDescent="0.25">
      <c r="A1230">
        <v>2025</v>
      </c>
      <c r="B1230" t="s">
        <v>2446</v>
      </c>
      <c r="C1230" s="1">
        <v>45702</v>
      </c>
      <c r="D1230" t="s">
        <v>2447</v>
      </c>
      <c r="E1230">
        <v>437.45</v>
      </c>
      <c r="G1230" s="3">
        <f>MONTH(Tabela1[[#This Row],[Último pagto ano]])</f>
        <v>2</v>
      </c>
      <c r="H1230" t="str">
        <f>TEXT(Tabela1[[#This Row],[Coluna2]]*29,"mmmm")</f>
        <v>fevereiro</v>
      </c>
      <c r="I1230" t="str">
        <f>TEXT(MONTH(Tabela1[[#This Row],[Último pagto ano]])*29,"mmmm")</f>
        <v>fevereiro</v>
      </c>
    </row>
    <row r="1231" spans="1:9" x14ac:dyDescent="0.25">
      <c r="A1231">
        <v>2025</v>
      </c>
      <c r="B1231" t="s">
        <v>2448</v>
      </c>
      <c r="C1231" s="1">
        <v>45996</v>
      </c>
      <c r="D1231" t="s">
        <v>2449</v>
      </c>
      <c r="E1231" s="2">
        <v>4400</v>
      </c>
      <c r="G1231" s="3">
        <f>MONTH(Tabela1[[#This Row],[Último pagto ano]])</f>
        <v>12</v>
      </c>
      <c r="H1231" t="str">
        <f>TEXT(Tabela1[[#This Row],[Coluna2]]*29,"mmmm")</f>
        <v>dezembro</v>
      </c>
      <c r="I1231" t="str">
        <f>TEXT(MONTH(Tabela1[[#This Row],[Último pagto ano]])*29,"mmmm")</f>
        <v>dezembro</v>
      </c>
    </row>
    <row r="1232" spans="1:9" x14ac:dyDescent="0.25">
      <c r="A1232">
        <v>2025</v>
      </c>
      <c r="B1232" t="s">
        <v>2450</v>
      </c>
      <c r="C1232" s="1">
        <v>45971</v>
      </c>
      <c r="D1232" t="s">
        <v>2451</v>
      </c>
      <c r="E1232" s="2">
        <v>2197.2800000000002</v>
      </c>
      <c r="G1232" s="3">
        <f>MONTH(Tabela1[[#This Row],[Último pagto ano]])</f>
        <v>11</v>
      </c>
      <c r="H1232" t="str">
        <f>TEXT(Tabela1[[#This Row],[Coluna2]]*29,"mmmm")</f>
        <v>novembro</v>
      </c>
      <c r="I1232" t="str">
        <f>TEXT(MONTH(Tabela1[[#This Row],[Último pagto ano]])*29,"mmmm")</f>
        <v>novembro</v>
      </c>
    </row>
    <row r="1233" spans="1:9" x14ac:dyDescent="0.25">
      <c r="A1233">
        <v>2025</v>
      </c>
      <c r="B1233" t="s">
        <v>2452</v>
      </c>
      <c r="C1233" s="1">
        <v>45772</v>
      </c>
      <c r="D1233" t="s">
        <v>2453</v>
      </c>
      <c r="E1233">
        <v>170.72</v>
      </c>
      <c r="G1233" s="3">
        <f>MONTH(Tabela1[[#This Row],[Último pagto ano]])</f>
        <v>4</v>
      </c>
      <c r="H1233" t="str">
        <f>TEXT(Tabela1[[#This Row],[Coluna2]]*29,"mmmm")</f>
        <v>abril</v>
      </c>
      <c r="I1233" t="str">
        <f>TEXT(MONTH(Tabela1[[#This Row],[Último pagto ano]])*29,"mmmm")</f>
        <v>abril</v>
      </c>
    </row>
    <row r="1234" spans="1:9" x14ac:dyDescent="0.25">
      <c r="A1234">
        <v>2025</v>
      </c>
      <c r="B1234" t="s">
        <v>2454</v>
      </c>
      <c r="C1234" s="1">
        <v>45863</v>
      </c>
      <c r="D1234" t="s">
        <v>2455</v>
      </c>
      <c r="E1234" s="2">
        <v>18812.43</v>
      </c>
      <c r="G1234" s="3">
        <f>MONTH(Tabela1[[#This Row],[Último pagto ano]])</f>
        <v>7</v>
      </c>
      <c r="H1234" t="str">
        <f>TEXT(Tabela1[[#This Row],[Coluna2]]*29,"mmmm")</f>
        <v>julho</v>
      </c>
      <c r="I1234" t="str">
        <f>TEXT(MONTH(Tabela1[[#This Row],[Último pagto ano]])*29,"mmmm")</f>
        <v>julho</v>
      </c>
    </row>
    <row r="1235" spans="1:9" x14ac:dyDescent="0.25">
      <c r="A1235">
        <v>2025</v>
      </c>
      <c r="B1235" t="s">
        <v>2456</v>
      </c>
      <c r="C1235" s="1">
        <v>45761</v>
      </c>
      <c r="D1235" t="s">
        <v>2457</v>
      </c>
      <c r="E1235" s="2">
        <v>10744</v>
      </c>
      <c r="G1235" s="3">
        <f>MONTH(Tabela1[[#This Row],[Último pagto ano]])</f>
        <v>4</v>
      </c>
      <c r="H1235" t="str">
        <f>TEXT(Tabela1[[#This Row],[Coluna2]]*29,"mmmm")</f>
        <v>abril</v>
      </c>
      <c r="I1235" t="str">
        <f>TEXT(MONTH(Tabela1[[#This Row],[Último pagto ano]])*29,"mmmm")</f>
        <v>abril</v>
      </c>
    </row>
    <row r="1236" spans="1:9" x14ac:dyDescent="0.25">
      <c r="A1236">
        <v>2025</v>
      </c>
      <c r="B1236" t="s">
        <v>2458</v>
      </c>
      <c r="C1236" s="1">
        <v>45999</v>
      </c>
      <c r="D1236" t="s">
        <v>2459</v>
      </c>
      <c r="E1236" s="2">
        <v>1813774.24</v>
      </c>
      <c r="G1236" s="3">
        <f>MONTH(Tabela1[[#This Row],[Último pagto ano]])</f>
        <v>12</v>
      </c>
      <c r="H1236" t="str">
        <f>TEXT(Tabela1[[#This Row],[Coluna2]]*29,"mmmm")</f>
        <v>dezembro</v>
      </c>
      <c r="I1236" t="str">
        <f>TEXT(MONTH(Tabela1[[#This Row],[Último pagto ano]])*29,"mmmm")</f>
        <v>dezembro</v>
      </c>
    </row>
    <row r="1237" spans="1:9" x14ac:dyDescent="0.25">
      <c r="A1237">
        <v>2025</v>
      </c>
      <c r="B1237" t="s">
        <v>2460</v>
      </c>
      <c r="C1237" s="1">
        <v>45747</v>
      </c>
      <c r="D1237" t="s">
        <v>2461</v>
      </c>
      <c r="E1237" s="2">
        <v>21000</v>
      </c>
      <c r="G1237" s="3">
        <f>MONTH(Tabela1[[#This Row],[Último pagto ano]])</f>
        <v>3</v>
      </c>
      <c r="H1237" t="str">
        <f>TEXT(Tabela1[[#This Row],[Coluna2]]*29,"mmmm")</f>
        <v>março</v>
      </c>
      <c r="I1237" t="str">
        <f>TEXT(MONTH(Tabela1[[#This Row],[Último pagto ano]])*29,"mmmm")</f>
        <v>março</v>
      </c>
    </row>
    <row r="1238" spans="1:9" x14ac:dyDescent="0.25">
      <c r="A1238">
        <v>2025</v>
      </c>
      <c r="B1238" t="s">
        <v>2462</v>
      </c>
      <c r="C1238" s="1">
        <v>45666</v>
      </c>
      <c r="D1238" t="s">
        <v>2463</v>
      </c>
      <c r="E1238" s="2">
        <v>17600</v>
      </c>
      <c r="G1238" s="3">
        <f>MONTH(Tabela1[[#This Row],[Último pagto ano]])</f>
        <v>1</v>
      </c>
      <c r="H1238" t="str">
        <f>TEXT(Tabela1[[#This Row],[Coluna2]]*29,"mmmm")</f>
        <v>janeiro</v>
      </c>
      <c r="I1238" t="str">
        <f>TEXT(MONTH(Tabela1[[#This Row],[Último pagto ano]])*29,"mmmm")</f>
        <v>janeiro</v>
      </c>
    </row>
    <row r="1239" spans="1:9" x14ac:dyDescent="0.25">
      <c r="A1239">
        <v>2025</v>
      </c>
      <c r="B1239" t="s">
        <v>2464</v>
      </c>
      <c r="C1239" s="1">
        <v>45954</v>
      </c>
      <c r="D1239" t="s">
        <v>2465</v>
      </c>
      <c r="E1239" s="2">
        <v>17177.3</v>
      </c>
      <c r="G1239" s="3">
        <f>MONTH(Tabela1[[#This Row],[Último pagto ano]])</f>
        <v>10</v>
      </c>
      <c r="H1239" t="str">
        <f>TEXT(Tabela1[[#This Row],[Coluna2]]*29,"mmmm")</f>
        <v>outubro</v>
      </c>
      <c r="I1239" t="str">
        <f>TEXT(MONTH(Tabela1[[#This Row],[Último pagto ano]])*29,"mmmm")</f>
        <v>outubro</v>
      </c>
    </row>
    <row r="1240" spans="1:9" x14ac:dyDescent="0.25">
      <c r="A1240">
        <v>2025</v>
      </c>
      <c r="B1240" t="s">
        <v>2466</v>
      </c>
      <c r="C1240" s="1">
        <v>45931</v>
      </c>
      <c r="D1240" t="s">
        <v>2467</v>
      </c>
      <c r="E1240" s="2">
        <v>195013.5</v>
      </c>
      <c r="G1240" s="3">
        <f>MONTH(Tabela1[[#This Row],[Último pagto ano]])</f>
        <v>10</v>
      </c>
      <c r="H1240" t="str">
        <f>TEXT(Tabela1[[#This Row],[Coluna2]]*29,"mmmm")</f>
        <v>outubro</v>
      </c>
      <c r="I1240" t="str">
        <f>TEXT(MONTH(Tabela1[[#This Row],[Último pagto ano]])*29,"mmmm")</f>
        <v>outubro</v>
      </c>
    </row>
    <row r="1241" spans="1:9" x14ac:dyDescent="0.25">
      <c r="A1241">
        <v>2025</v>
      </c>
      <c r="B1241" t="s">
        <v>2468</v>
      </c>
      <c r="C1241" s="1">
        <v>46021</v>
      </c>
      <c r="D1241" t="s">
        <v>2469</v>
      </c>
      <c r="E1241" s="2">
        <v>3106239.48</v>
      </c>
      <c r="G1241" s="3">
        <f>MONTH(Tabela1[[#This Row],[Último pagto ano]])</f>
        <v>12</v>
      </c>
      <c r="H1241" t="str">
        <f>TEXT(Tabela1[[#This Row],[Coluna2]]*29,"mmmm")</f>
        <v>dezembro</v>
      </c>
      <c r="I1241" t="str">
        <f>TEXT(MONTH(Tabela1[[#This Row],[Último pagto ano]])*29,"mmmm")</f>
        <v>dezembro</v>
      </c>
    </row>
    <row r="1242" spans="1:9" x14ac:dyDescent="0.25">
      <c r="A1242">
        <v>2025</v>
      </c>
      <c r="B1242" t="s">
        <v>2470</v>
      </c>
      <c r="C1242" s="1">
        <v>45702</v>
      </c>
      <c r="D1242" t="s">
        <v>2471</v>
      </c>
      <c r="E1242" s="2">
        <v>2000</v>
      </c>
      <c r="G1242" s="3">
        <f>MONTH(Tabela1[[#This Row],[Último pagto ano]])</f>
        <v>2</v>
      </c>
      <c r="H1242" t="str">
        <f>TEXT(Tabela1[[#This Row],[Coluna2]]*29,"mmmm")</f>
        <v>fevereiro</v>
      </c>
      <c r="I1242" t="str">
        <f>TEXT(MONTH(Tabela1[[#This Row],[Último pagto ano]])*29,"mmmm")</f>
        <v>fevereiro</v>
      </c>
    </row>
    <row r="1243" spans="1:9" x14ac:dyDescent="0.25">
      <c r="A1243">
        <v>2025</v>
      </c>
      <c r="B1243" t="s">
        <v>2472</v>
      </c>
      <c r="C1243" s="1">
        <v>46014</v>
      </c>
      <c r="D1243" t="s">
        <v>2473</v>
      </c>
      <c r="E1243" s="2">
        <v>83750.899999999994</v>
      </c>
      <c r="G1243" s="3">
        <f>MONTH(Tabela1[[#This Row],[Último pagto ano]])</f>
        <v>12</v>
      </c>
      <c r="H1243" t="str">
        <f>TEXT(Tabela1[[#This Row],[Coluna2]]*29,"mmmm")</f>
        <v>dezembro</v>
      </c>
      <c r="I1243" t="str">
        <f>TEXT(MONTH(Tabela1[[#This Row],[Último pagto ano]])*29,"mmmm")</f>
        <v>dezembro</v>
      </c>
    </row>
    <row r="1244" spans="1:9" x14ac:dyDescent="0.25">
      <c r="A1244">
        <v>2025</v>
      </c>
      <c r="B1244" t="s">
        <v>2474</v>
      </c>
      <c r="C1244" s="1">
        <v>45915</v>
      </c>
      <c r="D1244" t="s">
        <v>2475</v>
      </c>
      <c r="E1244">
        <v>22</v>
      </c>
      <c r="G1244" s="3">
        <f>MONTH(Tabela1[[#This Row],[Último pagto ano]])</f>
        <v>9</v>
      </c>
      <c r="H1244" t="str">
        <f>TEXT(Tabela1[[#This Row],[Coluna2]]*29,"mmmm")</f>
        <v>setembro</v>
      </c>
      <c r="I1244" t="str">
        <f>TEXT(MONTH(Tabela1[[#This Row],[Último pagto ano]])*29,"mmmm")</f>
        <v>setembro</v>
      </c>
    </row>
    <row r="1245" spans="1:9" x14ac:dyDescent="0.25">
      <c r="A1245">
        <v>2025</v>
      </c>
      <c r="B1245" t="s">
        <v>2476</v>
      </c>
      <c r="C1245" s="1">
        <v>45996</v>
      </c>
      <c r="D1245" t="s">
        <v>2477</v>
      </c>
      <c r="E1245" s="2">
        <v>34800</v>
      </c>
      <c r="G1245" s="3">
        <f>MONTH(Tabela1[[#This Row],[Último pagto ano]])</f>
        <v>12</v>
      </c>
      <c r="H1245" t="str">
        <f>TEXT(Tabela1[[#This Row],[Coluna2]]*29,"mmmm")</f>
        <v>dezembro</v>
      </c>
      <c r="I1245" t="str">
        <f>TEXT(MONTH(Tabela1[[#This Row],[Último pagto ano]])*29,"mmmm")</f>
        <v>dezembro</v>
      </c>
    </row>
    <row r="1246" spans="1:9" x14ac:dyDescent="0.25">
      <c r="A1246">
        <v>2025</v>
      </c>
      <c r="B1246" t="s">
        <v>2478</v>
      </c>
      <c r="C1246" s="1">
        <v>45821</v>
      </c>
      <c r="D1246" t="s">
        <v>2479</v>
      </c>
      <c r="E1246" s="2">
        <v>798000</v>
      </c>
      <c r="G1246" s="3">
        <f>MONTH(Tabela1[[#This Row],[Último pagto ano]])</f>
        <v>6</v>
      </c>
      <c r="H1246" t="str">
        <f>TEXT(Tabela1[[#This Row],[Coluna2]]*29,"mmmm")</f>
        <v>junho</v>
      </c>
      <c r="I1246" t="str">
        <f>TEXT(MONTH(Tabela1[[#This Row],[Último pagto ano]])*29,"mmmm")</f>
        <v>junho</v>
      </c>
    </row>
    <row r="1247" spans="1:9" x14ac:dyDescent="0.25">
      <c r="A1247">
        <v>2025</v>
      </c>
      <c r="B1247" t="s">
        <v>2480</v>
      </c>
      <c r="C1247" s="1">
        <v>45996</v>
      </c>
      <c r="D1247" t="s">
        <v>2481</v>
      </c>
      <c r="E1247" s="2">
        <v>3090</v>
      </c>
      <c r="G1247" s="3">
        <f>MONTH(Tabela1[[#This Row],[Último pagto ano]])</f>
        <v>12</v>
      </c>
      <c r="H1247" t="str">
        <f>TEXT(Tabela1[[#This Row],[Coluna2]]*29,"mmmm")</f>
        <v>dezembro</v>
      </c>
      <c r="I1247" t="str">
        <f>TEXT(MONTH(Tabela1[[#This Row],[Último pagto ano]])*29,"mmmm")</f>
        <v>dezembro</v>
      </c>
    </row>
    <row r="1248" spans="1:9" x14ac:dyDescent="0.25">
      <c r="A1248">
        <v>2025</v>
      </c>
      <c r="B1248" t="s">
        <v>2482</v>
      </c>
      <c r="C1248" s="1">
        <v>46010</v>
      </c>
      <c r="D1248" t="s">
        <v>2483</v>
      </c>
      <c r="E1248">
        <v>700</v>
      </c>
      <c r="G1248" s="3">
        <f>MONTH(Tabela1[[#This Row],[Último pagto ano]])</f>
        <v>12</v>
      </c>
      <c r="H1248" t="str">
        <f>TEXT(Tabela1[[#This Row],[Coluna2]]*29,"mmmm")</f>
        <v>dezembro</v>
      </c>
      <c r="I1248" t="str">
        <f>TEXT(MONTH(Tabela1[[#This Row],[Último pagto ano]])*29,"mmmm")</f>
        <v>dezembro</v>
      </c>
    </row>
    <row r="1249" spans="1:9" x14ac:dyDescent="0.25">
      <c r="A1249">
        <v>2025</v>
      </c>
      <c r="B1249" t="s">
        <v>2484</v>
      </c>
      <c r="C1249" s="1">
        <v>45989</v>
      </c>
      <c r="D1249" t="s">
        <v>2485</v>
      </c>
      <c r="E1249" s="2">
        <v>11404.33</v>
      </c>
      <c r="G1249" s="3">
        <f>MONTH(Tabela1[[#This Row],[Último pagto ano]])</f>
        <v>11</v>
      </c>
      <c r="H1249" t="str">
        <f>TEXT(Tabela1[[#This Row],[Coluna2]]*29,"mmmm")</f>
        <v>novembro</v>
      </c>
      <c r="I1249" t="str">
        <f>TEXT(MONTH(Tabela1[[#This Row],[Último pagto ano]])*29,"mmmm")</f>
        <v>novembro</v>
      </c>
    </row>
    <row r="1250" spans="1:9" x14ac:dyDescent="0.25">
      <c r="A1250">
        <v>2025</v>
      </c>
      <c r="B1250" t="s">
        <v>2486</v>
      </c>
      <c r="C1250" s="1">
        <v>45996</v>
      </c>
      <c r="D1250" t="s">
        <v>2487</v>
      </c>
      <c r="E1250" s="2">
        <v>33000</v>
      </c>
      <c r="G1250" s="3">
        <f>MONTH(Tabela1[[#This Row],[Último pagto ano]])</f>
        <v>12</v>
      </c>
      <c r="H1250" t="str">
        <f>TEXT(Tabela1[[#This Row],[Coluna2]]*29,"mmmm")</f>
        <v>dezembro</v>
      </c>
      <c r="I1250" t="str">
        <f>TEXT(MONTH(Tabela1[[#This Row],[Último pagto ano]])*29,"mmmm")</f>
        <v>dezembro</v>
      </c>
    </row>
    <row r="1251" spans="1:9" x14ac:dyDescent="0.25">
      <c r="A1251">
        <v>2025</v>
      </c>
      <c r="B1251" t="s">
        <v>2488</v>
      </c>
      <c r="C1251" s="1">
        <v>45754</v>
      </c>
      <c r="D1251" t="s">
        <v>2489</v>
      </c>
      <c r="E1251" s="2">
        <v>4020</v>
      </c>
      <c r="G1251" s="3">
        <f>MONTH(Tabela1[[#This Row],[Último pagto ano]])</f>
        <v>4</v>
      </c>
      <c r="H1251" t="str">
        <f>TEXT(Tabela1[[#This Row],[Coluna2]]*29,"mmmm")</f>
        <v>abril</v>
      </c>
      <c r="I1251" t="str">
        <f>TEXT(MONTH(Tabela1[[#This Row],[Último pagto ano]])*29,"mmmm")</f>
        <v>abril</v>
      </c>
    </row>
    <row r="1252" spans="1:9" x14ac:dyDescent="0.25">
      <c r="A1252">
        <v>2025</v>
      </c>
      <c r="B1252" t="s">
        <v>2490</v>
      </c>
      <c r="C1252" s="1">
        <v>46010</v>
      </c>
      <c r="D1252" t="s">
        <v>2491</v>
      </c>
      <c r="E1252" s="2">
        <v>24000</v>
      </c>
      <c r="G1252" s="3">
        <f>MONTH(Tabela1[[#This Row],[Último pagto ano]])</f>
        <v>12</v>
      </c>
      <c r="H1252" t="str">
        <f>TEXT(Tabela1[[#This Row],[Coluna2]]*29,"mmmm")</f>
        <v>dezembro</v>
      </c>
      <c r="I1252" t="str">
        <f>TEXT(MONTH(Tabela1[[#This Row],[Último pagto ano]])*29,"mmmm")</f>
        <v>dezembro</v>
      </c>
    </row>
    <row r="1253" spans="1:9" x14ac:dyDescent="0.25">
      <c r="A1253">
        <v>2025</v>
      </c>
      <c r="B1253" t="s">
        <v>2492</v>
      </c>
      <c r="C1253" s="1">
        <v>45975</v>
      </c>
      <c r="D1253" t="s">
        <v>2493</v>
      </c>
      <c r="E1253" s="2">
        <v>1776.96</v>
      </c>
      <c r="G1253" s="3">
        <f>MONTH(Tabela1[[#This Row],[Último pagto ano]])</f>
        <v>11</v>
      </c>
      <c r="H1253" t="str">
        <f>TEXT(Tabela1[[#This Row],[Coluna2]]*29,"mmmm")</f>
        <v>novembro</v>
      </c>
      <c r="I1253" t="str">
        <f>TEXT(MONTH(Tabela1[[#This Row],[Último pagto ano]])*29,"mmmm")</f>
        <v>novembro</v>
      </c>
    </row>
    <row r="1254" spans="1:9" x14ac:dyDescent="0.25">
      <c r="A1254">
        <v>2025</v>
      </c>
      <c r="B1254" t="s">
        <v>2494</v>
      </c>
      <c r="C1254" s="1">
        <v>46003</v>
      </c>
      <c r="D1254" t="s">
        <v>2495</v>
      </c>
      <c r="E1254" s="2">
        <v>53972.82</v>
      </c>
      <c r="G1254" s="3">
        <f>MONTH(Tabela1[[#This Row],[Último pagto ano]])</f>
        <v>12</v>
      </c>
      <c r="H1254" t="str">
        <f>TEXT(Tabela1[[#This Row],[Coluna2]]*29,"mmmm")</f>
        <v>dezembro</v>
      </c>
      <c r="I1254" t="str">
        <f>TEXT(MONTH(Tabela1[[#This Row],[Último pagto ano]])*29,"mmmm")</f>
        <v>dezembro</v>
      </c>
    </row>
    <row r="1255" spans="1:9" x14ac:dyDescent="0.25">
      <c r="A1255">
        <v>2025</v>
      </c>
      <c r="B1255" t="s">
        <v>2496</v>
      </c>
      <c r="C1255" s="1">
        <v>45993</v>
      </c>
      <c r="D1255" t="s">
        <v>2497</v>
      </c>
      <c r="E1255" s="2">
        <v>7570.59</v>
      </c>
      <c r="G1255" s="3">
        <f>MONTH(Tabela1[[#This Row],[Último pagto ano]])</f>
        <v>12</v>
      </c>
      <c r="H1255" t="str">
        <f>TEXT(Tabela1[[#This Row],[Coluna2]]*29,"mmmm")</f>
        <v>dezembro</v>
      </c>
      <c r="I1255" t="str">
        <f>TEXT(MONTH(Tabela1[[#This Row],[Último pagto ano]])*29,"mmmm")</f>
        <v>dezembro</v>
      </c>
    </row>
    <row r="1256" spans="1:9" x14ac:dyDescent="0.25">
      <c r="A1256">
        <v>2025</v>
      </c>
      <c r="B1256" t="s">
        <v>2498</v>
      </c>
      <c r="C1256" s="1">
        <v>45989</v>
      </c>
      <c r="D1256" t="s">
        <v>2499</v>
      </c>
      <c r="E1256" s="2">
        <v>6478.88</v>
      </c>
      <c r="G1256" s="3">
        <f>MONTH(Tabela1[[#This Row],[Último pagto ano]])</f>
        <v>11</v>
      </c>
      <c r="H1256" t="str">
        <f>TEXT(Tabela1[[#This Row],[Coluna2]]*29,"mmmm")</f>
        <v>novembro</v>
      </c>
      <c r="I1256" t="str">
        <f>TEXT(MONTH(Tabela1[[#This Row],[Último pagto ano]])*29,"mmmm")</f>
        <v>novembro</v>
      </c>
    </row>
    <row r="1257" spans="1:9" x14ac:dyDescent="0.25">
      <c r="A1257">
        <v>2025</v>
      </c>
      <c r="B1257" t="s">
        <v>2500</v>
      </c>
      <c r="C1257" s="1">
        <v>45845</v>
      </c>
      <c r="D1257" t="s">
        <v>2501</v>
      </c>
      <c r="E1257" s="2">
        <v>17500</v>
      </c>
      <c r="G1257" s="3">
        <f>MONTH(Tabela1[[#This Row],[Último pagto ano]])</f>
        <v>7</v>
      </c>
      <c r="H1257" t="str">
        <f>TEXT(Tabela1[[#This Row],[Coluna2]]*29,"mmmm")</f>
        <v>julho</v>
      </c>
      <c r="I1257" t="str">
        <f>TEXT(MONTH(Tabela1[[#This Row],[Último pagto ano]])*29,"mmmm")</f>
        <v>julho</v>
      </c>
    </row>
    <row r="1258" spans="1:9" x14ac:dyDescent="0.25">
      <c r="A1258">
        <v>2025</v>
      </c>
      <c r="B1258" t="s">
        <v>2502</v>
      </c>
      <c r="C1258" s="1">
        <v>45876</v>
      </c>
      <c r="D1258" t="s">
        <v>2503</v>
      </c>
      <c r="E1258" s="2">
        <v>14100</v>
      </c>
      <c r="G1258" s="3">
        <f>MONTH(Tabela1[[#This Row],[Último pagto ano]])</f>
        <v>8</v>
      </c>
      <c r="H1258" t="str">
        <f>TEXT(Tabela1[[#This Row],[Coluna2]]*29,"mmmm")</f>
        <v>agosto</v>
      </c>
      <c r="I1258" t="str">
        <f>TEXT(MONTH(Tabela1[[#This Row],[Último pagto ano]])*29,"mmmm")</f>
        <v>agosto</v>
      </c>
    </row>
    <row r="1259" spans="1:9" x14ac:dyDescent="0.25">
      <c r="A1259">
        <v>2025</v>
      </c>
      <c r="B1259" t="s">
        <v>2504</v>
      </c>
      <c r="C1259" s="1">
        <v>45996</v>
      </c>
      <c r="D1259" t="s">
        <v>2505</v>
      </c>
      <c r="E1259" s="2">
        <v>11900</v>
      </c>
      <c r="G1259" s="3">
        <f>MONTH(Tabela1[[#This Row],[Último pagto ano]])</f>
        <v>12</v>
      </c>
      <c r="H1259" t="str">
        <f>TEXT(Tabela1[[#This Row],[Coluna2]]*29,"mmmm")</f>
        <v>dezembro</v>
      </c>
      <c r="I1259" t="str">
        <f>TEXT(MONTH(Tabela1[[#This Row],[Último pagto ano]])*29,"mmmm")</f>
        <v>dezembro</v>
      </c>
    </row>
    <row r="1260" spans="1:9" x14ac:dyDescent="0.25">
      <c r="A1260">
        <v>2025</v>
      </c>
      <c r="B1260" t="s">
        <v>2506</v>
      </c>
      <c r="C1260" s="1">
        <v>46013</v>
      </c>
      <c r="D1260" t="s">
        <v>2507</v>
      </c>
      <c r="E1260" s="2">
        <v>3264.3</v>
      </c>
      <c r="G1260" s="3">
        <f>MONTH(Tabela1[[#This Row],[Último pagto ano]])</f>
        <v>12</v>
      </c>
      <c r="H1260" t="str">
        <f>TEXT(Tabela1[[#This Row],[Coluna2]]*29,"mmmm")</f>
        <v>dezembro</v>
      </c>
      <c r="I1260" t="str">
        <f>TEXT(MONTH(Tabela1[[#This Row],[Último pagto ano]])*29,"mmmm")</f>
        <v>dezembro</v>
      </c>
    </row>
    <row r="1261" spans="1:9" x14ac:dyDescent="0.25">
      <c r="A1261">
        <v>2025</v>
      </c>
      <c r="B1261" t="s">
        <v>2508</v>
      </c>
      <c r="C1261" s="1">
        <v>46014</v>
      </c>
      <c r="D1261" t="s">
        <v>2509</v>
      </c>
      <c r="E1261" s="2">
        <v>1750</v>
      </c>
      <c r="G1261" s="3">
        <f>MONTH(Tabela1[[#This Row],[Último pagto ano]])</f>
        <v>12</v>
      </c>
      <c r="H1261" t="str">
        <f>TEXT(Tabela1[[#This Row],[Coluna2]]*29,"mmmm")</f>
        <v>dezembro</v>
      </c>
      <c r="I1261" t="str">
        <f>TEXT(MONTH(Tabela1[[#This Row],[Último pagto ano]])*29,"mmmm")</f>
        <v>dezembro</v>
      </c>
    </row>
    <row r="1262" spans="1:9" x14ac:dyDescent="0.25">
      <c r="A1262">
        <v>2025</v>
      </c>
      <c r="B1262" t="s">
        <v>2510</v>
      </c>
      <c r="C1262" s="1">
        <v>45996</v>
      </c>
      <c r="D1262" t="s">
        <v>2511</v>
      </c>
      <c r="E1262" s="2">
        <v>3600</v>
      </c>
      <c r="G1262" s="3">
        <f>MONTH(Tabela1[[#This Row],[Último pagto ano]])</f>
        <v>12</v>
      </c>
      <c r="H1262" t="str">
        <f>TEXT(Tabela1[[#This Row],[Coluna2]]*29,"mmmm")</f>
        <v>dezembro</v>
      </c>
      <c r="I1262" t="str">
        <f>TEXT(MONTH(Tabela1[[#This Row],[Último pagto ano]])*29,"mmmm")</f>
        <v>dezembro</v>
      </c>
    </row>
    <row r="1263" spans="1:9" x14ac:dyDescent="0.25">
      <c r="A1263">
        <v>2025</v>
      </c>
      <c r="B1263" t="s">
        <v>2512</v>
      </c>
      <c r="C1263" s="1">
        <v>46021</v>
      </c>
      <c r="D1263" t="s">
        <v>2513</v>
      </c>
      <c r="E1263" s="2">
        <v>8504.9</v>
      </c>
      <c r="G1263" s="3">
        <f>MONTH(Tabela1[[#This Row],[Último pagto ano]])</f>
        <v>12</v>
      </c>
      <c r="H1263" t="str">
        <f>TEXT(Tabela1[[#This Row],[Coluna2]]*29,"mmmm")</f>
        <v>dezembro</v>
      </c>
      <c r="I1263" t="str">
        <f>TEXT(MONTH(Tabela1[[#This Row],[Último pagto ano]])*29,"mmmm")</f>
        <v>dezembro</v>
      </c>
    </row>
    <row r="1264" spans="1:9" x14ac:dyDescent="0.25">
      <c r="A1264">
        <v>2025</v>
      </c>
      <c r="B1264" t="s">
        <v>2514</v>
      </c>
      <c r="C1264" s="1">
        <v>46014</v>
      </c>
      <c r="D1264" t="s">
        <v>2515</v>
      </c>
      <c r="E1264" s="2">
        <v>2060369.2</v>
      </c>
      <c r="G1264" s="3">
        <f>MONTH(Tabela1[[#This Row],[Último pagto ano]])</f>
        <v>12</v>
      </c>
      <c r="H1264" t="str">
        <f>TEXT(Tabela1[[#This Row],[Coluna2]]*29,"mmmm")</f>
        <v>dezembro</v>
      </c>
      <c r="I1264" t="str">
        <f>TEXT(MONTH(Tabela1[[#This Row],[Último pagto ano]])*29,"mmmm")</f>
        <v>dezembro</v>
      </c>
    </row>
    <row r="1265" spans="1:9" x14ac:dyDescent="0.25">
      <c r="A1265">
        <v>2025</v>
      </c>
      <c r="B1265" t="s">
        <v>2516</v>
      </c>
      <c r="C1265" s="1">
        <v>46010</v>
      </c>
      <c r="D1265" t="s">
        <v>2517</v>
      </c>
      <c r="E1265" s="2">
        <v>2784344.73</v>
      </c>
      <c r="G1265" s="3">
        <f>MONTH(Tabela1[[#This Row],[Último pagto ano]])</f>
        <v>12</v>
      </c>
      <c r="H1265" t="str">
        <f>TEXT(Tabela1[[#This Row],[Coluna2]]*29,"mmmm")</f>
        <v>dezembro</v>
      </c>
      <c r="I1265" t="str">
        <f>TEXT(MONTH(Tabela1[[#This Row],[Último pagto ano]])*29,"mmmm")</f>
        <v>dezembro</v>
      </c>
    </row>
    <row r="1266" spans="1:9" x14ac:dyDescent="0.25">
      <c r="A1266">
        <v>2025</v>
      </c>
      <c r="B1266" t="s">
        <v>2518</v>
      </c>
      <c r="C1266" s="1">
        <v>45964</v>
      </c>
      <c r="D1266" t="s">
        <v>2519</v>
      </c>
      <c r="E1266">
        <v>116.28</v>
      </c>
      <c r="G1266" s="3">
        <f>MONTH(Tabela1[[#This Row],[Último pagto ano]])</f>
        <v>11</v>
      </c>
      <c r="H1266" t="str">
        <f>TEXT(Tabela1[[#This Row],[Coluna2]]*29,"mmmm")</f>
        <v>novembro</v>
      </c>
      <c r="I1266" t="str">
        <f>TEXT(MONTH(Tabela1[[#This Row],[Último pagto ano]])*29,"mmmm")</f>
        <v>novembro</v>
      </c>
    </row>
    <row r="1267" spans="1:9" x14ac:dyDescent="0.25">
      <c r="A1267">
        <v>2025</v>
      </c>
      <c r="B1267" t="s">
        <v>2520</v>
      </c>
      <c r="C1267" s="1">
        <v>46001</v>
      </c>
      <c r="D1267" t="s">
        <v>2521</v>
      </c>
      <c r="E1267" s="2">
        <v>13489105.92</v>
      </c>
      <c r="G1267" s="3">
        <f>MONTH(Tabela1[[#This Row],[Último pagto ano]])</f>
        <v>12</v>
      </c>
      <c r="H1267" t="str">
        <f>TEXT(Tabela1[[#This Row],[Coluna2]]*29,"mmmm")</f>
        <v>dezembro</v>
      </c>
      <c r="I1267" t="str">
        <f>TEXT(MONTH(Tabela1[[#This Row],[Último pagto ano]])*29,"mmmm")</f>
        <v>dezembro</v>
      </c>
    </row>
    <row r="1268" spans="1:9" x14ac:dyDescent="0.25">
      <c r="A1268">
        <v>2025</v>
      </c>
      <c r="B1268" t="s">
        <v>2522</v>
      </c>
      <c r="C1268" s="1">
        <v>46013</v>
      </c>
      <c r="D1268" t="s">
        <v>2523</v>
      </c>
      <c r="E1268" s="2">
        <v>1816.83</v>
      </c>
      <c r="G1268" s="3">
        <f>MONTH(Tabela1[[#This Row],[Último pagto ano]])</f>
        <v>12</v>
      </c>
      <c r="H1268" t="str">
        <f>TEXT(Tabela1[[#This Row],[Coluna2]]*29,"mmmm")</f>
        <v>dezembro</v>
      </c>
      <c r="I1268" t="str">
        <f>TEXT(MONTH(Tabela1[[#This Row],[Último pagto ano]])*29,"mmmm")</f>
        <v>dezembro</v>
      </c>
    </row>
    <row r="1269" spans="1:9" x14ac:dyDescent="0.25">
      <c r="A1269">
        <v>2025</v>
      </c>
      <c r="B1269" t="s">
        <v>2524</v>
      </c>
      <c r="C1269" s="1">
        <v>46006</v>
      </c>
      <c r="D1269" t="s">
        <v>2525</v>
      </c>
      <c r="E1269" s="2">
        <v>8400</v>
      </c>
      <c r="G1269" s="3">
        <f>MONTH(Tabela1[[#This Row],[Último pagto ano]])</f>
        <v>12</v>
      </c>
      <c r="H1269" t="str">
        <f>TEXT(Tabela1[[#This Row],[Coluna2]]*29,"mmmm")</f>
        <v>dezembro</v>
      </c>
      <c r="I1269" t="str">
        <f>TEXT(MONTH(Tabela1[[#This Row],[Último pagto ano]])*29,"mmmm")</f>
        <v>dezembro</v>
      </c>
    </row>
    <row r="1270" spans="1:9" x14ac:dyDescent="0.25">
      <c r="A1270">
        <v>2025</v>
      </c>
      <c r="B1270" t="s">
        <v>2526</v>
      </c>
      <c r="C1270" s="1">
        <v>45989</v>
      </c>
      <c r="D1270" t="s">
        <v>2527</v>
      </c>
      <c r="E1270" s="2">
        <v>4015.44</v>
      </c>
      <c r="G1270" s="3">
        <f>MONTH(Tabela1[[#This Row],[Último pagto ano]])</f>
        <v>11</v>
      </c>
      <c r="H1270" t="str">
        <f>TEXT(Tabela1[[#This Row],[Coluna2]]*29,"mmmm")</f>
        <v>novembro</v>
      </c>
      <c r="I1270" t="str">
        <f>TEXT(MONTH(Tabela1[[#This Row],[Último pagto ano]])*29,"mmmm")</f>
        <v>novembro</v>
      </c>
    </row>
    <row r="1271" spans="1:9" x14ac:dyDescent="0.25">
      <c r="A1271">
        <v>2025</v>
      </c>
      <c r="B1271" t="s">
        <v>2528</v>
      </c>
      <c r="C1271" s="1">
        <v>46014</v>
      </c>
      <c r="D1271" t="s">
        <v>2529</v>
      </c>
      <c r="E1271" s="2">
        <v>4770</v>
      </c>
      <c r="G1271" s="3">
        <f>MONTH(Tabela1[[#This Row],[Último pagto ano]])</f>
        <v>12</v>
      </c>
      <c r="H1271" t="str">
        <f>TEXT(Tabela1[[#This Row],[Coluna2]]*29,"mmmm")</f>
        <v>dezembro</v>
      </c>
      <c r="I1271" t="str">
        <f>TEXT(MONTH(Tabela1[[#This Row],[Último pagto ano]])*29,"mmmm")</f>
        <v>dezembro</v>
      </c>
    </row>
    <row r="1272" spans="1:9" x14ac:dyDescent="0.25">
      <c r="A1272">
        <v>2025</v>
      </c>
      <c r="B1272" t="s">
        <v>2530</v>
      </c>
      <c r="C1272" s="1">
        <v>45989</v>
      </c>
      <c r="D1272" t="s">
        <v>2531</v>
      </c>
      <c r="E1272" s="2">
        <v>2980.77</v>
      </c>
      <c r="G1272" s="3">
        <f>MONTH(Tabela1[[#This Row],[Último pagto ano]])</f>
        <v>11</v>
      </c>
      <c r="H1272" t="str">
        <f>TEXT(Tabela1[[#This Row],[Coluna2]]*29,"mmmm")</f>
        <v>novembro</v>
      </c>
      <c r="I1272" t="str">
        <f>TEXT(MONTH(Tabela1[[#This Row],[Último pagto ano]])*29,"mmmm")</f>
        <v>novembro</v>
      </c>
    </row>
    <row r="1273" spans="1:9" x14ac:dyDescent="0.25">
      <c r="A1273">
        <v>2025</v>
      </c>
      <c r="B1273" t="s">
        <v>2532</v>
      </c>
      <c r="C1273" s="1">
        <v>46010</v>
      </c>
      <c r="D1273" t="s">
        <v>2533</v>
      </c>
      <c r="E1273" s="2">
        <v>8400</v>
      </c>
      <c r="G1273" s="3">
        <f>MONTH(Tabela1[[#This Row],[Último pagto ano]])</f>
        <v>12</v>
      </c>
      <c r="H1273" t="str">
        <f>TEXT(Tabela1[[#This Row],[Coluna2]]*29,"mmmm")</f>
        <v>dezembro</v>
      </c>
      <c r="I1273" t="str">
        <f>TEXT(MONTH(Tabela1[[#This Row],[Último pagto ano]])*29,"mmmm")</f>
        <v>dezembro</v>
      </c>
    </row>
    <row r="1274" spans="1:9" x14ac:dyDescent="0.25">
      <c r="A1274">
        <v>2025</v>
      </c>
      <c r="B1274" t="s">
        <v>2534</v>
      </c>
      <c r="C1274" s="1">
        <v>45728</v>
      </c>
      <c r="D1274" t="s">
        <v>2535</v>
      </c>
      <c r="E1274">
        <v>11</v>
      </c>
      <c r="G1274" s="3">
        <f>MONTH(Tabela1[[#This Row],[Último pagto ano]])</f>
        <v>3</v>
      </c>
      <c r="H1274" t="str">
        <f>TEXT(Tabela1[[#This Row],[Coluna2]]*29,"mmmm")</f>
        <v>março</v>
      </c>
      <c r="I1274" t="str">
        <f>TEXT(MONTH(Tabela1[[#This Row],[Último pagto ano]])*29,"mmmm")</f>
        <v>março</v>
      </c>
    </row>
    <row r="1275" spans="1:9" x14ac:dyDescent="0.25">
      <c r="A1275">
        <v>2025</v>
      </c>
      <c r="B1275" t="s">
        <v>2536</v>
      </c>
      <c r="C1275" s="1">
        <v>46010</v>
      </c>
      <c r="D1275" t="s">
        <v>2537</v>
      </c>
      <c r="E1275" s="2">
        <v>8400</v>
      </c>
      <c r="G1275" s="3">
        <f>MONTH(Tabela1[[#This Row],[Último pagto ano]])</f>
        <v>12</v>
      </c>
      <c r="H1275" t="str">
        <f>TEXT(Tabela1[[#This Row],[Coluna2]]*29,"mmmm")</f>
        <v>dezembro</v>
      </c>
      <c r="I1275" t="str">
        <f>TEXT(MONTH(Tabela1[[#This Row],[Último pagto ano]])*29,"mmmm")</f>
        <v>dezembro</v>
      </c>
    </row>
    <row r="1276" spans="1:9" x14ac:dyDescent="0.25">
      <c r="A1276">
        <v>2025</v>
      </c>
      <c r="B1276" t="s">
        <v>2538</v>
      </c>
      <c r="C1276" s="1">
        <v>46002</v>
      </c>
      <c r="D1276" t="s">
        <v>2539</v>
      </c>
      <c r="E1276">
        <v>46.99</v>
      </c>
      <c r="G1276" s="3">
        <f>MONTH(Tabela1[[#This Row],[Último pagto ano]])</f>
        <v>12</v>
      </c>
      <c r="H1276" t="str">
        <f>TEXT(Tabela1[[#This Row],[Coluna2]]*29,"mmmm")</f>
        <v>dezembro</v>
      </c>
      <c r="I1276" t="str">
        <f>TEXT(MONTH(Tabela1[[#This Row],[Último pagto ano]])*29,"mmmm")</f>
        <v>dezembro</v>
      </c>
    </row>
    <row r="1277" spans="1:9" x14ac:dyDescent="0.25">
      <c r="A1277">
        <v>2025</v>
      </c>
      <c r="B1277" t="s">
        <v>2540</v>
      </c>
      <c r="C1277" s="1">
        <v>45868</v>
      </c>
      <c r="D1277" t="s">
        <v>2541</v>
      </c>
      <c r="E1277" s="2">
        <v>2065.52</v>
      </c>
      <c r="G1277" s="3">
        <f>MONTH(Tabela1[[#This Row],[Último pagto ano]])</f>
        <v>7</v>
      </c>
      <c r="H1277" t="str">
        <f>TEXT(Tabela1[[#This Row],[Coluna2]]*29,"mmmm")</f>
        <v>julho</v>
      </c>
      <c r="I1277" t="str">
        <f>TEXT(MONTH(Tabela1[[#This Row],[Último pagto ano]])*29,"mmmm")</f>
        <v>julho</v>
      </c>
    </row>
    <row r="1278" spans="1:9" x14ac:dyDescent="0.25">
      <c r="A1278">
        <v>2025</v>
      </c>
      <c r="B1278" t="s">
        <v>2542</v>
      </c>
      <c r="C1278" s="1">
        <v>46010</v>
      </c>
      <c r="D1278" t="s">
        <v>2543</v>
      </c>
      <c r="E1278" s="2">
        <v>19000</v>
      </c>
      <c r="G1278" s="3">
        <f>MONTH(Tabela1[[#This Row],[Último pagto ano]])</f>
        <v>12</v>
      </c>
      <c r="H1278" t="str">
        <f>TEXT(Tabela1[[#This Row],[Coluna2]]*29,"mmmm")</f>
        <v>dezembro</v>
      </c>
      <c r="I1278" t="str">
        <f>TEXT(MONTH(Tabela1[[#This Row],[Último pagto ano]])*29,"mmmm")</f>
        <v>dezembro</v>
      </c>
    </row>
    <row r="1279" spans="1:9" x14ac:dyDescent="0.25">
      <c r="A1279">
        <v>2025</v>
      </c>
      <c r="B1279" t="s">
        <v>2544</v>
      </c>
      <c r="C1279" s="1">
        <v>46010</v>
      </c>
      <c r="D1279" t="s">
        <v>2545</v>
      </c>
      <c r="E1279" s="2">
        <v>24000</v>
      </c>
      <c r="G1279" s="3">
        <f>MONTH(Tabela1[[#This Row],[Último pagto ano]])</f>
        <v>12</v>
      </c>
      <c r="H1279" t="str">
        <f>TEXT(Tabela1[[#This Row],[Coluna2]]*29,"mmmm")</f>
        <v>dezembro</v>
      </c>
      <c r="I1279" t="str">
        <f>TEXT(MONTH(Tabela1[[#This Row],[Último pagto ano]])*29,"mmmm")</f>
        <v>dezembro</v>
      </c>
    </row>
    <row r="1280" spans="1:9" x14ac:dyDescent="0.25">
      <c r="A1280">
        <v>2025</v>
      </c>
      <c r="B1280" t="s">
        <v>2546</v>
      </c>
      <c r="C1280" s="1">
        <v>45995</v>
      </c>
      <c r="D1280" t="s">
        <v>2547</v>
      </c>
      <c r="E1280">
        <v>11</v>
      </c>
      <c r="G1280" s="3">
        <f>MONTH(Tabela1[[#This Row],[Último pagto ano]])</f>
        <v>12</v>
      </c>
      <c r="H1280" t="str">
        <f>TEXT(Tabela1[[#This Row],[Coluna2]]*29,"mmmm")</f>
        <v>dezembro</v>
      </c>
      <c r="I1280" t="str">
        <f>TEXT(MONTH(Tabela1[[#This Row],[Último pagto ano]])*29,"mmmm")</f>
        <v>dezembro</v>
      </c>
    </row>
    <row r="1281" spans="1:9" x14ac:dyDescent="0.25">
      <c r="A1281">
        <v>2025</v>
      </c>
      <c r="B1281" t="s">
        <v>2548</v>
      </c>
      <c r="C1281" s="1">
        <v>45793</v>
      </c>
      <c r="D1281" t="s">
        <v>2549</v>
      </c>
      <c r="E1281" s="2">
        <v>4153.54</v>
      </c>
      <c r="G1281" s="3">
        <f>MONTH(Tabela1[[#This Row],[Último pagto ano]])</f>
        <v>5</v>
      </c>
      <c r="H1281" t="str">
        <f>TEXT(Tabela1[[#This Row],[Coluna2]]*29,"mmmm")</f>
        <v>maio</v>
      </c>
      <c r="I1281" t="str">
        <f>TEXT(MONTH(Tabela1[[#This Row],[Último pagto ano]])*29,"mmmm")</f>
        <v>maio</v>
      </c>
    </row>
    <row r="1282" spans="1:9" x14ac:dyDescent="0.25">
      <c r="A1282">
        <v>2025</v>
      </c>
      <c r="B1282" t="s">
        <v>2550</v>
      </c>
      <c r="C1282" s="1">
        <v>46021</v>
      </c>
      <c r="D1282" t="s">
        <v>2551</v>
      </c>
      <c r="E1282" s="2">
        <v>8085.76</v>
      </c>
      <c r="G1282" s="3">
        <f>MONTH(Tabela1[[#This Row],[Último pagto ano]])</f>
        <v>12</v>
      </c>
      <c r="H1282" t="str">
        <f>TEXT(Tabela1[[#This Row],[Coluna2]]*29,"mmmm")</f>
        <v>dezembro</v>
      </c>
      <c r="I1282" t="str">
        <f>TEXT(MONTH(Tabela1[[#This Row],[Último pagto ano]])*29,"mmmm")</f>
        <v>dezembro</v>
      </c>
    </row>
    <row r="1283" spans="1:9" x14ac:dyDescent="0.25">
      <c r="A1283">
        <v>2025</v>
      </c>
      <c r="B1283" t="s">
        <v>2552</v>
      </c>
      <c r="C1283" s="1">
        <v>45996</v>
      </c>
      <c r="D1283" t="s">
        <v>2553</v>
      </c>
      <c r="E1283" s="2">
        <v>24570</v>
      </c>
      <c r="G1283" s="3">
        <f>MONTH(Tabela1[[#This Row],[Último pagto ano]])</f>
        <v>12</v>
      </c>
      <c r="H1283" t="str">
        <f>TEXT(Tabela1[[#This Row],[Coluna2]]*29,"mmmm")</f>
        <v>dezembro</v>
      </c>
      <c r="I1283" t="str">
        <f>TEXT(MONTH(Tabela1[[#This Row],[Último pagto ano]])*29,"mmmm")</f>
        <v>dezembro</v>
      </c>
    </row>
    <row r="1284" spans="1:9" x14ac:dyDescent="0.25">
      <c r="A1284">
        <v>2025</v>
      </c>
      <c r="B1284" t="s">
        <v>2554</v>
      </c>
      <c r="C1284" s="1">
        <v>45937</v>
      </c>
      <c r="D1284" t="s">
        <v>2555</v>
      </c>
      <c r="E1284" s="2">
        <v>1400</v>
      </c>
      <c r="G1284" s="3">
        <f>MONTH(Tabela1[[#This Row],[Último pagto ano]])</f>
        <v>10</v>
      </c>
      <c r="H1284" t="str">
        <f>TEXT(Tabela1[[#This Row],[Coluna2]]*29,"mmmm")</f>
        <v>outubro</v>
      </c>
      <c r="I1284" t="str">
        <f>TEXT(MONTH(Tabela1[[#This Row],[Último pagto ano]])*29,"mmmm")</f>
        <v>outubro</v>
      </c>
    </row>
    <row r="1285" spans="1:9" x14ac:dyDescent="0.25">
      <c r="A1285">
        <v>2025</v>
      </c>
      <c r="B1285" t="s">
        <v>2556</v>
      </c>
      <c r="C1285" s="1">
        <v>45744</v>
      </c>
      <c r="D1285" t="s">
        <v>2557</v>
      </c>
      <c r="E1285" s="2">
        <v>45103.1</v>
      </c>
      <c r="G1285" s="3">
        <f>MONTH(Tabela1[[#This Row],[Último pagto ano]])</f>
        <v>3</v>
      </c>
      <c r="H1285" t="str">
        <f>TEXT(Tabela1[[#This Row],[Coluna2]]*29,"mmmm")</f>
        <v>março</v>
      </c>
      <c r="I1285" t="str">
        <f>TEXT(MONTH(Tabela1[[#This Row],[Último pagto ano]])*29,"mmmm")</f>
        <v>março</v>
      </c>
    </row>
    <row r="1286" spans="1:9" x14ac:dyDescent="0.25">
      <c r="A1286">
        <v>2025</v>
      </c>
      <c r="B1286" t="s">
        <v>2558</v>
      </c>
      <c r="C1286" s="1">
        <v>45702</v>
      </c>
      <c r="D1286" t="s">
        <v>2559</v>
      </c>
      <c r="E1286">
        <v>23.39</v>
      </c>
      <c r="G1286" s="3">
        <f>MONTH(Tabela1[[#This Row],[Último pagto ano]])</f>
        <v>2</v>
      </c>
      <c r="H1286" t="str">
        <f>TEXT(Tabela1[[#This Row],[Coluna2]]*29,"mmmm")</f>
        <v>fevereiro</v>
      </c>
      <c r="I1286" t="str">
        <f>TEXT(MONTH(Tabela1[[#This Row],[Último pagto ano]])*29,"mmmm")</f>
        <v>fevereiro</v>
      </c>
    </row>
    <row r="1287" spans="1:9" x14ac:dyDescent="0.25">
      <c r="A1287">
        <v>2025</v>
      </c>
      <c r="B1287" t="s">
        <v>2560</v>
      </c>
      <c r="C1287" s="1">
        <v>45989</v>
      </c>
      <c r="D1287" t="s">
        <v>2561</v>
      </c>
      <c r="E1287" s="2">
        <v>4268.2700000000004</v>
      </c>
      <c r="G1287" s="3">
        <f>MONTH(Tabela1[[#This Row],[Último pagto ano]])</f>
        <v>11</v>
      </c>
      <c r="H1287" t="str">
        <f>TEXT(Tabela1[[#This Row],[Coluna2]]*29,"mmmm")</f>
        <v>novembro</v>
      </c>
      <c r="I1287" t="str">
        <f>TEXT(MONTH(Tabela1[[#This Row],[Último pagto ano]])*29,"mmmm")</f>
        <v>novembro</v>
      </c>
    </row>
    <row r="1288" spans="1:9" x14ac:dyDescent="0.25">
      <c r="A1288">
        <v>2025</v>
      </c>
      <c r="B1288" t="s">
        <v>2562</v>
      </c>
      <c r="C1288" s="1">
        <v>45996</v>
      </c>
      <c r="D1288" t="s">
        <v>2563</v>
      </c>
      <c r="E1288" s="2">
        <v>14175</v>
      </c>
      <c r="G1288" s="3">
        <f>MONTH(Tabela1[[#This Row],[Último pagto ano]])</f>
        <v>12</v>
      </c>
      <c r="H1288" t="str">
        <f>TEXT(Tabela1[[#This Row],[Coluna2]]*29,"mmmm")</f>
        <v>dezembro</v>
      </c>
      <c r="I1288" t="str">
        <f>TEXT(MONTH(Tabela1[[#This Row],[Último pagto ano]])*29,"mmmm")</f>
        <v>dezembro</v>
      </c>
    </row>
    <row r="1289" spans="1:9" x14ac:dyDescent="0.25">
      <c r="A1289">
        <v>2025</v>
      </c>
      <c r="B1289" t="s">
        <v>2564</v>
      </c>
      <c r="C1289" s="1">
        <v>45996</v>
      </c>
      <c r="D1289" t="s">
        <v>2565</v>
      </c>
      <c r="E1289" s="2">
        <v>4900</v>
      </c>
      <c r="G1289" s="3">
        <f>MONTH(Tabela1[[#This Row],[Último pagto ano]])</f>
        <v>12</v>
      </c>
      <c r="H1289" t="str">
        <f>TEXT(Tabela1[[#This Row],[Coluna2]]*29,"mmmm")</f>
        <v>dezembro</v>
      </c>
      <c r="I1289" t="str">
        <f>TEXT(MONTH(Tabela1[[#This Row],[Último pagto ano]])*29,"mmmm")</f>
        <v>dezembro</v>
      </c>
    </row>
    <row r="1290" spans="1:9" x14ac:dyDescent="0.25">
      <c r="A1290">
        <v>2025</v>
      </c>
      <c r="B1290" t="s">
        <v>2566</v>
      </c>
      <c r="C1290" s="1">
        <v>45996</v>
      </c>
      <c r="D1290" t="s">
        <v>2567</v>
      </c>
      <c r="E1290" s="2">
        <v>26900</v>
      </c>
      <c r="G1290" s="3">
        <f>MONTH(Tabela1[[#This Row],[Último pagto ano]])</f>
        <v>12</v>
      </c>
      <c r="H1290" t="str">
        <f>TEXT(Tabela1[[#This Row],[Coluna2]]*29,"mmmm")</f>
        <v>dezembro</v>
      </c>
      <c r="I1290" t="str">
        <f>TEXT(MONTH(Tabela1[[#This Row],[Último pagto ano]])*29,"mmmm")</f>
        <v>dezembro</v>
      </c>
    </row>
    <row r="1291" spans="1:9" x14ac:dyDescent="0.25">
      <c r="A1291">
        <v>2025</v>
      </c>
      <c r="B1291" t="s">
        <v>2568</v>
      </c>
      <c r="C1291" s="1">
        <v>45716</v>
      </c>
      <c r="D1291" t="s">
        <v>2569</v>
      </c>
      <c r="E1291" s="2">
        <v>2032.57</v>
      </c>
      <c r="G1291" s="3">
        <f>MONTH(Tabela1[[#This Row],[Último pagto ano]])</f>
        <v>2</v>
      </c>
      <c r="H1291" t="str">
        <f>TEXT(Tabela1[[#This Row],[Coluna2]]*29,"mmmm")</f>
        <v>fevereiro</v>
      </c>
      <c r="I1291" t="str">
        <f>TEXT(MONTH(Tabela1[[#This Row],[Último pagto ano]])*29,"mmmm")</f>
        <v>fevereiro</v>
      </c>
    </row>
    <row r="1292" spans="1:9" x14ac:dyDescent="0.25">
      <c r="A1292">
        <v>2025</v>
      </c>
      <c r="B1292" t="s">
        <v>2570</v>
      </c>
      <c r="C1292" s="1">
        <v>46021</v>
      </c>
      <c r="D1292" t="s">
        <v>2571</v>
      </c>
      <c r="E1292" s="2">
        <v>12742.24</v>
      </c>
      <c r="G1292" s="3">
        <f>MONTH(Tabela1[[#This Row],[Último pagto ano]])</f>
        <v>12</v>
      </c>
      <c r="H1292" t="str">
        <f>TEXT(Tabela1[[#This Row],[Coluna2]]*29,"mmmm")</f>
        <v>dezembro</v>
      </c>
      <c r="I1292" t="str">
        <f>TEXT(MONTH(Tabela1[[#This Row],[Último pagto ano]])*29,"mmmm")</f>
        <v>dezembro</v>
      </c>
    </row>
    <row r="1293" spans="1:9" x14ac:dyDescent="0.25">
      <c r="A1293">
        <v>2025</v>
      </c>
      <c r="B1293" t="s">
        <v>2572</v>
      </c>
      <c r="C1293" s="1">
        <v>45989</v>
      </c>
      <c r="D1293" t="s">
        <v>2573</v>
      </c>
      <c r="E1293" s="2">
        <v>11128.37</v>
      </c>
      <c r="G1293" s="3">
        <f>MONTH(Tabela1[[#This Row],[Último pagto ano]])</f>
        <v>11</v>
      </c>
      <c r="H1293" t="str">
        <f>TEXT(Tabela1[[#This Row],[Coluna2]]*29,"mmmm")</f>
        <v>novembro</v>
      </c>
      <c r="I1293" t="str">
        <f>TEXT(MONTH(Tabela1[[#This Row],[Último pagto ano]])*29,"mmmm")</f>
        <v>novembro</v>
      </c>
    </row>
    <row r="1294" spans="1:9" x14ac:dyDescent="0.25">
      <c r="A1294">
        <v>2025</v>
      </c>
      <c r="B1294" t="s">
        <v>2574</v>
      </c>
      <c r="C1294" s="1">
        <v>45988</v>
      </c>
      <c r="D1294" t="s">
        <v>2575</v>
      </c>
      <c r="E1294" s="2">
        <v>1521</v>
      </c>
      <c r="G1294" s="3">
        <f>MONTH(Tabela1[[#This Row],[Último pagto ano]])</f>
        <v>11</v>
      </c>
      <c r="H1294" t="str">
        <f>TEXT(Tabela1[[#This Row],[Coluna2]]*29,"mmmm")</f>
        <v>novembro</v>
      </c>
      <c r="I1294" t="str">
        <f>TEXT(MONTH(Tabela1[[#This Row],[Último pagto ano]])*29,"mmmm")</f>
        <v>novembro</v>
      </c>
    </row>
    <row r="1295" spans="1:9" x14ac:dyDescent="0.25">
      <c r="A1295">
        <v>2025</v>
      </c>
      <c r="B1295" t="s">
        <v>2576</v>
      </c>
      <c r="C1295" s="1">
        <v>45996</v>
      </c>
      <c r="D1295" t="s">
        <v>2577</v>
      </c>
      <c r="E1295" s="2">
        <v>6300</v>
      </c>
      <c r="G1295" s="3">
        <f>MONTH(Tabela1[[#This Row],[Último pagto ano]])</f>
        <v>12</v>
      </c>
      <c r="H1295" t="str">
        <f>TEXT(Tabela1[[#This Row],[Coluna2]]*29,"mmmm")</f>
        <v>dezembro</v>
      </c>
      <c r="I1295" t="str">
        <f>TEXT(MONTH(Tabela1[[#This Row],[Último pagto ano]])*29,"mmmm")</f>
        <v>dezembro</v>
      </c>
    </row>
    <row r="1296" spans="1:9" x14ac:dyDescent="0.25">
      <c r="A1296">
        <v>2025</v>
      </c>
      <c r="B1296" t="s">
        <v>2578</v>
      </c>
      <c r="C1296" s="1">
        <v>45673</v>
      </c>
      <c r="D1296" t="s">
        <v>2579</v>
      </c>
      <c r="E1296">
        <v>700</v>
      </c>
      <c r="G1296" s="3">
        <f>MONTH(Tabela1[[#This Row],[Último pagto ano]])</f>
        <v>1</v>
      </c>
      <c r="H1296" t="str">
        <f>TEXT(Tabela1[[#This Row],[Coluna2]]*29,"mmmm")</f>
        <v>janeiro</v>
      </c>
      <c r="I1296" t="str">
        <f>TEXT(MONTH(Tabela1[[#This Row],[Último pagto ano]])*29,"mmmm")</f>
        <v>janeiro</v>
      </c>
    </row>
    <row r="1297" spans="1:9" x14ac:dyDescent="0.25">
      <c r="A1297">
        <v>2025</v>
      </c>
      <c r="B1297" t="s">
        <v>2580</v>
      </c>
      <c r="C1297" s="1">
        <v>46021</v>
      </c>
      <c r="D1297" t="s">
        <v>2581</v>
      </c>
      <c r="E1297" s="2">
        <v>9197.57</v>
      </c>
      <c r="G1297" s="3">
        <f>MONTH(Tabela1[[#This Row],[Último pagto ano]])</f>
        <v>12</v>
      </c>
      <c r="H1297" t="str">
        <f>TEXT(Tabela1[[#This Row],[Coluna2]]*29,"mmmm")</f>
        <v>dezembro</v>
      </c>
      <c r="I1297" t="str">
        <f>TEXT(MONTH(Tabela1[[#This Row],[Último pagto ano]])*29,"mmmm")</f>
        <v>dezembro</v>
      </c>
    </row>
    <row r="1298" spans="1:9" x14ac:dyDescent="0.25">
      <c r="A1298">
        <v>2025</v>
      </c>
      <c r="B1298" t="s">
        <v>2582</v>
      </c>
      <c r="C1298" s="1">
        <v>45894</v>
      </c>
      <c r="D1298" t="s">
        <v>2583</v>
      </c>
      <c r="E1298">
        <v>20.8</v>
      </c>
      <c r="G1298" s="3">
        <f>MONTH(Tabela1[[#This Row],[Último pagto ano]])</f>
        <v>8</v>
      </c>
      <c r="H1298" t="str">
        <f>TEXT(Tabela1[[#This Row],[Coluna2]]*29,"mmmm")</f>
        <v>agosto</v>
      </c>
      <c r="I1298" t="str">
        <f>TEXT(MONTH(Tabela1[[#This Row],[Último pagto ano]])*29,"mmmm")</f>
        <v>agosto</v>
      </c>
    </row>
    <row r="1299" spans="1:9" x14ac:dyDescent="0.25">
      <c r="A1299">
        <v>2025</v>
      </c>
      <c r="B1299" t="s">
        <v>2584</v>
      </c>
      <c r="C1299" s="1">
        <v>45996</v>
      </c>
      <c r="D1299" t="s">
        <v>2585</v>
      </c>
      <c r="E1299" s="2">
        <v>3600</v>
      </c>
      <c r="G1299" s="3">
        <f>MONTH(Tabela1[[#This Row],[Último pagto ano]])</f>
        <v>12</v>
      </c>
      <c r="H1299" t="str">
        <f>TEXT(Tabela1[[#This Row],[Coluna2]]*29,"mmmm")</f>
        <v>dezembro</v>
      </c>
      <c r="I1299" t="str">
        <f>TEXT(MONTH(Tabela1[[#This Row],[Último pagto ano]])*29,"mmmm")</f>
        <v>dezembro</v>
      </c>
    </row>
    <row r="1300" spans="1:9" x14ac:dyDescent="0.25">
      <c r="A1300">
        <v>2025</v>
      </c>
      <c r="B1300" t="s">
        <v>2586</v>
      </c>
      <c r="C1300" s="1">
        <v>45901</v>
      </c>
      <c r="D1300" t="s">
        <v>2587</v>
      </c>
      <c r="E1300">
        <v>22</v>
      </c>
      <c r="G1300" s="3">
        <f>MONTH(Tabela1[[#This Row],[Último pagto ano]])</f>
        <v>9</v>
      </c>
      <c r="H1300" t="str">
        <f>TEXT(Tabela1[[#This Row],[Coluna2]]*29,"mmmm")</f>
        <v>setembro</v>
      </c>
      <c r="I1300" t="str">
        <f>TEXT(MONTH(Tabela1[[#This Row],[Último pagto ano]])*29,"mmmm")</f>
        <v>setembro</v>
      </c>
    </row>
    <row r="1301" spans="1:9" x14ac:dyDescent="0.25">
      <c r="A1301">
        <v>2025</v>
      </c>
      <c r="B1301" t="s">
        <v>2588</v>
      </c>
      <c r="C1301" s="1">
        <v>45800</v>
      </c>
      <c r="D1301" t="s">
        <v>2589</v>
      </c>
      <c r="E1301" s="2">
        <v>4041.85</v>
      </c>
      <c r="G1301" s="3">
        <f>MONTH(Tabela1[[#This Row],[Último pagto ano]])</f>
        <v>5</v>
      </c>
      <c r="H1301" t="str">
        <f>TEXT(Tabela1[[#This Row],[Coluna2]]*29,"mmmm")</f>
        <v>maio</v>
      </c>
      <c r="I1301" t="str">
        <f>TEXT(MONTH(Tabela1[[#This Row],[Último pagto ano]])*29,"mmmm")</f>
        <v>maio</v>
      </c>
    </row>
    <row r="1302" spans="1:9" x14ac:dyDescent="0.25">
      <c r="A1302">
        <v>2025</v>
      </c>
      <c r="B1302" t="s">
        <v>2590</v>
      </c>
      <c r="C1302" s="1">
        <v>45702</v>
      </c>
      <c r="D1302" t="s">
        <v>2591</v>
      </c>
      <c r="E1302">
        <v>335.84</v>
      </c>
      <c r="G1302" s="3">
        <f>MONTH(Tabela1[[#This Row],[Último pagto ano]])</f>
        <v>2</v>
      </c>
      <c r="H1302" t="str">
        <f>TEXT(Tabela1[[#This Row],[Coluna2]]*29,"mmmm")</f>
        <v>fevereiro</v>
      </c>
      <c r="I1302" t="str">
        <f>TEXT(MONTH(Tabela1[[#This Row],[Último pagto ano]])*29,"mmmm")</f>
        <v>fevereiro</v>
      </c>
    </row>
    <row r="1303" spans="1:9" x14ac:dyDescent="0.25">
      <c r="A1303">
        <v>2025</v>
      </c>
      <c r="B1303" t="s">
        <v>2592</v>
      </c>
      <c r="C1303" s="1">
        <v>45863</v>
      </c>
      <c r="D1303" t="s">
        <v>2593</v>
      </c>
      <c r="E1303">
        <v>280</v>
      </c>
      <c r="G1303" s="3">
        <f>MONTH(Tabela1[[#This Row],[Último pagto ano]])</f>
        <v>7</v>
      </c>
      <c r="H1303" t="str">
        <f>TEXT(Tabela1[[#This Row],[Coluna2]]*29,"mmmm")</f>
        <v>julho</v>
      </c>
      <c r="I1303" t="str">
        <f>TEXT(MONTH(Tabela1[[#This Row],[Último pagto ano]])*29,"mmmm")</f>
        <v>julho</v>
      </c>
    </row>
    <row r="1304" spans="1:9" x14ac:dyDescent="0.25">
      <c r="A1304">
        <v>2025</v>
      </c>
      <c r="B1304" t="s">
        <v>2594</v>
      </c>
      <c r="C1304" s="1">
        <v>45989</v>
      </c>
      <c r="D1304" t="s">
        <v>2595</v>
      </c>
      <c r="E1304" s="2">
        <v>11596.49</v>
      </c>
      <c r="G1304" s="3">
        <f>MONTH(Tabela1[[#This Row],[Último pagto ano]])</f>
        <v>11</v>
      </c>
      <c r="H1304" t="str">
        <f>TEXT(Tabela1[[#This Row],[Coluna2]]*29,"mmmm")</f>
        <v>novembro</v>
      </c>
      <c r="I1304" t="str">
        <f>TEXT(MONTH(Tabela1[[#This Row],[Último pagto ano]])*29,"mmmm")</f>
        <v>novembro</v>
      </c>
    </row>
    <row r="1305" spans="1:9" x14ac:dyDescent="0.25">
      <c r="A1305">
        <v>2025</v>
      </c>
      <c r="B1305" t="s">
        <v>2596</v>
      </c>
      <c r="C1305" s="1">
        <v>46010</v>
      </c>
      <c r="D1305" t="s">
        <v>2597</v>
      </c>
      <c r="E1305" s="2">
        <v>24000</v>
      </c>
      <c r="G1305" s="3">
        <f>MONTH(Tabela1[[#This Row],[Último pagto ano]])</f>
        <v>12</v>
      </c>
      <c r="H1305" t="str">
        <f>TEXT(Tabela1[[#This Row],[Coluna2]]*29,"mmmm")</f>
        <v>dezembro</v>
      </c>
      <c r="I1305" t="str">
        <f>TEXT(MONTH(Tabela1[[#This Row],[Último pagto ano]])*29,"mmmm")</f>
        <v>dezembro</v>
      </c>
    </row>
    <row r="1306" spans="1:9" x14ac:dyDescent="0.25">
      <c r="A1306">
        <v>2025</v>
      </c>
      <c r="B1306" t="s">
        <v>2598</v>
      </c>
      <c r="C1306" s="1">
        <v>45985</v>
      </c>
      <c r="D1306" t="s">
        <v>2599</v>
      </c>
      <c r="E1306" s="2">
        <v>232958</v>
      </c>
      <c r="G1306" s="3">
        <f>MONTH(Tabela1[[#This Row],[Último pagto ano]])</f>
        <v>11</v>
      </c>
      <c r="H1306" t="str">
        <f>TEXT(Tabela1[[#This Row],[Coluna2]]*29,"mmmm")</f>
        <v>novembro</v>
      </c>
      <c r="I1306" t="str">
        <f>TEXT(MONTH(Tabela1[[#This Row],[Último pagto ano]])*29,"mmmm")</f>
        <v>novembro</v>
      </c>
    </row>
    <row r="1307" spans="1:9" x14ac:dyDescent="0.25">
      <c r="A1307">
        <v>2025</v>
      </c>
      <c r="B1307" t="s">
        <v>2600</v>
      </c>
      <c r="C1307" s="1">
        <v>46007</v>
      </c>
      <c r="D1307" t="s">
        <v>2601</v>
      </c>
      <c r="E1307" s="2">
        <v>162559.51</v>
      </c>
      <c r="G1307" s="3">
        <f>MONTH(Tabela1[[#This Row],[Último pagto ano]])</f>
        <v>12</v>
      </c>
      <c r="H1307" t="str">
        <f>TEXT(Tabela1[[#This Row],[Coluna2]]*29,"mmmm")</f>
        <v>dezembro</v>
      </c>
      <c r="I1307" t="str">
        <f>TEXT(MONTH(Tabela1[[#This Row],[Último pagto ano]])*29,"mmmm")</f>
        <v>dezembro</v>
      </c>
    </row>
    <row r="1308" spans="1:9" x14ac:dyDescent="0.25">
      <c r="A1308">
        <v>2025</v>
      </c>
      <c r="B1308" t="s">
        <v>2602</v>
      </c>
      <c r="C1308" s="1">
        <v>45980</v>
      </c>
      <c r="D1308" t="s">
        <v>2603</v>
      </c>
      <c r="E1308" s="2">
        <v>122688</v>
      </c>
      <c r="G1308" s="3">
        <f>MONTH(Tabela1[[#This Row],[Último pagto ano]])</f>
        <v>11</v>
      </c>
      <c r="H1308" t="str">
        <f>TEXT(Tabela1[[#This Row],[Coluna2]]*29,"mmmm")</f>
        <v>novembro</v>
      </c>
      <c r="I1308" t="str">
        <f>TEXT(MONTH(Tabela1[[#This Row],[Último pagto ano]])*29,"mmmm")</f>
        <v>novembro</v>
      </c>
    </row>
    <row r="1309" spans="1:9" x14ac:dyDescent="0.25">
      <c r="A1309">
        <v>2025</v>
      </c>
      <c r="B1309" t="s">
        <v>2604</v>
      </c>
      <c r="C1309" s="1">
        <v>46021</v>
      </c>
      <c r="D1309" t="s">
        <v>2605</v>
      </c>
      <c r="E1309" s="2">
        <v>56410.34</v>
      </c>
      <c r="G1309" s="3">
        <f>MONTH(Tabela1[[#This Row],[Último pagto ano]])</f>
        <v>12</v>
      </c>
      <c r="H1309" t="str">
        <f>TEXT(Tabela1[[#This Row],[Coluna2]]*29,"mmmm")</f>
        <v>dezembro</v>
      </c>
      <c r="I1309" t="str">
        <f>TEXT(MONTH(Tabela1[[#This Row],[Último pagto ano]])*29,"mmmm")</f>
        <v>dezembro</v>
      </c>
    </row>
    <row r="1310" spans="1:9" x14ac:dyDescent="0.25">
      <c r="A1310">
        <v>2025</v>
      </c>
      <c r="B1310" t="s">
        <v>2604</v>
      </c>
      <c r="C1310" s="1">
        <v>45714</v>
      </c>
      <c r="D1310" t="s">
        <v>2606</v>
      </c>
      <c r="E1310" s="2">
        <v>6670.86</v>
      </c>
      <c r="G1310" s="3">
        <f>MONTH(Tabela1[[#This Row],[Último pagto ano]])</f>
        <v>2</v>
      </c>
      <c r="H1310" t="str">
        <f>TEXT(Tabela1[[#This Row],[Coluna2]]*29,"mmmm")</f>
        <v>fevereiro</v>
      </c>
      <c r="I1310" t="str">
        <f>TEXT(MONTH(Tabela1[[#This Row],[Último pagto ano]])*29,"mmmm")</f>
        <v>fevereiro</v>
      </c>
    </row>
    <row r="1311" spans="1:9" x14ac:dyDescent="0.25">
      <c r="A1311">
        <v>2025</v>
      </c>
      <c r="B1311" t="s">
        <v>2607</v>
      </c>
      <c r="C1311" s="1">
        <v>45996</v>
      </c>
      <c r="D1311" t="s">
        <v>2608</v>
      </c>
      <c r="E1311" s="2">
        <v>1861895.28</v>
      </c>
      <c r="G1311" s="3">
        <f>MONTH(Tabela1[[#This Row],[Último pagto ano]])</f>
        <v>12</v>
      </c>
      <c r="H1311" t="str">
        <f>TEXT(Tabela1[[#This Row],[Coluna2]]*29,"mmmm")</f>
        <v>dezembro</v>
      </c>
      <c r="I1311" t="str">
        <f>TEXT(MONTH(Tabela1[[#This Row],[Último pagto ano]])*29,"mmmm")</f>
        <v>dezembro</v>
      </c>
    </row>
    <row r="1312" spans="1:9" x14ac:dyDescent="0.25">
      <c r="A1312">
        <v>2025</v>
      </c>
      <c r="B1312" t="s">
        <v>2609</v>
      </c>
      <c r="C1312" s="1">
        <v>45685</v>
      </c>
      <c r="D1312" t="s">
        <v>2610</v>
      </c>
      <c r="E1312" s="2">
        <v>1260</v>
      </c>
      <c r="G1312" s="3">
        <f>MONTH(Tabela1[[#This Row],[Último pagto ano]])</f>
        <v>1</v>
      </c>
      <c r="H1312" t="str">
        <f>TEXT(Tabela1[[#This Row],[Coluna2]]*29,"mmmm")</f>
        <v>janeiro</v>
      </c>
      <c r="I1312" t="str">
        <f>TEXT(MONTH(Tabela1[[#This Row],[Último pagto ano]])*29,"mmmm")</f>
        <v>janeiro</v>
      </c>
    </row>
    <row r="1313" spans="1:9" x14ac:dyDescent="0.25">
      <c r="A1313">
        <v>2025</v>
      </c>
      <c r="B1313" t="s">
        <v>2611</v>
      </c>
      <c r="C1313" s="1">
        <v>45744</v>
      </c>
      <c r="D1313" t="s">
        <v>2612</v>
      </c>
      <c r="E1313">
        <v>750</v>
      </c>
      <c r="G1313" s="3">
        <f>MONTH(Tabela1[[#This Row],[Último pagto ano]])</f>
        <v>3</v>
      </c>
      <c r="H1313" t="str">
        <f>TEXT(Tabela1[[#This Row],[Coluna2]]*29,"mmmm")</f>
        <v>março</v>
      </c>
      <c r="I1313" t="str">
        <f>TEXT(MONTH(Tabela1[[#This Row],[Último pagto ano]])*29,"mmmm")</f>
        <v>março</v>
      </c>
    </row>
    <row r="1314" spans="1:9" x14ac:dyDescent="0.25">
      <c r="A1314">
        <v>2025</v>
      </c>
      <c r="B1314" t="s">
        <v>2613</v>
      </c>
      <c r="C1314" s="1">
        <v>46006</v>
      </c>
      <c r="D1314" t="s">
        <v>2614</v>
      </c>
      <c r="E1314" s="2">
        <v>5034.72</v>
      </c>
      <c r="G1314" s="3">
        <f>MONTH(Tabela1[[#This Row],[Último pagto ano]])</f>
        <v>12</v>
      </c>
      <c r="H1314" t="str">
        <f>TEXT(Tabela1[[#This Row],[Coluna2]]*29,"mmmm")</f>
        <v>dezembro</v>
      </c>
      <c r="I1314" t="str">
        <f>TEXT(MONTH(Tabela1[[#This Row],[Último pagto ano]])*29,"mmmm")</f>
        <v>dezembro</v>
      </c>
    </row>
    <row r="1315" spans="1:9" x14ac:dyDescent="0.25">
      <c r="A1315">
        <v>2025</v>
      </c>
      <c r="B1315" t="s">
        <v>2615</v>
      </c>
      <c r="C1315" s="1">
        <v>45946</v>
      </c>
      <c r="D1315" t="s">
        <v>2616</v>
      </c>
      <c r="E1315" s="2">
        <v>2176</v>
      </c>
      <c r="G1315" s="3">
        <f>MONTH(Tabela1[[#This Row],[Último pagto ano]])</f>
        <v>10</v>
      </c>
      <c r="H1315" t="str">
        <f>TEXT(Tabela1[[#This Row],[Coluna2]]*29,"mmmm")</f>
        <v>outubro</v>
      </c>
      <c r="I1315" t="str">
        <f>TEXT(MONTH(Tabela1[[#This Row],[Último pagto ano]])*29,"mmmm")</f>
        <v>outubro</v>
      </c>
    </row>
    <row r="1316" spans="1:9" x14ac:dyDescent="0.25">
      <c r="A1316">
        <v>2025</v>
      </c>
      <c r="B1316" t="s">
        <v>2617</v>
      </c>
      <c r="C1316" s="1">
        <v>46010</v>
      </c>
      <c r="D1316" t="s">
        <v>2618</v>
      </c>
      <c r="E1316" s="2">
        <v>24000</v>
      </c>
      <c r="G1316" s="3">
        <f>MONTH(Tabela1[[#This Row],[Último pagto ano]])</f>
        <v>12</v>
      </c>
      <c r="H1316" t="str">
        <f>TEXT(Tabela1[[#This Row],[Coluna2]]*29,"mmmm")</f>
        <v>dezembro</v>
      </c>
      <c r="I1316" t="str">
        <f>TEXT(MONTH(Tabela1[[#This Row],[Último pagto ano]])*29,"mmmm")</f>
        <v>dezembro</v>
      </c>
    </row>
    <row r="1317" spans="1:9" x14ac:dyDescent="0.25">
      <c r="A1317">
        <v>2025</v>
      </c>
      <c r="B1317" t="s">
        <v>2619</v>
      </c>
      <c r="C1317" s="1">
        <v>45968</v>
      </c>
      <c r="D1317" t="s">
        <v>2620</v>
      </c>
      <c r="E1317" s="2">
        <v>6000</v>
      </c>
      <c r="G1317" s="3">
        <f>MONTH(Tabela1[[#This Row],[Último pagto ano]])</f>
        <v>11</v>
      </c>
      <c r="H1317" t="str">
        <f>TEXT(Tabela1[[#This Row],[Coluna2]]*29,"mmmm")</f>
        <v>novembro</v>
      </c>
      <c r="I1317" t="str">
        <f>TEXT(MONTH(Tabela1[[#This Row],[Último pagto ano]])*29,"mmmm")</f>
        <v>novembro</v>
      </c>
    </row>
    <row r="1318" spans="1:9" x14ac:dyDescent="0.25">
      <c r="A1318">
        <v>2025</v>
      </c>
      <c r="B1318" t="s">
        <v>2621</v>
      </c>
      <c r="C1318" s="1">
        <v>45744</v>
      </c>
      <c r="D1318" t="s">
        <v>2622</v>
      </c>
      <c r="E1318" s="2">
        <v>128569.37</v>
      </c>
      <c r="G1318" s="3">
        <f>MONTH(Tabela1[[#This Row],[Último pagto ano]])</f>
        <v>3</v>
      </c>
      <c r="H1318" t="str">
        <f>TEXT(Tabela1[[#This Row],[Coluna2]]*29,"mmmm")</f>
        <v>março</v>
      </c>
      <c r="I1318" t="str">
        <f>TEXT(MONTH(Tabela1[[#This Row],[Último pagto ano]])*29,"mmmm")</f>
        <v>março</v>
      </c>
    </row>
    <row r="1319" spans="1:9" x14ac:dyDescent="0.25">
      <c r="A1319">
        <v>2025</v>
      </c>
      <c r="B1319" t="s">
        <v>2623</v>
      </c>
      <c r="C1319" s="1">
        <v>45989</v>
      </c>
      <c r="D1319" t="s">
        <v>2624</v>
      </c>
      <c r="E1319" s="2">
        <v>11612.52</v>
      </c>
      <c r="G1319" s="3">
        <f>MONTH(Tabela1[[#This Row],[Último pagto ano]])</f>
        <v>11</v>
      </c>
      <c r="H1319" t="str">
        <f>TEXT(Tabela1[[#This Row],[Coluna2]]*29,"mmmm")</f>
        <v>novembro</v>
      </c>
      <c r="I1319" t="str">
        <f>TEXT(MONTH(Tabela1[[#This Row],[Último pagto ano]])*29,"mmmm")</f>
        <v>novembro</v>
      </c>
    </row>
    <row r="1320" spans="1:9" x14ac:dyDescent="0.25">
      <c r="A1320">
        <v>2025</v>
      </c>
      <c r="B1320" t="s">
        <v>2625</v>
      </c>
      <c r="C1320" s="1">
        <v>45924</v>
      </c>
      <c r="D1320" t="s">
        <v>2626</v>
      </c>
      <c r="E1320" s="2">
        <v>1400</v>
      </c>
      <c r="G1320" s="3">
        <f>MONTH(Tabela1[[#This Row],[Último pagto ano]])</f>
        <v>9</v>
      </c>
      <c r="H1320" t="str">
        <f>TEXT(Tabela1[[#This Row],[Coluna2]]*29,"mmmm")</f>
        <v>setembro</v>
      </c>
      <c r="I1320" t="str">
        <f>TEXT(MONTH(Tabela1[[#This Row],[Último pagto ano]])*29,"mmmm")</f>
        <v>setembro</v>
      </c>
    </row>
    <row r="1321" spans="1:9" x14ac:dyDescent="0.25">
      <c r="A1321">
        <v>2025</v>
      </c>
      <c r="B1321" t="s">
        <v>2627</v>
      </c>
      <c r="C1321" s="1">
        <v>45968</v>
      </c>
      <c r="D1321" t="s">
        <v>2628</v>
      </c>
      <c r="E1321" s="2">
        <v>6000</v>
      </c>
      <c r="G1321" s="3">
        <f>MONTH(Tabela1[[#This Row],[Último pagto ano]])</f>
        <v>11</v>
      </c>
      <c r="H1321" t="str">
        <f>TEXT(Tabela1[[#This Row],[Coluna2]]*29,"mmmm")</f>
        <v>novembro</v>
      </c>
      <c r="I1321" t="str">
        <f>TEXT(MONTH(Tabela1[[#This Row],[Último pagto ano]])*29,"mmmm")</f>
        <v>novembro</v>
      </c>
    </row>
    <row r="1322" spans="1:9" x14ac:dyDescent="0.25">
      <c r="A1322">
        <v>2025</v>
      </c>
      <c r="B1322" t="s">
        <v>2629</v>
      </c>
      <c r="C1322" s="1">
        <v>45911</v>
      </c>
      <c r="D1322" t="s">
        <v>2630</v>
      </c>
      <c r="E1322" s="2">
        <v>4609.8</v>
      </c>
      <c r="G1322" s="3">
        <f>MONTH(Tabela1[[#This Row],[Último pagto ano]])</f>
        <v>9</v>
      </c>
      <c r="H1322" t="str">
        <f>TEXT(Tabela1[[#This Row],[Coluna2]]*29,"mmmm")</f>
        <v>setembro</v>
      </c>
      <c r="I1322" t="str">
        <f>TEXT(MONTH(Tabela1[[#This Row],[Último pagto ano]])*29,"mmmm")</f>
        <v>setembro</v>
      </c>
    </row>
    <row r="1323" spans="1:9" x14ac:dyDescent="0.25">
      <c r="A1323">
        <v>2025</v>
      </c>
      <c r="B1323" t="s">
        <v>2631</v>
      </c>
      <c r="C1323" s="1">
        <v>45880</v>
      </c>
      <c r="D1323" t="s">
        <v>2632</v>
      </c>
      <c r="E1323">
        <v>11</v>
      </c>
      <c r="G1323" s="3">
        <f>MONTH(Tabela1[[#This Row],[Último pagto ano]])</f>
        <v>8</v>
      </c>
      <c r="H1323" t="str">
        <f>TEXT(Tabela1[[#This Row],[Coluna2]]*29,"mmmm")</f>
        <v>agosto</v>
      </c>
      <c r="I1323" t="str">
        <f>TEXT(MONTH(Tabela1[[#This Row],[Último pagto ano]])*29,"mmmm")</f>
        <v>agosto</v>
      </c>
    </row>
    <row r="1324" spans="1:9" x14ac:dyDescent="0.25">
      <c r="A1324">
        <v>2025</v>
      </c>
      <c r="B1324" t="s">
        <v>2633</v>
      </c>
      <c r="C1324" s="1">
        <v>45978</v>
      </c>
      <c r="D1324" t="s">
        <v>2634</v>
      </c>
      <c r="E1324" s="2">
        <v>2150</v>
      </c>
      <c r="G1324" s="3">
        <f>MONTH(Tabela1[[#This Row],[Último pagto ano]])</f>
        <v>11</v>
      </c>
      <c r="H1324" t="str">
        <f>TEXT(Tabela1[[#This Row],[Coluna2]]*29,"mmmm")</f>
        <v>novembro</v>
      </c>
      <c r="I1324" t="str">
        <f>TEXT(MONTH(Tabela1[[#This Row],[Último pagto ano]])*29,"mmmm")</f>
        <v>novembro</v>
      </c>
    </row>
    <row r="1325" spans="1:9" x14ac:dyDescent="0.25">
      <c r="A1325">
        <v>2025</v>
      </c>
      <c r="B1325" t="s">
        <v>2635</v>
      </c>
      <c r="C1325" s="1">
        <v>45985</v>
      </c>
      <c r="D1325" t="s">
        <v>2636</v>
      </c>
      <c r="E1325">
        <v>88</v>
      </c>
      <c r="G1325" s="3">
        <f>MONTH(Tabela1[[#This Row],[Último pagto ano]])</f>
        <v>11</v>
      </c>
      <c r="H1325" t="str">
        <f>TEXT(Tabela1[[#This Row],[Coluna2]]*29,"mmmm")</f>
        <v>novembro</v>
      </c>
      <c r="I1325" t="str">
        <f>TEXT(MONTH(Tabela1[[#This Row],[Último pagto ano]])*29,"mmmm")</f>
        <v>novembro</v>
      </c>
    </row>
    <row r="1326" spans="1:9" x14ac:dyDescent="0.25">
      <c r="A1326">
        <v>2025</v>
      </c>
      <c r="B1326" t="s">
        <v>2637</v>
      </c>
      <c r="C1326" s="1">
        <v>45736</v>
      </c>
      <c r="D1326" t="s">
        <v>2638</v>
      </c>
      <c r="E1326" s="2">
        <v>5124.8</v>
      </c>
      <c r="G1326" s="3">
        <f>MONTH(Tabela1[[#This Row],[Último pagto ano]])</f>
        <v>3</v>
      </c>
      <c r="H1326" t="str">
        <f>TEXT(Tabela1[[#This Row],[Coluna2]]*29,"mmmm")</f>
        <v>março</v>
      </c>
      <c r="I1326" t="str">
        <f>TEXT(MONTH(Tabela1[[#This Row],[Último pagto ano]])*29,"mmmm")</f>
        <v>março</v>
      </c>
    </row>
    <row r="1327" spans="1:9" x14ac:dyDescent="0.25">
      <c r="A1327">
        <v>2025</v>
      </c>
      <c r="B1327" t="s">
        <v>2639</v>
      </c>
      <c r="C1327" s="1">
        <v>45989</v>
      </c>
      <c r="D1327" t="s">
        <v>2640</v>
      </c>
      <c r="E1327" s="2">
        <v>10503.76</v>
      </c>
      <c r="G1327" s="3">
        <f>MONTH(Tabela1[[#This Row],[Último pagto ano]])</f>
        <v>11</v>
      </c>
      <c r="H1327" t="str">
        <f>TEXT(Tabela1[[#This Row],[Coluna2]]*29,"mmmm")</f>
        <v>novembro</v>
      </c>
      <c r="I1327" t="str">
        <f>TEXT(MONTH(Tabela1[[#This Row],[Último pagto ano]])*29,"mmmm")</f>
        <v>novembro</v>
      </c>
    </row>
    <row r="1328" spans="1:9" x14ac:dyDescent="0.25">
      <c r="A1328">
        <v>2025</v>
      </c>
      <c r="B1328" t="s">
        <v>2641</v>
      </c>
      <c r="C1328" s="1">
        <v>45964</v>
      </c>
      <c r="D1328" t="s">
        <v>2642</v>
      </c>
      <c r="E1328">
        <v>53.8</v>
      </c>
      <c r="G1328" s="3">
        <f>MONTH(Tabela1[[#This Row],[Último pagto ano]])</f>
        <v>11</v>
      </c>
      <c r="H1328" t="str">
        <f>TEXT(Tabela1[[#This Row],[Coluna2]]*29,"mmmm")</f>
        <v>novembro</v>
      </c>
      <c r="I1328" t="str">
        <f>TEXT(MONTH(Tabela1[[#This Row],[Último pagto ano]])*29,"mmmm")</f>
        <v>novembro</v>
      </c>
    </row>
    <row r="1329" spans="1:9" x14ac:dyDescent="0.25">
      <c r="A1329">
        <v>2025</v>
      </c>
      <c r="B1329" t="s">
        <v>2643</v>
      </c>
      <c r="C1329" s="1">
        <v>45950</v>
      </c>
      <c r="D1329" t="s">
        <v>2644</v>
      </c>
      <c r="E1329">
        <v>85</v>
      </c>
      <c r="G1329" s="3">
        <f>MONTH(Tabela1[[#This Row],[Último pagto ano]])</f>
        <v>10</v>
      </c>
      <c r="H1329" t="str">
        <f>TEXT(Tabela1[[#This Row],[Coluna2]]*29,"mmmm")</f>
        <v>outubro</v>
      </c>
      <c r="I1329" t="str">
        <f>TEXT(MONTH(Tabela1[[#This Row],[Último pagto ano]])*29,"mmmm")</f>
        <v>outubro</v>
      </c>
    </row>
    <row r="1330" spans="1:9" x14ac:dyDescent="0.25">
      <c r="A1330">
        <v>2025</v>
      </c>
      <c r="B1330" t="s">
        <v>2645</v>
      </c>
      <c r="C1330" s="1">
        <v>45877</v>
      </c>
      <c r="D1330" t="s">
        <v>2646</v>
      </c>
      <c r="E1330" s="2">
        <v>1689.27</v>
      </c>
      <c r="G1330" s="3">
        <f>MONTH(Tabela1[[#This Row],[Último pagto ano]])</f>
        <v>8</v>
      </c>
      <c r="H1330" t="str">
        <f>TEXT(Tabela1[[#This Row],[Coluna2]]*29,"mmmm")</f>
        <v>agosto</v>
      </c>
      <c r="I1330" t="str">
        <f>TEXT(MONTH(Tabela1[[#This Row],[Último pagto ano]])*29,"mmmm")</f>
        <v>agosto</v>
      </c>
    </row>
    <row r="1331" spans="1:9" x14ac:dyDescent="0.25">
      <c r="A1331">
        <v>2025</v>
      </c>
      <c r="B1331" t="s">
        <v>2647</v>
      </c>
      <c r="C1331" s="1">
        <v>45673</v>
      </c>
      <c r="D1331" t="s">
        <v>2648</v>
      </c>
      <c r="E1331" s="2">
        <v>2970</v>
      </c>
      <c r="G1331" s="3">
        <f>MONTH(Tabela1[[#This Row],[Último pagto ano]])</f>
        <v>1</v>
      </c>
      <c r="H1331" t="str">
        <f>TEXT(Tabela1[[#This Row],[Coluna2]]*29,"mmmm")</f>
        <v>janeiro</v>
      </c>
      <c r="I1331" t="str">
        <f>TEXT(MONTH(Tabela1[[#This Row],[Último pagto ano]])*29,"mmmm")</f>
        <v>janeiro</v>
      </c>
    </row>
    <row r="1332" spans="1:9" x14ac:dyDescent="0.25">
      <c r="A1332">
        <v>2025</v>
      </c>
      <c r="B1332" t="s">
        <v>2649</v>
      </c>
      <c r="C1332" s="1">
        <v>45824</v>
      </c>
      <c r="D1332" t="s">
        <v>2650</v>
      </c>
      <c r="E1332">
        <v>296.16000000000003</v>
      </c>
      <c r="G1332" s="3">
        <f>MONTH(Tabela1[[#This Row],[Último pagto ano]])</f>
        <v>6</v>
      </c>
      <c r="H1332" t="str">
        <f>TEXT(Tabela1[[#This Row],[Coluna2]]*29,"mmmm")</f>
        <v>junho</v>
      </c>
      <c r="I1332" t="str">
        <f>TEXT(MONTH(Tabela1[[#This Row],[Último pagto ano]])*29,"mmmm")</f>
        <v>junho</v>
      </c>
    </row>
    <row r="1333" spans="1:9" x14ac:dyDescent="0.25">
      <c r="A1333">
        <v>2025</v>
      </c>
      <c r="B1333" t="s">
        <v>2651</v>
      </c>
      <c r="C1333" s="1">
        <v>45915</v>
      </c>
      <c r="D1333" t="s">
        <v>2652</v>
      </c>
      <c r="E1333" s="2">
        <v>8602.92</v>
      </c>
      <c r="G1333" s="3">
        <f>MONTH(Tabela1[[#This Row],[Último pagto ano]])</f>
        <v>9</v>
      </c>
      <c r="H1333" t="str">
        <f>TEXT(Tabela1[[#This Row],[Coluna2]]*29,"mmmm")</f>
        <v>setembro</v>
      </c>
      <c r="I1333" t="str">
        <f>TEXT(MONTH(Tabela1[[#This Row],[Último pagto ano]])*29,"mmmm")</f>
        <v>setembro</v>
      </c>
    </row>
    <row r="1334" spans="1:9" x14ac:dyDescent="0.25">
      <c r="A1334">
        <v>2025</v>
      </c>
      <c r="B1334" t="s">
        <v>2653</v>
      </c>
      <c r="C1334" s="1">
        <v>45743</v>
      </c>
      <c r="D1334" t="s">
        <v>2654</v>
      </c>
      <c r="E1334">
        <v>2.46</v>
      </c>
      <c r="G1334" s="3">
        <f>MONTH(Tabela1[[#This Row],[Último pagto ano]])</f>
        <v>3</v>
      </c>
      <c r="H1334" t="str">
        <f>TEXT(Tabela1[[#This Row],[Coluna2]]*29,"mmmm")</f>
        <v>março</v>
      </c>
      <c r="I1334" t="str">
        <f>TEXT(MONTH(Tabela1[[#This Row],[Último pagto ano]])*29,"mmmm")</f>
        <v>março</v>
      </c>
    </row>
    <row r="1335" spans="1:9" x14ac:dyDescent="0.25">
      <c r="A1335">
        <v>2025</v>
      </c>
      <c r="B1335" t="s">
        <v>2655</v>
      </c>
      <c r="C1335" s="1">
        <v>45796</v>
      </c>
      <c r="D1335" t="s">
        <v>2656</v>
      </c>
      <c r="E1335" s="2">
        <v>1877.63</v>
      </c>
      <c r="G1335" s="3">
        <f>MONTH(Tabela1[[#This Row],[Último pagto ano]])</f>
        <v>5</v>
      </c>
      <c r="H1335" t="str">
        <f>TEXT(Tabela1[[#This Row],[Coluna2]]*29,"mmmm")</f>
        <v>maio</v>
      </c>
      <c r="I1335" t="str">
        <f>TEXT(MONTH(Tabela1[[#This Row],[Último pagto ano]])*29,"mmmm")</f>
        <v>maio</v>
      </c>
    </row>
    <row r="1336" spans="1:9" x14ac:dyDescent="0.25">
      <c r="A1336">
        <v>2025</v>
      </c>
      <c r="B1336" t="s">
        <v>2657</v>
      </c>
      <c r="C1336" s="1">
        <v>45821</v>
      </c>
      <c r="D1336" t="s">
        <v>2658</v>
      </c>
      <c r="E1336">
        <v>17.07</v>
      </c>
      <c r="G1336" s="3">
        <f>MONTH(Tabela1[[#This Row],[Último pagto ano]])</f>
        <v>6</v>
      </c>
      <c r="H1336" t="str">
        <f>TEXT(Tabela1[[#This Row],[Coluna2]]*29,"mmmm")</f>
        <v>junho</v>
      </c>
      <c r="I1336" t="str">
        <f>TEXT(MONTH(Tabela1[[#This Row],[Último pagto ano]])*29,"mmmm")</f>
        <v>junho</v>
      </c>
    </row>
    <row r="1337" spans="1:9" x14ac:dyDescent="0.25">
      <c r="A1337">
        <v>2025</v>
      </c>
      <c r="B1337" t="s">
        <v>2659</v>
      </c>
      <c r="C1337" s="1">
        <v>45814</v>
      </c>
      <c r="D1337" t="s">
        <v>2660</v>
      </c>
      <c r="E1337" s="2">
        <v>29438.2</v>
      </c>
      <c r="G1337" s="3">
        <f>MONTH(Tabela1[[#This Row],[Último pagto ano]])</f>
        <v>6</v>
      </c>
      <c r="H1337" t="str">
        <f>TEXT(Tabela1[[#This Row],[Coluna2]]*29,"mmmm")</f>
        <v>junho</v>
      </c>
      <c r="I1337" t="str">
        <f>TEXT(MONTH(Tabela1[[#This Row],[Último pagto ano]])*29,"mmmm")</f>
        <v>junho</v>
      </c>
    </row>
    <row r="1338" spans="1:9" x14ac:dyDescent="0.25">
      <c r="A1338">
        <v>2025</v>
      </c>
      <c r="B1338" t="s">
        <v>2661</v>
      </c>
      <c r="C1338" s="1">
        <v>46014</v>
      </c>
      <c r="D1338" t="s">
        <v>2662</v>
      </c>
      <c r="E1338" s="2">
        <v>5485</v>
      </c>
      <c r="G1338" s="3">
        <f>MONTH(Tabela1[[#This Row],[Último pagto ano]])</f>
        <v>12</v>
      </c>
      <c r="H1338" t="str">
        <f>TEXT(Tabela1[[#This Row],[Coluna2]]*29,"mmmm")</f>
        <v>dezembro</v>
      </c>
      <c r="I1338" t="str">
        <f>TEXT(MONTH(Tabela1[[#This Row],[Último pagto ano]])*29,"mmmm")</f>
        <v>dezembro</v>
      </c>
    </row>
    <row r="1339" spans="1:9" x14ac:dyDescent="0.25">
      <c r="A1339">
        <v>2025</v>
      </c>
      <c r="B1339" t="s">
        <v>2663</v>
      </c>
      <c r="C1339" s="1">
        <v>46014</v>
      </c>
      <c r="D1339" t="s">
        <v>2664</v>
      </c>
      <c r="E1339" s="2">
        <v>3495</v>
      </c>
      <c r="G1339" s="3">
        <f>MONTH(Tabela1[[#This Row],[Último pagto ano]])</f>
        <v>12</v>
      </c>
      <c r="H1339" t="str">
        <f>TEXT(Tabela1[[#This Row],[Coluna2]]*29,"mmmm")</f>
        <v>dezembro</v>
      </c>
      <c r="I1339" t="str">
        <f>TEXT(MONTH(Tabela1[[#This Row],[Último pagto ano]])*29,"mmmm")</f>
        <v>dezembro</v>
      </c>
    </row>
    <row r="1340" spans="1:9" x14ac:dyDescent="0.25">
      <c r="A1340">
        <v>2025</v>
      </c>
      <c r="B1340" t="s">
        <v>2665</v>
      </c>
      <c r="C1340" s="1">
        <v>46006</v>
      </c>
      <c r="D1340" t="s">
        <v>2666</v>
      </c>
      <c r="E1340" s="2">
        <v>16235.68</v>
      </c>
      <c r="G1340" s="3">
        <f>MONTH(Tabela1[[#This Row],[Último pagto ano]])</f>
        <v>12</v>
      </c>
      <c r="H1340" t="str">
        <f>TEXT(Tabela1[[#This Row],[Coluna2]]*29,"mmmm")</f>
        <v>dezembro</v>
      </c>
      <c r="I1340" t="str">
        <f>TEXT(MONTH(Tabela1[[#This Row],[Último pagto ano]])*29,"mmmm")</f>
        <v>dezembro</v>
      </c>
    </row>
    <row r="1341" spans="1:9" x14ac:dyDescent="0.25">
      <c r="A1341">
        <v>2025</v>
      </c>
      <c r="B1341" t="s">
        <v>2667</v>
      </c>
      <c r="C1341" s="1">
        <v>45866</v>
      </c>
      <c r="D1341" t="s">
        <v>2668</v>
      </c>
      <c r="E1341">
        <v>0.98</v>
      </c>
      <c r="G1341" s="3">
        <f>MONTH(Tabela1[[#This Row],[Último pagto ano]])</f>
        <v>7</v>
      </c>
      <c r="H1341" t="str">
        <f>TEXT(Tabela1[[#This Row],[Coluna2]]*29,"mmmm")</f>
        <v>julho</v>
      </c>
      <c r="I1341" t="str">
        <f>TEXT(MONTH(Tabela1[[#This Row],[Último pagto ano]])*29,"mmmm")</f>
        <v>julho</v>
      </c>
    </row>
    <row r="1342" spans="1:9" x14ac:dyDescent="0.25">
      <c r="A1342">
        <v>2025</v>
      </c>
      <c r="B1342" t="s">
        <v>2669</v>
      </c>
      <c r="C1342" s="1">
        <v>45796</v>
      </c>
      <c r="D1342" t="s">
        <v>2670</v>
      </c>
      <c r="E1342" s="2">
        <v>3225.3</v>
      </c>
      <c r="G1342" s="3">
        <f>MONTH(Tabela1[[#This Row],[Último pagto ano]])</f>
        <v>5</v>
      </c>
      <c r="H1342" t="str">
        <f>TEXT(Tabela1[[#This Row],[Coluna2]]*29,"mmmm")</f>
        <v>maio</v>
      </c>
      <c r="I1342" t="str">
        <f>TEXT(MONTH(Tabela1[[#This Row],[Último pagto ano]])*29,"mmmm")</f>
        <v>maio</v>
      </c>
    </row>
    <row r="1343" spans="1:9" x14ac:dyDescent="0.25">
      <c r="A1343">
        <v>2025</v>
      </c>
      <c r="B1343" t="s">
        <v>2671</v>
      </c>
      <c r="C1343" s="1">
        <v>45915</v>
      </c>
      <c r="D1343" t="s">
        <v>2672</v>
      </c>
      <c r="E1343" s="2">
        <v>5132.5600000000004</v>
      </c>
      <c r="G1343" s="3">
        <f>MONTH(Tabela1[[#This Row],[Último pagto ano]])</f>
        <v>9</v>
      </c>
      <c r="H1343" t="str">
        <f>TEXT(Tabela1[[#This Row],[Coluna2]]*29,"mmmm")</f>
        <v>setembro</v>
      </c>
      <c r="I1343" t="str">
        <f>TEXT(MONTH(Tabela1[[#This Row],[Último pagto ano]])*29,"mmmm")</f>
        <v>setembro</v>
      </c>
    </row>
    <row r="1344" spans="1:9" x14ac:dyDescent="0.25">
      <c r="A1344">
        <v>2025</v>
      </c>
      <c r="B1344" t="s">
        <v>2673</v>
      </c>
      <c r="C1344" s="1">
        <v>46006</v>
      </c>
      <c r="D1344" t="s">
        <v>2674</v>
      </c>
      <c r="E1344" s="2">
        <v>7983.04</v>
      </c>
      <c r="G1344" s="3">
        <f>MONTH(Tabela1[[#This Row],[Último pagto ano]])</f>
        <v>12</v>
      </c>
      <c r="H1344" t="str">
        <f>TEXT(Tabela1[[#This Row],[Coluna2]]*29,"mmmm")</f>
        <v>dezembro</v>
      </c>
      <c r="I1344" t="str">
        <f>TEXT(MONTH(Tabela1[[#This Row],[Último pagto ano]])*29,"mmmm")</f>
        <v>dezembro</v>
      </c>
    </row>
    <row r="1345" spans="1:9" x14ac:dyDescent="0.25">
      <c r="A1345">
        <v>2025</v>
      </c>
      <c r="B1345" t="s">
        <v>2675</v>
      </c>
      <c r="C1345" s="1">
        <v>45782</v>
      </c>
      <c r="D1345" t="s">
        <v>2676</v>
      </c>
      <c r="E1345">
        <v>1</v>
      </c>
      <c r="G1345" s="3">
        <f>MONTH(Tabela1[[#This Row],[Último pagto ano]])</f>
        <v>5</v>
      </c>
      <c r="H1345" t="str">
        <f>TEXT(Tabela1[[#This Row],[Coluna2]]*29,"mmmm")</f>
        <v>maio</v>
      </c>
      <c r="I1345" t="str">
        <f>TEXT(MONTH(Tabela1[[#This Row],[Último pagto ano]])*29,"mmmm")</f>
        <v>maio</v>
      </c>
    </row>
    <row r="1346" spans="1:9" x14ac:dyDescent="0.25">
      <c r="A1346">
        <v>2025</v>
      </c>
      <c r="B1346" t="s">
        <v>2677</v>
      </c>
      <c r="C1346" s="1">
        <v>46010</v>
      </c>
      <c r="D1346" t="s">
        <v>2678</v>
      </c>
      <c r="E1346" s="2">
        <v>8400</v>
      </c>
      <c r="G1346" s="3">
        <f>MONTH(Tabela1[[#This Row],[Último pagto ano]])</f>
        <v>12</v>
      </c>
      <c r="H1346" t="str">
        <f>TEXT(Tabela1[[#This Row],[Coluna2]]*29,"mmmm")</f>
        <v>dezembro</v>
      </c>
      <c r="I1346" t="str">
        <f>TEXT(MONTH(Tabela1[[#This Row],[Último pagto ano]])*29,"mmmm")</f>
        <v>dezembro</v>
      </c>
    </row>
    <row r="1347" spans="1:9" x14ac:dyDescent="0.25">
      <c r="A1347">
        <v>2025</v>
      </c>
      <c r="B1347" t="s">
        <v>2679</v>
      </c>
      <c r="C1347" s="1">
        <v>46006</v>
      </c>
      <c r="D1347" t="s">
        <v>2680</v>
      </c>
      <c r="E1347" s="2">
        <v>6515.52</v>
      </c>
      <c r="G1347" s="3">
        <f>MONTH(Tabela1[[#This Row],[Último pagto ano]])</f>
        <v>12</v>
      </c>
      <c r="H1347" t="str">
        <f>TEXT(Tabela1[[#This Row],[Coluna2]]*29,"mmmm")</f>
        <v>dezembro</v>
      </c>
      <c r="I1347" t="str">
        <f>TEXT(MONTH(Tabela1[[#This Row],[Último pagto ano]])*29,"mmmm")</f>
        <v>dezembro</v>
      </c>
    </row>
    <row r="1348" spans="1:9" x14ac:dyDescent="0.25">
      <c r="A1348">
        <v>2025</v>
      </c>
      <c r="B1348" t="s">
        <v>2681</v>
      </c>
      <c r="C1348" s="1">
        <v>46006</v>
      </c>
      <c r="D1348" t="s">
        <v>2682</v>
      </c>
      <c r="E1348">
        <v>592.32000000000005</v>
      </c>
      <c r="G1348" s="3">
        <f>MONTH(Tabela1[[#This Row],[Último pagto ano]])</f>
        <v>12</v>
      </c>
      <c r="H1348" t="str">
        <f>TEXT(Tabela1[[#This Row],[Coluna2]]*29,"mmmm")</f>
        <v>dezembro</v>
      </c>
      <c r="I1348" t="str">
        <f>TEXT(MONTH(Tabela1[[#This Row],[Último pagto ano]])*29,"mmmm")</f>
        <v>dezembro</v>
      </c>
    </row>
    <row r="1349" spans="1:9" x14ac:dyDescent="0.25">
      <c r="A1349">
        <v>2025</v>
      </c>
      <c r="B1349" t="s">
        <v>2683</v>
      </c>
      <c r="C1349" s="1">
        <v>45959</v>
      </c>
      <c r="D1349" t="s">
        <v>2684</v>
      </c>
      <c r="E1349" s="2">
        <v>77976.600000000006</v>
      </c>
      <c r="G1349" s="3">
        <f>MONTH(Tabela1[[#This Row],[Último pagto ano]])</f>
        <v>10</v>
      </c>
      <c r="H1349" t="str">
        <f>TEXT(Tabela1[[#This Row],[Coluna2]]*29,"mmmm")</f>
        <v>outubro</v>
      </c>
      <c r="I1349" t="str">
        <f>TEXT(MONTH(Tabela1[[#This Row],[Último pagto ano]])*29,"mmmm")</f>
        <v>outubro</v>
      </c>
    </row>
    <row r="1350" spans="1:9" x14ac:dyDescent="0.25">
      <c r="A1350">
        <v>2025</v>
      </c>
      <c r="B1350" t="s">
        <v>2685</v>
      </c>
      <c r="C1350" s="1">
        <v>45860</v>
      </c>
      <c r="D1350" t="s">
        <v>2686</v>
      </c>
      <c r="E1350">
        <v>492.8</v>
      </c>
      <c r="G1350" s="3">
        <f>MONTH(Tabela1[[#This Row],[Último pagto ano]])</f>
        <v>7</v>
      </c>
      <c r="H1350" t="str">
        <f>TEXT(Tabela1[[#This Row],[Coluna2]]*29,"mmmm")</f>
        <v>julho</v>
      </c>
      <c r="I1350" t="str">
        <f>TEXT(MONTH(Tabela1[[#This Row],[Último pagto ano]])*29,"mmmm")</f>
        <v>julho</v>
      </c>
    </row>
    <row r="1351" spans="1:9" x14ac:dyDescent="0.25">
      <c r="A1351">
        <v>2025</v>
      </c>
      <c r="B1351" t="s">
        <v>2687</v>
      </c>
      <c r="C1351" s="1">
        <v>45677</v>
      </c>
      <c r="D1351" t="s">
        <v>2688</v>
      </c>
      <c r="E1351">
        <v>114.51</v>
      </c>
      <c r="G1351" s="3">
        <f>MONTH(Tabela1[[#This Row],[Último pagto ano]])</f>
        <v>1</v>
      </c>
      <c r="H1351" t="str">
        <f>TEXT(Tabela1[[#This Row],[Coluna2]]*29,"mmmm")</f>
        <v>janeiro</v>
      </c>
      <c r="I1351" t="str">
        <f>TEXT(MONTH(Tabela1[[#This Row],[Último pagto ano]])*29,"mmmm")</f>
        <v>janeiro</v>
      </c>
    </row>
    <row r="1352" spans="1:9" x14ac:dyDescent="0.25">
      <c r="A1352">
        <v>2025</v>
      </c>
      <c r="B1352" t="s">
        <v>2689</v>
      </c>
      <c r="C1352" s="1">
        <v>45996</v>
      </c>
      <c r="D1352" t="s">
        <v>2690</v>
      </c>
      <c r="E1352" s="2">
        <v>2400</v>
      </c>
      <c r="G1352" s="3">
        <f>MONTH(Tabela1[[#This Row],[Último pagto ano]])</f>
        <v>12</v>
      </c>
      <c r="H1352" t="str">
        <f>TEXT(Tabela1[[#This Row],[Coluna2]]*29,"mmmm")</f>
        <v>dezembro</v>
      </c>
      <c r="I1352" t="str">
        <f>TEXT(MONTH(Tabela1[[#This Row],[Último pagto ano]])*29,"mmmm")</f>
        <v>dezembro</v>
      </c>
    </row>
    <row r="1353" spans="1:9" x14ac:dyDescent="0.25">
      <c r="A1353">
        <v>2025</v>
      </c>
      <c r="B1353" t="s">
        <v>2691</v>
      </c>
      <c r="C1353" s="1">
        <v>45673</v>
      </c>
      <c r="D1353" t="s">
        <v>2692</v>
      </c>
      <c r="E1353">
        <v>200</v>
      </c>
      <c r="G1353" s="3">
        <f>MONTH(Tabela1[[#This Row],[Último pagto ano]])</f>
        <v>1</v>
      </c>
      <c r="H1353" t="str">
        <f>TEXT(Tabela1[[#This Row],[Coluna2]]*29,"mmmm")</f>
        <v>janeiro</v>
      </c>
      <c r="I1353" t="str">
        <f>TEXT(MONTH(Tabela1[[#This Row],[Último pagto ano]])*29,"mmmm")</f>
        <v>janeiro</v>
      </c>
    </row>
    <row r="1354" spans="1:9" x14ac:dyDescent="0.25">
      <c r="A1354">
        <v>2025</v>
      </c>
      <c r="B1354" t="s">
        <v>2693</v>
      </c>
      <c r="C1354" s="1">
        <v>46006</v>
      </c>
      <c r="D1354" t="s">
        <v>2694</v>
      </c>
      <c r="E1354" s="2">
        <v>2073.12</v>
      </c>
      <c r="G1354" s="3">
        <f>MONTH(Tabela1[[#This Row],[Último pagto ano]])</f>
        <v>12</v>
      </c>
      <c r="H1354" t="str">
        <f>TEXT(Tabela1[[#This Row],[Coluna2]]*29,"mmmm")</f>
        <v>dezembro</v>
      </c>
      <c r="I1354" t="str">
        <f>TEXT(MONTH(Tabela1[[#This Row],[Último pagto ano]])*29,"mmmm")</f>
        <v>dezembro</v>
      </c>
    </row>
    <row r="1355" spans="1:9" x14ac:dyDescent="0.25">
      <c r="A1355">
        <v>2025</v>
      </c>
      <c r="B1355" t="s">
        <v>2695</v>
      </c>
      <c r="C1355" s="1">
        <v>45975</v>
      </c>
      <c r="D1355" t="s">
        <v>2696</v>
      </c>
      <c r="E1355" s="2">
        <v>5889.44</v>
      </c>
      <c r="G1355" s="3">
        <f>MONTH(Tabela1[[#This Row],[Último pagto ano]])</f>
        <v>11</v>
      </c>
      <c r="H1355" t="str">
        <f>TEXT(Tabela1[[#This Row],[Coluna2]]*29,"mmmm")</f>
        <v>novembro</v>
      </c>
      <c r="I1355" t="str">
        <f>TEXT(MONTH(Tabela1[[#This Row],[Último pagto ano]])*29,"mmmm")</f>
        <v>novembro</v>
      </c>
    </row>
    <row r="1356" spans="1:9" x14ac:dyDescent="0.25">
      <c r="A1356">
        <v>2025</v>
      </c>
      <c r="B1356" t="s">
        <v>2697</v>
      </c>
      <c r="C1356" s="1">
        <v>45712</v>
      </c>
      <c r="D1356" t="s">
        <v>2698</v>
      </c>
      <c r="E1356" s="2">
        <v>1400</v>
      </c>
      <c r="G1356" s="3">
        <f>MONTH(Tabela1[[#This Row],[Último pagto ano]])</f>
        <v>2</v>
      </c>
      <c r="H1356" t="str">
        <f>TEXT(Tabela1[[#This Row],[Coluna2]]*29,"mmmm")</f>
        <v>fevereiro</v>
      </c>
      <c r="I1356" t="str">
        <f>TEXT(MONTH(Tabela1[[#This Row],[Último pagto ano]])*29,"mmmm")</f>
        <v>fevereiro</v>
      </c>
    </row>
    <row r="1357" spans="1:9" x14ac:dyDescent="0.25">
      <c r="A1357">
        <v>2025</v>
      </c>
      <c r="B1357" t="s">
        <v>2699</v>
      </c>
      <c r="C1357" s="1">
        <v>45996</v>
      </c>
      <c r="D1357" t="s">
        <v>2700</v>
      </c>
      <c r="E1357" s="2">
        <v>14300</v>
      </c>
      <c r="G1357" s="3">
        <f>MONTH(Tabela1[[#This Row],[Último pagto ano]])</f>
        <v>12</v>
      </c>
      <c r="H1357" t="str">
        <f>TEXT(Tabela1[[#This Row],[Coluna2]]*29,"mmmm")</f>
        <v>dezembro</v>
      </c>
      <c r="I1357" t="str">
        <f>TEXT(MONTH(Tabela1[[#This Row],[Último pagto ano]])*29,"mmmm")</f>
        <v>dezembro</v>
      </c>
    </row>
    <row r="1358" spans="1:9" x14ac:dyDescent="0.25">
      <c r="A1358">
        <v>2025</v>
      </c>
      <c r="B1358" t="s">
        <v>2701</v>
      </c>
      <c r="C1358" s="1">
        <v>45673</v>
      </c>
      <c r="D1358" t="s">
        <v>2702</v>
      </c>
      <c r="E1358">
        <v>550</v>
      </c>
      <c r="G1358" s="3">
        <f>MONTH(Tabela1[[#This Row],[Último pagto ano]])</f>
        <v>1</v>
      </c>
      <c r="H1358" t="str">
        <f>TEXT(Tabela1[[#This Row],[Coluna2]]*29,"mmmm")</f>
        <v>janeiro</v>
      </c>
      <c r="I1358" t="str">
        <f>TEXT(MONTH(Tabela1[[#This Row],[Último pagto ano]])*29,"mmmm")</f>
        <v>janeiro</v>
      </c>
    </row>
    <row r="1359" spans="1:9" x14ac:dyDescent="0.25">
      <c r="A1359">
        <v>2025</v>
      </c>
      <c r="B1359" t="s">
        <v>2703</v>
      </c>
      <c r="C1359" s="1">
        <v>45954</v>
      </c>
      <c r="D1359" t="s">
        <v>2704</v>
      </c>
      <c r="E1359" s="2">
        <v>138348.24</v>
      </c>
      <c r="G1359" s="3">
        <f>MONTH(Tabela1[[#This Row],[Último pagto ano]])</f>
        <v>10</v>
      </c>
      <c r="H1359" t="str">
        <f>TEXT(Tabela1[[#This Row],[Coluna2]]*29,"mmmm")</f>
        <v>outubro</v>
      </c>
      <c r="I1359" t="str">
        <f>TEXT(MONTH(Tabela1[[#This Row],[Último pagto ano]])*29,"mmmm")</f>
        <v>outubro</v>
      </c>
    </row>
    <row r="1360" spans="1:9" x14ac:dyDescent="0.25">
      <c r="A1360">
        <v>2025</v>
      </c>
      <c r="B1360" t="s">
        <v>2705</v>
      </c>
      <c r="C1360" s="1">
        <v>45989</v>
      </c>
      <c r="D1360" t="s">
        <v>2706</v>
      </c>
      <c r="E1360" s="2">
        <v>7791.99</v>
      </c>
      <c r="G1360" s="3">
        <f>MONTH(Tabela1[[#This Row],[Último pagto ano]])</f>
        <v>11</v>
      </c>
      <c r="H1360" t="str">
        <f>TEXT(Tabela1[[#This Row],[Coluna2]]*29,"mmmm")</f>
        <v>novembro</v>
      </c>
      <c r="I1360" t="str">
        <f>TEXT(MONTH(Tabela1[[#This Row],[Último pagto ano]])*29,"mmmm")</f>
        <v>novembro</v>
      </c>
    </row>
    <row r="1361" spans="1:9" x14ac:dyDescent="0.25">
      <c r="A1361">
        <v>2025</v>
      </c>
      <c r="B1361" t="s">
        <v>2707</v>
      </c>
      <c r="C1361" s="1">
        <v>45866</v>
      </c>
      <c r="D1361" t="s">
        <v>2708</v>
      </c>
      <c r="E1361">
        <v>139.51</v>
      </c>
      <c r="G1361" s="3">
        <f>MONTH(Tabela1[[#This Row],[Último pagto ano]])</f>
        <v>7</v>
      </c>
      <c r="H1361" t="str">
        <f>TEXT(Tabela1[[#This Row],[Coluna2]]*29,"mmmm")</f>
        <v>julho</v>
      </c>
      <c r="I1361" t="str">
        <f>TEXT(MONTH(Tabela1[[#This Row],[Último pagto ano]])*29,"mmmm")</f>
        <v>julho</v>
      </c>
    </row>
    <row r="1362" spans="1:9" x14ac:dyDescent="0.25">
      <c r="A1362">
        <v>2025</v>
      </c>
      <c r="B1362" t="s">
        <v>2709</v>
      </c>
      <c r="C1362" s="1">
        <v>45975</v>
      </c>
      <c r="D1362" t="s">
        <v>2710</v>
      </c>
      <c r="E1362" s="2">
        <v>5923.2</v>
      </c>
      <c r="G1362" s="3">
        <f>MONTH(Tabela1[[#This Row],[Último pagto ano]])</f>
        <v>11</v>
      </c>
      <c r="H1362" t="str">
        <f>TEXT(Tabela1[[#This Row],[Coluna2]]*29,"mmmm")</f>
        <v>novembro</v>
      </c>
      <c r="I1362" t="str">
        <f>TEXT(MONTH(Tabela1[[#This Row],[Último pagto ano]])*29,"mmmm")</f>
        <v>novembro</v>
      </c>
    </row>
    <row r="1363" spans="1:9" x14ac:dyDescent="0.25">
      <c r="A1363">
        <v>2025</v>
      </c>
      <c r="B1363" t="s">
        <v>2711</v>
      </c>
      <c r="C1363" s="1">
        <v>46021</v>
      </c>
      <c r="D1363" t="s">
        <v>2712</v>
      </c>
      <c r="E1363" s="2">
        <v>1874.71</v>
      </c>
      <c r="G1363" s="3">
        <f>MONTH(Tabela1[[#This Row],[Último pagto ano]])</f>
        <v>12</v>
      </c>
      <c r="H1363" t="str">
        <f>TEXT(Tabela1[[#This Row],[Coluna2]]*29,"mmmm")</f>
        <v>dezembro</v>
      </c>
      <c r="I1363" t="str">
        <f>TEXT(MONTH(Tabela1[[#This Row],[Último pagto ano]])*29,"mmmm")</f>
        <v>dezembro</v>
      </c>
    </row>
    <row r="1364" spans="1:9" x14ac:dyDescent="0.25">
      <c r="A1364">
        <v>2025</v>
      </c>
      <c r="B1364" t="s">
        <v>2713</v>
      </c>
      <c r="C1364" s="1">
        <v>45762</v>
      </c>
      <c r="D1364" t="s">
        <v>2714</v>
      </c>
      <c r="E1364" s="2">
        <v>1763.68</v>
      </c>
      <c r="G1364" s="3">
        <f>MONTH(Tabela1[[#This Row],[Último pagto ano]])</f>
        <v>4</v>
      </c>
      <c r="H1364" t="str">
        <f>TEXT(Tabela1[[#This Row],[Coluna2]]*29,"mmmm")</f>
        <v>abril</v>
      </c>
      <c r="I1364" t="str">
        <f>TEXT(MONTH(Tabela1[[#This Row],[Último pagto ano]])*29,"mmmm")</f>
        <v>abril</v>
      </c>
    </row>
    <row r="1365" spans="1:9" x14ac:dyDescent="0.25">
      <c r="A1365">
        <v>2025</v>
      </c>
      <c r="B1365" t="s">
        <v>2715</v>
      </c>
      <c r="C1365" s="1">
        <v>45786</v>
      </c>
      <c r="D1365" t="s">
        <v>2716</v>
      </c>
      <c r="E1365">
        <v>900</v>
      </c>
      <c r="G1365" s="3">
        <f>MONTH(Tabela1[[#This Row],[Último pagto ano]])</f>
        <v>5</v>
      </c>
      <c r="H1365" t="str">
        <f>TEXT(Tabela1[[#This Row],[Coluna2]]*29,"mmmm")</f>
        <v>maio</v>
      </c>
      <c r="I1365" t="str">
        <f>TEXT(MONTH(Tabela1[[#This Row],[Último pagto ano]])*29,"mmmm")</f>
        <v>maio</v>
      </c>
    </row>
    <row r="1366" spans="1:9" x14ac:dyDescent="0.25">
      <c r="A1366">
        <v>2025</v>
      </c>
      <c r="B1366" t="s">
        <v>2717</v>
      </c>
      <c r="C1366" s="1">
        <v>45832</v>
      </c>
      <c r="D1366" t="s">
        <v>2718</v>
      </c>
      <c r="E1366" s="2">
        <v>1400</v>
      </c>
      <c r="G1366" s="3">
        <f>MONTH(Tabela1[[#This Row],[Último pagto ano]])</f>
        <v>6</v>
      </c>
      <c r="H1366" t="str">
        <f>TEXT(Tabela1[[#This Row],[Coluna2]]*29,"mmmm")</f>
        <v>junho</v>
      </c>
      <c r="I1366" t="str">
        <f>TEXT(MONTH(Tabela1[[#This Row],[Último pagto ano]])*29,"mmmm")</f>
        <v>junho</v>
      </c>
    </row>
    <row r="1367" spans="1:9" x14ac:dyDescent="0.25">
      <c r="A1367">
        <v>2025</v>
      </c>
      <c r="B1367" t="s">
        <v>2719</v>
      </c>
      <c r="C1367" s="1">
        <v>45786</v>
      </c>
      <c r="D1367" t="s">
        <v>2720</v>
      </c>
      <c r="E1367" s="2">
        <v>20000</v>
      </c>
      <c r="G1367" s="3">
        <f>MONTH(Tabela1[[#This Row],[Último pagto ano]])</f>
        <v>5</v>
      </c>
      <c r="H1367" t="str">
        <f>TEXT(Tabela1[[#This Row],[Coluna2]]*29,"mmmm")</f>
        <v>maio</v>
      </c>
      <c r="I1367" t="str">
        <f>TEXT(MONTH(Tabela1[[#This Row],[Último pagto ano]])*29,"mmmm")</f>
        <v>maio</v>
      </c>
    </row>
    <row r="1368" spans="1:9" x14ac:dyDescent="0.25">
      <c r="A1368">
        <v>2025</v>
      </c>
      <c r="B1368" t="s">
        <v>2721</v>
      </c>
      <c r="C1368" s="1">
        <v>45915</v>
      </c>
      <c r="D1368" t="s">
        <v>2722</v>
      </c>
      <c r="E1368">
        <v>888.48</v>
      </c>
      <c r="G1368" s="3">
        <f>MONTH(Tabela1[[#This Row],[Último pagto ano]])</f>
        <v>9</v>
      </c>
      <c r="H1368" t="str">
        <f>TEXT(Tabela1[[#This Row],[Coluna2]]*29,"mmmm")</f>
        <v>setembro</v>
      </c>
      <c r="I1368" t="str">
        <f>TEXT(MONTH(Tabela1[[#This Row],[Último pagto ano]])*29,"mmmm")</f>
        <v>setembro</v>
      </c>
    </row>
    <row r="1369" spans="1:9" x14ac:dyDescent="0.25">
      <c r="A1369">
        <v>2025</v>
      </c>
      <c r="B1369" t="s">
        <v>2723</v>
      </c>
      <c r="C1369" s="1">
        <v>46010</v>
      </c>
      <c r="D1369" t="s">
        <v>2724</v>
      </c>
      <c r="E1369" s="2">
        <v>2100</v>
      </c>
      <c r="G1369" s="3">
        <f>MONTH(Tabela1[[#This Row],[Último pagto ano]])</f>
        <v>12</v>
      </c>
      <c r="H1369" t="str">
        <f>TEXT(Tabela1[[#This Row],[Coluna2]]*29,"mmmm")</f>
        <v>dezembro</v>
      </c>
      <c r="I1369" t="str">
        <f>TEXT(MONTH(Tabela1[[#This Row],[Último pagto ano]])*29,"mmmm")</f>
        <v>dezembro</v>
      </c>
    </row>
    <row r="1370" spans="1:9" x14ac:dyDescent="0.25">
      <c r="A1370">
        <v>2025</v>
      </c>
      <c r="B1370" t="s">
        <v>2725</v>
      </c>
      <c r="C1370" s="1">
        <v>45978</v>
      </c>
      <c r="D1370" t="s">
        <v>2726</v>
      </c>
      <c r="E1370">
        <v>86.4</v>
      </c>
      <c r="G1370" s="3">
        <f>MONTH(Tabela1[[#This Row],[Último pagto ano]])</f>
        <v>11</v>
      </c>
      <c r="H1370" t="str">
        <f>TEXT(Tabela1[[#This Row],[Coluna2]]*29,"mmmm")</f>
        <v>novembro</v>
      </c>
      <c r="I1370" t="str">
        <f>TEXT(MONTH(Tabela1[[#This Row],[Último pagto ano]])*29,"mmmm")</f>
        <v>novembro</v>
      </c>
    </row>
    <row r="1371" spans="1:9" x14ac:dyDescent="0.25">
      <c r="A1371">
        <v>2025</v>
      </c>
      <c r="B1371" t="s">
        <v>2727</v>
      </c>
      <c r="C1371" s="1">
        <v>45733</v>
      </c>
      <c r="D1371" t="s">
        <v>2728</v>
      </c>
      <c r="E1371" s="2">
        <v>3803.88</v>
      </c>
      <c r="G1371" s="3">
        <f>MONTH(Tabela1[[#This Row],[Último pagto ano]])</f>
        <v>3</v>
      </c>
      <c r="H1371" t="str">
        <f>TEXT(Tabela1[[#This Row],[Coluna2]]*29,"mmmm")</f>
        <v>março</v>
      </c>
      <c r="I1371" t="str">
        <f>TEXT(MONTH(Tabela1[[#This Row],[Último pagto ano]])*29,"mmmm")</f>
        <v>março</v>
      </c>
    </row>
    <row r="1372" spans="1:9" x14ac:dyDescent="0.25">
      <c r="A1372">
        <v>2025</v>
      </c>
      <c r="B1372" t="s">
        <v>2729</v>
      </c>
      <c r="C1372" s="1">
        <v>45996</v>
      </c>
      <c r="D1372" t="s">
        <v>2730</v>
      </c>
      <c r="E1372" s="2">
        <v>25350</v>
      </c>
      <c r="G1372" s="3">
        <f>MONTH(Tabela1[[#This Row],[Último pagto ano]])</f>
        <v>12</v>
      </c>
      <c r="H1372" t="str">
        <f>TEXT(Tabela1[[#This Row],[Coluna2]]*29,"mmmm")</f>
        <v>dezembro</v>
      </c>
      <c r="I1372" t="str">
        <f>TEXT(MONTH(Tabela1[[#This Row],[Último pagto ano]])*29,"mmmm")</f>
        <v>dezembro</v>
      </c>
    </row>
    <row r="1373" spans="1:9" x14ac:dyDescent="0.25">
      <c r="A1373">
        <v>2025</v>
      </c>
      <c r="B1373" t="s">
        <v>2731</v>
      </c>
      <c r="C1373" s="1">
        <v>45880</v>
      </c>
      <c r="D1373" t="s">
        <v>2732</v>
      </c>
      <c r="E1373">
        <v>52.23</v>
      </c>
      <c r="G1373" s="3">
        <f>MONTH(Tabela1[[#This Row],[Último pagto ano]])</f>
        <v>8</v>
      </c>
      <c r="H1373" t="str">
        <f>TEXT(Tabela1[[#This Row],[Coluna2]]*29,"mmmm")</f>
        <v>agosto</v>
      </c>
      <c r="I1373" t="str">
        <f>TEXT(MONTH(Tabela1[[#This Row],[Último pagto ano]])*29,"mmmm")</f>
        <v>agosto</v>
      </c>
    </row>
    <row r="1374" spans="1:9" x14ac:dyDescent="0.25">
      <c r="A1374">
        <v>2025</v>
      </c>
      <c r="B1374" t="s">
        <v>2733</v>
      </c>
      <c r="C1374" s="1">
        <v>45959</v>
      </c>
      <c r="D1374" t="s">
        <v>2734</v>
      </c>
      <c r="E1374" s="2">
        <v>7000</v>
      </c>
      <c r="G1374" s="3">
        <f>MONTH(Tabela1[[#This Row],[Último pagto ano]])</f>
        <v>10</v>
      </c>
      <c r="H1374" t="str">
        <f>TEXT(Tabela1[[#This Row],[Coluna2]]*29,"mmmm")</f>
        <v>outubro</v>
      </c>
      <c r="I1374" t="str">
        <f>TEXT(MONTH(Tabela1[[#This Row],[Último pagto ano]])*29,"mmmm")</f>
        <v>outubro</v>
      </c>
    </row>
    <row r="1375" spans="1:9" x14ac:dyDescent="0.25">
      <c r="A1375">
        <v>2025</v>
      </c>
      <c r="B1375" t="s">
        <v>2735</v>
      </c>
      <c r="C1375" s="1">
        <v>46010</v>
      </c>
      <c r="D1375" t="s">
        <v>2736</v>
      </c>
      <c r="E1375" s="2">
        <v>5600</v>
      </c>
      <c r="G1375" s="3">
        <f>MONTH(Tabela1[[#This Row],[Último pagto ano]])</f>
        <v>12</v>
      </c>
      <c r="H1375" t="str">
        <f>TEXT(Tabela1[[#This Row],[Coluna2]]*29,"mmmm")</f>
        <v>dezembro</v>
      </c>
      <c r="I1375" t="str">
        <f>TEXT(MONTH(Tabela1[[#This Row],[Último pagto ano]])*29,"mmmm")</f>
        <v>dezembro</v>
      </c>
    </row>
    <row r="1376" spans="1:9" x14ac:dyDescent="0.25">
      <c r="A1376">
        <v>2025</v>
      </c>
      <c r="B1376" t="s">
        <v>2737</v>
      </c>
      <c r="C1376" s="1">
        <v>45968</v>
      </c>
      <c r="D1376" t="s">
        <v>2738</v>
      </c>
      <c r="E1376" s="2">
        <v>1800</v>
      </c>
      <c r="G1376" s="3">
        <f>MONTH(Tabela1[[#This Row],[Último pagto ano]])</f>
        <v>11</v>
      </c>
      <c r="H1376" t="str">
        <f>TEXT(Tabela1[[#This Row],[Coluna2]]*29,"mmmm")</f>
        <v>novembro</v>
      </c>
      <c r="I1376" t="str">
        <f>TEXT(MONTH(Tabela1[[#This Row],[Último pagto ano]])*29,"mmmm")</f>
        <v>novembro</v>
      </c>
    </row>
    <row r="1377" spans="1:9" x14ac:dyDescent="0.25">
      <c r="A1377">
        <v>2025</v>
      </c>
      <c r="B1377" t="s">
        <v>2739</v>
      </c>
      <c r="C1377" s="1">
        <v>46006</v>
      </c>
      <c r="D1377" t="s">
        <v>2740</v>
      </c>
      <c r="E1377" s="2">
        <v>2961.6</v>
      </c>
      <c r="G1377" s="3">
        <f>MONTH(Tabela1[[#This Row],[Último pagto ano]])</f>
        <v>12</v>
      </c>
      <c r="H1377" t="str">
        <f>TEXT(Tabela1[[#This Row],[Coluna2]]*29,"mmmm")</f>
        <v>dezembro</v>
      </c>
      <c r="I1377" t="str">
        <f>TEXT(MONTH(Tabela1[[#This Row],[Último pagto ano]])*29,"mmmm")</f>
        <v>dezembro</v>
      </c>
    </row>
    <row r="1378" spans="1:9" x14ac:dyDescent="0.25">
      <c r="A1378">
        <v>2025</v>
      </c>
      <c r="B1378" t="s">
        <v>2741</v>
      </c>
      <c r="C1378" s="1">
        <v>45996</v>
      </c>
      <c r="D1378" t="s">
        <v>2742</v>
      </c>
      <c r="E1378" s="2">
        <v>33075</v>
      </c>
      <c r="G1378" s="3">
        <f>MONTH(Tabela1[[#This Row],[Último pagto ano]])</f>
        <v>12</v>
      </c>
      <c r="H1378" t="str">
        <f>TEXT(Tabela1[[#This Row],[Coluna2]]*29,"mmmm")</f>
        <v>dezembro</v>
      </c>
      <c r="I1378" t="str">
        <f>TEXT(MONTH(Tabela1[[#This Row],[Último pagto ano]])*29,"mmmm")</f>
        <v>dezembro</v>
      </c>
    </row>
    <row r="1379" spans="1:9" x14ac:dyDescent="0.25">
      <c r="A1379">
        <v>2025</v>
      </c>
      <c r="B1379" t="s">
        <v>2743</v>
      </c>
      <c r="C1379" s="1">
        <v>45814</v>
      </c>
      <c r="D1379" t="s">
        <v>2744</v>
      </c>
      <c r="E1379" s="2">
        <v>2000</v>
      </c>
      <c r="G1379" s="3">
        <f>MONTH(Tabela1[[#This Row],[Último pagto ano]])</f>
        <v>6</v>
      </c>
      <c r="H1379" t="str">
        <f>TEXT(Tabela1[[#This Row],[Coluna2]]*29,"mmmm")</f>
        <v>junho</v>
      </c>
      <c r="I1379" t="str">
        <f>TEXT(MONTH(Tabela1[[#This Row],[Último pagto ano]])*29,"mmmm")</f>
        <v>junho</v>
      </c>
    </row>
    <row r="1380" spans="1:9" x14ac:dyDescent="0.25">
      <c r="A1380">
        <v>2025</v>
      </c>
      <c r="B1380" t="s">
        <v>2745</v>
      </c>
      <c r="C1380" s="1">
        <v>45996</v>
      </c>
      <c r="D1380" t="s">
        <v>2746</v>
      </c>
      <c r="E1380" s="2">
        <v>8000</v>
      </c>
      <c r="G1380" s="3">
        <f>MONTH(Tabela1[[#This Row],[Último pagto ano]])</f>
        <v>12</v>
      </c>
      <c r="H1380" t="str">
        <f>TEXT(Tabela1[[#This Row],[Coluna2]]*29,"mmmm")</f>
        <v>dezembro</v>
      </c>
      <c r="I1380" t="str">
        <f>TEXT(MONTH(Tabela1[[#This Row],[Último pagto ano]])*29,"mmmm")</f>
        <v>dezembro</v>
      </c>
    </row>
    <row r="1381" spans="1:9" x14ac:dyDescent="0.25">
      <c r="A1381">
        <v>2025</v>
      </c>
      <c r="B1381" t="s">
        <v>2747</v>
      </c>
      <c r="C1381" s="1">
        <v>45740</v>
      </c>
      <c r="D1381" t="s">
        <v>2748</v>
      </c>
      <c r="E1381" s="2">
        <v>1394.41</v>
      </c>
      <c r="G1381" s="3">
        <f>MONTH(Tabela1[[#This Row],[Último pagto ano]])</f>
        <v>3</v>
      </c>
      <c r="H1381" t="str">
        <f>TEXT(Tabela1[[#This Row],[Coluna2]]*29,"mmmm")</f>
        <v>março</v>
      </c>
      <c r="I1381" t="str">
        <f>TEXT(MONTH(Tabela1[[#This Row],[Último pagto ano]])*29,"mmmm")</f>
        <v>março</v>
      </c>
    </row>
    <row r="1382" spans="1:9" x14ac:dyDescent="0.25">
      <c r="A1382">
        <v>2025</v>
      </c>
      <c r="B1382" t="s">
        <v>2749</v>
      </c>
      <c r="C1382" s="1">
        <v>45777</v>
      </c>
      <c r="D1382" t="s">
        <v>2750</v>
      </c>
      <c r="E1382" s="2">
        <v>3702.82</v>
      </c>
      <c r="G1382" s="3">
        <f>MONTH(Tabela1[[#This Row],[Último pagto ano]])</f>
        <v>4</v>
      </c>
      <c r="H1382" t="str">
        <f>TEXT(Tabela1[[#This Row],[Coluna2]]*29,"mmmm")</f>
        <v>abril</v>
      </c>
      <c r="I1382" t="str">
        <f>TEXT(MONTH(Tabela1[[#This Row],[Último pagto ano]])*29,"mmmm")</f>
        <v>abril</v>
      </c>
    </row>
    <row r="1383" spans="1:9" x14ac:dyDescent="0.25">
      <c r="A1383">
        <v>2025</v>
      </c>
      <c r="B1383" t="s">
        <v>2751</v>
      </c>
      <c r="C1383" s="1">
        <v>45866</v>
      </c>
      <c r="D1383" t="s">
        <v>2752</v>
      </c>
      <c r="E1383" s="2">
        <v>2638.8</v>
      </c>
      <c r="G1383" s="3">
        <f>MONTH(Tabela1[[#This Row],[Último pagto ano]])</f>
        <v>7</v>
      </c>
      <c r="H1383" t="str">
        <f>TEXT(Tabela1[[#This Row],[Coluna2]]*29,"mmmm")</f>
        <v>julho</v>
      </c>
      <c r="I1383" t="str">
        <f>TEXT(MONTH(Tabela1[[#This Row],[Último pagto ano]])*29,"mmmm")</f>
        <v>julho</v>
      </c>
    </row>
    <row r="1384" spans="1:9" x14ac:dyDescent="0.25">
      <c r="A1384">
        <v>2025</v>
      </c>
      <c r="B1384" t="s">
        <v>2753</v>
      </c>
      <c r="C1384" s="1">
        <v>46010</v>
      </c>
      <c r="D1384" t="s">
        <v>2754</v>
      </c>
      <c r="E1384" s="2">
        <v>5600</v>
      </c>
      <c r="G1384" s="3">
        <f>MONTH(Tabela1[[#This Row],[Último pagto ano]])</f>
        <v>12</v>
      </c>
      <c r="H1384" t="str">
        <f>TEXT(Tabela1[[#This Row],[Coluna2]]*29,"mmmm")</f>
        <v>dezembro</v>
      </c>
      <c r="I1384" t="str">
        <f>TEXT(MONTH(Tabela1[[#This Row],[Último pagto ano]])*29,"mmmm")</f>
        <v>dezembro</v>
      </c>
    </row>
    <row r="1385" spans="1:9" x14ac:dyDescent="0.25">
      <c r="A1385">
        <v>2025</v>
      </c>
      <c r="B1385" t="s">
        <v>2755</v>
      </c>
      <c r="C1385" s="1">
        <v>46006</v>
      </c>
      <c r="D1385" t="s">
        <v>2756</v>
      </c>
      <c r="E1385" s="2">
        <v>11497.12</v>
      </c>
      <c r="G1385" s="3">
        <f>MONTH(Tabela1[[#This Row],[Último pagto ano]])</f>
        <v>12</v>
      </c>
      <c r="H1385" t="str">
        <f>TEXT(Tabela1[[#This Row],[Coluna2]]*29,"mmmm")</f>
        <v>dezembro</v>
      </c>
      <c r="I1385" t="str">
        <f>TEXT(MONTH(Tabela1[[#This Row],[Último pagto ano]])*29,"mmmm")</f>
        <v>dezembro</v>
      </c>
    </row>
    <row r="1386" spans="1:9" x14ac:dyDescent="0.25">
      <c r="A1386">
        <v>2025</v>
      </c>
      <c r="B1386" t="s">
        <v>2757</v>
      </c>
      <c r="C1386" s="1">
        <v>45744</v>
      </c>
      <c r="D1386" t="s">
        <v>2758</v>
      </c>
      <c r="E1386" s="2">
        <v>41962.96</v>
      </c>
      <c r="G1386" s="3">
        <f>MONTH(Tabela1[[#This Row],[Último pagto ano]])</f>
        <v>3</v>
      </c>
      <c r="H1386" t="str">
        <f>TEXT(Tabela1[[#This Row],[Coluna2]]*29,"mmmm")</f>
        <v>março</v>
      </c>
      <c r="I1386" t="str">
        <f>TEXT(MONTH(Tabela1[[#This Row],[Último pagto ano]])*29,"mmmm")</f>
        <v>março</v>
      </c>
    </row>
    <row r="1387" spans="1:9" x14ac:dyDescent="0.25">
      <c r="A1387">
        <v>2025</v>
      </c>
      <c r="B1387" t="s">
        <v>2759</v>
      </c>
      <c r="C1387" s="1">
        <v>45769</v>
      </c>
      <c r="D1387" t="s">
        <v>2760</v>
      </c>
      <c r="E1387">
        <v>190</v>
      </c>
      <c r="G1387" s="3">
        <f>MONTH(Tabela1[[#This Row],[Último pagto ano]])</f>
        <v>4</v>
      </c>
      <c r="H1387" t="str">
        <f>TEXT(Tabela1[[#This Row],[Coluna2]]*29,"mmmm")</f>
        <v>abril</v>
      </c>
      <c r="I1387" t="str">
        <f>TEXT(MONTH(Tabela1[[#This Row],[Último pagto ano]])*29,"mmmm")</f>
        <v>abril</v>
      </c>
    </row>
    <row r="1388" spans="1:9" x14ac:dyDescent="0.25">
      <c r="A1388">
        <v>2025</v>
      </c>
      <c r="B1388" t="s">
        <v>2761</v>
      </c>
      <c r="C1388" s="1">
        <v>45670</v>
      </c>
      <c r="D1388" t="s">
        <v>2762</v>
      </c>
      <c r="E1388" s="2">
        <v>3057.11</v>
      </c>
      <c r="G1388" s="3">
        <f>MONTH(Tabela1[[#This Row],[Último pagto ano]])</f>
        <v>1</v>
      </c>
      <c r="H1388" t="str">
        <f>TEXT(Tabela1[[#This Row],[Coluna2]]*29,"mmmm")</f>
        <v>janeiro</v>
      </c>
      <c r="I1388" t="str">
        <f>TEXT(MONTH(Tabela1[[#This Row],[Último pagto ano]])*29,"mmmm")</f>
        <v>janeiro</v>
      </c>
    </row>
    <row r="1389" spans="1:9" x14ac:dyDescent="0.25">
      <c r="A1389">
        <v>2025</v>
      </c>
      <c r="B1389" t="s">
        <v>2763</v>
      </c>
      <c r="C1389" s="1">
        <v>45964</v>
      </c>
      <c r="D1389" t="s">
        <v>2764</v>
      </c>
      <c r="E1389">
        <v>253</v>
      </c>
      <c r="G1389" s="3">
        <f>MONTH(Tabela1[[#This Row],[Último pagto ano]])</f>
        <v>11</v>
      </c>
      <c r="H1389" t="str">
        <f>TEXT(Tabela1[[#This Row],[Coluna2]]*29,"mmmm")</f>
        <v>novembro</v>
      </c>
      <c r="I1389" t="str">
        <f>TEXT(MONTH(Tabela1[[#This Row],[Último pagto ano]])*29,"mmmm")</f>
        <v>novembro</v>
      </c>
    </row>
    <row r="1390" spans="1:9" x14ac:dyDescent="0.25">
      <c r="A1390">
        <v>2025</v>
      </c>
      <c r="B1390" t="s">
        <v>2765</v>
      </c>
      <c r="C1390" s="1">
        <v>46010</v>
      </c>
      <c r="D1390" t="s">
        <v>2766</v>
      </c>
      <c r="E1390" s="2">
        <v>7700</v>
      </c>
      <c r="G1390" s="3">
        <f>MONTH(Tabela1[[#This Row],[Último pagto ano]])</f>
        <v>12</v>
      </c>
      <c r="H1390" t="str">
        <f>TEXT(Tabela1[[#This Row],[Coluna2]]*29,"mmmm")</f>
        <v>dezembro</v>
      </c>
      <c r="I1390" t="str">
        <f>TEXT(MONTH(Tabela1[[#This Row],[Último pagto ano]])*29,"mmmm")</f>
        <v>dezembro</v>
      </c>
    </row>
    <row r="1391" spans="1:9" x14ac:dyDescent="0.25">
      <c r="A1391">
        <v>2025</v>
      </c>
      <c r="B1391" t="s">
        <v>2767</v>
      </c>
      <c r="C1391" s="1">
        <v>46006</v>
      </c>
      <c r="D1391" t="s">
        <v>2768</v>
      </c>
      <c r="E1391">
        <v>296.16000000000003</v>
      </c>
      <c r="G1391" s="3">
        <f>MONTH(Tabela1[[#This Row],[Último pagto ano]])</f>
        <v>12</v>
      </c>
      <c r="H1391" t="str">
        <f>TEXT(Tabela1[[#This Row],[Coluna2]]*29,"mmmm")</f>
        <v>dezembro</v>
      </c>
      <c r="I1391" t="str">
        <f>TEXT(MONTH(Tabela1[[#This Row],[Último pagto ano]])*29,"mmmm")</f>
        <v>dezembro</v>
      </c>
    </row>
    <row r="1392" spans="1:9" x14ac:dyDescent="0.25">
      <c r="A1392">
        <v>2025</v>
      </c>
      <c r="B1392" t="s">
        <v>2769</v>
      </c>
      <c r="C1392" s="1">
        <v>45971</v>
      </c>
      <c r="D1392" t="s">
        <v>2770</v>
      </c>
      <c r="E1392">
        <v>187</v>
      </c>
      <c r="G1392" s="3">
        <f>MONTH(Tabela1[[#This Row],[Último pagto ano]])</f>
        <v>11</v>
      </c>
      <c r="H1392" t="str">
        <f>TEXT(Tabela1[[#This Row],[Coluna2]]*29,"mmmm")</f>
        <v>novembro</v>
      </c>
      <c r="I1392" t="str">
        <f>TEXT(MONTH(Tabela1[[#This Row],[Último pagto ano]])*29,"mmmm")</f>
        <v>novembro</v>
      </c>
    </row>
    <row r="1393" spans="1:9" x14ac:dyDescent="0.25">
      <c r="A1393">
        <v>2025</v>
      </c>
      <c r="B1393" t="s">
        <v>2771</v>
      </c>
      <c r="C1393" s="1">
        <v>46021</v>
      </c>
      <c r="D1393" t="s">
        <v>2772</v>
      </c>
      <c r="E1393" s="2">
        <v>8880.93</v>
      </c>
      <c r="G1393" s="3">
        <f>MONTH(Tabela1[[#This Row],[Último pagto ano]])</f>
        <v>12</v>
      </c>
      <c r="H1393" t="str">
        <f>TEXT(Tabela1[[#This Row],[Coluna2]]*29,"mmmm")</f>
        <v>dezembro</v>
      </c>
      <c r="I1393" t="str">
        <f>TEXT(MONTH(Tabela1[[#This Row],[Último pagto ano]])*29,"mmmm")</f>
        <v>dezembro</v>
      </c>
    </row>
    <row r="1394" spans="1:9" x14ac:dyDescent="0.25">
      <c r="A1394">
        <v>2025</v>
      </c>
      <c r="B1394" t="s">
        <v>2773</v>
      </c>
      <c r="C1394" s="1">
        <v>45999</v>
      </c>
      <c r="D1394" t="s">
        <v>2774</v>
      </c>
      <c r="E1394" s="2">
        <v>1175544.1200000001</v>
      </c>
      <c r="G1394" s="3">
        <f>MONTH(Tabela1[[#This Row],[Último pagto ano]])</f>
        <v>12</v>
      </c>
      <c r="H1394" t="str">
        <f>TEXT(Tabela1[[#This Row],[Coluna2]]*29,"mmmm")</f>
        <v>dezembro</v>
      </c>
      <c r="I1394" t="str">
        <f>TEXT(MONTH(Tabela1[[#This Row],[Último pagto ano]])*29,"mmmm")</f>
        <v>dezembro</v>
      </c>
    </row>
    <row r="1395" spans="1:9" x14ac:dyDescent="0.25">
      <c r="A1395">
        <v>2025</v>
      </c>
      <c r="B1395" t="s">
        <v>2775</v>
      </c>
      <c r="C1395" s="1">
        <v>45796</v>
      </c>
      <c r="D1395" t="s">
        <v>2776</v>
      </c>
      <c r="E1395" s="2">
        <v>4385.0600000000004</v>
      </c>
      <c r="G1395" s="3">
        <f>MONTH(Tabela1[[#This Row],[Último pagto ano]])</f>
        <v>5</v>
      </c>
      <c r="H1395" t="str">
        <f>TEXT(Tabela1[[#This Row],[Coluna2]]*29,"mmmm")</f>
        <v>maio</v>
      </c>
      <c r="I1395" t="str">
        <f>TEXT(MONTH(Tabela1[[#This Row],[Último pagto ano]])*29,"mmmm")</f>
        <v>maio</v>
      </c>
    </row>
    <row r="1396" spans="1:9" x14ac:dyDescent="0.25">
      <c r="A1396">
        <v>2025</v>
      </c>
      <c r="B1396" t="s">
        <v>2777</v>
      </c>
      <c r="C1396" s="1">
        <v>45702</v>
      </c>
      <c r="D1396" t="s">
        <v>2778</v>
      </c>
      <c r="E1396" s="2">
        <v>1287.05</v>
      </c>
      <c r="G1396" s="3">
        <f>MONTH(Tabela1[[#This Row],[Último pagto ano]])</f>
        <v>2</v>
      </c>
      <c r="H1396" t="str">
        <f>TEXT(Tabela1[[#This Row],[Coluna2]]*29,"mmmm")</f>
        <v>fevereiro</v>
      </c>
      <c r="I1396" t="str">
        <f>TEXT(MONTH(Tabela1[[#This Row],[Último pagto ano]])*29,"mmmm")</f>
        <v>fevereiro</v>
      </c>
    </row>
    <row r="1397" spans="1:9" x14ac:dyDescent="0.25">
      <c r="A1397">
        <v>2025</v>
      </c>
      <c r="B1397" t="s">
        <v>2779</v>
      </c>
      <c r="C1397" s="1">
        <v>46013</v>
      </c>
      <c r="D1397" t="s">
        <v>2780</v>
      </c>
      <c r="E1397" s="2">
        <v>17870</v>
      </c>
      <c r="G1397" s="3">
        <f>MONTH(Tabela1[[#This Row],[Último pagto ano]])</f>
        <v>12</v>
      </c>
      <c r="H1397" t="str">
        <f>TEXT(Tabela1[[#This Row],[Coluna2]]*29,"mmmm")</f>
        <v>dezembro</v>
      </c>
      <c r="I1397" t="str">
        <f>TEXT(MONTH(Tabela1[[#This Row],[Último pagto ano]])*29,"mmmm")</f>
        <v>dezembro</v>
      </c>
    </row>
    <row r="1398" spans="1:9" x14ac:dyDescent="0.25">
      <c r="A1398">
        <v>2025</v>
      </c>
      <c r="B1398" t="s">
        <v>2781</v>
      </c>
      <c r="C1398" s="1">
        <v>45898</v>
      </c>
      <c r="D1398" t="s">
        <v>2782</v>
      </c>
      <c r="E1398" s="2">
        <v>2728.68</v>
      </c>
      <c r="G1398" s="3">
        <f>MONTH(Tabela1[[#This Row],[Último pagto ano]])</f>
        <v>8</v>
      </c>
      <c r="H1398" t="str">
        <f>TEXT(Tabela1[[#This Row],[Coluna2]]*29,"mmmm")</f>
        <v>agosto</v>
      </c>
      <c r="I1398" t="str">
        <f>TEXT(MONTH(Tabela1[[#This Row],[Último pagto ano]])*29,"mmmm")</f>
        <v>agosto</v>
      </c>
    </row>
    <row r="1399" spans="1:9" x14ac:dyDescent="0.25">
      <c r="A1399">
        <v>2025</v>
      </c>
      <c r="B1399" t="s">
        <v>2783</v>
      </c>
      <c r="C1399" s="1">
        <v>45968</v>
      </c>
      <c r="D1399" t="s">
        <v>2784</v>
      </c>
      <c r="E1399" s="2">
        <v>9000</v>
      </c>
      <c r="G1399" s="3">
        <f>MONTH(Tabela1[[#This Row],[Último pagto ano]])</f>
        <v>11</v>
      </c>
      <c r="H1399" t="str">
        <f>TEXT(Tabela1[[#This Row],[Coluna2]]*29,"mmmm")</f>
        <v>novembro</v>
      </c>
      <c r="I1399" t="str">
        <f>TEXT(MONTH(Tabela1[[#This Row],[Último pagto ano]])*29,"mmmm")</f>
        <v>novembro</v>
      </c>
    </row>
    <row r="1400" spans="1:9" x14ac:dyDescent="0.25">
      <c r="A1400">
        <v>2025</v>
      </c>
      <c r="B1400" t="s">
        <v>2785</v>
      </c>
      <c r="C1400" s="1">
        <v>45783</v>
      </c>
      <c r="D1400" t="s">
        <v>2786</v>
      </c>
      <c r="E1400" s="2">
        <v>3687.7</v>
      </c>
      <c r="G1400" s="3">
        <f>MONTH(Tabela1[[#This Row],[Último pagto ano]])</f>
        <v>5</v>
      </c>
      <c r="H1400" t="str">
        <f>TEXT(Tabela1[[#This Row],[Coluna2]]*29,"mmmm")</f>
        <v>maio</v>
      </c>
      <c r="I1400" t="str">
        <f>TEXT(MONTH(Tabela1[[#This Row],[Último pagto ano]])*29,"mmmm")</f>
        <v>maio</v>
      </c>
    </row>
    <row r="1401" spans="1:9" x14ac:dyDescent="0.25">
      <c r="A1401">
        <v>2025</v>
      </c>
      <c r="B1401" t="s">
        <v>2787</v>
      </c>
      <c r="C1401" s="1">
        <v>45996</v>
      </c>
      <c r="D1401" t="s">
        <v>2786</v>
      </c>
      <c r="E1401" s="2">
        <v>12500</v>
      </c>
      <c r="G1401" s="3">
        <f>MONTH(Tabela1[[#This Row],[Último pagto ano]])</f>
        <v>12</v>
      </c>
      <c r="H1401" t="str">
        <f>TEXT(Tabela1[[#This Row],[Coluna2]]*29,"mmmm")</f>
        <v>dezembro</v>
      </c>
      <c r="I1401" t="str">
        <f>TEXT(MONTH(Tabela1[[#This Row],[Último pagto ano]])*29,"mmmm")</f>
        <v>dezembro</v>
      </c>
    </row>
    <row r="1402" spans="1:9" x14ac:dyDescent="0.25">
      <c r="A1402">
        <v>2025</v>
      </c>
      <c r="B1402" t="s">
        <v>2788</v>
      </c>
      <c r="C1402" s="1">
        <v>45996</v>
      </c>
      <c r="D1402" t="s">
        <v>2789</v>
      </c>
      <c r="E1402" s="2">
        <v>32224.65</v>
      </c>
      <c r="G1402" s="3">
        <f>MONTH(Tabela1[[#This Row],[Último pagto ano]])</f>
        <v>12</v>
      </c>
      <c r="H1402" t="str">
        <f>TEXT(Tabela1[[#This Row],[Coluna2]]*29,"mmmm")</f>
        <v>dezembro</v>
      </c>
      <c r="I1402" t="str">
        <f>TEXT(MONTH(Tabela1[[#This Row],[Último pagto ano]])*29,"mmmm")</f>
        <v>dezembro</v>
      </c>
    </row>
    <row r="1403" spans="1:9" x14ac:dyDescent="0.25">
      <c r="A1403">
        <v>2025</v>
      </c>
      <c r="B1403" t="s">
        <v>2790</v>
      </c>
      <c r="C1403" s="1">
        <v>45996</v>
      </c>
      <c r="D1403" t="s">
        <v>2791</v>
      </c>
      <c r="E1403" s="2">
        <v>16500</v>
      </c>
      <c r="G1403" s="3">
        <f>MONTH(Tabela1[[#This Row],[Último pagto ano]])</f>
        <v>12</v>
      </c>
      <c r="H1403" t="str">
        <f>TEXT(Tabela1[[#This Row],[Coluna2]]*29,"mmmm")</f>
        <v>dezembro</v>
      </c>
      <c r="I1403" t="str">
        <f>TEXT(MONTH(Tabela1[[#This Row],[Último pagto ano]])*29,"mmmm")</f>
        <v>dezembro</v>
      </c>
    </row>
    <row r="1404" spans="1:9" x14ac:dyDescent="0.25">
      <c r="A1404">
        <v>2025</v>
      </c>
      <c r="B1404" t="s">
        <v>2792</v>
      </c>
      <c r="C1404" s="1">
        <v>45996</v>
      </c>
      <c r="D1404" t="s">
        <v>2793</v>
      </c>
      <c r="E1404" s="2">
        <v>4050</v>
      </c>
      <c r="G1404" s="3">
        <f>MONTH(Tabela1[[#This Row],[Último pagto ano]])</f>
        <v>12</v>
      </c>
      <c r="H1404" t="str">
        <f>TEXT(Tabela1[[#This Row],[Coluna2]]*29,"mmmm")</f>
        <v>dezembro</v>
      </c>
      <c r="I1404" t="str">
        <f>TEXT(MONTH(Tabela1[[#This Row],[Último pagto ano]])*29,"mmmm")</f>
        <v>dezembro</v>
      </c>
    </row>
    <row r="1405" spans="1:9" x14ac:dyDescent="0.25">
      <c r="A1405">
        <v>2025</v>
      </c>
      <c r="B1405" t="s">
        <v>2794</v>
      </c>
      <c r="C1405" s="1">
        <v>45702</v>
      </c>
      <c r="D1405" t="s">
        <v>2795</v>
      </c>
      <c r="E1405" s="2">
        <v>1105.28</v>
      </c>
      <c r="G1405" s="3">
        <f>MONTH(Tabela1[[#This Row],[Último pagto ano]])</f>
        <v>2</v>
      </c>
      <c r="H1405" t="str">
        <f>TEXT(Tabela1[[#This Row],[Coluna2]]*29,"mmmm")</f>
        <v>fevereiro</v>
      </c>
      <c r="I1405" t="str">
        <f>TEXT(MONTH(Tabela1[[#This Row],[Último pagto ano]])*29,"mmmm")</f>
        <v>fevereiro</v>
      </c>
    </row>
    <row r="1406" spans="1:9" x14ac:dyDescent="0.25">
      <c r="A1406">
        <v>2025</v>
      </c>
      <c r="B1406" t="s">
        <v>2796</v>
      </c>
      <c r="C1406" s="1">
        <v>45673</v>
      </c>
      <c r="D1406" t="s">
        <v>2797</v>
      </c>
      <c r="E1406" s="2">
        <v>2047.5</v>
      </c>
      <c r="G1406" s="3">
        <f>MONTH(Tabela1[[#This Row],[Último pagto ano]])</f>
        <v>1</v>
      </c>
      <c r="H1406" t="str">
        <f>TEXT(Tabela1[[#This Row],[Coluna2]]*29,"mmmm")</f>
        <v>janeiro</v>
      </c>
      <c r="I1406" t="str">
        <f>TEXT(MONTH(Tabela1[[#This Row],[Último pagto ano]])*29,"mmmm")</f>
        <v>janeiro</v>
      </c>
    </row>
    <row r="1407" spans="1:9" x14ac:dyDescent="0.25">
      <c r="A1407">
        <v>2025</v>
      </c>
      <c r="B1407" t="s">
        <v>2798</v>
      </c>
      <c r="C1407" s="1">
        <v>45824</v>
      </c>
      <c r="D1407" t="s">
        <v>2799</v>
      </c>
      <c r="E1407">
        <v>88</v>
      </c>
      <c r="G1407" s="3">
        <f>MONTH(Tabela1[[#This Row],[Último pagto ano]])</f>
        <v>6</v>
      </c>
      <c r="H1407" t="str">
        <f>TEXT(Tabela1[[#This Row],[Coluna2]]*29,"mmmm")</f>
        <v>junho</v>
      </c>
      <c r="I1407" t="str">
        <f>TEXT(MONTH(Tabela1[[#This Row],[Último pagto ano]])*29,"mmmm")</f>
        <v>junho</v>
      </c>
    </row>
    <row r="1408" spans="1:9" x14ac:dyDescent="0.25">
      <c r="A1408">
        <v>2025</v>
      </c>
      <c r="B1408" t="s">
        <v>2800</v>
      </c>
      <c r="C1408" s="1">
        <v>46021</v>
      </c>
      <c r="D1408" t="s">
        <v>2801</v>
      </c>
      <c r="E1408" s="2">
        <v>3863.24</v>
      </c>
      <c r="G1408" s="3">
        <f>MONTH(Tabela1[[#This Row],[Último pagto ano]])</f>
        <v>12</v>
      </c>
      <c r="H1408" t="str">
        <f>TEXT(Tabela1[[#This Row],[Coluna2]]*29,"mmmm")</f>
        <v>dezembro</v>
      </c>
      <c r="I1408" t="str">
        <f>TEXT(MONTH(Tabela1[[#This Row],[Último pagto ano]])*29,"mmmm")</f>
        <v>dezembro</v>
      </c>
    </row>
    <row r="1409" spans="1:9" x14ac:dyDescent="0.25">
      <c r="A1409">
        <v>2025</v>
      </c>
      <c r="B1409" t="s">
        <v>2802</v>
      </c>
      <c r="C1409" s="1">
        <v>45989</v>
      </c>
      <c r="D1409" t="s">
        <v>2803</v>
      </c>
      <c r="E1409" s="2">
        <v>4013</v>
      </c>
      <c r="G1409" s="3">
        <f>MONTH(Tabela1[[#This Row],[Último pagto ano]])</f>
        <v>11</v>
      </c>
      <c r="H1409" t="str">
        <f>TEXT(Tabela1[[#This Row],[Coluna2]]*29,"mmmm")</f>
        <v>novembro</v>
      </c>
      <c r="I1409" t="str">
        <f>TEXT(MONTH(Tabela1[[#This Row],[Último pagto ano]])*29,"mmmm")</f>
        <v>novembro</v>
      </c>
    </row>
    <row r="1410" spans="1:9" x14ac:dyDescent="0.25">
      <c r="A1410">
        <v>2025</v>
      </c>
      <c r="B1410" t="s">
        <v>2804</v>
      </c>
      <c r="C1410" s="1">
        <v>45996</v>
      </c>
      <c r="D1410" t="s">
        <v>2805</v>
      </c>
      <c r="E1410" s="2">
        <v>115224.1</v>
      </c>
      <c r="G1410" s="3">
        <f>MONTH(Tabela1[[#This Row],[Último pagto ano]])</f>
        <v>12</v>
      </c>
      <c r="H1410" t="str">
        <f>TEXT(Tabela1[[#This Row],[Coluna2]]*29,"mmmm")</f>
        <v>dezembro</v>
      </c>
      <c r="I1410" t="str">
        <f>TEXT(MONTH(Tabela1[[#This Row],[Último pagto ano]])*29,"mmmm")</f>
        <v>dezembro</v>
      </c>
    </row>
    <row r="1411" spans="1:9" x14ac:dyDescent="0.25">
      <c r="A1411">
        <v>2025</v>
      </c>
      <c r="B1411" t="s">
        <v>2806</v>
      </c>
      <c r="C1411" s="1">
        <v>45946</v>
      </c>
      <c r="D1411" t="s">
        <v>2807</v>
      </c>
      <c r="E1411">
        <v>261.89999999999998</v>
      </c>
      <c r="G1411" s="3">
        <f>MONTH(Tabela1[[#This Row],[Último pagto ano]])</f>
        <v>10</v>
      </c>
      <c r="H1411" t="str">
        <f>TEXT(Tabela1[[#This Row],[Coluna2]]*29,"mmmm")</f>
        <v>outubro</v>
      </c>
      <c r="I1411" t="str">
        <f>TEXT(MONTH(Tabela1[[#This Row],[Último pagto ano]])*29,"mmmm")</f>
        <v>outubro</v>
      </c>
    </row>
    <row r="1412" spans="1:9" x14ac:dyDescent="0.25">
      <c r="A1412">
        <v>2025</v>
      </c>
      <c r="B1412" t="s">
        <v>2808</v>
      </c>
      <c r="C1412" s="1">
        <v>46014</v>
      </c>
      <c r="D1412" t="s">
        <v>2809</v>
      </c>
      <c r="E1412">
        <v>227.97</v>
      </c>
      <c r="G1412" s="3">
        <f>MONTH(Tabela1[[#This Row],[Último pagto ano]])</f>
        <v>12</v>
      </c>
      <c r="H1412" t="str">
        <f>TEXT(Tabela1[[#This Row],[Coluna2]]*29,"mmmm")</f>
        <v>dezembro</v>
      </c>
      <c r="I1412" t="str">
        <f>TEXT(MONTH(Tabela1[[#This Row],[Último pagto ano]])*29,"mmmm")</f>
        <v>dezembro</v>
      </c>
    </row>
    <row r="1413" spans="1:9" x14ac:dyDescent="0.25">
      <c r="A1413">
        <v>2025</v>
      </c>
      <c r="B1413" t="s">
        <v>2810</v>
      </c>
      <c r="C1413" s="1">
        <v>45996</v>
      </c>
      <c r="D1413" t="s">
        <v>2811</v>
      </c>
      <c r="E1413" s="2">
        <v>16992.5</v>
      </c>
      <c r="G1413" s="3">
        <f>MONTH(Tabela1[[#This Row],[Último pagto ano]])</f>
        <v>12</v>
      </c>
      <c r="H1413" t="str">
        <f>TEXT(Tabela1[[#This Row],[Coluna2]]*29,"mmmm")</f>
        <v>dezembro</v>
      </c>
      <c r="I1413" t="str">
        <f>TEXT(MONTH(Tabela1[[#This Row],[Último pagto ano]])*29,"mmmm")</f>
        <v>dezembro</v>
      </c>
    </row>
    <row r="1414" spans="1:9" x14ac:dyDescent="0.25">
      <c r="A1414">
        <v>2025</v>
      </c>
      <c r="B1414" t="s">
        <v>2812</v>
      </c>
      <c r="C1414" s="1">
        <v>45811</v>
      </c>
      <c r="D1414" t="s">
        <v>2813</v>
      </c>
      <c r="E1414" s="2">
        <v>1479.6</v>
      </c>
      <c r="G1414" s="3">
        <f>MONTH(Tabela1[[#This Row],[Último pagto ano]])</f>
        <v>6</v>
      </c>
      <c r="H1414" t="str">
        <f>TEXT(Tabela1[[#This Row],[Coluna2]]*29,"mmmm")</f>
        <v>junho</v>
      </c>
      <c r="I1414" t="str">
        <f>TEXT(MONTH(Tabela1[[#This Row],[Último pagto ano]])*29,"mmmm")</f>
        <v>junho</v>
      </c>
    </row>
    <row r="1415" spans="1:9" x14ac:dyDescent="0.25">
      <c r="A1415">
        <v>2025</v>
      </c>
      <c r="B1415" t="s">
        <v>2814</v>
      </c>
      <c r="C1415" s="1">
        <v>46010</v>
      </c>
      <c r="D1415" t="s">
        <v>2815</v>
      </c>
      <c r="E1415" s="2">
        <v>12000</v>
      </c>
      <c r="G1415" s="3">
        <f>MONTH(Tabela1[[#This Row],[Último pagto ano]])</f>
        <v>12</v>
      </c>
      <c r="H1415" t="str">
        <f>TEXT(Tabela1[[#This Row],[Coluna2]]*29,"mmmm")</f>
        <v>dezembro</v>
      </c>
      <c r="I1415" t="str">
        <f>TEXT(MONTH(Tabela1[[#This Row],[Último pagto ano]])*29,"mmmm")</f>
        <v>dezembro</v>
      </c>
    </row>
    <row r="1416" spans="1:9" x14ac:dyDescent="0.25">
      <c r="A1416">
        <v>2025</v>
      </c>
      <c r="B1416" t="s">
        <v>2816</v>
      </c>
      <c r="C1416" s="1">
        <v>46010</v>
      </c>
      <c r="D1416" t="s">
        <v>2817</v>
      </c>
      <c r="E1416" s="2">
        <v>7000</v>
      </c>
      <c r="G1416" s="3">
        <f>MONTH(Tabela1[[#This Row],[Último pagto ano]])</f>
        <v>12</v>
      </c>
      <c r="H1416" t="str">
        <f>TEXT(Tabela1[[#This Row],[Coluna2]]*29,"mmmm")</f>
        <v>dezembro</v>
      </c>
      <c r="I1416" t="str">
        <f>TEXT(MONTH(Tabela1[[#This Row],[Último pagto ano]])*29,"mmmm")</f>
        <v>dezembro</v>
      </c>
    </row>
    <row r="1417" spans="1:9" x14ac:dyDescent="0.25">
      <c r="A1417">
        <v>2025</v>
      </c>
      <c r="B1417" t="s">
        <v>2818</v>
      </c>
      <c r="C1417" s="1">
        <v>46014</v>
      </c>
      <c r="D1417" t="s">
        <v>2819</v>
      </c>
      <c r="E1417">
        <v>242</v>
      </c>
      <c r="G1417" s="3">
        <f>MONTH(Tabela1[[#This Row],[Último pagto ano]])</f>
        <v>12</v>
      </c>
      <c r="H1417" t="str">
        <f>TEXT(Tabela1[[#This Row],[Coluna2]]*29,"mmmm")</f>
        <v>dezembro</v>
      </c>
      <c r="I1417" t="str">
        <f>TEXT(MONTH(Tabela1[[#This Row],[Último pagto ano]])*29,"mmmm")</f>
        <v>dezembro</v>
      </c>
    </row>
    <row r="1418" spans="1:9" x14ac:dyDescent="0.25">
      <c r="A1418">
        <v>2025</v>
      </c>
      <c r="B1418" t="s">
        <v>2820</v>
      </c>
      <c r="C1418" s="1">
        <v>46021</v>
      </c>
      <c r="D1418" t="s">
        <v>2821</v>
      </c>
      <c r="E1418" s="2">
        <v>10734.64</v>
      </c>
      <c r="G1418" s="3">
        <f>MONTH(Tabela1[[#This Row],[Último pagto ano]])</f>
        <v>12</v>
      </c>
      <c r="H1418" t="str">
        <f>TEXT(Tabela1[[#This Row],[Coluna2]]*29,"mmmm")</f>
        <v>dezembro</v>
      </c>
      <c r="I1418" t="str">
        <f>TEXT(MONTH(Tabela1[[#This Row],[Último pagto ano]])*29,"mmmm")</f>
        <v>dezembro</v>
      </c>
    </row>
    <row r="1419" spans="1:9" x14ac:dyDescent="0.25">
      <c r="A1419">
        <v>2025</v>
      </c>
      <c r="B1419" t="s">
        <v>2822</v>
      </c>
      <c r="C1419" s="1">
        <v>46021</v>
      </c>
      <c r="D1419" t="s">
        <v>2823</v>
      </c>
      <c r="E1419" s="2">
        <v>11096.96</v>
      </c>
      <c r="G1419" s="3">
        <f>MONTH(Tabela1[[#This Row],[Último pagto ano]])</f>
        <v>12</v>
      </c>
      <c r="H1419" t="str">
        <f>TEXT(Tabela1[[#This Row],[Coluna2]]*29,"mmmm")</f>
        <v>dezembro</v>
      </c>
      <c r="I1419" t="str">
        <f>TEXT(MONTH(Tabela1[[#This Row],[Último pagto ano]])*29,"mmmm")</f>
        <v>dezembro</v>
      </c>
    </row>
    <row r="1420" spans="1:9" x14ac:dyDescent="0.25">
      <c r="A1420">
        <v>2025</v>
      </c>
      <c r="B1420" t="s">
        <v>2824</v>
      </c>
      <c r="C1420" s="1">
        <v>45968</v>
      </c>
      <c r="D1420" t="s">
        <v>2825</v>
      </c>
      <c r="E1420" s="2">
        <v>2500</v>
      </c>
      <c r="G1420" s="3">
        <f>MONTH(Tabela1[[#This Row],[Último pagto ano]])</f>
        <v>11</v>
      </c>
      <c r="H1420" t="str">
        <f>TEXT(Tabela1[[#This Row],[Coluna2]]*29,"mmmm")</f>
        <v>novembro</v>
      </c>
      <c r="I1420" t="str">
        <f>TEXT(MONTH(Tabela1[[#This Row],[Último pagto ano]])*29,"mmmm")</f>
        <v>novembro</v>
      </c>
    </row>
    <row r="1421" spans="1:9" x14ac:dyDescent="0.25">
      <c r="A1421">
        <v>2025</v>
      </c>
      <c r="B1421" t="s">
        <v>2826</v>
      </c>
      <c r="C1421" s="1">
        <v>45673</v>
      </c>
      <c r="D1421" t="s">
        <v>2827</v>
      </c>
      <c r="E1421" s="2">
        <v>1499.99</v>
      </c>
      <c r="G1421" s="3">
        <f>MONTH(Tabela1[[#This Row],[Último pagto ano]])</f>
        <v>1</v>
      </c>
      <c r="H1421" t="str">
        <f>TEXT(Tabela1[[#This Row],[Coluna2]]*29,"mmmm")</f>
        <v>janeiro</v>
      </c>
      <c r="I1421" t="str">
        <f>TEXT(MONTH(Tabela1[[#This Row],[Último pagto ano]])*29,"mmmm")</f>
        <v>janeiro</v>
      </c>
    </row>
    <row r="1422" spans="1:9" x14ac:dyDescent="0.25">
      <c r="A1422">
        <v>2025</v>
      </c>
      <c r="B1422" t="s">
        <v>2828</v>
      </c>
      <c r="C1422" s="1">
        <v>45702</v>
      </c>
      <c r="D1422" t="s">
        <v>2829</v>
      </c>
      <c r="E1422" s="2">
        <v>1289.25</v>
      </c>
      <c r="G1422" s="3">
        <f>MONTH(Tabela1[[#This Row],[Último pagto ano]])</f>
        <v>2</v>
      </c>
      <c r="H1422" t="str">
        <f>TEXT(Tabela1[[#This Row],[Coluna2]]*29,"mmmm")</f>
        <v>fevereiro</v>
      </c>
      <c r="I1422" t="str">
        <f>TEXT(MONTH(Tabela1[[#This Row],[Último pagto ano]])*29,"mmmm")</f>
        <v>fevereiro</v>
      </c>
    </row>
    <row r="1423" spans="1:9" x14ac:dyDescent="0.25">
      <c r="A1423">
        <v>2025</v>
      </c>
      <c r="B1423" t="s">
        <v>2830</v>
      </c>
      <c r="C1423" s="1">
        <v>45695</v>
      </c>
      <c r="D1423" t="s">
        <v>2831</v>
      </c>
      <c r="E1423" s="2">
        <v>8900</v>
      </c>
      <c r="G1423" s="3">
        <f>MONTH(Tabela1[[#This Row],[Último pagto ano]])</f>
        <v>2</v>
      </c>
      <c r="H1423" t="str">
        <f>TEXT(Tabela1[[#This Row],[Coluna2]]*29,"mmmm")</f>
        <v>fevereiro</v>
      </c>
      <c r="I1423" t="str">
        <f>TEXT(MONTH(Tabela1[[#This Row],[Último pagto ano]])*29,"mmmm")</f>
        <v>fevereiro</v>
      </c>
    </row>
    <row r="1424" spans="1:9" x14ac:dyDescent="0.25">
      <c r="A1424">
        <v>2025</v>
      </c>
      <c r="B1424" t="s">
        <v>2832</v>
      </c>
      <c r="C1424" s="1">
        <v>45950</v>
      </c>
      <c r="D1424" t="s">
        <v>2833</v>
      </c>
      <c r="E1424">
        <v>54.4</v>
      </c>
      <c r="G1424" s="3">
        <f>MONTH(Tabela1[[#This Row],[Último pagto ano]])</f>
        <v>10</v>
      </c>
      <c r="H1424" t="str">
        <f>TEXT(Tabela1[[#This Row],[Coluna2]]*29,"mmmm")</f>
        <v>outubro</v>
      </c>
      <c r="I1424" t="str">
        <f>TEXT(MONTH(Tabela1[[#This Row],[Último pagto ano]])*29,"mmmm")</f>
        <v>outubro</v>
      </c>
    </row>
    <row r="1425" spans="1:9" x14ac:dyDescent="0.25">
      <c r="A1425">
        <v>2025</v>
      </c>
      <c r="B1425" t="s">
        <v>2834</v>
      </c>
      <c r="C1425" s="1">
        <v>45702</v>
      </c>
      <c r="D1425" t="s">
        <v>2835</v>
      </c>
      <c r="E1425" s="2">
        <v>1238.94</v>
      </c>
      <c r="G1425" s="3">
        <f>MONTH(Tabela1[[#This Row],[Último pagto ano]])</f>
        <v>2</v>
      </c>
      <c r="H1425" t="str">
        <f>TEXT(Tabela1[[#This Row],[Coluna2]]*29,"mmmm")</f>
        <v>fevereiro</v>
      </c>
      <c r="I1425" t="str">
        <f>TEXT(MONTH(Tabela1[[#This Row],[Último pagto ano]])*29,"mmmm")</f>
        <v>fevereiro</v>
      </c>
    </row>
    <row r="1426" spans="1:9" x14ac:dyDescent="0.25">
      <c r="A1426">
        <v>2025</v>
      </c>
      <c r="B1426" t="s">
        <v>2836</v>
      </c>
      <c r="C1426" s="1">
        <v>45923</v>
      </c>
      <c r="D1426" t="s">
        <v>2837</v>
      </c>
      <c r="E1426" s="2">
        <v>8749</v>
      </c>
      <c r="G1426" s="3">
        <f>MONTH(Tabela1[[#This Row],[Último pagto ano]])</f>
        <v>9</v>
      </c>
      <c r="H1426" t="str">
        <f>TEXT(Tabela1[[#This Row],[Coluna2]]*29,"mmmm")</f>
        <v>setembro</v>
      </c>
      <c r="I1426" t="str">
        <f>TEXT(MONTH(Tabela1[[#This Row],[Último pagto ano]])*29,"mmmm")</f>
        <v>setembro</v>
      </c>
    </row>
    <row r="1427" spans="1:9" x14ac:dyDescent="0.25">
      <c r="A1427">
        <v>2025</v>
      </c>
      <c r="B1427" t="s">
        <v>2838</v>
      </c>
      <c r="C1427" s="1">
        <v>45796</v>
      </c>
      <c r="D1427" t="s">
        <v>2839</v>
      </c>
      <c r="E1427">
        <v>453.81</v>
      </c>
      <c r="G1427" s="3">
        <f>MONTH(Tabela1[[#This Row],[Último pagto ano]])</f>
        <v>5</v>
      </c>
      <c r="H1427" t="str">
        <f>TEXT(Tabela1[[#This Row],[Coluna2]]*29,"mmmm")</f>
        <v>maio</v>
      </c>
      <c r="I1427" t="str">
        <f>TEXT(MONTH(Tabela1[[#This Row],[Último pagto ano]])*29,"mmmm")</f>
        <v>maio</v>
      </c>
    </row>
    <row r="1428" spans="1:9" x14ac:dyDescent="0.25">
      <c r="A1428">
        <v>2025</v>
      </c>
      <c r="B1428" t="s">
        <v>2840</v>
      </c>
      <c r="C1428" s="1">
        <v>45813</v>
      </c>
      <c r="D1428" t="s">
        <v>2841</v>
      </c>
      <c r="E1428" s="2">
        <v>3500</v>
      </c>
      <c r="G1428" s="3">
        <f>MONTH(Tabela1[[#This Row],[Último pagto ano]])</f>
        <v>6</v>
      </c>
      <c r="H1428" t="str">
        <f>TEXT(Tabela1[[#This Row],[Coluna2]]*29,"mmmm")</f>
        <v>junho</v>
      </c>
      <c r="I1428" t="str">
        <f>TEXT(MONTH(Tabela1[[#This Row],[Último pagto ano]])*29,"mmmm")</f>
        <v>junho</v>
      </c>
    </row>
    <row r="1429" spans="1:9" x14ac:dyDescent="0.25">
      <c r="A1429">
        <v>2025</v>
      </c>
      <c r="B1429" t="s">
        <v>2842</v>
      </c>
      <c r="C1429" s="1">
        <v>45786</v>
      </c>
      <c r="D1429" t="s">
        <v>2843</v>
      </c>
      <c r="E1429" s="2">
        <v>1277.0999999999999</v>
      </c>
      <c r="G1429" s="3">
        <f>MONTH(Tabela1[[#This Row],[Último pagto ano]])</f>
        <v>5</v>
      </c>
      <c r="H1429" t="str">
        <f>TEXT(Tabela1[[#This Row],[Coluna2]]*29,"mmmm")</f>
        <v>maio</v>
      </c>
      <c r="I1429" t="str">
        <f>TEXT(MONTH(Tabela1[[#This Row],[Último pagto ano]])*29,"mmmm")</f>
        <v>maio</v>
      </c>
    </row>
    <row r="1430" spans="1:9" x14ac:dyDescent="0.25">
      <c r="A1430">
        <v>2025</v>
      </c>
      <c r="B1430" t="s">
        <v>2844</v>
      </c>
      <c r="C1430" s="1">
        <v>46013</v>
      </c>
      <c r="D1430" t="s">
        <v>2845</v>
      </c>
      <c r="E1430" s="2">
        <v>560216.13</v>
      </c>
      <c r="G1430" s="3">
        <f>MONTH(Tabela1[[#This Row],[Último pagto ano]])</f>
        <v>12</v>
      </c>
      <c r="H1430" t="str">
        <f>TEXT(Tabela1[[#This Row],[Coluna2]]*29,"mmmm")</f>
        <v>dezembro</v>
      </c>
      <c r="I1430" t="str">
        <f>TEXT(MONTH(Tabela1[[#This Row],[Último pagto ano]])*29,"mmmm")</f>
        <v>dezembro</v>
      </c>
    </row>
    <row r="1431" spans="1:9" x14ac:dyDescent="0.25">
      <c r="A1431">
        <v>2025</v>
      </c>
      <c r="B1431" t="s">
        <v>2846</v>
      </c>
      <c r="C1431" s="1">
        <v>46014</v>
      </c>
      <c r="D1431" t="s">
        <v>2847</v>
      </c>
      <c r="E1431" s="2">
        <v>15757974.960000001</v>
      </c>
      <c r="G1431" s="3">
        <f>MONTH(Tabela1[[#This Row],[Último pagto ano]])</f>
        <v>12</v>
      </c>
      <c r="H1431" t="str">
        <f>TEXT(Tabela1[[#This Row],[Coluna2]]*29,"mmmm")</f>
        <v>dezembro</v>
      </c>
      <c r="I1431" t="str">
        <f>TEXT(MONTH(Tabela1[[#This Row],[Último pagto ano]])*29,"mmmm")</f>
        <v>dezembro</v>
      </c>
    </row>
    <row r="1432" spans="1:9" x14ac:dyDescent="0.25">
      <c r="A1432">
        <v>2025</v>
      </c>
      <c r="B1432" t="s">
        <v>2848</v>
      </c>
      <c r="C1432" s="1">
        <v>45996</v>
      </c>
      <c r="D1432" t="s">
        <v>2849</v>
      </c>
      <c r="E1432" s="2">
        <v>1909012.5</v>
      </c>
      <c r="G1432" s="3">
        <f>MONTH(Tabela1[[#This Row],[Último pagto ano]])</f>
        <v>12</v>
      </c>
      <c r="H1432" t="str">
        <f>TEXT(Tabela1[[#This Row],[Coluna2]]*29,"mmmm")</f>
        <v>dezembro</v>
      </c>
      <c r="I1432" t="str">
        <f>TEXT(MONTH(Tabela1[[#This Row],[Último pagto ano]])*29,"mmmm")</f>
        <v>dezembro</v>
      </c>
    </row>
    <row r="1433" spans="1:9" x14ac:dyDescent="0.25">
      <c r="A1433">
        <v>2025</v>
      </c>
      <c r="B1433" t="s">
        <v>2850</v>
      </c>
      <c r="C1433" s="1">
        <v>45792</v>
      </c>
      <c r="D1433" t="s">
        <v>2851</v>
      </c>
      <c r="E1433" s="2">
        <v>3468.66</v>
      </c>
      <c r="G1433" s="3">
        <f>MONTH(Tabela1[[#This Row],[Último pagto ano]])</f>
        <v>5</v>
      </c>
      <c r="H1433" t="str">
        <f>TEXT(Tabela1[[#This Row],[Coluna2]]*29,"mmmm")</f>
        <v>maio</v>
      </c>
      <c r="I1433" t="str">
        <f>TEXT(MONTH(Tabela1[[#This Row],[Último pagto ano]])*29,"mmmm")</f>
        <v>maio</v>
      </c>
    </row>
    <row r="1434" spans="1:9" x14ac:dyDescent="0.25">
      <c r="A1434">
        <v>2025</v>
      </c>
      <c r="B1434" t="s">
        <v>2852</v>
      </c>
      <c r="C1434" s="1">
        <v>45992</v>
      </c>
      <c r="D1434" t="s">
        <v>2853</v>
      </c>
      <c r="E1434" s="2">
        <v>1129107.3600000001</v>
      </c>
      <c r="G1434" s="3">
        <f>MONTH(Tabela1[[#This Row],[Último pagto ano]])</f>
        <v>12</v>
      </c>
      <c r="H1434" t="str">
        <f>TEXT(Tabela1[[#This Row],[Coluna2]]*29,"mmmm")</f>
        <v>dezembro</v>
      </c>
      <c r="I1434" t="str">
        <f>TEXT(MONTH(Tabela1[[#This Row],[Último pagto ano]])*29,"mmmm")</f>
        <v>dezembro</v>
      </c>
    </row>
    <row r="1435" spans="1:9" x14ac:dyDescent="0.25">
      <c r="A1435">
        <v>2025</v>
      </c>
      <c r="B1435" t="s">
        <v>2854</v>
      </c>
      <c r="C1435" s="1">
        <v>45702</v>
      </c>
      <c r="D1435" t="s">
        <v>2855</v>
      </c>
      <c r="E1435">
        <v>28.64</v>
      </c>
      <c r="G1435" s="3">
        <f>MONTH(Tabela1[[#This Row],[Último pagto ano]])</f>
        <v>2</v>
      </c>
      <c r="H1435" t="str">
        <f>TEXT(Tabela1[[#This Row],[Coluna2]]*29,"mmmm")</f>
        <v>fevereiro</v>
      </c>
      <c r="I1435" t="str">
        <f>TEXT(MONTH(Tabela1[[#This Row],[Último pagto ano]])*29,"mmmm")</f>
        <v>fevereiro</v>
      </c>
    </row>
    <row r="1436" spans="1:9" x14ac:dyDescent="0.25">
      <c r="A1436">
        <v>2025</v>
      </c>
      <c r="B1436" t="s">
        <v>2856</v>
      </c>
      <c r="C1436" s="1">
        <v>46006</v>
      </c>
      <c r="D1436" t="s">
        <v>2857</v>
      </c>
      <c r="E1436">
        <v>330</v>
      </c>
      <c r="G1436" s="3">
        <f>MONTH(Tabela1[[#This Row],[Último pagto ano]])</f>
        <v>12</v>
      </c>
      <c r="H1436" t="str">
        <f>TEXT(Tabela1[[#This Row],[Coluna2]]*29,"mmmm")</f>
        <v>dezembro</v>
      </c>
      <c r="I1436" t="str">
        <f>TEXT(MONTH(Tabela1[[#This Row],[Último pagto ano]])*29,"mmmm")</f>
        <v>dezembro</v>
      </c>
    </row>
    <row r="1437" spans="1:9" x14ac:dyDescent="0.25">
      <c r="A1437">
        <v>2025</v>
      </c>
      <c r="B1437" t="s">
        <v>2858</v>
      </c>
      <c r="C1437" s="1">
        <v>45945</v>
      </c>
      <c r="D1437" t="s">
        <v>2859</v>
      </c>
      <c r="E1437" s="2">
        <v>2928.16</v>
      </c>
      <c r="G1437" s="3">
        <f>MONTH(Tabela1[[#This Row],[Último pagto ano]])</f>
        <v>10</v>
      </c>
      <c r="H1437" t="str">
        <f>TEXT(Tabela1[[#This Row],[Coluna2]]*29,"mmmm")</f>
        <v>outubro</v>
      </c>
      <c r="I1437" t="str">
        <f>TEXT(MONTH(Tabela1[[#This Row],[Último pagto ano]])*29,"mmmm")</f>
        <v>outubro</v>
      </c>
    </row>
    <row r="1438" spans="1:9" x14ac:dyDescent="0.25">
      <c r="A1438">
        <v>2025</v>
      </c>
      <c r="B1438" t="s">
        <v>2860</v>
      </c>
      <c r="C1438" s="1">
        <v>45729</v>
      </c>
      <c r="D1438" t="s">
        <v>2861</v>
      </c>
      <c r="E1438">
        <v>785.34</v>
      </c>
      <c r="G1438" s="3">
        <f>MONTH(Tabela1[[#This Row],[Último pagto ano]])</f>
        <v>3</v>
      </c>
      <c r="H1438" t="str">
        <f>TEXT(Tabela1[[#This Row],[Coluna2]]*29,"mmmm")</f>
        <v>março</v>
      </c>
      <c r="I1438" t="str">
        <f>TEXT(MONTH(Tabela1[[#This Row],[Último pagto ano]])*29,"mmmm")</f>
        <v>março</v>
      </c>
    </row>
    <row r="1439" spans="1:9" x14ac:dyDescent="0.25">
      <c r="A1439">
        <v>2025</v>
      </c>
      <c r="B1439" t="s">
        <v>2862</v>
      </c>
      <c r="C1439" s="1">
        <v>45950</v>
      </c>
      <c r="D1439" t="s">
        <v>2863</v>
      </c>
      <c r="E1439">
        <v>176</v>
      </c>
      <c r="G1439" s="3">
        <f>MONTH(Tabela1[[#This Row],[Último pagto ano]])</f>
        <v>10</v>
      </c>
      <c r="H1439" t="str">
        <f>TEXT(Tabela1[[#This Row],[Coluna2]]*29,"mmmm")</f>
        <v>outubro</v>
      </c>
      <c r="I1439" t="str">
        <f>TEXT(MONTH(Tabela1[[#This Row],[Último pagto ano]])*29,"mmmm")</f>
        <v>outubro</v>
      </c>
    </row>
    <row r="1440" spans="1:9" x14ac:dyDescent="0.25">
      <c r="A1440">
        <v>2025</v>
      </c>
      <c r="B1440" t="s">
        <v>2864</v>
      </c>
      <c r="C1440" s="1">
        <v>45884</v>
      </c>
      <c r="D1440" t="s">
        <v>2865</v>
      </c>
      <c r="E1440">
        <v>444.24</v>
      </c>
      <c r="G1440" s="3">
        <f>MONTH(Tabela1[[#This Row],[Último pagto ano]])</f>
        <v>8</v>
      </c>
      <c r="H1440" t="str">
        <f>TEXT(Tabela1[[#This Row],[Coluna2]]*29,"mmmm")</f>
        <v>agosto</v>
      </c>
      <c r="I1440" t="str">
        <f>TEXT(MONTH(Tabela1[[#This Row],[Último pagto ano]])*29,"mmmm")</f>
        <v>agosto</v>
      </c>
    </row>
    <row r="1441" spans="1:9" x14ac:dyDescent="0.25">
      <c r="A1441">
        <v>2025</v>
      </c>
      <c r="B1441" t="s">
        <v>2866</v>
      </c>
      <c r="C1441" s="1">
        <v>45964</v>
      </c>
      <c r="D1441" t="s">
        <v>2867</v>
      </c>
      <c r="E1441">
        <v>77</v>
      </c>
      <c r="G1441" s="3">
        <f>MONTH(Tabela1[[#This Row],[Último pagto ano]])</f>
        <v>11</v>
      </c>
      <c r="H1441" t="str">
        <f>TEXT(Tabela1[[#This Row],[Coluna2]]*29,"mmmm")</f>
        <v>novembro</v>
      </c>
      <c r="I1441" t="str">
        <f>TEXT(MONTH(Tabela1[[#This Row],[Último pagto ano]])*29,"mmmm")</f>
        <v>novembro</v>
      </c>
    </row>
    <row r="1442" spans="1:9" x14ac:dyDescent="0.25">
      <c r="A1442">
        <v>2025</v>
      </c>
      <c r="B1442" t="s">
        <v>2868</v>
      </c>
      <c r="C1442" s="1">
        <v>45945</v>
      </c>
      <c r="D1442" t="s">
        <v>2869</v>
      </c>
      <c r="E1442" s="2">
        <v>5999.99</v>
      </c>
      <c r="G1442" s="3">
        <f>MONTH(Tabela1[[#This Row],[Último pagto ano]])</f>
        <v>10</v>
      </c>
      <c r="H1442" t="str">
        <f>TEXT(Tabela1[[#This Row],[Coluna2]]*29,"mmmm")</f>
        <v>outubro</v>
      </c>
      <c r="I1442" t="str">
        <f>TEXT(MONTH(Tabela1[[#This Row],[Último pagto ano]])*29,"mmmm")</f>
        <v>outubro</v>
      </c>
    </row>
    <row r="1443" spans="1:9" x14ac:dyDescent="0.25">
      <c r="A1443">
        <v>2025</v>
      </c>
      <c r="B1443" t="s">
        <v>2870</v>
      </c>
      <c r="C1443" s="1">
        <v>45993</v>
      </c>
      <c r="D1443" t="s">
        <v>2871</v>
      </c>
      <c r="E1443" s="2">
        <v>14650</v>
      </c>
      <c r="G1443" s="3">
        <f>MONTH(Tabela1[[#This Row],[Último pagto ano]])</f>
        <v>12</v>
      </c>
      <c r="H1443" t="str">
        <f>TEXT(Tabela1[[#This Row],[Coluna2]]*29,"mmmm")</f>
        <v>dezembro</v>
      </c>
      <c r="I1443" t="str">
        <f>TEXT(MONTH(Tabela1[[#This Row],[Último pagto ano]])*29,"mmmm")</f>
        <v>dezembro</v>
      </c>
    </row>
    <row r="1444" spans="1:9" x14ac:dyDescent="0.25">
      <c r="A1444">
        <v>2025</v>
      </c>
      <c r="B1444" t="s">
        <v>2872</v>
      </c>
      <c r="C1444" s="1">
        <v>46000</v>
      </c>
      <c r="D1444" t="s">
        <v>2873</v>
      </c>
      <c r="E1444" s="2">
        <v>13212</v>
      </c>
      <c r="G1444" s="3">
        <f>MONTH(Tabela1[[#This Row],[Último pagto ano]])</f>
        <v>12</v>
      </c>
      <c r="H1444" t="str">
        <f>TEXT(Tabela1[[#This Row],[Coluna2]]*29,"mmmm")</f>
        <v>dezembro</v>
      </c>
      <c r="I1444" t="str">
        <f>TEXT(MONTH(Tabela1[[#This Row],[Último pagto ano]])*29,"mmmm")</f>
        <v>dezembro</v>
      </c>
    </row>
    <row r="1445" spans="1:9" x14ac:dyDescent="0.25">
      <c r="A1445">
        <v>2025</v>
      </c>
      <c r="B1445" t="s">
        <v>2874</v>
      </c>
      <c r="C1445" s="1">
        <v>45747</v>
      </c>
      <c r="D1445" t="s">
        <v>2875</v>
      </c>
      <c r="E1445" s="2">
        <v>1950</v>
      </c>
      <c r="G1445" s="3">
        <f>MONTH(Tabela1[[#This Row],[Último pagto ano]])</f>
        <v>3</v>
      </c>
      <c r="H1445" t="str">
        <f>TEXT(Tabela1[[#This Row],[Coluna2]]*29,"mmmm")</f>
        <v>março</v>
      </c>
      <c r="I1445" t="str">
        <f>TEXT(MONTH(Tabela1[[#This Row],[Último pagto ano]])*29,"mmmm")</f>
        <v>março</v>
      </c>
    </row>
    <row r="1446" spans="1:9" x14ac:dyDescent="0.25">
      <c r="A1446">
        <v>2025</v>
      </c>
      <c r="B1446" t="s">
        <v>2876</v>
      </c>
      <c r="C1446" s="1">
        <v>45922</v>
      </c>
      <c r="D1446" t="s">
        <v>2877</v>
      </c>
      <c r="E1446" s="2">
        <v>32513</v>
      </c>
      <c r="G1446" s="3">
        <f>MONTH(Tabela1[[#This Row],[Último pagto ano]])</f>
        <v>9</v>
      </c>
      <c r="H1446" t="str">
        <f>TEXT(Tabela1[[#This Row],[Coluna2]]*29,"mmmm")</f>
        <v>setembro</v>
      </c>
      <c r="I1446" t="str">
        <f>TEXT(MONTH(Tabela1[[#This Row],[Último pagto ano]])*29,"mmmm")</f>
        <v>setembro</v>
      </c>
    </row>
    <row r="1447" spans="1:9" x14ac:dyDescent="0.25">
      <c r="A1447">
        <v>2025</v>
      </c>
      <c r="B1447" t="s">
        <v>2878</v>
      </c>
      <c r="C1447" s="1">
        <v>46010</v>
      </c>
      <c r="D1447" t="s">
        <v>2879</v>
      </c>
      <c r="E1447" s="2">
        <v>12000</v>
      </c>
      <c r="G1447" s="3">
        <f>MONTH(Tabela1[[#This Row],[Último pagto ano]])</f>
        <v>12</v>
      </c>
      <c r="H1447" t="str">
        <f>TEXT(Tabela1[[#This Row],[Coluna2]]*29,"mmmm")</f>
        <v>dezembro</v>
      </c>
      <c r="I1447" t="str">
        <f>TEXT(MONTH(Tabela1[[#This Row],[Último pagto ano]])*29,"mmmm")</f>
        <v>dezembro</v>
      </c>
    </row>
    <row r="1448" spans="1:9" x14ac:dyDescent="0.25">
      <c r="A1448">
        <v>2025</v>
      </c>
      <c r="B1448" t="s">
        <v>2880</v>
      </c>
      <c r="C1448" s="1">
        <v>45996</v>
      </c>
      <c r="D1448" t="s">
        <v>2881</v>
      </c>
      <c r="E1448" s="2">
        <v>6300</v>
      </c>
      <c r="G1448" s="3">
        <f>MONTH(Tabela1[[#This Row],[Último pagto ano]])</f>
        <v>12</v>
      </c>
      <c r="H1448" t="str">
        <f>TEXT(Tabela1[[#This Row],[Coluna2]]*29,"mmmm")</f>
        <v>dezembro</v>
      </c>
      <c r="I1448" t="str">
        <f>TEXT(MONTH(Tabela1[[#This Row],[Último pagto ano]])*29,"mmmm")</f>
        <v>dezembro</v>
      </c>
    </row>
    <row r="1449" spans="1:9" x14ac:dyDescent="0.25">
      <c r="A1449">
        <v>2025</v>
      </c>
      <c r="B1449" t="s">
        <v>2882</v>
      </c>
      <c r="C1449" s="1">
        <v>45937</v>
      </c>
      <c r="D1449" t="s">
        <v>2883</v>
      </c>
      <c r="E1449" s="2">
        <v>1400</v>
      </c>
      <c r="G1449" s="3">
        <f>MONTH(Tabela1[[#This Row],[Último pagto ano]])</f>
        <v>10</v>
      </c>
      <c r="H1449" t="str">
        <f>TEXT(Tabela1[[#This Row],[Coluna2]]*29,"mmmm")</f>
        <v>outubro</v>
      </c>
      <c r="I1449" t="str">
        <f>TEXT(MONTH(Tabela1[[#This Row],[Último pagto ano]])*29,"mmmm")</f>
        <v>outubro</v>
      </c>
    </row>
    <row r="1450" spans="1:9" x14ac:dyDescent="0.25">
      <c r="A1450">
        <v>2025</v>
      </c>
      <c r="B1450" t="s">
        <v>2884</v>
      </c>
      <c r="C1450" s="1">
        <v>45996</v>
      </c>
      <c r="D1450" t="s">
        <v>2885</v>
      </c>
      <c r="E1450" s="2">
        <v>8600</v>
      </c>
      <c r="G1450" s="3">
        <f>MONTH(Tabela1[[#This Row],[Último pagto ano]])</f>
        <v>12</v>
      </c>
      <c r="H1450" t="str">
        <f>TEXT(Tabela1[[#This Row],[Coluna2]]*29,"mmmm")</f>
        <v>dezembro</v>
      </c>
      <c r="I1450" t="str">
        <f>TEXT(MONTH(Tabela1[[#This Row],[Último pagto ano]])*29,"mmmm")</f>
        <v>dezembro</v>
      </c>
    </row>
    <row r="1451" spans="1:9" x14ac:dyDescent="0.25">
      <c r="A1451">
        <v>2025</v>
      </c>
      <c r="B1451" t="s">
        <v>2886</v>
      </c>
      <c r="C1451" s="1">
        <v>45989</v>
      </c>
      <c r="D1451" t="s">
        <v>2887</v>
      </c>
      <c r="E1451" s="2">
        <v>10592.62</v>
      </c>
      <c r="G1451" s="3">
        <f>MONTH(Tabela1[[#This Row],[Último pagto ano]])</f>
        <v>11</v>
      </c>
      <c r="H1451" t="str">
        <f>TEXT(Tabela1[[#This Row],[Coluna2]]*29,"mmmm")</f>
        <v>novembro</v>
      </c>
      <c r="I1451" t="str">
        <f>TEXT(MONTH(Tabela1[[#This Row],[Último pagto ano]])*29,"mmmm")</f>
        <v>novembro</v>
      </c>
    </row>
    <row r="1452" spans="1:9" x14ac:dyDescent="0.25">
      <c r="A1452">
        <v>2025</v>
      </c>
      <c r="B1452" t="s">
        <v>2888</v>
      </c>
      <c r="C1452" s="1">
        <v>45702</v>
      </c>
      <c r="D1452" t="s">
        <v>2889</v>
      </c>
      <c r="E1452" s="2">
        <v>1289.25</v>
      </c>
      <c r="G1452" s="3">
        <f>MONTH(Tabela1[[#This Row],[Último pagto ano]])</f>
        <v>2</v>
      </c>
      <c r="H1452" t="str">
        <f>TEXT(Tabela1[[#This Row],[Coluna2]]*29,"mmmm")</f>
        <v>fevereiro</v>
      </c>
      <c r="I1452" t="str">
        <f>TEXT(MONTH(Tabela1[[#This Row],[Último pagto ano]])*29,"mmmm")</f>
        <v>fevereiro</v>
      </c>
    </row>
    <row r="1453" spans="1:9" x14ac:dyDescent="0.25">
      <c r="A1453">
        <v>2025</v>
      </c>
      <c r="B1453" t="s">
        <v>2890</v>
      </c>
      <c r="C1453" s="1">
        <v>45996</v>
      </c>
      <c r="D1453" t="s">
        <v>2891</v>
      </c>
      <c r="E1453" s="2">
        <v>5300</v>
      </c>
      <c r="G1453" s="3">
        <f>MONTH(Tabela1[[#This Row],[Último pagto ano]])</f>
        <v>12</v>
      </c>
      <c r="H1453" t="str">
        <f>TEXT(Tabela1[[#This Row],[Coluna2]]*29,"mmmm")</f>
        <v>dezembro</v>
      </c>
      <c r="I1453" t="str">
        <f>TEXT(MONTH(Tabela1[[#This Row],[Último pagto ano]])*29,"mmmm")</f>
        <v>dezembro</v>
      </c>
    </row>
    <row r="1454" spans="1:9" x14ac:dyDescent="0.25">
      <c r="A1454">
        <v>2025</v>
      </c>
      <c r="B1454" t="s">
        <v>2892</v>
      </c>
      <c r="C1454" s="1">
        <v>45996</v>
      </c>
      <c r="D1454" t="s">
        <v>2893</v>
      </c>
      <c r="E1454" s="2">
        <v>10200</v>
      </c>
      <c r="G1454" s="3">
        <f>MONTH(Tabela1[[#This Row],[Último pagto ano]])</f>
        <v>12</v>
      </c>
      <c r="H1454" t="str">
        <f>TEXT(Tabela1[[#This Row],[Coluna2]]*29,"mmmm")</f>
        <v>dezembro</v>
      </c>
      <c r="I1454" t="str">
        <f>TEXT(MONTH(Tabela1[[#This Row],[Último pagto ano]])*29,"mmmm")</f>
        <v>dezembro</v>
      </c>
    </row>
    <row r="1455" spans="1:9" x14ac:dyDescent="0.25">
      <c r="A1455">
        <v>2025</v>
      </c>
      <c r="B1455" t="s">
        <v>2894</v>
      </c>
      <c r="C1455" s="1">
        <v>45996</v>
      </c>
      <c r="D1455" t="s">
        <v>2895</v>
      </c>
      <c r="E1455" s="2">
        <v>4000</v>
      </c>
      <c r="G1455" s="3">
        <f>MONTH(Tabela1[[#This Row],[Último pagto ano]])</f>
        <v>12</v>
      </c>
      <c r="H1455" t="str">
        <f>TEXT(Tabela1[[#This Row],[Coluna2]]*29,"mmmm")</f>
        <v>dezembro</v>
      </c>
      <c r="I1455" t="str">
        <f>TEXT(MONTH(Tabela1[[#This Row],[Último pagto ano]])*29,"mmmm")</f>
        <v>dezembro</v>
      </c>
    </row>
    <row r="1456" spans="1:9" x14ac:dyDescent="0.25">
      <c r="A1456">
        <v>2025</v>
      </c>
      <c r="B1456" t="s">
        <v>2896</v>
      </c>
      <c r="C1456" s="1">
        <v>45702</v>
      </c>
      <c r="D1456" t="s">
        <v>2897</v>
      </c>
      <c r="E1456">
        <v>496.47</v>
      </c>
      <c r="G1456" s="3">
        <f>MONTH(Tabela1[[#This Row],[Último pagto ano]])</f>
        <v>2</v>
      </c>
      <c r="H1456" t="str">
        <f>TEXT(Tabela1[[#This Row],[Coluna2]]*29,"mmmm")</f>
        <v>fevereiro</v>
      </c>
      <c r="I1456" t="str">
        <f>TEXT(MONTH(Tabela1[[#This Row],[Último pagto ano]])*29,"mmmm")</f>
        <v>fevereiro</v>
      </c>
    </row>
    <row r="1457" spans="1:9" x14ac:dyDescent="0.25">
      <c r="A1457">
        <v>2025</v>
      </c>
      <c r="B1457" t="s">
        <v>2898</v>
      </c>
      <c r="C1457" s="1">
        <v>45996</v>
      </c>
      <c r="D1457" t="s">
        <v>2899</v>
      </c>
      <c r="E1457" s="2">
        <v>27000</v>
      </c>
      <c r="G1457" s="3">
        <f>MONTH(Tabela1[[#This Row],[Último pagto ano]])</f>
        <v>12</v>
      </c>
      <c r="H1457" t="str">
        <f>TEXT(Tabela1[[#This Row],[Coluna2]]*29,"mmmm")</f>
        <v>dezembro</v>
      </c>
      <c r="I1457" t="str">
        <f>TEXT(MONTH(Tabela1[[#This Row],[Último pagto ano]])*29,"mmmm")</f>
        <v>dezembro</v>
      </c>
    </row>
    <row r="1458" spans="1:9" x14ac:dyDescent="0.25">
      <c r="A1458">
        <v>2025</v>
      </c>
      <c r="B1458" t="s">
        <v>2900</v>
      </c>
      <c r="C1458" s="1">
        <v>46008</v>
      </c>
      <c r="D1458" t="s">
        <v>2901</v>
      </c>
      <c r="E1458" s="2">
        <v>834677.57</v>
      </c>
      <c r="G1458" s="3">
        <f>MONTH(Tabela1[[#This Row],[Último pagto ano]])</f>
        <v>12</v>
      </c>
      <c r="H1458" t="str">
        <f>TEXT(Tabela1[[#This Row],[Coluna2]]*29,"mmmm")</f>
        <v>dezembro</v>
      </c>
      <c r="I1458" t="str">
        <f>TEXT(MONTH(Tabela1[[#This Row],[Último pagto ano]])*29,"mmmm")</f>
        <v>dezembro</v>
      </c>
    </row>
    <row r="1459" spans="1:9" x14ac:dyDescent="0.25">
      <c r="A1459">
        <v>2025</v>
      </c>
      <c r="B1459" t="s">
        <v>2902</v>
      </c>
      <c r="C1459" s="1">
        <v>45996</v>
      </c>
      <c r="D1459" t="s">
        <v>2903</v>
      </c>
      <c r="E1459" s="2">
        <v>18000</v>
      </c>
      <c r="G1459" s="3">
        <f>MONTH(Tabela1[[#This Row],[Último pagto ano]])</f>
        <v>12</v>
      </c>
      <c r="H1459" t="str">
        <f>TEXT(Tabela1[[#This Row],[Coluna2]]*29,"mmmm")</f>
        <v>dezembro</v>
      </c>
      <c r="I1459" t="str">
        <f>TEXT(MONTH(Tabela1[[#This Row],[Último pagto ano]])*29,"mmmm")</f>
        <v>dezembro</v>
      </c>
    </row>
    <row r="1460" spans="1:9" x14ac:dyDescent="0.25">
      <c r="A1460">
        <v>2025</v>
      </c>
      <c r="B1460" t="s">
        <v>2904</v>
      </c>
      <c r="C1460" s="1">
        <v>45825</v>
      </c>
      <c r="D1460" t="s">
        <v>2905</v>
      </c>
      <c r="E1460" s="2">
        <v>1945</v>
      </c>
      <c r="G1460" s="3">
        <f>MONTH(Tabela1[[#This Row],[Último pagto ano]])</f>
        <v>6</v>
      </c>
      <c r="H1460" t="str">
        <f>TEXT(Tabela1[[#This Row],[Coluna2]]*29,"mmmm")</f>
        <v>junho</v>
      </c>
      <c r="I1460" t="str">
        <f>TEXT(MONTH(Tabela1[[#This Row],[Último pagto ano]])*29,"mmmm")</f>
        <v>junho</v>
      </c>
    </row>
    <row r="1461" spans="1:9" x14ac:dyDescent="0.25">
      <c r="A1461">
        <v>2025</v>
      </c>
      <c r="B1461" t="s">
        <v>2906</v>
      </c>
      <c r="C1461" s="1">
        <v>45834</v>
      </c>
      <c r="D1461" t="s">
        <v>2907</v>
      </c>
      <c r="E1461" s="2">
        <v>115791.5</v>
      </c>
      <c r="G1461" s="3">
        <f>MONTH(Tabela1[[#This Row],[Último pagto ano]])</f>
        <v>6</v>
      </c>
      <c r="H1461" t="str">
        <f>TEXT(Tabela1[[#This Row],[Coluna2]]*29,"mmmm")</f>
        <v>junho</v>
      </c>
      <c r="I1461" t="str">
        <f>TEXT(MONTH(Tabela1[[#This Row],[Último pagto ano]])*29,"mmmm")</f>
        <v>junho</v>
      </c>
    </row>
    <row r="1462" spans="1:9" x14ac:dyDescent="0.25">
      <c r="A1462">
        <v>2025</v>
      </c>
      <c r="B1462" t="s">
        <v>2908</v>
      </c>
      <c r="C1462" s="1">
        <v>46002</v>
      </c>
      <c r="D1462" t="s">
        <v>2909</v>
      </c>
      <c r="E1462" s="2">
        <v>186139.82</v>
      </c>
      <c r="G1462" s="3">
        <f>MONTH(Tabela1[[#This Row],[Último pagto ano]])</f>
        <v>12</v>
      </c>
      <c r="H1462" t="str">
        <f>TEXT(Tabela1[[#This Row],[Coluna2]]*29,"mmmm")</f>
        <v>dezembro</v>
      </c>
      <c r="I1462" t="str">
        <f>TEXT(MONTH(Tabela1[[#This Row],[Último pagto ano]])*29,"mmmm")</f>
        <v>dezembro</v>
      </c>
    </row>
    <row r="1463" spans="1:9" x14ac:dyDescent="0.25">
      <c r="A1463">
        <v>2025</v>
      </c>
      <c r="B1463" t="s">
        <v>2910</v>
      </c>
      <c r="C1463" s="1">
        <v>46009</v>
      </c>
      <c r="D1463" t="s">
        <v>2911</v>
      </c>
      <c r="E1463" s="2">
        <v>12210</v>
      </c>
      <c r="G1463" s="3">
        <f>MONTH(Tabela1[[#This Row],[Último pagto ano]])</f>
        <v>12</v>
      </c>
      <c r="H1463" t="str">
        <f>TEXT(Tabela1[[#This Row],[Coluna2]]*29,"mmmm")</f>
        <v>dezembro</v>
      </c>
      <c r="I1463" t="str">
        <f>TEXT(MONTH(Tabela1[[#This Row],[Último pagto ano]])*29,"mmmm")</f>
        <v>dezembro</v>
      </c>
    </row>
    <row r="1464" spans="1:9" x14ac:dyDescent="0.25">
      <c r="A1464">
        <v>2025</v>
      </c>
      <c r="B1464" t="s">
        <v>2912</v>
      </c>
      <c r="C1464" s="1">
        <v>45782</v>
      </c>
      <c r="D1464" t="s">
        <v>2913</v>
      </c>
      <c r="E1464" s="2">
        <v>4895</v>
      </c>
      <c r="G1464" s="3">
        <f>MONTH(Tabela1[[#This Row],[Último pagto ano]])</f>
        <v>5</v>
      </c>
      <c r="H1464" t="str">
        <f>TEXT(Tabela1[[#This Row],[Coluna2]]*29,"mmmm")</f>
        <v>maio</v>
      </c>
      <c r="I1464" t="str">
        <f>TEXT(MONTH(Tabela1[[#This Row],[Último pagto ano]])*29,"mmmm")</f>
        <v>maio</v>
      </c>
    </row>
    <row r="1465" spans="1:9" x14ac:dyDescent="0.25">
      <c r="A1465">
        <v>2025</v>
      </c>
      <c r="B1465" t="s">
        <v>2914</v>
      </c>
      <c r="C1465" s="1">
        <v>46014</v>
      </c>
      <c r="D1465" t="s">
        <v>2915</v>
      </c>
      <c r="E1465" s="2">
        <v>380000</v>
      </c>
      <c r="G1465" s="3">
        <f>MONTH(Tabela1[[#This Row],[Último pagto ano]])</f>
        <v>12</v>
      </c>
      <c r="H1465" t="str">
        <f>TEXT(Tabela1[[#This Row],[Coluna2]]*29,"mmmm")</f>
        <v>dezembro</v>
      </c>
      <c r="I1465" t="str">
        <f>TEXT(MONTH(Tabela1[[#This Row],[Último pagto ano]])*29,"mmmm")</f>
        <v>dezembro</v>
      </c>
    </row>
    <row r="1466" spans="1:9" x14ac:dyDescent="0.25">
      <c r="A1466">
        <v>2025</v>
      </c>
      <c r="B1466" t="s">
        <v>2916</v>
      </c>
      <c r="C1466" s="1">
        <v>46009</v>
      </c>
      <c r="D1466" t="s">
        <v>2917</v>
      </c>
      <c r="E1466" s="2">
        <v>22558.97</v>
      </c>
      <c r="G1466" s="3">
        <f>MONTH(Tabela1[[#This Row],[Último pagto ano]])</f>
        <v>12</v>
      </c>
      <c r="H1466" t="str">
        <f>TEXT(Tabela1[[#This Row],[Coluna2]]*29,"mmmm")</f>
        <v>dezembro</v>
      </c>
      <c r="I1466" t="str">
        <f>TEXT(MONTH(Tabela1[[#This Row],[Último pagto ano]])*29,"mmmm")</f>
        <v>dezembro</v>
      </c>
    </row>
    <row r="1467" spans="1:9" x14ac:dyDescent="0.25">
      <c r="A1467">
        <v>2025</v>
      </c>
      <c r="B1467" t="s">
        <v>2918</v>
      </c>
      <c r="C1467" s="1">
        <v>45904</v>
      </c>
      <c r="D1467" t="s">
        <v>2919</v>
      </c>
      <c r="E1467" s="2">
        <v>22300</v>
      </c>
      <c r="G1467" s="3">
        <f>MONTH(Tabela1[[#This Row],[Último pagto ano]])</f>
        <v>9</v>
      </c>
      <c r="H1467" t="str">
        <f>TEXT(Tabela1[[#This Row],[Coluna2]]*29,"mmmm")</f>
        <v>setembro</v>
      </c>
      <c r="I1467" t="str">
        <f>TEXT(MONTH(Tabela1[[#This Row],[Último pagto ano]])*29,"mmmm")</f>
        <v>setembro</v>
      </c>
    </row>
    <row r="1468" spans="1:9" x14ac:dyDescent="0.25">
      <c r="A1468">
        <v>2025</v>
      </c>
      <c r="B1468" t="s">
        <v>2920</v>
      </c>
      <c r="C1468" s="1">
        <v>45666</v>
      </c>
      <c r="D1468" t="s">
        <v>2921</v>
      </c>
      <c r="E1468">
        <v>230</v>
      </c>
      <c r="G1468" s="3">
        <f>MONTH(Tabela1[[#This Row],[Último pagto ano]])</f>
        <v>1</v>
      </c>
      <c r="H1468" t="str">
        <f>TEXT(Tabela1[[#This Row],[Coluna2]]*29,"mmmm")</f>
        <v>janeiro</v>
      </c>
      <c r="I1468" t="str">
        <f>TEXT(MONTH(Tabela1[[#This Row],[Último pagto ano]])*29,"mmmm")</f>
        <v>janeiro</v>
      </c>
    </row>
    <row r="1469" spans="1:9" x14ac:dyDescent="0.25">
      <c r="A1469">
        <v>2025</v>
      </c>
      <c r="B1469" t="s">
        <v>2922</v>
      </c>
      <c r="C1469" s="1">
        <v>46021</v>
      </c>
      <c r="D1469" t="s">
        <v>2923</v>
      </c>
      <c r="E1469" s="2">
        <v>6022.58</v>
      </c>
      <c r="G1469" s="3">
        <f>MONTH(Tabela1[[#This Row],[Último pagto ano]])</f>
        <v>12</v>
      </c>
      <c r="H1469" t="str">
        <f>TEXT(Tabela1[[#This Row],[Coluna2]]*29,"mmmm")</f>
        <v>dezembro</v>
      </c>
      <c r="I1469" t="str">
        <f>TEXT(MONTH(Tabela1[[#This Row],[Último pagto ano]])*29,"mmmm")</f>
        <v>dezembro</v>
      </c>
    </row>
    <row r="1470" spans="1:9" x14ac:dyDescent="0.25">
      <c r="A1470">
        <v>2025</v>
      </c>
      <c r="B1470" t="s">
        <v>2924</v>
      </c>
      <c r="C1470" s="1">
        <v>45954</v>
      </c>
      <c r="D1470" t="s">
        <v>2925</v>
      </c>
      <c r="E1470">
        <v>109.89</v>
      </c>
      <c r="G1470" s="3">
        <f>MONTH(Tabela1[[#This Row],[Último pagto ano]])</f>
        <v>10</v>
      </c>
      <c r="H1470" t="str">
        <f>TEXT(Tabela1[[#This Row],[Coluna2]]*29,"mmmm")</f>
        <v>outubro</v>
      </c>
      <c r="I1470" t="str">
        <f>TEXT(MONTH(Tabela1[[#This Row],[Último pagto ano]])*29,"mmmm")</f>
        <v>outubro</v>
      </c>
    </row>
    <row r="1471" spans="1:9" x14ac:dyDescent="0.25">
      <c r="A1471">
        <v>2025</v>
      </c>
      <c r="B1471" t="s">
        <v>2926</v>
      </c>
      <c r="C1471" s="1">
        <v>46010</v>
      </c>
      <c r="D1471" t="s">
        <v>2927</v>
      </c>
      <c r="E1471" s="2">
        <v>4900</v>
      </c>
      <c r="G1471" s="3">
        <f>MONTH(Tabela1[[#This Row],[Último pagto ano]])</f>
        <v>12</v>
      </c>
      <c r="H1471" t="str">
        <f>TEXT(Tabela1[[#This Row],[Coluna2]]*29,"mmmm")</f>
        <v>dezembro</v>
      </c>
      <c r="I1471" t="str">
        <f>TEXT(MONTH(Tabela1[[#This Row],[Último pagto ano]])*29,"mmmm")</f>
        <v>dezembro</v>
      </c>
    </row>
    <row r="1472" spans="1:9" x14ac:dyDescent="0.25">
      <c r="A1472">
        <v>2025</v>
      </c>
      <c r="B1472" t="s">
        <v>2928</v>
      </c>
      <c r="C1472" s="1">
        <v>45922</v>
      </c>
      <c r="D1472" t="s">
        <v>2929</v>
      </c>
      <c r="E1472" s="2">
        <v>2040</v>
      </c>
      <c r="G1472" s="3">
        <f>MONTH(Tabela1[[#This Row],[Último pagto ano]])</f>
        <v>9</v>
      </c>
      <c r="H1472" t="str">
        <f>TEXT(Tabela1[[#This Row],[Coluna2]]*29,"mmmm")</f>
        <v>setembro</v>
      </c>
      <c r="I1472" t="str">
        <f>TEXT(MONTH(Tabela1[[#This Row],[Último pagto ano]])*29,"mmmm")</f>
        <v>setembro</v>
      </c>
    </row>
    <row r="1473" spans="1:9" x14ac:dyDescent="0.25">
      <c r="A1473">
        <v>2025</v>
      </c>
      <c r="B1473" t="s">
        <v>2930</v>
      </c>
      <c r="C1473" s="1">
        <v>45988</v>
      </c>
      <c r="D1473" t="s">
        <v>2931</v>
      </c>
      <c r="E1473" s="2">
        <v>3223.8</v>
      </c>
      <c r="G1473" s="3">
        <f>MONTH(Tabela1[[#This Row],[Último pagto ano]])</f>
        <v>11</v>
      </c>
      <c r="H1473" t="str">
        <f>TEXT(Tabela1[[#This Row],[Coluna2]]*29,"mmmm")</f>
        <v>novembro</v>
      </c>
      <c r="I1473" t="str">
        <f>TEXT(MONTH(Tabela1[[#This Row],[Último pagto ano]])*29,"mmmm")</f>
        <v>novembro</v>
      </c>
    </row>
    <row r="1474" spans="1:9" x14ac:dyDescent="0.25">
      <c r="A1474">
        <v>2025</v>
      </c>
      <c r="B1474" t="s">
        <v>2932</v>
      </c>
      <c r="C1474" s="1">
        <v>45996</v>
      </c>
      <c r="D1474" t="s">
        <v>2933</v>
      </c>
      <c r="E1474" s="2">
        <v>92079.88</v>
      </c>
      <c r="G1474" s="3">
        <f>MONTH(Tabela1[[#This Row],[Último pagto ano]])</f>
        <v>12</v>
      </c>
      <c r="H1474" t="str">
        <f>TEXT(Tabela1[[#This Row],[Coluna2]]*29,"mmmm")</f>
        <v>dezembro</v>
      </c>
      <c r="I1474" t="str">
        <f>TEXT(MONTH(Tabela1[[#This Row],[Último pagto ano]])*29,"mmmm")</f>
        <v>dezembro</v>
      </c>
    </row>
    <row r="1475" spans="1:9" x14ac:dyDescent="0.25">
      <c r="A1475">
        <v>2025</v>
      </c>
      <c r="B1475" t="s">
        <v>2934</v>
      </c>
      <c r="C1475" s="1">
        <v>45985</v>
      </c>
      <c r="D1475" t="s">
        <v>2935</v>
      </c>
      <c r="E1475">
        <v>11</v>
      </c>
      <c r="G1475" s="3">
        <f>MONTH(Tabela1[[#This Row],[Último pagto ano]])</f>
        <v>11</v>
      </c>
      <c r="H1475" t="str">
        <f>TEXT(Tabela1[[#This Row],[Coluna2]]*29,"mmmm")</f>
        <v>novembro</v>
      </c>
      <c r="I1475" t="str">
        <f>TEXT(MONTH(Tabela1[[#This Row],[Último pagto ano]])*29,"mmmm")</f>
        <v>novembro</v>
      </c>
    </row>
    <row r="1476" spans="1:9" x14ac:dyDescent="0.25">
      <c r="A1476">
        <v>2025</v>
      </c>
      <c r="B1476" t="s">
        <v>2936</v>
      </c>
      <c r="C1476" s="1">
        <v>45831</v>
      </c>
      <c r="D1476" t="s">
        <v>2937</v>
      </c>
      <c r="E1476" s="2">
        <v>3738.59</v>
      </c>
      <c r="G1476" s="3">
        <f>MONTH(Tabela1[[#This Row],[Último pagto ano]])</f>
        <v>6</v>
      </c>
      <c r="H1476" t="str">
        <f>TEXT(Tabela1[[#This Row],[Coluna2]]*29,"mmmm")</f>
        <v>junho</v>
      </c>
      <c r="I1476" t="str">
        <f>TEXT(MONTH(Tabela1[[#This Row],[Último pagto ano]])*29,"mmmm")</f>
        <v>junho</v>
      </c>
    </row>
    <row r="1477" spans="1:9" x14ac:dyDescent="0.25">
      <c r="A1477">
        <v>2025</v>
      </c>
      <c r="B1477" t="s">
        <v>2938</v>
      </c>
      <c r="C1477" s="1">
        <v>45954</v>
      </c>
      <c r="D1477" t="s">
        <v>2939</v>
      </c>
      <c r="E1477" s="2">
        <v>119494.56</v>
      </c>
      <c r="G1477" s="3">
        <f>MONTH(Tabela1[[#This Row],[Último pagto ano]])</f>
        <v>10</v>
      </c>
      <c r="H1477" t="str">
        <f>TEXT(Tabela1[[#This Row],[Coluna2]]*29,"mmmm")</f>
        <v>outubro</v>
      </c>
      <c r="I1477" t="str">
        <f>TEXT(MONTH(Tabela1[[#This Row],[Último pagto ano]])*29,"mmmm")</f>
        <v>outubro</v>
      </c>
    </row>
    <row r="1478" spans="1:9" x14ac:dyDescent="0.25">
      <c r="A1478">
        <v>2025</v>
      </c>
      <c r="B1478" t="s">
        <v>2940</v>
      </c>
      <c r="C1478" s="1">
        <v>45884</v>
      </c>
      <c r="D1478" t="s">
        <v>2941</v>
      </c>
      <c r="E1478" s="2">
        <v>5600</v>
      </c>
      <c r="G1478" s="3">
        <f>MONTH(Tabela1[[#This Row],[Último pagto ano]])</f>
        <v>8</v>
      </c>
      <c r="H1478" t="str">
        <f>TEXT(Tabela1[[#This Row],[Coluna2]]*29,"mmmm")</f>
        <v>agosto</v>
      </c>
      <c r="I1478" t="str">
        <f>TEXT(MONTH(Tabela1[[#This Row],[Último pagto ano]])*29,"mmmm")</f>
        <v>agosto</v>
      </c>
    </row>
    <row r="1479" spans="1:9" x14ac:dyDescent="0.25">
      <c r="A1479">
        <v>2025</v>
      </c>
      <c r="B1479" t="s">
        <v>2942</v>
      </c>
      <c r="C1479" s="1">
        <v>46010</v>
      </c>
      <c r="D1479" t="s">
        <v>2943</v>
      </c>
      <c r="E1479" s="2">
        <v>12000</v>
      </c>
      <c r="G1479" s="3">
        <f>MONTH(Tabela1[[#This Row],[Último pagto ano]])</f>
        <v>12</v>
      </c>
      <c r="H1479" t="str">
        <f>TEXT(Tabela1[[#This Row],[Coluna2]]*29,"mmmm")</f>
        <v>dezembro</v>
      </c>
      <c r="I1479" t="str">
        <f>TEXT(MONTH(Tabela1[[#This Row],[Último pagto ano]])*29,"mmmm")</f>
        <v>dezembro</v>
      </c>
    </row>
    <row r="1480" spans="1:9" x14ac:dyDescent="0.25">
      <c r="A1480">
        <v>2025</v>
      </c>
      <c r="B1480" t="s">
        <v>2944</v>
      </c>
      <c r="C1480" s="1">
        <v>46006</v>
      </c>
      <c r="D1480" t="s">
        <v>2945</v>
      </c>
      <c r="E1480" s="2">
        <v>8400</v>
      </c>
      <c r="G1480" s="3">
        <f>MONTH(Tabela1[[#This Row],[Último pagto ano]])</f>
        <v>12</v>
      </c>
      <c r="H1480" t="str">
        <f>TEXT(Tabela1[[#This Row],[Coluna2]]*29,"mmmm")</f>
        <v>dezembro</v>
      </c>
      <c r="I1480" t="str">
        <f>TEXT(MONTH(Tabela1[[#This Row],[Último pagto ano]])*29,"mmmm")</f>
        <v>dezembro</v>
      </c>
    </row>
    <row r="1481" spans="1:9" x14ac:dyDescent="0.25">
      <c r="A1481">
        <v>2025</v>
      </c>
      <c r="B1481" t="s">
        <v>2946</v>
      </c>
      <c r="C1481" s="1">
        <v>45807</v>
      </c>
      <c r="D1481" t="s">
        <v>2947</v>
      </c>
      <c r="E1481" s="2">
        <v>5288.14</v>
      </c>
      <c r="G1481" s="3">
        <f>MONTH(Tabela1[[#This Row],[Último pagto ano]])</f>
        <v>5</v>
      </c>
      <c r="H1481" t="str">
        <f>TEXT(Tabela1[[#This Row],[Coluna2]]*29,"mmmm")</f>
        <v>maio</v>
      </c>
      <c r="I1481" t="str">
        <f>TEXT(MONTH(Tabela1[[#This Row],[Último pagto ano]])*29,"mmmm")</f>
        <v>maio</v>
      </c>
    </row>
    <row r="1482" spans="1:9" x14ac:dyDescent="0.25">
      <c r="A1482">
        <v>2025</v>
      </c>
      <c r="B1482" t="s">
        <v>2948</v>
      </c>
      <c r="C1482" s="1">
        <v>45989</v>
      </c>
      <c r="D1482" t="s">
        <v>2949</v>
      </c>
      <c r="E1482" s="2">
        <v>11684.92</v>
      </c>
      <c r="G1482" s="3">
        <f>MONTH(Tabela1[[#This Row],[Último pagto ano]])</f>
        <v>11</v>
      </c>
      <c r="H1482" t="str">
        <f>TEXT(Tabela1[[#This Row],[Coluna2]]*29,"mmmm")</f>
        <v>novembro</v>
      </c>
      <c r="I1482" t="str">
        <f>TEXT(MONTH(Tabela1[[#This Row],[Último pagto ano]])*29,"mmmm")</f>
        <v>novembro</v>
      </c>
    </row>
    <row r="1483" spans="1:9" x14ac:dyDescent="0.25">
      <c r="A1483">
        <v>2025</v>
      </c>
      <c r="B1483" t="s">
        <v>2950</v>
      </c>
      <c r="C1483" s="1">
        <v>45929</v>
      </c>
      <c r="D1483" t="s">
        <v>2951</v>
      </c>
      <c r="E1483" s="2">
        <v>1576.8</v>
      </c>
      <c r="G1483" s="3">
        <f>MONTH(Tabela1[[#This Row],[Último pagto ano]])</f>
        <v>9</v>
      </c>
      <c r="H1483" t="str">
        <f>TEXT(Tabela1[[#This Row],[Coluna2]]*29,"mmmm")</f>
        <v>setembro</v>
      </c>
      <c r="I1483" t="str">
        <f>TEXT(MONTH(Tabela1[[#This Row],[Último pagto ano]])*29,"mmmm")</f>
        <v>setembro</v>
      </c>
    </row>
    <row r="1484" spans="1:9" x14ac:dyDescent="0.25">
      <c r="A1484">
        <v>2025</v>
      </c>
      <c r="B1484" t="s">
        <v>2952</v>
      </c>
      <c r="C1484" s="1">
        <v>45936</v>
      </c>
      <c r="D1484" t="s">
        <v>2953</v>
      </c>
      <c r="E1484">
        <v>22</v>
      </c>
      <c r="G1484" s="3">
        <f>MONTH(Tabela1[[#This Row],[Último pagto ano]])</f>
        <v>10</v>
      </c>
      <c r="H1484" t="str">
        <f>TEXT(Tabela1[[#This Row],[Coluna2]]*29,"mmmm")</f>
        <v>outubro</v>
      </c>
      <c r="I1484" t="str">
        <f>TEXT(MONTH(Tabela1[[#This Row],[Último pagto ano]])*29,"mmmm")</f>
        <v>outubro</v>
      </c>
    </row>
    <row r="1485" spans="1:9" x14ac:dyDescent="0.25">
      <c r="A1485">
        <v>2025</v>
      </c>
      <c r="B1485" t="s">
        <v>2954</v>
      </c>
      <c r="C1485" s="1">
        <v>45995</v>
      </c>
      <c r="D1485" t="s">
        <v>2955</v>
      </c>
      <c r="E1485" s="2">
        <v>94428</v>
      </c>
      <c r="G1485" s="3">
        <f>MONTH(Tabela1[[#This Row],[Último pagto ano]])</f>
        <v>12</v>
      </c>
      <c r="H1485" t="str">
        <f>TEXT(Tabela1[[#This Row],[Coluna2]]*29,"mmmm")</f>
        <v>dezembro</v>
      </c>
      <c r="I1485" t="str">
        <f>TEXT(MONTH(Tabela1[[#This Row],[Último pagto ano]])*29,"mmmm")</f>
        <v>dezembro</v>
      </c>
    </row>
    <row r="1486" spans="1:9" x14ac:dyDescent="0.25">
      <c r="A1486">
        <v>2025</v>
      </c>
      <c r="B1486" t="s">
        <v>2956</v>
      </c>
      <c r="C1486" s="1">
        <v>45996</v>
      </c>
      <c r="D1486" t="s">
        <v>2957</v>
      </c>
      <c r="E1486" s="2">
        <v>26575</v>
      </c>
      <c r="G1486" s="3">
        <f>MONTH(Tabela1[[#This Row],[Último pagto ano]])</f>
        <v>12</v>
      </c>
      <c r="H1486" t="str">
        <f>TEXT(Tabela1[[#This Row],[Coluna2]]*29,"mmmm")</f>
        <v>dezembro</v>
      </c>
      <c r="I1486" t="str">
        <f>TEXT(MONTH(Tabela1[[#This Row],[Último pagto ano]])*29,"mmmm")</f>
        <v>dezembro</v>
      </c>
    </row>
    <row r="1487" spans="1:9" x14ac:dyDescent="0.25">
      <c r="A1487">
        <v>2025</v>
      </c>
      <c r="B1487" t="s">
        <v>2958</v>
      </c>
      <c r="C1487" s="1">
        <v>46010</v>
      </c>
      <c r="D1487" t="s">
        <v>2959</v>
      </c>
      <c r="E1487" s="2">
        <v>12000</v>
      </c>
      <c r="G1487" s="3">
        <f>MONTH(Tabela1[[#This Row],[Último pagto ano]])</f>
        <v>12</v>
      </c>
      <c r="H1487" t="str">
        <f>TEXT(Tabela1[[#This Row],[Coluna2]]*29,"mmmm")</f>
        <v>dezembro</v>
      </c>
      <c r="I1487" t="str">
        <f>TEXT(MONTH(Tabela1[[#This Row],[Último pagto ano]])*29,"mmmm")</f>
        <v>dezembro</v>
      </c>
    </row>
    <row r="1488" spans="1:9" x14ac:dyDescent="0.25">
      <c r="A1488">
        <v>2025</v>
      </c>
      <c r="B1488" t="s">
        <v>2960</v>
      </c>
      <c r="C1488" s="1">
        <v>45964</v>
      </c>
      <c r="D1488" t="s">
        <v>2961</v>
      </c>
      <c r="E1488">
        <v>220</v>
      </c>
      <c r="G1488" s="3">
        <f>MONTH(Tabela1[[#This Row],[Último pagto ano]])</f>
        <v>11</v>
      </c>
      <c r="H1488" t="str">
        <f>TEXT(Tabela1[[#This Row],[Coluna2]]*29,"mmmm")</f>
        <v>novembro</v>
      </c>
      <c r="I1488" t="str">
        <f>TEXT(MONTH(Tabela1[[#This Row],[Último pagto ano]])*29,"mmmm")</f>
        <v>novembro</v>
      </c>
    </row>
    <row r="1489" spans="1:9" x14ac:dyDescent="0.25">
      <c r="A1489">
        <v>2025</v>
      </c>
      <c r="B1489" t="s">
        <v>2962</v>
      </c>
      <c r="C1489" s="1">
        <v>45807</v>
      </c>
      <c r="D1489" t="s">
        <v>2963</v>
      </c>
      <c r="E1489" s="2">
        <v>3279.71</v>
      </c>
      <c r="G1489" s="3">
        <f>MONTH(Tabela1[[#This Row],[Último pagto ano]])</f>
        <v>5</v>
      </c>
      <c r="H1489" t="str">
        <f>TEXT(Tabela1[[#This Row],[Coluna2]]*29,"mmmm")</f>
        <v>maio</v>
      </c>
      <c r="I1489" t="str">
        <f>TEXT(MONTH(Tabela1[[#This Row],[Último pagto ano]])*29,"mmmm")</f>
        <v>maio</v>
      </c>
    </row>
    <row r="1490" spans="1:9" x14ac:dyDescent="0.25">
      <c r="A1490">
        <v>2025</v>
      </c>
      <c r="B1490" t="s">
        <v>2964</v>
      </c>
      <c r="C1490" s="1">
        <v>45959</v>
      </c>
      <c r="D1490" t="s">
        <v>2965</v>
      </c>
      <c r="E1490" s="2">
        <v>84761.600000000006</v>
      </c>
      <c r="G1490" s="3">
        <f>MONTH(Tabela1[[#This Row],[Último pagto ano]])</f>
        <v>10</v>
      </c>
      <c r="H1490" t="str">
        <f>TEXT(Tabela1[[#This Row],[Coluna2]]*29,"mmmm")</f>
        <v>outubro</v>
      </c>
      <c r="I1490" t="str">
        <f>TEXT(MONTH(Tabela1[[#This Row],[Último pagto ano]])*29,"mmmm")</f>
        <v>outubro</v>
      </c>
    </row>
    <row r="1491" spans="1:9" x14ac:dyDescent="0.25">
      <c r="A1491">
        <v>2025</v>
      </c>
      <c r="B1491" t="s">
        <v>2966</v>
      </c>
      <c r="C1491" s="1">
        <v>46006</v>
      </c>
      <c r="D1491" t="s">
        <v>2967</v>
      </c>
      <c r="E1491" s="2">
        <v>5872.88</v>
      </c>
      <c r="G1491" s="3">
        <f>MONTH(Tabela1[[#This Row],[Último pagto ano]])</f>
        <v>12</v>
      </c>
      <c r="H1491" t="str">
        <f>TEXT(Tabela1[[#This Row],[Coluna2]]*29,"mmmm")</f>
        <v>dezembro</v>
      </c>
      <c r="I1491" t="str">
        <f>TEXT(MONTH(Tabela1[[#This Row],[Último pagto ano]])*29,"mmmm")</f>
        <v>dezembro</v>
      </c>
    </row>
    <row r="1492" spans="1:9" x14ac:dyDescent="0.25">
      <c r="A1492">
        <v>2025</v>
      </c>
      <c r="B1492" t="s">
        <v>2968</v>
      </c>
      <c r="C1492" s="1">
        <v>46006</v>
      </c>
      <c r="D1492" t="s">
        <v>2969</v>
      </c>
      <c r="E1492" s="2">
        <v>6798.4</v>
      </c>
      <c r="G1492" s="3">
        <f>MONTH(Tabela1[[#This Row],[Último pagto ano]])</f>
        <v>12</v>
      </c>
      <c r="H1492" t="str">
        <f>TEXT(Tabela1[[#This Row],[Coluna2]]*29,"mmmm")</f>
        <v>dezembro</v>
      </c>
      <c r="I1492" t="str">
        <f>TEXT(MONTH(Tabela1[[#This Row],[Último pagto ano]])*29,"mmmm")</f>
        <v>dezembro</v>
      </c>
    </row>
    <row r="1493" spans="1:9" x14ac:dyDescent="0.25">
      <c r="A1493">
        <v>2025</v>
      </c>
      <c r="B1493" t="s">
        <v>2970</v>
      </c>
      <c r="C1493" s="1">
        <v>45915</v>
      </c>
      <c r="D1493" t="s">
        <v>2971</v>
      </c>
      <c r="E1493" s="2">
        <v>18114.240000000002</v>
      </c>
      <c r="G1493" s="3">
        <f>MONTH(Tabela1[[#This Row],[Último pagto ano]])</f>
        <v>9</v>
      </c>
      <c r="H1493" t="str">
        <f>TEXT(Tabela1[[#This Row],[Coluna2]]*29,"mmmm")</f>
        <v>setembro</v>
      </c>
      <c r="I1493" t="str">
        <f>TEXT(MONTH(Tabela1[[#This Row],[Último pagto ano]])*29,"mmmm")</f>
        <v>setembro</v>
      </c>
    </row>
    <row r="1494" spans="1:9" x14ac:dyDescent="0.25">
      <c r="A1494">
        <v>2025</v>
      </c>
      <c r="B1494" t="s">
        <v>2972</v>
      </c>
      <c r="C1494" s="1">
        <v>45996</v>
      </c>
      <c r="D1494" t="s">
        <v>2973</v>
      </c>
      <c r="E1494" s="2">
        <v>10000</v>
      </c>
      <c r="G1494" s="3">
        <f>MONTH(Tabela1[[#This Row],[Último pagto ano]])</f>
        <v>12</v>
      </c>
      <c r="H1494" t="str">
        <f>TEXT(Tabela1[[#This Row],[Coluna2]]*29,"mmmm")</f>
        <v>dezembro</v>
      </c>
      <c r="I1494" t="str">
        <f>TEXT(MONTH(Tabela1[[#This Row],[Último pagto ano]])*29,"mmmm")</f>
        <v>dezembro</v>
      </c>
    </row>
    <row r="1495" spans="1:9" x14ac:dyDescent="0.25">
      <c r="A1495">
        <v>2025</v>
      </c>
      <c r="B1495" t="s">
        <v>2974</v>
      </c>
      <c r="C1495" s="1">
        <v>46006</v>
      </c>
      <c r="D1495" t="s">
        <v>2975</v>
      </c>
      <c r="E1495" s="2">
        <v>2835421.37</v>
      </c>
      <c r="G1495" s="3">
        <f>MONTH(Tabela1[[#This Row],[Último pagto ano]])</f>
        <v>12</v>
      </c>
      <c r="H1495" t="str">
        <f>TEXT(Tabela1[[#This Row],[Coluna2]]*29,"mmmm")</f>
        <v>dezembro</v>
      </c>
      <c r="I1495" t="str">
        <f>TEXT(MONTH(Tabela1[[#This Row],[Último pagto ano]])*29,"mmmm")</f>
        <v>dezembro</v>
      </c>
    </row>
    <row r="1496" spans="1:9" x14ac:dyDescent="0.25">
      <c r="A1496">
        <v>2025</v>
      </c>
      <c r="B1496" t="s">
        <v>2976</v>
      </c>
      <c r="C1496" s="1">
        <v>45999</v>
      </c>
      <c r="D1496" t="s">
        <v>2977</v>
      </c>
      <c r="E1496" s="2">
        <v>29968</v>
      </c>
      <c r="G1496" s="3">
        <f>MONTH(Tabela1[[#This Row],[Último pagto ano]])</f>
        <v>12</v>
      </c>
      <c r="H1496" t="str">
        <f>TEXT(Tabela1[[#This Row],[Coluna2]]*29,"mmmm")</f>
        <v>dezembro</v>
      </c>
      <c r="I1496" t="str">
        <f>TEXT(MONTH(Tabela1[[#This Row],[Último pagto ano]])*29,"mmmm")</f>
        <v>dezembro</v>
      </c>
    </row>
    <row r="1497" spans="1:9" x14ac:dyDescent="0.25">
      <c r="A1497">
        <v>2025</v>
      </c>
      <c r="B1497" t="s">
        <v>2978</v>
      </c>
      <c r="C1497" s="1">
        <v>45953</v>
      </c>
      <c r="D1497" t="s">
        <v>2979</v>
      </c>
      <c r="E1497">
        <v>252.02</v>
      </c>
      <c r="G1497" s="3">
        <f>MONTH(Tabela1[[#This Row],[Último pagto ano]])</f>
        <v>10</v>
      </c>
      <c r="H1497" t="str">
        <f>TEXT(Tabela1[[#This Row],[Coluna2]]*29,"mmmm")</f>
        <v>outubro</v>
      </c>
      <c r="I1497" t="str">
        <f>TEXT(MONTH(Tabela1[[#This Row],[Último pagto ano]])*29,"mmmm")</f>
        <v>outubro</v>
      </c>
    </row>
    <row r="1498" spans="1:9" x14ac:dyDescent="0.25">
      <c r="A1498">
        <v>2025</v>
      </c>
      <c r="B1498" t="s">
        <v>2980</v>
      </c>
      <c r="C1498" s="1">
        <v>45995</v>
      </c>
      <c r="D1498" t="s">
        <v>2981</v>
      </c>
      <c r="E1498" s="2">
        <v>437980.69</v>
      </c>
      <c r="G1498" s="3">
        <f>MONTH(Tabela1[[#This Row],[Último pagto ano]])</f>
        <v>12</v>
      </c>
      <c r="H1498" t="str">
        <f>TEXT(Tabela1[[#This Row],[Coluna2]]*29,"mmmm")</f>
        <v>dezembro</v>
      </c>
      <c r="I1498" t="str">
        <f>TEXT(MONTH(Tabela1[[#This Row],[Último pagto ano]])*29,"mmmm")</f>
        <v>dezembro</v>
      </c>
    </row>
    <row r="1499" spans="1:9" x14ac:dyDescent="0.25">
      <c r="A1499">
        <v>2025</v>
      </c>
      <c r="B1499" t="s">
        <v>2982</v>
      </c>
      <c r="C1499" s="1">
        <v>45694</v>
      </c>
      <c r="D1499" t="s">
        <v>2983</v>
      </c>
      <c r="E1499" s="2">
        <v>1560</v>
      </c>
      <c r="G1499" s="3">
        <f>MONTH(Tabela1[[#This Row],[Último pagto ano]])</f>
        <v>2</v>
      </c>
      <c r="H1499" t="str">
        <f>TEXT(Tabela1[[#This Row],[Coluna2]]*29,"mmmm")</f>
        <v>fevereiro</v>
      </c>
      <c r="I1499" t="str">
        <f>TEXT(MONTH(Tabela1[[#This Row],[Último pagto ano]])*29,"mmmm")</f>
        <v>fevereiro</v>
      </c>
    </row>
    <row r="1500" spans="1:9" x14ac:dyDescent="0.25">
      <c r="A1500">
        <v>2025</v>
      </c>
      <c r="B1500" t="s">
        <v>2984</v>
      </c>
      <c r="C1500" s="1">
        <v>45959</v>
      </c>
      <c r="D1500" t="s">
        <v>2985</v>
      </c>
      <c r="E1500" s="2">
        <v>277702.2</v>
      </c>
      <c r="G1500" s="3">
        <f>MONTH(Tabela1[[#This Row],[Último pagto ano]])</f>
        <v>10</v>
      </c>
      <c r="H1500" t="str">
        <f>TEXT(Tabela1[[#This Row],[Coluna2]]*29,"mmmm")</f>
        <v>outubro</v>
      </c>
      <c r="I1500" t="str">
        <f>TEXT(MONTH(Tabela1[[#This Row],[Último pagto ano]])*29,"mmmm")</f>
        <v>outubro</v>
      </c>
    </row>
    <row r="1501" spans="1:9" x14ac:dyDescent="0.25">
      <c r="A1501">
        <v>2025</v>
      </c>
      <c r="B1501" t="s">
        <v>2986</v>
      </c>
      <c r="C1501" s="1">
        <v>46021</v>
      </c>
      <c r="D1501" t="s">
        <v>2987</v>
      </c>
      <c r="E1501" s="2">
        <v>1133585.52</v>
      </c>
      <c r="G1501" s="3">
        <f>MONTH(Tabela1[[#This Row],[Último pagto ano]])</f>
        <v>12</v>
      </c>
      <c r="H1501" t="str">
        <f>TEXT(Tabela1[[#This Row],[Coluna2]]*29,"mmmm")</f>
        <v>dezembro</v>
      </c>
      <c r="I1501" t="str">
        <f>TEXT(MONTH(Tabela1[[#This Row],[Último pagto ano]])*29,"mmmm")</f>
        <v>dezembro</v>
      </c>
    </row>
    <row r="1502" spans="1:9" x14ac:dyDescent="0.25">
      <c r="A1502">
        <v>2025</v>
      </c>
      <c r="B1502" t="s">
        <v>2988</v>
      </c>
      <c r="C1502" s="1">
        <v>45931</v>
      </c>
      <c r="D1502" t="s">
        <v>2989</v>
      </c>
      <c r="E1502" s="2">
        <v>635766.81999999995</v>
      </c>
      <c r="G1502" s="3">
        <f>MONTH(Tabela1[[#This Row],[Último pagto ano]])</f>
        <v>10</v>
      </c>
      <c r="H1502" t="str">
        <f>TEXT(Tabela1[[#This Row],[Coluna2]]*29,"mmmm")</f>
        <v>outubro</v>
      </c>
      <c r="I1502" t="str">
        <f>TEXT(MONTH(Tabela1[[#This Row],[Último pagto ano]])*29,"mmmm")</f>
        <v>outubro</v>
      </c>
    </row>
    <row r="1503" spans="1:9" x14ac:dyDescent="0.25">
      <c r="A1503">
        <v>2025</v>
      </c>
      <c r="B1503" t="s">
        <v>2990</v>
      </c>
      <c r="C1503" s="1">
        <v>46014</v>
      </c>
      <c r="D1503" t="s">
        <v>2991</v>
      </c>
      <c r="E1503" s="2">
        <v>387466.66</v>
      </c>
      <c r="G1503" s="3">
        <f>MONTH(Tabela1[[#This Row],[Último pagto ano]])</f>
        <v>12</v>
      </c>
      <c r="H1503" t="str">
        <f>TEXT(Tabela1[[#This Row],[Coluna2]]*29,"mmmm")</f>
        <v>dezembro</v>
      </c>
      <c r="I1503" t="str">
        <f>TEXT(MONTH(Tabela1[[#This Row],[Último pagto ano]])*29,"mmmm")</f>
        <v>dezembro</v>
      </c>
    </row>
    <row r="1504" spans="1:9" x14ac:dyDescent="0.25">
      <c r="A1504">
        <v>2025</v>
      </c>
      <c r="B1504" t="s">
        <v>2992</v>
      </c>
      <c r="C1504" s="1">
        <v>46006</v>
      </c>
      <c r="D1504" t="s">
        <v>2993</v>
      </c>
      <c r="E1504" s="2">
        <v>32879665.390000001</v>
      </c>
      <c r="G1504" s="3">
        <f>MONTH(Tabela1[[#This Row],[Último pagto ano]])</f>
        <v>12</v>
      </c>
      <c r="H1504" t="str">
        <f>TEXT(Tabela1[[#This Row],[Coluna2]]*29,"mmmm")</f>
        <v>dezembro</v>
      </c>
      <c r="I1504" t="str">
        <f>TEXT(MONTH(Tabela1[[#This Row],[Último pagto ano]])*29,"mmmm")</f>
        <v>dezembro</v>
      </c>
    </row>
    <row r="1505" spans="1:9" x14ac:dyDescent="0.25">
      <c r="A1505">
        <v>2025</v>
      </c>
      <c r="B1505" t="s">
        <v>2994</v>
      </c>
      <c r="C1505" s="1">
        <v>46010</v>
      </c>
      <c r="D1505" t="s">
        <v>2995</v>
      </c>
      <c r="E1505" s="2">
        <v>38876079.090000004</v>
      </c>
      <c r="G1505" s="3">
        <f>MONTH(Tabela1[[#This Row],[Último pagto ano]])</f>
        <v>12</v>
      </c>
      <c r="H1505" t="str">
        <f>TEXT(Tabela1[[#This Row],[Coluna2]]*29,"mmmm")</f>
        <v>dezembro</v>
      </c>
      <c r="I1505" t="str">
        <f>TEXT(MONTH(Tabela1[[#This Row],[Último pagto ano]])*29,"mmmm")</f>
        <v>dezembro</v>
      </c>
    </row>
    <row r="1506" spans="1:9" x14ac:dyDescent="0.25">
      <c r="A1506">
        <v>2025</v>
      </c>
      <c r="B1506" t="s">
        <v>2994</v>
      </c>
      <c r="C1506" s="1">
        <v>46010</v>
      </c>
      <c r="D1506" t="s">
        <v>2996</v>
      </c>
      <c r="E1506" s="2">
        <v>27554884.27</v>
      </c>
      <c r="G1506" s="3">
        <f>MONTH(Tabela1[[#This Row],[Último pagto ano]])</f>
        <v>12</v>
      </c>
      <c r="H1506" t="str">
        <f>TEXT(Tabela1[[#This Row],[Coluna2]]*29,"mmmm")</f>
        <v>dezembro</v>
      </c>
      <c r="I1506" t="str">
        <f>TEXT(MONTH(Tabela1[[#This Row],[Último pagto ano]])*29,"mmmm")</f>
        <v>dezembro</v>
      </c>
    </row>
    <row r="1507" spans="1:9" x14ac:dyDescent="0.25">
      <c r="A1507">
        <v>2025</v>
      </c>
      <c r="B1507" t="s">
        <v>2997</v>
      </c>
      <c r="C1507" s="1">
        <v>46014</v>
      </c>
      <c r="D1507" t="s">
        <v>2998</v>
      </c>
      <c r="E1507" s="2">
        <v>413869</v>
      </c>
      <c r="G1507" s="3">
        <f>MONTH(Tabela1[[#This Row],[Último pagto ano]])</f>
        <v>12</v>
      </c>
      <c r="H1507" t="str">
        <f>TEXT(Tabela1[[#This Row],[Coluna2]]*29,"mmmm")</f>
        <v>dezembro</v>
      </c>
      <c r="I1507" t="str">
        <f>TEXT(MONTH(Tabela1[[#This Row],[Último pagto ano]])*29,"mmmm")</f>
        <v>dezembro</v>
      </c>
    </row>
    <row r="1508" spans="1:9" x14ac:dyDescent="0.25">
      <c r="A1508">
        <v>2025</v>
      </c>
      <c r="B1508" t="s">
        <v>2997</v>
      </c>
      <c r="C1508" s="1">
        <v>46014</v>
      </c>
      <c r="D1508" t="s">
        <v>2999</v>
      </c>
      <c r="E1508" s="2">
        <v>309064.40000000002</v>
      </c>
      <c r="G1508" s="3">
        <f>MONTH(Tabela1[[#This Row],[Último pagto ano]])</f>
        <v>12</v>
      </c>
      <c r="H1508" t="str">
        <f>TEXT(Tabela1[[#This Row],[Coluna2]]*29,"mmmm")</f>
        <v>dezembro</v>
      </c>
      <c r="I1508" t="str">
        <f>TEXT(MONTH(Tabela1[[#This Row],[Último pagto ano]])*29,"mmmm")</f>
        <v>dezembro</v>
      </c>
    </row>
    <row r="1509" spans="1:9" x14ac:dyDescent="0.25">
      <c r="A1509">
        <v>2025</v>
      </c>
      <c r="B1509" t="s">
        <v>3000</v>
      </c>
      <c r="C1509" s="1">
        <v>46014</v>
      </c>
      <c r="D1509" t="s">
        <v>3001</v>
      </c>
      <c r="E1509" s="2">
        <v>152472.20000000001</v>
      </c>
      <c r="G1509" s="3">
        <f>MONTH(Tabela1[[#This Row],[Último pagto ano]])</f>
        <v>12</v>
      </c>
      <c r="H1509" t="str">
        <f>TEXT(Tabela1[[#This Row],[Coluna2]]*29,"mmmm")</f>
        <v>dezembro</v>
      </c>
      <c r="I1509" t="str">
        <f>TEXT(MONTH(Tabela1[[#This Row],[Último pagto ano]])*29,"mmmm")</f>
        <v>dezembro</v>
      </c>
    </row>
    <row r="1510" spans="1:9" x14ac:dyDescent="0.25">
      <c r="A1510">
        <v>2025</v>
      </c>
      <c r="B1510" t="s">
        <v>3002</v>
      </c>
      <c r="C1510" s="1">
        <v>45999</v>
      </c>
      <c r="D1510" t="s">
        <v>3003</v>
      </c>
      <c r="E1510">
        <v>28.22</v>
      </c>
      <c r="G1510" s="3">
        <f>MONTH(Tabela1[[#This Row],[Último pagto ano]])</f>
        <v>12</v>
      </c>
      <c r="H1510" t="str">
        <f>TEXT(Tabela1[[#This Row],[Coluna2]]*29,"mmmm")</f>
        <v>dezembro</v>
      </c>
      <c r="I1510" t="str">
        <f>TEXT(MONTH(Tabela1[[#This Row],[Último pagto ano]])*29,"mmmm")</f>
        <v>dezembro</v>
      </c>
    </row>
    <row r="1511" spans="1:9" x14ac:dyDescent="0.25">
      <c r="A1511">
        <v>2025</v>
      </c>
      <c r="B1511" t="s">
        <v>3004</v>
      </c>
      <c r="C1511" s="1">
        <v>45959</v>
      </c>
      <c r="D1511" t="s">
        <v>3005</v>
      </c>
      <c r="E1511" s="2">
        <v>625000</v>
      </c>
      <c r="G1511" s="3">
        <f>MONTH(Tabela1[[#This Row],[Último pagto ano]])</f>
        <v>10</v>
      </c>
      <c r="H1511" t="str">
        <f>TEXT(Tabela1[[#This Row],[Coluna2]]*29,"mmmm")</f>
        <v>outubro</v>
      </c>
      <c r="I1511" t="str">
        <f>TEXT(MONTH(Tabela1[[#This Row],[Último pagto ano]])*29,"mmmm")</f>
        <v>outubro</v>
      </c>
    </row>
    <row r="1512" spans="1:9" x14ac:dyDescent="0.25">
      <c r="A1512">
        <v>2025</v>
      </c>
      <c r="B1512" t="s">
        <v>3006</v>
      </c>
      <c r="C1512" s="1">
        <v>46014</v>
      </c>
      <c r="D1512" t="s">
        <v>3007</v>
      </c>
      <c r="E1512" s="2">
        <v>35165657.130000003</v>
      </c>
      <c r="G1512" s="3">
        <f>MONTH(Tabela1[[#This Row],[Último pagto ano]])</f>
        <v>12</v>
      </c>
      <c r="H1512" t="str">
        <f>TEXT(Tabela1[[#This Row],[Coluna2]]*29,"mmmm")</f>
        <v>dezembro</v>
      </c>
      <c r="I1512" t="str">
        <f>TEXT(MONTH(Tabela1[[#This Row],[Último pagto ano]])*29,"mmmm")</f>
        <v>dezembro</v>
      </c>
    </row>
    <row r="1513" spans="1:9" x14ac:dyDescent="0.25">
      <c r="A1513">
        <v>2025</v>
      </c>
      <c r="B1513" t="s">
        <v>3008</v>
      </c>
      <c r="C1513" s="1">
        <v>45933</v>
      </c>
      <c r="D1513" t="s">
        <v>3009</v>
      </c>
      <c r="E1513" s="2">
        <v>6668.73</v>
      </c>
      <c r="G1513" s="3">
        <f>MONTH(Tabela1[[#This Row],[Último pagto ano]])</f>
        <v>10</v>
      </c>
      <c r="H1513" t="str">
        <f>TEXT(Tabela1[[#This Row],[Coluna2]]*29,"mmmm")</f>
        <v>outubro</v>
      </c>
      <c r="I1513" t="str">
        <f>TEXT(MONTH(Tabela1[[#This Row],[Último pagto ano]])*29,"mmmm")</f>
        <v>outubro</v>
      </c>
    </row>
    <row r="1514" spans="1:9" x14ac:dyDescent="0.25">
      <c r="A1514">
        <v>2025</v>
      </c>
      <c r="B1514" t="s">
        <v>3010</v>
      </c>
      <c r="C1514" s="1">
        <v>46007</v>
      </c>
      <c r="D1514" t="s">
        <v>3011</v>
      </c>
      <c r="E1514" s="2">
        <v>27787.06</v>
      </c>
      <c r="G1514" s="3">
        <f>MONTH(Tabela1[[#This Row],[Último pagto ano]])</f>
        <v>12</v>
      </c>
      <c r="H1514" t="str">
        <f>TEXT(Tabela1[[#This Row],[Coluna2]]*29,"mmmm")</f>
        <v>dezembro</v>
      </c>
      <c r="I1514" t="str">
        <f>TEXT(MONTH(Tabela1[[#This Row],[Último pagto ano]])*29,"mmmm")</f>
        <v>dezembro</v>
      </c>
    </row>
    <row r="1515" spans="1:9" x14ac:dyDescent="0.25">
      <c r="A1515">
        <v>2025</v>
      </c>
      <c r="B1515" t="s">
        <v>3012</v>
      </c>
      <c r="C1515" s="1">
        <v>46007</v>
      </c>
      <c r="D1515" t="s">
        <v>3013</v>
      </c>
      <c r="E1515" s="2">
        <v>179127.23</v>
      </c>
      <c r="G1515" s="3">
        <f>MONTH(Tabela1[[#This Row],[Último pagto ano]])</f>
        <v>12</v>
      </c>
      <c r="H1515" t="str">
        <f>TEXT(Tabela1[[#This Row],[Coluna2]]*29,"mmmm")</f>
        <v>dezembro</v>
      </c>
      <c r="I1515" t="str">
        <f>TEXT(MONTH(Tabela1[[#This Row],[Último pagto ano]])*29,"mmmm")</f>
        <v>dezembro</v>
      </c>
    </row>
    <row r="1516" spans="1:9" x14ac:dyDescent="0.25">
      <c r="A1516">
        <v>2025</v>
      </c>
      <c r="B1516" t="s">
        <v>3014</v>
      </c>
      <c r="C1516" s="1">
        <v>45999</v>
      </c>
      <c r="D1516" t="s">
        <v>3015</v>
      </c>
      <c r="E1516" s="2">
        <v>1826801.14</v>
      </c>
      <c r="G1516" s="3">
        <f>MONTH(Tabela1[[#This Row],[Último pagto ano]])</f>
        <v>12</v>
      </c>
      <c r="H1516" t="str">
        <f>TEXT(Tabela1[[#This Row],[Coluna2]]*29,"mmmm")</f>
        <v>dezembro</v>
      </c>
      <c r="I1516" t="str">
        <f>TEXT(MONTH(Tabela1[[#This Row],[Último pagto ano]])*29,"mmmm")</f>
        <v>dezembro</v>
      </c>
    </row>
    <row r="1517" spans="1:9" x14ac:dyDescent="0.25">
      <c r="A1517">
        <v>2025</v>
      </c>
      <c r="B1517" t="s">
        <v>3016</v>
      </c>
      <c r="C1517" s="1">
        <v>46014</v>
      </c>
      <c r="D1517" t="s">
        <v>3017</v>
      </c>
      <c r="E1517" s="2">
        <v>30208.2</v>
      </c>
      <c r="G1517" s="3">
        <f>MONTH(Tabela1[[#This Row],[Último pagto ano]])</f>
        <v>12</v>
      </c>
      <c r="H1517" t="str">
        <f>TEXT(Tabela1[[#This Row],[Coluna2]]*29,"mmmm")</f>
        <v>dezembro</v>
      </c>
      <c r="I1517" t="str">
        <f>TEXT(MONTH(Tabela1[[#This Row],[Último pagto ano]])*29,"mmmm")</f>
        <v>dezembro</v>
      </c>
    </row>
    <row r="1518" spans="1:9" x14ac:dyDescent="0.25">
      <c r="A1518">
        <v>2025</v>
      </c>
      <c r="B1518" t="s">
        <v>3018</v>
      </c>
      <c r="C1518" s="1">
        <v>45992</v>
      </c>
      <c r="D1518" t="s">
        <v>3019</v>
      </c>
      <c r="E1518" s="2">
        <v>5940553.8099999996</v>
      </c>
      <c r="G1518" s="3">
        <f>MONTH(Tabela1[[#This Row],[Último pagto ano]])</f>
        <v>12</v>
      </c>
      <c r="H1518" t="str">
        <f>TEXT(Tabela1[[#This Row],[Coluna2]]*29,"mmmm")</f>
        <v>dezembro</v>
      </c>
      <c r="I1518" t="str">
        <f>TEXT(MONTH(Tabela1[[#This Row],[Último pagto ano]])*29,"mmmm")</f>
        <v>dezembro</v>
      </c>
    </row>
    <row r="1519" spans="1:9" x14ac:dyDescent="0.25">
      <c r="A1519">
        <v>2025</v>
      </c>
      <c r="B1519" t="s">
        <v>3020</v>
      </c>
      <c r="C1519" s="1">
        <v>45713</v>
      </c>
      <c r="D1519" t="s">
        <v>3021</v>
      </c>
      <c r="E1519" s="2">
        <v>4040</v>
      </c>
      <c r="G1519" s="3">
        <f>MONTH(Tabela1[[#This Row],[Último pagto ano]])</f>
        <v>2</v>
      </c>
      <c r="H1519" t="str">
        <f>TEXT(Tabela1[[#This Row],[Coluna2]]*29,"mmmm")</f>
        <v>fevereiro</v>
      </c>
      <c r="I1519" t="str">
        <f>TEXT(MONTH(Tabela1[[#This Row],[Último pagto ano]])*29,"mmmm")</f>
        <v>fevereiro</v>
      </c>
    </row>
    <row r="1520" spans="1:9" x14ac:dyDescent="0.25">
      <c r="A1520">
        <v>2025</v>
      </c>
      <c r="B1520" t="s">
        <v>3022</v>
      </c>
      <c r="C1520" s="1">
        <v>46010</v>
      </c>
      <c r="D1520" t="s">
        <v>3023</v>
      </c>
      <c r="E1520" s="2">
        <v>1002279.32</v>
      </c>
      <c r="G1520" s="3">
        <f>MONTH(Tabela1[[#This Row],[Último pagto ano]])</f>
        <v>12</v>
      </c>
      <c r="H1520" t="str">
        <f>TEXT(Tabela1[[#This Row],[Coluna2]]*29,"mmmm")</f>
        <v>dezembro</v>
      </c>
      <c r="I1520" t="str">
        <f>TEXT(MONTH(Tabela1[[#This Row],[Último pagto ano]])*29,"mmmm")</f>
        <v>dezembro</v>
      </c>
    </row>
    <row r="1521" spans="1:9" x14ac:dyDescent="0.25">
      <c r="A1521">
        <v>2025</v>
      </c>
      <c r="B1521" t="s">
        <v>3024</v>
      </c>
      <c r="C1521" s="1">
        <v>45971</v>
      </c>
      <c r="D1521" t="s">
        <v>3025</v>
      </c>
      <c r="E1521" s="2">
        <v>1880</v>
      </c>
      <c r="G1521" s="3">
        <f>MONTH(Tabela1[[#This Row],[Último pagto ano]])</f>
        <v>11</v>
      </c>
      <c r="H1521" t="str">
        <f>TEXT(Tabela1[[#This Row],[Coluna2]]*29,"mmmm")</f>
        <v>novembro</v>
      </c>
      <c r="I1521" t="str">
        <f>TEXT(MONTH(Tabela1[[#This Row],[Último pagto ano]])*29,"mmmm")</f>
        <v>novembro</v>
      </c>
    </row>
    <row r="1522" spans="1:9" x14ac:dyDescent="0.25">
      <c r="A1522">
        <v>2025</v>
      </c>
      <c r="B1522" t="s">
        <v>3026</v>
      </c>
      <c r="C1522" s="1">
        <v>46014</v>
      </c>
      <c r="D1522" t="s">
        <v>3027</v>
      </c>
      <c r="E1522" s="2">
        <v>953348.1</v>
      </c>
      <c r="G1522" s="3">
        <f>MONTH(Tabela1[[#This Row],[Último pagto ano]])</f>
        <v>12</v>
      </c>
      <c r="H1522" t="str">
        <f>TEXT(Tabela1[[#This Row],[Coluna2]]*29,"mmmm")</f>
        <v>dezembro</v>
      </c>
      <c r="I1522" t="str">
        <f>TEXT(MONTH(Tabela1[[#This Row],[Último pagto ano]])*29,"mmmm")</f>
        <v>dezembro</v>
      </c>
    </row>
    <row r="1523" spans="1:9" x14ac:dyDescent="0.25">
      <c r="A1523">
        <v>2025</v>
      </c>
      <c r="B1523" t="s">
        <v>3028</v>
      </c>
      <c r="C1523" s="1">
        <v>45932</v>
      </c>
      <c r="D1523" t="s">
        <v>3029</v>
      </c>
      <c r="E1523" s="2">
        <v>4681.6000000000004</v>
      </c>
      <c r="G1523" s="3">
        <f>MONTH(Tabela1[[#This Row],[Último pagto ano]])</f>
        <v>10</v>
      </c>
      <c r="H1523" t="str">
        <f>TEXT(Tabela1[[#This Row],[Coluna2]]*29,"mmmm")</f>
        <v>outubro</v>
      </c>
      <c r="I1523" t="str">
        <f>TEXT(MONTH(Tabela1[[#This Row],[Último pagto ano]])*29,"mmmm")</f>
        <v>outubro</v>
      </c>
    </row>
    <row r="1524" spans="1:9" x14ac:dyDescent="0.25">
      <c r="A1524">
        <v>2025</v>
      </c>
      <c r="B1524" t="s">
        <v>3030</v>
      </c>
      <c r="C1524" s="1">
        <v>46021</v>
      </c>
      <c r="D1524" t="s">
        <v>3031</v>
      </c>
      <c r="E1524" s="2">
        <v>10132</v>
      </c>
      <c r="G1524" s="3">
        <f>MONTH(Tabela1[[#This Row],[Último pagto ano]])</f>
        <v>12</v>
      </c>
      <c r="H1524" t="str">
        <f>TEXT(Tabela1[[#This Row],[Coluna2]]*29,"mmmm")</f>
        <v>dezembro</v>
      </c>
      <c r="I1524" t="str">
        <f>TEXT(MONTH(Tabela1[[#This Row],[Último pagto ano]])*29,"mmmm")</f>
        <v>dezembro</v>
      </c>
    </row>
    <row r="1525" spans="1:9" x14ac:dyDescent="0.25">
      <c r="A1525">
        <v>2025</v>
      </c>
      <c r="B1525" t="s">
        <v>3032</v>
      </c>
      <c r="C1525" s="1">
        <v>45702</v>
      </c>
      <c r="D1525" t="s">
        <v>3033</v>
      </c>
      <c r="E1525">
        <v>22</v>
      </c>
      <c r="G1525" s="3">
        <f>MONTH(Tabela1[[#This Row],[Último pagto ano]])</f>
        <v>2</v>
      </c>
      <c r="H1525" t="str">
        <f>TEXT(Tabela1[[#This Row],[Coluna2]]*29,"mmmm")</f>
        <v>fevereiro</v>
      </c>
      <c r="I1525" t="str">
        <f>TEXT(MONTH(Tabela1[[#This Row],[Último pagto ano]])*29,"mmmm")</f>
        <v>fevereiro</v>
      </c>
    </row>
    <row r="1526" spans="1:9" x14ac:dyDescent="0.25">
      <c r="A1526">
        <v>2025</v>
      </c>
      <c r="B1526" t="s">
        <v>3034</v>
      </c>
      <c r="C1526" s="1">
        <v>46006</v>
      </c>
      <c r="D1526" t="s">
        <v>3035</v>
      </c>
      <c r="E1526" s="2">
        <v>2961.6</v>
      </c>
      <c r="G1526" s="3">
        <f>MONTH(Tabela1[[#This Row],[Último pagto ano]])</f>
        <v>12</v>
      </c>
      <c r="H1526" t="str">
        <f>TEXT(Tabela1[[#This Row],[Coluna2]]*29,"mmmm")</f>
        <v>dezembro</v>
      </c>
      <c r="I1526" t="str">
        <f>TEXT(MONTH(Tabela1[[#This Row],[Último pagto ano]])*29,"mmmm")</f>
        <v>dezembro</v>
      </c>
    </row>
    <row r="1527" spans="1:9" x14ac:dyDescent="0.25">
      <c r="A1527">
        <v>2025</v>
      </c>
      <c r="B1527" t="s">
        <v>3036</v>
      </c>
      <c r="C1527" s="1">
        <v>45673</v>
      </c>
      <c r="D1527" t="s">
        <v>3037</v>
      </c>
      <c r="E1527">
        <v>900</v>
      </c>
      <c r="G1527" s="3">
        <f>MONTH(Tabela1[[#This Row],[Último pagto ano]])</f>
        <v>1</v>
      </c>
      <c r="H1527" t="str">
        <f>TEXT(Tabela1[[#This Row],[Coluna2]]*29,"mmmm")</f>
        <v>janeiro</v>
      </c>
      <c r="I1527" t="str">
        <f>TEXT(MONTH(Tabela1[[#This Row],[Último pagto ano]])*29,"mmmm")</f>
        <v>janeiro</v>
      </c>
    </row>
    <row r="1528" spans="1:9" x14ac:dyDescent="0.25">
      <c r="A1528">
        <v>2025</v>
      </c>
      <c r="B1528" t="s">
        <v>3038</v>
      </c>
      <c r="C1528" s="1">
        <v>46006</v>
      </c>
      <c r="D1528" t="s">
        <v>3039</v>
      </c>
      <c r="E1528" s="2">
        <v>2638.88</v>
      </c>
      <c r="G1528" s="3">
        <f>MONTH(Tabela1[[#This Row],[Último pagto ano]])</f>
        <v>12</v>
      </c>
      <c r="H1528" t="str">
        <f>TEXT(Tabela1[[#This Row],[Coluna2]]*29,"mmmm")</f>
        <v>dezembro</v>
      </c>
      <c r="I1528" t="str">
        <f>TEXT(MONTH(Tabela1[[#This Row],[Último pagto ano]])*29,"mmmm")</f>
        <v>dezembro</v>
      </c>
    </row>
    <row r="1529" spans="1:9" x14ac:dyDescent="0.25">
      <c r="A1529">
        <v>2025</v>
      </c>
      <c r="B1529" t="s">
        <v>3040</v>
      </c>
      <c r="C1529" s="1">
        <v>45975</v>
      </c>
      <c r="D1529" t="s">
        <v>3041</v>
      </c>
      <c r="E1529" s="2">
        <v>5533.08</v>
      </c>
      <c r="G1529" s="3">
        <f>MONTH(Tabela1[[#This Row],[Último pagto ano]])</f>
        <v>11</v>
      </c>
      <c r="H1529" t="str">
        <f>TEXT(Tabela1[[#This Row],[Coluna2]]*29,"mmmm")</f>
        <v>novembro</v>
      </c>
      <c r="I1529" t="str">
        <f>TEXT(MONTH(Tabela1[[#This Row],[Último pagto ano]])*29,"mmmm")</f>
        <v>novembro</v>
      </c>
    </row>
    <row r="1530" spans="1:9" x14ac:dyDescent="0.25">
      <c r="A1530">
        <v>2025</v>
      </c>
      <c r="B1530" t="s">
        <v>3042</v>
      </c>
      <c r="C1530" s="1">
        <v>45832</v>
      </c>
      <c r="D1530" t="s">
        <v>3043</v>
      </c>
      <c r="E1530" s="2">
        <v>4200</v>
      </c>
      <c r="G1530" s="3">
        <f>MONTH(Tabela1[[#This Row],[Último pagto ano]])</f>
        <v>6</v>
      </c>
      <c r="H1530" t="str">
        <f>TEXT(Tabela1[[#This Row],[Coluna2]]*29,"mmmm")</f>
        <v>junho</v>
      </c>
      <c r="I1530" t="str">
        <f>TEXT(MONTH(Tabela1[[#This Row],[Último pagto ano]])*29,"mmmm")</f>
        <v>junho</v>
      </c>
    </row>
    <row r="1531" spans="1:9" x14ac:dyDescent="0.25">
      <c r="A1531">
        <v>2025</v>
      </c>
      <c r="B1531" t="s">
        <v>3044</v>
      </c>
      <c r="C1531" s="1">
        <v>46006</v>
      </c>
      <c r="D1531" t="s">
        <v>3045</v>
      </c>
      <c r="E1531" s="2">
        <v>4429.12</v>
      </c>
      <c r="G1531" s="3">
        <f>MONTH(Tabela1[[#This Row],[Último pagto ano]])</f>
        <v>12</v>
      </c>
      <c r="H1531" t="str">
        <f>TEXT(Tabela1[[#This Row],[Coluna2]]*29,"mmmm")</f>
        <v>dezembro</v>
      </c>
      <c r="I1531" t="str">
        <f>TEXT(MONTH(Tabela1[[#This Row],[Último pagto ano]])*29,"mmmm")</f>
        <v>dezembro</v>
      </c>
    </row>
    <row r="1532" spans="1:9" x14ac:dyDescent="0.25">
      <c r="A1532">
        <v>2025</v>
      </c>
      <c r="B1532" t="s">
        <v>3046</v>
      </c>
      <c r="C1532" s="1">
        <v>46006</v>
      </c>
      <c r="D1532" t="s">
        <v>3047</v>
      </c>
      <c r="E1532" s="2">
        <v>23320.080000000002</v>
      </c>
      <c r="G1532" s="3">
        <f>MONTH(Tabela1[[#This Row],[Último pagto ano]])</f>
        <v>12</v>
      </c>
      <c r="H1532" t="str">
        <f>TEXT(Tabela1[[#This Row],[Coluna2]]*29,"mmmm")</f>
        <v>dezembro</v>
      </c>
      <c r="I1532" t="str">
        <f>TEXT(MONTH(Tabela1[[#This Row],[Último pagto ano]])*29,"mmmm")</f>
        <v>dezembro</v>
      </c>
    </row>
    <row r="1533" spans="1:9" x14ac:dyDescent="0.25">
      <c r="A1533">
        <v>2025</v>
      </c>
      <c r="B1533" t="s">
        <v>3048</v>
      </c>
      <c r="C1533" s="1">
        <v>45897</v>
      </c>
      <c r="D1533" t="s">
        <v>3049</v>
      </c>
      <c r="E1533">
        <v>910.29</v>
      </c>
      <c r="G1533" s="3">
        <f>MONTH(Tabela1[[#This Row],[Último pagto ano]])</f>
        <v>8</v>
      </c>
      <c r="H1533" t="str">
        <f>TEXT(Tabela1[[#This Row],[Coluna2]]*29,"mmmm")</f>
        <v>agosto</v>
      </c>
      <c r="I1533" t="str">
        <f>TEXT(MONTH(Tabela1[[#This Row],[Último pagto ano]])*29,"mmmm")</f>
        <v>agosto</v>
      </c>
    </row>
    <row r="1534" spans="1:9" x14ac:dyDescent="0.25">
      <c r="A1534">
        <v>2025</v>
      </c>
      <c r="B1534" t="s">
        <v>3050</v>
      </c>
      <c r="C1534" s="1">
        <v>45792</v>
      </c>
      <c r="D1534" t="s">
        <v>3051</v>
      </c>
      <c r="E1534" s="2">
        <v>3465</v>
      </c>
      <c r="G1534" s="3">
        <f>MONTH(Tabela1[[#This Row],[Último pagto ano]])</f>
        <v>5</v>
      </c>
      <c r="H1534" t="str">
        <f>TEXT(Tabela1[[#This Row],[Coluna2]]*29,"mmmm")</f>
        <v>maio</v>
      </c>
      <c r="I1534" t="str">
        <f>TEXT(MONTH(Tabela1[[#This Row],[Último pagto ano]])*29,"mmmm")</f>
        <v>maio</v>
      </c>
    </row>
    <row r="1535" spans="1:9" x14ac:dyDescent="0.25">
      <c r="A1535">
        <v>2025</v>
      </c>
      <c r="B1535" t="s">
        <v>3052</v>
      </c>
      <c r="C1535" s="1">
        <v>45999</v>
      </c>
      <c r="D1535" t="s">
        <v>3053</v>
      </c>
      <c r="E1535" s="2">
        <v>306400.38</v>
      </c>
      <c r="G1535" s="3">
        <f>MONTH(Tabela1[[#This Row],[Último pagto ano]])</f>
        <v>12</v>
      </c>
      <c r="H1535" t="str">
        <f>TEXT(Tabela1[[#This Row],[Coluna2]]*29,"mmmm")</f>
        <v>dezembro</v>
      </c>
      <c r="I1535" t="str">
        <f>TEXT(MONTH(Tabela1[[#This Row],[Último pagto ano]])*29,"mmmm")</f>
        <v>dezembro</v>
      </c>
    </row>
    <row r="1536" spans="1:9" x14ac:dyDescent="0.25">
      <c r="A1536">
        <v>2025</v>
      </c>
      <c r="B1536" t="s">
        <v>3054</v>
      </c>
      <c r="C1536" s="1">
        <v>45887</v>
      </c>
      <c r="D1536" t="s">
        <v>3055</v>
      </c>
      <c r="E1536" s="2">
        <v>12120</v>
      </c>
      <c r="G1536" s="3">
        <f>MONTH(Tabela1[[#This Row],[Último pagto ano]])</f>
        <v>8</v>
      </c>
      <c r="H1536" t="str">
        <f>TEXT(Tabela1[[#This Row],[Coluna2]]*29,"mmmm")</f>
        <v>agosto</v>
      </c>
      <c r="I1536" t="str">
        <f>TEXT(MONTH(Tabela1[[#This Row],[Último pagto ano]])*29,"mmmm")</f>
        <v>agosto</v>
      </c>
    </row>
    <row r="1537" spans="1:9" x14ac:dyDescent="0.25">
      <c r="A1537">
        <v>2025</v>
      </c>
      <c r="B1537" t="s">
        <v>3056</v>
      </c>
      <c r="C1537" s="1">
        <v>46006</v>
      </c>
      <c r="D1537" t="s">
        <v>3057</v>
      </c>
      <c r="E1537" s="2">
        <v>8400</v>
      </c>
      <c r="G1537" s="3">
        <f>MONTH(Tabela1[[#This Row],[Último pagto ano]])</f>
        <v>12</v>
      </c>
      <c r="H1537" t="str">
        <f>TEXT(Tabela1[[#This Row],[Coluna2]]*29,"mmmm")</f>
        <v>dezembro</v>
      </c>
      <c r="I1537" t="str">
        <f>TEXT(MONTH(Tabela1[[#This Row],[Último pagto ano]])*29,"mmmm")</f>
        <v>dezembro</v>
      </c>
    </row>
    <row r="1538" spans="1:9" x14ac:dyDescent="0.25">
      <c r="A1538">
        <v>2025</v>
      </c>
      <c r="B1538" t="s">
        <v>3058</v>
      </c>
      <c r="C1538" s="1">
        <v>46013</v>
      </c>
      <c r="D1538" t="s">
        <v>3059</v>
      </c>
      <c r="E1538" s="2">
        <v>3322.8</v>
      </c>
      <c r="G1538" s="3">
        <f>MONTH(Tabela1[[#This Row],[Último pagto ano]])</f>
        <v>12</v>
      </c>
      <c r="H1538" t="str">
        <f>TEXT(Tabela1[[#This Row],[Coluna2]]*29,"mmmm")</f>
        <v>dezembro</v>
      </c>
      <c r="I1538" t="str">
        <f>TEXT(MONTH(Tabela1[[#This Row],[Último pagto ano]])*29,"mmmm")</f>
        <v>dezembro</v>
      </c>
    </row>
    <row r="1539" spans="1:9" x14ac:dyDescent="0.25">
      <c r="A1539">
        <v>2025</v>
      </c>
      <c r="B1539" t="s">
        <v>3060</v>
      </c>
      <c r="C1539" s="1">
        <v>45959</v>
      </c>
      <c r="D1539" t="s">
        <v>3061</v>
      </c>
      <c r="E1539" s="2">
        <v>7000</v>
      </c>
      <c r="G1539" s="3">
        <f>MONTH(Tabela1[[#This Row],[Último pagto ano]])</f>
        <v>10</v>
      </c>
      <c r="H1539" t="str">
        <f>TEXT(Tabela1[[#This Row],[Coluna2]]*29,"mmmm")</f>
        <v>outubro</v>
      </c>
      <c r="I1539" t="str">
        <f>TEXT(MONTH(Tabela1[[#This Row],[Último pagto ano]])*29,"mmmm")</f>
        <v>outubro</v>
      </c>
    </row>
    <row r="1540" spans="1:9" x14ac:dyDescent="0.25">
      <c r="A1540">
        <v>2025</v>
      </c>
      <c r="B1540" t="s">
        <v>3062</v>
      </c>
      <c r="C1540" s="1">
        <v>45831</v>
      </c>
      <c r="D1540" t="s">
        <v>3063</v>
      </c>
      <c r="E1540">
        <v>725</v>
      </c>
      <c r="G1540" s="3">
        <f>MONTH(Tabela1[[#This Row],[Último pagto ano]])</f>
        <v>6</v>
      </c>
      <c r="H1540" t="str">
        <f>TEXT(Tabela1[[#This Row],[Coluna2]]*29,"mmmm")</f>
        <v>junho</v>
      </c>
      <c r="I1540" t="str">
        <f>TEXT(MONTH(Tabela1[[#This Row],[Último pagto ano]])*29,"mmmm")</f>
        <v>junho</v>
      </c>
    </row>
    <row r="1541" spans="1:9" x14ac:dyDescent="0.25">
      <c r="A1541">
        <v>2025</v>
      </c>
      <c r="B1541" t="s">
        <v>3064</v>
      </c>
      <c r="C1541" s="1">
        <v>46010</v>
      </c>
      <c r="D1541" t="s">
        <v>3065</v>
      </c>
      <c r="E1541" s="2">
        <v>7000</v>
      </c>
      <c r="G1541" s="3">
        <f>MONTH(Tabela1[[#This Row],[Último pagto ano]])</f>
        <v>12</v>
      </c>
      <c r="H1541" t="str">
        <f>TEXT(Tabela1[[#This Row],[Coluna2]]*29,"mmmm")</f>
        <v>dezembro</v>
      </c>
      <c r="I1541" t="str">
        <f>TEXT(MONTH(Tabela1[[#This Row],[Último pagto ano]])*29,"mmmm")</f>
        <v>dezembro</v>
      </c>
    </row>
    <row r="1542" spans="1:9" x14ac:dyDescent="0.25">
      <c r="A1542">
        <v>2025</v>
      </c>
      <c r="B1542" t="s">
        <v>3066</v>
      </c>
      <c r="C1542" s="1">
        <v>45996</v>
      </c>
      <c r="D1542" t="s">
        <v>3067</v>
      </c>
      <c r="E1542" s="2">
        <v>42000</v>
      </c>
      <c r="G1542" s="3">
        <f>MONTH(Tabela1[[#This Row],[Último pagto ano]])</f>
        <v>12</v>
      </c>
      <c r="H1542" t="str">
        <f>TEXT(Tabela1[[#This Row],[Coluna2]]*29,"mmmm")</f>
        <v>dezembro</v>
      </c>
      <c r="I1542" t="str">
        <f>TEXT(MONTH(Tabela1[[#This Row],[Último pagto ano]])*29,"mmmm")</f>
        <v>dezembro</v>
      </c>
    </row>
    <row r="1543" spans="1:9" x14ac:dyDescent="0.25">
      <c r="A1543">
        <v>2025</v>
      </c>
      <c r="B1543" t="s">
        <v>3068</v>
      </c>
      <c r="C1543" s="1">
        <v>45761</v>
      </c>
      <c r="D1543" t="s">
        <v>3069</v>
      </c>
      <c r="E1543" s="2">
        <v>1695</v>
      </c>
      <c r="G1543" s="3">
        <f>MONTH(Tabela1[[#This Row],[Último pagto ano]])</f>
        <v>4</v>
      </c>
      <c r="H1543" t="str">
        <f>TEXT(Tabela1[[#This Row],[Coluna2]]*29,"mmmm")</f>
        <v>abril</v>
      </c>
      <c r="I1543" t="str">
        <f>TEXT(MONTH(Tabela1[[#This Row],[Último pagto ano]])*29,"mmmm")</f>
        <v>abril</v>
      </c>
    </row>
    <row r="1544" spans="1:9" x14ac:dyDescent="0.25">
      <c r="A1544">
        <v>2025</v>
      </c>
      <c r="B1544" t="s">
        <v>3070</v>
      </c>
      <c r="C1544" s="1">
        <v>46014</v>
      </c>
      <c r="D1544" t="s">
        <v>3071</v>
      </c>
      <c r="E1544" s="2">
        <v>5115</v>
      </c>
      <c r="G1544" s="3">
        <f>MONTH(Tabela1[[#This Row],[Último pagto ano]])</f>
        <v>12</v>
      </c>
      <c r="H1544" t="str">
        <f>TEXT(Tabela1[[#This Row],[Coluna2]]*29,"mmmm")</f>
        <v>dezembro</v>
      </c>
      <c r="I1544" t="str">
        <f>TEXT(MONTH(Tabela1[[#This Row],[Último pagto ano]])*29,"mmmm")</f>
        <v>dezembro</v>
      </c>
    </row>
    <row r="1545" spans="1:9" x14ac:dyDescent="0.25">
      <c r="A1545">
        <v>2025</v>
      </c>
      <c r="B1545" t="s">
        <v>3072</v>
      </c>
      <c r="C1545" s="1">
        <v>46021</v>
      </c>
      <c r="D1545" t="s">
        <v>3073</v>
      </c>
      <c r="E1545" s="2">
        <v>7510</v>
      </c>
      <c r="G1545" s="3">
        <f>MONTH(Tabela1[[#This Row],[Último pagto ano]])</f>
        <v>12</v>
      </c>
      <c r="H1545" t="str">
        <f>TEXT(Tabela1[[#This Row],[Coluna2]]*29,"mmmm")</f>
        <v>dezembro</v>
      </c>
      <c r="I1545" t="str">
        <f>TEXT(MONTH(Tabela1[[#This Row],[Último pagto ano]])*29,"mmmm")</f>
        <v>dezembro</v>
      </c>
    </row>
    <row r="1546" spans="1:9" x14ac:dyDescent="0.25">
      <c r="A1546">
        <v>2025</v>
      </c>
      <c r="B1546" t="s">
        <v>3074</v>
      </c>
      <c r="C1546" s="1">
        <v>45989</v>
      </c>
      <c r="D1546" t="s">
        <v>3075</v>
      </c>
      <c r="E1546" s="2">
        <v>3995.15</v>
      </c>
      <c r="G1546" s="3">
        <f>MONTH(Tabela1[[#This Row],[Último pagto ano]])</f>
        <v>11</v>
      </c>
      <c r="H1546" t="str">
        <f>TEXT(Tabela1[[#This Row],[Coluna2]]*29,"mmmm")</f>
        <v>novembro</v>
      </c>
      <c r="I1546" t="str">
        <f>TEXT(MONTH(Tabela1[[#This Row],[Último pagto ano]])*29,"mmmm")</f>
        <v>novembro</v>
      </c>
    </row>
    <row r="1547" spans="1:9" x14ac:dyDescent="0.25">
      <c r="A1547">
        <v>2025</v>
      </c>
      <c r="B1547" t="s">
        <v>3076</v>
      </c>
      <c r="C1547" s="1">
        <v>45841</v>
      </c>
      <c r="D1547" t="s">
        <v>3077</v>
      </c>
      <c r="E1547" s="2">
        <v>312910</v>
      </c>
      <c r="G1547" s="3">
        <f>MONTH(Tabela1[[#This Row],[Último pagto ano]])</f>
        <v>7</v>
      </c>
      <c r="H1547" t="str">
        <f>TEXT(Tabela1[[#This Row],[Coluna2]]*29,"mmmm")</f>
        <v>julho</v>
      </c>
      <c r="I1547" t="str">
        <f>TEXT(MONTH(Tabela1[[#This Row],[Último pagto ano]])*29,"mmmm")</f>
        <v>julho</v>
      </c>
    </row>
    <row r="1548" spans="1:9" x14ac:dyDescent="0.25">
      <c r="A1548">
        <v>2025</v>
      </c>
      <c r="B1548" t="s">
        <v>3078</v>
      </c>
      <c r="C1548" s="1">
        <v>45688</v>
      </c>
      <c r="D1548" t="s">
        <v>3079</v>
      </c>
      <c r="E1548" s="2">
        <v>1697.5</v>
      </c>
      <c r="G1548" s="3">
        <f>MONTH(Tabela1[[#This Row],[Último pagto ano]])</f>
        <v>1</v>
      </c>
      <c r="H1548" t="str">
        <f>TEXT(Tabela1[[#This Row],[Coluna2]]*29,"mmmm")</f>
        <v>janeiro</v>
      </c>
      <c r="I1548" t="str">
        <f>TEXT(MONTH(Tabela1[[#This Row],[Último pagto ano]])*29,"mmmm")</f>
        <v>janeiro</v>
      </c>
    </row>
    <row r="1549" spans="1:9" x14ac:dyDescent="0.25">
      <c r="A1549">
        <v>2025</v>
      </c>
      <c r="B1549" t="s">
        <v>3080</v>
      </c>
      <c r="C1549" s="1">
        <v>45924</v>
      </c>
      <c r="D1549" t="s">
        <v>3081</v>
      </c>
      <c r="E1549" s="2">
        <v>6300</v>
      </c>
      <c r="G1549" s="3">
        <f>MONTH(Tabela1[[#This Row],[Último pagto ano]])</f>
        <v>9</v>
      </c>
      <c r="H1549" t="str">
        <f>TEXT(Tabela1[[#This Row],[Coluna2]]*29,"mmmm")</f>
        <v>setembro</v>
      </c>
      <c r="I1549" t="str">
        <f>TEXT(MONTH(Tabela1[[#This Row],[Último pagto ano]])*29,"mmmm")</f>
        <v>setembro</v>
      </c>
    </row>
    <row r="1550" spans="1:9" x14ac:dyDescent="0.25">
      <c r="A1550">
        <v>2025</v>
      </c>
      <c r="B1550" t="s">
        <v>3082</v>
      </c>
      <c r="C1550" s="1">
        <v>45952</v>
      </c>
      <c r="D1550" t="s">
        <v>3083</v>
      </c>
      <c r="E1550" s="2">
        <v>16109.4</v>
      </c>
      <c r="G1550" s="3">
        <f>MONTH(Tabela1[[#This Row],[Último pagto ano]])</f>
        <v>10</v>
      </c>
      <c r="H1550" t="str">
        <f>TEXT(Tabela1[[#This Row],[Coluna2]]*29,"mmmm")</f>
        <v>outubro</v>
      </c>
      <c r="I1550" t="str">
        <f>TEXT(MONTH(Tabela1[[#This Row],[Último pagto ano]])*29,"mmmm")</f>
        <v>outubro</v>
      </c>
    </row>
    <row r="1551" spans="1:9" x14ac:dyDescent="0.25">
      <c r="A1551">
        <v>2025</v>
      </c>
      <c r="B1551" t="s">
        <v>3084</v>
      </c>
      <c r="C1551" s="1">
        <v>46002</v>
      </c>
      <c r="D1551" t="s">
        <v>3085</v>
      </c>
      <c r="E1551" s="2">
        <v>875307.42</v>
      </c>
      <c r="G1551" s="3">
        <f>MONTH(Tabela1[[#This Row],[Último pagto ano]])</f>
        <v>12</v>
      </c>
      <c r="H1551" t="str">
        <f>TEXT(Tabela1[[#This Row],[Coluna2]]*29,"mmmm")</f>
        <v>dezembro</v>
      </c>
      <c r="I1551" t="str">
        <f>TEXT(MONTH(Tabela1[[#This Row],[Último pagto ano]])*29,"mmmm")</f>
        <v>dezembro</v>
      </c>
    </row>
    <row r="1552" spans="1:9" x14ac:dyDescent="0.25">
      <c r="A1552">
        <v>2025</v>
      </c>
      <c r="B1552" t="s">
        <v>3086</v>
      </c>
      <c r="C1552" s="1">
        <v>45985</v>
      </c>
      <c r="D1552" t="s">
        <v>3087</v>
      </c>
      <c r="E1552" s="2">
        <v>34286.800000000003</v>
      </c>
      <c r="G1552" s="3">
        <f>MONTH(Tabela1[[#This Row],[Último pagto ano]])</f>
        <v>11</v>
      </c>
      <c r="H1552" t="str">
        <f>TEXT(Tabela1[[#This Row],[Coluna2]]*29,"mmmm")</f>
        <v>novembro</v>
      </c>
      <c r="I1552" t="str">
        <f>TEXT(MONTH(Tabela1[[#This Row],[Último pagto ano]])*29,"mmmm")</f>
        <v>novembro</v>
      </c>
    </row>
    <row r="1553" spans="1:9" x14ac:dyDescent="0.25">
      <c r="A1553">
        <v>2025</v>
      </c>
      <c r="B1553" t="s">
        <v>3088</v>
      </c>
      <c r="C1553" s="1">
        <v>45954</v>
      </c>
      <c r="D1553" t="s">
        <v>3089</v>
      </c>
      <c r="E1553" s="2">
        <v>100197.9</v>
      </c>
      <c r="G1553" s="3">
        <f>MONTH(Tabela1[[#This Row],[Último pagto ano]])</f>
        <v>10</v>
      </c>
      <c r="H1553" t="str">
        <f>TEXT(Tabela1[[#This Row],[Coluna2]]*29,"mmmm")</f>
        <v>outubro</v>
      </c>
      <c r="I1553" t="str">
        <f>TEXT(MONTH(Tabela1[[#This Row],[Último pagto ano]])*29,"mmmm")</f>
        <v>outubro</v>
      </c>
    </row>
    <row r="1554" spans="1:9" x14ac:dyDescent="0.25">
      <c r="A1554">
        <v>2025</v>
      </c>
      <c r="B1554" t="s">
        <v>3090</v>
      </c>
      <c r="C1554" s="1">
        <v>45996</v>
      </c>
      <c r="D1554" t="s">
        <v>3091</v>
      </c>
      <c r="E1554" s="2">
        <v>32130</v>
      </c>
      <c r="G1554" s="3">
        <f>MONTH(Tabela1[[#This Row],[Último pagto ano]])</f>
        <v>12</v>
      </c>
      <c r="H1554" t="str">
        <f>TEXT(Tabela1[[#This Row],[Coluna2]]*29,"mmmm")</f>
        <v>dezembro</v>
      </c>
      <c r="I1554" t="str">
        <f>TEXT(MONTH(Tabela1[[#This Row],[Último pagto ano]])*29,"mmmm")</f>
        <v>dezembro</v>
      </c>
    </row>
    <row r="1555" spans="1:9" x14ac:dyDescent="0.25">
      <c r="A1555">
        <v>2025</v>
      </c>
      <c r="B1555" t="s">
        <v>3092</v>
      </c>
      <c r="C1555" s="1">
        <v>45996</v>
      </c>
      <c r="D1555" t="s">
        <v>3093</v>
      </c>
      <c r="E1555" s="2">
        <v>43483</v>
      </c>
      <c r="G1555" s="3">
        <f>MONTH(Tabela1[[#This Row],[Último pagto ano]])</f>
        <v>12</v>
      </c>
      <c r="H1555" t="str">
        <f>TEXT(Tabela1[[#This Row],[Coluna2]]*29,"mmmm")</f>
        <v>dezembro</v>
      </c>
      <c r="I1555" t="str">
        <f>TEXT(MONTH(Tabela1[[#This Row],[Último pagto ano]])*29,"mmmm")</f>
        <v>dezembro</v>
      </c>
    </row>
    <row r="1556" spans="1:9" x14ac:dyDescent="0.25">
      <c r="A1556">
        <v>2025</v>
      </c>
      <c r="B1556" t="s">
        <v>3094</v>
      </c>
      <c r="C1556" s="1">
        <v>46010</v>
      </c>
      <c r="D1556" t="s">
        <v>3095</v>
      </c>
      <c r="E1556" s="2">
        <v>6300</v>
      </c>
      <c r="G1556" s="3">
        <f>MONTH(Tabela1[[#This Row],[Último pagto ano]])</f>
        <v>12</v>
      </c>
      <c r="H1556" t="str">
        <f>TEXT(Tabela1[[#This Row],[Coluna2]]*29,"mmmm")</f>
        <v>dezembro</v>
      </c>
      <c r="I1556" t="str">
        <f>TEXT(MONTH(Tabela1[[#This Row],[Último pagto ano]])*29,"mmmm")</f>
        <v>dezembro</v>
      </c>
    </row>
    <row r="1557" spans="1:9" x14ac:dyDescent="0.25">
      <c r="A1557">
        <v>2025</v>
      </c>
      <c r="B1557" t="s">
        <v>3096</v>
      </c>
      <c r="C1557" s="1">
        <v>46006</v>
      </c>
      <c r="D1557" t="s">
        <v>3097</v>
      </c>
      <c r="E1557" s="2">
        <v>6219.36</v>
      </c>
      <c r="G1557" s="3">
        <f>MONTH(Tabela1[[#This Row],[Último pagto ano]])</f>
        <v>12</v>
      </c>
      <c r="H1557" t="str">
        <f>TEXT(Tabela1[[#This Row],[Coluna2]]*29,"mmmm")</f>
        <v>dezembro</v>
      </c>
      <c r="I1557" t="str">
        <f>TEXT(MONTH(Tabela1[[#This Row],[Último pagto ano]])*29,"mmmm")</f>
        <v>dezembro</v>
      </c>
    </row>
    <row r="1558" spans="1:9" x14ac:dyDescent="0.25">
      <c r="A1558">
        <v>2025</v>
      </c>
      <c r="B1558" t="s">
        <v>3098</v>
      </c>
      <c r="C1558" s="1">
        <v>45915</v>
      </c>
      <c r="D1558" t="s">
        <v>3099</v>
      </c>
      <c r="E1558">
        <v>399.22</v>
      </c>
      <c r="G1558" s="3">
        <f>MONTH(Tabela1[[#This Row],[Último pagto ano]])</f>
        <v>9</v>
      </c>
      <c r="H1558" t="str">
        <f>TEXT(Tabela1[[#This Row],[Coluna2]]*29,"mmmm")</f>
        <v>setembro</v>
      </c>
      <c r="I1558" t="str">
        <f>TEXT(MONTH(Tabela1[[#This Row],[Último pagto ano]])*29,"mmmm")</f>
        <v>setembro</v>
      </c>
    </row>
    <row r="1559" spans="1:9" x14ac:dyDescent="0.25">
      <c r="A1559">
        <v>2025</v>
      </c>
      <c r="B1559" t="s">
        <v>3100</v>
      </c>
      <c r="C1559" s="1">
        <v>45968</v>
      </c>
      <c r="D1559" t="s">
        <v>3101</v>
      </c>
      <c r="E1559" s="2">
        <v>5000</v>
      </c>
      <c r="G1559" s="3">
        <f>MONTH(Tabela1[[#This Row],[Último pagto ano]])</f>
        <v>11</v>
      </c>
      <c r="H1559" t="str">
        <f>TEXT(Tabela1[[#This Row],[Coluna2]]*29,"mmmm")</f>
        <v>novembro</v>
      </c>
      <c r="I1559" t="str">
        <f>TEXT(MONTH(Tabela1[[#This Row],[Último pagto ano]])*29,"mmmm")</f>
        <v>novembro</v>
      </c>
    </row>
    <row r="1560" spans="1:9" x14ac:dyDescent="0.25">
      <c r="A1560">
        <v>2025</v>
      </c>
      <c r="B1560" t="s">
        <v>3102</v>
      </c>
      <c r="C1560" s="1">
        <v>45996</v>
      </c>
      <c r="D1560" t="s">
        <v>3103</v>
      </c>
      <c r="E1560" s="2">
        <v>45400</v>
      </c>
      <c r="G1560" s="3">
        <f>MONTH(Tabela1[[#This Row],[Último pagto ano]])</f>
        <v>12</v>
      </c>
      <c r="H1560" t="str">
        <f>TEXT(Tabela1[[#This Row],[Coluna2]]*29,"mmmm")</f>
        <v>dezembro</v>
      </c>
      <c r="I1560" t="str">
        <f>TEXT(MONTH(Tabela1[[#This Row],[Último pagto ano]])*29,"mmmm")</f>
        <v>dezembro</v>
      </c>
    </row>
    <row r="1561" spans="1:9" x14ac:dyDescent="0.25">
      <c r="A1561">
        <v>2025</v>
      </c>
      <c r="B1561" t="s">
        <v>3104</v>
      </c>
      <c r="C1561" s="1">
        <v>46021</v>
      </c>
      <c r="D1561" t="s">
        <v>3105</v>
      </c>
      <c r="E1561" s="2">
        <v>1093.3699999999999</v>
      </c>
      <c r="G1561" s="3">
        <f>MONTH(Tabela1[[#This Row],[Último pagto ano]])</f>
        <v>12</v>
      </c>
      <c r="H1561" t="str">
        <f>TEXT(Tabela1[[#This Row],[Coluna2]]*29,"mmmm")</f>
        <v>dezembro</v>
      </c>
      <c r="I1561" t="str">
        <f>TEXT(MONTH(Tabela1[[#This Row],[Último pagto ano]])*29,"mmmm")</f>
        <v>dezembro</v>
      </c>
    </row>
    <row r="1562" spans="1:9" x14ac:dyDescent="0.25">
      <c r="A1562">
        <v>2025</v>
      </c>
      <c r="B1562" t="s">
        <v>3106</v>
      </c>
      <c r="C1562" s="1">
        <v>45672</v>
      </c>
      <c r="D1562" t="s">
        <v>3107</v>
      </c>
      <c r="E1562" s="2">
        <v>1000</v>
      </c>
      <c r="G1562" s="3">
        <f>MONTH(Tabela1[[#This Row],[Último pagto ano]])</f>
        <v>1</v>
      </c>
      <c r="H1562" t="str">
        <f>TEXT(Tabela1[[#This Row],[Coluna2]]*29,"mmmm")</f>
        <v>janeiro</v>
      </c>
      <c r="I1562" t="str">
        <f>TEXT(MONTH(Tabela1[[#This Row],[Último pagto ano]])*29,"mmmm")</f>
        <v>janeiro</v>
      </c>
    </row>
    <row r="1563" spans="1:9" x14ac:dyDescent="0.25">
      <c r="A1563">
        <v>2025</v>
      </c>
      <c r="B1563" t="s">
        <v>3108</v>
      </c>
      <c r="C1563" s="1">
        <v>45988</v>
      </c>
      <c r="D1563" t="s">
        <v>3109</v>
      </c>
      <c r="E1563" s="2">
        <v>1242</v>
      </c>
      <c r="G1563" s="3">
        <f>MONTH(Tabela1[[#This Row],[Último pagto ano]])</f>
        <v>11</v>
      </c>
      <c r="H1563" t="str">
        <f>TEXT(Tabela1[[#This Row],[Coluna2]]*29,"mmmm")</f>
        <v>novembro</v>
      </c>
      <c r="I1563" t="str">
        <f>TEXT(MONTH(Tabela1[[#This Row],[Último pagto ano]])*29,"mmmm")</f>
        <v>novembro</v>
      </c>
    </row>
    <row r="1564" spans="1:9" x14ac:dyDescent="0.25">
      <c r="A1564">
        <v>2025</v>
      </c>
      <c r="B1564" t="s">
        <v>3110</v>
      </c>
      <c r="C1564" s="1">
        <v>45917</v>
      </c>
      <c r="D1564" t="s">
        <v>3111</v>
      </c>
      <c r="E1564" s="2">
        <v>3732.64</v>
      </c>
      <c r="G1564" s="3">
        <f>MONTH(Tabela1[[#This Row],[Último pagto ano]])</f>
        <v>9</v>
      </c>
      <c r="H1564" t="str">
        <f>TEXT(Tabela1[[#This Row],[Coluna2]]*29,"mmmm")</f>
        <v>setembro</v>
      </c>
      <c r="I1564" t="str">
        <f>TEXT(MONTH(Tabela1[[#This Row],[Último pagto ano]])*29,"mmmm")</f>
        <v>setembro</v>
      </c>
    </row>
    <row r="1565" spans="1:9" x14ac:dyDescent="0.25">
      <c r="A1565">
        <v>2025</v>
      </c>
      <c r="B1565" t="s">
        <v>3112</v>
      </c>
      <c r="C1565" s="1">
        <v>45866</v>
      </c>
      <c r="D1565" t="s">
        <v>3113</v>
      </c>
      <c r="E1565">
        <v>4.3099999999999996</v>
      </c>
      <c r="G1565" s="3">
        <f>MONTH(Tabela1[[#This Row],[Último pagto ano]])</f>
        <v>7</v>
      </c>
      <c r="H1565" t="str">
        <f>TEXT(Tabela1[[#This Row],[Coluna2]]*29,"mmmm")</f>
        <v>julho</v>
      </c>
      <c r="I1565" t="str">
        <f>TEXT(MONTH(Tabela1[[#This Row],[Último pagto ano]])*29,"mmmm")</f>
        <v>julho</v>
      </c>
    </row>
    <row r="1566" spans="1:9" x14ac:dyDescent="0.25">
      <c r="A1566">
        <v>2025</v>
      </c>
      <c r="B1566" t="s">
        <v>3114</v>
      </c>
      <c r="C1566" s="1">
        <v>46006</v>
      </c>
      <c r="D1566" t="s">
        <v>3115</v>
      </c>
      <c r="E1566" s="2">
        <v>9437.2800000000007</v>
      </c>
      <c r="G1566" s="3">
        <f>MONTH(Tabela1[[#This Row],[Último pagto ano]])</f>
        <v>12</v>
      </c>
      <c r="H1566" t="str">
        <f>TEXT(Tabela1[[#This Row],[Coluna2]]*29,"mmmm")</f>
        <v>dezembro</v>
      </c>
      <c r="I1566" t="str">
        <f>TEXT(MONTH(Tabela1[[#This Row],[Último pagto ano]])*29,"mmmm")</f>
        <v>dezembro</v>
      </c>
    </row>
    <row r="1567" spans="1:9" x14ac:dyDescent="0.25">
      <c r="A1567">
        <v>2025</v>
      </c>
      <c r="B1567" t="s">
        <v>3116</v>
      </c>
      <c r="C1567" s="1">
        <v>45968</v>
      </c>
      <c r="D1567" t="s">
        <v>3117</v>
      </c>
      <c r="E1567" s="2">
        <v>8800</v>
      </c>
      <c r="G1567" s="3">
        <f>MONTH(Tabela1[[#This Row],[Último pagto ano]])</f>
        <v>11</v>
      </c>
      <c r="H1567" t="str">
        <f>TEXT(Tabela1[[#This Row],[Coluna2]]*29,"mmmm")</f>
        <v>novembro</v>
      </c>
      <c r="I1567" t="str">
        <f>TEXT(MONTH(Tabela1[[#This Row],[Último pagto ano]])*29,"mmmm")</f>
        <v>novembro</v>
      </c>
    </row>
    <row r="1568" spans="1:9" x14ac:dyDescent="0.25">
      <c r="A1568">
        <v>2025</v>
      </c>
      <c r="B1568" t="s">
        <v>3118</v>
      </c>
      <c r="C1568" s="1">
        <v>45845</v>
      </c>
      <c r="D1568" t="s">
        <v>3119</v>
      </c>
      <c r="E1568">
        <v>590.78</v>
      </c>
      <c r="G1568" s="3">
        <f>MONTH(Tabela1[[#This Row],[Último pagto ano]])</f>
        <v>7</v>
      </c>
      <c r="H1568" t="str">
        <f>TEXT(Tabela1[[#This Row],[Coluna2]]*29,"mmmm")</f>
        <v>julho</v>
      </c>
      <c r="I1568" t="str">
        <f>TEXT(MONTH(Tabela1[[#This Row],[Último pagto ano]])*29,"mmmm")</f>
        <v>julho</v>
      </c>
    </row>
    <row r="1569" spans="1:9" x14ac:dyDescent="0.25">
      <c r="A1569">
        <v>2025</v>
      </c>
      <c r="B1569" t="s">
        <v>3120</v>
      </c>
      <c r="C1569" s="1">
        <v>46014</v>
      </c>
      <c r="D1569" t="s">
        <v>3121</v>
      </c>
      <c r="E1569" s="2">
        <v>1357.88</v>
      </c>
      <c r="G1569" s="3">
        <f>MONTH(Tabela1[[#This Row],[Último pagto ano]])</f>
        <v>12</v>
      </c>
      <c r="H1569" t="str">
        <f>TEXT(Tabela1[[#This Row],[Coluna2]]*29,"mmmm")</f>
        <v>dezembro</v>
      </c>
      <c r="I1569" t="str">
        <f>TEXT(MONTH(Tabela1[[#This Row],[Último pagto ano]])*29,"mmmm")</f>
        <v>dezembro</v>
      </c>
    </row>
    <row r="1570" spans="1:9" x14ac:dyDescent="0.25">
      <c r="A1570">
        <v>2025</v>
      </c>
      <c r="B1570" t="s">
        <v>3122</v>
      </c>
      <c r="C1570" s="1">
        <v>46021</v>
      </c>
      <c r="D1570" t="s">
        <v>3123</v>
      </c>
      <c r="E1570" s="2">
        <v>15838438.140000001</v>
      </c>
      <c r="G1570" s="3">
        <f>MONTH(Tabela1[[#This Row],[Último pagto ano]])</f>
        <v>12</v>
      </c>
      <c r="H1570" t="str">
        <f>TEXT(Tabela1[[#This Row],[Coluna2]]*29,"mmmm")</f>
        <v>dezembro</v>
      </c>
      <c r="I1570" t="str">
        <f>TEXT(MONTH(Tabela1[[#This Row],[Último pagto ano]])*29,"mmmm")</f>
        <v>dezembro</v>
      </c>
    </row>
    <row r="1571" spans="1:9" x14ac:dyDescent="0.25">
      <c r="A1571">
        <v>2025</v>
      </c>
      <c r="B1571" t="s">
        <v>3124</v>
      </c>
      <c r="C1571" s="1">
        <v>45813</v>
      </c>
      <c r="D1571" t="s">
        <v>3125</v>
      </c>
      <c r="E1571" s="2">
        <v>82964.960000000006</v>
      </c>
      <c r="G1571" s="3">
        <f>MONTH(Tabela1[[#This Row],[Último pagto ano]])</f>
        <v>6</v>
      </c>
      <c r="H1571" t="str">
        <f>TEXT(Tabela1[[#This Row],[Coluna2]]*29,"mmmm")</f>
        <v>junho</v>
      </c>
      <c r="I1571" t="str">
        <f>TEXT(MONTH(Tabela1[[#This Row],[Último pagto ano]])*29,"mmmm")</f>
        <v>junho</v>
      </c>
    </row>
    <row r="1572" spans="1:9" x14ac:dyDescent="0.25">
      <c r="A1572">
        <v>2025</v>
      </c>
      <c r="B1572" t="s">
        <v>3124</v>
      </c>
      <c r="C1572" s="1">
        <v>45950</v>
      </c>
      <c r="D1572" t="s">
        <v>3126</v>
      </c>
      <c r="E1572" s="2">
        <v>239635.22</v>
      </c>
      <c r="G1572" s="3">
        <f>MONTH(Tabela1[[#This Row],[Último pagto ano]])</f>
        <v>10</v>
      </c>
      <c r="H1572" t="str">
        <f>TEXT(Tabela1[[#This Row],[Coluna2]]*29,"mmmm")</f>
        <v>outubro</v>
      </c>
      <c r="I1572" t="str">
        <f>TEXT(MONTH(Tabela1[[#This Row],[Último pagto ano]])*29,"mmmm")</f>
        <v>outubro</v>
      </c>
    </row>
    <row r="1573" spans="1:9" x14ac:dyDescent="0.25">
      <c r="A1573">
        <v>2025</v>
      </c>
      <c r="B1573" t="s">
        <v>3127</v>
      </c>
      <c r="C1573" s="1">
        <v>45793</v>
      </c>
      <c r="D1573" t="s">
        <v>3128</v>
      </c>
      <c r="E1573">
        <v>4.95</v>
      </c>
      <c r="G1573" s="3">
        <f>MONTH(Tabela1[[#This Row],[Último pagto ano]])</f>
        <v>5</v>
      </c>
      <c r="H1573" t="str">
        <f>TEXT(Tabela1[[#This Row],[Coluna2]]*29,"mmmm")</f>
        <v>maio</v>
      </c>
      <c r="I1573" t="str">
        <f>TEXT(MONTH(Tabela1[[#This Row],[Último pagto ano]])*29,"mmmm")</f>
        <v>maio</v>
      </c>
    </row>
    <row r="1574" spans="1:9" x14ac:dyDescent="0.25">
      <c r="A1574">
        <v>2025</v>
      </c>
      <c r="B1574" t="s">
        <v>3129</v>
      </c>
      <c r="C1574" s="1">
        <v>46013</v>
      </c>
      <c r="D1574" t="s">
        <v>3130</v>
      </c>
      <c r="E1574" s="2">
        <v>1084.2</v>
      </c>
      <c r="G1574" s="3">
        <f>MONTH(Tabela1[[#This Row],[Último pagto ano]])</f>
        <v>12</v>
      </c>
      <c r="H1574" t="str">
        <f>TEXT(Tabela1[[#This Row],[Coluna2]]*29,"mmmm")</f>
        <v>dezembro</v>
      </c>
      <c r="I1574" t="str">
        <f>TEXT(MONTH(Tabela1[[#This Row],[Último pagto ano]])*29,"mmmm")</f>
        <v>dezembro</v>
      </c>
    </row>
    <row r="1575" spans="1:9" x14ac:dyDescent="0.25">
      <c r="A1575">
        <v>2025</v>
      </c>
      <c r="B1575" t="s">
        <v>3131</v>
      </c>
      <c r="C1575" s="1">
        <v>45919</v>
      </c>
      <c r="D1575" t="s">
        <v>3132</v>
      </c>
      <c r="E1575">
        <v>5.52</v>
      </c>
      <c r="G1575" s="3">
        <f>MONTH(Tabela1[[#This Row],[Último pagto ano]])</f>
        <v>9</v>
      </c>
      <c r="H1575" t="str">
        <f>TEXT(Tabela1[[#This Row],[Coluna2]]*29,"mmmm")</f>
        <v>setembro</v>
      </c>
      <c r="I1575" t="str">
        <f>TEXT(MONTH(Tabela1[[#This Row],[Último pagto ano]])*29,"mmmm")</f>
        <v>setembro</v>
      </c>
    </row>
    <row r="1576" spans="1:9" x14ac:dyDescent="0.25">
      <c r="A1576">
        <v>2025</v>
      </c>
      <c r="B1576" t="s">
        <v>3133</v>
      </c>
      <c r="C1576" s="1">
        <v>46010</v>
      </c>
      <c r="D1576" t="s">
        <v>3134</v>
      </c>
      <c r="E1576" s="2">
        <v>8400</v>
      </c>
      <c r="G1576" s="3">
        <f>MONTH(Tabela1[[#This Row],[Último pagto ano]])</f>
        <v>12</v>
      </c>
      <c r="H1576" t="str">
        <f>TEXT(Tabela1[[#This Row],[Coluna2]]*29,"mmmm")</f>
        <v>dezembro</v>
      </c>
      <c r="I1576" t="str">
        <f>TEXT(MONTH(Tabela1[[#This Row],[Último pagto ano]])*29,"mmmm")</f>
        <v>dezembro</v>
      </c>
    </row>
    <row r="1577" spans="1:9" x14ac:dyDescent="0.25">
      <c r="A1577">
        <v>2025</v>
      </c>
      <c r="B1577" t="s">
        <v>3135</v>
      </c>
      <c r="C1577" s="1">
        <v>46000</v>
      </c>
      <c r="D1577" t="s">
        <v>3136</v>
      </c>
      <c r="E1577" s="2">
        <v>2700</v>
      </c>
      <c r="G1577" s="3">
        <f>MONTH(Tabela1[[#This Row],[Último pagto ano]])</f>
        <v>12</v>
      </c>
      <c r="H1577" t="str">
        <f>TEXT(Tabela1[[#This Row],[Coluna2]]*29,"mmmm")</f>
        <v>dezembro</v>
      </c>
      <c r="I1577" t="str">
        <f>TEXT(MONTH(Tabela1[[#This Row],[Último pagto ano]])*29,"mmmm")</f>
        <v>dezembro</v>
      </c>
    </row>
    <row r="1578" spans="1:9" x14ac:dyDescent="0.25">
      <c r="A1578">
        <v>2025</v>
      </c>
      <c r="B1578" t="s">
        <v>3137</v>
      </c>
      <c r="C1578" s="1">
        <v>45937</v>
      </c>
      <c r="D1578" t="s">
        <v>3138</v>
      </c>
      <c r="E1578">
        <v>11</v>
      </c>
      <c r="G1578" s="3">
        <f>MONTH(Tabela1[[#This Row],[Último pagto ano]])</f>
        <v>10</v>
      </c>
      <c r="H1578" t="str">
        <f>TEXT(Tabela1[[#This Row],[Coluna2]]*29,"mmmm")</f>
        <v>outubro</v>
      </c>
      <c r="I1578" t="str">
        <f>TEXT(MONTH(Tabela1[[#This Row],[Último pagto ano]])*29,"mmmm")</f>
        <v>outubro</v>
      </c>
    </row>
    <row r="1579" spans="1:9" x14ac:dyDescent="0.25">
      <c r="A1579">
        <v>2025</v>
      </c>
      <c r="B1579" t="s">
        <v>3139</v>
      </c>
      <c r="C1579" s="1">
        <v>46010</v>
      </c>
      <c r="D1579" t="s">
        <v>3140</v>
      </c>
      <c r="E1579" s="2">
        <v>7800</v>
      </c>
      <c r="G1579" s="3">
        <f>MONTH(Tabela1[[#This Row],[Último pagto ano]])</f>
        <v>12</v>
      </c>
      <c r="H1579" t="str">
        <f>TEXT(Tabela1[[#This Row],[Coluna2]]*29,"mmmm")</f>
        <v>dezembro</v>
      </c>
      <c r="I1579" t="str">
        <f>TEXT(MONTH(Tabela1[[#This Row],[Último pagto ano]])*29,"mmmm")</f>
        <v>dezembro</v>
      </c>
    </row>
    <row r="1580" spans="1:9" x14ac:dyDescent="0.25">
      <c r="A1580">
        <v>2025</v>
      </c>
      <c r="B1580" t="s">
        <v>3141</v>
      </c>
      <c r="C1580" s="1">
        <v>45999</v>
      </c>
      <c r="D1580" t="s">
        <v>3142</v>
      </c>
      <c r="E1580">
        <v>154</v>
      </c>
      <c r="G1580" s="3">
        <f>MONTH(Tabela1[[#This Row],[Último pagto ano]])</f>
        <v>12</v>
      </c>
      <c r="H1580" t="str">
        <f>TEXT(Tabela1[[#This Row],[Coluna2]]*29,"mmmm")</f>
        <v>dezembro</v>
      </c>
      <c r="I1580" t="str">
        <f>TEXT(MONTH(Tabela1[[#This Row],[Último pagto ano]])*29,"mmmm")</f>
        <v>dezembro</v>
      </c>
    </row>
    <row r="1581" spans="1:9" x14ac:dyDescent="0.25">
      <c r="A1581">
        <v>2025</v>
      </c>
      <c r="B1581" t="s">
        <v>3143</v>
      </c>
      <c r="C1581" s="1">
        <v>45995</v>
      </c>
      <c r="D1581" t="s">
        <v>3144</v>
      </c>
      <c r="E1581">
        <v>264</v>
      </c>
      <c r="G1581" s="3">
        <f>MONTH(Tabela1[[#This Row],[Último pagto ano]])</f>
        <v>12</v>
      </c>
      <c r="H1581" t="str">
        <f>TEXT(Tabela1[[#This Row],[Coluna2]]*29,"mmmm")</f>
        <v>dezembro</v>
      </c>
      <c r="I1581" t="str">
        <f>TEXT(MONTH(Tabela1[[#This Row],[Último pagto ano]])*29,"mmmm")</f>
        <v>dezembro</v>
      </c>
    </row>
    <row r="1582" spans="1:9" x14ac:dyDescent="0.25">
      <c r="A1582">
        <v>2025</v>
      </c>
      <c r="B1582" t="s">
        <v>3145</v>
      </c>
      <c r="C1582" s="1">
        <v>46009</v>
      </c>
      <c r="D1582" t="s">
        <v>3146</v>
      </c>
      <c r="E1582" s="2">
        <v>40384.199999999997</v>
      </c>
      <c r="G1582" s="3">
        <f>MONTH(Tabela1[[#This Row],[Último pagto ano]])</f>
        <v>12</v>
      </c>
      <c r="H1582" t="str">
        <f>TEXT(Tabela1[[#This Row],[Coluna2]]*29,"mmmm")</f>
        <v>dezembro</v>
      </c>
      <c r="I1582" t="str">
        <f>TEXT(MONTH(Tabela1[[#This Row],[Último pagto ano]])*29,"mmmm")</f>
        <v>dezembro</v>
      </c>
    </row>
    <row r="1583" spans="1:9" x14ac:dyDescent="0.25">
      <c r="A1583">
        <v>2025</v>
      </c>
      <c r="B1583" t="s">
        <v>3147</v>
      </c>
      <c r="C1583" s="1">
        <v>45824</v>
      </c>
      <c r="D1583" t="s">
        <v>3148</v>
      </c>
      <c r="E1583">
        <v>110</v>
      </c>
      <c r="G1583" s="3">
        <f>MONTH(Tabela1[[#This Row],[Último pagto ano]])</f>
        <v>6</v>
      </c>
      <c r="H1583" t="str">
        <f>TEXT(Tabela1[[#This Row],[Coluna2]]*29,"mmmm")</f>
        <v>junho</v>
      </c>
      <c r="I1583" t="str">
        <f>TEXT(MONTH(Tabela1[[#This Row],[Último pagto ano]])*29,"mmmm")</f>
        <v>junho</v>
      </c>
    </row>
    <row r="1584" spans="1:9" x14ac:dyDescent="0.25">
      <c r="A1584">
        <v>2025</v>
      </c>
      <c r="B1584" t="s">
        <v>3149</v>
      </c>
      <c r="C1584" s="1">
        <v>45988</v>
      </c>
      <c r="D1584" t="s">
        <v>3150</v>
      </c>
      <c r="E1584" s="2">
        <v>14730029.539999999</v>
      </c>
      <c r="G1584" s="3">
        <f>MONTH(Tabela1[[#This Row],[Último pagto ano]])</f>
        <v>11</v>
      </c>
      <c r="H1584" t="str">
        <f>TEXT(Tabela1[[#This Row],[Coluna2]]*29,"mmmm")</f>
        <v>novembro</v>
      </c>
      <c r="I1584" t="str">
        <f>TEXT(MONTH(Tabela1[[#This Row],[Último pagto ano]])*29,"mmmm")</f>
        <v>novembro</v>
      </c>
    </row>
    <row r="1585" spans="1:9" x14ac:dyDescent="0.25">
      <c r="A1585">
        <v>2025</v>
      </c>
      <c r="B1585" t="s">
        <v>3151</v>
      </c>
      <c r="C1585" s="1">
        <v>45777</v>
      </c>
      <c r="D1585" t="s">
        <v>3152</v>
      </c>
      <c r="E1585" s="2">
        <v>6030.83</v>
      </c>
      <c r="G1585" s="3">
        <f>MONTH(Tabela1[[#This Row],[Último pagto ano]])</f>
        <v>4</v>
      </c>
      <c r="H1585" t="str">
        <f>TEXT(Tabela1[[#This Row],[Coluna2]]*29,"mmmm")</f>
        <v>abril</v>
      </c>
      <c r="I1585" t="str">
        <f>TEXT(MONTH(Tabela1[[#This Row],[Último pagto ano]])*29,"mmmm")</f>
        <v>abril</v>
      </c>
    </row>
    <row r="1586" spans="1:9" x14ac:dyDescent="0.25">
      <c r="A1586">
        <v>2025</v>
      </c>
      <c r="B1586" t="s">
        <v>3153</v>
      </c>
      <c r="C1586" s="1">
        <v>45702</v>
      </c>
      <c r="D1586" t="s">
        <v>3154</v>
      </c>
      <c r="E1586">
        <v>113.45</v>
      </c>
      <c r="G1586" s="3">
        <f>MONTH(Tabela1[[#This Row],[Último pagto ano]])</f>
        <v>2</v>
      </c>
      <c r="H1586" t="str">
        <f>TEXT(Tabela1[[#This Row],[Coluna2]]*29,"mmmm")</f>
        <v>fevereiro</v>
      </c>
      <c r="I1586" t="str">
        <f>TEXT(MONTH(Tabela1[[#This Row],[Último pagto ano]])*29,"mmmm")</f>
        <v>fevereiro</v>
      </c>
    </row>
    <row r="1587" spans="1:9" x14ac:dyDescent="0.25">
      <c r="A1587">
        <v>2025</v>
      </c>
      <c r="B1587" t="s">
        <v>3155</v>
      </c>
      <c r="C1587" s="1">
        <v>45813</v>
      </c>
      <c r="D1587" t="s">
        <v>3156</v>
      </c>
      <c r="E1587" s="2">
        <v>469527.53</v>
      </c>
      <c r="G1587" s="3">
        <f>MONTH(Tabela1[[#This Row],[Último pagto ano]])</f>
        <v>6</v>
      </c>
      <c r="H1587" t="str">
        <f>TEXT(Tabela1[[#This Row],[Coluna2]]*29,"mmmm")</f>
        <v>junho</v>
      </c>
      <c r="I1587" t="str">
        <f>TEXT(MONTH(Tabela1[[#This Row],[Último pagto ano]])*29,"mmmm")</f>
        <v>junho</v>
      </c>
    </row>
    <row r="1588" spans="1:9" x14ac:dyDescent="0.25">
      <c r="A1588">
        <v>2025</v>
      </c>
      <c r="B1588" t="s">
        <v>3155</v>
      </c>
      <c r="C1588" s="1">
        <v>45989</v>
      </c>
      <c r="D1588" t="s">
        <v>3157</v>
      </c>
      <c r="E1588" s="2">
        <v>287481.37</v>
      </c>
      <c r="G1588" s="3">
        <f>MONTH(Tabela1[[#This Row],[Último pagto ano]])</f>
        <v>11</v>
      </c>
      <c r="H1588" t="str">
        <f>TEXT(Tabela1[[#This Row],[Coluna2]]*29,"mmmm")</f>
        <v>novembro</v>
      </c>
      <c r="I1588" t="str">
        <f>TEXT(MONTH(Tabela1[[#This Row],[Último pagto ano]])*29,"mmmm")</f>
        <v>novembro</v>
      </c>
    </row>
    <row r="1589" spans="1:9" x14ac:dyDescent="0.25">
      <c r="A1589">
        <v>2025</v>
      </c>
      <c r="B1589" t="s">
        <v>3158</v>
      </c>
      <c r="C1589" s="1">
        <v>46007</v>
      </c>
      <c r="D1589" t="s">
        <v>3159</v>
      </c>
      <c r="E1589" s="2">
        <v>92671.4</v>
      </c>
      <c r="G1589" s="3">
        <f>MONTH(Tabela1[[#This Row],[Último pagto ano]])</f>
        <v>12</v>
      </c>
      <c r="H1589" t="str">
        <f>TEXT(Tabela1[[#This Row],[Coluna2]]*29,"mmmm")</f>
        <v>dezembro</v>
      </c>
      <c r="I1589" t="str">
        <f>TEXT(MONTH(Tabela1[[#This Row],[Último pagto ano]])*29,"mmmm")</f>
        <v>dezembro</v>
      </c>
    </row>
    <row r="1590" spans="1:9" x14ac:dyDescent="0.25">
      <c r="A1590">
        <v>2025</v>
      </c>
      <c r="B1590" t="s">
        <v>3160</v>
      </c>
      <c r="C1590" s="1">
        <v>45743</v>
      </c>
      <c r="D1590" t="s">
        <v>3161</v>
      </c>
      <c r="E1590">
        <v>144.85</v>
      </c>
      <c r="G1590" s="3">
        <f>MONTH(Tabela1[[#This Row],[Último pagto ano]])</f>
        <v>3</v>
      </c>
      <c r="H1590" t="str">
        <f>TEXT(Tabela1[[#This Row],[Coluna2]]*29,"mmmm")</f>
        <v>março</v>
      </c>
      <c r="I1590" t="str">
        <f>TEXT(MONTH(Tabela1[[#This Row],[Último pagto ano]])*29,"mmmm")</f>
        <v>março</v>
      </c>
    </row>
    <row r="1591" spans="1:9" x14ac:dyDescent="0.25">
      <c r="A1591">
        <v>2025</v>
      </c>
      <c r="B1591" t="s">
        <v>3162</v>
      </c>
      <c r="C1591" s="1">
        <v>46010</v>
      </c>
      <c r="D1591" t="s">
        <v>3163</v>
      </c>
      <c r="E1591" s="2">
        <v>8400</v>
      </c>
      <c r="G1591" s="3">
        <f>MONTH(Tabela1[[#This Row],[Último pagto ano]])</f>
        <v>12</v>
      </c>
      <c r="H1591" t="str">
        <f>TEXT(Tabela1[[#This Row],[Coluna2]]*29,"mmmm")</f>
        <v>dezembro</v>
      </c>
      <c r="I1591" t="str">
        <f>TEXT(MONTH(Tabela1[[#This Row],[Último pagto ano]])*29,"mmmm")</f>
        <v>dezembro</v>
      </c>
    </row>
    <row r="1592" spans="1:9" x14ac:dyDescent="0.25">
      <c r="A1592">
        <v>2025</v>
      </c>
      <c r="B1592" t="s">
        <v>3164</v>
      </c>
      <c r="C1592" s="1">
        <v>46010</v>
      </c>
      <c r="D1592" t="s">
        <v>3165</v>
      </c>
      <c r="E1592" s="2">
        <v>4200</v>
      </c>
      <c r="G1592" s="3">
        <f>MONTH(Tabela1[[#This Row],[Último pagto ano]])</f>
        <v>12</v>
      </c>
      <c r="H1592" t="str">
        <f>TEXT(Tabela1[[#This Row],[Coluna2]]*29,"mmmm")</f>
        <v>dezembro</v>
      </c>
      <c r="I1592" t="str">
        <f>TEXT(MONTH(Tabela1[[#This Row],[Último pagto ano]])*29,"mmmm")</f>
        <v>dezembro</v>
      </c>
    </row>
    <row r="1593" spans="1:9" x14ac:dyDescent="0.25">
      <c r="A1593">
        <v>2025</v>
      </c>
      <c r="B1593" t="s">
        <v>3166</v>
      </c>
      <c r="C1593" s="1">
        <v>45733</v>
      </c>
      <c r="D1593" t="s">
        <v>3167</v>
      </c>
      <c r="E1593" s="2">
        <v>17760.900000000001</v>
      </c>
      <c r="G1593" s="3">
        <f>MONTH(Tabela1[[#This Row],[Último pagto ano]])</f>
        <v>3</v>
      </c>
      <c r="H1593" t="str">
        <f>TEXT(Tabela1[[#This Row],[Coluna2]]*29,"mmmm")</f>
        <v>março</v>
      </c>
      <c r="I1593" t="str">
        <f>TEXT(MONTH(Tabela1[[#This Row],[Último pagto ano]])*29,"mmmm")</f>
        <v>março</v>
      </c>
    </row>
    <row r="1594" spans="1:9" x14ac:dyDescent="0.25">
      <c r="A1594">
        <v>2025</v>
      </c>
      <c r="B1594" t="s">
        <v>3168</v>
      </c>
      <c r="C1594" s="1">
        <v>45702</v>
      </c>
      <c r="D1594" t="s">
        <v>3169</v>
      </c>
      <c r="E1594">
        <v>180.21</v>
      </c>
      <c r="G1594" s="3">
        <f>MONTH(Tabela1[[#This Row],[Último pagto ano]])</f>
        <v>2</v>
      </c>
      <c r="H1594" t="str">
        <f>TEXT(Tabela1[[#This Row],[Coluna2]]*29,"mmmm")</f>
        <v>fevereiro</v>
      </c>
      <c r="I1594" t="str">
        <f>TEXT(MONTH(Tabela1[[#This Row],[Último pagto ano]])*29,"mmmm")</f>
        <v>fevereiro</v>
      </c>
    </row>
    <row r="1595" spans="1:9" x14ac:dyDescent="0.25">
      <c r="A1595">
        <v>2025</v>
      </c>
      <c r="B1595" t="s">
        <v>3170</v>
      </c>
      <c r="C1595" s="1">
        <v>45989</v>
      </c>
      <c r="D1595" t="s">
        <v>3171</v>
      </c>
      <c r="E1595" s="2">
        <v>3206.61</v>
      </c>
      <c r="G1595" s="3">
        <f>MONTH(Tabela1[[#This Row],[Último pagto ano]])</f>
        <v>11</v>
      </c>
      <c r="H1595" t="str">
        <f>TEXT(Tabela1[[#This Row],[Coluna2]]*29,"mmmm")</f>
        <v>novembro</v>
      </c>
      <c r="I1595" t="str">
        <f>TEXT(MONTH(Tabela1[[#This Row],[Último pagto ano]])*29,"mmmm")</f>
        <v>novembro</v>
      </c>
    </row>
    <row r="1596" spans="1:9" x14ac:dyDescent="0.25">
      <c r="A1596">
        <v>2025</v>
      </c>
      <c r="B1596" t="s">
        <v>3172</v>
      </c>
      <c r="C1596" s="1">
        <v>45895</v>
      </c>
      <c r="D1596" t="s">
        <v>3173</v>
      </c>
      <c r="E1596">
        <v>216</v>
      </c>
      <c r="G1596" s="3">
        <f>MONTH(Tabela1[[#This Row],[Último pagto ano]])</f>
        <v>8</v>
      </c>
      <c r="H1596" t="str">
        <f>TEXT(Tabela1[[#This Row],[Coluna2]]*29,"mmmm")</f>
        <v>agosto</v>
      </c>
      <c r="I1596" t="str">
        <f>TEXT(MONTH(Tabela1[[#This Row],[Último pagto ano]])*29,"mmmm")</f>
        <v>agosto</v>
      </c>
    </row>
    <row r="1597" spans="1:9" x14ac:dyDescent="0.25">
      <c r="A1597">
        <v>2025</v>
      </c>
      <c r="B1597" t="s">
        <v>3174</v>
      </c>
      <c r="C1597" s="1">
        <v>45996</v>
      </c>
      <c r="D1597" t="s">
        <v>3175</v>
      </c>
      <c r="E1597" s="2">
        <v>64800</v>
      </c>
      <c r="G1597" s="3">
        <f>MONTH(Tabela1[[#This Row],[Último pagto ano]])</f>
        <v>12</v>
      </c>
      <c r="H1597" t="str">
        <f>TEXT(Tabela1[[#This Row],[Coluna2]]*29,"mmmm")</f>
        <v>dezembro</v>
      </c>
      <c r="I1597" t="str">
        <f>TEXT(MONTH(Tabela1[[#This Row],[Último pagto ano]])*29,"mmmm")</f>
        <v>dezembro</v>
      </c>
    </row>
    <row r="1598" spans="1:9" x14ac:dyDescent="0.25">
      <c r="A1598">
        <v>2025</v>
      </c>
      <c r="B1598" t="s">
        <v>3176</v>
      </c>
      <c r="C1598" s="1">
        <v>45674</v>
      </c>
      <c r="D1598" t="s">
        <v>3177</v>
      </c>
      <c r="E1598" s="2">
        <v>7002.61</v>
      </c>
      <c r="G1598" s="3">
        <f>MONTH(Tabela1[[#This Row],[Último pagto ano]])</f>
        <v>1</v>
      </c>
      <c r="H1598" t="str">
        <f>TEXT(Tabela1[[#This Row],[Coluna2]]*29,"mmmm")</f>
        <v>janeiro</v>
      </c>
      <c r="I1598" t="str">
        <f>TEXT(MONTH(Tabela1[[#This Row],[Último pagto ano]])*29,"mmmm")</f>
        <v>janeiro</v>
      </c>
    </row>
    <row r="1599" spans="1:9" x14ac:dyDescent="0.25">
      <c r="A1599">
        <v>2025</v>
      </c>
      <c r="B1599" t="s">
        <v>3178</v>
      </c>
      <c r="C1599" s="1">
        <v>45716</v>
      </c>
      <c r="D1599" t="s">
        <v>3179</v>
      </c>
      <c r="E1599" s="2">
        <v>1213.47</v>
      </c>
      <c r="G1599" s="3">
        <f>MONTH(Tabela1[[#This Row],[Último pagto ano]])</f>
        <v>2</v>
      </c>
      <c r="H1599" t="str">
        <f>TEXT(Tabela1[[#This Row],[Coluna2]]*29,"mmmm")</f>
        <v>fevereiro</v>
      </c>
      <c r="I1599" t="str">
        <f>TEXT(MONTH(Tabela1[[#This Row],[Último pagto ano]])*29,"mmmm")</f>
        <v>fevereiro</v>
      </c>
    </row>
    <row r="1600" spans="1:9" x14ac:dyDescent="0.25">
      <c r="A1600">
        <v>2025</v>
      </c>
      <c r="B1600" t="s">
        <v>3180</v>
      </c>
      <c r="C1600" s="1">
        <v>45663</v>
      </c>
      <c r="D1600" t="s">
        <v>3181</v>
      </c>
      <c r="E1600" s="2">
        <v>4404</v>
      </c>
      <c r="G1600" s="3">
        <f>MONTH(Tabela1[[#This Row],[Último pagto ano]])</f>
        <v>1</v>
      </c>
      <c r="H1600" t="str">
        <f>TEXT(Tabela1[[#This Row],[Coluna2]]*29,"mmmm")</f>
        <v>janeiro</v>
      </c>
      <c r="I1600" t="str">
        <f>TEXT(MONTH(Tabela1[[#This Row],[Último pagto ano]])*29,"mmmm")</f>
        <v>janeiro</v>
      </c>
    </row>
    <row r="1601" spans="1:9" x14ac:dyDescent="0.25">
      <c r="A1601">
        <v>2025</v>
      </c>
      <c r="B1601" t="s">
        <v>3182</v>
      </c>
      <c r="C1601" s="1">
        <v>45999</v>
      </c>
      <c r="D1601" t="s">
        <v>3183</v>
      </c>
      <c r="E1601">
        <v>88</v>
      </c>
      <c r="G1601" s="3">
        <f>MONTH(Tabela1[[#This Row],[Último pagto ano]])</f>
        <v>12</v>
      </c>
      <c r="H1601" t="str">
        <f>TEXT(Tabela1[[#This Row],[Coluna2]]*29,"mmmm")</f>
        <v>dezembro</v>
      </c>
      <c r="I1601" t="str">
        <f>TEXT(MONTH(Tabela1[[#This Row],[Último pagto ano]])*29,"mmmm")</f>
        <v>dezembro</v>
      </c>
    </row>
    <row r="1602" spans="1:9" x14ac:dyDescent="0.25">
      <c r="A1602">
        <v>2025</v>
      </c>
      <c r="B1602" t="s">
        <v>3184</v>
      </c>
      <c r="C1602" s="1">
        <v>45978</v>
      </c>
      <c r="D1602" t="s">
        <v>3185</v>
      </c>
      <c r="E1602" s="2">
        <v>2046</v>
      </c>
      <c r="G1602" s="3">
        <f>MONTH(Tabela1[[#This Row],[Último pagto ano]])</f>
        <v>11</v>
      </c>
      <c r="H1602" t="str">
        <f>TEXT(Tabela1[[#This Row],[Coluna2]]*29,"mmmm")</f>
        <v>novembro</v>
      </c>
      <c r="I1602" t="str">
        <f>TEXT(MONTH(Tabela1[[#This Row],[Último pagto ano]])*29,"mmmm")</f>
        <v>novembro</v>
      </c>
    </row>
    <row r="1603" spans="1:9" x14ac:dyDescent="0.25">
      <c r="A1603">
        <v>2025</v>
      </c>
      <c r="B1603" t="s">
        <v>3186</v>
      </c>
      <c r="C1603" s="1">
        <v>45954</v>
      </c>
      <c r="D1603" t="s">
        <v>3187</v>
      </c>
      <c r="E1603" s="2">
        <v>60753</v>
      </c>
      <c r="G1603" s="3">
        <f>MONTH(Tabela1[[#This Row],[Último pagto ano]])</f>
        <v>10</v>
      </c>
      <c r="H1603" t="str">
        <f>TEXT(Tabela1[[#This Row],[Coluna2]]*29,"mmmm")</f>
        <v>outubro</v>
      </c>
      <c r="I1603" t="str">
        <f>TEXT(MONTH(Tabela1[[#This Row],[Último pagto ano]])*29,"mmmm")</f>
        <v>outubro</v>
      </c>
    </row>
    <row r="1604" spans="1:9" x14ac:dyDescent="0.25">
      <c r="A1604">
        <v>2025</v>
      </c>
      <c r="B1604" t="s">
        <v>3188</v>
      </c>
      <c r="C1604" s="1">
        <v>45950</v>
      </c>
      <c r="D1604" t="s">
        <v>3189</v>
      </c>
      <c r="E1604" s="2">
        <v>32690</v>
      </c>
      <c r="G1604" s="3">
        <f>MONTH(Tabela1[[#This Row],[Último pagto ano]])</f>
        <v>10</v>
      </c>
      <c r="H1604" t="str">
        <f>TEXT(Tabela1[[#This Row],[Coluna2]]*29,"mmmm")</f>
        <v>outubro</v>
      </c>
      <c r="I1604" t="str">
        <f>TEXT(MONTH(Tabela1[[#This Row],[Último pagto ano]])*29,"mmmm")</f>
        <v>outubro</v>
      </c>
    </row>
    <row r="1605" spans="1:9" x14ac:dyDescent="0.25">
      <c r="A1605">
        <v>2025</v>
      </c>
      <c r="B1605" t="s">
        <v>3190</v>
      </c>
      <c r="C1605" s="1">
        <v>46014</v>
      </c>
      <c r="D1605" t="s">
        <v>3191</v>
      </c>
      <c r="E1605" s="2">
        <v>3238528.04</v>
      </c>
      <c r="G1605" s="3">
        <f>MONTH(Tabela1[[#This Row],[Último pagto ano]])</f>
        <v>12</v>
      </c>
      <c r="H1605" t="str">
        <f>TEXT(Tabela1[[#This Row],[Coluna2]]*29,"mmmm")</f>
        <v>dezembro</v>
      </c>
      <c r="I1605" t="str">
        <f>TEXT(MONTH(Tabela1[[#This Row],[Último pagto ano]])*29,"mmmm")</f>
        <v>dezembro</v>
      </c>
    </row>
    <row r="1606" spans="1:9" x14ac:dyDescent="0.25">
      <c r="A1606">
        <v>2025</v>
      </c>
      <c r="B1606" t="s">
        <v>3192</v>
      </c>
      <c r="C1606" s="1">
        <v>45770</v>
      </c>
      <c r="D1606" t="s">
        <v>3193</v>
      </c>
      <c r="E1606" s="2">
        <v>6050</v>
      </c>
      <c r="G1606" s="3">
        <f>MONTH(Tabela1[[#This Row],[Último pagto ano]])</f>
        <v>4</v>
      </c>
      <c r="H1606" t="str">
        <f>TEXT(Tabela1[[#This Row],[Coluna2]]*29,"mmmm")</f>
        <v>abril</v>
      </c>
      <c r="I1606" t="str">
        <f>TEXT(MONTH(Tabela1[[#This Row],[Último pagto ano]])*29,"mmmm")</f>
        <v>abril</v>
      </c>
    </row>
    <row r="1607" spans="1:9" x14ac:dyDescent="0.25">
      <c r="A1607">
        <v>2025</v>
      </c>
      <c r="B1607" t="s">
        <v>3194</v>
      </c>
      <c r="C1607" s="1">
        <v>46001</v>
      </c>
      <c r="D1607" t="s">
        <v>3195</v>
      </c>
      <c r="E1607" s="2">
        <v>734915.05</v>
      </c>
      <c r="G1607" s="3">
        <f>MONTH(Tabela1[[#This Row],[Último pagto ano]])</f>
        <v>12</v>
      </c>
      <c r="H1607" t="str">
        <f>TEXT(Tabela1[[#This Row],[Coluna2]]*29,"mmmm")</f>
        <v>dezembro</v>
      </c>
      <c r="I1607" t="str">
        <f>TEXT(MONTH(Tabela1[[#This Row],[Último pagto ano]])*29,"mmmm")</f>
        <v>dezembro</v>
      </c>
    </row>
    <row r="1608" spans="1:9" x14ac:dyDescent="0.25">
      <c r="A1608">
        <v>2025</v>
      </c>
      <c r="B1608" t="s">
        <v>3196</v>
      </c>
      <c r="C1608" s="1">
        <v>45960</v>
      </c>
      <c r="D1608" t="s">
        <v>3197</v>
      </c>
      <c r="E1608" s="2">
        <v>2576</v>
      </c>
      <c r="G1608" s="3">
        <f>MONTH(Tabela1[[#This Row],[Último pagto ano]])</f>
        <v>10</v>
      </c>
      <c r="H1608" t="str">
        <f>TEXT(Tabela1[[#This Row],[Coluna2]]*29,"mmmm")</f>
        <v>outubro</v>
      </c>
      <c r="I1608" t="str">
        <f>TEXT(MONTH(Tabela1[[#This Row],[Último pagto ano]])*29,"mmmm")</f>
        <v>outubro</v>
      </c>
    </row>
    <row r="1609" spans="1:9" x14ac:dyDescent="0.25">
      <c r="A1609">
        <v>2025</v>
      </c>
      <c r="B1609" t="s">
        <v>3198</v>
      </c>
      <c r="C1609" s="1">
        <v>46006</v>
      </c>
      <c r="D1609" t="s">
        <v>3199</v>
      </c>
      <c r="E1609" s="2">
        <v>2679.04</v>
      </c>
      <c r="G1609" s="3">
        <f>MONTH(Tabela1[[#This Row],[Último pagto ano]])</f>
        <v>12</v>
      </c>
      <c r="H1609" t="str">
        <f>TEXT(Tabela1[[#This Row],[Coluna2]]*29,"mmmm")</f>
        <v>dezembro</v>
      </c>
      <c r="I1609" t="str">
        <f>TEXT(MONTH(Tabela1[[#This Row],[Último pagto ano]])*29,"mmmm")</f>
        <v>dezembro</v>
      </c>
    </row>
    <row r="1610" spans="1:9" x14ac:dyDescent="0.25">
      <c r="A1610">
        <v>2025</v>
      </c>
      <c r="B1610" t="s">
        <v>3200</v>
      </c>
      <c r="C1610" s="1">
        <v>45775</v>
      </c>
      <c r="D1610" t="s">
        <v>3201</v>
      </c>
      <c r="E1610" s="2">
        <v>1008</v>
      </c>
      <c r="G1610" s="3">
        <f>MONTH(Tabela1[[#This Row],[Último pagto ano]])</f>
        <v>4</v>
      </c>
      <c r="H1610" t="str">
        <f>TEXT(Tabela1[[#This Row],[Coluna2]]*29,"mmmm")</f>
        <v>abril</v>
      </c>
      <c r="I1610" t="str">
        <f>TEXT(MONTH(Tabela1[[#This Row],[Último pagto ano]])*29,"mmmm")</f>
        <v>abril</v>
      </c>
    </row>
    <row r="1611" spans="1:9" x14ac:dyDescent="0.25">
      <c r="A1611">
        <v>2025</v>
      </c>
      <c r="B1611" t="s">
        <v>3202</v>
      </c>
      <c r="C1611" s="1">
        <v>45838</v>
      </c>
      <c r="D1611" t="s">
        <v>3203</v>
      </c>
      <c r="E1611" s="2">
        <v>1885.46</v>
      </c>
      <c r="G1611" s="3">
        <f>MONTH(Tabela1[[#This Row],[Último pagto ano]])</f>
        <v>6</v>
      </c>
      <c r="H1611" t="str">
        <f>TEXT(Tabela1[[#This Row],[Coluna2]]*29,"mmmm")</f>
        <v>junho</v>
      </c>
      <c r="I1611" t="str">
        <f>TEXT(MONTH(Tabela1[[#This Row],[Último pagto ano]])*29,"mmmm")</f>
        <v>junho</v>
      </c>
    </row>
    <row r="1612" spans="1:9" x14ac:dyDescent="0.25">
      <c r="A1612">
        <v>2025</v>
      </c>
      <c r="B1612" t="s">
        <v>3204</v>
      </c>
      <c r="C1612" s="1">
        <v>46014</v>
      </c>
      <c r="D1612" t="s">
        <v>3205</v>
      </c>
      <c r="E1612" s="2">
        <v>2271983.2799999998</v>
      </c>
      <c r="G1612" s="3">
        <f>MONTH(Tabela1[[#This Row],[Último pagto ano]])</f>
        <v>12</v>
      </c>
      <c r="H1612" t="str">
        <f>TEXT(Tabela1[[#This Row],[Coluna2]]*29,"mmmm")</f>
        <v>dezembro</v>
      </c>
      <c r="I1612" t="str">
        <f>TEXT(MONTH(Tabela1[[#This Row],[Último pagto ano]])*29,"mmmm")</f>
        <v>dezembro</v>
      </c>
    </row>
    <row r="1613" spans="1:9" x14ac:dyDescent="0.25">
      <c r="A1613">
        <v>2025</v>
      </c>
      <c r="B1613" t="s">
        <v>3206</v>
      </c>
      <c r="C1613" s="1">
        <v>45744</v>
      </c>
      <c r="D1613" t="s">
        <v>3207</v>
      </c>
      <c r="E1613" s="2">
        <v>2265.02</v>
      </c>
      <c r="G1613" s="3">
        <f>MONTH(Tabela1[[#This Row],[Último pagto ano]])</f>
        <v>3</v>
      </c>
      <c r="H1613" t="str">
        <f>TEXT(Tabela1[[#This Row],[Coluna2]]*29,"mmmm")</f>
        <v>março</v>
      </c>
      <c r="I1613" t="str">
        <f>TEXT(MONTH(Tabela1[[#This Row],[Último pagto ano]])*29,"mmmm")</f>
        <v>março</v>
      </c>
    </row>
    <row r="1614" spans="1:9" x14ac:dyDescent="0.25">
      <c r="A1614">
        <v>2025</v>
      </c>
      <c r="B1614" t="s">
        <v>3208</v>
      </c>
      <c r="C1614" s="1">
        <v>45932</v>
      </c>
      <c r="D1614" t="s">
        <v>3209</v>
      </c>
      <c r="E1614" s="2">
        <v>3581.94</v>
      </c>
      <c r="G1614" s="3">
        <f>MONTH(Tabela1[[#This Row],[Último pagto ano]])</f>
        <v>10</v>
      </c>
      <c r="H1614" t="str">
        <f>TEXT(Tabela1[[#This Row],[Coluna2]]*29,"mmmm")</f>
        <v>outubro</v>
      </c>
      <c r="I1614" t="str">
        <f>TEXT(MONTH(Tabela1[[#This Row],[Último pagto ano]])*29,"mmmm")</f>
        <v>outubro</v>
      </c>
    </row>
    <row r="1615" spans="1:9" x14ac:dyDescent="0.25">
      <c r="A1615">
        <v>2025</v>
      </c>
      <c r="B1615" t="s">
        <v>3210</v>
      </c>
      <c r="C1615" s="1">
        <v>45996</v>
      </c>
      <c r="D1615" t="s">
        <v>3211</v>
      </c>
      <c r="E1615" s="2">
        <v>9500</v>
      </c>
      <c r="G1615" s="3">
        <f>MONTH(Tabela1[[#This Row],[Último pagto ano]])</f>
        <v>12</v>
      </c>
      <c r="H1615" t="str">
        <f>TEXT(Tabela1[[#This Row],[Coluna2]]*29,"mmmm")</f>
        <v>dezembro</v>
      </c>
      <c r="I1615" t="str">
        <f>TEXT(MONTH(Tabela1[[#This Row],[Último pagto ano]])*29,"mmmm")</f>
        <v>dezembro</v>
      </c>
    </row>
    <row r="1616" spans="1:9" x14ac:dyDescent="0.25">
      <c r="A1616">
        <v>2025</v>
      </c>
      <c r="B1616" t="s">
        <v>3212</v>
      </c>
      <c r="C1616" s="1">
        <v>45996</v>
      </c>
      <c r="D1616" t="s">
        <v>3213</v>
      </c>
      <c r="E1616" s="2">
        <v>4300</v>
      </c>
      <c r="G1616" s="3">
        <f>MONTH(Tabela1[[#This Row],[Último pagto ano]])</f>
        <v>12</v>
      </c>
      <c r="H1616" t="str">
        <f>TEXT(Tabela1[[#This Row],[Coluna2]]*29,"mmmm")</f>
        <v>dezembro</v>
      </c>
      <c r="I1616" t="str">
        <f>TEXT(MONTH(Tabela1[[#This Row],[Último pagto ano]])*29,"mmmm")</f>
        <v>dezembro</v>
      </c>
    </row>
    <row r="1617" spans="1:9" x14ac:dyDescent="0.25">
      <c r="A1617">
        <v>2025</v>
      </c>
      <c r="B1617" t="s">
        <v>3214</v>
      </c>
      <c r="C1617" s="1">
        <v>45889</v>
      </c>
      <c r="D1617" t="s">
        <v>3215</v>
      </c>
      <c r="E1617" s="2">
        <v>14734</v>
      </c>
      <c r="G1617" s="3">
        <f>MONTH(Tabela1[[#This Row],[Último pagto ano]])</f>
        <v>8</v>
      </c>
      <c r="H1617" t="str">
        <f>TEXT(Tabela1[[#This Row],[Coluna2]]*29,"mmmm")</f>
        <v>agosto</v>
      </c>
      <c r="I1617" t="str">
        <f>TEXT(MONTH(Tabela1[[#This Row],[Último pagto ano]])*29,"mmmm")</f>
        <v>agosto</v>
      </c>
    </row>
    <row r="1618" spans="1:9" x14ac:dyDescent="0.25">
      <c r="A1618">
        <v>2025</v>
      </c>
      <c r="B1618" t="s">
        <v>3216</v>
      </c>
      <c r="C1618" s="1">
        <v>45971</v>
      </c>
      <c r="D1618" t="s">
        <v>3217</v>
      </c>
      <c r="E1618">
        <v>110</v>
      </c>
      <c r="G1618" s="3">
        <f>MONTH(Tabela1[[#This Row],[Último pagto ano]])</f>
        <v>11</v>
      </c>
      <c r="H1618" t="str">
        <f>TEXT(Tabela1[[#This Row],[Coluna2]]*29,"mmmm")</f>
        <v>novembro</v>
      </c>
      <c r="I1618" t="str">
        <f>TEXT(MONTH(Tabela1[[#This Row],[Último pagto ano]])*29,"mmmm")</f>
        <v>novembro</v>
      </c>
    </row>
    <row r="1619" spans="1:9" x14ac:dyDescent="0.25">
      <c r="A1619">
        <v>2025</v>
      </c>
      <c r="B1619" t="s">
        <v>3218</v>
      </c>
      <c r="C1619" s="1">
        <v>46010</v>
      </c>
      <c r="D1619" t="s">
        <v>3219</v>
      </c>
      <c r="E1619" s="2">
        <v>8400</v>
      </c>
      <c r="G1619" s="3">
        <f>MONTH(Tabela1[[#This Row],[Último pagto ano]])</f>
        <v>12</v>
      </c>
      <c r="H1619" t="str">
        <f>TEXT(Tabela1[[#This Row],[Coluna2]]*29,"mmmm")</f>
        <v>dezembro</v>
      </c>
      <c r="I1619" t="str">
        <f>TEXT(MONTH(Tabela1[[#This Row],[Último pagto ano]])*29,"mmmm")</f>
        <v>dezembro</v>
      </c>
    </row>
    <row r="1620" spans="1:9" x14ac:dyDescent="0.25">
      <c r="A1620">
        <v>2025</v>
      </c>
      <c r="B1620" t="s">
        <v>3220</v>
      </c>
      <c r="C1620" s="1">
        <v>45777</v>
      </c>
      <c r="D1620" t="s">
        <v>3221</v>
      </c>
      <c r="E1620" s="2">
        <v>3942.24</v>
      </c>
      <c r="G1620" s="3">
        <f>MONTH(Tabela1[[#This Row],[Último pagto ano]])</f>
        <v>4</v>
      </c>
      <c r="H1620" t="str">
        <f>TEXT(Tabela1[[#This Row],[Coluna2]]*29,"mmmm")</f>
        <v>abril</v>
      </c>
      <c r="I1620" t="str">
        <f>TEXT(MONTH(Tabela1[[#This Row],[Último pagto ano]])*29,"mmmm")</f>
        <v>abril</v>
      </c>
    </row>
    <row r="1621" spans="1:9" x14ac:dyDescent="0.25">
      <c r="A1621">
        <v>2025</v>
      </c>
      <c r="B1621" t="s">
        <v>3222</v>
      </c>
      <c r="C1621" s="1">
        <v>45999</v>
      </c>
      <c r="D1621" t="s">
        <v>3223</v>
      </c>
      <c r="E1621">
        <v>55</v>
      </c>
      <c r="G1621" s="3">
        <f>MONTH(Tabela1[[#This Row],[Último pagto ano]])</f>
        <v>12</v>
      </c>
      <c r="H1621" t="str">
        <f>TEXT(Tabela1[[#This Row],[Coluna2]]*29,"mmmm")</f>
        <v>dezembro</v>
      </c>
      <c r="I1621" t="str">
        <f>TEXT(MONTH(Tabela1[[#This Row],[Último pagto ano]])*29,"mmmm")</f>
        <v>dezembro</v>
      </c>
    </row>
    <row r="1622" spans="1:9" x14ac:dyDescent="0.25">
      <c r="A1622">
        <v>2025</v>
      </c>
      <c r="B1622" t="s">
        <v>3224</v>
      </c>
      <c r="C1622" s="1">
        <v>45989</v>
      </c>
      <c r="D1622" t="s">
        <v>3225</v>
      </c>
      <c r="E1622" s="2">
        <v>7302.15</v>
      </c>
      <c r="G1622" s="3">
        <f>MONTH(Tabela1[[#This Row],[Último pagto ano]])</f>
        <v>11</v>
      </c>
      <c r="H1622" t="str">
        <f>TEXT(Tabela1[[#This Row],[Coluna2]]*29,"mmmm")</f>
        <v>novembro</v>
      </c>
      <c r="I1622" t="str">
        <f>TEXT(MONTH(Tabela1[[#This Row],[Último pagto ano]])*29,"mmmm")</f>
        <v>novembro</v>
      </c>
    </row>
    <row r="1623" spans="1:9" x14ac:dyDescent="0.25">
      <c r="A1623">
        <v>2025</v>
      </c>
      <c r="B1623" t="s">
        <v>3226</v>
      </c>
      <c r="C1623" s="1">
        <v>45988</v>
      </c>
      <c r="D1623" t="s">
        <v>3227</v>
      </c>
      <c r="E1623">
        <v>409.5</v>
      </c>
      <c r="G1623" s="3">
        <f>MONTH(Tabela1[[#This Row],[Último pagto ano]])</f>
        <v>11</v>
      </c>
      <c r="H1623" t="str">
        <f>TEXT(Tabela1[[#This Row],[Coluna2]]*29,"mmmm")</f>
        <v>novembro</v>
      </c>
      <c r="I1623" t="str">
        <f>TEXT(MONTH(Tabela1[[#This Row],[Último pagto ano]])*29,"mmmm")</f>
        <v>novembro</v>
      </c>
    </row>
    <row r="1624" spans="1:9" x14ac:dyDescent="0.25">
      <c r="A1624">
        <v>2025</v>
      </c>
      <c r="B1624" t="s">
        <v>3228</v>
      </c>
      <c r="C1624" s="1">
        <v>46003</v>
      </c>
      <c r="D1624" t="s">
        <v>3229</v>
      </c>
      <c r="E1624" s="2">
        <v>10051.5</v>
      </c>
      <c r="G1624" s="3">
        <f>MONTH(Tabela1[[#This Row],[Último pagto ano]])</f>
        <v>12</v>
      </c>
      <c r="H1624" t="str">
        <f>TEXT(Tabela1[[#This Row],[Coluna2]]*29,"mmmm")</f>
        <v>dezembro</v>
      </c>
      <c r="I1624" t="str">
        <f>TEXT(MONTH(Tabela1[[#This Row],[Último pagto ano]])*29,"mmmm")</f>
        <v>dezembro</v>
      </c>
    </row>
    <row r="1625" spans="1:9" x14ac:dyDescent="0.25">
      <c r="A1625">
        <v>2025</v>
      </c>
      <c r="B1625" t="s">
        <v>3230</v>
      </c>
      <c r="C1625" s="1">
        <v>46006</v>
      </c>
      <c r="D1625" t="s">
        <v>3231</v>
      </c>
      <c r="E1625" s="2">
        <v>4544.3599999999997</v>
      </c>
      <c r="G1625" s="3">
        <f>MONTH(Tabela1[[#This Row],[Último pagto ano]])</f>
        <v>12</v>
      </c>
      <c r="H1625" t="str">
        <f>TEXT(Tabela1[[#This Row],[Coluna2]]*29,"mmmm")</f>
        <v>dezembro</v>
      </c>
      <c r="I1625" t="str">
        <f>TEXT(MONTH(Tabela1[[#This Row],[Último pagto ano]])*29,"mmmm")</f>
        <v>dezembro</v>
      </c>
    </row>
    <row r="1626" spans="1:9" x14ac:dyDescent="0.25">
      <c r="A1626">
        <v>2025</v>
      </c>
      <c r="B1626" t="s">
        <v>3232</v>
      </c>
      <c r="C1626" s="1">
        <v>45716</v>
      </c>
      <c r="D1626" t="s">
        <v>3233</v>
      </c>
      <c r="E1626" s="2">
        <v>2032.46</v>
      </c>
      <c r="G1626" s="3">
        <f>MONTH(Tabela1[[#This Row],[Último pagto ano]])</f>
        <v>2</v>
      </c>
      <c r="H1626" t="str">
        <f>TEXT(Tabela1[[#This Row],[Coluna2]]*29,"mmmm")</f>
        <v>fevereiro</v>
      </c>
      <c r="I1626" t="str">
        <f>TEXT(MONTH(Tabela1[[#This Row],[Último pagto ano]])*29,"mmmm")</f>
        <v>fevereiro</v>
      </c>
    </row>
    <row r="1627" spans="1:9" x14ac:dyDescent="0.25">
      <c r="A1627">
        <v>2025</v>
      </c>
      <c r="B1627" t="s">
        <v>3234</v>
      </c>
      <c r="C1627" s="1">
        <v>46021</v>
      </c>
      <c r="D1627" t="s">
        <v>3235</v>
      </c>
      <c r="E1627" s="2">
        <v>371778</v>
      </c>
      <c r="G1627" s="3">
        <f>MONTH(Tabela1[[#This Row],[Último pagto ano]])</f>
        <v>12</v>
      </c>
      <c r="H1627" t="str">
        <f>TEXT(Tabela1[[#This Row],[Coluna2]]*29,"mmmm")</f>
        <v>dezembro</v>
      </c>
      <c r="I1627" t="str">
        <f>TEXT(MONTH(Tabela1[[#This Row],[Último pagto ano]])*29,"mmmm")</f>
        <v>dezembro</v>
      </c>
    </row>
    <row r="1628" spans="1:9" x14ac:dyDescent="0.25">
      <c r="A1628">
        <v>2025</v>
      </c>
      <c r="B1628" t="s">
        <v>3236</v>
      </c>
      <c r="C1628" s="1">
        <v>46010</v>
      </c>
      <c r="D1628" t="s">
        <v>3237</v>
      </c>
      <c r="E1628" s="2">
        <v>2800</v>
      </c>
      <c r="G1628" s="3">
        <f>MONTH(Tabela1[[#This Row],[Último pagto ano]])</f>
        <v>12</v>
      </c>
      <c r="H1628" t="str">
        <f>TEXT(Tabela1[[#This Row],[Coluna2]]*29,"mmmm")</f>
        <v>dezembro</v>
      </c>
      <c r="I1628" t="str">
        <f>TEXT(MONTH(Tabela1[[#This Row],[Último pagto ano]])*29,"mmmm")</f>
        <v>dezembro</v>
      </c>
    </row>
    <row r="1629" spans="1:9" x14ac:dyDescent="0.25">
      <c r="A1629">
        <v>2025</v>
      </c>
      <c r="B1629" t="s">
        <v>3238</v>
      </c>
      <c r="C1629" s="1">
        <v>45712</v>
      </c>
      <c r="D1629" t="s">
        <v>3239</v>
      </c>
      <c r="E1629" s="2">
        <v>1400</v>
      </c>
      <c r="G1629" s="3">
        <f>MONTH(Tabela1[[#This Row],[Último pagto ano]])</f>
        <v>2</v>
      </c>
      <c r="H1629" t="str">
        <f>TEXT(Tabela1[[#This Row],[Coluna2]]*29,"mmmm")</f>
        <v>fevereiro</v>
      </c>
      <c r="I1629" t="str">
        <f>TEXT(MONTH(Tabela1[[#This Row],[Último pagto ano]])*29,"mmmm")</f>
        <v>fevereiro</v>
      </c>
    </row>
    <row r="1630" spans="1:9" x14ac:dyDescent="0.25">
      <c r="A1630">
        <v>2025</v>
      </c>
      <c r="B1630" t="s">
        <v>3240</v>
      </c>
      <c r="C1630" s="1">
        <v>45854</v>
      </c>
      <c r="D1630" t="s">
        <v>3241</v>
      </c>
      <c r="E1630">
        <v>179.6</v>
      </c>
      <c r="G1630" s="3">
        <f>MONTH(Tabela1[[#This Row],[Último pagto ano]])</f>
        <v>7</v>
      </c>
      <c r="H1630" t="str">
        <f>TEXT(Tabela1[[#This Row],[Coluna2]]*29,"mmmm")</f>
        <v>julho</v>
      </c>
      <c r="I1630" t="str">
        <f>TEXT(MONTH(Tabela1[[#This Row],[Último pagto ano]])*29,"mmmm")</f>
        <v>julho</v>
      </c>
    </row>
    <row r="1631" spans="1:9" x14ac:dyDescent="0.25">
      <c r="A1631">
        <v>2025</v>
      </c>
      <c r="B1631" t="s">
        <v>3242</v>
      </c>
      <c r="C1631" s="1">
        <v>45936</v>
      </c>
      <c r="D1631" t="s">
        <v>3243</v>
      </c>
      <c r="E1631">
        <v>44</v>
      </c>
      <c r="G1631" s="3">
        <f>MONTH(Tabela1[[#This Row],[Último pagto ano]])</f>
        <v>10</v>
      </c>
      <c r="H1631" t="str">
        <f>TEXT(Tabela1[[#This Row],[Coluna2]]*29,"mmmm")</f>
        <v>outubro</v>
      </c>
      <c r="I1631" t="str">
        <f>TEXT(MONTH(Tabela1[[#This Row],[Último pagto ano]])*29,"mmmm")</f>
        <v>outubro</v>
      </c>
    </row>
    <row r="1632" spans="1:9" x14ac:dyDescent="0.25">
      <c r="A1632">
        <v>2025</v>
      </c>
      <c r="B1632" t="s">
        <v>3244</v>
      </c>
      <c r="C1632" s="1">
        <v>45744</v>
      </c>
      <c r="D1632" t="s">
        <v>3245</v>
      </c>
      <c r="E1632" s="2">
        <v>87706.76</v>
      </c>
      <c r="G1632" s="3">
        <f>MONTH(Tabela1[[#This Row],[Último pagto ano]])</f>
        <v>3</v>
      </c>
      <c r="H1632" t="str">
        <f>TEXT(Tabela1[[#This Row],[Coluna2]]*29,"mmmm")</f>
        <v>março</v>
      </c>
      <c r="I1632" t="str">
        <f>TEXT(MONTH(Tabela1[[#This Row],[Último pagto ano]])*29,"mmmm")</f>
        <v>março</v>
      </c>
    </row>
    <row r="1633" spans="1:9" x14ac:dyDescent="0.25">
      <c r="A1633">
        <v>2025</v>
      </c>
      <c r="B1633" t="s">
        <v>3246</v>
      </c>
      <c r="C1633" s="1">
        <v>45989</v>
      </c>
      <c r="D1633" t="s">
        <v>3247</v>
      </c>
      <c r="E1633" s="2">
        <v>3186.88</v>
      </c>
      <c r="G1633" s="3">
        <f>MONTH(Tabela1[[#This Row],[Último pagto ano]])</f>
        <v>11</v>
      </c>
      <c r="H1633" t="str">
        <f>TEXT(Tabela1[[#This Row],[Coluna2]]*29,"mmmm")</f>
        <v>novembro</v>
      </c>
      <c r="I1633" t="str">
        <f>TEXT(MONTH(Tabela1[[#This Row],[Último pagto ano]])*29,"mmmm")</f>
        <v>novembro</v>
      </c>
    </row>
    <row r="1634" spans="1:9" x14ac:dyDescent="0.25">
      <c r="A1634">
        <v>2025</v>
      </c>
      <c r="B1634" t="s">
        <v>3248</v>
      </c>
      <c r="C1634" s="1">
        <v>45796</v>
      </c>
      <c r="D1634" t="s">
        <v>3249</v>
      </c>
      <c r="E1634" s="2">
        <v>10028.67</v>
      </c>
      <c r="G1634" s="3">
        <f>MONTH(Tabela1[[#This Row],[Último pagto ano]])</f>
        <v>5</v>
      </c>
      <c r="H1634" t="str">
        <f>TEXT(Tabela1[[#This Row],[Coluna2]]*29,"mmmm")</f>
        <v>maio</v>
      </c>
      <c r="I1634" t="str">
        <f>TEXT(MONTH(Tabela1[[#This Row],[Último pagto ano]])*29,"mmmm")</f>
        <v>maio</v>
      </c>
    </row>
    <row r="1635" spans="1:9" x14ac:dyDescent="0.25">
      <c r="A1635">
        <v>2025</v>
      </c>
      <c r="B1635" t="s">
        <v>3250</v>
      </c>
      <c r="C1635" s="1">
        <v>45936</v>
      </c>
      <c r="D1635" t="s">
        <v>3251</v>
      </c>
      <c r="E1635">
        <v>88</v>
      </c>
      <c r="G1635" s="3">
        <f>MONTH(Tabela1[[#This Row],[Último pagto ano]])</f>
        <v>10</v>
      </c>
      <c r="H1635" t="str">
        <f>TEXT(Tabela1[[#This Row],[Coluna2]]*29,"mmmm")</f>
        <v>outubro</v>
      </c>
      <c r="I1635" t="str">
        <f>TEXT(MONTH(Tabela1[[#This Row],[Último pagto ano]])*29,"mmmm")</f>
        <v>outubro</v>
      </c>
    </row>
    <row r="1636" spans="1:9" x14ac:dyDescent="0.25">
      <c r="A1636">
        <v>2025</v>
      </c>
      <c r="B1636" t="s">
        <v>3252</v>
      </c>
      <c r="C1636" s="1">
        <v>46010</v>
      </c>
      <c r="D1636" t="s">
        <v>3253</v>
      </c>
      <c r="E1636" s="2">
        <v>8400</v>
      </c>
      <c r="G1636" s="3">
        <f>MONTH(Tabela1[[#This Row],[Último pagto ano]])</f>
        <v>12</v>
      </c>
      <c r="H1636" t="str">
        <f>TEXT(Tabela1[[#This Row],[Coluna2]]*29,"mmmm")</f>
        <v>dezembro</v>
      </c>
      <c r="I1636" t="str">
        <f>TEXT(MONTH(Tabela1[[#This Row],[Último pagto ano]])*29,"mmmm")</f>
        <v>dezembro</v>
      </c>
    </row>
    <row r="1637" spans="1:9" x14ac:dyDescent="0.25">
      <c r="A1637">
        <v>2025</v>
      </c>
      <c r="B1637" t="s">
        <v>3254</v>
      </c>
      <c r="C1637" s="1">
        <v>46010</v>
      </c>
      <c r="D1637" t="s">
        <v>3255</v>
      </c>
      <c r="E1637" s="2">
        <v>8400</v>
      </c>
      <c r="G1637" s="3">
        <f>MONTH(Tabela1[[#This Row],[Último pagto ano]])</f>
        <v>12</v>
      </c>
      <c r="H1637" t="str">
        <f>TEXT(Tabela1[[#This Row],[Coluna2]]*29,"mmmm")</f>
        <v>dezembro</v>
      </c>
      <c r="I1637" t="str">
        <f>TEXT(MONTH(Tabela1[[#This Row],[Último pagto ano]])*29,"mmmm")</f>
        <v>dezembro</v>
      </c>
    </row>
    <row r="1638" spans="1:9" x14ac:dyDescent="0.25">
      <c r="A1638">
        <v>2025</v>
      </c>
      <c r="B1638" t="s">
        <v>3256</v>
      </c>
      <c r="C1638" s="1">
        <v>45989</v>
      </c>
      <c r="D1638" t="s">
        <v>3257</v>
      </c>
      <c r="E1638" s="2">
        <v>11473.78</v>
      </c>
      <c r="G1638" s="3">
        <f>MONTH(Tabela1[[#This Row],[Último pagto ano]])</f>
        <v>11</v>
      </c>
      <c r="H1638" t="str">
        <f>TEXT(Tabela1[[#This Row],[Coluna2]]*29,"mmmm")</f>
        <v>novembro</v>
      </c>
      <c r="I1638" t="str">
        <f>TEXT(MONTH(Tabela1[[#This Row],[Último pagto ano]])*29,"mmmm")</f>
        <v>novembro</v>
      </c>
    </row>
    <row r="1639" spans="1:9" x14ac:dyDescent="0.25">
      <c r="A1639">
        <v>2025</v>
      </c>
      <c r="B1639" t="s">
        <v>3258</v>
      </c>
      <c r="C1639" s="1">
        <v>45978</v>
      </c>
      <c r="D1639" t="s">
        <v>3259</v>
      </c>
      <c r="E1639">
        <v>99</v>
      </c>
      <c r="G1639" s="3">
        <f>MONTH(Tabela1[[#This Row],[Último pagto ano]])</f>
        <v>11</v>
      </c>
      <c r="H1639" t="str">
        <f>TEXT(Tabela1[[#This Row],[Coluna2]]*29,"mmmm")</f>
        <v>novembro</v>
      </c>
      <c r="I1639" t="str">
        <f>TEXT(MONTH(Tabela1[[#This Row],[Último pagto ano]])*29,"mmmm")</f>
        <v>novembro</v>
      </c>
    </row>
    <row r="1640" spans="1:9" x14ac:dyDescent="0.25">
      <c r="A1640">
        <v>2025</v>
      </c>
      <c r="B1640" t="s">
        <v>3260</v>
      </c>
      <c r="C1640" s="1">
        <v>45744</v>
      </c>
      <c r="D1640" t="s">
        <v>3261</v>
      </c>
      <c r="E1640" s="2">
        <v>53376.05</v>
      </c>
      <c r="G1640" s="3">
        <f>MONTH(Tabela1[[#This Row],[Último pagto ano]])</f>
        <v>3</v>
      </c>
      <c r="H1640" t="str">
        <f>TEXT(Tabela1[[#This Row],[Coluna2]]*29,"mmmm")</f>
        <v>março</v>
      </c>
      <c r="I1640" t="str">
        <f>TEXT(MONTH(Tabela1[[#This Row],[Último pagto ano]])*29,"mmmm")</f>
        <v>março</v>
      </c>
    </row>
    <row r="1641" spans="1:9" x14ac:dyDescent="0.25">
      <c r="A1641">
        <v>2025</v>
      </c>
      <c r="B1641" t="s">
        <v>3262</v>
      </c>
      <c r="C1641" s="1">
        <v>45922</v>
      </c>
      <c r="D1641" t="s">
        <v>3263</v>
      </c>
      <c r="E1641" s="2">
        <v>2536.1</v>
      </c>
      <c r="G1641" s="3">
        <f>MONTH(Tabela1[[#This Row],[Último pagto ano]])</f>
        <v>9</v>
      </c>
      <c r="H1641" t="str">
        <f>TEXT(Tabela1[[#This Row],[Coluna2]]*29,"mmmm")</f>
        <v>setembro</v>
      </c>
      <c r="I1641" t="str">
        <f>TEXT(MONTH(Tabela1[[#This Row],[Último pagto ano]])*29,"mmmm")</f>
        <v>setembro</v>
      </c>
    </row>
    <row r="1642" spans="1:9" x14ac:dyDescent="0.25">
      <c r="A1642">
        <v>2025</v>
      </c>
      <c r="B1642" t="s">
        <v>3264</v>
      </c>
      <c r="C1642" s="1">
        <v>45782</v>
      </c>
      <c r="D1642" t="s">
        <v>3265</v>
      </c>
      <c r="E1642">
        <v>6.92</v>
      </c>
      <c r="G1642" s="3">
        <f>MONTH(Tabela1[[#This Row],[Último pagto ano]])</f>
        <v>5</v>
      </c>
      <c r="H1642" t="str">
        <f>TEXT(Tabela1[[#This Row],[Coluna2]]*29,"mmmm")</f>
        <v>maio</v>
      </c>
      <c r="I1642" t="str">
        <f>TEXT(MONTH(Tabela1[[#This Row],[Último pagto ano]])*29,"mmmm")</f>
        <v>maio</v>
      </c>
    </row>
    <row r="1643" spans="1:9" x14ac:dyDescent="0.25">
      <c r="A1643">
        <v>2025</v>
      </c>
      <c r="B1643" t="s">
        <v>3266</v>
      </c>
      <c r="C1643" s="1">
        <v>45670</v>
      </c>
      <c r="D1643" t="s">
        <v>3267</v>
      </c>
      <c r="E1643" s="2">
        <v>6590.4</v>
      </c>
      <c r="G1643" s="3">
        <f>MONTH(Tabela1[[#This Row],[Último pagto ano]])</f>
        <v>1</v>
      </c>
      <c r="H1643" t="str">
        <f>TEXT(Tabela1[[#This Row],[Coluna2]]*29,"mmmm")</f>
        <v>janeiro</v>
      </c>
      <c r="I1643" t="str">
        <f>TEXT(MONTH(Tabela1[[#This Row],[Último pagto ano]])*29,"mmmm")</f>
        <v>janeiro</v>
      </c>
    </row>
    <row r="1644" spans="1:9" x14ac:dyDescent="0.25">
      <c r="A1644">
        <v>2025</v>
      </c>
      <c r="B1644" t="s">
        <v>3268</v>
      </c>
      <c r="C1644" s="1">
        <v>45999</v>
      </c>
      <c r="D1644" t="s">
        <v>3269</v>
      </c>
      <c r="E1644">
        <v>88</v>
      </c>
      <c r="G1644" s="3">
        <f>MONTH(Tabela1[[#This Row],[Último pagto ano]])</f>
        <v>12</v>
      </c>
      <c r="H1644" t="str">
        <f>TEXT(Tabela1[[#This Row],[Coluna2]]*29,"mmmm")</f>
        <v>dezembro</v>
      </c>
      <c r="I1644" t="str">
        <f>TEXT(MONTH(Tabela1[[#This Row],[Último pagto ano]])*29,"mmmm")</f>
        <v>dezembro</v>
      </c>
    </row>
    <row r="1645" spans="1:9" x14ac:dyDescent="0.25">
      <c r="A1645">
        <v>2025</v>
      </c>
      <c r="B1645" t="s">
        <v>3270</v>
      </c>
      <c r="C1645" s="1">
        <v>46013</v>
      </c>
      <c r="D1645" t="s">
        <v>3271</v>
      </c>
      <c r="E1645" s="2">
        <v>2784.6</v>
      </c>
      <c r="G1645" s="3">
        <f>MONTH(Tabela1[[#This Row],[Último pagto ano]])</f>
        <v>12</v>
      </c>
      <c r="H1645" t="str">
        <f>TEXT(Tabela1[[#This Row],[Coluna2]]*29,"mmmm")</f>
        <v>dezembro</v>
      </c>
      <c r="I1645" t="str">
        <f>TEXT(MONTH(Tabela1[[#This Row],[Último pagto ano]])*29,"mmmm")</f>
        <v>dezembro</v>
      </c>
    </row>
    <row r="1646" spans="1:9" x14ac:dyDescent="0.25">
      <c r="A1646">
        <v>2025</v>
      </c>
      <c r="B1646" t="s">
        <v>3272</v>
      </c>
      <c r="C1646" s="1">
        <v>46006</v>
      </c>
      <c r="D1646" t="s">
        <v>3273</v>
      </c>
      <c r="E1646" s="2">
        <v>5000</v>
      </c>
      <c r="G1646" s="3">
        <f>MONTH(Tabela1[[#This Row],[Último pagto ano]])</f>
        <v>12</v>
      </c>
      <c r="H1646" t="str">
        <f>TEXT(Tabela1[[#This Row],[Coluna2]]*29,"mmmm")</f>
        <v>dezembro</v>
      </c>
      <c r="I1646" t="str">
        <f>TEXT(MONTH(Tabela1[[#This Row],[Último pagto ano]])*29,"mmmm")</f>
        <v>dezembro</v>
      </c>
    </row>
    <row r="1647" spans="1:9" x14ac:dyDescent="0.25">
      <c r="A1647">
        <v>2025</v>
      </c>
      <c r="B1647" t="s">
        <v>3274</v>
      </c>
      <c r="C1647" s="1">
        <v>45814</v>
      </c>
      <c r="D1647" t="s">
        <v>3275</v>
      </c>
      <c r="E1647" s="2">
        <v>32400</v>
      </c>
      <c r="G1647" s="3">
        <f>MONTH(Tabela1[[#This Row],[Último pagto ano]])</f>
        <v>6</v>
      </c>
      <c r="H1647" t="str">
        <f>TEXT(Tabela1[[#This Row],[Coluna2]]*29,"mmmm")</f>
        <v>junho</v>
      </c>
      <c r="I1647" t="str">
        <f>TEXT(MONTH(Tabela1[[#This Row],[Último pagto ano]])*29,"mmmm")</f>
        <v>junho</v>
      </c>
    </row>
    <row r="1648" spans="1:9" x14ac:dyDescent="0.25">
      <c r="A1648">
        <v>2025</v>
      </c>
      <c r="B1648" t="s">
        <v>3276</v>
      </c>
      <c r="C1648" s="1">
        <v>45936</v>
      </c>
      <c r="D1648" t="s">
        <v>3277</v>
      </c>
      <c r="E1648">
        <v>22</v>
      </c>
      <c r="G1648" s="3">
        <f>MONTH(Tabela1[[#This Row],[Último pagto ano]])</f>
        <v>10</v>
      </c>
      <c r="H1648" t="str">
        <f>TEXT(Tabela1[[#This Row],[Coluna2]]*29,"mmmm")</f>
        <v>outubro</v>
      </c>
      <c r="I1648" t="str">
        <f>TEXT(MONTH(Tabela1[[#This Row],[Último pagto ano]])*29,"mmmm")</f>
        <v>outubro</v>
      </c>
    </row>
    <row r="1649" spans="1:9" x14ac:dyDescent="0.25">
      <c r="A1649">
        <v>2025</v>
      </c>
      <c r="B1649" t="s">
        <v>3278</v>
      </c>
      <c r="C1649" s="1">
        <v>45684</v>
      </c>
      <c r="D1649" t="s">
        <v>3279</v>
      </c>
      <c r="E1649">
        <v>33</v>
      </c>
      <c r="G1649" s="3">
        <f>MONTH(Tabela1[[#This Row],[Último pagto ano]])</f>
        <v>1</v>
      </c>
      <c r="H1649" t="str">
        <f>TEXT(Tabela1[[#This Row],[Coluna2]]*29,"mmmm")</f>
        <v>janeiro</v>
      </c>
      <c r="I1649" t="str">
        <f>TEXT(MONTH(Tabela1[[#This Row],[Último pagto ano]])*29,"mmmm")</f>
        <v>janeiro</v>
      </c>
    </row>
    <row r="1650" spans="1:9" x14ac:dyDescent="0.25">
      <c r="A1650">
        <v>2025</v>
      </c>
      <c r="B1650" t="s">
        <v>3280</v>
      </c>
      <c r="C1650" s="1">
        <v>45702</v>
      </c>
      <c r="D1650" t="s">
        <v>3281</v>
      </c>
      <c r="E1650">
        <v>814.44</v>
      </c>
      <c r="G1650" s="3">
        <f>MONTH(Tabela1[[#This Row],[Último pagto ano]])</f>
        <v>2</v>
      </c>
      <c r="H1650" t="str">
        <f>TEXT(Tabela1[[#This Row],[Coluna2]]*29,"mmmm")</f>
        <v>fevereiro</v>
      </c>
      <c r="I1650" t="str">
        <f>TEXT(MONTH(Tabela1[[#This Row],[Último pagto ano]])*29,"mmmm")</f>
        <v>fevereiro</v>
      </c>
    </row>
    <row r="1651" spans="1:9" x14ac:dyDescent="0.25">
      <c r="A1651">
        <v>2025</v>
      </c>
      <c r="B1651" t="s">
        <v>3282</v>
      </c>
      <c r="C1651" s="1">
        <v>46010</v>
      </c>
      <c r="D1651" t="s">
        <v>3283</v>
      </c>
      <c r="E1651">
        <v>5.43</v>
      </c>
      <c r="G1651" s="3">
        <f>MONTH(Tabela1[[#This Row],[Último pagto ano]])</f>
        <v>12</v>
      </c>
      <c r="H1651" t="str">
        <f>TEXT(Tabela1[[#This Row],[Coluna2]]*29,"mmmm")</f>
        <v>dezembro</v>
      </c>
      <c r="I1651" t="str">
        <f>TEXT(MONTH(Tabela1[[#This Row],[Último pagto ano]])*29,"mmmm")</f>
        <v>dezembro</v>
      </c>
    </row>
    <row r="1652" spans="1:9" x14ac:dyDescent="0.25">
      <c r="A1652">
        <v>2025</v>
      </c>
      <c r="B1652" t="s">
        <v>3284</v>
      </c>
      <c r="C1652" s="1">
        <v>45995</v>
      </c>
      <c r="D1652" t="s">
        <v>3285</v>
      </c>
      <c r="E1652">
        <v>451</v>
      </c>
      <c r="G1652" s="3">
        <f>MONTH(Tabela1[[#This Row],[Último pagto ano]])</f>
        <v>12</v>
      </c>
      <c r="H1652" t="str">
        <f>TEXT(Tabela1[[#This Row],[Coluna2]]*29,"mmmm")</f>
        <v>dezembro</v>
      </c>
      <c r="I1652" t="str">
        <f>TEXT(MONTH(Tabela1[[#This Row],[Último pagto ano]])*29,"mmmm")</f>
        <v>dezembro</v>
      </c>
    </row>
    <row r="1653" spans="1:9" x14ac:dyDescent="0.25">
      <c r="A1653">
        <v>2025</v>
      </c>
      <c r="B1653" t="s">
        <v>3286</v>
      </c>
      <c r="C1653" s="1">
        <v>45712</v>
      </c>
      <c r="D1653" t="s">
        <v>3287</v>
      </c>
      <c r="E1653" s="2">
        <v>1400</v>
      </c>
      <c r="G1653" s="3">
        <f>MONTH(Tabela1[[#This Row],[Último pagto ano]])</f>
        <v>2</v>
      </c>
      <c r="H1653" t="str">
        <f>TEXT(Tabela1[[#This Row],[Coluna2]]*29,"mmmm")</f>
        <v>fevereiro</v>
      </c>
      <c r="I1653" t="str">
        <f>TEXT(MONTH(Tabela1[[#This Row],[Último pagto ano]])*29,"mmmm")</f>
        <v>fevereiro</v>
      </c>
    </row>
    <row r="1654" spans="1:9" x14ac:dyDescent="0.25">
      <c r="A1654">
        <v>2025</v>
      </c>
      <c r="B1654" t="s">
        <v>3288</v>
      </c>
      <c r="C1654" s="1">
        <v>45988</v>
      </c>
      <c r="D1654" t="s">
        <v>3289</v>
      </c>
      <c r="E1654" s="2">
        <v>15899.75</v>
      </c>
      <c r="G1654" s="3">
        <f>MONTH(Tabela1[[#This Row],[Último pagto ano]])</f>
        <v>11</v>
      </c>
      <c r="H1654" t="str">
        <f>TEXT(Tabela1[[#This Row],[Coluna2]]*29,"mmmm")</f>
        <v>novembro</v>
      </c>
      <c r="I1654" t="str">
        <f>TEXT(MONTH(Tabela1[[#This Row],[Último pagto ano]])*29,"mmmm")</f>
        <v>novembro</v>
      </c>
    </row>
    <row r="1655" spans="1:9" x14ac:dyDescent="0.25">
      <c r="A1655">
        <v>2025</v>
      </c>
      <c r="B1655" t="s">
        <v>3290</v>
      </c>
      <c r="C1655" s="1">
        <v>45959</v>
      </c>
      <c r="D1655" t="s">
        <v>3291</v>
      </c>
      <c r="E1655">
        <v>11.55</v>
      </c>
      <c r="G1655" s="3">
        <f>MONTH(Tabela1[[#This Row],[Último pagto ano]])</f>
        <v>10</v>
      </c>
      <c r="H1655" t="str">
        <f>TEXT(Tabela1[[#This Row],[Coluna2]]*29,"mmmm")</f>
        <v>outubro</v>
      </c>
      <c r="I1655" t="str">
        <f>TEXT(MONTH(Tabela1[[#This Row],[Último pagto ano]])*29,"mmmm")</f>
        <v>outubro</v>
      </c>
    </row>
    <row r="1656" spans="1:9" x14ac:dyDescent="0.25">
      <c r="A1656">
        <v>2025</v>
      </c>
      <c r="B1656" t="s">
        <v>3292</v>
      </c>
      <c r="C1656" s="1">
        <v>45810</v>
      </c>
      <c r="D1656" t="s">
        <v>3293</v>
      </c>
      <c r="E1656">
        <v>194.4</v>
      </c>
      <c r="G1656" s="3">
        <f>MONTH(Tabela1[[#This Row],[Último pagto ano]])</f>
        <v>6</v>
      </c>
      <c r="H1656" t="str">
        <f>TEXT(Tabela1[[#This Row],[Coluna2]]*29,"mmmm")</f>
        <v>junho</v>
      </c>
      <c r="I1656" t="str">
        <f>TEXT(MONTH(Tabela1[[#This Row],[Último pagto ano]])*29,"mmmm")</f>
        <v>junho</v>
      </c>
    </row>
    <row r="1657" spans="1:9" x14ac:dyDescent="0.25">
      <c r="A1657">
        <v>2025</v>
      </c>
      <c r="B1657" t="s">
        <v>3294</v>
      </c>
      <c r="C1657" s="1">
        <v>45996</v>
      </c>
      <c r="D1657" t="s">
        <v>3295</v>
      </c>
      <c r="E1657" s="2">
        <v>31300</v>
      </c>
      <c r="G1657" s="3">
        <f>MONTH(Tabela1[[#This Row],[Último pagto ano]])</f>
        <v>12</v>
      </c>
      <c r="H1657" t="str">
        <f>TEXT(Tabela1[[#This Row],[Coluna2]]*29,"mmmm")</f>
        <v>dezembro</v>
      </c>
      <c r="I1657" t="str">
        <f>TEXT(MONTH(Tabela1[[#This Row],[Último pagto ano]])*29,"mmmm")</f>
        <v>dezembro</v>
      </c>
    </row>
    <row r="1658" spans="1:9" x14ac:dyDescent="0.25">
      <c r="A1658">
        <v>2025</v>
      </c>
      <c r="B1658" t="s">
        <v>3296</v>
      </c>
      <c r="C1658" s="1">
        <v>45818</v>
      </c>
      <c r="D1658" t="s">
        <v>3297</v>
      </c>
      <c r="E1658">
        <v>630.41</v>
      </c>
      <c r="G1658" s="3">
        <f>MONTH(Tabela1[[#This Row],[Último pagto ano]])</f>
        <v>6</v>
      </c>
      <c r="H1658" t="str">
        <f>TEXT(Tabela1[[#This Row],[Coluna2]]*29,"mmmm")</f>
        <v>junho</v>
      </c>
      <c r="I1658" t="str">
        <f>TEXT(MONTH(Tabela1[[#This Row],[Último pagto ano]])*29,"mmmm")</f>
        <v>junho</v>
      </c>
    </row>
    <row r="1659" spans="1:9" x14ac:dyDescent="0.25">
      <c r="A1659">
        <v>2025</v>
      </c>
      <c r="B1659" t="s">
        <v>3298</v>
      </c>
      <c r="C1659" s="1">
        <v>46006</v>
      </c>
      <c r="D1659" t="s">
        <v>3299</v>
      </c>
      <c r="E1659" s="2">
        <v>13287.36</v>
      </c>
      <c r="G1659" s="3">
        <f>MONTH(Tabela1[[#This Row],[Último pagto ano]])</f>
        <v>12</v>
      </c>
      <c r="H1659" t="str">
        <f>TEXT(Tabela1[[#This Row],[Coluna2]]*29,"mmmm")</f>
        <v>dezembro</v>
      </c>
      <c r="I1659" t="str">
        <f>TEXT(MONTH(Tabela1[[#This Row],[Último pagto ano]])*29,"mmmm")</f>
        <v>dezembro</v>
      </c>
    </row>
    <row r="1660" spans="1:9" x14ac:dyDescent="0.25">
      <c r="A1660">
        <v>2025</v>
      </c>
      <c r="B1660" t="s">
        <v>3300</v>
      </c>
      <c r="C1660" s="1">
        <v>45842</v>
      </c>
      <c r="D1660" t="s">
        <v>3301</v>
      </c>
      <c r="E1660">
        <v>13.42</v>
      </c>
      <c r="G1660" s="3">
        <f>MONTH(Tabela1[[#This Row],[Último pagto ano]])</f>
        <v>7</v>
      </c>
      <c r="H1660" t="str">
        <f>TEXT(Tabela1[[#This Row],[Coluna2]]*29,"mmmm")</f>
        <v>julho</v>
      </c>
      <c r="I1660" t="str">
        <f>TEXT(MONTH(Tabela1[[#This Row],[Último pagto ano]])*29,"mmmm")</f>
        <v>julho</v>
      </c>
    </row>
    <row r="1661" spans="1:9" x14ac:dyDescent="0.25">
      <c r="A1661">
        <v>2025</v>
      </c>
      <c r="B1661" t="s">
        <v>3302</v>
      </c>
      <c r="C1661" s="1">
        <v>46021</v>
      </c>
      <c r="D1661" t="s">
        <v>3303</v>
      </c>
      <c r="E1661" s="2">
        <v>45064.5</v>
      </c>
      <c r="G1661" s="3">
        <f>MONTH(Tabela1[[#This Row],[Último pagto ano]])</f>
        <v>12</v>
      </c>
      <c r="H1661" t="str">
        <f>TEXT(Tabela1[[#This Row],[Coluna2]]*29,"mmmm")</f>
        <v>dezembro</v>
      </c>
      <c r="I1661" t="str">
        <f>TEXT(MONTH(Tabela1[[#This Row],[Último pagto ano]])*29,"mmmm")</f>
        <v>dezembro</v>
      </c>
    </row>
    <row r="1662" spans="1:9" x14ac:dyDescent="0.25">
      <c r="A1662">
        <v>2025</v>
      </c>
      <c r="B1662" t="s">
        <v>3304</v>
      </c>
      <c r="C1662" s="1">
        <v>46003</v>
      </c>
      <c r="D1662" t="s">
        <v>3305</v>
      </c>
      <c r="E1662" s="2">
        <v>5811.46</v>
      </c>
      <c r="G1662" s="3">
        <f>MONTH(Tabela1[[#This Row],[Último pagto ano]])</f>
        <v>12</v>
      </c>
      <c r="H1662" t="str">
        <f>TEXT(Tabela1[[#This Row],[Coluna2]]*29,"mmmm")</f>
        <v>dezembro</v>
      </c>
      <c r="I1662" t="str">
        <f>TEXT(MONTH(Tabela1[[#This Row],[Último pagto ano]])*29,"mmmm")</f>
        <v>dezembro</v>
      </c>
    </row>
    <row r="1663" spans="1:9" x14ac:dyDescent="0.25">
      <c r="A1663">
        <v>2025</v>
      </c>
      <c r="B1663" t="s">
        <v>3306</v>
      </c>
      <c r="C1663" s="1">
        <v>45950</v>
      </c>
      <c r="D1663" t="s">
        <v>3307</v>
      </c>
      <c r="E1663">
        <v>44</v>
      </c>
      <c r="G1663" s="3">
        <f>MONTH(Tabela1[[#This Row],[Último pagto ano]])</f>
        <v>10</v>
      </c>
      <c r="H1663" t="str">
        <f>TEXT(Tabela1[[#This Row],[Coluna2]]*29,"mmmm")</f>
        <v>outubro</v>
      </c>
      <c r="I1663" t="str">
        <f>TEXT(MONTH(Tabela1[[#This Row],[Último pagto ano]])*29,"mmmm")</f>
        <v>outubro</v>
      </c>
    </row>
    <row r="1664" spans="1:9" x14ac:dyDescent="0.25">
      <c r="A1664">
        <v>2025</v>
      </c>
      <c r="B1664" t="s">
        <v>3308</v>
      </c>
      <c r="C1664" s="1">
        <v>46010</v>
      </c>
      <c r="D1664" t="s">
        <v>3309</v>
      </c>
      <c r="E1664" s="2">
        <v>8400</v>
      </c>
      <c r="G1664" s="3">
        <f>MONTH(Tabela1[[#This Row],[Último pagto ano]])</f>
        <v>12</v>
      </c>
      <c r="H1664" t="str">
        <f>TEXT(Tabela1[[#This Row],[Coluna2]]*29,"mmmm")</f>
        <v>dezembro</v>
      </c>
      <c r="I1664" t="str">
        <f>TEXT(MONTH(Tabela1[[#This Row],[Último pagto ano]])*29,"mmmm")</f>
        <v>dezembro</v>
      </c>
    </row>
    <row r="1665" spans="1:9" x14ac:dyDescent="0.25">
      <c r="A1665">
        <v>2025</v>
      </c>
      <c r="B1665" t="s">
        <v>3310</v>
      </c>
      <c r="C1665" s="1">
        <v>45838</v>
      </c>
      <c r="D1665" t="s">
        <v>3311</v>
      </c>
      <c r="E1665" s="2">
        <v>1035.1600000000001</v>
      </c>
      <c r="G1665" s="3">
        <f>MONTH(Tabela1[[#This Row],[Último pagto ano]])</f>
        <v>6</v>
      </c>
      <c r="H1665" t="str">
        <f>TEXT(Tabela1[[#This Row],[Coluna2]]*29,"mmmm")</f>
        <v>junho</v>
      </c>
      <c r="I1665" t="str">
        <f>TEXT(MONTH(Tabela1[[#This Row],[Último pagto ano]])*29,"mmmm")</f>
        <v>junho</v>
      </c>
    </row>
    <row r="1666" spans="1:9" x14ac:dyDescent="0.25">
      <c r="A1666">
        <v>2025</v>
      </c>
      <c r="B1666" t="s">
        <v>3312</v>
      </c>
      <c r="C1666" s="1">
        <v>45747</v>
      </c>
      <c r="D1666" t="s">
        <v>3313</v>
      </c>
      <c r="E1666" s="2">
        <v>3269.31</v>
      </c>
      <c r="G1666" s="3">
        <f>MONTH(Tabela1[[#This Row],[Último pagto ano]])</f>
        <v>3</v>
      </c>
      <c r="H1666" t="str">
        <f>TEXT(Tabela1[[#This Row],[Coluna2]]*29,"mmmm")</f>
        <v>março</v>
      </c>
      <c r="I1666" t="str">
        <f>TEXT(MONTH(Tabela1[[#This Row],[Último pagto ano]])*29,"mmmm")</f>
        <v>março</v>
      </c>
    </row>
    <row r="1667" spans="1:9" x14ac:dyDescent="0.25">
      <c r="A1667">
        <v>2025</v>
      </c>
      <c r="B1667" t="s">
        <v>3314</v>
      </c>
      <c r="C1667" s="1">
        <v>45688</v>
      </c>
      <c r="D1667" t="s">
        <v>3315</v>
      </c>
      <c r="E1667">
        <v>12.89</v>
      </c>
      <c r="G1667" s="3">
        <f>MONTH(Tabela1[[#This Row],[Último pagto ano]])</f>
        <v>1</v>
      </c>
      <c r="H1667" t="str">
        <f>TEXT(Tabela1[[#This Row],[Coluna2]]*29,"mmmm")</f>
        <v>janeiro</v>
      </c>
      <c r="I1667" t="str">
        <f>TEXT(MONTH(Tabela1[[#This Row],[Último pagto ano]])*29,"mmmm")</f>
        <v>janeiro</v>
      </c>
    </row>
    <row r="1668" spans="1:9" x14ac:dyDescent="0.25">
      <c r="A1668">
        <v>2025</v>
      </c>
      <c r="B1668" t="s">
        <v>3316</v>
      </c>
      <c r="C1668" s="1">
        <v>46009</v>
      </c>
      <c r="D1668" t="s">
        <v>3317</v>
      </c>
      <c r="E1668" s="2">
        <v>2489.88</v>
      </c>
      <c r="G1668" s="3">
        <f>MONTH(Tabela1[[#This Row],[Último pagto ano]])</f>
        <v>12</v>
      </c>
      <c r="H1668" t="str">
        <f>TEXT(Tabela1[[#This Row],[Coluna2]]*29,"mmmm")</f>
        <v>dezembro</v>
      </c>
      <c r="I1668" t="str">
        <f>TEXT(MONTH(Tabela1[[#This Row],[Último pagto ano]])*29,"mmmm")</f>
        <v>dezembro</v>
      </c>
    </row>
    <row r="1669" spans="1:9" x14ac:dyDescent="0.25">
      <c r="A1669">
        <v>2025</v>
      </c>
      <c r="B1669" t="s">
        <v>3318</v>
      </c>
      <c r="C1669" s="1">
        <v>45670</v>
      </c>
      <c r="D1669" t="s">
        <v>3319</v>
      </c>
      <c r="E1669">
        <v>224.96</v>
      </c>
      <c r="G1669" s="3">
        <f>MONTH(Tabela1[[#This Row],[Último pagto ano]])</f>
        <v>1</v>
      </c>
      <c r="H1669" t="str">
        <f>TEXT(Tabela1[[#This Row],[Coluna2]]*29,"mmmm")</f>
        <v>janeiro</v>
      </c>
      <c r="I1669" t="str">
        <f>TEXT(MONTH(Tabela1[[#This Row],[Último pagto ano]])*29,"mmmm")</f>
        <v>janeiro</v>
      </c>
    </row>
    <row r="1670" spans="1:9" x14ac:dyDescent="0.25">
      <c r="A1670">
        <v>2025</v>
      </c>
      <c r="B1670" t="s">
        <v>3320</v>
      </c>
      <c r="C1670" s="1">
        <v>45747</v>
      </c>
      <c r="D1670" t="s">
        <v>3321</v>
      </c>
      <c r="E1670" s="2">
        <v>1059.1600000000001</v>
      </c>
      <c r="G1670" s="3">
        <f>MONTH(Tabela1[[#This Row],[Último pagto ano]])</f>
        <v>3</v>
      </c>
      <c r="H1670" t="str">
        <f>TEXT(Tabela1[[#This Row],[Coluna2]]*29,"mmmm")</f>
        <v>março</v>
      </c>
      <c r="I1670" t="str">
        <f>TEXT(MONTH(Tabela1[[#This Row],[Último pagto ano]])*29,"mmmm")</f>
        <v>março</v>
      </c>
    </row>
    <row r="1671" spans="1:9" x14ac:dyDescent="0.25">
      <c r="A1671">
        <v>2025</v>
      </c>
      <c r="B1671" t="s">
        <v>3322</v>
      </c>
      <c r="C1671" s="1">
        <v>46014</v>
      </c>
      <c r="D1671" t="s">
        <v>3323</v>
      </c>
      <c r="E1671" s="2">
        <v>11130</v>
      </c>
      <c r="G1671" s="3">
        <f>MONTH(Tabela1[[#This Row],[Último pagto ano]])</f>
        <v>12</v>
      </c>
      <c r="H1671" t="str">
        <f>TEXT(Tabela1[[#This Row],[Coluna2]]*29,"mmmm")</f>
        <v>dezembro</v>
      </c>
      <c r="I1671" t="str">
        <f>TEXT(MONTH(Tabela1[[#This Row],[Último pagto ano]])*29,"mmmm")</f>
        <v>dezembro</v>
      </c>
    </row>
    <row r="1672" spans="1:9" x14ac:dyDescent="0.25">
      <c r="A1672">
        <v>2025</v>
      </c>
      <c r="B1672" t="s">
        <v>3324</v>
      </c>
      <c r="C1672" s="1">
        <v>46007</v>
      </c>
      <c r="D1672" t="s">
        <v>3325</v>
      </c>
      <c r="E1672" s="2">
        <v>95039.92</v>
      </c>
      <c r="G1672" s="3">
        <f>MONTH(Tabela1[[#This Row],[Último pagto ano]])</f>
        <v>12</v>
      </c>
      <c r="H1672" t="str">
        <f>TEXT(Tabela1[[#This Row],[Coluna2]]*29,"mmmm")</f>
        <v>dezembro</v>
      </c>
      <c r="I1672" t="str">
        <f>TEXT(MONTH(Tabela1[[#This Row],[Último pagto ano]])*29,"mmmm")</f>
        <v>dezembro</v>
      </c>
    </row>
    <row r="1673" spans="1:9" x14ac:dyDescent="0.25">
      <c r="A1673">
        <v>2025</v>
      </c>
      <c r="B1673" t="s">
        <v>3326</v>
      </c>
      <c r="C1673" s="1">
        <v>45980</v>
      </c>
      <c r="D1673" t="s">
        <v>3327</v>
      </c>
      <c r="E1673" s="2">
        <v>55932.24</v>
      </c>
      <c r="G1673" s="3">
        <f>MONTH(Tabela1[[#This Row],[Último pagto ano]])</f>
        <v>11</v>
      </c>
      <c r="H1673" t="str">
        <f>TEXT(Tabela1[[#This Row],[Coluna2]]*29,"mmmm")</f>
        <v>novembro</v>
      </c>
      <c r="I1673" t="str">
        <f>TEXT(MONTH(Tabela1[[#This Row],[Último pagto ano]])*29,"mmmm")</f>
        <v>novembro</v>
      </c>
    </row>
    <row r="1674" spans="1:9" x14ac:dyDescent="0.25">
      <c r="A1674">
        <v>2025</v>
      </c>
      <c r="B1674" t="s">
        <v>3328</v>
      </c>
      <c r="C1674" s="1">
        <v>45996</v>
      </c>
      <c r="D1674" t="s">
        <v>3329</v>
      </c>
      <c r="E1674" s="2">
        <v>64800</v>
      </c>
      <c r="G1674" s="3">
        <f>MONTH(Tabela1[[#This Row],[Último pagto ano]])</f>
        <v>12</v>
      </c>
      <c r="H1674" t="str">
        <f>TEXT(Tabela1[[#This Row],[Coluna2]]*29,"mmmm")</f>
        <v>dezembro</v>
      </c>
      <c r="I1674" t="str">
        <f>TEXT(MONTH(Tabela1[[#This Row],[Último pagto ano]])*29,"mmmm")</f>
        <v>dezembro</v>
      </c>
    </row>
    <row r="1675" spans="1:9" x14ac:dyDescent="0.25">
      <c r="A1675">
        <v>2025</v>
      </c>
      <c r="B1675" t="s">
        <v>3330</v>
      </c>
      <c r="C1675" s="1">
        <v>46010</v>
      </c>
      <c r="D1675" t="s">
        <v>3331</v>
      </c>
      <c r="E1675">
        <v>700</v>
      </c>
      <c r="G1675" s="3">
        <f>MONTH(Tabela1[[#This Row],[Último pagto ano]])</f>
        <v>12</v>
      </c>
      <c r="H1675" t="str">
        <f>TEXT(Tabela1[[#This Row],[Coluna2]]*29,"mmmm")</f>
        <v>dezembro</v>
      </c>
      <c r="I1675" t="str">
        <f>TEXT(MONTH(Tabela1[[#This Row],[Último pagto ano]])*29,"mmmm")</f>
        <v>dezembro</v>
      </c>
    </row>
    <row r="1676" spans="1:9" x14ac:dyDescent="0.25">
      <c r="A1676">
        <v>2025</v>
      </c>
      <c r="B1676" t="s">
        <v>3332</v>
      </c>
      <c r="C1676" s="1">
        <v>46014</v>
      </c>
      <c r="D1676" t="s">
        <v>3333</v>
      </c>
      <c r="E1676" s="2">
        <v>140000</v>
      </c>
      <c r="G1676" s="3">
        <f>MONTH(Tabela1[[#This Row],[Último pagto ano]])</f>
        <v>12</v>
      </c>
      <c r="H1676" t="str">
        <f>TEXT(Tabela1[[#This Row],[Coluna2]]*29,"mmmm")</f>
        <v>dezembro</v>
      </c>
      <c r="I1676" t="str">
        <f>TEXT(MONTH(Tabela1[[#This Row],[Último pagto ano]])*29,"mmmm")</f>
        <v>dezembro</v>
      </c>
    </row>
    <row r="1677" spans="1:9" x14ac:dyDescent="0.25">
      <c r="A1677">
        <v>2025</v>
      </c>
      <c r="B1677" t="s">
        <v>3334</v>
      </c>
      <c r="C1677" s="1">
        <v>45954</v>
      </c>
      <c r="D1677" t="s">
        <v>3335</v>
      </c>
      <c r="E1677" s="2">
        <v>98009.04</v>
      </c>
      <c r="G1677" s="3">
        <f>MONTH(Tabela1[[#This Row],[Último pagto ano]])</f>
        <v>10</v>
      </c>
      <c r="H1677" t="str">
        <f>TEXT(Tabela1[[#This Row],[Coluna2]]*29,"mmmm")</f>
        <v>outubro</v>
      </c>
      <c r="I1677" t="str">
        <f>TEXT(MONTH(Tabela1[[#This Row],[Último pagto ano]])*29,"mmmm")</f>
        <v>outubro</v>
      </c>
    </row>
    <row r="1678" spans="1:9" x14ac:dyDescent="0.25">
      <c r="A1678">
        <v>2025</v>
      </c>
      <c r="B1678" t="s">
        <v>3336</v>
      </c>
      <c r="C1678" s="1">
        <v>45996</v>
      </c>
      <c r="D1678" t="s">
        <v>3337</v>
      </c>
      <c r="E1678" s="2">
        <v>14000</v>
      </c>
      <c r="G1678" s="3">
        <f>MONTH(Tabela1[[#This Row],[Último pagto ano]])</f>
        <v>12</v>
      </c>
      <c r="H1678" t="str">
        <f>TEXT(Tabela1[[#This Row],[Coluna2]]*29,"mmmm")</f>
        <v>dezembro</v>
      </c>
      <c r="I1678" t="str">
        <f>TEXT(MONTH(Tabela1[[#This Row],[Último pagto ano]])*29,"mmmm")</f>
        <v>dezembro</v>
      </c>
    </row>
    <row r="1679" spans="1:9" x14ac:dyDescent="0.25">
      <c r="A1679">
        <v>2025</v>
      </c>
      <c r="B1679" t="s">
        <v>3338</v>
      </c>
      <c r="C1679" s="1">
        <v>45971</v>
      </c>
      <c r="D1679" t="s">
        <v>3339</v>
      </c>
      <c r="E1679">
        <v>55</v>
      </c>
      <c r="G1679" s="3">
        <f>MONTH(Tabela1[[#This Row],[Último pagto ano]])</f>
        <v>11</v>
      </c>
      <c r="H1679" t="str">
        <f>TEXT(Tabela1[[#This Row],[Coluna2]]*29,"mmmm")</f>
        <v>novembro</v>
      </c>
      <c r="I1679" t="str">
        <f>TEXT(MONTH(Tabela1[[#This Row],[Último pagto ano]])*29,"mmmm")</f>
        <v>novembro</v>
      </c>
    </row>
    <row r="1680" spans="1:9" x14ac:dyDescent="0.25">
      <c r="A1680">
        <v>2025</v>
      </c>
      <c r="B1680" t="s">
        <v>3340</v>
      </c>
      <c r="C1680" s="1">
        <v>45996</v>
      </c>
      <c r="D1680" t="s">
        <v>3341</v>
      </c>
      <c r="E1680" s="2">
        <v>12212.5</v>
      </c>
      <c r="G1680" s="3">
        <f>MONTH(Tabela1[[#This Row],[Último pagto ano]])</f>
        <v>12</v>
      </c>
      <c r="H1680" t="str">
        <f>TEXT(Tabela1[[#This Row],[Coluna2]]*29,"mmmm")</f>
        <v>dezembro</v>
      </c>
      <c r="I1680" t="str">
        <f>TEXT(MONTH(Tabela1[[#This Row],[Último pagto ano]])*29,"mmmm")</f>
        <v>dezembro</v>
      </c>
    </row>
    <row r="1681" spans="1:9" x14ac:dyDescent="0.25">
      <c r="A1681">
        <v>2025</v>
      </c>
      <c r="B1681" t="s">
        <v>3342</v>
      </c>
      <c r="C1681" s="1">
        <v>46006</v>
      </c>
      <c r="D1681" t="s">
        <v>3343</v>
      </c>
      <c r="E1681" s="2">
        <v>12398.88</v>
      </c>
      <c r="G1681" s="3">
        <f>MONTH(Tabela1[[#This Row],[Último pagto ano]])</f>
        <v>12</v>
      </c>
      <c r="H1681" t="str">
        <f>TEXT(Tabela1[[#This Row],[Coluna2]]*29,"mmmm")</f>
        <v>dezembro</v>
      </c>
      <c r="I1681" t="str">
        <f>TEXT(MONTH(Tabela1[[#This Row],[Último pagto ano]])*29,"mmmm")</f>
        <v>dezembro</v>
      </c>
    </row>
    <row r="1682" spans="1:9" x14ac:dyDescent="0.25">
      <c r="A1682">
        <v>2025</v>
      </c>
      <c r="B1682" t="s">
        <v>3344</v>
      </c>
      <c r="C1682" s="1">
        <v>45792</v>
      </c>
      <c r="D1682" t="s">
        <v>3345</v>
      </c>
      <c r="E1682" s="2">
        <v>5839.76</v>
      </c>
      <c r="G1682" s="3">
        <f>MONTH(Tabela1[[#This Row],[Último pagto ano]])</f>
        <v>5</v>
      </c>
      <c r="H1682" t="str">
        <f>TEXT(Tabela1[[#This Row],[Coluna2]]*29,"mmmm")</f>
        <v>maio</v>
      </c>
      <c r="I1682" t="str">
        <f>TEXT(MONTH(Tabela1[[#This Row],[Último pagto ano]])*29,"mmmm")</f>
        <v>maio</v>
      </c>
    </row>
    <row r="1683" spans="1:9" x14ac:dyDescent="0.25">
      <c r="A1683">
        <v>2025</v>
      </c>
      <c r="B1683" t="s">
        <v>3346</v>
      </c>
      <c r="C1683" s="1">
        <v>45894</v>
      </c>
      <c r="D1683" t="s">
        <v>3347</v>
      </c>
      <c r="E1683" s="2">
        <v>5600</v>
      </c>
      <c r="G1683" s="3">
        <f>MONTH(Tabela1[[#This Row],[Último pagto ano]])</f>
        <v>8</v>
      </c>
      <c r="H1683" t="str">
        <f>TEXT(Tabela1[[#This Row],[Coluna2]]*29,"mmmm")</f>
        <v>agosto</v>
      </c>
      <c r="I1683" t="str">
        <f>TEXT(MONTH(Tabela1[[#This Row],[Último pagto ano]])*29,"mmmm")</f>
        <v>agosto</v>
      </c>
    </row>
    <row r="1684" spans="1:9" x14ac:dyDescent="0.25">
      <c r="A1684">
        <v>2025</v>
      </c>
      <c r="B1684" t="s">
        <v>3348</v>
      </c>
      <c r="C1684" s="1">
        <v>46021</v>
      </c>
      <c r="D1684" t="s">
        <v>3349</v>
      </c>
      <c r="E1684" s="2">
        <v>10421.290000000001</v>
      </c>
      <c r="G1684" s="3">
        <f>MONTH(Tabela1[[#This Row],[Último pagto ano]])</f>
        <v>12</v>
      </c>
      <c r="H1684" t="str">
        <f>TEXT(Tabela1[[#This Row],[Coluna2]]*29,"mmmm")</f>
        <v>dezembro</v>
      </c>
      <c r="I1684" t="str">
        <f>TEXT(MONTH(Tabela1[[#This Row],[Último pagto ano]])*29,"mmmm")</f>
        <v>dezembro</v>
      </c>
    </row>
    <row r="1685" spans="1:9" x14ac:dyDescent="0.25">
      <c r="A1685">
        <v>2025</v>
      </c>
      <c r="B1685" t="s">
        <v>3350</v>
      </c>
      <c r="C1685" s="1">
        <v>45817</v>
      </c>
      <c r="D1685" t="s">
        <v>3351</v>
      </c>
      <c r="E1685">
        <v>33</v>
      </c>
      <c r="G1685" s="3">
        <f>MONTH(Tabela1[[#This Row],[Último pagto ano]])</f>
        <v>6</v>
      </c>
      <c r="H1685" t="str">
        <f>TEXT(Tabela1[[#This Row],[Coluna2]]*29,"mmmm")</f>
        <v>junho</v>
      </c>
      <c r="I1685" t="str">
        <f>TEXT(MONTH(Tabela1[[#This Row],[Último pagto ano]])*29,"mmmm")</f>
        <v>junho</v>
      </c>
    </row>
    <row r="1686" spans="1:9" x14ac:dyDescent="0.25">
      <c r="A1686">
        <v>2025</v>
      </c>
      <c r="B1686" t="s">
        <v>3352</v>
      </c>
      <c r="C1686" s="1">
        <v>45989</v>
      </c>
      <c r="D1686" t="s">
        <v>3353</v>
      </c>
      <c r="E1686" s="2">
        <v>11774.59</v>
      </c>
      <c r="G1686" s="3">
        <f>MONTH(Tabela1[[#This Row],[Último pagto ano]])</f>
        <v>11</v>
      </c>
      <c r="H1686" t="str">
        <f>TEXT(Tabela1[[#This Row],[Coluna2]]*29,"mmmm")</f>
        <v>novembro</v>
      </c>
      <c r="I1686" t="str">
        <f>TEXT(MONTH(Tabela1[[#This Row],[Último pagto ano]])*29,"mmmm")</f>
        <v>novembro</v>
      </c>
    </row>
    <row r="1687" spans="1:9" x14ac:dyDescent="0.25">
      <c r="A1687">
        <v>2025</v>
      </c>
      <c r="B1687" t="s">
        <v>3354</v>
      </c>
      <c r="C1687" s="1">
        <v>45950</v>
      </c>
      <c r="D1687" t="s">
        <v>3355</v>
      </c>
      <c r="E1687">
        <v>63.2</v>
      </c>
      <c r="G1687" s="3">
        <f>MONTH(Tabela1[[#This Row],[Último pagto ano]])</f>
        <v>10</v>
      </c>
      <c r="H1687" t="str">
        <f>TEXT(Tabela1[[#This Row],[Coluna2]]*29,"mmmm")</f>
        <v>outubro</v>
      </c>
      <c r="I1687" t="str">
        <f>TEXT(MONTH(Tabela1[[#This Row],[Último pagto ano]])*29,"mmmm")</f>
        <v>outubro</v>
      </c>
    </row>
    <row r="1688" spans="1:9" x14ac:dyDescent="0.25">
      <c r="A1688">
        <v>2025</v>
      </c>
      <c r="B1688" t="s">
        <v>3356</v>
      </c>
      <c r="C1688" s="1">
        <v>46010</v>
      </c>
      <c r="D1688" t="s">
        <v>3357</v>
      </c>
      <c r="E1688" s="2">
        <v>1400</v>
      </c>
      <c r="G1688" s="3">
        <f>MONTH(Tabela1[[#This Row],[Último pagto ano]])</f>
        <v>12</v>
      </c>
      <c r="H1688" t="str">
        <f>TEXT(Tabela1[[#This Row],[Coluna2]]*29,"mmmm")</f>
        <v>dezembro</v>
      </c>
      <c r="I1688" t="str">
        <f>TEXT(MONTH(Tabela1[[#This Row],[Último pagto ano]])*29,"mmmm")</f>
        <v>dezembro</v>
      </c>
    </row>
    <row r="1689" spans="1:9" x14ac:dyDescent="0.25">
      <c r="A1689">
        <v>2025</v>
      </c>
      <c r="B1689" t="s">
        <v>3358</v>
      </c>
      <c r="C1689" s="1">
        <v>45996</v>
      </c>
      <c r="D1689" t="s">
        <v>3359</v>
      </c>
      <c r="E1689" s="2">
        <v>25830</v>
      </c>
      <c r="G1689" s="3">
        <f>MONTH(Tabela1[[#This Row],[Último pagto ano]])</f>
        <v>12</v>
      </c>
      <c r="H1689" t="str">
        <f>TEXT(Tabela1[[#This Row],[Coluna2]]*29,"mmmm")</f>
        <v>dezembro</v>
      </c>
      <c r="I1689" t="str">
        <f>TEXT(MONTH(Tabela1[[#This Row],[Último pagto ano]])*29,"mmmm")</f>
        <v>dezembro</v>
      </c>
    </row>
    <row r="1690" spans="1:9" x14ac:dyDescent="0.25">
      <c r="A1690">
        <v>2025</v>
      </c>
      <c r="B1690" t="s">
        <v>3360</v>
      </c>
      <c r="C1690" s="1">
        <v>46006</v>
      </c>
      <c r="D1690" t="s">
        <v>3361</v>
      </c>
      <c r="E1690" s="2">
        <v>11930.84</v>
      </c>
      <c r="G1690" s="3">
        <f>MONTH(Tabela1[[#This Row],[Último pagto ano]])</f>
        <v>12</v>
      </c>
      <c r="H1690" t="str">
        <f>TEXT(Tabela1[[#This Row],[Coluna2]]*29,"mmmm")</f>
        <v>dezembro</v>
      </c>
      <c r="I1690" t="str">
        <f>TEXT(MONTH(Tabela1[[#This Row],[Último pagto ano]])*29,"mmmm")</f>
        <v>dezembro</v>
      </c>
    </row>
    <row r="1691" spans="1:9" x14ac:dyDescent="0.25">
      <c r="A1691">
        <v>2025</v>
      </c>
      <c r="B1691" t="s">
        <v>3362</v>
      </c>
      <c r="C1691" s="1">
        <v>46006</v>
      </c>
      <c r="D1691" t="s">
        <v>3363</v>
      </c>
      <c r="E1691">
        <v>592.32000000000005</v>
      </c>
      <c r="G1691" s="3">
        <f>MONTH(Tabela1[[#This Row],[Último pagto ano]])</f>
        <v>12</v>
      </c>
      <c r="H1691" t="str">
        <f>TEXT(Tabela1[[#This Row],[Coluna2]]*29,"mmmm")</f>
        <v>dezembro</v>
      </c>
      <c r="I1691" t="str">
        <f>TEXT(MONTH(Tabela1[[#This Row],[Último pagto ano]])*29,"mmmm")</f>
        <v>dezembro</v>
      </c>
    </row>
    <row r="1692" spans="1:9" x14ac:dyDescent="0.25">
      <c r="A1692">
        <v>2025</v>
      </c>
      <c r="B1692" t="s">
        <v>3364</v>
      </c>
      <c r="C1692" s="1">
        <v>45736</v>
      </c>
      <c r="D1692" t="s">
        <v>3365</v>
      </c>
      <c r="E1692" s="2">
        <v>4734</v>
      </c>
      <c r="G1692" s="3">
        <f>MONTH(Tabela1[[#This Row],[Último pagto ano]])</f>
        <v>3</v>
      </c>
      <c r="H1692" t="str">
        <f>TEXT(Tabela1[[#This Row],[Coluna2]]*29,"mmmm")</f>
        <v>março</v>
      </c>
      <c r="I1692" t="str">
        <f>TEXT(MONTH(Tabela1[[#This Row],[Último pagto ano]])*29,"mmmm")</f>
        <v>março</v>
      </c>
    </row>
    <row r="1693" spans="1:9" x14ac:dyDescent="0.25">
      <c r="A1693">
        <v>2025</v>
      </c>
      <c r="B1693" t="s">
        <v>3366</v>
      </c>
      <c r="C1693" s="1">
        <v>46010</v>
      </c>
      <c r="D1693" t="s">
        <v>3367</v>
      </c>
      <c r="E1693" s="2">
        <v>8400</v>
      </c>
      <c r="G1693" s="3">
        <f>MONTH(Tabela1[[#This Row],[Último pagto ano]])</f>
        <v>12</v>
      </c>
      <c r="H1693" t="str">
        <f>TEXT(Tabela1[[#This Row],[Coluna2]]*29,"mmmm")</f>
        <v>dezembro</v>
      </c>
      <c r="I1693" t="str">
        <f>TEXT(MONTH(Tabela1[[#This Row],[Último pagto ano]])*29,"mmmm")</f>
        <v>dezembro</v>
      </c>
    </row>
    <row r="1694" spans="1:9" x14ac:dyDescent="0.25">
      <c r="A1694">
        <v>2025</v>
      </c>
      <c r="B1694" t="s">
        <v>3368</v>
      </c>
      <c r="C1694" s="1">
        <v>45775</v>
      </c>
      <c r="D1694" t="s">
        <v>3369</v>
      </c>
      <c r="E1694">
        <v>108</v>
      </c>
      <c r="G1694" s="3">
        <f>MONTH(Tabela1[[#This Row],[Último pagto ano]])</f>
        <v>4</v>
      </c>
      <c r="H1694" t="str">
        <f>TEXT(Tabela1[[#This Row],[Coluna2]]*29,"mmmm")</f>
        <v>abril</v>
      </c>
      <c r="I1694" t="str">
        <f>TEXT(MONTH(Tabela1[[#This Row],[Último pagto ano]])*29,"mmmm")</f>
        <v>abril</v>
      </c>
    </row>
    <row r="1695" spans="1:9" x14ac:dyDescent="0.25">
      <c r="A1695">
        <v>2025</v>
      </c>
      <c r="B1695" t="s">
        <v>3370</v>
      </c>
      <c r="C1695" s="1">
        <v>46010</v>
      </c>
      <c r="D1695" t="s">
        <v>3371</v>
      </c>
      <c r="E1695" s="2">
        <v>1400</v>
      </c>
      <c r="G1695" s="3">
        <f>MONTH(Tabela1[[#This Row],[Último pagto ano]])</f>
        <v>12</v>
      </c>
      <c r="H1695" t="str">
        <f>TEXT(Tabela1[[#This Row],[Coluna2]]*29,"mmmm")</f>
        <v>dezembro</v>
      </c>
      <c r="I1695" t="str">
        <f>TEXT(MONTH(Tabela1[[#This Row],[Último pagto ano]])*29,"mmmm")</f>
        <v>dezembro</v>
      </c>
    </row>
    <row r="1696" spans="1:9" x14ac:dyDescent="0.25">
      <c r="A1696">
        <v>2025</v>
      </c>
      <c r="B1696" t="s">
        <v>3372</v>
      </c>
      <c r="C1696" s="1">
        <v>46013</v>
      </c>
      <c r="D1696" t="s">
        <v>3373</v>
      </c>
      <c r="E1696" s="2">
        <v>3830.4</v>
      </c>
      <c r="G1696" s="3">
        <f>MONTH(Tabela1[[#This Row],[Último pagto ano]])</f>
        <v>12</v>
      </c>
      <c r="H1696" t="str">
        <f>TEXT(Tabela1[[#This Row],[Coluna2]]*29,"mmmm")</f>
        <v>dezembro</v>
      </c>
      <c r="I1696" t="str">
        <f>TEXT(MONTH(Tabela1[[#This Row],[Último pagto ano]])*29,"mmmm")</f>
        <v>dezembro</v>
      </c>
    </row>
    <row r="1697" spans="1:9" x14ac:dyDescent="0.25">
      <c r="A1697">
        <v>2025</v>
      </c>
      <c r="B1697" t="s">
        <v>3374</v>
      </c>
      <c r="C1697" s="1">
        <v>46006</v>
      </c>
      <c r="D1697" t="s">
        <v>3375</v>
      </c>
      <c r="E1697" s="2">
        <v>23868.5</v>
      </c>
      <c r="G1697" s="3">
        <f>MONTH(Tabela1[[#This Row],[Último pagto ano]])</f>
        <v>12</v>
      </c>
      <c r="H1697" t="str">
        <f>TEXT(Tabela1[[#This Row],[Coluna2]]*29,"mmmm")</f>
        <v>dezembro</v>
      </c>
      <c r="I1697" t="str">
        <f>TEXT(MONTH(Tabela1[[#This Row],[Último pagto ano]])*29,"mmmm")</f>
        <v>dezembro</v>
      </c>
    </row>
    <row r="1698" spans="1:9" x14ac:dyDescent="0.25">
      <c r="A1698">
        <v>2025</v>
      </c>
      <c r="B1698" t="s">
        <v>3376</v>
      </c>
      <c r="C1698" s="1">
        <v>45880</v>
      </c>
      <c r="D1698" t="s">
        <v>3377</v>
      </c>
      <c r="E1698" s="2">
        <v>2400</v>
      </c>
      <c r="G1698" s="3">
        <f>MONTH(Tabela1[[#This Row],[Último pagto ano]])</f>
        <v>8</v>
      </c>
      <c r="H1698" t="str">
        <f>TEXT(Tabela1[[#This Row],[Coluna2]]*29,"mmmm")</f>
        <v>agosto</v>
      </c>
      <c r="I1698" t="str">
        <f>TEXT(MONTH(Tabela1[[#This Row],[Último pagto ano]])*29,"mmmm")</f>
        <v>agosto</v>
      </c>
    </row>
    <row r="1699" spans="1:9" x14ac:dyDescent="0.25">
      <c r="A1699">
        <v>2025</v>
      </c>
      <c r="B1699" t="s">
        <v>3378</v>
      </c>
      <c r="C1699" s="1">
        <v>46014</v>
      </c>
      <c r="D1699" t="s">
        <v>3379</v>
      </c>
      <c r="E1699">
        <v>616</v>
      </c>
      <c r="G1699" s="3">
        <f>MONTH(Tabela1[[#This Row],[Último pagto ano]])</f>
        <v>12</v>
      </c>
      <c r="H1699" t="str">
        <f>TEXT(Tabela1[[#This Row],[Coluna2]]*29,"mmmm")</f>
        <v>dezembro</v>
      </c>
      <c r="I1699" t="str">
        <f>TEXT(MONTH(Tabela1[[#This Row],[Último pagto ano]])*29,"mmmm")</f>
        <v>dezembro</v>
      </c>
    </row>
    <row r="1700" spans="1:9" x14ac:dyDescent="0.25">
      <c r="A1700">
        <v>2025</v>
      </c>
      <c r="B1700" t="s">
        <v>3380</v>
      </c>
      <c r="C1700" s="1">
        <v>45943</v>
      </c>
      <c r="D1700" t="s">
        <v>3381</v>
      </c>
      <c r="E1700">
        <v>11</v>
      </c>
      <c r="G1700" s="3">
        <f>MONTH(Tabela1[[#This Row],[Último pagto ano]])</f>
        <v>10</v>
      </c>
      <c r="H1700" t="str">
        <f>TEXT(Tabela1[[#This Row],[Coluna2]]*29,"mmmm")</f>
        <v>outubro</v>
      </c>
      <c r="I1700" t="str">
        <f>TEXT(MONTH(Tabela1[[#This Row],[Último pagto ano]])*29,"mmmm")</f>
        <v>outubro</v>
      </c>
    </row>
    <row r="1701" spans="1:9" x14ac:dyDescent="0.25">
      <c r="A1701">
        <v>2025</v>
      </c>
      <c r="B1701" t="s">
        <v>3382</v>
      </c>
      <c r="C1701" s="1">
        <v>45985</v>
      </c>
      <c r="D1701" t="s">
        <v>3383</v>
      </c>
      <c r="E1701">
        <v>44</v>
      </c>
      <c r="G1701" s="3">
        <f>MONTH(Tabela1[[#This Row],[Último pagto ano]])</f>
        <v>11</v>
      </c>
      <c r="H1701" t="str">
        <f>TEXT(Tabela1[[#This Row],[Coluna2]]*29,"mmmm")</f>
        <v>novembro</v>
      </c>
      <c r="I1701" t="str">
        <f>TEXT(MONTH(Tabela1[[#This Row],[Último pagto ano]])*29,"mmmm")</f>
        <v>novembro</v>
      </c>
    </row>
    <row r="1702" spans="1:9" x14ac:dyDescent="0.25">
      <c r="A1702">
        <v>2025</v>
      </c>
      <c r="B1702" t="s">
        <v>3384</v>
      </c>
      <c r="C1702" s="1">
        <v>45930</v>
      </c>
      <c r="D1702" t="s">
        <v>3385</v>
      </c>
      <c r="E1702">
        <v>825.32</v>
      </c>
      <c r="G1702" s="3">
        <f>MONTH(Tabela1[[#This Row],[Último pagto ano]])</f>
        <v>9</v>
      </c>
      <c r="H1702" t="str">
        <f>TEXT(Tabela1[[#This Row],[Coluna2]]*29,"mmmm")</f>
        <v>setembro</v>
      </c>
      <c r="I1702" t="str">
        <f>TEXT(MONTH(Tabela1[[#This Row],[Último pagto ano]])*29,"mmmm")</f>
        <v>setembro</v>
      </c>
    </row>
    <row r="1703" spans="1:9" x14ac:dyDescent="0.25">
      <c r="A1703">
        <v>2025</v>
      </c>
      <c r="B1703" t="s">
        <v>3386</v>
      </c>
      <c r="C1703" s="1">
        <v>45849</v>
      </c>
      <c r="D1703" t="s">
        <v>3387</v>
      </c>
      <c r="E1703" s="2">
        <v>3000</v>
      </c>
      <c r="G1703" s="3">
        <f>MONTH(Tabela1[[#This Row],[Último pagto ano]])</f>
        <v>7</v>
      </c>
      <c r="H1703" t="str">
        <f>TEXT(Tabela1[[#This Row],[Coluna2]]*29,"mmmm")</f>
        <v>julho</v>
      </c>
      <c r="I1703" t="str">
        <f>TEXT(MONTH(Tabela1[[#This Row],[Último pagto ano]])*29,"mmmm")</f>
        <v>julho</v>
      </c>
    </row>
    <row r="1704" spans="1:9" x14ac:dyDescent="0.25">
      <c r="A1704">
        <v>2025</v>
      </c>
      <c r="B1704" t="s">
        <v>3386</v>
      </c>
      <c r="C1704" s="1">
        <v>45702</v>
      </c>
      <c r="D1704" t="s">
        <v>3387</v>
      </c>
      <c r="E1704">
        <v>150.80000000000001</v>
      </c>
      <c r="G1704" s="3">
        <f>MONTH(Tabela1[[#This Row],[Último pagto ano]])</f>
        <v>2</v>
      </c>
      <c r="H1704" t="str">
        <f>TEXT(Tabela1[[#This Row],[Coluna2]]*29,"mmmm")</f>
        <v>fevereiro</v>
      </c>
      <c r="I1704" t="str">
        <f>TEXT(MONTH(Tabela1[[#This Row],[Último pagto ano]])*29,"mmmm")</f>
        <v>fevereiro</v>
      </c>
    </row>
    <row r="1705" spans="1:9" x14ac:dyDescent="0.25">
      <c r="A1705">
        <v>2025</v>
      </c>
      <c r="B1705" t="s">
        <v>3388</v>
      </c>
      <c r="C1705" s="1">
        <v>45761</v>
      </c>
      <c r="D1705" t="s">
        <v>3389</v>
      </c>
      <c r="E1705">
        <v>63.2</v>
      </c>
      <c r="G1705" s="3">
        <f>MONTH(Tabela1[[#This Row],[Último pagto ano]])</f>
        <v>4</v>
      </c>
      <c r="H1705" t="str">
        <f>TEXT(Tabela1[[#This Row],[Coluna2]]*29,"mmmm")</f>
        <v>abril</v>
      </c>
      <c r="I1705" t="str">
        <f>TEXT(MONTH(Tabela1[[#This Row],[Último pagto ano]])*29,"mmmm")</f>
        <v>abril</v>
      </c>
    </row>
    <row r="1706" spans="1:9" x14ac:dyDescent="0.25">
      <c r="A1706">
        <v>2025</v>
      </c>
      <c r="B1706" t="s">
        <v>3390</v>
      </c>
      <c r="C1706" s="1">
        <v>45996</v>
      </c>
      <c r="D1706" t="s">
        <v>3391</v>
      </c>
      <c r="E1706" s="2">
        <v>1200</v>
      </c>
      <c r="G1706" s="3">
        <f>MONTH(Tabela1[[#This Row],[Último pagto ano]])</f>
        <v>12</v>
      </c>
      <c r="H1706" t="str">
        <f>TEXT(Tabela1[[#This Row],[Coluna2]]*29,"mmmm")</f>
        <v>dezembro</v>
      </c>
      <c r="I1706" t="str">
        <f>TEXT(MONTH(Tabela1[[#This Row],[Último pagto ano]])*29,"mmmm")</f>
        <v>dezembro</v>
      </c>
    </row>
    <row r="1707" spans="1:9" x14ac:dyDescent="0.25">
      <c r="A1707">
        <v>2025</v>
      </c>
      <c r="B1707" t="s">
        <v>3392</v>
      </c>
      <c r="C1707" s="1">
        <v>46010</v>
      </c>
      <c r="D1707" t="s">
        <v>3393</v>
      </c>
      <c r="E1707" s="2">
        <v>8400</v>
      </c>
      <c r="G1707" s="3">
        <f>MONTH(Tabela1[[#This Row],[Último pagto ano]])</f>
        <v>12</v>
      </c>
      <c r="H1707" t="str">
        <f>TEXT(Tabela1[[#This Row],[Coluna2]]*29,"mmmm")</f>
        <v>dezembro</v>
      </c>
      <c r="I1707" t="str">
        <f>TEXT(MONTH(Tabela1[[#This Row],[Último pagto ano]])*29,"mmmm")</f>
        <v>dezembro</v>
      </c>
    </row>
    <row r="1708" spans="1:9" x14ac:dyDescent="0.25">
      <c r="A1708">
        <v>2025</v>
      </c>
      <c r="B1708" t="s">
        <v>3394</v>
      </c>
      <c r="C1708" s="1">
        <v>45975</v>
      </c>
      <c r="D1708" t="s">
        <v>3395</v>
      </c>
      <c r="E1708" s="2">
        <v>1295.56</v>
      </c>
      <c r="G1708" s="3">
        <f>MONTH(Tabela1[[#This Row],[Último pagto ano]])</f>
        <v>11</v>
      </c>
      <c r="H1708" t="str">
        <f>TEXT(Tabela1[[#This Row],[Coluna2]]*29,"mmmm")</f>
        <v>novembro</v>
      </c>
      <c r="I1708" t="str">
        <f>TEXT(MONTH(Tabela1[[#This Row],[Último pagto ano]])*29,"mmmm")</f>
        <v>novembro</v>
      </c>
    </row>
    <row r="1709" spans="1:9" x14ac:dyDescent="0.25">
      <c r="A1709">
        <v>2025</v>
      </c>
      <c r="B1709" t="s">
        <v>3396</v>
      </c>
      <c r="C1709" s="1">
        <v>45705</v>
      </c>
      <c r="D1709" t="s">
        <v>3397</v>
      </c>
      <c r="E1709">
        <v>592.32000000000005</v>
      </c>
      <c r="G1709" s="3">
        <f>MONTH(Tabela1[[#This Row],[Último pagto ano]])</f>
        <v>2</v>
      </c>
      <c r="H1709" t="str">
        <f>TEXT(Tabela1[[#This Row],[Coluna2]]*29,"mmmm")</f>
        <v>fevereiro</v>
      </c>
      <c r="I1709" t="str">
        <f>TEXT(MONTH(Tabela1[[#This Row],[Último pagto ano]])*29,"mmmm")</f>
        <v>fevereiro</v>
      </c>
    </row>
    <row r="1710" spans="1:9" x14ac:dyDescent="0.25">
      <c r="A1710">
        <v>2025</v>
      </c>
      <c r="B1710" t="s">
        <v>3398</v>
      </c>
      <c r="C1710" s="1">
        <v>45681</v>
      </c>
      <c r="D1710" t="s">
        <v>3399</v>
      </c>
      <c r="E1710">
        <v>700</v>
      </c>
      <c r="G1710" s="3">
        <f>MONTH(Tabela1[[#This Row],[Último pagto ano]])</f>
        <v>1</v>
      </c>
      <c r="H1710" t="str">
        <f>TEXT(Tabela1[[#This Row],[Coluna2]]*29,"mmmm")</f>
        <v>janeiro</v>
      </c>
      <c r="I1710" t="str">
        <f>TEXT(MONTH(Tabela1[[#This Row],[Último pagto ano]])*29,"mmmm")</f>
        <v>janeiro</v>
      </c>
    </row>
    <row r="1711" spans="1:9" x14ac:dyDescent="0.25">
      <c r="A1711">
        <v>2025</v>
      </c>
      <c r="B1711" t="s">
        <v>3400</v>
      </c>
      <c r="C1711" s="1">
        <v>45852</v>
      </c>
      <c r="D1711" t="s">
        <v>3401</v>
      </c>
      <c r="E1711">
        <v>22</v>
      </c>
      <c r="G1711" s="3">
        <f>MONTH(Tabela1[[#This Row],[Último pagto ano]])</f>
        <v>7</v>
      </c>
      <c r="H1711" t="str">
        <f>TEXT(Tabela1[[#This Row],[Coluna2]]*29,"mmmm")</f>
        <v>julho</v>
      </c>
      <c r="I1711" t="str">
        <f>TEXT(MONTH(Tabela1[[#This Row],[Último pagto ano]])*29,"mmmm")</f>
        <v>julho</v>
      </c>
    </row>
    <row r="1712" spans="1:9" x14ac:dyDescent="0.25">
      <c r="A1712">
        <v>2025</v>
      </c>
      <c r="B1712" t="s">
        <v>3402</v>
      </c>
      <c r="C1712" s="1">
        <v>45702</v>
      </c>
      <c r="D1712" t="s">
        <v>3403</v>
      </c>
      <c r="E1712" s="2">
        <v>1288.83</v>
      </c>
      <c r="G1712" s="3">
        <f>MONTH(Tabela1[[#This Row],[Último pagto ano]])</f>
        <v>2</v>
      </c>
      <c r="H1712" t="str">
        <f>TEXT(Tabela1[[#This Row],[Coluna2]]*29,"mmmm")</f>
        <v>fevereiro</v>
      </c>
      <c r="I1712" t="str">
        <f>TEXT(MONTH(Tabela1[[#This Row],[Último pagto ano]])*29,"mmmm")</f>
        <v>fevereiro</v>
      </c>
    </row>
    <row r="1713" spans="1:9" x14ac:dyDescent="0.25">
      <c r="A1713">
        <v>2025</v>
      </c>
      <c r="B1713" t="s">
        <v>3404</v>
      </c>
      <c r="C1713" s="1">
        <v>45922</v>
      </c>
      <c r="D1713" t="s">
        <v>3405</v>
      </c>
      <c r="E1713">
        <v>44</v>
      </c>
      <c r="G1713" s="3">
        <f>MONTH(Tabela1[[#This Row],[Último pagto ano]])</f>
        <v>9</v>
      </c>
      <c r="H1713" t="str">
        <f>TEXT(Tabela1[[#This Row],[Coluna2]]*29,"mmmm")</f>
        <v>setembro</v>
      </c>
      <c r="I1713" t="str">
        <f>TEXT(MONTH(Tabela1[[#This Row],[Último pagto ano]])*29,"mmmm")</f>
        <v>setembro</v>
      </c>
    </row>
    <row r="1714" spans="1:9" x14ac:dyDescent="0.25">
      <c r="A1714">
        <v>2025</v>
      </c>
      <c r="B1714" t="s">
        <v>3406</v>
      </c>
      <c r="C1714" s="1">
        <v>46006</v>
      </c>
      <c r="D1714" t="s">
        <v>3407</v>
      </c>
      <c r="E1714" s="2">
        <v>8400</v>
      </c>
      <c r="G1714" s="3">
        <f>MONTH(Tabela1[[#This Row],[Último pagto ano]])</f>
        <v>12</v>
      </c>
      <c r="H1714" t="str">
        <f>TEXT(Tabela1[[#This Row],[Coluna2]]*29,"mmmm")</f>
        <v>dezembro</v>
      </c>
      <c r="I1714" t="str">
        <f>TEXT(MONTH(Tabela1[[#This Row],[Último pagto ano]])*29,"mmmm")</f>
        <v>dezembro</v>
      </c>
    </row>
    <row r="1715" spans="1:9" x14ac:dyDescent="0.25">
      <c r="A1715">
        <v>2025</v>
      </c>
      <c r="B1715" t="s">
        <v>3408</v>
      </c>
      <c r="C1715" s="1">
        <v>46014</v>
      </c>
      <c r="D1715" t="s">
        <v>3409</v>
      </c>
      <c r="E1715">
        <v>352</v>
      </c>
      <c r="G1715" s="3">
        <f>MONTH(Tabela1[[#This Row],[Último pagto ano]])</f>
        <v>12</v>
      </c>
      <c r="H1715" t="str">
        <f>TEXT(Tabela1[[#This Row],[Coluna2]]*29,"mmmm")</f>
        <v>dezembro</v>
      </c>
      <c r="I1715" t="str">
        <f>TEXT(MONTH(Tabela1[[#This Row],[Último pagto ano]])*29,"mmmm")</f>
        <v>dezembro</v>
      </c>
    </row>
    <row r="1716" spans="1:9" x14ac:dyDescent="0.25">
      <c r="A1716">
        <v>2025</v>
      </c>
      <c r="B1716" t="s">
        <v>3410</v>
      </c>
      <c r="C1716" s="1">
        <v>46010</v>
      </c>
      <c r="D1716" t="s">
        <v>3411</v>
      </c>
      <c r="E1716" s="2">
        <v>12000</v>
      </c>
      <c r="G1716" s="3">
        <f>MONTH(Tabela1[[#This Row],[Último pagto ano]])</f>
        <v>12</v>
      </c>
      <c r="H1716" t="str">
        <f>TEXT(Tabela1[[#This Row],[Coluna2]]*29,"mmmm")</f>
        <v>dezembro</v>
      </c>
      <c r="I1716" t="str">
        <f>TEXT(MONTH(Tabela1[[#This Row],[Último pagto ano]])*29,"mmmm")</f>
        <v>dezembro</v>
      </c>
    </row>
    <row r="1717" spans="1:9" x14ac:dyDescent="0.25">
      <c r="A1717">
        <v>2025</v>
      </c>
      <c r="B1717" t="s">
        <v>3412</v>
      </c>
      <c r="C1717" s="1">
        <v>46006</v>
      </c>
      <c r="D1717" t="s">
        <v>3413</v>
      </c>
      <c r="E1717" s="2">
        <v>5613.76</v>
      </c>
      <c r="G1717" s="3">
        <f>MONTH(Tabela1[[#This Row],[Último pagto ano]])</f>
        <v>12</v>
      </c>
      <c r="H1717" t="str">
        <f>TEXT(Tabela1[[#This Row],[Coluna2]]*29,"mmmm")</f>
        <v>dezembro</v>
      </c>
      <c r="I1717" t="str">
        <f>TEXT(MONTH(Tabela1[[#This Row],[Último pagto ano]])*29,"mmmm")</f>
        <v>dezembro</v>
      </c>
    </row>
    <row r="1718" spans="1:9" x14ac:dyDescent="0.25">
      <c r="A1718">
        <v>2025</v>
      </c>
      <c r="B1718" t="s">
        <v>3414</v>
      </c>
      <c r="C1718" s="1">
        <v>45702</v>
      </c>
      <c r="D1718" t="s">
        <v>3415</v>
      </c>
      <c r="E1718">
        <v>84.31</v>
      </c>
      <c r="G1718" s="3">
        <f>MONTH(Tabela1[[#This Row],[Último pagto ano]])</f>
        <v>2</v>
      </c>
      <c r="H1718" t="str">
        <f>TEXT(Tabela1[[#This Row],[Coluna2]]*29,"mmmm")</f>
        <v>fevereiro</v>
      </c>
      <c r="I1718" t="str">
        <f>TEXT(MONTH(Tabela1[[#This Row],[Último pagto ano]])*29,"mmmm")</f>
        <v>fevereiro</v>
      </c>
    </row>
    <row r="1719" spans="1:9" x14ac:dyDescent="0.25">
      <c r="A1719">
        <v>2025</v>
      </c>
      <c r="B1719" t="s">
        <v>3416</v>
      </c>
      <c r="C1719" s="1">
        <v>46021</v>
      </c>
      <c r="D1719" t="s">
        <v>3417</v>
      </c>
      <c r="E1719" s="2">
        <v>9469.09</v>
      </c>
      <c r="G1719" s="3">
        <f>MONTH(Tabela1[[#This Row],[Último pagto ano]])</f>
        <v>12</v>
      </c>
      <c r="H1719" t="str">
        <f>TEXT(Tabela1[[#This Row],[Coluna2]]*29,"mmmm")</f>
        <v>dezembro</v>
      </c>
      <c r="I1719" t="str">
        <f>TEXT(MONTH(Tabela1[[#This Row],[Último pagto ano]])*29,"mmmm")</f>
        <v>dezembro</v>
      </c>
    </row>
    <row r="1720" spans="1:9" x14ac:dyDescent="0.25">
      <c r="A1720">
        <v>2025</v>
      </c>
      <c r="B1720" t="s">
        <v>3418</v>
      </c>
      <c r="C1720" s="1">
        <v>46006</v>
      </c>
      <c r="D1720" t="s">
        <v>3419</v>
      </c>
      <c r="E1720" s="2">
        <v>19466.88</v>
      </c>
      <c r="G1720" s="3">
        <f>MONTH(Tabela1[[#This Row],[Último pagto ano]])</f>
        <v>12</v>
      </c>
      <c r="H1720" t="str">
        <f>TEXT(Tabela1[[#This Row],[Coluna2]]*29,"mmmm")</f>
        <v>dezembro</v>
      </c>
      <c r="I1720" t="str">
        <f>TEXT(MONTH(Tabela1[[#This Row],[Último pagto ano]])*29,"mmmm")</f>
        <v>dezembro</v>
      </c>
    </row>
    <row r="1721" spans="1:9" x14ac:dyDescent="0.25">
      <c r="A1721">
        <v>2025</v>
      </c>
      <c r="B1721" t="s">
        <v>3420</v>
      </c>
      <c r="C1721" s="1">
        <v>45953</v>
      </c>
      <c r="D1721" t="s">
        <v>3421</v>
      </c>
      <c r="E1721" s="2">
        <v>2048.13</v>
      </c>
      <c r="G1721" s="3">
        <f>MONTH(Tabela1[[#This Row],[Último pagto ano]])</f>
        <v>10</v>
      </c>
      <c r="H1721" t="str">
        <f>TEXT(Tabela1[[#This Row],[Coluna2]]*29,"mmmm")</f>
        <v>outubro</v>
      </c>
      <c r="I1721" t="str">
        <f>TEXT(MONTH(Tabela1[[#This Row],[Último pagto ano]])*29,"mmmm")</f>
        <v>outubro</v>
      </c>
    </row>
    <row r="1722" spans="1:9" x14ac:dyDescent="0.25">
      <c r="A1722">
        <v>2025</v>
      </c>
      <c r="B1722" t="s">
        <v>3422</v>
      </c>
      <c r="C1722" s="1">
        <v>45897</v>
      </c>
      <c r="D1722" t="s">
        <v>3423</v>
      </c>
      <c r="E1722" s="2">
        <v>3533.4</v>
      </c>
      <c r="G1722" s="3">
        <f>MONTH(Tabela1[[#This Row],[Último pagto ano]])</f>
        <v>8</v>
      </c>
      <c r="H1722" t="str">
        <f>TEXT(Tabela1[[#This Row],[Coluna2]]*29,"mmmm")</f>
        <v>agosto</v>
      </c>
      <c r="I1722" t="str">
        <f>TEXT(MONTH(Tabela1[[#This Row],[Último pagto ano]])*29,"mmmm")</f>
        <v>agosto</v>
      </c>
    </row>
    <row r="1723" spans="1:9" x14ac:dyDescent="0.25">
      <c r="A1723">
        <v>2025</v>
      </c>
      <c r="B1723" t="s">
        <v>3424</v>
      </c>
      <c r="C1723" s="1">
        <v>45698</v>
      </c>
      <c r="D1723" t="s">
        <v>3425</v>
      </c>
      <c r="E1723" s="2">
        <v>1226.78</v>
      </c>
      <c r="G1723" s="3">
        <f>MONTH(Tabela1[[#This Row],[Último pagto ano]])</f>
        <v>2</v>
      </c>
      <c r="H1723" t="str">
        <f>TEXT(Tabela1[[#This Row],[Coluna2]]*29,"mmmm")</f>
        <v>fevereiro</v>
      </c>
      <c r="I1723" t="str">
        <f>TEXT(MONTH(Tabela1[[#This Row],[Último pagto ano]])*29,"mmmm")</f>
        <v>fevereiro</v>
      </c>
    </row>
    <row r="1724" spans="1:9" x14ac:dyDescent="0.25">
      <c r="A1724">
        <v>2025</v>
      </c>
      <c r="B1724" t="s">
        <v>3426</v>
      </c>
      <c r="C1724" s="1">
        <v>46021</v>
      </c>
      <c r="D1724" t="s">
        <v>3427</v>
      </c>
      <c r="E1724" s="2">
        <v>232932.87</v>
      </c>
      <c r="G1724" s="3">
        <f>MONTH(Tabela1[[#This Row],[Último pagto ano]])</f>
        <v>12</v>
      </c>
      <c r="H1724" t="str">
        <f>TEXT(Tabela1[[#This Row],[Coluna2]]*29,"mmmm")</f>
        <v>dezembro</v>
      </c>
      <c r="I1724" t="str">
        <f>TEXT(MONTH(Tabela1[[#This Row],[Último pagto ano]])*29,"mmmm")</f>
        <v>dezembro</v>
      </c>
    </row>
    <row r="1725" spans="1:9" x14ac:dyDescent="0.25">
      <c r="A1725">
        <v>2025</v>
      </c>
      <c r="B1725" t="s">
        <v>3428</v>
      </c>
      <c r="C1725" s="1">
        <v>45849</v>
      </c>
      <c r="D1725" t="s">
        <v>3429</v>
      </c>
      <c r="E1725" s="2">
        <v>10287</v>
      </c>
      <c r="G1725" s="3">
        <f>MONTH(Tabela1[[#This Row],[Último pagto ano]])</f>
        <v>7</v>
      </c>
      <c r="H1725" t="str">
        <f>TEXT(Tabela1[[#This Row],[Coluna2]]*29,"mmmm")</f>
        <v>julho</v>
      </c>
      <c r="I1725" t="str">
        <f>TEXT(MONTH(Tabela1[[#This Row],[Último pagto ano]])*29,"mmmm")</f>
        <v>julho</v>
      </c>
    </row>
    <row r="1726" spans="1:9" x14ac:dyDescent="0.25">
      <c r="A1726">
        <v>2025</v>
      </c>
      <c r="B1726" t="s">
        <v>3430</v>
      </c>
      <c r="C1726" s="1">
        <v>45985</v>
      </c>
      <c r="D1726" t="s">
        <v>3431</v>
      </c>
      <c r="E1726" s="2">
        <v>59280</v>
      </c>
      <c r="G1726" s="3">
        <f>MONTH(Tabela1[[#This Row],[Último pagto ano]])</f>
        <v>11</v>
      </c>
      <c r="H1726" t="str">
        <f>TEXT(Tabela1[[#This Row],[Coluna2]]*29,"mmmm")</f>
        <v>novembro</v>
      </c>
      <c r="I1726" t="str">
        <f>TEXT(MONTH(Tabela1[[#This Row],[Último pagto ano]])*29,"mmmm")</f>
        <v>novembro</v>
      </c>
    </row>
    <row r="1727" spans="1:9" x14ac:dyDescent="0.25">
      <c r="A1727">
        <v>2025</v>
      </c>
      <c r="B1727" t="s">
        <v>3432</v>
      </c>
      <c r="C1727" s="1">
        <v>45923</v>
      </c>
      <c r="D1727" t="s">
        <v>3433</v>
      </c>
      <c r="E1727" s="2">
        <v>15204</v>
      </c>
      <c r="G1727" s="3">
        <f>MONTH(Tabela1[[#This Row],[Último pagto ano]])</f>
        <v>9</v>
      </c>
      <c r="H1727" t="str">
        <f>TEXT(Tabela1[[#This Row],[Coluna2]]*29,"mmmm")</f>
        <v>setembro</v>
      </c>
      <c r="I1727" t="str">
        <f>TEXT(MONTH(Tabela1[[#This Row],[Último pagto ano]])*29,"mmmm")</f>
        <v>setembro</v>
      </c>
    </row>
    <row r="1728" spans="1:9" x14ac:dyDescent="0.25">
      <c r="A1728">
        <v>2025</v>
      </c>
      <c r="B1728" t="s">
        <v>3434</v>
      </c>
      <c r="C1728" s="1">
        <v>46014</v>
      </c>
      <c r="D1728" t="s">
        <v>3435</v>
      </c>
      <c r="E1728" s="2">
        <v>706128.86</v>
      </c>
      <c r="G1728" s="3">
        <f>MONTH(Tabela1[[#This Row],[Último pagto ano]])</f>
        <v>12</v>
      </c>
      <c r="H1728" t="str">
        <f>TEXT(Tabela1[[#This Row],[Coluna2]]*29,"mmmm")</f>
        <v>dezembro</v>
      </c>
      <c r="I1728" t="str">
        <f>TEXT(MONTH(Tabela1[[#This Row],[Último pagto ano]])*29,"mmmm")</f>
        <v>dezembro</v>
      </c>
    </row>
    <row r="1729" spans="1:9" x14ac:dyDescent="0.25">
      <c r="A1729">
        <v>2025</v>
      </c>
      <c r="B1729" t="s">
        <v>3436</v>
      </c>
      <c r="C1729" s="1">
        <v>45812</v>
      </c>
      <c r="D1729" t="s">
        <v>3437</v>
      </c>
      <c r="E1729" s="2">
        <v>6325</v>
      </c>
      <c r="G1729" s="3">
        <f>MONTH(Tabela1[[#This Row],[Último pagto ano]])</f>
        <v>6</v>
      </c>
      <c r="H1729" t="str">
        <f>TEXT(Tabela1[[#This Row],[Coluna2]]*29,"mmmm")</f>
        <v>junho</v>
      </c>
      <c r="I1729" t="str">
        <f>TEXT(MONTH(Tabela1[[#This Row],[Último pagto ano]])*29,"mmmm")</f>
        <v>junho</v>
      </c>
    </row>
    <row r="1730" spans="1:9" x14ac:dyDescent="0.25">
      <c r="A1730">
        <v>2025</v>
      </c>
      <c r="B1730" t="s">
        <v>3438</v>
      </c>
      <c r="C1730" s="1">
        <v>45959</v>
      </c>
      <c r="D1730" t="s">
        <v>3439</v>
      </c>
      <c r="E1730">
        <v>3.6</v>
      </c>
      <c r="G1730" s="3">
        <f>MONTH(Tabela1[[#This Row],[Último pagto ano]])</f>
        <v>10</v>
      </c>
      <c r="H1730" t="str">
        <f>TEXT(Tabela1[[#This Row],[Coluna2]]*29,"mmmm")</f>
        <v>outubro</v>
      </c>
      <c r="I1730" t="str">
        <f>TEXT(MONTH(Tabela1[[#This Row],[Último pagto ano]])*29,"mmmm")</f>
        <v>outubro</v>
      </c>
    </row>
    <row r="1731" spans="1:9" x14ac:dyDescent="0.25">
      <c r="A1731">
        <v>2025</v>
      </c>
      <c r="B1731" t="s">
        <v>3440</v>
      </c>
      <c r="C1731" s="1">
        <v>46021</v>
      </c>
      <c r="D1731" t="s">
        <v>3441</v>
      </c>
      <c r="E1731" s="2">
        <v>873010</v>
      </c>
      <c r="G1731" s="3">
        <f>MONTH(Tabela1[[#This Row],[Último pagto ano]])</f>
        <v>12</v>
      </c>
      <c r="H1731" t="str">
        <f>TEXT(Tabela1[[#This Row],[Coluna2]]*29,"mmmm")</f>
        <v>dezembro</v>
      </c>
      <c r="I1731" t="str">
        <f>TEXT(MONTH(Tabela1[[#This Row],[Último pagto ano]])*29,"mmmm")</f>
        <v>dezembro</v>
      </c>
    </row>
    <row r="1732" spans="1:9" x14ac:dyDescent="0.25">
      <c r="A1732">
        <v>2025</v>
      </c>
      <c r="B1732" t="s">
        <v>3442</v>
      </c>
      <c r="C1732" s="1">
        <v>45996</v>
      </c>
      <c r="D1732" t="s">
        <v>3443</v>
      </c>
      <c r="E1732" s="2">
        <v>3400</v>
      </c>
      <c r="G1732" s="3">
        <f>MONTH(Tabela1[[#This Row],[Último pagto ano]])</f>
        <v>12</v>
      </c>
      <c r="H1732" t="str">
        <f>TEXT(Tabela1[[#This Row],[Coluna2]]*29,"mmmm")</f>
        <v>dezembro</v>
      </c>
      <c r="I1732" t="str">
        <f>TEXT(MONTH(Tabela1[[#This Row],[Último pagto ano]])*29,"mmmm")</f>
        <v>dezembro</v>
      </c>
    </row>
    <row r="1733" spans="1:9" x14ac:dyDescent="0.25">
      <c r="A1733">
        <v>2025</v>
      </c>
      <c r="B1733" t="s">
        <v>3444</v>
      </c>
      <c r="C1733" s="1">
        <v>46014</v>
      </c>
      <c r="D1733" t="s">
        <v>3445</v>
      </c>
      <c r="E1733" s="2">
        <v>118160</v>
      </c>
      <c r="G1733" s="3">
        <f>MONTH(Tabela1[[#This Row],[Último pagto ano]])</f>
        <v>12</v>
      </c>
      <c r="H1733" t="str">
        <f>TEXT(Tabela1[[#This Row],[Coluna2]]*29,"mmmm")</f>
        <v>dezembro</v>
      </c>
      <c r="I1733" t="str">
        <f>TEXT(MONTH(Tabela1[[#This Row],[Último pagto ano]])*29,"mmmm")</f>
        <v>dezembro</v>
      </c>
    </row>
    <row r="1734" spans="1:9" x14ac:dyDescent="0.25">
      <c r="A1734">
        <v>2025</v>
      </c>
      <c r="B1734" t="s">
        <v>3446</v>
      </c>
      <c r="C1734" s="1">
        <v>45789</v>
      </c>
      <c r="D1734" t="s">
        <v>3447</v>
      </c>
      <c r="E1734" s="2">
        <v>34532</v>
      </c>
      <c r="G1734" s="3">
        <f>MONTH(Tabela1[[#This Row],[Último pagto ano]])</f>
        <v>5</v>
      </c>
      <c r="H1734" t="str">
        <f>TEXT(Tabela1[[#This Row],[Coluna2]]*29,"mmmm")</f>
        <v>maio</v>
      </c>
      <c r="I1734" t="str">
        <f>TEXT(MONTH(Tabela1[[#This Row],[Último pagto ano]])*29,"mmmm")</f>
        <v>maio</v>
      </c>
    </row>
    <row r="1735" spans="1:9" x14ac:dyDescent="0.25">
      <c r="A1735">
        <v>2025</v>
      </c>
      <c r="B1735" t="s">
        <v>3448</v>
      </c>
      <c r="C1735" s="1">
        <v>45985</v>
      </c>
      <c r="D1735" t="s">
        <v>3449</v>
      </c>
      <c r="E1735" s="2">
        <v>435684.2</v>
      </c>
      <c r="G1735" s="3">
        <f>MONTH(Tabela1[[#This Row],[Último pagto ano]])</f>
        <v>11</v>
      </c>
      <c r="H1735" t="str">
        <f>TEXT(Tabela1[[#This Row],[Coluna2]]*29,"mmmm")</f>
        <v>novembro</v>
      </c>
      <c r="I1735" t="str">
        <f>TEXT(MONTH(Tabela1[[#This Row],[Último pagto ano]])*29,"mmmm")</f>
        <v>novembro</v>
      </c>
    </row>
    <row r="1736" spans="1:9" x14ac:dyDescent="0.25">
      <c r="A1736">
        <v>2025</v>
      </c>
      <c r="B1736" t="s">
        <v>3450</v>
      </c>
      <c r="C1736" s="1">
        <v>46007</v>
      </c>
      <c r="D1736" t="s">
        <v>3451</v>
      </c>
      <c r="E1736" s="2">
        <v>331313.12</v>
      </c>
      <c r="G1736" s="3">
        <f>MONTH(Tabela1[[#This Row],[Último pagto ano]])</f>
        <v>12</v>
      </c>
      <c r="H1736" t="str">
        <f>TEXT(Tabela1[[#This Row],[Coluna2]]*29,"mmmm")</f>
        <v>dezembro</v>
      </c>
      <c r="I1736" t="str">
        <f>TEXT(MONTH(Tabela1[[#This Row],[Último pagto ano]])*29,"mmmm")</f>
        <v>dezembro</v>
      </c>
    </row>
    <row r="1737" spans="1:9" x14ac:dyDescent="0.25">
      <c r="A1737">
        <v>2025</v>
      </c>
      <c r="B1737" t="s">
        <v>3452</v>
      </c>
      <c r="C1737" s="1">
        <v>45672</v>
      </c>
      <c r="D1737" t="s">
        <v>3453</v>
      </c>
      <c r="E1737" s="2">
        <v>1768</v>
      </c>
      <c r="G1737" s="3">
        <f>MONTH(Tabela1[[#This Row],[Último pagto ano]])</f>
        <v>1</v>
      </c>
      <c r="H1737" t="str">
        <f>TEXT(Tabela1[[#This Row],[Coluna2]]*29,"mmmm")</f>
        <v>janeiro</v>
      </c>
      <c r="I1737" t="str">
        <f>TEXT(MONTH(Tabela1[[#This Row],[Último pagto ano]])*29,"mmmm")</f>
        <v>janeiro</v>
      </c>
    </row>
    <row r="1738" spans="1:9" x14ac:dyDescent="0.25">
      <c r="A1738">
        <v>2025</v>
      </c>
      <c r="B1738" t="s">
        <v>3454</v>
      </c>
      <c r="C1738" s="1">
        <v>45999</v>
      </c>
      <c r="D1738" t="s">
        <v>3455</v>
      </c>
      <c r="E1738">
        <v>22</v>
      </c>
      <c r="G1738" s="3">
        <f>MONTH(Tabela1[[#This Row],[Último pagto ano]])</f>
        <v>12</v>
      </c>
      <c r="H1738" t="str">
        <f>TEXT(Tabela1[[#This Row],[Coluna2]]*29,"mmmm")</f>
        <v>dezembro</v>
      </c>
      <c r="I1738" t="str">
        <f>TEXT(MONTH(Tabela1[[#This Row],[Último pagto ano]])*29,"mmmm")</f>
        <v>dezembro</v>
      </c>
    </row>
    <row r="1739" spans="1:9" x14ac:dyDescent="0.25">
      <c r="A1739">
        <v>2025</v>
      </c>
      <c r="B1739" t="s">
        <v>3456</v>
      </c>
      <c r="C1739" s="1">
        <v>45943</v>
      </c>
      <c r="D1739" t="s">
        <v>3457</v>
      </c>
      <c r="E1739" s="2">
        <v>58584</v>
      </c>
      <c r="G1739" s="3">
        <f>MONTH(Tabela1[[#This Row],[Último pagto ano]])</f>
        <v>10</v>
      </c>
      <c r="H1739" t="str">
        <f>TEXT(Tabela1[[#This Row],[Coluna2]]*29,"mmmm")</f>
        <v>outubro</v>
      </c>
      <c r="I1739" t="str">
        <f>TEXT(MONTH(Tabela1[[#This Row],[Último pagto ano]])*29,"mmmm")</f>
        <v>outubro</v>
      </c>
    </row>
    <row r="1740" spans="1:9" x14ac:dyDescent="0.25">
      <c r="A1740">
        <v>2025</v>
      </c>
      <c r="B1740" t="s">
        <v>3458</v>
      </c>
      <c r="C1740" s="1">
        <v>45821</v>
      </c>
      <c r="D1740" t="s">
        <v>3459</v>
      </c>
      <c r="E1740" s="2">
        <v>27000</v>
      </c>
      <c r="G1740" s="3">
        <f>MONTH(Tabela1[[#This Row],[Último pagto ano]])</f>
        <v>6</v>
      </c>
      <c r="H1740" t="str">
        <f>TEXT(Tabela1[[#This Row],[Coluna2]]*29,"mmmm")</f>
        <v>junho</v>
      </c>
      <c r="I1740" t="str">
        <f>TEXT(MONTH(Tabela1[[#This Row],[Último pagto ano]])*29,"mmmm")</f>
        <v>junho</v>
      </c>
    </row>
    <row r="1741" spans="1:9" x14ac:dyDescent="0.25">
      <c r="A1741">
        <v>2025</v>
      </c>
      <c r="B1741" t="s">
        <v>3460</v>
      </c>
      <c r="C1741" s="1">
        <v>46008</v>
      </c>
      <c r="D1741" t="s">
        <v>3461</v>
      </c>
      <c r="E1741" s="2">
        <v>1268637.1299999999</v>
      </c>
      <c r="G1741" s="3">
        <f>MONTH(Tabela1[[#This Row],[Último pagto ano]])</f>
        <v>12</v>
      </c>
      <c r="H1741" t="str">
        <f>TEXT(Tabela1[[#This Row],[Coluna2]]*29,"mmmm")</f>
        <v>dezembro</v>
      </c>
      <c r="I1741" t="str">
        <f>TEXT(MONTH(Tabela1[[#This Row],[Último pagto ano]])*29,"mmmm")</f>
        <v>dezembro</v>
      </c>
    </row>
    <row r="1742" spans="1:9" x14ac:dyDescent="0.25">
      <c r="A1742">
        <v>2025</v>
      </c>
      <c r="B1742" t="s">
        <v>3462</v>
      </c>
      <c r="C1742" s="1">
        <v>45891</v>
      </c>
      <c r="D1742" t="s">
        <v>3463</v>
      </c>
      <c r="E1742" s="2">
        <v>1475.32</v>
      </c>
      <c r="G1742" s="3">
        <f>MONTH(Tabela1[[#This Row],[Último pagto ano]])</f>
        <v>8</v>
      </c>
      <c r="H1742" t="str">
        <f>TEXT(Tabela1[[#This Row],[Coluna2]]*29,"mmmm")</f>
        <v>agosto</v>
      </c>
      <c r="I1742" t="str">
        <f>TEXT(MONTH(Tabela1[[#This Row],[Último pagto ano]])*29,"mmmm")</f>
        <v>agosto</v>
      </c>
    </row>
    <row r="1743" spans="1:9" x14ac:dyDescent="0.25">
      <c r="A1743">
        <v>2025</v>
      </c>
      <c r="B1743" t="s">
        <v>3464</v>
      </c>
      <c r="C1743" s="1">
        <v>45782</v>
      </c>
      <c r="D1743" t="s">
        <v>3465</v>
      </c>
      <c r="E1743" s="2">
        <v>517925.65</v>
      </c>
      <c r="G1743" s="3">
        <f>MONTH(Tabela1[[#This Row],[Último pagto ano]])</f>
        <v>5</v>
      </c>
      <c r="H1743" t="str">
        <f>TEXT(Tabela1[[#This Row],[Coluna2]]*29,"mmmm")</f>
        <v>maio</v>
      </c>
      <c r="I1743" t="str">
        <f>TEXT(MONTH(Tabela1[[#This Row],[Último pagto ano]])*29,"mmmm")</f>
        <v>maio</v>
      </c>
    </row>
    <row r="1744" spans="1:9" x14ac:dyDescent="0.25">
      <c r="A1744">
        <v>2025</v>
      </c>
      <c r="B1744" t="s">
        <v>3466</v>
      </c>
      <c r="C1744" s="1">
        <v>46021</v>
      </c>
      <c r="D1744" t="s">
        <v>3467</v>
      </c>
      <c r="E1744" s="2">
        <v>1150465.26</v>
      </c>
      <c r="G1744" s="3">
        <f>MONTH(Tabela1[[#This Row],[Último pagto ano]])</f>
        <v>12</v>
      </c>
      <c r="H1744" t="str">
        <f>TEXT(Tabela1[[#This Row],[Coluna2]]*29,"mmmm")</f>
        <v>dezembro</v>
      </c>
      <c r="I1744" t="str">
        <f>TEXT(MONTH(Tabela1[[#This Row],[Último pagto ano]])*29,"mmmm")</f>
        <v>dezembro</v>
      </c>
    </row>
    <row r="1745" spans="1:9" x14ac:dyDescent="0.25">
      <c r="A1745">
        <v>2025</v>
      </c>
      <c r="B1745" t="s">
        <v>3468</v>
      </c>
      <c r="C1745" s="1">
        <v>45889</v>
      </c>
      <c r="D1745" t="s">
        <v>3469</v>
      </c>
      <c r="E1745" s="2">
        <v>1015801.56</v>
      </c>
      <c r="G1745" s="3">
        <f>MONTH(Tabela1[[#This Row],[Último pagto ano]])</f>
        <v>8</v>
      </c>
      <c r="H1745" t="str">
        <f>TEXT(Tabela1[[#This Row],[Coluna2]]*29,"mmmm")</f>
        <v>agosto</v>
      </c>
      <c r="I1745" t="str">
        <f>TEXT(MONTH(Tabela1[[#This Row],[Último pagto ano]])*29,"mmmm")</f>
        <v>agosto</v>
      </c>
    </row>
    <row r="1746" spans="1:9" x14ac:dyDescent="0.25">
      <c r="A1746">
        <v>2025</v>
      </c>
      <c r="B1746" t="s">
        <v>3470</v>
      </c>
      <c r="C1746" s="1">
        <v>45992</v>
      </c>
      <c r="D1746" t="s">
        <v>3471</v>
      </c>
      <c r="E1746" s="2">
        <v>885000</v>
      </c>
      <c r="G1746" s="3">
        <f>MONTH(Tabela1[[#This Row],[Último pagto ano]])</f>
        <v>12</v>
      </c>
      <c r="H1746" t="str">
        <f>TEXT(Tabela1[[#This Row],[Coluna2]]*29,"mmmm")</f>
        <v>dezembro</v>
      </c>
      <c r="I1746" t="str">
        <f>TEXT(MONTH(Tabela1[[#This Row],[Último pagto ano]])*29,"mmmm")</f>
        <v>dezembro</v>
      </c>
    </row>
    <row r="1747" spans="1:9" x14ac:dyDescent="0.25">
      <c r="A1747">
        <v>2025</v>
      </c>
      <c r="B1747" t="s">
        <v>3472</v>
      </c>
      <c r="C1747" s="1">
        <v>46007</v>
      </c>
      <c r="D1747" t="s">
        <v>3473</v>
      </c>
      <c r="E1747" s="2">
        <v>676523.73</v>
      </c>
      <c r="G1747" s="3">
        <f>MONTH(Tabela1[[#This Row],[Último pagto ano]])</f>
        <v>12</v>
      </c>
      <c r="H1747" t="str">
        <f>TEXT(Tabela1[[#This Row],[Coluna2]]*29,"mmmm")</f>
        <v>dezembro</v>
      </c>
      <c r="I1747" t="str">
        <f>TEXT(MONTH(Tabela1[[#This Row],[Último pagto ano]])*29,"mmmm")</f>
        <v>dezembro</v>
      </c>
    </row>
    <row r="1748" spans="1:9" x14ac:dyDescent="0.25">
      <c r="A1748">
        <v>2025</v>
      </c>
      <c r="B1748" t="s">
        <v>3474</v>
      </c>
      <c r="C1748" s="1">
        <v>46013</v>
      </c>
      <c r="D1748" t="s">
        <v>3475</v>
      </c>
      <c r="E1748" s="2">
        <v>132488.28</v>
      </c>
      <c r="G1748" s="3">
        <f>MONTH(Tabela1[[#This Row],[Último pagto ano]])</f>
        <v>12</v>
      </c>
      <c r="H1748" t="str">
        <f>TEXT(Tabela1[[#This Row],[Coluna2]]*29,"mmmm")</f>
        <v>dezembro</v>
      </c>
      <c r="I1748" t="str">
        <f>TEXT(MONTH(Tabela1[[#This Row],[Último pagto ano]])*29,"mmmm")</f>
        <v>dezembro</v>
      </c>
    </row>
    <row r="1749" spans="1:9" x14ac:dyDescent="0.25">
      <c r="A1749">
        <v>2025</v>
      </c>
      <c r="B1749" t="s">
        <v>3476</v>
      </c>
      <c r="C1749" s="1">
        <v>46014</v>
      </c>
      <c r="D1749" t="s">
        <v>3477</v>
      </c>
      <c r="E1749" s="2">
        <v>1096078.6200000001</v>
      </c>
      <c r="G1749" s="3">
        <f>MONTH(Tabela1[[#This Row],[Último pagto ano]])</f>
        <v>12</v>
      </c>
      <c r="H1749" t="str">
        <f>TEXT(Tabela1[[#This Row],[Coluna2]]*29,"mmmm")</f>
        <v>dezembro</v>
      </c>
      <c r="I1749" t="str">
        <f>TEXT(MONTH(Tabela1[[#This Row],[Último pagto ano]])*29,"mmmm")</f>
        <v>dezembro</v>
      </c>
    </row>
    <row r="1750" spans="1:9" x14ac:dyDescent="0.25">
      <c r="A1750">
        <v>2025</v>
      </c>
      <c r="B1750" t="s">
        <v>3476</v>
      </c>
      <c r="C1750" s="1">
        <v>46014</v>
      </c>
      <c r="D1750" t="s">
        <v>3478</v>
      </c>
      <c r="E1750" s="2">
        <v>200581.5</v>
      </c>
      <c r="G1750" s="3">
        <f>MONTH(Tabela1[[#This Row],[Último pagto ano]])</f>
        <v>12</v>
      </c>
      <c r="H1750" t="str">
        <f>TEXT(Tabela1[[#This Row],[Coluna2]]*29,"mmmm")</f>
        <v>dezembro</v>
      </c>
      <c r="I1750" t="str">
        <f>TEXT(MONTH(Tabela1[[#This Row],[Último pagto ano]])*29,"mmmm")</f>
        <v>dezembro</v>
      </c>
    </row>
    <row r="1751" spans="1:9" x14ac:dyDescent="0.25">
      <c r="A1751">
        <v>2025</v>
      </c>
      <c r="B1751" t="s">
        <v>3479</v>
      </c>
      <c r="C1751" s="1">
        <v>45852</v>
      </c>
      <c r="D1751" t="s">
        <v>3480</v>
      </c>
      <c r="E1751" s="2">
        <v>2857.5</v>
      </c>
      <c r="G1751" s="3">
        <f>MONTH(Tabela1[[#This Row],[Último pagto ano]])</f>
        <v>7</v>
      </c>
      <c r="H1751" t="str">
        <f>TEXT(Tabela1[[#This Row],[Coluna2]]*29,"mmmm")</f>
        <v>julho</v>
      </c>
      <c r="I1751" t="str">
        <f>TEXT(MONTH(Tabela1[[#This Row],[Último pagto ano]])*29,"mmmm")</f>
        <v>julho</v>
      </c>
    </row>
    <row r="1752" spans="1:9" x14ac:dyDescent="0.25">
      <c r="A1752">
        <v>2025</v>
      </c>
      <c r="B1752" t="s">
        <v>3481</v>
      </c>
      <c r="C1752" s="1">
        <v>45818</v>
      </c>
      <c r="D1752" t="s">
        <v>3482</v>
      </c>
      <c r="E1752">
        <v>849.47</v>
      </c>
      <c r="G1752" s="3">
        <f>MONTH(Tabela1[[#This Row],[Último pagto ano]])</f>
        <v>6</v>
      </c>
      <c r="H1752" t="str">
        <f>TEXT(Tabela1[[#This Row],[Coluna2]]*29,"mmmm")</f>
        <v>junho</v>
      </c>
      <c r="I1752" t="str">
        <f>TEXT(MONTH(Tabela1[[#This Row],[Último pagto ano]])*29,"mmmm")</f>
        <v>junho</v>
      </c>
    </row>
    <row r="1753" spans="1:9" x14ac:dyDescent="0.25">
      <c r="A1753">
        <v>2025</v>
      </c>
      <c r="B1753" t="s">
        <v>3483</v>
      </c>
      <c r="C1753" s="1">
        <v>46003</v>
      </c>
      <c r="D1753" t="s">
        <v>3484</v>
      </c>
      <c r="E1753" s="2">
        <v>822815.17</v>
      </c>
      <c r="G1753" s="3">
        <f>MONTH(Tabela1[[#This Row],[Último pagto ano]])</f>
        <v>12</v>
      </c>
      <c r="H1753" t="str">
        <f>TEXT(Tabela1[[#This Row],[Coluna2]]*29,"mmmm")</f>
        <v>dezembro</v>
      </c>
      <c r="I1753" t="str">
        <f>TEXT(MONTH(Tabela1[[#This Row],[Último pagto ano]])*29,"mmmm")</f>
        <v>dezembro</v>
      </c>
    </row>
    <row r="1754" spans="1:9" x14ac:dyDescent="0.25">
      <c r="A1754">
        <v>2025</v>
      </c>
      <c r="B1754" t="s">
        <v>3485</v>
      </c>
      <c r="C1754" s="1">
        <v>45943</v>
      </c>
      <c r="D1754" t="s">
        <v>3486</v>
      </c>
      <c r="E1754" s="2">
        <v>4192</v>
      </c>
      <c r="G1754" s="3">
        <f>MONTH(Tabela1[[#This Row],[Último pagto ano]])</f>
        <v>10</v>
      </c>
      <c r="H1754" t="str">
        <f>TEXT(Tabela1[[#This Row],[Coluna2]]*29,"mmmm")</f>
        <v>outubro</v>
      </c>
      <c r="I1754" t="str">
        <f>TEXT(MONTH(Tabela1[[#This Row],[Último pagto ano]])*29,"mmmm")</f>
        <v>outubro</v>
      </c>
    </row>
    <row r="1755" spans="1:9" x14ac:dyDescent="0.25">
      <c r="A1755">
        <v>2025</v>
      </c>
      <c r="B1755" t="s">
        <v>3487</v>
      </c>
      <c r="C1755" s="1">
        <v>45733</v>
      </c>
      <c r="D1755" t="s">
        <v>3488</v>
      </c>
      <c r="E1755" s="2">
        <v>4056</v>
      </c>
      <c r="G1755" s="3">
        <f>MONTH(Tabela1[[#This Row],[Último pagto ano]])</f>
        <v>3</v>
      </c>
      <c r="H1755" t="str">
        <f>TEXT(Tabela1[[#This Row],[Coluna2]]*29,"mmmm")</f>
        <v>março</v>
      </c>
      <c r="I1755" t="str">
        <f>TEXT(MONTH(Tabela1[[#This Row],[Último pagto ano]])*29,"mmmm")</f>
        <v>março</v>
      </c>
    </row>
    <row r="1756" spans="1:9" x14ac:dyDescent="0.25">
      <c r="A1756">
        <v>2025</v>
      </c>
      <c r="B1756" t="s">
        <v>3489</v>
      </c>
      <c r="C1756" s="1">
        <v>46000</v>
      </c>
      <c r="D1756" t="s">
        <v>3490</v>
      </c>
      <c r="E1756" s="2">
        <v>3106.9</v>
      </c>
      <c r="G1756" s="3">
        <f>MONTH(Tabela1[[#This Row],[Último pagto ano]])</f>
        <v>12</v>
      </c>
      <c r="H1756" t="str">
        <f>TEXT(Tabela1[[#This Row],[Coluna2]]*29,"mmmm")</f>
        <v>dezembro</v>
      </c>
      <c r="I1756" t="str">
        <f>TEXT(MONTH(Tabela1[[#This Row],[Último pagto ano]])*29,"mmmm")</f>
        <v>dezembro</v>
      </c>
    </row>
    <row r="1757" spans="1:9" x14ac:dyDescent="0.25">
      <c r="A1757">
        <v>2025</v>
      </c>
      <c r="B1757" t="s">
        <v>3491</v>
      </c>
      <c r="C1757" s="1">
        <v>45978</v>
      </c>
      <c r="D1757" t="s">
        <v>3492</v>
      </c>
      <c r="E1757" s="2">
        <v>990006.64</v>
      </c>
      <c r="G1757" s="3">
        <f>MONTH(Tabela1[[#This Row],[Último pagto ano]])</f>
        <v>11</v>
      </c>
      <c r="H1757" t="str">
        <f>TEXT(Tabela1[[#This Row],[Coluna2]]*29,"mmmm")</f>
        <v>novembro</v>
      </c>
      <c r="I1757" t="str">
        <f>TEXT(MONTH(Tabela1[[#This Row],[Último pagto ano]])*29,"mmmm")</f>
        <v>novembro</v>
      </c>
    </row>
    <row r="1758" spans="1:9" x14ac:dyDescent="0.25">
      <c r="A1758">
        <v>2025</v>
      </c>
      <c r="B1758" t="s">
        <v>3493</v>
      </c>
      <c r="C1758" s="1">
        <v>45834</v>
      </c>
      <c r="D1758" t="s">
        <v>3494</v>
      </c>
      <c r="E1758" s="2">
        <v>25008</v>
      </c>
      <c r="G1758" s="3">
        <f>MONTH(Tabela1[[#This Row],[Último pagto ano]])</f>
        <v>6</v>
      </c>
      <c r="H1758" t="str">
        <f>TEXT(Tabela1[[#This Row],[Coluna2]]*29,"mmmm")</f>
        <v>junho</v>
      </c>
      <c r="I1758" t="str">
        <f>TEXT(MONTH(Tabela1[[#This Row],[Último pagto ano]])*29,"mmmm")</f>
        <v>junho</v>
      </c>
    </row>
    <row r="1759" spans="1:9" x14ac:dyDescent="0.25">
      <c r="A1759">
        <v>2025</v>
      </c>
      <c r="B1759" t="s">
        <v>3495</v>
      </c>
      <c r="C1759" s="1">
        <v>45950</v>
      </c>
      <c r="D1759" t="s">
        <v>3496</v>
      </c>
      <c r="E1759" s="2">
        <v>3120</v>
      </c>
      <c r="G1759" s="3">
        <f>MONTH(Tabela1[[#This Row],[Último pagto ano]])</f>
        <v>10</v>
      </c>
      <c r="H1759" t="str">
        <f>TEXT(Tabela1[[#This Row],[Coluna2]]*29,"mmmm")</f>
        <v>outubro</v>
      </c>
      <c r="I1759" t="str">
        <f>TEXT(MONTH(Tabela1[[#This Row],[Último pagto ano]])*29,"mmmm")</f>
        <v>outubro</v>
      </c>
    </row>
    <row r="1760" spans="1:9" x14ac:dyDescent="0.25">
      <c r="A1760">
        <v>2025</v>
      </c>
      <c r="B1760" t="s">
        <v>3497</v>
      </c>
      <c r="C1760" s="1">
        <v>45692</v>
      </c>
      <c r="D1760" t="s">
        <v>3498</v>
      </c>
      <c r="E1760">
        <v>443.2</v>
      </c>
      <c r="G1760" s="3">
        <f>MONTH(Tabela1[[#This Row],[Último pagto ano]])</f>
        <v>2</v>
      </c>
      <c r="H1760" t="str">
        <f>TEXT(Tabela1[[#This Row],[Coluna2]]*29,"mmmm")</f>
        <v>fevereiro</v>
      </c>
      <c r="I1760" t="str">
        <f>TEXT(MONTH(Tabela1[[#This Row],[Último pagto ano]])*29,"mmmm")</f>
        <v>fevereiro</v>
      </c>
    </row>
    <row r="1761" spans="1:9" x14ac:dyDescent="0.25">
      <c r="A1761">
        <v>2025</v>
      </c>
      <c r="B1761" t="s">
        <v>3499</v>
      </c>
      <c r="C1761" s="1">
        <v>45985</v>
      </c>
      <c r="D1761" t="s">
        <v>3500</v>
      </c>
      <c r="E1761" s="2">
        <v>152709.84</v>
      </c>
      <c r="G1761" s="3">
        <f>MONTH(Tabela1[[#This Row],[Último pagto ano]])</f>
        <v>11</v>
      </c>
      <c r="H1761" t="str">
        <f>TEXT(Tabela1[[#This Row],[Coluna2]]*29,"mmmm")</f>
        <v>novembro</v>
      </c>
      <c r="I1761" t="str">
        <f>TEXT(MONTH(Tabela1[[#This Row],[Último pagto ano]])*29,"mmmm")</f>
        <v>novembro</v>
      </c>
    </row>
    <row r="1762" spans="1:9" x14ac:dyDescent="0.25">
      <c r="A1762">
        <v>2025</v>
      </c>
      <c r="B1762" t="s">
        <v>3501</v>
      </c>
      <c r="C1762" s="1">
        <v>46014</v>
      </c>
      <c r="D1762" t="s">
        <v>3502</v>
      </c>
      <c r="E1762" s="2">
        <v>2220165.7400000002</v>
      </c>
      <c r="G1762" s="3">
        <f>MONTH(Tabela1[[#This Row],[Último pagto ano]])</f>
        <v>12</v>
      </c>
      <c r="H1762" t="str">
        <f>TEXT(Tabela1[[#This Row],[Coluna2]]*29,"mmmm")</f>
        <v>dezembro</v>
      </c>
      <c r="I1762" t="str">
        <f>TEXT(MONTH(Tabela1[[#This Row],[Último pagto ano]])*29,"mmmm")</f>
        <v>dezembro</v>
      </c>
    </row>
    <row r="1763" spans="1:9" x14ac:dyDescent="0.25">
      <c r="A1763">
        <v>2025</v>
      </c>
      <c r="B1763" t="s">
        <v>3503</v>
      </c>
      <c r="C1763" s="1">
        <v>45961</v>
      </c>
      <c r="D1763" t="s">
        <v>3504</v>
      </c>
      <c r="E1763" s="2">
        <v>132832</v>
      </c>
      <c r="G1763" s="3">
        <f>MONTH(Tabela1[[#This Row],[Último pagto ano]])</f>
        <v>10</v>
      </c>
      <c r="H1763" t="str">
        <f>TEXT(Tabela1[[#This Row],[Coluna2]]*29,"mmmm")</f>
        <v>outubro</v>
      </c>
      <c r="I1763" t="str">
        <f>TEXT(MONTH(Tabela1[[#This Row],[Último pagto ano]])*29,"mmmm")</f>
        <v>outubro</v>
      </c>
    </row>
    <row r="1764" spans="1:9" x14ac:dyDescent="0.25">
      <c r="A1764">
        <v>2025</v>
      </c>
      <c r="B1764" t="s">
        <v>3505</v>
      </c>
      <c r="C1764" s="1">
        <v>45995</v>
      </c>
      <c r="D1764" t="s">
        <v>3506</v>
      </c>
      <c r="E1764" s="2">
        <v>112663.63</v>
      </c>
      <c r="G1764" s="3">
        <f>MONTH(Tabela1[[#This Row],[Último pagto ano]])</f>
        <v>12</v>
      </c>
      <c r="H1764" t="str">
        <f>TEXT(Tabela1[[#This Row],[Coluna2]]*29,"mmmm")</f>
        <v>dezembro</v>
      </c>
      <c r="I1764" t="str">
        <f>TEXT(MONTH(Tabela1[[#This Row],[Último pagto ano]])*29,"mmmm")</f>
        <v>dezembro</v>
      </c>
    </row>
    <row r="1765" spans="1:9" x14ac:dyDescent="0.25">
      <c r="A1765">
        <v>2025</v>
      </c>
      <c r="B1765" t="s">
        <v>3507</v>
      </c>
      <c r="C1765" s="1">
        <v>45814</v>
      </c>
      <c r="D1765" t="s">
        <v>3508</v>
      </c>
      <c r="E1765" s="2">
        <v>437262</v>
      </c>
      <c r="G1765" s="3">
        <f>MONTH(Tabela1[[#This Row],[Último pagto ano]])</f>
        <v>6</v>
      </c>
      <c r="H1765" t="str">
        <f>TEXT(Tabela1[[#This Row],[Coluna2]]*29,"mmmm")</f>
        <v>junho</v>
      </c>
      <c r="I1765" t="str">
        <f>TEXT(MONTH(Tabela1[[#This Row],[Último pagto ano]])*29,"mmmm")</f>
        <v>junho</v>
      </c>
    </row>
    <row r="1766" spans="1:9" x14ac:dyDescent="0.25">
      <c r="A1766">
        <v>2025</v>
      </c>
      <c r="B1766" t="s">
        <v>3509</v>
      </c>
      <c r="C1766" s="1">
        <v>45875</v>
      </c>
      <c r="D1766" t="s">
        <v>3510</v>
      </c>
      <c r="E1766">
        <v>118.5</v>
      </c>
      <c r="G1766" s="3">
        <f>MONTH(Tabela1[[#This Row],[Último pagto ano]])</f>
        <v>8</v>
      </c>
      <c r="H1766" t="str">
        <f>TEXT(Tabela1[[#This Row],[Coluna2]]*29,"mmmm")</f>
        <v>agosto</v>
      </c>
      <c r="I1766" t="str">
        <f>TEXT(MONTH(Tabela1[[#This Row],[Último pagto ano]])*29,"mmmm")</f>
        <v>agosto</v>
      </c>
    </row>
    <row r="1767" spans="1:9" x14ac:dyDescent="0.25">
      <c r="A1767">
        <v>2025</v>
      </c>
      <c r="B1767" t="s">
        <v>3511</v>
      </c>
      <c r="C1767" s="1">
        <v>46002</v>
      </c>
      <c r="D1767" t="s">
        <v>3512</v>
      </c>
      <c r="E1767" s="2">
        <v>20315</v>
      </c>
      <c r="G1767" s="3">
        <f>MONTH(Tabela1[[#This Row],[Último pagto ano]])</f>
        <v>12</v>
      </c>
      <c r="H1767" t="str">
        <f>TEXT(Tabela1[[#This Row],[Coluna2]]*29,"mmmm")</f>
        <v>dezembro</v>
      </c>
      <c r="I1767" t="str">
        <f>TEXT(MONTH(Tabela1[[#This Row],[Último pagto ano]])*29,"mmmm")</f>
        <v>dezembro</v>
      </c>
    </row>
    <row r="1768" spans="1:9" x14ac:dyDescent="0.25">
      <c r="A1768">
        <v>2025</v>
      </c>
      <c r="B1768" t="s">
        <v>3513</v>
      </c>
      <c r="C1768" s="1">
        <v>45806</v>
      </c>
      <c r="D1768" t="s">
        <v>3514</v>
      </c>
      <c r="E1768" s="2">
        <v>23720</v>
      </c>
      <c r="G1768" s="3">
        <f>MONTH(Tabela1[[#This Row],[Último pagto ano]])</f>
        <v>5</v>
      </c>
      <c r="H1768" t="str">
        <f>TEXT(Tabela1[[#This Row],[Coluna2]]*29,"mmmm")</f>
        <v>maio</v>
      </c>
      <c r="I1768" t="str">
        <f>TEXT(MONTH(Tabela1[[#This Row],[Último pagto ano]])*29,"mmmm")</f>
        <v>maio</v>
      </c>
    </row>
    <row r="1769" spans="1:9" x14ac:dyDescent="0.25">
      <c r="A1769">
        <v>2025</v>
      </c>
      <c r="B1769" t="s">
        <v>3515</v>
      </c>
      <c r="C1769" s="1">
        <v>45777</v>
      </c>
      <c r="D1769" t="s">
        <v>3516</v>
      </c>
      <c r="E1769" s="2">
        <v>1859.67</v>
      </c>
      <c r="G1769" s="3">
        <f>MONTH(Tabela1[[#This Row],[Último pagto ano]])</f>
        <v>4</v>
      </c>
      <c r="H1769" t="str">
        <f>TEXT(Tabela1[[#This Row],[Coluna2]]*29,"mmmm")</f>
        <v>abril</v>
      </c>
      <c r="I1769" t="str">
        <f>TEXT(MONTH(Tabela1[[#This Row],[Último pagto ano]])*29,"mmmm")</f>
        <v>abril</v>
      </c>
    </row>
    <row r="1770" spans="1:9" x14ac:dyDescent="0.25">
      <c r="A1770">
        <v>2025</v>
      </c>
      <c r="B1770" t="s">
        <v>3517</v>
      </c>
      <c r="C1770" s="1">
        <v>46008</v>
      </c>
      <c r="D1770" t="s">
        <v>3518</v>
      </c>
      <c r="E1770" s="2">
        <v>324864.93</v>
      </c>
      <c r="G1770" s="3">
        <f>MONTH(Tabela1[[#This Row],[Último pagto ano]])</f>
        <v>12</v>
      </c>
      <c r="H1770" t="str">
        <f>TEXT(Tabela1[[#This Row],[Coluna2]]*29,"mmmm")</f>
        <v>dezembro</v>
      </c>
      <c r="I1770" t="str">
        <f>TEXT(MONTH(Tabela1[[#This Row],[Último pagto ano]])*29,"mmmm")</f>
        <v>dezembro</v>
      </c>
    </row>
    <row r="1771" spans="1:9" x14ac:dyDescent="0.25">
      <c r="A1771">
        <v>2025</v>
      </c>
      <c r="B1771" t="s">
        <v>3517</v>
      </c>
      <c r="C1771" s="1">
        <v>45917</v>
      </c>
      <c r="D1771" t="s">
        <v>3519</v>
      </c>
      <c r="E1771" s="2">
        <v>57937.5</v>
      </c>
      <c r="G1771" s="3">
        <f>MONTH(Tabela1[[#This Row],[Último pagto ano]])</f>
        <v>9</v>
      </c>
      <c r="H1771" t="str">
        <f>TEXT(Tabela1[[#This Row],[Coluna2]]*29,"mmmm")</f>
        <v>setembro</v>
      </c>
      <c r="I1771" t="str">
        <f>TEXT(MONTH(Tabela1[[#This Row],[Último pagto ano]])*29,"mmmm")</f>
        <v>setembro</v>
      </c>
    </row>
    <row r="1772" spans="1:9" x14ac:dyDescent="0.25">
      <c r="A1772">
        <v>2025</v>
      </c>
      <c r="B1772" t="s">
        <v>3520</v>
      </c>
      <c r="C1772" s="1">
        <v>45989</v>
      </c>
      <c r="D1772" t="s">
        <v>3521</v>
      </c>
      <c r="E1772" s="2">
        <v>324841.87</v>
      </c>
      <c r="G1772" s="3">
        <f>MONTH(Tabela1[[#This Row],[Último pagto ano]])</f>
        <v>11</v>
      </c>
      <c r="H1772" t="str">
        <f>TEXT(Tabela1[[#This Row],[Coluna2]]*29,"mmmm")</f>
        <v>novembro</v>
      </c>
      <c r="I1772" t="str">
        <f>TEXT(MONTH(Tabela1[[#This Row],[Último pagto ano]])*29,"mmmm")</f>
        <v>novembro</v>
      </c>
    </row>
    <row r="1773" spans="1:9" x14ac:dyDescent="0.25">
      <c r="A1773">
        <v>2025</v>
      </c>
      <c r="B1773" t="s">
        <v>3522</v>
      </c>
      <c r="C1773" s="1">
        <v>45993</v>
      </c>
      <c r="D1773" t="s">
        <v>3523</v>
      </c>
      <c r="E1773" s="2">
        <v>18160.330000000002</v>
      </c>
      <c r="G1773" s="3">
        <f>MONTH(Tabela1[[#This Row],[Último pagto ano]])</f>
        <v>12</v>
      </c>
      <c r="H1773" t="str">
        <f>TEXT(Tabela1[[#This Row],[Coluna2]]*29,"mmmm")</f>
        <v>dezembro</v>
      </c>
      <c r="I1773" t="str">
        <f>TEXT(MONTH(Tabela1[[#This Row],[Último pagto ano]])*29,"mmmm")</f>
        <v>dezembro</v>
      </c>
    </row>
    <row r="1774" spans="1:9" x14ac:dyDescent="0.25">
      <c r="A1774">
        <v>2025</v>
      </c>
      <c r="B1774" t="s">
        <v>3524</v>
      </c>
      <c r="C1774" s="1">
        <v>46014</v>
      </c>
      <c r="D1774" t="s">
        <v>3525</v>
      </c>
      <c r="E1774" s="2">
        <v>73858.509999999995</v>
      </c>
      <c r="G1774" s="3">
        <f>MONTH(Tabela1[[#This Row],[Último pagto ano]])</f>
        <v>12</v>
      </c>
      <c r="H1774" t="str">
        <f>TEXT(Tabela1[[#This Row],[Coluna2]]*29,"mmmm")</f>
        <v>dezembro</v>
      </c>
      <c r="I1774" t="str">
        <f>TEXT(MONTH(Tabela1[[#This Row],[Último pagto ano]])*29,"mmmm")</f>
        <v>dezembro</v>
      </c>
    </row>
    <row r="1775" spans="1:9" x14ac:dyDescent="0.25">
      <c r="A1775">
        <v>2025</v>
      </c>
      <c r="B1775" t="s">
        <v>3526</v>
      </c>
      <c r="C1775" s="1">
        <v>45999</v>
      </c>
      <c r="D1775" t="s">
        <v>3527</v>
      </c>
      <c r="E1775" s="2">
        <v>54809617.32</v>
      </c>
      <c r="G1775" s="3">
        <f>MONTH(Tabela1[[#This Row],[Último pagto ano]])</f>
        <v>12</v>
      </c>
      <c r="H1775" t="str">
        <f>TEXT(Tabela1[[#This Row],[Coluna2]]*29,"mmmm")</f>
        <v>dezembro</v>
      </c>
      <c r="I1775" t="str">
        <f>TEXT(MONTH(Tabela1[[#This Row],[Último pagto ano]])*29,"mmmm")</f>
        <v>dezembro</v>
      </c>
    </row>
    <row r="1776" spans="1:9" x14ac:dyDescent="0.25">
      <c r="A1776">
        <v>2025</v>
      </c>
      <c r="B1776" t="s">
        <v>3528</v>
      </c>
      <c r="C1776" s="1">
        <v>45903</v>
      </c>
      <c r="D1776" t="s">
        <v>3529</v>
      </c>
      <c r="E1776">
        <v>834</v>
      </c>
      <c r="G1776" s="3">
        <f>MONTH(Tabela1[[#This Row],[Último pagto ano]])</f>
        <v>9</v>
      </c>
      <c r="H1776" t="str">
        <f>TEXT(Tabela1[[#This Row],[Coluna2]]*29,"mmmm")</f>
        <v>setembro</v>
      </c>
      <c r="I1776" t="str">
        <f>TEXT(MONTH(Tabela1[[#This Row],[Último pagto ano]])*29,"mmmm")</f>
        <v>setembro</v>
      </c>
    </row>
    <row r="1777" spans="1:9" x14ac:dyDescent="0.25">
      <c r="A1777">
        <v>2025</v>
      </c>
      <c r="B1777" t="s">
        <v>3530</v>
      </c>
      <c r="C1777" s="1">
        <v>45845</v>
      </c>
      <c r="D1777" t="s">
        <v>3531</v>
      </c>
      <c r="E1777" s="2">
        <v>32450.959999999999</v>
      </c>
      <c r="G1777" s="3">
        <f>MONTH(Tabela1[[#This Row],[Último pagto ano]])</f>
        <v>7</v>
      </c>
      <c r="H1777" t="str">
        <f>TEXT(Tabela1[[#This Row],[Coluna2]]*29,"mmmm")</f>
        <v>julho</v>
      </c>
      <c r="I1777" t="str">
        <f>TEXT(MONTH(Tabela1[[#This Row],[Último pagto ano]])*29,"mmmm")</f>
        <v>julho</v>
      </c>
    </row>
    <row r="1778" spans="1:9" x14ac:dyDescent="0.25">
      <c r="A1778">
        <v>2025</v>
      </c>
      <c r="B1778" t="s">
        <v>3532</v>
      </c>
      <c r="C1778" s="1">
        <v>45959</v>
      </c>
      <c r="D1778" t="s">
        <v>3533</v>
      </c>
      <c r="E1778" s="2">
        <v>11737.34</v>
      </c>
      <c r="G1778" s="3">
        <f>MONTH(Tabela1[[#This Row],[Último pagto ano]])</f>
        <v>10</v>
      </c>
      <c r="H1778" t="str">
        <f>TEXT(Tabela1[[#This Row],[Coluna2]]*29,"mmmm")</f>
        <v>outubro</v>
      </c>
      <c r="I1778" t="str">
        <f>TEXT(MONTH(Tabela1[[#This Row],[Último pagto ano]])*29,"mmmm")</f>
        <v>outubro</v>
      </c>
    </row>
    <row r="1779" spans="1:9" x14ac:dyDescent="0.25">
      <c r="A1779">
        <v>2025</v>
      </c>
      <c r="B1779" t="s">
        <v>3534</v>
      </c>
      <c r="C1779" s="1">
        <v>46006</v>
      </c>
      <c r="D1779" t="s">
        <v>3535</v>
      </c>
      <c r="E1779" s="2">
        <v>2964796.98</v>
      </c>
      <c r="G1779" s="3">
        <f>MONTH(Tabela1[[#This Row],[Último pagto ano]])</f>
        <v>12</v>
      </c>
      <c r="H1779" t="str">
        <f>TEXT(Tabela1[[#This Row],[Coluna2]]*29,"mmmm")</f>
        <v>dezembro</v>
      </c>
      <c r="I1779" t="str">
        <f>TEXT(MONTH(Tabela1[[#This Row],[Último pagto ano]])*29,"mmmm")</f>
        <v>dezembro</v>
      </c>
    </row>
    <row r="1780" spans="1:9" x14ac:dyDescent="0.25">
      <c r="A1780">
        <v>2025</v>
      </c>
      <c r="B1780" t="s">
        <v>3536</v>
      </c>
      <c r="C1780" s="1">
        <v>46009</v>
      </c>
      <c r="D1780" t="s">
        <v>3537</v>
      </c>
      <c r="E1780" s="2">
        <v>97171.02</v>
      </c>
      <c r="G1780" s="3">
        <f>MONTH(Tabela1[[#This Row],[Último pagto ano]])</f>
        <v>12</v>
      </c>
      <c r="H1780" t="str">
        <f>TEXT(Tabela1[[#This Row],[Coluna2]]*29,"mmmm")</f>
        <v>dezembro</v>
      </c>
      <c r="I1780" t="str">
        <f>TEXT(MONTH(Tabela1[[#This Row],[Último pagto ano]])*29,"mmmm")</f>
        <v>dezembro</v>
      </c>
    </row>
    <row r="1781" spans="1:9" x14ac:dyDescent="0.25">
      <c r="A1781">
        <v>2025</v>
      </c>
      <c r="B1781" t="s">
        <v>3538</v>
      </c>
      <c r="C1781" s="1">
        <v>46014</v>
      </c>
      <c r="D1781" t="s">
        <v>3539</v>
      </c>
      <c r="E1781">
        <v>112.57</v>
      </c>
      <c r="G1781" s="3">
        <f>MONTH(Tabela1[[#This Row],[Último pagto ano]])</f>
        <v>12</v>
      </c>
      <c r="H1781" t="str">
        <f>TEXT(Tabela1[[#This Row],[Coluna2]]*29,"mmmm")</f>
        <v>dezembro</v>
      </c>
      <c r="I1781" t="str">
        <f>TEXT(MONTH(Tabela1[[#This Row],[Último pagto ano]])*29,"mmmm")</f>
        <v>dezembro</v>
      </c>
    </row>
    <row r="1782" spans="1:9" x14ac:dyDescent="0.25">
      <c r="A1782">
        <v>2025</v>
      </c>
      <c r="B1782" t="s">
        <v>3540</v>
      </c>
      <c r="C1782" s="1">
        <v>45999</v>
      </c>
      <c r="D1782" t="s">
        <v>3541</v>
      </c>
      <c r="E1782">
        <v>21.48</v>
      </c>
      <c r="G1782" s="3">
        <f>MONTH(Tabela1[[#This Row],[Último pagto ano]])</f>
        <v>12</v>
      </c>
      <c r="H1782" t="str">
        <f>TEXT(Tabela1[[#This Row],[Coluna2]]*29,"mmmm")</f>
        <v>dezembro</v>
      </c>
      <c r="I1782" t="str">
        <f>TEXT(MONTH(Tabela1[[#This Row],[Último pagto ano]])*29,"mmmm")</f>
        <v>dezembro</v>
      </c>
    </row>
    <row r="1783" spans="1:9" x14ac:dyDescent="0.25">
      <c r="A1783">
        <v>2025</v>
      </c>
      <c r="B1783" t="s">
        <v>3542</v>
      </c>
      <c r="C1783" s="1">
        <v>46001</v>
      </c>
      <c r="D1783" t="s">
        <v>3543</v>
      </c>
      <c r="E1783" s="2">
        <v>8125.8</v>
      </c>
      <c r="G1783" s="3">
        <f>MONTH(Tabela1[[#This Row],[Último pagto ano]])</f>
        <v>12</v>
      </c>
      <c r="H1783" t="str">
        <f>TEXT(Tabela1[[#This Row],[Coluna2]]*29,"mmmm")</f>
        <v>dezembro</v>
      </c>
      <c r="I1783" t="str">
        <f>TEXT(MONTH(Tabela1[[#This Row],[Último pagto ano]])*29,"mmmm")</f>
        <v>dezembro</v>
      </c>
    </row>
    <row r="1784" spans="1:9" x14ac:dyDescent="0.25">
      <c r="A1784">
        <v>2025</v>
      </c>
      <c r="B1784" t="s">
        <v>3544</v>
      </c>
      <c r="C1784" s="1">
        <v>46003</v>
      </c>
      <c r="D1784" t="s">
        <v>3545</v>
      </c>
      <c r="E1784">
        <v>4.6500000000000004</v>
      </c>
      <c r="G1784" s="3">
        <f>MONTH(Tabela1[[#This Row],[Último pagto ano]])</f>
        <v>12</v>
      </c>
      <c r="H1784" t="str">
        <f>TEXT(Tabela1[[#This Row],[Coluna2]]*29,"mmmm")</f>
        <v>dezembro</v>
      </c>
      <c r="I1784" t="str">
        <f>TEXT(MONTH(Tabela1[[#This Row],[Último pagto ano]])*29,"mmmm")</f>
        <v>dezembro</v>
      </c>
    </row>
    <row r="1785" spans="1:9" x14ac:dyDescent="0.25">
      <c r="A1785">
        <v>2025</v>
      </c>
      <c r="B1785" t="s">
        <v>3546</v>
      </c>
      <c r="C1785" s="1">
        <v>46001</v>
      </c>
      <c r="D1785" t="s">
        <v>3547</v>
      </c>
      <c r="E1785" s="2">
        <v>281708.63</v>
      </c>
      <c r="G1785" s="3">
        <f>MONTH(Tabela1[[#This Row],[Último pagto ano]])</f>
        <v>12</v>
      </c>
      <c r="H1785" t="str">
        <f>TEXT(Tabela1[[#This Row],[Coluna2]]*29,"mmmm")</f>
        <v>dezembro</v>
      </c>
      <c r="I1785" t="str">
        <f>TEXT(MONTH(Tabela1[[#This Row],[Último pagto ano]])*29,"mmmm")</f>
        <v>dezembro</v>
      </c>
    </row>
    <row r="1786" spans="1:9" x14ac:dyDescent="0.25">
      <c r="A1786">
        <v>2025</v>
      </c>
      <c r="B1786" t="s">
        <v>3548</v>
      </c>
      <c r="C1786" s="1">
        <v>45961</v>
      </c>
      <c r="D1786" t="s">
        <v>3549</v>
      </c>
      <c r="E1786">
        <v>19.12</v>
      </c>
      <c r="G1786" s="3">
        <f>MONTH(Tabela1[[#This Row],[Último pagto ano]])</f>
        <v>10</v>
      </c>
      <c r="H1786" t="str">
        <f>TEXT(Tabela1[[#This Row],[Coluna2]]*29,"mmmm")</f>
        <v>outubro</v>
      </c>
      <c r="I1786" t="str">
        <f>TEXT(MONTH(Tabela1[[#This Row],[Último pagto ano]])*29,"mmmm")</f>
        <v>outubro</v>
      </c>
    </row>
    <row r="1787" spans="1:9" x14ac:dyDescent="0.25">
      <c r="A1787">
        <v>2025</v>
      </c>
      <c r="B1787" t="s">
        <v>3550</v>
      </c>
      <c r="C1787" s="1">
        <v>45803</v>
      </c>
      <c r="D1787" t="s">
        <v>3551</v>
      </c>
      <c r="E1787" s="2">
        <v>1579</v>
      </c>
      <c r="G1787" s="3">
        <f>MONTH(Tabela1[[#This Row],[Último pagto ano]])</f>
        <v>5</v>
      </c>
      <c r="H1787" t="str">
        <f>TEXT(Tabela1[[#This Row],[Coluna2]]*29,"mmmm")</f>
        <v>maio</v>
      </c>
      <c r="I1787" t="str">
        <f>TEXT(MONTH(Tabela1[[#This Row],[Último pagto ano]])*29,"mmmm")</f>
        <v>maio</v>
      </c>
    </row>
    <row r="1788" spans="1:9" x14ac:dyDescent="0.25">
      <c r="A1788">
        <v>2025</v>
      </c>
      <c r="B1788" t="s">
        <v>3552</v>
      </c>
      <c r="C1788" s="1">
        <v>45747</v>
      </c>
      <c r="D1788" t="s">
        <v>3553</v>
      </c>
      <c r="E1788" s="2">
        <v>5931</v>
      </c>
      <c r="G1788" s="3">
        <f>MONTH(Tabela1[[#This Row],[Último pagto ano]])</f>
        <v>3</v>
      </c>
      <c r="H1788" t="str">
        <f>TEXT(Tabela1[[#This Row],[Coluna2]]*29,"mmmm")</f>
        <v>março</v>
      </c>
      <c r="I1788" t="str">
        <f>TEXT(MONTH(Tabela1[[#This Row],[Último pagto ano]])*29,"mmmm")</f>
        <v>março</v>
      </c>
    </row>
    <row r="1789" spans="1:9" x14ac:dyDescent="0.25">
      <c r="A1789">
        <v>2025</v>
      </c>
      <c r="B1789" t="s">
        <v>3554</v>
      </c>
      <c r="C1789" s="1">
        <v>45702</v>
      </c>
      <c r="D1789" t="s">
        <v>3555</v>
      </c>
      <c r="E1789" s="2">
        <v>3699.51</v>
      </c>
      <c r="G1789" s="3">
        <f>MONTH(Tabela1[[#This Row],[Último pagto ano]])</f>
        <v>2</v>
      </c>
      <c r="H1789" t="str">
        <f>TEXT(Tabela1[[#This Row],[Coluna2]]*29,"mmmm")</f>
        <v>fevereiro</v>
      </c>
      <c r="I1789" t="str">
        <f>TEXT(MONTH(Tabela1[[#This Row],[Último pagto ano]])*29,"mmmm")</f>
        <v>fevereiro</v>
      </c>
    </row>
    <row r="1790" spans="1:9" x14ac:dyDescent="0.25">
      <c r="A1790">
        <v>2025</v>
      </c>
      <c r="B1790" t="s">
        <v>3556</v>
      </c>
      <c r="C1790" s="1">
        <v>46008</v>
      </c>
      <c r="D1790" t="s">
        <v>3557</v>
      </c>
      <c r="E1790" s="2">
        <v>208485.6</v>
      </c>
      <c r="G1790" s="3">
        <f>MONTH(Tabela1[[#This Row],[Último pagto ano]])</f>
        <v>12</v>
      </c>
      <c r="H1790" t="str">
        <f>TEXT(Tabela1[[#This Row],[Coluna2]]*29,"mmmm")</f>
        <v>dezembro</v>
      </c>
      <c r="I1790" t="str">
        <f>TEXT(MONTH(Tabela1[[#This Row],[Último pagto ano]])*29,"mmmm")</f>
        <v>dezembro</v>
      </c>
    </row>
    <row r="1791" spans="1:9" x14ac:dyDescent="0.25">
      <c r="A1791">
        <v>2025</v>
      </c>
      <c r="B1791" t="s">
        <v>3558</v>
      </c>
      <c r="C1791" s="1">
        <v>45754</v>
      </c>
      <c r="D1791" t="s">
        <v>3559</v>
      </c>
      <c r="E1791">
        <v>330</v>
      </c>
      <c r="G1791" s="3">
        <f>MONTH(Tabela1[[#This Row],[Último pagto ano]])</f>
        <v>4</v>
      </c>
      <c r="H1791" t="str">
        <f>TEXT(Tabela1[[#This Row],[Coluna2]]*29,"mmmm")</f>
        <v>abril</v>
      </c>
      <c r="I1791" t="str">
        <f>TEXT(MONTH(Tabela1[[#This Row],[Último pagto ano]])*29,"mmmm")</f>
        <v>abril</v>
      </c>
    </row>
    <row r="1792" spans="1:9" x14ac:dyDescent="0.25">
      <c r="A1792">
        <v>2025</v>
      </c>
      <c r="B1792" t="s">
        <v>3560</v>
      </c>
      <c r="C1792" s="1">
        <v>45821</v>
      </c>
      <c r="D1792" t="s">
        <v>3561</v>
      </c>
      <c r="E1792">
        <v>250.8</v>
      </c>
      <c r="G1792" s="3">
        <f>MONTH(Tabela1[[#This Row],[Último pagto ano]])</f>
        <v>6</v>
      </c>
      <c r="H1792" t="str">
        <f>TEXT(Tabela1[[#This Row],[Coluna2]]*29,"mmmm")</f>
        <v>junho</v>
      </c>
      <c r="I1792" t="str">
        <f>TEXT(MONTH(Tabela1[[#This Row],[Último pagto ano]])*29,"mmmm")</f>
        <v>junho</v>
      </c>
    </row>
    <row r="1793" spans="1:9" x14ac:dyDescent="0.25">
      <c r="A1793">
        <v>2025</v>
      </c>
      <c r="B1793" t="s">
        <v>3562</v>
      </c>
      <c r="C1793" s="1">
        <v>46010</v>
      </c>
      <c r="D1793" t="s">
        <v>3563</v>
      </c>
      <c r="E1793" s="2">
        <v>141560</v>
      </c>
      <c r="G1793" s="3">
        <f>MONTH(Tabela1[[#This Row],[Último pagto ano]])</f>
        <v>12</v>
      </c>
      <c r="H1793" t="str">
        <f>TEXT(Tabela1[[#This Row],[Coluna2]]*29,"mmmm")</f>
        <v>dezembro</v>
      </c>
      <c r="I1793" t="str">
        <f>TEXT(MONTH(Tabela1[[#This Row],[Último pagto ano]])*29,"mmmm")</f>
        <v>dezembro</v>
      </c>
    </row>
    <row r="1794" spans="1:9" x14ac:dyDescent="0.25">
      <c r="A1794">
        <v>2025</v>
      </c>
      <c r="B1794" t="s">
        <v>3564</v>
      </c>
      <c r="C1794" s="1">
        <v>45971</v>
      </c>
      <c r="D1794" t="s">
        <v>3565</v>
      </c>
      <c r="E1794">
        <v>595.15</v>
      </c>
      <c r="G1794" s="3">
        <f>MONTH(Tabela1[[#This Row],[Último pagto ano]])</f>
        <v>11</v>
      </c>
      <c r="H1794" t="str">
        <f>TEXT(Tabela1[[#This Row],[Coluna2]]*29,"mmmm")</f>
        <v>novembro</v>
      </c>
      <c r="I1794" t="str">
        <f>TEXT(MONTH(Tabela1[[#This Row],[Último pagto ano]])*29,"mmmm")</f>
        <v>novembro</v>
      </c>
    </row>
    <row r="1795" spans="1:9" x14ac:dyDescent="0.25">
      <c r="A1795">
        <v>2025</v>
      </c>
      <c r="B1795" t="s">
        <v>3566</v>
      </c>
      <c r="C1795" s="1">
        <v>45869</v>
      </c>
      <c r="D1795" t="s">
        <v>3567</v>
      </c>
      <c r="E1795">
        <v>64.89</v>
      </c>
      <c r="G1795" s="3">
        <f>MONTH(Tabela1[[#This Row],[Último pagto ano]])</f>
        <v>7</v>
      </c>
      <c r="H1795" t="str">
        <f>TEXT(Tabela1[[#This Row],[Coluna2]]*29,"mmmm")</f>
        <v>julho</v>
      </c>
      <c r="I1795" t="str">
        <f>TEXT(MONTH(Tabela1[[#This Row],[Último pagto ano]])*29,"mmmm")</f>
        <v>julho</v>
      </c>
    </row>
    <row r="1796" spans="1:9" x14ac:dyDescent="0.25">
      <c r="A1796">
        <v>2025</v>
      </c>
      <c r="B1796" t="s">
        <v>3568</v>
      </c>
      <c r="C1796" s="1">
        <v>46014</v>
      </c>
      <c r="D1796" t="s">
        <v>3569</v>
      </c>
      <c r="E1796" s="2">
        <v>3465</v>
      </c>
      <c r="G1796" s="3">
        <f>MONTH(Tabela1[[#This Row],[Último pagto ano]])</f>
        <v>12</v>
      </c>
      <c r="H1796" t="str">
        <f>TEXT(Tabela1[[#This Row],[Coluna2]]*29,"mmmm")</f>
        <v>dezembro</v>
      </c>
      <c r="I1796" t="str">
        <f>TEXT(MONTH(Tabela1[[#This Row],[Último pagto ano]])*29,"mmmm")</f>
        <v>dezembro</v>
      </c>
    </row>
    <row r="1797" spans="1:9" x14ac:dyDescent="0.25">
      <c r="A1797">
        <v>2025</v>
      </c>
      <c r="B1797" t="s">
        <v>3570</v>
      </c>
      <c r="C1797" s="1">
        <v>46014</v>
      </c>
      <c r="D1797" t="s">
        <v>3571</v>
      </c>
      <c r="E1797" s="2">
        <v>18388972.32</v>
      </c>
      <c r="G1797" s="3">
        <f>MONTH(Tabela1[[#This Row],[Último pagto ano]])</f>
        <v>12</v>
      </c>
      <c r="H1797" t="str">
        <f>TEXT(Tabela1[[#This Row],[Coluna2]]*29,"mmmm")</f>
        <v>dezembro</v>
      </c>
      <c r="I1797" t="str">
        <f>TEXT(MONTH(Tabela1[[#This Row],[Último pagto ano]])*29,"mmmm")</f>
        <v>dezembro</v>
      </c>
    </row>
    <row r="1798" spans="1:9" x14ac:dyDescent="0.25">
      <c r="A1798">
        <v>2025</v>
      </c>
      <c r="B1798" t="s">
        <v>3572</v>
      </c>
      <c r="C1798" s="1">
        <v>46006</v>
      </c>
      <c r="D1798" t="s">
        <v>3573</v>
      </c>
      <c r="E1798" s="2">
        <v>3706011.36</v>
      </c>
      <c r="G1798" s="3">
        <f>MONTH(Tabela1[[#This Row],[Último pagto ano]])</f>
        <v>12</v>
      </c>
      <c r="H1798" t="str">
        <f>TEXT(Tabela1[[#This Row],[Coluna2]]*29,"mmmm")</f>
        <v>dezembro</v>
      </c>
      <c r="I1798" t="str">
        <f>TEXT(MONTH(Tabela1[[#This Row],[Último pagto ano]])*29,"mmmm")</f>
        <v>dezembro</v>
      </c>
    </row>
    <row r="1799" spans="1:9" x14ac:dyDescent="0.25">
      <c r="A1799">
        <v>2025</v>
      </c>
      <c r="B1799" t="s">
        <v>3574</v>
      </c>
      <c r="C1799" s="1">
        <v>46010</v>
      </c>
      <c r="D1799" t="s">
        <v>3575</v>
      </c>
      <c r="E1799" s="2">
        <v>5616960.5999999996</v>
      </c>
      <c r="G1799" s="3">
        <f>MONTH(Tabela1[[#This Row],[Último pagto ano]])</f>
        <v>12</v>
      </c>
      <c r="H1799" t="str">
        <f>TEXT(Tabela1[[#This Row],[Coluna2]]*29,"mmmm")</f>
        <v>dezembro</v>
      </c>
      <c r="I1799" t="str">
        <f>TEXT(MONTH(Tabela1[[#This Row],[Último pagto ano]])*29,"mmmm")</f>
        <v>dezembro</v>
      </c>
    </row>
    <row r="1800" spans="1:9" x14ac:dyDescent="0.25">
      <c r="A1800">
        <v>2025</v>
      </c>
      <c r="B1800" t="s">
        <v>3576</v>
      </c>
      <c r="C1800" s="1">
        <v>46000</v>
      </c>
      <c r="D1800" t="s">
        <v>3577</v>
      </c>
      <c r="E1800" s="2">
        <v>3695845.4</v>
      </c>
      <c r="G1800" s="3">
        <f>MONTH(Tabela1[[#This Row],[Último pagto ano]])</f>
        <v>12</v>
      </c>
      <c r="H1800" t="str">
        <f>TEXT(Tabela1[[#This Row],[Coluna2]]*29,"mmmm")</f>
        <v>dezembro</v>
      </c>
      <c r="I1800" t="str">
        <f>TEXT(MONTH(Tabela1[[#This Row],[Último pagto ano]])*29,"mmmm")</f>
        <v>dezembro</v>
      </c>
    </row>
    <row r="1801" spans="1:9" x14ac:dyDescent="0.25">
      <c r="A1801">
        <v>2025</v>
      </c>
      <c r="B1801" t="s">
        <v>3578</v>
      </c>
      <c r="C1801" s="1">
        <v>46021</v>
      </c>
      <c r="D1801" t="s">
        <v>3579</v>
      </c>
      <c r="E1801" s="2">
        <v>12379625.6</v>
      </c>
      <c r="G1801" s="3">
        <f>MONTH(Tabela1[[#This Row],[Último pagto ano]])</f>
        <v>12</v>
      </c>
      <c r="H1801" t="str">
        <f>TEXT(Tabela1[[#This Row],[Coluna2]]*29,"mmmm")</f>
        <v>dezembro</v>
      </c>
      <c r="I1801" t="str">
        <f>TEXT(MONTH(Tabela1[[#This Row],[Último pagto ano]])*29,"mmmm")</f>
        <v>dezembro</v>
      </c>
    </row>
    <row r="1802" spans="1:9" x14ac:dyDescent="0.25">
      <c r="A1802">
        <v>2025</v>
      </c>
      <c r="B1802" t="s">
        <v>3580</v>
      </c>
      <c r="C1802" s="1">
        <v>45848</v>
      </c>
      <c r="D1802" t="s">
        <v>3581</v>
      </c>
      <c r="E1802" s="2">
        <v>38380</v>
      </c>
      <c r="G1802" s="3">
        <f>MONTH(Tabela1[[#This Row],[Último pagto ano]])</f>
        <v>7</v>
      </c>
      <c r="H1802" t="str">
        <f>TEXT(Tabela1[[#This Row],[Coluna2]]*29,"mmmm")</f>
        <v>julho</v>
      </c>
      <c r="I1802" t="str">
        <f>TEXT(MONTH(Tabela1[[#This Row],[Último pagto ano]])*29,"mmmm")</f>
        <v>julho</v>
      </c>
    </row>
    <row r="1803" spans="1:9" x14ac:dyDescent="0.25">
      <c r="A1803">
        <v>2025</v>
      </c>
      <c r="B1803" t="s">
        <v>3582</v>
      </c>
      <c r="C1803" s="1">
        <v>45994</v>
      </c>
      <c r="D1803" t="s">
        <v>3583</v>
      </c>
      <c r="E1803" s="2">
        <v>457500</v>
      </c>
      <c r="G1803" s="3">
        <f>MONTH(Tabela1[[#This Row],[Último pagto ano]])</f>
        <v>12</v>
      </c>
      <c r="H1803" t="str">
        <f>TEXT(Tabela1[[#This Row],[Coluna2]]*29,"mmmm")</f>
        <v>dezembro</v>
      </c>
      <c r="I1803" t="str">
        <f>TEXT(MONTH(Tabela1[[#This Row],[Último pagto ano]])*29,"mmmm")</f>
        <v>dezembro</v>
      </c>
    </row>
    <row r="1804" spans="1:9" x14ac:dyDescent="0.25">
      <c r="A1804">
        <v>2025</v>
      </c>
      <c r="B1804" t="s">
        <v>3584</v>
      </c>
      <c r="C1804" s="1">
        <v>45985</v>
      </c>
      <c r="D1804" t="s">
        <v>3585</v>
      </c>
      <c r="E1804" s="2">
        <v>178925.4</v>
      </c>
      <c r="G1804" s="3">
        <f>MONTH(Tabela1[[#This Row],[Último pagto ano]])</f>
        <v>11</v>
      </c>
      <c r="H1804" t="str">
        <f>TEXT(Tabela1[[#This Row],[Coluna2]]*29,"mmmm")</f>
        <v>novembro</v>
      </c>
      <c r="I1804" t="str">
        <f>TEXT(MONTH(Tabela1[[#This Row],[Último pagto ano]])*29,"mmmm")</f>
        <v>novembro</v>
      </c>
    </row>
    <row r="1805" spans="1:9" x14ac:dyDescent="0.25">
      <c r="A1805">
        <v>2025</v>
      </c>
      <c r="B1805" t="s">
        <v>3586</v>
      </c>
      <c r="C1805" s="1">
        <v>45854</v>
      </c>
      <c r="D1805" t="s">
        <v>3587</v>
      </c>
      <c r="E1805" s="2">
        <v>41686.379999999997</v>
      </c>
      <c r="G1805" s="3">
        <f>MONTH(Tabela1[[#This Row],[Último pagto ano]])</f>
        <v>7</v>
      </c>
      <c r="H1805" t="str">
        <f>TEXT(Tabela1[[#This Row],[Coluna2]]*29,"mmmm")</f>
        <v>julho</v>
      </c>
      <c r="I1805" t="str">
        <f>TEXT(MONTH(Tabela1[[#This Row],[Último pagto ano]])*29,"mmmm")</f>
        <v>julho</v>
      </c>
    </row>
    <row r="1806" spans="1:9" x14ac:dyDescent="0.25">
      <c r="A1806">
        <v>2025</v>
      </c>
      <c r="B1806" t="s">
        <v>3588</v>
      </c>
      <c r="C1806" s="1">
        <v>45875</v>
      </c>
      <c r="D1806" t="s">
        <v>3589</v>
      </c>
      <c r="E1806" s="2">
        <v>9633.68</v>
      </c>
      <c r="G1806" s="3">
        <f>MONTH(Tabela1[[#This Row],[Último pagto ano]])</f>
        <v>8</v>
      </c>
      <c r="H1806" t="str">
        <f>TEXT(Tabela1[[#This Row],[Coluna2]]*29,"mmmm")</f>
        <v>agosto</v>
      </c>
      <c r="I1806" t="str">
        <f>TEXT(MONTH(Tabela1[[#This Row],[Último pagto ano]])*29,"mmmm")</f>
        <v>agosto</v>
      </c>
    </row>
    <row r="1807" spans="1:9" x14ac:dyDescent="0.25">
      <c r="A1807">
        <v>2025</v>
      </c>
      <c r="B1807" t="s">
        <v>3590</v>
      </c>
      <c r="C1807" s="1">
        <v>45961</v>
      </c>
      <c r="D1807" t="s">
        <v>3591</v>
      </c>
      <c r="E1807" s="2">
        <v>1281740.3700000001</v>
      </c>
      <c r="G1807" s="3">
        <f>MONTH(Tabela1[[#This Row],[Último pagto ano]])</f>
        <v>10</v>
      </c>
      <c r="H1807" t="str">
        <f>TEXT(Tabela1[[#This Row],[Coluna2]]*29,"mmmm")</f>
        <v>outubro</v>
      </c>
      <c r="I1807" t="str">
        <f>TEXT(MONTH(Tabela1[[#This Row],[Último pagto ano]])*29,"mmmm")</f>
        <v>outubro</v>
      </c>
    </row>
    <row r="1808" spans="1:9" x14ac:dyDescent="0.25">
      <c r="A1808">
        <v>2025</v>
      </c>
      <c r="B1808" t="s">
        <v>3592</v>
      </c>
      <c r="C1808" s="1">
        <v>46008</v>
      </c>
      <c r="D1808" t="s">
        <v>3593</v>
      </c>
      <c r="E1808" s="2">
        <v>197202.09</v>
      </c>
      <c r="G1808" s="3">
        <f>MONTH(Tabela1[[#This Row],[Último pagto ano]])</f>
        <v>12</v>
      </c>
      <c r="H1808" t="str">
        <f>TEXT(Tabela1[[#This Row],[Coluna2]]*29,"mmmm")</f>
        <v>dezembro</v>
      </c>
      <c r="I1808" t="str">
        <f>TEXT(MONTH(Tabela1[[#This Row],[Último pagto ano]])*29,"mmmm")</f>
        <v>dezembro</v>
      </c>
    </row>
    <row r="1809" spans="1:9" x14ac:dyDescent="0.25">
      <c r="A1809">
        <v>2025</v>
      </c>
      <c r="B1809" t="s">
        <v>3594</v>
      </c>
      <c r="C1809" s="1">
        <v>45975</v>
      </c>
      <c r="D1809" t="s">
        <v>3595</v>
      </c>
      <c r="E1809" s="2">
        <v>560321.9</v>
      </c>
      <c r="G1809" s="3">
        <f>MONTH(Tabela1[[#This Row],[Último pagto ano]])</f>
        <v>11</v>
      </c>
      <c r="H1809" t="str">
        <f>TEXT(Tabela1[[#This Row],[Coluna2]]*29,"mmmm")</f>
        <v>novembro</v>
      </c>
      <c r="I1809" t="str">
        <f>TEXT(MONTH(Tabela1[[#This Row],[Último pagto ano]])*29,"mmmm")</f>
        <v>novembro</v>
      </c>
    </row>
    <row r="1810" spans="1:9" x14ac:dyDescent="0.25">
      <c r="A1810">
        <v>2025</v>
      </c>
      <c r="B1810" t="s">
        <v>3596</v>
      </c>
      <c r="C1810" s="1">
        <v>46014</v>
      </c>
      <c r="D1810" t="s">
        <v>3597</v>
      </c>
      <c r="E1810" s="2">
        <v>198869.73</v>
      </c>
      <c r="G1810" s="3">
        <f>MONTH(Tabela1[[#This Row],[Último pagto ano]])</f>
        <v>12</v>
      </c>
      <c r="H1810" t="str">
        <f>TEXT(Tabela1[[#This Row],[Coluna2]]*29,"mmmm")</f>
        <v>dezembro</v>
      </c>
      <c r="I1810" t="str">
        <f>TEXT(MONTH(Tabela1[[#This Row],[Último pagto ano]])*29,"mmmm")</f>
        <v>dezembro</v>
      </c>
    </row>
    <row r="1811" spans="1:9" x14ac:dyDescent="0.25">
      <c r="A1811">
        <v>2025</v>
      </c>
      <c r="B1811" t="s">
        <v>3598</v>
      </c>
      <c r="C1811" s="1">
        <v>46009</v>
      </c>
      <c r="D1811" t="s">
        <v>3599</v>
      </c>
      <c r="E1811" s="2">
        <v>3379982.66</v>
      </c>
      <c r="G1811" s="3">
        <f>MONTH(Tabela1[[#This Row],[Último pagto ano]])</f>
        <v>12</v>
      </c>
      <c r="H1811" t="str">
        <f>TEXT(Tabela1[[#This Row],[Coluna2]]*29,"mmmm")</f>
        <v>dezembro</v>
      </c>
      <c r="I1811" t="str">
        <f>TEXT(MONTH(Tabela1[[#This Row],[Último pagto ano]])*29,"mmmm")</f>
        <v>dezembro</v>
      </c>
    </row>
    <row r="1812" spans="1:9" x14ac:dyDescent="0.25">
      <c r="A1812">
        <v>2025</v>
      </c>
      <c r="B1812" t="s">
        <v>3600</v>
      </c>
      <c r="C1812" s="1">
        <v>45838</v>
      </c>
      <c r="D1812" t="s">
        <v>3601</v>
      </c>
      <c r="E1812" s="2">
        <v>40579.379999999997</v>
      </c>
      <c r="G1812" s="3">
        <f>MONTH(Tabela1[[#This Row],[Último pagto ano]])</f>
        <v>6</v>
      </c>
      <c r="H1812" t="str">
        <f>TEXT(Tabela1[[#This Row],[Coluna2]]*29,"mmmm")</f>
        <v>junho</v>
      </c>
      <c r="I1812" t="str">
        <f>TEXT(MONTH(Tabela1[[#This Row],[Último pagto ano]])*29,"mmmm")</f>
        <v>junho</v>
      </c>
    </row>
    <row r="1813" spans="1:9" x14ac:dyDescent="0.25">
      <c r="A1813">
        <v>2025</v>
      </c>
      <c r="B1813" t="s">
        <v>3602</v>
      </c>
      <c r="C1813" s="1">
        <v>46014</v>
      </c>
      <c r="D1813" t="s">
        <v>3603</v>
      </c>
      <c r="E1813" s="2">
        <v>538847.5</v>
      </c>
      <c r="G1813" s="3">
        <f>MONTH(Tabela1[[#This Row],[Último pagto ano]])</f>
        <v>12</v>
      </c>
      <c r="H1813" t="str">
        <f>TEXT(Tabela1[[#This Row],[Coluna2]]*29,"mmmm")</f>
        <v>dezembro</v>
      </c>
      <c r="I1813" t="str">
        <f>TEXT(MONTH(Tabela1[[#This Row],[Último pagto ano]])*29,"mmmm")</f>
        <v>dezembro</v>
      </c>
    </row>
    <row r="1814" spans="1:9" x14ac:dyDescent="0.25">
      <c r="A1814">
        <v>2025</v>
      </c>
      <c r="B1814" t="s">
        <v>3604</v>
      </c>
      <c r="C1814" s="1">
        <v>46014</v>
      </c>
      <c r="D1814" t="s">
        <v>3605</v>
      </c>
      <c r="E1814" s="2">
        <v>43917.120000000003</v>
      </c>
      <c r="G1814" s="3">
        <f>MONTH(Tabela1[[#This Row],[Último pagto ano]])</f>
        <v>12</v>
      </c>
      <c r="H1814" t="str">
        <f>TEXT(Tabela1[[#This Row],[Coluna2]]*29,"mmmm")</f>
        <v>dezembro</v>
      </c>
      <c r="I1814" t="str">
        <f>TEXT(MONTH(Tabela1[[#This Row],[Último pagto ano]])*29,"mmmm")</f>
        <v>dezembro</v>
      </c>
    </row>
    <row r="1815" spans="1:9" x14ac:dyDescent="0.25">
      <c r="A1815">
        <v>2025</v>
      </c>
      <c r="B1815" t="s">
        <v>3606</v>
      </c>
      <c r="C1815" s="1">
        <v>46021</v>
      </c>
      <c r="D1815" t="s">
        <v>3607</v>
      </c>
      <c r="E1815" s="2">
        <v>81003.520000000004</v>
      </c>
      <c r="G1815" s="3">
        <f>MONTH(Tabela1[[#This Row],[Último pagto ano]])</f>
        <v>12</v>
      </c>
      <c r="H1815" t="str">
        <f>TEXT(Tabela1[[#This Row],[Coluna2]]*29,"mmmm")</f>
        <v>dezembro</v>
      </c>
      <c r="I1815" t="str">
        <f>TEXT(MONTH(Tabela1[[#This Row],[Último pagto ano]])*29,"mmmm")</f>
        <v>dezembro</v>
      </c>
    </row>
    <row r="1816" spans="1:9" x14ac:dyDescent="0.25">
      <c r="A1816">
        <v>2025</v>
      </c>
      <c r="B1816" t="s">
        <v>3608</v>
      </c>
      <c r="C1816" s="1">
        <v>46003</v>
      </c>
      <c r="D1816" t="s">
        <v>3609</v>
      </c>
      <c r="E1816" s="2">
        <v>13184.39</v>
      </c>
      <c r="G1816" s="3">
        <f>MONTH(Tabela1[[#This Row],[Último pagto ano]])</f>
        <v>12</v>
      </c>
      <c r="H1816" t="str">
        <f>TEXT(Tabela1[[#This Row],[Coluna2]]*29,"mmmm")</f>
        <v>dezembro</v>
      </c>
      <c r="I1816" t="str">
        <f>TEXT(MONTH(Tabela1[[#This Row],[Último pagto ano]])*29,"mmmm")</f>
        <v>dezembro</v>
      </c>
    </row>
    <row r="1817" spans="1:9" x14ac:dyDescent="0.25">
      <c r="A1817">
        <v>2025</v>
      </c>
      <c r="B1817" t="s">
        <v>3610</v>
      </c>
      <c r="C1817" s="1">
        <v>46006</v>
      </c>
      <c r="D1817" t="s">
        <v>3611</v>
      </c>
      <c r="E1817" s="2">
        <v>1308</v>
      </c>
      <c r="G1817" s="3">
        <f>MONTH(Tabela1[[#This Row],[Último pagto ano]])</f>
        <v>12</v>
      </c>
      <c r="H1817" t="str">
        <f>TEXT(Tabela1[[#This Row],[Coluna2]]*29,"mmmm")</f>
        <v>dezembro</v>
      </c>
      <c r="I1817" t="str">
        <f>TEXT(MONTH(Tabela1[[#This Row],[Último pagto ano]])*29,"mmmm")</f>
        <v>dezembro</v>
      </c>
    </row>
    <row r="1818" spans="1:9" x14ac:dyDescent="0.25">
      <c r="A1818">
        <v>2025</v>
      </c>
      <c r="B1818" t="s">
        <v>3612</v>
      </c>
      <c r="C1818" s="1">
        <v>45775</v>
      </c>
      <c r="D1818" t="s">
        <v>3613</v>
      </c>
      <c r="E1818" s="2">
        <v>46936.54</v>
      </c>
      <c r="G1818" s="3">
        <f>MONTH(Tabela1[[#This Row],[Último pagto ano]])</f>
        <v>4</v>
      </c>
      <c r="H1818" t="str">
        <f>TEXT(Tabela1[[#This Row],[Coluna2]]*29,"mmmm")</f>
        <v>abril</v>
      </c>
      <c r="I1818" t="str">
        <f>TEXT(MONTH(Tabela1[[#This Row],[Último pagto ano]])*29,"mmmm")</f>
        <v>abril</v>
      </c>
    </row>
    <row r="1819" spans="1:9" x14ac:dyDescent="0.25">
      <c r="A1819">
        <v>2025</v>
      </c>
      <c r="B1819" t="s">
        <v>3614</v>
      </c>
      <c r="C1819" s="1">
        <v>45814</v>
      </c>
      <c r="D1819" t="s">
        <v>3615</v>
      </c>
      <c r="E1819" s="2">
        <v>14939</v>
      </c>
      <c r="G1819" s="3">
        <f>MONTH(Tabela1[[#This Row],[Último pagto ano]])</f>
        <v>6</v>
      </c>
      <c r="H1819" t="str">
        <f>TEXT(Tabela1[[#This Row],[Coluna2]]*29,"mmmm")</f>
        <v>junho</v>
      </c>
      <c r="I1819" t="str">
        <f>TEXT(MONTH(Tabela1[[#This Row],[Último pagto ano]])*29,"mmmm")</f>
        <v>junho</v>
      </c>
    </row>
    <row r="1820" spans="1:9" x14ac:dyDescent="0.25">
      <c r="A1820">
        <v>2025</v>
      </c>
      <c r="B1820" t="s">
        <v>3616</v>
      </c>
      <c r="C1820" s="1">
        <v>46014</v>
      </c>
      <c r="D1820" t="s">
        <v>3617</v>
      </c>
      <c r="E1820">
        <v>385</v>
      </c>
      <c r="G1820" s="3">
        <f>MONTH(Tabela1[[#This Row],[Último pagto ano]])</f>
        <v>12</v>
      </c>
      <c r="H1820" t="str">
        <f>TEXT(Tabela1[[#This Row],[Coluna2]]*29,"mmmm")</f>
        <v>dezembro</v>
      </c>
      <c r="I1820" t="str">
        <f>TEXT(MONTH(Tabela1[[#This Row],[Último pagto ano]])*29,"mmmm")</f>
        <v>dezembro</v>
      </c>
    </row>
    <row r="1821" spans="1:9" x14ac:dyDescent="0.25">
      <c r="A1821">
        <v>2025</v>
      </c>
      <c r="B1821" t="s">
        <v>3618</v>
      </c>
      <c r="C1821" s="1">
        <v>45989</v>
      </c>
      <c r="D1821" t="s">
        <v>3619</v>
      </c>
      <c r="E1821" s="2">
        <v>3280.11</v>
      </c>
      <c r="G1821" s="3">
        <f>MONTH(Tabela1[[#This Row],[Último pagto ano]])</f>
        <v>11</v>
      </c>
      <c r="H1821" t="str">
        <f>TEXT(Tabela1[[#This Row],[Coluna2]]*29,"mmmm")</f>
        <v>novembro</v>
      </c>
      <c r="I1821" t="str">
        <f>TEXT(MONTH(Tabela1[[#This Row],[Último pagto ano]])*29,"mmmm")</f>
        <v>novembro</v>
      </c>
    </row>
    <row r="1822" spans="1:9" x14ac:dyDescent="0.25">
      <c r="A1822">
        <v>2025</v>
      </c>
      <c r="B1822" t="s">
        <v>3620</v>
      </c>
      <c r="C1822" s="1">
        <v>46014</v>
      </c>
      <c r="D1822" t="s">
        <v>3621</v>
      </c>
      <c r="E1822" s="2">
        <v>7050.8</v>
      </c>
      <c r="G1822" s="3">
        <f>MONTH(Tabela1[[#This Row],[Último pagto ano]])</f>
        <v>12</v>
      </c>
      <c r="H1822" t="str">
        <f>TEXT(Tabela1[[#This Row],[Coluna2]]*29,"mmmm")</f>
        <v>dezembro</v>
      </c>
      <c r="I1822" t="str">
        <f>TEXT(MONTH(Tabela1[[#This Row],[Último pagto ano]])*29,"mmmm")</f>
        <v>dezembro</v>
      </c>
    </row>
    <row r="1823" spans="1:9" x14ac:dyDescent="0.25">
      <c r="A1823">
        <v>2025</v>
      </c>
      <c r="B1823" t="s">
        <v>3622</v>
      </c>
      <c r="C1823" s="1">
        <v>45712</v>
      </c>
      <c r="D1823" t="s">
        <v>3623</v>
      </c>
      <c r="E1823" s="2">
        <v>1400</v>
      </c>
      <c r="G1823" s="3">
        <f>MONTH(Tabela1[[#This Row],[Último pagto ano]])</f>
        <v>2</v>
      </c>
      <c r="H1823" t="str">
        <f>TEXT(Tabela1[[#This Row],[Coluna2]]*29,"mmmm")</f>
        <v>fevereiro</v>
      </c>
      <c r="I1823" t="str">
        <f>TEXT(MONTH(Tabela1[[#This Row],[Último pagto ano]])*29,"mmmm")</f>
        <v>fevereiro</v>
      </c>
    </row>
    <row r="1824" spans="1:9" x14ac:dyDescent="0.25">
      <c r="A1824">
        <v>2025</v>
      </c>
      <c r="B1824" t="s">
        <v>3624</v>
      </c>
      <c r="C1824" s="1">
        <v>46010</v>
      </c>
      <c r="D1824" t="s">
        <v>3625</v>
      </c>
      <c r="E1824" s="2">
        <v>2800</v>
      </c>
      <c r="G1824" s="3">
        <f>MONTH(Tabela1[[#This Row],[Último pagto ano]])</f>
        <v>12</v>
      </c>
      <c r="H1824" t="str">
        <f>TEXT(Tabela1[[#This Row],[Coluna2]]*29,"mmmm")</f>
        <v>dezembro</v>
      </c>
      <c r="I1824" t="str">
        <f>TEXT(MONTH(Tabela1[[#This Row],[Último pagto ano]])*29,"mmmm")</f>
        <v>dezembro</v>
      </c>
    </row>
    <row r="1825" spans="1:9" x14ac:dyDescent="0.25">
      <c r="A1825">
        <v>2025</v>
      </c>
      <c r="B1825" t="s">
        <v>3626</v>
      </c>
      <c r="C1825" s="1">
        <v>45996</v>
      </c>
      <c r="D1825" t="s">
        <v>3627</v>
      </c>
      <c r="E1825" s="2">
        <v>20000</v>
      </c>
      <c r="G1825" s="3">
        <f>MONTH(Tabela1[[#This Row],[Último pagto ano]])</f>
        <v>12</v>
      </c>
      <c r="H1825" t="str">
        <f>TEXT(Tabela1[[#This Row],[Coluna2]]*29,"mmmm")</f>
        <v>dezembro</v>
      </c>
      <c r="I1825" t="str">
        <f>TEXT(MONTH(Tabela1[[#This Row],[Último pagto ano]])*29,"mmmm")</f>
        <v>dezembro</v>
      </c>
    </row>
    <row r="1826" spans="1:9" x14ac:dyDescent="0.25">
      <c r="A1826">
        <v>2025</v>
      </c>
      <c r="B1826" t="s">
        <v>3628</v>
      </c>
      <c r="C1826" s="1">
        <v>45931</v>
      </c>
      <c r="D1826" t="s">
        <v>3629</v>
      </c>
      <c r="E1826" s="2">
        <v>28050</v>
      </c>
      <c r="G1826" s="3">
        <f>MONTH(Tabela1[[#This Row],[Último pagto ano]])</f>
        <v>10</v>
      </c>
      <c r="H1826" t="str">
        <f>TEXT(Tabela1[[#This Row],[Coluna2]]*29,"mmmm")</f>
        <v>outubro</v>
      </c>
      <c r="I1826" t="str">
        <f>TEXT(MONTH(Tabela1[[#This Row],[Último pagto ano]])*29,"mmmm")</f>
        <v>outubro</v>
      </c>
    </row>
    <row r="1827" spans="1:9" x14ac:dyDescent="0.25">
      <c r="A1827">
        <v>2025</v>
      </c>
      <c r="B1827" t="s">
        <v>3630</v>
      </c>
      <c r="C1827" s="1">
        <v>46014</v>
      </c>
      <c r="D1827" t="s">
        <v>3631</v>
      </c>
      <c r="E1827" s="2">
        <v>14380.98</v>
      </c>
      <c r="G1827" s="3">
        <f>MONTH(Tabela1[[#This Row],[Último pagto ano]])</f>
        <v>12</v>
      </c>
      <c r="H1827" t="str">
        <f>TEXT(Tabela1[[#This Row],[Coluna2]]*29,"mmmm")</f>
        <v>dezembro</v>
      </c>
      <c r="I1827" t="str">
        <f>TEXT(MONTH(Tabela1[[#This Row],[Último pagto ano]])*29,"mmmm")</f>
        <v>dezembro</v>
      </c>
    </row>
    <row r="1828" spans="1:9" x14ac:dyDescent="0.25">
      <c r="A1828">
        <v>2025</v>
      </c>
      <c r="B1828" t="s">
        <v>3632</v>
      </c>
      <c r="C1828" s="1">
        <v>45796</v>
      </c>
      <c r="D1828" t="s">
        <v>3633</v>
      </c>
      <c r="E1828" s="2">
        <v>1297</v>
      </c>
      <c r="G1828" s="3">
        <f>MONTH(Tabela1[[#This Row],[Último pagto ano]])</f>
        <v>5</v>
      </c>
      <c r="H1828" t="str">
        <f>TEXT(Tabela1[[#This Row],[Coluna2]]*29,"mmmm")</f>
        <v>maio</v>
      </c>
      <c r="I1828" t="str">
        <f>TEXT(MONTH(Tabela1[[#This Row],[Último pagto ano]])*29,"mmmm")</f>
        <v>maio</v>
      </c>
    </row>
    <row r="1829" spans="1:9" x14ac:dyDescent="0.25">
      <c r="A1829">
        <v>2025</v>
      </c>
      <c r="B1829" t="s">
        <v>3634</v>
      </c>
      <c r="C1829" s="1">
        <v>46014</v>
      </c>
      <c r="D1829" t="s">
        <v>3635</v>
      </c>
      <c r="E1829" s="2">
        <v>9600</v>
      </c>
      <c r="G1829" s="3">
        <f>MONTH(Tabela1[[#This Row],[Último pagto ano]])</f>
        <v>12</v>
      </c>
      <c r="H1829" t="str">
        <f>TEXT(Tabela1[[#This Row],[Coluna2]]*29,"mmmm")</f>
        <v>dezembro</v>
      </c>
      <c r="I1829" t="str">
        <f>TEXT(MONTH(Tabela1[[#This Row],[Último pagto ano]])*29,"mmmm")</f>
        <v>dezembro</v>
      </c>
    </row>
    <row r="1830" spans="1:9" x14ac:dyDescent="0.25">
      <c r="A1830">
        <v>2025</v>
      </c>
      <c r="B1830" t="s">
        <v>3636</v>
      </c>
      <c r="C1830" s="1">
        <v>45740</v>
      </c>
      <c r="D1830" t="s">
        <v>3637</v>
      </c>
      <c r="E1830" s="2">
        <v>6000</v>
      </c>
      <c r="G1830" s="3">
        <f>MONTH(Tabela1[[#This Row],[Último pagto ano]])</f>
        <v>3</v>
      </c>
      <c r="H1830" t="str">
        <f>TEXT(Tabela1[[#This Row],[Coluna2]]*29,"mmmm")</f>
        <v>março</v>
      </c>
      <c r="I1830" t="str">
        <f>TEXT(MONTH(Tabela1[[#This Row],[Último pagto ano]])*29,"mmmm")</f>
        <v>março</v>
      </c>
    </row>
    <row r="1831" spans="1:9" x14ac:dyDescent="0.25">
      <c r="A1831">
        <v>2025</v>
      </c>
      <c r="B1831" t="s">
        <v>3638</v>
      </c>
      <c r="C1831" s="1">
        <v>45995</v>
      </c>
      <c r="D1831" t="s">
        <v>3639</v>
      </c>
      <c r="E1831">
        <v>66</v>
      </c>
      <c r="G1831" s="3">
        <f>MONTH(Tabela1[[#This Row],[Último pagto ano]])</f>
        <v>12</v>
      </c>
      <c r="H1831" t="str">
        <f>TEXT(Tabela1[[#This Row],[Coluna2]]*29,"mmmm")</f>
        <v>dezembro</v>
      </c>
      <c r="I1831" t="str">
        <f>TEXT(MONTH(Tabela1[[#This Row],[Último pagto ano]])*29,"mmmm")</f>
        <v>dezembro</v>
      </c>
    </row>
    <row r="1832" spans="1:9" x14ac:dyDescent="0.25">
      <c r="A1832">
        <v>2025</v>
      </c>
      <c r="B1832" t="s">
        <v>3640</v>
      </c>
      <c r="C1832" s="1">
        <v>45950</v>
      </c>
      <c r="D1832" t="s">
        <v>3641</v>
      </c>
      <c r="E1832">
        <v>264</v>
      </c>
      <c r="G1832" s="3">
        <f>MONTH(Tabela1[[#This Row],[Último pagto ano]])</f>
        <v>10</v>
      </c>
      <c r="H1832" t="str">
        <f>TEXT(Tabela1[[#This Row],[Coluna2]]*29,"mmmm")</f>
        <v>outubro</v>
      </c>
      <c r="I1832" t="str">
        <f>TEXT(MONTH(Tabela1[[#This Row],[Último pagto ano]])*29,"mmmm")</f>
        <v>outubro</v>
      </c>
    </row>
    <row r="1833" spans="1:9" x14ac:dyDescent="0.25">
      <c r="A1833">
        <v>2025</v>
      </c>
      <c r="B1833" t="s">
        <v>3642</v>
      </c>
      <c r="C1833" s="1">
        <v>46002</v>
      </c>
      <c r="D1833" t="s">
        <v>3643</v>
      </c>
      <c r="E1833" s="2">
        <v>233566.8</v>
      </c>
      <c r="G1833" s="3">
        <f>MONTH(Tabela1[[#This Row],[Último pagto ano]])</f>
        <v>12</v>
      </c>
      <c r="H1833" t="str">
        <f>TEXT(Tabela1[[#This Row],[Coluna2]]*29,"mmmm")</f>
        <v>dezembro</v>
      </c>
      <c r="I1833" t="str">
        <f>TEXT(MONTH(Tabela1[[#This Row],[Último pagto ano]])*29,"mmmm")</f>
        <v>dezembro</v>
      </c>
    </row>
    <row r="1834" spans="1:9" x14ac:dyDescent="0.25">
      <c r="A1834">
        <v>2025</v>
      </c>
      <c r="B1834" t="s">
        <v>3644</v>
      </c>
      <c r="C1834" s="1">
        <v>46010</v>
      </c>
      <c r="D1834" t="s">
        <v>3645</v>
      </c>
      <c r="E1834" s="2">
        <v>8400</v>
      </c>
      <c r="G1834" s="3">
        <f>MONTH(Tabela1[[#This Row],[Último pagto ano]])</f>
        <v>12</v>
      </c>
      <c r="H1834" t="str">
        <f>TEXT(Tabela1[[#This Row],[Coluna2]]*29,"mmmm")</f>
        <v>dezembro</v>
      </c>
      <c r="I1834" t="str">
        <f>TEXT(MONTH(Tabela1[[#This Row],[Último pagto ano]])*29,"mmmm")</f>
        <v>dezembro</v>
      </c>
    </row>
    <row r="1835" spans="1:9" x14ac:dyDescent="0.25">
      <c r="A1835">
        <v>2025</v>
      </c>
      <c r="B1835" t="s">
        <v>3646</v>
      </c>
      <c r="C1835" s="1">
        <v>46014</v>
      </c>
      <c r="D1835" t="s">
        <v>3647</v>
      </c>
      <c r="E1835" s="2">
        <v>9545</v>
      </c>
      <c r="G1835" s="3">
        <f>MONTH(Tabela1[[#This Row],[Último pagto ano]])</f>
        <v>12</v>
      </c>
      <c r="H1835" t="str">
        <f>TEXT(Tabela1[[#This Row],[Coluna2]]*29,"mmmm")</f>
        <v>dezembro</v>
      </c>
      <c r="I1835" t="str">
        <f>TEXT(MONTH(Tabela1[[#This Row],[Último pagto ano]])*29,"mmmm")</f>
        <v>dezembro</v>
      </c>
    </row>
    <row r="1836" spans="1:9" x14ac:dyDescent="0.25">
      <c r="A1836">
        <v>2025</v>
      </c>
      <c r="B1836" t="s">
        <v>3648</v>
      </c>
      <c r="C1836" s="1">
        <v>46013</v>
      </c>
      <c r="D1836" t="s">
        <v>3649</v>
      </c>
      <c r="E1836" s="2">
        <v>61721.1</v>
      </c>
      <c r="G1836" s="3">
        <f>MONTH(Tabela1[[#This Row],[Último pagto ano]])</f>
        <v>12</v>
      </c>
      <c r="H1836" t="str">
        <f>TEXT(Tabela1[[#This Row],[Coluna2]]*29,"mmmm")</f>
        <v>dezembro</v>
      </c>
      <c r="I1836" t="str">
        <f>TEXT(MONTH(Tabela1[[#This Row],[Último pagto ano]])*29,"mmmm")</f>
        <v>dezembro</v>
      </c>
    </row>
    <row r="1837" spans="1:9" x14ac:dyDescent="0.25">
      <c r="A1837">
        <v>2025</v>
      </c>
      <c r="B1837" t="s">
        <v>3650</v>
      </c>
      <c r="C1837" s="1">
        <v>46009</v>
      </c>
      <c r="D1837" t="s">
        <v>3651</v>
      </c>
      <c r="E1837" s="2">
        <v>1359230.64</v>
      </c>
      <c r="G1837" s="3">
        <f>MONTH(Tabela1[[#This Row],[Último pagto ano]])</f>
        <v>12</v>
      </c>
      <c r="H1837" t="str">
        <f>TEXT(Tabela1[[#This Row],[Coluna2]]*29,"mmmm")</f>
        <v>dezembro</v>
      </c>
      <c r="I1837" t="str">
        <f>TEXT(MONTH(Tabela1[[#This Row],[Último pagto ano]])*29,"mmmm")</f>
        <v>dezembro</v>
      </c>
    </row>
    <row r="1838" spans="1:9" x14ac:dyDescent="0.25">
      <c r="A1838">
        <v>2025</v>
      </c>
      <c r="B1838" t="s">
        <v>3652</v>
      </c>
      <c r="C1838" s="1">
        <v>46014</v>
      </c>
      <c r="D1838" t="s">
        <v>3653</v>
      </c>
      <c r="E1838" s="2">
        <v>42370231.109999999</v>
      </c>
      <c r="G1838" s="3">
        <f>MONTH(Tabela1[[#This Row],[Último pagto ano]])</f>
        <v>12</v>
      </c>
      <c r="H1838" t="str">
        <f>TEXT(Tabela1[[#This Row],[Coluna2]]*29,"mmmm")</f>
        <v>dezembro</v>
      </c>
      <c r="I1838" t="str">
        <f>TEXT(MONTH(Tabela1[[#This Row],[Último pagto ano]])*29,"mmmm")</f>
        <v>dezembro</v>
      </c>
    </row>
    <row r="1839" spans="1:9" x14ac:dyDescent="0.25">
      <c r="A1839">
        <v>2025</v>
      </c>
      <c r="B1839" t="s">
        <v>3654</v>
      </c>
      <c r="C1839" s="1">
        <v>45673</v>
      </c>
      <c r="D1839" t="s">
        <v>3655</v>
      </c>
      <c r="E1839" s="2">
        <v>1100</v>
      </c>
      <c r="G1839" s="3">
        <f>MONTH(Tabela1[[#This Row],[Último pagto ano]])</f>
        <v>1</v>
      </c>
      <c r="H1839" t="str">
        <f>TEXT(Tabela1[[#This Row],[Coluna2]]*29,"mmmm")</f>
        <v>janeiro</v>
      </c>
      <c r="I1839" t="str">
        <f>TEXT(MONTH(Tabela1[[#This Row],[Último pagto ano]])*29,"mmmm")</f>
        <v>janeiro</v>
      </c>
    </row>
    <row r="1840" spans="1:9" x14ac:dyDescent="0.25">
      <c r="A1840">
        <v>2025</v>
      </c>
      <c r="B1840" t="s">
        <v>3656</v>
      </c>
      <c r="C1840" s="1">
        <v>45996</v>
      </c>
      <c r="D1840" t="s">
        <v>3657</v>
      </c>
      <c r="E1840" s="2">
        <v>23680</v>
      </c>
      <c r="G1840" s="3">
        <f>MONTH(Tabela1[[#This Row],[Último pagto ano]])</f>
        <v>12</v>
      </c>
      <c r="H1840" t="str">
        <f>TEXT(Tabela1[[#This Row],[Coluna2]]*29,"mmmm")</f>
        <v>dezembro</v>
      </c>
      <c r="I1840" t="str">
        <f>TEXT(MONTH(Tabela1[[#This Row],[Último pagto ano]])*29,"mmmm")</f>
        <v>dezembro</v>
      </c>
    </row>
    <row r="1841" spans="1:9" x14ac:dyDescent="0.25">
      <c r="A1841">
        <v>2025</v>
      </c>
      <c r="B1841" t="s">
        <v>3658</v>
      </c>
      <c r="C1841" s="1">
        <v>45832</v>
      </c>
      <c r="D1841" t="s">
        <v>3659</v>
      </c>
      <c r="E1841" s="2">
        <v>4200</v>
      </c>
      <c r="G1841" s="3">
        <f>MONTH(Tabela1[[#This Row],[Último pagto ano]])</f>
        <v>6</v>
      </c>
      <c r="H1841" t="str">
        <f>TEXT(Tabela1[[#This Row],[Coluna2]]*29,"mmmm")</f>
        <v>junho</v>
      </c>
      <c r="I1841" t="str">
        <f>TEXT(MONTH(Tabela1[[#This Row],[Último pagto ano]])*29,"mmmm")</f>
        <v>junho</v>
      </c>
    </row>
    <row r="1842" spans="1:9" x14ac:dyDescent="0.25">
      <c r="A1842">
        <v>2025</v>
      </c>
      <c r="B1842" t="s">
        <v>3660</v>
      </c>
      <c r="C1842" s="1">
        <v>45884</v>
      </c>
      <c r="D1842" t="s">
        <v>3661</v>
      </c>
      <c r="E1842">
        <v>296.16000000000003</v>
      </c>
      <c r="G1842" s="3">
        <f>MONTH(Tabela1[[#This Row],[Último pagto ano]])</f>
        <v>8</v>
      </c>
      <c r="H1842" t="str">
        <f>TEXT(Tabela1[[#This Row],[Coluna2]]*29,"mmmm")</f>
        <v>agosto</v>
      </c>
      <c r="I1842" t="str">
        <f>TEXT(MONTH(Tabela1[[#This Row],[Último pagto ano]])*29,"mmmm")</f>
        <v>agosto</v>
      </c>
    </row>
    <row r="1843" spans="1:9" x14ac:dyDescent="0.25">
      <c r="A1843">
        <v>2025</v>
      </c>
      <c r="B1843" t="s">
        <v>3662</v>
      </c>
      <c r="C1843" s="1">
        <v>45769</v>
      </c>
      <c r="D1843" t="s">
        <v>3663</v>
      </c>
      <c r="E1843">
        <v>66</v>
      </c>
      <c r="G1843" s="3">
        <f>MONTH(Tabela1[[#This Row],[Último pagto ano]])</f>
        <v>4</v>
      </c>
      <c r="H1843" t="str">
        <f>TEXT(Tabela1[[#This Row],[Coluna2]]*29,"mmmm")</f>
        <v>abril</v>
      </c>
      <c r="I1843" t="str">
        <f>TEXT(MONTH(Tabela1[[#This Row],[Último pagto ano]])*29,"mmmm")</f>
        <v>abril</v>
      </c>
    </row>
    <row r="1844" spans="1:9" x14ac:dyDescent="0.25">
      <c r="A1844">
        <v>2025</v>
      </c>
      <c r="B1844" t="s">
        <v>3664</v>
      </c>
      <c r="C1844" s="1">
        <v>46006</v>
      </c>
      <c r="D1844" t="s">
        <v>3665</v>
      </c>
      <c r="E1844" s="2">
        <v>25996.92</v>
      </c>
      <c r="G1844" s="3">
        <f>MONTH(Tabela1[[#This Row],[Último pagto ano]])</f>
        <v>12</v>
      </c>
      <c r="H1844" t="str">
        <f>TEXT(Tabela1[[#This Row],[Coluna2]]*29,"mmmm")</f>
        <v>dezembro</v>
      </c>
      <c r="I1844" t="str">
        <f>TEXT(MONTH(Tabela1[[#This Row],[Último pagto ano]])*29,"mmmm")</f>
        <v>dezembro</v>
      </c>
    </row>
    <row r="1845" spans="1:9" x14ac:dyDescent="0.25">
      <c r="A1845">
        <v>2025</v>
      </c>
      <c r="B1845" t="s">
        <v>3666</v>
      </c>
      <c r="C1845" s="1">
        <v>46014</v>
      </c>
      <c r="D1845" t="s">
        <v>3667</v>
      </c>
      <c r="E1845">
        <v>330</v>
      </c>
      <c r="G1845" s="3">
        <f>MONTH(Tabela1[[#This Row],[Último pagto ano]])</f>
        <v>12</v>
      </c>
      <c r="H1845" t="str">
        <f>TEXT(Tabela1[[#This Row],[Coluna2]]*29,"mmmm")</f>
        <v>dezembro</v>
      </c>
      <c r="I1845" t="str">
        <f>TEXT(MONTH(Tabela1[[#This Row],[Último pagto ano]])*29,"mmmm")</f>
        <v>dezembro</v>
      </c>
    </row>
    <row r="1846" spans="1:9" x14ac:dyDescent="0.25">
      <c r="A1846">
        <v>2025</v>
      </c>
      <c r="B1846" t="s">
        <v>3668</v>
      </c>
      <c r="C1846" s="1">
        <v>45995</v>
      </c>
      <c r="D1846" t="s">
        <v>3669</v>
      </c>
      <c r="E1846">
        <v>110</v>
      </c>
      <c r="G1846" s="3">
        <f>MONTH(Tabela1[[#This Row],[Último pagto ano]])</f>
        <v>12</v>
      </c>
      <c r="H1846" t="str">
        <f>TEXT(Tabela1[[#This Row],[Coluna2]]*29,"mmmm")</f>
        <v>dezembro</v>
      </c>
      <c r="I1846" t="str">
        <f>TEXT(MONTH(Tabela1[[#This Row],[Último pagto ano]])*29,"mmmm")</f>
        <v>dezembro</v>
      </c>
    </row>
    <row r="1847" spans="1:9" x14ac:dyDescent="0.25">
      <c r="A1847">
        <v>2025</v>
      </c>
      <c r="B1847" t="s">
        <v>3670</v>
      </c>
      <c r="C1847" s="1">
        <v>46013</v>
      </c>
      <c r="D1847" t="s">
        <v>3671</v>
      </c>
      <c r="E1847" s="2">
        <v>15387</v>
      </c>
      <c r="G1847" s="3">
        <f>MONTH(Tabela1[[#This Row],[Último pagto ano]])</f>
        <v>12</v>
      </c>
      <c r="H1847" t="str">
        <f>TEXT(Tabela1[[#This Row],[Coluna2]]*29,"mmmm")</f>
        <v>dezembro</v>
      </c>
      <c r="I1847" t="str">
        <f>TEXT(MONTH(Tabela1[[#This Row],[Último pagto ano]])*29,"mmmm")</f>
        <v>dezembro</v>
      </c>
    </row>
    <row r="1848" spans="1:9" x14ac:dyDescent="0.25">
      <c r="A1848">
        <v>2025</v>
      </c>
      <c r="B1848" t="s">
        <v>3672</v>
      </c>
      <c r="C1848" s="1">
        <v>45989</v>
      </c>
      <c r="D1848" t="s">
        <v>3673</v>
      </c>
      <c r="E1848" s="2">
        <v>7746.35</v>
      </c>
      <c r="G1848" s="3">
        <f>MONTH(Tabela1[[#This Row],[Último pagto ano]])</f>
        <v>11</v>
      </c>
      <c r="H1848" t="str">
        <f>TEXT(Tabela1[[#This Row],[Coluna2]]*29,"mmmm")</f>
        <v>novembro</v>
      </c>
      <c r="I1848" t="str">
        <f>TEXT(MONTH(Tabela1[[#This Row],[Último pagto ano]])*29,"mmmm")</f>
        <v>novembro</v>
      </c>
    </row>
    <row r="1849" spans="1:9" x14ac:dyDescent="0.25">
      <c r="A1849">
        <v>2025</v>
      </c>
      <c r="B1849" t="s">
        <v>3674</v>
      </c>
      <c r="C1849" s="1">
        <v>45702</v>
      </c>
      <c r="D1849" t="s">
        <v>3675</v>
      </c>
      <c r="E1849">
        <v>180.23</v>
      </c>
      <c r="G1849" s="3">
        <f>MONTH(Tabela1[[#This Row],[Último pagto ano]])</f>
        <v>2</v>
      </c>
      <c r="H1849" t="str">
        <f>TEXT(Tabela1[[#This Row],[Coluna2]]*29,"mmmm")</f>
        <v>fevereiro</v>
      </c>
      <c r="I1849" t="str">
        <f>TEXT(MONTH(Tabela1[[#This Row],[Último pagto ano]])*29,"mmmm")</f>
        <v>fevereiro</v>
      </c>
    </row>
    <row r="1850" spans="1:9" x14ac:dyDescent="0.25">
      <c r="A1850">
        <v>2025</v>
      </c>
      <c r="B1850" t="s">
        <v>3676</v>
      </c>
      <c r="C1850" s="1">
        <v>45923</v>
      </c>
      <c r="D1850" t="s">
        <v>3677</v>
      </c>
      <c r="E1850" s="2">
        <v>1393.5</v>
      </c>
      <c r="G1850" s="3">
        <f>MONTH(Tabela1[[#This Row],[Último pagto ano]])</f>
        <v>9</v>
      </c>
      <c r="H1850" t="str">
        <f>TEXT(Tabela1[[#This Row],[Coluna2]]*29,"mmmm")</f>
        <v>setembro</v>
      </c>
      <c r="I1850" t="str">
        <f>TEXT(MONTH(Tabela1[[#This Row],[Último pagto ano]])*29,"mmmm")</f>
        <v>setembro</v>
      </c>
    </row>
    <row r="1851" spans="1:9" x14ac:dyDescent="0.25">
      <c r="A1851">
        <v>2025</v>
      </c>
      <c r="B1851" t="s">
        <v>3678</v>
      </c>
      <c r="C1851" s="1">
        <v>46014</v>
      </c>
      <c r="D1851" t="s">
        <v>3679</v>
      </c>
      <c r="E1851" s="2">
        <v>19440</v>
      </c>
      <c r="G1851" s="3">
        <f>MONTH(Tabela1[[#This Row],[Último pagto ano]])</f>
        <v>12</v>
      </c>
      <c r="H1851" t="str">
        <f>TEXT(Tabela1[[#This Row],[Coluna2]]*29,"mmmm")</f>
        <v>dezembro</v>
      </c>
      <c r="I1851" t="str">
        <f>TEXT(MONTH(Tabela1[[#This Row],[Último pagto ano]])*29,"mmmm")</f>
        <v>dezembro</v>
      </c>
    </row>
    <row r="1852" spans="1:9" x14ac:dyDescent="0.25">
      <c r="A1852">
        <v>2025</v>
      </c>
      <c r="B1852" t="s">
        <v>3680</v>
      </c>
      <c r="C1852" s="1">
        <v>45989</v>
      </c>
      <c r="D1852" t="s">
        <v>3681</v>
      </c>
      <c r="E1852" s="2">
        <v>11108.47</v>
      </c>
      <c r="G1852" s="3">
        <f>MONTH(Tabela1[[#This Row],[Último pagto ano]])</f>
        <v>11</v>
      </c>
      <c r="H1852" t="str">
        <f>TEXT(Tabela1[[#This Row],[Coluna2]]*29,"mmmm")</f>
        <v>novembro</v>
      </c>
      <c r="I1852" t="str">
        <f>TEXT(MONTH(Tabela1[[#This Row],[Último pagto ano]])*29,"mmmm")</f>
        <v>novembro</v>
      </c>
    </row>
    <row r="1853" spans="1:9" x14ac:dyDescent="0.25">
      <c r="A1853">
        <v>2025</v>
      </c>
      <c r="B1853" t="s">
        <v>3682</v>
      </c>
      <c r="C1853" s="1">
        <v>45887</v>
      </c>
      <c r="D1853" t="s">
        <v>3683</v>
      </c>
      <c r="E1853">
        <v>121</v>
      </c>
      <c r="G1853" s="3">
        <f>MONTH(Tabela1[[#This Row],[Último pagto ano]])</f>
        <v>8</v>
      </c>
      <c r="H1853" t="str">
        <f>TEXT(Tabela1[[#This Row],[Coluna2]]*29,"mmmm")</f>
        <v>agosto</v>
      </c>
      <c r="I1853" t="str">
        <f>TEXT(MONTH(Tabela1[[#This Row],[Último pagto ano]])*29,"mmmm")</f>
        <v>agosto</v>
      </c>
    </row>
    <row r="1854" spans="1:9" x14ac:dyDescent="0.25">
      <c r="A1854">
        <v>2025</v>
      </c>
      <c r="B1854" t="s">
        <v>3684</v>
      </c>
      <c r="C1854" s="1">
        <v>45964</v>
      </c>
      <c r="D1854" t="s">
        <v>3685</v>
      </c>
      <c r="E1854">
        <v>132</v>
      </c>
      <c r="G1854" s="3">
        <f>MONTH(Tabela1[[#This Row],[Último pagto ano]])</f>
        <v>11</v>
      </c>
      <c r="H1854" t="str">
        <f>TEXT(Tabela1[[#This Row],[Coluna2]]*29,"mmmm")</f>
        <v>novembro</v>
      </c>
      <c r="I1854" t="str">
        <f>TEXT(MONTH(Tabela1[[#This Row],[Último pagto ano]])*29,"mmmm")</f>
        <v>novembro</v>
      </c>
    </row>
    <row r="1855" spans="1:9" x14ac:dyDescent="0.25">
      <c r="A1855">
        <v>2025</v>
      </c>
      <c r="B1855" t="s">
        <v>3686</v>
      </c>
      <c r="C1855" s="1">
        <v>45943</v>
      </c>
      <c r="D1855" t="s">
        <v>3687</v>
      </c>
      <c r="E1855" s="2">
        <v>4333.07</v>
      </c>
      <c r="G1855" s="3">
        <f>MONTH(Tabela1[[#This Row],[Último pagto ano]])</f>
        <v>10</v>
      </c>
      <c r="H1855" t="str">
        <f>TEXT(Tabela1[[#This Row],[Coluna2]]*29,"mmmm")</f>
        <v>outubro</v>
      </c>
      <c r="I1855" t="str">
        <f>TEXT(MONTH(Tabela1[[#This Row],[Último pagto ano]])*29,"mmmm")</f>
        <v>outubro</v>
      </c>
    </row>
    <row r="1856" spans="1:9" x14ac:dyDescent="0.25">
      <c r="A1856">
        <v>2025</v>
      </c>
      <c r="B1856" t="s">
        <v>3688</v>
      </c>
      <c r="C1856" s="1">
        <v>45702</v>
      </c>
      <c r="D1856" t="s">
        <v>3689</v>
      </c>
      <c r="E1856">
        <v>759.44</v>
      </c>
      <c r="G1856" s="3">
        <f>MONTH(Tabela1[[#This Row],[Último pagto ano]])</f>
        <v>2</v>
      </c>
      <c r="H1856" t="str">
        <f>TEXT(Tabela1[[#This Row],[Coluna2]]*29,"mmmm")</f>
        <v>fevereiro</v>
      </c>
      <c r="I1856" t="str">
        <f>TEXT(MONTH(Tabela1[[#This Row],[Último pagto ano]])*29,"mmmm")</f>
        <v>fevereiro</v>
      </c>
    </row>
    <row r="1857" spans="1:9" x14ac:dyDescent="0.25">
      <c r="A1857">
        <v>2025</v>
      </c>
      <c r="B1857" t="s">
        <v>3690</v>
      </c>
      <c r="C1857" s="1">
        <v>45915</v>
      </c>
      <c r="D1857" t="s">
        <v>3691</v>
      </c>
      <c r="E1857" s="2">
        <v>1480.8</v>
      </c>
      <c r="G1857" s="3">
        <f>MONTH(Tabela1[[#This Row],[Último pagto ano]])</f>
        <v>9</v>
      </c>
      <c r="H1857" t="str">
        <f>TEXT(Tabela1[[#This Row],[Coluna2]]*29,"mmmm")</f>
        <v>setembro</v>
      </c>
      <c r="I1857" t="str">
        <f>TEXT(MONTH(Tabela1[[#This Row],[Último pagto ano]])*29,"mmmm")</f>
        <v>setembro</v>
      </c>
    </row>
    <row r="1858" spans="1:9" x14ac:dyDescent="0.25">
      <c r="A1858">
        <v>2025</v>
      </c>
      <c r="B1858" t="s">
        <v>3692</v>
      </c>
      <c r="C1858" s="1">
        <v>45989</v>
      </c>
      <c r="D1858" t="s">
        <v>3693</v>
      </c>
      <c r="E1858" s="2">
        <v>4005.96</v>
      </c>
      <c r="G1858" s="3">
        <f>MONTH(Tabela1[[#This Row],[Último pagto ano]])</f>
        <v>11</v>
      </c>
      <c r="H1858" t="str">
        <f>TEXT(Tabela1[[#This Row],[Coluna2]]*29,"mmmm")</f>
        <v>novembro</v>
      </c>
      <c r="I1858" t="str">
        <f>TEXT(MONTH(Tabela1[[#This Row],[Último pagto ano]])*29,"mmmm")</f>
        <v>novembro</v>
      </c>
    </row>
    <row r="1859" spans="1:9" x14ac:dyDescent="0.25">
      <c r="A1859">
        <v>2025</v>
      </c>
      <c r="B1859" t="s">
        <v>3694</v>
      </c>
      <c r="C1859" s="1">
        <v>45988</v>
      </c>
      <c r="D1859" t="s">
        <v>3695</v>
      </c>
      <c r="E1859" s="2">
        <v>5484.7</v>
      </c>
      <c r="G1859" s="3">
        <f>MONTH(Tabela1[[#This Row],[Último pagto ano]])</f>
        <v>11</v>
      </c>
      <c r="H1859" t="str">
        <f>TEXT(Tabela1[[#This Row],[Coluna2]]*29,"mmmm")</f>
        <v>novembro</v>
      </c>
      <c r="I1859" t="str">
        <f>TEXT(MONTH(Tabela1[[#This Row],[Último pagto ano]])*29,"mmmm")</f>
        <v>novembro</v>
      </c>
    </row>
    <row r="1860" spans="1:9" x14ac:dyDescent="0.25">
      <c r="A1860">
        <v>2025</v>
      </c>
      <c r="B1860" t="s">
        <v>3696</v>
      </c>
      <c r="C1860" s="1">
        <v>46010</v>
      </c>
      <c r="D1860" t="s">
        <v>3697</v>
      </c>
      <c r="E1860" s="2">
        <v>8400</v>
      </c>
      <c r="G1860" s="3">
        <f>MONTH(Tabela1[[#This Row],[Último pagto ano]])</f>
        <v>12</v>
      </c>
      <c r="H1860" t="str">
        <f>TEXT(Tabela1[[#This Row],[Coluna2]]*29,"mmmm")</f>
        <v>dezembro</v>
      </c>
      <c r="I1860" t="str">
        <f>TEXT(MONTH(Tabela1[[#This Row],[Último pagto ano]])*29,"mmmm")</f>
        <v>dezembro</v>
      </c>
    </row>
    <row r="1861" spans="1:9" x14ac:dyDescent="0.25">
      <c r="A1861">
        <v>2025</v>
      </c>
      <c r="B1861" t="s">
        <v>3698</v>
      </c>
      <c r="C1861" s="1">
        <v>46013</v>
      </c>
      <c r="D1861" t="s">
        <v>3699</v>
      </c>
      <c r="E1861" s="2">
        <v>2737.8</v>
      </c>
      <c r="G1861" s="3">
        <f>MONTH(Tabela1[[#This Row],[Último pagto ano]])</f>
        <v>12</v>
      </c>
      <c r="H1861" t="str">
        <f>TEXT(Tabela1[[#This Row],[Coluna2]]*29,"mmmm")</f>
        <v>dezembro</v>
      </c>
      <c r="I1861" t="str">
        <f>TEXT(MONTH(Tabela1[[#This Row],[Último pagto ano]])*29,"mmmm")</f>
        <v>dezembro</v>
      </c>
    </row>
    <row r="1862" spans="1:9" x14ac:dyDescent="0.25">
      <c r="A1862">
        <v>2025</v>
      </c>
      <c r="B1862" t="s">
        <v>3700</v>
      </c>
      <c r="C1862" s="1">
        <v>45771</v>
      </c>
      <c r="D1862" t="s">
        <v>3701</v>
      </c>
      <c r="E1862" s="2">
        <v>2800</v>
      </c>
      <c r="G1862" s="3">
        <f>MONTH(Tabela1[[#This Row],[Último pagto ano]])</f>
        <v>4</v>
      </c>
      <c r="H1862" t="str">
        <f>TEXT(Tabela1[[#This Row],[Coluna2]]*29,"mmmm")</f>
        <v>abril</v>
      </c>
      <c r="I1862" t="str">
        <f>TEXT(MONTH(Tabela1[[#This Row],[Último pagto ano]])*29,"mmmm")</f>
        <v>abril</v>
      </c>
    </row>
    <row r="1863" spans="1:9" x14ac:dyDescent="0.25">
      <c r="A1863">
        <v>2025</v>
      </c>
      <c r="B1863" t="s">
        <v>3702</v>
      </c>
      <c r="C1863" s="1">
        <v>46010</v>
      </c>
      <c r="D1863" t="s">
        <v>3703</v>
      </c>
      <c r="E1863" s="2">
        <v>12022</v>
      </c>
      <c r="G1863" s="3">
        <f>MONTH(Tabela1[[#This Row],[Último pagto ano]])</f>
        <v>12</v>
      </c>
      <c r="H1863" t="str">
        <f>TEXT(Tabela1[[#This Row],[Coluna2]]*29,"mmmm")</f>
        <v>dezembro</v>
      </c>
      <c r="I1863" t="str">
        <f>TEXT(MONTH(Tabela1[[#This Row],[Último pagto ano]])*29,"mmmm")</f>
        <v>dezembro</v>
      </c>
    </row>
    <row r="1864" spans="1:9" x14ac:dyDescent="0.25">
      <c r="A1864">
        <v>2025</v>
      </c>
      <c r="B1864" t="s">
        <v>3704</v>
      </c>
      <c r="C1864" s="1">
        <v>45985</v>
      </c>
      <c r="D1864" t="s">
        <v>3705</v>
      </c>
      <c r="E1864">
        <v>176</v>
      </c>
      <c r="G1864" s="3">
        <f>MONTH(Tabela1[[#This Row],[Último pagto ano]])</f>
        <v>11</v>
      </c>
      <c r="H1864" t="str">
        <f>TEXT(Tabela1[[#This Row],[Coluna2]]*29,"mmmm")</f>
        <v>novembro</v>
      </c>
      <c r="I1864" t="str">
        <f>TEXT(MONTH(Tabela1[[#This Row],[Último pagto ano]])*29,"mmmm")</f>
        <v>novembro</v>
      </c>
    </row>
    <row r="1865" spans="1:9" x14ac:dyDescent="0.25">
      <c r="A1865">
        <v>2025</v>
      </c>
      <c r="B1865" t="s">
        <v>3706</v>
      </c>
      <c r="C1865" s="1">
        <v>46006</v>
      </c>
      <c r="D1865" t="s">
        <v>3707</v>
      </c>
      <c r="E1865" s="2">
        <v>20120</v>
      </c>
      <c r="G1865" s="3">
        <f>MONTH(Tabela1[[#This Row],[Último pagto ano]])</f>
        <v>12</v>
      </c>
      <c r="H1865" t="str">
        <f>TEXT(Tabela1[[#This Row],[Coluna2]]*29,"mmmm")</f>
        <v>dezembro</v>
      </c>
      <c r="I1865" t="str">
        <f>TEXT(MONTH(Tabela1[[#This Row],[Último pagto ano]])*29,"mmmm")</f>
        <v>dezembro</v>
      </c>
    </row>
    <row r="1866" spans="1:9" x14ac:dyDescent="0.25">
      <c r="A1866">
        <v>2025</v>
      </c>
      <c r="B1866" t="s">
        <v>3708</v>
      </c>
      <c r="C1866" s="1">
        <v>45959</v>
      </c>
      <c r="D1866" t="s">
        <v>3709</v>
      </c>
      <c r="E1866" s="2">
        <v>7000</v>
      </c>
      <c r="G1866" s="3">
        <f>MONTH(Tabela1[[#This Row],[Último pagto ano]])</f>
        <v>10</v>
      </c>
      <c r="H1866" t="str">
        <f>TEXT(Tabela1[[#This Row],[Coluna2]]*29,"mmmm")</f>
        <v>outubro</v>
      </c>
      <c r="I1866" t="str">
        <f>TEXT(MONTH(Tabela1[[#This Row],[Último pagto ano]])*29,"mmmm")</f>
        <v>outubro</v>
      </c>
    </row>
    <row r="1867" spans="1:9" x14ac:dyDescent="0.25">
      <c r="A1867">
        <v>2025</v>
      </c>
      <c r="B1867" t="s">
        <v>3710</v>
      </c>
      <c r="C1867" s="1">
        <v>45771</v>
      </c>
      <c r="D1867" t="s">
        <v>3711</v>
      </c>
      <c r="E1867" s="2">
        <v>1109.8</v>
      </c>
      <c r="G1867" s="3">
        <f>MONTH(Tabela1[[#This Row],[Último pagto ano]])</f>
        <v>4</v>
      </c>
      <c r="H1867" t="str">
        <f>TEXT(Tabela1[[#This Row],[Coluna2]]*29,"mmmm")</f>
        <v>abril</v>
      </c>
      <c r="I1867" t="str">
        <f>TEXT(MONTH(Tabela1[[#This Row],[Último pagto ano]])*29,"mmmm")</f>
        <v>abril</v>
      </c>
    </row>
    <row r="1868" spans="1:9" x14ac:dyDescent="0.25">
      <c r="A1868">
        <v>2025</v>
      </c>
      <c r="B1868" t="s">
        <v>3712</v>
      </c>
      <c r="C1868" s="1">
        <v>45853</v>
      </c>
      <c r="D1868" t="s">
        <v>3713</v>
      </c>
      <c r="E1868" s="2">
        <v>5889.44</v>
      </c>
      <c r="G1868" s="3">
        <f>MONTH(Tabela1[[#This Row],[Último pagto ano]])</f>
        <v>7</v>
      </c>
      <c r="H1868" t="str">
        <f>TEXT(Tabela1[[#This Row],[Coluna2]]*29,"mmmm")</f>
        <v>julho</v>
      </c>
      <c r="I1868" t="str">
        <f>TEXT(MONTH(Tabela1[[#This Row],[Último pagto ano]])*29,"mmmm")</f>
        <v>julho</v>
      </c>
    </row>
    <row r="1869" spans="1:9" x14ac:dyDescent="0.25">
      <c r="A1869">
        <v>2025</v>
      </c>
      <c r="B1869" t="s">
        <v>3714</v>
      </c>
      <c r="C1869" s="1">
        <v>46010</v>
      </c>
      <c r="D1869" t="s">
        <v>3715</v>
      </c>
      <c r="E1869" s="2">
        <v>2800</v>
      </c>
      <c r="G1869" s="3">
        <f>MONTH(Tabela1[[#This Row],[Último pagto ano]])</f>
        <v>12</v>
      </c>
      <c r="H1869" t="str">
        <f>TEXT(Tabela1[[#This Row],[Coluna2]]*29,"mmmm")</f>
        <v>dezembro</v>
      </c>
      <c r="I1869" t="str">
        <f>TEXT(MONTH(Tabela1[[#This Row],[Último pagto ano]])*29,"mmmm")</f>
        <v>dezembro</v>
      </c>
    </row>
    <row r="1870" spans="1:9" x14ac:dyDescent="0.25">
      <c r="A1870">
        <v>2025</v>
      </c>
      <c r="B1870" t="s">
        <v>3716</v>
      </c>
      <c r="C1870" s="1">
        <v>45996</v>
      </c>
      <c r="D1870" t="s">
        <v>3717</v>
      </c>
      <c r="E1870" s="2">
        <v>64800</v>
      </c>
      <c r="G1870" s="3">
        <f>MONTH(Tabela1[[#This Row],[Último pagto ano]])</f>
        <v>12</v>
      </c>
      <c r="H1870" t="str">
        <f>TEXT(Tabela1[[#This Row],[Coluna2]]*29,"mmmm")</f>
        <v>dezembro</v>
      </c>
      <c r="I1870" t="str">
        <f>TEXT(MONTH(Tabela1[[#This Row],[Último pagto ano]])*29,"mmmm")</f>
        <v>dezembro</v>
      </c>
    </row>
    <row r="1871" spans="1:9" x14ac:dyDescent="0.25">
      <c r="A1871">
        <v>2025</v>
      </c>
      <c r="B1871" t="s">
        <v>3718</v>
      </c>
      <c r="C1871" s="1">
        <v>46010</v>
      </c>
      <c r="D1871" t="s">
        <v>3719</v>
      </c>
      <c r="E1871" s="2">
        <v>8400</v>
      </c>
      <c r="G1871" s="3">
        <f>MONTH(Tabela1[[#This Row],[Último pagto ano]])</f>
        <v>12</v>
      </c>
      <c r="H1871" t="str">
        <f>TEXT(Tabela1[[#This Row],[Coluna2]]*29,"mmmm")</f>
        <v>dezembro</v>
      </c>
      <c r="I1871" t="str">
        <f>TEXT(MONTH(Tabela1[[#This Row],[Último pagto ano]])*29,"mmmm")</f>
        <v>dezembro</v>
      </c>
    </row>
    <row r="1872" spans="1:9" x14ac:dyDescent="0.25">
      <c r="A1872">
        <v>2025</v>
      </c>
      <c r="B1872" t="s">
        <v>3720</v>
      </c>
      <c r="C1872" s="1">
        <v>46010</v>
      </c>
      <c r="D1872" t="s">
        <v>3721</v>
      </c>
      <c r="E1872" s="2">
        <v>8400</v>
      </c>
      <c r="G1872" s="3">
        <f>MONTH(Tabela1[[#This Row],[Último pagto ano]])</f>
        <v>12</v>
      </c>
      <c r="H1872" t="str">
        <f>TEXT(Tabela1[[#This Row],[Coluna2]]*29,"mmmm")</f>
        <v>dezembro</v>
      </c>
      <c r="I1872" t="str">
        <f>TEXT(MONTH(Tabela1[[#This Row],[Último pagto ano]])*29,"mmmm")</f>
        <v>dezembro</v>
      </c>
    </row>
    <row r="1873" spans="1:9" x14ac:dyDescent="0.25">
      <c r="A1873">
        <v>2025</v>
      </c>
      <c r="B1873" t="s">
        <v>3722</v>
      </c>
      <c r="C1873" s="1">
        <v>45663</v>
      </c>
      <c r="D1873" t="s">
        <v>3723</v>
      </c>
      <c r="E1873">
        <v>22</v>
      </c>
      <c r="G1873" s="3">
        <f>MONTH(Tabela1[[#This Row],[Último pagto ano]])</f>
        <v>1</v>
      </c>
      <c r="H1873" t="str">
        <f>TEXT(Tabela1[[#This Row],[Coluna2]]*29,"mmmm")</f>
        <v>janeiro</v>
      </c>
      <c r="I1873" t="str">
        <f>TEXT(MONTH(Tabela1[[#This Row],[Último pagto ano]])*29,"mmmm")</f>
        <v>janeiro</v>
      </c>
    </row>
    <row r="1874" spans="1:9" x14ac:dyDescent="0.25">
      <c r="A1874">
        <v>2025</v>
      </c>
      <c r="B1874" t="s">
        <v>3724</v>
      </c>
      <c r="C1874" s="1">
        <v>46014</v>
      </c>
      <c r="D1874" t="s">
        <v>3725</v>
      </c>
      <c r="E1874">
        <v>207.4</v>
      </c>
      <c r="G1874" s="3">
        <f>MONTH(Tabela1[[#This Row],[Último pagto ano]])</f>
        <v>12</v>
      </c>
      <c r="H1874" t="str">
        <f>TEXT(Tabela1[[#This Row],[Coluna2]]*29,"mmmm")</f>
        <v>dezembro</v>
      </c>
      <c r="I1874" t="str">
        <f>TEXT(MONTH(Tabela1[[#This Row],[Último pagto ano]])*29,"mmmm")</f>
        <v>dezembro</v>
      </c>
    </row>
    <row r="1875" spans="1:9" x14ac:dyDescent="0.25">
      <c r="A1875">
        <v>2025</v>
      </c>
      <c r="B1875" t="s">
        <v>3726</v>
      </c>
      <c r="C1875" s="1">
        <v>45996</v>
      </c>
      <c r="D1875" t="s">
        <v>3727</v>
      </c>
      <c r="E1875" s="2">
        <v>64800</v>
      </c>
      <c r="G1875" s="3">
        <f>MONTH(Tabela1[[#This Row],[Último pagto ano]])</f>
        <v>12</v>
      </c>
      <c r="H1875" t="str">
        <f>TEXT(Tabela1[[#This Row],[Coluna2]]*29,"mmmm")</f>
        <v>dezembro</v>
      </c>
      <c r="I1875" t="str">
        <f>TEXT(MONTH(Tabela1[[#This Row],[Último pagto ano]])*29,"mmmm")</f>
        <v>dezembro</v>
      </c>
    </row>
    <row r="1876" spans="1:9" x14ac:dyDescent="0.25">
      <c r="A1876">
        <v>2025</v>
      </c>
      <c r="B1876" t="s">
        <v>3728</v>
      </c>
      <c r="C1876" s="1">
        <v>45999</v>
      </c>
      <c r="D1876" t="s">
        <v>3729</v>
      </c>
      <c r="E1876">
        <v>132</v>
      </c>
      <c r="G1876" s="3">
        <f>MONTH(Tabela1[[#This Row],[Último pagto ano]])</f>
        <v>12</v>
      </c>
      <c r="H1876" t="str">
        <f>TEXT(Tabela1[[#This Row],[Coluna2]]*29,"mmmm")</f>
        <v>dezembro</v>
      </c>
      <c r="I1876" t="str">
        <f>TEXT(MONTH(Tabela1[[#This Row],[Último pagto ano]])*29,"mmmm")</f>
        <v>dezembro</v>
      </c>
    </row>
    <row r="1877" spans="1:9" x14ac:dyDescent="0.25">
      <c r="A1877">
        <v>2025</v>
      </c>
      <c r="B1877" t="s">
        <v>3730</v>
      </c>
      <c r="C1877" s="1">
        <v>45978</v>
      </c>
      <c r="D1877" t="s">
        <v>3731</v>
      </c>
      <c r="E1877">
        <v>275</v>
      </c>
      <c r="G1877" s="3">
        <f>MONTH(Tabela1[[#This Row],[Último pagto ano]])</f>
        <v>11</v>
      </c>
      <c r="H1877" t="str">
        <f>TEXT(Tabela1[[#This Row],[Coluna2]]*29,"mmmm")</f>
        <v>novembro</v>
      </c>
      <c r="I1877" t="str">
        <f>TEXT(MONTH(Tabela1[[#This Row],[Último pagto ano]])*29,"mmmm")</f>
        <v>novembro</v>
      </c>
    </row>
    <row r="1878" spans="1:9" x14ac:dyDescent="0.25">
      <c r="A1878">
        <v>2025</v>
      </c>
      <c r="B1878" t="s">
        <v>3732</v>
      </c>
      <c r="C1878" s="1">
        <v>46010</v>
      </c>
      <c r="D1878" t="s">
        <v>3733</v>
      </c>
      <c r="E1878" s="2">
        <v>8400</v>
      </c>
      <c r="G1878" s="3">
        <f>MONTH(Tabela1[[#This Row],[Último pagto ano]])</f>
        <v>12</v>
      </c>
      <c r="H1878" t="str">
        <f>TEXT(Tabela1[[#This Row],[Coluna2]]*29,"mmmm")</f>
        <v>dezembro</v>
      </c>
      <c r="I1878" t="str">
        <f>TEXT(MONTH(Tabela1[[#This Row],[Último pagto ano]])*29,"mmmm")</f>
        <v>dezembro</v>
      </c>
    </row>
    <row r="1879" spans="1:9" x14ac:dyDescent="0.25">
      <c r="A1879">
        <v>2025</v>
      </c>
      <c r="B1879" t="s">
        <v>3734</v>
      </c>
      <c r="C1879" s="1">
        <v>45989</v>
      </c>
      <c r="D1879" t="s">
        <v>3735</v>
      </c>
      <c r="E1879" s="2">
        <v>6156.8</v>
      </c>
      <c r="G1879" s="3">
        <f>MONTH(Tabela1[[#This Row],[Último pagto ano]])</f>
        <v>11</v>
      </c>
      <c r="H1879" t="str">
        <f>TEXT(Tabela1[[#This Row],[Coluna2]]*29,"mmmm")</f>
        <v>novembro</v>
      </c>
      <c r="I1879" t="str">
        <f>TEXT(MONTH(Tabela1[[#This Row],[Último pagto ano]])*29,"mmmm")</f>
        <v>novembro</v>
      </c>
    </row>
    <row r="1880" spans="1:9" x14ac:dyDescent="0.25">
      <c r="A1880">
        <v>2025</v>
      </c>
      <c r="B1880" t="s">
        <v>3736</v>
      </c>
      <c r="C1880" s="1">
        <v>45964</v>
      </c>
      <c r="D1880" t="s">
        <v>3737</v>
      </c>
      <c r="E1880" s="2">
        <v>1802.86</v>
      </c>
      <c r="G1880" s="3">
        <f>MONTH(Tabela1[[#This Row],[Último pagto ano]])</f>
        <v>11</v>
      </c>
      <c r="H1880" t="str">
        <f>TEXT(Tabela1[[#This Row],[Coluna2]]*29,"mmmm")</f>
        <v>novembro</v>
      </c>
      <c r="I1880" t="str">
        <f>TEXT(MONTH(Tabela1[[#This Row],[Último pagto ano]])*29,"mmmm")</f>
        <v>novembro</v>
      </c>
    </row>
    <row r="1881" spans="1:9" x14ac:dyDescent="0.25">
      <c r="A1881">
        <v>2025</v>
      </c>
      <c r="B1881" t="s">
        <v>3738</v>
      </c>
      <c r="C1881" s="1">
        <v>45831</v>
      </c>
      <c r="D1881" t="s">
        <v>3739</v>
      </c>
      <c r="E1881" s="2">
        <v>3931.2</v>
      </c>
      <c r="G1881" s="3">
        <f>MONTH(Tabela1[[#This Row],[Último pagto ano]])</f>
        <v>6</v>
      </c>
      <c r="H1881" t="str">
        <f>TEXT(Tabela1[[#This Row],[Coluna2]]*29,"mmmm")</f>
        <v>junho</v>
      </c>
      <c r="I1881" t="str">
        <f>TEXT(MONTH(Tabela1[[#This Row],[Último pagto ano]])*29,"mmmm")</f>
        <v>junho</v>
      </c>
    </row>
    <row r="1882" spans="1:9" x14ac:dyDescent="0.25">
      <c r="A1882">
        <v>2025</v>
      </c>
      <c r="B1882" t="s">
        <v>3740</v>
      </c>
      <c r="C1882" s="1">
        <v>45744</v>
      </c>
      <c r="D1882" t="s">
        <v>3741</v>
      </c>
      <c r="E1882" s="2">
        <v>45257</v>
      </c>
      <c r="G1882" s="3">
        <f>MONTH(Tabela1[[#This Row],[Último pagto ano]])</f>
        <v>3</v>
      </c>
      <c r="H1882" t="str">
        <f>TEXT(Tabela1[[#This Row],[Coluna2]]*29,"mmmm")</f>
        <v>março</v>
      </c>
      <c r="I1882" t="str">
        <f>TEXT(MONTH(Tabela1[[#This Row],[Último pagto ano]])*29,"mmmm")</f>
        <v>março</v>
      </c>
    </row>
    <row r="1883" spans="1:9" x14ac:dyDescent="0.25">
      <c r="A1883">
        <v>2025</v>
      </c>
      <c r="B1883" t="s">
        <v>3742</v>
      </c>
      <c r="C1883" s="1">
        <v>46014</v>
      </c>
      <c r="D1883" t="s">
        <v>3743</v>
      </c>
      <c r="E1883" s="2">
        <v>9311.14</v>
      </c>
      <c r="G1883" s="3">
        <f>MONTH(Tabela1[[#This Row],[Último pagto ano]])</f>
        <v>12</v>
      </c>
      <c r="H1883" t="str">
        <f>TEXT(Tabela1[[#This Row],[Coluna2]]*29,"mmmm")</f>
        <v>dezembro</v>
      </c>
      <c r="I1883" t="str">
        <f>TEXT(MONTH(Tabela1[[#This Row],[Último pagto ano]])*29,"mmmm")</f>
        <v>dezembro</v>
      </c>
    </row>
    <row r="1884" spans="1:9" x14ac:dyDescent="0.25">
      <c r="A1884">
        <v>2025</v>
      </c>
      <c r="B1884" t="s">
        <v>3744</v>
      </c>
      <c r="C1884" s="1">
        <v>45702</v>
      </c>
      <c r="D1884" t="s">
        <v>3745</v>
      </c>
      <c r="E1884">
        <v>345.78</v>
      </c>
      <c r="G1884" s="3">
        <f>MONTH(Tabela1[[#This Row],[Último pagto ano]])</f>
        <v>2</v>
      </c>
      <c r="H1884" t="str">
        <f>TEXT(Tabela1[[#This Row],[Coluna2]]*29,"mmmm")</f>
        <v>fevereiro</v>
      </c>
      <c r="I1884" t="str">
        <f>TEXT(MONTH(Tabela1[[#This Row],[Último pagto ano]])*29,"mmmm")</f>
        <v>fevereiro</v>
      </c>
    </row>
    <row r="1885" spans="1:9" x14ac:dyDescent="0.25">
      <c r="A1885">
        <v>2025</v>
      </c>
      <c r="B1885" t="s">
        <v>3746</v>
      </c>
      <c r="C1885" s="1">
        <v>46010</v>
      </c>
      <c r="D1885" t="s">
        <v>3747</v>
      </c>
      <c r="E1885" s="2">
        <v>8400</v>
      </c>
      <c r="G1885" s="3">
        <f>MONTH(Tabela1[[#This Row],[Último pagto ano]])</f>
        <v>12</v>
      </c>
      <c r="H1885" t="str">
        <f>TEXT(Tabela1[[#This Row],[Coluna2]]*29,"mmmm")</f>
        <v>dezembro</v>
      </c>
      <c r="I1885" t="str">
        <f>TEXT(MONTH(Tabela1[[#This Row],[Último pagto ano]])*29,"mmmm")</f>
        <v>dezembro</v>
      </c>
    </row>
    <row r="1886" spans="1:9" x14ac:dyDescent="0.25">
      <c r="A1886">
        <v>2025</v>
      </c>
      <c r="B1886" t="s">
        <v>3748</v>
      </c>
      <c r="C1886" s="1">
        <v>45880</v>
      </c>
      <c r="D1886" t="s">
        <v>3749</v>
      </c>
      <c r="E1886" s="2">
        <v>6610</v>
      </c>
      <c r="G1886" s="3">
        <f>MONTH(Tabela1[[#This Row],[Último pagto ano]])</f>
        <v>8</v>
      </c>
      <c r="H1886" t="str">
        <f>TEXT(Tabela1[[#This Row],[Coluna2]]*29,"mmmm")</f>
        <v>agosto</v>
      </c>
      <c r="I1886" t="str">
        <f>TEXT(MONTH(Tabela1[[#This Row],[Último pagto ano]])*29,"mmmm")</f>
        <v>agosto</v>
      </c>
    </row>
    <row r="1887" spans="1:9" x14ac:dyDescent="0.25">
      <c r="A1887">
        <v>2025</v>
      </c>
      <c r="B1887" t="s">
        <v>3750</v>
      </c>
      <c r="C1887" s="1">
        <v>45968</v>
      </c>
      <c r="D1887" t="s">
        <v>3751</v>
      </c>
      <c r="E1887" s="2">
        <v>3200243</v>
      </c>
      <c r="G1887" s="3">
        <f>MONTH(Tabela1[[#This Row],[Último pagto ano]])</f>
        <v>11</v>
      </c>
      <c r="H1887" t="str">
        <f>TEXT(Tabela1[[#This Row],[Coluna2]]*29,"mmmm")</f>
        <v>novembro</v>
      </c>
      <c r="I1887" t="str">
        <f>TEXT(MONTH(Tabela1[[#This Row],[Último pagto ano]])*29,"mmmm")</f>
        <v>novembro</v>
      </c>
    </row>
    <row r="1888" spans="1:9" x14ac:dyDescent="0.25">
      <c r="A1888">
        <v>2025</v>
      </c>
      <c r="B1888" t="s">
        <v>3752</v>
      </c>
      <c r="C1888" s="1">
        <v>45740</v>
      </c>
      <c r="D1888" t="s">
        <v>3753</v>
      </c>
      <c r="E1888" s="2">
        <v>247700.34</v>
      </c>
      <c r="G1888" s="3">
        <f>MONTH(Tabela1[[#This Row],[Último pagto ano]])</f>
        <v>3</v>
      </c>
      <c r="H1888" t="str">
        <f>TEXT(Tabela1[[#This Row],[Coluna2]]*29,"mmmm")</f>
        <v>março</v>
      </c>
      <c r="I1888" t="str">
        <f>TEXT(MONTH(Tabela1[[#This Row],[Último pagto ano]])*29,"mmmm")</f>
        <v>março</v>
      </c>
    </row>
    <row r="1889" spans="1:9" x14ac:dyDescent="0.25">
      <c r="A1889">
        <v>2025</v>
      </c>
      <c r="B1889" t="s">
        <v>3754</v>
      </c>
      <c r="C1889" s="1">
        <v>45985</v>
      </c>
      <c r="D1889" t="s">
        <v>3755</v>
      </c>
      <c r="E1889" s="2">
        <v>84918</v>
      </c>
      <c r="G1889" s="3">
        <f>MONTH(Tabela1[[#This Row],[Último pagto ano]])</f>
        <v>11</v>
      </c>
      <c r="H1889" t="str">
        <f>TEXT(Tabela1[[#This Row],[Coluna2]]*29,"mmmm")</f>
        <v>novembro</v>
      </c>
      <c r="I1889" t="str">
        <f>TEXT(MONTH(Tabela1[[#This Row],[Último pagto ano]])*29,"mmmm")</f>
        <v>novembro</v>
      </c>
    </row>
    <row r="1890" spans="1:9" x14ac:dyDescent="0.25">
      <c r="A1890">
        <v>2025</v>
      </c>
      <c r="B1890" t="s">
        <v>3756</v>
      </c>
      <c r="C1890" s="1">
        <v>46014</v>
      </c>
      <c r="D1890" t="s">
        <v>3757</v>
      </c>
      <c r="E1890" s="2">
        <v>25154853.710000001</v>
      </c>
      <c r="G1890" s="3">
        <f>MONTH(Tabela1[[#This Row],[Último pagto ano]])</f>
        <v>12</v>
      </c>
      <c r="H1890" t="str">
        <f>TEXT(Tabela1[[#This Row],[Coluna2]]*29,"mmmm")</f>
        <v>dezembro</v>
      </c>
      <c r="I1890" t="str">
        <f>TEXT(MONTH(Tabela1[[#This Row],[Último pagto ano]])*29,"mmmm")</f>
        <v>dezembro</v>
      </c>
    </row>
    <row r="1891" spans="1:9" x14ac:dyDescent="0.25">
      <c r="A1891">
        <v>2025</v>
      </c>
      <c r="B1891" t="s">
        <v>3758</v>
      </c>
      <c r="C1891" s="1">
        <v>45736</v>
      </c>
      <c r="D1891" t="s">
        <v>3759</v>
      </c>
      <c r="E1891" s="2">
        <v>72376.570000000007</v>
      </c>
      <c r="G1891" s="3">
        <f>MONTH(Tabela1[[#This Row],[Último pagto ano]])</f>
        <v>3</v>
      </c>
      <c r="H1891" t="str">
        <f>TEXT(Tabela1[[#This Row],[Coluna2]]*29,"mmmm")</f>
        <v>março</v>
      </c>
      <c r="I1891" t="str">
        <f>TEXT(MONTH(Tabela1[[#This Row],[Último pagto ano]])*29,"mmmm")</f>
        <v>março</v>
      </c>
    </row>
    <row r="1892" spans="1:9" x14ac:dyDescent="0.25">
      <c r="A1892">
        <v>2025</v>
      </c>
      <c r="B1892" t="s">
        <v>3760</v>
      </c>
      <c r="C1892" s="1">
        <v>45743</v>
      </c>
      <c r="D1892" t="s">
        <v>3761</v>
      </c>
      <c r="E1892" s="2">
        <v>9000.7800000000007</v>
      </c>
      <c r="G1892" s="3">
        <f>MONTH(Tabela1[[#This Row],[Último pagto ano]])</f>
        <v>3</v>
      </c>
      <c r="H1892" t="str">
        <f>TEXT(Tabela1[[#This Row],[Coluna2]]*29,"mmmm")</f>
        <v>março</v>
      </c>
      <c r="I1892" t="str">
        <f>TEXT(MONTH(Tabela1[[#This Row],[Último pagto ano]])*29,"mmmm")</f>
        <v>março</v>
      </c>
    </row>
    <row r="1893" spans="1:9" x14ac:dyDescent="0.25">
      <c r="A1893">
        <v>2025</v>
      </c>
      <c r="B1893" t="s">
        <v>3762</v>
      </c>
      <c r="C1893" s="1">
        <v>45992</v>
      </c>
      <c r="D1893" t="s">
        <v>3763</v>
      </c>
      <c r="E1893" s="2">
        <v>530062.79</v>
      </c>
      <c r="G1893" s="3">
        <f>MONTH(Tabela1[[#This Row],[Último pagto ano]])</f>
        <v>12</v>
      </c>
      <c r="H1893" t="str">
        <f>TEXT(Tabela1[[#This Row],[Coluna2]]*29,"mmmm")</f>
        <v>dezembro</v>
      </c>
      <c r="I1893" t="str">
        <f>TEXT(MONTH(Tabela1[[#This Row],[Último pagto ano]])*29,"mmmm")</f>
        <v>dezembro</v>
      </c>
    </row>
    <row r="1894" spans="1:9" x14ac:dyDescent="0.25">
      <c r="A1894">
        <v>2025</v>
      </c>
      <c r="B1894" t="s">
        <v>3764</v>
      </c>
      <c r="C1894" s="1">
        <v>45740</v>
      </c>
      <c r="D1894" t="s">
        <v>3765</v>
      </c>
      <c r="E1894" s="2">
        <v>2100</v>
      </c>
      <c r="G1894" s="3">
        <f>MONTH(Tabela1[[#This Row],[Último pagto ano]])</f>
        <v>3</v>
      </c>
      <c r="H1894" t="str">
        <f>TEXT(Tabela1[[#This Row],[Coluna2]]*29,"mmmm")</f>
        <v>março</v>
      </c>
      <c r="I1894" t="str">
        <f>TEXT(MONTH(Tabela1[[#This Row],[Último pagto ano]])*29,"mmmm")</f>
        <v>março</v>
      </c>
    </row>
    <row r="1895" spans="1:9" x14ac:dyDescent="0.25">
      <c r="A1895">
        <v>2025</v>
      </c>
      <c r="B1895" t="s">
        <v>3766</v>
      </c>
      <c r="C1895" s="1">
        <v>45702</v>
      </c>
      <c r="D1895" t="s">
        <v>3767</v>
      </c>
      <c r="E1895">
        <v>94.34</v>
      </c>
      <c r="G1895" s="3">
        <f>MONTH(Tabela1[[#This Row],[Último pagto ano]])</f>
        <v>2</v>
      </c>
      <c r="H1895" t="str">
        <f>TEXT(Tabela1[[#This Row],[Coluna2]]*29,"mmmm")</f>
        <v>fevereiro</v>
      </c>
      <c r="I1895" t="str">
        <f>TEXT(MONTH(Tabela1[[#This Row],[Último pagto ano]])*29,"mmmm")</f>
        <v>fevereiro</v>
      </c>
    </row>
    <row r="1896" spans="1:9" x14ac:dyDescent="0.25">
      <c r="A1896">
        <v>2025</v>
      </c>
      <c r="B1896" t="s">
        <v>3766</v>
      </c>
      <c r="C1896" s="1">
        <v>46013</v>
      </c>
      <c r="D1896" t="s">
        <v>3767</v>
      </c>
      <c r="E1896">
        <v>475.2</v>
      </c>
      <c r="G1896" s="3">
        <f>MONTH(Tabela1[[#This Row],[Último pagto ano]])</f>
        <v>12</v>
      </c>
      <c r="H1896" t="str">
        <f>TEXT(Tabela1[[#This Row],[Coluna2]]*29,"mmmm")</f>
        <v>dezembro</v>
      </c>
      <c r="I1896" t="str">
        <f>TEXT(MONTH(Tabela1[[#This Row],[Último pagto ano]])*29,"mmmm")</f>
        <v>dezembro</v>
      </c>
    </row>
    <row r="1897" spans="1:9" x14ac:dyDescent="0.25">
      <c r="A1897">
        <v>2025</v>
      </c>
      <c r="B1897" t="s">
        <v>3768</v>
      </c>
      <c r="C1897" s="1">
        <v>45988</v>
      </c>
      <c r="D1897" t="s">
        <v>3769</v>
      </c>
      <c r="E1897">
        <v>70.2</v>
      </c>
      <c r="G1897" s="3">
        <f>MONTH(Tabela1[[#This Row],[Último pagto ano]])</f>
        <v>11</v>
      </c>
      <c r="H1897" t="str">
        <f>TEXT(Tabela1[[#This Row],[Coluna2]]*29,"mmmm")</f>
        <v>novembro</v>
      </c>
      <c r="I1897" t="str">
        <f>TEXT(MONTH(Tabela1[[#This Row],[Último pagto ano]])*29,"mmmm")</f>
        <v>novembro</v>
      </c>
    </row>
    <row r="1898" spans="1:9" x14ac:dyDescent="0.25">
      <c r="A1898">
        <v>2025</v>
      </c>
      <c r="B1898" t="s">
        <v>3770</v>
      </c>
      <c r="C1898" s="1">
        <v>46014</v>
      </c>
      <c r="D1898" t="s">
        <v>3771</v>
      </c>
      <c r="E1898" s="2">
        <v>38963</v>
      </c>
      <c r="G1898" s="3">
        <f>MONTH(Tabela1[[#This Row],[Último pagto ano]])</f>
        <v>12</v>
      </c>
      <c r="H1898" t="str">
        <f>TEXT(Tabela1[[#This Row],[Coluna2]]*29,"mmmm")</f>
        <v>dezembro</v>
      </c>
      <c r="I1898" t="str">
        <f>TEXT(MONTH(Tabela1[[#This Row],[Último pagto ano]])*29,"mmmm")</f>
        <v>dezembro</v>
      </c>
    </row>
    <row r="1899" spans="1:9" x14ac:dyDescent="0.25">
      <c r="A1899">
        <v>2025</v>
      </c>
      <c r="B1899" t="s">
        <v>3772</v>
      </c>
      <c r="C1899" s="1">
        <v>45995</v>
      </c>
      <c r="D1899" t="s">
        <v>3773</v>
      </c>
      <c r="E1899" s="2">
        <v>4678</v>
      </c>
      <c r="G1899" s="3">
        <f>MONTH(Tabela1[[#This Row],[Último pagto ano]])</f>
        <v>12</v>
      </c>
      <c r="H1899" t="str">
        <f>TEXT(Tabela1[[#This Row],[Coluna2]]*29,"mmmm")</f>
        <v>dezembro</v>
      </c>
      <c r="I1899" t="str">
        <f>TEXT(MONTH(Tabela1[[#This Row],[Último pagto ano]])*29,"mmmm")</f>
        <v>dezembro</v>
      </c>
    </row>
    <row r="1900" spans="1:9" x14ac:dyDescent="0.25">
      <c r="A1900">
        <v>2025</v>
      </c>
      <c r="B1900" t="s">
        <v>3774</v>
      </c>
      <c r="C1900" s="1">
        <v>45831</v>
      </c>
      <c r="D1900" t="s">
        <v>3775</v>
      </c>
      <c r="E1900" s="2">
        <v>22943.279999999999</v>
      </c>
      <c r="G1900" s="3">
        <f>MONTH(Tabela1[[#This Row],[Último pagto ano]])</f>
        <v>6</v>
      </c>
      <c r="H1900" t="str">
        <f>TEXT(Tabela1[[#This Row],[Coluna2]]*29,"mmmm")</f>
        <v>junho</v>
      </c>
      <c r="I1900" t="str">
        <f>TEXT(MONTH(Tabela1[[#This Row],[Último pagto ano]])*29,"mmmm")</f>
        <v>junho</v>
      </c>
    </row>
    <row r="1901" spans="1:9" x14ac:dyDescent="0.25">
      <c r="A1901">
        <v>2025</v>
      </c>
      <c r="B1901" t="s">
        <v>3776</v>
      </c>
      <c r="C1901" s="1">
        <v>46014</v>
      </c>
      <c r="D1901" t="s">
        <v>3777</v>
      </c>
      <c r="E1901" s="2">
        <v>19248</v>
      </c>
      <c r="G1901" s="3">
        <f>MONTH(Tabela1[[#This Row],[Último pagto ano]])</f>
        <v>12</v>
      </c>
      <c r="H1901" t="str">
        <f>TEXT(Tabela1[[#This Row],[Coluna2]]*29,"mmmm")</f>
        <v>dezembro</v>
      </c>
      <c r="I1901" t="str">
        <f>TEXT(MONTH(Tabela1[[#This Row],[Último pagto ano]])*29,"mmmm")</f>
        <v>dezembro</v>
      </c>
    </row>
    <row r="1902" spans="1:9" x14ac:dyDescent="0.25">
      <c r="A1902">
        <v>2025</v>
      </c>
      <c r="B1902" t="s">
        <v>3778</v>
      </c>
      <c r="C1902" s="1">
        <v>45663</v>
      </c>
      <c r="D1902" t="s">
        <v>3779</v>
      </c>
      <c r="E1902">
        <v>676.4</v>
      </c>
      <c r="G1902" s="3">
        <f>MONTH(Tabela1[[#This Row],[Último pagto ano]])</f>
        <v>1</v>
      </c>
      <c r="H1902" t="str">
        <f>TEXT(Tabela1[[#This Row],[Coluna2]]*29,"mmmm")</f>
        <v>janeiro</v>
      </c>
      <c r="I1902" t="str">
        <f>TEXT(MONTH(Tabela1[[#This Row],[Último pagto ano]])*29,"mmmm")</f>
        <v>janeiro</v>
      </c>
    </row>
    <row r="1903" spans="1:9" x14ac:dyDescent="0.25">
      <c r="A1903">
        <v>2025</v>
      </c>
      <c r="B1903" t="s">
        <v>3780</v>
      </c>
      <c r="C1903" s="1">
        <v>45807</v>
      </c>
      <c r="D1903" t="s">
        <v>3781</v>
      </c>
      <c r="E1903" s="2">
        <v>4724.08</v>
      </c>
      <c r="G1903" s="3">
        <f>MONTH(Tabela1[[#This Row],[Último pagto ano]])</f>
        <v>5</v>
      </c>
      <c r="H1903" t="str">
        <f>TEXT(Tabela1[[#This Row],[Coluna2]]*29,"mmmm")</f>
        <v>maio</v>
      </c>
      <c r="I1903" t="str">
        <f>TEXT(MONTH(Tabela1[[#This Row],[Último pagto ano]])*29,"mmmm")</f>
        <v>maio</v>
      </c>
    </row>
    <row r="1904" spans="1:9" x14ac:dyDescent="0.25">
      <c r="A1904">
        <v>2025</v>
      </c>
      <c r="B1904" t="s">
        <v>3782</v>
      </c>
      <c r="C1904" s="1">
        <v>45687</v>
      </c>
      <c r="D1904" t="s">
        <v>3783</v>
      </c>
      <c r="E1904">
        <v>991.71</v>
      </c>
      <c r="G1904" s="3">
        <f>MONTH(Tabela1[[#This Row],[Último pagto ano]])</f>
        <v>1</v>
      </c>
      <c r="H1904" t="str">
        <f>TEXT(Tabela1[[#This Row],[Coluna2]]*29,"mmmm")</f>
        <v>janeiro</v>
      </c>
      <c r="I1904" t="str">
        <f>TEXT(MONTH(Tabela1[[#This Row],[Último pagto ano]])*29,"mmmm")</f>
        <v>janeiro</v>
      </c>
    </row>
    <row r="1905" spans="1:9" x14ac:dyDescent="0.25">
      <c r="A1905">
        <v>2025</v>
      </c>
      <c r="B1905" t="s">
        <v>3784</v>
      </c>
      <c r="C1905" s="1">
        <v>45996</v>
      </c>
      <c r="D1905" t="s">
        <v>3785</v>
      </c>
      <c r="E1905" s="2">
        <v>39982.6</v>
      </c>
      <c r="G1905" s="3">
        <f>MONTH(Tabela1[[#This Row],[Último pagto ano]])</f>
        <v>12</v>
      </c>
      <c r="H1905" t="str">
        <f>TEXT(Tabela1[[#This Row],[Coluna2]]*29,"mmmm")</f>
        <v>dezembro</v>
      </c>
      <c r="I1905" t="str">
        <f>TEXT(MONTH(Tabela1[[#This Row],[Último pagto ano]])*29,"mmmm")</f>
        <v>dezembro</v>
      </c>
    </row>
    <row r="1906" spans="1:9" x14ac:dyDescent="0.25">
      <c r="A1906">
        <v>2025</v>
      </c>
      <c r="B1906" t="s">
        <v>3786</v>
      </c>
      <c r="C1906" s="1">
        <v>45989</v>
      </c>
      <c r="D1906" t="s">
        <v>3787</v>
      </c>
      <c r="E1906" s="2">
        <v>11382.1</v>
      </c>
      <c r="G1906" s="3">
        <f>MONTH(Tabela1[[#This Row],[Último pagto ano]])</f>
        <v>11</v>
      </c>
      <c r="H1906" t="str">
        <f>TEXT(Tabela1[[#This Row],[Coluna2]]*29,"mmmm")</f>
        <v>novembro</v>
      </c>
      <c r="I1906" t="str">
        <f>TEXT(MONTH(Tabela1[[#This Row],[Último pagto ano]])*29,"mmmm")</f>
        <v>novembro</v>
      </c>
    </row>
    <row r="1907" spans="1:9" x14ac:dyDescent="0.25">
      <c r="A1907">
        <v>2025</v>
      </c>
      <c r="B1907" t="s">
        <v>3788</v>
      </c>
      <c r="C1907" s="1">
        <v>46013</v>
      </c>
      <c r="D1907" t="s">
        <v>3789</v>
      </c>
      <c r="E1907" s="2">
        <v>4481.1000000000004</v>
      </c>
      <c r="G1907" s="3">
        <f>MONTH(Tabela1[[#This Row],[Último pagto ano]])</f>
        <v>12</v>
      </c>
      <c r="H1907" t="str">
        <f>TEXT(Tabela1[[#This Row],[Coluna2]]*29,"mmmm")</f>
        <v>dezembro</v>
      </c>
      <c r="I1907" t="str">
        <f>TEXT(MONTH(Tabela1[[#This Row],[Último pagto ano]])*29,"mmmm")</f>
        <v>dezembro</v>
      </c>
    </row>
    <row r="1908" spans="1:9" x14ac:dyDescent="0.25">
      <c r="A1908">
        <v>2025</v>
      </c>
      <c r="B1908" t="s">
        <v>3790</v>
      </c>
      <c r="C1908" s="1">
        <v>46006</v>
      </c>
      <c r="D1908" t="s">
        <v>3791</v>
      </c>
      <c r="E1908" s="2">
        <v>8400</v>
      </c>
      <c r="G1908" s="3">
        <f>MONTH(Tabela1[[#This Row],[Último pagto ano]])</f>
        <v>12</v>
      </c>
      <c r="H1908" t="str">
        <f>TEXT(Tabela1[[#This Row],[Coluna2]]*29,"mmmm")</f>
        <v>dezembro</v>
      </c>
      <c r="I1908" t="str">
        <f>TEXT(MONTH(Tabela1[[#This Row],[Último pagto ano]])*29,"mmmm")</f>
        <v>dezembro</v>
      </c>
    </row>
    <row r="1909" spans="1:9" x14ac:dyDescent="0.25">
      <c r="A1909">
        <v>2025</v>
      </c>
      <c r="B1909" t="s">
        <v>3792</v>
      </c>
      <c r="C1909" s="1">
        <v>45709</v>
      </c>
      <c r="D1909" t="s">
        <v>3793</v>
      </c>
      <c r="E1909">
        <v>121.88</v>
      </c>
      <c r="G1909" s="3">
        <f>MONTH(Tabela1[[#This Row],[Último pagto ano]])</f>
        <v>2</v>
      </c>
      <c r="H1909" t="str">
        <f>TEXT(Tabela1[[#This Row],[Coluna2]]*29,"mmmm")</f>
        <v>fevereiro</v>
      </c>
      <c r="I1909" t="str">
        <f>TEXT(MONTH(Tabela1[[#This Row],[Último pagto ano]])*29,"mmmm")</f>
        <v>fevereiro</v>
      </c>
    </row>
    <row r="1910" spans="1:9" x14ac:dyDescent="0.25">
      <c r="A1910">
        <v>2025</v>
      </c>
      <c r="B1910" t="s">
        <v>3794</v>
      </c>
      <c r="C1910" s="1">
        <v>45996</v>
      </c>
      <c r="D1910" t="s">
        <v>3795</v>
      </c>
      <c r="E1910" s="2">
        <v>22680</v>
      </c>
      <c r="G1910" s="3">
        <f>MONTH(Tabela1[[#This Row],[Último pagto ano]])</f>
        <v>12</v>
      </c>
      <c r="H1910" t="str">
        <f>TEXT(Tabela1[[#This Row],[Coluna2]]*29,"mmmm")</f>
        <v>dezembro</v>
      </c>
      <c r="I1910" t="str">
        <f>TEXT(MONTH(Tabela1[[#This Row],[Último pagto ano]])*29,"mmmm")</f>
        <v>dezembro</v>
      </c>
    </row>
    <row r="1911" spans="1:9" x14ac:dyDescent="0.25">
      <c r="A1911">
        <v>2025</v>
      </c>
      <c r="B1911" t="s">
        <v>3796</v>
      </c>
      <c r="C1911" s="1">
        <v>45747</v>
      </c>
      <c r="D1911" t="s">
        <v>3797</v>
      </c>
      <c r="E1911">
        <v>22</v>
      </c>
      <c r="G1911" s="3">
        <f>MONTH(Tabela1[[#This Row],[Último pagto ano]])</f>
        <v>3</v>
      </c>
      <c r="H1911" t="str">
        <f>TEXT(Tabela1[[#This Row],[Coluna2]]*29,"mmmm")</f>
        <v>março</v>
      </c>
      <c r="I1911" t="str">
        <f>TEXT(MONTH(Tabela1[[#This Row],[Último pagto ano]])*29,"mmmm")</f>
        <v>março</v>
      </c>
    </row>
    <row r="1912" spans="1:9" x14ac:dyDescent="0.25">
      <c r="A1912">
        <v>2025</v>
      </c>
      <c r="B1912" t="s">
        <v>3798</v>
      </c>
      <c r="C1912" s="1">
        <v>46010</v>
      </c>
      <c r="D1912" t="s">
        <v>3799</v>
      </c>
      <c r="E1912" s="2">
        <v>12000</v>
      </c>
      <c r="G1912" s="3">
        <f>MONTH(Tabela1[[#This Row],[Último pagto ano]])</f>
        <v>12</v>
      </c>
      <c r="H1912" t="str">
        <f>TEXT(Tabela1[[#This Row],[Coluna2]]*29,"mmmm")</f>
        <v>dezembro</v>
      </c>
      <c r="I1912" t="str">
        <f>TEXT(MONTH(Tabela1[[#This Row],[Último pagto ano]])*29,"mmmm")</f>
        <v>dezembro</v>
      </c>
    </row>
    <row r="1913" spans="1:9" x14ac:dyDescent="0.25">
      <c r="A1913">
        <v>2025</v>
      </c>
      <c r="B1913" t="s">
        <v>3800</v>
      </c>
      <c r="C1913" s="1">
        <v>46006</v>
      </c>
      <c r="D1913" t="s">
        <v>3801</v>
      </c>
      <c r="E1913" s="2">
        <v>18280</v>
      </c>
      <c r="G1913" s="3">
        <f>MONTH(Tabela1[[#This Row],[Último pagto ano]])</f>
        <v>12</v>
      </c>
      <c r="H1913" t="str">
        <f>TEXT(Tabela1[[#This Row],[Coluna2]]*29,"mmmm")</f>
        <v>dezembro</v>
      </c>
      <c r="I1913" t="str">
        <f>TEXT(MONTH(Tabela1[[#This Row],[Último pagto ano]])*29,"mmmm")</f>
        <v>dezembro</v>
      </c>
    </row>
    <row r="1914" spans="1:9" x14ac:dyDescent="0.25">
      <c r="A1914">
        <v>2025</v>
      </c>
      <c r="B1914" t="s">
        <v>3802</v>
      </c>
      <c r="C1914" s="1">
        <v>46010</v>
      </c>
      <c r="D1914" t="s">
        <v>3803</v>
      </c>
      <c r="E1914" s="2">
        <v>12000</v>
      </c>
      <c r="G1914" s="3">
        <f>MONTH(Tabela1[[#This Row],[Último pagto ano]])</f>
        <v>12</v>
      </c>
      <c r="H1914" t="str">
        <f>TEXT(Tabela1[[#This Row],[Coluna2]]*29,"mmmm")</f>
        <v>dezembro</v>
      </c>
      <c r="I1914" t="str">
        <f>TEXT(MONTH(Tabela1[[#This Row],[Último pagto ano]])*29,"mmmm")</f>
        <v>dezembro</v>
      </c>
    </row>
    <row r="1915" spans="1:9" x14ac:dyDescent="0.25">
      <c r="A1915">
        <v>2025</v>
      </c>
      <c r="B1915" t="s">
        <v>3804</v>
      </c>
      <c r="C1915" s="1">
        <v>45996</v>
      </c>
      <c r="D1915" t="s">
        <v>3805</v>
      </c>
      <c r="E1915" s="2">
        <v>110600.76</v>
      </c>
      <c r="G1915" s="3">
        <f>MONTH(Tabela1[[#This Row],[Último pagto ano]])</f>
        <v>12</v>
      </c>
      <c r="H1915" t="str">
        <f>TEXT(Tabela1[[#This Row],[Coluna2]]*29,"mmmm")</f>
        <v>dezembro</v>
      </c>
      <c r="I1915" t="str">
        <f>TEXT(MONTH(Tabela1[[#This Row],[Último pagto ano]])*29,"mmmm")</f>
        <v>dezembro</v>
      </c>
    </row>
    <row r="1916" spans="1:9" x14ac:dyDescent="0.25">
      <c r="A1916">
        <v>2025</v>
      </c>
      <c r="B1916" t="s">
        <v>3806</v>
      </c>
      <c r="C1916" s="1">
        <v>46007</v>
      </c>
      <c r="D1916" t="s">
        <v>3807</v>
      </c>
      <c r="E1916" s="2">
        <v>79127.679999999993</v>
      </c>
      <c r="G1916" s="3">
        <f>MONTH(Tabela1[[#This Row],[Último pagto ano]])</f>
        <v>12</v>
      </c>
      <c r="H1916" t="str">
        <f>TEXT(Tabela1[[#This Row],[Coluna2]]*29,"mmmm")</f>
        <v>dezembro</v>
      </c>
      <c r="I1916" t="str">
        <f>TEXT(MONTH(Tabela1[[#This Row],[Último pagto ano]])*29,"mmmm")</f>
        <v>dezembro</v>
      </c>
    </row>
    <row r="1917" spans="1:9" x14ac:dyDescent="0.25">
      <c r="A1917">
        <v>2025</v>
      </c>
      <c r="B1917" t="s">
        <v>3808</v>
      </c>
      <c r="C1917" s="1">
        <v>46010</v>
      </c>
      <c r="D1917" t="s">
        <v>3809</v>
      </c>
      <c r="E1917">
        <v>700</v>
      </c>
      <c r="G1917" s="3">
        <f>MONTH(Tabela1[[#This Row],[Último pagto ano]])</f>
        <v>12</v>
      </c>
      <c r="H1917" t="str">
        <f>TEXT(Tabela1[[#This Row],[Coluna2]]*29,"mmmm")</f>
        <v>dezembro</v>
      </c>
      <c r="I1917" t="str">
        <f>TEXT(MONTH(Tabela1[[#This Row],[Último pagto ano]])*29,"mmmm")</f>
        <v>dezembro</v>
      </c>
    </row>
    <row r="1918" spans="1:9" x14ac:dyDescent="0.25">
      <c r="A1918">
        <v>2025</v>
      </c>
      <c r="B1918" t="s">
        <v>3810</v>
      </c>
      <c r="C1918" s="1">
        <v>46014</v>
      </c>
      <c r="D1918" t="s">
        <v>3811</v>
      </c>
      <c r="E1918" s="2">
        <v>154597.1</v>
      </c>
      <c r="G1918" s="3">
        <f>MONTH(Tabela1[[#This Row],[Último pagto ano]])</f>
        <v>12</v>
      </c>
      <c r="H1918" t="str">
        <f>TEXT(Tabela1[[#This Row],[Coluna2]]*29,"mmmm")</f>
        <v>dezembro</v>
      </c>
      <c r="I1918" t="str">
        <f>TEXT(MONTH(Tabela1[[#This Row],[Último pagto ano]])*29,"mmmm")</f>
        <v>dezembro</v>
      </c>
    </row>
    <row r="1919" spans="1:9" x14ac:dyDescent="0.25">
      <c r="A1919">
        <v>2025</v>
      </c>
      <c r="B1919" t="s">
        <v>3812</v>
      </c>
      <c r="C1919" s="1">
        <v>45740</v>
      </c>
      <c r="D1919" t="s">
        <v>3813</v>
      </c>
      <c r="E1919" s="2">
        <v>2996.24</v>
      </c>
      <c r="G1919" s="3">
        <f>MONTH(Tabela1[[#This Row],[Último pagto ano]])</f>
        <v>3</v>
      </c>
      <c r="H1919" t="str">
        <f>TEXT(Tabela1[[#This Row],[Coluna2]]*29,"mmmm")</f>
        <v>março</v>
      </c>
      <c r="I1919" t="str">
        <f>TEXT(MONTH(Tabela1[[#This Row],[Último pagto ano]])*29,"mmmm")</f>
        <v>março</v>
      </c>
    </row>
    <row r="1920" spans="1:9" x14ac:dyDescent="0.25">
      <c r="A1920">
        <v>2025</v>
      </c>
      <c r="B1920" t="s">
        <v>3814</v>
      </c>
      <c r="C1920" s="1">
        <v>45925</v>
      </c>
      <c r="D1920" t="s">
        <v>3815</v>
      </c>
      <c r="E1920" s="2">
        <v>10313.66</v>
      </c>
      <c r="G1920" s="3">
        <f>MONTH(Tabela1[[#This Row],[Último pagto ano]])</f>
        <v>9</v>
      </c>
      <c r="H1920" t="str">
        <f>TEXT(Tabela1[[#This Row],[Coluna2]]*29,"mmmm")</f>
        <v>setembro</v>
      </c>
      <c r="I1920" t="str">
        <f>TEXT(MONTH(Tabela1[[#This Row],[Último pagto ano]])*29,"mmmm")</f>
        <v>setembro</v>
      </c>
    </row>
    <row r="1921" spans="1:9" x14ac:dyDescent="0.25">
      <c r="A1921">
        <v>2025</v>
      </c>
      <c r="B1921" t="s">
        <v>3816</v>
      </c>
      <c r="C1921" s="1">
        <v>45841</v>
      </c>
      <c r="D1921" t="s">
        <v>3817</v>
      </c>
      <c r="E1921" s="2">
        <v>5167.83</v>
      </c>
      <c r="G1921" s="3">
        <f>MONTH(Tabela1[[#This Row],[Último pagto ano]])</f>
        <v>7</v>
      </c>
      <c r="H1921" t="str">
        <f>TEXT(Tabela1[[#This Row],[Coluna2]]*29,"mmmm")</f>
        <v>julho</v>
      </c>
      <c r="I1921" t="str">
        <f>TEXT(MONTH(Tabela1[[#This Row],[Último pagto ano]])*29,"mmmm")</f>
        <v>julho</v>
      </c>
    </row>
    <row r="1922" spans="1:9" x14ac:dyDescent="0.25">
      <c r="A1922">
        <v>2025</v>
      </c>
      <c r="B1922" t="s">
        <v>3818</v>
      </c>
      <c r="C1922" s="1">
        <v>45985</v>
      </c>
      <c r="D1922" t="s">
        <v>3819</v>
      </c>
      <c r="E1922">
        <v>99</v>
      </c>
      <c r="G1922" s="3">
        <f>MONTH(Tabela1[[#This Row],[Último pagto ano]])</f>
        <v>11</v>
      </c>
      <c r="H1922" t="str">
        <f>TEXT(Tabela1[[#This Row],[Coluna2]]*29,"mmmm")</f>
        <v>novembro</v>
      </c>
      <c r="I1922" t="str">
        <f>TEXT(MONTH(Tabela1[[#This Row],[Último pagto ano]])*29,"mmmm")</f>
        <v>novembro</v>
      </c>
    </row>
    <row r="1923" spans="1:9" x14ac:dyDescent="0.25">
      <c r="A1923">
        <v>2025</v>
      </c>
      <c r="B1923" t="s">
        <v>3820</v>
      </c>
      <c r="C1923" s="1">
        <v>45890</v>
      </c>
      <c r="D1923" t="s">
        <v>3821</v>
      </c>
      <c r="E1923" s="2">
        <v>1021.2</v>
      </c>
      <c r="G1923" s="3">
        <f>MONTH(Tabela1[[#This Row],[Último pagto ano]])</f>
        <v>8</v>
      </c>
      <c r="H1923" t="str">
        <f>TEXT(Tabela1[[#This Row],[Coluna2]]*29,"mmmm")</f>
        <v>agosto</v>
      </c>
      <c r="I1923" t="str">
        <f>TEXT(MONTH(Tabela1[[#This Row],[Último pagto ano]])*29,"mmmm")</f>
        <v>agosto</v>
      </c>
    </row>
    <row r="1924" spans="1:9" x14ac:dyDescent="0.25">
      <c r="A1924">
        <v>2025</v>
      </c>
      <c r="B1924" t="s">
        <v>3822</v>
      </c>
      <c r="C1924" s="1">
        <v>46010</v>
      </c>
      <c r="D1924" t="s">
        <v>3823</v>
      </c>
      <c r="E1924" s="2">
        <v>8400</v>
      </c>
      <c r="G1924" s="3">
        <f>MONTH(Tabela1[[#This Row],[Último pagto ano]])</f>
        <v>12</v>
      </c>
      <c r="H1924" t="str">
        <f>TEXT(Tabela1[[#This Row],[Coluna2]]*29,"mmmm")</f>
        <v>dezembro</v>
      </c>
      <c r="I1924" t="str">
        <f>TEXT(MONTH(Tabela1[[#This Row],[Último pagto ano]])*29,"mmmm")</f>
        <v>dezembro</v>
      </c>
    </row>
    <row r="1925" spans="1:9" x14ac:dyDescent="0.25">
      <c r="A1925">
        <v>2025</v>
      </c>
      <c r="B1925" t="s">
        <v>3824</v>
      </c>
      <c r="C1925" s="1">
        <v>46006</v>
      </c>
      <c r="D1925" t="s">
        <v>3825</v>
      </c>
      <c r="E1925">
        <v>44</v>
      </c>
      <c r="G1925" s="3">
        <f>MONTH(Tabela1[[#This Row],[Último pagto ano]])</f>
        <v>12</v>
      </c>
      <c r="H1925" t="str">
        <f>TEXT(Tabela1[[#This Row],[Coluna2]]*29,"mmmm")</f>
        <v>dezembro</v>
      </c>
      <c r="I1925" t="str">
        <f>TEXT(MONTH(Tabela1[[#This Row],[Último pagto ano]])*29,"mmmm")</f>
        <v>dezembro</v>
      </c>
    </row>
    <row r="1926" spans="1:9" x14ac:dyDescent="0.25">
      <c r="A1926">
        <v>2025</v>
      </c>
      <c r="B1926" t="s">
        <v>3826</v>
      </c>
      <c r="C1926" s="1">
        <v>45985</v>
      </c>
      <c r="D1926" t="s">
        <v>3827</v>
      </c>
      <c r="E1926">
        <v>495</v>
      </c>
      <c r="G1926" s="3">
        <f>MONTH(Tabela1[[#This Row],[Último pagto ano]])</f>
        <v>11</v>
      </c>
      <c r="H1926" t="str">
        <f>TEXT(Tabela1[[#This Row],[Coluna2]]*29,"mmmm")</f>
        <v>novembro</v>
      </c>
      <c r="I1926" t="str">
        <f>TEXT(MONTH(Tabela1[[#This Row],[Último pagto ano]])*29,"mmmm")</f>
        <v>novembro</v>
      </c>
    </row>
    <row r="1927" spans="1:9" x14ac:dyDescent="0.25">
      <c r="A1927">
        <v>2025</v>
      </c>
      <c r="B1927" t="s">
        <v>3828</v>
      </c>
      <c r="C1927" s="1">
        <v>46021</v>
      </c>
      <c r="D1927" t="s">
        <v>3829</v>
      </c>
      <c r="E1927" s="2">
        <v>6432.1</v>
      </c>
      <c r="G1927" s="3">
        <f>MONTH(Tabela1[[#This Row],[Último pagto ano]])</f>
        <v>12</v>
      </c>
      <c r="H1927" t="str">
        <f>TEXT(Tabela1[[#This Row],[Coluna2]]*29,"mmmm")</f>
        <v>dezembro</v>
      </c>
      <c r="I1927" t="str">
        <f>TEXT(MONTH(Tabela1[[#This Row],[Último pagto ano]])*29,"mmmm")</f>
        <v>dezembro</v>
      </c>
    </row>
    <row r="1928" spans="1:9" x14ac:dyDescent="0.25">
      <c r="A1928">
        <v>2025</v>
      </c>
      <c r="B1928" t="s">
        <v>3830</v>
      </c>
      <c r="C1928" s="1">
        <v>46006</v>
      </c>
      <c r="D1928" t="s">
        <v>3831</v>
      </c>
      <c r="E1928" s="2">
        <v>27637.8</v>
      </c>
      <c r="G1928" s="3">
        <f>MONTH(Tabela1[[#This Row],[Último pagto ano]])</f>
        <v>12</v>
      </c>
      <c r="H1928" t="str">
        <f>TEXT(Tabela1[[#This Row],[Coluna2]]*29,"mmmm")</f>
        <v>dezembro</v>
      </c>
      <c r="I1928" t="str">
        <f>TEXT(MONTH(Tabela1[[#This Row],[Último pagto ano]])*29,"mmmm")</f>
        <v>dezembro</v>
      </c>
    </row>
    <row r="1929" spans="1:9" x14ac:dyDescent="0.25">
      <c r="A1929">
        <v>2025</v>
      </c>
      <c r="B1929" t="s">
        <v>3832</v>
      </c>
      <c r="C1929" s="1">
        <v>45775</v>
      </c>
      <c r="D1929" t="s">
        <v>3833</v>
      </c>
      <c r="E1929">
        <v>163.80000000000001</v>
      </c>
      <c r="G1929" s="3">
        <f>MONTH(Tabela1[[#This Row],[Último pagto ano]])</f>
        <v>4</v>
      </c>
      <c r="H1929" t="str">
        <f>TEXT(Tabela1[[#This Row],[Coluna2]]*29,"mmmm")</f>
        <v>abril</v>
      </c>
      <c r="I1929" t="str">
        <f>TEXT(MONTH(Tabela1[[#This Row],[Último pagto ano]])*29,"mmmm")</f>
        <v>abril</v>
      </c>
    </row>
    <row r="1930" spans="1:9" x14ac:dyDescent="0.25">
      <c r="A1930">
        <v>2025</v>
      </c>
      <c r="B1930" t="s">
        <v>3834</v>
      </c>
      <c r="C1930" s="1">
        <v>45716</v>
      </c>
      <c r="D1930" t="s">
        <v>3835</v>
      </c>
      <c r="E1930" s="2">
        <v>1273.1099999999999</v>
      </c>
      <c r="G1930" s="3">
        <f>MONTH(Tabela1[[#This Row],[Último pagto ano]])</f>
        <v>2</v>
      </c>
      <c r="H1930" t="str">
        <f>TEXT(Tabela1[[#This Row],[Coluna2]]*29,"mmmm")</f>
        <v>fevereiro</v>
      </c>
      <c r="I1930" t="str">
        <f>TEXT(MONTH(Tabela1[[#This Row],[Último pagto ano]])*29,"mmmm")</f>
        <v>fevereiro</v>
      </c>
    </row>
    <row r="1931" spans="1:9" x14ac:dyDescent="0.25">
      <c r="A1931">
        <v>2025</v>
      </c>
      <c r="B1931" t="s">
        <v>3836</v>
      </c>
      <c r="C1931" s="1">
        <v>46006</v>
      </c>
      <c r="D1931" t="s">
        <v>3837</v>
      </c>
      <c r="E1931" s="2">
        <v>8562.08</v>
      </c>
      <c r="G1931" s="3">
        <f>MONTH(Tabela1[[#This Row],[Último pagto ano]])</f>
        <v>12</v>
      </c>
      <c r="H1931" t="str">
        <f>TEXT(Tabela1[[#This Row],[Coluna2]]*29,"mmmm")</f>
        <v>dezembro</v>
      </c>
      <c r="I1931" t="str">
        <f>TEXT(MONTH(Tabela1[[#This Row],[Último pagto ano]])*29,"mmmm")</f>
        <v>dezembro</v>
      </c>
    </row>
    <row r="1932" spans="1:9" x14ac:dyDescent="0.25">
      <c r="A1932">
        <v>2025</v>
      </c>
      <c r="B1932" t="s">
        <v>3838</v>
      </c>
      <c r="C1932" s="1">
        <v>45968</v>
      </c>
      <c r="D1932" t="s">
        <v>3839</v>
      </c>
      <c r="E1932" s="2">
        <v>7600</v>
      </c>
      <c r="G1932" s="3">
        <f>MONTH(Tabela1[[#This Row],[Último pagto ano]])</f>
        <v>11</v>
      </c>
      <c r="H1932" t="str">
        <f>TEXT(Tabela1[[#This Row],[Coluna2]]*29,"mmmm")</f>
        <v>novembro</v>
      </c>
      <c r="I1932" t="str">
        <f>TEXT(MONTH(Tabela1[[#This Row],[Último pagto ano]])*29,"mmmm")</f>
        <v>novembro</v>
      </c>
    </row>
    <row r="1933" spans="1:9" x14ac:dyDescent="0.25">
      <c r="A1933">
        <v>2025</v>
      </c>
      <c r="B1933" t="s">
        <v>3840</v>
      </c>
      <c r="C1933" s="1">
        <v>45762</v>
      </c>
      <c r="D1933" t="s">
        <v>3841</v>
      </c>
      <c r="E1933">
        <v>579.04</v>
      </c>
      <c r="G1933" s="3">
        <f>MONTH(Tabela1[[#This Row],[Último pagto ano]])</f>
        <v>4</v>
      </c>
      <c r="H1933" t="str">
        <f>TEXT(Tabela1[[#This Row],[Coluna2]]*29,"mmmm")</f>
        <v>abril</v>
      </c>
      <c r="I1933" t="str">
        <f>TEXT(MONTH(Tabela1[[#This Row],[Último pagto ano]])*29,"mmmm")</f>
        <v>abril</v>
      </c>
    </row>
    <row r="1934" spans="1:9" x14ac:dyDescent="0.25">
      <c r="A1934">
        <v>2025</v>
      </c>
      <c r="B1934" t="s">
        <v>3842</v>
      </c>
      <c r="C1934" s="1">
        <v>46010</v>
      </c>
      <c r="D1934" t="s">
        <v>3843</v>
      </c>
      <c r="E1934" s="2">
        <v>7000</v>
      </c>
      <c r="G1934" s="3">
        <f>MONTH(Tabela1[[#This Row],[Último pagto ano]])</f>
        <v>12</v>
      </c>
      <c r="H1934" t="str">
        <f>TEXT(Tabela1[[#This Row],[Coluna2]]*29,"mmmm")</f>
        <v>dezembro</v>
      </c>
      <c r="I1934" t="str">
        <f>TEXT(MONTH(Tabela1[[#This Row],[Último pagto ano]])*29,"mmmm")</f>
        <v>dezembro</v>
      </c>
    </row>
    <row r="1935" spans="1:9" x14ac:dyDescent="0.25">
      <c r="A1935">
        <v>2025</v>
      </c>
      <c r="B1935" t="s">
        <v>3844</v>
      </c>
      <c r="C1935" s="1">
        <v>45996</v>
      </c>
      <c r="D1935" t="s">
        <v>3845</v>
      </c>
      <c r="E1935" s="2">
        <v>59400</v>
      </c>
      <c r="G1935" s="3">
        <f>MONTH(Tabela1[[#This Row],[Último pagto ano]])</f>
        <v>12</v>
      </c>
      <c r="H1935" t="str">
        <f>TEXT(Tabela1[[#This Row],[Coluna2]]*29,"mmmm")</f>
        <v>dezembro</v>
      </c>
      <c r="I1935" t="str">
        <f>TEXT(MONTH(Tabela1[[#This Row],[Último pagto ano]])*29,"mmmm")</f>
        <v>dezembro</v>
      </c>
    </row>
    <row r="1936" spans="1:9" x14ac:dyDescent="0.25">
      <c r="A1936">
        <v>2025</v>
      </c>
      <c r="B1936" t="s">
        <v>3846</v>
      </c>
      <c r="C1936" s="1">
        <v>46006</v>
      </c>
      <c r="D1936" t="s">
        <v>3847</v>
      </c>
      <c r="E1936" s="2">
        <v>1480.64</v>
      </c>
      <c r="G1936" s="3">
        <f>MONTH(Tabela1[[#This Row],[Último pagto ano]])</f>
        <v>12</v>
      </c>
      <c r="H1936" t="str">
        <f>TEXT(Tabela1[[#This Row],[Coluna2]]*29,"mmmm")</f>
        <v>dezembro</v>
      </c>
      <c r="I1936" t="str">
        <f>TEXT(MONTH(Tabela1[[#This Row],[Último pagto ano]])*29,"mmmm")</f>
        <v>dezembro</v>
      </c>
    </row>
    <row r="1937" spans="1:9" x14ac:dyDescent="0.25">
      <c r="A1937">
        <v>2025</v>
      </c>
      <c r="B1937" t="s">
        <v>3848</v>
      </c>
      <c r="C1937" s="1">
        <v>46014</v>
      </c>
      <c r="D1937" t="s">
        <v>3849</v>
      </c>
      <c r="E1937" s="2">
        <v>2440</v>
      </c>
      <c r="G1937" s="3">
        <f>MONTH(Tabela1[[#This Row],[Último pagto ano]])</f>
        <v>12</v>
      </c>
      <c r="H1937" t="str">
        <f>TEXT(Tabela1[[#This Row],[Coluna2]]*29,"mmmm")</f>
        <v>dezembro</v>
      </c>
      <c r="I1937" t="str">
        <f>TEXT(MONTH(Tabela1[[#This Row],[Último pagto ano]])*29,"mmmm")</f>
        <v>dezembro</v>
      </c>
    </row>
    <row r="1938" spans="1:9" x14ac:dyDescent="0.25">
      <c r="A1938">
        <v>2025</v>
      </c>
      <c r="B1938" t="s">
        <v>3850</v>
      </c>
      <c r="C1938" s="1">
        <v>45989</v>
      </c>
      <c r="D1938" t="s">
        <v>3851</v>
      </c>
      <c r="E1938" s="2">
        <v>11505.66</v>
      </c>
      <c r="G1938" s="3">
        <f>MONTH(Tabela1[[#This Row],[Último pagto ano]])</f>
        <v>11</v>
      </c>
      <c r="H1938" t="str">
        <f>TEXT(Tabela1[[#This Row],[Coluna2]]*29,"mmmm")</f>
        <v>novembro</v>
      </c>
      <c r="I1938" t="str">
        <f>TEXT(MONTH(Tabela1[[#This Row],[Último pagto ano]])*29,"mmmm")</f>
        <v>novembro</v>
      </c>
    </row>
    <row r="1939" spans="1:9" x14ac:dyDescent="0.25">
      <c r="A1939">
        <v>2025</v>
      </c>
      <c r="B1939" t="s">
        <v>3852</v>
      </c>
      <c r="C1939" s="1">
        <v>45782</v>
      </c>
      <c r="D1939" t="s">
        <v>3853</v>
      </c>
      <c r="E1939">
        <v>13.25</v>
      </c>
      <c r="G1939" s="3">
        <f>MONTH(Tabela1[[#This Row],[Último pagto ano]])</f>
        <v>5</v>
      </c>
      <c r="H1939" t="str">
        <f>TEXT(Tabela1[[#This Row],[Coluna2]]*29,"mmmm")</f>
        <v>maio</v>
      </c>
      <c r="I1939" t="str">
        <f>TEXT(MONTH(Tabela1[[#This Row],[Último pagto ano]])*29,"mmmm")</f>
        <v>maio</v>
      </c>
    </row>
    <row r="1940" spans="1:9" x14ac:dyDescent="0.25">
      <c r="A1940">
        <v>2025</v>
      </c>
      <c r="B1940" t="s">
        <v>3854</v>
      </c>
      <c r="C1940" s="1">
        <v>45705</v>
      </c>
      <c r="D1940" t="s">
        <v>3855</v>
      </c>
      <c r="E1940" s="2">
        <v>1158.08</v>
      </c>
      <c r="G1940" s="3">
        <f>MONTH(Tabela1[[#This Row],[Último pagto ano]])</f>
        <v>2</v>
      </c>
      <c r="H1940" t="str">
        <f>TEXT(Tabela1[[#This Row],[Coluna2]]*29,"mmmm")</f>
        <v>fevereiro</v>
      </c>
      <c r="I1940" t="str">
        <f>TEXT(MONTH(Tabela1[[#This Row],[Último pagto ano]])*29,"mmmm")</f>
        <v>fevereiro</v>
      </c>
    </row>
    <row r="1941" spans="1:9" x14ac:dyDescent="0.25">
      <c r="A1941">
        <v>2025</v>
      </c>
      <c r="B1941" t="s">
        <v>3856</v>
      </c>
      <c r="C1941" s="1">
        <v>45996</v>
      </c>
      <c r="D1941" t="s">
        <v>3857</v>
      </c>
      <c r="E1941" s="2">
        <v>36000</v>
      </c>
      <c r="G1941" s="3">
        <f>MONTH(Tabela1[[#This Row],[Último pagto ano]])</f>
        <v>12</v>
      </c>
      <c r="H1941" t="str">
        <f>TEXT(Tabela1[[#This Row],[Coluna2]]*29,"mmmm")</f>
        <v>dezembro</v>
      </c>
      <c r="I1941" t="str">
        <f>TEXT(MONTH(Tabela1[[#This Row],[Último pagto ano]])*29,"mmmm")</f>
        <v>dezembro</v>
      </c>
    </row>
    <row r="1942" spans="1:9" x14ac:dyDescent="0.25">
      <c r="A1942">
        <v>2025</v>
      </c>
      <c r="B1942" t="s">
        <v>3858</v>
      </c>
      <c r="C1942" s="1">
        <v>45936</v>
      </c>
      <c r="D1942" t="s">
        <v>3859</v>
      </c>
      <c r="E1942">
        <v>328.8</v>
      </c>
      <c r="G1942" s="3">
        <f>MONTH(Tabela1[[#This Row],[Último pagto ano]])</f>
        <v>10</v>
      </c>
      <c r="H1942" t="str">
        <f>TEXT(Tabela1[[#This Row],[Coluna2]]*29,"mmmm")</f>
        <v>outubro</v>
      </c>
      <c r="I1942" t="str">
        <f>TEXT(MONTH(Tabela1[[#This Row],[Último pagto ano]])*29,"mmmm")</f>
        <v>outubro</v>
      </c>
    </row>
    <row r="1943" spans="1:9" x14ac:dyDescent="0.25">
      <c r="A1943">
        <v>2025</v>
      </c>
      <c r="B1943" t="s">
        <v>3860</v>
      </c>
      <c r="C1943" s="1">
        <v>45943</v>
      </c>
      <c r="D1943" t="s">
        <v>3861</v>
      </c>
      <c r="E1943">
        <v>33</v>
      </c>
      <c r="G1943" s="3">
        <f>MONTH(Tabela1[[#This Row],[Último pagto ano]])</f>
        <v>10</v>
      </c>
      <c r="H1943" t="str">
        <f>TEXT(Tabela1[[#This Row],[Coluna2]]*29,"mmmm")</f>
        <v>outubro</v>
      </c>
      <c r="I1943" t="str">
        <f>TEXT(MONTH(Tabela1[[#This Row],[Último pagto ano]])*29,"mmmm")</f>
        <v>outubro</v>
      </c>
    </row>
    <row r="1944" spans="1:9" x14ac:dyDescent="0.25">
      <c r="A1944">
        <v>2025</v>
      </c>
      <c r="B1944" t="s">
        <v>3862</v>
      </c>
      <c r="C1944" s="1">
        <v>45953</v>
      </c>
      <c r="D1944" t="s">
        <v>3863</v>
      </c>
      <c r="E1944" s="2">
        <v>9025.74</v>
      </c>
      <c r="G1944" s="3">
        <f>MONTH(Tabela1[[#This Row],[Último pagto ano]])</f>
        <v>10</v>
      </c>
      <c r="H1944" t="str">
        <f>TEXT(Tabela1[[#This Row],[Coluna2]]*29,"mmmm")</f>
        <v>outubro</v>
      </c>
      <c r="I1944" t="str">
        <f>TEXT(MONTH(Tabela1[[#This Row],[Último pagto ano]])*29,"mmmm")</f>
        <v>outubro</v>
      </c>
    </row>
    <row r="1945" spans="1:9" x14ac:dyDescent="0.25">
      <c r="A1945">
        <v>2025</v>
      </c>
      <c r="B1945" t="s">
        <v>3864</v>
      </c>
      <c r="C1945" s="1">
        <v>46006</v>
      </c>
      <c r="D1945" t="s">
        <v>3865</v>
      </c>
      <c r="E1945" s="2">
        <v>12708.32</v>
      </c>
      <c r="G1945" s="3">
        <f>MONTH(Tabela1[[#This Row],[Último pagto ano]])</f>
        <v>12</v>
      </c>
      <c r="H1945" t="str">
        <f>TEXT(Tabela1[[#This Row],[Coluna2]]*29,"mmmm")</f>
        <v>dezembro</v>
      </c>
      <c r="I1945" t="str">
        <f>TEXT(MONTH(Tabela1[[#This Row],[Último pagto ano]])*29,"mmmm")</f>
        <v>dezembro</v>
      </c>
    </row>
    <row r="1946" spans="1:9" x14ac:dyDescent="0.25">
      <c r="A1946">
        <v>2025</v>
      </c>
      <c r="B1946" t="s">
        <v>3866</v>
      </c>
      <c r="C1946" s="1">
        <v>46007</v>
      </c>
      <c r="D1946" t="s">
        <v>3867</v>
      </c>
      <c r="E1946" s="2">
        <v>101812.68</v>
      </c>
      <c r="G1946" s="3">
        <f>MONTH(Tabela1[[#This Row],[Último pagto ano]])</f>
        <v>12</v>
      </c>
      <c r="H1946" t="str">
        <f>TEXT(Tabela1[[#This Row],[Coluna2]]*29,"mmmm")</f>
        <v>dezembro</v>
      </c>
      <c r="I1946" t="str">
        <f>TEXT(MONTH(Tabela1[[#This Row],[Último pagto ano]])*29,"mmmm")</f>
        <v>dezembro</v>
      </c>
    </row>
    <row r="1947" spans="1:9" x14ac:dyDescent="0.25">
      <c r="A1947">
        <v>2025</v>
      </c>
      <c r="B1947" t="s">
        <v>3868</v>
      </c>
      <c r="C1947" s="1">
        <v>45968</v>
      </c>
      <c r="D1947" t="s">
        <v>3869</v>
      </c>
      <c r="E1947" s="2">
        <v>23400</v>
      </c>
      <c r="G1947" s="3">
        <f>MONTH(Tabela1[[#This Row],[Último pagto ano]])</f>
        <v>11</v>
      </c>
      <c r="H1947" t="str">
        <f>TEXT(Tabela1[[#This Row],[Coluna2]]*29,"mmmm")</f>
        <v>novembro</v>
      </c>
      <c r="I1947" t="str">
        <f>TEXT(MONTH(Tabela1[[#This Row],[Último pagto ano]])*29,"mmmm")</f>
        <v>novembro</v>
      </c>
    </row>
    <row r="1948" spans="1:9" x14ac:dyDescent="0.25">
      <c r="A1948">
        <v>2025</v>
      </c>
      <c r="B1948" t="s">
        <v>3870</v>
      </c>
      <c r="C1948" s="1">
        <v>45996</v>
      </c>
      <c r="D1948" t="s">
        <v>3871</v>
      </c>
      <c r="E1948" s="2">
        <v>2900</v>
      </c>
      <c r="G1948" s="3">
        <f>MONTH(Tabela1[[#This Row],[Último pagto ano]])</f>
        <v>12</v>
      </c>
      <c r="H1948" t="str">
        <f>TEXT(Tabela1[[#This Row],[Coluna2]]*29,"mmmm")</f>
        <v>dezembro</v>
      </c>
      <c r="I1948" t="str">
        <f>TEXT(MONTH(Tabela1[[#This Row],[Último pagto ano]])*29,"mmmm")</f>
        <v>dezembro</v>
      </c>
    </row>
    <row r="1949" spans="1:9" x14ac:dyDescent="0.25">
      <c r="A1949">
        <v>2025</v>
      </c>
      <c r="B1949" t="s">
        <v>3872</v>
      </c>
      <c r="C1949" s="1">
        <v>45996</v>
      </c>
      <c r="D1949" t="s">
        <v>3873</v>
      </c>
      <c r="E1949" s="2">
        <v>3500</v>
      </c>
      <c r="G1949" s="3">
        <f>MONTH(Tabela1[[#This Row],[Último pagto ano]])</f>
        <v>12</v>
      </c>
      <c r="H1949" t="str">
        <f>TEXT(Tabela1[[#This Row],[Coluna2]]*29,"mmmm")</f>
        <v>dezembro</v>
      </c>
      <c r="I1949" t="str">
        <f>TEXT(MONTH(Tabela1[[#This Row],[Último pagto ano]])*29,"mmmm")</f>
        <v>dezembro</v>
      </c>
    </row>
    <row r="1950" spans="1:9" x14ac:dyDescent="0.25">
      <c r="A1950">
        <v>2025</v>
      </c>
      <c r="B1950" t="s">
        <v>3874</v>
      </c>
      <c r="C1950" s="1">
        <v>46006</v>
      </c>
      <c r="D1950" t="s">
        <v>3875</v>
      </c>
      <c r="E1950" s="2">
        <v>3553.92</v>
      </c>
      <c r="G1950" s="3">
        <f>MONTH(Tabela1[[#This Row],[Último pagto ano]])</f>
        <v>12</v>
      </c>
      <c r="H1950" t="str">
        <f>TEXT(Tabela1[[#This Row],[Coluna2]]*29,"mmmm")</f>
        <v>dezembro</v>
      </c>
      <c r="I1950" t="str">
        <f>TEXT(MONTH(Tabela1[[#This Row],[Último pagto ano]])*29,"mmmm")</f>
        <v>dezembro</v>
      </c>
    </row>
    <row r="1951" spans="1:9" x14ac:dyDescent="0.25">
      <c r="A1951">
        <v>2025</v>
      </c>
      <c r="B1951" t="s">
        <v>3876</v>
      </c>
      <c r="C1951" s="1">
        <v>45989</v>
      </c>
      <c r="D1951" t="s">
        <v>3877</v>
      </c>
      <c r="E1951" s="2">
        <v>2659.51</v>
      </c>
      <c r="G1951" s="3">
        <f>MONTH(Tabela1[[#This Row],[Último pagto ano]])</f>
        <v>11</v>
      </c>
      <c r="H1951" t="str">
        <f>TEXT(Tabela1[[#This Row],[Coluna2]]*29,"mmmm")</f>
        <v>novembro</v>
      </c>
      <c r="I1951" t="str">
        <f>TEXT(MONTH(Tabela1[[#This Row],[Último pagto ano]])*29,"mmmm")</f>
        <v>novembro</v>
      </c>
    </row>
    <row r="1952" spans="1:9" x14ac:dyDescent="0.25">
      <c r="A1952">
        <v>2025</v>
      </c>
      <c r="B1952" t="s">
        <v>3878</v>
      </c>
      <c r="C1952" s="1">
        <v>46006</v>
      </c>
      <c r="D1952" t="s">
        <v>3879</v>
      </c>
      <c r="E1952" s="2">
        <v>20886.919999999998</v>
      </c>
      <c r="G1952" s="3">
        <f>MONTH(Tabela1[[#This Row],[Último pagto ano]])</f>
        <v>12</v>
      </c>
      <c r="H1952" t="str">
        <f>TEXT(Tabela1[[#This Row],[Coluna2]]*29,"mmmm")</f>
        <v>dezembro</v>
      </c>
      <c r="I1952" t="str">
        <f>TEXT(MONTH(Tabela1[[#This Row],[Último pagto ano]])*29,"mmmm")</f>
        <v>dezembro</v>
      </c>
    </row>
    <row r="1953" spans="1:9" x14ac:dyDescent="0.25">
      <c r="A1953">
        <v>2025</v>
      </c>
      <c r="B1953" t="s">
        <v>3880</v>
      </c>
      <c r="C1953" s="1">
        <v>45866</v>
      </c>
      <c r="D1953" t="s">
        <v>3881</v>
      </c>
      <c r="E1953">
        <v>691.2</v>
      </c>
      <c r="G1953" s="3">
        <f>MONTH(Tabela1[[#This Row],[Último pagto ano]])</f>
        <v>7</v>
      </c>
      <c r="H1953" t="str">
        <f>TEXT(Tabela1[[#This Row],[Coluna2]]*29,"mmmm")</f>
        <v>julho</v>
      </c>
      <c r="I1953" t="str">
        <f>TEXT(MONTH(Tabela1[[#This Row],[Último pagto ano]])*29,"mmmm")</f>
        <v>julho</v>
      </c>
    </row>
    <row r="1954" spans="1:9" x14ac:dyDescent="0.25">
      <c r="A1954">
        <v>2025</v>
      </c>
      <c r="B1954" t="s">
        <v>3882</v>
      </c>
      <c r="C1954" s="1">
        <v>45849</v>
      </c>
      <c r="D1954" t="s">
        <v>3883</v>
      </c>
      <c r="E1954">
        <v>88</v>
      </c>
      <c r="G1954" s="3">
        <f>MONTH(Tabela1[[#This Row],[Último pagto ano]])</f>
        <v>7</v>
      </c>
      <c r="H1954" t="str">
        <f>TEXT(Tabela1[[#This Row],[Coluna2]]*29,"mmmm")</f>
        <v>julho</v>
      </c>
      <c r="I1954" t="str">
        <f>TEXT(MONTH(Tabela1[[#This Row],[Último pagto ano]])*29,"mmmm")</f>
        <v>julho</v>
      </c>
    </row>
    <row r="1955" spans="1:9" x14ac:dyDescent="0.25">
      <c r="A1955">
        <v>2025</v>
      </c>
      <c r="B1955" t="s">
        <v>3884</v>
      </c>
      <c r="C1955" s="1">
        <v>46010</v>
      </c>
      <c r="D1955" t="s">
        <v>3885</v>
      </c>
      <c r="E1955" s="2">
        <v>6300</v>
      </c>
      <c r="G1955" s="3">
        <f>MONTH(Tabela1[[#This Row],[Último pagto ano]])</f>
        <v>12</v>
      </c>
      <c r="H1955" t="str">
        <f>TEXT(Tabela1[[#This Row],[Coluna2]]*29,"mmmm")</f>
        <v>dezembro</v>
      </c>
      <c r="I1955" t="str">
        <f>TEXT(MONTH(Tabela1[[#This Row],[Último pagto ano]])*29,"mmmm")</f>
        <v>dezembro</v>
      </c>
    </row>
    <row r="1956" spans="1:9" x14ac:dyDescent="0.25">
      <c r="A1956">
        <v>2025</v>
      </c>
      <c r="B1956" t="s">
        <v>3886</v>
      </c>
      <c r="C1956" s="1">
        <v>45975</v>
      </c>
      <c r="D1956" t="s">
        <v>3887</v>
      </c>
      <c r="E1956">
        <v>21.73</v>
      </c>
      <c r="G1956" s="3">
        <f>MONTH(Tabela1[[#This Row],[Último pagto ano]])</f>
        <v>11</v>
      </c>
      <c r="H1956" t="str">
        <f>TEXT(Tabela1[[#This Row],[Coluna2]]*29,"mmmm")</f>
        <v>novembro</v>
      </c>
      <c r="I1956" t="str">
        <f>TEXT(MONTH(Tabela1[[#This Row],[Último pagto ano]])*29,"mmmm")</f>
        <v>novembro</v>
      </c>
    </row>
    <row r="1957" spans="1:9" x14ac:dyDescent="0.25">
      <c r="A1957">
        <v>2025</v>
      </c>
      <c r="B1957" t="s">
        <v>3888</v>
      </c>
      <c r="C1957" s="1">
        <v>45880</v>
      </c>
      <c r="D1957" t="s">
        <v>3889</v>
      </c>
      <c r="E1957">
        <v>86.8</v>
      </c>
      <c r="G1957" s="3">
        <f>MONTH(Tabela1[[#This Row],[Último pagto ano]])</f>
        <v>8</v>
      </c>
      <c r="H1957" t="str">
        <f>TEXT(Tabela1[[#This Row],[Coluna2]]*29,"mmmm")</f>
        <v>agosto</v>
      </c>
      <c r="I1957" t="str">
        <f>TEXT(MONTH(Tabela1[[#This Row],[Último pagto ano]])*29,"mmmm")</f>
        <v>agosto</v>
      </c>
    </row>
    <row r="1958" spans="1:9" x14ac:dyDescent="0.25">
      <c r="A1958">
        <v>2025</v>
      </c>
      <c r="B1958" t="s">
        <v>3890</v>
      </c>
      <c r="C1958" s="1">
        <v>45915</v>
      </c>
      <c r="D1958" t="s">
        <v>3891</v>
      </c>
      <c r="E1958">
        <v>296.16000000000003</v>
      </c>
      <c r="G1958" s="3">
        <f>MONTH(Tabela1[[#This Row],[Último pagto ano]])</f>
        <v>9</v>
      </c>
      <c r="H1958" t="str">
        <f>TEXT(Tabela1[[#This Row],[Coluna2]]*29,"mmmm")</f>
        <v>setembro</v>
      </c>
      <c r="I1958" t="str">
        <f>TEXT(MONTH(Tabela1[[#This Row],[Último pagto ano]])*29,"mmmm")</f>
        <v>setembro</v>
      </c>
    </row>
    <row r="1959" spans="1:9" x14ac:dyDescent="0.25">
      <c r="A1959">
        <v>2025</v>
      </c>
      <c r="B1959" t="s">
        <v>3892</v>
      </c>
      <c r="C1959" s="1">
        <v>45687</v>
      </c>
      <c r="D1959" t="s">
        <v>3893</v>
      </c>
      <c r="E1959">
        <v>990.61</v>
      </c>
      <c r="G1959" s="3">
        <f>MONTH(Tabela1[[#This Row],[Último pagto ano]])</f>
        <v>1</v>
      </c>
      <c r="H1959" t="str">
        <f>TEXT(Tabela1[[#This Row],[Coluna2]]*29,"mmmm")</f>
        <v>janeiro</v>
      </c>
      <c r="I1959" t="str">
        <f>TEXT(MONTH(Tabela1[[#This Row],[Último pagto ano]])*29,"mmmm")</f>
        <v>janeiro</v>
      </c>
    </row>
    <row r="1960" spans="1:9" x14ac:dyDescent="0.25">
      <c r="A1960">
        <v>2025</v>
      </c>
      <c r="B1960" t="s">
        <v>3894</v>
      </c>
      <c r="C1960" s="1">
        <v>45673</v>
      </c>
      <c r="D1960" t="s">
        <v>3895</v>
      </c>
      <c r="E1960" s="2">
        <v>1782</v>
      </c>
      <c r="G1960" s="3">
        <f>MONTH(Tabela1[[#This Row],[Último pagto ano]])</f>
        <v>1</v>
      </c>
      <c r="H1960" t="str">
        <f>TEXT(Tabela1[[#This Row],[Coluna2]]*29,"mmmm")</f>
        <v>janeiro</v>
      </c>
      <c r="I1960" t="str">
        <f>TEXT(MONTH(Tabela1[[#This Row],[Último pagto ano]])*29,"mmmm")</f>
        <v>janeiro</v>
      </c>
    </row>
    <row r="1961" spans="1:9" x14ac:dyDescent="0.25">
      <c r="A1961">
        <v>2025</v>
      </c>
      <c r="B1961" t="s">
        <v>3896</v>
      </c>
      <c r="C1961" s="1">
        <v>45985</v>
      </c>
      <c r="D1961" t="s">
        <v>3897</v>
      </c>
      <c r="E1961" s="2">
        <v>1400</v>
      </c>
      <c r="G1961" s="3">
        <f>MONTH(Tabela1[[#This Row],[Último pagto ano]])</f>
        <v>11</v>
      </c>
      <c r="H1961" t="str">
        <f>TEXT(Tabela1[[#This Row],[Coluna2]]*29,"mmmm")</f>
        <v>novembro</v>
      </c>
      <c r="I1961" t="str">
        <f>TEXT(MONTH(Tabela1[[#This Row],[Último pagto ano]])*29,"mmmm")</f>
        <v>novembro</v>
      </c>
    </row>
    <row r="1962" spans="1:9" x14ac:dyDescent="0.25">
      <c r="A1962">
        <v>2025</v>
      </c>
      <c r="B1962" t="s">
        <v>3898</v>
      </c>
      <c r="C1962" s="1">
        <v>45996</v>
      </c>
      <c r="D1962" t="s">
        <v>3899</v>
      </c>
      <c r="E1962" s="2">
        <v>19110</v>
      </c>
      <c r="G1962" s="3">
        <f>MONTH(Tabela1[[#This Row],[Último pagto ano]])</f>
        <v>12</v>
      </c>
      <c r="H1962" t="str">
        <f>TEXT(Tabela1[[#This Row],[Coluna2]]*29,"mmmm")</f>
        <v>dezembro</v>
      </c>
      <c r="I1962" t="str">
        <f>TEXT(MONTH(Tabela1[[#This Row],[Último pagto ano]])*29,"mmmm")</f>
        <v>dezembro</v>
      </c>
    </row>
    <row r="1963" spans="1:9" x14ac:dyDescent="0.25">
      <c r="A1963">
        <v>2025</v>
      </c>
      <c r="B1963" t="s">
        <v>3900</v>
      </c>
      <c r="C1963" s="1">
        <v>45873</v>
      </c>
      <c r="D1963" t="s">
        <v>3901</v>
      </c>
      <c r="E1963">
        <v>44</v>
      </c>
      <c r="G1963" s="3">
        <f>MONTH(Tabela1[[#This Row],[Último pagto ano]])</f>
        <v>8</v>
      </c>
      <c r="H1963" t="str">
        <f>TEXT(Tabela1[[#This Row],[Coluna2]]*29,"mmmm")</f>
        <v>agosto</v>
      </c>
      <c r="I1963" t="str">
        <f>TEXT(MONTH(Tabela1[[#This Row],[Último pagto ano]])*29,"mmmm")</f>
        <v>agosto</v>
      </c>
    </row>
    <row r="1964" spans="1:9" x14ac:dyDescent="0.25">
      <c r="A1964">
        <v>2025</v>
      </c>
      <c r="B1964" t="s">
        <v>3902</v>
      </c>
      <c r="C1964" s="1">
        <v>46006</v>
      </c>
      <c r="D1964" t="s">
        <v>3903</v>
      </c>
      <c r="E1964" s="2">
        <v>19480.16</v>
      </c>
      <c r="G1964" s="3">
        <f>MONTH(Tabela1[[#This Row],[Último pagto ano]])</f>
        <v>12</v>
      </c>
      <c r="H1964" t="str">
        <f>TEXT(Tabela1[[#This Row],[Coluna2]]*29,"mmmm")</f>
        <v>dezembro</v>
      </c>
      <c r="I1964" t="str">
        <f>TEXT(MONTH(Tabela1[[#This Row],[Último pagto ano]])*29,"mmmm")</f>
        <v>dezembro</v>
      </c>
    </row>
    <row r="1965" spans="1:9" x14ac:dyDescent="0.25">
      <c r="A1965">
        <v>2025</v>
      </c>
      <c r="B1965" t="s">
        <v>3904</v>
      </c>
      <c r="C1965" s="1">
        <v>46010</v>
      </c>
      <c r="D1965" t="s">
        <v>3905</v>
      </c>
      <c r="E1965" s="2">
        <v>2100</v>
      </c>
      <c r="G1965" s="3">
        <f>MONTH(Tabela1[[#This Row],[Último pagto ano]])</f>
        <v>12</v>
      </c>
      <c r="H1965" t="str">
        <f>TEXT(Tabela1[[#This Row],[Coluna2]]*29,"mmmm")</f>
        <v>dezembro</v>
      </c>
      <c r="I1965" t="str">
        <f>TEXT(MONTH(Tabela1[[#This Row],[Último pagto ano]])*29,"mmmm")</f>
        <v>dezembro</v>
      </c>
    </row>
    <row r="1966" spans="1:9" x14ac:dyDescent="0.25">
      <c r="A1966">
        <v>2025</v>
      </c>
      <c r="B1966" t="s">
        <v>3906</v>
      </c>
      <c r="C1966" s="1">
        <v>46021</v>
      </c>
      <c r="D1966" t="s">
        <v>3907</v>
      </c>
      <c r="E1966" s="2">
        <v>9686.39</v>
      </c>
      <c r="G1966" s="3">
        <f>MONTH(Tabela1[[#This Row],[Último pagto ano]])</f>
        <v>12</v>
      </c>
      <c r="H1966" t="str">
        <f>TEXT(Tabela1[[#This Row],[Coluna2]]*29,"mmmm")</f>
        <v>dezembro</v>
      </c>
      <c r="I1966" t="str">
        <f>TEXT(MONTH(Tabela1[[#This Row],[Último pagto ano]])*29,"mmmm")</f>
        <v>dezembro</v>
      </c>
    </row>
    <row r="1967" spans="1:9" x14ac:dyDescent="0.25">
      <c r="A1967">
        <v>2025</v>
      </c>
      <c r="B1967" t="s">
        <v>3908</v>
      </c>
      <c r="C1967" s="1">
        <v>45807</v>
      </c>
      <c r="D1967" t="s">
        <v>3909</v>
      </c>
      <c r="E1967" s="2">
        <v>1390.81</v>
      </c>
      <c r="G1967" s="3">
        <f>MONTH(Tabela1[[#This Row],[Último pagto ano]])</f>
        <v>5</v>
      </c>
      <c r="H1967" t="str">
        <f>TEXT(Tabela1[[#This Row],[Coluna2]]*29,"mmmm")</f>
        <v>maio</v>
      </c>
      <c r="I1967" t="str">
        <f>TEXT(MONTH(Tabela1[[#This Row],[Último pagto ano]])*29,"mmmm")</f>
        <v>maio</v>
      </c>
    </row>
    <row r="1968" spans="1:9" x14ac:dyDescent="0.25">
      <c r="A1968">
        <v>2025</v>
      </c>
      <c r="B1968" t="s">
        <v>3910</v>
      </c>
      <c r="C1968" s="1">
        <v>45702</v>
      </c>
      <c r="D1968" t="s">
        <v>3911</v>
      </c>
      <c r="E1968">
        <v>38.4</v>
      </c>
      <c r="G1968" s="3">
        <f>MONTH(Tabela1[[#This Row],[Último pagto ano]])</f>
        <v>2</v>
      </c>
      <c r="H1968" t="str">
        <f>TEXT(Tabela1[[#This Row],[Coluna2]]*29,"mmmm")</f>
        <v>fevereiro</v>
      </c>
      <c r="I1968" t="str">
        <f>TEXT(MONTH(Tabela1[[#This Row],[Último pagto ano]])*29,"mmmm")</f>
        <v>fevereiro</v>
      </c>
    </row>
    <row r="1969" spans="1:9" x14ac:dyDescent="0.25">
      <c r="A1969">
        <v>2025</v>
      </c>
      <c r="B1969" t="s">
        <v>3912</v>
      </c>
      <c r="C1969" s="1">
        <v>45702</v>
      </c>
      <c r="D1969" t="s">
        <v>3913</v>
      </c>
      <c r="E1969" s="2">
        <v>1133.1400000000001</v>
      </c>
      <c r="G1969" s="3">
        <f>MONTH(Tabela1[[#This Row],[Último pagto ano]])</f>
        <v>2</v>
      </c>
      <c r="H1969" t="str">
        <f>TEXT(Tabela1[[#This Row],[Coluna2]]*29,"mmmm")</f>
        <v>fevereiro</v>
      </c>
      <c r="I1969" t="str">
        <f>TEXT(MONTH(Tabela1[[#This Row],[Último pagto ano]])*29,"mmmm")</f>
        <v>fevereiro</v>
      </c>
    </row>
    <row r="1970" spans="1:9" x14ac:dyDescent="0.25">
      <c r="A1970">
        <v>2025</v>
      </c>
      <c r="B1970" t="s">
        <v>3914</v>
      </c>
      <c r="C1970" s="1">
        <v>45702</v>
      </c>
      <c r="D1970" t="s">
        <v>3915</v>
      </c>
      <c r="E1970">
        <v>20.76</v>
      </c>
      <c r="G1970" s="3">
        <f>MONTH(Tabela1[[#This Row],[Último pagto ano]])</f>
        <v>2</v>
      </c>
      <c r="H1970" t="str">
        <f>TEXT(Tabela1[[#This Row],[Coluna2]]*29,"mmmm")</f>
        <v>fevereiro</v>
      </c>
      <c r="I1970" t="str">
        <f>TEXT(MONTH(Tabela1[[#This Row],[Último pagto ano]])*29,"mmmm")</f>
        <v>fevereiro</v>
      </c>
    </row>
    <row r="1971" spans="1:9" x14ac:dyDescent="0.25">
      <c r="A1971">
        <v>2025</v>
      </c>
      <c r="B1971" t="s">
        <v>3916</v>
      </c>
      <c r="C1971" s="1">
        <v>46010</v>
      </c>
      <c r="D1971" t="s">
        <v>3917</v>
      </c>
      <c r="E1971" s="2">
        <v>8400</v>
      </c>
      <c r="G1971" s="3">
        <f>MONTH(Tabela1[[#This Row],[Último pagto ano]])</f>
        <v>12</v>
      </c>
      <c r="H1971" t="str">
        <f>TEXT(Tabela1[[#This Row],[Coluna2]]*29,"mmmm")</f>
        <v>dezembro</v>
      </c>
      <c r="I1971" t="str">
        <f>TEXT(MONTH(Tabela1[[#This Row],[Último pagto ano]])*29,"mmmm")</f>
        <v>dezembro</v>
      </c>
    </row>
    <row r="1972" spans="1:9" x14ac:dyDescent="0.25">
      <c r="A1972">
        <v>2025</v>
      </c>
      <c r="B1972" t="s">
        <v>3918</v>
      </c>
      <c r="C1972" s="1">
        <v>45664</v>
      </c>
      <c r="D1972" t="s">
        <v>3919</v>
      </c>
      <c r="E1972" s="2">
        <v>13573.21</v>
      </c>
      <c r="G1972" s="3">
        <f>MONTH(Tabela1[[#This Row],[Último pagto ano]])</f>
        <v>1</v>
      </c>
      <c r="H1972" t="str">
        <f>TEXT(Tabela1[[#This Row],[Coluna2]]*29,"mmmm")</f>
        <v>janeiro</v>
      </c>
      <c r="I1972" t="str">
        <f>TEXT(MONTH(Tabela1[[#This Row],[Último pagto ano]])*29,"mmmm")</f>
        <v>janeiro</v>
      </c>
    </row>
    <row r="1973" spans="1:9" x14ac:dyDescent="0.25">
      <c r="A1973">
        <v>2025</v>
      </c>
      <c r="B1973" t="s">
        <v>3920</v>
      </c>
      <c r="C1973" s="1">
        <v>45716</v>
      </c>
      <c r="D1973" t="s">
        <v>3921</v>
      </c>
      <c r="E1973" s="2">
        <v>1974.4</v>
      </c>
      <c r="G1973" s="3">
        <f>MONTH(Tabela1[[#This Row],[Último pagto ano]])</f>
        <v>2</v>
      </c>
      <c r="H1973" t="str">
        <f>TEXT(Tabela1[[#This Row],[Coluna2]]*29,"mmmm")</f>
        <v>fevereiro</v>
      </c>
      <c r="I1973" t="str">
        <f>TEXT(MONTH(Tabela1[[#This Row],[Último pagto ano]])*29,"mmmm")</f>
        <v>fevereiro</v>
      </c>
    </row>
    <row r="1974" spans="1:9" x14ac:dyDescent="0.25">
      <c r="A1974">
        <v>2025</v>
      </c>
      <c r="B1974" t="s">
        <v>3922</v>
      </c>
      <c r="C1974" s="1">
        <v>45769</v>
      </c>
      <c r="D1974" t="s">
        <v>3923</v>
      </c>
      <c r="E1974">
        <v>394.28</v>
      </c>
      <c r="G1974" s="3">
        <f>MONTH(Tabela1[[#This Row],[Último pagto ano]])</f>
        <v>4</v>
      </c>
      <c r="H1974" t="str">
        <f>TEXT(Tabela1[[#This Row],[Coluna2]]*29,"mmmm")</f>
        <v>abril</v>
      </c>
      <c r="I1974" t="str">
        <f>TEXT(MONTH(Tabela1[[#This Row],[Último pagto ano]])*29,"mmmm")</f>
        <v>abril</v>
      </c>
    </row>
    <row r="1975" spans="1:9" x14ac:dyDescent="0.25">
      <c r="A1975">
        <v>2025</v>
      </c>
      <c r="B1975" t="s">
        <v>3924</v>
      </c>
      <c r="C1975" s="1">
        <v>45777</v>
      </c>
      <c r="D1975" t="s">
        <v>3925</v>
      </c>
      <c r="E1975">
        <v>312.39</v>
      </c>
      <c r="G1975" s="3">
        <f>MONTH(Tabela1[[#This Row],[Último pagto ano]])</f>
        <v>4</v>
      </c>
      <c r="H1975" t="str">
        <f>TEXT(Tabela1[[#This Row],[Coluna2]]*29,"mmmm")</f>
        <v>abril</v>
      </c>
      <c r="I1975" t="str">
        <f>TEXT(MONTH(Tabela1[[#This Row],[Último pagto ano]])*29,"mmmm")</f>
        <v>abril</v>
      </c>
    </row>
    <row r="1976" spans="1:9" x14ac:dyDescent="0.25">
      <c r="A1976">
        <v>2025</v>
      </c>
      <c r="B1976" t="s">
        <v>3926</v>
      </c>
      <c r="C1976" s="1">
        <v>46006</v>
      </c>
      <c r="D1976" t="s">
        <v>3927</v>
      </c>
      <c r="E1976" s="2">
        <v>12000</v>
      </c>
      <c r="G1976" s="3">
        <f>MONTH(Tabela1[[#This Row],[Último pagto ano]])</f>
        <v>12</v>
      </c>
      <c r="H1976" t="str">
        <f>TEXT(Tabela1[[#This Row],[Coluna2]]*29,"mmmm")</f>
        <v>dezembro</v>
      </c>
      <c r="I1976" t="str">
        <f>TEXT(MONTH(Tabela1[[#This Row],[Último pagto ano]])*29,"mmmm")</f>
        <v>dezembro</v>
      </c>
    </row>
    <row r="1977" spans="1:9" x14ac:dyDescent="0.25">
      <c r="A1977">
        <v>2025</v>
      </c>
      <c r="B1977" t="s">
        <v>3928</v>
      </c>
      <c r="C1977" s="1">
        <v>45988</v>
      </c>
      <c r="D1977" t="s">
        <v>3929</v>
      </c>
      <c r="E1977" s="2">
        <v>4060.75</v>
      </c>
      <c r="G1977" s="3">
        <f>MONTH(Tabela1[[#This Row],[Último pagto ano]])</f>
        <v>11</v>
      </c>
      <c r="H1977" t="str">
        <f>TEXT(Tabela1[[#This Row],[Coluna2]]*29,"mmmm")</f>
        <v>novembro</v>
      </c>
      <c r="I1977" t="str">
        <f>TEXT(MONTH(Tabela1[[#This Row],[Último pagto ano]])*29,"mmmm")</f>
        <v>novembro</v>
      </c>
    </row>
    <row r="1978" spans="1:9" x14ac:dyDescent="0.25">
      <c r="A1978">
        <v>2025</v>
      </c>
      <c r="B1978" t="s">
        <v>3930</v>
      </c>
      <c r="C1978" s="1">
        <v>45999</v>
      </c>
      <c r="D1978" t="s">
        <v>3931</v>
      </c>
      <c r="E1978">
        <v>66</v>
      </c>
      <c r="G1978" s="3">
        <f>MONTH(Tabela1[[#This Row],[Último pagto ano]])</f>
        <v>12</v>
      </c>
      <c r="H1978" t="str">
        <f>TEXT(Tabela1[[#This Row],[Coluna2]]*29,"mmmm")</f>
        <v>dezembro</v>
      </c>
      <c r="I1978" t="str">
        <f>TEXT(MONTH(Tabela1[[#This Row],[Último pagto ano]])*29,"mmmm")</f>
        <v>dezembro</v>
      </c>
    </row>
    <row r="1979" spans="1:9" x14ac:dyDescent="0.25">
      <c r="A1979">
        <v>2025</v>
      </c>
      <c r="B1979" t="s">
        <v>3932</v>
      </c>
      <c r="C1979" s="1">
        <v>46021</v>
      </c>
      <c r="D1979" t="s">
        <v>3933</v>
      </c>
      <c r="E1979" s="2">
        <v>10322.34</v>
      </c>
      <c r="G1979" s="3">
        <f>MONTH(Tabela1[[#This Row],[Último pagto ano]])</f>
        <v>12</v>
      </c>
      <c r="H1979" t="str">
        <f>TEXT(Tabela1[[#This Row],[Coluna2]]*29,"mmmm")</f>
        <v>dezembro</v>
      </c>
      <c r="I1979" t="str">
        <f>TEXT(MONTH(Tabela1[[#This Row],[Último pagto ano]])*29,"mmmm")</f>
        <v>dezembro</v>
      </c>
    </row>
    <row r="1980" spans="1:9" x14ac:dyDescent="0.25">
      <c r="A1980">
        <v>2025</v>
      </c>
      <c r="B1980" t="s">
        <v>3934</v>
      </c>
      <c r="C1980" s="1">
        <v>45978</v>
      </c>
      <c r="D1980" t="s">
        <v>3935</v>
      </c>
      <c r="E1980">
        <v>275</v>
      </c>
      <c r="G1980" s="3">
        <f>MONTH(Tabela1[[#This Row],[Último pagto ano]])</f>
        <v>11</v>
      </c>
      <c r="H1980" t="str">
        <f>TEXT(Tabela1[[#This Row],[Coluna2]]*29,"mmmm")</f>
        <v>novembro</v>
      </c>
      <c r="I1980" t="str">
        <f>TEXT(MONTH(Tabela1[[#This Row],[Último pagto ano]])*29,"mmmm")</f>
        <v>novembro</v>
      </c>
    </row>
    <row r="1981" spans="1:9" x14ac:dyDescent="0.25">
      <c r="A1981">
        <v>2025</v>
      </c>
      <c r="B1981" t="s">
        <v>3936</v>
      </c>
      <c r="C1981" s="1">
        <v>45747</v>
      </c>
      <c r="D1981" t="s">
        <v>3937</v>
      </c>
      <c r="E1981">
        <v>11</v>
      </c>
      <c r="G1981" s="3">
        <f>MONTH(Tabela1[[#This Row],[Último pagto ano]])</f>
        <v>3</v>
      </c>
      <c r="H1981" t="str">
        <f>TEXT(Tabela1[[#This Row],[Coluna2]]*29,"mmmm")</f>
        <v>março</v>
      </c>
      <c r="I1981" t="str">
        <f>TEXT(MONTH(Tabela1[[#This Row],[Último pagto ano]])*29,"mmmm")</f>
        <v>março</v>
      </c>
    </row>
    <row r="1982" spans="1:9" x14ac:dyDescent="0.25">
      <c r="A1982">
        <v>2025</v>
      </c>
      <c r="B1982" t="s">
        <v>3938</v>
      </c>
      <c r="C1982" s="1">
        <v>45744</v>
      </c>
      <c r="D1982" t="s">
        <v>3939</v>
      </c>
      <c r="E1982" s="2">
        <v>77061.91</v>
      </c>
      <c r="G1982" s="3">
        <f>MONTH(Tabela1[[#This Row],[Último pagto ano]])</f>
        <v>3</v>
      </c>
      <c r="H1982" t="str">
        <f>TEXT(Tabela1[[#This Row],[Coluna2]]*29,"mmmm")</f>
        <v>março</v>
      </c>
      <c r="I1982" t="str">
        <f>TEXT(MONTH(Tabela1[[#This Row],[Último pagto ano]])*29,"mmmm")</f>
        <v>março</v>
      </c>
    </row>
    <row r="1983" spans="1:9" x14ac:dyDescent="0.25">
      <c r="A1983">
        <v>2025</v>
      </c>
      <c r="B1983" t="s">
        <v>3940</v>
      </c>
      <c r="C1983" s="1">
        <v>45887</v>
      </c>
      <c r="D1983" t="s">
        <v>3941</v>
      </c>
      <c r="E1983">
        <v>33</v>
      </c>
      <c r="G1983" s="3">
        <f>MONTH(Tabela1[[#This Row],[Último pagto ano]])</f>
        <v>8</v>
      </c>
      <c r="H1983" t="str">
        <f>TEXT(Tabela1[[#This Row],[Coluna2]]*29,"mmmm")</f>
        <v>agosto</v>
      </c>
      <c r="I1983" t="str">
        <f>TEXT(MONTH(Tabela1[[#This Row],[Último pagto ano]])*29,"mmmm")</f>
        <v>agosto</v>
      </c>
    </row>
    <row r="1984" spans="1:9" x14ac:dyDescent="0.25">
      <c r="A1984">
        <v>2025</v>
      </c>
      <c r="B1984" t="s">
        <v>3942</v>
      </c>
      <c r="C1984" s="1">
        <v>45989</v>
      </c>
      <c r="D1984" t="s">
        <v>3943</v>
      </c>
      <c r="E1984" s="2">
        <v>3279.26</v>
      </c>
      <c r="G1984" s="3">
        <f>MONTH(Tabela1[[#This Row],[Último pagto ano]])</f>
        <v>11</v>
      </c>
      <c r="H1984" t="str">
        <f>TEXT(Tabela1[[#This Row],[Coluna2]]*29,"mmmm")</f>
        <v>novembro</v>
      </c>
      <c r="I1984" t="str">
        <f>TEXT(MONTH(Tabela1[[#This Row],[Último pagto ano]])*29,"mmmm")</f>
        <v>novembro</v>
      </c>
    </row>
    <row r="1985" spans="1:9" x14ac:dyDescent="0.25">
      <c r="A1985">
        <v>2025</v>
      </c>
      <c r="B1985" t="s">
        <v>3944</v>
      </c>
      <c r="C1985" s="1">
        <v>45989</v>
      </c>
      <c r="D1985" t="s">
        <v>3945</v>
      </c>
      <c r="E1985" s="2">
        <v>8324.61</v>
      </c>
      <c r="G1985" s="3">
        <f>MONTH(Tabela1[[#This Row],[Último pagto ano]])</f>
        <v>11</v>
      </c>
      <c r="H1985" t="str">
        <f>TEXT(Tabela1[[#This Row],[Coluna2]]*29,"mmmm")</f>
        <v>novembro</v>
      </c>
      <c r="I1985" t="str">
        <f>TEXT(MONTH(Tabela1[[#This Row],[Último pagto ano]])*29,"mmmm")</f>
        <v>novembro</v>
      </c>
    </row>
    <row r="1986" spans="1:9" x14ac:dyDescent="0.25">
      <c r="A1986">
        <v>2025</v>
      </c>
      <c r="B1986" t="s">
        <v>3946</v>
      </c>
      <c r="C1986" s="1">
        <v>46013</v>
      </c>
      <c r="D1986" t="s">
        <v>3947</v>
      </c>
      <c r="E1986" s="2">
        <v>3143.4</v>
      </c>
      <c r="G1986" s="3">
        <f>MONTH(Tabela1[[#This Row],[Último pagto ano]])</f>
        <v>12</v>
      </c>
      <c r="H1986" t="str">
        <f>TEXT(Tabela1[[#This Row],[Coluna2]]*29,"mmmm")</f>
        <v>dezembro</v>
      </c>
      <c r="I1986" t="str">
        <f>TEXT(MONTH(Tabela1[[#This Row],[Último pagto ano]])*29,"mmmm")</f>
        <v>dezembro</v>
      </c>
    </row>
    <row r="1987" spans="1:9" x14ac:dyDescent="0.25">
      <c r="A1987">
        <v>2025</v>
      </c>
      <c r="B1987" t="s">
        <v>3948</v>
      </c>
      <c r="C1987" s="1">
        <v>46006</v>
      </c>
      <c r="D1987" t="s">
        <v>3949</v>
      </c>
      <c r="E1987">
        <v>88</v>
      </c>
      <c r="G1987" s="3">
        <f>MONTH(Tabela1[[#This Row],[Último pagto ano]])</f>
        <v>12</v>
      </c>
      <c r="H1987" t="str">
        <f>TEXT(Tabela1[[#This Row],[Coluna2]]*29,"mmmm")</f>
        <v>dezembro</v>
      </c>
      <c r="I1987" t="str">
        <f>TEXT(MONTH(Tabela1[[#This Row],[Último pagto ano]])*29,"mmmm")</f>
        <v>dezembro</v>
      </c>
    </row>
    <row r="1988" spans="1:9" x14ac:dyDescent="0.25">
      <c r="A1988">
        <v>2025</v>
      </c>
      <c r="B1988" t="s">
        <v>3950</v>
      </c>
      <c r="C1988" s="1">
        <v>45989</v>
      </c>
      <c r="D1988" t="s">
        <v>3951</v>
      </c>
      <c r="E1988" s="2">
        <v>7360.35</v>
      </c>
      <c r="G1988" s="3">
        <f>MONTH(Tabela1[[#This Row],[Último pagto ano]])</f>
        <v>11</v>
      </c>
      <c r="H1988" t="str">
        <f>TEXT(Tabela1[[#This Row],[Coluna2]]*29,"mmmm")</f>
        <v>novembro</v>
      </c>
      <c r="I1988" t="str">
        <f>TEXT(MONTH(Tabela1[[#This Row],[Último pagto ano]])*29,"mmmm")</f>
        <v>novembro</v>
      </c>
    </row>
    <row r="1989" spans="1:9" x14ac:dyDescent="0.25">
      <c r="A1989">
        <v>2025</v>
      </c>
      <c r="B1989" t="s">
        <v>3952</v>
      </c>
      <c r="C1989" s="1">
        <v>45726</v>
      </c>
      <c r="D1989" t="s">
        <v>3953</v>
      </c>
      <c r="E1989">
        <v>330</v>
      </c>
      <c r="G1989" s="3">
        <f>MONTH(Tabela1[[#This Row],[Último pagto ano]])</f>
        <v>3</v>
      </c>
      <c r="H1989" t="str">
        <f>TEXT(Tabela1[[#This Row],[Coluna2]]*29,"mmmm")</f>
        <v>março</v>
      </c>
      <c r="I1989" t="str">
        <f>TEXT(MONTH(Tabela1[[#This Row],[Último pagto ano]])*29,"mmmm")</f>
        <v>março</v>
      </c>
    </row>
    <row r="1990" spans="1:9" x14ac:dyDescent="0.25">
      <c r="A1990">
        <v>2025</v>
      </c>
      <c r="B1990" t="s">
        <v>3954</v>
      </c>
      <c r="C1990" s="1">
        <v>45964</v>
      </c>
      <c r="D1990" t="s">
        <v>3955</v>
      </c>
      <c r="E1990">
        <v>193.2</v>
      </c>
      <c r="G1990" s="3">
        <f>MONTH(Tabela1[[#This Row],[Último pagto ano]])</f>
        <v>11</v>
      </c>
      <c r="H1990" t="str">
        <f>TEXT(Tabela1[[#This Row],[Coluna2]]*29,"mmmm")</f>
        <v>novembro</v>
      </c>
      <c r="I1990" t="str">
        <f>TEXT(MONTH(Tabela1[[#This Row],[Último pagto ano]])*29,"mmmm")</f>
        <v>novembro</v>
      </c>
    </row>
    <row r="1991" spans="1:9" x14ac:dyDescent="0.25">
      <c r="A1991">
        <v>2025</v>
      </c>
      <c r="B1991" t="s">
        <v>3956</v>
      </c>
      <c r="C1991" s="1">
        <v>46010</v>
      </c>
      <c r="D1991" t="s">
        <v>3957</v>
      </c>
      <c r="E1991" s="2">
        <v>8400</v>
      </c>
      <c r="G1991" s="3">
        <f>MONTH(Tabela1[[#This Row],[Último pagto ano]])</f>
        <v>12</v>
      </c>
      <c r="H1991" t="str">
        <f>TEXT(Tabela1[[#This Row],[Coluna2]]*29,"mmmm")</f>
        <v>dezembro</v>
      </c>
      <c r="I1991" t="str">
        <f>TEXT(MONTH(Tabela1[[#This Row],[Último pagto ano]])*29,"mmmm")</f>
        <v>dezembro</v>
      </c>
    </row>
    <row r="1992" spans="1:9" x14ac:dyDescent="0.25">
      <c r="A1992">
        <v>2025</v>
      </c>
      <c r="B1992" t="s">
        <v>3958</v>
      </c>
      <c r="C1992" s="1">
        <v>45702</v>
      </c>
      <c r="D1992" t="s">
        <v>3959</v>
      </c>
      <c r="E1992">
        <v>93.22</v>
      </c>
      <c r="G1992" s="3">
        <f>MONTH(Tabela1[[#This Row],[Último pagto ano]])</f>
        <v>2</v>
      </c>
      <c r="H1992" t="str">
        <f>TEXT(Tabela1[[#This Row],[Coluna2]]*29,"mmmm")</f>
        <v>fevereiro</v>
      </c>
      <c r="I1992" t="str">
        <f>TEXT(MONTH(Tabela1[[#This Row],[Último pagto ano]])*29,"mmmm")</f>
        <v>fevereiro</v>
      </c>
    </row>
    <row r="1993" spans="1:9" x14ac:dyDescent="0.25">
      <c r="A1993">
        <v>2025</v>
      </c>
      <c r="B1993" t="s">
        <v>3960</v>
      </c>
      <c r="C1993" s="1">
        <v>45832</v>
      </c>
      <c r="D1993" t="s">
        <v>3961</v>
      </c>
      <c r="E1993">
        <v>700</v>
      </c>
      <c r="G1993" s="3">
        <f>MONTH(Tabela1[[#This Row],[Último pagto ano]])</f>
        <v>6</v>
      </c>
      <c r="H1993" t="str">
        <f>TEXT(Tabela1[[#This Row],[Coluna2]]*29,"mmmm")</f>
        <v>junho</v>
      </c>
      <c r="I1993" t="str">
        <f>TEXT(MONTH(Tabela1[[#This Row],[Último pagto ano]])*29,"mmmm")</f>
        <v>junho</v>
      </c>
    </row>
    <row r="1994" spans="1:9" x14ac:dyDescent="0.25">
      <c r="A1994">
        <v>2025</v>
      </c>
      <c r="B1994" t="s">
        <v>3962</v>
      </c>
      <c r="C1994" s="1">
        <v>46010</v>
      </c>
      <c r="D1994" t="s">
        <v>3963</v>
      </c>
      <c r="E1994" s="2">
        <v>4200</v>
      </c>
      <c r="G1994" s="3">
        <f>MONTH(Tabela1[[#This Row],[Último pagto ano]])</f>
        <v>12</v>
      </c>
      <c r="H1994" t="str">
        <f>TEXT(Tabela1[[#This Row],[Coluna2]]*29,"mmmm")</f>
        <v>dezembro</v>
      </c>
      <c r="I1994" t="str">
        <f>TEXT(MONTH(Tabela1[[#This Row],[Último pagto ano]])*29,"mmmm")</f>
        <v>dezembro</v>
      </c>
    </row>
    <row r="1995" spans="1:9" x14ac:dyDescent="0.25">
      <c r="A1995">
        <v>2025</v>
      </c>
      <c r="B1995" t="s">
        <v>3964</v>
      </c>
      <c r="C1995" s="1">
        <v>45796</v>
      </c>
      <c r="D1995" t="s">
        <v>3965</v>
      </c>
      <c r="E1995">
        <v>32.4</v>
      </c>
      <c r="G1995" s="3">
        <f>MONTH(Tabela1[[#This Row],[Último pagto ano]])</f>
        <v>5</v>
      </c>
      <c r="H1995" t="str">
        <f>TEXT(Tabela1[[#This Row],[Coluna2]]*29,"mmmm")</f>
        <v>maio</v>
      </c>
      <c r="I1995" t="str">
        <f>TEXT(MONTH(Tabela1[[#This Row],[Último pagto ano]])*29,"mmmm")</f>
        <v>maio</v>
      </c>
    </row>
    <row r="1996" spans="1:9" x14ac:dyDescent="0.25">
      <c r="A1996">
        <v>2025</v>
      </c>
      <c r="B1996" t="s">
        <v>3966</v>
      </c>
      <c r="C1996" s="1">
        <v>45978</v>
      </c>
      <c r="D1996" t="s">
        <v>3967</v>
      </c>
      <c r="E1996">
        <v>196.8</v>
      </c>
      <c r="G1996" s="3">
        <f>MONTH(Tabela1[[#This Row],[Último pagto ano]])</f>
        <v>11</v>
      </c>
      <c r="H1996" t="str">
        <f>TEXT(Tabela1[[#This Row],[Coluna2]]*29,"mmmm")</f>
        <v>novembro</v>
      </c>
      <c r="I1996" t="str">
        <f>TEXT(MONTH(Tabela1[[#This Row],[Último pagto ano]])*29,"mmmm")</f>
        <v>novembro</v>
      </c>
    </row>
    <row r="1997" spans="1:9" x14ac:dyDescent="0.25">
      <c r="A1997">
        <v>2025</v>
      </c>
      <c r="B1997" t="s">
        <v>3968</v>
      </c>
      <c r="C1997" s="1">
        <v>46010</v>
      </c>
      <c r="D1997" t="s">
        <v>3969</v>
      </c>
      <c r="E1997" s="2">
        <v>12000</v>
      </c>
      <c r="G1997" s="3">
        <f>MONTH(Tabela1[[#This Row],[Último pagto ano]])</f>
        <v>12</v>
      </c>
      <c r="H1997" t="str">
        <f>TEXT(Tabela1[[#This Row],[Coluna2]]*29,"mmmm")</f>
        <v>dezembro</v>
      </c>
      <c r="I1997" t="str">
        <f>TEXT(MONTH(Tabela1[[#This Row],[Último pagto ano]])*29,"mmmm")</f>
        <v>dezembro</v>
      </c>
    </row>
    <row r="1998" spans="1:9" x14ac:dyDescent="0.25">
      <c r="A1998">
        <v>2025</v>
      </c>
      <c r="B1998" t="s">
        <v>3970</v>
      </c>
      <c r="C1998" s="1">
        <v>45849</v>
      </c>
      <c r="D1998" t="s">
        <v>3971</v>
      </c>
      <c r="E1998" s="2">
        <v>11556.34</v>
      </c>
      <c r="G1998" s="3">
        <f>MONTH(Tabela1[[#This Row],[Último pagto ano]])</f>
        <v>7</v>
      </c>
      <c r="H1998" t="str">
        <f>TEXT(Tabela1[[#This Row],[Coluna2]]*29,"mmmm")</f>
        <v>julho</v>
      </c>
      <c r="I1998" t="str">
        <f>TEXT(MONTH(Tabela1[[#This Row],[Último pagto ano]])*29,"mmmm")</f>
        <v>julho</v>
      </c>
    </row>
    <row r="1999" spans="1:9" x14ac:dyDescent="0.25">
      <c r="A1999">
        <v>2025</v>
      </c>
      <c r="B1999" t="s">
        <v>3972</v>
      </c>
      <c r="C1999" s="1">
        <v>45898</v>
      </c>
      <c r="D1999" t="s">
        <v>3973</v>
      </c>
      <c r="E1999">
        <v>740.67</v>
      </c>
      <c r="G1999" s="3">
        <f>MONTH(Tabela1[[#This Row],[Último pagto ano]])</f>
        <v>8</v>
      </c>
      <c r="H1999" t="str">
        <f>TEXT(Tabela1[[#This Row],[Coluna2]]*29,"mmmm")</f>
        <v>agosto</v>
      </c>
      <c r="I1999" t="str">
        <f>TEXT(MONTH(Tabela1[[#This Row],[Último pagto ano]])*29,"mmmm")</f>
        <v>agosto</v>
      </c>
    </row>
    <row r="2000" spans="1:9" x14ac:dyDescent="0.25">
      <c r="A2000">
        <v>2025</v>
      </c>
      <c r="B2000" t="s">
        <v>3974</v>
      </c>
      <c r="C2000" s="1">
        <v>46006</v>
      </c>
      <c r="D2000" t="s">
        <v>3975</v>
      </c>
      <c r="E2000" s="2">
        <v>7381.26</v>
      </c>
      <c r="G2000" s="3">
        <f>MONTH(Tabela1[[#This Row],[Último pagto ano]])</f>
        <v>12</v>
      </c>
      <c r="H2000" t="str">
        <f>TEXT(Tabela1[[#This Row],[Coluna2]]*29,"mmmm")</f>
        <v>dezembro</v>
      </c>
      <c r="I2000" t="str">
        <f>TEXT(MONTH(Tabela1[[#This Row],[Último pagto ano]])*29,"mmmm")</f>
        <v>dezembro</v>
      </c>
    </row>
    <row r="2001" spans="1:9" x14ac:dyDescent="0.25">
      <c r="A2001">
        <v>2025</v>
      </c>
      <c r="B2001" t="s">
        <v>3976</v>
      </c>
      <c r="C2001" s="1">
        <v>46021</v>
      </c>
      <c r="D2001" t="s">
        <v>3977</v>
      </c>
      <c r="E2001" s="2">
        <v>9539.65</v>
      </c>
      <c r="G2001" s="3">
        <f>MONTH(Tabela1[[#This Row],[Último pagto ano]])</f>
        <v>12</v>
      </c>
      <c r="H2001" t="str">
        <f>TEXT(Tabela1[[#This Row],[Coluna2]]*29,"mmmm")</f>
        <v>dezembro</v>
      </c>
      <c r="I2001" t="str">
        <f>TEXT(MONTH(Tabela1[[#This Row],[Último pagto ano]])*29,"mmmm")</f>
        <v>dezembro</v>
      </c>
    </row>
    <row r="2002" spans="1:9" x14ac:dyDescent="0.25">
      <c r="A2002">
        <v>2025</v>
      </c>
      <c r="B2002" t="s">
        <v>3978</v>
      </c>
      <c r="C2002" s="1">
        <v>45968</v>
      </c>
      <c r="D2002" t="s">
        <v>3979</v>
      </c>
      <c r="E2002" s="2">
        <v>10000</v>
      </c>
      <c r="G2002" s="3">
        <f>MONTH(Tabela1[[#This Row],[Último pagto ano]])</f>
        <v>11</v>
      </c>
      <c r="H2002" t="str">
        <f>TEXT(Tabela1[[#This Row],[Coluna2]]*29,"mmmm")</f>
        <v>novembro</v>
      </c>
      <c r="I2002" t="str">
        <f>TEXT(MONTH(Tabela1[[#This Row],[Último pagto ano]])*29,"mmmm")</f>
        <v>novembro</v>
      </c>
    </row>
    <row r="2003" spans="1:9" x14ac:dyDescent="0.25">
      <c r="A2003">
        <v>2025</v>
      </c>
      <c r="B2003" t="s">
        <v>3980</v>
      </c>
      <c r="C2003" s="1">
        <v>45964</v>
      </c>
      <c r="D2003" t="s">
        <v>3981</v>
      </c>
      <c r="E2003">
        <v>373.4</v>
      </c>
      <c r="G2003" s="3">
        <f>MONTH(Tabela1[[#This Row],[Último pagto ano]])</f>
        <v>11</v>
      </c>
      <c r="H2003" t="str">
        <f>TEXT(Tabela1[[#This Row],[Coluna2]]*29,"mmmm")</f>
        <v>novembro</v>
      </c>
      <c r="I2003" t="str">
        <f>TEXT(MONTH(Tabela1[[#This Row],[Último pagto ano]])*29,"mmmm")</f>
        <v>novembro</v>
      </c>
    </row>
    <row r="2004" spans="1:9" x14ac:dyDescent="0.25">
      <c r="A2004">
        <v>2025</v>
      </c>
      <c r="B2004" t="s">
        <v>3982</v>
      </c>
      <c r="C2004" s="1">
        <v>46010</v>
      </c>
      <c r="D2004" t="s">
        <v>3983</v>
      </c>
      <c r="E2004" s="2">
        <v>24000</v>
      </c>
      <c r="G2004" s="3">
        <f>MONTH(Tabela1[[#This Row],[Último pagto ano]])</f>
        <v>12</v>
      </c>
      <c r="H2004" t="str">
        <f>TEXT(Tabela1[[#This Row],[Coluna2]]*29,"mmmm")</f>
        <v>dezembro</v>
      </c>
      <c r="I2004" t="str">
        <f>TEXT(MONTH(Tabela1[[#This Row],[Último pagto ano]])*29,"mmmm")</f>
        <v>dezembro</v>
      </c>
    </row>
    <row r="2005" spans="1:9" x14ac:dyDescent="0.25">
      <c r="A2005">
        <v>2025</v>
      </c>
      <c r="B2005" t="s">
        <v>3984</v>
      </c>
      <c r="C2005" s="1">
        <v>45673</v>
      </c>
      <c r="D2005" t="s">
        <v>3985</v>
      </c>
      <c r="E2005" s="2">
        <v>1319.99</v>
      </c>
      <c r="G2005" s="3">
        <f>MONTH(Tabela1[[#This Row],[Último pagto ano]])</f>
        <v>1</v>
      </c>
      <c r="H2005" t="str">
        <f>TEXT(Tabela1[[#This Row],[Coluna2]]*29,"mmmm")</f>
        <v>janeiro</v>
      </c>
      <c r="I2005" t="str">
        <f>TEXT(MONTH(Tabela1[[#This Row],[Último pagto ano]])*29,"mmmm")</f>
        <v>janeiro</v>
      </c>
    </row>
    <row r="2006" spans="1:9" x14ac:dyDescent="0.25">
      <c r="A2006">
        <v>2025</v>
      </c>
      <c r="B2006" t="s">
        <v>3986</v>
      </c>
      <c r="C2006" s="1">
        <v>45702</v>
      </c>
      <c r="D2006" t="s">
        <v>3987</v>
      </c>
      <c r="E2006">
        <v>757.64</v>
      </c>
      <c r="G2006" s="3">
        <f>MONTH(Tabela1[[#This Row],[Último pagto ano]])</f>
        <v>2</v>
      </c>
      <c r="H2006" t="str">
        <f>TEXT(Tabela1[[#This Row],[Coluna2]]*29,"mmmm")</f>
        <v>fevereiro</v>
      </c>
      <c r="I2006" t="str">
        <f>TEXT(MONTH(Tabela1[[#This Row],[Último pagto ano]])*29,"mmmm")</f>
        <v>fevereiro</v>
      </c>
    </row>
    <row r="2007" spans="1:9" x14ac:dyDescent="0.25">
      <c r="A2007">
        <v>2025</v>
      </c>
      <c r="B2007" t="s">
        <v>3988</v>
      </c>
      <c r="C2007" s="1">
        <v>46014</v>
      </c>
      <c r="D2007" t="s">
        <v>3989</v>
      </c>
      <c r="E2007">
        <v>22</v>
      </c>
      <c r="G2007" s="3">
        <f>MONTH(Tabela1[[#This Row],[Último pagto ano]])</f>
        <v>12</v>
      </c>
      <c r="H2007" t="str">
        <f>TEXT(Tabela1[[#This Row],[Coluna2]]*29,"mmmm")</f>
        <v>dezembro</v>
      </c>
      <c r="I2007" t="str">
        <f>TEXT(MONTH(Tabela1[[#This Row],[Último pagto ano]])*29,"mmmm")</f>
        <v>dezembro</v>
      </c>
    </row>
    <row r="2008" spans="1:9" x14ac:dyDescent="0.25">
      <c r="A2008">
        <v>2025</v>
      </c>
      <c r="B2008" t="s">
        <v>3990</v>
      </c>
      <c r="C2008" s="1">
        <v>45924</v>
      </c>
      <c r="D2008" t="s">
        <v>3991</v>
      </c>
      <c r="E2008" s="2">
        <v>9000</v>
      </c>
      <c r="G2008" s="3">
        <f>MONTH(Tabela1[[#This Row],[Último pagto ano]])</f>
        <v>9</v>
      </c>
      <c r="H2008" t="str">
        <f>TEXT(Tabela1[[#This Row],[Coluna2]]*29,"mmmm")</f>
        <v>setembro</v>
      </c>
      <c r="I2008" t="str">
        <f>TEXT(MONTH(Tabela1[[#This Row],[Último pagto ano]])*29,"mmmm")</f>
        <v>setembro</v>
      </c>
    </row>
    <row r="2009" spans="1:9" x14ac:dyDescent="0.25">
      <c r="A2009">
        <v>2025</v>
      </c>
      <c r="B2009" t="s">
        <v>3992</v>
      </c>
      <c r="C2009" s="1">
        <v>45681</v>
      </c>
      <c r="D2009" t="s">
        <v>3993</v>
      </c>
      <c r="E2009">
        <v>700</v>
      </c>
      <c r="G2009" s="3">
        <f>MONTH(Tabela1[[#This Row],[Último pagto ano]])</f>
        <v>1</v>
      </c>
      <c r="H2009" t="str">
        <f>TEXT(Tabela1[[#This Row],[Coluna2]]*29,"mmmm")</f>
        <v>janeiro</v>
      </c>
      <c r="I2009" t="str">
        <f>TEXT(MONTH(Tabela1[[#This Row],[Último pagto ano]])*29,"mmmm")</f>
        <v>janeiro</v>
      </c>
    </row>
    <row r="2010" spans="1:9" x14ac:dyDescent="0.25">
      <c r="A2010">
        <v>2025</v>
      </c>
      <c r="B2010" t="s">
        <v>3994</v>
      </c>
      <c r="C2010" s="1">
        <v>45712</v>
      </c>
      <c r="D2010" t="s">
        <v>3995</v>
      </c>
      <c r="E2010" s="2">
        <v>1400</v>
      </c>
      <c r="G2010" s="3">
        <f>MONTH(Tabela1[[#This Row],[Último pagto ano]])</f>
        <v>2</v>
      </c>
      <c r="H2010" t="str">
        <f>TEXT(Tabela1[[#This Row],[Coluna2]]*29,"mmmm")</f>
        <v>fevereiro</v>
      </c>
      <c r="I2010" t="str">
        <f>TEXT(MONTH(Tabela1[[#This Row],[Último pagto ano]])*29,"mmmm")</f>
        <v>fevereiro</v>
      </c>
    </row>
    <row r="2011" spans="1:9" x14ac:dyDescent="0.25">
      <c r="A2011">
        <v>2025</v>
      </c>
      <c r="B2011" t="s">
        <v>3996</v>
      </c>
      <c r="C2011" s="1">
        <v>45848</v>
      </c>
      <c r="D2011" t="s">
        <v>3997</v>
      </c>
      <c r="E2011">
        <v>6.35</v>
      </c>
      <c r="G2011" s="3">
        <f>MONTH(Tabela1[[#This Row],[Último pagto ano]])</f>
        <v>7</v>
      </c>
      <c r="H2011" t="str">
        <f>TEXT(Tabela1[[#This Row],[Coluna2]]*29,"mmmm")</f>
        <v>julho</v>
      </c>
      <c r="I2011" t="str">
        <f>TEXT(MONTH(Tabela1[[#This Row],[Último pagto ano]])*29,"mmmm")</f>
        <v>julho</v>
      </c>
    </row>
    <row r="2012" spans="1:9" x14ac:dyDescent="0.25">
      <c r="A2012">
        <v>2025</v>
      </c>
      <c r="B2012" t="s">
        <v>3998</v>
      </c>
      <c r="C2012" s="1">
        <v>45975</v>
      </c>
      <c r="D2012" t="s">
        <v>3999</v>
      </c>
      <c r="E2012" s="2">
        <v>11425.28</v>
      </c>
      <c r="G2012" s="3">
        <f>MONTH(Tabela1[[#This Row],[Último pagto ano]])</f>
        <v>11</v>
      </c>
      <c r="H2012" t="str">
        <f>TEXT(Tabela1[[#This Row],[Coluna2]]*29,"mmmm")</f>
        <v>novembro</v>
      </c>
      <c r="I2012" t="str">
        <f>TEXT(MONTH(Tabela1[[#This Row],[Último pagto ano]])*29,"mmmm")</f>
        <v>novembro</v>
      </c>
    </row>
    <row r="2013" spans="1:9" x14ac:dyDescent="0.25">
      <c r="A2013">
        <v>2025</v>
      </c>
      <c r="B2013" t="s">
        <v>4000</v>
      </c>
      <c r="C2013" s="1">
        <v>45673</v>
      </c>
      <c r="D2013" t="s">
        <v>4001</v>
      </c>
      <c r="E2013" s="2">
        <v>1300</v>
      </c>
      <c r="G2013" s="3">
        <f>MONTH(Tabela1[[#This Row],[Último pagto ano]])</f>
        <v>1</v>
      </c>
      <c r="H2013" t="str">
        <f>TEXT(Tabela1[[#This Row],[Coluna2]]*29,"mmmm")</f>
        <v>janeiro</v>
      </c>
      <c r="I2013" t="str">
        <f>TEXT(MONTH(Tabela1[[#This Row],[Último pagto ano]])*29,"mmmm")</f>
        <v>janeiro</v>
      </c>
    </row>
    <row r="2014" spans="1:9" x14ac:dyDescent="0.25">
      <c r="A2014">
        <v>2025</v>
      </c>
      <c r="B2014" t="s">
        <v>4002</v>
      </c>
      <c r="C2014" s="1">
        <v>46006</v>
      </c>
      <c r="D2014" t="s">
        <v>4003</v>
      </c>
      <c r="E2014">
        <v>352</v>
      </c>
      <c r="G2014" s="3">
        <f>MONTH(Tabela1[[#This Row],[Último pagto ano]])</f>
        <v>12</v>
      </c>
      <c r="H2014" t="str">
        <f>TEXT(Tabela1[[#This Row],[Coluna2]]*29,"mmmm")</f>
        <v>dezembro</v>
      </c>
      <c r="I2014" t="str">
        <f>TEXT(MONTH(Tabela1[[#This Row],[Último pagto ano]])*29,"mmmm")</f>
        <v>dezembro</v>
      </c>
    </row>
    <row r="2015" spans="1:9" x14ac:dyDescent="0.25">
      <c r="A2015">
        <v>2025</v>
      </c>
      <c r="B2015" t="s">
        <v>4004</v>
      </c>
      <c r="C2015" s="1">
        <v>45996</v>
      </c>
      <c r="D2015" t="s">
        <v>4005</v>
      </c>
      <c r="E2015" s="2">
        <v>25500</v>
      </c>
      <c r="G2015" s="3">
        <f>MONTH(Tabela1[[#This Row],[Último pagto ano]])</f>
        <v>12</v>
      </c>
      <c r="H2015" t="str">
        <f>TEXT(Tabela1[[#This Row],[Coluna2]]*29,"mmmm")</f>
        <v>dezembro</v>
      </c>
      <c r="I2015" t="str">
        <f>TEXT(MONTH(Tabela1[[#This Row],[Último pagto ano]])*29,"mmmm")</f>
        <v>dezembro</v>
      </c>
    </row>
    <row r="2016" spans="1:9" x14ac:dyDescent="0.25">
      <c r="A2016">
        <v>2025</v>
      </c>
      <c r="B2016" t="s">
        <v>4006</v>
      </c>
      <c r="C2016" s="1">
        <v>45853</v>
      </c>
      <c r="D2016" t="s">
        <v>4007</v>
      </c>
      <c r="E2016" s="2">
        <v>2665.44</v>
      </c>
      <c r="G2016" s="3">
        <f>MONTH(Tabela1[[#This Row],[Último pagto ano]])</f>
        <v>7</v>
      </c>
      <c r="H2016" t="str">
        <f>TEXT(Tabela1[[#This Row],[Coluna2]]*29,"mmmm")</f>
        <v>julho</v>
      </c>
      <c r="I2016" t="str">
        <f>TEXT(MONTH(Tabela1[[#This Row],[Último pagto ano]])*29,"mmmm")</f>
        <v>julho</v>
      </c>
    </row>
    <row r="2017" spans="1:9" x14ac:dyDescent="0.25">
      <c r="A2017">
        <v>2025</v>
      </c>
      <c r="B2017" t="s">
        <v>4008</v>
      </c>
      <c r="C2017" s="1">
        <v>45978</v>
      </c>
      <c r="D2017" t="s">
        <v>4009</v>
      </c>
      <c r="E2017">
        <v>22</v>
      </c>
      <c r="G2017" s="3">
        <f>MONTH(Tabela1[[#This Row],[Último pagto ano]])</f>
        <v>11</v>
      </c>
      <c r="H2017" t="str">
        <f>TEXT(Tabela1[[#This Row],[Coluna2]]*29,"mmmm")</f>
        <v>novembro</v>
      </c>
      <c r="I2017" t="str">
        <f>TEXT(MONTH(Tabela1[[#This Row],[Último pagto ano]])*29,"mmmm")</f>
        <v>novembro</v>
      </c>
    </row>
    <row r="2018" spans="1:9" x14ac:dyDescent="0.25">
      <c r="A2018">
        <v>2025</v>
      </c>
      <c r="B2018" t="s">
        <v>4010</v>
      </c>
      <c r="C2018" s="1">
        <v>45775</v>
      </c>
      <c r="D2018" t="s">
        <v>4011</v>
      </c>
      <c r="E2018">
        <v>807.3</v>
      </c>
      <c r="G2018" s="3">
        <f>MONTH(Tabela1[[#This Row],[Último pagto ano]])</f>
        <v>4</v>
      </c>
      <c r="H2018" t="str">
        <f>TEXT(Tabela1[[#This Row],[Coluna2]]*29,"mmmm")</f>
        <v>abril</v>
      </c>
      <c r="I2018" t="str">
        <f>TEXT(MONTH(Tabela1[[#This Row],[Último pagto ano]])*29,"mmmm")</f>
        <v>abril</v>
      </c>
    </row>
    <row r="2019" spans="1:9" x14ac:dyDescent="0.25">
      <c r="A2019">
        <v>2025</v>
      </c>
      <c r="B2019" t="s">
        <v>4012</v>
      </c>
      <c r="C2019" s="1">
        <v>45996</v>
      </c>
      <c r="D2019" t="s">
        <v>4013</v>
      </c>
      <c r="E2019" s="2">
        <v>43524</v>
      </c>
      <c r="G2019" s="3">
        <f>MONTH(Tabela1[[#This Row],[Último pagto ano]])</f>
        <v>12</v>
      </c>
      <c r="H2019" t="str">
        <f>TEXT(Tabela1[[#This Row],[Coluna2]]*29,"mmmm")</f>
        <v>dezembro</v>
      </c>
      <c r="I2019" t="str">
        <f>TEXT(MONTH(Tabela1[[#This Row],[Último pagto ano]])*29,"mmmm")</f>
        <v>dezembro</v>
      </c>
    </row>
    <row r="2020" spans="1:9" x14ac:dyDescent="0.25">
      <c r="A2020">
        <v>2025</v>
      </c>
      <c r="B2020" t="s">
        <v>4014</v>
      </c>
      <c r="C2020" s="1">
        <v>45937</v>
      </c>
      <c r="D2020" t="s">
        <v>4015</v>
      </c>
      <c r="E2020" s="2">
        <v>3600</v>
      </c>
      <c r="G2020" s="3">
        <f>MONTH(Tabela1[[#This Row],[Último pagto ano]])</f>
        <v>10</v>
      </c>
      <c r="H2020" t="str">
        <f>TEXT(Tabela1[[#This Row],[Coluna2]]*29,"mmmm")</f>
        <v>outubro</v>
      </c>
      <c r="I2020" t="str">
        <f>TEXT(MONTH(Tabela1[[#This Row],[Último pagto ano]])*29,"mmmm")</f>
        <v>outubro</v>
      </c>
    </row>
    <row r="2021" spans="1:9" x14ac:dyDescent="0.25">
      <c r="A2021">
        <v>2025</v>
      </c>
      <c r="B2021" t="s">
        <v>4016</v>
      </c>
      <c r="C2021" s="1">
        <v>45975</v>
      </c>
      <c r="D2021" t="s">
        <v>4017</v>
      </c>
      <c r="E2021" s="2">
        <v>5613.76</v>
      </c>
      <c r="G2021" s="3">
        <f>MONTH(Tabela1[[#This Row],[Último pagto ano]])</f>
        <v>11</v>
      </c>
      <c r="H2021" t="str">
        <f>TEXT(Tabela1[[#This Row],[Coluna2]]*29,"mmmm")</f>
        <v>novembro</v>
      </c>
      <c r="I2021" t="str">
        <f>TEXT(MONTH(Tabela1[[#This Row],[Último pagto ano]])*29,"mmmm")</f>
        <v>novembro</v>
      </c>
    </row>
    <row r="2022" spans="1:9" x14ac:dyDescent="0.25">
      <c r="A2022">
        <v>2025</v>
      </c>
      <c r="B2022" t="s">
        <v>4018</v>
      </c>
      <c r="C2022" s="1">
        <v>46021</v>
      </c>
      <c r="D2022" t="s">
        <v>4019</v>
      </c>
      <c r="E2022" s="2">
        <v>1093.3699999999999</v>
      </c>
      <c r="G2022" s="3">
        <f>MONTH(Tabela1[[#This Row],[Último pagto ano]])</f>
        <v>12</v>
      </c>
      <c r="H2022" t="str">
        <f>TEXT(Tabela1[[#This Row],[Coluna2]]*29,"mmmm")</f>
        <v>dezembro</v>
      </c>
      <c r="I2022" t="str">
        <f>TEXT(MONTH(Tabela1[[#This Row],[Último pagto ano]])*29,"mmmm")</f>
        <v>dezembro</v>
      </c>
    </row>
    <row r="2023" spans="1:9" x14ac:dyDescent="0.25">
      <c r="A2023">
        <v>2025</v>
      </c>
      <c r="B2023" t="s">
        <v>4020</v>
      </c>
      <c r="C2023" s="1">
        <v>45996</v>
      </c>
      <c r="D2023" t="s">
        <v>4021</v>
      </c>
      <c r="E2023" s="2">
        <v>14000.04</v>
      </c>
      <c r="G2023" s="3">
        <f>MONTH(Tabela1[[#This Row],[Último pagto ano]])</f>
        <v>12</v>
      </c>
      <c r="H2023" t="str">
        <f>TEXT(Tabela1[[#This Row],[Coluna2]]*29,"mmmm")</f>
        <v>dezembro</v>
      </c>
      <c r="I2023" t="str">
        <f>TEXT(MONTH(Tabela1[[#This Row],[Último pagto ano]])*29,"mmmm")</f>
        <v>dezembro</v>
      </c>
    </row>
    <row r="2024" spans="1:9" x14ac:dyDescent="0.25">
      <c r="A2024">
        <v>2025</v>
      </c>
      <c r="B2024" t="s">
        <v>4022</v>
      </c>
      <c r="C2024" s="1">
        <v>45733</v>
      </c>
      <c r="D2024" t="s">
        <v>4023</v>
      </c>
      <c r="E2024">
        <v>128.58000000000001</v>
      </c>
      <c r="G2024" s="3">
        <f>MONTH(Tabela1[[#This Row],[Último pagto ano]])</f>
        <v>3</v>
      </c>
      <c r="H2024" t="str">
        <f>TEXT(Tabela1[[#This Row],[Coluna2]]*29,"mmmm")</f>
        <v>março</v>
      </c>
      <c r="I2024" t="str">
        <f>TEXT(MONTH(Tabela1[[#This Row],[Último pagto ano]])*29,"mmmm")</f>
        <v>março</v>
      </c>
    </row>
    <row r="2025" spans="1:9" x14ac:dyDescent="0.25">
      <c r="A2025">
        <v>2025</v>
      </c>
      <c r="B2025" t="s">
        <v>4024</v>
      </c>
      <c r="C2025" s="1">
        <v>45740</v>
      </c>
      <c r="D2025" t="s">
        <v>4025</v>
      </c>
      <c r="E2025">
        <v>78.180000000000007</v>
      </c>
      <c r="G2025" s="3">
        <f>MONTH(Tabela1[[#This Row],[Último pagto ano]])</f>
        <v>3</v>
      </c>
      <c r="H2025" t="str">
        <f>TEXT(Tabela1[[#This Row],[Coluna2]]*29,"mmmm")</f>
        <v>março</v>
      </c>
      <c r="I2025" t="str">
        <f>TEXT(MONTH(Tabela1[[#This Row],[Último pagto ano]])*29,"mmmm")</f>
        <v>março</v>
      </c>
    </row>
    <row r="2026" spans="1:9" x14ac:dyDescent="0.25">
      <c r="A2026">
        <v>2025</v>
      </c>
      <c r="B2026" t="s">
        <v>4026</v>
      </c>
      <c r="C2026" s="1">
        <v>46013</v>
      </c>
      <c r="D2026" t="s">
        <v>4027</v>
      </c>
      <c r="E2026" s="2">
        <v>2779.2</v>
      </c>
      <c r="G2026" s="3">
        <f>MONTH(Tabela1[[#This Row],[Último pagto ano]])</f>
        <v>12</v>
      </c>
      <c r="H2026" t="str">
        <f>TEXT(Tabela1[[#This Row],[Coluna2]]*29,"mmmm")</f>
        <v>dezembro</v>
      </c>
      <c r="I2026" t="str">
        <f>TEXT(MONTH(Tabela1[[#This Row],[Último pagto ano]])*29,"mmmm")</f>
        <v>dezembro</v>
      </c>
    </row>
    <row r="2027" spans="1:9" x14ac:dyDescent="0.25">
      <c r="A2027">
        <v>2025</v>
      </c>
      <c r="B2027" t="s">
        <v>4028</v>
      </c>
      <c r="C2027" s="1">
        <v>45989</v>
      </c>
      <c r="D2027" t="s">
        <v>4029</v>
      </c>
      <c r="E2027" s="2">
        <v>11644.23</v>
      </c>
      <c r="G2027" s="3">
        <f>MONTH(Tabela1[[#This Row],[Último pagto ano]])</f>
        <v>11</v>
      </c>
      <c r="H2027" t="str">
        <f>TEXT(Tabela1[[#This Row],[Coluna2]]*29,"mmmm")</f>
        <v>novembro</v>
      </c>
      <c r="I2027" t="str">
        <f>TEXT(MONTH(Tabela1[[#This Row],[Último pagto ano]])*29,"mmmm")</f>
        <v>novembro</v>
      </c>
    </row>
    <row r="2028" spans="1:9" x14ac:dyDescent="0.25">
      <c r="A2028">
        <v>2025</v>
      </c>
      <c r="B2028" t="s">
        <v>4030</v>
      </c>
      <c r="C2028" s="1">
        <v>45980</v>
      </c>
      <c r="D2028" t="s">
        <v>4031</v>
      </c>
      <c r="E2028" s="2">
        <v>43214</v>
      </c>
      <c r="G2028" s="3">
        <f>MONTH(Tabela1[[#This Row],[Último pagto ano]])</f>
        <v>11</v>
      </c>
      <c r="H2028" t="str">
        <f>TEXT(Tabela1[[#This Row],[Coluna2]]*29,"mmmm")</f>
        <v>novembro</v>
      </c>
      <c r="I2028" t="str">
        <f>TEXT(MONTH(Tabela1[[#This Row],[Último pagto ano]])*29,"mmmm")</f>
        <v>novembro</v>
      </c>
    </row>
    <row r="2029" spans="1:9" x14ac:dyDescent="0.25">
      <c r="A2029">
        <v>2025</v>
      </c>
      <c r="B2029" t="s">
        <v>4032</v>
      </c>
      <c r="C2029" s="1">
        <v>45978</v>
      </c>
      <c r="D2029" t="s">
        <v>4033</v>
      </c>
      <c r="E2029">
        <v>154</v>
      </c>
      <c r="G2029" s="3">
        <f>MONTH(Tabela1[[#This Row],[Último pagto ano]])</f>
        <v>11</v>
      </c>
      <c r="H2029" t="str">
        <f>TEXT(Tabela1[[#This Row],[Coluna2]]*29,"mmmm")</f>
        <v>novembro</v>
      </c>
      <c r="I2029" t="str">
        <f>TEXT(MONTH(Tabela1[[#This Row],[Último pagto ano]])*29,"mmmm")</f>
        <v>novembro</v>
      </c>
    </row>
    <row r="2030" spans="1:9" x14ac:dyDescent="0.25">
      <c r="A2030">
        <v>2025</v>
      </c>
      <c r="B2030" t="s">
        <v>4034</v>
      </c>
      <c r="C2030" s="1">
        <v>45975</v>
      </c>
      <c r="D2030" t="s">
        <v>4035</v>
      </c>
      <c r="E2030" s="2">
        <v>5923.2</v>
      </c>
      <c r="G2030" s="3">
        <f>MONTH(Tabela1[[#This Row],[Último pagto ano]])</f>
        <v>11</v>
      </c>
      <c r="H2030" t="str">
        <f>TEXT(Tabela1[[#This Row],[Coluna2]]*29,"mmmm")</f>
        <v>novembro</v>
      </c>
      <c r="I2030" t="str">
        <f>TEXT(MONTH(Tabela1[[#This Row],[Último pagto ano]])*29,"mmmm")</f>
        <v>novembro</v>
      </c>
    </row>
    <row r="2031" spans="1:9" x14ac:dyDescent="0.25">
      <c r="A2031">
        <v>2025</v>
      </c>
      <c r="B2031" t="s">
        <v>4036</v>
      </c>
      <c r="C2031" s="1">
        <v>45959</v>
      </c>
      <c r="D2031" t="s">
        <v>4037</v>
      </c>
      <c r="E2031" s="2">
        <v>4900</v>
      </c>
      <c r="G2031" s="3">
        <f>MONTH(Tabela1[[#This Row],[Último pagto ano]])</f>
        <v>10</v>
      </c>
      <c r="H2031" t="str">
        <f>TEXT(Tabela1[[#This Row],[Coluna2]]*29,"mmmm")</f>
        <v>outubro</v>
      </c>
      <c r="I2031" t="str">
        <f>TEXT(MONTH(Tabela1[[#This Row],[Último pagto ano]])*29,"mmmm")</f>
        <v>outubro</v>
      </c>
    </row>
    <row r="2032" spans="1:9" x14ac:dyDescent="0.25">
      <c r="A2032">
        <v>2025</v>
      </c>
      <c r="B2032" t="s">
        <v>4038</v>
      </c>
      <c r="C2032" s="1">
        <v>45860</v>
      </c>
      <c r="D2032" t="s">
        <v>4039</v>
      </c>
      <c r="E2032" s="2">
        <v>1876</v>
      </c>
      <c r="G2032" s="3">
        <f>MONTH(Tabela1[[#This Row],[Último pagto ano]])</f>
        <v>7</v>
      </c>
      <c r="H2032" t="str">
        <f>TEXT(Tabela1[[#This Row],[Coluna2]]*29,"mmmm")</f>
        <v>julho</v>
      </c>
      <c r="I2032" t="str">
        <f>TEXT(MONTH(Tabela1[[#This Row],[Último pagto ano]])*29,"mmmm")</f>
        <v>julho</v>
      </c>
    </row>
    <row r="2033" spans="1:9" x14ac:dyDescent="0.25">
      <c r="A2033">
        <v>2025</v>
      </c>
      <c r="B2033" t="s">
        <v>4040</v>
      </c>
      <c r="C2033" s="1">
        <v>45702</v>
      </c>
      <c r="D2033" t="s">
        <v>4041</v>
      </c>
      <c r="E2033" s="2">
        <v>1289.25</v>
      </c>
      <c r="G2033" s="3">
        <f>MONTH(Tabela1[[#This Row],[Último pagto ano]])</f>
        <v>2</v>
      </c>
      <c r="H2033" t="str">
        <f>TEXT(Tabela1[[#This Row],[Coluna2]]*29,"mmmm")</f>
        <v>fevereiro</v>
      </c>
      <c r="I2033" t="str">
        <f>TEXT(MONTH(Tabela1[[#This Row],[Último pagto ano]])*29,"mmmm")</f>
        <v>fevereiro</v>
      </c>
    </row>
    <row r="2034" spans="1:9" x14ac:dyDescent="0.25">
      <c r="A2034">
        <v>2025</v>
      </c>
      <c r="B2034" t="s">
        <v>4042</v>
      </c>
      <c r="C2034" s="1">
        <v>46010</v>
      </c>
      <c r="D2034" t="s">
        <v>4043</v>
      </c>
      <c r="E2034" s="2">
        <v>33600</v>
      </c>
      <c r="G2034" s="3">
        <f>MONTH(Tabela1[[#This Row],[Último pagto ano]])</f>
        <v>12</v>
      </c>
      <c r="H2034" t="str">
        <f>TEXT(Tabela1[[#This Row],[Coluna2]]*29,"mmmm")</f>
        <v>dezembro</v>
      </c>
      <c r="I2034" t="str">
        <f>TEXT(MONTH(Tabela1[[#This Row],[Último pagto ano]])*29,"mmmm")</f>
        <v>dezembro</v>
      </c>
    </row>
    <row r="2035" spans="1:9" x14ac:dyDescent="0.25">
      <c r="A2035">
        <v>2025</v>
      </c>
      <c r="B2035" t="s">
        <v>4044</v>
      </c>
      <c r="C2035" s="1">
        <v>45715</v>
      </c>
      <c r="D2035" t="s">
        <v>4045</v>
      </c>
      <c r="E2035" s="2">
        <v>4000</v>
      </c>
      <c r="G2035" s="3">
        <f>MONTH(Tabela1[[#This Row],[Último pagto ano]])</f>
        <v>2</v>
      </c>
      <c r="H2035" t="str">
        <f>TEXT(Tabela1[[#This Row],[Coluna2]]*29,"mmmm")</f>
        <v>fevereiro</v>
      </c>
      <c r="I2035" t="str">
        <f>TEXT(MONTH(Tabela1[[#This Row],[Último pagto ano]])*29,"mmmm")</f>
        <v>fevereiro</v>
      </c>
    </row>
    <row r="2036" spans="1:9" x14ac:dyDescent="0.25">
      <c r="A2036">
        <v>2025</v>
      </c>
      <c r="B2036" t="s">
        <v>4046</v>
      </c>
      <c r="C2036" s="1">
        <v>45975</v>
      </c>
      <c r="D2036" t="s">
        <v>4047</v>
      </c>
      <c r="E2036" s="2">
        <v>5600.48</v>
      </c>
      <c r="G2036" s="3">
        <f>MONTH(Tabela1[[#This Row],[Último pagto ano]])</f>
        <v>11</v>
      </c>
      <c r="H2036" t="str">
        <f>TEXT(Tabela1[[#This Row],[Coluna2]]*29,"mmmm")</f>
        <v>novembro</v>
      </c>
      <c r="I2036" t="str">
        <f>TEXT(MONTH(Tabela1[[#This Row],[Último pagto ano]])*29,"mmmm")</f>
        <v>novembro</v>
      </c>
    </row>
    <row r="2037" spans="1:9" x14ac:dyDescent="0.25">
      <c r="A2037">
        <v>2025</v>
      </c>
      <c r="B2037" t="s">
        <v>4048</v>
      </c>
      <c r="C2037" s="1">
        <v>45996</v>
      </c>
      <c r="D2037" t="s">
        <v>4049</v>
      </c>
      <c r="E2037" s="2">
        <v>2325</v>
      </c>
      <c r="G2037" s="3">
        <f>MONTH(Tabela1[[#This Row],[Último pagto ano]])</f>
        <v>12</v>
      </c>
      <c r="H2037" t="str">
        <f>TEXT(Tabela1[[#This Row],[Coluna2]]*29,"mmmm")</f>
        <v>dezembro</v>
      </c>
      <c r="I2037" t="str">
        <f>TEXT(MONTH(Tabela1[[#This Row],[Último pagto ano]])*29,"mmmm")</f>
        <v>dezembro</v>
      </c>
    </row>
    <row r="2038" spans="1:9" x14ac:dyDescent="0.25">
      <c r="A2038">
        <v>2025</v>
      </c>
      <c r="B2038" t="s">
        <v>4050</v>
      </c>
      <c r="C2038" s="1">
        <v>45901</v>
      </c>
      <c r="D2038" t="s">
        <v>4051</v>
      </c>
      <c r="E2038">
        <v>130.80000000000001</v>
      </c>
      <c r="G2038" s="3">
        <f>MONTH(Tabela1[[#This Row],[Último pagto ano]])</f>
        <v>9</v>
      </c>
      <c r="H2038" t="str">
        <f>TEXT(Tabela1[[#This Row],[Coluna2]]*29,"mmmm")</f>
        <v>setembro</v>
      </c>
      <c r="I2038" t="str">
        <f>TEXT(MONTH(Tabela1[[#This Row],[Último pagto ano]])*29,"mmmm")</f>
        <v>setembro</v>
      </c>
    </row>
    <row r="2039" spans="1:9" x14ac:dyDescent="0.25">
      <c r="A2039">
        <v>2025</v>
      </c>
      <c r="B2039" t="s">
        <v>4052</v>
      </c>
      <c r="C2039" s="1">
        <v>46021</v>
      </c>
      <c r="D2039" t="s">
        <v>4053</v>
      </c>
      <c r="E2039">
        <v>599.59</v>
      </c>
      <c r="G2039" s="3">
        <f>MONTH(Tabela1[[#This Row],[Último pagto ano]])</f>
        <v>12</v>
      </c>
      <c r="H2039" t="str">
        <f>TEXT(Tabela1[[#This Row],[Coluna2]]*29,"mmmm")</f>
        <v>dezembro</v>
      </c>
      <c r="I2039" t="str">
        <f>TEXT(MONTH(Tabela1[[#This Row],[Último pagto ano]])*29,"mmmm")</f>
        <v>dezembro</v>
      </c>
    </row>
    <row r="2040" spans="1:9" x14ac:dyDescent="0.25">
      <c r="A2040">
        <v>2025</v>
      </c>
      <c r="B2040" t="s">
        <v>4054</v>
      </c>
      <c r="C2040" s="1">
        <v>45849</v>
      </c>
      <c r="D2040" t="s">
        <v>4055</v>
      </c>
      <c r="E2040" s="2">
        <v>6015.4</v>
      </c>
      <c r="G2040" s="3">
        <f>MONTH(Tabela1[[#This Row],[Último pagto ano]])</f>
        <v>7</v>
      </c>
      <c r="H2040" t="str">
        <f>TEXT(Tabela1[[#This Row],[Coluna2]]*29,"mmmm")</f>
        <v>julho</v>
      </c>
      <c r="I2040" t="str">
        <f>TEXT(MONTH(Tabela1[[#This Row],[Último pagto ano]])*29,"mmmm")</f>
        <v>julho</v>
      </c>
    </row>
    <row r="2041" spans="1:9" x14ac:dyDescent="0.25">
      <c r="A2041">
        <v>2025</v>
      </c>
      <c r="B2041" t="s">
        <v>4056</v>
      </c>
      <c r="C2041" s="1">
        <v>45673</v>
      </c>
      <c r="D2041" t="s">
        <v>4057</v>
      </c>
      <c r="E2041" s="2">
        <v>1000</v>
      </c>
      <c r="G2041" s="3">
        <f>MONTH(Tabela1[[#This Row],[Último pagto ano]])</f>
        <v>1</v>
      </c>
      <c r="H2041" t="str">
        <f>TEXT(Tabela1[[#This Row],[Coluna2]]*29,"mmmm")</f>
        <v>janeiro</v>
      </c>
      <c r="I2041" t="str">
        <f>TEXT(MONTH(Tabela1[[#This Row],[Último pagto ano]])*29,"mmmm")</f>
        <v>janeiro</v>
      </c>
    </row>
    <row r="2042" spans="1:9" x14ac:dyDescent="0.25">
      <c r="A2042">
        <v>2025</v>
      </c>
      <c r="B2042" t="s">
        <v>4058</v>
      </c>
      <c r="C2042" s="1">
        <v>45996</v>
      </c>
      <c r="D2042" t="s">
        <v>4059</v>
      </c>
      <c r="E2042" s="2">
        <v>2000</v>
      </c>
      <c r="G2042" s="3">
        <f>MONTH(Tabela1[[#This Row],[Último pagto ano]])</f>
        <v>12</v>
      </c>
      <c r="H2042" t="str">
        <f>TEXT(Tabela1[[#This Row],[Coluna2]]*29,"mmmm")</f>
        <v>dezembro</v>
      </c>
      <c r="I2042" t="str">
        <f>TEXT(MONTH(Tabela1[[#This Row],[Último pagto ano]])*29,"mmmm")</f>
        <v>dezembro</v>
      </c>
    </row>
    <row r="2043" spans="1:9" x14ac:dyDescent="0.25">
      <c r="A2043">
        <v>2025</v>
      </c>
      <c r="B2043" t="s">
        <v>4060</v>
      </c>
      <c r="C2043" s="1">
        <v>45978</v>
      </c>
      <c r="D2043" t="s">
        <v>4061</v>
      </c>
      <c r="E2043">
        <v>44</v>
      </c>
      <c r="G2043" s="3">
        <f>MONTH(Tabela1[[#This Row],[Último pagto ano]])</f>
        <v>11</v>
      </c>
      <c r="H2043" t="str">
        <f>TEXT(Tabela1[[#This Row],[Coluna2]]*29,"mmmm")</f>
        <v>novembro</v>
      </c>
      <c r="I2043" t="str">
        <f>TEXT(MONTH(Tabela1[[#This Row],[Último pagto ano]])*29,"mmmm")</f>
        <v>novembro</v>
      </c>
    </row>
    <row r="2044" spans="1:9" x14ac:dyDescent="0.25">
      <c r="A2044">
        <v>2025</v>
      </c>
      <c r="B2044" t="s">
        <v>4062</v>
      </c>
      <c r="C2044" s="1">
        <v>46021</v>
      </c>
      <c r="D2044" t="s">
        <v>4063</v>
      </c>
      <c r="E2044" s="2">
        <v>3544.78</v>
      </c>
      <c r="G2044" s="3">
        <f>MONTH(Tabela1[[#This Row],[Último pagto ano]])</f>
        <v>12</v>
      </c>
      <c r="H2044" t="str">
        <f>TEXT(Tabela1[[#This Row],[Coluna2]]*29,"mmmm")</f>
        <v>dezembro</v>
      </c>
      <c r="I2044" t="str">
        <f>TEXT(MONTH(Tabela1[[#This Row],[Último pagto ano]])*29,"mmmm")</f>
        <v>dezembro</v>
      </c>
    </row>
    <row r="2045" spans="1:9" x14ac:dyDescent="0.25">
      <c r="A2045">
        <v>2025</v>
      </c>
      <c r="B2045" t="s">
        <v>4064</v>
      </c>
      <c r="C2045" s="1">
        <v>46010</v>
      </c>
      <c r="D2045" t="s">
        <v>4065</v>
      </c>
      <c r="E2045" s="2">
        <v>2800</v>
      </c>
      <c r="G2045" s="3">
        <f>MONTH(Tabela1[[#This Row],[Último pagto ano]])</f>
        <v>12</v>
      </c>
      <c r="H2045" t="str">
        <f>TEXT(Tabela1[[#This Row],[Coluna2]]*29,"mmmm")</f>
        <v>dezembro</v>
      </c>
      <c r="I2045" t="str">
        <f>TEXT(MONTH(Tabela1[[#This Row],[Último pagto ano]])*29,"mmmm")</f>
        <v>dezembro</v>
      </c>
    </row>
    <row r="2046" spans="1:9" x14ac:dyDescent="0.25">
      <c r="A2046">
        <v>2025</v>
      </c>
      <c r="B2046" t="s">
        <v>4066</v>
      </c>
      <c r="C2046" s="1">
        <v>46006</v>
      </c>
      <c r="D2046" t="s">
        <v>4067</v>
      </c>
      <c r="E2046" s="2">
        <v>5923.2</v>
      </c>
      <c r="G2046" s="3">
        <f>MONTH(Tabela1[[#This Row],[Último pagto ano]])</f>
        <v>12</v>
      </c>
      <c r="H2046" t="str">
        <f>TEXT(Tabela1[[#This Row],[Coluna2]]*29,"mmmm")</f>
        <v>dezembro</v>
      </c>
      <c r="I2046" t="str">
        <f>TEXT(MONTH(Tabela1[[#This Row],[Último pagto ano]])*29,"mmmm")</f>
        <v>dezembro</v>
      </c>
    </row>
    <row r="2047" spans="1:9" x14ac:dyDescent="0.25">
      <c r="A2047">
        <v>2025</v>
      </c>
      <c r="B2047" t="s">
        <v>4068</v>
      </c>
      <c r="C2047" s="1">
        <v>45849</v>
      </c>
      <c r="D2047" t="s">
        <v>4069</v>
      </c>
      <c r="E2047">
        <v>22</v>
      </c>
      <c r="G2047" s="3">
        <f>MONTH(Tabela1[[#This Row],[Último pagto ano]])</f>
        <v>7</v>
      </c>
      <c r="H2047" t="str">
        <f>TEXT(Tabela1[[#This Row],[Coluna2]]*29,"mmmm")</f>
        <v>julho</v>
      </c>
      <c r="I2047" t="str">
        <f>TEXT(MONTH(Tabela1[[#This Row],[Último pagto ano]])*29,"mmmm")</f>
        <v>julho</v>
      </c>
    </row>
    <row r="2048" spans="1:9" x14ac:dyDescent="0.25">
      <c r="A2048">
        <v>2025</v>
      </c>
      <c r="B2048" t="s">
        <v>4070</v>
      </c>
      <c r="C2048" s="1">
        <v>46010</v>
      </c>
      <c r="D2048" t="s">
        <v>4071</v>
      </c>
      <c r="E2048" s="2">
        <v>1400</v>
      </c>
      <c r="G2048" s="3">
        <f>MONTH(Tabela1[[#This Row],[Último pagto ano]])</f>
        <v>12</v>
      </c>
      <c r="H2048" t="str">
        <f>TEXT(Tabela1[[#This Row],[Coluna2]]*29,"mmmm")</f>
        <v>dezembro</v>
      </c>
      <c r="I2048" t="str">
        <f>TEXT(MONTH(Tabela1[[#This Row],[Último pagto ano]])*29,"mmmm")</f>
        <v>dezembro</v>
      </c>
    </row>
    <row r="2049" spans="1:9" x14ac:dyDescent="0.25">
      <c r="A2049">
        <v>2025</v>
      </c>
      <c r="B2049" t="s">
        <v>4072</v>
      </c>
      <c r="C2049" s="1">
        <v>45684</v>
      </c>
      <c r="D2049" t="s">
        <v>4073</v>
      </c>
      <c r="E2049">
        <v>134.9</v>
      </c>
      <c r="G2049" s="3">
        <f>MONTH(Tabela1[[#This Row],[Último pagto ano]])</f>
        <v>1</v>
      </c>
      <c r="H2049" t="str">
        <f>TEXT(Tabela1[[#This Row],[Coluna2]]*29,"mmmm")</f>
        <v>janeiro</v>
      </c>
      <c r="I2049" t="str">
        <f>TEXT(MONTH(Tabela1[[#This Row],[Último pagto ano]])*29,"mmmm")</f>
        <v>janeiro</v>
      </c>
    </row>
    <row r="2050" spans="1:9" x14ac:dyDescent="0.25">
      <c r="A2050">
        <v>2025</v>
      </c>
      <c r="B2050" t="s">
        <v>4074</v>
      </c>
      <c r="C2050" s="1">
        <v>45702</v>
      </c>
      <c r="D2050" t="s">
        <v>4075</v>
      </c>
      <c r="E2050">
        <v>488.89</v>
      </c>
      <c r="G2050" s="3">
        <f>MONTH(Tabela1[[#This Row],[Último pagto ano]])</f>
        <v>2</v>
      </c>
      <c r="H2050" t="str">
        <f>TEXT(Tabela1[[#This Row],[Coluna2]]*29,"mmmm")</f>
        <v>fevereiro</v>
      </c>
      <c r="I2050" t="str">
        <f>TEXT(MONTH(Tabela1[[#This Row],[Último pagto ano]])*29,"mmmm")</f>
        <v>fevereiro</v>
      </c>
    </row>
    <row r="2051" spans="1:9" x14ac:dyDescent="0.25">
      <c r="A2051">
        <v>2025</v>
      </c>
      <c r="B2051" t="s">
        <v>4076</v>
      </c>
      <c r="C2051" s="1">
        <v>45996</v>
      </c>
      <c r="D2051" t="s">
        <v>4077</v>
      </c>
      <c r="E2051" s="2">
        <v>2400</v>
      </c>
      <c r="G2051" s="3">
        <f>MONTH(Tabela1[[#This Row],[Último pagto ano]])</f>
        <v>12</v>
      </c>
      <c r="H2051" t="str">
        <f>TEXT(Tabela1[[#This Row],[Coluna2]]*29,"mmmm")</f>
        <v>dezembro</v>
      </c>
      <c r="I2051" t="str">
        <f>TEXT(MONTH(Tabela1[[#This Row],[Último pagto ano]])*29,"mmmm")</f>
        <v>dezembro</v>
      </c>
    </row>
    <row r="2052" spans="1:9" x14ac:dyDescent="0.25">
      <c r="A2052">
        <v>2025</v>
      </c>
      <c r="B2052" t="s">
        <v>4078</v>
      </c>
      <c r="C2052" s="1">
        <v>45996</v>
      </c>
      <c r="D2052" t="s">
        <v>4079</v>
      </c>
      <c r="E2052" s="2">
        <v>30000</v>
      </c>
      <c r="G2052" s="3">
        <f>MONTH(Tabela1[[#This Row],[Último pagto ano]])</f>
        <v>12</v>
      </c>
      <c r="H2052" t="str">
        <f>TEXT(Tabela1[[#This Row],[Coluna2]]*29,"mmmm")</f>
        <v>dezembro</v>
      </c>
      <c r="I2052" t="str">
        <f>TEXT(MONTH(Tabela1[[#This Row],[Último pagto ano]])*29,"mmmm")</f>
        <v>dezembro</v>
      </c>
    </row>
    <row r="2053" spans="1:9" x14ac:dyDescent="0.25">
      <c r="A2053">
        <v>2025</v>
      </c>
      <c r="B2053" t="s">
        <v>4080</v>
      </c>
      <c r="C2053" s="1">
        <v>45975</v>
      </c>
      <c r="D2053" t="s">
        <v>4081</v>
      </c>
      <c r="E2053" s="2">
        <v>5922.56</v>
      </c>
      <c r="G2053" s="3">
        <f>MONTH(Tabela1[[#This Row],[Último pagto ano]])</f>
        <v>11</v>
      </c>
      <c r="H2053" t="str">
        <f>TEXT(Tabela1[[#This Row],[Coluna2]]*29,"mmmm")</f>
        <v>novembro</v>
      </c>
      <c r="I2053" t="str">
        <f>TEXT(MONTH(Tabela1[[#This Row],[Último pagto ano]])*29,"mmmm")</f>
        <v>novembro</v>
      </c>
    </row>
    <row r="2054" spans="1:9" x14ac:dyDescent="0.25">
      <c r="A2054">
        <v>2025</v>
      </c>
      <c r="B2054" t="s">
        <v>4082</v>
      </c>
      <c r="C2054" s="1">
        <v>45968</v>
      </c>
      <c r="D2054" t="s">
        <v>4083</v>
      </c>
      <c r="E2054" s="2">
        <v>1200</v>
      </c>
      <c r="G2054" s="3">
        <f>MONTH(Tabela1[[#This Row],[Último pagto ano]])</f>
        <v>11</v>
      </c>
      <c r="H2054" t="str">
        <f>TEXT(Tabela1[[#This Row],[Coluna2]]*29,"mmmm")</f>
        <v>novembro</v>
      </c>
      <c r="I2054" t="str">
        <f>TEXT(MONTH(Tabela1[[#This Row],[Último pagto ano]])*29,"mmmm")</f>
        <v>novembro</v>
      </c>
    </row>
    <row r="2055" spans="1:9" x14ac:dyDescent="0.25">
      <c r="A2055">
        <v>2025</v>
      </c>
      <c r="B2055" t="s">
        <v>4084</v>
      </c>
      <c r="C2055" s="1">
        <v>45960</v>
      </c>
      <c r="D2055" t="s">
        <v>4085</v>
      </c>
      <c r="E2055" s="2">
        <v>4811.17</v>
      </c>
      <c r="G2055" s="3">
        <f>MONTH(Tabela1[[#This Row],[Último pagto ano]])</f>
        <v>10</v>
      </c>
      <c r="H2055" t="str">
        <f>TEXT(Tabela1[[#This Row],[Coluna2]]*29,"mmmm")</f>
        <v>outubro</v>
      </c>
      <c r="I2055" t="str">
        <f>TEXT(MONTH(Tabela1[[#This Row],[Último pagto ano]])*29,"mmmm")</f>
        <v>outubro</v>
      </c>
    </row>
    <row r="2056" spans="1:9" x14ac:dyDescent="0.25">
      <c r="A2056">
        <v>2025</v>
      </c>
      <c r="B2056" t="s">
        <v>4086</v>
      </c>
      <c r="C2056" s="1">
        <v>45968</v>
      </c>
      <c r="D2056" t="s">
        <v>4087</v>
      </c>
      <c r="E2056" s="2">
        <v>2500</v>
      </c>
      <c r="G2056" s="3">
        <f>MONTH(Tabela1[[#This Row],[Último pagto ano]])</f>
        <v>11</v>
      </c>
      <c r="H2056" t="str">
        <f>TEXT(Tabela1[[#This Row],[Coluna2]]*29,"mmmm")</f>
        <v>novembro</v>
      </c>
      <c r="I2056" t="str">
        <f>TEXT(MONTH(Tabela1[[#This Row],[Último pagto ano]])*29,"mmmm")</f>
        <v>novembro</v>
      </c>
    </row>
    <row r="2057" spans="1:9" x14ac:dyDescent="0.25">
      <c r="A2057">
        <v>2025</v>
      </c>
      <c r="B2057" t="s">
        <v>4088</v>
      </c>
      <c r="C2057" s="1">
        <v>45915</v>
      </c>
      <c r="D2057" t="s">
        <v>4089</v>
      </c>
      <c r="E2057">
        <v>296.16000000000003</v>
      </c>
      <c r="G2057" s="3">
        <f>MONTH(Tabela1[[#This Row],[Último pagto ano]])</f>
        <v>9</v>
      </c>
      <c r="H2057" t="str">
        <f>TEXT(Tabela1[[#This Row],[Coluna2]]*29,"mmmm")</f>
        <v>setembro</v>
      </c>
      <c r="I2057" t="str">
        <f>TEXT(MONTH(Tabela1[[#This Row],[Último pagto ano]])*29,"mmmm")</f>
        <v>setembro</v>
      </c>
    </row>
    <row r="2058" spans="1:9" x14ac:dyDescent="0.25">
      <c r="A2058">
        <v>2025</v>
      </c>
      <c r="B2058" t="s">
        <v>4090</v>
      </c>
      <c r="C2058" s="1">
        <v>46007</v>
      </c>
      <c r="D2058" t="s">
        <v>4091</v>
      </c>
      <c r="E2058" s="2">
        <v>3263124.9</v>
      </c>
      <c r="G2058" s="3">
        <f>MONTH(Tabela1[[#This Row],[Último pagto ano]])</f>
        <v>12</v>
      </c>
      <c r="H2058" t="str">
        <f>TEXT(Tabela1[[#This Row],[Coluna2]]*29,"mmmm")</f>
        <v>dezembro</v>
      </c>
      <c r="I2058" t="str">
        <f>TEXT(MONTH(Tabela1[[#This Row],[Último pagto ano]])*29,"mmmm")</f>
        <v>dezembro</v>
      </c>
    </row>
    <row r="2059" spans="1:9" x14ac:dyDescent="0.25">
      <c r="A2059">
        <v>2025</v>
      </c>
      <c r="B2059" t="s">
        <v>4092</v>
      </c>
      <c r="C2059" s="1">
        <v>46021</v>
      </c>
      <c r="D2059" t="s">
        <v>4093</v>
      </c>
      <c r="E2059" s="2">
        <v>11134.38</v>
      </c>
      <c r="G2059" s="3">
        <f>MONTH(Tabela1[[#This Row],[Último pagto ano]])</f>
        <v>12</v>
      </c>
      <c r="H2059" t="str">
        <f>TEXT(Tabela1[[#This Row],[Coluna2]]*29,"mmmm")</f>
        <v>dezembro</v>
      </c>
      <c r="I2059" t="str">
        <f>TEXT(MONTH(Tabela1[[#This Row],[Último pagto ano]])*29,"mmmm")</f>
        <v>dezembro</v>
      </c>
    </row>
    <row r="2060" spans="1:9" x14ac:dyDescent="0.25">
      <c r="A2060">
        <v>2025</v>
      </c>
      <c r="B2060" t="s">
        <v>4094</v>
      </c>
      <c r="C2060" s="1">
        <v>45748</v>
      </c>
      <c r="D2060" t="s">
        <v>4095</v>
      </c>
      <c r="E2060" s="2">
        <v>20226.48</v>
      </c>
      <c r="G2060" s="3">
        <f>MONTH(Tabela1[[#This Row],[Último pagto ano]])</f>
        <v>4</v>
      </c>
      <c r="H2060" t="str">
        <f>TEXT(Tabela1[[#This Row],[Coluna2]]*29,"mmmm")</f>
        <v>abril</v>
      </c>
      <c r="I2060" t="str">
        <f>TEXT(MONTH(Tabela1[[#This Row],[Último pagto ano]])*29,"mmmm")</f>
        <v>abril</v>
      </c>
    </row>
    <row r="2061" spans="1:9" x14ac:dyDescent="0.25">
      <c r="A2061">
        <v>2025</v>
      </c>
      <c r="B2061" t="s">
        <v>4096</v>
      </c>
      <c r="C2061" s="1">
        <v>46010</v>
      </c>
      <c r="D2061" t="s">
        <v>4097</v>
      </c>
      <c r="E2061" s="2">
        <v>4900</v>
      </c>
      <c r="G2061" s="3">
        <f>MONTH(Tabela1[[#This Row],[Último pagto ano]])</f>
        <v>12</v>
      </c>
      <c r="H2061" t="str">
        <f>TEXT(Tabela1[[#This Row],[Coluna2]]*29,"mmmm")</f>
        <v>dezembro</v>
      </c>
      <c r="I2061" t="str">
        <f>TEXT(MONTH(Tabela1[[#This Row],[Último pagto ano]])*29,"mmmm")</f>
        <v>dezembro</v>
      </c>
    </row>
    <row r="2062" spans="1:9" x14ac:dyDescent="0.25">
      <c r="A2062">
        <v>2025</v>
      </c>
      <c r="B2062" t="s">
        <v>4098</v>
      </c>
      <c r="C2062" s="1">
        <v>45996</v>
      </c>
      <c r="D2062" t="s">
        <v>4099</v>
      </c>
      <c r="E2062" s="2">
        <v>32400</v>
      </c>
      <c r="G2062" s="3">
        <f>MONTH(Tabela1[[#This Row],[Último pagto ano]])</f>
        <v>12</v>
      </c>
      <c r="H2062" t="str">
        <f>TEXT(Tabela1[[#This Row],[Coluna2]]*29,"mmmm")</f>
        <v>dezembro</v>
      </c>
      <c r="I2062" t="str">
        <f>TEXT(MONTH(Tabela1[[#This Row],[Último pagto ano]])*29,"mmmm")</f>
        <v>dezembro</v>
      </c>
    </row>
    <row r="2063" spans="1:9" x14ac:dyDescent="0.25">
      <c r="A2063">
        <v>2025</v>
      </c>
      <c r="B2063" t="s">
        <v>4100</v>
      </c>
      <c r="C2063" s="1">
        <v>45989</v>
      </c>
      <c r="D2063" t="s">
        <v>4101</v>
      </c>
      <c r="E2063" s="2">
        <v>10794.5</v>
      </c>
      <c r="G2063" s="3">
        <f>MONTH(Tabela1[[#This Row],[Último pagto ano]])</f>
        <v>11</v>
      </c>
      <c r="H2063" t="str">
        <f>TEXT(Tabela1[[#This Row],[Coluna2]]*29,"mmmm")</f>
        <v>novembro</v>
      </c>
      <c r="I2063" t="str">
        <f>TEXT(MONTH(Tabela1[[#This Row],[Último pagto ano]])*29,"mmmm")</f>
        <v>novembro</v>
      </c>
    </row>
    <row r="2064" spans="1:9" x14ac:dyDescent="0.25">
      <c r="A2064">
        <v>2025</v>
      </c>
      <c r="B2064" t="s">
        <v>4102</v>
      </c>
      <c r="C2064" s="1">
        <v>45702</v>
      </c>
      <c r="D2064" t="s">
        <v>4103</v>
      </c>
      <c r="E2064" s="2">
        <v>1140.77</v>
      </c>
      <c r="G2064" s="3">
        <f>MONTH(Tabela1[[#This Row],[Último pagto ano]])</f>
        <v>2</v>
      </c>
      <c r="H2064" t="str">
        <f>TEXT(Tabela1[[#This Row],[Coluna2]]*29,"mmmm")</f>
        <v>fevereiro</v>
      </c>
      <c r="I2064" t="str">
        <f>TEXT(MONTH(Tabela1[[#This Row],[Último pagto ano]])*29,"mmmm")</f>
        <v>fevereiro</v>
      </c>
    </row>
    <row r="2065" spans="1:9" x14ac:dyDescent="0.25">
      <c r="A2065">
        <v>2025</v>
      </c>
      <c r="B2065" t="s">
        <v>4104</v>
      </c>
      <c r="C2065" s="1">
        <v>46010</v>
      </c>
      <c r="D2065" t="s">
        <v>4105</v>
      </c>
      <c r="E2065" s="2">
        <v>1400</v>
      </c>
      <c r="G2065" s="3">
        <f>MONTH(Tabela1[[#This Row],[Último pagto ano]])</f>
        <v>12</v>
      </c>
      <c r="H2065" t="str">
        <f>TEXT(Tabela1[[#This Row],[Coluna2]]*29,"mmmm")</f>
        <v>dezembro</v>
      </c>
      <c r="I2065" t="str">
        <f>TEXT(MONTH(Tabela1[[#This Row],[Último pagto ano]])*29,"mmmm")</f>
        <v>dezembro</v>
      </c>
    </row>
    <row r="2066" spans="1:9" x14ac:dyDescent="0.25">
      <c r="A2066">
        <v>2025</v>
      </c>
      <c r="B2066" t="s">
        <v>4106</v>
      </c>
      <c r="C2066" s="1">
        <v>46007</v>
      </c>
      <c r="D2066" t="s">
        <v>4107</v>
      </c>
      <c r="E2066" s="2">
        <v>1269235.92</v>
      </c>
      <c r="G2066" s="3">
        <f>MONTH(Tabela1[[#This Row],[Último pagto ano]])</f>
        <v>12</v>
      </c>
      <c r="H2066" t="str">
        <f>TEXT(Tabela1[[#This Row],[Coluna2]]*29,"mmmm")</f>
        <v>dezembro</v>
      </c>
      <c r="I2066" t="str">
        <f>TEXT(MONTH(Tabela1[[#This Row],[Último pagto ano]])*29,"mmmm")</f>
        <v>dezembro</v>
      </c>
    </row>
    <row r="2067" spans="1:9" x14ac:dyDescent="0.25">
      <c r="A2067">
        <v>2025</v>
      </c>
      <c r="B2067" t="s">
        <v>4108</v>
      </c>
      <c r="C2067" s="1">
        <v>45805</v>
      </c>
      <c r="D2067" t="s">
        <v>4109</v>
      </c>
      <c r="E2067" s="2">
        <v>5762.88</v>
      </c>
      <c r="G2067" s="3">
        <f>MONTH(Tabela1[[#This Row],[Último pagto ano]])</f>
        <v>5</v>
      </c>
      <c r="H2067" t="str">
        <f>TEXT(Tabela1[[#This Row],[Coluna2]]*29,"mmmm")</f>
        <v>maio</v>
      </c>
      <c r="I2067" t="str">
        <f>TEXT(MONTH(Tabela1[[#This Row],[Último pagto ano]])*29,"mmmm")</f>
        <v>maio</v>
      </c>
    </row>
    <row r="2068" spans="1:9" x14ac:dyDescent="0.25">
      <c r="A2068">
        <v>2025</v>
      </c>
      <c r="B2068" t="s">
        <v>4110</v>
      </c>
      <c r="C2068" s="1">
        <v>45946</v>
      </c>
      <c r="D2068" t="s">
        <v>4111</v>
      </c>
      <c r="E2068" s="2">
        <v>5934.2</v>
      </c>
      <c r="G2068" s="3">
        <f>MONTH(Tabela1[[#This Row],[Último pagto ano]])</f>
        <v>10</v>
      </c>
      <c r="H2068" t="str">
        <f>TEXT(Tabela1[[#This Row],[Coluna2]]*29,"mmmm")</f>
        <v>outubro</v>
      </c>
      <c r="I2068" t="str">
        <f>TEXT(MONTH(Tabela1[[#This Row],[Último pagto ano]])*29,"mmmm")</f>
        <v>outubro</v>
      </c>
    </row>
    <row r="2069" spans="1:9" x14ac:dyDescent="0.25">
      <c r="A2069">
        <v>2025</v>
      </c>
      <c r="B2069" t="s">
        <v>4112</v>
      </c>
      <c r="C2069" s="1">
        <v>46001</v>
      </c>
      <c r="D2069" t="s">
        <v>4113</v>
      </c>
      <c r="E2069" s="2">
        <v>45256</v>
      </c>
      <c r="G2069" s="3">
        <f>MONTH(Tabela1[[#This Row],[Último pagto ano]])</f>
        <v>12</v>
      </c>
      <c r="H2069" t="str">
        <f>TEXT(Tabela1[[#This Row],[Coluna2]]*29,"mmmm")</f>
        <v>dezembro</v>
      </c>
      <c r="I2069" t="str">
        <f>TEXT(MONTH(Tabela1[[#This Row],[Último pagto ano]])*29,"mmmm")</f>
        <v>dezembro</v>
      </c>
    </row>
    <row r="2070" spans="1:9" x14ac:dyDescent="0.25">
      <c r="A2070">
        <v>2025</v>
      </c>
      <c r="B2070" t="s">
        <v>4114</v>
      </c>
      <c r="C2070" s="1">
        <v>45835</v>
      </c>
      <c r="D2070" t="s">
        <v>4115</v>
      </c>
      <c r="E2070">
        <v>33</v>
      </c>
      <c r="G2070" s="3">
        <f>MONTH(Tabela1[[#This Row],[Último pagto ano]])</f>
        <v>6</v>
      </c>
      <c r="H2070" t="str">
        <f>TEXT(Tabela1[[#This Row],[Coluna2]]*29,"mmmm")</f>
        <v>junho</v>
      </c>
      <c r="I2070" t="str">
        <f>TEXT(MONTH(Tabela1[[#This Row],[Último pagto ano]])*29,"mmmm")</f>
        <v>junho</v>
      </c>
    </row>
    <row r="2071" spans="1:9" x14ac:dyDescent="0.25">
      <c r="A2071">
        <v>2025</v>
      </c>
      <c r="B2071" t="s">
        <v>4116</v>
      </c>
      <c r="C2071" s="1">
        <v>45702</v>
      </c>
      <c r="D2071" t="s">
        <v>4117</v>
      </c>
      <c r="E2071" s="2">
        <v>1279.8699999999999</v>
      </c>
      <c r="G2071" s="3">
        <f>MONTH(Tabela1[[#This Row],[Último pagto ano]])</f>
        <v>2</v>
      </c>
      <c r="H2071" t="str">
        <f>TEXT(Tabela1[[#This Row],[Coluna2]]*29,"mmmm")</f>
        <v>fevereiro</v>
      </c>
      <c r="I2071" t="str">
        <f>TEXT(MONTH(Tabela1[[#This Row],[Último pagto ano]])*29,"mmmm")</f>
        <v>fevereiro</v>
      </c>
    </row>
    <row r="2072" spans="1:9" x14ac:dyDescent="0.25">
      <c r="A2072">
        <v>2025</v>
      </c>
      <c r="B2072" t="s">
        <v>4118</v>
      </c>
      <c r="C2072" s="1">
        <v>45796</v>
      </c>
      <c r="D2072" t="s">
        <v>4119</v>
      </c>
      <c r="E2072" s="2">
        <v>1561.96</v>
      </c>
      <c r="G2072" s="3">
        <f>MONTH(Tabela1[[#This Row],[Último pagto ano]])</f>
        <v>5</v>
      </c>
      <c r="H2072" t="str">
        <f>TEXT(Tabela1[[#This Row],[Coluna2]]*29,"mmmm")</f>
        <v>maio</v>
      </c>
      <c r="I2072" t="str">
        <f>TEXT(MONTH(Tabela1[[#This Row],[Último pagto ano]])*29,"mmmm")</f>
        <v>maio</v>
      </c>
    </row>
    <row r="2073" spans="1:9" x14ac:dyDescent="0.25">
      <c r="A2073">
        <v>2025</v>
      </c>
      <c r="B2073" t="s">
        <v>4120</v>
      </c>
      <c r="C2073" s="1">
        <v>46010</v>
      </c>
      <c r="D2073" t="s">
        <v>4121</v>
      </c>
      <c r="E2073" s="2">
        <v>8400</v>
      </c>
      <c r="G2073" s="3">
        <f>MONTH(Tabela1[[#This Row],[Último pagto ano]])</f>
        <v>12</v>
      </c>
      <c r="H2073" t="str">
        <f>TEXT(Tabela1[[#This Row],[Coluna2]]*29,"mmmm")</f>
        <v>dezembro</v>
      </c>
      <c r="I2073" t="str">
        <f>TEXT(MONTH(Tabela1[[#This Row],[Último pagto ano]])*29,"mmmm")</f>
        <v>dezembro</v>
      </c>
    </row>
    <row r="2074" spans="1:9" x14ac:dyDescent="0.25">
      <c r="A2074">
        <v>2025</v>
      </c>
      <c r="B2074" t="s">
        <v>4122</v>
      </c>
      <c r="C2074" s="1">
        <v>45705</v>
      </c>
      <c r="D2074" t="s">
        <v>4123</v>
      </c>
      <c r="E2074" s="2">
        <v>7443.32</v>
      </c>
      <c r="G2074" s="3">
        <f>MONTH(Tabela1[[#This Row],[Último pagto ano]])</f>
        <v>2</v>
      </c>
      <c r="H2074" t="str">
        <f>TEXT(Tabela1[[#This Row],[Coluna2]]*29,"mmmm")</f>
        <v>fevereiro</v>
      </c>
      <c r="I2074" t="str">
        <f>TEXT(MONTH(Tabela1[[#This Row],[Último pagto ano]])*29,"mmmm")</f>
        <v>fevereiro</v>
      </c>
    </row>
    <row r="2075" spans="1:9" x14ac:dyDescent="0.25">
      <c r="A2075">
        <v>2025</v>
      </c>
      <c r="B2075" t="s">
        <v>4124</v>
      </c>
      <c r="C2075" s="1">
        <v>45792</v>
      </c>
      <c r="D2075" t="s">
        <v>4125</v>
      </c>
      <c r="E2075">
        <v>64.8</v>
      </c>
      <c r="G2075" s="3">
        <f>MONTH(Tabela1[[#This Row],[Último pagto ano]])</f>
        <v>5</v>
      </c>
      <c r="H2075" t="str">
        <f>TEXT(Tabela1[[#This Row],[Coluna2]]*29,"mmmm")</f>
        <v>maio</v>
      </c>
      <c r="I2075" t="str">
        <f>TEXT(MONTH(Tabela1[[#This Row],[Último pagto ano]])*29,"mmmm")</f>
        <v>maio</v>
      </c>
    </row>
    <row r="2076" spans="1:9" x14ac:dyDescent="0.25">
      <c r="A2076">
        <v>2025</v>
      </c>
      <c r="B2076" t="s">
        <v>4126</v>
      </c>
      <c r="C2076" s="1">
        <v>46003</v>
      </c>
      <c r="D2076" t="s">
        <v>4127</v>
      </c>
      <c r="E2076" s="2">
        <v>1460.39</v>
      </c>
      <c r="G2076" s="3">
        <f>MONTH(Tabela1[[#This Row],[Último pagto ano]])</f>
        <v>12</v>
      </c>
      <c r="H2076" t="str">
        <f>TEXT(Tabela1[[#This Row],[Coluna2]]*29,"mmmm")</f>
        <v>dezembro</v>
      </c>
      <c r="I2076" t="str">
        <f>TEXT(MONTH(Tabela1[[#This Row],[Último pagto ano]])*29,"mmmm")</f>
        <v>dezembro</v>
      </c>
    </row>
    <row r="2077" spans="1:9" x14ac:dyDescent="0.25">
      <c r="A2077">
        <v>2025</v>
      </c>
      <c r="B2077" t="s">
        <v>4128</v>
      </c>
      <c r="C2077" s="1">
        <v>46006</v>
      </c>
      <c r="D2077" t="s">
        <v>4129</v>
      </c>
      <c r="E2077" s="2">
        <v>3500</v>
      </c>
      <c r="G2077" s="3">
        <f>MONTH(Tabela1[[#This Row],[Último pagto ano]])</f>
        <v>12</v>
      </c>
      <c r="H2077" t="str">
        <f>TEXT(Tabela1[[#This Row],[Coluna2]]*29,"mmmm")</f>
        <v>dezembro</v>
      </c>
      <c r="I2077" t="str">
        <f>TEXT(MONTH(Tabela1[[#This Row],[Último pagto ano]])*29,"mmmm")</f>
        <v>dezembro</v>
      </c>
    </row>
    <row r="2078" spans="1:9" x14ac:dyDescent="0.25">
      <c r="A2078">
        <v>2025</v>
      </c>
      <c r="B2078" t="s">
        <v>4130</v>
      </c>
      <c r="C2078" s="1">
        <v>45968</v>
      </c>
      <c r="D2078" t="s">
        <v>4131</v>
      </c>
      <c r="E2078" s="2">
        <v>1500</v>
      </c>
      <c r="G2078" s="3">
        <f>MONTH(Tabela1[[#This Row],[Último pagto ano]])</f>
        <v>11</v>
      </c>
      <c r="H2078" t="str">
        <f>TEXT(Tabela1[[#This Row],[Coluna2]]*29,"mmmm")</f>
        <v>novembro</v>
      </c>
      <c r="I2078" t="str">
        <f>TEXT(MONTH(Tabela1[[#This Row],[Último pagto ano]])*29,"mmmm")</f>
        <v>novembro</v>
      </c>
    </row>
    <row r="2079" spans="1:9" x14ac:dyDescent="0.25">
      <c r="A2079">
        <v>2025</v>
      </c>
      <c r="B2079" t="s">
        <v>4132</v>
      </c>
      <c r="C2079" s="1">
        <v>45807</v>
      </c>
      <c r="D2079" t="s">
        <v>4133</v>
      </c>
      <c r="E2079" s="2">
        <v>5268.13</v>
      </c>
      <c r="G2079" s="3">
        <f>MONTH(Tabela1[[#This Row],[Último pagto ano]])</f>
        <v>5</v>
      </c>
      <c r="H2079" t="str">
        <f>TEXT(Tabela1[[#This Row],[Coluna2]]*29,"mmmm")</f>
        <v>maio</v>
      </c>
      <c r="I2079" t="str">
        <f>TEXT(MONTH(Tabela1[[#This Row],[Último pagto ano]])*29,"mmmm")</f>
        <v>maio</v>
      </c>
    </row>
    <row r="2080" spans="1:9" x14ac:dyDescent="0.25">
      <c r="A2080">
        <v>2025</v>
      </c>
      <c r="B2080" t="s">
        <v>4134</v>
      </c>
      <c r="C2080" s="1">
        <v>45945</v>
      </c>
      <c r="D2080" t="s">
        <v>4135</v>
      </c>
      <c r="E2080">
        <v>888.48</v>
      </c>
      <c r="G2080" s="3">
        <f>MONTH(Tabela1[[#This Row],[Último pagto ano]])</f>
        <v>10</v>
      </c>
      <c r="H2080" t="str">
        <f>TEXT(Tabela1[[#This Row],[Coluna2]]*29,"mmmm")</f>
        <v>outubro</v>
      </c>
      <c r="I2080" t="str">
        <f>TEXT(MONTH(Tabela1[[#This Row],[Último pagto ano]])*29,"mmmm")</f>
        <v>outubro</v>
      </c>
    </row>
    <row r="2081" spans="1:9" x14ac:dyDescent="0.25">
      <c r="A2081">
        <v>2025</v>
      </c>
      <c r="B2081" t="s">
        <v>4136</v>
      </c>
      <c r="C2081" s="1">
        <v>46006</v>
      </c>
      <c r="D2081" t="s">
        <v>4137</v>
      </c>
      <c r="E2081" s="2">
        <v>1480.8</v>
      </c>
      <c r="G2081" s="3">
        <f>MONTH(Tabela1[[#This Row],[Último pagto ano]])</f>
        <v>12</v>
      </c>
      <c r="H2081" t="str">
        <f>TEXT(Tabela1[[#This Row],[Coluna2]]*29,"mmmm")</f>
        <v>dezembro</v>
      </c>
      <c r="I2081" t="str">
        <f>TEXT(MONTH(Tabela1[[#This Row],[Último pagto ano]])*29,"mmmm")</f>
        <v>dezembro</v>
      </c>
    </row>
    <row r="2082" spans="1:9" x14ac:dyDescent="0.25">
      <c r="A2082">
        <v>2025</v>
      </c>
      <c r="B2082" t="s">
        <v>4138</v>
      </c>
      <c r="C2082" s="1">
        <v>45673</v>
      </c>
      <c r="D2082" t="s">
        <v>4139</v>
      </c>
      <c r="E2082" s="2">
        <v>1800</v>
      </c>
      <c r="G2082" s="3">
        <f>MONTH(Tabela1[[#This Row],[Último pagto ano]])</f>
        <v>1</v>
      </c>
      <c r="H2082" t="str">
        <f>TEXT(Tabela1[[#This Row],[Coluna2]]*29,"mmmm")</f>
        <v>janeiro</v>
      </c>
      <c r="I2082" t="str">
        <f>TEXT(MONTH(Tabela1[[#This Row],[Último pagto ano]])*29,"mmmm")</f>
        <v>janeiro</v>
      </c>
    </row>
    <row r="2083" spans="1:9" x14ac:dyDescent="0.25">
      <c r="A2083">
        <v>2025</v>
      </c>
      <c r="B2083" t="s">
        <v>4140</v>
      </c>
      <c r="C2083" s="1">
        <v>45996</v>
      </c>
      <c r="D2083" t="s">
        <v>4141</v>
      </c>
      <c r="E2083" s="2">
        <v>2500</v>
      </c>
      <c r="G2083" s="3">
        <f>MONTH(Tabela1[[#This Row],[Último pagto ano]])</f>
        <v>12</v>
      </c>
      <c r="H2083" t="str">
        <f>TEXT(Tabela1[[#This Row],[Coluna2]]*29,"mmmm")</f>
        <v>dezembro</v>
      </c>
      <c r="I2083" t="str">
        <f>TEXT(MONTH(Tabela1[[#This Row],[Último pagto ano]])*29,"mmmm")</f>
        <v>dezembro</v>
      </c>
    </row>
    <row r="2084" spans="1:9" x14ac:dyDescent="0.25">
      <c r="A2084">
        <v>2025</v>
      </c>
      <c r="B2084" t="s">
        <v>4142</v>
      </c>
      <c r="C2084" s="1">
        <v>45985</v>
      </c>
      <c r="D2084" t="s">
        <v>4143</v>
      </c>
      <c r="E2084" s="2">
        <v>3607.6</v>
      </c>
      <c r="G2084" s="3">
        <f>MONTH(Tabela1[[#This Row],[Último pagto ano]])</f>
        <v>11</v>
      </c>
      <c r="H2084" t="str">
        <f>TEXT(Tabela1[[#This Row],[Coluna2]]*29,"mmmm")</f>
        <v>novembro</v>
      </c>
      <c r="I2084" t="str">
        <f>TEXT(MONTH(Tabela1[[#This Row],[Último pagto ano]])*29,"mmmm")</f>
        <v>novembro</v>
      </c>
    </row>
    <row r="2085" spans="1:9" x14ac:dyDescent="0.25">
      <c r="A2085">
        <v>2025</v>
      </c>
      <c r="B2085" t="s">
        <v>4144</v>
      </c>
      <c r="C2085" s="1">
        <v>45716</v>
      </c>
      <c r="D2085" t="s">
        <v>4145</v>
      </c>
      <c r="E2085" s="2">
        <v>1949.59</v>
      </c>
      <c r="G2085" s="3">
        <f>MONTH(Tabela1[[#This Row],[Último pagto ano]])</f>
        <v>2</v>
      </c>
      <c r="H2085" t="str">
        <f>TEXT(Tabela1[[#This Row],[Coluna2]]*29,"mmmm")</f>
        <v>fevereiro</v>
      </c>
      <c r="I2085" t="str">
        <f>TEXT(MONTH(Tabela1[[#This Row],[Último pagto ano]])*29,"mmmm")</f>
        <v>fevereiro</v>
      </c>
    </row>
    <row r="2086" spans="1:9" x14ac:dyDescent="0.25">
      <c r="A2086">
        <v>2025</v>
      </c>
      <c r="B2086" t="s">
        <v>4146</v>
      </c>
      <c r="C2086" s="1">
        <v>45700</v>
      </c>
      <c r="D2086" t="s">
        <v>4147</v>
      </c>
      <c r="E2086" s="2">
        <v>1337.68</v>
      </c>
      <c r="G2086" s="3">
        <f>MONTH(Tabela1[[#This Row],[Último pagto ano]])</f>
        <v>2</v>
      </c>
      <c r="H2086" t="str">
        <f>TEXT(Tabela1[[#This Row],[Coluna2]]*29,"mmmm")</f>
        <v>fevereiro</v>
      </c>
      <c r="I2086" t="str">
        <f>TEXT(MONTH(Tabela1[[#This Row],[Último pagto ano]])*29,"mmmm")</f>
        <v>fevereiro</v>
      </c>
    </row>
    <row r="2087" spans="1:9" x14ac:dyDescent="0.25">
      <c r="A2087">
        <v>2025</v>
      </c>
      <c r="B2087" t="s">
        <v>4148</v>
      </c>
      <c r="C2087" s="1">
        <v>46014</v>
      </c>
      <c r="D2087" t="s">
        <v>4149</v>
      </c>
      <c r="E2087">
        <v>4.0599999999999996</v>
      </c>
      <c r="G2087" s="3">
        <f>MONTH(Tabela1[[#This Row],[Último pagto ano]])</f>
        <v>12</v>
      </c>
      <c r="H2087" t="str">
        <f>TEXT(Tabela1[[#This Row],[Coluna2]]*29,"mmmm")</f>
        <v>dezembro</v>
      </c>
      <c r="I2087" t="str">
        <f>TEXT(MONTH(Tabela1[[#This Row],[Último pagto ano]])*29,"mmmm")</f>
        <v>dezembro</v>
      </c>
    </row>
    <row r="2088" spans="1:9" x14ac:dyDescent="0.25">
      <c r="A2088">
        <v>2025</v>
      </c>
      <c r="B2088" t="s">
        <v>4150</v>
      </c>
      <c r="C2088" s="1">
        <v>45978</v>
      </c>
      <c r="D2088" t="s">
        <v>4151</v>
      </c>
      <c r="E2088" s="2">
        <v>1903</v>
      </c>
      <c r="G2088" s="3">
        <f>MONTH(Tabela1[[#This Row],[Último pagto ano]])</f>
        <v>11</v>
      </c>
      <c r="H2088" t="str">
        <f>TEXT(Tabela1[[#This Row],[Coluna2]]*29,"mmmm")</f>
        <v>novembro</v>
      </c>
      <c r="I2088" t="str">
        <f>TEXT(MONTH(Tabela1[[#This Row],[Último pagto ano]])*29,"mmmm")</f>
        <v>novembro</v>
      </c>
    </row>
    <row r="2089" spans="1:9" x14ac:dyDescent="0.25">
      <c r="A2089">
        <v>2025</v>
      </c>
      <c r="B2089" t="s">
        <v>4152</v>
      </c>
      <c r="C2089" s="1">
        <v>46003</v>
      </c>
      <c r="D2089" t="s">
        <v>4153</v>
      </c>
      <c r="E2089" s="2">
        <v>1098667.56</v>
      </c>
      <c r="G2089" s="3">
        <f>MONTH(Tabela1[[#This Row],[Último pagto ano]])</f>
        <v>12</v>
      </c>
      <c r="H2089" t="str">
        <f>TEXT(Tabela1[[#This Row],[Coluna2]]*29,"mmmm")</f>
        <v>dezembro</v>
      </c>
      <c r="I2089" t="str">
        <f>TEXT(MONTH(Tabela1[[#This Row],[Último pagto ano]])*29,"mmmm")</f>
        <v>dezembro</v>
      </c>
    </row>
    <row r="2090" spans="1:9" x14ac:dyDescent="0.25">
      <c r="A2090">
        <v>2025</v>
      </c>
      <c r="B2090" t="s">
        <v>4154</v>
      </c>
      <c r="C2090" s="1">
        <v>46001</v>
      </c>
      <c r="D2090" t="s">
        <v>4155</v>
      </c>
      <c r="E2090" s="2">
        <v>24783</v>
      </c>
      <c r="G2090" s="3">
        <f>MONTH(Tabela1[[#This Row],[Último pagto ano]])</f>
        <v>12</v>
      </c>
      <c r="H2090" t="str">
        <f>TEXT(Tabela1[[#This Row],[Coluna2]]*29,"mmmm")</f>
        <v>dezembro</v>
      </c>
      <c r="I2090" t="str">
        <f>TEXT(MONTH(Tabela1[[#This Row],[Último pagto ano]])*29,"mmmm")</f>
        <v>dezembro</v>
      </c>
    </row>
    <row r="2091" spans="1:9" x14ac:dyDescent="0.25">
      <c r="A2091">
        <v>2025</v>
      </c>
      <c r="B2091" t="s">
        <v>4156</v>
      </c>
      <c r="C2091" s="1">
        <v>45992</v>
      </c>
      <c r="D2091" t="s">
        <v>4157</v>
      </c>
      <c r="E2091" s="2">
        <v>36139</v>
      </c>
      <c r="G2091" s="3">
        <f>MONTH(Tabela1[[#This Row],[Último pagto ano]])</f>
        <v>12</v>
      </c>
      <c r="H2091" t="str">
        <f>TEXT(Tabela1[[#This Row],[Coluna2]]*29,"mmmm")</f>
        <v>dezembro</v>
      </c>
      <c r="I2091" t="str">
        <f>TEXT(MONTH(Tabela1[[#This Row],[Último pagto ano]])*29,"mmmm")</f>
        <v>dezembro</v>
      </c>
    </row>
    <row r="2092" spans="1:9" x14ac:dyDescent="0.25">
      <c r="A2092">
        <v>2025</v>
      </c>
      <c r="B2092" t="s">
        <v>4158</v>
      </c>
      <c r="C2092" s="1">
        <v>45747</v>
      </c>
      <c r="D2092" t="s">
        <v>4159</v>
      </c>
      <c r="E2092" s="2">
        <v>1467.79</v>
      </c>
      <c r="G2092" s="3">
        <f>MONTH(Tabela1[[#This Row],[Último pagto ano]])</f>
        <v>3</v>
      </c>
      <c r="H2092" t="str">
        <f>TEXT(Tabela1[[#This Row],[Coluna2]]*29,"mmmm")</f>
        <v>março</v>
      </c>
      <c r="I2092" t="str">
        <f>TEXT(MONTH(Tabela1[[#This Row],[Último pagto ano]])*29,"mmmm")</f>
        <v>março</v>
      </c>
    </row>
    <row r="2093" spans="1:9" x14ac:dyDescent="0.25">
      <c r="A2093">
        <v>2025</v>
      </c>
      <c r="B2093" t="s">
        <v>4160</v>
      </c>
      <c r="C2093" s="1">
        <v>45677</v>
      </c>
      <c r="D2093" t="s">
        <v>4161</v>
      </c>
      <c r="E2093" s="2">
        <v>1422.77</v>
      </c>
      <c r="G2093" s="3">
        <f>MONTH(Tabela1[[#This Row],[Último pagto ano]])</f>
        <v>1</v>
      </c>
      <c r="H2093" t="str">
        <f>TEXT(Tabela1[[#This Row],[Coluna2]]*29,"mmmm")</f>
        <v>janeiro</v>
      </c>
      <c r="I2093" t="str">
        <f>TEXT(MONTH(Tabela1[[#This Row],[Último pagto ano]])*29,"mmmm")</f>
        <v>janeiro</v>
      </c>
    </row>
    <row r="2094" spans="1:9" x14ac:dyDescent="0.25">
      <c r="A2094">
        <v>2025</v>
      </c>
      <c r="B2094" t="s">
        <v>4162</v>
      </c>
      <c r="C2094" s="1">
        <v>45985</v>
      </c>
      <c r="D2094" t="s">
        <v>4163</v>
      </c>
      <c r="E2094">
        <v>132</v>
      </c>
      <c r="G2094" s="3">
        <f>MONTH(Tabela1[[#This Row],[Último pagto ano]])</f>
        <v>11</v>
      </c>
      <c r="H2094" t="str">
        <f>TEXT(Tabela1[[#This Row],[Coluna2]]*29,"mmmm")</f>
        <v>novembro</v>
      </c>
      <c r="I2094" t="str">
        <f>TEXT(MONTH(Tabela1[[#This Row],[Último pagto ano]])*29,"mmmm")</f>
        <v>novembro</v>
      </c>
    </row>
    <row r="2095" spans="1:9" x14ac:dyDescent="0.25">
      <c r="A2095">
        <v>2025</v>
      </c>
      <c r="B2095" t="s">
        <v>4164</v>
      </c>
      <c r="C2095" s="1">
        <v>45989</v>
      </c>
      <c r="D2095" t="s">
        <v>4165</v>
      </c>
      <c r="E2095" s="2">
        <v>11367.7</v>
      </c>
      <c r="G2095" s="3">
        <f>MONTH(Tabela1[[#This Row],[Último pagto ano]])</f>
        <v>11</v>
      </c>
      <c r="H2095" t="str">
        <f>TEXT(Tabela1[[#This Row],[Coluna2]]*29,"mmmm")</f>
        <v>novembro</v>
      </c>
      <c r="I2095" t="str">
        <f>TEXT(MONTH(Tabela1[[#This Row],[Último pagto ano]])*29,"mmmm")</f>
        <v>novembro</v>
      </c>
    </row>
    <row r="2096" spans="1:9" x14ac:dyDescent="0.25">
      <c r="A2096">
        <v>2025</v>
      </c>
      <c r="B2096" t="s">
        <v>4166</v>
      </c>
      <c r="C2096" s="1">
        <v>45908</v>
      </c>
      <c r="D2096" t="s">
        <v>4167</v>
      </c>
      <c r="E2096">
        <v>20.83</v>
      </c>
      <c r="G2096" s="3">
        <f>MONTH(Tabela1[[#This Row],[Último pagto ano]])</f>
        <v>9</v>
      </c>
      <c r="H2096" t="str">
        <f>TEXT(Tabela1[[#This Row],[Coluna2]]*29,"mmmm")</f>
        <v>setembro</v>
      </c>
      <c r="I2096" t="str">
        <f>TEXT(MONTH(Tabela1[[#This Row],[Último pagto ano]])*29,"mmmm")</f>
        <v>setembro</v>
      </c>
    </row>
    <row r="2097" spans="1:9" x14ac:dyDescent="0.25">
      <c r="A2097">
        <v>2025</v>
      </c>
      <c r="B2097" t="s">
        <v>4168</v>
      </c>
      <c r="C2097" s="1">
        <v>45975</v>
      </c>
      <c r="D2097" t="s">
        <v>4169</v>
      </c>
      <c r="E2097" s="2">
        <v>11396.52</v>
      </c>
      <c r="G2097" s="3">
        <f>MONTH(Tabela1[[#This Row],[Último pagto ano]])</f>
        <v>11</v>
      </c>
      <c r="H2097" t="str">
        <f>TEXT(Tabela1[[#This Row],[Coluna2]]*29,"mmmm")</f>
        <v>novembro</v>
      </c>
      <c r="I2097" t="str">
        <f>TEXT(MONTH(Tabela1[[#This Row],[Último pagto ano]])*29,"mmmm")</f>
        <v>novembro</v>
      </c>
    </row>
    <row r="2098" spans="1:9" x14ac:dyDescent="0.25">
      <c r="A2098">
        <v>2025</v>
      </c>
      <c r="B2098" t="s">
        <v>4170</v>
      </c>
      <c r="C2098" s="1">
        <v>45996</v>
      </c>
      <c r="D2098" t="s">
        <v>4171</v>
      </c>
      <c r="E2098" s="2">
        <v>32400</v>
      </c>
      <c r="G2098" s="3">
        <f>MONTH(Tabela1[[#This Row],[Último pagto ano]])</f>
        <v>12</v>
      </c>
      <c r="H2098" t="str">
        <f>TEXT(Tabela1[[#This Row],[Coluna2]]*29,"mmmm")</f>
        <v>dezembro</v>
      </c>
      <c r="I2098" t="str">
        <f>TEXT(MONTH(Tabela1[[#This Row],[Último pagto ano]])*29,"mmmm")</f>
        <v>dezembro</v>
      </c>
    </row>
    <row r="2099" spans="1:9" x14ac:dyDescent="0.25">
      <c r="A2099">
        <v>2025</v>
      </c>
      <c r="B2099" t="s">
        <v>4172</v>
      </c>
      <c r="C2099" s="1">
        <v>45811</v>
      </c>
      <c r="D2099" t="s">
        <v>4173</v>
      </c>
      <c r="E2099" s="2">
        <v>1499.7</v>
      </c>
      <c r="G2099" s="3">
        <f>MONTH(Tabela1[[#This Row],[Último pagto ano]])</f>
        <v>6</v>
      </c>
      <c r="H2099" t="str">
        <f>TEXT(Tabela1[[#This Row],[Coluna2]]*29,"mmmm")</f>
        <v>junho</v>
      </c>
      <c r="I2099" t="str">
        <f>TEXT(MONTH(Tabela1[[#This Row],[Último pagto ano]])*29,"mmmm")</f>
        <v>junho</v>
      </c>
    </row>
    <row r="2100" spans="1:9" x14ac:dyDescent="0.25">
      <c r="A2100">
        <v>2025</v>
      </c>
      <c r="B2100" t="s">
        <v>4174</v>
      </c>
      <c r="C2100" s="1">
        <v>45943</v>
      </c>
      <c r="D2100" t="s">
        <v>4175</v>
      </c>
      <c r="E2100">
        <v>176</v>
      </c>
      <c r="G2100" s="3">
        <f>MONTH(Tabela1[[#This Row],[Último pagto ano]])</f>
        <v>10</v>
      </c>
      <c r="H2100" t="str">
        <f>TEXT(Tabela1[[#This Row],[Coluna2]]*29,"mmmm")</f>
        <v>outubro</v>
      </c>
      <c r="I2100" t="str">
        <f>TEXT(MONTH(Tabela1[[#This Row],[Último pagto ano]])*29,"mmmm")</f>
        <v>outubro</v>
      </c>
    </row>
    <row r="2101" spans="1:9" x14ac:dyDescent="0.25">
      <c r="A2101">
        <v>2025</v>
      </c>
      <c r="B2101" t="s">
        <v>4176</v>
      </c>
      <c r="C2101" s="1">
        <v>45782</v>
      </c>
      <c r="D2101" t="s">
        <v>4177</v>
      </c>
      <c r="E2101">
        <v>22</v>
      </c>
      <c r="G2101" s="3">
        <f>MONTH(Tabela1[[#This Row],[Último pagto ano]])</f>
        <v>5</v>
      </c>
      <c r="H2101" t="str">
        <f>TEXT(Tabela1[[#This Row],[Coluna2]]*29,"mmmm")</f>
        <v>maio</v>
      </c>
      <c r="I2101" t="str">
        <f>TEXT(MONTH(Tabela1[[#This Row],[Último pagto ano]])*29,"mmmm")</f>
        <v>maio</v>
      </c>
    </row>
    <row r="2102" spans="1:9" x14ac:dyDescent="0.25">
      <c r="A2102">
        <v>2025</v>
      </c>
      <c r="B2102" t="s">
        <v>4178</v>
      </c>
      <c r="C2102" s="1">
        <v>45959</v>
      </c>
      <c r="D2102" t="s">
        <v>4179</v>
      </c>
      <c r="E2102" s="2">
        <v>89102</v>
      </c>
      <c r="G2102" s="3">
        <f>MONTH(Tabela1[[#This Row],[Último pagto ano]])</f>
        <v>10</v>
      </c>
      <c r="H2102" t="str">
        <f>TEXT(Tabela1[[#This Row],[Coluna2]]*29,"mmmm")</f>
        <v>outubro</v>
      </c>
      <c r="I2102" t="str">
        <f>TEXT(MONTH(Tabela1[[#This Row],[Último pagto ano]])*29,"mmmm")</f>
        <v>outubro</v>
      </c>
    </row>
    <row r="2103" spans="1:9" x14ac:dyDescent="0.25">
      <c r="A2103">
        <v>2025</v>
      </c>
      <c r="B2103" t="s">
        <v>4180</v>
      </c>
      <c r="C2103" s="1">
        <v>45722</v>
      </c>
      <c r="D2103" t="s">
        <v>4181</v>
      </c>
      <c r="E2103">
        <v>118.4</v>
      </c>
      <c r="G2103" s="3">
        <f>MONTH(Tabela1[[#This Row],[Último pagto ano]])</f>
        <v>3</v>
      </c>
      <c r="H2103" t="str">
        <f>TEXT(Tabela1[[#This Row],[Coluna2]]*29,"mmmm")</f>
        <v>março</v>
      </c>
      <c r="I2103" t="str">
        <f>TEXT(MONTH(Tabela1[[#This Row],[Último pagto ano]])*29,"mmmm")</f>
        <v>março</v>
      </c>
    </row>
    <row r="2104" spans="1:9" x14ac:dyDescent="0.25">
      <c r="A2104">
        <v>2025</v>
      </c>
      <c r="B2104" t="s">
        <v>4182</v>
      </c>
      <c r="C2104" s="1">
        <v>45861</v>
      </c>
      <c r="D2104" t="s">
        <v>4183</v>
      </c>
      <c r="E2104" s="2">
        <v>629000</v>
      </c>
      <c r="G2104" s="3">
        <f>MONTH(Tabela1[[#This Row],[Último pagto ano]])</f>
        <v>7</v>
      </c>
      <c r="H2104" t="str">
        <f>TEXT(Tabela1[[#This Row],[Coluna2]]*29,"mmmm")</f>
        <v>julho</v>
      </c>
      <c r="I2104" t="str">
        <f>TEXT(MONTH(Tabela1[[#This Row],[Último pagto ano]])*29,"mmmm")</f>
        <v>julho</v>
      </c>
    </row>
    <row r="2105" spans="1:9" x14ac:dyDescent="0.25">
      <c r="A2105">
        <v>2025</v>
      </c>
      <c r="B2105" t="s">
        <v>4184</v>
      </c>
      <c r="C2105" s="1">
        <v>45961</v>
      </c>
      <c r="D2105" t="s">
        <v>4185</v>
      </c>
      <c r="E2105" s="2">
        <v>1720</v>
      </c>
      <c r="G2105" s="3">
        <f>MONTH(Tabela1[[#This Row],[Último pagto ano]])</f>
        <v>10</v>
      </c>
      <c r="H2105" t="str">
        <f>TEXT(Tabela1[[#This Row],[Coluna2]]*29,"mmmm")</f>
        <v>outubro</v>
      </c>
      <c r="I2105" t="str">
        <f>TEXT(MONTH(Tabela1[[#This Row],[Último pagto ano]])*29,"mmmm")</f>
        <v>outubro</v>
      </c>
    </row>
    <row r="2106" spans="1:9" x14ac:dyDescent="0.25">
      <c r="A2106">
        <v>2025</v>
      </c>
      <c r="B2106" t="s">
        <v>4186</v>
      </c>
      <c r="C2106" s="1">
        <v>45831</v>
      </c>
      <c r="D2106" t="s">
        <v>4187</v>
      </c>
      <c r="E2106" s="2">
        <v>3000</v>
      </c>
      <c r="G2106" s="3">
        <f>MONTH(Tabela1[[#This Row],[Último pagto ano]])</f>
        <v>6</v>
      </c>
      <c r="H2106" t="str">
        <f>TEXT(Tabela1[[#This Row],[Coluna2]]*29,"mmmm")</f>
        <v>junho</v>
      </c>
      <c r="I2106" t="str">
        <f>TEXT(MONTH(Tabela1[[#This Row],[Último pagto ano]])*29,"mmmm")</f>
        <v>junho</v>
      </c>
    </row>
    <row r="2107" spans="1:9" x14ac:dyDescent="0.25">
      <c r="A2107">
        <v>2025</v>
      </c>
      <c r="B2107" t="s">
        <v>4188</v>
      </c>
      <c r="C2107" s="1">
        <v>46006</v>
      </c>
      <c r="D2107" t="s">
        <v>4189</v>
      </c>
      <c r="E2107" s="2">
        <v>19736.48</v>
      </c>
      <c r="G2107" s="3">
        <f>MONTH(Tabela1[[#This Row],[Último pagto ano]])</f>
        <v>12</v>
      </c>
      <c r="H2107" t="str">
        <f>TEXT(Tabela1[[#This Row],[Coluna2]]*29,"mmmm")</f>
        <v>dezembro</v>
      </c>
      <c r="I2107" t="str">
        <f>TEXT(MONTH(Tabela1[[#This Row],[Último pagto ano]])*29,"mmmm")</f>
        <v>dezembro</v>
      </c>
    </row>
    <row r="2108" spans="1:9" x14ac:dyDescent="0.25">
      <c r="A2108">
        <v>2025</v>
      </c>
      <c r="B2108" t="s">
        <v>4190</v>
      </c>
      <c r="C2108" s="1">
        <v>45912</v>
      </c>
      <c r="D2108" t="s">
        <v>4191</v>
      </c>
      <c r="E2108" s="2">
        <v>6736.8</v>
      </c>
      <c r="G2108" s="3">
        <f>MONTH(Tabela1[[#This Row],[Último pagto ano]])</f>
        <v>9</v>
      </c>
      <c r="H2108" t="str">
        <f>TEXT(Tabela1[[#This Row],[Coluna2]]*29,"mmmm")</f>
        <v>setembro</v>
      </c>
      <c r="I2108" t="str">
        <f>TEXT(MONTH(Tabela1[[#This Row],[Último pagto ano]])*29,"mmmm")</f>
        <v>setembro</v>
      </c>
    </row>
    <row r="2109" spans="1:9" x14ac:dyDescent="0.25">
      <c r="A2109">
        <v>2025</v>
      </c>
      <c r="B2109" t="s">
        <v>4192</v>
      </c>
      <c r="C2109" s="1">
        <v>45740</v>
      </c>
      <c r="D2109" t="s">
        <v>4193</v>
      </c>
      <c r="E2109" s="2">
        <v>2100</v>
      </c>
      <c r="G2109" s="3">
        <f>MONTH(Tabela1[[#This Row],[Último pagto ano]])</f>
        <v>3</v>
      </c>
      <c r="H2109" t="str">
        <f>TEXT(Tabela1[[#This Row],[Coluna2]]*29,"mmmm")</f>
        <v>março</v>
      </c>
      <c r="I2109" t="str">
        <f>TEXT(MONTH(Tabela1[[#This Row],[Último pagto ano]])*29,"mmmm")</f>
        <v>março</v>
      </c>
    </row>
    <row r="2110" spans="1:9" x14ac:dyDescent="0.25">
      <c r="A2110">
        <v>2025</v>
      </c>
      <c r="B2110" t="s">
        <v>4194</v>
      </c>
      <c r="C2110" s="1">
        <v>45959</v>
      </c>
      <c r="D2110" t="s">
        <v>4195</v>
      </c>
      <c r="E2110" s="2">
        <v>110755.2</v>
      </c>
      <c r="G2110" s="3">
        <f>MONTH(Tabela1[[#This Row],[Último pagto ano]])</f>
        <v>10</v>
      </c>
      <c r="H2110" t="str">
        <f>TEXT(Tabela1[[#This Row],[Coluna2]]*29,"mmmm")</f>
        <v>outubro</v>
      </c>
      <c r="I2110" t="str">
        <f>TEXT(MONTH(Tabela1[[#This Row],[Último pagto ano]])*29,"mmmm")</f>
        <v>outubro</v>
      </c>
    </row>
    <row r="2111" spans="1:9" x14ac:dyDescent="0.25">
      <c r="A2111">
        <v>2025</v>
      </c>
      <c r="B2111" t="s">
        <v>4196</v>
      </c>
      <c r="C2111" s="1">
        <v>46006</v>
      </c>
      <c r="D2111" t="s">
        <v>4197</v>
      </c>
      <c r="E2111" s="2">
        <v>1551</v>
      </c>
      <c r="G2111" s="3">
        <f>MONTH(Tabela1[[#This Row],[Último pagto ano]])</f>
        <v>12</v>
      </c>
      <c r="H2111" t="str">
        <f>TEXT(Tabela1[[#This Row],[Coluna2]]*29,"mmmm")</f>
        <v>dezembro</v>
      </c>
      <c r="I2111" t="str">
        <f>TEXT(MONTH(Tabela1[[#This Row],[Último pagto ano]])*29,"mmmm")</f>
        <v>dezembro</v>
      </c>
    </row>
    <row r="2112" spans="1:9" x14ac:dyDescent="0.25">
      <c r="A2112">
        <v>2025</v>
      </c>
      <c r="B2112" t="s">
        <v>4198</v>
      </c>
      <c r="C2112" s="1">
        <v>46014</v>
      </c>
      <c r="D2112" t="s">
        <v>4199</v>
      </c>
      <c r="E2112" s="2">
        <v>8380</v>
      </c>
      <c r="G2112" s="3">
        <f>MONTH(Tabela1[[#This Row],[Último pagto ano]])</f>
        <v>12</v>
      </c>
      <c r="H2112" t="str">
        <f>TEXT(Tabela1[[#This Row],[Coluna2]]*29,"mmmm")</f>
        <v>dezembro</v>
      </c>
      <c r="I2112" t="str">
        <f>TEXT(MONTH(Tabela1[[#This Row],[Último pagto ano]])*29,"mmmm")</f>
        <v>dezembro</v>
      </c>
    </row>
    <row r="2113" spans="1:9" x14ac:dyDescent="0.25">
      <c r="A2113">
        <v>2025</v>
      </c>
      <c r="B2113" t="s">
        <v>4200</v>
      </c>
      <c r="C2113" s="1">
        <v>46014</v>
      </c>
      <c r="D2113" t="s">
        <v>4201</v>
      </c>
      <c r="E2113">
        <v>11</v>
      </c>
      <c r="G2113" s="3">
        <f>MONTH(Tabela1[[#This Row],[Último pagto ano]])</f>
        <v>12</v>
      </c>
      <c r="H2113" t="str">
        <f>TEXT(Tabela1[[#This Row],[Coluna2]]*29,"mmmm")</f>
        <v>dezembro</v>
      </c>
      <c r="I2113" t="str">
        <f>TEXT(MONTH(Tabela1[[#This Row],[Último pagto ano]])*29,"mmmm")</f>
        <v>dezembro</v>
      </c>
    </row>
    <row r="2114" spans="1:9" x14ac:dyDescent="0.25">
      <c r="A2114">
        <v>2025</v>
      </c>
      <c r="B2114" t="s">
        <v>4202</v>
      </c>
      <c r="C2114" s="1">
        <v>45996</v>
      </c>
      <c r="D2114" t="s">
        <v>4203</v>
      </c>
      <c r="E2114" s="2">
        <v>52228.800000000003</v>
      </c>
      <c r="G2114" s="3">
        <f>MONTH(Tabela1[[#This Row],[Último pagto ano]])</f>
        <v>12</v>
      </c>
      <c r="H2114" t="str">
        <f>TEXT(Tabela1[[#This Row],[Coluna2]]*29,"mmmm")</f>
        <v>dezembro</v>
      </c>
      <c r="I2114" t="str">
        <f>TEXT(MONTH(Tabela1[[#This Row],[Último pagto ano]])*29,"mmmm")</f>
        <v>dezembro</v>
      </c>
    </row>
    <row r="2115" spans="1:9" x14ac:dyDescent="0.25">
      <c r="A2115">
        <v>2025</v>
      </c>
      <c r="B2115" t="s">
        <v>4204</v>
      </c>
      <c r="C2115" s="1">
        <v>46010</v>
      </c>
      <c r="D2115" t="s">
        <v>4205</v>
      </c>
      <c r="E2115">
        <v>700</v>
      </c>
      <c r="G2115" s="3">
        <f>MONTH(Tabela1[[#This Row],[Último pagto ano]])</f>
        <v>12</v>
      </c>
      <c r="H2115" t="str">
        <f>TEXT(Tabela1[[#This Row],[Coluna2]]*29,"mmmm")</f>
        <v>dezembro</v>
      </c>
      <c r="I2115" t="str">
        <f>TEXT(MONTH(Tabela1[[#This Row],[Último pagto ano]])*29,"mmmm")</f>
        <v>dezembro</v>
      </c>
    </row>
    <row r="2116" spans="1:9" x14ac:dyDescent="0.25">
      <c r="A2116">
        <v>2025</v>
      </c>
      <c r="B2116" t="s">
        <v>4206</v>
      </c>
      <c r="C2116" s="1">
        <v>46003</v>
      </c>
      <c r="D2116" t="s">
        <v>4207</v>
      </c>
      <c r="E2116" s="2">
        <v>21099.71</v>
      </c>
      <c r="G2116" s="3">
        <f>MONTH(Tabela1[[#This Row],[Último pagto ano]])</f>
        <v>12</v>
      </c>
      <c r="H2116" t="str">
        <f>TEXT(Tabela1[[#This Row],[Coluna2]]*29,"mmmm")</f>
        <v>dezembro</v>
      </c>
      <c r="I2116" t="str">
        <f>TEXT(MONTH(Tabela1[[#This Row],[Último pagto ano]])*29,"mmmm")</f>
        <v>dezembro</v>
      </c>
    </row>
    <row r="2117" spans="1:9" x14ac:dyDescent="0.25">
      <c r="A2117">
        <v>2025</v>
      </c>
      <c r="B2117" t="s">
        <v>4208</v>
      </c>
      <c r="C2117" s="1">
        <v>45792</v>
      </c>
      <c r="D2117" t="s">
        <v>4209</v>
      </c>
      <c r="E2117" s="2">
        <v>4685.4399999999996</v>
      </c>
      <c r="G2117" s="3">
        <f>MONTH(Tabela1[[#This Row],[Último pagto ano]])</f>
        <v>5</v>
      </c>
      <c r="H2117" t="str">
        <f>TEXT(Tabela1[[#This Row],[Coluna2]]*29,"mmmm")</f>
        <v>maio</v>
      </c>
      <c r="I2117" t="str">
        <f>TEXT(MONTH(Tabela1[[#This Row],[Último pagto ano]])*29,"mmmm")</f>
        <v>maio</v>
      </c>
    </row>
    <row r="2118" spans="1:9" x14ac:dyDescent="0.25">
      <c r="A2118">
        <v>2025</v>
      </c>
      <c r="B2118" t="s">
        <v>4210</v>
      </c>
      <c r="C2118" s="1">
        <v>46006</v>
      </c>
      <c r="D2118" t="s">
        <v>4211</v>
      </c>
      <c r="E2118" s="2">
        <v>1540</v>
      </c>
      <c r="G2118" s="3">
        <f>MONTH(Tabela1[[#This Row],[Último pagto ano]])</f>
        <v>12</v>
      </c>
      <c r="H2118" t="str">
        <f>TEXT(Tabela1[[#This Row],[Coluna2]]*29,"mmmm")</f>
        <v>dezembro</v>
      </c>
      <c r="I2118" t="str">
        <f>TEXT(MONTH(Tabela1[[#This Row],[Último pagto ano]])*29,"mmmm")</f>
        <v>dezembro</v>
      </c>
    </row>
    <row r="2119" spans="1:9" x14ac:dyDescent="0.25">
      <c r="A2119">
        <v>2025</v>
      </c>
      <c r="B2119" t="s">
        <v>4212</v>
      </c>
      <c r="C2119" s="1">
        <v>46006</v>
      </c>
      <c r="D2119" t="s">
        <v>4213</v>
      </c>
      <c r="E2119" s="2">
        <v>248640</v>
      </c>
      <c r="G2119" s="3">
        <f>MONTH(Tabela1[[#This Row],[Último pagto ano]])</f>
        <v>12</v>
      </c>
      <c r="H2119" t="str">
        <f>TEXT(Tabela1[[#This Row],[Coluna2]]*29,"mmmm")</f>
        <v>dezembro</v>
      </c>
      <c r="I2119" t="str">
        <f>TEXT(MONTH(Tabela1[[#This Row],[Último pagto ano]])*29,"mmmm")</f>
        <v>dezembro</v>
      </c>
    </row>
    <row r="2120" spans="1:9" x14ac:dyDescent="0.25">
      <c r="A2120">
        <v>2025</v>
      </c>
      <c r="B2120" t="s">
        <v>4214</v>
      </c>
      <c r="C2120" s="1">
        <v>46010</v>
      </c>
      <c r="D2120" t="s">
        <v>4215</v>
      </c>
      <c r="E2120" s="2">
        <v>7700</v>
      </c>
      <c r="G2120" s="3">
        <f>MONTH(Tabela1[[#This Row],[Último pagto ano]])</f>
        <v>12</v>
      </c>
      <c r="H2120" t="str">
        <f>TEXT(Tabela1[[#This Row],[Coluna2]]*29,"mmmm")</f>
        <v>dezembro</v>
      </c>
      <c r="I2120" t="str">
        <f>TEXT(MONTH(Tabela1[[#This Row],[Último pagto ano]])*29,"mmmm")</f>
        <v>dezembro</v>
      </c>
    </row>
    <row r="2121" spans="1:9" x14ac:dyDescent="0.25">
      <c r="A2121">
        <v>2025</v>
      </c>
      <c r="B2121" t="s">
        <v>4216</v>
      </c>
      <c r="C2121" s="1">
        <v>45838</v>
      </c>
      <c r="D2121" t="s">
        <v>4217</v>
      </c>
      <c r="E2121" s="2">
        <v>4669.99</v>
      </c>
      <c r="G2121" s="3">
        <f>MONTH(Tabela1[[#This Row],[Último pagto ano]])</f>
        <v>6</v>
      </c>
      <c r="H2121" t="str">
        <f>TEXT(Tabela1[[#This Row],[Coluna2]]*29,"mmmm")</f>
        <v>junho</v>
      </c>
      <c r="I2121" t="str">
        <f>TEXT(MONTH(Tabela1[[#This Row],[Último pagto ano]])*29,"mmmm")</f>
        <v>junho</v>
      </c>
    </row>
    <row r="2122" spans="1:9" x14ac:dyDescent="0.25">
      <c r="A2122">
        <v>2025</v>
      </c>
      <c r="B2122" t="s">
        <v>4218</v>
      </c>
      <c r="C2122" s="1">
        <v>45737</v>
      </c>
      <c r="D2122" t="s">
        <v>4219</v>
      </c>
      <c r="E2122" s="2">
        <v>2153.4499999999998</v>
      </c>
      <c r="G2122" s="3">
        <f>MONTH(Tabela1[[#This Row],[Último pagto ano]])</f>
        <v>3</v>
      </c>
      <c r="H2122" t="str">
        <f>TEXT(Tabela1[[#This Row],[Coluna2]]*29,"mmmm")</f>
        <v>março</v>
      </c>
      <c r="I2122" t="str">
        <f>TEXT(MONTH(Tabela1[[#This Row],[Último pagto ano]])*29,"mmmm")</f>
        <v>março</v>
      </c>
    </row>
    <row r="2123" spans="1:9" x14ac:dyDescent="0.25">
      <c r="A2123">
        <v>2025</v>
      </c>
      <c r="B2123" t="s">
        <v>4220</v>
      </c>
      <c r="C2123" s="1">
        <v>46021</v>
      </c>
      <c r="D2123" t="s">
        <v>4221</v>
      </c>
      <c r="E2123" s="2">
        <v>2856.26</v>
      </c>
      <c r="G2123" s="3">
        <f>MONTH(Tabela1[[#This Row],[Último pagto ano]])</f>
        <v>12</v>
      </c>
      <c r="H2123" t="str">
        <f>TEXT(Tabela1[[#This Row],[Coluna2]]*29,"mmmm")</f>
        <v>dezembro</v>
      </c>
      <c r="I2123" t="str">
        <f>TEXT(MONTH(Tabela1[[#This Row],[Último pagto ano]])*29,"mmmm")</f>
        <v>dezembro</v>
      </c>
    </row>
    <row r="2124" spans="1:9" x14ac:dyDescent="0.25">
      <c r="A2124">
        <v>2025</v>
      </c>
      <c r="B2124" t="s">
        <v>4222</v>
      </c>
      <c r="C2124" s="1">
        <v>45996</v>
      </c>
      <c r="D2124" t="s">
        <v>4223</v>
      </c>
      <c r="E2124" s="2">
        <v>22680</v>
      </c>
      <c r="G2124" s="3">
        <f>MONTH(Tabela1[[#This Row],[Último pagto ano]])</f>
        <v>12</v>
      </c>
      <c r="H2124" t="str">
        <f>TEXT(Tabela1[[#This Row],[Coluna2]]*29,"mmmm")</f>
        <v>dezembro</v>
      </c>
      <c r="I2124" t="str">
        <f>TEXT(MONTH(Tabela1[[#This Row],[Último pagto ano]])*29,"mmmm")</f>
        <v>dezembro</v>
      </c>
    </row>
    <row r="2125" spans="1:9" x14ac:dyDescent="0.25">
      <c r="A2125">
        <v>2025</v>
      </c>
      <c r="B2125" t="s">
        <v>4224</v>
      </c>
      <c r="C2125" s="1">
        <v>45989</v>
      </c>
      <c r="D2125" t="s">
        <v>4225</v>
      </c>
      <c r="E2125" s="2">
        <v>3280.11</v>
      </c>
      <c r="G2125" s="3">
        <f>MONTH(Tabela1[[#This Row],[Último pagto ano]])</f>
        <v>11</v>
      </c>
      <c r="H2125" t="str">
        <f>TEXT(Tabela1[[#This Row],[Coluna2]]*29,"mmmm")</f>
        <v>novembro</v>
      </c>
      <c r="I2125" t="str">
        <f>TEXT(MONTH(Tabela1[[#This Row],[Último pagto ano]])*29,"mmmm")</f>
        <v>novembro</v>
      </c>
    </row>
    <row r="2126" spans="1:9" x14ac:dyDescent="0.25">
      <c r="A2126">
        <v>2025</v>
      </c>
      <c r="B2126" t="s">
        <v>4226</v>
      </c>
      <c r="C2126" s="1">
        <v>45803</v>
      </c>
      <c r="D2126" t="s">
        <v>4227</v>
      </c>
      <c r="E2126" s="2">
        <v>1479.6</v>
      </c>
      <c r="G2126" s="3">
        <f>MONTH(Tabela1[[#This Row],[Último pagto ano]])</f>
        <v>5</v>
      </c>
      <c r="H2126" t="str">
        <f>TEXT(Tabela1[[#This Row],[Coluna2]]*29,"mmmm")</f>
        <v>maio</v>
      </c>
      <c r="I2126" t="str">
        <f>TEXT(MONTH(Tabela1[[#This Row],[Último pagto ano]])*29,"mmmm")</f>
        <v>maio</v>
      </c>
    </row>
    <row r="2127" spans="1:9" x14ac:dyDescent="0.25">
      <c r="A2127">
        <v>2025</v>
      </c>
      <c r="B2127" t="s">
        <v>4228</v>
      </c>
      <c r="C2127" s="1">
        <v>45989</v>
      </c>
      <c r="D2127" t="s">
        <v>4229</v>
      </c>
      <c r="E2127" s="2">
        <v>3261.52</v>
      </c>
      <c r="G2127" s="3">
        <f>MONTH(Tabela1[[#This Row],[Último pagto ano]])</f>
        <v>11</v>
      </c>
      <c r="H2127" t="str">
        <f>TEXT(Tabela1[[#This Row],[Coluna2]]*29,"mmmm")</f>
        <v>novembro</v>
      </c>
      <c r="I2127" t="str">
        <f>TEXT(MONTH(Tabela1[[#This Row],[Último pagto ano]])*29,"mmmm")</f>
        <v>novembro</v>
      </c>
    </row>
    <row r="2128" spans="1:9" x14ac:dyDescent="0.25">
      <c r="A2128">
        <v>2025</v>
      </c>
      <c r="B2128" t="s">
        <v>4230</v>
      </c>
      <c r="C2128" s="1">
        <v>46006</v>
      </c>
      <c r="D2128" t="s">
        <v>4231</v>
      </c>
      <c r="E2128" s="2">
        <v>1758.6</v>
      </c>
      <c r="G2128" s="3">
        <f>MONTH(Tabela1[[#This Row],[Último pagto ano]])</f>
        <v>12</v>
      </c>
      <c r="H2128" t="str">
        <f>TEXT(Tabela1[[#This Row],[Coluna2]]*29,"mmmm")</f>
        <v>dezembro</v>
      </c>
      <c r="I2128" t="str">
        <f>TEXT(MONTH(Tabela1[[#This Row],[Último pagto ano]])*29,"mmmm")</f>
        <v>dezembro</v>
      </c>
    </row>
    <row r="2129" spans="1:9" x14ac:dyDescent="0.25">
      <c r="A2129">
        <v>2025</v>
      </c>
      <c r="B2129" t="s">
        <v>4232</v>
      </c>
      <c r="C2129" s="1">
        <v>45995</v>
      </c>
      <c r="D2129" t="s">
        <v>4233</v>
      </c>
      <c r="E2129" s="2">
        <v>33910.379999999997</v>
      </c>
      <c r="G2129" s="3">
        <f>MONTH(Tabela1[[#This Row],[Último pagto ano]])</f>
        <v>12</v>
      </c>
      <c r="H2129" t="str">
        <f>TEXT(Tabela1[[#This Row],[Coluna2]]*29,"mmmm")</f>
        <v>dezembro</v>
      </c>
      <c r="I2129" t="str">
        <f>TEXT(MONTH(Tabela1[[#This Row],[Último pagto ano]])*29,"mmmm")</f>
        <v>dezembro</v>
      </c>
    </row>
    <row r="2130" spans="1:9" x14ac:dyDescent="0.25">
      <c r="A2130">
        <v>2025</v>
      </c>
      <c r="B2130" t="s">
        <v>4234</v>
      </c>
      <c r="C2130" s="1">
        <v>45964</v>
      </c>
      <c r="D2130" t="s">
        <v>4235</v>
      </c>
      <c r="E2130" s="2">
        <v>8552.7000000000007</v>
      </c>
      <c r="G2130" s="3">
        <f>MONTH(Tabela1[[#This Row],[Último pagto ano]])</f>
        <v>11</v>
      </c>
      <c r="H2130" t="str">
        <f>TEXT(Tabela1[[#This Row],[Coluna2]]*29,"mmmm")</f>
        <v>novembro</v>
      </c>
      <c r="I2130" t="str">
        <f>TEXT(MONTH(Tabela1[[#This Row],[Último pagto ano]])*29,"mmmm")</f>
        <v>novembro</v>
      </c>
    </row>
    <row r="2131" spans="1:9" x14ac:dyDescent="0.25">
      <c r="A2131">
        <v>2025</v>
      </c>
      <c r="B2131" t="s">
        <v>4236</v>
      </c>
      <c r="C2131" s="1">
        <v>45775</v>
      </c>
      <c r="D2131" t="s">
        <v>4237</v>
      </c>
      <c r="E2131" s="2">
        <v>1620</v>
      </c>
      <c r="G2131" s="3">
        <f>MONTH(Tabela1[[#This Row],[Último pagto ano]])</f>
        <v>4</v>
      </c>
      <c r="H2131" t="str">
        <f>TEXT(Tabela1[[#This Row],[Coluna2]]*29,"mmmm")</f>
        <v>abril</v>
      </c>
      <c r="I2131" t="str">
        <f>TEXT(MONTH(Tabela1[[#This Row],[Último pagto ano]])*29,"mmmm")</f>
        <v>abril</v>
      </c>
    </row>
    <row r="2132" spans="1:9" x14ac:dyDescent="0.25">
      <c r="A2132">
        <v>2025</v>
      </c>
      <c r="B2132" t="s">
        <v>4238</v>
      </c>
      <c r="C2132" s="1">
        <v>46006</v>
      </c>
      <c r="D2132" t="s">
        <v>4239</v>
      </c>
      <c r="E2132" s="2">
        <v>14482.9</v>
      </c>
      <c r="G2132" s="3">
        <f>MONTH(Tabela1[[#This Row],[Último pagto ano]])</f>
        <v>12</v>
      </c>
      <c r="H2132" t="str">
        <f>TEXT(Tabela1[[#This Row],[Coluna2]]*29,"mmmm")</f>
        <v>dezembro</v>
      </c>
      <c r="I2132" t="str">
        <f>TEXT(MONTH(Tabela1[[#This Row],[Último pagto ano]])*29,"mmmm")</f>
        <v>dezembro</v>
      </c>
    </row>
    <row r="2133" spans="1:9" x14ac:dyDescent="0.25">
      <c r="A2133">
        <v>2025</v>
      </c>
      <c r="B2133" t="s">
        <v>4240</v>
      </c>
      <c r="C2133" s="1">
        <v>45974</v>
      </c>
      <c r="D2133" t="s">
        <v>4241</v>
      </c>
      <c r="E2133" s="2">
        <v>31760.51</v>
      </c>
      <c r="G2133" s="3">
        <f>MONTH(Tabela1[[#This Row],[Último pagto ano]])</f>
        <v>11</v>
      </c>
      <c r="H2133" t="str">
        <f>TEXT(Tabela1[[#This Row],[Coluna2]]*29,"mmmm")</f>
        <v>novembro</v>
      </c>
      <c r="I2133" t="str">
        <f>TEXT(MONTH(Tabela1[[#This Row],[Último pagto ano]])*29,"mmmm")</f>
        <v>novembro</v>
      </c>
    </row>
    <row r="2134" spans="1:9" x14ac:dyDescent="0.25">
      <c r="A2134">
        <v>2025</v>
      </c>
      <c r="B2134" t="s">
        <v>4242</v>
      </c>
      <c r="C2134" s="1">
        <v>45953</v>
      </c>
      <c r="D2134" t="s">
        <v>4243</v>
      </c>
      <c r="E2134" s="2">
        <v>6125.78</v>
      </c>
      <c r="G2134" s="3">
        <f>MONTH(Tabela1[[#This Row],[Último pagto ano]])</f>
        <v>10</v>
      </c>
      <c r="H2134" t="str">
        <f>TEXT(Tabela1[[#This Row],[Coluna2]]*29,"mmmm")</f>
        <v>outubro</v>
      </c>
      <c r="I2134" t="str">
        <f>TEXT(MONTH(Tabela1[[#This Row],[Último pagto ano]])*29,"mmmm")</f>
        <v>outubro</v>
      </c>
    </row>
    <row r="2135" spans="1:9" x14ac:dyDescent="0.25">
      <c r="A2135">
        <v>2025</v>
      </c>
      <c r="B2135" t="s">
        <v>4244</v>
      </c>
      <c r="C2135" s="1">
        <v>45908</v>
      </c>
      <c r="D2135" t="s">
        <v>4245</v>
      </c>
      <c r="E2135" s="2">
        <v>12277.5</v>
      </c>
      <c r="G2135" s="3">
        <f>MONTH(Tabela1[[#This Row],[Último pagto ano]])</f>
        <v>9</v>
      </c>
      <c r="H2135" t="str">
        <f>TEXT(Tabela1[[#This Row],[Coluna2]]*29,"mmmm")</f>
        <v>setembro</v>
      </c>
      <c r="I2135" t="str">
        <f>TEXT(MONTH(Tabela1[[#This Row],[Último pagto ano]])*29,"mmmm")</f>
        <v>setembro</v>
      </c>
    </row>
    <row r="2136" spans="1:9" x14ac:dyDescent="0.25">
      <c r="A2136">
        <v>2025</v>
      </c>
      <c r="B2136" t="s">
        <v>4246</v>
      </c>
      <c r="C2136" s="1">
        <v>45922</v>
      </c>
      <c r="D2136" t="s">
        <v>4247</v>
      </c>
      <c r="E2136">
        <v>22</v>
      </c>
      <c r="G2136" s="3">
        <f>MONTH(Tabela1[[#This Row],[Último pagto ano]])</f>
        <v>9</v>
      </c>
      <c r="H2136" t="str">
        <f>TEXT(Tabela1[[#This Row],[Coluna2]]*29,"mmmm")</f>
        <v>setembro</v>
      </c>
      <c r="I2136" t="str">
        <f>TEXT(MONTH(Tabela1[[#This Row],[Último pagto ano]])*29,"mmmm")</f>
        <v>setembro</v>
      </c>
    </row>
    <row r="2137" spans="1:9" x14ac:dyDescent="0.25">
      <c r="A2137">
        <v>2025</v>
      </c>
      <c r="B2137" t="s">
        <v>4248</v>
      </c>
      <c r="C2137" s="1">
        <v>45996</v>
      </c>
      <c r="D2137" t="s">
        <v>4249</v>
      </c>
      <c r="E2137" s="2">
        <v>16800</v>
      </c>
      <c r="G2137" s="3">
        <f>MONTH(Tabela1[[#This Row],[Último pagto ano]])</f>
        <v>12</v>
      </c>
      <c r="H2137" t="str">
        <f>TEXT(Tabela1[[#This Row],[Coluna2]]*29,"mmmm")</f>
        <v>dezembro</v>
      </c>
      <c r="I2137" t="str">
        <f>TEXT(MONTH(Tabela1[[#This Row],[Último pagto ano]])*29,"mmmm")</f>
        <v>dezembro</v>
      </c>
    </row>
    <row r="2138" spans="1:9" x14ac:dyDescent="0.25">
      <c r="A2138">
        <v>2025</v>
      </c>
      <c r="B2138" t="s">
        <v>4250</v>
      </c>
      <c r="C2138" s="1">
        <v>46014</v>
      </c>
      <c r="D2138" t="s">
        <v>4251</v>
      </c>
      <c r="E2138" s="2">
        <v>5600</v>
      </c>
      <c r="G2138" s="3">
        <f>MONTH(Tabela1[[#This Row],[Último pagto ano]])</f>
        <v>12</v>
      </c>
      <c r="H2138" t="str">
        <f>TEXT(Tabela1[[#This Row],[Coluna2]]*29,"mmmm")</f>
        <v>dezembro</v>
      </c>
      <c r="I2138" t="str">
        <f>TEXT(MONTH(Tabela1[[#This Row],[Último pagto ano]])*29,"mmmm")</f>
        <v>dezembro</v>
      </c>
    </row>
    <row r="2139" spans="1:9" x14ac:dyDescent="0.25">
      <c r="A2139">
        <v>2025</v>
      </c>
      <c r="B2139" t="s">
        <v>4252</v>
      </c>
      <c r="C2139" s="1">
        <v>45797</v>
      </c>
      <c r="D2139" t="s">
        <v>4253</v>
      </c>
      <c r="E2139">
        <v>328.6</v>
      </c>
      <c r="G2139" s="3">
        <f>MONTH(Tabela1[[#This Row],[Último pagto ano]])</f>
        <v>5</v>
      </c>
      <c r="H2139" t="str">
        <f>TEXT(Tabela1[[#This Row],[Coluna2]]*29,"mmmm")</f>
        <v>maio</v>
      </c>
      <c r="I2139" t="str">
        <f>TEXT(MONTH(Tabela1[[#This Row],[Último pagto ano]])*29,"mmmm")</f>
        <v>maio</v>
      </c>
    </row>
    <row r="2140" spans="1:9" x14ac:dyDescent="0.25">
      <c r="A2140">
        <v>2025</v>
      </c>
      <c r="B2140" t="s">
        <v>4254</v>
      </c>
      <c r="C2140" s="1">
        <v>45999</v>
      </c>
      <c r="D2140" t="s">
        <v>4255</v>
      </c>
      <c r="E2140">
        <v>583</v>
      </c>
      <c r="G2140" s="3">
        <f>MONTH(Tabela1[[#This Row],[Último pagto ano]])</f>
        <v>12</v>
      </c>
      <c r="H2140" t="str">
        <f>TEXT(Tabela1[[#This Row],[Coluna2]]*29,"mmmm")</f>
        <v>dezembro</v>
      </c>
      <c r="I2140" t="str">
        <f>TEXT(MONTH(Tabela1[[#This Row],[Último pagto ano]])*29,"mmmm")</f>
        <v>dezembro</v>
      </c>
    </row>
    <row r="2141" spans="1:9" x14ac:dyDescent="0.25">
      <c r="A2141">
        <v>2025</v>
      </c>
      <c r="B2141" t="s">
        <v>4256</v>
      </c>
      <c r="C2141" s="1">
        <v>45863</v>
      </c>
      <c r="D2141" t="s">
        <v>4257</v>
      </c>
      <c r="E2141" s="2">
        <v>380952</v>
      </c>
      <c r="G2141" s="3">
        <f>MONTH(Tabela1[[#This Row],[Último pagto ano]])</f>
        <v>7</v>
      </c>
      <c r="H2141" t="str">
        <f>TEXT(Tabela1[[#This Row],[Coluna2]]*29,"mmmm")</f>
        <v>julho</v>
      </c>
      <c r="I2141" t="str">
        <f>TEXT(MONTH(Tabela1[[#This Row],[Último pagto ano]])*29,"mmmm")</f>
        <v>julho</v>
      </c>
    </row>
    <row r="2142" spans="1:9" x14ac:dyDescent="0.25">
      <c r="A2142">
        <v>2025</v>
      </c>
      <c r="B2142" t="s">
        <v>4258</v>
      </c>
      <c r="C2142" s="1">
        <v>46014</v>
      </c>
      <c r="D2142" t="s">
        <v>4259</v>
      </c>
      <c r="E2142" s="2">
        <v>27126</v>
      </c>
      <c r="G2142" s="3">
        <f>MONTH(Tabela1[[#This Row],[Último pagto ano]])</f>
        <v>12</v>
      </c>
      <c r="H2142" t="str">
        <f>TEXT(Tabela1[[#This Row],[Coluna2]]*29,"mmmm")</f>
        <v>dezembro</v>
      </c>
      <c r="I2142" t="str">
        <f>TEXT(MONTH(Tabela1[[#This Row],[Último pagto ano]])*29,"mmmm")</f>
        <v>dezembro</v>
      </c>
    </row>
    <row r="2143" spans="1:9" x14ac:dyDescent="0.25">
      <c r="A2143">
        <v>2025</v>
      </c>
      <c r="B2143" t="s">
        <v>4260</v>
      </c>
      <c r="C2143" s="1">
        <v>45736</v>
      </c>
      <c r="D2143" t="s">
        <v>4261</v>
      </c>
      <c r="E2143" s="2">
        <v>51974.94</v>
      </c>
      <c r="G2143" s="3">
        <f>MONTH(Tabela1[[#This Row],[Último pagto ano]])</f>
        <v>3</v>
      </c>
      <c r="H2143" t="str">
        <f>TEXT(Tabela1[[#This Row],[Coluna2]]*29,"mmmm")</f>
        <v>março</v>
      </c>
      <c r="I2143" t="str">
        <f>TEXT(MONTH(Tabela1[[#This Row],[Último pagto ano]])*29,"mmmm")</f>
        <v>março</v>
      </c>
    </row>
    <row r="2144" spans="1:9" x14ac:dyDescent="0.25">
      <c r="A2144">
        <v>2025</v>
      </c>
      <c r="B2144" t="s">
        <v>4262</v>
      </c>
      <c r="C2144" s="1">
        <v>45996</v>
      </c>
      <c r="D2144" t="s">
        <v>4263</v>
      </c>
      <c r="E2144" s="2">
        <v>14000</v>
      </c>
      <c r="G2144" s="3">
        <f>MONTH(Tabela1[[#This Row],[Último pagto ano]])</f>
        <v>12</v>
      </c>
      <c r="H2144" t="str">
        <f>TEXT(Tabela1[[#This Row],[Coluna2]]*29,"mmmm")</f>
        <v>dezembro</v>
      </c>
      <c r="I2144" t="str">
        <f>TEXT(MONTH(Tabela1[[#This Row],[Último pagto ano]])*29,"mmmm")</f>
        <v>dezembro</v>
      </c>
    </row>
    <row r="2145" spans="1:9" x14ac:dyDescent="0.25">
      <c r="A2145">
        <v>2025</v>
      </c>
      <c r="B2145" t="s">
        <v>4264</v>
      </c>
      <c r="C2145" s="1">
        <v>45989</v>
      </c>
      <c r="D2145" t="s">
        <v>4265</v>
      </c>
      <c r="E2145" s="2">
        <v>11774.39</v>
      </c>
      <c r="G2145" s="3">
        <f>MONTH(Tabela1[[#This Row],[Último pagto ano]])</f>
        <v>11</v>
      </c>
      <c r="H2145" t="str">
        <f>TEXT(Tabela1[[#This Row],[Coluna2]]*29,"mmmm")</f>
        <v>novembro</v>
      </c>
      <c r="I2145" t="str">
        <f>TEXT(MONTH(Tabela1[[#This Row],[Último pagto ano]])*29,"mmmm")</f>
        <v>novembro</v>
      </c>
    </row>
    <row r="2146" spans="1:9" x14ac:dyDescent="0.25">
      <c r="A2146">
        <v>2025</v>
      </c>
      <c r="B2146" t="s">
        <v>4266</v>
      </c>
      <c r="C2146" s="1">
        <v>46006</v>
      </c>
      <c r="D2146" t="s">
        <v>4267</v>
      </c>
      <c r="E2146" s="2">
        <v>5367.32</v>
      </c>
      <c r="G2146" s="3">
        <f>MONTH(Tabela1[[#This Row],[Último pagto ano]])</f>
        <v>12</v>
      </c>
      <c r="H2146" t="str">
        <f>TEXT(Tabela1[[#This Row],[Coluna2]]*29,"mmmm")</f>
        <v>dezembro</v>
      </c>
      <c r="I2146" t="str">
        <f>TEXT(MONTH(Tabela1[[#This Row],[Último pagto ano]])*29,"mmmm")</f>
        <v>dezembro</v>
      </c>
    </row>
    <row r="2147" spans="1:9" x14ac:dyDescent="0.25">
      <c r="A2147">
        <v>2025</v>
      </c>
      <c r="B2147" t="s">
        <v>4268</v>
      </c>
      <c r="C2147" s="1">
        <v>45744</v>
      </c>
      <c r="D2147" t="s">
        <v>4269</v>
      </c>
      <c r="E2147" s="2">
        <v>3359.02</v>
      </c>
      <c r="G2147" s="3">
        <f>MONTH(Tabela1[[#This Row],[Último pagto ano]])</f>
        <v>3</v>
      </c>
      <c r="H2147" t="str">
        <f>TEXT(Tabela1[[#This Row],[Coluna2]]*29,"mmmm")</f>
        <v>março</v>
      </c>
      <c r="I2147" t="str">
        <f>TEXT(MONTH(Tabela1[[#This Row],[Último pagto ano]])*29,"mmmm")</f>
        <v>março</v>
      </c>
    </row>
    <row r="2148" spans="1:9" x14ac:dyDescent="0.25">
      <c r="A2148">
        <v>2025</v>
      </c>
      <c r="B2148" t="s">
        <v>4270</v>
      </c>
      <c r="C2148" s="1">
        <v>45716</v>
      </c>
      <c r="D2148" t="s">
        <v>4271</v>
      </c>
      <c r="E2148" s="2">
        <v>1290.25</v>
      </c>
      <c r="G2148" s="3">
        <f>MONTH(Tabela1[[#This Row],[Último pagto ano]])</f>
        <v>2</v>
      </c>
      <c r="H2148" t="str">
        <f>TEXT(Tabela1[[#This Row],[Coluna2]]*29,"mmmm")</f>
        <v>fevereiro</v>
      </c>
      <c r="I2148" t="str">
        <f>TEXT(MONTH(Tabela1[[#This Row],[Último pagto ano]])*29,"mmmm")</f>
        <v>fevereiro</v>
      </c>
    </row>
    <row r="2149" spans="1:9" x14ac:dyDescent="0.25">
      <c r="A2149">
        <v>2025</v>
      </c>
      <c r="B2149" t="s">
        <v>4272</v>
      </c>
      <c r="C2149" s="1">
        <v>46021</v>
      </c>
      <c r="D2149" t="s">
        <v>4273</v>
      </c>
      <c r="E2149" s="2">
        <v>87585</v>
      </c>
      <c r="G2149" s="3">
        <f>MONTH(Tabela1[[#This Row],[Último pagto ano]])</f>
        <v>12</v>
      </c>
      <c r="H2149" t="str">
        <f>TEXT(Tabela1[[#This Row],[Coluna2]]*29,"mmmm")</f>
        <v>dezembro</v>
      </c>
      <c r="I2149" t="str">
        <f>TEXT(MONTH(Tabela1[[#This Row],[Último pagto ano]])*29,"mmmm")</f>
        <v>dezembro</v>
      </c>
    </row>
    <row r="2150" spans="1:9" x14ac:dyDescent="0.25">
      <c r="A2150">
        <v>2025</v>
      </c>
      <c r="B2150" t="s">
        <v>4274</v>
      </c>
      <c r="C2150" s="1">
        <v>45999</v>
      </c>
      <c r="D2150" t="s">
        <v>4275</v>
      </c>
      <c r="E2150" s="2">
        <v>420749.22</v>
      </c>
      <c r="G2150" s="3">
        <f>MONTH(Tabela1[[#This Row],[Último pagto ano]])</f>
        <v>12</v>
      </c>
      <c r="H2150" t="str">
        <f>TEXT(Tabela1[[#This Row],[Coluna2]]*29,"mmmm")</f>
        <v>dezembro</v>
      </c>
      <c r="I2150" t="str">
        <f>TEXT(MONTH(Tabela1[[#This Row],[Último pagto ano]])*29,"mmmm")</f>
        <v>dezembro</v>
      </c>
    </row>
    <row r="2151" spans="1:9" x14ac:dyDescent="0.25">
      <c r="A2151">
        <v>2025</v>
      </c>
      <c r="B2151" t="s">
        <v>4276</v>
      </c>
      <c r="C2151" s="1">
        <v>46014</v>
      </c>
      <c r="D2151" t="s">
        <v>4277</v>
      </c>
      <c r="E2151" s="2">
        <v>26696</v>
      </c>
      <c r="G2151" s="3">
        <f>MONTH(Tabela1[[#This Row],[Último pagto ano]])</f>
        <v>12</v>
      </c>
      <c r="H2151" t="str">
        <f>TEXT(Tabela1[[#This Row],[Coluna2]]*29,"mmmm")</f>
        <v>dezembro</v>
      </c>
      <c r="I2151" t="str">
        <f>TEXT(MONTH(Tabela1[[#This Row],[Último pagto ano]])*29,"mmmm")</f>
        <v>dezembro</v>
      </c>
    </row>
    <row r="2152" spans="1:9" x14ac:dyDescent="0.25">
      <c r="A2152">
        <v>2025</v>
      </c>
      <c r="B2152" t="s">
        <v>4278</v>
      </c>
      <c r="C2152" s="1">
        <v>45702</v>
      </c>
      <c r="D2152" t="s">
        <v>4279</v>
      </c>
      <c r="E2152">
        <v>870.94</v>
      </c>
      <c r="G2152" s="3">
        <f>MONTH(Tabela1[[#This Row],[Último pagto ano]])</f>
        <v>2</v>
      </c>
      <c r="H2152" t="str">
        <f>TEXT(Tabela1[[#This Row],[Coluna2]]*29,"mmmm")</f>
        <v>fevereiro</v>
      </c>
      <c r="I2152" t="str">
        <f>TEXT(MONTH(Tabela1[[#This Row],[Último pagto ano]])*29,"mmmm")</f>
        <v>fevereiro</v>
      </c>
    </row>
    <row r="2153" spans="1:9" x14ac:dyDescent="0.25">
      <c r="A2153">
        <v>2025</v>
      </c>
      <c r="B2153" t="s">
        <v>4280</v>
      </c>
      <c r="C2153" s="1">
        <v>45989</v>
      </c>
      <c r="D2153" t="s">
        <v>4281</v>
      </c>
      <c r="E2153">
        <v>982.8</v>
      </c>
      <c r="G2153" s="3">
        <f>MONTH(Tabela1[[#This Row],[Último pagto ano]])</f>
        <v>11</v>
      </c>
      <c r="H2153" t="str">
        <f>TEXT(Tabela1[[#This Row],[Coluna2]]*29,"mmmm")</f>
        <v>novembro</v>
      </c>
      <c r="I2153" t="str">
        <f>TEXT(MONTH(Tabela1[[#This Row],[Último pagto ano]])*29,"mmmm")</f>
        <v>novembro</v>
      </c>
    </row>
    <row r="2154" spans="1:9" x14ac:dyDescent="0.25">
      <c r="A2154">
        <v>2025</v>
      </c>
      <c r="B2154" t="s">
        <v>4282</v>
      </c>
      <c r="C2154" s="1">
        <v>45712</v>
      </c>
      <c r="D2154" t="s">
        <v>4283</v>
      </c>
      <c r="E2154" s="2">
        <v>2000</v>
      </c>
      <c r="G2154" s="3">
        <f>MONTH(Tabela1[[#This Row],[Último pagto ano]])</f>
        <v>2</v>
      </c>
      <c r="H2154" t="str">
        <f>TEXT(Tabela1[[#This Row],[Coluna2]]*29,"mmmm")</f>
        <v>fevereiro</v>
      </c>
      <c r="I2154" t="str">
        <f>TEXT(MONTH(Tabela1[[#This Row],[Último pagto ano]])*29,"mmmm")</f>
        <v>fevereiro</v>
      </c>
    </row>
    <row r="2155" spans="1:9" x14ac:dyDescent="0.25">
      <c r="A2155">
        <v>2025</v>
      </c>
      <c r="B2155" t="s">
        <v>4284</v>
      </c>
      <c r="C2155" s="1">
        <v>45978</v>
      </c>
      <c r="D2155" t="s">
        <v>4285</v>
      </c>
      <c r="E2155">
        <v>66</v>
      </c>
      <c r="G2155" s="3">
        <f>MONTH(Tabela1[[#This Row],[Último pagto ano]])</f>
        <v>11</v>
      </c>
      <c r="H2155" t="str">
        <f>TEXT(Tabela1[[#This Row],[Coluna2]]*29,"mmmm")</f>
        <v>novembro</v>
      </c>
      <c r="I2155" t="str">
        <f>TEXT(MONTH(Tabela1[[#This Row],[Último pagto ano]])*29,"mmmm")</f>
        <v>novembro</v>
      </c>
    </row>
    <row r="2156" spans="1:9" x14ac:dyDescent="0.25">
      <c r="A2156">
        <v>2025</v>
      </c>
      <c r="B2156" t="s">
        <v>4286</v>
      </c>
      <c r="C2156" s="1">
        <v>45835</v>
      </c>
      <c r="D2156" t="s">
        <v>4287</v>
      </c>
      <c r="E2156">
        <v>44</v>
      </c>
      <c r="G2156" s="3">
        <f>MONTH(Tabela1[[#This Row],[Último pagto ano]])</f>
        <v>6</v>
      </c>
      <c r="H2156" t="str">
        <f>TEXT(Tabela1[[#This Row],[Coluna2]]*29,"mmmm")</f>
        <v>junho</v>
      </c>
      <c r="I2156" t="str">
        <f>TEXT(MONTH(Tabela1[[#This Row],[Último pagto ano]])*29,"mmmm")</f>
        <v>junho</v>
      </c>
    </row>
    <row r="2157" spans="1:9" x14ac:dyDescent="0.25">
      <c r="A2157">
        <v>2025</v>
      </c>
      <c r="B2157" t="s">
        <v>4288</v>
      </c>
      <c r="C2157" s="1">
        <v>45989</v>
      </c>
      <c r="D2157" t="s">
        <v>4289</v>
      </c>
      <c r="E2157" s="2">
        <v>11551.56</v>
      </c>
      <c r="G2157" s="3">
        <f>MONTH(Tabela1[[#This Row],[Último pagto ano]])</f>
        <v>11</v>
      </c>
      <c r="H2157" t="str">
        <f>TEXT(Tabela1[[#This Row],[Coluna2]]*29,"mmmm")</f>
        <v>novembro</v>
      </c>
      <c r="I2157" t="str">
        <f>TEXT(MONTH(Tabela1[[#This Row],[Último pagto ano]])*29,"mmmm")</f>
        <v>novembro</v>
      </c>
    </row>
    <row r="2158" spans="1:9" x14ac:dyDescent="0.25">
      <c r="A2158">
        <v>2025</v>
      </c>
      <c r="B2158" t="s">
        <v>4290</v>
      </c>
      <c r="C2158" s="1">
        <v>46021</v>
      </c>
      <c r="D2158" t="s">
        <v>4291</v>
      </c>
      <c r="E2158" s="2">
        <v>6122.11</v>
      </c>
      <c r="G2158" s="3">
        <f>MONTH(Tabela1[[#This Row],[Último pagto ano]])</f>
        <v>12</v>
      </c>
      <c r="H2158" t="str">
        <f>TEXT(Tabela1[[#This Row],[Coluna2]]*29,"mmmm")</f>
        <v>dezembro</v>
      </c>
      <c r="I2158" t="str">
        <f>TEXT(MONTH(Tabela1[[#This Row],[Último pagto ano]])*29,"mmmm")</f>
        <v>dezembro</v>
      </c>
    </row>
    <row r="2159" spans="1:9" x14ac:dyDescent="0.25">
      <c r="A2159">
        <v>2025</v>
      </c>
      <c r="B2159" t="s">
        <v>4292</v>
      </c>
      <c r="C2159" s="1">
        <v>45824</v>
      </c>
      <c r="D2159" t="s">
        <v>4293</v>
      </c>
      <c r="E2159" s="2">
        <v>4200</v>
      </c>
      <c r="G2159" s="3">
        <f>MONTH(Tabela1[[#This Row],[Último pagto ano]])</f>
        <v>6</v>
      </c>
      <c r="H2159" t="str">
        <f>TEXT(Tabela1[[#This Row],[Coluna2]]*29,"mmmm")</f>
        <v>junho</v>
      </c>
      <c r="I2159" t="str">
        <f>TEXT(MONTH(Tabela1[[#This Row],[Último pagto ano]])*29,"mmmm")</f>
        <v>junho</v>
      </c>
    </row>
    <row r="2160" spans="1:9" x14ac:dyDescent="0.25">
      <c r="A2160">
        <v>2025</v>
      </c>
      <c r="B2160" t="s">
        <v>4294</v>
      </c>
      <c r="C2160" s="1">
        <v>45989</v>
      </c>
      <c r="D2160" t="s">
        <v>4295</v>
      </c>
      <c r="E2160" s="2">
        <v>11661.54</v>
      </c>
      <c r="G2160" s="3">
        <f>MONTH(Tabela1[[#This Row],[Último pagto ano]])</f>
        <v>11</v>
      </c>
      <c r="H2160" t="str">
        <f>TEXT(Tabela1[[#This Row],[Coluna2]]*29,"mmmm")</f>
        <v>novembro</v>
      </c>
      <c r="I2160" t="str">
        <f>TEXT(MONTH(Tabela1[[#This Row],[Último pagto ano]])*29,"mmmm")</f>
        <v>novembro</v>
      </c>
    </row>
    <row r="2161" spans="1:9" x14ac:dyDescent="0.25">
      <c r="A2161">
        <v>2025</v>
      </c>
      <c r="B2161" t="s">
        <v>4296</v>
      </c>
      <c r="C2161" s="1">
        <v>46014</v>
      </c>
      <c r="D2161" t="s">
        <v>4297</v>
      </c>
      <c r="E2161" s="2">
        <v>1240</v>
      </c>
      <c r="G2161" s="3">
        <f>MONTH(Tabela1[[#This Row],[Último pagto ano]])</f>
        <v>12</v>
      </c>
      <c r="H2161" t="str">
        <f>TEXT(Tabela1[[#This Row],[Coluna2]]*29,"mmmm")</f>
        <v>dezembro</v>
      </c>
      <c r="I2161" t="str">
        <f>TEXT(MONTH(Tabela1[[#This Row],[Último pagto ano]])*29,"mmmm")</f>
        <v>dezembro</v>
      </c>
    </row>
    <row r="2162" spans="1:9" x14ac:dyDescent="0.25">
      <c r="A2162">
        <v>2025</v>
      </c>
      <c r="B2162" t="s">
        <v>4298</v>
      </c>
      <c r="C2162" s="1">
        <v>45782</v>
      </c>
      <c r="D2162" t="s">
        <v>4299</v>
      </c>
      <c r="E2162">
        <v>86.8</v>
      </c>
      <c r="G2162" s="3">
        <f>MONTH(Tabela1[[#This Row],[Último pagto ano]])</f>
        <v>5</v>
      </c>
      <c r="H2162" t="str">
        <f>TEXT(Tabela1[[#This Row],[Coluna2]]*29,"mmmm")</f>
        <v>maio</v>
      </c>
      <c r="I2162" t="str">
        <f>TEXT(MONTH(Tabela1[[#This Row],[Último pagto ano]])*29,"mmmm")</f>
        <v>maio</v>
      </c>
    </row>
    <row r="2163" spans="1:9" x14ac:dyDescent="0.25">
      <c r="A2163">
        <v>2025</v>
      </c>
      <c r="B2163" t="s">
        <v>4300</v>
      </c>
      <c r="C2163" s="1">
        <v>46014</v>
      </c>
      <c r="D2163" t="s">
        <v>4301</v>
      </c>
      <c r="E2163" s="2">
        <v>6165</v>
      </c>
      <c r="G2163" s="3">
        <f>MONTH(Tabela1[[#This Row],[Último pagto ano]])</f>
        <v>12</v>
      </c>
      <c r="H2163" t="str">
        <f>TEXT(Tabela1[[#This Row],[Coluna2]]*29,"mmmm")</f>
        <v>dezembro</v>
      </c>
      <c r="I2163" t="str">
        <f>TEXT(MONTH(Tabela1[[#This Row],[Último pagto ano]])*29,"mmmm")</f>
        <v>dezembro</v>
      </c>
    </row>
    <row r="2164" spans="1:9" x14ac:dyDescent="0.25">
      <c r="A2164">
        <v>2025</v>
      </c>
      <c r="B2164" t="s">
        <v>4302</v>
      </c>
      <c r="C2164" s="1">
        <v>46006</v>
      </c>
      <c r="D2164" t="s">
        <v>4303</v>
      </c>
      <c r="E2164" s="2">
        <v>2073.12</v>
      </c>
      <c r="G2164" s="3">
        <f>MONTH(Tabela1[[#This Row],[Último pagto ano]])</f>
        <v>12</v>
      </c>
      <c r="H2164" t="str">
        <f>TEXT(Tabela1[[#This Row],[Coluna2]]*29,"mmmm")</f>
        <v>dezembro</v>
      </c>
      <c r="I2164" t="str">
        <f>TEXT(MONTH(Tabela1[[#This Row],[Último pagto ano]])*29,"mmmm")</f>
        <v>dezembro</v>
      </c>
    </row>
    <row r="2165" spans="1:9" x14ac:dyDescent="0.25">
      <c r="A2165">
        <v>2025</v>
      </c>
      <c r="B2165" t="s">
        <v>4304</v>
      </c>
      <c r="C2165" s="1">
        <v>45708</v>
      </c>
      <c r="D2165" t="s">
        <v>4305</v>
      </c>
      <c r="E2165" s="2">
        <v>6409.55</v>
      </c>
      <c r="G2165" s="3">
        <f>MONTH(Tabela1[[#This Row],[Último pagto ano]])</f>
        <v>2</v>
      </c>
      <c r="H2165" t="str">
        <f>TEXT(Tabela1[[#This Row],[Coluna2]]*29,"mmmm")</f>
        <v>fevereiro</v>
      </c>
      <c r="I2165" t="str">
        <f>TEXT(MONTH(Tabela1[[#This Row],[Último pagto ano]])*29,"mmmm")</f>
        <v>fevereiro</v>
      </c>
    </row>
    <row r="2166" spans="1:9" x14ac:dyDescent="0.25">
      <c r="A2166">
        <v>2025</v>
      </c>
      <c r="B2166" t="s">
        <v>4306</v>
      </c>
      <c r="C2166" s="1">
        <v>45876</v>
      </c>
      <c r="D2166" t="s">
        <v>4307</v>
      </c>
      <c r="E2166" s="2">
        <v>3789.86</v>
      </c>
      <c r="G2166" s="3">
        <f>MONTH(Tabela1[[#This Row],[Último pagto ano]])</f>
        <v>8</v>
      </c>
      <c r="H2166" t="str">
        <f>TEXT(Tabela1[[#This Row],[Coluna2]]*29,"mmmm")</f>
        <v>agosto</v>
      </c>
      <c r="I2166" t="str">
        <f>TEXT(MONTH(Tabela1[[#This Row],[Último pagto ano]])*29,"mmmm")</f>
        <v>agosto</v>
      </c>
    </row>
    <row r="2167" spans="1:9" x14ac:dyDescent="0.25">
      <c r="A2167">
        <v>2025</v>
      </c>
      <c r="B2167" t="s">
        <v>4308</v>
      </c>
      <c r="C2167" s="1">
        <v>45929</v>
      </c>
      <c r="D2167" t="s">
        <v>4309</v>
      </c>
      <c r="E2167">
        <v>152.80000000000001</v>
      </c>
      <c r="G2167" s="3">
        <f>MONTH(Tabela1[[#This Row],[Último pagto ano]])</f>
        <v>9</v>
      </c>
      <c r="H2167" t="str">
        <f>TEXT(Tabela1[[#This Row],[Coluna2]]*29,"mmmm")</f>
        <v>setembro</v>
      </c>
      <c r="I2167" t="str">
        <f>TEXT(MONTH(Tabela1[[#This Row],[Último pagto ano]])*29,"mmmm")</f>
        <v>setembro</v>
      </c>
    </row>
    <row r="2168" spans="1:9" x14ac:dyDescent="0.25">
      <c r="A2168">
        <v>2025</v>
      </c>
      <c r="B2168" t="s">
        <v>4310</v>
      </c>
      <c r="C2168" s="1">
        <v>45968</v>
      </c>
      <c r="D2168" t="s">
        <v>4311</v>
      </c>
      <c r="E2168" s="2">
        <v>20000</v>
      </c>
      <c r="G2168" s="3">
        <f>MONTH(Tabela1[[#This Row],[Último pagto ano]])</f>
        <v>11</v>
      </c>
      <c r="H2168" t="str">
        <f>TEXT(Tabela1[[#This Row],[Coluna2]]*29,"mmmm")</f>
        <v>novembro</v>
      </c>
      <c r="I2168" t="str">
        <f>TEXT(MONTH(Tabela1[[#This Row],[Último pagto ano]])*29,"mmmm")</f>
        <v>novembro</v>
      </c>
    </row>
    <row r="2169" spans="1:9" x14ac:dyDescent="0.25">
      <c r="A2169">
        <v>2025</v>
      </c>
      <c r="B2169" t="s">
        <v>4312</v>
      </c>
      <c r="C2169" s="1">
        <v>45975</v>
      </c>
      <c r="D2169" t="s">
        <v>4313</v>
      </c>
      <c r="E2169" s="2">
        <v>5627.04</v>
      </c>
      <c r="G2169" s="3">
        <f>MONTH(Tabela1[[#This Row],[Último pagto ano]])</f>
        <v>11</v>
      </c>
      <c r="H2169" t="str">
        <f>TEXT(Tabela1[[#This Row],[Coluna2]]*29,"mmmm")</f>
        <v>novembro</v>
      </c>
      <c r="I2169" t="str">
        <f>TEXT(MONTH(Tabela1[[#This Row],[Último pagto ano]])*29,"mmmm")</f>
        <v>novembro</v>
      </c>
    </row>
    <row r="2170" spans="1:9" x14ac:dyDescent="0.25">
      <c r="A2170">
        <v>2025</v>
      </c>
      <c r="B2170" t="s">
        <v>4314</v>
      </c>
      <c r="C2170" s="1">
        <v>45884</v>
      </c>
      <c r="D2170" t="s">
        <v>4315</v>
      </c>
      <c r="E2170" s="2">
        <v>4738.5600000000004</v>
      </c>
      <c r="G2170" s="3">
        <f>MONTH(Tabela1[[#This Row],[Último pagto ano]])</f>
        <v>8</v>
      </c>
      <c r="H2170" t="str">
        <f>TEXT(Tabela1[[#This Row],[Coluna2]]*29,"mmmm")</f>
        <v>agosto</v>
      </c>
      <c r="I2170" t="str">
        <f>TEXT(MONTH(Tabela1[[#This Row],[Último pagto ano]])*29,"mmmm")</f>
        <v>agosto</v>
      </c>
    </row>
    <row r="2171" spans="1:9" x14ac:dyDescent="0.25">
      <c r="A2171">
        <v>2025</v>
      </c>
      <c r="B2171" t="s">
        <v>4316</v>
      </c>
      <c r="C2171" s="1">
        <v>45876</v>
      </c>
      <c r="D2171" t="s">
        <v>4317</v>
      </c>
      <c r="E2171" s="2">
        <v>10800</v>
      </c>
      <c r="G2171" s="3">
        <f>MONTH(Tabela1[[#This Row],[Último pagto ano]])</f>
        <v>8</v>
      </c>
      <c r="H2171" t="str">
        <f>TEXT(Tabela1[[#This Row],[Coluna2]]*29,"mmmm")</f>
        <v>agosto</v>
      </c>
      <c r="I2171" t="str">
        <f>TEXT(MONTH(Tabela1[[#This Row],[Último pagto ano]])*29,"mmmm")</f>
        <v>agosto</v>
      </c>
    </row>
    <row r="2172" spans="1:9" x14ac:dyDescent="0.25">
      <c r="A2172">
        <v>2025</v>
      </c>
      <c r="B2172" t="s">
        <v>4318</v>
      </c>
      <c r="C2172" s="1">
        <v>46009</v>
      </c>
      <c r="D2172" t="s">
        <v>4319</v>
      </c>
      <c r="E2172" s="2">
        <v>9294.15</v>
      </c>
      <c r="G2172" s="3">
        <f>MONTH(Tabela1[[#This Row],[Último pagto ano]])</f>
        <v>12</v>
      </c>
      <c r="H2172" t="str">
        <f>TEXT(Tabela1[[#This Row],[Coluna2]]*29,"mmmm")</f>
        <v>dezembro</v>
      </c>
      <c r="I2172" t="str">
        <f>TEXT(MONTH(Tabela1[[#This Row],[Último pagto ano]])*29,"mmmm")</f>
        <v>dezembro</v>
      </c>
    </row>
    <row r="2173" spans="1:9" x14ac:dyDescent="0.25">
      <c r="A2173">
        <v>2025</v>
      </c>
      <c r="B2173" t="s">
        <v>4320</v>
      </c>
      <c r="C2173" s="1">
        <v>45995</v>
      </c>
      <c r="D2173" t="s">
        <v>4321</v>
      </c>
      <c r="E2173">
        <v>63.6</v>
      </c>
      <c r="G2173" s="3">
        <f>MONTH(Tabela1[[#This Row],[Último pagto ano]])</f>
        <v>12</v>
      </c>
      <c r="H2173" t="str">
        <f>TEXT(Tabela1[[#This Row],[Coluna2]]*29,"mmmm")</f>
        <v>dezembro</v>
      </c>
      <c r="I2173" t="str">
        <f>TEXT(MONTH(Tabela1[[#This Row],[Último pagto ano]])*29,"mmmm")</f>
        <v>dezembro</v>
      </c>
    </row>
    <row r="2174" spans="1:9" x14ac:dyDescent="0.25">
      <c r="A2174">
        <v>2025</v>
      </c>
      <c r="B2174" t="s">
        <v>4322</v>
      </c>
      <c r="C2174" s="1">
        <v>45996</v>
      </c>
      <c r="D2174" t="s">
        <v>4323</v>
      </c>
      <c r="E2174" s="2">
        <v>4400</v>
      </c>
      <c r="G2174" s="3">
        <f>MONTH(Tabela1[[#This Row],[Último pagto ano]])</f>
        <v>12</v>
      </c>
      <c r="H2174" t="str">
        <f>TEXT(Tabela1[[#This Row],[Coluna2]]*29,"mmmm")</f>
        <v>dezembro</v>
      </c>
      <c r="I2174" t="str">
        <f>TEXT(MONTH(Tabela1[[#This Row],[Último pagto ano]])*29,"mmmm")</f>
        <v>dezembro</v>
      </c>
    </row>
    <row r="2175" spans="1:9" x14ac:dyDescent="0.25">
      <c r="A2175">
        <v>2025</v>
      </c>
      <c r="B2175" t="s">
        <v>4324</v>
      </c>
      <c r="C2175" s="1">
        <v>46006</v>
      </c>
      <c r="D2175" t="s">
        <v>4325</v>
      </c>
      <c r="E2175" s="2">
        <v>1184.6400000000001</v>
      </c>
      <c r="G2175" s="3">
        <f>MONTH(Tabela1[[#This Row],[Último pagto ano]])</f>
        <v>12</v>
      </c>
      <c r="H2175" t="str">
        <f>TEXT(Tabela1[[#This Row],[Coluna2]]*29,"mmmm")</f>
        <v>dezembro</v>
      </c>
      <c r="I2175" t="str">
        <f>TEXT(MONTH(Tabela1[[#This Row],[Último pagto ano]])*29,"mmmm")</f>
        <v>dezembro</v>
      </c>
    </row>
    <row r="2176" spans="1:9" x14ac:dyDescent="0.25">
      <c r="A2176">
        <v>2025</v>
      </c>
      <c r="B2176" t="s">
        <v>4326</v>
      </c>
      <c r="C2176" s="1">
        <v>46006</v>
      </c>
      <c r="D2176" t="s">
        <v>4327</v>
      </c>
      <c r="E2176" s="2">
        <v>4146.24</v>
      </c>
      <c r="G2176" s="3">
        <f>MONTH(Tabela1[[#This Row],[Último pagto ano]])</f>
        <v>12</v>
      </c>
      <c r="H2176" t="str">
        <f>TEXT(Tabela1[[#This Row],[Coluna2]]*29,"mmmm")</f>
        <v>dezembro</v>
      </c>
      <c r="I2176" t="str">
        <f>TEXT(MONTH(Tabela1[[#This Row],[Último pagto ano]])*29,"mmmm")</f>
        <v>dezembro</v>
      </c>
    </row>
    <row r="2177" spans="1:9" x14ac:dyDescent="0.25">
      <c r="A2177">
        <v>2025</v>
      </c>
      <c r="B2177" t="s">
        <v>4328</v>
      </c>
      <c r="C2177" s="1">
        <v>45996</v>
      </c>
      <c r="D2177" t="s">
        <v>4329</v>
      </c>
      <c r="E2177">
        <v>800</v>
      </c>
      <c r="G2177" s="3">
        <f>MONTH(Tabela1[[#This Row],[Último pagto ano]])</f>
        <v>12</v>
      </c>
      <c r="H2177" t="str">
        <f>TEXT(Tabela1[[#This Row],[Coluna2]]*29,"mmmm")</f>
        <v>dezembro</v>
      </c>
      <c r="I2177" t="str">
        <f>TEXT(MONTH(Tabela1[[#This Row],[Último pagto ano]])*29,"mmmm")</f>
        <v>dezembro</v>
      </c>
    </row>
    <row r="2178" spans="1:9" x14ac:dyDescent="0.25">
      <c r="A2178">
        <v>2025</v>
      </c>
      <c r="B2178" t="s">
        <v>4330</v>
      </c>
      <c r="C2178" s="1">
        <v>46006</v>
      </c>
      <c r="D2178" t="s">
        <v>4331</v>
      </c>
      <c r="E2178" s="2">
        <v>13482.92</v>
      </c>
      <c r="G2178" s="3">
        <f>MONTH(Tabela1[[#This Row],[Último pagto ano]])</f>
        <v>12</v>
      </c>
      <c r="H2178" t="str">
        <f>TEXT(Tabela1[[#This Row],[Coluna2]]*29,"mmmm")</f>
        <v>dezembro</v>
      </c>
      <c r="I2178" t="str">
        <f>TEXT(MONTH(Tabela1[[#This Row],[Último pagto ano]])*29,"mmmm")</f>
        <v>dezembro</v>
      </c>
    </row>
    <row r="2179" spans="1:9" x14ac:dyDescent="0.25">
      <c r="A2179">
        <v>2025</v>
      </c>
      <c r="B2179" t="s">
        <v>4332</v>
      </c>
      <c r="C2179" s="1">
        <v>45853</v>
      </c>
      <c r="D2179" t="s">
        <v>4333</v>
      </c>
      <c r="E2179" s="2">
        <v>1171.3599999999999</v>
      </c>
      <c r="G2179" s="3">
        <f>MONTH(Tabela1[[#This Row],[Último pagto ano]])</f>
        <v>7</v>
      </c>
      <c r="H2179" t="str">
        <f>TEXT(Tabela1[[#This Row],[Coluna2]]*29,"mmmm")</f>
        <v>julho</v>
      </c>
      <c r="I2179" t="str">
        <f>TEXT(MONTH(Tabela1[[#This Row],[Último pagto ano]])*29,"mmmm")</f>
        <v>julho</v>
      </c>
    </row>
    <row r="2180" spans="1:9" x14ac:dyDescent="0.25">
      <c r="A2180">
        <v>2025</v>
      </c>
      <c r="B2180" t="s">
        <v>4334</v>
      </c>
      <c r="C2180" s="1">
        <v>46010</v>
      </c>
      <c r="D2180" t="s">
        <v>4335</v>
      </c>
      <c r="E2180">
        <v>700</v>
      </c>
      <c r="G2180" s="3">
        <f>MONTH(Tabela1[[#This Row],[Último pagto ano]])</f>
        <v>12</v>
      </c>
      <c r="H2180" t="str">
        <f>TEXT(Tabela1[[#This Row],[Coluna2]]*29,"mmmm")</f>
        <v>dezembro</v>
      </c>
      <c r="I2180" t="str">
        <f>TEXT(MONTH(Tabela1[[#This Row],[Último pagto ano]])*29,"mmmm")</f>
        <v>dezembro</v>
      </c>
    </row>
    <row r="2181" spans="1:9" x14ac:dyDescent="0.25">
      <c r="A2181">
        <v>2025</v>
      </c>
      <c r="B2181" t="s">
        <v>4336</v>
      </c>
      <c r="C2181" s="1">
        <v>46014</v>
      </c>
      <c r="D2181" t="s">
        <v>4337</v>
      </c>
      <c r="E2181">
        <v>44</v>
      </c>
      <c r="G2181" s="3">
        <f>MONTH(Tabela1[[#This Row],[Último pagto ano]])</f>
        <v>12</v>
      </c>
      <c r="H2181" t="str">
        <f>TEXT(Tabela1[[#This Row],[Coluna2]]*29,"mmmm")</f>
        <v>dezembro</v>
      </c>
      <c r="I2181" t="str">
        <f>TEXT(MONTH(Tabela1[[#This Row],[Último pagto ano]])*29,"mmmm")</f>
        <v>dezembro</v>
      </c>
    </row>
    <row r="2182" spans="1:9" x14ac:dyDescent="0.25">
      <c r="A2182">
        <v>2025</v>
      </c>
      <c r="B2182" t="s">
        <v>4338</v>
      </c>
      <c r="C2182" s="1">
        <v>46021</v>
      </c>
      <c r="D2182" t="s">
        <v>4339</v>
      </c>
      <c r="E2182" s="2">
        <v>12754.75</v>
      </c>
      <c r="G2182" s="3">
        <f>MONTH(Tabela1[[#This Row],[Último pagto ano]])</f>
        <v>12</v>
      </c>
      <c r="H2182" t="str">
        <f>TEXT(Tabela1[[#This Row],[Coluna2]]*29,"mmmm")</f>
        <v>dezembro</v>
      </c>
      <c r="I2182" t="str">
        <f>TEXT(MONTH(Tabela1[[#This Row],[Último pagto ano]])*29,"mmmm")</f>
        <v>dezembro</v>
      </c>
    </row>
    <row r="2183" spans="1:9" x14ac:dyDescent="0.25">
      <c r="A2183">
        <v>2025</v>
      </c>
      <c r="B2183" t="s">
        <v>4340</v>
      </c>
      <c r="C2183" s="1">
        <v>45975</v>
      </c>
      <c r="D2183" t="s">
        <v>4341</v>
      </c>
      <c r="E2183" s="2">
        <v>5775.12</v>
      </c>
      <c r="G2183" s="3">
        <f>MONTH(Tabela1[[#This Row],[Último pagto ano]])</f>
        <v>11</v>
      </c>
      <c r="H2183" t="str">
        <f>TEXT(Tabela1[[#This Row],[Coluna2]]*29,"mmmm")</f>
        <v>novembro</v>
      </c>
      <c r="I2183" t="str">
        <f>TEXT(MONTH(Tabela1[[#This Row],[Último pagto ano]])*29,"mmmm")</f>
        <v>novembro</v>
      </c>
    </row>
    <row r="2184" spans="1:9" x14ac:dyDescent="0.25">
      <c r="A2184">
        <v>2025</v>
      </c>
      <c r="B2184" t="s">
        <v>4342</v>
      </c>
      <c r="C2184" s="1">
        <v>45996</v>
      </c>
      <c r="D2184" t="s">
        <v>4343</v>
      </c>
      <c r="E2184" s="2">
        <v>14000</v>
      </c>
      <c r="G2184" s="3">
        <f>MONTH(Tabela1[[#This Row],[Último pagto ano]])</f>
        <v>12</v>
      </c>
      <c r="H2184" t="str">
        <f>TEXT(Tabela1[[#This Row],[Coluna2]]*29,"mmmm")</f>
        <v>dezembro</v>
      </c>
      <c r="I2184" t="str">
        <f>TEXT(MONTH(Tabela1[[#This Row],[Último pagto ano]])*29,"mmmm")</f>
        <v>dezembro</v>
      </c>
    </row>
    <row r="2185" spans="1:9" x14ac:dyDescent="0.25">
      <c r="A2185">
        <v>2025</v>
      </c>
      <c r="B2185" t="s">
        <v>4344</v>
      </c>
      <c r="C2185" s="1">
        <v>45996</v>
      </c>
      <c r="D2185" t="s">
        <v>4345</v>
      </c>
      <c r="E2185" s="2">
        <v>3100</v>
      </c>
      <c r="G2185" s="3">
        <f>MONTH(Tabela1[[#This Row],[Último pagto ano]])</f>
        <v>12</v>
      </c>
      <c r="H2185" t="str">
        <f>TEXT(Tabela1[[#This Row],[Coluna2]]*29,"mmmm")</f>
        <v>dezembro</v>
      </c>
      <c r="I2185" t="str">
        <f>TEXT(MONTH(Tabela1[[#This Row],[Último pagto ano]])*29,"mmmm")</f>
        <v>dezembro</v>
      </c>
    </row>
    <row r="2186" spans="1:9" x14ac:dyDescent="0.25">
      <c r="A2186">
        <v>2025</v>
      </c>
      <c r="B2186" t="s">
        <v>4346</v>
      </c>
      <c r="C2186" s="1">
        <v>46021</v>
      </c>
      <c r="D2186" t="s">
        <v>4347</v>
      </c>
      <c r="E2186" s="2">
        <v>4118.3599999999997</v>
      </c>
      <c r="G2186" s="3">
        <f>MONTH(Tabela1[[#This Row],[Último pagto ano]])</f>
        <v>12</v>
      </c>
      <c r="H2186" t="str">
        <f>TEXT(Tabela1[[#This Row],[Coluna2]]*29,"mmmm")</f>
        <v>dezembro</v>
      </c>
      <c r="I2186" t="str">
        <f>TEXT(MONTH(Tabela1[[#This Row],[Último pagto ano]])*29,"mmmm")</f>
        <v>dezembro</v>
      </c>
    </row>
    <row r="2187" spans="1:9" x14ac:dyDescent="0.25">
      <c r="A2187">
        <v>2025</v>
      </c>
      <c r="B2187" t="s">
        <v>4348</v>
      </c>
      <c r="C2187" s="1">
        <v>45884</v>
      </c>
      <c r="D2187" t="s">
        <v>4349</v>
      </c>
      <c r="E2187" s="2">
        <v>2961.28</v>
      </c>
      <c r="G2187" s="3">
        <f>MONTH(Tabela1[[#This Row],[Último pagto ano]])</f>
        <v>8</v>
      </c>
      <c r="H2187" t="str">
        <f>TEXT(Tabela1[[#This Row],[Coluna2]]*29,"mmmm")</f>
        <v>agosto</v>
      </c>
      <c r="I2187" t="str">
        <f>TEXT(MONTH(Tabela1[[#This Row],[Último pagto ano]])*29,"mmmm")</f>
        <v>agosto</v>
      </c>
    </row>
    <row r="2188" spans="1:9" x14ac:dyDescent="0.25">
      <c r="A2188">
        <v>2025</v>
      </c>
      <c r="B2188" t="s">
        <v>4350</v>
      </c>
      <c r="C2188" s="1">
        <v>45712</v>
      </c>
      <c r="D2188" t="s">
        <v>4351</v>
      </c>
      <c r="E2188" s="2">
        <v>1400</v>
      </c>
      <c r="G2188" s="3">
        <f>MONTH(Tabela1[[#This Row],[Último pagto ano]])</f>
        <v>2</v>
      </c>
      <c r="H2188" t="str">
        <f>TEXT(Tabela1[[#This Row],[Coluna2]]*29,"mmmm")</f>
        <v>fevereiro</v>
      </c>
      <c r="I2188" t="str">
        <f>TEXT(MONTH(Tabela1[[#This Row],[Último pagto ano]])*29,"mmmm")</f>
        <v>fevereiro</v>
      </c>
    </row>
    <row r="2189" spans="1:9" x14ac:dyDescent="0.25">
      <c r="A2189">
        <v>2025</v>
      </c>
      <c r="B2189" t="s">
        <v>4352</v>
      </c>
      <c r="C2189" s="1">
        <v>45945</v>
      </c>
      <c r="D2189" t="s">
        <v>4353</v>
      </c>
      <c r="E2189" s="2">
        <v>8252.64</v>
      </c>
      <c r="G2189" s="3">
        <f>MONTH(Tabela1[[#This Row],[Último pagto ano]])</f>
        <v>10</v>
      </c>
      <c r="H2189" t="str">
        <f>TEXT(Tabela1[[#This Row],[Coluna2]]*29,"mmmm")</f>
        <v>outubro</v>
      </c>
      <c r="I2189" t="str">
        <f>TEXT(MONTH(Tabela1[[#This Row],[Último pagto ano]])*29,"mmmm")</f>
        <v>outubro</v>
      </c>
    </row>
    <row r="2190" spans="1:9" x14ac:dyDescent="0.25">
      <c r="A2190">
        <v>2025</v>
      </c>
      <c r="B2190" t="s">
        <v>4354</v>
      </c>
      <c r="C2190" s="1">
        <v>45959</v>
      </c>
      <c r="D2190" t="s">
        <v>4355</v>
      </c>
      <c r="E2190" s="2">
        <v>113834.48</v>
      </c>
      <c r="G2190" s="3">
        <f>MONTH(Tabela1[[#This Row],[Último pagto ano]])</f>
        <v>10</v>
      </c>
      <c r="H2190" t="str">
        <f>TEXT(Tabela1[[#This Row],[Coluna2]]*29,"mmmm")</f>
        <v>outubro</v>
      </c>
      <c r="I2190" t="str">
        <f>TEXT(MONTH(Tabela1[[#This Row],[Último pagto ano]])*29,"mmmm")</f>
        <v>outubro</v>
      </c>
    </row>
    <row r="2191" spans="1:9" x14ac:dyDescent="0.25">
      <c r="A2191">
        <v>2025</v>
      </c>
      <c r="B2191" t="s">
        <v>4356</v>
      </c>
      <c r="C2191" s="1">
        <v>46007</v>
      </c>
      <c r="D2191" t="s">
        <v>4357</v>
      </c>
      <c r="E2191" s="2">
        <v>829431.08</v>
      </c>
      <c r="G2191" s="3">
        <f>MONTH(Tabela1[[#This Row],[Último pagto ano]])</f>
        <v>12</v>
      </c>
      <c r="H2191" t="str">
        <f>TEXT(Tabela1[[#This Row],[Coluna2]]*29,"mmmm")</f>
        <v>dezembro</v>
      </c>
      <c r="I2191" t="str">
        <f>TEXT(MONTH(Tabela1[[#This Row],[Último pagto ano]])*29,"mmmm")</f>
        <v>dezembro</v>
      </c>
    </row>
    <row r="2192" spans="1:9" x14ac:dyDescent="0.25">
      <c r="A2192">
        <v>2025</v>
      </c>
      <c r="B2192" t="s">
        <v>4358</v>
      </c>
      <c r="C2192" s="1">
        <v>45777</v>
      </c>
      <c r="D2192" t="s">
        <v>4359</v>
      </c>
      <c r="E2192" s="2">
        <v>86655</v>
      </c>
      <c r="G2192" s="3">
        <f>MONTH(Tabela1[[#This Row],[Último pagto ano]])</f>
        <v>4</v>
      </c>
      <c r="H2192" t="str">
        <f>TEXT(Tabela1[[#This Row],[Coluna2]]*29,"mmmm")</f>
        <v>abril</v>
      </c>
      <c r="I2192" t="str">
        <f>TEXT(MONTH(Tabela1[[#This Row],[Último pagto ano]])*29,"mmmm")</f>
        <v>abril</v>
      </c>
    </row>
    <row r="2193" spans="1:9" x14ac:dyDescent="0.25">
      <c r="A2193">
        <v>2025</v>
      </c>
      <c r="B2193" t="s">
        <v>4360</v>
      </c>
      <c r="C2193" s="1">
        <v>45848</v>
      </c>
      <c r="D2193" t="s">
        <v>4361</v>
      </c>
      <c r="E2193" s="2">
        <v>14764.04</v>
      </c>
      <c r="G2193" s="3">
        <f>MONTH(Tabela1[[#This Row],[Último pagto ano]])</f>
        <v>7</v>
      </c>
      <c r="H2193" t="str">
        <f>TEXT(Tabela1[[#This Row],[Coluna2]]*29,"mmmm")</f>
        <v>julho</v>
      </c>
      <c r="I2193" t="str">
        <f>TEXT(MONTH(Tabela1[[#This Row],[Último pagto ano]])*29,"mmmm")</f>
        <v>julho</v>
      </c>
    </row>
    <row r="2194" spans="1:9" x14ac:dyDescent="0.25">
      <c r="A2194">
        <v>2025</v>
      </c>
      <c r="B2194" t="s">
        <v>4362</v>
      </c>
      <c r="C2194" s="1">
        <v>45940</v>
      </c>
      <c r="D2194" t="s">
        <v>4363</v>
      </c>
      <c r="E2194">
        <v>45.82</v>
      </c>
      <c r="G2194" s="3">
        <f>MONTH(Tabela1[[#This Row],[Último pagto ano]])</f>
        <v>10</v>
      </c>
      <c r="H2194" t="str">
        <f>TEXT(Tabela1[[#This Row],[Coluna2]]*29,"mmmm")</f>
        <v>outubro</v>
      </c>
      <c r="I2194" t="str">
        <f>TEXT(MONTH(Tabela1[[#This Row],[Último pagto ano]])*29,"mmmm")</f>
        <v>outubro</v>
      </c>
    </row>
    <row r="2195" spans="1:9" x14ac:dyDescent="0.25">
      <c r="A2195">
        <v>2025</v>
      </c>
      <c r="B2195" t="s">
        <v>4364</v>
      </c>
      <c r="C2195" s="1">
        <v>45799</v>
      </c>
      <c r="D2195" t="s">
        <v>4365</v>
      </c>
      <c r="E2195">
        <v>639.6</v>
      </c>
      <c r="G2195" s="3">
        <f>MONTH(Tabela1[[#This Row],[Último pagto ano]])</f>
        <v>5</v>
      </c>
      <c r="H2195" t="str">
        <f>TEXT(Tabela1[[#This Row],[Coluna2]]*29,"mmmm")</f>
        <v>maio</v>
      </c>
      <c r="I2195" t="str">
        <f>TEXT(MONTH(Tabela1[[#This Row],[Último pagto ano]])*29,"mmmm")</f>
        <v>maio</v>
      </c>
    </row>
    <row r="2196" spans="1:9" x14ac:dyDescent="0.25">
      <c r="A2196">
        <v>2025</v>
      </c>
      <c r="B2196" t="s">
        <v>4366</v>
      </c>
      <c r="C2196" s="1">
        <v>45856</v>
      </c>
      <c r="D2196" t="s">
        <v>4367</v>
      </c>
      <c r="E2196" s="2">
        <v>2278</v>
      </c>
      <c r="G2196" s="3">
        <f>MONTH(Tabela1[[#This Row],[Último pagto ano]])</f>
        <v>7</v>
      </c>
      <c r="H2196" t="str">
        <f>TEXT(Tabela1[[#This Row],[Coluna2]]*29,"mmmm")</f>
        <v>julho</v>
      </c>
      <c r="I2196" t="str">
        <f>TEXT(MONTH(Tabela1[[#This Row],[Último pagto ano]])*29,"mmmm")</f>
        <v>julho</v>
      </c>
    </row>
    <row r="2197" spans="1:9" x14ac:dyDescent="0.25">
      <c r="A2197">
        <v>2025</v>
      </c>
      <c r="B2197" t="s">
        <v>4368</v>
      </c>
      <c r="C2197" s="1">
        <v>45989</v>
      </c>
      <c r="D2197" t="s">
        <v>4369</v>
      </c>
      <c r="E2197" s="2">
        <v>11774.27</v>
      </c>
      <c r="G2197" s="3">
        <f>MONTH(Tabela1[[#This Row],[Último pagto ano]])</f>
        <v>11</v>
      </c>
      <c r="H2197" t="str">
        <f>TEXT(Tabela1[[#This Row],[Coluna2]]*29,"mmmm")</f>
        <v>novembro</v>
      </c>
      <c r="I2197" t="str">
        <f>TEXT(MONTH(Tabela1[[#This Row],[Último pagto ano]])*29,"mmmm")</f>
        <v>novembro</v>
      </c>
    </row>
    <row r="2198" spans="1:9" x14ac:dyDescent="0.25">
      <c r="A2198">
        <v>2025</v>
      </c>
      <c r="B2198" t="s">
        <v>4370</v>
      </c>
      <c r="C2198" s="1">
        <v>45988</v>
      </c>
      <c r="D2198" t="s">
        <v>4371</v>
      </c>
      <c r="E2198" s="2">
        <v>2375.1</v>
      </c>
      <c r="G2198" s="3">
        <f>MONTH(Tabela1[[#This Row],[Último pagto ano]])</f>
        <v>11</v>
      </c>
      <c r="H2198" t="str">
        <f>TEXT(Tabela1[[#This Row],[Coluna2]]*29,"mmmm")</f>
        <v>novembro</v>
      </c>
      <c r="I2198" t="str">
        <f>TEXT(MONTH(Tabela1[[#This Row],[Último pagto ano]])*29,"mmmm")</f>
        <v>novembro</v>
      </c>
    </row>
    <row r="2199" spans="1:9" x14ac:dyDescent="0.25">
      <c r="A2199">
        <v>2025</v>
      </c>
      <c r="B2199" t="s">
        <v>4372</v>
      </c>
      <c r="C2199" s="1">
        <v>45873</v>
      </c>
      <c r="D2199" t="s">
        <v>4373</v>
      </c>
      <c r="E2199">
        <v>11</v>
      </c>
      <c r="G2199" s="3">
        <f>MONTH(Tabela1[[#This Row],[Último pagto ano]])</f>
        <v>8</v>
      </c>
      <c r="H2199" t="str">
        <f>TEXT(Tabela1[[#This Row],[Coluna2]]*29,"mmmm")</f>
        <v>agosto</v>
      </c>
      <c r="I2199" t="str">
        <f>TEXT(MONTH(Tabela1[[#This Row],[Último pagto ano]])*29,"mmmm")</f>
        <v>agosto</v>
      </c>
    </row>
    <row r="2200" spans="1:9" x14ac:dyDescent="0.25">
      <c r="A2200">
        <v>2025</v>
      </c>
      <c r="B2200" t="s">
        <v>4374</v>
      </c>
      <c r="C2200" s="1">
        <v>46010</v>
      </c>
      <c r="D2200" t="s">
        <v>4375</v>
      </c>
      <c r="E2200" s="2">
        <v>8400</v>
      </c>
      <c r="G2200" s="3">
        <f>MONTH(Tabela1[[#This Row],[Último pagto ano]])</f>
        <v>12</v>
      </c>
      <c r="H2200" t="str">
        <f>TEXT(Tabela1[[#This Row],[Coluna2]]*29,"mmmm")</f>
        <v>dezembro</v>
      </c>
      <c r="I2200" t="str">
        <f>TEXT(MONTH(Tabela1[[#This Row],[Último pagto ano]])*29,"mmmm")</f>
        <v>dezembro</v>
      </c>
    </row>
    <row r="2201" spans="1:9" x14ac:dyDescent="0.25">
      <c r="A2201">
        <v>2025</v>
      </c>
      <c r="B2201" t="s">
        <v>4376</v>
      </c>
      <c r="C2201" s="1">
        <v>45999</v>
      </c>
      <c r="D2201" t="s">
        <v>4377</v>
      </c>
      <c r="E2201" s="2">
        <v>556928.34</v>
      </c>
      <c r="G2201" s="3">
        <f>MONTH(Tabela1[[#This Row],[Último pagto ano]])</f>
        <v>12</v>
      </c>
      <c r="H2201" t="str">
        <f>TEXT(Tabela1[[#This Row],[Coluna2]]*29,"mmmm")</f>
        <v>dezembro</v>
      </c>
      <c r="I2201" t="str">
        <f>TEXT(MONTH(Tabela1[[#This Row],[Último pagto ano]])*29,"mmmm")</f>
        <v>dezembro</v>
      </c>
    </row>
    <row r="2202" spans="1:9" x14ac:dyDescent="0.25">
      <c r="A2202">
        <v>2025</v>
      </c>
      <c r="B2202" t="s">
        <v>4378</v>
      </c>
      <c r="C2202" s="1">
        <v>46014</v>
      </c>
      <c r="D2202" t="s">
        <v>4379</v>
      </c>
      <c r="E2202" s="2">
        <v>149469.32</v>
      </c>
      <c r="G2202" s="3">
        <f>MONTH(Tabela1[[#This Row],[Último pagto ano]])</f>
        <v>12</v>
      </c>
      <c r="H2202" t="str">
        <f>TEXT(Tabela1[[#This Row],[Coluna2]]*29,"mmmm")</f>
        <v>dezembro</v>
      </c>
      <c r="I2202" t="str">
        <f>TEXT(MONTH(Tabela1[[#This Row],[Último pagto ano]])*29,"mmmm")</f>
        <v>dezembro</v>
      </c>
    </row>
    <row r="2203" spans="1:9" x14ac:dyDescent="0.25">
      <c r="A2203">
        <v>2025</v>
      </c>
      <c r="B2203" t="s">
        <v>4380</v>
      </c>
      <c r="C2203" s="1">
        <v>46008</v>
      </c>
      <c r="D2203" t="s">
        <v>4381</v>
      </c>
      <c r="E2203" s="2">
        <v>1145789.79</v>
      </c>
      <c r="G2203" s="3">
        <f>MONTH(Tabela1[[#This Row],[Último pagto ano]])</f>
        <v>12</v>
      </c>
      <c r="H2203" t="str">
        <f>TEXT(Tabela1[[#This Row],[Coluna2]]*29,"mmmm")</f>
        <v>dezembro</v>
      </c>
      <c r="I2203" t="str">
        <f>TEXT(MONTH(Tabela1[[#This Row],[Último pagto ano]])*29,"mmmm")</f>
        <v>dezembro</v>
      </c>
    </row>
    <row r="2204" spans="1:9" x14ac:dyDescent="0.25">
      <c r="A2204">
        <v>2025</v>
      </c>
      <c r="B2204" t="s">
        <v>4382</v>
      </c>
      <c r="C2204" s="1">
        <v>46014</v>
      </c>
      <c r="D2204" t="s">
        <v>4383</v>
      </c>
      <c r="E2204" s="2">
        <v>649930.51</v>
      </c>
      <c r="G2204" s="3">
        <f>MONTH(Tabela1[[#This Row],[Último pagto ano]])</f>
        <v>12</v>
      </c>
      <c r="H2204" t="str">
        <f>TEXT(Tabela1[[#This Row],[Coluna2]]*29,"mmmm")</f>
        <v>dezembro</v>
      </c>
      <c r="I2204" t="str">
        <f>TEXT(MONTH(Tabela1[[#This Row],[Último pagto ano]])*29,"mmmm")</f>
        <v>dezembro</v>
      </c>
    </row>
    <row r="2205" spans="1:9" x14ac:dyDescent="0.25">
      <c r="A2205">
        <v>2025</v>
      </c>
      <c r="B2205" t="s">
        <v>4384</v>
      </c>
      <c r="C2205" s="1">
        <v>45961</v>
      </c>
      <c r="D2205" t="s">
        <v>4385</v>
      </c>
      <c r="E2205" s="2">
        <v>7306.8</v>
      </c>
      <c r="G2205" s="3">
        <f>MONTH(Tabela1[[#This Row],[Último pagto ano]])</f>
        <v>10</v>
      </c>
      <c r="H2205" t="str">
        <f>TEXT(Tabela1[[#This Row],[Coluna2]]*29,"mmmm")</f>
        <v>outubro</v>
      </c>
      <c r="I2205" t="str">
        <f>TEXT(MONTH(Tabela1[[#This Row],[Último pagto ano]])*29,"mmmm")</f>
        <v>outubro</v>
      </c>
    </row>
    <row r="2206" spans="1:9" x14ac:dyDescent="0.25">
      <c r="A2206">
        <v>2025</v>
      </c>
      <c r="B2206" t="s">
        <v>4386</v>
      </c>
      <c r="C2206" s="1">
        <v>45838</v>
      </c>
      <c r="D2206" t="s">
        <v>4387</v>
      </c>
      <c r="E2206">
        <v>44</v>
      </c>
      <c r="G2206" s="3">
        <f>MONTH(Tabela1[[#This Row],[Último pagto ano]])</f>
        <v>6</v>
      </c>
      <c r="H2206" t="str">
        <f>TEXT(Tabela1[[#This Row],[Coluna2]]*29,"mmmm")</f>
        <v>junho</v>
      </c>
      <c r="I2206" t="str">
        <f>TEXT(MONTH(Tabela1[[#This Row],[Último pagto ano]])*29,"mmmm")</f>
        <v>junho</v>
      </c>
    </row>
    <row r="2207" spans="1:9" x14ac:dyDescent="0.25">
      <c r="A2207">
        <v>2025</v>
      </c>
      <c r="B2207" t="s">
        <v>4388</v>
      </c>
      <c r="C2207" s="1">
        <v>46006</v>
      </c>
      <c r="D2207" t="s">
        <v>4389</v>
      </c>
      <c r="E2207" s="2">
        <v>4738.5600000000004</v>
      </c>
      <c r="G2207" s="3">
        <f>MONTH(Tabela1[[#This Row],[Último pagto ano]])</f>
        <v>12</v>
      </c>
      <c r="H2207" t="str">
        <f>TEXT(Tabela1[[#This Row],[Coluna2]]*29,"mmmm")</f>
        <v>dezembro</v>
      </c>
      <c r="I2207" t="str">
        <f>TEXT(MONTH(Tabela1[[#This Row],[Último pagto ano]])*29,"mmmm")</f>
        <v>dezembro</v>
      </c>
    </row>
    <row r="2208" spans="1:9" x14ac:dyDescent="0.25">
      <c r="A2208">
        <v>2025</v>
      </c>
      <c r="B2208" t="s">
        <v>4390</v>
      </c>
      <c r="C2208" s="1">
        <v>45999</v>
      </c>
      <c r="D2208" t="s">
        <v>4391</v>
      </c>
      <c r="E2208">
        <v>22</v>
      </c>
      <c r="G2208" s="3">
        <f>MONTH(Tabela1[[#This Row],[Último pagto ano]])</f>
        <v>12</v>
      </c>
      <c r="H2208" t="str">
        <f>TEXT(Tabela1[[#This Row],[Coluna2]]*29,"mmmm")</f>
        <v>dezembro</v>
      </c>
      <c r="I2208" t="str">
        <f>TEXT(MONTH(Tabela1[[#This Row],[Último pagto ano]])*29,"mmmm")</f>
        <v>dezembro</v>
      </c>
    </row>
    <row r="2209" spans="1:9" x14ac:dyDescent="0.25">
      <c r="A2209">
        <v>2025</v>
      </c>
      <c r="B2209" t="s">
        <v>4392</v>
      </c>
      <c r="C2209" s="1">
        <v>46014</v>
      </c>
      <c r="D2209" t="s">
        <v>4393</v>
      </c>
      <c r="E2209">
        <v>755</v>
      </c>
      <c r="G2209" s="3">
        <f>MONTH(Tabela1[[#This Row],[Último pagto ano]])</f>
        <v>12</v>
      </c>
      <c r="H2209" t="str">
        <f>TEXT(Tabela1[[#This Row],[Coluna2]]*29,"mmmm")</f>
        <v>dezembro</v>
      </c>
      <c r="I2209" t="str">
        <f>TEXT(MONTH(Tabela1[[#This Row],[Último pagto ano]])*29,"mmmm")</f>
        <v>dezembro</v>
      </c>
    </row>
    <row r="2210" spans="1:9" x14ac:dyDescent="0.25">
      <c r="A2210">
        <v>2025</v>
      </c>
      <c r="B2210" t="s">
        <v>4394</v>
      </c>
      <c r="C2210" s="1">
        <v>46014</v>
      </c>
      <c r="D2210" t="s">
        <v>4395</v>
      </c>
      <c r="E2210" s="2">
        <v>7720</v>
      </c>
      <c r="G2210" s="3">
        <f>MONTH(Tabela1[[#This Row],[Último pagto ano]])</f>
        <v>12</v>
      </c>
      <c r="H2210" t="str">
        <f>TEXT(Tabela1[[#This Row],[Coluna2]]*29,"mmmm")</f>
        <v>dezembro</v>
      </c>
      <c r="I2210" t="str">
        <f>TEXT(MONTH(Tabela1[[#This Row],[Último pagto ano]])*29,"mmmm")</f>
        <v>dezembro</v>
      </c>
    </row>
    <row r="2211" spans="1:9" x14ac:dyDescent="0.25">
      <c r="A2211">
        <v>2025</v>
      </c>
      <c r="B2211" t="s">
        <v>4396</v>
      </c>
      <c r="C2211" s="1">
        <v>45996</v>
      </c>
      <c r="D2211" t="s">
        <v>4397</v>
      </c>
      <c r="E2211" s="2">
        <v>12600</v>
      </c>
      <c r="G2211" s="3">
        <f>MONTH(Tabela1[[#This Row],[Último pagto ano]])</f>
        <v>12</v>
      </c>
      <c r="H2211" t="str">
        <f>TEXT(Tabela1[[#This Row],[Coluna2]]*29,"mmmm")</f>
        <v>dezembro</v>
      </c>
      <c r="I2211" t="str">
        <f>TEXT(MONTH(Tabela1[[#This Row],[Último pagto ano]])*29,"mmmm")</f>
        <v>dezembro</v>
      </c>
    </row>
    <row r="2212" spans="1:9" x14ac:dyDescent="0.25">
      <c r="A2212">
        <v>2025</v>
      </c>
      <c r="B2212" t="s">
        <v>4398</v>
      </c>
      <c r="C2212" s="1">
        <v>45936</v>
      </c>
      <c r="D2212" t="s">
        <v>4399</v>
      </c>
      <c r="E2212" s="2">
        <v>2790.94</v>
      </c>
      <c r="G2212" s="3">
        <f>MONTH(Tabela1[[#This Row],[Último pagto ano]])</f>
        <v>10</v>
      </c>
      <c r="H2212" t="str">
        <f>TEXT(Tabela1[[#This Row],[Coluna2]]*29,"mmmm")</f>
        <v>outubro</v>
      </c>
      <c r="I2212" t="str">
        <f>TEXT(MONTH(Tabela1[[#This Row],[Último pagto ano]])*29,"mmmm")</f>
        <v>outubro</v>
      </c>
    </row>
    <row r="2213" spans="1:9" x14ac:dyDescent="0.25">
      <c r="A2213">
        <v>2025</v>
      </c>
      <c r="B2213" t="s">
        <v>4400</v>
      </c>
      <c r="C2213" s="1">
        <v>46021</v>
      </c>
      <c r="D2213" t="s">
        <v>4401</v>
      </c>
      <c r="E2213" s="2">
        <v>6514.68</v>
      </c>
      <c r="G2213" s="3">
        <f>MONTH(Tabela1[[#This Row],[Último pagto ano]])</f>
        <v>12</v>
      </c>
      <c r="H2213" t="str">
        <f>TEXT(Tabela1[[#This Row],[Coluna2]]*29,"mmmm")</f>
        <v>dezembro</v>
      </c>
      <c r="I2213" t="str">
        <f>TEXT(MONTH(Tabela1[[#This Row],[Último pagto ano]])*29,"mmmm")</f>
        <v>dezembro</v>
      </c>
    </row>
    <row r="2214" spans="1:9" x14ac:dyDescent="0.25">
      <c r="A2214">
        <v>2025</v>
      </c>
      <c r="B2214" t="s">
        <v>4402</v>
      </c>
      <c r="C2214" s="1">
        <v>45996</v>
      </c>
      <c r="D2214" t="s">
        <v>4403</v>
      </c>
      <c r="E2214" s="2">
        <v>7400</v>
      </c>
      <c r="G2214" s="3">
        <f>MONTH(Tabela1[[#This Row],[Último pagto ano]])</f>
        <v>12</v>
      </c>
      <c r="H2214" t="str">
        <f>TEXT(Tabela1[[#This Row],[Coluna2]]*29,"mmmm")</f>
        <v>dezembro</v>
      </c>
      <c r="I2214" t="str">
        <f>TEXT(MONTH(Tabela1[[#This Row],[Último pagto ano]])*29,"mmmm")</f>
        <v>dezembro</v>
      </c>
    </row>
    <row r="2215" spans="1:9" x14ac:dyDescent="0.25">
      <c r="A2215">
        <v>2025</v>
      </c>
      <c r="B2215" t="s">
        <v>4404</v>
      </c>
      <c r="C2215" s="1">
        <v>45743</v>
      </c>
      <c r="D2215" t="s">
        <v>4405</v>
      </c>
      <c r="E2215">
        <v>1.05</v>
      </c>
      <c r="G2215" s="3">
        <f>MONTH(Tabela1[[#This Row],[Último pagto ano]])</f>
        <v>3</v>
      </c>
      <c r="H2215" t="str">
        <f>TEXT(Tabela1[[#This Row],[Coluna2]]*29,"mmmm")</f>
        <v>março</v>
      </c>
      <c r="I2215" t="str">
        <f>TEXT(MONTH(Tabela1[[#This Row],[Último pagto ano]])*29,"mmmm")</f>
        <v>março</v>
      </c>
    </row>
    <row r="2216" spans="1:9" x14ac:dyDescent="0.25">
      <c r="A2216">
        <v>2025</v>
      </c>
      <c r="B2216" t="s">
        <v>4406</v>
      </c>
      <c r="C2216" s="1">
        <v>46006</v>
      </c>
      <c r="D2216" t="s">
        <v>4407</v>
      </c>
      <c r="E2216">
        <v>700</v>
      </c>
      <c r="G2216" s="3">
        <f>MONTH(Tabela1[[#This Row],[Último pagto ano]])</f>
        <v>12</v>
      </c>
      <c r="H2216" t="str">
        <f>TEXT(Tabela1[[#This Row],[Coluna2]]*29,"mmmm")</f>
        <v>dezembro</v>
      </c>
      <c r="I2216" t="str">
        <f>TEXT(MONTH(Tabela1[[#This Row],[Último pagto ano]])*29,"mmmm")</f>
        <v>dezembro</v>
      </c>
    </row>
    <row r="2217" spans="1:9" x14ac:dyDescent="0.25">
      <c r="A2217">
        <v>2025</v>
      </c>
      <c r="B2217" t="s">
        <v>4408</v>
      </c>
      <c r="C2217" s="1">
        <v>45855</v>
      </c>
      <c r="D2217" t="s">
        <v>4409</v>
      </c>
      <c r="E2217" s="2">
        <v>7703.33</v>
      </c>
      <c r="G2217" s="3">
        <f>MONTH(Tabela1[[#This Row],[Último pagto ano]])</f>
        <v>7</v>
      </c>
      <c r="H2217" t="str">
        <f>TEXT(Tabela1[[#This Row],[Coluna2]]*29,"mmmm")</f>
        <v>julho</v>
      </c>
      <c r="I2217" t="str">
        <f>TEXT(MONTH(Tabela1[[#This Row],[Último pagto ano]])*29,"mmmm")</f>
        <v>julho</v>
      </c>
    </row>
    <row r="2218" spans="1:9" x14ac:dyDescent="0.25">
      <c r="A2218">
        <v>2025</v>
      </c>
      <c r="B2218" t="s">
        <v>4410</v>
      </c>
      <c r="C2218" s="1">
        <v>45782</v>
      </c>
      <c r="D2218" t="s">
        <v>4411</v>
      </c>
      <c r="E2218">
        <v>88</v>
      </c>
      <c r="G2218" s="3">
        <f>MONTH(Tabela1[[#This Row],[Último pagto ano]])</f>
        <v>5</v>
      </c>
      <c r="H2218" t="str">
        <f>TEXT(Tabela1[[#This Row],[Coluna2]]*29,"mmmm")</f>
        <v>maio</v>
      </c>
      <c r="I2218" t="str">
        <f>TEXT(MONTH(Tabela1[[#This Row],[Último pagto ano]])*29,"mmmm")</f>
        <v>maio</v>
      </c>
    </row>
    <row r="2219" spans="1:9" x14ac:dyDescent="0.25">
      <c r="A2219">
        <v>2025</v>
      </c>
      <c r="B2219" t="s">
        <v>4412</v>
      </c>
      <c r="C2219" s="1">
        <v>45777</v>
      </c>
      <c r="D2219" t="s">
        <v>4413</v>
      </c>
      <c r="E2219" s="2">
        <v>3136.2</v>
      </c>
      <c r="G2219" s="3">
        <f>MONTH(Tabela1[[#This Row],[Último pagto ano]])</f>
        <v>4</v>
      </c>
      <c r="H2219" t="str">
        <f>TEXT(Tabela1[[#This Row],[Coluna2]]*29,"mmmm")</f>
        <v>abril</v>
      </c>
      <c r="I2219" t="str">
        <f>TEXT(MONTH(Tabela1[[#This Row],[Último pagto ano]])*29,"mmmm")</f>
        <v>abril</v>
      </c>
    </row>
    <row r="2220" spans="1:9" x14ac:dyDescent="0.25">
      <c r="A2220">
        <v>2025</v>
      </c>
      <c r="B2220" t="s">
        <v>4414</v>
      </c>
      <c r="C2220" s="1">
        <v>45744</v>
      </c>
      <c r="D2220" t="s">
        <v>4415</v>
      </c>
      <c r="E2220" s="2">
        <v>103353.94</v>
      </c>
      <c r="G2220" s="3">
        <f>MONTH(Tabela1[[#This Row],[Último pagto ano]])</f>
        <v>3</v>
      </c>
      <c r="H2220" t="str">
        <f>TEXT(Tabela1[[#This Row],[Coluna2]]*29,"mmmm")</f>
        <v>março</v>
      </c>
      <c r="I2220" t="str">
        <f>TEXT(MONTH(Tabela1[[#This Row],[Último pagto ano]])*29,"mmmm")</f>
        <v>março</v>
      </c>
    </row>
    <row r="2221" spans="1:9" x14ac:dyDescent="0.25">
      <c r="A2221">
        <v>2025</v>
      </c>
      <c r="B2221" t="s">
        <v>4416</v>
      </c>
      <c r="C2221" s="1">
        <v>45929</v>
      </c>
      <c r="D2221" t="s">
        <v>4417</v>
      </c>
      <c r="E2221">
        <v>154</v>
      </c>
      <c r="G2221" s="3">
        <f>MONTH(Tabela1[[#This Row],[Último pagto ano]])</f>
        <v>9</v>
      </c>
      <c r="H2221" t="str">
        <f>TEXT(Tabela1[[#This Row],[Coluna2]]*29,"mmmm")</f>
        <v>setembro</v>
      </c>
      <c r="I2221" t="str">
        <f>TEXT(MONTH(Tabela1[[#This Row],[Último pagto ano]])*29,"mmmm")</f>
        <v>setembro</v>
      </c>
    </row>
    <row r="2222" spans="1:9" x14ac:dyDescent="0.25">
      <c r="A2222">
        <v>2025</v>
      </c>
      <c r="B2222" t="s">
        <v>4418</v>
      </c>
      <c r="C2222" s="1">
        <v>45712</v>
      </c>
      <c r="D2222" t="s">
        <v>4419</v>
      </c>
      <c r="E2222" s="2">
        <v>1400</v>
      </c>
      <c r="G2222" s="3">
        <f>MONTH(Tabela1[[#This Row],[Último pagto ano]])</f>
        <v>2</v>
      </c>
      <c r="H2222" t="str">
        <f>TEXT(Tabela1[[#This Row],[Coluna2]]*29,"mmmm")</f>
        <v>fevereiro</v>
      </c>
      <c r="I2222" t="str">
        <f>TEXT(MONTH(Tabela1[[#This Row],[Último pagto ano]])*29,"mmmm")</f>
        <v>fevereiro</v>
      </c>
    </row>
    <row r="2223" spans="1:9" x14ac:dyDescent="0.25">
      <c r="A2223">
        <v>2025</v>
      </c>
      <c r="B2223" t="s">
        <v>4420</v>
      </c>
      <c r="C2223" s="1">
        <v>45702</v>
      </c>
      <c r="D2223" t="s">
        <v>4421</v>
      </c>
      <c r="E2223" s="2">
        <v>1264.78</v>
      </c>
      <c r="G2223" s="3">
        <f>MONTH(Tabela1[[#This Row],[Último pagto ano]])</f>
        <v>2</v>
      </c>
      <c r="H2223" t="str">
        <f>TEXT(Tabela1[[#This Row],[Coluna2]]*29,"mmmm")</f>
        <v>fevereiro</v>
      </c>
      <c r="I2223" t="str">
        <f>TEXT(MONTH(Tabela1[[#This Row],[Último pagto ano]])*29,"mmmm")</f>
        <v>fevereiro</v>
      </c>
    </row>
    <row r="2224" spans="1:9" x14ac:dyDescent="0.25">
      <c r="A2224">
        <v>2025</v>
      </c>
      <c r="B2224" t="s">
        <v>4422</v>
      </c>
      <c r="C2224" s="1">
        <v>46013</v>
      </c>
      <c r="D2224" t="s">
        <v>4423</v>
      </c>
      <c r="E2224">
        <v>18.91</v>
      </c>
      <c r="G2224" s="3">
        <f>MONTH(Tabela1[[#This Row],[Último pagto ano]])</f>
        <v>12</v>
      </c>
      <c r="H2224" t="str">
        <f>TEXT(Tabela1[[#This Row],[Coluna2]]*29,"mmmm")</f>
        <v>dezembro</v>
      </c>
      <c r="I2224" t="str">
        <f>TEXT(MONTH(Tabela1[[#This Row],[Último pagto ano]])*29,"mmmm")</f>
        <v>dezembro</v>
      </c>
    </row>
    <row r="2225" spans="1:9" x14ac:dyDescent="0.25">
      <c r="A2225">
        <v>2025</v>
      </c>
      <c r="B2225" t="s">
        <v>4424</v>
      </c>
      <c r="C2225" s="1">
        <v>45777</v>
      </c>
      <c r="D2225" t="s">
        <v>4425</v>
      </c>
      <c r="E2225" s="2">
        <v>10128.07</v>
      </c>
      <c r="G2225" s="3">
        <f>MONTH(Tabela1[[#This Row],[Último pagto ano]])</f>
        <v>4</v>
      </c>
      <c r="H2225" t="str">
        <f>TEXT(Tabela1[[#This Row],[Coluna2]]*29,"mmmm")</f>
        <v>abril</v>
      </c>
      <c r="I2225" t="str">
        <f>TEXT(MONTH(Tabela1[[#This Row],[Último pagto ano]])*29,"mmmm")</f>
        <v>abril</v>
      </c>
    </row>
    <row r="2226" spans="1:9" x14ac:dyDescent="0.25">
      <c r="A2226">
        <v>2025</v>
      </c>
      <c r="B2226" t="s">
        <v>4426</v>
      </c>
      <c r="C2226" s="1">
        <v>46014</v>
      </c>
      <c r="D2226" t="s">
        <v>4427</v>
      </c>
      <c r="E2226" s="2">
        <v>882419.8</v>
      </c>
      <c r="G2226" s="3">
        <f>MONTH(Tabela1[[#This Row],[Último pagto ano]])</f>
        <v>12</v>
      </c>
      <c r="H2226" t="str">
        <f>TEXT(Tabela1[[#This Row],[Coluna2]]*29,"mmmm")</f>
        <v>dezembro</v>
      </c>
      <c r="I2226" t="str">
        <f>TEXT(MONTH(Tabela1[[#This Row],[Último pagto ano]])*29,"mmmm")</f>
        <v>dezembro</v>
      </c>
    </row>
    <row r="2227" spans="1:9" x14ac:dyDescent="0.25">
      <c r="A2227">
        <v>2025</v>
      </c>
      <c r="B2227" t="s">
        <v>4428</v>
      </c>
      <c r="C2227" s="1">
        <v>45936</v>
      </c>
      <c r="D2227" t="s">
        <v>4429</v>
      </c>
      <c r="E2227">
        <v>581.45000000000005</v>
      </c>
      <c r="G2227" s="3">
        <f>MONTH(Tabela1[[#This Row],[Último pagto ano]])</f>
        <v>10</v>
      </c>
      <c r="H2227" t="str">
        <f>TEXT(Tabela1[[#This Row],[Coluna2]]*29,"mmmm")</f>
        <v>outubro</v>
      </c>
      <c r="I2227" t="str">
        <f>TEXT(MONTH(Tabela1[[#This Row],[Último pagto ano]])*29,"mmmm")</f>
        <v>outubro</v>
      </c>
    </row>
    <row r="2228" spans="1:9" x14ac:dyDescent="0.25">
      <c r="A2228">
        <v>2025</v>
      </c>
      <c r="B2228" t="s">
        <v>4430</v>
      </c>
      <c r="C2228" s="1">
        <v>45824</v>
      </c>
      <c r="D2228" t="s">
        <v>4431</v>
      </c>
      <c r="E2228" s="2">
        <v>9841.7999999999993</v>
      </c>
      <c r="G2228" s="3">
        <f>MONTH(Tabela1[[#This Row],[Último pagto ano]])</f>
        <v>6</v>
      </c>
      <c r="H2228" t="str">
        <f>TEXT(Tabela1[[#This Row],[Coluna2]]*29,"mmmm")</f>
        <v>junho</v>
      </c>
      <c r="I2228" t="str">
        <f>TEXT(MONTH(Tabela1[[#This Row],[Último pagto ano]])*29,"mmmm")</f>
        <v>junho</v>
      </c>
    </row>
    <row r="2229" spans="1:9" x14ac:dyDescent="0.25">
      <c r="A2229">
        <v>2025</v>
      </c>
      <c r="B2229" t="s">
        <v>4432</v>
      </c>
      <c r="C2229" s="1">
        <v>46010</v>
      </c>
      <c r="D2229" t="s">
        <v>4433</v>
      </c>
      <c r="E2229" s="2">
        <v>8400</v>
      </c>
      <c r="G2229" s="3">
        <f>MONTH(Tabela1[[#This Row],[Último pagto ano]])</f>
        <v>12</v>
      </c>
      <c r="H2229" t="str">
        <f>TEXT(Tabela1[[#This Row],[Coluna2]]*29,"mmmm")</f>
        <v>dezembro</v>
      </c>
      <c r="I2229" t="str">
        <f>TEXT(MONTH(Tabela1[[#This Row],[Último pagto ano]])*29,"mmmm")</f>
        <v>dezembro</v>
      </c>
    </row>
    <row r="2230" spans="1:9" x14ac:dyDescent="0.25">
      <c r="A2230">
        <v>2025</v>
      </c>
      <c r="B2230" t="s">
        <v>4434</v>
      </c>
      <c r="C2230" s="1">
        <v>46014</v>
      </c>
      <c r="D2230" t="s">
        <v>4435</v>
      </c>
      <c r="E2230" s="2">
        <v>9710</v>
      </c>
      <c r="G2230" s="3">
        <f>MONTH(Tabela1[[#This Row],[Último pagto ano]])</f>
        <v>12</v>
      </c>
      <c r="H2230" t="str">
        <f>TEXT(Tabela1[[#This Row],[Coluna2]]*29,"mmmm")</f>
        <v>dezembro</v>
      </c>
      <c r="I2230" t="str">
        <f>TEXT(MONTH(Tabela1[[#This Row],[Último pagto ano]])*29,"mmmm")</f>
        <v>dezembro</v>
      </c>
    </row>
    <row r="2231" spans="1:9" x14ac:dyDescent="0.25">
      <c r="A2231">
        <v>2025</v>
      </c>
      <c r="B2231" t="s">
        <v>4436</v>
      </c>
      <c r="C2231" s="1">
        <v>46006</v>
      </c>
      <c r="D2231" t="s">
        <v>4437</v>
      </c>
      <c r="E2231" s="2">
        <v>18104.72</v>
      </c>
      <c r="G2231" s="3">
        <f>MONTH(Tabela1[[#This Row],[Último pagto ano]])</f>
        <v>12</v>
      </c>
      <c r="H2231" t="str">
        <f>TEXT(Tabela1[[#This Row],[Coluna2]]*29,"mmmm")</f>
        <v>dezembro</v>
      </c>
      <c r="I2231" t="str">
        <f>TEXT(MONTH(Tabela1[[#This Row],[Último pagto ano]])*29,"mmmm")</f>
        <v>dezembro</v>
      </c>
    </row>
    <row r="2232" spans="1:9" x14ac:dyDescent="0.25">
      <c r="A2232">
        <v>2025</v>
      </c>
      <c r="B2232" t="s">
        <v>4438</v>
      </c>
      <c r="C2232" s="1">
        <v>45672</v>
      </c>
      <c r="D2232" t="s">
        <v>4439</v>
      </c>
      <c r="E2232">
        <v>848.64</v>
      </c>
      <c r="G2232" s="3">
        <f>MONTH(Tabela1[[#This Row],[Último pagto ano]])</f>
        <v>1</v>
      </c>
      <c r="H2232" t="str">
        <f>TEXT(Tabela1[[#This Row],[Coluna2]]*29,"mmmm")</f>
        <v>janeiro</v>
      </c>
      <c r="I2232" t="str">
        <f>TEXT(MONTH(Tabela1[[#This Row],[Último pagto ano]])*29,"mmmm")</f>
        <v>janeiro</v>
      </c>
    </row>
    <row r="2233" spans="1:9" x14ac:dyDescent="0.25">
      <c r="A2233">
        <v>2025</v>
      </c>
      <c r="B2233" t="s">
        <v>4440</v>
      </c>
      <c r="C2233" s="1">
        <v>45705</v>
      </c>
      <c r="D2233" t="s">
        <v>4441</v>
      </c>
      <c r="E2233" s="2">
        <v>3178.08</v>
      </c>
      <c r="G2233" s="3">
        <f>MONTH(Tabela1[[#This Row],[Último pagto ano]])</f>
        <v>2</v>
      </c>
      <c r="H2233" t="str">
        <f>TEXT(Tabela1[[#This Row],[Coluna2]]*29,"mmmm")</f>
        <v>fevereiro</v>
      </c>
      <c r="I2233" t="str">
        <f>TEXT(MONTH(Tabela1[[#This Row],[Último pagto ano]])*29,"mmmm")</f>
        <v>fevereiro</v>
      </c>
    </row>
    <row r="2234" spans="1:9" x14ac:dyDescent="0.25">
      <c r="A2234">
        <v>2025</v>
      </c>
      <c r="B2234" t="s">
        <v>4442</v>
      </c>
      <c r="C2234" s="1">
        <v>45975</v>
      </c>
      <c r="D2234" t="s">
        <v>4443</v>
      </c>
      <c r="E2234" s="2">
        <v>1086.03</v>
      </c>
      <c r="G2234" s="3">
        <f>MONTH(Tabela1[[#This Row],[Último pagto ano]])</f>
        <v>11</v>
      </c>
      <c r="H2234" t="str">
        <f>TEXT(Tabela1[[#This Row],[Coluna2]]*29,"mmmm")</f>
        <v>novembro</v>
      </c>
      <c r="I2234" t="str">
        <f>TEXT(MONTH(Tabela1[[#This Row],[Último pagto ano]])*29,"mmmm")</f>
        <v>novembro</v>
      </c>
    </row>
    <row r="2235" spans="1:9" x14ac:dyDescent="0.25">
      <c r="A2235">
        <v>2025</v>
      </c>
      <c r="B2235" t="s">
        <v>4444</v>
      </c>
      <c r="C2235" s="1">
        <v>45663</v>
      </c>
      <c r="D2235" t="s">
        <v>4445</v>
      </c>
      <c r="E2235">
        <v>104</v>
      </c>
      <c r="G2235" s="3">
        <f>MONTH(Tabela1[[#This Row],[Último pagto ano]])</f>
        <v>1</v>
      </c>
      <c r="H2235" t="str">
        <f>TEXT(Tabela1[[#This Row],[Coluna2]]*29,"mmmm")</f>
        <v>janeiro</v>
      </c>
      <c r="I2235" t="str">
        <f>TEXT(MONTH(Tabela1[[#This Row],[Último pagto ano]])*29,"mmmm")</f>
        <v>janeiro</v>
      </c>
    </row>
    <row r="2236" spans="1:9" x14ac:dyDescent="0.25">
      <c r="A2236">
        <v>2025</v>
      </c>
      <c r="B2236" t="s">
        <v>4446</v>
      </c>
      <c r="C2236" s="1">
        <v>46007</v>
      </c>
      <c r="D2236" t="s">
        <v>4447</v>
      </c>
      <c r="E2236" s="2">
        <v>114335.28</v>
      </c>
      <c r="G2236" s="3">
        <f>MONTH(Tabela1[[#This Row],[Último pagto ano]])</f>
        <v>12</v>
      </c>
      <c r="H2236" t="str">
        <f>TEXT(Tabela1[[#This Row],[Coluna2]]*29,"mmmm")</f>
        <v>dezembro</v>
      </c>
      <c r="I2236" t="str">
        <f>TEXT(MONTH(Tabela1[[#This Row],[Último pagto ano]])*29,"mmmm")</f>
        <v>dezembro</v>
      </c>
    </row>
    <row r="2237" spans="1:9" x14ac:dyDescent="0.25">
      <c r="A2237">
        <v>2025</v>
      </c>
      <c r="B2237" t="s">
        <v>4448</v>
      </c>
      <c r="C2237" s="1">
        <v>46021</v>
      </c>
      <c r="D2237" t="s">
        <v>4449</v>
      </c>
      <c r="E2237" s="2">
        <v>1312.04</v>
      </c>
      <c r="G2237" s="3">
        <f>MONTH(Tabela1[[#This Row],[Último pagto ano]])</f>
        <v>12</v>
      </c>
      <c r="H2237" t="str">
        <f>TEXT(Tabela1[[#This Row],[Coluna2]]*29,"mmmm")</f>
        <v>dezembro</v>
      </c>
      <c r="I2237" t="str">
        <f>TEXT(MONTH(Tabela1[[#This Row],[Último pagto ano]])*29,"mmmm")</f>
        <v>dezembro</v>
      </c>
    </row>
    <row r="2238" spans="1:9" x14ac:dyDescent="0.25">
      <c r="A2238">
        <v>2025</v>
      </c>
      <c r="B2238" t="s">
        <v>4450</v>
      </c>
      <c r="C2238" s="1">
        <v>45664</v>
      </c>
      <c r="D2238" t="s">
        <v>4451</v>
      </c>
      <c r="E2238" s="2">
        <v>17908</v>
      </c>
      <c r="G2238" s="3">
        <f>MONTH(Tabela1[[#This Row],[Último pagto ano]])</f>
        <v>1</v>
      </c>
      <c r="H2238" t="str">
        <f>TEXT(Tabela1[[#This Row],[Coluna2]]*29,"mmmm")</f>
        <v>janeiro</v>
      </c>
      <c r="I2238" t="str">
        <f>TEXT(MONTH(Tabela1[[#This Row],[Último pagto ano]])*29,"mmmm")</f>
        <v>janeiro</v>
      </c>
    </row>
    <row r="2239" spans="1:9" x14ac:dyDescent="0.25">
      <c r="A2239">
        <v>2025</v>
      </c>
      <c r="B2239" t="s">
        <v>4452</v>
      </c>
      <c r="C2239" s="1">
        <v>45996</v>
      </c>
      <c r="D2239" t="s">
        <v>4453</v>
      </c>
      <c r="E2239" s="2">
        <v>30240</v>
      </c>
      <c r="G2239" s="3">
        <f>MONTH(Tabela1[[#This Row],[Último pagto ano]])</f>
        <v>12</v>
      </c>
      <c r="H2239" t="str">
        <f>TEXT(Tabela1[[#This Row],[Coluna2]]*29,"mmmm")</f>
        <v>dezembro</v>
      </c>
      <c r="I2239" t="str">
        <f>TEXT(MONTH(Tabela1[[#This Row],[Último pagto ano]])*29,"mmmm")</f>
        <v>dezembro</v>
      </c>
    </row>
    <row r="2240" spans="1:9" x14ac:dyDescent="0.25">
      <c r="A2240">
        <v>2025</v>
      </c>
      <c r="B2240" t="s">
        <v>4454</v>
      </c>
      <c r="C2240" s="1">
        <v>45993</v>
      </c>
      <c r="D2240" t="s">
        <v>4455</v>
      </c>
      <c r="E2240" s="2">
        <v>280505.2</v>
      </c>
      <c r="G2240" s="3">
        <f>MONTH(Tabela1[[#This Row],[Último pagto ano]])</f>
        <v>12</v>
      </c>
      <c r="H2240" t="str">
        <f>TEXT(Tabela1[[#This Row],[Coluna2]]*29,"mmmm")</f>
        <v>dezembro</v>
      </c>
      <c r="I2240" t="str">
        <f>TEXT(MONTH(Tabela1[[#This Row],[Último pagto ano]])*29,"mmmm")</f>
        <v>dezembro</v>
      </c>
    </row>
    <row r="2241" spans="1:9" x14ac:dyDescent="0.25">
      <c r="A2241">
        <v>2025</v>
      </c>
      <c r="B2241" t="s">
        <v>4456</v>
      </c>
      <c r="C2241" s="1">
        <v>45841</v>
      </c>
      <c r="D2241" t="s">
        <v>4457</v>
      </c>
      <c r="E2241" s="2">
        <v>3896.48</v>
      </c>
      <c r="G2241" s="3">
        <f>MONTH(Tabela1[[#This Row],[Último pagto ano]])</f>
        <v>7</v>
      </c>
      <c r="H2241" t="str">
        <f>TEXT(Tabela1[[#This Row],[Coluna2]]*29,"mmmm")</f>
        <v>julho</v>
      </c>
      <c r="I2241" t="str">
        <f>TEXT(MONTH(Tabela1[[#This Row],[Último pagto ano]])*29,"mmmm")</f>
        <v>julho</v>
      </c>
    </row>
    <row r="2242" spans="1:9" x14ac:dyDescent="0.25">
      <c r="A2242">
        <v>2025</v>
      </c>
      <c r="B2242" t="s">
        <v>4458</v>
      </c>
      <c r="C2242" s="1">
        <v>45908</v>
      </c>
      <c r="D2242" t="s">
        <v>4459</v>
      </c>
      <c r="E2242">
        <v>22</v>
      </c>
      <c r="G2242" s="3">
        <f>MONTH(Tabela1[[#This Row],[Último pagto ano]])</f>
        <v>9</v>
      </c>
      <c r="H2242" t="str">
        <f>TEXT(Tabela1[[#This Row],[Coluna2]]*29,"mmmm")</f>
        <v>setembro</v>
      </c>
      <c r="I2242" t="str">
        <f>TEXT(MONTH(Tabela1[[#This Row],[Último pagto ano]])*29,"mmmm")</f>
        <v>setembro</v>
      </c>
    </row>
    <row r="2243" spans="1:9" x14ac:dyDescent="0.25">
      <c r="A2243">
        <v>2025</v>
      </c>
      <c r="B2243" t="s">
        <v>4460</v>
      </c>
      <c r="C2243" s="1">
        <v>45996</v>
      </c>
      <c r="D2243" t="s">
        <v>4461</v>
      </c>
      <c r="E2243" s="2">
        <v>36000</v>
      </c>
      <c r="G2243" s="3">
        <f>MONTH(Tabela1[[#This Row],[Último pagto ano]])</f>
        <v>12</v>
      </c>
      <c r="H2243" t="str">
        <f>TEXT(Tabela1[[#This Row],[Coluna2]]*29,"mmmm")</f>
        <v>dezembro</v>
      </c>
      <c r="I2243" t="str">
        <f>TEXT(MONTH(Tabela1[[#This Row],[Último pagto ano]])*29,"mmmm")</f>
        <v>dezembro</v>
      </c>
    </row>
    <row r="2244" spans="1:9" x14ac:dyDescent="0.25">
      <c r="A2244">
        <v>2025</v>
      </c>
      <c r="B2244" t="s">
        <v>4462</v>
      </c>
      <c r="C2244" s="1">
        <v>45747</v>
      </c>
      <c r="D2244" t="s">
        <v>4463</v>
      </c>
      <c r="E2244">
        <v>418.9</v>
      </c>
      <c r="G2244" s="3">
        <f>MONTH(Tabela1[[#This Row],[Último pagto ano]])</f>
        <v>3</v>
      </c>
      <c r="H2244" t="str">
        <f>TEXT(Tabela1[[#This Row],[Coluna2]]*29,"mmmm")</f>
        <v>março</v>
      </c>
      <c r="I2244" t="str">
        <f>TEXT(MONTH(Tabela1[[#This Row],[Último pagto ano]])*29,"mmmm")</f>
        <v>março</v>
      </c>
    </row>
    <row r="2245" spans="1:9" x14ac:dyDescent="0.25">
      <c r="A2245">
        <v>2025</v>
      </c>
      <c r="B2245" t="s">
        <v>4464</v>
      </c>
      <c r="C2245" s="1">
        <v>45701</v>
      </c>
      <c r="D2245" t="s">
        <v>4465</v>
      </c>
      <c r="E2245">
        <v>854.1</v>
      </c>
      <c r="G2245" s="3">
        <f>MONTH(Tabela1[[#This Row],[Último pagto ano]])</f>
        <v>2</v>
      </c>
      <c r="H2245" t="str">
        <f>TEXT(Tabela1[[#This Row],[Coluna2]]*29,"mmmm")</f>
        <v>fevereiro</v>
      </c>
      <c r="I2245" t="str">
        <f>TEXT(MONTH(Tabela1[[#This Row],[Último pagto ano]])*29,"mmmm")</f>
        <v>fevereiro</v>
      </c>
    </row>
    <row r="2246" spans="1:9" x14ac:dyDescent="0.25">
      <c r="A2246">
        <v>2025</v>
      </c>
      <c r="B2246" t="s">
        <v>4466</v>
      </c>
      <c r="C2246" s="1">
        <v>46007</v>
      </c>
      <c r="D2246" t="s">
        <v>4467</v>
      </c>
      <c r="E2246" s="2">
        <v>94502.8</v>
      </c>
      <c r="G2246" s="3">
        <f>MONTH(Tabela1[[#This Row],[Último pagto ano]])</f>
        <v>12</v>
      </c>
      <c r="H2246" t="str">
        <f>TEXT(Tabela1[[#This Row],[Coluna2]]*29,"mmmm")</f>
        <v>dezembro</v>
      </c>
      <c r="I2246" t="str">
        <f>TEXT(MONTH(Tabela1[[#This Row],[Último pagto ano]])*29,"mmmm")</f>
        <v>dezembro</v>
      </c>
    </row>
    <row r="2247" spans="1:9" x14ac:dyDescent="0.25">
      <c r="A2247">
        <v>2025</v>
      </c>
      <c r="B2247" t="s">
        <v>4468</v>
      </c>
      <c r="C2247" s="1">
        <v>45989</v>
      </c>
      <c r="D2247" t="s">
        <v>4469</v>
      </c>
      <c r="E2247" s="2">
        <v>11599.07</v>
      </c>
      <c r="G2247" s="3">
        <f>MONTH(Tabela1[[#This Row],[Último pagto ano]])</f>
        <v>11</v>
      </c>
      <c r="H2247" t="str">
        <f>TEXT(Tabela1[[#This Row],[Coluna2]]*29,"mmmm")</f>
        <v>novembro</v>
      </c>
      <c r="I2247" t="str">
        <f>TEXT(MONTH(Tabela1[[#This Row],[Último pagto ano]])*29,"mmmm")</f>
        <v>novembro</v>
      </c>
    </row>
    <row r="2248" spans="1:9" x14ac:dyDescent="0.25">
      <c r="A2248">
        <v>2025</v>
      </c>
      <c r="B2248" t="s">
        <v>4470</v>
      </c>
      <c r="C2248" s="1">
        <v>45835</v>
      </c>
      <c r="D2248" t="s">
        <v>4471</v>
      </c>
      <c r="E2248">
        <v>33</v>
      </c>
      <c r="G2248" s="3">
        <f>MONTH(Tabela1[[#This Row],[Último pagto ano]])</f>
        <v>6</v>
      </c>
      <c r="H2248" t="str">
        <f>TEXT(Tabela1[[#This Row],[Coluna2]]*29,"mmmm")</f>
        <v>junho</v>
      </c>
      <c r="I2248" t="str">
        <f>TEXT(MONTH(Tabela1[[#This Row],[Último pagto ano]])*29,"mmmm")</f>
        <v>junho</v>
      </c>
    </row>
    <row r="2249" spans="1:9" x14ac:dyDescent="0.25">
      <c r="A2249">
        <v>2025</v>
      </c>
      <c r="B2249" t="s">
        <v>4472</v>
      </c>
      <c r="C2249" s="1">
        <v>46010</v>
      </c>
      <c r="D2249" t="s">
        <v>4473</v>
      </c>
      <c r="E2249" s="2">
        <v>2100</v>
      </c>
      <c r="G2249" s="3">
        <f>MONTH(Tabela1[[#This Row],[Último pagto ano]])</f>
        <v>12</v>
      </c>
      <c r="H2249" t="str">
        <f>TEXT(Tabela1[[#This Row],[Coluna2]]*29,"mmmm")</f>
        <v>dezembro</v>
      </c>
      <c r="I2249" t="str">
        <f>TEXT(MONTH(Tabela1[[#This Row],[Último pagto ano]])*29,"mmmm")</f>
        <v>dezembro</v>
      </c>
    </row>
    <row r="2250" spans="1:9" x14ac:dyDescent="0.25">
      <c r="A2250">
        <v>2025</v>
      </c>
      <c r="B2250" t="s">
        <v>4474</v>
      </c>
      <c r="C2250" s="1">
        <v>45996</v>
      </c>
      <c r="D2250" t="s">
        <v>4475</v>
      </c>
      <c r="E2250" s="2">
        <v>3432</v>
      </c>
      <c r="G2250" s="3">
        <f>MONTH(Tabela1[[#This Row],[Último pagto ano]])</f>
        <v>12</v>
      </c>
      <c r="H2250" t="str">
        <f>TEXT(Tabela1[[#This Row],[Coluna2]]*29,"mmmm")</f>
        <v>dezembro</v>
      </c>
      <c r="I2250" t="str">
        <f>TEXT(MONTH(Tabela1[[#This Row],[Último pagto ano]])*29,"mmmm")</f>
        <v>dezembro</v>
      </c>
    </row>
    <row r="2251" spans="1:9" x14ac:dyDescent="0.25">
      <c r="A2251">
        <v>2025</v>
      </c>
      <c r="B2251" t="s">
        <v>4476</v>
      </c>
      <c r="C2251" s="1">
        <v>46008</v>
      </c>
      <c r="D2251" t="s">
        <v>4477</v>
      </c>
      <c r="E2251" s="2">
        <v>107207.1</v>
      </c>
      <c r="G2251" s="3">
        <f>MONTH(Tabela1[[#This Row],[Último pagto ano]])</f>
        <v>12</v>
      </c>
      <c r="H2251" t="str">
        <f>TEXT(Tabela1[[#This Row],[Coluna2]]*29,"mmmm")</f>
        <v>dezembro</v>
      </c>
      <c r="I2251" t="str">
        <f>TEXT(MONTH(Tabela1[[#This Row],[Último pagto ano]])*29,"mmmm")</f>
        <v>dezembro</v>
      </c>
    </row>
    <row r="2252" spans="1:9" x14ac:dyDescent="0.25">
      <c r="A2252">
        <v>2025</v>
      </c>
      <c r="B2252" t="s">
        <v>4478</v>
      </c>
      <c r="C2252" s="1">
        <v>46013</v>
      </c>
      <c r="D2252" t="s">
        <v>4479</v>
      </c>
      <c r="E2252" s="2">
        <v>5522.4</v>
      </c>
      <c r="G2252" s="3">
        <f>MONTH(Tabela1[[#This Row],[Último pagto ano]])</f>
        <v>12</v>
      </c>
      <c r="H2252" t="str">
        <f>TEXT(Tabela1[[#This Row],[Coluna2]]*29,"mmmm")</f>
        <v>dezembro</v>
      </c>
      <c r="I2252" t="str">
        <f>TEXT(MONTH(Tabela1[[#This Row],[Último pagto ano]])*29,"mmmm")</f>
        <v>dezembro</v>
      </c>
    </row>
    <row r="2253" spans="1:9" x14ac:dyDescent="0.25">
      <c r="A2253">
        <v>2025</v>
      </c>
      <c r="B2253" t="s">
        <v>4480</v>
      </c>
      <c r="C2253" s="1">
        <v>45996</v>
      </c>
      <c r="D2253" t="s">
        <v>4481</v>
      </c>
      <c r="E2253" s="2">
        <v>54371.25</v>
      </c>
      <c r="G2253" s="3">
        <f>MONTH(Tabela1[[#This Row],[Último pagto ano]])</f>
        <v>12</v>
      </c>
      <c r="H2253" t="str">
        <f>TEXT(Tabela1[[#This Row],[Coluna2]]*29,"mmmm")</f>
        <v>dezembro</v>
      </c>
      <c r="I2253" t="str">
        <f>TEXT(MONTH(Tabela1[[#This Row],[Último pagto ano]])*29,"mmmm")</f>
        <v>dezembro</v>
      </c>
    </row>
    <row r="2254" spans="1:9" x14ac:dyDescent="0.25">
      <c r="A2254">
        <v>2025</v>
      </c>
      <c r="B2254" t="s">
        <v>4482</v>
      </c>
      <c r="C2254" s="1">
        <v>46006</v>
      </c>
      <c r="D2254" t="s">
        <v>4483</v>
      </c>
      <c r="E2254" s="2">
        <v>10029.6</v>
      </c>
      <c r="G2254" s="3">
        <f>MONTH(Tabela1[[#This Row],[Último pagto ano]])</f>
        <v>12</v>
      </c>
      <c r="H2254" t="str">
        <f>TEXT(Tabela1[[#This Row],[Coluna2]]*29,"mmmm")</f>
        <v>dezembro</v>
      </c>
      <c r="I2254" t="str">
        <f>TEXT(MONTH(Tabela1[[#This Row],[Último pagto ano]])*29,"mmmm")</f>
        <v>dezembro</v>
      </c>
    </row>
    <row r="2255" spans="1:9" x14ac:dyDescent="0.25">
      <c r="A2255">
        <v>2025</v>
      </c>
      <c r="B2255" t="s">
        <v>4484</v>
      </c>
      <c r="C2255" s="1">
        <v>46006</v>
      </c>
      <c r="D2255" t="s">
        <v>4485</v>
      </c>
      <c r="E2255" s="2">
        <v>5519.28</v>
      </c>
      <c r="G2255" s="3">
        <f>MONTH(Tabela1[[#This Row],[Último pagto ano]])</f>
        <v>12</v>
      </c>
      <c r="H2255" t="str">
        <f>TEXT(Tabela1[[#This Row],[Coluna2]]*29,"mmmm")</f>
        <v>dezembro</v>
      </c>
      <c r="I2255" t="str">
        <f>TEXT(MONTH(Tabela1[[#This Row],[Último pagto ano]])*29,"mmmm")</f>
        <v>dezembro</v>
      </c>
    </row>
    <row r="2256" spans="1:9" x14ac:dyDescent="0.25">
      <c r="A2256">
        <v>2025</v>
      </c>
      <c r="B2256" t="s">
        <v>4486</v>
      </c>
      <c r="C2256" s="1">
        <v>45996</v>
      </c>
      <c r="D2256" t="s">
        <v>4487</v>
      </c>
      <c r="E2256" s="2">
        <v>59400</v>
      </c>
      <c r="G2256" s="3">
        <f>MONTH(Tabela1[[#This Row],[Último pagto ano]])</f>
        <v>12</v>
      </c>
      <c r="H2256" t="str">
        <f>TEXT(Tabela1[[#This Row],[Coluna2]]*29,"mmmm")</f>
        <v>dezembro</v>
      </c>
      <c r="I2256" t="str">
        <f>TEXT(MONTH(Tabela1[[#This Row],[Último pagto ano]])*29,"mmmm")</f>
        <v>dezembro</v>
      </c>
    </row>
    <row r="2257" spans="1:9" x14ac:dyDescent="0.25">
      <c r="A2257">
        <v>2025</v>
      </c>
      <c r="B2257" t="s">
        <v>4488</v>
      </c>
      <c r="C2257" s="1">
        <v>45876</v>
      </c>
      <c r="D2257" t="s">
        <v>4489</v>
      </c>
      <c r="E2257" s="2">
        <v>17403.75</v>
      </c>
      <c r="G2257" s="3">
        <f>MONTH(Tabela1[[#This Row],[Último pagto ano]])</f>
        <v>8</v>
      </c>
      <c r="H2257" t="str">
        <f>TEXT(Tabela1[[#This Row],[Coluna2]]*29,"mmmm")</f>
        <v>agosto</v>
      </c>
      <c r="I2257" t="str">
        <f>TEXT(MONTH(Tabela1[[#This Row],[Último pagto ano]])*29,"mmmm")</f>
        <v>agosto</v>
      </c>
    </row>
    <row r="2258" spans="1:9" x14ac:dyDescent="0.25">
      <c r="A2258">
        <v>2025</v>
      </c>
      <c r="B2258" t="s">
        <v>4490</v>
      </c>
      <c r="C2258" s="1">
        <v>46006</v>
      </c>
      <c r="D2258" t="s">
        <v>4491</v>
      </c>
      <c r="E2258" s="2">
        <v>16624.080000000002</v>
      </c>
      <c r="G2258" s="3">
        <f>MONTH(Tabela1[[#This Row],[Último pagto ano]])</f>
        <v>12</v>
      </c>
      <c r="H2258" t="str">
        <f>TEXT(Tabela1[[#This Row],[Coluna2]]*29,"mmmm")</f>
        <v>dezembro</v>
      </c>
      <c r="I2258" t="str">
        <f>TEXT(MONTH(Tabela1[[#This Row],[Último pagto ano]])*29,"mmmm")</f>
        <v>dezembro</v>
      </c>
    </row>
    <row r="2259" spans="1:9" x14ac:dyDescent="0.25">
      <c r="A2259">
        <v>2025</v>
      </c>
      <c r="B2259" t="s">
        <v>4492</v>
      </c>
      <c r="C2259" s="1">
        <v>45975</v>
      </c>
      <c r="D2259" t="s">
        <v>4493</v>
      </c>
      <c r="E2259" s="2">
        <v>2665.44</v>
      </c>
      <c r="G2259" s="3">
        <f>MONTH(Tabela1[[#This Row],[Último pagto ano]])</f>
        <v>11</v>
      </c>
      <c r="H2259" t="str">
        <f>TEXT(Tabela1[[#This Row],[Coluna2]]*29,"mmmm")</f>
        <v>novembro</v>
      </c>
      <c r="I2259" t="str">
        <f>TEXT(MONTH(Tabela1[[#This Row],[Último pagto ano]])*29,"mmmm")</f>
        <v>novembro</v>
      </c>
    </row>
    <row r="2260" spans="1:9" x14ac:dyDescent="0.25">
      <c r="A2260">
        <v>2025</v>
      </c>
      <c r="B2260" t="s">
        <v>4494</v>
      </c>
      <c r="C2260" s="1">
        <v>45975</v>
      </c>
      <c r="D2260" t="s">
        <v>4495</v>
      </c>
      <c r="E2260">
        <v>888.48</v>
      </c>
      <c r="G2260" s="3">
        <f>MONTH(Tabela1[[#This Row],[Último pagto ano]])</f>
        <v>11</v>
      </c>
      <c r="H2260" t="str">
        <f>TEXT(Tabela1[[#This Row],[Coluna2]]*29,"mmmm")</f>
        <v>novembro</v>
      </c>
      <c r="I2260" t="str">
        <f>TEXT(MONTH(Tabela1[[#This Row],[Último pagto ano]])*29,"mmmm")</f>
        <v>novembro</v>
      </c>
    </row>
    <row r="2261" spans="1:9" x14ac:dyDescent="0.25">
      <c r="A2261">
        <v>2025</v>
      </c>
      <c r="B2261" t="s">
        <v>4496</v>
      </c>
      <c r="C2261" s="1">
        <v>45733</v>
      </c>
      <c r="D2261" t="s">
        <v>4497</v>
      </c>
      <c r="E2261">
        <v>592.32000000000005</v>
      </c>
      <c r="G2261" s="3">
        <f>MONTH(Tabela1[[#This Row],[Último pagto ano]])</f>
        <v>3</v>
      </c>
      <c r="H2261" t="str">
        <f>TEXT(Tabela1[[#This Row],[Coluna2]]*29,"mmmm")</f>
        <v>março</v>
      </c>
      <c r="I2261" t="str">
        <f>TEXT(MONTH(Tabela1[[#This Row],[Último pagto ano]])*29,"mmmm")</f>
        <v>março</v>
      </c>
    </row>
    <row r="2262" spans="1:9" x14ac:dyDescent="0.25">
      <c r="A2262">
        <v>2025</v>
      </c>
      <c r="B2262" t="s">
        <v>4498</v>
      </c>
      <c r="C2262" s="1">
        <v>45999</v>
      </c>
      <c r="D2262" t="s">
        <v>4499</v>
      </c>
      <c r="E2262">
        <v>44</v>
      </c>
      <c r="G2262" s="3">
        <f>MONTH(Tabela1[[#This Row],[Último pagto ano]])</f>
        <v>12</v>
      </c>
      <c r="H2262" t="str">
        <f>TEXT(Tabela1[[#This Row],[Coluna2]]*29,"mmmm")</f>
        <v>dezembro</v>
      </c>
      <c r="I2262" t="str">
        <f>TEXT(MONTH(Tabela1[[#This Row],[Último pagto ano]])*29,"mmmm")</f>
        <v>dezembro</v>
      </c>
    </row>
    <row r="2263" spans="1:9" x14ac:dyDescent="0.25">
      <c r="A2263">
        <v>2025</v>
      </c>
      <c r="B2263" t="s">
        <v>4500</v>
      </c>
      <c r="C2263" s="1">
        <v>45821</v>
      </c>
      <c r="D2263" t="s">
        <v>4501</v>
      </c>
      <c r="E2263">
        <v>197.67</v>
      </c>
      <c r="G2263" s="3">
        <f>MONTH(Tabela1[[#This Row],[Último pagto ano]])</f>
        <v>6</v>
      </c>
      <c r="H2263" t="str">
        <f>TEXT(Tabela1[[#This Row],[Coluna2]]*29,"mmmm")</f>
        <v>junho</v>
      </c>
      <c r="I2263" t="str">
        <f>TEXT(MONTH(Tabela1[[#This Row],[Último pagto ano]])*29,"mmmm")</f>
        <v>junho</v>
      </c>
    </row>
    <row r="2264" spans="1:9" x14ac:dyDescent="0.25">
      <c r="A2264">
        <v>2025</v>
      </c>
      <c r="B2264" t="s">
        <v>4502</v>
      </c>
      <c r="C2264" s="1">
        <v>46013</v>
      </c>
      <c r="D2264" t="s">
        <v>4503</v>
      </c>
      <c r="E2264" s="2">
        <v>7207.2</v>
      </c>
      <c r="G2264" s="3">
        <f>MONTH(Tabela1[[#This Row],[Último pagto ano]])</f>
        <v>12</v>
      </c>
      <c r="H2264" t="str">
        <f>TEXT(Tabela1[[#This Row],[Coluna2]]*29,"mmmm")</f>
        <v>dezembro</v>
      </c>
      <c r="I2264" t="str">
        <f>TEXT(MONTH(Tabela1[[#This Row],[Último pagto ano]])*29,"mmmm")</f>
        <v>dezembro</v>
      </c>
    </row>
    <row r="2265" spans="1:9" x14ac:dyDescent="0.25">
      <c r="A2265">
        <v>2025</v>
      </c>
      <c r="B2265" t="s">
        <v>4504</v>
      </c>
      <c r="C2265" s="1">
        <v>46006</v>
      </c>
      <c r="D2265" t="s">
        <v>4505</v>
      </c>
      <c r="E2265">
        <v>888.48</v>
      </c>
      <c r="G2265" s="3">
        <f>MONTH(Tabela1[[#This Row],[Último pagto ano]])</f>
        <v>12</v>
      </c>
      <c r="H2265" t="str">
        <f>TEXT(Tabela1[[#This Row],[Coluna2]]*29,"mmmm")</f>
        <v>dezembro</v>
      </c>
      <c r="I2265" t="str">
        <f>TEXT(MONTH(Tabela1[[#This Row],[Último pagto ano]])*29,"mmmm")</f>
        <v>dezembro</v>
      </c>
    </row>
    <row r="2266" spans="1:9" x14ac:dyDescent="0.25">
      <c r="A2266">
        <v>2025</v>
      </c>
      <c r="B2266" t="s">
        <v>4506</v>
      </c>
      <c r="C2266" s="1">
        <v>46006</v>
      </c>
      <c r="D2266" t="s">
        <v>4507</v>
      </c>
      <c r="E2266" s="2">
        <v>28806.240000000002</v>
      </c>
      <c r="G2266" s="3">
        <f>MONTH(Tabela1[[#This Row],[Último pagto ano]])</f>
        <v>12</v>
      </c>
      <c r="H2266" t="str">
        <f>TEXT(Tabela1[[#This Row],[Coluna2]]*29,"mmmm")</f>
        <v>dezembro</v>
      </c>
      <c r="I2266" t="str">
        <f>TEXT(MONTH(Tabela1[[#This Row],[Último pagto ano]])*29,"mmmm")</f>
        <v>dezembro</v>
      </c>
    </row>
    <row r="2267" spans="1:9" x14ac:dyDescent="0.25">
      <c r="A2267">
        <v>2025</v>
      </c>
      <c r="B2267" t="s">
        <v>4508</v>
      </c>
      <c r="C2267" s="1">
        <v>45950</v>
      </c>
      <c r="D2267" t="s">
        <v>4509</v>
      </c>
      <c r="E2267">
        <v>110</v>
      </c>
      <c r="G2267" s="3">
        <f>MONTH(Tabela1[[#This Row],[Último pagto ano]])</f>
        <v>10</v>
      </c>
      <c r="H2267" t="str">
        <f>TEXT(Tabela1[[#This Row],[Coluna2]]*29,"mmmm")</f>
        <v>outubro</v>
      </c>
      <c r="I2267" t="str">
        <f>TEXT(MONTH(Tabela1[[#This Row],[Último pagto ano]])*29,"mmmm")</f>
        <v>outubro</v>
      </c>
    </row>
    <row r="2268" spans="1:9" x14ac:dyDescent="0.25">
      <c r="A2268">
        <v>2025</v>
      </c>
      <c r="B2268" t="s">
        <v>4510</v>
      </c>
      <c r="C2268" s="1">
        <v>45937</v>
      </c>
      <c r="D2268" t="s">
        <v>4511</v>
      </c>
      <c r="E2268" s="2">
        <v>7700</v>
      </c>
      <c r="G2268" s="3">
        <f>MONTH(Tabela1[[#This Row],[Último pagto ano]])</f>
        <v>10</v>
      </c>
      <c r="H2268" t="str">
        <f>TEXT(Tabela1[[#This Row],[Coluna2]]*29,"mmmm")</f>
        <v>outubro</v>
      </c>
      <c r="I2268" t="str">
        <f>TEXT(MONTH(Tabela1[[#This Row],[Último pagto ano]])*29,"mmmm")</f>
        <v>outubro</v>
      </c>
    </row>
    <row r="2269" spans="1:9" x14ac:dyDescent="0.25">
      <c r="A2269">
        <v>2025</v>
      </c>
      <c r="B2269" t="s">
        <v>4512</v>
      </c>
      <c r="C2269" s="1">
        <v>45996</v>
      </c>
      <c r="D2269" t="s">
        <v>4513</v>
      </c>
      <c r="E2269" s="2">
        <v>64800</v>
      </c>
      <c r="G2269" s="3">
        <f>MONTH(Tabela1[[#This Row],[Último pagto ano]])</f>
        <v>12</v>
      </c>
      <c r="H2269" t="str">
        <f>TEXT(Tabela1[[#This Row],[Coluna2]]*29,"mmmm")</f>
        <v>dezembro</v>
      </c>
      <c r="I2269" t="str">
        <f>TEXT(MONTH(Tabela1[[#This Row],[Último pagto ano]])*29,"mmmm")</f>
        <v>dezembro</v>
      </c>
    </row>
    <row r="2270" spans="1:9" x14ac:dyDescent="0.25">
      <c r="A2270">
        <v>2025</v>
      </c>
      <c r="B2270" t="s">
        <v>4514</v>
      </c>
      <c r="C2270" s="1">
        <v>45996</v>
      </c>
      <c r="D2270" t="s">
        <v>4515</v>
      </c>
      <c r="E2270" s="2">
        <v>35820</v>
      </c>
      <c r="G2270" s="3">
        <f>MONTH(Tabela1[[#This Row],[Último pagto ano]])</f>
        <v>12</v>
      </c>
      <c r="H2270" t="str">
        <f>TEXT(Tabela1[[#This Row],[Coluna2]]*29,"mmmm")</f>
        <v>dezembro</v>
      </c>
      <c r="I2270" t="str">
        <f>TEXT(MONTH(Tabela1[[#This Row],[Último pagto ano]])*29,"mmmm")</f>
        <v>dezembro</v>
      </c>
    </row>
    <row r="2271" spans="1:9" x14ac:dyDescent="0.25">
      <c r="A2271">
        <v>2025</v>
      </c>
      <c r="B2271" t="s">
        <v>4516</v>
      </c>
      <c r="C2271" s="1">
        <v>45945</v>
      </c>
      <c r="D2271" t="s">
        <v>4517</v>
      </c>
      <c r="E2271" s="2">
        <v>5182.24</v>
      </c>
      <c r="G2271" s="3">
        <f>MONTH(Tabela1[[#This Row],[Último pagto ano]])</f>
        <v>10</v>
      </c>
      <c r="H2271" t="str">
        <f>TEXT(Tabela1[[#This Row],[Coluna2]]*29,"mmmm")</f>
        <v>outubro</v>
      </c>
      <c r="I2271" t="str">
        <f>TEXT(MONTH(Tabela1[[#This Row],[Último pagto ano]])*29,"mmmm")</f>
        <v>outubro</v>
      </c>
    </row>
    <row r="2272" spans="1:9" x14ac:dyDescent="0.25">
      <c r="A2272">
        <v>2025</v>
      </c>
      <c r="B2272" t="s">
        <v>4518</v>
      </c>
      <c r="C2272" s="1">
        <v>46006</v>
      </c>
      <c r="D2272" t="s">
        <v>4519</v>
      </c>
      <c r="E2272" s="2">
        <v>9289.2000000000007</v>
      </c>
      <c r="G2272" s="3">
        <f>MONTH(Tabela1[[#This Row],[Último pagto ano]])</f>
        <v>12</v>
      </c>
      <c r="H2272" t="str">
        <f>TEXT(Tabela1[[#This Row],[Coluna2]]*29,"mmmm")</f>
        <v>dezembro</v>
      </c>
      <c r="I2272" t="str">
        <f>TEXT(MONTH(Tabela1[[#This Row],[Último pagto ano]])*29,"mmmm")</f>
        <v>dezembro</v>
      </c>
    </row>
    <row r="2273" spans="1:9" x14ac:dyDescent="0.25">
      <c r="A2273">
        <v>2025</v>
      </c>
      <c r="B2273" t="s">
        <v>4520</v>
      </c>
      <c r="C2273" s="1">
        <v>45681</v>
      </c>
      <c r="D2273" t="s">
        <v>4521</v>
      </c>
      <c r="E2273" s="2">
        <v>14090</v>
      </c>
      <c r="G2273" s="3">
        <f>MONTH(Tabela1[[#This Row],[Último pagto ano]])</f>
        <v>1</v>
      </c>
      <c r="H2273" t="str">
        <f>TEXT(Tabela1[[#This Row],[Coluna2]]*29,"mmmm")</f>
        <v>janeiro</v>
      </c>
      <c r="I2273" t="str">
        <f>TEXT(MONTH(Tabela1[[#This Row],[Último pagto ano]])*29,"mmmm")</f>
        <v>janeiro</v>
      </c>
    </row>
    <row r="2274" spans="1:9" x14ac:dyDescent="0.25">
      <c r="A2274">
        <v>2025</v>
      </c>
      <c r="B2274" t="s">
        <v>4522</v>
      </c>
      <c r="C2274" s="1">
        <v>45863</v>
      </c>
      <c r="D2274" t="s">
        <v>4523</v>
      </c>
      <c r="E2274" s="2">
        <v>2330</v>
      </c>
      <c r="G2274" s="3">
        <f>MONTH(Tabela1[[#This Row],[Último pagto ano]])</f>
        <v>7</v>
      </c>
      <c r="H2274" t="str">
        <f>TEXT(Tabela1[[#This Row],[Coluna2]]*29,"mmmm")</f>
        <v>julho</v>
      </c>
      <c r="I2274" t="str">
        <f>TEXT(MONTH(Tabela1[[#This Row],[Último pagto ano]])*29,"mmmm")</f>
        <v>julho</v>
      </c>
    </row>
    <row r="2275" spans="1:9" x14ac:dyDescent="0.25">
      <c r="A2275">
        <v>2025</v>
      </c>
      <c r="B2275" t="s">
        <v>4524</v>
      </c>
      <c r="C2275" s="1">
        <v>45880</v>
      </c>
      <c r="D2275" t="s">
        <v>4525</v>
      </c>
      <c r="E2275">
        <v>111.8</v>
      </c>
      <c r="G2275" s="3">
        <f>MONTH(Tabela1[[#This Row],[Último pagto ano]])</f>
        <v>8</v>
      </c>
      <c r="H2275" t="str">
        <f>TEXT(Tabela1[[#This Row],[Coluna2]]*29,"mmmm")</f>
        <v>agosto</v>
      </c>
      <c r="I2275" t="str">
        <f>TEXT(MONTH(Tabela1[[#This Row],[Último pagto ano]])*29,"mmmm")</f>
        <v>agosto</v>
      </c>
    </row>
    <row r="2276" spans="1:9" x14ac:dyDescent="0.25">
      <c r="A2276">
        <v>2025</v>
      </c>
      <c r="B2276" t="s">
        <v>4526</v>
      </c>
      <c r="C2276" s="1">
        <v>45996</v>
      </c>
      <c r="D2276" t="s">
        <v>4527</v>
      </c>
      <c r="E2276" s="2">
        <v>6394.26</v>
      </c>
      <c r="G2276" s="3">
        <f>MONTH(Tabela1[[#This Row],[Último pagto ano]])</f>
        <v>12</v>
      </c>
      <c r="H2276" t="str">
        <f>TEXT(Tabela1[[#This Row],[Coluna2]]*29,"mmmm")</f>
        <v>dezembro</v>
      </c>
      <c r="I2276" t="str">
        <f>TEXT(MONTH(Tabela1[[#This Row],[Último pagto ano]])*29,"mmmm")</f>
        <v>dezembro</v>
      </c>
    </row>
    <row r="2277" spans="1:9" x14ac:dyDescent="0.25">
      <c r="A2277">
        <v>2025</v>
      </c>
      <c r="B2277" t="s">
        <v>4528</v>
      </c>
      <c r="C2277" s="1">
        <v>45702</v>
      </c>
      <c r="D2277" t="s">
        <v>4529</v>
      </c>
      <c r="E2277" s="2">
        <v>1242.04</v>
      </c>
      <c r="G2277" s="3">
        <f>MONTH(Tabela1[[#This Row],[Último pagto ano]])</f>
        <v>2</v>
      </c>
      <c r="H2277" t="str">
        <f>TEXT(Tabela1[[#This Row],[Coluna2]]*29,"mmmm")</f>
        <v>fevereiro</v>
      </c>
      <c r="I2277" t="str">
        <f>TEXT(MONTH(Tabela1[[#This Row],[Último pagto ano]])*29,"mmmm")</f>
        <v>fevereiro</v>
      </c>
    </row>
    <row r="2278" spans="1:9" x14ac:dyDescent="0.25">
      <c r="A2278">
        <v>2025</v>
      </c>
      <c r="B2278" t="s">
        <v>4530</v>
      </c>
      <c r="C2278" s="1">
        <v>45996</v>
      </c>
      <c r="D2278" t="s">
        <v>4531</v>
      </c>
      <c r="E2278" s="2">
        <v>13230</v>
      </c>
      <c r="G2278" s="3">
        <f>MONTH(Tabela1[[#This Row],[Último pagto ano]])</f>
        <v>12</v>
      </c>
      <c r="H2278" t="str">
        <f>TEXT(Tabela1[[#This Row],[Coluna2]]*29,"mmmm")</f>
        <v>dezembro</v>
      </c>
      <c r="I2278" t="str">
        <f>TEXT(MONTH(Tabela1[[#This Row],[Último pagto ano]])*29,"mmmm")</f>
        <v>dezembro</v>
      </c>
    </row>
    <row r="2279" spans="1:9" x14ac:dyDescent="0.25">
      <c r="A2279">
        <v>2025</v>
      </c>
      <c r="B2279" t="s">
        <v>4532</v>
      </c>
      <c r="C2279" s="1">
        <v>46014</v>
      </c>
      <c r="D2279" t="s">
        <v>4533</v>
      </c>
      <c r="E2279" s="2">
        <v>238396.65</v>
      </c>
      <c r="G2279" s="3">
        <f>MONTH(Tabela1[[#This Row],[Último pagto ano]])</f>
        <v>12</v>
      </c>
      <c r="H2279" t="str">
        <f>TEXT(Tabela1[[#This Row],[Coluna2]]*29,"mmmm")</f>
        <v>dezembro</v>
      </c>
      <c r="I2279" t="str">
        <f>TEXT(MONTH(Tabela1[[#This Row],[Último pagto ano]])*29,"mmmm")</f>
        <v>dezembro</v>
      </c>
    </row>
    <row r="2280" spans="1:9" x14ac:dyDescent="0.25">
      <c r="A2280">
        <v>2025</v>
      </c>
      <c r="B2280" t="s">
        <v>4534</v>
      </c>
      <c r="C2280" s="1">
        <v>45943</v>
      </c>
      <c r="D2280" t="s">
        <v>4535</v>
      </c>
      <c r="E2280" s="2">
        <v>6613.04</v>
      </c>
      <c r="G2280" s="3">
        <f>MONTH(Tabela1[[#This Row],[Último pagto ano]])</f>
        <v>10</v>
      </c>
      <c r="H2280" t="str">
        <f>TEXT(Tabela1[[#This Row],[Coluna2]]*29,"mmmm")</f>
        <v>outubro</v>
      </c>
      <c r="I2280" t="str">
        <f>TEXT(MONTH(Tabela1[[#This Row],[Último pagto ano]])*29,"mmmm")</f>
        <v>outubro</v>
      </c>
    </row>
    <row r="2281" spans="1:9" x14ac:dyDescent="0.25">
      <c r="A2281">
        <v>2025</v>
      </c>
      <c r="B2281" t="s">
        <v>4536</v>
      </c>
      <c r="C2281" s="1">
        <v>45918</v>
      </c>
      <c r="D2281" t="s">
        <v>4537</v>
      </c>
      <c r="E2281" s="2">
        <v>8800.35</v>
      </c>
      <c r="G2281" s="3">
        <f>MONTH(Tabela1[[#This Row],[Último pagto ano]])</f>
        <v>9</v>
      </c>
      <c r="H2281" t="str">
        <f>TEXT(Tabela1[[#This Row],[Coluna2]]*29,"mmmm")</f>
        <v>setembro</v>
      </c>
      <c r="I2281" t="str">
        <f>TEXT(MONTH(Tabela1[[#This Row],[Último pagto ano]])*29,"mmmm")</f>
        <v>setembro</v>
      </c>
    </row>
    <row r="2282" spans="1:9" x14ac:dyDescent="0.25">
      <c r="A2282">
        <v>2025</v>
      </c>
      <c r="B2282" t="s">
        <v>4538</v>
      </c>
      <c r="C2282" s="1">
        <v>45978</v>
      </c>
      <c r="D2282" t="s">
        <v>4539</v>
      </c>
      <c r="E2282" s="2">
        <v>5965.16</v>
      </c>
      <c r="G2282" s="3">
        <f>MONTH(Tabela1[[#This Row],[Último pagto ano]])</f>
        <v>11</v>
      </c>
      <c r="H2282" t="str">
        <f>TEXT(Tabela1[[#This Row],[Coluna2]]*29,"mmmm")</f>
        <v>novembro</v>
      </c>
      <c r="I2282" t="str">
        <f>TEXT(MONTH(Tabela1[[#This Row],[Último pagto ano]])*29,"mmmm")</f>
        <v>novembro</v>
      </c>
    </row>
    <row r="2283" spans="1:9" x14ac:dyDescent="0.25">
      <c r="A2283">
        <v>2025</v>
      </c>
      <c r="B2283" t="s">
        <v>4540</v>
      </c>
      <c r="C2283" s="1">
        <v>45824</v>
      </c>
      <c r="D2283" t="s">
        <v>4541</v>
      </c>
      <c r="E2283" s="2">
        <v>14309.39</v>
      </c>
      <c r="G2283" s="3">
        <f>MONTH(Tabela1[[#This Row],[Último pagto ano]])</f>
        <v>6</v>
      </c>
      <c r="H2283" t="str">
        <f>TEXT(Tabela1[[#This Row],[Coluna2]]*29,"mmmm")</f>
        <v>junho</v>
      </c>
      <c r="I2283" t="str">
        <f>TEXT(MONTH(Tabela1[[#This Row],[Último pagto ano]])*29,"mmmm")</f>
        <v>junho</v>
      </c>
    </row>
    <row r="2284" spans="1:9" x14ac:dyDescent="0.25">
      <c r="A2284">
        <v>2025</v>
      </c>
      <c r="B2284" t="s">
        <v>4542</v>
      </c>
      <c r="C2284" s="1">
        <v>46009</v>
      </c>
      <c r="D2284" t="s">
        <v>4543</v>
      </c>
      <c r="E2284" s="2">
        <v>1501668.24</v>
      </c>
      <c r="G2284" s="3">
        <f>MONTH(Tabela1[[#This Row],[Último pagto ano]])</f>
        <v>12</v>
      </c>
      <c r="H2284" t="str">
        <f>TEXT(Tabela1[[#This Row],[Coluna2]]*29,"mmmm")</f>
        <v>dezembro</v>
      </c>
      <c r="I2284" t="str">
        <f>TEXT(MONTH(Tabela1[[#This Row],[Último pagto ano]])*29,"mmmm")</f>
        <v>dezembro</v>
      </c>
    </row>
    <row r="2285" spans="1:9" x14ac:dyDescent="0.25">
      <c r="A2285">
        <v>2025</v>
      </c>
      <c r="B2285" t="s">
        <v>4544</v>
      </c>
      <c r="C2285" s="1">
        <v>45695</v>
      </c>
      <c r="D2285" t="s">
        <v>4545</v>
      </c>
      <c r="E2285" s="2">
        <v>1018.55</v>
      </c>
      <c r="G2285" s="3">
        <f>MONTH(Tabela1[[#This Row],[Último pagto ano]])</f>
        <v>2</v>
      </c>
      <c r="H2285" t="str">
        <f>TEXT(Tabela1[[#This Row],[Coluna2]]*29,"mmmm")</f>
        <v>fevereiro</v>
      </c>
      <c r="I2285" t="str">
        <f>TEXT(MONTH(Tabela1[[#This Row],[Último pagto ano]])*29,"mmmm")</f>
        <v>fevereiro</v>
      </c>
    </row>
    <row r="2286" spans="1:9" x14ac:dyDescent="0.25">
      <c r="A2286">
        <v>2025</v>
      </c>
      <c r="B2286" t="s">
        <v>4546</v>
      </c>
      <c r="C2286" s="1">
        <v>45995</v>
      </c>
      <c r="D2286" t="s">
        <v>4547</v>
      </c>
      <c r="E2286">
        <v>165</v>
      </c>
      <c r="G2286" s="3">
        <f>MONTH(Tabela1[[#This Row],[Último pagto ano]])</f>
        <v>12</v>
      </c>
      <c r="H2286" t="str">
        <f>TEXT(Tabela1[[#This Row],[Coluna2]]*29,"mmmm")</f>
        <v>dezembro</v>
      </c>
      <c r="I2286" t="str">
        <f>TEXT(MONTH(Tabela1[[#This Row],[Último pagto ano]])*29,"mmmm")</f>
        <v>dezembro</v>
      </c>
    </row>
    <row r="2287" spans="1:9" x14ac:dyDescent="0.25">
      <c r="A2287">
        <v>2025</v>
      </c>
      <c r="B2287" t="s">
        <v>4548</v>
      </c>
      <c r="C2287" s="1">
        <v>46006</v>
      </c>
      <c r="D2287" t="s">
        <v>4549</v>
      </c>
      <c r="E2287">
        <v>44</v>
      </c>
      <c r="G2287" s="3">
        <f>MONTH(Tabela1[[#This Row],[Último pagto ano]])</f>
        <v>12</v>
      </c>
      <c r="H2287" t="str">
        <f>TEXT(Tabela1[[#This Row],[Coluna2]]*29,"mmmm")</f>
        <v>dezembro</v>
      </c>
      <c r="I2287" t="str">
        <f>TEXT(MONTH(Tabela1[[#This Row],[Último pagto ano]])*29,"mmmm")</f>
        <v>dezembro</v>
      </c>
    </row>
    <row r="2288" spans="1:9" x14ac:dyDescent="0.25">
      <c r="A2288">
        <v>2025</v>
      </c>
      <c r="B2288" t="s">
        <v>4550</v>
      </c>
      <c r="C2288" s="1">
        <v>45856</v>
      </c>
      <c r="D2288" t="s">
        <v>4551</v>
      </c>
      <c r="E2288" s="2">
        <v>6528.33</v>
      </c>
      <c r="G2288" s="3">
        <f>MONTH(Tabela1[[#This Row],[Último pagto ano]])</f>
        <v>7</v>
      </c>
      <c r="H2288" t="str">
        <f>TEXT(Tabela1[[#This Row],[Coluna2]]*29,"mmmm")</f>
        <v>julho</v>
      </c>
      <c r="I2288" t="str">
        <f>TEXT(MONTH(Tabela1[[#This Row],[Último pagto ano]])*29,"mmmm")</f>
        <v>julho</v>
      </c>
    </row>
    <row r="2289" spans="1:9" x14ac:dyDescent="0.25">
      <c r="A2289">
        <v>2025</v>
      </c>
      <c r="B2289" t="s">
        <v>4552</v>
      </c>
      <c r="C2289" s="1">
        <v>46007</v>
      </c>
      <c r="D2289" t="s">
        <v>4553</v>
      </c>
      <c r="E2289" s="2">
        <v>99489.48</v>
      </c>
      <c r="G2289" s="3">
        <f>MONTH(Tabela1[[#This Row],[Último pagto ano]])</f>
        <v>12</v>
      </c>
      <c r="H2289" t="str">
        <f>TEXT(Tabela1[[#This Row],[Coluna2]]*29,"mmmm")</f>
        <v>dezembro</v>
      </c>
      <c r="I2289" t="str">
        <f>TEXT(MONTH(Tabela1[[#This Row],[Último pagto ano]])*29,"mmmm")</f>
        <v>dezembro</v>
      </c>
    </row>
    <row r="2290" spans="1:9" x14ac:dyDescent="0.25">
      <c r="A2290">
        <v>2025</v>
      </c>
      <c r="B2290" t="s">
        <v>4554</v>
      </c>
      <c r="C2290" s="1">
        <v>45803</v>
      </c>
      <c r="D2290" t="s">
        <v>4555</v>
      </c>
      <c r="E2290" s="2">
        <v>46751.9</v>
      </c>
      <c r="G2290" s="3">
        <f>MONTH(Tabela1[[#This Row],[Último pagto ano]])</f>
        <v>5</v>
      </c>
      <c r="H2290" t="str">
        <f>TEXT(Tabela1[[#This Row],[Coluna2]]*29,"mmmm")</f>
        <v>maio</v>
      </c>
      <c r="I2290" t="str">
        <f>TEXT(MONTH(Tabela1[[#This Row],[Último pagto ano]])*29,"mmmm")</f>
        <v>maio</v>
      </c>
    </row>
    <row r="2291" spans="1:9" x14ac:dyDescent="0.25">
      <c r="A2291">
        <v>2025</v>
      </c>
      <c r="B2291" t="s">
        <v>4556</v>
      </c>
      <c r="C2291" s="1">
        <v>45968</v>
      </c>
      <c r="D2291" t="s">
        <v>4557</v>
      </c>
      <c r="E2291" s="2">
        <v>10000</v>
      </c>
      <c r="G2291" s="3">
        <f>MONTH(Tabela1[[#This Row],[Último pagto ano]])</f>
        <v>11</v>
      </c>
      <c r="H2291" t="str">
        <f>TEXT(Tabela1[[#This Row],[Coluna2]]*29,"mmmm")</f>
        <v>novembro</v>
      </c>
      <c r="I2291" t="str">
        <f>TEXT(MONTH(Tabela1[[#This Row],[Último pagto ano]])*29,"mmmm")</f>
        <v>novembro</v>
      </c>
    </row>
    <row r="2292" spans="1:9" x14ac:dyDescent="0.25">
      <c r="A2292">
        <v>2025</v>
      </c>
      <c r="B2292" t="s">
        <v>4558</v>
      </c>
      <c r="C2292" s="1">
        <v>45933</v>
      </c>
      <c r="D2292" t="s">
        <v>4559</v>
      </c>
      <c r="E2292" s="2">
        <v>72908.800000000003</v>
      </c>
      <c r="G2292" s="3">
        <f>MONTH(Tabela1[[#This Row],[Último pagto ano]])</f>
        <v>10</v>
      </c>
      <c r="H2292" t="str">
        <f>TEXT(Tabela1[[#This Row],[Coluna2]]*29,"mmmm")</f>
        <v>outubro</v>
      </c>
      <c r="I2292" t="str">
        <f>TEXT(MONTH(Tabela1[[#This Row],[Último pagto ano]])*29,"mmmm")</f>
        <v>outubro</v>
      </c>
    </row>
    <row r="2293" spans="1:9" x14ac:dyDescent="0.25">
      <c r="A2293">
        <v>2025</v>
      </c>
      <c r="B2293" t="s">
        <v>4560</v>
      </c>
      <c r="C2293" s="1">
        <v>45848</v>
      </c>
      <c r="D2293" t="s">
        <v>4561</v>
      </c>
      <c r="E2293">
        <v>238.89</v>
      </c>
      <c r="G2293" s="3">
        <f>MONTH(Tabela1[[#This Row],[Último pagto ano]])</f>
        <v>7</v>
      </c>
      <c r="H2293" t="str">
        <f>TEXT(Tabela1[[#This Row],[Coluna2]]*29,"mmmm")</f>
        <v>julho</v>
      </c>
      <c r="I2293" t="str">
        <f>TEXT(MONTH(Tabela1[[#This Row],[Último pagto ano]])*29,"mmmm")</f>
        <v>julho</v>
      </c>
    </row>
    <row r="2294" spans="1:9" x14ac:dyDescent="0.25">
      <c r="A2294">
        <v>2025</v>
      </c>
      <c r="B2294" t="s">
        <v>4562</v>
      </c>
      <c r="C2294" s="1">
        <v>46003</v>
      </c>
      <c r="D2294" t="s">
        <v>4563</v>
      </c>
      <c r="E2294" s="2">
        <v>809065.79</v>
      </c>
      <c r="G2294" s="3">
        <f>MONTH(Tabela1[[#This Row],[Último pagto ano]])</f>
        <v>12</v>
      </c>
      <c r="H2294" t="str">
        <f>TEXT(Tabela1[[#This Row],[Coluna2]]*29,"mmmm")</f>
        <v>dezembro</v>
      </c>
      <c r="I2294" t="str">
        <f>TEXT(MONTH(Tabela1[[#This Row],[Último pagto ano]])*29,"mmmm")</f>
        <v>dezembro</v>
      </c>
    </row>
    <row r="2295" spans="1:9" x14ac:dyDescent="0.25">
      <c r="A2295">
        <v>2025</v>
      </c>
      <c r="B2295" t="s">
        <v>4564</v>
      </c>
      <c r="C2295" s="1">
        <v>45908</v>
      </c>
      <c r="D2295" t="s">
        <v>4565</v>
      </c>
      <c r="E2295">
        <v>296.8</v>
      </c>
      <c r="G2295" s="3">
        <f>MONTH(Tabela1[[#This Row],[Último pagto ano]])</f>
        <v>9</v>
      </c>
      <c r="H2295" t="str">
        <f>TEXT(Tabela1[[#This Row],[Coluna2]]*29,"mmmm")</f>
        <v>setembro</v>
      </c>
      <c r="I2295" t="str">
        <f>TEXT(MONTH(Tabela1[[#This Row],[Último pagto ano]])*29,"mmmm")</f>
        <v>setembro</v>
      </c>
    </row>
    <row r="2296" spans="1:9" x14ac:dyDescent="0.25">
      <c r="A2296">
        <v>2025</v>
      </c>
      <c r="B2296" t="s">
        <v>4566</v>
      </c>
      <c r="C2296" s="1">
        <v>45894</v>
      </c>
      <c r="D2296" t="s">
        <v>4567</v>
      </c>
      <c r="E2296" s="2">
        <v>1000</v>
      </c>
      <c r="G2296" s="3">
        <f>MONTH(Tabela1[[#This Row],[Último pagto ano]])</f>
        <v>8</v>
      </c>
      <c r="H2296" t="str">
        <f>TEXT(Tabela1[[#This Row],[Coluna2]]*29,"mmmm")</f>
        <v>agosto</v>
      </c>
      <c r="I2296" t="str">
        <f>TEXT(MONTH(Tabela1[[#This Row],[Último pagto ano]])*29,"mmmm")</f>
        <v>agosto</v>
      </c>
    </row>
    <row r="2297" spans="1:9" x14ac:dyDescent="0.25">
      <c r="A2297">
        <v>2025</v>
      </c>
      <c r="B2297" t="s">
        <v>4568</v>
      </c>
      <c r="C2297" s="1">
        <v>46014</v>
      </c>
      <c r="D2297" t="s">
        <v>4569</v>
      </c>
      <c r="E2297" s="2">
        <v>3107955.44</v>
      </c>
      <c r="G2297" s="3">
        <f>MONTH(Tabela1[[#This Row],[Último pagto ano]])</f>
        <v>12</v>
      </c>
      <c r="H2297" t="str">
        <f>TEXT(Tabela1[[#This Row],[Coluna2]]*29,"mmmm")</f>
        <v>dezembro</v>
      </c>
      <c r="I2297" t="str">
        <f>TEXT(MONTH(Tabela1[[#This Row],[Último pagto ano]])*29,"mmmm")</f>
        <v>dezembro</v>
      </c>
    </row>
    <row r="2298" spans="1:9" x14ac:dyDescent="0.25">
      <c r="A2298">
        <v>2025</v>
      </c>
      <c r="B2298" t="s">
        <v>4570</v>
      </c>
      <c r="C2298" s="1">
        <v>46014</v>
      </c>
      <c r="D2298" t="s">
        <v>4571</v>
      </c>
      <c r="E2298" s="2">
        <v>2248.9499999999998</v>
      </c>
      <c r="G2298" s="3">
        <f>MONTH(Tabela1[[#This Row],[Último pagto ano]])</f>
        <v>12</v>
      </c>
      <c r="H2298" t="str">
        <f>TEXT(Tabela1[[#This Row],[Coluna2]]*29,"mmmm")</f>
        <v>dezembro</v>
      </c>
      <c r="I2298" t="str">
        <f>TEXT(MONTH(Tabela1[[#This Row],[Último pagto ano]])*29,"mmmm")</f>
        <v>dezembro</v>
      </c>
    </row>
    <row r="2299" spans="1:9" x14ac:dyDescent="0.25">
      <c r="A2299">
        <v>2025</v>
      </c>
      <c r="B2299" t="s">
        <v>4572</v>
      </c>
      <c r="C2299" s="1">
        <v>46014</v>
      </c>
      <c r="D2299" t="s">
        <v>4573</v>
      </c>
      <c r="E2299" s="2">
        <v>36103.339999999997</v>
      </c>
      <c r="G2299" s="3">
        <f>MONTH(Tabela1[[#This Row],[Último pagto ano]])</f>
        <v>12</v>
      </c>
      <c r="H2299" t="str">
        <f>TEXT(Tabela1[[#This Row],[Coluna2]]*29,"mmmm")</f>
        <v>dezembro</v>
      </c>
      <c r="I2299" t="str">
        <f>TEXT(MONTH(Tabela1[[#This Row],[Último pagto ano]])*29,"mmmm")</f>
        <v>dezembro</v>
      </c>
    </row>
    <row r="2300" spans="1:9" x14ac:dyDescent="0.25">
      <c r="A2300">
        <v>2025</v>
      </c>
      <c r="B2300" t="s">
        <v>4574</v>
      </c>
      <c r="C2300" s="1">
        <v>45849</v>
      </c>
      <c r="D2300" t="s">
        <v>4575</v>
      </c>
      <c r="E2300" s="2">
        <v>4665.6099999999997</v>
      </c>
      <c r="G2300" s="3">
        <f>MONTH(Tabela1[[#This Row],[Último pagto ano]])</f>
        <v>7</v>
      </c>
      <c r="H2300" t="str">
        <f>TEXT(Tabela1[[#This Row],[Coluna2]]*29,"mmmm")</f>
        <v>julho</v>
      </c>
      <c r="I2300" t="str">
        <f>TEXT(MONTH(Tabela1[[#This Row],[Último pagto ano]])*29,"mmmm")</f>
        <v>julho</v>
      </c>
    </row>
    <row r="2301" spans="1:9" x14ac:dyDescent="0.25">
      <c r="A2301">
        <v>2025</v>
      </c>
      <c r="B2301" t="s">
        <v>4576</v>
      </c>
      <c r="C2301" s="1">
        <v>46009</v>
      </c>
      <c r="D2301" t="s">
        <v>4577</v>
      </c>
      <c r="E2301" s="2">
        <v>113248.44</v>
      </c>
      <c r="G2301" s="3">
        <f>MONTH(Tabela1[[#This Row],[Último pagto ano]])</f>
        <v>12</v>
      </c>
      <c r="H2301" t="str">
        <f>TEXT(Tabela1[[#This Row],[Coluna2]]*29,"mmmm")</f>
        <v>dezembro</v>
      </c>
      <c r="I2301" t="str">
        <f>TEXT(MONTH(Tabela1[[#This Row],[Último pagto ano]])*29,"mmmm")</f>
        <v>dezembro</v>
      </c>
    </row>
    <row r="2302" spans="1:9" x14ac:dyDescent="0.25">
      <c r="A2302">
        <v>2025</v>
      </c>
      <c r="B2302" t="s">
        <v>4578</v>
      </c>
      <c r="C2302" s="1">
        <v>45722</v>
      </c>
      <c r="D2302" t="s">
        <v>4579</v>
      </c>
      <c r="E2302" s="2">
        <v>296000</v>
      </c>
      <c r="G2302" s="3">
        <f>MONTH(Tabela1[[#This Row],[Último pagto ano]])</f>
        <v>3</v>
      </c>
      <c r="H2302" t="str">
        <f>TEXT(Tabela1[[#This Row],[Coluna2]]*29,"mmmm")</f>
        <v>março</v>
      </c>
      <c r="I2302" t="str">
        <f>TEXT(MONTH(Tabela1[[#This Row],[Último pagto ano]])*29,"mmmm")</f>
        <v>março</v>
      </c>
    </row>
    <row r="2303" spans="1:9" x14ac:dyDescent="0.25">
      <c r="A2303">
        <v>2025</v>
      </c>
      <c r="B2303" t="s">
        <v>4580</v>
      </c>
      <c r="C2303" s="1">
        <v>46008</v>
      </c>
      <c r="D2303" t="s">
        <v>4581</v>
      </c>
      <c r="E2303" s="2">
        <v>43084984.5</v>
      </c>
      <c r="G2303" s="3">
        <f>MONTH(Tabela1[[#This Row],[Último pagto ano]])</f>
        <v>12</v>
      </c>
      <c r="H2303" t="str">
        <f>TEXT(Tabela1[[#This Row],[Coluna2]]*29,"mmmm")</f>
        <v>dezembro</v>
      </c>
      <c r="I2303" t="str">
        <f>TEXT(MONTH(Tabela1[[#This Row],[Último pagto ano]])*29,"mmmm")</f>
        <v>dezembro</v>
      </c>
    </row>
    <row r="2304" spans="1:9" x14ac:dyDescent="0.25">
      <c r="A2304">
        <v>2025</v>
      </c>
      <c r="B2304" t="s">
        <v>4582</v>
      </c>
      <c r="C2304" s="1">
        <v>45863</v>
      </c>
      <c r="D2304" t="s">
        <v>4583</v>
      </c>
      <c r="E2304" s="2">
        <v>1160.0899999999999</v>
      </c>
      <c r="G2304" s="3">
        <f>MONTH(Tabela1[[#This Row],[Último pagto ano]])</f>
        <v>7</v>
      </c>
      <c r="H2304" t="str">
        <f>TEXT(Tabela1[[#This Row],[Coluna2]]*29,"mmmm")</f>
        <v>julho</v>
      </c>
      <c r="I2304" t="str">
        <f>TEXT(MONTH(Tabela1[[#This Row],[Último pagto ano]])*29,"mmmm")</f>
        <v>julho</v>
      </c>
    </row>
    <row r="2305" spans="1:9" x14ac:dyDescent="0.25">
      <c r="A2305">
        <v>2025</v>
      </c>
      <c r="B2305" t="s">
        <v>4584</v>
      </c>
      <c r="C2305" s="1">
        <v>45973</v>
      </c>
      <c r="D2305" t="s">
        <v>4585</v>
      </c>
      <c r="E2305" s="2">
        <v>2302320</v>
      </c>
      <c r="G2305" s="3">
        <f>MONTH(Tabela1[[#This Row],[Último pagto ano]])</f>
        <v>11</v>
      </c>
      <c r="H2305" t="str">
        <f>TEXT(Tabela1[[#This Row],[Coluna2]]*29,"mmmm")</f>
        <v>novembro</v>
      </c>
      <c r="I2305" t="str">
        <f>TEXT(MONTH(Tabela1[[#This Row],[Último pagto ano]])*29,"mmmm")</f>
        <v>novembro</v>
      </c>
    </row>
    <row r="2306" spans="1:9" x14ac:dyDescent="0.25">
      <c r="A2306">
        <v>2025</v>
      </c>
      <c r="B2306" t="s">
        <v>4586</v>
      </c>
      <c r="C2306" s="1">
        <v>45692</v>
      </c>
      <c r="D2306" t="s">
        <v>4587</v>
      </c>
      <c r="E2306" s="2">
        <v>10900</v>
      </c>
      <c r="G2306" s="3">
        <f>MONTH(Tabela1[[#This Row],[Último pagto ano]])</f>
        <v>2</v>
      </c>
      <c r="H2306" t="str">
        <f>TEXT(Tabela1[[#This Row],[Coluna2]]*29,"mmmm")</f>
        <v>fevereiro</v>
      </c>
      <c r="I2306" t="str">
        <f>TEXT(MONTH(Tabela1[[#This Row],[Último pagto ano]])*29,"mmmm")</f>
        <v>fevereiro</v>
      </c>
    </row>
    <row r="2307" spans="1:9" x14ac:dyDescent="0.25">
      <c r="A2307">
        <v>2025</v>
      </c>
      <c r="B2307" t="s">
        <v>4588</v>
      </c>
      <c r="C2307" s="1">
        <v>46006</v>
      </c>
      <c r="D2307" t="s">
        <v>4589</v>
      </c>
      <c r="E2307" s="2">
        <v>36000</v>
      </c>
      <c r="G2307" s="3">
        <f>MONTH(Tabela1[[#This Row],[Último pagto ano]])</f>
        <v>12</v>
      </c>
      <c r="H2307" t="str">
        <f>TEXT(Tabela1[[#This Row],[Coluna2]]*29,"mmmm")</f>
        <v>dezembro</v>
      </c>
      <c r="I2307" t="str">
        <f>TEXT(MONTH(Tabela1[[#This Row],[Último pagto ano]])*29,"mmmm")</f>
        <v>dezembro</v>
      </c>
    </row>
    <row r="2308" spans="1:9" x14ac:dyDescent="0.25">
      <c r="A2308">
        <v>2025</v>
      </c>
      <c r="B2308" t="s">
        <v>4590</v>
      </c>
      <c r="C2308" s="1">
        <v>45845</v>
      </c>
      <c r="D2308" t="s">
        <v>4591</v>
      </c>
      <c r="E2308" s="2">
        <v>20800</v>
      </c>
      <c r="G2308" s="3">
        <f>MONTH(Tabela1[[#This Row],[Último pagto ano]])</f>
        <v>7</v>
      </c>
      <c r="H2308" t="str">
        <f>TEXT(Tabela1[[#This Row],[Coluna2]]*29,"mmmm")</f>
        <v>julho</v>
      </c>
      <c r="I2308" t="str">
        <f>TEXT(MONTH(Tabela1[[#This Row],[Último pagto ano]])*29,"mmmm")</f>
        <v>julho</v>
      </c>
    </row>
    <row r="2309" spans="1:9" x14ac:dyDescent="0.25">
      <c r="A2309">
        <v>2025</v>
      </c>
      <c r="B2309" t="s">
        <v>4592</v>
      </c>
      <c r="C2309" s="1">
        <v>46009</v>
      </c>
      <c r="D2309" t="s">
        <v>4593</v>
      </c>
      <c r="E2309" s="2">
        <v>37971.360000000001</v>
      </c>
      <c r="G2309" s="3">
        <f>MONTH(Tabela1[[#This Row],[Último pagto ano]])</f>
        <v>12</v>
      </c>
      <c r="H2309" t="str">
        <f>TEXT(Tabela1[[#This Row],[Coluna2]]*29,"mmmm")</f>
        <v>dezembro</v>
      </c>
      <c r="I2309" t="str">
        <f>TEXT(MONTH(Tabela1[[#This Row],[Último pagto ano]])*29,"mmmm")</f>
        <v>dezembro</v>
      </c>
    </row>
    <row r="2310" spans="1:9" x14ac:dyDescent="0.25">
      <c r="A2310">
        <v>2025</v>
      </c>
      <c r="B2310" t="s">
        <v>4594</v>
      </c>
      <c r="C2310" s="1">
        <v>46009</v>
      </c>
      <c r="D2310" t="s">
        <v>4595</v>
      </c>
      <c r="E2310" s="2">
        <v>75840</v>
      </c>
      <c r="G2310" s="3">
        <f>MONTH(Tabela1[[#This Row],[Último pagto ano]])</f>
        <v>12</v>
      </c>
      <c r="H2310" t="str">
        <f>TEXT(Tabela1[[#This Row],[Coluna2]]*29,"mmmm")</f>
        <v>dezembro</v>
      </c>
      <c r="I2310" t="str">
        <f>TEXT(MONTH(Tabela1[[#This Row],[Último pagto ano]])*29,"mmmm")</f>
        <v>dezembro</v>
      </c>
    </row>
    <row r="2311" spans="1:9" x14ac:dyDescent="0.25">
      <c r="A2311">
        <v>2025</v>
      </c>
      <c r="B2311" t="s">
        <v>4596</v>
      </c>
      <c r="C2311" s="1">
        <v>45992</v>
      </c>
      <c r="D2311" t="s">
        <v>4597</v>
      </c>
      <c r="E2311" s="2">
        <v>574492.94999999995</v>
      </c>
      <c r="G2311" s="3">
        <f>MONTH(Tabela1[[#This Row],[Último pagto ano]])</f>
        <v>12</v>
      </c>
      <c r="H2311" t="str">
        <f>TEXT(Tabela1[[#This Row],[Coluna2]]*29,"mmmm")</f>
        <v>dezembro</v>
      </c>
      <c r="I2311" t="str">
        <f>TEXT(MONTH(Tabela1[[#This Row],[Último pagto ano]])*29,"mmmm")</f>
        <v>dezembro</v>
      </c>
    </row>
    <row r="2312" spans="1:9" x14ac:dyDescent="0.25">
      <c r="A2312">
        <v>2025</v>
      </c>
      <c r="B2312" t="s">
        <v>4598</v>
      </c>
      <c r="C2312" s="1">
        <v>45796</v>
      </c>
      <c r="D2312" t="s">
        <v>4599</v>
      </c>
      <c r="E2312" s="2">
        <v>4048.58</v>
      </c>
      <c r="G2312" s="3">
        <f>MONTH(Tabela1[[#This Row],[Último pagto ano]])</f>
        <v>5</v>
      </c>
      <c r="H2312" t="str">
        <f>TEXT(Tabela1[[#This Row],[Coluna2]]*29,"mmmm")</f>
        <v>maio</v>
      </c>
      <c r="I2312" t="str">
        <f>TEXT(MONTH(Tabela1[[#This Row],[Último pagto ano]])*29,"mmmm")</f>
        <v>maio</v>
      </c>
    </row>
    <row r="2313" spans="1:9" x14ac:dyDescent="0.25">
      <c r="A2313">
        <v>2025</v>
      </c>
      <c r="B2313" t="s">
        <v>4600</v>
      </c>
      <c r="C2313" s="1">
        <v>45894</v>
      </c>
      <c r="D2313" t="s">
        <v>4601</v>
      </c>
      <c r="E2313">
        <v>11</v>
      </c>
      <c r="G2313" s="3">
        <f>MONTH(Tabela1[[#This Row],[Último pagto ano]])</f>
        <v>8</v>
      </c>
      <c r="H2313" t="str">
        <f>TEXT(Tabela1[[#This Row],[Coluna2]]*29,"mmmm")</f>
        <v>agosto</v>
      </c>
      <c r="I2313" t="str">
        <f>TEXT(MONTH(Tabela1[[#This Row],[Último pagto ano]])*29,"mmmm")</f>
        <v>agosto</v>
      </c>
    </row>
    <row r="2314" spans="1:9" x14ac:dyDescent="0.25">
      <c r="A2314">
        <v>2025</v>
      </c>
      <c r="B2314" t="s">
        <v>4602</v>
      </c>
      <c r="C2314" s="1">
        <v>45702</v>
      </c>
      <c r="D2314" t="s">
        <v>4603</v>
      </c>
      <c r="E2314">
        <v>153.47999999999999</v>
      </c>
      <c r="G2314" s="3">
        <f>MONTH(Tabela1[[#This Row],[Último pagto ano]])</f>
        <v>2</v>
      </c>
      <c r="H2314" t="str">
        <f>TEXT(Tabela1[[#This Row],[Coluna2]]*29,"mmmm")</f>
        <v>fevereiro</v>
      </c>
      <c r="I2314" t="str">
        <f>TEXT(MONTH(Tabela1[[#This Row],[Último pagto ano]])*29,"mmmm")</f>
        <v>fevereiro</v>
      </c>
    </row>
    <row r="2315" spans="1:9" x14ac:dyDescent="0.25">
      <c r="A2315">
        <v>2025</v>
      </c>
      <c r="B2315" t="s">
        <v>4604</v>
      </c>
      <c r="C2315" s="1">
        <v>46006</v>
      </c>
      <c r="D2315" t="s">
        <v>4605</v>
      </c>
      <c r="E2315" s="2">
        <v>13879.68</v>
      </c>
      <c r="G2315" s="3">
        <f>MONTH(Tabela1[[#This Row],[Último pagto ano]])</f>
        <v>12</v>
      </c>
      <c r="H2315" t="str">
        <f>TEXT(Tabela1[[#This Row],[Coluna2]]*29,"mmmm")</f>
        <v>dezembro</v>
      </c>
      <c r="I2315" t="str">
        <f>TEXT(MONTH(Tabela1[[#This Row],[Último pagto ano]])*29,"mmmm")</f>
        <v>dezembro</v>
      </c>
    </row>
    <row r="2316" spans="1:9" x14ac:dyDescent="0.25">
      <c r="A2316">
        <v>2025</v>
      </c>
      <c r="B2316" t="s">
        <v>4606</v>
      </c>
      <c r="C2316" s="1">
        <v>45968</v>
      </c>
      <c r="D2316" t="s">
        <v>4607</v>
      </c>
      <c r="E2316" s="2">
        <v>10000</v>
      </c>
      <c r="G2316" s="3">
        <f>MONTH(Tabela1[[#This Row],[Último pagto ano]])</f>
        <v>11</v>
      </c>
      <c r="H2316" t="str">
        <f>TEXT(Tabela1[[#This Row],[Coluna2]]*29,"mmmm")</f>
        <v>novembro</v>
      </c>
      <c r="I2316" t="str">
        <f>TEXT(MONTH(Tabela1[[#This Row],[Último pagto ano]])*29,"mmmm")</f>
        <v>novembro</v>
      </c>
    </row>
    <row r="2317" spans="1:9" x14ac:dyDescent="0.25">
      <c r="A2317">
        <v>2025</v>
      </c>
      <c r="B2317" t="s">
        <v>4608</v>
      </c>
      <c r="C2317" s="1">
        <v>45992</v>
      </c>
      <c r="D2317" t="s">
        <v>4609</v>
      </c>
      <c r="E2317" s="2">
        <v>3593696.72</v>
      </c>
      <c r="G2317" s="3">
        <f>MONTH(Tabela1[[#This Row],[Último pagto ano]])</f>
        <v>12</v>
      </c>
      <c r="H2317" t="str">
        <f>TEXT(Tabela1[[#This Row],[Coluna2]]*29,"mmmm")</f>
        <v>dezembro</v>
      </c>
      <c r="I2317" t="str">
        <f>TEXT(MONTH(Tabela1[[#This Row],[Último pagto ano]])*29,"mmmm")</f>
        <v>dezembro</v>
      </c>
    </row>
    <row r="2318" spans="1:9" x14ac:dyDescent="0.25">
      <c r="A2318">
        <v>2025</v>
      </c>
      <c r="B2318" t="s">
        <v>4610</v>
      </c>
      <c r="C2318" s="1">
        <v>46006</v>
      </c>
      <c r="D2318" t="s">
        <v>4611</v>
      </c>
      <c r="E2318" s="2">
        <v>3331.44</v>
      </c>
      <c r="G2318" s="3">
        <f>MONTH(Tabela1[[#This Row],[Último pagto ano]])</f>
        <v>12</v>
      </c>
      <c r="H2318" t="str">
        <f>TEXT(Tabela1[[#This Row],[Coluna2]]*29,"mmmm")</f>
        <v>dezembro</v>
      </c>
      <c r="I2318" t="str">
        <f>TEXT(MONTH(Tabela1[[#This Row],[Último pagto ano]])*29,"mmmm")</f>
        <v>dezembro</v>
      </c>
    </row>
    <row r="2319" spans="1:9" x14ac:dyDescent="0.25">
      <c r="A2319">
        <v>2025</v>
      </c>
      <c r="B2319" t="s">
        <v>4612</v>
      </c>
      <c r="C2319" s="1">
        <v>46006</v>
      </c>
      <c r="D2319" t="s">
        <v>4613</v>
      </c>
      <c r="E2319" s="2">
        <v>22513.52</v>
      </c>
      <c r="G2319" s="3">
        <f>MONTH(Tabela1[[#This Row],[Último pagto ano]])</f>
        <v>12</v>
      </c>
      <c r="H2319" t="str">
        <f>TEXT(Tabela1[[#This Row],[Coluna2]]*29,"mmmm")</f>
        <v>dezembro</v>
      </c>
      <c r="I2319" t="str">
        <f>TEXT(MONTH(Tabela1[[#This Row],[Último pagto ano]])*29,"mmmm")</f>
        <v>dezembro</v>
      </c>
    </row>
    <row r="2320" spans="1:9" x14ac:dyDescent="0.25">
      <c r="A2320">
        <v>2025</v>
      </c>
      <c r="B2320" t="s">
        <v>4614</v>
      </c>
      <c r="C2320" s="1">
        <v>46006</v>
      </c>
      <c r="D2320" t="s">
        <v>4615</v>
      </c>
      <c r="E2320">
        <v>660</v>
      </c>
      <c r="G2320" s="3">
        <f>MONTH(Tabela1[[#This Row],[Último pagto ano]])</f>
        <v>12</v>
      </c>
      <c r="H2320" t="str">
        <f>TEXT(Tabela1[[#This Row],[Coluna2]]*29,"mmmm")</f>
        <v>dezembro</v>
      </c>
      <c r="I2320" t="str">
        <f>TEXT(MONTH(Tabela1[[#This Row],[Último pagto ano]])*29,"mmmm")</f>
        <v>dezembro</v>
      </c>
    </row>
    <row r="2321" spans="1:9" x14ac:dyDescent="0.25">
      <c r="A2321">
        <v>2025</v>
      </c>
      <c r="B2321" t="s">
        <v>4616</v>
      </c>
      <c r="C2321" s="1">
        <v>45849</v>
      </c>
      <c r="D2321" t="s">
        <v>4617</v>
      </c>
      <c r="E2321" s="2">
        <v>6021.45</v>
      </c>
      <c r="G2321" s="3">
        <f>MONTH(Tabela1[[#This Row],[Último pagto ano]])</f>
        <v>7</v>
      </c>
      <c r="H2321" t="str">
        <f>TEXT(Tabela1[[#This Row],[Coluna2]]*29,"mmmm")</f>
        <v>julho</v>
      </c>
      <c r="I2321" t="str">
        <f>TEXT(MONTH(Tabela1[[#This Row],[Último pagto ano]])*29,"mmmm")</f>
        <v>julho</v>
      </c>
    </row>
    <row r="2322" spans="1:9" x14ac:dyDescent="0.25">
      <c r="A2322">
        <v>2025</v>
      </c>
      <c r="B2322" t="s">
        <v>4618</v>
      </c>
      <c r="C2322" s="1">
        <v>46010</v>
      </c>
      <c r="D2322" t="s">
        <v>4619</v>
      </c>
      <c r="E2322" s="2">
        <v>6300</v>
      </c>
      <c r="G2322" s="3">
        <f>MONTH(Tabela1[[#This Row],[Último pagto ano]])</f>
        <v>12</v>
      </c>
      <c r="H2322" t="str">
        <f>TEXT(Tabela1[[#This Row],[Coluna2]]*29,"mmmm")</f>
        <v>dezembro</v>
      </c>
      <c r="I2322" t="str">
        <f>TEXT(MONTH(Tabela1[[#This Row],[Último pagto ano]])*29,"mmmm")</f>
        <v>dezembro</v>
      </c>
    </row>
    <row r="2323" spans="1:9" x14ac:dyDescent="0.25">
      <c r="A2323">
        <v>2025</v>
      </c>
      <c r="B2323" t="s">
        <v>4620</v>
      </c>
      <c r="C2323" s="1">
        <v>45824</v>
      </c>
      <c r="D2323" t="s">
        <v>4621</v>
      </c>
      <c r="E2323" s="2">
        <v>5587.2</v>
      </c>
      <c r="G2323" s="3">
        <f>MONTH(Tabela1[[#This Row],[Último pagto ano]])</f>
        <v>6</v>
      </c>
      <c r="H2323" t="str">
        <f>TEXT(Tabela1[[#This Row],[Coluna2]]*29,"mmmm")</f>
        <v>junho</v>
      </c>
      <c r="I2323" t="str">
        <f>TEXT(MONTH(Tabela1[[#This Row],[Último pagto ano]])*29,"mmmm")</f>
        <v>junho</v>
      </c>
    </row>
    <row r="2324" spans="1:9" x14ac:dyDescent="0.25">
      <c r="A2324">
        <v>2025</v>
      </c>
      <c r="B2324" t="s">
        <v>4622</v>
      </c>
      <c r="C2324" s="1">
        <v>45936</v>
      </c>
      <c r="D2324" t="s">
        <v>4623</v>
      </c>
      <c r="E2324">
        <v>132</v>
      </c>
      <c r="G2324" s="3">
        <f>MONTH(Tabela1[[#This Row],[Último pagto ano]])</f>
        <v>10</v>
      </c>
      <c r="H2324" t="str">
        <f>TEXT(Tabela1[[#This Row],[Coluna2]]*29,"mmmm")</f>
        <v>outubro</v>
      </c>
      <c r="I2324" t="str">
        <f>TEXT(MONTH(Tabela1[[#This Row],[Último pagto ano]])*29,"mmmm")</f>
        <v>outubro</v>
      </c>
    </row>
    <row r="2325" spans="1:9" x14ac:dyDescent="0.25">
      <c r="A2325">
        <v>2025</v>
      </c>
      <c r="B2325" t="s">
        <v>4624</v>
      </c>
      <c r="C2325" s="1">
        <v>46010</v>
      </c>
      <c r="D2325" t="s">
        <v>4625</v>
      </c>
      <c r="E2325" s="2">
        <v>12000</v>
      </c>
      <c r="G2325" s="3">
        <f>MONTH(Tabela1[[#This Row],[Último pagto ano]])</f>
        <v>12</v>
      </c>
      <c r="H2325" t="str">
        <f>TEXT(Tabela1[[#This Row],[Coluna2]]*29,"mmmm")</f>
        <v>dezembro</v>
      </c>
      <c r="I2325" t="str">
        <f>TEXT(MONTH(Tabela1[[#This Row],[Último pagto ano]])*29,"mmmm")</f>
        <v>dezembro</v>
      </c>
    </row>
    <row r="2326" spans="1:9" x14ac:dyDescent="0.25">
      <c r="A2326">
        <v>2025</v>
      </c>
      <c r="B2326" t="s">
        <v>4626</v>
      </c>
      <c r="C2326" s="1">
        <v>46006</v>
      </c>
      <c r="D2326" t="s">
        <v>4627</v>
      </c>
      <c r="E2326" s="2">
        <v>25093.919999999998</v>
      </c>
      <c r="G2326" s="3">
        <f>MONTH(Tabela1[[#This Row],[Último pagto ano]])</f>
        <v>12</v>
      </c>
      <c r="H2326" t="str">
        <f>TEXT(Tabela1[[#This Row],[Coluna2]]*29,"mmmm")</f>
        <v>dezembro</v>
      </c>
      <c r="I2326" t="str">
        <f>TEXT(MONTH(Tabela1[[#This Row],[Último pagto ano]])*29,"mmmm")</f>
        <v>dezembro</v>
      </c>
    </row>
    <row r="2327" spans="1:9" x14ac:dyDescent="0.25">
      <c r="A2327">
        <v>2025</v>
      </c>
      <c r="B2327" t="s">
        <v>4628</v>
      </c>
      <c r="C2327" s="1">
        <v>45722</v>
      </c>
      <c r="D2327" t="s">
        <v>4629</v>
      </c>
      <c r="E2327" s="2">
        <v>1963</v>
      </c>
      <c r="G2327" s="3">
        <f>MONTH(Tabela1[[#This Row],[Último pagto ano]])</f>
        <v>3</v>
      </c>
      <c r="H2327" t="str">
        <f>TEXT(Tabela1[[#This Row],[Coluna2]]*29,"mmmm")</f>
        <v>março</v>
      </c>
      <c r="I2327" t="str">
        <f>TEXT(MONTH(Tabela1[[#This Row],[Último pagto ano]])*29,"mmmm")</f>
        <v>março</v>
      </c>
    </row>
    <row r="2328" spans="1:9" x14ac:dyDescent="0.25">
      <c r="A2328">
        <v>2025</v>
      </c>
      <c r="B2328" t="s">
        <v>4630</v>
      </c>
      <c r="C2328" s="1">
        <v>45950</v>
      </c>
      <c r="D2328" t="s">
        <v>4631</v>
      </c>
      <c r="E2328">
        <v>110</v>
      </c>
      <c r="G2328" s="3">
        <f>MONTH(Tabela1[[#This Row],[Último pagto ano]])</f>
        <v>10</v>
      </c>
      <c r="H2328" t="str">
        <f>TEXT(Tabela1[[#This Row],[Coluna2]]*29,"mmmm")</f>
        <v>outubro</v>
      </c>
      <c r="I2328" t="str">
        <f>TEXT(MONTH(Tabela1[[#This Row],[Último pagto ano]])*29,"mmmm")</f>
        <v>outubro</v>
      </c>
    </row>
    <row r="2329" spans="1:9" x14ac:dyDescent="0.25">
      <c r="A2329">
        <v>2025</v>
      </c>
      <c r="B2329" t="s">
        <v>4632</v>
      </c>
      <c r="C2329" s="1">
        <v>46014</v>
      </c>
      <c r="D2329" t="s">
        <v>4633</v>
      </c>
      <c r="E2329">
        <v>22</v>
      </c>
      <c r="G2329" s="3">
        <f>MONTH(Tabela1[[#This Row],[Último pagto ano]])</f>
        <v>12</v>
      </c>
      <c r="H2329" t="str">
        <f>TEXT(Tabela1[[#This Row],[Coluna2]]*29,"mmmm")</f>
        <v>dezembro</v>
      </c>
      <c r="I2329" t="str">
        <f>TEXT(MONTH(Tabela1[[#This Row],[Último pagto ano]])*29,"mmmm")</f>
        <v>dezembro</v>
      </c>
    </row>
    <row r="2330" spans="1:9" x14ac:dyDescent="0.25">
      <c r="A2330">
        <v>2025</v>
      </c>
      <c r="B2330" t="s">
        <v>4634</v>
      </c>
      <c r="C2330" s="1">
        <v>46010</v>
      </c>
      <c r="D2330" t="s">
        <v>4635</v>
      </c>
      <c r="E2330" s="2">
        <v>1400</v>
      </c>
      <c r="G2330" s="3">
        <f>MONTH(Tabela1[[#This Row],[Último pagto ano]])</f>
        <v>12</v>
      </c>
      <c r="H2330" t="str">
        <f>TEXT(Tabela1[[#This Row],[Coluna2]]*29,"mmmm")</f>
        <v>dezembro</v>
      </c>
      <c r="I2330" t="str">
        <f>TEXT(MONTH(Tabela1[[#This Row],[Último pagto ano]])*29,"mmmm")</f>
        <v>dezembro</v>
      </c>
    </row>
    <row r="2331" spans="1:9" x14ac:dyDescent="0.25">
      <c r="A2331">
        <v>2025</v>
      </c>
      <c r="B2331" t="s">
        <v>4636</v>
      </c>
      <c r="C2331" s="1">
        <v>46002</v>
      </c>
      <c r="D2331" t="s">
        <v>4637</v>
      </c>
      <c r="E2331">
        <v>43.91</v>
      </c>
      <c r="G2331" s="3">
        <f>MONTH(Tabela1[[#This Row],[Último pagto ano]])</f>
        <v>12</v>
      </c>
      <c r="H2331" t="str">
        <f>TEXT(Tabela1[[#This Row],[Coluna2]]*29,"mmmm")</f>
        <v>dezembro</v>
      </c>
      <c r="I2331" t="str">
        <f>TEXT(MONTH(Tabela1[[#This Row],[Último pagto ano]])*29,"mmmm")</f>
        <v>dezembro</v>
      </c>
    </row>
    <row r="2332" spans="1:9" x14ac:dyDescent="0.25">
      <c r="A2332">
        <v>2025</v>
      </c>
      <c r="B2332" t="s">
        <v>4638</v>
      </c>
      <c r="C2332" s="1">
        <v>45870</v>
      </c>
      <c r="D2332" t="s">
        <v>4639</v>
      </c>
      <c r="E2332" s="2">
        <v>7092.31</v>
      </c>
      <c r="G2332" s="3">
        <f>MONTH(Tabela1[[#This Row],[Último pagto ano]])</f>
        <v>8</v>
      </c>
      <c r="H2332" t="str">
        <f>TEXT(Tabela1[[#This Row],[Coluna2]]*29,"mmmm")</f>
        <v>agosto</v>
      </c>
      <c r="I2332" t="str">
        <f>TEXT(MONTH(Tabela1[[#This Row],[Último pagto ano]])*29,"mmmm")</f>
        <v>agosto</v>
      </c>
    </row>
    <row r="2333" spans="1:9" x14ac:dyDescent="0.25">
      <c r="A2333">
        <v>2025</v>
      </c>
      <c r="B2333" t="s">
        <v>4640</v>
      </c>
      <c r="C2333" s="1">
        <v>45737</v>
      </c>
      <c r="D2333" t="s">
        <v>4641</v>
      </c>
      <c r="E2333">
        <v>62.18</v>
      </c>
      <c r="G2333" s="3">
        <f>MONTH(Tabela1[[#This Row],[Último pagto ano]])</f>
        <v>3</v>
      </c>
      <c r="H2333" t="str">
        <f>TEXT(Tabela1[[#This Row],[Coluna2]]*29,"mmmm")</f>
        <v>março</v>
      </c>
      <c r="I2333" t="str">
        <f>TEXT(MONTH(Tabela1[[#This Row],[Último pagto ano]])*29,"mmmm")</f>
        <v>março</v>
      </c>
    </row>
    <row r="2334" spans="1:9" x14ac:dyDescent="0.25">
      <c r="A2334">
        <v>2025</v>
      </c>
      <c r="B2334" t="s">
        <v>4642</v>
      </c>
      <c r="C2334" s="1">
        <v>46006</v>
      </c>
      <c r="D2334" t="s">
        <v>4643</v>
      </c>
      <c r="E2334" s="2">
        <v>6515.52</v>
      </c>
      <c r="G2334" s="3">
        <f>MONTH(Tabela1[[#This Row],[Último pagto ano]])</f>
        <v>12</v>
      </c>
      <c r="H2334" t="str">
        <f>TEXT(Tabela1[[#This Row],[Coluna2]]*29,"mmmm")</f>
        <v>dezembro</v>
      </c>
      <c r="I2334" t="str">
        <f>TEXT(MONTH(Tabela1[[#This Row],[Último pagto ano]])*29,"mmmm")</f>
        <v>dezembro</v>
      </c>
    </row>
    <row r="2335" spans="1:9" x14ac:dyDescent="0.25">
      <c r="A2335">
        <v>2025</v>
      </c>
      <c r="B2335" t="s">
        <v>4644</v>
      </c>
      <c r="C2335" s="1">
        <v>45996</v>
      </c>
      <c r="D2335" t="s">
        <v>4645</v>
      </c>
      <c r="E2335" s="2">
        <v>2000</v>
      </c>
      <c r="G2335" s="3">
        <f>MONTH(Tabela1[[#This Row],[Último pagto ano]])</f>
        <v>12</v>
      </c>
      <c r="H2335" t="str">
        <f>TEXT(Tabela1[[#This Row],[Coluna2]]*29,"mmmm")</f>
        <v>dezembro</v>
      </c>
      <c r="I2335" t="str">
        <f>TEXT(MONTH(Tabela1[[#This Row],[Último pagto ano]])*29,"mmmm")</f>
        <v>dezembro</v>
      </c>
    </row>
    <row r="2336" spans="1:9" x14ac:dyDescent="0.25">
      <c r="A2336">
        <v>2025</v>
      </c>
      <c r="B2336" t="s">
        <v>4646</v>
      </c>
      <c r="C2336" s="1">
        <v>45985</v>
      </c>
      <c r="D2336" t="s">
        <v>4647</v>
      </c>
      <c r="E2336">
        <v>44</v>
      </c>
      <c r="G2336" s="3">
        <f>MONTH(Tabela1[[#This Row],[Último pagto ano]])</f>
        <v>11</v>
      </c>
      <c r="H2336" t="str">
        <f>TEXT(Tabela1[[#This Row],[Coluna2]]*29,"mmmm")</f>
        <v>novembro</v>
      </c>
      <c r="I2336" t="str">
        <f>TEXT(MONTH(Tabela1[[#This Row],[Último pagto ano]])*29,"mmmm")</f>
        <v>novembro</v>
      </c>
    </row>
    <row r="2337" spans="1:9" x14ac:dyDescent="0.25">
      <c r="A2337">
        <v>2025</v>
      </c>
      <c r="B2337" t="s">
        <v>4648</v>
      </c>
      <c r="C2337" s="1">
        <v>45995</v>
      </c>
      <c r="D2337" t="s">
        <v>4649</v>
      </c>
      <c r="E2337" s="2">
        <v>29331.06</v>
      </c>
      <c r="G2337" s="3">
        <f>MONTH(Tabela1[[#This Row],[Último pagto ano]])</f>
        <v>12</v>
      </c>
      <c r="H2337" t="str">
        <f>TEXT(Tabela1[[#This Row],[Coluna2]]*29,"mmmm")</f>
        <v>dezembro</v>
      </c>
      <c r="I2337" t="str">
        <f>TEXT(MONTH(Tabela1[[#This Row],[Último pagto ano]])*29,"mmmm")</f>
        <v>dezembro</v>
      </c>
    </row>
    <row r="2338" spans="1:9" x14ac:dyDescent="0.25">
      <c r="A2338">
        <v>2025</v>
      </c>
      <c r="B2338" t="s">
        <v>4650</v>
      </c>
      <c r="C2338" s="1">
        <v>45989</v>
      </c>
      <c r="D2338" t="s">
        <v>4651</v>
      </c>
      <c r="E2338" s="2">
        <v>11757.11</v>
      </c>
      <c r="G2338" s="3">
        <f>MONTH(Tabela1[[#This Row],[Último pagto ano]])</f>
        <v>11</v>
      </c>
      <c r="H2338" t="str">
        <f>TEXT(Tabela1[[#This Row],[Coluna2]]*29,"mmmm")</f>
        <v>novembro</v>
      </c>
      <c r="I2338" t="str">
        <f>TEXT(MONTH(Tabela1[[#This Row],[Último pagto ano]])*29,"mmmm")</f>
        <v>novembro</v>
      </c>
    </row>
    <row r="2339" spans="1:9" x14ac:dyDescent="0.25">
      <c r="A2339">
        <v>2025</v>
      </c>
      <c r="B2339" t="s">
        <v>4652</v>
      </c>
      <c r="C2339" s="1">
        <v>46010</v>
      </c>
      <c r="D2339" t="s">
        <v>4653</v>
      </c>
      <c r="E2339" s="2">
        <v>12000</v>
      </c>
      <c r="G2339" s="3">
        <f>MONTH(Tabela1[[#This Row],[Último pagto ano]])</f>
        <v>12</v>
      </c>
      <c r="H2339" t="str">
        <f>TEXT(Tabela1[[#This Row],[Coluna2]]*29,"mmmm")</f>
        <v>dezembro</v>
      </c>
      <c r="I2339" t="str">
        <f>TEXT(MONTH(Tabela1[[#This Row],[Último pagto ano]])*29,"mmmm")</f>
        <v>dezembro</v>
      </c>
    </row>
    <row r="2340" spans="1:9" x14ac:dyDescent="0.25">
      <c r="A2340">
        <v>2025</v>
      </c>
      <c r="B2340" t="s">
        <v>4654</v>
      </c>
      <c r="C2340" s="1">
        <v>45702</v>
      </c>
      <c r="D2340" t="s">
        <v>4655</v>
      </c>
      <c r="E2340">
        <v>241.34</v>
      </c>
      <c r="G2340" s="3">
        <f>MONTH(Tabela1[[#This Row],[Último pagto ano]])</f>
        <v>2</v>
      </c>
      <c r="H2340" t="str">
        <f>TEXT(Tabela1[[#This Row],[Coluna2]]*29,"mmmm")</f>
        <v>fevereiro</v>
      </c>
      <c r="I2340" t="str">
        <f>TEXT(MONTH(Tabela1[[#This Row],[Último pagto ano]])*29,"mmmm")</f>
        <v>fevereiro</v>
      </c>
    </row>
    <row r="2341" spans="1:9" x14ac:dyDescent="0.25">
      <c r="A2341">
        <v>2025</v>
      </c>
      <c r="B2341" t="s">
        <v>4656</v>
      </c>
      <c r="C2341" s="1">
        <v>45943</v>
      </c>
      <c r="D2341" t="s">
        <v>4657</v>
      </c>
      <c r="E2341">
        <v>55</v>
      </c>
      <c r="G2341" s="3">
        <f>MONTH(Tabela1[[#This Row],[Último pagto ano]])</f>
        <v>10</v>
      </c>
      <c r="H2341" t="str">
        <f>TEXT(Tabela1[[#This Row],[Coluna2]]*29,"mmmm")</f>
        <v>outubro</v>
      </c>
      <c r="I2341" t="str">
        <f>TEXT(MONTH(Tabela1[[#This Row],[Último pagto ano]])*29,"mmmm")</f>
        <v>outubro</v>
      </c>
    </row>
    <row r="2342" spans="1:9" x14ac:dyDescent="0.25">
      <c r="A2342">
        <v>2025</v>
      </c>
      <c r="B2342" t="s">
        <v>4658</v>
      </c>
      <c r="C2342" s="1">
        <v>46006</v>
      </c>
      <c r="D2342" t="s">
        <v>4659</v>
      </c>
      <c r="E2342">
        <v>700</v>
      </c>
      <c r="G2342" s="3">
        <f>MONTH(Tabela1[[#This Row],[Último pagto ano]])</f>
        <v>12</v>
      </c>
      <c r="H2342" t="str">
        <f>TEXT(Tabela1[[#This Row],[Coluna2]]*29,"mmmm")</f>
        <v>dezembro</v>
      </c>
      <c r="I2342" t="str">
        <f>TEXT(MONTH(Tabela1[[#This Row],[Último pagto ano]])*29,"mmmm")</f>
        <v>dezembro</v>
      </c>
    </row>
    <row r="2343" spans="1:9" x14ac:dyDescent="0.25">
      <c r="A2343">
        <v>2025</v>
      </c>
      <c r="B2343" t="s">
        <v>4660</v>
      </c>
      <c r="C2343" s="1">
        <v>45733</v>
      </c>
      <c r="D2343" t="s">
        <v>4661</v>
      </c>
      <c r="E2343">
        <v>579.04</v>
      </c>
      <c r="G2343" s="3">
        <f>MONTH(Tabela1[[#This Row],[Último pagto ano]])</f>
        <v>3</v>
      </c>
      <c r="H2343" t="str">
        <f>TEXT(Tabela1[[#This Row],[Coluna2]]*29,"mmmm")</f>
        <v>março</v>
      </c>
      <c r="I2343" t="str">
        <f>TEXT(MONTH(Tabela1[[#This Row],[Último pagto ano]])*29,"mmmm")</f>
        <v>março</v>
      </c>
    </row>
    <row r="2344" spans="1:9" x14ac:dyDescent="0.25">
      <c r="A2344">
        <v>2025</v>
      </c>
      <c r="B2344" t="s">
        <v>4662</v>
      </c>
      <c r="C2344" s="1">
        <v>45740</v>
      </c>
      <c r="D2344" t="s">
        <v>4663</v>
      </c>
      <c r="E2344" s="2">
        <v>2100</v>
      </c>
      <c r="G2344" s="3">
        <f>MONTH(Tabela1[[#This Row],[Último pagto ano]])</f>
        <v>3</v>
      </c>
      <c r="H2344" t="str">
        <f>TEXT(Tabela1[[#This Row],[Coluna2]]*29,"mmmm")</f>
        <v>março</v>
      </c>
      <c r="I2344" t="str">
        <f>TEXT(MONTH(Tabela1[[#This Row],[Último pagto ano]])*29,"mmmm")</f>
        <v>março</v>
      </c>
    </row>
    <row r="2345" spans="1:9" x14ac:dyDescent="0.25">
      <c r="A2345">
        <v>2025</v>
      </c>
      <c r="B2345" t="s">
        <v>4664</v>
      </c>
      <c r="C2345" s="1">
        <v>46021</v>
      </c>
      <c r="D2345" t="s">
        <v>4665</v>
      </c>
      <c r="E2345" s="2">
        <v>16412.52</v>
      </c>
      <c r="G2345" s="3">
        <f>MONTH(Tabela1[[#This Row],[Último pagto ano]])</f>
        <v>12</v>
      </c>
      <c r="H2345" t="str">
        <f>TEXT(Tabela1[[#This Row],[Coluna2]]*29,"mmmm")</f>
        <v>dezembro</v>
      </c>
      <c r="I2345" t="str">
        <f>TEXT(MONTH(Tabela1[[#This Row],[Último pagto ano]])*29,"mmmm")</f>
        <v>dezembro</v>
      </c>
    </row>
    <row r="2346" spans="1:9" x14ac:dyDescent="0.25">
      <c r="A2346">
        <v>2025</v>
      </c>
      <c r="B2346" t="s">
        <v>4666</v>
      </c>
      <c r="C2346" s="1">
        <v>46013</v>
      </c>
      <c r="D2346" t="s">
        <v>4667</v>
      </c>
      <c r="E2346" s="2">
        <v>6800</v>
      </c>
      <c r="G2346" s="3">
        <f>MONTH(Tabela1[[#This Row],[Último pagto ano]])</f>
        <v>12</v>
      </c>
      <c r="H2346" t="str">
        <f>TEXT(Tabela1[[#This Row],[Coluna2]]*29,"mmmm")</f>
        <v>dezembro</v>
      </c>
      <c r="I2346" t="str">
        <f>TEXT(MONTH(Tabela1[[#This Row],[Último pagto ano]])*29,"mmmm")</f>
        <v>dezembro</v>
      </c>
    </row>
    <row r="2347" spans="1:9" x14ac:dyDescent="0.25">
      <c r="A2347">
        <v>2025</v>
      </c>
      <c r="B2347" t="s">
        <v>4668</v>
      </c>
      <c r="C2347" s="1">
        <v>46014</v>
      </c>
      <c r="D2347" t="s">
        <v>4669</v>
      </c>
      <c r="E2347" s="2">
        <v>12290</v>
      </c>
      <c r="G2347" s="3">
        <f>MONTH(Tabela1[[#This Row],[Último pagto ano]])</f>
        <v>12</v>
      </c>
      <c r="H2347" t="str">
        <f>TEXT(Tabela1[[#This Row],[Coluna2]]*29,"mmmm")</f>
        <v>dezembro</v>
      </c>
      <c r="I2347" t="str">
        <f>TEXT(MONTH(Tabela1[[#This Row],[Último pagto ano]])*29,"mmmm")</f>
        <v>dezembro</v>
      </c>
    </row>
    <row r="2348" spans="1:9" x14ac:dyDescent="0.25">
      <c r="A2348">
        <v>2025</v>
      </c>
      <c r="B2348" t="s">
        <v>4670</v>
      </c>
      <c r="C2348" s="1">
        <v>46007</v>
      </c>
      <c r="D2348" t="s">
        <v>4671</v>
      </c>
      <c r="E2348" s="2">
        <v>86970.72</v>
      </c>
      <c r="G2348" s="3">
        <f>MONTH(Tabela1[[#This Row],[Último pagto ano]])</f>
        <v>12</v>
      </c>
      <c r="H2348" t="str">
        <f>TEXT(Tabela1[[#This Row],[Coluna2]]*29,"mmmm")</f>
        <v>dezembro</v>
      </c>
      <c r="I2348" t="str">
        <f>TEXT(MONTH(Tabela1[[#This Row],[Último pagto ano]])*29,"mmmm")</f>
        <v>dezembro</v>
      </c>
    </row>
    <row r="2349" spans="1:9" x14ac:dyDescent="0.25">
      <c r="A2349">
        <v>2025</v>
      </c>
      <c r="B2349" t="s">
        <v>4672</v>
      </c>
      <c r="C2349" s="1">
        <v>45978</v>
      </c>
      <c r="D2349" t="s">
        <v>4673</v>
      </c>
      <c r="E2349">
        <v>77</v>
      </c>
      <c r="G2349" s="3">
        <f>MONTH(Tabela1[[#This Row],[Último pagto ano]])</f>
        <v>11</v>
      </c>
      <c r="H2349" t="str">
        <f>TEXT(Tabela1[[#This Row],[Coluna2]]*29,"mmmm")</f>
        <v>novembro</v>
      </c>
      <c r="I2349" t="str">
        <f>TEXT(MONTH(Tabela1[[#This Row],[Último pagto ano]])*29,"mmmm")</f>
        <v>novembro</v>
      </c>
    </row>
    <row r="2350" spans="1:9" x14ac:dyDescent="0.25">
      <c r="A2350">
        <v>2025</v>
      </c>
      <c r="B2350" t="s">
        <v>4674</v>
      </c>
      <c r="C2350" s="1">
        <v>46010</v>
      </c>
      <c r="D2350" t="s">
        <v>4675</v>
      </c>
      <c r="E2350" s="2">
        <v>3500</v>
      </c>
      <c r="G2350" s="3">
        <f>MONTH(Tabela1[[#This Row],[Último pagto ano]])</f>
        <v>12</v>
      </c>
      <c r="H2350" t="str">
        <f>TEXT(Tabela1[[#This Row],[Coluna2]]*29,"mmmm")</f>
        <v>dezembro</v>
      </c>
      <c r="I2350" t="str">
        <f>TEXT(MONTH(Tabela1[[#This Row],[Último pagto ano]])*29,"mmmm")</f>
        <v>dezembro</v>
      </c>
    </row>
    <row r="2351" spans="1:9" x14ac:dyDescent="0.25">
      <c r="A2351">
        <v>2025</v>
      </c>
      <c r="B2351" t="s">
        <v>4676</v>
      </c>
      <c r="C2351" s="1">
        <v>45989</v>
      </c>
      <c r="D2351" t="s">
        <v>4677</v>
      </c>
      <c r="E2351" s="2">
        <v>99982</v>
      </c>
      <c r="G2351" s="3">
        <f>MONTH(Tabela1[[#This Row],[Último pagto ano]])</f>
        <v>11</v>
      </c>
      <c r="H2351" t="str">
        <f>TEXT(Tabela1[[#This Row],[Coluna2]]*29,"mmmm")</f>
        <v>novembro</v>
      </c>
      <c r="I2351" t="str">
        <f>TEXT(MONTH(Tabela1[[#This Row],[Último pagto ano]])*29,"mmmm")</f>
        <v>novembro</v>
      </c>
    </row>
    <row r="2352" spans="1:9" x14ac:dyDescent="0.25">
      <c r="A2352">
        <v>2025</v>
      </c>
      <c r="B2352" t="s">
        <v>4678</v>
      </c>
      <c r="C2352" s="1">
        <v>45863</v>
      </c>
      <c r="D2352" t="s">
        <v>4679</v>
      </c>
      <c r="E2352">
        <v>581.29999999999995</v>
      </c>
      <c r="G2352" s="3">
        <f>MONTH(Tabela1[[#This Row],[Último pagto ano]])</f>
        <v>7</v>
      </c>
      <c r="H2352" t="str">
        <f>TEXT(Tabela1[[#This Row],[Coluna2]]*29,"mmmm")</f>
        <v>julho</v>
      </c>
      <c r="I2352" t="str">
        <f>TEXT(MONTH(Tabela1[[#This Row],[Último pagto ano]])*29,"mmmm")</f>
        <v>julho</v>
      </c>
    </row>
    <row r="2353" spans="1:9" x14ac:dyDescent="0.25">
      <c r="A2353">
        <v>2025</v>
      </c>
      <c r="B2353" t="s">
        <v>4680</v>
      </c>
      <c r="C2353" s="1">
        <v>45971</v>
      </c>
      <c r="D2353" t="s">
        <v>4681</v>
      </c>
      <c r="E2353" s="2">
        <v>8436.0499999999993</v>
      </c>
      <c r="G2353" s="3">
        <f>MONTH(Tabela1[[#This Row],[Último pagto ano]])</f>
        <v>11</v>
      </c>
      <c r="H2353" t="str">
        <f>TEXT(Tabela1[[#This Row],[Coluna2]]*29,"mmmm")</f>
        <v>novembro</v>
      </c>
      <c r="I2353" t="str">
        <f>TEXT(MONTH(Tabela1[[#This Row],[Último pagto ano]])*29,"mmmm")</f>
        <v>novembro</v>
      </c>
    </row>
    <row r="2354" spans="1:9" x14ac:dyDescent="0.25">
      <c r="A2354">
        <v>2025</v>
      </c>
      <c r="B2354" t="s">
        <v>4682</v>
      </c>
      <c r="C2354" s="1">
        <v>46010</v>
      </c>
      <c r="D2354" t="s">
        <v>4683</v>
      </c>
      <c r="E2354" s="2">
        <v>8400</v>
      </c>
      <c r="G2354" s="3">
        <f>MONTH(Tabela1[[#This Row],[Último pagto ano]])</f>
        <v>12</v>
      </c>
      <c r="H2354" t="str">
        <f>TEXT(Tabela1[[#This Row],[Coluna2]]*29,"mmmm")</f>
        <v>dezembro</v>
      </c>
      <c r="I2354" t="str">
        <f>TEXT(MONTH(Tabela1[[#This Row],[Último pagto ano]])*29,"mmmm")</f>
        <v>dezembro</v>
      </c>
    </row>
    <row r="2355" spans="1:9" x14ac:dyDescent="0.25">
      <c r="A2355">
        <v>2025</v>
      </c>
      <c r="B2355" t="s">
        <v>4684</v>
      </c>
      <c r="C2355" s="1">
        <v>45880</v>
      </c>
      <c r="D2355" t="s">
        <v>4685</v>
      </c>
      <c r="E2355" s="2">
        <v>19600</v>
      </c>
      <c r="G2355" s="3">
        <f>MONTH(Tabela1[[#This Row],[Último pagto ano]])</f>
        <v>8</v>
      </c>
      <c r="H2355" t="str">
        <f>TEXT(Tabela1[[#This Row],[Coluna2]]*29,"mmmm")</f>
        <v>agosto</v>
      </c>
      <c r="I2355" t="str">
        <f>TEXT(MONTH(Tabela1[[#This Row],[Último pagto ano]])*29,"mmmm")</f>
        <v>agosto</v>
      </c>
    </row>
    <row r="2356" spans="1:9" x14ac:dyDescent="0.25">
      <c r="A2356">
        <v>2025</v>
      </c>
      <c r="B2356" t="s">
        <v>4686</v>
      </c>
      <c r="C2356" s="1">
        <v>45924</v>
      </c>
      <c r="D2356" t="s">
        <v>4687</v>
      </c>
      <c r="E2356" s="2">
        <v>5600</v>
      </c>
      <c r="G2356" s="3">
        <f>MONTH(Tabela1[[#This Row],[Último pagto ano]])</f>
        <v>9</v>
      </c>
      <c r="H2356" t="str">
        <f>TEXT(Tabela1[[#This Row],[Coluna2]]*29,"mmmm")</f>
        <v>setembro</v>
      </c>
      <c r="I2356" t="str">
        <f>TEXT(MONTH(Tabela1[[#This Row],[Último pagto ano]])*29,"mmmm")</f>
        <v>setembro</v>
      </c>
    </row>
    <row r="2357" spans="1:9" x14ac:dyDescent="0.25">
      <c r="A2357">
        <v>2025</v>
      </c>
      <c r="B2357" t="s">
        <v>4688</v>
      </c>
      <c r="C2357" s="1">
        <v>45988</v>
      </c>
      <c r="D2357" t="s">
        <v>4689</v>
      </c>
      <c r="E2357" s="2">
        <v>1015.2</v>
      </c>
      <c r="G2357" s="3">
        <f>MONTH(Tabela1[[#This Row],[Último pagto ano]])</f>
        <v>11</v>
      </c>
      <c r="H2357" t="str">
        <f>TEXT(Tabela1[[#This Row],[Coluna2]]*29,"mmmm")</f>
        <v>novembro</v>
      </c>
      <c r="I2357" t="str">
        <f>TEXT(MONTH(Tabela1[[#This Row],[Último pagto ano]])*29,"mmmm")</f>
        <v>novembro</v>
      </c>
    </row>
    <row r="2358" spans="1:9" x14ac:dyDescent="0.25">
      <c r="A2358">
        <v>2025</v>
      </c>
      <c r="B2358" t="s">
        <v>4690</v>
      </c>
      <c r="C2358" s="1">
        <v>45996</v>
      </c>
      <c r="D2358" t="s">
        <v>4691</v>
      </c>
      <c r="E2358" s="2">
        <v>3000</v>
      </c>
      <c r="G2358" s="3">
        <f>MONTH(Tabela1[[#This Row],[Último pagto ano]])</f>
        <v>12</v>
      </c>
      <c r="H2358" t="str">
        <f>TEXT(Tabela1[[#This Row],[Coluna2]]*29,"mmmm")</f>
        <v>dezembro</v>
      </c>
      <c r="I2358" t="str">
        <f>TEXT(MONTH(Tabela1[[#This Row],[Último pagto ano]])*29,"mmmm")</f>
        <v>dezembro</v>
      </c>
    </row>
    <row r="2359" spans="1:9" x14ac:dyDescent="0.25">
      <c r="A2359">
        <v>2025</v>
      </c>
      <c r="B2359" t="s">
        <v>4692</v>
      </c>
      <c r="C2359" s="1">
        <v>45855</v>
      </c>
      <c r="D2359" t="s">
        <v>4693</v>
      </c>
      <c r="E2359" s="2">
        <v>7013.65</v>
      </c>
      <c r="G2359" s="3">
        <f>MONTH(Tabela1[[#This Row],[Último pagto ano]])</f>
        <v>7</v>
      </c>
      <c r="H2359" t="str">
        <f>TEXT(Tabela1[[#This Row],[Coluna2]]*29,"mmmm")</f>
        <v>julho</v>
      </c>
      <c r="I2359" t="str">
        <f>TEXT(MONTH(Tabela1[[#This Row],[Último pagto ano]])*29,"mmmm")</f>
        <v>julho</v>
      </c>
    </row>
    <row r="2360" spans="1:9" x14ac:dyDescent="0.25">
      <c r="A2360">
        <v>2025</v>
      </c>
      <c r="B2360" t="s">
        <v>4694</v>
      </c>
      <c r="C2360" s="1">
        <v>45702</v>
      </c>
      <c r="D2360" t="s">
        <v>4695</v>
      </c>
      <c r="E2360" s="2">
        <v>1130.8800000000001</v>
      </c>
      <c r="G2360" s="3">
        <f>MONTH(Tabela1[[#This Row],[Último pagto ano]])</f>
        <v>2</v>
      </c>
      <c r="H2360" t="str">
        <f>TEXT(Tabela1[[#This Row],[Coluna2]]*29,"mmmm")</f>
        <v>fevereiro</v>
      </c>
      <c r="I2360" t="str">
        <f>TEXT(MONTH(Tabela1[[#This Row],[Último pagto ano]])*29,"mmmm")</f>
        <v>fevereiro</v>
      </c>
    </row>
    <row r="2361" spans="1:9" x14ac:dyDescent="0.25">
      <c r="A2361">
        <v>2025</v>
      </c>
      <c r="B2361" t="s">
        <v>4696</v>
      </c>
      <c r="C2361" s="1">
        <v>45930</v>
      </c>
      <c r="D2361" t="s">
        <v>4697</v>
      </c>
      <c r="E2361" s="2">
        <v>8389.24</v>
      </c>
      <c r="G2361" s="3">
        <f>MONTH(Tabela1[[#This Row],[Último pagto ano]])</f>
        <v>9</v>
      </c>
      <c r="H2361" t="str">
        <f>TEXT(Tabela1[[#This Row],[Coluna2]]*29,"mmmm")</f>
        <v>setembro</v>
      </c>
      <c r="I2361" t="str">
        <f>TEXT(MONTH(Tabela1[[#This Row],[Último pagto ano]])*29,"mmmm")</f>
        <v>setembro</v>
      </c>
    </row>
    <row r="2362" spans="1:9" x14ac:dyDescent="0.25">
      <c r="A2362">
        <v>2025</v>
      </c>
      <c r="B2362" t="s">
        <v>4698</v>
      </c>
      <c r="C2362" s="1">
        <v>45950</v>
      </c>
      <c r="D2362" t="s">
        <v>4699</v>
      </c>
      <c r="E2362" s="2">
        <v>1795</v>
      </c>
      <c r="G2362" s="3">
        <f>MONTH(Tabela1[[#This Row],[Último pagto ano]])</f>
        <v>10</v>
      </c>
      <c r="H2362" t="str">
        <f>TEXT(Tabela1[[#This Row],[Coluna2]]*29,"mmmm")</f>
        <v>outubro</v>
      </c>
      <c r="I2362" t="str">
        <f>TEXT(MONTH(Tabela1[[#This Row],[Último pagto ano]])*29,"mmmm")</f>
        <v>outubro</v>
      </c>
    </row>
    <row r="2363" spans="1:9" x14ac:dyDescent="0.25">
      <c r="A2363">
        <v>2025</v>
      </c>
      <c r="B2363" t="s">
        <v>4700</v>
      </c>
      <c r="C2363" s="1">
        <v>45915</v>
      </c>
      <c r="D2363" t="s">
        <v>4701</v>
      </c>
      <c r="E2363" s="2">
        <v>51372</v>
      </c>
      <c r="G2363" s="3">
        <f>MONTH(Tabela1[[#This Row],[Último pagto ano]])</f>
        <v>9</v>
      </c>
      <c r="H2363" t="str">
        <f>TEXT(Tabela1[[#This Row],[Coluna2]]*29,"mmmm")</f>
        <v>setembro</v>
      </c>
      <c r="I2363" t="str">
        <f>TEXT(MONTH(Tabela1[[#This Row],[Último pagto ano]])*29,"mmmm")</f>
        <v>setembro</v>
      </c>
    </row>
    <row r="2364" spans="1:9" x14ac:dyDescent="0.25">
      <c r="A2364">
        <v>2025</v>
      </c>
      <c r="B2364" t="s">
        <v>4702</v>
      </c>
      <c r="C2364" s="1">
        <v>45672</v>
      </c>
      <c r="D2364" t="s">
        <v>4703</v>
      </c>
      <c r="E2364">
        <v>282.88</v>
      </c>
      <c r="G2364" s="3">
        <f>MONTH(Tabela1[[#This Row],[Último pagto ano]])</f>
        <v>1</v>
      </c>
      <c r="H2364" t="str">
        <f>TEXT(Tabela1[[#This Row],[Coluna2]]*29,"mmmm")</f>
        <v>janeiro</v>
      </c>
      <c r="I2364" t="str">
        <f>TEXT(MONTH(Tabela1[[#This Row],[Último pagto ano]])*29,"mmmm")</f>
        <v>janeiro</v>
      </c>
    </row>
    <row r="2365" spans="1:9" x14ac:dyDescent="0.25">
      <c r="A2365">
        <v>2025</v>
      </c>
      <c r="B2365" t="s">
        <v>4704</v>
      </c>
      <c r="C2365" s="1">
        <v>45791</v>
      </c>
      <c r="D2365" t="s">
        <v>4705</v>
      </c>
      <c r="E2365" s="2">
        <v>970814.52</v>
      </c>
      <c r="G2365" s="3">
        <f>MONTH(Tabela1[[#This Row],[Último pagto ano]])</f>
        <v>5</v>
      </c>
      <c r="H2365" t="str">
        <f>TEXT(Tabela1[[#This Row],[Coluna2]]*29,"mmmm")</f>
        <v>maio</v>
      </c>
      <c r="I2365" t="str">
        <f>TEXT(MONTH(Tabela1[[#This Row],[Último pagto ano]])*29,"mmmm")</f>
        <v>maio</v>
      </c>
    </row>
    <row r="2366" spans="1:9" x14ac:dyDescent="0.25">
      <c r="A2366">
        <v>2025</v>
      </c>
      <c r="B2366" t="s">
        <v>4706</v>
      </c>
      <c r="C2366" s="1">
        <v>45740</v>
      </c>
      <c r="D2366" t="s">
        <v>4707</v>
      </c>
      <c r="E2366" s="2">
        <v>2162.2399999999998</v>
      </c>
      <c r="G2366" s="3">
        <f>MONTH(Tabela1[[#This Row],[Último pagto ano]])</f>
        <v>3</v>
      </c>
      <c r="H2366" t="str">
        <f>TEXT(Tabela1[[#This Row],[Coluna2]]*29,"mmmm")</f>
        <v>março</v>
      </c>
      <c r="I2366" t="str">
        <f>TEXT(MONTH(Tabela1[[#This Row],[Último pagto ano]])*29,"mmmm")</f>
        <v>março</v>
      </c>
    </row>
    <row r="2367" spans="1:9" x14ac:dyDescent="0.25">
      <c r="A2367">
        <v>2025</v>
      </c>
      <c r="B2367" t="s">
        <v>4708</v>
      </c>
      <c r="C2367" s="1">
        <v>46014</v>
      </c>
      <c r="D2367" t="s">
        <v>4709</v>
      </c>
      <c r="E2367" s="2">
        <v>5915</v>
      </c>
      <c r="G2367" s="3">
        <f>MONTH(Tabela1[[#This Row],[Último pagto ano]])</f>
        <v>12</v>
      </c>
      <c r="H2367" t="str">
        <f>TEXT(Tabela1[[#This Row],[Coluna2]]*29,"mmmm")</f>
        <v>dezembro</v>
      </c>
      <c r="I2367" t="str">
        <f>TEXT(MONTH(Tabela1[[#This Row],[Último pagto ano]])*29,"mmmm")</f>
        <v>dezembro</v>
      </c>
    </row>
    <row r="2368" spans="1:9" x14ac:dyDescent="0.25">
      <c r="A2368">
        <v>2025</v>
      </c>
      <c r="B2368" t="s">
        <v>4710</v>
      </c>
      <c r="C2368" s="1">
        <v>46010</v>
      </c>
      <c r="D2368" t="s">
        <v>4711</v>
      </c>
      <c r="E2368" s="2">
        <v>12000</v>
      </c>
      <c r="G2368" s="3">
        <f>MONTH(Tabela1[[#This Row],[Último pagto ano]])</f>
        <v>12</v>
      </c>
      <c r="H2368" t="str">
        <f>TEXT(Tabela1[[#This Row],[Coluna2]]*29,"mmmm")</f>
        <v>dezembro</v>
      </c>
      <c r="I2368" t="str">
        <f>TEXT(MONTH(Tabela1[[#This Row],[Último pagto ano]])*29,"mmmm")</f>
        <v>dezembro</v>
      </c>
    </row>
    <row r="2369" spans="1:9" x14ac:dyDescent="0.25">
      <c r="A2369">
        <v>2025</v>
      </c>
      <c r="B2369" t="s">
        <v>4712</v>
      </c>
      <c r="C2369" s="1">
        <v>45964</v>
      </c>
      <c r="D2369" t="s">
        <v>4713</v>
      </c>
      <c r="E2369">
        <v>129</v>
      </c>
      <c r="G2369" s="3">
        <f>MONTH(Tabela1[[#This Row],[Último pagto ano]])</f>
        <v>11</v>
      </c>
      <c r="H2369" t="str">
        <f>TEXT(Tabela1[[#This Row],[Coluna2]]*29,"mmmm")</f>
        <v>novembro</v>
      </c>
      <c r="I2369" t="str">
        <f>TEXT(MONTH(Tabela1[[#This Row],[Último pagto ano]])*29,"mmmm")</f>
        <v>novembro</v>
      </c>
    </row>
    <row r="2370" spans="1:9" x14ac:dyDescent="0.25">
      <c r="A2370">
        <v>2025</v>
      </c>
      <c r="B2370" t="s">
        <v>4714</v>
      </c>
      <c r="C2370" s="1">
        <v>45888</v>
      </c>
      <c r="D2370" t="s">
        <v>4715</v>
      </c>
      <c r="E2370" s="2">
        <v>13200</v>
      </c>
      <c r="G2370" s="3">
        <f>MONTH(Tabela1[[#This Row],[Último pagto ano]])</f>
        <v>8</v>
      </c>
      <c r="H2370" t="str">
        <f>TEXT(Tabela1[[#This Row],[Coluna2]]*29,"mmmm")</f>
        <v>agosto</v>
      </c>
      <c r="I2370" t="str">
        <f>TEXT(MONTH(Tabela1[[#This Row],[Último pagto ano]])*29,"mmmm")</f>
        <v>agosto</v>
      </c>
    </row>
    <row r="2371" spans="1:9" x14ac:dyDescent="0.25">
      <c r="A2371">
        <v>2025</v>
      </c>
      <c r="B2371" t="s">
        <v>4716</v>
      </c>
      <c r="C2371" s="1">
        <v>45989</v>
      </c>
      <c r="D2371" t="s">
        <v>4717</v>
      </c>
      <c r="E2371" s="2">
        <v>11596.95</v>
      </c>
      <c r="G2371" s="3">
        <f>MONTH(Tabela1[[#This Row],[Último pagto ano]])</f>
        <v>11</v>
      </c>
      <c r="H2371" t="str">
        <f>TEXT(Tabela1[[#This Row],[Coluna2]]*29,"mmmm")</f>
        <v>novembro</v>
      </c>
      <c r="I2371" t="str">
        <f>TEXT(MONTH(Tabela1[[#This Row],[Último pagto ano]])*29,"mmmm")</f>
        <v>novembro</v>
      </c>
    </row>
    <row r="2372" spans="1:9" x14ac:dyDescent="0.25">
      <c r="A2372">
        <v>2025</v>
      </c>
      <c r="B2372" t="s">
        <v>4718</v>
      </c>
      <c r="C2372" s="1">
        <v>45931</v>
      </c>
      <c r="D2372" t="s">
        <v>4719</v>
      </c>
      <c r="E2372" s="2">
        <v>1711.8</v>
      </c>
      <c r="G2372" s="3">
        <f>MONTH(Tabela1[[#This Row],[Último pagto ano]])</f>
        <v>10</v>
      </c>
      <c r="H2372" t="str">
        <f>TEXT(Tabela1[[#This Row],[Coluna2]]*29,"mmmm")</f>
        <v>outubro</v>
      </c>
      <c r="I2372" t="str">
        <f>TEXT(MONTH(Tabela1[[#This Row],[Último pagto ano]])*29,"mmmm")</f>
        <v>outubro</v>
      </c>
    </row>
    <row r="2373" spans="1:9" x14ac:dyDescent="0.25">
      <c r="A2373">
        <v>2025</v>
      </c>
      <c r="B2373" t="s">
        <v>4720</v>
      </c>
      <c r="C2373" s="1">
        <v>45810</v>
      </c>
      <c r="D2373" t="s">
        <v>4721</v>
      </c>
      <c r="E2373">
        <v>72.14</v>
      </c>
      <c r="G2373" s="3">
        <f>MONTH(Tabela1[[#This Row],[Último pagto ano]])</f>
        <v>6</v>
      </c>
      <c r="H2373" t="str">
        <f>TEXT(Tabela1[[#This Row],[Coluna2]]*29,"mmmm")</f>
        <v>junho</v>
      </c>
      <c r="I2373" t="str">
        <f>TEXT(MONTH(Tabela1[[#This Row],[Último pagto ano]])*29,"mmmm")</f>
        <v>junho</v>
      </c>
    </row>
    <row r="2374" spans="1:9" x14ac:dyDescent="0.25">
      <c r="A2374">
        <v>2025</v>
      </c>
      <c r="B2374" t="s">
        <v>4722</v>
      </c>
      <c r="C2374" s="1">
        <v>45702</v>
      </c>
      <c r="D2374" t="s">
        <v>4723</v>
      </c>
      <c r="E2374">
        <v>80</v>
      </c>
      <c r="G2374" s="3">
        <f>MONTH(Tabela1[[#This Row],[Último pagto ano]])</f>
        <v>2</v>
      </c>
      <c r="H2374" t="str">
        <f>TEXT(Tabela1[[#This Row],[Coluna2]]*29,"mmmm")</f>
        <v>fevereiro</v>
      </c>
      <c r="I2374" t="str">
        <f>TEXT(MONTH(Tabela1[[#This Row],[Último pagto ano]])*29,"mmmm")</f>
        <v>fevereiro</v>
      </c>
    </row>
    <row r="2375" spans="1:9" x14ac:dyDescent="0.25">
      <c r="A2375">
        <v>2025</v>
      </c>
      <c r="B2375" t="s">
        <v>4724</v>
      </c>
      <c r="C2375" s="1">
        <v>45890</v>
      </c>
      <c r="D2375" t="s">
        <v>4725</v>
      </c>
      <c r="E2375" s="2">
        <v>5104.3100000000004</v>
      </c>
      <c r="G2375" s="3">
        <f>MONTH(Tabela1[[#This Row],[Último pagto ano]])</f>
        <v>8</v>
      </c>
      <c r="H2375" t="str">
        <f>TEXT(Tabela1[[#This Row],[Coluna2]]*29,"mmmm")</f>
        <v>agosto</v>
      </c>
      <c r="I2375" t="str">
        <f>TEXT(MONTH(Tabela1[[#This Row],[Último pagto ano]])*29,"mmmm")</f>
        <v>agosto</v>
      </c>
    </row>
    <row r="2376" spans="1:9" x14ac:dyDescent="0.25">
      <c r="A2376">
        <v>2025</v>
      </c>
      <c r="B2376" t="s">
        <v>4726</v>
      </c>
      <c r="C2376" s="1">
        <v>46006</v>
      </c>
      <c r="D2376" t="s">
        <v>4727</v>
      </c>
      <c r="E2376" s="2">
        <v>8400</v>
      </c>
      <c r="G2376" s="3">
        <f>MONTH(Tabela1[[#This Row],[Último pagto ano]])</f>
        <v>12</v>
      </c>
      <c r="H2376" t="str">
        <f>TEXT(Tabela1[[#This Row],[Coluna2]]*29,"mmmm")</f>
        <v>dezembro</v>
      </c>
      <c r="I2376" t="str">
        <f>TEXT(MONTH(Tabela1[[#This Row],[Último pagto ano]])*29,"mmmm")</f>
        <v>dezembro</v>
      </c>
    </row>
    <row r="2377" spans="1:9" x14ac:dyDescent="0.25">
      <c r="A2377">
        <v>2025</v>
      </c>
      <c r="B2377" t="s">
        <v>4728</v>
      </c>
      <c r="C2377" s="1">
        <v>45747</v>
      </c>
      <c r="D2377" t="s">
        <v>4729</v>
      </c>
      <c r="E2377">
        <v>22</v>
      </c>
      <c r="G2377" s="3">
        <f>MONTH(Tabela1[[#This Row],[Último pagto ano]])</f>
        <v>3</v>
      </c>
      <c r="H2377" t="str">
        <f>TEXT(Tabela1[[#This Row],[Coluna2]]*29,"mmmm")</f>
        <v>março</v>
      </c>
      <c r="I2377" t="str">
        <f>TEXT(MONTH(Tabela1[[#This Row],[Último pagto ano]])*29,"mmmm")</f>
        <v>março</v>
      </c>
    </row>
    <row r="2378" spans="1:9" x14ac:dyDescent="0.25">
      <c r="A2378">
        <v>2025</v>
      </c>
      <c r="B2378" t="s">
        <v>4730</v>
      </c>
      <c r="C2378" s="1">
        <v>45989</v>
      </c>
      <c r="D2378" t="s">
        <v>4731</v>
      </c>
      <c r="E2378" s="2">
        <v>7646.32</v>
      </c>
      <c r="G2378" s="3">
        <f>MONTH(Tabela1[[#This Row],[Último pagto ano]])</f>
        <v>11</v>
      </c>
      <c r="H2378" t="str">
        <f>TEXT(Tabela1[[#This Row],[Coluna2]]*29,"mmmm")</f>
        <v>novembro</v>
      </c>
      <c r="I2378" t="str">
        <f>TEXT(MONTH(Tabela1[[#This Row],[Último pagto ano]])*29,"mmmm")</f>
        <v>novembro</v>
      </c>
    </row>
    <row r="2379" spans="1:9" x14ac:dyDescent="0.25">
      <c r="A2379">
        <v>2025</v>
      </c>
      <c r="B2379" t="s">
        <v>4732</v>
      </c>
      <c r="C2379" s="1">
        <v>46006</v>
      </c>
      <c r="D2379" t="s">
        <v>4733</v>
      </c>
      <c r="E2379">
        <v>444.24</v>
      </c>
      <c r="G2379" s="3">
        <f>MONTH(Tabela1[[#This Row],[Último pagto ano]])</f>
        <v>12</v>
      </c>
      <c r="H2379" t="str">
        <f>TEXT(Tabela1[[#This Row],[Coluna2]]*29,"mmmm")</f>
        <v>dezembro</v>
      </c>
      <c r="I2379" t="str">
        <f>TEXT(MONTH(Tabela1[[#This Row],[Último pagto ano]])*29,"mmmm")</f>
        <v>dezembro</v>
      </c>
    </row>
    <row r="2380" spans="1:9" x14ac:dyDescent="0.25">
      <c r="A2380">
        <v>2025</v>
      </c>
      <c r="B2380" t="s">
        <v>4734</v>
      </c>
      <c r="C2380" s="1">
        <v>45915</v>
      </c>
      <c r="D2380" t="s">
        <v>4735</v>
      </c>
      <c r="E2380" s="2">
        <v>7028.16</v>
      </c>
      <c r="G2380" s="3">
        <f>MONTH(Tabela1[[#This Row],[Último pagto ano]])</f>
        <v>9</v>
      </c>
      <c r="H2380" t="str">
        <f>TEXT(Tabela1[[#This Row],[Coluna2]]*29,"mmmm")</f>
        <v>setembro</v>
      </c>
      <c r="I2380" t="str">
        <f>TEXT(MONTH(Tabela1[[#This Row],[Último pagto ano]])*29,"mmmm")</f>
        <v>setembro</v>
      </c>
    </row>
    <row r="2381" spans="1:9" x14ac:dyDescent="0.25">
      <c r="A2381">
        <v>2025</v>
      </c>
      <c r="B2381" t="s">
        <v>4736</v>
      </c>
      <c r="C2381" s="1">
        <v>46021</v>
      </c>
      <c r="D2381" t="s">
        <v>4737</v>
      </c>
      <c r="E2381" s="2">
        <v>30559137.18</v>
      </c>
      <c r="G2381" s="3">
        <f>MONTH(Tabela1[[#This Row],[Último pagto ano]])</f>
        <v>12</v>
      </c>
      <c r="H2381" t="str">
        <f>TEXT(Tabela1[[#This Row],[Coluna2]]*29,"mmmm")</f>
        <v>dezembro</v>
      </c>
      <c r="I2381" t="str">
        <f>TEXT(MONTH(Tabela1[[#This Row],[Último pagto ano]])*29,"mmmm")</f>
        <v>dezembro</v>
      </c>
    </row>
    <row r="2382" spans="1:9" x14ac:dyDescent="0.25">
      <c r="A2382">
        <v>2025</v>
      </c>
      <c r="B2382" t="s">
        <v>4738</v>
      </c>
      <c r="C2382" s="1">
        <v>46006</v>
      </c>
      <c r="D2382" t="s">
        <v>4739</v>
      </c>
      <c r="E2382" s="2">
        <v>1776.96</v>
      </c>
      <c r="G2382" s="3">
        <f>MONTH(Tabela1[[#This Row],[Último pagto ano]])</f>
        <v>12</v>
      </c>
      <c r="H2382" t="str">
        <f>TEXT(Tabela1[[#This Row],[Coluna2]]*29,"mmmm")</f>
        <v>dezembro</v>
      </c>
      <c r="I2382" t="str">
        <f>TEXT(MONTH(Tabela1[[#This Row],[Último pagto ano]])*29,"mmmm")</f>
        <v>dezembro</v>
      </c>
    </row>
    <row r="2383" spans="1:9" x14ac:dyDescent="0.25">
      <c r="A2383">
        <v>2025</v>
      </c>
      <c r="B2383" t="s">
        <v>4740</v>
      </c>
      <c r="C2383" s="1">
        <v>45924</v>
      </c>
      <c r="D2383" t="s">
        <v>4741</v>
      </c>
      <c r="E2383" s="2">
        <v>5600</v>
      </c>
      <c r="G2383" s="3">
        <f>MONTH(Tabela1[[#This Row],[Último pagto ano]])</f>
        <v>9</v>
      </c>
      <c r="H2383" t="str">
        <f>TEXT(Tabela1[[#This Row],[Coluna2]]*29,"mmmm")</f>
        <v>setembro</v>
      </c>
      <c r="I2383" t="str">
        <f>TEXT(MONTH(Tabela1[[#This Row],[Último pagto ano]])*29,"mmmm")</f>
        <v>setembro</v>
      </c>
    </row>
    <row r="2384" spans="1:9" x14ac:dyDescent="0.25">
      <c r="A2384">
        <v>2025</v>
      </c>
      <c r="B2384" t="s">
        <v>4742</v>
      </c>
      <c r="C2384" s="1">
        <v>46014</v>
      </c>
      <c r="D2384" t="s">
        <v>4743</v>
      </c>
      <c r="E2384" s="2">
        <v>14440.49</v>
      </c>
      <c r="G2384" s="3">
        <f>MONTH(Tabela1[[#This Row],[Último pagto ano]])</f>
        <v>12</v>
      </c>
      <c r="H2384" t="str">
        <f>TEXT(Tabela1[[#This Row],[Coluna2]]*29,"mmmm")</f>
        <v>dezembro</v>
      </c>
      <c r="I2384" t="str">
        <f>TEXT(MONTH(Tabela1[[#This Row],[Último pagto ano]])*29,"mmmm")</f>
        <v>dezembro</v>
      </c>
    </row>
    <row r="2385" spans="1:9" x14ac:dyDescent="0.25">
      <c r="A2385">
        <v>2025</v>
      </c>
      <c r="B2385" t="s">
        <v>4744</v>
      </c>
      <c r="C2385" s="1">
        <v>46014</v>
      </c>
      <c r="D2385" t="s">
        <v>4745</v>
      </c>
      <c r="E2385">
        <v>41.4</v>
      </c>
      <c r="G2385" s="3">
        <f>MONTH(Tabela1[[#This Row],[Último pagto ano]])</f>
        <v>12</v>
      </c>
      <c r="H2385" t="str">
        <f>TEXT(Tabela1[[#This Row],[Coluna2]]*29,"mmmm")</f>
        <v>dezembro</v>
      </c>
      <c r="I2385" t="str">
        <f>TEXT(MONTH(Tabela1[[#This Row],[Último pagto ano]])*29,"mmmm")</f>
        <v>dezembro</v>
      </c>
    </row>
    <row r="2386" spans="1:9" x14ac:dyDescent="0.25">
      <c r="A2386">
        <v>2025</v>
      </c>
      <c r="B2386" t="s">
        <v>4746</v>
      </c>
      <c r="C2386" s="1">
        <v>45996</v>
      </c>
      <c r="D2386" t="s">
        <v>4747</v>
      </c>
      <c r="E2386" s="2">
        <v>6594.26</v>
      </c>
      <c r="G2386" s="3">
        <f>MONTH(Tabela1[[#This Row],[Último pagto ano]])</f>
        <v>12</v>
      </c>
      <c r="H2386" t="str">
        <f>TEXT(Tabela1[[#This Row],[Coluna2]]*29,"mmmm")</f>
        <v>dezembro</v>
      </c>
      <c r="I2386" t="str">
        <f>TEXT(MONTH(Tabela1[[#This Row],[Último pagto ano]])*29,"mmmm")</f>
        <v>dezembro</v>
      </c>
    </row>
    <row r="2387" spans="1:9" x14ac:dyDescent="0.25">
      <c r="A2387">
        <v>2025</v>
      </c>
      <c r="B2387" t="s">
        <v>4748</v>
      </c>
      <c r="C2387" s="1">
        <v>46010</v>
      </c>
      <c r="D2387" t="s">
        <v>4749</v>
      </c>
      <c r="E2387" s="2">
        <v>8400</v>
      </c>
      <c r="G2387" s="3">
        <f>MONTH(Tabela1[[#This Row],[Último pagto ano]])</f>
        <v>12</v>
      </c>
      <c r="H2387" t="str">
        <f>TEXT(Tabela1[[#This Row],[Coluna2]]*29,"mmmm")</f>
        <v>dezembro</v>
      </c>
      <c r="I2387" t="str">
        <f>TEXT(MONTH(Tabela1[[#This Row],[Último pagto ano]])*29,"mmmm")</f>
        <v>dezembro</v>
      </c>
    </row>
    <row r="2388" spans="1:9" x14ac:dyDescent="0.25">
      <c r="A2388">
        <v>2025</v>
      </c>
      <c r="B2388" t="s">
        <v>4750</v>
      </c>
      <c r="C2388" s="1">
        <v>46006</v>
      </c>
      <c r="D2388" t="s">
        <v>4751</v>
      </c>
      <c r="E2388" s="2">
        <v>1776.96</v>
      </c>
      <c r="G2388" s="3">
        <f>MONTH(Tabela1[[#This Row],[Último pagto ano]])</f>
        <v>12</v>
      </c>
      <c r="H2388" t="str">
        <f>TEXT(Tabela1[[#This Row],[Coluna2]]*29,"mmmm")</f>
        <v>dezembro</v>
      </c>
      <c r="I2388" t="str">
        <f>TEXT(MONTH(Tabela1[[#This Row],[Último pagto ano]])*29,"mmmm")</f>
        <v>dezembro</v>
      </c>
    </row>
    <row r="2389" spans="1:9" x14ac:dyDescent="0.25">
      <c r="A2389">
        <v>2025</v>
      </c>
      <c r="B2389" t="s">
        <v>4752</v>
      </c>
      <c r="C2389" s="1">
        <v>46006</v>
      </c>
      <c r="D2389" t="s">
        <v>4753</v>
      </c>
      <c r="E2389">
        <v>594</v>
      </c>
      <c r="G2389" s="3">
        <f>MONTH(Tabela1[[#This Row],[Último pagto ano]])</f>
        <v>12</v>
      </c>
      <c r="H2389" t="str">
        <f>TEXT(Tabela1[[#This Row],[Coluna2]]*29,"mmmm")</f>
        <v>dezembro</v>
      </c>
      <c r="I2389" t="str">
        <f>TEXT(MONTH(Tabela1[[#This Row],[Último pagto ano]])*29,"mmmm")</f>
        <v>dezembro</v>
      </c>
    </row>
    <row r="2390" spans="1:9" x14ac:dyDescent="0.25">
      <c r="A2390">
        <v>2025</v>
      </c>
      <c r="B2390" t="s">
        <v>4754</v>
      </c>
      <c r="C2390" s="1">
        <v>46014</v>
      </c>
      <c r="D2390" t="s">
        <v>4755</v>
      </c>
      <c r="E2390" s="2">
        <v>4210</v>
      </c>
      <c r="G2390" s="3">
        <f>MONTH(Tabela1[[#This Row],[Último pagto ano]])</f>
        <v>12</v>
      </c>
      <c r="H2390" t="str">
        <f>TEXT(Tabela1[[#This Row],[Coluna2]]*29,"mmmm")</f>
        <v>dezembro</v>
      </c>
      <c r="I2390" t="str">
        <f>TEXT(MONTH(Tabela1[[#This Row],[Último pagto ano]])*29,"mmmm")</f>
        <v>dezembro</v>
      </c>
    </row>
    <row r="2391" spans="1:9" x14ac:dyDescent="0.25">
      <c r="A2391">
        <v>2025</v>
      </c>
      <c r="B2391" t="s">
        <v>4756</v>
      </c>
      <c r="C2391" s="1">
        <v>45999</v>
      </c>
      <c r="D2391" t="s">
        <v>4757</v>
      </c>
      <c r="E2391">
        <v>22</v>
      </c>
      <c r="G2391" s="3">
        <f>MONTH(Tabela1[[#This Row],[Último pagto ano]])</f>
        <v>12</v>
      </c>
      <c r="H2391" t="str">
        <f>TEXT(Tabela1[[#This Row],[Coluna2]]*29,"mmmm")</f>
        <v>dezembro</v>
      </c>
      <c r="I2391" t="str">
        <f>TEXT(MONTH(Tabela1[[#This Row],[Último pagto ano]])*29,"mmmm")</f>
        <v>dezembro</v>
      </c>
    </row>
    <row r="2392" spans="1:9" x14ac:dyDescent="0.25">
      <c r="A2392">
        <v>2025</v>
      </c>
      <c r="B2392" t="s">
        <v>4758</v>
      </c>
      <c r="C2392" s="1">
        <v>45740</v>
      </c>
      <c r="D2392" t="s">
        <v>4759</v>
      </c>
      <c r="E2392" s="2">
        <v>3000</v>
      </c>
      <c r="G2392" s="3">
        <f>MONTH(Tabela1[[#This Row],[Último pagto ano]])</f>
        <v>3</v>
      </c>
      <c r="H2392" t="str">
        <f>TEXT(Tabela1[[#This Row],[Coluna2]]*29,"mmmm")</f>
        <v>março</v>
      </c>
      <c r="I2392" t="str">
        <f>TEXT(MONTH(Tabela1[[#This Row],[Último pagto ano]])*29,"mmmm")</f>
        <v>março</v>
      </c>
    </row>
    <row r="2393" spans="1:9" x14ac:dyDescent="0.25">
      <c r="A2393">
        <v>2025</v>
      </c>
      <c r="B2393" t="s">
        <v>4760</v>
      </c>
      <c r="C2393" s="1">
        <v>45684</v>
      </c>
      <c r="D2393" t="s">
        <v>4761</v>
      </c>
      <c r="E2393">
        <v>20</v>
      </c>
      <c r="G2393" s="3">
        <f>MONTH(Tabela1[[#This Row],[Último pagto ano]])</f>
        <v>1</v>
      </c>
      <c r="H2393" t="str">
        <f>TEXT(Tabela1[[#This Row],[Coluna2]]*29,"mmmm")</f>
        <v>janeiro</v>
      </c>
      <c r="I2393" t="str">
        <f>TEXT(MONTH(Tabela1[[#This Row],[Último pagto ano]])*29,"mmmm")</f>
        <v>janeiro</v>
      </c>
    </row>
    <row r="2394" spans="1:9" x14ac:dyDescent="0.25">
      <c r="A2394">
        <v>2025</v>
      </c>
      <c r="B2394" t="s">
        <v>4762</v>
      </c>
      <c r="C2394" s="1">
        <v>45751</v>
      </c>
      <c r="D2394" t="s">
        <v>4763</v>
      </c>
      <c r="E2394" s="2">
        <v>15393.54</v>
      </c>
      <c r="G2394" s="3">
        <f>MONTH(Tabela1[[#This Row],[Último pagto ano]])</f>
        <v>4</v>
      </c>
      <c r="H2394" t="str">
        <f>TEXT(Tabela1[[#This Row],[Coluna2]]*29,"mmmm")</f>
        <v>abril</v>
      </c>
      <c r="I2394" t="str">
        <f>TEXT(MONTH(Tabela1[[#This Row],[Último pagto ano]])*29,"mmmm")</f>
        <v>abril</v>
      </c>
    </row>
    <row r="2395" spans="1:9" x14ac:dyDescent="0.25">
      <c r="A2395">
        <v>2025</v>
      </c>
      <c r="B2395" t="s">
        <v>4764</v>
      </c>
      <c r="C2395" s="1">
        <v>45999</v>
      </c>
      <c r="D2395" t="s">
        <v>4765</v>
      </c>
      <c r="E2395">
        <v>55</v>
      </c>
      <c r="G2395" s="3">
        <f>MONTH(Tabela1[[#This Row],[Último pagto ano]])</f>
        <v>12</v>
      </c>
      <c r="H2395" t="str">
        <f>TEXT(Tabela1[[#This Row],[Coluna2]]*29,"mmmm")</f>
        <v>dezembro</v>
      </c>
      <c r="I2395" t="str">
        <f>TEXT(MONTH(Tabela1[[#This Row],[Último pagto ano]])*29,"mmmm")</f>
        <v>dezembro</v>
      </c>
    </row>
    <row r="2396" spans="1:9" x14ac:dyDescent="0.25">
      <c r="A2396">
        <v>2025</v>
      </c>
      <c r="B2396" t="s">
        <v>4766</v>
      </c>
      <c r="C2396" s="1">
        <v>45814</v>
      </c>
      <c r="D2396" t="s">
        <v>4767</v>
      </c>
      <c r="E2396" s="2">
        <v>32400</v>
      </c>
      <c r="G2396" s="3">
        <f>MONTH(Tabela1[[#This Row],[Último pagto ano]])</f>
        <v>6</v>
      </c>
      <c r="H2396" t="str">
        <f>TEXT(Tabela1[[#This Row],[Coluna2]]*29,"mmmm")</f>
        <v>junho</v>
      </c>
      <c r="I2396" t="str">
        <f>TEXT(MONTH(Tabela1[[#This Row],[Último pagto ano]])*29,"mmmm")</f>
        <v>junho</v>
      </c>
    </row>
    <row r="2397" spans="1:9" x14ac:dyDescent="0.25">
      <c r="A2397">
        <v>2025</v>
      </c>
      <c r="B2397" t="s">
        <v>4768</v>
      </c>
      <c r="C2397" s="1">
        <v>46003</v>
      </c>
      <c r="D2397" t="s">
        <v>4769</v>
      </c>
      <c r="E2397" s="2">
        <v>17007.599999999999</v>
      </c>
      <c r="G2397" s="3">
        <f>MONTH(Tabela1[[#This Row],[Último pagto ano]])</f>
        <v>12</v>
      </c>
      <c r="H2397" t="str">
        <f>TEXT(Tabela1[[#This Row],[Coluna2]]*29,"mmmm")</f>
        <v>dezembro</v>
      </c>
      <c r="I2397" t="str">
        <f>TEXT(MONTH(Tabela1[[#This Row],[Último pagto ano]])*29,"mmmm")</f>
        <v>dezembro</v>
      </c>
    </row>
    <row r="2398" spans="1:9" x14ac:dyDescent="0.25">
      <c r="A2398">
        <v>2025</v>
      </c>
      <c r="B2398" t="s">
        <v>4770</v>
      </c>
      <c r="C2398" s="1">
        <v>45985</v>
      </c>
      <c r="D2398" t="s">
        <v>4771</v>
      </c>
      <c r="E2398">
        <v>22</v>
      </c>
      <c r="G2398" s="3">
        <f>MONTH(Tabela1[[#This Row],[Último pagto ano]])</f>
        <v>11</v>
      </c>
      <c r="H2398" t="str">
        <f>TEXT(Tabela1[[#This Row],[Coluna2]]*29,"mmmm")</f>
        <v>novembro</v>
      </c>
      <c r="I2398" t="str">
        <f>TEXT(MONTH(Tabela1[[#This Row],[Último pagto ano]])*29,"mmmm")</f>
        <v>novembro</v>
      </c>
    </row>
    <row r="2399" spans="1:9" x14ac:dyDescent="0.25">
      <c r="A2399">
        <v>2025</v>
      </c>
      <c r="B2399" t="s">
        <v>4772</v>
      </c>
      <c r="C2399" s="1">
        <v>45996</v>
      </c>
      <c r="D2399" t="s">
        <v>4773</v>
      </c>
      <c r="E2399" s="2">
        <v>57942</v>
      </c>
      <c r="G2399" s="3">
        <f>MONTH(Tabela1[[#This Row],[Último pagto ano]])</f>
        <v>12</v>
      </c>
      <c r="H2399" t="str">
        <f>TEXT(Tabela1[[#This Row],[Coluna2]]*29,"mmmm")</f>
        <v>dezembro</v>
      </c>
      <c r="I2399" t="str">
        <f>TEXT(MONTH(Tabela1[[#This Row],[Último pagto ano]])*29,"mmmm")</f>
        <v>dezembro</v>
      </c>
    </row>
    <row r="2400" spans="1:9" x14ac:dyDescent="0.25">
      <c r="A2400">
        <v>2025</v>
      </c>
      <c r="B2400" t="s">
        <v>4774</v>
      </c>
      <c r="C2400" s="1">
        <v>46006</v>
      </c>
      <c r="D2400" t="s">
        <v>4775</v>
      </c>
      <c r="E2400" s="2">
        <v>12378.96</v>
      </c>
      <c r="G2400" s="3">
        <f>MONTH(Tabela1[[#This Row],[Último pagto ano]])</f>
        <v>12</v>
      </c>
      <c r="H2400" t="str">
        <f>TEXT(Tabela1[[#This Row],[Coluna2]]*29,"mmmm")</f>
        <v>dezembro</v>
      </c>
      <c r="I2400" t="str">
        <f>TEXT(MONTH(Tabela1[[#This Row],[Último pagto ano]])*29,"mmmm")</f>
        <v>dezembro</v>
      </c>
    </row>
    <row r="2401" spans="1:9" x14ac:dyDescent="0.25">
      <c r="A2401">
        <v>2025</v>
      </c>
      <c r="B2401" t="s">
        <v>4776</v>
      </c>
      <c r="C2401" s="1">
        <v>45771</v>
      </c>
      <c r="D2401" t="s">
        <v>4777</v>
      </c>
      <c r="E2401" s="2">
        <v>2126.36</v>
      </c>
      <c r="G2401" s="3">
        <f>MONTH(Tabela1[[#This Row],[Último pagto ano]])</f>
        <v>4</v>
      </c>
      <c r="H2401" t="str">
        <f>TEXT(Tabela1[[#This Row],[Coluna2]]*29,"mmmm")</f>
        <v>abril</v>
      </c>
      <c r="I2401" t="str">
        <f>TEXT(MONTH(Tabela1[[#This Row],[Último pagto ano]])*29,"mmmm")</f>
        <v>abril</v>
      </c>
    </row>
    <row r="2402" spans="1:9" x14ac:dyDescent="0.25">
      <c r="A2402">
        <v>2025</v>
      </c>
      <c r="B2402" t="s">
        <v>4778</v>
      </c>
      <c r="C2402" s="1">
        <v>45968</v>
      </c>
      <c r="D2402" t="s">
        <v>4779</v>
      </c>
      <c r="E2402" s="2">
        <v>23000</v>
      </c>
      <c r="G2402" s="3">
        <f>MONTH(Tabela1[[#This Row],[Último pagto ano]])</f>
        <v>11</v>
      </c>
      <c r="H2402" t="str">
        <f>TEXT(Tabela1[[#This Row],[Coluna2]]*29,"mmmm")</f>
        <v>novembro</v>
      </c>
      <c r="I2402" t="str">
        <f>TEXT(MONTH(Tabela1[[#This Row],[Último pagto ano]])*29,"mmmm")</f>
        <v>novembro</v>
      </c>
    </row>
    <row r="2403" spans="1:9" x14ac:dyDescent="0.25">
      <c r="A2403">
        <v>2025</v>
      </c>
      <c r="B2403" t="s">
        <v>4780</v>
      </c>
      <c r="C2403" s="1">
        <v>45702</v>
      </c>
      <c r="D2403" t="s">
        <v>4781</v>
      </c>
      <c r="E2403">
        <v>497.68</v>
      </c>
      <c r="G2403" s="3">
        <f>MONTH(Tabela1[[#This Row],[Último pagto ano]])</f>
        <v>2</v>
      </c>
      <c r="H2403" t="str">
        <f>TEXT(Tabela1[[#This Row],[Coluna2]]*29,"mmmm")</f>
        <v>fevereiro</v>
      </c>
      <c r="I2403" t="str">
        <f>TEXT(MONTH(Tabela1[[#This Row],[Último pagto ano]])*29,"mmmm")</f>
        <v>fevereiro</v>
      </c>
    </row>
    <row r="2404" spans="1:9" x14ac:dyDescent="0.25">
      <c r="A2404">
        <v>2025</v>
      </c>
      <c r="B2404" t="s">
        <v>4782</v>
      </c>
      <c r="C2404" s="1">
        <v>46021</v>
      </c>
      <c r="D2404" t="s">
        <v>4783</v>
      </c>
      <c r="E2404" s="2">
        <v>6086.89</v>
      </c>
      <c r="G2404" s="3">
        <f>MONTH(Tabela1[[#This Row],[Último pagto ano]])</f>
        <v>12</v>
      </c>
      <c r="H2404" t="str">
        <f>TEXT(Tabela1[[#This Row],[Coluna2]]*29,"mmmm")</f>
        <v>dezembro</v>
      </c>
      <c r="I2404" t="str">
        <f>TEXT(MONTH(Tabela1[[#This Row],[Último pagto ano]])*29,"mmmm")</f>
        <v>dezembro</v>
      </c>
    </row>
    <row r="2405" spans="1:9" x14ac:dyDescent="0.25">
      <c r="A2405">
        <v>2025</v>
      </c>
      <c r="B2405" t="s">
        <v>4784</v>
      </c>
      <c r="C2405" s="1">
        <v>45715</v>
      </c>
      <c r="D2405" t="s">
        <v>4785</v>
      </c>
      <c r="E2405">
        <v>44</v>
      </c>
      <c r="G2405" s="3">
        <f>MONTH(Tabela1[[#This Row],[Último pagto ano]])</f>
        <v>2</v>
      </c>
      <c r="H2405" t="str">
        <f>TEXT(Tabela1[[#This Row],[Coluna2]]*29,"mmmm")</f>
        <v>fevereiro</v>
      </c>
      <c r="I2405" t="str">
        <f>TEXT(MONTH(Tabela1[[#This Row],[Último pagto ano]])*29,"mmmm")</f>
        <v>fevereiro</v>
      </c>
    </row>
    <row r="2406" spans="1:9" x14ac:dyDescent="0.25">
      <c r="A2406">
        <v>2025</v>
      </c>
      <c r="B2406" t="s">
        <v>4786</v>
      </c>
      <c r="C2406" s="1">
        <v>45996</v>
      </c>
      <c r="D2406" t="s">
        <v>4787</v>
      </c>
      <c r="E2406" s="2">
        <v>24181.9</v>
      </c>
      <c r="G2406" s="3">
        <f>MONTH(Tabela1[[#This Row],[Último pagto ano]])</f>
        <v>12</v>
      </c>
      <c r="H2406" t="str">
        <f>TEXT(Tabela1[[#This Row],[Coluna2]]*29,"mmmm")</f>
        <v>dezembro</v>
      </c>
      <c r="I2406" t="str">
        <f>TEXT(MONTH(Tabela1[[#This Row],[Último pagto ano]])*29,"mmmm")</f>
        <v>dezembro</v>
      </c>
    </row>
    <row r="2407" spans="1:9" x14ac:dyDescent="0.25">
      <c r="A2407">
        <v>2025</v>
      </c>
      <c r="B2407" t="s">
        <v>4788</v>
      </c>
      <c r="C2407" s="1">
        <v>45866</v>
      </c>
      <c r="D2407" t="s">
        <v>4789</v>
      </c>
      <c r="E2407" s="2">
        <v>9826</v>
      </c>
      <c r="G2407" s="3">
        <f>MONTH(Tabela1[[#This Row],[Último pagto ano]])</f>
        <v>7</v>
      </c>
      <c r="H2407" t="str">
        <f>TEXT(Tabela1[[#This Row],[Coluna2]]*29,"mmmm")</f>
        <v>julho</v>
      </c>
      <c r="I2407" t="str">
        <f>TEXT(MONTH(Tabela1[[#This Row],[Último pagto ano]])*29,"mmmm")</f>
        <v>julho</v>
      </c>
    </row>
    <row r="2408" spans="1:9" x14ac:dyDescent="0.25">
      <c r="A2408">
        <v>2025</v>
      </c>
      <c r="B2408" t="s">
        <v>4790</v>
      </c>
      <c r="C2408" s="1">
        <v>45702</v>
      </c>
      <c r="D2408" t="s">
        <v>4791</v>
      </c>
      <c r="E2408">
        <v>163.13</v>
      </c>
      <c r="G2408" s="3">
        <f>MONTH(Tabela1[[#This Row],[Último pagto ano]])</f>
        <v>2</v>
      </c>
      <c r="H2408" t="str">
        <f>TEXT(Tabela1[[#This Row],[Coluna2]]*29,"mmmm")</f>
        <v>fevereiro</v>
      </c>
      <c r="I2408" t="str">
        <f>TEXT(MONTH(Tabela1[[#This Row],[Último pagto ano]])*29,"mmmm")</f>
        <v>fevereiro</v>
      </c>
    </row>
    <row r="2409" spans="1:9" x14ac:dyDescent="0.25">
      <c r="A2409">
        <v>2025</v>
      </c>
      <c r="B2409" t="s">
        <v>4792</v>
      </c>
      <c r="C2409" s="1">
        <v>45911</v>
      </c>
      <c r="D2409" t="s">
        <v>4793</v>
      </c>
      <c r="E2409" s="2">
        <v>3000</v>
      </c>
      <c r="G2409" s="3">
        <f>MONTH(Tabela1[[#This Row],[Último pagto ano]])</f>
        <v>9</v>
      </c>
      <c r="H2409" t="str">
        <f>TEXT(Tabela1[[#This Row],[Coluna2]]*29,"mmmm")</f>
        <v>setembro</v>
      </c>
      <c r="I2409" t="str">
        <f>TEXT(MONTH(Tabela1[[#This Row],[Último pagto ano]])*29,"mmmm")</f>
        <v>setembro</v>
      </c>
    </row>
    <row r="2410" spans="1:9" x14ac:dyDescent="0.25">
      <c r="A2410">
        <v>2025</v>
      </c>
      <c r="B2410" t="s">
        <v>4794</v>
      </c>
      <c r="C2410" s="1">
        <v>46006</v>
      </c>
      <c r="D2410" t="s">
        <v>4795</v>
      </c>
      <c r="E2410" s="2">
        <v>7107.84</v>
      </c>
      <c r="G2410" s="3">
        <f>MONTH(Tabela1[[#This Row],[Último pagto ano]])</f>
        <v>12</v>
      </c>
      <c r="H2410" t="str">
        <f>TEXT(Tabela1[[#This Row],[Coluna2]]*29,"mmmm")</f>
        <v>dezembro</v>
      </c>
      <c r="I2410" t="str">
        <f>TEXT(MONTH(Tabela1[[#This Row],[Último pagto ano]])*29,"mmmm")</f>
        <v>dezembro</v>
      </c>
    </row>
    <row r="2411" spans="1:9" x14ac:dyDescent="0.25">
      <c r="A2411">
        <v>2025</v>
      </c>
      <c r="B2411" t="s">
        <v>4796</v>
      </c>
      <c r="C2411" s="1">
        <v>45698</v>
      </c>
      <c r="D2411" t="s">
        <v>4797</v>
      </c>
      <c r="E2411" s="2">
        <v>1211.29</v>
      </c>
      <c r="G2411" s="3">
        <f>MONTH(Tabela1[[#This Row],[Último pagto ano]])</f>
        <v>2</v>
      </c>
      <c r="H2411" t="str">
        <f>TEXT(Tabela1[[#This Row],[Coluna2]]*29,"mmmm")</f>
        <v>fevereiro</v>
      </c>
      <c r="I2411" t="str">
        <f>TEXT(MONTH(Tabela1[[#This Row],[Último pagto ano]])*29,"mmmm")</f>
        <v>fevereiro</v>
      </c>
    </row>
    <row r="2412" spans="1:9" x14ac:dyDescent="0.25">
      <c r="A2412">
        <v>2025</v>
      </c>
      <c r="B2412" t="s">
        <v>4798</v>
      </c>
      <c r="C2412" s="1">
        <v>45673</v>
      </c>
      <c r="D2412" t="s">
        <v>4799</v>
      </c>
      <c r="E2412">
        <v>500</v>
      </c>
      <c r="G2412" s="3">
        <f>MONTH(Tabela1[[#This Row],[Último pagto ano]])</f>
        <v>1</v>
      </c>
      <c r="H2412" t="str">
        <f>TEXT(Tabela1[[#This Row],[Coluna2]]*29,"mmmm")</f>
        <v>janeiro</v>
      </c>
      <c r="I2412" t="str">
        <f>TEXT(MONTH(Tabela1[[#This Row],[Último pagto ano]])*29,"mmmm")</f>
        <v>janeiro</v>
      </c>
    </row>
    <row r="2413" spans="1:9" x14ac:dyDescent="0.25">
      <c r="A2413">
        <v>2025</v>
      </c>
      <c r="B2413" t="s">
        <v>4800</v>
      </c>
      <c r="C2413" s="1">
        <v>45996</v>
      </c>
      <c r="D2413" t="s">
        <v>4801</v>
      </c>
      <c r="E2413" s="2">
        <v>17010</v>
      </c>
      <c r="G2413" s="3">
        <f>MONTH(Tabela1[[#This Row],[Último pagto ano]])</f>
        <v>12</v>
      </c>
      <c r="H2413" t="str">
        <f>TEXT(Tabela1[[#This Row],[Coluna2]]*29,"mmmm")</f>
        <v>dezembro</v>
      </c>
      <c r="I2413" t="str">
        <f>TEXT(MONTH(Tabela1[[#This Row],[Último pagto ano]])*29,"mmmm")</f>
        <v>dezembro</v>
      </c>
    </row>
    <row r="2414" spans="1:9" x14ac:dyDescent="0.25">
      <c r="A2414">
        <v>2025</v>
      </c>
      <c r="B2414" t="s">
        <v>4802</v>
      </c>
      <c r="C2414" s="1">
        <v>45996</v>
      </c>
      <c r="D2414" t="s">
        <v>4803</v>
      </c>
      <c r="E2414" s="2">
        <v>15000</v>
      </c>
      <c r="G2414" s="3">
        <f>MONTH(Tabela1[[#This Row],[Último pagto ano]])</f>
        <v>12</v>
      </c>
      <c r="H2414" t="str">
        <f>TEXT(Tabela1[[#This Row],[Coluna2]]*29,"mmmm")</f>
        <v>dezembro</v>
      </c>
      <c r="I2414" t="str">
        <f>TEXT(MONTH(Tabela1[[#This Row],[Último pagto ano]])*29,"mmmm")</f>
        <v>dezembro</v>
      </c>
    </row>
    <row r="2415" spans="1:9" x14ac:dyDescent="0.25">
      <c r="A2415">
        <v>2025</v>
      </c>
      <c r="B2415" t="s">
        <v>4804</v>
      </c>
      <c r="C2415" s="1">
        <v>45975</v>
      </c>
      <c r="D2415" t="s">
        <v>4805</v>
      </c>
      <c r="E2415" s="2">
        <v>5182.24</v>
      </c>
      <c r="G2415" s="3">
        <f>MONTH(Tabela1[[#This Row],[Último pagto ano]])</f>
        <v>11</v>
      </c>
      <c r="H2415" t="str">
        <f>TEXT(Tabela1[[#This Row],[Coluna2]]*29,"mmmm")</f>
        <v>novembro</v>
      </c>
      <c r="I2415" t="str">
        <f>TEXT(MONTH(Tabela1[[#This Row],[Último pagto ano]])*29,"mmmm")</f>
        <v>novembro</v>
      </c>
    </row>
    <row r="2416" spans="1:9" x14ac:dyDescent="0.25">
      <c r="A2416">
        <v>2025</v>
      </c>
      <c r="B2416" t="s">
        <v>4806</v>
      </c>
      <c r="C2416" s="1">
        <v>45782</v>
      </c>
      <c r="D2416" t="s">
        <v>4807</v>
      </c>
      <c r="E2416">
        <v>44</v>
      </c>
      <c r="G2416" s="3">
        <f>MONTH(Tabela1[[#This Row],[Último pagto ano]])</f>
        <v>5</v>
      </c>
      <c r="H2416" t="str">
        <f>TEXT(Tabela1[[#This Row],[Coluna2]]*29,"mmmm")</f>
        <v>maio</v>
      </c>
      <c r="I2416" t="str">
        <f>TEXT(MONTH(Tabela1[[#This Row],[Último pagto ano]])*29,"mmmm")</f>
        <v>maio</v>
      </c>
    </row>
    <row r="2417" spans="1:9" x14ac:dyDescent="0.25">
      <c r="A2417">
        <v>2025</v>
      </c>
      <c r="B2417" t="s">
        <v>4808</v>
      </c>
      <c r="C2417" s="1">
        <v>45901</v>
      </c>
      <c r="D2417" t="s">
        <v>4809</v>
      </c>
      <c r="E2417">
        <v>453.5</v>
      </c>
      <c r="G2417" s="3">
        <f>MONTH(Tabela1[[#This Row],[Último pagto ano]])</f>
        <v>9</v>
      </c>
      <c r="H2417" t="str">
        <f>TEXT(Tabela1[[#This Row],[Coluna2]]*29,"mmmm")</f>
        <v>setembro</v>
      </c>
      <c r="I2417" t="str">
        <f>TEXT(MONTH(Tabela1[[#This Row],[Último pagto ano]])*29,"mmmm")</f>
        <v>setembro</v>
      </c>
    </row>
    <row r="2418" spans="1:9" x14ac:dyDescent="0.25">
      <c r="A2418">
        <v>2025</v>
      </c>
      <c r="B2418" t="s">
        <v>4810</v>
      </c>
      <c r="C2418" s="1">
        <v>45996</v>
      </c>
      <c r="D2418" t="s">
        <v>4811</v>
      </c>
      <c r="E2418" s="2">
        <v>4400</v>
      </c>
      <c r="G2418" s="3">
        <f>MONTH(Tabela1[[#This Row],[Último pagto ano]])</f>
        <v>12</v>
      </c>
      <c r="H2418" t="str">
        <f>TEXT(Tabela1[[#This Row],[Coluna2]]*29,"mmmm")</f>
        <v>dezembro</v>
      </c>
      <c r="I2418" t="str">
        <f>TEXT(MONTH(Tabela1[[#This Row],[Último pagto ano]])*29,"mmmm")</f>
        <v>dezembro</v>
      </c>
    </row>
    <row r="2419" spans="1:9" x14ac:dyDescent="0.25">
      <c r="A2419">
        <v>2025</v>
      </c>
      <c r="B2419" t="s">
        <v>4812</v>
      </c>
      <c r="C2419" s="1">
        <v>45803</v>
      </c>
      <c r="D2419" t="s">
        <v>4813</v>
      </c>
      <c r="E2419" s="2">
        <v>3500</v>
      </c>
      <c r="G2419" s="3">
        <f>MONTH(Tabela1[[#This Row],[Último pagto ano]])</f>
        <v>5</v>
      </c>
      <c r="H2419" t="str">
        <f>TEXT(Tabela1[[#This Row],[Coluna2]]*29,"mmmm")</f>
        <v>maio</v>
      </c>
      <c r="I2419" t="str">
        <f>TEXT(MONTH(Tabela1[[#This Row],[Último pagto ano]])*29,"mmmm")</f>
        <v>maio</v>
      </c>
    </row>
    <row r="2420" spans="1:9" x14ac:dyDescent="0.25">
      <c r="A2420">
        <v>2025</v>
      </c>
      <c r="B2420" t="s">
        <v>4814</v>
      </c>
      <c r="C2420" s="1">
        <v>45806</v>
      </c>
      <c r="D2420" t="s">
        <v>4815</v>
      </c>
      <c r="E2420" s="2">
        <v>1260.79</v>
      </c>
      <c r="G2420" s="3">
        <f>MONTH(Tabela1[[#This Row],[Último pagto ano]])</f>
        <v>5</v>
      </c>
      <c r="H2420" t="str">
        <f>TEXT(Tabela1[[#This Row],[Coluna2]]*29,"mmmm")</f>
        <v>maio</v>
      </c>
      <c r="I2420" t="str">
        <f>TEXT(MONTH(Tabela1[[#This Row],[Último pagto ano]])*29,"mmmm")</f>
        <v>maio</v>
      </c>
    </row>
    <row r="2421" spans="1:9" x14ac:dyDescent="0.25">
      <c r="A2421">
        <v>2025</v>
      </c>
      <c r="B2421" t="s">
        <v>4816</v>
      </c>
      <c r="C2421" s="1">
        <v>45831</v>
      </c>
      <c r="D2421" t="s">
        <v>4817</v>
      </c>
      <c r="E2421" s="2">
        <v>3600</v>
      </c>
      <c r="G2421" s="3">
        <f>MONTH(Tabela1[[#This Row],[Último pagto ano]])</f>
        <v>6</v>
      </c>
      <c r="H2421" t="str">
        <f>TEXT(Tabela1[[#This Row],[Coluna2]]*29,"mmmm")</f>
        <v>junho</v>
      </c>
      <c r="I2421" t="str">
        <f>TEXT(MONTH(Tabela1[[#This Row],[Último pagto ano]])*29,"mmmm")</f>
        <v>junho</v>
      </c>
    </row>
    <row r="2422" spans="1:9" x14ac:dyDescent="0.25">
      <c r="A2422">
        <v>2025</v>
      </c>
      <c r="B2422" t="s">
        <v>4818</v>
      </c>
      <c r="C2422" s="1">
        <v>45853</v>
      </c>
      <c r="D2422" t="s">
        <v>4819</v>
      </c>
      <c r="E2422">
        <v>888.48</v>
      </c>
      <c r="G2422" s="3">
        <f>MONTH(Tabela1[[#This Row],[Último pagto ano]])</f>
        <v>7</v>
      </c>
      <c r="H2422" t="str">
        <f>TEXT(Tabela1[[#This Row],[Coluna2]]*29,"mmmm")</f>
        <v>julho</v>
      </c>
      <c r="I2422" t="str">
        <f>TEXT(MONTH(Tabela1[[#This Row],[Último pagto ano]])*29,"mmmm")</f>
        <v>julho</v>
      </c>
    </row>
    <row r="2423" spans="1:9" x14ac:dyDescent="0.25">
      <c r="A2423">
        <v>2025</v>
      </c>
      <c r="B2423" t="s">
        <v>4820</v>
      </c>
      <c r="C2423" s="1">
        <v>45673</v>
      </c>
      <c r="D2423" t="s">
        <v>4821</v>
      </c>
      <c r="E2423">
        <v>550</v>
      </c>
      <c r="G2423" s="3">
        <f>MONTH(Tabela1[[#This Row],[Último pagto ano]])</f>
        <v>1</v>
      </c>
      <c r="H2423" t="str">
        <f>TEXT(Tabela1[[#This Row],[Coluna2]]*29,"mmmm")</f>
        <v>janeiro</v>
      </c>
      <c r="I2423" t="str">
        <f>TEXT(MONTH(Tabela1[[#This Row],[Último pagto ano]])*29,"mmmm")</f>
        <v>janeiro</v>
      </c>
    </row>
    <row r="2424" spans="1:9" x14ac:dyDescent="0.25">
      <c r="A2424">
        <v>2025</v>
      </c>
      <c r="B2424" t="s">
        <v>4822</v>
      </c>
      <c r="C2424" s="1">
        <v>46003</v>
      </c>
      <c r="D2424" t="s">
        <v>4823</v>
      </c>
      <c r="E2424" s="2">
        <v>7363.64</v>
      </c>
      <c r="G2424" s="3">
        <f>MONTH(Tabela1[[#This Row],[Último pagto ano]])</f>
        <v>12</v>
      </c>
      <c r="H2424" t="str">
        <f>TEXT(Tabela1[[#This Row],[Coluna2]]*29,"mmmm")</f>
        <v>dezembro</v>
      </c>
      <c r="I2424" t="str">
        <f>TEXT(MONTH(Tabela1[[#This Row],[Último pagto ano]])*29,"mmmm")</f>
        <v>dezembro</v>
      </c>
    </row>
    <row r="2425" spans="1:9" x14ac:dyDescent="0.25">
      <c r="A2425">
        <v>2025</v>
      </c>
      <c r="B2425" t="s">
        <v>4824</v>
      </c>
      <c r="C2425" s="1">
        <v>46021</v>
      </c>
      <c r="D2425" t="s">
        <v>4825</v>
      </c>
      <c r="E2425" s="2">
        <v>12675.77</v>
      </c>
      <c r="G2425" s="3">
        <f>MONTH(Tabela1[[#This Row],[Último pagto ano]])</f>
        <v>12</v>
      </c>
      <c r="H2425" t="str">
        <f>TEXT(Tabela1[[#This Row],[Coluna2]]*29,"mmmm")</f>
        <v>dezembro</v>
      </c>
      <c r="I2425" t="str">
        <f>TEXT(MONTH(Tabela1[[#This Row],[Último pagto ano]])*29,"mmmm")</f>
        <v>dezembro</v>
      </c>
    </row>
    <row r="2426" spans="1:9" x14ac:dyDescent="0.25">
      <c r="A2426">
        <v>2025</v>
      </c>
      <c r="B2426" t="s">
        <v>4826</v>
      </c>
      <c r="C2426" s="1">
        <v>45996</v>
      </c>
      <c r="D2426" t="s">
        <v>4827</v>
      </c>
      <c r="E2426" s="2">
        <v>4400</v>
      </c>
      <c r="G2426" s="3">
        <f>MONTH(Tabela1[[#This Row],[Último pagto ano]])</f>
        <v>12</v>
      </c>
      <c r="H2426" t="str">
        <f>TEXT(Tabela1[[#This Row],[Coluna2]]*29,"mmmm")</f>
        <v>dezembro</v>
      </c>
      <c r="I2426" t="str">
        <f>TEXT(MONTH(Tabela1[[#This Row],[Último pagto ano]])*29,"mmmm")</f>
        <v>dezembro</v>
      </c>
    </row>
    <row r="2427" spans="1:9" x14ac:dyDescent="0.25">
      <c r="A2427">
        <v>2025</v>
      </c>
      <c r="B2427" t="s">
        <v>4828</v>
      </c>
      <c r="C2427" s="1">
        <v>45824</v>
      </c>
      <c r="D2427" t="s">
        <v>4829</v>
      </c>
      <c r="E2427" s="2">
        <v>3109.68</v>
      </c>
      <c r="G2427" s="3">
        <f>MONTH(Tabela1[[#This Row],[Último pagto ano]])</f>
        <v>6</v>
      </c>
      <c r="H2427" t="str">
        <f>TEXT(Tabela1[[#This Row],[Coluna2]]*29,"mmmm")</f>
        <v>junho</v>
      </c>
      <c r="I2427" t="str">
        <f>TEXT(MONTH(Tabela1[[#This Row],[Último pagto ano]])*29,"mmmm")</f>
        <v>junho</v>
      </c>
    </row>
    <row r="2428" spans="1:9" x14ac:dyDescent="0.25">
      <c r="A2428">
        <v>2025</v>
      </c>
      <c r="B2428" t="s">
        <v>4830</v>
      </c>
      <c r="C2428" s="1">
        <v>45968</v>
      </c>
      <c r="D2428" t="s">
        <v>4831</v>
      </c>
      <c r="E2428" s="2">
        <v>8800</v>
      </c>
      <c r="G2428" s="3">
        <f>MONTH(Tabela1[[#This Row],[Último pagto ano]])</f>
        <v>11</v>
      </c>
      <c r="H2428" t="str">
        <f>TEXT(Tabela1[[#This Row],[Coluna2]]*29,"mmmm")</f>
        <v>novembro</v>
      </c>
      <c r="I2428" t="str">
        <f>TEXT(MONTH(Tabela1[[#This Row],[Último pagto ano]])*29,"mmmm")</f>
        <v>novembro</v>
      </c>
    </row>
    <row r="2429" spans="1:9" x14ac:dyDescent="0.25">
      <c r="A2429">
        <v>2025</v>
      </c>
      <c r="B2429" t="s">
        <v>4832</v>
      </c>
      <c r="C2429" s="1">
        <v>45702</v>
      </c>
      <c r="D2429" t="s">
        <v>4833</v>
      </c>
      <c r="E2429">
        <v>794.09</v>
      </c>
      <c r="G2429" s="3">
        <f>MONTH(Tabela1[[#This Row],[Último pagto ano]])</f>
        <v>2</v>
      </c>
      <c r="H2429" t="str">
        <f>TEXT(Tabela1[[#This Row],[Coluna2]]*29,"mmmm")</f>
        <v>fevereiro</v>
      </c>
      <c r="I2429" t="str">
        <f>TEXT(MONTH(Tabela1[[#This Row],[Último pagto ano]])*29,"mmmm")</f>
        <v>fevereiro</v>
      </c>
    </row>
    <row r="2430" spans="1:9" x14ac:dyDescent="0.25">
      <c r="A2430">
        <v>2025</v>
      </c>
      <c r="B2430" t="s">
        <v>4834</v>
      </c>
      <c r="C2430" s="1">
        <v>45687</v>
      </c>
      <c r="D2430" t="s">
        <v>4835</v>
      </c>
      <c r="E2430">
        <v>449.95</v>
      </c>
      <c r="G2430" s="3">
        <f>MONTH(Tabela1[[#This Row],[Último pagto ano]])</f>
        <v>1</v>
      </c>
      <c r="H2430" t="str">
        <f>TEXT(Tabela1[[#This Row],[Coluna2]]*29,"mmmm")</f>
        <v>janeiro</v>
      </c>
      <c r="I2430" t="str">
        <f>TEXT(MONTH(Tabela1[[#This Row],[Último pagto ano]])*29,"mmmm")</f>
        <v>janeiro</v>
      </c>
    </row>
    <row r="2431" spans="1:9" x14ac:dyDescent="0.25">
      <c r="A2431">
        <v>2025</v>
      </c>
      <c r="B2431" t="s">
        <v>4836</v>
      </c>
      <c r="C2431" s="1">
        <v>45705</v>
      </c>
      <c r="D2431" t="s">
        <v>4837</v>
      </c>
      <c r="E2431">
        <v>875.2</v>
      </c>
      <c r="G2431" s="3">
        <f>MONTH(Tabela1[[#This Row],[Último pagto ano]])</f>
        <v>2</v>
      </c>
      <c r="H2431" t="str">
        <f>TEXT(Tabela1[[#This Row],[Coluna2]]*29,"mmmm")</f>
        <v>fevereiro</v>
      </c>
      <c r="I2431" t="str">
        <f>TEXT(MONTH(Tabela1[[#This Row],[Último pagto ano]])*29,"mmmm")</f>
        <v>fevereiro</v>
      </c>
    </row>
    <row r="2432" spans="1:9" x14ac:dyDescent="0.25">
      <c r="A2432">
        <v>2025</v>
      </c>
      <c r="B2432" t="s">
        <v>4838</v>
      </c>
      <c r="C2432" s="1">
        <v>45996</v>
      </c>
      <c r="D2432" t="s">
        <v>4839</v>
      </c>
      <c r="E2432" s="2">
        <v>9900</v>
      </c>
      <c r="G2432" s="3">
        <f>MONTH(Tabela1[[#This Row],[Último pagto ano]])</f>
        <v>12</v>
      </c>
      <c r="H2432" t="str">
        <f>TEXT(Tabela1[[#This Row],[Coluna2]]*29,"mmmm")</f>
        <v>dezembro</v>
      </c>
      <c r="I2432" t="str">
        <f>TEXT(MONTH(Tabela1[[#This Row],[Último pagto ano]])*29,"mmmm")</f>
        <v>dezembro</v>
      </c>
    </row>
    <row r="2433" spans="1:9" x14ac:dyDescent="0.25">
      <c r="A2433">
        <v>2025</v>
      </c>
      <c r="B2433" t="s">
        <v>4840</v>
      </c>
      <c r="C2433" s="1">
        <v>45737</v>
      </c>
      <c r="D2433" t="s">
        <v>4841</v>
      </c>
      <c r="E2433">
        <v>66.430000000000007</v>
      </c>
      <c r="G2433" s="3">
        <f>MONTH(Tabela1[[#This Row],[Último pagto ano]])</f>
        <v>3</v>
      </c>
      <c r="H2433" t="str">
        <f>TEXT(Tabela1[[#This Row],[Coluna2]]*29,"mmmm")</f>
        <v>março</v>
      </c>
      <c r="I2433" t="str">
        <f>TEXT(MONTH(Tabela1[[#This Row],[Último pagto ano]])*29,"mmmm")</f>
        <v>março</v>
      </c>
    </row>
    <row r="2434" spans="1:9" x14ac:dyDescent="0.25">
      <c r="A2434">
        <v>2025</v>
      </c>
      <c r="B2434" t="s">
        <v>4842</v>
      </c>
      <c r="C2434" s="1">
        <v>46014</v>
      </c>
      <c r="D2434" t="s">
        <v>4843</v>
      </c>
      <c r="E2434">
        <v>2.5299999999999998</v>
      </c>
      <c r="G2434" s="3">
        <f>MONTH(Tabela1[[#This Row],[Último pagto ano]])</f>
        <v>12</v>
      </c>
      <c r="H2434" t="str">
        <f>TEXT(Tabela1[[#This Row],[Coluna2]]*29,"mmmm")</f>
        <v>dezembro</v>
      </c>
      <c r="I2434" t="str">
        <f>TEXT(MONTH(Tabela1[[#This Row],[Último pagto ano]])*29,"mmmm")</f>
        <v>dezembro</v>
      </c>
    </row>
    <row r="2435" spans="1:9" x14ac:dyDescent="0.25">
      <c r="A2435">
        <v>2025</v>
      </c>
      <c r="B2435" t="s">
        <v>4844</v>
      </c>
      <c r="C2435" s="1">
        <v>45945</v>
      </c>
      <c r="D2435" t="s">
        <v>4845</v>
      </c>
      <c r="E2435">
        <v>296.16000000000003</v>
      </c>
      <c r="G2435" s="3">
        <f>MONTH(Tabela1[[#This Row],[Último pagto ano]])</f>
        <v>10</v>
      </c>
      <c r="H2435" t="str">
        <f>TEXT(Tabela1[[#This Row],[Coluna2]]*29,"mmmm")</f>
        <v>outubro</v>
      </c>
      <c r="I2435" t="str">
        <f>TEXT(MONTH(Tabela1[[#This Row],[Último pagto ano]])*29,"mmmm")</f>
        <v>outubro</v>
      </c>
    </row>
    <row r="2436" spans="1:9" x14ac:dyDescent="0.25">
      <c r="A2436">
        <v>2025</v>
      </c>
      <c r="B2436" t="s">
        <v>4846</v>
      </c>
      <c r="C2436" s="1">
        <v>45936</v>
      </c>
      <c r="D2436" t="s">
        <v>4847</v>
      </c>
      <c r="E2436">
        <v>66</v>
      </c>
      <c r="G2436" s="3">
        <f>MONTH(Tabela1[[#This Row],[Último pagto ano]])</f>
        <v>10</v>
      </c>
      <c r="H2436" t="str">
        <f>TEXT(Tabela1[[#This Row],[Coluna2]]*29,"mmmm")</f>
        <v>outubro</v>
      </c>
      <c r="I2436" t="str">
        <f>TEXT(MONTH(Tabela1[[#This Row],[Último pagto ano]])*29,"mmmm")</f>
        <v>outubro</v>
      </c>
    </row>
    <row r="2437" spans="1:9" x14ac:dyDescent="0.25">
      <c r="A2437">
        <v>2025</v>
      </c>
      <c r="B2437" t="s">
        <v>4848</v>
      </c>
      <c r="C2437" s="1">
        <v>46013</v>
      </c>
      <c r="D2437" t="s">
        <v>4849</v>
      </c>
      <c r="E2437" s="2">
        <v>199756.08</v>
      </c>
      <c r="G2437" s="3">
        <f>MONTH(Tabela1[[#This Row],[Último pagto ano]])</f>
        <v>12</v>
      </c>
      <c r="H2437" t="str">
        <f>TEXT(Tabela1[[#This Row],[Coluna2]]*29,"mmmm")</f>
        <v>dezembro</v>
      </c>
      <c r="I2437" t="str">
        <f>TEXT(MONTH(Tabela1[[#This Row],[Último pagto ano]])*29,"mmmm")</f>
        <v>dezembro</v>
      </c>
    </row>
    <row r="2438" spans="1:9" x14ac:dyDescent="0.25">
      <c r="A2438">
        <v>2025</v>
      </c>
      <c r="B2438" t="s">
        <v>4850</v>
      </c>
      <c r="C2438" s="1">
        <v>46006</v>
      </c>
      <c r="D2438" t="s">
        <v>4851</v>
      </c>
      <c r="E2438" s="2">
        <v>2665.44</v>
      </c>
      <c r="G2438" s="3">
        <f>MONTH(Tabela1[[#This Row],[Último pagto ano]])</f>
        <v>12</v>
      </c>
      <c r="H2438" t="str">
        <f>TEXT(Tabela1[[#This Row],[Coluna2]]*29,"mmmm")</f>
        <v>dezembro</v>
      </c>
      <c r="I2438" t="str">
        <f>TEXT(MONTH(Tabela1[[#This Row],[Último pagto ano]])*29,"mmmm")</f>
        <v>dezembro</v>
      </c>
    </row>
    <row r="2439" spans="1:9" x14ac:dyDescent="0.25">
      <c r="A2439">
        <v>2025</v>
      </c>
      <c r="B2439" t="s">
        <v>4852</v>
      </c>
      <c r="C2439" s="1">
        <v>45876</v>
      </c>
      <c r="D2439" t="s">
        <v>4853</v>
      </c>
      <c r="E2439" s="2">
        <v>3100</v>
      </c>
      <c r="G2439" s="3">
        <f>MONTH(Tabela1[[#This Row],[Último pagto ano]])</f>
        <v>8</v>
      </c>
      <c r="H2439" t="str">
        <f>TEXT(Tabela1[[#This Row],[Coluna2]]*29,"mmmm")</f>
        <v>agosto</v>
      </c>
      <c r="I2439" t="str">
        <f>TEXT(MONTH(Tabela1[[#This Row],[Último pagto ano]])*29,"mmmm")</f>
        <v>agosto</v>
      </c>
    </row>
    <row r="2440" spans="1:9" x14ac:dyDescent="0.25">
      <c r="A2440">
        <v>2025</v>
      </c>
      <c r="B2440" t="s">
        <v>4854</v>
      </c>
      <c r="C2440" s="1">
        <v>46010</v>
      </c>
      <c r="D2440" t="s">
        <v>4855</v>
      </c>
      <c r="E2440" s="2">
        <v>8400</v>
      </c>
      <c r="G2440" s="3">
        <f>MONTH(Tabela1[[#This Row],[Último pagto ano]])</f>
        <v>12</v>
      </c>
      <c r="H2440" t="str">
        <f>TEXT(Tabela1[[#This Row],[Coluna2]]*29,"mmmm")</f>
        <v>dezembro</v>
      </c>
      <c r="I2440" t="str">
        <f>TEXT(MONTH(Tabela1[[#This Row],[Último pagto ano]])*29,"mmmm")</f>
        <v>dezembro</v>
      </c>
    </row>
    <row r="2441" spans="1:9" x14ac:dyDescent="0.25">
      <c r="A2441">
        <v>2025</v>
      </c>
      <c r="B2441" t="s">
        <v>4856</v>
      </c>
      <c r="C2441" s="1">
        <v>45937</v>
      </c>
      <c r="D2441" t="s">
        <v>4857</v>
      </c>
      <c r="E2441" s="2">
        <v>3000</v>
      </c>
      <c r="G2441" s="3">
        <f>MONTH(Tabela1[[#This Row],[Último pagto ano]])</f>
        <v>10</v>
      </c>
      <c r="H2441" t="str">
        <f>TEXT(Tabela1[[#This Row],[Coluna2]]*29,"mmmm")</f>
        <v>outubro</v>
      </c>
      <c r="I2441" t="str">
        <f>TEXT(MONTH(Tabela1[[#This Row],[Último pagto ano]])*29,"mmmm")</f>
        <v>outubro</v>
      </c>
    </row>
    <row r="2442" spans="1:9" x14ac:dyDescent="0.25">
      <c r="A2442">
        <v>2025</v>
      </c>
      <c r="B2442" t="s">
        <v>4858</v>
      </c>
      <c r="C2442" s="1">
        <v>46014</v>
      </c>
      <c r="D2442" t="s">
        <v>4859</v>
      </c>
      <c r="E2442">
        <v>424.2</v>
      </c>
      <c r="G2442" s="3">
        <f>MONTH(Tabela1[[#This Row],[Último pagto ano]])</f>
        <v>12</v>
      </c>
      <c r="H2442" t="str">
        <f>TEXT(Tabela1[[#This Row],[Coluna2]]*29,"mmmm")</f>
        <v>dezembro</v>
      </c>
      <c r="I2442" t="str">
        <f>TEXT(MONTH(Tabela1[[#This Row],[Último pagto ano]])*29,"mmmm")</f>
        <v>dezembro</v>
      </c>
    </row>
    <row r="2443" spans="1:9" x14ac:dyDescent="0.25">
      <c r="A2443">
        <v>2025</v>
      </c>
      <c r="B2443" t="s">
        <v>4860</v>
      </c>
      <c r="C2443" s="1">
        <v>46003</v>
      </c>
      <c r="D2443" t="s">
        <v>4861</v>
      </c>
      <c r="E2443" s="2">
        <v>1728</v>
      </c>
      <c r="G2443" s="3">
        <f>MONTH(Tabela1[[#This Row],[Último pagto ano]])</f>
        <v>12</v>
      </c>
      <c r="H2443" t="str">
        <f>TEXT(Tabela1[[#This Row],[Coluna2]]*29,"mmmm")</f>
        <v>dezembro</v>
      </c>
      <c r="I2443" t="str">
        <f>TEXT(MONTH(Tabela1[[#This Row],[Último pagto ano]])*29,"mmmm")</f>
        <v>dezembro</v>
      </c>
    </row>
    <row r="2444" spans="1:9" x14ac:dyDescent="0.25">
      <c r="A2444">
        <v>2025</v>
      </c>
      <c r="B2444" t="s">
        <v>4862</v>
      </c>
      <c r="C2444" s="1">
        <v>45749</v>
      </c>
      <c r="D2444" t="s">
        <v>4863</v>
      </c>
      <c r="E2444" s="2">
        <v>14718.9</v>
      </c>
      <c r="G2444" s="3">
        <f>MONTH(Tabela1[[#This Row],[Último pagto ano]])</f>
        <v>4</v>
      </c>
      <c r="H2444" t="str">
        <f>TEXT(Tabela1[[#This Row],[Coluna2]]*29,"mmmm")</f>
        <v>abril</v>
      </c>
      <c r="I2444" t="str">
        <f>TEXT(MONTH(Tabela1[[#This Row],[Último pagto ano]])*29,"mmmm")</f>
        <v>abril</v>
      </c>
    </row>
    <row r="2445" spans="1:9" x14ac:dyDescent="0.25">
      <c r="A2445">
        <v>2025</v>
      </c>
      <c r="B2445" t="s">
        <v>4864</v>
      </c>
      <c r="C2445" s="1">
        <v>45762</v>
      </c>
      <c r="D2445" t="s">
        <v>4865</v>
      </c>
      <c r="E2445" s="2">
        <v>4645.6000000000004</v>
      </c>
      <c r="G2445" s="3">
        <f>MONTH(Tabela1[[#This Row],[Último pagto ano]])</f>
        <v>4</v>
      </c>
      <c r="H2445" t="str">
        <f>TEXT(Tabela1[[#This Row],[Coluna2]]*29,"mmmm")</f>
        <v>abril</v>
      </c>
      <c r="I2445" t="str">
        <f>TEXT(MONTH(Tabela1[[#This Row],[Último pagto ano]])*29,"mmmm")</f>
        <v>abril</v>
      </c>
    </row>
    <row r="2446" spans="1:9" x14ac:dyDescent="0.25">
      <c r="A2446">
        <v>2025</v>
      </c>
      <c r="B2446" t="s">
        <v>4866</v>
      </c>
      <c r="C2446" s="1">
        <v>46010</v>
      </c>
      <c r="D2446" t="s">
        <v>4867</v>
      </c>
      <c r="E2446" s="2">
        <v>2800</v>
      </c>
      <c r="G2446" s="3">
        <f>MONTH(Tabela1[[#This Row],[Último pagto ano]])</f>
        <v>12</v>
      </c>
      <c r="H2446" t="str">
        <f>TEXT(Tabela1[[#This Row],[Coluna2]]*29,"mmmm")</f>
        <v>dezembro</v>
      </c>
      <c r="I2446" t="str">
        <f>TEXT(MONTH(Tabela1[[#This Row],[Último pagto ano]])*29,"mmmm")</f>
        <v>dezembro</v>
      </c>
    </row>
    <row r="2447" spans="1:9" x14ac:dyDescent="0.25">
      <c r="A2447">
        <v>2025</v>
      </c>
      <c r="B2447" t="s">
        <v>4868</v>
      </c>
      <c r="C2447" s="1">
        <v>46003</v>
      </c>
      <c r="D2447" t="s">
        <v>4869</v>
      </c>
      <c r="E2447" s="2">
        <v>25036.48</v>
      </c>
      <c r="G2447" s="3">
        <f>MONTH(Tabela1[[#This Row],[Último pagto ano]])</f>
        <v>12</v>
      </c>
      <c r="H2447" t="str">
        <f>TEXT(Tabela1[[#This Row],[Coluna2]]*29,"mmmm")</f>
        <v>dezembro</v>
      </c>
      <c r="I2447" t="str">
        <f>TEXT(MONTH(Tabela1[[#This Row],[Último pagto ano]])*29,"mmmm")</f>
        <v>dezembro</v>
      </c>
    </row>
    <row r="2448" spans="1:9" x14ac:dyDescent="0.25">
      <c r="A2448">
        <v>2025</v>
      </c>
      <c r="B2448" t="s">
        <v>4870</v>
      </c>
      <c r="C2448" s="1">
        <v>46006</v>
      </c>
      <c r="D2448" t="s">
        <v>4871</v>
      </c>
      <c r="E2448" s="2">
        <v>8400</v>
      </c>
      <c r="G2448" s="3">
        <f>MONTH(Tabela1[[#This Row],[Último pagto ano]])</f>
        <v>12</v>
      </c>
      <c r="H2448" t="str">
        <f>TEXT(Tabela1[[#This Row],[Coluna2]]*29,"mmmm")</f>
        <v>dezembro</v>
      </c>
      <c r="I2448" t="str">
        <f>TEXT(MONTH(Tabela1[[#This Row],[Último pagto ano]])*29,"mmmm")</f>
        <v>dezembro</v>
      </c>
    </row>
    <row r="2449" spans="1:9" x14ac:dyDescent="0.25">
      <c r="A2449">
        <v>2025</v>
      </c>
      <c r="B2449" t="s">
        <v>4872</v>
      </c>
      <c r="C2449" s="1">
        <v>46014</v>
      </c>
      <c r="D2449" t="s">
        <v>4873</v>
      </c>
      <c r="E2449">
        <v>176</v>
      </c>
      <c r="G2449" s="3">
        <f>MONTH(Tabela1[[#This Row],[Último pagto ano]])</f>
        <v>12</v>
      </c>
      <c r="H2449" t="str">
        <f>TEXT(Tabela1[[#This Row],[Coluna2]]*29,"mmmm")</f>
        <v>dezembro</v>
      </c>
      <c r="I2449" t="str">
        <f>TEXT(MONTH(Tabela1[[#This Row],[Último pagto ano]])*29,"mmmm")</f>
        <v>dezembro</v>
      </c>
    </row>
    <row r="2450" spans="1:9" x14ac:dyDescent="0.25">
      <c r="A2450">
        <v>2025</v>
      </c>
      <c r="B2450" t="s">
        <v>4874</v>
      </c>
      <c r="C2450" s="1">
        <v>45832</v>
      </c>
      <c r="D2450" t="s">
        <v>4875</v>
      </c>
      <c r="E2450" s="2">
        <v>4200</v>
      </c>
      <c r="G2450" s="3">
        <f>MONTH(Tabela1[[#This Row],[Último pagto ano]])</f>
        <v>6</v>
      </c>
      <c r="H2450" t="str">
        <f>TEXT(Tabela1[[#This Row],[Coluna2]]*29,"mmmm")</f>
        <v>junho</v>
      </c>
      <c r="I2450" t="str">
        <f>TEXT(MONTH(Tabela1[[#This Row],[Último pagto ano]])*29,"mmmm")</f>
        <v>junho</v>
      </c>
    </row>
    <row r="2451" spans="1:9" x14ac:dyDescent="0.25">
      <c r="A2451">
        <v>2025</v>
      </c>
      <c r="B2451" t="s">
        <v>4876</v>
      </c>
      <c r="C2451" s="1">
        <v>45945</v>
      </c>
      <c r="D2451" t="s">
        <v>4877</v>
      </c>
      <c r="E2451" s="2">
        <v>5627.04</v>
      </c>
      <c r="G2451" s="3">
        <f>MONTH(Tabela1[[#This Row],[Último pagto ano]])</f>
        <v>10</v>
      </c>
      <c r="H2451" t="str">
        <f>TEXT(Tabela1[[#This Row],[Coluna2]]*29,"mmmm")</f>
        <v>outubro</v>
      </c>
      <c r="I2451" t="str">
        <f>TEXT(MONTH(Tabela1[[#This Row],[Último pagto ano]])*29,"mmmm")</f>
        <v>outubro</v>
      </c>
    </row>
    <row r="2452" spans="1:9" x14ac:dyDescent="0.25">
      <c r="A2452">
        <v>2025</v>
      </c>
      <c r="B2452" t="s">
        <v>4878</v>
      </c>
      <c r="C2452" s="1">
        <v>46010</v>
      </c>
      <c r="D2452" t="s">
        <v>4879</v>
      </c>
      <c r="E2452" s="2">
        <v>12000</v>
      </c>
      <c r="G2452" s="3">
        <f>MONTH(Tabela1[[#This Row],[Último pagto ano]])</f>
        <v>12</v>
      </c>
      <c r="H2452" t="str">
        <f>TEXT(Tabela1[[#This Row],[Coluna2]]*29,"mmmm")</f>
        <v>dezembro</v>
      </c>
      <c r="I2452" t="str">
        <f>TEXT(MONTH(Tabela1[[#This Row],[Último pagto ano]])*29,"mmmm")</f>
        <v>dezembro</v>
      </c>
    </row>
    <row r="2453" spans="1:9" x14ac:dyDescent="0.25">
      <c r="A2453">
        <v>2025</v>
      </c>
      <c r="B2453" t="s">
        <v>4880</v>
      </c>
      <c r="C2453" s="1">
        <v>45863</v>
      </c>
      <c r="D2453" t="s">
        <v>4881</v>
      </c>
      <c r="E2453" s="2">
        <v>1400</v>
      </c>
      <c r="G2453" s="3">
        <f>MONTH(Tabela1[[#This Row],[Último pagto ano]])</f>
        <v>7</v>
      </c>
      <c r="H2453" t="str">
        <f>TEXT(Tabela1[[#This Row],[Coluna2]]*29,"mmmm")</f>
        <v>julho</v>
      </c>
      <c r="I2453" t="str">
        <f>TEXT(MONTH(Tabela1[[#This Row],[Último pagto ano]])*29,"mmmm")</f>
        <v>julho</v>
      </c>
    </row>
    <row r="2454" spans="1:9" x14ac:dyDescent="0.25">
      <c r="A2454">
        <v>2025</v>
      </c>
      <c r="B2454" t="s">
        <v>4882</v>
      </c>
      <c r="C2454" s="1">
        <v>45938</v>
      </c>
      <c r="D2454" t="s">
        <v>4883</v>
      </c>
      <c r="E2454" s="2">
        <v>21779.16</v>
      </c>
      <c r="G2454" s="3">
        <f>MONTH(Tabela1[[#This Row],[Último pagto ano]])</f>
        <v>10</v>
      </c>
      <c r="H2454" t="str">
        <f>TEXT(Tabela1[[#This Row],[Coluna2]]*29,"mmmm")</f>
        <v>outubro</v>
      </c>
      <c r="I2454" t="str">
        <f>TEXT(MONTH(Tabela1[[#This Row],[Último pagto ano]])*29,"mmmm")</f>
        <v>outubro</v>
      </c>
    </row>
    <row r="2455" spans="1:9" x14ac:dyDescent="0.25">
      <c r="A2455">
        <v>2025</v>
      </c>
      <c r="B2455" t="s">
        <v>4884</v>
      </c>
      <c r="C2455" s="1">
        <v>46010</v>
      </c>
      <c r="D2455" t="s">
        <v>4885</v>
      </c>
      <c r="E2455" s="2">
        <v>7700</v>
      </c>
      <c r="G2455" s="3">
        <f>MONTH(Tabela1[[#This Row],[Último pagto ano]])</f>
        <v>12</v>
      </c>
      <c r="H2455" t="str">
        <f>TEXT(Tabela1[[#This Row],[Coluna2]]*29,"mmmm")</f>
        <v>dezembro</v>
      </c>
      <c r="I2455" t="str">
        <f>TEXT(MONTH(Tabela1[[#This Row],[Último pagto ano]])*29,"mmmm")</f>
        <v>dezembro</v>
      </c>
    </row>
    <row r="2456" spans="1:9" x14ac:dyDescent="0.25">
      <c r="A2456">
        <v>2025</v>
      </c>
      <c r="B2456" t="s">
        <v>4886</v>
      </c>
      <c r="C2456" s="1">
        <v>45771</v>
      </c>
      <c r="D2456" t="s">
        <v>4887</v>
      </c>
      <c r="E2456" s="2">
        <v>2800</v>
      </c>
      <c r="G2456" s="3">
        <f>MONTH(Tabela1[[#This Row],[Último pagto ano]])</f>
        <v>4</v>
      </c>
      <c r="H2456" t="str">
        <f>TEXT(Tabela1[[#This Row],[Coluna2]]*29,"mmmm")</f>
        <v>abril</v>
      </c>
      <c r="I2456" t="str">
        <f>TEXT(MONTH(Tabela1[[#This Row],[Último pagto ano]])*29,"mmmm")</f>
        <v>abril</v>
      </c>
    </row>
    <row r="2457" spans="1:9" x14ac:dyDescent="0.25">
      <c r="A2457">
        <v>2025</v>
      </c>
      <c r="B2457" t="s">
        <v>4888</v>
      </c>
      <c r="C2457" s="1">
        <v>45996</v>
      </c>
      <c r="D2457" t="s">
        <v>4889</v>
      </c>
      <c r="E2457" s="2">
        <v>3600</v>
      </c>
      <c r="G2457" s="3">
        <f>MONTH(Tabela1[[#This Row],[Último pagto ano]])</f>
        <v>12</v>
      </c>
      <c r="H2457" t="str">
        <f>TEXT(Tabela1[[#This Row],[Coluna2]]*29,"mmmm")</f>
        <v>dezembro</v>
      </c>
      <c r="I2457" t="str">
        <f>TEXT(MONTH(Tabela1[[#This Row],[Último pagto ano]])*29,"mmmm")</f>
        <v>dezembro</v>
      </c>
    </row>
    <row r="2458" spans="1:9" x14ac:dyDescent="0.25">
      <c r="A2458">
        <v>2025</v>
      </c>
      <c r="B2458" t="s">
        <v>4890</v>
      </c>
      <c r="C2458" s="1">
        <v>46021</v>
      </c>
      <c r="D2458" t="s">
        <v>4891</v>
      </c>
      <c r="E2458" s="2">
        <v>9501.59</v>
      </c>
      <c r="G2458" s="3">
        <f>MONTH(Tabela1[[#This Row],[Último pagto ano]])</f>
        <v>12</v>
      </c>
      <c r="H2458" t="str">
        <f>TEXT(Tabela1[[#This Row],[Coluna2]]*29,"mmmm")</f>
        <v>dezembro</v>
      </c>
      <c r="I2458" t="str">
        <f>TEXT(MONTH(Tabela1[[#This Row],[Último pagto ano]])*29,"mmmm")</f>
        <v>dezembro</v>
      </c>
    </row>
    <row r="2459" spans="1:9" x14ac:dyDescent="0.25">
      <c r="A2459">
        <v>2025</v>
      </c>
      <c r="B2459" t="s">
        <v>4892</v>
      </c>
      <c r="C2459" s="1">
        <v>45989</v>
      </c>
      <c r="D2459" t="s">
        <v>4893</v>
      </c>
      <c r="E2459" s="2">
        <v>3169.56</v>
      </c>
      <c r="G2459" s="3">
        <f>MONTH(Tabela1[[#This Row],[Último pagto ano]])</f>
        <v>11</v>
      </c>
      <c r="H2459" t="str">
        <f>TEXT(Tabela1[[#This Row],[Coluna2]]*29,"mmmm")</f>
        <v>novembro</v>
      </c>
      <c r="I2459" t="str">
        <f>TEXT(MONTH(Tabela1[[#This Row],[Último pagto ano]])*29,"mmmm")</f>
        <v>novembro</v>
      </c>
    </row>
    <row r="2460" spans="1:9" x14ac:dyDescent="0.25">
      <c r="A2460">
        <v>2025</v>
      </c>
      <c r="B2460" t="s">
        <v>4894</v>
      </c>
      <c r="C2460" s="1">
        <v>45988</v>
      </c>
      <c r="D2460" t="s">
        <v>4895</v>
      </c>
      <c r="E2460" s="2">
        <v>5570.7</v>
      </c>
      <c r="G2460" s="3">
        <f>MONTH(Tabela1[[#This Row],[Último pagto ano]])</f>
        <v>11</v>
      </c>
      <c r="H2460" t="str">
        <f>TEXT(Tabela1[[#This Row],[Coluna2]]*29,"mmmm")</f>
        <v>novembro</v>
      </c>
      <c r="I2460" t="str">
        <f>TEXT(MONTH(Tabela1[[#This Row],[Último pagto ano]])*29,"mmmm")</f>
        <v>novembro</v>
      </c>
    </row>
    <row r="2461" spans="1:9" x14ac:dyDescent="0.25">
      <c r="A2461">
        <v>2025</v>
      </c>
      <c r="B2461" t="s">
        <v>4896</v>
      </c>
      <c r="C2461" s="1">
        <v>45926</v>
      </c>
      <c r="D2461" t="s">
        <v>4897</v>
      </c>
      <c r="E2461">
        <v>151.19999999999999</v>
      </c>
      <c r="G2461" s="3">
        <f>MONTH(Tabela1[[#This Row],[Último pagto ano]])</f>
        <v>9</v>
      </c>
      <c r="H2461" t="str">
        <f>TEXT(Tabela1[[#This Row],[Coluna2]]*29,"mmmm")</f>
        <v>setembro</v>
      </c>
      <c r="I2461" t="str">
        <f>TEXT(MONTH(Tabela1[[#This Row],[Último pagto ano]])*29,"mmmm")</f>
        <v>setembro</v>
      </c>
    </row>
    <row r="2462" spans="1:9" x14ac:dyDescent="0.25">
      <c r="A2462">
        <v>2025</v>
      </c>
      <c r="B2462" t="s">
        <v>4898</v>
      </c>
      <c r="C2462" s="1">
        <v>46010</v>
      </c>
      <c r="D2462" t="s">
        <v>4899</v>
      </c>
      <c r="E2462" s="2">
        <v>12000</v>
      </c>
      <c r="G2462" s="3">
        <f>MONTH(Tabela1[[#This Row],[Último pagto ano]])</f>
        <v>12</v>
      </c>
      <c r="H2462" t="str">
        <f>TEXT(Tabela1[[#This Row],[Coluna2]]*29,"mmmm")</f>
        <v>dezembro</v>
      </c>
      <c r="I2462" t="str">
        <f>TEXT(MONTH(Tabela1[[#This Row],[Último pagto ano]])*29,"mmmm")</f>
        <v>dezembro</v>
      </c>
    </row>
    <row r="2463" spans="1:9" x14ac:dyDescent="0.25">
      <c r="A2463">
        <v>2025</v>
      </c>
      <c r="B2463" t="s">
        <v>4900</v>
      </c>
      <c r="C2463" s="1">
        <v>46006</v>
      </c>
      <c r="D2463" t="s">
        <v>4901</v>
      </c>
      <c r="E2463">
        <v>132</v>
      </c>
      <c r="G2463" s="3">
        <f>MONTH(Tabela1[[#This Row],[Último pagto ano]])</f>
        <v>12</v>
      </c>
      <c r="H2463" t="str">
        <f>TEXT(Tabela1[[#This Row],[Coluna2]]*29,"mmmm")</f>
        <v>dezembro</v>
      </c>
      <c r="I2463" t="str">
        <f>TEXT(MONTH(Tabela1[[#This Row],[Último pagto ano]])*29,"mmmm")</f>
        <v>dezembro</v>
      </c>
    </row>
    <row r="2464" spans="1:9" x14ac:dyDescent="0.25">
      <c r="A2464">
        <v>2025</v>
      </c>
      <c r="B2464" t="s">
        <v>4902</v>
      </c>
      <c r="C2464" s="1">
        <v>45985</v>
      </c>
      <c r="D2464" t="s">
        <v>4903</v>
      </c>
      <c r="E2464">
        <v>308</v>
      </c>
      <c r="G2464" s="3">
        <f>MONTH(Tabela1[[#This Row],[Último pagto ano]])</f>
        <v>11</v>
      </c>
      <c r="H2464" t="str">
        <f>TEXT(Tabela1[[#This Row],[Coluna2]]*29,"mmmm")</f>
        <v>novembro</v>
      </c>
      <c r="I2464" t="str">
        <f>TEXT(MONTH(Tabela1[[#This Row],[Último pagto ano]])*29,"mmmm")</f>
        <v>novembro</v>
      </c>
    </row>
    <row r="2465" spans="1:9" x14ac:dyDescent="0.25">
      <c r="A2465">
        <v>2025</v>
      </c>
      <c r="B2465" t="s">
        <v>4904</v>
      </c>
      <c r="C2465" s="1">
        <v>45702</v>
      </c>
      <c r="D2465" t="s">
        <v>4905</v>
      </c>
      <c r="E2465">
        <v>858.82</v>
      </c>
      <c r="G2465" s="3">
        <f>MONTH(Tabela1[[#This Row],[Último pagto ano]])</f>
        <v>2</v>
      </c>
      <c r="H2465" t="str">
        <f>TEXT(Tabela1[[#This Row],[Coluna2]]*29,"mmmm")</f>
        <v>fevereiro</v>
      </c>
      <c r="I2465" t="str">
        <f>TEXT(MONTH(Tabela1[[#This Row],[Último pagto ano]])*29,"mmmm")</f>
        <v>fevereiro</v>
      </c>
    </row>
    <row r="2466" spans="1:9" x14ac:dyDescent="0.25">
      <c r="A2466">
        <v>2025</v>
      </c>
      <c r="B2466" t="s">
        <v>4906</v>
      </c>
      <c r="C2466" s="1">
        <v>45831</v>
      </c>
      <c r="D2466" t="s">
        <v>4907</v>
      </c>
      <c r="E2466" s="2">
        <v>10072.379999999999</v>
      </c>
      <c r="G2466" s="3">
        <f>MONTH(Tabela1[[#This Row],[Último pagto ano]])</f>
        <v>6</v>
      </c>
      <c r="H2466" t="str">
        <f>TEXT(Tabela1[[#This Row],[Coluna2]]*29,"mmmm")</f>
        <v>junho</v>
      </c>
      <c r="I2466" t="str">
        <f>TEXT(MONTH(Tabela1[[#This Row],[Último pagto ano]])*29,"mmmm")</f>
        <v>junho</v>
      </c>
    </row>
    <row r="2467" spans="1:9" x14ac:dyDescent="0.25">
      <c r="A2467">
        <v>2025</v>
      </c>
      <c r="B2467" t="s">
        <v>4908</v>
      </c>
      <c r="C2467" s="1">
        <v>45978</v>
      </c>
      <c r="D2467" t="s">
        <v>4909</v>
      </c>
      <c r="E2467">
        <v>86.8</v>
      </c>
      <c r="G2467" s="3">
        <f>MONTH(Tabela1[[#This Row],[Último pagto ano]])</f>
        <v>11</v>
      </c>
      <c r="H2467" t="str">
        <f>TEXT(Tabela1[[#This Row],[Coluna2]]*29,"mmmm")</f>
        <v>novembro</v>
      </c>
      <c r="I2467" t="str">
        <f>TEXT(MONTH(Tabela1[[#This Row],[Último pagto ano]])*29,"mmmm")</f>
        <v>novembro</v>
      </c>
    </row>
    <row r="2468" spans="1:9" x14ac:dyDescent="0.25">
      <c r="A2468">
        <v>2025</v>
      </c>
      <c r="B2468" t="s">
        <v>4910</v>
      </c>
      <c r="C2468" s="1">
        <v>45950</v>
      </c>
      <c r="D2468" t="s">
        <v>4911</v>
      </c>
      <c r="E2468">
        <v>11</v>
      </c>
      <c r="G2468" s="3">
        <f>MONTH(Tabela1[[#This Row],[Último pagto ano]])</f>
        <v>10</v>
      </c>
      <c r="H2468" t="str">
        <f>TEXT(Tabela1[[#This Row],[Coluna2]]*29,"mmmm")</f>
        <v>outubro</v>
      </c>
      <c r="I2468" t="str">
        <f>TEXT(MONTH(Tabela1[[#This Row],[Último pagto ano]])*29,"mmmm")</f>
        <v>outubro</v>
      </c>
    </row>
    <row r="2469" spans="1:9" x14ac:dyDescent="0.25">
      <c r="A2469">
        <v>2025</v>
      </c>
      <c r="B2469" t="s">
        <v>4912</v>
      </c>
      <c r="C2469" s="1">
        <v>45964</v>
      </c>
      <c r="D2469" t="s">
        <v>4913</v>
      </c>
      <c r="E2469">
        <v>66</v>
      </c>
      <c r="G2469" s="3">
        <f>MONTH(Tabela1[[#This Row],[Último pagto ano]])</f>
        <v>11</v>
      </c>
      <c r="H2469" t="str">
        <f>TEXT(Tabela1[[#This Row],[Coluna2]]*29,"mmmm")</f>
        <v>novembro</v>
      </c>
      <c r="I2469" t="str">
        <f>TEXT(MONTH(Tabela1[[#This Row],[Último pagto ano]])*29,"mmmm")</f>
        <v>novembro</v>
      </c>
    </row>
    <row r="2470" spans="1:9" x14ac:dyDescent="0.25">
      <c r="A2470">
        <v>2025</v>
      </c>
      <c r="B2470" t="s">
        <v>4914</v>
      </c>
      <c r="C2470" s="1">
        <v>45824</v>
      </c>
      <c r="D2470" t="s">
        <v>4915</v>
      </c>
      <c r="E2470" s="2">
        <v>4200</v>
      </c>
      <c r="G2470" s="3">
        <f>MONTH(Tabela1[[#This Row],[Último pagto ano]])</f>
        <v>6</v>
      </c>
      <c r="H2470" t="str">
        <f>TEXT(Tabela1[[#This Row],[Coluna2]]*29,"mmmm")</f>
        <v>junho</v>
      </c>
      <c r="I2470" t="str">
        <f>TEXT(MONTH(Tabela1[[#This Row],[Último pagto ano]])*29,"mmmm")</f>
        <v>junho</v>
      </c>
    </row>
    <row r="2471" spans="1:9" x14ac:dyDescent="0.25">
      <c r="A2471">
        <v>2025</v>
      </c>
      <c r="B2471" t="s">
        <v>4916</v>
      </c>
      <c r="C2471" s="1">
        <v>45947</v>
      </c>
      <c r="D2471" t="s">
        <v>4917</v>
      </c>
      <c r="E2471">
        <v>3.26</v>
      </c>
      <c r="G2471" s="3">
        <f>MONTH(Tabela1[[#This Row],[Último pagto ano]])</f>
        <v>10</v>
      </c>
      <c r="H2471" t="str">
        <f>TEXT(Tabela1[[#This Row],[Coluna2]]*29,"mmmm")</f>
        <v>outubro</v>
      </c>
      <c r="I2471" t="str">
        <f>TEXT(MONTH(Tabela1[[#This Row],[Último pagto ano]])*29,"mmmm")</f>
        <v>outubro</v>
      </c>
    </row>
    <row r="2472" spans="1:9" x14ac:dyDescent="0.25">
      <c r="A2472">
        <v>2025</v>
      </c>
      <c r="B2472" t="s">
        <v>4918</v>
      </c>
      <c r="C2472" s="1">
        <v>45792</v>
      </c>
      <c r="D2472" t="s">
        <v>4919</v>
      </c>
      <c r="E2472">
        <v>348</v>
      </c>
      <c r="G2472" s="3">
        <f>MONTH(Tabela1[[#This Row],[Último pagto ano]])</f>
        <v>5</v>
      </c>
      <c r="H2472" t="str">
        <f>TEXT(Tabela1[[#This Row],[Coluna2]]*29,"mmmm")</f>
        <v>maio</v>
      </c>
      <c r="I2472" t="str">
        <f>TEXT(MONTH(Tabela1[[#This Row],[Último pagto ano]])*29,"mmmm")</f>
        <v>maio</v>
      </c>
    </row>
    <row r="2473" spans="1:9" x14ac:dyDescent="0.25">
      <c r="A2473">
        <v>2025</v>
      </c>
      <c r="B2473" t="s">
        <v>4920</v>
      </c>
      <c r="C2473" s="1">
        <v>46010</v>
      </c>
      <c r="D2473" t="s">
        <v>4921</v>
      </c>
      <c r="E2473" s="2">
        <v>24000</v>
      </c>
      <c r="G2473" s="3">
        <f>MONTH(Tabela1[[#This Row],[Último pagto ano]])</f>
        <v>12</v>
      </c>
      <c r="H2473" t="str">
        <f>TEXT(Tabela1[[#This Row],[Coluna2]]*29,"mmmm")</f>
        <v>dezembro</v>
      </c>
      <c r="I2473" t="str">
        <f>TEXT(MONTH(Tabela1[[#This Row],[Último pagto ano]])*29,"mmmm")</f>
        <v>dezembro</v>
      </c>
    </row>
    <row r="2474" spans="1:9" x14ac:dyDescent="0.25">
      <c r="A2474">
        <v>2025</v>
      </c>
      <c r="B2474" t="s">
        <v>4922</v>
      </c>
      <c r="C2474" s="1">
        <v>45784</v>
      </c>
      <c r="D2474" t="s">
        <v>4923</v>
      </c>
      <c r="E2474" s="2">
        <v>3559.86</v>
      </c>
      <c r="G2474" s="3">
        <f>MONTH(Tabela1[[#This Row],[Último pagto ano]])</f>
        <v>5</v>
      </c>
      <c r="H2474" t="str">
        <f>TEXT(Tabela1[[#This Row],[Coluna2]]*29,"mmmm")</f>
        <v>maio</v>
      </c>
      <c r="I2474" t="str">
        <f>TEXT(MONTH(Tabela1[[#This Row],[Último pagto ano]])*29,"mmmm")</f>
        <v>maio</v>
      </c>
    </row>
    <row r="2475" spans="1:9" x14ac:dyDescent="0.25">
      <c r="A2475">
        <v>2025</v>
      </c>
      <c r="B2475" t="s">
        <v>4924</v>
      </c>
      <c r="C2475" s="1">
        <v>45985</v>
      </c>
      <c r="D2475" t="s">
        <v>4925</v>
      </c>
      <c r="E2475" s="2">
        <v>13698.55</v>
      </c>
      <c r="G2475" s="3">
        <f>MONTH(Tabela1[[#This Row],[Último pagto ano]])</f>
        <v>11</v>
      </c>
      <c r="H2475" t="str">
        <f>TEXT(Tabela1[[#This Row],[Coluna2]]*29,"mmmm")</f>
        <v>novembro</v>
      </c>
      <c r="I2475" t="str">
        <f>TEXT(MONTH(Tabela1[[#This Row],[Último pagto ano]])*29,"mmmm")</f>
        <v>novembro</v>
      </c>
    </row>
    <row r="2476" spans="1:9" x14ac:dyDescent="0.25">
      <c r="A2476">
        <v>2025</v>
      </c>
      <c r="B2476" t="s">
        <v>4926</v>
      </c>
      <c r="C2476" s="1">
        <v>45824</v>
      </c>
      <c r="D2476" t="s">
        <v>4927</v>
      </c>
      <c r="E2476" s="2">
        <v>5320.07</v>
      </c>
      <c r="G2476" s="3">
        <f>MONTH(Tabela1[[#This Row],[Último pagto ano]])</f>
        <v>6</v>
      </c>
      <c r="H2476" t="str">
        <f>TEXT(Tabela1[[#This Row],[Coluna2]]*29,"mmmm")</f>
        <v>junho</v>
      </c>
      <c r="I2476" t="str">
        <f>TEXT(MONTH(Tabela1[[#This Row],[Último pagto ano]])*29,"mmmm")</f>
        <v>junho</v>
      </c>
    </row>
    <row r="2477" spans="1:9" x14ac:dyDescent="0.25">
      <c r="A2477">
        <v>2025</v>
      </c>
      <c r="B2477" t="s">
        <v>4928</v>
      </c>
      <c r="C2477" s="1">
        <v>45954</v>
      </c>
      <c r="D2477" t="s">
        <v>4929</v>
      </c>
      <c r="E2477" s="2">
        <v>8193.7900000000009</v>
      </c>
      <c r="G2477" s="3">
        <f>MONTH(Tabela1[[#This Row],[Último pagto ano]])</f>
        <v>10</v>
      </c>
      <c r="H2477" t="str">
        <f>TEXT(Tabela1[[#This Row],[Coluna2]]*29,"mmmm")</f>
        <v>outubro</v>
      </c>
      <c r="I2477" t="str">
        <f>TEXT(MONTH(Tabela1[[#This Row],[Último pagto ano]])*29,"mmmm")</f>
        <v>outubro</v>
      </c>
    </row>
    <row r="2478" spans="1:9" x14ac:dyDescent="0.25">
      <c r="A2478">
        <v>2025</v>
      </c>
      <c r="B2478" t="s">
        <v>4930</v>
      </c>
      <c r="C2478" s="1">
        <v>45751</v>
      </c>
      <c r="D2478" t="s">
        <v>4931</v>
      </c>
      <c r="E2478" s="2">
        <v>1866</v>
      </c>
      <c r="G2478" s="3">
        <f>MONTH(Tabela1[[#This Row],[Último pagto ano]])</f>
        <v>4</v>
      </c>
      <c r="H2478" t="str">
        <f>TEXT(Tabela1[[#This Row],[Coluna2]]*29,"mmmm")</f>
        <v>abril</v>
      </c>
      <c r="I2478" t="str">
        <f>TEXT(MONTH(Tabela1[[#This Row],[Último pagto ano]])*29,"mmmm")</f>
        <v>abril</v>
      </c>
    </row>
    <row r="2479" spans="1:9" x14ac:dyDescent="0.25">
      <c r="A2479">
        <v>2025</v>
      </c>
      <c r="B2479" t="s">
        <v>4932</v>
      </c>
      <c r="C2479" s="1">
        <v>46014</v>
      </c>
      <c r="D2479" t="s">
        <v>4933</v>
      </c>
      <c r="E2479" s="2">
        <v>8499.9599999999991</v>
      </c>
      <c r="G2479" s="3">
        <f>MONTH(Tabela1[[#This Row],[Último pagto ano]])</f>
        <v>12</v>
      </c>
      <c r="H2479" t="str">
        <f>TEXT(Tabela1[[#This Row],[Coluna2]]*29,"mmmm")</f>
        <v>dezembro</v>
      </c>
      <c r="I2479" t="str">
        <f>TEXT(MONTH(Tabela1[[#This Row],[Último pagto ano]])*29,"mmmm")</f>
        <v>dezembro</v>
      </c>
    </row>
    <row r="2480" spans="1:9" x14ac:dyDescent="0.25">
      <c r="A2480">
        <v>2025</v>
      </c>
      <c r="B2480" t="s">
        <v>4934</v>
      </c>
      <c r="C2480" s="1">
        <v>45702</v>
      </c>
      <c r="D2480" t="s">
        <v>4935</v>
      </c>
      <c r="E2480">
        <v>116.24</v>
      </c>
      <c r="G2480" s="3">
        <f>MONTH(Tabela1[[#This Row],[Último pagto ano]])</f>
        <v>2</v>
      </c>
      <c r="H2480" t="str">
        <f>TEXT(Tabela1[[#This Row],[Coluna2]]*29,"mmmm")</f>
        <v>fevereiro</v>
      </c>
      <c r="I2480" t="str">
        <f>TEXT(MONTH(Tabela1[[#This Row],[Último pagto ano]])*29,"mmmm")</f>
        <v>fevereiro</v>
      </c>
    </row>
    <row r="2481" spans="1:9" x14ac:dyDescent="0.25">
      <c r="A2481">
        <v>2025</v>
      </c>
      <c r="B2481" t="s">
        <v>4936</v>
      </c>
      <c r="C2481" s="1">
        <v>45702</v>
      </c>
      <c r="D2481" t="s">
        <v>4937</v>
      </c>
      <c r="E2481" s="2">
        <v>1213.6600000000001</v>
      </c>
      <c r="G2481" s="3">
        <f>MONTH(Tabela1[[#This Row],[Último pagto ano]])</f>
        <v>2</v>
      </c>
      <c r="H2481" t="str">
        <f>TEXT(Tabela1[[#This Row],[Coluna2]]*29,"mmmm")</f>
        <v>fevereiro</v>
      </c>
      <c r="I2481" t="str">
        <f>TEXT(MONTH(Tabela1[[#This Row],[Último pagto ano]])*29,"mmmm")</f>
        <v>fevereiro</v>
      </c>
    </row>
    <row r="2482" spans="1:9" x14ac:dyDescent="0.25">
      <c r="A2482">
        <v>2025</v>
      </c>
      <c r="B2482" t="s">
        <v>4938</v>
      </c>
      <c r="C2482" s="1">
        <v>45968</v>
      </c>
      <c r="D2482" t="s">
        <v>4939</v>
      </c>
      <c r="E2482" s="2">
        <v>3200</v>
      </c>
      <c r="G2482" s="3">
        <f>MONTH(Tabela1[[#This Row],[Último pagto ano]])</f>
        <v>11</v>
      </c>
      <c r="H2482" t="str">
        <f>TEXT(Tabela1[[#This Row],[Coluna2]]*29,"mmmm")</f>
        <v>novembro</v>
      </c>
      <c r="I2482" t="str">
        <f>TEXT(MONTH(Tabela1[[#This Row],[Último pagto ano]])*29,"mmmm")</f>
        <v>novembro</v>
      </c>
    </row>
    <row r="2483" spans="1:9" x14ac:dyDescent="0.25">
      <c r="A2483">
        <v>2025</v>
      </c>
      <c r="B2483" t="s">
        <v>4940</v>
      </c>
      <c r="C2483" s="1">
        <v>45975</v>
      </c>
      <c r="D2483" t="s">
        <v>4941</v>
      </c>
      <c r="E2483" s="2">
        <v>8513.68</v>
      </c>
      <c r="G2483" s="3">
        <f>MONTH(Tabela1[[#This Row],[Último pagto ano]])</f>
        <v>11</v>
      </c>
      <c r="H2483" t="str">
        <f>TEXT(Tabela1[[#This Row],[Coluna2]]*29,"mmmm")</f>
        <v>novembro</v>
      </c>
      <c r="I2483" t="str">
        <f>TEXT(MONTH(Tabela1[[#This Row],[Último pagto ano]])*29,"mmmm")</f>
        <v>novembro</v>
      </c>
    </row>
    <row r="2484" spans="1:9" x14ac:dyDescent="0.25">
      <c r="A2484">
        <v>2025</v>
      </c>
      <c r="B2484" t="s">
        <v>4942</v>
      </c>
      <c r="C2484" s="1">
        <v>45694</v>
      </c>
      <c r="D2484" t="s">
        <v>4943</v>
      </c>
      <c r="E2484" s="2">
        <v>1777.5</v>
      </c>
      <c r="G2484" s="3">
        <f>MONTH(Tabela1[[#This Row],[Último pagto ano]])</f>
        <v>2</v>
      </c>
      <c r="H2484" t="str">
        <f>TEXT(Tabela1[[#This Row],[Coluna2]]*29,"mmmm")</f>
        <v>fevereiro</v>
      </c>
      <c r="I2484" t="str">
        <f>TEXT(MONTH(Tabela1[[#This Row],[Último pagto ano]])*29,"mmmm")</f>
        <v>fevereiro</v>
      </c>
    </row>
    <row r="2485" spans="1:9" x14ac:dyDescent="0.25">
      <c r="A2485">
        <v>2025</v>
      </c>
      <c r="B2485" t="s">
        <v>4944</v>
      </c>
      <c r="C2485" s="1">
        <v>46013</v>
      </c>
      <c r="D2485" t="s">
        <v>4945</v>
      </c>
      <c r="E2485" s="2">
        <v>1120</v>
      </c>
      <c r="G2485" s="3">
        <f>MONTH(Tabela1[[#This Row],[Último pagto ano]])</f>
        <v>12</v>
      </c>
      <c r="H2485" t="str">
        <f>TEXT(Tabela1[[#This Row],[Coluna2]]*29,"mmmm")</f>
        <v>dezembro</v>
      </c>
      <c r="I2485" t="str">
        <f>TEXT(MONTH(Tabela1[[#This Row],[Último pagto ano]])*29,"mmmm")</f>
        <v>dezembro</v>
      </c>
    </row>
    <row r="2486" spans="1:9" x14ac:dyDescent="0.25">
      <c r="A2486">
        <v>2025</v>
      </c>
      <c r="B2486" t="s">
        <v>4946</v>
      </c>
      <c r="C2486" s="1">
        <v>46021</v>
      </c>
      <c r="D2486" t="s">
        <v>4947</v>
      </c>
      <c r="E2486" s="2">
        <v>10471.299999999999</v>
      </c>
      <c r="G2486" s="3">
        <f>MONTH(Tabela1[[#This Row],[Último pagto ano]])</f>
        <v>12</v>
      </c>
      <c r="H2486" t="str">
        <f>TEXT(Tabela1[[#This Row],[Coluna2]]*29,"mmmm")</f>
        <v>dezembro</v>
      </c>
      <c r="I2486" t="str">
        <f>TEXT(MONTH(Tabela1[[#This Row],[Último pagto ano]])*29,"mmmm")</f>
        <v>dezembro</v>
      </c>
    </row>
    <row r="2487" spans="1:9" x14ac:dyDescent="0.25">
      <c r="A2487">
        <v>2025</v>
      </c>
      <c r="B2487" t="s">
        <v>4948</v>
      </c>
      <c r="C2487" s="1">
        <v>46007</v>
      </c>
      <c r="D2487" t="s">
        <v>4949</v>
      </c>
      <c r="E2487" s="2">
        <v>80074.740000000005</v>
      </c>
      <c r="G2487" s="3">
        <f>MONTH(Tabela1[[#This Row],[Último pagto ano]])</f>
        <v>12</v>
      </c>
      <c r="H2487" t="str">
        <f>TEXT(Tabela1[[#This Row],[Coluna2]]*29,"mmmm")</f>
        <v>dezembro</v>
      </c>
      <c r="I2487" t="str">
        <f>TEXT(MONTH(Tabela1[[#This Row],[Último pagto ano]])*29,"mmmm")</f>
        <v>dezembro</v>
      </c>
    </row>
    <row r="2488" spans="1:9" x14ac:dyDescent="0.25">
      <c r="A2488">
        <v>2025</v>
      </c>
      <c r="B2488" t="s">
        <v>4950</v>
      </c>
      <c r="C2488" s="1">
        <v>45971</v>
      </c>
      <c r="D2488" t="s">
        <v>4951</v>
      </c>
      <c r="E2488">
        <v>132</v>
      </c>
      <c r="G2488" s="3">
        <f>MONTH(Tabela1[[#This Row],[Último pagto ano]])</f>
        <v>11</v>
      </c>
      <c r="H2488" t="str">
        <f>TEXT(Tabela1[[#This Row],[Coluna2]]*29,"mmmm")</f>
        <v>novembro</v>
      </c>
      <c r="I2488" t="str">
        <f>TEXT(MONTH(Tabela1[[#This Row],[Último pagto ano]])*29,"mmmm")</f>
        <v>novembro</v>
      </c>
    </row>
    <row r="2489" spans="1:9" x14ac:dyDescent="0.25">
      <c r="A2489">
        <v>2025</v>
      </c>
      <c r="B2489" t="s">
        <v>4952</v>
      </c>
      <c r="C2489" s="1">
        <v>45783</v>
      </c>
      <c r="D2489" t="s">
        <v>4953</v>
      </c>
      <c r="E2489" s="2">
        <v>1400.09</v>
      </c>
      <c r="G2489" s="3">
        <f>MONTH(Tabela1[[#This Row],[Último pagto ano]])</f>
        <v>5</v>
      </c>
      <c r="H2489" t="str">
        <f>TEXT(Tabela1[[#This Row],[Coluna2]]*29,"mmmm")</f>
        <v>maio</v>
      </c>
      <c r="I2489" t="str">
        <f>TEXT(MONTH(Tabela1[[#This Row],[Último pagto ano]])*29,"mmmm")</f>
        <v>maio</v>
      </c>
    </row>
    <row r="2490" spans="1:9" x14ac:dyDescent="0.25">
      <c r="A2490">
        <v>2025</v>
      </c>
      <c r="B2490" t="s">
        <v>4954</v>
      </c>
      <c r="C2490" s="1">
        <v>46014</v>
      </c>
      <c r="D2490" t="s">
        <v>4955</v>
      </c>
      <c r="E2490">
        <v>87.4</v>
      </c>
      <c r="G2490" s="3">
        <f>MONTH(Tabela1[[#This Row],[Último pagto ano]])</f>
        <v>12</v>
      </c>
      <c r="H2490" t="str">
        <f>TEXT(Tabela1[[#This Row],[Coluna2]]*29,"mmmm")</f>
        <v>dezembro</v>
      </c>
      <c r="I2490" t="str">
        <f>TEXT(MONTH(Tabela1[[#This Row],[Último pagto ano]])*29,"mmmm")</f>
        <v>dezembro</v>
      </c>
    </row>
    <row r="2491" spans="1:9" x14ac:dyDescent="0.25">
      <c r="A2491">
        <v>2025</v>
      </c>
      <c r="B2491" t="s">
        <v>4956</v>
      </c>
      <c r="C2491" s="1">
        <v>45999</v>
      </c>
      <c r="D2491" t="s">
        <v>4957</v>
      </c>
      <c r="E2491">
        <v>396</v>
      </c>
      <c r="G2491" s="3">
        <f>MONTH(Tabela1[[#This Row],[Último pagto ano]])</f>
        <v>12</v>
      </c>
      <c r="H2491" t="str">
        <f>TEXT(Tabela1[[#This Row],[Coluna2]]*29,"mmmm")</f>
        <v>dezembro</v>
      </c>
      <c r="I2491" t="str">
        <f>TEXT(MONTH(Tabela1[[#This Row],[Último pagto ano]])*29,"mmmm")</f>
        <v>dezembro</v>
      </c>
    </row>
    <row r="2492" spans="1:9" x14ac:dyDescent="0.25">
      <c r="A2492">
        <v>2025</v>
      </c>
      <c r="B2492" t="s">
        <v>4958</v>
      </c>
      <c r="C2492" s="1">
        <v>45996</v>
      </c>
      <c r="D2492" t="s">
        <v>4959</v>
      </c>
      <c r="E2492" s="2">
        <v>64800</v>
      </c>
      <c r="G2492" s="3">
        <f>MONTH(Tabela1[[#This Row],[Último pagto ano]])</f>
        <v>12</v>
      </c>
      <c r="H2492" t="str">
        <f>TEXT(Tabela1[[#This Row],[Coluna2]]*29,"mmmm")</f>
        <v>dezembro</v>
      </c>
      <c r="I2492" t="str">
        <f>TEXT(MONTH(Tabela1[[#This Row],[Último pagto ano]])*29,"mmmm")</f>
        <v>dezembro</v>
      </c>
    </row>
    <row r="2493" spans="1:9" x14ac:dyDescent="0.25">
      <c r="A2493">
        <v>2025</v>
      </c>
      <c r="B2493" t="s">
        <v>4960</v>
      </c>
      <c r="C2493" s="1">
        <v>45817</v>
      </c>
      <c r="D2493" t="s">
        <v>4961</v>
      </c>
      <c r="E2493" s="2">
        <v>2108.5</v>
      </c>
      <c r="G2493" s="3">
        <f>MONTH(Tabela1[[#This Row],[Último pagto ano]])</f>
        <v>6</v>
      </c>
      <c r="H2493" t="str">
        <f>TEXT(Tabela1[[#This Row],[Coluna2]]*29,"mmmm")</f>
        <v>junho</v>
      </c>
      <c r="I2493" t="str">
        <f>TEXT(MONTH(Tabela1[[#This Row],[Último pagto ano]])*29,"mmmm")</f>
        <v>junho</v>
      </c>
    </row>
    <row r="2494" spans="1:9" x14ac:dyDescent="0.25">
      <c r="A2494">
        <v>2025</v>
      </c>
      <c r="B2494" t="s">
        <v>4962</v>
      </c>
      <c r="C2494" s="1">
        <v>45922</v>
      </c>
      <c r="D2494" t="s">
        <v>4963</v>
      </c>
      <c r="E2494" s="2">
        <v>4123.92</v>
      </c>
      <c r="G2494" s="3">
        <f>MONTH(Tabela1[[#This Row],[Último pagto ano]])</f>
        <v>9</v>
      </c>
      <c r="H2494" t="str">
        <f>TEXT(Tabela1[[#This Row],[Coluna2]]*29,"mmmm")</f>
        <v>setembro</v>
      </c>
      <c r="I2494" t="str">
        <f>TEXT(MONTH(Tabela1[[#This Row],[Último pagto ano]])*29,"mmmm")</f>
        <v>setembro</v>
      </c>
    </row>
    <row r="2495" spans="1:9" x14ac:dyDescent="0.25">
      <c r="A2495">
        <v>2025</v>
      </c>
      <c r="B2495" t="s">
        <v>4964</v>
      </c>
      <c r="C2495" s="1">
        <v>45712</v>
      </c>
      <c r="D2495" t="s">
        <v>4965</v>
      </c>
      <c r="E2495" s="2">
        <v>1400</v>
      </c>
      <c r="G2495" s="3">
        <f>MONTH(Tabela1[[#This Row],[Último pagto ano]])</f>
        <v>2</v>
      </c>
      <c r="H2495" t="str">
        <f>TEXT(Tabela1[[#This Row],[Coluna2]]*29,"mmmm")</f>
        <v>fevereiro</v>
      </c>
      <c r="I2495" t="str">
        <f>TEXT(MONTH(Tabela1[[#This Row],[Último pagto ano]])*29,"mmmm")</f>
        <v>fevereiro</v>
      </c>
    </row>
    <row r="2496" spans="1:9" x14ac:dyDescent="0.25">
      <c r="A2496">
        <v>2025</v>
      </c>
      <c r="B2496" t="s">
        <v>4966</v>
      </c>
      <c r="C2496" s="1">
        <v>45985</v>
      </c>
      <c r="D2496" t="s">
        <v>4967</v>
      </c>
      <c r="E2496" s="2">
        <v>2100</v>
      </c>
      <c r="G2496" s="3">
        <f>MONTH(Tabela1[[#This Row],[Último pagto ano]])</f>
        <v>11</v>
      </c>
      <c r="H2496" t="str">
        <f>TEXT(Tabela1[[#This Row],[Coluna2]]*29,"mmmm")</f>
        <v>novembro</v>
      </c>
      <c r="I2496" t="str">
        <f>TEXT(MONTH(Tabela1[[#This Row],[Último pagto ano]])*29,"mmmm")</f>
        <v>novembro</v>
      </c>
    </row>
    <row r="2497" spans="1:9" x14ac:dyDescent="0.25">
      <c r="A2497">
        <v>2025</v>
      </c>
      <c r="B2497" t="s">
        <v>4968</v>
      </c>
      <c r="C2497" s="1">
        <v>45945</v>
      </c>
      <c r="D2497" t="s">
        <v>4969</v>
      </c>
      <c r="E2497">
        <v>154</v>
      </c>
      <c r="G2497" s="3">
        <f>MONTH(Tabela1[[#This Row],[Último pagto ano]])</f>
        <v>10</v>
      </c>
      <c r="H2497" t="str">
        <f>TEXT(Tabela1[[#This Row],[Coluna2]]*29,"mmmm")</f>
        <v>outubro</v>
      </c>
      <c r="I2497" t="str">
        <f>TEXT(MONTH(Tabela1[[#This Row],[Último pagto ano]])*29,"mmmm")</f>
        <v>outubro</v>
      </c>
    </row>
    <row r="2498" spans="1:9" x14ac:dyDescent="0.25">
      <c r="A2498">
        <v>2025</v>
      </c>
      <c r="B2498" t="s">
        <v>4970</v>
      </c>
      <c r="C2498" s="1">
        <v>46010</v>
      </c>
      <c r="D2498" t="s">
        <v>4971</v>
      </c>
      <c r="E2498" s="2">
        <v>12000</v>
      </c>
      <c r="G2498" s="3">
        <f>MONTH(Tabela1[[#This Row],[Último pagto ano]])</f>
        <v>12</v>
      </c>
      <c r="H2498" t="str">
        <f>TEXT(Tabela1[[#This Row],[Coluna2]]*29,"mmmm")</f>
        <v>dezembro</v>
      </c>
      <c r="I2498" t="str">
        <f>TEXT(MONTH(Tabela1[[#This Row],[Último pagto ano]])*29,"mmmm")</f>
        <v>dezembro</v>
      </c>
    </row>
    <row r="2499" spans="1:9" x14ac:dyDescent="0.25">
      <c r="A2499">
        <v>2025</v>
      </c>
      <c r="B2499" t="s">
        <v>4972</v>
      </c>
      <c r="C2499" s="1">
        <v>45880</v>
      </c>
      <c r="D2499" t="s">
        <v>4973</v>
      </c>
      <c r="E2499">
        <v>77</v>
      </c>
      <c r="G2499" s="3">
        <f>MONTH(Tabela1[[#This Row],[Último pagto ano]])</f>
        <v>8</v>
      </c>
      <c r="H2499" t="str">
        <f>TEXT(Tabela1[[#This Row],[Coluna2]]*29,"mmmm")</f>
        <v>agosto</v>
      </c>
      <c r="I2499" t="str">
        <f>TEXT(MONTH(Tabela1[[#This Row],[Último pagto ano]])*29,"mmmm")</f>
        <v>agosto</v>
      </c>
    </row>
    <row r="2500" spans="1:9" x14ac:dyDescent="0.25">
      <c r="A2500">
        <v>2025</v>
      </c>
      <c r="B2500" t="s">
        <v>4974</v>
      </c>
      <c r="C2500" s="1">
        <v>46006</v>
      </c>
      <c r="D2500" t="s">
        <v>4975</v>
      </c>
      <c r="E2500" s="2">
        <v>6300</v>
      </c>
      <c r="G2500" s="3">
        <f>MONTH(Tabela1[[#This Row],[Último pagto ano]])</f>
        <v>12</v>
      </c>
      <c r="H2500" t="str">
        <f>TEXT(Tabela1[[#This Row],[Coluna2]]*29,"mmmm")</f>
        <v>dezembro</v>
      </c>
      <c r="I2500" t="str">
        <f>TEXT(MONTH(Tabela1[[#This Row],[Último pagto ano]])*29,"mmmm")</f>
        <v>dezembro</v>
      </c>
    </row>
    <row r="2501" spans="1:9" x14ac:dyDescent="0.25">
      <c r="A2501">
        <v>2025</v>
      </c>
      <c r="B2501" t="s">
        <v>4976</v>
      </c>
      <c r="C2501" s="1">
        <v>45841</v>
      </c>
      <c r="D2501" t="s">
        <v>4977</v>
      </c>
      <c r="E2501" s="2">
        <v>5626.22</v>
      </c>
      <c r="G2501" s="3">
        <f>MONTH(Tabela1[[#This Row],[Último pagto ano]])</f>
        <v>7</v>
      </c>
      <c r="H2501" t="str">
        <f>TEXT(Tabela1[[#This Row],[Coluna2]]*29,"mmmm")</f>
        <v>julho</v>
      </c>
      <c r="I2501" t="str">
        <f>TEXT(MONTH(Tabela1[[#This Row],[Último pagto ano]])*29,"mmmm")</f>
        <v>julho</v>
      </c>
    </row>
    <row r="2502" spans="1:9" x14ac:dyDescent="0.25">
      <c r="A2502">
        <v>2025</v>
      </c>
      <c r="B2502" t="s">
        <v>4978</v>
      </c>
      <c r="C2502" s="1">
        <v>45852</v>
      </c>
      <c r="D2502" t="s">
        <v>4979</v>
      </c>
      <c r="E2502">
        <v>88</v>
      </c>
      <c r="G2502" s="3">
        <f>MONTH(Tabela1[[#This Row],[Último pagto ano]])</f>
        <v>7</v>
      </c>
      <c r="H2502" t="str">
        <f>TEXT(Tabela1[[#This Row],[Coluna2]]*29,"mmmm")</f>
        <v>julho</v>
      </c>
      <c r="I2502" t="str">
        <f>TEXT(MONTH(Tabela1[[#This Row],[Último pagto ano]])*29,"mmmm")</f>
        <v>julho</v>
      </c>
    </row>
    <row r="2503" spans="1:9" x14ac:dyDescent="0.25">
      <c r="A2503">
        <v>2025</v>
      </c>
      <c r="B2503" t="s">
        <v>4980</v>
      </c>
      <c r="C2503" s="1">
        <v>45849</v>
      </c>
      <c r="D2503" t="s">
        <v>4981</v>
      </c>
      <c r="E2503">
        <v>154</v>
      </c>
      <c r="G2503" s="3">
        <f>MONTH(Tabela1[[#This Row],[Último pagto ano]])</f>
        <v>7</v>
      </c>
      <c r="H2503" t="str">
        <f>TEXT(Tabela1[[#This Row],[Coluna2]]*29,"mmmm")</f>
        <v>julho</v>
      </c>
      <c r="I2503" t="str">
        <f>TEXT(MONTH(Tabela1[[#This Row],[Último pagto ano]])*29,"mmmm")</f>
        <v>julho</v>
      </c>
    </row>
    <row r="2504" spans="1:9" x14ac:dyDescent="0.25">
      <c r="A2504">
        <v>2025</v>
      </c>
      <c r="B2504" t="s">
        <v>4982</v>
      </c>
      <c r="C2504" s="1">
        <v>46006</v>
      </c>
      <c r="D2504" t="s">
        <v>4983</v>
      </c>
      <c r="E2504" s="2">
        <v>7000</v>
      </c>
      <c r="G2504" s="3">
        <f>MONTH(Tabela1[[#This Row],[Último pagto ano]])</f>
        <v>12</v>
      </c>
      <c r="H2504" t="str">
        <f>TEXT(Tabela1[[#This Row],[Coluna2]]*29,"mmmm")</f>
        <v>dezembro</v>
      </c>
      <c r="I2504" t="str">
        <f>TEXT(MONTH(Tabela1[[#This Row],[Último pagto ano]])*29,"mmmm")</f>
        <v>dezembro</v>
      </c>
    </row>
    <row r="2505" spans="1:9" x14ac:dyDescent="0.25">
      <c r="A2505">
        <v>2025</v>
      </c>
      <c r="B2505" t="s">
        <v>4984</v>
      </c>
      <c r="C2505" s="1">
        <v>45740</v>
      </c>
      <c r="D2505" t="s">
        <v>4985</v>
      </c>
      <c r="E2505" s="2">
        <v>2100</v>
      </c>
      <c r="G2505" s="3">
        <f>MONTH(Tabela1[[#This Row],[Último pagto ano]])</f>
        <v>3</v>
      </c>
      <c r="H2505" t="str">
        <f>TEXT(Tabela1[[#This Row],[Coluna2]]*29,"mmmm")</f>
        <v>março</v>
      </c>
      <c r="I2505" t="str">
        <f>TEXT(MONTH(Tabela1[[#This Row],[Último pagto ano]])*29,"mmmm")</f>
        <v>março</v>
      </c>
    </row>
    <row r="2506" spans="1:9" x14ac:dyDescent="0.25">
      <c r="A2506">
        <v>2025</v>
      </c>
      <c r="B2506" t="s">
        <v>4986</v>
      </c>
      <c r="C2506" s="1">
        <v>45810</v>
      </c>
      <c r="D2506" t="s">
        <v>4987</v>
      </c>
      <c r="E2506">
        <v>11</v>
      </c>
      <c r="G2506" s="3">
        <f>MONTH(Tabela1[[#This Row],[Último pagto ano]])</f>
        <v>6</v>
      </c>
      <c r="H2506" t="str">
        <f>TEXT(Tabela1[[#This Row],[Coluna2]]*29,"mmmm")</f>
        <v>junho</v>
      </c>
      <c r="I2506" t="str">
        <f>TEXT(MONTH(Tabela1[[#This Row],[Último pagto ano]])*29,"mmmm")</f>
        <v>junho</v>
      </c>
    </row>
    <row r="2507" spans="1:9" x14ac:dyDescent="0.25">
      <c r="A2507">
        <v>2025</v>
      </c>
      <c r="B2507" t="s">
        <v>4988</v>
      </c>
      <c r="C2507" s="1">
        <v>45985</v>
      </c>
      <c r="D2507" t="s">
        <v>4989</v>
      </c>
      <c r="E2507">
        <v>165</v>
      </c>
      <c r="G2507" s="3">
        <f>MONTH(Tabela1[[#This Row],[Último pagto ano]])</f>
        <v>11</v>
      </c>
      <c r="H2507" t="str">
        <f>TEXT(Tabela1[[#This Row],[Coluna2]]*29,"mmmm")</f>
        <v>novembro</v>
      </c>
      <c r="I2507" t="str">
        <f>TEXT(MONTH(Tabela1[[#This Row],[Último pagto ano]])*29,"mmmm")</f>
        <v>novembro</v>
      </c>
    </row>
    <row r="2508" spans="1:9" x14ac:dyDescent="0.25">
      <c r="A2508">
        <v>2025</v>
      </c>
      <c r="B2508" t="s">
        <v>4990</v>
      </c>
      <c r="C2508" s="1">
        <v>45950</v>
      </c>
      <c r="D2508" t="s">
        <v>4991</v>
      </c>
      <c r="E2508">
        <v>119.8</v>
      </c>
      <c r="G2508" s="3">
        <f>MONTH(Tabela1[[#This Row],[Último pagto ano]])</f>
        <v>10</v>
      </c>
      <c r="H2508" t="str">
        <f>TEXT(Tabela1[[#This Row],[Coluna2]]*29,"mmmm")</f>
        <v>outubro</v>
      </c>
      <c r="I2508" t="str">
        <f>TEXT(MONTH(Tabela1[[#This Row],[Último pagto ano]])*29,"mmmm")</f>
        <v>outubro</v>
      </c>
    </row>
    <row r="2509" spans="1:9" x14ac:dyDescent="0.25">
      <c r="A2509">
        <v>2025</v>
      </c>
      <c r="B2509" t="s">
        <v>4992</v>
      </c>
      <c r="C2509" s="1">
        <v>45884</v>
      </c>
      <c r="D2509" t="s">
        <v>4993</v>
      </c>
      <c r="E2509" s="2">
        <v>5618.91</v>
      </c>
      <c r="G2509" s="3">
        <f>MONTH(Tabela1[[#This Row],[Último pagto ano]])</f>
        <v>8</v>
      </c>
      <c r="H2509" t="str">
        <f>TEXT(Tabela1[[#This Row],[Coluna2]]*29,"mmmm")</f>
        <v>agosto</v>
      </c>
      <c r="I2509" t="str">
        <f>TEXT(MONTH(Tabela1[[#This Row],[Último pagto ano]])*29,"mmmm")</f>
        <v>agosto</v>
      </c>
    </row>
    <row r="2510" spans="1:9" x14ac:dyDescent="0.25">
      <c r="A2510">
        <v>2025</v>
      </c>
      <c r="B2510" t="s">
        <v>4994</v>
      </c>
      <c r="C2510" s="1">
        <v>45838</v>
      </c>
      <c r="D2510" t="s">
        <v>4995</v>
      </c>
      <c r="E2510" s="2">
        <v>4098.6899999999996</v>
      </c>
      <c r="G2510" s="3">
        <f>MONTH(Tabela1[[#This Row],[Último pagto ano]])</f>
        <v>6</v>
      </c>
      <c r="H2510" t="str">
        <f>TEXT(Tabela1[[#This Row],[Coluna2]]*29,"mmmm")</f>
        <v>junho</v>
      </c>
      <c r="I2510" t="str">
        <f>TEXT(MONTH(Tabela1[[#This Row],[Último pagto ano]])*29,"mmmm")</f>
        <v>junho</v>
      </c>
    </row>
    <row r="2511" spans="1:9" x14ac:dyDescent="0.25">
      <c r="A2511">
        <v>2025</v>
      </c>
      <c r="B2511" t="s">
        <v>4996</v>
      </c>
      <c r="C2511" s="1">
        <v>45702</v>
      </c>
      <c r="D2511" t="s">
        <v>4997</v>
      </c>
      <c r="E2511">
        <v>149.36000000000001</v>
      </c>
      <c r="G2511" s="3">
        <f>MONTH(Tabela1[[#This Row],[Último pagto ano]])</f>
        <v>2</v>
      </c>
      <c r="H2511" t="str">
        <f>TEXT(Tabela1[[#This Row],[Coluna2]]*29,"mmmm")</f>
        <v>fevereiro</v>
      </c>
      <c r="I2511" t="str">
        <f>TEXT(MONTH(Tabela1[[#This Row],[Último pagto ano]])*29,"mmmm")</f>
        <v>fevereiro</v>
      </c>
    </row>
    <row r="2512" spans="1:9" x14ac:dyDescent="0.25">
      <c r="A2512">
        <v>2025</v>
      </c>
      <c r="B2512" t="s">
        <v>4998</v>
      </c>
      <c r="C2512" s="1">
        <v>45769</v>
      </c>
      <c r="D2512" t="s">
        <v>4999</v>
      </c>
      <c r="E2512" s="2">
        <v>2853.3</v>
      </c>
      <c r="G2512" s="3">
        <f>MONTH(Tabela1[[#This Row],[Último pagto ano]])</f>
        <v>4</v>
      </c>
      <c r="H2512" t="str">
        <f>TEXT(Tabela1[[#This Row],[Coluna2]]*29,"mmmm")</f>
        <v>abril</v>
      </c>
      <c r="I2512" t="str">
        <f>TEXT(MONTH(Tabela1[[#This Row],[Último pagto ano]])*29,"mmmm")</f>
        <v>abril</v>
      </c>
    </row>
    <row r="2513" spans="1:9" x14ac:dyDescent="0.25">
      <c r="A2513">
        <v>2025</v>
      </c>
      <c r="B2513" t="s">
        <v>5000</v>
      </c>
      <c r="C2513" s="1">
        <v>45853</v>
      </c>
      <c r="D2513" t="s">
        <v>5001</v>
      </c>
      <c r="E2513" s="2">
        <v>3244.48</v>
      </c>
      <c r="G2513" s="3">
        <f>MONTH(Tabela1[[#This Row],[Último pagto ano]])</f>
        <v>7</v>
      </c>
      <c r="H2513" t="str">
        <f>TEXT(Tabela1[[#This Row],[Coluna2]]*29,"mmmm")</f>
        <v>julho</v>
      </c>
      <c r="I2513" t="str">
        <f>TEXT(MONTH(Tabela1[[#This Row],[Último pagto ano]])*29,"mmmm")</f>
        <v>julho</v>
      </c>
    </row>
    <row r="2514" spans="1:9" x14ac:dyDescent="0.25">
      <c r="A2514">
        <v>2025</v>
      </c>
      <c r="B2514" t="s">
        <v>5002</v>
      </c>
      <c r="C2514" s="1">
        <v>46010</v>
      </c>
      <c r="D2514" t="s">
        <v>5003</v>
      </c>
      <c r="E2514" s="2">
        <v>12000</v>
      </c>
      <c r="G2514" s="3">
        <f>MONTH(Tabela1[[#This Row],[Último pagto ano]])</f>
        <v>12</v>
      </c>
      <c r="H2514" t="str">
        <f>TEXT(Tabela1[[#This Row],[Coluna2]]*29,"mmmm")</f>
        <v>dezembro</v>
      </c>
      <c r="I2514" t="str">
        <f>TEXT(MONTH(Tabela1[[#This Row],[Último pagto ano]])*29,"mmmm")</f>
        <v>dezembro</v>
      </c>
    </row>
    <row r="2515" spans="1:9" x14ac:dyDescent="0.25">
      <c r="A2515">
        <v>2025</v>
      </c>
      <c r="B2515" t="s">
        <v>5004</v>
      </c>
      <c r="C2515" s="1">
        <v>45989</v>
      </c>
      <c r="D2515" t="s">
        <v>5005</v>
      </c>
      <c r="E2515" s="2">
        <v>24354.17</v>
      </c>
      <c r="G2515" s="3">
        <f>MONTH(Tabela1[[#This Row],[Último pagto ano]])</f>
        <v>11</v>
      </c>
      <c r="H2515" t="str">
        <f>TEXT(Tabela1[[#This Row],[Coluna2]]*29,"mmmm")</f>
        <v>novembro</v>
      </c>
      <c r="I2515" t="str">
        <f>TEXT(MONTH(Tabela1[[#This Row],[Último pagto ano]])*29,"mmmm")</f>
        <v>novembro</v>
      </c>
    </row>
    <row r="2516" spans="1:9" x14ac:dyDescent="0.25">
      <c r="A2516">
        <v>2025</v>
      </c>
      <c r="B2516" t="s">
        <v>5006</v>
      </c>
      <c r="C2516" s="1">
        <v>46006</v>
      </c>
      <c r="D2516" t="s">
        <v>5007</v>
      </c>
      <c r="E2516" s="2">
        <v>1400</v>
      </c>
      <c r="G2516" s="3">
        <f>MONTH(Tabela1[[#This Row],[Último pagto ano]])</f>
        <v>12</v>
      </c>
      <c r="H2516" t="str">
        <f>TEXT(Tabela1[[#This Row],[Coluna2]]*29,"mmmm")</f>
        <v>dezembro</v>
      </c>
      <c r="I2516" t="str">
        <f>TEXT(MONTH(Tabela1[[#This Row],[Último pagto ano]])*29,"mmmm")</f>
        <v>dezembro</v>
      </c>
    </row>
    <row r="2517" spans="1:9" x14ac:dyDescent="0.25">
      <c r="A2517">
        <v>2025</v>
      </c>
      <c r="B2517" t="s">
        <v>5008</v>
      </c>
      <c r="C2517" s="1">
        <v>46010</v>
      </c>
      <c r="D2517" t="s">
        <v>5009</v>
      </c>
      <c r="E2517" s="2">
        <v>12000</v>
      </c>
      <c r="G2517" s="3">
        <f>MONTH(Tabela1[[#This Row],[Último pagto ano]])</f>
        <v>12</v>
      </c>
      <c r="H2517" t="str">
        <f>TEXT(Tabela1[[#This Row],[Coluna2]]*29,"mmmm")</f>
        <v>dezembro</v>
      </c>
      <c r="I2517" t="str">
        <f>TEXT(MONTH(Tabela1[[#This Row],[Último pagto ano]])*29,"mmmm")</f>
        <v>dezembro</v>
      </c>
    </row>
    <row r="2518" spans="1:9" x14ac:dyDescent="0.25">
      <c r="A2518">
        <v>2025</v>
      </c>
      <c r="B2518" t="s">
        <v>5010</v>
      </c>
      <c r="C2518" s="1">
        <v>45999</v>
      </c>
      <c r="D2518" t="s">
        <v>5011</v>
      </c>
      <c r="E2518" s="2">
        <v>1309</v>
      </c>
      <c r="G2518" s="3">
        <f>MONTH(Tabela1[[#This Row],[Último pagto ano]])</f>
        <v>12</v>
      </c>
      <c r="H2518" t="str">
        <f>TEXT(Tabela1[[#This Row],[Coluna2]]*29,"mmmm")</f>
        <v>dezembro</v>
      </c>
      <c r="I2518" t="str">
        <f>TEXT(MONTH(Tabela1[[#This Row],[Último pagto ano]])*29,"mmmm")</f>
        <v>dezembro</v>
      </c>
    </row>
    <row r="2519" spans="1:9" x14ac:dyDescent="0.25">
      <c r="A2519">
        <v>2025</v>
      </c>
      <c r="B2519" t="s">
        <v>5012</v>
      </c>
      <c r="C2519" s="1">
        <v>46013</v>
      </c>
      <c r="D2519" t="s">
        <v>5013</v>
      </c>
      <c r="E2519">
        <v>70.2</v>
      </c>
      <c r="G2519" s="3">
        <f>MONTH(Tabela1[[#This Row],[Último pagto ano]])</f>
        <v>12</v>
      </c>
      <c r="H2519" t="str">
        <f>TEXT(Tabela1[[#This Row],[Coluna2]]*29,"mmmm")</f>
        <v>dezembro</v>
      </c>
      <c r="I2519" t="str">
        <f>TEXT(MONTH(Tabela1[[#This Row],[Último pagto ano]])*29,"mmmm")</f>
        <v>dezembro</v>
      </c>
    </row>
    <row r="2520" spans="1:9" x14ac:dyDescent="0.25">
      <c r="A2520">
        <v>2025</v>
      </c>
      <c r="B2520" t="s">
        <v>5014</v>
      </c>
      <c r="C2520" s="1">
        <v>46014</v>
      </c>
      <c r="D2520" t="s">
        <v>5015</v>
      </c>
      <c r="E2520" s="2">
        <v>26950</v>
      </c>
      <c r="G2520" s="3">
        <f>MONTH(Tabela1[[#This Row],[Último pagto ano]])</f>
        <v>12</v>
      </c>
      <c r="H2520" t="str">
        <f>TEXT(Tabela1[[#This Row],[Coluna2]]*29,"mmmm")</f>
        <v>dezembro</v>
      </c>
      <c r="I2520" t="str">
        <f>TEXT(MONTH(Tabela1[[#This Row],[Último pagto ano]])*29,"mmmm")</f>
        <v>dezembro</v>
      </c>
    </row>
    <row r="2521" spans="1:9" x14ac:dyDescent="0.25">
      <c r="A2521">
        <v>2025</v>
      </c>
      <c r="B2521" t="s">
        <v>5016</v>
      </c>
      <c r="C2521" s="1">
        <v>45915</v>
      </c>
      <c r="D2521" t="s">
        <v>5017</v>
      </c>
      <c r="E2521" s="2">
        <v>6179.52</v>
      </c>
      <c r="G2521" s="3">
        <f>MONTH(Tabela1[[#This Row],[Último pagto ano]])</f>
        <v>9</v>
      </c>
      <c r="H2521" t="str">
        <f>TEXT(Tabela1[[#This Row],[Coluna2]]*29,"mmmm")</f>
        <v>setembro</v>
      </c>
      <c r="I2521" t="str">
        <f>TEXT(MONTH(Tabela1[[#This Row],[Último pagto ano]])*29,"mmmm")</f>
        <v>setembro</v>
      </c>
    </row>
    <row r="2522" spans="1:9" x14ac:dyDescent="0.25">
      <c r="A2522">
        <v>2025</v>
      </c>
      <c r="B2522" t="s">
        <v>5018</v>
      </c>
      <c r="C2522" s="1">
        <v>45817</v>
      </c>
      <c r="D2522" t="s">
        <v>5019</v>
      </c>
      <c r="E2522">
        <v>11</v>
      </c>
      <c r="G2522" s="3">
        <f>MONTH(Tabela1[[#This Row],[Último pagto ano]])</f>
        <v>6</v>
      </c>
      <c r="H2522" t="str">
        <f>TEXT(Tabela1[[#This Row],[Coluna2]]*29,"mmmm")</f>
        <v>junho</v>
      </c>
      <c r="I2522" t="str">
        <f>TEXT(MONTH(Tabela1[[#This Row],[Último pagto ano]])*29,"mmmm")</f>
        <v>junho</v>
      </c>
    </row>
    <row r="2523" spans="1:9" x14ac:dyDescent="0.25">
      <c r="A2523">
        <v>2025</v>
      </c>
      <c r="B2523" t="s">
        <v>5020</v>
      </c>
      <c r="C2523" s="1">
        <v>45880</v>
      </c>
      <c r="D2523" t="s">
        <v>5021</v>
      </c>
      <c r="E2523">
        <v>297</v>
      </c>
      <c r="G2523" s="3">
        <f>MONTH(Tabela1[[#This Row],[Último pagto ano]])</f>
        <v>8</v>
      </c>
      <c r="H2523" t="str">
        <f>TEXT(Tabela1[[#This Row],[Coluna2]]*29,"mmmm")</f>
        <v>agosto</v>
      </c>
      <c r="I2523" t="str">
        <f>TEXT(MONTH(Tabela1[[#This Row],[Último pagto ano]])*29,"mmmm")</f>
        <v>agosto</v>
      </c>
    </row>
    <row r="2524" spans="1:9" x14ac:dyDescent="0.25">
      <c r="A2524">
        <v>2025</v>
      </c>
      <c r="B2524" t="s">
        <v>5022</v>
      </c>
      <c r="C2524" s="1">
        <v>45853</v>
      </c>
      <c r="D2524" t="s">
        <v>5023</v>
      </c>
      <c r="E2524" s="2">
        <v>6179.52</v>
      </c>
      <c r="G2524" s="3">
        <f>MONTH(Tabela1[[#This Row],[Último pagto ano]])</f>
        <v>7</v>
      </c>
      <c r="H2524" t="str">
        <f>TEXT(Tabela1[[#This Row],[Coluna2]]*29,"mmmm")</f>
        <v>julho</v>
      </c>
      <c r="I2524" t="str">
        <f>TEXT(MONTH(Tabela1[[#This Row],[Último pagto ano]])*29,"mmmm")</f>
        <v>julho</v>
      </c>
    </row>
    <row r="2525" spans="1:9" x14ac:dyDescent="0.25">
      <c r="A2525">
        <v>2025</v>
      </c>
      <c r="B2525" t="s">
        <v>5024</v>
      </c>
      <c r="C2525" s="1">
        <v>46010</v>
      </c>
      <c r="D2525" t="s">
        <v>5025</v>
      </c>
      <c r="E2525" s="2">
        <v>12000</v>
      </c>
      <c r="G2525" s="3">
        <f>MONTH(Tabela1[[#This Row],[Último pagto ano]])</f>
        <v>12</v>
      </c>
      <c r="H2525" t="str">
        <f>TEXT(Tabela1[[#This Row],[Coluna2]]*29,"mmmm")</f>
        <v>dezembro</v>
      </c>
      <c r="I2525" t="str">
        <f>TEXT(MONTH(Tabela1[[#This Row],[Último pagto ano]])*29,"mmmm")</f>
        <v>dezembro</v>
      </c>
    </row>
    <row r="2526" spans="1:9" x14ac:dyDescent="0.25">
      <c r="A2526">
        <v>2025</v>
      </c>
      <c r="B2526" t="s">
        <v>5026</v>
      </c>
      <c r="C2526" s="1">
        <v>45733</v>
      </c>
      <c r="D2526" t="s">
        <v>5027</v>
      </c>
      <c r="E2526" s="2">
        <v>3049.92</v>
      </c>
      <c r="G2526" s="3">
        <f>MONTH(Tabela1[[#This Row],[Último pagto ano]])</f>
        <v>3</v>
      </c>
      <c r="H2526" t="str">
        <f>TEXT(Tabela1[[#This Row],[Coluna2]]*29,"mmmm")</f>
        <v>março</v>
      </c>
      <c r="I2526" t="str">
        <f>TEXT(MONTH(Tabela1[[#This Row],[Último pagto ano]])*29,"mmmm")</f>
        <v>março</v>
      </c>
    </row>
    <row r="2527" spans="1:9" x14ac:dyDescent="0.25">
      <c r="A2527">
        <v>2025</v>
      </c>
      <c r="B2527" t="s">
        <v>5028</v>
      </c>
      <c r="C2527" s="1">
        <v>45782</v>
      </c>
      <c r="D2527" t="s">
        <v>5029</v>
      </c>
      <c r="E2527">
        <v>44</v>
      </c>
      <c r="G2527" s="3">
        <f>MONTH(Tabela1[[#This Row],[Último pagto ano]])</f>
        <v>5</v>
      </c>
      <c r="H2527" t="str">
        <f>TEXT(Tabela1[[#This Row],[Coluna2]]*29,"mmmm")</f>
        <v>maio</v>
      </c>
      <c r="I2527" t="str">
        <f>TEXT(MONTH(Tabela1[[#This Row],[Último pagto ano]])*29,"mmmm")</f>
        <v>maio</v>
      </c>
    </row>
    <row r="2528" spans="1:9" x14ac:dyDescent="0.25">
      <c r="A2528">
        <v>2025</v>
      </c>
      <c r="B2528" t="s">
        <v>5030</v>
      </c>
      <c r="C2528" s="1">
        <v>45705</v>
      </c>
      <c r="D2528" t="s">
        <v>5031</v>
      </c>
      <c r="E2528" s="2">
        <v>1332.72</v>
      </c>
      <c r="G2528" s="3">
        <f>MONTH(Tabela1[[#This Row],[Último pagto ano]])</f>
        <v>2</v>
      </c>
      <c r="H2528" t="str">
        <f>TEXT(Tabela1[[#This Row],[Coluna2]]*29,"mmmm")</f>
        <v>fevereiro</v>
      </c>
      <c r="I2528" t="str">
        <f>TEXT(MONTH(Tabela1[[#This Row],[Último pagto ano]])*29,"mmmm")</f>
        <v>fevereiro</v>
      </c>
    </row>
    <row r="2529" spans="1:9" x14ac:dyDescent="0.25">
      <c r="A2529">
        <v>2025</v>
      </c>
      <c r="B2529" t="s">
        <v>5032</v>
      </c>
      <c r="C2529" s="1">
        <v>46010</v>
      </c>
      <c r="D2529" t="s">
        <v>5033</v>
      </c>
      <c r="E2529" s="2">
        <v>1400</v>
      </c>
      <c r="G2529" s="3">
        <f>MONTH(Tabela1[[#This Row],[Último pagto ano]])</f>
        <v>12</v>
      </c>
      <c r="H2529" t="str">
        <f>TEXT(Tabela1[[#This Row],[Coluna2]]*29,"mmmm")</f>
        <v>dezembro</v>
      </c>
      <c r="I2529" t="str">
        <f>TEXT(MONTH(Tabela1[[#This Row],[Último pagto ano]])*29,"mmmm")</f>
        <v>dezembro</v>
      </c>
    </row>
    <row r="2530" spans="1:9" x14ac:dyDescent="0.25">
      <c r="A2530">
        <v>2025</v>
      </c>
      <c r="B2530" t="s">
        <v>5034</v>
      </c>
      <c r="C2530" s="1">
        <v>46010</v>
      </c>
      <c r="D2530" t="s">
        <v>5035</v>
      </c>
      <c r="E2530" s="2">
        <v>24000</v>
      </c>
      <c r="G2530" s="3">
        <f>MONTH(Tabela1[[#This Row],[Último pagto ano]])</f>
        <v>12</v>
      </c>
      <c r="H2530" t="str">
        <f>TEXT(Tabela1[[#This Row],[Coluna2]]*29,"mmmm")</f>
        <v>dezembro</v>
      </c>
      <c r="I2530" t="str">
        <f>TEXT(MONTH(Tabela1[[#This Row],[Último pagto ano]])*29,"mmmm")</f>
        <v>dezembro</v>
      </c>
    </row>
    <row r="2531" spans="1:9" x14ac:dyDescent="0.25">
      <c r="A2531">
        <v>2025</v>
      </c>
      <c r="B2531" t="s">
        <v>5036</v>
      </c>
      <c r="C2531" s="1">
        <v>46007</v>
      </c>
      <c r="D2531" t="s">
        <v>5037</v>
      </c>
      <c r="E2531" s="2">
        <v>86175</v>
      </c>
      <c r="G2531" s="3">
        <f>MONTH(Tabela1[[#This Row],[Último pagto ano]])</f>
        <v>12</v>
      </c>
      <c r="H2531" t="str">
        <f>TEXT(Tabela1[[#This Row],[Coluna2]]*29,"mmmm")</f>
        <v>dezembro</v>
      </c>
      <c r="I2531" t="str">
        <f>TEXT(MONTH(Tabela1[[#This Row],[Último pagto ano]])*29,"mmmm")</f>
        <v>dezembro</v>
      </c>
    </row>
    <row r="2532" spans="1:9" x14ac:dyDescent="0.25">
      <c r="A2532">
        <v>2025</v>
      </c>
      <c r="B2532" t="s">
        <v>5038</v>
      </c>
      <c r="C2532" s="1">
        <v>45712</v>
      </c>
      <c r="D2532" t="s">
        <v>5039</v>
      </c>
      <c r="E2532">
        <v>85.97</v>
      </c>
      <c r="G2532" s="3">
        <f>MONTH(Tabela1[[#This Row],[Último pagto ano]])</f>
        <v>2</v>
      </c>
      <c r="H2532" t="str">
        <f>TEXT(Tabela1[[#This Row],[Coluna2]]*29,"mmmm")</f>
        <v>fevereiro</v>
      </c>
      <c r="I2532" t="str">
        <f>TEXT(MONTH(Tabela1[[#This Row],[Último pagto ano]])*29,"mmmm")</f>
        <v>fevereiro</v>
      </c>
    </row>
    <row r="2533" spans="1:9" x14ac:dyDescent="0.25">
      <c r="A2533">
        <v>2025</v>
      </c>
      <c r="B2533" t="s">
        <v>5040</v>
      </c>
      <c r="C2533" s="1">
        <v>45880</v>
      </c>
      <c r="D2533" t="s">
        <v>5041</v>
      </c>
      <c r="E2533">
        <v>22</v>
      </c>
      <c r="G2533" s="3">
        <f>MONTH(Tabela1[[#This Row],[Último pagto ano]])</f>
        <v>8</v>
      </c>
      <c r="H2533" t="str">
        <f>TEXT(Tabela1[[#This Row],[Coluna2]]*29,"mmmm")</f>
        <v>agosto</v>
      </c>
      <c r="I2533" t="str">
        <f>TEXT(MONTH(Tabela1[[#This Row],[Último pagto ano]])*29,"mmmm")</f>
        <v>agosto</v>
      </c>
    </row>
    <row r="2534" spans="1:9" x14ac:dyDescent="0.25">
      <c r="A2534">
        <v>2025</v>
      </c>
      <c r="B2534" t="s">
        <v>5042</v>
      </c>
      <c r="C2534" s="1">
        <v>46010</v>
      </c>
      <c r="D2534" t="s">
        <v>5043</v>
      </c>
      <c r="E2534" s="2">
        <v>3500</v>
      </c>
      <c r="G2534" s="3">
        <f>MONTH(Tabela1[[#This Row],[Último pagto ano]])</f>
        <v>12</v>
      </c>
      <c r="H2534" t="str">
        <f>TEXT(Tabela1[[#This Row],[Coluna2]]*29,"mmmm")</f>
        <v>dezembro</v>
      </c>
      <c r="I2534" t="str">
        <f>TEXT(MONTH(Tabela1[[#This Row],[Último pagto ano]])*29,"mmmm")</f>
        <v>dezembro</v>
      </c>
    </row>
    <row r="2535" spans="1:9" x14ac:dyDescent="0.25">
      <c r="A2535">
        <v>2025</v>
      </c>
      <c r="B2535" t="s">
        <v>5044</v>
      </c>
      <c r="C2535" s="1">
        <v>46014</v>
      </c>
      <c r="D2535" t="s">
        <v>5045</v>
      </c>
      <c r="E2535" s="2">
        <v>5580</v>
      </c>
      <c r="G2535" s="3">
        <f>MONTH(Tabela1[[#This Row],[Último pagto ano]])</f>
        <v>12</v>
      </c>
      <c r="H2535" t="str">
        <f>TEXT(Tabela1[[#This Row],[Coluna2]]*29,"mmmm")</f>
        <v>dezembro</v>
      </c>
      <c r="I2535" t="str">
        <f>TEXT(MONTH(Tabela1[[#This Row],[Último pagto ano]])*29,"mmmm")</f>
        <v>dezembro</v>
      </c>
    </row>
    <row r="2536" spans="1:9" x14ac:dyDescent="0.25">
      <c r="A2536">
        <v>2025</v>
      </c>
      <c r="B2536" t="s">
        <v>5046</v>
      </c>
      <c r="C2536" s="1">
        <v>46010</v>
      </c>
      <c r="D2536" t="s">
        <v>5047</v>
      </c>
      <c r="E2536" s="2">
        <v>12000</v>
      </c>
      <c r="G2536" s="3">
        <f>MONTH(Tabela1[[#This Row],[Último pagto ano]])</f>
        <v>12</v>
      </c>
      <c r="H2536" t="str">
        <f>TEXT(Tabela1[[#This Row],[Coluna2]]*29,"mmmm")</f>
        <v>dezembro</v>
      </c>
      <c r="I2536" t="str">
        <f>TEXT(MONTH(Tabela1[[#This Row],[Último pagto ano]])*29,"mmmm")</f>
        <v>dezembro</v>
      </c>
    </row>
    <row r="2537" spans="1:9" x14ac:dyDescent="0.25">
      <c r="A2537">
        <v>2025</v>
      </c>
      <c r="B2537" t="s">
        <v>5048</v>
      </c>
      <c r="C2537" s="1">
        <v>45978</v>
      </c>
      <c r="D2537" t="s">
        <v>5049</v>
      </c>
      <c r="E2537">
        <v>11</v>
      </c>
      <c r="G2537" s="3">
        <f>MONTH(Tabela1[[#This Row],[Último pagto ano]])</f>
        <v>11</v>
      </c>
      <c r="H2537" t="str">
        <f>TEXT(Tabela1[[#This Row],[Coluna2]]*29,"mmmm")</f>
        <v>novembro</v>
      </c>
      <c r="I2537" t="str">
        <f>TEXT(MONTH(Tabela1[[#This Row],[Último pagto ano]])*29,"mmmm")</f>
        <v>novembro</v>
      </c>
    </row>
    <row r="2538" spans="1:9" x14ac:dyDescent="0.25">
      <c r="A2538">
        <v>2025</v>
      </c>
      <c r="B2538" t="s">
        <v>5050</v>
      </c>
      <c r="C2538" s="1">
        <v>45996</v>
      </c>
      <c r="D2538" t="s">
        <v>5051</v>
      </c>
      <c r="E2538" s="2">
        <v>5449</v>
      </c>
      <c r="G2538" s="3">
        <f>MONTH(Tabela1[[#This Row],[Último pagto ano]])</f>
        <v>12</v>
      </c>
      <c r="H2538" t="str">
        <f>TEXT(Tabela1[[#This Row],[Coluna2]]*29,"mmmm")</f>
        <v>dezembro</v>
      </c>
      <c r="I2538" t="str">
        <f>TEXT(MONTH(Tabela1[[#This Row],[Último pagto ano]])*29,"mmmm")</f>
        <v>dezembro</v>
      </c>
    </row>
    <row r="2539" spans="1:9" x14ac:dyDescent="0.25">
      <c r="A2539">
        <v>2025</v>
      </c>
      <c r="B2539" t="s">
        <v>5052</v>
      </c>
      <c r="C2539" s="1">
        <v>46010</v>
      </c>
      <c r="D2539" t="s">
        <v>5053</v>
      </c>
      <c r="E2539" s="2">
        <v>12000</v>
      </c>
      <c r="G2539" s="3">
        <f>MONTH(Tabela1[[#This Row],[Último pagto ano]])</f>
        <v>12</v>
      </c>
      <c r="H2539" t="str">
        <f>TEXT(Tabela1[[#This Row],[Coluna2]]*29,"mmmm")</f>
        <v>dezembro</v>
      </c>
      <c r="I2539" t="str">
        <f>TEXT(MONTH(Tabela1[[#This Row],[Último pagto ano]])*29,"mmmm")</f>
        <v>dezembro</v>
      </c>
    </row>
    <row r="2540" spans="1:9" x14ac:dyDescent="0.25">
      <c r="A2540">
        <v>2025</v>
      </c>
      <c r="B2540" t="s">
        <v>5054</v>
      </c>
      <c r="C2540" s="1">
        <v>45943</v>
      </c>
      <c r="D2540" t="s">
        <v>5055</v>
      </c>
      <c r="E2540" s="2">
        <v>12509.23</v>
      </c>
      <c r="G2540" s="3">
        <f>MONTH(Tabela1[[#This Row],[Último pagto ano]])</f>
        <v>10</v>
      </c>
      <c r="H2540" t="str">
        <f>TEXT(Tabela1[[#This Row],[Coluna2]]*29,"mmmm")</f>
        <v>outubro</v>
      </c>
      <c r="I2540" t="str">
        <f>TEXT(MONTH(Tabela1[[#This Row],[Último pagto ano]])*29,"mmmm")</f>
        <v>outubro</v>
      </c>
    </row>
    <row r="2541" spans="1:9" x14ac:dyDescent="0.25">
      <c r="A2541">
        <v>2025</v>
      </c>
      <c r="B2541" t="s">
        <v>5056</v>
      </c>
      <c r="C2541" s="1">
        <v>46006</v>
      </c>
      <c r="D2541" t="s">
        <v>5057</v>
      </c>
      <c r="E2541" s="2">
        <v>30615.54</v>
      </c>
      <c r="G2541" s="3">
        <f>MONTH(Tabela1[[#This Row],[Último pagto ano]])</f>
        <v>12</v>
      </c>
      <c r="H2541" t="str">
        <f>TEXT(Tabela1[[#This Row],[Coluna2]]*29,"mmmm")</f>
        <v>dezembro</v>
      </c>
      <c r="I2541" t="str">
        <f>TEXT(MONTH(Tabela1[[#This Row],[Último pagto ano]])*29,"mmmm")</f>
        <v>dezembro</v>
      </c>
    </row>
    <row r="2542" spans="1:9" x14ac:dyDescent="0.25">
      <c r="A2542">
        <v>2025</v>
      </c>
      <c r="B2542" t="s">
        <v>5058</v>
      </c>
      <c r="C2542" s="1">
        <v>45877</v>
      </c>
      <c r="D2542" t="s">
        <v>5059</v>
      </c>
      <c r="E2542">
        <v>14.94</v>
      </c>
      <c r="G2542" s="3">
        <f>MONTH(Tabela1[[#This Row],[Último pagto ano]])</f>
        <v>8</v>
      </c>
      <c r="H2542" t="str">
        <f>TEXT(Tabela1[[#This Row],[Coluna2]]*29,"mmmm")</f>
        <v>agosto</v>
      </c>
      <c r="I2542" t="str">
        <f>TEXT(MONTH(Tabela1[[#This Row],[Último pagto ano]])*29,"mmmm")</f>
        <v>agosto</v>
      </c>
    </row>
    <row r="2543" spans="1:9" x14ac:dyDescent="0.25">
      <c r="A2543">
        <v>2025</v>
      </c>
      <c r="B2543" t="s">
        <v>5060</v>
      </c>
      <c r="C2543" s="1">
        <v>46010</v>
      </c>
      <c r="D2543" t="s">
        <v>5061</v>
      </c>
      <c r="E2543" s="2">
        <v>12000</v>
      </c>
      <c r="G2543" s="3">
        <f>MONTH(Tabela1[[#This Row],[Último pagto ano]])</f>
        <v>12</v>
      </c>
      <c r="H2543" t="str">
        <f>TEXT(Tabela1[[#This Row],[Coluna2]]*29,"mmmm")</f>
        <v>dezembro</v>
      </c>
      <c r="I2543" t="str">
        <f>TEXT(MONTH(Tabela1[[#This Row],[Último pagto ano]])*29,"mmmm")</f>
        <v>dezembro</v>
      </c>
    </row>
    <row r="2544" spans="1:9" x14ac:dyDescent="0.25">
      <c r="A2544">
        <v>2025</v>
      </c>
      <c r="B2544" t="s">
        <v>5062</v>
      </c>
      <c r="C2544" s="1">
        <v>45943</v>
      </c>
      <c r="D2544" t="s">
        <v>5063</v>
      </c>
      <c r="E2544">
        <v>248.8</v>
      </c>
      <c r="G2544" s="3">
        <f>MONTH(Tabela1[[#This Row],[Último pagto ano]])</f>
        <v>10</v>
      </c>
      <c r="H2544" t="str">
        <f>TEXT(Tabela1[[#This Row],[Coluna2]]*29,"mmmm")</f>
        <v>outubro</v>
      </c>
      <c r="I2544" t="str">
        <f>TEXT(MONTH(Tabela1[[#This Row],[Último pagto ano]])*29,"mmmm")</f>
        <v>outubro</v>
      </c>
    </row>
    <row r="2545" spans="1:9" x14ac:dyDescent="0.25">
      <c r="A2545">
        <v>2025</v>
      </c>
      <c r="B2545" t="s">
        <v>5064</v>
      </c>
      <c r="C2545" s="1">
        <v>45950</v>
      </c>
      <c r="D2545" t="s">
        <v>5065</v>
      </c>
      <c r="E2545" s="2">
        <v>1330</v>
      </c>
      <c r="G2545" s="3">
        <f>MONTH(Tabela1[[#This Row],[Último pagto ano]])</f>
        <v>10</v>
      </c>
      <c r="H2545" t="str">
        <f>TEXT(Tabela1[[#This Row],[Coluna2]]*29,"mmmm")</f>
        <v>outubro</v>
      </c>
      <c r="I2545" t="str">
        <f>TEXT(MONTH(Tabela1[[#This Row],[Último pagto ano]])*29,"mmmm")</f>
        <v>outubro</v>
      </c>
    </row>
    <row r="2546" spans="1:9" x14ac:dyDescent="0.25">
      <c r="A2546">
        <v>2025</v>
      </c>
      <c r="B2546" t="s">
        <v>5066</v>
      </c>
      <c r="C2546" s="1">
        <v>46010</v>
      </c>
      <c r="D2546" t="s">
        <v>5067</v>
      </c>
      <c r="E2546" s="2">
        <v>12000</v>
      </c>
      <c r="G2546" s="3">
        <f>MONTH(Tabela1[[#This Row],[Último pagto ano]])</f>
        <v>12</v>
      </c>
      <c r="H2546" t="str">
        <f>TEXT(Tabela1[[#This Row],[Coluna2]]*29,"mmmm")</f>
        <v>dezembro</v>
      </c>
      <c r="I2546" t="str">
        <f>TEXT(MONTH(Tabela1[[#This Row],[Último pagto ano]])*29,"mmmm")</f>
        <v>dezembro</v>
      </c>
    </row>
    <row r="2547" spans="1:9" x14ac:dyDescent="0.25">
      <c r="A2547">
        <v>2025</v>
      </c>
      <c r="B2547" t="s">
        <v>5068</v>
      </c>
      <c r="C2547" s="1">
        <v>46013</v>
      </c>
      <c r="D2547" t="s">
        <v>5069</v>
      </c>
      <c r="E2547" s="2">
        <v>43994.73</v>
      </c>
      <c r="G2547" s="3">
        <f>MONTH(Tabela1[[#This Row],[Último pagto ano]])</f>
        <v>12</v>
      </c>
      <c r="H2547" t="str">
        <f>TEXT(Tabela1[[#This Row],[Coluna2]]*29,"mmmm")</f>
        <v>dezembro</v>
      </c>
      <c r="I2547" t="str">
        <f>TEXT(MONTH(Tabela1[[#This Row],[Último pagto ano]])*29,"mmmm")</f>
        <v>dezembro</v>
      </c>
    </row>
    <row r="2548" spans="1:9" x14ac:dyDescent="0.25">
      <c r="A2548">
        <v>2025</v>
      </c>
      <c r="B2548" t="s">
        <v>5070</v>
      </c>
      <c r="C2548" s="1">
        <v>45824</v>
      </c>
      <c r="D2548" t="s">
        <v>5071</v>
      </c>
      <c r="E2548">
        <v>476.38</v>
      </c>
      <c r="G2548" s="3">
        <f>MONTH(Tabela1[[#This Row],[Último pagto ano]])</f>
        <v>6</v>
      </c>
      <c r="H2548" t="str">
        <f>TEXT(Tabela1[[#This Row],[Coluna2]]*29,"mmmm")</f>
        <v>junho</v>
      </c>
      <c r="I2548" t="str">
        <f>TEXT(MONTH(Tabela1[[#This Row],[Último pagto ano]])*29,"mmmm")</f>
        <v>junho</v>
      </c>
    </row>
    <row r="2549" spans="1:9" x14ac:dyDescent="0.25">
      <c r="A2549">
        <v>2025</v>
      </c>
      <c r="B2549" t="s">
        <v>5072</v>
      </c>
      <c r="C2549" s="1">
        <v>45687</v>
      </c>
      <c r="D2549" t="s">
        <v>5073</v>
      </c>
      <c r="E2549">
        <v>989.62</v>
      </c>
      <c r="G2549" s="3">
        <f>MONTH(Tabela1[[#This Row],[Último pagto ano]])</f>
        <v>1</v>
      </c>
      <c r="H2549" t="str">
        <f>TEXT(Tabela1[[#This Row],[Coluna2]]*29,"mmmm")</f>
        <v>janeiro</v>
      </c>
      <c r="I2549" t="str">
        <f>TEXT(MONTH(Tabela1[[#This Row],[Último pagto ano]])*29,"mmmm")</f>
        <v>janeiro</v>
      </c>
    </row>
    <row r="2550" spans="1:9" x14ac:dyDescent="0.25">
      <c r="A2550">
        <v>2025</v>
      </c>
      <c r="B2550" t="s">
        <v>5074</v>
      </c>
      <c r="C2550" s="1">
        <v>46006</v>
      </c>
      <c r="D2550" t="s">
        <v>5075</v>
      </c>
      <c r="E2550" s="2">
        <v>12044</v>
      </c>
      <c r="G2550" s="3">
        <f>MONTH(Tabela1[[#This Row],[Último pagto ano]])</f>
        <v>12</v>
      </c>
      <c r="H2550" t="str">
        <f>TEXT(Tabela1[[#This Row],[Coluna2]]*29,"mmmm")</f>
        <v>dezembro</v>
      </c>
      <c r="I2550" t="str">
        <f>TEXT(MONTH(Tabela1[[#This Row],[Último pagto ano]])*29,"mmmm")</f>
        <v>dezembro</v>
      </c>
    </row>
    <row r="2551" spans="1:9" x14ac:dyDescent="0.25">
      <c r="A2551">
        <v>2025</v>
      </c>
      <c r="B2551" t="s">
        <v>5076</v>
      </c>
      <c r="C2551" s="1">
        <v>46010</v>
      </c>
      <c r="D2551" t="s">
        <v>5077</v>
      </c>
      <c r="E2551" s="2">
        <v>7000</v>
      </c>
      <c r="G2551" s="3">
        <f>MONTH(Tabela1[[#This Row],[Último pagto ano]])</f>
        <v>12</v>
      </c>
      <c r="H2551" t="str">
        <f>TEXT(Tabela1[[#This Row],[Coluna2]]*29,"mmmm")</f>
        <v>dezembro</v>
      </c>
      <c r="I2551" t="str">
        <f>TEXT(MONTH(Tabela1[[#This Row],[Último pagto ano]])*29,"mmmm")</f>
        <v>dezembro</v>
      </c>
    </row>
    <row r="2552" spans="1:9" x14ac:dyDescent="0.25">
      <c r="A2552">
        <v>2025</v>
      </c>
      <c r="B2552" t="s">
        <v>5078</v>
      </c>
      <c r="C2552" s="1">
        <v>46013</v>
      </c>
      <c r="D2552" t="s">
        <v>5079</v>
      </c>
      <c r="E2552" s="2">
        <v>7823.4</v>
      </c>
      <c r="G2552" s="3">
        <f>MONTH(Tabela1[[#This Row],[Último pagto ano]])</f>
        <v>12</v>
      </c>
      <c r="H2552" t="str">
        <f>TEXT(Tabela1[[#This Row],[Coluna2]]*29,"mmmm")</f>
        <v>dezembro</v>
      </c>
      <c r="I2552" t="str">
        <f>TEXT(MONTH(Tabela1[[#This Row],[Último pagto ano]])*29,"mmmm")</f>
        <v>dezembro</v>
      </c>
    </row>
    <row r="2553" spans="1:9" x14ac:dyDescent="0.25">
      <c r="A2553">
        <v>2025</v>
      </c>
      <c r="B2553" t="s">
        <v>5080</v>
      </c>
      <c r="C2553" s="1">
        <v>45838</v>
      </c>
      <c r="D2553" t="s">
        <v>5081</v>
      </c>
      <c r="E2553" s="2">
        <v>1006.59</v>
      </c>
      <c r="G2553" s="3">
        <f>MONTH(Tabela1[[#This Row],[Último pagto ano]])</f>
        <v>6</v>
      </c>
      <c r="H2553" t="str">
        <f>TEXT(Tabela1[[#This Row],[Coluna2]]*29,"mmmm")</f>
        <v>junho</v>
      </c>
      <c r="I2553" t="str">
        <f>TEXT(MONTH(Tabela1[[#This Row],[Último pagto ano]])*29,"mmmm")</f>
        <v>junho</v>
      </c>
    </row>
    <row r="2554" spans="1:9" x14ac:dyDescent="0.25">
      <c r="A2554">
        <v>2025</v>
      </c>
      <c r="B2554" t="s">
        <v>5082</v>
      </c>
      <c r="C2554" s="1">
        <v>45672</v>
      </c>
      <c r="D2554" t="s">
        <v>5083</v>
      </c>
      <c r="E2554" s="2">
        <v>1060.8</v>
      </c>
      <c r="G2554" s="3">
        <f>MONTH(Tabela1[[#This Row],[Último pagto ano]])</f>
        <v>1</v>
      </c>
      <c r="H2554" t="str">
        <f>TEXT(Tabela1[[#This Row],[Coluna2]]*29,"mmmm")</f>
        <v>janeiro</v>
      </c>
      <c r="I2554" t="str">
        <f>TEXT(MONTH(Tabela1[[#This Row],[Último pagto ano]])*29,"mmmm")</f>
        <v>janeiro</v>
      </c>
    </row>
    <row r="2555" spans="1:9" x14ac:dyDescent="0.25">
      <c r="A2555">
        <v>2025</v>
      </c>
      <c r="B2555" t="s">
        <v>5084</v>
      </c>
      <c r="C2555" s="1">
        <v>45712</v>
      </c>
      <c r="D2555" t="s">
        <v>5085</v>
      </c>
      <c r="E2555" s="2">
        <v>1400</v>
      </c>
      <c r="G2555" s="3">
        <f>MONTH(Tabela1[[#This Row],[Último pagto ano]])</f>
        <v>2</v>
      </c>
      <c r="H2555" t="str">
        <f>TEXT(Tabela1[[#This Row],[Coluna2]]*29,"mmmm")</f>
        <v>fevereiro</v>
      </c>
      <c r="I2555" t="str">
        <f>TEXT(MONTH(Tabela1[[#This Row],[Último pagto ano]])*29,"mmmm")</f>
        <v>fevereiro</v>
      </c>
    </row>
    <row r="2556" spans="1:9" x14ac:dyDescent="0.25">
      <c r="A2556">
        <v>2025</v>
      </c>
      <c r="B2556" t="s">
        <v>5086</v>
      </c>
      <c r="C2556" s="1">
        <v>45712</v>
      </c>
      <c r="D2556" t="s">
        <v>5087</v>
      </c>
      <c r="E2556" s="2">
        <v>6709.32</v>
      </c>
      <c r="G2556" s="3">
        <f>MONTH(Tabela1[[#This Row],[Último pagto ano]])</f>
        <v>2</v>
      </c>
      <c r="H2556" t="str">
        <f>TEXT(Tabela1[[#This Row],[Coluna2]]*29,"mmmm")</f>
        <v>fevereiro</v>
      </c>
      <c r="I2556" t="str">
        <f>TEXT(MONTH(Tabela1[[#This Row],[Último pagto ano]])*29,"mmmm")</f>
        <v>fevereiro</v>
      </c>
    </row>
    <row r="2557" spans="1:9" x14ac:dyDescent="0.25">
      <c r="A2557">
        <v>2025</v>
      </c>
      <c r="B2557" t="s">
        <v>5088</v>
      </c>
      <c r="C2557" s="1">
        <v>46007</v>
      </c>
      <c r="D2557" t="s">
        <v>5089</v>
      </c>
      <c r="E2557" s="2">
        <v>13941.36</v>
      </c>
      <c r="G2557" s="3">
        <f>MONTH(Tabela1[[#This Row],[Último pagto ano]])</f>
        <v>12</v>
      </c>
      <c r="H2557" t="str">
        <f>TEXT(Tabela1[[#This Row],[Coluna2]]*29,"mmmm")</f>
        <v>dezembro</v>
      </c>
      <c r="I2557" t="str">
        <f>TEXT(MONTH(Tabela1[[#This Row],[Último pagto ano]])*29,"mmmm")</f>
        <v>dezembro</v>
      </c>
    </row>
    <row r="2558" spans="1:9" x14ac:dyDescent="0.25">
      <c r="A2558">
        <v>2025</v>
      </c>
      <c r="B2558" t="s">
        <v>5090</v>
      </c>
      <c r="C2558" s="1">
        <v>45681</v>
      </c>
      <c r="D2558" t="s">
        <v>5091</v>
      </c>
      <c r="E2558">
        <v>700</v>
      </c>
      <c r="G2558" s="3">
        <f>MONTH(Tabela1[[#This Row],[Último pagto ano]])</f>
        <v>1</v>
      </c>
      <c r="H2558" t="str">
        <f>TEXT(Tabela1[[#This Row],[Coluna2]]*29,"mmmm")</f>
        <v>janeiro</v>
      </c>
      <c r="I2558" t="str">
        <f>TEXT(MONTH(Tabela1[[#This Row],[Último pagto ano]])*29,"mmmm")</f>
        <v>janeiro</v>
      </c>
    </row>
    <row r="2559" spans="1:9" x14ac:dyDescent="0.25">
      <c r="A2559">
        <v>2025</v>
      </c>
      <c r="B2559" t="s">
        <v>5092</v>
      </c>
      <c r="C2559" s="1">
        <v>46006</v>
      </c>
      <c r="D2559" t="s">
        <v>5093</v>
      </c>
      <c r="E2559" s="2">
        <v>1560</v>
      </c>
      <c r="G2559" s="3">
        <f>MONTH(Tabela1[[#This Row],[Último pagto ano]])</f>
        <v>12</v>
      </c>
      <c r="H2559" t="str">
        <f>TEXT(Tabela1[[#This Row],[Coluna2]]*29,"mmmm")</f>
        <v>dezembro</v>
      </c>
      <c r="I2559" t="str">
        <f>TEXT(MONTH(Tabela1[[#This Row],[Último pagto ano]])*29,"mmmm")</f>
        <v>dezembro</v>
      </c>
    </row>
    <row r="2560" spans="1:9" x14ac:dyDescent="0.25">
      <c r="A2560">
        <v>2025</v>
      </c>
      <c r="B2560" t="s">
        <v>5094</v>
      </c>
      <c r="C2560" s="1">
        <v>45960</v>
      </c>
      <c r="D2560" t="s">
        <v>5095</v>
      </c>
      <c r="E2560">
        <v>420.85</v>
      </c>
      <c r="G2560" s="3">
        <f>MONTH(Tabela1[[#This Row],[Último pagto ano]])</f>
        <v>10</v>
      </c>
      <c r="H2560" t="str">
        <f>TEXT(Tabela1[[#This Row],[Coluna2]]*29,"mmmm")</f>
        <v>outubro</v>
      </c>
      <c r="I2560" t="str">
        <f>TEXT(MONTH(Tabela1[[#This Row],[Último pagto ano]])*29,"mmmm")</f>
        <v>outubro</v>
      </c>
    </row>
    <row r="2561" spans="1:9" x14ac:dyDescent="0.25">
      <c r="A2561">
        <v>2025</v>
      </c>
      <c r="B2561" t="s">
        <v>5096</v>
      </c>
      <c r="C2561" s="1">
        <v>45950</v>
      </c>
      <c r="D2561" t="s">
        <v>5097</v>
      </c>
      <c r="E2561">
        <v>154</v>
      </c>
      <c r="G2561" s="3">
        <f>MONTH(Tabela1[[#This Row],[Último pagto ano]])</f>
        <v>10</v>
      </c>
      <c r="H2561" t="str">
        <f>TEXT(Tabela1[[#This Row],[Coluna2]]*29,"mmmm")</f>
        <v>outubro</v>
      </c>
      <c r="I2561" t="str">
        <f>TEXT(MONTH(Tabela1[[#This Row],[Último pagto ano]])*29,"mmmm")</f>
        <v>outubro</v>
      </c>
    </row>
    <row r="2562" spans="1:9" x14ac:dyDescent="0.25">
      <c r="A2562">
        <v>2025</v>
      </c>
      <c r="B2562" t="s">
        <v>5098</v>
      </c>
      <c r="C2562" s="1">
        <v>45702</v>
      </c>
      <c r="D2562" t="s">
        <v>5099</v>
      </c>
      <c r="E2562" s="2">
        <v>1188.3399999999999</v>
      </c>
      <c r="G2562" s="3">
        <f>MONTH(Tabela1[[#This Row],[Último pagto ano]])</f>
        <v>2</v>
      </c>
      <c r="H2562" t="str">
        <f>TEXT(Tabela1[[#This Row],[Coluna2]]*29,"mmmm")</f>
        <v>fevereiro</v>
      </c>
      <c r="I2562" t="str">
        <f>TEXT(MONTH(Tabela1[[#This Row],[Último pagto ano]])*29,"mmmm")</f>
        <v>fevereiro</v>
      </c>
    </row>
    <row r="2563" spans="1:9" x14ac:dyDescent="0.25">
      <c r="A2563">
        <v>2025</v>
      </c>
      <c r="B2563" t="s">
        <v>5100</v>
      </c>
      <c r="C2563" s="1">
        <v>45989</v>
      </c>
      <c r="D2563" t="s">
        <v>5101</v>
      </c>
      <c r="E2563" s="2">
        <v>11469.18</v>
      </c>
      <c r="G2563" s="3">
        <f>MONTH(Tabela1[[#This Row],[Último pagto ano]])</f>
        <v>11</v>
      </c>
      <c r="H2563" t="str">
        <f>TEXT(Tabela1[[#This Row],[Coluna2]]*29,"mmmm")</f>
        <v>novembro</v>
      </c>
      <c r="I2563" t="str">
        <f>TEXT(MONTH(Tabela1[[#This Row],[Último pagto ano]])*29,"mmmm")</f>
        <v>novembro</v>
      </c>
    </row>
    <row r="2564" spans="1:9" x14ac:dyDescent="0.25">
      <c r="A2564">
        <v>2025</v>
      </c>
      <c r="B2564" t="s">
        <v>5102</v>
      </c>
      <c r="C2564" s="1">
        <v>45838</v>
      </c>
      <c r="D2564" t="s">
        <v>5103</v>
      </c>
      <c r="E2564">
        <v>22</v>
      </c>
      <c r="G2564" s="3">
        <f>MONTH(Tabela1[[#This Row],[Último pagto ano]])</f>
        <v>6</v>
      </c>
      <c r="H2564" t="str">
        <f>TEXT(Tabela1[[#This Row],[Coluna2]]*29,"mmmm")</f>
        <v>junho</v>
      </c>
      <c r="I2564" t="str">
        <f>TEXT(MONTH(Tabela1[[#This Row],[Último pagto ano]])*29,"mmmm")</f>
        <v>junho</v>
      </c>
    </row>
    <row r="2565" spans="1:9" x14ac:dyDescent="0.25">
      <c r="A2565">
        <v>2025</v>
      </c>
      <c r="B2565" t="s">
        <v>5104</v>
      </c>
      <c r="C2565" s="1">
        <v>45964</v>
      </c>
      <c r="D2565" t="s">
        <v>5105</v>
      </c>
      <c r="E2565">
        <v>22</v>
      </c>
      <c r="G2565" s="3">
        <f>MONTH(Tabela1[[#This Row],[Último pagto ano]])</f>
        <v>11</v>
      </c>
      <c r="H2565" t="str">
        <f>TEXT(Tabela1[[#This Row],[Coluna2]]*29,"mmmm")</f>
        <v>novembro</v>
      </c>
      <c r="I2565" t="str">
        <f>TEXT(MONTH(Tabela1[[#This Row],[Último pagto ano]])*29,"mmmm")</f>
        <v>novembro</v>
      </c>
    </row>
    <row r="2566" spans="1:9" x14ac:dyDescent="0.25">
      <c r="A2566">
        <v>2025</v>
      </c>
      <c r="B2566" t="s">
        <v>5106</v>
      </c>
      <c r="C2566" s="1">
        <v>46010</v>
      </c>
      <c r="D2566" t="s">
        <v>5107</v>
      </c>
      <c r="E2566" s="2">
        <v>24000</v>
      </c>
      <c r="G2566" s="3">
        <f>MONTH(Tabela1[[#This Row],[Último pagto ano]])</f>
        <v>12</v>
      </c>
      <c r="H2566" t="str">
        <f>TEXT(Tabela1[[#This Row],[Coluna2]]*29,"mmmm")</f>
        <v>dezembro</v>
      </c>
      <c r="I2566" t="str">
        <f>TEXT(MONTH(Tabela1[[#This Row],[Último pagto ano]])*29,"mmmm")</f>
        <v>dezembro</v>
      </c>
    </row>
    <row r="2567" spans="1:9" x14ac:dyDescent="0.25">
      <c r="A2567">
        <v>2025</v>
      </c>
      <c r="B2567" t="s">
        <v>5108</v>
      </c>
      <c r="C2567" s="1">
        <v>46021</v>
      </c>
      <c r="D2567" t="s">
        <v>5109</v>
      </c>
      <c r="E2567" s="2">
        <v>3574.06</v>
      </c>
      <c r="G2567" s="3">
        <f>MONTH(Tabela1[[#This Row],[Último pagto ano]])</f>
        <v>12</v>
      </c>
      <c r="H2567" t="str">
        <f>TEXT(Tabela1[[#This Row],[Coluna2]]*29,"mmmm")</f>
        <v>dezembro</v>
      </c>
      <c r="I2567" t="str">
        <f>TEXT(MONTH(Tabela1[[#This Row],[Último pagto ano]])*29,"mmmm")</f>
        <v>dezembro</v>
      </c>
    </row>
    <row r="2568" spans="1:9" x14ac:dyDescent="0.25">
      <c r="A2568">
        <v>2025</v>
      </c>
      <c r="B2568" t="s">
        <v>5110</v>
      </c>
      <c r="C2568" s="1">
        <v>46010</v>
      </c>
      <c r="D2568" t="s">
        <v>5111</v>
      </c>
      <c r="E2568" s="2">
        <v>31500</v>
      </c>
      <c r="G2568" s="3">
        <f>MONTH(Tabela1[[#This Row],[Último pagto ano]])</f>
        <v>12</v>
      </c>
      <c r="H2568" t="str">
        <f>TEXT(Tabela1[[#This Row],[Coluna2]]*29,"mmmm")</f>
        <v>dezembro</v>
      </c>
      <c r="I2568" t="str">
        <f>TEXT(MONTH(Tabela1[[#This Row],[Último pagto ano]])*29,"mmmm")</f>
        <v>dezembro</v>
      </c>
    </row>
    <row r="2569" spans="1:9" x14ac:dyDescent="0.25">
      <c r="A2569">
        <v>2025</v>
      </c>
      <c r="B2569" t="s">
        <v>5112</v>
      </c>
      <c r="C2569" s="1">
        <v>45861</v>
      </c>
      <c r="D2569" t="s">
        <v>5113</v>
      </c>
      <c r="E2569" s="2">
        <v>6443.17</v>
      </c>
      <c r="G2569" s="3">
        <f>MONTH(Tabela1[[#This Row],[Último pagto ano]])</f>
        <v>7</v>
      </c>
      <c r="H2569" t="str">
        <f>TEXT(Tabela1[[#This Row],[Coluna2]]*29,"mmmm")</f>
        <v>julho</v>
      </c>
      <c r="I2569" t="str">
        <f>TEXT(MONTH(Tabela1[[#This Row],[Último pagto ano]])*29,"mmmm")</f>
        <v>julho</v>
      </c>
    </row>
    <row r="2570" spans="1:9" x14ac:dyDescent="0.25">
      <c r="A2570">
        <v>2025</v>
      </c>
      <c r="B2570" t="s">
        <v>5114</v>
      </c>
      <c r="C2570" s="1">
        <v>45959</v>
      </c>
      <c r="D2570" t="s">
        <v>5115</v>
      </c>
      <c r="E2570" s="2">
        <v>5600</v>
      </c>
      <c r="G2570" s="3">
        <f>MONTH(Tabela1[[#This Row],[Último pagto ano]])</f>
        <v>10</v>
      </c>
      <c r="H2570" t="str">
        <f>TEXT(Tabela1[[#This Row],[Coluna2]]*29,"mmmm")</f>
        <v>outubro</v>
      </c>
      <c r="I2570" t="str">
        <f>TEXT(MONTH(Tabela1[[#This Row],[Último pagto ano]])*29,"mmmm")</f>
        <v>outubro</v>
      </c>
    </row>
    <row r="2571" spans="1:9" x14ac:dyDescent="0.25">
      <c r="A2571">
        <v>2025</v>
      </c>
      <c r="B2571" t="s">
        <v>5116</v>
      </c>
      <c r="C2571" s="1">
        <v>45999</v>
      </c>
      <c r="D2571" t="s">
        <v>5117</v>
      </c>
      <c r="E2571">
        <v>285.39999999999998</v>
      </c>
      <c r="G2571" s="3">
        <f>MONTH(Tabela1[[#This Row],[Último pagto ano]])</f>
        <v>12</v>
      </c>
      <c r="H2571" t="str">
        <f>TEXT(Tabela1[[#This Row],[Coluna2]]*29,"mmmm")</f>
        <v>dezembro</v>
      </c>
      <c r="I2571" t="str">
        <f>TEXT(MONTH(Tabela1[[#This Row],[Último pagto ano]])*29,"mmmm")</f>
        <v>dezembro</v>
      </c>
    </row>
    <row r="2572" spans="1:9" x14ac:dyDescent="0.25">
      <c r="A2572">
        <v>2025</v>
      </c>
      <c r="B2572" t="s">
        <v>5118</v>
      </c>
      <c r="C2572" s="1">
        <v>46006</v>
      </c>
      <c r="D2572" t="s">
        <v>5119</v>
      </c>
      <c r="E2572" s="2">
        <v>2100</v>
      </c>
      <c r="G2572" s="3">
        <f>MONTH(Tabela1[[#This Row],[Último pagto ano]])</f>
        <v>12</v>
      </c>
      <c r="H2572" t="str">
        <f>TEXT(Tabela1[[#This Row],[Coluna2]]*29,"mmmm")</f>
        <v>dezembro</v>
      </c>
      <c r="I2572" t="str">
        <f>TEXT(MONTH(Tabela1[[#This Row],[Último pagto ano]])*29,"mmmm")</f>
        <v>dezembro</v>
      </c>
    </row>
    <row r="2573" spans="1:9" x14ac:dyDescent="0.25">
      <c r="A2573">
        <v>2025</v>
      </c>
      <c r="B2573" t="s">
        <v>5120</v>
      </c>
      <c r="C2573" s="1">
        <v>45702</v>
      </c>
      <c r="D2573" t="s">
        <v>5121</v>
      </c>
      <c r="E2573">
        <v>593.62</v>
      </c>
      <c r="G2573" s="3">
        <f>MONTH(Tabela1[[#This Row],[Último pagto ano]])</f>
        <v>2</v>
      </c>
      <c r="H2573" t="str">
        <f>TEXT(Tabela1[[#This Row],[Coluna2]]*29,"mmmm")</f>
        <v>fevereiro</v>
      </c>
      <c r="I2573" t="str">
        <f>TEXT(MONTH(Tabela1[[#This Row],[Último pagto ano]])*29,"mmmm")</f>
        <v>fevereiro</v>
      </c>
    </row>
    <row r="2574" spans="1:9" x14ac:dyDescent="0.25">
      <c r="A2574">
        <v>2025</v>
      </c>
      <c r="B2574" t="s">
        <v>5122</v>
      </c>
      <c r="C2574" s="1">
        <v>45702</v>
      </c>
      <c r="D2574" t="s">
        <v>5123</v>
      </c>
      <c r="E2574">
        <v>14.83</v>
      </c>
      <c r="G2574" s="3">
        <f>MONTH(Tabela1[[#This Row],[Último pagto ano]])</f>
        <v>2</v>
      </c>
      <c r="H2574" t="str">
        <f>TEXT(Tabela1[[#This Row],[Coluna2]]*29,"mmmm")</f>
        <v>fevereiro</v>
      </c>
      <c r="I2574" t="str">
        <f>TEXT(MONTH(Tabela1[[#This Row],[Último pagto ano]])*29,"mmmm")</f>
        <v>fevereiro</v>
      </c>
    </row>
    <row r="2575" spans="1:9" x14ac:dyDescent="0.25">
      <c r="A2575">
        <v>2025</v>
      </c>
      <c r="B2575" t="s">
        <v>5124</v>
      </c>
      <c r="C2575" s="1">
        <v>45959</v>
      </c>
      <c r="D2575" t="s">
        <v>5125</v>
      </c>
      <c r="E2575" s="2">
        <v>7000</v>
      </c>
      <c r="G2575" s="3">
        <f>MONTH(Tabela1[[#This Row],[Último pagto ano]])</f>
        <v>10</v>
      </c>
      <c r="H2575" t="str">
        <f>TEXT(Tabela1[[#This Row],[Coluna2]]*29,"mmmm")</f>
        <v>outubro</v>
      </c>
      <c r="I2575" t="str">
        <f>TEXT(MONTH(Tabela1[[#This Row],[Último pagto ano]])*29,"mmmm")</f>
        <v>outubro</v>
      </c>
    </row>
    <row r="2576" spans="1:9" x14ac:dyDescent="0.25">
      <c r="A2576">
        <v>2025</v>
      </c>
      <c r="B2576" t="s">
        <v>5126</v>
      </c>
      <c r="C2576" s="1">
        <v>45838</v>
      </c>
      <c r="D2576" t="s">
        <v>5127</v>
      </c>
      <c r="E2576">
        <v>44</v>
      </c>
      <c r="G2576" s="3">
        <f>MONTH(Tabela1[[#This Row],[Último pagto ano]])</f>
        <v>6</v>
      </c>
      <c r="H2576" t="str">
        <f>TEXT(Tabela1[[#This Row],[Coluna2]]*29,"mmmm")</f>
        <v>junho</v>
      </c>
      <c r="I2576" t="str">
        <f>TEXT(MONTH(Tabela1[[#This Row],[Último pagto ano]])*29,"mmmm")</f>
        <v>junho</v>
      </c>
    </row>
    <row r="2577" spans="1:9" x14ac:dyDescent="0.25">
      <c r="A2577">
        <v>2025</v>
      </c>
      <c r="B2577" t="s">
        <v>5128</v>
      </c>
      <c r="C2577" s="1">
        <v>45702</v>
      </c>
      <c r="D2577" t="s">
        <v>5129</v>
      </c>
      <c r="E2577">
        <v>50.12</v>
      </c>
      <c r="G2577" s="3">
        <f>MONTH(Tabela1[[#This Row],[Último pagto ano]])</f>
        <v>2</v>
      </c>
      <c r="H2577" t="str">
        <f>TEXT(Tabela1[[#This Row],[Coluna2]]*29,"mmmm")</f>
        <v>fevereiro</v>
      </c>
      <c r="I2577" t="str">
        <f>TEXT(MONTH(Tabela1[[#This Row],[Último pagto ano]])*29,"mmmm")</f>
        <v>fevereiro</v>
      </c>
    </row>
    <row r="2578" spans="1:9" x14ac:dyDescent="0.25">
      <c r="A2578">
        <v>2025</v>
      </c>
      <c r="B2578" t="s">
        <v>5130</v>
      </c>
      <c r="C2578" s="1">
        <v>45813</v>
      </c>
      <c r="D2578" t="s">
        <v>5131</v>
      </c>
      <c r="E2578" s="2">
        <v>4015.69</v>
      </c>
      <c r="G2578" s="3">
        <f>MONTH(Tabela1[[#This Row],[Último pagto ano]])</f>
        <v>6</v>
      </c>
      <c r="H2578" t="str">
        <f>TEXT(Tabela1[[#This Row],[Coluna2]]*29,"mmmm")</f>
        <v>junho</v>
      </c>
      <c r="I2578" t="str">
        <f>TEXT(MONTH(Tabela1[[#This Row],[Último pagto ano]])*29,"mmmm")</f>
        <v>junho</v>
      </c>
    </row>
    <row r="2579" spans="1:9" x14ac:dyDescent="0.25">
      <c r="A2579">
        <v>2025</v>
      </c>
      <c r="B2579" t="s">
        <v>5132</v>
      </c>
      <c r="C2579" s="1">
        <v>45748</v>
      </c>
      <c r="D2579" t="s">
        <v>5133</v>
      </c>
      <c r="E2579" s="2">
        <v>2566.65</v>
      </c>
      <c r="G2579" s="3">
        <f>MONTH(Tabela1[[#This Row],[Último pagto ano]])</f>
        <v>4</v>
      </c>
      <c r="H2579" t="str">
        <f>TEXT(Tabela1[[#This Row],[Coluna2]]*29,"mmmm")</f>
        <v>abril</v>
      </c>
      <c r="I2579" t="str">
        <f>TEXT(MONTH(Tabela1[[#This Row],[Último pagto ano]])*29,"mmmm")</f>
        <v>abril</v>
      </c>
    </row>
    <row r="2580" spans="1:9" x14ac:dyDescent="0.25">
      <c r="A2580">
        <v>2025</v>
      </c>
      <c r="B2580" t="s">
        <v>5134</v>
      </c>
      <c r="C2580" s="1">
        <v>45996</v>
      </c>
      <c r="D2580" t="s">
        <v>5135</v>
      </c>
      <c r="E2580" s="2">
        <v>6350</v>
      </c>
      <c r="G2580" s="3">
        <f>MONTH(Tabela1[[#This Row],[Último pagto ano]])</f>
        <v>12</v>
      </c>
      <c r="H2580" t="str">
        <f>TEXT(Tabela1[[#This Row],[Coluna2]]*29,"mmmm")</f>
        <v>dezembro</v>
      </c>
      <c r="I2580" t="str">
        <f>TEXT(MONTH(Tabela1[[#This Row],[Último pagto ano]])*29,"mmmm")</f>
        <v>dezembro</v>
      </c>
    </row>
    <row r="2581" spans="1:9" x14ac:dyDescent="0.25">
      <c r="A2581">
        <v>2025</v>
      </c>
      <c r="B2581" t="s">
        <v>5136</v>
      </c>
      <c r="C2581" s="1">
        <v>45947</v>
      </c>
      <c r="D2581" t="s">
        <v>5137</v>
      </c>
      <c r="E2581" s="2">
        <v>11663.07</v>
      </c>
      <c r="G2581" s="3">
        <f>MONTH(Tabela1[[#This Row],[Último pagto ano]])</f>
        <v>10</v>
      </c>
      <c r="H2581" t="str">
        <f>TEXT(Tabela1[[#This Row],[Coluna2]]*29,"mmmm")</f>
        <v>outubro</v>
      </c>
      <c r="I2581" t="str">
        <f>TEXT(MONTH(Tabela1[[#This Row],[Último pagto ano]])*29,"mmmm")</f>
        <v>outubro</v>
      </c>
    </row>
    <row r="2582" spans="1:9" x14ac:dyDescent="0.25">
      <c r="A2582">
        <v>2025</v>
      </c>
      <c r="B2582" t="s">
        <v>5138</v>
      </c>
      <c r="C2582" s="1">
        <v>45953</v>
      </c>
      <c r="D2582" t="s">
        <v>5139</v>
      </c>
      <c r="E2582" s="2">
        <v>59770</v>
      </c>
      <c r="G2582" s="3">
        <f>MONTH(Tabela1[[#This Row],[Último pagto ano]])</f>
        <v>10</v>
      </c>
      <c r="H2582" t="str">
        <f>TEXT(Tabela1[[#This Row],[Coluna2]]*29,"mmmm")</f>
        <v>outubro</v>
      </c>
      <c r="I2582" t="str">
        <f>TEXT(MONTH(Tabela1[[#This Row],[Último pagto ano]])*29,"mmmm")</f>
        <v>outubro</v>
      </c>
    </row>
    <row r="2583" spans="1:9" x14ac:dyDescent="0.25">
      <c r="A2583">
        <v>2025</v>
      </c>
      <c r="B2583" t="s">
        <v>5140</v>
      </c>
      <c r="C2583" s="1">
        <v>45985</v>
      </c>
      <c r="D2583" t="s">
        <v>5141</v>
      </c>
      <c r="E2583">
        <v>66</v>
      </c>
      <c r="G2583" s="3">
        <f>MONTH(Tabela1[[#This Row],[Último pagto ano]])</f>
        <v>11</v>
      </c>
      <c r="H2583" t="str">
        <f>TEXT(Tabela1[[#This Row],[Coluna2]]*29,"mmmm")</f>
        <v>novembro</v>
      </c>
      <c r="I2583" t="str">
        <f>TEXT(MONTH(Tabela1[[#This Row],[Último pagto ano]])*29,"mmmm")</f>
        <v>novembro</v>
      </c>
    </row>
    <row r="2584" spans="1:9" x14ac:dyDescent="0.25">
      <c r="A2584">
        <v>2025</v>
      </c>
      <c r="B2584" t="s">
        <v>5142</v>
      </c>
      <c r="C2584" s="1">
        <v>46013</v>
      </c>
      <c r="D2584" t="s">
        <v>5143</v>
      </c>
      <c r="E2584" s="2">
        <v>1846.3</v>
      </c>
      <c r="G2584" s="3">
        <f>MONTH(Tabela1[[#This Row],[Último pagto ano]])</f>
        <v>12</v>
      </c>
      <c r="H2584" t="str">
        <f>TEXT(Tabela1[[#This Row],[Coluna2]]*29,"mmmm")</f>
        <v>dezembro</v>
      </c>
      <c r="I2584" t="str">
        <f>TEXT(MONTH(Tabela1[[#This Row],[Último pagto ano]])*29,"mmmm")</f>
        <v>dezembro</v>
      </c>
    </row>
    <row r="2585" spans="1:9" x14ac:dyDescent="0.25">
      <c r="A2585">
        <v>2025</v>
      </c>
      <c r="B2585" t="s">
        <v>5144</v>
      </c>
      <c r="C2585" s="1">
        <v>45945</v>
      </c>
      <c r="D2585" t="s">
        <v>5145</v>
      </c>
      <c r="E2585" s="2">
        <v>2369.2800000000002</v>
      </c>
      <c r="G2585" s="3">
        <f>MONTH(Tabela1[[#This Row],[Último pagto ano]])</f>
        <v>10</v>
      </c>
      <c r="H2585" t="str">
        <f>TEXT(Tabela1[[#This Row],[Coluna2]]*29,"mmmm")</f>
        <v>outubro</v>
      </c>
      <c r="I2585" t="str">
        <f>TEXT(MONTH(Tabela1[[#This Row],[Último pagto ano]])*29,"mmmm")</f>
        <v>outubro</v>
      </c>
    </row>
    <row r="2586" spans="1:9" x14ac:dyDescent="0.25">
      <c r="A2586">
        <v>2025</v>
      </c>
      <c r="B2586" t="s">
        <v>5146</v>
      </c>
      <c r="C2586" s="1">
        <v>45748</v>
      </c>
      <c r="D2586" t="s">
        <v>5147</v>
      </c>
      <c r="E2586" s="2">
        <v>10670.04</v>
      </c>
      <c r="G2586" s="3">
        <f>MONTH(Tabela1[[#This Row],[Último pagto ano]])</f>
        <v>4</v>
      </c>
      <c r="H2586" t="str">
        <f>TEXT(Tabela1[[#This Row],[Coluna2]]*29,"mmmm")</f>
        <v>abril</v>
      </c>
      <c r="I2586" t="str">
        <f>TEXT(MONTH(Tabela1[[#This Row],[Último pagto ano]])*29,"mmmm")</f>
        <v>abril</v>
      </c>
    </row>
    <row r="2587" spans="1:9" x14ac:dyDescent="0.25">
      <c r="A2587">
        <v>2025</v>
      </c>
      <c r="B2587" t="s">
        <v>5148</v>
      </c>
      <c r="C2587" s="1">
        <v>45803</v>
      </c>
      <c r="D2587" t="s">
        <v>5149</v>
      </c>
      <c r="E2587" s="2">
        <v>5000</v>
      </c>
      <c r="G2587" s="3">
        <f>MONTH(Tabela1[[#This Row],[Último pagto ano]])</f>
        <v>5</v>
      </c>
      <c r="H2587" t="str">
        <f>TEXT(Tabela1[[#This Row],[Coluna2]]*29,"mmmm")</f>
        <v>maio</v>
      </c>
      <c r="I2587" t="str">
        <f>TEXT(MONTH(Tabela1[[#This Row],[Último pagto ano]])*29,"mmmm")</f>
        <v>maio</v>
      </c>
    </row>
    <row r="2588" spans="1:9" x14ac:dyDescent="0.25">
      <c r="A2588">
        <v>2025</v>
      </c>
      <c r="B2588" t="s">
        <v>5150</v>
      </c>
      <c r="C2588" s="1">
        <v>46006</v>
      </c>
      <c r="D2588" t="s">
        <v>5151</v>
      </c>
      <c r="E2588" s="2">
        <v>5923.2</v>
      </c>
      <c r="G2588" s="3">
        <f>MONTH(Tabela1[[#This Row],[Último pagto ano]])</f>
        <v>12</v>
      </c>
      <c r="H2588" t="str">
        <f>TEXT(Tabela1[[#This Row],[Coluna2]]*29,"mmmm")</f>
        <v>dezembro</v>
      </c>
      <c r="I2588" t="str">
        <f>TEXT(MONTH(Tabela1[[#This Row],[Último pagto ano]])*29,"mmmm")</f>
        <v>dezembro</v>
      </c>
    </row>
    <row r="2589" spans="1:9" x14ac:dyDescent="0.25">
      <c r="A2589">
        <v>2025</v>
      </c>
      <c r="B2589" t="s">
        <v>5152</v>
      </c>
      <c r="C2589" s="1">
        <v>45740</v>
      </c>
      <c r="D2589" t="s">
        <v>5153</v>
      </c>
      <c r="E2589" s="2">
        <v>2100</v>
      </c>
      <c r="G2589" s="3">
        <f>MONTH(Tabela1[[#This Row],[Último pagto ano]])</f>
        <v>3</v>
      </c>
      <c r="H2589" t="str">
        <f>TEXT(Tabela1[[#This Row],[Coluna2]]*29,"mmmm")</f>
        <v>março</v>
      </c>
      <c r="I2589" t="str">
        <f>TEXT(MONTH(Tabela1[[#This Row],[Último pagto ano]])*29,"mmmm")</f>
        <v>março</v>
      </c>
    </row>
    <row r="2590" spans="1:9" x14ac:dyDescent="0.25">
      <c r="A2590">
        <v>2025</v>
      </c>
      <c r="B2590" t="s">
        <v>5154</v>
      </c>
      <c r="C2590" s="1">
        <v>46008</v>
      </c>
      <c r="D2590" t="s">
        <v>5155</v>
      </c>
      <c r="E2590" s="2">
        <v>105628.48</v>
      </c>
      <c r="G2590" s="3">
        <f>MONTH(Tabela1[[#This Row],[Último pagto ano]])</f>
        <v>12</v>
      </c>
      <c r="H2590" t="str">
        <f>TEXT(Tabela1[[#This Row],[Coluna2]]*29,"mmmm")</f>
        <v>dezembro</v>
      </c>
      <c r="I2590" t="str">
        <f>TEXT(MONTH(Tabela1[[#This Row],[Último pagto ano]])*29,"mmmm")</f>
        <v>dezembro</v>
      </c>
    </row>
    <row r="2591" spans="1:9" x14ac:dyDescent="0.25">
      <c r="A2591">
        <v>2025</v>
      </c>
      <c r="B2591" t="s">
        <v>5156</v>
      </c>
      <c r="C2591" s="1">
        <v>45959</v>
      </c>
      <c r="D2591" t="s">
        <v>5157</v>
      </c>
      <c r="E2591" s="2">
        <v>2800</v>
      </c>
      <c r="G2591" s="3">
        <f>MONTH(Tabela1[[#This Row],[Último pagto ano]])</f>
        <v>10</v>
      </c>
      <c r="H2591" t="str">
        <f>TEXT(Tabela1[[#This Row],[Coluna2]]*29,"mmmm")</f>
        <v>outubro</v>
      </c>
      <c r="I2591" t="str">
        <f>TEXT(MONTH(Tabela1[[#This Row],[Último pagto ano]])*29,"mmmm")</f>
        <v>outubro</v>
      </c>
    </row>
    <row r="2592" spans="1:9" x14ac:dyDescent="0.25">
      <c r="A2592">
        <v>2025</v>
      </c>
      <c r="B2592" t="s">
        <v>5158</v>
      </c>
      <c r="C2592" s="1">
        <v>45807</v>
      </c>
      <c r="D2592" t="s">
        <v>5159</v>
      </c>
      <c r="E2592" s="2">
        <v>3985.58</v>
      </c>
      <c r="G2592" s="3">
        <f>MONTH(Tabela1[[#This Row],[Último pagto ano]])</f>
        <v>5</v>
      </c>
      <c r="H2592" t="str">
        <f>TEXT(Tabela1[[#This Row],[Coluna2]]*29,"mmmm")</f>
        <v>maio</v>
      </c>
      <c r="I2592" t="str">
        <f>TEXT(MONTH(Tabela1[[#This Row],[Último pagto ano]])*29,"mmmm")</f>
        <v>maio</v>
      </c>
    </row>
    <row r="2593" spans="1:9" x14ac:dyDescent="0.25">
      <c r="A2593">
        <v>2025</v>
      </c>
      <c r="B2593" t="s">
        <v>5160</v>
      </c>
      <c r="C2593" s="1">
        <v>45695</v>
      </c>
      <c r="D2593" t="s">
        <v>5161</v>
      </c>
      <c r="E2593" s="2">
        <v>8054.4</v>
      </c>
      <c r="G2593" s="3">
        <f>MONTH(Tabela1[[#This Row],[Último pagto ano]])</f>
        <v>2</v>
      </c>
      <c r="H2593" t="str">
        <f>TEXT(Tabela1[[#This Row],[Coluna2]]*29,"mmmm")</f>
        <v>fevereiro</v>
      </c>
      <c r="I2593" t="str">
        <f>TEXT(MONTH(Tabela1[[#This Row],[Último pagto ano]])*29,"mmmm")</f>
        <v>fevereiro</v>
      </c>
    </row>
    <row r="2594" spans="1:9" x14ac:dyDescent="0.25">
      <c r="A2594">
        <v>2025</v>
      </c>
      <c r="B2594" t="s">
        <v>5162</v>
      </c>
      <c r="C2594" s="1">
        <v>45996</v>
      </c>
      <c r="D2594" t="s">
        <v>5163</v>
      </c>
      <c r="E2594" s="2">
        <v>1750</v>
      </c>
      <c r="G2594" s="3">
        <f>MONTH(Tabela1[[#This Row],[Último pagto ano]])</f>
        <v>12</v>
      </c>
      <c r="H2594" t="str">
        <f>TEXT(Tabela1[[#This Row],[Coluna2]]*29,"mmmm")</f>
        <v>dezembro</v>
      </c>
      <c r="I2594" t="str">
        <f>TEXT(MONTH(Tabela1[[#This Row],[Último pagto ano]])*29,"mmmm")</f>
        <v>dezembro</v>
      </c>
    </row>
    <row r="2595" spans="1:9" x14ac:dyDescent="0.25">
      <c r="A2595">
        <v>2025</v>
      </c>
      <c r="B2595" t="s">
        <v>5164</v>
      </c>
      <c r="C2595" s="1">
        <v>45769</v>
      </c>
      <c r="D2595" t="s">
        <v>5165</v>
      </c>
      <c r="E2595">
        <v>360.09</v>
      </c>
      <c r="G2595" s="3">
        <f>MONTH(Tabela1[[#This Row],[Último pagto ano]])</f>
        <v>4</v>
      </c>
      <c r="H2595" t="str">
        <f>TEXT(Tabela1[[#This Row],[Coluna2]]*29,"mmmm")</f>
        <v>abril</v>
      </c>
      <c r="I2595" t="str">
        <f>TEXT(MONTH(Tabela1[[#This Row],[Último pagto ano]])*29,"mmmm")</f>
        <v>abril</v>
      </c>
    </row>
    <row r="2596" spans="1:9" x14ac:dyDescent="0.25">
      <c r="A2596">
        <v>2025</v>
      </c>
      <c r="B2596" t="s">
        <v>5166</v>
      </c>
      <c r="C2596" s="1">
        <v>45744</v>
      </c>
      <c r="D2596" t="s">
        <v>5167</v>
      </c>
      <c r="E2596" s="2">
        <v>52576.45</v>
      </c>
      <c r="G2596" s="3">
        <f>MONTH(Tabela1[[#This Row],[Último pagto ano]])</f>
        <v>3</v>
      </c>
      <c r="H2596" t="str">
        <f>TEXT(Tabela1[[#This Row],[Coluna2]]*29,"mmmm")</f>
        <v>março</v>
      </c>
      <c r="I2596" t="str">
        <f>TEXT(MONTH(Tabela1[[#This Row],[Último pagto ano]])*29,"mmmm")</f>
        <v>março</v>
      </c>
    </row>
    <row r="2597" spans="1:9" x14ac:dyDescent="0.25">
      <c r="A2597">
        <v>2025</v>
      </c>
      <c r="B2597" t="s">
        <v>5168</v>
      </c>
      <c r="C2597" s="1">
        <v>45880</v>
      </c>
      <c r="D2597" t="s">
        <v>5169</v>
      </c>
      <c r="E2597">
        <v>44</v>
      </c>
      <c r="G2597" s="3">
        <f>MONTH(Tabela1[[#This Row],[Último pagto ano]])</f>
        <v>8</v>
      </c>
      <c r="H2597" t="str">
        <f>TEXT(Tabela1[[#This Row],[Coluna2]]*29,"mmmm")</f>
        <v>agosto</v>
      </c>
      <c r="I2597" t="str">
        <f>TEXT(MONTH(Tabela1[[#This Row],[Último pagto ano]])*29,"mmmm")</f>
        <v>agosto</v>
      </c>
    </row>
    <row r="2598" spans="1:9" x14ac:dyDescent="0.25">
      <c r="A2598">
        <v>2025</v>
      </c>
      <c r="B2598" t="s">
        <v>5170</v>
      </c>
      <c r="C2598" s="1">
        <v>45922</v>
      </c>
      <c r="D2598" t="s">
        <v>5171</v>
      </c>
      <c r="E2598">
        <v>54.08</v>
      </c>
      <c r="G2598" s="3">
        <f>MONTH(Tabela1[[#This Row],[Último pagto ano]])</f>
        <v>9</v>
      </c>
      <c r="H2598" t="str">
        <f>TEXT(Tabela1[[#This Row],[Coluna2]]*29,"mmmm")</f>
        <v>setembro</v>
      </c>
      <c r="I2598" t="str">
        <f>TEXT(MONTH(Tabela1[[#This Row],[Último pagto ano]])*29,"mmmm")</f>
        <v>setembro</v>
      </c>
    </row>
    <row r="2599" spans="1:9" x14ac:dyDescent="0.25">
      <c r="A2599">
        <v>2025</v>
      </c>
      <c r="B2599" t="s">
        <v>5172</v>
      </c>
      <c r="C2599" s="1">
        <v>45989</v>
      </c>
      <c r="D2599" t="s">
        <v>5173</v>
      </c>
      <c r="E2599" s="2">
        <v>8423.15</v>
      </c>
      <c r="G2599" s="3">
        <f>MONTH(Tabela1[[#This Row],[Último pagto ano]])</f>
        <v>11</v>
      </c>
      <c r="H2599" t="str">
        <f>TEXT(Tabela1[[#This Row],[Coluna2]]*29,"mmmm")</f>
        <v>novembro</v>
      </c>
      <c r="I2599" t="str">
        <f>TEXT(MONTH(Tabela1[[#This Row],[Último pagto ano]])*29,"mmmm")</f>
        <v>novembro</v>
      </c>
    </row>
    <row r="2600" spans="1:9" x14ac:dyDescent="0.25">
      <c r="A2600">
        <v>2025</v>
      </c>
      <c r="B2600" t="s">
        <v>5174</v>
      </c>
      <c r="C2600" s="1">
        <v>45996</v>
      </c>
      <c r="D2600" t="s">
        <v>5175</v>
      </c>
      <c r="E2600" s="2">
        <v>22365</v>
      </c>
      <c r="G2600" s="3">
        <f>MONTH(Tabela1[[#This Row],[Último pagto ano]])</f>
        <v>12</v>
      </c>
      <c r="H2600" t="str">
        <f>TEXT(Tabela1[[#This Row],[Coluna2]]*29,"mmmm")</f>
        <v>dezembro</v>
      </c>
      <c r="I2600" t="str">
        <f>TEXT(MONTH(Tabela1[[#This Row],[Último pagto ano]])*29,"mmmm")</f>
        <v>dezembro</v>
      </c>
    </row>
    <row r="2601" spans="1:9" x14ac:dyDescent="0.25">
      <c r="A2601">
        <v>2025</v>
      </c>
      <c r="B2601" t="s">
        <v>5176</v>
      </c>
      <c r="C2601" s="1">
        <v>45922</v>
      </c>
      <c r="D2601" t="s">
        <v>5177</v>
      </c>
      <c r="E2601" s="2">
        <v>9277</v>
      </c>
      <c r="G2601" s="3">
        <f>MONTH(Tabela1[[#This Row],[Último pagto ano]])</f>
        <v>9</v>
      </c>
      <c r="H2601" t="str">
        <f>TEXT(Tabela1[[#This Row],[Coluna2]]*29,"mmmm")</f>
        <v>setembro</v>
      </c>
      <c r="I2601" t="str">
        <f>TEXT(MONTH(Tabela1[[#This Row],[Último pagto ano]])*29,"mmmm")</f>
        <v>setembro</v>
      </c>
    </row>
    <row r="2602" spans="1:9" x14ac:dyDescent="0.25">
      <c r="A2602">
        <v>2025</v>
      </c>
      <c r="B2602" t="s">
        <v>5178</v>
      </c>
      <c r="C2602" s="1">
        <v>46006</v>
      </c>
      <c r="D2602" t="s">
        <v>5179</v>
      </c>
      <c r="E2602">
        <v>319</v>
      </c>
      <c r="G2602" s="3">
        <f>MONTH(Tabela1[[#This Row],[Último pagto ano]])</f>
        <v>12</v>
      </c>
      <c r="H2602" t="str">
        <f>TEXT(Tabela1[[#This Row],[Coluna2]]*29,"mmmm")</f>
        <v>dezembro</v>
      </c>
      <c r="I2602" t="str">
        <f>TEXT(MONTH(Tabela1[[#This Row],[Último pagto ano]])*29,"mmmm")</f>
        <v>dezembro</v>
      </c>
    </row>
    <row r="2603" spans="1:9" x14ac:dyDescent="0.25">
      <c r="A2603">
        <v>2025</v>
      </c>
      <c r="B2603" t="s">
        <v>5180</v>
      </c>
      <c r="C2603" s="1">
        <v>45978</v>
      </c>
      <c r="D2603" t="s">
        <v>5181</v>
      </c>
      <c r="E2603">
        <v>286</v>
      </c>
      <c r="G2603" s="3">
        <f>MONTH(Tabela1[[#This Row],[Último pagto ano]])</f>
        <v>11</v>
      </c>
      <c r="H2603" t="str">
        <f>TEXT(Tabela1[[#This Row],[Coluna2]]*29,"mmmm")</f>
        <v>novembro</v>
      </c>
      <c r="I2603" t="str">
        <f>TEXT(MONTH(Tabela1[[#This Row],[Último pagto ano]])*29,"mmmm")</f>
        <v>novembro</v>
      </c>
    </row>
    <row r="2604" spans="1:9" x14ac:dyDescent="0.25">
      <c r="A2604">
        <v>2025</v>
      </c>
      <c r="B2604" t="s">
        <v>5182</v>
      </c>
      <c r="C2604" s="1">
        <v>45989</v>
      </c>
      <c r="D2604" t="s">
        <v>5183</v>
      </c>
      <c r="E2604" s="2">
        <v>7224.46</v>
      </c>
      <c r="G2604" s="3">
        <f>MONTH(Tabela1[[#This Row],[Último pagto ano]])</f>
        <v>11</v>
      </c>
      <c r="H2604" t="str">
        <f>TEXT(Tabela1[[#This Row],[Coluna2]]*29,"mmmm")</f>
        <v>novembro</v>
      </c>
      <c r="I2604" t="str">
        <f>TEXT(MONTH(Tabela1[[#This Row],[Último pagto ano]])*29,"mmmm")</f>
        <v>novembro</v>
      </c>
    </row>
    <row r="2605" spans="1:9" x14ac:dyDescent="0.25">
      <c r="A2605">
        <v>2025</v>
      </c>
      <c r="B2605" t="s">
        <v>5184</v>
      </c>
      <c r="C2605" s="1">
        <v>46010</v>
      </c>
      <c r="D2605" t="s">
        <v>5185</v>
      </c>
      <c r="E2605" s="2">
        <v>7700</v>
      </c>
      <c r="G2605" s="3">
        <f>MONTH(Tabela1[[#This Row],[Último pagto ano]])</f>
        <v>12</v>
      </c>
      <c r="H2605" t="str">
        <f>TEXT(Tabela1[[#This Row],[Coluna2]]*29,"mmmm")</f>
        <v>dezembro</v>
      </c>
      <c r="I2605" t="str">
        <f>TEXT(MONTH(Tabela1[[#This Row],[Último pagto ano]])*29,"mmmm")</f>
        <v>dezembro</v>
      </c>
    </row>
    <row r="2606" spans="1:9" x14ac:dyDescent="0.25">
      <c r="A2606">
        <v>2025</v>
      </c>
      <c r="B2606" t="s">
        <v>5186</v>
      </c>
      <c r="C2606" s="1">
        <v>45996</v>
      </c>
      <c r="D2606" t="s">
        <v>5187</v>
      </c>
      <c r="E2606" s="2">
        <v>4000</v>
      </c>
      <c r="G2606" s="3">
        <f>MONTH(Tabela1[[#This Row],[Último pagto ano]])</f>
        <v>12</v>
      </c>
      <c r="H2606" t="str">
        <f>TEXT(Tabela1[[#This Row],[Coluna2]]*29,"mmmm")</f>
        <v>dezembro</v>
      </c>
      <c r="I2606" t="str">
        <f>TEXT(MONTH(Tabela1[[#This Row],[Último pagto ano]])*29,"mmmm")</f>
        <v>dezembro</v>
      </c>
    </row>
    <row r="2607" spans="1:9" x14ac:dyDescent="0.25">
      <c r="A2607">
        <v>2025</v>
      </c>
      <c r="B2607" t="s">
        <v>5188</v>
      </c>
      <c r="C2607" s="1">
        <v>45950</v>
      </c>
      <c r="D2607" t="s">
        <v>5189</v>
      </c>
      <c r="E2607">
        <v>25.21</v>
      </c>
      <c r="G2607" s="3">
        <f>MONTH(Tabela1[[#This Row],[Último pagto ano]])</f>
        <v>10</v>
      </c>
      <c r="H2607" t="str">
        <f>TEXT(Tabela1[[#This Row],[Coluna2]]*29,"mmmm")</f>
        <v>outubro</v>
      </c>
      <c r="I2607" t="str">
        <f>TEXT(MONTH(Tabela1[[#This Row],[Último pagto ano]])*29,"mmmm")</f>
        <v>outubro</v>
      </c>
    </row>
    <row r="2608" spans="1:9" x14ac:dyDescent="0.25">
      <c r="A2608">
        <v>2025</v>
      </c>
      <c r="B2608" t="s">
        <v>5190</v>
      </c>
      <c r="C2608" s="1">
        <v>46006</v>
      </c>
      <c r="D2608" t="s">
        <v>5191</v>
      </c>
      <c r="E2608" s="2">
        <v>4340</v>
      </c>
      <c r="G2608" s="3">
        <f>MONTH(Tabela1[[#This Row],[Último pagto ano]])</f>
        <v>12</v>
      </c>
      <c r="H2608" t="str">
        <f>TEXT(Tabela1[[#This Row],[Coluna2]]*29,"mmmm")</f>
        <v>dezembro</v>
      </c>
      <c r="I2608" t="str">
        <f>TEXT(MONTH(Tabela1[[#This Row],[Último pagto ano]])*29,"mmmm")</f>
        <v>dezembro</v>
      </c>
    </row>
    <row r="2609" spans="1:9" x14ac:dyDescent="0.25">
      <c r="A2609">
        <v>2025</v>
      </c>
      <c r="B2609" t="s">
        <v>5192</v>
      </c>
      <c r="C2609" s="1">
        <v>45945</v>
      </c>
      <c r="D2609" t="s">
        <v>5193</v>
      </c>
      <c r="E2609">
        <v>296.16000000000003</v>
      </c>
      <c r="G2609" s="3">
        <f>MONTH(Tabela1[[#This Row],[Último pagto ano]])</f>
        <v>10</v>
      </c>
      <c r="H2609" t="str">
        <f>TEXT(Tabela1[[#This Row],[Coluna2]]*29,"mmmm")</f>
        <v>outubro</v>
      </c>
      <c r="I2609" t="str">
        <f>TEXT(MONTH(Tabela1[[#This Row],[Último pagto ano]])*29,"mmmm")</f>
        <v>outubro</v>
      </c>
    </row>
    <row r="2610" spans="1:9" x14ac:dyDescent="0.25">
      <c r="A2610">
        <v>2025</v>
      </c>
      <c r="B2610" t="s">
        <v>5194</v>
      </c>
      <c r="C2610" s="1">
        <v>45924</v>
      </c>
      <c r="D2610" t="s">
        <v>5195</v>
      </c>
      <c r="E2610" s="2">
        <v>2100</v>
      </c>
      <c r="G2610" s="3">
        <f>MONTH(Tabela1[[#This Row],[Último pagto ano]])</f>
        <v>9</v>
      </c>
      <c r="H2610" t="str">
        <f>TEXT(Tabela1[[#This Row],[Coluna2]]*29,"mmmm")</f>
        <v>setembro</v>
      </c>
      <c r="I2610" t="str">
        <f>TEXT(MONTH(Tabela1[[#This Row],[Último pagto ano]])*29,"mmmm")</f>
        <v>setembro</v>
      </c>
    </row>
    <row r="2611" spans="1:9" x14ac:dyDescent="0.25">
      <c r="A2611">
        <v>2025</v>
      </c>
      <c r="B2611" t="s">
        <v>5196</v>
      </c>
      <c r="C2611" s="1">
        <v>45712</v>
      </c>
      <c r="D2611" t="s">
        <v>5197</v>
      </c>
      <c r="E2611" s="2">
        <v>1400</v>
      </c>
      <c r="G2611" s="3">
        <f>MONTH(Tabela1[[#This Row],[Último pagto ano]])</f>
        <v>2</v>
      </c>
      <c r="H2611" t="str">
        <f>TEXT(Tabela1[[#This Row],[Coluna2]]*29,"mmmm")</f>
        <v>fevereiro</v>
      </c>
      <c r="I2611" t="str">
        <f>TEXT(MONTH(Tabela1[[#This Row],[Último pagto ano]])*29,"mmmm")</f>
        <v>fevereiro</v>
      </c>
    </row>
    <row r="2612" spans="1:9" x14ac:dyDescent="0.25">
      <c r="A2612">
        <v>2025</v>
      </c>
      <c r="B2612" t="s">
        <v>5198</v>
      </c>
      <c r="C2612" s="1">
        <v>45975</v>
      </c>
      <c r="D2612" t="s">
        <v>5199</v>
      </c>
      <c r="E2612">
        <v>296.16000000000003</v>
      </c>
      <c r="G2612" s="3">
        <f>MONTH(Tabela1[[#This Row],[Último pagto ano]])</f>
        <v>11</v>
      </c>
      <c r="H2612" t="str">
        <f>TEXT(Tabela1[[#This Row],[Coluna2]]*29,"mmmm")</f>
        <v>novembro</v>
      </c>
      <c r="I2612" t="str">
        <f>TEXT(MONTH(Tabela1[[#This Row],[Último pagto ano]])*29,"mmmm")</f>
        <v>novembro</v>
      </c>
    </row>
    <row r="2613" spans="1:9" x14ac:dyDescent="0.25">
      <c r="A2613">
        <v>2025</v>
      </c>
      <c r="B2613" t="s">
        <v>5200</v>
      </c>
      <c r="C2613" s="1">
        <v>45996</v>
      </c>
      <c r="D2613" t="s">
        <v>5201</v>
      </c>
      <c r="E2613" s="2">
        <v>1207.3599999999999</v>
      </c>
      <c r="G2613" s="3">
        <f>MONTH(Tabela1[[#This Row],[Último pagto ano]])</f>
        <v>12</v>
      </c>
      <c r="H2613" t="str">
        <f>TEXT(Tabela1[[#This Row],[Coluna2]]*29,"mmmm")</f>
        <v>dezembro</v>
      </c>
      <c r="I2613" t="str">
        <f>TEXT(MONTH(Tabela1[[#This Row],[Último pagto ano]])*29,"mmmm")</f>
        <v>dezembro</v>
      </c>
    </row>
    <row r="2614" spans="1:9" x14ac:dyDescent="0.25">
      <c r="A2614">
        <v>2025</v>
      </c>
      <c r="B2614" t="s">
        <v>5202</v>
      </c>
      <c r="C2614" s="1">
        <v>45702</v>
      </c>
      <c r="D2614" t="s">
        <v>5203</v>
      </c>
      <c r="E2614">
        <v>270.33999999999997</v>
      </c>
      <c r="G2614" s="3">
        <f>MONTH(Tabela1[[#This Row],[Último pagto ano]])</f>
        <v>2</v>
      </c>
      <c r="H2614" t="str">
        <f>TEXT(Tabela1[[#This Row],[Coluna2]]*29,"mmmm")</f>
        <v>fevereiro</v>
      </c>
      <c r="I2614" t="str">
        <f>TEXT(MONTH(Tabela1[[#This Row],[Último pagto ano]])*29,"mmmm")</f>
        <v>fevereiro</v>
      </c>
    </row>
    <row r="2615" spans="1:9" x14ac:dyDescent="0.25">
      <c r="A2615">
        <v>2025</v>
      </c>
      <c r="B2615" t="s">
        <v>5204</v>
      </c>
      <c r="C2615" s="1">
        <v>45705</v>
      </c>
      <c r="D2615" t="s">
        <v>5205</v>
      </c>
      <c r="E2615">
        <v>296.16000000000003</v>
      </c>
      <c r="G2615" s="3">
        <f>MONTH(Tabela1[[#This Row],[Último pagto ano]])</f>
        <v>2</v>
      </c>
      <c r="H2615" t="str">
        <f>TEXT(Tabela1[[#This Row],[Coluna2]]*29,"mmmm")</f>
        <v>fevereiro</v>
      </c>
      <c r="I2615" t="str">
        <f>TEXT(MONTH(Tabela1[[#This Row],[Último pagto ano]])*29,"mmmm")</f>
        <v>fevereiro</v>
      </c>
    </row>
    <row r="2616" spans="1:9" x14ac:dyDescent="0.25">
      <c r="A2616">
        <v>2025</v>
      </c>
      <c r="B2616" t="s">
        <v>5206</v>
      </c>
      <c r="C2616" s="1">
        <v>45924</v>
      </c>
      <c r="D2616" t="s">
        <v>5207</v>
      </c>
      <c r="E2616" s="2">
        <v>2100</v>
      </c>
      <c r="G2616" s="3">
        <f>MONTH(Tabela1[[#This Row],[Último pagto ano]])</f>
        <v>9</v>
      </c>
      <c r="H2616" t="str">
        <f>TEXT(Tabela1[[#This Row],[Coluna2]]*29,"mmmm")</f>
        <v>setembro</v>
      </c>
      <c r="I2616" t="str">
        <f>TEXT(MONTH(Tabela1[[#This Row],[Último pagto ano]])*29,"mmmm")</f>
        <v>setembro</v>
      </c>
    </row>
    <row r="2617" spans="1:9" x14ac:dyDescent="0.25">
      <c r="A2617">
        <v>2025</v>
      </c>
      <c r="B2617" t="s">
        <v>5208</v>
      </c>
      <c r="C2617" s="1">
        <v>46014</v>
      </c>
      <c r="D2617" t="s">
        <v>5209</v>
      </c>
      <c r="E2617" s="2">
        <v>4400</v>
      </c>
      <c r="G2617" s="3">
        <f>MONTH(Tabela1[[#This Row],[Último pagto ano]])</f>
        <v>12</v>
      </c>
      <c r="H2617" t="str">
        <f>TEXT(Tabela1[[#This Row],[Coluna2]]*29,"mmmm")</f>
        <v>dezembro</v>
      </c>
      <c r="I2617" t="str">
        <f>TEXT(MONTH(Tabela1[[#This Row],[Último pagto ano]])*29,"mmmm")</f>
        <v>dezembro</v>
      </c>
    </row>
    <row r="2618" spans="1:9" x14ac:dyDescent="0.25">
      <c r="A2618">
        <v>2025</v>
      </c>
      <c r="B2618" t="s">
        <v>5210</v>
      </c>
      <c r="C2618" s="1">
        <v>45937</v>
      </c>
      <c r="D2618" t="s">
        <v>5211</v>
      </c>
      <c r="E2618" s="2">
        <v>11635.65</v>
      </c>
      <c r="G2618" s="3">
        <f>MONTH(Tabela1[[#This Row],[Último pagto ano]])</f>
        <v>10</v>
      </c>
      <c r="H2618" t="str">
        <f>TEXT(Tabela1[[#This Row],[Coluna2]]*29,"mmmm")</f>
        <v>outubro</v>
      </c>
      <c r="I2618" t="str">
        <f>TEXT(MONTH(Tabela1[[#This Row],[Último pagto ano]])*29,"mmmm")</f>
        <v>outubro</v>
      </c>
    </row>
    <row r="2619" spans="1:9" x14ac:dyDescent="0.25">
      <c r="A2619">
        <v>2025</v>
      </c>
      <c r="B2619" t="s">
        <v>5212</v>
      </c>
      <c r="C2619" s="1">
        <v>45880</v>
      </c>
      <c r="D2619" t="s">
        <v>5213</v>
      </c>
      <c r="E2619" s="2">
        <v>7000</v>
      </c>
      <c r="G2619" s="3">
        <f>MONTH(Tabela1[[#This Row],[Último pagto ano]])</f>
        <v>8</v>
      </c>
      <c r="H2619" t="str">
        <f>TEXT(Tabela1[[#This Row],[Coluna2]]*29,"mmmm")</f>
        <v>agosto</v>
      </c>
      <c r="I2619" t="str">
        <f>TEXT(MONTH(Tabela1[[#This Row],[Último pagto ano]])*29,"mmmm")</f>
        <v>agosto</v>
      </c>
    </row>
    <row r="2620" spans="1:9" x14ac:dyDescent="0.25">
      <c r="A2620">
        <v>2025</v>
      </c>
      <c r="B2620" t="s">
        <v>5214</v>
      </c>
      <c r="C2620" s="1">
        <v>45989</v>
      </c>
      <c r="D2620" t="s">
        <v>5215</v>
      </c>
      <c r="E2620" s="2">
        <v>19263.38</v>
      </c>
      <c r="G2620" s="3">
        <f>MONTH(Tabela1[[#This Row],[Último pagto ano]])</f>
        <v>11</v>
      </c>
      <c r="H2620" t="str">
        <f>TEXT(Tabela1[[#This Row],[Coluna2]]*29,"mmmm")</f>
        <v>novembro</v>
      </c>
      <c r="I2620" t="str">
        <f>TEXT(MONTH(Tabela1[[#This Row],[Último pagto ano]])*29,"mmmm")</f>
        <v>novembro</v>
      </c>
    </row>
    <row r="2621" spans="1:9" x14ac:dyDescent="0.25">
      <c r="A2621">
        <v>2025</v>
      </c>
      <c r="B2621" t="s">
        <v>5216</v>
      </c>
      <c r="C2621" s="1">
        <v>45988</v>
      </c>
      <c r="D2621" t="s">
        <v>5217</v>
      </c>
      <c r="E2621" s="2">
        <v>6804.09</v>
      </c>
      <c r="G2621" s="3">
        <f>MONTH(Tabela1[[#This Row],[Último pagto ano]])</f>
        <v>11</v>
      </c>
      <c r="H2621" t="str">
        <f>TEXT(Tabela1[[#This Row],[Coluna2]]*29,"mmmm")</f>
        <v>novembro</v>
      </c>
      <c r="I2621" t="str">
        <f>TEXT(MONTH(Tabela1[[#This Row],[Último pagto ano]])*29,"mmmm")</f>
        <v>novembro</v>
      </c>
    </row>
    <row r="2622" spans="1:9" x14ac:dyDescent="0.25">
      <c r="A2622">
        <v>2025</v>
      </c>
      <c r="B2622" t="s">
        <v>5218</v>
      </c>
      <c r="C2622" s="1">
        <v>45716</v>
      </c>
      <c r="D2622" t="s">
        <v>5219</v>
      </c>
      <c r="E2622" s="2">
        <v>2033.01</v>
      </c>
      <c r="G2622" s="3">
        <f>MONTH(Tabela1[[#This Row],[Último pagto ano]])</f>
        <v>2</v>
      </c>
      <c r="H2622" t="str">
        <f>TEXT(Tabela1[[#This Row],[Coluna2]]*29,"mmmm")</f>
        <v>fevereiro</v>
      </c>
      <c r="I2622" t="str">
        <f>TEXT(MONTH(Tabela1[[#This Row],[Último pagto ano]])*29,"mmmm")</f>
        <v>fevereiro</v>
      </c>
    </row>
    <row r="2623" spans="1:9" x14ac:dyDescent="0.25">
      <c r="A2623">
        <v>2025</v>
      </c>
      <c r="B2623" t="s">
        <v>5220</v>
      </c>
      <c r="C2623" s="1">
        <v>45852</v>
      </c>
      <c r="D2623" t="s">
        <v>5221</v>
      </c>
      <c r="E2623">
        <v>64.2</v>
      </c>
      <c r="G2623" s="3">
        <f>MONTH(Tabela1[[#This Row],[Último pagto ano]])</f>
        <v>7</v>
      </c>
      <c r="H2623" t="str">
        <f>TEXT(Tabela1[[#This Row],[Coluna2]]*29,"mmmm")</f>
        <v>julho</v>
      </c>
      <c r="I2623" t="str">
        <f>TEXT(MONTH(Tabela1[[#This Row],[Último pagto ano]])*29,"mmmm")</f>
        <v>julho</v>
      </c>
    </row>
    <row r="2624" spans="1:9" x14ac:dyDescent="0.25">
      <c r="A2624">
        <v>2025</v>
      </c>
      <c r="B2624" t="s">
        <v>5222</v>
      </c>
      <c r="C2624" s="1">
        <v>45702</v>
      </c>
      <c r="D2624" t="s">
        <v>5223</v>
      </c>
      <c r="E2624">
        <v>596.89</v>
      </c>
      <c r="G2624" s="3">
        <f>MONTH(Tabela1[[#This Row],[Último pagto ano]])</f>
        <v>2</v>
      </c>
      <c r="H2624" t="str">
        <f>TEXT(Tabela1[[#This Row],[Coluna2]]*29,"mmmm")</f>
        <v>fevereiro</v>
      </c>
      <c r="I2624" t="str">
        <f>TEXT(MONTH(Tabela1[[#This Row],[Último pagto ano]])*29,"mmmm")</f>
        <v>fevereiro</v>
      </c>
    </row>
    <row r="2625" spans="1:9" x14ac:dyDescent="0.25">
      <c r="A2625">
        <v>2025</v>
      </c>
      <c r="B2625" t="s">
        <v>5224</v>
      </c>
      <c r="C2625" s="1">
        <v>45856</v>
      </c>
      <c r="D2625" t="s">
        <v>5225</v>
      </c>
      <c r="E2625" s="2">
        <v>6523.56</v>
      </c>
      <c r="G2625" s="3">
        <f>MONTH(Tabela1[[#This Row],[Último pagto ano]])</f>
        <v>7</v>
      </c>
      <c r="H2625" t="str">
        <f>TEXT(Tabela1[[#This Row],[Coluna2]]*29,"mmmm")</f>
        <v>julho</v>
      </c>
      <c r="I2625" t="str">
        <f>TEXT(MONTH(Tabela1[[#This Row],[Último pagto ano]])*29,"mmmm")</f>
        <v>julho</v>
      </c>
    </row>
    <row r="2626" spans="1:9" x14ac:dyDescent="0.25">
      <c r="A2626">
        <v>2025</v>
      </c>
      <c r="B2626" t="s">
        <v>5226</v>
      </c>
      <c r="C2626" s="1">
        <v>46021</v>
      </c>
      <c r="D2626" t="s">
        <v>5227</v>
      </c>
      <c r="E2626" s="2">
        <v>10910.44</v>
      </c>
      <c r="G2626" s="3">
        <f>MONTH(Tabela1[[#This Row],[Último pagto ano]])</f>
        <v>12</v>
      </c>
      <c r="H2626" t="str">
        <f>TEXT(Tabela1[[#This Row],[Coluna2]]*29,"mmmm")</f>
        <v>dezembro</v>
      </c>
      <c r="I2626" t="str">
        <f>TEXT(MONTH(Tabela1[[#This Row],[Último pagto ano]])*29,"mmmm")</f>
        <v>dezembro</v>
      </c>
    </row>
    <row r="2627" spans="1:9" x14ac:dyDescent="0.25">
      <c r="A2627">
        <v>2025</v>
      </c>
      <c r="B2627" t="s">
        <v>5226</v>
      </c>
      <c r="C2627" s="1">
        <v>45859</v>
      </c>
      <c r="D2627" t="s">
        <v>5227</v>
      </c>
      <c r="E2627">
        <v>132</v>
      </c>
      <c r="G2627" s="3">
        <f>MONTH(Tabela1[[#This Row],[Último pagto ano]])</f>
        <v>7</v>
      </c>
      <c r="H2627" t="str">
        <f>TEXT(Tabela1[[#This Row],[Coluna2]]*29,"mmmm")</f>
        <v>julho</v>
      </c>
      <c r="I2627" t="str">
        <f>TEXT(MONTH(Tabela1[[#This Row],[Último pagto ano]])*29,"mmmm")</f>
        <v>julho</v>
      </c>
    </row>
    <row r="2628" spans="1:9" x14ac:dyDescent="0.25">
      <c r="A2628">
        <v>2025</v>
      </c>
      <c r="B2628" t="s">
        <v>5228</v>
      </c>
      <c r="C2628" s="1">
        <v>45771</v>
      </c>
      <c r="D2628" t="s">
        <v>5229</v>
      </c>
      <c r="E2628" s="2">
        <v>2800</v>
      </c>
      <c r="G2628" s="3">
        <f>MONTH(Tabela1[[#This Row],[Último pagto ano]])</f>
        <v>4</v>
      </c>
      <c r="H2628" t="str">
        <f>TEXT(Tabela1[[#This Row],[Coluna2]]*29,"mmmm")</f>
        <v>abril</v>
      </c>
      <c r="I2628" t="str">
        <f>TEXT(MONTH(Tabela1[[#This Row],[Último pagto ano]])*29,"mmmm")</f>
        <v>abril</v>
      </c>
    </row>
    <row r="2629" spans="1:9" x14ac:dyDescent="0.25">
      <c r="A2629">
        <v>2025</v>
      </c>
      <c r="B2629" t="s">
        <v>5230</v>
      </c>
      <c r="C2629" s="1">
        <v>45702</v>
      </c>
      <c r="D2629" t="s">
        <v>5231</v>
      </c>
      <c r="E2629">
        <v>164.62</v>
      </c>
      <c r="G2629" s="3">
        <f>MONTH(Tabela1[[#This Row],[Último pagto ano]])</f>
        <v>2</v>
      </c>
      <c r="H2629" t="str">
        <f>TEXT(Tabela1[[#This Row],[Coluna2]]*29,"mmmm")</f>
        <v>fevereiro</v>
      </c>
      <c r="I2629" t="str">
        <f>TEXT(MONTH(Tabela1[[#This Row],[Último pagto ano]])*29,"mmmm")</f>
        <v>fevereiro</v>
      </c>
    </row>
    <row r="2630" spans="1:9" x14ac:dyDescent="0.25">
      <c r="A2630">
        <v>2025</v>
      </c>
      <c r="B2630" t="s">
        <v>5232</v>
      </c>
      <c r="C2630" s="1">
        <v>46010</v>
      </c>
      <c r="D2630" t="s">
        <v>5233</v>
      </c>
      <c r="E2630" s="2">
        <v>12000</v>
      </c>
      <c r="G2630" s="3">
        <f>MONTH(Tabela1[[#This Row],[Último pagto ano]])</f>
        <v>12</v>
      </c>
      <c r="H2630" t="str">
        <f>TEXT(Tabela1[[#This Row],[Coluna2]]*29,"mmmm")</f>
        <v>dezembro</v>
      </c>
      <c r="I2630" t="str">
        <f>TEXT(MONTH(Tabela1[[#This Row],[Último pagto ano]])*29,"mmmm")</f>
        <v>dezembro</v>
      </c>
    </row>
    <row r="2631" spans="1:9" x14ac:dyDescent="0.25">
      <c r="A2631">
        <v>2025</v>
      </c>
      <c r="B2631" t="s">
        <v>5234</v>
      </c>
      <c r="C2631" s="1">
        <v>45996</v>
      </c>
      <c r="D2631" t="s">
        <v>5235</v>
      </c>
      <c r="E2631" s="2">
        <v>7000</v>
      </c>
      <c r="G2631" s="3">
        <f>MONTH(Tabela1[[#This Row],[Último pagto ano]])</f>
        <v>12</v>
      </c>
      <c r="H2631" t="str">
        <f>TEXT(Tabela1[[#This Row],[Coluna2]]*29,"mmmm")</f>
        <v>dezembro</v>
      </c>
      <c r="I2631" t="str">
        <f>TEXT(MONTH(Tabela1[[#This Row],[Último pagto ano]])*29,"mmmm")</f>
        <v>dezembro</v>
      </c>
    </row>
    <row r="2632" spans="1:9" x14ac:dyDescent="0.25">
      <c r="A2632">
        <v>2025</v>
      </c>
      <c r="B2632" t="s">
        <v>5236</v>
      </c>
      <c r="C2632" s="1">
        <v>45995</v>
      </c>
      <c r="D2632" t="s">
        <v>5237</v>
      </c>
      <c r="E2632" s="2">
        <v>7900</v>
      </c>
      <c r="G2632" s="3">
        <f>MONTH(Tabela1[[#This Row],[Último pagto ano]])</f>
        <v>12</v>
      </c>
      <c r="H2632" t="str">
        <f>TEXT(Tabela1[[#This Row],[Coluna2]]*29,"mmmm")</f>
        <v>dezembro</v>
      </c>
      <c r="I2632" t="str">
        <f>TEXT(MONTH(Tabela1[[#This Row],[Último pagto ano]])*29,"mmmm")</f>
        <v>dezembro</v>
      </c>
    </row>
    <row r="2633" spans="1:9" x14ac:dyDescent="0.25">
      <c r="A2633">
        <v>2025</v>
      </c>
      <c r="B2633" t="s">
        <v>5238</v>
      </c>
      <c r="C2633" s="1">
        <v>45992</v>
      </c>
      <c r="D2633" t="s">
        <v>5239</v>
      </c>
      <c r="E2633">
        <v>88.96</v>
      </c>
      <c r="G2633" s="3">
        <f>MONTH(Tabela1[[#This Row],[Último pagto ano]])</f>
        <v>12</v>
      </c>
      <c r="H2633" t="str">
        <f>TEXT(Tabela1[[#This Row],[Coluna2]]*29,"mmmm")</f>
        <v>dezembro</v>
      </c>
      <c r="I2633" t="str">
        <f>TEXT(MONTH(Tabela1[[#This Row],[Último pagto ano]])*29,"mmmm")</f>
        <v>dezembro</v>
      </c>
    </row>
    <row r="2634" spans="1:9" x14ac:dyDescent="0.25">
      <c r="A2634">
        <v>2025</v>
      </c>
      <c r="B2634" t="s">
        <v>5240</v>
      </c>
      <c r="C2634" s="1">
        <v>46021</v>
      </c>
      <c r="D2634" t="s">
        <v>5241</v>
      </c>
      <c r="E2634" s="2">
        <v>87062.64</v>
      </c>
      <c r="G2634" s="3">
        <f>MONTH(Tabela1[[#This Row],[Último pagto ano]])</f>
        <v>12</v>
      </c>
      <c r="H2634" t="str">
        <f>TEXT(Tabela1[[#This Row],[Coluna2]]*29,"mmmm")</f>
        <v>dezembro</v>
      </c>
      <c r="I2634" t="str">
        <f>TEXT(MONTH(Tabela1[[#This Row],[Último pagto ano]])*29,"mmmm")</f>
        <v>dezembro</v>
      </c>
    </row>
    <row r="2635" spans="1:9" x14ac:dyDescent="0.25">
      <c r="A2635">
        <v>2025</v>
      </c>
      <c r="B2635" t="s">
        <v>5242</v>
      </c>
      <c r="C2635" s="1">
        <v>46013</v>
      </c>
      <c r="D2635" t="s">
        <v>5243</v>
      </c>
      <c r="E2635" s="2">
        <v>3254107.98</v>
      </c>
      <c r="G2635" s="3">
        <f>MONTH(Tabela1[[#This Row],[Último pagto ano]])</f>
        <v>12</v>
      </c>
      <c r="H2635" t="str">
        <f>TEXT(Tabela1[[#This Row],[Coluna2]]*29,"mmmm")</f>
        <v>dezembro</v>
      </c>
      <c r="I2635" t="str">
        <f>TEXT(MONTH(Tabela1[[#This Row],[Último pagto ano]])*29,"mmmm")</f>
        <v>dezembro</v>
      </c>
    </row>
    <row r="2636" spans="1:9" x14ac:dyDescent="0.25">
      <c r="A2636">
        <v>2025</v>
      </c>
      <c r="B2636" t="s">
        <v>5242</v>
      </c>
      <c r="C2636" s="1">
        <v>45722</v>
      </c>
      <c r="D2636" t="s">
        <v>5244</v>
      </c>
      <c r="E2636">
        <v>104.13</v>
      </c>
      <c r="G2636" s="3">
        <f>MONTH(Tabela1[[#This Row],[Último pagto ano]])</f>
        <v>3</v>
      </c>
      <c r="H2636" t="str">
        <f>TEXT(Tabela1[[#This Row],[Coluna2]]*29,"mmmm")</f>
        <v>março</v>
      </c>
      <c r="I2636" t="str">
        <f>TEXT(MONTH(Tabela1[[#This Row],[Último pagto ano]])*29,"mmmm")</f>
        <v>março</v>
      </c>
    </row>
    <row r="2637" spans="1:9" x14ac:dyDescent="0.25">
      <c r="A2637">
        <v>2025</v>
      </c>
      <c r="B2637" t="s">
        <v>5245</v>
      </c>
      <c r="C2637" s="1">
        <v>46009</v>
      </c>
      <c r="D2637" t="s">
        <v>5246</v>
      </c>
      <c r="E2637" s="2">
        <v>201880</v>
      </c>
      <c r="G2637" s="3">
        <f>MONTH(Tabela1[[#This Row],[Último pagto ano]])</f>
        <v>12</v>
      </c>
      <c r="H2637" t="str">
        <f>TEXT(Tabela1[[#This Row],[Coluna2]]*29,"mmmm")</f>
        <v>dezembro</v>
      </c>
      <c r="I2637" t="str">
        <f>TEXT(MONTH(Tabela1[[#This Row],[Último pagto ano]])*29,"mmmm")</f>
        <v>dezembro</v>
      </c>
    </row>
    <row r="2638" spans="1:9" x14ac:dyDescent="0.25">
      <c r="A2638">
        <v>2025</v>
      </c>
      <c r="B2638" t="s">
        <v>5247</v>
      </c>
      <c r="C2638" s="1">
        <v>45831</v>
      </c>
      <c r="D2638" t="s">
        <v>5248</v>
      </c>
      <c r="E2638">
        <v>36.06</v>
      </c>
      <c r="G2638" s="3">
        <f>MONTH(Tabela1[[#This Row],[Último pagto ano]])</f>
        <v>6</v>
      </c>
      <c r="H2638" t="str">
        <f>TEXT(Tabela1[[#This Row],[Coluna2]]*29,"mmmm")</f>
        <v>junho</v>
      </c>
      <c r="I2638" t="str">
        <f>TEXT(MONTH(Tabela1[[#This Row],[Último pagto ano]])*29,"mmmm")</f>
        <v>junho</v>
      </c>
    </row>
    <row r="2639" spans="1:9" x14ac:dyDescent="0.25">
      <c r="A2639">
        <v>2025</v>
      </c>
      <c r="B2639" t="s">
        <v>5249</v>
      </c>
      <c r="C2639" s="1">
        <v>45803</v>
      </c>
      <c r="D2639" t="s">
        <v>5250</v>
      </c>
      <c r="E2639">
        <v>370.8</v>
      </c>
      <c r="G2639" s="3">
        <f>MONTH(Tabela1[[#This Row],[Último pagto ano]])</f>
        <v>5</v>
      </c>
      <c r="H2639" t="str">
        <f>TEXT(Tabela1[[#This Row],[Coluna2]]*29,"mmmm")</f>
        <v>maio</v>
      </c>
      <c r="I2639" t="str">
        <f>TEXT(MONTH(Tabela1[[#This Row],[Último pagto ano]])*29,"mmmm")</f>
        <v>maio</v>
      </c>
    </row>
    <row r="2640" spans="1:9" x14ac:dyDescent="0.25">
      <c r="A2640">
        <v>2025</v>
      </c>
      <c r="B2640" t="s">
        <v>5251</v>
      </c>
      <c r="C2640" s="1">
        <v>46013</v>
      </c>
      <c r="D2640" t="s">
        <v>5252</v>
      </c>
      <c r="E2640" s="2">
        <v>3136197.39</v>
      </c>
      <c r="G2640" s="3">
        <f>MONTH(Tabela1[[#This Row],[Último pagto ano]])</f>
        <v>12</v>
      </c>
      <c r="H2640" t="str">
        <f>TEXT(Tabela1[[#This Row],[Coluna2]]*29,"mmmm")</f>
        <v>dezembro</v>
      </c>
      <c r="I2640" t="str">
        <f>TEXT(MONTH(Tabela1[[#This Row],[Último pagto ano]])*29,"mmmm")</f>
        <v>dezembro</v>
      </c>
    </row>
    <row r="2641" spans="1:9" x14ac:dyDescent="0.25">
      <c r="A2641">
        <v>2025</v>
      </c>
      <c r="B2641" t="s">
        <v>5253</v>
      </c>
      <c r="C2641" s="1">
        <v>45876</v>
      </c>
      <c r="D2641" t="s">
        <v>5254</v>
      </c>
      <c r="E2641" s="2">
        <v>25124.94</v>
      </c>
      <c r="G2641" s="3">
        <f>MONTH(Tabela1[[#This Row],[Último pagto ano]])</f>
        <v>8</v>
      </c>
      <c r="H2641" t="str">
        <f>TEXT(Tabela1[[#This Row],[Coluna2]]*29,"mmmm")</f>
        <v>agosto</v>
      </c>
      <c r="I2641" t="str">
        <f>TEXT(MONTH(Tabela1[[#This Row],[Último pagto ano]])*29,"mmmm")</f>
        <v>agosto</v>
      </c>
    </row>
    <row r="2642" spans="1:9" x14ac:dyDescent="0.25">
      <c r="A2642">
        <v>2025</v>
      </c>
      <c r="B2642" t="s">
        <v>5255</v>
      </c>
      <c r="C2642" s="1">
        <v>46006</v>
      </c>
      <c r="D2642" t="s">
        <v>5256</v>
      </c>
      <c r="E2642" s="2">
        <v>1905762.99</v>
      </c>
      <c r="G2642" s="3">
        <f>MONTH(Tabela1[[#This Row],[Último pagto ano]])</f>
        <v>12</v>
      </c>
      <c r="H2642" t="str">
        <f>TEXT(Tabela1[[#This Row],[Coluna2]]*29,"mmmm")</f>
        <v>dezembro</v>
      </c>
      <c r="I2642" t="str">
        <f>TEXT(MONTH(Tabela1[[#This Row],[Último pagto ano]])*29,"mmmm")</f>
        <v>dezembro</v>
      </c>
    </row>
    <row r="2643" spans="1:9" x14ac:dyDescent="0.25">
      <c r="A2643">
        <v>2025</v>
      </c>
      <c r="B2643" t="s">
        <v>5257</v>
      </c>
      <c r="C2643" s="1">
        <v>46009</v>
      </c>
      <c r="D2643" t="s">
        <v>5258</v>
      </c>
      <c r="E2643" s="2">
        <v>1500</v>
      </c>
      <c r="G2643" s="3">
        <f>MONTH(Tabela1[[#This Row],[Último pagto ano]])</f>
        <v>12</v>
      </c>
      <c r="H2643" t="str">
        <f>TEXT(Tabela1[[#This Row],[Coluna2]]*29,"mmmm")</f>
        <v>dezembro</v>
      </c>
      <c r="I2643" t="str">
        <f>TEXT(MONTH(Tabela1[[#This Row],[Último pagto ano]])*29,"mmmm")</f>
        <v>dezembro</v>
      </c>
    </row>
    <row r="2644" spans="1:9" x14ac:dyDescent="0.25">
      <c r="A2644">
        <v>2025</v>
      </c>
      <c r="B2644" t="s">
        <v>5259</v>
      </c>
      <c r="C2644" s="1">
        <v>45897</v>
      </c>
      <c r="D2644" t="s">
        <v>5260</v>
      </c>
      <c r="E2644" s="2">
        <v>2215</v>
      </c>
      <c r="G2644" s="3">
        <f>MONTH(Tabela1[[#This Row],[Último pagto ano]])</f>
        <v>8</v>
      </c>
      <c r="H2644" t="str">
        <f>TEXT(Tabela1[[#This Row],[Coluna2]]*29,"mmmm")</f>
        <v>agosto</v>
      </c>
      <c r="I2644" t="str">
        <f>TEXT(MONTH(Tabela1[[#This Row],[Último pagto ano]])*29,"mmmm")</f>
        <v>agosto</v>
      </c>
    </row>
    <row r="2645" spans="1:9" x14ac:dyDescent="0.25">
      <c r="A2645">
        <v>2025</v>
      </c>
      <c r="B2645" t="s">
        <v>5261</v>
      </c>
      <c r="C2645" s="1">
        <v>46006</v>
      </c>
      <c r="D2645" t="s">
        <v>5262</v>
      </c>
      <c r="E2645" s="2">
        <v>47006.080000000002</v>
      </c>
      <c r="G2645" s="3">
        <f>MONTH(Tabela1[[#This Row],[Último pagto ano]])</f>
        <v>12</v>
      </c>
      <c r="H2645" t="str">
        <f>TEXT(Tabela1[[#This Row],[Coluna2]]*29,"mmmm")</f>
        <v>dezembro</v>
      </c>
      <c r="I2645" t="str">
        <f>TEXT(MONTH(Tabela1[[#This Row],[Último pagto ano]])*29,"mmmm")</f>
        <v>dezembro</v>
      </c>
    </row>
    <row r="2646" spans="1:9" x14ac:dyDescent="0.25">
      <c r="A2646">
        <v>2025</v>
      </c>
      <c r="B2646" t="s">
        <v>5263</v>
      </c>
      <c r="C2646" s="1">
        <v>46014</v>
      </c>
      <c r="D2646" t="s">
        <v>5264</v>
      </c>
      <c r="E2646" s="2">
        <v>162495.72</v>
      </c>
      <c r="G2646" s="3">
        <f>MONTH(Tabela1[[#This Row],[Último pagto ano]])</f>
        <v>12</v>
      </c>
      <c r="H2646" t="str">
        <f>TEXT(Tabela1[[#This Row],[Coluna2]]*29,"mmmm")</f>
        <v>dezembro</v>
      </c>
      <c r="I2646" t="str">
        <f>TEXT(MONTH(Tabela1[[#This Row],[Último pagto ano]])*29,"mmmm")</f>
        <v>dezembro</v>
      </c>
    </row>
    <row r="2647" spans="1:9" x14ac:dyDescent="0.25">
      <c r="A2647">
        <v>2025</v>
      </c>
      <c r="B2647" t="s">
        <v>5265</v>
      </c>
      <c r="C2647" s="1">
        <v>45898</v>
      </c>
      <c r="D2647" t="s">
        <v>5266</v>
      </c>
      <c r="E2647" s="2">
        <v>16440.919999999998</v>
      </c>
      <c r="G2647" s="3">
        <f>MONTH(Tabela1[[#This Row],[Último pagto ano]])</f>
        <v>8</v>
      </c>
      <c r="H2647" t="str">
        <f>TEXT(Tabela1[[#This Row],[Coluna2]]*29,"mmmm")</f>
        <v>agosto</v>
      </c>
      <c r="I2647" t="str">
        <f>TEXT(MONTH(Tabela1[[#This Row],[Último pagto ano]])*29,"mmmm")</f>
        <v>agosto</v>
      </c>
    </row>
    <row r="2648" spans="1:9" x14ac:dyDescent="0.25">
      <c r="A2648">
        <v>2025</v>
      </c>
      <c r="B2648" t="s">
        <v>5267</v>
      </c>
      <c r="C2648" s="1">
        <v>46010</v>
      </c>
      <c r="D2648" t="s">
        <v>5268</v>
      </c>
      <c r="E2648" s="2">
        <v>5600</v>
      </c>
      <c r="G2648" s="3">
        <f>MONTH(Tabela1[[#This Row],[Último pagto ano]])</f>
        <v>12</v>
      </c>
      <c r="H2648" t="str">
        <f>TEXT(Tabela1[[#This Row],[Coluna2]]*29,"mmmm")</f>
        <v>dezembro</v>
      </c>
      <c r="I2648" t="str">
        <f>TEXT(MONTH(Tabela1[[#This Row],[Último pagto ano]])*29,"mmmm")</f>
        <v>dezembro</v>
      </c>
    </row>
    <row r="2649" spans="1:9" x14ac:dyDescent="0.25">
      <c r="A2649">
        <v>2025</v>
      </c>
      <c r="B2649" t="s">
        <v>5269</v>
      </c>
      <c r="C2649" s="1">
        <v>45924</v>
      </c>
      <c r="D2649" t="s">
        <v>5270</v>
      </c>
      <c r="E2649" s="2">
        <v>6300</v>
      </c>
      <c r="G2649" s="3">
        <f>MONTH(Tabela1[[#This Row],[Último pagto ano]])</f>
        <v>9</v>
      </c>
      <c r="H2649" t="str">
        <f>TEXT(Tabela1[[#This Row],[Coluna2]]*29,"mmmm")</f>
        <v>setembro</v>
      </c>
      <c r="I2649" t="str">
        <f>TEXT(MONTH(Tabela1[[#This Row],[Último pagto ano]])*29,"mmmm")</f>
        <v>setembro</v>
      </c>
    </row>
    <row r="2650" spans="1:9" x14ac:dyDescent="0.25">
      <c r="A2650">
        <v>2025</v>
      </c>
      <c r="B2650" t="s">
        <v>5271</v>
      </c>
      <c r="C2650" s="1">
        <v>45722</v>
      </c>
      <c r="D2650" t="s">
        <v>5272</v>
      </c>
      <c r="E2650" s="2">
        <v>1911</v>
      </c>
      <c r="G2650" s="3">
        <f>MONTH(Tabela1[[#This Row],[Último pagto ano]])</f>
        <v>3</v>
      </c>
      <c r="H2650" t="str">
        <f>TEXT(Tabela1[[#This Row],[Coluna2]]*29,"mmmm")</f>
        <v>março</v>
      </c>
      <c r="I2650" t="str">
        <f>TEXT(MONTH(Tabela1[[#This Row],[Último pagto ano]])*29,"mmmm")</f>
        <v>março</v>
      </c>
    </row>
    <row r="2651" spans="1:9" x14ac:dyDescent="0.25">
      <c r="A2651">
        <v>2025</v>
      </c>
      <c r="B2651" t="s">
        <v>5273</v>
      </c>
      <c r="C2651" s="1">
        <v>46006</v>
      </c>
      <c r="D2651" t="s">
        <v>5274</v>
      </c>
      <c r="E2651" s="2">
        <v>37182.080000000002</v>
      </c>
      <c r="G2651" s="3">
        <f>MONTH(Tabela1[[#This Row],[Último pagto ano]])</f>
        <v>12</v>
      </c>
      <c r="H2651" t="str">
        <f>TEXT(Tabela1[[#This Row],[Coluna2]]*29,"mmmm")</f>
        <v>dezembro</v>
      </c>
      <c r="I2651" t="str">
        <f>TEXT(MONTH(Tabela1[[#This Row],[Último pagto ano]])*29,"mmmm")</f>
        <v>dezembro</v>
      </c>
    </row>
    <row r="2652" spans="1:9" x14ac:dyDescent="0.25">
      <c r="A2652">
        <v>2025</v>
      </c>
      <c r="B2652" t="s">
        <v>5275</v>
      </c>
      <c r="C2652" s="1">
        <v>45968</v>
      </c>
      <c r="D2652" t="s">
        <v>5276</v>
      </c>
      <c r="E2652" s="2">
        <v>1000</v>
      </c>
      <c r="G2652" s="3">
        <f>MONTH(Tabela1[[#This Row],[Último pagto ano]])</f>
        <v>11</v>
      </c>
      <c r="H2652" t="str">
        <f>TEXT(Tabela1[[#This Row],[Coluna2]]*29,"mmmm")</f>
        <v>novembro</v>
      </c>
      <c r="I2652" t="str">
        <f>TEXT(MONTH(Tabela1[[#This Row],[Último pagto ano]])*29,"mmmm")</f>
        <v>novembro</v>
      </c>
    </row>
    <row r="2653" spans="1:9" x14ac:dyDescent="0.25">
      <c r="A2653">
        <v>2025</v>
      </c>
      <c r="B2653" t="s">
        <v>5277</v>
      </c>
      <c r="C2653" s="1">
        <v>45695</v>
      </c>
      <c r="D2653" t="s">
        <v>5278</v>
      </c>
      <c r="E2653" s="2">
        <v>3843</v>
      </c>
      <c r="G2653" s="3">
        <f>MONTH(Tabela1[[#This Row],[Último pagto ano]])</f>
        <v>2</v>
      </c>
      <c r="H2653" t="str">
        <f>TEXT(Tabela1[[#This Row],[Coluna2]]*29,"mmmm")</f>
        <v>fevereiro</v>
      </c>
      <c r="I2653" t="str">
        <f>TEXT(MONTH(Tabela1[[#This Row],[Último pagto ano]])*29,"mmmm")</f>
        <v>fevereiro</v>
      </c>
    </row>
    <row r="2654" spans="1:9" x14ac:dyDescent="0.25">
      <c r="A2654">
        <v>2025</v>
      </c>
      <c r="B2654" t="s">
        <v>5279</v>
      </c>
      <c r="C2654" s="1">
        <v>45782</v>
      </c>
      <c r="D2654" t="s">
        <v>5280</v>
      </c>
      <c r="E2654" s="2">
        <v>103069.2</v>
      </c>
      <c r="G2654" s="3">
        <f>MONTH(Tabela1[[#This Row],[Último pagto ano]])</f>
        <v>5</v>
      </c>
      <c r="H2654" t="str">
        <f>TEXT(Tabela1[[#This Row],[Coluna2]]*29,"mmmm")</f>
        <v>maio</v>
      </c>
      <c r="I2654" t="str">
        <f>TEXT(MONTH(Tabela1[[#This Row],[Último pagto ano]])*29,"mmmm")</f>
        <v>maio</v>
      </c>
    </row>
    <row r="2655" spans="1:9" x14ac:dyDescent="0.25">
      <c r="A2655">
        <v>2025</v>
      </c>
      <c r="B2655" t="s">
        <v>5281</v>
      </c>
      <c r="C2655" s="1">
        <v>46021</v>
      </c>
      <c r="D2655" t="s">
        <v>5282</v>
      </c>
      <c r="E2655">
        <v>599.59</v>
      </c>
      <c r="G2655" s="3">
        <f>MONTH(Tabela1[[#This Row],[Último pagto ano]])</f>
        <v>12</v>
      </c>
      <c r="H2655" t="str">
        <f>TEXT(Tabela1[[#This Row],[Coluna2]]*29,"mmmm")</f>
        <v>dezembro</v>
      </c>
      <c r="I2655" t="str">
        <f>TEXT(MONTH(Tabela1[[#This Row],[Último pagto ano]])*29,"mmmm")</f>
        <v>dezembro</v>
      </c>
    </row>
    <row r="2656" spans="1:9" x14ac:dyDescent="0.25">
      <c r="A2656">
        <v>2025</v>
      </c>
      <c r="B2656" t="s">
        <v>5283</v>
      </c>
      <c r="C2656" s="1">
        <v>45985</v>
      </c>
      <c r="D2656" t="s">
        <v>5284</v>
      </c>
      <c r="E2656">
        <v>352</v>
      </c>
      <c r="G2656" s="3">
        <f>MONTH(Tabela1[[#This Row],[Último pagto ano]])</f>
        <v>11</v>
      </c>
      <c r="H2656" t="str">
        <f>TEXT(Tabela1[[#This Row],[Coluna2]]*29,"mmmm")</f>
        <v>novembro</v>
      </c>
      <c r="I2656" t="str">
        <f>TEXT(MONTH(Tabela1[[#This Row],[Último pagto ano]])*29,"mmmm")</f>
        <v>novembro</v>
      </c>
    </row>
    <row r="2657" spans="1:9" x14ac:dyDescent="0.25">
      <c r="A2657">
        <v>2025</v>
      </c>
      <c r="B2657" t="s">
        <v>5285</v>
      </c>
      <c r="C2657" s="1">
        <v>45702</v>
      </c>
      <c r="D2657" t="s">
        <v>5286</v>
      </c>
      <c r="E2657" s="2">
        <v>1253.93</v>
      </c>
      <c r="G2657" s="3">
        <f>MONTH(Tabela1[[#This Row],[Último pagto ano]])</f>
        <v>2</v>
      </c>
      <c r="H2657" t="str">
        <f>TEXT(Tabela1[[#This Row],[Coluna2]]*29,"mmmm")</f>
        <v>fevereiro</v>
      </c>
      <c r="I2657" t="str">
        <f>TEXT(MONTH(Tabela1[[#This Row],[Último pagto ano]])*29,"mmmm")</f>
        <v>fevereiro</v>
      </c>
    </row>
    <row r="2658" spans="1:9" x14ac:dyDescent="0.25">
      <c r="A2658">
        <v>2025</v>
      </c>
      <c r="B2658" t="s">
        <v>5287</v>
      </c>
      <c r="C2658" s="1">
        <v>46021</v>
      </c>
      <c r="D2658" t="s">
        <v>5288</v>
      </c>
      <c r="E2658" s="2">
        <v>4726.8999999999996</v>
      </c>
      <c r="G2658" s="3">
        <f>MONTH(Tabela1[[#This Row],[Último pagto ano]])</f>
        <v>12</v>
      </c>
      <c r="H2658" t="str">
        <f>TEXT(Tabela1[[#This Row],[Coluna2]]*29,"mmmm")</f>
        <v>dezembro</v>
      </c>
      <c r="I2658" t="str">
        <f>TEXT(MONTH(Tabela1[[#This Row],[Último pagto ano]])*29,"mmmm")</f>
        <v>dezembro</v>
      </c>
    </row>
    <row r="2659" spans="1:9" x14ac:dyDescent="0.25">
      <c r="A2659">
        <v>2025</v>
      </c>
      <c r="B2659" t="s">
        <v>5289</v>
      </c>
      <c r="C2659" s="1">
        <v>45742</v>
      </c>
      <c r="D2659" t="s">
        <v>5290</v>
      </c>
      <c r="E2659" s="2">
        <v>4005</v>
      </c>
      <c r="G2659" s="3">
        <f>MONTH(Tabela1[[#This Row],[Último pagto ano]])</f>
        <v>3</v>
      </c>
      <c r="H2659" t="str">
        <f>TEXT(Tabela1[[#This Row],[Coluna2]]*29,"mmmm")</f>
        <v>março</v>
      </c>
      <c r="I2659" t="str">
        <f>TEXT(MONTH(Tabela1[[#This Row],[Último pagto ano]])*29,"mmmm")</f>
        <v>março</v>
      </c>
    </row>
    <row r="2660" spans="1:9" x14ac:dyDescent="0.25">
      <c r="A2660">
        <v>2025</v>
      </c>
      <c r="B2660" t="s">
        <v>5291</v>
      </c>
      <c r="C2660" s="1">
        <v>45954</v>
      </c>
      <c r="D2660" t="s">
        <v>5292</v>
      </c>
      <c r="E2660" s="2">
        <v>19241.849999999999</v>
      </c>
      <c r="G2660" s="3">
        <f>MONTH(Tabela1[[#This Row],[Último pagto ano]])</f>
        <v>10</v>
      </c>
      <c r="H2660" t="str">
        <f>TEXT(Tabela1[[#This Row],[Coluna2]]*29,"mmmm")</f>
        <v>outubro</v>
      </c>
      <c r="I2660" t="str">
        <f>TEXT(MONTH(Tabela1[[#This Row],[Último pagto ano]])*29,"mmmm")</f>
        <v>outubro</v>
      </c>
    </row>
    <row r="2661" spans="1:9" x14ac:dyDescent="0.25">
      <c r="A2661">
        <v>2025</v>
      </c>
      <c r="B2661" t="s">
        <v>5293</v>
      </c>
      <c r="C2661" s="1">
        <v>45728</v>
      </c>
      <c r="D2661" t="s">
        <v>5294</v>
      </c>
      <c r="E2661" s="2">
        <v>3499.84</v>
      </c>
      <c r="G2661" s="3">
        <f>MONTH(Tabela1[[#This Row],[Último pagto ano]])</f>
        <v>3</v>
      </c>
      <c r="H2661" t="str">
        <f>TEXT(Tabela1[[#This Row],[Coluna2]]*29,"mmmm")</f>
        <v>março</v>
      </c>
      <c r="I2661" t="str">
        <f>TEXT(MONTH(Tabela1[[#This Row],[Último pagto ano]])*29,"mmmm")</f>
        <v>março</v>
      </c>
    </row>
    <row r="2662" spans="1:9" x14ac:dyDescent="0.25">
      <c r="A2662">
        <v>2025</v>
      </c>
      <c r="B2662" t="s">
        <v>5295</v>
      </c>
      <c r="C2662" s="1">
        <v>45924</v>
      </c>
      <c r="D2662" t="s">
        <v>5296</v>
      </c>
      <c r="E2662" s="2">
        <v>22032.799999999999</v>
      </c>
      <c r="G2662" s="3">
        <f>MONTH(Tabela1[[#This Row],[Último pagto ano]])</f>
        <v>9</v>
      </c>
      <c r="H2662" t="str">
        <f>TEXT(Tabela1[[#This Row],[Coluna2]]*29,"mmmm")</f>
        <v>setembro</v>
      </c>
      <c r="I2662" t="str">
        <f>TEXT(MONTH(Tabela1[[#This Row],[Último pagto ano]])*29,"mmmm")</f>
        <v>setembro</v>
      </c>
    </row>
    <row r="2663" spans="1:9" x14ac:dyDescent="0.25">
      <c r="A2663">
        <v>2025</v>
      </c>
      <c r="B2663" t="s">
        <v>5297</v>
      </c>
      <c r="C2663" s="1">
        <v>45806</v>
      </c>
      <c r="D2663" t="s">
        <v>5298</v>
      </c>
      <c r="E2663">
        <v>640.04</v>
      </c>
      <c r="G2663" s="3">
        <f>MONTH(Tabela1[[#This Row],[Último pagto ano]])</f>
        <v>5</v>
      </c>
      <c r="H2663" t="str">
        <f>TEXT(Tabela1[[#This Row],[Coluna2]]*29,"mmmm")</f>
        <v>maio</v>
      </c>
      <c r="I2663" t="str">
        <f>TEXT(MONTH(Tabela1[[#This Row],[Último pagto ano]])*29,"mmmm")</f>
        <v>maio</v>
      </c>
    </row>
    <row r="2664" spans="1:9" x14ac:dyDescent="0.25">
      <c r="A2664">
        <v>2025</v>
      </c>
      <c r="B2664" t="s">
        <v>5299</v>
      </c>
      <c r="C2664" s="1">
        <v>45975</v>
      </c>
      <c r="D2664" t="s">
        <v>5300</v>
      </c>
      <c r="E2664" s="2">
        <v>5600.48</v>
      </c>
      <c r="G2664" s="3">
        <f>MONTH(Tabela1[[#This Row],[Último pagto ano]])</f>
        <v>11</v>
      </c>
      <c r="H2664" t="str">
        <f>TEXT(Tabela1[[#This Row],[Coluna2]]*29,"mmmm")</f>
        <v>novembro</v>
      </c>
      <c r="I2664" t="str">
        <f>TEXT(MONTH(Tabela1[[#This Row],[Último pagto ano]])*29,"mmmm")</f>
        <v>novembro</v>
      </c>
    </row>
    <row r="2665" spans="1:9" x14ac:dyDescent="0.25">
      <c r="A2665">
        <v>2025</v>
      </c>
      <c r="B2665" t="s">
        <v>5301</v>
      </c>
      <c r="C2665" s="1">
        <v>46014</v>
      </c>
      <c r="D2665" t="s">
        <v>5302</v>
      </c>
      <c r="E2665" s="2">
        <v>14355</v>
      </c>
      <c r="G2665" s="3">
        <f>MONTH(Tabela1[[#This Row],[Último pagto ano]])</f>
        <v>12</v>
      </c>
      <c r="H2665" t="str">
        <f>TEXT(Tabela1[[#This Row],[Coluna2]]*29,"mmmm")</f>
        <v>dezembro</v>
      </c>
      <c r="I2665" t="str">
        <f>TEXT(MONTH(Tabela1[[#This Row],[Último pagto ano]])*29,"mmmm")</f>
        <v>dezembro</v>
      </c>
    </row>
    <row r="2666" spans="1:9" x14ac:dyDescent="0.25">
      <c r="A2666">
        <v>2025</v>
      </c>
      <c r="B2666" t="s">
        <v>5303</v>
      </c>
      <c r="C2666" s="1">
        <v>46002</v>
      </c>
      <c r="D2666" t="s">
        <v>5304</v>
      </c>
      <c r="E2666" s="2">
        <v>224416.1</v>
      </c>
      <c r="G2666" s="3">
        <f>MONTH(Tabela1[[#This Row],[Último pagto ano]])</f>
        <v>12</v>
      </c>
      <c r="H2666" t="str">
        <f>TEXT(Tabela1[[#This Row],[Coluna2]]*29,"mmmm")</f>
        <v>dezembro</v>
      </c>
      <c r="I2666" t="str">
        <f>TEXT(MONTH(Tabela1[[#This Row],[Último pagto ano]])*29,"mmmm")</f>
        <v>dezembro</v>
      </c>
    </row>
    <row r="2667" spans="1:9" x14ac:dyDescent="0.25">
      <c r="A2667">
        <v>2025</v>
      </c>
      <c r="B2667" t="s">
        <v>5305</v>
      </c>
      <c r="C2667" s="1">
        <v>45996</v>
      </c>
      <c r="D2667" t="s">
        <v>5306</v>
      </c>
      <c r="E2667" s="2">
        <v>28895</v>
      </c>
      <c r="G2667" s="3">
        <f>MONTH(Tabela1[[#This Row],[Último pagto ano]])</f>
        <v>12</v>
      </c>
      <c r="H2667" t="str">
        <f>TEXT(Tabela1[[#This Row],[Coluna2]]*29,"mmmm")</f>
        <v>dezembro</v>
      </c>
      <c r="I2667" t="str">
        <f>TEXT(MONTH(Tabela1[[#This Row],[Último pagto ano]])*29,"mmmm")</f>
        <v>dezembro</v>
      </c>
    </row>
    <row r="2668" spans="1:9" x14ac:dyDescent="0.25">
      <c r="A2668">
        <v>2025</v>
      </c>
      <c r="B2668" t="s">
        <v>5307</v>
      </c>
      <c r="C2668" s="1">
        <v>46013</v>
      </c>
      <c r="D2668" t="s">
        <v>5308</v>
      </c>
      <c r="E2668" s="2">
        <v>2310.6</v>
      </c>
      <c r="G2668" s="3">
        <f>MONTH(Tabela1[[#This Row],[Último pagto ano]])</f>
        <v>12</v>
      </c>
      <c r="H2668" t="str">
        <f>TEXT(Tabela1[[#This Row],[Coluna2]]*29,"mmmm")</f>
        <v>dezembro</v>
      </c>
      <c r="I2668" t="str">
        <f>TEXT(MONTH(Tabela1[[#This Row],[Último pagto ano]])*29,"mmmm")</f>
        <v>dezembro</v>
      </c>
    </row>
    <row r="2669" spans="1:9" x14ac:dyDescent="0.25">
      <c r="A2669">
        <v>2025</v>
      </c>
      <c r="B2669" t="s">
        <v>5309</v>
      </c>
      <c r="C2669" s="1">
        <v>45922</v>
      </c>
      <c r="D2669" t="s">
        <v>5310</v>
      </c>
      <c r="E2669">
        <v>630</v>
      </c>
      <c r="G2669" s="3">
        <f>MONTH(Tabela1[[#This Row],[Último pagto ano]])</f>
        <v>9</v>
      </c>
      <c r="H2669" t="str">
        <f>TEXT(Tabela1[[#This Row],[Coluna2]]*29,"mmmm")</f>
        <v>setembro</v>
      </c>
      <c r="I2669" t="str">
        <f>TEXT(MONTH(Tabela1[[#This Row],[Último pagto ano]])*29,"mmmm")</f>
        <v>setembro</v>
      </c>
    </row>
    <row r="2670" spans="1:9" x14ac:dyDescent="0.25">
      <c r="A2670">
        <v>2025</v>
      </c>
      <c r="B2670" t="s">
        <v>5311</v>
      </c>
      <c r="C2670" s="1">
        <v>46010</v>
      </c>
      <c r="D2670" t="s">
        <v>5312</v>
      </c>
      <c r="E2670" s="2">
        <v>8400</v>
      </c>
      <c r="G2670" s="3">
        <f>MONTH(Tabela1[[#This Row],[Último pagto ano]])</f>
        <v>12</v>
      </c>
      <c r="H2670" t="str">
        <f>TEXT(Tabela1[[#This Row],[Coluna2]]*29,"mmmm")</f>
        <v>dezembro</v>
      </c>
      <c r="I2670" t="str">
        <f>TEXT(MONTH(Tabela1[[#This Row],[Último pagto ano]])*29,"mmmm")</f>
        <v>dezembro</v>
      </c>
    </row>
    <row r="2671" spans="1:9" x14ac:dyDescent="0.25">
      <c r="A2671">
        <v>2025</v>
      </c>
      <c r="B2671" t="s">
        <v>5313</v>
      </c>
      <c r="C2671" s="1">
        <v>46013</v>
      </c>
      <c r="D2671" t="s">
        <v>5314</v>
      </c>
      <c r="E2671">
        <v>594</v>
      </c>
      <c r="G2671" s="3">
        <f>MONTH(Tabela1[[#This Row],[Último pagto ano]])</f>
        <v>12</v>
      </c>
      <c r="H2671" t="str">
        <f>TEXT(Tabela1[[#This Row],[Coluna2]]*29,"mmmm")</f>
        <v>dezembro</v>
      </c>
      <c r="I2671" t="str">
        <f>TEXT(MONTH(Tabela1[[#This Row],[Último pagto ano]])*29,"mmmm")</f>
        <v>dezembro</v>
      </c>
    </row>
    <row r="2672" spans="1:9" x14ac:dyDescent="0.25">
      <c r="A2672">
        <v>2025</v>
      </c>
      <c r="B2672" t="s">
        <v>5315</v>
      </c>
      <c r="C2672" s="1">
        <v>45989</v>
      </c>
      <c r="D2672" t="s">
        <v>5316</v>
      </c>
      <c r="E2672" s="2">
        <v>6472.72</v>
      </c>
      <c r="G2672" s="3">
        <f>MONTH(Tabela1[[#This Row],[Último pagto ano]])</f>
        <v>11</v>
      </c>
      <c r="H2672" t="str">
        <f>TEXT(Tabela1[[#This Row],[Coluna2]]*29,"mmmm")</f>
        <v>novembro</v>
      </c>
      <c r="I2672" t="str">
        <f>TEXT(MONTH(Tabela1[[#This Row],[Último pagto ano]])*29,"mmmm")</f>
        <v>novembro</v>
      </c>
    </row>
    <row r="2673" spans="1:9" x14ac:dyDescent="0.25">
      <c r="A2673">
        <v>2025</v>
      </c>
      <c r="B2673" t="s">
        <v>5317</v>
      </c>
      <c r="C2673" s="1">
        <v>46010</v>
      </c>
      <c r="D2673" t="s">
        <v>5318</v>
      </c>
      <c r="E2673" s="2">
        <v>12000</v>
      </c>
      <c r="G2673" s="3">
        <f>MONTH(Tabela1[[#This Row],[Último pagto ano]])</f>
        <v>12</v>
      </c>
      <c r="H2673" t="str">
        <f>TEXT(Tabela1[[#This Row],[Coluna2]]*29,"mmmm")</f>
        <v>dezembro</v>
      </c>
      <c r="I2673" t="str">
        <f>TEXT(MONTH(Tabela1[[#This Row],[Último pagto ano]])*29,"mmmm")</f>
        <v>dezembro</v>
      </c>
    </row>
    <row r="2674" spans="1:9" x14ac:dyDescent="0.25">
      <c r="A2674">
        <v>2025</v>
      </c>
      <c r="B2674" t="s">
        <v>5319</v>
      </c>
      <c r="C2674" s="1">
        <v>45702</v>
      </c>
      <c r="D2674" t="s">
        <v>5320</v>
      </c>
      <c r="E2674">
        <v>867.66</v>
      </c>
      <c r="G2674" s="3">
        <f>MONTH(Tabela1[[#This Row],[Último pagto ano]])</f>
        <v>2</v>
      </c>
      <c r="H2674" t="str">
        <f>TEXT(Tabela1[[#This Row],[Coluna2]]*29,"mmmm")</f>
        <v>fevereiro</v>
      </c>
      <c r="I2674" t="str">
        <f>TEXT(MONTH(Tabela1[[#This Row],[Último pagto ano]])*29,"mmmm")</f>
        <v>fevereiro</v>
      </c>
    </row>
    <row r="2675" spans="1:9" x14ac:dyDescent="0.25">
      <c r="A2675">
        <v>2025</v>
      </c>
      <c r="B2675" t="s">
        <v>5321</v>
      </c>
      <c r="C2675" s="1">
        <v>46006</v>
      </c>
      <c r="D2675" t="s">
        <v>5322</v>
      </c>
      <c r="E2675" s="2">
        <v>16545.12</v>
      </c>
      <c r="G2675" s="3">
        <f>MONTH(Tabela1[[#This Row],[Último pagto ano]])</f>
        <v>12</v>
      </c>
      <c r="H2675" t="str">
        <f>TEXT(Tabela1[[#This Row],[Coluna2]]*29,"mmmm")</f>
        <v>dezembro</v>
      </c>
      <c r="I2675" t="str">
        <f>TEXT(MONTH(Tabela1[[#This Row],[Último pagto ano]])*29,"mmmm")</f>
        <v>dezembro</v>
      </c>
    </row>
    <row r="2676" spans="1:9" x14ac:dyDescent="0.25">
      <c r="A2676">
        <v>2025</v>
      </c>
      <c r="B2676" t="s">
        <v>5323</v>
      </c>
      <c r="C2676" s="1">
        <v>45996</v>
      </c>
      <c r="D2676" t="s">
        <v>5324</v>
      </c>
      <c r="E2676" s="2">
        <v>6200</v>
      </c>
      <c r="G2676" s="3">
        <f>MONTH(Tabela1[[#This Row],[Último pagto ano]])</f>
        <v>12</v>
      </c>
      <c r="H2676" t="str">
        <f>TEXT(Tabela1[[#This Row],[Coluna2]]*29,"mmmm")</f>
        <v>dezembro</v>
      </c>
      <c r="I2676" t="str">
        <f>TEXT(MONTH(Tabela1[[#This Row],[Último pagto ano]])*29,"mmmm")</f>
        <v>dezembro</v>
      </c>
    </row>
    <row r="2677" spans="1:9" x14ac:dyDescent="0.25">
      <c r="A2677">
        <v>2025</v>
      </c>
      <c r="B2677" t="s">
        <v>5325</v>
      </c>
      <c r="C2677" s="1">
        <v>45712</v>
      </c>
      <c r="D2677" t="s">
        <v>5326</v>
      </c>
      <c r="E2677" s="2">
        <v>1400</v>
      </c>
      <c r="G2677" s="3">
        <f>MONTH(Tabela1[[#This Row],[Último pagto ano]])</f>
        <v>2</v>
      </c>
      <c r="H2677" t="str">
        <f>TEXT(Tabela1[[#This Row],[Coluna2]]*29,"mmmm")</f>
        <v>fevereiro</v>
      </c>
      <c r="I2677" t="str">
        <f>TEXT(MONTH(Tabela1[[#This Row],[Último pagto ano]])*29,"mmmm")</f>
        <v>fevereiro</v>
      </c>
    </row>
    <row r="2678" spans="1:9" x14ac:dyDescent="0.25">
      <c r="A2678">
        <v>2025</v>
      </c>
      <c r="B2678" t="s">
        <v>5327</v>
      </c>
      <c r="C2678" s="1">
        <v>45996</v>
      </c>
      <c r="D2678" t="s">
        <v>5328</v>
      </c>
      <c r="E2678" s="2">
        <v>30800</v>
      </c>
      <c r="G2678" s="3">
        <f>MONTH(Tabela1[[#This Row],[Último pagto ano]])</f>
        <v>12</v>
      </c>
      <c r="H2678" t="str">
        <f>TEXT(Tabela1[[#This Row],[Coluna2]]*29,"mmmm")</f>
        <v>dezembro</v>
      </c>
      <c r="I2678" t="str">
        <f>TEXT(MONTH(Tabela1[[#This Row],[Último pagto ano]])*29,"mmmm")</f>
        <v>dezembro</v>
      </c>
    </row>
    <row r="2679" spans="1:9" x14ac:dyDescent="0.25">
      <c r="A2679">
        <v>2025</v>
      </c>
      <c r="B2679" t="s">
        <v>5329</v>
      </c>
      <c r="C2679" s="1">
        <v>45968</v>
      </c>
      <c r="D2679" t="s">
        <v>5330</v>
      </c>
      <c r="E2679" s="2">
        <v>20692.2</v>
      </c>
      <c r="G2679" s="3">
        <f>MONTH(Tabela1[[#This Row],[Último pagto ano]])</f>
        <v>11</v>
      </c>
      <c r="H2679" t="str">
        <f>TEXT(Tabela1[[#This Row],[Coluna2]]*29,"mmmm")</f>
        <v>novembro</v>
      </c>
      <c r="I2679" t="str">
        <f>TEXT(MONTH(Tabela1[[#This Row],[Último pagto ano]])*29,"mmmm")</f>
        <v>novembro</v>
      </c>
    </row>
    <row r="2680" spans="1:9" x14ac:dyDescent="0.25">
      <c r="A2680">
        <v>2025</v>
      </c>
      <c r="B2680" t="s">
        <v>5331</v>
      </c>
      <c r="C2680" s="1">
        <v>45954</v>
      </c>
      <c r="D2680" t="s">
        <v>5332</v>
      </c>
      <c r="E2680" s="2">
        <v>7017.84</v>
      </c>
      <c r="G2680" s="3">
        <f>MONTH(Tabela1[[#This Row],[Último pagto ano]])</f>
        <v>10</v>
      </c>
      <c r="H2680" t="str">
        <f>TEXT(Tabela1[[#This Row],[Coluna2]]*29,"mmmm")</f>
        <v>outubro</v>
      </c>
      <c r="I2680" t="str">
        <f>TEXT(MONTH(Tabela1[[#This Row],[Último pagto ano]])*29,"mmmm")</f>
        <v>outubro</v>
      </c>
    </row>
    <row r="2681" spans="1:9" x14ac:dyDescent="0.25">
      <c r="A2681">
        <v>2025</v>
      </c>
      <c r="B2681" t="s">
        <v>5333</v>
      </c>
      <c r="C2681" s="1">
        <v>45782</v>
      </c>
      <c r="D2681" t="s">
        <v>5334</v>
      </c>
      <c r="E2681" s="2">
        <v>1150.58</v>
      </c>
      <c r="G2681" s="3">
        <f>MONTH(Tabela1[[#This Row],[Último pagto ano]])</f>
        <v>5</v>
      </c>
      <c r="H2681" t="str">
        <f>TEXT(Tabela1[[#This Row],[Coluna2]]*29,"mmmm")</f>
        <v>maio</v>
      </c>
      <c r="I2681" t="str">
        <f>TEXT(MONTH(Tabela1[[#This Row],[Último pagto ano]])*29,"mmmm")</f>
        <v>maio</v>
      </c>
    </row>
    <row r="2682" spans="1:9" x14ac:dyDescent="0.25">
      <c r="A2682">
        <v>2025</v>
      </c>
      <c r="B2682" t="s">
        <v>5335</v>
      </c>
      <c r="C2682" s="1">
        <v>46006</v>
      </c>
      <c r="D2682" t="s">
        <v>5336</v>
      </c>
      <c r="E2682" s="2">
        <v>5883.36</v>
      </c>
      <c r="G2682" s="3">
        <f>MONTH(Tabela1[[#This Row],[Último pagto ano]])</f>
        <v>12</v>
      </c>
      <c r="H2682" t="str">
        <f>TEXT(Tabela1[[#This Row],[Coluna2]]*29,"mmmm")</f>
        <v>dezembro</v>
      </c>
      <c r="I2682" t="str">
        <f>TEXT(MONTH(Tabela1[[#This Row],[Último pagto ano]])*29,"mmmm")</f>
        <v>dezembro</v>
      </c>
    </row>
    <row r="2683" spans="1:9" x14ac:dyDescent="0.25">
      <c r="A2683">
        <v>2025</v>
      </c>
      <c r="B2683" t="s">
        <v>5337</v>
      </c>
      <c r="C2683" s="1">
        <v>45842</v>
      </c>
      <c r="D2683" t="s">
        <v>5338</v>
      </c>
      <c r="E2683">
        <v>543.23</v>
      </c>
      <c r="G2683" s="3">
        <f>MONTH(Tabela1[[#This Row],[Último pagto ano]])</f>
        <v>7</v>
      </c>
      <c r="H2683" t="str">
        <f>TEXT(Tabela1[[#This Row],[Coluna2]]*29,"mmmm")</f>
        <v>julho</v>
      </c>
      <c r="I2683" t="str">
        <f>TEXT(MONTH(Tabela1[[#This Row],[Último pagto ano]])*29,"mmmm")</f>
        <v>julho</v>
      </c>
    </row>
    <row r="2684" spans="1:9" x14ac:dyDescent="0.25">
      <c r="A2684">
        <v>2025</v>
      </c>
      <c r="B2684" t="s">
        <v>5339</v>
      </c>
      <c r="C2684" s="1">
        <v>45959</v>
      </c>
      <c r="D2684" t="s">
        <v>5340</v>
      </c>
      <c r="E2684" s="2">
        <v>10000</v>
      </c>
      <c r="G2684" s="3">
        <f>MONTH(Tabela1[[#This Row],[Último pagto ano]])</f>
        <v>10</v>
      </c>
      <c r="H2684" t="str">
        <f>TEXT(Tabela1[[#This Row],[Coluna2]]*29,"mmmm")</f>
        <v>outubro</v>
      </c>
      <c r="I2684" t="str">
        <f>TEXT(MONTH(Tabela1[[#This Row],[Último pagto ano]])*29,"mmmm")</f>
        <v>outubro</v>
      </c>
    </row>
    <row r="2685" spans="1:9" x14ac:dyDescent="0.25">
      <c r="A2685">
        <v>2025</v>
      </c>
      <c r="B2685" t="s">
        <v>5341</v>
      </c>
      <c r="C2685" s="1">
        <v>46007</v>
      </c>
      <c r="D2685" t="s">
        <v>5342</v>
      </c>
      <c r="E2685" s="2">
        <v>102058.32</v>
      </c>
      <c r="G2685" s="3">
        <f>MONTH(Tabela1[[#This Row],[Último pagto ano]])</f>
        <v>12</v>
      </c>
      <c r="H2685" t="str">
        <f>TEXT(Tabela1[[#This Row],[Coluna2]]*29,"mmmm")</f>
        <v>dezembro</v>
      </c>
      <c r="I2685" t="str">
        <f>TEXT(MONTH(Tabela1[[#This Row],[Último pagto ano]])*29,"mmmm")</f>
        <v>dezembro</v>
      </c>
    </row>
    <row r="2686" spans="1:9" x14ac:dyDescent="0.25">
      <c r="A2686">
        <v>2025</v>
      </c>
      <c r="B2686" t="s">
        <v>5343</v>
      </c>
      <c r="C2686" s="1">
        <v>45922</v>
      </c>
      <c r="D2686" t="s">
        <v>5344</v>
      </c>
      <c r="E2686">
        <v>44</v>
      </c>
      <c r="G2686" s="3">
        <f>MONTH(Tabela1[[#This Row],[Último pagto ano]])</f>
        <v>9</v>
      </c>
      <c r="H2686" t="str">
        <f>TEXT(Tabela1[[#This Row],[Coluna2]]*29,"mmmm")</f>
        <v>setembro</v>
      </c>
      <c r="I2686" t="str">
        <f>TEXT(MONTH(Tabela1[[#This Row],[Último pagto ano]])*29,"mmmm")</f>
        <v>setembro</v>
      </c>
    </row>
    <row r="2687" spans="1:9" x14ac:dyDescent="0.25">
      <c r="A2687">
        <v>2025</v>
      </c>
      <c r="B2687" t="s">
        <v>5345</v>
      </c>
      <c r="C2687" s="1">
        <v>45702</v>
      </c>
      <c r="D2687" t="s">
        <v>5346</v>
      </c>
      <c r="E2687">
        <v>220.56</v>
      </c>
      <c r="G2687" s="3">
        <f>MONTH(Tabela1[[#This Row],[Último pagto ano]])</f>
        <v>2</v>
      </c>
      <c r="H2687" t="str">
        <f>TEXT(Tabela1[[#This Row],[Coluna2]]*29,"mmmm")</f>
        <v>fevereiro</v>
      </c>
      <c r="I2687" t="str">
        <f>TEXT(MONTH(Tabela1[[#This Row],[Último pagto ano]])*29,"mmmm")</f>
        <v>fevereiro</v>
      </c>
    </row>
    <row r="2688" spans="1:9" x14ac:dyDescent="0.25">
      <c r="A2688">
        <v>2025</v>
      </c>
      <c r="B2688" t="s">
        <v>5347</v>
      </c>
      <c r="C2688" s="1">
        <v>45831</v>
      </c>
      <c r="D2688" t="s">
        <v>5348</v>
      </c>
      <c r="E2688">
        <v>1.56</v>
      </c>
      <c r="G2688" s="3">
        <f>MONTH(Tabela1[[#This Row],[Último pagto ano]])</f>
        <v>6</v>
      </c>
      <c r="H2688" t="str">
        <f>TEXT(Tabela1[[#This Row],[Coluna2]]*29,"mmmm")</f>
        <v>junho</v>
      </c>
      <c r="I2688" t="str">
        <f>TEXT(MONTH(Tabela1[[#This Row],[Último pagto ano]])*29,"mmmm")</f>
        <v>junho</v>
      </c>
    </row>
    <row r="2689" spans="1:9" x14ac:dyDescent="0.25">
      <c r="A2689">
        <v>2025</v>
      </c>
      <c r="B2689" t="s">
        <v>5349</v>
      </c>
      <c r="C2689" s="1">
        <v>45744</v>
      </c>
      <c r="D2689" t="s">
        <v>5350</v>
      </c>
      <c r="E2689" s="2">
        <v>29789.9</v>
      </c>
      <c r="G2689" s="3">
        <f>MONTH(Tabela1[[#This Row],[Último pagto ano]])</f>
        <v>3</v>
      </c>
      <c r="H2689" t="str">
        <f>TEXT(Tabela1[[#This Row],[Coluna2]]*29,"mmmm")</f>
        <v>março</v>
      </c>
      <c r="I2689" t="str">
        <f>TEXT(MONTH(Tabela1[[#This Row],[Último pagto ano]])*29,"mmmm")</f>
        <v>março</v>
      </c>
    </row>
    <row r="2690" spans="1:9" x14ac:dyDescent="0.25">
      <c r="A2690">
        <v>2025</v>
      </c>
      <c r="B2690" t="s">
        <v>5351</v>
      </c>
      <c r="C2690" s="1">
        <v>45702</v>
      </c>
      <c r="D2690" t="s">
        <v>5352</v>
      </c>
      <c r="E2690">
        <v>857.55</v>
      </c>
      <c r="G2690" s="3">
        <f>MONTH(Tabela1[[#This Row],[Último pagto ano]])</f>
        <v>2</v>
      </c>
      <c r="H2690" t="str">
        <f>TEXT(Tabela1[[#This Row],[Coluna2]]*29,"mmmm")</f>
        <v>fevereiro</v>
      </c>
      <c r="I2690" t="str">
        <f>TEXT(MONTH(Tabela1[[#This Row],[Último pagto ano]])*29,"mmmm")</f>
        <v>fevereiro</v>
      </c>
    </row>
    <row r="2691" spans="1:9" x14ac:dyDescent="0.25">
      <c r="A2691">
        <v>2025</v>
      </c>
      <c r="B2691" t="s">
        <v>5353</v>
      </c>
      <c r="C2691" s="1">
        <v>45835</v>
      </c>
      <c r="D2691" t="s">
        <v>5354</v>
      </c>
      <c r="E2691">
        <v>11</v>
      </c>
      <c r="G2691" s="3">
        <f>MONTH(Tabela1[[#This Row],[Último pagto ano]])</f>
        <v>6</v>
      </c>
      <c r="H2691" t="str">
        <f>TEXT(Tabela1[[#This Row],[Coluna2]]*29,"mmmm")</f>
        <v>junho</v>
      </c>
      <c r="I2691" t="str">
        <f>TEXT(MONTH(Tabela1[[#This Row],[Último pagto ano]])*29,"mmmm")</f>
        <v>junho</v>
      </c>
    </row>
    <row r="2692" spans="1:9" x14ac:dyDescent="0.25">
      <c r="A2692">
        <v>2025</v>
      </c>
      <c r="B2692" t="s">
        <v>5355</v>
      </c>
      <c r="C2692" s="1">
        <v>46003</v>
      </c>
      <c r="D2692" t="s">
        <v>5356</v>
      </c>
      <c r="E2692" s="2">
        <v>19200.02</v>
      </c>
      <c r="G2692" s="3">
        <f>MONTH(Tabela1[[#This Row],[Último pagto ano]])</f>
        <v>12</v>
      </c>
      <c r="H2692" t="str">
        <f>TEXT(Tabela1[[#This Row],[Coluna2]]*29,"mmmm")</f>
        <v>dezembro</v>
      </c>
      <c r="I2692" t="str">
        <f>TEXT(MONTH(Tabela1[[#This Row],[Último pagto ano]])*29,"mmmm")</f>
        <v>dezembro</v>
      </c>
    </row>
    <row r="2693" spans="1:9" x14ac:dyDescent="0.25">
      <c r="A2693">
        <v>2025</v>
      </c>
      <c r="B2693" t="s">
        <v>5357</v>
      </c>
      <c r="C2693" s="1">
        <v>45999</v>
      </c>
      <c r="D2693" t="s">
        <v>5358</v>
      </c>
      <c r="E2693">
        <v>297</v>
      </c>
      <c r="G2693" s="3">
        <f>MONTH(Tabela1[[#This Row],[Último pagto ano]])</f>
        <v>12</v>
      </c>
      <c r="H2693" t="str">
        <f>TEXT(Tabela1[[#This Row],[Coluna2]]*29,"mmmm")</f>
        <v>dezembro</v>
      </c>
      <c r="I2693" t="str">
        <f>TEXT(MONTH(Tabela1[[#This Row],[Último pagto ano]])*29,"mmmm")</f>
        <v>dezembro</v>
      </c>
    </row>
    <row r="2694" spans="1:9" x14ac:dyDescent="0.25">
      <c r="A2694">
        <v>2025</v>
      </c>
      <c r="B2694" t="s">
        <v>5359</v>
      </c>
      <c r="C2694" s="1">
        <v>45702</v>
      </c>
      <c r="D2694" t="s">
        <v>5360</v>
      </c>
      <c r="E2694">
        <v>26.58</v>
      </c>
      <c r="G2694" s="3">
        <f>MONTH(Tabela1[[#This Row],[Último pagto ano]])</f>
        <v>2</v>
      </c>
      <c r="H2694" t="str">
        <f>TEXT(Tabela1[[#This Row],[Coluna2]]*29,"mmmm")</f>
        <v>fevereiro</v>
      </c>
      <c r="I2694" t="str">
        <f>TEXT(MONTH(Tabela1[[#This Row],[Último pagto ano]])*29,"mmmm")</f>
        <v>fevereiro</v>
      </c>
    </row>
    <row r="2695" spans="1:9" x14ac:dyDescent="0.25">
      <c r="A2695">
        <v>2025</v>
      </c>
      <c r="B2695" t="s">
        <v>5361</v>
      </c>
      <c r="C2695" s="1">
        <v>45868</v>
      </c>
      <c r="D2695" t="s">
        <v>5362</v>
      </c>
      <c r="E2695" s="2">
        <v>5433.94</v>
      </c>
      <c r="G2695" s="3">
        <f>MONTH(Tabela1[[#This Row],[Último pagto ano]])</f>
        <v>7</v>
      </c>
      <c r="H2695" t="str">
        <f>TEXT(Tabela1[[#This Row],[Coluna2]]*29,"mmmm")</f>
        <v>julho</v>
      </c>
      <c r="I2695" t="str">
        <f>TEXT(MONTH(Tabela1[[#This Row],[Último pagto ano]])*29,"mmmm")</f>
        <v>julho</v>
      </c>
    </row>
    <row r="2696" spans="1:9" x14ac:dyDescent="0.25">
      <c r="A2696">
        <v>2025</v>
      </c>
      <c r="B2696" t="s">
        <v>5363</v>
      </c>
      <c r="C2696" s="1">
        <v>46010</v>
      </c>
      <c r="D2696" t="s">
        <v>5364</v>
      </c>
      <c r="E2696" s="2">
        <v>12000</v>
      </c>
      <c r="G2696" s="3">
        <f>MONTH(Tabela1[[#This Row],[Último pagto ano]])</f>
        <v>12</v>
      </c>
      <c r="H2696" t="str">
        <f>TEXT(Tabela1[[#This Row],[Coluna2]]*29,"mmmm")</f>
        <v>dezembro</v>
      </c>
      <c r="I2696" t="str">
        <f>TEXT(MONTH(Tabela1[[#This Row],[Último pagto ano]])*29,"mmmm")</f>
        <v>dezembro</v>
      </c>
    </row>
    <row r="2697" spans="1:9" x14ac:dyDescent="0.25">
      <c r="A2697">
        <v>2025</v>
      </c>
      <c r="B2697" t="s">
        <v>5365</v>
      </c>
      <c r="C2697" s="1">
        <v>45744</v>
      </c>
      <c r="D2697" t="s">
        <v>5366</v>
      </c>
      <c r="E2697" s="2">
        <v>1310.3599999999999</v>
      </c>
      <c r="G2697" s="3">
        <f>MONTH(Tabela1[[#This Row],[Último pagto ano]])</f>
        <v>3</v>
      </c>
      <c r="H2697" t="str">
        <f>TEXT(Tabela1[[#This Row],[Coluna2]]*29,"mmmm")</f>
        <v>março</v>
      </c>
      <c r="I2697" t="str">
        <f>TEXT(MONTH(Tabela1[[#This Row],[Último pagto ano]])*29,"mmmm")</f>
        <v>março</v>
      </c>
    </row>
    <row r="2698" spans="1:9" x14ac:dyDescent="0.25">
      <c r="A2698">
        <v>2025</v>
      </c>
      <c r="B2698" t="s">
        <v>5367</v>
      </c>
      <c r="C2698" s="1">
        <v>45863</v>
      </c>
      <c r="D2698" t="s">
        <v>5368</v>
      </c>
      <c r="E2698" s="2">
        <v>2800</v>
      </c>
      <c r="G2698" s="3">
        <f>MONTH(Tabela1[[#This Row],[Último pagto ano]])</f>
        <v>7</v>
      </c>
      <c r="H2698" t="str">
        <f>TEXT(Tabela1[[#This Row],[Coluna2]]*29,"mmmm")</f>
        <v>julho</v>
      </c>
      <c r="I2698" t="str">
        <f>TEXT(MONTH(Tabela1[[#This Row],[Último pagto ano]])*29,"mmmm")</f>
        <v>julho</v>
      </c>
    </row>
    <row r="2699" spans="1:9" x14ac:dyDescent="0.25">
      <c r="A2699">
        <v>2025</v>
      </c>
      <c r="B2699" t="s">
        <v>5369</v>
      </c>
      <c r="C2699" s="1">
        <v>45950</v>
      </c>
      <c r="D2699" t="s">
        <v>5370</v>
      </c>
      <c r="E2699">
        <v>600</v>
      </c>
      <c r="G2699" s="3">
        <f>MONTH(Tabela1[[#This Row],[Último pagto ano]])</f>
        <v>10</v>
      </c>
      <c r="H2699" t="str">
        <f>TEXT(Tabela1[[#This Row],[Coluna2]]*29,"mmmm")</f>
        <v>outubro</v>
      </c>
      <c r="I2699" t="str">
        <f>TEXT(MONTH(Tabela1[[#This Row],[Último pagto ano]])*29,"mmmm")</f>
        <v>outubro</v>
      </c>
    </row>
    <row r="2700" spans="1:9" x14ac:dyDescent="0.25">
      <c r="A2700">
        <v>2025</v>
      </c>
      <c r="B2700" t="s">
        <v>5371</v>
      </c>
      <c r="C2700" s="1">
        <v>45999</v>
      </c>
      <c r="D2700" t="s">
        <v>5372</v>
      </c>
      <c r="E2700" s="2">
        <v>2486385.7200000002</v>
      </c>
      <c r="G2700" s="3">
        <f>MONTH(Tabela1[[#This Row],[Último pagto ano]])</f>
        <v>12</v>
      </c>
      <c r="H2700" t="str">
        <f>TEXT(Tabela1[[#This Row],[Coluna2]]*29,"mmmm")</f>
        <v>dezembro</v>
      </c>
      <c r="I2700" t="str">
        <f>TEXT(MONTH(Tabela1[[#This Row],[Último pagto ano]])*29,"mmmm")</f>
        <v>dezembro</v>
      </c>
    </row>
    <row r="2701" spans="1:9" x14ac:dyDescent="0.25">
      <c r="A2701">
        <v>2025</v>
      </c>
      <c r="B2701" t="s">
        <v>5373</v>
      </c>
      <c r="C2701" s="1">
        <v>45748</v>
      </c>
      <c r="D2701" t="s">
        <v>5374</v>
      </c>
      <c r="E2701" s="2">
        <v>2465.7800000000002</v>
      </c>
      <c r="G2701" s="3">
        <f>MONTH(Tabela1[[#This Row],[Último pagto ano]])</f>
        <v>4</v>
      </c>
      <c r="H2701" t="str">
        <f>TEXT(Tabela1[[#This Row],[Coluna2]]*29,"mmmm")</f>
        <v>abril</v>
      </c>
      <c r="I2701" t="str">
        <f>TEXT(MONTH(Tabela1[[#This Row],[Último pagto ano]])*29,"mmmm")</f>
        <v>abril</v>
      </c>
    </row>
    <row r="2702" spans="1:9" x14ac:dyDescent="0.25">
      <c r="A2702">
        <v>2025</v>
      </c>
      <c r="B2702" t="s">
        <v>5375</v>
      </c>
      <c r="C2702" s="1">
        <v>45985</v>
      </c>
      <c r="D2702" t="s">
        <v>5376</v>
      </c>
      <c r="E2702">
        <v>48.96</v>
      </c>
      <c r="G2702" s="3">
        <f>MONTH(Tabela1[[#This Row],[Último pagto ano]])</f>
        <v>11</v>
      </c>
      <c r="H2702" t="str">
        <f>TEXT(Tabela1[[#This Row],[Coluna2]]*29,"mmmm")</f>
        <v>novembro</v>
      </c>
      <c r="I2702" t="str">
        <f>TEXT(MONTH(Tabela1[[#This Row],[Último pagto ano]])*29,"mmmm")</f>
        <v>novembro</v>
      </c>
    </row>
    <row r="2703" spans="1:9" x14ac:dyDescent="0.25">
      <c r="A2703">
        <v>2025</v>
      </c>
      <c r="B2703" t="s">
        <v>5377</v>
      </c>
      <c r="C2703" s="1">
        <v>45943</v>
      </c>
      <c r="D2703" t="s">
        <v>5378</v>
      </c>
      <c r="E2703" s="2">
        <v>2191.16</v>
      </c>
      <c r="G2703" s="3">
        <f>MONTH(Tabela1[[#This Row],[Último pagto ano]])</f>
        <v>10</v>
      </c>
      <c r="H2703" t="str">
        <f>TEXT(Tabela1[[#This Row],[Coluna2]]*29,"mmmm")</f>
        <v>outubro</v>
      </c>
      <c r="I2703" t="str">
        <f>TEXT(MONTH(Tabela1[[#This Row],[Último pagto ano]])*29,"mmmm")</f>
        <v>outubro</v>
      </c>
    </row>
    <row r="2704" spans="1:9" x14ac:dyDescent="0.25">
      <c r="A2704">
        <v>2025</v>
      </c>
      <c r="B2704" t="s">
        <v>5379</v>
      </c>
      <c r="C2704" s="1">
        <v>45978</v>
      </c>
      <c r="D2704" t="s">
        <v>5380</v>
      </c>
      <c r="E2704">
        <v>132</v>
      </c>
      <c r="G2704" s="3">
        <f>MONTH(Tabela1[[#This Row],[Último pagto ano]])</f>
        <v>11</v>
      </c>
      <c r="H2704" t="str">
        <f>TEXT(Tabela1[[#This Row],[Coluna2]]*29,"mmmm")</f>
        <v>novembro</v>
      </c>
      <c r="I2704" t="str">
        <f>TEXT(MONTH(Tabela1[[#This Row],[Último pagto ano]])*29,"mmmm")</f>
        <v>novembro</v>
      </c>
    </row>
    <row r="2705" spans="1:9" x14ac:dyDescent="0.25">
      <c r="A2705">
        <v>2025</v>
      </c>
      <c r="B2705" t="s">
        <v>5381</v>
      </c>
      <c r="C2705" s="1">
        <v>45838</v>
      </c>
      <c r="D2705" t="s">
        <v>5382</v>
      </c>
      <c r="E2705" s="2">
        <v>5634.32</v>
      </c>
      <c r="G2705" s="3">
        <f>MONTH(Tabela1[[#This Row],[Último pagto ano]])</f>
        <v>6</v>
      </c>
      <c r="H2705" t="str">
        <f>TEXT(Tabela1[[#This Row],[Coluna2]]*29,"mmmm")</f>
        <v>junho</v>
      </c>
      <c r="I2705" t="str">
        <f>TEXT(MONTH(Tabela1[[#This Row],[Último pagto ano]])*29,"mmmm")</f>
        <v>junho</v>
      </c>
    </row>
    <row r="2706" spans="1:9" x14ac:dyDescent="0.25">
      <c r="A2706">
        <v>2025</v>
      </c>
      <c r="B2706" t="s">
        <v>5383</v>
      </c>
      <c r="C2706" s="1">
        <v>45959</v>
      </c>
      <c r="D2706" t="s">
        <v>5384</v>
      </c>
      <c r="E2706" s="2">
        <v>7000</v>
      </c>
      <c r="G2706" s="3">
        <f>MONTH(Tabela1[[#This Row],[Último pagto ano]])</f>
        <v>10</v>
      </c>
      <c r="H2706" t="str">
        <f>TEXT(Tabela1[[#This Row],[Coluna2]]*29,"mmmm")</f>
        <v>outubro</v>
      </c>
      <c r="I2706" t="str">
        <f>TEXT(MONTH(Tabela1[[#This Row],[Último pagto ano]])*29,"mmmm")</f>
        <v>outubro</v>
      </c>
    </row>
    <row r="2707" spans="1:9" x14ac:dyDescent="0.25">
      <c r="A2707">
        <v>2025</v>
      </c>
      <c r="B2707" t="s">
        <v>5385</v>
      </c>
      <c r="C2707" s="1">
        <v>45989</v>
      </c>
      <c r="D2707" t="s">
        <v>5386</v>
      </c>
      <c r="E2707" s="2">
        <v>1712.91</v>
      </c>
      <c r="G2707" s="3">
        <f>MONTH(Tabela1[[#This Row],[Último pagto ano]])</f>
        <v>11</v>
      </c>
      <c r="H2707" t="str">
        <f>TEXT(Tabela1[[#This Row],[Coluna2]]*29,"mmmm")</f>
        <v>novembro</v>
      </c>
      <c r="I2707" t="str">
        <f>TEXT(MONTH(Tabela1[[#This Row],[Último pagto ano]])*29,"mmmm")</f>
        <v>novembro</v>
      </c>
    </row>
    <row r="2708" spans="1:9" x14ac:dyDescent="0.25">
      <c r="A2708">
        <v>2025</v>
      </c>
      <c r="B2708" t="s">
        <v>5387</v>
      </c>
      <c r="C2708" s="1">
        <v>45988</v>
      </c>
      <c r="D2708" t="s">
        <v>5388</v>
      </c>
      <c r="E2708" s="2">
        <v>5467.8</v>
      </c>
      <c r="G2708" s="3">
        <f>MONTH(Tabela1[[#This Row],[Último pagto ano]])</f>
        <v>11</v>
      </c>
      <c r="H2708" t="str">
        <f>TEXT(Tabela1[[#This Row],[Coluna2]]*29,"mmmm")</f>
        <v>novembro</v>
      </c>
      <c r="I2708" t="str">
        <f>TEXT(MONTH(Tabela1[[#This Row],[Último pagto ano]])*29,"mmmm")</f>
        <v>novembro</v>
      </c>
    </row>
    <row r="2709" spans="1:9" x14ac:dyDescent="0.25">
      <c r="A2709">
        <v>2025</v>
      </c>
      <c r="B2709" t="s">
        <v>5389</v>
      </c>
      <c r="C2709" s="1">
        <v>45792</v>
      </c>
      <c r="D2709" t="s">
        <v>5390</v>
      </c>
      <c r="E2709" s="2">
        <v>2625.6</v>
      </c>
      <c r="G2709" s="3">
        <f>MONTH(Tabela1[[#This Row],[Último pagto ano]])</f>
        <v>5</v>
      </c>
      <c r="H2709" t="str">
        <f>TEXT(Tabela1[[#This Row],[Coluna2]]*29,"mmmm")</f>
        <v>maio</v>
      </c>
      <c r="I2709" t="str">
        <f>TEXT(MONTH(Tabela1[[#This Row],[Último pagto ano]])*29,"mmmm")</f>
        <v>maio</v>
      </c>
    </row>
    <row r="2710" spans="1:9" x14ac:dyDescent="0.25">
      <c r="A2710">
        <v>2025</v>
      </c>
      <c r="B2710" t="s">
        <v>5391</v>
      </c>
      <c r="C2710" s="1">
        <v>45810</v>
      </c>
      <c r="D2710" t="s">
        <v>5392</v>
      </c>
      <c r="E2710">
        <v>22</v>
      </c>
      <c r="G2710" s="3">
        <f>MONTH(Tabela1[[#This Row],[Último pagto ano]])</f>
        <v>6</v>
      </c>
      <c r="H2710" t="str">
        <f>TEXT(Tabela1[[#This Row],[Coluna2]]*29,"mmmm")</f>
        <v>junho</v>
      </c>
      <c r="I2710" t="str">
        <f>TEXT(MONTH(Tabela1[[#This Row],[Último pagto ano]])*29,"mmmm")</f>
        <v>junho</v>
      </c>
    </row>
    <row r="2711" spans="1:9" x14ac:dyDescent="0.25">
      <c r="A2711">
        <v>2025</v>
      </c>
      <c r="B2711" t="s">
        <v>5393</v>
      </c>
      <c r="C2711" s="1">
        <v>46002</v>
      </c>
      <c r="D2711" t="s">
        <v>5394</v>
      </c>
      <c r="E2711" s="2">
        <v>221799.96</v>
      </c>
      <c r="G2711" s="3">
        <f>MONTH(Tabela1[[#This Row],[Último pagto ano]])</f>
        <v>12</v>
      </c>
      <c r="H2711" t="str">
        <f>TEXT(Tabela1[[#This Row],[Coluna2]]*29,"mmmm")</f>
        <v>dezembro</v>
      </c>
      <c r="I2711" t="str">
        <f>TEXT(MONTH(Tabela1[[#This Row],[Último pagto ano]])*29,"mmmm")</f>
        <v>dezembro</v>
      </c>
    </row>
    <row r="2712" spans="1:9" x14ac:dyDescent="0.25">
      <c r="A2712">
        <v>2025</v>
      </c>
      <c r="B2712" t="s">
        <v>5395</v>
      </c>
      <c r="C2712" s="1">
        <v>46007</v>
      </c>
      <c r="D2712" t="s">
        <v>5396</v>
      </c>
      <c r="E2712" s="2">
        <v>247945.81</v>
      </c>
      <c r="G2712" s="3">
        <f>MONTH(Tabela1[[#This Row],[Último pagto ano]])</f>
        <v>12</v>
      </c>
      <c r="H2712" t="str">
        <f>TEXT(Tabela1[[#This Row],[Coluna2]]*29,"mmmm")</f>
        <v>dezembro</v>
      </c>
      <c r="I2712" t="str">
        <f>TEXT(MONTH(Tabela1[[#This Row],[Último pagto ano]])*29,"mmmm")</f>
        <v>dezembro</v>
      </c>
    </row>
    <row r="2713" spans="1:9" x14ac:dyDescent="0.25">
      <c r="A2713">
        <v>2025</v>
      </c>
      <c r="B2713" t="s">
        <v>5397</v>
      </c>
      <c r="C2713" s="1">
        <v>45824</v>
      </c>
      <c r="D2713" t="s">
        <v>5398</v>
      </c>
      <c r="E2713">
        <v>468.02</v>
      </c>
      <c r="G2713" s="3">
        <f>MONTH(Tabela1[[#This Row],[Último pagto ano]])</f>
        <v>6</v>
      </c>
      <c r="H2713" t="str">
        <f>TEXT(Tabela1[[#This Row],[Coluna2]]*29,"mmmm")</f>
        <v>junho</v>
      </c>
      <c r="I2713" t="str">
        <f>TEXT(MONTH(Tabela1[[#This Row],[Último pagto ano]])*29,"mmmm")</f>
        <v>junho</v>
      </c>
    </row>
    <row r="2714" spans="1:9" x14ac:dyDescent="0.25">
      <c r="A2714">
        <v>2025</v>
      </c>
      <c r="B2714" t="s">
        <v>5399</v>
      </c>
      <c r="C2714" s="1">
        <v>45824</v>
      </c>
      <c r="D2714" t="s">
        <v>5400</v>
      </c>
      <c r="E2714" s="2">
        <v>85005.26</v>
      </c>
      <c r="G2714" s="3">
        <f>MONTH(Tabela1[[#This Row],[Último pagto ano]])</f>
        <v>6</v>
      </c>
      <c r="H2714" t="str">
        <f>TEXT(Tabela1[[#This Row],[Coluna2]]*29,"mmmm")</f>
        <v>junho</v>
      </c>
      <c r="I2714" t="str">
        <f>TEXT(MONTH(Tabela1[[#This Row],[Último pagto ano]])*29,"mmmm")</f>
        <v>junho</v>
      </c>
    </row>
    <row r="2715" spans="1:9" x14ac:dyDescent="0.25">
      <c r="A2715">
        <v>2025</v>
      </c>
      <c r="B2715" t="s">
        <v>5401</v>
      </c>
      <c r="C2715" s="1">
        <v>45797</v>
      </c>
      <c r="D2715" t="s">
        <v>5402</v>
      </c>
      <c r="E2715" s="2">
        <v>9996</v>
      </c>
      <c r="G2715" s="3">
        <f>MONTH(Tabela1[[#This Row],[Último pagto ano]])</f>
        <v>5</v>
      </c>
      <c r="H2715" t="str">
        <f>TEXT(Tabela1[[#This Row],[Coluna2]]*29,"mmmm")</f>
        <v>maio</v>
      </c>
      <c r="I2715" t="str">
        <f>TEXT(MONTH(Tabela1[[#This Row],[Último pagto ano]])*29,"mmmm")</f>
        <v>maio</v>
      </c>
    </row>
    <row r="2716" spans="1:9" x14ac:dyDescent="0.25">
      <c r="A2716">
        <v>2025</v>
      </c>
      <c r="B2716" t="s">
        <v>5403</v>
      </c>
      <c r="C2716" s="1">
        <v>45793</v>
      </c>
      <c r="D2716" t="s">
        <v>5404</v>
      </c>
      <c r="E2716">
        <v>861.57</v>
      </c>
      <c r="G2716" s="3">
        <f>MONTH(Tabela1[[#This Row],[Último pagto ano]])</f>
        <v>5</v>
      </c>
      <c r="H2716" t="str">
        <f>TEXT(Tabela1[[#This Row],[Coluna2]]*29,"mmmm")</f>
        <v>maio</v>
      </c>
      <c r="I2716" t="str">
        <f>TEXT(MONTH(Tabela1[[#This Row],[Último pagto ano]])*29,"mmmm")</f>
        <v>maio</v>
      </c>
    </row>
    <row r="2717" spans="1:9" x14ac:dyDescent="0.25">
      <c r="A2717">
        <v>2025</v>
      </c>
      <c r="B2717" t="s">
        <v>5405</v>
      </c>
      <c r="C2717" s="1">
        <v>46014</v>
      </c>
      <c r="D2717" t="s">
        <v>5406</v>
      </c>
      <c r="E2717" s="2">
        <v>184103.76</v>
      </c>
      <c r="G2717" s="3">
        <f>MONTH(Tabela1[[#This Row],[Último pagto ano]])</f>
        <v>12</v>
      </c>
      <c r="H2717" t="str">
        <f>TEXT(Tabela1[[#This Row],[Coluna2]]*29,"mmmm")</f>
        <v>dezembro</v>
      </c>
      <c r="I2717" t="str">
        <f>TEXT(MONTH(Tabela1[[#This Row],[Último pagto ano]])*29,"mmmm")</f>
        <v>dezembro</v>
      </c>
    </row>
    <row r="2718" spans="1:9" x14ac:dyDescent="0.25">
      <c r="A2718">
        <v>2025</v>
      </c>
      <c r="B2718" t="s">
        <v>5407</v>
      </c>
      <c r="C2718" s="1">
        <v>45915</v>
      </c>
      <c r="D2718" t="s">
        <v>5408</v>
      </c>
      <c r="E2718" s="2">
        <v>8472.01</v>
      </c>
      <c r="G2718" s="3">
        <f>MONTH(Tabela1[[#This Row],[Último pagto ano]])</f>
        <v>9</v>
      </c>
      <c r="H2718" t="str">
        <f>TEXT(Tabela1[[#This Row],[Coluna2]]*29,"mmmm")</f>
        <v>setembro</v>
      </c>
      <c r="I2718" t="str">
        <f>TEXT(MONTH(Tabela1[[#This Row],[Último pagto ano]])*29,"mmmm")</f>
        <v>setembro</v>
      </c>
    </row>
    <row r="2719" spans="1:9" x14ac:dyDescent="0.25">
      <c r="A2719">
        <v>2025</v>
      </c>
      <c r="B2719" t="s">
        <v>5409</v>
      </c>
      <c r="C2719" s="1">
        <v>45832</v>
      </c>
      <c r="D2719" t="s">
        <v>5410</v>
      </c>
      <c r="E2719" s="2">
        <v>2800</v>
      </c>
      <c r="G2719" s="3">
        <f>MONTH(Tabela1[[#This Row],[Último pagto ano]])</f>
        <v>6</v>
      </c>
      <c r="H2719" t="str">
        <f>TEXT(Tabela1[[#This Row],[Coluna2]]*29,"mmmm")</f>
        <v>junho</v>
      </c>
      <c r="I2719" t="str">
        <f>TEXT(MONTH(Tabela1[[#This Row],[Último pagto ano]])*29,"mmmm")</f>
        <v>junho</v>
      </c>
    </row>
    <row r="2720" spans="1:9" x14ac:dyDescent="0.25">
      <c r="A2720">
        <v>2025</v>
      </c>
      <c r="B2720" t="s">
        <v>5411</v>
      </c>
      <c r="C2720" s="1">
        <v>46006</v>
      </c>
      <c r="D2720" t="s">
        <v>5412</v>
      </c>
      <c r="E2720">
        <v>231</v>
      </c>
      <c r="G2720" s="3">
        <f>MONTH(Tabela1[[#This Row],[Último pagto ano]])</f>
        <v>12</v>
      </c>
      <c r="H2720" t="str">
        <f>TEXT(Tabela1[[#This Row],[Coluna2]]*29,"mmmm")</f>
        <v>dezembro</v>
      </c>
      <c r="I2720" t="str">
        <f>TEXT(MONTH(Tabela1[[#This Row],[Último pagto ano]])*29,"mmmm")</f>
        <v>dezembro</v>
      </c>
    </row>
    <row r="2721" spans="1:9" x14ac:dyDescent="0.25">
      <c r="A2721">
        <v>2025</v>
      </c>
      <c r="B2721" t="s">
        <v>5413</v>
      </c>
      <c r="C2721" s="1">
        <v>45751</v>
      </c>
      <c r="D2721" t="s">
        <v>5414</v>
      </c>
      <c r="E2721" s="2">
        <v>2075.5300000000002</v>
      </c>
      <c r="G2721" s="3">
        <f>MONTH(Tabela1[[#This Row],[Último pagto ano]])</f>
        <v>4</v>
      </c>
      <c r="H2721" t="str">
        <f>TEXT(Tabela1[[#This Row],[Coluna2]]*29,"mmmm")</f>
        <v>abril</v>
      </c>
      <c r="I2721" t="str">
        <f>TEXT(MONTH(Tabela1[[#This Row],[Último pagto ano]])*29,"mmmm")</f>
        <v>abril</v>
      </c>
    </row>
    <row r="2722" spans="1:9" x14ac:dyDescent="0.25">
      <c r="A2722">
        <v>2025</v>
      </c>
      <c r="B2722" t="s">
        <v>5415</v>
      </c>
      <c r="C2722" s="1">
        <v>45989</v>
      </c>
      <c r="D2722" t="s">
        <v>5416</v>
      </c>
      <c r="E2722" s="2">
        <v>3925.06</v>
      </c>
      <c r="G2722" s="3">
        <f>MONTH(Tabela1[[#This Row],[Último pagto ano]])</f>
        <v>11</v>
      </c>
      <c r="H2722" t="str">
        <f>TEXT(Tabela1[[#This Row],[Coluna2]]*29,"mmmm")</f>
        <v>novembro</v>
      </c>
      <c r="I2722" t="str">
        <f>TEXT(MONTH(Tabela1[[#This Row],[Último pagto ano]])*29,"mmmm")</f>
        <v>novembro</v>
      </c>
    </row>
    <row r="2723" spans="1:9" x14ac:dyDescent="0.25">
      <c r="A2723">
        <v>2025</v>
      </c>
      <c r="B2723" t="s">
        <v>5417</v>
      </c>
      <c r="C2723" s="1">
        <v>45702</v>
      </c>
      <c r="D2723" t="s">
        <v>5418</v>
      </c>
      <c r="E2723">
        <v>223.01</v>
      </c>
      <c r="G2723" s="3">
        <f>MONTH(Tabela1[[#This Row],[Último pagto ano]])</f>
        <v>2</v>
      </c>
      <c r="H2723" t="str">
        <f>TEXT(Tabela1[[#This Row],[Coluna2]]*29,"mmmm")</f>
        <v>fevereiro</v>
      </c>
      <c r="I2723" t="str">
        <f>TEXT(MONTH(Tabela1[[#This Row],[Último pagto ano]])*29,"mmmm")</f>
        <v>fevereiro</v>
      </c>
    </row>
    <row r="2724" spans="1:9" x14ac:dyDescent="0.25">
      <c r="A2724">
        <v>2025</v>
      </c>
      <c r="B2724" t="s">
        <v>5419</v>
      </c>
      <c r="C2724" s="1">
        <v>45996</v>
      </c>
      <c r="D2724" t="s">
        <v>5420</v>
      </c>
      <c r="E2724" s="2">
        <v>5400</v>
      </c>
      <c r="G2724" s="3">
        <f>MONTH(Tabela1[[#This Row],[Último pagto ano]])</f>
        <v>12</v>
      </c>
      <c r="H2724" t="str">
        <f>TEXT(Tabela1[[#This Row],[Coluna2]]*29,"mmmm")</f>
        <v>dezembro</v>
      </c>
      <c r="I2724" t="str">
        <f>TEXT(MONTH(Tabela1[[#This Row],[Último pagto ano]])*29,"mmmm")</f>
        <v>dezembro</v>
      </c>
    </row>
    <row r="2725" spans="1:9" x14ac:dyDescent="0.25">
      <c r="A2725">
        <v>2025</v>
      </c>
      <c r="B2725" t="s">
        <v>5421</v>
      </c>
      <c r="C2725" s="1">
        <v>45702</v>
      </c>
      <c r="D2725" t="s">
        <v>5422</v>
      </c>
      <c r="E2725">
        <v>553.97</v>
      </c>
      <c r="G2725" s="3">
        <f>MONTH(Tabela1[[#This Row],[Último pagto ano]])</f>
        <v>2</v>
      </c>
      <c r="H2725" t="str">
        <f>TEXT(Tabela1[[#This Row],[Coluna2]]*29,"mmmm")</f>
        <v>fevereiro</v>
      </c>
      <c r="I2725" t="str">
        <f>TEXT(MONTH(Tabela1[[#This Row],[Último pagto ano]])*29,"mmmm")</f>
        <v>fevereiro</v>
      </c>
    </row>
    <row r="2726" spans="1:9" x14ac:dyDescent="0.25">
      <c r="A2726">
        <v>2025</v>
      </c>
      <c r="B2726" t="s">
        <v>5423</v>
      </c>
      <c r="C2726" s="1">
        <v>46010</v>
      </c>
      <c r="D2726" t="s">
        <v>5424</v>
      </c>
      <c r="E2726" s="2">
        <v>1400</v>
      </c>
      <c r="G2726" s="3">
        <f>MONTH(Tabela1[[#This Row],[Último pagto ano]])</f>
        <v>12</v>
      </c>
      <c r="H2726" t="str">
        <f>TEXT(Tabela1[[#This Row],[Coluna2]]*29,"mmmm")</f>
        <v>dezembro</v>
      </c>
      <c r="I2726" t="str">
        <f>TEXT(MONTH(Tabela1[[#This Row],[Último pagto ano]])*29,"mmmm")</f>
        <v>dezembro</v>
      </c>
    </row>
    <row r="2727" spans="1:9" x14ac:dyDescent="0.25">
      <c r="A2727">
        <v>2025</v>
      </c>
      <c r="B2727" t="s">
        <v>5425</v>
      </c>
      <c r="C2727" s="1">
        <v>46021</v>
      </c>
      <c r="D2727" t="s">
        <v>5426</v>
      </c>
      <c r="E2727" s="2">
        <v>3908.01</v>
      </c>
      <c r="G2727" s="3">
        <f>MONTH(Tabela1[[#This Row],[Último pagto ano]])</f>
        <v>12</v>
      </c>
      <c r="H2727" t="str">
        <f>TEXT(Tabela1[[#This Row],[Coluna2]]*29,"mmmm")</f>
        <v>dezembro</v>
      </c>
      <c r="I2727" t="str">
        <f>TEXT(MONTH(Tabela1[[#This Row],[Último pagto ano]])*29,"mmmm")</f>
        <v>dezembro</v>
      </c>
    </row>
    <row r="2728" spans="1:9" x14ac:dyDescent="0.25">
      <c r="A2728">
        <v>2025</v>
      </c>
      <c r="B2728" t="s">
        <v>5427</v>
      </c>
      <c r="C2728" s="1">
        <v>45999</v>
      </c>
      <c r="D2728" t="s">
        <v>5428</v>
      </c>
      <c r="E2728" s="2">
        <v>36927.74</v>
      </c>
      <c r="G2728" s="3">
        <f>MONTH(Tabela1[[#This Row],[Último pagto ano]])</f>
        <v>12</v>
      </c>
      <c r="H2728" t="str">
        <f>TEXT(Tabela1[[#This Row],[Coluna2]]*29,"mmmm")</f>
        <v>dezembro</v>
      </c>
      <c r="I2728" t="str">
        <f>TEXT(MONTH(Tabela1[[#This Row],[Último pagto ano]])*29,"mmmm")</f>
        <v>dezembro</v>
      </c>
    </row>
    <row r="2729" spans="1:9" x14ac:dyDescent="0.25">
      <c r="A2729">
        <v>2025</v>
      </c>
      <c r="B2729" t="s">
        <v>5429</v>
      </c>
      <c r="C2729" s="1">
        <v>46006</v>
      </c>
      <c r="D2729" t="s">
        <v>5430</v>
      </c>
      <c r="E2729" s="2">
        <v>2948.32</v>
      </c>
      <c r="G2729" s="3">
        <f>MONTH(Tabela1[[#This Row],[Último pagto ano]])</f>
        <v>12</v>
      </c>
      <c r="H2729" t="str">
        <f>TEXT(Tabela1[[#This Row],[Coluna2]]*29,"mmmm")</f>
        <v>dezembro</v>
      </c>
      <c r="I2729" t="str">
        <f>TEXT(MONTH(Tabela1[[#This Row],[Último pagto ano]])*29,"mmmm")</f>
        <v>dezembro</v>
      </c>
    </row>
    <row r="2730" spans="1:9" x14ac:dyDescent="0.25">
      <c r="A2730">
        <v>2025</v>
      </c>
      <c r="B2730" t="s">
        <v>5431</v>
      </c>
      <c r="C2730" s="1">
        <v>46014</v>
      </c>
      <c r="D2730" t="s">
        <v>5432</v>
      </c>
      <c r="E2730">
        <v>44</v>
      </c>
      <c r="G2730" s="3">
        <f>MONTH(Tabela1[[#This Row],[Último pagto ano]])</f>
        <v>12</v>
      </c>
      <c r="H2730" t="str">
        <f>TEXT(Tabela1[[#This Row],[Coluna2]]*29,"mmmm")</f>
        <v>dezembro</v>
      </c>
      <c r="I2730" t="str">
        <f>TEXT(MONTH(Tabela1[[#This Row],[Último pagto ano]])*29,"mmmm")</f>
        <v>dezembro</v>
      </c>
    </row>
    <row r="2731" spans="1:9" x14ac:dyDescent="0.25">
      <c r="A2731">
        <v>2025</v>
      </c>
      <c r="B2731" t="s">
        <v>5433</v>
      </c>
      <c r="C2731" s="1">
        <v>45796</v>
      </c>
      <c r="D2731" t="s">
        <v>5434</v>
      </c>
      <c r="E2731" s="2">
        <v>8994.1200000000008</v>
      </c>
      <c r="G2731" s="3">
        <f>MONTH(Tabela1[[#This Row],[Último pagto ano]])</f>
        <v>5</v>
      </c>
      <c r="H2731" t="str">
        <f>TEXT(Tabela1[[#This Row],[Coluna2]]*29,"mmmm")</f>
        <v>maio</v>
      </c>
      <c r="I2731" t="str">
        <f>TEXT(MONTH(Tabela1[[#This Row],[Último pagto ano]])*29,"mmmm")</f>
        <v>maio</v>
      </c>
    </row>
    <row r="2732" spans="1:9" x14ac:dyDescent="0.25">
      <c r="A2732">
        <v>2025</v>
      </c>
      <c r="B2732" t="s">
        <v>5435</v>
      </c>
      <c r="C2732" s="1">
        <v>45943</v>
      </c>
      <c r="D2732" t="s">
        <v>5436</v>
      </c>
      <c r="E2732">
        <v>99</v>
      </c>
      <c r="G2732" s="3">
        <f>MONTH(Tabela1[[#This Row],[Último pagto ano]])</f>
        <v>10</v>
      </c>
      <c r="H2732" t="str">
        <f>TEXT(Tabela1[[#This Row],[Coluna2]]*29,"mmmm")</f>
        <v>outubro</v>
      </c>
      <c r="I2732" t="str">
        <f>TEXT(MONTH(Tabela1[[#This Row],[Último pagto ano]])*29,"mmmm")</f>
        <v>outubro</v>
      </c>
    </row>
    <row r="2733" spans="1:9" x14ac:dyDescent="0.25">
      <c r="A2733">
        <v>2025</v>
      </c>
      <c r="B2733" t="s">
        <v>5437</v>
      </c>
      <c r="C2733" s="1">
        <v>45978</v>
      </c>
      <c r="D2733" t="s">
        <v>5438</v>
      </c>
      <c r="E2733">
        <v>11</v>
      </c>
      <c r="G2733" s="3">
        <f>MONTH(Tabela1[[#This Row],[Último pagto ano]])</f>
        <v>11</v>
      </c>
      <c r="H2733" t="str">
        <f>TEXT(Tabela1[[#This Row],[Coluna2]]*29,"mmmm")</f>
        <v>novembro</v>
      </c>
      <c r="I2733" t="str">
        <f>TEXT(MONTH(Tabela1[[#This Row],[Último pagto ano]])*29,"mmmm")</f>
        <v>novembro</v>
      </c>
    </row>
    <row r="2734" spans="1:9" x14ac:dyDescent="0.25">
      <c r="A2734">
        <v>2025</v>
      </c>
      <c r="B2734" t="s">
        <v>5439</v>
      </c>
      <c r="C2734" s="1">
        <v>46010</v>
      </c>
      <c r="D2734" t="s">
        <v>5440</v>
      </c>
      <c r="E2734" s="2">
        <v>24000</v>
      </c>
      <c r="G2734" s="3">
        <f>MONTH(Tabela1[[#This Row],[Último pagto ano]])</f>
        <v>12</v>
      </c>
      <c r="H2734" t="str">
        <f>TEXT(Tabela1[[#This Row],[Coluna2]]*29,"mmmm")</f>
        <v>dezembro</v>
      </c>
      <c r="I2734" t="str">
        <f>TEXT(MONTH(Tabela1[[#This Row],[Último pagto ano]])*29,"mmmm")</f>
        <v>dezembro</v>
      </c>
    </row>
    <row r="2735" spans="1:9" x14ac:dyDescent="0.25">
      <c r="A2735">
        <v>2025</v>
      </c>
      <c r="B2735" t="s">
        <v>5441</v>
      </c>
      <c r="C2735" s="1">
        <v>45954</v>
      </c>
      <c r="D2735" t="s">
        <v>5442</v>
      </c>
      <c r="E2735" s="2">
        <v>9931.3799999999992</v>
      </c>
      <c r="G2735" s="3">
        <f>MONTH(Tabela1[[#This Row],[Último pagto ano]])</f>
        <v>10</v>
      </c>
      <c r="H2735" t="str">
        <f>TEXT(Tabela1[[#This Row],[Coluna2]]*29,"mmmm")</f>
        <v>outubro</v>
      </c>
      <c r="I2735" t="str">
        <f>TEXT(MONTH(Tabela1[[#This Row],[Último pagto ano]])*29,"mmmm")</f>
        <v>outubro</v>
      </c>
    </row>
    <row r="2736" spans="1:9" x14ac:dyDescent="0.25">
      <c r="A2736">
        <v>2025</v>
      </c>
      <c r="B2736" t="s">
        <v>5443</v>
      </c>
      <c r="C2736" s="1">
        <v>45889</v>
      </c>
      <c r="D2736" t="s">
        <v>5444</v>
      </c>
      <c r="E2736" s="2">
        <v>20920</v>
      </c>
      <c r="G2736" s="3">
        <f>MONTH(Tabela1[[#This Row],[Último pagto ano]])</f>
        <v>8</v>
      </c>
      <c r="H2736" t="str">
        <f>TEXT(Tabela1[[#This Row],[Coluna2]]*29,"mmmm")</f>
        <v>agosto</v>
      </c>
      <c r="I2736" t="str">
        <f>TEXT(MONTH(Tabela1[[#This Row],[Último pagto ano]])*29,"mmmm")</f>
        <v>agosto</v>
      </c>
    </row>
    <row r="2737" spans="1:9" x14ac:dyDescent="0.25">
      <c r="A2737">
        <v>2025</v>
      </c>
      <c r="B2737" t="s">
        <v>5445</v>
      </c>
      <c r="C2737" s="1">
        <v>45894</v>
      </c>
      <c r="D2737" t="s">
        <v>5446</v>
      </c>
      <c r="E2737">
        <v>194.4</v>
      </c>
      <c r="G2737" s="3">
        <f>MONTH(Tabela1[[#This Row],[Último pagto ano]])</f>
        <v>8</v>
      </c>
      <c r="H2737" t="str">
        <f>TEXT(Tabela1[[#This Row],[Coluna2]]*29,"mmmm")</f>
        <v>agosto</v>
      </c>
      <c r="I2737" t="str">
        <f>TEXT(MONTH(Tabela1[[#This Row],[Último pagto ano]])*29,"mmmm")</f>
        <v>agosto</v>
      </c>
    </row>
    <row r="2738" spans="1:9" x14ac:dyDescent="0.25">
      <c r="A2738">
        <v>2025</v>
      </c>
      <c r="B2738" t="s">
        <v>5447</v>
      </c>
      <c r="C2738" s="1">
        <v>45995</v>
      </c>
      <c r="D2738" t="s">
        <v>5448</v>
      </c>
      <c r="E2738">
        <v>286</v>
      </c>
      <c r="G2738" s="3">
        <f>MONTH(Tabela1[[#This Row],[Último pagto ano]])</f>
        <v>12</v>
      </c>
      <c r="H2738" t="str">
        <f>TEXT(Tabela1[[#This Row],[Coluna2]]*29,"mmmm")</f>
        <v>dezembro</v>
      </c>
      <c r="I2738" t="str">
        <f>TEXT(MONTH(Tabela1[[#This Row],[Último pagto ano]])*29,"mmmm")</f>
        <v>dezembro</v>
      </c>
    </row>
    <row r="2739" spans="1:9" x14ac:dyDescent="0.25">
      <c r="A2739">
        <v>2025</v>
      </c>
      <c r="B2739" t="s">
        <v>5449</v>
      </c>
      <c r="C2739" s="1">
        <v>46010</v>
      </c>
      <c r="D2739" t="s">
        <v>5450</v>
      </c>
      <c r="E2739" s="2">
        <v>12000</v>
      </c>
      <c r="G2739" s="3">
        <f>MONTH(Tabela1[[#This Row],[Último pagto ano]])</f>
        <v>12</v>
      </c>
      <c r="H2739" t="str">
        <f>TEXT(Tabela1[[#This Row],[Coluna2]]*29,"mmmm")</f>
        <v>dezembro</v>
      </c>
      <c r="I2739" t="str">
        <f>TEXT(MONTH(Tabela1[[#This Row],[Último pagto ano]])*29,"mmmm")</f>
        <v>dezembro</v>
      </c>
    </row>
    <row r="2740" spans="1:9" x14ac:dyDescent="0.25">
      <c r="A2740">
        <v>2025</v>
      </c>
      <c r="B2740" t="s">
        <v>5451</v>
      </c>
      <c r="C2740" s="1">
        <v>46010</v>
      </c>
      <c r="D2740" t="s">
        <v>5452</v>
      </c>
      <c r="E2740" s="2">
        <v>2534</v>
      </c>
      <c r="G2740" s="3">
        <f>MONTH(Tabela1[[#This Row],[Último pagto ano]])</f>
        <v>12</v>
      </c>
      <c r="H2740" t="str">
        <f>TEXT(Tabela1[[#This Row],[Coluna2]]*29,"mmmm")</f>
        <v>dezembro</v>
      </c>
      <c r="I2740" t="str">
        <f>TEXT(MONTH(Tabela1[[#This Row],[Último pagto ano]])*29,"mmmm")</f>
        <v>dezembro</v>
      </c>
    </row>
    <row r="2741" spans="1:9" x14ac:dyDescent="0.25">
      <c r="A2741">
        <v>2025</v>
      </c>
      <c r="B2741" t="s">
        <v>5453</v>
      </c>
      <c r="C2741" s="1">
        <v>45960</v>
      </c>
      <c r="D2741" t="s">
        <v>5454</v>
      </c>
      <c r="E2741" s="2">
        <v>9228.36</v>
      </c>
      <c r="G2741" s="3">
        <f>MONTH(Tabela1[[#This Row],[Último pagto ano]])</f>
        <v>10</v>
      </c>
      <c r="H2741" t="str">
        <f>TEXT(Tabela1[[#This Row],[Coluna2]]*29,"mmmm")</f>
        <v>outubro</v>
      </c>
      <c r="I2741" t="str">
        <f>TEXT(MONTH(Tabela1[[#This Row],[Último pagto ano]])*29,"mmmm")</f>
        <v>outubro</v>
      </c>
    </row>
    <row r="2742" spans="1:9" x14ac:dyDescent="0.25">
      <c r="A2742">
        <v>2025</v>
      </c>
      <c r="B2742" t="s">
        <v>5455</v>
      </c>
      <c r="C2742" s="1">
        <v>45908</v>
      </c>
      <c r="D2742" t="s">
        <v>5456</v>
      </c>
      <c r="E2742">
        <v>240.8</v>
      </c>
      <c r="G2742" s="3">
        <f>MONTH(Tabela1[[#This Row],[Último pagto ano]])</f>
        <v>9</v>
      </c>
      <c r="H2742" t="str">
        <f>TEXT(Tabela1[[#This Row],[Coluna2]]*29,"mmmm")</f>
        <v>setembro</v>
      </c>
      <c r="I2742" t="str">
        <f>TEXT(MONTH(Tabela1[[#This Row],[Último pagto ano]])*29,"mmmm")</f>
        <v>setembro</v>
      </c>
    </row>
    <row r="2743" spans="1:9" x14ac:dyDescent="0.25">
      <c r="A2743">
        <v>2025</v>
      </c>
      <c r="B2743" t="s">
        <v>5457</v>
      </c>
      <c r="C2743" s="1">
        <v>45702</v>
      </c>
      <c r="D2743" t="s">
        <v>5458</v>
      </c>
      <c r="E2743">
        <v>179.16</v>
      </c>
      <c r="G2743" s="3">
        <f>MONTH(Tabela1[[#This Row],[Último pagto ano]])</f>
        <v>2</v>
      </c>
      <c r="H2743" t="str">
        <f>TEXT(Tabela1[[#This Row],[Coluna2]]*29,"mmmm")</f>
        <v>fevereiro</v>
      </c>
      <c r="I2743" t="str">
        <f>TEXT(MONTH(Tabela1[[#This Row],[Último pagto ano]])*29,"mmmm")</f>
        <v>fevereiro</v>
      </c>
    </row>
    <row r="2744" spans="1:9" x14ac:dyDescent="0.25">
      <c r="A2744">
        <v>2025</v>
      </c>
      <c r="B2744" t="s">
        <v>5459</v>
      </c>
      <c r="C2744" s="1">
        <v>46010</v>
      </c>
      <c r="D2744" t="s">
        <v>5460</v>
      </c>
      <c r="E2744" s="2">
        <v>3500</v>
      </c>
      <c r="G2744" s="3">
        <f>MONTH(Tabela1[[#This Row],[Último pagto ano]])</f>
        <v>12</v>
      </c>
      <c r="H2744" t="str">
        <f>TEXT(Tabela1[[#This Row],[Coluna2]]*29,"mmmm")</f>
        <v>dezembro</v>
      </c>
      <c r="I2744" t="str">
        <f>TEXT(MONTH(Tabela1[[#This Row],[Último pagto ano]])*29,"mmmm")</f>
        <v>dezembro</v>
      </c>
    </row>
    <row r="2745" spans="1:9" x14ac:dyDescent="0.25">
      <c r="A2745">
        <v>2025</v>
      </c>
      <c r="B2745" t="s">
        <v>5461</v>
      </c>
      <c r="C2745" s="1">
        <v>45988</v>
      </c>
      <c r="D2745" t="s">
        <v>5462</v>
      </c>
      <c r="E2745" s="2">
        <v>5236.8</v>
      </c>
      <c r="G2745" s="3">
        <f>MONTH(Tabela1[[#This Row],[Último pagto ano]])</f>
        <v>11</v>
      </c>
      <c r="H2745" t="str">
        <f>TEXT(Tabela1[[#This Row],[Coluna2]]*29,"mmmm")</f>
        <v>novembro</v>
      </c>
      <c r="I2745" t="str">
        <f>TEXT(MONTH(Tabela1[[#This Row],[Último pagto ano]])*29,"mmmm")</f>
        <v>novembro</v>
      </c>
    </row>
    <row r="2746" spans="1:9" x14ac:dyDescent="0.25">
      <c r="A2746">
        <v>2025</v>
      </c>
      <c r="B2746" t="s">
        <v>5463</v>
      </c>
      <c r="C2746" s="1">
        <v>46010</v>
      </c>
      <c r="D2746" t="s">
        <v>5464</v>
      </c>
      <c r="E2746" s="2">
        <v>12000</v>
      </c>
      <c r="G2746" s="3">
        <f>MONTH(Tabela1[[#This Row],[Último pagto ano]])</f>
        <v>12</v>
      </c>
      <c r="H2746" t="str">
        <f>TEXT(Tabela1[[#This Row],[Coluna2]]*29,"mmmm")</f>
        <v>dezembro</v>
      </c>
      <c r="I2746" t="str">
        <f>TEXT(MONTH(Tabela1[[#This Row],[Último pagto ano]])*29,"mmmm")</f>
        <v>dezembro</v>
      </c>
    </row>
    <row r="2747" spans="1:9" x14ac:dyDescent="0.25">
      <c r="A2747">
        <v>2025</v>
      </c>
      <c r="B2747" t="s">
        <v>5465</v>
      </c>
      <c r="C2747" s="1">
        <v>45877</v>
      </c>
      <c r="D2747" t="s">
        <v>5466</v>
      </c>
      <c r="E2747">
        <v>70.22</v>
      </c>
      <c r="G2747" s="3">
        <f>MONTH(Tabela1[[#This Row],[Último pagto ano]])</f>
        <v>8</v>
      </c>
      <c r="H2747" t="str">
        <f>TEXT(Tabela1[[#This Row],[Coluna2]]*29,"mmmm")</f>
        <v>agosto</v>
      </c>
      <c r="I2747" t="str">
        <f>TEXT(MONTH(Tabela1[[#This Row],[Último pagto ano]])*29,"mmmm")</f>
        <v>agosto</v>
      </c>
    </row>
    <row r="2748" spans="1:9" x14ac:dyDescent="0.25">
      <c r="A2748">
        <v>2025</v>
      </c>
      <c r="B2748" t="s">
        <v>5467</v>
      </c>
      <c r="C2748" s="1">
        <v>45938</v>
      </c>
      <c r="D2748" t="s">
        <v>5468</v>
      </c>
      <c r="E2748" s="2">
        <v>9348.66</v>
      </c>
      <c r="G2748" s="3">
        <f>MONTH(Tabela1[[#This Row],[Último pagto ano]])</f>
        <v>10</v>
      </c>
      <c r="H2748" t="str">
        <f>TEXT(Tabela1[[#This Row],[Coluna2]]*29,"mmmm")</f>
        <v>outubro</v>
      </c>
      <c r="I2748" t="str">
        <f>TEXT(MONTH(Tabela1[[#This Row],[Último pagto ano]])*29,"mmmm")</f>
        <v>outubro</v>
      </c>
    </row>
    <row r="2749" spans="1:9" x14ac:dyDescent="0.25">
      <c r="A2749">
        <v>2025</v>
      </c>
      <c r="B2749" t="s">
        <v>5469</v>
      </c>
      <c r="C2749" s="1">
        <v>45996</v>
      </c>
      <c r="D2749" t="s">
        <v>5470</v>
      </c>
      <c r="E2749" s="2">
        <v>6350</v>
      </c>
      <c r="G2749" s="3">
        <f>MONTH(Tabela1[[#This Row],[Último pagto ano]])</f>
        <v>12</v>
      </c>
      <c r="H2749" t="str">
        <f>TEXT(Tabela1[[#This Row],[Coluna2]]*29,"mmmm")</f>
        <v>dezembro</v>
      </c>
      <c r="I2749" t="str">
        <f>TEXT(MONTH(Tabela1[[#This Row],[Último pagto ano]])*29,"mmmm")</f>
        <v>dezembro</v>
      </c>
    </row>
    <row r="2750" spans="1:9" x14ac:dyDescent="0.25">
      <c r="A2750">
        <v>2025</v>
      </c>
      <c r="B2750" t="s">
        <v>5471</v>
      </c>
      <c r="C2750" s="1">
        <v>46006</v>
      </c>
      <c r="D2750" t="s">
        <v>5472</v>
      </c>
      <c r="E2750" s="2">
        <v>12000</v>
      </c>
      <c r="G2750" s="3">
        <f>MONTH(Tabela1[[#This Row],[Último pagto ano]])</f>
        <v>12</v>
      </c>
      <c r="H2750" t="str">
        <f>TEXT(Tabela1[[#This Row],[Coluna2]]*29,"mmmm")</f>
        <v>dezembro</v>
      </c>
      <c r="I2750" t="str">
        <f>TEXT(MONTH(Tabela1[[#This Row],[Último pagto ano]])*29,"mmmm")</f>
        <v>dezembro</v>
      </c>
    </row>
    <row r="2751" spans="1:9" x14ac:dyDescent="0.25">
      <c r="A2751">
        <v>2025</v>
      </c>
      <c r="B2751" t="s">
        <v>5473</v>
      </c>
      <c r="C2751" s="1">
        <v>45996</v>
      </c>
      <c r="D2751" t="s">
        <v>5474</v>
      </c>
      <c r="E2751" s="2">
        <v>5500</v>
      </c>
      <c r="G2751" s="3">
        <f>MONTH(Tabela1[[#This Row],[Último pagto ano]])</f>
        <v>12</v>
      </c>
      <c r="H2751" t="str">
        <f>TEXT(Tabela1[[#This Row],[Coluna2]]*29,"mmmm")</f>
        <v>dezembro</v>
      </c>
      <c r="I2751" t="str">
        <f>TEXT(MONTH(Tabela1[[#This Row],[Último pagto ano]])*29,"mmmm")</f>
        <v>dezembro</v>
      </c>
    </row>
    <row r="2752" spans="1:9" x14ac:dyDescent="0.25">
      <c r="A2752">
        <v>2025</v>
      </c>
      <c r="B2752" t="s">
        <v>5475</v>
      </c>
      <c r="C2752" s="1">
        <v>45744</v>
      </c>
      <c r="D2752" t="s">
        <v>5476</v>
      </c>
      <c r="E2752" s="2">
        <v>68800.14</v>
      </c>
      <c r="G2752" s="3">
        <f>MONTH(Tabela1[[#This Row],[Último pagto ano]])</f>
        <v>3</v>
      </c>
      <c r="H2752" t="str">
        <f>TEXT(Tabela1[[#This Row],[Coluna2]]*29,"mmmm")</f>
        <v>março</v>
      </c>
      <c r="I2752" t="str">
        <f>TEXT(MONTH(Tabela1[[#This Row],[Último pagto ano]])*29,"mmmm")</f>
        <v>março</v>
      </c>
    </row>
    <row r="2753" spans="1:9" x14ac:dyDescent="0.25">
      <c r="A2753">
        <v>2025</v>
      </c>
      <c r="B2753" t="s">
        <v>5477</v>
      </c>
      <c r="C2753" s="1">
        <v>46014</v>
      </c>
      <c r="D2753" t="s">
        <v>5478</v>
      </c>
      <c r="E2753">
        <v>60</v>
      </c>
      <c r="G2753" s="3">
        <f>MONTH(Tabela1[[#This Row],[Último pagto ano]])</f>
        <v>12</v>
      </c>
      <c r="H2753" t="str">
        <f>TEXT(Tabela1[[#This Row],[Coluna2]]*29,"mmmm")</f>
        <v>dezembro</v>
      </c>
      <c r="I2753" t="str">
        <f>TEXT(MONTH(Tabela1[[#This Row],[Último pagto ano]])*29,"mmmm")</f>
        <v>dezembro</v>
      </c>
    </row>
    <row r="2754" spans="1:9" x14ac:dyDescent="0.25">
      <c r="A2754">
        <v>2025</v>
      </c>
      <c r="B2754" t="s">
        <v>5479</v>
      </c>
      <c r="C2754" s="1">
        <v>45964</v>
      </c>
      <c r="D2754" t="s">
        <v>5480</v>
      </c>
      <c r="E2754">
        <v>220</v>
      </c>
      <c r="G2754" s="3">
        <f>MONTH(Tabela1[[#This Row],[Último pagto ano]])</f>
        <v>11</v>
      </c>
      <c r="H2754" t="str">
        <f>TEXT(Tabela1[[#This Row],[Coluna2]]*29,"mmmm")</f>
        <v>novembro</v>
      </c>
      <c r="I2754" t="str">
        <f>TEXT(MONTH(Tabela1[[#This Row],[Último pagto ano]])*29,"mmmm")</f>
        <v>novembro</v>
      </c>
    </row>
    <row r="2755" spans="1:9" x14ac:dyDescent="0.25">
      <c r="A2755">
        <v>2025</v>
      </c>
      <c r="B2755" t="s">
        <v>5481</v>
      </c>
      <c r="C2755" s="1">
        <v>45702</v>
      </c>
      <c r="D2755" t="s">
        <v>5482</v>
      </c>
      <c r="E2755" s="2">
        <v>1279.1600000000001</v>
      </c>
      <c r="G2755" s="3">
        <f>MONTH(Tabela1[[#This Row],[Último pagto ano]])</f>
        <v>2</v>
      </c>
      <c r="H2755" t="str">
        <f>TEXT(Tabela1[[#This Row],[Coluna2]]*29,"mmmm")</f>
        <v>fevereiro</v>
      </c>
      <c r="I2755" t="str">
        <f>TEXT(MONTH(Tabela1[[#This Row],[Último pagto ano]])*29,"mmmm")</f>
        <v>fevereiro</v>
      </c>
    </row>
    <row r="2756" spans="1:9" x14ac:dyDescent="0.25">
      <c r="A2756">
        <v>2025</v>
      </c>
      <c r="B2756" t="s">
        <v>5483</v>
      </c>
      <c r="C2756" s="1">
        <v>45702</v>
      </c>
      <c r="D2756" t="s">
        <v>5484</v>
      </c>
      <c r="E2756" s="2">
        <v>1218.06</v>
      </c>
      <c r="G2756" s="3">
        <f>MONTH(Tabela1[[#This Row],[Último pagto ano]])</f>
        <v>2</v>
      </c>
      <c r="H2756" t="str">
        <f>TEXT(Tabela1[[#This Row],[Coluna2]]*29,"mmmm")</f>
        <v>fevereiro</v>
      </c>
      <c r="I2756" t="str">
        <f>TEXT(MONTH(Tabela1[[#This Row],[Último pagto ano]])*29,"mmmm")</f>
        <v>fevereiro</v>
      </c>
    </row>
    <row r="2757" spans="1:9" x14ac:dyDescent="0.25">
      <c r="A2757">
        <v>2025</v>
      </c>
      <c r="B2757" t="s">
        <v>5485</v>
      </c>
      <c r="C2757" s="1">
        <v>45959</v>
      </c>
      <c r="D2757" t="s">
        <v>5486</v>
      </c>
      <c r="E2757" s="2">
        <v>7000</v>
      </c>
      <c r="G2757" s="3">
        <f>MONTH(Tabela1[[#This Row],[Último pagto ano]])</f>
        <v>10</v>
      </c>
      <c r="H2757" t="str">
        <f>TEXT(Tabela1[[#This Row],[Coluna2]]*29,"mmmm")</f>
        <v>outubro</v>
      </c>
      <c r="I2757" t="str">
        <f>TEXT(MONTH(Tabela1[[#This Row],[Último pagto ano]])*29,"mmmm")</f>
        <v>outubro</v>
      </c>
    </row>
    <row r="2758" spans="1:9" x14ac:dyDescent="0.25">
      <c r="A2758">
        <v>2025</v>
      </c>
      <c r="B2758" t="s">
        <v>5487</v>
      </c>
      <c r="C2758" s="1">
        <v>45873</v>
      </c>
      <c r="D2758" t="s">
        <v>5488</v>
      </c>
      <c r="E2758" s="2">
        <v>33000</v>
      </c>
      <c r="G2758" s="3">
        <f>MONTH(Tabela1[[#This Row],[Último pagto ano]])</f>
        <v>8</v>
      </c>
      <c r="H2758" t="str">
        <f>TEXT(Tabela1[[#This Row],[Coluna2]]*29,"mmmm")</f>
        <v>agosto</v>
      </c>
      <c r="I2758" t="str">
        <f>TEXT(MONTH(Tabela1[[#This Row],[Último pagto ano]])*29,"mmmm")</f>
        <v>agosto</v>
      </c>
    </row>
    <row r="2759" spans="1:9" x14ac:dyDescent="0.25">
      <c r="A2759">
        <v>2025</v>
      </c>
      <c r="B2759" t="s">
        <v>5489</v>
      </c>
      <c r="C2759" s="1">
        <v>45996</v>
      </c>
      <c r="D2759" t="s">
        <v>5490</v>
      </c>
      <c r="E2759" s="2">
        <v>12749</v>
      </c>
      <c r="G2759" s="3">
        <f>MONTH(Tabela1[[#This Row],[Último pagto ano]])</f>
        <v>12</v>
      </c>
      <c r="H2759" t="str">
        <f>TEXT(Tabela1[[#This Row],[Coluna2]]*29,"mmmm")</f>
        <v>dezembro</v>
      </c>
      <c r="I2759" t="str">
        <f>TEXT(MONTH(Tabela1[[#This Row],[Último pagto ano]])*29,"mmmm")</f>
        <v>dezembro</v>
      </c>
    </row>
    <row r="2760" spans="1:9" x14ac:dyDescent="0.25">
      <c r="A2760">
        <v>2025</v>
      </c>
      <c r="B2760" t="s">
        <v>5491</v>
      </c>
      <c r="C2760" s="1">
        <v>45978</v>
      </c>
      <c r="D2760" t="s">
        <v>5492</v>
      </c>
      <c r="E2760">
        <v>890.44</v>
      </c>
      <c r="G2760" s="3">
        <f>MONTH(Tabela1[[#This Row],[Último pagto ano]])</f>
        <v>11</v>
      </c>
      <c r="H2760" t="str">
        <f>TEXT(Tabela1[[#This Row],[Coluna2]]*29,"mmmm")</f>
        <v>novembro</v>
      </c>
      <c r="I2760" t="str">
        <f>TEXT(MONTH(Tabela1[[#This Row],[Último pagto ano]])*29,"mmmm")</f>
        <v>novembro</v>
      </c>
    </row>
    <row r="2761" spans="1:9" x14ac:dyDescent="0.25">
      <c r="A2761">
        <v>2025</v>
      </c>
      <c r="B2761" t="s">
        <v>5493</v>
      </c>
      <c r="C2761" s="1">
        <v>45849</v>
      </c>
      <c r="D2761" t="s">
        <v>5494</v>
      </c>
      <c r="E2761" s="2">
        <v>1200</v>
      </c>
      <c r="G2761" s="3">
        <f>MONTH(Tabela1[[#This Row],[Último pagto ano]])</f>
        <v>7</v>
      </c>
      <c r="H2761" t="str">
        <f>TEXT(Tabela1[[#This Row],[Coluna2]]*29,"mmmm")</f>
        <v>julho</v>
      </c>
      <c r="I2761" t="str">
        <f>TEXT(MONTH(Tabela1[[#This Row],[Último pagto ano]])*29,"mmmm")</f>
        <v>julho</v>
      </c>
    </row>
    <row r="2762" spans="1:9" x14ac:dyDescent="0.25">
      <c r="A2762">
        <v>2025</v>
      </c>
      <c r="B2762" t="s">
        <v>5495</v>
      </c>
      <c r="C2762" s="1">
        <v>46006</v>
      </c>
      <c r="D2762" t="s">
        <v>5496</v>
      </c>
      <c r="E2762" s="2">
        <v>29824.18</v>
      </c>
      <c r="G2762" s="3">
        <f>MONTH(Tabela1[[#This Row],[Último pagto ano]])</f>
        <v>12</v>
      </c>
      <c r="H2762" t="str">
        <f>TEXT(Tabela1[[#This Row],[Coluna2]]*29,"mmmm")</f>
        <v>dezembro</v>
      </c>
      <c r="I2762" t="str">
        <f>TEXT(MONTH(Tabela1[[#This Row],[Último pagto ano]])*29,"mmmm")</f>
        <v>dezembro</v>
      </c>
    </row>
    <row r="2763" spans="1:9" x14ac:dyDescent="0.25">
      <c r="A2763">
        <v>2025</v>
      </c>
      <c r="B2763" t="s">
        <v>5497</v>
      </c>
      <c r="C2763" s="1">
        <v>46010</v>
      </c>
      <c r="D2763" t="s">
        <v>5498</v>
      </c>
      <c r="E2763" s="2">
        <v>4200</v>
      </c>
      <c r="G2763" s="3">
        <f>MONTH(Tabela1[[#This Row],[Último pagto ano]])</f>
        <v>12</v>
      </c>
      <c r="H2763" t="str">
        <f>TEXT(Tabela1[[#This Row],[Coluna2]]*29,"mmmm")</f>
        <v>dezembro</v>
      </c>
      <c r="I2763" t="str">
        <f>TEXT(MONTH(Tabela1[[#This Row],[Último pagto ano]])*29,"mmmm")</f>
        <v>dezembro</v>
      </c>
    </row>
    <row r="2764" spans="1:9" x14ac:dyDescent="0.25">
      <c r="A2764">
        <v>2025</v>
      </c>
      <c r="B2764" t="s">
        <v>5499</v>
      </c>
      <c r="C2764" s="1">
        <v>45695</v>
      </c>
      <c r="D2764" t="s">
        <v>5500</v>
      </c>
      <c r="E2764" s="2">
        <v>1100</v>
      </c>
      <c r="G2764" s="3">
        <f>MONTH(Tabela1[[#This Row],[Último pagto ano]])</f>
        <v>2</v>
      </c>
      <c r="H2764" t="str">
        <f>TEXT(Tabela1[[#This Row],[Coluna2]]*29,"mmmm")</f>
        <v>fevereiro</v>
      </c>
      <c r="I2764" t="str">
        <f>TEXT(MONTH(Tabela1[[#This Row],[Último pagto ano]])*29,"mmmm")</f>
        <v>fevereiro</v>
      </c>
    </row>
    <row r="2765" spans="1:9" x14ac:dyDescent="0.25">
      <c r="A2765">
        <v>2025</v>
      </c>
      <c r="B2765" t="s">
        <v>5501</v>
      </c>
      <c r="C2765" s="1">
        <v>45722</v>
      </c>
      <c r="D2765" t="s">
        <v>5502</v>
      </c>
      <c r="E2765">
        <v>156.18</v>
      </c>
      <c r="G2765" s="3">
        <f>MONTH(Tabela1[[#This Row],[Último pagto ano]])</f>
        <v>3</v>
      </c>
      <c r="H2765" t="str">
        <f>TEXT(Tabela1[[#This Row],[Coluna2]]*29,"mmmm")</f>
        <v>março</v>
      </c>
      <c r="I2765" t="str">
        <f>TEXT(MONTH(Tabela1[[#This Row],[Último pagto ano]])*29,"mmmm")</f>
        <v>março</v>
      </c>
    </row>
    <row r="2766" spans="1:9" x14ac:dyDescent="0.25">
      <c r="A2766">
        <v>2025</v>
      </c>
      <c r="B2766" t="s">
        <v>5503</v>
      </c>
      <c r="C2766" s="1">
        <v>46006</v>
      </c>
      <c r="D2766" t="s">
        <v>5504</v>
      </c>
      <c r="E2766">
        <v>592.32000000000005</v>
      </c>
      <c r="G2766" s="3">
        <f>MONTH(Tabela1[[#This Row],[Último pagto ano]])</f>
        <v>12</v>
      </c>
      <c r="H2766" t="str">
        <f>TEXT(Tabela1[[#This Row],[Coluna2]]*29,"mmmm")</f>
        <v>dezembro</v>
      </c>
      <c r="I2766" t="str">
        <f>TEXT(MONTH(Tabela1[[#This Row],[Último pagto ano]])*29,"mmmm")</f>
        <v>dezembro</v>
      </c>
    </row>
    <row r="2767" spans="1:9" x14ac:dyDescent="0.25">
      <c r="A2767">
        <v>2025</v>
      </c>
      <c r="B2767" t="s">
        <v>5505</v>
      </c>
      <c r="C2767" s="1">
        <v>46006</v>
      </c>
      <c r="D2767" t="s">
        <v>5506</v>
      </c>
      <c r="E2767">
        <v>110</v>
      </c>
      <c r="G2767" s="3">
        <f>MONTH(Tabela1[[#This Row],[Último pagto ano]])</f>
        <v>12</v>
      </c>
      <c r="H2767" t="str">
        <f>TEXT(Tabela1[[#This Row],[Coluna2]]*29,"mmmm")</f>
        <v>dezembro</v>
      </c>
      <c r="I2767" t="str">
        <f>TEXT(MONTH(Tabela1[[#This Row],[Último pagto ano]])*29,"mmmm")</f>
        <v>dezembro</v>
      </c>
    </row>
    <row r="2768" spans="1:9" x14ac:dyDescent="0.25">
      <c r="A2768">
        <v>2025</v>
      </c>
      <c r="B2768" t="s">
        <v>5507</v>
      </c>
      <c r="C2768" s="1">
        <v>45954</v>
      </c>
      <c r="D2768" t="s">
        <v>5508</v>
      </c>
      <c r="E2768" s="2">
        <v>135270</v>
      </c>
      <c r="G2768" s="3">
        <f>MONTH(Tabela1[[#This Row],[Último pagto ano]])</f>
        <v>10</v>
      </c>
      <c r="H2768" t="str">
        <f>TEXT(Tabela1[[#This Row],[Coluna2]]*29,"mmmm")</f>
        <v>outubro</v>
      </c>
      <c r="I2768" t="str">
        <f>TEXT(MONTH(Tabela1[[#This Row],[Último pagto ano]])*29,"mmmm")</f>
        <v>outubro</v>
      </c>
    </row>
    <row r="2769" spans="1:9" x14ac:dyDescent="0.25">
      <c r="A2769">
        <v>2025</v>
      </c>
      <c r="B2769" t="s">
        <v>5509</v>
      </c>
      <c r="C2769" s="1">
        <v>45999</v>
      </c>
      <c r="D2769" t="s">
        <v>5510</v>
      </c>
      <c r="E2769">
        <v>538</v>
      </c>
      <c r="G2769" s="3">
        <f>MONTH(Tabela1[[#This Row],[Último pagto ano]])</f>
        <v>12</v>
      </c>
      <c r="H2769" t="str">
        <f>TEXT(Tabela1[[#This Row],[Coluna2]]*29,"mmmm")</f>
        <v>dezembro</v>
      </c>
      <c r="I2769" t="str">
        <f>TEXT(MONTH(Tabela1[[#This Row],[Último pagto ano]])*29,"mmmm")</f>
        <v>dezembro</v>
      </c>
    </row>
    <row r="2770" spans="1:9" x14ac:dyDescent="0.25">
      <c r="A2770">
        <v>2025</v>
      </c>
      <c r="B2770" t="s">
        <v>5511</v>
      </c>
      <c r="C2770" s="1">
        <v>45684</v>
      </c>
      <c r="D2770" t="s">
        <v>5512</v>
      </c>
      <c r="E2770">
        <v>64</v>
      </c>
      <c r="G2770" s="3">
        <f>MONTH(Tabela1[[#This Row],[Último pagto ano]])</f>
        <v>1</v>
      </c>
      <c r="H2770" t="str">
        <f>TEXT(Tabela1[[#This Row],[Coluna2]]*29,"mmmm")</f>
        <v>janeiro</v>
      </c>
      <c r="I2770" t="str">
        <f>TEXT(MONTH(Tabela1[[#This Row],[Último pagto ano]])*29,"mmmm")</f>
        <v>janeiro</v>
      </c>
    </row>
    <row r="2771" spans="1:9" x14ac:dyDescent="0.25">
      <c r="A2771">
        <v>2025</v>
      </c>
      <c r="B2771" t="s">
        <v>5513</v>
      </c>
      <c r="C2771" s="1">
        <v>46006</v>
      </c>
      <c r="D2771" t="s">
        <v>5514</v>
      </c>
      <c r="E2771" s="2">
        <v>1200</v>
      </c>
      <c r="G2771" s="3">
        <f>MONTH(Tabela1[[#This Row],[Último pagto ano]])</f>
        <v>12</v>
      </c>
      <c r="H2771" t="str">
        <f>TEXT(Tabela1[[#This Row],[Coluna2]]*29,"mmmm")</f>
        <v>dezembro</v>
      </c>
      <c r="I2771" t="str">
        <f>TEXT(MONTH(Tabela1[[#This Row],[Último pagto ano]])*29,"mmmm")</f>
        <v>dezembro</v>
      </c>
    </row>
    <row r="2772" spans="1:9" x14ac:dyDescent="0.25">
      <c r="A2772">
        <v>2025</v>
      </c>
      <c r="B2772" t="s">
        <v>5515</v>
      </c>
      <c r="C2772" s="1">
        <v>45999</v>
      </c>
      <c r="D2772" t="s">
        <v>5516</v>
      </c>
      <c r="E2772">
        <v>205</v>
      </c>
      <c r="G2772" s="3">
        <f>MONTH(Tabela1[[#This Row],[Último pagto ano]])</f>
        <v>12</v>
      </c>
      <c r="H2772" t="str">
        <f>TEXT(Tabela1[[#This Row],[Coluna2]]*29,"mmmm")</f>
        <v>dezembro</v>
      </c>
      <c r="I2772" t="str">
        <f>TEXT(MONTH(Tabela1[[#This Row],[Último pagto ano]])*29,"mmmm")</f>
        <v>dezembro</v>
      </c>
    </row>
    <row r="2773" spans="1:9" x14ac:dyDescent="0.25">
      <c r="A2773">
        <v>2025</v>
      </c>
      <c r="B2773" t="s">
        <v>5517</v>
      </c>
      <c r="C2773" s="1">
        <v>46003</v>
      </c>
      <c r="D2773" t="s">
        <v>5518</v>
      </c>
      <c r="E2773" s="2">
        <v>596230.68000000005</v>
      </c>
      <c r="G2773" s="3">
        <f>MONTH(Tabela1[[#This Row],[Último pagto ano]])</f>
        <v>12</v>
      </c>
      <c r="H2773" t="str">
        <f>TEXT(Tabela1[[#This Row],[Coluna2]]*29,"mmmm")</f>
        <v>dezembro</v>
      </c>
      <c r="I2773" t="str">
        <f>TEXT(MONTH(Tabela1[[#This Row],[Último pagto ano]])*29,"mmmm")</f>
        <v>dezembro</v>
      </c>
    </row>
    <row r="2774" spans="1:9" x14ac:dyDescent="0.25">
      <c r="A2774">
        <v>2025</v>
      </c>
      <c r="B2774" t="s">
        <v>5519</v>
      </c>
      <c r="C2774" s="1">
        <v>46014</v>
      </c>
      <c r="D2774" t="s">
        <v>5520</v>
      </c>
      <c r="E2774" s="2">
        <v>49736129.729999997</v>
      </c>
      <c r="G2774" s="3">
        <f>MONTH(Tabela1[[#This Row],[Último pagto ano]])</f>
        <v>12</v>
      </c>
      <c r="H2774" t="str">
        <f>TEXT(Tabela1[[#This Row],[Coluna2]]*29,"mmmm")</f>
        <v>dezembro</v>
      </c>
      <c r="I2774" t="str">
        <f>TEXT(MONTH(Tabela1[[#This Row],[Último pagto ano]])*29,"mmmm")</f>
        <v>dezembro</v>
      </c>
    </row>
    <row r="2775" spans="1:9" x14ac:dyDescent="0.25">
      <c r="A2775">
        <v>2025</v>
      </c>
      <c r="B2775" t="s">
        <v>5521</v>
      </c>
      <c r="C2775" s="1">
        <v>46021</v>
      </c>
      <c r="D2775" t="s">
        <v>5522</v>
      </c>
      <c r="E2775" s="2">
        <v>1363568.35</v>
      </c>
      <c r="G2775" s="3">
        <f>MONTH(Tabela1[[#This Row],[Último pagto ano]])</f>
        <v>12</v>
      </c>
      <c r="H2775" t="str">
        <f>TEXT(Tabela1[[#This Row],[Coluna2]]*29,"mmmm")</f>
        <v>dezembro</v>
      </c>
      <c r="I2775" t="str">
        <f>TEXT(MONTH(Tabela1[[#This Row],[Último pagto ano]])*29,"mmmm")</f>
        <v>dezembro</v>
      </c>
    </row>
    <row r="2776" spans="1:9" x14ac:dyDescent="0.25">
      <c r="A2776">
        <v>2025</v>
      </c>
      <c r="B2776" t="s">
        <v>5523</v>
      </c>
      <c r="C2776" s="1">
        <v>46010</v>
      </c>
      <c r="D2776" t="s">
        <v>5524</v>
      </c>
      <c r="E2776" s="2">
        <v>20776.169999999998</v>
      </c>
      <c r="G2776" s="3">
        <f>MONTH(Tabela1[[#This Row],[Último pagto ano]])</f>
        <v>12</v>
      </c>
      <c r="H2776" t="str">
        <f>TEXT(Tabela1[[#This Row],[Coluna2]]*29,"mmmm")</f>
        <v>dezembro</v>
      </c>
      <c r="I2776" t="str">
        <f>TEXT(MONTH(Tabela1[[#This Row],[Último pagto ano]])*29,"mmmm")</f>
        <v>dezembro</v>
      </c>
    </row>
    <row r="2777" spans="1:9" x14ac:dyDescent="0.25">
      <c r="A2777">
        <v>2025</v>
      </c>
      <c r="B2777" t="s">
        <v>5525</v>
      </c>
      <c r="C2777" s="1">
        <v>46006</v>
      </c>
      <c r="D2777" t="s">
        <v>5526</v>
      </c>
      <c r="E2777" s="2">
        <v>3257.76</v>
      </c>
      <c r="G2777" s="3">
        <f>MONTH(Tabela1[[#This Row],[Último pagto ano]])</f>
        <v>12</v>
      </c>
      <c r="H2777" t="str">
        <f>TEXT(Tabela1[[#This Row],[Coluna2]]*29,"mmmm")</f>
        <v>dezembro</v>
      </c>
      <c r="I2777" t="str">
        <f>TEXT(MONTH(Tabela1[[#This Row],[Último pagto ano]])*29,"mmmm")</f>
        <v>dezembro</v>
      </c>
    </row>
    <row r="2778" spans="1:9" x14ac:dyDescent="0.25">
      <c r="A2778">
        <v>2025</v>
      </c>
      <c r="B2778" t="s">
        <v>5527</v>
      </c>
      <c r="C2778" s="1">
        <v>46014</v>
      </c>
      <c r="D2778" t="s">
        <v>5528</v>
      </c>
      <c r="E2778" s="2">
        <v>5760</v>
      </c>
      <c r="G2778" s="3">
        <f>MONTH(Tabela1[[#This Row],[Último pagto ano]])</f>
        <v>12</v>
      </c>
      <c r="H2778" t="str">
        <f>TEXT(Tabela1[[#This Row],[Coluna2]]*29,"mmmm")</f>
        <v>dezembro</v>
      </c>
      <c r="I2778" t="str">
        <f>TEXT(MONTH(Tabela1[[#This Row],[Último pagto ano]])*29,"mmmm")</f>
        <v>dezembro</v>
      </c>
    </row>
    <row r="2779" spans="1:9" x14ac:dyDescent="0.25">
      <c r="A2779">
        <v>2025</v>
      </c>
      <c r="B2779" t="s">
        <v>5529</v>
      </c>
      <c r="C2779" s="1">
        <v>45817</v>
      </c>
      <c r="D2779" t="s">
        <v>5530</v>
      </c>
      <c r="E2779">
        <v>8.2200000000000006</v>
      </c>
      <c r="G2779" s="3">
        <f>MONTH(Tabela1[[#This Row],[Último pagto ano]])</f>
        <v>6</v>
      </c>
      <c r="H2779" t="str">
        <f>TEXT(Tabela1[[#This Row],[Coluna2]]*29,"mmmm")</f>
        <v>junho</v>
      </c>
      <c r="I2779" t="str">
        <f>TEXT(MONTH(Tabela1[[#This Row],[Último pagto ano]])*29,"mmmm")</f>
        <v>junho</v>
      </c>
    </row>
    <row r="2780" spans="1:9" x14ac:dyDescent="0.25">
      <c r="A2780">
        <v>2025</v>
      </c>
      <c r="B2780" t="s">
        <v>5531</v>
      </c>
      <c r="C2780" s="1">
        <v>45985</v>
      </c>
      <c r="D2780" t="s">
        <v>5532</v>
      </c>
      <c r="E2780">
        <v>309.02999999999997</v>
      </c>
      <c r="G2780" s="3">
        <f>MONTH(Tabela1[[#This Row],[Último pagto ano]])</f>
        <v>11</v>
      </c>
      <c r="H2780" t="str">
        <f>TEXT(Tabela1[[#This Row],[Coluna2]]*29,"mmmm")</f>
        <v>novembro</v>
      </c>
      <c r="I2780" t="str">
        <f>TEXT(MONTH(Tabela1[[#This Row],[Último pagto ano]])*29,"mmmm")</f>
        <v>novembro</v>
      </c>
    </row>
    <row r="2781" spans="1:9" x14ac:dyDescent="0.25">
      <c r="A2781">
        <v>2025</v>
      </c>
      <c r="B2781" t="s">
        <v>5533</v>
      </c>
      <c r="C2781" s="1">
        <v>46009</v>
      </c>
      <c r="D2781" t="s">
        <v>5534</v>
      </c>
      <c r="E2781" s="2">
        <v>12110</v>
      </c>
      <c r="G2781" s="3">
        <f>MONTH(Tabela1[[#This Row],[Último pagto ano]])</f>
        <v>12</v>
      </c>
      <c r="H2781" t="str">
        <f>TEXT(Tabela1[[#This Row],[Coluna2]]*29,"mmmm")</f>
        <v>dezembro</v>
      </c>
      <c r="I2781" t="str">
        <f>TEXT(MONTH(Tabela1[[#This Row],[Último pagto ano]])*29,"mmmm")</f>
        <v>dezembro</v>
      </c>
    </row>
    <row r="2782" spans="1:9" x14ac:dyDescent="0.25">
      <c r="A2782">
        <v>2025</v>
      </c>
      <c r="B2782" t="s">
        <v>5535</v>
      </c>
      <c r="C2782" s="1">
        <v>46014</v>
      </c>
      <c r="D2782" t="s">
        <v>5536</v>
      </c>
      <c r="E2782" s="2">
        <v>383979.8</v>
      </c>
      <c r="G2782" s="3">
        <f>MONTH(Tabela1[[#This Row],[Último pagto ano]])</f>
        <v>12</v>
      </c>
      <c r="H2782" t="str">
        <f>TEXT(Tabela1[[#This Row],[Coluna2]]*29,"mmmm")</f>
        <v>dezembro</v>
      </c>
      <c r="I2782" t="str">
        <f>TEXT(MONTH(Tabela1[[#This Row],[Último pagto ano]])*29,"mmmm")</f>
        <v>dezembro</v>
      </c>
    </row>
    <row r="2783" spans="1:9" x14ac:dyDescent="0.25">
      <c r="A2783">
        <v>2025</v>
      </c>
      <c r="B2783" t="s">
        <v>5537</v>
      </c>
      <c r="C2783" s="1">
        <v>46014</v>
      </c>
      <c r="D2783" t="s">
        <v>5538</v>
      </c>
      <c r="E2783" s="2">
        <v>122657.04</v>
      </c>
      <c r="G2783" s="3">
        <f>MONTH(Tabela1[[#This Row],[Último pagto ano]])</f>
        <v>12</v>
      </c>
      <c r="H2783" t="str">
        <f>TEXT(Tabela1[[#This Row],[Coluna2]]*29,"mmmm")</f>
        <v>dezembro</v>
      </c>
      <c r="I2783" t="str">
        <f>TEXT(MONTH(Tabela1[[#This Row],[Último pagto ano]])*29,"mmmm")</f>
        <v>dezembro</v>
      </c>
    </row>
    <row r="2784" spans="1:9" x14ac:dyDescent="0.25">
      <c r="A2784">
        <v>2025</v>
      </c>
      <c r="B2784" t="s">
        <v>5539</v>
      </c>
      <c r="C2784" s="1">
        <v>45959</v>
      </c>
      <c r="D2784" t="s">
        <v>5540</v>
      </c>
      <c r="E2784" s="2">
        <v>4024</v>
      </c>
      <c r="G2784" s="3">
        <f>MONTH(Tabela1[[#This Row],[Último pagto ano]])</f>
        <v>10</v>
      </c>
      <c r="H2784" t="str">
        <f>TEXT(Tabela1[[#This Row],[Coluna2]]*29,"mmmm")</f>
        <v>outubro</v>
      </c>
      <c r="I2784" t="str">
        <f>TEXT(MONTH(Tabela1[[#This Row],[Último pagto ano]])*29,"mmmm")</f>
        <v>outubro</v>
      </c>
    </row>
    <row r="2785" spans="1:9" x14ac:dyDescent="0.25">
      <c r="A2785">
        <v>2025</v>
      </c>
      <c r="B2785" t="s">
        <v>5541</v>
      </c>
      <c r="C2785" s="1">
        <v>46021</v>
      </c>
      <c r="D2785" t="s">
        <v>5542</v>
      </c>
      <c r="E2785" s="2">
        <v>226265.53</v>
      </c>
      <c r="G2785" s="3">
        <f>MONTH(Tabela1[[#This Row],[Último pagto ano]])</f>
        <v>12</v>
      </c>
      <c r="H2785" t="str">
        <f>TEXT(Tabela1[[#This Row],[Coluna2]]*29,"mmmm")</f>
        <v>dezembro</v>
      </c>
      <c r="I2785" t="str">
        <f>TEXT(MONTH(Tabela1[[#This Row],[Último pagto ano]])*29,"mmmm")</f>
        <v>dezembro</v>
      </c>
    </row>
    <row r="2786" spans="1:9" x14ac:dyDescent="0.25">
      <c r="A2786">
        <v>2025</v>
      </c>
      <c r="B2786" t="s">
        <v>5543</v>
      </c>
      <c r="C2786" s="1">
        <v>45881</v>
      </c>
      <c r="D2786" t="s">
        <v>5544</v>
      </c>
      <c r="E2786" s="2">
        <v>25034.92</v>
      </c>
      <c r="G2786" s="3">
        <f>MONTH(Tabela1[[#This Row],[Último pagto ano]])</f>
        <v>8</v>
      </c>
      <c r="H2786" t="str">
        <f>TEXT(Tabela1[[#This Row],[Coluna2]]*29,"mmmm")</f>
        <v>agosto</v>
      </c>
      <c r="I2786" t="str">
        <f>TEXT(MONTH(Tabela1[[#This Row],[Último pagto ano]])*29,"mmmm")</f>
        <v>agosto</v>
      </c>
    </row>
    <row r="2787" spans="1:9" x14ac:dyDescent="0.25">
      <c r="A2787">
        <v>2025</v>
      </c>
      <c r="B2787" t="s">
        <v>5545</v>
      </c>
      <c r="C2787" s="1">
        <v>45985</v>
      </c>
      <c r="D2787" t="s">
        <v>5546</v>
      </c>
      <c r="E2787" s="2">
        <v>7000</v>
      </c>
      <c r="G2787" s="3">
        <f>MONTH(Tabela1[[#This Row],[Último pagto ano]])</f>
        <v>11</v>
      </c>
      <c r="H2787" t="str">
        <f>TEXT(Tabela1[[#This Row],[Coluna2]]*29,"mmmm")</f>
        <v>novembro</v>
      </c>
      <c r="I2787" t="str">
        <f>TEXT(MONTH(Tabela1[[#This Row],[Último pagto ano]])*29,"mmmm")</f>
        <v>novembro</v>
      </c>
    </row>
    <row r="2788" spans="1:9" x14ac:dyDescent="0.25">
      <c r="A2788">
        <v>2025</v>
      </c>
      <c r="B2788" t="s">
        <v>5547</v>
      </c>
      <c r="C2788" s="1">
        <v>45995</v>
      </c>
      <c r="D2788" t="s">
        <v>5548</v>
      </c>
      <c r="E2788">
        <v>550</v>
      </c>
      <c r="G2788" s="3">
        <f>MONTH(Tabela1[[#This Row],[Último pagto ano]])</f>
        <v>12</v>
      </c>
      <c r="H2788" t="str">
        <f>TEXT(Tabela1[[#This Row],[Coluna2]]*29,"mmmm")</f>
        <v>dezembro</v>
      </c>
      <c r="I2788" t="str">
        <f>TEXT(MONTH(Tabela1[[#This Row],[Último pagto ano]])*29,"mmmm")</f>
        <v>dezembro</v>
      </c>
    </row>
    <row r="2789" spans="1:9" x14ac:dyDescent="0.25">
      <c r="A2789">
        <v>2025</v>
      </c>
      <c r="B2789" t="s">
        <v>5549</v>
      </c>
      <c r="C2789" s="1">
        <v>45985</v>
      </c>
      <c r="D2789" t="s">
        <v>5550</v>
      </c>
      <c r="E2789" s="2">
        <v>3683.89</v>
      </c>
      <c r="G2789" s="3">
        <f>MONTH(Tabela1[[#This Row],[Último pagto ano]])</f>
        <v>11</v>
      </c>
      <c r="H2789" t="str">
        <f>TEXT(Tabela1[[#This Row],[Coluna2]]*29,"mmmm")</f>
        <v>novembro</v>
      </c>
      <c r="I2789" t="str">
        <f>TEXT(MONTH(Tabela1[[#This Row],[Último pagto ano]])*29,"mmmm")</f>
        <v>novembro</v>
      </c>
    </row>
    <row r="2790" spans="1:9" x14ac:dyDescent="0.25">
      <c r="A2790">
        <v>2025</v>
      </c>
      <c r="B2790" t="s">
        <v>5551</v>
      </c>
      <c r="C2790" s="1">
        <v>45996</v>
      </c>
      <c r="D2790" t="s">
        <v>5552</v>
      </c>
      <c r="E2790" s="2">
        <v>7750</v>
      </c>
      <c r="G2790" s="3">
        <f>MONTH(Tabela1[[#This Row],[Último pagto ano]])</f>
        <v>12</v>
      </c>
      <c r="H2790" t="str">
        <f>TEXT(Tabela1[[#This Row],[Coluna2]]*29,"mmmm")</f>
        <v>dezembro</v>
      </c>
      <c r="I2790" t="str">
        <f>TEXT(MONTH(Tabela1[[#This Row],[Último pagto ano]])*29,"mmmm")</f>
        <v>dezembro</v>
      </c>
    </row>
    <row r="2791" spans="1:9" x14ac:dyDescent="0.25">
      <c r="A2791">
        <v>2025</v>
      </c>
      <c r="B2791" t="s">
        <v>5553</v>
      </c>
      <c r="C2791" s="1">
        <v>45996</v>
      </c>
      <c r="D2791" t="s">
        <v>5554</v>
      </c>
      <c r="E2791" s="2">
        <v>115224.1</v>
      </c>
      <c r="G2791" s="3">
        <f>MONTH(Tabela1[[#This Row],[Último pagto ano]])</f>
        <v>12</v>
      </c>
      <c r="H2791" t="str">
        <f>TEXT(Tabela1[[#This Row],[Coluna2]]*29,"mmmm")</f>
        <v>dezembro</v>
      </c>
      <c r="I2791" t="str">
        <f>TEXT(MONTH(Tabela1[[#This Row],[Último pagto ano]])*29,"mmmm")</f>
        <v>dezembro</v>
      </c>
    </row>
    <row r="2792" spans="1:9" x14ac:dyDescent="0.25">
      <c r="A2792">
        <v>2025</v>
      </c>
      <c r="B2792" t="s">
        <v>5555</v>
      </c>
      <c r="C2792" s="1">
        <v>45861</v>
      </c>
      <c r="D2792" t="s">
        <v>5556</v>
      </c>
      <c r="E2792" s="2">
        <v>6281.09</v>
      </c>
      <c r="G2792" s="3">
        <f>MONTH(Tabela1[[#This Row],[Último pagto ano]])</f>
        <v>7</v>
      </c>
      <c r="H2792" t="str">
        <f>TEXT(Tabela1[[#This Row],[Coluna2]]*29,"mmmm")</f>
        <v>julho</v>
      </c>
      <c r="I2792" t="str">
        <f>TEXT(MONTH(Tabela1[[#This Row],[Último pagto ano]])*29,"mmmm")</f>
        <v>julho</v>
      </c>
    </row>
    <row r="2793" spans="1:9" x14ac:dyDescent="0.25">
      <c r="A2793">
        <v>2025</v>
      </c>
      <c r="B2793" t="s">
        <v>5557</v>
      </c>
      <c r="C2793" s="1">
        <v>46009</v>
      </c>
      <c r="D2793" t="s">
        <v>5558</v>
      </c>
      <c r="E2793" s="2">
        <v>8561.58</v>
      </c>
      <c r="G2793" s="3">
        <f>MONTH(Tabela1[[#This Row],[Último pagto ano]])</f>
        <v>12</v>
      </c>
      <c r="H2793" t="str">
        <f>TEXT(Tabela1[[#This Row],[Coluna2]]*29,"mmmm")</f>
        <v>dezembro</v>
      </c>
      <c r="I2793" t="str">
        <f>TEXT(MONTH(Tabela1[[#This Row],[Último pagto ano]])*29,"mmmm")</f>
        <v>dezembro</v>
      </c>
    </row>
    <row r="2794" spans="1:9" x14ac:dyDescent="0.25">
      <c r="A2794">
        <v>2025</v>
      </c>
      <c r="B2794" t="s">
        <v>5559</v>
      </c>
      <c r="C2794" s="1">
        <v>45708</v>
      </c>
      <c r="D2794" t="s">
        <v>5560</v>
      </c>
      <c r="E2794">
        <v>742</v>
      </c>
      <c r="G2794" s="3">
        <f>MONTH(Tabela1[[#This Row],[Último pagto ano]])</f>
        <v>2</v>
      </c>
      <c r="H2794" t="str">
        <f>TEXT(Tabela1[[#This Row],[Coluna2]]*29,"mmmm")</f>
        <v>fevereiro</v>
      </c>
      <c r="I2794" t="str">
        <f>TEXT(MONTH(Tabela1[[#This Row],[Último pagto ano]])*29,"mmmm")</f>
        <v>fevereiro</v>
      </c>
    </row>
    <row r="2795" spans="1:9" x14ac:dyDescent="0.25">
      <c r="A2795">
        <v>2025</v>
      </c>
      <c r="B2795" t="s">
        <v>5561</v>
      </c>
      <c r="C2795" s="1">
        <v>45824</v>
      </c>
      <c r="D2795" t="s">
        <v>5562</v>
      </c>
      <c r="E2795">
        <v>44</v>
      </c>
      <c r="G2795" s="3">
        <f>MONTH(Tabela1[[#This Row],[Último pagto ano]])</f>
        <v>6</v>
      </c>
      <c r="H2795" t="str">
        <f>TEXT(Tabela1[[#This Row],[Coluna2]]*29,"mmmm")</f>
        <v>junho</v>
      </c>
      <c r="I2795" t="str">
        <f>TEXT(MONTH(Tabela1[[#This Row],[Último pagto ano]])*29,"mmmm")</f>
        <v>junho</v>
      </c>
    </row>
    <row r="2796" spans="1:9" x14ac:dyDescent="0.25">
      <c r="A2796">
        <v>2025</v>
      </c>
      <c r="B2796" t="s">
        <v>5563</v>
      </c>
      <c r="C2796" s="1">
        <v>45740</v>
      </c>
      <c r="D2796" t="s">
        <v>5564</v>
      </c>
      <c r="E2796">
        <v>1.96</v>
      </c>
      <c r="G2796" s="3">
        <f>MONTH(Tabela1[[#This Row],[Último pagto ano]])</f>
        <v>3</v>
      </c>
      <c r="H2796" t="str">
        <f>TEXT(Tabela1[[#This Row],[Coluna2]]*29,"mmmm")</f>
        <v>março</v>
      </c>
      <c r="I2796" t="str">
        <f>TEXT(MONTH(Tabela1[[#This Row],[Último pagto ano]])*29,"mmmm")</f>
        <v>março</v>
      </c>
    </row>
    <row r="2797" spans="1:9" x14ac:dyDescent="0.25">
      <c r="A2797">
        <v>2025</v>
      </c>
      <c r="B2797" t="s">
        <v>5565</v>
      </c>
      <c r="C2797" s="1">
        <v>45748</v>
      </c>
      <c r="D2797" t="s">
        <v>5566</v>
      </c>
      <c r="E2797" s="2">
        <v>2101.77</v>
      </c>
      <c r="G2797" s="3">
        <f>MONTH(Tabela1[[#This Row],[Último pagto ano]])</f>
        <v>4</v>
      </c>
      <c r="H2797" t="str">
        <f>TEXT(Tabela1[[#This Row],[Coluna2]]*29,"mmmm")</f>
        <v>abril</v>
      </c>
      <c r="I2797" t="str">
        <f>TEXT(MONTH(Tabela1[[#This Row],[Último pagto ano]])*29,"mmmm")</f>
        <v>abril</v>
      </c>
    </row>
    <row r="2798" spans="1:9" x14ac:dyDescent="0.25">
      <c r="A2798">
        <v>2025</v>
      </c>
      <c r="B2798" t="s">
        <v>5567</v>
      </c>
      <c r="C2798" s="1">
        <v>45989</v>
      </c>
      <c r="D2798" t="s">
        <v>5568</v>
      </c>
      <c r="E2798" s="2">
        <v>11191.47</v>
      </c>
      <c r="G2798" s="3">
        <f>MONTH(Tabela1[[#This Row],[Último pagto ano]])</f>
        <v>11</v>
      </c>
      <c r="H2798" t="str">
        <f>TEXT(Tabela1[[#This Row],[Coluna2]]*29,"mmmm")</f>
        <v>novembro</v>
      </c>
      <c r="I2798" t="str">
        <f>TEXT(MONTH(Tabela1[[#This Row],[Último pagto ano]])*29,"mmmm")</f>
        <v>novembro</v>
      </c>
    </row>
    <row r="2799" spans="1:9" x14ac:dyDescent="0.25">
      <c r="A2799">
        <v>2025</v>
      </c>
      <c r="B2799" t="s">
        <v>5569</v>
      </c>
      <c r="C2799" s="1">
        <v>45940</v>
      </c>
      <c r="D2799" t="s">
        <v>5570</v>
      </c>
      <c r="E2799" s="2">
        <v>8985.02</v>
      </c>
      <c r="G2799" s="3">
        <f>MONTH(Tabela1[[#This Row],[Último pagto ano]])</f>
        <v>10</v>
      </c>
      <c r="H2799" t="str">
        <f>TEXT(Tabela1[[#This Row],[Coluna2]]*29,"mmmm")</f>
        <v>outubro</v>
      </c>
      <c r="I2799" t="str">
        <f>TEXT(MONTH(Tabela1[[#This Row],[Último pagto ano]])*29,"mmmm")</f>
        <v>outubro</v>
      </c>
    </row>
    <row r="2800" spans="1:9" x14ac:dyDescent="0.25">
      <c r="A2800">
        <v>2025</v>
      </c>
      <c r="B2800" t="s">
        <v>5571</v>
      </c>
      <c r="C2800" s="1">
        <v>45754</v>
      </c>
      <c r="D2800" t="s">
        <v>5572</v>
      </c>
      <c r="E2800">
        <v>146</v>
      </c>
      <c r="G2800" s="3">
        <f>MONTH(Tabela1[[#This Row],[Último pagto ano]])</f>
        <v>4</v>
      </c>
      <c r="H2800" t="str">
        <f>TEXT(Tabela1[[#This Row],[Coluna2]]*29,"mmmm")</f>
        <v>abril</v>
      </c>
      <c r="I2800" t="str">
        <f>TEXT(MONTH(Tabela1[[#This Row],[Último pagto ano]])*29,"mmmm")</f>
        <v>abril</v>
      </c>
    </row>
    <row r="2801" spans="1:9" x14ac:dyDescent="0.25">
      <c r="A2801">
        <v>2025</v>
      </c>
      <c r="B2801" t="s">
        <v>5573</v>
      </c>
      <c r="C2801" s="1">
        <v>45988</v>
      </c>
      <c r="D2801" t="s">
        <v>5574</v>
      </c>
      <c r="E2801" s="2">
        <v>2554.5</v>
      </c>
      <c r="G2801" s="3">
        <f>MONTH(Tabela1[[#This Row],[Último pagto ano]])</f>
        <v>11</v>
      </c>
      <c r="H2801" t="str">
        <f>TEXT(Tabela1[[#This Row],[Coluna2]]*29,"mmmm")</f>
        <v>novembro</v>
      </c>
      <c r="I2801" t="str">
        <f>TEXT(MONTH(Tabela1[[#This Row],[Último pagto ano]])*29,"mmmm")</f>
        <v>novembro</v>
      </c>
    </row>
    <row r="2802" spans="1:9" x14ac:dyDescent="0.25">
      <c r="A2802">
        <v>2025</v>
      </c>
      <c r="B2802" t="s">
        <v>5575</v>
      </c>
      <c r="C2802" s="1">
        <v>45897</v>
      </c>
      <c r="D2802" t="s">
        <v>5576</v>
      </c>
      <c r="E2802" s="2">
        <v>1006.2</v>
      </c>
      <c r="G2802" s="3">
        <f>MONTH(Tabela1[[#This Row],[Último pagto ano]])</f>
        <v>8</v>
      </c>
      <c r="H2802" t="str">
        <f>TEXT(Tabela1[[#This Row],[Coluna2]]*29,"mmmm")</f>
        <v>agosto</v>
      </c>
      <c r="I2802" t="str">
        <f>TEXT(MONTH(Tabela1[[#This Row],[Último pagto ano]])*29,"mmmm")</f>
        <v>agosto</v>
      </c>
    </row>
    <row r="2803" spans="1:9" x14ac:dyDescent="0.25">
      <c r="A2803">
        <v>2025</v>
      </c>
      <c r="B2803" t="s">
        <v>5577</v>
      </c>
      <c r="C2803" s="1">
        <v>45954</v>
      </c>
      <c r="D2803" t="s">
        <v>5578</v>
      </c>
      <c r="E2803" s="2">
        <v>79457.399999999994</v>
      </c>
      <c r="G2803" s="3">
        <f>MONTH(Tabela1[[#This Row],[Último pagto ano]])</f>
        <v>10</v>
      </c>
      <c r="H2803" t="str">
        <f>TEXT(Tabela1[[#This Row],[Coluna2]]*29,"mmmm")</f>
        <v>outubro</v>
      </c>
      <c r="I2803" t="str">
        <f>TEXT(MONTH(Tabela1[[#This Row],[Último pagto ano]])*29,"mmmm")</f>
        <v>outubro</v>
      </c>
    </row>
    <row r="2804" spans="1:9" x14ac:dyDescent="0.25">
      <c r="A2804">
        <v>2025</v>
      </c>
      <c r="B2804" t="s">
        <v>5579</v>
      </c>
      <c r="C2804" s="1">
        <v>46021</v>
      </c>
      <c r="D2804" t="s">
        <v>5580</v>
      </c>
      <c r="E2804" s="2">
        <v>4585.63</v>
      </c>
      <c r="G2804" s="3">
        <f>MONTH(Tabela1[[#This Row],[Último pagto ano]])</f>
        <v>12</v>
      </c>
      <c r="H2804" t="str">
        <f>TEXT(Tabela1[[#This Row],[Coluna2]]*29,"mmmm")</f>
        <v>dezembro</v>
      </c>
      <c r="I2804" t="str">
        <f>TEXT(MONTH(Tabela1[[#This Row],[Último pagto ano]])*29,"mmmm")</f>
        <v>dezembro</v>
      </c>
    </row>
    <row r="2805" spans="1:9" x14ac:dyDescent="0.25">
      <c r="A2805">
        <v>2025</v>
      </c>
      <c r="B2805" t="s">
        <v>5581</v>
      </c>
      <c r="C2805" s="1">
        <v>45908</v>
      </c>
      <c r="D2805" t="s">
        <v>5582</v>
      </c>
      <c r="E2805">
        <v>33</v>
      </c>
      <c r="G2805" s="3">
        <f>MONTH(Tabela1[[#This Row],[Último pagto ano]])</f>
        <v>9</v>
      </c>
      <c r="H2805" t="str">
        <f>TEXT(Tabela1[[#This Row],[Coluna2]]*29,"mmmm")</f>
        <v>setembro</v>
      </c>
      <c r="I2805" t="str">
        <f>TEXT(MONTH(Tabela1[[#This Row],[Último pagto ano]])*29,"mmmm")</f>
        <v>setembro</v>
      </c>
    </row>
    <row r="2806" spans="1:9" x14ac:dyDescent="0.25">
      <c r="A2806">
        <v>2025</v>
      </c>
      <c r="B2806" t="s">
        <v>5583</v>
      </c>
      <c r="C2806" s="1">
        <v>46010</v>
      </c>
      <c r="D2806" t="s">
        <v>5584</v>
      </c>
      <c r="E2806" s="2">
        <v>12000</v>
      </c>
      <c r="G2806" s="3">
        <f>MONTH(Tabela1[[#This Row],[Último pagto ano]])</f>
        <v>12</v>
      </c>
      <c r="H2806" t="str">
        <f>TEXT(Tabela1[[#This Row],[Coluna2]]*29,"mmmm")</f>
        <v>dezembro</v>
      </c>
      <c r="I2806" t="str">
        <f>TEXT(MONTH(Tabela1[[#This Row],[Último pagto ano]])*29,"mmmm")</f>
        <v>dezembro</v>
      </c>
    </row>
    <row r="2807" spans="1:9" x14ac:dyDescent="0.25">
      <c r="A2807">
        <v>2025</v>
      </c>
      <c r="B2807" t="s">
        <v>5585</v>
      </c>
      <c r="C2807" s="1">
        <v>45672</v>
      </c>
      <c r="D2807" t="s">
        <v>5586</v>
      </c>
      <c r="E2807">
        <v>700</v>
      </c>
      <c r="G2807" s="3">
        <f>MONTH(Tabela1[[#This Row],[Último pagto ano]])</f>
        <v>1</v>
      </c>
      <c r="H2807" t="str">
        <f>TEXT(Tabela1[[#This Row],[Coluna2]]*29,"mmmm")</f>
        <v>janeiro</v>
      </c>
      <c r="I2807" t="str">
        <f>TEXT(MONTH(Tabela1[[#This Row],[Último pagto ano]])*29,"mmmm")</f>
        <v>janeiro</v>
      </c>
    </row>
    <row r="2808" spans="1:9" x14ac:dyDescent="0.25">
      <c r="A2808">
        <v>2025</v>
      </c>
      <c r="B2808" t="s">
        <v>5587</v>
      </c>
      <c r="C2808" s="1">
        <v>45989</v>
      </c>
      <c r="D2808" t="s">
        <v>5588</v>
      </c>
      <c r="E2808" s="2">
        <v>3280.11</v>
      </c>
      <c r="G2808" s="3">
        <f>MONTH(Tabela1[[#This Row],[Último pagto ano]])</f>
        <v>11</v>
      </c>
      <c r="H2808" t="str">
        <f>TEXT(Tabela1[[#This Row],[Coluna2]]*29,"mmmm")</f>
        <v>novembro</v>
      </c>
      <c r="I2808" t="str">
        <f>TEXT(MONTH(Tabela1[[#This Row],[Último pagto ano]])*29,"mmmm")</f>
        <v>novembro</v>
      </c>
    </row>
    <row r="2809" spans="1:9" x14ac:dyDescent="0.25">
      <c r="A2809">
        <v>2025</v>
      </c>
      <c r="B2809" t="s">
        <v>5589</v>
      </c>
      <c r="C2809" s="1">
        <v>45985</v>
      </c>
      <c r="D2809" t="s">
        <v>5590</v>
      </c>
      <c r="E2809">
        <v>209</v>
      </c>
      <c r="G2809" s="3">
        <f>MONTH(Tabela1[[#This Row],[Último pagto ano]])</f>
        <v>11</v>
      </c>
      <c r="H2809" t="str">
        <f>TEXT(Tabela1[[#This Row],[Coluna2]]*29,"mmmm")</f>
        <v>novembro</v>
      </c>
      <c r="I2809" t="str">
        <f>TEXT(MONTH(Tabela1[[#This Row],[Último pagto ano]])*29,"mmmm")</f>
        <v>novembro</v>
      </c>
    </row>
    <row r="2810" spans="1:9" x14ac:dyDescent="0.25">
      <c r="A2810">
        <v>2025</v>
      </c>
      <c r="B2810" t="s">
        <v>5591</v>
      </c>
      <c r="C2810" s="1">
        <v>46013</v>
      </c>
      <c r="D2810" t="s">
        <v>5592</v>
      </c>
      <c r="E2810" s="2">
        <v>7710.3</v>
      </c>
      <c r="G2810" s="3">
        <f>MONTH(Tabela1[[#This Row],[Último pagto ano]])</f>
        <v>12</v>
      </c>
      <c r="H2810" t="str">
        <f>TEXT(Tabela1[[#This Row],[Coluna2]]*29,"mmmm")</f>
        <v>dezembro</v>
      </c>
      <c r="I2810" t="str">
        <f>TEXT(MONTH(Tabela1[[#This Row],[Último pagto ano]])*29,"mmmm")</f>
        <v>dezembro</v>
      </c>
    </row>
    <row r="2811" spans="1:9" x14ac:dyDescent="0.25">
      <c r="A2811">
        <v>2025</v>
      </c>
      <c r="B2811" t="s">
        <v>5593</v>
      </c>
      <c r="C2811" s="1">
        <v>45702</v>
      </c>
      <c r="D2811" t="s">
        <v>5594</v>
      </c>
      <c r="E2811" s="2">
        <v>1153.8800000000001</v>
      </c>
      <c r="G2811" s="3">
        <f>MONTH(Tabela1[[#This Row],[Último pagto ano]])</f>
        <v>2</v>
      </c>
      <c r="H2811" t="str">
        <f>TEXT(Tabela1[[#This Row],[Coluna2]]*29,"mmmm")</f>
        <v>fevereiro</v>
      </c>
      <c r="I2811" t="str">
        <f>TEXT(MONTH(Tabela1[[#This Row],[Último pagto ano]])*29,"mmmm")</f>
        <v>fevereiro</v>
      </c>
    </row>
    <row r="2812" spans="1:9" x14ac:dyDescent="0.25">
      <c r="A2812">
        <v>2025</v>
      </c>
      <c r="B2812" t="s">
        <v>5595</v>
      </c>
      <c r="C2812" s="1">
        <v>46006</v>
      </c>
      <c r="D2812" t="s">
        <v>5596</v>
      </c>
      <c r="E2812" s="2">
        <v>5034.72</v>
      </c>
      <c r="G2812" s="3">
        <f>MONTH(Tabela1[[#This Row],[Último pagto ano]])</f>
        <v>12</v>
      </c>
      <c r="H2812" t="str">
        <f>TEXT(Tabela1[[#This Row],[Coluna2]]*29,"mmmm")</f>
        <v>dezembro</v>
      </c>
      <c r="I2812" t="str">
        <f>TEXT(MONTH(Tabela1[[#This Row],[Último pagto ano]])*29,"mmmm")</f>
        <v>dezembro</v>
      </c>
    </row>
    <row r="2813" spans="1:9" x14ac:dyDescent="0.25">
      <c r="A2813">
        <v>2025</v>
      </c>
      <c r="B2813" t="s">
        <v>5597</v>
      </c>
      <c r="C2813" s="1">
        <v>45853</v>
      </c>
      <c r="D2813" t="s">
        <v>5598</v>
      </c>
      <c r="E2813">
        <v>592.32000000000005</v>
      </c>
      <c r="G2813" s="3">
        <f>MONTH(Tabela1[[#This Row],[Último pagto ano]])</f>
        <v>7</v>
      </c>
      <c r="H2813" t="str">
        <f>TEXT(Tabela1[[#This Row],[Coluna2]]*29,"mmmm")</f>
        <v>julho</v>
      </c>
      <c r="I2813" t="str">
        <f>TEXT(MONTH(Tabela1[[#This Row],[Último pagto ano]])*29,"mmmm")</f>
        <v>julho</v>
      </c>
    </row>
    <row r="2814" spans="1:9" x14ac:dyDescent="0.25">
      <c r="A2814">
        <v>2025</v>
      </c>
      <c r="B2814" t="s">
        <v>5599</v>
      </c>
      <c r="C2814" s="1">
        <v>46010</v>
      </c>
      <c r="D2814" t="s">
        <v>5600</v>
      </c>
      <c r="E2814" s="2">
        <v>12000</v>
      </c>
      <c r="G2814" s="3">
        <f>MONTH(Tabela1[[#This Row],[Último pagto ano]])</f>
        <v>12</v>
      </c>
      <c r="H2814" t="str">
        <f>TEXT(Tabela1[[#This Row],[Coluna2]]*29,"mmmm")</f>
        <v>dezembro</v>
      </c>
      <c r="I2814" t="str">
        <f>TEXT(MONTH(Tabela1[[#This Row],[Último pagto ano]])*29,"mmmm")</f>
        <v>dezembro</v>
      </c>
    </row>
    <row r="2815" spans="1:9" x14ac:dyDescent="0.25">
      <c r="A2815">
        <v>2025</v>
      </c>
      <c r="B2815" t="s">
        <v>5601</v>
      </c>
      <c r="C2815" s="1">
        <v>45985</v>
      </c>
      <c r="D2815" t="s">
        <v>5602</v>
      </c>
      <c r="E2815">
        <v>141.80000000000001</v>
      </c>
      <c r="G2815" s="3">
        <f>MONTH(Tabela1[[#This Row],[Último pagto ano]])</f>
        <v>11</v>
      </c>
      <c r="H2815" t="str">
        <f>TEXT(Tabela1[[#This Row],[Coluna2]]*29,"mmmm")</f>
        <v>novembro</v>
      </c>
      <c r="I2815" t="str">
        <f>TEXT(MONTH(Tabela1[[#This Row],[Último pagto ano]])*29,"mmmm")</f>
        <v>novembro</v>
      </c>
    </row>
    <row r="2816" spans="1:9" x14ac:dyDescent="0.25">
      <c r="A2816">
        <v>2025</v>
      </c>
      <c r="B2816" t="s">
        <v>5603</v>
      </c>
      <c r="C2816" s="1">
        <v>46014</v>
      </c>
      <c r="D2816" t="s">
        <v>5604</v>
      </c>
      <c r="E2816" s="2">
        <v>17250</v>
      </c>
      <c r="G2816" s="3">
        <f>MONTH(Tabela1[[#This Row],[Último pagto ano]])</f>
        <v>12</v>
      </c>
      <c r="H2816" t="str">
        <f>TEXT(Tabela1[[#This Row],[Coluna2]]*29,"mmmm")</f>
        <v>dezembro</v>
      </c>
      <c r="I2816" t="str">
        <f>TEXT(MONTH(Tabela1[[#This Row],[Último pagto ano]])*29,"mmmm")</f>
        <v>dezembro</v>
      </c>
    </row>
    <row r="2817" spans="1:9" x14ac:dyDescent="0.25">
      <c r="A2817">
        <v>2025</v>
      </c>
      <c r="B2817" t="s">
        <v>5605</v>
      </c>
      <c r="C2817" s="1">
        <v>46003</v>
      </c>
      <c r="D2817" t="s">
        <v>5606</v>
      </c>
      <c r="E2817" s="2">
        <v>17227.07</v>
      </c>
      <c r="G2817" s="3">
        <f>MONTH(Tabela1[[#This Row],[Último pagto ano]])</f>
        <v>12</v>
      </c>
      <c r="H2817" t="str">
        <f>TEXT(Tabela1[[#This Row],[Coluna2]]*29,"mmmm")</f>
        <v>dezembro</v>
      </c>
      <c r="I2817" t="str">
        <f>TEXT(MONTH(Tabela1[[#This Row],[Último pagto ano]])*29,"mmmm")</f>
        <v>dezembro</v>
      </c>
    </row>
    <row r="2818" spans="1:9" x14ac:dyDescent="0.25">
      <c r="A2818">
        <v>2025</v>
      </c>
      <c r="B2818" t="s">
        <v>5607</v>
      </c>
      <c r="C2818" s="1">
        <v>46014</v>
      </c>
      <c r="D2818" t="s">
        <v>5608</v>
      </c>
      <c r="E2818">
        <v>11</v>
      </c>
      <c r="G2818" s="3">
        <f>MONTH(Tabela1[[#This Row],[Último pagto ano]])</f>
        <v>12</v>
      </c>
      <c r="H2818" t="str">
        <f>TEXT(Tabela1[[#This Row],[Coluna2]]*29,"mmmm")</f>
        <v>dezembro</v>
      </c>
      <c r="I2818" t="str">
        <f>TEXT(MONTH(Tabela1[[#This Row],[Último pagto ano]])*29,"mmmm")</f>
        <v>dezembro</v>
      </c>
    </row>
    <row r="2819" spans="1:9" x14ac:dyDescent="0.25">
      <c r="A2819">
        <v>2025</v>
      </c>
      <c r="B2819" t="s">
        <v>5609</v>
      </c>
      <c r="C2819" s="1">
        <v>45814</v>
      </c>
      <c r="D2819" t="s">
        <v>5610</v>
      </c>
      <c r="E2819" s="2">
        <v>2000</v>
      </c>
      <c r="G2819" s="3">
        <f>MONTH(Tabela1[[#This Row],[Último pagto ano]])</f>
        <v>6</v>
      </c>
      <c r="H2819" t="str">
        <f>TEXT(Tabela1[[#This Row],[Coluna2]]*29,"mmmm")</f>
        <v>junho</v>
      </c>
      <c r="I2819" t="str">
        <f>TEXT(MONTH(Tabela1[[#This Row],[Último pagto ano]])*29,"mmmm")</f>
        <v>junho</v>
      </c>
    </row>
    <row r="2820" spans="1:9" x14ac:dyDescent="0.25">
      <c r="A2820">
        <v>2025</v>
      </c>
      <c r="B2820" t="s">
        <v>5611</v>
      </c>
      <c r="C2820" s="1">
        <v>45985</v>
      </c>
      <c r="D2820" t="s">
        <v>5612</v>
      </c>
      <c r="E2820" s="2">
        <v>8298.75</v>
      </c>
      <c r="G2820" s="3">
        <f>MONTH(Tabela1[[#This Row],[Último pagto ano]])</f>
        <v>11</v>
      </c>
      <c r="H2820" t="str">
        <f>TEXT(Tabela1[[#This Row],[Coluna2]]*29,"mmmm")</f>
        <v>novembro</v>
      </c>
      <c r="I2820" t="str">
        <f>TEXT(MONTH(Tabela1[[#This Row],[Último pagto ano]])*29,"mmmm")</f>
        <v>novembro</v>
      </c>
    </row>
    <row r="2821" spans="1:9" x14ac:dyDescent="0.25">
      <c r="A2821">
        <v>2025</v>
      </c>
      <c r="B2821" t="s">
        <v>5613</v>
      </c>
      <c r="C2821" s="1">
        <v>45831</v>
      </c>
      <c r="D2821" t="s">
        <v>5614</v>
      </c>
      <c r="E2821" s="2">
        <v>5077.99</v>
      </c>
      <c r="G2821" s="3">
        <f>MONTH(Tabela1[[#This Row],[Último pagto ano]])</f>
        <v>6</v>
      </c>
      <c r="H2821" t="str">
        <f>TEXT(Tabela1[[#This Row],[Coluna2]]*29,"mmmm")</f>
        <v>junho</v>
      </c>
      <c r="I2821" t="str">
        <f>TEXT(MONTH(Tabela1[[#This Row],[Último pagto ano]])*29,"mmmm")</f>
        <v>junho</v>
      </c>
    </row>
    <row r="2822" spans="1:9" x14ac:dyDescent="0.25">
      <c r="A2822">
        <v>2025</v>
      </c>
      <c r="B2822" t="s">
        <v>5615</v>
      </c>
      <c r="C2822" s="1">
        <v>45996</v>
      </c>
      <c r="D2822" t="s">
        <v>5616</v>
      </c>
      <c r="E2822" s="2">
        <v>28430</v>
      </c>
      <c r="G2822" s="3">
        <f>MONTH(Tabela1[[#This Row],[Último pagto ano]])</f>
        <v>12</v>
      </c>
      <c r="H2822" t="str">
        <f>TEXT(Tabela1[[#This Row],[Coluna2]]*29,"mmmm")</f>
        <v>dezembro</v>
      </c>
      <c r="I2822" t="str">
        <f>TEXT(MONTH(Tabela1[[#This Row],[Último pagto ano]])*29,"mmmm")</f>
        <v>dezembro</v>
      </c>
    </row>
    <row r="2823" spans="1:9" x14ac:dyDescent="0.25">
      <c r="A2823">
        <v>2025</v>
      </c>
      <c r="B2823" t="s">
        <v>5617</v>
      </c>
      <c r="C2823" s="1">
        <v>45673</v>
      </c>
      <c r="D2823" t="s">
        <v>5618</v>
      </c>
      <c r="E2823" s="2">
        <v>1100</v>
      </c>
      <c r="G2823" s="3">
        <f>MONTH(Tabela1[[#This Row],[Último pagto ano]])</f>
        <v>1</v>
      </c>
      <c r="H2823" t="str">
        <f>TEXT(Tabela1[[#This Row],[Coluna2]]*29,"mmmm")</f>
        <v>janeiro</v>
      </c>
      <c r="I2823" t="str">
        <f>TEXT(MONTH(Tabela1[[#This Row],[Último pagto ano]])*29,"mmmm")</f>
        <v>janeiro</v>
      </c>
    </row>
    <row r="2824" spans="1:9" x14ac:dyDescent="0.25">
      <c r="A2824">
        <v>2025</v>
      </c>
      <c r="B2824" t="s">
        <v>5619</v>
      </c>
      <c r="C2824" s="1">
        <v>45803</v>
      </c>
      <c r="D2824" t="s">
        <v>5620</v>
      </c>
      <c r="E2824" s="2">
        <v>3500</v>
      </c>
      <c r="G2824" s="3">
        <f>MONTH(Tabela1[[#This Row],[Último pagto ano]])</f>
        <v>5</v>
      </c>
      <c r="H2824" t="str">
        <f>TEXT(Tabela1[[#This Row],[Coluna2]]*29,"mmmm")</f>
        <v>maio</v>
      </c>
      <c r="I2824" t="str">
        <f>TEXT(MONTH(Tabela1[[#This Row],[Último pagto ano]])*29,"mmmm")</f>
        <v>maio</v>
      </c>
    </row>
    <row r="2825" spans="1:9" x14ac:dyDescent="0.25">
      <c r="A2825">
        <v>2025</v>
      </c>
      <c r="B2825" t="s">
        <v>5621</v>
      </c>
      <c r="C2825" s="1">
        <v>46014</v>
      </c>
      <c r="D2825" t="s">
        <v>5622</v>
      </c>
      <c r="E2825" s="2">
        <v>4222.8</v>
      </c>
      <c r="G2825" s="3">
        <f>MONTH(Tabela1[[#This Row],[Último pagto ano]])</f>
        <v>12</v>
      </c>
      <c r="H2825" t="str">
        <f>TEXT(Tabela1[[#This Row],[Coluna2]]*29,"mmmm")</f>
        <v>dezembro</v>
      </c>
      <c r="I2825" t="str">
        <f>TEXT(MONTH(Tabela1[[#This Row],[Último pagto ano]])*29,"mmmm")</f>
        <v>dezembro</v>
      </c>
    </row>
    <row r="2826" spans="1:9" x14ac:dyDescent="0.25">
      <c r="A2826">
        <v>2025</v>
      </c>
      <c r="B2826" t="s">
        <v>5623</v>
      </c>
      <c r="C2826" s="1">
        <v>46010</v>
      </c>
      <c r="D2826" t="s">
        <v>5624</v>
      </c>
      <c r="E2826" s="2">
        <v>2800</v>
      </c>
      <c r="G2826" s="3">
        <f>MONTH(Tabela1[[#This Row],[Último pagto ano]])</f>
        <v>12</v>
      </c>
      <c r="H2826" t="str">
        <f>TEXT(Tabela1[[#This Row],[Coluna2]]*29,"mmmm")</f>
        <v>dezembro</v>
      </c>
      <c r="I2826" t="str">
        <f>TEXT(MONTH(Tabela1[[#This Row],[Último pagto ano]])*29,"mmmm")</f>
        <v>dezembro</v>
      </c>
    </row>
    <row r="2827" spans="1:9" x14ac:dyDescent="0.25">
      <c r="A2827">
        <v>2025</v>
      </c>
      <c r="B2827" t="s">
        <v>5625</v>
      </c>
      <c r="C2827" s="1">
        <v>46013</v>
      </c>
      <c r="D2827" t="s">
        <v>5626</v>
      </c>
      <c r="E2827" s="2">
        <v>8840</v>
      </c>
      <c r="G2827" s="3">
        <f>MONTH(Tabela1[[#This Row],[Último pagto ano]])</f>
        <v>12</v>
      </c>
      <c r="H2827" t="str">
        <f>TEXT(Tabela1[[#This Row],[Coluna2]]*29,"mmmm")</f>
        <v>dezembro</v>
      </c>
      <c r="I2827" t="str">
        <f>TEXT(MONTH(Tabela1[[#This Row],[Último pagto ano]])*29,"mmmm")</f>
        <v>dezembro</v>
      </c>
    </row>
    <row r="2828" spans="1:9" x14ac:dyDescent="0.25">
      <c r="A2828">
        <v>2025</v>
      </c>
      <c r="B2828" t="s">
        <v>5627</v>
      </c>
      <c r="C2828" s="1">
        <v>45996</v>
      </c>
      <c r="D2828" t="s">
        <v>5628</v>
      </c>
      <c r="E2828" s="2">
        <v>47180</v>
      </c>
      <c r="G2828" s="3">
        <f>MONTH(Tabela1[[#This Row],[Último pagto ano]])</f>
        <v>12</v>
      </c>
      <c r="H2828" t="str">
        <f>TEXT(Tabela1[[#This Row],[Coluna2]]*29,"mmmm")</f>
        <v>dezembro</v>
      </c>
      <c r="I2828" t="str">
        <f>TEXT(MONTH(Tabela1[[#This Row],[Último pagto ano]])*29,"mmmm")</f>
        <v>dezembro</v>
      </c>
    </row>
    <row r="2829" spans="1:9" x14ac:dyDescent="0.25">
      <c r="A2829">
        <v>2025</v>
      </c>
      <c r="B2829" t="s">
        <v>5629</v>
      </c>
      <c r="C2829" s="1">
        <v>46013</v>
      </c>
      <c r="D2829" t="s">
        <v>5630</v>
      </c>
      <c r="E2829">
        <v>616.20000000000005</v>
      </c>
      <c r="G2829" s="3">
        <f>MONTH(Tabela1[[#This Row],[Último pagto ano]])</f>
        <v>12</v>
      </c>
      <c r="H2829" t="str">
        <f>TEXT(Tabela1[[#This Row],[Coluna2]]*29,"mmmm")</f>
        <v>dezembro</v>
      </c>
      <c r="I2829" t="str">
        <f>TEXT(MONTH(Tabela1[[#This Row],[Último pagto ano]])*29,"mmmm")</f>
        <v>dezembro</v>
      </c>
    </row>
    <row r="2830" spans="1:9" x14ac:dyDescent="0.25">
      <c r="A2830">
        <v>2025</v>
      </c>
      <c r="B2830" t="s">
        <v>5631</v>
      </c>
      <c r="C2830" s="1">
        <v>45924</v>
      </c>
      <c r="D2830" t="s">
        <v>5632</v>
      </c>
      <c r="E2830" s="2">
        <v>1400</v>
      </c>
      <c r="G2830" s="3">
        <f>MONTH(Tabela1[[#This Row],[Último pagto ano]])</f>
        <v>9</v>
      </c>
      <c r="H2830" t="str">
        <f>TEXT(Tabela1[[#This Row],[Coluna2]]*29,"mmmm")</f>
        <v>setembro</v>
      </c>
      <c r="I2830" t="str">
        <f>TEXT(MONTH(Tabela1[[#This Row],[Último pagto ano]])*29,"mmmm")</f>
        <v>setembro</v>
      </c>
    </row>
    <row r="2831" spans="1:9" x14ac:dyDescent="0.25">
      <c r="A2831">
        <v>2025</v>
      </c>
      <c r="B2831" t="s">
        <v>5633</v>
      </c>
      <c r="C2831" s="1">
        <v>45817</v>
      </c>
      <c r="D2831" t="s">
        <v>5634</v>
      </c>
      <c r="E2831">
        <v>6.78</v>
      </c>
      <c r="G2831" s="3">
        <f>MONTH(Tabela1[[#This Row],[Último pagto ano]])</f>
        <v>6</v>
      </c>
      <c r="H2831" t="str">
        <f>TEXT(Tabela1[[#This Row],[Coluna2]]*29,"mmmm")</f>
        <v>junho</v>
      </c>
      <c r="I2831" t="str">
        <f>TEXT(MONTH(Tabela1[[#This Row],[Último pagto ano]])*29,"mmmm")</f>
        <v>junho</v>
      </c>
    </row>
    <row r="2832" spans="1:9" x14ac:dyDescent="0.25">
      <c r="A2832">
        <v>2025</v>
      </c>
      <c r="B2832" t="s">
        <v>5635</v>
      </c>
      <c r="C2832" s="1">
        <v>45915</v>
      </c>
      <c r="D2832" t="s">
        <v>5636</v>
      </c>
      <c r="E2832" s="2">
        <v>5627.04</v>
      </c>
      <c r="G2832" s="3">
        <f>MONTH(Tabela1[[#This Row],[Último pagto ano]])</f>
        <v>9</v>
      </c>
      <c r="H2832" t="str">
        <f>TEXT(Tabela1[[#This Row],[Coluna2]]*29,"mmmm")</f>
        <v>setembro</v>
      </c>
      <c r="I2832" t="str">
        <f>TEXT(MONTH(Tabela1[[#This Row],[Último pagto ano]])*29,"mmmm")</f>
        <v>setembro</v>
      </c>
    </row>
    <row r="2833" spans="1:9" x14ac:dyDescent="0.25">
      <c r="A2833">
        <v>2025</v>
      </c>
      <c r="B2833" t="s">
        <v>5637</v>
      </c>
      <c r="C2833" s="1">
        <v>45705</v>
      </c>
      <c r="D2833" t="s">
        <v>5638</v>
      </c>
      <c r="E2833" s="2">
        <v>1440.96</v>
      </c>
      <c r="G2833" s="3">
        <f>MONTH(Tabela1[[#This Row],[Último pagto ano]])</f>
        <v>2</v>
      </c>
      <c r="H2833" t="str">
        <f>TEXT(Tabela1[[#This Row],[Coluna2]]*29,"mmmm")</f>
        <v>fevereiro</v>
      </c>
      <c r="I2833" t="str">
        <f>TEXT(MONTH(Tabela1[[#This Row],[Último pagto ano]])*29,"mmmm")</f>
        <v>fevereiro</v>
      </c>
    </row>
    <row r="2834" spans="1:9" x14ac:dyDescent="0.25">
      <c r="A2834">
        <v>2025</v>
      </c>
      <c r="B2834" t="s">
        <v>5639</v>
      </c>
      <c r="C2834" s="1">
        <v>46010</v>
      </c>
      <c r="D2834" t="s">
        <v>5640</v>
      </c>
      <c r="E2834" s="2">
        <v>14574</v>
      </c>
      <c r="G2834" s="3">
        <f>MONTH(Tabela1[[#This Row],[Último pagto ano]])</f>
        <v>12</v>
      </c>
      <c r="H2834" t="str">
        <f>TEXT(Tabela1[[#This Row],[Coluna2]]*29,"mmmm")</f>
        <v>dezembro</v>
      </c>
      <c r="I2834" t="str">
        <f>TEXT(MONTH(Tabela1[[#This Row],[Último pagto ano]])*29,"mmmm")</f>
        <v>dezembro</v>
      </c>
    </row>
    <row r="2835" spans="1:9" x14ac:dyDescent="0.25">
      <c r="A2835">
        <v>2025</v>
      </c>
      <c r="B2835" t="s">
        <v>5641</v>
      </c>
      <c r="C2835" s="1">
        <v>46021</v>
      </c>
      <c r="D2835" t="s">
        <v>5642</v>
      </c>
      <c r="E2835" s="2">
        <v>12733.34</v>
      </c>
      <c r="G2835" s="3">
        <f>MONTH(Tabela1[[#This Row],[Último pagto ano]])</f>
        <v>12</v>
      </c>
      <c r="H2835" t="str">
        <f>TEXT(Tabela1[[#This Row],[Coluna2]]*29,"mmmm")</f>
        <v>dezembro</v>
      </c>
      <c r="I2835" t="str">
        <f>TEXT(MONTH(Tabela1[[#This Row],[Último pagto ano]])*29,"mmmm")</f>
        <v>dezembro</v>
      </c>
    </row>
    <row r="2836" spans="1:9" x14ac:dyDescent="0.25">
      <c r="A2836">
        <v>2025</v>
      </c>
      <c r="B2836" t="s">
        <v>5643</v>
      </c>
      <c r="C2836" s="1">
        <v>45792</v>
      </c>
      <c r="D2836" t="s">
        <v>5644</v>
      </c>
      <c r="E2836" s="2">
        <v>4442.3999999999996</v>
      </c>
      <c r="G2836" s="3">
        <f>MONTH(Tabela1[[#This Row],[Último pagto ano]])</f>
        <v>5</v>
      </c>
      <c r="H2836" t="str">
        <f>TEXT(Tabela1[[#This Row],[Coluna2]]*29,"mmmm")</f>
        <v>maio</v>
      </c>
      <c r="I2836" t="str">
        <f>TEXT(MONTH(Tabela1[[#This Row],[Último pagto ano]])*29,"mmmm")</f>
        <v>maio</v>
      </c>
    </row>
    <row r="2837" spans="1:9" x14ac:dyDescent="0.25">
      <c r="A2837">
        <v>2025</v>
      </c>
      <c r="B2837" t="s">
        <v>5645</v>
      </c>
      <c r="C2837" s="1">
        <v>45975</v>
      </c>
      <c r="D2837" t="s">
        <v>5646</v>
      </c>
      <c r="E2837" s="2">
        <v>4778.96</v>
      </c>
      <c r="G2837" s="3">
        <f>MONTH(Tabela1[[#This Row],[Último pagto ano]])</f>
        <v>11</v>
      </c>
      <c r="H2837" t="str">
        <f>TEXT(Tabela1[[#This Row],[Coluna2]]*29,"mmmm")</f>
        <v>novembro</v>
      </c>
      <c r="I2837" t="str">
        <f>TEXT(MONTH(Tabela1[[#This Row],[Último pagto ano]])*29,"mmmm")</f>
        <v>novembro</v>
      </c>
    </row>
    <row r="2838" spans="1:9" x14ac:dyDescent="0.25">
      <c r="A2838">
        <v>2025</v>
      </c>
      <c r="B2838" t="s">
        <v>5647</v>
      </c>
      <c r="C2838" s="1">
        <v>45985</v>
      </c>
      <c r="D2838" t="s">
        <v>5648</v>
      </c>
      <c r="E2838" s="2">
        <v>3100</v>
      </c>
      <c r="G2838" s="3">
        <f>MONTH(Tabela1[[#This Row],[Último pagto ano]])</f>
        <v>11</v>
      </c>
      <c r="H2838" t="str">
        <f>TEXT(Tabela1[[#This Row],[Coluna2]]*29,"mmmm")</f>
        <v>novembro</v>
      </c>
      <c r="I2838" t="str">
        <f>TEXT(MONTH(Tabela1[[#This Row],[Último pagto ano]])*29,"mmmm")</f>
        <v>novembro</v>
      </c>
    </row>
    <row r="2839" spans="1:9" x14ac:dyDescent="0.25">
      <c r="A2839">
        <v>2025</v>
      </c>
      <c r="B2839" t="s">
        <v>5649</v>
      </c>
      <c r="C2839" s="1">
        <v>45903</v>
      </c>
      <c r="D2839" t="s">
        <v>5650</v>
      </c>
      <c r="E2839" s="2">
        <v>3920.64</v>
      </c>
      <c r="G2839" s="3">
        <f>MONTH(Tabela1[[#This Row],[Último pagto ano]])</f>
        <v>9</v>
      </c>
      <c r="H2839" t="str">
        <f>TEXT(Tabela1[[#This Row],[Coluna2]]*29,"mmmm")</f>
        <v>setembro</v>
      </c>
      <c r="I2839" t="str">
        <f>TEXT(MONTH(Tabela1[[#This Row],[Último pagto ano]])*29,"mmmm")</f>
        <v>setembro</v>
      </c>
    </row>
    <row r="2840" spans="1:9" x14ac:dyDescent="0.25">
      <c r="A2840">
        <v>2025</v>
      </c>
      <c r="B2840" t="s">
        <v>5651</v>
      </c>
      <c r="C2840" s="1">
        <v>46006</v>
      </c>
      <c r="D2840" t="s">
        <v>5652</v>
      </c>
      <c r="E2840" s="2">
        <v>17972.8</v>
      </c>
      <c r="G2840" s="3">
        <f>MONTH(Tabela1[[#This Row],[Último pagto ano]])</f>
        <v>12</v>
      </c>
      <c r="H2840" t="str">
        <f>TEXT(Tabela1[[#This Row],[Coluna2]]*29,"mmmm")</f>
        <v>dezembro</v>
      </c>
      <c r="I2840" t="str">
        <f>TEXT(MONTH(Tabela1[[#This Row],[Último pagto ano]])*29,"mmmm")</f>
        <v>dezembro</v>
      </c>
    </row>
    <row r="2841" spans="1:9" x14ac:dyDescent="0.25">
      <c r="A2841">
        <v>2025</v>
      </c>
      <c r="B2841" t="s">
        <v>5653</v>
      </c>
      <c r="C2841" s="1">
        <v>46006</v>
      </c>
      <c r="D2841" t="s">
        <v>5654</v>
      </c>
      <c r="E2841" s="2">
        <v>5923.2</v>
      </c>
      <c r="G2841" s="3">
        <f>MONTH(Tabela1[[#This Row],[Último pagto ano]])</f>
        <v>12</v>
      </c>
      <c r="H2841" t="str">
        <f>TEXT(Tabela1[[#This Row],[Coluna2]]*29,"mmmm")</f>
        <v>dezembro</v>
      </c>
      <c r="I2841" t="str">
        <f>TEXT(MONTH(Tabela1[[#This Row],[Último pagto ano]])*29,"mmmm")</f>
        <v>dezembro</v>
      </c>
    </row>
    <row r="2842" spans="1:9" x14ac:dyDescent="0.25">
      <c r="A2842">
        <v>2025</v>
      </c>
      <c r="B2842" t="s">
        <v>5655</v>
      </c>
      <c r="C2842" s="1">
        <v>46006</v>
      </c>
      <c r="D2842" t="s">
        <v>5656</v>
      </c>
      <c r="E2842" s="2">
        <v>24333.599999999999</v>
      </c>
      <c r="G2842" s="3">
        <f>MONTH(Tabela1[[#This Row],[Último pagto ano]])</f>
        <v>12</v>
      </c>
      <c r="H2842" t="str">
        <f>TEXT(Tabela1[[#This Row],[Coluna2]]*29,"mmmm")</f>
        <v>dezembro</v>
      </c>
      <c r="I2842" t="str">
        <f>TEXT(MONTH(Tabela1[[#This Row],[Último pagto ano]])*29,"mmmm")</f>
        <v>dezembro</v>
      </c>
    </row>
    <row r="2843" spans="1:9" x14ac:dyDescent="0.25">
      <c r="A2843">
        <v>2025</v>
      </c>
      <c r="B2843" t="s">
        <v>5657</v>
      </c>
      <c r="C2843" s="1">
        <v>45702</v>
      </c>
      <c r="D2843" t="s">
        <v>5658</v>
      </c>
      <c r="E2843" s="2">
        <v>1269.6400000000001</v>
      </c>
      <c r="G2843" s="3">
        <f>MONTH(Tabela1[[#This Row],[Último pagto ano]])</f>
        <v>2</v>
      </c>
      <c r="H2843" t="str">
        <f>TEXT(Tabela1[[#This Row],[Coluna2]]*29,"mmmm")</f>
        <v>fevereiro</v>
      </c>
      <c r="I2843" t="str">
        <f>TEXT(MONTH(Tabela1[[#This Row],[Último pagto ano]])*29,"mmmm")</f>
        <v>fevereiro</v>
      </c>
    </row>
    <row r="2844" spans="1:9" x14ac:dyDescent="0.25">
      <c r="A2844">
        <v>2025</v>
      </c>
      <c r="B2844" t="s">
        <v>5659</v>
      </c>
      <c r="C2844" s="1">
        <v>46010</v>
      </c>
      <c r="D2844" t="s">
        <v>5660</v>
      </c>
      <c r="E2844" s="2">
        <v>6300</v>
      </c>
      <c r="G2844" s="3">
        <f>MONTH(Tabela1[[#This Row],[Último pagto ano]])</f>
        <v>12</v>
      </c>
      <c r="H2844" t="str">
        <f>TEXT(Tabela1[[#This Row],[Coluna2]]*29,"mmmm")</f>
        <v>dezembro</v>
      </c>
      <c r="I2844" t="str">
        <f>TEXT(MONTH(Tabela1[[#This Row],[Último pagto ano]])*29,"mmmm")</f>
        <v>dezembro</v>
      </c>
    </row>
    <row r="2845" spans="1:9" x14ac:dyDescent="0.25">
      <c r="A2845">
        <v>2025</v>
      </c>
      <c r="B2845" t="s">
        <v>5661</v>
      </c>
      <c r="C2845" s="1">
        <v>45996</v>
      </c>
      <c r="D2845" t="s">
        <v>5662</v>
      </c>
      <c r="E2845" s="2">
        <v>21010</v>
      </c>
      <c r="G2845" s="3">
        <f>MONTH(Tabela1[[#This Row],[Último pagto ano]])</f>
        <v>12</v>
      </c>
      <c r="H2845" t="str">
        <f>TEXT(Tabela1[[#This Row],[Coluna2]]*29,"mmmm")</f>
        <v>dezembro</v>
      </c>
      <c r="I2845" t="str">
        <f>TEXT(MONTH(Tabela1[[#This Row],[Último pagto ano]])*29,"mmmm")</f>
        <v>dezembro</v>
      </c>
    </row>
    <row r="2846" spans="1:9" x14ac:dyDescent="0.25">
      <c r="A2846">
        <v>2025</v>
      </c>
      <c r="B2846" t="s">
        <v>5663</v>
      </c>
      <c r="C2846" s="1">
        <v>46014</v>
      </c>
      <c r="D2846" t="s">
        <v>5664</v>
      </c>
      <c r="E2846" s="2">
        <v>8840</v>
      </c>
      <c r="G2846" s="3">
        <f>MONTH(Tabela1[[#This Row],[Último pagto ano]])</f>
        <v>12</v>
      </c>
      <c r="H2846" t="str">
        <f>TEXT(Tabela1[[#This Row],[Coluna2]]*29,"mmmm")</f>
        <v>dezembro</v>
      </c>
      <c r="I2846" t="str">
        <f>TEXT(MONTH(Tabela1[[#This Row],[Último pagto ano]])*29,"mmmm")</f>
        <v>dezembro</v>
      </c>
    </row>
    <row r="2847" spans="1:9" x14ac:dyDescent="0.25">
      <c r="A2847">
        <v>2025</v>
      </c>
      <c r="B2847" t="s">
        <v>5665</v>
      </c>
      <c r="C2847" s="1">
        <v>45947</v>
      </c>
      <c r="D2847" t="s">
        <v>5666</v>
      </c>
      <c r="E2847" s="2">
        <v>1508.68</v>
      </c>
      <c r="G2847" s="3">
        <f>MONTH(Tabela1[[#This Row],[Último pagto ano]])</f>
        <v>10</v>
      </c>
      <c r="H2847" t="str">
        <f>TEXT(Tabela1[[#This Row],[Coluna2]]*29,"mmmm")</f>
        <v>outubro</v>
      </c>
      <c r="I2847" t="str">
        <f>TEXT(MONTH(Tabela1[[#This Row],[Último pagto ano]])*29,"mmmm")</f>
        <v>outubro</v>
      </c>
    </row>
    <row r="2848" spans="1:9" x14ac:dyDescent="0.25">
      <c r="A2848">
        <v>2025</v>
      </c>
      <c r="B2848" t="s">
        <v>5667</v>
      </c>
      <c r="C2848" s="1">
        <v>45705</v>
      </c>
      <c r="D2848" t="s">
        <v>5668</v>
      </c>
      <c r="E2848">
        <v>592.32000000000005</v>
      </c>
      <c r="G2848" s="3">
        <f>MONTH(Tabela1[[#This Row],[Último pagto ano]])</f>
        <v>2</v>
      </c>
      <c r="H2848" t="str">
        <f>TEXT(Tabela1[[#This Row],[Coluna2]]*29,"mmmm")</f>
        <v>fevereiro</v>
      </c>
      <c r="I2848" t="str">
        <f>TEXT(MONTH(Tabela1[[#This Row],[Último pagto ano]])*29,"mmmm")</f>
        <v>fevereiro</v>
      </c>
    </row>
    <row r="2849" spans="1:9" x14ac:dyDescent="0.25">
      <c r="A2849">
        <v>2025</v>
      </c>
      <c r="B2849" t="s">
        <v>5669</v>
      </c>
      <c r="C2849" s="1">
        <v>45985</v>
      </c>
      <c r="D2849" t="s">
        <v>5670</v>
      </c>
      <c r="E2849" s="2">
        <v>4900</v>
      </c>
      <c r="G2849" s="3">
        <f>MONTH(Tabela1[[#This Row],[Último pagto ano]])</f>
        <v>11</v>
      </c>
      <c r="H2849" t="str">
        <f>TEXT(Tabela1[[#This Row],[Coluna2]]*29,"mmmm")</f>
        <v>novembro</v>
      </c>
      <c r="I2849" t="str">
        <f>TEXT(MONTH(Tabela1[[#This Row],[Último pagto ano]])*29,"mmmm")</f>
        <v>novembro</v>
      </c>
    </row>
    <row r="2850" spans="1:9" x14ac:dyDescent="0.25">
      <c r="A2850">
        <v>2025</v>
      </c>
      <c r="B2850" t="s">
        <v>5671</v>
      </c>
      <c r="C2850" s="1">
        <v>46010</v>
      </c>
      <c r="D2850" t="s">
        <v>5672</v>
      </c>
      <c r="E2850" s="2">
        <v>6900</v>
      </c>
      <c r="G2850" s="3">
        <f>MONTH(Tabela1[[#This Row],[Último pagto ano]])</f>
        <v>12</v>
      </c>
      <c r="H2850" t="str">
        <f>TEXT(Tabela1[[#This Row],[Coluna2]]*29,"mmmm")</f>
        <v>dezembro</v>
      </c>
      <c r="I2850" t="str">
        <f>TEXT(MONTH(Tabela1[[#This Row],[Último pagto ano]])*29,"mmmm")</f>
        <v>dezembro</v>
      </c>
    </row>
    <row r="2851" spans="1:9" x14ac:dyDescent="0.25">
      <c r="A2851">
        <v>2025</v>
      </c>
      <c r="B2851" t="s">
        <v>5673</v>
      </c>
      <c r="C2851" s="1">
        <v>45702</v>
      </c>
      <c r="D2851" t="s">
        <v>5674</v>
      </c>
      <c r="E2851">
        <v>561.91999999999996</v>
      </c>
      <c r="G2851" s="3">
        <f>MONTH(Tabela1[[#This Row],[Último pagto ano]])</f>
        <v>2</v>
      </c>
      <c r="H2851" t="str">
        <f>TEXT(Tabela1[[#This Row],[Coluna2]]*29,"mmmm")</f>
        <v>fevereiro</v>
      </c>
      <c r="I2851" t="str">
        <f>TEXT(MONTH(Tabela1[[#This Row],[Último pagto ano]])*29,"mmmm")</f>
        <v>fevereiro</v>
      </c>
    </row>
    <row r="2852" spans="1:9" x14ac:dyDescent="0.25">
      <c r="A2852">
        <v>2025</v>
      </c>
      <c r="B2852" t="s">
        <v>5675</v>
      </c>
      <c r="C2852" s="1">
        <v>46014</v>
      </c>
      <c r="D2852" t="s">
        <v>5676</v>
      </c>
      <c r="E2852" s="2">
        <v>5940</v>
      </c>
      <c r="G2852" s="3">
        <f>MONTH(Tabela1[[#This Row],[Último pagto ano]])</f>
        <v>12</v>
      </c>
      <c r="H2852" t="str">
        <f>TEXT(Tabela1[[#This Row],[Coluna2]]*29,"mmmm")</f>
        <v>dezembro</v>
      </c>
      <c r="I2852" t="str">
        <f>TEXT(MONTH(Tabela1[[#This Row],[Último pagto ano]])*29,"mmmm")</f>
        <v>dezembro</v>
      </c>
    </row>
    <row r="2853" spans="1:9" x14ac:dyDescent="0.25">
      <c r="A2853">
        <v>2025</v>
      </c>
      <c r="B2853" t="s">
        <v>5677</v>
      </c>
      <c r="C2853" s="1">
        <v>46010</v>
      </c>
      <c r="D2853" t="s">
        <v>5678</v>
      </c>
      <c r="E2853" s="2">
        <v>2534</v>
      </c>
      <c r="G2853" s="3">
        <f>MONTH(Tabela1[[#This Row],[Último pagto ano]])</f>
        <v>12</v>
      </c>
      <c r="H2853" t="str">
        <f>TEXT(Tabela1[[#This Row],[Coluna2]]*29,"mmmm")</f>
        <v>dezembro</v>
      </c>
      <c r="I2853" t="str">
        <f>TEXT(MONTH(Tabela1[[#This Row],[Último pagto ano]])*29,"mmmm")</f>
        <v>dezembro</v>
      </c>
    </row>
    <row r="2854" spans="1:9" x14ac:dyDescent="0.25">
      <c r="A2854">
        <v>2025</v>
      </c>
      <c r="B2854" t="s">
        <v>5679</v>
      </c>
      <c r="C2854" s="1">
        <v>45796</v>
      </c>
      <c r="D2854" t="s">
        <v>5680</v>
      </c>
      <c r="E2854">
        <v>86.8</v>
      </c>
      <c r="G2854" s="3">
        <f>MONTH(Tabela1[[#This Row],[Último pagto ano]])</f>
        <v>5</v>
      </c>
      <c r="H2854" t="str">
        <f>TEXT(Tabela1[[#This Row],[Coluna2]]*29,"mmmm")</f>
        <v>maio</v>
      </c>
      <c r="I2854" t="str">
        <f>TEXT(MONTH(Tabela1[[#This Row],[Último pagto ano]])*29,"mmmm")</f>
        <v>maio</v>
      </c>
    </row>
    <row r="2855" spans="1:9" x14ac:dyDescent="0.25">
      <c r="A2855">
        <v>2025</v>
      </c>
      <c r="B2855" t="s">
        <v>5681</v>
      </c>
      <c r="C2855" s="1">
        <v>45996</v>
      </c>
      <c r="D2855" t="s">
        <v>5682</v>
      </c>
      <c r="E2855" s="2">
        <v>59449.2</v>
      </c>
      <c r="G2855" s="3">
        <f>MONTH(Tabela1[[#This Row],[Último pagto ano]])</f>
        <v>12</v>
      </c>
      <c r="H2855" t="str">
        <f>TEXT(Tabela1[[#This Row],[Coluna2]]*29,"mmmm")</f>
        <v>dezembro</v>
      </c>
      <c r="I2855" t="str">
        <f>TEXT(MONTH(Tabela1[[#This Row],[Último pagto ano]])*29,"mmmm")</f>
        <v>dezembro</v>
      </c>
    </row>
    <row r="2856" spans="1:9" x14ac:dyDescent="0.25">
      <c r="A2856">
        <v>2025</v>
      </c>
      <c r="B2856" t="s">
        <v>5683</v>
      </c>
      <c r="C2856" s="1">
        <v>46014</v>
      </c>
      <c r="D2856" t="s">
        <v>5684</v>
      </c>
      <c r="E2856" s="2">
        <v>2145</v>
      </c>
      <c r="G2856" s="3">
        <f>MONTH(Tabela1[[#This Row],[Último pagto ano]])</f>
        <v>12</v>
      </c>
      <c r="H2856" t="str">
        <f>TEXT(Tabela1[[#This Row],[Coluna2]]*29,"mmmm")</f>
        <v>dezembro</v>
      </c>
      <c r="I2856" t="str">
        <f>TEXT(MONTH(Tabela1[[#This Row],[Último pagto ano]])*29,"mmmm")</f>
        <v>dezembro</v>
      </c>
    </row>
    <row r="2857" spans="1:9" x14ac:dyDescent="0.25">
      <c r="A2857">
        <v>2025</v>
      </c>
      <c r="B2857" t="s">
        <v>5685</v>
      </c>
      <c r="C2857" s="1">
        <v>45831</v>
      </c>
      <c r="D2857" t="s">
        <v>5686</v>
      </c>
      <c r="E2857">
        <v>78.099999999999994</v>
      </c>
      <c r="G2857" s="3">
        <f>MONTH(Tabela1[[#This Row],[Último pagto ano]])</f>
        <v>6</v>
      </c>
      <c r="H2857" t="str">
        <f>TEXT(Tabela1[[#This Row],[Coluna2]]*29,"mmmm")</f>
        <v>junho</v>
      </c>
      <c r="I2857" t="str">
        <f>TEXT(MONTH(Tabela1[[#This Row],[Último pagto ano]])*29,"mmmm")</f>
        <v>junho</v>
      </c>
    </row>
    <row r="2858" spans="1:9" x14ac:dyDescent="0.25">
      <c r="A2858">
        <v>2025</v>
      </c>
      <c r="B2858" t="s">
        <v>5687</v>
      </c>
      <c r="C2858" s="1">
        <v>46021</v>
      </c>
      <c r="D2858" t="s">
        <v>5688</v>
      </c>
      <c r="E2858" s="2">
        <v>58444.76</v>
      </c>
      <c r="G2858" s="3">
        <f>MONTH(Tabela1[[#This Row],[Último pagto ano]])</f>
        <v>12</v>
      </c>
      <c r="H2858" t="str">
        <f>TEXT(Tabela1[[#This Row],[Coluna2]]*29,"mmmm")</f>
        <v>dezembro</v>
      </c>
      <c r="I2858" t="str">
        <f>TEXT(MONTH(Tabela1[[#This Row],[Último pagto ano]])*29,"mmmm")</f>
        <v>dezembro</v>
      </c>
    </row>
    <row r="2859" spans="1:9" x14ac:dyDescent="0.25">
      <c r="A2859">
        <v>2025</v>
      </c>
      <c r="B2859" t="s">
        <v>5689</v>
      </c>
      <c r="C2859" s="1">
        <v>45985</v>
      </c>
      <c r="D2859" t="s">
        <v>5690</v>
      </c>
      <c r="E2859" s="2">
        <v>2100</v>
      </c>
      <c r="G2859" s="3">
        <f>MONTH(Tabela1[[#This Row],[Último pagto ano]])</f>
        <v>11</v>
      </c>
      <c r="H2859" t="str">
        <f>TEXT(Tabela1[[#This Row],[Coluna2]]*29,"mmmm")</f>
        <v>novembro</v>
      </c>
      <c r="I2859" t="str">
        <f>TEXT(MONTH(Tabela1[[#This Row],[Último pagto ano]])*29,"mmmm")</f>
        <v>novembro</v>
      </c>
    </row>
    <row r="2860" spans="1:9" x14ac:dyDescent="0.25">
      <c r="A2860">
        <v>2025</v>
      </c>
      <c r="B2860" t="s">
        <v>5691</v>
      </c>
      <c r="C2860" s="1">
        <v>45975</v>
      </c>
      <c r="D2860" t="s">
        <v>5692</v>
      </c>
      <c r="E2860" s="2">
        <v>6292.72</v>
      </c>
      <c r="G2860" s="3">
        <f>MONTH(Tabela1[[#This Row],[Último pagto ano]])</f>
        <v>11</v>
      </c>
      <c r="H2860" t="str">
        <f>TEXT(Tabela1[[#This Row],[Coluna2]]*29,"mmmm")</f>
        <v>novembro</v>
      </c>
      <c r="I2860" t="str">
        <f>TEXT(MONTH(Tabela1[[#This Row],[Último pagto ano]])*29,"mmmm")</f>
        <v>novembro</v>
      </c>
    </row>
    <row r="2861" spans="1:9" x14ac:dyDescent="0.25">
      <c r="A2861">
        <v>2025</v>
      </c>
      <c r="B2861" t="s">
        <v>5693</v>
      </c>
      <c r="C2861" s="1">
        <v>45853</v>
      </c>
      <c r="D2861" t="s">
        <v>5694</v>
      </c>
      <c r="E2861" s="2">
        <v>1480.8</v>
      </c>
      <c r="G2861" s="3">
        <f>MONTH(Tabela1[[#This Row],[Último pagto ano]])</f>
        <v>7</v>
      </c>
      <c r="H2861" t="str">
        <f>TEXT(Tabela1[[#This Row],[Coluna2]]*29,"mmmm")</f>
        <v>julho</v>
      </c>
      <c r="I2861" t="str">
        <f>TEXT(MONTH(Tabela1[[#This Row],[Último pagto ano]])*29,"mmmm")</f>
        <v>julho</v>
      </c>
    </row>
    <row r="2862" spans="1:9" x14ac:dyDescent="0.25">
      <c r="A2862">
        <v>2025</v>
      </c>
      <c r="B2862" t="s">
        <v>5695</v>
      </c>
      <c r="C2862" s="1">
        <v>45911</v>
      </c>
      <c r="D2862" t="s">
        <v>5696</v>
      </c>
      <c r="E2862" s="2">
        <v>1500</v>
      </c>
      <c r="G2862" s="3">
        <f>MONTH(Tabela1[[#This Row],[Último pagto ano]])</f>
        <v>9</v>
      </c>
      <c r="H2862" t="str">
        <f>TEXT(Tabela1[[#This Row],[Coluna2]]*29,"mmmm")</f>
        <v>setembro</v>
      </c>
      <c r="I2862" t="str">
        <f>TEXT(MONTH(Tabela1[[#This Row],[Último pagto ano]])*29,"mmmm")</f>
        <v>setembro</v>
      </c>
    </row>
    <row r="2863" spans="1:9" x14ac:dyDescent="0.25">
      <c r="A2863">
        <v>2025</v>
      </c>
      <c r="B2863" t="s">
        <v>5697</v>
      </c>
      <c r="C2863" s="1">
        <v>45964</v>
      </c>
      <c r="D2863" t="s">
        <v>5698</v>
      </c>
      <c r="E2863">
        <v>66</v>
      </c>
      <c r="G2863" s="3">
        <f>MONTH(Tabela1[[#This Row],[Último pagto ano]])</f>
        <v>11</v>
      </c>
      <c r="H2863" t="str">
        <f>TEXT(Tabela1[[#This Row],[Coluna2]]*29,"mmmm")</f>
        <v>novembro</v>
      </c>
      <c r="I2863" t="str">
        <f>TEXT(MONTH(Tabela1[[#This Row],[Último pagto ano]])*29,"mmmm")</f>
        <v>novembro</v>
      </c>
    </row>
    <row r="2864" spans="1:9" x14ac:dyDescent="0.25">
      <c r="A2864">
        <v>2025</v>
      </c>
      <c r="B2864" t="s">
        <v>5699</v>
      </c>
      <c r="C2864" s="1">
        <v>46010</v>
      </c>
      <c r="D2864" t="s">
        <v>5700</v>
      </c>
      <c r="E2864" s="2">
        <v>12000</v>
      </c>
      <c r="G2864" s="3">
        <f>MONTH(Tabela1[[#This Row],[Último pagto ano]])</f>
        <v>12</v>
      </c>
      <c r="H2864" t="str">
        <f>TEXT(Tabela1[[#This Row],[Coluna2]]*29,"mmmm")</f>
        <v>dezembro</v>
      </c>
      <c r="I2864" t="str">
        <f>TEXT(MONTH(Tabela1[[#This Row],[Último pagto ano]])*29,"mmmm")</f>
        <v>dezembro</v>
      </c>
    </row>
    <row r="2865" spans="1:9" x14ac:dyDescent="0.25">
      <c r="A2865">
        <v>2025</v>
      </c>
      <c r="B2865" t="s">
        <v>5701</v>
      </c>
      <c r="C2865" s="1">
        <v>46021</v>
      </c>
      <c r="D2865" t="s">
        <v>5702</v>
      </c>
      <c r="E2865" s="2">
        <v>1559674.14</v>
      </c>
      <c r="G2865" s="3">
        <f>MONTH(Tabela1[[#This Row],[Último pagto ano]])</f>
        <v>12</v>
      </c>
      <c r="H2865" t="str">
        <f>TEXT(Tabela1[[#This Row],[Coluna2]]*29,"mmmm")</f>
        <v>dezembro</v>
      </c>
      <c r="I2865" t="str">
        <f>TEXT(MONTH(Tabela1[[#This Row],[Último pagto ano]])*29,"mmmm")</f>
        <v>dezembro</v>
      </c>
    </row>
    <row r="2866" spans="1:9" x14ac:dyDescent="0.25">
      <c r="A2866">
        <v>2025</v>
      </c>
      <c r="B2866" t="s">
        <v>5703</v>
      </c>
      <c r="C2866" s="1">
        <v>45979</v>
      </c>
      <c r="D2866" t="s">
        <v>5704</v>
      </c>
      <c r="E2866" s="2">
        <v>4575176.0999999996</v>
      </c>
      <c r="G2866" s="3">
        <f>MONTH(Tabela1[[#This Row],[Último pagto ano]])</f>
        <v>11</v>
      </c>
      <c r="H2866" t="str">
        <f>TEXT(Tabela1[[#This Row],[Coluna2]]*29,"mmmm")</f>
        <v>novembro</v>
      </c>
      <c r="I2866" t="str">
        <f>TEXT(MONTH(Tabela1[[#This Row],[Último pagto ano]])*29,"mmmm")</f>
        <v>novembro</v>
      </c>
    </row>
    <row r="2867" spans="1:9" x14ac:dyDescent="0.25">
      <c r="A2867">
        <v>2025</v>
      </c>
      <c r="B2867" t="s">
        <v>5705</v>
      </c>
      <c r="C2867" s="1">
        <v>46001</v>
      </c>
      <c r="D2867" t="s">
        <v>5706</v>
      </c>
      <c r="E2867">
        <v>255.66</v>
      </c>
      <c r="G2867" s="3">
        <f>MONTH(Tabela1[[#This Row],[Último pagto ano]])</f>
        <v>12</v>
      </c>
      <c r="H2867" t="str">
        <f>TEXT(Tabela1[[#This Row],[Coluna2]]*29,"mmmm")</f>
        <v>dezembro</v>
      </c>
      <c r="I2867" t="str">
        <f>TEXT(MONTH(Tabela1[[#This Row],[Último pagto ano]])*29,"mmmm")</f>
        <v>dezembro</v>
      </c>
    </row>
    <row r="2868" spans="1:9" x14ac:dyDescent="0.25">
      <c r="A2868">
        <v>2025</v>
      </c>
      <c r="B2868" t="s">
        <v>5707</v>
      </c>
      <c r="C2868" s="1">
        <v>45852</v>
      </c>
      <c r="D2868" t="s">
        <v>5708</v>
      </c>
      <c r="E2868" s="2">
        <v>5380.7</v>
      </c>
      <c r="G2868" s="3">
        <f>MONTH(Tabela1[[#This Row],[Último pagto ano]])</f>
        <v>7</v>
      </c>
      <c r="H2868" t="str">
        <f>TEXT(Tabela1[[#This Row],[Coluna2]]*29,"mmmm")</f>
        <v>julho</v>
      </c>
      <c r="I2868" t="str">
        <f>TEXT(MONTH(Tabela1[[#This Row],[Último pagto ano]])*29,"mmmm")</f>
        <v>julho</v>
      </c>
    </row>
    <row r="2869" spans="1:9" x14ac:dyDescent="0.25">
      <c r="A2869">
        <v>2025</v>
      </c>
      <c r="B2869" t="s">
        <v>5709</v>
      </c>
      <c r="C2869" s="1">
        <v>45792</v>
      </c>
      <c r="D2869" t="s">
        <v>5710</v>
      </c>
      <c r="E2869" s="2">
        <v>5848.04</v>
      </c>
      <c r="G2869" s="3">
        <f>MONTH(Tabela1[[#This Row],[Último pagto ano]])</f>
        <v>5</v>
      </c>
      <c r="H2869" t="str">
        <f>TEXT(Tabela1[[#This Row],[Coluna2]]*29,"mmmm")</f>
        <v>maio</v>
      </c>
      <c r="I2869" t="str">
        <f>TEXT(MONTH(Tabela1[[#This Row],[Último pagto ano]])*29,"mmmm")</f>
        <v>maio</v>
      </c>
    </row>
    <row r="2870" spans="1:9" x14ac:dyDescent="0.25">
      <c r="A2870">
        <v>2025</v>
      </c>
      <c r="B2870" t="s">
        <v>5711</v>
      </c>
      <c r="C2870" s="1">
        <v>45901</v>
      </c>
      <c r="D2870" t="s">
        <v>5712</v>
      </c>
      <c r="E2870" s="2">
        <v>8844.8799999999992</v>
      </c>
      <c r="G2870" s="3">
        <f>MONTH(Tabela1[[#This Row],[Último pagto ano]])</f>
        <v>9</v>
      </c>
      <c r="H2870" t="str">
        <f>TEXT(Tabela1[[#This Row],[Coluna2]]*29,"mmmm")</f>
        <v>setembro</v>
      </c>
      <c r="I2870" t="str">
        <f>TEXT(MONTH(Tabela1[[#This Row],[Último pagto ano]])*29,"mmmm")</f>
        <v>setembro</v>
      </c>
    </row>
    <row r="2871" spans="1:9" x14ac:dyDescent="0.25">
      <c r="A2871">
        <v>2025</v>
      </c>
      <c r="B2871" t="s">
        <v>5713</v>
      </c>
      <c r="C2871" s="1">
        <v>45989</v>
      </c>
      <c r="D2871" t="s">
        <v>5714</v>
      </c>
      <c r="E2871" s="2">
        <v>43219.7</v>
      </c>
      <c r="G2871" s="3">
        <f>MONTH(Tabela1[[#This Row],[Último pagto ano]])</f>
        <v>11</v>
      </c>
      <c r="H2871" t="str">
        <f>TEXT(Tabela1[[#This Row],[Coluna2]]*29,"mmmm")</f>
        <v>novembro</v>
      </c>
      <c r="I2871" t="str">
        <f>TEXT(MONTH(Tabela1[[#This Row],[Último pagto ano]])*29,"mmmm")</f>
        <v>novembro</v>
      </c>
    </row>
    <row r="2872" spans="1:9" x14ac:dyDescent="0.25">
      <c r="A2872">
        <v>2025</v>
      </c>
      <c r="B2872" t="s">
        <v>5715</v>
      </c>
      <c r="C2872" s="1">
        <v>45840</v>
      </c>
      <c r="D2872" t="s">
        <v>5716</v>
      </c>
      <c r="E2872" s="2">
        <v>217195</v>
      </c>
      <c r="G2872" s="3">
        <f>MONTH(Tabela1[[#This Row],[Último pagto ano]])</f>
        <v>7</v>
      </c>
      <c r="H2872" t="str">
        <f>TEXT(Tabela1[[#This Row],[Coluna2]]*29,"mmmm")</f>
        <v>julho</v>
      </c>
      <c r="I2872" t="str">
        <f>TEXT(MONTH(Tabela1[[#This Row],[Último pagto ano]])*29,"mmmm")</f>
        <v>julho</v>
      </c>
    </row>
    <row r="2873" spans="1:9" x14ac:dyDescent="0.25">
      <c r="A2873">
        <v>2025</v>
      </c>
      <c r="B2873" t="s">
        <v>5717</v>
      </c>
      <c r="C2873" s="1">
        <v>46006</v>
      </c>
      <c r="D2873" t="s">
        <v>5718</v>
      </c>
      <c r="E2873" s="2">
        <v>4044.32</v>
      </c>
      <c r="G2873" s="3">
        <f>MONTH(Tabela1[[#This Row],[Último pagto ano]])</f>
        <v>12</v>
      </c>
      <c r="H2873" t="str">
        <f>TEXT(Tabela1[[#This Row],[Coluna2]]*29,"mmmm")</f>
        <v>dezembro</v>
      </c>
      <c r="I2873" t="str">
        <f>TEXT(MONTH(Tabela1[[#This Row],[Último pagto ano]])*29,"mmmm")</f>
        <v>dezembro</v>
      </c>
    </row>
    <row r="2874" spans="1:9" x14ac:dyDescent="0.25">
      <c r="A2874">
        <v>2025</v>
      </c>
      <c r="B2874" t="s">
        <v>5719</v>
      </c>
      <c r="C2874" s="1">
        <v>46007</v>
      </c>
      <c r="D2874" t="s">
        <v>5720</v>
      </c>
      <c r="E2874" s="2">
        <v>1013882.74</v>
      </c>
      <c r="G2874" s="3">
        <f>MONTH(Tabela1[[#This Row],[Último pagto ano]])</f>
        <v>12</v>
      </c>
      <c r="H2874" t="str">
        <f>TEXT(Tabela1[[#This Row],[Coluna2]]*29,"mmmm")</f>
        <v>dezembro</v>
      </c>
      <c r="I2874" t="str">
        <f>TEXT(MONTH(Tabela1[[#This Row],[Último pagto ano]])*29,"mmmm")</f>
        <v>dezembro</v>
      </c>
    </row>
    <row r="2875" spans="1:9" x14ac:dyDescent="0.25">
      <c r="A2875">
        <v>2025</v>
      </c>
      <c r="B2875" t="s">
        <v>5721</v>
      </c>
      <c r="C2875" s="1">
        <v>46021</v>
      </c>
      <c r="D2875" t="s">
        <v>5722</v>
      </c>
      <c r="E2875" s="2">
        <v>19063.79</v>
      </c>
      <c r="G2875" s="3">
        <f>MONTH(Tabela1[[#This Row],[Último pagto ano]])</f>
        <v>12</v>
      </c>
      <c r="H2875" t="str">
        <f>TEXT(Tabela1[[#This Row],[Coluna2]]*29,"mmmm")</f>
        <v>dezembro</v>
      </c>
      <c r="I2875" t="str">
        <f>TEXT(MONTH(Tabela1[[#This Row],[Último pagto ano]])*29,"mmmm")</f>
        <v>dezembro</v>
      </c>
    </row>
    <row r="2876" spans="1:9" x14ac:dyDescent="0.25">
      <c r="A2876">
        <v>2025</v>
      </c>
      <c r="B2876" t="s">
        <v>5723</v>
      </c>
      <c r="C2876" s="1">
        <v>45769</v>
      </c>
      <c r="D2876" t="s">
        <v>5724</v>
      </c>
      <c r="E2876">
        <v>641.04</v>
      </c>
      <c r="G2876" s="3">
        <f>MONTH(Tabela1[[#This Row],[Último pagto ano]])</f>
        <v>4</v>
      </c>
      <c r="H2876" t="str">
        <f>TEXT(Tabela1[[#This Row],[Coluna2]]*29,"mmmm")</f>
        <v>abril</v>
      </c>
      <c r="I2876" t="str">
        <f>TEXT(MONTH(Tabela1[[#This Row],[Último pagto ano]])*29,"mmmm")</f>
        <v>abril</v>
      </c>
    </row>
    <row r="2877" spans="1:9" x14ac:dyDescent="0.25">
      <c r="A2877">
        <v>2025</v>
      </c>
      <c r="B2877" t="s">
        <v>5725</v>
      </c>
      <c r="C2877" s="1">
        <v>45978</v>
      </c>
      <c r="D2877" t="s">
        <v>5726</v>
      </c>
      <c r="E2877">
        <v>88</v>
      </c>
      <c r="G2877" s="3">
        <f>MONTH(Tabela1[[#This Row],[Último pagto ano]])</f>
        <v>11</v>
      </c>
      <c r="H2877" t="str">
        <f>TEXT(Tabela1[[#This Row],[Coluna2]]*29,"mmmm")</f>
        <v>novembro</v>
      </c>
      <c r="I2877" t="str">
        <f>TEXT(MONTH(Tabela1[[#This Row],[Último pagto ano]])*29,"mmmm")</f>
        <v>novembro</v>
      </c>
    </row>
    <row r="2878" spans="1:9" x14ac:dyDescent="0.25">
      <c r="A2878">
        <v>2025</v>
      </c>
      <c r="B2878" t="s">
        <v>5727</v>
      </c>
      <c r="C2878" s="1">
        <v>45989</v>
      </c>
      <c r="D2878" t="s">
        <v>5728</v>
      </c>
      <c r="E2878" s="2">
        <v>7822.63</v>
      </c>
      <c r="G2878" s="3">
        <f>MONTH(Tabela1[[#This Row],[Último pagto ano]])</f>
        <v>11</v>
      </c>
      <c r="H2878" t="str">
        <f>TEXT(Tabela1[[#This Row],[Coluna2]]*29,"mmmm")</f>
        <v>novembro</v>
      </c>
      <c r="I2878" t="str">
        <f>TEXT(MONTH(Tabela1[[#This Row],[Último pagto ano]])*29,"mmmm")</f>
        <v>novembro</v>
      </c>
    </row>
    <row r="2879" spans="1:9" x14ac:dyDescent="0.25">
      <c r="A2879">
        <v>2025</v>
      </c>
      <c r="B2879" t="s">
        <v>5729</v>
      </c>
      <c r="C2879" s="1">
        <v>45761</v>
      </c>
      <c r="D2879" t="s">
        <v>5730</v>
      </c>
      <c r="E2879">
        <v>532.94000000000005</v>
      </c>
      <c r="G2879" s="3">
        <f>MONTH(Tabela1[[#This Row],[Último pagto ano]])</f>
        <v>4</v>
      </c>
      <c r="H2879" t="str">
        <f>TEXT(Tabela1[[#This Row],[Coluna2]]*29,"mmmm")</f>
        <v>abril</v>
      </c>
      <c r="I2879" t="str">
        <f>TEXT(MONTH(Tabela1[[#This Row],[Último pagto ano]])*29,"mmmm")</f>
        <v>abril</v>
      </c>
    </row>
    <row r="2880" spans="1:9" x14ac:dyDescent="0.25">
      <c r="A2880">
        <v>2025</v>
      </c>
      <c r="B2880" t="s">
        <v>5731</v>
      </c>
      <c r="C2880" s="1">
        <v>45932</v>
      </c>
      <c r="D2880" t="s">
        <v>5732</v>
      </c>
      <c r="E2880" s="2">
        <v>1264.3599999999999</v>
      </c>
      <c r="G2880" s="3">
        <f>MONTH(Tabela1[[#This Row],[Último pagto ano]])</f>
        <v>10</v>
      </c>
      <c r="H2880" t="str">
        <f>TEXT(Tabela1[[#This Row],[Coluna2]]*29,"mmmm")</f>
        <v>outubro</v>
      </c>
      <c r="I2880" t="str">
        <f>TEXT(MONTH(Tabela1[[#This Row],[Último pagto ano]])*29,"mmmm")</f>
        <v>outubro</v>
      </c>
    </row>
    <row r="2881" spans="1:9" x14ac:dyDescent="0.25">
      <c r="A2881">
        <v>2025</v>
      </c>
      <c r="B2881" t="s">
        <v>5733</v>
      </c>
      <c r="C2881" s="1">
        <v>46021</v>
      </c>
      <c r="D2881" t="s">
        <v>5734</v>
      </c>
      <c r="E2881" s="2">
        <v>296803.57</v>
      </c>
      <c r="G2881" s="3">
        <f>MONTH(Tabela1[[#This Row],[Último pagto ano]])</f>
        <v>12</v>
      </c>
      <c r="H2881" t="str">
        <f>TEXT(Tabela1[[#This Row],[Coluna2]]*29,"mmmm")</f>
        <v>dezembro</v>
      </c>
      <c r="I2881" t="str">
        <f>TEXT(MONTH(Tabela1[[#This Row],[Último pagto ano]])*29,"mmmm")</f>
        <v>dezembro</v>
      </c>
    </row>
    <row r="2882" spans="1:9" x14ac:dyDescent="0.25">
      <c r="A2882">
        <v>2025</v>
      </c>
      <c r="B2882" t="s">
        <v>5735</v>
      </c>
      <c r="C2882" s="1">
        <v>46003</v>
      </c>
      <c r="D2882" t="s">
        <v>5736</v>
      </c>
      <c r="E2882" s="2">
        <v>17051.099999999999</v>
      </c>
      <c r="G2882" s="3">
        <f>MONTH(Tabela1[[#This Row],[Último pagto ano]])</f>
        <v>12</v>
      </c>
      <c r="H2882" t="str">
        <f>TEXT(Tabela1[[#This Row],[Coluna2]]*29,"mmmm")</f>
        <v>dezembro</v>
      </c>
      <c r="I2882" t="str">
        <f>TEXT(MONTH(Tabela1[[#This Row],[Último pagto ano]])*29,"mmmm")</f>
        <v>dezembro</v>
      </c>
    </row>
    <row r="2883" spans="1:9" x14ac:dyDescent="0.25">
      <c r="A2883">
        <v>2025</v>
      </c>
      <c r="B2883" t="s">
        <v>5737</v>
      </c>
      <c r="C2883" s="1">
        <v>45848</v>
      </c>
      <c r="D2883" t="s">
        <v>5738</v>
      </c>
      <c r="E2883" s="2">
        <v>30459</v>
      </c>
      <c r="G2883" s="3">
        <f>MONTH(Tabela1[[#This Row],[Último pagto ano]])</f>
        <v>7</v>
      </c>
      <c r="H2883" t="str">
        <f>TEXT(Tabela1[[#This Row],[Coluna2]]*29,"mmmm")</f>
        <v>julho</v>
      </c>
      <c r="I2883" t="str">
        <f>TEXT(MONTH(Tabela1[[#This Row],[Último pagto ano]])*29,"mmmm")</f>
        <v>julho</v>
      </c>
    </row>
    <row r="2884" spans="1:9" x14ac:dyDescent="0.25">
      <c r="A2884">
        <v>2025</v>
      </c>
      <c r="B2884" t="s">
        <v>5739</v>
      </c>
      <c r="C2884" s="1">
        <v>46014</v>
      </c>
      <c r="D2884" t="s">
        <v>5740</v>
      </c>
      <c r="E2884">
        <v>80.23</v>
      </c>
      <c r="G2884" s="3">
        <f>MONTH(Tabela1[[#This Row],[Último pagto ano]])</f>
        <v>12</v>
      </c>
      <c r="H2884" t="str">
        <f>TEXT(Tabela1[[#This Row],[Coluna2]]*29,"mmmm")</f>
        <v>dezembro</v>
      </c>
      <c r="I2884" t="str">
        <f>TEXT(MONTH(Tabela1[[#This Row],[Último pagto ano]])*29,"mmmm")</f>
        <v>dezembro</v>
      </c>
    </row>
    <row r="2885" spans="1:9" x14ac:dyDescent="0.25">
      <c r="A2885">
        <v>2025</v>
      </c>
      <c r="B2885" t="s">
        <v>5741</v>
      </c>
      <c r="C2885" s="1">
        <v>45992</v>
      </c>
      <c r="D2885" t="s">
        <v>5742</v>
      </c>
      <c r="E2885" s="2">
        <v>1759356.72</v>
      </c>
      <c r="G2885" s="3">
        <f>MONTH(Tabela1[[#This Row],[Último pagto ano]])</f>
        <v>12</v>
      </c>
      <c r="H2885" t="str">
        <f>TEXT(Tabela1[[#This Row],[Coluna2]]*29,"mmmm")</f>
        <v>dezembro</v>
      </c>
      <c r="I2885" t="str">
        <f>TEXT(MONTH(Tabela1[[#This Row],[Último pagto ano]])*29,"mmmm")</f>
        <v>dezembro</v>
      </c>
    </row>
    <row r="2886" spans="1:9" x14ac:dyDescent="0.25">
      <c r="A2886">
        <v>2025</v>
      </c>
      <c r="B2886" t="s">
        <v>5743</v>
      </c>
      <c r="C2886" s="1">
        <v>46014</v>
      </c>
      <c r="D2886" t="s">
        <v>5744</v>
      </c>
      <c r="E2886" s="2">
        <v>1654287.26</v>
      </c>
      <c r="G2886" s="3">
        <f>MONTH(Tabela1[[#This Row],[Último pagto ano]])</f>
        <v>12</v>
      </c>
      <c r="H2886" t="str">
        <f>TEXT(Tabela1[[#This Row],[Coluna2]]*29,"mmmm")</f>
        <v>dezembro</v>
      </c>
      <c r="I2886" t="str">
        <f>TEXT(MONTH(Tabela1[[#This Row],[Último pagto ano]])*29,"mmmm")</f>
        <v>dezembro</v>
      </c>
    </row>
    <row r="2887" spans="1:9" x14ac:dyDescent="0.25">
      <c r="A2887">
        <v>2025</v>
      </c>
      <c r="B2887" t="s">
        <v>5745</v>
      </c>
      <c r="C2887" s="1">
        <v>45926</v>
      </c>
      <c r="D2887" t="s">
        <v>5746</v>
      </c>
      <c r="E2887" s="2">
        <v>1030.98</v>
      </c>
      <c r="G2887" s="3">
        <f>MONTH(Tabela1[[#This Row],[Último pagto ano]])</f>
        <v>9</v>
      </c>
      <c r="H2887" t="str">
        <f>TEXT(Tabela1[[#This Row],[Coluna2]]*29,"mmmm")</f>
        <v>setembro</v>
      </c>
      <c r="I2887" t="str">
        <f>TEXT(MONTH(Tabela1[[#This Row],[Último pagto ano]])*29,"mmmm")</f>
        <v>setembro</v>
      </c>
    </row>
    <row r="2888" spans="1:9" x14ac:dyDescent="0.25">
      <c r="A2888">
        <v>2025</v>
      </c>
      <c r="B2888" t="s">
        <v>5747</v>
      </c>
      <c r="C2888" s="1">
        <v>46014</v>
      </c>
      <c r="D2888" t="s">
        <v>5748</v>
      </c>
      <c r="E2888" s="2">
        <v>12500</v>
      </c>
      <c r="G2888" s="3">
        <f>MONTH(Tabela1[[#This Row],[Último pagto ano]])</f>
        <v>12</v>
      </c>
      <c r="H2888" t="str">
        <f>TEXT(Tabela1[[#This Row],[Coluna2]]*29,"mmmm")</f>
        <v>dezembro</v>
      </c>
      <c r="I2888" t="str">
        <f>TEXT(MONTH(Tabela1[[#This Row],[Último pagto ano]])*29,"mmmm")</f>
        <v>dezembro</v>
      </c>
    </row>
    <row r="2889" spans="1:9" x14ac:dyDescent="0.25">
      <c r="A2889">
        <v>2025</v>
      </c>
      <c r="B2889" t="s">
        <v>5749</v>
      </c>
      <c r="C2889" s="1">
        <v>46006</v>
      </c>
      <c r="D2889" t="s">
        <v>5750</v>
      </c>
      <c r="E2889" s="2">
        <v>6219.36</v>
      </c>
      <c r="G2889" s="3">
        <f>MONTH(Tabela1[[#This Row],[Último pagto ano]])</f>
        <v>12</v>
      </c>
      <c r="H2889" t="str">
        <f>TEXT(Tabela1[[#This Row],[Coluna2]]*29,"mmmm")</f>
        <v>dezembro</v>
      </c>
      <c r="I2889" t="str">
        <f>TEXT(MONTH(Tabela1[[#This Row],[Último pagto ano]])*29,"mmmm")</f>
        <v>dezembro</v>
      </c>
    </row>
    <row r="2890" spans="1:9" x14ac:dyDescent="0.25">
      <c r="A2890">
        <v>2025</v>
      </c>
      <c r="B2890" t="s">
        <v>5751</v>
      </c>
      <c r="C2890" s="1">
        <v>46006</v>
      </c>
      <c r="D2890" t="s">
        <v>5752</v>
      </c>
      <c r="E2890" s="2">
        <v>7673.6</v>
      </c>
      <c r="G2890" s="3">
        <f>MONTH(Tabela1[[#This Row],[Último pagto ano]])</f>
        <v>12</v>
      </c>
      <c r="H2890" t="str">
        <f>TEXT(Tabela1[[#This Row],[Coluna2]]*29,"mmmm")</f>
        <v>dezembro</v>
      </c>
      <c r="I2890" t="str">
        <f>TEXT(MONTH(Tabela1[[#This Row],[Último pagto ano]])*29,"mmmm")</f>
        <v>dezembro</v>
      </c>
    </row>
    <row r="2891" spans="1:9" x14ac:dyDescent="0.25">
      <c r="A2891">
        <v>2025</v>
      </c>
      <c r="B2891" t="s">
        <v>5753</v>
      </c>
      <c r="C2891" s="1">
        <v>45695</v>
      </c>
      <c r="D2891" t="s">
        <v>5754</v>
      </c>
      <c r="E2891" s="2">
        <v>4600</v>
      </c>
      <c r="G2891" s="3">
        <f>MONTH(Tabela1[[#This Row],[Último pagto ano]])</f>
        <v>2</v>
      </c>
      <c r="H2891" t="str">
        <f>TEXT(Tabela1[[#This Row],[Coluna2]]*29,"mmmm")</f>
        <v>fevereiro</v>
      </c>
      <c r="I2891" t="str">
        <f>TEXT(MONTH(Tabela1[[#This Row],[Último pagto ano]])*29,"mmmm")</f>
        <v>fevereiro</v>
      </c>
    </row>
    <row r="2892" spans="1:9" x14ac:dyDescent="0.25">
      <c r="A2892">
        <v>2025</v>
      </c>
      <c r="B2892" t="s">
        <v>5755</v>
      </c>
      <c r="C2892" s="1">
        <v>45975</v>
      </c>
      <c r="D2892" t="s">
        <v>5756</v>
      </c>
      <c r="E2892" s="2">
        <v>10069.44</v>
      </c>
      <c r="G2892" s="3">
        <f>MONTH(Tabela1[[#This Row],[Último pagto ano]])</f>
        <v>11</v>
      </c>
      <c r="H2892" t="str">
        <f>TEXT(Tabela1[[#This Row],[Coluna2]]*29,"mmmm")</f>
        <v>novembro</v>
      </c>
      <c r="I2892" t="str">
        <f>TEXT(MONTH(Tabela1[[#This Row],[Último pagto ano]])*29,"mmmm")</f>
        <v>novembro</v>
      </c>
    </row>
    <row r="2893" spans="1:9" x14ac:dyDescent="0.25">
      <c r="A2893">
        <v>2025</v>
      </c>
      <c r="B2893" t="s">
        <v>5757</v>
      </c>
      <c r="C2893" s="1">
        <v>46006</v>
      </c>
      <c r="D2893" t="s">
        <v>5758</v>
      </c>
      <c r="E2893" s="2">
        <v>10931.36</v>
      </c>
      <c r="G2893" s="3">
        <f>MONTH(Tabela1[[#This Row],[Último pagto ano]])</f>
        <v>12</v>
      </c>
      <c r="H2893" t="str">
        <f>TEXT(Tabela1[[#This Row],[Coluna2]]*29,"mmmm")</f>
        <v>dezembro</v>
      </c>
      <c r="I2893" t="str">
        <f>TEXT(MONTH(Tabela1[[#This Row],[Último pagto ano]])*29,"mmmm")</f>
        <v>dezembro</v>
      </c>
    </row>
    <row r="2894" spans="1:9" x14ac:dyDescent="0.25">
      <c r="A2894">
        <v>2025</v>
      </c>
      <c r="B2894" t="s">
        <v>5759</v>
      </c>
      <c r="C2894" s="1">
        <v>45792</v>
      </c>
      <c r="D2894" t="s">
        <v>5760</v>
      </c>
      <c r="E2894" s="2">
        <v>2059.84</v>
      </c>
      <c r="G2894" s="3">
        <f>MONTH(Tabela1[[#This Row],[Último pagto ano]])</f>
        <v>5</v>
      </c>
      <c r="H2894" t="str">
        <f>TEXT(Tabela1[[#This Row],[Coluna2]]*29,"mmmm")</f>
        <v>maio</v>
      </c>
      <c r="I2894" t="str">
        <f>TEXT(MONTH(Tabela1[[#This Row],[Último pagto ano]])*29,"mmmm")</f>
        <v>maio</v>
      </c>
    </row>
    <row r="2895" spans="1:9" x14ac:dyDescent="0.25">
      <c r="A2895">
        <v>2025</v>
      </c>
      <c r="B2895" t="s">
        <v>5761</v>
      </c>
      <c r="C2895" s="1">
        <v>45996</v>
      </c>
      <c r="D2895" t="s">
        <v>5762</v>
      </c>
      <c r="E2895" s="2">
        <v>3800</v>
      </c>
      <c r="G2895" s="3">
        <f>MONTH(Tabela1[[#This Row],[Último pagto ano]])</f>
        <v>12</v>
      </c>
      <c r="H2895" t="str">
        <f>TEXT(Tabela1[[#This Row],[Coluna2]]*29,"mmmm")</f>
        <v>dezembro</v>
      </c>
      <c r="I2895" t="str">
        <f>TEXT(MONTH(Tabela1[[#This Row],[Último pagto ano]])*29,"mmmm")</f>
        <v>dezembro</v>
      </c>
    </row>
    <row r="2896" spans="1:9" x14ac:dyDescent="0.25">
      <c r="A2896">
        <v>2025</v>
      </c>
      <c r="B2896" t="s">
        <v>5763</v>
      </c>
      <c r="C2896" s="1">
        <v>45996</v>
      </c>
      <c r="D2896" t="s">
        <v>5764</v>
      </c>
      <c r="E2896" s="2">
        <v>64618.400000000001</v>
      </c>
      <c r="G2896" s="3">
        <f>MONTH(Tabela1[[#This Row],[Último pagto ano]])</f>
        <v>12</v>
      </c>
      <c r="H2896" t="str">
        <f>TEXT(Tabela1[[#This Row],[Coluna2]]*29,"mmmm")</f>
        <v>dezembro</v>
      </c>
      <c r="I2896" t="str">
        <f>TEXT(MONTH(Tabela1[[#This Row],[Último pagto ano]])*29,"mmmm")</f>
        <v>dezembro</v>
      </c>
    </row>
    <row r="2897" spans="1:9" x14ac:dyDescent="0.25">
      <c r="A2897">
        <v>2025</v>
      </c>
      <c r="B2897" t="s">
        <v>5765</v>
      </c>
      <c r="C2897" s="1">
        <v>45884</v>
      </c>
      <c r="D2897" t="s">
        <v>5766</v>
      </c>
      <c r="E2897" s="2">
        <v>5870.08</v>
      </c>
      <c r="G2897" s="3">
        <f>MONTH(Tabela1[[#This Row],[Último pagto ano]])</f>
        <v>8</v>
      </c>
      <c r="H2897" t="str">
        <f>TEXT(Tabela1[[#This Row],[Coluna2]]*29,"mmmm")</f>
        <v>agosto</v>
      </c>
      <c r="I2897" t="str">
        <f>TEXT(MONTH(Tabela1[[#This Row],[Último pagto ano]])*29,"mmmm")</f>
        <v>agosto</v>
      </c>
    </row>
    <row r="2898" spans="1:9" x14ac:dyDescent="0.25">
      <c r="A2898">
        <v>2025</v>
      </c>
      <c r="B2898" t="s">
        <v>5767</v>
      </c>
      <c r="C2898" s="1">
        <v>45996</v>
      </c>
      <c r="D2898" t="s">
        <v>5768</v>
      </c>
      <c r="E2898" s="2">
        <v>41580</v>
      </c>
      <c r="G2898" s="3">
        <f>MONTH(Tabela1[[#This Row],[Último pagto ano]])</f>
        <v>12</v>
      </c>
      <c r="H2898" t="str">
        <f>TEXT(Tabela1[[#This Row],[Coluna2]]*29,"mmmm")</f>
        <v>dezembro</v>
      </c>
      <c r="I2898" t="str">
        <f>TEXT(MONTH(Tabela1[[#This Row],[Último pagto ano]])*29,"mmmm")</f>
        <v>dezembro</v>
      </c>
    </row>
    <row r="2899" spans="1:9" x14ac:dyDescent="0.25">
      <c r="A2899">
        <v>2025</v>
      </c>
      <c r="B2899" t="s">
        <v>5769</v>
      </c>
      <c r="C2899" s="1">
        <v>45968</v>
      </c>
      <c r="D2899" t="s">
        <v>5770</v>
      </c>
      <c r="E2899" s="2">
        <v>1400</v>
      </c>
      <c r="G2899" s="3">
        <f>MONTH(Tabela1[[#This Row],[Último pagto ano]])</f>
        <v>11</v>
      </c>
      <c r="H2899" t="str">
        <f>TEXT(Tabela1[[#This Row],[Coluna2]]*29,"mmmm")</f>
        <v>novembro</v>
      </c>
      <c r="I2899" t="str">
        <f>TEXT(MONTH(Tabela1[[#This Row],[Último pagto ano]])*29,"mmmm")</f>
        <v>novembro</v>
      </c>
    </row>
    <row r="2900" spans="1:9" x14ac:dyDescent="0.25">
      <c r="A2900">
        <v>2025</v>
      </c>
      <c r="B2900" t="s">
        <v>5771</v>
      </c>
      <c r="C2900" s="1">
        <v>46006</v>
      </c>
      <c r="D2900" t="s">
        <v>5772</v>
      </c>
      <c r="E2900" s="2">
        <v>16590.96</v>
      </c>
      <c r="G2900" s="3">
        <f>MONTH(Tabela1[[#This Row],[Último pagto ano]])</f>
        <v>12</v>
      </c>
      <c r="H2900" t="str">
        <f>TEXT(Tabela1[[#This Row],[Coluna2]]*29,"mmmm")</f>
        <v>dezembro</v>
      </c>
      <c r="I2900" t="str">
        <f>TEXT(MONTH(Tabela1[[#This Row],[Último pagto ano]])*29,"mmmm")</f>
        <v>dezembro</v>
      </c>
    </row>
    <row r="2901" spans="1:9" x14ac:dyDescent="0.25">
      <c r="A2901">
        <v>2025</v>
      </c>
      <c r="B2901" t="s">
        <v>5773</v>
      </c>
      <c r="C2901" s="1">
        <v>46006</v>
      </c>
      <c r="D2901" t="s">
        <v>5774</v>
      </c>
      <c r="E2901" s="2">
        <v>12398.88</v>
      </c>
      <c r="G2901" s="3">
        <f>MONTH(Tabela1[[#This Row],[Último pagto ano]])</f>
        <v>12</v>
      </c>
      <c r="H2901" t="str">
        <f>TEXT(Tabela1[[#This Row],[Coluna2]]*29,"mmmm")</f>
        <v>dezembro</v>
      </c>
      <c r="I2901" t="str">
        <f>TEXT(MONTH(Tabela1[[#This Row],[Último pagto ano]])*29,"mmmm")</f>
        <v>dezembro</v>
      </c>
    </row>
    <row r="2902" spans="1:9" x14ac:dyDescent="0.25">
      <c r="A2902">
        <v>2025</v>
      </c>
      <c r="B2902" t="s">
        <v>5775</v>
      </c>
      <c r="C2902" s="1">
        <v>46021</v>
      </c>
      <c r="D2902" t="s">
        <v>5776</v>
      </c>
      <c r="E2902" s="2">
        <v>10423.11</v>
      </c>
      <c r="G2902" s="3">
        <f>MONTH(Tabela1[[#This Row],[Último pagto ano]])</f>
        <v>12</v>
      </c>
      <c r="H2902" t="str">
        <f>TEXT(Tabela1[[#This Row],[Coluna2]]*29,"mmmm")</f>
        <v>dezembro</v>
      </c>
      <c r="I2902" t="str">
        <f>TEXT(MONTH(Tabela1[[#This Row],[Último pagto ano]])*29,"mmmm")</f>
        <v>dezembro</v>
      </c>
    </row>
    <row r="2903" spans="1:9" x14ac:dyDescent="0.25">
      <c r="A2903">
        <v>2025</v>
      </c>
      <c r="B2903" t="s">
        <v>5777</v>
      </c>
      <c r="C2903" s="1">
        <v>45733</v>
      </c>
      <c r="D2903" t="s">
        <v>5778</v>
      </c>
      <c r="E2903" s="2">
        <v>2908.48</v>
      </c>
      <c r="G2903" s="3">
        <f>MONTH(Tabela1[[#This Row],[Último pagto ano]])</f>
        <v>3</v>
      </c>
      <c r="H2903" t="str">
        <f>TEXT(Tabela1[[#This Row],[Coluna2]]*29,"mmmm")</f>
        <v>março</v>
      </c>
      <c r="I2903" t="str">
        <f>TEXT(MONTH(Tabela1[[#This Row],[Último pagto ano]])*29,"mmmm")</f>
        <v>março</v>
      </c>
    </row>
    <row r="2904" spans="1:9" x14ac:dyDescent="0.25">
      <c r="A2904">
        <v>2025</v>
      </c>
      <c r="B2904" t="s">
        <v>5779</v>
      </c>
      <c r="C2904" s="1">
        <v>45897</v>
      </c>
      <c r="D2904" t="s">
        <v>5780</v>
      </c>
      <c r="E2904" s="2">
        <v>7938</v>
      </c>
      <c r="G2904" s="3">
        <f>MONTH(Tabela1[[#This Row],[Último pagto ano]])</f>
        <v>8</v>
      </c>
      <c r="H2904" t="str">
        <f>TEXT(Tabela1[[#This Row],[Coluna2]]*29,"mmmm")</f>
        <v>agosto</v>
      </c>
      <c r="I2904" t="str">
        <f>TEXT(MONTH(Tabela1[[#This Row],[Último pagto ano]])*29,"mmmm")</f>
        <v>agosto</v>
      </c>
    </row>
    <row r="2905" spans="1:9" x14ac:dyDescent="0.25">
      <c r="A2905">
        <v>2025</v>
      </c>
      <c r="B2905" t="s">
        <v>5781</v>
      </c>
      <c r="C2905" s="1">
        <v>45887</v>
      </c>
      <c r="D2905" t="s">
        <v>5782</v>
      </c>
      <c r="E2905">
        <v>88</v>
      </c>
      <c r="G2905" s="3">
        <f>MONTH(Tabela1[[#This Row],[Último pagto ano]])</f>
        <v>8</v>
      </c>
      <c r="H2905" t="str">
        <f>TEXT(Tabela1[[#This Row],[Coluna2]]*29,"mmmm")</f>
        <v>agosto</v>
      </c>
      <c r="I2905" t="str">
        <f>TEXT(MONTH(Tabela1[[#This Row],[Último pagto ano]])*29,"mmmm")</f>
        <v>agosto</v>
      </c>
    </row>
    <row r="2906" spans="1:9" x14ac:dyDescent="0.25">
      <c r="A2906">
        <v>2025</v>
      </c>
      <c r="B2906" t="s">
        <v>5783</v>
      </c>
      <c r="C2906" s="1">
        <v>45859</v>
      </c>
      <c r="D2906" t="s">
        <v>5784</v>
      </c>
      <c r="E2906">
        <v>88</v>
      </c>
      <c r="G2906" s="3">
        <f>MONTH(Tabela1[[#This Row],[Último pagto ano]])</f>
        <v>7</v>
      </c>
      <c r="H2906" t="str">
        <f>TEXT(Tabela1[[#This Row],[Coluna2]]*29,"mmmm")</f>
        <v>julho</v>
      </c>
      <c r="I2906" t="str">
        <f>TEXT(MONTH(Tabela1[[#This Row],[Último pagto ano]])*29,"mmmm")</f>
        <v>julho</v>
      </c>
    </row>
    <row r="2907" spans="1:9" x14ac:dyDescent="0.25">
      <c r="A2907">
        <v>2025</v>
      </c>
      <c r="B2907" t="s">
        <v>5785</v>
      </c>
      <c r="C2907" s="1">
        <v>46006</v>
      </c>
      <c r="D2907" t="s">
        <v>5786</v>
      </c>
      <c r="E2907" s="2">
        <v>5034.72</v>
      </c>
      <c r="G2907" s="3">
        <f>MONTH(Tabela1[[#This Row],[Último pagto ano]])</f>
        <v>12</v>
      </c>
      <c r="H2907" t="str">
        <f>TEXT(Tabela1[[#This Row],[Coluna2]]*29,"mmmm")</f>
        <v>dezembro</v>
      </c>
      <c r="I2907" t="str">
        <f>TEXT(MONTH(Tabela1[[#This Row],[Último pagto ano]])*29,"mmmm")</f>
        <v>dezembro</v>
      </c>
    </row>
    <row r="2908" spans="1:9" x14ac:dyDescent="0.25">
      <c r="A2908">
        <v>2025</v>
      </c>
      <c r="B2908" t="s">
        <v>5787</v>
      </c>
      <c r="C2908" s="1">
        <v>45996</v>
      </c>
      <c r="D2908" t="s">
        <v>5788</v>
      </c>
      <c r="E2908" s="2">
        <v>26500</v>
      </c>
      <c r="G2908" s="3">
        <f>MONTH(Tabela1[[#This Row],[Último pagto ano]])</f>
        <v>12</v>
      </c>
      <c r="H2908" t="str">
        <f>TEXT(Tabela1[[#This Row],[Coluna2]]*29,"mmmm")</f>
        <v>dezembro</v>
      </c>
      <c r="I2908" t="str">
        <f>TEXT(MONTH(Tabela1[[#This Row],[Último pagto ano]])*29,"mmmm")</f>
        <v>dezembro</v>
      </c>
    </row>
    <row r="2909" spans="1:9" x14ac:dyDescent="0.25">
      <c r="A2909">
        <v>2025</v>
      </c>
      <c r="B2909" t="s">
        <v>5789</v>
      </c>
      <c r="C2909" s="1">
        <v>46014</v>
      </c>
      <c r="D2909" t="s">
        <v>5790</v>
      </c>
      <c r="E2909">
        <v>110</v>
      </c>
      <c r="G2909" s="3">
        <f>MONTH(Tabela1[[#This Row],[Último pagto ano]])</f>
        <v>12</v>
      </c>
      <c r="H2909" t="str">
        <f>TEXT(Tabela1[[#This Row],[Coluna2]]*29,"mmmm")</f>
        <v>dezembro</v>
      </c>
      <c r="I2909" t="str">
        <f>TEXT(MONTH(Tabela1[[#This Row],[Último pagto ano]])*29,"mmmm")</f>
        <v>dezembro</v>
      </c>
    </row>
    <row r="2910" spans="1:9" x14ac:dyDescent="0.25">
      <c r="A2910">
        <v>2025</v>
      </c>
      <c r="B2910" t="s">
        <v>5791</v>
      </c>
      <c r="C2910" s="1">
        <v>46006</v>
      </c>
      <c r="D2910" t="s">
        <v>5792</v>
      </c>
      <c r="E2910" s="2">
        <v>17689.919999999998</v>
      </c>
      <c r="G2910" s="3">
        <f>MONTH(Tabela1[[#This Row],[Último pagto ano]])</f>
        <v>12</v>
      </c>
      <c r="H2910" t="str">
        <f>TEXT(Tabela1[[#This Row],[Coluna2]]*29,"mmmm")</f>
        <v>dezembro</v>
      </c>
      <c r="I2910" t="str">
        <f>TEXT(MONTH(Tabela1[[#This Row],[Último pagto ano]])*29,"mmmm")</f>
        <v>dezembro</v>
      </c>
    </row>
    <row r="2911" spans="1:9" x14ac:dyDescent="0.25">
      <c r="A2911">
        <v>2025</v>
      </c>
      <c r="B2911" t="s">
        <v>5793</v>
      </c>
      <c r="C2911" s="1">
        <v>46021</v>
      </c>
      <c r="D2911" t="s">
        <v>5794</v>
      </c>
      <c r="E2911" s="2">
        <v>10874.18</v>
      </c>
      <c r="G2911" s="3">
        <f>MONTH(Tabela1[[#This Row],[Último pagto ano]])</f>
        <v>12</v>
      </c>
      <c r="H2911" t="str">
        <f>TEXT(Tabela1[[#This Row],[Coluna2]]*29,"mmmm")</f>
        <v>dezembro</v>
      </c>
      <c r="I2911" t="str">
        <f>TEXT(MONTH(Tabela1[[#This Row],[Último pagto ano]])*29,"mmmm")</f>
        <v>dezembro</v>
      </c>
    </row>
    <row r="2912" spans="1:9" x14ac:dyDescent="0.25">
      <c r="A2912">
        <v>2025</v>
      </c>
      <c r="B2912" t="s">
        <v>5795</v>
      </c>
      <c r="C2912" s="1">
        <v>45880</v>
      </c>
      <c r="D2912" t="s">
        <v>5796</v>
      </c>
      <c r="E2912">
        <v>187</v>
      </c>
      <c r="G2912" s="3">
        <f>MONTH(Tabela1[[#This Row],[Último pagto ano]])</f>
        <v>8</v>
      </c>
      <c r="H2912" t="str">
        <f>TEXT(Tabela1[[#This Row],[Coluna2]]*29,"mmmm")</f>
        <v>agosto</v>
      </c>
      <c r="I2912" t="str">
        <f>TEXT(MONTH(Tabela1[[#This Row],[Último pagto ano]])*29,"mmmm")</f>
        <v>agosto</v>
      </c>
    </row>
    <row r="2913" spans="1:9" x14ac:dyDescent="0.25">
      <c r="A2913">
        <v>2025</v>
      </c>
      <c r="B2913" t="s">
        <v>5797</v>
      </c>
      <c r="C2913" s="1">
        <v>45672</v>
      </c>
      <c r="D2913" t="s">
        <v>5798</v>
      </c>
      <c r="E2913">
        <v>424.32</v>
      </c>
      <c r="G2913" s="3">
        <f>MONTH(Tabela1[[#This Row],[Último pagto ano]])</f>
        <v>1</v>
      </c>
      <c r="H2913" t="str">
        <f>TEXT(Tabela1[[#This Row],[Coluna2]]*29,"mmmm")</f>
        <v>janeiro</v>
      </c>
      <c r="I2913" t="str">
        <f>TEXT(MONTH(Tabela1[[#This Row],[Último pagto ano]])*29,"mmmm")</f>
        <v>janeiro</v>
      </c>
    </row>
    <row r="2914" spans="1:9" x14ac:dyDescent="0.25">
      <c r="A2914">
        <v>2025</v>
      </c>
      <c r="B2914" t="s">
        <v>5799</v>
      </c>
      <c r="C2914" s="1">
        <v>45968</v>
      </c>
      <c r="D2914" t="s">
        <v>5800</v>
      </c>
      <c r="E2914" s="2">
        <v>2400</v>
      </c>
      <c r="G2914" s="3">
        <f>MONTH(Tabela1[[#This Row],[Último pagto ano]])</f>
        <v>11</v>
      </c>
      <c r="H2914" t="str">
        <f>TEXT(Tabela1[[#This Row],[Coluna2]]*29,"mmmm")</f>
        <v>novembro</v>
      </c>
      <c r="I2914" t="str">
        <f>TEXT(MONTH(Tabela1[[#This Row],[Último pagto ano]])*29,"mmmm")</f>
        <v>novembro</v>
      </c>
    </row>
    <row r="2915" spans="1:9" x14ac:dyDescent="0.25">
      <c r="A2915">
        <v>2025</v>
      </c>
      <c r="B2915" t="s">
        <v>5801</v>
      </c>
      <c r="C2915" s="1">
        <v>45824</v>
      </c>
      <c r="D2915" t="s">
        <v>5802</v>
      </c>
      <c r="E2915">
        <v>296.16000000000003</v>
      </c>
      <c r="G2915" s="3">
        <f>MONTH(Tabela1[[#This Row],[Último pagto ano]])</f>
        <v>6</v>
      </c>
      <c r="H2915" t="str">
        <f>TEXT(Tabela1[[#This Row],[Coluna2]]*29,"mmmm")</f>
        <v>junho</v>
      </c>
      <c r="I2915" t="str">
        <f>TEXT(MONTH(Tabela1[[#This Row],[Último pagto ano]])*29,"mmmm")</f>
        <v>junho</v>
      </c>
    </row>
    <row r="2916" spans="1:9" x14ac:dyDescent="0.25">
      <c r="A2916">
        <v>2025</v>
      </c>
      <c r="B2916" t="s">
        <v>5803</v>
      </c>
      <c r="C2916" s="1">
        <v>46013</v>
      </c>
      <c r="D2916" t="s">
        <v>5804</v>
      </c>
      <c r="E2916" s="2">
        <v>15155.4</v>
      </c>
      <c r="G2916" s="3">
        <f>MONTH(Tabela1[[#This Row],[Último pagto ano]])</f>
        <v>12</v>
      </c>
      <c r="H2916" t="str">
        <f>TEXT(Tabela1[[#This Row],[Coluna2]]*29,"mmmm")</f>
        <v>dezembro</v>
      </c>
      <c r="I2916" t="str">
        <f>TEXT(MONTH(Tabela1[[#This Row],[Último pagto ano]])*29,"mmmm")</f>
        <v>dezembro</v>
      </c>
    </row>
    <row r="2917" spans="1:9" x14ac:dyDescent="0.25">
      <c r="A2917">
        <v>2025</v>
      </c>
      <c r="B2917" t="s">
        <v>5805</v>
      </c>
      <c r="C2917" s="1">
        <v>45876</v>
      </c>
      <c r="D2917" t="s">
        <v>5806</v>
      </c>
      <c r="E2917" s="2">
        <v>6000</v>
      </c>
      <c r="G2917" s="3">
        <f>MONTH(Tabela1[[#This Row],[Último pagto ano]])</f>
        <v>8</v>
      </c>
      <c r="H2917" t="str">
        <f>TEXT(Tabela1[[#This Row],[Coluna2]]*29,"mmmm")</f>
        <v>agosto</v>
      </c>
      <c r="I2917" t="str">
        <f>TEXT(MONTH(Tabela1[[#This Row],[Último pagto ano]])*29,"mmmm")</f>
        <v>agosto</v>
      </c>
    </row>
    <row r="2918" spans="1:9" x14ac:dyDescent="0.25">
      <c r="A2918">
        <v>2025</v>
      </c>
      <c r="B2918" t="s">
        <v>5807</v>
      </c>
      <c r="C2918" s="1">
        <v>46006</v>
      </c>
      <c r="D2918" t="s">
        <v>5808</v>
      </c>
      <c r="E2918">
        <v>875.2</v>
      </c>
      <c r="G2918" s="3">
        <f>MONTH(Tabela1[[#This Row],[Último pagto ano]])</f>
        <v>12</v>
      </c>
      <c r="H2918" t="str">
        <f>TEXT(Tabela1[[#This Row],[Coluna2]]*29,"mmmm")</f>
        <v>dezembro</v>
      </c>
      <c r="I2918" t="str">
        <f>TEXT(MONTH(Tabela1[[#This Row],[Último pagto ano]])*29,"mmmm")</f>
        <v>dezembro</v>
      </c>
    </row>
    <row r="2919" spans="1:9" x14ac:dyDescent="0.25">
      <c r="A2919">
        <v>2025</v>
      </c>
      <c r="B2919" t="s">
        <v>5809</v>
      </c>
      <c r="C2919" s="1">
        <v>45989</v>
      </c>
      <c r="D2919" t="s">
        <v>5810</v>
      </c>
      <c r="E2919">
        <v>292.70999999999998</v>
      </c>
      <c r="G2919" s="3">
        <f>MONTH(Tabela1[[#This Row],[Último pagto ano]])</f>
        <v>11</v>
      </c>
      <c r="H2919" t="str">
        <f>TEXT(Tabela1[[#This Row],[Coluna2]]*29,"mmmm")</f>
        <v>novembro</v>
      </c>
      <c r="I2919" t="str">
        <f>TEXT(MONTH(Tabela1[[#This Row],[Último pagto ano]])*29,"mmmm")</f>
        <v>novembro</v>
      </c>
    </row>
    <row r="2920" spans="1:9" x14ac:dyDescent="0.25">
      <c r="A2920">
        <v>2025</v>
      </c>
      <c r="B2920" t="s">
        <v>5811</v>
      </c>
      <c r="C2920" s="1">
        <v>46010</v>
      </c>
      <c r="D2920" t="s">
        <v>5812</v>
      </c>
      <c r="E2920" s="2">
        <v>8400</v>
      </c>
      <c r="G2920" s="3">
        <f>MONTH(Tabela1[[#This Row],[Último pagto ano]])</f>
        <v>12</v>
      </c>
      <c r="H2920" t="str">
        <f>TEXT(Tabela1[[#This Row],[Coluna2]]*29,"mmmm")</f>
        <v>dezembro</v>
      </c>
      <c r="I2920" t="str">
        <f>TEXT(MONTH(Tabela1[[#This Row],[Último pagto ano]])*29,"mmmm")</f>
        <v>dezembro</v>
      </c>
    </row>
    <row r="2921" spans="1:9" x14ac:dyDescent="0.25">
      <c r="A2921">
        <v>2025</v>
      </c>
      <c r="B2921" t="s">
        <v>5813</v>
      </c>
      <c r="C2921" s="1">
        <v>45915</v>
      </c>
      <c r="D2921" t="s">
        <v>5814</v>
      </c>
      <c r="E2921" s="2">
        <v>1965</v>
      </c>
      <c r="G2921" s="3">
        <f>MONTH(Tabela1[[#This Row],[Último pagto ano]])</f>
        <v>9</v>
      </c>
      <c r="H2921" t="str">
        <f>TEXT(Tabela1[[#This Row],[Coluna2]]*29,"mmmm")</f>
        <v>setembro</v>
      </c>
      <c r="I2921" t="str">
        <f>TEXT(MONTH(Tabela1[[#This Row],[Último pagto ano]])*29,"mmmm")</f>
        <v>setembro</v>
      </c>
    </row>
    <row r="2922" spans="1:9" x14ac:dyDescent="0.25">
      <c r="A2922">
        <v>2025</v>
      </c>
      <c r="B2922" t="s">
        <v>5815</v>
      </c>
      <c r="C2922" s="1">
        <v>45702</v>
      </c>
      <c r="D2922" t="s">
        <v>5816</v>
      </c>
      <c r="E2922">
        <v>85.31</v>
      </c>
      <c r="G2922" s="3">
        <f>MONTH(Tabela1[[#This Row],[Último pagto ano]])</f>
        <v>2</v>
      </c>
      <c r="H2922" t="str">
        <f>TEXT(Tabela1[[#This Row],[Coluna2]]*29,"mmmm")</f>
        <v>fevereiro</v>
      </c>
      <c r="I2922" t="str">
        <f>TEXT(MONTH(Tabela1[[#This Row],[Último pagto ano]])*29,"mmmm")</f>
        <v>fevereiro</v>
      </c>
    </row>
    <row r="2923" spans="1:9" x14ac:dyDescent="0.25">
      <c r="A2923">
        <v>2025</v>
      </c>
      <c r="B2923" t="s">
        <v>5817</v>
      </c>
      <c r="C2923" s="1">
        <v>45845</v>
      </c>
      <c r="D2923" t="s">
        <v>5818</v>
      </c>
      <c r="E2923" s="2">
        <v>37800</v>
      </c>
      <c r="G2923" s="3">
        <f>MONTH(Tabela1[[#This Row],[Último pagto ano]])</f>
        <v>7</v>
      </c>
      <c r="H2923" t="str">
        <f>TEXT(Tabela1[[#This Row],[Coluna2]]*29,"mmmm")</f>
        <v>julho</v>
      </c>
      <c r="I2923" t="str">
        <f>TEXT(MONTH(Tabela1[[#This Row],[Último pagto ano]])*29,"mmmm")</f>
        <v>julho</v>
      </c>
    </row>
    <row r="2924" spans="1:9" x14ac:dyDescent="0.25">
      <c r="A2924">
        <v>2025</v>
      </c>
      <c r="B2924" t="s">
        <v>5819</v>
      </c>
      <c r="C2924" s="1">
        <v>45852</v>
      </c>
      <c r="D2924" t="s">
        <v>5820</v>
      </c>
      <c r="E2924">
        <v>22</v>
      </c>
      <c r="G2924" s="3">
        <f>MONTH(Tabela1[[#This Row],[Último pagto ano]])</f>
        <v>7</v>
      </c>
      <c r="H2924" t="str">
        <f>TEXT(Tabela1[[#This Row],[Coluna2]]*29,"mmmm")</f>
        <v>julho</v>
      </c>
      <c r="I2924" t="str">
        <f>TEXT(MONTH(Tabela1[[#This Row],[Último pagto ano]])*29,"mmmm")</f>
        <v>julho</v>
      </c>
    </row>
    <row r="2925" spans="1:9" x14ac:dyDescent="0.25">
      <c r="A2925">
        <v>2025</v>
      </c>
      <c r="B2925" t="s">
        <v>5821</v>
      </c>
      <c r="C2925" s="1">
        <v>45989</v>
      </c>
      <c r="D2925" t="s">
        <v>5822</v>
      </c>
      <c r="E2925" s="2">
        <v>8018.68</v>
      </c>
      <c r="G2925" s="3">
        <f>MONTH(Tabela1[[#This Row],[Último pagto ano]])</f>
        <v>11</v>
      </c>
      <c r="H2925" t="str">
        <f>TEXT(Tabela1[[#This Row],[Coluna2]]*29,"mmmm")</f>
        <v>novembro</v>
      </c>
      <c r="I2925" t="str">
        <f>TEXT(MONTH(Tabela1[[#This Row],[Último pagto ano]])*29,"mmmm")</f>
        <v>novembro</v>
      </c>
    </row>
    <row r="2926" spans="1:9" x14ac:dyDescent="0.25">
      <c r="A2926">
        <v>2025</v>
      </c>
      <c r="B2926" t="s">
        <v>5823</v>
      </c>
      <c r="C2926" s="1">
        <v>46021</v>
      </c>
      <c r="D2926" t="s">
        <v>5824</v>
      </c>
      <c r="E2926" s="2">
        <v>7545.8</v>
      </c>
      <c r="G2926" s="3">
        <f>MONTH(Tabela1[[#This Row],[Último pagto ano]])</f>
        <v>12</v>
      </c>
      <c r="H2926" t="str">
        <f>TEXT(Tabela1[[#This Row],[Coluna2]]*29,"mmmm")</f>
        <v>dezembro</v>
      </c>
      <c r="I2926" t="str">
        <f>TEXT(MONTH(Tabela1[[#This Row],[Último pagto ano]])*29,"mmmm")</f>
        <v>dezembro</v>
      </c>
    </row>
    <row r="2927" spans="1:9" x14ac:dyDescent="0.25">
      <c r="A2927">
        <v>2025</v>
      </c>
      <c r="B2927" t="s">
        <v>5825</v>
      </c>
      <c r="C2927" s="1">
        <v>45996</v>
      </c>
      <c r="D2927" t="s">
        <v>5826</v>
      </c>
      <c r="E2927" s="2">
        <v>3900</v>
      </c>
      <c r="G2927" s="3">
        <f>MONTH(Tabela1[[#This Row],[Último pagto ano]])</f>
        <v>12</v>
      </c>
      <c r="H2927" t="str">
        <f>TEXT(Tabela1[[#This Row],[Coluna2]]*29,"mmmm")</f>
        <v>dezembro</v>
      </c>
      <c r="I2927" t="str">
        <f>TEXT(MONTH(Tabela1[[#This Row],[Último pagto ano]])*29,"mmmm")</f>
        <v>dezembro</v>
      </c>
    </row>
    <row r="2928" spans="1:9" x14ac:dyDescent="0.25">
      <c r="A2928">
        <v>2025</v>
      </c>
      <c r="B2928" t="s">
        <v>5827</v>
      </c>
      <c r="C2928" s="1">
        <v>46006</v>
      </c>
      <c r="D2928" t="s">
        <v>5828</v>
      </c>
      <c r="E2928" s="2">
        <v>3553.92</v>
      </c>
      <c r="G2928" s="3">
        <f>MONTH(Tabela1[[#This Row],[Último pagto ano]])</f>
        <v>12</v>
      </c>
      <c r="H2928" t="str">
        <f>TEXT(Tabela1[[#This Row],[Coluna2]]*29,"mmmm")</f>
        <v>dezembro</v>
      </c>
      <c r="I2928" t="str">
        <f>TEXT(MONTH(Tabela1[[#This Row],[Último pagto ano]])*29,"mmmm")</f>
        <v>dezembro</v>
      </c>
    </row>
    <row r="2929" spans="1:9" x14ac:dyDescent="0.25">
      <c r="A2929">
        <v>2025</v>
      </c>
      <c r="B2929" t="s">
        <v>5829</v>
      </c>
      <c r="C2929" s="1">
        <v>45996</v>
      </c>
      <c r="D2929" t="s">
        <v>5830</v>
      </c>
      <c r="E2929" s="2">
        <v>4815</v>
      </c>
      <c r="G2929" s="3">
        <f>MONTH(Tabela1[[#This Row],[Último pagto ano]])</f>
        <v>12</v>
      </c>
      <c r="H2929" t="str">
        <f>TEXT(Tabela1[[#This Row],[Coluna2]]*29,"mmmm")</f>
        <v>dezembro</v>
      </c>
      <c r="I2929" t="str">
        <f>TEXT(MONTH(Tabela1[[#This Row],[Último pagto ano]])*29,"mmmm")</f>
        <v>dezembro</v>
      </c>
    </row>
    <row r="2930" spans="1:9" x14ac:dyDescent="0.25">
      <c r="A2930">
        <v>2025</v>
      </c>
      <c r="B2930" t="s">
        <v>5831</v>
      </c>
      <c r="C2930" s="1">
        <v>45915</v>
      </c>
      <c r="D2930" t="s">
        <v>5832</v>
      </c>
      <c r="E2930">
        <v>296.16000000000003</v>
      </c>
      <c r="G2930" s="3">
        <f>MONTH(Tabela1[[#This Row],[Último pagto ano]])</f>
        <v>9</v>
      </c>
      <c r="H2930" t="str">
        <f>TEXT(Tabela1[[#This Row],[Coluna2]]*29,"mmmm")</f>
        <v>setembro</v>
      </c>
      <c r="I2930" t="str">
        <f>TEXT(MONTH(Tabela1[[#This Row],[Último pagto ano]])*29,"mmmm")</f>
        <v>setembro</v>
      </c>
    </row>
    <row r="2931" spans="1:9" x14ac:dyDescent="0.25">
      <c r="A2931">
        <v>2025</v>
      </c>
      <c r="B2931" t="s">
        <v>5833</v>
      </c>
      <c r="C2931" s="1">
        <v>46008</v>
      </c>
      <c r="D2931" t="s">
        <v>5834</v>
      </c>
      <c r="E2931" s="2">
        <v>16800</v>
      </c>
      <c r="G2931" s="3">
        <f>MONTH(Tabela1[[#This Row],[Último pagto ano]])</f>
        <v>12</v>
      </c>
      <c r="H2931" t="str">
        <f>TEXT(Tabela1[[#This Row],[Coluna2]]*29,"mmmm")</f>
        <v>dezembro</v>
      </c>
      <c r="I2931" t="str">
        <f>TEXT(MONTH(Tabela1[[#This Row],[Último pagto ano]])*29,"mmmm")</f>
        <v>dezembro</v>
      </c>
    </row>
    <row r="2932" spans="1:9" x14ac:dyDescent="0.25">
      <c r="A2932">
        <v>2025</v>
      </c>
      <c r="B2932" t="s">
        <v>5835</v>
      </c>
      <c r="C2932" s="1">
        <v>46014</v>
      </c>
      <c r="D2932" t="s">
        <v>5836</v>
      </c>
      <c r="E2932" s="2">
        <v>8515.2999999999993</v>
      </c>
      <c r="G2932" s="3">
        <f>MONTH(Tabela1[[#This Row],[Último pagto ano]])</f>
        <v>12</v>
      </c>
      <c r="H2932" t="str">
        <f>TEXT(Tabela1[[#This Row],[Coluna2]]*29,"mmmm")</f>
        <v>dezembro</v>
      </c>
      <c r="I2932" t="str">
        <f>TEXT(MONTH(Tabela1[[#This Row],[Último pagto ano]])*29,"mmmm")</f>
        <v>dezembro</v>
      </c>
    </row>
    <row r="2933" spans="1:9" x14ac:dyDescent="0.25">
      <c r="A2933">
        <v>2025</v>
      </c>
      <c r="B2933" t="s">
        <v>5837</v>
      </c>
      <c r="C2933" s="1">
        <v>45964</v>
      </c>
      <c r="D2933" t="s">
        <v>5838</v>
      </c>
      <c r="E2933" s="2">
        <v>1136.8</v>
      </c>
      <c r="G2933" s="3">
        <f>MONTH(Tabela1[[#This Row],[Último pagto ano]])</f>
        <v>11</v>
      </c>
      <c r="H2933" t="str">
        <f>TEXT(Tabela1[[#This Row],[Coluna2]]*29,"mmmm")</f>
        <v>novembro</v>
      </c>
      <c r="I2933" t="str">
        <f>TEXT(MONTH(Tabela1[[#This Row],[Último pagto ano]])*29,"mmmm")</f>
        <v>novembro</v>
      </c>
    </row>
    <row r="2934" spans="1:9" x14ac:dyDescent="0.25">
      <c r="A2934">
        <v>2025</v>
      </c>
      <c r="B2934" t="s">
        <v>5839</v>
      </c>
      <c r="C2934" s="1">
        <v>46014</v>
      </c>
      <c r="D2934" t="s">
        <v>5840</v>
      </c>
      <c r="E2934">
        <v>920</v>
      </c>
      <c r="G2934" s="3">
        <f>MONTH(Tabela1[[#This Row],[Último pagto ano]])</f>
        <v>12</v>
      </c>
      <c r="H2934" t="str">
        <f>TEXT(Tabela1[[#This Row],[Coluna2]]*29,"mmmm")</f>
        <v>dezembro</v>
      </c>
      <c r="I2934" t="str">
        <f>TEXT(MONTH(Tabela1[[#This Row],[Último pagto ano]])*29,"mmmm")</f>
        <v>dezembro</v>
      </c>
    </row>
    <row r="2935" spans="1:9" x14ac:dyDescent="0.25">
      <c r="A2935">
        <v>2025</v>
      </c>
      <c r="B2935" t="s">
        <v>5841</v>
      </c>
      <c r="C2935" s="1">
        <v>45824</v>
      </c>
      <c r="D2935" t="s">
        <v>5842</v>
      </c>
      <c r="E2935">
        <v>44</v>
      </c>
      <c r="G2935" s="3">
        <f>MONTH(Tabela1[[#This Row],[Último pagto ano]])</f>
        <v>6</v>
      </c>
      <c r="H2935" t="str">
        <f>TEXT(Tabela1[[#This Row],[Coluna2]]*29,"mmmm")</f>
        <v>junho</v>
      </c>
      <c r="I2935" t="str">
        <f>TEXT(MONTH(Tabela1[[#This Row],[Último pagto ano]])*29,"mmmm")</f>
        <v>junho</v>
      </c>
    </row>
    <row r="2936" spans="1:9" x14ac:dyDescent="0.25">
      <c r="A2936">
        <v>2025</v>
      </c>
      <c r="B2936" t="s">
        <v>5843</v>
      </c>
      <c r="C2936" s="1">
        <v>45835</v>
      </c>
      <c r="D2936" t="s">
        <v>5844</v>
      </c>
      <c r="E2936">
        <v>33</v>
      </c>
      <c r="G2936" s="3">
        <f>MONTH(Tabela1[[#This Row],[Último pagto ano]])</f>
        <v>6</v>
      </c>
      <c r="H2936" t="str">
        <f>TEXT(Tabela1[[#This Row],[Coluna2]]*29,"mmmm")</f>
        <v>junho</v>
      </c>
      <c r="I2936" t="str">
        <f>TEXT(MONTH(Tabela1[[#This Row],[Último pagto ano]])*29,"mmmm")</f>
        <v>junho</v>
      </c>
    </row>
    <row r="2937" spans="1:9" x14ac:dyDescent="0.25">
      <c r="A2937">
        <v>2025</v>
      </c>
      <c r="B2937" t="s">
        <v>5845</v>
      </c>
      <c r="C2937" s="1">
        <v>45712</v>
      </c>
      <c r="D2937" t="s">
        <v>5846</v>
      </c>
      <c r="E2937" s="2">
        <v>1400</v>
      </c>
      <c r="G2937" s="3">
        <f>MONTH(Tabela1[[#This Row],[Último pagto ano]])</f>
        <v>2</v>
      </c>
      <c r="H2937" t="str">
        <f>TEXT(Tabela1[[#This Row],[Coluna2]]*29,"mmmm")</f>
        <v>fevereiro</v>
      </c>
      <c r="I2937" t="str">
        <f>TEXT(MONTH(Tabela1[[#This Row],[Último pagto ano]])*29,"mmmm")</f>
        <v>fevereiro</v>
      </c>
    </row>
    <row r="2938" spans="1:9" x14ac:dyDescent="0.25">
      <c r="A2938">
        <v>2025</v>
      </c>
      <c r="B2938" t="s">
        <v>5847</v>
      </c>
      <c r="C2938" s="1">
        <v>45989</v>
      </c>
      <c r="D2938" t="s">
        <v>5848</v>
      </c>
      <c r="E2938" s="2">
        <v>11210.86</v>
      </c>
      <c r="G2938" s="3">
        <f>MONTH(Tabela1[[#This Row],[Último pagto ano]])</f>
        <v>11</v>
      </c>
      <c r="H2938" t="str">
        <f>TEXT(Tabela1[[#This Row],[Coluna2]]*29,"mmmm")</f>
        <v>novembro</v>
      </c>
      <c r="I2938" t="str">
        <f>TEXT(MONTH(Tabela1[[#This Row],[Último pagto ano]])*29,"mmmm")</f>
        <v>novembro</v>
      </c>
    </row>
    <row r="2939" spans="1:9" x14ac:dyDescent="0.25">
      <c r="A2939">
        <v>2025</v>
      </c>
      <c r="B2939" t="s">
        <v>5849</v>
      </c>
      <c r="C2939" s="1">
        <v>45702</v>
      </c>
      <c r="D2939" t="s">
        <v>5850</v>
      </c>
      <c r="E2939">
        <v>62.38</v>
      </c>
      <c r="G2939" s="3">
        <f>MONTH(Tabela1[[#This Row],[Último pagto ano]])</f>
        <v>2</v>
      </c>
      <c r="H2939" t="str">
        <f>TEXT(Tabela1[[#This Row],[Coluna2]]*29,"mmmm")</f>
        <v>fevereiro</v>
      </c>
      <c r="I2939" t="str">
        <f>TEXT(MONTH(Tabela1[[#This Row],[Último pagto ano]])*29,"mmmm")</f>
        <v>fevereiro</v>
      </c>
    </row>
    <row r="2940" spans="1:9" x14ac:dyDescent="0.25">
      <c r="A2940">
        <v>2025</v>
      </c>
      <c r="B2940" t="s">
        <v>5851</v>
      </c>
      <c r="C2940" s="1">
        <v>45702</v>
      </c>
      <c r="D2940" t="s">
        <v>5852</v>
      </c>
      <c r="E2940">
        <v>816.14</v>
      </c>
      <c r="G2940" s="3">
        <f>MONTH(Tabela1[[#This Row],[Último pagto ano]])</f>
        <v>2</v>
      </c>
      <c r="H2940" t="str">
        <f>TEXT(Tabela1[[#This Row],[Coluna2]]*29,"mmmm")</f>
        <v>fevereiro</v>
      </c>
      <c r="I2940" t="str">
        <f>TEXT(MONTH(Tabela1[[#This Row],[Último pagto ano]])*29,"mmmm")</f>
        <v>fevereiro</v>
      </c>
    </row>
    <row r="2941" spans="1:9" x14ac:dyDescent="0.25">
      <c r="A2941">
        <v>2025</v>
      </c>
      <c r="B2941" t="s">
        <v>5853</v>
      </c>
      <c r="C2941" s="1">
        <v>45873</v>
      </c>
      <c r="D2941" t="s">
        <v>5854</v>
      </c>
      <c r="E2941">
        <v>66</v>
      </c>
      <c r="G2941" s="3">
        <f>MONTH(Tabela1[[#This Row],[Último pagto ano]])</f>
        <v>8</v>
      </c>
      <c r="H2941" t="str">
        <f>TEXT(Tabela1[[#This Row],[Coluna2]]*29,"mmmm")</f>
        <v>agosto</v>
      </c>
      <c r="I2941" t="str">
        <f>TEXT(MONTH(Tabela1[[#This Row],[Último pagto ano]])*29,"mmmm")</f>
        <v>agosto</v>
      </c>
    </row>
    <row r="2942" spans="1:9" x14ac:dyDescent="0.25">
      <c r="A2942">
        <v>2025</v>
      </c>
      <c r="B2942" t="s">
        <v>5855</v>
      </c>
      <c r="C2942" s="1">
        <v>45989</v>
      </c>
      <c r="D2942" t="s">
        <v>5856</v>
      </c>
      <c r="E2942" s="2">
        <v>10151.84</v>
      </c>
      <c r="G2942" s="3">
        <f>MONTH(Tabela1[[#This Row],[Último pagto ano]])</f>
        <v>11</v>
      </c>
      <c r="H2942" t="str">
        <f>TEXT(Tabela1[[#This Row],[Coluna2]]*29,"mmmm")</f>
        <v>novembro</v>
      </c>
      <c r="I2942" t="str">
        <f>TEXT(MONTH(Tabela1[[#This Row],[Último pagto ano]])*29,"mmmm")</f>
        <v>novembro</v>
      </c>
    </row>
    <row r="2943" spans="1:9" x14ac:dyDescent="0.25">
      <c r="A2943">
        <v>2025</v>
      </c>
      <c r="B2943" t="s">
        <v>5857</v>
      </c>
      <c r="C2943" s="1">
        <v>45709</v>
      </c>
      <c r="D2943" t="s">
        <v>5858</v>
      </c>
      <c r="E2943">
        <v>117.28</v>
      </c>
      <c r="G2943" s="3">
        <f>MONTH(Tabela1[[#This Row],[Último pagto ano]])</f>
        <v>2</v>
      </c>
      <c r="H2943" t="str">
        <f>TEXT(Tabela1[[#This Row],[Coluna2]]*29,"mmmm")</f>
        <v>fevereiro</v>
      </c>
      <c r="I2943" t="str">
        <f>TEXT(MONTH(Tabela1[[#This Row],[Último pagto ano]])*29,"mmmm")</f>
        <v>fevereiro</v>
      </c>
    </row>
    <row r="2944" spans="1:9" x14ac:dyDescent="0.25">
      <c r="A2944">
        <v>2025</v>
      </c>
      <c r="B2944" t="s">
        <v>5859</v>
      </c>
      <c r="C2944" s="1">
        <v>46010</v>
      </c>
      <c r="D2944" t="s">
        <v>5860</v>
      </c>
      <c r="E2944" s="2">
        <v>24000</v>
      </c>
      <c r="G2944" s="3">
        <f>MONTH(Tabela1[[#This Row],[Último pagto ano]])</f>
        <v>12</v>
      </c>
      <c r="H2944" t="str">
        <f>TEXT(Tabela1[[#This Row],[Coluna2]]*29,"mmmm")</f>
        <v>dezembro</v>
      </c>
      <c r="I2944" t="str">
        <f>TEXT(MONTH(Tabela1[[#This Row],[Último pagto ano]])*29,"mmmm")</f>
        <v>dezembro</v>
      </c>
    </row>
    <row r="2945" spans="1:9" x14ac:dyDescent="0.25">
      <c r="A2945">
        <v>2025</v>
      </c>
      <c r="B2945" t="s">
        <v>5861</v>
      </c>
      <c r="C2945" s="1">
        <v>45771</v>
      </c>
      <c r="D2945" t="s">
        <v>5862</v>
      </c>
      <c r="E2945" s="2">
        <v>2800</v>
      </c>
      <c r="G2945" s="3">
        <f>MONTH(Tabela1[[#This Row],[Último pagto ano]])</f>
        <v>4</v>
      </c>
      <c r="H2945" t="str">
        <f>TEXT(Tabela1[[#This Row],[Coluna2]]*29,"mmmm")</f>
        <v>abril</v>
      </c>
      <c r="I2945" t="str">
        <f>TEXT(MONTH(Tabela1[[#This Row],[Último pagto ano]])*29,"mmmm")</f>
        <v>abril</v>
      </c>
    </row>
    <row r="2946" spans="1:9" x14ac:dyDescent="0.25">
      <c r="A2946">
        <v>2025</v>
      </c>
      <c r="B2946" t="s">
        <v>5863</v>
      </c>
      <c r="C2946" s="1">
        <v>45996</v>
      </c>
      <c r="D2946" t="s">
        <v>5864</v>
      </c>
      <c r="E2946" s="2">
        <v>1200</v>
      </c>
      <c r="G2946" s="3">
        <f>MONTH(Tabela1[[#This Row],[Último pagto ano]])</f>
        <v>12</v>
      </c>
      <c r="H2946" t="str">
        <f>TEXT(Tabela1[[#This Row],[Coluna2]]*29,"mmmm")</f>
        <v>dezembro</v>
      </c>
      <c r="I2946" t="str">
        <f>TEXT(MONTH(Tabela1[[#This Row],[Último pagto ano]])*29,"mmmm")</f>
        <v>dezembro</v>
      </c>
    </row>
    <row r="2947" spans="1:9" x14ac:dyDescent="0.25">
      <c r="A2947">
        <v>2025</v>
      </c>
      <c r="B2947" t="s">
        <v>5865</v>
      </c>
      <c r="C2947" s="1">
        <v>46013</v>
      </c>
      <c r="D2947" t="s">
        <v>5866</v>
      </c>
      <c r="E2947" s="2">
        <v>2120.5</v>
      </c>
      <c r="G2947" s="3">
        <f>MONTH(Tabela1[[#This Row],[Último pagto ano]])</f>
        <v>12</v>
      </c>
      <c r="H2947" t="str">
        <f>TEXT(Tabela1[[#This Row],[Coluna2]]*29,"mmmm")</f>
        <v>dezembro</v>
      </c>
      <c r="I2947" t="str">
        <f>TEXT(MONTH(Tabela1[[#This Row],[Último pagto ano]])*29,"mmmm")</f>
        <v>dezembro</v>
      </c>
    </row>
    <row r="2948" spans="1:9" x14ac:dyDescent="0.25">
      <c r="A2948">
        <v>2025</v>
      </c>
      <c r="B2948" t="s">
        <v>5867</v>
      </c>
      <c r="C2948" s="1">
        <v>45712</v>
      </c>
      <c r="D2948" t="s">
        <v>5868</v>
      </c>
      <c r="E2948" s="2">
        <v>1400</v>
      </c>
      <c r="G2948" s="3">
        <f>MONTH(Tabela1[[#This Row],[Último pagto ano]])</f>
        <v>2</v>
      </c>
      <c r="H2948" t="str">
        <f>TEXT(Tabela1[[#This Row],[Coluna2]]*29,"mmmm")</f>
        <v>fevereiro</v>
      </c>
      <c r="I2948" t="str">
        <f>TEXT(MONTH(Tabela1[[#This Row],[Último pagto ano]])*29,"mmmm")</f>
        <v>fevereiro</v>
      </c>
    </row>
    <row r="2949" spans="1:9" x14ac:dyDescent="0.25">
      <c r="A2949">
        <v>2025</v>
      </c>
      <c r="B2949" t="s">
        <v>5869</v>
      </c>
      <c r="C2949" s="1">
        <v>45880</v>
      </c>
      <c r="D2949" t="s">
        <v>5870</v>
      </c>
      <c r="E2949">
        <v>15.92</v>
      </c>
      <c r="G2949" s="3">
        <f>MONTH(Tabela1[[#This Row],[Último pagto ano]])</f>
        <v>8</v>
      </c>
      <c r="H2949" t="str">
        <f>TEXT(Tabela1[[#This Row],[Coluna2]]*29,"mmmm")</f>
        <v>agosto</v>
      </c>
      <c r="I2949" t="str">
        <f>TEXT(MONTH(Tabela1[[#This Row],[Último pagto ano]])*29,"mmmm")</f>
        <v>agosto</v>
      </c>
    </row>
    <row r="2950" spans="1:9" x14ac:dyDescent="0.25">
      <c r="A2950">
        <v>2025</v>
      </c>
      <c r="B2950" t="s">
        <v>5871</v>
      </c>
      <c r="C2950" s="1">
        <v>45817</v>
      </c>
      <c r="D2950" t="s">
        <v>5872</v>
      </c>
      <c r="E2950">
        <v>22</v>
      </c>
      <c r="G2950" s="3">
        <f>MONTH(Tabela1[[#This Row],[Último pagto ano]])</f>
        <v>6</v>
      </c>
      <c r="H2950" t="str">
        <f>TEXT(Tabela1[[#This Row],[Coluna2]]*29,"mmmm")</f>
        <v>junho</v>
      </c>
      <c r="I2950" t="str">
        <f>TEXT(MONTH(Tabela1[[#This Row],[Último pagto ano]])*29,"mmmm")</f>
        <v>junho</v>
      </c>
    </row>
    <row r="2951" spans="1:9" x14ac:dyDescent="0.25">
      <c r="A2951">
        <v>2025</v>
      </c>
      <c r="B2951" t="s">
        <v>5873</v>
      </c>
      <c r="C2951" s="1">
        <v>45938</v>
      </c>
      <c r="D2951" t="s">
        <v>5874</v>
      </c>
      <c r="E2951" s="2">
        <v>9793.7999999999993</v>
      </c>
      <c r="G2951" s="3">
        <f>MONTH(Tabela1[[#This Row],[Último pagto ano]])</f>
        <v>10</v>
      </c>
      <c r="H2951" t="str">
        <f>TEXT(Tabela1[[#This Row],[Coluna2]]*29,"mmmm")</f>
        <v>outubro</v>
      </c>
      <c r="I2951" t="str">
        <f>TEXT(MONTH(Tabela1[[#This Row],[Último pagto ano]])*29,"mmmm")</f>
        <v>outubro</v>
      </c>
    </row>
    <row r="2952" spans="1:9" x14ac:dyDescent="0.25">
      <c r="A2952">
        <v>2025</v>
      </c>
      <c r="B2952" t="s">
        <v>5875</v>
      </c>
      <c r="C2952" s="1">
        <v>45996</v>
      </c>
      <c r="D2952" t="s">
        <v>5876</v>
      </c>
      <c r="E2952" s="2">
        <v>24570</v>
      </c>
      <c r="G2952" s="3">
        <f>MONTH(Tabela1[[#This Row],[Último pagto ano]])</f>
        <v>12</v>
      </c>
      <c r="H2952" t="str">
        <f>TEXT(Tabela1[[#This Row],[Coluna2]]*29,"mmmm")</f>
        <v>dezembro</v>
      </c>
      <c r="I2952" t="str">
        <f>TEXT(MONTH(Tabela1[[#This Row],[Último pagto ano]])*29,"mmmm")</f>
        <v>dezembro</v>
      </c>
    </row>
    <row r="2953" spans="1:9" x14ac:dyDescent="0.25">
      <c r="A2953">
        <v>2025</v>
      </c>
      <c r="B2953" t="s">
        <v>5877</v>
      </c>
      <c r="C2953" s="1">
        <v>45681</v>
      </c>
      <c r="D2953" t="s">
        <v>5878</v>
      </c>
      <c r="E2953">
        <v>700</v>
      </c>
      <c r="G2953" s="3">
        <f>MONTH(Tabela1[[#This Row],[Último pagto ano]])</f>
        <v>1</v>
      </c>
      <c r="H2953" t="str">
        <f>TEXT(Tabela1[[#This Row],[Coluna2]]*29,"mmmm")</f>
        <v>janeiro</v>
      </c>
      <c r="I2953" t="str">
        <f>TEXT(MONTH(Tabela1[[#This Row],[Último pagto ano]])*29,"mmmm")</f>
        <v>janeiro</v>
      </c>
    </row>
    <row r="2954" spans="1:9" x14ac:dyDescent="0.25">
      <c r="A2954">
        <v>2025</v>
      </c>
      <c r="B2954" t="s">
        <v>5879</v>
      </c>
      <c r="C2954" s="1">
        <v>45989</v>
      </c>
      <c r="D2954" t="s">
        <v>5880</v>
      </c>
      <c r="E2954" s="2">
        <v>11698.76</v>
      </c>
      <c r="G2954" s="3">
        <f>MONTH(Tabela1[[#This Row],[Último pagto ano]])</f>
        <v>11</v>
      </c>
      <c r="H2954" t="str">
        <f>TEXT(Tabela1[[#This Row],[Coluna2]]*29,"mmmm")</f>
        <v>novembro</v>
      </c>
      <c r="I2954" t="str">
        <f>TEXT(MONTH(Tabela1[[#This Row],[Último pagto ano]])*29,"mmmm")</f>
        <v>novembro</v>
      </c>
    </row>
    <row r="2955" spans="1:9" x14ac:dyDescent="0.25">
      <c r="A2955">
        <v>2025</v>
      </c>
      <c r="B2955" t="s">
        <v>5881</v>
      </c>
      <c r="C2955" s="1">
        <v>45813</v>
      </c>
      <c r="D2955" t="s">
        <v>5882</v>
      </c>
      <c r="E2955" s="2">
        <v>3776.54</v>
      </c>
      <c r="G2955" s="3">
        <f>MONTH(Tabela1[[#This Row],[Último pagto ano]])</f>
        <v>6</v>
      </c>
      <c r="H2955" t="str">
        <f>TEXT(Tabela1[[#This Row],[Coluna2]]*29,"mmmm")</f>
        <v>junho</v>
      </c>
      <c r="I2955" t="str">
        <f>TEXT(MONTH(Tabela1[[#This Row],[Último pagto ano]])*29,"mmmm")</f>
        <v>junho</v>
      </c>
    </row>
    <row r="2956" spans="1:9" x14ac:dyDescent="0.25">
      <c r="A2956">
        <v>2025</v>
      </c>
      <c r="B2956" t="s">
        <v>5883</v>
      </c>
      <c r="C2956" s="1">
        <v>45950</v>
      </c>
      <c r="D2956" t="s">
        <v>5884</v>
      </c>
      <c r="E2956">
        <v>132</v>
      </c>
      <c r="G2956" s="3">
        <f>MONTH(Tabela1[[#This Row],[Último pagto ano]])</f>
        <v>10</v>
      </c>
      <c r="H2956" t="str">
        <f>TEXT(Tabela1[[#This Row],[Coluna2]]*29,"mmmm")</f>
        <v>outubro</v>
      </c>
      <c r="I2956" t="str">
        <f>TEXT(MONTH(Tabela1[[#This Row],[Último pagto ano]])*29,"mmmm")</f>
        <v>outubro</v>
      </c>
    </row>
    <row r="2957" spans="1:9" x14ac:dyDescent="0.25">
      <c r="A2957">
        <v>2025</v>
      </c>
      <c r="B2957" t="s">
        <v>5885</v>
      </c>
      <c r="C2957" s="1">
        <v>46021</v>
      </c>
      <c r="D2957" t="s">
        <v>5886</v>
      </c>
      <c r="E2957" s="2">
        <v>10911.37</v>
      </c>
      <c r="G2957" s="3">
        <f>MONTH(Tabela1[[#This Row],[Último pagto ano]])</f>
        <v>12</v>
      </c>
      <c r="H2957" t="str">
        <f>TEXT(Tabela1[[#This Row],[Coluna2]]*29,"mmmm")</f>
        <v>dezembro</v>
      </c>
      <c r="I2957" t="str">
        <f>TEXT(MONTH(Tabela1[[#This Row],[Último pagto ano]])*29,"mmmm")</f>
        <v>dezembro</v>
      </c>
    </row>
    <row r="2958" spans="1:9" x14ac:dyDescent="0.25">
      <c r="A2958">
        <v>2025</v>
      </c>
      <c r="B2958" t="s">
        <v>5887</v>
      </c>
      <c r="C2958" s="1">
        <v>45959</v>
      </c>
      <c r="D2958" t="s">
        <v>5888</v>
      </c>
      <c r="E2958" s="2">
        <v>6040.8</v>
      </c>
      <c r="G2958" s="3">
        <f>MONTH(Tabela1[[#This Row],[Último pagto ano]])</f>
        <v>10</v>
      </c>
      <c r="H2958" t="str">
        <f>TEXT(Tabela1[[#This Row],[Coluna2]]*29,"mmmm")</f>
        <v>outubro</v>
      </c>
      <c r="I2958" t="str">
        <f>TEXT(MONTH(Tabela1[[#This Row],[Último pagto ano]])*29,"mmmm")</f>
        <v>outubro</v>
      </c>
    </row>
    <row r="2959" spans="1:9" x14ac:dyDescent="0.25">
      <c r="A2959">
        <v>2025</v>
      </c>
      <c r="B2959" t="s">
        <v>5889</v>
      </c>
      <c r="C2959" s="1">
        <v>45716</v>
      </c>
      <c r="D2959" t="s">
        <v>5890</v>
      </c>
      <c r="E2959">
        <v>917.37</v>
      </c>
      <c r="G2959" s="3">
        <f>MONTH(Tabela1[[#This Row],[Último pagto ano]])</f>
        <v>2</v>
      </c>
      <c r="H2959" t="str">
        <f>TEXT(Tabela1[[#This Row],[Coluna2]]*29,"mmmm")</f>
        <v>fevereiro</v>
      </c>
      <c r="I2959" t="str">
        <f>TEXT(MONTH(Tabela1[[#This Row],[Último pagto ano]])*29,"mmmm")</f>
        <v>fevereiro</v>
      </c>
    </row>
    <row r="2960" spans="1:9" x14ac:dyDescent="0.25">
      <c r="A2960">
        <v>2025</v>
      </c>
      <c r="B2960" t="s">
        <v>5891</v>
      </c>
      <c r="C2960" s="1">
        <v>45989</v>
      </c>
      <c r="D2960" t="s">
        <v>5892</v>
      </c>
      <c r="E2960" s="2">
        <v>11764.92</v>
      </c>
      <c r="G2960" s="3">
        <f>MONTH(Tabela1[[#This Row],[Último pagto ano]])</f>
        <v>11</v>
      </c>
      <c r="H2960" t="str">
        <f>TEXT(Tabela1[[#This Row],[Coluna2]]*29,"mmmm")</f>
        <v>novembro</v>
      </c>
      <c r="I2960" t="str">
        <f>TEXT(MONTH(Tabela1[[#This Row],[Último pagto ano]])*29,"mmmm")</f>
        <v>novembro</v>
      </c>
    </row>
    <row r="2961" spans="1:9" x14ac:dyDescent="0.25">
      <c r="A2961">
        <v>2025</v>
      </c>
      <c r="B2961" t="s">
        <v>5893</v>
      </c>
      <c r="C2961" s="1">
        <v>46006</v>
      </c>
      <c r="D2961" t="s">
        <v>5894</v>
      </c>
      <c r="E2961" s="2">
        <v>5304.32</v>
      </c>
      <c r="G2961" s="3">
        <f>MONTH(Tabela1[[#This Row],[Último pagto ano]])</f>
        <v>12</v>
      </c>
      <c r="H2961" t="str">
        <f>TEXT(Tabela1[[#This Row],[Coluna2]]*29,"mmmm")</f>
        <v>dezembro</v>
      </c>
      <c r="I2961" t="str">
        <f>TEXT(MONTH(Tabela1[[#This Row],[Último pagto ano]])*29,"mmmm")</f>
        <v>dezembro</v>
      </c>
    </row>
    <row r="2962" spans="1:9" x14ac:dyDescent="0.25">
      <c r="A2962">
        <v>2025</v>
      </c>
      <c r="B2962" t="s">
        <v>5895</v>
      </c>
      <c r="C2962" s="1">
        <v>45996</v>
      </c>
      <c r="D2962" t="s">
        <v>5896</v>
      </c>
      <c r="E2962" s="2">
        <v>8500</v>
      </c>
      <c r="G2962" s="3">
        <f>MONTH(Tabela1[[#This Row],[Último pagto ano]])</f>
        <v>12</v>
      </c>
      <c r="H2962" t="str">
        <f>TEXT(Tabela1[[#This Row],[Coluna2]]*29,"mmmm")</f>
        <v>dezembro</v>
      </c>
      <c r="I2962" t="str">
        <f>TEXT(MONTH(Tabela1[[#This Row],[Último pagto ano]])*29,"mmmm")</f>
        <v>dezembro</v>
      </c>
    </row>
    <row r="2963" spans="1:9" x14ac:dyDescent="0.25">
      <c r="A2963">
        <v>2025</v>
      </c>
      <c r="B2963" t="s">
        <v>5897</v>
      </c>
      <c r="C2963" s="1">
        <v>45988</v>
      </c>
      <c r="D2963" t="s">
        <v>5898</v>
      </c>
      <c r="E2963">
        <v>263.82</v>
      </c>
      <c r="G2963" s="3">
        <f>MONTH(Tabela1[[#This Row],[Último pagto ano]])</f>
        <v>11</v>
      </c>
      <c r="H2963" t="str">
        <f>TEXT(Tabela1[[#This Row],[Coluna2]]*29,"mmmm")</f>
        <v>novembro</v>
      </c>
      <c r="I2963" t="str">
        <f>TEXT(MONTH(Tabela1[[#This Row],[Último pagto ano]])*29,"mmmm")</f>
        <v>novembro</v>
      </c>
    </row>
    <row r="2964" spans="1:9" x14ac:dyDescent="0.25">
      <c r="A2964">
        <v>2025</v>
      </c>
      <c r="B2964" t="s">
        <v>5899</v>
      </c>
      <c r="C2964" s="1">
        <v>45862</v>
      </c>
      <c r="D2964" t="s">
        <v>5900</v>
      </c>
      <c r="E2964" s="2">
        <v>1581.36</v>
      </c>
      <c r="G2964" s="3">
        <f>MONTH(Tabela1[[#This Row],[Último pagto ano]])</f>
        <v>7</v>
      </c>
      <c r="H2964" t="str">
        <f>TEXT(Tabela1[[#This Row],[Coluna2]]*29,"mmmm")</f>
        <v>julho</v>
      </c>
      <c r="I2964" t="str">
        <f>TEXT(MONTH(Tabela1[[#This Row],[Último pagto ano]])*29,"mmmm")</f>
        <v>julho</v>
      </c>
    </row>
    <row r="2965" spans="1:9" x14ac:dyDescent="0.25">
      <c r="A2965">
        <v>2025</v>
      </c>
      <c r="B2965" t="s">
        <v>5901</v>
      </c>
      <c r="C2965" s="1">
        <v>46010</v>
      </c>
      <c r="D2965" t="s">
        <v>5902</v>
      </c>
      <c r="E2965" s="2">
        <v>2800</v>
      </c>
      <c r="G2965" s="3">
        <f>MONTH(Tabela1[[#This Row],[Último pagto ano]])</f>
        <v>12</v>
      </c>
      <c r="H2965" t="str">
        <f>TEXT(Tabela1[[#This Row],[Coluna2]]*29,"mmmm")</f>
        <v>dezembro</v>
      </c>
      <c r="I2965" t="str">
        <f>TEXT(MONTH(Tabela1[[#This Row],[Último pagto ano]])*29,"mmmm")</f>
        <v>dezembro</v>
      </c>
    </row>
    <row r="2966" spans="1:9" x14ac:dyDescent="0.25">
      <c r="A2966">
        <v>2025</v>
      </c>
      <c r="B2966" t="s">
        <v>5903</v>
      </c>
      <c r="C2966" s="1">
        <v>46006</v>
      </c>
      <c r="D2966" t="s">
        <v>5904</v>
      </c>
      <c r="E2966" s="2">
        <v>2961.6</v>
      </c>
      <c r="G2966" s="3">
        <f>MONTH(Tabela1[[#This Row],[Último pagto ano]])</f>
        <v>12</v>
      </c>
      <c r="H2966" t="str">
        <f>TEXT(Tabela1[[#This Row],[Coluna2]]*29,"mmmm")</f>
        <v>dezembro</v>
      </c>
      <c r="I2966" t="str">
        <f>TEXT(MONTH(Tabela1[[#This Row],[Último pagto ano]])*29,"mmmm")</f>
        <v>dezembro</v>
      </c>
    </row>
    <row r="2967" spans="1:9" x14ac:dyDescent="0.25">
      <c r="A2967">
        <v>2025</v>
      </c>
      <c r="B2967" t="s">
        <v>5905</v>
      </c>
      <c r="C2967" s="1">
        <v>45975</v>
      </c>
      <c r="D2967" t="s">
        <v>5906</v>
      </c>
      <c r="E2967" s="2">
        <v>1776.96</v>
      </c>
      <c r="G2967" s="3">
        <f>MONTH(Tabela1[[#This Row],[Último pagto ano]])</f>
        <v>11</v>
      </c>
      <c r="H2967" t="str">
        <f>TEXT(Tabela1[[#This Row],[Coluna2]]*29,"mmmm")</f>
        <v>novembro</v>
      </c>
      <c r="I2967" t="str">
        <f>TEXT(MONTH(Tabela1[[#This Row],[Último pagto ano]])*29,"mmmm")</f>
        <v>novembro</v>
      </c>
    </row>
    <row r="2968" spans="1:9" x14ac:dyDescent="0.25">
      <c r="A2968">
        <v>2025</v>
      </c>
      <c r="B2968" t="s">
        <v>5907</v>
      </c>
      <c r="C2968" s="1">
        <v>45905</v>
      </c>
      <c r="D2968" t="s">
        <v>5908</v>
      </c>
      <c r="E2968" s="2">
        <v>1694.2</v>
      </c>
      <c r="G2968" s="3">
        <f>MONTH(Tabela1[[#This Row],[Último pagto ano]])</f>
        <v>9</v>
      </c>
      <c r="H2968" t="str">
        <f>TEXT(Tabela1[[#This Row],[Coluna2]]*29,"mmmm")</f>
        <v>setembro</v>
      </c>
      <c r="I2968" t="str">
        <f>TEXT(MONTH(Tabela1[[#This Row],[Último pagto ano]])*29,"mmmm")</f>
        <v>setembro</v>
      </c>
    </row>
    <row r="2969" spans="1:9" x14ac:dyDescent="0.25">
      <c r="A2969">
        <v>2025</v>
      </c>
      <c r="B2969" t="s">
        <v>5909</v>
      </c>
      <c r="C2969" s="1">
        <v>45831</v>
      </c>
      <c r="D2969" t="s">
        <v>5910</v>
      </c>
      <c r="E2969" s="2">
        <v>3000</v>
      </c>
      <c r="G2969" s="3">
        <f>MONTH(Tabela1[[#This Row],[Último pagto ano]])</f>
        <v>6</v>
      </c>
      <c r="H2969" t="str">
        <f>TEXT(Tabela1[[#This Row],[Coluna2]]*29,"mmmm")</f>
        <v>junho</v>
      </c>
      <c r="I2969" t="str">
        <f>TEXT(MONTH(Tabela1[[#This Row],[Último pagto ano]])*29,"mmmm")</f>
        <v>junho</v>
      </c>
    </row>
    <row r="2970" spans="1:9" x14ac:dyDescent="0.25">
      <c r="A2970">
        <v>2025</v>
      </c>
      <c r="B2970" t="s">
        <v>5911</v>
      </c>
      <c r="C2970" s="1">
        <v>45776</v>
      </c>
      <c r="D2970" t="s">
        <v>5912</v>
      </c>
      <c r="E2970" s="2">
        <v>1326.12</v>
      </c>
      <c r="G2970" s="3">
        <f>MONTH(Tabela1[[#This Row],[Último pagto ano]])</f>
        <v>4</v>
      </c>
      <c r="H2970" t="str">
        <f>TEXT(Tabela1[[#This Row],[Coluna2]]*29,"mmmm")</f>
        <v>abril</v>
      </c>
      <c r="I2970" t="str">
        <f>TEXT(MONTH(Tabela1[[#This Row],[Último pagto ano]])*29,"mmmm")</f>
        <v>abril</v>
      </c>
    </row>
    <row r="2971" spans="1:9" x14ac:dyDescent="0.25">
      <c r="A2971">
        <v>2025</v>
      </c>
      <c r="B2971" t="s">
        <v>5913</v>
      </c>
      <c r="C2971" s="1">
        <v>45712</v>
      </c>
      <c r="D2971" t="s">
        <v>5914</v>
      </c>
      <c r="E2971" s="2">
        <v>30517.94</v>
      </c>
      <c r="G2971" s="3">
        <f>MONTH(Tabela1[[#This Row],[Último pagto ano]])</f>
        <v>2</v>
      </c>
      <c r="H2971" t="str">
        <f>TEXT(Tabela1[[#This Row],[Coluna2]]*29,"mmmm")</f>
        <v>fevereiro</v>
      </c>
      <c r="I2971" t="str">
        <f>TEXT(MONTH(Tabela1[[#This Row],[Último pagto ano]])*29,"mmmm")</f>
        <v>fevereiro</v>
      </c>
    </row>
    <row r="2972" spans="1:9" x14ac:dyDescent="0.25">
      <c r="A2972">
        <v>2025</v>
      </c>
      <c r="B2972" t="s">
        <v>5915</v>
      </c>
      <c r="C2972" s="1">
        <v>45996</v>
      </c>
      <c r="D2972" t="s">
        <v>5916</v>
      </c>
      <c r="E2972" s="2">
        <v>58440</v>
      </c>
      <c r="G2972" s="3">
        <f>MONTH(Tabela1[[#This Row],[Último pagto ano]])</f>
        <v>12</v>
      </c>
      <c r="H2972" t="str">
        <f>TEXT(Tabela1[[#This Row],[Coluna2]]*29,"mmmm")</f>
        <v>dezembro</v>
      </c>
      <c r="I2972" t="str">
        <f>TEXT(MONTH(Tabela1[[#This Row],[Último pagto ano]])*29,"mmmm")</f>
        <v>dezembro</v>
      </c>
    </row>
    <row r="2973" spans="1:9" x14ac:dyDescent="0.25">
      <c r="A2973">
        <v>2025</v>
      </c>
      <c r="B2973" t="s">
        <v>5917</v>
      </c>
      <c r="C2973" s="1">
        <v>45926</v>
      </c>
      <c r="D2973" t="s">
        <v>5918</v>
      </c>
      <c r="E2973" s="2">
        <v>3404.7</v>
      </c>
      <c r="G2973" s="3">
        <f>MONTH(Tabela1[[#This Row],[Último pagto ano]])</f>
        <v>9</v>
      </c>
      <c r="H2973" t="str">
        <f>TEXT(Tabela1[[#This Row],[Coluna2]]*29,"mmmm")</f>
        <v>setembro</v>
      </c>
      <c r="I2973" t="str">
        <f>TEXT(MONTH(Tabela1[[#This Row],[Último pagto ano]])*29,"mmmm")</f>
        <v>setembro</v>
      </c>
    </row>
    <row r="2974" spans="1:9" x14ac:dyDescent="0.25">
      <c r="A2974">
        <v>2025</v>
      </c>
      <c r="B2974" t="s">
        <v>5919</v>
      </c>
      <c r="C2974" s="1">
        <v>45996</v>
      </c>
      <c r="D2974" t="s">
        <v>5920</v>
      </c>
      <c r="E2974" s="2">
        <v>21000</v>
      </c>
      <c r="G2974" s="3">
        <f>MONTH(Tabela1[[#This Row],[Último pagto ano]])</f>
        <v>12</v>
      </c>
      <c r="H2974" t="str">
        <f>TEXT(Tabela1[[#This Row],[Coluna2]]*29,"mmmm")</f>
        <v>dezembro</v>
      </c>
      <c r="I2974" t="str">
        <f>TEXT(MONTH(Tabela1[[#This Row],[Último pagto ano]])*29,"mmmm")</f>
        <v>dezembro</v>
      </c>
    </row>
    <row r="2975" spans="1:9" x14ac:dyDescent="0.25">
      <c r="A2975">
        <v>2025</v>
      </c>
      <c r="B2975" t="s">
        <v>5921</v>
      </c>
      <c r="C2975" s="1">
        <v>46006</v>
      </c>
      <c r="D2975" t="s">
        <v>5922</v>
      </c>
      <c r="E2975" s="2">
        <v>4981.6000000000004</v>
      </c>
      <c r="G2975" s="3">
        <f>MONTH(Tabela1[[#This Row],[Último pagto ano]])</f>
        <v>12</v>
      </c>
      <c r="H2975" t="str">
        <f>TEXT(Tabela1[[#This Row],[Coluna2]]*29,"mmmm")</f>
        <v>dezembro</v>
      </c>
      <c r="I2975" t="str">
        <f>TEXT(MONTH(Tabela1[[#This Row],[Último pagto ano]])*29,"mmmm")</f>
        <v>dezembro</v>
      </c>
    </row>
    <row r="2976" spans="1:9" x14ac:dyDescent="0.25">
      <c r="A2976">
        <v>2025</v>
      </c>
      <c r="B2976" t="s">
        <v>5923</v>
      </c>
      <c r="C2976" s="1">
        <v>45996</v>
      </c>
      <c r="D2976" t="s">
        <v>5924</v>
      </c>
      <c r="E2976" s="2">
        <v>48000</v>
      </c>
      <c r="G2976" s="3">
        <f>MONTH(Tabela1[[#This Row],[Último pagto ano]])</f>
        <v>12</v>
      </c>
      <c r="H2976" t="str">
        <f>TEXT(Tabela1[[#This Row],[Coluna2]]*29,"mmmm")</f>
        <v>dezembro</v>
      </c>
      <c r="I2976" t="str">
        <f>TEXT(MONTH(Tabela1[[#This Row],[Último pagto ano]])*29,"mmmm")</f>
        <v>dezembro</v>
      </c>
    </row>
    <row r="2977" spans="1:9" x14ac:dyDescent="0.25">
      <c r="A2977">
        <v>2025</v>
      </c>
      <c r="B2977" t="s">
        <v>5925</v>
      </c>
      <c r="C2977" s="1">
        <v>46010</v>
      </c>
      <c r="D2977" t="s">
        <v>5926</v>
      </c>
      <c r="E2977" s="2">
        <v>8400</v>
      </c>
      <c r="G2977" s="3">
        <f>MONTH(Tabela1[[#This Row],[Último pagto ano]])</f>
        <v>12</v>
      </c>
      <c r="H2977" t="str">
        <f>TEXT(Tabela1[[#This Row],[Coluna2]]*29,"mmmm")</f>
        <v>dezembro</v>
      </c>
      <c r="I2977" t="str">
        <f>TEXT(MONTH(Tabela1[[#This Row],[Último pagto ano]])*29,"mmmm")</f>
        <v>dezembro</v>
      </c>
    </row>
    <row r="2978" spans="1:9" x14ac:dyDescent="0.25">
      <c r="A2978">
        <v>2025</v>
      </c>
      <c r="B2978" t="s">
        <v>5927</v>
      </c>
      <c r="C2978" s="1">
        <v>45996</v>
      </c>
      <c r="D2978" t="s">
        <v>5928</v>
      </c>
      <c r="E2978" s="2">
        <v>4850</v>
      </c>
      <c r="G2978" s="3">
        <f>MONTH(Tabela1[[#This Row],[Último pagto ano]])</f>
        <v>12</v>
      </c>
      <c r="H2978" t="str">
        <f>TEXT(Tabela1[[#This Row],[Coluna2]]*29,"mmmm")</f>
        <v>dezembro</v>
      </c>
      <c r="I2978" t="str">
        <f>TEXT(MONTH(Tabela1[[#This Row],[Último pagto ano]])*29,"mmmm")</f>
        <v>dezembro</v>
      </c>
    </row>
    <row r="2979" spans="1:9" x14ac:dyDescent="0.25">
      <c r="A2979">
        <v>2025</v>
      </c>
      <c r="B2979" t="s">
        <v>5929</v>
      </c>
      <c r="C2979" s="1">
        <v>45733</v>
      </c>
      <c r="D2979" t="s">
        <v>5930</v>
      </c>
      <c r="E2979">
        <v>579.04</v>
      </c>
      <c r="G2979" s="3">
        <f>MONTH(Tabela1[[#This Row],[Último pagto ano]])</f>
        <v>3</v>
      </c>
      <c r="H2979" t="str">
        <f>TEXT(Tabela1[[#This Row],[Coluna2]]*29,"mmmm")</f>
        <v>março</v>
      </c>
      <c r="I2979" t="str">
        <f>TEXT(MONTH(Tabela1[[#This Row],[Último pagto ano]])*29,"mmmm")</f>
        <v>março</v>
      </c>
    </row>
    <row r="2980" spans="1:9" x14ac:dyDescent="0.25">
      <c r="A2980">
        <v>2025</v>
      </c>
      <c r="B2980" t="s">
        <v>5931</v>
      </c>
      <c r="C2980" s="1">
        <v>46014</v>
      </c>
      <c r="D2980" t="s">
        <v>5932</v>
      </c>
      <c r="E2980" s="2">
        <v>8305</v>
      </c>
      <c r="G2980" s="3">
        <f>MONTH(Tabela1[[#This Row],[Último pagto ano]])</f>
        <v>12</v>
      </c>
      <c r="H2980" t="str">
        <f>TEXT(Tabela1[[#This Row],[Coluna2]]*29,"mmmm")</f>
        <v>dezembro</v>
      </c>
      <c r="I2980" t="str">
        <f>TEXT(MONTH(Tabela1[[#This Row],[Último pagto ano]])*29,"mmmm")</f>
        <v>dezembro</v>
      </c>
    </row>
    <row r="2981" spans="1:9" x14ac:dyDescent="0.25">
      <c r="A2981">
        <v>2025</v>
      </c>
      <c r="B2981" t="s">
        <v>5933</v>
      </c>
      <c r="C2981" s="1">
        <v>46014</v>
      </c>
      <c r="D2981" t="s">
        <v>5934</v>
      </c>
      <c r="E2981" s="2">
        <v>9420</v>
      </c>
      <c r="G2981" s="3">
        <f>MONTH(Tabela1[[#This Row],[Último pagto ano]])</f>
        <v>12</v>
      </c>
      <c r="H2981" t="str">
        <f>TEXT(Tabela1[[#This Row],[Coluna2]]*29,"mmmm")</f>
        <v>dezembro</v>
      </c>
      <c r="I2981" t="str">
        <f>TEXT(MONTH(Tabela1[[#This Row],[Último pagto ano]])*29,"mmmm")</f>
        <v>dezembro</v>
      </c>
    </row>
    <row r="2982" spans="1:9" x14ac:dyDescent="0.25">
      <c r="A2982">
        <v>2025</v>
      </c>
      <c r="B2982" t="s">
        <v>5935</v>
      </c>
      <c r="C2982" s="1">
        <v>46014</v>
      </c>
      <c r="D2982" t="s">
        <v>5936</v>
      </c>
      <c r="E2982">
        <v>53.8</v>
      </c>
      <c r="G2982" s="3">
        <f>MONTH(Tabela1[[#This Row],[Último pagto ano]])</f>
        <v>12</v>
      </c>
      <c r="H2982" t="str">
        <f>TEXT(Tabela1[[#This Row],[Coluna2]]*29,"mmmm")</f>
        <v>dezembro</v>
      </c>
      <c r="I2982" t="str">
        <f>TEXT(MONTH(Tabela1[[#This Row],[Último pagto ano]])*29,"mmmm")</f>
        <v>dezembro</v>
      </c>
    </row>
    <row r="2983" spans="1:9" x14ac:dyDescent="0.25">
      <c r="A2983">
        <v>2025</v>
      </c>
      <c r="B2983" t="s">
        <v>5937</v>
      </c>
      <c r="C2983" s="1">
        <v>45754</v>
      </c>
      <c r="D2983" t="s">
        <v>5938</v>
      </c>
      <c r="E2983" s="2">
        <v>9607.5</v>
      </c>
      <c r="G2983" s="3">
        <f>MONTH(Tabela1[[#This Row],[Último pagto ano]])</f>
        <v>4</v>
      </c>
      <c r="H2983" t="str">
        <f>TEXT(Tabela1[[#This Row],[Coluna2]]*29,"mmmm")</f>
        <v>abril</v>
      </c>
      <c r="I2983" t="str">
        <f>TEXT(MONTH(Tabela1[[#This Row],[Último pagto ano]])*29,"mmmm")</f>
        <v>abril</v>
      </c>
    </row>
    <row r="2984" spans="1:9" x14ac:dyDescent="0.25">
      <c r="A2984">
        <v>2025</v>
      </c>
      <c r="B2984" t="s">
        <v>5939</v>
      </c>
      <c r="C2984" s="1">
        <v>45945</v>
      </c>
      <c r="D2984" t="s">
        <v>5940</v>
      </c>
      <c r="E2984" s="2">
        <v>5906</v>
      </c>
      <c r="G2984" s="3">
        <f>MONTH(Tabela1[[#This Row],[Último pagto ano]])</f>
        <v>10</v>
      </c>
      <c r="H2984" t="str">
        <f>TEXT(Tabela1[[#This Row],[Coluna2]]*29,"mmmm")</f>
        <v>outubro</v>
      </c>
      <c r="I2984" t="str">
        <f>TEXT(MONTH(Tabela1[[#This Row],[Último pagto ano]])*29,"mmmm")</f>
        <v>outubro</v>
      </c>
    </row>
    <row r="2985" spans="1:9" x14ac:dyDescent="0.25">
      <c r="A2985">
        <v>2025</v>
      </c>
      <c r="B2985" t="s">
        <v>5941</v>
      </c>
      <c r="C2985" s="1">
        <v>45954</v>
      </c>
      <c r="D2985" t="s">
        <v>5942</v>
      </c>
      <c r="E2985" s="2">
        <v>145412.12</v>
      </c>
      <c r="G2985" s="3">
        <f>MONTH(Tabela1[[#This Row],[Último pagto ano]])</f>
        <v>10</v>
      </c>
      <c r="H2985" t="str">
        <f>TEXT(Tabela1[[#This Row],[Coluna2]]*29,"mmmm")</f>
        <v>outubro</v>
      </c>
      <c r="I2985" t="str">
        <f>TEXT(MONTH(Tabela1[[#This Row],[Último pagto ano]])*29,"mmmm")</f>
        <v>outubro</v>
      </c>
    </row>
    <row r="2986" spans="1:9" x14ac:dyDescent="0.25">
      <c r="A2986">
        <v>2025</v>
      </c>
      <c r="B2986" t="s">
        <v>5943</v>
      </c>
      <c r="C2986" s="1">
        <v>45726</v>
      </c>
      <c r="D2986" t="s">
        <v>5944</v>
      </c>
      <c r="E2986">
        <v>500.25</v>
      </c>
      <c r="G2986" s="3">
        <f>MONTH(Tabela1[[#This Row],[Último pagto ano]])</f>
        <v>3</v>
      </c>
      <c r="H2986" t="str">
        <f>TEXT(Tabela1[[#This Row],[Coluna2]]*29,"mmmm")</f>
        <v>março</v>
      </c>
      <c r="I2986" t="str">
        <f>TEXT(MONTH(Tabela1[[#This Row],[Último pagto ano]])*29,"mmmm")</f>
        <v>março</v>
      </c>
    </row>
    <row r="2987" spans="1:9" x14ac:dyDescent="0.25">
      <c r="A2987">
        <v>2025</v>
      </c>
      <c r="B2987" t="s">
        <v>5945</v>
      </c>
      <c r="C2987" s="1">
        <v>45672</v>
      </c>
      <c r="D2987" t="s">
        <v>5946</v>
      </c>
      <c r="E2987">
        <v>282.88</v>
      </c>
      <c r="G2987" s="3">
        <f>MONTH(Tabela1[[#This Row],[Último pagto ano]])</f>
        <v>1</v>
      </c>
      <c r="H2987" t="str">
        <f>TEXT(Tabela1[[#This Row],[Coluna2]]*29,"mmmm")</f>
        <v>janeiro</v>
      </c>
      <c r="I2987" t="str">
        <f>TEXT(MONTH(Tabela1[[#This Row],[Último pagto ano]])*29,"mmmm")</f>
        <v>janeiro</v>
      </c>
    </row>
    <row r="2988" spans="1:9" x14ac:dyDescent="0.25">
      <c r="A2988">
        <v>2025</v>
      </c>
      <c r="B2988" t="s">
        <v>5947</v>
      </c>
      <c r="C2988" s="1">
        <v>45755</v>
      </c>
      <c r="D2988" t="s">
        <v>5948</v>
      </c>
      <c r="E2988" s="2">
        <v>2524.64</v>
      </c>
      <c r="G2988" s="3">
        <f>MONTH(Tabela1[[#This Row],[Último pagto ano]])</f>
        <v>4</v>
      </c>
      <c r="H2988" t="str">
        <f>TEXT(Tabela1[[#This Row],[Coluna2]]*29,"mmmm")</f>
        <v>abril</v>
      </c>
      <c r="I2988" t="str">
        <f>TEXT(MONTH(Tabela1[[#This Row],[Último pagto ano]])*29,"mmmm")</f>
        <v>abril</v>
      </c>
    </row>
    <row r="2989" spans="1:9" x14ac:dyDescent="0.25">
      <c r="A2989">
        <v>2025</v>
      </c>
      <c r="B2989" t="s">
        <v>5949</v>
      </c>
      <c r="C2989" s="1">
        <v>46003</v>
      </c>
      <c r="D2989" t="s">
        <v>5950</v>
      </c>
      <c r="E2989" s="2">
        <v>9363.7000000000007</v>
      </c>
      <c r="G2989" s="3">
        <f>MONTH(Tabela1[[#This Row],[Último pagto ano]])</f>
        <v>12</v>
      </c>
      <c r="H2989" t="str">
        <f>TEXT(Tabela1[[#This Row],[Coluna2]]*29,"mmmm")</f>
        <v>dezembro</v>
      </c>
      <c r="I2989" t="str">
        <f>TEXT(MONTH(Tabela1[[#This Row],[Último pagto ano]])*29,"mmmm")</f>
        <v>dezembro</v>
      </c>
    </row>
    <row r="2990" spans="1:9" x14ac:dyDescent="0.25">
      <c r="A2990">
        <v>2025</v>
      </c>
      <c r="B2990" t="s">
        <v>5951</v>
      </c>
      <c r="C2990" s="1">
        <v>45902</v>
      </c>
      <c r="D2990" t="s">
        <v>5952</v>
      </c>
      <c r="E2990" s="2">
        <v>7513.05</v>
      </c>
      <c r="G2990" s="3">
        <f>MONTH(Tabela1[[#This Row],[Último pagto ano]])</f>
        <v>9</v>
      </c>
      <c r="H2990" t="str">
        <f>TEXT(Tabela1[[#This Row],[Coluna2]]*29,"mmmm")</f>
        <v>setembro</v>
      </c>
      <c r="I2990" t="str">
        <f>TEXT(MONTH(Tabela1[[#This Row],[Último pagto ano]])*29,"mmmm")</f>
        <v>setembro</v>
      </c>
    </row>
    <row r="2991" spans="1:9" x14ac:dyDescent="0.25">
      <c r="A2991">
        <v>2025</v>
      </c>
      <c r="B2991" t="s">
        <v>5953</v>
      </c>
      <c r="C2991" s="1">
        <v>46021</v>
      </c>
      <c r="D2991" t="s">
        <v>5954</v>
      </c>
      <c r="E2991" s="2">
        <v>2817136.02</v>
      </c>
      <c r="G2991" s="3">
        <f>MONTH(Tabela1[[#This Row],[Último pagto ano]])</f>
        <v>12</v>
      </c>
      <c r="H2991" t="str">
        <f>TEXT(Tabela1[[#This Row],[Coluna2]]*29,"mmmm")</f>
        <v>dezembro</v>
      </c>
      <c r="I2991" t="str">
        <f>TEXT(MONTH(Tabela1[[#This Row],[Último pagto ano]])*29,"mmmm")</f>
        <v>dezembro</v>
      </c>
    </row>
    <row r="2992" spans="1:9" x14ac:dyDescent="0.25">
      <c r="A2992">
        <v>2025</v>
      </c>
      <c r="B2992" t="s">
        <v>5955</v>
      </c>
      <c r="C2992" s="1">
        <v>46006</v>
      </c>
      <c r="D2992" t="s">
        <v>5956</v>
      </c>
      <c r="E2992" s="2">
        <v>18088.16</v>
      </c>
      <c r="G2992" s="3">
        <f>MONTH(Tabela1[[#This Row],[Último pagto ano]])</f>
        <v>12</v>
      </c>
      <c r="H2992" t="str">
        <f>TEXT(Tabela1[[#This Row],[Coluna2]]*29,"mmmm")</f>
        <v>dezembro</v>
      </c>
      <c r="I2992" t="str">
        <f>TEXT(MONTH(Tabela1[[#This Row],[Último pagto ano]])*29,"mmmm")</f>
        <v>dezembro</v>
      </c>
    </row>
    <row r="2993" spans="1:9" x14ac:dyDescent="0.25">
      <c r="A2993">
        <v>2025</v>
      </c>
      <c r="B2993" t="s">
        <v>5957</v>
      </c>
      <c r="C2993" s="1">
        <v>45968</v>
      </c>
      <c r="D2993" t="s">
        <v>5958</v>
      </c>
      <c r="E2993" s="2">
        <v>8000</v>
      </c>
      <c r="G2993" s="3">
        <f>MONTH(Tabela1[[#This Row],[Último pagto ano]])</f>
        <v>11</v>
      </c>
      <c r="H2993" t="str">
        <f>TEXT(Tabela1[[#This Row],[Coluna2]]*29,"mmmm")</f>
        <v>novembro</v>
      </c>
      <c r="I2993" t="str">
        <f>TEXT(MONTH(Tabela1[[#This Row],[Último pagto ano]])*29,"mmmm")</f>
        <v>novembro</v>
      </c>
    </row>
    <row r="2994" spans="1:9" x14ac:dyDescent="0.25">
      <c r="A2994">
        <v>2025</v>
      </c>
      <c r="B2994" t="s">
        <v>5959</v>
      </c>
      <c r="C2994" s="1">
        <v>45937</v>
      </c>
      <c r="D2994" t="s">
        <v>5960</v>
      </c>
      <c r="E2994" s="2">
        <v>6000</v>
      </c>
      <c r="G2994" s="3">
        <f>MONTH(Tabela1[[#This Row],[Último pagto ano]])</f>
        <v>10</v>
      </c>
      <c r="H2994" t="str">
        <f>TEXT(Tabela1[[#This Row],[Coluna2]]*29,"mmmm")</f>
        <v>outubro</v>
      </c>
      <c r="I2994" t="str">
        <f>TEXT(MONTH(Tabela1[[#This Row],[Último pagto ano]])*29,"mmmm")</f>
        <v>outubro</v>
      </c>
    </row>
    <row r="2995" spans="1:9" x14ac:dyDescent="0.25">
      <c r="A2995">
        <v>2025</v>
      </c>
      <c r="B2995" t="s">
        <v>5961</v>
      </c>
      <c r="C2995" s="1">
        <v>45943</v>
      </c>
      <c r="D2995" t="s">
        <v>5962</v>
      </c>
      <c r="E2995" s="2">
        <v>1591.2</v>
      </c>
      <c r="G2995" s="3">
        <f>MONTH(Tabela1[[#This Row],[Último pagto ano]])</f>
        <v>10</v>
      </c>
      <c r="H2995" t="str">
        <f>TEXT(Tabela1[[#This Row],[Coluna2]]*29,"mmmm")</f>
        <v>outubro</v>
      </c>
      <c r="I2995" t="str">
        <f>TEXT(MONTH(Tabela1[[#This Row],[Último pagto ano]])*29,"mmmm")</f>
        <v>outubro</v>
      </c>
    </row>
    <row r="2996" spans="1:9" x14ac:dyDescent="0.25">
      <c r="A2996">
        <v>2025</v>
      </c>
      <c r="B2996" t="s">
        <v>5963</v>
      </c>
      <c r="C2996" s="1">
        <v>45695</v>
      </c>
      <c r="D2996" t="s">
        <v>5964</v>
      </c>
      <c r="E2996" s="2">
        <v>3937.5</v>
      </c>
      <c r="G2996" s="3">
        <f>MONTH(Tabela1[[#This Row],[Último pagto ano]])</f>
        <v>2</v>
      </c>
      <c r="H2996" t="str">
        <f>TEXT(Tabela1[[#This Row],[Coluna2]]*29,"mmmm")</f>
        <v>fevereiro</v>
      </c>
      <c r="I2996" t="str">
        <f>TEXT(MONTH(Tabela1[[#This Row],[Último pagto ano]])*29,"mmmm")</f>
        <v>fevereiro</v>
      </c>
    </row>
    <row r="2997" spans="1:9" x14ac:dyDescent="0.25">
      <c r="A2997">
        <v>2025</v>
      </c>
      <c r="B2997" t="s">
        <v>5965</v>
      </c>
      <c r="C2997" s="1">
        <v>45884</v>
      </c>
      <c r="D2997" t="s">
        <v>5966</v>
      </c>
      <c r="E2997" s="2">
        <v>1332.72</v>
      </c>
      <c r="G2997" s="3">
        <f>MONTH(Tabela1[[#This Row],[Último pagto ano]])</f>
        <v>8</v>
      </c>
      <c r="H2997" t="str">
        <f>TEXT(Tabela1[[#This Row],[Coluna2]]*29,"mmmm")</f>
        <v>agosto</v>
      </c>
      <c r="I2997" t="str">
        <f>TEXT(MONTH(Tabela1[[#This Row],[Último pagto ano]])*29,"mmmm")</f>
        <v>agosto</v>
      </c>
    </row>
    <row r="2998" spans="1:9" x14ac:dyDescent="0.25">
      <c r="A2998">
        <v>2025</v>
      </c>
      <c r="B2998" t="s">
        <v>5967</v>
      </c>
      <c r="C2998" s="1">
        <v>46021</v>
      </c>
      <c r="D2998" t="s">
        <v>5968</v>
      </c>
      <c r="E2998" s="2">
        <v>71970.399999999994</v>
      </c>
      <c r="G2998" s="3">
        <f>MONTH(Tabela1[[#This Row],[Último pagto ano]])</f>
        <v>12</v>
      </c>
      <c r="H2998" t="str">
        <f>TEXT(Tabela1[[#This Row],[Coluna2]]*29,"mmmm")</f>
        <v>dezembro</v>
      </c>
      <c r="I2998" t="str">
        <f>TEXT(MONTH(Tabela1[[#This Row],[Último pagto ano]])*29,"mmmm")</f>
        <v>dezembro</v>
      </c>
    </row>
    <row r="2999" spans="1:9" x14ac:dyDescent="0.25">
      <c r="A2999">
        <v>2025</v>
      </c>
      <c r="B2999" t="s">
        <v>5969</v>
      </c>
      <c r="C2999" s="1">
        <v>45996</v>
      </c>
      <c r="D2999" t="s">
        <v>5970</v>
      </c>
      <c r="E2999" s="2">
        <v>21676.2</v>
      </c>
      <c r="G2999" s="3">
        <f>MONTH(Tabela1[[#This Row],[Último pagto ano]])</f>
        <v>12</v>
      </c>
      <c r="H2999" t="str">
        <f>TEXT(Tabela1[[#This Row],[Coluna2]]*29,"mmmm")</f>
        <v>dezembro</v>
      </c>
      <c r="I2999" t="str">
        <f>TEXT(MONTH(Tabela1[[#This Row],[Último pagto ano]])*29,"mmmm")</f>
        <v>dezembro</v>
      </c>
    </row>
    <row r="3000" spans="1:9" x14ac:dyDescent="0.25">
      <c r="A3000">
        <v>2025</v>
      </c>
      <c r="B3000" t="s">
        <v>5971</v>
      </c>
      <c r="C3000" s="1">
        <v>46006</v>
      </c>
      <c r="D3000" t="s">
        <v>5972</v>
      </c>
      <c r="E3000" s="2">
        <v>143502.79999999999</v>
      </c>
      <c r="G3000" s="3">
        <f>MONTH(Tabela1[[#This Row],[Último pagto ano]])</f>
        <v>12</v>
      </c>
      <c r="H3000" t="str">
        <f>TEXT(Tabela1[[#This Row],[Coluna2]]*29,"mmmm")</f>
        <v>dezembro</v>
      </c>
      <c r="I3000" t="str">
        <f>TEXT(MONTH(Tabela1[[#This Row],[Último pagto ano]])*29,"mmmm")</f>
        <v>dezembro</v>
      </c>
    </row>
    <row r="3001" spans="1:9" x14ac:dyDescent="0.25">
      <c r="A3001">
        <v>2025</v>
      </c>
      <c r="B3001" t="s">
        <v>5973</v>
      </c>
      <c r="C3001" s="1">
        <v>45743</v>
      </c>
      <c r="D3001" t="s">
        <v>5974</v>
      </c>
      <c r="E3001" s="2">
        <v>1470</v>
      </c>
      <c r="G3001" s="3">
        <f>MONTH(Tabela1[[#This Row],[Último pagto ano]])</f>
        <v>3</v>
      </c>
      <c r="H3001" t="str">
        <f>TEXT(Tabela1[[#This Row],[Coluna2]]*29,"mmmm")</f>
        <v>março</v>
      </c>
      <c r="I3001" t="str">
        <f>TEXT(MONTH(Tabela1[[#This Row],[Último pagto ano]])*29,"mmmm")</f>
        <v>março</v>
      </c>
    </row>
    <row r="3002" spans="1:9" x14ac:dyDescent="0.25">
      <c r="A3002">
        <v>2025</v>
      </c>
      <c r="B3002" t="s">
        <v>5975</v>
      </c>
      <c r="C3002" s="1">
        <v>46021</v>
      </c>
      <c r="D3002" t="s">
        <v>5976</v>
      </c>
      <c r="E3002" s="2">
        <v>8906.65</v>
      </c>
      <c r="G3002" s="3">
        <f>MONTH(Tabela1[[#This Row],[Último pagto ano]])</f>
        <v>12</v>
      </c>
      <c r="H3002" t="str">
        <f>TEXT(Tabela1[[#This Row],[Coluna2]]*29,"mmmm")</f>
        <v>dezembro</v>
      </c>
      <c r="I3002" t="str">
        <f>TEXT(MONTH(Tabela1[[#This Row],[Último pagto ano]])*29,"mmmm")</f>
        <v>dezembro</v>
      </c>
    </row>
    <row r="3003" spans="1:9" x14ac:dyDescent="0.25">
      <c r="A3003">
        <v>2025</v>
      </c>
      <c r="B3003" t="s">
        <v>5977</v>
      </c>
      <c r="C3003" s="1">
        <v>45702</v>
      </c>
      <c r="D3003" t="s">
        <v>5978</v>
      </c>
      <c r="E3003">
        <v>35.200000000000003</v>
      </c>
      <c r="G3003" s="3">
        <f>MONTH(Tabela1[[#This Row],[Último pagto ano]])</f>
        <v>2</v>
      </c>
      <c r="H3003" t="str">
        <f>TEXT(Tabela1[[#This Row],[Coluna2]]*29,"mmmm")</f>
        <v>fevereiro</v>
      </c>
      <c r="I3003" t="str">
        <f>TEXT(MONTH(Tabela1[[#This Row],[Último pagto ano]])*29,"mmmm")</f>
        <v>fevereiro</v>
      </c>
    </row>
    <row r="3004" spans="1:9" x14ac:dyDescent="0.25">
      <c r="A3004">
        <v>2025</v>
      </c>
      <c r="B3004" t="s">
        <v>5979</v>
      </c>
      <c r="C3004" s="1">
        <v>46014</v>
      </c>
      <c r="D3004" t="s">
        <v>5980</v>
      </c>
      <c r="E3004">
        <v>242</v>
      </c>
      <c r="G3004" s="3">
        <f>MONTH(Tabela1[[#This Row],[Último pagto ano]])</f>
        <v>12</v>
      </c>
      <c r="H3004" t="str">
        <f>TEXT(Tabela1[[#This Row],[Coluna2]]*29,"mmmm")</f>
        <v>dezembro</v>
      </c>
      <c r="I3004" t="str">
        <f>TEXT(MONTH(Tabela1[[#This Row],[Último pagto ano]])*29,"mmmm")</f>
        <v>dezembro</v>
      </c>
    </row>
    <row r="3005" spans="1:9" x14ac:dyDescent="0.25">
      <c r="A3005">
        <v>2025</v>
      </c>
      <c r="B3005" t="s">
        <v>5981</v>
      </c>
      <c r="C3005" s="1">
        <v>45839</v>
      </c>
      <c r="D3005" t="s">
        <v>5982</v>
      </c>
      <c r="E3005" s="2">
        <v>5201.9799999999996</v>
      </c>
      <c r="G3005" s="3">
        <f>MONTH(Tabela1[[#This Row],[Último pagto ano]])</f>
        <v>7</v>
      </c>
      <c r="H3005" t="str">
        <f>TEXT(Tabela1[[#This Row],[Coluna2]]*29,"mmmm")</f>
        <v>julho</v>
      </c>
      <c r="I3005" t="str">
        <f>TEXT(MONTH(Tabela1[[#This Row],[Último pagto ano]])*29,"mmmm")</f>
        <v>julho</v>
      </c>
    </row>
    <row r="3006" spans="1:9" x14ac:dyDescent="0.25">
      <c r="A3006">
        <v>2025</v>
      </c>
      <c r="B3006" t="s">
        <v>5983</v>
      </c>
      <c r="C3006" s="1">
        <v>45959</v>
      </c>
      <c r="D3006" t="s">
        <v>5984</v>
      </c>
      <c r="E3006" s="2">
        <v>10000</v>
      </c>
      <c r="G3006" s="3">
        <f>MONTH(Tabela1[[#This Row],[Último pagto ano]])</f>
        <v>10</v>
      </c>
      <c r="H3006" t="str">
        <f>TEXT(Tabela1[[#This Row],[Coluna2]]*29,"mmmm")</f>
        <v>outubro</v>
      </c>
      <c r="I3006" t="str">
        <f>TEXT(MONTH(Tabela1[[#This Row],[Último pagto ano]])*29,"mmmm")</f>
        <v>outubro</v>
      </c>
    </row>
    <row r="3007" spans="1:9" x14ac:dyDescent="0.25">
      <c r="A3007">
        <v>2025</v>
      </c>
      <c r="B3007" t="s">
        <v>5985</v>
      </c>
      <c r="C3007" s="1">
        <v>45698</v>
      </c>
      <c r="D3007" t="s">
        <v>5986</v>
      </c>
      <c r="E3007">
        <v>80.33</v>
      </c>
      <c r="G3007" s="3">
        <f>MONTH(Tabela1[[#This Row],[Último pagto ano]])</f>
        <v>2</v>
      </c>
      <c r="H3007" t="str">
        <f>TEXT(Tabela1[[#This Row],[Coluna2]]*29,"mmmm")</f>
        <v>fevereiro</v>
      </c>
      <c r="I3007" t="str">
        <f>TEXT(MONTH(Tabela1[[#This Row],[Último pagto ano]])*29,"mmmm")</f>
        <v>fevereiro</v>
      </c>
    </row>
    <row r="3008" spans="1:9" x14ac:dyDescent="0.25">
      <c r="A3008">
        <v>2025</v>
      </c>
      <c r="B3008" t="s">
        <v>5987</v>
      </c>
      <c r="C3008" s="1">
        <v>46013</v>
      </c>
      <c r="D3008" t="s">
        <v>5988</v>
      </c>
      <c r="E3008" s="2">
        <v>9609.6</v>
      </c>
      <c r="G3008" s="3">
        <f>MONTH(Tabela1[[#This Row],[Último pagto ano]])</f>
        <v>12</v>
      </c>
      <c r="H3008" t="str">
        <f>TEXT(Tabela1[[#This Row],[Coluna2]]*29,"mmmm")</f>
        <v>dezembro</v>
      </c>
      <c r="I3008" t="str">
        <f>TEXT(MONTH(Tabela1[[#This Row],[Último pagto ano]])*29,"mmmm")</f>
        <v>dezembro</v>
      </c>
    </row>
    <row r="3009" spans="1:9" x14ac:dyDescent="0.25">
      <c r="A3009">
        <v>2025</v>
      </c>
      <c r="B3009" t="s">
        <v>5989</v>
      </c>
      <c r="C3009" s="1">
        <v>45771</v>
      </c>
      <c r="D3009" t="s">
        <v>5990</v>
      </c>
      <c r="E3009" s="2">
        <v>14765.62</v>
      </c>
      <c r="G3009" s="3">
        <f>MONTH(Tabela1[[#This Row],[Último pagto ano]])</f>
        <v>4</v>
      </c>
      <c r="H3009" t="str">
        <f>TEXT(Tabela1[[#This Row],[Coluna2]]*29,"mmmm")</f>
        <v>abril</v>
      </c>
      <c r="I3009" t="str">
        <f>TEXT(MONTH(Tabela1[[#This Row],[Último pagto ano]])*29,"mmmm")</f>
        <v>abril</v>
      </c>
    </row>
    <row r="3010" spans="1:9" x14ac:dyDescent="0.25">
      <c r="A3010">
        <v>2025</v>
      </c>
      <c r="B3010" t="s">
        <v>5991</v>
      </c>
      <c r="C3010" s="1">
        <v>45783</v>
      </c>
      <c r="D3010" t="s">
        <v>5992</v>
      </c>
      <c r="E3010" s="2">
        <v>2422.37</v>
      </c>
      <c r="G3010" s="3">
        <f>MONTH(Tabela1[[#This Row],[Último pagto ano]])</f>
        <v>5</v>
      </c>
      <c r="H3010" t="str">
        <f>TEXT(Tabela1[[#This Row],[Coluna2]]*29,"mmmm")</f>
        <v>maio</v>
      </c>
      <c r="I3010" t="str">
        <f>TEXT(MONTH(Tabela1[[#This Row],[Último pagto ano]])*29,"mmmm")</f>
        <v>maio</v>
      </c>
    </row>
    <row r="3011" spans="1:9" x14ac:dyDescent="0.25">
      <c r="A3011">
        <v>2025</v>
      </c>
      <c r="B3011" t="s">
        <v>5993</v>
      </c>
      <c r="C3011" s="1">
        <v>45856</v>
      </c>
      <c r="D3011" t="s">
        <v>5994</v>
      </c>
      <c r="E3011" s="2">
        <v>5834.57</v>
      </c>
      <c r="G3011" s="3">
        <f>MONTH(Tabela1[[#This Row],[Último pagto ano]])</f>
        <v>7</v>
      </c>
      <c r="H3011" t="str">
        <f>TEXT(Tabela1[[#This Row],[Coluna2]]*29,"mmmm")</f>
        <v>julho</v>
      </c>
      <c r="I3011" t="str">
        <f>TEXT(MONTH(Tabela1[[#This Row],[Último pagto ano]])*29,"mmmm")</f>
        <v>julho</v>
      </c>
    </row>
    <row r="3012" spans="1:9" x14ac:dyDescent="0.25">
      <c r="A3012">
        <v>2025</v>
      </c>
      <c r="B3012" t="s">
        <v>5995</v>
      </c>
      <c r="C3012" s="1">
        <v>45866</v>
      </c>
      <c r="D3012" t="s">
        <v>5996</v>
      </c>
      <c r="E3012">
        <v>11</v>
      </c>
      <c r="G3012" s="3">
        <f>MONTH(Tabela1[[#This Row],[Último pagto ano]])</f>
        <v>7</v>
      </c>
      <c r="H3012" t="str">
        <f>TEXT(Tabela1[[#This Row],[Coluna2]]*29,"mmmm")</f>
        <v>julho</v>
      </c>
      <c r="I3012" t="str">
        <f>TEXT(MONTH(Tabela1[[#This Row],[Último pagto ano]])*29,"mmmm")</f>
        <v>julho</v>
      </c>
    </row>
    <row r="3013" spans="1:9" x14ac:dyDescent="0.25">
      <c r="A3013">
        <v>2025</v>
      </c>
      <c r="B3013" t="s">
        <v>5997</v>
      </c>
      <c r="C3013" s="1">
        <v>46021</v>
      </c>
      <c r="D3013" t="s">
        <v>5998</v>
      </c>
      <c r="E3013" s="2">
        <v>1871.44</v>
      </c>
      <c r="G3013" s="3">
        <f>MONTH(Tabela1[[#This Row],[Último pagto ano]])</f>
        <v>12</v>
      </c>
      <c r="H3013" t="str">
        <f>TEXT(Tabela1[[#This Row],[Coluna2]]*29,"mmmm")</f>
        <v>dezembro</v>
      </c>
      <c r="I3013" t="str">
        <f>TEXT(MONTH(Tabela1[[#This Row],[Último pagto ano]])*29,"mmmm")</f>
        <v>dezembro</v>
      </c>
    </row>
    <row r="3014" spans="1:9" x14ac:dyDescent="0.25">
      <c r="A3014">
        <v>2025</v>
      </c>
      <c r="B3014" t="s">
        <v>5999</v>
      </c>
      <c r="C3014" s="1">
        <v>46014</v>
      </c>
      <c r="D3014" t="s">
        <v>6000</v>
      </c>
      <c r="E3014">
        <v>19.39</v>
      </c>
      <c r="G3014" s="3">
        <f>MONTH(Tabela1[[#This Row],[Último pagto ano]])</f>
        <v>12</v>
      </c>
      <c r="H3014" t="str">
        <f>TEXT(Tabela1[[#This Row],[Coluna2]]*29,"mmmm")</f>
        <v>dezembro</v>
      </c>
      <c r="I3014" t="str">
        <f>TEXT(MONTH(Tabela1[[#This Row],[Último pagto ano]])*29,"mmmm")</f>
        <v>dezembro</v>
      </c>
    </row>
    <row r="3015" spans="1:9" x14ac:dyDescent="0.25">
      <c r="A3015">
        <v>2025</v>
      </c>
      <c r="B3015" t="s">
        <v>6001</v>
      </c>
      <c r="C3015" s="1">
        <v>45989</v>
      </c>
      <c r="D3015" t="s">
        <v>6002</v>
      </c>
      <c r="E3015" s="2">
        <v>9677.2800000000007</v>
      </c>
      <c r="G3015" s="3">
        <f>MONTH(Tabela1[[#This Row],[Último pagto ano]])</f>
        <v>11</v>
      </c>
      <c r="H3015" t="str">
        <f>TEXT(Tabela1[[#This Row],[Coluna2]]*29,"mmmm")</f>
        <v>novembro</v>
      </c>
      <c r="I3015" t="str">
        <f>TEXT(MONTH(Tabela1[[#This Row],[Último pagto ano]])*29,"mmmm")</f>
        <v>novembro</v>
      </c>
    </row>
    <row r="3016" spans="1:9" x14ac:dyDescent="0.25">
      <c r="A3016">
        <v>2025</v>
      </c>
      <c r="B3016" t="s">
        <v>6003</v>
      </c>
      <c r="C3016" s="1">
        <v>45702</v>
      </c>
      <c r="D3016" t="s">
        <v>6004</v>
      </c>
      <c r="E3016" s="2">
        <v>1116.77</v>
      </c>
      <c r="G3016" s="3">
        <f>MONTH(Tabela1[[#This Row],[Último pagto ano]])</f>
        <v>2</v>
      </c>
      <c r="H3016" t="str">
        <f>TEXT(Tabela1[[#This Row],[Coluna2]]*29,"mmmm")</f>
        <v>fevereiro</v>
      </c>
      <c r="I3016" t="str">
        <f>TEXT(MONTH(Tabela1[[#This Row],[Último pagto ano]])*29,"mmmm")</f>
        <v>fevereiro</v>
      </c>
    </row>
    <row r="3017" spans="1:9" x14ac:dyDescent="0.25">
      <c r="A3017">
        <v>2025</v>
      </c>
      <c r="B3017" t="s">
        <v>6005</v>
      </c>
      <c r="C3017" s="1">
        <v>45989</v>
      </c>
      <c r="D3017" t="s">
        <v>6006</v>
      </c>
      <c r="E3017" s="2">
        <v>10267.549999999999</v>
      </c>
      <c r="G3017" s="3">
        <f>MONTH(Tabela1[[#This Row],[Último pagto ano]])</f>
        <v>11</v>
      </c>
      <c r="H3017" t="str">
        <f>TEXT(Tabela1[[#This Row],[Coluna2]]*29,"mmmm")</f>
        <v>novembro</v>
      </c>
      <c r="I3017" t="str">
        <f>TEXT(MONTH(Tabela1[[#This Row],[Último pagto ano]])*29,"mmmm")</f>
        <v>novembro</v>
      </c>
    </row>
    <row r="3018" spans="1:9" x14ac:dyDescent="0.25">
      <c r="A3018">
        <v>2025</v>
      </c>
      <c r="B3018" t="s">
        <v>6005</v>
      </c>
      <c r="C3018" s="1">
        <v>46013</v>
      </c>
      <c r="D3018" t="s">
        <v>6006</v>
      </c>
      <c r="E3018">
        <v>140.4</v>
      </c>
      <c r="G3018" s="3">
        <f>MONTH(Tabela1[[#This Row],[Último pagto ano]])</f>
        <v>12</v>
      </c>
      <c r="H3018" t="str">
        <f>TEXT(Tabela1[[#This Row],[Coluna2]]*29,"mmmm")</f>
        <v>dezembro</v>
      </c>
      <c r="I3018" t="str">
        <f>TEXT(MONTH(Tabela1[[#This Row],[Último pagto ano]])*29,"mmmm")</f>
        <v>dezembro</v>
      </c>
    </row>
    <row r="3019" spans="1:9" x14ac:dyDescent="0.25">
      <c r="A3019">
        <v>2025</v>
      </c>
      <c r="B3019" t="s">
        <v>6007</v>
      </c>
      <c r="C3019" s="1">
        <v>46006</v>
      </c>
      <c r="D3019" t="s">
        <v>6008</v>
      </c>
      <c r="E3019" s="2">
        <v>9397.44</v>
      </c>
      <c r="G3019" s="3">
        <f>MONTH(Tabela1[[#This Row],[Último pagto ano]])</f>
        <v>12</v>
      </c>
      <c r="H3019" t="str">
        <f>TEXT(Tabela1[[#This Row],[Coluna2]]*29,"mmmm")</f>
        <v>dezembro</v>
      </c>
      <c r="I3019" t="str">
        <f>TEXT(MONTH(Tabela1[[#This Row],[Último pagto ano]])*29,"mmmm")</f>
        <v>dezembro</v>
      </c>
    </row>
    <row r="3020" spans="1:9" x14ac:dyDescent="0.25">
      <c r="A3020">
        <v>2025</v>
      </c>
      <c r="B3020" t="s">
        <v>6009</v>
      </c>
      <c r="C3020" s="1">
        <v>45733</v>
      </c>
      <c r="D3020" t="s">
        <v>6010</v>
      </c>
      <c r="E3020" s="2">
        <v>3265.2</v>
      </c>
      <c r="G3020" s="3">
        <f>MONTH(Tabela1[[#This Row],[Último pagto ano]])</f>
        <v>3</v>
      </c>
      <c r="H3020" t="str">
        <f>TEXT(Tabela1[[#This Row],[Coluna2]]*29,"mmmm")</f>
        <v>março</v>
      </c>
      <c r="I3020" t="str">
        <f>TEXT(MONTH(Tabela1[[#This Row],[Último pagto ano]])*29,"mmmm")</f>
        <v>março</v>
      </c>
    </row>
    <row r="3021" spans="1:9" x14ac:dyDescent="0.25">
      <c r="A3021">
        <v>2025</v>
      </c>
      <c r="B3021" t="s">
        <v>6011</v>
      </c>
      <c r="C3021" s="1">
        <v>45889</v>
      </c>
      <c r="D3021" t="s">
        <v>6012</v>
      </c>
      <c r="E3021" s="2">
        <v>2998</v>
      </c>
      <c r="G3021" s="3">
        <f>MONTH(Tabela1[[#This Row],[Último pagto ano]])</f>
        <v>8</v>
      </c>
      <c r="H3021" t="str">
        <f>TEXT(Tabela1[[#This Row],[Coluna2]]*29,"mmmm")</f>
        <v>agosto</v>
      </c>
      <c r="I3021" t="str">
        <f>TEXT(MONTH(Tabela1[[#This Row],[Último pagto ano]])*29,"mmmm")</f>
        <v>agosto</v>
      </c>
    </row>
    <row r="3022" spans="1:9" x14ac:dyDescent="0.25">
      <c r="A3022">
        <v>2025</v>
      </c>
      <c r="B3022" t="s">
        <v>6013</v>
      </c>
      <c r="C3022" s="1">
        <v>45810</v>
      </c>
      <c r="D3022" t="s">
        <v>6014</v>
      </c>
      <c r="E3022">
        <v>837.86</v>
      </c>
      <c r="G3022" s="3">
        <f>MONTH(Tabela1[[#This Row],[Último pagto ano]])</f>
        <v>6</v>
      </c>
      <c r="H3022" t="str">
        <f>TEXT(Tabela1[[#This Row],[Coluna2]]*29,"mmmm")</f>
        <v>junho</v>
      </c>
      <c r="I3022" t="str">
        <f>TEXT(MONTH(Tabela1[[#This Row],[Último pagto ano]])*29,"mmmm")</f>
        <v>junho</v>
      </c>
    </row>
    <row r="3023" spans="1:9" x14ac:dyDescent="0.25">
      <c r="A3023">
        <v>2025</v>
      </c>
      <c r="B3023" t="s">
        <v>6015</v>
      </c>
      <c r="C3023" s="1">
        <v>45873</v>
      </c>
      <c r="D3023" t="s">
        <v>6016</v>
      </c>
      <c r="E3023">
        <v>72.63</v>
      </c>
      <c r="G3023" s="3">
        <f>MONTH(Tabela1[[#This Row],[Último pagto ano]])</f>
        <v>8</v>
      </c>
      <c r="H3023" t="str">
        <f>TEXT(Tabela1[[#This Row],[Coluna2]]*29,"mmmm")</f>
        <v>agosto</v>
      </c>
      <c r="I3023" t="str">
        <f>TEXT(MONTH(Tabela1[[#This Row],[Último pagto ano]])*29,"mmmm")</f>
        <v>agosto</v>
      </c>
    </row>
    <row r="3024" spans="1:9" x14ac:dyDescent="0.25">
      <c r="A3024">
        <v>2025</v>
      </c>
      <c r="B3024" t="s">
        <v>6017</v>
      </c>
      <c r="C3024" s="1">
        <v>45796</v>
      </c>
      <c r="D3024" t="s">
        <v>6018</v>
      </c>
      <c r="E3024">
        <v>350</v>
      </c>
      <c r="G3024" s="3">
        <f>MONTH(Tabela1[[#This Row],[Último pagto ano]])</f>
        <v>5</v>
      </c>
      <c r="H3024" t="str">
        <f>TEXT(Tabela1[[#This Row],[Coluna2]]*29,"mmmm")</f>
        <v>maio</v>
      </c>
      <c r="I3024" t="str">
        <f>TEXT(MONTH(Tabela1[[#This Row],[Último pagto ano]])*29,"mmmm")</f>
        <v>maio</v>
      </c>
    </row>
    <row r="3025" spans="1:9" x14ac:dyDescent="0.25">
      <c r="A3025">
        <v>2025</v>
      </c>
      <c r="B3025" t="s">
        <v>6019</v>
      </c>
      <c r="C3025" s="1">
        <v>45975</v>
      </c>
      <c r="D3025" t="s">
        <v>6020</v>
      </c>
      <c r="E3025" s="2">
        <v>7068</v>
      </c>
      <c r="G3025" s="3">
        <f>MONTH(Tabela1[[#This Row],[Último pagto ano]])</f>
        <v>11</v>
      </c>
      <c r="H3025" t="str">
        <f>TEXT(Tabela1[[#This Row],[Coluna2]]*29,"mmmm")</f>
        <v>novembro</v>
      </c>
      <c r="I3025" t="str">
        <f>TEXT(MONTH(Tabela1[[#This Row],[Último pagto ano]])*29,"mmmm")</f>
        <v>novembro</v>
      </c>
    </row>
    <row r="3026" spans="1:9" x14ac:dyDescent="0.25">
      <c r="A3026">
        <v>2025</v>
      </c>
      <c r="B3026" t="s">
        <v>6021</v>
      </c>
      <c r="C3026" s="1">
        <v>46006</v>
      </c>
      <c r="D3026" t="s">
        <v>6022</v>
      </c>
      <c r="E3026" s="2">
        <v>23195.88</v>
      </c>
      <c r="G3026" s="3">
        <f>MONTH(Tabela1[[#This Row],[Último pagto ano]])</f>
        <v>12</v>
      </c>
      <c r="H3026" t="str">
        <f>TEXT(Tabela1[[#This Row],[Coluna2]]*29,"mmmm")</f>
        <v>dezembro</v>
      </c>
      <c r="I3026" t="str">
        <f>TEXT(MONTH(Tabela1[[#This Row],[Último pagto ano]])*29,"mmmm")</f>
        <v>dezembro</v>
      </c>
    </row>
    <row r="3027" spans="1:9" x14ac:dyDescent="0.25">
      <c r="A3027">
        <v>2025</v>
      </c>
      <c r="B3027" t="s">
        <v>6023</v>
      </c>
      <c r="C3027" s="1">
        <v>46021</v>
      </c>
      <c r="D3027" t="s">
        <v>6024</v>
      </c>
      <c r="E3027" s="2">
        <v>10832.76</v>
      </c>
      <c r="G3027" s="3">
        <f>MONTH(Tabela1[[#This Row],[Último pagto ano]])</f>
        <v>12</v>
      </c>
      <c r="H3027" t="str">
        <f>TEXT(Tabela1[[#This Row],[Coluna2]]*29,"mmmm")</f>
        <v>dezembro</v>
      </c>
      <c r="I3027" t="str">
        <f>TEXT(MONTH(Tabela1[[#This Row],[Último pagto ano]])*29,"mmmm")</f>
        <v>dezembro</v>
      </c>
    </row>
    <row r="3028" spans="1:9" x14ac:dyDescent="0.25">
      <c r="A3028">
        <v>2025</v>
      </c>
      <c r="B3028" t="s">
        <v>6025</v>
      </c>
      <c r="C3028" s="1">
        <v>46010</v>
      </c>
      <c r="D3028" t="s">
        <v>6026</v>
      </c>
      <c r="E3028" s="2">
        <v>8400</v>
      </c>
      <c r="G3028" s="3">
        <f>MONTH(Tabela1[[#This Row],[Último pagto ano]])</f>
        <v>12</v>
      </c>
      <c r="H3028" t="str">
        <f>TEXT(Tabela1[[#This Row],[Coluna2]]*29,"mmmm")</f>
        <v>dezembro</v>
      </c>
      <c r="I3028" t="str">
        <f>TEXT(MONTH(Tabela1[[#This Row],[Último pagto ano]])*29,"mmmm")</f>
        <v>dezembro</v>
      </c>
    </row>
    <row r="3029" spans="1:9" x14ac:dyDescent="0.25">
      <c r="A3029">
        <v>2025</v>
      </c>
      <c r="B3029" t="s">
        <v>6027</v>
      </c>
      <c r="C3029" s="1">
        <v>46006</v>
      </c>
      <c r="D3029" t="s">
        <v>6028</v>
      </c>
      <c r="E3029" s="2">
        <v>5923.2</v>
      </c>
      <c r="G3029" s="3">
        <f>MONTH(Tabela1[[#This Row],[Último pagto ano]])</f>
        <v>12</v>
      </c>
      <c r="H3029" t="str">
        <f>TEXT(Tabela1[[#This Row],[Coluna2]]*29,"mmmm")</f>
        <v>dezembro</v>
      </c>
      <c r="I3029" t="str">
        <f>TEXT(MONTH(Tabela1[[#This Row],[Último pagto ano]])*29,"mmmm")</f>
        <v>dezembro</v>
      </c>
    </row>
    <row r="3030" spans="1:9" x14ac:dyDescent="0.25">
      <c r="A3030">
        <v>2025</v>
      </c>
      <c r="B3030" t="s">
        <v>6029</v>
      </c>
      <c r="C3030" s="1">
        <v>46014</v>
      </c>
      <c r="D3030" t="s">
        <v>6030</v>
      </c>
      <c r="E3030">
        <v>4.8099999999999996</v>
      </c>
      <c r="G3030" s="3">
        <f>MONTH(Tabela1[[#This Row],[Último pagto ano]])</f>
        <v>12</v>
      </c>
      <c r="H3030" t="str">
        <f>TEXT(Tabela1[[#This Row],[Coluna2]]*29,"mmmm")</f>
        <v>dezembro</v>
      </c>
      <c r="I3030" t="str">
        <f>TEXT(MONTH(Tabela1[[#This Row],[Último pagto ano]])*29,"mmmm")</f>
        <v>dezembro</v>
      </c>
    </row>
    <row r="3031" spans="1:9" x14ac:dyDescent="0.25">
      <c r="A3031">
        <v>2025</v>
      </c>
      <c r="B3031" t="s">
        <v>6031</v>
      </c>
      <c r="C3031" s="1">
        <v>45744</v>
      </c>
      <c r="D3031" t="s">
        <v>6032</v>
      </c>
      <c r="E3031">
        <v>102.6</v>
      </c>
      <c r="G3031" s="3">
        <f>MONTH(Tabela1[[#This Row],[Último pagto ano]])</f>
        <v>3</v>
      </c>
      <c r="H3031" t="str">
        <f>TEXT(Tabela1[[#This Row],[Coluna2]]*29,"mmmm")</f>
        <v>março</v>
      </c>
      <c r="I3031" t="str">
        <f>TEXT(MONTH(Tabela1[[#This Row],[Último pagto ano]])*29,"mmmm")</f>
        <v>março</v>
      </c>
    </row>
    <row r="3032" spans="1:9" x14ac:dyDescent="0.25">
      <c r="A3032">
        <v>2025</v>
      </c>
      <c r="B3032" t="s">
        <v>6033</v>
      </c>
      <c r="C3032" s="1">
        <v>45996</v>
      </c>
      <c r="D3032" t="s">
        <v>6034</v>
      </c>
      <c r="E3032" s="2">
        <v>54000</v>
      </c>
      <c r="G3032" s="3">
        <f>MONTH(Tabela1[[#This Row],[Último pagto ano]])</f>
        <v>12</v>
      </c>
      <c r="H3032" t="str">
        <f>TEXT(Tabela1[[#This Row],[Coluna2]]*29,"mmmm")</f>
        <v>dezembro</v>
      </c>
      <c r="I3032" t="str">
        <f>TEXT(MONTH(Tabela1[[#This Row],[Último pagto ano]])*29,"mmmm")</f>
        <v>dezembro</v>
      </c>
    </row>
    <row r="3033" spans="1:9" x14ac:dyDescent="0.25">
      <c r="A3033">
        <v>2025</v>
      </c>
      <c r="B3033" t="s">
        <v>6035</v>
      </c>
      <c r="C3033" s="1">
        <v>45712</v>
      </c>
      <c r="D3033" t="s">
        <v>6036</v>
      </c>
      <c r="E3033" s="2">
        <v>1400</v>
      </c>
      <c r="G3033" s="3">
        <f>MONTH(Tabela1[[#This Row],[Último pagto ano]])</f>
        <v>2</v>
      </c>
      <c r="H3033" t="str">
        <f>TEXT(Tabela1[[#This Row],[Coluna2]]*29,"mmmm")</f>
        <v>fevereiro</v>
      </c>
      <c r="I3033" t="str">
        <f>TEXT(MONTH(Tabela1[[#This Row],[Último pagto ano]])*29,"mmmm")</f>
        <v>fevereiro</v>
      </c>
    </row>
    <row r="3034" spans="1:9" x14ac:dyDescent="0.25">
      <c r="A3034">
        <v>2025</v>
      </c>
      <c r="B3034" t="s">
        <v>6037</v>
      </c>
      <c r="C3034" s="1">
        <v>46006</v>
      </c>
      <c r="D3034" t="s">
        <v>6038</v>
      </c>
      <c r="E3034" s="2">
        <v>7081.28</v>
      </c>
      <c r="G3034" s="3">
        <f>MONTH(Tabela1[[#This Row],[Último pagto ano]])</f>
        <v>12</v>
      </c>
      <c r="H3034" t="str">
        <f>TEXT(Tabela1[[#This Row],[Coluna2]]*29,"mmmm")</f>
        <v>dezembro</v>
      </c>
      <c r="I3034" t="str">
        <f>TEXT(MONTH(Tabela1[[#This Row],[Último pagto ano]])*29,"mmmm")</f>
        <v>dezembro</v>
      </c>
    </row>
    <row r="3035" spans="1:9" x14ac:dyDescent="0.25">
      <c r="A3035">
        <v>2025</v>
      </c>
      <c r="B3035" t="s">
        <v>6039</v>
      </c>
      <c r="C3035" s="1">
        <v>45775</v>
      </c>
      <c r="D3035" t="s">
        <v>6040</v>
      </c>
      <c r="E3035">
        <v>0.57999999999999996</v>
      </c>
      <c r="G3035" s="3">
        <f>MONTH(Tabela1[[#This Row],[Último pagto ano]])</f>
        <v>4</v>
      </c>
      <c r="H3035" t="str">
        <f>TEXT(Tabela1[[#This Row],[Coluna2]]*29,"mmmm")</f>
        <v>abril</v>
      </c>
      <c r="I3035" t="str">
        <f>TEXT(MONTH(Tabela1[[#This Row],[Último pagto ano]])*29,"mmmm")</f>
        <v>abril</v>
      </c>
    </row>
    <row r="3036" spans="1:9" x14ac:dyDescent="0.25">
      <c r="A3036">
        <v>2025</v>
      </c>
      <c r="B3036" t="s">
        <v>6041</v>
      </c>
      <c r="C3036" s="1">
        <v>45996</v>
      </c>
      <c r="D3036" t="s">
        <v>6042</v>
      </c>
      <c r="E3036" s="2">
        <v>17700</v>
      </c>
      <c r="G3036" s="3">
        <f>MONTH(Tabela1[[#This Row],[Último pagto ano]])</f>
        <v>12</v>
      </c>
      <c r="H3036" t="str">
        <f>TEXT(Tabela1[[#This Row],[Coluna2]]*29,"mmmm")</f>
        <v>dezembro</v>
      </c>
      <c r="I3036" t="str">
        <f>TEXT(MONTH(Tabela1[[#This Row],[Último pagto ano]])*29,"mmmm")</f>
        <v>dezembro</v>
      </c>
    </row>
    <row r="3037" spans="1:9" x14ac:dyDescent="0.25">
      <c r="A3037">
        <v>2025</v>
      </c>
      <c r="B3037" t="s">
        <v>6043</v>
      </c>
      <c r="C3037" s="1">
        <v>45954</v>
      </c>
      <c r="D3037" t="s">
        <v>6044</v>
      </c>
      <c r="E3037" s="2">
        <v>93733.2</v>
      </c>
      <c r="G3037" s="3">
        <f>MONTH(Tabela1[[#This Row],[Último pagto ano]])</f>
        <v>10</v>
      </c>
      <c r="H3037" t="str">
        <f>TEXT(Tabela1[[#This Row],[Coluna2]]*29,"mmmm")</f>
        <v>outubro</v>
      </c>
      <c r="I3037" t="str">
        <f>TEXT(MONTH(Tabela1[[#This Row],[Último pagto ano]])*29,"mmmm")</f>
        <v>outubro</v>
      </c>
    </row>
    <row r="3038" spans="1:9" x14ac:dyDescent="0.25">
      <c r="A3038">
        <v>2025</v>
      </c>
      <c r="B3038" t="s">
        <v>6045</v>
      </c>
      <c r="C3038" s="1">
        <v>46006</v>
      </c>
      <c r="D3038" t="s">
        <v>6046</v>
      </c>
      <c r="E3038" s="2">
        <v>4900</v>
      </c>
      <c r="G3038" s="3">
        <f>MONTH(Tabela1[[#This Row],[Último pagto ano]])</f>
        <v>12</v>
      </c>
      <c r="H3038" t="str">
        <f>TEXT(Tabela1[[#This Row],[Coluna2]]*29,"mmmm")</f>
        <v>dezembro</v>
      </c>
      <c r="I3038" t="str">
        <f>TEXT(MONTH(Tabela1[[#This Row],[Último pagto ano]])*29,"mmmm")</f>
        <v>dezembro</v>
      </c>
    </row>
    <row r="3039" spans="1:9" x14ac:dyDescent="0.25">
      <c r="A3039">
        <v>2025</v>
      </c>
      <c r="B3039" t="s">
        <v>6047</v>
      </c>
      <c r="C3039" s="1">
        <v>46013</v>
      </c>
      <c r="D3039" t="s">
        <v>6048</v>
      </c>
      <c r="E3039">
        <v>420</v>
      </c>
      <c r="G3039" s="3">
        <f>MONTH(Tabela1[[#This Row],[Último pagto ano]])</f>
        <v>12</v>
      </c>
      <c r="H3039" t="str">
        <f>TEXT(Tabela1[[#This Row],[Coluna2]]*29,"mmmm")</f>
        <v>dezembro</v>
      </c>
      <c r="I3039" t="str">
        <f>TEXT(MONTH(Tabela1[[#This Row],[Último pagto ano]])*29,"mmmm")</f>
        <v>dezembro</v>
      </c>
    </row>
    <row r="3040" spans="1:9" x14ac:dyDescent="0.25">
      <c r="A3040">
        <v>2025</v>
      </c>
      <c r="B3040" t="s">
        <v>6049</v>
      </c>
      <c r="C3040" s="1">
        <v>45932</v>
      </c>
      <c r="D3040" t="s">
        <v>6050</v>
      </c>
      <c r="E3040" s="2">
        <v>5980</v>
      </c>
      <c r="G3040" s="3">
        <f>MONTH(Tabela1[[#This Row],[Último pagto ano]])</f>
        <v>10</v>
      </c>
      <c r="H3040" t="str">
        <f>TEXT(Tabela1[[#This Row],[Coluna2]]*29,"mmmm")</f>
        <v>outubro</v>
      </c>
      <c r="I3040" t="str">
        <f>TEXT(MONTH(Tabela1[[#This Row],[Último pagto ano]])*29,"mmmm")</f>
        <v>outubro</v>
      </c>
    </row>
    <row r="3041" spans="1:9" x14ac:dyDescent="0.25">
      <c r="A3041">
        <v>2025</v>
      </c>
      <c r="B3041" t="s">
        <v>6051</v>
      </c>
      <c r="C3041" s="1">
        <v>45999</v>
      </c>
      <c r="D3041" t="s">
        <v>6052</v>
      </c>
      <c r="E3041" s="2">
        <v>1760</v>
      </c>
      <c r="G3041" s="3">
        <f>MONTH(Tabela1[[#This Row],[Último pagto ano]])</f>
        <v>12</v>
      </c>
      <c r="H3041" t="str">
        <f>TEXT(Tabela1[[#This Row],[Coluna2]]*29,"mmmm")</f>
        <v>dezembro</v>
      </c>
      <c r="I3041" t="str">
        <f>TEXT(MONTH(Tabela1[[#This Row],[Último pagto ano]])*29,"mmmm")</f>
        <v>dezembro</v>
      </c>
    </row>
    <row r="3042" spans="1:9" x14ac:dyDescent="0.25">
      <c r="A3042">
        <v>2025</v>
      </c>
      <c r="B3042" t="s">
        <v>6053</v>
      </c>
      <c r="C3042" s="1">
        <v>45728</v>
      </c>
      <c r="D3042" t="s">
        <v>6054</v>
      </c>
      <c r="E3042">
        <v>66</v>
      </c>
      <c r="G3042" s="3">
        <f>MONTH(Tabela1[[#This Row],[Último pagto ano]])</f>
        <v>3</v>
      </c>
      <c r="H3042" t="str">
        <f>TEXT(Tabela1[[#This Row],[Coluna2]]*29,"mmmm")</f>
        <v>março</v>
      </c>
      <c r="I3042" t="str">
        <f>TEXT(MONTH(Tabela1[[#This Row],[Último pagto ano]])*29,"mmmm")</f>
        <v>março</v>
      </c>
    </row>
    <row r="3043" spans="1:9" x14ac:dyDescent="0.25">
      <c r="A3043">
        <v>2025</v>
      </c>
      <c r="B3043" t="s">
        <v>6055</v>
      </c>
      <c r="C3043" s="1">
        <v>45712</v>
      </c>
      <c r="D3043" t="s">
        <v>6056</v>
      </c>
      <c r="E3043" s="2">
        <v>1400</v>
      </c>
      <c r="G3043" s="3">
        <f>MONTH(Tabela1[[#This Row],[Último pagto ano]])</f>
        <v>2</v>
      </c>
      <c r="H3043" t="str">
        <f>TEXT(Tabela1[[#This Row],[Coluna2]]*29,"mmmm")</f>
        <v>fevereiro</v>
      </c>
      <c r="I3043" t="str">
        <f>TEXT(MONTH(Tabela1[[#This Row],[Último pagto ano]])*29,"mmmm")</f>
        <v>fevereiro</v>
      </c>
    </row>
    <row r="3044" spans="1:9" x14ac:dyDescent="0.25">
      <c r="A3044">
        <v>2025</v>
      </c>
      <c r="B3044" t="s">
        <v>6057</v>
      </c>
      <c r="C3044" s="1">
        <v>45945</v>
      </c>
      <c r="D3044" t="s">
        <v>6058</v>
      </c>
      <c r="E3044" s="2">
        <v>77827.009999999995</v>
      </c>
      <c r="G3044" s="3">
        <f>MONTH(Tabela1[[#This Row],[Último pagto ano]])</f>
        <v>10</v>
      </c>
      <c r="H3044" t="str">
        <f>TEXT(Tabela1[[#This Row],[Coluna2]]*29,"mmmm")</f>
        <v>outubro</v>
      </c>
      <c r="I3044" t="str">
        <f>TEXT(MONTH(Tabela1[[#This Row],[Último pagto ano]])*29,"mmmm")</f>
        <v>outubro</v>
      </c>
    </row>
    <row r="3045" spans="1:9" x14ac:dyDescent="0.25">
      <c r="A3045">
        <v>2025</v>
      </c>
      <c r="B3045" t="s">
        <v>6059</v>
      </c>
      <c r="C3045" s="1">
        <v>45884</v>
      </c>
      <c r="D3045" t="s">
        <v>6060</v>
      </c>
      <c r="E3045" s="2">
        <v>20362.93</v>
      </c>
      <c r="G3045" s="3">
        <f>MONTH(Tabela1[[#This Row],[Último pagto ano]])</f>
        <v>8</v>
      </c>
      <c r="H3045" t="str">
        <f>TEXT(Tabela1[[#This Row],[Coluna2]]*29,"mmmm")</f>
        <v>agosto</v>
      </c>
      <c r="I3045" t="str">
        <f>TEXT(MONTH(Tabela1[[#This Row],[Último pagto ano]])*29,"mmmm")</f>
        <v>agosto</v>
      </c>
    </row>
    <row r="3046" spans="1:9" x14ac:dyDescent="0.25">
      <c r="A3046">
        <v>2025</v>
      </c>
      <c r="B3046" t="s">
        <v>6061</v>
      </c>
      <c r="C3046" s="1">
        <v>45722</v>
      </c>
      <c r="D3046" t="s">
        <v>6062</v>
      </c>
      <c r="E3046" s="2">
        <v>7509764.7999999998</v>
      </c>
      <c r="G3046" s="3">
        <f>MONTH(Tabela1[[#This Row],[Último pagto ano]])</f>
        <v>3</v>
      </c>
      <c r="H3046" t="str">
        <f>TEXT(Tabela1[[#This Row],[Coluna2]]*29,"mmmm")</f>
        <v>março</v>
      </c>
      <c r="I3046" t="str">
        <f>TEXT(MONTH(Tabela1[[#This Row],[Último pagto ano]])*29,"mmmm")</f>
        <v>março</v>
      </c>
    </row>
    <row r="3047" spans="1:9" x14ac:dyDescent="0.25">
      <c r="A3047">
        <v>2025</v>
      </c>
      <c r="B3047" t="s">
        <v>6063</v>
      </c>
      <c r="C3047" s="1">
        <v>45804</v>
      </c>
      <c r="D3047" t="s">
        <v>6064</v>
      </c>
      <c r="E3047">
        <v>640</v>
      </c>
      <c r="G3047" s="3">
        <f>MONTH(Tabela1[[#This Row],[Último pagto ano]])</f>
        <v>5</v>
      </c>
      <c r="H3047" t="str">
        <f>TEXT(Tabela1[[#This Row],[Coluna2]]*29,"mmmm")</f>
        <v>maio</v>
      </c>
      <c r="I3047" t="str">
        <f>TEXT(MONTH(Tabela1[[#This Row],[Último pagto ano]])*29,"mmmm")</f>
        <v>maio</v>
      </c>
    </row>
    <row r="3048" spans="1:9" x14ac:dyDescent="0.25">
      <c r="A3048">
        <v>2025</v>
      </c>
      <c r="B3048" t="s">
        <v>6065</v>
      </c>
      <c r="C3048" s="1">
        <v>45974</v>
      </c>
      <c r="D3048" t="s">
        <v>6066</v>
      </c>
      <c r="E3048" s="2">
        <v>58209.96</v>
      </c>
      <c r="G3048" s="3">
        <f>MONTH(Tabela1[[#This Row],[Último pagto ano]])</f>
        <v>11</v>
      </c>
      <c r="H3048" t="str">
        <f>TEXT(Tabela1[[#This Row],[Coluna2]]*29,"mmmm")</f>
        <v>novembro</v>
      </c>
      <c r="I3048" t="str">
        <f>TEXT(MONTH(Tabela1[[#This Row],[Último pagto ano]])*29,"mmmm")</f>
        <v>novembro</v>
      </c>
    </row>
    <row r="3049" spans="1:9" x14ac:dyDescent="0.25">
      <c r="A3049">
        <v>2025</v>
      </c>
      <c r="B3049" t="s">
        <v>6067</v>
      </c>
      <c r="C3049" s="1">
        <v>46006</v>
      </c>
      <c r="D3049" t="s">
        <v>6068</v>
      </c>
      <c r="E3049" s="2">
        <v>138680</v>
      </c>
      <c r="G3049" s="3">
        <f>MONTH(Tabela1[[#This Row],[Último pagto ano]])</f>
        <v>12</v>
      </c>
      <c r="H3049" t="str">
        <f>TEXT(Tabela1[[#This Row],[Coluna2]]*29,"mmmm")</f>
        <v>dezembro</v>
      </c>
      <c r="I3049" t="str">
        <f>TEXT(MONTH(Tabela1[[#This Row],[Último pagto ano]])*29,"mmmm")</f>
        <v>dezembro</v>
      </c>
    </row>
    <row r="3050" spans="1:9" x14ac:dyDescent="0.25">
      <c r="A3050">
        <v>2025</v>
      </c>
      <c r="B3050" t="s">
        <v>6069</v>
      </c>
      <c r="C3050" s="1">
        <v>45849</v>
      </c>
      <c r="D3050" t="s">
        <v>6070</v>
      </c>
      <c r="E3050" s="2">
        <v>1150</v>
      </c>
      <c r="G3050" s="3">
        <f>MONTH(Tabela1[[#This Row],[Último pagto ano]])</f>
        <v>7</v>
      </c>
      <c r="H3050" t="str">
        <f>TEXT(Tabela1[[#This Row],[Coluna2]]*29,"mmmm")</f>
        <v>julho</v>
      </c>
      <c r="I3050" t="str">
        <f>TEXT(MONTH(Tabela1[[#This Row],[Último pagto ano]])*29,"mmmm")</f>
        <v>julho</v>
      </c>
    </row>
    <row r="3051" spans="1:9" x14ac:dyDescent="0.25">
      <c r="A3051">
        <v>2025</v>
      </c>
      <c r="B3051" t="s">
        <v>6071</v>
      </c>
      <c r="C3051" s="1">
        <v>45985</v>
      </c>
      <c r="D3051" t="s">
        <v>6072</v>
      </c>
      <c r="E3051" s="2">
        <v>83193.600000000006</v>
      </c>
      <c r="G3051" s="3">
        <f>MONTH(Tabela1[[#This Row],[Último pagto ano]])</f>
        <v>11</v>
      </c>
      <c r="H3051" t="str">
        <f>TEXT(Tabela1[[#This Row],[Coluna2]]*29,"mmmm")</f>
        <v>novembro</v>
      </c>
      <c r="I3051" t="str">
        <f>TEXT(MONTH(Tabela1[[#This Row],[Último pagto ano]])*29,"mmmm")</f>
        <v>novembro</v>
      </c>
    </row>
    <row r="3052" spans="1:9" x14ac:dyDescent="0.25">
      <c r="A3052">
        <v>2025</v>
      </c>
      <c r="B3052" t="s">
        <v>6073</v>
      </c>
      <c r="C3052" s="1">
        <v>45978</v>
      </c>
      <c r="D3052" t="s">
        <v>6074</v>
      </c>
      <c r="E3052" s="2">
        <v>1094.5999999999999</v>
      </c>
      <c r="G3052" s="3">
        <f>MONTH(Tabela1[[#This Row],[Último pagto ano]])</f>
        <v>11</v>
      </c>
      <c r="H3052" t="str">
        <f>TEXT(Tabela1[[#This Row],[Coluna2]]*29,"mmmm")</f>
        <v>novembro</v>
      </c>
      <c r="I3052" t="str">
        <f>TEXT(MONTH(Tabela1[[#This Row],[Último pagto ano]])*29,"mmmm")</f>
        <v>novembro</v>
      </c>
    </row>
    <row r="3053" spans="1:9" x14ac:dyDescent="0.25">
      <c r="A3053">
        <v>2025</v>
      </c>
      <c r="B3053" t="s">
        <v>6075</v>
      </c>
      <c r="C3053" s="1">
        <v>46014</v>
      </c>
      <c r="D3053" t="s">
        <v>6076</v>
      </c>
      <c r="E3053" s="2">
        <v>10885699.85</v>
      </c>
      <c r="G3053" s="3">
        <f>MONTH(Tabela1[[#This Row],[Último pagto ano]])</f>
        <v>12</v>
      </c>
      <c r="H3053" t="str">
        <f>TEXT(Tabela1[[#This Row],[Coluna2]]*29,"mmmm")</f>
        <v>dezembro</v>
      </c>
      <c r="I3053" t="str">
        <f>TEXT(MONTH(Tabela1[[#This Row],[Último pagto ano]])*29,"mmmm")</f>
        <v>dezembro</v>
      </c>
    </row>
    <row r="3054" spans="1:9" x14ac:dyDescent="0.25">
      <c r="A3054">
        <v>2025</v>
      </c>
      <c r="B3054" t="s">
        <v>6077</v>
      </c>
      <c r="C3054" s="1">
        <v>45996</v>
      </c>
      <c r="D3054" t="s">
        <v>6078</v>
      </c>
      <c r="E3054" s="2">
        <v>2225915.52</v>
      </c>
      <c r="G3054" s="3">
        <f>MONTH(Tabela1[[#This Row],[Último pagto ano]])</f>
        <v>12</v>
      </c>
      <c r="H3054" t="str">
        <f>TEXT(Tabela1[[#This Row],[Coluna2]]*29,"mmmm")</f>
        <v>dezembro</v>
      </c>
      <c r="I3054" t="str">
        <f>TEXT(MONTH(Tabela1[[#This Row],[Último pagto ano]])*29,"mmmm")</f>
        <v>dezembro</v>
      </c>
    </row>
    <row r="3055" spans="1:9" x14ac:dyDescent="0.25">
      <c r="A3055">
        <v>2025</v>
      </c>
      <c r="B3055" t="s">
        <v>6079</v>
      </c>
      <c r="C3055" s="1">
        <v>45785</v>
      </c>
      <c r="D3055" t="s">
        <v>6080</v>
      </c>
      <c r="E3055" s="2">
        <v>2158.98</v>
      </c>
      <c r="G3055" s="3">
        <f>MONTH(Tabela1[[#This Row],[Último pagto ano]])</f>
        <v>5</v>
      </c>
      <c r="H3055" t="str">
        <f>TEXT(Tabela1[[#This Row],[Coluna2]]*29,"mmmm")</f>
        <v>maio</v>
      </c>
      <c r="I3055" t="str">
        <f>TEXT(MONTH(Tabela1[[#This Row],[Último pagto ano]])*29,"mmmm")</f>
        <v>maio</v>
      </c>
    </row>
    <row r="3056" spans="1:9" x14ac:dyDescent="0.25">
      <c r="A3056">
        <v>2025</v>
      </c>
      <c r="B3056" t="s">
        <v>6081</v>
      </c>
      <c r="C3056" s="1">
        <v>45971</v>
      </c>
      <c r="D3056" t="s">
        <v>6082</v>
      </c>
      <c r="E3056">
        <v>44</v>
      </c>
      <c r="G3056" s="3">
        <f>MONTH(Tabela1[[#This Row],[Último pagto ano]])</f>
        <v>11</v>
      </c>
      <c r="H3056" t="str">
        <f>TEXT(Tabela1[[#This Row],[Coluna2]]*29,"mmmm")</f>
        <v>novembro</v>
      </c>
      <c r="I3056" t="str">
        <f>TEXT(MONTH(Tabela1[[#This Row],[Último pagto ano]])*29,"mmmm")</f>
        <v>novembro</v>
      </c>
    </row>
    <row r="3057" spans="1:9" x14ac:dyDescent="0.25">
      <c r="A3057">
        <v>2025</v>
      </c>
      <c r="B3057" t="s">
        <v>6083</v>
      </c>
      <c r="C3057" s="1">
        <v>45897</v>
      </c>
      <c r="D3057" t="s">
        <v>6084</v>
      </c>
      <c r="E3057" s="2">
        <v>1766.7</v>
      </c>
      <c r="G3057" s="3">
        <f>MONTH(Tabela1[[#This Row],[Último pagto ano]])</f>
        <v>8</v>
      </c>
      <c r="H3057" t="str">
        <f>TEXT(Tabela1[[#This Row],[Coluna2]]*29,"mmmm")</f>
        <v>agosto</v>
      </c>
      <c r="I3057" t="str">
        <f>TEXT(MONTH(Tabela1[[#This Row],[Último pagto ano]])*29,"mmmm")</f>
        <v>agosto</v>
      </c>
    </row>
    <row r="3058" spans="1:9" x14ac:dyDescent="0.25">
      <c r="A3058">
        <v>2025</v>
      </c>
      <c r="B3058" t="s">
        <v>6085</v>
      </c>
      <c r="C3058" s="1">
        <v>45989</v>
      </c>
      <c r="D3058" t="s">
        <v>6086</v>
      </c>
      <c r="E3058" s="2">
        <v>3279.63</v>
      </c>
      <c r="G3058" s="3">
        <f>MONTH(Tabela1[[#This Row],[Último pagto ano]])</f>
        <v>11</v>
      </c>
      <c r="H3058" t="str">
        <f>TEXT(Tabela1[[#This Row],[Coluna2]]*29,"mmmm")</f>
        <v>novembro</v>
      </c>
      <c r="I3058" t="str">
        <f>TEXT(MONTH(Tabela1[[#This Row],[Último pagto ano]])*29,"mmmm")</f>
        <v>novembro</v>
      </c>
    </row>
    <row r="3059" spans="1:9" x14ac:dyDescent="0.25">
      <c r="A3059">
        <v>2025</v>
      </c>
      <c r="B3059" t="s">
        <v>6087</v>
      </c>
      <c r="C3059" s="1">
        <v>46021</v>
      </c>
      <c r="D3059" t="s">
        <v>6088</v>
      </c>
      <c r="E3059" s="2">
        <v>11431.3</v>
      </c>
      <c r="G3059" s="3">
        <f>MONTH(Tabela1[[#This Row],[Último pagto ano]])</f>
        <v>12</v>
      </c>
      <c r="H3059" t="str">
        <f>TEXT(Tabela1[[#This Row],[Coluna2]]*29,"mmmm")</f>
        <v>dezembro</v>
      </c>
      <c r="I3059" t="str">
        <f>TEXT(MONTH(Tabela1[[#This Row],[Último pagto ano]])*29,"mmmm")</f>
        <v>dezembro</v>
      </c>
    </row>
    <row r="3060" spans="1:9" x14ac:dyDescent="0.25">
      <c r="A3060">
        <v>2025</v>
      </c>
      <c r="B3060" t="s">
        <v>6089</v>
      </c>
      <c r="C3060" s="1">
        <v>45989</v>
      </c>
      <c r="D3060" t="s">
        <v>6090</v>
      </c>
      <c r="E3060" s="2">
        <v>11700.16</v>
      </c>
      <c r="G3060" s="3">
        <f>MONTH(Tabela1[[#This Row],[Último pagto ano]])</f>
        <v>11</v>
      </c>
      <c r="H3060" t="str">
        <f>TEXT(Tabela1[[#This Row],[Coluna2]]*29,"mmmm")</f>
        <v>novembro</v>
      </c>
      <c r="I3060" t="str">
        <f>TEXT(MONTH(Tabela1[[#This Row],[Último pagto ano]])*29,"mmmm")</f>
        <v>novembro</v>
      </c>
    </row>
    <row r="3061" spans="1:9" x14ac:dyDescent="0.25">
      <c r="A3061">
        <v>2025</v>
      </c>
      <c r="B3061" t="s">
        <v>6091</v>
      </c>
      <c r="C3061" s="1">
        <v>46006</v>
      </c>
      <c r="D3061" t="s">
        <v>6092</v>
      </c>
      <c r="E3061" s="2">
        <v>22132.32</v>
      </c>
      <c r="G3061" s="3">
        <f>MONTH(Tabela1[[#This Row],[Último pagto ano]])</f>
        <v>12</v>
      </c>
      <c r="H3061" t="str">
        <f>TEXT(Tabela1[[#This Row],[Coluna2]]*29,"mmmm")</f>
        <v>dezembro</v>
      </c>
      <c r="I3061" t="str">
        <f>TEXT(MONTH(Tabela1[[#This Row],[Último pagto ano]])*29,"mmmm")</f>
        <v>dezembro</v>
      </c>
    </row>
    <row r="3062" spans="1:9" x14ac:dyDescent="0.25">
      <c r="A3062">
        <v>2025</v>
      </c>
      <c r="B3062" t="s">
        <v>6093</v>
      </c>
      <c r="C3062" s="1">
        <v>45853</v>
      </c>
      <c r="D3062" t="s">
        <v>6094</v>
      </c>
      <c r="E3062" s="2">
        <v>6191.29</v>
      </c>
      <c r="G3062" s="3">
        <f>MONTH(Tabela1[[#This Row],[Último pagto ano]])</f>
        <v>7</v>
      </c>
      <c r="H3062" t="str">
        <f>TEXT(Tabela1[[#This Row],[Coluna2]]*29,"mmmm")</f>
        <v>julho</v>
      </c>
      <c r="I3062" t="str">
        <f>TEXT(MONTH(Tabela1[[#This Row],[Último pagto ano]])*29,"mmmm")</f>
        <v>julho</v>
      </c>
    </row>
    <row r="3063" spans="1:9" x14ac:dyDescent="0.25">
      <c r="A3063">
        <v>2025</v>
      </c>
      <c r="B3063" t="s">
        <v>6095</v>
      </c>
      <c r="C3063" s="1">
        <v>45964</v>
      </c>
      <c r="D3063" t="s">
        <v>6096</v>
      </c>
      <c r="E3063">
        <v>264</v>
      </c>
      <c r="G3063" s="3">
        <f>MONTH(Tabela1[[#This Row],[Último pagto ano]])</f>
        <v>11</v>
      </c>
      <c r="H3063" t="str">
        <f>TEXT(Tabela1[[#This Row],[Coluna2]]*29,"mmmm")</f>
        <v>novembro</v>
      </c>
      <c r="I3063" t="str">
        <f>TEXT(MONTH(Tabela1[[#This Row],[Último pagto ano]])*29,"mmmm")</f>
        <v>novembro</v>
      </c>
    </row>
    <row r="3064" spans="1:9" x14ac:dyDescent="0.25">
      <c r="A3064">
        <v>2025</v>
      </c>
      <c r="B3064" t="s">
        <v>6097</v>
      </c>
      <c r="C3064" s="1">
        <v>45996</v>
      </c>
      <c r="D3064" t="s">
        <v>6098</v>
      </c>
      <c r="E3064" s="2">
        <v>30000</v>
      </c>
      <c r="G3064" s="3">
        <f>MONTH(Tabela1[[#This Row],[Último pagto ano]])</f>
        <v>12</v>
      </c>
      <c r="H3064" t="str">
        <f>TEXT(Tabela1[[#This Row],[Coluna2]]*29,"mmmm")</f>
        <v>dezembro</v>
      </c>
      <c r="I3064" t="str">
        <f>TEXT(MONTH(Tabela1[[#This Row],[Último pagto ano]])*29,"mmmm")</f>
        <v>dezembro</v>
      </c>
    </row>
    <row r="3065" spans="1:9" x14ac:dyDescent="0.25">
      <c r="A3065">
        <v>2025</v>
      </c>
      <c r="B3065" t="s">
        <v>6099</v>
      </c>
      <c r="C3065" s="1">
        <v>45861</v>
      </c>
      <c r="D3065" t="s">
        <v>6100</v>
      </c>
      <c r="E3065" s="2">
        <v>6382.7</v>
      </c>
      <c r="G3065" s="3">
        <f>MONTH(Tabela1[[#This Row],[Último pagto ano]])</f>
        <v>7</v>
      </c>
      <c r="H3065" t="str">
        <f>TEXT(Tabela1[[#This Row],[Coluna2]]*29,"mmmm")</f>
        <v>julho</v>
      </c>
      <c r="I3065" t="str">
        <f>TEXT(MONTH(Tabela1[[#This Row],[Último pagto ano]])*29,"mmmm")</f>
        <v>julho</v>
      </c>
    </row>
    <row r="3066" spans="1:9" x14ac:dyDescent="0.25">
      <c r="A3066">
        <v>2025</v>
      </c>
      <c r="B3066" t="s">
        <v>6101</v>
      </c>
      <c r="C3066" s="1">
        <v>46014</v>
      </c>
      <c r="D3066" t="s">
        <v>6102</v>
      </c>
      <c r="E3066">
        <v>121</v>
      </c>
      <c r="G3066" s="3">
        <f>MONTH(Tabela1[[#This Row],[Último pagto ano]])</f>
        <v>12</v>
      </c>
      <c r="H3066" t="str">
        <f>TEXT(Tabela1[[#This Row],[Coluna2]]*29,"mmmm")</f>
        <v>dezembro</v>
      </c>
      <c r="I3066" t="str">
        <f>TEXT(MONTH(Tabela1[[#This Row],[Último pagto ano]])*29,"mmmm")</f>
        <v>dezembro</v>
      </c>
    </row>
    <row r="3067" spans="1:9" x14ac:dyDescent="0.25">
      <c r="A3067">
        <v>2025</v>
      </c>
      <c r="B3067" t="s">
        <v>6103</v>
      </c>
      <c r="C3067" s="1">
        <v>45964</v>
      </c>
      <c r="D3067" t="s">
        <v>6104</v>
      </c>
      <c r="E3067">
        <v>198</v>
      </c>
      <c r="G3067" s="3">
        <f>MONTH(Tabela1[[#This Row],[Último pagto ano]])</f>
        <v>11</v>
      </c>
      <c r="H3067" t="str">
        <f>TEXT(Tabela1[[#This Row],[Coluna2]]*29,"mmmm")</f>
        <v>novembro</v>
      </c>
      <c r="I3067" t="str">
        <f>TEXT(MONTH(Tabela1[[#This Row],[Último pagto ano]])*29,"mmmm")</f>
        <v>novembro</v>
      </c>
    </row>
    <row r="3068" spans="1:9" x14ac:dyDescent="0.25">
      <c r="A3068">
        <v>2025</v>
      </c>
      <c r="B3068" t="s">
        <v>6105</v>
      </c>
      <c r="C3068" s="1">
        <v>45894</v>
      </c>
      <c r="D3068" t="s">
        <v>6106</v>
      </c>
      <c r="E3068">
        <v>22</v>
      </c>
      <c r="G3068" s="3">
        <f>MONTH(Tabela1[[#This Row],[Último pagto ano]])</f>
        <v>8</v>
      </c>
      <c r="H3068" t="str">
        <f>TEXT(Tabela1[[#This Row],[Coluna2]]*29,"mmmm")</f>
        <v>agosto</v>
      </c>
      <c r="I3068" t="str">
        <f>TEXT(MONTH(Tabela1[[#This Row],[Último pagto ano]])*29,"mmmm")</f>
        <v>agosto</v>
      </c>
    </row>
    <row r="3069" spans="1:9" x14ac:dyDescent="0.25">
      <c r="A3069">
        <v>2025</v>
      </c>
      <c r="B3069" t="s">
        <v>6107</v>
      </c>
      <c r="C3069" s="1">
        <v>45975</v>
      </c>
      <c r="D3069" t="s">
        <v>6108</v>
      </c>
      <c r="E3069" s="2">
        <v>3500</v>
      </c>
      <c r="G3069" s="3">
        <f>MONTH(Tabela1[[#This Row],[Último pagto ano]])</f>
        <v>11</v>
      </c>
      <c r="H3069" t="str">
        <f>TEXT(Tabela1[[#This Row],[Coluna2]]*29,"mmmm")</f>
        <v>novembro</v>
      </c>
      <c r="I3069" t="str">
        <f>TEXT(MONTH(Tabela1[[#This Row],[Último pagto ano]])*29,"mmmm")</f>
        <v>novembro</v>
      </c>
    </row>
    <row r="3070" spans="1:9" x14ac:dyDescent="0.25">
      <c r="A3070">
        <v>2025</v>
      </c>
      <c r="B3070" t="s">
        <v>6109</v>
      </c>
      <c r="C3070" s="1">
        <v>45936</v>
      </c>
      <c r="D3070" t="s">
        <v>6110</v>
      </c>
      <c r="E3070">
        <v>154</v>
      </c>
      <c r="G3070" s="3">
        <f>MONTH(Tabela1[[#This Row],[Último pagto ano]])</f>
        <v>10</v>
      </c>
      <c r="H3070" t="str">
        <f>TEXT(Tabela1[[#This Row],[Coluna2]]*29,"mmmm")</f>
        <v>outubro</v>
      </c>
      <c r="I3070" t="str">
        <f>TEXT(MONTH(Tabela1[[#This Row],[Último pagto ano]])*29,"mmmm")</f>
        <v>outubro</v>
      </c>
    </row>
    <row r="3071" spans="1:9" x14ac:dyDescent="0.25">
      <c r="A3071">
        <v>2025</v>
      </c>
      <c r="B3071" t="s">
        <v>6111</v>
      </c>
      <c r="C3071" s="1">
        <v>46014</v>
      </c>
      <c r="D3071" t="s">
        <v>6112</v>
      </c>
      <c r="E3071">
        <v>699.73</v>
      </c>
      <c r="G3071" s="3">
        <f>MONTH(Tabela1[[#This Row],[Último pagto ano]])</f>
        <v>12</v>
      </c>
      <c r="H3071" t="str">
        <f>TEXT(Tabela1[[#This Row],[Coluna2]]*29,"mmmm")</f>
        <v>dezembro</v>
      </c>
      <c r="I3071" t="str">
        <f>TEXT(MONTH(Tabela1[[#This Row],[Último pagto ano]])*29,"mmmm")</f>
        <v>dezembro</v>
      </c>
    </row>
    <row r="3072" spans="1:9" x14ac:dyDescent="0.25">
      <c r="A3072">
        <v>2025</v>
      </c>
      <c r="B3072" t="s">
        <v>6113</v>
      </c>
      <c r="C3072" s="1">
        <v>45845</v>
      </c>
      <c r="D3072" t="s">
        <v>6114</v>
      </c>
      <c r="E3072" s="2">
        <v>37800</v>
      </c>
      <c r="G3072" s="3">
        <f>MONTH(Tabela1[[#This Row],[Último pagto ano]])</f>
        <v>7</v>
      </c>
      <c r="H3072" t="str">
        <f>TEXT(Tabela1[[#This Row],[Coluna2]]*29,"mmmm")</f>
        <v>julho</v>
      </c>
      <c r="I3072" t="str">
        <f>TEXT(MONTH(Tabela1[[#This Row],[Último pagto ano]])*29,"mmmm")</f>
        <v>julho</v>
      </c>
    </row>
    <row r="3073" spans="1:9" x14ac:dyDescent="0.25">
      <c r="A3073">
        <v>2025</v>
      </c>
      <c r="B3073" t="s">
        <v>6115</v>
      </c>
      <c r="C3073" s="1">
        <v>45996</v>
      </c>
      <c r="D3073" t="s">
        <v>6116</v>
      </c>
      <c r="E3073" s="2">
        <v>64800</v>
      </c>
      <c r="G3073" s="3">
        <f>MONTH(Tabela1[[#This Row],[Último pagto ano]])</f>
        <v>12</v>
      </c>
      <c r="H3073" t="str">
        <f>TEXT(Tabela1[[#This Row],[Coluna2]]*29,"mmmm")</f>
        <v>dezembro</v>
      </c>
      <c r="I3073" t="str">
        <f>TEXT(MONTH(Tabela1[[#This Row],[Último pagto ano]])*29,"mmmm")</f>
        <v>dezembro</v>
      </c>
    </row>
    <row r="3074" spans="1:9" x14ac:dyDescent="0.25">
      <c r="A3074">
        <v>2025</v>
      </c>
      <c r="B3074" t="s">
        <v>6117</v>
      </c>
      <c r="C3074" s="1">
        <v>45999</v>
      </c>
      <c r="D3074" t="s">
        <v>6118</v>
      </c>
      <c r="E3074">
        <v>121</v>
      </c>
      <c r="G3074" s="3">
        <f>MONTH(Tabela1[[#This Row],[Último pagto ano]])</f>
        <v>12</v>
      </c>
      <c r="H3074" t="str">
        <f>TEXT(Tabela1[[#This Row],[Coluna2]]*29,"mmmm")</f>
        <v>dezembro</v>
      </c>
      <c r="I3074" t="str">
        <f>TEXT(MONTH(Tabela1[[#This Row],[Último pagto ano]])*29,"mmmm")</f>
        <v>dezembro</v>
      </c>
    </row>
    <row r="3075" spans="1:9" x14ac:dyDescent="0.25">
      <c r="A3075">
        <v>2025</v>
      </c>
      <c r="B3075" t="s">
        <v>6119</v>
      </c>
      <c r="C3075" s="1">
        <v>46006</v>
      </c>
      <c r="D3075" t="s">
        <v>6120</v>
      </c>
      <c r="E3075">
        <v>178</v>
      </c>
      <c r="G3075" s="3">
        <f>MONTH(Tabela1[[#This Row],[Último pagto ano]])</f>
        <v>12</v>
      </c>
      <c r="H3075" t="str">
        <f>TEXT(Tabela1[[#This Row],[Coluna2]]*29,"mmmm")</f>
        <v>dezembro</v>
      </c>
      <c r="I3075" t="str">
        <f>TEXT(MONTH(Tabela1[[#This Row],[Último pagto ano]])*29,"mmmm")</f>
        <v>dezembro</v>
      </c>
    </row>
    <row r="3076" spans="1:9" x14ac:dyDescent="0.25">
      <c r="A3076">
        <v>2025</v>
      </c>
      <c r="B3076" t="s">
        <v>6121</v>
      </c>
      <c r="C3076" s="1">
        <v>45733</v>
      </c>
      <c r="D3076" t="s">
        <v>6122</v>
      </c>
      <c r="E3076">
        <v>370.16</v>
      </c>
      <c r="G3076" s="3">
        <f>MONTH(Tabela1[[#This Row],[Último pagto ano]])</f>
        <v>3</v>
      </c>
      <c r="H3076" t="str">
        <f>TEXT(Tabela1[[#This Row],[Coluna2]]*29,"mmmm")</f>
        <v>março</v>
      </c>
      <c r="I3076" t="str">
        <f>TEXT(MONTH(Tabela1[[#This Row],[Último pagto ano]])*29,"mmmm")</f>
        <v>março</v>
      </c>
    </row>
    <row r="3077" spans="1:9" x14ac:dyDescent="0.25">
      <c r="A3077">
        <v>2025</v>
      </c>
      <c r="B3077" t="s">
        <v>6123</v>
      </c>
      <c r="C3077" s="1">
        <v>45996</v>
      </c>
      <c r="D3077" t="s">
        <v>6124</v>
      </c>
      <c r="E3077" s="2">
        <v>52228.800000000003</v>
      </c>
      <c r="G3077" s="3">
        <f>MONTH(Tabela1[[#This Row],[Último pagto ano]])</f>
        <v>12</v>
      </c>
      <c r="H3077" t="str">
        <f>TEXT(Tabela1[[#This Row],[Coluna2]]*29,"mmmm")</f>
        <v>dezembro</v>
      </c>
      <c r="I3077" t="str">
        <f>TEXT(MONTH(Tabela1[[#This Row],[Último pagto ano]])*29,"mmmm")</f>
        <v>dezembro</v>
      </c>
    </row>
    <row r="3078" spans="1:9" x14ac:dyDescent="0.25">
      <c r="A3078">
        <v>2025</v>
      </c>
      <c r="B3078" t="s">
        <v>6125</v>
      </c>
      <c r="C3078" s="1">
        <v>45999</v>
      </c>
      <c r="D3078" t="s">
        <v>6126</v>
      </c>
      <c r="E3078">
        <v>22</v>
      </c>
      <c r="G3078" s="3">
        <f>MONTH(Tabela1[[#This Row],[Último pagto ano]])</f>
        <v>12</v>
      </c>
      <c r="H3078" t="str">
        <f>TEXT(Tabela1[[#This Row],[Coluna2]]*29,"mmmm")</f>
        <v>dezembro</v>
      </c>
      <c r="I3078" t="str">
        <f>TEXT(MONTH(Tabela1[[#This Row],[Último pagto ano]])*29,"mmmm")</f>
        <v>dezembro</v>
      </c>
    </row>
    <row r="3079" spans="1:9" x14ac:dyDescent="0.25">
      <c r="A3079">
        <v>2025</v>
      </c>
      <c r="B3079" t="s">
        <v>6127</v>
      </c>
      <c r="C3079" s="1">
        <v>46010</v>
      </c>
      <c r="D3079" t="s">
        <v>6128</v>
      </c>
      <c r="E3079" s="2">
        <v>9800</v>
      </c>
      <c r="G3079" s="3">
        <f>MONTH(Tabela1[[#This Row],[Último pagto ano]])</f>
        <v>12</v>
      </c>
      <c r="H3079" t="str">
        <f>TEXT(Tabela1[[#This Row],[Coluna2]]*29,"mmmm")</f>
        <v>dezembro</v>
      </c>
      <c r="I3079" t="str">
        <f>TEXT(MONTH(Tabela1[[#This Row],[Último pagto ano]])*29,"mmmm")</f>
        <v>dezembro</v>
      </c>
    </row>
    <row r="3080" spans="1:9" x14ac:dyDescent="0.25">
      <c r="A3080">
        <v>2025</v>
      </c>
      <c r="B3080" t="s">
        <v>6129</v>
      </c>
      <c r="C3080" s="1">
        <v>45674</v>
      </c>
      <c r="D3080" t="s">
        <v>6130</v>
      </c>
      <c r="E3080" s="2">
        <v>6200.4</v>
      </c>
      <c r="G3080" s="3">
        <f>MONTH(Tabela1[[#This Row],[Último pagto ano]])</f>
        <v>1</v>
      </c>
      <c r="H3080" t="str">
        <f>TEXT(Tabela1[[#This Row],[Coluna2]]*29,"mmmm")</f>
        <v>janeiro</v>
      </c>
      <c r="I3080" t="str">
        <f>TEXT(MONTH(Tabela1[[#This Row],[Último pagto ano]])*29,"mmmm")</f>
        <v>janeiro</v>
      </c>
    </row>
    <row r="3081" spans="1:9" x14ac:dyDescent="0.25">
      <c r="A3081">
        <v>2025</v>
      </c>
      <c r="B3081" t="s">
        <v>6131</v>
      </c>
      <c r="C3081" s="1">
        <v>45996</v>
      </c>
      <c r="D3081" t="s">
        <v>6132</v>
      </c>
      <c r="E3081" s="2">
        <v>18900</v>
      </c>
      <c r="G3081" s="3">
        <f>MONTH(Tabela1[[#This Row],[Último pagto ano]])</f>
        <v>12</v>
      </c>
      <c r="H3081" t="str">
        <f>TEXT(Tabela1[[#This Row],[Coluna2]]*29,"mmmm")</f>
        <v>dezembro</v>
      </c>
      <c r="I3081" t="str">
        <f>TEXT(MONTH(Tabela1[[#This Row],[Último pagto ano]])*29,"mmmm")</f>
        <v>dezembro</v>
      </c>
    </row>
    <row r="3082" spans="1:9" x14ac:dyDescent="0.25">
      <c r="A3082">
        <v>2025</v>
      </c>
      <c r="B3082" t="s">
        <v>6133</v>
      </c>
      <c r="C3082" s="1">
        <v>45817</v>
      </c>
      <c r="D3082" t="s">
        <v>6134</v>
      </c>
      <c r="E3082">
        <v>494.55</v>
      </c>
      <c r="G3082" s="3">
        <f>MONTH(Tabela1[[#This Row],[Último pagto ano]])</f>
        <v>6</v>
      </c>
      <c r="H3082" t="str">
        <f>TEXT(Tabela1[[#This Row],[Coluna2]]*29,"mmmm")</f>
        <v>junho</v>
      </c>
      <c r="I3082" t="str">
        <f>TEXT(MONTH(Tabela1[[#This Row],[Último pagto ano]])*29,"mmmm")</f>
        <v>junho</v>
      </c>
    </row>
    <row r="3083" spans="1:9" x14ac:dyDescent="0.25">
      <c r="A3083">
        <v>2025</v>
      </c>
      <c r="B3083" t="s">
        <v>6135</v>
      </c>
      <c r="C3083" s="1">
        <v>46014</v>
      </c>
      <c r="D3083" t="s">
        <v>6136</v>
      </c>
      <c r="E3083" s="2">
        <v>9108</v>
      </c>
      <c r="G3083" s="3">
        <f>MONTH(Tabela1[[#This Row],[Último pagto ano]])</f>
        <v>12</v>
      </c>
      <c r="H3083" t="str">
        <f>TEXT(Tabela1[[#This Row],[Coluna2]]*29,"mmmm")</f>
        <v>dezembro</v>
      </c>
      <c r="I3083" t="str">
        <f>TEXT(MONTH(Tabela1[[#This Row],[Último pagto ano]])*29,"mmmm")</f>
        <v>dezembro</v>
      </c>
    </row>
    <row r="3084" spans="1:9" x14ac:dyDescent="0.25">
      <c r="A3084">
        <v>2025</v>
      </c>
      <c r="B3084" t="s">
        <v>6137</v>
      </c>
      <c r="C3084" s="1">
        <v>46014</v>
      </c>
      <c r="D3084" t="s">
        <v>6138</v>
      </c>
      <c r="E3084">
        <v>88</v>
      </c>
      <c r="G3084" s="3">
        <f>MONTH(Tabela1[[#This Row],[Último pagto ano]])</f>
        <v>12</v>
      </c>
      <c r="H3084" t="str">
        <f>TEXT(Tabela1[[#This Row],[Coluna2]]*29,"mmmm")</f>
        <v>dezembro</v>
      </c>
      <c r="I3084" t="str">
        <f>TEXT(MONTH(Tabela1[[#This Row],[Último pagto ano]])*29,"mmmm")</f>
        <v>dezembro</v>
      </c>
    </row>
    <row r="3085" spans="1:9" x14ac:dyDescent="0.25">
      <c r="A3085">
        <v>2025</v>
      </c>
      <c r="B3085" t="s">
        <v>6139</v>
      </c>
      <c r="C3085" s="1">
        <v>45698</v>
      </c>
      <c r="D3085" t="s">
        <v>6140</v>
      </c>
      <c r="E3085">
        <v>296.39999999999998</v>
      </c>
      <c r="G3085" s="3">
        <f>MONTH(Tabela1[[#This Row],[Último pagto ano]])</f>
        <v>2</v>
      </c>
      <c r="H3085" t="str">
        <f>TEXT(Tabela1[[#This Row],[Coluna2]]*29,"mmmm")</f>
        <v>fevereiro</v>
      </c>
      <c r="I3085" t="str">
        <f>TEXT(MONTH(Tabela1[[#This Row],[Último pagto ano]])*29,"mmmm")</f>
        <v>fevereiro</v>
      </c>
    </row>
    <row r="3086" spans="1:9" x14ac:dyDescent="0.25">
      <c r="A3086">
        <v>2025</v>
      </c>
      <c r="B3086" t="s">
        <v>6141</v>
      </c>
      <c r="C3086" s="1">
        <v>46010</v>
      </c>
      <c r="D3086" t="s">
        <v>6142</v>
      </c>
      <c r="E3086" s="2">
        <v>1400</v>
      </c>
      <c r="G3086" s="3">
        <f>MONTH(Tabela1[[#This Row],[Último pagto ano]])</f>
        <v>12</v>
      </c>
      <c r="H3086" t="str">
        <f>TEXT(Tabela1[[#This Row],[Coluna2]]*29,"mmmm")</f>
        <v>dezembro</v>
      </c>
      <c r="I3086" t="str">
        <f>TEXT(MONTH(Tabela1[[#This Row],[Último pagto ano]])*29,"mmmm")</f>
        <v>dezembro</v>
      </c>
    </row>
    <row r="3087" spans="1:9" x14ac:dyDescent="0.25">
      <c r="A3087">
        <v>2025</v>
      </c>
      <c r="B3087" t="s">
        <v>6143</v>
      </c>
      <c r="C3087" s="1">
        <v>46006</v>
      </c>
      <c r="D3087" t="s">
        <v>6144</v>
      </c>
      <c r="E3087" s="2">
        <v>30346.3</v>
      </c>
      <c r="G3087" s="3">
        <f>MONTH(Tabela1[[#This Row],[Último pagto ano]])</f>
        <v>12</v>
      </c>
      <c r="H3087" t="str">
        <f>TEXT(Tabela1[[#This Row],[Coluna2]]*29,"mmmm")</f>
        <v>dezembro</v>
      </c>
      <c r="I3087" t="str">
        <f>TEXT(MONTH(Tabela1[[#This Row],[Último pagto ano]])*29,"mmmm")</f>
        <v>dezembro</v>
      </c>
    </row>
    <row r="3088" spans="1:9" x14ac:dyDescent="0.25">
      <c r="A3088">
        <v>2025</v>
      </c>
      <c r="B3088" t="s">
        <v>6145</v>
      </c>
      <c r="C3088" s="1">
        <v>45796</v>
      </c>
      <c r="D3088" t="s">
        <v>6146</v>
      </c>
      <c r="E3088" s="2">
        <v>11462.81</v>
      </c>
      <c r="G3088" s="3">
        <f>MONTH(Tabela1[[#This Row],[Último pagto ano]])</f>
        <v>5</v>
      </c>
      <c r="H3088" t="str">
        <f>TEXT(Tabela1[[#This Row],[Coluna2]]*29,"mmmm")</f>
        <v>maio</v>
      </c>
      <c r="I3088" t="str">
        <f>TEXT(MONTH(Tabela1[[#This Row],[Último pagto ano]])*29,"mmmm")</f>
        <v>maio</v>
      </c>
    </row>
    <row r="3089" spans="1:9" x14ac:dyDescent="0.25">
      <c r="A3089">
        <v>2025</v>
      </c>
      <c r="B3089" t="s">
        <v>6147</v>
      </c>
      <c r="C3089" s="1">
        <v>46014</v>
      </c>
      <c r="D3089" t="s">
        <v>6148</v>
      </c>
      <c r="E3089" s="2">
        <v>84873.27</v>
      </c>
      <c r="G3089" s="3">
        <f>MONTH(Tabela1[[#This Row],[Último pagto ano]])</f>
        <v>12</v>
      </c>
      <c r="H3089" t="str">
        <f>TEXT(Tabela1[[#This Row],[Coluna2]]*29,"mmmm")</f>
        <v>dezembro</v>
      </c>
      <c r="I3089" t="str">
        <f>TEXT(MONTH(Tabela1[[#This Row],[Último pagto ano]])*29,"mmmm")</f>
        <v>dezembro</v>
      </c>
    </row>
    <row r="3090" spans="1:9" x14ac:dyDescent="0.25">
      <c r="A3090">
        <v>2025</v>
      </c>
      <c r="B3090" t="s">
        <v>6149</v>
      </c>
      <c r="C3090" s="1">
        <v>45971</v>
      </c>
      <c r="D3090" t="s">
        <v>6150</v>
      </c>
      <c r="E3090">
        <v>242</v>
      </c>
      <c r="G3090" s="3">
        <f>MONTH(Tabela1[[#This Row],[Último pagto ano]])</f>
        <v>11</v>
      </c>
      <c r="H3090" t="str">
        <f>TEXT(Tabela1[[#This Row],[Coluna2]]*29,"mmmm")</f>
        <v>novembro</v>
      </c>
      <c r="I3090" t="str">
        <f>TEXT(MONTH(Tabela1[[#This Row],[Último pagto ano]])*29,"mmmm")</f>
        <v>novembro</v>
      </c>
    </row>
    <row r="3091" spans="1:9" x14ac:dyDescent="0.25">
      <c r="A3091">
        <v>2025</v>
      </c>
      <c r="B3091" t="s">
        <v>6151</v>
      </c>
      <c r="C3091" s="1">
        <v>46014</v>
      </c>
      <c r="D3091" t="s">
        <v>6152</v>
      </c>
      <c r="E3091" s="2">
        <v>4105</v>
      </c>
      <c r="G3091" s="3">
        <f>MONTH(Tabela1[[#This Row],[Último pagto ano]])</f>
        <v>12</v>
      </c>
      <c r="H3091" t="str">
        <f>TEXT(Tabela1[[#This Row],[Coluna2]]*29,"mmmm")</f>
        <v>dezembro</v>
      </c>
      <c r="I3091" t="str">
        <f>TEXT(MONTH(Tabela1[[#This Row],[Último pagto ano]])*29,"mmmm")</f>
        <v>dezembro</v>
      </c>
    </row>
    <row r="3092" spans="1:9" x14ac:dyDescent="0.25">
      <c r="A3092">
        <v>2025</v>
      </c>
      <c r="B3092" t="s">
        <v>6153</v>
      </c>
      <c r="C3092" s="1">
        <v>46010</v>
      </c>
      <c r="D3092" t="s">
        <v>6154</v>
      </c>
      <c r="E3092" s="2">
        <v>8400</v>
      </c>
      <c r="G3092" s="3">
        <f>MONTH(Tabela1[[#This Row],[Último pagto ano]])</f>
        <v>12</v>
      </c>
      <c r="H3092" t="str">
        <f>TEXT(Tabela1[[#This Row],[Coluna2]]*29,"mmmm")</f>
        <v>dezembro</v>
      </c>
      <c r="I3092" t="str">
        <f>TEXT(MONTH(Tabela1[[#This Row],[Último pagto ano]])*29,"mmmm")</f>
        <v>dezembro</v>
      </c>
    </row>
    <row r="3093" spans="1:9" x14ac:dyDescent="0.25">
      <c r="A3093">
        <v>2025</v>
      </c>
      <c r="B3093" t="s">
        <v>6155</v>
      </c>
      <c r="C3093" s="1">
        <v>45786</v>
      </c>
      <c r="D3093" t="s">
        <v>6156</v>
      </c>
      <c r="E3093" s="2">
        <v>27000</v>
      </c>
      <c r="G3093" s="3">
        <f>MONTH(Tabela1[[#This Row],[Último pagto ano]])</f>
        <v>5</v>
      </c>
      <c r="H3093" t="str">
        <f>TEXT(Tabela1[[#This Row],[Coluna2]]*29,"mmmm")</f>
        <v>maio</v>
      </c>
      <c r="I3093" t="str">
        <f>TEXT(MONTH(Tabela1[[#This Row],[Último pagto ano]])*29,"mmmm")</f>
        <v>maio</v>
      </c>
    </row>
    <row r="3094" spans="1:9" x14ac:dyDescent="0.25">
      <c r="A3094">
        <v>2025</v>
      </c>
      <c r="B3094" t="s">
        <v>6157</v>
      </c>
      <c r="C3094" s="1">
        <v>45995</v>
      </c>
      <c r="D3094" t="s">
        <v>6158</v>
      </c>
      <c r="E3094" s="2">
        <v>555015.07999999996</v>
      </c>
      <c r="G3094" s="3">
        <f>MONTH(Tabela1[[#This Row],[Último pagto ano]])</f>
        <v>12</v>
      </c>
      <c r="H3094" t="str">
        <f>TEXT(Tabela1[[#This Row],[Coluna2]]*29,"mmmm")</f>
        <v>dezembro</v>
      </c>
      <c r="I3094" t="str">
        <f>TEXT(MONTH(Tabela1[[#This Row],[Último pagto ano]])*29,"mmmm")</f>
        <v>dezembro</v>
      </c>
    </row>
    <row r="3095" spans="1:9" x14ac:dyDescent="0.25">
      <c r="A3095">
        <v>2025</v>
      </c>
      <c r="B3095" t="s">
        <v>6159</v>
      </c>
      <c r="C3095" s="1">
        <v>45943</v>
      </c>
      <c r="D3095" t="s">
        <v>6160</v>
      </c>
      <c r="E3095" s="2">
        <v>12219.09</v>
      </c>
      <c r="G3095" s="3">
        <f>MONTH(Tabela1[[#This Row],[Último pagto ano]])</f>
        <v>10</v>
      </c>
      <c r="H3095" t="str">
        <f>TEXT(Tabela1[[#This Row],[Coluna2]]*29,"mmmm")</f>
        <v>outubro</v>
      </c>
      <c r="I3095" t="str">
        <f>TEXT(MONTH(Tabela1[[#This Row],[Último pagto ano]])*29,"mmmm")</f>
        <v>outubro</v>
      </c>
    </row>
    <row r="3096" spans="1:9" x14ac:dyDescent="0.25">
      <c r="A3096">
        <v>2025</v>
      </c>
      <c r="B3096" t="s">
        <v>6161</v>
      </c>
      <c r="C3096" s="1">
        <v>46010</v>
      </c>
      <c r="D3096" t="s">
        <v>6162</v>
      </c>
      <c r="E3096" s="2">
        <v>9600</v>
      </c>
      <c r="G3096" s="3">
        <f>MONTH(Tabela1[[#This Row],[Último pagto ano]])</f>
        <v>12</v>
      </c>
      <c r="H3096" t="str">
        <f>TEXT(Tabela1[[#This Row],[Coluna2]]*29,"mmmm")</f>
        <v>dezembro</v>
      </c>
      <c r="I3096" t="str">
        <f>TEXT(MONTH(Tabela1[[#This Row],[Último pagto ano]])*29,"mmmm")</f>
        <v>dezembro</v>
      </c>
    </row>
    <row r="3097" spans="1:9" x14ac:dyDescent="0.25">
      <c r="A3097">
        <v>2025</v>
      </c>
      <c r="B3097" t="s">
        <v>6163</v>
      </c>
      <c r="C3097" s="1">
        <v>46021</v>
      </c>
      <c r="D3097" t="s">
        <v>6164</v>
      </c>
      <c r="E3097" s="2">
        <v>12242.48</v>
      </c>
      <c r="G3097" s="3">
        <f>MONTH(Tabela1[[#This Row],[Último pagto ano]])</f>
        <v>12</v>
      </c>
      <c r="H3097" t="str">
        <f>TEXT(Tabela1[[#This Row],[Coluna2]]*29,"mmmm")</f>
        <v>dezembro</v>
      </c>
      <c r="I3097" t="str">
        <f>TEXT(MONTH(Tabela1[[#This Row],[Último pagto ano]])*29,"mmmm")</f>
        <v>dezembro</v>
      </c>
    </row>
    <row r="3098" spans="1:9" x14ac:dyDescent="0.25">
      <c r="A3098">
        <v>2025</v>
      </c>
      <c r="B3098" t="s">
        <v>6165</v>
      </c>
      <c r="C3098" s="1">
        <v>46006</v>
      </c>
      <c r="D3098" t="s">
        <v>6166</v>
      </c>
      <c r="E3098" s="2">
        <v>4698.72</v>
      </c>
      <c r="G3098" s="3">
        <f>MONTH(Tabela1[[#This Row],[Último pagto ano]])</f>
        <v>12</v>
      </c>
      <c r="H3098" t="str">
        <f>TEXT(Tabela1[[#This Row],[Coluna2]]*29,"mmmm")</f>
        <v>dezembro</v>
      </c>
      <c r="I3098" t="str">
        <f>TEXT(MONTH(Tabela1[[#This Row],[Último pagto ano]])*29,"mmmm")</f>
        <v>dezembro</v>
      </c>
    </row>
    <row r="3099" spans="1:9" x14ac:dyDescent="0.25">
      <c r="A3099">
        <v>2025</v>
      </c>
      <c r="B3099" t="s">
        <v>6167</v>
      </c>
      <c r="C3099" s="1">
        <v>45730</v>
      </c>
      <c r="D3099" t="s">
        <v>6168</v>
      </c>
      <c r="E3099" s="2">
        <v>195762.6</v>
      </c>
      <c r="G3099" s="3">
        <f>MONTH(Tabela1[[#This Row],[Último pagto ano]])</f>
        <v>3</v>
      </c>
      <c r="H3099" t="str">
        <f>TEXT(Tabela1[[#This Row],[Coluna2]]*29,"mmmm")</f>
        <v>março</v>
      </c>
      <c r="I3099" t="str">
        <f>TEXT(MONTH(Tabela1[[#This Row],[Último pagto ano]])*29,"mmmm")</f>
        <v>março</v>
      </c>
    </row>
    <row r="3100" spans="1:9" x14ac:dyDescent="0.25">
      <c r="A3100">
        <v>2025</v>
      </c>
      <c r="B3100" t="s">
        <v>6169</v>
      </c>
      <c r="C3100" s="1">
        <v>45989</v>
      </c>
      <c r="D3100" t="s">
        <v>6170</v>
      </c>
      <c r="E3100" s="2">
        <v>2956.2</v>
      </c>
      <c r="G3100" s="3">
        <f>MONTH(Tabela1[[#This Row],[Último pagto ano]])</f>
        <v>11</v>
      </c>
      <c r="H3100" t="str">
        <f>TEXT(Tabela1[[#This Row],[Coluna2]]*29,"mmmm")</f>
        <v>novembro</v>
      </c>
      <c r="I3100" t="str">
        <f>TEXT(MONTH(Tabela1[[#This Row],[Último pagto ano]])*29,"mmmm")</f>
        <v>novembro</v>
      </c>
    </row>
    <row r="3101" spans="1:9" x14ac:dyDescent="0.25">
      <c r="A3101">
        <v>2025</v>
      </c>
      <c r="B3101" t="s">
        <v>6169</v>
      </c>
      <c r="C3101" s="1">
        <v>46006</v>
      </c>
      <c r="D3101" t="s">
        <v>6171</v>
      </c>
      <c r="E3101" s="2">
        <v>560182.02</v>
      </c>
      <c r="G3101" s="3">
        <f>MONTH(Tabela1[[#This Row],[Último pagto ano]])</f>
        <v>12</v>
      </c>
      <c r="H3101" t="str">
        <f>TEXT(Tabela1[[#This Row],[Coluna2]]*29,"mmmm")</f>
        <v>dezembro</v>
      </c>
      <c r="I3101" t="str">
        <f>TEXT(MONTH(Tabela1[[#This Row],[Último pagto ano]])*29,"mmmm")</f>
        <v>dezembro</v>
      </c>
    </row>
    <row r="3102" spans="1:9" x14ac:dyDescent="0.25">
      <c r="A3102">
        <v>2025</v>
      </c>
      <c r="B3102" t="s">
        <v>6172</v>
      </c>
      <c r="C3102" s="1">
        <v>46014</v>
      </c>
      <c r="D3102" t="s">
        <v>6173</v>
      </c>
      <c r="E3102" s="2">
        <v>1037577.02</v>
      </c>
      <c r="G3102" s="3">
        <f>MONTH(Tabela1[[#This Row],[Último pagto ano]])</f>
        <v>12</v>
      </c>
      <c r="H3102" t="str">
        <f>TEXT(Tabela1[[#This Row],[Coluna2]]*29,"mmmm")</f>
        <v>dezembro</v>
      </c>
      <c r="I3102" t="str">
        <f>TEXT(MONTH(Tabela1[[#This Row],[Último pagto ano]])*29,"mmmm")</f>
        <v>dezembro</v>
      </c>
    </row>
    <row r="3103" spans="1:9" x14ac:dyDescent="0.25">
      <c r="A3103">
        <v>2025</v>
      </c>
      <c r="B3103" t="s">
        <v>6174</v>
      </c>
      <c r="C3103" s="1">
        <v>46006</v>
      </c>
      <c r="D3103" t="s">
        <v>6175</v>
      </c>
      <c r="E3103" s="2">
        <v>21146.05</v>
      </c>
      <c r="G3103" s="3">
        <f>MONTH(Tabela1[[#This Row],[Último pagto ano]])</f>
        <v>12</v>
      </c>
      <c r="H3103" t="str">
        <f>TEXT(Tabela1[[#This Row],[Coluna2]]*29,"mmmm")</f>
        <v>dezembro</v>
      </c>
      <c r="I3103" t="str">
        <f>TEXT(MONTH(Tabela1[[#This Row],[Último pagto ano]])*29,"mmmm")</f>
        <v>dezembro</v>
      </c>
    </row>
    <row r="3104" spans="1:9" x14ac:dyDescent="0.25">
      <c r="A3104">
        <v>2025</v>
      </c>
      <c r="B3104" t="s">
        <v>6176</v>
      </c>
      <c r="C3104" s="1">
        <v>46021</v>
      </c>
      <c r="D3104" t="s">
        <v>6177</v>
      </c>
      <c r="E3104" s="2">
        <v>25176</v>
      </c>
      <c r="G3104" s="3">
        <f>MONTH(Tabela1[[#This Row],[Último pagto ano]])</f>
        <v>12</v>
      </c>
      <c r="H3104" t="str">
        <f>TEXT(Tabela1[[#This Row],[Coluna2]]*29,"mmmm")</f>
        <v>dezembro</v>
      </c>
      <c r="I3104" t="str">
        <f>TEXT(MONTH(Tabela1[[#This Row],[Último pagto ano]])*29,"mmmm")</f>
        <v>dezembro</v>
      </c>
    </row>
    <row r="3105" spans="1:9" x14ac:dyDescent="0.25">
      <c r="A3105">
        <v>2025</v>
      </c>
      <c r="B3105" t="s">
        <v>6178</v>
      </c>
      <c r="C3105" s="1">
        <v>45915</v>
      </c>
      <c r="D3105" t="s">
        <v>6179</v>
      </c>
      <c r="E3105" s="2">
        <v>5940</v>
      </c>
      <c r="G3105" s="3">
        <f>MONTH(Tabela1[[#This Row],[Último pagto ano]])</f>
        <v>9</v>
      </c>
      <c r="H3105" t="str">
        <f>TEXT(Tabela1[[#This Row],[Coluna2]]*29,"mmmm")</f>
        <v>setembro</v>
      </c>
      <c r="I3105" t="str">
        <f>TEXT(MONTH(Tabela1[[#This Row],[Último pagto ano]])*29,"mmmm")</f>
        <v>setembro</v>
      </c>
    </row>
    <row r="3106" spans="1:9" x14ac:dyDescent="0.25">
      <c r="A3106">
        <v>2025</v>
      </c>
      <c r="B3106" t="s">
        <v>6180</v>
      </c>
      <c r="C3106" s="1">
        <v>45715</v>
      </c>
      <c r="D3106" t="s">
        <v>6181</v>
      </c>
      <c r="E3106">
        <v>44</v>
      </c>
      <c r="G3106" s="3">
        <f>MONTH(Tabela1[[#This Row],[Último pagto ano]])</f>
        <v>2</v>
      </c>
      <c r="H3106" t="str">
        <f>TEXT(Tabela1[[#This Row],[Coluna2]]*29,"mmmm")</f>
        <v>fevereiro</v>
      </c>
      <c r="I3106" t="str">
        <f>TEXT(MONTH(Tabela1[[#This Row],[Último pagto ano]])*29,"mmmm")</f>
        <v>fevereiro</v>
      </c>
    </row>
    <row r="3107" spans="1:9" x14ac:dyDescent="0.25">
      <c r="A3107">
        <v>2025</v>
      </c>
      <c r="B3107" t="s">
        <v>6182</v>
      </c>
      <c r="C3107" s="1">
        <v>45665</v>
      </c>
      <c r="D3107" t="s">
        <v>6183</v>
      </c>
      <c r="E3107" s="2">
        <v>150589.94</v>
      </c>
      <c r="G3107" s="3">
        <f>MONTH(Tabela1[[#This Row],[Último pagto ano]])</f>
        <v>1</v>
      </c>
      <c r="H3107" t="str">
        <f>TEXT(Tabela1[[#This Row],[Coluna2]]*29,"mmmm")</f>
        <v>janeiro</v>
      </c>
      <c r="I3107" t="str">
        <f>TEXT(MONTH(Tabela1[[#This Row],[Último pagto ano]])*29,"mmmm")</f>
        <v>janeiro</v>
      </c>
    </row>
    <row r="3108" spans="1:9" x14ac:dyDescent="0.25">
      <c r="A3108">
        <v>2025</v>
      </c>
      <c r="B3108" t="s">
        <v>6184</v>
      </c>
      <c r="C3108" s="1">
        <v>46001</v>
      </c>
      <c r="D3108" t="s">
        <v>6185</v>
      </c>
      <c r="E3108" s="2">
        <v>1285846.23</v>
      </c>
      <c r="G3108" s="3">
        <f>MONTH(Tabela1[[#This Row],[Último pagto ano]])</f>
        <v>12</v>
      </c>
      <c r="H3108" t="str">
        <f>TEXT(Tabela1[[#This Row],[Coluna2]]*29,"mmmm")</f>
        <v>dezembro</v>
      </c>
      <c r="I3108" t="str">
        <f>TEXT(MONTH(Tabela1[[#This Row],[Último pagto ano]])*29,"mmmm")</f>
        <v>dezembro</v>
      </c>
    </row>
    <row r="3109" spans="1:9" x14ac:dyDescent="0.25">
      <c r="A3109">
        <v>2025</v>
      </c>
      <c r="B3109" t="s">
        <v>6186</v>
      </c>
      <c r="C3109" s="1">
        <v>45992</v>
      </c>
      <c r="D3109" t="s">
        <v>6187</v>
      </c>
      <c r="E3109" s="2">
        <v>3485838.08</v>
      </c>
      <c r="G3109" s="3">
        <f>MONTH(Tabela1[[#This Row],[Último pagto ano]])</f>
        <v>12</v>
      </c>
      <c r="H3109" t="str">
        <f>TEXT(Tabela1[[#This Row],[Coluna2]]*29,"mmmm")</f>
        <v>dezembro</v>
      </c>
      <c r="I3109" t="str">
        <f>TEXT(MONTH(Tabela1[[#This Row],[Último pagto ano]])*29,"mmmm")</f>
        <v>dezembro</v>
      </c>
    </row>
    <row r="3110" spans="1:9" x14ac:dyDescent="0.25">
      <c r="A3110">
        <v>2025</v>
      </c>
      <c r="B3110" t="s">
        <v>6188</v>
      </c>
      <c r="C3110" s="1">
        <v>45716</v>
      </c>
      <c r="D3110" t="s">
        <v>6189</v>
      </c>
      <c r="E3110" s="2">
        <v>20000</v>
      </c>
      <c r="G3110" s="3">
        <f>MONTH(Tabela1[[#This Row],[Último pagto ano]])</f>
        <v>2</v>
      </c>
      <c r="H3110" t="str">
        <f>TEXT(Tabela1[[#This Row],[Coluna2]]*29,"mmmm")</f>
        <v>fevereiro</v>
      </c>
      <c r="I3110" t="str">
        <f>TEXT(MONTH(Tabela1[[#This Row],[Último pagto ano]])*29,"mmmm")</f>
        <v>fevereiro</v>
      </c>
    </row>
    <row r="3111" spans="1:9" x14ac:dyDescent="0.25">
      <c r="A3111">
        <v>2025</v>
      </c>
      <c r="B3111" t="s">
        <v>6190</v>
      </c>
      <c r="C3111" s="1">
        <v>45989</v>
      </c>
      <c r="D3111" t="s">
        <v>6191</v>
      </c>
      <c r="E3111" s="2">
        <v>161505.62</v>
      </c>
      <c r="G3111" s="3">
        <f>MONTH(Tabela1[[#This Row],[Último pagto ano]])</f>
        <v>11</v>
      </c>
      <c r="H3111" t="str">
        <f>TEXT(Tabela1[[#This Row],[Coluna2]]*29,"mmmm")</f>
        <v>novembro</v>
      </c>
      <c r="I3111" t="str">
        <f>TEXT(MONTH(Tabela1[[#This Row],[Último pagto ano]])*29,"mmmm")</f>
        <v>novembro</v>
      </c>
    </row>
    <row r="3112" spans="1:9" x14ac:dyDescent="0.25">
      <c r="A3112">
        <v>2025</v>
      </c>
      <c r="B3112" t="s">
        <v>6192</v>
      </c>
      <c r="C3112" s="1">
        <v>46006</v>
      </c>
      <c r="D3112" t="s">
        <v>6193</v>
      </c>
      <c r="E3112" s="2">
        <v>20064100.48</v>
      </c>
      <c r="G3112" s="3">
        <f>MONTH(Tabela1[[#This Row],[Último pagto ano]])</f>
        <v>12</v>
      </c>
      <c r="H3112" t="str">
        <f>TEXT(Tabela1[[#This Row],[Coluna2]]*29,"mmmm")</f>
        <v>dezembro</v>
      </c>
      <c r="I3112" t="str">
        <f>TEXT(MONTH(Tabela1[[#This Row],[Último pagto ano]])*29,"mmmm")</f>
        <v>dezembro</v>
      </c>
    </row>
    <row r="3113" spans="1:9" x14ac:dyDescent="0.25">
      <c r="A3113">
        <v>2025</v>
      </c>
      <c r="B3113" t="s">
        <v>6194</v>
      </c>
      <c r="C3113" s="1">
        <v>45702</v>
      </c>
      <c r="D3113" t="s">
        <v>6195</v>
      </c>
      <c r="E3113" s="2">
        <v>3500</v>
      </c>
      <c r="G3113" s="3">
        <f>MONTH(Tabela1[[#This Row],[Último pagto ano]])</f>
        <v>2</v>
      </c>
      <c r="H3113" t="str">
        <f>TEXT(Tabela1[[#This Row],[Coluna2]]*29,"mmmm")</f>
        <v>fevereiro</v>
      </c>
      <c r="I3113" t="str">
        <f>TEXT(MONTH(Tabela1[[#This Row],[Último pagto ano]])*29,"mmmm")</f>
        <v>fevereiro</v>
      </c>
    </row>
    <row r="3114" spans="1:9" x14ac:dyDescent="0.25">
      <c r="A3114">
        <v>2025</v>
      </c>
      <c r="B3114" t="s">
        <v>6196</v>
      </c>
      <c r="C3114" s="1">
        <v>45817</v>
      </c>
      <c r="D3114" t="s">
        <v>6197</v>
      </c>
      <c r="E3114" s="2">
        <v>46977.96</v>
      </c>
      <c r="G3114" s="3">
        <f>MONTH(Tabela1[[#This Row],[Último pagto ano]])</f>
        <v>6</v>
      </c>
      <c r="H3114" t="str">
        <f>TEXT(Tabela1[[#This Row],[Coluna2]]*29,"mmmm")</f>
        <v>junho</v>
      </c>
      <c r="I3114" t="str">
        <f>TEXT(MONTH(Tabela1[[#This Row],[Último pagto ano]])*29,"mmmm")</f>
        <v>junho</v>
      </c>
    </row>
    <row r="3115" spans="1:9" x14ac:dyDescent="0.25">
      <c r="A3115">
        <v>2025</v>
      </c>
      <c r="B3115" t="s">
        <v>6198</v>
      </c>
      <c r="C3115" s="1">
        <v>46014</v>
      </c>
      <c r="D3115" t="s">
        <v>6199</v>
      </c>
      <c r="E3115" s="2">
        <v>1985671.93</v>
      </c>
      <c r="G3115" s="3">
        <f>MONTH(Tabela1[[#This Row],[Último pagto ano]])</f>
        <v>12</v>
      </c>
      <c r="H3115" t="str">
        <f>TEXT(Tabela1[[#This Row],[Coluna2]]*29,"mmmm")</f>
        <v>dezembro</v>
      </c>
      <c r="I3115" t="str">
        <f>TEXT(MONTH(Tabela1[[#This Row],[Último pagto ano]])*29,"mmmm")</f>
        <v>dezembro</v>
      </c>
    </row>
    <row r="3116" spans="1:9" x14ac:dyDescent="0.25">
      <c r="A3116">
        <v>2025</v>
      </c>
      <c r="B3116" t="s">
        <v>6200</v>
      </c>
      <c r="C3116" s="1">
        <v>45939</v>
      </c>
      <c r="D3116" t="s">
        <v>6201</v>
      </c>
      <c r="E3116" s="2">
        <v>53624.88</v>
      </c>
      <c r="G3116" s="3">
        <f>MONTH(Tabela1[[#This Row],[Último pagto ano]])</f>
        <v>10</v>
      </c>
      <c r="H3116" t="str">
        <f>TEXT(Tabela1[[#This Row],[Coluna2]]*29,"mmmm")</f>
        <v>outubro</v>
      </c>
      <c r="I3116" t="str">
        <f>TEXT(MONTH(Tabela1[[#This Row],[Último pagto ano]])*29,"mmmm")</f>
        <v>outubro</v>
      </c>
    </row>
    <row r="3117" spans="1:9" x14ac:dyDescent="0.25">
      <c r="A3117">
        <v>2025</v>
      </c>
      <c r="B3117" t="s">
        <v>6202</v>
      </c>
      <c r="C3117" s="1">
        <v>45931</v>
      </c>
      <c r="D3117" t="s">
        <v>6203</v>
      </c>
      <c r="E3117">
        <v>129.06</v>
      </c>
      <c r="G3117" s="3">
        <f>MONTH(Tabela1[[#This Row],[Último pagto ano]])</f>
        <v>10</v>
      </c>
      <c r="H3117" t="str">
        <f>TEXT(Tabela1[[#This Row],[Coluna2]]*29,"mmmm")</f>
        <v>outubro</v>
      </c>
      <c r="I3117" t="str">
        <f>TEXT(MONTH(Tabela1[[#This Row],[Último pagto ano]])*29,"mmmm")</f>
        <v>outubro</v>
      </c>
    </row>
    <row r="3118" spans="1:9" x14ac:dyDescent="0.25">
      <c r="A3118">
        <v>2025</v>
      </c>
      <c r="B3118" t="s">
        <v>6204</v>
      </c>
      <c r="C3118" s="1">
        <v>46014</v>
      </c>
      <c r="D3118" t="s">
        <v>6205</v>
      </c>
      <c r="E3118" s="2">
        <v>6934.62</v>
      </c>
      <c r="G3118" s="3">
        <f>MONTH(Tabela1[[#This Row],[Último pagto ano]])</f>
        <v>12</v>
      </c>
      <c r="H3118" t="str">
        <f>TEXT(Tabela1[[#This Row],[Coluna2]]*29,"mmmm")</f>
        <v>dezembro</v>
      </c>
      <c r="I3118" t="str">
        <f>TEXT(MONTH(Tabela1[[#This Row],[Último pagto ano]])*29,"mmmm")</f>
        <v>dezembro</v>
      </c>
    </row>
    <row r="3119" spans="1:9" x14ac:dyDescent="0.25">
      <c r="A3119">
        <v>2025</v>
      </c>
      <c r="B3119" t="s">
        <v>6206</v>
      </c>
      <c r="C3119" s="1">
        <v>45989</v>
      </c>
      <c r="D3119" t="s">
        <v>6207</v>
      </c>
      <c r="E3119" s="2">
        <v>68059.95</v>
      </c>
      <c r="G3119" s="3">
        <f>MONTH(Tabela1[[#This Row],[Último pagto ano]])</f>
        <v>11</v>
      </c>
      <c r="H3119" t="str">
        <f>TEXT(Tabela1[[#This Row],[Coluna2]]*29,"mmmm")</f>
        <v>novembro</v>
      </c>
      <c r="I3119" t="str">
        <f>TEXT(MONTH(Tabela1[[#This Row],[Último pagto ano]])*29,"mmmm")</f>
        <v>novembro</v>
      </c>
    </row>
    <row r="3120" spans="1:9" x14ac:dyDescent="0.25">
      <c r="A3120">
        <v>2025</v>
      </c>
      <c r="B3120" t="s">
        <v>6208</v>
      </c>
      <c r="C3120" s="1">
        <v>45919</v>
      </c>
      <c r="D3120" t="s">
        <v>6209</v>
      </c>
      <c r="E3120" s="2">
        <v>96268.83</v>
      </c>
      <c r="G3120" s="3">
        <f>MONTH(Tabela1[[#This Row],[Último pagto ano]])</f>
        <v>9</v>
      </c>
      <c r="H3120" t="str">
        <f>TEXT(Tabela1[[#This Row],[Coluna2]]*29,"mmmm")</f>
        <v>setembro</v>
      </c>
      <c r="I3120" t="str">
        <f>TEXT(MONTH(Tabela1[[#This Row],[Último pagto ano]])*29,"mmmm")</f>
        <v>setembro</v>
      </c>
    </row>
    <row r="3121" spans="1:9" x14ac:dyDescent="0.25">
      <c r="A3121">
        <v>2025</v>
      </c>
      <c r="B3121" t="s">
        <v>6210</v>
      </c>
      <c r="C3121" s="1">
        <v>46003</v>
      </c>
      <c r="D3121" t="s">
        <v>6211</v>
      </c>
      <c r="E3121" s="2">
        <v>60699.13</v>
      </c>
      <c r="G3121" s="3">
        <f>MONTH(Tabela1[[#This Row],[Último pagto ano]])</f>
        <v>12</v>
      </c>
      <c r="H3121" t="str">
        <f>TEXT(Tabela1[[#This Row],[Coluna2]]*29,"mmmm")</f>
        <v>dezembro</v>
      </c>
      <c r="I3121" t="str">
        <f>TEXT(MONTH(Tabela1[[#This Row],[Último pagto ano]])*29,"mmmm")</f>
        <v>dezembro</v>
      </c>
    </row>
    <row r="3122" spans="1:9" x14ac:dyDescent="0.25">
      <c r="A3122">
        <v>2025</v>
      </c>
      <c r="B3122" t="s">
        <v>6212</v>
      </c>
      <c r="C3122" s="1">
        <v>45688</v>
      </c>
      <c r="D3122" t="s">
        <v>6213</v>
      </c>
      <c r="E3122" s="2">
        <v>198330.63</v>
      </c>
      <c r="G3122" s="3">
        <f>MONTH(Tabela1[[#This Row],[Último pagto ano]])</f>
        <v>1</v>
      </c>
      <c r="H3122" t="str">
        <f>TEXT(Tabela1[[#This Row],[Coluna2]]*29,"mmmm")</f>
        <v>janeiro</v>
      </c>
      <c r="I3122" t="str">
        <f>TEXT(MONTH(Tabela1[[#This Row],[Último pagto ano]])*29,"mmmm")</f>
        <v>janeiro</v>
      </c>
    </row>
    <row r="3123" spans="1:9" x14ac:dyDescent="0.25">
      <c r="A3123">
        <v>2025</v>
      </c>
      <c r="B3123" t="s">
        <v>6214</v>
      </c>
      <c r="C3123" s="1">
        <v>46010</v>
      </c>
      <c r="D3123" t="s">
        <v>6215</v>
      </c>
      <c r="E3123" s="2">
        <v>2826544.03</v>
      </c>
      <c r="G3123" s="3">
        <f>MONTH(Tabela1[[#This Row],[Último pagto ano]])</f>
        <v>12</v>
      </c>
      <c r="H3123" t="str">
        <f>TEXT(Tabela1[[#This Row],[Coluna2]]*29,"mmmm")</f>
        <v>dezembro</v>
      </c>
      <c r="I3123" t="str">
        <f>TEXT(MONTH(Tabela1[[#This Row],[Último pagto ano]])*29,"mmmm")</f>
        <v>dezembro</v>
      </c>
    </row>
    <row r="3124" spans="1:9" x14ac:dyDescent="0.25">
      <c r="A3124">
        <v>2025</v>
      </c>
      <c r="B3124" t="s">
        <v>6216</v>
      </c>
      <c r="C3124" s="1">
        <v>45856</v>
      </c>
      <c r="D3124" t="s">
        <v>6217</v>
      </c>
      <c r="E3124" s="2">
        <v>4224.3999999999996</v>
      </c>
      <c r="G3124" s="3">
        <f>MONTH(Tabela1[[#This Row],[Último pagto ano]])</f>
        <v>7</v>
      </c>
      <c r="H3124" t="str">
        <f>TEXT(Tabela1[[#This Row],[Coluna2]]*29,"mmmm")</f>
        <v>julho</v>
      </c>
      <c r="I3124" t="str">
        <f>TEXT(MONTH(Tabela1[[#This Row],[Último pagto ano]])*29,"mmmm")</f>
        <v>julho</v>
      </c>
    </row>
    <row r="3125" spans="1:9" x14ac:dyDescent="0.25">
      <c r="A3125">
        <v>2025</v>
      </c>
      <c r="B3125" t="s">
        <v>6218</v>
      </c>
      <c r="C3125" s="1">
        <v>46014</v>
      </c>
      <c r="D3125" t="s">
        <v>6219</v>
      </c>
      <c r="E3125" s="2">
        <v>1344210.84</v>
      </c>
      <c r="G3125" s="3">
        <f>MONTH(Tabela1[[#This Row],[Último pagto ano]])</f>
        <v>12</v>
      </c>
      <c r="H3125" t="str">
        <f>TEXT(Tabela1[[#This Row],[Coluna2]]*29,"mmmm")</f>
        <v>dezembro</v>
      </c>
      <c r="I3125" t="str">
        <f>TEXT(MONTH(Tabela1[[#This Row],[Último pagto ano]])*29,"mmmm")</f>
        <v>dezembro</v>
      </c>
    </row>
    <row r="3126" spans="1:9" x14ac:dyDescent="0.25">
      <c r="A3126">
        <v>2025</v>
      </c>
      <c r="B3126" t="s">
        <v>6220</v>
      </c>
      <c r="C3126" s="1">
        <v>45863</v>
      </c>
      <c r="D3126" t="s">
        <v>6221</v>
      </c>
      <c r="E3126" s="2">
        <v>19900</v>
      </c>
      <c r="G3126" s="3">
        <f>MONTH(Tabela1[[#This Row],[Último pagto ano]])</f>
        <v>7</v>
      </c>
      <c r="H3126" t="str">
        <f>TEXT(Tabela1[[#This Row],[Coluna2]]*29,"mmmm")</f>
        <v>julho</v>
      </c>
      <c r="I3126" t="str">
        <f>TEXT(MONTH(Tabela1[[#This Row],[Último pagto ano]])*29,"mmmm")</f>
        <v>julho</v>
      </c>
    </row>
    <row r="3127" spans="1:9" x14ac:dyDescent="0.25">
      <c r="A3127">
        <v>2025</v>
      </c>
      <c r="B3127" t="s">
        <v>6222</v>
      </c>
      <c r="C3127" s="1">
        <v>45919</v>
      </c>
      <c r="D3127" t="s">
        <v>6223</v>
      </c>
      <c r="E3127" s="2">
        <v>2140</v>
      </c>
      <c r="G3127" s="3">
        <f>MONTH(Tabela1[[#This Row],[Último pagto ano]])</f>
        <v>9</v>
      </c>
      <c r="H3127" t="str">
        <f>TEXT(Tabela1[[#This Row],[Coluna2]]*29,"mmmm")</f>
        <v>setembro</v>
      </c>
      <c r="I3127" t="str">
        <f>TEXT(MONTH(Tabela1[[#This Row],[Último pagto ano]])*29,"mmmm")</f>
        <v>setembro</v>
      </c>
    </row>
    <row r="3128" spans="1:9" x14ac:dyDescent="0.25">
      <c r="A3128">
        <v>2025</v>
      </c>
      <c r="B3128" t="s">
        <v>6224</v>
      </c>
      <c r="C3128" s="1">
        <v>45971</v>
      </c>
      <c r="D3128" t="s">
        <v>6225</v>
      </c>
      <c r="E3128" s="2">
        <v>20160</v>
      </c>
      <c r="G3128" s="3">
        <f>MONTH(Tabela1[[#This Row],[Último pagto ano]])</f>
        <v>11</v>
      </c>
      <c r="H3128" t="str">
        <f>TEXT(Tabela1[[#This Row],[Coluna2]]*29,"mmmm")</f>
        <v>novembro</v>
      </c>
      <c r="I3128" t="str">
        <f>TEXT(MONTH(Tabela1[[#This Row],[Último pagto ano]])*29,"mmmm")</f>
        <v>novembro</v>
      </c>
    </row>
    <row r="3129" spans="1:9" x14ac:dyDescent="0.25">
      <c r="A3129">
        <v>2025</v>
      </c>
      <c r="B3129" t="s">
        <v>6226</v>
      </c>
      <c r="C3129" s="1">
        <v>45701</v>
      </c>
      <c r="D3129" t="s">
        <v>6227</v>
      </c>
      <c r="E3129" s="2">
        <v>5200</v>
      </c>
      <c r="G3129" s="3">
        <f>MONTH(Tabela1[[#This Row],[Último pagto ano]])</f>
        <v>2</v>
      </c>
      <c r="H3129" t="str">
        <f>TEXT(Tabela1[[#This Row],[Coluna2]]*29,"mmmm")</f>
        <v>fevereiro</v>
      </c>
      <c r="I3129" t="str">
        <f>TEXT(MONTH(Tabela1[[#This Row],[Último pagto ano]])*29,"mmmm")</f>
        <v>fevereiro</v>
      </c>
    </row>
    <row r="3130" spans="1:9" x14ac:dyDescent="0.25">
      <c r="A3130">
        <v>2025</v>
      </c>
      <c r="B3130" t="s">
        <v>6228</v>
      </c>
      <c r="C3130" s="1">
        <v>45985</v>
      </c>
      <c r="D3130" t="s">
        <v>6229</v>
      </c>
      <c r="E3130" s="2">
        <v>134204.12</v>
      </c>
      <c r="G3130" s="3">
        <f>MONTH(Tabela1[[#This Row],[Último pagto ano]])</f>
        <v>11</v>
      </c>
      <c r="H3130" t="str">
        <f>TEXT(Tabela1[[#This Row],[Coluna2]]*29,"mmmm")</f>
        <v>novembro</v>
      </c>
      <c r="I3130" t="str">
        <f>TEXT(MONTH(Tabela1[[#This Row],[Último pagto ano]])*29,"mmmm")</f>
        <v>novembro</v>
      </c>
    </row>
    <row r="3131" spans="1:9" x14ac:dyDescent="0.25">
      <c r="A3131">
        <v>2025</v>
      </c>
      <c r="B3131" t="s">
        <v>6230</v>
      </c>
      <c r="C3131" s="1">
        <v>45898</v>
      </c>
      <c r="D3131" t="s">
        <v>6231</v>
      </c>
      <c r="E3131" s="2">
        <v>3185.22</v>
      </c>
      <c r="G3131" s="3">
        <f>MONTH(Tabela1[[#This Row],[Último pagto ano]])</f>
        <v>8</v>
      </c>
      <c r="H3131" t="str">
        <f>TEXT(Tabela1[[#This Row],[Coluna2]]*29,"mmmm")</f>
        <v>agosto</v>
      </c>
      <c r="I3131" t="str">
        <f>TEXT(MONTH(Tabela1[[#This Row],[Último pagto ano]])*29,"mmmm")</f>
        <v>agosto</v>
      </c>
    </row>
    <row r="3132" spans="1:9" x14ac:dyDescent="0.25">
      <c r="A3132">
        <v>2025</v>
      </c>
      <c r="B3132" t="s">
        <v>6232</v>
      </c>
      <c r="C3132" s="1">
        <v>46006</v>
      </c>
      <c r="D3132" t="s">
        <v>6233</v>
      </c>
      <c r="E3132" s="2">
        <v>5896.64</v>
      </c>
      <c r="G3132" s="3">
        <f>MONTH(Tabela1[[#This Row],[Último pagto ano]])</f>
        <v>12</v>
      </c>
      <c r="H3132" t="str">
        <f>TEXT(Tabela1[[#This Row],[Coluna2]]*29,"mmmm")</f>
        <v>dezembro</v>
      </c>
      <c r="I3132" t="str">
        <f>TEXT(MONTH(Tabela1[[#This Row],[Último pagto ano]])*29,"mmmm")</f>
        <v>dezembro</v>
      </c>
    </row>
    <row r="3133" spans="1:9" x14ac:dyDescent="0.25">
      <c r="A3133">
        <v>2025</v>
      </c>
      <c r="B3133" t="s">
        <v>6234</v>
      </c>
      <c r="C3133" s="1">
        <v>46006</v>
      </c>
      <c r="D3133" t="s">
        <v>6235</v>
      </c>
      <c r="E3133" s="2">
        <v>18134.16</v>
      </c>
      <c r="G3133" s="3">
        <f>MONTH(Tabela1[[#This Row],[Último pagto ano]])</f>
        <v>12</v>
      </c>
      <c r="H3133" t="str">
        <f>TEXT(Tabela1[[#This Row],[Coluna2]]*29,"mmmm")</f>
        <v>dezembro</v>
      </c>
      <c r="I3133" t="str">
        <f>TEXT(MONTH(Tabela1[[#This Row],[Último pagto ano]])*29,"mmmm")</f>
        <v>dezembro</v>
      </c>
    </row>
    <row r="3134" spans="1:9" x14ac:dyDescent="0.25">
      <c r="A3134">
        <v>2025</v>
      </c>
      <c r="B3134" t="s">
        <v>6236</v>
      </c>
      <c r="C3134" s="1">
        <v>45905</v>
      </c>
      <c r="D3134" t="s">
        <v>6237</v>
      </c>
      <c r="E3134" s="2">
        <v>3800</v>
      </c>
      <c r="G3134" s="3">
        <f>MONTH(Tabela1[[#This Row],[Último pagto ano]])</f>
        <v>9</v>
      </c>
      <c r="H3134" t="str">
        <f>TEXT(Tabela1[[#This Row],[Coluna2]]*29,"mmmm")</f>
        <v>setembro</v>
      </c>
      <c r="I3134" t="str">
        <f>TEXT(MONTH(Tabela1[[#This Row],[Último pagto ano]])*29,"mmmm")</f>
        <v>setembro</v>
      </c>
    </row>
    <row r="3135" spans="1:9" x14ac:dyDescent="0.25">
      <c r="A3135">
        <v>2025</v>
      </c>
      <c r="B3135" t="s">
        <v>6238</v>
      </c>
      <c r="C3135" s="1">
        <v>45996</v>
      </c>
      <c r="D3135" t="s">
        <v>6239</v>
      </c>
      <c r="E3135" s="2">
        <v>16000</v>
      </c>
      <c r="G3135" s="3">
        <f>MONTH(Tabela1[[#This Row],[Último pagto ano]])</f>
        <v>12</v>
      </c>
      <c r="H3135" t="str">
        <f>TEXT(Tabela1[[#This Row],[Coluna2]]*29,"mmmm")</f>
        <v>dezembro</v>
      </c>
      <c r="I3135" t="str">
        <f>TEXT(MONTH(Tabela1[[#This Row],[Último pagto ano]])*29,"mmmm")</f>
        <v>dezembro</v>
      </c>
    </row>
    <row r="3136" spans="1:9" x14ac:dyDescent="0.25">
      <c r="A3136">
        <v>2025</v>
      </c>
      <c r="B3136" t="s">
        <v>6240</v>
      </c>
      <c r="C3136" s="1">
        <v>45712</v>
      </c>
      <c r="D3136" t="s">
        <v>6241</v>
      </c>
      <c r="E3136" s="2">
        <v>3030.3</v>
      </c>
      <c r="G3136" s="3">
        <f>MONTH(Tabela1[[#This Row],[Último pagto ano]])</f>
        <v>2</v>
      </c>
      <c r="H3136" t="str">
        <f>TEXT(Tabela1[[#This Row],[Coluna2]]*29,"mmmm")</f>
        <v>fevereiro</v>
      </c>
      <c r="I3136" t="str">
        <f>TEXT(MONTH(Tabela1[[#This Row],[Último pagto ano]])*29,"mmmm")</f>
        <v>fevereiro</v>
      </c>
    </row>
    <row r="3137" spans="1:9" x14ac:dyDescent="0.25">
      <c r="A3137">
        <v>2025</v>
      </c>
      <c r="B3137" t="s">
        <v>6242</v>
      </c>
      <c r="C3137" s="1">
        <v>46021</v>
      </c>
      <c r="D3137" t="s">
        <v>6243</v>
      </c>
      <c r="E3137" s="2">
        <v>12758.43</v>
      </c>
      <c r="G3137" s="3">
        <f>MONTH(Tabela1[[#This Row],[Último pagto ano]])</f>
        <v>12</v>
      </c>
      <c r="H3137" t="str">
        <f>TEXT(Tabela1[[#This Row],[Coluna2]]*29,"mmmm")</f>
        <v>dezembro</v>
      </c>
      <c r="I3137" t="str">
        <f>TEXT(MONTH(Tabela1[[#This Row],[Último pagto ano]])*29,"mmmm")</f>
        <v>dezembro</v>
      </c>
    </row>
    <row r="3138" spans="1:9" x14ac:dyDescent="0.25">
      <c r="A3138">
        <v>2025</v>
      </c>
      <c r="B3138" t="s">
        <v>6244</v>
      </c>
      <c r="C3138" s="1">
        <v>45673</v>
      </c>
      <c r="D3138" t="s">
        <v>6245</v>
      </c>
      <c r="E3138" s="2">
        <v>1500</v>
      </c>
      <c r="G3138" s="3">
        <f>MONTH(Tabela1[[#This Row],[Último pagto ano]])</f>
        <v>1</v>
      </c>
      <c r="H3138" t="str">
        <f>TEXT(Tabela1[[#This Row],[Coluna2]]*29,"mmmm")</f>
        <v>janeiro</v>
      </c>
      <c r="I3138" t="str">
        <f>TEXT(MONTH(Tabela1[[#This Row],[Último pagto ano]])*29,"mmmm")</f>
        <v>janeiro</v>
      </c>
    </row>
    <row r="3139" spans="1:9" x14ac:dyDescent="0.25">
      <c r="A3139">
        <v>2025</v>
      </c>
      <c r="B3139" t="s">
        <v>6246</v>
      </c>
      <c r="C3139" s="1">
        <v>45870</v>
      </c>
      <c r="D3139" t="s">
        <v>6247</v>
      </c>
      <c r="E3139">
        <v>16.91</v>
      </c>
      <c r="G3139" s="3">
        <f>MONTH(Tabela1[[#This Row],[Último pagto ano]])</f>
        <v>8</v>
      </c>
      <c r="H3139" t="str">
        <f>TEXT(Tabela1[[#This Row],[Coluna2]]*29,"mmmm")</f>
        <v>agosto</v>
      </c>
      <c r="I3139" t="str">
        <f>TEXT(MONTH(Tabela1[[#This Row],[Último pagto ano]])*29,"mmmm")</f>
        <v>agosto</v>
      </c>
    </row>
    <row r="3140" spans="1:9" x14ac:dyDescent="0.25">
      <c r="A3140">
        <v>2025</v>
      </c>
      <c r="B3140" t="s">
        <v>6248</v>
      </c>
      <c r="C3140" s="1">
        <v>45845</v>
      </c>
      <c r="D3140" t="s">
        <v>6249</v>
      </c>
      <c r="E3140" s="2">
        <v>2200</v>
      </c>
      <c r="G3140" s="3">
        <f>MONTH(Tabela1[[#This Row],[Último pagto ano]])</f>
        <v>7</v>
      </c>
      <c r="H3140" t="str">
        <f>TEXT(Tabela1[[#This Row],[Coluna2]]*29,"mmmm")</f>
        <v>julho</v>
      </c>
      <c r="I3140" t="str">
        <f>TEXT(MONTH(Tabela1[[#This Row],[Último pagto ano]])*29,"mmmm")</f>
        <v>julho</v>
      </c>
    </row>
    <row r="3141" spans="1:9" x14ac:dyDescent="0.25">
      <c r="A3141">
        <v>2025</v>
      </c>
      <c r="B3141" t="s">
        <v>6250</v>
      </c>
      <c r="C3141" s="1">
        <v>45996</v>
      </c>
      <c r="D3141" t="s">
        <v>6251</v>
      </c>
      <c r="E3141" s="2">
        <v>37600</v>
      </c>
      <c r="G3141" s="3">
        <f>MONTH(Tabela1[[#This Row],[Último pagto ano]])</f>
        <v>12</v>
      </c>
      <c r="H3141" t="str">
        <f>TEXT(Tabela1[[#This Row],[Coluna2]]*29,"mmmm")</f>
        <v>dezembro</v>
      </c>
      <c r="I3141" t="str">
        <f>TEXT(MONTH(Tabela1[[#This Row],[Último pagto ano]])*29,"mmmm")</f>
        <v>dezembro</v>
      </c>
    </row>
    <row r="3142" spans="1:9" x14ac:dyDescent="0.25">
      <c r="A3142">
        <v>2025</v>
      </c>
      <c r="B3142" t="s">
        <v>6252</v>
      </c>
      <c r="C3142" s="1">
        <v>45673</v>
      </c>
      <c r="D3142" t="s">
        <v>6253</v>
      </c>
      <c r="E3142" s="2">
        <v>2700</v>
      </c>
      <c r="G3142" s="3">
        <f>MONTH(Tabela1[[#This Row],[Último pagto ano]])</f>
        <v>1</v>
      </c>
      <c r="H3142" t="str">
        <f>TEXT(Tabela1[[#This Row],[Coluna2]]*29,"mmmm")</f>
        <v>janeiro</v>
      </c>
      <c r="I3142" t="str">
        <f>TEXT(MONTH(Tabela1[[#This Row],[Último pagto ano]])*29,"mmmm")</f>
        <v>janeiro</v>
      </c>
    </row>
    <row r="3143" spans="1:9" x14ac:dyDescent="0.25">
      <c r="A3143">
        <v>2025</v>
      </c>
      <c r="B3143" t="s">
        <v>6254</v>
      </c>
      <c r="C3143" s="1">
        <v>45814</v>
      </c>
      <c r="D3143" t="s">
        <v>6255</v>
      </c>
      <c r="E3143" s="2">
        <v>1400</v>
      </c>
      <c r="G3143" s="3">
        <f>MONTH(Tabela1[[#This Row],[Último pagto ano]])</f>
        <v>6</v>
      </c>
      <c r="H3143" t="str">
        <f>TEXT(Tabela1[[#This Row],[Coluna2]]*29,"mmmm")</f>
        <v>junho</v>
      </c>
      <c r="I3143" t="str">
        <f>TEXT(MONTH(Tabela1[[#This Row],[Último pagto ano]])*29,"mmmm")</f>
        <v>junho</v>
      </c>
    </row>
    <row r="3144" spans="1:9" x14ac:dyDescent="0.25">
      <c r="A3144">
        <v>2025</v>
      </c>
      <c r="B3144" t="s">
        <v>6256</v>
      </c>
      <c r="C3144" s="1">
        <v>45905</v>
      </c>
      <c r="D3144" t="s">
        <v>6257</v>
      </c>
      <c r="E3144" s="2">
        <v>3300</v>
      </c>
      <c r="G3144" s="3">
        <f>MONTH(Tabela1[[#This Row],[Último pagto ano]])</f>
        <v>9</v>
      </c>
      <c r="H3144" t="str">
        <f>TEXT(Tabela1[[#This Row],[Coluna2]]*29,"mmmm")</f>
        <v>setembro</v>
      </c>
      <c r="I3144" t="str">
        <f>TEXT(MONTH(Tabela1[[#This Row],[Último pagto ano]])*29,"mmmm")</f>
        <v>setembro</v>
      </c>
    </row>
    <row r="3145" spans="1:9" x14ac:dyDescent="0.25">
      <c r="A3145">
        <v>2025</v>
      </c>
      <c r="B3145" t="s">
        <v>6258</v>
      </c>
      <c r="C3145" s="1">
        <v>45702</v>
      </c>
      <c r="D3145" t="s">
        <v>6259</v>
      </c>
      <c r="E3145">
        <v>22</v>
      </c>
      <c r="G3145" s="3">
        <f>MONTH(Tabela1[[#This Row],[Último pagto ano]])</f>
        <v>2</v>
      </c>
      <c r="H3145" t="str">
        <f>TEXT(Tabela1[[#This Row],[Coluna2]]*29,"mmmm")</f>
        <v>fevereiro</v>
      </c>
      <c r="I3145" t="str">
        <f>TEXT(MONTH(Tabela1[[#This Row],[Último pagto ano]])*29,"mmmm")</f>
        <v>fevereiro</v>
      </c>
    </row>
    <row r="3146" spans="1:9" x14ac:dyDescent="0.25">
      <c r="A3146">
        <v>2025</v>
      </c>
      <c r="B3146" t="s">
        <v>6260</v>
      </c>
      <c r="C3146" s="1">
        <v>45968</v>
      </c>
      <c r="D3146" t="s">
        <v>6261</v>
      </c>
      <c r="E3146" s="2">
        <v>18998</v>
      </c>
      <c r="G3146" s="3">
        <f>MONTH(Tabela1[[#This Row],[Último pagto ano]])</f>
        <v>11</v>
      </c>
      <c r="H3146" t="str">
        <f>TEXT(Tabela1[[#This Row],[Coluna2]]*29,"mmmm")</f>
        <v>novembro</v>
      </c>
      <c r="I3146" t="str">
        <f>TEXT(MONTH(Tabela1[[#This Row],[Último pagto ano]])*29,"mmmm")</f>
        <v>novembro</v>
      </c>
    </row>
    <row r="3147" spans="1:9" x14ac:dyDescent="0.25">
      <c r="A3147">
        <v>2025</v>
      </c>
      <c r="B3147" t="s">
        <v>6262</v>
      </c>
      <c r="C3147" s="1">
        <v>45716</v>
      </c>
      <c r="D3147" t="s">
        <v>6263</v>
      </c>
      <c r="E3147">
        <v>419.14</v>
      </c>
      <c r="G3147" s="3">
        <f>MONTH(Tabela1[[#This Row],[Último pagto ano]])</f>
        <v>2</v>
      </c>
      <c r="H3147" t="str">
        <f>TEXT(Tabela1[[#This Row],[Coluna2]]*29,"mmmm")</f>
        <v>fevereiro</v>
      </c>
      <c r="I3147" t="str">
        <f>TEXT(MONTH(Tabela1[[#This Row],[Último pagto ano]])*29,"mmmm")</f>
        <v>fevereiro</v>
      </c>
    </row>
    <row r="3148" spans="1:9" x14ac:dyDescent="0.25">
      <c r="A3148">
        <v>2025</v>
      </c>
      <c r="B3148" t="s">
        <v>6264</v>
      </c>
      <c r="C3148" s="1">
        <v>45687</v>
      </c>
      <c r="D3148" t="s">
        <v>6265</v>
      </c>
      <c r="E3148">
        <v>991.71</v>
      </c>
      <c r="G3148" s="3">
        <f>MONTH(Tabela1[[#This Row],[Último pagto ano]])</f>
        <v>1</v>
      </c>
      <c r="H3148" t="str">
        <f>TEXT(Tabela1[[#This Row],[Coluna2]]*29,"mmmm")</f>
        <v>janeiro</v>
      </c>
      <c r="I3148" t="str">
        <f>TEXT(MONTH(Tabela1[[#This Row],[Último pagto ano]])*29,"mmmm")</f>
        <v>janeiro</v>
      </c>
    </row>
    <row r="3149" spans="1:9" x14ac:dyDescent="0.25">
      <c r="A3149">
        <v>2025</v>
      </c>
      <c r="B3149" t="s">
        <v>6266</v>
      </c>
      <c r="C3149" s="1">
        <v>45803</v>
      </c>
      <c r="D3149" t="s">
        <v>6267</v>
      </c>
      <c r="E3149" s="2">
        <v>3994.2</v>
      </c>
      <c r="G3149" s="3">
        <f>MONTH(Tabela1[[#This Row],[Último pagto ano]])</f>
        <v>5</v>
      </c>
      <c r="H3149" t="str">
        <f>TEXT(Tabela1[[#This Row],[Coluna2]]*29,"mmmm")</f>
        <v>maio</v>
      </c>
      <c r="I3149" t="str">
        <f>TEXT(MONTH(Tabela1[[#This Row],[Último pagto ano]])*29,"mmmm")</f>
        <v>maio</v>
      </c>
    </row>
    <row r="3150" spans="1:9" x14ac:dyDescent="0.25">
      <c r="A3150">
        <v>2025</v>
      </c>
      <c r="B3150" t="s">
        <v>6268</v>
      </c>
      <c r="C3150" s="1">
        <v>45996</v>
      </c>
      <c r="D3150" t="s">
        <v>6269</v>
      </c>
      <c r="E3150" s="2">
        <v>3501</v>
      </c>
      <c r="G3150" s="3">
        <f>MONTH(Tabela1[[#This Row],[Último pagto ano]])</f>
        <v>12</v>
      </c>
      <c r="H3150" t="str">
        <f>TEXT(Tabela1[[#This Row],[Coluna2]]*29,"mmmm")</f>
        <v>dezembro</v>
      </c>
      <c r="I3150" t="str">
        <f>TEXT(MONTH(Tabela1[[#This Row],[Último pagto ano]])*29,"mmmm")</f>
        <v>dezembro</v>
      </c>
    </row>
    <row r="3151" spans="1:9" x14ac:dyDescent="0.25">
      <c r="A3151">
        <v>2025</v>
      </c>
      <c r="B3151" t="s">
        <v>6270</v>
      </c>
      <c r="C3151" s="1">
        <v>45968</v>
      </c>
      <c r="D3151" t="s">
        <v>6271</v>
      </c>
      <c r="E3151" s="2">
        <v>20400</v>
      </c>
      <c r="G3151" s="3">
        <f>MONTH(Tabela1[[#This Row],[Último pagto ano]])</f>
        <v>11</v>
      </c>
      <c r="H3151" t="str">
        <f>TEXT(Tabela1[[#This Row],[Coluna2]]*29,"mmmm")</f>
        <v>novembro</v>
      </c>
      <c r="I3151" t="str">
        <f>TEXT(MONTH(Tabela1[[#This Row],[Último pagto ano]])*29,"mmmm")</f>
        <v>novembro</v>
      </c>
    </row>
    <row r="3152" spans="1:9" x14ac:dyDescent="0.25">
      <c r="A3152">
        <v>2025</v>
      </c>
      <c r="B3152" t="s">
        <v>6272</v>
      </c>
      <c r="C3152" s="1">
        <v>46006</v>
      </c>
      <c r="D3152" t="s">
        <v>6273</v>
      </c>
      <c r="E3152" s="2">
        <v>12882.96</v>
      </c>
      <c r="G3152" s="3">
        <f>MONTH(Tabela1[[#This Row],[Último pagto ano]])</f>
        <v>12</v>
      </c>
      <c r="H3152" t="str">
        <f>TEXT(Tabela1[[#This Row],[Coluna2]]*29,"mmmm")</f>
        <v>dezembro</v>
      </c>
      <c r="I3152" t="str">
        <f>TEXT(MONTH(Tabela1[[#This Row],[Último pagto ano]])*29,"mmmm")</f>
        <v>dezembro</v>
      </c>
    </row>
    <row r="3153" spans="1:9" x14ac:dyDescent="0.25">
      <c r="A3153">
        <v>2025</v>
      </c>
      <c r="B3153" t="s">
        <v>6274</v>
      </c>
      <c r="C3153" s="1">
        <v>45866</v>
      </c>
      <c r="D3153" t="s">
        <v>6275</v>
      </c>
      <c r="E3153">
        <v>200.37</v>
      </c>
      <c r="G3153" s="3">
        <f>MONTH(Tabela1[[#This Row],[Último pagto ano]])</f>
        <v>7</v>
      </c>
      <c r="H3153" t="str">
        <f>TEXT(Tabela1[[#This Row],[Coluna2]]*29,"mmmm")</f>
        <v>julho</v>
      </c>
      <c r="I3153" t="str">
        <f>TEXT(MONTH(Tabela1[[#This Row],[Último pagto ano]])*29,"mmmm")</f>
        <v>julho</v>
      </c>
    </row>
    <row r="3154" spans="1:9" x14ac:dyDescent="0.25">
      <c r="A3154">
        <v>2025</v>
      </c>
      <c r="B3154" t="s">
        <v>6276</v>
      </c>
      <c r="C3154" s="1">
        <v>45996</v>
      </c>
      <c r="D3154" t="s">
        <v>6277</v>
      </c>
      <c r="E3154" s="2">
        <v>13000</v>
      </c>
      <c r="G3154" s="3">
        <f>MONTH(Tabela1[[#This Row],[Último pagto ano]])</f>
        <v>12</v>
      </c>
      <c r="H3154" t="str">
        <f>TEXT(Tabela1[[#This Row],[Coluna2]]*29,"mmmm")</f>
        <v>dezembro</v>
      </c>
      <c r="I3154" t="str">
        <f>TEXT(MONTH(Tabela1[[#This Row],[Último pagto ano]])*29,"mmmm")</f>
        <v>dezembro</v>
      </c>
    </row>
    <row r="3155" spans="1:9" x14ac:dyDescent="0.25">
      <c r="A3155">
        <v>2025</v>
      </c>
      <c r="B3155" t="s">
        <v>6278</v>
      </c>
      <c r="C3155" s="1">
        <v>45996</v>
      </c>
      <c r="D3155" t="s">
        <v>6279</v>
      </c>
      <c r="E3155" s="2">
        <v>2187.5</v>
      </c>
      <c r="G3155" s="3">
        <f>MONTH(Tabela1[[#This Row],[Último pagto ano]])</f>
        <v>12</v>
      </c>
      <c r="H3155" t="str">
        <f>TEXT(Tabela1[[#This Row],[Coluna2]]*29,"mmmm")</f>
        <v>dezembro</v>
      </c>
      <c r="I3155" t="str">
        <f>TEXT(MONTH(Tabela1[[#This Row],[Último pagto ano]])*29,"mmmm")</f>
        <v>dezembro</v>
      </c>
    </row>
    <row r="3156" spans="1:9" x14ac:dyDescent="0.25">
      <c r="A3156">
        <v>2025</v>
      </c>
      <c r="B3156" t="s">
        <v>6280</v>
      </c>
      <c r="C3156" s="1">
        <v>45988</v>
      </c>
      <c r="D3156" t="s">
        <v>6281</v>
      </c>
      <c r="E3156">
        <v>367.2</v>
      </c>
      <c r="G3156" s="3">
        <f>MONTH(Tabela1[[#This Row],[Último pagto ano]])</f>
        <v>11</v>
      </c>
      <c r="H3156" t="str">
        <f>TEXT(Tabela1[[#This Row],[Coluna2]]*29,"mmmm")</f>
        <v>novembro</v>
      </c>
      <c r="I3156" t="str">
        <f>TEXT(MONTH(Tabela1[[#This Row],[Último pagto ano]])*29,"mmmm")</f>
        <v>novembro</v>
      </c>
    </row>
    <row r="3157" spans="1:9" x14ac:dyDescent="0.25">
      <c r="A3157">
        <v>2025</v>
      </c>
      <c r="B3157" t="s">
        <v>6282</v>
      </c>
      <c r="C3157" s="1">
        <v>45996</v>
      </c>
      <c r="D3157" t="s">
        <v>6283</v>
      </c>
      <c r="E3157" s="2">
        <v>2250</v>
      </c>
      <c r="G3157" s="3">
        <f>MONTH(Tabela1[[#This Row],[Último pagto ano]])</f>
        <v>12</v>
      </c>
      <c r="H3157" t="str">
        <f>TEXT(Tabela1[[#This Row],[Coluna2]]*29,"mmmm")</f>
        <v>dezembro</v>
      </c>
      <c r="I3157" t="str">
        <f>TEXT(MONTH(Tabela1[[#This Row],[Último pagto ano]])*29,"mmmm")</f>
        <v>dezembro</v>
      </c>
    </row>
    <row r="3158" spans="1:9" x14ac:dyDescent="0.25">
      <c r="A3158">
        <v>2025</v>
      </c>
      <c r="B3158" t="s">
        <v>6284</v>
      </c>
      <c r="C3158" s="1">
        <v>45814</v>
      </c>
      <c r="D3158" t="s">
        <v>6285</v>
      </c>
      <c r="E3158" s="2">
        <v>1400</v>
      </c>
      <c r="G3158" s="3">
        <f>MONTH(Tabela1[[#This Row],[Último pagto ano]])</f>
        <v>6</v>
      </c>
      <c r="H3158" t="str">
        <f>TEXT(Tabela1[[#This Row],[Coluna2]]*29,"mmmm")</f>
        <v>junho</v>
      </c>
      <c r="I3158" t="str">
        <f>TEXT(MONTH(Tabela1[[#This Row],[Último pagto ano]])*29,"mmmm")</f>
        <v>junho</v>
      </c>
    </row>
    <row r="3159" spans="1:9" x14ac:dyDescent="0.25">
      <c r="A3159">
        <v>2025</v>
      </c>
      <c r="B3159" t="s">
        <v>6286</v>
      </c>
      <c r="C3159" s="1">
        <v>45996</v>
      </c>
      <c r="D3159" t="s">
        <v>6287</v>
      </c>
      <c r="E3159" s="2">
        <v>10000</v>
      </c>
      <c r="G3159" s="3">
        <f>MONTH(Tabela1[[#This Row],[Último pagto ano]])</f>
        <v>12</v>
      </c>
      <c r="H3159" t="str">
        <f>TEXT(Tabela1[[#This Row],[Coluna2]]*29,"mmmm")</f>
        <v>dezembro</v>
      </c>
      <c r="I3159" t="str">
        <f>TEXT(MONTH(Tabela1[[#This Row],[Último pagto ano]])*29,"mmmm")</f>
        <v>dezembro</v>
      </c>
    </row>
    <row r="3160" spans="1:9" x14ac:dyDescent="0.25">
      <c r="A3160">
        <v>2025</v>
      </c>
      <c r="B3160" t="s">
        <v>6288</v>
      </c>
      <c r="C3160" s="1">
        <v>45985</v>
      </c>
      <c r="D3160" t="s">
        <v>6289</v>
      </c>
      <c r="E3160" s="2">
        <v>15000</v>
      </c>
      <c r="G3160" s="3">
        <f>MONTH(Tabela1[[#This Row],[Último pagto ano]])</f>
        <v>11</v>
      </c>
      <c r="H3160" t="str">
        <f>TEXT(Tabela1[[#This Row],[Coluna2]]*29,"mmmm")</f>
        <v>novembro</v>
      </c>
      <c r="I3160" t="str">
        <f>TEXT(MONTH(Tabela1[[#This Row],[Último pagto ano]])*29,"mmmm")</f>
        <v>novembro</v>
      </c>
    </row>
    <row r="3161" spans="1:9" x14ac:dyDescent="0.25">
      <c r="A3161">
        <v>2025</v>
      </c>
      <c r="B3161" t="s">
        <v>6290</v>
      </c>
      <c r="C3161" s="1">
        <v>45971</v>
      </c>
      <c r="D3161" t="s">
        <v>6291</v>
      </c>
      <c r="E3161" s="2">
        <v>3000</v>
      </c>
      <c r="G3161" s="3">
        <f>MONTH(Tabela1[[#This Row],[Último pagto ano]])</f>
        <v>11</v>
      </c>
      <c r="H3161" t="str">
        <f>TEXT(Tabela1[[#This Row],[Coluna2]]*29,"mmmm")</f>
        <v>novembro</v>
      </c>
      <c r="I3161" t="str">
        <f>TEXT(MONTH(Tabela1[[#This Row],[Último pagto ano]])*29,"mmmm")</f>
        <v>novembro</v>
      </c>
    </row>
    <row r="3162" spans="1:9" x14ac:dyDescent="0.25">
      <c r="A3162">
        <v>2025</v>
      </c>
      <c r="B3162" t="s">
        <v>6292</v>
      </c>
      <c r="C3162" s="1">
        <v>45996</v>
      </c>
      <c r="D3162" t="s">
        <v>6293</v>
      </c>
      <c r="E3162" s="2">
        <v>18300</v>
      </c>
      <c r="G3162" s="3">
        <f>MONTH(Tabela1[[#This Row],[Último pagto ano]])</f>
        <v>12</v>
      </c>
      <c r="H3162" t="str">
        <f>TEXT(Tabela1[[#This Row],[Coluna2]]*29,"mmmm")</f>
        <v>dezembro</v>
      </c>
      <c r="I3162" t="str">
        <f>TEXT(MONTH(Tabela1[[#This Row],[Último pagto ano]])*29,"mmmm")</f>
        <v>dezembro</v>
      </c>
    </row>
    <row r="3163" spans="1:9" x14ac:dyDescent="0.25">
      <c r="A3163">
        <v>2025</v>
      </c>
      <c r="B3163" t="s">
        <v>6294</v>
      </c>
      <c r="C3163" s="1">
        <v>45996</v>
      </c>
      <c r="D3163" t="s">
        <v>6295</v>
      </c>
      <c r="E3163" s="2">
        <v>50100</v>
      </c>
      <c r="G3163" s="3">
        <f>MONTH(Tabela1[[#This Row],[Último pagto ano]])</f>
        <v>12</v>
      </c>
      <c r="H3163" t="str">
        <f>TEXT(Tabela1[[#This Row],[Coluna2]]*29,"mmmm")</f>
        <v>dezembro</v>
      </c>
      <c r="I3163" t="str">
        <f>TEXT(MONTH(Tabela1[[#This Row],[Último pagto ano]])*29,"mmmm")</f>
        <v>dezembro</v>
      </c>
    </row>
    <row r="3164" spans="1:9" x14ac:dyDescent="0.25">
      <c r="A3164">
        <v>2025</v>
      </c>
      <c r="B3164" t="s">
        <v>6296</v>
      </c>
      <c r="C3164" s="1">
        <v>46006</v>
      </c>
      <c r="D3164" t="s">
        <v>6297</v>
      </c>
      <c r="E3164" s="2">
        <v>4886.6400000000003</v>
      </c>
      <c r="G3164" s="3">
        <f>MONTH(Tabela1[[#This Row],[Último pagto ano]])</f>
        <v>12</v>
      </c>
      <c r="H3164" t="str">
        <f>TEXT(Tabela1[[#This Row],[Coluna2]]*29,"mmmm")</f>
        <v>dezembro</v>
      </c>
      <c r="I3164" t="str">
        <f>TEXT(MONTH(Tabela1[[#This Row],[Último pagto ano]])*29,"mmmm")</f>
        <v>dezembro</v>
      </c>
    </row>
    <row r="3165" spans="1:9" x14ac:dyDescent="0.25">
      <c r="A3165">
        <v>2025</v>
      </c>
      <c r="B3165" t="s">
        <v>6298</v>
      </c>
      <c r="C3165" s="1">
        <v>45968</v>
      </c>
      <c r="D3165" t="s">
        <v>6299</v>
      </c>
      <c r="E3165" s="2">
        <v>8000</v>
      </c>
      <c r="G3165" s="3">
        <f>MONTH(Tabela1[[#This Row],[Último pagto ano]])</f>
        <v>11</v>
      </c>
      <c r="H3165" t="str">
        <f>TEXT(Tabela1[[#This Row],[Coluna2]]*29,"mmmm")</f>
        <v>novembro</v>
      </c>
      <c r="I3165" t="str">
        <f>TEXT(MONTH(Tabela1[[#This Row],[Último pagto ano]])*29,"mmmm")</f>
        <v>novembro</v>
      </c>
    </row>
    <row r="3166" spans="1:9" x14ac:dyDescent="0.25">
      <c r="A3166">
        <v>2025</v>
      </c>
      <c r="B3166" t="s">
        <v>6300</v>
      </c>
      <c r="C3166" s="1">
        <v>45996</v>
      </c>
      <c r="D3166" t="s">
        <v>6301</v>
      </c>
      <c r="E3166" s="2">
        <v>13250</v>
      </c>
      <c r="G3166" s="3">
        <f>MONTH(Tabela1[[#This Row],[Último pagto ano]])</f>
        <v>12</v>
      </c>
      <c r="H3166" t="str">
        <f>TEXT(Tabela1[[#This Row],[Coluna2]]*29,"mmmm")</f>
        <v>dezembro</v>
      </c>
      <c r="I3166" t="str">
        <f>TEXT(MONTH(Tabela1[[#This Row],[Último pagto ano]])*29,"mmmm")</f>
        <v>dezembro</v>
      </c>
    </row>
    <row r="3167" spans="1:9" x14ac:dyDescent="0.25">
      <c r="A3167">
        <v>2025</v>
      </c>
      <c r="B3167" t="s">
        <v>6302</v>
      </c>
      <c r="C3167" s="1">
        <v>45996</v>
      </c>
      <c r="D3167" t="s">
        <v>6303</v>
      </c>
      <c r="E3167" s="2">
        <v>2625</v>
      </c>
      <c r="G3167" s="3">
        <f>MONTH(Tabela1[[#This Row],[Último pagto ano]])</f>
        <v>12</v>
      </c>
      <c r="H3167" t="str">
        <f>TEXT(Tabela1[[#This Row],[Coluna2]]*29,"mmmm")</f>
        <v>dezembro</v>
      </c>
      <c r="I3167" t="str">
        <f>TEXT(MONTH(Tabela1[[#This Row],[Último pagto ano]])*29,"mmmm")</f>
        <v>dezembro</v>
      </c>
    </row>
    <row r="3168" spans="1:9" x14ac:dyDescent="0.25">
      <c r="A3168">
        <v>2025</v>
      </c>
      <c r="B3168" t="s">
        <v>6304</v>
      </c>
      <c r="C3168" s="1">
        <v>45748</v>
      </c>
      <c r="D3168" t="s">
        <v>6305</v>
      </c>
      <c r="E3168" s="2">
        <v>1658.52</v>
      </c>
      <c r="G3168" s="3">
        <f>MONTH(Tabela1[[#This Row],[Último pagto ano]])</f>
        <v>4</v>
      </c>
      <c r="H3168" t="str">
        <f>TEXT(Tabela1[[#This Row],[Coluna2]]*29,"mmmm")</f>
        <v>abril</v>
      </c>
      <c r="I3168" t="str">
        <f>TEXT(MONTH(Tabela1[[#This Row],[Último pagto ano]])*29,"mmmm")</f>
        <v>abril</v>
      </c>
    </row>
    <row r="3169" spans="1:9" x14ac:dyDescent="0.25">
      <c r="A3169">
        <v>2025</v>
      </c>
      <c r="B3169" t="s">
        <v>6306</v>
      </c>
      <c r="C3169" s="1">
        <v>45996</v>
      </c>
      <c r="D3169" t="s">
        <v>6307</v>
      </c>
      <c r="E3169" s="2">
        <v>20790</v>
      </c>
      <c r="G3169" s="3">
        <f>MONTH(Tabela1[[#This Row],[Último pagto ano]])</f>
        <v>12</v>
      </c>
      <c r="H3169" t="str">
        <f>TEXT(Tabela1[[#This Row],[Coluna2]]*29,"mmmm")</f>
        <v>dezembro</v>
      </c>
      <c r="I3169" t="str">
        <f>TEXT(MONTH(Tabela1[[#This Row],[Último pagto ano]])*29,"mmmm")</f>
        <v>dezembro</v>
      </c>
    </row>
    <row r="3170" spans="1:9" x14ac:dyDescent="0.25">
      <c r="A3170">
        <v>2025</v>
      </c>
      <c r="B3170" t="s">
        <v>6308</v>
      </c>
      <c r="C3170" s="1">
        <v>45968</v>
      </c>
      <c r="D3170" t="s">
        <v>6309</v>
      </c>
      <c r="E3170" s="2">
        <v>3500</v>
      </c>
      <c r="G3170" s="3">
        <f>MONTH(Tabela1[[#This Row],[Último pagto ano]])</f>
        <v>11</v>
      </c>
      <c r="H3170" t="str">
        <f>TEXT(Tabela1[[#This Row],[Coluna2]]*29,"mmmm")</f>
        <v>novembro</v>
      </c>
      <c r="I3170" t="str">
        <f>TEXT(MONTH(Tabela1[[#This Row],[Último pagto ano]])*29,"mmmm")</f>
        <v>novembro</v>
      </c>
    </row>
    <row r="3171" spans="1:9" x14ac:dyDescent="0.25">
      <c r="A3171">
        <v>2025</v>
      </c>
      <c r="B3171" t="s">
        <v>6310</v>
      </c>
      <c r="C3171" s="1">
        <v>45803</v>
      </c>
      <c r="D3171" t="s">
        <v>6311</v>
      </c>
      <c r="E3171" s="2">
        <v>5943</v>
      </c>
      <c r="G3171" s="3">
        <f>MONTH(Tabela1[[#This Row],[Último pagto ano]])</f>
        <v>5</v>
      </c>
      <c r="H3171" t="str">
        <f>TEXT(Tabela1[[#This Row],[Coluna2]]*29,"mmmm")</f>
        <v>maio</v>
      </c>
      <c r="I3171" t="str">
        <f>TEXT(MONTH(Tabela1[[#This Row],[Último pagto ano]])*29,"mmmm")</f>
        <v>maio</v>
      </c>
    </row>
    <row r="3172" spans="1:9" x14ac:dyDescent="0.25">
      <c r="A3172">
        <v>2025</v>
      </c>
      <c r="B3172" t="s">
        <v>6312</v>
      </c>
      <c r="C3172" s="1">
        <v>45968</v>
      </c>
      <c r="D3172" t="s">
        <v>6313</v>
      </c>
      <c r="E3172" s="2">
        <v>10000</v>
      </c>
      <c r="G3172" s="3">
        <f>MONTH(Tabela1[[#This Row],[Último pagto ano]])</f>
        <v>11</v>
      </c>
      <c r="H3172" t="str">
        <f>TEXT(Tabela1[[#This Row],[Coluna2]]*29,"mmmm")</f>
        <v>novembro</v>
      </c>
      <c r="I3172" t="str">
        <f>TEXT(MONTH(Tabela1[[#This Row],[Último pagto ano]])*29,"mmmm")</f>
        <v>novembro</v>
      </c>
    </row>
    <row r="3173" spans="1:9" x14ac:dyDescent="0.25">
      <c r="A3173">
        <v>2025</v>
      </c>
      <c r="B3173" t="s">
        <v>6314</v>
      </c>
      <c r="C3173" s="1">
        <v>45996</v>
      </c>
      <c r="D3173" t="s">
        <v>6315</v>
      </c>
      <c r="E3173" s="2">
        <v>9500</v>
      </c>
      <c r="G3173" s="3">
        <f>MONTH(Tabela1[[#This Row],[Último pagto ano]])</f>
        <v>12</v>
      </c>
      <c r="H3173" t="str">
        <f>TEXT(Tabela1[[#This Row],[Coluna2]]*29,"mmmm")</f>
        <v>dezembro</v>
      </c>
      <c r="I3173" t="str">
        <f>TEXT(MONTH(Tabela1[[#This Row],[Último pagto ano]])*29,"mmmm")</f>
        <v>dezembro</v>
      </c>
    </row>
    <row r="3174" spans="1:9" x14ac:dyDescent="0.25">
      <c r="A3174">
        <v>2025</v>
      </c>
      <c r="B3174" t="s">
        <v>6316</v>
      </c>
      <c r="C3174" s="1">
        <v>45705</v>
      </c>
      <c r="D3174" t="s">
        <v>6317</v>
      </c>
      <c r="E3174" s="2">
        <v>1666.4</v>
      </c>
      <c r="G3174" s="3">
        <f>MONTH(Tabela1[[#This Row],[Último pagto ano]])</f>
        <v>2</v>
      </c>
      <c r="H3174" t="str">
        <f>TEXT(Tabela1[[#This Row],[Coluna2]]*29,"mmmm")</f>
        <v>fevereiro</v>
      </c>
      <c r="I3174" t="str">
        <f>TEXT(MONTH(Tabela1[[#This Row],[Último pagto ano]])*29,"mmmm")</f>
        <v>fevereiro</v>
      </c>
    </row>
    <row r="3175" spans="1:9" x14ac:dyDescent="0.25">
      <c r="A3175">
        <v>2025</v>
      </c>
      <c r="B3175" t="s">
        <v>6318</v>
      </c>
      <c r="C3175" s="1">
        <v>45898</v>
      </c>
      <c r="D3175" t="s">
        <v>6319</v>
      </c>
      <c r="E3175" s="2">
        <v>4748.51</v>
      </c>
      <c r="G3175" s="3">
        <f>MONTH(Tabela1[[#This Row],[Último pagto ano]])</f>
        <v>8</v>
      </c>
      <c r="H3175" t="str">
        <f>TEXT(Tabela1[[#This Row],[Coluna2]]*29,"mmmm")</f>
        <v>agosto</v>
      </c>
      <c r="I3175" t="str">
        <f>TEXT(MONTH(Tabela1[[#This Row],[Último pagto ano]])*29,"mmmm")</f>
        <v>agosto</v>
      </c>
    </row>
    <row r="3176" spans="1:9" x14ac:dyDescent="0.25">
      <c r="A3176">
        <v>2025</v>
      </c>
      <c r="B3176" t="s">
        <v>6320</v>
      </c>
      <c r="C3176" s="1">
        <v>45702</v>
      </c>
      <c r="D3176" t="s">
        <v>6321</v>
      </c>
      <c r="E3176" s="2">
        <v>1168.04</v>
      </c>
      <c r="G3176" s="3">
        <f>MONTH(Tabela1[[#This Row],[Último pagto ano]])</f>
        <v>2</v>
      </c>
      <c r="H3176" t="str">
        <f>TEXT(Tabela1[[#This Row],[Coluna2]]*29,"mmmm")</f>
        <v>fevereiro</v>
      </c>
      <c r="I3176" t="str">
        <f>TEXT(MONTH(Tabela1[[#This Row],[Último pagto ano]])*29,"mmmm")</f>
        <v>fevereiro</v>
      </c>
    </row>
    <row r="3177" spans="1:9" x14ac:dyDescent="0.25">
      <c r="A3177">
        <v>2025</v>
      </c>
      <c r="B3177" t="s">
        <v>6322</v>
      </c>
      <c r="C3177" s="1">
        <v>45937</v>
      </c>
      <c r="D3177" t="s">
        <v>6323</v>
      </c>
      <c r="E3177" s="2">
        <v>3000</v>
      </c>
      <c r="G3177" s="3">
        <f>MONTH(Tabela1[[#This Row],[Último pagto ano]])</f>
        <v>10</v>
      </c>
      <c r="H3177" t="str">
        <f>TEXT(Tabela1[[#This Row],[Coluna2]]*29,"mmmm")</f>
        <v>outubro</v>
      </c>
      <c r="I3177" t="str">
        <f>TEXT(MONTH(Tabela1[[#This Row],[Último pagto ano]])*29,"mmmm")</f>
        <v>outubro</v>
      </c>
    </row>
    <row r="3178" spans="1:9" x14ac:dyDescent="0.25">
      <c r="A3178">
        <v>2025</v>
      </c>
      <c r="B3178" t="s">
        <v>6324</v>
      </c>
      <c r="C3178" s="1">
        <v>45876</v>
      </c>
      <c r="D3178" t="s">
        <v>6325</v>
      </c>
      <c r="E3178" s="2">
        <v>2100</v>
      </c>
      <c r="G3178" s="3">
        <f>MONTH(Tabela1[[#This Row],[Último pagto ano]])</f>
        <v>8</v>
      </c>
      <c r="H3178" t="str">
        <f>TEXT(Tabela1[[#This Row],[Coluna2]]*29,"mmmm")</f>
        <v>agosto</v>
      </c>
      <c r="I3178" t="str">
        <f>TEXT(MONTH(Tabela1[[#This Row],[Último pagto ano]])*29,"mmmm")</f>
        <v>agosto</v>
      </c>
    </row>
    <row r="3179" spans="1:9" x14ac:dyDescent="0.25">
      <c r="A3179">
        <v>2025</v>
      </c>
      <c r="B3179" t="s">
        <v>6326</v>
      </c>
      <c r="C3179" s="1">
        <v>45884</v>
      </c>
      <c r="D3179" t="s">
        <v>6327</v>
      </c>
      <c r="E3179" s="2">
        <v>5822.6</v>
      </c>
      <c r="G3179" s="3">
        <f>MONTH(Tabela1[[#This Row],[Último pagto ano]])</f>
        <v>8</v>
      </c>
      <c r="H3179" t="str">
        <f>TEXT(Tabela1[[#This Row],[Coluna2]]*29,"mmmm")</f>
        <v>agosto</v>
      </c>
      <c r="I3179" t="str">
        <f>TEXT(MONTH(Tabela1[[#This Row],[Último pagto ano]])*29,"mmmm")</f>
        <v>agosto</v>
      </c>
    </row>
    <row r="3180" spans="1:9" x14ac:dyDescent="0.25">
      <c r="A3180">
        <v>2025</v>
      </c>
      <c r="B3180" t="s">
        <v>6328</v>
      </c>
      <c r="C3180" s="1">
        <v>46010</v>
      </c>
      <c r="D3180" t="s">
        <v>6329</v>
      </c>
      <c r="E3180" s="2">
        <v>24000</v>
      </c>
      <c r="G3180" s="3">
        <f>MONTH(Tabela1[[#This Row],[Último pagto ano]])</f>
        <v>12</v>
      </c>
      <c r="H3180" t="str">
        <f>TEXT(Tabela1[[#This Row],[Coluna2]]*29,"mmmm")</f>
        <v>dezembro</v>
      </c>
      <c r="I3180" t="str">
        <f>TEXT(MONTH(Tabela1[[#This Row],[Último pagto ano]])*29,"mmmm")</f>
        <v>dezembro</v>
      </c>
    </row>
    <row r="3181" spans="1:9" x14ac:dyDescent="0.25">
      <c r="A3181">
        <v>2025</v>
      </c>
      <c r="B3181" t="s">
        <v>6330</v>
      </c>
      <c r="C3181" s="1">
        <v>45996</v>
      </c>
      <c r="D3181" t="s">
        <v>6331</v>
      </c>
      <c r="E3181" s="2">
        <v>46415</v>
      </c>
      <c r="G3181" s="3">
        <f>MONTH(Tabela1[[#This Row],[Último pagto ano]])</f>
        <v>12</v>
      </c>
      <c r="H3181" t="str">
        <f>TEXT(Tabela1[[#This Row],[Coluna2]]*29,"mmmm")</f>
        <v>dezembro</v>
      </c>
      <c r="I3181" t="str">
        <f>TEXT(MONTH(Tabela1[[#This Row],[Último pagto ano]])*29,"mmmm")</f>
        <v>dezembro</v>
      </c>
    </row>
    <row r="3182" spans="1:9" x14ac:dyDescent="0.25">
      <c r="A3182">
        <v>2025</v>
      </c>
      <c r="B3182" t="s">
        <v>6332</v>
      </c>
      <c r="C3182" s="1">
        <v>45673</v>
      </c>
      <c r="D3182" t="s">
        <v>6333</v>
      </c>
      <c r="E3182">
        <v>200</v>
      </c>
      <c r="G3182" s="3">
        <f>MONTH(Tabela1[[#This Row],[Último pagto ano]])</f>
        <v>1</v>
      </c>
      <c r="H3182" t="str">
        <f>TEXT(Tabela1[[#This Row],[Coluna2]]*29,"mmmm")</f>
        <v>janeiro</v>
      </c>
      <c r="I3182" t="str">
        <f>TEXT(MONTH(Tabela1[[#This Row],[Último pagto ano]])*29,"mmmm")</f>
        <v>janeiro</v>
      </c>
    </row>
    <row r="3183" spans="1:9" x14ac:dyDescent="0.25">
      <c r="A3183">
        <v>2025</v>
      </c>
      <c r="B3183" t="s">
        <v>6334</v>
      </c>
      <c r="C3183" s="1">
        <v>45996</v>
      </c>
      <c r="D3183" t="s">
        <v>6335</v>
      </c>
      <c r="E3183" s="2">
        <v>10650</v>
      </c>
      <c r="G3183" s="3">
        <f>MONTH(Tabela1[[#This Row],[Último pagto ano]])</f>
        <v>12</v>
      </c>
      <c r="H3183" t="str">
        <f>TEXT(Tabela1[[#This Row],[Coluna2]]*29,"mmmm")</f>
        <v>dezembro</v>
      </c>
      <c r="I3183" t="str">
        <f>TEXT(MONTH(Tabela1[[#This Row],[Último pagto ano]])*29,"mmmm")</f>
        <v>dezembro</v>
      </c>
    </row>
    <row r="3184" spans="1:9" x14ac:dyDescent="0.25">
      <c r="A3184">
        <v>2025</v>
      </c>
      <c r="B3184" t="s">
        <v>6336</v>
      </c>
      <c r="C3184" s="1">
        <v>45996</v>
      </c>
      <c r="D3184" t="s">
        <v>6337</v>
      </c>
      <c r="E3184" s="2">
        <v>13600</v>
      </c>
      <c r="G3184" s="3">
        <f>MONTH(Tabela1[[#This Row],[Último pagto ano]])</f>
        <v>12</v>
      </c>
      <c r="H3184" t="str">
        <f>TEXT(Tabela1[[#This Row],[Coluna2]]*29,"mmmm")</f>
        <v>dezembro</v>
      </c>
      <c r="I3184" t="str">
        <f>TEXT(MONTH(Tabela1[[#This Row],[Último pagto ano]])*29,"mmmm")</f>
        <v>dezembro</v>
      </c>
    </row>
    <row r="3185" spans="1:9" x14ac:dyDescent="0.25">
      <c r="A3185">
        <v>2025</v>
      </c>
      <c r="B3185" t="s">
        <v>6338</v>
      </c>
      <c r="C3185" s="1">
        <v>45996</v>
      </c>
      <c r="D3185" t="s">
        <v>6339</v>
      </c>
      <c r="E3185" s="2">
        <v>19031</v>
      </c>
      <c r="G3185" s="3">
        <f>MONTH(Tabela1[[#This Row],[Último pagto ano]])</f>
        <v>12</v>
      </c>
      <c r="H3185" t="str">
        <f>TEXT(Tabela1[[#This Row],[Coluna2]]*29,"mmmm")</f>
        <v>dezembro</v>
      </c>
      <c r="I3185" t="str">
        <f>TEXT(MONTH(Tabela1[[#This Row],[Último pagto ano]])*29,"mmmm")</f>
        <v>dezembro</v>
      </c>
    </row>
    <row r="3186" spans="1:9" x14ac:dyDescent="0.25">
      <c r="A3186">
        <v>2025</v>
      </c>
      <c r="B3186" t="s">
        <v>6340</v>
      </c>
      <c r="C3186" s="1">
        <v>45996</v>
      </c>
      <c r="D3186" t="s">
        <v>6341</v>
      </c>
      <c r="E3186" s="2">
        <v>64215</v>
      </c>
      <c r="G3186" s="3">
        <f>MONTH(Tabela1[[#This Row],[Último pagto ano]])</f>
        <v>12</v>
      </c>
      <c r="H3186" t="str">
        <f>TEXT(Tabela1[[#This Row],[Coluna2]]*29,"mmmm")</f>
        <v>dezembro</v>
      </c>
      <c r="I3186" t="str">
        <f>TEXT(MONTH(Tabela1[[#This Row],[Último pagto ano]])*29,"mmmm")</f>
        <v>dezembro</v>
      </c>
    </row>
    <row r="3187" spans="1:9" x14ac:dyDescent="0.25">
      <c r="A3187">
        <v>2025</v>
      </c>
      <c r="B3187" t="s">
        <v>6342</v>
      </c>
      <c r="C3187" s="1">
        <v>45996</v>
      </c>
      <c r="D3187" t="s">
        <v>6343</v>
      </c>
      <c r="E3187" s="2">
        <v>2000</v>
      </c>
      <c r="G3187" s="3">
        <f>MONTH(Tabela1[[#This Row],[Último pagto ano]])</f>
        <v>12</v>
      </c>
      <c r="H3187" t="str">
        <f>TEXT(Tabela1[[#This Row],[Coluna2]]*29,"mmmm")</f>
        <v>dezembro</v>
      </c>
      <c r="I3187" t="str">
        <f>TEXT(MONTH(Tabela1[[#This Row],[Último pagto ano]])*29,"mmmm")</f>
        <v>dezembro</v>
      </c>
    </row>
    <row r="3188" spans="1:9" x14ac:dyDescent="0.25">
      <c r="A3188">
        <v>2025</v>
      </c>
      <c r="B3188" t="s">
        <v>6344</v>
      </c>
      <c r="C3188" s="1">
        <v>46014</v>
      </c>
      <c r="D3188" t="s">
        <v>6345</v>
      </c>
      <c r="E3188" s="2">
        <v>4520</v>
      </c>
      <c r="G3188" s="3">
        <f>MONTH(Tabela1[[#This Row],[Último pagto ano]])</f>
        <v>12</v>
      </c>
      <c r="H3188" t="str">
        <f>TEXT(Tabela1[[#This Row],[Coluna2]]*29,"mmmm")</f>
        <v>dezembro</v>
      </c>
      <c r="I3188" t="str">
        <f>TEXT(MONTH(Tabela1[[#This Row],[Último pagto ano]])*29,"mmmm")</f>
        <v>dezembro</v>
      </c>
    </row>
    <row r="3189" spans="1:9" x14ac:dyDescent="0.25">
      <c r="A3189">
        <v>2025</v>
      </c>
      <c r="B3189" t="s">
        <v>6346</v>
      </c>
      <c r="C3189" s="1">
        <v>45968</v>
      </c>
      <c r="D3189" t="s">
        <v>6347</v>
      </c>
      <c r="E3189" s="2">
        <v>45090</v>
      </c>
      <c r="G3189" s="3">
        <f>MONTH(Tabela1[[#This Row],[Último pagto ano]])</f>
        <v>11</v>
      </c>
      <c r="H3189" t="str">
        <f>TEXT(Tabela1[[#This Row],[Coluna2]]*29,"mmmm")</f>
        <v>novembro</v>
      </c>
      <c r="I3189" t="str">
        <f>TEXT(MONTH(Tabela1[[#This Row],[Último pagto ano]])*29,"mmmm")</f>
        <v>novembro</v>
      </c>
    </row>
    <row r="3190" spans="1:9" x14ac:dyDescent="0.25">
      <c r="A3190">
        <v>2025</v>
      </c>
      <c r="B3190" t="s">
        <v>6348</v>
      </c>
      <c r="C3190" s="1">
        <v>46021</v>
      </c>
      <c r="D3190" t="s">
        <v>6349</v>
      </c>
      <c r="E3190" s="2">
        <v>11097.31</v>
      </c>
      <c r="G3190" s="3">
        <f>MONTH(Tabela1[[#This Row],[Último pagto ano]])</f>
        <v>12</v>
      </c>
      <c r="H3190" t="str">
        <f>TEXT(Tabela1[[#This Row],[Coluna2]]*29,"mmmm")</f>
        <v>dezembro</v>
      </c>
      <c r="I3190" t="str">
        <f>TEXT(MONTH(Tabela1[[#This Row],[Último pagto ano]])*29,"mmmm")</f>
        <v>dezembro</v>
      </c>
    </row>
    <row r="3191" spans="1:9" x14ac:dyDescent="0.25">
      <c r="A3191">
        <v>2025</v>
      </c>
      <c r="B3191" t="s">
        <v>6350</v>
      </c>
      <c r="C3191" s="1">
        <v>45996</v>
      </c>
      <c r="D3191" t="s">
        <v>6351</v>
      </c>
      <c r="E3191" s="2">
        <v>2325</v>
      </c>
      <c r="G3191" s="3">
        <f>MONTH(Tabela1[[#This Row],[Último pagto ano]])</f>
        <v>12</v>
      </c>
      <c r="H3191" t="str">
        <f>TEXT(Tabela1[[#This Row],[Coluna2]]*29,"mmmm")</f>
        <v>dezembro</v>
      </c>
      <c r="I3191" t="str">
        <f>TEXT(MONTH(Tabela1[[#This Row],[Último pagto ano]])*29,"mmmm")</f>
        <v>dezembro</v>
      </c>
    </row>
    <row r="3192" spans="1:9" x14ac:dyDescent="0.25">
      <c r="A3192">
        <v>2025</v>
      </c>
      <c r="B3192" t="s">
        <v>6352</v>
      </c>
      <c r="C3192" s="1">
        <v>45863</v>
      </c>
      <c r="D3192" t="s">
        <v>6353</v>
      </c>
      <c r="E3192">
        <v>323.75</v>
      </c>
      <c r="G3192" s="3">
        <f>MONTH(Tabela1[[#This Row],[Último pagto ano]])</f>
        <v>7</v>
      </c>
      <c r="H3192" t="str">
        <f>TEXT(Tabela1[[#This Row],[Coluna2]]*29,"mmmm")</f>
        <v>julho</v>
      </c>
      <c r="I3192" t="str">
        <f>TEXT(MONTH(Tabela1[[#This Row],[Último pagto ano]])*29,"mmmm")</f>
        <v>julho</v>
      </c>
    </row>
    <row r="3193" spans="1:9" x14ac:dyDescent="0.25">
      <c r="A3193">
        <v>2025</v>
      </c>
      <c r="B3193" t="s">
        <v>6354</v>
      </c>
      <c r="C3193" s="1">
        <v>45845</v>
      </c>
      <c r="D3193" t="s">
        <v>6355</v>
      </c>
      <c r="E3193" s="2">
        <v>21204.33</v>
      </c>
      <c r="G3193" s="3">
        <f>MONTH(Tabela1[[#This Row],[Último pagto ano]])</f>
        <v>7</v>
      </c>
      <c r="H3193" t="str">
        <f>TEXT(Tabela1[[#This Row],[Coluna2]]*29,"mmmm")</f>
        <v>julho</v>
      </c>
      <c r="I3193" t="str">
        <f>TEXT(MONTH(Tabela1[[#This Row],[Último pagto ano]])*29,"mmmm")</f>
        <v>julho</v>
      </c>
    </row>
    <row r="3194" spans="1:9" x14ac:dyDescent="0.25">
      <c r="A3194">
        <v>2025</v>
      </c>
      <c r="B3194" t="s">
        <v>6356</v>
      </c>
      <c r="C3194" s="1">
        <v>45996</v>
      </c>
      <c r="D3194" t="s">
        <v>6357</v>
      </c>
      <c r="E3194" s="2">
        <v>22000</v>
      </c>
      <c r="G3194" s="3">
        <f>MONTH(Tabela1[[#This Row],[Último pagto ano]])</f>
        <v>12</v>
      </c>
      <c r="H3194" t="str">
        <f>TEXT(Tabela1[[#This Row],[Coluna2]]*29,"mmmm")</f>
        <v>dezembro</v>
      </c>
      <c r="I3194" t="str">
        <f>TEXT(MONTH(Tabela1[[#This Row],[Último pagto ano]])*29,"mmmm")</f>
        <v>dezembro</v>
      </c>
    </row>
    <row r="3195" spans="1:9" x14ac:dyDescent="0.25">
      <c r="A3195">
        <v>2025</v>
      </c>
      <c r="B3195" t="s">
        <v>6358</v>
      </c>
      <c r="C3195" s="1">
        <v>45793</v>
      </c>
      <c r="D3195" t="s">
        <v>6359</v>
      </c>
      <c r="E3195">
        <v>156.38</v>
      </c>
      <c r="G3195" s="3">
        <f>MONTH(Tabela1[[#This Row],[Último pagto ano]])</f>
        <v>5</v>
      </c>
      <c r="H3195" t="str">
        <f>TEXT(Tabela1[[#This Row],[Coluna2]]*29,"mmmm")</f>
        <v>maio</v>
      </c>
      <c r="I3195" t="str">
        <f>TEXT(MONTH(Tabela1[[#This Row],[Último pagto ano]])*29,"mmmm")</f>
        <v>maio</v>
      </c>
    </row>
    <row r="3196" spans="1:9" x14ac:dyDescent="0.25">
      <c r="A3196">
        <v>2025</v>
      </c>
      <c r="B3196" t="s">
        <v>6360</v>
      </c>
      <c r="C3196" s="1">
        <v>45929</v>
      </c>
      <c r="D3196" t="s">
        <v>6361</v>
      </c>
      <c r="E3196">
        <v>9.0500000000000007</v>
      </c>
      <c r="G3196" s="3">
        <f>MONTH(Tabela1[[#This Row],[Último pagto ano]])</f>
        <v>9</v>
      </c>
      <c r="H3196" t="str">
        <f>TEXT(Tabela1[[#This Row],[Coluna2]]*29,"mmmm")</f>
        <v>setembro</v>
      </c>
      <c r="I3196" t="str">
        <f>TEXT(MONTH(Tabela1[[#This Row],[Último pagto ano]])*29,"mmmm")</f>
        <v>setembro</v>
      </c>
    </row>
    <row r="3197" spans="1:9" x14ac:dyDescent="0.25">
      <c r="A3197">
        <v>2025</v>
      </c>
      <c r="B3197" t="s">
        <v>6362</v>
      </c>
      <c r="C3197" s="1">
        <v>46010</v>
      </c>
      <c r="D3197" t="s">
        <v>6363</v>
      </c>
      <c r="E3197" s="2">
        <v>11640.62</v>
      </c>
      <c r="G3197" s="3">
        <f>MONTH(Tabela1[[#This Row],[Último pagto ano]])</f>
        <v>12</v>
      </c>
      <c r="H3197" t="str">
        <f>TEXT(Tabela1[[#This Row],[Coluna2]]*29,"mmmm")</f>
        <v>dezembro</v>
      </c>
      <c r="I3197" t="str">
        <f>TEXT(MONTH(Tabela1[[#This Row],[Último pagto ano]])*29,"mmmm")</f>
        <v>dezembro</v>
      </c>
    </row>
    <row r="3198" spans="1:9" x14ac:dyDescent="0.25">
      <c r="A3198">
        <v>2025</v>
      </c>
      <c r="B3198" t="s">
        <v>6364</v>
      </c>
      <c r="C3198" s="1">
        <v>45736</v>
      </c>
      <c r="D3198" t="s">
        <v>6365</v>
      </c>
      <c r="E3198">
        <v>55</v>
      </c>
      <c r="G3198" s="3">
        <f>MONTH(Tabela1[[#This Row],[Último pagto ano]])</f>
        <v>3</v>
      </c>
      <c r="H3198" t="str">
        <f>TEXT(Tabela1[[#This Row],[Coluna2]]*29,"mmmm")</f>
        <v>março</v>
      </c>
      <c r="I3198" t="str">
        <f>TEXT(MONTH(Tabela1[[#This Row],[Último pagto ano]])*29,"mmmm")</f>
        <v>março</v>
      </c>
    </row>
    <row r="3199" spans="1:9" x14ac:dyDescent="0.25">
      <c r="A3199">
        <v>2025</v>
      </c>
      <c r="B3199" t="s">
        <v>6366</v>
      </c>
      <c r="C3199" s="1">
        <v>46021</v>
      </c>
      <c r="D3199" t="s">
        <v>6367</v>
      </c>
      <c r="E3199" s="2">
        <v>1738.42</v>
      </c>
      <c r="G3199" s="3">
        <f>MONTH(Tabela1[[#This Row],[Último pagto ano]])</f>
        <v>12</v>
      </c>
      <c r="H3199" t="str">
        <f>TEXT(Tabela1[[#This Row],[Coluna2]]*29,"mmmm")</f>
        <v>dezembro</v>
      </c>
      <c r="I3199" t="str">
        <f>TEXT(MONTH(Tabela1[[#This Row],[Último pagto ano]])*29,"mmmm")</f>
        <v>dezembro</v>
      </c>
    </row>
    <row r="3200" spans="1:9" x14ac:dyDescent="0.25">
      <c r="A3200">
        <v>2025</v>
      </c>
      <c r="B3200" t="s">
        <v>6368</v>
      </c>
      <c r="C3200" s="1">
        <v>45673</v>
      </c>
      <c r="D3200" t="s">
        <v>6369</v>
      </c>
      <c r="E3200">
        <v>850</v>
      </c>
      <c r="G3200" s="3">
        <f>MONTH(Tabela1[[#This Row],[Último pagto ano]])</f>
        <v>1</v>
      </c>
      <c r="H3200" t="str">
        <f>TEXT(Tabela1[[#This Row],[Coluna2]]*29,"mmmm")</f>
        <v>janeiro</v>
      </c>
      <c r="I3200" t="str">
        <f>TEXT(MONTH(Tabela1[[#This Row],[Último pagto ano]])*29,"mmmm")</f>
        <v>janeiro</v>
      </c>
    </row>
    <row r="3201" spans="1:9" x14ac:dyDescent="0.25">
      <c r="A3201">
        <v>2025</v>
      </c>
      <c r="B3201" t="s">
        <v>6370</v>
      </c>
      <c r="C3201" s="1">
        <v>45995</v>
      </c>
      <c r="D3201" t="s">
        <v>6371</v>
      </c>
      <c r="E3201">
        <v>11</v>
      </c>
      <c r="G3201" s="3">
        <f>MONTH(Tabela1[[#This Row],[Último pagto ano]])</f>
        <v>12</v>
      </c>
      <c r="H3201" t="str">
        <f>TEXT(Tabela1[[#This Row],[Coluna2]]*29,"mmmm")</f>
        <v>dezembro</v>
      </c>
      <c r="I3201" t="str">
        <f>TEXT(MONTH(Tabela1[[#This Row],[Último pagto ano]])*29,"mmmm")</f>
        <v>dezembro</v>
      </c>
    </row>
    <row r="3202" spans="1:9" x14ac:dyDescent="0.25">
      <c r="A3202">
        <v>2025</v>
      </c>
      <c r="B3202" t="s">
        <v>6372</v>
      </c>
      <c r="C3202" s="1">
        <v>45702</v>
      </c>
      <c r="D3202" t="s">
        <v>6373</v>
      </c>
      <c r="E3202">
        <v>49.59</v>
      </c>
      <c r="G3202" s="3">
        <f>MONTH(Tabela1[[#This Row],[Último pagto ano]])</f>
        <v>2</v>
      </c>
      <c r="H3202" t="str">
        <f>TEXT(Tabela1[[#This Row],[Coluna2]]*29,"mmmm")</f>
        <v>fevereiro</v>
      </c>
      <c r="I3202" t="str">
        <f>TEXT(MONTH(Tabela1[[#This Row],[Último pagto ano]])*29,"mmmm")</f>
        <v>fevereiro</v>
      </c>
    </row>
    <row r="3203" spans="1:9" x14ac:dyDescent="0.25">
      <c r="A3203">
        <v>2025</v>
      </c>
      <c r="B3203" t="s">
        <v>6374</v>
      </c>
      <c r="C3203" s="1">
        <v>46021</v>
      </c>
      <c r="D3203" t="s">
        <v>6375</v>
      </c>
      <c r="E3203" s="2">
        <v>12686.21</v>
      </c>
      <c r="G3203" s="3">
        <f>MONTH(Tabela1[[#This Row],[Último pagto ano]])</f>
        <v>12</v>
      </c>
      <c r="H3203" t="str">
        <f>TEXT(Tabela1[[#This Row],[Coluna2]]*29,"mmmm")</f>
        <v>dezembro</v>
      </c>
      <c r="I3203" t="str">
        <f>TEXT(MONTH(Tabela1[[#This Row],[Último pagto ano]])*29,"mmmm")</f>
        <v>dezembro</v>
      </c>
    </row>
    <row r="3204" spans="1:9" x14ac:dyDescent="0.25">
      <c r="A3204">
        <v>2025</v>
      </c>
      <c r="B3204" t="s">
        <v>6376</v>
      </c>
      <c r="C3204" s="1">
        <v>46010</v>
      </c>
      <c r="D3204" t="s">
        <v>6377</v>
      </c>
      <c r="E3204" s="2">
        <v>19000</v>
      </c>
      <c r="G3204" s="3">
        <f>MONTH(Tabela1[[#This Row],[Último pagto ano]])</f>
        <v>12</v>
      </c>
      <c r="H3204" t="str">
        <f>TEXT(Tabela1[[#This Row],[Coluna2]]*29,"mmmm")</f>
        <v>dezembro</v>
      </c>
      <c r="I3204" t="str">
        <f>TEXT(MONTH(Tabela1[[#This Row],[Último pagto ano]])*29,"mmmm")</f>
        <v>dezembro</v>
      </c>
    </row>
    <row r="3205" spans="1:9" x14ac:dyDescent="0.25">
      <c r="A3205">
        <v>2025</v>
      </c>
      <c r="B3205" t="s">
        <v>6378</v>
      </c>
      <c r="C3205" s="1">
        <v>45681</v>
      </c>
      <c r="D3205" t="s">
        <v>6379</v>
      </c>
      <c r="E3205">
        <v>700</v>
      </c>
      <c r="G3205" s="3">
        <f>MONTH(Tabela1[[#This Row],[Último pagto ano]])</f>
        <v>1</v>
      </c>
      <c r="H3205" t="str">
        <f>TEXT(Tabela1[[#This Row],[Coluna2]]*29,"mmmm")</f>
        <v>janeiro</v>
      </c>
      <c r="I3205" t="str">
        <f>TEXT(MONTH(Tabela1[[#This Row],[Último pagto ano]])*29,"mmmm")</f>
        <v>janeiro</v>
      </c>
    </row>
    <row r="3206" spans="1:9" x14ac:dyDescent="0.25">
      <c r="A3206">
        <v>2025</v>
      </c>
      <c r="B3206" t="s">
        <v>6380</v>
      </c>
      <c r="C3206" s="1">
        <v>45838</v>
      </c>
      <c r="D3206" t="s">
        <v>6381</v>
      </c>
      <c r="E3206" s="2">
        <v>6031.14</v>
      </c>
      <c r="G3206" s="3">
        <f>MONTH(Tabela1[[#This Row],[Último pagto ano]])</f>
        <v>6</v>
      </c>
      <c r="H3206" t="str">
        <f>TEXT(Tabela1[[#This Row],[Coluna2]]*29,"mmmm")</f>
        <v>junho</v>
      </c>
      <c r="I3206" t="str">
        <f>TEXT(MONTH(Tabela1[[#This Row],[Último pagto ano]])*29,"mmmm")</f>
        <v>junho</v>
      </c>
    </row>
    <row r="3207" spans="1:9" x14ac:dyDescent="0.25">
      <c r="A3207">
        <v>2025</v>
      </c>
      <c r="B3207" t="s">
        <v>6382</v>
      </c>
      <c r="C3207" s="1">
        <v>45715</v>
      </c>
      <c r="D3207" t="s">
        <v>6383</v>
      </c>
      <c r="E3207" s="2">
        <v>1315.96</v>
      </c>
      <c r="G3207" s="3">
        <f>MONTH(Tabela1[[#This Row],[Último pagto ano]])</f>
        <v>2</v>
      </c>
      <c r="H3207" t="str">
        <f>TEXT(Tabela1[[#This Row],[Coluna2]]*29,"mmmm")</f>
        <v>fevereiro</v>
      </c>
      <c r="I3207" t="str">
        <f>TEXT(MONTH(Tabela1[[#This Row],[Último pagto ano]])*29,"mmmm")</f>
        <v>fevereiro</v>
      </c>
    </row>
    <row r="3208" spans="1:9" x14ac:dyDescent="0.25">
      <c r="A3208">
        <v>2025</v>
      </c>
      <c r="B3208" t="s">
        <v>6384</v>
      </c>
      <c r="C3208" s="1">
        <v>45702</v>
      </c>
      <c r="D3208" t="s">
        <v>6385</v>
      </c>
      <c r="E3208">
        <v>42.84</v>
      </c>
      <c r="G3208" s="3">
        <f>MONTH(Tabela1[[#This Row],[Último pagto ano]])</f>
        <v>2</v>
      </c>
      <c r="H3208" t="str">
        <f>TEXT(Tabela1[[#This Row],[Coluna2]]*29,"mmmm")</f>
        <v>fevereiro</v>
      </c>
      <c r="I3208" t="str">
        <f>TEXT(MONTH(Tabela1[[#This Row],[Último pagto ano]])*29,"mmmm")</f>
        <v>fevereiro</v>
      </c>
    </row>
    <row r="3209" spans="1:9" x14ac:dyDescent="0.25">
      <c r="A3209">
        <v>2025</v>
      </c>
      <c r="B3209" t="s">
        <v>6386</v>
      </c>
      <c r="C3209" s="1">
        <v>45946</v>
      </c>
      <c r="D3209" t="s">
        <v>6387</v>
      </c>
      <c r="E3209" s="2">
        <v>2441.71</v>
      </c>
      <c r="G3209" s="3">
        <f>MONTH(Tabela1[[#This Row],[Último pagto ano]])</f>
        <v>10</v>
      </c>
      <c r="H3209" t="str">
        <f>TEXT(Tabela1[[#This Row],[Coluna2]]*29,"mmmm")</f>
        <v>outubro</v>
      </c>
      <c r="I3209" t="str">
        <f>TEXT(MONTH(Tabela1[[#This Row],[Último pagto ano]])*29,"mmmm")</f>
        <v>outubro</v>
      </c>
    </row>
    <row r="3210" spans="1:9" x14ac:dyDescent="0.25">
      <c r="A3210">
        <v>2025</v>
      </c>
      <c r="B3210" t="s">
        <v>6388</v>
      </c>
      <c r="C3210" s="1">
        <v>45853</v>
      </c>
      <c r="D3210" t="s">
        <v>6389</v>
      </c>
      <c r="E3210">
        <v>592.32000000000005</v>
      </c>
      <c r="G3210" s="3">
        <f>MONTH(Tabela1[[#This Row],[Último pagto ano]])</f>
        <v>7</v>
      </c>
      <c r="H3210" t="str">
        <f>TEXT(Tabela1[[#This Row],[Coluna2]]*29,"mmmm")</f>
        <v>julho</v>
      </c>
      <c r="I3210" t="str">
        <f>TEXT(MONTH(Tabela1[[#This Row],[Último pagto ano]])*29,"mmmm")</f>
        <v>julho</v>
      </c>
    </row>
    <row r="3211" spans="1:9" x14ac:dyDescent="0.25">
      <c r="A3211">
        <v>2025</v>
      </c>
      <c r="B3211" t="s">
        <v>6390</v>
      </c>
      <c r="C3211" s="1">
        <v>45796</v>
      </c>
      <c r="D3211" t="s">
        <v>6391</v>
      </c>
      <c r="E3211">
        <v>208.48</v>
      </c>
      <c r="G3211" s="3">
        <f>MONTH(Tabela1[[#This Row],[Último pagto ano]])</f>
        <v>5</v>
      </c>
      <c r="H3211" t="str">
        <f>TEXT(Tabela1[[#This Row],[Coluna2]]*29,"mmmm")</f>
        <v>maio</v>
      </c>
      <c r="I3211" t="str">
        <f>TEXT(MONTH(Tabela1[[#This Row],[Último pagto ano]])*29,"mmmm")</f>
        <v>maio</v>
      </c>
    </row>
    <row r="3212" spans="1:9" x14ac:dyDescent="0.25">
      <c r="A3212">
        <v>2025</v>
      </c>
      <c r="B3212" t="s">
        <v>6392</v>
      </c>
      <c r="C3212" s="1">
        <v>46013</v>
      </c>
      <c r="D3212" t="s">
        <v>6393</v>
      </c>
      <c r="E3212">
        <v>386.1</v>
      </c>
      <c r="G3212" s="3">
        <f>MONTH(Tabela1[[#This Row],[Último pagto ano]])</f>
        <v>12</v>
      </c>
      <c r="H3212" t="str">
        <f>TEXT(Tabela1[[#This Row],[Coluna2]]*29,"mmmm")</f>
        <v>dezembro</v>
      </c>
      <c r="I3212" t="str">
        <f>TEXT(MONTH(Tabela1[[#This Row],[Último pagto ano]])*29,"mmmm")</f>
        <v>dezembro</v>
      </c>
    </row>
    <row r="3213" spans="1:9" x14ac:dyDescent="0.25">
      <c r="A3213">
        <v>2025</v>
      </c>
      <c r="B3213" t="s">
        <v>6394</v>
      </c>
      <c r="C3213" s="1">
        <v>45999</v>
      </c>
      <c r="D3213" t="s">
        <v>6395</v>
      </c>
      <c r="E3213">
        <v>66</v>
      </c>
      <c r="G3213" s="3">
        <f>MONTH(Tabela1[[#This Row],[Último pagto ano]])</f>
        <v>12</v>
      </c>
      <c r="H3213" t="str">
        <f>TEXT(Tabela1[[#This Row],[Coluna2]]*29,"mmmm")</f>
        <v>dezembro</v>
      </c>
      <c r="I3213" t="str">
        <f>TEXT(MONTH(Tabela1[[#This Row],[Último pagto ano]])*29,"mmmm")</f>
        <v>dezembro</v>
      </c>
    </row>
    <row r="3214" spans="1:9" x14ac:dyDescent="0.25">
      <c r="A3214">
        <v>2025</v>
      </c>
      <c r="B3214" t="s">
        <v>6396</v>
      </c>
      <c r="C3214" s="1">
        <v>45954</v>
      </c>
      <c r="D3214" t="s">
        <v>6397</v>
      </c>
      <c r="E3214" s="2">
        <v>10516.1</v>
      </c>
      <c r="G3214" s="3">
        <f>MONTH(Tabela1[[#This Row],[Último pagto ano]])</f>
        <v>10</v>
      </c>
      <c r="H3214" t="str">
        <f>TEXT(Tabela1[[#This Row],[Coluna2]]*29,"mmmm")</f>
        <v>outubro</v>
      </c>
      <c r="I3214" t="str">
        <f>TEXT(MONTH(Tabela1[[#This Row],[Último pagto ano]])*29,"mmmm")</f>
        <v>outubro</v>
      </c>
    </row>
    <row r="3215" spans="1:9" x14ac:dyDescent="0.25">
      <c r="A3215">
        <v>2025</v>
      </c>
      <c r="B3215" t="s">
        <v>6396</v>
      </c>
      <c r="C3215" s="1">
        <v>45988</v>
      </c>
      <c r="D3215" t="s">
        <v>6397</v>
      </c>
      <c r="E3215">
        <v>401.7</v>
      </c>
      <c r="G3215" s="3">
        <f>MONTH(Tabela1[[#This Row],[Último pagto ano]])</f>
        <v>11</v>
      </c>
      <c r="H3215" t="str">
        <f>TEXT(Tabela1[[#This Row],[Coluna2]]*29,"mmmm")</f>
        <v>novembro</v>
      </c>
      <c r="I3215" t="str">
        <f>TEXT(MONTH(Tabela1[[#This Row],[Último pagto ano]])*29,"mmmm")</f>
        <v>novembro</v>
      </c>
    </row>
    <row r="3216" spans="1:9" x14ac:dyDescent="0.25">
      <c r="A3216">
        <v>2025</v>
      </c>
      <c r="B3216" t="s">
        <v>6398</v>
      </c>
      <c r="C3216" s="1">
        <v>45749</v>
      </c>
      <c r="D3216" t="s">
        <v>6399</v>
      </c>
      <c r="E3216">
        <v>980</v>
      </c>
      <c r="G3216" s="3">
        <f>MONTH(Tabela1[[#This Row],[Último pagto ano]])</f>
        <v>4</v>
      </c>
      <c r="H3216" t="str">
        <f>TEXT(Tabela1[[#This Row],[Coluna2]]*29,"mmmm")</f>
        <v>abril</v>
      </c>
      <c r="I3216" t="str">
        <f>TEXT(MONTH(Tabela1[[#This Row],[Último pagto ano]])*29,"mmmm")</f>
        <v>abril</v>
      </c>
    </row>
    <row r="3217" spans="1:9" x14ac:dyDescent="0.25">
      <c r="A3217">
        <v>2025</v>
      </c>
      <c r="B3217" t="s">
        <v>6400</v>
      </c>
      <c r="C3217" s="1">
        <v>45748</v>
      </c>
      <c r="D3217" t="s">
        <v>6401</v>
      </c>
      <c r="E3217" s="2">
        <v>2564.6799999999998</v>
      </c>
      <c r="G3217" s="3">
        <f>MONTH(Tabela1[[#This Row],[Último pagto ano]])</f>
        <v>4</v>
      </c>
      <c r="H3217" t="str">
        <f>TEXT(Tabela1[[#This Row],[Coluna2]]*29,"mmmm")</f>
        <v>abril</v>
      </c>
      <c r="I3217" t="str">
        <f>TEXT(MONTH(Tabela1[[#This Row],[Último pagto ano]])*29,"mmmm")</f>
        <v>abril</v>
      </c>
    </row>
    <row r="3218" spans="1:9" x14ac:dyDescent="0.25">
      <c r="A3218">
        <v>2025</v>
      </c>
      <c r="B3218" t="s">
        <v>6402</v>
      </c>
      <c r="C3218" s="1">
        <v>45989</v>
      </c>
      <c r="D3218" t="s">
        <v>6403</v>
      </c>
      <c r="E3218" s="2">
        <v>11479.34</v>
      </c>
      <c r="G3218" s="3">
        <f>MONTH(Tabela1[[#This Row],[Último pagto ano]])</f>
        <v>11</v>
      </c>
      <c r="H3218" t="str">
        <f>TEXT(Tabela1[[#This Row],[Coluna2]]*29,"mmmm")</f>
        <v>novembro</v>
      </c>
      <c r="I3218" t="str">
        <f>TEXT(MONTH(Tabela1[[#This Row],[Último pagto ano]])*29,"mmmm")</f>
        <v>novembro</v>
      </c>
    </row>
    <row r="3219" spans="1:9" x14ac:dyDescent="0.25">
      <c r="A3219">
        <v>2025</v>
      </c>
      <c r="B3219" t="s">
        <v>6404</v>
      </c>
      <c r="C3219" s="1">
        <v>45855</v>
      </c>
      <c r="D3219" t="s">
        <v>6405</v>
      </c>
      <c r="E3219">
        <v>48.59</v>
      </c>
      <c r="G3219" s="3">
        <f>MONTH(Tabela1[[#This Row],[Último pagto ano]])</f>
        <v>7</v>
      </c>
      <c r="H3219" t="str">
        <f>TEXT(Tabela1[[#This Row],[Coluna2]]*29,"mmmm")</f>
        <v>julho</v>
      </c>
      <c r="I3219" t="str">
        <f>TEXT(MONTH(Tabela1[[#This Row],[Último pagto ano]])*29,"mmmm")</f>
        <v>julho</v>
      </c>
    </row>
    <row r="3220" spans="1:9" x14ac:dyDescent="0.25">
      <c r="A3220">
        <v>2025</v>
      </c>
      <c r="B3220" t="s">
        <v>6406</v>
      </c>
      <c r="C3220" s="1">
        <v>45989</v>
      </c>
      <c r="D3220" t="s">
        <v>6407</v>
      </c>
      <c r="E3220" s="2">
        <v>7775.83</v>
      </c>
      <c r="G3220" s="3">
        <f>MONTH(Tabela1[[#This Row],[Último pagto ano]])</f>
        <v>11</v>
      </c>
      <c r="H3220" t="str">
        <f>TEXT(Tabela1[[#This Row],[Coluna2]]*29,"mmmm")</f>
        <v>novembro</v>
      </c>
      <c r="I3220" t="str">
        <f>TEXT(MONTH(Tabela1[[#This Row],[Último pagto ano]])*29,"mmmm")</f>
        <v>novembro</v>
      </c>
    </row>
    <row r="3221" spans="1:9" x14ac:dyDescent="0.25">
      <c r="A3221">
        <v>2025</v>
      </c>
      <c r="B3221" t="s">
        <v>6408</v>
      </c>
      <c r="C3221" s="1">
        <v>45687</v>
      </c>
      <c r="D3221" t="s">
        <v>6409</v>
      </c>
      <c r="E3221">
        <v>991.71</v>
      </c>
      <c r="G3221" s="3">
        <f>MONTH(Tabela1[[#This Row],[Último pagto ano]])</f>
        <v>1</v>
      </c>
      <c r="H3221" t="str">
        <f>TEXT(Tabela1[[#This Row],[Coluna2]]*29,"mmmm")</f>
        <v>janeiro</v>
      </c>
      <c r="I3221" t="str">
        <f>TEXT(MONTH(Tabela1[[#This Row],[Último pagto ano]])*29,"mmmm")</f>
        <v>janeiro</v>
      </c>
    </row>
    <row r="3222" spans="1:9" x14ac:dyDescent="0.25">
      <c r="A3222">
        <v>2025</v>
      </c>
      <c r="B3222" t="s">
        <v>6410</v>
      </c>
      <c r="C3222" s="1">
        <v>46021</v>
      </c>
      <c r="D3222" t="s">
        <v>6411</v>
      </c>
      <c r="E3222" s="2">
        <v>11171.23</v>
      </c>
      <c r="G3222" s="3">
        <f>MONTH(Tabela1[[#This Row],[Último pagto ano]])</f>
        <v>12</v>
      </c>
      <c r="H3222" t="str">
        <f>TEXT(Tabela1[[#This Row],[Coluna2]]*29,"mmmm")</f>
        <v>dezembro</v>
      </c>
      <c r="I3222" t="str">
        <f>TEXT(MONTH(Tabela1[[#This Row],[Último pagto ano]])*29,"mmmm")</f>
        <v>dezembro</v>
      </c>
    </row>
    <row r="3223" spans="1:9" x14ac:dyDescent="0.25">
      <c r="A3223">
        <v>2025</v>
      </c>
      <c r="B3223" t="s">
        <v>6412</v>
      </c>
      <c r="C3223" s="1">
        <v>46021</v>
      </c>
      <c r="D3223" t="s">
        <v>6413</v>
      </c>
      <c r="E3223" s="2">
        <v>4186.51</v>
      </c>
      <c r="G3223" s="3">
        <f>MONTH(Tabela1[[#This Row],[Último pagto ano]])</f>
        <v>12</v>
      </c>
      <c r="H3223" t="str">
        <f>TEXT(Tabela1[[#This Row],[Coluna2]]*29,"mmmm")</f>
        <v>dezembro</v>
      </c>
      <c r="I3223" t="str">
        <f>TEXT(MONTH(Tabela1[[#This Row],[Último pagto ano]])*29,"mmmm")</f>
        <v>dezembro</v>
      </c>
    </row>
    <row r="3224" spans="1:9" x14ac:dyDescent="0.25">
      <c r="A3224">
        <v>2025</v>
      </c>
      <c r="B3224" t="s">
        <v>6414</v>
      </c>
      <c r="C3224" s="1">
        <v>45954</v>
      </c>
      <c r="D3224" t="s">
        <v>6415</v>
      </c>
      <c r="E3224" s="2">
        <v>10230.549999999999</v>
      </c>
      <c r="G3224" s="3">
        <f>MONTH(Tabela1[[#This Row],[Último pagto ano]])</f>
        <v>10</v>
      </c>
      <c r="H3224" t="str">
        <f>TEXT(Tabela1[[#This Row],[Coluna2]]*29,"mmmm")</f>
        <v>outubro</v>
      </c>
      <c r="I3224" t="str">
        <f>TEXT(MONTH(Tabela1[[#This Row],[Último pagto ano]])*29,"mmmm")</f>
        <v>outubro</v>
      </c>
    </row>
    <row r="3225" spans="1:9" x14ac:dyDescent="0.25">
      <c r="A3225">
        <v>2025</v>
      </c>
      <c r="B3225" t="s">
        <v>6416</v>
      </c>
      <c r="C3225" s="1">
        <v>45728</v>
      </c>
      <c r="D3225" t="s">
        <v>6417</v>
      </c>
      <c r="E3225">
        <v>54.4</v>
      </c>
      <c r="G3225" s="3">
        <f>MONTH(Tabela1[[#This Row],[Último pagto ano]])</f>
        <v>3</v>
      </c>
      <c r="H3225" t="str">
        <f>TEXT(Tabela1[[#This Row],[Coluna2]]*29,"mmmm")</f>
        <v>março</v>
      </c>
      <c r="I3225" t="str">
        <f>TEXT(MONTH(Tabela1[[#This Row],[Último pagto ano]])*29,"mmmm")</f>
        <v>março</v>
      </c>
    </row>
    <row r="3226" spans="1:9" x14ac:dyDescent="0.25">
      <c r="A3226">
        <v>2025</v>
      </c>
      <c r="B3226" t="s">
        <v>6418</v>
      </c>
      <c r="C3226" s="1">
        <v>45887</v>
      </c>
      <c r="D3226" t="s">
        <v>6419</v>
      </c>
      <c r="E3226">
        <v>160</v>
      </c>
      <c r="G3226" s="3">
        <f>MONTH(Tabela1[[#This Row],[Último pagto ano]])</f>
        <v>8</v>
      </c>
      <c r="H3226" t="str">
        <f>TEXT(Tabela1[[#This Row],[Coluna2]]*29,"mmmm")</f>
        <v>agosto</v>
      </c>
      <c r="I3226" t="str">
        <f>TEXT(MONTH(Tabela1[[#This Row],[Último pagto ano]])*29,"mmmm")</f>
        <v>agosto</v>
      </c>
    </row>
    <row r="3227" spans="1:9" x14ac:dyDescent="0.25">
      <c r="A3227">
        <v>2025</v>
      </c>
      <c r="B3227" t="s">
        <v>6420</v>
      </c>
      <c r="C3227" s="1">
        <v>45996</v>
      </c>
      <c r="D3227" t="s">
        <v>6421</v>
      </c>
      <c r="E3227" s="2">
        <v>10100</v>
      </c>
      <c r="G3227" s="3">
        <f>MONTH(Tabela1[[#This Row],[Último pagto ano]])</f>
        <v>12</v>
      </c>
      <c r="H3227" t="str">
        <f>TEXT(Tabela1[[#This Row],[Coluna2]]*29,"mmmm")</f>
        <v>dezembro</v>
      </c>
      <c r="I3227" t="str">
        <f>TEXT(MONTH(Tabela1[[#This Row],[Último pagto ano]])*29,"mmmm")</f>
        <v>dezembro</v>
      </c>
    </row>
    <row r="3228" spans="1:9" x14ac:dyDescent="0.25">
      <c r="A3228">
        <v>2025</v>
      </c>
      <c r="B3228" t="s">
        <v>6422</v>
      </c>
      <c r="C3228" s="1">
        <v>46010</v>
      </c>
      <c r="D3228" t="s">
        <v>6423</v>
      </c>
      <c r="E3228">
        <v>700</v>
      </c>
      <c r="G3228" s="3">
        <f>MONTH(Tabela1[[#This Row],[Último pagto ano]])</f>
        <v>12</v>
      </c>
      <c r="H3228" t="str">
        <f>TEXT(Tabela1[[#This Row],[Coluna2]]*29,"mmmm")</f>
        <v>dezembro</v>
      </c>
      <c r="I3228" t="str">
        <f>TEXT(MONTH(Tabela1[[#This Row],[Último pagto ano]])*29,"mmmm")</f>
        <v>dezembro</v>
      </c>
    </row>
    <row r="3229" spans="1:9" x14ac:dyDescent="0.25">
      <c r="A3229">
        <v>2025</v>
      </c>
      <c r="B3229" t="s">
        <v>6424</v>
      </c>
      <c r="C3229" s="1">
        <v>45835</v>
      </c>
      <c r="D3229" t="s">
        <v>6425</v>
      </c>
      <c r="E3229" s="2">
        <v>5580.37</v>
      </c>
      <c r="G3229" s="3">
        <f>MONTH(Tabela1[[#This Row],[Último pagto ano]])</f>
        <v>6</v>
      </c>
      <c r="H3229" t="str">
        <f>TEXT(Tabela1[[#This Row],[Coluna2]]*29,"mmmm")</f>
        <v>junho</v>
      </c>
      <c r="I3229" t="str">
        <f>TEXT(MONTH(Tabela1[[#This Row],[Último pagto ano]])*29,"mmmm")</f>
        <v>junho</v>
      </c>
    </row>
    <row r="3230" spans="1:9" x14ac:dyDescent="0.25">
      <c r="A3230">
        <v>2025</v>
      </c>
      <c r="B3230" t="s">
        <v>6426</v>
      </c>
      <c r="C3230" s="1">
        <v>46010</v>
      </c>
      <c r="D3230" t="s">
        <v>6427</v>
      </c>
      <c r="E3230" s="2">
        <v>8400</v>
      </c>
      <c r="G3230" s="3">
        <f>MONTH(Tabela1[[#This Row],[Último pagto ano]])</f>
        <v>12</v>
      </c>
      <c r="H3230" t="str">
        <f>TEXT(Tabela1[[#This Row],[Coluna2]]*29,"mmmm")</f>
        <v>dezembro</v>
      </c>
      <c r="I3230" t="str">
        <f>TEXT(MONTH(Tabela1[[#This Row],[Último pagto ano]])*29,"mmmm")</f>
        <v>dezembro</v>
      </c>
    </row>
    <row r="3231" spans="1:9" x14ac:dyDescent="0.25">
      <c r="A3231">
        <v>2025</v>
      </c>
      <c r="B3231" t="s">
        <v>6428</v>
      </c>
      <c r="C3231" s="1">
        <v>45786</v>
      </c>
      <c r="D3231" t="s">
        <v>6429</v>
      </c>
      <c r="E3231" s="2">
        <v>2200</v>
      </c>
      <c r="G3231" s="3">
        <f>MONTH(Tabela1[[#This Row],[Último pagto ano]])</f>
        <v>5</v>
      </c>
      <c r="H3231" t="str">
        <f>TEXT(Tabela1[[#This Row],[Coluna2]]*29,"mmmm")</f>
        <v>maio</v>
      </c>
      <c r="I3231" t="str">
        <f>TEXT(MONTH(Tabela1[[#This Row],[Último pagto ano]])*29,"mmmm")</f>
        <v>maio</v>
      </c>
    </row>
    <row r="3232" spans="1:9" x14ac:dyDescent="0.25">
      <c r="A3232">
        <v>2025</v>
      </c>
      <c r="B3232" t="s">
        <v>6430</v>
      </c>
      <c r="C3232" s="1">
        <v>45702</v>
      </c>
      <c r="D3232" t="s">
        <v>6431</v>
      </c>
      <c r="E3232">
        <v>922.22</v>
      </c>
      <c r="G3232" s="3">
        <f>MONTH(Tabela1[[#This Row],[Último pagto ano]])</f>
        <v>2</v>
      </c>
      <c r="H3232" t="str">
        <f>TEXT(Tabela1[[#This Row],[Coluna2]]*29,"mmmm")</f>
        <v>fevereiro</v>
      </c>
      <c r="I3232" t="str">
        <f>TEXT(MONTH(Tabela1[[#This Row],[Último pagto ano]])*29,"mmmm")</f>
        <v>fevereiro</v>
      </c>
    </row>
    <row r="3233" spans="1:9" x14ac:dyDescent="0.25">
      <c r="A3233">
        <v>2025</v>
      </c>
      <c r="B3233" t="s">
        <v>6432</v>
      </c>
      <c r="C3233" s="1">
        <v>45996</v>
      </c>
      <c r="D3233" t="s">
        <v>6433</v>
      </c>
      <c r="E3233" s="2">
        <v>2000</v>
      </c>
      <c r="G3233" s="3">
        <f>MONTH(Tabela1[[#This Row],[Último pagto ano]])</f>
        <v>12</v>
      </c>
      <c r="H3233" t="str">
        <f>TEXT(Tabela1[[#This Row],[Coluna2]]*29,"mmmm")</f>
        <v>dezembro</v>
      </c>
      <c r="I3233" t="str">
        <f>TEXT(MONTH(Tabela1[[#This Row],[Último pagto ano]])*29,"mmmm")</f>
        <v>dezembro</v>
      </c>
    </row>
    <row r="3234" spans="1:9" x14ac:dyDescent="0.25">
      <c r="A3234">
        <v>2025</v>
      </c>
      <c r="B3234" t="s">
        <v>6434</v>
      </c>
      <c r="C3234" s="1">
        <v>45702</v>
      </c>
      <c r="D3234" t="s">
        <v>6435</v>
      </c>
      <c r="E3234">
        <v>884.1</v>
      </c>
      <c r="G3234" s="3">
        <f>MONTH(Tabela1[[#This Row],[Último pagto ano]])</f>
        <v>2</v>
      </c>
      <c r="H3234" t="str">
        <f>TEXT(Tabela1[[#This Row],[Coluna2]]*29,"mmmm")</f>
        <v>fevereiro</v>
      </c>
      <c r="I3234" t="str">
        <f>TEXT(MONTH(Tabela1[[#This Row],[Último pagto ano]])*29,"mmmm")</f>
        <v>fevereiro</v>
      </c>
    </row>
    <row r="3235" spans="1:9" x14ac:dyDescent="0.25">
      <c r="A3235">
        <v>2025</v>
      </c>
      <c r="B3235" t="s">
        <v>6436</v>
      </c>
      <c r="C3235" s="1">
        <v>45702</v>
      </c>
      <c r="D3235" t="s">
        <v>6437</v>
      </c>
      <c r="E3235">
        <v>164.74</v>
      </c>
      <c r="G3235" s="3">
        <f>MONTH(Tabela1[[#This Row],[Último pagto ano]])</f>
        <v>2</v>
      </c>
      <c r="H3235" t="str">
        <f>TEXT(Tabela1[[#This Row],[Coluna2]]*29,"mmmm")</f>
        <v>fevereiro</v>
      </c>
      <c r="I3235" t="str">
        <f>TEXT(MONTH(Tabela1[[#This Row],[Último pagto ano]])*29,"mmmm")</f>
        <v>fevereiro</v>
      </c>
    </row>
    <row r="3236" spans="1:9" x14ac:dyDescent="0.25">
      <c r="A3236">
        <v>2025</v>
      </c>
      <c r="B3236" t="s">
        <v>6438</v>
      </c>
      <c r="C3236" s="1">
        <v>45964</v>
      </c>
      <c r="D3236" t="s">
        <v>6439</v>
      </c>
      <c r="E3236" s="2">
        <v>1133</v>
      </c>
      <c r="G3236" s="3">
        <f>MONTH(Tabela1[[#This Row],[Último pagto ano]])</f>
        <v>11</v>
      </c>
      <c r="H3236" t="str">
        <f>TEXT(Tabela1[[#This Row],[Coluna2]]*29,"mmmm")</f>
        <v>novembro</v>
      </c>
      <c r="I3236" t="str">
        <f>TEXT(MONTH(Tabela1[[#This Row],[Último pagto ano]])*29,"mmmm")</f>
        <v>novembro</v>
      </c>
    </row>
    <row r="3237" spans="1:9" x14ac:dyDescent="0.25">
      <c r="A3237">
        <v>2025</v>
      </c>
      <c r="B3237" t="s">
        <v>6440</v>
      </c>
      <c r="C3237" s="1">
        <v>46014</v>
      </c>
      <c r="D3237" t="s">
        <v>6441</v>
      </c>
      <c r="E3237">
        <v>109.4</v>
      </c>
      <c r="G3237" s="3">
        <f>MONTH(Tabela1[[#This Row],[Último pagto ano]])</f>
        <v>12</v>
      </c>
      <c r="H3237" t="str">
        <f>TEXT(Tabela1[[#This Row],[Coluna2]]*29,"mmmm")</f>
        <v>dezembro</v>
      </c>
      <c r="I3237" t="str">
        <f>TEXT(MONTH(Tabela1[[#This Row],[Último pagto ano]])*29,"mmmm")</f>
        <v>dezembro</v>
      </c>
    </row>
    <row r="3238" spans="1:9" x14ac:dyDescent="0.25">
      <c r="A3238">
        <v>2025</v>
      </c>
      <c r="B3238" t="s">
        <v>6442</v>
      </c>
      <c r="C3238" s="1">
        <v>45702</v>
      </c>
      <c r="D3238" t="s">
        <v>6443</v>
      </c>
      <c r="E3238">
        <v>553.71</v>
      </c>
      <c r="G3238" s="3">
        <f>MONTH(Tabela1[[#This Row],[Último pagto ano]])</f>
        <v>2</v>
      </c>
      <c r="H3238" t="str">
        <f>TEXT(Tabela1[[#This Row],[Coluna2]]*29,"mmmm")</f>
        <v>fevereiro</v>
      </c>
      <c r="I3238" t="str">
        <f>TEXT(MONTH(Tabela1[[#This Row],[Último pagto ano]])*29,"mmmm")</f>
        <v>fevereiro</v>
      </c>
    </row>
    <row r="3239" spans="1:9" x14ac:dyDescent="0.25">
      <c r="A3239">
        <v>2025</v>
      </c>
      <c r="B3239" t="s">
        <v>6444</v>
      </c>
      <c r="C3239" s="1">
        <v>45989</v>
      </c>
      <c r="D3239" t="s">
        <v>6445</v>
      </c>
      <c r="E3239" s="2">
        <v>11776.65</v>
      </c>
      <c r="G3239" s="3">
        <f>MONTH(Tabela1[[#This Row],[Último pagto ano]])</f>
        <v>11</v>
      </c>
      <c r="H3239" t="str">
        <f>TEXT(Tabela1[[#This Row],[Coluna2]]*29,"mmmm")</f>
        <v>novembro</v>
      </c>
      <c r="I3239" t="str">
        <f>TEXT(MONTH(Tabela1[[#This Row],[Último pagto ano]])*29,"mmmm")</f>
        <v>novembro</v>
      </c>
    </row>
    <row r="3240" spans="1:9" x14ac:dyDescent="0.25">
      <c r="A3240">
        <v>2025</v>
      </c>
      <c r="B3240" t="s">
        <v>6446</v>
      </c>
      <c r="C3240" s="1">
        <v>45996</v>
      </c>
      <c r="D3240" t="s">
        <v>6447</v>
      </c>
      <c r="E3240" s="2">
        <v>48525</v>
      </c>
      <c r="G3240" s="3">
        <f>MONTH(Tabela1[[#This Row],[Último pagto ano]])</f>
        <v>12</v>
      </c>
      <c r="H3240" t="str">
        <f>TEXT(Tabela1[[#This Row],[Coluna2]]*29,"mmmm")</f>
        <v>dezembro</v>
      </c>
      <c r="I3240" t="str">
        <f>TEXT(MONTH(Tabela1[[#This Row],[Último pagto ano]])*29,"mmmm")</f>
        <v>dezembro</v>
      </c>
    </row>
    <row r="3241" spans="1:9" x14ac:dyDescent="0.25">
      <c r="A3241">
        <v>2025</v>
      </c>
      <c r="B3241" t="s">
        <v>6448</v>
      </c>
      <c r="C3241" s="1">
        <v>46010</v>
      </c>
      <c r="D3241" t="s">
        <v>6449</v>
      </c>
      <c r="E3241">
        <v>700</v>
      </c>
      <c r="G3241" s="3">
        <f>MONTH(Tabela1[[#This Row],[Último pagto ano]])</f>
        <v>12</v>
      </c>
      <c r="H3241" t="str">
        <f>TEXT(Tabela1[[#This Row],[Coluna2]]*29,"mmmm")</f>
        <v>dezembro</v>
      </c>
      <c r="I3241" t="str">
        <f>TEXT(MONTH(Tabela1[[#This Row],[Último pagto ano]])*29,"mmmm")</f>
        <v>dezembro</v>
      </c>
    </row>
    <row r="3242" spans="1:9" x14ac:dyDescent="0.25">
      <c r="A3242">
        <v>2025</v>
      </c>
      <c r="B3242" t="s">
        <v>6450</v>
      </c>
      <c r="C3242" s="1">
        <v>45996</v>
      </c>
      <c r="D3242" t="s">
        <v>6451</v>
      </c>
      <c r="E3242" s="2">
        <v>12000</v>
      </c>
      <c r="G3242" s="3">
        <f>MONTH(Tabela1[[#This Row],[Último pagto ano]])</f>
        <v>12</v>
      </c>
      <c r="H3242" t="str">
        <f>TEXT(Tabela1[[#This Row],[Coluna2]]*29,"mmmm")</f>
        <v>dezembro</v>
      </c>
      <c r="I3242" t="str">
        <f>TEXT(MONTH(Tabela1[[#This Row],[Último pagto ano]])*29,"mmmm")</f>
        <v>dezembro</v>
      </c>
    </row>
    <row r="3243" spans="1:9" x14ac:dyDescent="0.25">
      <c r="A3243">
        <v>2025</v>
      </c>
      <c r="B3243" t="s">
        <v>6452</v>
      </c>
      <c r="C3243" s="1">
        <v>45702</v>
      </c>
      <c r="D3243" t="s">
        <v>6453</v>
      </c>
      <c r="E3243" s="2">
        <v>1286.3800000000001</v>
      </c>
      <c r="G3243" s="3">
        <f>MONTH(Tabela1[[#This Row],[Último pagto ano]])</f>
        <v>2</v>
      </c>
      <c r="H3243" t="str">
        <f>TEXT(Tabela1[[#This Row],[Coluna2]]*29,"mmmm")</f>
        <v>fevereiro</v>
      </c>
      <c r="I3243" t="str">
        <f>TEXT(MONTH(Tabela1[[#This Row],[Último pagto ano]])*29,"mmmm")</f>
        <v>fevereiro</v>
      </c>
    </row>
    <row r="3244" spans="1:9" x14ac:dyDescent="0.25">
      <c r="A3244">
        <v>2025</v>
      </c>
      <c r="B3244" t="s">
        <v>6454</v>
      </c>
      <c r="C3244" s="1">
        <v>45751</v>
      </c>
      <c r="D3244" t="s">
        <v>6455</v>
      </c>
      <c r="E3244">
        <v>217</v>
      </c>
      <c r="G3244" s="3">
        <f>MONTH(Tabela1[[#This Row],[Último pagto ano]])</f>
        <v>4</v>
      </c>
      <c r="H3244" t="str">
        <f>TEXT(Tabela1[[#This Row],[Coluna2]]*29,"mmmm")</f>
        <v>abril</v>
      </c>
      <c r="I3244" t="str">
        <f>TEXT(MONTH(Tabela1[[#This Row],[Último pagto ano]])*29,"mmmm")</f>
        <v>abril</v>
      </c>
    </row>
    <row r="3245" spans="1:9" x14ac:dyDescent="0.25">
      <c r="A3245">
        <v>2025</v>
      </c>
      <c r="B3245" t="s">
        <v>6456</v>
      </c>
      <c r="C3245" s="1">
        <v>46010</v>
      </c>
      <c r="D3245" t="s">
        <v>6457</v>
      </c>
      <c r="E3245" s="2">
        <v>3500</v>
      </c>
      <c r="G3245" s="3">
        <f>MONTH(Tabela1[[#This Row],[Último pagto ano]])</f>
        <v>12</v>
      </c>
      <c r="H3245" t="str">
        <f>TEXT(Tabela1[[#This Row],[Coluna2]]*29,"mmmm")</f>
        <v>dezembro</v>
      </c>
      <c r="I3245" t="str">
        <f>TEXT(MONTH(Tabela1[[#This Row],[Último pagto ano]])*29,"mmmm")</f>
        <v>dezembro</v>
      </c>
    </row>
    <row r="3246" spans="1:9" x14ac:dyDescent="0.25">
      <c r="A3246">
        <v>2025</v>
      </c>
      <c r="B3246" t="s">
        <v>6458</v>
      </c>
      <c r="C3246" s="1">
        <v>45791</v>
      </c>
      <c r="D3246" t="s">
        <v>6459</v>
      </c>
      <c r="E3246">
        <v>270</v>
      </c>
      <c r="G3246" s="3">
        <f>MONTH(Tabela1[[#This Row],[Último pagto ano]])</f>
        <v>5</v>
      </c>
      <c r="H3246" t="str">
        <f>TEXT(Tabela1[[#This Row],[Coluna2]]*29,"mmmm")</f>
        <v>maio</v>
      </c>
      <c r="I3246" t="str">
        <f>TEXT(MONTH(Tabela1[[#This Row],[Último pagto ano]])*29,"mmmm")</f>
        <v>maio</v>
      </c>
    </row>
    <row r="3247" spans="1:9" x14ac:dyDescent="0.25">
      <c r="A3247">
        <v>2025</v>
      </c>
      <c r="B3247" t="s">
        <v>6460</v>
      </c>
      <c r="C3247" s="1">
        <v>46013</v>
      </c>
      <c r="D3247" t="s">
        <v>6461</v>
      </c>
      <c r="E3247" s="2">
        <v>6222.51</v>
      </c>
      <c r="G3247" s="3">
        <f>MONTH(Tabela1[[#This Row],[Último pagto ano]])</f>
        <v>12</v>
      </c>
      <c r="H3247" t="str">
        <f>TEXT(Tabela1[[#This Row],[Coluna2]]*29,"mmmm")</f>
        <v>dezembro</v>
      </c>
      <c r="I3247" t="str">
        <f>TEXT(MONTH(Tabela1[[#This Row],[Último pagto ano]])*29,"mmmm")</f>
        <v>dezembro</v>
      </c>
    </row>
    <row r="3248" spans="1:9" x14ac:dyDescent="0.25">
      <c r="A3248">
        <v>2025</v>
      </c>
      <c r="B3248" t="s">
        <v>6462</v>
      </c>
      <c r="C3248" s="1">
        <v>46010</v>
      </c>
      <c r="D3248" t="s">
        <v>6463</v>
      </c>
      <c r="E3248" s="2">
        <v>12000</v>
      </c>
      <c r="G3248" s="3">
        <f>MONTH(Tabela1[[#This Row],[Último pagto ano]])</f>
        <v>12</v>
      </c>
      <c r="H3248" t="str">
        <f>TEXT(Tabela1[[#This Row],[Coluna2]]*29,"mmmm")</f>
        <v>dezembro</v>
      </c>
      <c r="I3248" t="str">
        <f>TEXT(MONTH(Tabela1[[#This Row],[Último pagto ano]])*29,"mmmm")</f>
        <v>dezembro</v>
      </c>
    </row>
    <row r="3249" spans="1:9" x14ac:dyDescent="0.25">
      <c r="A3249">
        <v>2025</v>
      </c>
      <c r="B3249" t="s">
        <v>6464</v>
      </c>
      <c r="C3249" s="1">
        <v>45702</v>
      </c>
      <c r="D3249" t="s">
        <v>6465</v>
      </c>
      <c r="E3249" s="2">
        <v>1220.03</v>
      </c>
      <c r="G3249" s="3">
        <f>MONTH(Tabela1[[#This Row],[Último pagto ano]])</f>
        <v>2</v>
      </c>
      <c r="H3249" t="str">
        <f>TEXT(Tabela1[[#This Row],[Coluna2]]*29,"mmmm")</f>
        <v>fevereiro</v>
      </c>
      <c r="I3249" t="str">
        <f>TEXT(MONTH(Tabela1[[#This Row],[Último pagto ano]])*29,"mmmm")</f>
        <v>fevereiro</v>
      </c>
    </row>
    <row r="3250" spans="1:9" x14ac:dyDescent="0.25">
      <c r="A3250">
        <v>2025</v>
      </c>
      <c r="B3250" t="s">
        <v>6466</v>
      </c>
      <c r="C3250" s="1">
        <v>45733</v>
      </c>
      <c r="D3250" t="s">
        <v>6467</v>
      </c>
      <c r="E3250">
        <v>370.16</v>
      </c>
      <c r="G3250" s="3">
        <f>MONTH(Tabela1[[#This Row],[Último pagto ano]])</f>
        <v>3</v>
      </c>
      <c r="H3250" t="str">
        <f>TEXT(Tabela1[[#This Row],[Coluna2]]*29,"mmmm")</f>
        <v>março</v>
      </c>
      <c r="I3250" t="str">
        <f>TEXT(MONTH(Tabela1[[#This Row],[Último pagto ano]])*29,"mmmm")</f>
        <v>março</v>
      </c>
    </row>
    <row r="3251" spans="1:9" x14ac:dyDescent="0.25">
      <c r="A3251">
        <v>2025</v>
      </c>
      <c r="B3251" t="s">
        <v>6468</v>
      </c>
      <c r="C3251" s="1">
        <v>46021</v>
      </c>
      <c r="D3251" t="s">
        <v>6469</v>
      </c>
      <c r="E3251" s="2">
        <v>291753</v>
      </c>
      <c r="G3251" s="3">
        <f>MONTH(Tabela1[[#This Row],[Último pagto ano]])</f>
        <v>12</v>
      </c>
      <c r="H3251" t="str">
        <f>TEXT(Tabela1[[#This Row],[Coluna2]]*29,"mmmm")</f>
        <v>dezembro</v>
      </c>
      <c r="I3251" t="str">
        <f>TEXT(MONTH(Tabela1[[#This Row],[Último pagto ano]])*29,"mmmm")</f>
        <v>dezembro</v>
      </c>
    </row>
    <row r="3252" spans="1:9" x14ac:dyDescent="0.25">
      <c r="A3252">
        <v>2025</v>
      </c>
      <c r="B3252" t="s">
        <v>6470</v>
      </c>
      <c r="C3252" s="1">
        <v>45740</v>
      </c>
      <c r="D3252" t="s">
        <v>6471</v>
      </c>
      <c r="E3252">
        <v>22</v>
      </c>
      <c r="G3252" s="3">
        <f>MONTH(Tabela1[[#This Row],[Último pagto ano]])</f>
        <v>3</v>
      </c>
      <c r="H3252" t="str">
        <f>TEXT(Tabela1[[#This Row],[Coluna2]]*29,"mmmm")</f>
        <v>março</v>
      </c>
      <c r="I3252" t="str">
        <f>TEXT(MONTH(Tabela1[[#This Row],[Último pagto ano]])*29,"mmmm")</f>
        <v>março</v>
      </c>
    </row>
    <row r="3253" spans="1:9" x14ac:dyDescent="0.25">
      <c r="A3253">
        <v>2025</v>
      </c>
      <c r="B3253" t="s">
        <v>6472</v>
      </c>
      <c r="C3253" s="1">
        <v>45924</v>
      </c>
      <c r="D3253" t="s">
        <v>6473</v>
      </c>
      <c r="E3253" s="2">
        <v>557230.93000000005</v>
      </c>
      <c r="G3253" s="3">
        <f>MONTH(Tabela1[[#This Row],[Último pagto ano]])</f>
        <v>9</v>
      </c>
      <c r="H3253" t="str">
        <f>TEXT(Tabela1[[#This Row],[Coluna2]]*29,"mmmm")</f>
        <v>setembro</v>
      </c>
      <c r="I3253" t="str">
        <f>TEXT(MONTH(Tabela1[[#This Row],[Último pagto ano]])*29,"mmmm")</f>
        <v>setembro</v>
      </c>
    </row>
    <row r="3254" spans="1:9" x14ac:dyDescent="0.25">
      <c r="A3254">
        <v>2025</v>
      </c>
      <c r="B3254" t="s">
        <v>6474</v>
      </c>
      <c r="C3254" s="1">
        <v>46013</v>
      </c>
      <c r="D3254" t="s">
        <v>6475</v>
      </c>
      <c r="E3254" s="2">
        <v>14689.7</v>
      </c>
      <c r="G3254" s="3">
        <f>MONTH(Tabela1[[#This Row],[Último pagto ano]])</f>
        <v>12</v>
      </c>
      <c r="H3254" t="str">
        <f>TEXT(Tabela1[[#This Row],[Coluna2]]*29,"mmmm")</f>
        <v>dezembro</v>
      </c>
      <c r="I3254" t="str">
        <f>TEXT(MONTH(Tabela1[[#This Row],[Último pagto ano]])*29,"mmmm")</f>
        <v>dezembro</v>
      </c>
    </row>
    <row r="3255" spans="1:9" x14ac:dyDescent="0.25">
      <c r="A3255">
        <v>2025</v>
      </c>
      <c r="B3255" t="s">
        <v>6476</v>
      </c>
      <c r="C3255" s="1">
        <v>46010</v>
      </c>
      <c r="D3255" t="s">
        <v>6477</v>
      </c>
      <c r="E3255" s="2">
        <v>8400</v>
      </c>
      <c r="G3255" s="3">
        <f>MONTH(Tabela1[[#This Row],[Último pagto ano]])</f>
        <v>12</v>
      </c>
      <c r="H3255" t="str">
        <f>TEXT(Tabela1[[#This Row],[Coluna2]]*29,"mmmm")</f>
        <v>dezembro</v>
      </c>
      <c r="I3255" t="str">
        <f>TEXT(MONTH(Tabela1[[#This Row],[Último pagto ano]])*29,"mmmm")</f>
        <v>dezembro</v>
      </c>
    </row>
    <row r="3256" spans="1:9" x14ac:dyDescent="0.25">
      <c r="A3256">
        <v>2025</v>
      </c>
      <c r="B3256" t="s">
        <v>6478</v>
      </c>
      <c r="C3256" s="1">
        <v>45915</v>
      </c>
      <c r="D3256" t="s">
        <v>6479</v>
      </c>
      <c r="E3256" s="2">
        <v>3534</v>
      </c>
      <c r="G3256" s="3">
        <f>MONTH(Tabela1[[#This Row],[Último pagto ano]])</f>
        <v>9</v>
      </c>
      <c r="H3256" t="str">
        <f>TEXT(Tabela1[[#This Row],[Coluna2]]*29,"mmmm")</f>
        <v>setembro</v>
      </c>
      <c r="I3256" t="str">
        <f>TEXT(MONTH(Tabela1[[#This Row],[Último pagto ano]])*29,"mmmm")</f>
        <v>setembro</v>
      </c>
    </row>
    <row r="3257" spans="1:9" x14ac:dyDescent="0.25">
      <c r="A3257">
        <v>2025</v>
      </c>
      <c r="B3257" t="s">
        <v>6480</v>
      </c>
      <c r="C3257" s="1">
        <v>45995</v>
      </c>
      <c r="D3257" t="s">
        <v>6481</v>
      </c>
      <c r="E3257">
        <v>88</v>
      </c>
      <c r="G3257" s="3">
        <f>MONTH(Tabela1[[#This Row],[Último pagto ano]])</f>
        <v>12</v>
      </c>
      <c r="H3257" t="str">
        <f>TEXT(Tabela1[[#This Row],[Coluna2]]*29,"mmmm")</f>
        <v>dezembro</v>
      </c>
      <c r="I3257" t="str">
        <f>TEXT(MONTH(Tabela1[[#This Row],[Último pagto ano]])*29,"mmmm")</f>
        <v>dezembro</v>
      </c>
    </row>
    <row r="3258" spans="1:9" x14ac:dyDescent="0.25">
      <c r="A3258">
        <v>2025</v>
      </c>
      <c r="B3258" t="s">
        <v>6482</v>
      </c>
      <c r="C3258" s="1">
        <v>45960</v>
      </c>
      <c r="D3258" t="s">
        <v>6483</v>
      </c>
      <c r="E3258">
        <v>9.4</v>
      </c>
      <c r="G3258" s="3">
        <f>MONTH(Tabela1[[#This Row],[Último pagto ano]])</f>
        <v>10</v>
      </c>
      <c r="H3258" t="str">
        <f>TEXT(Tabela1[[#This Row],[Coluna2]]*29,"mmmm")</f>
        <v>outubro</v>
      </c>
      <c r="I3258" t="str">
        <f>TEXT(MONTH(Tabela1[[#This Row],[Último pagto ano]])*29,"mmmm")</f>
        <v>outubro</v>
      </c>
    </row>
    <row r="3259" spans="1:9" x14ac:dyDescent="0.25">
      <c r="A3259">
        <v>2025</v>
      </c>
      <c r="B3259" t="s">
        <v>6484</v>
      </c>
      <c r="C3259" s="1">
        <v>45674</v>
      </c>
      <c r="D3259" t="s">
        <v>6485</v>
      </c>
      <c r="E3259" s="2">
        <v>7440.48</v>
      </c>
      <c r="G3259" s="3">
        <f>MONTH(Tabela1[[#This Row],[Último pagto ano]])</f>
        <v>1</v>
      </c>
      <c r="H3259" t="str">
        <f>TEXT(Tabela1[[#This Row],[Coluna2]]*29,"mmmm")</f>
        <v>janeiro</v>
      </c>
      <c r="I3259" t="str">
        <f>TEXT(MONTH(Tabela1[[#This Row],[Último pagto ano]])*29,"mmmm")</f>
        <v>janeiro</v>
      </c>
    </row>
    <row r="3260" spans="1:9" x14ac:dyDescent="0.25">
      <c r="A3260">
        <v>2025</v>
      </c>
      <c r="B3260" t="s">
        <v>6486</v>
      </c>
      <c r="C3260" s="1">
        <v>45975</v>
      </c>
      <c r="D3260" t="s">
        <v>6487</v>
      </c>
      <c r="E3260">
        <v>296.16000000000003</v>
      </c>
      <c r="G3260" s="3">
        <f>MONTH(Tabela1[[#This Row],[Último pagto ano]])</f>
        <v>11</v>
      </c>
      <c r="H3260" t="str">
        <f>TEXT(Tabela1[[#This Row],[Coluna2]]*29,"mmmm")</f>
        <v>novembro</v>
      </c>
      <c r="I3260" t="str">
        <f>TEXT(MONTH(Tabela1[[#This Row],[Último pagto ano]])*29,"mmmm")</f>
        <v>novembro</v>
      </c>
    </row>
    <row r="3261" spans="1:9" x14ac:dyDescent="0.25">
      <c r="A3261">
        <v>2025</v>
      </c>
      <c r="B3261" t="s">
        <v>6488</v>
      </c>
      <c r="C3261" s="1">
        <v>46010</v>
      </c>
      <c r="D3261" t="s">
        <v>6489</v>
      </c>
      <c r="E3261" s="2">
        <v>8400</v>
      </c>
      <c r="G3261" s="3">
        <f>MONTH(Tabela1[[#This Row],[Último pagto ano]])</f>
        <v>12</v>
      </c>
      <c r="H3261" t="str">
        <f>TEXT(Tabela1[[#This Row],[Coluna2]]*29,"mmmm")</f>
        <v>dezembro</v>
      </c>
      <c r="I3261" t="str">
        <f>TEXT(MONTH(Tabela1[[#This Row],[Último pagto ano]])*29,"mmmm")</f>
        <v>dezembro</v>
      </c>
    </row>
    <row r="3262" spans="1:9" x14ac:dyDescent="0.25">
      <c r="A3262">
        <v>2025</v>
      </c>
      <c r="B3262" t="s">
        <v>6490</v>
      </c>
      <c r="C3262" s="1">
        <v>45831</v>
      </c>
      <c r="D3262" t="s">
        <v>6491</v>
      </c>
      <c r="E3262" s="2">
        <v>4118.3999999999996</v>
      </c>
      <c r="G3262" s="3">
        <f>MONTH(Tabela1[[#This Row],[Último pagto ano]])</f>
        <v>6</v>
      </c>
      <c r="H3262" t="str">
        <f>TEXT(Tabela1[[#This Row],[Coluna2]]*29,"mmmm")</f>
        <v>junho</v>
      </c>
      <c r="I3262" t="str">
        <f>TEXT(MONTH(Tabela1[[#This Row],[Último pagto ano]])*29,"mmmm")</f>
        <v>junho</v>
      </c>
    </row>
    <row r="3263" spans="1:9" x14ac:dyDescent="0.25">
      <c r="A3263">
        <v>2025</v>
      </c>
      <c r="B3263" t="s">
        <v>6492</v>
      </c>
      <c r="C3263" s="1">
        <v>46021</v>
      </c>
      <c r="D3263" t="s">
        <v>6493</v>
      </c>
      <c r="E3263" s="2">
        <v>12758.43</v>
      </c>
      <c r="G3263" s="3">
        <f>MONTH(Tabela1[[#This Row],[Último pagto ano]])</f>
        <v>12</v>
      </c>
      <c r="H3263" t="str">
        <f>TEXT(Tabela1[[#This Row],[Coluna2]]*29,"mmmm")</f>
        <v>dezembro</v>
      </c>
      <c r="I3263" t="str">
        <f>TEXT(MONTH(Tabela1[[#This Row],[Último pagto ano]])*29,"mmmm")</f>
        <v>dezembro</v>
      </c>
    </row>
    <row r="3264" spans="1:9" x14ac:dyDescent="0.25">
      <c r="A3264">
        <v>2025</v>
      </c>
      <c r="B3264" t="s">
        <v>6494</v>
      </c>
      <c r="C3264" s="1">
        <v>45736</v>
      </c>
      <c r="D3264" t="s">
        <v>6495</v>
      </c>
      <c r="E3264">
        <v>346.1</v>
      </c>
      <c r="G3264" s="3">
        <f>MONTH(Tabela1[[#This Row],[Último pagto ano]])</f>
        <v>3</v>
      </c>
      <c r="H3264" t="str">
        <f>TEXT(Tabela1[[#This Row],[Coluna2]]*29,"mmmm")</f>
        <v>março</v>
      </c>
      <c r="I3264" t="str">
        <f>TEXT(MONTH(Tabela1[[#This Row],[Último pagto ano]])*29,"mmmm")</f>
        <v>março</v>
      </c>
    </row>
    <row r="3265" spans="1:9" x14ac:dyDescent="0.25">
      <c r="A3265">
        <v>2025</v>
      </c>
      <c r="B3265" t="s">
        <v>6496</v>
      </c>
      <c r="C3265" s="1">
        <v>45954</v>
      </c>
      <c r="D3265" t="s">
        <v>6497</v>
      </c>
      <c r="E3265" s="2">
        <v>72835.38</v>
      </c>
      <c r="G3265" s="3">
        <f>MONTH(Tabela1[[#This Row],[Último pagto ano]])</f>
        <v>10</v>
      </c>
      <c r="H3265" t="str">
        <f>TEXT(Tabela1[[#This Row],[Coluna2]]*29,"mmmm")</f>
        <v>outubro</v>
      </c>
      <c r="I3265" t="str">
        <f>TEXT(MONTH(Tabela1[[#This Row],[Último pagto ano]])*29,"mmmm")</f>
        <v>outubro</v>
      </c>
    </row>
    <row r="3266" spans="1:9" x14ac:dyDescent="0.25">
      <c r="A3266">
        <v>2025</v>
      </c>
      <c r="B3266" t="s">
        <v>6498</v>
      </c>
      <c r="C3266" s="1">
        <v>46014</v>
      </c>
      <c r="D3266" t="s">
        <v>6499</v>
      </c>
      <c r="E3266" s="2">
        <v>43604.44</v>
      </c>
      <c r="G3266" s="3">
        <f>MONTH(Tabela1[[#This Row],[Último pagto ano]])</f>
        <v>12</v>
      </c>
      <c r="H3266" t="str">
        <f>TEXT(Tabela1[[#This Row],[Coluna2]]*29,"mmmm")</f>
        <v>dezembro</v>
      </c>
      <c r="I3266" t="str">
        <f>TEXT(MONTH(Tabela1[[#This Row],[Último pagto ano]])*29,"mmmm")</f>
        <v>dezembro</v>
      </c>
    </row>
    <row r="3267" spans="1:9" x14ac:dyDescent="0.25">
      <c r="A3267">
        <v>2025</v>
      </c>
      <c r="B3267" t="s">
        <v>6500</v>
      </c>
      <c r="C3267" s="1">
        <v>45813</v>
      </c>
      <c r="D3267" t="s">
        <v>6501</v>
      </c>
      <c r="E3267" s="2">
        <v>80902.600000000006</v>
      </c>
      <c r="G3267" s="3">
        <f>MONTH(Tabela1[[#This Row],[Último pagto ano]])</f>
        <v>6</v>
      </c>
      <c r="H3267" t="str">
        <f>TEXT(Tabela1[[#This Row],[Coluna2]]*29,"mmmm")</f>
        <v>junho</v>
      </c>
      <c r="I3267" t="str">
        <f>TEXT(MONTH(Tabela1[[#This Row],[Último pagto ano]])*29,"mmmm")</f>
        <v>junho</v>
      </c>
    </row>
    <row r="3268" spans="1:9" x14ac:dyDescent="0.25">
      <c r="A3268">
        <v>2025</v>
      </c>
      <c r="B3268" t="s">
        <v>6502</v>
      </c>
      <c r="C3268" s="1">
        <v>46014</v>
      </c>
      <c r="D3268" t="s">
        <v>6503</v>
      </c>
      <c r="E3268" s="2">
        <v>80310.880000000005</v>
      </c>
      <c r="G3268" s="3">
        <f>MONTH(Tabela1[[#This Row],[Último pagto ano]])</f>
        <v>12</v>
      </c>
      <c r="H3268" t="str">
        <f>TEXT(Tabela1[[#This Row],[Coluna2]]*29,"mmmm")</f>
        <v>dezembro</v>
      </c>
      <c r="I3268" t="str">
        <f>TEXT(MONTH(Tabela1[[#This Row],[Último pagto ano]])*29,"mmmm")</f>
        <v>dezembro</v>
      </c>
    </row>
    <row r="3269" spans="1:9" x14ac:dyDescent="0.25">
      <c r="A3269">
        <v>2025</v>
      </c>
      <c r="B3269" t="s">
        <v>6504</v>
      </c>
      <c r="C3269" s="1">
        <v>45915</v>
      </c>
      <c r="D3269" t="s">
        <v>6505</v>
      </c>
      <c r="E3269" s="2">
        <v>26101.91</v>
      </c>
      <c r="G3269" s="3">
        <f>MONTH(Tabela1[[#This Row],[Último pagto ano]])</f>
        <v>9</v>
      </c>
      <c r="H3269" t="str">
        <f>TEXT(Tabela1[[#This Row],[Coluna2]]*29,"mmmm")</f>
        <v>setembro</v>
      </c>
      <c r="I3269" t="str">
        <f>TEXT(MONTH(Tabela1[[#This Row],[Último pagto ano]])*29,"mmmm")</f>
        <v>setembro</v>
      </c>
    </row>
    <row r="3270" spans="1:9" x14ac:dyDescent="0.25">
      <c r="A3270">
        <v>2025</v>
      </c>
      <c r="B3270" t="s">
        <v>6506</v>
      </c>
      <c r="C3270" s="1">
        <v>45873</v>
      </c>
      <c r="D3270" t="s">
        <v>6507</v>
      </c>
      <c r="E3270" s="2">
        <v>9600</v>
      </c>
      <c r="G3270" s="3">
        <f>MONTH(Tabela1[[#This Row],[Último pagto ano]])</f>
        <v>8</v>
      </c>
      <c r="H3270" t="str">
        <f>TEXT(Tabela1[[#This Row],[Coluna2]]*29,"mmmm")</f>
        <v>agosto</v>
      </c>
      <c r="I3270" t="str">
        <f>TEXT(MONTH(Tabela1[[#This Row],[Último pagto ano]])*29,"mmmm")</f>
        <v>agosto</v>
      </c>
    </row>
    <row r="3271" spans="1:9" x14ac:dyDescent="0.25">
      <c r="A3271">
        <v>2025</v>
      </c>
      <c r="B3271" t="s">
        <v>6508</v>
      </c>
      <c r="C3271" s="1">
        <v>45964</v>
      </c>
      <c r="D3271" t="s">
        <v>6509</v>
      </c>
      <c r="E3271">
        <v>110</v>
      </c>
      <c r="G3271" s="3">
        <f>MONTH(Tabela1[[#This Row],[Último pagto ano]])</f>
        <v>11</v>
      </c>
      <c r="H3271" t="str">
        <f>TEXT(Tabela1[[#This Row],[Coluna2]]*29,"mmmm")</f>
        <v>novembro</v>
      </c>
      <c r="I3271" t="str">
        <f>TEXT(MONTH(Tabela1[[#This Row],[Último pagto ano]])*29,"mmmm")</f>
        <v>novembro</v>
      </c>
    </row>
    <row r="3272" spans="1:9" x14ac:dyDescent="0.25">
      <c r="A3272">
        <v>2025</v>
      </c>
      <c r="B3272" t="s">
        <v>6510</v>
      </c>
      <c r="C3272" s="1">
        <v>45803</v>
      </c>
      <c r="D3272" t="s">
        <v>6511</v>
      </c>
      <c r="E3272" s="2">
        <v>4361.8999999999996</v>
      </c>
      <c r="G3272" s="3">
        <f>MONTH(Tabela1[[#This Row],[Último pagto ano]])</f>
        <v>5</v>
      </c>
      <c r="H3272" t="str">
        <f>TEXT(Tabela1[[#This Row],[Coluna2]]*29,"mmmm")</f>
        <v>maio</v>
      </c>
      <c r="I3272" t="str">
        <f>TEXT(MONTH(Tabela1[[#This Row],[Último pagto ano]])*29,"mmmm")</f>
        <v>maio</v>
      </c>
    </row>
    <row r="3273" spans="1:9" x14ac:dyDescent="0.25">
      <c r="A3273">
        <v>2025</v>
      </c>
      <c r="B3273" t="s">
        <v>6512</v>
      </c>
      <c r="C3273" s="1">
        <v>45992</v>
      </c>
      <c r="D3273" t="s">
        <v>6513</v>
      </c>
      <c r="E3273" s="2">
        <v>661903.52</v>
      </c>
      <c r="G3273" s="3">
        <f>MONTH(Tabela1[[#This Row],[Último pagto ano]])</f>
        <v>12</v>
      </c>
      <c r="H3273" t="str">
        <f>TEXT(Tabela1[[#This Row],[Coluna2]]*29,"mmmm")</f>
        <v>dezembro</v>
      </c>
      <c r="I3273" t="str">
        <f>TEXT(MONTH(Tabela1[[#This Row],[Último pagto ano]])*29,"mmmm")</f>
        <v>dezembro</v>
      </c>
    </row>
    <row r="3274" spans="1:9" x14ac:dyDescent="0.25">
      <c r="A3274">
        <v>2025</v>
      </c>
      <c r="B3274" t="s">
        <v>6514</v>
      </c>
      <c r="C3274" s="1">
        <v>46006</v>
      </c>
      <c r="D3274" t="s">
        <v>6515</v>
      </c>
      <c r="E3274" s="2">
        <v>10099.44</v>
      </c>
      <c r="G3274" s="3">
        <f>MONTH(Tabela1[[#This Row],[Último pagto ano]])</f>
        <v>12</v>
      </c>
      <c r="H3274" t="str">
        <f>TEXT(Tabela1[[#This Row],[Coluna2]]*29,"mmmm")</f>
        <v>dezembro</v>
      </c>
      <c r="I3274" t="str">
        <f>TEXT(MONTH(Tabela1[[#This Row],[Último pagto ano]])*29,"mmmm")</f>
        <v>dezembro</v>
      </c>
    </row>
    <row r="3275" spans="1:9" x14ac:dyDescent="0.25">
      <c r="A3275">
        <v>2025</v>
      </c>
      <c r="B3275" t="s">
        <v>6516</v>
      </c>
      <c r="C3275" s="1">
        <v>45785</v>
      </c>
      <c r="D3275" t="s">
        <v>6517</v>
      </c>
      <c r="E3275">
        <v>7.67</v>
      </c>
      <c r="G3275" s="3">
        <f>MONTH(Tabela1[[#This Row],[Último pagto ano]])</f>
        <v>5</v>
      </c>
      <c r="H3275" t="str">
        <f>TEXT(Tabela1[[#This Row],[Coluna2]]*29,"mmmm")</f>
        <v>maio</v>
      </c>
      <c r="I3275" t="str">
        <f>TEXT(MONTH(Tabela1[[#This Row],[Último pagto ano]])*29,"mmmm")</f>
        <v>maio</v>
      </c>
    </row>
    <row r="3276" spans="1:9" x14ac:dyDescent="0.25">
      <c r="A3276">
        <v>2025</v>
      </c>
      <c r="B3276" t="s">
        <v>6518</v>
      </c>
      <c r="C3276" s="1">
        <v>45996</v>
      </c>
      <c r="D3276" t="s">
        <v>6519</v>
      </c>
      <c r="E3276" s="2">
        <v>9612</v>
      </c>
      <c r="G3276" s="3">
        <f>MONTH(Tabela1[[#This Row],[Último pagto ano]])</f>
        <v>12</v>
      </c>
      <c r="H3276" t="str">
        <f>TEXT(Tabela1[[#This Row],[Coluna2]]*29,"mmmm")</f>
        <v>dezembro</v>
      </c>
      <c r="I3276" t="str">
        <f>TEXT(MONTH(Tabela1[[#This Row],[Último pagto ano]])*29,"mmmm")</f>
        <v>dezembro</v>
      </c>
    </row>
    <row r="3277" spans="1:9" x14ac:dyDescent="0.25">
      <c r="A3277">
        <v>2025</v>
      </c>
      <c r="B3277" t="s">
        <v>6520</v>
      </c>
      <c r="C3277" s="1">
        <v>46010</v>
      </c>
      <c r="D3277" t="s">
        <v>6521</v>
      </c>
      <c r="E3277" s="2">
        <v>12000</v>
      </c>
      <c r="G3277" s="3">
        <f>MONTH(Tabela1[[#This Row],[Último pagto ano]])</f>
        <v>12</v>
      </c>
      <c r="H3277" t="str">
        <f>TEXT(Tabela1[[#This Row],[Coluna2]]*29,"mmmm")</f>
        <v>dezembro</v>
      </c>
      <c r="I3277" t="str">
        <f>TEXT(MONTH(Tabela1[[#This Row],[Último pagto ano]])*29,"mmmm")</f>
        <v>dezembro</v>
      </c>
    </row>
    <row r="3278" spans="1:9" x14ac:dyDescent="0.25">
      <c r="A3278">
        <v>2025</v>
      </c>
      <c r="B3278" t="s">
        <v>6522</v>
      </c>
      <c r="C3278" s="1">
        <v>45988</v>
      </c>
      <c r="D3278" t="s">
        <v>6523</v>
      </c>
      <c r="E3278">
        <v>339.3</v>
      </c>
      <c r="G3278" s="3">
        <f>MONTH(Tabela1[[#This Row],[Último pagto ano]])</f>
        <v>11</v>
      </c>
      <c r="H3278" t="str">
        <f>TEXT(Tabela1[[#This Row],[Coluna2]]*29,"mmmm")</f>
        <v>novembro</v>
      </c>
      <c r="I3278" t="str">
        <f>TEXT(MONTH(Tabela1[[#This Row],[Último pagto ano]])*29,"mmmm")</f>
        <v>novembro</v>
      </c>
    </row>
    <row r="3279" spans="1:9" x14ac:dyDescent="0.25">
      <c r="A3279">
        <v>2025</v>
      </c>
      <c r="B3279" t="s">
        <v>6524</v>
      </c>
      <c r="C3279" s="1">
        <v>45897</v>
      </c>
      <c r="D3279" t="s">
        <v>6525</v>
      </c>
      <c r="E3279">
        <v>994.5</v>
      </c>
      <c r="G3279" s="3">
        <f>MONTH(Tabela1[[#This Row],[Último pagto ano]])</f>
        <v>8</v>
      </c>
      <c r="H3279" t="str">
        <f>TEXT(Tabela1[[#This Row],[Coluna2]]*29,"mmmm")</f>
        <v>agosto</v>
      </c>
      <c r="I3279" t="str">
        <f>TEXT(MONTH(Tabela1[[#This Row],[Último pagto ano]])*29,"mmmm")</f>
        <v>agosto</v>
      </c>
    </row>
    <row r="3280" spans="1:9" x14ac:dyDescent="0.25">
      <c r="A3280">
        <v>2025</v>
      </c>
      <c r="B3280" t="s">
        <v>6526</v>
      </c>
      <c r="C3280" s="1">
        <v>45702</v>
      </c>
      <c r="D3280" t="s">
        <v>6527</v>
      </c>
      <c r="E3280">
        <v>596.89</v>
      </c>
      <c r="G3280" s="3">
        <f>MONTH(Tabela1[[#This Row],[Último pagto ano]])</f>
        <v>2</v>
      </c>
      <c r="H3280" t="str">
        <f>TEXT(Tabela1[[#This Row],[Coluna2]]*29,"mmmm")</f>
        <v>fevereiro</v>
      </c>
      <c r="I3280" t="str">
        <f>TEXT(MONTH(Tabela1[[#This Row],[Último pagto ano]])*29,"mmmm")</f>
        <v>fevereiro</v>
      </c>
    </row>
    <row r="3281" spans="1:9" x14ac:dyDescent="0.25">
      <c r="A3281">
        <v>2025</v>
      </c>
      <c r="B3281" t="s">
        <v>6528</v>
      </c>
      <c r="C3281" s="1">
        <v>46010</v>
      </c>
      <c r="D3281" t="s">
        <v>6529</v>
      </c>
      <c r="E3281" s="2">
        <v>12000</v>
      </c>
      <c r="G3281" s="3">
        <f>MONTH(Tabela1[[#This Row],[Último pagto ano]])</f>
        <v>12</v>
      </c>
      <c r="H3281" t="str">
        <f>TEXT(Tabela1[[#This Row],[Coluna2]]*29,"mmmm")</f>
        <v>dezembro</v>
      </c>
      <c r="I3281" t="str">
        <f>TEXT(MONTH(Tabela1[[#This Row],[Último pagto ano]])*29,"mmmm")</f>
        <v>dezembro</v>
      </c>
    </row>
    <row r="3282" spans="1:9" x14ac:dyDescent="0.25">
      <c r="A3282">
        <v>2025</v>
      </c>
      <c r="B3282" t="s">
        <v>6530</v>
      </c>
      <c r="C3282" s="1">
        <v>45996</v>
      </c>
      <c r="D3282" t="s">
        <v>6531</v>
      </c>
      <c r="E3282" s="2">
        <v>9000</v>
      </c>
      <c r="G3282" s="3">
        <f>MONTH(Tabela1[[#This Row],[Último pagto ano]])</f>
        <v>12</v>
      </c>
      <c r="H3282" t="str">
        <f>TEXT(Tabela1[[#This Row],[Coluna2]]*29,"mmmm")</f>
        <v>dezembro</v>
      </c>
      <c r="I3282" t="str">
        <f>TEXT(MONTH(Tabela1[[#This Row],[Último pagto ano]])*29,"mmmm")</f>
        <v>dezembro</v>
      </c>
    </row>
    <row r="3283" spans="1:9" x14ac:dyDescent="0.25">
      <c r="A3283">
        <v>2025</v>
      </c>
      <c r="B3283" t="s">
        <v>6532</v>
      </c>
      <c r="C3283" s="1">
        <v>45807</v>
      </c>
      <c r="D3283" t="s">
        <v>6533</v>
      </c>
      <c r="E3283" s="2">
        <v>4196.26</v>
      </c>
      <c r="G3283" s="3">
        <f>MONTH(Tabela1[[#This Row],[Último pagto ano]])</f>
        <v>5</v>
      </c>
      <c r="H3283" t="str">
        <f>TEXT(Tabela1[[#This Row],[Coluna2]]*29,"mmmm")</f>
        <v>maio</v>
      </c>
      <c r="I3283" t="str">
        <f>TEXT(MONTH(Tabela1[[#This Row],[Último pagto ano]])*29,"mmmm")</f>
        <v>maio</v>
      </c>
    </row>
    <row r="3284" spans="1:9" x14ac:dyDescent="0.25">
      <c r="A3284">
        <v>2025</v>
      </c>
      <c r="B3284" t="s">
        <v>6534</v>
      </c>
      <c r="C3284" s="1">
        <v>45702</v>
      </c>
      <c r="D3284" t="s">
        <v>6535</v>
      </c>
      <c r="E3284" s="2">
        <v>1285.23</v>
      </c>
      <c r="G3284" s="3">
        <f>MONTH(Tabela1[[#This Row],[Último pagto ano]])</f>
        <v>2</v>
      </c>
      <c r="H3284" t="str">
        <f>TEXT(Tabela1[[#This Row],[Coluna2]]*29,"mmmm")</f>
        <v>fevereiro</v>
      </c>
      <c r="I3284" t="str">
        <f>TEXT(MONTH(Tabela1[[#This Row],[Último pagto ano]])*29,"mmmm")</f>
        <v>fevereiro</v>
      </c>
    </row>
    <row r="3285" spans="1:9" x14ac:dyDescent="0.25">
      <c r="A3285">
        <v>2025</v>
      </c>
      <c r="B3285" t="s">
        <v>6536</v>
      </c>
      <c r="C3285" s="1">
        <v>45712</v>
      </c>
      <c r="D3285" t="s">
        <v>6537</v>
      </c>
      <c r="E3285" s="2">
        <v>1400</v>
      </c>
      <c r="G3285" s="3">
        <f>MONTH(Tabela1[[#This Row],[Último pagto ano]])</f>
        <v>2</v>
      </c>
      <c r="H3285" t="str">
        <f>TEXT(Tabela1[[#This Row],[Coluna2]]*29,"mmmm")</f>
        <v>fevereiro</v>
      </c>
      <c r="I3285" t="str">
        <f>TEXT(MONTH(Tabela1[[#This Row],[Último pagto ano]])*29,"mmmm")</f>
        <v>fevereiro</v>
      </c>
    </row>
    <row r="3286" spans="1:9" x14ac:dyDescent="0.25">
      <c r="A3286">
        <v>2025</v>
      </c>
      <c r="B3286" t="s">
        <v>6538</v>
      </c>
      <c r="C3286" s="1">
        <v>45964</v>
      </c>
      <c r="D3286" t="s">
        <v>6539</v>
      </c>
      <c r="E3286">
        <v>66</v>
      </c>
      <c r="G3286" s="3">
        <f>MONTH(Tabela1[[#This Row],[Último pagto ano]])</f>
        <v>11</v>
      </c>
      <c r="H3286" t="str">
        <f>TEXT(Tabela1[[#This Row],[Coluna2]]*29,"mmmm")</f>
        <v>novembro</v>
      </c>
      <c r="I3286" t="str">
        <f>TEXT(MONTH(Tabela1[[#This Row],[Último pagto ano]])*29,"mmmm")</f>
        <v>novembro</v>
      </c>
    </row>
    <row r="3287" spans="1:9" x14ac:dyDescent="0.25">
      <c r="A3287">
        <v>2025</v>
      </c>
      <c r="B3287" t="s">
        <v>6540</v>
      </c>
      <c r="C3287" s="1">
        <v>45670</v>
      </c>
      <c r="D3287" t="s">
        <v>6541</v>
      </c>
      <c r="E3287" s="2">
        <v>2200</v>
      </c>
      <c r="G3287" s="3">
        <f>MONTH(Tabela1[[#This Row],[Último pagto ano]])</f>
        <v>1</v>
      </c>
      <c r="H3287" t="str">
        <f>TEXT(Tabela1[[#This Row],[Coluna2]]*29,"mmmm")</f>
        <v>janeiro</v>
      </c>
      <c r="I3287" t="str">
        <f>TEXT(MONTH(Tabela1[[#This Row],[Último pagto ano]])*29,"mmmm")</f>
        <v>janeiro</v>
      </c>
    </row>
    <row r="3288" spans="1:9" x14ac:dyDescent="0.25">
      <c r="A3288">
        <v>2025</v>
      </c>
      <c r="B3288" t="s">
        <v>6542</v>
      </c>
      <c r="C3288" s="1">
        <v>45758</v>
      </c>
      <c r="D3288" t="s">
        <v>6543</v>
      </c>
      <c r="E3288" s="2">
        <v>5211.0200000000004</v>
      </c>
      <c r="G3288" s="3">
        <f>MONTH(Tabela1[[#This Row],[Último pagto ano]])</f>
        <v>4</v>
      </c>
      <c r="H3288" t="str">
        <f>TEXT(Tabela1[[#This Row],[Coluna2]]*29,"mmmm")</f>
        <v>abril</v>
      </c>
      <c r="I3288" t="str">
        <f>TEXT(MONTH(Tabela1[[#This Row],[Último pagto ano]])*29,"mmmm")</f>
        <v>abril</v>
      </c>
    </row>
    <row r="3289" spans="1:9" x14ac:dyDescent="0.25">
      <c r="A3289">
        <v>2025</v>
      </c>
      <c r="B3289" t="s">
        <v>6544</v>
      </c>
      <c r="C3289" s="1">
        <v>45786</v>
      </c>
      <c r="D3289" t="s">
        <v>6545</v>
      </c>
      <c r="E3289" s="2">
        <v>14500</v>
      </c>
      <c r="G3289" s="3">
        <f>MONTH(Tabela1[[#This Row],[Último pagto ano]])</f>
        <v>5</v>
      </c>
      <c r="H3289" t="str">
        <f>TEXT(Tabela1[[#This Row],[Coluna2]]*29,"mmmm")</f>
        <v>maio</v>
      </c>
      <c r="I3289" t="str">
        <f>TEXT(MONTH(Tabela1[[#This Row],[Último pagto ano]])*29,"mmmm")</f>
        <v>maio</v>
      </c>
    </row>
    <row r="3290" spans="1:9" x14ac:dyDescent="0.25">
      <c r="A3290">
        <v>2025</v>
      </c>
      <c r="B3290" t="s">
        <v>6546</v>
      </c>
      <c r="C3290" s="1">
        <v>45924</v>
      </c>
      <c r="D3290" t="s">
        <v>6547</v>
      </c>
      <c r="E3290" s="2">
        <v>9000</v>
      </c>
      <c r="G3290" s="3">
        <f>MONTH(Tabela1[[#This Row],[Último pagto ano]])</f>
        <v>9</v>
      </c>
      <c r="H3290" t="str">
        <f>TEXT(Tabela1[[#This Row],[Coluna2]]*29,"mmmm")</f>
        <v>setembro</v>
      </c>
      <c r="I3290" t="str">
        <f>TEXT(MONTH(Tabela1[[#This Row],[Último pagto ano]])*29,"mmmm")</f>
        <v>setembro</v>
      </c>
    </row>
    <row r="3291" spans="1:9" x14ac:dyDescent="0.25">
      <c r="A3291">
        <v>2025</v>
      </c>
      <c r="B3291" t="s">
        <v>6548</v>
      </c>
      <c r="C3291" s="1">
        <v>45740</v>
      </c>
      <c r="D3291" t="s">
        <v>6549</v>
      </c>
      <c r="E3291" s="2">
        <v>2100</v>
      </c>
      <c r="G3291" s="3">
        <f>MONTH(Tabela1[[#This Row],[Último pagto ano]])</f>
        <v>3</v>
      </c>
      <c r="H3291" t="str">
        <f>TEXT(Tabela1[[#This Row],[Coluna2]]*29,"mmmm")</f>
        <v>março</v>
      </c>
      <c r="I3291" t="str">
        <f>TEXT(MONTH(Tabela1[[#This Row],[Último pagto ano]])*29,"mmmm")</f>
        <v>março</v>
      </c>
    </row>
    <row r="3292" spans="1:9" x14ac:dyDescent="0.25">
      <c r="A3292">
        <v>2025</v>
      </c>
      <c r="B3292" t="s">
        <v>6550</v>
      </c>
      <c r="C3292" s="1">
        <v>45996</v>
      </c>
      <c r="D3292" t="s">
        <v>6551</v>
      </c>
      <c r="E3292" s="2">
        <v>40800</v>
      </c>
      <c r="G3292" s="3">
        <f>MONTH(Tabela1[[#This Row],[Último pagto ano]])</f>
        <v>12</v>
      </c>
      <c r="H3292" t="str">
        <f>TEXT(Tabela1[[#This Row],[Coluna2]]*29,"mmmm")</f>
        <v>dezembro</v>
      </c>
      <c r="I3292" t="str">
        <f>TEXT(MONTH(Tabela1[[#This Row],[Último pagto ano]])*29,"mmmm")</f>
        <v>dezembro</v>
      </c>
    </row>
    <row r="3293" spans="1:9" x14ac:dyDescent="0.25">
      <c r="A3293">
        <v>2025</v>
      </c>
      <c r="B3293" t="s">
        <v>6552</v>
      </c>
      <c r="C3293" s="1">
        <v>45954</v>
      </c>
      <c r="D3293" t="s">
        <v>6553</v>
      </c>
      <c r="E3293" s="2">
        <v>120416.4</v>
      </c>
      <c r="G3293" s="3">
        <f>MONTH(Tabela1[[#This Row],[Último pagto ano]])</f>
        <v>10</v>
      </c>
      <c r="H3293" t="str">
        <f>TEXT(Tabela1[[#This Row],[Coluna2]]*29,"mmmm")</f>
        <v>outubro</v>
      </c>
      <c r="I3293" t="str">
        <f>TEXT(MONTH(Tabela1[[#This Row],[Último pagto ano]])*29,"mmmm")</f>
        <v>outubro</v>
      </c>
    </row>
    <row r="3294" spans="1:9" x14ac:dyDescent="0.25">
      <c r="A3294">
        <v>2025</v>
      </c>
      <c r="B3294" t="s">
        <v>6554</v>
      </c>
      <c r="C3294" s="1">
        <v>45796</v>
      </c>
      <c r="D3294" t="s">
        <v>6555</v>
      </c>
      <c r="E3294">
        <v>22</v>
      </c>
      <c r="G3294" s="3">
        <f>MONTH(Tabela1[[#This Row],[Último pagto ano]])</f>
        <v>5</v>
      </c>
      <c r="H3294" t="str">
        <f>TEXT(Tabela1[[#This Row],[Coluna2]]*29,"mmmm")</f>
        <v>maio</v>
      </c>
      <c r="I3294" t="str">
        <f>TEXT(MONTH(Tabela1[[#This Row],[Último pagto ano]])*29,"mmmm")</f>
        <v>maio</v>
      </c>
    </row>
    <row r="3295" spans="1:9" x14ac:dyDescent="0.25">
      <c r="A3295">
        <v>2025</v>
      </c>
      <c r="B3295" t="s">
        <v>6556</v>
      </c>
      <c r="C3295" s="1">
        <v>45876</v>
      </c>
      <c r="D3295" t="s">
        <v>6557</v>
      </c>
      <c r="E3295" s="2">
        <v>8700</v>
      </c>
      <c r="G3295" s="3">
        <f>MONTH(Tabela1[[#This Row],[Último pagto ano]])</f>
        <v>8</v>
      </c>
      <c r="H3295" t="str">
        <f>TEXT(Tabela1[[#This Row],[Coluna2]]*29,"mmmm")</f>
        <v>agosto</v>
      </c>
      <c r="I3295" t="str">
        <f>TEXT(MONTH(Tabela1[[#This Row],[Último pagto ano]])*29,"mmmm")</f>
        <v>agosto</v>
      </c>
    </row>
    <row r="3296" spans="1:9" x14ac:dyDescent="0.25">
      <c r="A3296">
        <v>2025</v>
      </c>
      <c r="B3296" t="s">
        <v>6558</v>
      </c>
      <c r="C3296" s="1">
        <v>45932</v>
      </c>
      <c r="D3296" t="s">
        <v>6559</v>
      </c>
      <c r="E3296" s="2">
        <v>74310.45</v>
      </c>
      <c r="G3296" s="3">
        <f>MONTH(Tabela1[[#This Row],[Último pagto ano]])</f>
        <v>10</v>
      </c>
      <c r="H3296" t="str">
        <f>TEXT(Tabela1[[#This Row],[Coluna2]]*29,"mmmm")</f>
        <v>outubro</v>
      </c>
      <c r="I3296" t="str">
        <f>TEXT(MONTH(Tabela1[[#This Row],[Último pagto ano]])*29,"mmmm")</f>
        <v>outubro</v>
      </c>
    </row>
    <row r="3297" spans="1:9" x14ac:dyDescent="0.25">
      <c r="A3297">
        <v>2025</v>
      </c>
      <c r="B3297" t="s">
        <v>6560</v>
      </c>
      <c r="C3297" s="1">
        <v>45747</v>
      </c>
      <c r="D3297" t="s">
        <v>6561</v>
      </c>
      <c r="E3297">
        <v>22</v>
      </c>
      <c r="G3297" s="3">
        <f>MONTH(Tabela1[[#This Row],[Último pagto ano]])</f>
        <v>3</v>
      </c>
      <c r="H3297" t="str">
        <f>TEXT(Tabela1[[#This Row],[Coluna2]]*29,"mmmm")</f>
        <v>março</v>
      </c>
      <c r="I3297" t="str">
        <f>TEXT(MONTH(Tabela1[[#This Row],[Último pagto ano]])*29,"mmmm")</f>
        <v>março</v>
      </c>
    </row>
    <row r="3298" spans="1:9" x14ac:dyDescent="0.25">
      <c r="A3298">
        <v>2025</v>
      </c>
      <c r="B3298" t="s">
        <v>6562</v>
      </c>
      <c r="C3298" s="1">
        <v>45975</v>
      </c>
      <c r="D3298" t="s">
        <v>6563</v>
      </c>
      <c r="E3298">
        <v>296.16000000000003</v>
      </c>
      <c r="G3298" s="3">
        <f>MONTH(Tabela1[[#This Row],[Último pagto ano]])</f>
        <v>11</v>
      </c>
      <c r="H3298" t="str">
        <f>TEXT(Tabela1[[#This Row],[Coluna2]]*29,"mmmm")</f>
        <v>novembro</v>
      </c>
      <c r="I3298" t="str">
        <f>TEXT(MONTH(Tabela1[[#This Row],[Último pagto ano]])*29,"mmmm")</f>
        <v>novembro</v>
      </c>
    </row>
    <row r="3299" spans="1:9" x14ac:dyDescent="0.25">
      <c r="A3299">
        <v>2025</v>
      </c>
      <c r="B3299" t="s">
        <v>6564</v>
      </c>
      <c r="C3299" s="1">
        <v>46014</v>
      </c>
      <c r="D3299" t="s">
        <v>6565</v>
      </c>
      <c r="E3299">
        <v>271.39999999999998</v>
      </c>
      <c r="G3299" s="3">
        <f>MONTH(Tabela1[[#This Row],[Último pagto ano]])</f>
        <v>12</v>
      </c>
      <c r="H3299" t="str">
        <f>TEXT(Tabela1[[#This Row],[Coluna2]]*29,"mmmm")</f>
        <v>dezembro</v>
      </c>
      <c r="I3299" t="str">
        <f>TEXT(MONTH(Tabela1[[#This Row],[Último pagto ano]])*29,"mmmm")</f>
        <v>dezembro</v>
      </c>
    </row>
    <row r="3300" spans="1:9" x14ac:dyDescent="0.25">
      <c r="A3300">
        <v>2025</v>
      </c>
      <c r="B3300" t="s">
        <v>6566</v>
      </c>
      <c r="C3300" s="1">
        <v>45740</v>
      </c>
      <c r="D3300" t="s">
        <v>6567</v>
      </c>
      <c r="E3300" s="2">
        <v>2100</v>
      </c>
      <c r="G3300" s="3">
        <f>MONTH(Tabela1[[#This Row],[Último pagto ano]])</f>
        <v>3</v>
      </c>
      <c r="H3300" t="str">
        <f>TEXT(Tabela1[[#This Row],[Coluna2]]*29,"mmmm")</f>
        <v>março</v>
      </c>
      <c r="I3300" t="str">
        <f>TEXT(MONTH(Tabela1[[#This Row],[Último pagto ano]])*29,"mmmm")</f>
        <v>março</v>
      </c>
    </row>
    <row r="3301" spans="1:9" x14ac:dyDescent="0.25">
      <c r="A3301">
        <v>2025</v>
      </c>
      <c r="B3301" t="s">
        <v>6568</v>
      </c>
      <c r="C3301" s="1">
        <v>45747</v>
      </c>
      <c r="D3301" t="s">
        <v>6569</v>
      </c>
      <c r="E3301">
        <v>22</v>
      </c>
      <c r="G3301" s="3">
        <f>MONTH(Tabela1[[#This Row],[Último pagto ano]])</f>
        <v>3</v>
      </c>
      <c r="H3301" t="str">
        <f>TEXT(Tabela1[[#This Row],[Coluna2]]*29,"mmmm")</f>
        <v>março</v>
      </c>
      <c r="I3301" t="str">
        <f>TEXT(MONTH(Tabela1[[#This Row],[Último pagto ano]])*29,"mmmm")</f>
        <v>março</v>
      </c>
    </row>
    <row r="3302" spans="1:9" x14ac:dyDescent="0.25">
      <c r="A3302">
        <v>2025</v>
      </c>
      <c r="B3302" t="s">
        <v>6570</v>
      </c>
      <c r="C3302" s="1">
        <v>45754</v>
      </c>
      <c r="D3302" t="s">
        <v>6571</v>
      </c>
      <c r="E3302" s="2">
        <v>7170</v>
      </c>
      <c r="G3302" s="3">
        <f>MONTH(Tabela1[[#This Row],[Último pagto ano]])</f>
        <v>4</v>
      </c>
      <c r="H3302" t="str">
        <f>TEXT(Tabela1[[#This Row],[Coluna2]]*29,"mmmm")</f>
        <v>abril</v>
      </c>
      <c r="I3302" t="str">
        <f>TEXT(MONTH(Tabela1[[#This Row],[Último pagto ano]])*29,"mmmm")</f>
        <v>abril</v>
      </c>
    </row>
    <row r="3303" spans="1:9" x14ac:dyDescent="0.25">
      <c r="A3303">
        <v>2025</v>
      </c>
      <c r="B3303" t="s">
        <v>6572</v>
      </c>
      <c r="C3303" s="1">
        <v>45964</v>
      </c>
      <c r="D3303" t="s">
        <v>6573</v>
      </c>
      <c r="E3303" s="2">
        <v>77000</v>
      </c>
      <c r="G3303" s="3">
        <f>MONTH(Tabela1[[#This Row],[Último pagto ano]])</f>
        <v>11</v>
      </c>
      <c r="H3303" t="str">
        <f>TEXT(Tabela1[[#This Row],[Coluna2]]*29,"mmmm")</f>
        <v>novembro</v>
      </c>
      <c r="I3303" t="str">
        <f>TEXT(MONTH(Tabela1[[#This Row],[Último pagto ano]])*29,"mmmm")</f>
        <v>novembro</v>
      </c>
    </row>
    <row r="3304" spans="1:9" x14ac:dyDescent="0.25">
      <c r="A3304">
        <v>2025</v>
      </c>
      <c r="B3304" t="s">
        <v>6574</v>
      </c>
      <c r="C3304" s="1">
        <v>46010</v>
      </c>
      <c r="D3304" t="s">
        <v>6575</v>
      </c>
      <c r="E3304" s="2">
        <v>4900</v>
      </c>
      <c r="G3304" s="3">
        <f>MONTH(Tabela1[[#This Row],[Último pagto ano]])</f>
        <v>12</v>
      </c>
      <c r="H3304" t="str">
        <f>TEXT(Tabela1[[#This Row],[Coluna2]]*29,"mmmm")</f>
        <v>dezembro</v>
      </c>
      <c r="I3304" t="str">
        <f>TEXT(MONTH(Tabela1[[#This Row],[Último pagto ano]])*29,"mmmm")</f>
        <v>dezembro</v>
      </c>
    </row>
    <row r="3305" spans="1:9" x14ac:dyDescent="0.25">
      <c r="A3305">
        <v>2025</v>
      </c>
      <c r="B3305" t="s">
        <v>6576</v>
      </c>
      <c r="C3305" s="1">
        <v>46006</v>
      </c>
      <c r="D3305" t="s">
        <v>6577</v>
      </c>
      <c r="E3305" s="2">
        <v>19990.8</v>
      </c>
      <c r="G3305" s="3">
        <f>MONTH(Tabela1[[#This Row],[Último pagto ano]])</f>
        <v>12</v>
      </c>
      <c r="H3305" t="str">
        <f>TEXT(Tabela1[[#This Row],[Coluna2]]*29,"mmmm")</f>
        <v>dezembro</v>
      </c>
      <c r="I3305" t="str">
        <f>TEXT(MONTH(Tabela1[[#This Row],[Último pagto ano]])*29,"mmmm")</f>
        <v>dezembro</v>
      </c>
    </row>
    <row r="3306" spans="1:9" x14ac:dyDescent="0.25">
      <c r="A3306">
        <v>2025</v>
      </c>
      <c r="B3306" t="s">
        <v>6578</v>
      </c>
      <c r="C3306" s="1">
        <v>45698</v>
      </c>
      <c r="D3306" t="s">
        <v>6579</v>
      </c>
      <c r="E3306" s="2">
        <v>24237.83</v>
      </c>
      <c r="G3306" s="3">
        <f>MONTH(Tabela1[[#This Row],[Último pagto ano]])</f>
        <v>2</v>
      </c>
      <c r="H3306" t="str">
        <f>TEXT(Tabela1[[#This Row],[Coluna2]]*29,"mmmm")</f>
        <v>fevereiro</v>
      </c>
      <c r="I3306" t="str">
        <f>TEXT(MONTH(Tabela1[[#This Row],[Último pagto ano]])*29,"mmmm")</f>
        <v>fevereiro</v>
      </c>
    </row>
    <row r="3307" spans="1:9" x14ac:dyDescent="0.25">
      <c r="A3307">
        <v>2025</v>
      </c>
      <c r="B3307" t="s">
        <v>6580</v>
      </c>
      <c r="C3307" s="1">
        <v>45744</v>
      </c>
      <c r="D3307" t="s">
        <v>6581</v>
      </c>
      <c r="E3307" s="2">
        <v>1056.1600000000001</v>
      </c>
      <c r="G3307" s="3">
        <f>MONTH(Tabela1[[#This Row],[Último pagto ano]])</f>
        <v>3</v>
      </c>
      <c r="H3307" t="str">
        <f>TEXT(Tabela1[[#This Row],[Coluna2]]*29,"mmmm")</f>
        <v>março</v>
      </c>
      <c r="I3307" t="str">
        <f>TEXT(MONTH(Tabela1[[#This Row],[Último pagto ano]])*29,"mmmm")</f>
        <v>março</v>
      </c>
    </row>
    <row r="3308" spans="1:9" x14ac:dyDescent="0.25">
      <c r="A3308">
        <v>2025</v>
      </c>
      <c r="B3308" t="s">
        <v>6582</v>
      </c>
      <c r="C3308" s="1">
        <v>46006</v>
      </c>
      <c r="D3308" t="s">
        <v>6583</v>
      </c>
      <c r="E3308" s="2">
        <v>8000</v>
      </c>
      <c r="G3308" s="3">
        <f>MONTH(Tabela1[[#This Row],[Último pagto ano]])</f>
        <v>12</v>
      </c>
      <c r="H3308" t="str">
        <f>TEXT(Tabela1[[#This Row],[Coluna2]]*29,"mmmm")</f>
        <v>dezembro</v>
      </c>
      <c r="I3308" t="str">
        <f>TEXT(MONTH(Tabela1[[#This Row],[Último pagto ano]])*29,"mmmm")</f>
        <v>dezembro</v>
      </c>
    </row>
    <row r="3309" spans="1:9" x14ac:dyDescent="0.25">
      <c r="A3309">
        <v>2025</v>
      </c>
      <c r="B3309" t="s">
        <v>6584</v>
      </c>
      <c r="C3309" s="1">
        <v>45761</v>
      </c>
      <c r="D3309" t="s">
        <v>6585</v>
      </c>
      <c r="E3309" s="2">
        <v>2216.6</v>
      </c>
      <c r="G3309" s="3">
        <f>MONTH(Tabela1[[#This Row],[Último pagto ano]])</f>
        <v>4</v>
      </c>
      <c r="H3309" t="str">
        <f>TEXT(Tabela1[[#This Row],[Coluna2]]*29,"mmmm")</f>
        <v>abril</v>
      </c>
      <c r="I3309" t="str">
        <f>TEXT(MONTH(Tabela1[[#This Row],[Último pagto ano]])*29,"mmmm")</f>
        <v>abril</v>
      </c>
    </row>
    <row r="3310" spans="1:9" x14ac:dyDescent="0.25">
      <c r="A3310">
        <v>2025</v>
      </c>
      <c r="B3310" t="s">
        <v>6586</v>
      </c>
      <c r="C3310" s="1">
        <v>46021</v>
      </c>
      <c r="D3310" t="s">
        <v>6587</v>
      </c>
      <c r="E3310" s="2">
        <v>11005.33</v>
      </c>
      <c r="G3310" s="3">
        <f>MONTH(Tabela1[[#This Row],[Último pagto ano]])</f>
        <v>12</v>
      </c>
      <c r="H3310" t="str">
        <f>TEXT(Tabela1[[#This Row],[Coluna2]]*29,"mmmm")</f>
        <v>dezembro</v>
      </c>
      <c r="I3310" t="str">
        <f>TEXT(MONTH(Tabela1[[#This Row],[Último pagto ano]])*29,"mmmm")</f>
        <v>dezembro</v>
      </c>
    </row>
    <row r="3311" spans="1:9" x14ac:dyDescent="0.25">
      <c r="A3311">
        <v>2025</v>
      </c>
      <c r="B3311" t="s">
        <v>6588</v>
      </c>
      <c r="C3311" s="1">
        <v>45832</v>
      </c>
      <c r="D3311" t="s">
        <v>6589</v>
      </c>
      <c r="E3311" s="2">
        <v>4200</v>
      </c>
      <c r="G3311" s="3">
        <f>MONTH(Tabela1[[#This Row],[Último pagto ano]])</f>
        <v>6</v>
      </c>
      <c r="H3311" t="str">
        <f>TEXT(Tabela1[[#This Row],[Coluna2]]*29,"mmmm")</f>
        <v>junho</v>
      </c>
      <c r="I3311" t="str">
        <f>TEXT(MONTH(Tabela1[[#This Row],[Último pagto ano]])*29,"mmmm")</f>
        <v>junho</v>
      </c>
    </row>
    <row r="3312" spans="1:9" x14ac:dyDescent="0.25">
      <c r="A3312">
        <v>2025</v>
      </c>
      <c r="B3312" t="s">
        <v>6590</v>
      </c>
      <c r="C3312" s="1">
        <v>45959</v>
      </c>
      <c r="D3312" t="s">
        <v>6591</v>
      </c>
      <c r="E3312" s="2">
        <v>179077.5</v>
      </c>
      <c r="G3312" s="3">
        <f>MONTH(Tabela1[[#This Row],[Último pagto ano]])</f>
        <v>10</v>
      </c>
      <c r="H3312" t="str">
        <f>TEXT(Tabela1[[#This Row],[Coluna2]]*29,"mmmm")</f>
        <v>outubro</v>
      </c>
      <c r="I3312" t="str">
        <f>TEXT(MONTH(Tabela1[[#This Row],[Último pagto ano]])*29,"mmmm")</f>
        <v>outubro</v>
      </c>
    </row>
    <row r="3313" spans="1:9" x14ac:dyDescent="0.25">
      <c r="A3313">
        <v>2025</v>
      </c>
      <c r="B3313" t="s">
        <v>6592</v>
      </c>
      <c r="C3313" s="1">
        <v>46010</v>
      </c>
      <c r="D3313" t="s">
        <v>6593</v>
      </c>
      <c r="E3313" s="2">
        <v>5600</v>
      </c>
      <c r="G3313" s="3">
        <f>MONTH(Tabela1[[#This Row],[Último pagto ano]])</f>
        <v>12</v>
      </c>
      <c r="H3313" t="str">
        <f>TEXT(Tabela1[[#This Row],[Coluna2]]*29,"mmmm")</f>
        <v>dezembro</v>
      </c>
      <c r="I3313" t="str">
        <f>TEXT(MONTH(Tabela1[[#This Row],[Último pagto ano]])*29,"mmmm")</f>
        <v>dezembro</v>
      </c>
    </row>
    <row r="3314" spans="1:9" x14ac:dyDescent="0.25">
      <c r="A3314">
        <v>2025</v>
      </c>
      <c r="B3314" t="s">
        <v>6594</v>
      </c>
      <c r="C3314" s="1">
        <v>45954</v>
      </c>
      <c r="D3314" t="s">
        <v>6595</v>
      </c>
      <c r="E3314" s="2">
        <v>82735.259999999995</v>
      </c>
      <c r="G3314" s="3">
        <f>MONTH(Tabela1[[#This Row],[Último pagto ano]])</f>
        <v>10</v>
      </c>
      <c r="H3314" t="str">
        <f>TEXT(Tabela1[[#This Row],[Coluna2]]*29,"mmmm")</f>
        <v>outubro</v>
      </c>
      <c r="I3314" t="str">
        <f>TEXT(MONTH(Tabela1[[#This Row],[Último pagto ano]])*29,"mmmm")</f>
        <v>outubro</v>
      </c>
    </row>
    <row r="3315" spans="1:9" x14ac:dyDescent="0.25">
      <c r="A3315">
        <v>2025</v>
      </c>
      <c r="B3315" t="s">
        <v>6596</v>
      </c>
      <c r="C3315" s="1">
        <v>45946</v>
      </c>
      <c r="D3315" t="s">
        <v>6597</v>
      </c>
      <c r="E3315">
        <v>11</v>
      </c>
      <c r="G3315" s="3">
        <f>MONTH(Tabela1[[#This Row],[Último pagto ano]])</f>
        <v>10</v>
      </c>
      <c r="H3315" t="str">
        <f>TEXT(Tabela1[[#This Row],[Coluna2]]*29,"mmmm")</f>
        <v>outubro</v>
      </c>
      <c r="I3315" t="str">
        <f>TEXT(MONTH(Tabela1[[#This Row],[Último pagto ano]])*29,"mmmm")</f>
        <v>outubro</v>
      </c>
    </row>
    <row r="3316" spans="1:9" x14ac:dyDescent="0.25">
      <c r="A3316">
        <v>2025</v>
      </c>
      <c r="B3316" t="s">
        <v>6598</v>
      </c>
      <c r="C3316" s="1">
        <v>45744</v>
      </c>
      <c r="D3316" t="s">
        <v>6599</v>
      </c>
      <c r="E3316" s="2">
        <v>78215.460000000006</v>
      </c>
      <c r="G3316" s="3">
        <f>MONTH(Tabela1[[#This Row],[Último pagto ano]])</f>
        <v>3</v>
      </c>
      <c r="H3316" t="str">
        <f>TEXT(Tabela1[[#This Row],[Coluna2]]*29,"mmmm")</f>
        <v>março</v>
      </c>
      <c r="I3316" t="str">
        <f>TEXT(MONTH(Tabela1[[#This Row],[Último pagto ano]])*29,"mmmm")</f>
        <v>março</v>
      </c>
    </row>
    <row r="3317" spans="1:9" x14ac:dyDescent="0.25">
      <c r="A3317">
        <v>2025</v>
      </c>
      <c r="B3317" t="s">
        <v>6600</v>
      </c>
      <c r="C3317" s="1">
        <v>45929</v>
      </c>
      <c r="D3317" t="s">
        <v>6601</v>
      </c>
      <c r="E3317">
        <v>31.32</v>
      </c>
      <c r="G3317" s="3">
        <f>MONTH(Tabela1[[#This Row],[Último pagto ano]])</f>
        <v>9</v>
      </c>
      <c r="H3317" t="str">
        <f>TEXT(Tabela1[[#This Row],[Coluna2]]*29,"mmmm")</f>
        <v>setembro</v>
      </c>
      <c r="I3317" t="str">
        <f>TEXT(MONTH(Tabela1[[#This Row],[Último pagto ano]])*29,"mmmm")</f>
        <v>setembro</v>
      </c>
    </row>
    <row r="3318" spans="1:9" x14ac:dyDescent="0.25">
      <c r="A3318">
        <v>2025</v>
      </c>
      <c r="B3318" t="s">
        <v>6602</v>
      </c>
      <c r="C3318" s="1">
        <v>45999</v>
      </c>
      <c r="D3318" t="s">
        <v>6603</v>
      </c>
      <c r="E3318">
        <v>55</v>
      </c>
      <c r="G3318" s="3">
        <f>MONTH(Tabela1[[#This Row],[Último pagto ano]])</f>
        <v>12</v>
      </c>
      <c r="H3318" t="str">
        <f>TEXT(Tabela1[[#This Row],[Coluna2]]*29,"mmmm")</f>
        <v>dezembro</v>
      </c>
      <c r="I3318" t="str">
        <f>TEXT(MONTH(Tabela1[[#This Row],[Último pagto ano]])*29,"mmmm")</f>
        <v>dezembro</v>
      </c>
    </row>
    <row r="3319" spans="1:9" x14ac:dyDescent="0.25">
      <c r="A3319">
        <v>2025</v>
      </c>
      <c r="B3319" t="s">
        <v>6604</v>
      </c>
      <c r="C3319" s="1">
        <v>46021</v>
      </c>
      <c r="D3319" t="s">
        <v>6605</v>
      </c>
      <c r="E3319" s="2">
        <v>7566.81</v>
      </c>
      <c r="G3319" s="3">
        <f>MONTH(Tabela1[[#This Row],[Último pagto ano]])</f>
        <v>12</v>
      </c>
      <c r="H3319" t="str">
        <f>TEXT(Tabela1[[#This Row],[Coluna2]]*29,"mmmm")</f>
        <v>dezembro</v>
      </c>
      <c r="I3319" t="str">
        <f>TEXT(MONTH(Tabela1[[#This Row],[Último pagto ano]])*29,"mmmm")</f>
        <v>dezembro</v>
      </c>
    </row>
    <row r="3320" spans="1:9" x14ac:dyDescent="0.25">
      <c r="A3320">
        <v>2025</v>
      </c>
      <c r="B3320" t="s">
        <v>6606</v>
      </c>
      <c r="C3320" s="1">
        <v>45985</v>
      </c>
      <c r="D3320" t="s">
        <v>6607</v>
      </c>
      <c r="E3320">
        <v>313.60000000000002</v>
      </c>
      <c r="G3320" s="3">
        <f>MONTH(Tabela1[[#This Row],[Último pagto ano]])</f>
        <v>11</v>
      </c>
      <c r="H3320" t="str">
        <f>TEXT(Tabela1[[#This Row],[Coluna2]]*29,"mmmm")</f>
        <v>novembro</v>
      </c>
      <c r="I3320" t="str">
        <f>TEXT(MONTH(Tabela1[[#This Row],[Último pagto ano]])*29,"mmmm")</f>
        <v>novembro</v>
      </c>
    </row>
    <row r="3321" spans="1:9" x14ac:dyDescent="0.25">
      <c r="A3321">
        <v>2025</v>
      </c>
      <c r="B3321" t="s">
        <v>6608</v>
      </c>
      <c r="C3321" s="1">
        <v>46006</v>
      </c>
      <c r="D3321" t="s">
        <v>6609</v>
      </c>
      <c r="E3321" s="2">
        <v>7000</v>
      </c>
      <c r="G3321" s="3">
        <f>MONTH(Tabela1[[#This Row],[Último pagto ano]])</f>
        <v>12</v>
      </c>
      <c r="H3321" t="str">
        <f>TEXT(Tabela1[[#This Row],[Coluna2]]*29,"mmmm")</f>
        <v>dezembro</v>
      </c>
      <c r="I3321" t="str">
        <f>TEXT(MONTH(Tabela1[[#This Row],[Último pagto ano]])*29,"mmmm")</f>
        <v>dezembro</v>
      </c>
    </row>
    <row r="3322" spans="1:9" x14ac:dyDescent="0.25">
      <c r="A3322">
        <v>2025</v>
      </c>
      <c r="B3322" t="s">
        <v>6610</v>
      </c>
      <c r="C3322" s="1">
        <v>46010</v>
      </c>
      <c r="D3322" t="s">
        <v>6611</v>
      </c>
      <c r="E3322" s="2">
        <v>12000</v>
      </c>
      <c r="G3322" s="3">
        <f>MONTH(Tabela1[[#This Row],[Último pagto ano]])</f>
        <v>12</v>
      </c>
      <c r="H3322" t="str">
        <f>TEXT(Tabela1[[#This Row],[Coluna2]]*29,"mmmm")</f>
        <v>dezembro</v>
      </c>
      <c r="I3322" t="str">
        <f>TEXT(MONTH(Tabela1[[#This Row],[Último pagto ano]])*29,"mmmm")</f>
        <v>dezembro</v>
      </c>
    </row>
    <row r="3323" spans="1:9" x14ac:dyDescent="0.25">
      <c r="A3323">
        <v>2025</v>
      </c>
      <c r="B3323" t="s">
        <v>6612</v>
      </c>
      <c r="C3323" s="1">
        <v>46002</v>
      </c>
      <c r="D3323" t="s">
        <v>6613</v>
      </c>
      <c r="E3323" s="2">
        <v>18216</v>
      </c>
      <c r="G3323" s="3">
        <f>MONTH(Tabela1[[#This Row],[Último pagto ano]])</f>
        <v>12</v>
      </c>
      <c r="H3323" t="str">
        <f>TEXT(Tabela1[[#This Row],[Coluna2]]*29,"mmmm")</f>
        <v>dezembro</v>
      </c>
      <c r="I3323" t="str">
        <f>TEXT(MONTH(Tabela1[[#This Row],[Último pagto ano]])*29,"mmmm")</f>
        <v>dezembro</v>
      </c>
    </row>
    <row r="3324" spans="1:9" x14ac:dyDescent="0.25">
      <c r="A3324">
        <v>2025</v>
      </c>
      <c r="B3324" t="s">
        <v>6614</v>
      </c>
      <c r="C3324" s="1">
        <v>45712</v>
      </c>
      <c r="D3324" t="s">
        <v>6615</v>
      </c>
      <c r="E3324" s="2">
        <v>1400</v>
      </c>
      <c r="G3324" s="3">
        <f>MONTH(Tabela1[[#This Row],[Último pagto ano]])</f>
        <v>2</v>
      </c>
      <c r="H3324" t="str">
        <f>TEXT(Tabela1[[#This Row],[Coluna2]]*29,"mmmm")</f>
        <v>fevereiro</v>
      </c>
      <c r="I3324" t="str">
        <f>TEXT(MONTH(Tabela1[[#This Row],[Último pagto ano]])*29,"mmmm")</f>
        <v>fevereiro</v>
      </c>
    </row>
    <row r="3325" spans="1:9" x14ac:dyDescent="0.25">
      <c r="A3325">
        <v>2025</v>
      </c>
      <c r="B3325" t="s">
        <v>6616</v>
      </c>
      <c r="C3325" s="1">
        <v>45674</v>
      </c>
      <c r="D3325" t="s">
        <v>6617</v>
      </c>
      <c r="E3325" s="2">
        <v>7742.4</v>
      </c>
      <c r="G3325" s="3">
        <f>MONTH(Tabela1[[#This Row],[Último pagto ano]])</f>
        <v>1</v>
      </c>
      <c r="H3325" t="str">
        <f>TEXT(Tabela1[[#This Row],[Coluna2]]*29,"mmmm")</f>
        <v>janeiro</v>
      </c>
      <c r="I3325" t="str">
        <f>TEXT(MONTH(Tabela1[[#This Row],[Último pagto ano]])*29,"mmmm")</f>
        <v>janeiro</v>
      </c>
    </row>
    <row r="3326" spans="1:9" x14ac:dyDescent="0.25">
      <c r="A3326">
        <v>2025</v>
      </c>
      <c r="B3326" t="s">
        <v>6618</v>
      </c>
      <c r="C3326" s="1">
        <v>45996</v>
      </c>
      <c r="D3326" t="s">
        <v>6619</v>
      </c>
      <c r="E3326" s="2">
        <v>52228.800000000003</v>
      </c>
      <c r="G3326" s="3">
        <f>MONTH(Tabela1[[#This Row],[Último pagto ano]])</f>
        <v>12</v>
      </c>
      <c r="H3326" t="str">
        <f>TEXT(Tabela1[[#This Row],[Coluna2]]*29,"mmmm")</f>
        <v>dezembro</v>
      </c>
      <c r="I3326" t="str">
        <f>TEXT(MONTH(Tabela1[[#This Row],[Último pagto ano]])*29,"mmmm")</f>
        <v>dezembro</v>
      </c>
    </row>
    <row r="3327" spans="1:9" x14ac:dyDescent="0.25">
      <c r="A3327">
        <v>2025</v>
      </c>
      <c r="B3327" t="s">
        <v>6620</v>
      </c>
      <c r="C3327" s="1">
        <v>46008</v>
      </c>
      <c r="D3327" t="s">
        <v>6621</v>
      </c>
      <c r="E3327" s="2">
        <v>122089.92</v>
      </c>
      <c r="G3327" s="3">
        <f>MONTH(Tabela1[[#This Row],[Último pagto ano]])</f>
        <v>12</v>
      </c>
      <c r="H3327" t="str">
        <f>TEXT(Tabela1[[#This Row],[Coluna2]]*29,"mmmm")</f>
        <v>dezembro</v>
      </c>
      <c r="I3327" t="str">
        <f>TEXT(MONTH(Tabela1[[#This Row],[Último pagto ano]])*29,"mmmm")</f>
        <v>dezembro</v>
      </c>
    </row>
    <row r="3328" spans="1:9" x14ac:dyDescent="0.25">
      <c r="A3328">
        <v>2025</v>
      </c>
      <c r="B3328" t="s">
        <v>6622</v>
      </c>
      <c r="C3328" s="1">
        <v>46006</v>
      </c>
      <c r="D3328" t="s">
        <v>6623</v>
      </c>
      <c r="E3328" s="2">
        <v>14580.24</v>
      </c>
      <c r="G3328" s="3">
        <f>MONTH(Tabela1[[#This Row],[Último pagto ano]])</f>
        <v>12</v>
      </c>
      <c r="H3328" t="str">
        <f>TEXT(Tabela1[[#This Row],[Coluna2]]*29,"mmmm")</f>
        <v>dezembro</v>
      </c>
      <c r="I3328" t="str">
        <f>TEXT(MONTH(Tabela1[[#This Row],[Último pagto ano]])*29,"mmmm")</f>
        <v>dezembro</v>
      </c>
    </row>
    <row r="3329" spans="1:9" x14ac:dyDescent="0.25">
      <c r="A3329">
        <v>2025</v>
      </c>
      <c r="B3329" t="s">
        <v>6624</v>
      </c>
      <c r="C3329" s="1">
        <v>46013</v>
      </c>
      <c r="D3329" t="s">
        <v>6625</v>
      </c>
      <c r="E3329" s="2">
        <v>7686</v>
      </c>
      <c r="G3329" s="3">
        <f>MONTH(Tabela1[[#This Row],[Último pagto ano]])</f>
        <v>12</v>
      </c>
      <c r="H3329" t="str">
        <f>TEXT(Tabela1[[#This Row],[Coluna2]]*29,"mmmm")</f>
        <v>dezembro</v>
      </c>
      <c r="I3329" t="str">
        <f>TEXT(MONTH(Tabela1[[#This Row],[Último pagto ano]])*29,"mmmm")</f>
        <v>dezembro</v>
      </c>
    </row>
    <row r="3330" spans="1:9" x14ac:dyDescent="0.25">
      <c r="A3330">
        <v>2025</v>
      </c>
      <c r="B3330" t="s">
        <v>6626</v>
      </c>
      <c r="C3330" s="1">
        <v>46013</v>
      </c>
      <c r="D3330" t="s">
        <v>6627</v>
      </c>
      <c r="E3330">
        <v>163.80000000000001</v>
      </c>
      <c r="G3330" s="3">
        <f>MONTH(Tabela1[[#This Row],[Último pagto ano]])</f>
        <v>12</v>
      </c>
      <c r="H3330" t="str">
        <f>TEXT(Tabela1[[#This Row],[Coluna2]]*29,"mmmm")</f>
        <v>dezembro</v>
      </c>
      <c r="I3330" t="str">
        <f>TEXT(MONTH(Tabela1[[#This Row],[Último pagto ano]])*29,"mmmm")</f>
        <v>dezembro</v>
      </c>
    </row>
    <row r="3331" spans="1:9" x14ac:dyDescent="0.25">
      <c r="A3331">
        <v>2025</v>
      </c>
      <c r="B3331" t="s">
        <v>6628</v>
      </c>
      <c r="C3331" s="1">
        <v>46006</v>
      </c>
      <c r="D3331" t="s">
        <v>6629</v>
      </c>
      <c r="E3331" s="2">
        <v>6259.6</v>
      </c>
      <c r="G3331" s="3">
        <f>MONTH(Tabela1[[#This Row],[Último pagto ano]])</f>
        <v>12</v>
      </c>
      <c r="H3331" t="str">
        <f>TEXT(Tabela1[[#This Row],[Coluna2]]*29,"mmmm")</f>
        <v>dezembro</v>
      </c>
      <c r="I3331" t="str">
        <f>TEXT(MONTH(Tabela1[[#This Row],[Último pagto ano]])*29,"mmmm")</f>
        <v>dezembro</v>
      </c>
    </row>
    <row r="3332" spans="1:9" x14ac:dyDescent="0.25">
      <c r="A3332">
        <v>2025</v>
      </c>
      <c r="B3332" t="s">
        <v>6630</v>
      </c>
      <c r="C3332" s="1">
        <v>45862</v>
      </c>
      <c r="D3332" t="s">
        <v>6631</v>
      </c>
      <c r="E3332" s="2">
        <v>2300</v>
      </c>
      <c r="G3332" s="3">
        <f>MONTH(Tabela1[[#This Row],[Último pagto ano]])</f>
        <v>7</v>
      </c>
      <c r="H3332" t="str">
        <f>TEXT(Tabela1[[#This Row],[Coluna2]]*29,"mmmm")</f>
        <v>julho</v>
      </c>
      <c r="I3332" t="str">
        <f>TEXT(MONTH(Tabela1[[#This Row],[Último pagto ano]])*29,"mmmm")</f>
        <v>julho</v>
      </c>
    </row>
    <row r="3333" spans="1:9" x14ac:dyDescent="0.25">
      <c r="A3333">
        <v>2025</v>
      </c>
      <c r="B3333" t="s">
        <v>6632</v>
      </c>
      <c r="C3333" s="1">
        <v>45989</v>
      </c>
      <c r="D3333" t="s">
        <v>6633</v>
      </c>
      <c r="E3333" s="2">
        <v>14734.27</v>
      </c>
      <c r="G3333" s="3">
        <f>MONTH(Tabela1[[#This Row],[Último pagto ano]])</f>
        <v>11</v>
      </c>
      <c r="H3333" t="str">
        <f>TEXT(Tabela1[[#This Row],[Coluna2]]*29,"mmmm")</f>
        <v>novembro</v>
      </c>
      <c r="I3333" t="str">
        <f>TEXT(MONTH(Tabela1[[#This Row],[Último pagto ano]])*29,"mmmm")</f>
        <v>novembro</v>
      </c>
    </row>
    <row r="3334" spans="1:9" x14ac:dyDescent="0.25">
      <c r="A3334">
        <v>2025</v>
      </c>
      <c r="B3334" t="s">
        <v>6634</v>
      </c>
      <c r="C3334" s="1">
        <v>45736</v>
      </c>
      <c r="D3334" t="s">
        <v>6635</v>
      </c>
      <c r="E3334" s="2">
        <v>1646.7</v>
      </c>
      <c r="G3334" s="3">
        <f>MONTH(Tabela1[[#This Row],[Último pagto ano]])</f>
        <v>3</v>
      </c>
      <c r="H3334" t="str">
        <f>TEXT(Tabela1[[#This Row],[Coluna2]]*29,"mmmm")</f>
        <v>março</v>
      </c>
      <c r="I3334" t="str">
        <f>TEXT(MONTH(Tabela1[[#This Row],[Último pagto ano]])*29,"mmmm")</f>
        <v>março</v>
      </c>
    </row>
    <row r="3335" spans="1:9" x14ac:dyDescent="0.25">
      <c r="A3335">
        <v>2025</v>
      </c>
      <c r="B3335" t="s">
        <v>6636</v>
      </c>
      <c r="C3335" s="1">
        <v>45968</v>
      </c>
      <c r="D3335" t="s">
        <v>6637</v>
      </c>
      <c r="E3335" s="2">
        <v>34398</v>
      </c>
      <c r="G3335" s="3">
        <f>MONTH(Tabela1[[#This Row],[Último pagto ano]])</f>
        <v>11</v>
      </c>
      <c r="H3335" t="str">
        <f>TEXT(Tabela1[[#This Row],[Coluna2]]*29,"mmmm")</f>
        <v>novembro</v>
      </c>
      <c r="I3335" t="str">
        <f>TEXT(MONTH(Tabela1[[#This Row],[Último pagto ano]])*29,"mmmm")</f>
        <v>novembro</v>
      </c>
    </row>
    <row r="3336" spans="1:9" x14ac:dyDescent="0.25">
      <c r="A3336">
        <v>2025</v>
      </c>
      <c r="B3336" t="s">
        <v>6638</v>
      </c>
      <c r="C3336" s="1">
        <v>45806</v>
      </c>
      <c r="D3336" t="s">
        <v>6639</v>
      </c>
      <c r="E3336">
        <v>259.64</v>
      </c>
      <c r="G3336" s="3">
        <f>MONTH(Tabela1[[#This Row],[Último pagto ano]])</f>
        <v>5</v>
      </c>
      <c r="H3336" t="str">
        <f>TEXT(Tabela1[[#This Row],[Coluna2]]*29,"mmmm")</f>
        <v>maio</v>
      </c>
      <c r="I3336" t="str">
        <f>TEXT(MONTH(Tabela1[[#This Row],[Último pagto ano]])*29,"mmmm")</f>
        <v>maio</v>
      </c>
    </row>
    <row r="3337" spans="1:9" x14ac:dyDescent="0.25">
      <c r="A3337">
        <v>2025</v>
      </c>
      <c r="B3337" t="s">
        <v>6640</v>
      </c>
      <c r="C3337" s="1">
        <v>45996</v>
      </c>
      <c r="D3337" t="s">
        <v>6641</v>
      </c>
      <c r="E3337" s="2">
        <v>48000</v>
      </c>
      <c r="G3337" s="3">
        <f>MONTH(Tabela1[[#This Row],[Último pagto ano]])</f>
        <v>12</v>
      </c>
      <c r="H3337" t="str">
        <f>TEXT(Tabela1[[#This Row],[Coluna2]]*29,"mmmm")</f>
        <v>dezembro</v>
      </c>
      <c r="I3337" t="str">
        <f>TEXT(MONTH(Tabela1[[#This Row],[Último pagto ano]])*29,"mmmm")</f>
        <v>dezembro</v>
      </c>
    </row>
    <row r="3338" spans="1:9" x14ac:dyDescent="0.25">
      <c r="A3338">
        <v>2025</v>
      </c>
      <c r="B3338" t="s">
        <v>6642</v>
      </c>
      <c r="C3338" s="1">
        <v>46010</v>
      </c>
      <c r="D3338" t="s">
        <v>6643</v>
      </c>
      <c r="E3338" s="2">
        <v>9100</v>
      </c>
      <c r="G3338" s="3">
        <f>MONTH(Tabela1[[#This Row],[Último pagto ano]])</f>
        <v>12</v>
      </c>
      <c r="H3338" t="str">
        <f>TEXT(Tabela1[[#This Row],[Coluna2]]*29,"mmmm")</f>
        <v>dezembro</v>
      </c>
      <c r="I3338" t="str">
        <f>TEXT(MONTH(Tabela1[[#This Row],[Último pagto ano]])*29,"mmmm")</f>
        <v>dezembro</v>
      </c>
    </row>
    <row r="3339" spans="1:9" x14ac:dyDescent="0.25">
      <c r="A3339">
        <v>2025</v>
      </c>
      <c r="B3339" t="s">
        <v>6644</v>
      </c>
      <c r="C3339" s="1">
        <v>45880</v>
      </c>
      <c r="D3339" t="s">
        <v>6645</v>
      </c>
      <c r="E3339" s="2">
        <v>3000</v>
      </c>
      <c r="G3339" s="3">
        <f>MONTH(Tabela1[[#This Row],[Último pagto ano]])</f>
        <v>8</v>
      </c>
      <c r="H3339" t="str">
        <f>TEXT(Tabela1[[#This Row],[Coluna2]]*29,"mmmm")</f>
        <v>agosto</v>
      </c>
      <c r="I3339" t="str">
        <f>TEXT(MONTH(Tabela1[[#This Row],[Último pagto ano]])*29,"mmmm")</f>
        <v>agosto</v>
      </c>
    </row>
    <row r="3340" spans="1:9" x14ac:dyDescent="0.25">
      <c r="A3340">
        <v>2025</v>
      </c>
      <c r="B3340" t="s">
        <v>6646</v>
      </c>
      <c r="C3340" s="1">
        <v>46010</v>
      </c>
      <c r="D3340" t="s">
        <v>6647</v>
      </c>
      <c r="E3340" s="2">
        <v>8400</v>
      </c>
      <c r="G3340" s="3">
        <f>MONTH(Tabela1[[#This Row],[Último pagto ano]])</f>
        <v>12</v>
      </c>
      <c r="H3340" t="str">
        <f>TEXT(Tabela1[[#This Row],[Coluna2]]*29,"mmmm")</f>
        <v>dezembro</v>
      </c>
      <c r="I3340" t="str">
        <f>TEXT(MONTH(Tabela1[[#This Row],[Último pagto ano]])*29,"mmmm")</f>
        <v>dezembro</v>
      </c>
    </row>
    <row r="3341" spans="1:9" x14ac:dyDescent="0.25">
      <c r="A3341">
        <v>2025</v>
      </c>
      <c r="B3341" t="s">
        <v>6648</v>
      </c>
      <c r="C3341" s="1">
        <v>45733</v>
      </c>
      <c r="D3341" t="s">
        <v>6649</v>
      </c>
      <c r="E3341" s="2">
        <v>2020</v>
      </c>
      <c r="G3341" s="3">
        <f>MONTH(Tabela1[[#This Row],[Último pagto ano]])</f>
        <v>3</v>
      </c>
      <c r="H3341" t="str">
        <f>TEXT(Tabela1[[#This Row],[Coluna2]]*29,"mmmm")</f>
        <v>março</v>
      </c>
      <c r="I3341" t="str">
        <f>TEXT(MONTH(Tabela1[[#This Row],[Último pagto ano]])*29,"mmmm")</f>
        <v>março</v>
      </c>
    </row>
    <row r="3342" spans="1:9" x14ac:dyDescent="0.25">
      <c r="A3342">
        <v>2025</v>
      </c>
      <c r="B3342" t="s">
        <v>6650</v>
      </c>
      <c r="C3342" s="1">
        <v>45996</v>
      </c>
      <c r="D3342" t="s">
        <v>6651</v>
      </c>
      <c r="E3342" s="2">
        <v>9000</v>
      </c>
      <c r="G3342" s="3">
        <f>MONTH(Tabela1[[#This Row],[Último pagto ano]])</f>
        <v>12</v>
      </c>
      <c r="H3342" t="str">
        <f>TEXT(Tabela1[[#This Row],[Coluna2]]*29,"mmmm")</f>
        <v>dezembro</v>
      </c>
      <c r="I3342" t="str">
        <f>TEXT(MONTH(Tabela1[[#This Row],[Último pagto ano]])*29,"mmmm")</f>
        <v>dezembro</v>
      </c>
    </row>
    <row r="3343" spans="1:9" x14ac:dyDescent="0.25">
      <c r="A3343">
        <v>2025</v>
      </c>
      <c r="B3343" t="s">
        <v>6652</v>
      </c>
      <c r="C3343" s="1">
        <v>45835</v>
      </c>
      <c r="D3343" t="s">
        <v>6653</v>
      </c>
      <c r="E3343">
        <v>231</v>
      </c>
      <c r="G3343" s="3">
        <f>MONTH(Tabela1[[#This Row],[Último pagto ano]])</f>
        <v>6</v>
      </c>
      <c r="H3343" t="str">
        <f>TEXT(Tabela1[[#This Row],[Coluna2]]*29,"mmmm")</f>
        <v>junho</v>
      </c>
      <c r="I3343" t="str">
        <f>TEXT(MONTH(Tabela1[[#This Row],[Último pagto ano]])*29,"mmmm")</f>
        <v>junho</v>
      </c>
    </row>
    <row r="3344" spans="1:9" x14ac:dyDescent="0.25">
      <c r="A3344">
        <v>2025</v>
      </c>
      <c r="B3344" t="s">
        <v>6654</v>
      </c>
      <c r="C3344" s="1">
        <v>46010</v>
      </c>
      <c r="D3344" t="s">
        <v>6655</v>
      </c>
      <c r="E3344" s="2">
        <v>8626</v>
      </c>
      <c r="G3344" s="3">
        <f>MONTH(Tabela1[[#This Row],[Último pagto ano]])</f>
        <v>12</v>
      </c>
      <c r="H3344" t="str">
        <f>TEXT(Tabela1[[#This Row],[Coluna2]]*29,"mmmm")</f>
        <v>dezembro</v>
      </c>
      <c r="I3344" t="str">
        <f>TEXT(MONTH(Tabela1[[#This Row],[Último pagto ano]])*29,"mmmm")</f>
        <v>dezembro</v>
      </c>
    </row>
    <row r="3345" spans="1:9" x14ac:dyDescent="0.25">
      <c r="A3345">
        <v>2025</v>
      </c>
      <c r="B3345" t="s">
        <v>6656</v>
      </c>
      <c r="C3345" s="1">
        <v>45986</v>
      </c>
      <c r="D3345" t="s">
        <v>6657</v>
      </c>
      <c r="E3345" s="2">
        <v>9862.57</v>
      </c>
      <c r="G3345" s="3">
        <f>MONTH(Tabela1[[#This Row],[Último pagto ano]])</f>
        <v>11</v>
      </c>
      <c r="H3345" t="str">
        <f>TEXT(Tabela1[[#This Row],[Coluna2]]*29,"mmmm")</f>
        <v>novembro</v>
      </c>
      <c r="I3345" t="str">
        <f>TEXT(MONTH(Tabela1[[#This Row],[Último pagto ano]])*29,"mmmm")</f>
        <v>novembro</v>
      </c>
    </row>
    <row r="3346" spans="1:9" x14ac:dyDescent="0.25">
      <c r="A3346">
        <v>2025</v>
      </c>
      <c r="B3346" t="s">
        <v>6658</v>
      </c>
      <c r="C3346" s="1">
        <v>45995</v>
      </c>
      <c r="D3346" t="s">
        <v>6659</v>
      </c>
      <c r="E3346">
        <v>220</v>
      </c>
      <c r="G3346" s="3">
        <f>MONTH(Tabela1[[#This Row],[Último pagto ano]])</f>
        <v>12</v>
      </c>
      <c r="H3346" t="str">
        <f>TEXT(Tabela1[[#This Row],[Coluna2]]*29,"mmmm")</f>
        <v>dezembro</v>
      </c>
      <c r="I3346" t="str">
        <f>TEXT(MONTH(Tabela1[[#This Row],[Último pagto ano]])*29,"mmmm")</f>
        <v>dezembro</v>
      </c>
    </row>
    <row r="3347" spans="1:9" x14ac:dyDescent="0.25">
      <c r="A3347">
        <v>2025</v>
      </c>
      <c r="B3347" t="s">
        <v>6660</v>
      </c>
      <c r="C3347" s="1">
        <v>45684</v>
      </c>
      <c r="D3347" t="s">
        <v>6661</v>
      </c>
      <c r="E3347" s="2">
        <v>1300</v>
      </c>
      <c r="G3347" s="3">
        <f>MONTH(Tabela1[[#This Row],[Último pagto ano]])</f>
        <v>1</v>
      </c>
      <c r="H3347" t="str">
        <f>TEXT(Tabela1[[#This Row],[Coluna2]]*29,"mmmm")</f>
        <v>janeiro</v>
      </c>
      <c r="I3347" t="str">
        <f>TEXT(MONTH(Tabela1[[#This Row],[Último pagto ano]])*29,"mmmm")</f>
        <v>janeiro</v>
      </c>
    </row>
    <row r="3348" spans="1:9" x14ac:dyDescent="0.25">
      <c r="A3348">
        <v>2025</v>
      </c>
      <c r="B3348" t="s">
        <v>6662</v>
      </c>
      <c r="C3348" s="1">
        <v>46013</v>
      </c>
      <c r="D3348" t="s">
        <v>6663</v>
      </c>
      <c r="E3348" s="2">
        <v>229363.34</v>
      </c>
      <c r="G3348" s="3">
        <f>MONTH(Tabela1[[#This Row],[Último pagto ano]])</f>
        <v>12</v>
      </c>
      <c r="H3348" t="str">
        <f>TEXT(Tabela1[[#This Row],[Coluna2]]*29,"mmmm")</f>
        <v>dezembro</v>
      </c>
      <c r="I3348" t="str">
        <f>TEXT(MONTH(Tabela1[[#This Row],[Último pagto ano]])*29,"mmmm")</f>
        <v>dezembro</v>
      </c>
    </row>
    <row r="3349" spans="1:9" x14ac:dyDescent="0.25">
      <c r="A3349">
        <v>2025</v>
      </c>
      <c r="B3349" t="s">
        <v>6664</v>
      </c>
      <c r="C3349" s="1">
        <v>45824</v>
      </c>
      <c r="D3349" t="s">
        <v>6665</v>
      </c>
      <c r="E3349">
        <v>22</v>
      </c>
      <c r="G3349" s="3">
        <f>MONTH(Tabela1[[#This Row],[Último pagto ano]])</f>
        <v>6</v>
      </c>
      <c r="H3349" t="str">
        <f>TEXT(Tabela1[[#This Row],[Coluna2]]*29,"mmmm")</f>
        <v>junho</v>
      </c>
      <c r="I3349" t="str">
        <f>TEXT(MONTH(Tabela1[[#This Row],[Último pagto ano]])*29,"mmmm")</f>
        <v>junho</v>
      </c>
    </row>
    <row r="3350" spans="1:9" x14ac:dyDescent="0.25">
      <c r="A3350">
        <v>2025</v>
      </c>
      <c r="B3350" t="s">
        <v>6666</v>
      </c>
      <c r="C3350" s="1">
        <v>45673</v>
      </c>
      <c r="D3350" t="s">
        <v>6667</v>
      </c>
      <c r="E3350">
        <v>500</v>
      </c>
      <c r="G3350" s="3">
        <f>MONTH(Tabela1[[#This Row],[Último pagto ano]])</f>
        <v>1</v>
      </c>
      <c r="H3350" t="str">
        <f>TEXT(Tabela1[[#This Row],[Coluna2]]*29,"mmmm")</f>
        <v>janeiro</v>
      </c>
      <c r="I3350" t="str">
        <f>TEXT(MONTH(Tabela1[[#This Row],[Último pagto ano]])*29,"mmmm")</f>
        <v>janeiro</v>
      </c>
    </row>
    <row r="3351" spans="1:9" x14ac:dyDescent="0.25">
      <c r="A3351">
        <v>2025</v>
      </c>
      <c r="B3351" t="s">
        <v>6668</v>
      </c>
      <c r="C3351" s="1">
        <v>45968</v>
      </c>
      <c r="D3351" t="s">
        <v>6669</v>
      </c>
      <c r="E3351" s="2">
        <v>21248.799999999999</v>
      </c>
      <c r="G3351" s="3">
        <f>MONTH(Tabela1[[#This Row],[Último pagto ano]])</f>
        <v>11</v>
      </c>
      <c r="H3351" t="str">
        <f>TEXT(Tabela1[[#This Row],[Coluna2]]*29,"mmmm")</f>
        <v>novembro</v>
      </c>
      <c r="I3351" t="str">
        <f>TEXT(MONTH(Tabela1[[#This Row],[Último pagto ano]])*29,"mmmm")</f>
        <v>novembro</v>
      </c>
    </row>
    <row r="3352" spans="1:9" x14ac:dyDescent="0.25">
      <c r="A3352">
        <v>2025</v>
      </c>
      <c r="B3352" t="s">
        <v>6670</v>
      </c>
      <c r="C3352" s="1">
        <v>46021</v>
      </c>
      <c r="D3352" t="s">
        <v>6671</v>
      </c>
      <c r="E3352" s="2">
        <v>11924.32</v>
      </c>
      <c r="G3352" s="3">
        <f>MONTH(Tabela1[[#This Row],[Último pagto ano]])</f>
        <v>12</v>
      </c>
      <c r="H3352" t="str">
        <f>TEXT(Tabela1[[#This Row],[Coluna2]]*29,"mmmm")</f>
        <v>dezembro</v>
      </c>
      <c r="I3352" t="str">
        <f>TEXT(MONTH(Tabela1[[#This Row],[Último pagto ano]])*29,"mmmm")</f>
        <v>dezembro</v>
      </c>
    </row>
    <row r="3353" spans="1:9" x14ac:dyDescent="0.25">
      <c r="A3353">
        <v>2025</v>
      </c>
      <c r="B3353" t="s">
        <v>6672</v>
      </c>
      <c r="C3353" s="1">
        <v>46010</v>
      </c>
      <c r="D3353" t="s">
        <v>6673</v>
      </c>
      <c r="E3353" s="2">
        <v>2100</v>
      </c>
      <c r="G3353" s="3">
        <f>MONTH(Tabela1[[#This Row],[Último pagto ano]])</f>
        <v>12</v>
      </c>
      <c r="H3353" t="str">
        <f>TEXT(Tabela1[[#This Row],[Coluna2]]*29,"mmmm")</f>
        <v>dezembro</v>
      </c>
      <c r="I3353" t="str">
        <f>TEXT(MONTH(Tabela1[[#This Row],[Último pagto ano]])*29,"mmmm")</f>
        <v>dezembro</v>
      </c>
    </row>
    <row r="3354" spans="1:9" x14ac:dyDescent="0.25">
      <c r="A3354">
        <v>2025</v>
      </c>
      <c r="B3354" t="s">
        <v>6674</v>
      </c>
      <c r="C3354" s="1">
        <v>45744</v>
      </c>
      <c r="D3354" t="s">
        <v>6675</v>
      </c>
      <c r="E3354" s="2">
        <v>1741.36</v>
      </c>
      <c r="G3354" s="3">
        <f>MONTH(Tabela1[[#This Row],[Último pagto ano]])</f>
        <v>3</v>
      </c>
      <c r="H3354" t="str">
        <f>TEXT(Tabela1[[#This Row],[Coluna2]]*29,"mmmm")</f>
        <v>março</v>
      </c>
      <c r="I3354" t="str">
        <f>TEXT(MONTH(Tabela1[[#This Row],[Último pagto ano]])*29,"mmmm")</f>
        <v>março</v>
      </c>
    </row>
    <row r="3355" spans="1:9" x14ac:dyDescent="0.25">
      <c r="A3355">
        <v>2025</v>
      </c>
      <c r="B3355" t="s">
        <v>6676</v>
      </c>
      <c r="C3355" s="1">
        <v>45702</v>
      </c>
      <c r="D3355" t="s">
        <v>6677</v>
      </c>
      <c r="E3355">
        <v>260.08</v>
      </c>
      <c r="G3355" s="3">
        <f>MONTH(Tabela1[[#This Row],[Último pagto ano]])</f>
        <v>2</v>
      </c>
      <c r="H3355" t="str">
        <f>TEXT(Tabela1[[#This Row],[Coluna2]]*29,"mmmm")</f>
        <v>fevereiro</v>
      </c>
      <c r="I3355" t="str">
        <f>TEXT(MONTH(Tabela1[[#This Row],[Último pagto ano]])*29,"mmmm")</f>
        <v>fevereiro</v>
      </c>
    </row>
    <row r="3356" spans="1:9" x14ac:dyDescent="0.25">
      <c r="A3356">
        <v>2025</v>
      </c>
      <c r="B3356" t="s">
        <v>6678</v>
      </c>
      <c r="C3356" s="1">
        <v>45985</v>
      </c>
      <c r="D3356" t="s">
        <v>6679</v>
      </c>
      <c r="E3356">
        <v>44</v>
      </c>
      <c r="G3356" s="3">
        <f>MONTH(Tabela1[[#This Row],[Último pagto ano]])</f>
        <v>11</v>
      </c>
      <c r="H3356" t="str">
        <f>TEXT(Tabela1[[#This Row],[Coluna2]]*29,"mmmm")</f>
        <v>novembro</v>
      </c>
      <c r="I3356" t="str">
        <f>TEXT(MONTH(Tabela1[[#This Row],[Último pagto ano]])*29,"mmmm")</f>
        <v>novembro</v>
      </c>
    </row>
    <row r="3357" spans="1:9" x14ac:dyDescent="0.25">
      <c r="A3357">
        <v>2025</v>
      </c>
      <c r="B3357" t="s">
        <v>6680</v>
      </c>
      <c r="C3357" s="1">
        <v>45702</v>
      </c>
      <c r="D3357" t="s">
        <v>6681</v>
      </c>
      <c r="E3357">
        <v>177.5</v>
      </c>
      <c r="G3357" s="3">
        <f>MONTH(Tabela1[[#This Row],[Último pagto ano]])</f>
        <v>2</v>
      </c>
      <c r="H3357" t="str">
        <f>TEXT(Tabela1[[#This Row],[Coluna2]]*29,"mmmm")</f>
        <v>fevereiro</v>
      </c>
      <c r="I3357" t="str">
        <f>TEXT(MONTH(Tabela1[[#This Row],[Último pagto ano]])*29,"mmmm")</f>
        <v>fevereiro</v>
      </c>
    </row>
    <row r="3358" spans="1:9" x14ac:dyDescent="0.25">
      <c r="A3358">
        <v>2025</v>
      </c>
      <c r="B3358" t="s">
        <v>6682</v>
      </c>
      <c r="C3358" s="1">
        <v>45989</v>
      </c>
      <c r="D3358" t="s">
        <v>6683</v>
      </c>
      <c r="E3358" s="2">
        <v>11796.29</v>
      </c>
      <c r="G3358" s="3">
        <f>MONTH(Tabela1[[#This Row],[Último pagto ano]])</f>
        <v>11</v>
      </c>
      <c r="H3358" t="str">
        <f>TEXT(Tabela1[[#This Row],[Coluna2]]*29,"mmmm")</f>
        <v>novembro</v>
      </c>
      <c r="I3358" t="str">
        <f>TEXT(MONTH(Tabela1[[#This Row],[Último pagto ano]])*29,"mmmm")</f>
        <v>novembro</v>
      </c>
    </row>
    <row r="3359" spans="1:9" x14ac:dyDescent="0.25">
      <c r="A3359">
        <v>2025</v>
      </c>
      <c r="B3359" t="s">
        <v>6684</v>
      </c>
      <c r="C3359" s="1">
        <v>45709</v>
      </c>
      <c r="D3359" t="s">
        <v>6685</v>
      </c>
      <c r="E3359">
        <v>257.55</v>
      </c>
      <c r="G3359" s="3">
        <f>MONTH(Tabela1[[#This Row],[Último pagto ano]])</f>
        <v>2</v>
      </c>
      <c r="H3359" t="str">
        <f>TEXT(Tabela1[[#This Row],[Coluna2]]*29,"mmmm")</f>
        <v>fevereiro</v>
      </c>
      <c r="I3359" t="str">
        <f>TEXT(MONTH(Tabela1[[#This Row],[Último pagto ano]])*29,"mmmm")</f>
        <v>fevereiro</v>
      </c>
    </row>
    <row r="3360" spans="1:9" x14ac:dyDescent="0.25">
      <c r="A3360">
        <v>2025</v>
      </c>
      <c r="B3360" t="s">
        <v>6686</v>
      </c>
      <c r="C3360" s="1">
        <v>45950</v>
      </c>
      <c r="D3360" t="s">
        <v>6687</v>
      </c>
      <c r="E3360">
        <v>480</v>
      </c>
      <c r="G3360" s="3">
        <f>MONTH(Tabela1[[#This Row],[Último pagto ano]])</f>
        <v>10</v>
      </c>
      <c r="H3360" t="str">
        <f>TEXT(Tabela1[[#This Row],[Coluna2]]*29,"mmmm")</f>
        <v>outubro</v>
      </c>
      <c r="I3360" t="str">
        <f>TEXT(MONTH(Tabela1[[#This Row],[Último pagto ano]])*29,"mmmm")</f>
        <v>outubro</v>
      </c>
    </row>
    <row r="3361" spans="1:9" x14ac:dyDescent="0.25">
      <c r="A3361">
        <v>2025</v>
      </c>
      <c r="B3361" t="s">
        <v>6688</v>
      </c>
      <c r="C3361" s="1">
        <v>45897</v>
      </c>
      <c r="D3361" t="s">
        <v>6689</v>
      </c>
      <c r="E3361" s="2">
        <v>1181.7</v>
      </c>
      <c r="G3361" s="3">
        <f>MONTH(Tabela1[[#This Row],[Último pagto ano]])</f>
        <v>8</v>
      </c>
      <c r="H3361" t="str">
        <f>TEXT(Tabela1[[#This Row],[Coluna2]]*29,"mmmm")</f>
        <v>agosto</v>
      </c>
      <c r="I3361" t="str">
        <f>TEXT(MONTH(Tabela1[[#This Row],[Último pagto ano]])*29,"mmmm")</f>
        <v>agosto</v>
      </c>
    </row>
    <row r="3362" spans="1:9" x14ac:dyDescent="0.25">
      <c r="A3362">
        <v>2025</v>
      </c>
      <c r="B3362" t="s">
        <v>6690</v>
      </c>
      <c r="C3362" s="1">
        <v>45868</v>
      </c>
      <c r="D3362" t="s">
        <v>6691</v>
      </c>
      <c r="E3362" s="2">
        <v>6887.66</v>
      </c>
      <c r="G3362" s="3">
        <f>MONTH(Tabela1[[#This Row],[Último pagto ano]])</f>
        <v>7</v>
      </c>
      <c r="H3362" t="str">
        <f>TEXT(Tabela1[[#This Row],[Coluna2]]*29,"mmmm")</f>
        <v>julho</v>
      </c>
      <c r="I3362" t="str">
        <f>TEXT(MONTH(Tabela1[[#This Row],[Último pagto ano]])*29,"mmmm")</f>
        <v>julho</v>
      </c>
    </row>
    <row r="3363" spans="1:9" x14ac:dyDescent="0.25">
      <c r="A3363">
        <v>2025</v>
      </c>
      <c r="B3363" t="s">
        <v>6692</v>
      </c>
      <c r="C3363" s="1">
        <v>46010</v>
      </c>
      <c r="D3363" t="s">
        <v>6693</v>
      </c>
      <c r="E3363" s="2">
        <v>8400</v>
      </c>
      <c r="G3363" s="3">
        <f>MONTH(Tabela1[[#This Row],[Último pagto ano]])</f>
        <v>12</v>
      </c>
      <c r="H3363" t="str">
        <f>TEXT(Tabela1[[#This Row],[Coluna2]]*29,"mmmm")</f>
        <v>dezembro</v>
      </c>
      <c r="I3363" t="str">
        <f>TEXT(MONTH(Tabela1[[#This Row],[Último pagto ano]])*29,"mmmm")</f>
        <v>dezembro</v>
      </c>
    </row>
    <row r="3364" spans="1:9" x14ac:dyDescent="0.25">
      <c r="A3364">
        <v>2025</v>
      </c>
      <c r="B3364" t="s">
        <v>6694</v>
      </c>
      <c r="C3364" s="1">
        <v>45702</v>
      </c>
      <c r="D3364" t="s">
        <v>6695</v>
      </c>
      <c r="E3364" s="2">
        <v>1288.6500000000001</v>
      </c>
      <c r="G3364" s="3">
        <f>MONTH(Tabela1[[#This Row],[Último pagto ano]])</f>
        <v>2</v>
      </c>
      <c r="H3364" t="str">
        <f>TEXT(Tabela1[[#This Row],[Coluna2]]*29,"mmmm")</f>
        <v>fevereiro</v>
      </c>
      <c r="I3364" t="str">
        <f>TEXT(MONTH(Tabela1[[#This Row],[Último pagto ano]])*29,"mmmm")</f>
        <v>fevereiro</v>
      </c>
    </row>
    <row r="3365" spans="1:9" x14ac:dyDescent="0.25">
      <c r="A3365">
        <v>2025</v>
      </c>
      <c r="B3365" t="s">
        <v>6696</v>
      </c>
      <c r="C3365" s="1">
        <v>45702</v>
      </c>
      <c r="D3365" t="s">
        <v>6697</v>
      </c>
      <c r="E3365">
        <v>157.53</v>
      </c>
      <c r="G3365" s="3">
        <f>MONTH(Tabela1[[#This Row],[Último pagto ano]])</f>
        <v>2</v>
      </c>
      <c r="H3365" t="str">
        <f>TEXT(Tabela1[[#This Row],[Coluna2]]*29,"mmmm")</f>
        <v>fevereiro</v>
      </c>
      <c r="I3365" t="str">
        <f>TEXT(MONTH(Tabela1[[#This Row],[Último pagto ano]])*29,"mmmm")</f>
        <v>fevereiro</v>
      </c>
    </row>
    <row r="3366" spans="1:9" x14ac:dyDescent="0.25">
      <c r="A3366">
        <v>2025</v>
      </c>
      <c r="B3366" t="s">
        <v>6698</v>
      </c>
      <c r="C3366" s="1">
        <v>45673</v>
      </c>
      <c r="D3366" t="s">
        <v>6699</v>
      </c>
      <c r="E3366">
        <v>450</v>
      </c>
      <c r="G3366" s="3">
        <f>MONTH(Tabela1[[#This Row],[Último pagto ano]])</f>
        <v>1</v>
      </c>
      <c r="H3366" t="str">
        <f>TEXT(Tabela1[[#This Row],[Coluna2]]*29,"mmmm")</f>
        <v>janeiro</v>
      </c>
      <c r="I3366" t="str">
        <f>TEXT(MONTH(Tabela1[[#This Row],[Último pagto ano]])*29,"mmmm")</f>
        <v>janeiro</v>
      </c>
    </row>
    <row r="3367" spans="1:9" x14ac:dyDescent="0.25">
      <c r="A3367">
        <v>2025</v>
      </c>
      <c r="B3367" t="s">
        <v>6700</v>
      </c>
      <c r="C3367" s="1">
        <v>45937</v>
      </c>
      <c r="D3367" t="s">
        <v>6701</v>
      </c>
      <c r="E3367" s="2">
        <v>3050</v>
      </c>
      <c r="G3367" s="3">
        <f>MONTH(Tabela1[[#This Row],[Último pagto ano]])</f>
        <v>10</v>
      </c>
      <c r="H3367" t="str">
        <f>TEXT(Tabela1[[#This Row],[Coluna2]]*29,"mmmm")</f>
        <v>outubro</v>
      </c>
      <c r="I3367" t="str">
        <f>TEXT(MONTH(Tabela1[[#This Row],[Último pagto ano]])*29,"mmmm")</f>
        <v>outubro</v>
      </c>
    </row>
    <row r="3368" spans="1:9" x14ac:dyDescent="0.25">
      <c r="A3368">
        <v>2025</v>
      </c>
      <c r="B3368" t="s">
        <v>6702</v>
      </c>
      <c r="C3368" s="1">
        <v>45999</v>
      </c>
      <c r="D3368" t="s">
        <v>6703</v>
      </c>
      <c r="E3368">
        <v>209</v>
      </c>
      <c r="G3368" s="3">
        <f>MONTH(Tabela1[[#This Row],[Último pagto ano]])</f>
        <v>12</v>
      </c>
      <c r="H3368" t="str">
        <f>TEXT(Tabela1[[#This Row],[Coluna2]]*29,"mmmm")</f>
        <v>dezembro</v>
      </c>
      <c r="I3368" t="str">
        <f>TEXT(MONTH(Tabela1[[#This Row],[Último pagto ano]])*29,"mmmm")</f>
        <v>dezembro</v>
      </c>
    </row>
    <row r="3369" spans="1:9" x14ac:dyDescent="0.25">
      <c r="A3369">
        <v>2025</v>
      </c>
      <c r="B3369" t="s">
        <v>6704</v>
      </c>
      <c r="C3369" s="1">
        <v>46021</v>
      </c>
      <c r="D3369" t="s">
        <v>6705</v>
      </c>
      <c r="E3369" s="2">
        <v>12505.14</v>
      </c>
      <c r="G3369" s="3">
        <f>MONTH(Tabela1[[#This Row],[Último pagto ano]])</f>
        <v>12</v>
      </c>
      <c r="H3369" t="str">
        <f>TEXT(Tabela1[[#This Row],[Coluna2]]*29,"mmmm")</f>
        <v>dezembro</v>
      </c>
      <c r="I3369" t="str">
        <f>TEXT(MONTH(Tabela1[[#This Row],[Último pagto ano]])*29,"mmmm")</f>
        <v>dezembro</v>
      </c>
    </row>
    <row r="3370" spans="1:9" x14ac:dyDescent="0.25">
      <c r="A3370">
        <v>2025</v>
      </c>
      <c r="B3370" t="s">
        <v>6706</v>
      </c>
      <c r="C3370" s="1">
        <v>45702</v>
      </c>
      <c r="D3370" t="s">
        <v>6707</v>
      </c>
      <c r="E3370">
        <v>48.71</v>
      </c>
      <c r="G3370" s="3">
        <f>MONTH(Tabela1[[#This Row],[Último pagto ano]])</f>
        <v>2</v>
      </c>
      <c r="H3370" t="str">
        <f>TEXT(Tabela1[[#This Row],[Coluna2]]*29,"mmmm")</f>
        <v>fevereiro</v>
      </c>
      <c r="I3370" t="str">
        <f>TEXT(MONTH(Tabela1[[#This Row],[Último pagto ano]])*29,"mmmm")</f>
        <v>fevereiro</v>
      </c>
    </row>
    <row r="3371" spans="1:9" x14ac:dyDescent="0.25">
      <c r="A3371">
        <v>2025</v>
      </c>
      <c r="B3371" t="s">
        <v>6708</v>
      </c>
      <c r="C3371" s="1">
        <v>45996</v>
      </c>
      <c r="D3371" t="s">
        <v>6709</v>
      </c>
      <c r="E3371" s="2">
        <v>9900</v>
      </c>
      <c r="G3371" s="3">
        <f>MONTH(Tabela1[[#This Row],[Último pagto ano]])</f>
        <v>12</v>
      </c>
      <c r="H3371" t="str">
        <f>TEXT(Tabela1[[#This Row],[Coluna2]]*29,"mmmm")</f>
        <v>dezembro</v>
      </c>
      <c r="I3371" t="str">
        <f>TEXT(MONTH(Tabela1[[#This Row],[Último pagto ano]])*29,"mmmm")</f>
        <v>dezembro</v>
      </c>
    </row>
    <row r="3372" spans="1:9" x14ac:dyDescent="0.25">
      <c r="A3372">
        <v>2025</v>
      </c>
      <c r="B3372" t="s">
        <v>6710</v>
      </c>
      <c r="C3372" s="1">
        <v>45812</v>
      </c>
      <c r="D3372" t="s">
        <v>6711</v>
      </c>
      <c r="E3372" s="2">
        <v>1007.01</v>
      </c>
      <c r="G3372" s="3">
        <f>MONTH(Tabela1[[#This Row],[Último pagto ano]])</f>
        <v>6</v>
      </c>
      <c r="H3372" t="str">
        <f>TEXT(Tabela1[[#This Row],[Coluna2]]*29,"mmmm")</f>
        <v>junho</v>
      </c>
      <c r="I3372" t="str">
        <f>TEXT(MONTH(Tabela1[[#This Row],[Último pagto ano]])*29,"mmmm")</f>
        <v>junho</v>
      </c>
    </row>
    <row r="3373" spans="1:9" x14ac:dyDescent="0.25">
      <c r="A3373">
        <v>2025</v>
      </c>
      <c r="B3373" t="s">
        <v>6712</v>
      </c>
      <c r="C3373" s="1">
        <v>45996</v>
      </c>
      <c r="D3373" t="s">
        <v>6713</v>
      </c>
      <c r="E3373" s="2">
        <v>47167.6</v>
      </c>
      <c r="G3373" s="3">
        <f>MONTH(Tabela1[[#This Row],[Último pagto ano]])</f>
        <v>12</v>
      </c>
      <c r="H3373" t="str">
        <f>TEXT(Tabela1[[#This Row],[Coluna2]]*29,"mmmm")</f>
        <v>dezembro</v>
      </c>
      <c r="I3373" t="str">
        <f>TEXT(MONTH(Tabela1[[#This Row],[Último pagto ano]])*29,"mmmm")</f>
        <v>dezembro</v>
      </c>
    </row>
    <row r="3374" spans="1:9" x14ac:dyDescent="0.25">
      <c r="A3374">
        <v>2025</v>
      </c>
      <c r="B3374" t="s">
        <v>6714</v>
      </c>
      <c r="C3374" s="1">
        <v>46006</v>
      </c>
      <c r="D3374" t="s">
        <v>6715</v>
      </c>
      <c r="E3374">
        <v>22</v>
      </c>
      <c r="G3374" s="3">
        <f>MONTH(Tabela1[[#This Row],[Último pagto ano]])</f>
        <v>12</v>
      </c>
      <c r="H3374" t="str">
        <f>TEXT(Tabela1[[#This Row],[Coluna2]]*29,"mmmm")</f>
        <v>dezembro</v>
      </c>
      <c r="I3374" t="str">
        <f>TEXT(MONTH(Tabela1[[#This Row],[Último pagto ano]])*29,"mmmm")</f>
        <v>dezembro</v>
      </c>
    </row>
    <row r="3375" spans="1:9" x14ac:dyDescent="0.25">
      <c r="A3375">
        <v>2025</v>
      </c>
      <c r="B3375" t="s">
        <v>6716</v>
      </c>
      <c r="C3375" s="1">
        <v>45728</v>
      </c>
      <c r="D3375" t="s">
        <v>6717</v>
      </c>
      <c r="E3375">
        <v>22</v>
      </c>
      <c r="G3375" s="3">
        <f>MONTH(Tabela1[[#This Row],[Último pagto ano]])</f>
        <v>3</v>
      </c>
      <c r="H3375" t="str">
        <f>TEXT(Tabela1[[#This Row],[Coluna2]]*29,"mmmm")</f>
        <v>março</v>
      </c>
      <c r="I3375" t="str">
        <f>TEXT(MONTH(Tabela1[[#This Row],[Último pagto ano]])*29,"mmmm")</f>
        <v>março</v>
      </c>
    </row>
    <row r="3376" spans="1:9" x14ac:dyDescent="0.25">
      <c r="A3376">
        <v>2025</v>
      </c>
      <c r="B3376" t="s">
        <v>6718</v>
      </c>
      <c r="C3376" s="1">
        <v>45995</v>
      </c>
      <c r="D3376" t="s">
        <v>6719</v>
      </c>
      <c r="E3376">
        <v>209</v>
      </c>
      <c r="G3376" s="3">
        <f>MONTH(Tabela1[[#This Row],[Último pagto ano]])</f>
        <v>12</v>
      </c>
      <c r="H3376" t="str">
        <f>TEXT(Tabela1[[#This Row],[Coluna2]]*29,"mmmm")</f>
        <v>dezembro</v>
      </c>
      <c r="I3376" t="str">
        <f>TEXT(MONTH(Tabela1[[#This Row],[Último pagto ano]])*29,"mmmm")</f>
        <v>dezembro</v>
      </c>
    </row>
    <row r="3377" spans="1:9" x14ac:dyDescent="0.25">
      <c r="A3377">
        <v>2025</v>
      </c>
      <c r="B3377" t="s">
        <v>6720</v>
      </c>
      <c r="C3377" s="1">
        <v>45873</v>
      </c>
      <c r="D3377" t="s">
        <v>6721</v>
      </c>
      <c r="E3377" s="2">
        <v>10240</v>
      </c>
      <c r="G3377" s="3">
        <f>MONTH(Tabela1[[#This Row],[Último pagto ano]])</f>
        <v>8</v>
      </c>
      <c r="H3377" t="str">
        <f>TEXT(Tabela1[[#This Row],[Coluna2]]*29,"mmmm")</f>
        <v>agosto</v>
      </c>
      <c r="I3377" t="str">
        <f>TEXT(MONTH(Tabela1[[#This Row],[Último pagto ano]])*29,"mmmm")</f>
        <v>agosto</v>
      </c>
    </row>
    <row r="3378" spans="1:9" x14ac:dyDescent="0.25">
      <c r="A3378">
        <v>2025</v>
      </c>
      <c r="B3378" t="s">
        <v>6722</v>
      </c>
      <c r="C3378" s="1">
        <v>45754</v>
      </c>
      <c r="D3378" t="s">
        <v>6723</v>
      </c>
      <c r="E3378">
        <v>11</v>
      </c>
      <c r="G3378" s="3">
        <f>MONTH(Tabela1[[#This Row],[Último pagto ano]])</f>
        <v>4</v>
      </c>
      <c r="H3378" t="str">
        <f>TEXT(Tabela1[[#This Row],[Coluna2]]*29,"mmmm")</f>
        <v>abril</v>
      </c>
      <c r="I3378" t="str">
        <f>TEXT(MONTH(Tabela1[[#This Row],[Último pagto ano]])*29,"mmmm")</f>
        <v>abril</v>
      </c>
    </row>
    <row r="3379" spans="1:9" x14ac:dyDescent="0.25">
      <c r="A3379">
        <v>2025</v>
      </c>
      <c r="B3379" t="s">
        <v>6724</v>
      </c>
      <c r="C3379" s="1">
        <v>45901</v>
      </c>
      <c r="D3379" t="s">
        <v>6725</v>
      </c>
      <c r="E3379">
        <v>231</v>
      </c>
      <c r="G3379" s="3">
        <f>MONTH(Tabela1[[#This Row],[Último pagto ano]])</f>
        <v>9</v>
      </c>
      <c r="H3379" t="str">
        <f>TEXT(Tabela1[[#This Row],[Coluna2]]*29,"mmmm")</f>
        <v>setembro</v>
      </c>
      <c r="I3379" t="str">
        <f>TEXT(MONTH(Tabela1[[#This Row],[Último pagto ano]])*29,"mmmm")</f>
        <v>setembro</v>
      </c>
    </row>
    <row r="3380" spans="1:9" x14ac:dyDescent="0.25">
      <c r="A3380">
        <v>2025</v>
      </c>
      <c r="B3380" t="s">
        <v>6726</v>
      </c>
      <c r="C3380" s="1">
        <v>45985</v>
      </c>
      <c r="D3380" t="s">
        <v>6727</v>
      </c>
      <c r="E3380">
        <v>286</v>
      </c>
      <c r="G3380" s="3">
        <f>MONTH(Tabela1[[#This Row],[Último pagto ano]])</f>
        <v>11</v>
      </c>
      <c r="H3380" t="str">
        <f>TEXT(Tabela1[[#This Row],[Coluna2]]*29,"mmmm")</f>
        <v>novembro</v>
      </c>
      <c r="I3380" t="str">
        <f>TEXT(MONTH(Tabela1[[#This Row],[Último pagto ano]])*29,"mmmm")</f>
        <v>novembro</v>
      </c>
    </row>
    <row r="3381" spans="1:9" x14ac:dyDescent="0.25">
      <c r="A3381">
        <v>2025</v>
      </c>
      <c r="B3381" t="s">
        <v>6728</v>
      </c>
      <c r="C3381" s="1">
        <v>45831</v>
      </c>
      <c r="D3381" t="s">
        <v>6729</v>
      </c>
      <c r="E3381">
        <v>0.66</v>
      </c>
      <c r="G3381" s="3">
        <f>MONTH(Tabela1[[#This Row],[Último pagto ano]])</f>
        <v>6</v>
      </c>
      <c r="H3381" t="str">
        <f>TEXT(Tabela1[[#This Row],[Coluna2]]*29,"mmmm")</f>
        <v>junho</v>
      </c>
      <c r="I3381" t="str">
        <f>TEXT(MONTH(Tabela1[[#This Row],[Último pagto ano]])*29,"mmmm")</f>
        <v>junho</v>
      </c>
    </row>
    <row r="3382" spans="1:9" x14ac:dyDescent="0.25">
      <c r="A3382">
        <v>2025</v>
      </c>
      <c r="B3382" t="s">
        <v>6730</v>
      </c>
      <c r="C3382" s="1">
        <v>45989</v>
      </c>
      <c r="D3382" t="s">
        <v>6731</v>
      </c>
      <c r="E3382" s="2">
        <v>11647.54</v>
      </c>
      <c r="G3382" s="3">
        <f>MONTH(Tabela1[[#This Row],[Último pagto ano]])</f>
        <v>11</v>
      </c>
      <c r="H3382" t="str">
        <f>TEXT(Tabela1[[#This Row],[Coluna2]]*29,"mmmm")</f>
        <v>novembro</v>
      </c>
      <c r="I3382" t="str">
        <f>TEXT(MONTH(Tabela1[[#This Row],[Último pagto ano]])*29,"mmmm")</f>
        <v>novembro</v>
      </c>
    </row>
    <row r="3383" spans="1:9" x14ac:dyDescent="0.25">
      <c r="A3383">
        <v>2025</v>
      </c>
      <c r="B3383" t="s">
        <v>6732</v>
      </c>
      <c r="C3383" s="1">
        <v>45782</v>
      </c>
      <c r="D3383" t="s">
        <v>6733</v>
      </c>
      <c r="E3383">
        <v>121</v>
      </c>
      <c r="G3383" s="3">
        <f>MONTH(Tabela1[[#This Row],[Último pagto ano]])</f>
        <v>5</v>
      </c>
      <c r="H3383" t="str">
        <f>TEXT(Tabela1[[#This Row],[Coluna2]]*29,"mmmm")</f>
        <v>maio</v>
      </c>
      <c r="I3383" t="str">
        <f>TEXT(MONTH(Tabela1[[#This Row],[Último pagto ano]])*29,"mmmm")</f>
        <v>maio</v>
      </c>
    </row>
    <row r="3384" spans="1:9" x14ac:dyDescent="0.25">
      <c r="A3384">
        <v>2025</v>
      </c>
      <c r="B3384" t="s">
        <v>6734</v>
      </c>
      <c r="C3384" s="1">
        <v>46010</v>
      </c>
      <c r="D3384" t="s">
        <v>6735</v>
      </c>
      <c r="E3384" s="2">
        <v>13300</v>
      </c>
      <c r="G3384" s="3">
        <f>MONTH(Tabela1[[#This Row],[Último pagto ano]])</f>
        <v>12</v>
      </c>
      <c r="H3384" t="str">
        <f>TEXT(Tabela1[[#This Row],[Coluna2]]*29,"mmmm")</f>
        <v>dezembro</v>
      </c>
      <c r="I3384" t="str">
        <f>TEXT(MONTH(Tabela1[[#This Row],[Último pagto ano]])*29,"mmmm")</f>
        <v>dezembro</v>
      </c>
    </row>
    <row r="3385" spans="1:9" x14ac:dyDescent="0.25">
      <c r="A3385">
        <v>2025</v>
      </c>
      <c r="B3385" t="s">
        <v>6736</v>
      </c>
      <c r="C3385" s="1">
        <v>45698</v>
      </c>
      <c r="D3385" t="s">
        <v>6737</v>
      </c>
      <c r="E3385">
        <v>750</v>
      </c>
      <c r="G3385" s="3">
        <f>MONTH(Tabela1[[#This Row],[Último pagto ano]])</f>
        <v>2</v>
      </c>
      <c r="H3385" t="str">
        <f>TEXT(Tabela1[[#This Row],[Coluna2]]*29,"mmmm")</f>
        <v>fevereiro</v>
      </c>
      <c r="I3385" t="str">
        <f>TEXT(MONTH(Tabela1[[#This Row],[Último pagto ano]])*29,"mmmm")</f>
        <v>fevereiro</v>
      </c>
    </row>
    <row r="3386" spans="1:9" x14ac:dyDescent="0.25">
      <c r="A3386">
        <v>2025</v>
      </c>
      <c r="B3386" t="s">
        <v>6738</v>
      </c>
      <c r="C3386" s="1">
        <v>45677</v>
      </c>
      <c r="D3386" t="s">
        <v>6739</v>
      </c>
      <c r="E3386" s="2">
        <v>5075.04</v>
      </c>
      <c r="G3386" s="3">
        <f>MONTH(Tabela1[[#This Row],[Último pagto ano]])</f>
        <v>1</v>
      </c>
      <c r="H3386" t="str">
        <f>TEXT(Tabela1[[#This Row],[Coluna2]]*29,"mmmm")</f>
        <v>janeiro</v>
      </c>
      <c r="I3386" t="str">
        <f>TEXT(MONTH(Tabela1[[#This Row],[Último pagto ano]])*29,"mmmm")</f>
        <v>janeiro</v>
      </c>
    </row>
    <row r="3387" spans="1:9" x14ac:dyDescent="0.25">
      <c r="A3387">
        <v>2025</v>
      </c>
      <c r="B3387" t="s">
        <v>6740</v>
      </c>
      <c r="C3387" s="1">
        <v>45709</v>
      </c>
      <c r="D3387" t="s">
        <v>6741</v>
      </c>
      <c r="E3387">
        <v>156.85</v>
      </c>
      <c r="G3387" s="3">
        <f>MONTH(Tabela1[[#This Row],[Último pagto ano]])</f>
        <v>2</v>
      </c>
      <c r="H3387" t="str">
        <f>TEXT(Tabela1[[#This Row],[Coluna2]]*29,"mmmm")</f>
        <v>fevereiro</v>
      </c>
      <c r="I3387" t="str">
        <f>TEXT(MONTH(Tabela1[[#This Row],[Último pagto ano]])*29,"mmmm")</f>
        <v>fevereiro</v>
      </c>
    </row>
    <row r="3388" spans="1:9" x14ac:dyDescent="0.25">
      <c r="A3388">
        <v>2025</v>
      </c>
      <c r="B3388" t="s">
        <v>6742</v>
      </c>
      <c r="C3388" s="1">
        <v>45832</v>
      </c>
      <c r="D3388" t="s">
        <v>6743</v>
      </c>
      <c r="E3388" s="2">
        <v>4200</v>
      </c>
      <c r="G3388" s="3">
        <f>MONTH(Tabela1[[#This Row],[Último pagto ano]])</f>
        <v>6</v>
      </c>
      <c r="H3388" t="str">
        <f>TEXT(Tabela1[[#This Row],[Coluna2]]*29,"mmmm")</f>
        <v>junho</v>
      </c>
      <c r="I3388" t="str">
        <f>TEXT(MONTH(Tabela1[[#This Row],[Último pagto ano]])*29,"mmmm")</f>
        <v>junho</v>
      </c>
    </row>
    <row r="3389" spans="1:9" x14ac:dyDescent="0.25">
      <c r="A3389">
        <v>2025</v>
      </c>
      <c r="B3389" t="s">
        <v>6744</v>
      </c>
      <c r="C3389" s="1">
        <v>45989</v>
      </c>
      <c r="D3389" t="s">
        <v>6745</v>
      </c>
      <c r="E3389" s="2">
        <v>9612.43</v>
      </c>
      <c r="G3389" s="3">
        <f>MONTH(Tabela1[[#This Row],[Último pagto ano]])</f>
        <v>11</v>
      </c>
      <c r="H3389" t="str">
        <f>TEXT(Tabela1[[#This Row],[Coluna2]]*29,"mmmm")</f>
        <v>novembro</v>
      </c>
      <c r="I3389" t="str">
        <f>TEXT(MONTH(Tabela1[[#This Row],[Último pagto ano]])*29,"mmmm")</f>
        <v>novembro</v>
      </c>
    </row>
    <row r="3390" spans="1:9" x14ac:dyDescent="0.25">
      <c r="A3390">
        <v>2025</v>
      </c>
      <c r="B3390" t="s">
        <v>6746</v>
      </c>
      <c r="C3390" s="1">
        <v>45880</v>
      </c>
      <c r="D3390" t="s">
        <v>6747</v>
      </c>
      <c r="E3390">
        <v>33</v>
      </c>
      <c r="G3390" s="3">
        <f>MONTH(Tabela1[[#This Row],[Último pagto ano]])</f>
        <v>8</v>
      </c>
      <c r="H3390" t="str">
        <f>TEXT(Tabela1[[#This Row],[Coluna2]]*29,"mmmm")</f>
        <v>agosto</v>
      </c>
      <c r="I3390" t="str">
        <f>TEXT(MONTH(Tabela1[[#This Row],[Último pagto ano]])*29,"mmmm")</f>
        <v>agosto</v>
      </c>
    </row>
    <row r="3391" spans="1:9" x14ac:dyDescent="0.25">
      <c r="A3391">
        <v>2025</v>
      </c>
      <c r="B3391" t="s">
        <v>6748</v>
      </c>
      <c r="C3391" s="1">
        <v>45988</v>
      </c>
      <c r="D3391" t="s">
        <v>6749</v>
      </c>
      <c r="E3391" s="2">
        <v>3936.6</v>
      </c>
      <c r="G3391" s="3">
        <f>MONTH(Tabela1[[#This Row],[Último pagto ano]])</f>
        <v>11</v>
      </c>
      <c r="H3391" t="str">
        <f>TEXT(Tabela1[[#This Row],[Coluna2]]*29,"mmmm")</f>
        <v>novembro</v>
      </c>
      <c r="I3391" t="str">
        <f>TEXT(MONTH(Tabela1[[#This Row],[Último pagto ano]])*29,"mmmm")</f>
        <v>novembro</v>
      </c>
    </row>
    <row r="3392" spans="1:9" x14ac:dyDescent="0.25">
      <c r="A3392">
        <v>2025</v>
      </c>
      <c r="B3392" t="s">
        <v>6750</v>
      </c>
      <c r="C3392" s="1">
        <v>45810</v>
      </c>
      <c r="D3392" t="s">
        <v>6751</v>
      </c>
      <c r="E3392" s="2">
        <v>5500</v>
      </c>
      <c r="G3392" s="3">
        <f>MONTH(Tabela1[[#This Row],[Último pagto ano]])</f>
        <v>6</v>
      </c>
      <c r="H3392" t="str">
        <f>TEXT(Tabela1[[#This Row],[Coluna2]]*29,"mmmm")</f>
        <v>junho</v>
      </c>
      <c r="I3392" t="str">
        <f>TEXT(MONTH(Tabela1[[#This Row],[Último pagto ano]])*29,"mmmm")</f>
        <v>junho</v>
      </c>
    </row>
    <row r="3393" spans="1:9" x14ac:dyDescent="0.25">
      <c r="A3393">
        <v>2025</v>
      </c>
      <c r="B3393" t="s">
        <v>6752</v>
      </c>
      <c r="C3393" s="1">
        <v>45702</v>
      </c>
      <c r="D3393" t="s">
        <v>6753</v>
      </c>
      <c r="E3393" s="2">
        <v>1288.49</v>
      </c>
      <c r="G3393" s="3">
        <f>MONTH(Tabela1[[#This Row],[Último pagto ano]])</f>
        <v>2</v>
      </c>
      <c r="H3393" t="str">
        <f>TEXT(Tabela1[[#This Row],[Coluna2]]*29,"mmmm")</f>
        <v>fevereiro</v>
      </c>
      <c r="I3393" t="str">
        <f>TEXT(MONTH(Tabela1[[#This Row],[Último pagto ano]])*29,"mmmm")</f>
        <v>fevereiro</v>
      </c>
    </row>
    <row r="3394" spans="1:9" x14ac:dyDescent="0.25">
      <c r="A3394">
        <v>2025</v>
      </c>
      <c r="B3394" t="s">
        <v>6754</v>
      </c>
      <c r="C3394" s="1">
        <v>45742</v>
      </c>
      <c r="D3394" t="s">
        <v>6755</v>
      </c>
      <c r="E3394">
        <v>132.79</v>
      </c>
      <c r="G3394" s="3">
        <f>MONTH(Tabela1[[#This Row],[Último pagto ano]])</f>
        <v>3</v>
      </c>
      <c r="H3394" t="str">
        <f>TEXT(Tabela1[[#This Row],[Coluna2]]*29,"mmmm")</f>
        <v>março</v>
      </c>
      <c r="I3394" t="str">
        <f>TEXT(MONTH(Tabela1[[#This Row],[Último pagto ano]])*29,"mmmm")</f>
        <v>março</v>
      </c>
    </row>
    <row r="3395" spans="1:9" x14ac:dyDescent="0.25">
      <c r="A3395">
        <v>2025</v>
      </c>
      <c r="B3395" t="s">
        <v>6756</v>
      </c>
      <c r="C3395" s="1">
        <v>45855</v>
      </c>
      <c r="D3395" t="s">
        <v>6757</v>
      </c>
      <c r="E3395">
        <v>208.54</v>
      </c>
      <c r="G3395" s="3">
        <f>MONTH(Tabela1[[#This Row],[Último pagto ano]])</f>
        <v>7</v>
      </c>
      <c r="H3395" t="str">
        <f>TEXT(Tabela1[[#This Row],[Coluna2]]*29,"mmmm")</f>
        <v>julho</v>
      </c>
      <c r="I3395" t="str">
        <f>TEXT(MONTH(Tabela1[[#This Row],[Último pagto ano]])*29,"mmmm")</f>
        <v>julho</v>
      </c>
    </row>
    <row r="3396" spans="1:9" x14ac:dyDescent="0.25">
      <c r="A3396">
        <v>2025</v>
      </c>
      <c r="B3396" t="s">
        <v>6758</v>
      </c>
      <c r="C3396" s="1">
        <v>46010</v>
      </c>
      <c r="D3396" t="s">
        <v>6759</v>
      </c>
      <c r="E3396" s="2">
        <v>8510</v>
      </c>
      <c r="G3396" s="3">
        <f>MONTH(Tabela1[[#This Row],[Último pagto ano]])</f>
        <v>12</v>
      </c>
      <c r="H3396" t="str">
        <f>TEXT(Tabela1[[#This Row],[Coluna2]]*29,"mmmm")</f>
        <v>dezembro</v>
      </c>
      <c r="I3396" t="str">
        <f>TEXT(MONTH(Tabela1[[#This Row],[Último pagto ano]])*29,"mmmm")</f>
        <v>dezembro</v>
      </c>
    </row>
    <row r="3397" spans="1:9" x14ac:dyDescent="0.25">
      <c r="A3397">
        <v>2025</v>
      </c>
      <c r="B3397" t="s">
        <v>6760</v>
      </c>
      <c r="C3397" s="1">
        <v>45989</v>
      </c>
      <c r="D3397" t="s">
        <v>6761</v>
      </c>
      <c r="E3397" s="2">
        <v>8088.09</v>
      </c>
      <c r="G3397" s="3">
        <f>MONTH(Tabela1[[#This Row],[Último pagto ano]])</f>
        <v>11</v>
      </c>
      <c r="H3397" t="str">
        <f>TEXT(Tabela1[[#This Row],[Coluna2]]*29,"mmmm")</f>
        <v>novembro</v>
      </c>
      <c r="I3397" t="str">
        <f>TEXT(MONTH(Tabela1[[#This Row],[Último pagto ano]])*29,"mmmm")</f>
        <v>novembro</v>
      </c>
    </row>
    <row r="3398" spans="1:9" x14ac:dyDescent="0.25">
      <c r="A3398">
        <v>2025</v>
      </c>
      <c r="B3398" t="s">
        <v>6762</v>
      </c>
      <c r="C3398" s="1">
        <v>46006</v>
      </c>
      <c r="D3398" t="s">
        <v>6763</v>
      </c>
      <c r="E3398" s="2">
        <v>13556.96</v>
      </c>
      <c r="G3398" s="3">
        <f>MONTH(Tabela1[[#This Row],[Último pagto ano]])</f>
        <v>12</v>
      </c>
      <c r="H3398" t="str">
        <f>TEXT(Tabela1[[#This Row],[Coluna2]]*29,"mmmm")</f>
        <v>dezembro</v>
      </c>
      <c r="I3398" t="str">
        <f>TEXT(MONTH(Tabela1[[#This Row],[Último pagto ano]])*29,"mmmm")</f>
        <v>dezembro</v>
      </c>
    </row>
    <row r="3399" spans="1:9" x14ac:dyDescent="0.25">
      <c r="A3399">
        <v>2025</v>
      </c>
      <c r="B3399" t="s">
        <v>6764</v>
      </c>
      <c r="C3399" s="1">
        <v>46010</v>
      </c>
      <c r="D3399" t="s">
        <v>6765</v>
      </c>
      <c r="E3399" s="2">
        <v>2100</v>
      </c>
      <c r="G3399" s="3">
        <f>MONTH(Tabela1[[#This Row],[Último pagto ano]])</f>
        <v>12</v>
      </c>
      <c r="H3399" t="str">
        <f>TEXT(Tabela1[[#This Row],[Coluna2]]*29,"mmmm")</f>
        <v>dezembro</v>
      </c>
      <c r="I3399" t="str">
        <f>TEXT(MONTH(Tabela1[[#This Row],[Último pagto ano]])*29,"mmmm")</f>
        <v>dezembro</v>
      </c>
    </row>
    <row r="3400" spans="1:9" x14ac:dyDescent="0.25">
      <c r="A3400">
        <v>2025</v>
      </c>
      <c r="B3400" t="s">
        <v>6766</v>
      </c>
      <c r="C3400" s="1">
        <v>45964</v>
      </c>
      <c r="D3400" t="s">
        <v>6767</v>
      </c>
      <c r="E3400">
        <v>132</v>
      </c>
      <c r="G3400" s="3">
        <f>MONTH(Tabela1[[#This Row],[Último pagto ano]])</f>
        <v>11</v>
      </c>
      <c r="H3400" t="str">
        <f>TEXT(Tabela1[[#This Row],[Coluna2]]*29,"mmmm")</f>
        <v>novembro</v>
      </c>
      <c r="I3400" t="str">
        <f>TEXT(MONTH(Tabela1[[#This Row],[Último pagto ano]])*29,"mmmm")</f>
        <v>novembro</v>
      </c>
    </row>
    <row r="3401" spans="1:9" x14ac:dyDescent="0.25">
      <c r="A3401">
        <v>2025</v>
      </c>
      <c r="B3401" t="s">
        <v>6768</v>
      </c>
      <c r="C3401" s="1">
        <v>45852</v>
      </c>
      <c r="D3401" t="s">
        <v>6769</v>
      </c>
      <c r="E3401" s="2">
        <v>143640.94</v>
      </c>
      <c r="G3401" s="3">
        <f>MONTH(Tabela1[[#This Row],[Último pagto ano]])</f>
        <v>7</v>
      </c>
      <c r="H3401" t="str">
        <f>TEXT(Tabela1[[#This Row],[Coluna2]]*29,"mmmm")</f>
        <v>julho</v>
      </c>
      <c r="I3401" t="str">
        <f>TEXT(MONTH(Tabela1[[#This Row],[Último pagto ano]])*29,"mmmm")</f>
        <v>julho</v>
      </c>
    </row>
    <row r="3402" spans="1:9" x14ac:dyDescent="0.25">
      <c r="A3402">
        <v>2025</v>
      </c>
      <c r="B3402" t="s">
        <v>6770</v>
      </c>
      <c r="C3402" s="1">
        <v>45985</v>
      </c>
      <c r="D3402" t="s">
        <v>6771</v>
      </c>
      <c r="E3402">
        <v>176</v>
      </c>
      <c r="G3402" s="3">
        <f>MONTH(Tabela1[[#This Row],[Último pagto ano]])</f>
        <v>11</v>
      </c>
      <c r="H3402" t="str">
        <f>TEXT(Tabela1[[#This Row],[Coluna2]]*29,"mmmm")</f>
        <v>novembro</v>
      </c>
      <c r="I3402" t="str">
        <f>TEXT(MONTH(Tabela1[[#This Row],[Último pagto ano]])*29,"mmmm")</f>
        <v>novembro</v>
      </c>
    </row>
    <row r="3403" spans="1:9" x14ac:dyDescent="0.25">
      <c r="A3403">
        <v>2025</v>
      </c>
      <c r="B3403" t="s">
        <v>6772</v>
      </c>
      <c r="C3403" s="1">
        <v>45672</v>
      </c>
      <c r="D3403" t="s">
        <v>6773</v>
      </c>
      <c r="E3403">
        <v>282.88</v>
      </c>
      <c r="G3403" s="3">
        <f>MONTH(Tabela1[[#This Row],[Último pagto ano]])</f>
        <v>1</v>
      </c>
      <c r="H3403" t="str">
        <f>TEXT(Tabela1[[#This Row],[Coluna2]]*29,"mmmm")</f>
        <v>janeiro</v>
      </c>
      <c r="I3403" t="str">
        <f>TEXT(MONTH(Tabela1[[#This Row],[Último pagto ano]])*29,"mmmm")</f>
        <v>janeiro</v>
      </c>
    </row>
    <row r="3404" spans="1:9" x14ac:dyDescent="0.25">
      <c r="A3404">
        <v>2025</v>
      </c>
      <c r="B3404" t="s">
        <v>6774</v>
      </c>
      <c r="C3404" s="1">
        <v>45989</v>
      </c>
      <c r="D3404" t="s">
        <v>6775</v>
      </c>
      <c r="E3404" s="2">
        <v>11774.97</v>
      </c>
      <c r="G3404" s="3">
        <f>MONTH(Tabela1[[#This Row],[Último pagto ano]])</f>
        <v>11</v>
      </c>
      <c r="H3404" t="str">
        <f>TEXT(Tabela1[[#This Row],[Coluna2]]*29,"mmmm")</f>
        <v>novembro</v>
      </c>
      <c r="I3404" t="str">
        <f>TEXT(MONTH(Tabela1[[#This Row],[Último pagto ano]])*29,"mmmm")</f>
        <v>novembro</v>
      </c>
    </row>
    <row r="3405" spans="1:9" x14ac:dyDescent="0.25">
      <c r="A3405">
        <v>2025</v>
      </c>
      <c r="B3405" t="s">
        <v>6776</v>
      </c>
      <c r="C3405" s="1">
        <v>46010</v>
      </c>
      <c r="D3405" t="s">
        <v>6777</v>
      </c>
      <c r="E3405" s="2">
        <v>10300</v>
      </c>
      <c r="G3405" s="3">
        <f>MONTH(Tabela1[[#This Row],[Último pagto ano]])</f>
        <v>12</v>
      </c>
      <c r="H3405" t="str">
        <f>TEXT(Tabela1[[#This Row],[Coluna2]]*29,"mmmm")</f>
        <v>dezembro</v>
      </c>
      <c r="I3405" t="str">
        <f>TEXT(MONTH(Tabela1[[#This Row],[Último pagto ano]])*29,"mmmm")</f>
        <v>dezembro</v>
      </c>
    </row>
    <row r="3406" spans="1:9" x14ac:dyDescent="0.25">
      <c r="A3406">
        <v>2025</v>
      </c>
      <c r="B3406" t="s">
        <v>6778</v>
      </c>
      <c r="C3406" s="1">
        <v>45989</v>
      </c>
      <c r="D3406" t="s">
        <v>6779</v>
      </c>
      <c r="E3406" s="2">
        <v>6932.56</v>
      </c>
      <c r="G3406" s="3">
        <f>MONTH(Tabela1[[#This Row],[Último pagto ano]])</f>
        <v>11</v>
      </c>
      <c r="H3406" t="str">
        <f>TEXT(Tabela1[[#This Row],[Coluna2]]*29,"mmmm")</f>
        <v>novembro</v>
      </c>
      <c r="I3406" t="str">
        <f>TEXT(MONTH(Tabela1[[#This Row],[Último pagto ano]])*29,"mmmm")</f>
        <v>novembro</v>
      </c>
    </row>
    <row r="3407" spans="1:9" x14ac:dyDescent="0.25">
      <c r="A3407">
        <v>2025</v>
      </c>
      <c r="B3407" t="s">
        <v>6780</v>
      </c>
      <c r="C3407" s="1">
        <v>45995</v>
      </c>
      <c r="D3407" t="s">
        <v>6781</v>
      </c>
      <c r="E3407">
        <v>198</v>
      </c>
      <c r="G3407" s="3">
        <f>MONTH(Tabela1[[#This Row],[Último pagto ano]])</f>
        <v>12</v>
      </c>
      <c r="H3407" t="str">
        <f>TEXT(Tabela1[[#This Row],[Coluna2]]*29,"mmmm")</f>
        <v>dezembro</v>
      </c>
      <c r="I3407" t="str">
        <f>TEXT(MONTH(Tabela1[[#This Row],[Último pagto ano]])*29,"mmmm")</f>
        <v>dezembro</v>
      </c>
    </row>
    <row r="3408" spans="1:9" x14ac:dyDescent="0.25">
      <c r="A3408">
        <v>2025</v>
      </c>
      <c r="B3408" t="s">
        <v>6782</v>
      </c>
      <c r="C3408" s="1">
        <v>46013</v>
      </c>
      <c r="D3408" t="s">
        <v>6783</v>
      </c>
      <c r="E3408">
        <v>842.4</v>
      </c>
      <c r="G3408" s="3">
        <f>MONTH(Tabela1[[#This Row],[Último pagto ano]])</f>
        <v>12</v>
      </c>
      <c r="H3408" t="str">
        <f>TEXT(Tabela1[[#This Row],[Coluna2]]*29,"mmmm")</f>
        <v>dezembro</v>
      </c>
      <c r="I3408" t="str">
        <f>TEXT(MONTH(Tabela1[[#This Row],[Último pagto ano]])*29,"mmmm")</f>
        <v>dezembro</v>
      </c>
    </row>
    <row r="3409" spans="1:9" x14ac:dyDescent="0.25">
      <c r="A3409">
        <v>2025</v>
      </c>
      <c r="B3409" t="s">
        <v>6784</v>
      </c>
      <c r="C3409" s="1">
        <v>46006</v>
      </c>
      <c r="D3409" t="s">
        <v>6785</v>
      </c>
      <c r="E3409" s="2">
        <v>5182.8</v>
      </c>
      <c r="G3409" s="3">
        <f>MONTH(Tabela1[[#This Row],[Último pagto ano]])</f>
        <v>12</v>
      </c>
      <c r="H3409" t="str">
        <f>TEXT(Tabela1[[#This Row],[Coluna2]]*29,"mmmm")</f>
        <v>dezembro</v>
      </c>
      <c r="I3409" t="str">
        <f>TEXT(MONTH(Tabela1[[#This Row],[Último pagto ano]])*29,"mmmm")</f>
        <v>dezembro</v>
      </c>
    </row>
    <row r="3410" spans="1:9" x14ac:dyDescent="0.25">
      <c r="A3410">
        <v>2025</v>
      </c>
      <c r="B3410" t="s">
        <v>6786</v>
      </c>
      <c r="C3410" s="1">
        <v>45989</v>
      </c>
      <c r="D3410" t="s">
        <v>6787</v>
      </c>
      <c r="E3410" s="2">
        <v>10600.91</v>
      </c>
      <c r="G3410" s="3">
        <f>MONTH(Tabela1[[#This Row],[Último pagto ano]])</f>
        <v>11</v>
      </c>
      <c r="H3410" t="str">
        <f>TEXT(Tabela1[[#This Row],[Coluna2]]*29,"mmmm")</f>
        <v>novembro</v>
      </c>
      <c r="I3410" t="str">
        <f>TEXT(MONTH(Tabela1[[#This Row],[Último pagto ano]])*29,"mmmm")</f>
        <v>novembro</v>
      </c>
    </row>
    <row r="3411" spans="1:9" x14ac:dyDescent="0.25">
      <c r="A3411">
        <v>2025</v>
      </c>
      <c r="B3411" t="s">
        <v>6788</v>
      </c>
      <c r="C3411" s="1">
        <v>45884</v>
      </c>
      <c r="D3411" t="s">
        <v>6789</v>
      </c>
      <c r="E3411" s="2">
        <v>4442.3999999999996</v>
      </c>
      <c r="G3411" s="3">
        <f>MONTH(Tabela1[[#This Row],[Último pagto ano]])</f>
        <v>8</v>
      </c>
      <c r="H3411" t="str">
        <f>TEXT(Tabela1[[#This Row],[Coluna2]]*29,"mmmm")</f>
        <v>agosto</v>
      </c>
      <c r="I3411" t="str">
        <f>TEXT(MONTH(Tabela1[[#This Row],[Último pagto ano]])*29,"mmmm")</f>
        <v>agosto</v>
      </c>
    </row>
    <row r="3412" spans="1:9" x14ac:dyDescent="0.25">
      <c r="A3412">
        <v>2025</v>
      </c>
      <c r="B3412" t="s">
        <v>6790</v>
      </c>
      <c r="C3412" s="1">
        <v>45903</v>
      </c>
      <c r="D3412" t="s">
        <v>6791</v>
      </c>
      <c r="E3412" s="2">
        <v>16200</v>
      </c>
      <c r="G3412" s="3">
        <f>MONTH(Tabela1[[#This Row],[Último pagto ano]])</f>
        <v>9</v>
      </c>
      <c r="H3412" t="str">
        <f>TEXT(Tabela1[[#This Row],[Coluna2]]*29,"mmmm")</f>
        <v>setembro</v>
      </c>
      <c r="I3412" t="str">
        <f>TEXT(MONTH(Tabela1[[#This Row],[Último pagto ano]])*29,"mmmm")</f>
        <v>setembro</v>
      </c>
    </row>
    <row r="3413" spans="1:9" x14ac:dyDescent="0.25">
      <c r="A3413">
        <v>2025</v>
      </c>
      <c r="B3413" t="s">
        <v>6792</v>
      </c>
      <c r="C3413" s="1">
        <v>45950</v>
      </c>
      <c r="D3413" t="s">
        <v>6793</v>
      </c>
      <c r="E3413" s="2">
        <v>502078.05</v>
      </c>
      <c r="G3413" s="3">
        <f>MONTH(Tabela1[[#This Row],[Último pagto ano]])</f>
        <v>10</v>
      </c>
      <c r="H3413" t="str">
        <f>TEXT(Tabela1[[#This Row],[Coluna2]]*29,"mmmm")</f>
        <v>outubro</v>
      </c>
      <c r="I3413" t="str">
        <f>TEXT(MONTH(Tabela1[[#This Row],[Último pagto ano]])*29,"mmmm")</f>
        <v>outubro</v>
      </c>
    </row>
    <row r="3414" spans="1:9" x14ac:dyDescent="0.25">
      <c r="A3414">
        <v>2025</v>
      </c>
      <c r="B3414" t="s">
        <v>6794</v>
      </c>
      <c r="C3414" s="1">
        <v>45796</v>
      </c>
      <c r="D3414" t="s">
        <v>6795</v>
      </c>
      <c r="E3414">
        <v>44</v>
      </c>
      <c r="G3414" s="3">
        <f>MONTH(Tabela1[[#This Row],[Último pagto ano]])</f>
        <v>5</v>
      </c>
      <c r="H3414" t="str">
        <f>TEXT(Tabela1[[#This Row],[Coluna2]]*29,"mmmm")</f>
        <v>maio</v>
      </c>
      <c r="I3414" t="str">
        <f>TEXT(MONTH(Tabela1[[#This Row],[Último pagto ano]])*29,"mmmm")</f>
        <v>maio</v>
      </c>
    </row>
    <row r="3415" spans="1:9" x14ac:dyDescent="0.25">
      <c r="A3415">
        <v>2025</v>
      </c>
      <c r="B3415" t="s">
        <v>6796</v>
      </c>
      <c r="C3415" s="1">
        <v>45705</v>
      </c>
      <c r="D3415" t="s">
        <v>6797</v>
      </c>
      <c r="E3415">
        <v>11</v>
      </c>
      <c r="G3415" s="3">
        <f>MONTH(Tabela1[[#This Row],[Último pagto ano]])</f>
        <v>2</v>
      </c>
      <c r="H3415" t="str">
        <f>TEXT(Tabela1[[#This Row],[Coluna2]]*29,"mmmm")</f>
        <v>fevereiro</v>
      </c>
      <c r="I3415" t="str">
        <f>TEXT(MONTH(Tabela1[[#This Row],[Último pagto ano]])*29,"mmmm")</f>
        <v>fevereiro</v>
      </c>
    </row>
    <row r="3416" spans="1:9" x14ac:dyDescent="0.25">
      <c r="A3416">
        <v>2025</v>
      </c>
      <c r="B3416" t="s">
        <v>6798</v>
      </c>
      <c r="C3416" s="1">
        <v>45832</v>
      </c>
      <c r="D3416" t="s">
        <v>6799</v>
      </c>
      <c r="E3416" s="2">
        <v>100000</v>
      </c>
      <c r="G3416" s="3">
        <f>MONTH(Tabela1[[#This Row],[Último pagto ano]])</f>
        <v>6</v>
      </c>
      <c r="H3416" t="str">
        <f>TEXT(Tabela1[[#This Row],[Coluna2]]*29,"mmmm")</f>
        <v>junho</v>
      </c>
      <c r="I3416" t="str">
        <f>TEXT(MONTH(Tabela1[[#This Row],[Último pagto ano]])*29,"mmmm")</f>
        <v>junho</v>
      </c>
    </row>
    <row r="3417" spans="1:9" x14ac:dyDescent="0.25">
      <c r="A3417">
        <v>2025</v>
      </c>
      <c r="B3417" t="s">
        <v>6800</v>
      </c>
      <c r="C3417" s="1">
        <v>45812</v>
      </c>
      <c r="D3417" t="s">
        <v>6801</v>
      </c>
      <c r="E3417" s="2">
        <v>6169.84</v>
      </c>
      <c r="G3417" s="3">
        <f>MONTH(Tabela1[[#This Row],[Último pagto ano]])</f>
        <v>6</v>
      </c>
      <c r="H3417" t="str">
        <f>TEXT(Tabela1[[#This Row],[Coluna2]]*29,"mmmm")</f>
        <v>junho</v>
      </c>
      <c r="I3417" t="str">
        <f>TEXT(MONTH(Tabela1[[#This Row],[Último pagto ano]])*29,"mmmm")</f>
        <v>junho</v>
      </c>
    </row>
    <row r="3418" spans="1:9" x14ac:dyDescent="0.25">
      <c r="A3418">
        <v>2025</v>
      </c>
      <c r="B3418" t="s">
        <v>6802</v>
      </c>
      <c r="C3418" s="1">
        <v>45985</v>
      </c>
      <c r="D3418" t="s">
        <v>6803</v>
      </c>
      <c r="E3418" s="2">
        <v>9904.4599999999991</v>
      </c>
      <c r="G3418" s="3">
        <f>MONTH(Tabela1[[#This Row],[Último pagto ano]])</f>
        <v>11</v>
      </c>
      <c r="H3418" t="str">
        <f>TEXT(Tabela1[[#This Row],[Coluna2]]*29,"mmmm")</f>
        <v>novembro</v>
      </c>
      <c r="I3418" t="str">
        <f>TEXT(MONTH(Tabela1[[#This Row],[Último pagto ano]])*29,"mmmm")</f>
        <v>novembro</v>
      </c>
    </row>
    <row r="3419" spans="1:9" x14ac:dyDescent="0.25">
      <c r="A3419">
        <v>2025</v>
      </c>
      <c r="B3419" t="s">
        <v>6804</v>
      </c>
      <c r="C3419" s="1">
        <v>45772</v>
      </c>
      <c r="D3419" t="s">
        <v>6805</v>
      </c>
      <c r="E3419" s="2">
        <v>18300</v>
      </c>
      <c r="G3419" s="3">
        <f>MONTH(Tabela1[[#This Row],[Último pagto ano]])</f>
        <v>4</v>
      </c>
      <c r="H3419" t="str">
        <f>TEXT(Tabela1[[#This Row],[Coluna2]]*29,"mmmm")</f>
        <v>abril</v>
      </c>
      <c r="I3419" t="str">
        <f>TEXT(MONTH(Tabela1[[#This Row],[Último pagto ano]])*29,"mmmm")</f>
        <v>abril</v>
      </c>
    </row>
    <row r="3420" spans="1:9" x14ac:dyDescent="0.25">
      <c r="A3420">
        <v>2025</v>
      </c>
      <c r="B3420" t="s">
        <v>6806</v>
      </c>
      <c r="C3420" s="1">
        <v>46014</v>
      </c>
      <c r="D3420" t="s">
        <v>6807</v>
      </c>
      <c r="E3420" s="2">
        <v>3448904.11</v>
      </c>
      <c r="G3420" s="3">
        <f>MONTH(Tabela1[[#This Row],[Último pagto ano]])</f>
        <v>12</v>
      </c>
      <c r="H3420" t="str">
        <f>TEXT(Tabela1[[#This Row],[Coluna2]]*29,"mmmm")</f>
        <v>dezembro</v>
      </c>
      <c r="I3420" t="str">
        <f>TEXT(MONTH(Tabela1[[#This Row],[Último pagto ano]])*29,"mmmm")</f>
        <v>dezembro</v>
      </c>
    </row>
    <row r="3421" spans="1:9" x14ac:dyDescent="0.25">
      <c r="A3421">
        <v>2025</v>
      </c>
      <c r="B3421" t="s">
        <v>6808</v>
      </c>
      <c r="C3421" s="1">
        <v>46007</v>
      </c>
      <c r="D3421" t="s">
        <v>6809</v>
      </c>
      <c r="E3421" s="2">
        <v>336268.64</v>
      </c>
      <c r="G3421" s="3">
        <f>MONTH(Tabela1[[#This Row],[Último pagto ano]])</f>
        <v>12</v>
      </c>
      <c r="H3421" t="str">
        <f>TEXT(Tabela1[[#This Row],[Coluna2]]*29,"mmmm")</f>
        <v>dezembro</v>
      </c>
      <c r="I3421" t="str">
        <f>TEXT(MONTH(Tabela1[[#This Row],[Último pagto ano]])*29,"mmmm")</f>
        <v>dezembro</v>
      </c>
    </row>
    <row r="3422" spans="1:9" x14ac:dyDescent="0.25">
      <c r="A3422">
        <v>2025</v>
      </c>
      <c r="B3422" t="s">
        <v>6810</v>
      </c>
      <c r="C3422" s="1">
        <v>45792</v>
      </c>
      <c r="D3422" t="s">
        <v>6811</v>
      </c>
      <c r="E3422" s="2">
        <v>4056</v>
      </c>
      <c r="G3422" s="3">
        <f>MONTH(Tabela1[[#This Row],[Último pagto ano]])</f>
        <v>5</v>
      </c>
      <c r="H3422" t="str">
        <f>TEXT(Tabela1[[#This Row],[Coluna2]]*29,"mmmm")</f>
        <v>maio</v>
      </c>
      <c r="I3422" t="str">
        <f>TEXT(MONTH(Tabela1[[#This Row],[Último pagto ano]])*29,"mmmm")</f>
        <v>maio</v>
      </c>
    </row>
    <row r="3423" spans="1:9" x14ac:dyDescent="0.25">
      <c r="A3423">
        <v>2025</v>
      </c>
      <c r="B3423" t="s">
        <v>6812</v>
      </c>
      <c r="C3423" s="1">
        <v>45968</v>
      </c>
      <c r="D3423" t="s">
        <v>6813</v>
      </c>
      <c r="E3423" s="2">
        <v>36004.730000000003</v>
      </c>
      <c r="G3423" s="3">
        <f>MONTH(Tabela1[[#This Row],[Último pagto ano]])</f>
        <v>11</v>
      </c>
      <c r="H3423" t="str">
        <f>TEXT(Tabela1[[#This Row],[Coluna2]]*29,"mmmm")</f>
        <v>novembro</v>
      </c>
      <c r="I3423" t="str">
        <f>TEXT(MONTH(Tabela1[[#This Row],[Último pagto ano]])*29,"mmmm")</f>
        <v>novembro</v>
      </c>
    </row>
    <row r="3424" spans="1:9" x14ac:dyDescent="0.25">
      <c r="A3424">
        <v>2025</v>
      </c>
      <c r="B3424" t="s">
        <v>6814</v>
      </c>
      <c r="C3424" s="1">
        <v>45959</v>
      </c>
      <c r="D3424" t="s">
        <v>6815</v>
      </c>
      <c r="E3424" s="2">
        <v>4555.2</v>
      </c>
      <c r="G3424" s="3">
        <f>MONTH(Tabela1[[#This Row],[Último pagto ano]])</f>
        <v>10</v>
      </c>
      <c r="H3424" t="str">
        <f>TEXT(Tabela1[[#This Row],[Coluna2]]*29,"mmmm")</f>
        <v>outubro</v>
      </c>
      <c r="I3424" t="str">
        <f>TEXT(MONTH(Tabela1[[#This Row],[Último pagto ano]])*29,"mmmm")</f>
        <v>outubro</v>
      </c>
    </row>
    <row r="3425" spans="1:9" x14ac:dyDescent="0.25">
      <c r="A3425">
        <v>2025</v>
      </c>
      <c r="B3425" t="s">
        <v>6816</v>
      </c>
      <c r="C3425" s="1">
        <v>46006</v>
      </c>
      <c r="D3425" t="s">
        <v>6817</v>
      </c>
      <c r="E3425" s="2">
        <v>1000</v>
      </c>
      <c r="G3425" s="3">
        <f>MONTH(Tabela1[[#This Row],[Último pagto ano]])</f>
        <v>12</v>
      </c>
      <c r="H3425" t="str">
        <f>TEXT(Tabela1[[#This Row],[Coluna2]]*29,"mmmm")</f>
        <v>dezembro</v>
      </c>
      <c r="I3425" t="str">
        <f>TEXT(MONTH(Tabela1[[#This Row],[Último pagto ano]])*29,"mmmm")</f>
        <v>dezembro</v>
      </c>
    </row>
    <row r="3426" spans="1:9" x14ac:dyDescent="0.25">
      <c r="A3426">
        <v>2025</v>
      </c>
      <c r="B3426" t="s">
        <v>6818</v>
      </c>
      <c r="C3426" s="1">
        <v>46021</v>
      </c>
      <c r="D3426" t="s">
        <v>6819</v>
      </c>
      <c r="E3426" s="2">
        <v>12146.84</v>
      </c>
      <c r="G3426" s="3">
        <f>MONTH(Tabela1[[#This Row],[Último pagto ano]])</f>
        <v>12</v>
      </c>
      <c r="H3426" t="str">
        <f>TEXT(Tabela1[[#This Row],[Coluna2]]*29,"mmmm")</f>
        <v>dezembro</v>
      </c>
      <c r="I3426" t="str">
        <f>TEXT(MONTH(Tabela1[[#This Row],[Último pagto ano]])*29,"mmmm")</f>
        <v>dezembro</v>
      </c>
    </row>
    <row r="3427" spans="1:9" x14ac:dyDescent="0.25">
      <c r="A3427">
        <v>2025</v>
      </c>
      <c r="B3427" t="s">
        <v>6820</v>
      </c>
      <c r="C3427" s="1">
        <v>46014</v>
      </c>
      <c r="D3427" t="s">
        <v>6821</v>
      </c>
      <c r="E3427">
        <v>154</v>
      </c>
      <c r="G3427" s="3">
        <f>MONTH(Tabela1[[#This Row],[Último pagto ano]])</f>
        <v>12</v>
      </c>
      <c r="H3427" t="str">
        <f>TEXT(Tabela1[[#This Row],[Coluna2]]*29,"mmmm")</f>
        <v>dezembro</v>
      </c>
      <c r="I3427" t="str">
        <f>TEXT(MONTH(Tabela1[[#This Row],[Último pagto ano]])*29,"mmmm")</f>
        <v>dezembro</v>
      </c>
    </row>
    <row r="3428" spans="1:9" x14ac:dyDescent="0.25">
      <c r="A3428">
        <v>2025</v>
      </c>
      <c r="B3428" t="s">
        <v>6822</v>
      </c>
      <c r="C3428" s="1">
        <v>45964</v>
      </c>
      <c r="D3428" t="s">
        <v>6823</v>
      </c>
      <c r="E3428" s="2">
        <v>1854</v>
      </c>
      <c r="G3428" s="3">
        <f>MONTH(Tabela1[[#This Row],[Último pagto ano]])</f>
        <v>11</v>
      </c>
      <c r="H3428" t="str">
        <f>TEXT(Tabela1[[#This Row],[Coluna2]]*29,"mmmm")</f>
        <v>novembro</v>
      </c>
      <c r="I3428" t="str">
        <f>TEXT(MONTH(Tabela1[[#This Row],[Último pagto ano]])*29,"mmmm")</f>
        <v>novembro</v>
      </c>
    </row>
    <row r="3429" spans="1:9" x14ac:dyDescent="0.25">
      <c r="A3429">
        <v>2025</v>
      </c>
      <c r="B3429" t="s">
        <v>6824</v>
      </c>
      <c r="C3429" s="1">
        <v>46010</v>
      </c>
      <c r="D3429" t="s">
        <v>6825</v>
      </c>
      <c r="E3429" s="2">
        <v>12000</v>
      </c>
      <c r="G3429" s="3">
        <f>MONTH(Tabela1[[#This Row],[Último pagto ano]])</f>
        <v>12</v>
      </c>
      <c r="H3429" t="str">
        <f>TEXT(Tabela1[[#This Row],[Coluna2]]*29,"mmmm")</f>
        <v>dezembro</v>
      </c>
      <c r="I3429" t="str">
        <f>TEXT(MONTH(Tabela1[[#This Row],[Último pagto ano]])*29,"mmmm")</f>
        <v>dezembro</v>
      </c>
    </row>
    <row r="3430" spans="1:9" x14ac:dyDescent="0.25">
      <c r="A3430">
        <v>2025</v>
      </c>
      <c r="B3430" t="s">
        <v>6826</v>
      </c>
      <c r="C3430" s="1">
        <v>45691</v>
      </c>
      <c r="D3430" t="s">
        <v>6827</v>
      </c>
      <c r="E3430">
        <v>88</v>
      </c>
      <c r="G3430" s="3">
        <f>MONTH(Tabela1[[#This Row],[Último pagto ano]])</f>
        <v>2</v>
      </c>
      <c r="H3430" t="str">
        <f>TEXT(Tabela1[[#This Row],[Coluna2]]*29,"mmmm")</f>
        <v>fevereiro</v>
      </c>
      <c r="I3430" t="str">
        <f>TEXT(MONTH(Tabela1[[#This Row],[Último pagto ano]])*29,"mmmm")</f>
        <v>fevereiro</v>
      </c>
    </row>
    <row r="3431" spans="1:9" x14ac:dyDescent="0.25">
      <c r="A3431">
        <v>2025</v>
      </c>
      <c r="B3431" t="s">
        <v>6828</v>
      </c>
      <c r="C3431" s="1">
        <v>46010</v>
      </c>
      <c r="D3431" t="s">
        <v>6829</v>
      </c>
      <c r="E3431" s="2">
        <v>12000</v>
      </c>
      <c r="G3431" s="3">
        <f>MONTH(Tabela1[[#This Row],[Último pagto ano]])</f>
        <v>12</v>
      </c>
      <c r="H3431" t="str">
        <f>TEXT(Tabela1[[#This Row],[Coluna2]]*29,"mmmm")</f>
        <v>dezembro</v>
      </c>
      <c r="I3431" t="str">
        <f>TEXT(MONTH(Tabela1[[#This Row],[Último pagto ano]])*29,"mmmm")</f>
        <v>dezembro</v>
      </c>
    </row>
    <row r="3432" spans="1:9" x14ac:dyDescent="0.25">
      <c r="A3432">
        <v>2025</v>
      </c>
      <c r="B3432" t="s">
        <v>6830</v>
      </c>
      <c r="C3432" s="1">
        <v>45937</v>
      </c>
      <c r="D3432" t="s">
        <v>6831</v>
      </c>
      <c r="E3432" s="2">
        <v>33086</v>
      </c>
      <c r="G3432" s="3">
        <f>MONTH(Tabela1[[#This Row],[Último pagto ano]])</f>
        <v>10</v>
      </c>
      <c r="H3432" t="str">
        <f>TEXT(Tabela1[[#This Row],[Coluna2]]*29,"mmmm")</f>
        <v>outubro</v>
      </c>
      <c r="I3432" t="str">
        <f>TEXT(MONTH(Tabela1[[#This Row],[Último pagto ano]])*29,"mmmm")</f>
        <v>outubro</v>
      </c>
    </row>
    <row r="3433" spans="1:9" x14ac:dyDescent="0.25">
      <c r="A3433">
        <v>2025</v>
      </c>
      <c r="B3433" t="s">
        <v>6832</v>
      </c>
      <c r="C3433" s="1">
        <v>45996</v>
      </c>
      <c r="D3433" t="s">
        <v>6833</v>
      </c>
      <c r="E3433" s="2">
        <v>2000</v>
      </c>
      <c r="G3433" s="3">
        <f>MONTH(Tabela1[[#This Row],[Último pagto ano]])</f>
        <v>12</v>
      </c>
      <c r="H3433" t="str">
        <f>TEXT(Tabela1[[#This Row],[Coluna2]]*29,"mmmm")</f>
        <v>dezembro</v>
      </c>
      <c r="I3433" t="str">
        <f>TEXT(MONTH(Tabela1[[#This Row],[Último pagto ano]])*29,"mmmm")</f>
        <v>dezembro</v>
      </c>
    </row>
    <row r="3434" spans="1:9" x14ac:dyDescent="0.25">
      <c r="A3434">
        <v>2025</v>
      </c>
      <c r="B3434" t="s">
        <v>6834</v>
      </c>
      <c r="C3434" s="1">
        <v>45930</v>
      </c>
      <c r="D3434" t="s">
        <v>6835</v>
      </c>
      <c r="E3434" s="2">
        <v>7077.19</v>
      </c>
      <c r="G3434" s="3">
        <f>MONTH(Tabela1[[#This Row],[Último pagto ano]])</f>
        <v>9</v>
      </c>
      <c r="H3434" t="str">
        <f>TEXT(Tabela1[[#This Row],[Coluna2]]*29,"mmmm")</f>
        <v>setembro</v>
      </c>
      <c r="I3434" t="str">
        <f>TEXT(MONTH(Tabela1[[#This Row],[Último pagto ano]])*29,"mmmm")</f>
        <v>setembro</v>
      </c>
    </row>
    <row r="3435" spans="1:9" x14ac:dyDescent="0.25">
      <c r="A3435">
        <v>2025</v>
      </c>
      <c r="B3435" t="s">
        <v>6836</v>
      </c>
      <c r="C3435" s="1">
        <v>45989</v>
      </c>
      <c r="D3435" t="s">
        <v>6837</v>
      </c>
      <c r="E3435" s="2">
        <v>11746.27</v>
      </c>
      <c r="G3435" s="3">
        <f>MONTH(Tabela1[[#This Row],[Último pagto ano]])</f>
        <v>11</v>
      </c>
      <c r="H3435" t="str">
        <f>TEXT(Tabela1[[#This Row],[Coluna2]]*29,"mmmm")</f>
        <v>novembro</v>
      </c>
      <c r="I3435" t="str">
        <f>TEXT(MONTH(Tabela1[[#This Row],[Último pagto ano]])*29,"mmmm")</f>
        <v>novembro</v>
      </c>
    </row>
    <row r="3436" spans="1:9" x14ac:dyDescent="0.25">
      <c r="A3436">
        <v>2025</v>
      </c>
      <c r="B3436" t="s">
        <v>6838</v>
      </c>
      <c r="C3436" s="1">
        <v>45894</v>
      </c>
      <c r="D3436" t="s">
        <v>6839</v>
      </c>
      <c r="E3436">
        <v>44</v>
      </c>
      <c r="G3436" s="3">
        <f>MONTH(Tabela1[[#This Row],[Último pagto ano]])</f>
        <v>8</v>
      </c>
      <c r="H3436" t="str">
        <f>TEXT(Tabela1[[#This Row],[Coluna2]]*29,"mmmm")</f>
        <v>agosto</v>
      </c>
      <c r="I3436" t="str">
        <f>TEXT(MONTH(Tabela1[[#This Row],[Último pagto ano]])*29,"mmmm")</f>
        <v>agosto</v>
      </c>
    </row>
    <row r="3437" spans="1:9" x14ac:dyDescent="0.25">
      <c r="A3437">
        <v>2025</v>
      </c>
      <c r="B3437" t="s">
        <v>6840</v>
      </c>
      <c r="C3437" s="1">
        <v>46014</v>
      </c>
      <c r="D3437" t="s">
        <v>6841</v>
      </c>
      <c r="E3437" s="2">
        <v>5605</v>
      </c>
      <c r="G3437" s="3">
        <f>MONTH(Tabela1[[#This Row],[Último pagto ano]])</f>
        <v>12</v>
      </c>
      <c r="H3437" t="str">
        <f>TEXT(Tabela1[[#This Row],[Coluna2]]*29,"mmmm")</f>
        <v>dezembro</v>
      </c>
      <c r="I3437" t="str">
        <f>TEXT(MONTH(Tabela1[[#This Row],[Último pagto ano]])*29,"mmmm")</f>
        <v>dezembro</v>
      </c>
    </row>
    <row r="3438" spans="1:9" x14ac:dyDescent="0.25">
      <c r="A3438">
        <v>2025</v>
      </c>
      <c r="B3438" t="s">
        <v>6842</v>
      </c>
      <c r="C3438" s="1">
        <v>45852</v>
      </c>
      <c r="D3438" t="s">
        <v>6843</v>
      </c>
      <c r="E3438">
        <v>66</v>
      </c>
      <c r="G3438" s="3">
        <f>MONTH(Tabela1[[#This Row],[Último pagto ano]])</f>
        <v>7</v>
      </c>
      <c r="H3438" t="str">
        <f>TEXT(Tabela1[[#This Row],[Coluna2]]*29,"mmmm")</f>
        <v>julho</v>
      </c>
      <c r="I3438" t="str">
        <f>TEXT(MONTH(Tabela1[[#This Row],[Último pagto ano]])*29,"mmmm")</f>
        <v>julho</v>
      </c>
    </row>
    <row r="3439" spans="1:9" x14ac:dyDescent="0.25">
      <c r="A3439">
        <v>2025</v>
      </c>
      <c r="B3439" t="s">
        <v>6844</v>
      </c>
      <c r="C3439" s="1">
        <v>46010</v>
      </c>
      <c r="D3439" t="s">
        <v>6845</v>
      </c>
      <c r="E3439" s="2">
        <v>24000</v>
      </c>
      <c r="G3439" s="3">
        <f>MONTH(Tabela1[[#This Row],[Último pagto ano]])</f>
        <v>12</v>
      </c>
      <c r="H3439" t="str">
        <f>TEXT(Tabela1[[#This Row],[Coluna2]]*29,"mmmm")</f>
        <v>dezembro</v>
      </c>
      <c r="I3439" t="str">
        <f>TEXT(MONTH(Tabela1[[#This Row],[Último pagto ano]])*29,"mmmm")</f>
        <v>dezembro</v>
      </c>
    </row>
    <row r="3440" spans="1:9" x14ac:dyDescent="0.25">
      <c r="A3440">
        <v>2025</v>
      </c>
      <c r="B3440" t="s">
        <v>6846</v>
      </c>
      <c r="C3440" s="1">
        <v>45712</v>
      </c>
      <c r="D3440" t="s">
        <v>6847</v>
      </c>
      <c r="E3440">
        <v>292.91000000000003</v>
      </c>
      <c r="G3440" s="3">
        <f>MONTH(Tabela1[[#This Row],[Último pagto ano]])</f>
        <v>2</v>
      </c>
      <c r="H3440" t="str">
        <f>TEXT(Tabela1[[#This Row],[Coluna2]]*29,"mmmm")</f>
        <v>fevereiro</v>
      </c>
      <c r="I3440" t="str">
        <f>TEXT(MONTH(Tabela1[[#This Row],[Último pagto ano]])*29,"mmmm")</f>
        <v>fevereiro</v>
      </c>
    </row>
    <row r="3441" spans="1:9" x14ac:dyDescent="0.25">
      <c r="A3441">
        <v>2025</v>
      </c>
      <c r="B3441" t="s">
        <v>6848</v>
      </c>
      <c r="C3441" s="1">
        <v>46021</v>
      </c>
      <c r="D3441" t="s">
        <v>6849</v>
      </c>
      <c r="E3441" s="2">
        <v>10423.11</v>
      </c>
      <c r="G3441" s="3">
        <f>MONTH(Tabela1[[#This Row],[Último pagto ano]])</f>
        <v>12</v>
      </c>
      <c r="H3441" t="str">
        <f>TEXT(Tabela1[[#This Row],[Coluna2]]*29,"mmmm")</f>
        <v>dezembro</v>
      </c>
      <c r="I3441" t="str">
        <f>TEXT(MONTH(Tabela1[[#This Row],[Último pagto ano]])*29,"mmmm")</f>
        <v>dezembro</v>
      </c>
    </row>
    <row r="3442" spans="1:9" x14ac:dyDescent="0.25">
      <c r="A3442">
        <v>2025</v>
      </c>
      <c r="B3442" t="s">
        <v>6850</v>
      </c>
      <c r="C3442" s="1">
        <v>45954</v>
      </c>
      <c r="D3442" t="s">
        <v>6851</v>
      </c>
      <c r="E3442" s="2">
        <v>10637.43</v>
      </c>
      <c r="G3442" s="3">
        <f>MONTH(Tabela1[[#This Row],[Último pagto ano]])</f>
        <v>10</v>
      </c>
      <c r="H3442" t="str">
        <f>TEXT(Tabela1[[#This Row],[Coluna2]]*29,"mmmm")</f>
        <v>outubro</v>
      </c>
      <c r="I3442" t="str">
        <f>TEXT(MONTH(Tabela1[[#This Row],[Último pagto ano]])*29,"mmmm")</f>
        <v>outubro</v>
      </c>
    </row>
    <row r="3443" spans="1:9" x14ac:dyDescent="0.25">
      <c r="A3443">
        <v>2025</v>
      </c>
      <c r="B3443" t="s">
        <v>6852</v>
      </c>
      <c r="C3443" s="1">
        <v>45702</v>
      </c>
      <c r="D3443" t="s">
        <v>6853</v>
      </c>
      <c r="E3443" s="2">
        <v>1282.69</v>
      </c>
      <c r="G3443" s="3">
        <f>MONTH(Tabela1[[#This Row],[Último pagto ano]])</f>
        <v>2</v>
      </c>
      <c r="H3443" t="str">
        <f>TEXT(Tabela1[[#This Row],[Coluna2]]*29,"mmmm")</f>
        <v>fevereiro</v>
      </c>
      <c r="I3443" t="str">
        <f>TEXT(MONTH(Tabela1[[#This Row],[Último pagto ano]])*29,"mmmm")</f>
        <v>fevereiro</v>
      </c>
    </row>
    <row r="3444" spans="1:9" x14ac:dyDescent="0.25">
      <c r="A3444">
        <v>2025</v>
      </c>
      <c r="B3444" t="s">
        <v>6854</v>
      </c>
      <c r="C3444" s="1">
        <v>46014</v>
      </c>
      <c r="D3444" t="s">
        <v>6855</v>
      </c>
      <c r="E3444">
        <v>143</v>
      </c>
      <c r="G3444" s="3">
        <f>MONTH(Tabela1[[#This Row],[Último pagto ano]])</f>
        <v>12</v>
      </c>
      <c r="H3444" t="str">
        <f>TEXT(Tabela1[[#This Row],[Coluna2]]*29,"mmmm")</f>
        <v>dezembro</v>
      </c>
      <c r="I3444" t="str">
        <f>TEXT(MONTH(Tabela1[[#This Row],[Último pagto ano]])*29,"mmmm")</f>
        <v>dezembro</v>
      </c>
    </row>
    <row r="3445" spans="1:9" x14ac:dyDescent="0.25">
      <c r="A3445">
        <v>2025</v>
      </c>
      <c r="B3445" t="s">
        <v>6856</v>
      </c>
      <c r="C3445" s="1">
        <v>46014</v>
      </c>
      <c r="D3445" t="s">
        <v>6857</v>
      </c>
      <c r="E3445" s="2">
        <v>18216</v>
      </c>
      <c r="G3445" s="3">
        <f>MONTH(Tabela1[[#This Row],[Último pagto ano]])</f>
        <v>12</v>
      </c>
      <c r="H3445" t="str">
        <f>TEXT(Tabela1[[#This Row],[Coluna2]]*29,"mmmm")</f>
        <v>dezembro</v>
      </c>
      <c r="I3445" t="str">
        <f>TEXT(MONTH(Tabela1[[#This Row],[Último pagto ano]])*29,"mmmm")</f>
        <v>dezembro</v>
      </c>
    </row>
    <row r="3446" spans="1:9" x14ac:dyDescent="0.25">
      <c r="A3446">
        <v>2025</v>
      </c>
      <c r="B3446" t="s">
        <v>6858</v>
      </c>
      <c r="C3446" s="1">
        <v>46021</v>
      </c>
      <c r="D3446" t="s">
        <v>6859</v>
      </c>
      <c r="E3446" s="2">
        <v>10222.32</v>
      </c>
      <c r="G3446" s="3">
        <f>MONTH(Tabela1[[#This Row],[Último pagto ano]])</f>
        <v>12</v>
      </c>
      <c r="H3446" t="str">
        <f>TEXT(Tabela1[[#This Row],[Coluna2]]*29,"mmmm")</f>
        <v>dezembro</v>
      </c>
      <c r="I3446" t="str">
        <f>TEXT(MONTH(Tabela1[[#This Row],[Último pagto ano]])*29,"mmmm")</f>
        <v>dezembro</v>
      </c>
    </row>
    <row r="3447" spans="1:9" x14ac:dyDescent="0.25">
      <c r="A3447">
        <v>2025</v>
      </c>
      <c r="B3447" t="s">
        <v>6860</v>
      </c>
      <c r="C3447" s="1">
        <v>45993</v>
      </c>
      <c r="D3447" t="s">
        <v>6861</v>
      </c>
      <c r="E3447" s="2">
        <v>8328</v>
      </c>
      <c r="G3447" s="3">
        <f>MONTH(Tabela1[[#This Row],[Último pagto ano]])</f>
        <v>12</v>
      </c>
      <c r="H3447" t="str">
        <f>TEXT(Tabela1[[#This Row],[Coluna2]]*29,"mmmm")</f>
        <v>dezembro</v>
      </c>
      <c r="I3447" t="str">
        <f>TEXT(MONTH(Tabela1[[#This Row],[Último pagto ano]])*29,"mmmm")</f>
        <v>dezembro</v>
      </c>
    </row>
    <row r="3448" spans="1:9" x14ac:dyDescent="0.25">
      <c r="A3448">
        <v>2025</v>
      </c>
      <c r="B3448" t="s">
        <v>6862</v>
      </c>
      <c r="C3448" s="1">
        <v>45908</v>
      </c>
      <c r="D3448" t="s">
        <v>6863</v>
      </c>
      <c r="E3448" s="2">
        <v>52500</v>
      </c>
      <c r="G3448" s="3">
        <f>MONTH(Tabela1[[#This Row],[Último pagto ano]])</f>
        <v>9</v>
      </c>
      <c r="H3448" t="str">
        <f>TEXT(Tabela1[[#This Row],[Coluna2]]*29,"mmmm")</f>
        <v>setembro</v>
      </c>
      <c r="I3448" t="str">
        <f>TEXT(MONTH(Tabela1[[#This Row],[Último pagto ano]])*29,"mmmm")</f>
        <v>setembro</v>
      </c>
    </row>
    <row r="3449" spans="1:9" x14ac:dyDescent="0.25">
      <c r="A3449">
        <v>2025</v>
      </c>
      <c r="B3449" t="s">
        <v>6864</v>
      </c>
      <c r="C3449" s="1">
        <v>45884</v>
      </c>
      <c r="D3449" t="s">
        <v>6865</v>
      </c>
      <c r="E3449" s="2">
        <v>5149.12</v>
      </c>
      <c r="G3449" s="3">
        <f>MONTH(Tabela1[[#This Row],[Último pagto ano]])</f>
        <v>8</v>
      </c>
      <c r="H3449" t="str">
        <f>TEXT(Tabela1[[#This Row],[Coluna2]]*29,"mmmm")</f>
        <v>agosto</v>
      </c>
      <c r="I3449" t="str">
        <f>TEXT(MONTH(Tabela1[[#This Row],[Último pagto ano]])*29,"mmmm")</f>
        <v>agosto</v>
      </c>
    </row>
    <row r="3450" spans="1:9" x14ac:dyDescent="0.25">
      <c r="A3450">
        <v>2025</v>
      </c>
      <c r="B3450" t="s">
        <v>6866</v>
      </c>
      <c r="C3450" s="1">
        <v>45733</v>
      </c>
      <c r="D3450" t="s">
        <v>6867</v>
      </c>
      <c r="E3450" s="2">
        <v>12000</v>
      </c>
      <c r="G3450" s="3">
        <f>MONTH(Tabela1[[#This Row],[Último pagto ano]])</f>
        <v>3</v>
      </c>
      <c r="H3450" t="str">
        <f>TEXT(Tabela1[[#This Row],[Coluna2]]*29,"mmmm")</f>
        <v>março</v>
      </c>
      <c r="I3450" t="str">
        <f>TEXT(MONTH(Tabela1[[#This Row],[Último pagto ano]])*29,"mmmm")</f>
        <v>março</v>
      </c>
    </row>
    <row r="3451" spans="1:9" x14ac:dyDescent="0.25">
      <c r="A3451">
        <v>2025</v>
      </c>
      <c r="B3451" t="s">
        <v>6868</v>
      </c>
      <c r="C3451" s="1">
        <v>45901</v>
      </c>
      <c r="D3451" t="s">
        <v>6869</v>
      </c>
      <c r="E3451" s="2">
        <v>2619</v>
      </c>
      <c r="G3451" s="3">
        <f>MONTH(Tabela1[[#This Row],[Último pagto ano]])</f>
        <v>9</v>
      </c>
      <c r="H3451" t="str">
        <f>TEXT(Tabela1[[#This Row],[Coluna2]]*29,"mmmm")</f>
        <v>setembro</v>
      </c>
      <c r="I3451" t="str">
        <f>TEXT(MONTH(Tabela1[[#This Row],[Último pagto ano]])*29,"mmmm")</f>
        <v>setembro</v>
      </c>
    </row>
    <row r="3452" spans="1:9" x14ac:dyDescent="0.25">
      <c r="A3452">
        <v>2025</v>
      </c>
      <c r="B3452" t="s">
        <v>6870</v>
      </c>
      <c r="C3452" s="1">
        <v>46010</v>
      </c>
      <c r="D3452" t="s">
        <v>6871</v>
      </c>
      <c r="E3452" s="2">
        <v>5560</v>
      </c>
      <c r="G3452" s="3">
        <f>MONTH(Tabela1[[#This Row],[Último pagto ano]])</f>
        <v>12</v>
      </c>
      <c r="H3452" t="str">
        <f>TEXT(Tabela1[[#This Row],[Coluna2]]*29,"mmmm")</f>
        <v>dezembro</v>
      </c>
      <c r="I3452" t="str">
        <f>TEXT(MONTH(Tabela1[[#This Row],[Último pagto ano]])*29,"mmmm")</f>
        <v>dezembro</v>
      </c>
    </row>
    <row r="3453" spans="1:9" x14ac:dyDescent="0.25">
      <c r="A3453">
        <v>2025</v>
      </c>
      <c r="B3453" t="s">
        <v>6872</v>
      </c>
      <c r="C3453" s="1">
        <v>45674</v>
      </c>
      <c r="D3453" t="s">
        <v>6873</v>
      </c>
      <c r="E3453" s="2">
        <v>1080.9000000000001</v>
      </c>
      <c r="G3453" s="3">
        <f>MONTH(Tabela1[[#This Row],[Último pagto ano]])</f>
        <v>1</v>
      </c>
      <c r="H3453" t="str">
        <f>TEXT(Tabela1[[#This Row],[Coluna2]]*29,"mmmm")</f>
        <v>janeiro</v>
      </c>
      <c r="I3453" t="str">
        <f>TEXT(MONTH(Tabela1[[#This Row],[Último pagto ano]])*29,"mmmm")</f>
        <v>janeiro</v>
      </c>
    </row>
    <row r="3454" spans="1:9" x14ac:dyDescent="0.25">
      <c r="A3454">
        <v>2025</v>
      </c>
      <c r="B3454" t="s">
        <v>6874</v>
      </c>
      <c r="C3454" s="1">
        <v>46014</v>
      </c>
      <c r="D3454" t="s">
        <v>6875</v>
      </c>
      <c r="E3454" s="2">
        <v>8029480.46</v>
      </c>
      <c r="G3454" s="3">
        <f>MONTH(Tabela1[[#This Row],[Último pagto ano]])</f>
        <v>12</v>
      </c>
      <c r="H3454" t="str">
        <f>TEXT(Tabela1[[#This Row],[Coluna2]]*29,"mmmm")</f>
        <v>dezembro</v>
      </c>
      <c r="I3454" t="str">
        <f>TEXT(MONTH(Tabela1[[#This Row],[Último pagto ano]])*29,"mmmm")</f>
        <v>dezembro</v>
      </c>
    </row>
    <row r="3455" spans="1:9" x14ac:dyDescent="0.25">
      <c r="A3455">
        <v>2025</v>
      </c>
      <c r="B3455" t="s">
        <v>6876</v>
      </c>
      <c r="C3455" s="1">
        <v>46006</v>
      </c>
      <c r="D3455" t="s">
        <v>6877</v>
      </c>
      <c r="E3455" s="2">
        <v>325672</v>
      </c>
      <c r="G3455" s="3">
        <f>MONTH(Tabela1[[#This Row],[Último pagto ano]])</f>
        <v>12</v>
      </c>
      <c r="H3455" t="str">
        <f>TEXT(Tabela1[[#This Row],[Coluna2]]*29,"mmmm")</f>
        <v>dezembro</v>
      </c>
      <c r="I3455" t="str">
        <f>TEXT(MONTH(Tabela1[[#This Row],[Último pagto ano]])*29,"mmmm")</f>
        <v>dezembro</v>
      </c>
    </row>
    <row r="3456" spans="1:9" x14ac:dyDescent="0.25">
      <c r="A3456">
        <v>2025</v>
      </c>
      <c r="B3456" t="s">
        <v>6878</v>
      </c>
      <c r="C3456" s="1">
        <v>46003</v>
      </c>
      <c r="D3456" t="s">
        <v>6879</v>
      </c>
      <c r="E3456" s="2">
        <v>230253.9</v>
      </c>
      <c r="G3456" s="3">
        <f>MONTH(Tabela1[[#This Row],[Último pagto ano]])</f>
        <v>12</v>
      </c>
      <c r="H3456" t="str">
        <f>TEXT(Tabela1[[#This Row],[Coluna2]]*29,"mmmm")</f>
        <v>dezembro</v>
      </c>
      <c r="I3456" t="str">
        <f>TEXT(MONTH(Tabela1[[#This Row],[Último pagto ano]])*29,"mmmm")</f>
        <v>dezembro</v>
      </c>
    </row>
    <row r="3457" spans="1:9" x14ac:dyDescent="0.25">
      <c r="A3457">
        <v>2025</v>
      </c>
      <c r="B3457" t="s">
        <v>6880</v>
      </c>
      <c r="C3457" s="1">
        <v>46003</v>
      </c>
      <c r="D3457" t="s">
        <v>6881</v>
      </c>
      <c r="E3457" s="2">
        <v>2037312.48</v>
      </c>
      <c r="G3457" s="3">
        <f>MONTH(Tabela1[[#This Row],[Último pagto ano]])</f>
        <v>12</v>
      </c>
      <c r="H3457" t="str">
        <f>TEXT(Tabela1[[#This Row],[Coluna2]]*29,"mmmm")</f>
        <v>dezembro</v>
      </c>
      <c r="I3457" t="str">
        <f>TEXT(MONTH(Tabela1[[#This Row],[Último pagto ano]])*29,"mmmm")</f>
        <v>dezembro</v>
      </c>
    </row>
    <row r="3458" spans="1:9" x14ac:dyDescent="0.25">
      <c r="A3458">
        <v>2025</v>
      </c>
      <c r="B3458" t="s">
        <v>6880</v>
      </c>
      <c r="C3458" s="1">
        <v>46006</v>
      </c>
      <c r="D3458" t="s">
        <v>6882</v>
      </c>
      <c r="E3458" s="2">
        <v>13292793.449999999</v>
      </c>
      <c r="G3458" s="3">
        <f>MONTH(Tabela1[[#This Row],[Último pagto ano]])</f>
        <v>12</v>
      </c>
      <c r="H3458" t="str">
        <f>TEXT(Tabela1[[#This Row],[Coluna2]]*29,"mmmm")</f>
        <v>dezembro</v>
      </c>
      <c r="I3458" t="str">
        <f>TEXT(MONTH(Tabela1[[#This Row],[Último pagto ano]])*29,"mmmm")</f>
        <v>dezembro</v>
      </c>
    </row>
    <row r="3459" spans="1:9" x14ac:dyDescent="0.25">
      <c r="A3459">
        <v>2025</v>
      </c>
      <c r="B3459" t="s">
        <v>6883</v>
      </c>
      <c r="C3459" s="1">
        <v>46021</v>
      </c>
      <c r="D3459" t="s">
        <v>6884</v>
      </c>
      <c r="E3459" s="2">
        <v>193166.62</v>
      </c>
      <c r="G3459" s="3">
        <f>MONTH(Tabela1[[#This Row],[Último pagto ano]])</f>
        <v>12</v>
      </c>
      <c r="H3459" t="str">
        <f>TEXT(Tabela1[[#This Row],[Coluna2]]*29,"mmmm")</f>
        <v>dezembro</v>
      </c>
      <c r="I3459" t="str">
        <f>TEXT(MONTH(Tabela1[[#This Row],[Último pagto ano]])*29,"mmmm")</f>
        <v>dezembro</v>
      </c>
    </row>
    <row r="3460" spans="1:9" x14ac:dyDescent="0.25">
      <c r="A3460">
        <v>2025</v>
      </c>
      <c r="B3460" t="s">
        <v>6885</v>
      </c>
      <c r="C3460" s="1">
        <v>45817</v>
      </c>
      <c r="D3460" t="s">
        <v>6886</v>
      </c>
      <c r="E3460">
        <v>723.81</v>
      </c>
      <c r="G3460" s="3">
        <f>MONTH(Tabela1[[#This Row],[Último pagto ano]])</f>
        <v>6</v>
      </c>
      <c r="H3460" t="str">
        <f>TEXT(Tabela1[[#This Row],[Coluna2]]*29,"mmmm")</f>
        <v>junho</v>
      </c>
      <c r="I3460" t="str">
        <f>TEXT(MONTH(Tabela1[[#This Row],[Último pagto ano]])*29,"mmmm")</f>
        <v>junho</v>
      </c>
    </row>
    <row r="3461" spans="1:9" x14ac:dyDescent="0.25">
      <c r="A3461">
        <v>2025</v>
      </c>
      <c r="B3461" t="s">
        <v>6887</v>
      </c>
      <c r="C3461" s="1">
        <v>46021</v>
      </c>
      <c r="D3461" t="s">
        <v>6888</v>
      </c>
      <c r="E3461" s="2">
        <v>104086.11</v>
      </c>
      <c r="G3461" s="3">
        <f>MONTH(Tabela1[[#This Row],[Último pagto ano]])</f>
        <v>12</v>
      </c>
      <c r="H3461" t="str">
        <f>TEXT(Tabela1[[#This Row],[Coluna2]]*29,"mmmm")</f>
        <v>dezembro</v>
      </c>
      <c r="I3461" t="str">
        <f>TEXT(MONTH(Tabela1[[#This Row],[Último pagto ano]])*29,"mmmm")</f>
        <v>dezembro</v>
      </c>
    </row>
    <row r="3462" spans="1:9" x14ac:dyDescent="0.25">
      <c r="A3462">
        <v>2025</v>
      </c>
      <c r="B3462" t="s">
        <v>6889</v>
      </c>
      <c r="C3462" s="1">
        <v>46014</v>
      </c>
      <c r="D3462" t="s">
        <v>6890</v>
      </c>
      <c r="E3462">
        <v>54.95</v>
      </c>
      <c r="G3462" s="3">
        <f>MONTH(Tabela1[[#This Row],[Último pagto ano]])</f>
        <v>12</v>
      </c>
      <c r="H3462" t="str">
        <f>TEXT(Tabela1[[#This Row],[Coluna2]]*29,"mmmm")</f>
        <v>dezembro</v>
      </c>
      <c r="I3462" t="str">
        <f>TEXT(MONTH(Tabela1[[#This Row],[Último pagto ano]])*29,"mmmm")</f>
        <v>dezembro</v>
      </c>
    </row>
    <row r="3463" spans="1:9" x14ac:dyDescent="0.25">
      <c r="A3463">
        <v>2025</v>
      </c>
      <c r="B3463" t="s">
        <v>6891</v>
      </c>
      <c r="C3463" s="1">
        <v>46006</v>
      </c>
      <c r="D3463" t="s">
        <v>6892</v>
      </c>
      <c r="E3463" s="2">
        <v>18122.599999999999</v>
      </c>
      <c r="G3463" s="3">
        <f>MONTH(Tabela1[[#This Row],[Último pagto ano]])</f>
        <v>12</v>
      </c>
      <c r="H3463" t="str">
        <f>TEXT(Tabela1[[#This Row],[Coluna2]]*29,"mmmm")</f>
        <v>dezembro</v>
      </c>
      <c r="I3463" t="str">
        <f>TEXT(MONTH(Tabela1[[#This Row],[Último pagto ano]])*29,"mmmm")</f>
        <v>dezembro</v>
      </c>
    </row>
    <row r="3464" spans="1:9" x14ac:dyDescent="0.25">
      <c r="A3464">
        <v>2025</v>
      </c>
      <c r="B3464" t="s">
        <v>6893</v>
      </c>
      <c r="C3464" s="1">
        <v>46010</v>
      </c>
      <c r="D3464" t="s">
        <v>6894</v>
      </c>
      <c r="E3464">
        <v>700</v>
      </c>
      <c r="G3464" s="3">
        <f>MONTH(Tabela1[[#This Row],[Último pagto ano]])</f>
        <v>12</v>
      </c>
      <c r="H3464" t="str">
        <f>TEXT(Tabela1[[#This Row],[Coluna2]]*29,"mmmm")</f>
        <v>dezembro</v>
      </c>
      <c r="I3464" t="str">
        <f>TEXT(MONTH(Tabela1[[#This Row],[Último pagto ano]])*29,"mmmm")</f>
        <v>dezembro</v>
      </c>
    </row>
    <row r="3465" spans="1:9" x14ac:dyDescent="0.25">
      <c r="A3465">
        <v>2025</v>
      </c>
      <c r="B3465" t="s">
        <v>6895</v>
      </c>
      <c r="C3465" s="1">
        <v>46001</v>
      </c>
      <c r="D3465" t="s">
        <v>6896</v>
      </c>
      <c r="E3465" s="2">
        <v>60000</v>
      </c>
      <c r="G3465" s="3">
        <f>MONTH(Tabela1[[#This Row],[Último pagto ano]])</f>
        <v>12</v>
      </c>
      <c r="H3465" t="str">
        <f>TEXT(Tabela1[[#This Row],[Coluna2]]*29,"mmmm")</f>
        <v>dezembro</v>
      </c>
      <c r="I3465" t="str">
        <f>TEXT(MONTH(Tabela1[[#This Row],[Último pagto ano]])*29,"mmmm")</f>
        <v>dezembro</v>
      </c>
    </row>
    <row r="3466" spans="1:9" x14ac:dyDescent="0.25">
      <c r="A3466">
        <v>2025</v>
      </c>
      <c r="B3466" t="s">
        <v>6897</v>
      </c>
      <c r="C3466" s="1">
        <v>45832</v>
      </c>
      <c r="D3466" t="s">
        <v>6898</v>
      </c>
      <c r="E3466" s="2">
        <v>2100</v>
      </c>
      <c r="G3466" s="3">
        <f>MONTH(Tabela1[[#This Row],[Último pagto ano]])</f>
        <v>6</v>
      </c>
      <c r="H3466" t="str">
        <f>TEXT(Tabela1[[#This Row],[Coluna2]]*29,"mmmm")</f>
        <v>junho</v>
      </c>
      <c r="I3466" t="str">
        <f>TEXT(MONTH(Tabela1[[#This Row],[Último pagto ano]])*29,"mmmm")</f>
        <v>junho</v>
      </c>
    </row>
    <row r="3467" spans="1:9" x14ac:dyDescent="0.25">
      <c r="A3467">
        <v>2025</v>
      </c>
      <c r="B3467" t="s">
        <v>6899</v>
      </c>
      <c r="C3467" s="1">
        <v>46006</v>
      </c>
      <c r="D3467" t="s">
        <v>6900</v>
      </c>
      <c r="E3467" s="2">
        <v>15582.6</v>
      </c>
      <c r="G3467" s="3">
        <f>MONTH(Tabela1[[#This Row],[Último pagto ano]])</f>
        <v>12</v>
      </c>
      <c r="H3467" t="str">
        <f>TEXT(Tabela1[[#This Row],[Coluna2]]*29,"mmmm")</f>
        <v>dezembro</v>
      </c>
      <c r="I3467" t="str">
        <f>TEXT(MONTH(Tabela1[[#This Row],[Último pagto ano]])*29,"mmmm")</f>
        <v>dezembro</v>
      </c>
    </row>
    <row r="3468" spans="1:9" x14ac:dyDescent="0.25">
      <c r="A3468">
        <v>2025</v>
      </c>
      <c r="B3468" t="s">
        <v>6901</v>
      </c>
      <c r="C3468" s="1">
        <v>45702</v>
      </c>
      <c r="D3468" t="s">
        <v>6902</v>
      </c>
      <c r="E3468" s="2">
        <v>1287.8499999999999</v>
      </c>
      <c r="G3468" s="3">
        <f>MONTH(Tabela1[[#This Row],[Último pagto ano]])</f>
        <v>2</v>
      </c>
      <c r="H3468" t="str">
        <f>TEXT(Tabela1[[#This Row],[Coluna2]]*29,"mmmm")</f>
        <v>fevereiro</v>
      </c>
      <c r="I3468" t="str">
        <f>TEXT(MONTH(Tabela1[[#This Row],[Último pagto ano]])*29,"mmmm")</f>
        <v>fevereiro</v>
      </c>
    </row>
    <row r="3469" spans="1:9" x14ac:dyDescent="0.25">
      <c r="A3469">
        <v>2025</v>
      </c>
      <c r="B3469" t="s">
        <v>6903</v>
      </c>
      <c r="C3469" s="1">
        <v>45996</v>
      </c>
      <c r="D3469" t="s">
        <v>6904</v>
      </c>
      <c r="E3469" s="2">
        <v>22200</v>
      </c>
      <c r="G3469" s="3">
        <f>MONTH(Tabela1[[#This Row],[Último pagto ano]])</f>
        <v>12</v>
      </c>
      <c r="H3469" t="str">
        <f>TEXT(Tabela1[[#This Row],[Coluna2]]*29,"mmmm")</f>
        <v>dezembro</v>
      </c>
      <c r="I3469" t="str">
        <f>TEXT(MONTH(Tabela1[[#This Row],[Último pagto ano]])*29,"mmmm")</f>
        <v>dezembro</v>
      </c>
    </row>
    <row r="3470" spans="1:9" x14ac:dyDescent="0.25">
      <c r="A3470">
        <v>2025</v>
      </c>
      <c r="B3470" t="s">
        <v>6905</v>
      </c>
      <c r="C3470" s="1">
        <v>45925</v>
      </c>
      <c r="D3470" t="s">
        <v>6906</v>
      </c>
      <c r="E3470">
        <v>110.5</v>
      </c>
      <c r="G3470" s="3">
        <f>MONTH(Tabela1[[#This Row],[Último pagto ano]])</f>
        <v>9</v>
      </c>
      <c r="H3470" t="str">
        <f>TEXT(Tabela1[[#This Row],[Coluna2]]*29,"mmmm")</f>
        <v>setembro</v>
      </c>
      <c r="I3470" t="str">
        <f>TEXT(MONTH(Tabela1[[#This Row],[Último pagto ano]])*29,"mmmm")</f>
        <v>setembro</v>
      </c>
    </row>
    <row r="3471" spans="1:9" x14ac:dyDescent="0.25">
      <c r="A3471">
        <v>2025</v>
      </c>
      <c r="B3471" t="s">
        <v>6907</v>
      </c>
      <c r="C3471" s="1">
        <v>46021</v>
      </c>
      <c r="D3471" t="s">
        <v>6908</v>
      </c>
      <c r="E3471" s="2">
        <v>12753.81</v>
      </c>
      <c r="G3471" s="3">
        <f>MONTH(Tabela1[[#This Row],[Último pagto ano]])</f>
        <v>12</v>
      </c>
      <c r="H3471" t="str">
        <f>TEXT(Tabela1[[#This Row],[Coluna2]]*29,"mmmm")</f>
        <v>dezembro</v>
      </c>
      <c r="I3471" t="str">
        <f>TEXT(MONTH(Tabela1[[#This Row],[Último pagto ano]])*29,"mmmm")</f>
        <v>dezembro</v>
      </c>
    </row>
    <row r="3472" spans="1:9" x14ac:dyDescent="0.25">
      <c r="A3472">
        <v>2025</v>
      </c>
      <c r="B3472" t="s">
        <v>6909</v>
      </c>
      <c r="C3472" s="1">
        <v>45996</v>
      </c>
      <c r="D3472" t="s">
        <v>6910</v>
      </c>
      <c r="E3472" s="2">
        <v>35880</v>
      </c>
      <c r="G3472" s="3">
        <f>MONTH(Tabela1[[#This Row],[Último pagto ano]])</f>
        <v>12</v>
      </c>
      <c r="H3472" t="str">
        <f>TEXT(Tabela1[[#This Row],[Coluna2]]*29,"mmmm")</f>
        <v>dezembro</v>
      </c>
      <c r="I3472" t="str">
        <f>TEXT(MONTH(Tabela1[[#This Row],[Último pagto ano]])*29,"mmmm")</f>
        <v>dezembro</v>
      </c>
    </row>
    <row r="3473" spans="1:9" x14ac:dyDescent="0.25">
      <c r="A3473">
        <v>2025</v>
      </c>
      <c r="B3473" t="s">
        <v>6911</v>
      </c>
      <c r="C3473" s="1">
        <v>46010</v>
      </c>
      <c r="D3473" t="s">
        <v>6912</v>
      </c>
      <c r="E3473" s="2">
        <v>24000</v>
      </c>
      <c r="G3473" s="3">
        <f>MONTH(Tabela1[[#This Row],[Último pagto ano]])</f>
        <v>12</v>
      </c>
      <c r="H3473" t="str">
        <f>TEXT(Tabela1[[#This Row],[Coluna2]]*29,"mmmm")</f>
        <v>dezembro</v>
      </c>
      <c r="I3473" t="str">
        <f>TEXT(MONTH(Tabela1[[#This Row],[Último pagto ano]])*29,"mmmm")</f>
        <v>dezembro</v>
      </c>
    </row>
    <row r="3474" spans="1:9" x14ac:dyDescent="0.25">
      <c r="A3474">
        <v>2025</v>
      </c>
      <c r="B3474" t="s">
        <v>6913</v>
      </c>
      <c r="C3474" s="1">
        <v>46010</v>
      </c>
      <c r="D3474" t="s">
        <v>6914</v>
      </c>
      <c r="E3474" s="2">
        <v>8400</v>
      </c>
      <c r="G3474" s="3">
        <f>MONTH(Tabela1[[#This Row],[Último pagto ano]])</f>
        <v>12</v>
      </c>
      <c r="H3474" t="str">
        <f>TEXT(Tabela1[[#This Row],[Coluna2]]*29,"mmmm")</f>
        <v>dezembro</v>
      </c>
      <c r="I3474" t="str">
        <f>TEXT(MONTH(Tabela1[[#This Row],[Último pagto ano]])*29,"mmmm")</f>
        <v>dezembro</v>
      </c>
    </row>
    <row r="3475" spans="1:9" x14ac:dyDescent="0.25">
      <c r="A3475">
        <v>2025</v>
      </c>
      <c r="B3475" t="s">
        <v>6915</v>
      </c>
      <c r="C3475" s="1">
        <v>45673</v>
      </c>
      <c r="D3475" t="s">
        <v>6916</v>
      </c>
      <c r="E3475">
        <v>250</v>
      </c>
      <c r="G3475" s="3">
        <f>MONTH(Tabela1[[#This Row],[Último pagto ano]])</f>
        <v>1</v>
      </c>
      <c r="H3475" t="str">
        <f>TEXT(Tabela1[[#This Row],[Coluna2]]*29,"mmmm")</f>
        <v>janeiro</v>
      </c>
      <c r="I3475" t="str">
        <f>TEXT(MONTH(Tabela1[[#This Row],[Último pagto ano]])*29,"mmmm")</f>
        <v>janeiro</v>
      </c>
    </row>
    <row r="3476" spans="1:9" x14ac:dyDescent="0.25">
      <c r="A3476">
        <v>2025</v>
      </c>
      <c r="B3476" t="s">
        <v>6917</v>
      </c>
      <c r="C3476" s="1">
        <v>46006</v>
      </c>
      <c r="D3476" t="s">
        <v>6918</v>
      </c>
      <c r="E3476">
        <v>296.16000000000003</v>
      </c>
      <c r="G3476" s="3">
        <f>MONTH(Tabela1[[#This Row],[Último pagto ano]])</f>
        <v>12</v>
      </c>
      <c r="H3476" t="str">
        <f>TEXT(Tabela1[[#This Row],[Coluna2]]*29,"mmmm")</f>
        <v>dezembro</v>
      </c>
      <c r="I3476" t="str">
        <f>TEXT(MONTH(Tabela1[[#This Row],[Último pagto ano]])*29,"mmmm")</f>
        <v>dezembro</v>
      </c>
    </row>
    <row r="3477" spans="1:9" x14ac:dyDescent="0.25">
      <c r="A3477">
        <v>2025</v>
      </c>
      <c r="B3477" t="s">
        <v>6919</v>
      </c>
      <c r="C3477" s="1">
        <v>45716</v>
      </c>
      <c r="D3477" t="s">
        <v>6920</v>
      </c>
      <c r="E3477">
        <v>941.22</v>
      </c>
      <c r="G3477" s="3">
        <f>MONTH(Tabela1[[#This Row],[Último pagto ano]])</f>
        <v>2</v>
      </c>
      <c r="H3477" t="str">
        <f>TEXT(Tabela1[[#This Row],[Coluna2]]*29,"mmmm")</f>
        <v>fevereiro</v>
      </c>
      <c r="I3477" t="str">
        <f>TEXT(MONTH(Tabela1[[#This Row],[Último pagto ano]])*29,"mmmm")</f>
        <v>fevereiro</v>
      </c>
    </row>
    <row r="3478" spans="1:9" x14ac:dyDescent="0.25">
      <c r="A3478">
        <v>2025</v>
      </c>
      <c r="B3478" t="s">
        <v>6921</v>
      </c>
      <c r="C3478" s="1">
        <v>45996</v>
      </c>
      <c r="D3478" t="s">
        <v>6922</v>
      </c>
      <c r="E3478" s="2">
        <v>3500</v>
      </c>
      <c r="G3478" s="3">
        <f>MONTH(Tabela1[[#This Row],[Último pagto ano]])</f>
        <v>12</v>
      </c>
      <c r="H3478" t="str">
        <f>TEXT(Tabela1[[#This Row],[Coluna2]]*29,"mmmm")</f>
        <v>dezembro</v>
      </c>
      <c r="I3478" t="str">
        <f>TEXT(MONTH(Tabela1[[#This Row],[Último pagto ano]])*29,"mmmm")</f>
        <v>dezembro</v>
      </c>
    </row>
    <row r="3479" spans="1:9" x14ac:dyDescent="0.25">
      <c r="A3479">
        <v>2025</v>
      </c>
      <c r="B3479" t="s">
        <v>6923</v>
      </c>
      <c r="C3479" s="1">
        <v>45673</v>
      </c>
      <c r="D3479" t="s">
        <v>6924</v>
      </c>
      <c r="E3479" s="2">
        <v>1000</v>
      </c>
      <c r="G3479" s="3">
        <f>MONTH(Tabela1[[#This Row],[Último pagto ano]])</f>
        <v>1</v>
      </c>
      <c r="H3479" t="str">
        <f>TEXT(Tabela1[[#This Row],[Coluna2]]*29,"mmmm")</f>
        <v>janeiro</v>
      </c>
      <c r="I3479" t="str">
        <f>TEXT(MONTH(Tabela1[[#This Row],[Último pagto ano]])*29,"mmmm")</f>
        <v>janeiro</v>
      </c>
    </row>
    <row r="3480" spans="1:9" x14ac:dyDescent="0.25">
      <c r="A3480">
        <v>2025</v>
      </c>
      <c r="B3480" t="s">
        <v>6925</v>
      </c>
      <c r="C3480" s="1">
        <v>45996</v>
      </c>
      <c r="D3480" t="s">
        <v>6926</v>
      </c>
      <c r="E3480" s="2">
        <v>5500</v>
      </c>
      <c r="G3480" s="3">
        <f>MONTH(Tabela1[[#This Row],[Último pagto ano]])</f>
        <v>12</v>
      </c>
      <c r="H3480" t="str">
        <f>TEXT(Tabela1[[#This Row],[Coluna2]]*29,"mmmm")</f>
        <v>dezembro</v>
      </c>
      <c r="I3480" t="str">
        <f>TEXT(MONTH(Tabela1[[#This Row],[Último pagto ano]])*29,"mmmm")</f>
        <v>dezembro</v>
      </c>
    </row>
    <row r="3481" spans="1:9" x14ac:dyDescent="0.25">
      <c r="A3481">
        <v>2025</v>
      </c>
      <c r="B3481" t="s">
        <v>6927</v>
      </c>
      <c r="C3481" s="1">
        <v>45775</v>
      </c>
      <c r="D3481" t="s">
        <v>6928</v>
      </c>
      <c r="E3481">
        <v>748.8</v>
      </c>
      <c r="G3481" s="3">
        <f>MONTH(Tabela1[[#This Row],[Último pagto ano]])</f>
        <v>4</v>
      </c>
      <c r="H3481" t="str">
        <f>TEXT(Tabela1[[#This Row],[Coluna2]]*29,"mmmm")</f>
        <v>abril</v>
      </c>
      <c r="I3481" t="str">
        <f>TEXT(MONTH(Tabela1[[#This Row],[Último pagto ano]])*29,"mmmm")</f>
        <v>abril</v>
      </c>
    </row>
    <row r="3482" spans="1:9" x14ac:dyDescent="0.25">
      <c r="A3482">
        <v>2025</v>
      </c>
      <c r="B3482" t="s">
        <v>6929</v>
      </c>
      <c r="C3482" s="1">
        <v>45702</v>
      </c>
      <c r="D3482" t="s">
        <v>6930</v>
      </c>
      <c r="E3482">
        <v>22</v>
      </c>
      <c r="G3482" s="3">
        <f>MONTH(Tabela1[[#This Row],[Último pagto ano]])</f>
        <v>2</v>
      </c>
      <c r="H3482" t="str">
        <f>TEXT(Tabela1[[#This Row],[Coluna2]]*29,"mmmm")</f>
        <v>fevereiro</v>
      </c>
      <c r="I3482" t="str">
        <f>TEXT(MONTH(Tabela1[[#This Row],[Último pagto ano]])*29,"mmmm")</f>
        <v>fevereiro</v>
      </c>
    </row>
    <row r="3483" spans="1:9" x14ac:dyDescent="0.25">
      <c r="A3483">
        <v>2025</v>
      </c>
      <c r="B3483" t="s">
        <v>6931</v>
      </c>
      <c r="C3483" s="1">
        <v>46021</v>
      </c>
      <c r="D3483" t="s">
        <v>6932</v>
      </c>
      <c r="E3483" s="2">
        <v>11134.5</v>
      </c>
      <c r="G3483" s="3">
        <f>MONTH(Tabela1[[#This Row],[Último pagto ano]])</f>
        <v>12</v>
      </c>
      <c r="H3483" t="str">
        <f>TEXT(Tabela1[[#This Row],[Coluna2]]*29,"mmmm")</f>
        <v>dezembro</v>
      </c>
      <c r="I3483" t="str">
        <f>TEXT(MONTH(Tabela1[[#This Row],[Último pagto ano]])*29,"mmmm")</f>
        <v>dezembro</v>
      </c>
    </row>
    <row r="3484" spans="1:9" x14ac:dyDescent="0.25">
      <c r="A3484">
        <v>2025</v>
      </c>
      <c r="B3484" t="s">
        <v>6933</v>
      </c>
      <c r="C3484" s="1">
        <v>45975</v>
      </c>
      <c r="D3484" t="s">
        <v>6934</v>
      </c>
      <c r="E3484" s="2">
        <v>5909.92</v>
      </c>
      <c r="G3484" s="3">
        <f>MONTH(Tabela1[[#This Row],[Último pagto ano]])</f>
        <v>11</v>
      </c>
      <c r="H3484" t="str">
        <f>TEXT(Tabela1[[#This Row],[Coluna2]]*29,"mmmm")</f>
        <v>novembro</v>
      </c>
      <c r="I3484" t="str">
        <f>TEXT(MONTH(Tabela1[[#This Row],[Último pagto ano]])*29,"mmmm")</f>
        <v>novembro</v>
      </c>
    </row>
    <row r="3485" spans="1:9" x14ac:dyDescent="0.25">
      <c r="A3485">
        <v>2025</v>
      </c>
      <c r="B3485" t="s">
        <v>6935</v>
      </c>
      <c r="C3485" s="1">
        <v>46021</v>
      </c>
      <c r="D3485" t="s">
        <v>6936</v>
      </c>
      <c r="E3485" s="2">
        <v>12758.43</v>
      </c>
      <c r="G3485" s="3">
        <f>MONTH(Tabela1[[#This Row],[Último pagto ano]])</f>
        <v>12</v>
      </c>
      <c r="H3485" t="str">
        <f>TEXT(Tabela1[[#This Row],[Coluna2]]*29,"mmmm")</f>
        <v>dezembro</v>
      </c>
      <c r="I3485" t="str">
        <f>TEXT(MONTH(Tabela1[[#This Row],[Último pagto ano]])*29,"mmmm")</f>
        <v>dezembro</v>
      </c>
    </row>
    <row r="3486" spans="1:9" x14ac:dyDescent="0.25">
      <c r="A3486">
        <v>2025</v>
      </c>
      <c r="B3486" t="s">
        <v>6937</v>
      </c>
      <c r="C3486" s="1">
        <v>45996</v>
      </c>
      <c r="D3486" t="s">
        <v>6938</v>
      </c>
      <c r="E3486" s="2">
        <v>5250</v>
      </c>
      <c r="G3486" s="3">
        <f>MONTH(Tabela1[[#This Row],[Último pagto ano]])</f>
        <v>12</v>
      </c>
      <c r="H3486" t="str">
        <f>TEXT(Tabela1[[#This Row],[Coluna2]]*29,"mmmm")</f>
        <v>dezembro</v>
      </c>
      <c r="I3486" t="str">
        <f>TEXT(MONTH(Tabela1[[#This Row],[Último pagto ano]])*29,"mmmm")</f>
        <v>dezembro</v>
      </c>
    </row>
    <row r="3487" spans="1:9" x14ac:dyDescent="0.25">
      <c r="A3487">
        <v>2025</v>
      </c>
      <c r="B3487" t="s">
        <v>6939</v>
      </c>
      <c r="C3487" s="1">
        <v>45821</v>
      </c>
      <c r="D3487" t="s">
        <v>6940</v>
      </c>
      <c r="E3487">
        <v>824</v>
      </c>
      <c r="G3487" s="3">
        <f>MONTH(Tabela1[[#This Row],[Último pagto ano]])</f>
        <v>6</v>
      </c>
      <c r="H3487" t="str">
        <f>TEXT(Tabela1[[#This Row],[Coluna2]]*29,"mmmm")</f>
        <v>junho</v>
      </c>
      <c r="I3487" t="str">
        <f>TEXT(MONTH(Tabela1[[#This Row],[Último pagto ano]])*29,"mmmm")</f>
        <v>junho</v>
      </c>
    </row>
    <row r="3488" spans="1:9" x14ac:dyDescent="0.25">
      <c r="A3488">
        <v>2025</v>
      </c>
      <c r="B3488" t="s">
        <v>6941</v>
      </c>
      <c r="C3488" s="1">
        <v>45996</v>
      </c>
      <c r="D3488" t="s">
        <v>6942</v>
      </c>
      <c r="E3488" s="2">
        <v>1400</v>
      </c>
      <c r="G3488" s="3">
        <f>MONTH(Tabela1[[#This Row],[Último pagto ano]])</f>
        <v>12</v>
      </c>
      <c r="H3488" t="str">
        <f>TEXT(Tabela1[[#This Row],[Coluna2]]*29,"mmmm")</f>
        <v>dezembro</v>
      </c>
      <c r="I3488" t="str">
        <f>TEXT(MONTH(Tabela1[[#This Row],[Último pagto ano]])*29,"mmmm")</f>
        <v>dezembro</v>
      </c>
    </row>
    <row r="3489" spans="1:9" x14ac:dyDescent="0.25">
      <c r="A3489">
        <v>2025</v>
      </c>
      <c r="B3489" t="s">
        <v>6943</v>
      </c>
      <c r="C3489" s="1">
        <v>46021</v>
      </c>
      <c r="D3489" t="s">
        <v>6944</v>
      </c>
      <c r="E3489" s="2">
        <v>52649.75</v>
      </c>
      <c r="G3489" s="3">
        <f>MONTH(Tabela1[[#This Row],[Último pagto ano]])</f>
        <v>12</v>
      </c>
      <c r="H3489" t="str">
        <f>TEXT(Tabela1[[#This Row],[Coluna2]]*29,"mmmm")</f>
        <v>dezembro</v>
      </c>
      <c r="I3489" t="str">
        <f>TEXT(MONTH(Tabela1[[#This Row],[Último pagto ano]])*29,"mmmm")</f>
        <v>dezembro</v>
      </c>
    </row>
    <row r="3490" spans="1:9" x14ac:dyDescent="0.25">
      <c r="A3490">
        <v>2025</v>
      </c>
      <c r="B3490" t="s">
        <v>6945</v>
      </c>
      <c r="C3490" s="1">
        <v>45876</v>
      </c>
      <c r="D3490" t="s">
        <v>6946</v>
      </c>
      <c r="E3490" s="2">
        <v>17280</v>
      </c>
      <c r="G3490" s="3">
        <f>MONTH(Tabela1[[#This Row],[Último pagto ano]])</f>
        <v>8</v>
      </c>
      <c r="H3490" t="str">
        <f>TEXT(Tabela1[[#This Row],[Coluna2]]*29,"mmmm")</f>
        <v>agosto</v>
      </c>
      <c r="I3490" t="str">
        <f>TEXT(MONTH(Tabela1[[#This Row],[Último pagto ano]])*29,"mmmm")</f>
        <v>agosto</v>
      </c>
    </row>
    <row r="3491" spans="1:9" x14ac:dyDescent="0.25">
      <c r="A3491">
        <v>2025</v>
      </c>
      <c r="B3491" t="s">
        <v>6947</v>
      </c>
      <c r="C3491" s="1">
        <v>45845</v>
      </c>
      <c r="D3491" t="s">
        <v>6948</v>
      </c>
      <c r="E3491" s="2">
        <v>9902</v>
      </c>
      <c r="G3491" s="3">
        <f>MONTH(Tabela1[[#This Row],[Último pagto ano]])</f>
        <v>7</v>
      </c>
      <c r="H3491" t="str">
        <f>TEXT(Tabela1[[#This Row],[Coluna2]]*29,"mmmm")</f>
        <v>julho</v>
      </c>
      <c r="I3491" t="str">
        <f>TEXT(MONTH(Tabela1[[#This Row],[Último pagto ano]])*29,"mmmm")</f>
        <v>julho</v>
      </c>
    </row>
    <row r="3492" spans="1:9" x14ac:dyDescent="0.25">
      <c r="A3492">
        <v>2025</v>
      </c>
      <c r="B3492" t="s">
        <v>6949</v>
      </c>
      <c r="C3492" s="1">
        <v>45862</v>
      </c>
      <c r="D3492" t="s">
        <v>6950</v>
      </c>
      <c r="E3492" s="2">
        <v>6429.06</v>
      </c>
      <c r="G3492" s="3">
        <f>MONTH(Tabela1[[#This Row],[Último pagto ano]])</f>
        <v>7</v>
      </c>
      <c r="H3492" t="str">
        <f>TEXT(Tabela1[[#This Row],[Coluna2]]*29,"mmmm")</f>
        <v>julho</v>
      </c>
      <c r="I3492" t="str">
        <f>TEXT(MONTH(Tabela1[[#This Row],[Último pagto ano]])*29,"mmmm")</f>
        <v>julho</v>
      </c>
    </row>
    <row r="3493" spans="1:9" x14ac:dyDescent="0.25">
      <c r="A3493">
        <v>2025</v>
      </c>
      <c r="B3493" t="s">
        <v>6951</v>
      </c>
      <c r="C3493" s="1">
        <v>45687</v>
      </c>
      <c r="D3493" t="s">
        <v>6952</v>
      </c>
      <c r="E3493">
        <v>606.05999999999995</v>
      </c>
      <c r="G3493" s="3">
        <f>MONTH(Tabela1[[#This Row],[Último pagto ano]])</f>
        <v>1</v>
      </c>
      <c r="H3493" t="str">
        <f>TEXT(Tabela1[[#This Row],[Coluna2]]*29,"mmmm")</f>
        <v>janeiro</v>
      </c>
      <c r="I3493" t="str">
        <f>TEXT(MONTH(Tabela1[[#This Row],[Último pagto ano]])*29,"mmmm")</f>
        <v>janeiro</v>
      </c>
    </row>
    <row r="3494" spans="1:9" x14ac:dyDescent="0.25">
      <c r="A3494">
        <v>2025</v>
      </c>
      <c r="B3494" t="s">
        <v>6953</v>
      </c>
      <c r="C3494" s="1">
        <v>45996</v>
      </c>
      <c r="D3494" t="s">
        <v>6954</v>
      </c>
      <c r="E3494" s="2">
        <v>11000</v>
      </c>
      <c r="G3494" s="3">
        <f>MONTH(Tabela1[[#This Row],[Último pagto ano]])</f>
        <v>12</v>
      </c>
      <c r="H3494" t="str">
        <f>TEXT(Tabela1[[#This Row],[Coluna2]]*29,"mmmm")</f>
        <v>dezembro</v>
      </c>
      <c r="I3494" t="str">
        <f>TEXT(MONTH(Tabela1[[#This Row],[Último pagto ano]])*29,"mmmm")</f>
        <v>dezembro</v>
      </c>
    </row>
    <row r="3495" spans="1:9" x14ac:dyDescent="0.25">
      <c r="A3495">
        <v>2025</v>
      </c>
      <c r="B3495" t="s">
        <v>6955</v>
      </c>
      <c r="C3495" s="1">
        <v>45702</v>
      </c>
      <c r="D3495" t="s">
        <v>6956</v>
      </c>
      <c r="E3495">
        <v>595.1</v>
      </c>
      <c r="G3495" s="3">
        <f>MONTH(Tabela1[[#This Row],[Último pagto ano]])</f>
        <v>2</v>
      </c>
      <c r="H3495" t="str">
        <f>TEXT(Tabela1[[#This Row],[Coluna2]]*29,"mmmm")</f>
        <v>fevereiro</v>
      </c>
      <c r="I3495" t="str">
        <f>TEXT(MONTH(Tabela1[[#This Row],[Último pagto ano]])*29,"mmmm")</f>
        <v>fevereiro</v>
      </c>
    </row>
    <row r="3496" spans="1:9" x14ac:dyDescent="0.25">
      <c r="A3496">
        <v>2025</v>
      </c>
      <c r="B3496" t="s">
        <v>6957</v>
      </c>
      <c r="C3496" s="1">
        <v>45908</v>
      </c>
      <c r="D3496" t="s">
        <v>6958</v>
      </c>
      <c r="E3496" s="2">
        <v>1646.9</v>
      </c>
      <c r="G3496" s="3">
        <f>MONTH(Tabela1[[#This Row],[Último pagto ano]])</f>
        <v>9</v>
      </c>
      <c r="H3496" t="str">
        <f>TEXT(Tabela1[[#This Row],[Coluna2]]*29,"mmmm")</f>
        <v>setembro</v>
      </c>
      <c r="I3496" t="str">
        <f>TEXT(MONTH(Tabela1[[#This Row],[Último pagto ano]])*29,"mmmm")</f>
        <v>setembro</v>
      </c>
    </row>
    <row r="3497" spans="1:9" x14ac:dyDescent="0.25">
      <c r="A3497">
        <v>2025</v>
      </c>
      <c r="B3497" t="s">
        <v>6959</v>
      </c>
      <c r="C3497" s="1">
        <v>45996</v>
      </c>
      <c r="D3497" t="s">
        <v>6960</v>
      </c>
      <c r="E3497" s="2">
        <v>15400</v>
      </c>
      <c r="G3497" s="3">
        <f>MONTH(Tabela1[[#This Row],[Último pagto ano]])</f>
        <v>12</v>
      </c>
      <c r="H3497" t="str">
        <f>TEXT(Tabela1[[#This Row],[Coluna2]]*29,"mmmm")</f>
        <v>dezembro</v>
      </c>
      <c r="I3497" t="str">
        <f>TEXT(MONTH(Tabela1[[#This Row],[Último pagto ano]])*29,"mmmm")</f>
        <v>dezembro</v>
      </c>
    </row>
    <row r="3498" spans="1:9" x14ac:dyDescent="0.25">
      <c r="A3498">
        <v>2025</v>
      </c>
      <c r="B3498" t="s">
        <v>6961</v>
      </c>
      <c r="C3498" s="1">
        <v>45996</v>
      </c>
      <c r="D3498" t="s">
        <v>6962</v>
      </c>
      <c r="E3498" s="2">
        <v>15001.03</v>
      </c>
      <c r="G3498" s="3">
        <f>MONTH(Tabela1[[#This Row],[Último pagto ano]])</f>
        <v>12</v>
      </c>
      <c r="H3498" t="str">
        <f>TEXT(Tabela1[[#This Row],[Coluna2]]*29,"mmmm")</f>
        <v>dezembro</v>
      </c>
      <c r="I3498" t="str">
        <f>TEXT(MONTH(Tabela1[[#This Row],[Último pagto ano]])*29,"mmmm")</f>
        <v>dezembro</v>
      </c>
    </row>
    <row r="3499" spans="1:9" x14ac:dyDescent="0.25">
      <c r="A3499">
        <v>2025</v>
      </c>
      <c r="B3499" t="s">
        <v>6963</v>
      </c>
      <c r="C3499" s="1">
        <v>45996</v>
      </c>
      <c r="D3499" t="s">
        <v>6964</v>
      </c>
      <c r="E3499" s="2">
        <v>27000</v>
      </c>
      <c r="G3499" s="3">
        <f>MONTH(Tabela1[[#This Row],[Último pagto ano]])</f>
        <v>12</v>
      </c>
      <c r="H3499" t="str">
        <f>TEXT(Tabela1[[#This Row],[Coluna2]]*29,"mmmm")</f>
        <v>dezembro</v>
      </c>
      <c r="I3499" t="str">
        <f>TEXT(MONTH(Tabela1[[#This Row],[Último pagto ano]])*29,"mmmm")</f>
        <v>dezembro</v>
      </c>
    </row>
    <row r="3500" spans="1:9" x14ac:dyDescent="0.25">
      <c r="A3500">
        <v>2025</v>
      </c>
      <c r="B3500" t="s">
        <v>6965</v>
      </c>
      <c r="C3500" s="1">
        <v>46006</v>
      </c>
      <c r="D3500" t="s">
        <v>6966</v>
      </c>
      <c r="E3500" s="2">
        <v>5627.04</v>
      </c>
      <c r="G3500" s="3">
        <f>MONTH(Tabela1[[#This Row],[Último pagto ano]])</f>
        <v>12</v>
      </c>
      <c r="H3500" t="str">
        <f>TEXT(Tabela1[[#This Row],[Coluna2]]*29,"mmmm")</f>
        <v>dezembro</v>
      </c>
      <c r="I3500" t="str">
        <f>TEXT(MONTH(Tabela1[[#This Row],[Último pagto ano]])*29,"mmmm")</f>
        <v>dezembro</v>
      </c>
    </row>
    <row r="3501" spans="1:9" x14ac:dyDescent="0.25">
      <c r="A3501">
        <v>2025</v>
      </c>
      <c r="B3501" t="s">
        <v>6967</v>
      </c>
      <c r="C3501" s="1">
        <v>45849</v>
      </c>
      <c r="D3501" t="s">
        <v>6968</v>
      </c>
      <c r="E3501" s="2">
        <v>5609.1</v>
      </c>
      <c r="G3501" s="3">
        <f>MONTH(Tabela1[[#This Row],[Último pagto ano]])</f>
        <v>7</v>
      </c>
      <c r="H3501" t="str">
        <f>TEXT(Tabela1[[#This Row],[Coluna2]]*29,"mmmm")</f>
        <v>julho</v>
      </c>
      <c r="I3501" t="str">
        <f>TEXT(MONTH(Tabela1[[#This Row],[Último pagto ano]])*29,"mmmm")</f>
        <v>julho</v>
      </c>
    </row>
    <row r="3502" spans="1:9" x14ac:dyDescent="0.25">
      <c r="A3502">
        <v>2025</v>
      </c>
      <c r="B3502" t="s">
        <v>6969</v>
      </c>
      <c r="C3502" s="1">
        <v>45799</v>
      </c>
      <c r="D3502" t="s">
        <v>6970</v>
      </c>
      <c r="E3502" s="2">
        <v>2414.7800000000002</v>
      </c>
      <c r="G3502" s="3">
        <f>MONTH(Tabela1[[#This Row],[Último pagto ano]])</f>
        <v>5</v>
      </c>
      <c r="H3502" t="str">
        <f>TEXT(Tabela1[[#This Row],[Coluna2]]*29,"mmmm")</f>
        <v>maio</v>
      </c>
      <c r="I3502" t="str">
        <f>TEXT(MONTH(Tabela1[[#This Row],[Último pagto ano]])*29,"mmmm")</f>
        <v>maio</v>
      </c>
    </row>
    <row r="3503" spans="1:9" x14ac:dyDescent="0.25">
      <c r="A3503">
        <v>2025</v>
      </c>
      <c r="B3503" t="s">
        <v>6971</v>
      </c>
      <c r="C3503" s="1">
        <v>45772</v>
      </c>
      <c r="D3503" t="s">
        <v>6972</v>
      </c>
      <c r="E3503" s="2">
        <v>2800</v>
      </c>
      <c r="G3503" s="3">
        <f>MONTH(Tabela1[[#This Row],[Último pagto ano]])</f>
        <v>4</v>
      </c>
      <c r="H3503" t="str">
        <f>TEXT(Tabela1[[#This Row],[Coluna2]]*29,"mmmm")</f>
        <v>abril</v>
      </c>
      <c r="I3503" t="str">
        <f>TEXT(MONTH(Tabela1[[#This Row],[Último pagto ano]])*29,"mmmm")</f>
        <v>abril</v>
      </c>
    </row>
    <row r="3504" spans="1:9" x14ac:dyDescent="0.25">
      <c r="A3504">
        <v>2025</v>
      </c>
      <c r="B3504" t="s">
        <v>6973</v>
      </c>
      <c r="C3504" s="1">
        <v>45782</v>
      </c>
      <c r="D3504" t="s">
        <v>6974</v>
      </c>
      <c r="E3504">
        <v>12.63</v>
      </c>
      <c r="G3504" s="3">
        <f>MONTH(Tabela1[[#This Row],[Último pagto ano]])</f>
        <v>5</v>
      </c>
      <c r="H3504" t="str">
        <f>TEXT(Tabela1[[#This Row],[Coluna2]]*29,"mmmm")</f>
        <v>maio</v>
      </c>
      <c r="I3504" t="str">
        <f>TEXT(MONTH(Tabela1[[#This Row],[Último pagto ano]])*29,"mmmm")</f>
        <v>maio</v>
      </c>
    </row>
    <row r="3505" spans="1:9" x14ac:dyDescent="0.25">
      <c r="A3505">
        <v>2025</v>
      </c>
      <c r="B3505" t="s">
        <v>6975</v>
      </c>
      <c r="C3505" s="1">
        <v>45810</v>
      </c>
      <c r="D3505" t="s">
        <v>6976</v>
      </c>
      <c r="E3505" s="2">
        <v>19578.77</v>
      </c>
      <c r="G3505" s="3">
        <f>MONTH(Tabela1[[#This Row],[Último pagto ano]])</f>
        <v>6</v>
      </c>
      <c r="H3505" t="str">
        <f>TEXT(Tabela1[[#This Row],[Coluna2]]*29,"mmmm")</f>
        <v>junho</v>
      </c>
      <c r="I3505" t="str">
        <f>TEXT(MONTH(Tabela1[[#This Row],[Último pagto ano]])*29,"mmmm")</f>
        <v>junho</v>
      </c>
    </row>
    <row r="3506" spans="1:9" x14ac:dyDescent="0.25">
      <c r="A3506">
        <v>2025</v>
      </c>
      <c r="B3506" t="s">
        <v>6977</v>
      </c>
      <c r="C3506" s="1">
        <v>45996</v>
      </c>
      <c r="D3506" t="s">
        <v>6978</v>
      </c>
      <c r="E3506" s="2">
        <v>9900</v>
      </c>
      <c r="G3506" s="3">
        <f>MONTH(Tabela1[[#This Row],[Último pagto ano]])</f>
        <v>12</v>
      </c>
      <c r="H3506" t="str">
        <f>TEXT(Tabela1[[#This Row],[Coluna2]]*29,"mmmm")</f>
        <v>dezembro</v>
      </c>
      <c r="I3506" t="str">
        <f>TEXT(MONTH(Tabela1[[#This Row],[Último pagto ano]])*29,"mmmm")</f>
        <v>dezembro</v>
      </c>
    </row>
    <row r="3507" spans="1:9" x14ac:dyDescent="0.25">
      <c r="A3507">
        <v>2025</v>
      </c>
      <c r="B3507" t="s">
        <v>6979</v>
      </c>
      <c r="C3507" s="1">
        <v>45996</v>
      </c>
      <c r="D3507" t="s">
        <v>6980</v>
      </c>
      <c r="E3507" s="2">
        <v>4950</v>
      </c>
      <c r="G3507" s="3">
        <f>MONTH(Tabela1[[#This Row],[Último pagto ano]])</f>
        <v>12</v>
      </c>
      <c r="H3507" t="str">
        <f>TEXT(Tabela1[[#This Row],[Coluna2]]*29,"mmmm")</f>
        <v>dezembro</v>
      </c>
      <c r="I3507" t="str">
        <f>TEXT(MONTH(Tabela1[[#This Row],[Último pagto ano]])*29,"mmmm")</f>
        <v>dezembro</v>
      </c>
    </row>
    <row r="3508" spans="1:9" x14ac:dyDescent="0.25">
      <c r="A3508">
        <v>2025</v>
      </c>
      <c r="B3508" t="s">
        <v>6981</v>
      </c>
      <c r="C3508" s="1">
        <v>45915</v>
      </c>
      <c r="D3508" t="s">
        <v>6982</v>
      </c>
      <c r="E3508">
        <v>737</v>
      </c>
      <c r="G3508" s="3">
        <f>MONTH(Tabela1[[#This Row],[Último pagto ano]])</f>
        <v>9</v>
      </c>
      <c r="H3508" t="str">
        <f>TEXT(Tabela1[[#This Row],[Coluna2]]*29,"mmmm")</f>
        <v>setembro</v>
      </c>
      <c r="I3508" t="str">
        <f>TEXT(MONTH(Tabela1[[#This Row],[Último pagto ano]])*29,"mmmm")</f>
        <v>setembro</v>
      </c>
    </row>
    <row r="3509" spans="1:9" x14ac:dyDescent="0.25">
      <c r="A3509">
        <v>2025</v>
      </c>
      <c r="B3509" t="s">
        <v>6983</v>
      </c>
      <c r="C3509" s="1">
        <v>45996</v>
      </c>
      <c r="D3509" t="s">
        <v>6984</v>
      </c>
      <c r="E3509" s="2">
        <v>59530</v>
      </c>
      <c r="G3509" s="3">
        <f>MONTH(Tabela1[[#This Row],[Último pagto ano]])</f>
        <v>12</v>
      </c>
      <c r="H3509" t="str">
        <f>TEXT(Tabela1[[#This Row],[Coluna2]]*29,"mmmm")</f>
        <v>dezembro</v>
      </c>
      <c r="I3509" t="str">
        <f>TEXT(MONTH(Tabela1[[#This Row],[Último pagto ano]])*29,"mmmm")</f>
        <v>dezembro</v>
      </c>
    </row>
    <row r="3510" spans="1:9" x14ac:dyDescent="0.25">
      <c r="A3510">
        <v>2025</v>
      </c>
      <c r="B3510" t="s">
        <v>6985</v>
      </c>
      <c r="C3510" s="1">
        <v>45996</v>
      </c>
      <c r="D3510" t="s">
        <v>6986</v>
      </c>
      <c r="E3510" s="2">
        <v>1500</v>
      </c>
      <c r="G3510" s="3">
        <f>MONTH(Tabela1[[#This Row],[Último pagto ano]])</f>
        <v>12</v>
      </c>
      <c r="H3510" t="str">
        <f>TEXT(Tabela1[[#This Row],[Coluna2]]*29,"mmmm")</f>
        <v>dezembro</v>
      </c>
      <c r="I3510" t="str">
        <f>TEXT(MONTH(Tabela1[[#This Row],[Último pagto ano]])*29,"mmmm")</f>
        <v>dezembro</v>
      </c>
    </row>
    <row r="3511" spans="1:9" x14ac:dyDescent="0.25">
      <c r="A3511">
        <v>2025</v>
      </c>
      <c r="B3511" t="s">
        <v>6987</v>
      </c>
      <c r="C3511" s="1">
        <v>45968</v>
      </c>
      <c r="D3511" t="s">
        <v>6988</v>
      </c>
      <c r="E3511" s="2">
        <v>3500</v>
      </c>
      <c r="G3511" s="3">
        <f>MONTH(Tabela1[[#This Row],[Último pagto ano]])</f>
        <v>11</v>
      </c>
      <c r="H3511" t="str">
        <f>TEXT(Tabela1[[#This Row],[Coluna2]]*29,"mmmm")</f>
        <v>novembro</v>
      </c>
      <c r="I3511" t="str">
        <f>TEXT(MONTH(Tabela1[[#This Row],[Último pagto ano]])*29,"mmmm")</f>
        <v>novembro</v>
      </c>
    </row>
    <row r="3512" spans="1:9" x14ac:dyDescent="0.25">
      <c r="A3512">
        <v>2025</v>
      </c>
      <c r="B3512" t="s">
        <v>6989</v>
      </c>
      <c r="C3512" s="1">
        <v>45762</v>
      </c>
      <c r="D3512" t="s">
        <v>6990</v>
      </c>
      <c r="E3512" s="2">
        <v>3281.76</v>
      </c>
      <c r="G3512" s="3">
        <f>MONTH(Tabela1[[#This Row],[Último pagto ano]])</f>
        <v>4</v>
      </c>
      <c r="H3512" t="str">
        <f>TEXT(Tabela1[[#This Row],[Coluna2]]*29,"mmmm")</f>
        <v>abril</v>
      </c>
      <c r="I3512" t="str">
        <f>TEXT(MONTH(Tabela1[[#This Row],[Último pagto ano]])*29,"mmmm")</f>
        <v>abril</v>
      </c>
    </row>
    <row r="3513" spans="1:9" x14ac:dyDescent="0.25">
      <c r="A3513">
        <v>2025</v>
      </c>
      <c r="B3513" t="s">
        <v>6991</v>
      </c>
      <c r="C3513" s="1">
        <v>45786</v>
      </c>
      <c r="D3513" t="s">
        <v>6992</v>
      </c>
      <c r="E3513" s="2">
        <v>27000</v>
      </c>
      <c r="G3513" s="3">
        <f>MONTH(Tabela1[[#This Row],[Último pagto ano]])</f>
        <v>5</v>
      </c>
      <c r="H3513" t="str">
        <f>TEXT(Tabela1[[#This Row],[Coluna2]]*29,"mmmm")</f>
        <v>maio</v>
      </c>
      <c r="I3513" t="str">
        <f>TEXT(MONTH(Tabela1[[#This Row],[Último pagto ano]])*29,"mmmm")</f>
        <v>maio</v>
      </c>
    </row>
    <row r="3514" spans="1:9" x14ac:dyDescent="0.25">
      <c r="A3514">
        <v>2025</v>
      </c>
      <c r="B3514" t="s">
        <v>6993</v>
      </c>
      <c r="C3514" s="1">
        <v>45996</v>
      </c>
      <c r="D3514" t="s">
        <v>6994</v>
      </c>
      <c r="E3514" s="2">
        <v>3560</v>
      </c>
      <c r="G3514" s="3">
        <f>MONTH(Tabela1[[#This Row],[Último pagto ano]])</f>
        <v>12</v>
      </c>
      <c r="H3514" t="str">
        <f>TEXT(Tabela1[[#This Row],[Coluna2]]*29,"mmmm")</f>
        <v>dezembro</v>
      </c>
      <c r="I3514" t="str">
        <f>TEXT(MONTH(Tabela1[[#This Row],[Último pagto ano]])*29,"mmmm")</f>
        <v>dezembro</v>
      </c>
    </row>
    <row r="3515" spans="1:9" x14ac:dyDescent="0.25">
      <c r="A3515">
        <v>2025</v>
      </c>
      <c r="B3515" t="s">
        <v>6995</v>
      </c>
      <c r="C3515" s="1">
        <v>45996</v>
      </c>
      <c r="D3515" t="s">
        <v>6996</v>
      </c>
      <c r="E3515" s="2">
        <v>31120</v>
      </c>
      <c r="G3515" s="3">
        <f>MONTH(Tabela1[[#This Row],[Último pagto ano]])</f>
        <v>12</v>
      </c>
      <c r="H3515" t="str">
        <f>TEXT(Tabela1[[#This Row],[Coluna2]]*29,"mmmm")</f>
        <v>dezembro</v>
      </c>
      <c r="I3515" t="str">
        <f>TEXT(MONTH(Tabela1[[#This Row],[Último pagto ano]])*29,"mmmm")</f>
        <v>dezembro</v>
      </c>
    </row>
    <row r="3516" spans="1:9" x14ac:dyDescent="0.25">
      <c r="A3516">
        <v>2025</v>
      </c>
      <c r="B3516" t="s">
        <v>6997</v>
      </c>
      <c r="C3516" s="1">
        <v>45978</v>
      </c>
      <c r="D3516" t="s">
        <v>6998</v>
      </c>
      <c r="E3516">
        <v>11</v>
      </c>
      <c r="G3516" s="3">
        <f>MONTH(Tabela1[[#This Row],[Último pagto ano]])</f>
        <v>11</v>
      </c>
      <c r="H3516" t="str">
        <f>TEXT(Tabela1[[#This Row],[Coluna2]]*29,"mmmm")</f>
        <v>novembro</v>
      </c>
      <c r="I3516" t="str">
        <f>TEXT(MONTH(Tabela1[[#This Row],[Último pagto ano]])*29,"mmmm")</f>
        <v>novembro</v>
      </c>
    </row>
    <row r="3517" spans="1:9" x14ac:dyDescent="0.25">
      <c r="A3517">
        <v>2025</v>
      </c>
      <c r="B3517" t="s">
        <v>6999</v>
      </c>
      <c r="C3517" s="1">
        <v>45975</v>
      </c>
      <c r="D3517" t="s">
        <v>7000</v>
      </c>
      <c r="E3517" s="2">
        <v>1480.8</v>
      </c>
      <c r="G3517" s="3">
        <f>MONTH(Tabela1[[#This Row],[Último pagto ano]])</f>
        <v>11</v>
      </c>
      <c r="H3517" t="str">
        <f>TEXT(Tabela1[[#This Row],[Coluna2]]*29,"mmmm")</f>
        <v>novembro</v>
      </c>
      <c r="I3517" t="str">
        <f>TEXT(MONTH(Tabela1[[#This Row],[Último pagto ano]])*29,"mmmm")</f>
        <v>novembro</v>
      </c>
    </row>
    <row r="3518" spans="1:9" x14ac:dyDescent="0.25">
      <c r="A3518">
        <v>2025</v>
      </c>
      <c r="B3518" t="s">
        <v>7001</v>
      </c>
      <c r="C3518" s="1">
        <v>45996</v>
      </c>
      <c r="D3518" t="s">
        <v>7002</v>
      </c>
      <c r="E3518" s="2">
        <v>12060</v>
      </c>
      <c r="G3518" s="3">
        <f>MONTH(Tabela1[[#This Row],[Último pagto ano]])</f>
        <v>12</v>
      </c>
      <c r="H3518" t="str">
        <f>TEXT(Tabela1[[#This Row],[Coluna2]]*29,"mmmm")</f>
        <v>dezembro</v>
      </c>
      <c r="I3518" t="str">
        <f>TEXT(MONTH(Tabela1[[#This Row],[Último pagto ano]])*29,"mmmm")</f>
        <v>dezembro</v>
      </c>
    </row>
    <row r="3519" spans="1:9" x14ac:dyDescent="0.25">
      <c r="A3519">
        <v>2025</v>
      </c>
      <c r="B3519" t="s">
        <v>7003</v>
      </c>
      <c r="C3519" s="1">
        <v>45968</v>
      </c>
      <c r="D3519" t="s">
        <v>7004</v>
      </c>
      <c r="E3519">
        <v>215</v>
      </c>
      <c r="G3519" s="3">
        <f>MONTH(Tabela1[[#This Row],[Último pagto ano]])</f>
        <v>11</v>
      </c>
      <c r="H3519" t="str">
        <f>TEXT(Tabela1[[#This Row],[Coluna2]]*29,"mmmm")</f>
        <v>novembro</v>
      </c>
      <c r="I3519" t="str">
        <f>TEXT(MONTH(Tabela1[[#This Row],[Último pagto ano]])*29,"mmmm")</f>
        <v>novembro</v>
      </c>
    </row>
    <row r="3520" spans="1:9" x14ac:dyDescent="0.25">
      <c r="A3520">
        <v>2025</v>
      </c>
      <c r="B3520" t="s">
        <v>7005</v>
      </c>
      <c r="C3520" s="1">
        <v>46014</v>
      </c>
      <c r="D3520" t="s">
        <v>7006</v>
      </c>
      <c r="E3520">
        <v>290</v>
      </c>
      <c r="G3520" s="3">
        <f>MONTH(Tabela1[[#This Row],[Último pagto ano]])</f>
        <v>12</v>
      </c>
      <c r="H3520" t="str">
        <f>TEXT(Tabela1[[#This Row],[Coluna2]]*29,"mmmm")</f>
        <v>dezembro</v>
      </c>
      <c r="I3520" t="str">
        <f>TEXT(MONTH(Tabela1[[#This Row],[Último pagto ano]])*29,"mmmm")</f>
        <v>dezembro</v>
      </c>
    </row>
    <row r="3521" spans="1:9" x14ac:dyDescent="0.25">
      <c r="A3521">
        <v>2025</v>
      </c>
      <c r="B3521" t="s">
        <v>7007</v>
      </c>
      <c r="C3521" s="1">
        <v>45754</v>
      </c>
      <c r="D3521" t="s">
        <v>7008</v>
      </c>
      <c r="E3521" s="2">
        <v>1100</v>
      </c>
      <c r="G3521" s="3">
        <f>MONTH(Tabela1[[#This Row],[Último pagto ano]])</f>
        <v>4</v>
      </c>
      <c r="H3521" t="str">
        <f>TEXT(Tabela1[[#This Row],[Coluna2]]*29,"mmmm")</f>
        <v>abril</v>
      </c>
      <c r="I3521" t="str">
        <f>TEXT(MONTH(Tabela1[[#This Row],[Último pagto ano]])*29,"mmmm")</f>
        <v>abril</v>
      </c>
    </row>
    <row r="3522" spans="1:9" x14ac:dyDescent="0.25">
      <c r="A3522">
        <v>2025</v>
      </c>
      <c r="B3522" t="s">
        <v>7009</v>
      </c>
      <c r="C3522" s="1">
        <v>46010</v>
      </c>
      <c r="D3522" t="s">
        <v>7010</v>
      </c>
      <c r="E3522" s="2">
        <v>8400</v>
      </c>
      <c r="G3522" s="3">
        <f>MONTH(Tabela1[[#This Row],[Último pagto ano]])</f>
        <v>12</v>
      </c>
      <c r="H3522" t="str">
        <f>TEXT(Tabela1[[#This Row],[Coluna2]]*29,"mmmm")</f>
        <v>dezembro</v>
      </c>
      <c r="I3522" t="str">
        <f>TEXT(MONTH(Tabela1[[#This Row],[Último pagto ano]])*29,"mmmm")</f>
        <v>dezembro</v>
      </c>
    </row>
    <row r="3523" spans="1:9" x14ac:dyDescent="0.25">
      <c r="A3523">
        <v>2025</v>
      </c>
      <c r="B3523" t="s">
        <v>7011</v>
      </c>
      <c r="C3523" s="1">
        <v>46021</v>
      </c>
      <c r="D3523" t="s">
        <v>7012</v>
      </c>
      <c r="E3523" s="2">
        <v>12752.95</v>
      </c>
      <c r="G3523" s="3">
        <f>MONTH(Tabela1[[#This Row],[Último pagto ano]])</f>
        <v>12</v>
      </c>
      <c r="H3523" t="str">
        <f>TEXT(Tabela1[[#This Row],[Coluna2]]*29,"mmmm")</f>
        <v>dezembro</v>
      </c>
      <c r="I3523" t="str">
        <f>TEXT(MONTH(Tabela1[[#This Row],[Último pagto ano]])*29,"mmmm")</f>
        <v>dezembro</v>
      </c>
    </row>
    <row r="3524" spans="1:9" x14ac:dyDescent="0.25">
      <c r="A3524">
        <v>2025</v>
      </c>
      <c r="B3524" t="s">
        <v>7013</v>
      </c>
      <c r="C3524" s="1">
        <v>45915</v>
      </c>
      <c r="D3524" t="s">
        <v>7014</v>
      </c>
      <c r="E3524" s="2">
        <v>4442.3999999999996</v>
      </c>
      <c r="G3524" s="3">
        <f>MONTH(Tabela1[[#This Row],[Último pagto ano]])</f>
        <v>9</v>
      </c>
      <c r="H3524" t="str">
        <f>TEXT(Tabela1[[#This Row],[Coluna2]]*29,"mmmm")</f>
        <v>setembro</v>
      </c>
      <c r="I3524" t="str">
        <f>TEXT(MONTH(Tabela1[[#This Row],[Último pagto ano]])*29,"mmmm")</f>
        <v>setembro</v>
      </c>
    </row>
    <row r="3525" spans="1:9" x14ac:dyDescent="0.25">
      <c r="A3525">
        <v>2025</v>
      </c>
      <c r="B3525" t="s">
        <v>7015</v>
      </c>
      <c r="C3525" s="1">
        <v>46021</v>
      </c>
      <c r="D3525" t="s">
        <v>7016</v>
      </c>
      <c r="E3525" s="2">
        <v>4620.37</v>
      </c>
      <c r="G3525" s="3">
        <f>MONTH(Tabela1[[#This Row],[Último pagto ano]])</f>
        <v>12</v>
      </c>
      <c r="H3525" t="str">
        <f>TEXT(Tabela1[[#This Row],[Coluna2]]*29,"mmmm")</f>
        <v>dezembro</v>
      </c>
      <c r="I3525" t="str">
        <f>TEXT(MONTH(Tabela1[[#This Row],[Último pagto ano]])*29,"mmmm")</f>
        <v>dezembro</v>
      </c>
    </row>
    <row r="3526" spans="1:9" x14ac:dyDescent="0.25">
      <c r="A3526">
        <v>2025</v>
      </c>
      <c r="B3526" t="s">
        <v>7017</v>
      </c>
      <c r="C3526" s="1">
        <v>45989</v>
      </c>
      <c r="D3526" t="s">
        <v>7018</v>
      </c>
      <c r="E3526" s="2">
        <v>3628.8</v>
      </c>
      <c r="G3526" s="3">
        <f>MONTH(Tabela1[[#This Row],[Último pagto ano]])</f>
        <v>11</v>
      </c>
      <c r="H3526" t="str">
        <f>TEXT(Tabela1[[#This Row],[Coluna2]]*29,"mmmm")</f>
        <v>novembro</v>
      </c>
      <c r="I3526" t="str">
        <f>TEXT(MONTH(Tabela1[[#This Row],[Último pagto ano]])*29,"mmmm")</f>
        <v>novembro</v>
      </c>
    </row>
    <row r="3527" spans="1:9" x14ac:dyDescent="0.25">
      <c r="A3527">
        <v>2025</v>
      </c>
      <c r="B3527" t="s">
        <v>7019</v>
      </c>
      <c r="C3527" s="1">
        <v>45687</v>
      </c>
      <c r="D3527" t="s">
        <v>7020</v>
      </c>
      <c r="E3527">
        <v>459.13</v>
      </c>
      <c r="G3527" s="3">
        <f>MONTH(Tabela1[[#This Row],[Último pagto ano]])</f>
        <v>1</v>
      </c>
      <c r="H3527" t="str">
        <f>TEXT(Tabela1[[#This Row],[Coluna2]]*29,"mmmm")</f>
        <v>janeiro</v>
      </c>
      <c r="I3527" t="str">
        <f>TEXT(MONTH(Tabela1[[#This Row],[Último pagto ano]])*29,"mmmm")</f>
        <v>janeiro</v>
      </c>
    </row>
    <row r="3528" spans="1:9" x14ac:dyDescent="0.25">
      <c r="A3528">
        <v>2025</v>
      </c>
      <c r="B3528" t="s">
        <v>7021</v>
      </c>
      <c r="C3528" s="1">
        <v>45988</v>
      </c>
      <c r="D3528" t="s">
        <v>7022</v>
      </c>
      <c r="E3528">
        <v>561.6</v>
      </c>
      <c r="G3528" s="3">
        <f>MONTH(Tabela1[[#This Row],[Último pagto ano]])</f>
        <v>11</v>
      </c>
      <c r="H3528" t="str">
        <f>TEXT(Tabela1[[#This Row],[Coluna2]]*29,"mmmm")</f>
        <v>novembro</v>
      </c>
      <c r="I3528" t="str">
        <f>TEXT(MONTH(Tabela1[[#This Row],[Último pagto ano]])*29,"mmmm")</f>
        <v>novembro</v>
      </c>
    </row>
    <row r="3529" spans="1:9" x14ac:dyDescent="0.25">
      <c r="A3529">
        <v>2025</v>
      </c>
      <c r="B3529" t="s">
        <v>7023</v>
      </c>
      <c r="C3529" s="1">
        <v>45996</v>
      </c>
      <c r="D3529" t="s">
        <v>7024</v>
      </c>
      <c r="E3529" s="2">
        <v>9000</v>
      </c>
      <c r="G3529" s="3">
        <f>MONTH(Tabela1[[#This Row],[Último pagto ano]])</f>
        <v>12</v>
      </c>
      <c r="H3529" t="str">
        <f>TEXT(Tabela1[[#This Row],[Coluna2]]*29,"mmmm")</f>
        <v>dezembro</v>
      </c>
      <c r="I3529" t="str">
        <f>TEXT(MONTH(Tabela1[[#This Row],[Último pagto ano]])*29,"mmmm")</f>
        <v>dezembro</v>
      </c>
    </row>
    <row r="3530" spans="1:9" x14ac:dyDescent="0.25">
      <c r="A3530">
        <v>2025</v>
      </c>
      <c r="B3530" t="s">
        <v>7025</v>
      </c>
      <c r="C3530" s="1">
        <v>45905</v>
      </c>
      <c r="D3530" t="s">
        <v>7026</v>
      </c>
      <c r="E3530" s="2">
        <v>1200</v>
      </c>
      <c r="G3530" s="3">
        <f>MONTH(Tabela1[[#This Row],[Último pagto ano]])</f>
        <v>9</v>
      </c>
      <c r="H3530" t="str">
        <f>TEXT(Tabela1[[#This Row],[Coluna2]]*29,"mmmm")</f>
        <v>setembro</v>
      </c>
      <c r="I3530" t="str">
        <f>TEXT(MONTH(Tabela1[[#This Row],[Último pagto ano]])*29,"mmmm")</f>
        <v>setembro</v>
      </c>
    </row>
    <row r="3531" spans="1:9" x14ac:dyDescent="0.25">
      <c r="A3531">
        <v>2025</v>
      </c>
      <c r="B3531" t="s">
        <v>7027</v>
      </c>
      <c r="C3531" s="1">
        <v>45940</v>
      </c>
      <c r="D3531" t="s">
        <v>7028</v>
      </c>
      <c r="E3531" s="2">
        <v>7865.09</v>
      </c>
      <c r="G3531" s="3">
        <f>MONTH(Tabela1[[#This Row],[Último pagto ano]])</f>
        <v>10</v>
      </c>
      <c r="H3531" t="str">
        <f>TEXT(Tabela1[[#This Row],[Coluna2]]*29,"mmmm")</f>
        <v>outubro</v>
      </c>
      <c r="I3531" t="str">
        <f>TEXT(MONTH(Tabela1[[#This Row],[Último pagto ano]])*29,"mmmm")</f>
        <v>outubro</v>
      </c>
    </row>
    <row r="3532" spans="1:9" x14ac:dyDescent="0.25">
      <c r="A3532">
        <v>2025</v>
      </c>
      <c r="B3532" t="s">
        <v>7029</v>
      </c>
      <c r="C3532" s="1">
        <v>45855</v>
      </c>
      <c r="D3532" t="s">
        <v>7030</v>
      </c>
      <c r="E3532" s="2">
        <v>9383.01</v>
      </c>
      <c r="G3532" s="3">
        <f>MONTH(Tabela1[[#This Row],[Último pagto ano]])</f>
        <v>7</v>
      </c>
      <c r="H3532" t="str">
        <f>TEXT(Tabela1[[#This Row],[Coluna2]]*29,"mmmm")</f>
        <v>julho</v>
      </c>
      <c r="I3532" t="str">
        <f>TEXT(MONTH(Tabela1[[#This Row],[Último pagto ano]])*29,"mmmm")</f>
        <v>julho</v>
      </c>
    </row>
    <row r="3533" spans="1:9" x14ac:dyDescent="0.25">
      <c r="A3533">
        <v>2025</v>
      </c>
      <c r="B3533" t="s">
        <v>7031</v>
      </c>
      <c r="C3533" s="1">
        <v>45831</v>
      </c>
      <c r="D3533" t="s">
        <v>7032</v>
      </c>
      <c r="E3533">
        <v>192.99</v>
      </c>
      <c r="G3533" s="3">
        <f>MONTH(Tabela1[[#This Row],[Último pagto ano]])</f>
        <v>6</v>
      </c>
      <c r="H3533" t="str">
        <f>TEXT(Tabela1[[#This Row],[Coluna2]]*29,"mmmm")</f>
        <v>junho</v>
      </c>
      <c r="I3533" t="str">
        <f>TEXT(MONTH(Tabela1[[#This Row],[Último pagto ano]])*29,"mmmm")</f>
        <v>junho</v>
      </c>
    </row>
    <row r="3534" spans="1:9" x14ac:dyDescent="0.25">
      <c r="A3534">
        <v>2025</v>
      </c>
      <c r="B3534" t="s">
        <v>7033</v>
      </c>
      <c r="C3534" s="1">
        <v>45964</v>
      </c>
      <c r="D3534" t="s">
        <v>7034</v>
      </c>
      <c r="E3534">
        <v>132</v>
      </c>
      <c r="G3534" s="3">
        <f>MONTH(Tabela1[[#This Row],[Último pagto ano]])</f>
        <v>11</v>
      </c>
      <c r="H3534" t="str">
        <f>TEXT(Tabela1[[#This Row],[Coluna2]]*29,"mmmm")</f>
        <v>novembro</v>
      </c>
      <c r="I3534" t="str">
        <f>TEXT(MONTH(Tabela1[[#This Row],[Último pagto ano]])*29,"mmmm")</f>
        <v>novembro</v>
      </c>
    </row>
    <row r="3535" spans="1:9" x14ac:dyDescent="0.25">
      <c r="A3535">
        <v>2025</v>
      </c>
      <c r="B3535" t="s">
        <v>7035</v>
      </c>
      <c r="C3535" s="1">
        <v>45924</v>
      </c>
      <c r="D3535" t="s">
        <v>7036</v>
      </c>
      <c r="E3535" s="2">
        <v>1400</v>
      </c>
      <c r="G3535" s="3">
        <f>MONTH(Tabela1[[#This Row],[Último pagto ano]])</f>
        <v>9</v>
      </c>
      <c r="H3535" t="str">
        <f>TEXT(Tabela1[[#This Row],[Coluna2]]*29,"mmmm")</f>
        <v>setembro</v>
      </c>
      <c r="I3535" t="str">
        <f>TEXT(MONTH(Tabela1[[#This Row],[Último pagto ano]])*29,"mmmm")</f>
        <v>setembro</v>
      </c>
    </row>
    <row r="3536" spans="1:9" x14ac:dyDescent="0.25">
      <c r="A3536">
        <v>2025</v>
      </c>
      <c r="B3536" t="s">
        <v>7037</v>
      </c>
      <c r="C3536" s="1">
        <v>45996</v>
      </c>
      <c r="D3536" t="s">
        <v>7038</v>
      </c>
      <c r="E3536" s="2">
        <v>7200</v>
      </c>
      <c r="G3536" s="3">
        <f>MONTH(Tabela1[[#This Row],[Último pagto ano]])</f>
        <v>12</v>
      </c>
      <c r="H3536" t="str">
        <f>TEXT(Tabela1[[#This Row],[Coluna2]]*29,"mmmm")</f>
        <v>dezembro</v>
      </c>
      <c r="I3536" t="str">
        <f>TEXT(MONTH(Tabela1[[#This Row],[Último pagto ano]])*29,"mmmm")</f>
        <v>dezembro</v>
      </c>
    </row>
    <row r="3537" spans="1:9" x14ac:dyDescent="0.25">
      <c r="A3537">
        <v>2025</v>
      </c>
      <c r="B3537" t="s">
        <v>7039</v>
      </c>
      <c r="C3537" s="1">
        <v>45989</v>
      </c>
      <c r="D3537" t="s">
        <v>7040</v>
      </c>
      <c r="E3537" s="2">
        <v>9994.7900000000009</v>
      </c>
      <c r="G3537" s="3">
        <f>MONTH(Tabela1[[#This Row],[Último pagto ano]])</f>
        <v>11</v>
      </c>
      <c r="H3537" t="str">
        <f>TEXT(Tabela1[[#This Row],[Coluna2]]*29,"mmmm")</f>
        <v>novembro</v>
      </c>
      <c r="I3537" t="str">
        <f>TEXT(MONTH(Tabela1[[#This Row],[Último pagto ano]])*29,"mmmm")</f>
        <v>novembro</v>
      </c>
    </row>
    <row r="3538" spans="1:9" x14ac:dyDescent="0.25">
      <c r="A3538">
        <v>2025</v>
      </c>
      <c r="B3538" t="s">
        <v>7041</v>
      </c>
      <c r="C3538" s="1">
        <v>46021</v>
      </c>
      <c r="D3538" t="s">
        <v>7042</v>
      </c>
      <c r="E3538" s="2">
        <v>12752.98</v>
      </c>
      <c r="G3538" s="3">
        <f>MONTH(Tabela1[[#This Row],[Último pagto ano]])</f>
        <v>12</v>
      </c>
      <c r="H3538" t="str">
        <f>TEXT(Tabela1[[#This Row],[Coluna2]]*29,"mmmm")</f>
        <v>dezembro</v>
      </c>
      <c r="I3538" t="str">
        <f>TEXT(MONTH(Tabela1[[#This Row],[Último pagto ano]])*29,"mmmm")</f>
        <v>dezembro</v>
      </c>
    </row>
    <row r="3539" spans="1:9" x14ac:dyDescent="0.25">
      <c r="A3539">
        <v>2025</v>
      </c>
      <c r="B3539" t="s">
        <v>7043</v>
      </c>
      <c r="C3539" s="1">
        <v>46021</v>
      </c>
      <c r="D3539" t="s">
        <v>7044</v>
      </c>
      <c r="E3539" s="2">
        <v>2186.64</v>
      </c>
      <c r="G3539" s="3">
        <f>MONTH(Tabela1[[#This Row],[Último pagto ano]])</f>
        <v>12</v>
      </c>
      <c r="H3539" t="str">
        <f>TEXT(Tabela1[[#This Row],[Coluna2]]*29,"mmmm")</f>
        <v>dezembro</v>
      </c>
      <c r="I3539" t="str">
        <f>TEXT(MONTH(Tabela1[[#This Row],[Último pagto ano]])*29,"mmmm")</f>
        <v>dezembro</v>
      </c>
    </row>
    <row r="3540" spans="1:9" x14ac:dyDescent="0.25">
      <c r="A3540">
        <v>2025</v>
      </c>
      <c r="B3540" t="s">
        <v>7045</v>
      </c>
      <c r="C3540" s="1">
        <v>45979</v>
      </c>
      <c r="D3540" t="s">
        <v>7046</v>
      </c>
      <c r="E3540" s="2">
        <v>85484</v>
      </c>
      <c r="G3540" s="3">
        <f>MONTH(Tabela1[[#This Row],[Último pagto ano]])</f>
        <v>11</v>
      </c>
      <c r="H3540" t="str">
        <f>TEXT(Tabela1[[#This Row],[Coluna2]]*29,"mmmm")</f>
        <v>novembro</v>
      </c>
      <c r="I3540" t="str">
        <f>TEXT(MONTH(Tabela1[[#This Row],[Último pagto ano]])*29,"mmmm")</f>
        <v>novembro</v>
      </c>
    </row>
    <row r="3541" spans="1:9" x14ac:dyDescent="0.25">
      <c r="A3541">
        <v>2025</v>
      </c>
      <c r="B3541" t="s">
        <v>7047</v>
      </c>
      <c r="C3541" s="1">
        <v>46006</v>
      </c>
      <c r="D3541" t="s">
        <v>7048</v>
      </c>
      <c r="E3541" s="2">
        <v>4641.28</v>
      </c>
      <c r="G3541" s="3">
        <f>MONTH(Tabela1[[#This Row],[Último pagto ano]])</f>
        <v>12</v>
      </c>
      <c r="H3541" t="str">
        <f>TEXT(Tabela1[[#This Row],[Coluna2]]*29,"mmmm")</f>
        <v>dezembro</v>
      </c>
      <c r="I3541" t="str">
        <f>TEXT(MONTH(Tabela1[[#This Row],[Último pagto ano]])*29,"mmmm")</f>
        <v>dezembro</v>
      </c>
    </row>
    <row r="3542" spans="1:9" x14ac:dyDescent="0.25">
      <c r="A3542">
        <v>2025</v>
      </c>
      <c r="B3542" t="s">
        <v>7049</v>
      </c>
      <c r="C3542" s="1">
        <v>46021</v>
      </c>
      <c r="D3542" t="s">
        <v>7050</v>
      </c>
      <c r="E3542" s="2">
        <v>10087.200000000001</v>
      </c>
      <c r="G3542" s="3">
        <f>MONTH(Tabela1[[#This Row],[Último pagto ano]])</f>
        <v>12</v>
      </c>
      <c r="H3542" t="str">
        <f>TEXT(Tabela1[[#This Row],[Coluna2]]*29,"mmmm")</f>
        <v>dezembro</v>
      </c>
      <c r="I3542" t="str">
        <f>TEXT(MONTH(Tabela1[[#This Row],[Último pagto ano]])*29,"mmmm")</f>
        <v>dezembro</v>
      </c>
    </row>
    <row r="3543" spans="1:9" x14ac:dyDescent="0.25">
      <c r="A3543">
        <v>2025</v>
      </c>
      <c r="B3543" t="s">
        <v>7051</v>
      </c>
      <c r="C3543" s="1">
        <v>46014</v>
      </c>
      <c r="D3543" t="s">
        <v>7052</v>
      </c>
      <c r="E3543" s="2">
        <v>3625</v>
      </c>
      <c r="G3543" s="3">
        <f>MONTH(Tabela1[[#This Row],[Último pagto ano]])</f>
        <v>12</v>
      </c>
      <c r="H3543" t="str">
        <f>TEXT(Tabela1[[#This Row],[Coluna2]]*29,"mmmm")</f>
        <v>dezembro</v>
      </c>
      <c r="I3543" t="str">
        <f>TEXT(MONTH(Tabela1[[#This Row],[Último pagto ano]])*29,"mmmm")</f>
        <v>dezembro</v>
      </c>
    </row>
    <row r="3544" spans="1:9" x14ac:dyDescent="0.25">
      <c r="A3544">
        <v>2025</v>
      </c>
      <c r="B3544" t="s">
        <v>7053</v>
      </c>
      <c r="C3544" s="1">
        <v>45896</v>
      </c>
      <c r="D3544" t="s">
        <v>7054</v>
      </c>
      <c r="E3544" s="2">
        <v>5181.8999999999996</v>
      </c>
      <c r="G3544" s="3">
        <f>MONTH(Tabela1[[#This Row],[Último pagto ano]])</f>
        <v>8</v>
      </c>
      <c r="H3544" t="str">
        <f>TEXT(Tabela1[[#This Row],[Coluna2]]*29,"mmmm")</f>
        <v>agosto</v>
      </c>
      <c r="I3544" t="str">
        <f>TEXT(MONTH(Tabela1[[#This Row],[Último pagto ano]])*29,"mmmm")</f>
        <v>agosto</v>
      </c>
    </row>
    <row r="3545" spans="1:9" x14ac:dyDescent="0.25">
      <c r="A3545">
        <v>2025</v>
      </c>
      <c r="B3545" t="s">
        <v>7055</v>
      </c>
      <c r="C3545" s="1">
        <v>45887</v>
      </c>
      <c r="D3545" t="s">
        <v>7056</v>
      </c>
      <c r="E3545">
        <v>66</v>
      </c>
      <c r="G3545" s="3">
        <f>MONTH(Tabela1[[#This Row],[Último pagto ano]])</f>
        <v>8</v>
      </c>
      <c r="H3545" t="str">
        <f>TEXT(Tabela1[[#This Row],[Coluna2]]*29,"mmmm")</f>
        <v>agosto</v>
      </c>
      <c r="I3545" t="str">
        <f>TEXT(MONTH(Tabela1[[#This Row],[Último pagto ano]])*29,"mmmm")</f>
        <v>agosto</v>
      </c>
    </row>
    <row r="3546" spans="1:9" x14ac:dyDescent="0.25">
      <c r="A3546">
        <v>2025</v>
      </c>
      <c r="B3546" t="s">
        <v>7057</v>
      </c>
      <c r="C3546" s="1">
        <v>45705</v>
      </c>
      <c r="D3546" t="s">
        <v>7058</v>
      </c>
      <c r="E3546">
        <v>296.16000000000003</v>
      </c>
      <c r="G3546" s="3">
        <f>MONTH(Tabela1[[#This Row],[Último pagto ano]])</f>
        <v>2</v>
      </c>
      <c r="H3546" t="str">
        <f>TEXT(Tabela1[[#This Row],[Coluna2]]*29,"mmmm")</f>
        <v>fevereiro</v>
      </c>
      <c r="I3546" t="str">
        <f>TEXT(MONTH(Tabela1[[#This Row],[Último pagto ano]])*29,"mmmm")</f>
        <v>fevereiro</v>
      </c>
    </row>
    <row r="3547" spans="1:9" x14ac:dyDescent="0.25">
      <c r="A3547">
        <v>2025</v>
      </c>
      <c r="B3547" t="s">
        <v>7059</v>
      </c>
      <c r="C3547" s="1">
        <v>46000</v>
      </c>
      <c r="D3547" t="s">
        <v>7060</v>
      </c>
      <c r="E3547" s="2">
        <v>16154.16</v>
      </c>
      <c r="G3547" s="3">
        <f>MONTH(Tabela1[[#This Row],[Último pagto ano]])</f>
        <v>12</v>
      </c>
      <c r="H3547" t="str">
        <f>TEXT(Tabela1[[#This Row],[Coluna2]]*29,"mmmm")</f>
        <v>dezembro</v>
      </c>
      <c r="I3547" t="str">
        <f>TEXT(MONTH(Tabela1[[#This Row],[Último pagto ano]])*29,"mmmm")</f>
        <v>dezembro</v>
      </c>
    </row>
    <row r="3548" spans="1:9" x14ac:dyDescent="0.25">
      <c r="A3548">
        <v>2025</v>
      </c>
      <c r="B3548" t="s">
        <v>7061</v>
      </c>
      <c r="C3548" s="1">
        <v>45708</v>
      </c>
      <c r="D3548" t="s">
        <v>7062</v>
      </c>
      <c r="E3548" s="2">
        <v>2404.5100000000002</v>
      </c>
      <c r="G3548" s="3">
        <f>MONTH(Tabela1[[#This Row],[Último pagto ano]])</f>
        <v>2</v>
      </c>
      <c r="H3548" t="str">
        <f>TEXT(Tabela1[[#This Row],[Coluna2]]*29,"mmmm")</f>
        <v>fevereiro</v>
      </c>
      <c r="I3548" t="str">
        <f>TEXT(MONTH(Tabela1[[#This Row],[Último pagto ano]])*29,"mmmm")</f>
        <v>fevereiro</v>
      </c>
    </row>
    <row r="3549" spans="1:9" x14ac:dyDescent="0.25">
      <c r="A3549">
        <v>2025</v>
      </c>
      <c r="B3549" t="s">
        <v>7063</v>
      </c>
      <c r="C3549" s="1">
        <v>45905</v>
      </c>
      <c r="D3549" t="s">
        <v>7064</v>
      </c>
      <c r="E3549" s="2">
        <v>1850</v>
      </c>
      <c r="G3549" s="3">
        <f>MONTH(Tabela1[[#This Row],[Último pagto ano]])</f>
        <v>9</v>
      </c>
      <c r="H3549" t="str">
        <f>TEXT(Tabela1[[#This Row],[Coluna2]]*29,"mmmm")</f>
        <v>setembro</v>
      </c>
      <c r="I3549" t="str">
        <f>TEXT(MONTH(Tabela1[[#This Row],[Último pagto ano]])*29,"mmmm")</f>
        <v>setembro</v>
      </c>
    </row>
    <row r="3550" spans="1:9" x14ac:dyDescent="0.25">
      <c r="A3550">
        <v>2025</v>
      </c>
      <c r="B3550" t="s">
        <v>7065</v>
      </c>
      <c r="C3550" s="1">
        <v>46014</v>
      </c>
      <c r="D3550" t="s">
        <v>7066</v>
      </c>
      <c r="E3550" s="2">
        <v>29400</v>
      </c>
      <c r="G3550" s="3">
        <f>MONTH(Tabela1[[#This Row],[Último pagto ano]])</f>
        <v>12</v>
      </c>
      <c r="H3550" t="str">
        <f>TEXT(Tabela1[[#This Row],[Coluna2]]*29,"mmmm")</f>
        <v>dezembro</v>
      </c>
      <c r="I3550" t="str">
        <f>TEXT(MONTH(Tabela1[[#This Row],[Último pagto ano]])*29,"mmmm")</f>
        <v>dezembro</v>
      </c>
    </row>
    <row r="3551" spans="1:9" x14ac:dyDescent="0.25">
      <c r="A3551">
        <v>2025</v>
      </c>
      <c r="B3551" t="s">
        <v>7067</v>
      </c>
      <c r="C3551" s="1">
        <v>46014</v>
      </c>
      <c r="D3551" t="s">
        <v>7068</v>
      </c>
      <c r="E3551" s="2">
        <v>448017.53</v>
      </c>
      <c r="G3551" s="3">
        <f>MONTH(Tabela1[[#This Row],[Último pagto ano]])</f>
        <v>12</v>
      </c>
      <c r="H3551" t="str">
        <f>TEXT(Tabela1[[#This Row],[Coluna2]]*29,"mmmm")</f>
        <v>dezembro</v>
      </c>
      <c r="I3551" t="str">
        <f>TEXT(MONTH(Tabela1[[#This Row],[Último pagto ano]])*29,"mmmm")</f>
        <v>dezembro</v>
      </c>
    </row>
    <row r="3552" spans="1:9" x14ac:dyDescent="0.25">
      <c r="A3552">
        <v>2025</v>
      </c>
      <c r="B3552" t="s">
        <v>7069</v>
      </c>
      <c r="C3552" s="1">
        <v>45887</v>
      </c>
      <c r="D3552" t="s">
        <v>7070</v>
      </c>
      <c r="E3552" s="2">
        <v>14168</v>
      </c>
      <c r="G3552" s="3">
        <f>MONTH(Tabela1[[#This Row],[Último pagto ano]])</f>
        <v>8</v>
      </c>
      <c r="H3552" t="str">
        <f>TEXT(Tabela1[[#This Row],[Coluna2]]*29,"mmmm")</f>
        <v>agosto</v>
      </c>
      <c r="I3552" t="str">
        <f>TEXT(MONTH(Tabela1[[#This Row],[Último pagto ano]])*29,"mmmm")</f>
        <v>agosto</v>
      </c>
    </row>
    <row r="3553" spans="1:9" x14ac:dyDescent="0.25">
      <c r="A3553">
        <v>2025</v>
      </c>
      <c r="B3553" t="s">
        <v>7071</v>
      </c>
      <c r="C3553" s="1">
        <v>45702</v>
      </c>
      <c r="D3553" t="s">
        <v>7072</v>
      </c>
      <c r="E3553" s="2">
        <v>1289.25</v>
      </c>
      <c r="G3553" s="3">
        <f>MONTH(Tabela1[[#This Row],[Último pagto ano]])</f>
        <v>2</v>
      </c>
      <c r="H3553" t="str">
        <f>TEXT(Tabela1[[#This Row],[Coluna2]]*29,"mmmm")</f>
        <v>fevereiro</v>
      </c>
      <c r="I3553" t="str">
        <f>TEXT(MONTH(Tabela1[[#This Row],[Último pagto ano]])*29,"mmmm")</f>
        <v>fevereiro</v>
      </c>
    </row>
    <row r="3554" spans="1:9" x14ac:dyDescent="0.25">
      <c r="A3554">
        <v>2025</v>
      </c>
      <c r="B3554" t="s">
        <v>7073</v>
      </c>
      <c r="C3554" s="1">
        <v>46014</v>
      </c>
      <c r="D3554" t="s">
        <v>7074</v>
      </c>
      <c r="E3554">
        <v>36.39</v>
      </c>
      <c r="G3554" s="3">
        <f>MONTH(Tabela1[[#This Row],[Último pagto ano]])</f>
        <v>12</v>
      </c>
      <c r="H3554" t="str">
        <f>TEXT(Tabela1[[#This Row],[Coluna2]]*29,"mmmm")</f>
        <v>dezembro</v>
      </c>
      <c r="I3554" t="str">
        <f>TEXT(MONTH(Tabela1[[#This Row],[Último pagto ano]])*29,"mmmm")</f>
        <v>dezembro</v>
      </c>
    </row>
    <row r="3555" spans="1:9" x14ac:dyDescent="0.25">
      <c r="A3555">
        <v>2025</v>
      </c>
      <c r="B3555" t="s">
        <v>7075</v>
      </c>
      <c r="C3555" s="1">
        <v>45812</v>
      </c>
      <c r="D3555" t="s">
        <v>7076</v>
      </c>
      <c r="E3555" s="2">
        <v>7666.7</v>
      </c>
      <c r="G3555" s="3">
        <f>MONTH(Tabela1[[#This Row],[Último pagto ano]])</f>
        <v>6</v>
      </c>
      <c r="H3555" t="str">
        <f>TEXT(Tabela1[[#This Row],[Coluna2]]*29,"mmmm")</f>
        <v>junho</v>
      </c>
      <c r="I3555" t="str">
        <f>TEXT(MONTH(Tabela1[[#This Row],[Último pagto ano]])*29,"mmmm")</f>
        <v>junho</v>
      </c>
    </row>
    <row r="3556" spans="1:9" x14ac:dyDescent="0.25">
      <c r="A3556">
        <v>2025</v>
      </c>
      <c r="B3556" t="s">
        <v>7077</v>
      </c>
      <c r="C3556" s="1">
        <v>45691</v>
      </c>
      <c r="D3556" t="s">
        <v>7078</v>
      </c>
      <c r="E3556">
        <v>22</v>
      </c>
      <c r="G3556" s="3">
        <f>MONTH(Tabela1[[#This Row],[Último pagto ano]])</f>
        <v>2</v>
      </c>
      <c r="H3556" t="str">
        <f>TEXT(Tabela1[[#This Row],[Coluna2]]*29,"mmmm")</f>
        <v>fevereiro</v>
      </c>
      <c r="I3556" t="str">
        <f>TEXT(MONTH(Tabela1[[#This Row],[Último pagto ano]])*29,"mmmm")</f>
        <v>fevereiro</v>
      </c>
    </row>
    <row r="3557" spans="1:9" x14ac:dyDescent="0.25">
      <c r="A3557">
        <v>2025</v>
      </c>
      <c r="B3557" t="s">
        <v>7079</v>
      </c>
      <c r="C3557" s="1">
        <v>45971</v>
      </c>
      <c r="D3557" t="s">
        <v>7080</v>
      </c>
      <c r="E3557">
        <v>132</v>
      </c>
      <c r="G3557" s="3">
        <f>MONTH(Tabela1[[#This Row],[Último pagto ano]])</f>
        <v>11</v>
      </c>
      <c r="H3557" t="str">
        <f>TEXT(Tabela1[[#This Row],[Coluna2]]*29,"mmmm")</f>
        <v>novembro</v>
      </c>
      <c r="I3557" t="str">
        <f>TEXT(MONTH(Tabela1[[#This Row],[Último pagto ano]])*29,"mmmm")</f>
        <v>novembro</v>
      </c>
    </row>
    <row r="3558" spans="1:9" x14ac:dyDescent="0.25">
      <c r="A3558">
        <v>2025</v>
      </c>
      <c r="B3558" t="s">
        <v>7081</v>
      </c>
      <c r="C3558" s="1">
        <v>46014</v>
      </c>
      <c r="D3558" t="s">
        <v>7082</v>
      </c>
      <c r="E3558" s="2">
        <v>28632.39</v>
      </c>
      <c r="G3558" s="3">
        <f>MONTH(Tabela1[[#This Row],[Último pagto ano]])</f>
        <v>12</v>
      </c>
      <c r="H3558" t="str">
        <f>TEXT(Tabela1[[#This Row],[Coluna2]]*29,"mmmm")</f>
        <v>dezembro</v>
      </c>
      <c r="I3558" t="str">
        <f>TEXT(MONTH(Tabela1[[#This Row],[Último pagto ano]])*29,"mmmm")</f>
        <v>dezembro</v>
      </c>
    </row>
    <row r="3559" spans="1:9" x14ac:dyDescent="0.25">
      <c r="A3559">
        <v>2025</v>
      </c>
      <c r="B3559" t="s">
        <v>7083</v>
      </c>
      <c r="C3559" s="1">
        <v>46014</v>
      </c>
      <c r="D3559" t="s">
        <v>7084</v>
      </c>
      <c r="E3559" s="2">
        <v>28632.39</v>
      </c>
      <c r="G3559" s="3">
        <f>MONTH(Tabela1[[#This Row],[Último pagto ano]])</f>
        <v>12</v>
      </c>
      <c r="H3559" t="str">
        <f>TEXT(Tabela1[[#This Row],[Coluna2]]*29,"mmmm")</f>
        <v>dezembro</v>
      </c>
      <c r="I3559" t="str">
        <f>TEXT(MONTH(Tabela1[[#This Row],[Último pagto ano]])*29,"mmmm")</f>
        <v>dezembro</v>
      </c>
    </row>
    <row r="3560" spans="1:9" x14ac:dyDescent="0.25">
      <c r="A3560">
        <v>2025</v>
      </c>
      <c r="B3560" t="s">
        <v>7085</v>
      </c>
      <c r="C3560" s="1">
        <v>46021</v>
      </c>
      <c r="D3560" t="s">
        <v>7086</v>
      </c>
      <c r="E3560" s="2">
        <v>5325.77</v>
      </c>
      <c r="G3560" s="3">
        <f>MONTH(Tabela1[[#This Row],[Último pagto ano]])</f>
        <v>12</v>
      </c>
      <c r="H3560" t="str">
        <f>TEXT(Tabela1[[#This Row],[Coluna2]]*29,"mmmm")</f>
        <v>dezembro</v>
      </c>
      <c r="I3560" t="str">
        <f>TEXT(MONTH(Tabela1[[#This Row],[Último pagto ano]])*29,"mmmm")</f>
        <v>dezembro</v>
      </c>
    </row>
    <row r="3561" spans="1:9" x14ac:dyDescent="0.25">
      <c r="A3561">
        <v>2025</v>
      </c>
      <c r="B3561" t="s">
        <v>7087</v>
      </c>
      <c r="C3561" s="1">
        <v>45951</v>
      </c>
      <c r="D3561" t="s">
        <v>7088</v>
      </c>
      <c r="E3561" s="2">
        <v>28500</v>
      </c>
      <c r="G3561" s="3">
        <f>MONTH(Tabela1[[#This Row],[Último pagto ano]])</f>
        <v>10</v>
      </c>
      <c r="H3561" t="str">
        <f>TEXT(Tabela1[[#This Row],[Coluna2]]*29,"mmmm")</f>
        <v>outubro</v>
      </c>
      <c r="I3561" t="str">
        <f>TEXT(MONTH(Tabela1[[#This Row],[Último pagto ano]])*29,"mmmm")</f>
        <v>outubro</v>
      </c>
    </row>
    <row r="3562" spans="1:9" x14ac:dyDescent="0.25">
      <c r="A3562">
        <v>2025</v>
      </c>
      <c r="B3562" t="s">
        <v>7089</v>
      </c>
      <c r="C3562" s="1">
        <v>46002</v>
      </c>
      <c r="D3562" t="s">
        <v>7090</v>
      </c>
      <c r="E3562" s="2">
        <v>66360</v>
      </c>
      <c r="G3562" s="3">
        <f>MONTH(Tabela1[[#This Row],[Último pagto ano]])</f>
        <v>12</v>
      </c>
      <c r="H3562" t="str">
        <f>TEXT(Tabela1[[#This Row],[Coluna2]]*29,"mmmm")</f>
        <v>dezembro</v>
      </c>
      <c r="I3562" t="str">
        <f>TEXT(MONTH(Tabela1[[#This Row],[Último pagto ano]])*29,"mmmm")</f>
        <v>dezembro</v>
      </c>
    </row>
    <row r="3563" spans="1:9" x14ac:dyDescent="0.25">
      <c r="A3563">
        <v>2025</v>
      </c>
      <c r="B3563" t="s">
        <v>7091</v>
      </c>
      <c r="C3563" s="1">
        <v>45995</v>
      </c>
      <c r="D3563" t="s">
        <v>7092</v>
      </c>
      <c r="E3563">
        <v>501.51</v>
      </c>
      <c r="G3563" s="3">
        <f>MONTH(Tabela1[[#This Row],[Último pagto ano]])</f>
        <v>12</v>
      </c>
      <c r="H3563" t="str">
        <f>TEXT(Tabela1[[#This Row],[Coluna2]]*29,"mmmm")</f>
        <v>dezembro</v>
      </c>
      <c r="I3563" t="str">
        <f>TEXT(MONTH(Tabela1[[#This Row],[Último pagto ano]])*29,"mmmm")</f>
        <v>dezembro</v>
      </c>
    </row>
    <row r="3564" spans="1:9" x14ac:dyDescent="0.25">
      <c r="A3564">
        <v>2025</v>
      </c>
      <c r="B3564" t="s">
        <v>7093</v>
      </c>
      <c r="C3564" s="1">
        <v>46014</v>
      </c>
      <c r="D3564" t="s">
        <v>7094</v>
      </c>
      <c r="E3564" s="2">
        <v>541676.56000000006</v>
      </c>
      <c r="G3564" s="3">
        <f>MONTH(Tabela1[[#This Row],[Último pagto ano]])</f>
        <v>12</v>
      </c>
      <c r="H3564" t="str">
        <f>TEXT(Tabela1[[#This Row],[Coluna2]]*29,"mmmm")</f>
        <v>dezembro</v>
      </c>
      <c r="I3564" t="str">
        <f>TEXT(MONTH(Tabela1[[#This Row],[Último pagto ano]])*29,"mmmm")</f>
        <v>dezembro</v>
      </c>
    </row>
    <row r="3565" spans="1:9" x14ac:dyDescent="0.25">
      <c r="A3565">
        <v>2025</v>
      </c>
      <c r="B3565" t="s">
        <v>7095</v>
      </c>
      <c r="C3565" s="1">
        <v>45834</v>
      </c>
      <c r="D3565" t="s">
        <v>7096</v>
      </c>
      <c r="E3565">
        <v>4.82</v>
      </c>
      <c r="G3565" s="3">
        <f>MONTH(Tabela1[[#This Row],[Último pagto ano]])</f>
        <v>6</v>
      </c>
      <c r="H3565" t="str">
        <f>TEXT(Tabela1[[#This Row],[Coluna2]]*29,"mmmm")</f>
        <v>junho</v>
      </c>
      <c r="I3565" t="str">
        <f>TEXT(MONTH(Tabela1[[#This Row],[Último pagto ano]])*29,"mmmm")</f>
        <v>junho</v>
      </c>
    </row>
    <row r="3566" spans="1:9" x14ac:dyDescent="0.25">
      <c r="A3566">
        <v>2025</v>
      </c>
      <c r="B3566" t="s">
        <v>7097</v>
      </c>
      <c r="C3566" s="1">
        <v>46003</v>
      </c>
      <c r="D3566" t="s">
        <v>7098</v>
      </c>
      <c r="E3566" s="2">
        <v>23100</v>
      </c>
      <c r="G3566" s="3">
        <f>MONTH(Tabela1[[#This Row],[Último pagto ano]])</f>
        <v>12</v>
      </c>
      <c r="H3566" t="str">
        <f>TEXT(Tabela1[[#This Row],[Coluna2]]*29,"mmmm")</f>
        <v>dezembro</v>
      </c>
      <c r="I3566" t="str">
        <f>TEXT(MONTH(Tabela1[[#This Row],[Último pagto ano]])*29,"mmmm")</f>
        <v>dezembro</v>
      </c>
    </row>
    <row r="3567" spans="1:9" x14ac:dyDescent="0.25">
      <c r="A3567">
        <v>2025</v>
      </c>
      <c r="B3567" t="s">
        <v>7099</v>
      </c>
      <c r="C3567" s="1">
        <v>45996</v>
      </c>
      <c r="D3567" t="s">
        <v>7100</v>
      </c>
      <c r="E3567" s="2">
        <v>6999</v>
      </c>
      <c r="G3567" s="3">
        <f>MONTH(Tabela1[[#This Row],[Último pagto ano]])</f>
        <v>12</v>
      </c>
      <c r="H3567" t="str">
        <f>TEXT(Tabela1[[#This Row],[Coluna2]]*29,"mmmm")</f>
        <v>dezembro</v>
      </c>
      <c r="I3567" t="str">
        <f>TEXT(MONTH(Tabela1[[#This Row],[Último pagto ano]])*29,"mmmm")</f>
        <v>dezembro</v>
      </c>
    </row>
    <row r="3568" spans="1:9" x14ac:dyDescent="0.25">
      <c r="A3568">
        <v>2025</v>
      </c>
      <c r="B3568" t="s">
        <v>7101</v>
      </c>
      <c r="C3568" s="1">
        <v>45996</v>
      </c>
      <c r="D3568" t="s">
        <v>7102</v>
      </c>
      <c r="E3568" s="2">
        <v>5300</v>
      </c>
      <c r="G3568" s="3">
        <f>MONTH(Tabela1[[#This Row],[Último pagto ano]])</f>
        <v>12</v>
      </c>
      <c r="H3568" t="str">
        <f>TEXT(Tabela1[[#This Row],[Coluna2]]*29,"mmmm")</f>
        <v>dezembro</v>
      </c>
      <c r="I3568" t="str">
        <f>TEXT(MONTH(Tabela1[[#This Row],[Último pagto ano]])*29,"mmmm")</f>
        <v>dezembro</v>
      </c>
    </row>
    <row r="3569" spans="1:9" x14ac:dyDescent="0.25">
      <c r="A3569">
        <v>2025</v>
      </c>
      <c r="B3569" t="s">
        <v>7103</v>
      </c>
      <c r="C3569" s="1">
        <v>45996</v>
      </c>
      <c r="D3569" t="s">
        <v>7104</v>
      </c>
      <c r="E3569" s="2">
        <v>9900</v>
      </c>
      <c r="G3569" s="3">
        <f>MONTH(Tabela1[[#This Row],[Último pagto ano]])</f>
        <v>12</v>
      </c>
      <c r="H3569" t="str">
        <f>TEXT(Tabela1[[#This Row],[Coluna2]]*29,"mmmm")</f>
        <v>dezembro</v>
      </c>
      <c r="I3569" t="str">
        <f>TEXT(MONTH(Tabela1[[#This Row],[Último pagto ano]])*29,"mmmm")</f>
        <v>dezembro</v>
      </c>
    </row>
    <row r="3570" spans="1:9" x14ac:dyDescent="0.25">
      <c r="A3570">
        <v>2025</v>
      </c>
      <c r="B3570" t="s">
        <v>7105</v>
      </c>
      <c r="C3570" s="1">
        <v>45782</v>
      </c>
      <c r="D3570" t="s">
        <v>7106</v>
      </c>
      <c r="E3570">
        <v>28.77</v>
      </c>
      <c r="G3570" s="3">
        <f>MONTH(Tabela1[[#This Row],[Último pagto ano]])</f>
        <v>5</v>
      </c>
      <c r="H3570" t="str">
        <f>TEXT(Tabela1[[#This Row],[Coluna2]]*29,"mmmm")</f>
        <v>maio</v>
      </c>
      <c r="I3570" t="str">
        <f>TEXT(MONTH(Tabela1[[#This Row],[Último pagto ano]])*29,"mmmm")</f>
        <v>maio</v>
      </c>
    </row>
    <row r="3571" spans="1:9" x14ac:dyDescent="0.25">
      <c r="A3571">
        <v>2025</v>
      </c>
      <c r="B3571" t="s">
        <v>7107</v>
      </c>
      <c r="C3571" s="1">
        <v>46006</v>
      </c>
      <c r="D3571" t="s">
        <v>7108</v>
      </c>
      <c r="E3571" s="2">
        <v>246673.81</v>
      </c>
      <c r="G3571" s="3">
        <f>MONTH(Tabela1[[#This Row],[Último pagto ano]])</f>
        <v>12</v>
      </c>
      <c r="H3571" t="str">
        <f>TEXT(Tabela1[[#This Row],[Coluna2]]*29,"mmmm")</f>
        <v>dezembro</v>
      </c>
      <c r="I3571" t="str">
        <f>TEXT(MONTH(Tabela1[[#This Row],[Último pagto ano]])*29,"mmmm")</f>
        <v>dezembro</v>
      </c>
    </row>
    <row r="3572" spans="1:9" x14ac:dyDescent="0.25">
      <c r="A3572">
        <v>2025</v>
      </c>
      <c r="B3572" t="s">
        <v>7109</v>
      </c>
      <c r="C3572" s="1">
        <v>46010</v>
      </c>
      <c r="D3572" t="s">
        <v>7110</v>
      </c>
      <c r="E3572" s="2">
        <v>2100</v>
      </c>
      <c r="G3572" s="3">
        <f>MONTH(Tabela1[[#This Row],[Último pagto ano]])</f>
        <v>12</v>
      </c>
      <c r="H3572" t="str">
        <f>TEXT(Tabela1[[#This Row],[Coluna2]]*29,"mmmm")</f>
        <v>dezembro</v>
      </c>
      <c r="I3572" t="str">
        <f>TEXT(MONTH(Tabela1[[#This Row],[Último pagto ano]])*29,"mmmm")</f>
        <v>dezembro</v>
      </c>
    </row>
    <row r="3573" spans="1:9" x14ac:dyDescent="0.25">
      <c r="A3573">
        <v>2025</v>
      </c>
      <c r="B3573" t="s">
        <v>7111</v>
      </c>
      <c r="C3573" s="1">
        <v>45978</v>
      </c>
      <c r="D3573" t="s">
        <v>7112</v>
      </c>
      <c r="E3573">
        <v>219.4</v>
      </c>
      <c r="G3573" s="3">
        <f>MONTH(Tabela1[[#This Row],[Último pagto ano]])</f>
        <v>11</v>
      </c>
      <c r="H3573" t="str">
        <f>TEXT(Tabela1[[#This Row],[Coluna2]]*29,"mmmm")</f>
        <v>novembro</v>
      </c>
      <c r="I3573" t="str">
        <f>TEXT(MONTH(Tabela1[[#This Row],[Último pagto ano]])*29,"mmmm")</f>
        <v>novembro</v>
      </c>
    </row>
    <row r="3574" spans="1:9" x14ac:dyDescent="0.25">
      <c r="A3574">
        <v>2025</v>
      </c>
      <c r="B3574" t="s">
        <v>7113</v>
      </c>
      <c r="C3574" s="1">
        <v>45820</v>
      </c>
      <c r="D3574" t="s">
        <v>7114</v>
      </c>
      <c r="E3574" s="2">
        <v>3517.28</v>
      </c>
      <c r="G3574" s="3">
        <f>MONTH(Tabela1[[#This Row],[Último pagto ano]])</f>
        <v>6</v>
      </c>
      <c r="H3574" t="str">
        <f>TEXT(Tabela1[[#This Row],[Coluna2]]*29,"mmmm")</f>
        <v>junho</v>
      </c>
      <c r="I3574" t="str">
        <f>TEXT(MONTH(Tabela1[[#This Row],[Último pagto ano]])*29,"mmmm")</f>
        <v>junho</v>
      </c>
    </row>
    <row r="3575" spans="1:9" x14ac:dyDescent="0.25">
      <c r="A3575">
        <v>2025</v>
      </c>
      <c r="B3575" t="s">
        <v>7115</v>
      </c>
      <c r="C3575" s="1">
        <v>45996</v>
      </c>
      <c r="D3575" t="s">
        <v>7116</v>
      </c>
      <c r="E3575" s="2">
        <v>3500.01</v>
      </c>
      <c r="G3575" s="3">
        <f>MONTH(Tabela1[[#This Row],[Último pagto ano]])</f>
        <v>12</v>
      </c>
      <c r="H3575" t="str">
        <f>TEXT(Tabela1[[#This Row],[Coluna2]]*29,"mmmm")</f>
        <v>dezembro</v>
      </c>
      <c r="I3575" t="str">
        <f>TEXT(MONTH(Tabela1[[#This Row],[Último pagto ano]])*29,"mmmm")</f>
        <v>dezembro</v>
      </c>
    </row>
    <row r="3576" spans="1:9" x14ac:dyDescent="0.25">
      <c r="A3576">
        <v>2025</v>
      </c>
      <c r="B3576" t="s">
        <v>7117</v>
      </c>
      <c r="C3576" s="1">
        <v>46006</v>
      </c>
      <c r="D3576" t="s">
        <v>7118</v>
      </c>
      <c r="E3576" s="2">
        <v>1776.96</v>
      </c>
      <c r="G3576" s="3">
        <f>MONTH(Tabela1[[#This Row],[Último pagto ano]])</f>
        <v>12</v>
      </c>
      <c r="H3576" t="str">
        <f>TEXT(Tabela1[[#This Row],[Coluna2]]*29,"mmmm")</f>
        <v>dezembro</v>
      </c>
      <c r="I3576" t="str">
        <f>TEXT(MONTH(Tabela1[[#This Row],[Último pagto ano]])*29,"mmmm")</f>
        <v>dezembro</v>
      </c>
    </row>
    <row r="3577" spans="1:9" x14ac:dyDescent="0.25">
      <c r="A3577">
        <v>2025</v>
      </c>
      <c r="B3577" t="s">
        <v>7119</v>
      </c>
      <c r="C3577" s="1">
        <v>46021</v>
      </c>
      <c r="D3577" t="s">
        <v>7120</v>
      </c>
      <c r="E3577" s="2">
        <v>12739.89</v>
      </c>
      <c r="G3577" s="3">
        <f>MONTH(Tabela1[[#This Row],[Último pagto ano]])</f>
        <v>12</v>
      </c>
      <c r="H3577" t="str">
        <f>TEXT(Tabela1[[#This Row],[Coluna2]]*29,"mmmm")</f>
        <v>dezembro</v>
      </c>
      <c r="I3577" t="str">
        <f>TEXT(MONTH(Tabela1[[#This Row],[Último pagto ano]])*29,"mmmm")</f>
        <v>dezembro</v>
      </c>
    </row>
    <row r="3578" spans="1:9" x14ac:dyDescent="0.25">
      <c r="A3578">
        <v>2025</v>
      </c>
      <c r="B3578" t="s">
        <v>7121</v>
      </c>
      <c r="C3578" s="1">
        <v>46006</v>
      </c>
      <c r="D3578" t="s">
        <v>7122</v>
      </c>
      <c r="E3578" s="2">
        <v>44917.32</v>
      </c>
      <c r="G3578" s="3">
        <f>MONTH(Tabela1[[#This Row],[Último pagto ano]])</f>
        <v>12</v>
      </c>
      <c r="H3578" t="str">
        <f>TEXT(Tabela1[[#This Row],[Coluna2]]*29,"mmmm")</f>
        <v>dezembro</v>
      </c>
      <c r="I3578" t="str">
        <f>TEXT(MONTH(Tabela1[[#This Row],[Último pagto ano]])*29,"mmmm")</f>
        <v>dezembro</v>
      </c>
    </row>
    <row r="3579" spans="1:9" x14ac:dyDescent="0.25">
      <c r="A3579">
        <v>2025</v>
      </c>
      <c r="B3579" t="s">
        <v>7123</v>
      </c>
      <c r="C3579" s="1">
        <v>46014</v>
      </c>
      <c r="D3579" t="s">
        <v>7124</v>
      </c>
      <c r="E3579" s="2">
        <v>17231.599999999999</v>
      </c>
      <c r="G3579" s="3">
        <f>MONTH(Tabela1[[#This Row],[Último pagto ano]])</f>
        <v>12</v>
      </c>
      <c r="H3579" t="str">
        <f>TEXT(Tabela1[[#This Row],[Coluna2]]*29,"mmmm")</f>
        <v>dezembro</v>
      </c>
      <c r="I3579" t="str">
        <f>TEXT(MONTH(Tabela1[[#This Row],[Último pagto ano]])*29,"mmmm")</f>
        <v>dezembro</v>
      </c>
    </row>
    <row r="3580" spans="1:9" x14ac:dyDescent="0.25">
      <c r="A3580">
        <v>2025</v>
      </c>
      <c r="B3580" t="s">
        <v>7125</v>
      </c>
      <c r="C3580" s="1">
        <v>45989</v>
      </c>
      <c r="D3580" t="s">
        <v>7126</v>
      </c>
      <c r="E3580" s="2">
        <v>6769.69</v>
      </c>
      <c r="G3580" s="3">
        <f>MONTH(Tabela1[[#This Row],[Último pagto ano]])</f>
        <v>11</v>
      </c>
      <c r="H3580" t="str">
        <f>TEXT(Tabela1[[#This Row],[Coluna2]]*29,"mmmm")</f>
        <v>novembro</v>
      </c>
      <c r="I3580" t="str">
        <f>TEXT(MONTH(Tabela1[[#This Row],[Último pagto ano]])*29,"mmmm")</f>
        <v>novembro</v>
      </c>
    </row>
    <row r="3581" spans="1:9" x14ac:dyDescent="0.25">
      <c r="A3581">
        <v>2025</v>
      </c>
      <c r="B3581" t="s">
        <v>7127</v>
      </c>
      <c r="C3581" s="1">
        <v>45988</v>
      </c>
      <c r="D3581" t="s">
        <v>7128</v>
      </c>
      <c r="E3581">
        <v>339.3</v>
      </c>
      <c r="G3581" s="3">
        <f>MONTH(Tabela1[[#This Row],[Último pagto ano]])</f>
        <v>11</v>
      </c>
      <c r="H3581" t="str">
        <f>TEXT(Tabela1[[#This Row],[Coluna2]]*29,"mmmm")</f>
        <v>novembro</v>
      </c>
      <c r="I3581" t="str">
        <f>TEXT(MONTH(Tabela1[[#This Row],[Último pagto ano]])*29,"mmmm")</f>
        <v>novembro</v>
      </c>
    </row>
    <row r="3582" spans="1:9" x14ac:dyDescent="0.25">
      <c r="A3582">
        <v>2025</v>
      </c>
      <c r="B3582" t="s">
        <v>7129</v>
      </c>
      <c r="C3582" s="1">
        <v>45929</v>
      </c>
      <c r="D3582" t="s">
        <v>7130</v>
      </c>
      <c r="E3582">
        <v>88</v>
      </c>
      <c r="G3582" s="3">
        <f>MONTH(Tabela1[[#This Row],[Último pagto ano]])</f>
        <v>9</v>
      </c>
      <c r="H3582" t="str">
        <f>TEXT(Tabela1[[#This Row],[Coluna2]]*29,"mmmm")</f>
        <v>setembro</v>
      </c>
      <c r="I3582" t="str">
        <f>TEXT(MONTH(Tabela1[[#This Row],[Último pagto ano]])*29,"mmmm")</f>
        <v>setembro</v>
      </c>
    </row>
    <row r="3583" spans="1:9" x14ac:dyDescent="0.25">
      <c r="A3583">
        <v>2025</v>
      </c>
      <c r="B3583" t="s">
        <v>7131</v>
      </c>
      <c r="C3583" s="1">
        <v>45863</v>
      </c>
      <c r="D3583" t="s">
        <v>7132</v>
      </c>
      <c r="E3583" s="2">
        <v>2800</v>
      </c>
      <c r="G3583" s="3">
        <f>MONTH(Tabela1[[#This Row],[Último pagto ano]])</f>
        <v>7</v>
      </c>
      <c r="H3583" t="str">
        <f>TEXT(Tabela1[[#This Row],[Coluna2]]*29,"mmmm")</f>
        <v>julho</v>
      </c>
      <c r="I3583" t="str">
        <f>TEXT(MONTH(Tabela1[[#This Row],[Último pagto ano]])*29,"mmmm")</f>
        <v>julho</v>
      </c>
    </row>
    <row r="3584" spans="1:9" x14ac:dyDescent="0.25">
      <c r="A3584">
        <v>2025</v>
      </c>
      <c r="B3584" t="s">
        <v>7133</v>
      </c>
      <c r="C3584" s="1">
        <v>45884</v>
      </c>
      <c r="D3584" t="s">
        <v>7134</v>
      </c>
      <c r="E3584" s="2">
        <v>5600</v>
      </c>
      <c r="G3584" s="3">
        <f>MONTH(Tabela1[[#This Row],[Último pagto ano]])</f>
        <v>8</v>
      </c>
      <c r="H3584" t="str">
        <f>TEXT(Tabela1[[#This Row],[Coluna2]]*29,"mmmm")</f>
        <v>agosto</v>
      </c>
      <c r="I3584" t="str">
        <f>TEXT(MONTH(Tabela1[[#This Row],[Último pagto ano]])*29,"mmmm")</f>
        <v>agosto</v>
      </c>
    </row>
    <row r="3585" spans="1:9" x14ac:dyDescent="0.25">
      <c r="A3585">
        <v>2025</v>
      </c>
      <c r="B3585" t="s">
        <v>7135</v>
      </c>
      <c r="C3585" s="1">
        <v>46006</v>
      </c>
      <c r="D3585" t="s">
        <v>7136</v>
      </c>
      <c r="E3585" s="2">
        <v>12000</v>
      </c>
      <c r="G3585" s="3">
        <f>MONTH(Tabela1[[#This Row],[Último pagto ano]])</f>
        <v>12</v>
      </c>
      <c r="H3585" t="str">
        <f>TEXT(Tabela1[[#This Row],[Coluna2]]*29,"mmmm")</f>
        <v>dezembro</v>
      </c>
      <c r="I3585" t="str">
        <f>TEXT(MONTH(Tabela1[[#This Row],[Último pagto ano]])*29,"mmmm")</f>
        <v>dezembro</v>
      </c>
    </row>
    <row r="3586" spans="1:9" x14ac:dyDescent="0.25">
      <c r="A3586">
        <v>2025</v>
      </c>
      <c r="B3586" t="s">
        <v>7137</v>
      </c>
      <c r="C3586" s="1">
        <v>45915</v>
      </c>
      <c r="D3586" t="s">
        <v>7138</v>
      </c>
      <c r="E3586" s="2">
        <v>1338.21</v>
      </c>
      <c r="G3586" s="3">
        <f>MONTH(Tabela1[[#This Row],[Último pagto ano]])</f>
        <v>9</v>
      </c>
      <c r="H3586" t="str">
        <f>TEXT(Tabela1[[#This Row],[Coluna2]]*29,"mmmm")</f>
        <v>setembro</v>
      </c>
      <c r="I3586" t="str">
        <f>TEXT(MONTH(Tabela1[[#This Row],[Último pagto ano]])*29,"mmmm")</f>
        <v>setembro</v>
      </c>
    </row>
    <row r="3587" spans="1:9" x14ac:dyDescent="0.25">
      <c r="A3587">
        <v>2025</v>
      </c>
      <c r="B3587" t="s">
        <v>7139</v>
      </c>
      <c r="C3587" s="1">
        <v>45901</v>
      </c>
      <c r="D3587" t="s">
        <v>7140</v>
      </c>
      <c r="E3587">
        <v>44</v>
      </c>
      <c r="G3587" s="3">
        <f>MONTH(Tabela1[[#This Row],[Último pagto ano]])</f>
        <v>9</v>
      </c>
      <c r="H3587" t="str">
        <f>TEXT(Tabela1[[#This Row],[Coluna2]]*29,"mmmm")</f>
        <v>setembro</v>
      </c>
      <c r="I3587" t="str">
        <f>TEXT(MONTH(Tabela1[[#This Row],[Último pagto ano]])*29,"mmmm")</f>
        <v>setembro</v>
      </c>
    </row>
    <row r="3588" spans="1:9" x14ac:dyDescent="0.25">
      <c r="A3588">
        <v>2025</v>
      </c>
      <c r="B3588" t="s">
        <v>7141</v>
      </c>
      <c r="C3588" s="1">
        <v>45715</v>
      </c>
      <c r="D3588" t="s">
        <v>7142</v>
      </c>
      <c r="E3588">
        <v>110</v>
      </c>
      <c r="G3588" s="3">
        <f>MONTH(Tabela1[[#This Row],[Último pagto ano]])</f>
        <v>2</v>
      </c>
      <c r="H3588" t="str">
        <f>TEXT(Tabela1[[#This Row],[Coluna2]]*29,"mmmm")</f>
        <v>fevereiro</v>
      </c>
      <c r="I3588" t="str">
        <f>TEXT(MONTH(Tabela1[[#This Row],[Último pagto ano]])*29,"mmmm")</f>
        <v>fevereiro</v>
      </c>
    </row>
    <row r="3589" spans="1:9" x14ac:dyDescent="0.25">
      <c r="A3589">
        <v>2025</v>
      </c>
      <c r="B3589" t="s">
        <v>7143</v>
      </c>
      <c r="C3589" s="1">
        <v>45937</v>
      </c>
      <c r="D3589" t="s">
        <v>7144</v>
      </c>
      <c r="E3589" s="2">
        <v>6000</v>
      </c>
      <c r="G3589" s="3">
        <f>MONTH(Tabela1[[#This Row],[Último pagto ano]])</f>
        <v>10</v>
      </c>
      <c r="H3589" t="str">
        <f>TEXT(Tabela1[[#This Row],[Coluna2]]*29,"mmmm")</f>
        <v>outubro</v>
      </c>
      <c r="I3589" t="str">
        <f>TEXT(MONTH(Tabela1[[#This Row],[Último pagto ano]])*29,"mmmm")</f>
        <v>outubro</v>
      </c>
    </row>
    <row r="3590" spans="1:9" x14ac:dyDescent="0.25">
      <c r="A3590">
        <v>2025</v>
      </c>
      <c r="B3590" t="s">
        <v>7145</v>
      </c>
      <c r="C3590" s="1">
        <v>46007</v>
      </c>
      <c r="D3590" t="s">
        <v>7146</v>
      </c>
      <c r="E3590" s="2">
        <v>120299.28</v>
      </c>
      <c r="G3590" s="3">
        <f>MONTH(Tabela1[[#This Row],[Último pagto ano]])</f>
        <v>12</v>
      </c>
      <c r="H3590" t="str">
        <f>TEXT(Tabela1[[#This Row],[Coluna2]]*29,"mmmm")</f>
        <v>dezembro</v>
      </c>
      <c r="I3590" t="str">
        <f>TEXT(MONTH(Tabela1[[#This Row],[Último pagto ano]])*29,"mmmm")</f>
        <v>dezembro</v>
      </c>
    </row>
    <row r="3591" spans="1:9" x14ac:dyDescent="0.25">
      <c r="A3591">
        <v>2025</v>
      </c>
      <c r="B3591" t="s">
        <v>7147</v>
      </c>
      <c r="C3591" s="1">
        <v>46010</v>
      </c>
      <c r="D3591" t="s">
        <v>7148</v>
      </c>
      <c r="E3591" s="2">
        <v>10000</v>
      </c>
      <c r="G3591" s="3">
        <f>MONTH(Tabela1[[#This Row],[Último pagto ano]])</f>
        <v>12</v>
      </c>
      <c r="H3591" t="str">
        <f>TEXT(Tabela1[[#This Row],[Coluna2]]*29,"mmmm")</f>
        <v>dezembro</v>
      </c>
      <c r="I3591" t="str">
        <f>TEXT(MONTH(Tabela1[[#This Row],[Último pagto ano]])*29,"mmmm")</f>
        <v>dezembro</v>
      </c>
    </row>
    <row r="3592" spans="1:9" x14ac:dyDescent="0.25">
      <c r="A3592">
        <v>2025</v>
      </c>
      <c r="B3592" t="s">
        <v>7149</v>
      </c>
      <c r="C3592" s="1">
        <v>45901</v>
      </c>
      <c r="D3592" t="s">
        <v>7150</v>
      </c>
      <c r="E3592" s="2">
        <v>142857.14000000001</v>
      </c>
      <c r="G3592" s="3">
        <f>MONTH(Tabela1[[#This Row],[Último pagto ano]])</f>
        <v>9</v>
      </c>
      <c r="H3592" t="str">
        <f>TEXT(Tabela1[[#This Row],[Coluna2]]*29,"mmmm")</f>
        <v>setembro</v>
      </c>
      <c r="I3592" t="str">
        <f>TEXT(MONTH(Tabela1[[#This Row],[Último pagto ano]])*29,"mmmm")</f>
        <v>setembro</v>
      </c>
    </row>
    <row r="3593" spans="1:9" x14ac:dyDescent="0.25">
      <c r="A3593">
        <v>2025</v>
      </c>
      <c r="B3593" t="s">
        <v>7151</v>
      </c>
      <c r="C3593" s="1">
        <v>46010</v>
      </c>
      <c r="D3593" t="s">
        <v>7152</v>
      </c>
      <c r="E3593" s="2">
        <v>6000</v>
      </c>
      <c r="G3593" s="3">
        <f>MONTH(Tabela1[[#This Row],[Último pagto ano]])</f>
        <v>12</v>
      </c>
      <c r="H3593" t="str">
        <f>TEXT(Tabela1[[#This Row],[Coluna2]]*29,"mmmm")</f>
        <v>dezembro</v>
      </c>
      <c r="I3593" t="str">
        <f>TEXT(MONTH(Tabela1[[#This Row],[Último pagto ano]])*29,"mmmm")</f>
        <v>dezembro</v>
      </c>
    </row>
    <row r="3594" spans="1:9" x14ac:dyDescent="0.25">
      <c r="A3594">
        <v>2025</v>
      </c>
      <c r="B3594" t="s">
        <v>7153</v>
      </c>
      <c r="C3594" s="1">
        <v>46010</v>
      </c>
      <c r="D3594" t="s">
        <v>7154</v>
      </c>
      <c r="E3594" s="2">
        <v>12000</v>
      </c>
      <c r="G3594" s="3">
        <f>MONTH(Tabela1[[#This Row],[Último pagto ano]])</f>
        <v>12</v>
      </c>
      <c r="H3594" t="str">
        <f>TEXT(Tabela1[[#This Row],[Coluna2]]*29,"mmmm")</f>
        <v>dezembro</v>
      </c>
      <c r="I3594" t="str">
        <f>TEXT(MONTH(Tabela1[[#This Row],[Último pagto ano]])*29,"mmmm")</f>
        <v>dezembro</v>
      </c>
    </row>
    <row r="3595" spans="1:9" x14ac:dyDescent="0.25">
      <c r="A3595">
        <v>2025</v>
      </c>
      <c r="B3595" t="s">
        <v>7155</v>
      </c>
      <c r="C3595" s="1">
        <v>45936</v>
      </c>
      <c r="D3595" t="s">
        <v>7156</v>
      </c>
      <c r="E3595">
        <v>308</v>
      </c>
      <c r="G3595" s="3">
        <f>MONTH(Tabela1[[#This Row],[Último pagto ano]])</f>
        <v>10</v>
      </c>
      <c r="H3595" t="str">
        <f>TEXT(Tabela1[[#This Row],[Coluna2]]*29,"mmmm")</f>
        <v>outubro</v>
      </c>
      <c r="I3595" t="str">
        <f>TEXT(MONTH(Tabela1[[#This Row],[Último pagto ano]])*29,"mmmm")</f>
        <v>outubro</v>
      </c>
    </row>
    <row r="3596" spans="1:9" x14ac:dyDescent="0.25">
      <c r="A3596">
        <v>2025</v>
      </c>
      <c r="B3596" t="s">
        <v>7157</v>
      </c>
      <c r="C3596" s="1">
        <v>46006</v>
      </c>
      <c r="D3596" t="s">
        <v>7158</v>
      </c>
      <c r="E3596" s="2">
        <v>20819.52</v>
      </c>
      <c r="G3596" s="3">
        <f>MONTH(Tabela1[[#This Row],[Último pagto ano]])</f>
        <v>12</v>
      </c>
      <c r="H3596" t="str">
        <f>TEXT(Tabela1[[#This Row],[Coluna2]]*29,"mmmm")</f>
        <v>dezembro</v>
      </c>
      <c r="I3596" t="str">
        <f>TEXT(MONTH(Tabela1[[#This Row],[Último pagto ano]])*29,"mmmm")</f>
        <v>dezembro</v>
      </c>
    </row>
    <row r="3597" spans="1:9" x14ac:dyDescent="0.25">
      <c r="A3597">
        <v>2025</v>
      </c>
      <c r="B3597" t="s">
        <v>7159</v>
      </c>
      <c r="C3597" s="1">
        <v>45959</v>
      </c>
      <c r="D3597" t="s">
        <v>7160</v>
      </c>
      <c r="E3597" s="2">
        <v>2800</v>
      </c>
      <c r="G3597" s="3">
        <f>MONTH(Tabela1[[#This Row],[Último pagto ano]])</f>
        <v>10</v>
      </c>
      <c r="H3597" t="str">
        <f>TEXT(Tabela1[[#This Row],[Coluna2]]*29,"mmmm")</f>
        <v>outubro</v>
      </c>
      <c r="I3597" t="str">
        <f>TEXT(MONTH(Tabela1[[#This Row],[Último pagto ano]])*29,"mmmm")</f>
        <v>outubro</v>
      </c>
    </row>
    <row r="3598" spans="1:9" x14ac:dyDescent="0.25">
      <c r="A3598">
        <v>2025</v>
      </c>
      <c r="B3598" t="s">
        <v>7161</v>
      </c>
      <c r="C3598" s="1">
        <v>45964</v>
      </c>
      <c r="D3598" t="s">
        <v>7162</v>
      </c>
      <c r="E3598">
        <v>154</v>
      </c>
      <c r="G3598" s="3">
        <f>MONTH(Tabela1[[#This Row],[Último pagto ano]])</f>
        <v>11</v>
      </c>
      <c r="H3598" t="str">
        <f>TEXT(Tabela1[[#This Row],[Coluna2]]*29,"mmmm")</f>
        <v>novembro</v>
      </c>
      <c r="I3598" t="str">
        <f>TEXT(MONTH(Tabela1[[#This Row],[Último pagto ano]])*29,"mmmm")</f>
        <v>novembro</v>
      </c>
    </row>
    <row r="3599" spans="1:9" x14ac:dyDescent="0.25">
      <c r="A3599">
        <v>2025</v>
      </c>
      <c r="B3599" t="s">
        <v>7163</v>
      </c>
      <c r="C3599" s="1">
        <v>46010</v>
      </c>
      <c r="D3599" t="s">
        <v>7164</v>
      </c>
      <c r="E3599" s="2">
        <v>12000</v>
      </c>
      <c r="G3599" s="3">
        <f>MONTH(Tabela1[[#This Row],[Último pagto ano]])</f>
        <v>12</v>
      </c>
      <c r="H3599" t="str">
        <f>TEXT(Tabela1[[#This Row],[Coluna2]]*29,"mmmm")</f>
        <v>dezembro</v>
      </c>
      <c r="I3599" t="str">
        <f>TEXT(MONTH(Tabela1[[#This Row],[Último pagto ano]])*29,"mmmm")</f>
        <v>dezembro</v>
      </c>
    </row>
    <row r="3600" spans="1:9" x14ac:dyDescent="0.25">
      <c r="A3600">
        <v>2025</v>
      </c>
      <c r="B3600" t="s">
        <v>7165</v>
      </c>
      <c r="C3600" s="1">
        <v>45726</v>
      </c>
      <c r="D3600" t="s">
        <v>7166</v>
      </c>
      <c r="E3600">
        <v>383.1</v>
      </c>
      <c r="G3600" s="3">
        <f>MONTH(Tabela1[[#This Row],[Último pagto ano]])</f>
        <v>3</v>
      </c>
      <c r="H3600" t="str">
        <f>TEXT(Tabela1[[#This Row],[Coluna2]]*29,"mmmm")</f>
        <v>março</v>
      </c>
      <c r="I3600" t="str">
        <f>TEXT(MONTH(Tabela1[[#This Row],[Último pagto ano]])*29,"mmmm")</f>
        <v>março</v>
      </c>
    </row>
    <row r="3601" spans="1:9" x14ac:dyDescent="0.25">
      <c r="A3601">
        <v>2025</v>
      </c>
      <c r="B3601" t="s">
        <v>7167</v>
      </c>
      <c r="C3601" s="1">
        <v>45702</v>
      </c>
      <c r="D3601" t="s">
        <v>7168</v>
      </c>
      <c r="E3601">
        <v>32</v>
      </c>
      <c r="G3601" s="3">
        <f>MONTH(Tabela1[[#This Row],[Último pagto ano]])</f>
        <v>2</v>
      </c>
      <c r="H3601" t="str">
        <f>TEXT(Tabela1[[#This Row],[Coluna2]]*29,"mmmm")</f>
        <v>fevereiro</v>
      </c>
      <c r="I3601" t="str">
        <f>TEXT(MONTH(Tabela1[[#This Row],[Último pagto ano]])*29,"mmmm")</f>
        <v>fevereiro</v>
      </c>
    </row>
    <row r="3602" spans="1:9" x14ac:dyDescent="0.25">
      <c r="A3602">
        <v>2025</v>
      </c>
      <c r="B3602" t="s">
        <v>7169</v>
      </c>
      <c r="C3602" s="1">
        <v>45796</v>
      </c>
      <c r="D3602" t="s">
        <v>7170</v>
      </c>
      <c r="E3602">
        <v>66</v>
      </c>
      <c r="G3602" s="3">
        <f>MONTH(Tabela1[[#This Row],[Último pagto ano]])</f>
        <v>5</v>
      </c>
      <c r="H3602" t="str">
        <f>TEXT(Tabela1[[#This Row],[Coluna2]]*29,"mmmm")</f>
        <v>maio</v>
      </c>
      <c r="I3602" t="str">
        <f>TEXT(MONTH(Tabela1[[#This Row],[Último pagto ano]])*29,"mmmm")</f>
        <v>maio</v>
      </c>
    </row>
    <row r="3603" spans="1:9" x14ac:dyDescent="0.25">
      <c r="A3603">
        <v>2025</v>
      </c>
      <c r="B3603" t="s">
        <v>7171</v>
      </c>
      <c r="C3603" s="1">
        <v>46006</v>
      </c>
      <c r="D3603" t="s">
        <v>7172</v>
      </c>
      <c r="E3603" s="2">
        <v>8380.7999999999993</v>
      </c>
      <c r="G3603" s="3">
        <f>MONTH(Tabela1[[#This Row],[Último pagto ano]])</f>
        <v>12</v>
      </c>
      <c r="H3603" t="str">
        <f>TEXT(Tabela1[[#This Row],[Coluna2]]*29,"mmmm")</f>
        <v>dezembro</v>
      </c>
      <c r="I3603" t="str">
        <f>TEXT(MONTH(Tabela1[[#This Row],[Último pagto ano]])*29,"mmmm")</f>
        <v>dezembro</v>
      </c>
    </row>
    <row r="3604" spans="1:9" x14ac:dyDescent="0.25">
      <c r="A3604">
        <v>2025</v>
      </c>
      <c r="B3604" t="s">
        <v>7173</v>
      </c>
      <c r="C3604" s="1">
        <v>45702</v>
      </c>
      <c r="D3604" t="s">
        <v>7174</v>
      </c>
      <c r="E3604" s="2">
        <v>1160.2</v>
      </c>
      <c r="G3604" s="3">
        <f>MONTH(Tabela1[[#This Row],[Último pagto ano]])</f>
        <v>2</v>
      </c>
      <c r="H3604" t="str">
        <f>TEXT(Tabela1[[#This Row],[Coluna2]]*29,"mmmm")</f>
        <v>fevereiro</v>
      </c>
      <c r="I3604" t="str">
        <f>TEXT(MONTH(Tabela1[[#This Row],[Último pagto ano]])*29,"mmmm")</f>
        <v>fevereiro</v>
      </c>
    </row>
    <row r="3605" spans="1:9" x14ac:dyDescent="0.25">
      <c r="A3605">
        <v>2025</v>
      </c>
      <c r="B3605" t="s">
        <v>7175</v>
      </c>
      <c r="C3605" s="1">
        <v>46003</v>
      </c>
      <c r="D3605" t="s">
        <v>7176</v>
      </c>
      <c r="E3605" s="2">
        <v>1963.64</v>
      </c>
      <c r="G3605" s="3">
        <f>MONTH(Tabela1[[#This Row],[Último pagto ano]])</f>
        <v>12</v>
      </c>
      <c r="H3605" t="str">
        <f>TEXT(Tabela1[[#This Row],[Coluna2]]*29,"mmmm")</f>
        <v>dezembro</v>
      </c>
      <c r="I3605" t="str">
        <f>TEXT(MONTH(Tabela1[[#This Row],[Último pagto ano]])*29,"mmmm")</f>
        <v>dezembro</v>
      </c>
    </row>
    <row r="3606" spans="1:9" x14ac:dyDescent="0.25">
      <c r="A3606">
        <v>2025</v>
      </c>
      <c r="B3606" t="s">
        <v>7177</v>
      </c>
      <c r="C3606" s="1">
        <v>45996</v>
      </c>
      <c r="D3606" t="s">
        <v>7178</v>
      </c>
      <c r="E3606" s="2">
        <v>6600</v>
      </c>
      <c r="G3606" s="3">
        <f>MONTH(Tabela1[[#This Row],[Último pagto ano]])</f>
        <v>12</v>
      </c>
      <c r="H3606" t="str">
        <f>TEXT(Tabela1[[#This Row],[Coluna2]]*29,"mmmm")</f>
        <v>dezembro</v>
      </c>
      <c r="I3606" t="str">
        <f>TEXT(MONTH(Tabela1[[#This Row],[Último pagto ano]])*29,"mmmm")</f>
        <v>dezembro</v>
      </c>
    </row>
    <row r="3607" spans="1:9" x14ac:dyDescent="0.25">
      <c r="A3607">
        <v>2025</v>
      </c>
      <c r="B3607" t="s">
        <v>7179</v>
      </c>
      <c r="C3607" s="1">
        <v>46002</v>
      </c>
      <c r="D3607" t="s">
        <v>7180</v>
      </c>
      <c r="E3607" s="2">
        <v>4695.08</v>
      </c>
      <c r="G3607" s="3">
        <f>MONTH(Tabela1[[#This Row],[Último pagto ano]])</f>
        <v>12</v>
      </c>
      <c r="H3607" t="str">
        <f>TEXT(Tabela1[[#This Row],[Coluna2]]*29,"mmmm")</f>
        <v>dezembro</v>
      </c>
      <c r="I3607" t="str">
        <f>TEXT(MONTH(Tabela1[[#This Row],[Último pagto ano]])*29,"mmmm")</f>
        <v>dezembro</v>
      </c>
    </row>
    <row r="3608" spans="1:9" x14ac:dyDescent="0.25">
      <c r="A3608">
        <v>2025</v>
      </c>
      <c r="B3608" t="s">
        <v>7181</v>
      </c>
      <c r="C3608" s="1">
        <v>45702</v>
      </c>
      <c r="D3608" t="s">
        <v>7182</v>
      </c>
      <c r="E3608">
        <v>612.59</v>
      </c>
      <c r="G3608" s="3">
        <f>MONTH(Tabela1[[#This Row],[Último pagto ano]])</f>
        <v>2</v>
      </c>
      <c r="H3608" t="str">
        <f>TEXT(Tabela1[[#This Row],[Coluna2]]*29,"mmmm")</f>
        <v>fevereiro</v>
      </c>
      <c r="I3608" t="str">
        <f>TEXT(MONTH(Tabela1[[#This Row],[Último pagto ano]])*29,"mmmm")</f>
        <v>fevereiro</v>
      </c>
    </row>
    <row r="3609" spans="1:9" x14ac:dyDescent="0.25">
      <c r="A3609">
        <v>2025</v>
      </c>
      <c r="B3609" t="s">
        <v>7183</v>
      </c>
      <c r="C3609" s="1">
        <v>46014</v>
      </c>
      <c r="D3609" t="s">
        <v>7184</v>
      </c>
      <c r="E3609" s="2">
        <v>140204.04999999999</v>
      </c>
      <c r="G3609" s="3">
        <f>MONTH(Tabela1[[#This Row],[Último pagto ano]])</f>
        <v>12</v>
      </c>
      <c r="H3609" t="str">
        <f>TEXT(Tabela1[[#This Row],[Coluna2]]*29,"mmmm")</f>
        <v>dezembro</v>
      </c>
      <c r="I3609" t="str">
        <f>TEXT(MONTH(Tabela1[[#This Row],[Último pagto ano]])*29,"mmmm")</f>
        <v>dezembro</v>
      </c>
    </row>
    <row r="3610" spans="1:9" x14ac:dyDescent="0.25">
      <c r="A3610">
        <v>2025</v>
      </c>
      <c r="B3610" t="s">
        <v>7185</v>
      </c>
      <c r="C3610" s="1">
        <v>45687</v>
      </c>
      <c r="D3610" t="s">
        <v>7186</v>
      </c>
      <c r="E3610" s="2">
        <v>1083.5999999999999</v>
      </c>
      <c r="G3610" s="3">
        <f>MONTH(Tabela1[[#This Row],[Último pagto ano]])</f>
        <v>1</v>
      </c>
      <c r="H3610" t="str">
        <f>TEXT(Tabela1[[#This Row],[Coluna2]]*29,"mmmm")</f>
        <v>janeiro</v>
      </c>
      <c r="I3610" t="str">
        <f>TEXT(MONTH(Tabela1[[#This Row],[Último pagto ano]])*29,"mmmm")</f>
        <v>janeiro</v>
      </c>
    </row>
    <row r="3611" spans="1:9" x14ac:dyDescent="0.25">
      <c r="A3611">
        <v>2025</v>
      </c>
      <c r="B3611" t="s">
        <v>7187</v>
      </c>
      <c r="C3611" s="1">
        <v>45733</v>
      </c>
      <c r="D3611" t="s">
        <v>7188</v>
      </c>
      <c r="E3611">
        <v>169.77</v>
      </c>
      <c r="G3611" s="3">
        <f>MONTH(Tabela1[[#This Row],[Último pagto ano]])</f>
        <v>3</v>
      </c>
      <c r="H3611" t="str">
        <f>TEXT(Tabela1[[#This Row],[Coluna2]]*29,"mmmm")</f>
        <v>março</v>
      </c>
      <c r="I3611" t="str">
        <f>TEXT(MONTH(Tabela1[[#This Row],[Último pagto ano]])*29,"mmmm")</f>
        <v>março</v>
      </c>
    </row>
    <row r="3612" spans="1:9" x14ac:dyDescent="0.25">
      <c r="A3612">
        <v>2025</v>
      </c>
      <c r="B3612" t="s">
        <v>7189</v>
      </c>
      <c r="C3612" s="1">
        <v>45999</v>
      </c>
      <c r="D3612" t="s">
        <v>7190</v>
      </c>
      <c r="E3612">
        <v>110</v>
      </c>
      <c r="G3612" s="3">
        <f>MONTH(Tabela1[[#This Row],[Último pagto ano]])</f>
        <v>12</v>
      </c>
      <c r="H3612" t="str">
        <f>TEXT(Tabela1[[#This Row],[Coluna2]]*29,"mmmm")</f>
        <v>dezembro</v>
      </c>
      <c r="I3612" t="str">
        <f>TEXT(MONTH(Tabela1[[#This Row],[Último pagto ano]])*29,"mmmm")</f>
        <v>dezembro</v>
      </c>
    </row>
    <row r="3613" spans="1:9" x14ac:dyDescent="0.25">
      <c r="A3613">
        <v>2025</v>
      </c>
      <c r="B3613" t="s">
        <v>7191</v>
      </c>
      <c r="C3613" s="1">
        <v>45915</v>
      </c>
      <c r="D3613" t="s">
        <v>7192</v>
      </c>
      <c r="E3613" s="2">
        <v>8040</v>
      </c>
      <c r="G3613" s="3">
        <f>MONTH(Tabela1[[#This Row],[Último pagto ano]])</f>
        <v>9</v>
      </c>
      <c r="H3613" t="str">
        <f>TEXT(Tabela1[[#This Row],[Coluna2]]*29,"mmmm")</f>
        <v>setembro</v>
      </c>
      <c r="I3613" t="str">
        <f>TEXT(MONTH(Tabela1[[#This Row],[Último pagto ano]])*29,"mmmm")</f>
        <v>setembro</v>
      </c>
    </row>
    <row r="3614" spans="1:9" x14ac:dyDescent="0.25">
      <c r="A3614">
        <v>2025</v>
      </c>
      <c r="B3614" t="s">
        <v>7193</v>
      </c>
      <c r="C3614" s="1">
        <v>45743</v>
      </c>
      <c r="D3614" t="s">
        <v>7194</v>
      </c>
      <c r="E3614">
        <v>70.08</v>
      </c>
      <c r="G3614" s="3">
        <f>MONTH(Tabela1[[#This Row],[Último pagto ano]])</f>
        <v>3</v>
      </c>
      <c r="H3614" t="str">
        <f>TEXT(Tabela1[[#This Row],[Coluna2]]*29,"mmmm")</f>
        <v>março</v>
      </c>
      <c r="I3614" t="str">
        <f>TEXT(MONTH(Tabela1[[#This Row],[Último pagto ano]])*29,"mmmm")</f>
        <v>março</v>
      </c>
    </row>
    <row r="3615" spans="1:9" x14ac:dyDescent="0.25">
      <c r="A3615">
        <v>2025</v>
      </c>
      <c r="B3615" t="s">
        <v>7195</v>
      </c>
      <c r="C3615" s="1">
        <v>46010</v>
      </c>
      <c r="D3615" t="s">
        <v>7196</v>
      </c>
      <c r="E3615" s="2">
        <v>6300</v>
      </c>
      <c r="G3615" s="3">
        <f>MONTH(Tabela1[[#This Row],[Último pagto ano]])</f>
        <v>12</v>
      </c>
      <c r="H3615" t="str">
        <f>TEXT(Tabela1[[#This Row],[Coluna2]]*29,"mmmm")</f>
        <v>dezembro</v>
      </c>
      <c r="I3615" t="str">
        <f>TEXT(MONTH(Tabela1[[#This Row],[Último pagto ano]])*29,"mmmm")</f>
        <v>dezembro</v>
      </c>
    </row>
    <row r="3616" spans="1:9" x14ac:dyDescent="0.25">
      <c r="A3616">
        <v>2025</v>
      </c>
      <c r="B3616" t="s">
        <v>7197</v>
      </c>
      <c r="C3616" s="1">
        <v>45876</v>
      </c>
      <c r="D3616" t="s">
        <v>7198</v>
      </c>
      <c r="E3616" s="2">
        <v>3100</v>
      </c>
      <c r="G3616" s="3">
        <f>MONTH(Tabela1[[#This Row],[Último pagto ano]])</f>
        <v>8</v>
      </c>
      <c r="H3616" t="str">
        <f>TEXT(Tabela1[[#This Row],[Coluna2]]*29,"mmmm")</f>
        <v>agosto</v>
      </c>
      <c r="I3616" t="str">
        <f>TEXT(MONTH(Tabela1[[#This Row],[Último pagto ano]])*29,"mmmm")</f>
        <v>agosto</v>
      </c>
    </row>
    <row r="3617" spans="1:9" x14ac:dyDescent="0.25">
      <c r="A3617">
        <v>2025</v>
      </c>
      <c r="B3617" t="s">
        <v>7199</v>
      </c>
      <c r="C3617" s="1">
        <v>45937</v>
      </c>
      <c r="D3617" t="s">
        <v>7200</v>
      </c>
      <c r="E3617" s="2">
        <v>3600</v>
      </c>
      <c r="G3617" s="3">
        <f>MONTH(Tabela1[[#This Row],[Último pagto ano]])</f>
        <v>10</v>
      </c>
      <c r="H3617" t="str">
        <f>TEXT(Tabela1[[#This Row],[Coluna2]]*29,"mmmm")</f>
        <v>outubro</v>
      </c>
      <c r="I3617" t="str">
        <f>TEXT(MONTH(Tabela1[[#This Row],[Último pagto ano]])*29,"mmmm")</f>
        <v>outubro</v>
      </c>
    </row>
    <row r="3618" spans="1:9" x14ac:dyDescent="0.25">
      <c r="A3618">
        <v>2025</v>
      </c>
      <c r="B3618" t="s">
        <v>7201</v>
      </c>
      <c r="C3618" s="1">
        <v>46006</v>
      </c>
      <c r="D3618" t="s">
        <v>7202</v>
      </c>
      <c r="E3618">
        <v>888.48</v>
      </c>
      <c r="G3618" s="3">
        <f>MONTH(Tabela1[[#This Row],[Último pagto ano]])</f>
        <v>12</v>
      </c>
      <c r="H3618" t="str">
        <f>TEXT(Tabela1[[#This Row],[Coluna2]]*29,"mmmm")</f>
        <v>dezembro</v>
      </c>
      <c r="I3618" t="str">
        <f>TEXT(MONTH(Tabela1[[#This Row],[Último pagto ano]])*29,"mmmm")</f>
        <v>dezembro</v>
      </c>
    </row>
    <row r="3619" spans="1:9" x14ac:dyDescent="0.25">
      <c r="A3619">
        <v>2025</v>
      </c>
      <c r="B3619" t="s">
        <v>7203</v>
      </c>
      <c r="C3619" s="1">
        <v>45796</v>
      </c>
      <c r="D3619" t="s">
        <v>7204</v>
      </c>
      <c r="E3619">
        <v>490.8</v>
      </c>
      <c r="G3619" s="3">
        <f>MONTH(Tabela1[[#This Row],[Último pagto ano]])</f>
        <v>5</v>
      </c>
      <c r="H3619" t="str">
        <f>TEXT(Tabela1[[#This Row],[Coluna2]]*29,"mmmm")</f>
        <v>maio</v>
      </c>
      <c r="I3619" t="str">
        <f>TEXT(MONTH(Tabela1[[#This Row],[Último pagto ano]])*29,"mmmm")</f>
        <v>maio</v>
      </c>
    </row>
    <row r="3620" spans="1:9" x14ac:dyDescent="0.25">
      <c r="A3620">
        <v>2025</v>
      </c>
      <c r="B3620" t="s">
        <v>7205</v>
      </c>
      <c r="C3620" s="1">
        <v>45838</v>
      </c>
      <c r="D3620" t="s">
        <v>7206</v>
      </c>
      <c r="E3620" s="2">
        <v>5790.02</v>
      </c>
      <c r="G3620" s="3">
        <f>MONTH(Tabela1[[#This Row],[Último pagto ano]])</f>
        <v>6</v>
      </c>
      <c r="H3620" t="str">
        <f>TEXT(Tabela1[[#This Row],[Coluna2]]*29,"mmmm")</f>
        <v>junho</v>
      </c>
      <c r="I3620" t="str">
        <f>TEXT(MONTH(Tabela1[[#This Row],[Último pagto ano]])*29,"mmmm")</f>
        <v>junho</v>
      </c>
    </row>
    <row r="3621" spans="1:9" x14ac:dyDescent="0.25">
      <c r="A3621">
        <v>2025</v>
      </c>
      <c r="B3621" t="s">
        <v>7207</v>
      </c>
      <c r="C3621" s="1">
        <v>45880</v>
      </c>
      <c r="D3621" t="s">
        <v>7208</v>
      </c>
      <c r="E3621">
        <v>271.36</v>
      </c>
      <c r="G3621" s="3">
        <f>MONTH(Tabela1[[#This Row],[Último pagto ano]])</f>
        <v>8</v>
      </c>
      <c r="H3621" t="str">
        <f>TEXT(Tabela1[[#This Row],[Coluna2]]*29,"mmmm")</f>
        <v>agosto</v>
      </c>
      <c r="I3621" t="str">
        <f>TEXT(MONTH(Tabela1[[#This Row],[Último pagto ano]])*29,"mmmm")</f>
        <v>agosto</v>
      </c>
    </row>
    <row r="3622" spans="1:9" x14ac:dyDescent="0.25">
      <c r="A3622">
        <v>2025</v>
      </c>
      <c r="B3622" t="s">
        <v>7209</v>
      </c>
      <c r="C3622" s="1">
        <v>45996</v>
      </c>
      <c r="D3622" t="s">
        <v>7210</v>
      </c>
      <c r="E3622" s="2">
        <v>10000</v>
      </c>
      <c r="G3622" s="3">
        <f>MONTH(Tabela1[[#This Row],[Último pagto ano]])</f>
        <v>12</v>
      </c>
      <c r="H3622" t="str">
        <f>TEXT(Tabela1[[#This Row],[Coluna2]]*29,"mmmm")</f>
        <v>dezembro</v>
      </c>
      <c r="I3622" t="str">
        <f>TEXT(MONTH(Tabela1[[#This Row],[Último pagto ano]])*29,"mmmm")</f>
        <v>dezembro</v>
      </c>
    </row>
    <row r="3623" spans="1:9" x14ac:dyDescent="0.25">
      <c r="A3623">
        <v>2025</v>
      </c>
      <c r="B3623" t="s">
        <v>7211</v>
      </c>
      <c r="C3623" s="1">
        <v>45996</v>
      </c>
      <c r="D3623" t="s">
        <v>7212</v>
      </c>
      <c r="E3623" s="2">
        <v>8000</v>
      </c>
      <c r="G3623" s="3">
        <f>MONTH(Tabela1[[#This Row],[Último pagto ano]])</f>
        <v>12</v>
      </c>
      <c r="H3623" t="str">
        <f>TEXT(Tabela1[[#This Row],[Coluna2]]*29,"mmmm")</f>
        <v>dezembro</v>
      </c>
      <c r="I3623" t="str">
        <f>TEXT(MONTH(Tabela1[[#This Row],[Último pagto ano]])*29,"mmmm")</f>
        <v>dezembro</v>
      </c>
    </row>
    <row r="3624" spans="1:9" x14ac:dyDescent="0.25">
      <c r="A3624">
        <v>2025</v>
      </c>
      <c r="B3624" t="s">
        <v>7213</v>
      </c>
      <c r="C3624" s="1">
        <v>45702</v>
      </c>
      <c r="D3624" t="s">
        <v>7214</v>
      </c>
      <c r="E3624">
        <v>80.05</v>
      </c>
      <c r="G3624" s="3">
        <f>MONTH(Tabela1[[#This Row],[Último pagto ano]])</f>
        <v>2</v>
      </c>
      <c r="H3624" t="str">
        <f>TEXT(Tabela1[[#This Row],[Coluna2]]*29,"mmmm")</f>
        <v>fevereiro</v>
      </c>
      <c r="I3624" t="str">
        <f>TEXT(MONTH(Tabela1[[#This Row],[Último pagto ano]])*29,"mmmm")</f>
        <v>fevereiro</v>
      </c>
    </row>
    <row r="3625" spans="1:9" x14ac:dyDescent="0.25">
      <c r="A3625">
        <v>2025</v>
      </c>
      <c r="B3625" t="s">
        <v>7215</v>
      </c>
      <c r="C3625" s="1">
        <v>45996</v>
      </c>
      <c r="D3625" t="s">
        <v>7216</v>
      </c>
      <c r="E3625" s="2">
        <v>8000</v>
      </c>
      <c r="G3625" s="3">
        <f>MONTH(Tabela1[[#This Row],[Último pagto ano]])</f>
        <v>12</v>
      </c>
      <c r="H3625" t="str">
        <f>TEXT(Tabela1[[#This Row],[Coluna2]]*29,"mmmm")</f>
        <v>dezembro</v>
      </c>
      <c r="I3625" t="str">
        <f>TEXT(MONTH(Tabela1[[#This Row],[Último pagto ano]])*29,"mmmm")</f>
        <v>dezembro</v>
      </c>
    </row>
    <row r="3626" spans="1:9" x14ac:dyDescent="0.25">
      <c r="A3626">
        <v>2025</v>
      </c>
      <c r="B3626" t="s">
        <v>7217</v>
      </c>
      <c r="C3626" s="1">
        <v>45761</v>
      </c>
      <c r="D3626" t="s">
        <v>7218</v>
      </c>
      <c r="E3626" s="2">
        <v>1255.58</v>
      </c>
      <c r="G3626" s="3">
        <f>MONTH(Tabela1[[#This Row],[Último pagto ano]])</f>
        <v>4</v>
      </c>
      <c r="H3626" t="str">
        <f>TEXT(Tabela1[[#This Row],[Coluna2]]*29,"mmmm")</f>
        <v>abril</v>
      </c>
      <c r="I3626" t="str">
        <f>TEXT(MONTH(Tabela1[[#This Row],[Último pagto ano]])*29,"mmmm")</f>
        <v>abril</v>
      </c>
    </row>
    <row r="3627" spans="1:9" x14ac:dyDescent="0.25">
      <c r="A3627">
        <v>2025</v>
      </c>
      <c r="B3627" t="s">
        <v>7219</v>
      </c>
      <c r="C3627" s="1">
        <v>45786</v>
      </c>
      <c r="D3627" t="s">
        <v>7220</v>
      </c>
      <c r="E3627" s="2">
        <v>24950</v>
      </c>
      <c r="G3627" s="3">
        <f>MONTH(Tabela1[[#This Row],[Último pagto ano]])</f>
        <v>5</v>
      </c>
      <c r="H3627" t="str">
        <f>TEXT(Tabela1[[#This Row],[Coluna2]]*29,"mmmm")</f>
        <v>maio</v>
      </c>
      <c r="I3627" t="str">
        <f>TEXT(MONTH(Tabela1[[#This Row],[Último pagto ano]])*29,"mmmm")</f>
        <v>maio</v>
      </c>
    </row>
    <row r="3628" spans="1:9" x14ac:dyDescent="0.25">
      <c r="A3628">
        <v>2025</v>
      </c>
      <c r="B3628" t="s">
        <v>7221</v>
      </c>
      <c r="C3628" s="1">
        <v>45959</v>
      </c>
      <c r="D3628" t="s">
        <v>7222</v>
      </c>
      <c r="E3628" s="2">
        <v>7000</v>
      </c>
      <c r="G3628" s="3">
        <f>MONTH(Tabela1[[#This Row],[Último pagto ano]])</f>
        <v>10</v>
      </c>
      <c r="H3628" t="str">
        <f>TEXT(Tabela1[[#This Row],[Coluna2]]*29,"mmmm")</f>
        <v>outubro</v>
      </c>
      <c r="I3628" t="str">
        <f>TEXT(MONTH(Tabela1[[#This Row],[Último pagto ano]])*29,"mmmm")</f>
        <v>outubro</v>
      </c>
    </row>
    <row r="3629" spans="1:9" x14ac:dyDescent="0.25">
      <c r="A3629">
        <v>2025</v>
      </c>
      <c r="B3629" t="s">
        <v>7223</v>
      </c>
      <c r="C3629" s="1">
        <v>45922</v>
      </c>
      <c r="D3629" t="s">
        <v>7224</v>
      </c>
      <c r="E3629" s="2">
        <v>4563.37</v>
      </c>
      <c r="G3629" s="3">
        <f>MONTH(Tabela1[[#This Row],[Último pagto ano]])</f>
        <v>9</v>
      </c>
      <c r="H3629" t="str">
        <f>TEXT(Tabela1[[#This Row],[Coluna2]]*29,"mmmm")</f>
        <v>setembro</v>
      </c>
      <c r="I3629" t="str">
        <f>TEXT(MONTH(Tabela1[[#This Row],[Último pagto ano]])*29,"mmmm")</f>
        <v>setembro</v>
      </c>
    </row>
    <row r="3630" spans="1:9" x14ac:dyDescent="0.25">
      <c r="A3630">
        <v>2025</v>
      </c>
      <c r="B3630" t="s">
        <v>7225</v>
      </c>
      <c r="C3630" s="1">
        <v>45824</v>
      </c>
      <c r="D3630" t="s">
        <v>7226</v>
      </c>
      <c r="E3630" s="2">
        <v>7041.44</v>
      </c>
      <c r="G3630" s="3">
        <f>MONTH(Tabela1[[#This Row],[Último pagto ano]])</f>
        <v>6</v>
      </c>
      <c r="H3630" t="str">
        <f>TEXT(Tabela1[[#This Row],[Coluna2]]*29,"mmmm")</f>
        <v>junho</v>
      </c>
      <c r="I3630" t="str">
        <f>TEXT(MONTH(Tabela1[[#This Row],[Último pagto ano]])*29,"mmmm")</f>
        <v>junho</v>
      </c>
    </row>
    <row r="3631" spans="1:9" x14ac:dyDescent="0.25">
      <c r="A3631">
        <v>2025</v>
      </c>
      <c r="B3631" t="s">
        <v>7227</v>
      </c>
      <c r="C3631" s="1">
        <v>45908</v>
      </c>
      <c r="D3631" t="s">
        <v>7228</v>
      </c>
      <c r="E3631">
        <v>44</v>
      </c>
      <c r="G3631" s="3">
        <f>MONTH(Tabela1[[#This Row],[Último pagto ano]])</f>
        <v>9</v>
      </c>
      <c r="H3631" t="str">
        <f>TEXT(Tabela1[[#This Row],[Coluna2]]*29,"mmmm")</f>
        <v>setembro</v>
      </c>
      <c r="I3631" t="str">
        <f>TEXT(MONTH(Tabela1[[#This Row],[Último pagto ano]])*29,"mmmm")</f>
        <v>setembro</v>
      </c>
    </row>
    <row r="3632" spans="1:9" x14ac:dyDescent="0.25">
      <c r="A3632">
        <v>2025</v>
      </c>
      <c r="B3632" t="s">
        <v>7229</v>
      </c>
      <c r="C3632" s="1">
        <v>45673</v>
      </c>
      <c r="D3632" t="s">
        <v>7230</v>
      </c>
      <c r="E3632" s="2">
        <v>2039.99</v>
      </c>
      <c r="G3632" s="3">
        <f>MONTH(Tabela1[[#This Row],[Último pagto ano]])</f>
        <v>1</v>
      </c>
      <c r="H3632" t="str">
        <f>TEXT(Tabela1[[#This Row],[Coluna2]]*29,"mmmm")</f>
        <v>janeiro</v>
      </c>
      <c r="I3632" t="str">
        <f>TEXT(MONTH(Tabela1[[#This Row],[Último pagto ano]])*29,"mmmm")</f>
        <v>janeiro</v>
      </c>
    </row>
    <row r="3633" spans="1:9" x14ac:dyDescent="0.25">
      <c r="A3633">
        <v>2025</v>
      </c>
      <c r="B3633" t="s">
        <v>7231</v>
      </c>
      <c r="C3633" s="1">
        <v>46006</v>
      </c>
      <c r="D3633" t="s">
        <v>7232</v>
      </c>
      <c r="E3633" s="2">
        <v>18892.04</v>
      </c>
      <c r="G3633" s="3">
        <f>MONTH(Tabela1[[#This Row],[Último pagto ano]])</f>
        <v>12</v>
      </c>
      <c r="H3633" t="str">
        <f>TEXT(Tabela1[[#This Row],[Coluna2]]*29,"mmmm")</f>
        <v>dezembro</v>
      </c>
      <c r="I3633" t="str">
        <f>TEXT(MONTH(Tabela1[[#This Row],[Último pagto ano]])*29,"mmmm")</f>
        <v>dezembro</v>
      </c>
    </row>
    <row r="3634" spans="1:9" x14ac:dyDescent="0.25">
      <c r="A3634">
        <v>2025</v>
      </c>
      <c r="B3634" t="s">
        <v>7233</v>
      </c>
      <c r="C3634" s="1">
        <v>45995</v>
      </c>
      <c r="D3634" t="s">
        <v>7234</v>
      </c>
      <c r="E3634">
        <v>132</v>
      </c>
      <c r="G3634" s="3">
        <f>MONTH(Tabela1[[#This Row],[Último pagto ano]])</f>
        <v>12</v>
      </c>
      <c r="H3634" t="str">
        <f>TEXT(Tabela1[[#This Row],[Coluna2]]*29,"mmmm")</f>
        <v>dezembro</v>
      </c>
      <c r="I3634" t="str">
        <f>TEXT(MONTH(Tabela1[[#This Row],[Último pagto ano]])*29,"mmmm")</f>
        <v>dezembro</v>
      </c>
    </row>
    <row r="3635" spans="1:9" x14ac:dyDescent="0.25">
      <c r="A3635">
        <v>2025</v>
      </c>
      <c r="B3635" t="s">
        <v>7235</v>
      </c>
      <c r="C3635" s="1">
        <v>46014</v>
      </c>
      <c r="D3635" t="s">
        <v>7236</v>
      </c>
      <c r="E3635" s="2">
        <v>17116.71</v>
      </c>
      <c r="G3635" s="3">
        <f>MONTH(Tabela1[[#This Row],[Último pagto ano]])</f>
        <v>12</v>
      </c>
      <c r="H3635" t="str">
        <f>TEXT(Tabela1[[#This Row],[Coluna2]]*29,"mmmm")</f>
        <v>dezembro</v>
      </c>
      <c r="I3635" t="str">
        <f>TEXT(MONTH(Tabela1[[#This Row],[Último pagto ano]])*29,"mmmm")</f>
        <v>dezembro</v>
      </c>
    </row>
    <row r="3636" spans="1:9" x14ac:dyDescent="0.25">
      <c r="A3636">
        <v>2025</v>
      </c>
      <c r="B3636" t="s">
        <v>7237</v>
      </c>
      <c r="C3636" s="1">
        <v>45943</v>
      </c>
      <c r="D3636" t="s">
        <v>7238</v>
      </c>
      <c r="E3636">
        <v>198</v>
      </c>
      <c r="G3636" s="3">
        <f>MONTH(Tabela1[[#This Row],[Último pagto ano]])</f>
        <v>10</v>
      </c>
      <c r="H3636" t="str">
        <f>TEXT(Tabela1[[#This Row],[Coluna2]]*29,"mmmm")</f>
        <v>outubro</v>
      </c>
      <c r="I3636" t="str">
        <f>TEXT(MONTH(Tabela1[[#This Row],[Último pagto ano]])*29,"mmmm")</f>
        <v>outubro</v>
      </c>
    </row>
    <row r="3637" spans="1:9" x14ac:dyDescent="0.25">
      <c r="A3637">
        <v>2025</v>
      </c>
      <c r="B3637" t="s">
        <v>7239</v>
      </c>
      <c r="C3637" s="1">
        <v>45840</v>
      </c>
      <c r="D3637" t="s">
        <v>7240</v>
      </c>
      <c r="E3637" s="2">
        <v>166000</v>
      </c>
      <c r="G3637" s="3">
        <f>MONTH(Tabela1[[#This Row],[Último pagto ano]])</f>
        <v>7</v>
      </c>
      <c r="H3637" t="str">
        <f>TEXT(Tabela1[[#This Row],[Coluna2]]*29,"mmmm")</f>
        <v>julho</v>
      </c>
      <c r="I3637" t="str">
        <f>TEXT(MONTH(Tabela1[[#This Row],[Último pagto ano]])*29,"mmmm")</f>
        <v>julho</v>
      </c>
    </row>
    <row r="3638" spans="1:9" x14ac:dyDescent="0.25">
      <c r="A3638">
        <v>2025</v>
      </c>
      <c r="B3638" t="s">
        <v>7241</v>
      </c>
      <c r="C3638" s="1">
        <v>45968</v>
      </c>
      <c r="D3638" t="s">
        <v>7242</v>
      </c>
      <c r="E3638" s="2">
        <v>2500</v>
      </c>
      <c r="G3638" s="3">
        <f>MONTH(Tabela1[[#This Row],[Último pagto ano]])</f>
        <v>11</v>
      </c>
      <c r="H3638" t="str">
        <f>TEXT(Tabela1[[#This Row],[Coluna2]]*29,"mmmm")</f>
        <v>novembro</v>
      </c>
      <c r="I3638" t="str">
        <f>TEXT(MONTH(Tabela1[[#This Row],[Último pagto ano]])*29,"mmmm")</f>
        <v>novembro</v>
      </c>
    </row>
    <row r="3639" spans="1:9" x14ac:dyDescent="0.25">
      <c r="A3639">
        <v>2025</v>
      </c>
      <c r="B3639" t="s">
        <v>7243</v>
      </c>
      <c r="C3639" s="1">
        <v>45897</v>
      </c>
      <c r="D3639" t="s">
        <v>7244</v>
      </c>
      <c r="E3639" s="2">
        <v>1758.9</v>
      </c>
      <c r="G3639" s="3">
        <f>MONTH(Tabela1[[#This Row],[Último pagto ano]])</f>
        <v>8</v>
      </c>
      <c r="H3639" t="str">
        <f>TEXT(Tabela1[[#This Row],[Coluna2]]*29,"mmmm")</f>
        <v>agosto</v>
      </c>
      <c r="I3639" t="str">
        <f>TEXT(MONTH(Tabela1[[#This Row],[Último pagto ano]])*29,"mmmm")</f>
        <v>agosto</v>
      </c>
    </row>
    <row r="3640" spans="1:9" x14ac:dyDescent="0.25">
      <c r="A3640">
        <v>2025</v>
      </c>
      <c r="B3640" t="s">
        <v>7245</v>
      </c>
      <c r="C3640" s="1">
        <v>46010</v>
      </c>
      <c r="D3640" t="s">
        <v>7246</v>
      </c>
      <c r="E3640" s="2">
        <v>4900</v>
      </c>
      <c r="G3640" s="3">
        <f>MONTH(Tabela1[[#This Row],[Último pagto ano]])</f>
        <v>12</v>
      </c>
      <c r="H3640" t="str">
        <f>TEXT(Tabela1[[#This Row],[Coluna2]]*29,"mmmm")</f>
        <v>dezembro</v>
      </c>
      <c r="I3640" t="str">
        <f>TEXT(MONTH(Tabela1[[#This Row],[Último pagto ano]])*29,"mmmm")</f>
        <v>dezembro</v>
      </c>
    </row>
    <row r="3641" spans="1:9" x14ac:dyDescent="0.25">
      <c r="A3641">
        <v>2025</v>
      </c>
      <c r="B3641" t="s">
        <v>7247</v>
      </c>
      <c r="C3641" s="1">
        <v>45824</v>
      </c>
      <c r="D3641" t="s">
        <v>7248</v>
      </c>
      <c r="E3641">
        <v>250.06</v>
      </c>
      <c r="G3641" s="3">
        <f>MONTH(Tabela1[[#This Row],[Último pagto ano]])</f>
        <v>6</v>
      </c>
      <c r="H3641" t="str">
        <f>TEXT(Tabela1[[#This Row],[Coluna2]]*29,"mmmm")</f>
        <v>junho</v>
      </c>
      <c r="I3641" t="str">
        <f>TEXT(MONTH(Tabela1[[#This Row],[Último pagto ano]])*29,"mmmm")</f>
        <v>junho</v>
      </c>
    </row>
    <row r="3642" spans="1:9" x14ac:dyDescent="0.25">
      <c r="A3642">
        <v>2025</v>
      </c>
      <c r="B3642" t="s">
        <v>7249</v>
      </c>
      <c r="C3642" s="1">
        <v>46006</v>
      </c>
      <c r="D3642" t="s">
        <v>7250</v>
      </c>
      <c r="E3642" s="2">
        <v>1480.8</v>
      </c>
      <c r="G3642" s="3">
        <f>MONTH(Tabela1[[#This Row],[Último pagto ano]])</f>
        <v>12</v>
      </c>
      <c r="H3642" t="str">
        <f>TEXT(Tabela1[[#This Row],[Coluna2]]*29,"mmmm")</f>
        <v>dezembro</v>
      </c>
      <c r="I3642" t="str">
        <f>TEXT(MONTH(Tabela1[[#This Row],[Último pagto ano]])*29,"mmmm")</f>
        <v>dezembro</v>
      </c>
    </row>
    <row r="3643" spans="1:9" x14ac:dyDescent="0.25">
      <c r="A3643">
        <v>2025</v>
      </c>
      <c r="B3643" t="s">
        <v>7251</v>
      </c>
      <c r="C3643" s="1">
        <v>45985</v>
      </c>
      <c r="D3643" t="s">
        <v>7252</v>
      </c>
      <c r="E3643">
        <v>25.95</v>
      </c>
      <c r="G3643" s="3">
        <f>MONTH(Tabela1[[#This Row],[Último pagto ano]])</f>
        <v>11</v>
      </c>
      <c r="H3643" t="str">
        <f>TEXT(Tabela1[[#This Row],[Coluna2]]*29,"mmmm")</f>
        <v>novembro</v>
      </c>
      <c r="I3643" t="str">
        <f>TEXT(MONTH(Tabela1[[#This Row],[Último pagto ano]])*29,"mmmm")</f>
        <v>novembro</v>
      </c>
    </row>
    <row r="3644" spans="1:9" x14ac:dyDescent="0.25">
      <c r="A3644">
        <v>2025</v>
      </c>
      <c r="B3644" t="s">
        <v>7253</v>
      </c>
      <c r="C3644" s="1">
        <v>46008</v>
      </c>
      <c r="D3644" t="s">
        <v>7254</v>
      </c>
      <c r="E3644" s="2">
        <v>539818.55000000005</v>
      </c>
      <c r="G3644" s="3">
        <f>MONTH(Tabela1[[#This Row],[Último pagto ano]])</f>
        <v>12</v>
      </c>
      <c r="H3644" t="str">
        <f>TEXT(Tabela1[[#This Row],[Coluna2]]*29,"mmmm")</f>
        <v>dezembro</v>
      </c>
      <c r="I3644" t="str">
        <f>TEXT(MONTH(Tabela1[[#This Row],[Último pagto ano]])*29,"mmmm")</f>
        <v>dezembro</v>
      </c>
    </row>
    <row r="3645" spans="1:9" x14ac:dyDescent="0.25">
      <c r="A3645">
        <v>2025</v>
      </c>
      <c r="B3645" t="s">
        <v>7255</v>
      </c>
      <c r="C3645" s="1">
        <v>45960</v>
      </c>
      <c r="D3645" t="s">
        <v>7256</v>
      </c>
      <c r="E3645">
        <v>704.83</v>
      </c>
      <c r="G3645" s="3">
        <f>MONTH(Tabela1[[#This Row],[Último pagto ano]])</f>
        <v>10</v>
      </c>
      <c r="H3645" t="str">
        <f>TEXT(Tabela1[[#This Row],[Coluna2]]*29,"mmmm")</f>
        <v>outubro</v>
      </c>
      <c r="I3645" t="str">
        <f>TEXT(MONTH(Tabela1[[#This Row],[Último pagto ano]])*29,"mmmm")</f>
        <v>outubro</v>
      </c>
    </row>
    <row r="3646" spans="1:9" x14ac:dyDescent="0.25">
      <c r="A3646">
        <v>2025</v>
      </c>
      <c r="B3646" t="s">
        <v>7257</v>
      </c>
      <c r="C3646" s="1">
        <v>46009</v>
      </c>
      <c r="D3646" t="s">
        <v>7258</v>
      </c>
      <c r="E3646" s="2">
        <v>120826.89</v>
      </c>
      <c r="G3646" s="3">
        <f>MONTH(Tabela1[[#This Row],[Último pagto ano]])</f>
        <v>12</v>
      </c>
      <c r="H3646" t="str">
        <f>TEXT(Tabela1[[#This Row],[Coluna2]]*29,"mmmm")</f>
        <v>dezembro</v>
      </c>
      <c r="I3646" t="str">
        <f>TEXT(MONTH(Tabela1[[#This Row],[Último pagto ano]])*29,"mmmm")</f>
        <v>dezembro</v>
      </c>
    </row>
    <row r="3647" spans="1:9" x14ac:dyDescent="0.25">
      <c r="A3647">
        <v>2025</v>
      </c>
      <c r="B3647" t="s">
        <v>7259</v>
      </c>
      <c r="C3647" s="1">
        <v>46021</v>
      </c>
      <c r="D3647" t="s">
        <v>7260</v>
      </c>
      <c r="E3647" s="2">
        <v>76604677.629999995</v>
      </c>
      <c r="G3647" s="3">
        <f>MONTH(Tabela1[[#This Row],[Último pagto ano]])</f>
        <v>12</v>
      </c>
      <c r="H3647" t="str">
        <f>TEXT(Tabela1[[#This Row],[Coluna2]]*29,"mmmm")</f>
        <v>dezembro</v>
      </c>
      <c r="I3647" t="str">
        <f>TEXT(MONTH(Tabela1[[#This Row],[Último pagto ano]])*29,"mmmm")</f>
        <v>dezembro</v>
      </c>
    </row>
    <row r="3648" spans="1:9" x14ac:dyDescent="0.25">
      <c r="A3648">
        <v>2025</v>
      </c>
      <c r="B3648" t="s">
        <v>7259</v>
      </c>
      <c r="C3648" s="1">
        <v>46014</v>
      </c>
      <c r="D3648" t="s">
        <v>7261</v>
      </c>
      <c r="E3648" s="2">
        <v>22506086.649999999</v>
      </c>
      <c r="G3648" s="3">
        <f>MONTH(Tabela1[[#This Row],[Último pagto ano]])</f>
        <v>12</v>
      </c>
      <c r="H3648" t="str">
        <f>TEXT(Tabela1[[#This Row],[Coluna2]]*29,"mmmm")</f>
        <v>dezembro</v>
      </c>
      <c r="I3648" t="str">
        <f>TEXT(MONTH(Tabela1[[#This Row],[Último pagto ano]])*29,"mmmm")</f>
        <v>dezembro</v>
      </c>
    </row>
    <row r="3649" spans="1:9" x14ac:dyDescent="0.25">
      <c r="A3649">
        <v>2025</v>
      </c>
      <c r="B3649" t="s">
        <v>7262</v>
      </c>
      <c r="C3649" s="1">
        <v>45999</v>
      </c>
      <c r="D3649" t="s">
        <v>7263</v>
      </c>
      <c r="E3649" s="2">
        <v>4321398.8</v>
      </c>
      <c r="G3649" s="3">
        <f>MONTH(Tabela1[[#This Row],[Último pagto ano]])</f>
        <v>12</v>
      </c>
      <c r="H3649" t="str">
        <f>TEXT(Tabela1[[#This Row],[Coluna2]]*29,"mmmm")</f>
        <v>dezembro</v>
      </c>
      <c r="I3649" t="str">
        <f>TEXT(MONTH(Tabela1[[#This Row],[Último pagto ano]])*29,"mmmm")</f>
        <v>dezembro</v>
      </c>
    </row>
    <row r="3650" spans="1:9" x14ac:dyDescent="0.25">
      <c r="A3650">
        <v>2025</v>
      </c>
      <c r="B3650" t="s">
        <v>7264</v>
      </c>
      <c r="C3650" s="1">
        <v>46014</v>
      </c>
      <c r="D3650" t="s">
        <v>7265</v>
      </c>
      <c r="E3650" s="2">
        <v>1242</v>
      </c>
      <c r="G3650" s="3">
        <f>MONTH(Tabela1[[#This Row],[Último pagto ano]])</f>
        <v>12</v>
      </c>
      <c r="H3650" t="str">
        <f>TEXT(Tabela1[[#This Row],[Coluna2]]*29,"mmmm")</f>
        <v>dezembro</v>
      </c>
      <c r="I3650" t="str">
        <f>TEXT(MONTH(Tabela1[[#This Row],[Último pagto ano]])*29,"mmmm")</f>
        <v>dezembro</v>
      </c>
    </row>
    <row r="3651" spans="1:9" x14ac:dyDescent="0.25">
      <c r="A3651">
        <v>2025</v>
      </c>
      <c r="B3651" t="s">
        <v>7266</v>
      </c>
      <c r="C3651" s="1">
        <v>46003</v>
      </c>
      <c r="D3651" t="s">
        <v>7267</v>
      </c>
      <c r="E3651" s="2">
        <v>7625</v>
      </c>
      <c r="G3651" s="3">
        <f>MONTH(Tabela1[[#This Row],[Último pagto ano]])</f>
        <v>12</v>
      </c>
      <c r="H3651" t="str">
        <f>TEXT(Tabela1[[#This Row],[Coluna2]]*29,"mmmm")</f>
        <v>dezembro</v>
      </c>
      <c r="I3651" t="str">
        <f>TEXT(MONTH(Tabela1[[#This Row],[Último pagto ano]])*29,"mmmm")</f>
        <v>dezembro</v>
      </c>
    </row>
    <row r="3652" spans="1:9" x14ac:dyDescent="0.25">
      <c r="A3652">
        <v>2025</v>
      </c>
      <c r="B3652" t="s">
        <v>7268</v>
      </c>
      <c r="C3652" s="1">
        <v>45999</v>
      </c>
      <c r="D3652" t="s">
        <v>7269</v>
      </c>
      <c r="E3652" s="2">
        <v>5925</v>
      </c>
      <c r="G3652" s="3">
        <f>MONTH(Tabela1[[#This Row],[Último pagto ano]])</f>
        <v>12</v>
      </c>
      <c r="H3652" t="str">
        <f>TEXT(Tabela1[[#This Row],[Coluna2]]*29,"mmmm")</f>
        <v>dezembro</v>
      </c>
      <c r="I3652" t="str">
        <f>TEXT(MONTH(Tabela1[[#This Row],[Último pagto ano]])*29,"mmmm")</f>
        <v>dezembro</v>
      </c>
    </row>
    <row r="3653" spans="1:9" x14ac:dyDescent="0.25">
      <c r="A3653">
        <v>2025</v>
      </c>
      <c r="B3653" t="s">
        <v>7270</v>
      </c>
      <c r="C3653" s="1">
        <v>45707</v>
      </c>
      <c r="D3653" t="s">
        <v>7271</v>
      </c>
      <c r="E3653" s="2">
        <v>117941</v>
      </c>
      <c r="G3653" s="3">
        <f>MONTH(Tabela1[[#This Row],[Último pagto ano]])</f>
        <v>2</v>
      </c>
      <c r="H3653" t="str">
        <f>TEXT(Tabela1[[#This Row],[Coluna2]]*29,"mmmm")</f>
        <v>fevereiro</v>
      </c>
      <c r="I3653" t="str">
        <f>TEXT(MONTH(Tabela1[[#This Row],[Último pagto ano]])*29,"mmmm")</f>
        <v>fevereiro</v>
      </c>
    </row>
    <row r="3654" spans="1:9" x14ac:dyDescent="0.25">
      <c r="A3654">
        <v>2025</v>
      </c>
      <c r="B3654" t="s">
        <v>7272</v>
      </c>
      <c r="C3654" s="1">
        <v>46014</v>
      </c>
      <c r="D3654" t="s">
        <v>7273</v>
      </c>
      <c r="E3654" s="2">
        <v>3951.5</v>
      </c>
      <c r="G3654" s="3">
        <f>MONTH(Tabela1[[#This Row],[Último pagto ano]])</f>
        <v>12</v>
      </c>
      <c r="H3654" t="str">
        <f>TEXT(Tabela1[[#This Row],[Coluna2]]*29,"mmmm")</f>
        <v>dezembro</v>
      </c>
      <c r="I3654" t="str">
        <f>TEXT(MONTH(Tabela1[[#This Row],[Último pagto ano]])*29,"mmmm")</f>
        <v>dezembro</v>
      </c>
    </row>
    <row r="3655" spans="1:9" x14ac:dyDescent="0.25">
      <c r="A3655">
        <v>2025</v>
      </c>
      <c r="B3655" t="s">
        <v>7274</v>
      </c>
      <c r="C3655" s="1">
        <v>46014</v>
      </c>
      <c r="D3655" t="s">
        <v>7275</v>
      </c>
      <c r="E3655" s="2">
        <v>1295.3499999999999</v>
      </c>
      <c r="G3655" s="3">
        <f>MONTH(Tabela1[[#This Row],[Último pagto ano]])</f>
        <v>12</v>
      </c>
      <c r="H3655" t="str">
        <f>TEXT(Tabela1[[#This Row],[Coluna2]]*29,"mmmm")</f>
        <v>dezembro</v>
      </c>
      <c r="I3655" t="str">
        <f>TEXT(MONTH(Tabela1[[#This Row],[Último pagto ano]])*29,"mmmm")</f>
        <v>dezembro</v>
      </c>
    </row>
    <row r="3656" spans="1:9" x14ac:dyDescent="0.25">
      <c r="A3656">
        <v>2025</v>
      </c>
      <c r="B3656" t="s">
        <v>7276</v>
      </c>
      <c r="C3656" s="1">
        <v>46006</v>
      </c>
      <c r="D3656" t="s">
        <v>7277</v>
      </c>
      <c r="E3656" s="2">
        <v>3553.92</v>
      </c>
      <c r="G3656" s="3">
        <f>MONTH(Tabela1[[#This Row],[Último pagto ano]])</f>
        <v>12</v>
      </c>
      <c r="H3656" t="str">
        <f>TEXT(Tabela1[[#This Row],[Coluna2]]*29,"mmmm")</f>
        <v>dezembro</v>
      </c>
      <c r="I3656" t="str">
        <f>TEXT(MONTH(Tabela1[[#This Row],[Último pagto ano]])*29,"mmmm")</f>
        <v>dezembro</v>
      </c>
    </row>
    <row r="3657" spans="1:9" x14ac:dyDescent="0.25">
      <c r="A3657">
        <v>2025</v>
      </c>
      <c r="B3657" t="s">
        <v>7278</v>
      </c>
      <c r="C3657" s="1">
        <v>45996</v>
      </c>
      <c r="D3657" t="s">
        <v>7279</v>
      </c>
      <c r="E3657" s="2">
        <v>34020</v>
      </c>
      <c r="G3657" s="3">
        <f>MONTH(Tabela1[[#This Row],[Último pagto ano]])</f>
        <v>12</v>
      </c>
      <c r="H3657" t="str">
        <f>TEXT(Tabela1[[#This Row],[Coluna2]]*29,"mmmm")</f>
        <v>dezembro</v>
      </c>
      <c r="I3657" t="str">
        <f>TEXT(MONTH(Tabela1[[#This Row],[Último pagto ano]])*29,"mmmm")</f>
        <v>dezembro</v>
      </c>
    </row>
    <row r="3658" spans="1:9" x14ac:dyDescent="0.25">
      <c r="A3658">
        <v>2025</v>
      </c>
      <c r="B3658" t="s">
        <v>7280</v>
      </c>
      <c r="C3658" s="1">
        <v>45996</v>
      </c>
      <c r="D3658" t="s">
        <v>7281</v>
      </c>
      <c r="E3658" s="2">
        <v>11261.25</v>
      </c>
      <c r="G3658" s="3">
        <f>MONTH(Tabela1[[#This Row],[Último pagto ano]])</f>
        <v>12</v>
      </c>
      <c r="H3658" t="str">
        <f>TEXT(Tabela1[[#This Row],[Coluna2]]*29,"mmmm")</f>
        <v>dezembro</v>
      </c>
      <c r="I3658" t="str">
        <f>TEXT(MONTH(Tabela1[[#This Row],[Último pagto ano]])*29,"mmmm")</f>
        <v>dezembro</v>
      </c>
    </row>
    <row r="3659" spans="1:9" x14ac:dyDescent="0.25">
      <c r="A3659">
        <v>2025</v>
      </c>
      <c r="B3659" t="s">
        <v>7282</v>
      </c>
      <c r="C3659" s="1">
        <v>45880</v>
      </c>
      <c r="D3659" t="s">
        <v>7283</v>
      </c>
      <c r="E3659" s="2">
        <v>9000</v>
      </c>
      <c r="G3659" s="3">
        <f>MONTH(Tabela1[[#This Row],[Último pagto ano]])</f>
        <v>8</v>
      </c>
      <c r="H3659" t="str">
        <f>TEXT(Tabela1[[#This Row],[Coluna2]]*29,"mmmm")</f>
        <v>agosto</v>
      </c>
      <c r="I3659" t="str">
        <f>TEXT(MONTH(Tabela1[[#This Row],[Último pagto ano]])*29,"mmmm")</f>
        <v>agosto</v>
      </c>
    </row>
    <row r="3660" spans="1:9" x14ac:dyDescent="0.25">
      <c r="A3660">
        <v>2025</v>
      </c>
      <c r="B3660" t="s">
        <v>7284</v>
      </c>
      <c r="C3660" s="1">
        <v>45673</v>
      </c>
      <c r="D3660" t="s">
        <v>7285</v>
      </c>
      <c r="E3660">
        <v>300</v>
      </c>
      <c r="G3660" s="3">
        <f>MONTH(Tabela1[[#This Row],[Último pagto ano]])</f>
        <v>1</v>
      </c>
      <c r="H3660" t="str">
        <f>TEXT(Tabela1[[#This Row],[Coluna2]]*29,"mmmm")</f>
        <v>janeiro</v>
      </c>
      <c r="I3660" t="str">
        <f>TEXT(MONTH(Tabela1[[#This Row],[Último pagto ano]])*29,"mmmm")</f>
        <v>janeiro</v>
      </c>
    </row>
    <row r="3661" spans="1:9" x14ac:dyDescent="0.25">
      <c r="A3661">
        <v>2025</v>
      </c>
      <c r="B3661" t="s">
        <v>7286</v>
      </c>
      <c r="C3661" s="1">
        <v>45975</v>
      </c>
      <c r="D3661" t="s">
        <v>7287</v>
      </c>
      <c r="E3661" s="2">
        <v>2221.1999999999998</v>
      </c>
      <c r="G3661" s="3">
        <f>MONTH(Tabela1[[#This Row],[Último pagto ano]])</f>
        <v>11</v>
      </c>
      <c r="H3661" t="str">
        <f>TEXT(Tabela1[[#This Row],[Coluna2]]*29,"mmmm")</f>
        <v>novembro</v>
      </c>
      <c r="I3661" t="str">
        <f>TEXT(MONTH(Tabela1[[#This Row],[Último pagto ano]])*29,"mmmm")</f>
        <v>novembro</v>
      </c>
    </row>
    <row r="3662" spans="1:9" x14ac:dyDescent="0.25">
      <c r="A3662">
        <v>2025</v>
      </c>
      <c r="B3662" t="s">
        <v>7288</v>
      </c>
      <c r="C3662" s="1">
        <v>45754</v>
      </c>
      <c r="D3662" t="s">
        <v>7289</v>
      </c>
      <c r="E3662" s="2">
        <v>5400</v>
      </c>
      <c r="G3662" s="3">
        <f>MONTH(Tabela1[[#This Row],[Último pagto ano]])</f>
        <v>4</v>
      </c>
      <c r="H3662" t="str">
        <f>TEXT(Tabela1[[#This Row],[Coluna2]]*29,"mmmm")</f>
        <v>abril</v>
      </c>
      <c r="I3662" t="str">
        <f>TEXT(MONTH(Tabela1[[#This Row],[Último pagto ano]])*29,"mmmm")</f>
        <v>abril</v>
      </c>
    </row>
    <row r="3663" spans="1:9" x14ac:dyDescent="0.25">
      <c r="A3663">
        <v>2025</v>
      </c>
      <c r="B3663" t="s">
        <v>7290</v>
      </c>
      <c r="C3663" s="1">
        <v>45883</v>
      </c>
      <c r="D3663" t="s">
        <v>7291</v>
      </c>
      <c r="E3663">
        <v>197.18</v>
      </c>
      <c r="G3663" s="3">
        <f>MONTH(Tabela1[[#This Row],[Último pagto ano]])</f>
        <v>8</v>
      </c>
      <c r="H3663" t="str">
        <f>TEXT(Tabela1[[#This Row],[Coluna2]]*29,"mmmm")</f>
        <v>agosto</v>
      </c>
      <c r="I3663" t="str">
        <f>TEXT(MONTH(Tabela1[[#This Row],[Último pagto ano]])*29,"mmmm")</f>
        <v>agosto</v>
      </c>
    </row>
    <row r="3664" spans="1:9" x14ac:dyDescent="0.25">
      <c r="A3664">
        <v>2025</v>
      </c>
      <c r="B3664" t="s">
        <v>7292</v>
      </c>
      <c r="C3664" s="1">
        <v>45933</v>
      </c>
      <c r="D3664" t="s">
        <v>7293</v>
      </c>
      <c r="E3664" s="2">
        <v>23650</v>
      </c>
      <c r="G3664" s="3">
        <f>MONTH(Tabela1[[#This Row],[Último pagto ano]])</f>
        <v>10</v>
      </c>
      <c r="H3664" t="str">
        <f>TEXT(Tabela1[[#This Row],[Coluna2]]*29,"mmmm")</f>
        <v>outubro</v>
      </c>
      <c r="I3664" t="str">
        <f>TEXT(MONTH(Tabela1[[#This Row],[Último pagto ano]])*29,"mmmm")</f>
        <v>outubro</v>
      </c>
    </row>
    <row r="3665" spans="1:9" x14ac:dyDescent="0.25">
      <c r="A3665">
        <v>2025</v>
      </c>
      <c r="B3665" t="s">
        <v>7294</v>
      </c>
      <c r="C3665" s="1">
        <v>46014</v>
      </c>
      <c r="D3665" t="s">
        <v>7295</v>
      </c>
      <c r="E3665" s="2">
        <v>5880</v>
      </c>
      <c r="G3665" s="3">
        <f>MONTH(Tabela1[[#This Row],[Último pagto ano]])</f>
        <v>12</v>
      </c>
      <c r="H3665" t="str">
        <f>TEXT(Tabela1[[#This Row],[Coluna2]]*29,"mmmm")</f>
        <v>dezembro</v>
      </c>
      <c r="I3665" t="str">
        <f>TEXT(MONTH(Tabela1[[#This Row],[Último pagto ano]])*29,"mmmm")</f>
        <v>dezembro</v>
      </c>
    </row>
    <row r="3666" spans="1:9" x14ac:dyDescent="0.25">
      <c r="A3666">
        <v>2025</v>
      </c>
      <c r="B3666" t="s">
        <v>7296</v>
      </c>
      <c r="C3666" s="1">
        <v>45896</v>
      </c>
      <c r="D3666" t="s">
        <v>7297</v>
      </c>
      <c r="E3666" s="2">
        <v>113938</v>
      </c>
      <c r="G3666" s="3">
        <f>MONTH(Tabela1[[#This Row],[Último pagto ano]])</f>
        <v>8</v>
      </c>
      <c r="H3666" t="str">
        <f>TEXT(Tabela1[[#This Row],[Coluna2]]*29,"mmmm")</f>
        <v>agosto</v>
      </c>
      <c r="I3666" t="str">
        <f>TEXT(MONTH(Tabela1[[#This Row],[Último pagto ano]])*29,"mmmm")</f>
        <v>agosto</v>
      </c>
    </row>
    <row r="3667" spans="1:9" x14ac:dyDescent="0.25">
      <c r="A3667">
        <v>2025</v>
      </c>
      <c r="B3667" t="s">
        <v>7298</v>
      </c>
      <c r="C3667" s="1">
        <v>45728</v>
      </c>
      <c r="D3667" t="s">
        <v>7299</v>
      </c>
      <c r="E3667">
        <v>33</v>
      </c>
      <c r="G3667" s="3">
        <f>MONTH(Tabela1[[#This Row],[Último pagto ano]])</f>
        <v>3</v>
      </c>
      <c r="H3667" t="str">
        <f>TEXT(Tabela1[[#This Row],[Coluna2]]*29,"mmmm")</f>
        <v>março</v>
      </c>
      <c r="I3667" t="str">
        <f>TEXT(MONTH(Tabela1[[#This Row],[Último pagto ano]])*29,"mmmm")</f>
        <v>março</v>
      </c>
    </row>
    <row r="3668" spans="1:9" x14ac:dyDescent="0.25">
      <c r="A3668">
        <v>2025</v>
      </c>
      <c r="B3668" t="s">
        <v>7300</v>
      </c>
      <c r="C3668" s="1">
        <v>45996</v>
      </c>
      <c r="D3668" t="s">
        <v>7301</v>
      </c>
      <c r="E3668" s="2">
        <v>52509.4</v>
      </c>
      <c r="G3668" s="3">
        <f>MONTH(Tabela1[[#This Row],[Último pagto ano]])</f>
        <v>12</v>
      </c>
      <c r="H3668" t="str">
        <f>TEXT(Tabela1[[#This Row],[Coluna2]]*29,"mmmm")</f>
        <v>dezembro</v>
      </c>
      <c r="I3668" t="str">
        <f>TEXT(MONTH(Tabela1[[#This Row],[Último pagto ano]])*29,"mmmm")</f>
        <v>dezembro</v>
      </c>
    </row>
    <row r="3669" spans="1:9" x14ac:dyDescent="0.25">
      <c r="A3669">
        <v>2025</v>
      </c>
      <c r="B3669" t="s">
        <v>7302</v>
      </c>
      <c r="C3669" s="1">
        <v>45736</v>
      </c>
      <c r="D3669" t="s">
        <v>7303</v>
      </c>
      <c r="E3669" s="2">
        <v>6000</v>
      </c>
      <c r="G3669" s="3">
        <f>MONTH(Tabela1[[#This Row],[Último pagto ano]])</f>
        <v>3</v>
      </c>
      <c r="H3669" t="str">
        <f>TEXT(Tabela1[[#This Row],[Coluna2]]*29,"mmmm")</f>
        <v>março</v>
      </c>
      <c r="I3669" t="str">
        <f>TEXT(MONTH(Tabela1[[#This Row],[Último pagto ano]])*29,"mmmm")</f>
        <v>março</v>
      </c>
    </row>
    <row r="3670" spans="1:9" x14ac:dyDescent="0.25">
      <c r="A3670">
        <v>2025</v>
      </c>
      <c r="B3670" t="s">
        <v>7304</v>
      </c>
      <c r="C3670" s="1">
        <v>46006</v>
      </c>
      <c r="D3670" t="s">
        <v>7305</v>
      </c>
      <c r="E3670" s="2">
        <v>6900</v>
      </c>
      <c r="G3670" s="3">
        <f>MONTH(Tabela1[[#This Row],[Último pagto ano]])</f>
        <v>12</v>
      </c>
      <c r="H3670" t="str">
        <f>TEXT(Tabela1[[#This Row],[Coluna2]]*29,"mmmm")</f>
        <v>dezembro</v>
      </c>
      <c r="I3670" t="str">
        <f>TEXT(MONTH(Tabela1[[#This Row],[Último pagto ano]])*29,"mmmm")</f>
        <v>dezembro</v>
      </c>
    </row>
    <row r="3671" spans="1:9" x14ac:dyDescent="0.25">
      <c r="A3671">
        <v>2025</v>
      </c>
      <c r="B3671" t="s">
        <v>7306</v>
      </c>
      <c r="C3671" s="1">
        <v>46021</v>
      </c>
      <c r="D3671" t="s">
        <v>7307</v>
      </c>
      <c r="E3671" s="2">
        <v>4903.22</v>
      </c>
      <c r="G3671" s="3">
        <f>MONTH(Tabela1[[#This Row],[Último pagto ano]])</f>
        <v>12</v>
      </c>
      <c r="H3671" t="str">
        <f>TEXT(Tabela1[[#This Row],[Coluna2]]*29,"mmmm")</f>
        <v>dezembro</v>
      </c>
      <c r="I3671" t="str">
        <f>TEXT(MONTH(Tabela1[[#This Row],[Último pagto ano]])*29,"mmmm")</f>
        <v>dezembro</v>
      </c>
    </row>
    <row r="3672" spans="1:9" x14ac:dyDescent="0.25">
      <c r="A3672">
        <v>2025</v>
      </c>
      <c r="B3672" t="s">
        <v>7308</v>
      </c>
      <c r="C3672" s="1">
        <v>45751</v>
      </c>
      <c r="D3672" t="s">
        <v>7309</v>
      </c>
      <c r="E3672" s="2">
        <v>1599.96</v>
      </c>
      <c r="G3672" s="3">
        <f>MONTH(Tabela1[[#This Row],[Último pagto ano]])</f>
        <v>4</v>
      </c>
      <c r="H3672" t="str">
        <f>TEXT(Tabela1[[#This Row],[Coluna2]]*29,"mmmm")</f>
        <v>abril</v>
      </c>
      <c r="I3672" t="str">
        <f>TEXT(MONTH(Tabela1[[#This Row],[Último pagto ano]])*29,"mmmm")</f>
        <v>abril</v>
      </c>
    </row>
    <row r="3673" spans="1:9" x14ac:dyDescent="0.25">
      <c r="A3673">
        <v>2025</v>
      </c>
      <c r="B3673" t="s">
        <v>7310</v>
      </c>
      <c r="C3673" s="1">
        <v>46010</v>
      </c>
      <c r="D3673" t="s">
        <v>7311</v>
      </c>
      <c r="E3673" s="2">
        <v>6900</v>
      </c>
      <c r="G3673" s="3">
        <f>MONTH(Tabela1[[#This Row],[Último pagto ano]])</f>
        <v>12</v>
      </c>
      <c r="H3673" t="str">
        <f>TEXT(Tabela1[[#This Row],[Coluna2]]*29,"mmmm")</f>
        <v>dezembro</v>
      </c>
      <c r="I3673" t="str">
        <f>TEXT(MONTH(Tabela1[[#This Row],[Último pagto ano]])*29,"mmmm")</f>
        <v>dezembro</v>
      </c>
    </row>
    <row r="3674" spans="1:9" x14ac:dyDescent="0.25">
      <c r="A3674">
        <v>2025</v>
      </c>
      <c r="B3674" t="s">
        <v>7312</v>
      </c>
      <c r="C3674" s="1">
        <v>45996</v>
      </c>
      <c r="D3674" t="s">
        <v>7313</v>
      </c>
      <c r="E3674" s="2">
        <v>11000</v>
      </c>
      <c r="G3674" s="3">
        <f>MONTH(Tabela1[[#This Row],[Último pagto ano]])</f>
        <v>12</v>
      </c>
      <c r="H3674" t="str">
        <f>TEXT(Tabela1[[#This Row],[Coluna2]]*29,"mmmm")</f>
        <v>dezembro</v>
      </c>
      <c r="I3674" t="str">
        <f>TEXT(MONTH(Tabela1[[#This Row],[Último pagto ano]])*29,"mmmm")</f>
        <v>dezembro</v>
      </c>
    </row>
    <row r="3675" spans="1:9" x14ac:dyDescent="0.25">
      <c r="A3675">
        <v>2025</v>
      </c>
      <c r="B3675" t="s">
        <v>7314</v>
      </c>
      <c r="C3675" s="1">
        <v>45996</v>
      </c>
      <c r="D3675" t="s">
        <v>7315</v>
      </c>
      <c r="E3675" s="2">
        <v>10000</v>
      </c>
      <c r="G3675" s="3">
        <f>MONTH(Tabela1[[#This Row],[Último pagto ano]])</f>
        <v>12</v>
      </c>
      <c r="H3675" t="str">
        <f>TEXT(Tabela1[[#This Row],[Coluna2]]*29,"mmmm")</f>
        <v>dezembro</v>
      </c>
      <c r="I3675" t="str">
        <f>TEXT(MONTH(Tabela1[[#This Row],[Último pagto ano]])*29,"mmmm")</f>
        <v>dezembro</v>
      </c>
    </row>
    <row r="3676" spans="1:9" x14ac:dyDescent="0.25">
      <c r="A3676">
        <v>2025</v>
      </c>
      <c r="B3676" t="s">
        <v>7316</v>
      </c>
      <c r="C3676" s="1">
        <v>45803</v>
      </c>
      <c r="D3676" t="s">
        <v>7317</v>
      </c>
      <c r="E3676">
        <v>77.25</v>
      </c>
      <c r="G3676" s="3">
        <f>MONTH(Tabela1[[#This Row],[Último pagto ano]])</f>
        <v>5</v>
      </c>
      <c r="H3676" t="str">
        <f>TEXT(Tabela1[[#This Row],[Coluna2]]*29,"mmmm")</f>
        <v>maio</v>
      </c>
      <c r="I3676" t="str">
        <f>TEXT(MONTH(Tabela1[[#This Row],[Último pagto ano]])*29,"mmmm")</f>
        <v>maio</v>
      </c>
    </row>
    <row r="3677" spans="1:9" x14ac:dyDescent="0.25">
      <c r="A3677">
        <v>2025</v>
      </c>
      <c r="B3677" t="s">
        <v>7318</v>
      </c>
      <c r="C3677" s="1">
        <v>46014</v>
      </c>
      <c r="D3677" t="s">
        <v>7319</v>
      </c>
      <c r="E3677" s="2">
        <v>469278.22</v>
      </c>
      <c r="G3677" s="3">
        <f>MONTH(Tabela1[[#This Row],[Último pagto ano]])</f>
        <v>12</v>
      </c>
      <c r="H3677" t="str">
        <f>TEXT(Tabela1[[#This Row],[Coluna2]]*29,"mmmm")</f>
        <v>dezembro</v>
      </c>
      <c r="I3677" t="str">
        <f>TEXT(MONTH(Tabela1[[#This Row],[Último pagto ano]])*29,"mmmm")</f>
        <v>dezembro</v>
      </c>
    </row>
    <row r="3678" spans="1:9" x14ac:dyDescent="0.25">
      <c r="A3678">
        <v>2025</v>
      </c>
      <c r="B3678" t="s">
        <v>7320</v>
      </c>
      <c r="C3678" s="1">
        <v>45988</v>
      </c>
      <c r="D3678" t="s">
        <v>7321</v>
      </c>
      <c r="E3678" s="2">
        <v>4700</v>
      </c>
      <c r="G3678" s="3">
        <f>MONTH(Tabela1[[#This Row],[Último pagto ano]])</f>
        <v>11</v>
      </c>
      <c r="H3678" t="str">
        <f>TEXT(Tabela1[[#This Row],[Coluna2]]*29,"mmmm")</f>
        <v>novembro</v>
      </c>
      <c r="I3678" t="str">
        <f>TEXT(MONTH(Tabela1[[#This Row],[Último pagto ano]])*29,"mmmm")</f>
        <v>novembro</v>
      </c>
    </row>
    <row r="3679" spans="1:9" x14ac:dyDescent="0.25">
      <c r="A3679">
        <v>2025</v>
      </c>
      <c r="B3679" t="s">
        <v>7322</v>
      </c>
      <c r="C3679" s="1">
        <v>45762</v>
      </c>
      <c r="D3679" t="s">
        <v>7323</v>
      </c>
      <c r="E3679" s="2">
        <v>16593.98</v>
      </c>
      <c r="G3679" s="3">
        <f>MONTH(Tabela1[[#This Row],[Último pagto ano]])</f>
        <v>4</v>
      </c>
      <c r="H3679" t="str">
        <f>TEXT(Tabela1[[#This Row],[Coluna2]]*29,"mmmm")</f>
        <v>abril</v>
      </c>
      <c r="I3679" t="str">
        <f>TEXT(MONTH(Tabela1[[#This Row],[Último pagto ano]])*29,"mmmm")</f>
        <v>abril</v>
      </c>
    </row>
    <row r="3680" spans="1:9" x14ac:dyDescent="0.25">
      <c r="A3680">
        <v>2025</v>
      </c>
      <c r="B3680" t="s">
        <v>7324</v>
      </c>
      <c r="C3680" s="1">
        <v>45971</v>
      </c>
      <c r="D3680" t="s">
        <v>7325</v>
      </c>
      <c r="E3680">
        <v>12.46</v>
      </c>
      <c r="G3680" s="3">
        <f>MONTH(Tabela1[[#This Row],[Último pagto ano]])</f>
        <v>11</v>
      </c>
      <c r="H3680" t="str">
        <f>TEXT(Tabela1[[#This Row],[Coluna2]]*29,"mmmm")</f>
        <v>novembro</v>
      </c>
      <c r="I3680" t="str">
        <f>TEXT(MONTH(Tabela1[[#This Row],[Último pagto ano]])*29,"mmmm")</f>
        <v>novembro</v>
      </c>
    </row>
    <row r="3681" spans="1:9" x14ac:dyDescent="0.25">
      <c r="A3681">
        <v>2025</v>
      </c>
      <c r="B3681" t="s">
        <v>7326</v>
      </c>
      <c r="C3681" s="1">
        <v>45796</v>
      </c>
      <c r="D3681" t="s">
        <v>7327</v>
      </c>
      <c r="E3681" s="2">
        <v>1589.04</v>
      </c>
      <c r="G3681" s="3">
        <f>MONTH(Tabela1[[#This Row],[Último pagto ano]])</f>
        <v>5</v>
      </c>
      <c r="H3681" t="str">
        <f>TEXT(Tabela1[[#This Row],[Coluna2]]*29,"mmmm")</f>
        <v>maio</v>
      </c>
      <c r="I3681" t="str">
        <f>TEXT(MONTH(Tabela1[[#This Row],[Último pagto ano]])*29,"mmmm")</f>
        <v>maio</v>
      </c>
    </row>
    <row r="3682" spans="1:9" x14ac:dyDescent="0.25">
      <c r="A3682">
        <v>2025</v>
      </c>
      <c r="B3682" t="s">
        <v>7328</v>
      </c>
      <c r="C3682" s="1">
        <v>45894</v>
      </c>
      <c r="D3682" t="s">
        <v>7329</v>
      </c>
      <c r="E3682">
        <v>33</v>
      </c>
      <c r="G3682" s="3">
        <f>MONTH(Tabela1[[#This Row],[Último pagto ano]])</f>
        <v>8</v>
      </c>
      <c r="H3682" t="str">
        <f>TEXT(Tabela1[[#This Row],[Coluna2]]*29,"mmmm")</f>
        <v>agosto</v>
      </c>
      <c r="I3682" t="str">
        <f>TEXT(MONTH(Tabela1[[#This Row],[Último pagto ano]])*29,"mmmm")</f>
        <v>agosto</v>
      </c>
    </row>
    <row r="3683" spans="1:9" x14ac:dyDescent="0.25">
      <c r="A3683">
        <v>2025</v>
      </c>
      <c r="B3683" t="s">
        <v>7330</v>
      </c>
      <c r="C3683" s="1">
        <v>45744</v>
      </c>
      <c r="D3683" t="s">
        <v>7331</v>
      </c>
      <c r="E3683" s="2">
        <v>24610.31</v>
      </c>
      <c r="G3683" s="3">
        <f>MONTH(Tabela1[[#This Row],[Último pagto ano]])</f>
        <v>3</v>
      </c>
      <c r="H3683" t="str">
        <f>TEXT(Tabela1[[#This Row],[Coluna2]]*29,"mmmm")</f>
        <v>março</v>
      </c>
      <c r="I3683" t="str">
        <f>TEXT(MONTH(Tabela1[[#This Row],[Último pagto ano]])*29,"mmmm")</f>
        <v>março</v>
      </c>
    </row>
    <row r="3684" spans="1:9" x14ac:dyDescent="0.25">
      <c r="A3684">
        <v>2025</v>
      </c>
      <c r="B3684" t="s">
        <v>7332</v>
      </c>
      <c r="C3684" s="1">
        <v>46021</v>
      </c>
      <c r="D3684" t="s">
        <v>7333</v>
      </c>
      <c r="E3684" s="2">
        <v>10277.32</v>
      </c>
      <c r="G3684" s="3">
        <f>MONTH(Tabela1[[#This Row],[Último pagto ano]])</f>
        <v>12</v>
      </c>
      <c r="H3684" t="str">
        <f>TEXT(Tabela1[[#This Row],[Coluna2]]*29,"mmmm")</f>
        <v>dezembro</v>
      </c>
      <c r="I3684" t="str">
        <f>TEXT(MONTH(Tabela1[[#This Row],[Último pagto ano]])*29,"mmmm")</f>
        <v>dezembro</v>
      </c>
    </row>
    <row r="3685" spans="1:9" x14ac:dyDescent="0.25">
      <c r="A3685">
        <v>2025</v>
      </c>
      <c r="B3685" t="s">
        <v>7334</v>
      </c>
      <c r="C3685" s="1">
        <v>46006</v>
      </c>
      <c r="D3685" t="s">
        <v>7335</v>
      </c>
      <c r="E3685" s="2">
        <v>41381.050000000003</v>
      </c>
      <c r="G3685" s="3">
        <f>MONTH(Tabela1[[#This Row],[Último pagto ano]])</f>
        <v>12</v>
      </c>
      <c r="H3685" t="str">
        <f>TEXT(Tabela1[[#This Row],[Coluna2]]*29,"mmmm")</f>
        <v>dezembro</v>
      </c>
      <c r="I3685" t="str">
        <f>TEXT(MONTH(Tabela1[[#This Row],[Último pagto ano]])*29,"mmmm")</f>
        <v>dezembro</v>
      </c>
    </row>
    <row r="3686" spans="1:9" x14ac:dyDescent="0.25">
      <c r="A3686">
        <v>2025</v>
      </c>
      <c r="B3686" t="s">
        <v>7336</v>
      </c>
      <c r="C3686" s="1">
        <v>45769</v>
      </c>
      <c r="D3686" t="s">
        <v>7337</v>
      </c>
      <c r="E3686" s="2">
        <v>7200</v>
      </c>
      <c r="G3686" s="3">
        <f>MONTH(Tabela1[[#This Row],[Último pagto ano]])</f>
        <v>4</v>
      </c>
      <c r="H3686" t="str">
        <f>TEXT(Tabela1[[#This Row],[Coluna2]]*29,"mmmm")</f>
        <v>abril</v>
      </c>
      <c r="I3686" t="str">
        <f>TEXT(MONTH(Tabela1[[#This Row],[Último pagto ano]])*29,"mmmm")</f>
        <v>abril</v>
      </c>
    </row>
    <row r="3687" spans="1:9" x14ac:dyDescent="0.25">
      <c r="A3687">
        <v>2025</v>
      </c>
      <c r="B3687" t="s">
        <v>7338</v>
      </c>
      <c r="C3687" s="1">
        <v>45915</v>
      </c>
      <c r="D3687" t="s">
        <v>7339</v>
      </c>
      <c r="E3687">
        <v>198</v>
      </c>
      <c r="G3687" s="3">
        <f>MONTH(Tabela1[[#This Row],[Último pagto ano]])</f>
        <v>9</v>
      </c>
      <c r="H3687" t="str">
        <f>TEXT(Tabela1[[#This Row],[Coluna2]]*29,"mmmm")</f>
        <v>setembro</v>
      </c>
      <c r="I3687" t="str">
        <f>TEXT(MONTH(Tabela1[[#This Row],[Último pagto ano]])*29,"mmmm")</f>
        <v>setembro</v>
      </c>
    </row>
    <row r="3688" spans="1:9" x14ac:dyDescent="0.25">
      <c r="A3688">
        <v>2025</v>
      </c>
      <c r="B3688" t="s">
        <v>7340</v>
      </c>
      <c r="C3688" s="1">
        <v>45996</v>
      </c>
      <c r="D3688" t="s">
        <v>7341</v>
      </c>
      <c r="E3688" s="2">
        <v>10900</v>
      </c>
      <c r="G3688" s="3">
        <f>MONTH(Tabela1[[#This Row],[Último pagto ano]])</f>
        <v>12</v>
      </c>
      <c r="H3688" t="str">
        <f>TEXT(Tabela1[[#This Row],[Coluna2]]*29,"mmmm")</f>
        <v>dezembro</v>
      </c>
      <c r="I3688" t="str">
        <f>TEXT(MONTH(Tabela1[[#This Row],[Último pagto ano]])*29,"mmmm")</f>
        <v>dezembro</v>
      </c>
    </row>
    <row r="3689" spans="1:9" x14ac:dyDescent="0.25">
      <c r="A3689">
        <v>2025</v>
      </c>
      <c r="B3689" t="s">
        <v>7342</v>
      </c>
      <c r="C3689" s="1">
        <v>46021</v>
      </c>
      <c r="D3689" t="s">
        <v>7343</v>
      </c>
      <c r="E3689" s="2">
        <v>8102.12</v>
      </c>
      <c r="G3689" s="3">
        <f>MONTH(Tabela1[[#This Row],[Último pagto ano]])</f>
        <v>12</v>
      </c>
      <c r="H3689" t="str">
        <f>TEXT(Tabela1[[#This Row],[Coluna2]]*29,"mmmm")</f>
        <v>dezembro</v>
      </c>
      <c r="I3689" t="str">
        <f>TEXT(MONTH(Tabela1[[#This Row],[Último pagto ano]])*29,"mmmm")</f>
        <v>dezembro</v>
      </c>
    </row>
    <row r="3690" spans="1:9" x14ac:dyDescent="0.25">
      <c r="A3690">
        <v>2025</v>
      </c>
      <c r="B3690" t="s">
        <v>7344</v>
      </c>
      <c r="C3690" s="1">
        <v>45705</v>
      </c>
      <c r="D3690" t="s">
        <v>7345</v>
      </c>
      <c r="E3690" s="2">
        <v>1723.84</v>
      </c>
      <c r="G3690" s="3">
        <f>MONTH(Tabela1[[#This Row],[Último pagto ano]])</f>
        <v>2</v>
      </c>
      <c r="H3690" t="str">
        <f>TEXT(Tabela1[[#This Row],[Coluna2]]*29,"mmmm")</f>
        <v>fevereiro</v>
      </c>
      <c r="I3690" t="str">
        <f>TEXT(MONTH(Tabela1[[#This Row],[Último pagto ano]])*29,"mmmm")</f>
        <v>fevereiro</v>
      </c>
    </row>
    <row r="3691" spans="1:9" x14ac:dyDescent="0.25">
      <c r="A3691">
        <v>2025</v>
      </c>
      <c r="B3691" t="s">
        <v>7346</v>
      </c>
      <c r="C3691" s="1">
        <v>46013</v>
      </c>
      <c r="D3691" t="s">
        <v>7347</v>
      </c>
      <c r="E3691">
        <v>529.20000000000005</v>
      </c>
      <c r="G3691" s="3">
        <f>MONTH(Tabela1[[#This Row],[Último pagto ano]])</f>
        <v>12</v>
      </c>
      <c r="H3691" t="str">
        <f>TEXT(Tabela1[[#This Row],[Coluna2]]*29,"mmmm")</f>
        <v>dezembro</v>
      </c>
      <c r="I3691" t="str">
        <f>TEXT(MONTH(Tabela1[[#This Row],[Último pagto ano]])*29,"mmmm")</f>
        <v>dezembro</v>
      </c>
    </row>
    <row r="3692" spans="1:9" x14ac:dyDescent="0.25">
      <c r="A3692">
        <v>2025</v>
      </c>
      <c r="B3692" t="s">
        <v>7348</v>
      </c>
      <c r="C3692" s="1">
        <v>45996</v>
      </c>
      <c r="D3692" t="s">
        <v>7349</v>
      </c>
      <c r="E3692" s="2">
        <v>16600</v>
      </c>
      <c r="G3692" s="3">
        <f>MONTH(Tabela1[[#This Row],[Último pagto ano]])</f>
        <v>12</v>
      </c>
      <c r="H3692" t="str">
        <f>TEXT(Tabela1[[#This Row],[Coluna2]]*29,"mmmm")</f>
        <v>dezembro</v>
      </c>
      <c r="I3692" t="str">
        <f>TEXT(MONTH(Tabela1[[#This Row],[Último pagto ano]])*29,"mmmm")</f>
        <v>dezembro</v>
      </c>
    </row>
    <row r="3693" spans="1:9" x14ac:dyDescent="0.25">
      <c r="A3693">
        <v>2025</v>
      </c>
      <c r="B3693" t="s">
        <v>7350</v>
      </c>
      <c r="C3693" s="1">
        <v>45911</v>
      </c>
      <c r="D3693" t="s">
        <v>7351</v>
      </c>
      <c r="E3693" s="2">
        <v>1470</v>
      </c>
      <c r="G3693" s="3">
        <f>MONTH(Tabela1[[#This Row],[Último pagto ano]])</f>
        <v>9</v>
      </c>
      <c r="H3693" t="str">
        <f>TEXT(Tabela1[[#This Row],[Coluna2]]*29,"mmmm")</f>
        <v>setembro</v>
      </c>
      <c r="I3693" t="str">
        <f>TEXT(MONTH(Tabela1[[#This Row],[Último pagto ano]])*29,"mmmm")</f>
        <v>setembro</v>
      </c>
    </row>
    <row r="3694" spans="1:9" x14ac:dyDescent="0.25">
      <c r="A3694">
        <v>2025</v>
      </c>
      <c r="B3694" t="s">
        <v>7352</v>
      </c>
      <c r="C3694" s="1">
        <v>45915</v>
      </c>
      <c r="D3694" t="s">
        <v>7353</v>
      </c>
      <c r="E3694">
        <v>720</v>
      </c>
      <c r="G3694" s="3">
        <f>MONTH(Tabela1[[#This Row],[Último pagto ano]])</f>
        <v>9</v>
      </c>
      <c r="H3694" t="str">
        <f>TEXT(Tabela1[[#This Row],[Coluna2]]*29,"mmmm")</f>
        <v>setembro</v>
      </c>
      <c r="I3694" t="str">
        <f>TEXT(MONTH(Tabela1[[#This Row],[Último pagto ano]])*29,"mmmm")</f>
        <v>setembro</v>
      </c>
    </row>
    <row r="3695" spans="1:9" x14ac:dyDescent="0.25">
      <c r="A3695">
        <v>2025</v>
      </c>
      <c r="B3695" t="s">
        <v>7354</v>
      </c>
      <c r="C3695" s="1">
        <v>45814</v>
      </c>
      <c r="D3695" t="s">
        <v>7355</v>
      </c>
      <c r="E3695" s="2">
        <v>21600</v>
      </c>
      <c r="G3695" s="3">
        <f>MONTH(Tabela1[[#This Row],[Último pagto ano]])</f>
        <v>6</v>
      </c>
      <c r="H3695" t="str">
        <f>TEXT(Tabela1[[#This Row],[Coluna2]]*29,"mmmm")</f>
        <v>junho</v>
      </c>
      <c r="I3695" t="str">
        <f>TEXT(MONTH(Tabela1[[#This Row],[Último pagto ano]])*29,"mmmm")</f>
        <v>junho</v>
      </c>
    </row>
    <row r="3696" spans="1:9" x14ac:dyDescent="0.25">
      <c r="A3696">
        <v>2025</v>
      </c>
      <c r="B3696" t="s">
        <v>7356</v>
      </c>
      <c r="C3696" s="1">
        <v>45838</v>
      </c>
      <c r="D3696" t="s">
        <v>7357</v>
      </c>
      <c r="E3696" s="2">
        <v>6197.33</v>
      </c>
      <c r="G3696" s="3">
        <f>MONTH(Tabela1[[#This Row],[Último pagto ano]])</f>
        <v>6</v>
      </c>
      <c r="H3696" t="str">
        <f>TEXT(Tabela1[[#This Row],[Coluna2]]*29,"mmmm")</f>
        <v>junho</v>
      </c>
      <c r="I3696" t="str">
        <f>TEXT(MONTH(Tabela1[[#This Row],[Último pagto ano]])*29,"mmmm")</f>
        <v>junho</v>
      </c>
    </row>
    <row r="3697" spans="1:9" x14ac:dyDescent="0.25">
      <c r="A3697">
        <v>2025</v>
      </c>
      <c r="B3697" t="s">
        <v>7358</v>
      </c>
      <c r="C3697" s="1">
        <v>45796</v>
      </c>
      <c r="D3697" t="s">
        <v>7359</v>
      </c>
      <c r="E3697" s="2">
        <v>142857.14000000001</v>
      </c>
      <c r="G3697" s="3">
        <f>MONTH(Tabela1[[#This Row],[Último pagto ano]])</f>
        <v>5</v>
      </c>
      <c r="H3697" t="str">
        <f>TEXT(Tabela1[[#This Row],[Coluna2]]*29,"mmmm")</f>
        <v>maio</v>
      </c>
      <c r="I3697" t="str">
        <f>TEXT(MONTH(Tabela1[[#This Row],[Último pagto ano]])*29,"mmmm")</f>
        <v>maio</v>
      </c>
    </row>
    <row r="3698" spans="1:9" x14ac:dyDescent="0.25">
      <c r="A3698">
        <v>2025</v>
      </c>
      <c r="B3698" t="s">
        <v>7360</v>
      </c>
      <c r="C3698" s="1">
        <v>45926</v>
      </c>
      <c r="D3698" t="s">
        <v>7361</v>
      </c>
      <c r="E3698">
        <v>241.8</v>
      </c>
      <c r="G3698" s="3">
        <f>MONTH(Tabela1[[#This Row],[Último pagto ano]])</f>
        <v>9</v>
      </c>
      <c r="H3698" t="str">
        <f>TEXT(Tabela1[[#This Row],[Coluna2]]*29,"mmmm")</f>
        <v>setembro</v>
      </c>
      <c r="I3698" t="str">
        <f>TEXT(MONTH(Tabela1[[#This Row],[Último pagto ano]])*29,"mmmm")</f>
        <v>setembro</v>
      </c>
    </row>
    <row r="3699" spans="1:9" x14ac:dyDescent="0.25">
      <c r="A3699">
        <v>2025</v>
      </c>
      <c r="B3699" t="s">
        <v>7362</v>
      </c>
      <c r="C3699" s="1">
        <v>46006</v>
      </c>
      <c r="D3699" t="s">
        <v>7363</v>
      </c>
      <c r="E3699" s="2">
        <v>4146.24</v>
      </c>
      <c r="G3699" s="3">
        <f>MONTH(Tabela1[[#This Row],[Último pagto ano]])</f>
        <v>12</v>
      </c>
      <c r="H3699" t="str">
        <f>TEXT(Tabela1[[#This Row],[Coluna2]]*29,"mmmm")</f>
        <v>dezembro</v>
      </c>
      <c r="I3699" t="str">
        <f>TEXT(MONTH(Tabela1[[#This Row],[Último pagto ano]])*29,"mmmm")</f>
        <v>dezembro</v>
      </c>
    </row>
    <row r="3700" spans="1:9" x14ac:dyDescent="0.25">
      <c r="A3700">
        <v>2025</v>
      </c>
      <c r="B3700" t="s">
        <v>7364</v>
      </c>
      <c r="C3700" s="1">
        <v>46021</v>
      </c>
      <c r="D3700" t="s">
        <v>7365</v>
      </c>
      <c r="E3700" s="2">
        <v>3277.56</v>
      </c>
      <c r="G3700" s="3">
        <f>MONTH(Tabela1[[#This Row],[Último pagto ano]])</f>
        <v>12</v>
      </c>
      <c r="H3700" t="str">
        <f>TEXT(Tabela1[[#This Row],[Coluna2]]*29,"mmmm")</f>
        <v>dezembro</v>
      </c>
      <c r="I3700" t="str">
        <f>TEXT(MONTH(Tabela1[[#This Row],[Último pagto ano]])*29,"mmmm")</f>
        <v>dezembro</v>
      </c>
    </row>
    <row r="3701" spans="1:9" x14ac:dyDescent="0.25">
      <c r="A3701">
        <v>2025</v>
      </c>
      <c r="B3701" t="s">
        <v>7366</v>
      </c>
      <c r="C3701" s="1">
        <v>45803</v>
      </c>
      <c r="D3701" t="s">
        <v>7367</v>
      </c>
      <c r="E3701" s="2">
        <v>20000</v>
      </c>
      <c r="G3701" s="3">
        <f>MONTH(Tabela1[[#This Row],[Último pagto ano]])</f>
        <v>5</v>
      </c>
      <c r="H3701" t="str">
        <f>TEXT(Tabela1[[#This Row],[Coluna2]]*29,"mmmm")</f>
        <v>maio</v>
      </c>
      <c r="I3701" t="str">
        <f>TEXT(MONTH(Tabela1[[#This Row],[Último pagto ano]])*29,"mmmm")</f>
        <v>maio</v>
      </c>
    </row>
    <row r="3702" spans="1:9" x14ac:dyDescent="0.25">
      <c r="A3702">
        <v>2025</v>
      </c>
      <c r="B3702" t="s">
        <v>7368</v>
      </c>
      <c r="C3702" s="1">
        <v>45985</v>
      </c>
      <c r="D3702" t="s">
        <v>7369</v>
      </c>
      <c r="E3702">
        <v>5.42</v>
      </c>
      <c r="G3702" s="3">
        <f>MONTH(Tabela1[[#This Row],[Último pagto ano]])</f>
        <v>11</v>
      </c>
      <c r="H3702" t="str">
        <f>TEXT(Tabela1[[#This Row],[Coluna2]]*29,"mmmm")</f>
        <v>novembro</v>
      </c>
      <c r="I3702" t="str">
        <f>TEXT(MONTH(Tabela1[[#This Row],[Último pagto ano]])*29,"mmmm")</f>
        <v>novembro</v>
      </c>
    </row>
    <row r="3703" spans="1:9" x14ac:dyDescent="0.25">
      <c r="A3703">
        <v>2025</v>
      </c>
      <c r="B3703" t="s">
        <v>7370</v>
      </c>
      <c r="C3703" s="1">
        <v>45726</v>
      </c>
      <c r="D3703" t="s">
        <v>7371</v>
      </c>
      <c r="E3703">
        <v>181.86</v>
      </c>
      <c r="G3703" s="3">
        <f>MONTH(Tabela1[[#This Row],[Último pagto ano]])</f>
        <v>3</v>
      </c>
      <c r="H3703" t="str">
        <f>TEXT(Tabela1[[#This Row],[Coluna2]]*29,"mmmm")</f>
        <v>março</v>
      </c>
      <c r="I3703" t="str">
        <f>TEXT(MONTH(Tabela1[[#This Row],[Último pagto ano]])*29,"mmmm")</f>
        <v>março</v>
      </c>
    </row>
    <row r="3704" spans="1:9" x14ac:dyDescent="0.25">
      <c r="A3704">
        <v>2025</v>
      </c>
      <c r="B3704" t="s">
        <v>7372</v>
      </c>
      <c r="C3704" s="1">
        <v>45915</v>
      </c>
      <c r="D3704" t="s">
        <v>7373</v>
      </c>
      <c r="E3704" s="2">
        <v>32000</v>
      </c>
      <c r="G3704" s="3">
        <f>MONTH(Tabela1[[#This Row],[Último pagto ano]])</f>
        <v>9</v>
      </c>
      <c r="H3704" t="str">
        <f>TEXT(Tabela1[[#This Row],[Coluna2]]*29,"mmmm")</f>
        <v>setembro</v>
      </c>
      <c r="I3704" t="str">
        <f>TEXT(MONTH(Tabela1[[#This Row],[Último pagto ano]])*29,"mmmm")</f>
        <v>setembro</v>
      </c>
    </row>
    <row r="3705" spans="1:9" x14ac:dyDescent="0.25">
      <c r="A3705">
        <v>2025</v>
      </c>
      <c r="B3705" t="s">
        <v>7374</v>
      </c>
      <c r="C3705" s="1">
        <v>45810</v>
      </c>
      <c r="D3705" t="s">
        <v>7375</v>
      </c>
      <c r="E3705" s="2">
        <v>34640</v>
      </c>
      <c r="G3705" s="3">
        <f>MONTH(Tabela1[[#This Row],[Último pagto ano]])</f>
        <v>6</v>
      </c>
      <c r="H3705" t="str">
        <f>TEXT(Tabela1[[#This Row],[Coluna2]]*29,"mmmm")</f>
        <v>junho</v>
      </c>
      <c r="I3705" t="str">
        <f>TEXT(MONTH(Tabela1[[#This Row],[Último pagto ano]])*29,"mmmm")</f>
        <v>junho</v>
      </c>
    </row>
    <row r="3706" spans="1:9" x14ac:dyDescent="0.25">
      <c r="A3706">
        <v>2025</v>
      </c>
      <c r="B3706" t="s">
        <v>7376</v>
      </c>
      <c r="C3706" s="1">
        <v>45740</v>
      </c>
      <c r="D3706" t="s">
        <v>7377</v>
      </c>
      <c r="E3706" s="2">
        <v>13944.14</v>
      </c>
      <c r="G3706" s="3">
        <f>MONTH(Tabela1[[#This Row],[Último pagto ano]])</f>
        <v>3</v>
      </c>
      <c r="H3706" t="str">
        <f>TEXT(Tabela1[[#This Row],[Coluna2]]*29,"mmmm")</f>
        <v>março</v>
      </c>
      <c r="I3706" t="str">
        <f>TEXT(MONTH(Tabela1[[#This Row],[Último pagto ano]])*29,"mmmm")</f>
        <v>março</v>
      </c>
    </row>
    <row r="3707" spans="1:9" x14ac:dyDescent="0.25">
      <c r="A3707">
        <v>2025</v>
      </c>
      <c r="B3707" t="s">
        <v>7378</v>
      </c>
      <c r="C3707" s="1">
        <v>46001</v>
      </c>
      <c r="D3707" t="s">
        <v>7379</v>
      </c>
      <c r="E3707" s="2">
        <v>34876.39</v>
      </c>
      <c r="G3707" s="3">
        <f>MONTH(Tabela1[[#This Row],[Último pagto ano]])</f>
        <v>12</v>
      </c>
      <c r="H3707" t="str">
        <f>TEXT(Tabela1[[#This Row],[Coluna2]]*29,"mmmm")</f>
        <v>dezembro</v>
      </c>
      <c r="I3707" t="str">
        <f>TEXT(MONTH(Tabela1[[#This Row],[Último pagto ano]])*29,"mmmm")</f>
        <v>dezembro</v>
      </c>
    </row>
    <row r="3708" spans="1:9" x14ac:dyDescent="0.25">
      <c r="A3708">
        <v>2025</v>
      </c>
      <c r="B3708" t="s">
        <v>7380</v>
      </c>
      <c r="C3708" s="1">
        <v>45964</v>
      </c>
      <c r="D3708" t="s">
        <v>7381</v>
      </c>
      <c r="E3708">
        <v>55</v>
      </c>
      <c r="G3708" s="3">
        <f>MONTH(Tabela1[[#This Row],[Último pagto ano]])</f>
        <v>11</v>
      </c>
      <c r="H3708" t="str">
        <f>TEXT(Tabela1[[#This Row],[Coluna2]]*29,"mmmm")</f>
        <v>novembro</v>
      </c>
      <c r="I3708" t="str">
        <f>TEXT(MONTH(Tabela1[[#This Row],[Último pagto ano]])*29,"mmmm")</f>
        <v>novembro</v>
      </c>
    </row>
    <row r="3709" spans="1:9" x14ac:dyDescent="0.25">
      <c r="A3709">
        <v>2025</v>
      </c>
      <c r="B3709" t="s">
        <v>7382</v>
      </c>
      <c r="C3709" s="1">
        <v>45985</v>
      </c>
      <c r="D3709" t="s">
        <v>7383</v>
      </c>
      <c r="E3709" s="2">
        <v>14781.12</v>
      </c>
      <c r="G3709" s="3">
        <f>MONTH(Tabela1[[#This Row],[Último pagto ano]])</f>
        <v>11</v>
      </c>
      <c r="H3709" t="str">
        <f>TEXT(Tabela1[[#This Row],[Coluna2]]*29,"mmmm")</f>
        <v>novembro</v>
      </c>
      <c r="I3709" t="str">
        <f>TEXT(MONTH(Tabela1[[#This Row],[Último pagto ano]])*29,"mmmm")</f>
        <v>novembro</v>
      </c>
    </row>
    <row r="3710" spans="1:9" x14ac:dyDescent="0.25">
      <c r="A3710">
        <v>2025</v>
      </c>
      <c r="B3710" t="s">
        <v>7384</v>
      </c>
      <c r="C3710" s="1">
        <v>46014</v>
      </c>
      <c r="D3710" t="s">
        <v>7385</v>
      </c>
      <c r="E3710" s="2">
        <v>462499.92</v>
      </c>
      <c r="G3710" s="3">
        <f>MONTH(Tabela1[[#This Row],[Último pagto ano]])</f>
        <v>12</v>
      </c>
      <c r="H3710" t="str">
        <f>TEXT(Tabela1[[#This Row],[Coluna2]]*29,"mmmm")</f>
        <v>dezembro</v>
      </c>
      <c r="I3710" t="str">
        <f>TEXT(MONTH(Tabela1[[#This Row],[Último pagto ano]])*29,"mmmm")</f>
        <v>dezembro</v>
      </c>
    </row>
    <row r="3711" spans="1:9" x14ac:dyDescent="0.25">
      <c r="A3711">
        <v>2025</v>
      </c>
      <c r="B3711" t="s">
        <v>7386</v>
      </c>
      <c r="C3711" s="1">
        <v>45873</v>
      </c>
      <c r="D3711" t="s">
        <v>7387</v>
      </c>
      <c r="E3711" s="2">
        <v>562946.96</v>
      </c>
      <c r="G3711" s="3">
        <f>MONTH(Tabela1[[#This Row],[Último pagto ano]])</f>
        <v>8</v>
      </c>
      <c r="H3711" t="str">
        <f>TEXT(Tabela1[[#This Row],[Coluna2]]*29,"mmmm")</f>
        <v>agosto</v>
      </c>
      <c r="I3711" t="str">
        <f>TEXT(MONTH(Tabela1[[#This Row],[Último pagto ano]])*29,"mmmm")</f>
        <v>agosto</v>
      </c>
    </row>
    <row r="3712" spans="1:9" x14ac:dyDescent="0.25">
      <c r="A3712">
        <v>2025</v>
      </c>
      <c r="B3712" t="s">
        <v>7388</v>
      </c>
      <c r="C3712" s="1">
        <v>45807</v>
      </c>
      <c r="D3712" t="s">
        <v>7389</v>
      </c>
      <c r="E3712">
        <v>256.02</v>
      </c>
      <c r="G3712" s="3">
        <f>MONTH(Tabela1[[#This Row],[Último pagto ano]])</f>
        <v>5</v>
      </c>
      <c r="H3712" t="str">
        <f>TEXT(Tabela1[[#This Row],[Coluna2]]*29,"mmmm")</f>
        <v>maio</v>
      </c>
      <c r="I3712" t="str">
        <f>TEXT(MONTH(Tabela1[[#This Row],[Último pagto ano]])*29,"mmmm")</f>
        <v>maio</v>
      </c>
    </row>
    <row r="3713" spans="1:9" x14ac:dyDescent="0.25">
      <c r="A3713">
        <v>2025</v>
      </c>
      <c r="B3713" t="s">
        <v>7390</v>
      </c>
      <c r="C3713" s="1">
        <v>45985</v>
      </c>
      <c r="D3713" t="s">
        <v>7391</v>
      </c>
      <c r="E3713" s="2">
        <v>189774</v>
      </c>
      <c r="G3713" s="3">
        <f>MONTH(Tabela1[[#This Row],[Último pagto ano]])</f>
        <v>11</v>
      </c>
      <c r="H3713" t="str">
        <f>TEXT(Tabela1[[#This Row],[Coluna2]]*29,"mmmm")</f>
        <v>novembro</v>
      </c>
      <c r="I3713" t="str">
        <f>TEXT(MONTH(Tabela1[[#This Row],[Último pagto ano]])*29,"mmmm")</f>
        <v>novembro</v>
      </c>
    </row>
    <row r="3714" spans="1:9" x14ac:dyDescent="0.25">
      <c r="A3714">
        <v>2025</v>
      </c>
      <c r="B3714" t="s">
        <v>7392</v>
      </c>
      <c r="C3714" s="1">
        <v>45799</v>
      </c>
      <c r="D3714" t="s">
        <v>7393</v>
      </c>
      <c r="E3714" s="2">
        <v>8344.1299999999992</v>
      </c>
      <c r="G3714" s="3">
        <f>MONTH(Tabela1[[#This Row],[Último pagto ano]])</f>
        <v>5</v>
      </c>
      <c r="H3714" t="str">
        <f>TEXT(Tabela1[[#This Row],[Coluna2]]*29,"mmmm")</f>
        <v>maio</v>
      </c>
      <c r="I3714" t="str">
        <f>TEXT(MONTH(Tabela1[[#This Row],[Último pagto ano]])*29,"mmmm")</f>
        <v>maio</v>
      </c>
    </row>
    <row r="3715" spans="1:9" x14ac:dyDescent="0.25">
      <c r="A3715">
        <v>2025</v>
      </c>
      <c r="B3715" t="s">
        <v>7394</v>
      </c>
      <c r="C3715" s="1">
        <v>46006</v>
      </c>
      <c r="D3715" t="s">
        <v>7395</v>
      </c>
      <c r="E3715" s="2">
        <v>1374412.68</v>
      </c>
      <c r="G3715" s="3">
        <f>MONTH(Tabela1[[#This Row],[Último pagto ano]])</f>
        <v>12</v>
      </c>
      <c r="H3715" t="str">
        <f>TEXT(Tabela1[[#This Row],[Coluna2]]*29,"mmmm")</f>
        <v>dezembro</v>
      </c>
      <c r="I3715" t="str">
        <f>TEXT(MONTH(Tabela1[[#This Row],[Último pagto ano]])*29,"mmmm")</f>
        <v>dezembro</v>
      </c>
    </row>
    <row r="3716" spans="1:9" x14ac:dyDescent="0.25">
      <c r="A3716">
        <v>2025</v>
      </c>
      <c r="B3716" t="s">
        <v>7396</v>
      </c>
      <c r="C3716" s="1">
        <v>46014</v>
      </c>
      <c r="D3716" t="s">
        <v>7397</v>
      </c>
      <c r="E3716" s="2">
        <v>20840</v>
      </c>
      <c r="G3716" s="3">
        <f>MONTH(Tabela1[[#This Row],[Último pagto ano]])</f>
        <v>12</v>
      </c>
      <c r="H3716" t="str">
        <f>TEXT(Tabela1[[#This Row],[Coluna2]]*29,"mmmm")</f>
        <v>dezembro</v>
      </c>
      <c r="I3716" t="str">
        <f>TEXT(MONTH(Tabela1[[#This Row],[Último pagto ano]])*29,"mmmm")</f>
        <v>dezembro</v>
      </c>
    </row>
    <row r="3717" spans="1:9" x14ac:dyDescent="0.25">
      <c r="A3717">
        <v>2025</v>
      </c>
      <c r="B3717" t="s">
        <v>7398</v>
      </c>
      <c r="C3717" s="1">
        <v>45917</v>
      </c>
      <c r="D3717" t="s">
        <v>7399</v>
      </c>
      <c r="E3717" s="2">
        <v>9500</v>
      </c>
      <c r="G3717" s="3">
        <f>MONTH(Tabela1[[#This Row],[Último pagto ano]])</f>
        <v>9</v>
      </c>
      <c r="H3717" t="str">
        <f>TEXT(Tabela1[[#This Row],[Coluna2]]*29,"mmmm")</f>
        <v>setembro</v>
      </c>
      <c r="I3717" t="str">
        <f>TEXT(MONTH(Tabela1[[#This Row],[Último pagto ano]])*29,"mmmm")</f>
        <v>setembro</v>
      </c>
    </row>
    <row r="3718" spans="1:9" x14ac:dyDescent="0.25">
      <c r="A3718">
        <v>2025</v>
      </c>
      <c r="B3718" t="s">
        <v>7400</v>
      </c>
      <c r="C3718" s="1">
        <v>46014</v>
      </c>
      <c r="D3718" t="s">
        <v>7401</v>
      </c>
      <c r="E3718" s="2">
        <v>42728.22</v>
      </c>
      <c r="G3718" s="3">
        <f>MONTH(Tabela1[[#This Row],[Último pagto ano]])</f>
        <v>12</v>
      </c>
      <c r="H3718" t="str">
        <f>TEXT(Tabela1[[#This Row],[Coluna2]]*29,"mmmm")</f>
        <v>dezembro</v>
      </c>
      <c r="I3718" t="str">
        <f>TEXT(MONTH(Tabela1[[#This Row],[Último pagto ano]])*29,"mmmm")</f>
        <v>dezembro</v>
      </c>
    </row>
    <row r="3719" spans="1:9" x14ac:dyDescent="0.25">
      <c r="A3719">
        <v>2025</v>
      </c>
      <c r="B3719" t="s">
        <v>7402</v>
      </c>
      <c r="C3719" s="1">
        <v>45903</v>
      </c>
      <c r="D3719" t="s">
        <v>7403</v>
      </c>
      <c r="E3719" s="2">
        <v>9467.2800000000007</v>
      </c>
      <c r="G3719" s="3">
        <f>MONTH(Tabela1[[#This Row],[Último pagto ano]])</f>
        <v>9</v>
      </c>
      <c r="H3719" t="str">
        <f>TEXT(Tabela1[[#This Row],[Coluna2]]*29,"mmmm")</f>
        <v>setembro</v>
      </c>
      <c r="I3719" t="str">
        <f>TEXT(MONTH(Tabela1[[#This Row],[Último pagto ano]])*29,"mmmm")</f>
        <v>setembro</v>
      </c>
    </row>
    <row r="3720" spans="1:9" x14ac:dyDescent="0.25">
      <c r="A3720">
        <v>2025</v>
      </c>
      <c r="B3720" t="s">
        <v>7404</v>
      </c>
      <c r="C3720" s="1">
        <v>45884</v>
      </c>
      <c r="D3720" t="s">
        <v>7405</v>
      </c>
      <c r="E3720" s="2">
        <v>4000</v>
      </c>
      <c r="G3720" s="3">
        <f>MONTH(Tabela1[[#This Row],[Último pagto ano]])</f>
        <v>8</v>
      </c>
      <c r="H3720" t="str">
        <f>TEXT(Tabela1[[#This Row],[Coluna2]]*29,"mmmm")</f>
        <v>agosto</v>
      </c>
      <c r="I3720" t="str">
        <f>TEXT(MONTH(Tabela1[[#This Row],[Último pagto ano]])*29,"mmmm")</f>
        <v>agosto</v>
      </c>
    </row>
    <row r="3721" spans="1:9" x14ac:dyDescent="0.25">
      <c r="A3721">
        <v>2025</v>
      </c>
      <c r="B3721" t="s">
        <v>7406</v>
      </c>
      <c r="C3721" s="1">
        <v>46013</v>
      </c>
      <c r="D3721" t="s">
        <v>7407</v>
      </c>
      <c r="E3721" s="2">
        <v>524106.92</v>
      </c>
      <c r="G3721" s="3">
        <f>MONTH(Tabela1[[#This Row],[Último pagto ano]])</f>
        <v>12</v>
      </c>
      <c r="H3721" t="str">
        <f>TEXT(Tabela1[[#This Row],[Coluna2]]*29,"mmmm")</f>
        <v>dezembro</v>
      </c>
      <c r="I3721" t="str">
        <f>TEXT(MONTH(Tabela1[[#This Row],[Último pagto ano]])*29,"mmmm")</f>
        <v>dezembro</v>
      </c>
    </row>
    <row r="3722" spans="1:9" x14ac:dyDescent="0.25">
      <c r="A3722">
        <v>2025</v>
      </c>
      <c r="B3722" t="s">
        <v>7408</v>
      </c>
      <c r="C3722" s="1">
        <v>45884</v>
      </c>
      <c r="D3722" t="s">
        <v>7409</v>
      </c>
      <c r="E3722" s="2">
        <v>22750.6</v>
      </c>
      <c r="G3722" s="3">
        <f>MONTH(Tabela1[[#This Row],[Último pagto ano]])</f>
        <v>8</v>
      </c>
      <c r="H3722" t="str">
        <f>TEXT(Tabela1[[#This Row],[Coluna2]]*29,"mmmm")</f>
        <v>agosto</v>
      </c>
      <c r="I3722" t="str">
        <f>TEXT(MONTH(Tabela1[[#This Row],[Último pagto ano]])*29,"mmmm")</f>
        <v>agosto</v>
      </c>
    </row>
    <row r="3723" spans="1:9" x14ac:dyDescent="0.25">
      <c r="A3723">
        <v>2025</v>
      </c>
      <c r="B3723" t="s">
        <v>7410</v>
      </c>
      <c r="C3723" s="1">
        <v>45769</v>
      </c>
      <c r="D3723" t="s">
        <v>7411</v>
      </c>
      <c r="E3723">
        <v>22</v>
      </c>
      <c r="G3723" s="3">
        <f>MONTH(Tabela1[[#This Row],[Último pagto ano]])</f>
        <v>4</v>
      </c>
      <c r="H3723" t="str">
        <f>TEXT(Tabela1[[#This Row],[Coluna2]]*29,"mmmm")</f>
        <v>abril</v>
      </c>
      <c r="I3723" t="str">
        <f>TEXT(MONTH(Tabela1[[#This Row],[Último pagto ano]])*29,"mmmm")</f>
        <v>abril</v>
      </c>
    </row>
    <row r="3724" spans="1:9" x14ac:dyDescent="0.25">
      <c r="A3724">
        <v>2025</v>
      </c>
      <c r="B3724" t="s">
        <v>7412</v>
      </c>
      <c r="C3724" s="1">
        <v>46014</v>
      </c>
      <c r="D3724" t="s">
        <v>7413</v>
      </c>
      <c r="E3724" s="2">
        <v>709252.1</v>
      </c>
      <c r="G3724" s="3">
        <f>MONTH(Tabela1[[#This Row],[Último pagto ano]])</f>
        <v>12</v>
      </c>
      <c r="H3724" t="str">
        <f>TEXT(Tabela1[[#This Row],[Coluna2]]*29,"mmmm")</f>
        <v>dezembro</v>
      </c>
      <c r="I3724" t="str">
        <f>TEXT(MONTH(Tabela1[[#This Row],[Último pagto ano]])*29,"mmmm")</f>
        <v>dezembro</v>
      </c>
    </row>
    <row r="3725" spans="1:9" x14ac:dyDescent="0.25">
      <c r="A3725">
        <v>2025</v>
      </c>
      <c r="B3725" t="s">
        <v>7414</v>
      </c>
      <c r="C3725" s="1">
        <v>45964</v>
      </c>
      <c r="D3725" t="s">
        <v>7415</v>
      </c>
      <c r="E3725" s="2">
        <v>3804</v>
      </c>
      <c r="G3725" s="3">
        <f>MONTH(Tabela1[[#This Row],[Último pagto ano]])</f>
        <v>11</v>
      </c>
      <c r="H3725" t="str">
        <f>TEXT(Tabela1[[#This Row],[Coluna2]]*29,"mmmm")</f>
        <v>novembro</v>
      </c>
      <c r="I3725" t="str">
        <f>TEXT(MONTH(Tabela1[[#This Row],[Último pagto ano]])*29,"mmmm")</f>
        <v>novembro</v>
      </c>
    </row>
    <row r="3726" spans="1:9" x14ac:dyDescent="0.25">
      <c r="A3726">
        <v>2025</v>
      </c>
      <c r="B3726" t="s">
        <v>7416</v>
      </c>
      <c r="C3726" s="1">
        <v>45964</v>
      </c>
      <c r="D3726" t="s">
        <v>7417</v>
      </c>
      <c r="E3726">
        <v>88</v>
      </c>
      <c r="G3726" s="3">
        <f>MONTH(Tabela1[[#This Row],[Último pagto ano]])</f>
        <v>11</v>
      </c>
      <c r="H3726" t="str">
        <f>TEXT(Tabela1[[#This Row],[Coluna2]]*29,"mmmm")</f>
        <v>novembro</v>
      </c>
      <c r="I3726" t="str">
        <f>TEXT(MONTH(Tabela1[[#This Row],[Último pagto ano]])*29,"mmmm")</f>
        <v>novembro</v>
      </c>
    </row>
    <row r="3727" spans="1:9" x14ac:dyDescent="0.25">
      <c r="A3727">
        <v>2025</v>
      </c>
      <c r="B3727" t="s">
        <v>7418</v>
      </c>
      <c r="C3727" s="1">
        <v>45702</v>
      </c>
      <c r="D3727" t="s">
        <v>7419</v>
      </c>
      <c r="E3727">
        <v>211.42</v>
      </c>
      <c r="G3727" s="3">
        <f>MONTH(Tabela1[[#This Row],[Último pagto ano]])</f>
        <v>2</v>
      </c>
      <c r="H3727" t="str">
        <f>TEXT(Tabela1[[#This Row],[Coluna2]]*29,"mmmm")</f>
        <v>fevereiro</v>
      </c>
      <c r="I3727" t="str">
        <f>TEXT(MONTH(Tabela1[[#This Row],[Último pagto ano]])*29,"mmmm")</f>
        <v>fevereiro</v>
      </c>
    </row>
    <row r="3728" spans="1:9" x14ac:dyDescent="0.25">
      <c r="A3728">
        <v>2025</v>
      </c>
      <c r="B3728" t="s">
        <v>7420</v>
      </c>
      <c r="C3728" s="1">
        <v>45996</v>
      </c>
      <c r="D3728" t="s">
        <v>7421</v>
      </c>
      <c r="E3728" s="2">
        <v>4000</v>
      </c>
      <c r="G3728" s="3">
        <f>MONTH(Tabela1[[#This Row],[Último pagto ano]])</f>
        <v>12</v>
      </c>
      <c r="H3728" t="str">
        <f>TEXT(Tabela1[[#This Row],[Coluna2]]*29,"mmmm")</f>
        <v>dezembro</v>
      </c>
      <c r="I3728" t="str">
        <f>TEXT(MONTH(Tabela1[[#This Row],[Último pagto ano]])*29,"mmmm")</f>
        <v>dezembro</v>
      </c>
    </row>
    <row r="3729" spans="1:9" x14ac:dyDescent="0.25">
      <c r="A3729">
        <v>2025</v>
      </c>
      <c r="B3729" t="s">
        <v>7422</v>
      </c>
      <c r="C3729" s="1">
        <v>45989</v>
      </c>
      <c r="D3729" t="s">
        <v>7423</v>
      </c>
      <c r="E3729" s="2">
        <v>3278.9</v>
      </c>
      <c r="G3729" s="3">
        <f>MONTH(Tabela1[[#This Row],[Último pagto ano]])</f>
        <v>11</v>
      </c>
      <c r="H3729" t="str">
        <f>TEXT(Tabela1[[#This Row],[Coluna2]]*29,"mmmm")</f>
        <v>novembro</v>
      </c>
      <c r="I3729" t="str">
        <f>TEXT(MONTH(Tabela1[[#This Row],[Último pagto ano]])*29,"mmmm")</f>
        <v>novembro</v>
      </c>
    </row>
    <row r="3730" spans="1:9" x14ac:dyDescent="0.25">
      <c r="A3730">
        <v>2025</v>
      </c>
      <c r="B3730" t="s">
        <v>7424</v>
      </c>
      <c r="C3730" s="1">
        <v>45989</v>
      </c>
      <c r="D3730" t="s">
        <v>7425</v>
      </c>
      <c r="E3730" s="2">
        <v>10185.67</v>
      </c>
      <c r="G3730" s="3">
        <f>MONTH(Tabela1[[#This Row],[Último pagto ano]])</f>
        <v>11</v>
      </c>
      <c r="H3730" t="str">
        <f>TEXT(Tabela1[[#This Row],[Coluna2]]*29,"mmmm")</f>
        <v>novembro</v>
      </c>
      <c r="I3730" t="str">
        <f>TEXT(MONTH(Tabela1[[#This Row],[Último pagto ano]])*29,"mmmm")</f>
        <v>novembro</v>
      </c>
    </row>
    <row r="3731" spans="1:9" x14ac:dyDescent="0.25">
      <c r="A3731">
        <v>2025</v>
      </c>
      <c r="B3731" t="s">
        <v>7426</v>
      </c>
      <c r="C3731" s="1">
        <v>46021</v>
      </c>
      <c r="D3731" t="s">
        <v>7427</v>
      </c>
      <c r="E3731" s="2">
        <v>4865.5600000000004</v>
      </c>
      <c r="G3731" s="3">
        <f>MONTH(Tabela1[[#This Row],[Último pagto ano]])</f>
        <v>12</v>
      </c>
      <c r="H3731" t="str">
        <f>TEXT(Tabela1[[#This Row],[Coluna2]]*29,"mmmm")</f>
        <v>dezembro</v>
      </c>
      <c r="I3731" t="str">
        <f>TEXT(MONTH(Tabela1[[#This Row],[Último pagto ano]])*29,"mmmm")</f>
        <v>dezembro</v>
      </c>
    </row>
    <row r="3732" spans="1:9" x14ac:dyDescent="0.25">
      <c r="A3732">
        <v>2025</v>
      </c>
      <c r="B3732" t="s">
        <v>7428</v>
      </c>
      <c r="C3732" s="1">
        <v>45887</v>
      </c>
      <c r="D3732" t="s">
        <v>7429</v>
      </c>
      <c r="E3732">
        <v>960</v>
      </c>
      <c r="G3732" s="3">
        <f>MONTH(Tabela1[[#This Row],[Último pagto ano]])</f>
        <v>8</v>
      </c>
      <c r="H3732" t="str">
        <f>TEXT(Tabela1[[#This Row],[Coluna2]]*29,"mmmm")</f>
        <v>agosto</v>
      </c>
      <c r="I3732" t="str">
        <f>TEXT(MONTH(Tabela1[[#This Row],[Último pagto ano]])*29,"mmmm")</f>
        <v>agosto</v>
      </c>
    </row>
    <row r="3733" spans="1:9" x14ac:dyDescent="0.25">
      <c r="A3733">
        <v>2025</v>
      </c>
      <c r="B3733" t="s">
        <v>7430</v>
      </c>
      <c r="C3733" s="1">
        <v>45887</v>
      </c>
      <c r="D3733" t="s">
        <v>7431</v>
      </c>
      <c r="E3733" s="2">
        <v>1880</v>
      </c>
      <c r="G3733" s="3">
        <f>MONTH(Tabela1[[#This Row],[Último pagto ano]])</f>
        <v>8</v>
      </c>
      <c r="H3733" t="str">
        <f>TEXT(Tabela1[[#This Row],[Coluna2]]*29,"mmmm")</f>
        <v>agosto</v>
      </c>
      <c r="I3733" t="str">
        <f>TEXT(MONTH(Tabela1[[#This Row],[Último pagto ano]])*29,"mmmm")</f>
        <v>agosto</v>
      </c>
    </row>
    <row r="3734" spans="1:9" x14ac:dyDescent="0.25">
      <c r="A3734">
        <v>2025</v>
      </c>
      <c r="B3734" t="s">
        <v>7432</v>
      </c>
      <c r="C3734" s="1">
        <v>45975</v>
      </c>
      <c r="D3734" t="s">
        <v>7433</v>
      </c>
      <c r="E3734" s="2">
        <v>2277.36</v>
      </c>
      <c r="G3734" s="3">
        <f>MONTH(Tabela1[[#This Row],[Último pagto ano]])</f>
        <v>11</v>
      </c>
      <c r="H3734" t="str">
        <f>TEXT(Tabela1[[#This Row],[Coluna2]]*29,"mmmm")</f>
        <v>novembro</v>
      </c>
      <c r="I3734" t="str">
        <f>TEXT(MONTH(Tabela1[[#This Row],[Último pagto ano]])*29,"mmmm")</f>
        <v>novembro</v>
      </c>
    </row>
    <row r="3735" spans="1:9" x14ac:dyDescent="0.25">
      <c r="A3735">
        <v>2025</v>
      </c>
      <c r="B3735" t="s">
        <v>7434</v>
      </c>
      <c r="C3735" s="1">
        <v>45995</v>
      </c>
      <c r="D3735" t="s">
        <v>7435</v>
      </c>
      <c r="E3735">
        <v>220</v>
      </c>
      <c r="G3735" s="3">
        <f>MONTH(Tabela1[[#This Row],[Último pagto ano]])</f>
        <v>12</v>
      </c>
      <c r="H3735" t="str">
        <f>TEXT(Tabela1[[#This Row],[Coluna2]]*29,"mmmm")</f>
        <v>dezembro</v>
      </c>
      <c r="I3735" t="str">
        <f>TEXT(MONTH(Tabela1[[#This Row],[Último pagto ano]])*29,"mmmm")</f>
        <v>dezembro</v>
      </c>
    </row>
    <row r="3736" spans="1:9" x14ac:dyDescent="0.25">
      <c r="A3736">
        <v>2025</v>
      </c>
      <c r="B3736" t="s">
        <v>7436</v>
      </c>
      <c r="C3736" s="1">
        <v>45806</v>
      </c>
      <c r="D3736" t="s">
        <v>7437</v>
      </c>
      <c r="E3736">
        <v>180.63</v>
      </c>
      <c r="G3736" s="3">
        <f>MONTH(Tabela1[[#This Row],[Último pagto ano]])</f>
        <v>5</v>
      </c>
      <c r="H3736" t="str">
        <f>TEXT(Tabela1[[#This Row],[Coluna2]]*29,"mmmm")</f>
        <v>maio</v>
      </c>
      <c r="I3736" t="str">
        <f>TEXT(MONTH(Tabela1[[#This Row],[Último pagto ano]])*29,"mmmm")</f>
        <v>maio</v>
      </c>
    </row>
    <row r="3737" spans="1:9" x14ac:dyDescent="0.25">
      <c r="A3737">
        <v>2025</v>
      </c>
      <c r="B3737" t="s">
        <v>7438</v>
      </c>
      <c r="C3737" s="1">
        <v>45726</v>
      </c>
      <c r="D3737" t="s">
        <v>7439</v>
      </c>
      <c r="E3737">
        <v>207.2</v>
      </c>
      <c r="G3737" s="3">
        <f>MONTH(Tabela1[[#This Row],[Último pagto ano]])</f>
        <v>3</v>
      </c>
      <c r="H3737" t="str">
        <f>TEXT(Tabela1[[#This Row],[Coluna2]]*29,"mmmm")</f>
        <v>março</v>
      </c>
      <c r="I3737" t="str">
        <f>TEXT(MONTH(Tabela1[[#This Row],[Último pagto ano]])*29,"mmmm")</f>
        <v>março</v>
      </c>
    </row>
    <row r="3738" spans="1:9" x14ac:dyDescent="0.25">
      <c r="A3738">
        <v>2025</v>
      </c>
      <c r="B3738" t="s">
        <v>7440</v>
      </c>
      <c r="C3738" s="1">
        <v>46006</v>
      </c>
      <c r="D3738" t="s">
        <v>7441</v>
      </c>
      <c r="E3738" s="2">
        <v>298232</v>
      </c>
      <c r="G3738" s="3">
        <f>MONTH(Tabela1[[#This Row],[Último pagto ano]])</f>
        <v>12</v>
      </c>
      <c r="H3738" t="str">
        <f>TEXT(Tabela1[[#This Row],[Coluna2]]*29,"mmmm")</f>
        <v>dezembro</v>
      </c>
      <c r="I3738" t="str">
        <f>TEXT(MONTH(Tabela1[[#This Row],[Último pagto ano]])*29,"mmmm")</f>
        <v>dezembro</v>
      </c>
    </row>
    <row r="3739" spans="1:9" x14ac:dyDescent="0.25">
      <c r="A3739">
        <v>2025</v>
      </c>
      <c r="B3739" t="s">
        <v>7442</v>
      </c>
      <c r="C3739" s="1">
        <v>46010</v>
      </c>
      <c r="D3739" t="s">
        <v>7443</v>
      </c>
      <c r="E3739" s="2">
        <v>4543</v>
      </c>
      <c r="G3739" s="3">
        <f>MONTH(Tabela1[[#This Row],[Último pagto ano]])</f>
        <v>12</v>
      </c>
      <c r="H3739" t="str">
        <f>TEXT(Tabela1[[#This Row],[Coluna2]]*29,"mmmm")</f>
        <v>dezembro</v>
      </c>
      <c r="I3739" t="str">
        <f>TEXT(MONTH(Tabela1[[#This Row],[Último pagto ano]])*29,"mmmm")</f>
        <v>dezembro</v>
      </c>
    </row>
    <row r="3740" spans="1:9" x14ac:dyDescent="0.25">
      <c r="A3740">
        <v>2025</v>
      </c>
      <c r="B3740" t="s">
        <v>7444</v>
      </c>
      <c r="C3740" s="1">
        <v>45792</v>
      </c>
      <c r="D3740" t="s">
        <v>7445</v>
      </c>
      <c r="E3740" s="2">
        <v>1150</v>
      </c>
      <c r="G3740" s="3">
        <f>MONTH(Tabela1[[#This Row],[Último pagto ano]])</f>
        <v>5</v>
      </c>
      <c r="H3740" t="str">
        <f>TEXT(Tabela1[[#This Row],[Coluna2]]*29,"mmmm")</f>
        <v>maio</v>
      </c>
      <c r="I3740" t="str">
        <f>TEXT(MONTH(Tabela1[[#This Row],[Último pagto ano]])*29,"mmmm")</f>
        <v>maio</v>
      </c>
    </row>
    <row r="3741" spans="1:9" x14ac:dyDescent="0.25">
      <c r="A3741">
        <v>2025</v>
      </c>
      <c r="B3741" t="s">
        <v>7446</v>
      </c>
      <c r="C3741" s="1">
        <v>46014</v>
      </c>
      <c r="D3741" t="s">
        <v>7447</v>
      </c>
      <c r="E3741" s="2">
        <v>145689.98000000001</v>
      </c>
      <c r="G3741" s="3">
        <f>MONTH(Tabela1[[#This Row],[Último pagto ano]])</f>
        <v>12</v>
      </c>
      <c r="H3741" t="str">
        <f>TEXT(Tabela1[[#This Row],[Coluna2]]*29,"mmmm")</f>
        <v>dezembro</v>
      </c>
      <c r="I3741" t="str">
        <f>TEXT(MONTH(Tabela1[[#This Row],[Último pagto ano]])*29,"mmmm")</f>
        <v>dezembro</v>
      </c>
    </row>
    <row r="3742" spans="1:9" x14ac:dyDescent="0.25">
      <c r="A3742">
        <v>2025</v>
      </c>
      <c r="B3742" t="s">
        <v>7446</v>
      </c>
      <c r="C3742" s="1">
        <v>46014</v>
      </c>
      <c r="D3742" t="s">
        <v>7448</v>
      </c>
      <c r="E3742" s="2">
        <v>559891.36</v>
      </c>
      <c r="G3742" s="3">
        <f>MONTH(Tabela1[[#This Row],[Último pagto ano]])</f>
        <v>12</v>
      </c>
      <c r="H3742" t="str">
        <f>TEXT(Tabela1[[#This Row],[Coluna2]]*29,"mmmm")</f>
        <v>dezembro</v>
      </c>
      <c r="I3742" t="str">
        <f>TEXT(MONTH(Tabela1[[#This Row],[Último pagto ano]])*29,"mmmm")</f>
        <v>dezembro</v>
      </c>
    </row>
    <row r="3743" spans="1:9" x14ac:dyDescent="0.25">
      <c r="A3743">
        <v>2025</v>
      </c>
      <c r="B3743" t="s">
        <v>7449</v>
      </c>
      <c r="C3743" s="1">
        <v>46006</v>
      </c>
      <c r="D3743" t="s">
        <v>7450</v>
      </c>
      <c r="E3743" s="2">
        <v>5377.5</v>
      </c>
      <c r="G3743" s="3">
        <f>MONTH(Tabela1[[#This Row],[Último pagto ano]])</f>
        <v>12</v>
      </c>
      <c r="H3743" t="str">
        <f>TEXT(Tabela1[[#This Row],[Coluna2]]*29,"mmmm")</f>
        <v>dezembro</v>
      </c>
      <c r="I3743" t="str">
        <f>TEXT(MONTH(Tabela1[[#This Row],[Último pagto ano]])*29,"mmmm")</f>
        <v>dezembro</v>
      </c>
    </row>
    <row r="3744" spans="1:9" x14ac:dyDescent="0.25">
      <c r="A3744">
        <v>2025</v>
      </c>
      <c r="B3744" t="s">
        <v>7451</v>
      </c>
      <c r="C3744" s="1">
        <v>45785</v>
      </c>
      <c r="D3744" t="s">
        <v>7452</v>
      </c>
      <c r="E3744" s="2">
        <v>22315</v>
      </c>
      <c r="G3744" s="3">
        <f>MONTH(Tabela1[[#This Row],[Último pagto ano]])</f>
        <v>5</v>
      </c>
      <c r="H3744" t="str">
        <f>TEXT(Tabela1[[#This Row],[Coluna2]]*29,"mmmm")</f>
        <v>maio</v>
      </c>
      <c r="I3744" t="str">
        <f>TEXT(MONTH(Tabela1[[#This Row],[Último pagto ano]])*29,"mmmm")</f>
        <v>maio</v>
      </c>
    </row>
    <row r="3745" spans="1:9" x14ac:dyDescent="0.25">
      <c r="A3745">
        <v>2025</v>
      </c>
      <c r="B3745" t="s">
        <v>7453</v>
      </c>
      <c r="C3745" s="1">
        <v>45908</v>
      </c>
      <c r="D3745" t="s">
        <v>7454</v>
      </c>
      <c r="E3745" s="2">
        <v>2960.2</v>
      </c>
      <c r="G3745" s="3">
        <f>MONTH(Tabela1[[#This Row],[Último pagto ano]])</f>
        <v>9</v>
      </c>
      <c r="H3745" t="str">
        <f>TEXT(Tabela1[[#This Row],[Coluna2]]*29,"mmmm")</f>
        <v>setembro</v>
      </c>
      <c r="I3745" t="str">
        <f>TEXT(MONTH(Tabela1[[#This Row],[Último pagto ano]])*29,"mmmm")</f>
        <v>setembro</v>
      </c>
    </row>
    <row r="3746" spans="1:9" x14ac:dyDescent="0.25">
      <c r="A3746">
        <v>2025</v>
      </c>
      <c r="B3746" t="s">
        <v>7455</v>
      </c>
      <c r="C3746" s="1">
        <v>46003</v>
      </c>
      <c r="D3746" t="s">
        <v>7456</v>
      </c>
      <c r="E3746" s="2">
        <v>3374389.78</v>
      </c>
      <c r="G3746" s="3">
        <f>MONTH(Tabela1[[#This Row],[Último pagto ano]])</f>
        <v>12</v>
      </c>
      <c r="H3746" t="str">
        <f>TEXT(Tabela1[[#This Row],[Coluna2]]*29,"mmmm")</f>
        <v>dezembro</v>
      </c>
      <c r="I3746" t="str">
        <f>TEXT(MONTH(Tabela1[[#This Row],[Último pagto ano]])*29,"mmmm")</f>
        <v>dezembro</v>
      </c>
    </row>
    <row r="3747" spans="1:9" x14ac:dyDescent="0.25">
      <c r="A3747">
        <v>2025</v>
      </c>
      <c r="B3747" t="s">
        <v>7457</v>
      </c>
      <c r="C3747" s="1">
        <v>46003</v>
      </c>
      <c r="D3747" t="s">
        <v>7458</v>
      </c>
      <c r="E3747" s="2">
        <v>67848.039999999994</v>
      </c>
      <c r="G3747" s="3">
        <f>MONTH(Tabela1[[#This Row],[Último pagto ano]])</f>
        <v>12</v>
      </c>
      <c r="H3747" t="str">
        <f>TEXT(Tabela1[[#This Row],[Coluna2]]*29,"mmmm")</f>
        <v>dezembro</v>
      </c>
      <c r="I3747" t="str">
        <f>TEXT(MONTH(Tabela1[[#This Row],[Último pagto ano]])*29,"mmmm")</f>
        <v>dezembro</v>
      </c>
    </row>
    <row r="3748" spans="1:9" x14ac:dyDescent="0.25">
      <c r="A3748">
        <v>2025</v>
      </c>
      <c r="B3748" t="s">
        <v>7459</v>
      </c>
      <c r="C3748" s="1">
        <v>46006</v>
      </c>
      <c r="D3748" t="s">
        <v>7460</v>
      </c>
      <c r="E3748" s="2">
        <v>660530</v>
      </c>
      <c r="G3748" s="3">
        <f>MONTH(Tabela1[[#This Row],[Último pagto ano]])</f>
        <v>12</v>
      </c>
      <c r="H3748" t="str">
        <f>TEXT(Tabela1[[#This Row],[Coluna2]]*29,"mmmm")</f>
        <v>dezembro</v>
      </c>
      <c r="I3748" t="str">
        <f>TEXT(MONTH(Tabela1[[#This Row],[Último pagto ano]])*29,"mmmm")</f>
        <v>dezembro</v>
      </c>
    </row>
    <row r="3749" spans="1:9" x14ac:dyDescent="0.25">
      <c r="A3749">
        <v>2025</v>
      </c>
      <c r="B3749" t="s">
        <v>7461</v>
      </c>
      <c r="C3749" s="1">
        <v>45742</v>
      </c>
      <c r="D3749" t="s">
        <v>7462</v>
      </c>
      <c r="E3749" s="2">
        <v>1008.52</v>
      </c>
      <c r="G3749" s="3">
        <f>MONTH(Tabela1[[#This Row],[Último pagto ano]])</f>
        <v>3</v>
      </c>
      <c r="H3749" t="str">
        <f>TEXT(Tabela1[[#This Row],[Coluna2]]*29,"mmmm")</f>
        <v>março</v>
      </c>
      <c r="I3749" t="str">
        <f>TEXT(MONTH(Tabela1[[#This Row],[Último pagto ano]])*29,"mmmm")</f>
        <v>março</v>
      </c>
    </row>
    <row r="3750" spans="1:9" x14ac:dyDescent="0.25">
      <c r="A3750">
        <v>2025</v>
      </c>
      <c r="B3750" t="s">
        <v>7463</v>
      </c>
      <c r="C3750" s="1">
        <v>45817</v>
      </c>
      <c r="D3750" t="s">
        <v>7464</v>
      </c>
      <c r="E3750" s="2">
        <v>342000</v>
      </c>
      <c r="G3750" s="3">
        <f>MONTH(Tabela1[[#This Row],[Último pagto ano]])</f>
        <v>6</v>
      </c>
      <c r="H3750" t="str">
        <f>TEXT(Tabela1[[#This Row],[Coluna2]]*29,"mmmm")</f>
        <v>junho</v>
      </c>
      <c r="I3750" t="str">
        <f>TEXT(MONTH(Tabela1[[#This Row],[Último pagto ano]])*29,"mmmm")</f>
        <v>junho</v>
      </c>
    </row>
    <row r="3751" spans="1:9" x14ac:dyDescent="0.25">
      <c r="A3751">
        <v>2025</v>
      </c>
      <c r="B3751" t="s">
        <v>7465</v>
      </c>
      <c r="C3751" s="1">
        <v>46014</v>
      </c>
      <c r="D3751" t="s">
        <v>7466</v>
      </c>
      <c r="E3751" s="2">
        <v>356459161.62</v>
      </c>
      <c r="G3751" s="3">
        <f>MONTH(Tabela1[[#This Row],[Último pagto ano]])</f>
        <v>12</v>
      </c>
      <c r="H3751" t="str">
        <f>TEXT(Tabela1[[#This Row],[Coluna2]]*29,"mmmm")</f>
        <v>dezembro</v>
      </c>
      <c r="I3751" t="str">
        <f>TEXT(MONTH(Tabela1[[#This Row],[Último pagto ano]])*29,"mmmm")</f>
        <v>dezembro</v>
      </c>
    </row>
    <row r="3752" spans="1:9" x14ac:dyDescent="0.25">
      <c r="A3752">
        <v>2025</v>
      </c>
      <c r="B3752" t="s">
        <v>7467</v>
      </c>
      <c r="C3752" s="1">
        <v>45975</v>
      </c>
      <c r="D3752" t="s">
        <v>7468</v>
      </c>
      <c r="E3752" s="2">
        <v>197923.4</v>
      </c>
      <c r="G3752" s="3">
        <f>MONTH(Tabela1[[#This Row],[Último pagto ano]])</f>
        <v>11</v>
      </c>
      <c r="H3752" t="str">
        <f>TEXT(Tabela1[[#This Row],[Coluna2]]*29,"mmmm")</f>
        <v>novembro</v>
      </c>
      <c r="I3752" t="str">
        <f>TEXT(MONTH(Tabela1[[#This Row],[Último pagto ano]])*29,"mmmm")</f>
        <v>novembro</v>
      </c>
    </row>
    <row r="3753" spans="1:9" x14ac:dyDescent="0.25">
      <c r="A3753">
        <v>2025</v>
      </c>
      <c r="B3753" t="s">
        <v>7469</v>
      </c>
      <c r="C3753" s="1">
        <v>46006</v>
      </c>
      <c r="D3753" t="s">
        <v>7470</v>
      </c>
      <c r="E3753" s="2">
        <v>6056045.7199999997</v>
      </c>
      <c r="G3753" s="3">
        <f>MONTH(Tabela1[[#This Row],[Último pagto ano]])</f>
        <v>12</v>
      </c>
      <c r="H3753" t="str">
        <f>TEXT(Tabela1[[#This Row],[Coluna2]]*29,"mmmm")</f>
        <v>dezembro</v>
      </c>
      <c r="I3753" t="str">
        <f>TEXT(MONTH(Tabela1[[#This Row],[Último pagto ano]])*29,"mmmm")</f>
        <v>dezembro</v>
      </c>
    </row>
    <row r="3754" spans="1:9" x14ac:dyDescent="0.25">
      <c r="A3754">
        <v>2025</v>
      </c>
      <c r="B3754" t="s">
        <v>7471</v>
      </c>
      <c r="C3754" s="1">
        <v>46003</v>
      </c>
      <c r="D3754" t="s">
        <v>7472</v>
      </c>
      <c r="E3754" s="2">
        <v>4676459.4000000004</v>
      </c>
      <c r="G3754" s="3">
        <f>MONTH(Tabela1[[#This Row],[Último pagto ano]])</f>
        <v>12</v>
      </c>
      <c r="H3754" t="str">
        <f>TEXT(Tabela1[[#This Row],[Coluna2]]*29,"mmmm")</f>
        <v>dezembro</v>
      </c>
      <c r="I3754" t="str">
        <f>TEXT(MONTH(Tabela1[[#This Row],[Último pagto ano]])*29,"mmmm")</f>
        <v>dezembro</v>
      </c>
    </row>
    <row r="3755" spans="1:9" x14ac:dyDescent="0.25">
      <c r="A3755">
        <v>2025</v>
      </c>
      <c r="B3755" t="s">
        <v>7473</v>
      </c>
      <c r="C3755" s="1">
        <v>46003</v>
      </c>
      <c r="D3755" t="s">
        <v>7474</v>
      </c>
      <c r="E3755" s="2">
        <v>312312.8</v>
      </c>
      <c r="G3755" s="3">
        <f>MONTH(Tabela1[[#This Row],[Último pagto ano]])</f>
        <v>12</v>
      </c>
      <c r="H3755" t="str">
        <f>TEXT(Tabela1[[#This Row],[Coluna2]]*29,"mmmm")</f>
        <v>dezembro</v>
      </c>
      <c r="I3755" t="str">
        <f>TEXT(MONTH(Tabela1[[#This Row],[Último pagto ano]])*29,"mmmm")</f>
        <v>dezembro</v>
      </c>
    </row>
    <row r="3756" spans="1:9" x14ac:dyDescent="0.25">
      <c r="A3756">
        <v>2025</v>
      </c>
      <c r="B3756" t="s">
        <v>7475</v>
      </c>
      <c r="C3756" s="1">
        <v>45726</v>
      </c>
      <c r="D3756" t="s">
        <v>7476</v>
      </c>
      <c r="E3756" s="2">
        <v>211235.43</v>
      </c>
      <c r="G3756" s="3">
        <f>MONTH(Tabela1[[#This Row],[Último pagto ano]])</f>
        <v>3</v>
      </c>
      <c r="H3756" t="str">
        <f>TEXT(Tabela1[[#This Row],[Coluna2]]*29,"mmmm")</f>
        <v>março</v>
      </c>
      <c r="I3756" t="str">
        <f>TEXT(MONTH(Tabela1[[#This Row],[Último pagto ano]])*29,"mmmm")</f>
        <v>março</v>
      </c>
    </row>
    <row r="3757" spans="1:9" x14ac:dyDescent="0.25">
      <c r="A3757">
        <v>2025</v>
      </c>
      <c r="B3757" t="s">
        <v>7477</v>
      </c>
      <c r="C3757" s="1">
        <v>45999</v>
      </c>
      <c r="D3757" t="s">
        <v>7478</v>
      </c>
      <c r="E3757" s="2">
        <v>149920.78</v>
      </c>
      <c r="G3757" s="3">
        <f>MONTH(Tabela1[[#This Row],[Último pagto ano]])</f>
        <v>12</v>
      </c>
      <c r="H3757" t="str">
        <f>TEXT(Tabela1[[#This Row],[Coluna2]]*29,"mmmm")</f>
        <v>dezembro</v>
      </c>
      <c r="I3757" t="str">
        <f>TEXT(MONTH(Tabela1[[#This Row],[Último pagto ano]])*29,"mmmm")</f>
        <v>dezembro</v>
      </c>
    </row>
    <row r="3758" spans="1:9" x14ac:dyDescent="0.25">
      <c r="A3758">
        <v>2025</v>
      </c>
      <c r="B3758" t="s">
        <v>7479</v>
      </c>
      <c r="C3758" s="1">
        <v>45866</v>
      </c>
      <c r="D3758" t="s">
        <v>7480</v>
      </c>
      <c r="E3758" s="2">
        <v>56470.61</v>
      </c>
      <c r="G3758" s="3">
        <f>MONTH(Tabela1[[#This Row],[Último pagto ano]])</f>
        <v>7</v>
      </c>
      <c r="H3758" t="str">
        <f>TEXT(Tabela1[[#This Row],[Coluna2]]*29,"mmmm")</f>
        <v>julho</v>
      </c>
      <c r="I3758" t="str">
        <f>TEXT(MONTH(Tabela1[[#This Row],[Último pagto ano]])*29,"mmmm")</f>
        <v>julho</v>
      </c>
    </row>
    <row r="3759" spans="1:9" x14ac:dyDescent="0.25">
      <c r="A3759">
        <v>2025</v>
      </c>
      <c r="B3759" t="s">
        <v>7481</v>
      </c>
      <c r="C3759" s="1">
        <v>46010</v>
      </c>
      <c r="D3759" t="s">
        <v>7482</v>
      </c>
      <c r="E3759" s="2">
        <v>37583971.329999998</v>
      </c>
      <c r="G3759" s="3">
        <f>MONTH(Tabela1[[#This Row],[Último pagto ano]])</f>
        <v>12</v>
      </c>
      <c r="H3759" t="str">
        <f>TEXT(Tabela1[[#This Row],[Coluna2]]*29,"mmmm")</f>
        <v>dezembro</v>
      </c>
      <c r="I3759" t="str">
        <f>TEXT(MONTH(Tabela1[[#This Row],[Último pagto ano]])*29,"mmmm")</f>
        <v>dezembro</v>
      </c>
    </row>
    <row r="3760" spans="1:9" x14ac:dyDescent="0.25">
      <c r="A3760">
        <v>2025</v>
      </c>
      <c r="B3760" t="s">
        <v>7483</v>
      </c>
      <c r="C3760" s="1">
        <v>45992</v>
      </c>
      <c r="D3760" t="s">
        <v>7484</v>
      </c>
      <c r="E3760" s="2">
        <v>5871660.96</v>
      </c>
      <c r="G3760" s="3">
        <f>MONTH(Tabela1[[#This Row],[Último pagto ano]])</f>
        <v>12</v>
      </c>
      <c r="H3760" t="str">
        <f>TEXT(Tabela1[[#This Row],[Coluna2]]*29,"mmmm")</f>
        <v>dezembro</v>
      </c>
      <c r="I3760" t="str">
        <f>TEXT(MONTH(Tabela1[[#This Row],[Último pagto ano]])*29,"mmmm")</f>
        <v>dezembro</v>
      </c>
    </row>
    <row r="3761" spans="1:9" x14ac:dyDescent="0.25">
      <c r="A3761">
        <v>2025</v>
      </c>
      <c r="B3761" t="s">
        <v>7485</v>
      </c>
      <c r="C3761" s="1">
        <v>45887</v>
      </c>
      <c r="D3761" t="s">
        <v>7486</v>
      </c>
      <c r="E3761" s="2">
        <v>1500</v>
      </c>
      <c r="G3761" s="3">
        <f>MONTH(Tabela1[[#This Row],[Último pagto ano]])</f>
        <v>8</v>
      </c>
      <c r="H3761" t="str">
        <f>TEXT(Tabela1[[#This Row],[Coluna2]]*29,"mmmm")</f>
        <v>agosto</v>
      </c>
      <c r="I3761" t="str">
        <f>TEXT(MONTH(Tabela1[[#This Row],[Último pagto ano]])*29,"mmmm")</f>
        <v>agosto</v>
      </c>
    </row>
    <row r="3762" spans="1:9" x14ac:dyDescent="0.25">
      <c r="A3762">
        <v>2025</v>
      </c>
      <c r="B3762" t="s">
        <v>7487</v>
      </c>
      <c r="C3762" s="1">
        <v>45726</v>
      </c>
      <c r="D3762" t="s">
        <v>7488</v>
      </c>
      <c r="E3762">
        <v>950</v>
      </c>
      <c r="G3762" s="3">
        <f>MONTH(Tabela1[[#This Row],[Último pagto ano]])</f>
        <v>3</v>
      </c>
      <c r="H3762" t="str">
        <f>TEXT(Tabela1[[#This Row],[Coluna2]]*29,"mmmm")</f>
        <v>março</v>
      </c>
      <c r="I3762" t="str">
        <f>TEXT(MONTH(Tabela1[[#This Row],[Último pagto ano]])*29,"mmmm")</f>
        <v>março</v>
      </c>
    </row>
    <row r="3763" spans="1:9" x14ac:dyDescent="0.25">
      <c r="A3763">
        <v>2025</v>
      </c>
      <c r="B3763" t="s">
        <v>7489</v>
      </c>
      <c r="C3763" s="1">
        <v>45946</v>
      </c>
      <c r="D3763" t="s">
        <v>7490</v>
      </c>
      <c r="E3763">
        <v>187.42</v>
      </c>
      <c r="G3763" s="3">
        <f>MONTH(Tabela1[[#This Row],[Último pagto ano]])</f>
        <v>10</v>
      </c>
      <c r="H3763" t="str">
        <f>TEXT(Tabela1[[#This Row],[Coluna2]]*29,"mmmm")</f>
        <v>outubro</v>
      </c>
      <c r="I3763" t="str">
        <f>TEXT(MONTH(Tabela1[[#This Row],[Último pagto ano]])*29,"mmmm")</f>
        <v>outubro</v>
      </c>
    </row>
    <row r="3764" spans="1:9" x14ac:dyDescent="0.25">
      <c r="A3764">
        <v>2025</v>
      </c>
      <c r="B3764" t="s">
        <v>7491</v>
      </c>
      <c r="C3764" s="1">
        <v>45763</v>
      </c>
      <c r="D3764" t="s">
        <v>7492</v>
      </c>
      <c r="E3764">
        <v>253.12</v>
      </c>
      <c r="G3764" s="3">
        <f>MONTH(Tabela1[[#This Row],[Último pagto ano]])</f>
        <v>4</v>
      </c>
      <c r="H3764" t="str">
        <f>TEXT(Tabela1[[#This Row],[Coluna2]]*29,"mmmm")</f>
        <v>abril</v>
      </c>
      <c r="I3764" t="str">
        <f>TEXT(MONTH(Tabela1[[#This Row],[Último pagto ano]])*29,"mmmm")</f>
        <v>abril</v>
      </c>
    </row>
    <row r="3765" spans="1:9" x14ac:dyDescent="0.25">
      <c r="A3765">
        <v>2025</v>
      </c>
      <c r="B3765" t="s">
        <v>7493</v>
      </c>
      <c r="C3765" s="1">
        <v>45989</v>
      </c>
      <c r="D3765" t="s">
        <v>7494</v>
      </c>
      <c r="E3765" s="2">
        <v>3624708.51</v>
      </c>
      <c r="G3765" s="3">
        <f>MONTH(Tabela1[[#This Row],[Último pagto ano]])</f>
        <v>11</v>
      </c>
      <c r="H3765" t="str">
        <f>TEXT(Tabela1[[#This Row],[Coluna2]]*29,"mmmm")</f>
        <v>novembro</v>
      </c>
      <c r="I3765" t="str">
        <f>TEXT(MONTH(Tabela1[[#This Row],[Último pagto ano]])*29,"mmmm")</f>
        <v>novembro</v>
      </c>
    </row>
    <row r="3766" spans="1:9" x14ac:dyDescent="0.25">
      <c r="A3766">
        <v>2025</v>
      </c>
      <c r="B3766" t="s">
        <v>7495</v>
      </c>
      <c r="C3766" s="1">
        <v>46021</v>
      </c>
      <c r="D3766" t="s">
        <v>7496</v>
      </c>
      <c r="E3766" s="2">
        <v>1056078.05</v>
      </c>
      <c r="G3766" s="3">
        <f>MONTH(Tabela1[[#This Row],[Último pagto ano]])</f>
        <v>12</v>
      </c>
      <c r="H3766" t="str">
        <f>TEXT(Tabela1[[#This Row],[Coluna2]]*29,"mmmm")</f>
        <v>dezembro</v>
      </c>
      <c r="I3766" t="str">
        <f>TEXT(MONTH(Tabela1[[#This Row],[Último pagto ano]])*29,"mmmm")</f>
        <v>dezembro</v>
      </c>
    </row>
    <row r="3767" spans="1:9" x14ac:dyDescent="0.25">
      <c r="A3767">
        <v>2025</v>
      </c>
      <c r="B3767" t="s">
        <v>7497</v>
      </c>
      <c r="C3767" s="1">
        <v>45806</v>
      </c>
      <c r="D3767" t="s">
        <v>7498</v>
      </c>
      <c r="E3767" s="2">
        <v>3900</v>
      </c>
      <c r="G3767" s="3">
        <f>MONTH(Tabela1[[#This Row],[Último pagto ano]])</f>
        <v>5</v>
      </c>
      <c r="H3767" t="str">
        <f>TEXT(Tabela1[[#This Row],[Coluna2]]*29,"mmmm")</f>
        <v>maio</v>
      </c>
      <c r="I3767" t="str">
        <f>TEXT(MONTH(Tabela1[[#This Row],[Último pagto ano]])*29,"mmmm")</f>
        <v>maio</v>
      </c>
    </row>
    <row r="3768" spans="1:9" x14ac:dyDescent="0.25">
      <c r="A3768">
        <v>2025</v>
      </c>
      <c r="B3768" t="s">
        <v>7499</v>
      </c>
      <c r="C3768" s="1">
        <v>45947</v>
      </c>
      <c r="D3768" t="s">
        <v>7500</v>
      </c>
      <c r="E3768" s="2">
        <v>30707.5</v>
      </c>
      <c r="G3768" s="3">
        <f>MONTH(Tabela1[[#This Row],[Último pagto ano]])</f>
        <v>10</v>
      </c>
      <c r="H3768" t="str">
        <f>TEXT(Tabela1[[#This Row],[Coluna2]]*29,"mmmm")</f>
        <v>outubro</v>
      </c>
      <c r="I3768" t="str">
        <f>TEXT(MONTH(Tabela1[[#This Row],[Último pagto ano]])*29,"mmmm")</f>
        <v>outubro</v>
      </c>
    </row>
    <row r="3769" spans="1:9" x14ac:dyDescent="0.25">
      <c r="A3769">
        <v>2025</v>
      </c>
      <c r="B3769" t="s">
        <v>7501</v>
      </c>
      <c r="C3769" s="1">
        <v>46007</v>
      </c>
      <c r="D3769" t="s">
        <v>7502</v>
      </c>
      <c r="E3769" s="2">
        <v>1175825.28</v>
      </c>
      <c r="G3769" s="3">
        <f>MONTH(Tabela1[[#This Row],[Último pagto ano]])</f>
        <v>12</v>
      </c>
      <c r="H3769" t="str">
        <f>TEXT(Tabela1[[#This Row],[Coluna2]]*29,"mmmm")</f>
        <v>dezembro</v>
      </c>
      <c r="I3769" t="str">
        <f>TEXT(MONTH(Tabela1[[#This Row],[Último pagto ano]])*29,"mmmm")</f>
        <v>dezembro</v>
      </c>
    </row>
    <row r="3770" spans="1:9" x14ac:dyDescent="0.25">
      <c r="A3770">
        <v>2025</v>
      </c>
      <c r="B3770" t="s">
        <v>7503</v>
      </c>
      <c r="C3770" s="1">
        <v>45702</v>
      </c>
      <c r="D3770" t="s">
        <v>7504</v>
      </c>
      <c r="E3770">
        <v>254.91</v>
      </c>
      <c r="G3770" s="3">
        <f>MONTH(Tabela1[[#This Row],[Último pagto ano]])</f>
        <v>2</v>
      </c>
      <c r="H3770" t="str">
        <f>TEXT(Tabela1[[#This Row],[Coluna2]]*29,"mmmm")</f>
        <v>fevereiro</v>
      </c>
      <c r="I3770" t="str">
        <f>TEXT(MONTH(Tabela1[[#This Row],[Último pagto ano]])*29,"mmmm")</f>
        <v>fevereiro</v>
      </c>
    </row>
    <row r="3771" spans="1:9" x14ac:dyDescent="0.25">
      <c r="A3771">
        <v>2025</v>
      </c>
      <c r="B3771" t="s">
        <v>7505</v>
      </c>
      <c r="C3771" s="1">
        <v>45817</v>
      </c>
      <c r="D3771" t="s">
        <v>7506</v>
      </c>
      <c r="E3771">
        <v>22</v>
      </c>
      <c r="G3771" s="3">
        <f>MONTH(Tabela1[[#This Row],[Último pagto ano]])</f>
        <v>6</v>
      </c>
      <c r="H3771" t="str">
        <f>TEXT(Tabela1[[#This Row],[Coluna2]]*29,"mmmm")</f>
        <v>junho</v>
      </c>
      <c r="I3771" t="str">
        <f>TEXT(MONTH(Tabela1[[#This Row],[Último pagto ano]])*29,"mmmm")</f>
        <v>junho</v>
      </c>
    </row>
    <row r="3772" spans="1:9" x14ac:dyDescent="0.25">
      <c r="A3772">
        <v>2025</v>
      </c>
      <c r="B3772" t="s">
        <v>7507</v>
      </c>
      <c r="C3772" s="1">
        <v>45904</v>
      </c>
      <c r="D3772" t="s">
        <v>7508</v>
      </c>
      <c r="E3772" s="2">
        <v>310525.58</v>
      </c>
      <c r="G3772" s="3">
        <f>MONTH(Tabela1[[#This Row],[Último pagto ano]])</f>
        <v>9</v>
      </c>
      <c r="H3772" t="str">
        <f>TEXT(Tabela1[[#This Row],[Coluna2]]*29,"mmmm")</f>
        <v>setembro</v>
      </c>
      <c r="I3772" t="str">
        <f>TEXT(MONTH(Tabela1[[#This Row],[Último pagto ano]])*29,"mmmm")</f>
        <v>setembro</v>
      </c>
    </row>
    <row r="3773" spans="1:9" x14ac:dyDescent="0.25">
      <c r="A3773">
        <v>2025</v>
      </c>
      <c r="B3773" t="s">
        <v>7509</v>
      </c>
      <c r="C3773" s="1">
        <v>46014</v>
      </c>
      <c r="D3773" t="s">
        <v>7510</v>
      </c>
      <c r="E3773" s="2">
        <v>92854110.620000005</v>
      </c>
      <c r="G3773" s="3">
        <f>MONTH(Tabela1[[#This Row],[Último pagto ano]])</f>
        <v>12</v>
      </c>
      <c r="H3773" t="str">
        <f>TEXT(Tabela1[[#This Row],[Coluna2]]*29,"mmmm")</f>
        <v>dezembro</v>
      </c>
      <c r="I3773" t="str">
        <f>TEXT(MONTH(Tabela1[[#This Row],[Último pagto ano]])*29,"mmmm")</f>
        <v>dezembro</v>
      </c>
    </row>
    <row r="3774" spans="1:9" x14ac:dyDescent="0.25">
      <c r="A3774">
        <v>2025</v>
      </c>
      <c r="B3774" t="s">
        <v>7511</v>
      </c>
      <c r="C3774" s="1">
        <v>45995</v>
      </c>
      <c r="D3774" t="s">
        <v>7512</v>
      </c>
      <c r="E3774">
        <v>176</v>
      </c>
      <c r="G3774" s="3">
        <f>MONTH(Tabela1[[#This Row],[Último pagto ano]])</f>
        <v>12</v>
      </c>
      <c r="H3774" t="str">
        <f>TEXT(Tabela1[[#This Row],[Coluna2]]*29,"mmmm")</f>
        <v>dezembro</v>
      </c>
      <c r="I3774" t="str">
        <f>TEXT(MONTH(Tabela1[[#This Row],[Último pagto ano]])*29,"mmmm")</f>
        <v>dezembro</v>
      </c>
    </row>
    <row r="3775" spans="1:9" x14ac:dyDescent="0.25">
      <c r="A3775">
        <v>2025</v>
      </c>
      <c r="B3775" t="s">
        <v>7513</v>
      </c>
      <c r="C3775" s="1">
        <v>45922</v>
      </c>
      <c r="D3775" t="s">
        <v>7514</v>
      </c>
      <c r="E3775">
        <v>480</v>
      </c>
      <c r="G3775" s="3">
        <f>MONTH(Tabela1[[#This Row],[Último pagto ano]])</f>
        <v>9</v>
      </c>
      <c r="H3775" t="str">
        <f>TEXT(Tabela1[[#This Row],[Coluna2]]*29,"mmmm")</f>
        <v>setembro</v>
      </c>
      <c r="I3775" t="str">
        <f>TEXT(MONTH(Tabela1[[#This Row],[Último pagto ano]])*29,"mmmm")</f>
        <v>setembro</v>
      </c>
    </row>
    <row r="3776" spans="1:9" x14ac:dyDescent="0.25">
      <c r="A3776">
        <v>2025</v>
      </c>
      <c r="B3776" t="s">
        <v>7515</v>
      </c>
      <c r="C3776" s="1">
        <v>46010</v>
      </c>
      <c r="D3776" t="s">
        <v>7516</v>
      </c>
      <c r="E3776" s="2">
        <v>8400</v>
      </c>
      <c r="G3776" s="3">
        <f>MONTH(Tabela1[[#This Row],[Último pagto ano]])</f>
        <v>12</v>
      </c>
      <c r="H3776" t="str">
        <f>TEXT(Tabela1[[#This Row],[Coluna2]]*29,"mmmm")</f>
        <v>dezembro</v>
      </c>
      <c r="I3776" t="str">
        <f>TEXT(MONTH(Tabela1[[#This Row],[Último pagto ano]])*29,"mmmm")</f>
        <v>dezembro</v>
      </c>
    </row>
    <row r="3777" spans="1:9" x14ac:dyDescent="0.25">
      <c r="A3777">
        <v>2025</v>
      </c>
      <c r="B3777" t="s">
        <v>7517</v>
      </c>
      <c r="C3777" s="1">
        <v>45702</v>
      </c>
      <c r="D3777" t="s">
        <v>7518</v>
      </c>
      <c r="E3777">
        <v>202.14</v>
      </c>
      <c r="G3777" s="3">
        <f>MONTH(Tabela1[[#This Row],[Último pagto ano]])</f>
        <v>2</v>
      </c>
      <c r="H3777" t="str">
        <f>TEXT(Tabela1[[#This Row],[Coluna2]]*29,"mmmm")</f>
        <v>fevereiro</v>
      </c>
      <c r="I3777" t="str">
        <f>TEXT(MONTH(Tabela1[[#This Row],[Último pagto ano]])*29,"mmmm")</f>
        <v>fevereiro</v>
      </c>
    </row>
    <row r="3778" spans="1:9" x14ac:dyDescent="0.25">
      <c r="A3778">
        <v>2025</v>
      </c>
      <c r="B3778" t="s">
        <v>7519</v>
      </c>
      <c r="C3778" s="1">
        <v>45803</v>
      </c>
      <c r="D3778" t="s">
        <v>7520</v>
      </c>
      <c r="E3778">
        <v>583.20000000000005</v>
      </c>
      <c r="G3778" s="3">
        <f>MONTH(Tabela1[[#This Row],[Último pagto ano]])</f>
        <v>5</v>
      </c>
      <c r="H3778" t="str">
        <f>TEXT(Tabela1[[#This Row],[Coluna2]]*29,"mmmm")</f>
        <v>maio</v>
      </c>
      <c r="I3778" t="str">
        <f>TEXT(MONTH(Tabela1[[#This Row],[Último pagto ano]])*29,"mmmm")</f>
        <v>maio</v>
      </c>
    </row>
    <row r="3779" spans="1:9" x14ac:dyDescent="0.25">
      <c r="A3779">
        <v>2025</v>
      </c>
      <c r="B3779" t="s">
        <v>7521</v>
      </c>
      <c r="C3779" s="1">
        <v>45863</v>
      </c>
      <c r="D3779" t="s">
        <v>7522</v>
      </c>
      <c r="E3779" s="2">
        <v>4900</v>
      </c>
      <c r="G3779" s="3">
        <f>MONTH(Tabela1[[#This Row],[Último pagto ano]])</f>
        <v>7</v>
      </c>
      <c r="H3779" t="str">
        <f>TEXT(Tabela1[[#This Row],[Coluna2]]*29,"mmmm")</f>
        <v>julho</v>
      </c>
      <c r="I3779" t="str">
        <f>TEXT(MONTH(Tabela1[[#This Row],[Último pagto ano]])*29,"mmmm")</f>
        <v>julho</v>
      </c>
    </row>
    <row r="3780" spans="1:9" x14ac:dyDescent="0.25">
      <c r="A3780">
        <v>2025</v>
      </c>
      <c r="B3780" t="s">
        <v>7523</v>
      </c>
      <c r="C3780" s="1">
        <v>45702</v>
      </c>
      <c r="D3780" t="s">
        <v>7524</v>
      </c>
      <c r="E3780">
        <v>141.05000000000001</v>
      </c>
      <c r="G3780" s="3">
        <f>MONTH(Tabela1[[#This Row],[Último pagto ano]])</f>
        <v>2</v>
      </c>
      <c r="H3780" t="str">
        <f>TEXT(Tabela1[[#This Row],[Coluna2]]*29,"mmmm")</f>
        <v>fevereiro</v>
      </c>
      <c r="I3780" t="str">
        <f>TEXT(MONTH(Tabela1[[#This Row],[Último pagto ano]])*29,"mmmm")</f>
        <v>fevereiro</v>
      </c>
    </row>
    <row r="3781" spans="1:9" x14ac:dyDescent="0.25">
      <c r="A3781">
        <v>2025</v>
      </c>
      <c r="B3781" t="s">
        <v>7525</v>
      </c>
      <c r="C3781" s="1">
        <v>45975</v>
      </c>
      <c r="D3781" t="s">
        <v>7526</v>
      </c>
      <c r="E3781" s="2">
        <v>2369.2800000000002</v>
      </c>
      <c r="G3781" s="3">
        <f>MONTH(Tabela1[[#This Row],[Último pagto ano]])</f>
        <v>11</v>
      </c>
      <c r="H3781" t="str">
        <f>TEXT(Tabela1[[#This Row],[Coluna2]]*29,"mmmm")</f>
        <v>novembro</v>
      </c>
      <c r="I3781" t="str">
        <f>TEXT(MONTH(Tabela1[[#This Row],[Último pagto ano]])*29,"mmmm")</f>
        <v>novembro</v>
      </c>
    </row>
    <row r="3782" spans="1:9" x14ac:dyDescent="0.25">
      <c r="A3782">
        <v>2025</v>
      </c>
      <c r="B3782" t="s">
        <v>7527</v>
      </c>
      <c r="C3782" s="1">
        <v>46006</v>
      </c>
      <c r="D3782" t="s">
        <v>7528</v>
      </c>
      <c r="E3782">
        <v>154</v>
      </c>
      <c r="G3782" s="3">
        <f>MONTH(Tabela1[[#This Row],[Último pagto ano]])</f>
        <v>12</v>
      </c>
      <c r="H3782" t="str">
        <f>TEXT(Tabela1[[#This Row],[Coluna2]]*29,"mmmm")</f>
        <v>dezembro</v>
      </c>
      <c r="I3782" t="str">
        <f>TEXT(MONTH(Tabela1[[#This Row],[Último pagto ano]])*29,"mmmm")</f>
        <v>dezembro</v>
      </c>
    </row>
    <row r="3783" spans="1:9" x14ac:dyDescent="0.25">
      <c r="A3783">
        <v>2025</v>
      </c>
      <c r="B3783" t="s">
        <v>7529</v>
      </c>
      <c r="C3783" s="1">
        <v>45726</v>
      </c>
      <c r="D3783" t="s">
        <v>7530</v>
      </c>
      <c r="E3783" s="2">
        <v>19836.64</v>
      </c>
      <c r="G3783" s="3">
        <f>MONTH(Tabela1[[#This Row],[Último pagto ano]])</f>
        <v>3</v>
      </c>
      <c r="H3783" t="str">
        <f>TEXT(Tabela1[[#This Row],[Coluna2]]*29,"mmmm")</f>
        <v>março</v>
      </c>
      <c r="I3783" t="str">
        <f>TEXT(MONTH(Tabela1[[#This Row],[Último pagto ano]])*29,"mmmm")</f>
        <v>março</v>
      </c>
    </row>
    <row r="3784" spans="1:9" x14ac:dyDescent="0.25">
      <c r="A3784">
        <v>2025</v>
      </c>
      <c r="B3784" t="s">
        <v>7531</v>
      </c>
      <c r="C3784" s="1">
        <v>45901</v>
      </c>
      <c r="D3784" t="s">
        <v>7532</v>
      </c>
      <c r="E3784">
        <v>44</v>
      </c>
      <c r="G3784" s="3">
        <f>MONTH(Tabela1[[#This Row],[Último pagto ano]])</f>
        <v>9</v>
      </c>
      <c r="H3784" t="str">
        <f>TEXT(Tabela1[[#This Row],[Coluna2]]*29,"mmmm")</f>
        <v>setembro</v>
      </c>
      <c r="I3784" t="str">
        <f>TEXT(MONTH(Tabela1[[#This Row],[Último pagto ano]])*29,"mmmm")</f>
        <v>setembro</v>
      </c>
    </row>
    <row r="3785" spans="1:9" x14ac:dyDescent="0.25">
      <c r="A3785">
        <v>2025</v>
      </c>
      <c r="B3785" t="s">
        <v>7533</v>
      </c>
      <c r="C3785" s="1">
        <v>46021</v>
      </c>
      <c r="D3785" t="s">
        <v>7534</v>
      </c>
      <c r="E3785" s="2">
        <v>12758.43</v>
      </c>
      <c r="G3785" s="3">
        <f>MONTH(Tabela1[[#This Row],[Último pagto ano]])</f>
        <v>12</v>
      </c>
      <c r="H3785" t="str">
        <f>TEXT(Tabela1[[#This Row],[Coluna2]]*29,"mmmm")</f>
        <v>dezembro</v>
      </c>
      <c r="I3785" t="str">
        <f>TEXT(MONTH(Tabela1[[#This Row],[Último pagto ano]])*29,"mmmm")</f>
        <v>dezembro</v>
      </c>
    </row>
    <row r="3786" spans="1:9" x14ac:dyDescent="0.25">
      <c r="A3786">
        <v>2025</v>
      </c>
      <c r="B3786" t="s">
        <v>7535</v>
      </c>
      <c r="C3786" s="1">
        <v>45672</v>
      </c>
      <c r="D3786" t="s">
        <v>7536</v>
      </c>
      <c r="E3786">
        <v>707.2</v>
      </c>
      <c r="G3786" s="3">
        <f>MONTH(Tabela1[[#This Row],[Último pagto ano]])</f>
        <v>1</v>
      </c>
      <c r="H3786" t="str">
        <f>TEXT(Tabela1[[#This Row],[Coluna2]]*29,"mmmm")</f>
        <v>janeiro</v>
      </c>
      <c r="I3786" t="str">
        <f>TEXT(MONTH(Tabela1[[#This Row],[Último pagto ano]])*29,"mmmm")</f>
        <v>janeiro</v>
      </c>
    </row>
    <row r="3787" spans="1:9" x14ac:dyDescent="0.25">
      <c r="A3787">
        <v>2025</v>
      </c>
      <c r="B3787" t="s">
        <v>7537</v>
      </c>
      <c r="C3787" s="1">
        <v>45959</v>
      </c>
      <c r="D3787" t="s">
        <v>7538</v>
      </c>
      <c r="E3787">
        <v>151.19999999999999</v>
      </c>
      <c r="G3787" s="3">
        <f>MONTH(Tabela1[[#This Row],[Último pagto ano]])</f>
        <v>10</v>
      </c>
      <c r="H3787" t="str">
        <f>TEXT(Tabela1[[#This Row],[Coluna2]]*29,"mmmm")</f>
        <v>outubro</v>
      </c>
      <c r="I3787" t="str">
        <f>TEXT(MONTH(Tabela1[[#This Row],[Último pagto ano]])*29,"mmmm")</f>
        <v>outubro</v>
      </c>
    </row>
    <row r="3788" spans="1:9" x14ac:dyDescent="0.25">
      <c r="A3788">
        <v>2025</v>
      </c>
      <c r="B3788" t="s">
        <v>7539</v>
      </c>
      <c r="C3788" s="1">
        <v>46006</v>
      </c>
      <c r="D3788" t="s">
        <v>7540</v>
      </c>
      <c r="E3788" s="2">
        <v>2062761.97</v>
      </c>
      <c r="G3788" s="3">
        <f>MONTH(Tabela1[[#This Row],[Último pagto ano]])</f>
        <v>12</v>
      </c>
      <c r="H3788" t="str">
        <f>TEXT(Tabela1[[#This Row],[Coluna2]]*29,"mmmm")</f>
        <v>dezembro</v>
      </c>
      <c r="I3788" t="str">
        <f>TEXT(MONTH(Tabela1[[#This Row],[Último pagto ano]])*29,"mmmm")</f>
        <v>dezembro</v>
      </c>
    </row>
    <row r="3789" spans="1:9" x14ac:dyDescent="0.25">
      <c r="A3789">
        <v>2025</v>
      </c>
      <c r="B3789" t="s">
        <v>7541</v>
      </c>
      <c r="C3789" s="1">
        <v>45737</v>
      </c>
      <c r="D3789" t="s">
        <v>7542</v>
      </c>
      <c r="E3789" s="2">
        <v>49286.720000000001</v>
      </c>
      <c r="G3789" s="3">
        <f>MONTH(Tabela1[[#This Row],[Último pagto ano]])</f>
        <v>3</v>
      </c>
      <c r="H3789" t="str">
        <f>TEXT(Tabela1[[#This Row],[Coluna2]]*29,"mmmm")</f>
        <v>março</v>
      </c>
      <c r="I3789" t="str">
        <f>TEXT(MONTH(Tabela1[[#This Row],[Último pagto ano]])*29,"mmmm")</f>
        <v>março</v>
      </c>
    </row>
    <row r="3790" spans="1:9" x14ac:dyDescent="0.25">
      <c r="A3790">
        <v>2025</v>
      </c>
      <c r="B3790" t="s">
        <v>7543</v>
      </c>
      <c r="C3790" s="1">
        <v>45817</v>
      </c>
      <c r="D3790" t="s">
        <v>7544</v>
      </c>
      <c r="E3790">
        <v>44</v>
      </c>
      <c r="G3790" s="3">
        <f>MONTH(Tabela1[[#This Row],[Último pagto ano]])</f>
        <v>6</v>
      </c>
      <c r="H3790" t="str">
        <f>TEXT(Tabela1[[#This Row],[Coluna2]]*29,"mmmm")</f>
        <v>junho</v>
      </c>
      <c r="I3790" t="str">
        <f>TEXT(MONTH(Tabela1[[#This Row],[Último pagto ano]])*29,"mmmm")</f>
        <v>junho</v>
      </c>
    </row>
    <row r="3791" spans="1:9" x14ac:dyDescent="0.25">
      <c r="A3791">
        <v>2025</v>
      </c>
      <c r="B3791" t="s">
        <v>7545</v>
      </c>
      <c r="C3791" s="1">
        <v>46006</v>
      </c>
      <c r="D3791" t="s">
        <v>7546</v>
      </c>
      <c r="E3791">
        <v>132</v>
      </c>
      <c r="G3791" s="3">
        <f>MONTH(Tabela1[[#This Row],[Último pagto ano]])</f>
        <v>12</v>
      </c>
      <c r="H3791" t="str">
        <f>TEXT(Tabela1[[#This Row],[Coluna2]]*29,"mmmm")</f>
        <v>dezembro</v>
      </c>
      <c r="I3791" t="str">
        <f>TEXT(MONTH(Tabela1[[#This Row],[Último pagto ano]])*29,"mmmm")</f>
        <v>dezembro</v>
      </c>
    </row>
    <row r="3792" spans="1:9" x14ac:dyDescent="0.25">
      <c r="A3792">
        <v>2025</v>
      </c>
      <c r="B3792" t="s">
        <v>7547</v>
      </c>
      <c r="C3792" s="1">
        <v>45740</v>
      </c>
      <c r="D3792" t="s">
        <v>7548</v>
      </c>
      <c r="E3792">
        <v>44</v>
      </c>
      <c r="G3792" s="3">
        <f>MONTH(Tabela1[[#This Row],[Último pagto ano]])</f>
        <v>3</v>
      </c>
      <c r="H3792" t="str">
        <f>TEXT(Tabela1[[#This Row],[Coluna2]]*29,"mmmm")</f>
        <v>março</v>
      </c>
      <c r="I3792" t="str">
        <f>TEXT(MONTH(Tabela1[[#This Row],[Último pagto ano]])*29,"mmmm")</f>
        <v>março</v>
      </c>
    </row>
    <row r="3793" spans="1:9" x14ac:dyDescent="0.25">
      <c r="A3793">
        <v>2025</v>
      </c>
      <c r="B3793" t="s">
        <v>7549</v>
      </c>
      <c r="C3793" s="1">
        <v>45702</v>
      </c>
      <c r="D3793" t="s">
        <v>7550</v>
      </c>
      <c r="E3793">
        <v>44</v>
      </c>
      <c r="G3793" s="3">
        <f>MONTH(Tabela1[[#This Row],[Último pagto ano]])</f>
        <v>2</v>
      </c>
      <c r="H3793" t="str">
        <f>TEXT(Tabela1[[#This Row],[Coluna2]]*29,"mmmm")</f>
        <v>fevereiro</v>
      </c>
      <c r="I3793" t="str">
        <f>TEXT(MONTH(Tabela1[[#This Row],[Último pagto ano]])*29,"mmmm")</f>
        <v>fevereiro</v>
      </c>
    </row>
    <row r="3794" spans="1:9" x14ac:dyDescent="0.25">
      <c r="A3794">
        <v>2025</v>
      </c>
      <c r="B3794" t="s">
        <v>7551</v>
      </c>
      <c r="C3794" s="1">
        <v>45761</v>
      </c>
      <c r="D3794" t="s">
        <v>7552</v>
      </c>
      <c r="E3794">
        <v>1.74</v>
      </c>
      <c r="G3794" s="3">
        <f>MONTH(Tabela1[[#This Row],[Último pagto ano]])</f>
        <v>4</v>
      </c>
      <c r="H3794" t="str">
        <f>TEXT(Tabela1[[#This Row],[Coluna2]]*29,"mmmm")</f>
        <v>abril</v>
      </c>
      <c r="I3794" t="str">
        <f>TEXT(MONTH(Tabela1[[#This Row],[Último pagto ano]])*29,"mmmm")</f>
        <v>abril</v>
      </c>
    </row>
    <row r="3795" spans="1:9" x14ac:dyDescent="0.25">
      <c r="A3795">
        <v>2025</v>
      </c>
      <c r="B3795" t="s">
        <v>7553</v>
      </c>
      <c r="C3795" s="1">
        <v>45937</v>
      </c>
      <c r="D3795" t="s">
        <v>7554</v>
      </c>
      <c r="E3795" s="2">
        <v>14000</v>
      </c>
      <c r="G3795" s="3">
        <f>MONTH(Tabela1[[#This Row],[Último pagto ano]])</f>
        <v>10</v>
      </c>
      <c r="H3795" t="str">
        <f>TEXT(Tabela1[[#This Row],[Coluna2]]*29,"mmmm")</f>
        <v>outubro</v>
      </c>
      <c r="I3795" t="str">
        <f>TEXT(MONTH(Tabela1[[#This Row],[Último pagto ano]])*29,"mmmm")</f>
        <v>outubro</v>
      </c>
    </row>
    <row r="3796" spans="1:9" x14ac:dyDescent="0.25">
      <c r="A3796">
        <v>2025</v>
      </c>
      <c r="B3796" t="s">
        <v>7555</v>
      </c>
      <c r="C3796" s="1">
        <v>46013</v>
      </c>
      <c r="D3796" t="s">
        <v>7556</v>
      </c>
      <c r="E3796" s="2">
        <v>9641.7000000000007</v>
      </c>
      <c r="G3796" s="3">
        <f>MONTH(Tabela1[[#This Row],[Último pagto ano]])</f>
        <v>12</v>
      </c>
      <c r="H3796" t="str">
        <f>TEXT(Tabela1[[#This Row],[Coluna2]]*29,"mmmm")</f>
        <v>dezembro</v>
      </c>
      <c r="I3796" t="str">
        <f>TEXT(MONTH(Tabela1[[#This Row],[Último pagto ano]])*29,"mmmm")</f>
        <v>dezembro</v>
      </c>
    </row>
    <row r="3797" spans="1:9" x14ac:dyDescent="0.25">
      <c r="A3797">
        <v>2025</v>
      </c>
      <c r="B3797" t="s">
        <v>7557</v>
      </c>
      <c r="C3797" s="1">
        <v>45989</v>
      </c>
      <c r="D3797" t="s">
        <v>7558</v>
      </c>
      <c r="E3797" s="2">
        <v>2973.36</v>
      </c>
      <c r="G3797" s="3">
        <f>MONTH(Tabela1[[#This Row],[Último pagto ano]])</f>
        <v>11</v>
      </c>
      <c r="H3797" t="str">
        <f>TEXT(Tabela1[[#This Row],[Coluna2]]*29,"mmmm")</f>
        <v>novembro</v>
      </c>
      <c r="I3797" t="str">
        <f>TEXT(MONTH(Tabela1[[#This Row],[Último pagto ano]])*29,"mmmm")</f>
        <v>novembro</v>
      </c>
    </row>
    <row r="3798" spans="1:9" x14ac:dyDescent="0.25">
      <c r="A3798">
        <v>2025</v>
      </c>
      <c r="B3798" t="s">
        <v>7559</v>
      </c>
      <c r="C3798" s="1">
        <v>45832</v>
      </c>
      <c r="D3798" t="s">
        <v>7560</v>
      </c>
      <c r="E3798" s="2">
        <v>4200</v>
      </c>
      <c r="G3798" s="3">
        <f>MONTH(Tabela1[[#This Row],[Último pagto ano]])</f>
        <v>6</v>
      </c>
      <c r="H3798" t="str">
        <f>TEXT(Tabela1[[#This Row],[Coluna2]]*29,"mmmm")</f>
        <v>junho</v>
      </c>
      <c r="I3798" t="str">
        <f>TEXT(MONTH(Tabela1[[#This Row],[Último pagto ano]])*29,"mmmm")</f>
        <v>junho</v>
      </c>
    </row>
    <row r="3799" spans="1:9" x14ac:dyDescent="0.25">
      <c r="A3799">
        <v>2025</v>
      </c>
      <c r="B3799" t="s">
        <v>7561</v>
      </c>
      <c r="C3799" s="1">
        <v>46014</v>
      </c>
      <c r="D3799" t="s">
        <v>7562</v>
      </c>
      <c r="E3799">
        <v>121</v>
      </c>
      <c r="G3799" s="3">
        <f>MONTH(Tabela1[[#This Row],[Último pagto ano]])</f>
        <v>12</v>
      </c>
      <c r="H3799" t="str">
        <f>TEXT(Tabela1[[#This Row],[Coluna2]]*29,"mmmm")</f>
        <v>dezembro</v>
      </c>
      <c r="I3799" t="str">
        <f>TEXT(MONTH(Tabela1[[#This Row],[Último pagto ano]])*29,"mmmm")</f>
        <v>dezembro</v>
      </c>
    </row>
    <row r="3800" spans="1:9" x14ac:dyDescent="0.25">
      <c r="A3800">
        <v>2025</v>
      </c>
      <c r="B3800" t="s">
        <v>7563</v>
      </c>
      <c r="C3800" s="1">
        <v>45800</v>
      </c>
      <c r="D3800" t="s">
        <v>7564</v>
      </c>
      <c r="E3800" s="2">
        <v>25331.4</v>
      </c>
      <c r="G3800" s="3">
        <f>MONTH(Tabela1[[#This Row],[Último pagto ano]])</f>
        <v>5</v>
      </c>
      <c r="H3800" t="str">
        <f>TEXT(Tabela1[[#This Row],[Coluna2]]*29,"mmmm")</f>
        <v>maio</v>
      </c>
      <c r="I3800" t="str">
        <f>TEXT(MONTH(Tabela1[[#This Row],[Último pagto ano]])*29,"mmmm")</f>
        <v>maio</v>
      </c>
    </row>
    <row r="3801" spans="1:9" x14ac:dyDescent="0.25">
      <c r="A3801">
        <v>2025</v>
      </c>
      <c r="B3801" t="s">
        <v>7565</v>
      </c>
      <c r="C3801" s="1">
        <v>45996</v>
      </c>
      <c r="D3801" t="s">
        <v>7566</v>
      </c>
      <c r="E3801" s="2">
        <v>23625</v>
      </c>
      <c r="G3801" s="3">
        <f>MONTH(Tabela1[[#This Row],[Último pagto ano]])</f>
        <v>12</v>
      </c>
      <c r="H3801" t="str">
        <f>TEXT(Tabela1[[#This Row],[Coluna2]]*29,"mmmm")</f>
        <v>dezembro</v>
      </c>
      <c r="I3801" t="str">
        <f>TEXT(MONTH(Tabela1[[#This Row],[Último pagto ano]])*29,"mmmm")</f>
        <v>dezembro</v>
      </c>
    </row>
    <row r="3802" spans="1:9" x14ac:dyDescent="0.25">
      <c r="A3802">
        <v>2025</v>
      </c>
      <c r="B3802" t="s">
        <v>7567</v>
      </c>
      <c r="C3802" s="1">
        <v>45989</v>
      </c>
      <c r="D3802" t="s">
        <v>7568</v>
      </c>
      <c r="E3802" s="2">
        <v>10177.209999999999</v>
      </c>
      <c r="G3802" s="3">
        <f>MONTH(Tabela1[[#This Row],[Último pagto ano]])</f>
        <v>11</v>
      </c>
      <c r="H3802" t="str">
        <f>TEXT(Tabela1[[#This Row],[Coluna2]]*29,"mmmm")</f>
        <v>novembro</v>
      </c>
      <c r="I3802" t="str">
        <f>TEXT(MONTH(Tabela1[[#This Row],[Último pagto ano]])*29,"mmmm")</f>
        <v>novembro</v>
      </c>
    </row>
    <row r="3803" spans="1:9" x14ac:dyDescent="0.25">
      <c r="A3803">
        <v>2025</v>
      </c>
      <c r="B3803" t="s">
        <v>7569</v>
      </c>
      <c r="C3803" s="1">
        <v>45783</v>
      </c>
      <c r="D3803" t="s">
        <v>7570</v>
      </c>
      <c r="E3803" s="2">
        <v>3594.96</v>
      </c>
      <c r="G3803" s="3">
        <f>MONTH(Tabela1[[#This Row],[Último pagto ano]])</f>
        <v>5</v>
      </c>
      <c r="H3803" t="str">
        <f>TEXT(Tabela1[[#This Row],[Coluna2]]*29,"mmmm")</f>
        <v>maio</v>
      </c>
      <c r="I3803" t="str">
        <f>TEXT(MONTH(Tabela1[[#This Row],[Último pagto ano]])*29,"mmmm")</f>
        <v>maio</v>
      </c>
    </row>
    <row r="3804" spans="1:9" x14ac:dyDescent="0.25">
      <c r="A3804">
        <v>2025</v>
      </c>
      <c r="B3804" t="s">
        <v>7571</v>
      </c>
      <c r="C3804" s="1">
        <v>45996</v>
      </c>
      <c r="D3804" t="s">
        <v>7572</v>
      </c>
      <c r="E3804" s="2">
        <v>2000</v>
      </c>
      <c r="G3804" s="3">
        <f>MONTH(Tabela1[[#This Row],[Último pagto ano]])</f>
        <v>12</v>
      </c>
      <c r="H3804" t="str">
        <f>TEXT(Tabela1[[#This Row],[Coluna2]]*29,"mmmm")</f>
        <v>dezembro</v>
      </c>
      <c r="I3804" t="str">
        <f>TEXT(MONTH(Tabela1[[#This Row],[Último pagto ano]])*29,"mmmm")</f>
        <v>dezembro</v>
      </c>
    </row>
    <row r="3805" spans="1:9" x14ac:dyDescent="0.25">
      <c r="A3805">
        <v>2025</v>
      </c>
      <c r="B3805" t="s">
        <v>7573</v>
      </c>
      <c r="C3805" s="1">
        <v>45968</v>
      </c>
      <c r="D3805" t="s">
        <v>7574</v>
      </c>
      <c r="E3805" s="2">
        <v>7500</v>
      </c>
      <c r="G3805" s="3">
        <f>MONTH(Tabela1[[#This Row],[Último pagto ano]])</f>
        <v>11</v>
      </c>
      <c r="H3805" t="str">
        <f>TEXT(Tabela1[[#This Row],[Coluna2]]*29,"mmmm")</f>
        <v>novembro</v>
      </c>
      <c r="I3805" t="str">
        <f>TEXT(MONTH(Tabela1[[#This Row],[Último pagto ano]])*29,"mmmm")</f>
        <v>novembro</v>
      </c>
    </row>
    <row r="3806" spans="1:9" x14ac:dyDescent="0.25">
      <c r="A3806">
        <v>2025</v>
      </c>
      <c r="B3806" t="s">
        <v>7575</v>
      </c>
      <c r="C3806" s="1">
        <v>45996</v>
      </c>
      <c r="D3806" t="s">
        <v>7576</v>
      </c>
      <c r="E3806" s="2">
        <v>5500</v>
      </c>
      <c r="G3806" s="3">
        <f>MONTH(Tabela1[[#This Row],[Último pagto ano]])</f>
        <v>12</v>
      </c>
      <c r="H3806" t="str">
        <f>TEXT(Tabela1[[#This Row],[Coluna2]]*29,"mmmm")</f>
        <v>dezembro</v>
      </c>
      <c r="I3806" t="str">
        <f>TEXT(MONTH(Tabela1[[#This Row],[Último pagto ano]])*29,"mmmm")</f>
        <v>dezembro</v>
      </c>
    </row>
    <row r="3807" spans="1:9" x14ac:dyDescent="0.25">
      <c r="A3807">
        <v>2025</v>
      </c>
      <c r="B3807" t="s">
        <v>7577</v>
      </c>
      <c r="C3807" s="1">
        <v>45989</v>
      </c>
      <c r="D3807" t="s">
        <v>7578</v>
      </c>
      <c r="E3807" s="2">
        <v>10615.2</v>
      </c>
      <c r="G3807" s="3">
        <f>MONTH(Tabela1[[#This Row],[Último pagto ano]])</f>
        <v>11</v>
      </c>
      <c r="H3807" t="str">
        <f>TEXT(Tabela1[[#This Row],[Coluna2]]*29,"mmmm")</f>
        <v>novembro</v>
      </c>
      <c r="I3807" t="str">
        <f>TEXT(MONTH(Tabela1[[#This Row],[Último pagto ano]])*29,"mmmm")</f>
        <v>novembro</v>
      </c>
    </row>
    <row r="3808" spans="1:9" x14ac:dyDescent="0.25">
      <c r="A3808">
        <v>2025</v>
      </c>
      <c r="B3808" t="s">
        <v>7579</v>
      </c>
      <c r="C3808" s="1">
        <v>45989</v>
      </c>
      <c r="D3808" t="s">
        <v>7580</v>
      </c>
      <c r="E3808" s="2">
        <v>10524.61</v>
      </c>
      <c r="G3808" s="3">
        <f>MONTH(Tabela1[[#This Row],[Último pagto ano]])</f>
        <v>11</v>
      </c>
      <c r="H3808" t="str">
        <f>TEXT(Tabela1[[#This Row],[Coluna2]]*29,"mmmm")</f>
        <v>novembro</v>
      </c>
      <c r="I3808" t="str">
        <f>TEXT(MONTH(Tabela1[[#This Row],[Último pagto ano]])*29,"mmmm")</f>
        <v>novembro</v>
      </c>
    </row>
    <row r="3809" spans="1:9" x14ac:dyDescent="0.25">
      <c r="A3809">
        <v>2025</v>
      </c>
      <c r="B3809" t="s">
        <v>7581</v>
      </c>
      <c r="C3809" s="1">
        <v>45996</v>
      </c>
      <c r="D3809" t="s">
        <v>7582</v>
      </c>
      <c r="E3809" s="2">
        <v>2000</v>
      </c>
      <c r="G3809" s="3">
        <f>MONTH(Tabela1[[#This Row],[Último pagto ano]])</f>
        <v>12</v>
      </c>
      <c r="H3809" t="str">
        <f>TEXT(Tabela1[[#This Row],[Coluna2]]*29,"mmmm")</f>
        <v>dezembro</v>
      </c>
      <c r="I3809" t="str">
        <f>TEXT(MONTH(Tabela1[[#This Row],[Último pagto ano]])*29,"mmmm")</f>
        <v>dezembro</v>
      </c>
    </row>
    <row r="3810" spans="1:9" x14ac:dyDescent="0.25">
      <c r="A3810">
        <v>2025</v>
      </c>
      <c r="B3810" t="s">
        <v>7583</v>
      </c>
      <c r="C3810" s="1">
        <v>45702</v>
      </c>
      <c r="D3810" t="s">
        <v>7584</v>
      </c>
      <c r="E3810">
        <v>47.99</v>
      </c>
      <c r="G3810" s="3">
        <f>MONTH(Tabela1[[#This Row],[Último pagto ano]])</f>
        <v>2</v>
      </c>
      <c r="H3810" t="str">
        <f>TEXT(Tabela1[[#This Row],[Coluna2]]*29,"mmmm")</f>
        <v>fevereiro</v>
      </c>
      <c r="I3810" t="str">
        <f>TEXT(MONTH(Tabela1[[#This Row],[Último pagto ano]])*29,"mmmm")</f>
        <v>fevereiro</v>
      </c>
    </row>
    <row r="3811" spans="1:9" x14ac:dyDescent="0.25">
      <c r="A3811">
        <v>2025</v>
      </c>
      <c r="B3811" t="s">
        <v>7585</v>
      </c>
      <c r="C3811" s="1">
        <v>45702</v>
      </c>
      <c r="D3811" t="s">
        <v>7586</v>
      </c>
      <c r="E3811">
        <v>24.53</v>
      </c>
      <c r="G3811" s="3">
        <f>MONTH(Tabela1[[#This Row],[Último pagto ano]])</f>
        <v>2</v>
      </c>
      <c r="H3811" t="str">
        <f>TEXT(Tabela1[[#This Row],[Coluna2]]*29,"mmmm")</f>
        <v>fevereiro</v>
      </c>
      <c r="I3811" t="str">
        <f>TEXT(MONTH(Tabela1[[#This Row],[Último pagto ano]])*29,"mmmm")</f>
        <v>fevereiro</v>
      </c>
    </row>
    <row r="3812" spans="1:9" x14ac:dyDescent="0.25">
      <c r="A3812">
        <v>2025</v>
      </c>
      <c r="B3812" t="s">
        <v>7587</v>
      </c>
      <c r="C3812" s="1">
        <v>45702</v>
      </c>
      <c r="D3812" t="s">
        <v>7588</v>
      </c>
      <c r="E3812">
        <v>596.49</v>
      </c>
      <c r="G3812" s="3">
        <f>MONTH(Tabela1[[#This Row],[Último pagto ano]])</f>
        <v>2</v>
      </c>
      <c r="H3812" t="str">
        <f>TEXT(Tabela1[[#This Row],[Coluna2]]*29,"mmmm")</f>
        <v>fevereiro</v>
      </c>
      <c r="I3812" t="str">
        <f>TEXT(MONTH(Tabela1[[#This Row],[Último pagto ano]])*29,"mmmm")</f>
        <v>fevereiro</v>
      </c>
    </row>
    <row r="3813" spans="1:9" x14ac:dyDescent="0.25">
      <c r="A3813">
        <v>2025</v>
      </c>
      <c r="B3813" t="s">
        <v>7589</v>
      </c>
      <c r="C3813" s="1">
        <v>46021</v>
      </c>
      <c r="D3813" t="s">
        <v>7590</v>
      </c>
      <c r="E3813" s="2">
        <v>7521.27</v>
      </c>
      <c r="G3813" s="3">
        <f>MONTH(Tabela1[[#This Row],[Último pagto ano]])</f>
        <v>12</v>
      </c>
      <c r="H3813" t="str">
        <f>TEXT(Tabela1[[#This Row],[Coluna2]]*29,"mmmm")</f>
        <v>dezembro</v>
      </c>
      <c r="I3813" t="str">
        <f>TEXT(MONTH(Tabela1[[#This Row],[Último pagto ano]])*29,"mmmm")</f>
        <v>dezembro</v>
      </c>
    </row>
    <row r="3814" spans="1:9" x14ac:dyDescent="0.25">
      <c r="A3814">
        <v>2025</v>
      </c>
      <c r="B3814" t="s">
        <v>7591</v>
      </c>
      <c r="C3814" s="1">
        <v>46021</v>
      </c>
      <c r="D3814" t="s">
        <v>7592</v>
      </c>
      <c r="E3814" s="2">
        <v>7998.6</v>
      </c>
      <c r="G3814" s="3">
        <f>MONTH(Tabela1[[#This Row],[Último pagto ano]])</f>
        <v>12</v>
      </c>
      <c r="H3814" t="str">
        <f>TEXT(Tabela1[[#This Row],[Coluna2]]*29,"mmmm")</f>
        <v>dezembro</v>
      </c>
      <c r="I3814" t="str">
        <f>TEXT(MONTH(Tabela1[[#This Row],[Último pagto ano]])*29,"mmmm")</f>
        <v>dezembro</v>
      </c>
    </row>
    <row r="3815" spans="1:9" x14ac:dyDescent="0.25">
      <c r="A3815">
        <v>2025</v>
      </c>
      <c r="B3815" t="s">
        <v>7593</v>
      </c>
      <c r="C3815" s="1">
        <v>45702</v>
      </c>
      <c r="D3815" t="s">
        <v>7594</v>
      </c>
      <c r="E3815">
        <v>895.35</v>
      </c>
      <c r="G3815" s="3">
        <f>MONTH(Tabela1[[#This Row],[Último pagto ano]])</f>
        <v>2</v>
      </c>
      <c r="H3815" t="str">
        <f>TEXT(Tabela1[[#This Row],[Coluna2]]*29,"mmmm")</f>
        <v>fevereiro</v>
      </c>
      <c r="I3815" t="str">
        <f>TEXT(MONTH(Tabela1[[#This Row],[Último pagto ano]])*29,"mmmm")</f>
        <v>fevereiro</v>
      </c>
    </row>
    <row r="3816" spans="1:9" x14ac:dyDescent="0.25">
      <c r="A3816">
        <v>2025</v>
      </c>
      <c r="B3816" t="s">
        <v>7595</v>
      </c>
      <c r="C3816" s="1">
        <v>45978</v>
      </c>
      <c r="D3816" t="s">
        <v>7596</v>
      </c>
      <c r="E3816">
        <v>440</v>
      </c>
      <c r="G3816" s="3">
        <f>MONTH(Tabela1[[#This Row],[Último pagto ano]])</f>
        <v>11</v>
      </c>
      <c r="H3816" t="str">
        <f>TEXT(Tabela1[[#This Row],[Coluna2]]*29,"mmmm")</f>
        <v>novembro</v>
      </c>
      <c r="I3816" t="str">
        <f>TEXT(MONTH(Tabela1[[#This Row],[Último pagto ano]])*29,"mmmm")</f>
        <v>novembro</v>
      </c>
    </row>
    <row r="3817" spans="1:9" x14ac:dyDescent="0.25">
      <c r="A3817">
        <v>2025</v>
      </c>
      <c r="B3817" t="s">
        <v>7597</v>
      </c>
      <c r="C3817" s="1">
        <v>46021</v>
      </c>
      <c r="D3817" t="s">
        <v>7598</v>
      </c>
      <c r="E3817" s="2">
        <v>7597.9</v>
      </c>
      <c r="G3817" s="3">
        <f>MONTH(Tabela1[[#This Row],[Último pagto ano]])</f>
        <v>12</v>
      </c>
      <c r="H3817" t="str">
        <f>TEXT(Tabela1[[#This Row],[Coluna2]]*29,"mmmm")</f>
        <v>dezembro</v>
      </c>
      <c r="I3817" t="str">
        <f>TEXT(MONTH(Tabela1[[#This Row],[Último pagto ano]])*29,"mmmm")</f>
        <v>dezembro</v>
      </c>
    </row>
    <row r="3818" spans="1:9" x14ac:dyDescent="0.25">
      <c r="A3818">
        <v>2025</v>
      </c>
      <c r="B3818" t="s">
        <v>7599</v>
      </c>
      <c r="C3818" s="1">
        <v>45754</v>
      </c>
      <c r="D3818" t="s">
        <v>7600</v>
      </c>
      <c r="E3818" s="2">
        <v>4956</v>
      </c>
      <c r="G3818" s="3">
        <f>MONTH(Tabela1[[#This Row],[Último pagto ano]])</f>
        <v>4</v>
      </c>
      <c r="H3818" t="str">
        <f>TEXT(Tabela1[[#This Row],[Coluna2]]*29,"mmmm")</f>
        <v>abril</v>
      </c>
      <c r="I3818" t="str">
        <f>TEXT(MONTH(Tabela1[[#This Row],[Último pagto ano]])*29,"mmmm")</f>
        <v>abril</v>
      </c>
    </row>
    <row r="3819" spans="1:9" x14ac:dyDescent="0.25">
      <c r="A3819">
        <v>2025</v>
      </c>
      <c r="B3819" t="s">
        <v>7601</v>
      </c>
      <c r="C3819" s="1">
        <v>45769</v>
      </c>
      <c r="D3819" t="s">
        <v>7602</v>
      </c>
      <c r="E3819" s="2">
        <v>8000</v>
      </c>
      <c r="G3819" s="3">
        <f>MONTH(Tabela1[[#This Row],[Último pagto ano]])</f>
        <v>4</v>
      </c>
      <c r="H3819" t="str">
        <f>TEXT(Tabela1[[#This Row],[Coluna2]]*29,"mmmm")</f>
        <v>abril</v>
      </c>
      <c r="I3819" t="str">
        <f>TEXT(MONTH(Tabela1[[#This Row],[Último pagto ano]])*29,"mmmm")</f>
        <v>abril</v>
      </c>
    </row>
    <row r="3820" spans="1:9" x14ac:dyDescent="0.25">
      <c r="A3820">
        <v>2025</v>
      </c>
      <c r="B3820" t="s">
        <v>7603</v>
      </c>
      <c r="C3820" s="1">
        <v>45950</v>
      </c>
      <c r="D3820" t="s">
        <v>7604</v>
      </c>
      <c r="E3820">
        <v>22</v>
      </c>
      <c r="G3820" s="3">
        <f>MONTH(Tabela1[[#This Row],[Último pagto ano]])</f>
        <v>10</v>
      </c>
      <c r="H3820" t="str">
        <f>TEXT(Tabela1[[#This Row],[Coluna2]]*29,"mmmm")</f>
        <v>outubro</v>
      </c>
      <c r="I3820" t="str">
        <f>TEXT(MONTH(Tabela1[[#This Row],[Último pagto ano]])*29,"mmmm")</f>
        <v>outubro</v>
      </c>
    </row>
    <row r="3821" spans="1:9" x14ac:dyDescent="0.25">
      <c r="A3821">
        <v>2025</v>
      </c>
      <c r="B3821" t="s">
        <v>7605</v>
      </c>
      <c r="C3821" s="1">
        <v>45989</v>
      </c>
      <c r="D3821" t="s">
        <v>7606</v>
      </c>
      <c r="E3821" s="2">
        <v>5766.74</v>
      </c>
      <c r="G3821" s="3">
        <f>MONTH(Tabela1[[#This Row],[Último pagto ano]])</f>
        <v>11</v>
      </c>
      <c r="H3821" t="str">
        <f>TEXT(Tabela1[[#This Row],[Coluna2]]*29,"mmmm")</f>
        <v>novembro</v>
      </c>
      <c r="I3821" t="str">
        <f>TEXT(MONTH(Tabela1[[#This Row],[Último pagto ano]])*29,"mmmm")</f>
        <v>novembro</v>
      </c>
    </row>
    <row r="3822" spans="1:9" x14ac:dyDescent="0.25">
      <c r="A3822">
        <v>2025</v>
      </c>
      <c r="B3822" t="s">
        <v>7607</v>
      </c>
      <c r="C3822" s="1">
        <v>46010</v>
      </c>
      <c r="D3822" t="s">
        <v>7608</v>
      </c>
      <c r="E3822" s="2">
        <v>24000</v>
      </c>
      <c r="G3822" s="3">
        <f>MONTH(Tabela1[[#This Row],[Último pagto ano]])</f>
        <v>12</v>
      </c>
      <c r="H3822" t="str">
        <f>TEXT(Tabela1[[#This Row],[Coluna2]]*29,"mmmm")</f>
        <v>dezembro</v>
      </c>
      <c r="I3822" t="str">
        <f>TEXT(MONTH(Tabela1[[#This Row],[Último pagto ano]])*29,"mmmm")</f>
        <v>dezembro</v>
      </c>
    </row>
    <row r="3823" spans="1:9" x14ac:dyDescent="0.25">
      <c r="A3823">
        <v>2025</v>
      </c>
      <c r="B3823" t="s">
        <v>7609</v>
      </c>
      <c r="C3823" s="1">
        <v>45868</v>
      </c>
      <c r="D3823" t="s">
        <v>7610</v>
      </c>
      <c r="E3823" s="2">
        <v>4653.9399999999996</v>
      </c>
      <c r="G3823" s="3">
        <f>MONTH(Tabela1[[#This Row],[Último pagto ano]])</f>
        <v>7</v>
      </c>
      <c r="H3823" t="str">
        <f>TEXT(Tabela1[[#This Row],[Coluna2]]*29,"mmmm")</f>
        <v>julho</v>
      </c>
      <c r="I3823" t="str">
        <f>TEXT(MONTH(Tabela1[[#This Row],[Último pagto ano]])*29,"mmmm")</f>
        <v>julho</v>
      </c>
    </row>
    <row r="3824" spans="1:9" x14ac:dyDescent="0.25">
      <c r="A3824">
        <v>2025</v>
      </c>
      <c r="B3824" t="s">
        <v>7611</v>
      </c>
      <c r="C3824" s="1">
        <v>45989</v>
      </c>
      <c r="D3824" t="s">
        <v>7612</v>
      </c>
      <c r="E3824" s="2">
        <v>9791.61</v>
      </c>
      <c r="G3824" s="3">
        <f>MONTH(Tabela1[[#This Row],[Último pagto ano]])</f>
        <v>11</v>
      </c>
      <c r="H3824" t="str">
        <f>TEXT(Tabela1[[#This Row],[Coluna2]]*29,"mmmm")</f>
        <v>novembro</v>
      </c>
      <c r="I3824" t="str">
        <f>TEXT(MONTH(Tabela1[[#This Row],[Último pagto ano]])*29,"mmmm")</f>
        <v>novembro</v>
      </c>
    </row>
    <row r="3825" spans="1:9" x14ac:dyDescent="0.25">
      <c r="A3825">
        <v>2025</v>
      </c>
      <c r="B3825" t="s">
        <v>7613</v>
      </c>
      <c r="C3825" s="1">
        <v>45898</v>
      </c>
      <c r="D3825" t="s">
        <v>7614</v>
      </c>
      <c r="E3825" s="2">
        <v>8205.7900000000009</v>
      </c>
      <c r="G3825" s="3">
        <f>MONTH(Tabela1[[#This Row],[Último pagto ano]])</f>
        <v>8</v>
      </c>
      <c r="H3825" t="str">
        <f>TEXT(Tabela1[[#This Row],[Coluna2]]*29,"mmmm")</f>
        <v>agosto</v>
      </c>
      <c r="I3825" t="str">
        <f>TEXT(MONTH(Tabela1[[#This Row],[Último pagto ano]])*29,"mmmm")</f>
        <v>agosto</v>
      </c>
    </row>
    <row r="3826" spans="1:9" x14ac:dyDescent="0.25">
      <c r="A3826">
        <v>2025</v>
      </c>
      <c r="B3826" t="s">
        <v>7615</v>
      </c>
      <c r="C3826" s="1">
        <v>45996</v>
      </c>
      <c r="D3826" t="s">
        <v>7616</v>
      </c>
      <c r="E3826" s="2">
        <v>16583.75</v>
      </c>
      <c r="G3826" s="3">
        <f>MONTH(Tabela1[[#This Row],[Último pagto ano]])</f>
        <v>12</v>
      </c>
      <c r="H3826" t="str">
        <f>TEXT(Tabela1[[#This Row],[Coluna2]]*29,"mmmm")</f>
        <v>dezembro</v>
      </c>
      <c r="I3826" t="str">
        <f>TEXT(MONTH(Tabela1[[#This Row],[Último pagto ano]])*29,"mmmm")</f>
        <v>dezembro</v>
      </c>
    </row>
    <row r="3827" spans="1:9" x14ac:dyDescent="0.25">
      <c r="A3827">
        <v>2025</v>
      </c>
      <c r="B3827" t="s">
        <v>7617</v>
      </c>
      <c r="C3827" s="1">
        <v>45673</v>
      </c>
      <c r="D3827" t="s">
        <v>7618</v>
      </c>
      <c r="E3827" s="2">
        <v>1499.99</v>
      </c>
      <c r="G3827" s="3">
        <f>MONTH(Tabela1[[#This Row],[Último pagto ano]])</f>
        <v>1</v>
      </c>
      <c r="H3827" t="str">
        <f>TEXT(Tabela1[[#This Row],[Coluna2]]*29,"mmmm")</f>
        <v>janeiro</v>
      </c>
      <c r="I3827" t="str">
        <f>TEXT(MONTH(Tabela1[[#This Row],[Último pagto ano]])*29,"mmmm")</f>
        <v>janeiro</v>
      </c>
    </row>
    <row r="3828" spans="1:9" x14ac:dyDescent="0.25">
      <c r="A3828">
        <v>2025</v>
      </c>
      <c r="B3828" t="s">
        <v>7619</v>
      </c>
      <c r="C3828" s="1">
        <v>46014</v>
      </c>
      <c r="D3828" t="s">
        <v>7620</v>
      </c>
      <c r="E3828">
        <v>304.2</v>
      </c>
      <c r="G3828" s="3">
        <f>MONTH(Tabela1[[#This Row],[Último pagto ano]])</f>
        <v>12</v>
      </c>
      <c r="H3828" t="str">
        <f>TEXT(Tabela1[[#This Row],[Coluna2]]*29,"mmmm")</f>
        <v>dezembro</v>
      </c>
      <c r="I3828" t="str">
        <f>TEXT(MONTH(Tabela1[[#This Row],[Último pagto ano]])*29,"mmmm")</f>
        <v>dezembro</v>
      </c>
    </row>
    <row r="3829" spans="1:9" x14ac:dyDescent="0.25">
      <c r="A3829">
        <v>2025</v>
      </c>
      <c r="B3829" t="s">
        <v>7621</v>
      </c>
      <c r="C3829" s="1">
        <v>45684</v>
      </c>
      <c r="D3829" t="s">
        <v>7622</v>
      </c>
      <c r="E3829">
        <v>11</v>
      </c>
      <c r="G3829" s="3">
        <f>MONTH(Tabela1[[#This Row],[Último pagto ano]])</f>
        <v>1</v>
      </c>
      <c r="H3829" t="str">
        <f>TEXT(Tabela1[[#This Row],[Coluna2]]*29,"mmmm")</f>
        <v>janeiro</v>
      </c>
      <c r="I3829" t="str">
        <f>TEXT(MONTH(Tabela1[[#This Row],[Último pagto ano]])*29,"mmmm")</f>
        <v>janeiro</v>
      </c>
    </row>
    <row r="3830" spans="1:9" x14ac:dyDescent="0.25">
      <c r="A3830">
        <v>2025</v>
      </c>
      <c r="B3830" t="s">
        <v>7623</v>
      </c>
      <c r="C3830" s="1">
        <v>45996</v>
      </c>
      <c r="D3830" t="s">
        <v>7624</v>
      </c>
      <c r="E3830" s="2">
        <v>6960.6</v>
      </c>
      <c r="G3830" s="3">
        <f>MONTH(Tabela1[[#This Row],[Último pagto ano]])</f>
        <v>12</v>
      </c>
      <c r="H3830" t="str">
        <f>TEXT(Tabela1[[#This Row],[Coluna2]]*29,"mmmm")</f>
        <v>dezembro</v>
      </c>
      <c r="I3830" t="str">
        <f>TEXT(MONTH(Tabela1[[#This Row],[Último pagto ano]])*29,"mmmm")</f>
        <v>dezembro</v>
      </c>
    </row>
    <row r="3831" spans="1:9" x14ac:dyDescent="0.25">
      <c r="A3831">
        <v>2025</v>
      </c>
      <c r="B3831" t="s">
        <v>7625</v>
      </c>
      <c r="C3831" s="1">
        <v>46021</v>
      </c>
      <c r="D3831" t="s">
        <v>7626</v>
      </c>
      <c r="E3831" s="2">
        <v>10084.41</v>
      </c>
      <c r="G3831" s="3">
        <f>MONTH(Tabela1[[#This Row],[Último pagto ano]])</f>
        <v>12</v>
      </c>
      <c r="H3831" t="str">
        <f>TEXT(Tabela1[[#This Row],[Coluna2]]*29,"mmmm")</f>
        <v>dezembro</v>
      </c>
      <c r="I3831" t="str">
        <f>TEXT(MONTH(Tabela1[[#This Row],[Último pagto ano]])*29,"mmmm")</f>
        <v>dezembro</v>
      </c>
    </row>
    <row r="3832" spans="1:9" x14ac:dyDescent="0.25">
      <c r="A3832">
        <v>2025</v>
      </c>
      <c r="B3832" t="s">
        <v>7627</v>
      </c>
      <c r="C3832" s="1">
        <v>45996</v>
      </c>
      <c r="D3832" t="s">
        <v>7628</v>
      </c>
      <c r="E3832" s="2">
        <v>4500</v>
      </c>
      <c r="G3832" s="3">
        <f>MONTH(Tabela1[[#This Row],[Último pagto ano]])</f>
        <v>12</v>
      </c>
      <c r="H3832" t="str">
        <f>TEXT(Tabela1[[#This Row],[Coluna2]]*29,"mmmm")</f>
        <v>dezembro</v>
      </c>
      <c r="I3832" t="str">
        <f>TEXT(MONTH(Tabela1[[#This Row],[Último pagto ano]])*29,"mmmm")</f>
        <v>dezembro</v>
      </c>
    </row>
    <row r="3833" spans="1:9" x14ac:dyDescent="0.25">
      <c r="A3833">
        <v>2025</v>
      </c>
      <c r="B3833" t="s">
        <v>7629</v>
      </c>
      <c r="C3833" s="1">
        <v>46021</v>
      </c>
      <c r="D3833" t="s">
        <v>7630</v>
      </c>
      <c r="E3833">
        <v>846.48</v>
      </c>
      <c r="G3833" s="3">
        <f>MONTH(Tabela1[[#This Row],[Último pagto ano]])</f>
        <v>12</v>
      </c>
      <c r="H3833" t="str">
        <f>TEXT(Tabela1[[#This Row],[Coluna2]]*29,"mmmm")</f>
        <v>dezembro</v>
      </c>
      <c r="I3833" t="str">
        <f>TEXT(MONTH(Tabela1[[#This Row],[Último pagto ano]])*29,"mmmm")</f>
        <v>dezembro</v>
      </c>
    </row>
    <row r="3834" spans="1:9" x14ac:dyDescent="0.25">
      <c r="A3834">
        <v>2025</v>
      </c>
      <c r="B3834" t="s">
        <v>7631</v>
      </c>
      <c r="C3834" s="1">
        <v>46010</v>
      </c>
      <c r="D3834" t="s">
        <v>7632</v>
      </c>
      <c r="E3834" s="2">
        <v>24000</v>
      </c>
      <c r="G3834" s="3">
        <f>MONTH(Tabela1[[#This Row],[Último pagto ano]])</f>
        <v>12</v>
      </c>
      <c r="H3834" t="str">
        <f>TEXT(Tabela1[[#This Row],[Coluna2]]*29,"mmmm")</f>
        <v>dezembro</v>
      </c>
      <c r="I3834" t="str">
        <f>TEXT(MONTH(Tabela1[[#This Row],[Último pagto ano]])*29,"mmmm")</f>
        <v>dezembro</v>
      </c>
    </row>
    <row r="3835" spans="1:9" x14ac:dyDescent="0.25">
      <c r="A3835">
        <v>2025</v>
      </c>
      <c r="B3835" t="s">
        <v>7633</v>
      </c>
      <c r="C3835" s="1">
        <v>45985</v>
      </c>
      <c r="D3835" t="s">
        <v>7634</v>
      </c>
      <c r="E3835">
        <v>88</v>
      </c>
      <c r="G3835" s="3">
        <f>MONTH(Tabela1[[#This Row],[Último pagto ano]])</f>
        <v>11</v>
      </c>
      <c r="H3835" t="str">
        <f>TEXT(Tabela1[[#This Row],[Coluna2]]*29,"mmmm")</f>
        <v>novembro</v>
      </c>
      <c r="I3835" t="str">
        <f>TEXT(MONTH(Tabela1[[#This Row],[Último pagto ano]])*29,"mmmm")</f>
        <v>novembro</v>
      </c>
    </row>
    <row r="3836" spans="1:9" x14ac:dyDescent="0.25">
      <c r="A3836">
        <v>2025</v>
      </c>
      <c r="B3836" t="s">
        <v>7633</v>
      </c>
      <c r="C3836" s="1">
        <v>45866</v>
      </c>
      <c r="D3836" t="s">
        <v>7635</v>
      </c>
      <c r="E3836">
        <v>121</v>
      </c>
      <c r="G3836" s="3">
        <f>MONTH(Tabela1[[#This Row],[Último pagto ano]])</f>
        <v>7</v>
      </c>
      <c r="H3836" t="str">
        <f>TEXT(Tabela1[[#This Row],[Coluna2]]*29,"mmmm")</f>
        <v>julho</v>
      </c>
      <c r="I3836" t="str">
        <f>TEXT(MONTH(Tabela1[[#This Row],[Último pagto ano]])*29,"mmmm")</f>
        <v>julho</v>
      </c>
    </row>
    <row r="3837" spans="1:9" x14ac:dyDescent="0.25">
      <c r="A3837">
        <v>2025</v>
      </c>
      <c r="B3837" t="s">
        <v>7636</v>
      </c>
      <c r="C3837" s="1">
        <v>45838</v>
      </c>
      <c r="D3837" t="s">
        <v>7637</v>
      </c>
      <c r="E3837" s="2">
        <v>2775.96</v>
      </c>
      <c r="G3837" s="3">
        <f>MONTH(Tabela1[[#This Row],[Último pagto ano]])</f>
        <v>6</v>
      </c>
      <c r="H3837" t="str">
        <f>TEXT(Tabela1[[#This Row],[Coluna2]]*29,"mmmm")</f>
        <v>junho</v>
      </c>
      <c r="I3837" t="str">
        <f>TEXT(MONTH(Tabela1[[#This Row],[Último pagto ano]])*29,"mmmm")</f>
        <v>junho</v>
      </c>
    </row>
    <row r="3838" spans="1:9" x14ac:dyDescent="0.25">
      <c r="A3838">
        <v>2025</v>
      </c>
      <c r="B3838" t="s">
        <v>7638</v>
      </c>
      <c r="C3838" s="1">
        <v>45989</v>
      </c>
      <c r="D3838" t="s">
        <v>7639</v>
      </c>
      <c r="E3838" s="2">
        <v>4144.97</v>
      </c>
      <c r="G3838" s="3">
        <f>MONTH(Tabela1[[#This Row],[Último pagto ano]])</f>
        <v>11</v>
      </c>
      <c r="H3838" t="str">
        <f>TEXT(Tabela1[[#This Row],[Coluna2]]*29,"mmmm")</f>
        <v>novembro</v>
      </c>
      <c r="I3838" t="str">
        <f>TEXT(MONTH(Tabela1[[#This Row],[Último pagto ano]])*29,"mmmm")</f>
        <v>novembro</v>
      </c>
    </row>
    <row r="3839" spans="1:9" x14ac:dyDescent="0.25">
      <c r="A3839">
        <v>2025</v>
      </c>
      <c r="B3839" t="s">
        <v>7640</v>
      </c>
      <c r="C3839" s="1">
        <v>45964</v>
      </c>
      <c r="D3839" t="s">
        <v>7641</v>
      </c>
      <c r="E3839">
        <v>66</v>
      </c>
      <c r="G3839" s="3">
        <f>MONTH(Tabela1[[#This Row],[Último pagto ano]])</f>
        <v>11</v>
      </c>
      <c r="H3839" t="str">
        <f>TEXT(Tabela1[[#This Row],[Coluna2]]*29,"mmmm")</f>
        <v>novembro</v>
      </c>
      <c r="I3839" t="str">
        <f>TEXT(MONTH(Tabela1[[#This Row],[Último pagto ano]])*29,"mmmm")</f>
        <v>novembro</v>
      </c>
    </row>
    <row r="3840" spans="1:9" x14ac:dyDescent="0.25">
      <c r="A3840">
        <v>2025</v>
      </c>
      <c r="B3840" t="s">
        <v>7642</v>
      </c>
      <c r="C3840" s="1">
        <v>45996</v>
      </c>
      <c r="D3840" t="s">
        <v>7643</v>
      </c>
      <c r="E3840" s="2">
        <v>10800</v>
      </c>
      <c r="G3840" s="3">
        <f>MONTH(Tabela1[[#This Row],[Último pagto ano]])</f>
        <v>12</v>
      </c>
      <c r="H3840" t="str">
        <f>TEXT(Tabela1[[#This Row],[Coluna2]]*29,"mmmm")</f>
        <v>dezembro</v>
      </c>
      <c r="I3840" t="str">
        <f>TEXT(MONTH(Tabela1[[#This Row],[Último pagto ano]])*29,"mmmm")</f>
        <v>dezembro</v>
      </c>
    </row>
    <row r="3841" spans="1:9" x14ac:dyDescent="0.25">
      <c r="A3841">
        <v>2025</v>
      </c>
      <c r="B3841" t="s">
        <v>7644</v>
      </c>
      <c r="C3841" s="1">
        <v>45883</v>
      </c>
      <c r="D3841" t="s">
        <v>7645</v>
      </c>
      <c r="E3841" s="2">
        <v>3374.41</v>
      </c>
      <c r="G3841" s="3">
        <f>MONTH(Tabela1[[#This Row],[Último pagto ano]])</f>
        <v>8</v>
      </c>
      <c r="H3841" t="str">
        <f>TEXT(Tabela1[[#This Row],[Coluna2]]*29,"mmmm")</f>
        <v>agosto</v>
      </c>
      <c r="I3841" t="str">
        <f>TEXT(MONTH(Tabela1[[#This Row],[Último pagto ano]])*29,"mmmm")</f>
        <v>agosto</v>
      </c>
    </row>
    <row r="3842" spans="1:9" x14ac:dyDescent="0.25">
      <c r="A3842">
        <v>2025</v>
      </c>
      <c r="B3842" t="s">
        <v>7646</v>
      </c>
      <c r="C3842" s="1">
        <v>46021</v>
      </c>
      <c r="D3842" t="s">
        <v>7647</v>
      </c>
      <c r="E3842">
        <v>858.16</v>
      </c>
      <c r="G3842" s="3">
        <f>MONTH(Tabela1[[#This Row],[Último pagto ano]])</f>
        <v>12</v>
      </c>
      <c r="H3842" t="str">
        <f>TEXT(Tabela1[[#This Row],[Coluna2]]*29,"mmmm")</f>
        <v>dezembro</v>
      </c>
      <c r="I3842" t="str">
        <f>TEXT(MONTH(Tabela1[[#This Row],[Último pagto ano]])*29,"mmmm")</f>
        <v>dezembro</v>
      </c>
    </row>
    <row r="3843" spans="1:9" x14ac:dyDescent="0.25">
      <c r="A3843">
        <v>2025</v>
      </c>
      <c r="B3843" t="s">
        <v>7648</v>
      </c>
      <c r="C3843" s="1">
        <v>45996</v>
      </c>
      <c r="D3843" t="s">
        <v>7649</v>
      </c>
      <c r="E3843" s="2">
        <v>9900</v>
      </c>
      <c r="G3843" s="3">
        <f>MONTH(Tabela1[[#This Row],[Último pagto ano]])</f>
        <v>12</v>
      </c>
      <c r="H3843" t="str">
        <f>TEXT(Tabela1[[#This Row],[Coluna2]]*29,"mmmm")</f>
        <v>dezembro</v>
      </c>
      <c r="I3843" t="str">
        <f>TEXT(MONTH(Tabela1[[#This Row],[Último pagto ano]])*29,"mmmm")</f>
        <v>dezembro</v>
      </c>
    </row>
    <row r="3844" spans="1:9" x14ac:dyDescent="0.25">
      <c r="A3844">
        <v>2025</v>
      </c>
      <c r="B3844" t="s">
        <v>7650</v>
      </c>
      <c r="C3844" s="1">
        <v>45975</v>
      </c>
      <c r="D3844" t="s">
        <v>7651</v>
      </c>
      <c r="E3844" s="2">
        <v>2961.6</v>
      </c>
      <c r="G3844" s="3">
        <f>MONTH(Tabela1[[#This Row],[Último pagto ano]])</f>
        <v>11</v>
      </c>
      <c r="H3844" t="str">
        <f>TEXT(Tabela1[[#This Row],[Coluna2]]*29,"mmmm")</f>
        <v>novembro</v>
      </c>
      <c r="I3844" t="str">
        <f>TEXT(MONTH(Tabela1[[#This Row],[Último pagto ano]])*29,"mmmm")</f>
        <v>novembro</v>
      </c>
    </row>
    <row r="3845" spans="1:9" x14ac:dyDescent="0.25">
      <c r="A3845">
        <v>2025</v>
      </c>
      <c r="B3845" t="s">
        <v>7652</v>
      </c>
      <c r="C3845" s="1">
        <v>45702</v>
      </c>
      <c r="D3845" t="s">
        <v>7653</v>
      </c>
      <c r="E3845">
        <v>161.56</v>
      </c>
      <c r="G3845" s="3">
        <f>MONTH(Tabela1[[#This Row],[Último pagto ano]])</f>
        <v>2</v>
      </c>
      <c r="H3845" t="str">
        <f>TEXT(Tabela1[[#This Row],[Coluna2]]*29,"mmmm")</f>
        <v>fevereiro</v>
      </c>
      <c r="I3845" t="str">
        <f>TEXT(MONTH(Tabela1[[#This Row],[Último pagto ano]])*29,"mmmm")</f>
        <v>fevereiro</v>
      </c>
    </row>
    <row r="3846" spans="1:9" x14ac:dyDescent="0.25">
      <c r="A3846">
        <v>2025</v>
      </c>
      <c r="B3846" t="s">
        <v>7654</v>
      </c>
      <c r="C3846" s="1">
        <v>45996</v>
      </c>
      <c r="D3846" t="s">
        <v>7655</v>
      </c>
      <c r="E3846" s="2">
        <v>1500</v>
      </c>
      <c r="G3846" s="3">
        <f>MONTH(Tabela1[[#This Row],[Último pagto ano]])</f>
        <v>12</v>
      </c>
      <c r="H3846" t="str">
        <f>TEXT(Tabela1[[#This Row],[Coluna2]]*29,"mmmm")</f>
        <v>dezembro</v>
      </c>
      <c r="I3846" t="str">
        <f>TEXT(MONTH(Tabela1[[#This Row],[Último pagto ano]])*29,"mmmm")</f>
        <v>dezembro</v>
      </c>
    </row>
    <row r="3847" spans="1:9" x14ac:dyDescent="0.25">
      <c r="A3847">
        <v>2025</v>
      </c>
      <c r="B3847" t="s">
        <v>7656</v>
      </c>
      <c r="C3847" s="1">
        <v>45964</v>
      </c>
      <c r="D3847" t="s">
        <v>7657</v>
      </c>
      <c r="E3847">
        <v>44</v>
      </c>
      <c r="G3847" s="3">
        <f>MONTH(Tabela1[[#This Row],[Último pagto ano]])</f>
        <v>11</v>
      </c>
      <c r="H3847" t="str">
        <f>TEXT(Tabela1[[#This Row],[Coluna2]]*29,"mmmm")</f>
        <v>novembro</v>
      </c>
      <c r="I3847" t="str">
        <f>TEXT(MONTH(Tabela1[[#This Row],[Último pagto ano]])*29,"mmmm")</f>
        <v>novembro</v>
      </c>
    </row>
    <row r="3848" spans="1:9" x14ac:dyDescent="0.25">
      <c r="A3848">
        <v>2025</v>
      </c>
      <c r="B3848" t="s">
        <v>7658</v>
      </c>
      <c r="C3848" s="1">
        <v>45996</v>
      </c>
      <c r="D3848" t="s">
        <v>7659</v>
      </c>
      <c r="E3848" s="2">
        <v>7000</v>
      </c>
      <c r="G3848" s="3">
        <f>MONTH(Tabela1[[#This Row],[Último pagto ano]])</f>
        <v>12</v>
      </c>
      <c r="H3848" t="str">
        <f>TEXT(Tabela1[[#This Row],[Coluna2]]*29,"mmmm")</f>
        <v>dezembro</v>
      </c>
      <c r="I3848" t="str">
        <f>TEXT(MONTH(Tabela1[[#This Row],[Último pagto ano]])*29,"mmmm")</f>
        <v>dezembro</v>
      </c>
    </row>
    <row r="3849" spans="1:9" x14ac:dyDescent="0.25">
      <c r="A3849">
        <v>2025</v>
      </c>
      <c r="B3849" t="s">
        <v>7660</v>
      </c>
      <c r="C3849" s="1">
        <v>45702</v>
      </c>
      <c r="D3849" t="s">
        <v>7661</v>
      </c>
      <c r="E3849">
        <v>160.62</v>
      </c>
      <c r="G3849" s="3">
        <f>MONTH(Tabela1[[#This Row],[Último pagto ano]])</f>
        <v>2</v>
      </c>
      <c r="H3849" t="str">
        <f>TEXT(Tabela1[[#This Row],[Coluna2]]*29,"mmmm")</f>
        <v>fevereiro</v>
      </c>
      <c r="I3849" t="str">
        <f>TEXT(MONTH(Tabela1[[#This Row],[Último pagto ano]])*29,"mmmm")</f>
        <v>fevereiro</v>
      </c>
    </row>
    <row r="3850" spans="1:9" x14ac:dyDescent="0.25">
      <c r="A3850">
        <v>2025</v>
      </c>
      <c r="B3850" t="s">
        <v>7662</v>
      </c>
      <c r="C3850" s="1">
        <v>45673</v>
      </c>
      <c r="D3850" t="s">
        <v>7663</v>
      </c>
      <c r="E3850" s="2">
        <v>2250</v>
      </c>
      <c r="G3850" s="3">
        <f>MONTH(Tabela1[[#This Row],[Último pagto ano]])</f>
        <v>1</v>
      </c>
      <c r="H3850" t="str">
        <f>TEXT(Tabela1[[#This Row],[Coluna2]]*29,"mmmm")</f>
        <v>janeiro</v>
      </c>
      <c r="I3850" t="str">
        <f>TEXT(MONTH(Tabela1[[#This Row],[Último pagto ano]])*29,"mmmm")</f>
        <v>janeiro</v>
      </c>
    </row>
    <row r="3851" spans="1:9" x14ac:dyDescent="0.25">
      <c r="A3851">
        <v>2025</v>
      </c>
      <c r="B3851" t="s">
        <v>7664</v>
      </c>
      <c r="C3851" s="1">
        <v>45737</v>
      </c>
      <c r="D3851" t="s">
        <v>7665</v>
      </c>
      <c r="E3851">
        <v>145.99</v>
      </c>
      <c r="G3851" s="3">
        <f>MONTH(Tabela1[[#This Row],[Último pagto ano]])</f>
        <v>3</v>
      </c>
      <c r="H3851" t="str">
        <f>TEXT(Tabela1[[#This Row],[Coluna2]]*29,"mmmm")</f>
        <v>março</v>
      </c>
      <c r="I3851" t="str">
        <f>TEXT(MONTH(Tabela1[[#This Row],[Último pagto ano]])*29,"mmmm")</f>
        <v>março</v>
      </c>
    </row>
    <row r="3852" spans="1:9" x14ac:dyDescent="0.25">
      <c r="A3852">
        <v>2025</v>
      </c>
      <c r="B3852" t="s">
        <v>7666</v>
      </c>
      <c r="C3852" s="1">
        <v>45762</v>
      </c>
      <c r="D3852" t="s">
        <v>7667</v>
      </c>
      <c r="E3852" s="2">
        <v>1750.4</v>
      </c>
      <c r="G3852" s="3">
        <f>MONTH(Tabela1[[#This Row],[Último pagto ano]])</f>
        <v>4</v>
      </c>
      <c r="H3852" t="str">
        <f>TEXT(Tabela1[[#This Row],[Coluna2]]*29,"mmmm")</f>
        <v>abril</v>
      </c>
      <c r="I3852" t="str">
        <f>TEXT(MONTH(Tabela1[[#This Row],[Último pagto ano]])*29,"mmmm")</f>
        <v>abril</v>
      </c>
    </row>
    <row r="3853" spans="1:9" x14ac:dyDescent="0.25">
      <c r="A3853">
        <v>2025</v>
      </c>
      <c r="B3853" t="s">
        <v>7668</v>
      </c>
      <c r="C3853" s="1">
        <v>46021</v>
      </c>
      <c r="D3853" t="s">
        <v>7669</v>
      </c>
      <c r="E3853" s="2">
        <v>4363.88</v>
      </c>
      <c r="G3853" s="3">
        <f>MONTH(Tabela1[[#This Row],[Último pagto ano]])</f>
        <v>12</v>
      </c>
      <c r="H3853" t="str">
        <f>TEXT(Tabela1[[#This Row],[Coluna2]]*29,"mmmm")</f>
        <v>dezembro</v>
      </c>
      <c r="I3853" t="str">
        <f>TEXT(MONTH(Tabela1[[#This Row],[Último pagto ano]])*29,"mmmm")</f>
        <v>dezembro</v>
      </c>
    </row>
    <row r="3854" spans="1:9" x14ac:dyDescent="0.25">
      <c r="A3854">
        <v>2025</v>
      </c>
      <c r="B3854" t="s">
        <v>7670</v>
      </c>
      <c r="C3854" s="1">
        <v>45989</v>
      </c>
      <c r="D3854" t="s">
        <v>7671</v>
      </c>
      <c r="E3854" s="2">
        <v>10753.89</v>
      </c>
      <c r="G3854" s="3">
        <f>MONTH(Tabela1[[#This Row],[Último pagto ano]])</f>
        <v>11</v>
      </c>
      <c r="H3854" t="str">
        <f>TEXT(Tabela1[[#This Row],[Coluna2]]*29,"mmmm")</f>
        <v>novembro</v>
      </c>
      <c r="I3854" t="str">
        <f>TEXT(MONTH(Tabela1[[#This Row],[Último pagto ano]])*29,"mmmm")</f>
        <v>novembro</v>
      </c>
    </row>
    <row r="3855" spans="1:9" x14ac:dyDescent="0.25">
      <c r="A3855">
        <v>2025</v>
      </c>
      <c r="B3855" t="s">
        <v>7672</v>
      </c>
      <c r="C3855" s="1">
        <v>45898</v>
      </c>
      <c r="D3855" t="s">
        <v>7673</v>
      </c>
      <c r="E3855">
        <v>987.56</v>
      </c>
      <c r="G3855" s="3">
        <f>MONTH(Tabela1[[#This Row],[Último pagto ano]])</f>
        <v>8</v>
      </c>
      <c r="H3855" t="str">
        <f>TEXT(Tabela1[[#This Row],[Coluna2]]*29,"mmmm")</f>
        <v>agosto</v>
      </c>
      <c r="I3855" t="str">
        <f>TEXT(MONTH(Tabela1[[#This Row],[Último pagto ano]])*29,"mmmm")</f>
        <v>agosto</v>
      </c>
    </row>
    <row r="3856" spans="1:9" x14ac:dyDescent="0.25">
      <c r="A3856">
        <v>2025</v>
      </c>
      <c r="B3856" t="s">
        <v>7674</v>
      </c>
      <c r="C3856" s="1">
        <v>45975</v>
      </c>
      <c r="D3856" t="s">
        <v>7675</v>
      </c>
      <c r="E3856" s="2">
        <v>5896.64</v>
      </c>
      <c r="G3856" s="3">
        <f>MONTH(Tabela1[[#This Row],[Último pagto ano]])</f>
        <v>11</v>
      </c>
      <c r="H3856" t="str">
        <f>TEXT(Tabela1[[#This Row],[Coluna2]]*29,"mmmm")</f>
        <v>novembro</v>
      </c>
      <c r="I3856" t="str">
        <f>TEXT(MONTH(Tabela1[[#This Row],[Último pagto ano]])*29,"mmmm")</f>
        <v>novembro</v>
      </c>
    </row>
    <row r="3857" spans="1:9" x14ac:dyDescent="0.25">
      <c r="A3857">
        <v>2025</v>
      </c>
      <c r="B3857" t="s">
        <v>7676</v>
      </c>
      <c r="C3857" s="1">
        <v>45968</v>
      </c>
      <c r="D3857" t="s">
        <v>7677</v>
      </c>
      <c r="E3857" s="2">
        <v>9000</v>
      </c>
      <c r="G3857" s="3">
        <f>MONTH(Tabela1[[#This Row],[Último pagto ano]])</f>
        <v>11</v>
      </c>
      <c r="H3857" t="str">
        <f>TEXT(Tabela1[[#This Row],[Coluna2]]*29,"mmmm")</f>
        <v>novembro</v>
      </c>
      <c r="I3857" t="str">
        <f>TEXT(MONTH(Tabela1[[#This Row],[Último pagto ano]])*29,"mmmm")</f>
        <v>novembro</v>
      </c>
    </row>
    <row r="3858" spans="1:9" x14ac:dyDescent="0.25">
      <c r="A3858">
        <v>2025</v>
      </c>
      <c r="B3858" t="s">
        <v>7678</v>
      </c>
      <c r="C3858" s="1">
        <v>45884</v>
      </c>
      <c r="D3858" t="s">
        <v>7679</v>
      </c>
      <c r="E3858" s="2">
        <v>5587.2</v>
      </c>
      <c r="G3858" s="3">
        <f>MONTH(Tabela1[[#This Row],[Último pagto ano]])</f>
        <v>8</v>
      </c>
      <c r="H3858" t="str">
        <f>TEXT(Tabela1[[#This Row],[Coluna2]]*29,"mmmm")</f>
        <v>agosto</v>
      </c>
      <c r="I3858" t="str">
        <f>TEXT(MONTH(Tabela1[[#This Row],[Último pagto ano]])*29,"mmmm")</f>
        <v>agosto</v>
      </c>
    </row>
    <row r="3859" spans="1:9" x14ac:dyDescent="0.25">
      <c r="A3859">
        <v>2025</v>
      </c>
      <c r="B3859" t="s">
        <v>7680</v>
      </c>
      <c r="C3859" s="1">
        <v>45975</v>
      </c>
      <c r="D3859" t="s">
        <v>7681</v>
      </c>
      <c r="E3859" s="2">
        <v>12165.6</v>
      </c>
      <c r="G3859" s="3">
        <f>MONTH(Tabela1[[#This Row],[Último pagto ano]])</f>
        <v>11</v>
      </c>
      <c r="H3859" t="str">
        <f>TEXT(Tabela1[[#This Row],[Coluna2]]*29,"mmmm")</f>
        <v>novembro</v>
      </c>
      <c r="I3859" t="str">
        <f>TEXT(MONTH(Tabela1[[#This Row],[Último pagto ano]])*29,"mmmm")</f>
        <v>novembro</v>
      </c>
    </row>
    <row r="3860" spans="1:9" x14ac:dyDescent="0.25">
      <c r="A3860">
        <v>2025</v>
      </c>
      <c r="B3860" t="s">
        <v>7682</v>
      </c>
      <c r="C3860" s="1">
        <v>45748</v>
      </c>
      <c r="D3860" t="s">
        <v>7683</v>
      </c>
      <c r="E3860" s="2">
        <v>2592.11</v>
      </c>
      <c r="G3860" s="3">
        <f>MONTH(Tabela1[[#This Row],[Último pagto ano]])</f>
        <v>4</v>
      </c>
      <c r="H3860" t="str">
        <f>TEXT(Tabela1[[#This Row],[Coluna2]]*29,"mmmm")</f>
        <v>abril</v>
      </c>
      <c r="I3860" t="str">
        <f>TEXT(MONTH(Tabela1[[#This Row],[Último pagto ano]])*29,"mmmm")</f>
        <v>abril</v>
      </c>
    </row>
    <row r="3861" spans="1:9" x14ac:dyDescent="0.25">
      <c r="A3861">
        <v>2025</v>
      </c>
      <c r="B3861" t="s">
        <v>7684</v>
      </c>
      <c r="C3861" s="1">
        <v>45996</v>
      </c>
      <c r="D3861" t="s">
        <v>7685</v>
      </c>
      <c r="E3861" s="2">
        <v>18000</v>
      </c>
      <c r="G3861" s="3">
        <f>MONTH(Tabela1[[#This Row],[Último pagto ano]])</f>
        <v>12</v>
      </c>
      <c r="H3861" t="str">
        <f>TEXT(Tabela1[[#This Row],[Coluna2]]*29,"mmmm")</f>
        <v>dezembro</v>
      </c>
      <c r="I3861" t="str">
        <f>TEXT(MONTH(Tabela1[[#This Row],[Último pagto ano]])*29,"mmmm")</f>
        <v>dezembro</v>
      </c>
    </row>
    <row r="3862" spans="1:9" x14ac:dyDescent="0.25">
      <c r="A3862">
        <v>2025</v>
      </c>
      <c r="B3862" t="s">
        <v>7686</v>
      </c>
      <c r="C3862" s="1">
        <v>46010</v>
      </c>
      <c r="D3862" t="s">
        <v>7687</v>
      </c>
      <c r="E3862" s="2">
        <v>8400</v>
      </c>
      <c r="G3862" s="3">
        <f>MONTH(Tabela1[[#This Row],[Último pagto ano]])</f>
        <v>12</v>
      </c>
      <c r="H3862" t="str">
        <f>TEXT(Tabela1[[#This Row],[Coluna2]]*29,"mmmm")</f>
        <v>dezembro</v>
      </c>
      <c r="I3862" t="str">
        <f>TEXT(MONTH(Tabela1[[#This Row],[Último pagto ano]])*29,"mmmm")</f>
        <v>dezembro</v>
      </c>
    </row>
    <row r="3863" spans="1:9" x14ac:dyDescent="0.25">
      <c r="A3863">
        <v>2025</v>
      </c>
      <c r="B3863" t="s">
        <v>7688</v>
      </c>
      <c r="C3863" s="1">
        <v>45849</v>
      </c>
      <c r="D3863" t="s">
        <v>7689</v>
      </c>
      <c r="E3863">
        <v>132</v>
      </c>
      <c r="G3863" s="3">
        <f>MONTH(Tabela1[[#This Row],[Último pagto ano]])</f>
        <v>7</v>
      </c>
      <c r="H3863" t="str">
        <f>TEXT(Tabela1[[#This Row],[Coluna2]]*29,"mmmm")</f>
        <v>julho</v>
      </c>
      <c r="I3863" t="str">
        <f>TEXT(MONTH(Tabela1[[#This Row],[Último pagto ano]])*29,"mmmm")</f>
        <v>julho</v>
      </c>
    </row>
    <row r="3864" spans="1:9" x14ac:dyDescent="0.25">
      <c r="A3864">
        <v>2025</v>
      </c>
      <c r="B3864" t="s">
        <v>7690</v>
      </c>
      <c r="C3864" s="1">
        <v>46006</v>
      </c>
      <c r="D3864" t="s">
        <v>7691</v>
      </c>
      <c r="E3864" s="2">
        <v>36004.39</v>
      </c>
      <c r="G3864" s="3">
        <f>MONTH(Tabela1[[#This Row],[Último pagto ano]])</f>
        <v>12</v>
      </c>
      <c r="H3864" t="str">
        <f>TEXT(Tabela1[[#This Row],[Coluna2]]*29,"mmmm")</f>
        <v>dezembro</v>
      </c>
      <c r="I3864" t="str">
        <f>TEXT(MONTH(Tabela1[[#This Row],[Último pagto ano]])*29,"mmmm")</f>
        <v>dezembro</v>
      </c>
    </row>
    <row r="3865" spans="1:9" x14ac:dyDescent="0.25">
      <c r="A3865">
        <v>2025</v>
      </c>
      <c r="B3865" t="s">
        <v>7692</v>
      </c>
      <c r="C3865" s="1">
        <v>46014</v>
      </c>
      <c r="D3865" t="s">
        <v>7693</v>
      </c>
      <c r="E3865" s="2">
        <v>12320</v>
      </c>
      <c r="G3865" s="3">
        <f>MONTH(Tabela1[[#This Row],[Último pagto ano]])</f>
        <v>12</v>
      </c>
      <c r="H3865" t="str">
        <f>TEXT(Tabela1[[#This Row],[Coluna2]]*29,"mmmm")</f>
        <v>dezembro</v>
      </c>
      <c r="I3865" t="str">
        <f>TEXT(MONTH(Tabela1[[#This Row],[Último pagto ano]])*29,"mmmm")</f>
        <v>dezembro</v>
      </c>
    </row>
    <row r="3866" spans="1:9" x14ac:dyDescent="0.25">
      <c r="A3866">
        <v>2025</v>
      </c>
      <c r="B3866" t="s">
        <v>7694</v>
      </c>
      <c r="C3866" s="1">
        <v>45940</v>
      </c>
      <c r="D3866" t="s">
        <v>7695</v>
      </c>
      <c r="E3866" s="2">
        <v>7020</v>
      </c>
      <c r="G3866" s="3">
        <f>MONTH(Tabela1[[#This Row],[Último pagto ano]])</f>
        <v>10</v>
      </c>
      <c r="H3866" t="str">
        <f>TEXT(Tabela1[[#This Row],[Coluna2]]*29,"mmmm")</f>
        <v>outubro</v>
      </c>
      <c r="I3866" t="str">
        <f>TEXT(MONTH(Tabela1[[#This Row],[Último pagto ano]])*29,"mmmm")</f>
        <v>outubro</v>
      </c>
    </row>
    <row r="3867" spans="1:9" x14ac:dyDescent="0.25">
      <c r="A3867">
        <v>2025</v>
      </c>
      <c r="B3867" t="s">
        <v>7696</v>
      </c>
      <c r="C3867" s="1">
        <v>46009</v>
      </c>
      <c r="D3867" t="s">
        <v>7697</v>
      </c>
      <c r="E3867" s="2">
        <v>18330</v>
      </c>
      <c r="G3867" s="3">
        <f>MONTH(Tabela1[[#This Row],[Último pagto ano]])</f>
        <v>12</v>
      </c>
      <c r="H3867" t="str">
        <f>TEXT(Tabela1[[#This Row],[Coluna2]]*29,"mmmm")</f>
        <v>dezembro</v>
      </c>
      <c r="I3867" t="str">
        <f>TEXT(MONTH(Tabela1[[#This Row],[Último pagto ano]])*29,"mmmm")</f>
        <v>dezembro</v>
      </c>
    </row>
    <row r="3868" spans="1:9" x14ac:dyDescent="0.25">
      <c r="A3868">
        <v>2025</v>
      </c>
      <c r="B3868" t="s">
        <v>7698</v>
      </c>
      <c r="C3868" s="1">
        <v>46010</v>
      </c>
      <c r="D3868" t="s">
        <v>7699</v>
      </c>
      <c r="E3868" s="2">
        <v>8400</v>
      </c>
      <c r="G3868" s="3">
        <f>MONTH(Tabela1[[#This Row],[Último pagto ano]])</f>
        <v>12</v>
      </c>
      <c r="H3868" t="str">
        <f>TEXT(Tabela1[[#This Row],[Coluna2]]*29,"mmmm")</f>
        <v>dezembro</v>
      </c>
      <c r="I3868" t="str">
        <f>TEXT(MONTH(Tabela1[[#This Row],[Último pagto ano]])*29,"mmmm")</f>
        <v>dezembro</v>
      </c>
    </row>
    <row r="3869" spans="1:9" x14ac:dyDescent="0.25">
      <c r="A3869">
        <v>2025</v>
      </c>
      <c r="B3869" t="s">
        <v>7700</v>
      </c>
      <c r="C3869" s="1">
        <v>46014</v>
      </c>
      <c r="D3869" t="s">
        <v>7701</v>
      </c>
      <c r="E3869" s="2">
        <v>3985</v>
      </c>
      <c r="G3869" s="3">
        <f>MONTH(Tabela1[[#This Row],[Último pagto ano]])</f>
        <v>12</v>
      </c>
      <c r="H3869" t="str">
        <f>TEXT(Tabela1[[#This Row],[Coluna2]]*29,"mmmm")</f>
        <v>dezembro</v>
      </c>
      <c r="I3869" t="str">
        <f>TEXT(MONTH(Tabela1[[#This Row],[Último pagto ano]])*29,"mmmm")</f>
        <v>dezembro</v>
      </c>
    </row>
    <row r="3870" spans="1:9" x14ac:dyDescent="0.25">
      <c r="A3870">
        <v>2025</v>
      </c>
      <c r="B3870" t="s">
        <v>7702</v>
      </c>
      <c r="C3870" s="1">
        <v>45953</v>
      </c>
      <c r="D3870" t="s">
        <v>7703</v>
      </c>
      <c r="E3870">
        <v>321.20999999999998</v>
      </c>
      <c r="G3870" s="3">
        <f>MONTH(Tabela1[[#This Row],[Último pagto ano]])</f>
        <v>10</v>
      </c>
      <c r="H3870" t="str">
        <f>TEXT(Tabela1[[#This Row],[Coluna2]]*29,"mmmm")</f>
        <v>outubro</v>
      </c>
      <c r="I3870" t="str">
        <f>TEXT(MONTH(Tabela1[[#This Row],[Último pagto ano]])*29,"mmmm")</f>
        <v>outubro</v>
      </c>
    </row>
    <row r="3871" spans="1:9" x14ac:dyDescent="0.25">
      <c r="A3871">
        <v>2025</v>
      </c>
      <c r="B3871" t="s">
        <v>7704</v>
      </c>
      <c r="C3871" s="1">
        <v>45996</v>
      </c>
      <c r="D3871" t="s">
        <v>7705</v>
      </c>
      <c r="E3871" s="2">
        <v>47852.639999999999</v>
      </c>
      <c r="G3871" s="3">
        <f>MONTH(Tabela1[[#This Row],[Último pagto ano]])</f>
        <v>12</v>
      </c>
      <c r="H3871" t="str">
        <f>TEXT(Tabela1[[#This Row],[Coluna2]]*29,"mmmm")</f>
        <v>dezembro</v>
      </c>
      <c r="I3871" t="str">
        <f>TEXT(MONTH(Tabela1[[#This Row],[Último pagto ano]])*29,"mmmm")</f>
        <v>dezembro</v>
      </c>
    </row>
    <row r="3872" spans="1:9" x14ac:dyDescent="0.25">
      <c r="A3872">
        <v>2025</v>
      </c>
      <c r="B3872" t="s">
        <v>7706</v>
      </c>
      <c r="C3872" s="1">
        <v>45884</v>
      </c>
      <c r="D3872" t="s">
        <v>7707</v>
      </c>
      <c r="E3872">
        <v>370.16</v>
      </c>
      <c r="G3872" s="3">
        <f>MONTH(Tabela1[[#This Row],[Último pagto ano]])</f>
        <v>8</v>
      </c>
      <c r="H3872" t="str">
        <f>TEXT(Tabela1[[#This Row],[Coluna2]]*29,"mmmm")</f>
        <v>agosto</v>
      </c>
      <c r="I3872" t="str">
        <f>TEXT(MONTH(Tabela1[[#This Row],[Último pagto ano]])*29,"mmmm")</f>
        <v>agosto</v>
      </c>
    </row>
    <row r="3873" spans="1:9" x14ac:dyDescent="0.25">
      <c r="A3873">
        <v>2025</v>
      </c>
      <c r="B3873" t="s">
        <v>7708</v>
      </c>
      <c r="C3873" s="1">
        <v>46010</v>
      </c>
      <c r="D3873" t="s">
        <v>7709</v>
      </c>
      <c r="E3873" s="2">
        <v>24000</v>
      </c>
      <c r="G3873" s="3">
        <f>MONTH(Tabela1[[#This Row],[Último pagto ano]])</f>
        <v>12</v>
      </c>
      <c r="H3873" t="str">
        <f>TEXT(Tabela1[[#This Row],[Coluna2]]*29,"mmmm")</f>
        <v>dezembro</v>
      </c>
      <c r="I3873" t="str">
        <f>TEXT(MONTH(Tabela1[[#This Row],[Último pagto ano]])*29,"mmmm")</f>
        <v>dezembro</v>
      </c>
    </row>
    <row r="3874" spans="1:9" x14ac:dyDescent="0.25">
      <c r="A3874">
        <v>2025</v>
      </c>
      <c r="B3874" t="s">
        <v>7710</v>
      </c>
      <c r="C3874" s="1">
        <v>45912</v>
      </c>
      <c r="D3874" t="s">
        <v>7711</v>
      </c>
      <c r="E3874" s="2">
        <v>5262.98</v>
      </c>
      <c r="G3874" s="3">
        <f>MONTH(Tabela1[[#This Row],[Último pagto ano]])</f>
        <v>9</v>
      </c>
      <c r="H3874" t="str">
        <f>TEXT(Tabela1[[#This Row],[Coluna2]]*29,"mmmm")</f>
        <v>setembro</v>
      </c>
      <c r="I3874" t="str">
        <f>TEXT(MONTH(Tabela1[[#This Row],[Último pagto ano]])*29,"mmmm")</f>
        <v>setembro</v>
      </c>
    </row>
    <row r="3875" spans="1:9" x14ac:dyDescent="0.25">
      <c r="A3875">
        <v>2025</v>
      </c>
      <c r="B3875" t="s">
        <v>7712</v>
      </c>
      <c r="C3875" s="1">
        <v>46010</v>
      </c>
      <c r="D3875" t="s">
        <v>7713</v>
      </c>
      <c r="E3875" s="2">
        <v>24000</v>
      </c>
      <c r="G3875" s="3">
        <f>MONTH(Tabela1[[#This Row],[Último pagto ano]])</f>
        <v>12</v>
      </c>
      <c r="H3875" t="str">
        <f>TEXT(Tabela1[[#This Row],[Coluna2]]*29,"mmmm")</f>
        <v>dezembro</v>
      </c>
      <c r="I3875" t="str">
        <f>TEXT(MONTH(Tabela1[[#This Row],[Último pagto ano]])*29,"mmmm")</f>
        <v>dezembro</v>
      </c>
    </row>
    <row r="3876" spans="1:9" x14ac:dyDescent="0.25">
      <c r="A3876">
        <v>2025</v>
      </c>
      <c r="B3876" t="s">
        <v>7714</v>
      </c>
      <c r="C3876" s="1">
        <v>45995</v>
      </c>
      <c r="D3876" t="s">
        <v>7715</v>
      </c>
      <c r="E3876" s="2">
        <v>3036.45</v>
      </c>
      <c r="G3876" s="3">
        <f>MONTH(Tabela1[[#This Row],[Último pagto ano]])</f>
        <v>12</v>
      </c>
      <c r="H3876" t="str">
        <f>TEXT(Tabela1[[#This Row],[Coluna2]]*29,"mmmm")</f>
        <v>dezembro</v>
      </c>
      <c r="I3876" t="str">
        <f>TEXT(MONTH(Tabela1[[#This Row],[Último pagto ano]])*29,"mmmm")</f>
        <v>dezembro</v>
      </c>
    </row>
    <row r="3877" spans="1:9" x14ac:dyDescent="0.25">
      <c r="A3877">
        <v>2025</v>
      </c>
      <c r="B3877" t="s">
        <v>7716</v>
      </c>
      <c r="C3877" s="1">
        <v>45989</v>
      </c>
      <c r="D3877" t="s">
        <v>7717</v>
      </c>
      <c r="E3877" s="2">
        <v>7811.02</v>
      </c>
      <c r="G3877" s="3">
        <f>MONTH(Tabela1[[#This Row],[Último pagto ano]])</f>
        <v>11</v>
      </c>
      <c r="H3877" t="str">
        <f>TEXT(Tabela1[[#This Row],[Coluna2]]*29,"mmmm")</f>
        <v>novembro</v>
      </c>
      <c r="I3877" t="str">
        <f>TEXT(MONTH(Tabela1[[#This Row],[Último pagto ano]])*29,"mmmm")</f>
        <v>novembro</v>
      </c>
    </row>
    <row r="3878" spans="1:9" x14ac:dyDescent="0.25">
      <c r="A3878">
        <v>2025</v>
      </c>
      <c r="B3878" t="s">
        <v>7718</v>
      </c>
      <c r="C3878" s="1">
        <v>45995</v>
      </c>
      <c r="D3878" t="s">
        <v>7719</v>
      </c>
      <c r="E3878">
        <v>240.8</v>
      </c>
      <c r="G3878" s="3">
        <f>MONTH(Tabela1[[#This Row],[Último pagto ano]])</f>
        <v>12</v>
      </c>
      <c r="H3878" t="str">
        <f>TEXT(Tabela1[[#This Row],[Coluna2]]*29,"mmmm")</f>
        <v>dezembro</v>
      </c>
      <c r="I3878" t="str">
        <f>TEXT(MONTH(Tabela1[[#This Row],[Último pagto ano]])*29,"mmmm")</f>
        <v>dezembro</v>
      </c>
    </row>
    <row r="3879" spans="1:9" x14ac:dyDescent="0.25">
      <c r="A3879">
        <v>2025</v>
      </c>
      <c r="B3879" t="s">
        <v>7720</v>
      </c>
      <c r="C3879" s="1">
        <v>45964</v>
      </c>
      <c r="D3879" t="s">
        <v>7721</v>
      </c>
      <c r="E3879">
        <v>66</v>
      </c>
      <c r="G3879" s="3">
        <f>MONTH(Tabela1[[#This Row],[Último pagto ano]])</f>
        <v>11</v>
      </c>
      <c r="H3879" t="str">
        <f>TEXT(Tabela1[[#This Row],[Coluna2]]*29,"mmmm")</f>
        <v>novembro</v>
      </c>
      <c r="I3879" t="str">
        <f>TEXT(MONTH(Tabela1[[#This Row],[Último pagto ano]])*29,"mmmm")</f>
        <v>novembro</v>
      </c>
    </row>
    <row r="3880" spans="1:9" x14ac:dyDescent="0.25">
      <c r="A3880">
        <v>2025</v>
      </c>
      <c r="B3880" t="s">
        <v>7722</v>
      </c>
      <c r="C3880" s="1">
        <v>46021</v>
      </c>
      <c r="D3880" t="s">
        <v>7723</v>
      </c>
      <c r="E3880" s="2">
        <v>9285.77</v>
      </c>
      <c r="G3880" s="3">
        <f>MONTH(Tabela1[[#This Row],[Último pagto ano]])</f>
        <v>12</v>
      </c>
      <c r="H3880" t="str">
        <f>TEXT(Tabela1[[#This Row],[Coluna2]]*29,"mmmm")</f>
        <v>dezembro</v>
      </c>
      <c r="I3880" t="str">
        <f>TEXT(MONTH(Tabela1[[#This Row],[Último pagto ano]])*29,"mmmm")</f>
        <v>dezembro</v>
      </c>
    </row>
    <row r="3881" spans="1:9" x14ac:dyDescent="0.25">
      <c r="A3881">
        <v>2025</v>
      </c>
      <c r="B3881" t="s">
        <v>7724</v>
      </c>
      <c r="C3881" s="1">
        <v>45919</v>
      </c>
      <c r="D3881" t="s">
        <v>7725</v>
      </c>
      <c r="E3881" s="2">
        <v>16362</v>
      </c>
      <c r="G3881" s="3">
        <f>MONTH(Tabela1[[#This Row],[Último pagto ano]])</f>
        <v>9</v>
      </c>
      <c r="H3881" t="str">
        <f>TEXT(Tabela1[[#This Row],[Coluna2]]*29,"mmmm")</f>
        <v>setembro</v>
      </c>
      <c r="I3881" t="str">
        <f>TEXT(MONTH(Tabela1[[#This Row],[Último pagto ano]])*29,"mmmm")</f>
        <v>setembro</v>
      </c>
    </row>
    <row r="3882" spans="1:9" x14ac:dyDescent="0.25">
      <c r="A3882">
        <v>2025</v>
      </c>
      <c r="B3882" t="s">
        <v>7726</v>
      </c>
      <c r="C3882" s="1">
        <v>46010</v>
      </c>
      <c r="D3882" t="s">
        <v>7727</v>
      </c>
      <c r="E3882">
        <v>799.63</v>
      </c>
      <c r="G3882" s="3">
        <f>MONTH(Tabela1[[#This Row],[Último pagto ano]])</f>
        <v>12</v>
      </c>
      <c r="H3882" t="str">
        <f>TEXT(Tabela1[[#This Row],[Coluna2]]*29,"mmmm")</f>
        <v>dezembro</v>
      </c>
      <c r="I3882" t="str">
        <f>TEXT(MONTH(Tabela1[[#This Row],[Último pagto ano]])*29,"mmmm")</f>
        <v>dezembro</v>
      </c>
    </row>
    <row r="3883" spans="1:9" x14ac:dyDescent="0.25">
      <c r="A3883">
        <v>2025</v>
      </c>
      <c r="B3883" t="s">
        <v>7728</v>
      </c>
      <c r="C3883" s="1">
        <v>46010</v>
      </c>
      <c r="D3883" t="s">
        <v>7729</v>
      </c>
      <c r="E3883" s="2">
        <v>5100</v>
      </c>
      <c r="G3883" s="3">
        <f>MONTH(Tabela1[[#This Row],[Último pagto ano]])</f>
        <v>12</v>
      </c>
      <c r="H3883" t="str">
        <f>TEXT(Tabela1[[#This Row],[Coluna2]]*29,"mmmm")</f>
        <v>dezembro</v>
      </c>
      <c r="I3883" t="str">
        <f>TEXT(MONTH(Tabela1[[#This Row],[Último pagto ano]])*29,"mmmm")</f>
        <v>dezembro</v>
      </c>
    </row>
    <row r="3884" spans="1:9" x14ac:dyDescent="0.25">
      <c r="A3884">
        <v>2025</v>
      </c>
      <c r="B3884" t="s">
        <v>7730</v>
      </c>
      <c r="C3884" s="1">
        <v>45817</v>
      </c>
      <c r="D3884" t="s">
        <v>7731</v>
      </c>
      <c r="E3884">
        <v>3.32</v>
      </c>
      <c r="G3884" s="3">
        <f>MONTH(Tabela1[[#This Row],[Último pagto ano]])</f>
        <v>6</v>
      </c>
      <c r="H3884" t="str">
        <f>TEXT(Tabela1[[#This Row],[Coluna2]]*29,"mmmm")</f>
        <v>junho</v>
      </c>
      <c r="I3884" t="str">
        <f>TEXT(MONTH(Tabela1[[#This Row],[Último pagto ano]])*29,"mmmm")</f>
        <v>junho</v>
      </c>
    </row>
    <row r="3885" spans="1:9" x14ac:dyDescent="0.25">
      <c r="A3885">
        <v>2025</v>
      </c>
      <c r="B3885" t="s">
        <v>7732</v>
      </c>
      <c r="C3885" s="1">
        <v>45996</v>
      </c>
      <c r="D3885" t="s">
        <v>7733</v>
      </c>
      <c r="E3885">
        <v>120</v>
      </c>
      <c r="G3885" s="3">
        <f>MONTH(Tabela1[[#This Row],[Último pagto ano]])</f>
        <v>12</v>
      </c>
      <c r="H3885" t="str">
        <f>TEXT(Tabela1[[#This Row],[Coluna2]]*29,"mmmm")</f>
        <v>dezembro</v>
      </c>
      <c r="I3885" t="str">
        <f>TEXT(MONTH(Tabela1[[#This Row],[Último pagto ano]])*29,"mmmm")</f>
        <v>dezembro</v>
      </c>
    </row>
    <row r="3886" spans="1:9" x14ac:dyDescent="0.25">
      <c r="A3886">
        <v>2025</v>
      </c>
      <c r="B3886" t="s">
        <v>7734</v>
      </c>
      <c r="C3886" s="1">
        <v>45744</v>
      </c>
      <c r="D3886" t="s">
        <v>7735</v>
      </c>
      <c r="E3886" s="2">
        <v>66326.5</v>
      </c>
      <c r="G3886" s="3">
        <f>MONTH(Tabela1[[#This Row],[Último pagto ano]])</f>
        <v>3</v>
      </c>
      <c r="H3886" t="str">
        <f>TEXT(Tabela1[[#This Row],[Coluna2]]*29,"mmmm")</f>
        <v>março</v>
      </c>
      <c r="I3886" t="str">
        <f>TEXT(MONTH(Tabela1[[#This Row],[Último pagto ano]])*29,"mmmm")</f>
        <v>março</v>
      </c>
    </row>
    <row r="3887" spans="1:9" x14ac:dyDescent="0.25">
      <c r="A3887">
        <v>2025</v>
      </c>
      <c r="B3887" t="s">
        <v>7736</v>
      </c>
      <c r="C3887" s="1">
        <v>45740</v>
      </c>
      <c r="D3887" t="s">
        <v>7737</v>
      </c>
      <c r="E3887">
        <v>22</v>
      </c>
      <c r="G3887" s="3">
        <f>MONTH(Tabela1[[#This Row],[Último pagto ano]])</f>
        <v>3</v>
      </c>
      <c r="H3887" t="str">
        <f>TEXT(Tabela1[[#This Row],[Coluna2]]*29,"mmmm")</f>
        <v>março</v>
      </c>
      <c r="I3887" t="str">
        <f>TEXT(MONTH(Tabela1[[#This Row],[Último pagto ano]])*29,"mmmm")</f>
        <v>março</v>
      </c>
    </row>
    <row r="3888" spans="1:9" x14ac:dyDescent="0.25">
      <c r="A3888">
        <v>2025</v>
      </c>
      <c r="B3888" t="s">
        <v>7738</v>
      </c>
      <c r="C3888" s="1">
        <v>45894</v>
      </c>
      <c r="D3888" t="s">
        <v>7739</v>
      </c>
      <c r="E3888" s="2">
        <v>1400</v>
      </c>
      <c r="G3888" s="3">
        <f>MONTH(Tabela1[[#This Row],[Último pagto ano]])</f>
        <v>8</v>
      </c>
      <c r="H3888" t="str">
        <f>TEXT(Tabela1[[#This Row],[Coluna2]]*29,"mmmm")</f>
        <v>agosto</v>
      </c>
      <c r="I3888" t="str">
        <f>TEXT(MONTH(Tabela1[[#This Row],[Último pagto ano]])*29,"mmmm")</f>
        <v>agosto</v>
      </c>
    </row>
    <row r="3889" spans="1:9" x14ac:dyDescent="0.25">
      <c r="A3889">
        <v>2025</v>
      </c>
      <c r="B3889" t="s">
        <v>7740</v>
      </c>
      <c r="C3889" s="1">
        <v>45744</v>
      </c>
      <c r="D3889" t="s">
        <v>7741</v>
      </c>
      <c r="E3889" s="2">
        <v>68824.75</v>
      </c>
      <c r="G3889" s="3">
        <f>MONTH(Tabela1[[#This Row],[Último pagto ano]])</f>
        <v>3</v>
      </c>
      <c r="H3889" t="str">
        <f>TEXT(Tabela1[[#This Row],[Coluna2]]*29,"mmmm")</f>
        <v>março</v>
      </c>
      <c r="I3889" t="str">
        <f>TEXT(MONTH(Tabela1[[#This Row],[Último pagto ano]])*29,"mmmm")</f>
        <v>março</v>
      </c>
    </row>
    <row r="3890" spans="1:9" x14ac:dyDescent="0.25">
      <c r="A3890">
        <v>2025</v>
      </c>
      <c r="B3890" t="s">
        <v>7742</v>
      </c>
      <c r="C3890" s="1">
        <v>45959</v>
      </c>
      <c r="D3890" t="s">
        <v>7743</v>
      </c>
      <c r="E3890" s="2">
        <v>92498.52</v>
      </c>
      <c r="G3890" s="3">
        <f>MONTH(Tabela1[[#This Row],[Último pagto ano]])</f>
        <v>10</v>
      </c>
      <c r="H3890" t="str">
        <f>TEXT(Tabela1[[#This Row],[Coluna2]]*29,"mmmm")</f>
        <v>outubro</v>
      </c>
      <c r="I3890" t="str">
        <f>TEXT(MONTH(Tabela1[[#This Row],[Último pagto ano]])*29,"mmmm")</f>
        <v>outubro</v>
      </c>
    </row>
    <row r="3891" spans="1:9" x14ac:dyDescent="0.25">
      <c r="A3891">
        <v>2025</v>
      </c>
      <c r="B3891" t="s">
        <v>7744</v>
      </c>
      <c r="C3891" s="1">
        <v>46010</v>
      </c>
      <c r="D3891" t="s">
        <v>7745</v>
      </c>
      <c r="E3891" s="2">
        <v>12300</v>
      </c>
      <c r="G3891" s="3">
        <f>MONTH(Tabela1[[#This Row],[Último pagto ano]])</f>
        <v>12</v>
      </c>
      <c r="H3891" t="str">
        <f>TEXT(Tabela1[[#This Row],[Coluna2]]*29,"mmmm")</f>
        <v>dezembro</v>
      </c>
      <c r="I3891" t="str">
        <f>TEXT(MONTH(Tabela1[[#This Row],[Último pagto ano]])*29,"mmmm")</f>
        <v>dezembro</v>
      </c>
    </row>
    <row r="3892" spans="1:9" x14ac:dyDescent="0.25">
      <c r="A3892">
        <v>2025</v>
      </c>
      <c r="B3892" t="s">
        <v>7746</v>
      </c>
      <c r="C3892" s="1">
        <v>45716</v>
      </c>
      <c r="D3892" t="s">
        <v>7747</v>
      </c>
      <c r="E3892" s="2">
        <v>1900.19</v>
      </c>
      <c r="G3892" s="3">
        <f>MONTH(Tabela1[[#This Row],[Último pagto ano]])</f>
        <v>2</v>
      </c>
      <c r="H3892" t="str">
        <f>TEXT(Tabela1[[#This Row],[Coluna2]]*29,"mmmm")</f>
        <v>fevereiro</v>
      </c>
      <c r="I3892" t="str">
        <f>TEXT(MONTH(Tabela1[[#This Row],[Último pagto ano]])*29,"mmmm")</f>
        <v>fevereiro</v>
      </c>
    </row>
    <row r="3893" spans="1:9" x14ac:dyDescent="0.25">
      <c r="A3893">
        <v>2025</v>
      </c>
      <c r="B3893" t="s">
        <v>7748</v>
      </c>
      <c r="C3893" s="1">
        <v>46007</v>
      </c>
      <c r="D3893" t="s">
        <v>7749</v>
      </c>
      <c r="E3893" s="2">
        <v>107628.72</v>
      </c>
      <c r="G3893" s="3">
        <f>MONTH(Tabela1[[#This Row],[Último pagto ano]])</f>
        <v>12</v>
      </c>
      <c r="H3893" t="str">
        <f>TEXT(Tabela1[[#This Row],[Coluna2]]*29,"mmmm")</f>
        <v>dezembro</v>
      </c>
      <c r="I3893" t="str">
        <f>TEXT(MONTH(Tabela1[[#This Row],[Último pagto ano]])*29,"mmmm")</f>
        <v>dezembro</v>
      </c>
    </row>
    <row r="3894" spans="1:9" x14ac:dyDescent="0.25">
      <c r="A3894">
        <v>2025</v>
      </c>
      <c r="B3894" t="s">
        <v>7750</v>
      </c>
      <c r="C3894" s="1">
        <v>45702</v>
      </c>
      <c r="D3894" t="s">
        <v>7751</v>
      </c>
      <c r="E3894">
        <v>22</v>
      </c>
      <c r="G3894" s="3">
        <f>MONTH(Tabela1[[#This Row],[Último pagto ano]])</f>
        <v>2</v>
      </c>
      <c r="H3894" t="str">
        <f>TEXT(Tabela1[[#This Row],[Coluna2]]*29,"mmmm")</f>
        <v>fevereiro</v>
      </c>
      <c r="I3894" t="str">
        <f>TEXT(MONTH(Tabela1[[#This Row],[Último pagto ano]])*29,"mmmm")</f>
        <v>fevereiro</v>
      </c>
    </row>
    <row r="3895" spans="1:9" x14ac:dyDescent="0.25">
      <c r="A3895">
        <v>2025</v>
      </c>
      <c r="B3895" t="s">
        <v>7752</v>
      </c>
      <c r="C3895" s="1">
        <v>46021</v>
      </c>
      <c r="D3895" t="s">
        <v>7753</v>
      </c>
      <c r="E3895" s="2">
        <v>7422.86</v>
      </c>
      <c r="G3895" s="3">
        <f>MONTH(Tabela1[[#This Row],[Último pagto ano]])</f>
        <v>12</v>
      </c>
      <c r="H3895" t="str">
        <f>TEXT(Tabela1[[#This Row],[Coluna2]]*29,"mmmm")</f>
        <v>dezembro</v>
      </c>
      <c r="I3895" t="str">
        <f>TEXT(MONTH(Tabela1[[#This Row],[Último pagto ano]])*29,"mmmm")</f>
        <v>dezembro</v>
      </c>
    </row>
    <row r="3896" spans="1:9" x14ac:dyDescent="0.25">
      <c r="A3896">
        <v>2025</v>
      </c>
      <c r="B3896" t="s">
        <v>7754</v>
      </c>
      <c r="C3896" s="1">
        <v>45876</v>
      </c>
      <c r="D3896" t="s">
        <v>7755</v>
      </c>
      <c r="E3896" s="2">
        <v>6309.29</v>
      </c>
      <c r="G3896" s="3">
        <f>MONTH(Tabela1[[#This Row],[Último pagto ano]])</f>
        <v>8</v>
      </c>
      <c r="H3896" t="str">
        <f>TEXT(Tabela1[[#This Row],[Coluna2]]*29,"mmmm")</f>
        <v>agosto</v>
      </c>
      <c r="I3896" t="str">
        <f>TEXT(MONTH(Tabela1[[#This Row],[Último pagto ano]])*29,"mmmm")</f>
        <v>agosto</v>
      </c>
    </row>
    <row r="3897" spans="1:9" x14ac:dyDescent="0.25">
      <c r="A3897">
        <v>2025</v>
      </c>
      <c r="B3897" t="s">
        <v>7756</v>
      </c>
      <c r="C3897" s="1">
        <v>45989</v>
      </c>
      <c r="D3897" t="s">
        <v>7757</v>
      </c>
      <c r="E3897" s="2">
        <v>6999.07</v>
      </c>
      <c r="G3897" s="3">
        <f>MONTH(Tabela1[[#This Row],[Último pagto ano]])</f>
        <v>11</v>
      </c>
      <c r="H3897" t="str">
        <f>TEXT(Tabela1[[#This Row],[Coluna2]]*29,"mmmm")</f>
        <v>novembro</v>
      </c>
      <c r="I3897" t="str">
        <f>TEXT(MONTH(Tabela1[[#This Row],[Último pagto ano]])*29,"mmmm")</f>
        <v>novembro</v>
      </c>
    </row>
    <row r="3898" spans="1:9" x14ac:dyDescent="0.25">
      <c r="A3898">
        <v>2025</v>
      </c>
      <c r="B3898" t="s">
        <v>7758</v>
      </c>
      <c r="C3898" s="1">
        <v>46010</v>
      </c>
      <c r="D3898" t="s">
        <v>7759</v>
      </c>
      <c r="E3898" s="2">
        <v>24000</v>
      </c>
      <c r="G3898" s="3">
        <f>MONTH(Tabela1[[#This Row],[Último pagto ano]])</f>
        <v>12</v>
      </c>
      <c r="H3898" t="str">
        <f>TEXT(Tabela1[[#This Row],[Coluna2]]*29,"mmmm")</f>
        <v>dezembro</v>
      </c>
      <c r="I3898" t="str">
        <f>TEXT(MONTH(Tabela1[[#This Row],[Último pagto ano]])*29,"mmmm")</f>
        <v>dezembro</v>
      </c>
    </row>
    <row r="3899" spans="1:9" x14ac:dyDescent="0.25">
      <c r="A3899">
        <v>2025</v>
      </c>
      <c r="B3899" t="s">
        <v>7760</v>
      </c>
      <c r="C3899" s="1">
        <v>45702</v>
      </c>
      <c r="D3899" t="s">
        <v>7761</v>
      </c>
      <c r="E3899">
        <v>309.18</v>
      </c>
      <c r="G3899" s="3">
        <f>MONTH(Tabela1[[#This Row],[Último pagto ano]])</f>
        <v>2</v>
      </c>
      <c r="H3899" t="str">
        <f>TEXT(Tabela1[[#This Row],[Coluna2]]*29,"mmmm")</f>
        <v>fevereiro</v>
      </c>
      <c r="I3899" t="str">
        <f>TEXT(MONTH(Tabela1[[#This Row],[Último pagto ano]])*29,"mmmm")</f>
        <v>fevereiro</v>
      </c>
    </row>
    <row r="3900" spans="1:9" x14ac:dyDescent="0.25">
      <c r="A3900">
        <v>2025</v>
      </c>
      <c r="B3900" t="s">
        <v>7762</v>
      </c>
      <c r="C3900" s="1">
        <v>45996</v>
      </c>
      <c r="D3900" t="s">
        <v>7763</v>
      </c>
      <c r="E3900" s="2">
        <v>29999.98</v>
      </c>
      <c r="G3900" s="3">
        <f>MONTH(Tabela1[[#This Row],[Último pagto ano]])</f>
        <v>12</v>
      </c>
      <c r="H3900" t="str">
        <f>TEXT(Tabela1[[#This Row],[Coluna2]]*29,"mmmm")</f>
        <v>dezembro</v>
      </c>
      <c r="I3900" t="str">
        <f>TEXT(MONTH(Tabela1[[#This Row],[Último pagto ano]])*29,"mmmm")</f>
        <v>dezembro</v>
      </c>
    </row>
    <row r="3901" spans="1:9" x14ac:dyDescent="0.25">
      <c r="A3901">
        <v>2025</v>
      </c>
      <c r="B3901" t="s">
        <v>7764</v>
      </c>
      <c r="C3901" s="1">
        <v>45876</v>
      </c>
      <c r="D3901" t="s">
        <v>7765</v>
      </c>
      <c r="E3901">
        <v>720</v>
      </c>
      <c r="G3901" s="3">
        <f>MONTH(Tabela1[[#This Row],[Último pagto ano]])</f>
        <v>8</v>
      </c>
      <c r="H3901" t="str">
        <f>TEXT(Tabela1[[#This Row],[Coluna2]]*29,"mmmm")</f>
        <v>agosto</v>
      </c>
      <c r="I3901" t="str">
        <f>TEXT(MONTH(Tabela1[[#This Row],[Último pagto ano]])*29,"mmmm")</f>
        <v>agosto</v>
      </c>
    </row>
    <row r="3902" spans="1:9" x14ac:dyDescent="0.25">
      <c r="A3902">
        <v>2025</v>
      </c>
      <c r="B3902" t="s">
        <v>7766</v>
      </c>
      <c r="C3902" s="1">
        <v>45995</v>
      </c>
      <c r="D3902" t="s">
        <v>7767</v>
      </c>
      <c r="E3902" s="2">
        <v>104224.56</v>
      </c>
      <c r="G3902" s="3">
        <f>MONTH(Tabela1[[#This Row],[Último pagto ano]])</f>
        <v>12</v>
      </c>
      <c r="H3902" t="str">
        <f>TEXT(Tabela1[[#This Row],[Coluna2]]*29,"mmmm")</f>
        <v>dezembro</v>
      </c>
      <c r="I3902" t="str">
        <f>TEXT(MONTH(Tabela1[[#This Row],[Último pagto ano]])*29,"mmmm")</f>
        <v>dezembro</v>
      </c>
    </row>
    <row r="3903" spans="1:9" x14ac:dyDescent="0.25">
      <c r="A3903">
        <v>2025</v>
      </c>
      <c r="B3903" t="s">
        <v>7768</v>
      </c>
      <c r="C3903" s="1">
        <v>46021</v>
      </c>
      <c r="D3903" t="s">
        <v>7769</v>
      </c>
      <c r="E3903" s="2">
        <v>361880.68</v>
      </c>
      <c r="G3903" s="3">
        <f>MONTH(Tabela1[[#This Row],[Último pagto ano]])</f>
        <v>12</v>
      </c>
      <c r="H3903" t="str">
        <f>TEXT(Tabela1[[#This Row],[Coluna2]]*29,"mmmm")</f>
        <v>dezembro</v>
      </c>
      <c r="I3903" t="str">
        <f>TEXT(MONTH(Tabela1[[#This Row],[Último pagto ano]])*29,"mmmm")</f>
        <v>dezembro</v>
      </c>
    </row>
    <row r="3904" spans="1:9" x14ac:dyDescent="0.25">
      <c r="A3904">
        <v>2025</v>
      </c>
      <c r="B3904" t="s">
        <v>7770</v>
      </c>
      <c r="C3904" s="1">
        <v>45922</v>
      </c>
      <c r="D3904" t="s">
        <v>7771</v>
      </c>
      <c r="E3904" s="2">
        <v>15200</v>
      </c>
      <c r="G3904" s="3">
        <f>MONTH(Tabela1[[#This Row],[Último pagto ano]])</f>
        <v>9</v>
      </c>
      <c r="H3904" t="str">
        <f>TEXT(Tabela1[[#This Row],[Coluna2]]*29,"mmmm")</f>
        <v>setembro</v>
      </c>
      <c r="I3904" t="str">
        <f>TEXT(MONTH(Tabela1[[#This Row],[Último pagto ano]])*29,"mmmm")</f>
        <v>setembro</v>
      </c>
    </row>
    <row r="3905" spans="1:9" x14ac:dyDescent="0.25">
      <c r="A3905">
        <v>2025</v>
      </c>
      <c r="B3905" t="s">
        <v>7772</v>
      </c>
      <c r="C3905" s="1">
        <v>46014</v>
      </c>
      <c r="D3905" t="s">
        <v>7773</v>
      </c>
      <c r="E3905" s="2">
        <v>4828.32</v>
      </c>
      <c r="G3905" s="3">
        <f>MONTH(Tabela1[[#This Row],[Último pagto ano]])</f>
        <v>12</v>
      </c>
      <c r="H3905" t="str">
        <f>TEXT(Tabela1[[#This Row],[Coluna2]]*29,"mmmm")</f>
        <v>dezembro</v>
      </c>
      <c r="I3905" t="str">
        <f>TEXT(MONTH(Tabela1[[#This Row],[Último pagto ano]])*29,"mmmm")</f>
        <v>dezembro</v>
      </c>
    </row>
    <row r="3906" spans="1:9" x14ac:dyDescent="0.25">
      <c r="A3906">
        <v>2025</v>
      </c>
      <c r="B3906" t="s">
        <v>7774</v>
      </c>
      <c r="C3906" s="1">
        <v>46007</v>
      </c>
      <c r="D3906" t="s">
        <v>7775</v>
      </c>
      <c r="E3906" s="2">
        <v>14980</v>
      </c>
      <c r="G3906" s="3">
        <f>MONTH(Tabela1[[#This Row],[Último pagto ano]])</f>
        <v>12</v>
      </c>
      <c r="H3906" t="str">
        <f>TEXT(Tabela1[[#This Row],[Coluna2]]*29,"mmmm")</f>
        <v>dezembro</v>
      </c>
      <c r="I3906" t="str">
        <f>TEXT(MONTH(Tabela1[[#This Row],[Último pagto ano]])*29,"mmmm")</f>
        <v>dezembro</v>
      </c>
    </row>
    <row r="3907" spans="1:9" x14ac:dyDescent="0.25">
      <c r="A3907">
        <v>2025</v>
      </c>
      <c r="B3907" t="s">
        <v>7776</v>
      </c>
      <c r="C3907" s="1">
        <v>46014</v>
      </c>
      <c r="D3907" t="s">
        <v>7777</v>
      </c>
      <c r="E3907" s="2">
        <v>54250</v>
      </c>
      <c r="G3907" s="3">
        <f>MONTH(Tabela1[[#This Row],[Último pagto ano]])</f>
        <v>12</v>
      </c>
      <c r="H3907" t="str">
        <f>TEXT(Tabela1[[#This Row],[Coluna2]]*29,"mmmm")</f>
        <v>dezembro</v>
      </c>
      <c r="I3907" t="str">
        <f>TEXT(MONTH(Tabela1[[#This Row],[Último pagto ano]])*29,"mmmm")</f>
        <v>dezembro</v>
      </c>
    </row>
    <row r="3908" spans="1:9" x14ac:dyDescent="0.25">
      <c r="A3908">
        <v>2025</v>
      </c>
      <c r="B3908" t="s">
        <v>7778</v>
      </c>
      <c r="C3908" s="1">
        <v>45903</v>
      </c>
      <c r="D3908" t="s">
        <v>7779</v>
      </c>
      <c r="E3908" s="2">
        <v>49840</v>
      </c>
      <c r="G3908" s="3">
        <f>MONTH(Tabela1[[#This Row],[Último pagto ano]])</f>
        <v>9</v>
      </c>
      <c r="H3908" t="str">
        <f>TEXT(Tabela1[[#This Row],[Coluna2]]*29,"mmmm")</f>
        <v>setembro</v>
      </c>
      <c r="I3908" t="str">
        <f>TEXT(MONTH(Tabela1[[#This Row],[Último pagto ano]])*29,"mmmm")</f>
        <v>setembro</v>
      </c>
    </row>
    <row r="3909" spans="1:9" x14ac:dyDescent="0.25">
      <c r="A3909">
        <v>2025</v>
      </c>
      <c r="B3909" t="s">
        <v>7780</v>
      </c>
      <c r="C3909" s="1">
        <v>46009</v>
      </c>
      <c r="D3909" t="s">
        <v>7781</v>
      </c>
      <c r="E3909" s="2">
        <v>1568.8</v>
      </c>
      <c r="G3909" s="3">
        <f>MONTH(Tabela1[[#This Row],[Último pagto ano]])</f>
        <v>12</v>
      </c>
      <c r="H3909" t="str">
        <f>TEXT(Tabela1[[#This Row],[Coluna2]]*29,"mmmm")</f>
        <v>dezembro</v>
      </c>
      <c r="I3909" t="str">
        <f>TEXT(MONTH(Tabela1[[#This Row],[Último pagto ano]])*29,"mmmm")</f>
        <v>dezembro</v>
      </c>
    </row>
    <row r="3910" spans="1:9" x14ac:dyDescent="0.25">
      <c r="A3910">
        <v>2025</v>
      </c>
      <c r="B3910" t="s">
        <v>7782</v>
      </c>
      <c r="C3910" s="1">
        <v>45985</v>
      </c>
      <c r="D3910" t="s">
        <v>7783</v>
      </c>
      <c r="E3910" s="2">
        <v>715614</v>
      </c>
      <c r="G3910" s="3">
        <f>MONTH(Tabela1[[#This Row],[Último pagto ano]])</f>
        <v>11</v>
      </c>
      <c r="H3910" t="str">
        <f>TEXT(Tabela1[[#This Row],[Coluna2]]*29,"mmmm")</f>
        <v>novembro</v>
      </c>
      <c r="I3910" t="str">
        <f>TEXT(MONTH(Tabela1[[#This Row],[Último pagto ano]])*29,"mmmm")</f>
        <v>novembro</v>
      </c>
    </row>
    <row r="3911" spans="1:9" x14ac:dyDescent="0.25">
      <c r="A3911">
        <v>2025</v>
      </c>
      <c r="B3911" t="s">
        <v>7784</v>
      </c>
      <c r="C3911" s="1">
        <v>45730</v>
      </c>
      <c r="D3911" t="s">
        <v>7785</v>
      </c>
      <c r="E3911" s="2">
        <v>56440</v>
      </c>
      <c r="G3911" s="3">
        <f>MONTH(Tabela1[[#This Row],[Último pagto ano]])</f>
        <v>3</v>
      </c>
      <c r="H3911" t="str">
        <f>TEXT(Tabela1[[#This Row],[Coluna2]]*29,"mmmm")</f>
        <v>março</v>
      </c>
      <c r="I3911" t="str">
        <f>TEXT(MONTH(Tabela1[[#This Row],[Último pagto ano]])*29,"mmmm")</f>
        <v>março</v>
      </c>
    </row>
    <row r="3912" spans="1:9" x14ac:dyDescent="0.25">
      <c r="A3912">
        <v>2025</v>
      </c>
      <c r="B3912" t="s">
        <v>7786</v>
      </c>
      <c r="C3912" s="1">
        <v>46009</v>
      </c>
      <c r="D3912" t="s">
        <v>7787</v>
      </c>
      <c r="E3912" s="2">
        <v>62600</v>
      </c>
      <c r="G3912" s="3">
        <f>MONTH(Tabela1[[#This Row],[Último pagto ano]])</f>
        <v>12</v>
      </c>
      <c r="H3912" t="str">
        <f>TEXT(Tabela1[[#This Row],[Coluna2]]*29,"mmmm")</f>
        <v>dezembro</v>
      </c>
      <c r="I3912" t="str">
        <f>TEXT(MONTH(Tabela1[[#This Row],[Último pagto ano]])*29,"mmmm")</f>
        <v>dezembro</v>
      </c>
    </row>
    <row r="3913" spans="1:9" x14ac:dyDescent="0.25">
      <c r="A3913">
        <v>2025</v>
      </c>
      <c r="B3913" t="s">
        <v>7788</v>
      </c>
      <c r="C3913" s="1">
        <v>46009</v>
      </c>
      <c r="D3913" t="s">
        <v>7789</v>
      </c>
      <c r="E3913" s="2">
        <v>101214.94</v>
      </c>
      <c r="G3913" s="3">
        <f>MONTH(Tabela1[[#This Row],[Último pagto ano]])</f>
        <v>12</v>
      </c>
      <c r="H3913" t="str">
        <f>TEXT(Tabela1[[#This Row],[Coluna2]]*29,"mmmm")</f>
        <v>dezembro</v>
      </c>
      <c r="I3913" t="str">
        <f>TEXT(MONTH(Tabela1[[#This Row],[Último pagto ano]])*29,"mmmm")</f>
        <v>dezembro</v>
      </c>
    </row>
    <row r="3914" spans="1:9" x14ac:dyDescent="0.25">
      <c r="A3914">
        <v>2025</v>
      </c>
      <c r="B3914" t="s">
        <v>7790</v>
      </c>
      <c r="C3914" s="1">
        <v>46014</v>
      </c>
      <c r="D3914" t="s">
        <v>7791</v>
      </c>
      <c r="E3914">
        <v>132</v>
      </c>
      <c r="G3914" s="3">
        <f>MONTH(Tabela1[[#This Row],[Último pagto ano]])</f>
        <v>12</v>
      </c>
      <c r="H3914" t="str">
        <f>TEXT(Tabela1[[#This Row],[Coluna2]]*29,"mmmm")</f>
        <v>dezembro</v>
      </c>
      <c r="I3914" t="str">
        <f>TEXT(MONTH(Tabela1[[#This Row],[Último pagto ano]])*29,"mmmm")</f>
        <v>dezembro</v>
      </c>
    </row>
    <row r="3915" spans="1:9" x14ac:dyDescent="0.25">
      <c r="A3915">
        <v>2025</v>
      </c>
      <c r="B3915" t="s">
        <v>7792</v>
      </c>
      <c r="C3915" s="1">
        <v>45964</v>
      </c>
      <c r="D3915" t="s">
        <v>7793</v>
      </c>
      <c r="E3915">
        <v>198</v>
      </c>
      <c r="G3915" s="3">
        <f>MONTH(Tabela1[[#This Row],[Último pagto ano]])</f>
        <v>11</v>
      </c>
      <c r="H3915" t="str">
        <f>TEXT(Tabela1[[#This Row],[Coluna2]]*29,"mmmm")</f>
        <v>novembro</v>
      </c>
      <c r="I3915" t="str">
        <f>TEXT(MONTH(Tabela1[[#This Row],[Último pagto ano]])*29,"mmmm")</f>
        <v>novembro</v>
      </c>
    </row>
    <row r="3916" spans="1:9" x14ac:dyDescent="0.25">
      <c r="A3916">
        <v>2025</v>
      </c>
      <c r="B3916" t="s">
        <v>7794</v>
      </c>
      <c r="C3916" s="1">
        <v>45905</v>
      </c>
      <c r="D3916" t="s">
        <v>7795</v>
      </c>
      <c r="E3916">
        <v>883.61</v>
      </c>
      <c r="G3916" s="3">
        <f>MONTH(Tabela1[[#This Row],[Último pagto ano]])</f>
        <v>9</v>
      </c>
      <c r="H3916" t="str">
        <f>TEXT(Tabela1[[#This Row],[Coluna2]]*29,"mmmm")</f>
        <v>setembro</v>
      </c>
      <c r="I3916" t="str">
        <f>TEXT(MONTH(Tabela1[[#This Row],[Último pagto ano]])*29,"mmmm")</f>
        <v>setembro</v>
      </c>
    </row>
    <row r="3917" spans="1:9" x14ac:dyDescent="0.25">
      <c r="A3917">
        <v>2025</v>
      </c>
      <c r="B3917" t="s">
        <v>7796</v>
      </c>
      <c r="C3917" s="1">
        <v>45985</v>
      </c>
      <c r="D3917" t="s">
        <v>7797</v>
      </c>
      <c r="E3917" s="2">
        <v>2520</v>
      </c>
      <c r="G3917" s="3">
        <f>MONTH(Tabela1[[#This Row],[Último pagto ano]])</f>
        <v>11</v>
      </c>
      <c r="H3917" t="str">
        <f>TEXT(Tabela1[[#This Row],[Coluna2]]*29,"mmmm")</f>
        <v>novembro</v>
      </c>
      <c r="I3917" t="str">
        <f>TEXT(MONTH(Tabela1[[#This Row],[Último pagto ano]])*29,"mmmm")</f>
        <v>novembro</v>
      </c>
    </row>
    <row r="3918" spans="1:9" x14ac:dyDescent="0.25">
      <c r="A3918">
        <v>2025</v>
      </c>
      <c r="B3918" t="s">
        <v>7798</v>
      </c>
      <c r="C3918" s="1">
        <v>45996</v>
      </c>
      <c r="D3918" t="s">
        <v>7799</v>
      </c>
      <c r="E3918" s="2">
        <v>23400</v>
      </c>
      <c r="G3918" s="3">
        <f>MONTH(Tabela1[[#This Row],[Último pagto ano]])</f>
        <v>12</v>
      </c>
      <c r="H3918" t="str">
        <f>TEXT(Tabela1[[#This Row],[Coluna2]]*29,"mmmm")</f>
        <v>dezembro</v>
      </c>
      <c r="I3918" t="str">
        <f>TEXT(MONTH(Tabela1[[#This Row],[Último pagto ano]])*29,"mmmm")</f>
        <v>dezembro</v>
      </c>
    </row>
    <row r="3919" spans="1:9" x14ac:dyDescent="0.25">
      <c r="A3919">
        <v>2025</v>
      </c>
      <c r="B3919" t="s">
        <v>7800</v>
      </c>
      <c r="C3919" s="1">
        <v>46014</v>
      </c>
      <c r="D3919" t="s">
        <v>7801</v>
      </c>
      <c r="E3919">
        <v>836</v>
      </c>
      <c r="G3919" s="3">
        <f>MONTH(Tabela1[[#This Row],[Último pagto ano]])</f>
        <v>12</v>
      </c>
      <c r="H3919" t="str">
        <f>TEXT(Tabela1[[#This Row],[Coluna2]]*29,"mmmm")</f>
        <v>dezembro</v>
      </c>
      <c r="I3919" t="str">
        <f>TEXT(MONTH(Tabela1[[#This Row],[Último pagto ano]])*29,"mmmm")</f>
        <v>dezembro</v>
      </c>
    </row>
    <row r="3920" spans="1:9" x14ac:dyDescent="0.25">
      <c r="A3920">
        <v>2025</v>
      </c>
      <c r="B3920" t="s">
        <v>7802</v>
      </c>
      <c r="C3920" s="1">
        <v>45947</v>
      </c>
      <c r="D3920" t="s">
        <v>7803</v>
      </c>
      <c r="E3920" s="2">
        <v>6996.31</v>
      </c>
      <c r="G3920" s="3">
        <f>MONTH(Tabela1[[#This Row],[Último pagto ano]])</f>
        <v>10</v>
      </c>
      <c r="H3920" t="str">
        <f>TEXT(Tabela1[[#This Row],[Coluna2]]*29,"mmmm")</f>
        <v>outubro</v>
      </c>
      <c r="I3920" t="str">
        <f>TEXT(MONTH(Tabela1[[#This Row],[Último pagto ano]])*29,"mmmm")</f>
        <v>outubro</v>
      </c>
    </row>
    <row r="3921" spans="1:9" x14ac:dyDescent="0.25">
      <c r="A3921">
        <v>2025</v>
      </c>
      <c r="B3921" t="s">
        <v>7804</v>
      </c>
      <c r="C3921" s="1">
        <v>45754</v>
      </c>
      <c r="D3921" t="s">
        <v>7805</v>
      </c>
      <c r="E3921" s="2">
        <v>16200</v>
      </c>
      <c r="G3921" s="3">
        <f>MONTH(Tabela1[[#This Row],[Último pagto ano]])</f>
        <v>4</v>
      </c>
      <c r="H3921" t="str">
        <f>TEXT(Tabela1[[#This Row],[Coluna2]]*29,"mmmm")</f>
        <v>abril</v>
      </c>
      <c r="I3921" t="str">
        <f>TEXT(MONTH(Tabela1[[#This Row],[Último pagto ano]])*29,"mmmm")</f>
        <v>abril</v>
      </c>
    </row>
    <row r="3922" spans="1:9" x14ac:dyDescent="0.25">
      <c r="A3922">
        <v>2025</v>
      </c>
      <c r="B3922" t="s">
        <v>7806</v>
      </c>
      <c r="C3922" s="1">
        <v>45996</v>
      </c>
      <c r="D3922" t="s">
        <v>7807</v>
      </c>
      <c r="E3922" s="2">
        <v>2400</v>
      </c>
      <c r="G3922" s="3">
        <f>MONTH(Tabela1[[#This Row],[Último pagto ano]])</f>
        <v>12</v>
      </c>
      <c r="H3922" t="str">
        <f>TEXT(Tabela1[[#This Row],[Coluna2]]*29,"mmmm")</f>
        <v>dezembro</v>
      </c>
      <c r="I3922" t="str">
        <f>TEXT(MONTH(Tabela1[[#This Row],[Último pagto ano]])*29,"mmmm")</f>
        <v>dezembro</v>
      </c>
    </row>
    <row r="3923" spans="1:9" x14ac:dyDescent="0.25">
      <c r="A3923">
        <v>2025</v>
      </c>
      <c r="B3923" t="s">
        <v>7808</v>
      </c>
      <c r="C3923" s="1">
        <v>45960</v>
      </c>
      <c r="D3923" t="s">
        <v>7809</v>
      </c>
      <c r="E3923">
        <v>5.28</v>
      </c>
      <c r="G3923" s="3">
        <f>MONTH(Tabela1[[#This Row],[Último pagto ano]])</f>
        <v>10</v>
      </c>
      <c r="H3923" t="str">
        <f>TEXT(Tabela1[[#This Row],[Coluna2]]*29,"mmmm")</f>
        <v>outubro</v>
      </c>
      <c r="I3923" t="str">
        <f>TEXT(MONTH(Tabela1[[#This Row],[Último pagto ano]])*29,"mmmm")</f>
        <v>outubro</v>
      </c>
    </row>
    <row r="3924" spans="1:9" x14ac:dyDescent="0.25">
      <c r="A3924">
        <v>2025</v>
      </c>
      <c r="B3924" t="s">
        <v>7810</v>
      </c>
      <c r="C3924" s="1">
        <v>46010</v>
      </c>
      <c r="D3924" t="s">
        <v>7811</v>
      </c>
      <c r="E3924" s="2">
        <v>12000</v>
      </c>
      <c r="G3924" s="3">
        <f>MONTH(Tabela1[[#This Row],[Último pagto ano]])</f>
        <v>12</v>
      </c>
      <c r="H3924" t="str">
        <f>TEXT(Tabela1[[#This Row],[Coluna2]]*29,"mmmm")</f>
        <v>dezembro</v>
      </c>
      <c r="I3924" t="str">
        <f>TEXT(MONTH(Tabela1[[#This Row],[Último pagto ano]])*29,"mmmm")</f>
        <v>dezembro</v>
      </c>
    </row>
    <row r="3925" spans="1:9" x14ac:dyDescent="0.25">
      <c r="A3925">
        <v>2025</v>
      </c>
      <c r="B3925" t="s">
        <v>7812</v>
      </c>
      <c r="C3925" s="1">
        <v>45887</v>
      </c>
      <c r="D3925" t="s">
        <v>7813</v>
      </c>
      <c r="E3925">
        <v>22</v>
      </c>
      <c r="G3925" s="3">
        <f>MONTH(Tabela1[[#This Row],[Último pagto ano]])</f>
        <v>8</v>
      </c>
      <c r="H3925" t="str">
        <f>TEXT(Tabela1[[#This Row],[Coluna2]]*29,"mmmm")</f>
        <v>agosto</v>
      </c>
      <c r="I3925" t="str">
        <f>TEXT(MONTH(Tabela1[[#This Row],[Último pagto ano]])*29,"mmmm")</f>
        <v>agosto</v>
      </c>
    </row>
    <row r="3926" spans="1:9" x14ac:dyDescent="0.25">
      <c r="A3926">
        <v>2025</v>
      </c>
      <c r="B3926" t="s">
        <v>7814</v>
      </c>
      <c r="C3926" s="1">
        <v>45989</v>
      </c>
      <c r="D3926" t="s">
        <v>7815</v>
      </c>
      <c r="E3926" s="2">
        <v>11763.87</v>
      </c>
      <c r="G3926" s="3">
        <f>MONTH(Tabela1[[#This Row],[Último pagto ano]])</f>
        <v>11</v>
      </c>
      <c r="H3926" t="str">
        <f>TEXT(Tabela1[[#This Row],[Coluna2]]*29,"mmmm")</f>
        <v>novembro</v>
      </c>
      <c r="I3926" t="str">
        <f>TEXT(MONTH(Tabela1[[#This Row],[Último pagto ano]])*29,"mmmm")</f>
        <v>novembro</v>
      </c>
    </row>
    <row r="3927" spans="1:9" x14ac:dyDescent="0.25">
      <c r="A3927">
        <v>2025</v>
      </c>
      <c r="B3927" t="s">
        <v>7816</v>
      </c>
      <c r="C3927" s="1">
        <v>45702</v>
      </c>
      <c r="D3927" t="s">
        <v>7817</v>
      </c>
      <c r="E3927" s="2">
        <v>1193.69</v>
      </c>
      <c r="G3927" s="3">
        <f>MONTH(Tabela1[[#This Row],[Último pagto ano]])</f>
        <v>2</v>
      </c>
      <c r="H3927" t="str">
        <f>TEXT(Tabela1[[#This Row],[Coluna2]]*29,"mmmm")</f>
        <v>fevereiro</v>
      </c>
      <c r="I3927" t="str">
        <f>TEXT(MONTH(Tabela1[[#This Row],[Último pagto ano]])*29,"mmmm")</f>
        <v>fevereiro</v>
      </c>
    </row>
    <row r="3928" spans="1:9" x14ac:dyDescent="0.25">
      <c r="A3928">
        <v>2025</v>
      </c>
      <c r="B3928" t="s">
        <v>7818</v>
      </c>
      <c r="C3928" s="1">
        <v>45740</v>
      </c>
      <c r="D3928" t="s">
        <v>7819</v>
      </c>
      <c r="E3928" s="2">
        <v>2100</v>
      </c>
      <c r="G3928" s="3">
        <f>MONTH(Tabela1[[#This Row],[Último pagto ano]])</f>
        <v>3</v>
      </c>
      <c r="H3928" t="str">
        <f>TEXT(Tabela1[[#This Row],[Coluna2]]*29,"mmmm")</f>
        <v>março</v>
      </c>
      <c r="I3928" t="str">
        <f>TEXT(MONTH(Tabela1[[#This Row],[Último pagto ano]])*29,"mmmm")</f>
        <v>março</v>
      </c>
    </row>
    <row r="3929" spans="1:9" x14ac:dyDescent="0.25">
      <c r="A3929">
        <v>2025</v>
      </c>
      <c r="B3929" t="s">
        <v>7820</v>
      </c>
      <c r="C3929" s="1">
        <v>45936</v>
      </c>
      <c r="D3929" t="s">
        <v>7821</v>
      </c>
      <c r="E3929">
        <v>110</v>
      </c>
      <c r="G3929" s="3">
        <f>MONTH(Tabela1[[#This Row],[Último pagto ano]])</f>
        <v>10</v>
      </c>
      <c r="H3929" t="str">
        <f>TEXT(Tabela1[[#This Row],[Coluna2]]*29,"mmmm")</f>
        <v>outubro</v>
      </c>
      <c r="I3929" t="str">
        <f>TEXT(MONTH(Tabela1[[#This Row],[Último pagto ano]])*29,"mmmm")</f>
        <v>outubro</v>
      </c>
    </row>
    <row r="3930" spans="1:9" x14ac:dyDescent="0.25">
      <c r="A3930">
        <v>2025</v>
      </c>
      <c r="B3930" t="s">
        <v>7822</v>
      </c>
      <c r="C3930" s="1">
        <v>45856</v>
      </c>
      <c r="D3930" t="s">
        <v>7823</v>
      </c>
      <c r="E3930" s="2">
        <v>6657.3</v>
      </c>
      <c r="G3930" s="3">
        <f>MONTH(Tabela1[[#This Row],[Último pagto ano]])</f>
        <v>7</v>
      </c>
      <c r="H3930" t="str">
        <f>TEXT(Tabela1[[#This Row],[Coluna2]]*29,"mmmm")</f>
        <v>julho</v>
      </c>
      <c r="I3930" t="str">
        <f>TEXT(MONTH(Tabela1[[#This Row],[Último pagto ano]])*29,"mmmm")</f>
        <v>julho</v>
      </c>
    </row>
    <row r="3931" spans="1:9" x14ac:dyDescent="0.25">
      <c r="A3931">
        <v>2025</v>
      </c>
      <c r="B3931" t="s">
        <v>7824</v>
      </c>
      <c r="C3931" s="1">
        <v>45868</v>
      </c>
      <c r="D3931" t="s">
        <v>7825</v>
      </c>
      <c r="E3931" s="2">
        <v>4508.18</v>
      </c>
      <c r="G3931" s="3">
        <f>MONTH(Tabela1[[#This Row],[Último pagto ano]])</f>
        <v>7</v>
      </c>
      <c r="H3931" t="str">
        <f>TEXT(Tabela1[[#This Row],[Coluna2]]*29,"mmmm")</f>
        <v>julho</v>
      </c>
      <c r="I3931" t="str">
        <f>TEXT(MONTH(Tabela1[[#This Row],[Último pagto ano]])*29,"mmmm")</f>
        <v>julho</v>
      </c>
    </row>
    <row r="3932" spans="1:9" x14ac:dyDescent="0.25">
      <c r="A3932">
        <v>2025</v>
      </c>
      <c r="B3932" t="s">
        <v>7826</v>
      </c>
      <c r="C3932" s="1">
        <v>45989</v>
      </c>
      <c r="D3932" t="s">
        <v>7827</v>
      </c>
      <c r="E3932" s="2">
        <v>11100.35</v>
      </c>
      <c r="G3932" s="3">
        <f>MONTH(Tabela1[[#This Row],[Último pagto ano]])</f>
        <v>11</v>
      </c>
      <c r="H3932" t="str">
        <f>TEXT(Tabela1[[#This Row],[Coluna2]]*29,"mmmm")</f>
        <v>novembro</v>
      </c>
      <c r="I3932" t="str">
        <f>TEXT(MONTH(Tabela1[[#This Row],[Último pagto ano]])*29,"mmmm")</f>
        <v>novembro</v>
      </c>
    </row>
    <row r="3933" spans="1:9" x14ac:dyDescent="0.25">
      <c r="A3933">
        <v>2025</v>
      </c>
      <c r="B3933" t="s">
        <v>7828</v>
      </c>
      <c r="C3933" s="1">
        <v>46010</v>
      </c>
      <c r="D3933" t="s">
        <v>7829</v>
      </c>
      <c r="E3933" s="2">
        <v>8400</v>
      </c>
      <c r="G3933" s="3">
        <f>MONTH(Tabela1[[#This Row],[Último pagto ano]])</f>
        <v>12</v>
      </c>
      <c r="H3933" t="str">
        <f>TEXT(Tabela1[[#This Row],[Coluna2]]*29,"mmmm")</f>
        <v>dezembro</v>
      </c>
      <c r="I3933" t="str">
        <f>TEXT(MONTH(Tabela1[[#This Row],[Último pagto ano]])*29,"mmmm")</f>
        <v>dezembro</v>
      </c>
    </row>
    <row r="3934" spans="1:9" x14ac:dyDescent="0.25">
      <c r="A3934">
        <v>2025</v>
      </c>
      <c r="B3934" t="s">
        <v>7830</v>
      </c>
      <c r="C3934" s="1">
        <v>45817</v>
      </c>
      <c r="D3934" t="s">
        <v>7831</v>
      </c>
      <c r="E3934" s="2">
        <v>4991</v>
      </c>
      <c r="G3934" s="3">
        <f>MONTH(Tabela1[[#This Row],[Último pagto ano]])</f>
        <v>6</v>
      </c>
      <c r="H3934" t="str">
        <f>TEXT(Tabela1[[#This Row],[Coluna2]]*29,"mmmm")</f>
        <v>junho</v>
      </c>
      <c r="I3934" t="str">
        <f>TEXT(MONTH(Tabela1[[#This Row],[Último pagto ano]])*29,"mmmm")</f>
        <v>junho</v>
      </c>
    </row>
    <row r="3935" spans="1:9" x14ac:dyDescent="0.25">
      <c r="A3935">
        <v>2025</v>
      </c>
      <c r="B3935" t="s">
        <v>7832</v>
      </c>
      <c r="C3935" s="1">
        <v>45853</v>
      </c>
      <c r="D3935" t="s">
        <v>7833</v>
      </c>
      <c r="E3935" s="2">
        <v>5735.28</v>
      </c>
      <c r="G3935" s="3">
        <f>MONTH(Tabela1[[#This Row],[Último pagto ano]])</f>
        <v>7</v>
      </c>
      <c r="H3935" t="str">
        <f>TEXT(Tabela1[[#This Row],[Coluna2]]*29,"mmmm")</f>
        <v>julho</v>
      </c>
      <c r="I3935" t="str">
        <f>TEXT(MONTH(Tabela1[[#This Row],[Último pagto ano]])*29,"mmmm")</f>
        <v>julho</v>
      </c>
    </row>
    <row r="3936" spans="1:9" x14ac:dyDescent="0.25">
      <c r="A3936">
        <v>2025</v>
      </c>
      <c r="B3936" t="s">
        <v>7834</v>
      </c>
      <c r="C3936" s="1">
        <v>45985</v>
      </c>
      <c r="D3936" t="s">
        <v>7835</v>
      </c>
      <c r="E3936">
        <v>7.48</v>
      </c>
      <c r="G3936" s="3">
        <f>MONTH(Tabela1[[#This Row],[Último pagto ano]])</f>
        <v>11</v>
      </c>
      <c r="H3936" t="str">
        <f>TEXT(Tabela1[[#This Row],[Coluna2]]*29,"mmmm")</f>
        <v>novembro</v>
      </c>
      <c r="I3936" t="str">
        <f>TEXT(MONTH(Tabela1[[#This Row],[Último pagto ano]])*29,"mmmm")</f>
        <v>novembro</v>
      </c>
    </row>
    <row r="3937" spans="1:9" x14ac:dyDescent="0.25">
      <c r="A3937">
        <v>2025</v>
      </c>
      <c r="B3937" t="s">
        <v>7836</v>
      </c>
      <c r="C3937" s="1">
        <v>46006</v>
      </c>
      <c r="D3937" t="s">
        <v>7837</v>
      </c>
      <c r="E3937">
        <v>671</v>
      </c>
      <c r="G3937" s="3">
        <f>MONTH(Tabela1[[#This Row],[Último pagto ano]])</f>
        <v>12</v>
      </c>
      <c r="H3937" t="str">
        <f>TEXT(Tabela1[[#This Row],[Coluna2]]*29,"mmmm")</f>
        <v>dezembro</v>
      </c>
      <c r="I3937" t="str">
        <f>TEXT(MONTH(Tabela1[[#This Row],[Último pagto ano]])*29,"mmmm")</f>
        <v>dezembro</v>
      </c>
    </row>
    <row r="3938" spans="1:9" x14ac:dyDescent="0.25">
      <c r="A3938">
        <v>2025</v>
      </c>
      <c r="B3938" t="s">
        <v>7838</v>
      </c>
      <c r="C3938" s="1">
        <v>46014</v>
      </c>
      <c r="D3938" t="s">
        <v>7839</v>
      </c>
      <c r="E3938" s="2">
        <v>42900</v>
      </c>
      <c r="G3938" s="3">
        <f>MONTH(Tabela1[[#This Row],[Último pagto ano]])</f>
        <v>12</v>
      </c>
      <c r="H3938" t="str">
        <f>TEXT(Tabela1[[#This Row],[Coluna2]]*29,"mmmm")</f>
        <v>dezembro</v>
      </c>
      <c r="I3938" t="str">
        <f>TEXT(MONTH(Tabela1[[#This Row],[Último pagto ano]])*29,"mmmm")</f>
        <v>dezembro</v>
      </c>
    </row>
    <row r="3939" spans="1:9" x14ac:dyDescent="0.25">
      <c r="A3939">
        <v>2025</v>
      </c>
      <c r="B3939" t="s">
        <v>7840</v>
      </c>
      <c r="C3939" s="1">
        <v>45898</v>
      </c>
      <c r="D3939" t="s">
        <v>7841</v>
      </c>
      <c r="E3939" s="2">
        <v>7775.61</v>
      </c>
      <c r="G3939" s="3">
        <f>MONTH(Tabela1[[#This Row],[Último pagto ano]])</f>
        <v>8</v>
      </c>
      <c r="H3939" t="str">
        <f>TEXT(Tabela1[[#This Row],[Coluna2]]*29,"mmmm")</f>
        <v>agosto</v>
      </c>
      <c r="I3939" t="str">
        <f>TEXT(MONTH(Tabela1[[#This Row],[Último pagto ano]])*29,"mmmm")</f>
        <v>agosto</v>
      </c>
    </row>
    <row r="3940" spans="1:9" x14ac:dyDescent="0.25">
      <c r="A3940">
        <v>2025</v>
      </c>
      <c r="B3940" t="s">
        <v>7842</v>
      </c>
      <c r="C3940" s="1">
        <v>45691</v>
      </c>
      <c r="D3940" t="s">
        <v>7843</v>
      </c>
      <c r="E3940" s="2">
        <v>1687.85</v>
      </c>
      <c r="G3940" s="3">
        <f>MONTH(Tabela1[[#This Row],[Último pagto ano]])</f>
        <v>2</v>
      </c>
      <c r="H3940" t="str">
        <f>TEXT(Tabela1[[#This Row],[Coluna2]]*29,"mmmm")</f>
        <v>fevereiro</v>
      </c>
      <c r="I3940" t="str">
        <f>TEXT(MONTH(Tabela1[[#This Row],[Último pagto ano]])*29,"mmmm")</f>
        <v>fevereiro</v>
      </c>
    </row>
    <row r="3941" spans="1:9" x14ac:dyDescent="0.25">
      <c r="A3941">
        <v>2025</v>
      </c>
      <c r="B3941" t="s">
        <v>7844</v>
      </c>
      <c r="C3941" s="1">
        <v>45744</v>
      </c>
      <c r="D3941" t="s">
        <v>7845</v>
      </c>
      <c r="E3941" s="2">
        <v>205045.86</v>
      </c>
      <c r="G3941" s="3">
        <f>MONTH(Tabela1[[#This Row],[Último pagto ano]])</f>
        <v>3</v>
      </c>
      <c r="H3941" t="str">
        <f>TEXT(Tabela1[[#This Row],[Coluna2]]*29,"mmmm")</f>
        <v>março</v>
      </c>
      <c r="I3941" t="str">
        <f>TEXT(MONTH(Tabela1[[#This Row],[Último pagto ano]])*29,"mmmm")</f>
        <v>março</v>
      </c>
    </row>
    <row r="3942" spans="1:9" x14ac:dyDescent="0.25">
      <c r="A3942">
        <v>2025</v>
      </c>
      <c r="B3942" t="s">
        <v>7846</v>
      </c>
      <c r="C3942" s="1">
        <v>46014</v>
      </c>
      <c r="D3942" t="s">
        <v>7847</v>
      </c>
      <c r="E3942">
        <v>141.19999999999999</v>
      </c>
      <c r="G3942" s="3">
        <f>MONTH(Tabela1[[#This Row],[Último pagto ano]])</f>
        <v>12</v>
      </c>
      <c r="H3942" t="str">
        <f>TEXT(Tabela1[[#This Row],[Coluna2]]*29,"mmmm")</f>
        <v>dezembro</v>
      </c>
      <c r="I3942" t="str">
        <f>TEXT(MONTH(Tabela1[[#This Row],[Último pagto ano]])*29,"mmmm")</f>
        <v>dezembro</v>
      </c>
    </row>
    <row r="3943" spans="1:9" x14ac:dyDescent="0.25">
      <c r="A3943">
        <v>2025</v>
      </c>
      <c r="B3943" t="s">
        <v>7848</v>
      </c>
      <c r="C3943" s="1">
        <v>45996</v>
      </c>
      <c r="D3943" t="s">
        <v>7849</v>
      </c>
      <c r="E3943" s="2">
        <v>14400</v>
      </c>
      <c r="G3943" s="3">
        <f>MONTH(Tabela1[[#This Row],[Último pagto ano]])</f>
        <v>12</v>
      </c>
      <c r="H3943" t="str">
        <f>TEXT(Tabela1[[#This Row],[Coluna2]]*29,"mmmm")</f>
        <v>dezembro</v>
      </c>
      <c r="I3943" t="str">
        <f>TEXT(MONTH(Tabela1[[#This Row],[Último pagto ano]])*29,"mmmm")</f>
        <v>dezembro</v>
      </c>
    </row>
    <row r="3944" spans="1:9" x14ac:dyDescent="0.25">
      <c r="A3944">
        <v>2025</v>
      </c>
      <c r="B3944" t="s">
        <v>7850</v>
      </c>
      <c r="C3944" s="1">
        <v>46021</v>
      </c>
      <c r="D3944" t="s">
        <v>7851</v>
      </c>
      <c r="E3944" s="2">
        <v>12758.43</v>
      </c>
      <c r="G3944" s="3">
        <f>MONTH(Tabela1[[#This Row],[Último pagto ano]])</f>
        <v>12</v>
      </c>
      <c r="H3944" t="str">
        <f>TEXT(Tabela1[[#This Row],[Coluna2]]*29,"mmmm")</f>
        <v>dezembro</v>
      </c>
      <c r="I3944" t="str">
        <f>TEXT(MONTH(Tabela1[[#This Row],[Último pagto ano]])*29,"mmmm")</f>
        <v>dezembro</v>
      </c>
    </row>
    <row r="3945" spans="1:9" x14ac:dyDescent="0.25">
      <c r="A3945">
        <v>2025</v>
      </c>
      <c r="B3945" t="s">
        <v>7852</v>
      </c>
      <c r="C3945" s="1">
        <v>45952</v>
      </c>
      <c r="D3945" t="s">
        <v>7853</v>
      </c>
      <c r="E3945" s="2">
        <v>48692.5</v>
      </c>
      <c r="G3945" s="3">
        <f>MONTH(Tabela1[[#This Row],[Último pagto ano]])</f>
        <v>10</v>
      </c>
      <c r="H3945" t="str">
        <f>TEXT(Tabela1[[#This Row],[Coluna2]]*29,"mmmm")</f>
        <v>outubro</v>
      </c>
      <c r="I3945" t="str">
        <f>TEXT(MONTH(Tabela1[[#This Row],[Último pagto ano]])*29,"mmmm")</f>
        <v>outubro</v>
      </c>
    </row>
    <row r="3946" spans="1:9" x14ac:dyDescent="0.25">
      <c r="A3946">
        <v>2025</v>
      </c>
      <c r="B3946" t="s">
        <v>7854</v>
      </c>
      <c r="C3946" s="1">
        <v>45968</v>
      </c>
      <c r="D3946" t="s">
        <v>7855</v>
      </c>
      <c r="E3946" s="2">
        <v>16000</v>
      </c>
      <c r="G3946" s="3">
        <f>MONTH(Tabela1[[#This Row],[Último pagto ano]])</f>
        <v>11</v>
      </c>
      <c r="H3946" t="str">
        <f>TEXT(Tabela1[[#This Row],[Coluna2]]*29,"mmmm")</f>
        <v>novembro</v>
      </c>
      <c r="I3946" t="str">
        <f>TEXT(MONTH(Tabela1[[#This Row],[Último pagto ano]])*29,"mmmm")</f>
        <v>novembro</v>
      </c>
    </row>
    <row r="3947" spans="1:9" x14ac:dyDescent="0.25">
      <c r="A3947">
        <v>2025</v>
      </c>
      <c r="B3947" t="s">
        <v>7856</v>
      </c>
      <c r="C3947" s="1">
        <v>45702</v>
      </c>
      <c r="D3947" t="s">
        <v>7857</v>
      </c>
      <c r="E3947" s="2">
        <v>1244.47</v>
      </c>
      <c r="G3947" s="3">
        <f>MONTH(Tabela1[[#This Row],[Último pagto ano]])</f>
        <v>2</v>
      </c>
      <c r="H3947" t="str">
        <f>TEXT(Tabela1[[#This Row],[Coluna2]]*29,"mmmm")</f>
        <v>fevereiro</v>
      </c>
      <c r="I3947" t="str">
        <f>TEXT(MONTH(Tabela1[[#This Row],[Último pagto ano]])*29,"mmmm")</f>
        <v>fevereiro</v>
      </c>
    </row>
    <row r="3948" spans="1:9" x14ac:dyDescent="0.25">
      <c r="A3948">
        <v>2025</v>
      </c>
      <c r="B3948" t="s">
        <v>7858</v>
      </c>
      <c r="C3948" s="1">
        <v>45702</v>
      </c>
      <c r="D3948" t="s">
        <v>7859</v>
      </c>
      <c r="E3948" s="2">
        <v>1164.82</v>
      </c>
      <c r="G3948" s="3">
        <f>MONTH(Tabela1[[#This Row],[Último pagto ano]])</f>
        <v>2</v>
      </c>
      <c r="H3948" t="str">
        <f>TEXT(Tabela1[[#This Row],[Coluna2]]*29,"mmmm")</f>
        <v>fevereiro</v>
      </c>
      <c r="I3948" t="str">
        <f>TEXT(MONTH(Tabela1[[#This Row],[Último pagto ano]])*29,"mmmm")</f>
        <v>fevereiro</v>
      </c>
    </row>
    <row r="3949" spans="1:9" x14ac:dyDescent="0.25">
      <c r="A3949">
        <v>2025</v>
      </c>
      <c r="B3949" t="s">
        <v>7860</v>
      </c>
      <c r="C3949" s="1">
        <v>45936</v>
      </c>
      <c r="D3949" t="s">
        <v>7861</v>
      </c>
      <c r="E3949">
        <v>286</v>
      </c>
      <c r="G3949" s="3">
        <f>MONTH(Tabela1[[#This Row],[Último pagto ano]])</f>
        <v>10</v>
      </c>
      <c r="H3949" t="str">
        <f>TEXT(Tabela1[[#This Row],[Coluna2]]*29,"mmmm")</f>
        <v>outubro</v>
      </c>
      <c r="I3949" t="str">
        <f>TEXT(MONTH(Tabela1[[#This Row],[Último pagto ano]])*29,"mmmm")</f>
        <v>outubro</v>
      </c>
    </row>
    <row r="3950" spans="1:9" x14ac:dyDescent="0.25">
      <c r="A3950">
        <v>2025</v>
      </c>
      <c r="B3950" t="s">
        <v>7862</v>
      </c>
      <c r="C3950" s="1">
        <v>45771</v>
      </c>
      <c r="D3950" t="s">
        <v>7863</v>
      </c>
      <c r="E3950" s="2">
        <v>2800</v>
      </c>
      <c r="G3950" s="3">
        <f>MONTH(Tabela1[[#This Row],[Último pagto ano]])</f>
        <v>4</v>
      </c>
      <c r="H3950" t="str">
        <f>TEXT(Tabela1[[#This Row],[Coluna2]]*29,"mmmm")</f>
        <v>abril</v>
      </c>
      <c r="I3950" t="str">
        <f>TEXT(MONTH(Tabela1[[#This Row],[Último pagto ano]])*29,"mmmm")</f>
        <v>abril</v>
      </c>
    </row>
    <row r="3951" spans="1:9" x14ac:dyDescent="0.25">
      <c r="A3951">
        <v>2025</v>
      </c>
      <c r="B3951" t="s">
        <v>7864</v>
      </c>
      <c r="C3951" s="1">
        <v>45989</v>
      </c>
      <c r="D3951" t="s">
        <v>7865</v>
      </c>
      <c r="E3951" s="2">
        <v>11810.94</v>
      </c>
      <c r="G3951" s="3">
        <f>MONTH(Tabela1[[#This Row],[Último pagto ano]])</f>
        <v>11</v>
      </c>
      <c r="H3951" t="str">
        <f>TEXT(Tabela1[[#This Row],[Coluna2]]*29,"mmmm")</f>
        <v>novembro</v>
      </c>
      <c r="I3951" t="str">
        <f>TEXT(MONTH(Tabela1[[#This Row],[Último pagto ano]])*29,"mmmm")</f>
        <v>novembro</v>
      </c>
    </row>
    <row r="3952" spans="1:9" x14ac:dyDescent="0.25">
      <c r="A3952">
        <v>2025</v>
      </c>
      <c r="B3952" t="s">
        <v>7866</v>
      </c>
      <c r="C3952" s="1">
        <v>45868</v>
      </c>
      <c r="D3952" t="s">
        <v>7867</v>
      </c>
      <c r="E3952" s="2">
        <v>6222.46</v>
      </c>
      <c r="G3952" s="3">
        <f>MONTH(Tabela1[[#This Row],[Último pagto ano]])</f>
        <v>7</v>
      </c>
      <c r="H3952" t="str">
        <f>TEXT(Tabela1[[#This Row],[Coluna2]]*29,"mmmm")</f>
        <v>julho</v>
      </c>
      <c r="I3952" t="str">
        <f>TEXT(MONTH(Tabela1[[#This Row],[Último pagto ano]])*29,"mmmm")</f>
        <v>julho</v>
      </c>
    </row>
    <row r="3953" spans="1:9" x14ac:dyDescent="0.25">
      <c r="A3953">
        <v>2025</v>
      </c>
      <c r="B3953" t="s">
        <v>7868</v>
      </c>
      <c r="C3953" s="1">
        <v>46021</v>
      </c>
      <c r="D3953" t="s">
        <v>7869</v>
      </c>
      <c r="E3953" s="2">
        <v>12748.91</v>
      </c>
      <c r="G3953" s="3">
        <f>MONTH(Tabela1[[#This Row],[Último pagto ano]])</f>
        <v>12</v>
      </c>
      <c r="H3953" t="str">
        <f>TEXT(Tabela1[[#This Row],[Coluna2]]*29,"mmmm")</f>
        <v>dezembro</v>
      </c>
      <c r="I3953" t="str">
        <f>TEXT(MONTH(Tabela1[[#This Row],[Último pagto ano]])*29,"mmmm")</f>
        <v>dezembro</v>
      </c>
    </row>
    <row r="3954" spans="1:9" x14ac:dyDescent="0.25">
      <c r="A3954">
        <v>2025</v>
      </c>
      <c r="B3954" t="s">
        <v>7870</v>
      </c>
      <c r="C3954" s="1">
        <v>45824</v>
      </c>
      <c r="D3954" t="s">
        <v>7871</v>
      </c>
      <c r="E3954" s="2">
        <v>10149.99</v>
      </c>
      <c r="G3954" s="3">
        <f>MONTH(Tabela1[[#This Row],[Último pagto ano]])</f>
        <v>6</v>
      </c>
      <c r="H3954" t="str">
        <f>TEXT(Tabela1[[#This Row],[Coluna2]]*29,"mmmm")</f>
        <v>junho</v>
      </c>
      <c r="I3954" t="str">
        <f>TEXT(MONTH(Tabela1[[#This Row],[Último pagto ano]])*29,"mmmm")</f>
        <v>junho</v>
      </c>
    </row>
    <row r="3955" spans="1:9" x14ac:dyDescent="0.25">
      <c r="A3955">
        <v>2025</v>
      </c>
      <c r="B3955" t="s">
        <v>7872</v>
      </c>
      <c r="C3955" s="1">
        <v>45933</v>
      </c>
      <c r="D3955" t="s">
        <v>7873</v>
      </c>
      <c r="E3955" s="2">
        <v>8906.75</v>
      </c>
      <c r="G3955" s="3">
        <f>MONTH(Tabela1[[#This Row],[Último pagto ano]])</f>
        <v>10</v>
      </c>
      <c r="H3955" t="str">
        <f>TEXT(Tabela1[[#This Row],[Coluna2]]*29,"mmmm")</f>
        <v>outubro</v>
      </c>
      <c r="I3955" t="str">
        <f>TEXT(MONTH(Tabela1[[#This Row],[Último pagto ano]])*29,"mmmm")</f>
        <v>outubro</v>
      </c>
    </row>
    <row r="3956" spans="1:9" x14ac:dyDescent="0.25">
      <c r="A3956">
        <v>2025</v>
      </c>
      <c r="B3956" t="s">
        <v>7874</v>
      </c>
      <c r="C3956" s="1">
        <v>46006</v>
      </c>
      <c r="D3956" t="s">
        <v>7875</v>
      </c>
      <c r="E3956" s="2">
        <v>13325.76</v>
      </c>
      <c r="G3956" s="3">
        <f>MONTH(Tabela1[[#This Row],[Último pagto ano]])</f>
        <v>12</v>
      </c>
      <c r="H3956" t="str">
        <f>TEXT(Tabela1[[#This Row],[Coluna2]]*29,"mmmm")</f>
        <v>dezembro</v>
      </c>
      <c r="I3956" t="str">
        <f>TEXT(MONTH(Tabela1[[#This Row],[Último pagto ano]])*29,"mmmm")</f>
        <v>dezembro</v>
      </c>
    </row>
    <row r="3957" spans="1:9" x14ac:dyDescent="0.25">
      <c r="A3957">
        <v>2025</v>
      </c>
      <c r="B3957" t="s">
        <v>7876</v>
      </c>
      <c r="C3957" s="1">
        <v>45747</v>
      </c>
      <c r="D3957" t="s">
        <v>7877</v>
      </c>
      <c r="E3957">
        <v>66</v>
      </c>
      <c r="G3957" s="3">
        <f>MONTH(Tabela1[[#This Row],[Último pagto ano]])</f>
        <v>3</v>
      </c>
      <c r="H3957" t="str">
        <f>TEXT(Tabela1[[#This Row],[Coluna2]]*29,"mmmm")</f>
        <v>março</v>
      </c>
      <c r="I3957" t="str">
        <f>TEXT(MONTH(Tabela1[[#This Row],[Último pagto ano]])*29,"mmmm")</f>
        <v>março</v>
      </c>
    </row>
    <row r="3958" spans="1:9" x14ac:dyDescent="0.25">
      <c r="A3958">
        <v>2025</v>
      </c>
      <c r="B3958" t="s">
        <v>7878</v>
      </c>
      <c r="C3958" s="1">
        <v>46010</v>
      </c>
      <c r="D3958" t="s">
        <v>7879</v>
      </c>
      <c r="E3958" s="2">
        <v>2800</v>
      </c>
      <c r="G3958" s="3">
        <f>MONTH(Tabela1[[#This Row],[Último pagto ano]])</f>
        <v>12</v>
      </c>
      <c r="H3958" t="str">
        <f>TEXT(Tabela1[[#This Row],[Coluna2]]*29,"mmmm")</f>
        <v>dezembro</v>
      </c>
      <c r="I3958" t="str">
        <f>TEXT(MONTH(Tabela1[[#This Row],[Último pagto ano]])*29,"mmmm")</f>
        <v>dezembro</v>
      </c>
    </row>
    <row r="3959" spans="1:9" x14ac:dyDescent="0.25">
      <c r="A3959">
        <v>2025</v>
      </c>
      <c r="B3959" t="s">
        <v>7880</v>
      </c>
      <c r="C3959" s="1">
        <v>45712</v>
      </c>
      <c r="D3959" t="s">
        <v>7881</v>
      </c>
      <c r="E3959" s="2">
        <v>1400</v>
      </c>
      <c r="G3959" s="3">
        <f>MONTH(Tabela1[[#This Row],[Último pagto ano]])</f>
        <v>2</v>
      </c>
      <c r="H3959" t="str">
        <f>TEXT(Tabela1[[#This Row],[Coluna2]]*29,"mmmm")</f>
        <v>fevereiro</v>
      </c>
      <c r="I3959" t="str">
        <f>TEXT(MONTH(Tabela1[[#This Row],[Último pagto ano]])*29,"mmmm")</f>
        <v>fevereiro</v>
      </c>
    </row>
    <row r="3960" spans="1:9" x14ac:dyDescent="0.25">
      <c r="A3960">
        <v>2025</v>
      </c>
      <c r="B3960" t="s">
        <v>7882</v>
      </c>
      <c r="C3960" s="1">
        <v>45989</v>
      </c>
      <c r="D3960" t="s">
        <v>7883</v>
      </c>
      <c r="E3960" s="2">
        <v>11355.1</v>
      </c>
      <c r="G3960" s="3">
        <f>MONTH(Tabela1[[#This Row],[Último pagto ano]])</f>
        <v>11</v>
      </c>
      <c r="H3960" t="str">
        <f>TEXT(Tabela1[[#This Row],[Coluna2]]*29,"mmmm")</f>
        <v>novembro</v>
      </c>
      <c r="I3960" t="str">
        <f>TEXT(MONTH(Tabela1[[#This Row],[Último pagto ano]])*29,"mmmm")</f>
        <v>novembro</v>
      </c>
    </row>
    <row r="3961" spans="1:9" x14ac:dyDescent="0.25">
      <c r="A3961">
        <v>2025</v>
      </c>
      <c r="B3961" t="s">
        <v>7884</v>
      </c>
      <c r="C3961" s="1">
        <v>45775</v>
      </c>
      <c r="D3961" t="s">
        <v>7885</v>
      </c>
      <c r="E3961" s="2">
        <v>6680.7</v>
      </c>
      <c r="G3961" s="3">
        <f>MONTH(Tabela1[[#This Row],[Último pagto ano]])</f>
        <v>4</v>
      </c>
      <c r="H3961" t="str">
        <f>TEXT(Tabela1[[#This Row],[Coluna2]]*29,"mmmm")</f>
        <v>abril</v>
      </c>
      <c r="I3961" t="str">
        <f>TEXT(MONTH(Tabela1[[#This Row],[Último pagto ano]])*29,"mmmm")</f>
        <v>abril</v>
      </c>
    </row>
    <row r="3962" spans="1:9" x14ac:dyDescent="0.25">
      <c r="A3962">
        <v>2025</v>
      </c>
      <c r="B3962" t="s">
        <v>7886</v>
      </c>
      <c r="C3962" s="1">
        <v>45702</v>
      </c>
      <c r="D3962" t="s">
        <v>7887</v>
      </c>
      <c r="E3962" s="2">
        <v>1280.24</v>
      </c>
      <c r="G3962" s="3">
        <f>MONTH(Tabela1[[#This Row],[Último pagto ano]])</f>
        <v>2</v>
      </c>
      <c r="H3962" t="str">
        <f>TEXT(Tabela1[[#This Row],[Coluna2]]*29,"mmmm")</f>
        <v>fevereiro</v>
      </c>
      <c r="I3962" t="str">
        <f>TEXT(MONTH(Tabela1[[#This Row],[Último pagto ano]])*29,"mmmm")</f>
        <v>fevereiro</v>
      </c>
    </row>
    <row r="3963" spans="1:9" x14ac:dyDescent="0.25">
      <c r="A3963">
        <v>2025</v>
      </c>
      <c r="B3963" t="s">
        <v>7888</v>
      </c>
      <c r="C3963" s="1">
        <v>46010</v>
      </c>
      <c r="D3963" t="s">
        <v>7889</v>
      </c>
      <c r="E3963">
        <v>700</v>
      </c>
      <c r="G3963" s="3">
        <f>MONTH(Tabela1[[#This Row],[Último pagto ano]])</f>
        <v>12</v>
      </c>
      <c r="H3963" t="str">
        <f>TEXT(Tabela1[[#This Row],[Coluna2]]*29,"mmmm")</f>
        <v>dezembro</v>
      </c>
      <c r="I3963" t="str">
        <f>TEXT(MONTH(Tabela1[[#This Row],[Último pagto ano]])*29,"mmmm")</f>
        <v>dezembro</v>
      </c>
    </row>
    <row r="3964" spans="1:9" x14ac:dyDescent="0.25">
      <c r="A3964">
        <v>2025</v>
      </c>
      <c r="B3964" t="s">
        <v>7890</v>
      </c>
      <c r="C3964" s="1">
        <v>45761</v>
      </c>
      <c r="D3964" t="s">
        <v>7891</v>
      </c>
      <c r="E3964" s="2">
        <v>2149.16</v>
      </c>
      <c r="G3964" s="3">
        <f>MONTH(Tabela1[[#This Row],[Último pagto ano]])</f>
        <v>4</v>
      </c>
      <c r="H3964" t="str">
        <f>TEXT(Tabela1[[#This Row],[Coluna2]]*29,"mmmm")</f>
        <v>abril</v>
      </c>
      <c r="I3964" t="str">
        <f>TEXT(MONTH(Tabela1[[#This Row],[Último pagto ano]])*29,"mmmm")</f>
        <v>abril</v>
      </c>
    </row>
    <row r="3965" spans="1:9" x14ac:dyDescent="0.25">
      <c r="A3965">
        <v>2025</v>
      </c>
      <c r="B3965" t="s">
        <v>7892</v>
      </c>
      <c r="C3965" s="1">
        <v>46010</v>
      </c>
      <c r="D3965" t="s">
        <v>7893</v>
      </c>
      <c r="E3965" s="2">
        <v>8400</v>
      </c>
      <c r="G3965" s="3">
        <f>MONTH(Tabela1[[#This Row],[Último pagto ano]])</f>
        <v>12</v>
      </c>
      <c r="H3965" t="str">
        <f>TEXT(Tabela1[[#This Row],[Coluna2]]*29,"mmmm")</f>
        <v>dezembro</v>
      </c>
      <c r="I3965" t="str">
        <f>TEXT(MONTH(Tabela1[[#This Row],[Último pagto ano]])*29,"mmmm")</f>
        <v>dezembro</v>
      </c>
    </row>
    <row r="3966" spans="1:9" x14ac:dyDescent="0.25">
      <c r="A3966">
        <v>2025</v>
      </c>
      <c r="B3966" t="s">
        <v>7894</v>
      </c>
      <c r="C3966" s="1">
        <v>45743</v>
      </c>
      <c r="D3966" t="s">
        <v>7895</v>
      </c>
      <c r="E3966" s="2">
        <v>2204.92</v>
      </c>
      <c r="G3966" s="3">
        <f>MONTH(Tabela1[[#This Row],[Último pagto ano]])</f>
        <v>3</v>
      </c>
      <c r="H3966" t="str">
        <f>TEXT(Tabela1[[#This Row],[Coluna2]]*29,"mmmm")</f>
        <v>março</v>
      </c>
      <c r="I3966" t="str">
        <f>TEXT(MONTH(Tabela1[[#This Row],[Último pagto ano]])*29,"mmmm")</f>
        <v>março</v>
      </c>
    </row>
    <row r="3967" spans="1:9" x14ac:dyDescent="0.25">
      <c r="A3967">
        <v>2025</v>
      </c>
      <c r="B3967" t="s">
        <v>7896</v>
      </c>
      <c r="C3967" s="1">
        <v>45989</v>
      </c>
      <c r="D3967" t="s">
        <v>7897</v>
      </c>
      <c r="E3967" s="2">
        <v>3280.11</v>
      </c>
      <c r="G3967" s="3">
        <f>MONTH(Tabela1[[#This Row],[Último pagto ano]])</f>
        <v>11</v>
      </c>
      <c r="H3967" t="str">
        <f>TEXT(Tabela1[[#This Row],[Coluna2]]*29,"mmmm")</f>
        <v>novembro</v>
      </c>
      <c r="I3967" t="str">
        <f>TEXT(MONTH(Tabela1[[#This Row],[Último pagto ano]])*29,"mmmm")</f>
        <v>novembro</v>
      </c>
    </row>
    <row r="3968" spans="1:9" x14ac:dyDescent="0.25">
      <c r="A3968">
        <v>2025</v>
      </c>
      <c r="B3968" t="s">
        <v>7898</v>
      </c>
      <c r="C3968" s="1">
        <v>45876</v>
      </c>
      <c r="D3968" t="s">
        <v>7899</v>
      </c>
      <c r="E3968" s="2">
        <v>10000</v>
      </c>
      <c r="G3968" s="3">
        <f>MONTH(Tabela1[[#This Row],[Último pagto ano]])</f>
        <v>8</v>
      </c>
      <c r="H3968" t="str">
        <f>TEXT(Tabela1[[#This Row],[Coluna2]]*29,"mmmm")</f>
        <v>agosto</v>
      </c>
      <c r="I3968" t="str">
        <f>TEXT(MONTH(Tabela1[[#This Row],[Último pagto ano]])*29,"mmmm")</f>
        <v>agosto</v>
      </c>
    </row>
    <row r="3969" spans="1:9" x14ac:dyDescent="0.25">
      <c r="A3969">
        <v>2025</v>
      </c>
      <c r="B3969" t="s">
        <v>7900</v>
      </c>
      <c r="C3969" s="1">
        <v>45985</v>
      </c>
      <c r="D3969" t="s">
        <v>7901</v>
      </c>
      <c r="E3969" s="2">
        <v>11044</v>
      </c>
      <c r="G3969" s="3">
        <f>MONTH(Tabela1[[#This Row],[Último pagto ano]])</f>
        <v>11</v>
      </c>
      <c r="H3969" t="str">
        <f>TEXT(Tabela1[[#This Row],[Coluna2]]*29,"mmmm")</f>
        <v>novembro</v>
      </c>
      <c r="I3969" t="str">
        <f>TEXT(MONTH(Tabela1[[#This Row],[Último pagto ano]])*29,"mmmm")</f>
        <v>novembro</v>
      </c>
    </row>
    <row r="3970" spans="1:9" x14ac:dyDescent="0.25">
      <c r="A3970">
        <v>2025</v>
      </c>
      <c r="B3970" t="s">
        <v>7902</v>
      </c>
      <c r="C3970" s="1">
        <v>45989</v>
      </c>
      <c r="D3970" t="s">
        <v>7903</v>
      </c>
      <c r="E3970" s="2">
        <v>9928.08</v>
      </c>
      <c r="G3970" s="3">
        <f>MONTH(Tabela1[[#This Row],[Último pagto ano]])</f>
        <v>11</v>
      </c>
      <c r="H3970" t="str">
        <f>TEXT(Tabela1[[#This Row],[Coluna2]]*29,"mmmm")</f>
        <v>novembro</v>
      </c>
      <c r="I3970" t="str">
        <f>TEXT(MONTH(Tabela1[[#This Row],[Último pagto ano]])*29,"mmmm")</f>
        <v>novembro</v>
      </c>
    </row>
    <row r="3971" spans="1:9" x14ac:dyDescent="0.25">
      <c r="A3971">
        <v>2025</v>
      </c>
      <c r="B3971" t="s">
        <v>7904</v>
      </c>
      <c r="C3971" s="1">
        <v>46013</v>
      </c>
      <c r="D3971" t="s">
        <v>7905</v>
      </c>
      <c r="E3971" s="2">
        <v>2808</v>
      </c>
      <c r="G3971" s="3">
        <f>MONTH(Tabela1[[#This Row],[Último pagto ano]])</f>
        <v>12</v>
      </c>
      <c r="H3971" t="str">
        <f>TEXT(Tabela1[[#This Row],[Coluna2]]*29,"mmmm")</f>
        <v>dezembro</v>
      </c>
      <c r="I3971" t="str">
        <f>TEXT(MONTH(Tabela1[[#This Row],[Último pagto ano]])*29,"mmmm")</f>
        <v>dezembro</v>
      </c>
    </row>
    <row r="3972" spans="1:9" x14ac:dyDescent="0.25">
      <c r="A3972">
        <v>2025</v>
      </c>
      <c r="B3972" t="s">
        <v>7906</v>
      </c>
      <c r="C3972" s="1">
        <v>45702</v>
      </c>
      <c r="D3972" t="s">
        <v>7907</v>
      </c>
      <c r="E3972">
        <v>138.61000000000001</v>
      </c>
      <c r="G3972" s="3">
        <f>MONTH(Tabela1[[#This Row],[Último pagto ano]])</f>
        <v>2</v>
      </c>
      <c r="H3972" t="str">
        <f>TEXT(Tabela1[[#This Row],[Coluna2]]*29,"mmmm")</f>
        <v>fevereiro</v>
      </c>
      <c r="I3972" t="str">
        <f>TEXT(MONTH(Tabela1[[#This Row],[Último pagto ano]])*29,"mmmm")</f>
        <v>fevereiro</v>
      </c>
    </row>
    <row r="3973" spans="1:9" x14ac:dyDescent="0.25">
      <c r="A3973">
        <v>2025</v>
      </c>
      <c r="B3973" t="s">
        <v>7908</v>
      </c>
      <c r="C3973" s="1">
        <v>46010</v>
      </c>
      <c r="D3973" t="s">
        <v>7909</v>
      </c>
      <c r="E3973">
        <v>7.53</v>
      </c>
      <c r="G3973" s="3">
        <f>MONTH(Tabela1[[#This Row],[Último pagto ano]])</f>
        <v>12</v>
      </c>
      <c r="H3973" t="str">
        <f>TEXT(Tabela1[[#This Row],[Coluna2]]*29,"mmmm")</f>
        <v>dezembro</v>
      </c>
      <c r="I3973" t="str">
        <f>TEXT(MONTH(Tabela1[[#This Row],[Último pagto ano]])*29,"mmmm")</f>
        <v>dezembro</v>
      </c>
    </row>
    <row r="3974" spans="1:9" x14ac:dyDescent="0.25">
      <c r="A3974">
        <v>2025</v>
      </c>
      <c r="B3974" t="s">
        <v>7910</v>
      </c>
      <c r="C3974" s="1">
        <v>46021</v>
      </c>
      <c r="D3974" t="s">
        <v>7911</v>
      </c>
      <c r="E3974" s="2">
        <v>10355.93</v>
      </c>
      <c r="G3974" s="3">
        <f>MONTH(Tabela1[[#This Row],[Último pagto ano]])</f>
        <v>12</v>
      </c>
      <c r="H3974" t="str">
        <f>TEXT(Tabela1[[#This Row],[Coluna2]]*29,"mmmm")</f>
        <v>dezembro</v>
      </c>
      <c r="I3974" t="str">
        <f>TEXT(MONTH(Tabela1[[#This Row],[Último pagto ano]])*29,"mmmm")</f>
        <v>dezembro</v>
      </c>
    </row>
    <row r="3975" spans="1:9" x14ac:dyDescent="0.25">
      <c r="A3975">
        <v>2025</v>
      </c>
      <c r="B3975" t="s">
        <v>7912</v>
      </c>
      <c r="C3975" s="1">
        <v>45728</v>
      </c>
      <c r="D3975" t="s">
        <v>7913</v>
      </c>
      <c r="E3975" s="2">
        <v>11119.05</v>
      </c>
      <c r="G3975" s="3">
        <f>MONTH(Tabela1[[#This Row],[Último pagto ano]])</f>
        <v>3</v>
      </c>
      <c r="H3975" t="str">
        <f>TEXT(Tabela1[[#This Row],[Coluna2]]*29,"mmmm")</f>
        <v>março</v>
      </c>
      <c r="I3975" t="str">
        <f>TEXT(MONTH(Tabela1[[#This Row],[Último pagto ano]])*29,"mmmm")</f>
        <v>março</v>
      </c>
    </row>
    <row r="3976" spans="1:9" x14ac:dyDescent="0.25">
      <c r="A3976">
        <v>2025</v>
      </c>
      <c r="B3976" t="s">
        <v>7914</v>
      </c>
      <c r="C3976" s="1">
        <v>45978</v>
      </c>
      <c r="D3976" t="s">
        <v>7915</v>
      </c>
      <c r="E3976">
        <v>176</v>
      </c>
      <c r="G3976" s="3">
        <f>MONTH(Tabela1[[#This Row],[Último pagto ano]])</f>
        <v>11</v>
      </c>
      <c r="H3976" t="str">
        <f>TEXT(Tabela1[[#This Row],[Coluna2]]*29,"mmmm")</f>
        <v>novembro</v>
      </c>
      <c r="I3976" t="str">
        <f>TEXT(MONTH(Tabela1[[#This Row],[Último pagto ano]])*29,"mmmm")</f>
        <v>novembro</v>
      </c>
    </row>
    <row r="3977" spans="1:9" x14ac:dyDescent="0.25">
      <c r="A3977">
        <v>2025</v>
      </c>
      <c r="B3977" t="s">
        <v>7916</v>
      </c>
      <c r="C3977" s="1">
        <v>45908</v>
      </c>
      <c r="D3977" t="s">
        <v>7917</v>
      </c>
      <c r="E3977">
        <v>55</v>
      </c>
      <c r="G3977" s="3">
        <f>MONTH(Tabela1[[#This Row],[Último pagto ano]])</f>
        <v>9</v>
      </c>
      <c r="H3977" t="str">
        <f>TEXT(Tabela1[[#This Row],[Coluna2]]*29,"mmmm")</f>
        <v>setembro</v>
      </c>
      <c r="I3977" t="str">
        <f>TEXT(MONTH(Tabela1[[#This Row],[Último pagto ano]])*29,"mmmm")</f>
        <v>setembro</v>
      </c>
    </row>
    <row r="3978" spans="1:9" x14ac:dyDescent="0.25">
      <c r="A3978">
        <v>2025</v>
      </c>
      <c r="B3978" t="s">
        <v>7918</v>
      </c>
      <c r="C3978" s="1">
        <v>45870</v>
      </c>
      <c r="D3978" t="s">
        <v>7919</v>
      </c>
      <c r="E3978" s="2">
        <v>1274.4000000000001</v>
      </c>
      <c r="G3978" s="3">
        <f>MONTH(Tabela1[[#This Row],[Último pagto ano]])</f>
        <v>8</v>
      </c>
      <c r="H3978" t="str">
        <f>TEXT(Tabela1[[#This Row],[Coluna2]]*29,"mmmm")</f>
        <v>agosto</v>
      </c>
      <c r="I3978" t="str">
        <f>TEXT(MONTH(Tabela1[[#This Row],[Último pagto ano]])*29,"mmmm")</f>
        <v>agosto</v>
      </c>
    </row>
    <row r="3979" spans="1:9" x14ac:dyDescent="0.25">
      <c r="A3979">
        <v>2025</v>
      </c>
      <c r="B3979" t="s">
        <v>7920</v>
      </c>
      <c r="C3979" s="1">
        <v>46006</v>
      </c>
      <c r="D3979" t="s">
        <v>7921</v>
      </c>
      <c r="E3979" s="2">
        <v>7107.84</v>
      </c>
      <c r="G3979" s="3">
        <f>MONTH(Tabela1[[#This Row],[Último pagto ano]])</f>
        <v>12</v>
      </c>
      <c r="H3979" t="str">
        <f>TEXT(Tabela1[[#This Row],[Coluna2]]*29,"mmmm")</f>
        <v>dezembro</v>
      </c>
      <c r="I3979" t="str">
        <f>TEXT(MONTH(Tabela1[[#This Row],[Último pagto ano]])*29,"mmmm")</f>
        <v>dezembro</v>
      </c>
    </row>
    <row r="3980" spans="1:9" x14ac:dyDescent="0.25">
      <c r="A3980">
        <v>2025</v>
      </c>
      <c r="B3980" t="s">
        <v>7922</v>
      </c>
      <c r="C3980" s="1">
        <v>45911</v>
      </c>
      <c r="D3980" t="s">
        <v>7923</v>
      </c>
      <c r="E3980" s="2">
        <v>2100</v>
      </c>
      <c r="G3980" s="3">
        <f>MONTH(Tabela1[[#This Row],[Último pagto ano]])</f>
        <v>9</v>
      </c>
      <c r="H3980" t="str">
        <f>TEXT(Tabela1[[#This Row],[Coluna2]]*29,"mmmm")</f>
        <v>setembro</v>
      </c>
      <c r="I3980" t="str">
        <f>TEXT(MONTH(Tabela1[[#This Row],[Último pagto ano]])*29,"mmmm")</f>
        <v>setembro</v>
      </c>
    </row>
    <row r="3981" spans="1:9" x14ac:dyDescent="0.25">
      <c r="A3981">
        <v>2025</v>
      </c>
      <c r="B3981" t="s">
        <v>7924</v>
      </c>
      <c r="C3981" s="1">
        <v>45845</v>
      </c>
      <c r="D3981" t="s">
        <v>7925</v>
      </c>
      <c r="E3981">
        <v>302.39999999999998</v>
      </c>
      <c r="G3981" s="3">
        <f>MONTH(Tabela1[[#This Row],[Último pagto ano]])</f>
        <v>7</v>
      </c>
      <c r="H3981" t="str">
        <f>TEXT(Tabela1[[#This Row],[Coluna2]]*29,"mmmm")</f>
        <v>julho</v>
      </c>
      <c r="I3981" t="str">
        <f>TEXT(MONTH(Tabela1[[#This Row],[Último pagto ano]])*29,"mmmm")</f>
        <v>julho</v>
      </c>
    </row>
    <row r="3982" spans="1:9" x14ac:dyDescent="0.25">
      <c r="A3982">
        <v>2025</v>
      </c>
      <c r="B3982" t="s">
        <v>7926</v>
      </c>
      <c r="C3982" s="1">
        <v>45838</v>
      </c>
      <c r="D3982" t="s">
        <v>7927</v>
      </c>
      <c r="E3982">
        <v>110</v>
      </c>
      <c r="G3982" s="3">
        <f>MONTH(Tabela1[[#This Row],[Último pagto ano]])</f>
        <v>6</v>
      </c>
      <c r="H3982" t="str">
        <f>TEXT(Tabela1[[#This Row],[Coluna2]]*29,"mmmm")</f>
        <v>junho</v>
      </c>
      <c r="I3982" t="str">
        <f>TEXT(MONTH(Tabela1[[#This Row],[Último pagto ano]])*29,"mmmm")</f>
        <v>junho</v>
      </c>
    </row>
    <row r="3983" spans="1:9" x14ac:dyDescent="0.25">
      <c r="A3983">
        <v>2025</v>
      </c>
      <c r="B3983" t="s">
        <v>7928</v>
      </c>
      <c r="C3983" s="1">
        <v>46010</v>
      </c>
      <c r="D3983" t="s">
        <v>7929</v>
      </c>
      <c r="E3983" s="2">
        <v>11000</v>
      </c>
      <c r="G3983" s="3">
        <f>MONTH(Tabela1[[#This Row],[Último pagto ano]])</f>
        <v>12</v>
      </c>
      <c r="H3983" t="str">
        <f>TEXT(Tabela1[[#This Row],[Coluna2]]*29,"mmmm")</f>
        <v>dezembro</v>
      </c>
      <c r="I3983" t="str">
        <f>TEXT(MONTH(Tabela1[[#This Row],[Último pagto ano]])*29,"mmmm")</f>
        <v>dezembro</v>
      </c>
    </row>
    <row r="3984" spans="1:9" x14ac:dyDescent="0.25">
      <c r="A3984">
        <v>2025</v>
      </c>
      <c r="B3984" t="s">
        <v>7930</v>
      </c>
      <c r="C3984" s="1">
        <v>45996</v>
      </c>
      <c r="D3984" t="s">
        <v>7931</v>
      </c>
      <c r="E3984" s="2">
        <v>39600</v>
      </c>
      <c r="G3984" s="3">
        <f>MONTH(Tabela1[[#This Row],[Último pagto ano]])</f>
        <v>12</v>
      </c>
      <c r="H3984" t="str">
        <f>TEXT(Tabela1[[#This Row],[Coluna2]]*29,"mmmm")</f>
        <v>dezembro</v>
      </c>
      <c r="I3984" t="str">
        <f>TEXT(MONTH(Tabela1[[#This Row],[Último pagto ano]])*29,"mmmm")</f>
        <v>dezembro</v>
      </c>
    </row>
    <row r="3985" spans="1:9" x14ac:dyDescent="0.25">
      <c r="A3985">
        <v>2025</v>
      </c>
      <c r="B3985" t="s">
        <v>7932</v>
      </c>
      <c r="C3985" s="1">
        <v>46010</v>
      </c>
      <c r="D3985" t="s">
        <v>7933</v>
      </c>
      <c r="E3985" s="2">
        <v>24000</v>
      </c>
      <c r="G3985" s="3">
        <f>MONTH(Tabela1[[#This Row],[Último pagto ano]])</f>
        <v>12</v>
      </c>
      <c r="H3985" t="str">
        <f>TEXT(Tabela1[[#This Row],[Coluna2]]*29,"mmmm")</f>
        <v>dezembro</v>
      </c>
      <c r="I3985" t="str">
        <f>TEXT(MONTH(Tabela1[[#This Row],[Último pagto ano]])*29,"mmmm")</f>
        <v>dezembro</v>
      </c>
    </row>
    <row r="3986" spans="1:9" x14ac:dyDescent="0.25">
      <c r="A3986">
        <v>2025</v>
      </c>
      <c r="B3986" t="s">
        <v>7934</v>
      </c>
      <c r="C3986" s="1">
        <v>46013</v>
      </c>
      <c r="D3986" t="s">
        <v>7935</v>
      </c>
      <c r="E3986" s="2">
        <v>16676.55</v>
      </c>
      <c r="G3986" s="3">
        <f>MONTH(Tabela1[[#This Row],[Último pagto ano]])</f>
        <v>12</v>
      </c>
      <c r="H3986" t="str">
        <f>TEXT(Tabela1[[#This Row],[Coluna2]]*29,"mmmm")</f>
        <v>dezembro</v>
      </c>
      <c r="I3986" t="str">
        <f>TEXT(MONTH(Tabela1[[#This Row],[Último pagto ano]])*29,"mmmm")</f>
        <v>dezembro</v>
      </c>
    </row>
    <row r="3987" spans="1:9" x14ac:dyDescent="0.25">
      <c r="A3987">
        <v>2025</v>
      </c>
      <c r="B3987" t="s">
        <v>7936</v>
      </c>
      <c r="C3987" s="1">
        <v>45996</v>
      </c>
      <c r="D3987" t="s">
        <v>7937</v>
      </c>
      <c r="E3987" s="2">
        <v>40050</v>
      </c>
      <c r="G3987" s="3">
        <f>MONTH(Tabela1[[#This Row],[Último pagto ano]])</f>
        <v>12</v>
      </c>
      <c r="H3987" t="str">
        <f>TEXT(Tabela1[[#This Row],[Coluna2]]*29,"mmmm")</f>
        <v>dezembro</v>
      </c>
      <c r="I3987" t="str">
        <f>TEXT(MONTH(Tabela1[[#This Row],[Último pagto ano]])*29,"mmmm")</f>
        <v>dezembro</v>
      </c>
    </row>
    <row r="3988" spans="1:9" x14ac:dyDescent="0.25">
      <c r="A3988">
        <v>2025</v>
      </c>
      <c r="B3988" t="s">
        <v>7938</v>
      </c>
      <c r="C3988" s="1">
        <v>45954</v>
      </c>
      <c r="D3988" t="s">
        <v>7939</v>
      </c>
      <c r="E3988" s="2">
        <v>8107.99</v>
      </c>
      <c r="G3988" s="3">
        <f>MONTH(Tabela1[[#This Row],[Último pagto ano]])</f>
        <v>10</v>
      </c>
      <c r="H3988" t="str">
        <f>TEXT(Tabela1[[#This Row],[Coluna2]]*29,"mmmm")</f>
        <v>outubro</v>
      </c>
      <c r="I3988" t="str">
        <f>TEXT(MONTH(Tabela1[[#This Row],[Último pagto ano]])*29,"mmmm")</f>
        <v>outubro</v>
      </c>
    </row>
    <row r="3989" spans="1:9" x14ac:dyDescent="0.25">
      <c r="A3989">
        <v>2025</v>
      </c>
      <c r="B3989" t="s">
        <v>7940</v>
      </c>
      <c r="C3989" s="1">
        <v>45978</v>
      </c>
      <c r="D3989" t="s">
        <v>7941</v>
      </c>
      <c r="E3989">
        <v>154</v>
      </c>
      <c r="G3989" s="3">
        <f>MONTH(Tabela1[[#This Row],[Último pagto ano]])</f>
        <v>11</v>
      </c>
      <c r="H3989" t="str">
        <f>TEXT(Tabela1[[#This Row],[Coluna2]]*29,"mmmm")</f>
        <v>novembro</v>
      </c>
      <c r="I3989" t="str">
        <f>TEXT(MONTH(Tabela1[[#This Row],[Último pagto ano]])*29,"mmmm")</f>
        <v>novembro</v>
      </c>
    </row>
    <row r="3990" spans="1:9" x14ac:dyDescent="0.25">
      <c r="A3990">
        <v>2025</v>
      </c>
      <c r="B3990" t="s">
        <v>7942</v>
      </c>
      <c r="C3990" s="1">
        <v>46006</v>
      </c>
      <c r="D3990" t="s">
        <v>7943</v>
      </c>
      <c r="E3990">
        <v>203.4</v>
      </c>
      <c r="G3990" s="3">
        <f>MONTH(Tabela1[[#This Row],[Último pagto ano]])</f>
        <v>12</v>
      </c>
      <c r="H3990" t="str">
        <f>TEXT(Tabela1[[#This Row],[Coluna2]]*29,"mmmm")</f>
        <v>dezembro</v>
      </c>
      <c r="I3990" t="str">
        <f>TEXT(MONTH(Tabela1[[#This Row],[Último pagto ano]])*29,"mmmm")</f>
        <v>dezembro</v>
      </c>
    </row>
    <row r="3991" spans="1:9" x14ac:dyDescent="0.25">
      <c r="A3991">
        <v>2025</v>
      </c>
      <c r="B3991" t="s">
        <v>7944</v>
      </c>
      <c r="C3991" s="1">
        <v>45831</v>
      </c>
      <c r="D3991" t="s">
        <v>7945</v>
      </c>
      <c r="E3991">
        <v>210.6</v>
      </c>
      <c r="G3991" s="3">
        <f>MONTH(Tabela1[[#This Row],[Último pagto ano]])</f>
        <v>6</v>
      </c>
      <c r="H3991" t="str">
        <f>TEXT(Tabela1[[#This Row],[Coluna2]]*29,"mmmm")</f>
        <v>junho</v>
      </c>
      <c r="I3991" t="str">
        <f>TEXT(MONTH(Tabela1[[#This Row],[Último pagto ano]])*29,"mmmm")</f>
        <v>junho</v>
      </c>
    </row>
    <row r="3992" spans="1:9" x14ac:dyDescent="0.25">
      <c r="A3992">
        <v>2025</v>
      </c>
      <c r="B3992" t="s">
        <v>7946</v>
      </c>
      <c r="C3992" s="1">
        <v>45960</v>
      </c>
      <c r="D3992" t="s">
        <v>7947</v>
      </c>
      <c r="E3992" s="2">
        <v>9739.6299999999992</v>
      </c>
      <c r="G3992" s="3">
        <f>MONTH(Tabela1[[#This Row],[Último pagto ano]])</f>
        <v>10</v>
      </c>
      <c r="H3992" t="str">
        <f>TEXT(Tabela1[[#This Row],[Coluna2]]*29,"mmmm")</f>
        <v>outubro</v>
      </c>
      <c r="I3992" t="str">
        <f>TEXT(MONTH(Tabela1[[#This Row],[Último pagto ano]])*29,"mmmm")</f>
        <v>outubro</v>
      </c>
    </row>
    <row r="3993" spans="1:9" x14ac:dyDescent="0.25">
      <c r="A3993">
        <v>2025</v>
      </c>
      <c r="B3993" t="s">
        <v>7948</v>
      </c>
      <c r="C3993" s="1">
        <v>45853</v>
      </c>
      <c r="D3993" t="s">
        <v>7949</v>
      </c>
      <c r="E3993" s="2">
        <v>5906</v>
      </c>
      <c r="G3993" s="3">
        <f>MONTH(Tabela1[[#This Row],[Último pagto ano]])</f>
        <v>7</v>
      </c>
      <c r="H3993" t="str">
        <f>TEXT(Tabela1[[#This Row],[Coluna2]]*29,"mmmm")</f>
        <v>julho</v>
      </c>
      <c r="I3993" t="str">
        <f>TEXT(MONTH(Tabela1[[#This Row],[Último pagto ano]])*29,"mmmm")</f>
        <v>julho</v>
      </c>
    </row>
    <row r="3994" spans="1:9" x14ac:dyDescent="0.25">
      <c r="A3994">
        <v>2025</v>
      </c>
      <c r="B3994" t="s">
        <v>7950</v>
      </c>
      <c r="C3994" s="1">
        <v>45672</v>
      </c>
      <c r="D3994" t="s">
        <v>7951</v>
      </c>
      <c r="E3994" s="2">
        <v>1414.4</v>
      </c>
      <c r="G3994" s="3">
        <f>MONTH(Tabela1[[#This Row],[Último pagto ano]])</f>
        <v>1</v>
      </c>
      <c r="H3994" t="str">
        <f>TEXT(Tabela1[[#This Row],[Coluna2]]*29,"mmmm")</f>
        <v>janeiro</v>
      </c>
      <c r="I3994" t="str">
        <f>TEXT(MONTH(Tabela1[[#This Row],[Último pagto ano]])*29,"mmmm")</f>
        <v>janeiro</v>
      </c>
    </row>
    <row r="3995" spans="1:9" x14ac:dyDescent="0.25">
      <c r="A3995">
        <v>2025</v>
      </c>
      <c r="B3995" t="s">
        <v>7952</v>
      </c>
      <c r="C3995" s="1">
        <v>45728</v>
      </c>
      <c r="D3995" t="s">
        <v>7953</v>
      </c>
      <c r="E3995" s="2">
        <v>48300</v>
      </c>
      <c r="G3995" s="3">
        <f>MONTH(Tabela1[[#This Row],[Último pagto ano]])</f>
        <v>3</v>
      </c>
      <c r="H3995" t="str">
        <f>TEXT(Tabela1[[#This Row],[Coluna2]]*29,"mmmm")</f>
        <v>março</v>
      </c>
      <c r="I3995" t="str">
        <f>TEXT(MONTH(Tabela1[[#This Row],[Último pagto ano]])*29,"mmmm")</f>
        <v>março</v>
      </c>
    </row>
    <row r="3996" spans="1:9" x14ac:dyDescent="0.25">
      <c r="A3996">
        <v>2025</v>
      </c>
      <c r="B3996" t="s">
        <v>7954</v>
      </c>
      <c r="C3996" s="1">
        <v>45673</v>
      </c>
      <c r="D3996" t="s">
        <v>7955</v>
      </c>
      <c r="E3996" s="2">
        <v>10487.91</v>
      </c>
      <c r="G3996" s="3">
        <f>MONTH(Tabela1[[#This Row],[Último pagto ano]])</f>
        <v>1</v>
      </c>
      <c r="H3996" t="str">
        <f>TEXT(Tabela1[[#This Row],[Coluna2]]*29,"mmmm")</f>
        <v>janeiro</v>
      </c>
      <c r="I3996" t="str">
        <f>TEXT(MONTH(Tabela1[[#This Row],[Último pagto ano]])*29,"mmmm")</f>
        <v>janeiro</v>
      </c>
    </row>
    <row r="3997" spans="1:9" x14ac:dyDescent="0.25">
      <c r="A3997">
        <v>2025</v>
      </c>
      <c r="B3997" t="s">
        <v>7956</v>
      </c>
      <c r="C3997" s="1">
        <v>46009</v>
      </c>
      <c r="D3997" t="s">
        <v>7957</v>
      </c>
      <c r="E3997" s="2">
        <v>135300</v>
      </c>
      <c r="G3997" s="3">
        <f>MONTH(Tabela1[[#This Row],[Último pagto ano]])</f>
        <v>12</v>
      </c>
      <c r="H3997" t="str">
        <f>TEXT(Tabela1[[#This Row],[Coluna2]]*29,"mmmm")</f>
        <v>dezembro</v>
      </c>
      <c r="I3997" t="str">
        <f>TEXT(MONTH(Tabela1[[#This Row],[Último pagto ano]])*29,"mmmm")</f>
        <v>dezembro</v>
      </c>
    </row>
    <row r="3998" spans="1:9" x14ac:dyDescent="0.25">
      <c r="A3998">
        <v>2025</v>
      </c>
      <c r="B3998" t="s">
        <v>7958</v>
      </c>
      <c r="C3998" s="1">
        <v>46007</v>
      </c>
      <c r="D3998" t="s">
        <v>7959</v>
      </c>
      <c r="E3998" s="2">
        <v>758085.68</v>
      </c>
      <c r="G3998" s="3">
        <f>MONTH(Tabela1[[#This Row],[Último pagto ano]])</f>
        <v>12</v>
      </c>
      <c r="H3998" t="str">
        <f>TEXT(Tabela1[[#This Row],[Coluna2]]*29,"mmmm")</f>
        <v>dezembro</v>
      </c>
      <c r="I3998" t="str">
        <f>TEXT(MONTH(Tabela1[[#This Row],[Último pagto ano]])*29,"mmmm")</f>
        <v>dezembro</v>
      </c>
    </row>
    <row r="3999" spans="1:9" x14ac:dyDescent="0.25">
      <c r="A3999">
        <v>2025</v>
      </c>
      <c r="B3999" t="s">
        <v>7960</v>
      </c>
      <c r="C3999" s="1">
        <v>45663</v>
      </c>
      <c r="D3999" t="s">
        <v>7961</v>
      </c>
      <c r="E3999">
        <v>800</v>
      </c>
      <c r="G3999" s="3">
        <f>MONTH(Tabela1[[#This Row],[Último pagto ano]])</f>
        <v>1</v>
      </c>
      <c r="H3999" t="str">
        <f>TEXT(Tabela1[[#This Row],[Coluna2]]*29,"mmmm")</f>
        <v>janeiro</v>
      </c>
      <c r="I3999" t="str">
        <f>TEXT(MONTH(Tabela1[[#This Row],[Último pagto ano]])*29,"mmmm")</f>
        <v>janeiro</v>
      </c>
    </row>
    <row r="4000" spans="1:9" x14ac:dyDescent="0.25">
      <c r="A4000">
        <v>2025</v>
      </c>
      <c r="B4000" t="s">
        <v>7962</v>
      </c>
      <c r="C4000" s="1">
        <v>46010</v>
      </c>
      <c r="D4000" t="s">
        <v>7963</v>
      </c>
      <c r="E4000" s="2">
        <v>24000</v>
      </c>
      <c r="G4000" s="3">
        <f>MONTH(Tabela1[[#This Row],[Último pagto ano]])</f>
        <v>12</v>
      </c>
      <c r="H4000" t="str">
        <f>TEXT(Tabela1[[#This Row],[Coluna2]]*29,"mmmm")</f>
        <v>dezembro</v>
      </c>
      <c r="I4000" t="str">
        <f>TEXT(MONTH(Tabela1[[#This Row],[Último pagto ano]])*29,"mmmm")</f>
        <v>dezembro</v>
      </c>
    </row>
    <row r="4001" spans="1:9" x14ac:dyDescent="0.25">
      <c r="A4001">
        <v>2025</v>
      </c>
      <c r="B4001" t="s">
        <v>7964</v>
      </c>
      <c r="C4001" s="1">
        <v>46006</v>
      </c>
      <c r="D4001" t="s">
        <v>7965</v>
      </c>
      <c r="E4001">
        <v>296.16000000000003</v>
      </c>
      <c r="G4001" s="3">
        <f>MONTH(Tabela1[[#This Row],[Último pagto ano]])</f>
        <v>12</v>
      </c>
      <c r="H4001" t="str">
        <f>TEXT(Tabela1[[#This Row],[Coluna2]]*29,"mmmm")</f>
        <v>dezembro</v>
      </c>
      <c r="I4001" t="str">
        <f>TEXT(MONTH(Tabela1[[#This Row],[Último pagto ano]])*29,"mmmm")</f>
        <v>dezembro</v>
      </c>
    </row>
    <row r="4002" spans="1:9" x14ac:dyDescent="0.25">
      <c r="A4002">
        <v>2025</v>
      </c>
      <c r="B4002" t="s">
        <v>7966</v>
      </c>
      <c r="C4002" s="1">
        <v>45789</v>
      </c>
      <c r="D4002" t="s">
        <v>7967</v>
      </c>
      <c r="E4002">
        <v>3.52</v>
      </c>
      <c r="G4002" s="3">
        <f>MONTH(Tabela1[[#This Row],[Último pagto ano]])</f>
        <v>5</v>
      </c>
      <c r="H4002" t="str">
        <f>TEXT(Tabela1[[#This Row],[Coluna2]]*29,"mmmm")</f>
        <v>maio</v>
      </c>
      <c r="I4002" t="str">
        <f>TEXT(MONTH(Tabela1[[#This Row],[Último pagto ano]])*29,"mmmm")</f>
        <v>maio</v>
      </c>
    </row>
    <row r="4003" spans="1:9" x14ac:dyDescent="0.25">
      <c r="A4003">
        <v>2025</v>
      </c>
      <c r="B4003" t="s">
        <v>7968</v>
      </c>
      <c r="C4003" s="1">
        <v>46010</v>
      </c>
      <c r="D4003" t="s">
        <v>7969</v>
      </c>
      <c r="E4003">
        <v>700</v>
      </c>
      <c r="G4003" s="3">
        <f>MONTH(Tabela1[[#This Row],[Último pagto ano]])</f>
        <v>12</v>
      </c>
      <c r="H4003" t="str">
        <f>TEXT(Tabela1[[#This Row],[Coluna2]]*29,"mmmm")</f>
        <v>dezembro</v>
      </c>
      <c r="I4003" t="str">
        <f>TEXT(MONTH(Tabela1[[#This Row],[Último pagto ano]])*29,"mmmm")</f>
        <v>dezembro</v>
      </c>
    </row>
    <row r="4004" spans="1:9" x14ac:dyDescent="0.25">
      <c r="A4004">
        <v>2025</v>
      </c>
      <c r="B4004" t="s">
        <v>7970</v>
      </c>
      <c r="C4004" s="1">
        <v>45945</v>
      </c>
      <c r="D4004" t="s">
        <v>7971</v>
      </c>
      <c r="E4004" s="2">
        <v>5613.76</v>
      </c>
      <c r="G4004" s="3">
        <f>MONTH(Tabela1[[#This Row],[Último pagto ano]])</f>
        <v>10</v>
      </c>
      <c r="H4004" t="str">
        <f>TEXT(Tabela1[[#This Row],[Coluna2]]*29,"mmmm")</f>
        <v>outubro</v>
      </c>
      <c r="I4004" t="str">
        <f>TEXT(MONTH(Tabela1[[#This Row],[Último pagto ano]])*29,"mmmm")</f>
        <v>outubro</v>
      </c>
    </row>
    <row r="4005" spans="1:9" x14ac:dyDescent="0.25">
      <c r="A4005">
        <v>2025</v>
      </c>
      <c r="B4005" t="s">
        <v>7972</v>
      </c>
      <c r="C4005" s="1">
        <v>45740</v>
      </c>
      <c r="D4005" t="s">
        <v>7973</v>
      </c>
      <c r="E4005">
        <v>396</v>
      </c>
      <c r="G4005" s="3">
        <f>MONTH(Tabela1[[#This Row],[Último pagto ano]])</f>
        <v>3</v>
      </c>
      <c r="H4005" t="str">
        <f>TEXT(Tabela1[[#This Row],[Coluna2]]*29,"mmmm")</f>
        <v>março</v>
      </c>
      <c r="I4005" t="str">
        <f>TEXT(MONTH(Tabela1[[#This Row],[Último pagto ano]])*29,"mmmm")</f>
        <v>março</v>
      </c>
    </row>
    <row r="4006" spans="1:9" x14ac:dyDescent="0.25">
      <c r="A4006">
        <v>2025</v>
      </c>
      <c r="B4006" t="s">
        <v>7974</v>
      </c>
      <c r="C4006" s="1">
        <v>46010</v>
      </c>
      <c r="D4006" t="s">
        <v>7975</v>
      </c>
      <c r="E4006" s="2">
        <v>8400</v>
      </c>
      <c r="G4006" s="3">
        <f>MONTH(Tabela1[[#This Row],[Último pagto ano]])</f>
        <v>12</v>
      </c>
      <c r="H4006" t="str">
        <f>TEXT(Tabela1[[#This Row],[Coluna2]]*29,"mmmm")</f>
        <v>dezembro</v>
      </c>
      <c r="I4006" t="str">
        <f>TEXT(MONTH(Tabela1[[#This Row],[Último pagto ano]])*29,"mmmm")</f>
        <v>dezembro</v>
      </c>
    </row>
    <row r="4007" spans="1:9" x14ac:dyDescent="0.25">
      <c r="A4007">
        <v>2025</v>
      </c>
      <c r="B4007" t="s">
        <v>7976</v>
      </c>
      <c r="C4007" s="1">
        <v>46010</v>
      </c>
      <c r="D4007" t="s">
        <v>7977</v>
      </c>
      <c r="E4007">
        <v>700</v>
      </c>
      <c r="G4007" s="3">
        <f>MONTH(Tabela1[[#This Row],[Último pagto ano]])</f>
        <v>12</v>
      </c>
      <c r="H4007" t="str">
        <f>TEXT(Tabela1[[#This Row],[Coluna2]]*29,"mmmm")</f>
        <v>dezembro</v>
      </c>
      <c r="I4007" t="str">
        <f>TEXT(MONTH(Tabela1[[#This Row],[Último pagto ano]])*29,"mmmm")</f>
        <v>dezembro</v>
      </c>
    </row>
    <row r="4008" spans="1:9" x14ac:dyDescent="0.25">
      <c r="A4008">
        <v>2025</v>
      </c>
      <c r="B4008" t="s">
        <v>7978</v>
      </c>
      <c r="C4008" s="1">
        <v>45691</v>
      </c>
      <c r="D4008" t="s">
        <v>7979</v>
      </c>
      <c r="E4008">
        <v>22</v>
      </c>
      <c r="G4008" s="3">
        <f>MONTH(Tabela1[[#This Row],[Último pagto ano]])</f>
        <v>2</v>
      </c>
      <c r="H4008" t="str">
        <f>TEXT(Tabela1[[#This Row],[Coluna2]]*29,"mmmm")</f>
        <v>fevereiro</v>
      </c>
      <c r="I4008" t="str">
        <f>TEXT(MONTH(Tabela1[[#This Row],[Último pagto ano]])*29,"mmmm")</f>
        <v>fevereiro</v>
      </c>
    </row>
    <row r="4009" spans="1:9" x14ac:dyDescent="0.25">
      <c r="A4009">
        <v>2025</v>
      </c>
      <c r="B4009" t="s">
        <v>7980</v>
      </c>
      <c r="C4009" s="1">
        <v>45995</v>
      </c>
      <c r="D4009" t="s">
        <v>7981</v>
      </c>
      <c r="E4009">
        <v>341</v>
      </c>
      <c r="G4009" s="3">
        <f>MONTH(Tabela1[[#This Row],[Último pagto ano]])</f>
        <v>12</v>
      </c>
      <c r="H4009" t="str">
        <f>TEXT(Tabela1[[#This Row],[Coluna2]]*29,"mmmm")</f>
        <v>dezembro</v>
      </c>
      <c r="I4009" t="str">
        <f>TEXT(MONTH(Tabela1[[#This Row],[Último pagto ano]])*29,"mmmm")</f>
        <v>dezembro</v>
      </c>
    </row>
    <row r="4010" spans="1:9" x14ac:dyDescent="0.25">
      <c r="A4010">
        <v>2025</v>
      </c>
      <c r="B4010" t="s">
        <v>7982</v>
      </c>
      <c r="C4010" s="1">
        <v>45756</v>
      </c>
      <c r="D4010" t="s">
        <v>7983</v>
      </c>
      <c r="E4010" s="2">
        <v>29108.84</v>
      </c>
      <c r="G4010" s="3">
        <f>MONTH(Tabela1[[#This Row],[Último pagto ano]])</f>
        <v>4</v>
      </c>
      <c r="H4010" t="str">
        <f>TEXT(Tabela1[[#This Row],[Coluna2]]*29,"mmmm")</f>
        <v>abril</v>
      </c>
      <c r="I4010" t="str">
        <f>TEXT(MONTH(Tabela1[[#This Row],[Último pagto ano]])*29,"mmmm")</f>
        <v>abril</v>
      </c>
    </row>
    <row r="4011" spans="1:9" x14ac:dyDescent="0.25">
      <c r="A4011">
        <v>2025</v>
      </c>
      <c r="B4011" t="s">
        <v>7984</v>
      </c>
      <c r="C4011" s="1">
        <v>45733</v>
      </c>
      <c r="D4011" t="s">
        <v>7985</v>
      </c>
      <c r="E4011">
        <v>32.1</v>
      </c>
      <c r="G4011" s="3">
        <f>MONTH(Tabela1[[#This Row],[Último pagto ano]])</f>
        <v>3</v>
      </c>
      <c r="H4011" t="str">
        <f>TEXT(Tabela1[[#This Row],[Coluna2]]*29,"mmmm")</f>
        <v>março</v>
      </c>
      <c r="I4011" t="str">
        <f>TEXT(MONTH(Tabela1[[#This Row],[Último pagto ano]])*29,"mmmm")</f>
        <v>março</v>
      </c>
    </row>
    <row r="4012" spans="1:9" x14ac:dyDescent="0.25">
      <c r="A4012">
        <v>2025</v>
      </c>
      <c r="B4012" t="s">
        <v>7986</v>
      </c>
      <c r="C4012" s="1">
        <v>45705</v>
      </c>
      <c r="D4012" t="s">
        <v>7987</v>
      </c>
      <c r="E4012">
        <v>296.16000000000003</v>
      </c>
      <c r="G4012" s="3">
        <f>MONTH(Tabela1[[#This Row],[Último pagto ano]])</f>
        <v>2</v>
      </c>
      <c r="H4012" t="str">
        <f>TEXT(Tabela1[[#This Row],[Coluna2]]*29,"mmmm")</f>
        <v>fevereiro</v>
      </c>
      <c r="I4012" t="str">
        <f>TEXT(MONTH(Tabela1[[#This Row],[Último pagto ano]])*29,"mmmm")</f>
        <v>fevereiro</v>
      </c>
    </row>
    <row r="4013" spans="1:9" x14ac:dyDescent="0.25">
      <c r="A4013">
        <v>2025</v>
      </c>
      <c r="B4013" t="s">
        <v>7988</v>
      </c>
      <c r="C4013" s="1">
        <v>45915</v>
      </c>
      <c r="D4013" t="s">
        <v>7989</v>
      </c>
      <c r="E4013" s="2">
        <v>10069.44</v>
      </c>
      <c r="G4013" s="3">
        <f>MONTH(Tabela1[[#This Row],[Último pagto ano]])</f>
        <v>9</v>
      </c>
      <c r="H4013" t="str">
        <f>TEXT(Tabela1[[#This Row],[Coluna2]]*29,"mmmm")</f>
        <v>setembro</v>
      </c>
      <c r="I4013" t="str">
        <f>TEXT(MONTH(Tabela1[[#This Row],[Último pagto ano]])*29,"mmmm")</f>
        <v>setembro</v>
      </c>
    </row>
    <row r="4014" spans="1:9" x14ac:dyDescent="0.25">
      <c r="A4014">
        <v>2025</v>
      </c>
      <c r="B4014" t="s">
        <v>7990</v>
      </c>
      <c r="C4014" s="1">
        <v>45996</v>
      </c>
      <c r="D4014" t="s">
        <v>7991</v>
      </c>
      <c r="E4014" s="2">
        <v>60250</v>
      </c>
      <c r="G4014" s="3">
        <f>MONTH(Tabela1[[#This Row],[Último pagto ano]])</f>
        <v>12</v>
      </c>
      <c r="H4014" t="str">
        <f>TEXT(Tabela1[[#This Row],[Coluna2]]*29,"mmmm")</f>
        <v>dezembro</v>
      </c>
      <c r="I4014" t="str">
        <f>TEXT(MONTH(Tabela1[[#This Row],[Último pagto ano]])*29,"mmmm")</f>
        <v>dezembro</v>
      </c>
    </row>
    <row r="4015" spans="1:9" x14ac:dyDescent="0.25">
      <c r="A4015">
        <v>2025</v>
      </c>
      <c r="B4015" t="s">
        <v>7992</v>
      </c>
      <c r="C4015" s="1">
        <v>46006</v>
      </c>
      <c r="D4015" t="s">
        <v>7993</v>
      </c>
      <c r="E4015" s="2">
        <v>9450.56</v>
      </c>
      <c r="G4015" s="3">
        <f>MONTH(Tabela1[[#This Row],[Último pagto ano]])</f>
        <v>12</v>
      </c>
      <c r="H4015" t="str">
        <f>TEXT(Tabela1[[#This Row],[Coluna2]]*29,"mmmm")</f>
        <v>dezembro</v>
      </c>
      <c r="I4015" t="str">
        <f>TEXT(MONTH(Tabela1[[#This Row],[Último pagto ano]])*29,"mmmm")</f>
        <v>dezembro</v>
      </c>
    </row>
    <row r="4016" spans="1:9" x14ac:dyDescent="0.25">
      <c r="A4016">
        <v>2025</v>
      </c>
      <c r="B4016" t="s">
        <v>7994</v>
      </c>
      <c r="C4016" s="1">
        <v>45996</v>
      </c>
      <c r="D4016" t="s">
        <v>7995</v>
      </c>
      <c r="E4016" s="2">
        <v>4500</v>
      </c>
      <c r="G4016" s="3">
        <f>MONTH(Tabela1[[#This Row],[Último pagto ano]])</f>
        <v>12</v>
      </c>
      <c r="H4016" t="str">
        <f>TEXT(Tabela1[[#This Row],[Coluna2]]*29,"mmmm")</f>
        <v>dezembro</v>
      </c>
      <c r="I4016" t="str">
        <f>TEXT(MONTH(Tabela1[[#This Row],[Último pagto ano]])*29,"mmmm")</f>
        <v>dezembro</v>
      </c>
    </row>
    <row r="4017" spans="1:9" x14ac:dyDescent="0.25">
      <c r="A4017">
        <v>2025</v>
      </c>
      <c r="B4017" t="s">
        <v>7996</v>
      </c>
      <c r="C4017" s="1">
        <v>45975</v>
      </c>
      <c r="D4017" t="s">
        <v>7997</v>
      </c>
      <c r="E4017" s="2">
        <v>5613.76</v>
      </c>
      <c r="G4017" s="3">
        <f>MONTH(Tabela1[[#This Row],[Último pagto ano]])</f>
        <v>11</v>
      </c>
      <c r="H4017" t="str">
        <f>TEXT(Tabela1[[#This Row],[Coluna2]]*29,"mmmm")</f>
        <v>novembro</v>
      </c>
      <c r="I4017" t="str">
        <f>TEXT(MONTH(Tabela1[[#This Row],[Último pagto ano]])*29,"mmmm")</f>
        <v>novembro</v>
      </c>
    </row>
    <row r="4018" spans="1:9" x14ac:dyDescent="0.25">
      <c r="A4018">
        <v>2025</v>
      </c>
      <c r="B4018" t="s">
        <v>7998</v>
      </c>
      <c r="C4018" s="1">
        <v>45894</v>
      </c>
      <c r="D4018" t="s">
        <v>7999</v>
      </c>
      <c r="E4018" s="2">
        <v>1400</v>
      </c>
      <c r="G4018" s="3">
        <f>MONTH(Tabela1[[#This Row],[Último pagto ano]])</f>
        <v>8</v>
      </c>
      <c r="H4018" t="str">
        <f>TEXT(Tabela1[[#This Row],[Coluna2]]*29,"mmmm")</f>
        <v>agosto</v>
      </c>
      <c r="I4018" t="str">
        <f>TEXT(MONTH(Tabela1[[#This Row],[Último pagto ano]])*29,"mmmm")</f>
        <v>agosto</v>
      </c>
    </row>
    <row r="4019" spans="1:9" x14ac:dyDescent="0.25">
      <c r="A4019">
        <v>2025</v>
      </c>
      <c r="B4019" t="s">
        <v>8000</v>
      </c>
      <c r="C4019" s="1">
        <v>45824</v>
      </c>
      <c r="D4019" t="s">
        <v>8001</v>
      </c>
      <c r="E4019" s="2">
        <v>5870.08</v>
      </c>
      <c r="G4019" s="3">
        <f>MONTH(Tabela1[[#This Row],[Último pagto ano]])</f>
        <v>6</v>
      </c>
      <c r="H4019" t="str">
        <f>TEXT(Tabela1[[#This Row],[Coluna2]]*29,"mmmm")</f>
        <v>junho</v>
      </c>
      <c r="I4019" t="str">
        <f>TEXT(MONTH(Tabela1[[#This Row],[Último pagto ano]])*29,"mmmm")</f>
        <v>junho</v>
      </c>
    </row>
    <row r="4020" spans="1:9" x14ac:dyDescent="0.25">
      <c r="A4020">
        <v>2025</v>
      </c>
      <c r="B4020" t="s">
        <v>8002</v>
      </c>
      <c r="C4020" s="1">
        <v>45975</v>
      </c>
      <c r="D4020" t="s">
        <v>8003</v>
      </c>
      <c r="E4020" s="2">
        <v>6701.12</v>
      </c>
      <c r="G4020" s="3">
        <f>MONTH(Tabela1[[#This Row],[Último pagto ano]])</f>
        <v>11</v>
      </c>
      <c r="H4020" t="str">
        <f>TEXT(Tabela1[[#This Row],[Coluna2]]*29,"mmmm")</f>
        <v>novembro</v>
      </c>
      <c r="I4020" t="str">
        <f>TEXT(MONTH(Tabela1[[#This Row],[Último pagto ano]])*29,"mmmm")</f>
        <v>novembro</v>
      </c>
    </row>
    <row r="4021" spans="1:9" x14ac:dyDescent="0.25">
      <c r="A4021">
        <v>2025</v>
      </c>
      <c r="B4021" t="s">
        <v>8004</v>
      </c>
      <c r="C4021" s="1">
        <v>46010</v>
      </c>
      <c r="D4021" t="s">
        <v>8005</v>
      </c>
      <c r="E4021" s="2">
        <v>8400</v>
      </c>
      <c r="G4021" s="3">
        <f>MONTH(Tabela1[[#This Row],[Último pagto ano]])</f>
        <v>12</v>
      </c>
      <c r="H4021" t="str">
        <f>TEXT(Tabela1[[#This Row],[Coluna2]]*29,"mmmm")</f>
        <v>dezembro</v>
      </c>
      <c r="I4021" t="str">
        <f>TEXT(MONTH(Tabela1[[#This Row],[Último pagto ano]])*29,"mmmm")</f>
        <v>dezembro</v>
      </c>
    </row>
    <row r="4022" spans="1:9" x14ac:dyDescent="0.25">
      <c r="A4022">
        <v>2025</v>
      </c>
      <c r="B4022" t="s">
        <v>8006</v>
      </c>
      <c r="C4022" s="1">
        <v>45712</v>
      </c>
      <c r="D4022" t="s">
        <v>8007</v>
      </c>
      <c r="E4022" s="2">
        <v>1400</v>
      </c>
      <c r="G4022" s="3">
        <f>MONTH(Tabela1[[#This Row],[Último pagto ano]])</f>
        <v>2</v>
      </c>
      <c r="H4022" t="str">
        <f>TEXT(Tabela1[[#This Row],[Coluna2]]*29,"mmmm")</f>
        <v>fevereiro</v>
      </c>
      <c r="I4022" t="str">
        <f>TEXT(MONTH(Tabela1[[#This Row],[Último pagto ano]])*29,"mmmm")</f>
        <v>fevereiro</v>
      </c>
    </row>
    <row r="4023" spans="1:9" x14ac:dyDescent="0.25">
      <c r="A4023">
        <v>2025</v>
      </c>
      <c r="B4023" t="s">
        <v>8008</v>
      </c>
      <c r="C4023" s="1">
        <v>45708</v>
      </c>
      <c r="D4023" t="s">
        <v>8009</v>
      </c>
      <c r="E4023" s="2">
        <v>4000</v>
      </c>
      <c r="G4023" s="3">
        <f>MONTH(Tabela1[[#This Row],[Último pagto ano]])</f>
        <v>2</v>
      </c>
      <c r="H4023" t="str">
        <f>TEXT(Tabela1[[#This Row],[Coluna2]]*29,"mmmm")</f>
        <v>fevereiro</v>
      </c>
      <c r="I4023" t="str">
        <f>TEXT(MONTH(Tabela1[[#This Row],[Último pagto ano]])*29,"mmmm")</f>
        <v>fevereiro</v>
      </c>
    </row>
    <row r="4024" spans="1:9" x14ac:dyDescent="0.25">
      <c r="A4024">
        <v>2025</v>
      </c>
      <c r="B4024" t="s">
        <v>8010</v>
      </c>
      <c r="C4024" s="1">
        <v>46010</v>
      </c>
      <c r="D4024" t="s">
        <v>8011</v>
      </c>
      <c r="E4024" s="2">
        <v>8400</v>
      </c>
      <c r="G4024" s="3">
        <f>MONTH(Tabela1[[#This Row],[Último pagto ano]])</f>
        <v>12</v>
      </c>
      <c r="H4024" t="str">
        <f>TEXT(Tabela1[[#This Row],[Coluna2]]*29,"mmmm")</f>
        <v>dezembro</v>
      </c>
      <c r="I4024" t="str">
        <f>TEXT(MONTH(Tabela1[[#This Row],[Último pagto ano]])*29,"mmmm")</f>
        <v>dezembro</v>
      </c>
    </row>
    <row r="4025" spans="1:9" x14ac:dyDescent="0.25">
      <c r="A4025">
        <v>2025</v>
      </c>
      <c r="B4025" t="s">
        <v>8012</v>
      </c>
      <c r="C4025" s="1">
        <v>46006</v>
      </c>
      <c r="D4025" t="s">
        <v>8013</v>
      </c>
      <c r="E4025" s="2">
        <v>15064.32</v>
      </c>
      <c r="G4025" s="3">
        <f>MONTH(Tabela1[[#This Row],[Último pagto ano]])</f>
        <v>12</v>
      </c>
      <c r="H4025" t="str">
        <f>TEXT(Tabela1[[#This Row],[Coluna2]]*29,"mmmm")</f>
        <v>dezembro</v>
      </c>
      <c r="I4025" t="str">
        <f>TEXT(MONTH(Tabela1[[#This Row],[Último pagto ano]])*29,"mmmm")</f>
        <v>dezembro</v>
      </c>
    </row>
    <row r="4026" spans="1:9" x14ac:dyDescent="0.25">
      <c r="A4026">
        <v>2025</v>
      </c>
      <c r="B4026" t="s">
        <v>8014</v>
      </c>
      <c r="C4026" s="1">
        <v>45996</v>
      </c>
      <c r="D4026" t="s">
        <v>8015</v>
      </c>
      <c r="E4026" s="2">
        <v>6350</v>
      </c>
      <c r="G4026" s="3">
        <f>MONTH(Tabela1[[#This Row],[Último pagto ano]])</f>
        <v>12</v>
      </c>
      <c r="H4026" t="str">
        <f>TEXT(Tabela1[[#This Row],[Coluna2]]*29,"mmmm")</f>
        <v>dezembro</v>
      </c>
      <c r="I4026" t="str">
        <f>TEXT(MONTH(Tabela1[[#This Row],[Último pagto ano]])*29,"mmmm")</f>
        <v>dezembro</v>
      </c>
    </row>
    <row r="4027" spans="1:9" x14ac:dyDescent="0.25">
      <c r="A4027">
        <v>2025</v>
      </c>
      <c r="B4027" t="s">
        <v>8016</v>
      </c>
      <c r="C4027" s="1">
        <v>45824</v>
      </c>
      <c r="D4027" t="s">
        <v>8017</v>
      </c>
      <c r="E4027" s="2">
        <v>5182.24</v>
      </c>
      <c r="G4027" s="3">
        <f>MONTH(Tabela1[[#This Row],[Último pagto ano]])</f>
        <v>6</v>
      </c>
      <c r="H4027" t="str">
        <f>TEXT(Tabela1[[#This Row],[Coluna2]]*29,"mmmm")</f>
        <v>junho</v>
      </c>
      <c r="I4027" t="str">
        <f>TEXT(MONTH(Tabela1[[#This Row],[Último pagto ano]])*29,"mmmm")</f>
        <v>junho</v>
      </c>
    </row>
    <row r="4028" spans="1:9" x14ac:dyDescent="0.25">
      <c r="A4028">
        <v>2025</v>
      </c>
      <c r="B4028" t="s">
        <v>8018</v>
      </c>
      <c r="C4028" s="1">
        <v>46021</v>
      </c>
      <c r="D4028" t="s">
        <v>8019</v>
      </c>
      <c r="E4028" s="2">
        <v>2494.15</v>
      </c>
      <c r="G4028" s="3">
        <f>MONTH(Tabela1[[#This Row],[Último pagto ano]])</f>
        <v>12</v>
      </c>
      <c r="H4028" t="str">
        <f>TEXT(Tabela1[[#This Row],[Coluna2]]*29,"mmmm")</f>
        <v>dezembro</v>
      </c>
      <c r="I4028" t="str">
        <f>TEXT(MONTH(Tabela1[[#This Row],[Último pagto ano]])*29,"mmmm")</f>
        <v>dezembro</v>
      </c>
    </row>
    <row r="4029" spans="1:9" x14ac:dyDescent="0.25">
      <c r="A4029">
        <v>2025</v>
      </c>
      <c r="B4029" t="s">
        <v>8020</v>
      </c>
      <c r="C4029" s="1">
        <v>45996</v>
      </c>
      <c r="D4029" t="s">
        <v>8021</v>
      </c>
      <c r="E4029" s="2">
        <v>28350</v>
      </c>
      <c r="G4029" s="3">
        <f>MONTH(Tabela1[[#This Row],[Último pagto ano]])</f>
        <v>12</v>
      </c>
      <c r="H4029" t="str">
        <f>TEXT(Tabela1[[#This Row],[Coluna2]]*29,"mmmm")</f>
        <v>dezembro</v>
      </c>
      <c r="I4029" t="str">
        <f>TEXT(MONTH(Tabela1[[#This Row],[Último pagto ano]])*29,"mmmm")</f>
        <v>dezembro</v>
      </c>
    </row>
    <row r="4030" spans="1:9" x14ac:dyDescent="0.25">
      <c r="A4030">
        <v>2025</v>
      </c>
      <c r="B4030" t="s">
        <v>8022</v>
      </c>
      <c r="C4030" s="1">
        <v>45702</v>
      </c>
      <c r="D4030" t="s">
        <v>8023</v>
      </c>
      <c r="E4030">
        <v>749.16</v>
      </c>
      <c r="G4030" s="3">
        <f>MONTH(Tabela1[[#This Row],[Último pagto ano]])</f>
        <v>2</v>
      </c>
      <c r="H4030" t="str">
        <f>TEXT(Tabela1[[#This Row],[Coluna2]]*29,"mmmm")</f>
        <v>fevereiro</v>
      </c>
      <c r="I4030" t="str">
        <f>TEXT(MONTH(Tabela1[[#This Row],[Último pagto ano]])*29,"mmmm")</f>
        <v>fevereiro</v>
      </c>
    </row>
    <row r="4031" spans="1:9" x14ac:dyDescent="0.25">
      <c r="A4031">
        <v>2025</v>
      </c>
      <c r="B4031" t="s">
        <v>8024</v>
      </c>
      <c r="C4031" s="1">
        <v>45929</v>
      </c>
      <c r="D4031" t="s">
        <v>8025</v>
      </c>
      <c r="E4031" s="2">
        <v>1100.74</v>
      </c>
      <c r="G4031" s="3">
        <f>MONTH(Tabela1[[#This Row],[Último pagto ano]])</f>
        <v>9</v>
      </c>
      <c r="H4031" t="str">
        <f>TEXT(Tabela1[[#This Row],[Coluna2]]*29,"mmmm")</f>
        <v>setembro</v>
      </c>
      <c r="I4031" t="str">
        <f>TEXT(MONTH(Tabela1[[#This Row],[Último pagto ano]])*29,"mmmm")</f>
        <v>setembro</v>
      </c>
    </row>
    <row r="4032" spans="1:9" x14ac:dyDescent="0.25">
      <c r="A4032">
        <v>2025</v>
      </c>
      <c r="B4032" t="s">
        <v>8026</v>
      </c>
      <c r="C4032" s="1">
        <v>45985</v>
      </c>
      <c r="D4032" t="s">
        <v>8027</v>
      </c>
      <c r="E4032" s="2">
        <v>11000</v>
      </c>
      <c r="G4032" s="3">
        <f>MONTH(Tabela1[[#This Row],[Último pagto ano]])</f>
        <v>11</v>
      </c>
      <c r="H4032" t="str">
        <f>TEXT(Tabela1[[#This Row],[Coluna2]]*29,"mmmm")</f>
        <v>novembro</v>
      </c>
      <c r="I4032" t="str">
        <f>TEXT(MONTH(Tabela1[[#This Row],[Último pagto ano]])*29,"mmmm")</f>
        <v>novembro</v>
      </c>
    </row>
    <row r="4033" spans="1:9" x14ac:dyDescent="0.25">
      <c r="A4033">
        <v>2025</v>
      </c>
      <c r="B4033" t="s">
        <v>8028</v>
      </c>
      <c r="C4033" s="1">
        <v>45876</v>
      </c>
      <c r="D4033" t="s">
        <v>8029</v>
      </c>
      <c r="E4033" s="2">
        <v>25000</v>
      </c>
      <c r="G4033" s="3">
        <f>MONTH(Tabela1[[#This Row],[Último pagto ano]])</f>
        <v>8</v>
      </c>
      <c r="H4033" t="str">
        <f>TEXT(Tabela1[[#This Row],[Coluna2]]*29,"mmmm")</f>
        <v>agosto</v>
      </c>
      <c r="I4033" t="str">
        <f>TEXT(MONTH(Tabela1[[#This Row],[Último pagto ano]])*29,"mmmm")</f>
        <v>agosto</v>
      </c>
    </row>
    <row r="4034" spans="1:9" x14ac:dyDescent="0.25">
      <c r="A4034">
        <v>2025</v>
      </c>
      <c r="B4034" t="s">
        <v>8030</v>
      </c>
      <c r="C4034" s="1">
        <v>45985</v>
      </c>
      <c r="D4034" t="s">
        <v>8031</v>
      </c>
      <c r="E4034" s="2">
        <v>11000</v>
      </c>
      <c r="G4034" s="3">
        <f>MONTH(Tabela1[[#This Row],[Último pagto ano]])</f>
        <v>11</v>
      </c>
      <c r="H4034" t="str">
        <f>TEXT(Tabela1[[#This Row],[Coluna2]]*29,"mmmm")</f>
        <v>novembro</v>
      </c>
      <c r="I4034" t="str">
        <f>TEXT(MONTH(Tabela1[[#This Row],[Último pagto ano]])*29,"mmmm")</f>
        <v>novembro</v>
      </c>
    </row>
    <row r="4035" spans="1:9" x14ac:dyDescent="0.25">
      <c r="A4035">
        <v>2025</v>
      </c>
      <c r="B4035" t="s">
        <v>8032</v>
      </c>
      <c r="C4035" s="1">
        <v>45744</v>
      </c>
      <c r="D4035" t="s">
        <v>8033</v>
      </c>
      <c r="E4035" s="2">
        <v>2922.12</v>
      </c>
      <c r="G4035" s="3">
        <f>MONTH(Tabela1[[#This Row],[Último pagto ano]])</f>
        <v>3</v>
      </c>
      <c r="H4035" t="str">
        <f>TEXT(Tabela1[[#This Row],[Coluna2]]*29,"mmmm")</f>
        <v>março</v>
      </c>
      <c r="I4035" t="str">
        <f>TEXT(MONTH(Tabela1[[#This Row],[Último pagto ano]])*29,"mmmm")</f>
        <v>março</v>
      </c>
    </row>
    <row r="4036" spans="1:9" x14ac:dyDescent="0.25">
      <c r="A4036">
        <v>2025</v>
      </c>
      <c r="B4036" t="s">
        <v>8034</v>
      </c>
      <c r="C4036" s="1">
        <v>45898</v>
      </c>
      <c r="D4036" t="s">
        <v>8035</v>
      </c>
      <c r="E4036" s="2">
        <v>7189.26</v>
      </c>
      <c r="G4036" s="3">
        <f>MONTH(Tabela1[[#This Row],[Último pagto ano]])</f>
        <v>8</v>
      </c>
      <c r="H4036" t="str">
        <f>TEXT(Tabela1[[#This Row],[Coluna2]]*29,"mmmm")</f>
        <v>agosto</v>
      </c>
      <c r="I4036" t="str">
        <f>TEXT(MONTH(Tabela1[[#This Row],[Último pagto ano]])*29,"mmmm")</f>
        <v>agosto</v>
      </c>
    </row>
    <row r="4037" spans="1:9" x14ac:dyDescent="0.25">
      <c r="A4037">
        <v>2025</v>
      </c>
      <c r="B4037" t="s">
        <v>8036</v>
      </c>
      <c r="C4037" s="1">
        <v>45702</v>
      </c>
      <c r="D4037" t="s">
        <v>8037</v>
      </c>
      <c r="E4037" s="2">
        <v>1069.01</v>
      </c>
      <c r="G4037" s="3">
        <f>MONTH(Tabela1[[#This Row],[Último pagto ano]])</f>
        <v>2</v>
      </c>
      <c r="H4037" t="str">
        <f>TEXT(Tabela1[[#This Row],[Coluna2]]*29,"mmmm")</f>
        <v>fevereiro</v>
      </c>
      <c r="I4037" t="str">
        <f>TEXT(MONTH(Tabela1[[#This Row],[Último pagto ano]])*29,"mmmm")</f>
        <v>fevereiro</v>
      </c>
    </row>
    <row r="4038" spans="1:9" x14ac:dyDescent="0.25">
      <c r="A4038">
        <v>2025</v>
      </c>
      <c r="B4038" t="s">
        <v>8038</v>
      </c>
      <c r="C4038" s="1">
        <v>45988</v>
      </c>
      <c r="D4038" t="s">
        <v>8039</v>
      </c>
      <c r="E4038" s="2">
        <v>2223</v>
      </c>
      <c r="G4038" s="3">
        <f>MONTH(Tabela1[[#This Row],[Último pagto ano]])</f>
        <v>11</v>
      </c>
      <c r="H4038" t="str">
        <f>TEXT(Tabela1[[#This Row],[Coluna2]]*29,"mmmm")</f>
        <v>novembro</v>
      </c>
      <c r="I4038" t="str">
        <f>TEXT(MONTH(Tabela1[[#This Row],[Último pagto ano]])*29,"mmmm")</f>
        <v>novembro</v>
      </c>
    </row>
    <row r="4039" spans="1:9" x14ac:dyDescent="0.25">
      <c r="A4039">
        <v>2025</v>
      </c>
      <c r="B4039" t="s">
        <v>8040</v>
      </c>
      <c r="C4039" s="1">
        <v>45989</v>
      </c>
      <c r="D4039" t="s">
        <v>8041</v>
      </c>
      <c r="E4039" s="2">
        <v>11592.27</v>
      </c>
      <c r="G4039" s="3">
        <f>MONTH(Tabela1[[#This Row],[Último pagto ano]])</f>
        <v>11</v>
      </c>
      <c r="H4039" t="str">
        <f>TEXT(Tabela1[[#This Row],[Coluna2]]*29,"mmmm")</f>
        <v>novembro</v>
      </c>
      <c r="I4039" t="str">
        <f>TEXT(MONTH(Tabela1[[#This Row],[Último pagto ano]])*29,"mmmm")</f>
        <v>novembro</v>
      </c>
    </row>
    <row r="4040" spans="1:9" x14ac:dyDescent="0.25">
      <c r="A4040">
        <v>2025</v>
      </c>
      <c r="B4040" t="s">
        <v>8042</v>
      </c>
      <c r="C4040" s="1">
        <v>45702</v>
      </c>
      <c r="D4040" t="s">
        <v>8043</v>
      </c>
      <c r="E4040">
        <v>5.47</v>
      </c>
      <c r="G4040" s="3">
        <f>MONTH(Tabela1[[#This Row],[Último pagto ano]])</f>
        <v>2</v>
      </c>
      <c r="H4040" t="str">
        <f>TEXT(Tabela1[[#This Row],[Coluna2]]*29,"mmmm")</f>
        <v>fevereiro</v>
      </c>
      <c r="I4040" t="str">
        <f>TEXT(MONTH(Tabela1[[#This Row],[Último pagto ano]])*29,"mmmm")</f>
        <v>fevereiro</v>
      </c>
    </row>
    <row r="4041" spans="1:9" x14ac:dyDescent="0.25">
      <c r="A4041">
        <v>2025</v>
      </c>
      <c r="B4041" t="s">
        <v>8044</v>
      </c>
      <c r="C4041" s="1">
        <v>46010</v>
      </c>
      <c r="D4041" t="s">
        <v>8045</v>
      </c>
      <c r="E4041" s="2">
        <v>7000</v>
      </c>
      <c r="G4041" s="3">
        <f>MONTH(Tabela1[[#This Row],[Último pagto ano]])</f>
        <v>12</v>
      </c>
      <c r="H4041" t="str">
        <f>TEXT(Tabela1[[#This Row],[Coluna2]]*29,"mmmm")</f>
        <v>dezembro</v>
      </c>
      <c r="I4041" t="str">
        <f>TEXT(MONTH(Tabela1[[#This Row],[Último pagto ano]])*29,"mmmm")</f>
        <v>dezembro</v>
      </c>
    </row>
    <row r="4042" spans="1:9" x14ac:dyDescent="0.25">
      <c r="A4042">
        <v>2025</v>
      </c>
      <c r="B4042" t="s">
        <v>8046</v>
      </c>
      <c r="C4042" s="1">
        <v>45989</v>
      </c>
      <c r="D4042" t="s">
        <v>8047</v>
      </c>
      <c r="E4042" s="2">
        <v>3581.73</v>
      </c>
      <c r="G4042" s="3">
        <f>MONTH(Tabela1[[#This Row],[Último pagto ano]])</f>
        <v>11</v>
      </c>
      <c r="H4042" t="str">
        <f>TEXT(Tabela1[[#This Row],[Coluna2]]*29,"mmmm")</f>
        <v>novembro</v>
      </c>
      <c r="I4042" t="str">
        <f>TEXT(MONTH(Tabela1[[#This Row],[Último pagto ano]])*29,"mmmm")</f>
        <v>novembro</v>
      </c>
    </row>
    <row r="4043" spans="1:9" x14ac:dyDescent="0.25">
      <c r="A4043">
        <v>2025</v>
      </c>
      <c r="B4043" t="s">
        <v>8048</v>
      </c>
      <c r="C4043" s="1">
        <v>45755</v>
      </c>
      <c r="D4043" t="s">
        <v>8049</v>
      </c>
      <c r="E4043" s="2">
        <v>2264.83</v>
      </c>
      <c r="G4043" s="3">
        <f>MONTH(Tabela1[[#This Row],[Último pagto ano]])</f>
        <v>4</v>
      </c>
      <c r="H4043" t="str">
        <f>TEXT(Tabela1[[#This Row],[Coluna2]]*29,"mmmm")</f>
        <v>abril</v>
      </c>
      <c r="I4043" t="str">
        <f>TEXT(MONTH(Tabela1[[#This Row],[Último pagto ano]])*29,"mmmm")</f>
        <v>abril</v>
      </c>
    </row>
    <row r="4044" spans="1:9" x14ac:dyDescent="0.25">
      <c r="A4044">
        <v>2025</v>
      </c>
      <c r="B4044" t="s">
        <v>8050</v>
      </c>
      <c r="C4044" s="1">
        <v>46010</v>
      </c>
      <c r="D4044" t="s">
        <v>8051</v>
      </c>
      <c r="E4044" s="2">
        <v>24000</v>
      </c>
      <c r="G4044" s="3">
        <f>MONTH(Tabela1[[#This Row],[Último pagto ano]])</f>
        <v>12</v>
      </c>
      <c r="H4044" t="str">
        <f>TEXT(Tabela1[[#This Row],[Coluna2]]*29,"mmmm")</f>
        <v>dezembro</v>
      </c>
      <c r="I4044" t="str">
        <f>TEXT(MONTH(Tabela1[[#This Row],[Último pagto ano]])*29,"mmmm")</f>
        <v>dezembro</v>
      </c>
    </row>
    <row r="4045" spans="1:9" x14ac:dyDescent="0.25">
      <c r="A4045">
        <v>2025</v>
      </c>
      <c r="B4045" t="s">
        <v>8052</v>
      </c>
      <c r="C4045" s="1">
        <v>45939</v>
      </c>
      <c r="D4045" t="s">
        <v>8053</v>
      </c>
      <c r="E4045">
        <v>401.52</v>
      </c>
      <c r="G4045" s="3">
        <f>MONTH(Tabela1[[#This Row],[Último pagto ano]])</f>
        <v>10</v>
      </c>
      <c r="H4045" t="str">
        <f>TEXT(Tabela1[[#This Row],[Coluna2]]*29,"mmmm")</f>
        <v>outubro</v>
      </c>
      <c r="I4045" t="str">
        <f>TEXT(MONTH(Tabela1[[#This Row],[Último pagto ano]])*29,"mmmm")</f>
        <v>outubro</v>
      </c>
    </row>
    <row r="4046" spans="1:9" x14ac:dyDescent="0.25">
      <c r="A4046">
        <v>2025</v>
      </c>
      <c r="B4046" t="s">
        <v>8054</v>
      </c>
      <c r="C4046" s="1">
        <v>45799</v>
      </c>
      <c r="D4046" t="s">
        <v>8055</v>
      </c>
      <c r="E4046" s="2">
        <v>3961.78</v>
      </c>
      <c r="G4046" s="3">
        <f>MONTH(Tabela1[[#This Row],[Último pagto ano]])</f>
        <v>5</v>
      </c>
      <c r="H4046" t="str">
        <f>TEXT(Tabela1[[#This Row],[Coluna2]]*29,"mmmm")</f>
        <v>maio</v>
      </c>
      <c r="I4046" t="str">
        <f>TEXT(MONTH(Tabela1[[#This Row],[Último pagto ano]])*29,"mmmm")</f>
        <v>maio</v>
      </c>
    </row>
    <row r="4047" spans="1:9" x14ac:dyDescent="0.25">
      <c r="A4047">
        <v>2025</v>
      </c>
      <c r="B4047" t="s">
        <v>8056</v>
      </c>
      <c r="C4047" s="1">
        <v>45712</v>
      </c>
      <c r="D4047" t="s">
        <v>8057</v>
      </c>
      <c r="E4047" s="2">
        <v>1400</v>
      </c>
      <c r="G4047" s="3">
        <f>MONTH(Tabela1[[#This Row],[Último pagto ano]])</f>
        <v>2</v>
      </c>
      <c r="H4047" t="str">
        <f>TEXT(Tabela1[[#This Row],[Coluna2]]*29,"mmmm")</f>
        <v>fevereiro</v>
      </c>
      <c r="I4047" t="str">
        <f>TEXT(MONTH(Tabela1[[#This Row],[Último pagto ano]])*29,"mmmm")</f>
        <v>fevereiro</v>
      </c>
    </row>
    <row r="4048" spans="1:9" x14ac:dyDescent="0.25">
      <c r="A4048">
        <v>2025</v>
      </c>
      <c r="B4048" t="s">
        <v>8058</v>
      </c>
      <c r="C4048" s="1">
        <v>45910</v>
      </c>
      <c r="D4048" t="s">
        <v>8059</v>
      </c>
      <c r="E4048">
        <v>330</v>
      </c>
      <c r="G4048" s="3">
        <f>MONTH(Tabela1[[#This Row],[Último pagto ano]])</f>
        <v>9</v>
      </c>
      <c r="H4048" t="str">
        <f>TEXT(Tabela1[[#This Row],[Coluna2]]*29,"mmmm")</f>
        <v>setembro</v>
      </c>
      <c r="I4048" t="str">
        <f>TEXT(MONTH(Tabela1[[#This Row],[Último pagto ano]])*29,"mmmm")</f>
        <v>setembro</v>
      </c>
    </row>
    <row r="4049" spans="1:9" x14ac:dyDescent="0.25">
      <c r="A4049">
        <v>2025</v>
      </c>
      <c r="B4049" t="s">
        <v>8060</v>
      </c>
      <c r="C4049" s="1">
        <v>45673</v>
      </c>
      <c r="D4049" t="s">
        <v>8061</v>
      </c>
      <c r="E4049">
        <v>900</v>
      </c>
      <c r="G4049" s="3">
        <f>MONTH(Tabela1[[#This Row],[Último pagto ano]])</f>
        <v>1</v>
      </c>
      <c r="H4049" t="str">
        <f>TEXT(Tabela1[[#This Row],[Coluna2]]*29,"mmmm")</f>
        <v>janeiro</v>
      </c>
      <c r="I4049" t="str">
        <f>TEXT(MONTH(Tabela1[[#This Row],[Último pagto ano]])*29,"mmmm")</f>
        <v>janeiro</v>
      </c>
    </row>
    <row r="4050" spans="1:9" x14ac:dyDescent="0.25">
      <c r="A4050">
        <v>2025</v>
      </c>
      <c r="B4050" t="s">
        <v>8062</v>
      </c>
      <c r="C4050" s="1">
        <v>46006</v>
      </c>
      <c r="D4050" t="s">
        <v>8063</v>
      </c>
      <c r="E4050" s="2">
        <v>24306.36</v>
      </c>
      <c r="G4050" s="3">
        <f>MONTH(Tabela1[[#This Row],[Último pagto ano]])</f>
        <v>12</v>
      </c>
      <c r="H4050" t="str">
        <f>TEXT(Tabela1[[#This Row],[Coluna2]]*29,"mmmm")</f>
        <v>dezembro</v>
      </c>
      <c r="I4050" t="str">
        <f>TEXT(MONTH(Tabela1[[#This Row],[Último pagto ano]])*29,"mmmm")</f>
        <v>dezembro</v>
      </c>
    </row>
    <row r="4051" spans="1:9" x14ac:dyDescent="0.25">
      <c r="A4051">
        <v>2025</v>
      </c>
      <c r="B4051" t="s">
        <v>8064</v>
      </c>
      <c r="C4051" s="1">
        <v>46010</v>
      </c>
      <c r="D4051" t="s">
        <v>8065</v>
      </c>
      <c r="E4051" s="2">
        <v>12000</v>
      </c>
      <c r="G4051" s="3">
        <f>MONTH(Tabela1[[#This Row],[Último pagto ano]])</f>
        <v>12</v>
      </c>
      <c r="H4051" t="str">
        <f>TEXT(Tabela1[[#This Row],[Coluna2]]*29,"mmmm")</f>
        <v>dezembro</v>
      </c>
      <c r="I4051" t="str">
        <f>TEXT(MONTH(Tabela1[[#This Row],[Último pagto ano]])*29,"mmmm")</f>
        <v>dezembro</v>
      </c>
    </row>
    <row r="4052" spans="1:9" x14ac:dyDescent="0.25">
      <c r="A4052">
        <v>2025</v>
      </c>
      <c r="B4052" t="s">
        <v>8066</v>
      </c>
      <c r="C4052" s="1">
        <v>46006</v>
      </c>
      <c r="D4052" t="s">
        <v>8067</v>
      </c>
      <c r="E4052">
        <v>132</v>
      </c>
      <c r="G4052" s="3">
        <f>MONTH(Tabela1[[#This Row],[Último pagto ano]])</f>
        <v>12</v>
      </c>
      <c r="H4052" t="str">
        <f>TEXT(Tabela1[[#This Row],[Coluna2]]*29,"mmmm")</f>
        <v>dezembro</v>
      </c>
      <c r="I4052" t="str">
        <f>TEXT(MONTH(Tabela1[[#This Row],[Último pagto ano]])*29,"mmmm")</f>
        <v>dezembro</v>
      </c>
    </row>
    <row r="4053" spans="1:9" x14ac:dyDescent="0.25">
      <c r="A4053">
        <v>2025</v>
      </c>
      <c r="B4053" t="s">
        <v>8068</v>
      </c>
      <c r="C4053" s="1">
        <v>45810</v>
      </c>
      <c r="D4053" t="s">
        <v>8069</v>
      </c>
      <c r="E4053">
        <v>22</v>
      </c>
      <c r="G4053" s="3">
        <f>MONTH(Tabela1[[#This Row],[Último pagto ano]])</f>
        <v>6</v>
      </c>
      <c r="H4053" t="str">
        <f>TEXT(Tabela1[[#This Row],[Coluna2]]*29,"mmmm")</f>
        <v>junho</v>
      </c>
      <c r="I4053" t="str">
        <f>TEXT(MONTH(Tabela1[[#This Row],[Último pagto ano]])*29,"mmmm")</f>
        <v>junho</v>
      </c>
    </row>
    <row r="4054" spans="1:9" x14ac:dyDescent="0.25">
      <c r="A4054">
        <v>2025</v>
      </c>
      <c r="B4054" t="s">
        <v>8070</v>
      </c>
      <c r="C4054" s="1">
        <v>45792</v>
      </c>
      <c r="D4054" t="s">
        <v>8071</v>
      </c>
      <c r="E4054">
        <v>11</v>
      </c>
      <c r="G4054" s="3">
        <f>MONTH(Tabela1[[#This Row],[Último pagto ano]])</f>
        <v>5</v>
      </c>
      <c r="H4054" t="str">
        <f>TEXT(Tabela1[[#This Row],[Coluna2]]*29,"mmmm")</f>
        <v>maio</v>
      </c>
      <c r="I4054" t="str">
        <f>TEXT(MONTH(Tabela1[[#This Row],[Último pagto ano]])*29,"mmmm")</f>
        <v>maio</v>
      </c>
    </row>
    <row r="4055" spans="1:9" x14ac:dyDescent="0.25">
      <c r="A4055">
        <v>2025</v>
      </c>
      <c r="B4055" t="s">
        <v>8072</v>
      </c>
      <c r="C4055" s="1">
        <v>45996</v>
      </c>
      <c r="D4055" t="s">
        <v>8073</v>
      </c>
      <c r="E4055" s="2">
        <v>36350.28</v>
      </c>
      <c r="G4055" s="3">
        <f>MONTH(Tabela1[[#This Row],[Último pagto ano]])</f>
        <v>12</v>
      </c>
      <c r="H4055" t="str">
        <f>TEXT(Tabela1[[#This Row],[Coluna2]]*29,"mmmm")</f>
        <v>dezembro</v>
      </c>
      <c r="I4055" t="str">
        <f>TEXT(MONTH(Tabela1[[#This Row],[Último pagto ano]])*29,"mmmm")</f>
        <v>dezembro</v>
      </c>
    </row>
    <row r="4056" spans="1:9" x14ac:dyDescent="0.25">
      <c r="A4056">
        <v>2025</v>
      </c>
      <c r="B4056" t="s">
        <v>8074</v>
      </c>
      <c r="C4056" s="1">
        <v>45722</v>
      </c>
      <c r="D4056" t="s">
        <v>8075</v>
      </c>
      <c r="E4056">
        <v>66</v>
      </c>
      <c r="G4056" s="3">
        <f>MONTH(Tabela1[[#This Row],[Último pagto ano]])</f>
        <v>3</v>
      </c>
      <c r="H4056" t="str">
        <f>TEXT(Tabela1[[#This Row],[Coluna2]]*29,"mmmm")</f>
        <v>março</v>
      </c>
      <c r="I4056" t="str">
        <f>TEXT(MONTH(Tabela1[[#This Row],[Último pagto ano]])*29,"mmmm")</f>
        <v>março</v>
      </c>
    </row>
    <row r="4057" spans="1:9" x14ac:dyDescent="0.25">
      <c r="A4057">
        <v>2025</v>
      </c>
      <c r="B4057" t="s">
        <v>8076</v>
      </c>
      <c r="C4057" s="1">
        <v>45702</v>
      </c>
      <c r="D4057" t="s">
        <v>8077</v>
      </c>
      <c r="E4057">
        <v>188.5</v>
      </c>
      <c r="G4057" s="3">
        <f>MONTH(Tabela1[[#This Row],[Último pagto ano]])</f>
        <v>2</v>
      </c>
      <c r="H4057" t="str">
        <f>TEXT(Tabela1[[#This Row],[Coluna2]]*29,"mmmm")</f>
        <v>fevereiro</v>
      </c>
      <c r="I4057" t="str">
        <f>TEXT(MONTH(Tabela1[[#This Row],[Último pagto ano]])*29,"mmmm")</f>
        <v>fevereiro</v>
      </c>
    </row>
    <row r="4058" spans="1:9" x14ac:dyDescent="0.25">
      <c r="A4058">
        <v>2025</v>
      </c>
      <c r="B4058" t="s">
        <v>8078</v>
      </c>
      <c r="C4058" s="1">
        <v>46014</v>
      </c>
      <c r="D4058" t="s">
        <v>8079</v>
      </c>
      <c r="E4058">
        <v>28.06</v>
      </c>
      <c r="G4058" s="3">
        <f>MONTH(Tabela1[[#This Row],[Último pagto ano]])</f>
        <v>12</v>
      </c>
      <c r="H4058" t="str">
        <f>TEXT(Tabela1[[#This Row],[Coluna2]]*29,"mmmm")</f>
        <v>dezembro</v>
      </c>
      <c r="I4058" t="str">
        <f>TEXT(MONTH(Tabela1[[#This Row],[Último pagto ano]])*29,"mmmm")</f>
        <v>dezembro</v>
      </c>
    </row>
    <row r="4059" spans="1:9" x14ac:dyDescent="0.25">
      <c r="A4059">
        <v>2025</v>
      </c>
      <c r="B4059" t="s">
        <v>8080</v>
      </c>
      <c r="C4059" s="1">
        <v>45702</v>
      </c>
      <c r="D4059" t="s">
        <v>8081</v>
      </c>
      <c r="E4059">
        <v>166.57</v>
      </c>
      <c r="G4059" s="3">
        <f>MONTH(Tabela1[[#This Row],[Último pagto ano]])</f>
        <v>2</v>
      </c>
      <c r="H4059" t="str">
        <f>TEXT(Tabela1[[#This Row],[Coluna2]]*29,"mmmm")</f>
        <v>fevereiro</v>
      </c>
      <c r="I4059" t="str">
        <f>TEXT(MONTH(Tabela1[[#This Row],[Último pagto ano]])*29,"mmmm")</f>
        <v>fevereiro</v>
      </c>
    </row>
    <row r="4060" spans="1:9" x14ac:dyDescent="0.25">
      <c r="A4060">
        <v>2025</v>
      </c>
      <c r="B4060" t="s">
        <v>8082</v>
      </c>
      <c r="C4060" s="1">
        <v>45807</v>
      </c>
      <c r="D4060" t="s">
        <v>8083</v>
      </c>
      <c r="E4060" s="2">
        <v>3566.57</v>
      </c>
      <c r="G4060" s="3">
        <f>MONTH(Tabela1[[#This Row],[Último pagto ano]])</f>
        <v>5</v>
      </c>
      <c r="H4060" t="str">
        <f>TEXT(Tabela1[[#This Row],[Coluna2]]*29,"mmmm")</f>
        <v>maio</v>
      </c>
      <c r="I4060" t="str">
        <f>TEXT(MONTH(Tabela1[[#This Row],[Último pagto ano]])*29,"mmmm")</f>
        <v>maio</v>
      </c>
    </row>
    <row r="4061" spans="1:9" x14ac:dyDescent="0.25">
      <c r="A4061">
        <v>2025</v>
      </c>
      <c r="B4061" t="s">
        <v>8084</v>
      </c>
      <c r="C4061" s="1">
        <v>45971</v>
      </c>
      <c r="D4061" t="s">
        <v>8085</v>
      </c>
      <c r="E4061">
        <v>86.8</v>
      </c>
      <c r="G4061" s="3">
        <f>MONTH(Tabela1[[#This Row],[Último pagto ano]])</f>
        <v>11</v>
      </c>
      <c r="H4061" t="str">
        <f>TEXT(Tabela1[[#This Row],[Coluna2]]*29,"mmmm")</f>
        <v>novembro</v>
      </c>
      <c r="I4061" t="str">
        <f>TEXT(MONTH(Tabela1[[#This Row],[Último pagto ano]])*29,"mmmm")</f>
        <v>novembro</v>
      </c>
    </row>
    <row r="4062" spans="1:9" x14ac:dyDescent="0.25">
      <c r="A4062">
        <v>2025</v>
      </c>
      <c r="B4062" t="s">
        <v>8086</v>
      </c>
      <c r="C4062" s="1">
        <v>45832</v>
      </c>
      <c r="D4062" t="s">
        <v>8087</v>
      </c>
      <c r="E4062" s="2">
        <v>4200</v>
      </c>
      <c r="G4062" s="3">
        <f>MONTH(Tabela1[[#This Row],[Último pagto ano]])</f>
        <v>6</v>
      </c>
      <c r="H4062" t="str">
        <f>TEXT(Tabela1[[#This Row],[Coluna2]]*29,"mmmm")</f>
        <v>junho</v>
      </c>
      <c r="I4062" t="str">
        <f>TEXT(MONTH(Tabela1[[#This Row],[Último pagto ano]])*29,"mmmm")</f>
        <v>junho</v>
      </c>
    </row>
    <row r="4063" spans="1:9" x14ac:dyDescent="0.25">
      <c r="A4063">
        <v>2025</v>
      </c>
      <c r="B4063" t="s">
        <v>8088</v>
      </c>
      <c r="C4063" s="1">
        <v>45996</v>
      </c>
      <c r="D4063" t="s">
        <v>8089</v>
      </c>
      <c r="E4063" s="2">
        <v>32745</v>
      </c>
      <c r="G4063" s="3">
        <f>MONTH(Tabela1[[#This Row],[Último pagto ano]])</f>
        <v>12</v>
      </c>
      <c r="H4063" t="str">
        <f>TEXT(Tabela1[[#This Row],[Coluna2]]*29,"mmmm")</f>
        <v>dezembro</v>
      </c>
      <c r="I4063" t="str">
        <f>TEXT(MONTH(Tabela1[[#This Row],[Último pagto ano]])*29,"mmmm")</f>
        <v>dezembro</v>
      </c>
    </row>
    <row r="4064" spans="1:9" x14ac:dyDescent="0.25">
      <c r="A4064">
        <v>2025</v>
      </c>
      <c r="B4064" t="s">
        <v>8090</v>
      </c>
      <c r="C4064" s="1">
        <v>45978</v>
      </c>
      <c r="D4064" t="s">
        <v>8091</v>
      </c>
      <c r="E4064" s="2">
        <v>4400</v>
      </c>
      <c r="G4064" s="3">
        <f>MONTH(Tabela1[[#This Row],[Último pagto ano]])</f>
        <v>11</v>
      </c>
      <c r="H4064" t="str">
        <f>TEXT(Tabela1[[#This Row],[Coluna2]]*29,"mmmm")</f>
        <v>novembro</v>
      </c>
      <c r="I4064" t="str">
        <f>TEXT(MONTH(Tabela1[[#This Row],[Último pagto ano]])*29,"mmmm")</f>
        <v>novembro</v>
      </c>
    </row>
    <row r="4065" spans="1:9" x14ac:dyDescent="0.25">
      <c r="A4065">
        <v>2025</v>
      </c>
      <c r="B4065" t="s">
        <v>8092</v>
      </c>
      <c r="C4065" s="1">
        <v>45716</v>
      </c>
      <c r="D4065" t="s">
        <v>8093</v>
      </c>
      <c r="E4065" s="2">
        <v>1995.85</v>
      </c>
      <c r="G4065" s="3">
        <f>MONTH(Tabela1[[#This Row],[Último pagto ano]])</f>
        <v>2</v>
      </c>
      <c r="H4065" t="str">
        <f>TEXT(Tabela1[[#This Row],[Coluna2]]*29,"mmmm")</f>
        <v>fevereiro</v>
      </c>
      <c r="I4065" t="str">
        <f>TEXT(MONTH(Tabela1[[#This Row],[Último pagto ano]])*29,"mmmm")</f>
        <v>fevereiro</v>
      </c>
    </row>
    <row r="4066" spans="1:9" x14ac:dyDescent="0.25">
      <c r="A4066">
        <v>2025</v>
      </c>
      <c r="B4066" t="s">
        <v>8094</v>
      </c>
      <c r="C4066" s="1">
        <v>45702</v>
      </c>
      <c r="D4066" t="s">
        <v>8095</v>
      </c>
      <c r="E4066">
        <v>777.89</v>
      </c>
      <c r="G4066" s="3">
        <f>MONTH(Tabela1[[#This Row],[Último pagto ano]])</f>
        <v>2</v>
      </c>
      <c r="H4066" t="str">
        <f>TEXT(Tabela1[[#This Row],[Coluna2]]*29,"mmmm")</f>
        <v>fevereiro</v>
      </c>
      <c r="I4066" t="str">
        <f>TEXT(MONTH(Tabela1[[#This Row],[Último pagto ano]])*29,"mmmm")</f>
        <v>fevereiro</v>
      </c>
    </row>
    <row r="4067" spans="1:9" x14ac:dyDescent="0.25">
      <c r="A4067">
        <v>2025</v>
      </c>
      <c r="B4067" t="s">
        <v>8096</v>
      </c>
      <c r="C4067" s="1">
        <v>45999</v>
      </c>
      <c r="D4067" t="s">
        <v>8097</v>
      </c>
      <c r="E4067">
        <v>462</v>
      </c>
      <c r="G4067" s="3">
        <f>MONTH(Tabela1[[#This Row],[Último pagto ano]])</f>
        <v>12</v>
      </c>
      <c r="H4067" t="str">
        <f>TEXT(Tabela1[[#This Row],[Coluna2]]*29,"mmmm")</f>
        <v>dezembro</v>
      </c>
      <c r="I4067" t="str">
        <f>TEXT(MONTH(Tabela1[[#This Row],[Último pagto ano]])*29,"mmmm")</f>
        <v>dezembro</v>
      </c>
    </row>
    <row r="4068" spans="1:9" x14ac:dyDescent="0.25">
      <c r="A4068">
        <v>2025</v>
      </c>
      <c r="B4068" t="s">
        <v>8098</v>
      </c>
      <c r="C4068" s="1">
        <v>46021</v>
      </c>
      <c r="D4068" t="s">
        <v>8099</v>
      </c>
      <c r="E4068" s="2">
        <v>4094</v>
      </c>
      <c r="G4068" s="3">
        <f>MONTH(Tabela1[[#This Row],[Último pagto ano]])</f>
        <v>12</v>
      </c>
      <c r="H4068" t="str">
        <f>TEXT(Tabela1[[#This Row],[Coluna2]]*29,"mmmm")</f>
        <v>dezembro</v>
      </c>
      <c r="I4068" t="str">
        <f>TEXT(MONTH(Tabela1[[#This Row],[Último pagto ano]])*29,"mmmm")</f>
        <v>dezembro</v>
      </c>
    </row>
    <row r="4069" spans="1:9" x14ac:dyDescent="0.25">
      <c r="A4069">
        <v>2025</v>
      </c>
      <c r="B4069" t="s">
        <v>8100</v>
      </c>
      <c r="C4069" s="1">
        <v>45681</v>
      </c>
      <c r="D4069" t="s">
        <v>8101</v>
      </c>
      <c r="E4069">
        <v>700</v>
      </c>
      <c r="G4069" s="3">
        <f>MONTH(Tabela1[[#This Row],[Último pagto ano]])</f>
        <v>1</v>
      </c>
      <c r="H4069" t="str">
        <f>TEXT(Tabela1[[#This Row],[Coluna2]]*29,"mmmm")</f>
        <v>janeiro</v>
      </c>
      <c r="I4069" t="str">
        <f>TEXT(MONTH(Tabela1[[#This Row],[Último pagto ano]])*29,"mmmm")</f>
        <v>janeiro</v>
      </c>
    </row>
    <row r="4070" spans="1:9" x14ac:dyDescent="0.25">
      <c r="A4070">
        <v>2025</v>
      </c>
      <c r="B4070" t="s">
        <v>8102</v>
      </c>
      <c r="C4070" s="1">
        <v>45748</v>
      </c>
      <c r="D4070" t="s">
        <v>8103</v>
      </c>
      <c r="E4070" s="2">
        <v>1383.69</v>
      </c>
      <c r="G4070" s="3">
        <f>MONTH(Tabela1[[#This Row],[Último pagto ano]])</f>
        <v>4</v>
      </c>
      <c r="H4070" t="str">
        <f>TEXT(Tabela1[[#This Row],[Coluna2]]*29,"mmmm")</f>
        <v>abril</v>
      </c>
      <c r="I4070" t="str">
        <f>TEXT(MONTH(Tabela1[[#This Row],[Último pagto ano]])*29,"mmmm")</f>
        <v>abril</v>
      </c>
    </row>
    <row r="4071" spans="1:9" x14ac:dyDescent="0.25">
      <c r="A4071">
        <v>2025</v>
      </c>
      <c r="B4071" t="s">
        <v>8104</v>
      </c>
      <c r="C4071" s="1">
        <v>45796</v>
      </c>
      <c r="D4071" t="s">
        <v>8105</v>
      </c>
      <c r="E4071" s="2">
        <v>2300</v>
      </c>
      <c r="G4071" s="3">
        <f>MONTH(Tabela1[[#This Row],[Último pagto ano]])</f>
        <v>5</v>
      </c>
      <c r="H4071" t="str">
        <f>TEXT(Tabela1[[#This Row],[Coluna2]]*29,"mmmm")</f>
        <v>maio</v>
      </c>
      <c r="I4071" t="str">
        <f>TEXT(MONTH(Tabela1[[#This Row],[Último pagto ano]])*29,"mmmm")</f>
        <v>maio</v>
      </c>
    </row>
    <row r="4072" spans="1:9" x14ac:dyDescent="0.25">
      <c r="A4072">
        <v>2025</v>
      </c>
      <c r="B4072" t="s">
        <v>8106</v>
      </c>
      <c r="C4072" s="1">
        <v>46010</v>
      </c>
      <c r="D4072" t="s">
        <v>8107</v>
      </c>
      <c r="E4072" s="2">
        <v>4900</v>
      </c>
      <c r="G4072" s="3">
        <f>MONTH(Tabela1[[#This Row],[Último pagto ano]])</f>
        <v>12</v>
      </c>
      <c r="H4072" t="str">
        <f>TEXT(Tabela1[[#This Row],[Coluna2]]*29,"mmmm")</f>
        <v>dezembro</v>
      </c>
      <c r="I4072" t="str">
        <f>TEXT(MONTH(Tabela1[[#This Row],[Último pagto ano]])*29,"mmmm")</f>
        <v>dezembro</v>
      </c>
    </row>
    <row r="4073" spans="1:9" x14ac:dyDescent="0.25">
      <c r="A4073">
        <v>2025</v>
      </c>
      <c r="B4073" t="s">
        <v>8108</v>
      </c>
      <c r="C4073" s="1">
        <v>45989</v>
      </c>
      <c r="D4073" t="s">
        <v>8109</v>
      </c>
      <c r="E4073" s="2">
        <v>10837.93</v>
      </c>
      <c r="G4073" s="3">
        <f>MONTH(Tabela1[[#This Row],[Último pagto ano]])</f>
        <v>11</v>
      </c>
      <c r="H4073" t="str">
        <f>TEXT(Tabela1[[#This Row],[Coluna2]]*29,"mmmm")</f>
        <v>novembro</v>
      </c>
      <c r="I4073" t="str">
        <f>TEXT(MONTH(Tabela1[[#This Row],[Último pagto ano]])*29,"mmmm")</f>
        <v>novembro</v>
      </c>
    </row>
    <row r="4074" spans="1:9" x14ac:dyDescent="0.25">
      <c r="A4074">
        <v>2025</v>
      </c>
      <c r="B4074" t="s">
        <v>8110</v>
      </c>
      <c r="C4074" s="1">
        <v>45930</v>
      </c>
      <c r="D4074" t="s">
        <v>8111</v>
      </c>
      <c r="E4074" s="2">
        <v>7014.71</v>
      </c>
      <c r="G4074" s="3">
        <f>MONTH(Tabela1[[#This Row],[Último pagto ano]])</f>
        <v>9</v>
      </c>
      <c r="H4074" t="str">
        <f>TEXT(Tabela1[[#This Row],[Coluna2]]*29,"mmmm")</f>
        <v>setembro</v>
      </c>
      <c r="I4074" t="str">
        <f>TEXT(MONTH(Tabela1[[#This Row],[Último pagto ano]])*29,"mmmm")</f>
        <v>setembro</v>
      </c>
    </row>
    <row r="4075" spans="1:9" x14ac:dyDescent="0.25">
      <c r="A4075">
        <v>2025</v>
      </c>
      <c r="B4075" t="s">
        <v>8112</v>
      </c>
      <c r="C4075" s="1">
        <v>45702</v>
      </c>
      <c r="D4075" t="s">
        <v>8113</v>
      </c>
      <c r="E4075">
        <v>334.71</v>
      </c>
      <c r="G4075" s="3">
        <f>MONTH(Tabela1[[#This Row],[Último pagto ano]])</f>
        <v>2</v>
      </c>
      <c r="H4075" t="str">
        <f>TEXT(Tabela1[[#This Row],[Coluna2]]*29,"mmmm")</f>
        <v>fevereiro</v>
      </c>
      <c r="I4075" t="str">
        <f>TEXT(MONTH(Tabela1[[#This Row],[Último pagto ano]])*29,"mmmm")</f>
        <v>fevereiro</v>
      </c>
    </row>
    <row r="4076" spans="1:9" x14ac:dyDescent="0.25">
      <c r="A4076">
        <v>2025</v>
      </c>
      <c r="B4076" t="s">
        <v>8114</v>
      </c>
      <c r="C4076" s="1">
        <v>46013</v>
      </c>
      <c r="D4076" t="s">
        <v>8115</v>
      </c>
      <c r="E4076">
        <v>994.5</v>
      </c>
      <c r="G4076" s="3">
        <f>MONTH(Tabela1[[#This Row],[Último pagto ano]])</f>
        <v>12</v>
      </c>
      <c r="H4076" t="str">
        <f>TEXT(Tabela1[[#This Row],[Coluna2]]*29,"mmmm")</f>
        <v>dezembro</v>
      </c>
      <c r="I4076" t="str">
        <f>TEXT(MONTH(Tabela1[[#This Row],[Último pagto ano]])*29,"mmmm")</f>
        <v>dezembro</v>
      </c>
    </row>
    <row r="4077" spans="1:9" x14ac:dyDescent="0.25">
      <c r="A4077">
        <v>2025</v>
      </c>
      <c r="B4077" t="s">
        <v>8116</v>
      </c>
      <c r="C4077" s="1">
        <v>45709</v>
      </c>
      <c r="D4077" t="s">
        <v>8117</v>
      </c>
      <c r="E4077">
        <v>125.37</v>
      </c>
      <c r="G4077" s="3">
        <f>MONTH(Tabela1[[#This Row],[Último pagto ano]])</f>
        <v>2</v>
      </c>
      <c r="H4077" t="str">
        <f>TEXT(Tabela1[[#This Row],[Coluna2]]*29,"mmmm")</f>
        <v>fevereiro</v>
      </c>
      <c r="I4077" t="str">
        <f>TEXT(MONTH(Tabela1[[#This Row],[Último pagto ano]])*29,"mmmm")</f>
        <v>fevereiro</v>
      </c>
    </row>
    <row r="4078" spans="1:9" x14ac:dyDescent="0.25">
      <c r="A4078">
        <v>2025</v>
      </c>
      <c r="B4078" t="s">
        <v>8118</v>
      </c>
      <c r="C4078" s="1">
        <v>46010</v>
      </c>
      <c r="D4078" t="s">
        <v>8119</v>
      </c>
      <c r="E4078" s="2">
        <v>24000</v>
      </c>
      <c r="G4078" s="3">
        <f>MONTH(Tabela1[[#This Row],[Último pagto ano]])</f>
        <v>12</v>
      </c>
      <c r="H4078" t="str">
        <f>TEXT(Tabela1[[#This Row],[Coluna2]]*29,"mmmm")</f>
        <v>dezembro</v>
      </c>
      <c r="I4078" t="str">
        <f>TEXT(MONTH(Tabela1[[#This Row],[Último pagto ano]])*29,"mmmm")</f>
        <v>dezembro</v>
      </c>
    </row>
    <row r="4079" spans="1:9" x14ac:dyDescent="0.25">
      <c r="A4079">
        <v>2025</v>
      </c>
      <c r="B4079" t="s">
        <v>8120</v>
      </c>
      <c r="C4079" s="1">
        <v>45989</v>
      </c>
      <c r="D4079" t="s">
        <v>8121</v>
      </c>
      <c r="E4079" s="2">
        <v>4005.72</v>
      </c>
      <c r="G4079" s="3">
        <f>MONTH(Tabela1[[#This Row],[Último pagto ano]])</f>
        <v>11</v>
      </c>
      <c r="H4079" t="str">
        <f>TEXT(Tabela1[[#This Row],[Coluna2]]*29,"mmmm")</f>
        <v>novembro</v>
      </c>
      <c r="I4079" t="str">
        <f>TEXT(MONTH(Tabela1[[#This Row],[Último pagto ano]])*29,"mmmm")</f>
        <v>novembro</v>
      </c>
    </row>
    <row r="4080" spans="1:9" x14ac:dyDescent="0.25">
      <c r="A4080">
        <v>2025</v>
      </c>
      <c r="B4080" t="s">
        <v>8122</v>
      </c>
      <c r="C4080" s="1">
        <v>46010</v>
      </c>
      <c r="D4080" t="s">
        <v>8123</v>
      </c>
      <c r="E4080" s="2">
        <v>12000</v>
      </c>
      <c r="G4080" s="3">
        <f>MONTH(Tabela1[[#This Row],[Último pagto ano]])</f>
        <v>12</v>
      </c>
      <c r="H4080" t="str">
        <f>TEXT(Tabela1[[#This Row],[Coluna2]]*29,"mmmm")</f>
        <v>dezembro</v>
      </c>
      <c r="I4080" t="str">
        <f>TEXT(MONTH(Tabela1[[#This Row],[Último pagto ano]])*29,"mmmm")</f>
        <v>dezembro</v>
      </c>
    </row>
    <row r="4081" spans="1:9" x14ac:dyDescent="0.25">
      <c r="A4081">
        <v>2025</v>
      </c>
      <c r="B4081" t="s">
        <v>8124</v>
      </c>
      <c r="C4081" s="1">
        <v>45989</v>
      </c>
      <c r="D4081" t="s">
        <v>8125</v>
      </c>
      <c r="E4081" s="2">
        <v>11282.93</v>
      </c>
      <c r="G4081" s="3">
        <f>MONTH(Tabela1[[#This Row],[Último pagto ano]])</f>
        <v>11</v>
      </c>
      <c r="H4081" t="str">
        <f>TEXT(Tabela1[[#This Row],[Coluna2]]*29,"mmmm")</f>
        <v>novembro</v>
      </c>
      <c r="I4081" t="str">
        <f>TEXT(MONTH(Tabela1[[#This Row],[Último pagto ano]])*29,"mmmm")</f>
        <v>novembro</v>
      </c>
    </row>
    <row r="4082" spans="1:9" x14ac:dyDescent="0.25">
      <c r="A4082">
        <v>2025</v>
      </c>
      <c r="B4082" t="s">
        <v>8126</v>
      </c>
      <c r="C4082" s="1">
        <v>45996</v>
      </c>
      <c r="D4082" t="s">
        <v>8127</v>
      </c>
      <c r="E4082" s="2">
        <v>14000.04</v>
      </c>
      <c r="G4082" s="3">
        <f>MONTH(Tabela1[[#This Row],[Último pagto ano]])</f>
        <v>12</v>
      </c>
      <c r="H4082" t="str">
        <f>TEXT(Tabela1[[#This Row],[Coluna2]]*29,"mmmm")</f>
        <v>dezembro</v>
      </c>
      <c r="I4082" t="str">
        <f>TEXT(MONTH(Tabela1[[#This Row],[Último pagto ano]])*29,"mmmm")</f>
        <v>dezembro</v>
      </c>
    </row>
    <row r="4083" spans="1:9" x14ac:dyDescent="0.25">
      <c r="A4083">
        <v>2025</v>
      </c>
      <c r="B4083" t="s">
        <v>8128</v>
      </c>
      <c r="C4083" s="1">
        <v>45989</v>
      </c>
      <c r="D4083" t="s">
        <v>8129</v>
      </c>
      <c r="E4083" s="2">
        <v>10623.17</v>
      </c>
      <c r="G4083" s="3">
        <f>MONTH(Tabela1[[#This Row],[Último pagto ano]])</f>
        <v>11</v>
      </c>
      <c r="H4083" t="str">
        <f>TEXT(Tabela1[[#This Row],[Coluna2]]*29,"mmmm")</f>
        <v>novembro</v>
      </c>
      <c r="I4083" t="str">
        <f>TEXT(MONTH(Tabela1[[#This Row],[Último pagto ano]])*29,"mmmm")</f>
        <v>novembro</v>
      </c>
    </row>
    <row r="4084" spans="1:9" x14ac:dyDescent="0.25">
      <c r="A4084">
        <v>2025</v>
      </c>
      <c r="B4084" t="s">
        <v>8130</v>
      </c>
      <c r="C4084" s="1">
        <v>45996</v>
      </c>
      <c r="D4084" t="s">
        <v>8131</v>
      </c>
      <c r="E4084" s="2">
        <v>11400</v>
      </c>
      <c r="G4084" s="3">
        <f>MONTH(Tabela1[[#This Row],[Último pagto ano]])</f>
        <v>12</v>
      </c>
      <c r="H4084" t="str">
        <f>TEXT(Tabela1[[#This Row],[Coluna2]]*29,"mmmm")</f>
        <v>dezembro</v>
      </c>
      <c r="I4084" t="str">
        <f>TEXT(MONTH(Tabela1[[#This Row],[Último pagto ano]])*29,"mmmm")</f>
        <v>dezembro</v>
      </c>
    </row>
    <row r="4085" spans="1:9" x14ac:dyDescent="0.25">
      <c r="A4085">
        <v>2025</v>
      </c>
      <c r="B4085" t="s">
        <v>8132</v>
      </c>
      <c r="C4085" s="1">
        <v>45989</v>
      </c>
      <c r="D4085" t="s">
        <v>8133</v>
      </c>
      <c r="E4085" s="2">
        <v>9809.66</v>
      </c>
      <c r="G4085" s="3">
        <f>MONTH(Tabela1[[#This Row],[Último pagto ano]])</f>
        <v>11</v>
      </c>
      <c r="H4085" t="str">
        <f>TEXT(Tabela1[[#This Row],[Coluna2]]*29,"mmmm")</f>
        <v>novembro</v>
      </c>
      <c r="I4085" t="str">
        <f>TEXT(MONTH(Tabela1[[#This Row],[Último pagto ano]])*29,"mmmm")</f>
        <v>novembro</v>
      </c>
    </row>
    <row r="4086" spans="1:9" x14ac:dyDescent="0.25">
      <c r="A4086">
        <v>2025</v>
      </c>
      <c r="B4086" t="s">
        <v>8134</v>
      </c>
      <c r="C4086" s="1">
        <v>45702</v>
      </c>
      <c r="D4086" t="s">
        <v>8135</v>
      </c>
      <c r="E4086">
        <v>883.53</v>
      </c>
      <c r="G4086" s="3">
        <f>MONTH(Tabela1[[#This Row],[Último pagto ano]])</f>
        <v>2</v>
      </c>
      <c r="H4086" t="str">
        <f>TEXT(Tabela1[[#This Row],[Coluna2]]*29,"mmmm")</f>
        <v>fevereiro</v>
      </c>
      <c r="I4086" t="str">
        <f>TEXT(MONTH(Tabela1[[#This Row],[Último pagto ano]])*29,"mmmm")</f>
        <v>fevereiro</v>
      </c>
    </row>
    <row r="4087" spans="1:9" x14ac:dyDescent="0.25">
      <c r="A4087">
        <v>2025</v>
      </c>
      <c r="B4087" t="s">
        <v>8136</v>
      </c>
      <c r="C4087" s="1">
        <v>45961</v>
      </c>
      <c r="D4087" t="s">
        <v>8137</v>
      </c>
      <c r="E4087" s="2">
        <v>13347.22</v>
      </c>
      <c r="G4087" s="3">
        <f>MONTH(Tabela1[[#This Row],[Último pagto ano]])</f>
        <v>10</v>
      </c>
      <c r="H4087" t="str">
        <f>TEXT(Tabela1[[#This Row],[Coluna2]]*29,"mmmm")</f>
        <v>outubro</v>
      </c>
      <c r="I4087" t="str">
        <f>TEXT(MONTH(Tabela1[[#This Row],[Último pagto ano]])*29,"mmmm")</f>
        <v>outubro</v>
      </c>
    </row>
    <row r="4088" spans="1:9" x14ac:dyDescent="0.25">
      <c r="A4088">
        <v>2025</v>
      </c>
      <c r="B4088" t="s">
        <v>8138</v>
      </c>
      <c r="C4088" s="1">
        <v>46006</v>
      </c>
      <c r="D4088" t="s">
        <v>8139</v>
      </c>
      <c r="E4088">
        <v>77</v>
      </c>
      <c r="G4088" s="3">
        <f>MONTH(Tabela1[[#This Row],[Último pagto ano]])</f>
        <v>12</v>
      </c>
      <c r="H4088" t="str">
        <f>TEXT(Tabela1[[#This Row],[Coluna2]]*29,"mmmm")</f>
        <v>dezembro</v>
      </c>
      <c r="I4088" t="str">
        <f>TEXT(MONTH(Tabela1[[#This Row],[Último pagto ano]])*29,"mmmm")</f>
        <v>dezembro</v>
      </c>
    </row>
    <row r="4089" spans="1:9" x14ac:dyDescent="0.25">
      <c r="A4089">
        <v>2025</v>
      </c>
      <c r="B4089" t="s">
        <v>8140</v>
      </c>
      <c r="C4089" s="1">
        <v>45996</v>
      </c>
      <c r="D4089" t="s">
        <v>8141</v>
      </c>
      <c r="E4089" s="2">
        <v>4995.6000000000004</v>
      </c>
      <c r="G4089" s="3">
        <f>MONTH(Tabela1[[#This Row],[Último pagto ano]])</f>
        <v>12</v>
      </c>
      <c r="H4089" t="str">
        <f>TEXT(Tabela1[[#This Row],[Coluna2]]*29,"mmmm")</f>
        <v>dezembro</v>
      </c>
      <c r="I4089" t="str">
        <f>TEXT(MONTH(Tabela1[[#This Row],[Último pagto ano]])*29,"mmmm")</f>
        <v>dezembro</v>
      </c>
    </row>
    <row r="4090" spans="1:9" x14ac:dyDescent="0.25">
      <c r="A4090">
        <v>2025</v>
      </c>
      <c r="B4090" t="s">
        <v>8142</v>
      </c>
      <c r="C4090" s="1">
        <v>45708</v>
      </c>
      <c r="D4090" t="s">
        <v>8143</v>
      </c>
      <c r="E4090">
        <v>80</v>
      </c>
      <c r="G4090" s="3">
        <f>MONTH(Tabela1[[#This Row],[Último pagto ano]])</f>
        <v>2</v>
      </c>
      <c r="H4090" t="str">
        <f>TEXT(Tabela1[[#This Row],[Coluna2]]*29,"mmmm")</f>
        <v>fevereiro</v>
      </c>
      <c r="I4090" t="str">
        <f>TEXT(MONTH(Tabela1[[#This Row],[Último pagto ano]])*29,"mmmm")</f>
        <v>fevereiro</v>
      </c>
    </row>
    <row r="4091" spans="1:9" x14ac:dyDescent="0.25">
      <c r="A4091">
        <v>2025</v>
      </c>
      <c r="B4091" t="s">
        <v>8144</v>
      </c>
      <c r="C4091" s="1">
        <v>45975</v>
      </c>
      <c r="D4091" t="s">
        <v>8145</v>
      </c>
      <c r="E4091" s="2">
        <v>6488.96</v>
      </c>
      <c r="G4091" s="3">
        <f>MONTH(Tabela1[[#This Row],[Último pagto ano]])</f>
        <v>11</v>
      </c>
      <c r="H4091" t="str">
        <f>TEXT(Tabela1[[#This Row],[Coluna2]]*29,"mmmm")</f>
        <v>novembro</v>
      </c>
      <c r="I4091" t="str">
        <f>TEXT(MONTH(Tabela1[[#This Row],[Último pagto ano]])*29,"mmmm")</f>
        <v>novembro</v>
      </c>
    </row>
    <row r="4092" spans="1:9" x14ac:dyDescent="0.25">
      <c r="A4092">
        <v>2025</v>
      </c>
      <c r="B4092" t="s">
        <v>8146</v>
      </c>
      <c r="C4092" s="1">
        <v>46006</v>
      </c>
      <c r="D4092" t="s">
        <v>8147</v>
      </c>
      <c r="E4092" s="2">
        <v>19840.400000000001</v>
      </c>
      <c r="G4092" s="3">
        <f>MONTH(Tabela1[[#This Row],[Último pagto ano]])</f>
        <v>12</v>
      </c>
      <c r="H4092" t="str">
        <f>TEXT(Tabela1[[#This Row],[Coluna2]]*29,"mmmm")</f>
        <v>dezembro</v>
      </c>
      <c r="I4092" t="str">
        <f>TEXT(MONTH(Tabela1[[#This Row],[Último pagto ano]])*29,"mmmm")</f>
        <v>dezembro</v>
      </c>
    </row>
    <row r="4093" spans="1:9" x14ac:dyDescent="0.25">
      <c r="A4093">
        <v>2025</v>
      </c>
      <c r="B4093" t="s">
        <v>8148</v>
      </c>
      <c r="C4093" s="1">
        <v>45702</v>
      </c>
      <c r="D4093" t="s">
        <v>8149</v>
      </c>
      <c r="E4093">
        <v>19.190000000000001</v>
      </c>
      <c r="G4093" s="3">
        <f>MONTH(Tabela1[[#This Row],[Último pagto ano]])</f>
        <v>2</v>
      </c>
      <c r="H4093" t="str">
        <f>TEXT(Tabela1[[#This Row],[Coluna2]]*29,"mmmm")</f>
        <v>fevereiro</v>
      </c>
      <c r="I4093" t="str">
        <f>TEXT(MONTH(Tabela1[[#This Row],[Último pagto ano]])*29,"mmmm")</f>
        <v>fevereiro</v>
      </c>
    </row>
    <row r="4094" spans="1:9" x14ac:dyDescent="0.25">
      <c r="A4094">
        <v>2025</v>
      </c>
      <c r="B4094" t="s">
        <v>8150</v>
      </c>
      <c r="C4094" s="1">
        <v>45915</v>
      </c>
      <c r="D4094" t="s">
        <v>8151</v>
      </c>
      <c r="E4094" s="2">
        <v>5587.2</v>
      </c>
      <c r="G4094" s="3">
        <f>MONTH(Tabela1[[#This Row],[Último pagto ano]])</f>
        <v>9</v>
      </c>
      <c r="H4094" t="str">
        <f>TEXT(Tabela1[[#This Row],[Coluna2]]*29,"mmmm")</f>
        <v>setembro</v>
      </c>
      <c r="I4094" t="str">
        <f>TEXT(MONTH(Tabela1[[#This Row],[Último pagto ano]])*29,"mmmm")</f>
        <v>setembro</v>
      </c>
    </row>
    <row r="4095" spans="1:9" x14ac:dyDescent="0.25">
      <c r="A4095">
        <v>2025</v>
      </c>
      <c r="B4095" t="s">
        <v>8152</v>
      </c>
      <c r="C4095" s="1">
        <v>45943</v>
      </c>
      <c r="D4095" t="s">
        <v>8153</v>
      </c>
      <c r="E4095" s="2">
        <v>1816.29</v>
      </c>
      <c r="G4095" s="3">
        <f>MONTH(Tabela1[[#This Row],[Último pagto ano]])</f>
        <v>10</v>
      </c>
      <c r="H4095" t="str">
        <f>TEXT(Tabela1[[#This Row],[Coluna2]]*29,"mmmm")</f>
        <v>outubro</v>
      </c>
      <c r="I4095" t="str">
        <f>TEXT(MONTH(Tabela1[[#This Row],[Último pagto ano]])*29,"mmmm")</f>
        <v>outubro</v>
      </c>
    </row>
    <row r="4096" spans="1:9" x14ac:dyDescent="0.25">
      <c r="A4096">
        <v>2025</v>
      </c>
      <c r="B4096" t="s">
        <v>8154</v>
      </c>
      <c r="C4096" s="1">
        <v>46014</v>
      </c>
      <c r="D4096" t="s">
        <v>8155</v>
      </c>
      <c r="E4096">
        <v>15.16</v>
      </c>
      <c r="G4096" s="3">
        <f>MONTH(Tabela1[[#This Row],[Último pagto ano]])</f>
        <v>12</v>
      </c>
      <c r="H4096" t="str">
        <f>TEXT(Tabela1[[#This Row],[Coluna2]]*29,"mmmm")</f>
        <v>dezembro</v>
      </c>
      <c r="I4096" t="str">
        <f>TEXT(MONTH(Tabela1[[#This Row],[Último pagto ano]])*29,"mmmm")</f>
        <v>dezembro</v>
      </c>
    </row>
    <row r="4097" spans="1:9" x14ac:dyDescent="0.25">
      <c r="A4097">
        <v>2025</v>
      </c>
      <c r="B4097" t="s">
        <v>8156</v>
      </c>
      <c r="C4097" s="1">
        <v>45674</v>
      </c>
      <c r="D4097" t="s">
        <v>8157</v>
      </c>
      <c r="E4097" s="2">
        <v>15000000</v>
      </c>
      <c r="G4097" s="3">
        <f>MONTH(Tabela1[[#This Row],[Último pagto ano]])</f>
        <v>1</v>
      </c>
      <c r="H4097" t="str">
        <f>TEXT(Tabela1[[#This Row],[Coluna2]]*29,"mmmm")</f>
        <v>janeiro</v>
      </c>
      <c r="I4097" t="str">
        <f>TEXT(MONTH(Tabela1[[#This Row],[Último pagto ano]])*29,"mmmm")</f>
        <v>janeiro</v>
      </c>
    </row>
    <row r="4098" spans="1:9" x14ac:dyDescent="0.25">
      <c r="A4098">
        <v>2025</v>
      </c>
      <c r="B4098" t="s">
        <v>8158</v>
      </c>
      <c r="C4098" s="1">
        <v>45971</v>
      </c>
      <c r="D4098" t="s">
        <v>8159</v>
      </c>
      <c r="E4098" s="2">
        <v>2650</v>
      </c>
      <c r="G4098" s="3">
        <f>MONTH(Tabela1[[#This Row],[Último pagto ano]])</f>
        <v>11</v>
      </c>
      <c r="H4098" t="str">
        <f>TEXT(Tabela1[[#This Row],[Coluna2]]*29,"mmmm")</f>
        <v>novembro</v>
      </c>
      <c r="I4098" t="str">
        <f>TEXT(MONTH(Tabela1[[#This Row],[Último pagto ano]])*29,"mmmm")</f>
        <v>novembro</v>
      </c>
    </row>
    <row r="4099" spans="1:9" x14ac:dyDescent="0.25">
      <c r="A4099">
        <v>2025</v>
      </c>
      <c r="B4099" t="s">
        <v>8160</v>
      </c>
      <c r="C4099" s="1">
        <v>46001</v>
      </c>
      <c r="D4099" t="s">
        <v>8161</v>
      </c>
      <c r="E4099" s="2">
        <v>5248.16</v>
      </c>
      <c r="G4099" s="3">
        <f>MONTH(Tabela1[[#This Row],[Último pagto ano]])</f>
        <v>12</v>
      </c>
      <c r="H4099" t="str">
        <f>TEXT(Tabela1[[#This Row],[Coluna2]]*29,"mmmm")</f>
        <v>dezembro</v>
      </c>
      <c r="I4099" t="str">
        <f>TEXT(MONTH(Tabela1[[#This Row],[Último pagto ano]])*29,"mmmm")</f>
        <v>dezembro</v>
      </c>
    </row>
    <row r="4100" spans="1:9" x14ac:dyDescent="0.25">
      <c r="A4100">
        <v>2025</v>
      </c>
      <c r="B4100" t="s">
        <v>8162</v>
      </c>
      <c r="C4100" s="1">
        <v>45691</v>
      </c>
      <c r="D4100" t="s">
        <v>8163</v>
      </c>
      <c r="E4100" s="2">
        <v>1720</v>
      </c>
      <c r="G4100" s="3">
        <f>MONTH(Tabela1[[#This Row],[Último pagto ano]])</f>
        <v>2</v>
      </c>
      <c r="H4100" t="str">
        <f>TEXT(Tabela1[[#This Row],[Coluna2]]*29,"mmmm")</f>
        <v>fevereiro</v>
      </c>
      <c r="I4100" t="str">
        <f>TEXT(MONTH(Tabela1[[#This Row],[Último pagto ano]])*29,"mmmm")</f>
        <v>fevereiro</v>
      </c>
    </row>
    <row r="4101" spans="1:9" x14ac:dyDescent="0.25">
      <c r="A4101">
        <v>2025</v>
      </c>
      <c r="B4101" t="s">
        <v>8164</v>
      </c>
      <c r="C4101" s="1">
        <v>45897</v>
      </c>
      <c r="D4101" t="s">
        <v>8165</v>
      </c>
      <c r="E4101" s="2">
        <v>9612</v>
      </c>
      <c r="G4101" s="3">
        <f>MONTH(Tabela1[[#This Row],[Último pagto ano]])</f>
        <v>8</v>
      </c>
      <c r="H4101" t="str">
        <f>TEXT(Tabela1[[#This Row],[Coluna2]]*29,"mmmm")</f>
        <v>agosto</v>
      </c>
      <c r="I4101" t="str">
        <f>TEXT(MONTH(Tabela1[[#This Row],[Último pagto ano]])*29,"mmmm")</f>
        <v>agosto</v>
      </c>
    </row>
    <row r="4102" spans="1:9" x14ac:dyDescent="0.25">
      <c r="A4102">
        <v>2025</v>
      </c>
      <c r="B4102" t="s">
        <v>8166</v>
      </c>
      <c r="C4102" s="1">
        <v>45838</v>
      </c>
      <c r="D4102" t="s">
        <v>8167</v>
      </c>
      <c r="E4102" s="2">
        <v>6030.12</v>
      </c>
      <c r="G4102" s="3">
        <f>MONTH(Tabela1[[#This Row],[Último pagto ano]])</f>
        <v>6</v>
      </c>
      <c r="H4102" t="str">
        <f>TEXT(Tabela1[[#This Row],[Coluna2]]*29,"mmmm")</f>
        <v>junho</v>
      </c>
      <c r="I4102" t="str">
        <f>TEXT(MONTH(Tabela1[[#This Row],[Último pagto ano]])*29,"mmmm")</f>
        <v>junho</v>
      </c>
    </row>
    <row r="4103" spans="1:9" x14ac:dyDescent="0.25">
      <c r="A4103">
        <v>2025</v>
      </c>
      <c r="B4103" t="s">
        <v>8168</v>
      </c>
      <c r="C4103" s="1">
        <v>46010</v>
      </c>
      <c r="D4103" t="s">
        <v>8169</v>
      </c>
      <c r="E4103" s="2">
        <v>7000</v>
      </c>
      <c r="G4103" s="3">
        <f>MONTH(Tabela1[[#This Row],[Último pagto ano]])</f>
        <v>12</v>
      </c>
      <c r="H4103" t="str">
        <f>TEXT(Tabela1[[#This Row],[Coluna2]]*29,"mmmm")</f>
        <v>dezembro</v>
      </c>
      <c r="I4103" t="str">
        <f>TEXT(MONTH(Tabela1[[#This Row],[Último pagto ano]])*29,"mmmm")</f>
        <v>dezembro</v>
      </c>
    </row>
    <row r="4104" spans="1:9" x14ac:dyDescent="0.25">
      <c r="A4104">
        <v>2025</v>
      </c>
      <c r="B4104" t="s">
        <v>8170</v>
      </c>
      <c r="C4104" s="1">
        <v>45824</v>
      </c>
      <c r="D4104" t="s">
        <v>8171</v>
      </c>
      <c r="E4104">
        <v>33</v>
      </c>
      <c r="G4104" s="3">
        <f>MONTH(Tabela1[[#This Row],[Último pagto ano]])</f>
        <v>6</v>
      </c>
      <c r="H4104" t="str">
        <f>TEXT(Tabela1[[#This Row],[Coluna2]]*29,"mmmm")</f>
        <v>junho</v>
      </c>
      <c r="I4104" t="str">
        <f>TEXT(MONTH(Tabela1[[#This Row],[Último pagto ano]])*29,"mmmm")</f>
        <v>junho</v>
      </c>
    </row>
    <row r="4105" spans="1:9" x14ac:dyDescent="0.25">
      <c r="A4105">
        <v>2025</v>
      </c>
      <c r="B4105" t="s">
        <v>8172</v>
      </c>
      <c r="C4105" s="1">
        <v>45754</v>
      </c>
      <c r="D4105" t="s">
        <v>8173</v>
      </c>
      <c r="E4105">
        <v>22</v>
      </c>
      <c r="G4105" s="3">
        <f>MONTH(Tabela1[[#This Row],[Último pagto ano]])</f>
        <v>4</v>
      </c>
      <c r="H4105" t="str">
        <f>TEXT(Tabela1[[#This Row],[Coluna2]]*29,"mmmm")</f>
        <v>abril</v>
      </c>
      <c r="I4105" t="str">
        <f>TEXT(MONTH(Tabela1[[#This Row],[Último pagto ano]])*29,"mmmm")</f>
        <v>abril</v>
      </c>
    </row>
    <row r="4106" spans="1:9" x14ac:dyDescent="0.25">
      <c r="A4106">
        <v>2025</v>
      </c>
      <c r="B4106" t="s">
        <v>8174</v>
      </c>
      <c r="C4106" s="1">
        <v>45943</v>
      </c>
      <c r="D4106" t="s">
        <v>8175</v>
      </c>
      <c r="E4106">
        <v>22</v>
      </c>
      <c r="G4106" s="3">
        <f>MONTH(Tabela1[[#This Row],[Último pagto ano]])</f>
        <v>10</v>
      </c>
      <c r="H4106" t="str">
        <f>TEXT(Tabela1[[#This Row],[Coluna2]]*29,"mmmm")</f>
        <v>outubro</v>
      </c>
      <c r="I4106" t="str">
        <f>TEXT(MONTH(Tabela1[[#This Row],[Último pagto ano]])*29,"mmmm")</f>
        <v>outubro</v>
      </c>
    </row>
    <row r="4107" spans="1:9" x14ac:dyDescent="0.25">
      <c r="A4107">
        <v>2025</v>
      </c>
      <c r="B4107" t="s">
        <v>8176</v>
      </c>
      <c r="C4107" s="1">
        <v>45996</v>
      </c>
      <c r="D4107" t="s">
        <v>8177</v>
      </c>
      <c r="E4107" s="2">
        <v>20000</v>
      </c>
      <c r="G4107" s="3">
        <f>MONTH(Tabela1[[#This Row],[Último pagto ano]])</f>
        <v>12</v>
      </c>
      <c r="H4107" t="str">
        <f>TEXT(Tabela1[[#This Row],[Coluna2]]*29,"mmmm")</f>
        <v>dezembro</v>
      </c>
      <c r="I4107" t="str">
        <f>TEXT(MONTH(Tabela1[[#This Row],[Último pagto ano]])*29,"mmmm")</f>
        <v>dezembro</v>
      </c>
    </row>
    <row r="4108" spans="1:9" x14ac:dyDescent="0.25">
      <c r="A4108">
        <v>2025</v>
      </c>
      <c r="B4108" t="s">
        <v>8178</v>
      </c>
      <c r="C4108" s="1">
        <v>45853</v>
      </c>
      <c r="D4108" t="s">
        <v>8179</v>
      </c>
      <c r="E4108" s="2">
        <v>2187.84</v>
      </c>
      <c r="G4108" s="3">
        <f>MONTH(Tabela1[[#This Row],[Último pagto ano]])</f>
        <v>7</v>
      </c>
      <c r="H4108" t="str">
        <f>TEXT(Tabela1[[#This Row],[Coluna2]]*29,"mmmm")</f>
        <v>julho</v>
      </c>
      <c r="I4108" t="str">
        <f>TEXT(MONTH(Tabela1[[#This Row],[Último pagto ano]])*29,"mmmm")</f>
        <v>julho</v>
      </c>
    </row>
    <row r="4109" spans="1:9" x14ac:dyDescent="0.25">
      <c r="A4109">
        <v>2025</v>
      </c>
      <c r="B4109" t="s">
        <v>8180</v>
      </c>
      <c r="C4109" s="1">
        <v>45838</v>
      </c>
      <c r="D4109" t="s">
        <v>8181</v>
      </c>
      <c r="E4109" s="2">
        <v>4304.1400000000003</v>
      </c>
      <c r="G4109" s="3">
        <f>MONTH(Tabela1[[#This Row],[Último pagto ano]])</f>
        <v>6</v>
      </c>
      <c r="H4109" t="str">
        <f>TEXT(Tabela1[[#This Row],[Coluna2]]*29,"mmmm")</f>
        <v>junho</v>
      </c>
      <c r="I4109" t="str">
        <f>TEXT(MONTH(Tabela1[[#This Row],[Último pagto ano]])*29,"mmmm")</f>
        <v>junho</v>
      </c>
    </row>
    <row r="4110" spans="1:9" x14ac:dyDescent="0.25">
      <c r="A4110">
        <v>2025</v>
      </c>
      <c r="B4110" t="s">
        <v>8182</v>
      </c>
      <c r="C4110" s="1">
        <v>45978</v>
      </c>
      <c r="D4110" t="s">
        <v>8183</v>
      </c>
      <c r="E4110">
        <v>44</v>
      </c>
      <c r="G4110" s="3">
        <f>MONTH(Tabela1[[#This Row],[Último pagto ano]])</f>
        <v>11</v>
      </c>
      <c r="H4110" t="str">
        <f>TEXT(Tabela1[[#This Row],[Coluna2]]*29,"mmmm")</f>
        <v>novembro</v>
      </c>
      <c r="I4110" t="str">
        <f>TEXT(MONTH(Tabela1[[#This Row],[Último pagto ano]])*29,"mmmm")</f>
        <v>novembro</v>
      </c>
    </row>
    <row r="4111" spans="1:9" x14ac:dyDescent="0.25">
      <c r="A4111">
        <v>2025</v>
      </c>
      <c r="B4111" t="s">
        <v>8184</v>
      </c>
      <c r="C4111" s="1">
        <v>45793</v>
      </c>
      <c r="D4111" t="s">
        <v>8185</v>
      </c>
      <c r="E4111" s="2">
        <v>3722.58</v>
      </c>
      <c r="G4111" s="3">
        <f>MONTH(Tabela1[[#This Row],[Último pagto ano]])</f>
        <v>5</v>
      </c>
      <c r="H4111" t="str">
        <f>TEXT(Tabela1[[#This Row],[Coluna2]]*29,"mmmm")</f>
        <v>maio</v>
      </c>
      <c r="I4111" t="str">
        <f>TEXT(MONTH(Tabela1[[#This Row],[Último pagto ano]])*29,"mmmm")</f>
        <v>maio</v>
      </c>
    </row>
    <row r="4112" spans="1:9" x14ac:dyDescent="0.25">
      <c r="A4112">
        <v>2025</v>
      </c>
      <c r="B4112" t="s">
        <v>8186</v>
      </c>
      <c r="C4112" s="1">
        <v>45915</v>
      </c>
      <c r="D4112" t="s">
        <v>8187</v>
      </c>
      <c r="E4112" s="2">
        <v>5256.84</v>
      </c>
      <c r="G4112" s="3">
        <f>MONTH(Tabela1[[#This Row],[Último pagto ano]])</f>
        <v>9</v>
      </c>
      <c r="H4112" t="str">
        <f>TEXT(Tabela1[[#This Row],[Coluna2]]*29,"mmmm")</f>
        <v>setembro</v>
      </c>
      <c r="I4112" t="str">
        <f>TEXT(MONTH(Tabela1[[#This Row],[Último pagto ano]])*29,"mmmm")</f>
        <v>setembro</v>
      </c>
    </row>
    <row r="4113" spans="1:9" x14ac:dyDescent="0.25">
      <c r="A4113">
        <v>2025</v>
      </c>
      <c r="B4113" t="s">
        <v>8188</v>
      </c>
      <c r="C4113" s="1">
        <v>45777</v>
      </c>
      <c r="D4113" t="s">
        <v>8189</v>
      </c>
      <c r="E4113" s="2">
        <v>1927.36</v>
      </c>
      <c r="G4113" s="3">
        <f>MONTH(Tabela1[[#This Row],[Último pagto ano]])</f>
        <v>4</v>
      </c>
      <c r="H4113" t="str">
        <f>TEXT(Tabela1[[#This Row],[Coluna2]]*29,"mmmm")</f>
        <v>abril</v>
      </c>
      <c r="I4113" t="str">
        <f>TEXT(MONTH(Tabela1[[#This Row],[Último pagto ano]])*29,"mmmm")</f>
        <v>abril</v>
      </c>
    </row>
    <row r="4114" spans="1:9" x14ac:dyDescent="0.25">
      <c r="A4114">
        <v>2025</v>
      </c>
      <c r="B4114" t="s">
        <v>8190</v>
      </c>
      <c r="C4114" s="1">
        <v>45996</v>
      </c>
      <c r="D4114" t="s">
        <v>8191</v>
      </c>
      <c r="E4114" s="2">
        <v>13000</v>
      </c>
      <c r="G4114" s="3">
        <f>MONTH(Tabela1[[#This Row],[Último pagto ano]])</f>
        <v>12</v>
      </c>
      <c r="H4114" t="str">
        <f>TEXT(Tabela1[[#This Row],[Coluna2]]*29,"mmmm")</f>
        <v>dezembro</v>
      </c>
      <c r="I4114" t="str">
        <f>TEXT(MONTH(Tabela1[[#This Row],[Último pagto ano]])*29,"mmmm")</f>
        <v>dezembro</v>
      </c>
    </row>
    <row r="4115" spans="1:9" x14ac:dyDescent="0.25">
      <c r="A4115">
        <v>2025</v>
      </c>
      <c r="B4115" t="s">
        <v>8192</v>
      </c>
      <c r="C4115" s="1">
        <v>46003</v>
      </c>
      <c r="D4115" t="s">
        <v>8193</v>
      </c>
      <c r="E4115" s="2">
        <v>6263.68</v>
      </c>
      <c r="G4115" s="3">
        <f>MONTH(Tabela1[[#This Row],[Último pagto ano]])</f>
        <v>12</v>
      </c>
      <c r="H4115" t="str">
        <f>TEXT(Tabela1[[#This Row],[Coluna2]]*29,"mmmm")</f>
        <v>dezembro</v>
      </c>
      <c r="I4115" t="str">
        <f>TEXT(MONTH(Tabela1[[#This Row],[Último pagto ano]])*29,"mmmm")</f>
        <v>dezembro</v>
      </c>
    </row>
    <row r="4116" spans="1:9" x14ac:dyDescent="0.25">
      <c r="A4116">
        <v>2025</v>
      </c>
      <c r="B4116" t="s">
        <v>8194</v>
      </c>
      <c r="C4116" s="1">
        <v>45915</v>
      </c>
      <c r="D4116" t="s">
        <v>8195</v>
      </c>
      <c r="E4116" s="2">
        <v>1698.9</v>
      </c>
      <c r="G4116" s="3">
        <f>MONTH(Tabela1[[#This Row],[Último pagto ano]])</f>
        <v>9</v>
      </c>
      <c r="H4116" t="str">
        <f>TEXT(Tabela1[[#This Row],[Coluna2]]*29,"mmmm")</f>
        <v>setembro</v>
      </c>
      <c r="I4116" t="str">
        <f>TEXT(MONTH(Tabela1[[#This Row],[Último pagto ano]])*29,"mmmm")</f>
        <v>setembro</v>
      </c>
    </row>
    <row r="4117" spans="1:9" x14ac:dyDescent="0.25">
      <c r="A4117">
        <v>2025</v>
      </c>
      <c r="B4117" t="s">
        <v>8196</v>
      </c>
      <c r="C4117" s="1">
        <v>45985</v>
      </c>
      <c r="D4117" t="s">
        <v>8197</v>
      </c>
      <c r="E4117">
        <v>273.2</v>
      </c>
      <c r="G4117" s="3">
        <f>MONTH(Tabela1[[#This Row],[Último pagto ano]])</f>
        <v>11</v>
      </c>
      <c r="H4117" t="str">
        <f>TEXT(Tabela1[[#This Row],[Coluna2]]*29,"mmmm")</f>
        <v>novembro</v>
      </c>
      <c r="I4117" t="str">
        <f>TEXT(MONTH(Tabela1[[#This Row],[Último pagto ano]])*29,"mmmm")</f>
        <v>novembro</v>
      </c>
    </row>
    <row r="4118" spans="1:9" x14ac:dyDescent="0.25">
      <c r="A4118">
        <v>2025</v>
      </c>
      <c r="B4118" t="s">
        <v>8198</v>
      </c>
      <c r="C4118" s="1">
        <v>45845</v>
      </c>
      <c r="D4118" t="s">
        <v>8199</v>
      </c>
      <c r="E4118">
        <v>99.91</v>
      </c>
      <c r="G4118" s="3">
        <f>MONTH(Tabela1[[#This Row],[Último pagto ano]])</f>
        <v>7</v>
      </c>
      <c r="H4118" t="str">
        <f>TEXT(Tabela1[[#This Row],[Coluna2]]*29,"mmmm")</f>
        <v>julho</v>
      </c>
      <c r="I4118" t="str">
        <f>TEXT(MONTH(Tabela1[[#This Row],[Último pagto ano]])*29,"mmmm")</f>
        <v>julho</v>
      </c>
    </row>
    <row r="4119" spans="1:9" x14ac:dyDescent="0.25">
      <c r="A4119">
        <v>2025</v>
      </c>
      <c r="B4119" t="s">
        <v>8200</v>
      </c>
      <c r="C4119" s="1">
        <v>45702</v>
      </c>
      <c r="D4119" t="s">
        <v>8201</v>
      </c>
      <c r="E4119">
        <v>43</v>
      </c>
      <c r="G4119" s="3">
        <f>MONTH(Tabela1[[#This Row],[Último pagto ano]])</f>
        <v>2</v>
      </c>
      <c r="H4119" t="str">
        <f>TEXT(Tabela1[[#This Row],[Coluna2]]*29,"mmmm")</f>
        <v>fevereiro</v>
      </c>
      <c r="I4119" t="str">
        <f>TEXT(MONTH(Tabela1[[#This Row],[Último pagto ano]])*29,"mmmm")</f>
        <v>fevereiro</v>
      </c>
    </row>
    <row r="4120" spans="1:9" x14ac:dyDescent="0.25">
      <c r="A4120">
        <v>2025</v>
      </c>
      <c r="B4120" t="s">
        <v>8202</v>
      </c>
      <c r="C4120" s="1">
        <v>46007</v>
      </c>
      <c r="D4120" t="s">
        <v>8203</v>
      </c>
      <c r="E4120" s="2">
        <v>87411.36</v>
      </c>
      <c r="G4120" s="3">
        <f>MONTH(Tabela1[[#This Row],[Último pagto ano]])</f>
        <v>12</v>
      </c>
      <c r="H4120" t="str">
        <f>TEXT(Tabela1[[#This Row],[Coluna2]]*29,"mmmm")</f>
        <v>dezembro</v>
      </c>
      <c r="I4120" t="str">
        <f>TEXT(MONTH(Tabela1[[#This Row],[Último pagto ano]])*29,"mmmm")</f>
        <v>dezembro</v>
      </c>
    </row>
    <row r="4121" spans="1:9" x14ac:dyDescent="0.25">
      <c r="A4121">
        <v>2025</v>
      </c>
      <c r="B4121" t="s">
        <v>8204</v>
      </c>
      <c r="C4121" s="1">
        <v>45740</v>
      </c>
      <c r="D4121" t="s">
        <v>8205</v>
      </c>
      <c r="E4121">
        <v>258.10000000000002</v>
      </c>
      <c r="G4121" s="3">
        <f>MONTH(Tabela1[[#This Row],[Último pagto ano]])</f>
        <v>3</v>
      </c>
      <c r="H4121" t="str">
        <f>TEXT(Tabela1[[#This Row],[Coluna2]]*29,"mmmm")</f>
        <v>março</v>
      </c>
      <c r="I4121" t="str">
        <f>TEXT(MONTH(Tabela1[[#This Row],[Último pagto ano]])*29,"mmmm")</f>
        <v>março</v>
      </c>
    </row>
    <row r="4122" spans="1:9" x14ac:dyDescent="0.25">
      <c r="A4122">
        <v>2025</v>
      </c>
      <c r="B4122" t="s">
        <v>8206</v>
      </c>
      <c r="C4122" s="1">
        <v>45877</v>
      </c>
      <c r="D4122" t="s">
        <v>8207</v>
      </c>
      <c r="E4122" s="2">
        <v>1442.31</v>
      </c>
      <c r="G4122" s="3">
        <f>MONTH(Tabela1[[#This Row],[Último pagto ano]])</f>
        <v>8</v>
      </c>
      <c r="H4122" t="str">
        <f>TEXT(Tabela1[[#This Row],[Coluna2]]*29,"mmmm")</f>
        <v>agosto</v>
      </c>
      <c r="I4122" t="str">
        <f>TEXT(MONTH(Tabela1[[#This Row],[Último pagto ano]])*29,"mmmm")</f>
        <v>agosto</v>
      </c>
    </row>
    <row r="4123" spans="1:9" x14ac:dyDescent="0.25">
      <c r="A4123">
        <v>2025</v>
      </c>
      <c r="B4123" t="s">
        <v>8208</v>
      </c>
      <c r="C4123" s="1">
        <v>45702</v>
      </c>
      <c r="D4123" t="s">
        <v>8209</v>
      </c>
      <c r="E4123" s="2">
        <v>1162.1500000000001</v>
      </c>
      <c r="G4123" s="3">
        <f>MONTH(Tabela1[[#This Row],[Último pagto ano]])</f>
        <v>2</v>
      </c>
      <c r="H4123" t="str">
        <f>TEXT(Tabela1[[#This Row],[Coluna2]]*29,"mmmm")</f>
        <v>fevereiro</v>
      </c>
      <c r="I4123" t="str">
        <f>TEXT(MONTH(Tabela1[[#This Row],[Último pagto ano]])*29,"mmmm")</f>
        <v>fevereiro</v>
      </c>
    </row>
    <row r="4124" spans="1:9" x14ac:dyDescent="0.25">
      <c r="A4124">
        <v>2025</v>
      </c>
      <c r="B4124" t="s">
        <v>8210</v>
      </c>
      <c r="C4124" s="1">
        <v>45961</v>
      </c>
      <c r="D4124" t="s">
        <v>8211</v>
      </c>
      <c r="E4124" s="2">
        <v>2528.6999999999998</v>
      </c>
      <c r="G4124" s="3">
        <f>MONTH(Tabela1[[#This Row],[Último pagto ano]])</f>
        <v>10</v>
      </c>
      <c r="H4124" t="str">
        <f>TEXT(Tabela1[[#This Row],[Coluna2]]*29,"mmmm")</f>
        <v>outubro</v>
      </c>
      <c r="I4124" t="str">
        <f>TEXT(MONTH(Tabela1[[#This Row],[Último pagto ano]])*29,"mmmm")</f>
        <v>outubro</v>
      </c>
    </row>
    <row r="4125" spans="1:9" x14ac:dyDescent="0.25">
      <c r="A4125">
        <v>2025</v>
      </c>
      <c r="B4125" t="s">
        <v>8212</v>
      </c>
      <c r="C4125" s="1">
        <v>45959</v>
      </c>
      <c r="D4125" t="s">
        <v>8213</v>
      </c>
      <c r="E4125" s="2">
        <v>7000</v>
      </c>
      <c r="G4125" s="3">
        <f>MONTH(Tabela1[[#This Row],[Último pagto ano]])</f>
        <v>10</v>
      </c>
      <c r="H4125" t="str">
        <f>TEXT(Tabela1[[#This Row],[Coluna2]]*29,"mmmm")</f>
        <v>outubro</v>
      </c>
      <c r="I4125" t="str">
        <f>TEXT(MONTH(Tabela1[[#This Row],[Último pagto ano]])*29,"mmmm")</f>
        <v>outubro</v>
      </c>
    </row>
    <row r="4126" spans="1:9" x14ac:dyDescent="0.25">
      <c r="A4126">
        <v>2025</v>
      </c>
      <c r="B4126" t="s">
        <v>8214</v>
      </c>
      <c r="C4126" s="1">
        <v>45996</v>
      </c>
      <c r="D4126" t="s">
        <v>8215</v>
      </c>
      <c r="E4126" s="2">
        <v>4400</v>
      </c>
      <c r="G4126" s="3">
        <f>MONTH(Tabela1[[#This Row],[Último pagto ano]])</f>
        <v>12</v>
      </c>
      <c r="H4126" t="str">
        <f>TEXT(Tabela1[[#This Row],[Coluna2]]*29,"mmmm")</f>
        <v>dezembro</v>
      </c>
      <c r="I4126" t="str">
        <f>TEXT(MONTH(Tabela1[[#This Row],[Último pagto ano]])*29,"mmmm")</f>
        <v>dezembro</v>
      </c>
    </row>
    <row r="4127" spans="1:9" x14ac:dyDescent="0.25">
      <c r="A4127">
        <v>2025</v>
      </c>
      <c r="B4127" t="s">
        <v>8216</v>
      </c>
      <c r="C4127" s="1">
        <v>45915</v>
      </c>
      <c r="D4127" t="s">
        <v>8217</v>
      </c>
      <c r="E4127">
        <v>580</v>
      </c>
      <c r="G4127" s="3">
        <f>MONTH(Tabela1[[#This Row],[Último pagto ano]])</f>
        <v>9</v>
      </c>
      <c r="H4127" t="str">
        <f>TEXT(Tabela1[[#This Row],[Coluna2]]*29,"mmmm")</f>
        <v>setembro</v>
      </c>
      <c r="I4127" t="str">
        <f>TEXT(MONTH(Tabela1[[#This Row],[Último pagto ano]])*29,"mmmm")</f>
        <v>setembro</v>
      </c>
    </row>
    <row r="4128" spans="1:9" x14ac:dyDescent="0.25">
      <c r="A4128">
        <v>2025</v>
      </c>
      <c r="B4128" t="s">
        <v>8218</v>
      </c>
      <c r="C4128" s="1">
        <v>46006</v>
      </c>
      <c r="D4128" t="s">
        <v>8219</v>
      </c>
      <c r="E4128" s="2">
        <v>4415.84</v>
      </c>
      <c r="G4128" s="3">
        <f>MONTH(Tabela1[[#This Row],[Último pagto ano]])</f>
        <v>12</v>
      </c>
      <c r="H4128" t="str">
        <f>TEXT(Tabela1[[#This Row],[Coluna2]]*29,"mmmm")</f>
        <v>dezembro</v>
      </c>
      <c r="I4128" t="str">
        <f>TEXT(MONTH(Tabela1[[#This Row],[Último pagto ano]])*29,"mmmm")</f>
        <v>dezembro</v>
      </c>
    </row>
    <row r="4129" spans="1:9" x14ac:dyDescent="0.25">
      <c r="A4129">
        <v>2025</v>
      </c>
      <c r="B4129" t="s">
        <v>8220</v>
      </c>
      <c r="C4129" s="1">
        <v>46010</v>
      </c>
      <c r="D4129" t="s">
        <v>8221</v>
      </c>
      <c r="E4129">
        <v>700</v>
      </c>
      <c r="G4129" s="3">
        <f>MONTH(Tabela1[[#This Row],[Último pagto ano]])</f>
        <v>12</v>
      </c>
      <c r="H4129" t="str">
        <f>TEXT(Tabela1[[#This Row],[Coluna2]]*29,"mmmm")</f>
        <v>dezembro</v>
      </c>
      <c r="I4129" t="str">
        <f>TEXT(MONTH(Tabela1[[#This Row],[Último pagto ano]])*29,"mmmm")</f>
        <v>dezembro</v>
      </c>
    </row>
    <row r="4130" spans="1:9" x14ac:dyDescent="0.25">
      <c r="A4130">
        <v>2025</v>
      </c>
      <c r="B4130" t="s">
        <v>8222</v>
      </c>
      <c r="C4130" s="1">
        <v>45782</v>
      </c>
      <c r="D4130" t="s">
        <v>8223</v>
      </c>
      <c r="E4130">
        <v>89.25</v>
      </c>
      <c r="G4130" s="3">
        <f>MONTH(Tabela1[[#This Row],[Último pagto ano]])</f>
        <v>5</v>
      </c>
      <c r="H4130" t="str">
        <f>TEXT(Tabela1[[#This Row],[Coluna2]]*29,"mmmm")</f>
        <v>maio</v>
      </c>
      <c r="I4130" t="str">
        <f>TEXT(MONTH(Tabela1[[#This Row],[Último pagto ano]])*29,"mmmm")</f>
        <v>maio</v>
      </c>
    </row>
    <row r="4131" spans="1:9" x14ac:dyDescent="0.25">
      <c r="A4131">
        <v>2025</v>
      </c>
      <c r="B4131" t="s">
        <v>8224</v>
      </c>
      <c r="C4131" s="1">
        <v>45996</v>
      </c>
      <c r="D4131" t="s">
        <v>8225</v>
      </c>
      <c r="E4131" s="2">
        <v>36000</v>
      </c>
      <c r="G4131" s="3">
        <f>MONTH(Tabela1[[#This Row],[Último pagto ano]])</f>
        <v>12</v>
      </c>
      <c r="H4131" t="str">
        <f>TEXT(Tabela1[[#This Row],[Coluna2]]*29,"mmmm")</f>
        <v>dezembro</v>
      </c>
      <c r="I4131" t="str">
        <f>TEXT(MONTH(Tabela1[[#This Row],[Último pagto ano]])*29,"mmmm")</f>
        <v>dezembro</v>
      </c>
    </row>
    <row r="4132" spans="1:9" x14ac:dyDescent="0.25">
      <c r="A4132">
        <v>2025</v>
      </c>
      <c r="B4132" t="s">
        <v>8226</v>
      </c>
      <c r="C4132" s="1">
        <v>45975</v>
      </c>
      <c r="D4132" t="s">
        <v>8227</v>
      </c>
      <c r="E4132" s="2">
        <v>7033.04</v>
      </c>
      <c r="G4132" s="3">
        <f>MONTH(Tabela1[[#This Row],[Último pagto ano]])</f>
        <v>11</v>
      </c>
      <c r="H4132" t="str">
        <f>TEXT(Tabela1[[#This Row],[Coluna2]]*29,"mmmm")</f>
        <v>novembro</v>
      </c>
      <c r="I4132" t="str">
        <f>TEXT(MONTH(Tabela1[[#This Row],[Último pagto ano]])*29,"mmmm")</f>
        <v>novembro</v>
      </c>
    </row>
    <row r="4133" spans="1:9" x14ac:dyDescent="0.25">
      <c r="A4133">
        <v>2025</v>
      </c>
      <c r="B4133" t="s">
        <v>8228</v>
      </c>
      <c r="C4133" s="1">
        <v>45841</v>
      </c>
      <c r="D4133" t="s">
        <v>8229</v>
      </c>
      <c r="E4133">
        <v>577.16999999999996</v>
      </c>
      <c r="G4133" s="3">
        <f>MONTH(Tabela1[[#This Row],[Último pagto ano]])</f>
        <v>7</v>
      </c>
      <c r="H4133" t="str">
        <f>TEXT(Tabela1[[#This Row],[Coluna2]]*29,"mmmm")</f>
        <v>julho</v>
      </c>
      <c r="I4133" t="str">
        <f>TEXT(MONTH(Tabela1[[#This Row],[Último pagto ano]])*29,"mmmm")</f>
        <v>julho</v>
      </c>
    </row>
    <row r="4134" spans="1:9" x14ac:dyDescent="0.25">
      <c r="A4134">
        <v>2025</v>
      </c>
      <c r="B4134" t="s">
        <v>8230</v>
      </c>
      <c r="C4134" s="1">
        <v>45959</v>
      </c>
      <c r="D4134" t="s">
        <v>8231</v>
      </c>
      <c r="E4134" s="2">
        <v>105945.12</v>
      </c>
      <c r="G4134" s="3">
        <f>MONTH(Tabela1[[#This Row],[Último pagto ano]])</f>
        <v>10</v>
      </c>
      <c r="H4134" t="str">
        <f>TEXT(Tabela1[[#This Row],[Coluna2]]*29,"mmmm")</f>
        <v>outubro</v>
      </c>
      <c r="I4134" t="str">
        <f>TEXT(MONTH(Tabela1[[#This Row],[Último pagto ano]])*29,"mmmm")</f>
        <v>outubro</v>
      </c>
    </row>
    <row r="4135" spans="1:9" x14ac:dyDescent="0.25">
      <c r="A4135">
        <v>2025</v>
      </c>
      <c r="B4135" t="s">
        <v>8232</v>
      </c>
      <c r="C4135" s="1">
        <v>45709</v>
      </c>
      <c r="D4135" t="s">
        <v>8233</v>
      </c>
      <c r="E4135" s="2">
        <v>12542.38</v>
      </c>
      <c r="G4135" s="3">
        <f>MONTH(Tabela1[[#This Row],[Último pagto ano]])</f>
        <v>2</v>
      </c>
      <c r="H4135" t="str">
        <f>TEXT(Tabela1[[#This Row],[Coluna2]]*29,"mmmm")</f>
        <v>fevereiro</v>
      </c>
      <c r="I4135" t="str">
        <f>TEXT(MONTH(Tabela1[[#This Row],[Último pagto ano]])*29,"mmmm")</f>
        <v>fevereiro</v>
      </c>
    </row>
    <row r="4136" spans="1:9" x14ac:dyDescent="0.25">
      <c r="A4136">
        <v>2025</v>
      </c>
      <c r="B4136" t="s">
        <v>8234</v>
      </c>
      <c r="C4136" s="1">
        <v>45999</v>
      </c>
      <c r="D4136" t="s">
        <v>8235</v>
      </c>
      <c r="E4136">
        <v>583</v>
      </c>
      <c r="G4136" s="3">
        <f>MONTH(Tabela1[[#This Row],[Último pagto ano]])</f>
        <v>12</v>
      </c>
      <c r="H4136" t="str">
        <f>TEXT(Tabela1[[#This Row],[Coluna2]]*29,"mmmm")</f>
        <v>dezembro</v>
      </c>
      <c r="I4136" t="str">
        <f>TEXT(MONTH(Tabela1[[#This Row],[Último pagto ano]])*29,"mmmm")</f>
        <v>dezembro</v>
      </c>
    </row>
    <row r="4137" spans="1:9" x14ac:dyDescent="0.25">
      <c r="A4137">
        <v>2025</v>
      </c>
      <c r="B4137" t="s">
        <v>8236</v>
      </c>
      <c r="C4137" s="1">
        <v>46010</v>
      </c>
      <c r="D4137" t="s">
        <v>8237</v>
      </c>
      <c r="E4137" s="2">
        <v>8400</v>
      </c>
      <c r="G4137" s="3">
        <f>MONTH(Tabela1[[#This Row],[Último pagto ano]])</f>
        <v>12</v>
      </c>
      <c r="H4137" t="str">
        <f>TEXT(Tabela1[[#This Row],[Coluna2]]*29,"mmmm")</f>
        <v>dezembro</v>
      </c>
      <c r="I4137" t="str">
        <f>TEXT(MONTH(Tabela1[[#This Row],[Último pagto ano]])*29,"mmmm")</f>
        <v>dezembro</v>
      </c>
    </row>
    <row r="4138" spans="1:9" x14ac:dyDescent="0.25">
      <c r="A4138">
        <v>2025</v>
      </c>
      <c r="B4138" t="s">
        <v>8238</v>
      </c>
      <c r="C4138" s="1">
        <v>46010</v>
      </c>
      <c r="D4138" t="s">
        <v>8239</v>
      </c>
      <c r="E4138">
        <v>700</v>
      </c>
      <c r="G4138" s="3">
        <f>MONTH(Tabela1[[#This Row],[Último pagto ano]])</f>
        <v>12</v>
      </c>
      <c r="H4138" t="str">
        <f>TEXT(Tabela1[[#This Row],[Coluna2]]*29,"mmmm")</f>
        <v>dezembro</v>
      </c>
      <c r="I4138" t="str">
        <f>TEXT(MONTH(Tabela1[[#This Row],[Último pagto ano]])*29,"mmmm")</f>
        <v>dezembro</v>
      </c>
    </row>
    <row r="4139" spans="1:9" x14ac:dyDescent="0.25">
      <c r="A4139">
        <v>2025</v>
      </c>
      <c r="B4139" t="s">
        <v>8240</v>
      </c>
      <c r="C4139" s="1">
        <v>45817</v>
      </c>
      <c r="D4139" t="s">
        <v>8241</v>
      </c>
      <c r="E4139">
        <v>632.14</v>
      </c>
      <c r="G4139" s="3">
        <f>MONTH(Tabela1[[#This Row],[Último pagto ano]])</f>
        <v>6</v>
      </c>
      <c r="H4139" t="str">
        <f>TEXT(Tabela1[[#This Row],[Coluna2]]*29,"mmmm")</f>
        <v>junho</v>
      </c>
      <c r="I4139" t="str">
        <f>TEXT(MONTH(Tabela1[[#This Row],[Último pagto ano]])*29,"mmmm")</f>
        <v>junho</v>
      </c>
    </row>
    <row r="4140" spans="1:9" x14ac:dyDescent="0.25">
      <c r="A4140">
        <v>2025</v>
      </c>
      <c r="B4140" t="s">
        <v>8242</v>
      </c>
      <c r="C4140" s="1">
        <v>45989</v>
      </c>
      <c r="D4140" t="s">
        <v>8243</v>
      </c>
      <c r="E4140" s="2">
        <v>8101.01</v>
      </c>
      <c r="G4140" s="3">
        <f>MONTH(Tabela1[[#This Row],[Último pagto ano]])</f>
        <v>11</v>
      </c>
      <c r="H4140" t="str">
        <f>TEXT(Tabela1[[#This Row],[Coluna2]]*29,"mmmm")</f>
        <v>novembro</v>
      </c>
      <c r="I4140" t="str">
        <f>TEXT(MONTH(Tabela1[[#This Row],[Último pagto ano]])*29,"mmmm")</f>
        <v>novembro</v>
      </c>
    </row>
    <row r="4141" spans="1:9" x14ac:dyDescent="0.25">
      <c r="A4141">
        <v>2025</v>
      </c>
      <c r="B4141" t="s">
        <v>8244</v>
      </c>
      <c r="C4141" s="1">
        <v>45996</v>
      </c>
      <c r="D4141" t="s">
        <v>8245</v>
      </c>
      <c r="E4141" s="2">
        <v>12600</v>
      </c>
      <c r="G4141" s="3">
        <f>MONTH(Tabela1[[#This Row],[Último pagto ano]])</f>
        <v>12</v>
      </c>
      <c r="H4141" t="str">
        <f>TEXT(Tabela1[[#This Row],[Coluna2]]*29,"mmmm")</f>
        <v>dezembro</v>
      </c>
      <c r="I4141" t="str">
        <f>TEXT(MONTH(Tabela1[[#This Row],[Último pagto ano]])*29,"mmmm")</f>
        <v>dezembro</v>
      </c>
    </row>
    <row r="4142" spans="1:9" x14ac:dyDescent="0.25">
      <c r="A4142">
        <v>2025</v>
      </c>
      <c r="B4142" t="s">
        <v>8246</v>
      </c>
      <c r="C4142" s="1">
        <v>46006</v>
      </c>
      <c r="D4142" t="s">
        <v>8247</v>
      </c>
      <c r="E4142" s="2">
        <v>9127.84</v>
      </c>
      <c r="G4142" s="3">
        <f>MONTH(Tabela1[[#This Row],[Último pagto ano]])</f>
        <v>12</v>
      </c>
      <c r="H4142" t="str">
        <f>TEXT(Tabela1[[#This Row],[Coluna2]]*29,"mmmm")</f>
        <v>dezembro</v>
      </c>
      <c r="I4142" t="str">
        <f>TEXT(MONTH(Tabela1[[#This Row],[Último pagto ano]])*29,"mmmm")</f>
        <v>dezembro</v>
      </c>
    </row>
    <row r="4143" spans="1:9" x14ac:dyDescent="0.25">
      <c r="A4143">
        <v>2025</v>
      </c>
      <c r="B4143" t="s">
        <v>8248</v>
      </c>
      <c r="C4143" s="1">
        <v>46014</v>
      </c>
      <c r="D4143" t="s">
        <v>8249</v>
      </c>
      <c r="E4143">
        <v>720</v>
      </c>
      <c r="G4143" s="3">
        <f>MONTH(Tabela1[[#This Row],[Último pagto ano]])</f>
        <v>12</v>
      </c>
      <c r="H4143" t="str">
        <f>TEXT(Tabela1[[#This Row],[Coluna2]]*29,"mmmm")</f>
        <v>dezembro</v>
      </c>
      <c r="I4143" t="str">
        <f>TEXT(MONTH(Tabela1[[#This Row],[Último pagto ano]])*29,"mmmm")</f>
        <v>dezembro</v>
      </c>
    </row>
    <row r="4144" spans="1:9" x14ac:dyDescent="0.25">
      <c r="A4144">
        <v>2025</v>
      </c>
      <c r="B4144" t="s">
        <v>8250</v>
      </c>
      <c r="C4144" s="1">
        <v>45908</v>
      </c>
      <c r="D4144" t="s">
        <v>8251</v>
      </c>
      <c r="E4144">
        <v>77</v>
      </c>
      <c r="G4144" s="3">
        <f>MONTH(Tabela1[[#This Row],[Último pagto ano]])</f>
        <v>9</v>
      </c>
      <c r="H4144" t="str">
        <f>TEXT(Tabela1[[#This Row],[Coluna2]]*29,"mmmm")</f>
        <v>setembro</v>
      </c>
      <c r="I4144" t="str">
        <f>TEXT(MONTH(Tabela1[[#This Row],[Último pagto ano]])*29,"mmmm")</f>
        <v>setembro</v>
      </c>
    </row>
    <row r="4145" spans="1:9" x14ac:dyDescent="0.25">
      <c r="A4145">
        <v>2025</v>
      </c>
      <c r="B4145" t="s">
        <v>8252</v>
      </c>
      <c r="C4145" s="1">
        <v>45744</v>
      </c>
      <c r="D4145" t="s">
        <v>8253</v>
      </c>
      <c r="E4145" s="2">
        <v>45466.69</v>
      </c>
      <c r="G4145" s="3">
        <f>MONTH(Tabela1[[#This Row],[Último pagto ano]])</f>
        <v>3</v>
      </c>
      <c r="H4145" t="str">
        <f>TEXT(Tabela1[[#This Row],[Coluna2]]*29,"mmmm")</f>
        <v>março</v>
      </c>
      <c r="I4145" t="str">
        <f>TEXT(MONTH(Tabela1[[#This Row],[Último pagto ano]])*29,"mmmm")</f>
        <v>março</v>
      </c>
    </row>
    <row r="4146" spans="1:9" x14ac:dyDescent="0.25">
      <c r="A4146">
        <v>2025</v>
      </c>
      <c r="B4146" t="s">
        <v>8254</v>
      </c>
      <c r="C4146" s="1">
        <v>45803</v>
      </c>
      <c r="D4146" t="s">
        <v>8255</v>
      </c>
      <c r="E4146">
        <v>257.23</v>
      </c>
      <c r="G4146" s="3">
        <f>MONTH(Tabela1[[#This Row],[Último pagto ano]])</f>
        <v>5</v>
      </c>
      <c r="H4146" t="str">
        <f>TEXT(Tabela1[[#This Row],[Coluna2]]*29,"mmmm")</f>
        <v>maio</v>
      </c>
      <c r="I4146" t="str">
        <f>TEXT(MONTH(Tabela1[[#This Row],[Último pagto ano]])*29,"mmmm")</f>
        <v>maio</v>
      </c>
    </row>
    <row r="4147" spans="1:9" x14ac:dyDescent="0.25">
      <c r="A4147">
        <v>2025</v>
      </c>
      <c r="B4147" t="s">
        <v>8256</v>
      </c>
      <c r="C4147" s="1">
        <v>45701</v>
      </c>
      <c r="D4147" t="s">
        <v>8257</v>
      </c>
      <c r="E4147" s="2">
        <v>2700.17</v>
      </c>
      <c r="G4147" s="3">
        <f>MONTH(Tabela1[[#This Row],[Último pagto ano]])</f>
        <v>2</v>
      </c>
      <c r="H4147" t="str">
        <f>TEXT(Tabela1[[#This Row],[Coluna2]]*29,"mmmm")</f>
        <v>fevereiro</v>
      </c>
      <c r="I4147" t="str">
        <f>TEXT(MONTH(Tabela1[[#This Row],[Último pagto ano]])*29,"mmmm")</f>
        <v>fevereiro</v>
      </c>
    </row>
    <row r="4148" spans="1:9" x14ac:dyDescent="0.25">
      <c r="A4148">
        <v>2025</v>
      </c>
      <c r="B4148" t="s">
        <v>8258</v>
      </c>
      <c r="C4148" s="1">
        <v>46013</v>
      </c>
      <c r="D4148" t="s">
        <v>8259</v>
      </c>
      <c r="E4148" s="2">
        <v>7665.6</v>
      </c>
      <c r="G4148" s="3">
        <f>MONTH(Tabela1[[#This Row],[Último pagto ano]])</f>
        <v>12</v>
      </c>
      <c r="H4148" t="str">
        <f>TEXT(Tabela1[[#This Row],[Coluna2]]*29,"mmmm")</f>
        <v>dezembro</v>
      </c>
      <c r="I4148" t="str">
        <f>TEXT(MONTH(Tabela1[[#This Row],[Último pagto ano]])*29,"mmmm")</f>
        <v>dezembro</v>
      </c>
    </row>
    <row r="4149" spans="1:9" x14ac:dyDescent="0.25">
      <c r="A4149">
        <v>2025</v>
      </c>
      <c r="B4149" t="s">
        <v>8260</v>
      </c>
      <c r="C4149" s="1">
        <v>45936</v>
      </c>
      <c r="D4149" t="s">
        <v>8261</v>
      </c>
      <c r="E4149">
        <v>99</v>
      </c>
      <c r="G4149" s="3">
        <f>MONTH(Tabela1[[#This Row],[Último pagto ano]])</f>
        <v>10</v>
      </c>
      <c r="H4149" t="str">
        <f>TEXT(Tabela1[[#This Row],[Coluna2]]*29,"mmmm")</f>
        <v>outubro</v>
      </c>
      <c r="I4149" t="str">
        <f>TEXT(MONTH(Tabela1[[#This Row],[Último pagto ano]])*29,"mmmm")</f>
        <v>outubro</v>
      </c>
    </row>
    <row r="4150" spans="1:9" x14ac:dyDescent="0.25">
      <c r="A4150">
        <v>2025</v>
      </c>
      <c r="B4150" t="s">
        <v>8262</v>
      </c>
      <c r="C4150" s="1">
        <v>46021</v>
      </c>
      <c r="D4150" t="s">
        <v>8263</v>
      </c>
      <c r="E4150" s="2">
        <v>1291.18</v>
      </c>
      <c r="G4150" s="3">
        <f>MONTH(Tabela1[[#This Row],[Último pagto ano]])</f>
        <v>12</v>
      </c>
      <c r="H4150" t="str">
        <f>TEXT(Tabela1[[#This Row],[Coluna2]]*29,"mmmm")</f>
        <v>dezembro</v>
      </c>
      <c r="I4150" t="str">
        <f>TEXT(MONTH(Tabela1[[#This Row],[Último pagto ano]])*29,"mmmm")</f>
        <v>dezembro</v>
      </c>
    </row>
    <row r="4151" spans="1:9" x14ac:dyDescent="0.25">
      <c r="A4151">
        <v>2025</v>
      </c>
      <c r="B4151" t="s">
        <v>8264</v>
      </c>
      <c r="C4151" s="1">
        <v>45866</v>
      </c>
      <c r="D4151" t="s">
        <v>8265</v>
      </c>
      <c r="E4151" s="2">
        <v>1185.6300000000001</v>
      </c>
      <c r="G4151" s="3">
        <f>MONTH(Tabela1[[#This Row],[Último pagto ano]])</f>
        <v>7</v>
      </c>
      <c r="H4151" t="str">
        <f>TEXT(Tabela1[[#This Row],[Coluna2]]*29,"mmmm")</f>
        <v>julho</v>
      </c>
      <c r="I4151" t="str">
        <f>TEXT(MONTH(Tabela1[[#This Row],[Último pagto ano]])*29,"mmmm")</f>
        <v>julho</v>
      </c>
    </row>
    <row r="4152" spans="1:9" x14ac:dyDescent="0.25">
      <c r="A4152">
        <v>2025</v>
      </c>
      <c r="B4152" t="s">
        <v>8266</v>
      </c>
      <c r="C4152" s="1">
        <v>46013</v>
      </c>
      <c r="D4152" t="s">
        <v>8267</v>
      </c>
      <c r="E4152" s="2">
        <v>4192.5</v>
      </c>
      <c r="G4152" s="3">
        <f>MONTH(Tabela1[[#This Row],[Último pagto ano]])</f>
        <v>12</v>
      </c>
      <c r="H4152" t="str">
        <f>TEXT(Tabela1[[#This Row],[Coluna2]]*29,"mmmm")</f>
        <v>dezembro</v>
      </c>
      <c r="I4152" t="str">
        <f>TEXT(MONTH(Tabela1[[#This Row],[Último pagto ano]])*29,"mmmm")</f>
        <v>dezembro</v>
      </c>
    </row>
    <row r="4153" spans="1:9" x14ac:dyDescent="0.25">
      <c r="A4153">
        <v>2025</v>
      </c>
      <c r="B4153" t="s">
        <v>8268</v>
      </c>
      <c r="C4153" s="1">
        <v>45950</v>
      </c>
      <c r="D4153" t="s">
        <v>8269</v>
      </c>
      <c r="E4153">
        <v>66</v>
      </c>
      <c r="G4153" s="3">
        <f>MONTH(Tabela1[[#This Row],[Último pagto ano]])</f>
        <v>10</v>
      </c>
      <c r="H4153" t="str">
        <f>TEXT(Tabela1[[#This Row],[Coluna2]]*29,"mmmm")</f>
        <v>outubro</v>
      </c>
      <c r="I4153" t="str">
        <f>TEXT(MONTH(Tabela1[[#This Row],[Último pagto ano]])*29,"mmmm")</f>
        <v>outubro</v>
      </c>
    </row>
    <row r="4154" spans="1:9" x14ac:dyDescent="0.25">
      <c r="A4154">
        <v>2025</v>
      </c>
      <c r="B4154" t="s">
        <v>8270</v>
      </c>
      <c r="C4154" s="1">
        <v>46021</v>
      </c>
      <c r="D4154" t="s">
        <v>8271</v>
      </c>
      <c r="E4154" s="2">
        <v>5112.08</v>
      </c>
      <c r="G4154" s="3">
        <f>MONTH(Tabela1[[#This Row],[Último pagto ano]])</f>
        <v>12</v>
      </c>
      <c r="H4154" t="str">
        <f>TEXT(Tabela1[[#This Row],[Coluna2]]*29,"mmmm")</f>
        <v>dezembro</v>
      </c>
      <c r="I4154" t="str">
        <f>TEXT(MONTH(Tabela1[[#This Row],[Último pagto ano]])*29,"mmmm")</f>
        <v>dezembro</v>
      </c>
    </row>
    <row r="4155" spans="1:9" x14ac:dyDescent="0.25">
      <c r="A4155">
        <v>2025</v>
      </c>
      <c r="B4155" t="s">
        <v>8272</v>
      </c>
      <c r="C4155" s="1">
        <v>45817</v>
      </c>
      <c r="D4155" t="s">
        <v>8273</v>
      </c>
      <c r="E4155">
        <v>66</v>
      </c>
      <c r="G4155" s="3">
        <f>MONTH(Tabela1[[#This Row],[Último pagto ano]])</f>
        <v>6</v>
      </c>
      <c r="H4155" t="str">
        <f>TEXT(Tabela1[[#This Row],[Coluna2]]*29,"mmmm")</f>
        <v>junho</v>
      </c>
      <c r="I4155" t="str">
        <f>TEXT(MONTH(Tabela1[[#This Row],[Último pagto ano]])*29,"mmmm")</f>
        <v>junho</v>
      </c>
    </row>
    <row r="4156" spans="1:9" x14ac:dyDescent="0.25">
      <c r="A4156">
        <v>2025</v>
      </c>
      <c r="B4156" t="s">
        <v>8274</v>
      </c>
      <c r="C4156" s="1">
        <v>45929</v>
      </c>
      <c r="D4156" t="s">
        <v>8275</v>
      </c>
      <c r="E4156" s="2">
        <v>2901.6</v>
      </c>
      <c r="G4156" s="3">
        <f>MONTH(Tabela1[[#This Row],[Último pagto ano]])</f>
        <v>9</v>
      </c>
      <c r="H4156" t="str">
        <f>TEXT(Tabela1[[#This Row],[Coluna2]]*29,"mmmm")</f>
        <v>setembro</v>
      </c>
      <c r="I4156" t="str">
        <f>TEXT(MONTH(Tabela1[[#This Row],[Último pagto ano]])*29,"mmmm")</f>
        <v>setembro</v>
      </c>
    </row>
    <row r="4157" spans="1:9" x14ac:dyDescent="0.25">
      <c r="A4157">
        <v>2025</v>
      </c>
      <c r="B4157" t="s">
        <v>8276</v>
      </c>
      <c r="C4157" s="1">
        <v>45945</v>
      </c>
      <c r="D4157" t="s">
        <v>8277</v>
      </c>
      <c r="E4157" s="2">
        <v>4932.96</v>
      </c>
      <c r="G4157" s="3">
        <f>MONTH(Tabela1[[#This Row],[Último pagto ano]])</f>
        <v>10</v>
      </c>
      <c r="H4157" t="str">
        <f>TEXT(Tabela1[[#This Row],[Coluna2]]*29,"mmmm")</f>
        <v>outubro</v>
      </c>
      <c r="I4157" t="str">
        <f>TEXT(MONTH(Tabela1[[#This Row],[Último pagto ano]])*29,"mmmm")</f>
        <v>outubro</v>
      </c>
    </row>
    <row r="4158" spans="1:9" x14ac:dyDescent="0.25">
      <c r="A4158">
        <v>2025</v>
      </c>
      <c r="B4158" t="s">
        <v>8278</v>
      </c>
      <c r="C4158" s="1">
        <v>45954</v>
      </c>
      <c r="D4158" t="s">
        <v>8279</v>
      </c>
      <c r="E4158" s="2">
        <v>10535.37</v>
      </c>
      <c r="G4158" s="3">
        <f>MONTH(Tabela1[[#This Row],[Último pagto ano]])</f>
        <v>10</v>
      </c>
      <c r="H4158" t="str">
        <f>TEXT(Tabela1[[#This Row],[Coluna2]]*29,"mmmm")</f>
        <v>outubro</v>
      </c>
      <c r="I4158" t="str">
        <f>TEXT(MONTH(Tabela1[[#This Row],[Último pagto ano]])*29,"mmmm")</f>
        <v>outubro</v>
      </c>
    </row>
    <row r="4159" spans="1:9" x14ac:dyDescent="0.25">
      <c r="A4159">
        <v>2025</v>
      </c>
      <c r="B4159" t="s">
        <v>8280</v>
      </c>
      <c r="C4159" s="1">
        <v>45849</v>
      </c>
      <c r="D4159" t="s">
        <v>8281</v>
      </c>
      <c r="E4159" s="2">
        <v>2841.02</v>
      </c>
      <c r="G4159" s="3">
        <f>MONTH(Tabela1[[#This Row],[Último pagto ano]])</f>
        <v>7</v>
      </c>
      <c r="H4159" t="str">
        <f>TEXT(Tabela1[[#This Row],[Coluna2]]*29,"mmmm")</f>
        <v>julho</v>
      </c>
      <c r="I4159" t="str">
        <f>TEXT(MONTH(Tabela1[[#This Row],[Último pagto ano]])*29,"mmmm")</f>
        <v>julho</v>
      </c>
    </row>
    <row r="4160" spans="1:9" x14ac:dyDescent="0.25">
      <c r="A4160">
        <v>2025</v>
      </c>
      <c r="B4160" t="s">
        <v>8282</v>
      </c>
      <c r="C4160" s="1">
        <v>45884</v>
      </c>
      <c r="D4160" t="s">
        <v>8283</v>
      </c>
      <c r="E4160">
        <v>296.16000000000003</v>
      </c>
      <c r="G4160" s="3">
        <f>MONTH(Tabela1[[#This Row],[Último pagto ano]])</f>
        <v>8</v>
      </c>
      <c r="H4160" t="str">
        <f>TEXT(Tabela1[[#This Row],[Coluna2]]*29,"mmmm")</f>
        <v>agosto</v>
      </c>
      <c r="I4160" t="str">
        <f>TEXT(MONTH(Tabela1[[#This Row],[Último pagto ano]])*29,"mmmm")</f>
        <v>agosto</v>
      </c>
    </row>
    <row r="4161" spans="1:9" x14ac:dyDescent="0.25">
      <c r="A4161">
        <v>2025</v>
      </c>
      <c r="B4161" t="s">
        <v>8284</v>
      </c>
      <c r="C4161" s="1">
        <v>45996</v>
      </c>
      <c r="D4161" t="s">
        <v>8285</v>
      </c>
      <c r="E4161" s="2">
        <v>7000</v>
      </c>
      <c r="G4161" s="3">
        <f>MONTH(Tabela1[[#This Row],[Último pagto ano]])</f>
        <v>12</v>
      </c>
      <c r="H4161" t="str">
        <f>TEXT(Tabela1[[#This Row],[Coluna2]]*29,"mmmm")</f>
        <v>dezembro</v>
      </c>
      <c r="I4161" t="str">
        <f>TEXT(MONTH(Tabela1[[#This Row],[Último pagto ano]])*29,"mmmm")</f>
        <v>dezembro</v>
      </c>
    </row>
    <row r="4162" spans="1:9" x14ac:dyDescent="0.25">
      <c r="A4162">
        <v>2025</v>
      </c>
      <c r="B4162" t="s">
        <v>8286</v>
      </c>
      <c r="C4162" s="1">
        <v>45989</v>
      </c>
      <c r="D4162" t="s">
        <v>8287</v>
      </c>
      <c r="E4162" s="2">
        <v>5287.91</v>
      </c>
      <c r="G4162" s="3">
        <f>MONTH(Tabela1[[#This Row],[Último pagto ano]])</f>
        <v>11</v>
      </c>
      <c r="H4162" t="str">
        <f>TEXT(Tabela1[[#This Row],[Coluna2]]*29,"mmmm")</f>
        <v>novembro</v>
      </c>
      <c r="I4162" t="str">
        <f>TEXT(MONTH(Tabela1[[#This Row],[Último pagto ano]])*29,"mmmm")</f>
        <v>novembro</v>
      </c>
    </row>
    <row r="4163" spans="1:9" x14ac:dyDescent="0.25">
      <c r="A4163">
        <v>2025</v>
      </c>
      <c r="B4163" t="s">
        <v>8288</v>
      </c>
      <c r="C4163" s="1">
        <v>45978</v>
      </c>
      <c r="D4163" t="s">
        <v>8289</v>
      </c>
      <c r="E4163">
        <v>143</v>
      </c>
      <c r="G4163" s="3">
        <f>MONTH(Tabela1[[#This Row],[Último pagto ano]])</f>
        <v>11</v>
      </c>
      <c r="H4163" t="str">
        <f>TEXT(Tabela1[[#This Row],[Coluna2]]*29,"mmmm")</f>
        <v>novembro</v>
      </c>
      <c r="I4163" t="str">
        <f>TEXT(MONTH(Tabela1[[#This Row],[Último pagto ano]])*29,"mmmm")</f>
        <v>novembro</v>
      </c>
    </row>
    <row r="4164" spans="1:9" x14ac:dyDescent="0.25">
      <c r="A4164">
        <v>2025</v>
      </c>
      <c r="B4164" t="s">
        <v>8290</v>
      </c>
      <c r="C4164" s="1">
        <v>45821</v>
      </c>
      <c r="D4164" t="s">
        <v>8291</v>
      </c>
      <c r="E4164" s="2">
        <v>4635.71</v>
      </c>
      <c r="G4164" s="3">
        <f>MONTH(Tabela1[[#This Row],[Último pagto ano]])</f>
        <v>6</v>
      </c>
      <c r="H4164" t="str">
        <f>TEXT(Tabela1[[#This Row],[Coluna2]]*29,"mmmm")</f>
        <v>junho</v>
      </c>
      <c r="I4164" t="str">
        <f>TEXT(MONTH(Tabela1[[#This Row],[Último pagto ano]])*29,"mmmm")</f>
        <v>junho</v>
      </c>
    </row>
    <row r="4165" spans="1:9" x14ac:dyDescent="0.25">
      <c r="A4165">
        <v>2025</v>
      </c>
      <c r="B4165" t="s">
        <v>8292</v>
      </c>
      <c r="C4165" s="1">
        <v>45996</v>
      </c>
      <c r="D4165" t="s">
        <v>8293</v>
      </c>
      <c r="E4165" s="2">
        <v>2000</v>
      </c>
      <c r="G4165" s="3">
        <f>MONTH(Tabela1[[#This Row],[Último pagto ano]])</f>
        <v>12</v>
      </c>
      <c r="H4165" t="str">
        <f>TEXT(Tabela1[[#This Row],[Coluna2]]*29,"mmmm")</f>
        <v>dezembro</v>
      </c>
      <c r="I4165" t="str">
        <f>TEXT(MONTH(Tabela1[[#This Row],[Último pagto ano]])*29,"mmmm")</f>
        <v>dezembro</v>
      </c>
    </row>
    <row r="4166" spans="1:9" x14ac:dyDescent="0.25">
      <c r="A4166">
        <v>2025</v>
      </c>
      <c r="B4166" t="s">
        <v>8294</v>
      </c>
      <c r="C4166" s="1">
        <v>46010</v>
      </c>
      <c r="D4166" t="s">
        <v>8295</v>
      </c>
      <c r="E4166">
        <v>700</v>
      </c>
      <c r="G4166" s="3">
        <f>MONTH(Tabela1[[#This Row],[Último pagto ano]])</f>
        <v>12</v>
      </c>
      <c r="H4166" t="str">
        <f>TEXT(Tabela1[[#This Row],[Coluna2]]*29,"mmmm")</f>
        <v>dezembro</v>
      </c>
      <c r="I4166" t="str">
        <f>TEXT(MONTH(Tabela1[[#This Row],[Último pagto ano]])*29,"mmmm")</f>
        <v>dezembro</v>
      </c>
    </row>
    <row r="4167" spans="1:9" x14ac:dyDescent="0.25">
      <c r="A4167">
        <v>2025</v>
      </c>
      <c r="B4167" t="s">
        <v>8296</v>
      </c>
      <c r="C4167" s="1">
        <v>45954</v>
      </c>
      <c r="D4167" t="s">
        <v>8297</v>
      </c>
      <c r="E4167" s="2">
        <v>7308.7</v>
      </c>
      <c r="G4167" s="3">
        <f>MONTH(Tabela1[[#This Row],[Último pagto ano]])</f>
        <v>10</v>
      </c>
      <c r="H4167" t="str">
        <f>TEXT(Tabela1[[#This Row],[Coluna2]]*29,"mmmm")</f>
        <v>outubro</v>
      </c>
      <c r="I4167" t="str">
        <f>TEXT(MONTH(Tabela1[[#This Row],[Último pagto ano]])*29,"mmmm")</f>
        <v>outubro</v>
      </c>
    </row>
    <row r="4168" spans="1:9" x14ac:dyDescent="0.25">
      <c r="A4168">
        <v>2025</v>
      </c>
      <c r="B4168" t="s">
        <v>8298</v>
      </c>
      <c r="C4168" s="1">
        <v>45884</v>
      </c>
      <c r="D4168" t="s">
        <v>8299</v>
      </c>
      <c r="E4168" s="2">
        <v>5330.88</v>
      </c>
      <c r="G4168" s="3">
        <f>MONTH(Tabela1[[#This Row],[Último pagto ano]])</f>
        <v>8</v>
      </c>
      <c r="H4168" t="str">
        <f>TEXT(Tabela1[[#This Row],[Coluna2]]*29,"mmmm")</f>
        <v>agosto</v>
      </c>
      <c r="I4168" t="str">
        <f>TEXT(MONTH(Tabela1[[#This Row],[Último pagto ano]])*29,"mmmm")</f>
        <v>agosto</v>
      </c>
    </row>
    <row r="4169" spans="1:9" x14ac:dyDescent="0.25">
      <c r="A4169">
        <v>2025</v>
      </c>
      <c r="B4169" t="s">
        <v>8300</v>
      </c>
      <c r="C4169" s="1">
        <v>45866</v>
      </c>
      <c r="D4169" t="s">
        <v>8301</v>
      </c>
      <c r="E4169" s="2">
        <v>4334.3999999999996</v>
      </c>
      <c r="G4169" s="3">
        <f>MONTH(Tabela1[[#This Row],[Último pagto ano]])</f>
        <v>7</v>
      </c>
      <c r="H4169" t="str">
        <f>TEXT(Tabela1[[#This Row],[Coluna2]]*29,"mmmm")</f>
        <v>julho</v>
      </c>
      <c r="I4169" t="str">
        <f>TEXT(MONTH(Tabela1[[#This Row],[Último pagto ano]])*29,"mmmm")</f>
        <v>julho</v>
      </c>
    </row>
    <row r="4170" spans="1:9" x14ac:dyDescent="0.25">
      <c r="A4170">
        <v>2025</v>
      </c>
      <c r="B4170" t="s">
        <v>8302</v>
      </c>
      <c r="C4170" s="1">
        <v>45740</v>
      </c>
      <c r="D4170" t="s">
        <v>8303</v>
      </c>
      <c r="E4170" s="2">
        <v>2100</v>
      </c>
      <c r="G4170" s="3">
        <f>MONTH(Tabela1[[#This Row],[Último pagto ano]])</f>
        <v>3</v>
      </c>
      <c r="H4170" t="str">
        <f>TEXT(Tabela1[[#This Row],[Coluna2]]*29,"mmmm")</f>
        <v>março</v>
      </c>
      <c r="I4170" t="str">
        <f>TEXT(MONTH(Tabela1[[#This Row],[Último pagto ano]])*29,"mmmm")</f>
        <v>março</v>
      </c>
    </row>
    <row r="4171" spans="1:9" x14ac:dyDescent="0.25">
      <c r="A4171">
        <v>2025</v>
      </c>
      <c r="B4171" t="s">
        <v>8304</v>
      </c>
      <c r="C4171" s="1">
        <v>46014</v>
      </c>
      <c r="D4171" t="s">
        <v>8305</v>
      </c>
      <c r="E4171">
        <v>165</v>
      </c>
      <c r="G4171" s="3">
        <f>MONTH(Tabela1[[#This Row],[Último pagto ano]])</f>
        <v>12</v>
      </c>
      <c r="H4171" t="str">
        <f>TEXT(Tabela1[[#This Row],[Coluna2]]*29,"mmmm")</f>
        <v>dezembro</v>
      </c>
      <c r="I4171" t="str">
        <f>TEXT(MONTH(Tabela1[[#This Row],[Último pagto ano]])*29,"mmmm")</f>
        <v>dezembro</v>
      </c>
    </row>
    <row r="4172" spans="1:9" x14ac:dyDescent="0.25">
      <c r="A4172">
        <v>2025</v>
      </c>
      <c r="B4172" t="s">
        <v>8306</v>
      </c>
      <c r="C4172" s="1">
        <v>45996</v>
      </c>
      <c r="D4172" t="s">
        <v>8307</v>
      </c>
      <c r="E4172" s="2">
        <v>5400</v>
      </c>
      <c r="G4172" s="3">
        <f>MONTH(Tabela1[[#This Row],[Último pagto ano]])</f>
        <v>12</v>
      </c>
      <c r="H4172" t="str">
        <f>TEXT(Tabela1[[#This Row],[Coluna2]]*29,"mmmm")</f>
        <v>dezembro</v>
      </c>
      <c r="I4172" t="str">
        <f>TEXT(MONTH(Tabela1[[#This Row],[Último pagto ano]])*29,"mmmm")</f>
        <v>dezembro</v>
      </c>
    </row>
    <row r="4173" spans="1:9" x14ac:dyDescent="0.25">
      <c r="A4173">
        <v>2025</v>
      </c>
      <c r="B4173" t="s">
        <v>8308</v>
      </c>
      <c r="C4173" s="1">
        <v>45673</v>
      </c>
      <c r="D4173" t="s">
        <v>8309</v>
      </c>
      <c r="E4173">
        <v>900</v>
      </c>
      <c r="G4173" s="3">
        <f>MONTH(Tabela1[[#This Row],[Último pagto ano]])</f>
        <v>1</v>
      </c>
      <c r="H4173" t="str">
        <f>TEXT(Tabela1[[#This Row],[Coluna2]]*29,"mmmm")</f>
        <v>janeiro</v>
      </c>
      <c r="I4173" t="str">
        <f>TEXT(MONTH(Tabela1[[#This Row],[Último pagto ano]])*29,"mmmm")</f>
        <v>janeiro</v>
      </c>
    </row>
    <row r="4174" spans="1:9" x14ac:dyDescent="0.25">
      <c r="A4174">
        <v>2025</v>
      </c>
      <c r="B4174" t="s">
        <v>8310</v>
      </c>
      <c r="C4174" s="1">
        <v>45702</v>
      </c>
      <c r="D4174" t="s">
        <v>8311</v>
      </c>
      <c r="E4174">
        <v>136.09</v>
      </c>
      <c r="G4174" s="3">
        <f>MONTH(Tabela1[[#This Row],[Último pagto ano]])</f>
        <v>2</v>
      </c>
      <c r="H4174" t="str">
        <f>TEXT(Tabela1[[#This Row],[Coluna2]]*29,"mmmm")</f>
        <v>fevereiro</v>
      </c>
      <c r="I4174" t="str">
        <f>TEXT(MONTH(Tabela1[[#This Row],[Último pagto ano]])*29,"mmmm")</f>
        <v>fevereiro</v>
      </c>
    </row>
    <row r="4175" spans="1:9" x14ac:dyDescent="0.25">
      <c r="A4175">
        <v>2025</v>
      </c>
      <c r="B4175" t="s">
        <v>8312</v>
      </c>
      <c r="C4175" s="1">
        <v>45814</v>
      </c>
      <c r="D4175" t="s">
        <v>8313</v>
      </c>
      <c r="E4175" s="2">
        <v>1000</v>
      </c>
      <c r="G4175" s="3">
        <f>MONTH(Tabela1[[#This Row],[Último pagto ano]])</f>
        <v>6</v>
      </c>
      <c r="H4175" t="str">
        <f>TEXT(Tabela1[[#This Row],[Coluna2]]*29,"mmmm")</f>
        <v>junho</v>
      </c>
      <c r="I4175" t="str">
        <f>TEXT(MONTH(Tabela1[[#This Row],[Último pagto ano]])*29,"mmmm")</f>
        <v>junho</v>
      </c>
    </row>
    <row r="4176" spans="1:9" x14ac:dyDescent="0.25">
      <c r="A4176">
        <v>2025</v>
      </c>
      <c r="B4176" t="s">
        <v>8314</v>
      </c>
      <c r="C4176" s="1">
        <v>45996</v>
      </c>
      <c r="D4176" t="s">
        <v>8315</v>
      </c>
      <c r="E4176" s="2">
        <v>21800</v>
      </c>
      <c r="G4176" s="3">
        <f>MONTH(Tabela1[[#This Row],[Último pagto ano]])</f>
        <v>12</v>
      </c>
      <c r="H4176" t="str">
        <f>TEXT(Tabela1[[#This Row],[Coluna2]]*29,"mmmm")</f>
        <v>dezembro</v>
      </c>
      <c r="I4176" t="str">
        <f>TEXT(MONTH(Tabela1[[#This Row],[Último pagto ano]])*29,"mmmm")</f>
        <v>dezembro</v>
      </c>
    </row>
    <row r="4177" spans="1:9" x14ac:dyDescent="0.25">
      <c r="A4177">
        <v>2025</v>
      </c>
      <c r="B4177" t="s">
        <v>8316</v>
      </c>
      <c r="C4177" s="1">
        <v>45894</v>
      </c>
      <c r="D4177" t="s">
        <v>8317</v>
      </c>
      <c r="E4177">
        <v>22</v>
      </c>
      <c r="G4177" s="3">
        <f>MONTH(Tabela1[[#This Row],[Último pagto ano]])</f>
        <v>8</v>
      </c>
      <c r="H4177" t="str">
        <f>TEXT(Tabela1[[#This Row],[Coluna2]]*29,"mmmm")</f>
        <v>agosto</v>
      </c>
      <c r="I4177" t="str">
        <f>TEXT(MONTH(Tabela1[[#This Row],[Último pagto ano]])*29,"mmmm")</f>
        <v>agosto</v>
      </c>
    </row>
    <row r="4178" spans="1:9" x14ac:dyDescent="0.25">
      <c r="A4178">
        <v>2025</v>
      </c>
      <c r="B4178" t="s">
        <v>8318</v>
      </c>
      <c r="C4178" s="1">
        <v>45702</v>
      </c>
      <c r="D4178" t="s">
        <v>8319</v>
      </c>
      <c r="E4178">
        <v>53.87</v>
      </c>
      <c r="G4178" s="3">
        <f>MONTH(Tabela1[[#This Row],[Último pagto ano]])</f>
        <v>2</v>
      </c>
      <c r="H4178" t="str">
        <f>TEXT(Tabela1[[#This Row],[Coluna2]]*29,"mmmm")</f>
        <v>fevereiro</v>
      </c>
      <c r="I4178" t="str">
        <f>TEXT(MONTH(Tabela1[[#This Row],[Último pagto ano]])*29,"mmmm")</f>
        <v>fevereiro</v>
      </c>
    </row>
    <row r="4179" spans="1:9" x14ac:dyDescent="0.25">
      <c r="A4179">
        <v>2025</v>
      </c>
      <c r="B4179" t="s">
        <v>8320</v>
      </c>
      <c r="C4179" s="1">
        <v>45803</v>
      </c>
      <c r="D4179" t="s">
        <v>8321</v>
      </c>
      <c r="E4179">
        <v>655.20000000000005</v>
      </c>
      <c r="G4179" s="3">
        <f>MONTH(Tabela1[[#This Row],[Último pagto ano]])</f>
        <v>5</v>
      </c>
      <c r="H4179" t="str">
        <f>TEXT(Tabela1[[#This Row],[Coluna2]]*29,"mmmm")</f>
        <v>maio</v>
      </c>
      <c r="I4179" t="str">
        <f>TEXT(MONTH(Tabela1[[#This Row],[Último pagto ano]])*29,"mmmm")</f>
        <v>maio</v>
      </c>
    </row>
    <row r="4180" spans="1:9" x14ac:dyDescent="0.25">
      <c r="A4180">
        <v>2025</v>
      </c>
      <c r="B4180" t="s">
        <v>8322</v>
      </c>
      <c r="C4180" s="1">
        <v>45905</v>
      </c>
      <c r="D4180" t="s">
        <v>8323</v>
      </c>
      <c r="E4180" s="2">
        <v>24170</v>
      </c>
      <c r="G4180" s="3">
        <f>MONTH(Tabela1[[#This Row],[Último pagto ano]])</f>
        <v>9</v>
      </c>
      <c r="H4180" t="str">
        <f>TEXT(Tabela1[[#This Row],[Coluna2]]*29,"mmmm")</f>
        <v>setembro</v>
      </c>
      <c r="I4180" t="str">
        <f>TEXT(MONTH(Tabela1[[#This Row],[Último pagto ano]])*29,"mmmm")</f>
        <v>setembro</v>
      </c>
    </row>
    <row r="4181" spans="1:9" x14ac:dyDescent="0.25">
      <c r="A4181">
        <v>2025</v>
      </c>
      <c r="B4181" t="s">
        <v>8324</v>
      </c>
      <c r="C4181" s="1">
        <v>45996</v>
      </c>
      <c r="D4181" t="s">
        <v>8325</v>
      </c>
      <c r="E4181" s="2">
        <v>5500</v>
      </c>
      <c r="G4181" s="3">
        <f>MONTH(Tabela1[[#This Row],[Último pagto ano]])</f>
        <v>12</v>
      </c>
      <c r="H4181" t="str">
        <f>TEXT(Tabela1[[#This Row],[Coluna2]]*29,"mmmm")</f>
        <v>dezembro</v>
      </c>
      <c r="I4181" t="str">
        <f>TEXT(MONTH(Tabela1[[#This Row],[Último pagto ano]])*29,"mmmm")</f>
        <v>dezembro</v>
      </c>
    </row>
    <row r="4182" spans="1:9" x14ac:dyDescent="0.25">
      <c r="A4182">
        <v>2025</v>
      </c>
      <c r="B4182" t="s">
        <v>8326</v>
      </c>
      <c r="C4182" s="1">
        <v>45989</v>
      </c>
      <c r="D4182" t="s">
        <v>8327</v>
      </c>
      <c r="E4182" s="2">
        <v>11665.06</v>
      </c>
      <c r="G4182" s="3">
        <f>MONTH(Tabela1[[#This Row],[Último pagto ano]])</f>
        <v>11</v>
      </c>
      <c r="H4182" t="str">
        <f>TEXT(Tabela1[[#This Row],[Coluna2]]*29,"mmmm")</f>
        <v>novembro</v>
      </c>
      <c r="I4182" t="str">
        <f>TEXT(MONTH(Tabela1[[#This Row],[Último pagto ano]])*29,"mmmm")</f>
        <v>novembro</v>
      </c>
    </row>
    <row r="4183" spans="1:9" x14ac:dyDescent="0.25">
      <c r="A4183">
        <v>2025</v>
      </c>
      <c r="B4183" t="s">
        <v>8328</v>
      </c>
      <c r="C4183" s="1">
        <v>45996</v>
      </c>
      <c r="D4183" t="s">
        <v>8329</v>
      </c>
      <c r="E4183" s="2">
        <v>2200</v>
      </c>
      <c r="G4183" s="3">
        <f>MONTH(Tabela1[[#This Row],[Último pagto ano]])</f>
        <v>12</v>
      </c>
      <c r="H4183" t="str">
        <f>TEXT(Tabela1[[#This Row],[Coluna2]]*29,"mmmm")</f>
        <v>dezembro</v>
      </c>
      <c r="I4183" t="str">
        <f>TEXT(MONTH(Tabela1[[#This Row],[Último pagto ano]])*29,"mmmm")</f>
        <v>dezembro</v>
      </c>
    </row>
    <row r="4184" spans="1:9" x14ac:dyDescent="0.25">
      <c r="A4184">
        <v>2025</v>
      </c>
      <c r="B4184" t="s">
        <v>8330</v>
      </c>
      <c r="C4184" s="1">
        <v>45996</v>
      </c>
      <c r="D4184" t="s">
        <v>8331</v>
      </c>
      <c r="E4184" s="2">
        <v>2200</v>
      </c>
      <c r="G4184" s="3">
        <f>MONTH(Tabela1[[#This Row],[Último pagto ano]])</f>
        <v>12</v>
      </c>
      <c r="H4184" t="str">
        <f>TEXT(Tabela1[[#This Row],[Coluna2]]*29,"mmmm")</f>
        <v>dezembro</v>
      </c>
      <c r="I4184" t="str">
        <f>TEXT(MONTH(Tabela1[[#This Row],[Último pagto ano]])*29,"mmmm")</f>
        <v>dezembro</v>
      </c>
    </row>
    <row r="4185" spans="1:9" x14ac:dyDescent="0.25">
      <c r="A4185">
        <v>2025</v>
      </c>
      <c r="B4185" t="s">
        <v>8332</v>
      </c>
      <c r="C4185" s="1">
        <v>45968</v>
      </c>
      <c r="D4185" t="s">
        <v>8333</v>
      </c>
      <c r="E4185" s="2">
        <v>9400</v>
      </c>
      <c r="G4185" s="3">
        <f>MONTH(Tabela1[[#This Row],[Último pagto ano]])</f>
        <v>11</v>
      </c>
      <c r="H4185" t="str">
        <f>TEXT(Tabela1[[#This Row],[Coluna2]]*29,"mmmm")</f>
        <v>novembro</v>
      </c>
      <c r="I4185" t="str">
        <f>TEXT(MONTH(Tabela1[[#This Row],[Último pagto ano]])*29,"mmmm")</f>
        <v>novembro</v>
      </c>
    </row>
    <row r="4186" spans="1:9" x14ac:dyDescent="0.25">
      <c r="A4186">
        <v>2025</v>
      </c>
      <c r="B4186" t="s">
        <v>8334</v>
      </c>
      <c r="C4186" s="1">
        <v>45996</v>
      </c>
      <c r="D4186" t="s">
        <v>8335</v>
      </c>
      <c r="E4186" s="2">
        <v>6050</v>
      </c>
      <c r="G4186" s="3">
        <f>MONTH(Tabela1[[#This Row],[Último pagto ano]])</f>
        <v>12</v>
      </c>
      <c r="H4186" t="str">
        <f>TEXT(Tabela1[[#This Row],[Coluna2]]*29,"mmmm")</f>
        <v>dezembro</v>
      </c>
      <c r="I4186" t="str">
        <f>TEXT(MONTH(Tabela1[[#This Row],[Último pagto ano]])*29,"mmmm")</f>
        <v>dezembro</v>
      </c>
    </row>
    <row r="4187" spans="1:9" x14ac:dyDescent="0.25">
      <c r="A4187">
        <v>2025</v>
      </c>
      <c r="B4187" t="s">
        <v>8336</v>
      </c>
      <c r="C4187" s="1">
        <v>45814</v>
      </c>
      <c r="D4187" t="s">
        <v>8337</v>
      </c>
      <c r="E4187" s="2">
        <v>2000</v>
      </c>
      <c r="G4187" s="3">
        <f>MONTH(Tabela1[[#This Row],[Último pagto ano]])</f>
        <v>6</v>
      </c>
      <c r="H4187" t="str">
        <f>TEXT(Tabela1[[#This Row],[Coluna2]]*29,"mmmm")</f>
        <v>junho</v>
      </c>
      <c r="I4187" t="str">
        <f>TEXT(MONTH(Tabela1[[#This Row],[Último pagto ano]])*29,"mmmm")</f>
        <v>junho</v>
      </c>
    </row>
    <row r="4188" spans="1:9" x14ac:dyDescent="0.25">
      <c r="A4188">
        <v>2025</v>
      </c>
      <c r="B4188" t="s">
        <v>8338</v>
      </c>
      <c r="C4188" s="1">
        <v>45992</v>
      </c>
      <c r="D4188" t="s">
        <v>8339</v>
      </c>
      <c r="E4188" s="2">
        <v>46253.11</v>
      </c>
      <c r="G4188" s="3">
        <f>MONTH(Tabela1[[#This Row],[Último pagto ano]])</f>
        <v>12</v>
      </c>
      <c r="H4188" t="str">
        <f>TEXT(Tabela1[[#This Row],[Coluna2]]*29,"mmmm")</f>
        <v>dezembro</v>
      </c>
      <c r="I4188" t="str">
        <f>TEXT(MONTH(Tabela1[[#This Row],[Último pagto ano]])*29,"mmmm")</f>
        <v>dezembro</v>
      </c>
    </row>
    <row r="4189" spans="1:9" x14ac:dyDescent="0.25">
      <c r="A4189">
        <v>2025</v>
      </c>
      <c r="B4189" t="s">
        <v>8340</v>
      </c>
      <c r="C4189" s="1">
        <v>45996</v>
      </c>
      <c r="D4189" t="s">
        <v>8341</v>
      </c>
      <c r="E4189" s="2">
        <v>20520</v>
      </c>
      <c r="G4189" s="3">
        <f>MONTH(Tabela1[[#This Row],[Último pagto ano]])</f>
        <v>12</v>
      </c>
      <c r="H4189" t="str">
        <f>TEXT(Tabela1[[#This Row],[Coluna2]]*29,"mmmm")</f>
        <v>dezembro</v>
      </c>
      <c r="I4189" t="str">
        <f>TEXT(MONTH(Tabela1[[#This Row],[Último pagto ano]])*29,"mmmm")</f>
        <v>dezembro</v>
      </c>
    </row>
    <row r="4190" spans="1:9" x14ac:dyDescent="0.25">
      <c r="A4190">
        <v>2025</v>
      </c>
      <c r="B4190" t="s">
        <v>8342</v>
      </c>
      <c r="C4190" s="1">
        <v>46010</v>
      </c>
      <c r="D4190" t="s">
        <v>8343</v>
      </c>
      <c r="E4190" s="2">
        <v>12000</v>
      </c>
      <c r="G4190" s="3">
        <f>MONTH(Tabela1[[#This Row],[Último pagto ano]])</f>
        <v>12</v>
      </c>
      <c r="H4190" t="str">
        <f>TEXT(Tabela1[[#This Row],[Coluna2]]*29,"mmmm")</f>
        <v>dezembro</v>
      </c>
      <c r="I4190" t="str">
        <f>TEXT(MONTH(Tabela1[[#This Row],[Último pagto ano]])*29,"mmmm")</f>
        <v>dezembro</v>
      </c>
    </row>
    <row r="4191" spans="1:9" x14ac:dyDescent="0.25">
      <c r="A4191">
        <v>2025</v>
      </c>
      <c r="B4191" t="s">
        <v>8344</v>
      </c>
      <c r="C4191" s="1">
        <v>45786</v>
      </c>
      <c r="D4191" t="s">
        <v>8345</v>
      </c>
      <c r="E4191">
        <v>139.5</v>
      </c>
      <c r="G4191" s="3">
        <f>MONTH(Tabela1[[#This Row],[Último pagto ano]])</f>
        <v>5</v>
      </c>
      <c r="H4191" t="str">
        <f>TEXT(Tabela1[[#This Row],[Coluna2]]*29,"mmmm")</f>
        <v>maio</v>
      </c>
      <c r="I4191" t="str">
        <f>TEXT(MONTH(Tabela1[[#This Row],[Último pagto ano]])*29,"mmmm")</f>
        <v>maio</v>
      </c>
    </row>
    <row r="4192" spans="1:9" x14ac:dyDescent="0.25">
      <c r="A4192">
        <v>2025</v>
      </c>
      <c r="B4192" t="s">
        <v>8346</v>
      </c>
      <c r="C4192" s="1">
        <v>45754</v>
      </c>
      <c r="D4192" t="s">
        <v>8347</v>
      </c>
      <c r="E4192" s="2">
        <v>14615.08</v>
      </c>
      <c r="G4192" s="3">
        <f>MONTH(Tabela1[[#This Row],[Último pagto ano]])</f>
        <v>4</v>
      </c>
      <c r="H4192" t="str">
        <f>TEXT(Tabela1[[#This Row],[Coluna2]]*29,"mmmm")</f>
        <v>abril</v>
      </c>
      <c r="I4192" t="str">
        <f>TEXT(MONTH(Tabela1[[#This Row],[Último pagto ano]])*29,"mmmm")</f>
        <v>abril</v>
      </c>
    </row>
    <row r="4193" spans="1:9" x14ac:dyDescent="0.25">
      <c r="A4193">
        <v>2025</v>
      </c>
      <c r="B4193" t="s">
        <v>8348</v>
      </c>
      <c r="C4193" s="1">
        <v>46007</v>
      </c>
      <c r="D4193" t="s">
        <v>8349</v>
      </c>
      <c r="E4193" s="2">
        <v>663502.9</v>
      </c>
      <c r="G4193" s="3">
        <f>MONTH(Tabela1[[#This Row],[Último pagto ano]])</f>
        <v>12</v>
      </c>
      <c r="H4193" t="str">
        <f>TEXT(Tabela1[[#This Row],[Coluna2]]*29,"mmmm")</f>
        <v>dezembro</v>
      </c>
      <c r="I4193" t="str">
        <f>TEXT(MONTH(Tabela1[[#This Row],[Último pagto ano]])*29,"mmmm")</f>
        <v>dezembro</v>
      </c>
    </row>
    <row r="4194" spans="1:9" x14ac:dyDescent="0.25">
      <c r="A4194">
        <v>2025</v>
      </c>
      <c r="B4194" t="s">
        <v>8350</v>
      </c>
      <c r="C4194" s="1">
        <v>45996</v>
      </c>
      <c r="D4194" t="s">
        <v>8351</v>
      </c>
      <c r="E4194" s="2">
        <v>4400</v>
      </c>
      <c r="G4194" s="3">
        <f>MONTH(Tabela1[[#This Row],[Último pagto ano]])</f>
        <v>12</v>
      </c>
      <c r="H4194" t="str">
        <f>TEXT(Tabela1[[#This Row],[Coluna2]]*29,"mmmm")</f>
        <v>dezembro</v>
      </c>
      <c r="I4194" t="str">
        <f>TEXT(MONTH(Tabela1[[#This Row],[Último pagto ano]])*29,"mmmm")</f>
        <v>dezembro</v>
      </c>
    </row>
    <row r="4195" spans="1:9" x14ac:dyDescent="0.25">
      <c r="A4195">
        <v>2025</v>
      </c>
      <c r="B4195" t="s">
        <v>8352</v>
      </c>
      <c r="C4195" s="1">
        <v>45929</v>
      </c>
      <c r="D4195" t="s">
        <v>8353</v>
      </c>
      <c r="E4195">
        <v>22</v>
      </c>
      <c r="G4195" s="3">
        <f>MONTH(Tabela1[[#This Row],[Último pagto ano]])</f>
        <v>9</v>
      </c>
      <c r="H4195" t="str">
        <f>TEXT(Tabela1[[#This Row],[Coluna2]]*29,"mmmm")</f>
        <v>setembro</v>
      </c>
      <c r="I4195" t="str">
        <f>TEXT(MONTH(Tabela1[[#This Row],[Último pagto ano]])*29,"mmmm")</f>
        <v>setembro</v>
      </c>
    </row>
    <row r="4196" spans="1:9" x14ac:dyDescent="0.25">
      <c r="A4196">
        <v>2025</v>
      </c>
      <c r="B4196" t="s">
        <v>8354</v>
      </c>
      <c r="C4196" s="1">
        <v>45968</v>
      </c>
      <c r="D4196" t="s">
        <v>8355</v>
      </c>
      <c r="E4196" s="2">
        <v>28909.22</v>
      </c>
      <c r="G4196" s="3">
        <f>MONTH(Tabela1[[#This Row],[Último pagto ano]])</f>
        <v>11</v>
      </c>
      <c r="H4196" t="str">
        <f>TEXT(Tabela1[[#This Row],[Coluna2]]*29,"mmmm")</f>
        <v>novembro</v>
      </c>
      <c r="I4196" t="str">
        <f>TEXT(MONTH(Tabela1[[#This Row],[Último pagto ano]])*29,"mmmm")</f>
        <v>novembro</v>
      </c>
    </row>
    <row r="4197" spans="1:9" x14ac:dyDescent="0.25">
      <c r="A4197">
        <v>2025</v>
      </c>
      <c r="B4197" t="s">
        <v>8356</v>
      </c>
      <c r="C4197" s="1">
        <v>46006</v>
      </c>
      <c r="D4197" t="s">
        <v>8357</v>
      </c>
      <c r="E4197">
        <v>88</v>
      </c>
      <c r="G4197" s="3">
        <f>MONTH(Tabela1[[#This Row],[Último pagto ano]])</f>
        <v>12</v>
      </c>
      <c r="H4197" t="str">
        <f>TEXT(Tabela1[[#This Row],[Coluna2]]*29,"mmmm")</f>
        <v>dezembro</v>
      </c>
      <c r="I4197" t="str">
        <f>TEXT(MONTH(Tabela1[[#This Row],[Último pagto ano]])*29,"mmmm")</f>
        <v>dezembro</v>
      </c>
    </row>
    <row r="4198" spans="1:9" x14ac:dyDescent="0.25">
      <c r="A4198">
        <v>2025</v>
      </c>
      <c r="B4198" t="s">
        <v>8358</v>
      </c>
      <c r="C4198" s="1">
        <v>46021</v>
      </c>
      <c r="D4198" t="s">
        <v>8359</v>
      </c>
      <c r="E4198" s="2">
        <v>9684.1200000000008</v>
      </c>
      <c r="G4198" s="3">
        <f>MONTH(Tabela1[[#This Row],[Último pagto ano]])</f>
        <v>12</v>
      </c>
      <c r="H4198" t="str">
        <f>TEXT(Tabela1[[#This Row],[Coluna2]]*29,"mmmm")</f>
        <v>dezembro</v>
      </c>
      <c r="I4198" t="str">
        <f>TEXT(MONTH(Tabela1[[#This Row],[Último pagto ano]])*29,"mmmm")</f>
        <v>dezembro</v>
      </c>
    </row>
    <row r="4199" spans="1:9" x14ac:dyDescent="0.25">
      <c r="A4199">
        <v>2025</v>
      </c>
      <c r="B4199" t="s">
        <v>8360</v>
      </c>
      <c r="C4199" s="1">
        <v>45950</v>
      </c>
      <c r="D4199" t="s">
        <v>8361</v>
      </c>
      <c r="E4199" s="2">
        <v>10680</v>
      </c>
      <c r="G4199" s="3">
        <f>MONTH(Tabela1[[#This Row],[Último pagto ano]])</f>
        <v>10</v>
      </c>
      <c r="H4199" t="str">
        <f>TEXT(Tabela1[[#This Row],[Coluna2]]*29,"mmmm")</f>
        <v>outubro</v>
      </c>
      <c r="I4199" t="str">
        <f>TEXT(MONTH(Tabela1[[#This Row],[Último pagto ano]])*29,"mmmm")</f>
        <v>outubro</v>
      </c>
    </row>
    <row r="4200" spans="1:9" x14ac:dyDescent="0.25">
      <c r="A4200">
        <v>2025</v>
      </c>
      <c r="B4200" t="s">
        <v>8362</v>
      </c>
      <c r="C4200" s="1">
        <v>45968</v>
      </c>
      <c r="D4200" t="s">
        <v>8363</v>
      </c>
      <c r="E4200" s="2">
        <v>1200</v>
      </c>
      <c r="G4200" s="3">
        <f>MONTH(Tabela1[[#This Row],[Último pagto ano]])</f>
        <v>11</v>
      </c>
      <c r="H4200" t="str">
        <f>TEXT(Tabela1[[#This Row],[Coluna2]]*29,"mmmm")</f>
        <v>novembro</v>
      </c>
      <c r="I4200" t="str">
        <f>TEXT(MONTH(Tabela1[[#This Row],[Último pagto ano]])*29,"mmmm")</f>
        <v>novembro</v>
      </c>
    </row>
    <row r="4201" spans="1:9" x14ac:dyDescent="0.25">
      <c r="A4201">
        <v>2025</v>
      </c>
      <c r="B4201" t="s">
        <v>8364</v>
      </c>
      <c r="C4201" s="1">
        <v>45996</v>
      </c>
      <c r="D4201" t="s">
        <v>8365</v>
      </c>
      <c r="E4201" s="2">
        <v>29500</v>
      </c>
      <c r="G4201" s="3">
        <f>MONTH(Tabela1[[#This Row],[Último pagto ano]])</f>
        <v>12</v>
      </c>
      <c r="H4201" t="str">
        <f>TEXT(Tabela1[[#This Row],[Coluna2]]*29,"mmmm")</f>
        <v>dezembro</v>
      </c>
      <c r="I4201" t="str">
        <f>TEXT(MONTH(Tabela1[[#This Row],[Último pagto ano]])*29,"mmmm")</f>
        <v>dezembro</v>
      </c>
    </row>
    <row r="4202" spans="1:9" x14ac:dyDescent="0.25">
      <c r="A4202">
        <v>2025</v>
      </c>
      <c r="B4202" t="s">
        <v>8366</v>
      </c>
      <c r="C4202" s="1">
        <v>45702</v>
      </c>
      <c r="D4202" t="s">
        <v>8367</v>
      </c>
      <c r="E4202" s="2">
        <v>1067.06</v>
      </c>
      <c r="G4202" s="3">
        <f>MONTH(Tabela1[[#This Row],[Último pagto ano]])</f>
        <v>2</v>
      </c>
      <c r="H4202" t="str">
        <f>TEXT(Tabela1[[#This Row],[Coluna2]]*29,"mmmm")</f>
        <v>fevereiro</v>
      </c>
      <c r="I4202" t="str">
        <f>TEXT(MONTH(Tabela1[[#This Row],[Último pagto ano]])*29,"mmmm")</f>
        <v>fevereiro</v>
      </c>
    </row>
    <row r="4203" spans="1:9" x14ac:dyDescent="0.25">
      <c r="A4203">
        <v>2025</v>
      </c>
      <c r="B4203" t="s">
        <v>8368</v>
      </c>
      <c r="C4203" s="1">
        <v>45989</v>
      </c>
      <c r="D4203" t="s">
        <v>8369</v>
      </c>
      <c r="E4203" s="2">
        <v>5384.06</v>
      </c>
      <c r="G4203" s="3">
        <f>MONTH(Tabela1[[#This Row],[Último pagto ano]])</f>
        <v>11</v>
      </c>
      <c r="H4203" t="str">
        <f>TEXT(Tabela1[[#This Row],[Coluna2]]*29,"mmmm")</f>
        <v>novembro</v>
      </c>
      <c r="I4203" t="str">
        <f>TEXT(MONTH(Tabela1[[#This Row],[Último pagto ano]])*29,"mmmm")</f>
        <v>novembro</v>
      </c>
    </row>
    <row r="4204" spans="1:9" x14ac:dyDescent="0.25">
      <c r="A4204">
        <v>2025</v>
      </c>
      <c r="B4204" t="s">
        <v>8370</v>
      </c>
      <c r="C4204" s="1">
        <v>46021</v>
      </c>
      <c r="D4204" t="s">
        <v>8371</v>
      </c>
      <c r="E4204" s="2">
        <v>16391.490000000002</v>
      </c>
      <c r="G4204" s="3">
        <f>MONTH(Tabela1[[#This Row],[Último pagto ano]])</f>
        <v>12</v>
      </c>
      <c r="H4204" t="str">
        <f>TEXT(Tabela1[[#This Row],[Coluna2]]*29,"mmmm")</f>
        <v>dezembro</v>
      </c>
      <c r="I4204" t="str">
        <f>TEXT(MONTH(Tabela1[[#This Row],[Último pagto ano]])*29,"mmmm")</f>
        <v>dezembro</v>
      </c>
    </row>
    <row r="4205" spans="1:9" x14ac:dyDescent="0.25">
      <c r="A4205">
        <v>2025</v>
      </c>
      <c r="B4205" t="s">
        <v>8372</v>
      </c>
      <c r="C4205" s="1">
        <v>45786</v>
      </c>
      <c r="D4205" t="s">
        <v>8373</v>
      </c>
      <c r="E4205" s="2">
        <v>7500</v>
      </c>
      <c r="G4205" s="3">
        <f>MONTH(Tabela1[[#This Row],[Último pagto ano]])</f>
        <v>5</v>
      </c>
      <c r="H4205" t="str">
        <f>TEXT(Tabela1[[#This Row],[Coluna2]]*29,"mmmm")</f>
        <v>maio</v>
      </c>
      <c r="I4205" t="str">
        <f>TEXT(MONTH(Tabela1[[#This Row],[Último pagto ano]])*29,"mmmm")</f>
        <v>maio</v>
      </c>
    </row>
    <row r="4206" spans="1:9" x14ac:dyDescent="0.25">
      <c r="A4206">
        <v>2025</v>
      </c>
      <c r="B4206" t="s">
        <v>8374</v>
      </c>
      <c r="C4206" s="1">
        <v>45709</v>
      </c>
      <c r="D4206" t="s">
        <v>8375</v>
      </c>
      <c r="E4206">
        <v>2.14</v>
      </c>
      <c r="G4206" s="3">
        <f>MONTH(Tabela1[[#This Row],[Último pagto ano]])</f>
        <v>2</v>
      </c>
      <c r="H4206" t="str">
        <f>TEXT(Tabela1[[#This Row],[Coluna2]]*29,"mmmm")</f>
        <v>fevereiro</v>
      </c>
      <c r="I4206" t="str">
        <f>TEXT(MONTH(Tabela1[[#This Row],[Último pagto ano]])*29,"mmmm")</f>
        <v>fevereiro</v>
      </c>
    </row>
    <row r="4207" spans="1:9" x14ac:dyDescent="0.25">
      <c r="A4207">
        <v>2025</v>
      </c>
      <c r="B4207" t="s">
        <v>8376</v>
      </c>
      <c r="C4207" s="1">
        <v>45968</v>
      </c>
      <c r="D4207" t="s">
        <v>8377</v>
      </c>
      <c r="E4207" s="2">
        <v>2500</v>
      </c>
      <c r="G4207" s="3">
        <f>MONTH(Tabela1[[#This Row],[Último pagto ano]])</f>
        <v>11</v>
      </c>
      <c r="H4207" t="str">
        <f>TEXT(Tabela1[[#This Row],[Coluna2]]*29,"mmmm")</f>
        <v>novembro</v>
      </c>
      <c r="I4207" t="str">
        <f>TEXT(MONTH(Tabela1[[#This Row],[Último pagto ano]])*29,"mmmm")</f>
        <v>novembro</v>
      </c>
    </row>
    <row r="4208" spans="1:9" x14ac:dyDescent="0.25">
      <c r="A4208">
        <v>2025</v>
      </c>
      <c r="B4208" t="s">
        <v>8378</v>
      </c>
      <c r="C4208" s="1">
        <v>45996</v>
      </c>
      <c r="D4208" t="s">
        <v>8379</v>
      </c>
      <c r="E4208" s="2">
        <v>10700</v>
      </c>
      <c r="G4208" s="3">
        <f>MONTH(Tabela1[[#This Row],[Último pagto ano]])</f>
        <v>12</v>
      </c>
      <c r="H4208" t="str">
        <f>TEXT(Tabela1[[#This Row],[Coluna2]]*29,"mmmm")</f>
        <v>dezembro</v>
      </c>
      <c r="I4208" t="str">
        <f>TEXT(MONTH(Tabela1[[#This Row],[Último pagto ano]])*29,"mmmm")</f>
        <v>dezembro</v>
      </c>
    </row>
    <row r="4209" spans="1:9" x14ac:dyDescent="0.25">
      <c r="A4209">
        <v>2025</v>
      </c>
      <c r="B4209" t="s">
        <v>8380</v>
      </c>
      <c r="C4209" s="1">
        <v>46006</v>
      </c>
      <c r="D4209" t="s">
        <v>8381</v>
      </c>
      <c r="E4209" s="2">
        <v>1184.6400000000001</v>
      </c>
      <c r="G4209" s="3">
        <f>MONTH(Tabela1[[#This Row],[Último pagto ano]])</f>
        <v>12</v>
      </c>
      <c r="H4209" t="str">
        <f>TEXT(Tabela1[[#This Row],[Coluna2]]*29,"mmmm")</f>
        <v>dezembro</v>
      </c>
      <c r="I4209" t="str">
        <f>TEXT(MONTH(Tabela1[[#This Row],[Último pagto ano]])*29,"mmmm")</f>
        <v>dezembro</v>
      </c>
    </row>
    <row r="4210" spans="1:9" x14ac:dyDescent="0.25">
      <c r="A4210">
        <v>2025</v>
      </c>
      <c r="B4210" t="s">
        <v>8382</v>
      </c>
      <c r="C4210" s="1">
        <v>45996</v>
      </c>
      <c r="D4210" t="s">
        <v>8383</v>
      </c>
      <c r="E4210" s="2">
        <v>23625</v>
      </c>
      <c r="G4210" s="3">
        <f>MONTH(Tabela1[[#This Row],[Último pagto ano]])</f>
        <v>12</v>
      </c>
      <c r="H4210" t="str">
        <f>TEXT(Tabela1[[#This Row],[Coluna2]]*29,"mmmm")</f>
        <v>dezembro</v>
      </c>
      <c r="I4210" t="str">
        <f>TEXT(MONTH(Tabela1[[#This Row],[Último pagto ano]])*29,"mmmm")</f>
        <v>dezembro</v>
      </c>
    </row>
    <row r="4211" spans="1:9" x14ac:dyDescent="0.25">
      <c r="A4211">
        <v>2025</v>
      </c>
      <c r="B4211" t="s">
        <v>8384</v>
      </c>
      <c r="C4211" s="1">
        <v>45978</v>
      </c>
      <c r="D4211" t="s">
        <v>8385</v>
      </c>
      <c r="E4211">
        <v>11</v>
      </c>
      <c r="G4211" s="3">
        <f>MONTH(Tabela1[[#This Row],[Último pagto ano]])</f>
        <v>11</v>
      </c>
      <c r="H4211" t="str">
        <f>TEXT(Tabela1[[#This Row],[Coluna2]]*29,"mmmm")</f>
        <v>novembro</v>
      </c>
      <c r="I4211" t="str">
        <f>TEXT(MONTH(Tabela1[[#This Row],[Último pagto ano]])*29,"mmmm")</f>
        <v>novembro</v>
      </c>
    </row>
    <row r="4212" spans="1:9" x14ac:dyDescent="0.25">
      <c r="A4212">
        <v>2025</v>
      </c>
      <c r="B4212" t="s">
        <v>8386</v>
      </c>
      <c r="C4212" s="1">
        <v>45702</v>
      </c>
      <c r="D4212" t="s">
        <v>8387</v>
      </c>
      <c r="E4212">
        <v>68.680000000000007</v>
      </c>
      <c r="G4212" s="3">
        <f>MONTH(Tabela1[[#This Row],[Último pagto ano]])</f>
        <v>2</v>
      </c>
      <c r="H4212" t="str">
        <f>TEXT(Tabela1[[#This Row],[Coluna2]]*29,"mmmm")</f>
        <v>fevereiro</v>
      </c>
      <c r="I4212" t="str">
        <f>TEXT(MONTH(Tabela1[[#This Row],[Último pagto ano]])*29,"mmmm")</f>
        <v>fevereiro</v>
      </c>
    </row>
    <row r="4213" spans="1:9" x14ac:dyDescent="0.25">
      <c r="A4213">
        <v>2025</v>
      </c>
      <c r="B4213" t="s">
        <v>8388</v>
      </c>
      <c r="C4213" s="1">
        <v>45978</v>
      </c>
      <c r="D4213" t="s">
        <v>8389</v>
      </c>
      <c r="E4213">
        <v>66</v>
      </c>
      <c r="G4213" s="3">
        <f>MONTH(Tabela1[[#This Row],[Último pagto ano]])</f>
        <v>11</v>
      </c>
      <c r="H4213" t="str">
        <f>TEXT(Tabela1[[#This Row],[Coluna2]]*29,"mmmm")</f>
        <v>novembro</v>
      </c>
      <c r="I4213" t="str">
        <f>TEXT(MONTH(Tabela1[[#This Row],[Último pagto ano]])*29,"mmmm")</f>
        <v>novembro</v>
      </c>
    </row>
    <row r="4214" spans="1:9" x14ac:dyDescent="0.25">
      <c r="A4214">
        <v>2025</v>
      </c>
      <c r="B4214" t="s">
        <v>8390</v>
      </c>
      <c r="C4214" s="1">
        <v>45996</v>
      </c>
      <c r="D4214" t="s">
        <v>8391</v>
      </c>
      <c r="E4214" s="2">
        <v>4900</v>
      </c>
      <c r="G4214" s="3">
        <f>MONTH(Tabela1[[#This Row],[Último pagto ano]])</f>
        <v>12</v>
      </c>
      <c r="H4214" t="str">
        <f>TEXT(Tabela1[[#This Row],[Coluna2]]*29,"mmmm")</f>
        <v>dezembro</v>
      </c>
      <c r="I4214" t="str">
        <f>TEXT(MONTH(Tabela1[[#This Row],[Último pagto ano]])*29,"mmmm")</f>
        <v>dezembro</v>
      </c>
    </row>
    <row r="4215" spans="1:9" x14ac:dyDescent="0.25">
      <c r="A4215">
        <v>2025</v>
      </c>
      <c r="B4215" t="s">
        <v>8392</v>
      </c>
      <c r="C4215" s="1">
        <v>45880</v>
      </c>
      <c r="D4215" t="s">
        <v>8393</v>
      </c>
      <c r="E4215">
        <v>66</v>
      </c>
      <c r="G4215" s="3">
        <f>MONTH(Tabela1[[#This Row],[Último pagto ano]])</f>
        <v>8</v>
      </c>
      <c r="H4215" t="str">
        <f>TEXT(Tabela1[[#This Row],[Coluna2]]*29,"mmmm")</f>
        <v>agosto</v>
      </c>
      <c r="I4215" t="str">
        <f>TEXT(MONTH(Tabela1[[#This Row],[Último pagto ano]])*29,"mmmm")</f>
        <v>agosto</v>
      </c>
    </row>
    <row r="4216" spans="1:9" x14ac:dyDescent="0.25">
      <c r="A4216">
        <v>2025</v>
      </c>
      <c r="B4216" t="s">
        <v>8394</v>
      </c>
      <c r="C4216" s="1">
        <v>45996</v>
      </c>
      <c r="D4216" t="s">
        <v>8395</v>
      </c>
      <c r="E4216" s="2">
        <v>1400</v>
      </c>
      <c r="G4216" s="3">
        <f>MONTH(Tabela1[[#This Row],[Último pagto ano]])</f>
        <v>12</v>
      </c>
      <c r="H4216" t="str">
        <f>TEXT(Tabela1[[#This Row],[Coluna2]]*29,"mmmm")</f>
        <v>dezembro</v>
      </c>
      <c r="I4216" t="str">
        <f>TEXT(MONTH(Tabela1[[#This Row],[Último pagto ano]])*29,"mmmm")</f>
        <v>dezembro</v>
      </c>
    </row>
    <row r="4217" spans="1:9" x14ac:dyDescent="0.25">
      <c r="A4217">
        <v>2025</v>
      </c>
      <c r="B4217" t="s">
        <v>8396</v>
      </c>
      <c r="C4217" s="1">
        <v>45996</v>
      </c>
      <c r="D4217" t="s">
        <v>8397</v>
      </c>
      <c r="E4217" s="2">
        <v>24475</v>
      </c>
      <c r="G4217" s="3">
        <f>MONTH(Tabela1[[#This Row],[Último pagto ano]])</f>
        <v>12</v>
      </c>
      <c r="H4217" t="str">
        <f>TEXT(Tabela1[[#This Row],[Coluna2]]*29,"mmmm")</f>
        <v>dezembro</v>
      </c>
      <c r="I4217" t="str">
        <f>TEXT(MONTH(Tabela1[[#This Row],[Último pagto ano]])*29,"mmmm")</f>
        <v>dezembro</v>
      </c>
    </row>
    <row r="4218" spans="1:9" x14ac:dyDescent="0.25">
      <c r="A4218">
        <v>2025</v>
      </c>
      <c r="B4218" t="s">
        <v>8398</v>
      </c>
      <c r="C4218" s="1">
        <v>45905</v>
      </c>
      <c r="D4218" t="s">
        <v>8399</v>
      </c>
      <c r="E4218" s="2">
        <v>1800</v>
      </c>
      <c r="G4218" s="3">
        <f>MONTH(Tabela1[[#This Row],[Último pagto ano]])</f>
        <v>9</v>
      </c>
      <c r="H4218" t="str">
        <f>TEXT(Tabela1[[#This Row],[Coluna2]]*29,"mmmm")</f>
        <v>setembro</v>
      </c>
      <c r="I4218" t="str">
        <f>TEXT(MONTH(Tabela1[[#This Row],[Último pagto ano]])*29,"mmmm")</f>
        <v>setembro</v>
      </c>
    </row>
    <row r="4219" spans="1:9" x14ac:dyDescent="0.25">
      <c r="A4219">
        <v>2025</v>
      </c>
      <c r="B4219" t="s">
        <v>8400</v>
      </c>
      <c r="C4219" s="1">
        <v>45853</v>
      </c>
      <c r="D4219" t="s">
        <v>8401</v>
      </c>
      <c r="E4219">
        <v>296.16000000000003</v>
      </c>
      <c r="G4219" s="3">
        <f>MONTH(Tabela1[[#This Row],[Último pagto ano]])</f>
        <v>7</v>
      </c>
      <c r="H4219" t="str">
        <f>TEXT(Tabela1[[#This Row],[Coluna2]]*29,"mmmm")</f>
        <v>julho</v>
      </c>
      <c r="I4219" t="str">
        <f>TEXT(MONTH(Tabela1[[#This Row],[Último pagto ano]])*29,"mmmm")</f>
        <v>julho</v>
      </c>
    </row>
    <row r="4220" spans="1:9" x14ac:dyDescent="0.25">
      <c r="A4220">
        <v>2025</v>
      </c>
      <c r="B4220" t="s">
        <v>8402</v>
      </c>
      <c r="C4220" s="1">
        <v>45960</v>
      </c>
      <c r="D4220" t="s">
        <v>8403</v>
      </c>
      <c r="E4220" s="2">
        <v>9803.23</v>
      </c>
      <c r="G4220" s="3">
        <f>MONTH(Tabela1[[#This Row],[Último pagto ano]])</f>
        <v>10</v>
      </c>
      <c r="H4220" t="str">
        <f>TEXT(Tabela1[[#This Row],[Coluna2]]*29,"mmmm")</f>
        <v>outubro</v>
      </c>
      <c r="I4220" t="str">
        <f>TEXT(MONTH(Tabela1[[#This Row],[Último pagto ano]])*29,"mmmm")</f>
        <v>outubro</v>
      </c>
    </row>
    <row r="4221" spans="1:9" x14ac:dyDescent="0.25">
      <c r="A4221">
        <v>2025</v>
      </c>
      <c r="B4221" t="s">
        <v>8404</v>
      </c>
      <c r="C4221" s="1">
        <v>45936</v>
      </c>
      <c r="D4221" t="s">
        <v>8405</v>
      </c>
      <c r="E4221">
        <v>352</v>
      </c>
      <c r="G4221" s="3">
        <f>MONTH(Tabela1[[#This Row],[Último pagto ano]])</f>
        <v>10</v>
      </c>
      <c r="H4221" t="str">
        <f>TEXT(Tabela1[[#This Row],[Coluna2]]*29,"mmmm")</f>
        <v>outubro</v>
      </c>
      <c r="I4221" t="str">
        <f>TEXT(MONTH(Tabela1[[#This Row],[Último pagto ano]])*29,"mmmm")</f>
        <v>outubro</v>
      </c>
    </row>
    <row r="4222" spans="1:9" x14ac:dyDescent="0.25">
      <c r="A4222">
        <v>2025</v>
      </c>
      <c r="B4222" t="s">
        <v>8406</v>
      </c>
      <c r="C4222" s="1">
        <v>45814</v>
      </c>
      <c r="D4222" t="s">
        <v>8407</v>
      </c>
      <c r="E4222" s="2">
        <v>2000</v>
      </c>
      <c r="G4222" s="3">
        <f>MONTH(Tabela1[[#This Row],[Último pagto ano]])</f>
        <v>6</v>
      </c>
      <c r="H4222" t="str">
        <f>TEXT(Tabela1[[#This Row],[Coluna2]]*29,"mmmm")</f>
        <v>junho</v>
      </c>
      <c r="I4222" t="str">
        <f>TEXT(MONTH(Tabela1[[#This Row],[Último pagto ano]])*29,"mmmm")</f>
        <v>junho</v>
      </c>
    </row>
    <row r="4223" spans="1:9" x14ac:dyDescent="0.25">
      <c r="A4223">
        <v>2025</v>
      </c>
      <c r="B4223" t="s">
        <v>8408</v>
      </c>
      <c r="C4223" s="1">
        <v>45786</v>
      </c>
      <c r="D4223" t="s">
        <v>8409</v>
      </c>
      <c r="E4223" s="2">
        <v>25000</v>
      </c>
      <c r="G4223" s="3">
        <f>MONTH(Tabela1[[#This Row],[Último pagto ano]])</f>
        <v>5</v>
      </c>
      <c r="H4223" t="str">
        <f>TEXT(Tabela1[[#This Row],[Coluna2]]*29,"mmmm")</f>
        <v>maio</v>
      </c>
      <c r="I4223" t="str">
        <f>TEXT(MONTH(Tabela1[[#This Row],[Último pagto ano]])*29,"mmmm")</f>
        <v>maio</v>
      </c>
    </row>
    <row r="4224" spans="1:9" x14ac:dyDescent="0.25">
      <c r="A4224">
        <v>2025</v>
      </c>
      <c r="B4224" t="s">
        <v>8410</v>
      </c>
      <c r="C4224" s="1">
        <v>45985</v>
      </c>
      <c r="D4224" t="s">
        <v>8411</v>
      </c>
      <c r="E4224">
        <v>720</v>
      </c>
      <c r="G4224" s="3">
        <f>MONTH(Tabela1[[#This Row],[Último pagto ano]])</f>
        <v>11</v>
      </c>
      <c r="H4224" t="str">
        <f>TEXT(Tabela1[[#This Row],[Coluna2]]*29,"mmmm")</f>
        <v>novembro</v>
      </c>
      <c r="I4224" t="str">
        <f>TEXT(MONTH(Tabela1[[#This Row],[Último pagto ano]])*29,"mmmm")</f>
        <v>novembro</v>
      </c>
    </row>
    <row r="4225" spans="1:9" x14ac:dyDescent="0.25">
      <c r="A4225">
        <v>2025</v>
      </c>
      <c r="B4225" t="s">
        <v>8412</v>
      </c>
      <c r="C4225" s="1">
        <v>45868</v>
      </c>
      <c r="D4225" t="s">
        <v>8413</v>
      </c>
      <c r="E4225" s="2">
        <v>4953.88</v>
      </c>
      <c r="G4225" s="3">
        <f>MONTH(Tabela1[[#This Row],[Último pagto ano]])</f>
        <v>7</v>
      </c>
      <c r="H4225" t="str">
        <f>TEXT(Tabela1[[#This Row],[Coluna2]]*29,"mmmm")</f>
        <v>julho</v>
      </c>
      <c r="I4225" t="str">
        <f>TEXT(MONTH(Tabela1[[#This Row],[Último pagto ano]])*29,"mmmm")</f>
        <v>julho</v>
      </c>
    </row>
    <row r="4226" spans="1:9" x14ac:dyDescent="0.25">
      <c r="A4226">
        <v>2025</v>
      </c>
      <c r="B4226" t="s">
        <v>8414</v>
      </c>
      <c r="C4226" s="1">
        <v>46002</v>
      </c>
      <c r="D4226" t="s">
        <v>8415</v>
      </c>
      <c r="E4226" s="2">
        <v>9873.75</v>
      </c>
      <c r="G4226" s="3">
        <f>MONTH(Tabela1[[#This Row],[Último pagto ano]])</f>
        <v>12</v>
      </c>
      <c r="H4226" t="str">
        <f>TEXT(Tabela1[[#This Row],[Coluna2]]*29,"mmmm")</f>
        <v>dezembro</v>
      </c>
      <c r="I4226" t="str">
        <f>TEXT(MONTH(Tabela1[[#This Row],[Último pagto ano]])*29,"mmmm")</f>
        <v>dezembro</v>
      </c>
    </row>
    <row r="4227" spans="1:9" x14ac:dyDescent="0.25">
      <c r="A4227">
        <v>2025</v>
      </c>
      <c r="B4227" t="s">
        <v>8416</v>
      </c>
      <c r="C4227" s="1">
        <v>45708</v>
      </c>
      <c r="D4227" t="s">
        <v>8417</v>
      </c>
      <c r="E4227" s="2">
        <v>2700</v>
      </c>
      <c r="G4227" s="3">
        <f>MONTH(Tabela1[[#This Row],[Último pagto ano]])</f>
        <v>2</v>
      </c>
      <c r="H4227" t="str">
        <f>TEXT(Tabela1[[#This Row],[Coluna2]]*29,"mmmm")</f>
        <v>fevereiro</v>
      </c>
      <c r="I4227" t="str">
        <f>TEXT(MONTH(Tabela1[[#This Row],[Último pagto ano]])*29,"mmmm")</f>
        <v>fevereiro</v>
      </c>
    </row>
    <row r="4228" spans="1:9" x14ac:dyDescent="0.25">
      <c r="A4228">
        <v>2025</v>
      </c>
      <c r="B4228" t="s">
        <v>8418</v>
      </c>
      <c r="C4228" s="1">
        <v>45782</v>
      </c>
      <c r="D4228" t="s">
        <v>8419</v>
      </c>
      <c r="E4228">
        <v>44</v>
      </c>
      <c r="G4228" s="3">
        <f>MONTH(Tabela1[[#This Row],[Último pagto ano]])</f>
        <v>5</v>
      </c>
      <c r="H4228" t="str">
        <f>TEXT(Tabela1[[#This Row],[Coluna2]]*29,"mmmm")</f>
        <v>maio</v>
      </c>
      <c r="I4228" t="str">
        <f>TEXT(MONTH(Tabela1[[#This Row],[Último pagto ano]])*29,"mmmm")</f>
        <v>maio</v>
      </c>
    </row>
    <row r="4229" spans="1:9" x14ac:dyDescent="0.25">
      <c r="A4229">
        <v>2025</v>
      </c>
      <c r="B4229" t="s">
        <v>8420</v>
      </c>
      <c r="C4229" s="1">
        <v>46021</v>
      </c>
      <c r="D4229" t="s">
        <v>8421</v>
      </c>
      <c r="E4229" s="2">
        <v>3280.11</v>
      </c>
      <c r="G4229" s="3">
        <f>MONTH(Tabela1[[#This Row],[Último pagto ano]])</f>
        <v>12</v>
      </c>
      <c r="H4229" t="str">
        <f>TEXT(Tabela1[[#This Row],[Coluna2]]*29,"mmmm")</f>
        <v>dezembro</v>
      </c>
      <c r="I4229" t="str">
        <f>TEXT(MONTH(Tabela1[[#This Row],[Último pagto ano]])*29,"mmmm")</f>
        <v>dezembro</v>
      </c>
    </row>
    <row r="4230" spans="1:9" x14ac:dyDescent="0.25">
      <c r="A4230">
        <v>2025</v>
      </c>
      <c r="B4230" t="s">
        <v>8422</v>
      </c>
      <c r="C4230" s="1">
        <v>45687</v>
      </c>
      <c r="D4230" t="s">
        <v>8423</v>
      </c>
      <c r="E4230">
        <v>56.07</v>
      </c>
      <c r="G4230" s="3">
        <f>MONTH(Tabela1[[#This Row],[Último pagto ano]])</f>
        <v>1</v>
      </c>
      <c r="H4230" t="str">
        <f>TEXT(Tabela1[[#This Row],[Coluna2]]*29,"mmmm")</f>
        <v>janeiro</v>
      </c>
      <c r="I4230" t="str">
        <f>TEXT(MONTH(Tabela1[[#This Row],[Último pagto ano]])*29,"mmmm")</f>
        <v>janeiro</v>
      </c>
    </row>
    <row r="4231" spans="1:9" x14ac:dyDescent="0.25">
      <c r="A4231">
        <v>2025</v>
      </c>
      <c r="B4231" t="s">
        <v>8424</v>
      </c>
      <c r="C4231" s="1">
        <v>45922</v>
      </c>
      <c r="D4231" t="s">
        <v>8425</v>
      </c>
      <c r="E4231">
        <v>27.07</v>
      </c>
      <c r="G4231" s="3">
        <f>MONTH(Tabela1[[#This Row],[Último pagto ano]])</f>
        <v>9</v>
      </c>
      <c r="H4231" t="str">
        <f>TEXT(Tabela1[[#This Row],[Coluna2]]*29,"mmmm")</f>
        <v>setembro</v>
      </c>
      <c r="I4231" t="str">
        <f>TEXT(MONTH(Tabela1[[#This Row],[Último pagto ano]])*29,"mmmm")</f>
        <v>setembro</v>
      </c>
    </row>
    <row r="4232" spans="1:9" x14ac:dyDescent="0.25">
      <c r="A4232">
        <v>2025</v>
      </c>
      <c r="B4232" t="s">
        <v>8426</v>
      </c>
      <c r="C4232" s="1">
        <v>45894</v>
      </c>
      <c r="D4232" t="s">
        <v>8427</v>
      </c>
      <c r="E4232">
        <v>55</v>
      </c>
      <c r="G4232" s="3">
        <f>MONTH(Tabela1[[#This Row],[Último pagto ano]])</f>
        <v>8</v>
      </c>
      <c r="H4232" t="str">
        <f>TEXT(Tabela1[[#This Row],[Coluna2]]*29,"mmmm")</f>
        <v>agosto</v>
      </c>
      <c r="I4232" t="str">
        <f>TEXT(MONTH(Tabela1[[#This Row],[Último pagto ano]])*29,"mmmm")</f>
        <v>agosto</v>
      </c>
    </row>
    <row r="4233" spans="1:9" x14ac:dyDescent="0.25">
      <c r="A4233">
        <v>2025</v>
      </c>
      <c r="B4233" t="s">
        <v>8428</v>
      </c>
      <c r="C4233" s="1">
        <v>45810</v>
      </c>
      <c r="D4233" t="s">
        <v>8429</v>
      </c>
      <c r="E4233">
        <v>53.85</v>
      </c>
      <c r="G4233" s="3">
        <f>MONTH(Tabela1[[#This Row],[Último pagto ano]])</f>
        <v>6</v>
      </c>
      <c r="H4233" t="str">
        <f>TEXT(Tabela1[[#This Row],[Coluna2]]*29,"mmmm")</f>
        <v>junho</v>
      </c>
      <c r="I4233" t="str">
        <f>TEXT(MONTH(Tabela1[[#This Row],[Último pagto ano]])*29,"mmmm")</f>
        <v>junho</v>
      </c>
    </row>
    <row r="4234" spans="1:9" x14ac:dyDescent="0.25">
      <c r="A4234">
        <v>2025</v>
      </c>
      <c r="B4234" t="s">
        <v>8430</v>
      </c>
      <c r="C4234" s="1">
        <v>45908</v>
      </c>
      <c r="D4234" t="s">
        <v>8431</v>
      </c>
      <c r="E4234">
        <v>22</v>
      </c>
      <c r="G4234" s="3">
        <f>MONTH(Tabela1[[#This Row],[Último pagto ano]])</f>
        <v>9</v>
      </c>
      <c r="H4234" t="str">
        <f>TEXT(Tabela1[[#This Row],[Coluna2]]*29,"mmmm")</f>
        <v>setembro</v>
      </c>
      <c r="I4234" t="str">
        <f>TEXT(MONTH(Tabela1[[#This Row],[Último pagto ano]])*29,"mmmm")</f>
        <v>setembro</v>
      </c>
    </row>
    <row r="4235" spans="1:9" x14ac:dyDescent="0.25">
      <c r="A4235">
        <v>2025</v>
      </c>
      <c r="B4235" t="s">
        <v>8432</v>
      </c>
      <c r="C4235" s="1">
        <v>46000</v>
      </c>
      <c r="D4235" t="s">
        <v>8433</v>
      </c>
      <c r="E4235" s="2">
        <v>37995.03</v>
      </c>
      <c r="G4235" s="3">
        <f>MONTH(Tabela1[[#This Row],[Último pagto ano]])</f>
        <v>12</v>
      </c>
      <c r="H4235" t="str">
        <f>TEXT(Tabela1[[#This Row],[Coluna2]]*29,"mmmm")</f>
        <v>dezembro</v>
      </c>
      <c r="I4235" t="str">
        <f>TEXT(MONTH(Tabela1[[#This Row],[Último pagto ano]])*29,"mmmm")</f>
        <v>dezembro</v>
      </c>
    </row>
    <row r="4236" spans="1:9" x14ac:dyDescent="0.25">
      <c r="A4236">
        <v>2025</v>
      </c>
      <c r="B4236" t="s">
        <v>8434</v>
      </c>
      <c r="C4236" s="1">
        <v>46010</v>
      </c>
      <c r="D4236" t="s">
        <v>8435</v>
      </c>
      <c r="E4236" s="2">
        <v>4900</v>
      </c>
      <c r="G4236" s="3">
        <f>MONTH(Tabela1[[#This Row],[Último pagto ano]])</f>
        <v>12</v>
      </c>
      <c r="H4236" t="str">
        <f>TEXT(Tabela1[[#This Row],[Coluna2]]*29,"mmmm")</f>
        <v>dezembro</v>
      </c>
      <c r="I4236" t="str">
        <f>TEXT(MONTH(Tabela1[[#This Row],[Último pagto ano]])*29,"mmmm")</f>
        <v>dezembro</v>
      </c>
    </row>
    <row r="4237" spans="1:9" x14ac:dyDescent="0.25">
      <c r="A4237">
        <v>2025</v>
      </c>
      <c r="B4237" t="s">
        <v>8436</v>
      </c>
      <c r="C4237" s="1">
        <v>46014</v>
      </c>
      <c r="D4237" t="s">
        <v>8437</v>
      </c>
      <c r="E4237" s="2">
        <v>8200</v>
      </c>
      <c r="G4237" s="3">
        <f>MONTH(Tabela1[[#This Row],[Último pagto ano]])</f>
        <v>12</v>
      </c>
      <c r="H4237" t="str">
        <f>TEXT(Tabela1[[#This Row],[Coluna2]]*29,"mmmm")</f>
        <v>dezembro</v>
      </c>
      <c r="I4237" t="str">
        <f>TEXT(MONTH(Tabela1[[#This Row],[Último pagto ano]])*29,"mmmm")</f>
        <v>dezembro</v>
      </c>
    </row>
    <row r="4238" spans="1:9" x14ac:dyDescent="0.25">
      <c r="A4238">
        <v>2025</v>
      </c>
      <c r="B4238" t="s">
        <v>8438</v>
      </c>
      <c r="C4238" s="1">
        <v>45792</v>
      </c>
      <c r="D4238" t="s">
        <v>8439</v>
      </c>
      <c r="E4238">
        <v>296.16000000000003</v>
      </c>
      <c r="G4238" s="3">
        <f>MONTH(Tabela1[[#This Row],[Último pagto ano]])</f>
        <v>5</v>
      </c>
      <c r="H4238" t="str">
        <f>TEXT(Tabela1[[#This Row],[Coluna2]]*29,"mmmm")</f>
        <v>maio</v>
      </c>
      <c r="I4238" t="str">
        <f>TEXT(MONTH(Tabela1[[#This Row],[Último pagto ano]])*29,"mmmm")</f>
        <v>maio</v>
      </c>
    </row>
    <row r="4239" spans="1:9" x14ac:dyDescent="0.25">
      <c r="A4239">
        <v>2025</v>
      </c>
      <c r="B4239" t="s">
        <v>8440</v>
      </c>
      <c r="C4239" s="1">
        <v>45954</v>
      </c>
      <c r="D4239" t="s">
        <v>8441</v>
      </c>
      <c r="E4239" s="2">
        <v>126378.72</v>
      </c>
      <c r="G4239" s="3">
        <f>MONTH(Tabela1[[#This Row],[Último pagto ano]])</f>
        <v>10</v>
      </c>
      <c r="H4239" t="str">
        <f>TEXT(Tabela1[[#This Row],[Coluna2]]*29,"mmmm")</f>
        <v>outubro</v>
      </c>
      <c r="I4239" t="str">
        <f>TEXT(MONTH(Tabela1[[#This Row],[Último pagto ano]])*29,"mmmm")</f>
        <v>outubro</v>
      </c>
    </row>
    <row r="4240" spans="1:9" x14ac:dyDescent="0.25">
      <c r="A4240">
        <v>2025</v>
      </c>
      <c r="B4240" t="s">
        <v>8442</v>
      </c>
      <c r="C4240" s="1">
        <v>45887</v>
      </c>
      <c r="D4240" t="s">
        <v>8443</v>
      </c>
      <c r="E4240" s="2">
        <v>1300</v>
      </c>
      <c r="G4240" s="3">
        <f>MONTH(Tabela1[[#This Row],[Último pagto ano]])</f>
        <v>8</v>
      </c>
      <c r="H4240" t="str">
        <f>TEXT(Tabela1[[#This Row],[Coluna2]]*29,"mmmm")</f>
        <v>agosto</v>
      </c>
      <c r="I4240" t="str">
        <f>TEXT(MONTH(Tabela1[[#This Row],[Último pagto ano]])*29,"mmmm")</f>
        <v>agosto</v>
      </c>
    </row>
    <row r="4241" spans="1:9" x14ac:dyDescent="0.25">
      <c r="A4241">
        <v>2025</v>
      </c>
      <c r="B4241" t="s">
        <v>8444</v>
      </c>
      <c r="C4241" s="1">
        <v>46013</v>
      </c>
      <c r="D4241" t="s">
        <v>8445</v>
      </c>
      <c r="E4241" s="2">
        <v>5435</v>
      </c>
      <c r="G4241" s="3">
        <f>MONTH(Tabela1[[#This Row],[Último pagto ano]])</f>
        <v>12</v>
      </c>
      <c r="H4241" t="str">
        <f>TEXT(Tabela1[[#This Row],[Coluna2]]*29,"mmmm")</f>
        <v>dezembro</v>
      </c>
      <c r="I4241" t="str">
        <f>TEXT(MONTH(Tabela1[[#This Row],[Último pagto ano]])*29,"mmmm")</f>
        <v>dezembro</v>
      </c>
    </row>
    <row r="4242" spans="1:9" x14ac:dyDescent="0.25">
      <c r="A4242">
        <v>2025</v>
      </c>
      <c r="B4242" t="s">
        <v>8446</v>
      </c>
      <c r="C4242" s="1">
        <v>45702</v>
      </c>
      <c r="D4242" t="s">
        <v>8447</v>
      </c>
      <c r="E4242">
        <v>776.96</v>
      </c>
      <c r="G4242" s="3">
        <f>MONTH(Tabela1[[#This Row],[Último pagto ano]])</f>
        <v>2</v>
      </c>
      <c r="H4242" t="str">
        <f>TEXT(Tabela1[[#This Row],[Coluna2]]*29,"mmmm")</f>
        <v>fevereiro</v>
      </c>
      <c r="I4242" t="str">
        <f>TEXT(MONTH(Tabela1[[#This Row],[Último pagto ano]])*29,"mmmm")</f>
        <v>fevereiro</v>
      </c>
    </row>
    <row r="4243" spans="1:9" x14ac:dyDescent="0.25">
      <c r="A4243">
        <v>2025</v>
      </c>
      <c r="B4243" t="s">
        <v>8448</v>
      </c>
      <c r="C4243" s="1">
        <v>46010</v>
      </c>
      <c r="D4243" t="s">
        <v>8449</v>
      </c>
      <c r="E4243" s="2">
        <v>12000</v>
      </c>
      <c r="G4243" s="3">
        <f>MONTH(Tabela1[[#This Row],[Último pagto ano]])</f>
        <v>12</v>
      </c>
      <c r="H4243" t="str">
        <f>TEXT(Tabela1[[#This Row],[Coluna2]]*29,"mmmm")</f>
        <v>dezembro</v>
      </c>
      <c r="I4243" t="str">
        <f>TEXT(MONTH(Tabela1[[#This Row],[Último pagto ano]])*29,"mmmm")</f>
        <v>dezembro</v>
      </c>
    </row>
    <row r="4244" spans="1:9" x14ac:dyDescent="0.25">
      <c r="A4244">
        <v>2025</v>
      </c>
      <c r="B4244" t="s">
        <v>8450</v>
      </c>
      <c r="C4244" s="1">
        <v>46010</v>
      </c>
      <c r="D4244" t="s">
        <v>8451</v>
      </c>
      <c r="E4244">
        <v>700</v>
      </c>
      <c r="G4244" s="3">
        <f>MONTH(Tabela1[[#This Row],[Último pagto ano]])</f>
        <v>12</v>
      </c>
      <c r="H4244" t="str">
        <f>TEXT(Tabela1[[#This Row],[Coluna2]]*29,"mmmm")</f>
        <v>dezembro</v>
      </c>
      <c r="I4244" t="str">
        <f>TEXT(MONTH(Tabela1[[#This Row],[Último pagto ano]])*29,"mmmm")</f>
        <v>dezembro</v>
      </c>
    </row>
    <row r="4245" spans="1:9" x14ac:dyDescent="0.25">
      <c r="A4245">
        <v>2025</v>
      </c>
      <c r="B4245" t="s">
        <v>8452</v>
      </c>
      <c r="C4245" s="1">
        <v>45894</v>
      </c>
      <c r="D4245" t="s">
        <v>8453</v>
      </c>
      <c r="E4245" s="2">
        <v>1400</v>
      </c>
      <c r="G4245" s="3">
        <f>MONTH(Tabela1[[#This Row],[Último pagto ano]])</f>
        <v>8</v>
      </c>
      <c r="H4245" t="str">
        <f>TEXT(Tabela1[[#This Row],[Coluna2]]*29,"mmmm")</f>
        <v>agosto</v>
      </c>
      <c r="I4245" t="str">
        <f>TEXT(MONTH(Tabela1[[#This Row],[Último pagto ano]])*29,"mmmm")</f>
        <v>agosto</v>
      </c>
    </row>
    <row r="4246" spans="1:9" x14ac:dyDescent="0.25">
      <c r="A4246">
        <v>2025</v>
      </c>
      <c r="B4246" t="s">
        <v>8454</v>
      </c>
      <c r="C4246" s="1">
        <v>46010</v>
      </c>
      <c r="D4246" t="s">
        <v>8455</v>
      </c>
      <c r="E4246" s="2">
        <v>7700</v>
      </c>
      <c r="G4246" s="3">
        <f>MONTH(Tabela1[[#This Row],[Último pagto ano]])</f>
        <v>12</v>
      </c>
      <c r="H4246" t="str">
        <f>TEXT(Tabela1[[#This Row],[Coluna2]]*29,"mmmm")</f>
        <v>dezembro</v>
      </c>
      <c r="I4246" t="str">
        <f>TEXT(MONTH(Tabela1[[#This Row],[Último pagto ano]])*29,"mmmm")</f>
        <v>dezembro</v>
      </c>
    </row>
    <row r="4247" spans="1:9" x14ac:dyDescent="0.25">
      <c r="A4247">
        <v>2025</v>
      </c>
      <c r="B4247" t="s">
        <v>8456</v>
      </c>
      <c r="C4247" s="1">
        <v>46013</v>
      </c>
      <c r="D4247" t="s">
        <v>8457</v>
      </c>
      <c r="E4247" s="2">
        <v>5181</v>
      </c>
      <c r="G4247" s="3">
        <f>MONTH(Tabela1[[#This Row],[Último pagto ano]])</f>
        <v>12</v>
      </c>
      <c r="H4247" t="str">
        <f>TEXT(Tabela1[[#This Row],[Coluna2]]*29,"mmmm")</f>
        <v>dezembro</v>
      </c>
      <c r="I4247" t="str">
        <f>TEXT(MONTH(Tabela1[[#This Row],[Último pagto ano]])*29,"mmmm")</f>
        <v>dezembro</v>
      </c>
    </row>
    <row r="4248" spans="1:9" x14ac:dyDescent="0.25">
      <c r="A4248">
        <v>2025</v>
      </c>
      <c r="B4248" t="s">
        <v>8458</v>
      </c>
      <c r="C4248" s="1">
        <v>45989</v>
      </c>
      <c r="D4248" t="s">
        <v>8459</v>
      </c>
      <c r="E4248" s="2">
        <v>3432.92</v>
      </c>
      <c r="G4248" s="3">
        <f>MONTH(Tabela1[[#This Row],[Último pagto ano]])</f>
        <v>11</v>
      </c>
      <c r="H4248" t="str">
        <f>TEXT(Tabela1[[#This Row],[Coluna2]]*29,"mmmm")</f>
        <v>novembro</v>
      </c>
      <c r="I4248" t="str">
        <f>TEXT(MONTH(Tabela1[[#This Row],[Último pagto ano]])*29,"mmmm")</f>
        <v>novembro</v>
      </c>
    </row>
    <row r="4249" spans="1:9" x14ac:dyDescent="0.25">
      <c r="A4249">
        <v>2025</v>
      </c>
      <c r="B4249" t="s">
        <v>8460</v>
      </c>
      <c r="C4249" s="1">
        <v>46010</v>
      </c>
      <c r="D4249" t="s">
        <v>8461</v>
      </c>
      <c r="E4249" s="2">
        <v>8400</v>
      </c>
      <c r="G4249" s="3">
        <f>MONTH(Tabela1[[#This Row],[Último pagto ano]])</f>
        <v>12</v>
      </c>
      <c r="H4249" t="str">
        <f>TEXT(Tabela1[[#This Row],[Coluna2]]*29,"mmmm")</f>
        <v>dezembro</v>
      </c>
      <c r="I4249" t="str">
        <f>TEXT(MONTH(Tabela1[[#This Row],[Último pagto ano]])*29,"mmmm")</f>
        <v>dezembro</v>
      </c>
    </row>
    <row r="4250" spans="1:9" x14ac:dyDescent="0.25">
      <c r="A4250">
        <v>2025</v>
      </c>
      <c r="B4250" t="s">
        <v>8462</v>
      </c>
      <c r="C4250" s="1">
        <v>45996</v>
      </c>
      <c r="D4250" t="s">
        <v>8463</v>
      </c>
      <c r="E4250" s="2">
        <v>12000</v>
      </c>
      <c r="G4250" s="3">
        <f>MONTH(Tabela1[[#This Row],[Último pagto ano]])</f>
        <v>12</v>
      </c>
      <c r="H4250" t="str">
        <f>TEXT(Tabela1[[#This Row],[Coluna2]]*29,"mmmm")</f>
        <v>dezembro</v>
      </c>
      <c r="I4250" t="str">
        <f>TEXT(MONTH(Tabela1[[#This Row],[Último pagto ano]])*29,"mmmm")</f>
        <v>dezembro</v>
      </c>
    </row>
    <row r="4251" spans="1:9" x14ac:dyDescent="0.25">
      <c r="A4251">
        <v>2025</v>
      </c>
      <c r="B4251" t="s">
        <v>8464</v>
      </c>
      <c r="C4251" s="1">
        <v>45873</v>
      </c>
      <c r="D4251" t="s">
        <v>8465</v>
      </c>
      <c r="E4251">
        <v>44</v>
      </c>
      <c r="G4251" s="3">
        <f>MONTH(Tabela1[[#This Row],[Último pagto ano]])</f>
        <v>8</v>
      </c>
      <c r="H4251" t="str">
        <f>TEXT(Tabela1[[#This Row],[Coluna2]]*29,"mmmm")</f>
        <v>agosto</v>
      </c>
      <c r="I4251" t="str">
        <f>TEXT(MONTH(Tabela1[[#This Row],[Último pagto ano]])*29,"mmmm")</f>
        <v>agosto</v>
      </c>
    </row>
    <row r="4252" spans="1:9" x14ac:dyDescent="0.25">
      <c r="A4252">
        <v>2025</v>
      </c>
      <c r="B4252" t="s">
        <v>8466</v>
      </c>
      <c r="C4252" s="1">
        <v>45769</v>
      </c>
      <c r="D4252" t="s">
        <v>8467</v>
      </c>
      <c r="E4252" s="2">
        <v>7166.85</v>
      </c>
      <c r="G4252" s="3">
        <f>MONTH(Tabela1[[#This Row],[Último pagto ano]])</f>
        <v>4</v>
      </c>
      <c r="H4252" t="str">
        <f>TEXT(Tabela1[[#This Row],[Coluna2]]*29,"mmmm")</f>
        <v>abril</v>
      </c>
      <c r="I4252" t="str">
        <f>TEXT(MONTH(Tabela1[[#This Row],[Último pagto ano]])*29,"mmmm")</f>
        <v>abril</v>
      </c>
    </row>
    <row r="4253" spans="1:9" x14ac:dyDescent="0.25">
      <c r="A4253">
        <v>2025</v>
      </c>
      <c r="B4253" t="s">
        <v>8468</v>
      </c>
      <c r="C4253" s="1">
        <v>45898</v>
      </c>
      <c r="D4253" t="s">
        <v>8469</v>
      </c>
      <c r="E4253" s="2">
        <v>6406.8</v>
      </c>
      <c r="G4253" s="3">
        <f>MONTH(Tabela1[[#This Row],[Último pagto ano]])</f>
        <v>8</v>
      </c>
      <c r="H4253" t="str">
        <f>TEXT(Tabela1[[#This Row],[Coluna2]]*29,"mmmm")</f>
        <v>agosto</v>
      </c>
      <c r="I4253" t="str">
        <f>TEXT(MONTH(Tabela1[[#This Row],[Último pagto ano]])*29,"mmmm")</f>
        <v>agosto</v>
      </c>
    </row>
    <row r="4254" spans="1:9" x14ac:dyDescent="0.25">
      <c r="A4254">
        <v>2025</v>
      </c>
      <c r="B4254" t="s">
        <v>8470</v>
      </c>
      <c r="C4254" s="1">
        <v>46014</v>
      </c>
      <c r="D4254" t="s">
        <v>8471</v>
      </c>
      <c r="E4254">
        <v>22</v>
      </c>
      <c r="G4254" s="3">
        <f>MONTH(Tabela1[[#This Row],[Último pagto ano]])</f>
        <v>12</v>
      </c>
      <c r="H4254" t="str">
        <f>TEXT(Tabela1[[#This Row],[Coluna2]]*29,"mmmm")</f>
        <v>dezembro</v>
      </c>
      <c r="I4254" t="str">
        <f>TEXT(MONTH(Tabela1[[#This Row],[Último pagto ano]])*29,"mmmm")</f>
        <v>dezembro</v>
      </c>
    </row>
    <row r="4255" spans="1:9" x14ac:dyDescent="0.25">
      <c r="A4255">
        <v>2025</v>
      </c>
      <c r="B4255" t="s">
        <v>8472</v>
      </c>
      <c r="C4255" s="1">
        <v>45702</v>
      </c>
      <c r="D4255" t="s">
        <v>8473</v>
      </c>
      <c r="E4255">
        <v>33</v>
      </c>
      <c r="G4255" s="3">
        <f>MONTH(Tabela1[[#This Row],[Último pagto ano]])</f>
        <v>2</v>
      </c>
      <c r="H4255" t="str">
        <f>TEXT(Tabela1[[#This Row],[Coluna2]]*29,"mmmm")</f>
        <v>fevereiro</v>
      </c>
      <c r="I4255" t="str">
        <f>TEXT(MONTH(Tabela1[[#This Row],[Último pagto ano]])*29,"mmmm")</f>
        <v>fevereiro</v>
      </c>
    </row>
    <row r="4256" spans="1:9" x14ac:dyDescent="0.25">
      <c r="A4256">
        <v>2025</v>
      </c>
      <c r="B4256" t="s">
        <v>8474</v>
      </c>
      <c r="C4256" s="1">
        <v>46021</v>
      </c>
      <c r="D4256" t="s">
        <v>8475</v>
      </c>
      <c r="E4256">
        <v>599.59</v>
      </c>
      <c r="G4256" s="3">
        <f>MONTH(Tabela1[[#This Row],[Último pagto ano]])</f>
        <v>12</v>
      </c>
      <c r="H4256" t="str">
        <f>TEXT(Tabela1[[#This Row],[Coluna2]]*29,"mmmm")</f>
        <v>dezembro</v>
      </c>
      <c r="I4256" t="str">
        <f>TEXT(MONTH(Tabela1[[#This Row],[Último pagto ano]])*29,"mmmm")</f>
        <v>dezembro</v>
      </c>
    </row>
    <row r="4257" spans="1:9" x14ac:dyDescent="0.25">
      <c r="A4257">
        <v>2025</v>
      </c>
      <c r="B4257" t="s">
        <v>8476</v>
      </c>
      <c r="C4257" s="1">
        <v>45961</v>
      </c>
      <c r="D4257" t="s">
        <v>8477</v>
      </c>
      <c r="E4257">
        <v>485.25</v>
      </c>
      <c r="G4257" s="3">
        <f>MONTH(Tabela1[[#This Row],[Último pagto ano]])</f>
        <v>10</v>
      </c>
      <c r="H4257" t="str">
        <f>TEXT(Tabela1[[#This Row],[Coluna2]]*29,"mmmm")</f>
        <v>outubro</v>
      </c>
      <c r="I4257" t="str">
        <f>TEXT(MONTH(Tabela1[[#This Row],[Último pagto ano]])*29,"mmmm")</f>
        <v>outubro</v>
      </c>
    </row>
    <row r="4258" spans="1:9" x14ac:dyDescent="0.25">
      <c r="A4258">
        <v>2025</v>
      </c>
      <c r="B4258" t="s">
        <v>8478</v>
      </c>
      <c r="C4258" s="1">
        <v>46010</v>
      </c>
      <c r="D4258" t="s">
        <v>8479</v>
      </c>
      <c r="E4258" s="2">
        <v>6300</v>
      </c>
      <c r="G4258" s="3">
        <f>MONTH(Tabela1[[#This Row],[Último pagto ano]])</f>
        <v>12</v>
      </c>
      <c r="H4258" t="str">
        <f>TEXT(Tabela1[[#This Row],[Coluna2]]*29,"mmmm")</f>
        <v>dezembro</v>
      </c>
      <c r="I4258" t="str">
        <f>TEXT(MONTH(Tabela1[[#This Row],[Último pagto ano]])*29,"mmmm")</f>
        <v>dezembro</v>
      </c>
    </row>
    <row r="4259" spans="1:9" x14ac:dyDescent="0.25">
      <c r="A4259">
        <v>2025</v>
      </c>
      <c r="B4259" t="s">
        <v>8480</v>
      </c>
      <c r="C4259" s="1">
        <v>45712</v>
      </c>
      <c r="D4259" t="s">
        <v>8481</v>
      </c>
      <c r="E4259" s="2">
        <v>1400</v>
      </c>
      <c r="G4259" s="3">
        <f>MONTH(Tabela1[[#This Row],[Último pagto ano]])</f>
        <v>2</v>
      </c>
      <c r="H4259" t="str">
        <f>TEXT(Tabela1[[#This Row],[Coluna2]]*29,"mmmm")</f>
        <v>fevereiro</v>
      </c>
      <c r="I4259" t="str">
        <f>TEXT(MONTH(Tabela1[[#This Row],[Último pagto ano]])*29,"mmmm")</f>
        <v>fevereiro</v>
      </c>
    </row>
    <row r="4260" spans="1:9" x14ac:dyDescent="0.25">
      <c r="A4260">
        <v>2025</v>
      </c>
      <c r="B4260" t="s">
        <v>8482</v>
      </c>
      <c r="C4260" s="1">
        <v>45996</v>
      </c>
      <c r="D4260" t="s">
        <v>8483</v>
      </c>
      <c r="E4260" s="2">
        <v>1500</v>
      </c>
      <c r="G4260" s="3">
        <f>MONTH(Tabela1[[#This Row],[Último pagto ano]])</f>
        <v>12</v>
      </c>
      <c r="H4260" t="str">
        <f>TEXT(Tabela1[[#This Row],[Coluna2]]*29,"mmmm")</f>
        <v>dezembro</v>
      </c>
      <c r="I4260" t="str">
        <f>TEXT(MONTH(Tabela1[[#This Row],[Último pagto ano]])*29,"mmmm")</f>
        <v>dezembro</v>
      </c>
    </row>
    <row r="4261" spans="1:9" x14ac:dyDescent="0.25">
      <c r="A4261">
        <v>2025</v>
      </c>
      <c r="B4261" t="s">
        <v>8484</v>
      </c>
      <c r="C4261" s="1">
        <v>45803</v>
      </c>
      <c r="D4261" t="s">
        <v>8485</v>
      </c>
      <c r="E4261">
        <v>625.04</v>
      </c>
      <c r="G4261" s="3">
        <f>MONTH(Tabela1[[#This Row],[Último pagto ano]])</f>
        <v>5</v>
      </c>
      <c r="H4261" t="str">
        <f>TEXT(Tabela1[[#This Row],[Coluna2]]*29,"mmmm")</f>
        <v>maio</v>
      </c>
      <c r="I4261" t="str">
        <f>TEXT(MONTH(Tabela1[[#This Row],[Último pagto ano]])*29,"mmmm")</f>
        <v>maio</v>
      </c>
    </row>
    <row r="4262" spans="1:9" x14ac:dyDescent="0.25">
      <c r="A4262">
        <v>2025</v>
      </c>
      <c r="B4262" t="s">
        <v>8486</v>
      </c>
      <c r="C4262" s="1">
        <v>45810</v>
      </c>
      <c r="D4262" t="s">
        <v>8487</v>
      </c>
      <c r="E4262">
        <v>539</v>
      </c>
      <c r="G4262" s="3">
        <f>MONTH(Tabela1[[#This Row],[Último pagto ano]])</f>
        <v>6</v>
      </c>
      <c r="H4262" t="str">
        <f>TEXT(Tabela1[[#This Row],[Coluna2]]*29,"mmmm")</f>
        <v>junho</v>
      </c>
      <c r="I4262" t="str">
        <f>TEXT(MONTH(Tabela1[[#This Row],[Último pagto ano]])*29,"mmmm")</f>
        <v>junho</v>
      </c>
    </row>
    <row r="4263" spans="1:9" x14ac:dyDescent="0.25">
      <c r="A4263">
        <v>2025</v>
      </c>
      <c r="B4263" t="s">
        <v>8488</v>
      </c>
      <c r="C4263" s="1">
        <v>45762</v>
      </c>
      <c r="D4263" t="s">
        <v>8489</v>
      </c>
      <c r="E4263">
        <v>592.32000000000005</v>
      </c>
      <c r="G4263" s="3">
        <f>MONTH(Tabela1[[#This Row],[Último pagto ano]])</f>
        <v>4</v>
      </c>
      <c r="H4263" t="str">
        <f>TEXT(Tabela1[[#This Row],[Coluna2]]*29,"mmmm")</f>
        <v>abril</v>
      </c>
      <c r="I4263" t="str">
        <f>TEXT(MONTH(Tabela1[[#This Row],[Último pagto ano]])*29,"mmmm")</f>
        <v>abril</v>
      </c>
    </row>
    <row r="4264" spans="1:9" x14ac:dyDescent="0.25">
      <c r="A4264">
        <v>2025</v>
      </c>
      <c r="B4264" t="s">
        <v>8490</v>
      </c>
      <c r="C4264" s="1">
        <v>46006</v>
      </c>
      <c r="D4264" t="s">
        <v>8491</v>
      </c>
      <c r="E4264" s="2">
        <v>10029.6</v>
      </c>
      <c r="G4264" s="3">
        <f>MONTH(Tabela1[[#This Row],[Último pagto ano]])</f>
        <v>12</v>
      </c>
      <c r="H4264" t="str">
        <f>TEXT(Tabela1[[#This Row],[Coluna2]]*29,"mmmm")</f>
        <v>dezembro</v>
      </c>
      <c r="I4264" t="str">
        <f>TEXT(MONTH(Tabela1[[#This Row],[Último pagto ano]])*29,"mmmm")</f>
        <v>dezembro</v>
      </c>
    </row>
    <row r="4265" spans="1:9" x14ac:dyDescent="0.25">
      <c r="A4265">
        <v>2025</v>
      </c>
      <c r="B4265" t="s">
        <v>8492</v>
      </c>
      <c r="C4265" s="1">
        <v>45863</v>
      </c>
      <c r="D4265" t="s">
        <v>8493</v>
      </c>
      <c r="E4265" s="2">
        <v>2100</v>
      </c>
      <c r="G4265" s="3">
        <f>MONTH(Tabela1[[#This Row],[Último pagto ano]])</f>
        <v>7</v>
      </c>
      <c r="H4265" t="str">
        <f>TEXT(Tabela1[[#This Row],[Coluna2]]*29,"mmmm")</f>
        <v>julho</v>
      </c>
      <c r="I4265" t="str">
        <f>TEXT(MONTH(Tabela1[[#This Row],[Último pagto ano]])*29,"mmmm")</f>
        <v>julho</v>
      </c>
    </row>
    <row r="4266" spans="1:9" x14ac:dyDescent="0.25">
      <c r="A4266">
        <v>2025</v>
      </c>
      <c r="B4266" t="s">
        <v>8494</v>
      </c>
      <c r="C4266" s="1">
        <v>46010</v>
      </c>
      <c r="D4266" t="s">
        <v>8495</v>
      </c>
      <c r="E4266" s="2">
        <v>24000</v>
      </c>
      <c r="G4266" s="3">
        <f>MONTH(Tabela1[[#This Row],[Último pagto ano]])</f>
        <v>12</v>
      </c>
      <c r="H4266" t="str">
        <f>TEXT(Tabela1[[#This Row],[Coluna2]]*29,"mmmm")</f>
        <v>dezembro</v>
      </c>
      <c r="I4266" t="str">
        <f>TEXT(MONTH(Tabela1[[#This Row],[Último pagto ano]])*29,"mmmm")</f>
        <v>dezembro</v>
      </c>
    </row>
    <row r="4267" spans="1:9" x14ac:dyDescent="0.25">
      <c r="A4267">
        <v>2025</v>
      </c>
      <c r="B4267" t="s">
        <v>8496</v>
      </c>
      <c r="C4267" s="1">
        <v>45996</v>
      </c>
      <c r="D4267" t="s">
        <v>8497</v>
      </c>
      <c r="E4267" s="2">
        <v>4000</v>
      </c>
      <c r="G4267" s="3">
        <f>MONTH(Tabela1[[#This Row],[Último pagto ano]])</f>
        <v>12</v>
      </c>
      <c r="H4267" t="str">
        <f>TEXT(Tabela1[[#This Row],[Coluna2]]*29,"mmmm")</f>
        <v>dezembro</v>
      </c>
      <c r="I4267" t="str">
        <f>TEXT(MONTH(Tabela1[[#This Row],[Último pagto ano]])*29,"mmmm")</f>
        <v>dezembro</v>
      </c>
    </row>
    <row r="4268" spans="1:9" x14ac:dyDescent="0.25">
      <c r="A4268">
        <v>2025</v>
      </c>
      <c r="B4268" t="s">
        <v>8498</v>
      </c>
      <c r="C4268" s="1">
        <v>46006</v>
      </c>
      <c r="D4268" t="s">
        <v>8499</v>
      </c>
      <c r="E4268" s="2">
        <v>2369.2800000000002</v>
      </c>
      <c r="G4268" s="3">
        <f>MONTH(Tabela1[[#This Row],[Último pagto ano]])</f>
        <v>12</v>
      </c>
      <c r="H4268" t="str">
        <f>TEXT(Tabela1[[#This Row],[Coluna2]]*29,"mmmm")</f>
        <v>dezembro</v>
      </c>
      <c r="I4268" t="str">
        <f>TEXT(MONTH(Tabela1[[#This Row],[Último pagto ano]])*29,"mmmm")</f>
        <v>dezembro</v>
      </c>
    </row>
    <row r="4269" spans="1:9" x14ac:dyDescent="0.25">
      <c r="A4269">
        <v>2025</v>
      </c>
      <c r="B4269" t="s">
        <v>8500</v>
      </c>
      <c r="C4269" s="1">
        <v>45709</v>
      </c>
      <c r="D4269" t="s">
        <v>8501</v>
      </c>
      <c r="E4269">
        <v>90.41</v>
      </c>
      <c r="G4269" s="3">
        <f>MONTH(Tabela1[[#This Row],[Último pagto ano]])</f>
        <v>2</v>
      </c>
      <c r="H4269" t="str">
        <f>TEXT(Tabela1[[#This Row],[Coluna2]]*29,"mmmm")</f>
        <v>fevereiro</v>
      </c>
      <c r="I4269" t="str">
        <f>TEXT(MONTH(Tabela1[[#This Row],[Último pagto ano]])*29,"mmmm")</f>
        <v>fevereiro</v>
      </c>
    </row>
    <row r="4270" spans="1:9" x14ac:dyDescent="0.25">
      <c r="A4270">
        <v>2025</v>
      </c>
      <c r="B4270" t="s">
        <v>8502</v>
      </c>
      <c r="C4270" s="1">
        <v>46006</v>
      </c>
      <c r="D4270" t="s">
        <v>8503</v>
      </c>
      <c r="E4270" s="2">
        <v>1763.68</v>
      </c>
      <c r="G4270" s="3">
        <f>MONTH(Tabela1[[#This Row],[Último pagto ano]])</f>
        <v>12</v>
      </c>
      <c r="H4270" t="str">
        <f>TEXT(Tabela1[[#This Row],[Coluna2]]*29,"mmmm")</f>
        <v>dezembro</v>
      </c>
      <c r="I4270" t="str">
        <f>TEXT(MONTH(Tabela1[[#This Row],[Último pagto ano]])*29,"mmmm")</f>
        <v>dezembro</v>
      </c>
    </row>
    <row r="4271" spans="1:9" x14ac:dyDescent="0.25">
      <c r="A4271">
        <v>2025</v>
      </c>
      <c r="B4271" t="s">
        <v>8504</v>
      </c>
      <c r="C4271" s="1">
        <v>46010</v>
      </c>
      <c r="D4271" t="s">
        <v>8505</v>
      </c>
      <c r="E4271" s="2">
        <v>12000</v>
      </c>
      <c r="G4271" s="3">
        <f>MONTH(Tabela1[[#This Row],[Último pagto ano]])</f>
        <v>12</v>
      </c>
      <c r="H4271" t="str">
        <f>TEXT(Tabela1[[#This Row],[Coluna2]]*29,"mmmm")</f>
        <v>dezembro</v>
      </c>
      <c r="I4271" t="str">
        <f>TEXT(MONTH(Tabela1[[#This Row],[Último pagto ano]])*29,"mmmm")</f>
        <v>dezembro</v>
      </c>
    </row>
    <row r="4272" spans="1:9" x14ac:dyDescent="0.25">
      <c r="A4272">
        <v>2025</v>
      </c>
      <c r="B4272" t="s">
        <v>8506</v>
      </c>
      <c r="C4272" s="1">
        <v>45853</v>
      </c>
      <c r="D4272" t="s">
        <v>8507</v>
      </c>
      <c r="E4272">
        <v>592.32000000000005</v>
      </c>
      <c r="G4272" s="3">
        <f>MONTH(Tabela1[[#This Row],[Último pagto ano]])</f>
        <v>7</v>
      </c>
      <c r="H4272" t="str">
        <f>TEXT(Tabela1[[#This Row],[Coluna2]]*29,"mmmm")</f>
        <v>julho</v>
      </c>
      <c r="I4272" t="str">
        <f>TEXT(MONTH(Tabela1[[#This Row],[Último pagto ano]])*29,"mmmm")</f>
        <v>julho</v>
      </c>
    </row>
    <row r="4273" spans="1:9" x14ac:dyDescent="0.25">
      <c r="A4273">
        <v>2025</v>
      </c>
      <c r="B4273" t="s">
        <v>8508</v>
      </c>
      <c r="C4273" s="1">
        <v>45771</v>
      </c>
      <c r="D4273" t="s">
        <v>8509</v>
      </c>
      <c r="E4273" s="2">
        <v>2800</v>
      </c>
      <c r="G4273" s="3">
        <f>MONTH(Tabela1[[#This Row],[Último pagto ano]])</f>
        <v>4</v>
      </c>
      <c r="H4273" t="str">
        <f>TEXT(Tabela1[[#This Row],[Coluna2]]*29,"mmmm")</f>
        <v>abril</v>
      </c>
      <c r="I4273" t="str">
        <f>TEXT(MONTH(Tabela1[[#This Row],[Último pagto ano]])*29,"mmmm")</f>
        <v>abril</v>
      </c>
    </row>
    <row r="4274" spans="1:9" x14ac:dyDescent="0.25">
      <c r="A4274">
        <v>2025</v>
      </c>
      <c r="B4274" t="s">
        <v>8510</v>
      </c>
      <c r="C4274" s="1">
        <v>45996</v>
      </c>
      <c r="D4274" t="s">
        <v>8511</v>
      </c>
      <c r="E4274" s="2">
        <v>13300</v>
      </c>
      <c r="G4274" s="3">
        <f>MONTH(Tabela1[[#This Row],[Último pagto ano]])</f>
        <v>12</v>
      </c>
      <c r="H4274" t="str">
        <f>TEXT(Tabela1[[#This Row],[Coluna2]]*29,"mmmm")</f>
        <v>dezembro</v>
      </c>
      <c r="I4274" t="str">
        <f>TEXT(MONTH(Tabela1[[#This Row],[Último pagto ano]])*29,"mmmm")</f>
        <v>dezembro</v>
      </c>
    </row>
    <row r="4275" spans="1:9" x14ac:dyDescent="0.25">
      <c r="A4275">
        <v>2025</v>
      </c>
      <c r="B4275" t="s">
        <v>8512</v>
      </c>
      <c r="C4275" s="1">
        <v>45989</v>
      </c>
      <c r="D4275" t="s">
        <v>8513</v>
      </c>
      <c r="E4275" s="2">
        <v>9743.6200000000008</v>
      </c>
      <c r="G4275" s="3">
        <f>MONTH(Tabela1[[#This Row],[Último pagto ano]])</f>
        <v>11</v>
      </c>
      <c r="H4275" t="str">
        <f>TEXT(Tabela1[[#This Row],[Coluna2]]*29,"mmmm")</f>
        <v>novembro</v>
      </c>
      <c r="I4275" t="str">
        <f>TEXT(MONTH(Tabela1[[#This Row],[Último pagto ano]])*29,"mmmm")</f>
        <v>novembro</v>
      </c>
    </row>
    <row r="4276" spans="1:9" x14ac:dyDescent="0.25">
      <c r="A4276">
        <v>2025</v>
      </c>
      <c r="B4276" t="s">
        <v>8514</v>
      </c>
      <c r="C4276" s="1">
        <v>46003</v>
      </c>
      <c r="D4276" t="s">
        <v>8515</v>
      </c>
      <c r="E4276" s="2">
        <v>63486.85</v>
      </c>
      <c r="G4276" s="3">
        <f>MONTH(Tabela1[[#This Row],[Último pagto ano]])</f>
        <v>12</v>
      </c>
      <c r="H4276" t="str">
        <f>TEXT(Tabela1[[#This Row],[Coluna2]]*29,"mmmm")</f>
        <v>dezembro</v>
      </c>
      <c r="I4276" t="str">
        <f>TEXT(MONTH(Tabela1[[#This Row],[Último pagto ano]])*29,"mmmm")</f>
        <v>dezembro</v>
      </c>
    </row>
    <row r="4277" spans="1:9" x14ac:dyDescent="0.25">
      <c r="A4277">
        <v>2025</v>
      </c>
      <c r="B4277" t="s">
        <v>8516</v>
      </c>
      <c r="C4277" s="1">
        <v>45996</v>
      </c>
      <c r="D4277" t="s">
        <v>8517</v>
      </c>
      <c r="E4277" s="2">
        <v>37800</v>
      </c>
      <c r="G4277" s="3">
        <f>MONTH(Tabela1[[#This Row],[Último pagto ano]])</f>
        <v>12</v>
      </c>
      <c r="H4277" t="str">
        <f>TEXT(Tabela1[[#This Row],[Coluna2]]*29,"mmmm")</f>
        <v>dezembro</v>
      </c>
      <c r="I4277" t="str">
        <f>TEXT(MONTH(Tabela1[[#This Row],[Último pagto ano]])*29,"mmmm")</f>
        <v>dezembro</v>
      </c>
    </row>
    <row r="4278" spans="1:9" x14ac:dyDescent="0.25">
      <c r="A4278">
        <v>2025</v>
      </c>
      <c r="B4278" t="s">
        <v>8518</v>
      </c>
      <c r="C4278" s="1">
        <v>45880</v>
      </c>
      <c r="D4278" t="s">
        <v>8519</v>
      </c>
      <c r="E4278" s="2">
        <v>3000</v>
      </c>
      <c r="G4278" s="3">
        <f>MONTH(Tabela1[[#This Row],[Último pagto ano]])</f>
        <v>8</v>
      </c>
      <c r="H4278" t="str">
        <f>TEXT(Tabela1[[#This Row],[Coluna2]]*29,"mmmm")</f>
        <v>agosto</v>
      </c>
      <c r="I4278" t="str">
        <f>TEXT(MONTH(Tabela1[[#This Row],[Último pagto ano]])*29,"mmmm")</f>
        <v>agosto</v>
      </c>
    </row>
    <row r="4279" spans="1:9" x14ac:dyDescent="0.25">
      <c r="A4279">
        <v>2025</v>
      </c>
      <c r="B4279" t="s">
        <v>8520</v>
      </c>
      <c r="C4279" s="1">
        <v>45803</v>
      </c>
      <c r="D4279" t="s">
        <v>8521</v>
      </c>
      <c r="E4279" s="2">
        <v>3500</v>
      </c>
      <c r="G4279" s="3">
        <f>MONTH(Tabela1[[#This Row],[Último pagto ano]])</f>
        <v>5</v>
      </c>
      <c r="H4279" t="str">
        <f>TEXT(Tabela1[[#This Row],[Coluna2]]*29,"mmmm")</f>
        <v>maio</v>
      </c>
      <c r="I4279" t="str">
        <f>TEXT(MONTH(Tabela1[[#This Row],[Último pagto ano]])*29,"mmmm")</f>
        <v>maio</v>
      </c>
    </row>
    <row r="4280" spans="1:9" x14ac:dyDescent="0.25">
      <c r="A4280">
        <v>2025</v>
      </c>
      <c r="B4280" t="s">
        <v>8522</v>
      </c>
      <c r="C4280" s="1">
        <v>46006</v>
      </c>
      <c r="D4280" t="s">
        <v>8523</v>
      </c>
      <c r="E4280" s="2">
        <v>9154.4</v>
      </c>
      <c r="G4280" s="3">
        <f>MONTH(Tabela1[[#This Row],[Último pagto ano]])</f>
        <v>12</v>
      </c>
      <c r="H4280" t="str">
        <f>TEXT(Tabela1[[#This Row],[Coluna2]]*29,"mmmm")</f>
        <v>dezembro</v>
      </c>
      <c r="I4280" t="str">
        <f>TEXT(MONTH(Tabela1[[#This Row],[Último pagto ano]])*29,"mmmm")</f>
        <v>dezembro</v>
      </c>
    </row>
    <row r="4281" spans="1:9" x14ac:dyDescent="0.25">
      <c r="A4281">
        <v>2025</v>
      </c>
      <c r="B4281" t="s">
        <v>8524</v>
      </c>
      <c r="C4281" s="1">
        <v>46006</v>
      </c>
      <c r="D4281" t="s">
        <v>8525</v>
      </c>
      <c r="E4281" s="2">
        <v>5923.2</v>
      </c>
      <c r="G4281" s="3">
        <f>MONTH(Tabela1[[#This Row],[Último pagto ano]])</f>
        <v>12</v>
      </c>
      <c r="H4281" t="str">
        <f>TEXT(Tabela1[[#This Row],[Coluna2]]*29,"mmmm")</f>
        <v>dezembro</v>
      </c>
      <c r="I4281" t="str">
        <f>TEXT(MONTH(Tabela1[[#This Row],[Último pagto ano]])*29,"mmmm")</f>
        <v>dezembro</v>
      </c>
    </row>
    <row r="4282" spans="1:9" x14ac:dyDescent="0.25">
      <c r="A4282">
        <v>2025</v>
      </c>
      <c r="B4282" t="s">
        <v>8526</v>
      </c>
      <c r="C4282" s="1">
        <v>45975</v>
      </c>
      <c r="D4282" t="s">
        <v>8527</v>
      </c>
      <c r="E4282" s="2">
        <v>3553.92</v>
      </c>
      <c r="G4282" s="3">
        <f>MONTH(Tabela1[[#This Row],[Último pagto ano]])</f>
        <v>11</v>
      </c>
      <c r="H4282" t="str">
        <f>TEXT(Tabela1[[#This Row],[Coluna2]]*29,"mmmm")</f>
        <v>novembro</v>
      </c>
      <c r="I4282" t="str">
        <f>TEXT(MONTH(Tabela1[[#This Row],[Último pagto ano]])*29,"mmmm")</f>
        <v>novembro</v>
      </c>
    </row>
    <row r="4283" spans="1:9" x14ac:dyDescent="0.25">
      <c r="A4283">
        <v>2025</v>
      </c>
      <c r="B4283" t="s">
        <v>8528</v>
      </c>
      <c r="C4283" s="1">
        <v>45996</v>
      </c>
      <c r="D4283" t="s">
        <v>8529</v>
      </c>
      <c r="E4283" s="2">
        <v>21510</v>
      </c>
      <c r="G4283" s="3">
        <f>MONTH(Tabela1[[#This Row],[Último pagto ano]])</f>
        <v>12</v>
      </c>
      <c r="H4283" t="str">
        <f>TEXT(Tabela1[[#This Row],[Coluna2]]*29,"mmmm")</f>
        <v>dezembro</v>
      </c>
      <c r="I4283" t="str">
        <f>TEXT(MONTH(Tabela1[[#This Row],[Último pagto ano]])*29,"mmmm")</f>
        <v>dezembro</v>
      </c>
    </row>
    <row r="4284" spans="1:9" x14ac:dyDescent="0.25">
      <c r="A4284">
        <v>2025</v>
      </c>
      <c r="B4284" t="s">
        <v>8530</v>
      </c>
      <c r="C4284" s="1">
        <v>45959</v>
      </c>
      <c r="D4284" t="s">
        <v>8531</v>
      </c>
      <c r="E4284">
        <v>117</v>
      </c>
      <c r="G4284" s="3">
        <f>MONTH(Tabela1[[#This Row],[Último pagto ano]])</f>
        <v>10</v>
      </c>
      <c r="H4284" t="str">
        <f>TEXT(Tabela1[[#This Row],[Coluna2]]*29,"mmmm")</f>
        <v>outubro</v>
      </c>
      <c r="I4284" t="str">
        <f>TEXT(MONTH(Tabela1[[#This Row],[Último pagto ano]])*29,"mmmm")</f>
        <v>outubro</v>
      </c>
    </row>
    <row r="4285" spans="1:9" x14ac:dyDescent="0.25">
      <c r="A4285">
        <v>2025</v>
      </c>
      <c r="B4285" t="s">
        <v>8532</v>
      </c>
      <c r="C4285" s="1">
        <v>45775</v>
      </c>
      <c r="D4285" t="s">
        <v>8533</v>
      </c>
      <c r="E4285" s="2">
        <v>6423.3</v>
      </c>
      <c r="G4285" s="3">
        <f>MONTH(Tabela1[[#This Row],[Último pagto ano]])</f>
        <v>4</v>
      </c>
      <c r="H4285" t="str">
        <f>TEXT(Tabela1[[#This Row],[Coluna2]]*29,"mmmm")</f>
        <v>abril</v>
      </c>
      <c r="I4285" t="str">
        <f>TEXT(MONTH(Tabela1[[#This Row],[Último pagto ano]])*29,"mmmm")</f>
        <v>abril</v>
      </c>
    </row>
    <row r="4286" spans="1:9" x14ac:dyDescent="0.25">
      <c r="A4286">
        <v>2025</v>
      </c>
      <c r="B4286" t="s">
        <v>8534</v>
      </c>
      <c r="C4286" s="1">
        <v>46010</v>
      </c>
      <c r="D4286" t="s">
        <v>8535</v>
      </c>
      <c r="E4286" s="2">
        <v>13200</v>
      </c>
      <c r="G4286" s="3">
        <f>MONTH(Tabela1[[#This Row],[Último pagto ano]])</f>
        <v>12</v>
      </c>
      <c r="H4286" t="str">
        <f>TEXT(Tabela1[[#This Row],[Coluna2]]*29,"mmmm")</f>
        <v>dezembro</v>
      </c>
      <c r="I4286" t="str">
        <f>TEXT(MONTH(Tabela1[[#This Row],[Último pagto ano]])*29,"mmmm")</f>
        <v>dezembro</v>
      </c>
    </row>
    <row r="4287" spans="1:9" x14ac:dyDescent="0.25">
      <c r="A4287">
        <v>2025</v>
      </c>
      <c r="B4287" t="s">
        <v>8536</v>
      </c>
      <c r="C4287" s="1">
        <v>46010</v>
      </c>
      <c r="D4287" t="s">
        <v>8537</v>
      </c>
      <c r="E4287" s="2">
        <v>4200</v>
      </c>
      <c r="G4287" s="3">
        <f>MONTH(Tabela1[[#This Row],[Último pagto ano]])</f>
        <v>12</v>
      </c>
      <c r="H4287" t="str">
        <f>TEXT(Tabela1[[#This Row],[Coluna2]]*29,"mmmm")</f>
        <v>dezembro</v>
      </c>
      <c r="I4287" t="str">
        <f>TEXT(MONTH(Tabela1[[#This Row],[Último pagto ano]])*29,"mmmm")</f>
        <v>dezembro</v>
      </c>
    </row>
    <row r="4288" spans="1:9" x14ac:dyDescent="0.25">
      <c r="A4288">
        <v>2025</v>
      </c>
      <c r="B4288" t="s">
        <v>8538</v>
      </c>
      <c r="C4288" s="1">
        <v>45996</v>
      </c>
      <c r="D4288" t="s">
        <v>8539</v>
      </c>
      <c r="E4288" s="2">
        <v>13230</v>
      </c>
      <c r="G4288" s="3">
        <f>MONTH(Tabela1[[#This Row],[Último pagto ano]])</f>
        <v>12</v>
      </c>
      <c r="H4288" t="str">
        <f>TEXT(Tabela1[[#This Row],[Coluna2]]*29,"mmmm")</f>
        <v>dezembro</v>
      </c>
      <c r="I4288" t="str">
        <f>TEXT(MONTH(Tabela1[[#This Row],[Último pagto ano]])*29,"mmmm")</f>
        <v>dezembro</v>
      </c>
    </row>
    <row r="4289" spans="1:9" x14ac:dyDescent="0.25">
      <c r="A4289">
        <v>2025</v>
      </c>
      <c r="B4289" t="s">
        <v>8540</v>
      </c>
      <c r="C4289" s="1">
        <v>45989</v>
      </c>
      <c r="D4289" t="s">
        <v>8541</v>
      </c>
      <c r="E4289" s="2">
        <v>10535.24</v>
      </c>
      <c r="G4289" s="3">
        <f>MONTH(Tabela1[[#This Row],[Último pagto ano]])</f>
        <v>11</v>
      </c>
      <c r="H4289" t="str">
        <f>TEXT(Tabela1[[#This Row],[Coluna2]]*29,"mmmm")</f>
        <v>novembro</v>
      </c>
      <c r="I4289" t="str">
        <f>TEXT(MONTH(Tabela1[[#This Row],[Último pagto ano]])*29,"mmmm")</f>
        <v>novembro</v>
      </c>
    </row>
    <row r="4290" spans="1:9" x14ac:dyDescent="0.25">
      <c r="A4290">
        <v>2025</v>
      </c>
      <c r="B4290" t="s">
        <v>8542</v>
      </c>
      <c r="C4290" s="1">
        <v>46010</v>
      </c>
      <c r="D4290" t="s">
        <v>8543</v>
      </c>
      <c r="E4290" s="2">
        <v>12000</v>
      </c>
      <c r="G4290" s="3">
        <f>MONTH(Tabela1[[#This Row],[Último pagto ano]])</f>
        <v>12</v>
      </c>
      <c r="H4290" t="str">
        <f>TEXT(Tabela1[[#This Row],[Coluna2]]*29,"mmmm")</f>
        <v>dezembro</v>
      </c>
      <c r="I4290" t="str">
        <f>TEXT(MONTH(Tabela1[[#This Row],[Último pagto ano]])*29,"mmmm")</f>
        <v>dezembro</v>
      </c>
    </row>
    <row r="4291" spans="1:9" x14ac:dyDescent="0.25">
      <c r="A4291">
        <v>2025</v>
      </c>
      <c r="B4291" t="s">
        <v>8544</v>
      </c>
      <c r="C4291" s="1">
        <v>46014</v>
      </c>
      <c r="D4291" t="s">
        <v>8545</v>
      </c>
      <c r="E4291">
        <v>44</v>
      </c>
      <c r="G4291" s="3">
        <f>MONTH(Tabela1[[#This Row],[Último pagto ano]])</f>
        <v>12</v>
      </c>
      <c r="H4291" t="str">
        <f>TEXT(Tabela1[[#This Row],[Coluna2]]*29,"mmmm")</f>
        <v>dezembro</v>
      </c>
      <c r="I4291" t="str">
        <f>TEXT(MONTH(Tabela1[[#This Row],[Último pagto ano]])*29,"mmmm")</f>
        <v>dezembro</v>
      </c>
    </row>
    <row r="4292" spans="1:9" x14ac:dyDescent="0.25">
      <c r="A4292">
        <v>2025</v>
      </c>
      <c r="B4292" t="s">
        <v>8546</v>
      </c>
      <c r="C4292" s="1">
        <v>45947</v>
      </c>
      <c r="D4292" t="s">
        <v>8547</v>
      </c>
      <c r="E4292" s="2">
        <v>1023.8</v>
      </c>
      <c r="G4292" s="3">
        <f>MONTH(Tabela1[[#This Row],[Último pagto ano]])</f>
        <v>10</v>
      </c>
      <c r="H4292" t="str">
        <f>TEXT(Tabela1[[#This Row],[Coluna2]]*29,"mmmm")</f>
        <v>outubro</v>
      </c>
      <c r="I4292" t="str">
        <f>TEXT(MONTH(Tabela1[[#This Row],[Último pagto ano]])*29,"mmmm")</f>
        <v>outubro</v>
      </c>
    </row>
    <row r="4293" spans="1:9" x14ac:dyDescent="0.25">
      <c r="A4293">
        <v>2025</v>
      </c>
      <c r="B4293" t="s">
        <v>8548</v>
      </c>
      <c r="C4293" s="1">
        <v>45996</v>
      </c>
      <c r="D4293" t="s">
        <v>8549</v>
      </c>
      <c r="E4293" s="2">
        <v>21324</v>
      </c>
      <c r="G4293" s="3">
        <f>MONTH(Tabela1[[#This Row],[Último pagto ano]])</f>
        <v>12</v>
      </c>
      <c r="H4293" t="str">
        <f>TEXT(Tabela1[[#This Row],[Coluna2]]*29,"mmmm")</f>
        <v>dezembro</v>
      </c>
      <c r="I4293" t="str">
        <f>TEXT(MONTH(Tabela1[[#This Row],[Último pagto ano]])*29,"mmmm")</f>
        <v>dezembro</v>
      </c>
    </row>
    <row r="4294" spans="1:9" x14ac:dyDescent="0.25">
      <c r="A4294">
        <v>2025</v>
      </c>
      <c r="B4294" t="s">
        <v>8550</v>
      </c>
      <c r="C4294" s="1">
        <v>46014</v>
      </c>
      <c r="D4294" t="s">
        <v>8551</v>
      </c>
      <c r="E4294" s="2">
        <v>9931.2000000000007</v>
      </c>
      <c r="G4294" s="3">
        <f>MONTH(Tabela1[[#This Row],[Último pagto ano]])</f>
        <v>12</v>
      </c>
      <c r="H4294" t="str">
        <f>TEXT(Tabela1[[#This Row],[Coluna2]]*29,"mmmm")</f>
        <v>dezembro</v>
      </c>
      <c r="I4294" t="str">
        <f>TEXT(MONTH(Tabela1[[#This Row],[Último pagto ano]])*29,"mmmm")</f>
        <v>dezembro</v>
      </c>
    </row>
    <row r="4295" spans="1:9" x14ac:dyDescent="0.25">
      <c r="A4295">
        <v>2025</v>
      </c>
      <c r="B4295" t="s">
        <v>8552</v>
      </c>
      <c r="C4295" s="1">
        <v>46014</v>
      </c>
      <c r="D4295" t="s">
        <v>8553</v>
      </c>
      <c r="E4295" s="2">
        <v>11040</v>
      </c>
      <c r="G4295" s="3">
        <f>MONTH(Tabela1[[#This Row],[Último pagto ano]])</f>
        <v>12</v>
      </c>
      <c r="H4295" t="str">
        <f>TEXT(Tabela1[[#This Row],[Coluna2]]*29,"mmmm")</f>
        <v>dezembro</v>
      </c>
      <c r="I4295" t="str">
        <f>TEXT(MONTH(Tabela1[[#This Row],[Último pagto ano]])*29,"mmmm")</f>
        <v>dezembro</v>
      </c>
    </row>
    <row r="4296" spans="1:9" x14ac:dyDescent="0.25">
      <c r="A4296">
        <v>2025</v>
      </c>
      <c r="B4296" t="s">
        <v>8554</v>
      </c>
      <c r="C4296" s="1">
        <v>45978</v>
      </c>
      <c r="D4296" t="s">
        <v>8555</v>
      </c>
      <c r="E4296">
        <v>80.400000000000006</v>
      </c>
      <c r="G4296" s="3">
        <f>MONTH(Tabela1[[#This Row],[Último pagto ano]])</f>
        <v>11</v>
      </c>
      <c r="H4296" t="str">
        <f>TEXT(Tabela1[[#This Row],[Coluna2]]*29,"mmmm")</f>
        <v>novembro</v>
      </c>
      <c r="I4296" t="str">
        <f>TEXT(MONTH(Tabela1[[#This Row],[Último pagto ano]])*29,"mmmm")</f>
        <v>novembro</v>
      </c>
    </row>
    <row r="4297" spans="1:9" x14ac:dyDescent="0.25">
      <c r="A4297">
        <v>2025</v>
      </c>
      <c r="B4297" t="s">
        <v>8556</v>
      </c>
      <c r="C4297" s="1">
        <v>46003</v>
      </c>
      <c r="D4297" t="s">
        <v>8557</v>
      </c>
      <c r="E4297" s="2">
        <v>2808</v>
      </c>
      <c r="G4297" s="3">
        <f>MONTH(Tabela1[[#This Row],[Último pagto ano]])</f>
        <v>12</v>
      </c>
      <c r="H4297" t="str">
        <f>TEXT(Tabela1[[#This Row],[Coluna2]]*29,"mmmm")</f>
        <v>dezembro</v>
      </c>
      <c r="I4297" t="str">
        <f>TEXT(MONTH(Tabela1[[#This Row],[Último pagto ano]])*29,"mmmm")</f>
        <v>dezembro</v>
      </c>
    </row>
    <row r="4298" spans="1:9" x14ac:dyDescent="0.25">
      <c r="A4298">
        <v>2025</v>
      </c>
      <c r="B4298" t="s">
        <v>8558</v>
      </c>
      <c r="C4298" s="1">
        <v>45670</v>
      </c>
      <c r="D4298" t="s">
        <v>8559</v>
      </c>
      <c r="E4298">
        <v>180.12</v>
      </c>
      <c r="G4298" s="3">
        <f>MONTH(Tabela1[[#This Row],[Último pagto ano]])</f>
        <v>1</v>
      </c>
      <c r="H4298" t="str">
        <f>TEXT(Tabela1[[#This Row],[Coluna2]]*29,"mmmm")</f>
        <v>janeiro</v>
      </c>
      <c r="I4298" t="str">
        <f>TEXT(MONTH(Tabela1[[#This Row],[Último pagto ano]])*29,"mmmm")</f>
        <v>janeiro</v>
      </c>
    </row>
    <row r="4299" spans="1:9" x14ac:dyDescent="0.25">
      <c r="A4299">
        <v>2025</v>
      </c>
      <c r="B4299" t="s">
        <v>8560</v>
      </c>
      <c r="C4299" s="1">
        <v>46010</v>
      </c>
      <c r="D4299" t="s">
        <v>8561</v>
      </c>
      <c r="E4299" s="2">
        <v>7000</v>
      </c>
      <c r="G4299" s="3">
        <f>MONTH(Tabela1[[#This Row],[Último pagto ano]])</f>
        <v>12</v>
      </c>
      <c r="H4299" t="str">
        <f>TEXT(Tabela1[[#This Row],[Coluna2]]*29,"mmmm")</f>
        <v>dezembro</v>
      </c>
      <c r="I4299" t="str">
        <f>TEXT(MONTH(Tabela1[[#This Row],[Último pagto ano]])*29,"mmmm")</f>
        <v>dezembro</v>
      </c>
    </row>
    <row r="4300" spans="1:9" x14ac:dyDescent="0.25">
      <c r="A4300">
        <v>2025</v>
      </c>
      <c r="B4300" t="s">
        <v>8562</v>
      </c>
      <c r="C4300" s="1">
        <v>46010</v>
      </c>
      <c r="D4300" t="s">
        <v>8563</v>
      </c>
      <c r="E4300" s="2">
        <v>8400</v>
      </c>
      <c r="G4300" s="3">
        <f>MONTH(Tabela1[[#This Row],[Último pagto ano]])</f>
        <v>12</v>
      </c>
      <c r="H4300" t="str">
        <f>TEXT(Tabela1[[#This Row],[Coluna2]]*29,"mmmm")</f>
        <v>dezembro</v>
      </c>
      <c r="I4300" t="str">
        <f>TEXT(MONTH(Tabela1[[#This Row],[Último pagto ano]])*29,"mmmm")</f>
        <v>dezembro</v>
      </c>
    </row>
    <row r="4301" spans="1:9" x14ac:dyDescent="0.25">
      <c r="A4301">
        <v>2025</v>
      </c>
      <c r="B4301" t="s">
        <v>8564</v>
      </c>
      <c r="C4301" s="1">
        <v>46006</v>
      </c>
      <c r="D4301" t="s">
        <v>8565</v>
      </c>
      <c r="E4301">
        <v>162</v>
      </c>
      <c r="G4301" s="3">
        <f>MONTH(Tabela1[[#This Row],[Último pagto ano]])</f>
        <v>12</v>
      </c>
      <c r="H4301" t="str">
        <f>TEXT(Tabela1[[#This Row],[Coluna2]]*29,"mmmm")</f>
        <v>dezembro</v>
      </c>
      <c r="I4301" t="str">
        <f>TEXT(MONTH(Tabela1[[#This Row],[Último pagto ano]])*29,"mmmm")</f>
        <v>dezembro</v>
      </c>
    </row>
    <row r="4302" spans="1:9" x14ac:dyDescent="0.25">
      <c r="A4302">
        <v>2025</v>
      </c>
      <c r="B4302" t="s">
        <v>8566</v>
      </c>
      <c r="C4302" s="1">
        <v>45817</v>
      </c>
      <c r="D4302" t="s">
        <v>8567</v>
      </c>
      <c r="E4302">
        <v>167.52</v>
      </c>
      <c r="G4302" s="3">
        <f>MONTH(Tabela1[[#This Row],[Último pagto ano]])</f>
        <v>6</v>
      </c>
      <c r="H4302" t="str">
        <f>TEXT(Tabela1[[#This Row],[Coluna2]]*29,"mmmm")</f>
        <v>junho</v>
      </c>
      <c r="I4302" t="str">
        <f>TEXT(MONTH(Tabela1[[#This Row],[Último pagto ano]])*29,"mmmm")</f>
        <v>junho</v>
      </c>
    </row>
    <row r="4303" spans="1:9" x14ac:dyDescent="0.25">
      <c r="A4303">
        <v>2025</v>
      </c>
      <c r="B4303" t="s">
        <v>8568</v>
      </c>
      <c r="C4303" s="1">
        <v>45988</v>
      </c>
      <c r="D4303" t="s">
        <v>8569</v>
      </c>
      <c r="E4303" s="2">
        <v>10707.56</v>
      </c>
      <c r="G4303" s="3">
        <f>MONTH(Tabela1[[#This Row],[Último pagto ano]])</f>
        <v>11</v>
      </c>
      <c r="H4303" t="str">
        <f>TEXT(Tabela1[[#This Row],[Coluna2]]*29,"mmmm")</f>
        <v>novembro</v>
      </c>
      <c r="I4303" t="str">
        <f>TEXT(MONTH(Tabela1[[#This Row],[Último pagto ano]])*29,"mmmm")</f>
        <v>novembro</v>
      </c>
    </row>
    <row r="4304" spans="1:9" x14ac:dyDescent="0.25">
      <c r="A4304">
        <v>2025</v>
      </c>
      <c r="B4304" t="s">
        <v>8570</v>
      </c>
      <c r="C4304" s="1">
        <v>45877</v>
      </c>
      <c r="D4304" t="s">
        <v>8571</v>
      </c>
      <c r="E4304">
        <v>7.23</v>
      </c>
      <c r="G4304" s="3">
        <f>MONTH(Tabela1[[#This Row],[Último pagto ano]])</f>
        <v>8</v>
      </c>
      <c r="H4304" t="str">
        <f>TEXT(Tabela1[[#This Row],[Coluna2]]*29,"mmmm")</f>
        <v>agosto</v>
      </c>
      <c r="I4304" t="str">
        <f>TEXT(MONTH(Tabela1[[#This Row],[Último pagto ano]])*29,"mmmm")</f>
        <v>agosto</v>
      </c>
    </row>
    <row r="4305" spans="1:9" x14ac:dyDescent="0.25">
      <c r="A4305">
        <v>2025</v>
      </c>
      <c r="B4305" t="s">
        <v>8572</v>
      </c>
      <c r="C4305" s="1">
        <v>45803</v>
      </c>
      <c r="D4305" t="s">
        <v>8573</v>
      </c>
      <c r="E4305" s="2">
        <v>9534</v>
      </c>
      <c r="G4305" s="3">
        <f>MONTH(Tabela1[[#This Row],[Último pagto ano]])</f>
        <v>5</v>
      </c>
      <c r="H4305" t="str">
        <f>TEXT(Tabela1[[#This Row],[Coluna2]]*29,"mmmm")</f>
        <v>maio</v>
      </c>
      <c r="I4305" t="str">
        <f>TEXT(MONTH(Tabela1[[#This Row],[Último pagto ano]])*29,"mmmm")</f>
        <v>maio</v>
      </c>
    </row>
    <row r="4306" spans="1:9" x14ac:dyDescent="0.25">
      <c r="A4306">
        <v>2025</v>
      </c>
      <c r="B4306" t="s">
        <v>8574</v>
      </c>
      <c r="C4306" s="1">
        <v>45985</v>
      </c>
      <c r="D4306" t="s">
        <v>8575</v>
      </c>
      <c r="E4306">
        <v>66</v>
      </c>
      <c r="G4306" s="3">
        <f>MONTH(Tabela1[[#This Row],[Último pagto ano]])</f>
        <v>11</v>
      </c>
      <c r="H4306" t="str">
        <f>TEXT(Tabela1[[#This Row],[Coluna2]]*29,"mmmm")</f>
        <v>novembro</v>
      </c>
      <c r="I4306" t="str">
        <f>TEXT(MONTH(Tabela1[[#This Row],[Último pagto ano]])*29,"mmmm")</f>
        <v>novembro</v>
      </c>
    </row>
    <row r="4307" spans="1:9" x14ac:dyDescent="0.25">
      <c r="A4307">
        <v>2025</v>
      </c>
      <c r="B4307" t="s">
        <v>8576</v>
      </c>
      <c r="C4307" s="1">
        <v>45712</v>
      </c>
      <c r="D4307" t="s">
        <v>8577</v>
      </c>
      <c r="E4307" s="2">
        <v>1400</v>
      </c>
      <c r="G4307" s="3">
        <f>MONTH(Tabela1[[#This Row],[Último pagto ano]])</f>
        <v>2</v>
      </c>
      <c r="H4307" t="str">
        <f>TEXT(Tabela1[[#This Row],[Coluna2]]*29,"mmmm")</f>
        <v>fevereiro</v>
      </c>
      <c r="I4307" t="str">
        <f>TEXT(MONTH(Tabela1[[#This Row],[Último pagto ano]])*29,"mmmm")</f>
        <v>fevereiro</v>
      </c>
    </row>
    <row r="4308" spans="1:9" x14ac:dyDescent="0.25">
      <c r="A4308">
        <v>2025</v>
      </c>
      <c r="B4308" t="s">
        <v>8578</v>
      </c>
      <c r="C4308" s="1">
        <v>45924</v>
      </c>
      <c r="D4308" t="s">
        <v>8579</v>
      </c>
      <c r="E4308" s="2">
        <v>1400</v>
      </c>
      <c r="G4308" s="3">
        <f>MONTH(Tabela1[[#This Row],[Último pagto ano]])</f>
        <v>9</v>
      </c>
      <c r="H4308" t="str">
        <f>TEXT(Tabela1[[#This Row],[Coluna2]]*29,"mmmm")</f>
        <v>setembro</v>
      </c>
      <c r="I4308" t="str">
        <f>TEXT(MONTH(Tabela1[[#This Row],[Último pagto ano]])*29,"mmmm")</f>
        <v>setembro</v>
      </c>
    </row>
    <row r="4309" spans="1:9" x14ac:dyDescent="0.25">
      <c r="A4309">
        <v>2025</v>
      </c>
      <c r="B4309" t="s">
        <v>8580</v>
      </c>
      <c r="C4309" s="1">
        <v>46014</v>
      </c>
      <c r="D4309" t="s">
        <v>8581</v>
      </c>
      <c r="E4309" s="2">
        <v>31820</v>
      </c>
      <c r="G4309" s="3">
        <f>MONTH(Tabela1[[#This Row],[Último pagto ano]])</f>
        <v>12</v>
      </c>
      <c r="H4309" t="str">
        <f>TEXT(Tabela1[[#This Row],[Coluna2]]*29,"mmmm")</f>
        <v>dezembro</v>
      </c>
      <c r="I4309" t="str">
        <f>TEXT(MONTH(Tabela1[[#This Row],[Último pagto ano]])*29,"mmmm")</f>
        <v>dezembro</v>
      </c>
    </row>
    <row r="4310" spans="1:9" x14ac:dyDescent="0.25">
      <c r="A4310">
        <v>2025</v>
      </c>
      <c r="B4310" t="s">
        <v>8582</v>
      </c>
      <c r="C4310" s="1">
        <v>45782</v>
      </c>
      <c r="D4310" t="s">
        <v>8583</v>
      </c>
      <c r="E4310">
        <v>24.28</v>
      </c>
      <c r="G4310" s="3">
        <f>MONTH(Tabela1[[#This Row],[Último pagto ano]])</f>
        <v>5</v>
      </c>
      <c r="H4310" t="str">
        <f>TEXT(Tabela1[[#This Row],[Coluna2]]*29,"mmmm")</f>
        <v>maio</v>
      </c>
      <c r="I4310" t="str">
        <f>TEXT(MONTH(Tabela1[[#This Row],[Último pagto ano]])*29,"mmmm")</f>
        <v>maio</v>
      </c>
    </row>
    <row r="4311" spans="1:9" x14ac:dyDescent="0.25">
      <c r="A4311">
        <v>2025</v>
      </c>
      <c r="B4311" t="s">
        <v>8584</v>
      </c>
      <c r="C4311" s="1">
        <v>45866</v>
      </c>
      <c r="D4311" t="s">
        <v>8585</v>
      </c>
      <c r="E4311">
        <v>3.72</v>
      </c>
      <c r="G4311" s="3">
        <f>MONTH(Tabela1[[#This Row],[Último pagto ano]])</f>
        <v>7</v>
      </c>
      <c r="H4311" t="str">
        <f>TEXT(Tabela1[[#This Row],[Coluna2]]*29,"mmmm")</f>
        <v>julho</v>
      </c>
      <c r="I4311" t="str">
        <f>TEXT(MONTH(Tabela1[[#This Row],[Último pagto ano]])*29,"mmmm")</f>
        <v>julho</v>
      </c>
    </row>
    <row r="4312" spans="1:9" x14ac:dyDescent="0.25">
      <c r="A4312">
        <v>2025</v>
      </c>
      <c r="B4312" t="s">
        <v>8586</v>
      </c>
      <c r="C4312" s="1">
        <v>46014</v>
      </c>
      <c r="D4312" t="s">
        <v>8587</v>
      </c>
      <c r="E4312" s="2">
        <v>15780</v>
      </c>
      <c r="G4312" s="3">
        <f>MONTH(Tabela1[[#This Row],[Último pagto ano]])</f>
        <v>12</v>
      </c>
      <c r="H4312" t="str">
        <f>TEXT(Tabela1[[#This Row],[Coluna2]]*29,"mmmm")</f>
        <v>dezembro</v>
      </c>
      <c r="I4312" t="str">
        <f>TEXT(MONTH(Tabela1[[#This Row],[Último pagto ano]])*29,"mmmm")</f>
        <v>dezembro</v>
      </c>
    </row>
    <row r="4313" spans="1:9" x14ac:dyDescent="0.25">
      <c r="A4313">
        <v>2025</v>
      </c>
      <c r="B4313" t="s">
        <v>8588</v>
      </c>
      <c r="C4313" s="1">
        <v>45996</v>
      </c>
      <c r="D4313" t="s">
        <v>8589</v>
      </c>
      <c r="E4313" s="2">
        <v>5000</v>
      </c>
      <c r="G4313" s="3">
        <f>MONTH(Tabela1[[#This Row],[Último pagto ano]])</f>
        <v>12</v>
      </c>
      <c r="H4313" t="str">
        <f>TEXT(Tabela1[[#This Row],[Coluna2]]*29,"mmmm")</f>
        <v>dezembro</v>
      </c>
      <c r="I4313" t="str">
        <f>TEXT(MONTH(Tabela1[[#This Row],[Último pagto ano]])*29,"mmmm")</f>
        <v>dezembro</v>
      </c>
    </row>
    <row r="4314" spans="1:9" x14ac:dyDescent="0.25">
      <c r="A4314">
        <v>2025</v>
      </c>
      <c r="B4314" t="s">
        <v>8590</v>
      </c>
      <c r="C4314" s="1">
        <v>46021</v>
      </c>
      <c r="D4314" t="s">
        <v>8591</v>
      </c>
      <c r="E4314" s="2">
        <v>14300.4</v>
      </c>
      <c r="G4314" s="3">
        <f>MONTH(Tabela1[[#This Row],[Último pagto ano]])</f>
        <v>12</v>
      </c>
      <c r="H4314" t="str">
        <f>TEXT(Tabela1[[#This Row],[Coluna2]]*29,"mmmm")</f>
        <v>dezembro</v>
      </c>
      <c r="I4314" t="str">
        <f>TEXT(MONTH(Tabela1[[#This Row],[Último pagto ano]])*29,"mmmm")</f>
        <v>dezembro</v>
      </c>
    </row>
    <row r="4315" spans="1:9" x14ac:dyDescent="0.25">
      <c r="A4315">
        <v>2025</v>
      </c>
      <c r="B4315" t="s">
        <v>8592</v>
      </c>
      <c r="C4315" s="1">
        <v>45996</v>
      </c>
      <c r="D4315" t="s">
        <v>8593</v>
      </c>
      <c r="E4315" s="2">
        <v>50123.28</v>
      </c>
      <c r="G4315" s="3">
        <f>MONTH(Tabela1[[#This Row],[Último pagto ano]])</f>
        <v>12</v>
      </c>
      <c r="H4315" t="str">
        <f>TEXT(Tabela1[[#This Row],[Coluna2]]*29,"mmmm")</f>
        <v>dezembro</v>
      </c>
      <c r="I4315" t="str">
        <f>TEXT(MONTH(Tabela1[[#This Row],[Último pagto ano]])*29,"mmmm")</f>
        <v>dezembro</v>
      </c>
    </row>
    <row r="4316" spans="1:9" x14ac:dyDescent="0.25">
      <c r="A4316">
        <v>2025</v>
      </c>
      <c r="B4316" t="s">
        <v>8594</v>
      </c>
      <c r="C4316" s="1">
        <v>45936</v>
      </c>
      <c r="D4316" t="s">
        <v>8595</v>
      </c>
      <c r="E4316">
        <v>88</v>
      </c>
      <c r="G4316" s="3">
        <f>MONTH(Tabela1[[#This Row],[Último pagto ano]])</f>
        <v>10</v>
      </c>
      <c r="H4316" t="str">
        <f>TEXT(Tabela1[[#This Row],[Coluna2]]*29,"mmmm")</f>
        <v>outubro</v>
      </c>
      <c r="I4316" t="str">
        <f>TEXT(MONTH(Tabela1[[#This Row],[Último pagto ano]])*29,"mmmm")</f>
        <v>outubro</v>
      </c>
    </row>
    <row r="4317" spans="1:9" x14ac:dyDescent="0.25">
      <c r="A4317">
        <v>2025</v>
      </c>
      <c r="B4317" t="s">
        <v>8596</v>
      </c>
      <c r="C4317" s="1">
        <v>46010</v>
      </c>
      <c r="D4317" t="s">
        <v>8597</v>
      </c>
      <c r="E4317" s="2">
        <v>8400</v>
      </c>
      <c r="G4317" s="3">
        <f>MONTH(Tabela1[[#This Row],[Último pagto ano]])</f>
        <v>12</v>
      </c>
      <c r="H4317" t="str">
        <f>TEXT(Tabela1[[#This Row],[Coluna2]]*29,"mmmm")</f>
        <v>dezembro</v>
      </c>
      <c r="I4317" t="str">
        <f>TEXT(MONTH(Tabela1[[#This Row],[Último pagto ano]])*29,"mmmm")</f>
        <v>dezembro</v>
      </c>
    </row>
    <row r="4318" spans="1:9" x14ac:dyDescent="0.25">
      <c r="A4318">
        <v>2025</v>
      </c>
      <c r="B4318" t="s">
        <v>8598</v>
      </c>
      <c r="C4318" s="1">
        <v>45968</v>
      </c>
      <c r="D4318" t="s">
        <v>8599</v>
      </c>
      <c r="E4318" s="2">
        <v>12188.16</v>
      </c>
      <c r="G4318" s="3">
        <f>MONTH(Tabela1[[#This Row],[Último pagto ano]])</f>
        <v>11</v>
      </c>
      <c r="H4318" t="str">
        <f>TEXT(Tabela1[[#This Row],[Coluna2]]*29,"mmmm")</f>
        <v>novembro</v>
      </c>
      <c r="I4318" t="str">
        <f>TEXT(MONTH(Tabela1[[#This Row],[Último pagto ano]])*29,"mmmm")</f>
        <v>novembro</v>
      </c>
    </row>
    <row r="4319" spans="1:9" x14ac:dyDescent="0.25">
      <c r="A4319">
        <v>2025</v>
      </c>
      <c r="B4319" t="s">
        <v>8600</v>
      </c>
      <c r="C4319" s="1">
        <v>45845</v>
      </c>
      <c r="D4319" t="s">
        <v>8601</v>
      </c>
      <c r="E4319">
        <v>431.6</v>
      </c>
      <c r="G4319" s="3">
        <f>MONTH(Tabela1[[#This Row],[Último pagto ano]])</f>
        <v>7</v>
      </c>
      <c r="H4319" t="str">
        <f>TEXT(Tabela1[[#This Row],[Coluna2]]*29,"mmmm")</f>
        <v>julho</v>
      </c>
      <c r="I4319" t="str">
        <f>TEXT(MONTH(Tabela1[[#This Row],[Último pagto ano]])*29,"mmmm")</f>
        <v>julho</v>
      </c>
    </row>
    <row r="4320" spans="1:9" x14ac:dyDescent="0.25">
      <c r="A4320">
        <v>2025</v>
      </c>
      <c r="B4320" t="s">
        <v>8602</v>
      </c>
      <c r="C4320" s="1">
        <v>45839</v>
      </c>
      <c r="D4320" t="s">
        <v>8603</v>
      </c>
      <c r="E4320">
        <v>305.18</v>
      </c>
      <c r="G4320" s="3">
        <f>MONTH(Tabela1[[#This Row],[Último pagto ano]])</f>
        <v>7</v>
      </c>
      <c r="H4320" t="str">
        <f>TEXT(Tabela1[[#This Row],[Coluna2]]*29,"mmmm")</f>
        <v>julho</v>
      </c>
      <c r="I4320" t="str">
        <f>TEXT(MONTH(Tabela1[[#This Row],[Último pagto ano]])*29,"mmmm")</f>
        <v>julho</v>
      </c>
    </row>
    <row r="4321" spans="1:9" x14ac:dyDescent="0.25">
      <c r="A4321">
        <v>2025</v>
      </c>
      <c r="B4321" t="s">
        <v>8604</v>
      </c>
      <c r="C4321" s="1">
        <v>45782</v>
      </c>
      <c r="D4321" t="s">
        <v>8605</v>
      </c>
      <c r="E4321">
        <v>22</v>
      </c>
      <c r="G4321" s="3">
        <f>MONTH(Tabela1[[#This Row],[Último pagto ano]])</f>
        <v>5</v>
      </c>
      <c r="H4321" t="str">
        <f>TEXT(Tabela1[[#This Row],[Coluna2]]*29,"mmmm")</f>
        <v>maio</v>
      </c>
      <c r="I4321" t="str">
        <f>TEXT(MONTH(Tabela1[[#This Row],[Último pagto ano]])*29,"mmmm")</f>
        <v>maio</v>
      </c>
    </row>
    <row r="4322" spans="1:9" x14ac:dyDescent="0.25">
      <c r="A4322">
        <v>2025</v>
      </c>
      <c r="B4322" t="s">
        <v>8606</v>
      </c>
      <c r="C4322" s="1">
        <v>45712</v>
      </c>
      <c r="D4322" t="s">
        <v>8607</v>
      </c>
      <c r="E4322" s="2">
        <v>2000</v>
      </c>
      <c r="G4322" s="3">
        <f>MONTH(Tabela1[[#This Row],[Último pagto ano]])</f>
        <v>2</v>
      </c>
      <c r="H4322" t="str">
        <f>TEXT(Tabela1[[#This Row],[Coluna2]]*29,"mmmm")</f>
        <v>fevereiro</v>
      </c>
      <c r="I4322" t="str">
        <f>TEXT(MONTH(Tabela1[[#This Row],[Último pagto ano]])*29,"mmmm")</f>
        <v>fevereiro</v>
      </c>
    </row>
    <row r="4323" spans="1:9" x14ac:dyDescent="0.25">
      <c r="A4323">
        <v>2025</v>
      </c>
      <c r="B4323" t="s">
        <v>8608</v>
      </c>
      <c r="C4323" s="1">
        <v>45849</v>
      </c>
      <c r="D4323" t="s">
        <v>8609</v>
      </c>
      <c r="E4323" s="2">
        <v>2300</v>
      </c>
      <c r="G4323" s="3">
        <f>MONTH(Tabela1[[#This Row],[Último pagto ano]])</f>
        <v>7</v>
      </c>
      <c r="H4323" t="str">
        <f>TEXT(Tabela1[[#This Row],[Coluna2]]*29,"mmmm")</f>
        <v>julho</v>
      </c>
      <c r="I4323" t="str">
        <f>TEXT(MONTH(Tabela1[[#This Row],[Último pagto ano]])*29,"mmmm")</f>
        <v>julho</v>
      </c>
    </row>
    <row r="4324" spans="1:9" x14ac:dyDescent="0.25">
      <c r="A4324">
        <v>2025</v>
      </c>
      <c r="B4324" t="s">
        <v>8610</v>
      </c>
      <c r="C4324" s="1">
        <v>46010</v>
      </c>
      <c r="D4324" t="s">
        <v>8611</v>
      </c>
      <c r="E4324">
        <v>700</v>
      </c>
      <c r="G4324" s="3">
        <f>MONTH(Tabela1[[#This Row],[Último pagto ano]])</f>
        <v>12</v>
      </c>
      <c r="H4324" t="str">
        <f>TEXT(Tabela1[[#This Row],[Coluna2]]*29,"mmmm")</f>
        <v>dezembro</v>
      </c>
      <c r="I4324" t="str">
        <f>TEXT(MONTH(Tabela1[[#This Row],[Último pagto ano]])*29,"mmmm")</f>
        <v>dezembro</v>
      </c>
    </row>
    <row r="4325" spans="1:9" x14ac:dyDescent="0.25">
      <c r="A4325">
        <v>2025</v>
      </c>
      <c r="B4325" t="s">
        <v>8612</v>
      </c>
      <c r="C4325" s="1">
        <v>46013</v>
      </c>
      <c r="D4325" t="s">
        <v>8613</v>
      </c>
      <c r="E4325" s="2">
        <v>38506.26</v>
      </c>
      <c r="G4325" s="3">
        <f>MONTH(Tabela1[[#This Row],[Último pagto ano]])</f>
        <v>12</v>
      </c>
      <c r="H4325" t="str">
        <f>TEXT(Tabela1[[#This Row],[Coluna2]]*29,"mmmm")</f>
        <v>dezembro</v>
      </c>
      <c r="I4325" t="str">
        <f>TEXT(MONTH(Tabela1[[#This Row],[Último pagto ano]])*29,"mmmm")</f>
        <v>dezembro</v>
      </c>
    </row>
    <row r="4326" spans="1:9" x14ac:dyDescent="0.25">
      <c r="A4326">
        <v>2025</v>
      </c>
      <c r="B4326" t="s">
        <v>8614</v>
      </c>
      <c r="C4326" s="1">
        <v>46014</v>
      </c>
      <c r="D4326" t="s">
        <v>8615</v>
      </c>
      <c r="E4326">
        <v>3.82</v>
      </c>
      <c r="G4326" s="3">
        <f>MONTH(Tabela1[[#This Row],[Último pagto ano]])</f>
        <v>12</v>
      </c>
      <c r="H4326" t="str">
        <f>TEXT(Tabela1[[#This Row],[Coluna2]]*29,"mmmm")</f>
        <v>dezembro</v>
      </c>
      <c r="I4326" t="str">
        <f>TEXT(MONTH(Tabela1[[#This Row],[Último pagto ano]])*29,"mmmm")</f>
        <v>dezembro</v>
      </c>
    </row>
    <row r="4327" spans="1:9" x14ac:dyDescent="0.25">
      <c r="A4327">
        <v>2025</v>
      </c>
      <c r="B4327" t="s">
        <v>8616</v>
      </c>
      <c r="C4327" s="1">
        <v>45803</v>
      </c>
      <c r="D4327" t="s">
        <v>8617</v>
      </c>
      <c r="E4327" s="2">
        <v>4036.52</v>
      </c>
      <c r="G4327" s="3">
        <f>MONTH(Tabela1[[#This Row],[Último pagto ano]])</f>
        <v>5</v>
      </c>
      <c r="H4327" t="str">
        <f>TEXT(Tabela1[[#This Row],[Coluna2]]*29,"mmmm")</f>
        <v>maio</v>
      </c>
      <c r="I4327" t="str">
        <f>TEXT(MONTH(Tabela1[[#This Row],[Último pagto ano]])*29,"mmmm")</f>
        <v>maio</v>
      </c>
    </row>
    <row r="4328" spans="1:9" x14ac:dyDescent="0.25">
      <c r="A4328">
        <v>2025</v>
      </c>
      <c r="B4328" t="s">
        <v>8616</v>
      </c>
      <c r="C4328" s="1">
        <v>45985</v>
      </c>
      <c r="D4328" t="s">
        <v>8618</v>
      </c>
      <c r="E4328" s="2">
        <v>87201.88</v>
      </c>
      <c r="G4328" s="3">
        <f>MONTH(Tabela1[[#This Row],[Último pagto ano]])</f>
        <v>11</v>
      </c>
      <c r="H4328" t="str">
        <f>TEXT(Tabela1[[#This Row],[Coluna2]]*29,"mmmm")</f>
        <v>novembro</v>
      </c>
      <c r="I4328" t="str">
        <f>TEXT(MONTH(Tabela1[[#This Row],[Último pagto ano]])*29,"mmmm")</f>
        <v>novembro</v>
      </c>
    </row>
    <row r="4329" spans="1:9" x14ac:dyDescent="0.25">
      <c r="A4329">
        <v>2025</v>
      </c>
      <c r="B4329" t="s">
        <v>8619</v>
      </c>
      <c r="C4329" s="1">
        <v>45971</v>
      </c>
      <c r="D4329" t="s">
        <v>8620</v>
      </c>
      <c r="E4329" s="2">
        <v>2779.2</v>
      </c>
      <c r="G4329" s="3">
        <f>MONTH(Tabela1[[#This Row],[Último pagto ano]])</f>
        <v>11</v>
      </c>
      <c r="H4329" t="str">
        <f>TEXT(Tabela1[[#This Row],[Coluna2]]*29,"mmmm")</f>
        <v>novembro</v>
      </c>
      <c r="I4329" t="str">
        <f>TEXT(MONTH(Tabela1[[#This Row],[Último pagto ano]])*29,"mmmm")</f>
        <v>novembro</v>
      </c>
    </row>
    <row r="4330" spans="1:9" x14ac:dyDescent="0.25">
      <c r="A4330">
        <v>2025</v>
      </c>
      <c r="B4330" t="s">
        <v>8621</v>
      </c>
      <c r="C4330" s="1">
        <v>45996</v>
      </c>
      <c r="D4330" t="s">
        <v>8622</v>
      </c>
      <c r="E4330" s="2">
        <v>11600</v>
      </c>
      <c r="G4330" s="3">
        <f>MONTH(Tabela1[[#This Row],[Último pagto ano]])</f>
        <v>12</v>
      </c>
      <c r="H4330" t="str">
        <f>TEXT(Tabela1[[#This Row],[Coluna2]]*29,"mmmm")</f>
        <v>dezembro</v>
      </c>
      <c r="I4330" t="str">
        <f>TEXT(MONTH(Tabela1[[#This Row],[Último pagto ano]])*29,"mmmm")</f>
        <v>dezembro</v>
      </c>
    </row>
    <row r="4331" spans="1:9" x14ac:dyDescent="0.25">
      <c r="A4331">
        <v>2025</v>
      </c>
      <c r="B4331" t="s">
        <v>8623</v>
      </c>
      <c r="C4331" s="1">
        <v>45975</v>
      </c>
      <c r="D4331" t="s">
        <v>8624</v>
      </c>
      <c r="E4331">
        <v>296.16000000000003</v>
      </c>
      <c r="G4331" s="3">
        <f>MONTH(Tabela1[[#This Row],[Último pagto ano]])</f>
        <v>11</v>
      </c>
      <c r="H4331" t="str">
        <f>TEXT(Tabela1[[#This Row],[Coluna2]]*29,"mmmm")</f>
        <v>novembro</v>
      </c>
      <c r="I4331" t="str">
        <f>TEXT(MONTH(Tabela1[[#This Row],[Último pagto ano]])*29,"mmmm")</f>
        <v>novembro</v>
      </c>
    </row>
    <row r="4332" spans="1:9" x14ac:dyDescent="0.25">
      <c r="A4332">
        <v>2025</v>
      </c>
      <c r="B4332" t="s">
        <v>8625</v>
      </c>
      <c r="C4332" s="1">
        <v>46013</v>
      </c>
      <c r="D4332" t="s">
        <v>8626</v>
      </c>
      <c r="E4332" s="2">
        <v>5460</v>
      </c>
      <c r="G4332" s="3">
        <f>MONTH(Tabela1[[#This Row],[Último pagto ano]])</f>
        <v>12</v>
      </c>
      <c r="H4332" t="str">
        <f>TEXT(Tabela1[[#This Row],[Coluna2]]*29,"mmmm")</f>
        <v>dezembro</v>
      </c>
      <c r="I4332" t="str">
        <f>TEXT(MONTH(Tabela1[[#This Row],[Último pagto ano]])*29,"mmmm")</f>
        <v>dezembro</v>
      </c>
    </row>
    <row r="4333" spans="1:9" x14ac:dyDescent="0.25">
      <c r="A4333">
        <v>2025</v>
      </c>
      <c r="B4333" t="s">
        <v>8627</v>
      </c>
      <c r="C4333" s="1">
        <v>45950</v>
      </c>
      <c r="D4333" t="s">
        <v>8628</v>
      </c>
      <c r="E4333" s="2">
        <v>1560</v>
      </c>
      <c r="G4333" s="3">
        <f>MONTH(Tabela1[[#This Row],[Último pagto ano]])</f>
        <v>10</v>
      </c>
      <c r="H4333" t="str">
        <f>TEXT(Tabela1[[#This Row],[Coluna2]]*29,"mmmm")</f>
        <v>outubro</v>
      </c>
      <c r="I4333" t="str">
        <f>TEXT(MONTH(Tabela1[[#This Row],[Último pagto ano]])*29,"mmmm")</f>
        <v>outubro</v>
      </c>
    </row>
    <row r="4334" spans="1:9" x14ac:dyDescent="0.25">
      <c r="A4334">
        <v>2025</v>
      </c>
      <c r="B4334" t="s">
        <v>8629</v>
      </c>
      <c r="C4334" s="1">
        <v>46014</v>
      </c>
      <c r="D4334" t="s">
        <v>8630</v>
      </c>
      <c r="E4334" s="2">
        <v>8160</v>
      </c>
      <c r="G4334" s="3">
        <f>MONTH(Tabela1[[#This Row],[Último pagto ano]])</f>
        <v>12</v>
      </c>
      <c r="H4334" t="str">
        <f>TEXT(Tabela1[[#This Row],[Coluna2]]*29,"mmmm")</f>
        <v>dezembro</v>
      </c>
      <c r="I4334" t="str">
        <f>TEXT(MONTH(Tabela1[[#This Row],[Último pagto ano]])*29,"mmmm")</f>
        <v>dezembro</v>
      </c>
    </row>
    <row r="4335" spans="1:9" x14ac:dyDescent="0.25">
      <c r="A4335">
        <v>2025</v>
      </c>
      <c r="B4335" t="s">
        <v>8631</v>
      </c>
      <c r="C4335" s="1">
        <v>45999</v>
      </c>
      <c r="D4335" t="s">
        <v>8632</v>
      </c>
      <c r="E4335" s="2">
        <v>3454</v>
      </c>
      <c r="G4335" s="3">
        <f>MONTH(Tabela1[[#This Row],[Último pagto ano]])</f>
        <v>12</v>
      </c>
      <c r="H4335" t="str">
        <f>TEXT(Tabela1[[#This Row],[Coluna2]]*29,"mmmm")</f>
        <v>dezembro</v>
      </c>
      <c r="I4335" t="str">
        <f>TEXT(MONTH(Tabela1[[#This Row],[Último pagto ano]])*29,"mmmm")</f>
        <v>dezembro</v>
      </c>
    </row>
    <row r="4336" spans="1:9" x14ac:dyDescent="0.25">
      <c r="A4336">
        <v>2025</v>
      </c>
      <c r="B4336" t="s">
        <v>8633</v>
      </c>
      <c r="C4336" s="1">
        <v>46010</v>
      </c>
      <c r="D4336" t="s">
        <v>8634</v>
      </c>
      <c r="E4336" s="2">
        <v>3500</v>
      </c>
      <c r="G4336" s="3">
        <f>MONTH(Tabela1[[#This Row],[Último pagto ano]])</f>
        <v>12</v>
      </c>
      <c r="H4336" t="str">
        <f>TEXT(Tabela1[[#This Row],[Coluna2]]*29,"mmmm")</f>
        <v>dezembro</v>
      </c>
      <c r="I4336" t="str">
        <f>TEXT(MONTH(Tabela1[[#This Row],[Último pagto ano]])*29,"mmmm")</f>
        <v>dezembro</v>
      </c>
    </row>
    <row r="4337" spans="1:9" x14ac:dyDescent="0.25">
      <c r="A4337">
        <v>2025</v>
      </c>
      <c r="B4337" t="s">
        <v>8635</v>
      </c>
      <c r="C4337" s="1">
        <v>45978</v>
      </c>
      <c r="D4337" t="s">
        <v>8636</v>
      </c>
      <c r="E4337">
        <v>154</v>
      </c>
      <c r="G4337" s="3">
        <f>MONTH(Tabela1[[#This Row],[Último pagto ano]])</f>
        <v>11</v>
      </c>
      <c r="H4337" t="str">
        <f>TEXT(Tabela1[[#This Row],[Coluna2]]*29,"mmmm")</f>
        <v>novembro</v>
      </c>
      <c r="I4337" t="str">
        <f>TEXT(MONTH(Tabela1[[#This Row],[Último pagto ano]])*29,"mmmm")</f>
        <v>novembro</v>
      </c>
    </row>
    <row r="4338" spans="1:9" x14ac:dyDescent="0.25">
      <c r="A4338">
        <v>2025</v>
      </c>
      <c r="B4338" t="s">
        <v>8637</v>
      </c>
      <c r="C4338" s="1">
        <v>45663</v>
      </c>
      <c r="D4338" t="s">
        <v>8638</v>
      </c>
      <c r="E4338">
        <v>168.46</v>
      </c>
      <c r="G4338" s="3">
        <f>MONTH(Tabela1[[#This Row],[Último pagto ano]])</f>
        <v>1</v>
      </c>
      <c r="H4338" t="str">
        <f>TEXT(Tabela1[[#This Row],[Coluna2]]*29,"mmmm")</f>
        <v>janeiro</v>
      </c>
      <c r="I4338" t="str">
        <f>TEXT(MONTH(Tabela1[[#This Row],[Último pagto ano]])*29,"mmmm")</f>
        <v>janeiro</v>
      </c>
    </row>
    <row r="4339" spans="1:9" x14ac:dyDescent="0.25">
      <c r="A4339">
        <v>2025</v>
      </c>
      <c r="B4339" t="s">
        <v>8639</v>
      </c>
      <c r="C4339" s="1">
        <v>45996</v>
      </c>
      <c r="D4339" t="s">
        <v>8640</v>
      </c>
      <c r="E4339" s="2">
        <v>14400</v>
      </c>
      <c r="G4339" s="3">
        <f>MONTH(Tabela1[[#This Row],[Último pagto ano]])</f>
        <v>12</v>
      </c>
      <c r="H4339" t="str">
        <f>TEXT(Tabela1[[#This Row],[Coluna2]]*29,"mmmm")</f>
        <v>dezembro</v>
      </c>
      <c r="I4339" t="str">
        <f>TEXT(MONTH(Tabela1[[#This Row],[Último pagto ano]])*29,"mmmm")</f>
        <v>dezembro</v>
      </c>
    </row>
    <row r="4340" spans="1:9" x14ac:dyDescent="0.25">
      <c r="A4340">
        <v>2025</v>
      </c>
      <c r="B4340" t="s">
        <v>8641</v>
      </c>
      <c r="C4340" s="1">
        <v>45929</v>
      </c>
      <c r="D4340" t="s">
        <v>8642</v>
      </c>
      <c r="E4340">
        <v>206</v>
      </c>
      <c r="G4340" s="3">
        <f>MONTH(Tabela1[[#This Row],[Último pagto ano]])</f>
        <v>9</v>
      </c>
      <c r="H4340" t="str">
        <f>TEXT(Tabela1[[#This Row],[Coluna2]]*29,"mmmm")</f>
        <v>setembro</v>
      </c>
      <c r="I4340" t="str">
        <f>TEXT(MONTH(Tabela1[[#This Row],[Último pagto ano]])*29,"mmmm")</f>
        <v>setembro</v>
      </c>
    </row>
    <row r="4341" spans="1:9" x14ac:dyDescent="0.25">
      <c r="A4341">
        <v>2025</v>
      </c>
      <c r="B4341" t="s">
        <v>8643</v>
      </c>
      <c r="C4341" s="1">
        <v>45817</v>
      </c>
      <c r="D4341" t="s">
        <v>8644</v>
      </c>
      <c r="E4341">
        <v>56.71</v>
      </c>
      <c r="G4341" s="3">
        <f>MONTH(Tabela1[[#This Row],[Último pagto ano]])</f>
        <v>6</v>
      </c>
      <c r="H4341" t="str">
        <f>TEXT(Tabela1[[#This Row],[Coluna2]]*29,"mmmm")</f>
        <v>junho</v>
      </c>
      <c r="I4341" t="str">
        <f>TEXT(MONTH(Tabela1[[#This Row],[Último pagto ano]])*29,"mmmm")</f>
        <v>junho</v>
      </c>
    </row>
    <row r="4342" spans="1:9" x14ac:dyDescent="0.25">
      <c r="A4342">
        <v>2025</v>
      </c>
      <c r="B4342" t="s">
        <v>8645</v>
      </c>
      <c r="C4342" s="1">
        <v>46013</v>
      </c>
      <c r="D4342" t="s">
        <v>8646</v>
      </c>
      <c r="E4342" s="2">
        <v>6100</v>
      </c>
      <c r="G4342" s="3">
        <f>MONTH(Tabela1[[#This Row],[Último pagto ano]])</f>
        <v>12</v>
      </c>
      <c r="H4342" t="str">
        <f>TEXT(Tabela1[[#This Row],[Coluna2]]*29,"mmmm")</f>
        <v>dezembro</v>
      </c>
      <c r="I4342" t="str">
        <f>TEXT(MONTH(Tabela1[[#This Row],[Último pagto ano]])*29,"mmmm")</f>
        <v>dezembro</v>
      </c>
    </row>
    <row r="4343" spans="1:9" x14ac:dyDescent="0.25">
      <c r="A4343">
        <v>2025</v>
      </c>
      <c r="B4343" t="s">
        <v>8647</v>
      </c>
      <c r="C4343" s="1">
        <v>45989</v>
      </c>
      <c r="D4343" t="s">
        <v>8648</v>
      </c>
      <c r="E4343" s="2">
        <v>2041.2</v>
      </c>
      <c r="G4343" s="3">
        <f>MONTH(Tabela1[[#This Row],[Último pagto ano]])</f>
        <v>11</v>
      </c>
      <c r="H4343" t="str">
        <f>TEXT(Tabela1[[#This Row],[Coluna2]]*29,"mmmm")</f>
        <v>novembro</v>
      </c>
      <c r="I4343" t="str">
        <f>TEXT(MONTH(Tabela1[[#This Row],[Último pagto ano]])*29,"mmmm")</f>
        <v>novembro</v>
      </c>
    </row>
    <row r="4344" spans="1:9" x14ac:dyDescent="0.25">
      <c r="A4344">
        <v>2025</v>
      </c>
      <c r="B4344" t="s">
        <v>8649</v>
      </c>
      <c r="C4344" s="1">
        <v>45978</v>
      </c>
      <c r="D4344" t="s">
        <v>8650</v>
      </c>
      <c r="E4344" s="2">
        <v>1496</v>
      </c>
      <c r="G4344" s="3">
        <f>MONTH(Tabela1[[#This Row],[Último pagto ano]])</f>
        <v>11</v>
      </c>
      <c r="H4344" t="str">
        <f>TEXT(Tabela1[[#This Row],[Coluna2]]*29,"mmmm")</f>
        <v>novembro</v>
      </c>
      <c r="I4344" t="str">
        <f>TEXT(MONTH(Tabela1[[#This Row],[Último pagto ano]])*29,"mmmm")</f>
        <v>novembro</v>
      </c>
    </row>
    <row r="4345" spans="1:9" x14ac:dyDescent="0.25">
      <c r="A4345">
        <v>2025</v>
      </c>
      <c r="B4345" t="s">
        <v>8651</v>
      </c>
      <c r="C4345" s="1">
        <v>45908</v>
      </c>
      <c r="D4345" t="s">
        <v>8652</v>
      </c>
      <c r="E4345">
        <v>438.8</v>
      </c>
      <c r="G4345" s="3">
        <f>MONTH(Tabela1[[#This Row],[Último pagto ano]])</f>
        <v>9</v>
      </c>
      <c r="H4345" t="str">
        <f>TEXT(Tabela1[[#This Row],[Coluna2]]*29,"mmmm")</f>
        <v>setembro</v>
      </c>
      <c r="I4345" t="str">
        <f>TEXT(MONTH(Tabela1[[#This Row],[Último pagto ano]])*29,"mmmm")</f>
        <v>setembro</v>
      </c>
    </row>
    <row r="4346" spans="1:9" x14ac:dyDescent="0.25">
      <c r="A4346">
        <v>2025</v>
      </c>
      <c r="B4346" t="s">
        <v>8653</v>
      </c>
      <c r="C4346" s="1">
        <v>45728</v>
      </c>
      <c r="D4346" t="s">
        <v>8654</v>
      </c>
      <c r="E4346">
        <v>44</v>
      </c>
      <c r="G4346" s="3">
        <f>MONTH(Tabela1[[#This Row],[Último pagto ano]])</f>
        <v>3</v>
      </c>
      <c r="H4346" t="str">
        <f>TEXT(Tabela1[[#This Row],[Coluna2]]*29,"mmmm")</f>
        <v>março</v>
      </c>
      <c r="I4346" t="str">
        <f>TEXT(MONTH(Tabela1[[#This Row],[Último pagto ano]])*29,"mmmm")</f>
        <v>março</v>
      </c>
    </row>
    <row r="4347" spans="1:9" x14ac:dyDescent="0.25">
      <c r="A4347">
        <v>2025</v>
      </c>
      <c r="B4347" t="s">
        <v>8655</v>
      </c>
      <c r="C4347" s="1">
        <v>45817</v>
      </c>
      <c r="D4347" t="s">
        <v>8656</v>
      </c>
      <c r="E4347">
        <v>66</v>
      </c>
      <c r="G4347" s="3">
        <f>MONTH(Tabela1[[#This Row],[Último pagto ano]])</f>
        <v>6</v>
      </c>
      <c r="H4347" t="str">
        <f>TEXT(Tabela1[[#This Row],[Coluna2]]*29,"mmmm")</f>
        <v>junho</v>
      </c>
      <c r="I4347" t="str">
        <f>TEXT(MONTH(Tabela1[[#This Row],[Último pagto ano]])*29,"mmmm")</f>
        <v>junho</v>
      </c>
    </row>
    <row r="4348" spans="1:9" x14ac:dyDescent="0.25">
      <c r="A4348">
        <v>2025</v>
      </c>
      <c r="B4348" t="s">
        <v>8657</v>
      </c>
      <c r="C4348" s="1">
        <v>46014</v>
      </c>
      <c r="D4348" t="s">
        <v>8658</v>
      </c>
      <c r="E4348" s="2">
        <v>1595</v>
      </c>
      <c r="G4348" s="3">
        <f>MONTH(Tabela1[[#This Row],[Último pagto ano]])</f>
        <v>12</v>
      </c>
      <c r="H4348" t="str">
        <f>TEXT(Tabela1[[#This Row],[Coluna2]]*29,"mmmm")</f>
        <v>dezembro</v>
      </c>
      <c r="I4348" t="str">
        <f>TEXT(MONTH(Tabela1[[#This Row],[Último pagto ano]])*29,"mmmm")</f>
        <v>dezembro</v>
      </c>
    </row>
    <row r="4349" spans="1:9" x14ac:dyDescent="0.25">
      <c r="A4349">
        <v>2025</v>
      </c>
      <c r="B4349" t="s">
        <v>8659</v>
      </c>
      <c r="C4349" s="1">
        <v>45929</v>
      </c>
      <c r="D4349" t="s">
        <v>8660</v>
      </c>
      <c r="E4349">
        <v>44</v>
      </c>
      <c r="G4349" s="3">
        <f>MONTH(Tabela1[[#This Row],[Último pagto ano]])</f>
        <v>9</v>
      </c>
      <c r="H4349" t="str">
        <f>TEXT(Tabela1[[#This Row],[Coluna2]]*29,"mmmm")</f>
        <v>setembro</v>
      </c>
      <c r="I4349" t="str">
        <f>TEXT(MONTH(Tabela1[[#This Row],[Último pagto ano]])*29,"mmmm")</f>
        <v>setembro</v>
      </c>
    </row>
    <row r="4350" spans="1:9" x14ac:dyDescent="0.25">
      <c r="A4350">
        <v>2025</v>
      </c>
      <c r="B4350" t="s">
        <v>8661</v>
      </c>
      <c r="C4350" s="1">
        <v>45769</v>
      </c>
      <c r="D4350" t="s">
        <v>8662</v>
      </c>
      <c r="E4350">
        <v>287.06</v>
      </c>
      <c r="G4350" s="3">
        <f>MONTH(Tabela1[[#This Row],[Último pagto ano]])</f>
        <v>4</v>
      </c>
      <c r="H4350" t="str">
        <f>TEXT(Tabela1[[#This Row],[Coluna2]]*29,"mmmm")</f>
        <v>abril</v>
      </c>
      <c r="I4350" t="str">
        <f>TEXT(MONTH(Tabela1[[#This Row],[Último pagto ano]])*29,"mmmm")</f>
        <v>abril</v>
      </c>
    </row>
    <row r="4351" spans="1:9" x14ac:dyDescent="0.25">
      <c r="A4351">
        <v>2025</v>
      </c>
      <c r="B4351" t="s">
        <v>8663</v>
      </c>
      <c r="C4351" s="1">
        <v>45835</v>
      </c>
      <c r="D4351" t="s">
        <v>8664</v>
      </c>
      <c r="E4351">
        <v>77</v>
      </c>
      <c r="G4351" s="3">
        <f>MONTH(Tabela1[[#This Row],[Último pagto ano]])</f>
        <v>6</v>
      </c>
      <c r="H4351" t="str">
        <f>TEXT(Tabela1[[#This Row],[Coluna2]]*29,"mmmm")</f>
        <v>junho</v>
      </c>
      <c r="I4351" t="str">
        <f>TEXT(MONTH(Tabela1[[#This Row],[Último pagto ano]])*29,"mmmm")</f>
        <v>junho</v>
      </c>
    </row>
    <row r="4352" spans="1:9" x14ac:dyDescent="0.25">
      <c r="A4352">
        <v>2025</v>
      </c>
      <c r="B4352" t="s">
        <v>8665</v>
      </c>
      <c r="C4352" s="1">
        <v>46010</v>
      </c>
      <c r="D4352" t="s">
        <v>8666</v>
      </c>
      <c r="E4352">
        <v>3.35</v>
      </c>
      <c r="G4352" s="3">
        <f>MONTH(Tabela1[[#This Row],[Último pagto ano]])</f>
        <v>12</v>
      </c>
      <c r="H4352" t="str">
        <f>TEXT(Tabela1[[#This Row],[Coluna2]]*29,"mmmm")</f>
        <v>dezembro</v>
      </c>
      <c r="I4352" t="str">
        <f>TEXT(MONTH(Tabela1[[#This Row],[Último pagto ano]])*29,"mmmm")</f>
        <v>dezembro</v>
      </c>
    </row>
    <row r="4353" spans="1:9" x14ac:dyDescent="0.25">
      <c r="A4353">
        <v>2025</v>
      </c>
      <c r="B4353" t="s">
        <v>8667</v>
      </c>
      <c r="C4353" s="1">
        <v>45866</v>
      </c>
      <c r="D4353" t="s">
        <v>8668</v>
      </c>
      <c r="E4353">
        <v>0.33</v>
      </c>
      <c r="G4353" s="3">
        <f>MONTH(Tabela1[[#This Row],[Último pagto ano]])</f>
        <v>7</v>
      </c>
      <c r="H4353" t="str">
        <f>TEXT(Tabela1[[#This Row],[Coluna2]]*29,"mmmm")</f>
        <v>julho</v>
      </c>
      <c r="I4353" t="str">
        <f>TEXT(MONTH(Tabela1[[#This Row],[Último pagto ano]])*29,"mmmm")</f>
        <v>julho</v>
      </c>
    </row>
    <row r="4354" spans="1:9" x14ac:dyDescent="0.25">
      <c r="A4354">
        <v>2025</v>
      </c>
      <c r="B4354" t="s">
        <v>8669</v>
      </c>
      <c r="C4354" s="1">
        <v>45733</v>
      </c>
      <c r="D4354" t="s">
        <v>8670</v>
      </c>
      <c r="E4354" s="2">
        <v>3500.8</v>
      </c>
      <c r="G4354" s="3">
        <f>MONTH(Tabela1[[#This Row],[Último pagto ano]])</f>
        <v>3</v>
      </c>
      <c r="H4354" t="str">
        <f>TEXT(Tabela1[[#This Row],[Coluna2]]*29,"mmmm")</f>
        <v>março</v>
      </c>
      <c r="I4354" t="str">
        <f>TEXT(MONTH(Tabela1[[#This Row],[Último pagto ano]])*29,"mmmm")</f>
        <v>março</v>
      </c>
    </row>
    <row r="4355" spans="1:9" x14ac:dyDescent="0.25">
      <c r="A4355">
        <v>2025</v>
      </c>
      <c r="B4355" t="s">
        <v>8671</v>
      </c>
      <c r="C4355" s="1">
        <v>45792</v>
      </c>
      <c r="D4355" t="s">
        <v>8672</v>
      </c>
      <c r="E4355">
        <v>888.48</v>
      </c>
      <c r="G4355" s="3">
        <f>MONTH(Tabela1[[#This Row],[Último pagto ano]])</f>
        <v>5</v>
      </c>
      <c r="H4355" t="str">
        <f>TEXT(Tabela1[[#This Row],[Coluna2]]*29,"mmmm")</f>
        <v>maio</v>
      </c>
      <c r="I4355" t="str">
        <f>TEXT(MONTH(Tabela1[[#This Row],[Último pagto ano]])*29,"mmmm")</f>
        <v>maio</v>
      </c>
    </row>
    <row r="4356" spans="1:9" x14ac:dyDescent="0.25">
      <c r="A4356">
        <v>2025</v>
      </c>
      <c r="B4356" t="s">
        <v>8673</v>
      </c>
      <c r="C4356" s="1">
        <v>45929</v>
      </c>
      <c r="D4356" t="s">
        <v>8674</v>
      </c>
      <c r="E4356">
        <v>550.52</v>
      </c>
      <c r="G4356" s="3">
        <f>MONTH(Tabela1[[#This Row],[Último pagto ano]])</f>
        <v>9</v>
      </c>
      <c r="H4356" t="str">
        <f>TEXT(Tabela1[[#This Row],[Coluna2]]*29,"mmmm")</f>
        <v>setembro</v>
      </c>
      <c r="I4356" t="str">
        <f>TEXT(MONTH(Tabela1[[#This Row],[Último pagto ano]])*29,"mmmm")</f>
        <v>setembro</v>
      </c>
    </row>
    <row r="4357" spans="1:9" x14ac:dyDescent="0.25">
      <c r="A4357">
        <v>2025</v>
      </c>
      <c r="B4357" t="s">
        <v>8675</v>
      </c>
      <c r="C4357" s="1">
        <v>45901</v>
      </c>
      <c r="D4357" t="s">
        <v>8676</v>
      </c>
      <c r="E4357">
        <v>66</v>
      </c>
      <c r="G4357" s="3">
        <f>MONTH(Tabela1[[#This Row],[Último pagto ano]])</f>
        <v>9</v>
      </c>
      <c r="H4357" t="str">
        <f>TEXT(Tabela1[[#This Row],[Coluna2]]*29,"mmmm")</f>
        <v>setembro</v>
      </c>
      <c r="I4357" t="str">
        <f>TEXT(MONTH(Tabela1[[#This Row],[Último pagto ano]])*29,"mmmm")</f>
        <v>setembro</v>
      </c>
    </row>
    <row r="4358" spans="1:9" x14ac:dyDescent="0.25">
      <c r="A4358">
        <v>2025</v>
      </c>
      <c r="B4358" t="s">
        <v>8677</v>
      </c>
      <c r="C4358" s="1">
        <v>46006</v>
      </c>
      <c r="D4358" t="s">
        <v>8678</v>
      </c>
      <c r="E4358" s="2">
        <v>8400</v>
      </c>
      <c r="G4358" s="3">
        <f>MONTH(Tabela1[[#This Row],[Último pagto ano]])</f>
        <v>12</v>
      </c>
      <c r="H4358" t="str">
        <f>TEXT(Tabela1[[#This Row],[Coluna2]]*29,"mmmm")</f>
        <v>dezembro</v>
      </c>
      <c r="I4358" t="str">
        <f>TEXT(MONTH(Tabela1[[#This Row],[Último pagto ano]])*29,"mmmm")</f>
        <v>dezembro</v>
      </c>
    </row>
    <row r="4359" spans="1:9" x14ac:dyDescent="0.25">
      <c r="A4359">
        <v>2025</v>
      </c>
      <c r="B4359" t="s">
        <v>8679</v>
      </c>
      <c r="C4359" s="1">
        <v>46013</v>
      </c>
      <c r="D4359" t="s">
        <v>8680</v>
      </c>
      <c r="E4359" s="2">
        <v>12299.4</v>
      </c>
      <c r="G4359" s="3">
        <f>MONTH(Tabela1[[#This Row],[Último pagto ano]])</f>
        <v>12</v>
      </c>
      <c r="H4359" t="str">
        <f>TEXT(Tabela1[[#This Row],[Coluna2]]*29,"mmmm")</f>
        <v>dezembro</v>
      </c>
      <c r="I4359" t="str">
        <f>TEXT(MONTH(Tabela1[[#This Row],[Último pagto ano]])*29,"mmmm")</f>
        <v>dezembro</v>
      </c>
    </row>
    <row r="4360" spans="1:9" x14ac:dyDescent="0.25">
      <c r="A4360">
        <v>2025</v>
      </c>
      <c r="B4360" t="s">
        <v>8681</v>
      </c>
      <c r="C4360" s="1">
        <v>45832</v>
      </c>
      <c r="D4360" t="s">
        <v>8682</v>
      </c>
      <c r="E4360" s="2">
        <v>4200</v>
      </c>
      <c r="G4360" s="3">
        <f>MONTH(Tabela1[[#This Row],[Último pagto ano]])</f>
        <v>6</v>
      </c>
      <c r="H4360" t="str">
        <f>TEXT(Tabela1[[#This Row],[Coluna2]]*29,"mmmm")</f>
        <v>junho</v>
      </c>
      <c r="I4360" t="str">
        <f>TEXT(MONTH(Tabela1[[#This Row],[Último pagto ano]])*29,"mmmm")</f>
        <v>junho</v>
      </c>
    </row>
    <row r="4361" spans="1:9" x14ac:dyDescent="0.25">
      <c r="A4361">
        <v>2025</v>
      </c>
      <c r="B4361" t="s">
        <v>8683</v>
      </c>
      <c r="C4361" s="1">
        <v>45762</v>
      </c>
      <c r="D4361" t="s">
        <v>8684</v>
      </c>
      <c r="E4361">
        <v>592.32000000000005</v>
      </c>
      <c r="G4361" s="3">
        <f>MONTH(Tabela1[[#This Row],[Último pagto ano]])</f>
        <v>4</v>
      </c>
      <c r="H4361" t="str">
        <f>TEXT(Tabela1[[#This Row],[Coluna2]]*29,"mmmm")</f>
        <v>abril</v>
      </c>
      <c r="I4361" t="str">
        <f>TEXT(MONTH(Tabela1[[#This Row],[Último pagto ano]])*29,"mmmm")</f>
        <v>abril</v>
      </c>
    </row>
    <row r="4362" spans="1:9" x14ac:dyDescent="0.25">
      <c r="A4362">
        <v>2025</v>
      </c>
      <c r="B4362" t="s">
        <v>8685</v>
      </c>
      <c r="C4362" s="1">
        <v>46014</v>
      </c>
      <c r="D4362" t="s">
        <v>8686</v>
      </c>
      <c r="E4362" s="2">
        <v>30000</v>
      </c>
      <c r="G4362" s="3">
        <f>MONTH(Tabela1[[#This Row],[Último pagto ano]])</f>
        <v>12</v>
      </c>
      <c r="H4362" t="str">
        <f>TEXT(Tabela1[[#This Row],[Coluna2]]*29,"mmmm")</f>
        <v>dezembro</v>
      </c>
      <c r="I4362" t="str">
        <f>TEXT(MONTH(Tabela1[[#This Row],[Último pagto ano]])*29,"mmmm")</f>
        <v>dezembro</v>
      </c>
    </row>
    <row r="4363" spans="1:9" x14ac:dyDescent="0.25">
      <c r="A4363">
        <v>2025</v>
      </c>
      <c r="B4363" t="s">
        <v>8687</v>
      </c>
      <c r="C4363" s="1">
        <v>46010</v>
      </c>
      <c r="D4363" t="s">
        <v>8688</v>
      </c>
      <c r="E4363" s="2">
        <v>12000</v>
      </c>
      <c r="G4363" s="3">
        <f>MONTH(Tabela1[[#This Row],[Último pagto ano]])</f>
        <v>12</v>
      </c>
      <c r="H4363" t="str">
        <f>TEXT(Tabela1[[#This Row],[Coluna2]]*29,"mmmm")</f>
        <v>dezembro</v>
      </c>
      <c r="I4363" t="str">
        <f>TEXT(MONTH(Tabela1[[#This Row],[Último pagto ano]])*29,"mmmm")</f>
        <v>dezembro</v>
      </c>
    </row>
    <row r="4364" spans="1:9" x14ac:dyDescent="0.25">
      <c r="A4364">
        <v>2025</v>
      </c>
      <c r="B4364" t="s">
        <v>8689</v>
      </c>
      <c r="C4364" s="1">
        <v>46006</v>
      </c>
      <c r="D4364" t="s">
        <v>8690</v>
      </c>
      <c r="E4364" s="2">
        <v>1776.96</v>
      </c>
      <c r="G4364" s="3">
        <f>MONTH(Tabela1[[#This Row],[Último pagto ano]])</f>
        <v>12</v>
      </c>
      <c r="H4364" t="str">
        <f>TEXT(Tabela1[[#This Row],[Coluna2]]*29,"mmmm")</f>
        <v>dezembro</v>
      </c>
      <c r="I4364" t="str">
        <f>TEXT(MONTH(Tabela1[[#This Row],[Último pagto ano]])*29,"mmmm")</f>
        <v>dezembro</v>
      </c>
    </row>
    <row r="4365" spans="1:9" x14ac:dyDescent="0.25">
      <c r="A4365">
        <v>2025</v>
      </c>
      <c r="B4365" t="s">
        <v>8691</v>
      </c>
      <c r="C4365" s="1">
        <v>46014</v>
      </c>
      <c r="D4365" t="s">
        <v>8692</v>
      </c>
      <c r="E4365" s="2">
        <v>16600</v>
      </c>
      <c r="G4365" s="3">
        <f>MONTH(Tabela1[[#This Row],[Último pagto ano]])</f>
        <v>12</v>
      </c>
      <c r="H4365" t="str">
        <f>TEXT(Tabela1[[#This Row],[Coluna2]]*29,"mmmm")</f>
        <v>dezembro</v>
      </c>
      <c r="I4365" t="str">
        <f>TEXT(MONTH(Tabela1[[#This Row],[Último pagto ano]])*29,"mmmm")</f>
        <v>dezembro</v>
      </c>
    </row>
    <row r="4366" spans="1:9" x14ac:dyDescent="0.25">
      <c r="A4366">
        <v>2025</v>
      </c>
      <c r="B4366" t="s">
        <v>8693</v>
      </c>
      <c r="C4366" s="1">
        <v>45756</v>
      </c>
      <c r="D4366" t="s">
        <v>8694</v>
      </c>
      <c r="E4366" s="2">
        <v>27902.32</v>
      </c>
      <c r="G4366" s="3">
        <f>MONTH(Tabela1[[#This Row],[Último pagto ano]])</f>
        <v>4</v>
      </c>
      <c r="H4366" t="str">
        <f>TEXT(Tabela1[[#This Row],[Coluna2]]*29,"mmmm")</f>
        <v>abril</v>
      </c>
      <c r="I4366" t="str">
        <f>TEXT(MONTH(Tabela1[[#This Row],[Último pagto ano]])*29,"mmmm")</f>
        <v>abril</v>
      </c>
    </row>
    <row r="4367" spans="1:9" x14ac:dyDescent="0.25">
      <c r="A4367">
        <v>2025</v>
      </c>
      <c r="B4367" t="s">
        <v>8695</v>
      </c>
      <c r="C4367" s="1">
        <v>45743</v>
      </c>
      <c r="D4367" t="s">
        <v>8696</v>
      </c>
      <c r="E4367">
        <v>863.4</v>
      </c>
      <c r="G4367" s="3">
        <f>MONTH(Tabela1[[#This Row],[Último pagto ano]])</f>
        <v>3</v>
      </c>
      <c r="H4367" t="str">
        <f>TEXT(Tabela1[[#This Row],[Coluna2]]*29,"mmmm")</f>
        <v>março</v>
      </c>
      <c r="I4367" t="str">
        <f>TEXT(MONTH(Tabela1[[#This Row],[Último pagto ano]])*29,"mmmm")</f>
        <v>março</v>
      </c>
    </row>
    <row r="4368" spans="1:9" x14ac:dyDescent="0.25">
      <c r="A4368">
        <v>2025</v>
      </c>
      <c r="B4368" t="s">
        <v>8697</v>
      </c>
      <c r="C4368" s="1">
        <v>45786</v>
      </c>
      <c r="D4368" t="s">
        <v>8698</v>
      </c>
      <c r="E4368">
        <v>70</v>
      </c>
      <c r="G4368" s="3">
        <f>MONTH(Tabela1[[#This Row],[Último pagto ano]])</f>
        <v>5</v>
      </c>
      <c r="H4368" t="str">
        <f>TEXT(Tabela1[[#This Row],[Coluna2]]*29,"mmmm")</f>
        <v>maio</v>
      </c>
      <c r="I4368" t="str">
        <f>TEXT(MONTH(Tabela1[[#This Row],[Último pagto ano]])*29,"mmmm")</f>
        <v>maio</v>
      </c>
    </row>
    <row r="4369" spans="1:9" x14ac:dyDescent="0.25">
      <c r="A4369">
        <v>2025</v>
      </c>
      <c r="B4369" t="s">
        <v>8699</v>
      </c>
      <c r="C4369" s="1">
        <v>46014</v>
      </c>
      <c r="D4369" t="s">
        <v>8700</v>
      </c>
      <c r="E4369" s="2">
        <v>19939.2</v>
      </c>
      <c r="G4369" s="3">
        <f>MONTH(Tabela1[[#This Row],[Último pagto ano]])</f>
        <v>12</v>
      </c>
      <c r="H4369" t="str">
        <f>TEXT(Tabela1[[#This Row],[Coluna2]]*29,"mmmm")</f>
        <v>dezembro</v>
      </c>
      <c r="I4369" t="str">
        <f>TEXT(MONTH(Tabela1[[#This Row],[Último pagto ano]])*29,"mmmm")</f>
        <v>dezembro</v>
      </c>
    </row>
    <row r="4370" spans="1:9" x14ac:dyDescent="0.25">
      <c r="A4370">
        <v>2025</v>
      </c>
      <c r="B4370" t="s">
        <v>8701</v>
      </c>
      <c r="C4370" s="1">
        <v>46014</v>
      </c>
      <c r="D4370" t="s">
        <v>8702</v>
      </c>
      <c r="E4370" s="2">
        <v>19939.2</v>
      </c>
      <c r="G4370" s="3">
        <f>MONTH(Tabela1[[#This Row],[Último pagto ano]])</f>
        <v>12</v>
      </c>
      <c r="H4370" t="str">
        <f>TEXT(Tabela1[[#This Row],[Coluna2]]*29,"mmmm")</f>
        <v>dezembro</v>
      </c>
      <c r="I4370" t="str">
        <f>TEXT(MONTH(Tabela1[[#This Row],[Último pagto ano]])*29,"mmmm")</f>
        <v>dezembro</v>
      </c>
    </row>
    <row r="4371" spans="1:9" x14ac:dyDescent="0.25">
      <c r="A4371">
        <v>2025</v>
      </c>
      <c r="B4371" t="s">
        <v>8703</v>
      </c>
      <c r="C4371" s="1">
        <v>45722</v>
      </c>
      <c r="D4371" t="s">
        <v>8704</v>
      </c>
      <c r="E4371">
        <v>22</v>
      </c>
      <c r="G4371" s="3">
        <f>MONTH(Tabela1[[#This Row],[Último pagto ano]])</f>
        <v>3</v>
      </c>
      <c r="H4371" t="str">
        <f>TEXT(Tabela1[[#This Row],[Coluna2]]*29,"mmmm")</f>
        <v>março</v>
      </c>
      <c r="I4371" t="str">
        <f>TEXT(MONTH(Tabela1[[#This Row],[Último pagto ano]])*29,"mmmm")</f>
        <v>março</v>
      </c>
    </row>
    <row r="4372" spans="1:9" x14ac:dyDescent="0.25">
      <c r="A4372">
        <v>2025</v>
      </c>
      <c r="B4372" t="s">
        <v>8705</v>
      </c>
      <c r="C4372" s="1">
        <v>45975</v>
      </c>
      <c r="D4372" t="s">
        <v>8706</v>
      </c>
      <c r="E4372" s="2">
        <v>4415.84</v>
      </c>
      <c r="G4372" s="3">
        <f>MONTH(Tabela1[[#This Row],[Último pagto ano]])</f>
        <v>11</v>
      </c>
      <c r="H4372" t="str">
        <f>TEXT(Tabela1[[#This Row],[Coluna2]]*29,"mmmm")</f>
        <v>novembro</v>
      </c>
      <c r="I4372" t="str">
        <f>TEXT(MONTH(Tabela1[[#This Row],[Último pagto ano]])*29,"mmmm")</f>
        <v>novembro</v>
      </c>
    </row>
    <row r="4373" spans="1:9" x14ac:dyDescent="0.25">
      <c r="A4373">
        <v>2025</v>
      </c>
      <c r="B4373" t="s">
        <v>8707</v>
      </c>
      <c r="C4373" s="1">
        <v>46010</v>
      </c>
      <c r="D4373" t="s">
        <v>8708</v>
      </c>
      <c r="E4373" s="2">
        <v>2100</v>
      </c>
      <c r="G4373" s="3">
        <f>MONTH(Tabela1[[#This Row],[Último pagto ano]])</f>
        <v>12</v>
      </c>
      <c r="H4373" t="str">
        <f>TEXT(Tabela1[[#This Row],[Coluna2]]*29,"mmmm")</f>
        <v>dezembro</v>
      </c>
      <c r="I4373" t="str">
        <f>TEXT(MONTH(Tabela1[[#This Row],[Último pagto ano]])*29,"mmmm")</f>
        <v>dezembro</v>
      </c>
    </row>
    <row r="4374" spans="1:9" x14ac:dyDescent="0.25">
      <c r="A4374">
        <v>2025</v>
      </c>
      <c r="B4374" t="s">
        <v>8709</v>
      </c>
      <c r="C4374" s="1">
        <v>45747</v>
      </c>
      <c r="D4374" t="s">
        <v>8710</v>
      </c>
      <c r="E4374" s="2">
        <v>4135.71</v>
      </c>
      <c r="G4374" s="3">
        <f>MONTH(Tabela1[[#This Row],[Último pagto ano]])</f>
        <v>3</v>
      </c>
      <c r="H4374" t="str">
        <f>TEXT(Tabela1[[#This Row],[Coluna2]]*29,"mmmm")</f>
        <v>março</v>
      </c>
      <c r="I4374" t="str">
        <f>TEXT(MONTH(Tabela1[[#This Row],[Último pagto ano]])*29,"mmmm")</f>
        <v>março</v>
      </c>
    </row>
    <row r="4375" spans="1:9" x14ac:dyDescent="0.25">
      <c r="A4375">
        <v>2025</v>
      </c>
      <c r="B4375" t="s">
        <v>8711</v>
      </c>
      <c r="C4375" s="1">
        <v>45874</v>
      </c>
      <c r="D4375" t="s">
        <v>8712</v>
      </c>
      <c r="E4375" s="2">
        <v>3423.27</v>
      </c>
      <c r="G4375" s="3">
        <f>MONTH(Tabela1[[#This Row],[Último pagto ano]])</f>
        <v>8</v>
      </c>
      <c r="H4375" t="str">
        <f>TEXT(Tabela1[[#This Row],[Coluna2]]*29,"mmmm")</f>
        <v>agosto</v>
      </c>
      <c r="I4375" t="str">
        <f>TEXT(MONTH(Tabela1[[#This Row],[Último pagto ano]])*29,"mmmm")</f>
        <v>agosto</v>
      </c>
    </row>
    <row r="4376" spans="1:9" x14ac:dyDescent="0.25">
      <c r="A4376">
        <v>2025</v>
      </c>
      <c r="B4376" t="s">
        <v>8713</v>
      </c>
      <c r="C4376" s="1">
        <v>45751</v>
      </c>
      <c r="D4376" t="s">
        <v>8714</v>
      </c>
      <c r="E4376">
        <v>129.6</v>
      </c>
      <c r="G4376" s="3">
        <f>MONTH(Tabela1[[#This Row],[Último pagto ano]])</f>
        <v>4</v>
      </c>
      <c r="H4376" t="str">
        <f>TEXT(Tabela1[[#This Row],[Coluna2]]*29,"mmmm")</f>
        <v>abril</v>
      </c>
      <c r="I4376" t="str">
        <f>TEXT(MONTH(Tabela1[[#This Row],[Último pagto ano]])*29,"mmmm")</f>
        <v>abril</v>
      </c>
    </row>
    <row r="4377" spans="1:9" x14ac:dyDescent="0.25">
      <c r="A4377">
        <v>2025</v>
      </c>
      <c r="B4377" t="s">
        <v>8715</v>
      </c>
      <c r="C4377" s="1">
        <v>45769</v>
      </c>
      <c r="D4377" t="s">
        <v>8716</v>
      </c>
      <c r="E4377">
        <v>3.96</v>
      </c>
      <c r="G4377" s="3">
        <f>MONTH(Tabela1[[#This Row],[Último pagto ano]])</f>
        <v>4</v>
      </c>
      <c r="H4377" t="str">
        <f>TEXT(Tabela1[[#This Row],[Coluna2]]*29,"mmmm")</f>
        <v>abril</v>
      </c>
      <c r="I4377" t="str">
        <f>TEXT(MONTH(Tabela1[[#This Row],[Último pagto ano]])*29,"mmmm")</f>
        <v>abril</v>
      </c>
    </row>
    <row r="4378" spans="1:9" x14ac:dyDescent="0.25">
      <c r="A4378">
        <v>2025</v>
      </c>
      <c r="B4378" t="s">
        <v>8717</v>
      </c>
      <c r="C4378" s="1">
        <v>45924</v>
      </c>
      <c r="D4378" t="s">
        <v>8718</v>
      </c>
      <c r="E4378" s="2">
        <v>2100</v>
      </c>
      <c r="G4378" s="3">
        <f>MONTH(Tabela1[[#This Row],[Último pagto ano]])</f>
        <v>9</v>
      </c>
      <c r="H4378" t="str">
        <f>TEXT(Tabela1[[#This Row],[Coluna2]]*29,"mmmm")</f>
        <v>setembro</v>
      </c>
      <c r="I4378" t="str">
        <f>TEXT(MONTH(Tabela1[[#This Row],[Último pagto ano]])*29,"mmmm")</f>
        <v>setembro</v>
      </c>
    </row>
    <row r="4379" spans="1:9" x14ac:dyDescent="0.25">
      <c r="A4379">
        <v>2025</v>
      </c>
      <c r="B4379" t="s">
        <v>8719</v>
      </c>
      <c r="C4379" s="1">
        <v>45978</v>
      </c>
      <c r="D4379" t="s">
        <v>8720</v>
      </c>
      <c r="E4379">
        <v>506</v>
      </c>
      <c r="G4379" s="3">
        <f>MONTH(Tabela1[[#This Row],[Último pagto ano]])</f>
        <v>11</v>
      </c>
      <c r="H4379" t="str">
        <f>TEXT(Tabela1[[#This Row],[Coluna2]]*29,"mmmm")</f>
        <v>novembro</v>
      </c>
      <c r="I4379" t="str">
        <f>TEXT(MONTH(Tabela1[[#This Row],[Último pagto ano]])*29,"mmmm")</f>
        <v>novembro</v>
      </c>
    </row>
    <row r="4380" spans="1:9" x14ac:dyDescent="0.25">
      <c r="A4380">
        <v>2025</v>
      </c>
      <c r="B4380" t="s">
        <v>8721</v>
      </c>
      <c r="C4380" s="1">
        <v>46010</v>
      </c>
      <c r="D4380" t="s">
        <v>8722</v>
      </c>
      <c r="E4380" s="2">
        <v>8400</v>
      </c>
      <c r="G4380" s="3">
        <f>MONTH(Tabela1[[#This Row],[Último pagto ano]])</f>
        <v>12</v>
      </c>
      <c r="H4380" t="str">
        <f>TEXT(Tabela1[[#This Row],[Coluna2]]*29,"mmmm")</f>
        <v>dezembro</v>
      </c>
      <c r="I4380" t="str">
        <f>TEXT(MONTH(Tabela1[[#This Row],[Último pagto ano]])*29,"mmmm")</f>
        <v>dezembro</v>
      </c>
    </row>
    <row r="4381" spans="1:9" x14ac:dyDescent="0.25">
      <c r="A4381">
        <v>2025</v>
      </c>
      <c r="B4381" t="s">
        <v>8723</v>
      </c>
      <c r="C4381" s="1">
        <v>45712</v>
      </c>
      <c r="D4381" t="s">
        <v>8724</v>
      </c>
      <c r="E4381">
        <v>550.79</v>
      </c>
      <c r="G4381" s="3">
        <f>MONTH(Tabela1[[#This Row],[Último pagto ano]])</f>
        <v>2</v>
      </c>
      <c r="H4381" t="str">
        <f>TEXT(Tabela1[[#This Row],[Coluna2]]*29,"mmmm")</f>
        <v>fevereiro</v>
      </c>
      <c r="I4381" t="str">
        <f>TEXT(MONTH(Tabela1[[#This Row],[Último pagto ano]])*29,"mmmm")</f>
        <v>fevereiro</v>
      </c>
    </row>
    <row r="4382" spans="1:9" x14ac:dyDescent="0.25">
      <c r="A4382">
        <v>2025</v>
      </c>
      <c r="B4382" t="s">
        <v>8725</v>
      </c>
      <c r="C4382" s="1">
        <v>45684</v>
      </c>
      <c r="D4382" t="s">
        <v>8726</v>
      </c>
      <c r="E4382">
        <v>22</v>
      </c>
      <c r="G4382" s="3">
        <f>MONTH(Tabela1[[#This Row],[Último pagto ano]])</f>
        <v>1</v>
      </c>
      <c r="H4382" t="str">
        <f>TEXT(Tabela1[[#This Row],[Coluna2]]*29,"mmmm")</f>
        <v>janeiro</v>
      </c>
      <c r="I4382" t="str">
        <f>TEXT(MONTH(Tabela1[[#This Row],[Último pagto ano]])*29,"mmmm")</f>
        <v>janeiro</v>
      </c>
    </row>
    <row r="4383" spans="1:9" x14ac:dyDescent="0.25">
      <c r="A4383">
        <v>2025</v>
      </c>
      <c r="B4383" t="s">
        <v>8727</v>
      </c>
      <c r="C4383" s="1">
        <v>45937</v>
      </c>
      <c r="D4383" t="s">
        <v>8728</v>
      </c>
      <c r="E4383" s="2">
        <v>1400</v>
      </c>
      <c r="G4383" s="3">
        <f>MONTH(Tabela1[[#This Row],[Último pagto ano]])</f>
        <v>10</v>
      </c>
      <c r="H4383" t="str">
        <f>TEXT(Tabela1[[#This Row],[Coluna2]]*29,"mmmm")</f>
        <v>outubro</v>
      </c>
      <c r="I4383" t="str">
        <f>TEXT(MONTH(Tabela1[[#This Row],[Último pagto ano]])*29,"mmmm")</f>
        <v>outubro</v>
      </c>
    </row>
    <row r="4384" spans="1:9" x14ac:dyDescent="0.25">
      <c r="A4384">
        <v>2025</v>
      </c>
      <c r="B4384" t="s">
        <v>8729</v>
      </c>
      <c r="C4384" s="1">
        <v>45835</v>
      </c>
      <c r="D4384" t="s">
        <v>8730</v>
      </c>
      <c r="E4384">
        <v>1.62</v>
      </c>
      <c r="G4384" s="3">
        <f>MONTH(Tabela1[[#This Row],[Último pagto ano]])</f>
        <v>6</v>
      </c>
      <c r="H4384" t="str">
        <f>TEXT(Tabela1[[#This Row],[Coluna2]]*29,"mmmm")</f>
        <v>junho</v>
      </c>
      <c r="I4384" t="str">
        <f>TEXT(MONTH(Tabela1[[#This Row],[Último pagto ano]])*29,"mmmm")</f>
        <v>junho</v>
      </c>
    </row>
    <row r="4385" spans="1:9" x14ac:dyDescent="0.25">
      <c r="A4385">
        <v>2025</v>
      </c>
      <c r="B4385" t="s">
        <v>8731</v>
      </c>
      <c r="C4385" s="1">
        <v>45750</v>
      </c>
      <c r="D4385" t="s">
        <v>8732</v>
      </c>
      <c r="E4385" s="2">
        <v>3577.91</v>
      </c>
      <c r="G4385" s="3">
        <f>MONTH(Tabela1[[#This Row],[Último pagto ano]])</f>
        <v>4</v>
      </c>
      <c r="H4385" t="str">
        <f>TEXT(Tabela1[[#This Row],[Coluna2]]*29,"mmmm")</f>
        <v>abril</v>
      </c>
      <c r="I4385" t="str">
        <f>TEXT(MONTH(Tabela1[[#This Row],[Último pagto ano]])*29,"mmmm")</f>
        <v>abril</v>
      </c>
    </row>
    <row r="4386" spans="1:9" x14ac:dyDescent="0.25">
      <c r="A4386">
        <v>2025</v>
      </c>
      <c r="B4386" t="s">
        <v>8733</v>
      </c>
      <c r="C4386" s="1">
        <v>45838</v>
      </c>
      <c r="D4386" t="s">
        <v>8734</v>
      </c>
      <c r="E4386">
        <v>22</v>
      </c>
      <c r="G4386" s="3">
        <f>MONTH(Tabela1[[#This Row],[Último pagto ano]])</f>
        <v>6</v>
      </c>
      <c r="H4386" t="str">
        <f>TEXT(Tabela1[[#This Row],[Coluna2]]*29,"mmmm")</f>
        <v>junho</v>
      </c>
      <c r="I4386" t="str">
        <f>TEXT(MONTH(Tabela1[[#This Row],[Último pagto ano]])*29,"mmmm")</f>
        <v>junho</v>
      </c>
    </row>
    <row r="4387" spans="1:9" x14ac:dyDescent="0.25">
      <c r="A4387">
        <v>2025</v>
      </c>
      <c r="B4387" t="s">
        <v>8735</v>
      </c>
      <c r="C4387" s="1">
        <v>46010</v>
      </c>
      <c r="D4387" t="s">
        <v>8736</v>
      </c>
      <c r="E4387" s="2">
        <v>8400</v>
      </c>
      <c r="G4387" s="3">
        <f>MONTH(Tabela1[[#This Row],[Último pagto ano]])</f>
        <v>12</v>
      </c>
      <c r="H4387" t="str">
        <f>TEXT(Tabela1[[#This Row],[Coluna2]]*29,"mmmm")</f>
        <v>dezembro</v>
      </c>
      <c r="I4387" t="str">
        <f>TEXT(MONTH(Tabela1[[#This Row],[Último pagto ano]])*29,"mmmm")</f>
        <v>dezembro</v>
      </c>
    </row>
    <row r="4388" spans="1:9" x14ac:dyDescent="0.25">
      <c r="A4388">
        <v>2025</v>
      </c>
      <c r="B4388" t="s">
        <v>8737</v>
      </c>
      <c r="C4388" s="1">
        <v>46010</v>
      </c>
      <c r="D4388" t="s">
        <v>8738</v>
      </c>
      <c r="E4388" s="2">
        <v>4200</v>
      </c>
      <c r="G4388" s="3">
        <f>MONTH(Tabela1[[#This Row],[Último pagto ano]])</f>
        <v>12</v>
      </c>
      <c r="H4388" t="str">
        <f>TEXT(Tabela1[[#This Row],[Coluna2]]*29,"mmmm")</f>
        <v>dezembro</v>
      </c>
      <c r="I4388" t="str">
        <f>TEXT(MONTH(Tabela1[[#This Row],[Último pagto ano]])*29,"mmmm")</f>
        <v>dezembro</v>
      </c>
    </row>
    <row r="4389" spans="1:9" x14ac:dyDescent="0.25">
      <c r="A4389">
        <v>2025</v>
      </c>
      <c r="B4389" t="s">
        <v>8739</v>
      </c>
      <c r="C4389" s="1">
        <v>45743</v>
      </c>
      <c r="D4389" t="s">
        <v>8740</v>
      </c>
      <c r="E4389">
        <v>1.81</v>
      </c>
      <c r="G4389" s="3">
        <f>MONTH(Tabela1[[#This Row],[Último pagto ano]])</f>
        <v>3</v>
      </c>
      <c r="H4389" t="str">
        <f>TEXT(Tabela1[[#This Row],[Coluna2]]*29,"mmmm")</f>
        <v>março</v>
      </c>
      <c r="I4389" t="str">
        <f>TEXT(MONTH(Tabela1[[#This Row],[Último pagto ano]])*29,"mmmm")</f>
        <v>março</v>
      </c>
    </row>
    <row r="4390" spans="1:9" x14ac:dyDescent="0.25">
      <c r="A4390">
        <v>2025</v>
      </c>
      <c r="B4390" t="s">
        <v>8741</v>
      </c>
      <c r="C4390" s="1">
        <v>45985</v>
      </c>
      <c r="D4390" t="s">
        <v>8742</v>
      </c>
      <c r="E4390">
        <v>154</v>
      </c>
      <c r="G4390" s="3">
        <f>MONTH(Tabela1[[#This Row],[Último pagto ano]])</f>
        <v>11</v>
      </c>
      <c r="H4390" t="str">
        <f>TEXT(Tabela1[[#This Row],[Coluna2]]*29,"mmmm")</f>
        <v>novembro</v>
      </c>
      <c r="I4390" t="str">
        <f>TEXT(MONTH(Tabela1[[#This Row],[Último pagto ano]])*29,"mmmm")</f>
        <v>novembro</v>
      </c>
    </row>
    <row r="4391" spans="1:9" x14ac:dyDescent="0.25">
      <c r="A4391">
        <v>2025</v>
      </c>
      <c r="B4391" t="s">
        <v>8743</v>
      </c>
      <c r="C4391" s="1">
        <v>45915</v>
      </c>
      <c r="D4391" t="s">
        <v>8744</v>
      </c>
      <c r="E4391" s="2">
        <v>22480.400000000001</v>
      </c>
      <c r="G4391" s="3">
        <f>MONTH(Tabela1[[#This Row],[Último pagto ano]])</f>
        <v>9</v>
      </c>
      <c r="H4391" t="str">
        <f>TEXT(Tabela1[[#This Row],[Coluna2]]*29,"mmmm")</f>
        <v>setembro</v>
      </c>
      <c r="I4391" t="str">
        <f>TEXT(MONTH(Tabela1[[#This Row],[Último pagto ano]])*29,"mmmm")</f>
        <v>setembro</v>
      </c>
    </row>
    <row r="4392" spans="1:9" x14ac:dyDescent="0.25">
      <c r="A4392">
        <v>2025</v>
      </c>
      <c r="B4392" t="s">
        <v>8745</v>
      </c>
      <c r="C4392" s="1">
        <v>45999</v>
      </c>
      <c r="D4392" t="s">
        <v>8746</v>
      </c>
      <c r="E4392" s="2">
        <v>56137.2</v>
      </c>
      <c r="G4392" s="3">
        <f>MONTH(Tabela1[[#This Row],[Último pagto ano]])</f>
        <v>12</v>
      </c>
      <c r="H4392" t="str">
        <f>TEXT(Tabela1[[#This Row],[Coluna2]]*29,"mmmm")</f>
        <v>dezembro</v>
      </c>
      <c r="I4392" t="str">
        <f>TEXT(MONTH(Tabela1[[#This Row],[Último pagto ano]])*29,"mmmm")</f>
        <v>dezembro</v>
      </c>
    </row>
    <row r="4393" spans="1:9" x14ac:dyDescent="0.25">
      <c r="A4393">
        <v>2025</v>
      </c>
      <c r="B4393" t="s">
        <v>8747</v>
      </c>
      <c r="C4393" s="1">
        <v>45863</v>
      </c>
      <c r="D4393" t="s">
        <v>8748</v>
      </c>
      <c r="E4393" s="2">
        <v>4900</v>
      </c>
      <c r="G4393" s="3">
        <f>MONTH(Tabela1[[#This Row],[Último pagto ano]])</f>
        <v>7</v>
      </c>
      <c r="H4393" t="str">
        <f>TEXT(Tabela1[[#This Row],[Coluna2]]*29,"mmmm")</f>
        <v>julho</v>
      </c>
      <c r="I4393" t="str">
        <f>TEXT(MONTH(Tabela1[[#This Row],[Último pagto ano]])*29,"mmmm")</f>
        <v>julho</v>
      </c>
    </row>
    <row r="4394" spans="1:9" x14ac:dyDescent="0.25">
      <c r="A4394">
        <v>2025</v>
      </c>
      <c r="B4394" t="s">
        <v>8749</v>
      </c>
      <c r="C4394" s="1">
        <v>45894</v>
      </c>
      <c r="D4394" t="s">
        <v>8750</v>
      </c>
      <c r="E4394" s="2">
        <v>3500</v>
      </c>
      <c r="G4394" s="3">
        <f>MONTH(Tabela1[[#This Row],[Último pagto ano]])</f>
        <v>8</v>
      </c>
      <c r="H4394" t="str">
        <f>TEXT(Tabela1[[#This Row],[Coluna2]]*29,"mmmm")</f>
        <v>agosto</v>
      </c>
      <c r="I4394" t="str">
        <f>TEXT(MONTH(Tabela1[[#This Row],[Último pagto ano]])*29,"mmmm")</f>
        <v>agosto</v>
      </c>
    </row>
    <row r="4395" spans="1:9" x14ac:dyDescent="0.25">
      <c r="A4395">
        <v>2025</v>
      </c>
      <c r="B4395" t="s">
        <v>8751</v>
      </c>
      <c r="C4395" s="1">
        <v>45975</v>
      </c>
      <c r="D4395" t="s">
        <v>8752</v>
      </c>
      <c r="E4395" s="2">
        <v>8883.84</v>
      </c>
      <c r="G4395" s="3">
        <f>MONTH(Tabela1[[#This Row],[Último pagto ano]])</f>
        <v>11</v>
      </c>
      <c r="H4395" t="str">
        <f>TEXT(Tabela1[[#This Row],[Coluna2]]*29,"mmmm")</f>
        <v>novembro</v>
      </c>
      <c r="I4395" t="str">
        <f>TEXT(MONTH(Tabela1[[#This Row],[Último pagto ano]])*29,"mmmm")</f>
        <v>novembro</v>
      </c>
    </row>
    <row r="4396" spans="1:9" x14ac:dyDescent="0.25">
      <c r="A4396">
        <v>2025</v>
      </c>
      <c r="B4396" t="s">
        <v>8753</v>
      </c>
      <c r="C4396" s="1">
        <v>46013</v>
      </c>
      <c r="D4396" t="s">
        <v>8754</v>
      </c>
      <c r="E4396" s="2">
        <v>12301.2</v>
      </c>
      <c r="G4396" s="3">
        <f>MONTH(Tabela1[[#This Row],[Último pagto ano]])</f>
        <v>12</v>
      </c>
      <c r="H4396" t="str">
        <f>TEXT(Tabela1[[#This Row],[Coluna2]]*29,"mmmm")</f>
        <v>dezembro</v>
      </c>
      <c r="I4396" t="str">
        <f>TEXT(MONTH(Tabela1[[#This Row],[Último pagto ano]])*29,"mmmm")</f>
        <v>dezembro</v>
      </c>
    </row>
    <row r="4397" spans="1:9" x14ac:dyDescent="0.25">
      <c r="A4397">
        <v>2025</v>
      </c>
      <c r="B4397" t="s">
        <v>8755</v>
      </c>
      <c r="C4397" s="1">
        <v>45751</v>
      </c>
      <c r="D4397" t="s">
        <v>8756</v>
      </c>
      <c r="E4397">
        <v>234.78</v>
      </c>
      <c r="G4397" s="3">
        <f>MONTH(Tabela1[[#This Row],[Último pagto ano]])</f>
        <v>4</v>
      </c>
      <c r="H4397" t="str">
        <f>TEXT(Tabela1[[#This Row],[Coluna2]]*29,"mmmm")</f>
        <v>abril</v>
      </c>
      <c r="I4397" t="str">
        <f>TEXT(MONTH(Tabela1[[#This Row],[Último pagto ano]])*29,"mmmm")</f>
        <v>abril</v>
      </c>
    </row>
    <row r="4398" spans="1:9" x14ac:dyDescent="0.25">
      <c r="A4398">
        <v>2025</v>
      </c>
      <c r="B4398" t="s">
        <v>8757</v>
      </c>
      <c r="C4398" s="1">
        <v>45992</v>
      </c>
      <c r="D4398" t="s">
        <v>8758</v>
      </c>
      <c r="E4398" s="2">
        <v>7700</v>
      </c>
      <c r="G4398" s="3">
        <f>MONTH(Tabela1[[#This Row],[Último pagto ano]])</f>
        <v>12</v>
      </c>
      <c r="H4398" t="str">
        <f>TEXT(Tabela1[[#This Row],[Coluna2]]*29,"mmmm")</f>
        <v>dezembro</v>
      </c>
      <c r="I4398" t="str">
        <f>TEXT(MONTH(Tabela1[[#This Row],[Último pagto ano]])*29,"mmmm")</f>
        <v>dezembro</v>
      </c>
    </row>
    <row r="4399" spans="1:9" x14ac:dyDescent="0.25">
      <c r="A4399">
        <v>2025</v>
      </c>
      <c r="B4399" t="s">
        <v>8759</v>
      </c>
      <c r="C4399" s="1">
        <v>46006</v>
      </c>
      <c r="D4399" t="s">
        <v>8760</v>
      </c>
      <c r="E4399" s="2">
        <v>7720</v>
      </c>
      <c r="G4399" s="3">
        <f>MONTH(Tabela1[[#This Row],[Último pagto ano]])</f>
        <v>12</v>
      </c>
      <c r="H4399" t="str">
        <f>TEXT(Tabela1[[#This Row],[Coluna2]]*29,"mmmm")</f>
        <v>dezembro</v>
      </c>
      <c r="I4399" t="str">
        <f>TEXT(MONTH(Tabela1[[#This Row],[Último pagto ano]])*29,"mmmm")</f>
        <v>dezembro</v>
      </c>
    </row>
    <row r="4400" spans="1:9" x14ac:dyDescent="0.25">
      <c r="A4400">
        <v>2025</v>
      </c>
      <c r="B4400" t="s">
        <v>8761</v>
      </c>
      <c r="C4400" s="1">
        <v>45782</v>
      </c>
      <c r="D4400" t="s">
        <v>8762</v>
      </c>
      <c r="E4400">
        <v>22</v>
      </c>
      <c r="G4400" s="3">
        <f>MONTH(Tabela1[[#This Row],[Último pagto ano]])</f>
        <v>5</v>
      </c>
      <c r="H4400" t="str">
        <f>TEXT(Tabela1[[#This Row],[Coluna2]]*29,"mmmm")</f>
        <v>maio</v>
      </c>
      <c r="I4400" t="str">
        <f>TEXT(MONTH(Tabela1[[#This Row],[Último pagto ano]])*29,"mmmm")</f>
        <v>maio</v>
      </c>
    </row>
    <row r="4401" spans="1:9" x14ac:dyDescent="0.25">
      <c r="A4401">
        <v>2025</v>
      </c>
      <c r="B4401" t="s">
        <v>8763</v>
      </c>
      <c r="C4401" s="1">
        <v>46006</v>
      </c>
      <c r="D4401" t="s">
        <v>8764</v>
      </c>
      <c r="E4401">
        <v>770.52</v>
      </c>
      <c r="G4401" s="3">
        <f>MONTH(Tabela1[[#This Row],[Último pagto ano]])</f>
        <v>12</v>
      </c>
      <c r="H4401" t="str">
        <f>TEXT(Tabela1[[#This Row],[Coluna2]]*29,"mmmm")</f>
        <v>dezembro</v>
      </c>
      <c r="I4401" t="str">
        <f>TEXT(MONTH(Tabela1[[#This Row],[Último pagto ano]])*29,"mmmm")</f>
        <v>dezembro</v>
      </c>
    </row>
    <row r="4402" spans="1:9" x14ac:dyDescent="0.25">
      <c r="A4402">
        <v>2025</v>
      </c>
      <c r="B4402" t="s">
        <v>8765</v>
      </c>
      <c r="C4402" s="1">
        <v>45845</v>
      </c>
      <c r="D4402" t="s">
        <v>8766</v>
      </c>
      <c r="E4402">
        <v>4.0599999999999996</v>
      </c>
      <c r="G4402" s="3">
        <f>MONTH(Tabela1[[#This Row],[Último pagto ano]])</f>
        <v>7</v>
      </c>
      <c r="H4402" t="str">
        <f>TEXT(Tabela1[[#This Row],[Coluna2]]*29,"mmmm")</f>
        <v>julho</v>
      </c>
      <c r="I4402" t="str">
        <f>TEXT(MONTH(Tabela1[[#This Row],[Último pagto ano]])*29,"mmmm")</f>
        <v>julho</v>
      </c>
    </row>
    <row r="4403" spans="1:9" x14ac:dyDescent="0.25">
      <c r="A4403">
        <v>2025</v>
      </c>
      <c r="B4403" t="s">
        <v>8767</v>
      </c>
      <c r="C4403" s="1">
        <v>45968</v>
      </c>
      <c r="D4403" t="s">
        <v>8768</v>
      </c>
      <c r="E4403" s="2">
        <v>14600</v>
      </c>
      <c r="G4403" s="3">
        <f>MONTH(Tabela1[[#This Row],[Último pagto ano]])</f>
        <v>11</v>
      </c>
      <c r="H4403" t="str">
        <f>TEXT(Tabela1[[#This Row],[Coluna2]]*29,"mmmm")</f>
        <v>novembro</v>
      </c>
      <c r="I4403" t="str">
        <f>TEXT(MONTH(Tabela1[[#This Row],[Último pagto ano]])*29,"mmmm")</f>
        <v>novembro</v>
      </c>
    </row>
    <row r="4404" spans="1:9" x14ac:dyDescent="0.25">
      <c r="A4404">
        <v>2025</v>
      </c>
      <c r="B4404" t="s">
        <v>8769</v>
      </c>
      <c r="C4404" s="1">
        <v>45782</v>
      </c>
      <c r="D4404" t="s">
        <v>8770</v>
      </c>
      <c r="E4404">
        <v>1.86</v>
      </c>
      <c r="G4404" s="3">
        <f>MONTH(Tabela1[[#This Row],[Último pagto ano]])</f>
        <v>5</v>
      </c>
      <c r="H4404" t="str">
        <f>TEXT(Tabela1[[#This Row],[Coluna2]]*29,"mmmm")</f>
        <v>maio</v>
      </c>
      <c r="I4404" t="str">
        <f>TEXT(MONTH(Tabela1[[#This Row],[Último pagto ano]])*29,"mmmm")</f>
        <v>maio</v>
      </c>
    </row>
    <row r="4405" spans="1:9" x14ac:dyDescent="0.25">
      <c r="A4405">
        <v>2025</v>
      </c>
      <c r="B4405" t="s">
        <v>8771</v>
      </c>
      <c r="C4405" s="1">
        <v>45929</v>
      </c>
      <c r="D4405" t="s">
        <v>8772</v>
      </c>
      <c r="E4405">
        <v>30.61</v>
      </c>
      <c r="G4405" s="3">
        <f>MONTH(Tabela1[[#This Row],[Último pagto ano]])</f>
        <v>9</v>
      </c>
      <c r="H4405" t="str">
        <f>TEXT(Tabela1[[#This Row],[Coluna2]]*29,"mmmm")</f>
        <v>setembro</v>
      </c>
      <c r="I4405" t="str">
        <f>TEXT(MONTH(Tabela1[[#This Row],[Último pagto ano]])*29,"mmmm")</f>
        <v>setembro</v>
      </c>
    </row>
    <row r="4406" spans="1:9" x14ac:dyDescent="0.25">
      <c r="A4406">
        <v>2025</v>
      </c>
      <c r="B4406" t="s">
        <v>8773</v>
      </c>
      <c r="C4406" s="1">
        <v>46010</v>
      </c>
      <c r="D4406" t="s">
        <v>8774</v>
      </c>
      <c r="E4406" s="2">
        <v>8400</v>
      </c>
      <c r="G4406" s="3">
        <f>MONTH(Tabela1[[#This Row],[Último pagto ano]])</f>
        <v>12</v>
      </c>
      <c r="H4406" t="str">
        <f>TEXT(Tabela1[[#This Row],[Coluna2]]*29,"mmmm")</f>
        <v>dezembro</v>
      </c>
      <c r="I4406" t="str">
        <f>TEXT(MONTH(Tabela1[[#This Row],[Último pagto ano]])*29,"mmmm")</f>
        <v>dezembro</v>
      </c>
    </row>
    <row r="4407" spans="1:9" x14ac:dyDescent="0.25">
      <c r="A4407">
        <v>2025</v>
      </c>
      <c r="B4407" t="s">
        <v>8775</v>
      </c>
      <c r="C4407" s="1">
        <v>45681</v>
      </c>
      <c r="D4407" t="s">
        <v>8776</v>
      </c>
      <c r="E4407">
        <v>700</v>
      </c>
      <c r="G4407" s="3">
        <f>MONTH(Tabela1[[#This Row],[Último pagto ano]])</f>
        <v>1</v>
      </c>
      <c r="H4407" t="str">
        <f>TEXT(Tabela1[[#This Row],[Coluna2]]*29,"mmmm")</f>
        <v>janeiro</v>
      </c>
      <c r="I4407" t="str">
        <f>TEXT(MONTH(Tabela1[[#This Row],[Último pagto ano]])*29,"mmmm")</f>
        <v>janeiro</v>
      </c>
    </row>
    <row r="4408" spans="1:9" x14ac:dyDescent="0.25">
      <c r="A4408">
        <v>2025</v>
      </c>
      <c r="B4408" t="s">
        <v>8777</v>
      </c>
      <c r="C4408" s="1">
        <v>45999</v>
      </c>
      <c r="D4408" t="s">
        <v>8778</v>
      </c>
      <c r="E4408">
        <v>110</v>
      </c>
      <c r="G4408" s="3">
        <f>MONTH(Tabela1[[#This Row],[Último pagto ano]])</f>
        <v>12</v>
      </c>
      <c r="H4408" t="str">
        <f>TEXT(Tabela1[[#This Row],[Coluna2]]*29,"mmmm")</f>
        <v>dezembro</v>
      </c>
      <c r="I4408" t="str">
        <f>TEXT(MONTH(Tabela1[[#This Row],[Último pagto ano]])*29,"mmmm")</f>
        <v>dezembro</v>
      </c>
    </row>
    <row r="4409" spans="1:9" x14ac:dyDescent="0.25">
      <c r="A4409">
        <v>2025</v>
      </c>
      <c r="B4409" t="s">
        <v>8779</v>
      </c>
      <c r="C4409" s="1">
        <v>45705</v>
      </c>
      <c r="D4409" t="s">
        <v>8780</v>
      </c>
      <c r="E4409">
        <v>296.16000000000003</v>
      </c>
      <c r="G4409" s="3">
        <f>MONTH(Tabela1[[#This Row],[Último pagto ano]])</f>
        <v>2</v>
      </c>
      <c r="H4409" t="str">
        <f>TEXT(Tabela1[[#This Row],[Coluna2]]*29,"mmmm")</f>
        <v>fevereiro</v>
      </c>
      <c r="I4409" t="str">
        <f>TEXT(MONTH(Tabela1[[#This Row],[Último pagto ano]])*29,"mmmm")</f>
        <v>fevereiro</v>
      </c>
    </row>
    <row r="4410" spans="1:9" x14ac:dyDescent="0.25">
      <c r="A4410">
        <v>2025</v>
      </c>
      <c r="B4410" t="s">
        <v>8781</v>
      </c>
      <c r="C4410" s="1">
        <v>45663</v>
      </c>
      <c r="D4410" t="s">
        <v>8782</v>
      </c>
      <c r="E4410">
        <v>11</v>
      </c>
      <c r="G4410" s="3">
        <f>MONTH(Tabela1[[#This Row],[Último pagto ano]])</f>
        <v>1</v>
      </c>
      <c r="H4410" t="str">
        <f>TEXT(Tabela1[[#This Row],[Coluna2]]*29,"mmmm")</f>
        <v>janeiro</v>
      </c>
      <c r="I4410" t="str">
        <f>TEXT(MONTH(Tabela1[[#This Row],[Último pagto ano]])*29,"mmmm")</f>
        <v>janeiro</v>
      </c>
    </row>
    <row r="4411" spans="1:9" x14ac:dyDescent="0.25">
      <c r="A4411">
        <v>2025</v>
      </c>
      <c r="B4411" t="s">
        <v>8783</v>
      </c>
      <c r="C4411" s="1">
        <v>45915</v>
      </c>
      <c r="D4411" t="s">
        <v>8784</v>
      </c>
      <c r="E4411">
        <v>77</v>
      </c>
      <c r="G4411" s="3">
        <f>MONTH(Tabela1[[#This Row],[Último pagto ano]])</f>
        <v>9</v>
      </c>
      <c r="H4411" t="str">
        <f>TEXT(Tabela1[[#This Row],[Coluna2]]*29,"mmmm")</f>
        <v>setembro</v>
      </c>
      <c r="I4411" t="str">
        <f>TEXT(MONTH(Tabela1[[#This Row],[Último pagto ano]])*29,"mmmm")</f>
        <v>setembro</v>
      </c>
    </row>
    <row r="4412" spans="1:9" x14ac:dyDescent="0.25">
      <c r="A4412">
        <v>2025</v>
      </c>
      <c r="B4412" t="s">
        <v>8785</v>
      </c>
      <c r="C4412" s="1">
        <v>45996</v>
      </c>
      <c r="D4412" t="s">
        <v>8786</v>
      </c>
      <c r="E4412" s="2">
        <v>3000</v>
      </c>
      <c r="G4412" s="3">
        <f>MONTH(Tabela1[[#This Row],[Último pagto ano]])</f>
        <v>12</v>
      </c>
      <c r="H4412" t="str">
        <f>TEXT(Tabela1[[#This Row],[Coluna2]]*29,"mmmm")</f>
        <v>dezembro</v>
      </c>
      <c r="I4412" t="str">
        <f>TEXT(MONTH(Tabela1[[#This Row],[Último pagto ano]])*29,"mmmm")</f>
        <v>dezembro</v>
      </c>
    </row>
    <row r="4413" spans="1:9" x14ac:dyDescent="0.25">
      <c r="A4413">
        <v>2025</v>
      </c>
      <c r="B4413" t="s">
        <v>8787</v>
      </c>
      <c r="C4413" s="1">
        <v>45959</v>
      </c>
      <c r="D4413" t="s">
        <v>8788</v>
      </c>
      <c r="E4413" s="2">
        <v>100834.8</v>
      </c>
      <c r="G4413" s="3">
        <f>MONTH(Tabela1[[#This Row],[Último pagto ano]])</f>
        <v>10</v>
      </c>
      <c r="H4413" t="str">
        <f>TEXT(Tabela1[[#This Row],[Coluna2]]*29,"mmmm")</f>
        <v>outubro</v>
      </c>
      <c r="I4413" t="str">
        <f>TEXT(MONTH(Tabela1[[#This Row],[Último pagto ano]])*29,"mmmm")</f>
        <v>outubro</v>
      </c>
    </row>
    <row r="4414" spans="1:9" x14ac:dyDescent="0.25">
      <c r="A4414">
        <v>2025</v>
      </c>
      <c r="B4414" t="s">
        <v>8789</v>
      </c>
      <c r="C4414" s="1">
        <v>45999</v>
      </c>
      <c r="D4414" t="s">
        <v>8790</v>
      </c>
      <c r="E4414">
        <v>158.6</v>
      </c>
      <c r="G4414" s="3">
        <f>MONTH(Tabela1[[#This Row],[Último pagto ano]])</f>
        <v>12</v>
      </c>
      <c r="H4414" t="str">
        <f>TEXT(Tabela1[[#This Row],[Coluna2]]*29,"mmmm")</f>
        <v>dezembro</v>
      </c>
      <c r="I4414" t="str">
        <f>TEXT(MONTH(Tabela1[[#This Row],[Último pagto ano]])*29,"mmmm")</f>
        <v>dezembro</v>
      </c>
    </row>
    <row r="4415" spans="1:9" x14ac:dyDescent="0.25">
      <c r="A4415">
        <v>2025</v>
      </c>
      <c r="B4415" t="s">
        <v>8791</v>
      </c>
      <c r="C4415" s="1">
        <v>45985</v>
      </c>
      <c r="D4415" t="s">
        <v>8792</v>
      </c>
      <c r="E4415" s="2">
        <v>4650</v>
      </c>
      <c r="G4415" s="3">
        <f>MONTH(Tabela1[[#This Row],[Último pagto ano]])</f>
        <v>11</v>
      </c>
      <c r="H4415" t="str">
        <f>TEXT(Tabela1[[#This Row],[Coluna2]]*29,"mmmm")</f>
        <v>novembro</v>
      </c>
      <c r="I4415" t="str">
        <f>TEXT(MONTH(Tabela1[[#This Row],[Último pagto ano]])*29,"mmmm")</f>
        <v>novembro</v>
      </c>
    </row>
    <row r="4416" spans="1:9" x14ac:dyDescent="0.25">
      <c r="A4416">
        <v>2025</v>
      </c>
      <c r="B4416" t="s">
        <v>8793</v>
      </c>
      <c r="C4416" s="1">
        <v>45674</v>
      </c>
      <c r="D4416" t="s">
        <v>8794</v>
      </c>
      <c r="E4416" s="2">
        <v>7750.8</v>
      </c>
      <c r="G4416" s="3">
        <f>MONTH(Tabela1[[#This Row],[Último pagto ano]])</f>
        <v>1</v>
      </c>
      <c r="H4416" t="str">
        <f>TEXT(Tabela1[[#This Row],[Coluna2]]*29,"mmmm")</f>
        <v>janeiro</v>
      </c>
      <c r="I4416" t="str">
        <f>TEXT(MONTH(Tabela1[[#This Row],[Último pagto ano]])*29,"mmmm")</f>
        <v>janeiro</v>
      </c>
    </row>
    <row r="4417" spans="1:9" x14ac:dyDescent="0.25">
      <c r="A4417">
        <v>2025</v>
      </c>
      <c r="B4417" t="s">
        <v>8795</v>
      </c>
      <c r="C4417" s="1">
        <v>45820</v>
      </c>
      <c r="D4417" t="s">
        <v>8796</v>
      </c>
      <c r="E4417" s="2">
        <v>2321.21</v>
      </c>
      <c r="G4417" s="3">
        <f>MONTH(Tabela1[[#This Row],[Último pagto ano]])</f>
        <v>6</v>
      </c>
      <c r="H4417" t="str">
        <f>TEXT(Tabela1[[#This Row],[Coluna2]]*29,"mmmm")</f>
        <v>junho</v>
      </c>
      <c r="I4417" t="str">
        <f>TEXT(MONTH(Tabela1[[#This Row],[Último pagto ano]])*29,"mmmm")</f>
        <v>junho</v>
      </c>
    </row>
    <row r="4418" spans="1:9" x14ac:dyDescent="0.25">
      <c r="A4418">
        <v>2025</v>
      </c>
      <c r="B4418" t="s">
        <v>8797</v>
      </c>
      <c r="C4418" s="1">
        <v>45971</v>
      </c>
      <c r="D4418" t="s">
        <v>8798</v>
      </c>
      <c r="E4418">
        <v>304.2</v>
      </c>
      <c r="G4418" s="3">
        <f>MONTH(Tabela1[[#This Row],[Último pagto ano]])</f>
        <v>11</v>
      </c>
      <c r="H4418" t="str">
        <f>TEXT(Tabela1[[#This Row],[Coluna2]]*29,"mmmm")</f>
        <v>novembro</v>
      </c>
      <c r="I4418" t="str">
        <f>TEXT(MONTH(Tabela1[[#This Row],[Último pagto ano]])*29,"mmmm")</f>
        <v>novembro</v>
      </c>
    </row>
    <row r="4419" spans="1:9" x14ac:dyDescent="0.25">
      <c r="A4419">
        <v>2025</v>
      </c>
      <c r="B4419" t="s">
        <v>8799</v>
      </c>
      <c r="C4419" s="1">
        <v>46014</v>
      </c>
      <c r="D4419" t="s">
        <v>8800</v>
      </c>
      <c r="E4419" s="2">
        <v>46703292.390000001</v>
      </c>
      <c r="G4419" s="3">
        <f>MONTH(Tabela1[[#This Row],[Último pagto ano]])</f>
        <v>12</v>
      </c>
      <c r="H4419" t="str">
        <f>TEXT(Tabela1[[#This Row],[Coluna2]]*29,"mmmm")</f>
        <v>dezembro</v>
      </c>
      <c r="I4419" t="str">
        <f>TEXT(MONTH(Tabela1[[#This Row],[Último pagto ano]])*29,"mmmm")</f>
        <v>dezembro</v>
      </c>
    </row>
    <row r="4420" spans="1:9" x14ac:dyDescent="0.25">
      <c r="A4420">
        <v>2025</v>
      </c>
      <c r="B4420" t="s">
        <v>8801</v>
      </c>
      <c r="C4420" s="1">
        <v>45849</v>
      </c>
      <c r="D4420" t="s">
        <v>8802</v>
      </c>
      <c r="E4420" s="2">
        <v>5144.04</v>
      </c>
      <c r="G4420" s="3">
        <f>MONTH(Tabela1[[#This Row],[Último pagto ano]])</f>
        <v>7</v>
      </c>
      <c r="H4420" t="str">
        <f>TEXT(Tabela1[[#This Row],[Coluna2]]*29,"mmmm")</f>
        <v>julho</v>
      </c>
      <c r="I4420" t="str">
        <f>TEXT(MONTH(Tabela1[[#This Row],[Último pagto ano]])*29,"mmmm")</f>
        <v>julho</v>
      </c>
    </row>
    <row r="4421" spans="1:9" x14ac:dyDescent="0.25">
      <c r="A4421">
        <v>2025</v>
      </c>
      <c r="B4421" t="s">
        <v>8803</v>
      </c>
      <c r="C4421" s="1">
        <v>45894</v>
      </c>
      <c r="D4421" t="s">
        <v>8804</v>
      </c>
      <c r="E4421" s="2">
        <v>5600</v>
      </c>
      <c r="G4421" s="3">
        <f>MONTH(Tabela1[[#This Row],[Último pagto ano]])</f>
        <v>8</v>
      </c>
      <c r="H4421" t="str">
        <f>TEXT(Tabela1[[#This Row],[Coluna2]]*29,"mmmm")</f>
        <v>agosto</v>
      </c>
      <c r="I4421" t="str">
        <f>TEXT(MONTH(Tabela1[[#This Row],[Último pagto ano]])*29,"mmmm")</f>
        <v>agosto</v>
      </c>
    </row>
    <row r="4422" spans="1:9" x14ac:dyDescent="0.25">
      <c r="A4422">
        <v>2025</v>
      </c>
      <c r="B4422" t="s">
        <v>8805</v>
      </c>
      <c r="C4422" s="1">
        <v>45989</v>
      </c>
      <c r="D4422" t="s">
        <v>8806</v>
      </c>
      <c r="E4422" s="2">
        <v>7118.55</v>
      </c>
      <c r="G4422" s="3">
        <f>MONTH(Tabela1[[#This Row],[Último pagto ano]])</f>
        <v>11</v>
      </c>
      <c r="H4422" t="str">
        <f>TEXT(Tabela1[[#This Row],[Coluna2]]*29,"mmmm")</f>
        <v>novembro</v>
      </c>
      <c r="I4422" t="str">
        <f>TEXT(MONTH(Tabela1[[#This Row],[Último pagto ano]])*29,"mmmm")</f>
        <v>novembro</v>
      </c>
    </row>
    <row r="4423" spans="1:9" x14ac:dyDescent="0.25">
      <c r="A4423">
        <v>2025</v>
      </c>
      <c r="B4423" t="s">
        <v>8807</v>
      </c>
      <c r="C4423" s="1">
        <v>45702</v>
      </c>
      <c r="D4423" t="s">
        <v>8808</v>
      </c>
      <c r="E4423">
        <v>42.65</v>
      </c>
      <c r="G4423" s="3">
        <f>MONTH(Tabela1[[#This Row],[Último pagto ano]])</f>
        <v>2</v>
      </c>
      <c r="H4423" t="str">
        <f>TEXT(Tabela1[[#This Row],[Coluna2]]*29,"mmmm")</f>
        <v>fevereiro</v>
      </c>
      <c r="I4423" t="str">
        <f>TEXT(MONTH(Tabela1[[#This Row],[Último pagto ano]])*29,"mmmm")</f>
        <v>fevereiro</v>
      </c>
    </row>
    <row r="4424" spans="1:9" x14ac:dyDescent="0.25">
      <c r="A4424">
        <v>2025</v>
      </c>
      <c r="B4424" t="s">
        <v>8809</v>
      </c>
      <c r="C4424" s="1">
        <v>45985</v>
      </c>
      <c r="D4424" t="s">
        <v>8810</v>
      </c>
      <c r="E4424" s="2">
        <v>7700</v>
      </c>
      <c r="G4424" s="3">
        <f>MONTH(Tabela1[[#This Row],[Último pagto ano]])</f>
        <v>11</v>
      </c>
      <c r="H4424" t="str">
        <f>TEXT(Tabela1[[#This Row],[Coluna2]]*29,"mmmm")</f>
        <v>novembro</v>
      </c>
      <c r="I4424" t="str">
        <f>TEXT(MONTH(Tabela1[[#This Row],[Último pagto ano]])*29,"mmmm")</f>
        <v>novembro</v>
      </c>
    </row>
    <row r="4425" spans="1:9" x14ac:dyDescent="0.25">
      <c r="A4425">
        <v>2025</v>
      </c>
      <c r="B4425" t="s">
        <v>8811</v>
      </c>
      <c r="C4425" s="1">
        <v>46013</v>
      </c>
      <c r="D4425" t="s">
        <v>8812</v>
      </c>
      <c r="E4425" s="2">
        <v>1579.5</v>
      </c>
      <c r="G4425" s="3">
        <f>MONTH(Tabela1[[#This Row],[Último pagto ano]])</f>
        <v>12</v>
      </c>
      <c r="H4425" t="str">
        <f>TEXT(Tabela1[[#This Row],[Coluna2]]*29,"mmmm")</f>
        <v>dezembro</v>
      </c>
      <c r="I4425" t="str">
        <f>TEXT(MONTH(Tabela1[[#This Row],[Último pagto ano]])*29,"mmmm")</f>
        <v>dezembro</v>
      </c>
    </row>
    <row r="4426" spans="1:9" x14ac:dyDescent="0.25">
      <c r="A4426">
        <v>2025</v>
      </c>
      <c r="B4426" t="s">
        <v>8813</v>
      </c>
      <c r="C4426" s="1">
        <v>46014</v>
      </c>
      <c r="D4426" t="s">
        <v>8814</v>
      </c>
      <c r="E4426" s="2">
        <v>2690</v>
      </c>
      <c r="G4426" s="3">
        <f>MONTH(Tabela1[[#This Row],[Último pagto ano]])</f>
        <v>12</v>
      </c>
      <c r="H4426" t="str">
        <f>TEXT(Tabela1[[#This Row],[Coluna2]]*29,"mmmm")</f>
        <v>dezembro</v>
      </c>
      <c r="I4426" t="str">
        <f>TEXT(MONTH(Tabela1[[#This Row],[Último pagto ano]])*29,"mmmm")</f>
        <v>dezembro</v>
      </c>
    </row>
    <row r="4427" spans="1:9" x14ac:dyDescent="0.25">
      <c r="A4427">
        <v>2025</v>
      </c>
      <c r="B4427" t="s">
        <v>8815</v>
      </c>
      <c r="C4427" s="1">
        <v>45954</v>
      </c>
      <c r="D4427" t="s">
        <v>8816</v>
      </c>
      <c r="E4427" s="2">
        <v>95606.04</v>
      </c>
      <c r="G4427" s="3">
        <f>MONTH(Tabela1[[#This Row],[Último pagto ano]])</f>
        <v>10</v>
      </c>
      <c r="H4427" t="str">
        <f>TEXT(Tabela1[[#This Row],[Coluna2]]*29,"mmmm")</f>
        <v>outubro</v>
      </c>
      <c r="I4427" t="str">
        <f>TEXT(MONTH(Tabela1[[#This Row],[Último pagto ano]])*29,"mmmm")</f>
        <v>outubro</v>
      </c>
    </row>
    <row r="4428" spans="1:9" x14ac:dyDescent="0.25">
      <c r="A4428">
        <v>2025</v>
      </c>
      <c r="B4428" t="s">
        <v>8817</v>
      </c>
      <c r="C4428" s="1">
        <v>45985</v>
      </c>
      <c r="D4428" t="s">
        <v>8818</v>
      </c>
      <c r="E4428">
        <v>121</v>
      </c>
      <c r="G4428" s="3">
        <f>MONTH(Tabela1[[#This Row],[Último pagto ano]])</f>
        <v>11</v>
      </c>
      <c r="H4428" t="str">
        <f>TEXT(Tabela1[[#This Row],[Coluna2]]*29,"mmmm")</f>
        <v>novembro</v>
      </c>
      <c r="I4428" t="str">
        <f>TEXT(MONTH(Tabela1[[#This Row],[Último pagto ano]])*29,"mmmm")</f>
        <v>novembro</v>
      </c>
    </row>
    <row r="4429" spans="1:9" x14ac:dyDescent="0.25">
      <c r="A4429">
        <v>2025</v>
      </c>
      <c r="B4429" t="s">
        <v>8819</v>
      </c>
      <c r="C4429" s="1">
        <v>45996</v>
      </c>
      <c r="D4429" t="s">
        <v>8820</v>
      </c>
      <c r="E4429" s="2">
        <v>11000</v>
      </c>
      <c r="G4429" s="3">
        <f>MONTH(Tabela1[[#This Row],[Último pagto ano]])</f>
        <v>12</v>
      </c>
      <c r="H4429" t="str">
        <f>TEXT(Tabela1[[#This Row],[Coluna2]]*29,"mmmm")</f>
        <v>dezembro</v>
      </c>
      <c r="I4429" t="str">
        <f>TEXT(MONTH(Tabela1[[#This Row],[Último pagto ano]])*29,"mmmm")</f>
        <v>dezembro</v>
      </c>
    </row>
    <row r="4430" spans="1:9" x14ac:dyDescent="0.25">
      <c r="A4430">
        <v>2025</v>
      </c>
      <c r="B4430" t="s">
        <v>8821</v>
      </c>
      <c r="C4430" s="1">
        <v>46006</v>
      </c>
      <c r="D4430" t="s">
        <v>8822</v>
      </c>
      <c r="E4430">
        <v>176</v>
      </c>
      <c r="G4430" s="3">
        <f>MONTH(Tabela1[[#This Row],[Último pagto ano]])</f>
        <v>12</v>
      </c>
      <c r="H4430" t="str">
        <f>TEXT(Tabela1[[#This Row],[Coluna2]]*29,"mmmm")</f>
        <v>dezembro</v>
      </c>
      <c r="I4430" t="str">
        <f>TEXT(MONTH(Tabela1[[#This Row],[Último pagto ano]])*29,"mmmm")</f>
        <v>dezembro</v>
      </c>
    </row>
    <row r="4431" spans="1:9" x14ac:dyDescent="0.25">
      <c r="A4431">
        <v>2025</v>
      </c>
      <c r="B4431" t="s">
        <v>8823</v>
      </c>
      <c r="C4431" s="1">
        <v>45702</v>
      </c>
      <c r="D4431" t="s">
        <v>8824</v>
      </c>
      <c r="E4431" s="2">
        <v>1287.6199999999999</v>
      </c>
      <c r="G4431" s="3">
        <f>MONTH(Tabela1[[#This Row],[Último pagto ano]])</f>
        <v>2</v>
      </c>
      <c r="H4431" t="str">
        <f>TEXT(Tabela1[[#This Row],[Coluna2]]*29,"mmmm")</f>
        <v>fevereiro</v>
      </c>
      <c r="I4431" t="str">
        <f>TEXT(MONTH(Tabela1[[#This Row],[Último pagto ano]])*29,"mmmm")</f>
        <v>fevereiro</v>
      </c>
    </row>
    <row r="4432" spans="1:9" x14ac:dyDescent="0.25">
      <c r="A4432">
        <v>2025</v>
      </c>
      <c r="B4432" t="s">
        <v>8825</v>
      </c>
      <c r="C4432" s="1">
        <v>45978</v>
      </c>
      <c r="D4432" t="s">
        <v>8826</v>
      </c>
      <c r="E4432">
        <v>121</v>
      </c>
      <c r="G4432" s="3">
        <f>MONTH(Tabela1[[#This Row],[Último pagto ano]])</f>
        <v>11</v>
      </c>
      <c r="H4432" t="str">
        <f>TEXT(Tabela1[[#This Row],[Coluna2]]*29,"mmmm")</f>
        <v>novembro</v>
      </c>
      <c r="I4432" t="str">
        <f>TEXT(MONTH(Tabela1[[#This Row],[Último pagto ano]])*29,"mmmm")</f>
        <v>novembro</v>
      </c>
    </row>
    <row r="4433" spans="1:9" x14ac:dyDescent="0.25">
      <c r="A4433">
        <v>2025</v>
      </c>
      <c r="B4433" t="s">
        <v>8827</v>
      </c>
      <c r="C4433" s="1">
        <v>45771</v>
      </c>
      <c r="D4433" t="s">
        <v>8828</v>
      </c>
      <c r="E4433">
        <v>5.5</v>
      </c>
      <c r="G4433" s="3">
        <f>MONTH(Tabela1[[#This Row],[Último pagto ano]])</f>
        <v>4</v>
      </c>
      <c r="H4433" t="str">
        <f>TEXT(Tabela1[[#This Row],[Coluna2]]*29,"mmmm")</f>
        <v>abril</v>
      </c>
      <c r="I4433" t="str">
        <f>TEXT(MONTH(Tabela1[[#This Row],[Último pagto ano]])*29,"mmmm")</f>
        <v>abril</v>
      </c>
    </row>
    <row r="4434" spans="1:9" x14ac:dyDescent="0.25">
      <c r="A4434">
        <v>2025</v>
      </c>
      <c r="B4434" t="s">
        <v>8829</v>
      </c>
      <c r="C4434" s="1">
        <v>45999</v>
      </c>
      <c r="D4434" t="s">
        <v>8830</v>
      </c>
      <c r="E4434">
        <v>77</v>
      </c>
      <c r="G4434" s="3">
        <f>MONTH(Tabela1[[#This Row],[Último pagto ano]])</f>
        <v>12</v>
      </c>
      <c r="H4434" t="str">
        <f>TEXT(Tabela1[[#This Row],[Coluna2]]*29,"mmmm")</f>
        <v>dezembro</v>
      </c>
      <c r="I4434" t="str">
        <f>TEXT(MONTH(Tabela1[[#This Row],[Último pagto ano]])*29,"mmmm")</f>
        <v>dezembro</v>
      </c>
    </row>
    <row r="4435" spans="1:9" x14ac:dyDescent="0.25">
      <c r="A4435">
        <v>2025</v>
      </c>
      <c r="B4435" t="s">
        <v>8831</v>
      </c>
      <c r="C4435" s="1">
        <v>46003</v>
      </c>
      <c r="D4435" t="s">
        <v>8832</v>
      </c>
      <c r="E4435" s="2">
        <v>26803.759999999998</v>
      </c>
      <c r="G4435" s="3">
        <f>MONTH(Tabela1[[#This Row],[Último pagto ano]])</f>
        <v>12</v>
      </c>
      <c r="H4435" t="str">
        <f>TEXT(Tabela1[[#This Row],[Coluna2]]*29,"mmmm")</f>
        <v>dezembro</v>
      </c>
      <c r="I4435" t="str">
        <f>TEXT(MONTH(Tabela1[[#This Row],[Último pagto ano]])*29,"mmmm")</f>
        <v>dezembro</v>
      </c>
    </row>
    <row r="4436" spans="1:9" x14ac:dyDescent="0.25">
      <c r="A4436">
        <v>2025</v>
      </c>
      <c r="B4436" t="s">
        <v>8833</v>
      </c>
      <c r="C4436" s="1">
        <v>46010</v>
      </c>
      <c r="D4436" t="s">
        <v>8834</v>
      </c>
      <c r="E4436">
        <v>700</v>
      </c>
      <c r="G4436" s="3">
        <f>MONTH(Tabela1[[#This Row],[Último pagto ano]])</f>
        <v>12</v>
      </c>
      <c r="H4436" t="str">
        <f>TEXT(Tabela1[[#This Row],[Coluna2]]*29,"mmmm")</f>
        <v>dezembro</v>
      </c>
      <c r="I4436" t="str">
        <f>TEXT(MONTH(Tabela1[[#This Row],[Último pagto ano]])*29,"mmmm")</f>
        <v>dezembro</v>
      </c>
    </row>
    <row r="4437" spans="1:9" x14ac:dyDescent="0.25">
      <c r="A4437">
        <v>2025</v>
      </c>
      <c r="B4437" t="s">
        <v>8835</v>
      </c>
      <c r="C4437" s="1">
        <v>45898</v>
      </c>
      <c r="D4437" t="s">
        <v>8836</v>
      </c>
      <c r="E4437" s="2">
        <v>5082.3599999999997</v>
      </c>
      <c r="G4437" s="3">
        <f>MONTH(Tabela1[[#This Row],[Último pagto ano]])</f>
        <v>8</v>
      </c>
      <c r="H4437" t="str">
        <f>TEXT(Tabela1[[#This Row],[Coluna2]]*29,"mmmm")</f>
        <v>agosto</v>
      </c>
      <c r="I4437" t="str">
        <f>TEXT(MONTH(Tabela1[[#This Row],[Último pagto ano]])*29,"mmmm")</f>
        <v>agosto</v>
      </c>
    </row>
    <row r="4438" spans="1:9" x14ac:dyDescent="0.25">
      <c r="A4438">
        <v>2025</v>
      </c>
      <c r="B4438" t="s">
        <v>8837</v>
      </c>
      <c r="C4438" s="1">
        <v>45915</v>
      </c>
      <c r="D4438" t="s">
        <v>8838</v>
      </c>
      <c r="E4438" s="2">
        <v>8249.82</v>
      </c>
      <c r="G4438" s="3">
        <f>MONTH(Tabela1[[#This Row],[Último pagto ano]])</f>
        <v>9</v>
      </c>
      <c r="H4438" t="str">
        <f>TEXT(Tabela1[[#This Row],[Coluna2]]*29,"mmmm")</f>
        <v>setembro</v>
      </c>
      <c r="I4438" t="str">
        <f>TEXT(MONTH(Tabela1[[#This Row],[Último pagto ano]])*29,"mmmm")</f>
        <v>setembro</v>
      </c>
    </row>
    <row r="4439" spans="1:9" x14ac:dyDescent="0.25">
      <c r="A4439">
        <v>2025</v>
      </c>
      <c r="B4439" t="s">
        <v>8839</v>
      </c>
      <c r="C4439" s="1">
        <v>46006</v>
      </c>
      <c r="D4439" t="s">
        <v>8840</v>
      </c>
      <c r="E4439" s="2">
        <v>21263.759999999998</v>
      </c>
      <c r="G4439" s="3">
        <f>MONTH(Tabela1[[#This Row],[Último pagto ano]])</f>
        <v>12</v>
      </c>
      <c r="H4439" t="str">
        <f>TEXT(Tabela1[[#This Row],[Coluna2]]*29,"mmmm")</f>
        <v>dezembro</v>
      </c>
      <c r="I4439" t="str">
        <f>TEXT(MONTH(Tabela1[[#This Row],[Último pagto ano]])*29,"mmmm")</f>
        <v>dezembro</v>
      </c>
    </row>
    <row r="4440" spans="1:9" x14ac:dyDescent="0.25">
      <c r="A4440">
        <v>2025</v>
      </c>
      <c r="B4440" t="s">
        <v>8841</v>
      </c>
      <c r="C4440" s="1">
        <v>45870</v>
      </c>
      <c r="D4440" t="s">
        <v>8842</v>
      </c>
      <c r="E4440" s="2">
        <v>4550.28</v>
      </c>
      <c r="G4440" s="3">
        <f>MONTH(Tabela1[[#This Row],[Último pagto ano]])</f>
        <v>8</v>
      </c>
      <c r="H4440" t="str">
        <f>TEXT(Tabela1[[#This Row],[Coluna2]]*29,"mmmm")</f>
        <v>agosto</v>
      </c>
      <c r="I4440" t="str">
        <f>TEXT(MONTH(Tabela1[[#This Row],[Último pagto ano]])*29,"mmmm")</f>
        <v>agosto</v>
      </c>
    </row>
    <row r="4441" spans="1:9" x14ac:dyDescent="0.25">
      <c r="A4441">
        <v>2025</v>
      </c>
      <c r="B4441" t="s">
        <v>8843</v>
      </c>
      <c r="C4441" s="1">
        <v>45841</v>
      </c>
      <c r="D4441" t="s">
        <v>8844</v>
      </c>
      <c r="E4441" s="2">
        <v>5073.93</v>
      </c>
      <c r="G4441" s="3">
        <f>MONTH(Tabela1[[#This Row],[Último pagto ano]])</f>
        <v>7</v>
      </c>
      <c r="H4441" t="str">
        <f>TEXT(Tabela1[[#This Row],[Coluna2]]*29,"mmmm")</f>
        <v>julho</v>
      </c>
      <c r="I4441" t="str">
        <f>TEXT(MONTH(Tabela1[[#This Row],[Último pagto ano]])*29,"mmmm")</f>
        <v>julho</v>
      </c>
    </row>
    <row r="4442" spans="1:9" x14ac:dyDescent="0.25">
      <c r="A4442">
        <v>2025</v>
      </c>
      <c r="B4442" t="s">
        <v>8845</v>
      </c>
      <c r="C4442" s="1">
        <v>45989</v>
      </c>
      <c r="D4442" t="s">
        <v>8846</v>
      </c>
      <c r="E4442" s="2">
        <v>7304.24</v>
      </c>
      <c r="G4442" s="3">
        <f>MONTH(Tabela1[[#This Row],[Último pagto ano]])</f>
        <v>11</v>
      </c>
      <c r="H4442" t="str">
        <f>TEXT(Tabela1[[#This Row],[Coluna2]]*29,"mmmm")</f>
        <v>novembro</v>
      </c>
      <c r="I4442" t="str">
        <f>TEXT(MONTH(Tabela1[[#This Row],[Último pagto ano]])*29,"mmmm")</f>
        <v>novembro</v>
      </c>
    </row>
    <row r="4443" spans="1:9" x14ac:dyDescent="0.25">
      <c r="A4443">
        <v>2025</v>
      </c>
      <c r="B4443" t="s">
        <v>8847</v>
      </c>
      <c r="C4443" s="1">
        <v>45761</v>
      </c>
      <c r="D4443" t="s">
        <v>8848</v>
      </c>
      <c r="E4443">
        <v>85</v>
      </c>
      <c r="G4443" s="3">
        <f>MONTH(Tabela1[[#This Row],[Último pagto ano]])</f>
        <v>4</v>
      </c>
      <c r="H4443" t="str">
        <f>TEXT(Tabela1[[#This Row],[Coluna2]]*29,"mmmm")</f>
        <v>abril</v>
      </c>
      <c r="I4443" t="str">
        <f>TEXT(MONTH(Tabela1[[#This Row],[Último pagto ano]])*29,"mmmm")</f>
        <v>abril</v>
      </c>
    </row>
    <row r="4444" spans="1:9" x14ac:dyDescent="0.25">
      <c r="A4444">
        <v>2025</v>
      </c>
      <c r="B4444" t="s">
        <v>8849</v>
      </c>
      <c r="C4444" s="1">
        <v>46003</v>
      </c>
      <c r="D4444" t="s">
        <v>8850</v>
      </c>
      <c r="E4444" s="2">
        <v>21272.78</v>
      </c>
      <c r="G4444" s="3">
        <f>MONTH(Tabela1[[#This Row],[Último pagto ano]])</f>
        <v>12</v>
      </c>
      <c r="H4444" t="str">
        <f>TEXT(Tabela1[[#This Row],[Coluna2]]*29,"mmmm")</f>
        <v>dezembro</v>
      </c>
      <c r="I4444" t="str">
        <f>TEXT(MONTH(Tabela1[[#This Row],[Último pagto ano]])*29,"mmmm")</f>
        <v>dezembro</v>
      </c>
    </row>
    <row r="4445" spans="1:9" x14ac:dyDescent="0.25">
      <c r="A4445">
        <v>2025</v>
      </c>
      <c r="B4445" t="s">
        <v>8851</v>
      </c>
      <c r="C4445" s="1">
        <v>46010</v>
      </c>
      <c r="D4445" t="s">
        <v>8852</v>
      </c>
      <c r="E4445" s="2">
        <v>3500</v>
      </c>
      <c r="G4445" s="3">
        <f>MONTH(Tabela1[[#This Row],[Último pagto ano]])</f>
        <v>12</v>
      </c>
      <c r="H4445" t="str">
        <f>TEXT(Tabela1[[#This Row],[Coluna2]]*29,"mmmm")</f>
        <v>dezembro</v>
      </c>
      <c r="I4445" t="str">
        <f>TEXT(MONTH(Tabela1[[#This Row],[Último pagto ano]])*29,"mmmm")</f>
        <v>dezembro</v>
      </c>
    </row>
    <row r="4446" spans="1:9" x14ac:dyDescent="0.25">
      <c r="A4446">
        <v>2025</v>
      </c>
      <c r="B4446" t="s">
        <v>8853</v>
      </c>
      <c r="C4446" s="1">
        <v>45999</v>
      </c>
      <c r="D4446" t="s">
        <v>8854</v>
      </c>
      <c r="E4446">
        <v>77</v>
      </c>
      <c r="G4446" s="3">
        <f>MONTH(Tabela1[[#This Row],[Último pagto ano]])</f>
        <v>12</v>
      </c>
      <c r="H4446" t="str">
        <f>TEXT(Tabela1[[#This Row],[Coluna2]]*29,"mmmm")</f>
        <v>dezembro</v>
      </c>
      <c r="I4446" t="str">
        <f>TEXT(MONTH(Tabela1[[#This Row],[Último pagto ano]])*29,"mmmm")</f>
        <v>dezembro</v>
      </c>
    </row>
    <row r="4447" spans="1:9" x14ac:dyDescent="0.25">
      <c r="A4447">
        <v>2025</v>
      </c>
      <c r="B4447" t="s">
        <v>8855</v>
      </c>
      <c r="C4447" s="1">
        <v>46010</v>
      </c>
      <c r="D4447" t="s">
        <v>8856</v>
      </c>
      <c r="E4447" s="2">
        <v>8400</v>
      </c>
      <c r="G4447" s="3">
        <f>MONTH(Tabela1[[#This Row],[Último pagto ano]])</f>
        <v>12</v>
      </c>
      <c r="H4447" t="str">
        <f>TEXT(Tabela1[[#This Row],[Coluna2]]*29,"mmmm")</f>
        <v>dezembro</v>
      </c>
      <c r="I4447" t="str">
        <f>TEXT(MONTH(Tabela1[[#This Row],[Último pagto ano]])*29,"mmmm")</f>
        <v>dezembro</v>
      </c>
    </row>
    <row r="4448" spans="1:9" x14ac:dyDescent="0.25">
      <c r="A4448">
        <v>2025</v>
      </c>
      <c r="B4448" t="s">
        <v>8857</v>
      </c>
      <c r="C4448" s="1">
        <v>45681</v>
      </c>
      <c r="D4448" t="s">
        <v>8858</v>
      </c>
      <c r="E4448">
        <v>700</v>
      </c>
      <c r="G4448" s="3">
        <f>MONTH(Tabela1[[#This Row],[Último pagto ano]])</f>
        <v>1</v>
      </c>
      <c r="H4448" t="str">
        <f>TEXT(Tabela1[[#This Row],[Coluna2]]*29,"mmmm")</f>
        <v>janeiro</v>
      </c>
      <c r="I4448" t="str">
        <f>TEXT(MONTH(Tabela1[[#This Row],[Último pagto ano]])*29,"mmmm")</f>
        <v>janeiro</v>
      </c>
    </row>
    <row r="4449" spans="1:9" x14ac:dyDescent="0.25">
      <c r="A4449">
        <v>2025</v>
      </c>
      <c r="B4449" t="s">
        <v>8859</v>
      </c>
      <c r="C4449" s="1">
        <v>45996</v>
      </c>
      <c r="D4449" t="s">
        <v>8860</v>
      </c>
      <c r="E4449" s="2">
        <v>2400</v>
      </c>
      <c r="G4449" s="3">
        <f>MONTH(Tabela1[[#This Row],[Último pagto ano]])</f>
        <v>12</v>
      </c>
      <c r="H4449" t="str">
        <f>TEXT(Tabela1[[#This Row],[Coluna2]]*29,"mmmm")</f>
        <v>dezembro</v>
      </c>
      <c r="I4449" t="str">
        <f>TEXT(MONTH(Tabela1[[#This Row],[Último pagto ano]])*29,"mmmm")</f>
        <v>dezembro</v>
      </c>
    </row>
    <row r="4450" spans="1:9" x14ac:dyDescent="0.25">
      <c r="A4450">
        <v>2025</v>
      </c>
      <c r="B4450" t="s">
        <v>8861</v>
      </c>
      <c r="C4450" s="1">
        <v>45989</v>
      </c>
      <c r="D4450" t="s">
        <v>8862</v>
      </c>
      <c r="E4450" s="2">
        <v>11665.06</v>
      </c>
      <c r="G4450" s="3">
        <f>MONTH(Tabela1[[#This Row],[Último pagto ano]])</f>
        <v>11</v>
      </c>
      <c r="H4450" t="str">
        <f>TEXT(Tabela1[[#This Row],[Coluna2]]*29,"mmmm")</f>
        <v>novembro</v>
      </c>
      <c r="I4450" t="str">
        <f>TEXT(MONTH(Tabela1[[#This Row],[Último pagto ano]])*29,"mmmm")</f>
        <v>novembro</v>
      </c>
    </row>
    <row r="4451" spans="1:9" x14ac:dyDescent="0.25">
      <c r="A4451">
        <v>2025</v>
      </c>
      <c r="B4451" t="s">
        <v>8863</v>
      </c>
      <c r="C4451" s="1">
        <v>45769</v>
      </c>
      <c r="D4451" t="s">
        <v>8864</v>
      </c>
      <c r="E4451" s="2">
        <v>56413.55</v>
      </c>
      <c r="G4451" s="3">
        <f>MONTH(Tabela1[[#This Row],[Último pagto ano]])</f>
        <v>4</v>
      </c>
      <c r="H4451" t="str">
        <f>TEXT(Tabela1[[#This Row],[Coluna2]]*29,"mmmm")</f>
        <v>abril</v>
      </c>
      <c r="I4451" t="str">
        <f>TEXT(MONTH(Tabela1[[#This Row],[Último pagto ano]])*29,"mmmm")</f>
        <v>abril</v>
      </c>
    </row>
    <row r="4452" spans="1:9" x14ac:dyDescent="0.25">
      <c r="A4452">
        <v>2025</v>
      </c>
      <c r="B4452" t="s">
        <v>8865</v>
      </c>
      <c r="C4452" s="1">
        <v>46006</v>
      </c>
      <c r="D4452" t="s">
        <v>8866</v>
      </c>
      <c r="E4452" s="2">
        <v>3553.92</v>
      </c>
      <c r="G4452" s="3">
        <f>MONTH(Tabela1[[#This Row],[Último pagto ano]])</f>
        <v>12</v>
      </c>
      <c r="H4452" t="str">
        <f>TEXT(Tabela1[[#This Row],[Coluna2]]*29,"mmmm")</f>
        <v>dezembro</v>
      </c>
      <c r="I4452" t="str">
        <f>TEXT(MONTH(Tabela1[[#This Row],[Último pagto ano]])*29,"mmmm")</f>
        <v>dezembro</v>
      </c>
    </row>
    <row r="4453" spans="1:9" x14ac:dyDescent="0.25">
      <c r="A4453">
        <v>2025</v>
      </c>
      <c r="B4453" t="s">
        <v>8867</v>
      </c>
      <c r="C4453" s="1">
        <v>45762</v>
      </c>
      <c r="D4453" t="s">
        <v>8868</v>
      </c>
      <c r="E4453">
        <v>296.16000000000003</v>
      </c>
      <c r="G4453" s="3">
        <f>MONTH(Tabela1[[#This Row],[Último pagto ano]])</f>
        <v>4</v>
      </c>
      <c r="H4453" t="str">
        <f>TEXT(Tabela1[[#This Row],[Coluna2]]*29,"mmmm")</f>
        <v>abril</v>
      </c>
      <c r="I4453" t="str">
        <f>TEXT(MONTH(Tabela1[[#This Row],[Último pagto ano]])*29,"mmmm")</f>
        <v>abril</v>
      </c>
    </row>
    <row r="4454" spans="1:9" x14ac:dyDescent="0.25">
      <c r="A4454">
        <v>2025</v>
      </c>
      <c r="B4454" t="s">
        <v>8869</v>
      </c>
      <c r="C4454" s="1">
        <v>45996</v>
      </c>
      <c r="D4454" t="s">
        <v>8870</v>
      </c>
      <c r="E4454" s="2">
        <v>23062.25</v>
      </c>
      <c r="G4454" s="3">
        <f>MONTH(Tabela1[[#This Row],[Último pagto ano]])</f>
        <v>12</v>
      </c>
      <c r="H4454" t="str">
        <f>TEXT(Tabela1[[#This Row],[Coluna2]]*29,"mmmm")</f>
        <v>dezembro</v>
      </c>
      <c r="I4454" t="str">
        <f>TEXT(MONTH(Tabela1[[#This Row],[Último pagto ano]])*29,"mmmm")</f>
        <v>dezembro</v>
      </c>
    </row>
    <row r="4455" spans="1:9" x14ac:dyDescent="0.25">
      <c r="A4455">
        <v>2025</v>
      </c>
      <c r="B4455" t="s">
        <v>8871</v>
      </c>
      <c r="C4455" s="1">
        <v>46006</v>
      </c>
      <c r="D4455" t="s">
        <v>8872</v>
      </c>
      <c r="E4455" s="2">
        <v>6889881.4400000004</v>
      </c>
      <c r="G4455" s="3">
        <f>MONTH(Tabela1[[#This Row],[Último pagto ano]])</f>
        <v>12</v>
      </c>
      <c r="H4455" t="str">
        <f>TEXT(Tabela1[[#This Row],[Coluna2]]*29,"mmmm")</f>
        <v>dezembro</v>
      </c>
      <c r="I4455" t="str">
        <f>TEXT(MONTH(Tabela1[[#This Row],[Último pagto ano]])*29,"mmmm")</f>
        <v>dezembro</v>
      </c>
    </row>
    <row r="4456" spans="1:9" x14ac:dyDescent="0.25">
      <c r="A4456">
        <v>2025</v>
      </c>
      <c r="B4456" t="s">
        <v>8873</v>
      </c>
      <c r="C4456" s="1">
        <v>45803</v>
      </c>
      <c r="D4456" t="s">
        <v>8874</v>
      </c>
      <c r="E4456" s="2">
        <v>1500</v>
      </c>
      <c r="G4456" s="3">
        <f>MONTH(Tabela1[[#This Row],[Último pagto ano]])</f>
        <v>5</v>
      </c>
      <c r="H4456" t="str">
        <f>TEXT(Tabela1[[#This Row],[Coluna2]]*29,"mmmm")</f>
        <v>maio</v>
      </c>
      <c r="I4456" t="str">
        <f>TEXT(MONTH(Tabela1[[#This Row],[Último pagto ano]])*29,"mmmm")</f>
        <v>maio</v>
      </c>
    </row>
    <row r="4457" spans="1:9" x14ac:dyDescent="0.25">
      <c r="A4457">
        <v>2025</v>
      </c>
      <c r="B4457" t="s">
        <v>8875</v>
      </c>
      <c r="C4457" s="1">
        <v>45978</v>
      </c>
      <c r="D4457" t="s">
        <v>8876</v>
      </c>
      <c r="E4457">
        <v>308</v>
      </c>
      <c r="G4457" s="3">
        <f>MONTH(Tabela1[[#This Row],[Último pagto ano]])</f>
        <v>11</v>
      </c>
      <c r="H4457" t="str">
        <f>TEXT(Tabela1[[#This Row],[Coluna2]]*29,"mmmm")</f>
        <v>novembro</v>
      </c>
      <c r="I4457" t="str">
        <f>TEXT(MONTH(Tabela1[[#This Row],[Último pagto ano]])*29,"mmmm")</f>
        <v>novembro</v>
      </c>
    </row>
    <row r="4458" spans="1:9" x14ac:dyDescent="0.25">
      <c r="A4458">
        <v>2025</v>
      </c>
      <c r="B4458" t="s">
        <v>8877</v>
      </c>
      <c r="C4458" s="1">
        <v>46010</v>
      </c>
      <c r="D4458" t="s">
        <v>8878</v>
      </c>
      <c r="E4458" s="2">
        <v>24000</v>
      </c>
      <c r="G4458" s="3">
        <f>MONTH(Tabela1[[#This Row],[Último pagto ano]])</f>
        <v>12</v>
      </c>
      <c r="H4458" t="str">
        <f>TEXT(Tabela1[[#This Row],[Coluna2]]*29,"mmmm")</f>
        <v>dezembro</v>
      </c>
      <c r="I4458" t="str">
        <f>TEXT(MONTH(Tabela1[[#This Row],[Último pagto ano]])*29,"mmmm")</f>
        <v>dezembro</v>
      </c>
    </row>
    <row r="4459" spans="1:9" x14ac:dyDescent="0.25">
      <c r="A4459">
        <v>2025</v>
      </c>
      <c r="B4459" t="s">
        <v>8879</v>
      </c>
      <c r="C4459" s="1">
        <v>45989</v>
      </c>
      <c r="D4459" t="s">
        <v>8880</v>
      </c>
      <c r="E4459" s="2">
        <v>11521.73</v>
      </c>
      <c r="G4459" s="3">
        <f>MONTH(Tabela1[[#This Row],[Último pagto ano]])</f>
        <v>11</v>
      </c>
      <c r="H4459" t="str">
        <f>TEXT(Tabela1[[#This Row],[Coluna2]]*29,"mmmm")</f>
        <v>novembro</v>
      </c>
      <c r="I4459" t="str">
        <f>TEXT(MONTH(Tabela1[[#This Row],[Último pagto ano]])*29,"mmmm")</f>
        <v>novembro</v>
      </c>
    </row>
    <row r="4460" spans="1:9" x14ac:dyDescent="0.25">
      <c r="A4460">
        <v>2025</v>
      </c>
      <c r="B4460" t="s">
        <v>8881</v>
      </c>
      <c r="C4460" s="1">
        <v>45702</v>
      </c>
      <c r="D4460" t="s">
        <v>8882</v>
      </c>
      <c r="E4460" s="2">
        <v>1134.56</v>
      </c>
      <c r="G4460" s="3">
        <f>MONTH(Tabela1[[#This Row],[Último pagto ano]])</f>
        <v>2</v>
      </c>
      <c r="H4460" t="str">
        <f>TEXT(Tabela1[[#This Row],[Coluna2]]*29,"mmmm")</f>
        <v>fevereiro</v>
      </c>
      <c r="I4460" t="str">
        <f>TEXT(MONTH(Tabela1[[#This Row],[Último pagto ano]])*29,"mmmm")</f>
        <v>fevereiro</v>
      </c>
    </row>
    <row r="4461" spans="1:9" x14ac:dyDescent="0.25">
      <c r="A4461">
        <v>2025</v>
      </c>
      <c r="B4461" t="s">
        <v>8883</v>
      </c>
      <c r="C4461" s="1">
        <v>46021</v>
      </c>
      <c r="D4461" t="s">
        <v>8884</v>
      </c>
      <c r="E4461" s="2">
        <v>12753.91</v>
      </c>
      <c r="G4461" s="3">
        <f>MONTH(Tabela1[[#This Row],[Último pagto ano]])</f>
        <v>12</v>
      </c>
      <c r="H4461" t="str">
        <f>TEXT(Tabela1[[#This Row],[Coluna2]]*29,"mmmm")</f>
        <v>dezembro</v>
      </c>
      <c r="I4461" t="str">
        <f>TEXT(MONTH(Tabela1[[#This Row],[Último pagto ano]])*29,"mmmm")</f>
        <v>dezembro</v>
      </c>
    </row>
    <row r="4462" spans="1:9" x14ac:dyDescent="0.25">
      <c r="A4462">
        <v>2025</v>
      </c>
      <c r="B4462" t="s">
        <v>8885</v>
      </c>
      <c r="C4462" s="1">
        <v>45740</v>
      </c>
      <c r="D4462" t="s">
        <v>8886</v>
      </c>
      <c r="E4462" s="2">
        <v>2449.1999999999998</v>
      </c>
      <c r="G4462" s="3">
        <f>MONTH(Tabela1[[#This Row],[Último pagto ano]])</f>
        <v>3</v>
      </c>
      <c r="H4462" t="str">
        <f>TEXT(Tabela1[[#This Row],[Coluna2]]*29,"mmmm")</f>
        <v>março</v>
      </c>
      <c r="I4462" t="str">
        <f>TEXT(MONTH(Tabela1[[#This Row],[Último pagto ano]])*29,"mmmm")</f>
        <v>março</v>
      </c>
    </row>
    <row r="4463" spans="1:9" x14ac:dyDescent="0.25">
      <c r="A4463">
        <v>2025</v>
      </c>
      <c r="B4463" t="s">
        <v>8887</v>
      </c>
      <c r="C4463" s="1">
        <v>45989</v>
      </c>
      <c r="D4463" t="s">
        <v>8888</v>
      </c>
      <c r="E4463" s="2">
        <v>10242.41</v>
      </c>
      <c r="G4463" s="3">
        <f>MONTH(Tabela1[[#This Row],[Último pagto ano]])</f>
        <v>11</v>
      </c>
      <c r="H4463" t="str">
        <f>TEXT(Tabela1[[#This Row],[Coluna2]]*29,"mmmm")</f>
        <v>novembro</v>
      </c>
      <c r="I4463" t="str">
        <f>TEXT(MONTH(Tabela1[[#This Row],[Último pagto ano]])*29,"mmmm")</f>
        <v>novembro</v>
      </c>
    </row>
    <row r="4464" spans="1:9" x14ac:dyDescent="0.25">
      <c r="A4464">
        <v>2025</v>
      </c>
      <c r="B4464" t="s">
        <v>8889</v>
      </c>
      <c r="C4464" s="1">
        <v>45996</v>
      </c>
      <c r="D4464" t="s">
        <v>8890</v>
      </c>
      <c r="E4464">
        <v>600</v>
      </c>
      <c r="G4464" s="3">
        <f>MONTH(Tabela1[[#This Row],[Último pagto ano]])</f>
        <v>12</v>
      </c>
      <c r="H4464" t="str">
        <f>TEXT(Tabela1[[#This Row],[Coluna2]]*29,"mmmm")</f>
        <v>dezembro</v>
      </c>
      <c r="I4464" t="str">
        <f>TEXT(MONTH(Tabela1[[#This Row],[Último pagto ano]])*29,"mmmm")</f>
        <v>dezembro</v>
      </c>
    </row>
    <row r="4465" spans="1:9" x14ac:dyDescent="0.25">
      <c r="A4465">
        <v>2025</v>
      </c>
      <c r="B4465" t="s">
        <v>8891</v>
      </c>
      <c r="C4465" s="1">
        <v>45862</v>
      </c>
      <c r="D4465" t="s">
        <v>8892</v>
      </c>
      <c r="E4465" s="2">
        <v>6803.58</v>
      </c>
      <c r="G4465" s="3">
        <f>MONTH(Tabela1[[#This Row],[Último pagto ano]])</f>
        <v>7</v>
      </c>
      <c r="H4465" t="str">
        <f>TEXT(Tabela1[[#This Row],[Coluna2]]*29,"mmmm")</f>
        <v>julho</v>
      </c>
      <c r="I4465" t="str">
        <f>TEXT(MONTH(Tabela1[[#This Row],[Último pagto ano]])*29,"mmmm")</f>
        <v>julho</v>
      </c>
    </row>
    <row r="4466" spans="1:9" x14ac:dyDescent="0.25">
      <c r="A4466">
        <v>2025</v>
      </c>
      <c r="B4466" t="s">
        <v>8893</v>
      </c>
      <c r="C4466" s="1">
        <v>46006</v>
      </c>
      <c r="D4466" t="s">
        <v>8894</v>
      </c>
      <c r="E4466">
        <v>44</v>
      </c>
      <c r="G4466" s="3">
        <f>MONTH(Tabela1[[#This Row],[Último pagto ano]])</f>
        <v>12</v>
      </c>
      <c r="H4466" t="str">
        <f>TEXT(Tabela1[[#This Row],[Coluna2]]*29,"mmmm")</f>
        <v>dezembro</v>
      </c>
      <c r="I4466" t="str">
        <f>TEXT(MONTH(Tabela1[[#This Row],[Último pagto ano]])*29,"mmmm")</f>
        <v>dezembro</v>
      </c>
    </row>
    <row r="4467" spans="1:9" x14ac:dyDescent="0.25">
      <c r="A4467">
        <v>2025</v>
      </c>
      <c r="B4467" t="s">
        <v>8895</v>
      </c>
      <c r="C4467" s="1">
        <v>45950</v>
      </c>
      <c r="D4467" t="s">
        <v>8896</v>
      </c>
      <c r="E4467">
        <v>44</v>
      </c>
      <c r="G4467" s="3">
        <f>MONTH(Tabela1[[#This Row],[Último pagto ano]])</f>
        <v>10</v>
      </c>
      <c r="H4467" t="str">
        <f>TEXT(Tabela1[[#This Row],[Coluna2]]*29,"mmmm")</f>
        <v>outubro</v>
      </c>
      <c r="I4467" t="str">
        <f>TEXT(MONTH(Tabela1[[#This Row],[Último pagto ano]])*29,"mmmm")</f>
        <v>outubro</v>
      </c>
    </row>
    <row r="4468" spans="1:9" x14ac:dyDescent="0.25">
      <c r="A4468">
        <v>2025</v>
      </c>
      <c r="B4468" t="s">
        <v>8897</v>
      </c>
      <c r="C4468" s="1">
        <v>46006</v>
      </c>
      <c r="D4468" t="s">
        <v>8898</v>
      </c>
      <c r="E4468" s="2">
        <v>19628.22</v>
      </c>
      <c r="G4468" s="3">
        <f>MONTH(Tabela1[[#This Row],[Último pagto ano]])</f>
        <v>12</v>
      </c>
      <c r="H4468" t="str">
        <f>TEXT(Tabela1[[#This Row],[Coluna2]]*29,"mmmm")</f>
        <v>dezembro</v>
      </c>
      <c r="I4468" t="str">
        <f>TEXT(MONTH(Tabela1[[#This Row],[Último pagto ano]])*29,"mmmm")</f>
        <v>dezembro</v>
      </c>
    </row>
    <row r="4469" spans="1:9" x14ac:dyDescent="0.25">
      <c r="A4469">
        <v>2025</v>
      </c>
      <c r="B4469" t="s">
        <v>8899</v>
      </c>
      <c r="C4469" s="1">
        <v>45911</v>
      </c>
      <c r="D4469" t="s">
        <v>8900</v>
      </c>
      <c r="E4469">
        <v>826.22</v>
      </c>
      <c r="G4469" s="3">
        <f>MONTH(Tabela1[[#This Row],[Último pagto ano]])</f>
        <v>9</v>
      </c>
      <c r="H4469" t="str">
        <f>TEXT(Tabela1[[#This Row],[Coluna2]]*29,"mmmm")</f>
        <v>setembro</v>
      </c>
      <c r="I4469" t="str">
        <f>TEXT(MONTH(Tabela1[[#This Row],[Último pagto ano]])*29,"mmmm")</f>
        <v>setembro</v>
      </c>
    </row>
    <row r="4470" spans="1:9" x14ac:dyDescent="0.25">
      <c r="A4470">
        <v>2025</v>
      </c>
      <c r="B4470" t="s">
        <v>8901</v>
      </c>
      <c r="C4470" s="1">
        <v>46007</v>
      </c>
      <c r="D4470" t="s">
        <v>8902</v>
      </c>
      <c r="E4470" s="2">
        <v>120738.56</v>
      </c>
      <c r="G4470" s="3">
        <f>MONTH(Tabela1[[#This Row],[Último pagto ano]])</f>
        <v>12</v>
      </c>
      <c r="H4470" t="str">
        <f>TEXT(Tabela1[[#This Row],[Coluna2]]*29,"mmmm")</f>
        <v>dezembro</v>
      </c>
      <c r="I4470" t="str">
        <f>TEXT(MONTH(Tabela1[[#This Row],[Último pagto ano]])*29,"mmmm")</f>
        <v>dezembro</v>
      </c>
    </row>
    <row r="4471" spans="1:9" x14ac:dyDescent="0.25">
      <c r="A4471">
        <v>2025</v>
      </c>
      <c r="B4471" t="s">
        <v>8903</v>
      </c>
      <c r="C4471" s="1">
        <v>45887</v>
      </c>
      <c r="D4471" t="s">
        <v>8904</v>
      </c>
      <c r="E4471" s="2">
        <v>8773.3700000000008</v>
      </c>
      <c r="G4471" s="3">
        <f>MONTH(Tabela1[[#This Row],[Último pagto ano]])</f>
        <v>8</v>
      </c>
      <c r="H4471" t="str">
        <f>TEXT(Tabela1[[#This Row],[Coluna2]]*29,"mmmm")</f>
        <v>agosto</v>
      </c>
      <c r="I4471" t="str">
        <f>TEXT(MONTH(Tabela1[[#This Row],[Último pagto ano]])*29,"mmmm")</f>
        <v>agosto</v>
      </c>
    </row>
    <row r="4472" spans="1:9" x14ac:dyDescent="0.25">
      <c r="A4472">
        <v>2025</v>
      </c>
      <c r="B4472" t="s">
        <v>8905</v>
      </c>
      <c r="C4472" s="1">
        <v>45716</v>
      </c>
      <c r="D4472" t="s">
        <v>8906</v>
      </c>
      <c r="E4472">
        <v>74.67</v>
      </c>
      <c r="G4472" s="3">
        <f>MONTH(Tabela1[[#This Row],[Último pagto ano]])</f>
        <v>2</v>
      </c>
      <c r="H4472" t="str">
        <f>TEXT(Tabela1[[#This Row],[Coluna2]]*29,"mmmm")</f>
        <v>fevereiro</v>
      </c>
      <c r="I4472" t="str">
        <f>TEXT(MONTH(Tabela1[[#This Row],[Último pagto ano]])*29,"mmmm")</f>
        <v>fevereiro</v>
      </c>
    </row>
    <row r="4473" spans="1:9" x14ac:dyDescent="0.25">
      <c r="A4473">
        <v>2025</v>
      </c>
      <c r="B4473" t="s">
        <v>8907</v>
      </c>
      <c r="C4473" s="1">
        <v>45796</v>
      </c>
      <c r="D4473" t="s">
        <v>8908</v>
      </c>
      <c r="E4473">
        <v>48</v>
      </c>
      <c r="G4473" s="3">
        <f>MONTH(Tabela1[[#This Row],[Último pagto ano]])</f>
        <v>5</v>
      </c>
      <c r="H4473" t="str">
        <f>TEXT(Tabela1[[#This Row],[Coluna2]]*29,"mmmm")</f>
        <v>maio</v>
      </c>
      <c r="I4473" t="str">
        <f>TEXT(MONTH(Tabela1[[#This Row],[Último pagto ano]])*29,"mmmm")</f>
        <v>maio</v>
      </c>
    </row>
    <row r="4474" spans="1:9" x14ac:dyDescent="0.25">
      <c r="A4474">
        <v>2025</v>
      </c>
      <c r="B4474" t="s">
        <v>8909</v>
      </c>
      <c r="C4474" s="1">
        <v>45695</v>
      </c>
      <c r="D4474" t="s">
        <v>8910</v>
      </c>
      <c r="E4474">
        <v>281.74</v>
      </c>
      <c r="G4474" s="3">
        <f>MONTH(Tabela1[[#This Row],[Último pagto ano]])</f>
        <v>2</v>
      </c>
      <c r="H4474" t="str">
        <f>TEXT(Tabela1[[#This Row],[Coluna2]]*29,"mmmm")</f>
        <v>fevereiro</v>
      </c>
      <c r="I4474" t="str">
        <f>TEXT(MONTH(Tabela1[[#This Row],[Último pagto ano]])*29,"mmmm")</f>
        <v>fevereiro</v>
      </c>
    </row>
    <row r="4475" spans="1:9" x14ac:dyDescent="0.25">
      <c r="A4475">
        <v>2025</v>
      </c>
      <c r="B4475" t="s">
        <v>8911</v>
      </c>
      <c r="C4475" s="1">
        <v>45996</v>
      </c>
      <c r="D4475" t="s">
        <v>8912</v>
      </c>
      <c r="E4475" s="2">
        <v>16500</v>
      </c>
      <c r="G4475" s="3">
        <f>MONTH(Tabela1[[#This Row],[Último pagto ano]])</f>
        <v>12</v>
      </c>
      <c r="H4475" t="str">
        <f>TEXT(Tabela1[[#This Row],[Coluna2]]*29,"mmmm")</f>
        <v>dezembro</v>
      </c>
      <c r="I4475" t="str">
        <f>TEXT(MONTH(Tabela1[[#This Row],[Último pagto ano]])*29,"mmmm")</f>
        <v>dezembro</v>
      </c>
    </row>
    <row r="4476" spans="1:9" x14ac:dyDescent="0.25">
      <c r="A4476">
        <v>2025</v>
      </c>
      <c r="B4476" t="s">
        <v>8913</v>
      </c>
      <c r="C4476" s="1">
        <v>45989</v>
      </c>
      <c r="D4476" t="s">
        <v>8914</v>
      </c>
      <c r="E4476" s="2">
        <v>5394.55</v>
      </c>
      <c r="G4476" s="3">
        <f>MONTH(Tabela1[[#This Row],[Último pagto ano]])</f>
        <v>11</v>
      </c>
      <c r="H4476" t="str">
        <f>TEXT(Tabela1[[#This Row],[Coluna2]]*29,"mmmm")</f>
        <v>novembro</v>
      </c>
      <c r="I4476" t="str">
        <f>TEXT(MONTH(Tabela1[[#This Row],[Último pagto ano]])*29,"mmmm")</f>
        <v>novembro</v>
      </c>
    </row>
    <row r="4477" spans="1:9" x14ac:dyDescent="0.25">
      <c r="A4477">
        <v>2025</v>
      </c>
      <c r="B4477" t="s">
        <v>8915</v>
      </c>
      <c r="C4477" s="1">
        <v>45803</v>
      </c>
      <c r="D4477" t="s">
        <v>8916</v>
      </c>
      <c r="E4477">
        <v>635.22</v>
      </c>
      <c r="G4477" s="3">
        <f>MONTH(Tabela1[[#This Row],[Último pagto ano]])</f>
        <v>5</v>
      </c>
      <c r="H4477" t="str">
        <f>TEXT(Tabela1[[#This Row],[Coluna2]]*29,"mmmm")</f>
        <v>maio</v>
      </c>
      <c r="I4477" t="str">
        <f>TEXT(MONTH(Tabela1[[#This Row],[Último pagto ano]])*29,"mmmm")</f>
        <v>maio</v>
      </c>
    </row>
    <row r="4478" spans="1:9" x14ac:dyDescent="0.25">
      <c r="A4478">
        <v>2025</v>
      </c>
      <c r="B4478" t="s">
        <v>8917</v>
      </c>
      <c r="C4478" s="1">
        <v>45978</v>
      </c>
      <c r="D4478" t="s">
        <v>8918</v>
      </c>
      <c r="E4478">
        <v>275</v>
      </c>
      <c r="G4478" s="3">
        <f>MONTH(Tabela1[[#This Row],[Último pagto ano]])</f>
        <v>11</v>
      </c>
      <c r="H4478" t="str">
        <f>TEXT(Tabela1[[#This Row],[Coluna2]]*29,"mmmm")</f>
        <v>novembro</v>
      </c>
      <c r="I4478" t="str">
        <f>TEXT(MONTH(Tabela1[[#This Row],[Último pagto ano]])*29,"mmmm")</f>
        <v>novembro</v>
      </c>
    </row>
    <row r="4479" spans="1:9" x14ac:dyDescent="0.25">
      <c r="A4479">
        <v>2025</v>
      </c>
      <c r="B4479" t="s">
        <v>8919</v>
      </c>
      <c r="C4479" s="1">
        <v>45702</v>
      </c>
      <c r="D4479" t="s">
        <v>8920</v>
      </c>
      <c r="E4479" s="2">
        <v>1289.22</v>
      </c>
      <c r="G4479" s="3">
        <f>MONTH(Tabela1[[#This Row],[Último pagto ano]])</f>
        <v>2</v>
      </c>
      <c r="H4479" t="str">
        <f>TEXT(Tabela1[[#This Row],[Coluna2]]*29,"mmmm")</f>
        <v>fevereiro</v>
      </c>
      <c r="I4479" t="str">
        <f>TEXT(MONTH(Tabela1[[#This Row],[Último pagto ano]])*29,"mmmm")</f>
        <v>fevereiro</v>
      </c>
    </row>
    <row r="4480" spans="1:9" x14ac:dyDescent="0.25">
      <c r="A4480">
        <v>2025</v>
      </c>
      <c r="B4480" t="s">
        <v>8921</v>
      </c>
      <c r="C4480" s="1">
        <v>46006</v>
      </c>
      <c r="D4480" t="s">
        <v>8922</v>
      </c>
      <c r="E4480" s="2">
        <v>3244.48</v>
      </c>
      <c r="G4480" s="3">
        <f>MONTH(Tabela1[[#This Row],[Último pagto ano]])</f>
        <v>12</v>
      </c>
      <c r="H4480" t="str">
        <f>TEXT(Tabela1[[#This Row],[Coluna2]]*29,"mmmm")</f>
        <v>dezembro</v>
      </c>
      <c r="I4480" t="str">
        <f>TEXT(MONTH(Tabela1[[#This Row],[Último pagto ano]])*29,"mmmm")</f>
        <v>dezembro</v>
      </c>
    </row>
    <row r="4481" spans="1:9" x14ac:dyDescent="0.25">
      <c r="A4481">
        <v>2025</v>
      </c>
      <c r="B4481" t="s">
        <v>8923</v>
      </c>
      <c r="C4481" s="1">
        <v>45702</v>
      </c>
      <c r="D4481" t="s">
        <v>8924</v>
      </c>
      <c r="E4481">
        <v>108.36</v>
      </c>
      <c r="G4481" s="3">
        <f>MONTH(Tabela1[[#This Row],[Último pagto ano]])</f>
        <v>2</v>
      </c>
      <c r="H4481" t="str">
        <f>TEXT(Tabela1[[#This Row],[Coluna2]]*29,"mmmm")</f>
        <v>fevereiro</v>
      </c>
      <c r="I4481" t="str">
        <f>TEXT(MONTH(Tabela1[[#This Row],[Último pagto ano]])*29,"mmmm")</f>
        <v>fevereiro</v>
      </c>
    </row>
    <row r="4482" spans="1:9" x14ac:dyDescent="0.25">
      <c r="A4482">
        <v>2025</v>
      </c>
      <c r="B4482" t="s">
        <v>8925</v>
      </c>
      <c r="C4482" s="1">
        <v>46006</v>
      </c>
      <c r="D4482" t="s">
        <v>8926</v>
      </c>
      <c r="E4482">
        <v>88</v>
      </c>
      <c r="G4482" s="3">
        <f>MONTH(Tabela1[[#This Row],[Último pagto ano]])</f>
        <v>12</v>
      </c>
      <c r="H4482" t="str">
        <f>TEXT(Tabela1[[#This Row],[Coluna2]]*29,"mmmm")</f>
        <v>dezembro</v>
      </c>
      <c r="I4482" t="str">
        <f>TEXT(MONTH(Tabela1[[#This Row],[Último pagto ano]])*29,"mmmm")</f>
        <v>dezembro</v>
      </c>
    </row>
    <row r="4483" spans="1:9" x14ac:dyDescent="0.25">
      <c r="A4483">
        <v>2025</v>
      </c>
      <c r="B4483" t="s">
        <v>8927</v>
      </c>
      <c r="C4483" s="1">
        <v>45687</v>
      </c>
      <c r="D4483" t="s">
        <v>8928</v>
      </c>
      <c r="E4483">
        <v>984.88</v>
      </c>
      <c r="G4483" s="3">
        <f>MONTH(Tabela1[[#This Row],[Último pagto ano]])</f>
        <v>1</v>
      </c>
      <c r="H4483" t="str">
        <f>TEXT(Tabela1[[#This Row],[Coluna2]]*29,"mmmm")</f>
        <v>janeiro</v>
      </c>
      <c r="I4483" t="str">
        <f>TEXT(MONTH(Tabela1[[#This Row],[Último pagto ano]])*29,"mmmm")</f>
        <v>janeiro</v>
      </c>
    </row>
    <row r="4484" spans="1:9" x14ac:dyDescent="0.25">
      <c r="A4484">
        <v>2025</v>
      </c>
      <c r="B4484" t="s">
        <v>8929</v>
      </c>
      <c r="C4484" s="1">
        <v>45807</v>
      </c>
      <c r="D4484" t="s">
        <v>8930</v>
      </c>
      <c r="E4484" s="2">
        <v>4171.68</v>
      </c>
      <c r="G4484" s="3">
        <f>MONTH(Tabela1[[#This Row],[Último pagto ano]])</f>
        <v>5</v>
      </c>
      <c r="H4484" t="str">
        <f>TEXT(Tabela1[[#This Row],[Coluna2]]*29,"mmmm")</f>
        <v>maio</v>
      </c>
      <c r="I4484" t="str">
        <f>TEXT(MONTH(Tabela1[[#This Row],[Último pagto ano]])*29,"mmmm")</f>
        <v>maio</v>
      </c>
    </row>
    <row r="4485" spans="1:9" x14ac:dyDescent="0.25">
      <c r="A4485">
        <v>2025</v>
      </c>
      <c r="B4485" t="s">
        <v>8931</v>
      </c>
      <c r="C4485" s="1">
        <v>46006</v>
      </c>
      <c r="D4485" t="s">
        <v>8932</v>
      </c>
      <c r="E4485" s="2">
        <v>26554.799999999999</v>
      </c>
      <c r="G4485" s="3">
        <f>MONTH(Tabela1[[#This Row],[Último pagto ano]])</f>
        <v>12</v>
      </c>
      <c r="H4485" t="str">
        <f>TEXT(Tabela1[[#This Row],[Coluna2]]*29,"mmmm")</f>
        <v>dezembro</v>
      </c>
      <c r="I4485" t="str">
        <f>TEXT(MONTH(Tabela1[[#This Row],[Último pagto ano]])*29,"mmmm")</f>
        <v>dezembro</v>
      </c>
    </row>
    <row r="4486" spans="1:9" x14ac:dyDescent="0.25">
      <c r="A4486">
        <v>2025</v>
      </c>
      <c r="B4486" t="s">
        <v>8933</v>
      </c>
      <c r="C4486" s="1">
        <v>46006</v>
      </c>
      <c r="D4486" t="s">
        <v>8934</v>
      </c>
      <c r="E4486" s="2">
        <v>8400</v>
      </c>
      <c r="G4486" s="3">
        <f>MONTH(Tabela1[[#This Row],[Último pagto ano]])</f>
        <v>12</v>
      </c>
      <c r="H4486" t="str">
        <f>TEXT(Tabela1[[#This Row],[Coluna2]]*29,"mmmm")</f>
        <v>dezembro</v>
      </c>
      <c r="I4486" t="str">
        <f>TEXT(MONTH(Tabela1[[#This Row],[Último pagto ano]])*29,"mmmm")</f>
        <v>dezembro</v>
      </c>
    </row>
    <row r="4487" spans="1:9" x14ac:dyDescent="0.25">
      <c r="A4487">
        <v>2025</v>
      </c>
      <c r="B4487" t="s">
        <v>8935</v>
      </c>
      <c r="C4487" s="1">
        <v>45733</v>
      </c>
      <c r="D4487" t="s">
        <v>8936</v>
      </c>
      <c r="E4487" s="2">
        <v>1480.8</v>
      </c>
      <c r="G4487" s="3">
        <f>MONTH(Tabela1[[#This Row],[Último pagto ano]])</f>
        <v>3</v>
      </c>
      <c r="H4487" t="str">
        <f>TEXT(Tabela1[[#This Row],[Coluna2]]*29,"mmmm")</f>
        <v>março</v>
      </c>
      <c r="I4487" t="str">
        <f>TEXT(MONTH(Tabela1[[#This Row],[Último pagto ano]])*29,"mmmm")</f>
        <v>março</v>
      </c>
    </row>
    <row r="4488" spans="1:9" x14ac:dyDescent="0.25">
      <c r="A4488">
        <v>2025</v>
      </c>
      <c r="B4488" t="s">
        <v>8937</v>
      </c>
      <c r="C4488" s="1">
        <v>45743</v>
      </c>
      <c r="D4488" t="s">
        <v>8938</v>
      </c>
      <c r="E4488">
        <v>9.6</v>
      </c>
      <c r="G4488" s="3">
        <f>MONTH(Tabela1[[#This Row],[Último pagto ano]])</f>
        <v>3</v>
      </c>
      <c r="H4488" t="str">
        <f>TEXT(Tabela1[[#This Row],[Coluna2]]*29,"mmmm")</f>
        <v>março</v>
      </c>
      <c r="I4488" t="str">
        <f>TEXT(MONTH(Tabela1[[#This Row],[Último pagto ano]])*29,"mmmm")</f>
        <v>março</v>
      </c>
    </row>
    <row r="4489" spans="1:9" x14ac:dyDescent="0.25">
      <c r="A4489">
        <v>2025</v>
      </c>
      <c r="B4489" t="s">
        <v>8939</v>
      </c>
      <c r="C4489" s="1">
        <v>46010</v>
      </c>
      <c r="D4489" t="s">
        <v>8940</v>
      </c>
      <c r="E4489" s="2">
        <v>7100</v>
      </c>
      <c r="G4489" s="3">
        <f>MONTH(Tabela1[[#This Row],[Último pagto ano]])</f>
        <v>12</v>
      </c>
      <c r="H4489" t="str">
        <f>TEXT(Tabela1[[#This Row],[Coluna2]]*29,"mmmm")</f>
        <v>dezembro</v>
      </c>
      <c r="I4489" t="str">
        <f>TEXT(MONTH(Tabela1[[#This Row],[Último pagto ano]])*29,"mmmm")</f>
        <v>dezembro</v>
      </c>
    </row>
    <row r="4490" spans="1:9" x14ac:dyDescent="0.25">
      <c r="A4490">
        <v>2025</v>
      </c>
      <c r="B4490" t="s">
        <v>8941</v>
      </c>
      <c r="C4490" s="1">
        <v>45876</v>
      </c>
      <c r="D4490" t="s">
        <v>8942</v>
      </c>
      <c r="E4490" s="2">
        <v>8572</v>
      </c>
      <c r="G4490" s="3">
        <f>MONTH(Tabela1[[#This Row],[Último pagto ano]])</f>
        <v>8</v>
      </c>
      <c r="H4490" t="str">
        <f>TEXT(Tabela1[[#This Row],[Coluna2]]*29,"mmmm")</f>
        <v>agosto</v>
      </c>
      <c r="I4490" t="str">
        <f>TEXT(MONTH(Tabela1[[#This Row],[Último pagto ano]])*29,"mmmm")</f>
        <v>agosto</v>
      </c>
    </row>
    <row r="4491" spans="1:9" x14ac:dyDescent="0.25">
      <c r="A4491">
        <v>2025</v>
      </c>
      <c r="B4491" t="s">
        <v>8943</v>
      </c>
      <c r="C4491" s="1">
        <v>45989</v>
      </c>
      <c r="D4491" t="s">
        <v>8944</v>
      </c>
      <c r="E4491" s="2">
        <v>7777.43</v>
      </c>
      <c r="G4491" s="3">
        <f>MONTH(Tabela1[[#This Row],[Último pagto ano]])</f>
        <v>11</v>
      </c>
      <c r="H4491" t="str">
        <f>TEXT(Tabela1[[#This Row],[Coluna2]]*29,"mmmm")</f>
        <v>novembro</v>
      </c>
      <c r="I4491" t="str">
        <f>TEXT(MONTH(Tabela1[[#This Row],[Último pagto ano]])*29,"mmmm")</f>
        <v>novembro</v>
      </c>
    </row>
    <row r="4492" spans="1:9" x14ac:dyDescent="0.25">
      <c r="A4492">
        <v>2025</v>
      </c>
      <c r="B4492" t="s">
        <v>8945</v>
      </c>
      <c r="C4492" s="1">
        <v>45875</v>
      </c>
      <c r="D4492" t="s">
        <v>8946</v>
      </c>
      <c r="E4492" s="2">
        <v>4216.41</v>
      </c>
      <c r="G4492" s="3">
        <f>MONTH(Tabela1[[#This Row],[Último pagto ano]])</f>
        <v>8</v>
      </c>
      <c r="H4492" t="str">
        <f>TEXT(Tabela1[[#This Row],[Coluna2]]*29,"mmmm")</f>
        <v>agosto</v>
      </c>
      <c r="I4492" t="str">
        <f>TEXT(MONTH(Tabela1[[#This Row],[Último pagto ano]])*29,"mmmm")</f>
        <v>agosto</v>
      </c>
    </row>
    <row r="4493" spans="1:9" x14ac:dyDescent="0.25">
      <c r="A4493">
        <v>2025</v>
      </c>
      <c r="B4493" t="s">
        <v>8947</v>
      </c>
      <c r="C4493" s="1">
        <v>46021</v>
      </c>
      <c r="D4493" t="s">
        <v>8948</v>
      </c>
      <c r="E4493" s="2">
        <v>24397.81</v>
      </c>
      <c r="G4493" s="3">
        <f>MONTH(Tabela1[[#This Row],[Último pagto ano]])</f>
        <v>12</v>
      </c>
      <c r="H4493" t="str">
        <f>TEXT(Tabela1[[#This Row],[Coluna2]]*29,"mmmm")</f>
        <v>dezembro</v>
      </c>
      <c r="I4493" t="str">
        <f>TEXT(MONTH(Tabela1[[#This Row],[Último pagto ano]])*29,"mmmm")</f>
        <v>dezembro</v>
      </c>
    </row>
    <row r="4494" spans="1:9" x14ac:dyDescent="0.25">
      <c r="A4494">
        <v>2025</v>
      </c>
      <c r="B4494" t="s">
        <v>8949</v>
      </c>
      <c r="C4494" s="1">
        <v>45702</v>
      </c>
      <c r="D4494" t="s">
        <v>8950</v>
      </c>
      <c r="E4494">
        <v>596.89</v>
      </c>
      <c r="G4494" s="3">
        <f>MONTH(Tabela1[[#This Row],[Último pagto ano]])</f>
        <v>2</v>
      </c>
      <c r="H4494" t="str">
        <f>TEXT(Tabela1[[#This Row],[Coluna2]]*29,"mmmm")</f>
        <v>fevereiro</v>
      </c>
      <c r="I4494" t="str">
        <f>TEXT(MONTH(Tabela1[[#This Row],[Último pagto ano]])*29,"mmmm")</f>
        <v>fevereiro</v>
      </c>
    </row>
    <row r="4495" spans="1:9" x14ac:dyDescent="0.25">
      <c r="A4495">
        <v>2025</v>
      </c>
      <c r="B4495" t="s">
        <v>8951</v>
      </c>
      <c r="C4495" s="1">
        <v>45673</v>
      </c>
      <c r="D4495" t="s">
        <v>8952</v>
      </c>
      <c r="E4495" s="2">
        <v>1200</v>
      </c>
      <c r="G4495" s="3">
        <f>MONTH(Tabela1[[#This Row],[Último pagto ano]])</f>
        <v>1</v>
      </c>
      <c r="H4495" t="str">
        <f>TEXT(Tabela1[[#This Row],[Coluna2]]*29,"mmmm")</f>
        <v>janeiro</v>
      </c>
      <c r="I4495" t="str">
        <f>TEXT(MONTH(Tabela1[[#This Row],[Último pagto ano]])*29,"mmmm")</f>
        <v>janeiro</v>
      </c>
    </row>
    <row r="4496" spans="1:9" x14ac:dyDescent="0.25">
      <c r="A4496">
        <v>2025</v>
      </c>
      <c r="B4496" t="s">
        <v>8953</v>
      </c>
      <c r="C4496" s="1">
        <v>45996</v>
      </c>
      <c r="D4496" t="s">
        <v>8954</v>
      </c>
      <c r="E4496" s="2">
        <v>10000</v>
      </c>
      <c r="G4496" s="3">
        <f>MONTH(Tabela1[[#This Row],[Último pagto ano]])</f>
        <v>12</v>
      </c>
      <c r="H4496" t="str">
        <f>TEXT(Tabela1[[#This Row],[Coluna2]]*29,"mmmm")</f>
        <v>dezembro</v>
      </c>
      <c r="I4496" t="str">
        <f>TEXT(MONTH(Tabela1[[#This Row],[Último pagto ano]])*29,"mmmm")</f>
        <v>dezembro</v>
      </c>
    </row>
    <row r="4497" spans="1:9" x14ac:dyDescent="0.25">
      <c r="A4497">
        <v>2025</v>
      </c>
      <c r="B4497" t="s">
        <v>8955</v>
      </c>
      <c r="C4497" s="1">
        <v>45937</v>
      </c>
      <c r="D4497" t="s">
        <v>8956</v>
      </c>
      <c r="E4497" s="2">
        <v>6000</v>
      </c>
      <c r="G4497" s="3">
        <f>MONTH(Tabela1[[#This Row],[Último pagto ano]])</f>
        <v>10</v>
      </c>
      <c r="H4497" t="str">
        <f>TEXT(Tabela1[[#This Row],[Coluna2]]*29,"mmmm")</f>
        <v>outubro</v>
      </c>
      <c r="I4497" t="str">
        <f>TEXT(MONTH(Tabela1[[#This Row],[Último pagto ano]])*29,"mmmm")</f>
        <v>outubro</v>
      </c>
    </row>
    <row r="4498" spans="1:9" x14ac:dyDescent="0.25">
      <c r="A4498">
        <v>2025</v>
      </c>
      <c r="B4498" t="s">
        <v>8957</v>
      </c>
      <c r="C4498" s="1">
        <v>45702</v>
      </c>
      <c r="D4498" t="s">
        <v>8958</v>
      </c>
      <c r="E4498">
        <v>595.47</v>
      </c>
      <c r="G4498" s="3">
        <f>MONTH(Tabela1[[#This Row],[Último pagto ano]])</f>
        <v>2</v>
      </c>
      <c r="H4498" t="str">
        <f>TEXT(Tabela1[[#This Row],[Coluna2]]*29,"mmmm")</f>
        <v>fevereiro</v>
      </c>
      <c r="I4498" t="str">
        <f>TEXT(MONTH(Tabela1[[#This Row],[Último pagto ano]])*29,"mmmm")</f>
        <v>fevereiro</v>
      </c>
    </row>
    <row r="4499" spans="1:9" x14ac:dyDescent="0.25">
      <c r="A4499">
        <v>2025</v>
      </c>
      <c r="B4499" t="s">
        <v>8959</v>
      </c>
      <c r="C4499" s="1">
        <v>45989</v>
      </c>
      <c r="D4499" t="s">
        <v>8960</v>
      </c>
      <c r="E4499" s="2">
        <v>11727.49</v>
      </c>
      <c r="G4499" s="3">
        <f>MONTH(Tabela1[[#This Row],[Último pagto ano]])</f>
        <v>11</v>
      </c>
      <c r="H4499" t="str">
        <f>TEXT(Tabela1[[#This Row],[Coluna2]]*29,"mmmm")</f>
        <v>novembro</v>
      </c>
      <c r="I4499" t="str">
        <f>TEXT(MONTH(Tabela1[[#This Row],[Último pagto ano]])*29,"mmmm")</f>
        <v>novembro</v>
      </c>
    </row>
    <row r="4500" spans="1:9" x14ac:dyDescent="0.25">
      <c r="A4500">
        <v>2025</v>
      </c>
      <c r="B4500" t="s">
        <v>8961</v>
      </c>
      <c r="C4500" s="1">
        <v>45673</v>
      </c>
      <c r="D4500" t="s">
        <v>8962</v>
      </c>
      <c r="E4500" s="2">
        <v>1200</v>
      </c>
      <c r="G4500" s="3">
        <f>MONTH(Tabela1[[#This Row],[Último pagto ano]])</f>
        <v>1</v>
      </c>
      <c r="H4500" t="str">
        <f>TEXT(Tabela1[[#This Row],[Coluna2]]*29,"mmmm")</f>
        <v>janeiro</v>
      </c>
      <c r="I4500" t="str">
        <f>TEXT(MONTH(Tabela1[[#This Row],[Último pagto ano]])*29,"mmmm")</f>
        <v>janeiro</v>
      </c>
    </row>
    <row r="4501" spans="1:9" x14ac:dyDescent="0.25">
      <c r="A4501">
        <v>2025</v>
      </c>
      <c r="B4501" t="s">
        <v>8963</v>
      </c>
      <c r="C4501" s="1">
        <v>45996</v>
      </c>
      <c r="D4501" t="s">
        <v>8964</v>
      </c>
      <c r="E4501" s="2">
        <v>7900</v>
      </c>
      <c r="G4501" s="3">
        <f>MONTH(Tabela1[[#This Row],[Último pagto ano]])</f>
        <v>12</v>
      </c>
      <c r="H4501" t="str">
        <f>TEXT(Tabela1[[#This Row],[Coluna2]]*29,"mmmm")</f>
        <v>dezembro</v>
      </c>
      <c r="I4501" t="str">
        <f>TEXT(MONTH(Tabela1[[#This Row],[Último pagto ano]])*29,"mmmm")</f>
        <v>dezembro</v>
      </c>
    </row>
    <row r="4502" spans="1:9" x14ac:dyDescent="0.25">
      <c r="A4502">
        <v>2025</v>
      </c>
      <c r="B4502" t="s">
        <v>8965</v>
      </c>
      <c r="C4502" s="1">
        <v>45996</v>
      </c>
      <c r="D4502" t="s">
        <v>8966</v>
      </c>
      <c r="E4502" s="2">
        <v>2000</v>
      </c>
      <c r="G4502" s="3">
        <f>MONTH(Tabela1[[#This Row],[Último pagto ano]])</f>
        <v>12</v>
      </c>
      <c r="H4502" t="str">
        <f>TEXT(Tabela1[[#This Row],[Coluna2]]*29,"mmmm")</f>
        <v>dezembro</v>
      </c>
      <c r="I4502" t="str">
        <f>TEXT(MONTH(Tabela1[[#This Row],[Último pagto ano]])*29,"mmmm")</f>
        <v>dezembro</v>
      </c>
    </row>
    <row r="4503" spans="1:9" x14ac:dyDescent="0.25">
      <c r="A4503">
        <v>2025</v>
      </c>
      <c r="B4503" t="s">
        <v>8967</v>
      </c>
      <c r="C4503" s="1">
        <v>45988</v>
      </c>
      <c r="D4503" t="s">
        <v>8968</v>
      </c>
      <c r="E4503">
        <v>352.8</v>
      </c>
      <c r="G4503" s="3">
        <f>MONTH(Tabela1[[#This Row],[Último pagto ano]])</f>
        <v>11</v>
      </c>
      <c r="H4503" t="str">
        <f>TEXT(Tabela1[[#This Row],[Coluna2]]*29,"mmmm")</f>
        <v>novembro</v>
      </c>
      <c r="I4503" t="str">
        <f>TEXT(MONTH(Tabela1[[#This Row],[Último pagto ano]])*29,"mmmm")</f>
        <v>novembro</v>
      </c>
    </row>
    <row r="4504" spans="1:9" x14ac:dyDescent="0.25">
      <c r="A4504">
        <v>2025</v>
      </c>
      <c r="B4504" t="s">
        <v>8969</v>
      </c>
      <c r="C4504" s="1">
        <v>45996</v>
      </c>
      <c r="D4504" t="s">
        <v>8970</v>
      </c>
      <c r="E4504" s="2">
        <v>13500</v>
      </c>
      <c r="G4504" s="3">
        <f>MONTH(Tabela1[[#This Row],[Último pagto ano]])</f>
        <v>12</v>
      </c>
      <c r="H4504" t="str">
        <f>TEXT(Tabela1[[#This Row],[Coluna2]]*29,"mmmm")</f>
        <v>dezembro</v>
      </c>
      <c r="I4504" t="str">
        <f>TEXT(MONTH(Tabela1[[#This Row],[Último pagto ano]])*29,"mmmm")</f>
        <v>dezembro</v>
      </c>
    </row>
    <row r="4505" spans="1:9" x14ac:dyDescent="0.25">
      <c r="A4505">
        <v>2025</v>
      </c>
      <c r="B4505" t="s">
        <v>8971</v>
      </c>
      <c r="C4505" s="1">
        <v>45996</v>
      </c>
      <c r="D4505" t="s">
        <v>8972</v>
      </c>
      <c r="E4505" s="2">
        <v>10600</v>
      </c>
      <c r="G4505" s="3">
        <f>MONTH(Tabela1[[#This Row],[Último pagto ano]])</f>
        <v>12</v>
      </c>
      <c r="H4505" t="str">
        <f>TEXT(Tabela1[[#This Row],[Coluna2]]*29,"mmmm")</f>
        <v>dezembro</v>
      </c>
      <c r="I4505" t="str">
        <f>TEXT(MONTH(Tabela1[[#This Row],[Último pagto ano]])*29,"mmmm")</f>
        <v>dezembro</v>
      </c>
    </row>
    <row r="4506" spans="1:9" x14ac:dyDescent="0.25">
      <c r="A4506">
        <v>2025</v>
      </c>
      <c r="B4506" t="s">
        <v>8973</v>
      </c>
      <c r="C4506" s="1">
        <v>45744</v>
      </c>
      <c r="D4506" t="s">
        <v>8974</v>
      </c>
      <c r="E4506" s="2">
        <v>3073.96</v>
      </c>
      <c r="G4506" s="3">
        <f>MONTH(Tabela1[[#This Row],[Último pagto ano]])</f>
        <v>3</v>
      </c>
      <c r="H4506" t="str">
        <f>TEXT(Tabela1[[#This Row],[Coluna2]]*29,"mmmm")</f>
        <v>março</v>
      </c>
      <c r="I4506" t="str">
        <f>TEXT(MONTH(Tabela1[[#This Row],[Último pagto ano]])*29,"mmmm")</f>
        <v>março</v>
      </c>
    </row>
    <row r="4507" spans="1:9" x14ac:dyDescent="0.25">
      <c r="A4507">
        <v>2025</v>
      </c>
      <c r="B4507" t="s">
        <v>8975</v>
      </c>
      <c r="C4507" s="1">
        <v>45876</v>
      </c>
      <c r="D4507" t="s">
        <v>8976</v>
      </c>
      <c r="E4507" s="2">
        <v>3200</v>
      </c>
      <c r="G4507" s="3">
        <f>MONTH(Tabela1[[#This Row],[Último pagto ano]])</f>
        <v>8</v>
      </c>
      <c r="H4507" t="str">
        <f>TEXT(Tabela1[[#This Row],[Coluna2]]*29,"mmmm")</f>
        <v>agosto</v>
      </c>
      <c r="I4507" t="str">
        <f>TEXT(MONTH(Tabela1[[#This Row],[Último pagto ano]])*29,"mmmm")</f>
        <v>agosto</v>
      </c>
    </row>
    <row r="4508" spans="1:9" x14ac:dyDescent="0.25">
      <c r="A4508">
        <v>2025</v>
      </c>
      <c r="B4508" t="s">
        <v>8977</v>
      </c>
      <c r="C4508" s="1">
        <v>46021</v>
      </c>
      <c r="D4508" t="s">
        <v>8978</v>
      </c>
      <c r="E4508" s="2">
        <v>6948.82</v>
      </c>
      <c r="G4508" s="3">
        <f>MONTH(Tabela1[[#This Row],[Último pagto ano]])</f>
        <v>12</v>
      </c>
      <c r="H4508" t="str">
        <f>TEXT(Tabela1[[#This Row],[Coluna2]]*29,"mmmm")</f>
        <v>dezembro</v>
      </c>
      <c r="I4508" t="str">
        <f>TEXT(MONTH(Tabela1[[#This Row],[Último pagto ano]])*29,"mmmm")</f>
        <v>dezembro</v>
      </c>
    </row>
    <row r="4509" spans="1:9" x14ac:dyDescent="0.25">
      <c r="A4509">
        <v>2025</v>
      </c>
      <c r="B4509" t="s">
        <v>8979</v>
      </c>
      <c r="C4509" s="1">
        <v>45989</v>
      </c>
      <c r="D4509" t="s">
        <v>8980</v>
      </c>
      <c r="E4509" s="2">
        <v>11406.88</v>
      </c>
      <c r="G4509" s="3">
        <f>MONTH(Tabela1[[#This Row],[Último pagto ano]])</f>
        <v>11</v>
      </c>
      <c r="H4509" t="str">
        <f>TEXT(Tabela1[[#This Row],[Coluna2]]*29,"mmmm")</f>
        <v>novembro</v>
      </c>
      <c r="I4509" t="str">
        <f>TEXT(MONTH(Tabela1[[#This Row],[Último pagto ano]])*29,"mmmm")</f>
        <v>novembro</v>
      </c>
    </row>
    <row r="4510" spans="1:9" x14ac:dyDescent="0.25">
      <c r="A4510">
        <v>2025</v>
      </c>
      <c r="B4510" t="s">
        <v>8981</v>
      </c>
      <c r="C4510" s="1">
        <v>45777</v>
      </c>
      <c r="D4510" t="s">
        <v>8982</v>
      </c>
      <c r="E4510" s="2">
        <v>3732.91</v>
      </c>
      <c r="G4510" s="3">
        <f>MONTH(Tabela1[[#This Row],[Último pagto ano]])</f>
        <v>4</v>
      </c>
      <c r="H4510" t="str">
        <f>TEXT(Tabela1[[#This Row],[Coluna2]]*29,"mmmm")</f>
        <v>abril</v>
      </c>
      <c r="I4510" t="str">
        <f>TEXT(MONTH(Tabela1[[#This Row],[Último pagto ano]])*29,"mmmm")</f>
        <v>abril</v>
      </c>
    </row>
    <row r="4511" spans="1:9" x14ac:dyDescent="0.25">
      <c r="A4511">
        <v>2025</v>
      </c>
      <c r="B4511" t="s">
        <v>8983</v>
      </c>
      <c r="C4511" s="1">
        <v>45996</v>
      </c>
      <c r="D4511" t="s">
        <v>8984</v>
      </c>
      <c r="E4511" s="2">
        <v>14400</v>
      </c>
      <c r="G4511" s="3">
        <f>MONTH(Tabela1[[#This Row],[Último pagto ano]])</f>
        <v>12</v>
      </c>
      <c r="H4511" t="str">
        <f>TEXT(Tabela1[[#This Row],[Coluna2]]*29,"mmmm")</f>
        <v>dezembro</v>
      </c>
      <c r="I4511" t="str">
        <f>TEXT(MONTH(Tabela1[[#This Row],[Último pagto ano]])*29,"mmmm")</f>
        <v>dezembro</v>
      </c>
    </row>
    <row r="4512" spans="1:9" x14ac:dyDescent="0.25">
      <c r="A4512">
        <v>2025</v>
      </c>
      <c r="B4512" t="s">
        <v>8985</v>
      </c>
      <c r="C4512" s="1">
        <v>45996</v>
      </c>
      <c r="D4512" t="s">
        <v>8986</v>
      </c>
      <c r="E4512" s="2">
        <v>10000</v>
      </c>
      <c r="G4512" s="3">
        <f>MONTH(Tabela1[[#This Row],[Último pagto ano]])</f>
        <v>12</v>
      </c>
      <c r="H4512" t="str">
        <f>TEXT(Tabela1[[#This Row],[Coluna2]]*29,"mmmm")</f>
        <v>dezembro</v>
      </c>
      <c r="I4512" t="str">
        <f>TEXT(MONTH(Tabela1[[#This Row],[Último pagto ano]])*29,"mmmm")</f>
        <v>dezembro</v>
      </c>
    </row>
    <row r="4513" spans="1:9" x14ac:dyDescent="0.25">
      <c r="A4513">
        <v>2025</v>
      </c>
      <c r="B4513" t="s">
        <v>8987</v>
      </c>
      <c r="C4513" s="1">
        <v>45996</v>
      </c>
      <c r="D4513" t="s">
        <v>8988</v>
      </c>
      <c r="E4513" s="2">
        <v>14743.5</v>
      </c>
      <c r="G4513" s="3">
        <f>MONTH(Tabela1[[#This Row],[Último pagto ano]])</f>
        <v>12</v>
      </c>
      <c r="H4513" t="str">
        <f>TEXT(Tabela1[[#This Row],[Coluna2]]*29,"mmmm")</f>
        <v>dezembro</v>
      </c>
      <c r="I4513" t="str">
        <f>TEXT(MONTH(Tabela1[[#This Row],[Último pagto ano]])*29,"mmmm")</f>
        <v>dezembro</v>
      </c>
    </row>
    <row r="4514" spans="1:9" x14ac:dyDescent="0.25">
      <c r="A4514">
        <v>2025</v>
      </c>
      <c r="B4514" t="s">
        <v>8989</v>
      </c>
      <c r="C4514" s="1">
        <v>45702</v>
      </c>
      <c r="D4514" t="s">
        <v>8990</v>
      </c>
      <c r="E4514" s="2">
        <v>1263.06</v>
      </c>
      <c r="G4514" s="3">
        <f>MONTH(Tabela1[[#This Row],[Último pagto ano]])</f>
        <v>2</v>
      </c>
      <c r="H4514" t="str">
        <f>TEXT(Tabela1[[#This Row],[Coluna2]]*29,"mmmm")</f>
        <v>fevereiro</v>
      </c>
      <c r="I4514" t="str">
        <f>TEXT(MONTH(Tabela1[[#This Row],[Último pagto ano]])*29,"mmmm")</f>
        <v>fevereiro</v>
      </c>
    </row>
    <row r="4515" spans="1:9" x14ac:dyDescent="0.25">
      <c r="A4515">
        <v>2025</v>
      </c>
      <c r="B4515" t="s">
        <v>8991</v>
      </c>
      <c r="C4515" s="1">
        <v>46021</v>
      </c>
      <c r="D4515" t="s">
        <v>8992</v>
      </c>
      <c r="E4515" s="2">
        <v>9684.1200000000008</v>
      </c>
      <c r="G4515" s="3">
        <f>MONTH(Tabela1[[#This Row],[Último pagto ano]])</f>
        <v>12</v>
      </c>
      <c r="H4515" t="str">
        <f>TEXT(Tabela1[[#This Row],[Coluna2]]*29,"mmmm")</f>
        <v>dezembro</v>
      </c>
      <c r="I4515" t="str">
        <f>TEXT(MONTH(Tabela1[[#This Row],[Último pagto ano]])*29,"mmmm")</f>
        <v>dezembro</v>
      </c>
    </row>
    <row r="4516" spans="1:9" x14ac:dyDescent="0.25">
      <c r="A4516">
        <v>2025</v>
      </c>
      <c r="B4516" t="s">
        <v>8993</v>
      </c>
      <c r="C4516" s="1">
        <v>46010</v>
      </c>
      <c r="D4516" t="s">
        <v>8994</v>
      </c>
      <c r="E4516" s="2">
        <v>8400</v>
      </c>
      <c r="G4516" s="3">
        <f>MONTH(Tabela1[[#This Row],[Último pagto ano]])</f>
        <v>12</v>
      </c>
      <c r="H4516" t="str">
        <f>TEXT(Tabela1[[#This Row],[Coluna2]]*29,"mmmm")</f>
        <v>dezembro</v>
      </c>
      <c r="I4516" t="str">
        <f>TEXT(MONTH(Tabela1[[#This Row],[Último pagto ano]])*29,"mmmm")</f>
        <v>dezembro</v>
      </c>
    </row>
    <row r="4517" spans="1:9" x14ac:dyDescent="0.25">
      <c r="A4517">
        <v>2025</v>
      </c>
      <c r="B4517" t="s">
        <v>8995</v>
      </c>
      <c r="C4517" s="1">
        <v>45996</v>
      </c>
      <c r="D4517" t="s">
        <v>8996</v>
      </c>
      <c r="E4517" s="2">
        <v>8400</v>
      </c>
      <c r="G4517" s="3">
        <f>MONTH(Tabela1[[#This Row],[Último pagto ano]])</f>
        <v>12</v>
      </c>
      <c r="H4517" t="str">
        <f>TEXT(Tabela1[[#This Row],[Coluna2]]*29,"mmmm")</f>
        <v>dezembro</v>
      </c>
      <c r="I4517" t="str">
        <f>TEXT(MONTH(Tabela1[[#This Row],[Último pagto ano]])*29,"mmmm")</f>
        <v>dezembro</v>
      </c>
    </row>
    <row r="4518" spans="1:9" x14ac:dyDescent="0.25">
      <c r="A4518">
        <v>2025</v>
      </c>
      <c r="B4518" t="s">
        <v>8997</v>
      </c>
      <c r="C4518" s="1">
        <v>45838</v>
      </c>
      <c r="D4518" t="s">
        <v>8998</v>
      </c>
      <c r="E4518" s="2">
        <v>1640.53</v>
      </c>
      <c r="G4518" s="3">
        <f>MONTH(Tabela1[[#This Row],[Último pagto ano]])</f>
        <v>6</v>
      </c>
      <c r="H4518" t="str">
        <f>TEXT(Tabela1[[#This Row],[Coluna2]]*29,"mmmm")</f>
        <v>junho</v>
      </c>
      <c r="I4518" t="str">
        <f>TEXT(MONTH(Tabela1[[#This Row],[Último pagto ano]])*29,"mmmm")</f>
        <v>junho</v>
      </c>
    </row>
    <row r="4519" spans="1:9" x14ac:dyDescent="0.25">
      <c r="A4519">
        <v>2025</v>
      </c>
      <c r="B4519" t="s">
        <v>8999</v>
      </c>
      <c r="C4519" s="1">
        <v>46006</v>
      </c>
      <c r="D4519" t="s">
        <v>9000</v>
      </c>
      <c r="E4519">
        <v>44</v>
      </c>
      <c r="G4519" s="3">
        <f>MONTH(Tabela1[[#This Row],[Último pagto ano]])</f>
        <v>12</v>
      </c>
      <c r="H4519" t="str">
        <f>TEXT(Tabela1[[#This Row],[Coluna2]]*29,"mmmm")</f>
        <v>dezembro</v>
      </c>
      <c r="I4519" t="str">
        <f>TEXT(MONTH(Tabela1[[#This Row],[Último pagto ano]])*29,"mmmm")</f>
        <v>dezembro</v>
      </c>
    </row>
    <row r="4520" spans="1:9" x14ac:dyDescent="0.25">
      <c r="A4520">
        <v>2025</v>
      </c>
      <c r="B4520" t="s">
        <v>9001</v>
      </c>
      <c r="C4520" s="1">
        <v>45996</v>
      </c>
      <c r="D4520" t="s">
        <v>9002</v>
      </c>
      <c r="E4520" s="2">
        <v>6150</v>
      </c>
      <c r="G4520" s="3">
        <f>MONTH(Tabela1[[#This Row],[Último pagto ano]])</f>
        <v>12</v>
      </c>
      <c r="H4520" t="str">
        <f>TEXT(Tabela1[[#This Row],[Coluna2]]*29,"mmmm")</f>
        <v>dezembro</v>
      </c>
      <c r="I4520" t="str">
        <f>TEXT(MONTH(Tabela1[[#This Row],[Último pagto ano]])*29,"mmmm")</f>
        <v>dezembro</v>
      </c>
    </row>
    <row r="4521" spans="1:9" x14ac:dyDescent="0.25">
      <c r="A4521">
        <v>2025</v>
      </c>
      <c r="B4521" t="s">
        <v>9003</v>
      </c>
      <c r="C4521" s="1">
        <v>45702</v>
      </c>
      <c r="D4521" t="s">
        <v>9004</v>
      </c>
      <c r="E4521">
        <v>28.42</v>
      </c>
      <c r="G4521" s="3">
        <f>MONTH(Tabela1[[#This Row],[Último pagto ano]])</f>
        <v>2</v>
      </c>
      <c r="H4521" t="str">
        <f>TEXT(Tabela1[[#This Row],[Coluna2]]*29,"mmmm")</f>
        <v>fevereiro</v>
      </c>
      <c r="I4521" t="str">
        <f>TEXT(MONTH(Tabela1[[#This Row],[Último pagto ano]])*29,"mmmm")</f>
        <v>fevereiro</v>
      </c>
    </row>
    <row r="4522" spans="1:9" x14ac:dyDescent="0.25">
      <c r="A4522">
        <v>2025</v>
      </c>
      <c r="B4522" t="s">
        <v>9005</v>
      </c>
      <c r="C4522" s="1">
        <v>45989</v>
      </c>
      <c r="D4522" t="s">
        <v>9006</v>
      </c>
      <c r="E4522" s="2">
        <v>3750.73</v>
      </c>
      <c r="G4522" s="3">
        <f>MONTH(Tabela1[[#This Row],[Último pagto ano]])</f>
        <v>11</v>
      </c>
      <c r="H4522" t="str">
        <f>TEXT(Tabela1[[#This Row],[Coluna2]]*29,"mmmm")</f>
        <v>novembro</v>
      </c>
      <c r="I4522" t="str">
        <f>TEXT(MONTH(Tabela1[[#This Row],[Último pagto ano]])*29,"mmmm")</f>
        <v>novembro</v>
      </c>
    </row>
    <row r="4523" spans="1:9" x14ac:dyDescent="0.25">
      <c r="A4523">
        <v>2025</v>
      </c>
      <c r="B4523" t="s">
        <v>9007</v>
      </c>
      <c r="C4523" s="1">
        <v>45989</v>
      </c>
      <c r="D4523" t="s">
        <v>9008</v>
      </c>
      <c r="E4523" s="2">
        <v>7399.81</v>
      </c>
      <c r="G4523" s="3">
        <f>MONTH(Tabela1[[#This Row],[Último pagto ano]])</f>
        <v>11</v>
      </c>
      <c r="H4523" t="str">
        <f>TEXT(Tabela1[[#This Row],[Coluna2]]*29,"mmmm")</f>
        <v>novembro</v>
      </c>
      <c r="I4523" t="str">
        <f>TEXT(MONTH(Tabela1[[#This Row],[Último pagto ano]])*29,"mmmm")</f>
        <v>novembro</v>
      </c>
    </row>
    <row r="4524" spans="1:9" x14ac:dyDescent="0.25">
      <c r="A4524">
        <v>2025</v>
      </c>
      <c r="B4524" t="s">
        <v>9009</v>
      </c>
      <c r="C4524" s="1">
        <v>45684</v>
      </c>
      <c r="D4524" t="s">
        <v>9010</v>
      </c>
      <c r="E4524">
        <v>22</v>
      </c>
      <c r="G4524" s="3">
        <f>MONTH(Tabela1[[#This Row],[Último pagto ano]])</f>
        <v>1</v>
      </c>
      <c r="H4524" t="str">
        <f>TEXT(Tabela1[[#This Row],[Coluna2]]*29,"mmmm")</f>
        <v>janeiro</v>
      </c>
      <c r="I4524" t="str">
        <f>TEXT(MONTH(Tabela1[[#This Row],[Último pagto ano]])*29,"mmmm")</f>
        <v>janeiro</v>
      </c>
    </row>
    <row r="4525" spans="1:9" x14ac:dyDescent="0.25">
      <c r="A4525">
        <v>2025</v>
      </c>
      <c r="B4525" t="s">
        <v>9011</v>
      </c>
      <c r="C4525" s="1">
        <v>45968</v>
      </c>
      <c r="D4525" t="s">
        <v>9012</v>
      </c>
      <c r="E4525" s="2">
        <v>8000</v>
      </c>
      <c r="G4525" s="3">
        <f>MONTH(Tabela1[[#This Row],[Último pagto ano]])</f>
        <v>11</v>
      </c>
      <c r="H4525" t="str">
        <f>TEXT(Tabela1[[#This Row],[Coluna2]]*29,"mmmm")</f>
        <v>novembro</v>
      </c>
      <c r="I4525" t="str">
        <f>TEXT(MONTH(Tabela1[[#This Row],[Último pagto ano]])*29,"mmmm")</f>
        <v>novembro</v>
      </c>
    </row>
    <row r="4526" spans="1:9" x14ac:dyDescent="0.25">
      <c r="A4526">
        <v>2025</v>
      </c>
      <c r="B4526" t="s">
        <v>9013</v>
      </c>
      <c r="C4526" s="1">
        <v>45672</v>
      </c>
      <c r="D4526" t="s">
        <v>9014</v>
      </c>
      <c r="E4526">
        <v>707.2</v>
      </c>
      <c r="G4526" s="3">
        <f>MONTH(Tabela1[[#This Row],[Último pagto ano]])</f>
        <v>1</v>
      </c>
      <c r="H4526" t="str">
        <f>TEXT(Tabela1[[#This Row],[Coluna2]]*29,"mmmm")</f>
        <v>janeiro</v>
      </c>
      <c r="I4526" t="str">
        <f>TEXT(MONTH(Tabela1[[#This Row],[Último pagto ano]])*29,"mmmm")</f>
        <v>janeiro</v>
      </c>
    </row>
    <row r="4527" spans="1:9" x14ac:dyDescent="0.25">
      <c r="A4527">
        <v>2025</v>
      </c>
      <c r="B4527" t="s">
        <v>9015</v>
      </c>
      <c r="C4527" s="1">
        <v>45824</v>
      </c>
      <c r="D4527" t="s">
        <v>9016</v>
      </c>
      <c r="E4527">
        <v>132</v>
      </c>
      <c r="G4527" s="3">
        <f>MONTH(Tabela1[[#This Row],[Último pagto ano]])</f>
        <v>6</v>
      </c>
      <c r="H4527" t="str">
        <f>TEXT(Tabela1[[#This Row],[Coluna2]]*29,"mmmm")</f>
        <v>junho</v>
      </c>
      <c r="I4527" t="str">
        <f>TEXT(MONTH(Tabela1[[#This Row],[Último pagto ano]])*29,"mmmm")</f>
        <v>junho</v>
      </c>
    </row>
    <row r="4528" spans="1:9" x14ac:dyDescent="0.25">
      <c r="A4528">
        <v>2025</v>
      </c>
      <c r="B4528" t="s">
        <v>9017</v>
      </c>
      <c r="C4528" s="1">
        <v>45744</v>
      </c>
      <c r="D4528" t="s">
        <v>9018</v>
      </c>
      <c r="E4528" s="2">
        <v>3031.54</v>
      </c>
      <c r="G4528" s="3">
        <f>MONTH(Tabela1[[#This Row],[Último pagto ano]])</f>
        <v>3</v>
      </c>
      <c r="H4528" t="str">
        <f>TEXT(Tabela1[[#This Row],[Coluna2]]*29,"mmmm")</f>
        <v>março</v>
      </c>
      <c r="I4528" t="str">
        <f>TEXT(MONTH(Tabela1[[#This Row],[Último pagto ano]])*29,"mmmm")</f>
        <v>março</v>
      </c>
    </row>
    <row r="4529" spans="1:9" x14ac:dyDescent="0.25">
      <c r="A4529">
        <v>2025</v>
      </c>
      <c r="B4529" t="s">
        <v>9019</v>
      </c>
      <c r="C4529" s="1">
        <v>45996</v>
      </c>
      <c r="D4529" t="s">
        <v>9020</v>
      </c>
      <c r="E4529" s="2">
        <v>46500</v>
      </c>
      <c r="G4529" s="3">
        <f>MONTH(Tabela1[[#This Row],[Último pagto ano]])</f>
        <v>12</v>
      </c>
      <c r="H4529" t="str">
        <f>TEXT(Tabela1[[#This Row],[Coluna2]]*29,"mmmm")</f>
        <v>dezembro</v>
      </c>
      <c r="I4529" t="str">
        <f>TEXT(MONTH(Tabela1[[#This Row],[Último pagto ano]])*29,"mmmm")</f>
        <v>dezembro</v>
      </c>
    </row>
    <row r="4530" spans="1:9" x14ac:dyDescent="0.25">
      <c r="A4530">
        <v>2025</v>
      </c>
      <c r="B4530" t="s">
        <v>9021</v>
      </c>
      <c r="C4530" s="1">
        <v>45863</v>
      </c>
      <c r="D4530" t="s">
        <v>9022</v>
      </c>
      <c r="E4530">
        <v>951.89</v>
      </c>
      <c r="G4530" s="3">
        <f>MONTH(Tabela1[[#This Row],[Último pagto ano]])</f>
        <v>7</v>
      </c>
      <c r="H4530" t="str">
        <f>TEXT(Tabela1[[#This Row],[Coluna2]]*29,"mmmm")</f>
        <v>julho</v>
      </c>
      <c r="I4530" t="str">
        <f>TEXT(MONTH(Tabela1[[#This Row],[Último pagto ano]])*29,"mmmm")</f>
        <v>julho</v>
      </c>
    </row>
    <row r="4531" spans="1:9" x14ac:dyDescent="0.25">
      <c r="A4531">
        <v>2025</v>
      </c>
      <c r="B4531" t="s">
        <v>9023</v>
      </c>
      <c r="C4531" s="1">
        <v>45740</v>
      </c>
      <c r="D4531" t="s">
        <v>9024</v>
      </c>
      <c r="E4531">
        <v>66</v>
      </c>
      <c r="G4531" s="3">
        <f>MONTH(Tabela1[[#This Row],[Último pagto ano]])</f>
        <v>3</v>
      </c>
      <c r="H4531" t="str">
        <f>TEXT(Tabela1[[#This Row],[Coluna2]]*29,"mmmm")</f>
        <v>março</v>
      </c>
      <c r="I4531" t="str">
        <f>TEXT(MONTH(Tabela1[[#This Row],[Último pagto ano]])*29,"mmmm")</f>
        <v>março</v>
      </c>
    </row>
    <row r="4532" spans="1:9" x14ac:dyDescent="0.25">
      <c r="A4532">
        <v>2025</v>
      </c>
      <c r="B4532" t="s">
        <v>9025</v>
      </c>
      <c r="C4532" s="1">
        <v>46014</v>
      </c>
      <c r="D4532" t="s">
        <v>9026</v>
      </c>
      <c r="E4532">
        <v>385</v>
      </c>
      <c r="G4532" s="3">
        <f>MONTH(Tabela1[[#This Row],[Último pagto ano]])</f>
        <v>12</v>
      </c>
      <c r="H4532" t="str">
        <f>TEXT(Tabela1[[#This Row],[Coluna2]]*29,"mmmm")</f>
        <v>dezembro</v>
      </c>
      <c r="I4532" t="str">
        <f>TEXT(MONTH(Tabela1[[#This Row],[Último pagto ano]])*29,"mmmm")</f>
        <v>dezembro</v>
      </c>
    </row>
    <row r="4533" spans="1:9" x14ac:dyDescent="0.25">
      <c r="A4533">
        <v>2025</v>
      </c>
      <c r="B4533" t="s">
        <v>9027</v>
      </c>
      <c r="C4533" s="1">
        <v>45702</v>
      </c>
      <c r="D4533" t="s">
        <v>9028</v>
      </c>
      <c r="E4533">
        <v>26.94</v>
      </c>
      <c r="G4533" s="3">
        <f>MONTH(Tabela1[[#This Row],[Último pagto ano]])</f>
        <v>2</v>
      </c>
      <c r="H4533" t="str">
        <f>TEXT(Tabela1[[#This Row],[Coluna2]]*29,"mmmm")</f>
        <v>fevereiro</v>
      </c>
      <c r="I4533" t="str">
        <f>TEXT(MONTH(Tabela1[[#This Row],[Último pagto ano]])*29,"mmmm")</f>
        <v>fevereiro</v>
      </c>
    </row>
    <row r="4534" spans="1:9" x14ac:dyDescent="0.25">
      <c r="A4534">
        <v>2025</v>
      </c>
      <c r="B4534" t="s">
        <v>9029</v>
      </c>
      <c r="C4534" s="1">
        <v>45775</v>
      </c>
      <c r="D4534" t="s">
        <v>9030</v>
      </c>
      <c r="E4534">
        <v>374.4</v>
      </c>
      <c r="G4534" s="3">
        <f>MONTH(Tabela1[[#This Row],[Último pagto ano]])</f>
        <v>4</v>
      </c>
      <c r="H4534" t="str">
        <f>TEXT(Tabela1[[#This Row],[Coluna2]]*29,"mmmm")</f>
        <v>abril</v>
      </c>
      <c r="I4534" t="str">
        <f>TEXT(MONTH(Tabela1[[#This Row],[Último pagto ano]])*29,"mmmm")</f>
        <v>abril</v>
      </c>
    </row>
    <row r="4535" spans="1:9" x14ac:dyDescent="0.25">
      <c r="A4535">
        <v>2025</v>
      </c>
      <c r="B4535" t="s">
        <v>9031</v>
      </c>
      <c r="C4535" s="1">
        <v>45989</v>
      </c>
      <c r="D4535" t="s">
        <v>9032</v>
      </c>
      <c r="E4535" s="2">
        <v>10455.4</v>
      </c>
      <c r="G4535" s="3">
        <f>MONTH(Tabela1[[#This Row],[Último pagto ano]])</f>
        <v>11</v>
      </c>
      <c r="H4535" t="str">
        <f>TEXT(Tabela1[[#This Row],[Coluna2]]*29,"mmmm")</f>
        <v>novembro</v>
      </c>
      <c r="I4535" t="str">
        <f>TEXT(MONTH(Tabela1[[#This Row],[Último pagto ano]])*29,"mmmm")</f>
        <v>novembro</v>
      </c>
    </row>
    <row r="4536" spans="1:9" x14ac:dyDescent="0.25">
      <c r="A4536">
        <v>2025</v>
      </c>
      <c r="B4536" t="s">
        <v>9033</v>
      </c>
      <c r="C4536" s="1">
        <v>46010</v>
      </c>
      <c r="D4536" t="s">
        <v>9034</v>
      </c>
      <c r="E4536" s="2">
        <v>8400</v>
      </c>
      <c r="G4536" s="3">
        <f>MONTH(Tabela1[[#This Row],[Último pagto ano]])</f>
        <v>12</v>
      </c>
      <c r="H4536" t="str">
        <f>TEXT(Tabela1[[#This Row],[Coluna2]]*29,"mmmm")</f>
        <v>dezembro</v>
      </c>
      <c r="I4536" t="str">
        <f>TEXT(MONTH(Tabela1[[#This Row],[Último pagto ano]])*29,"mmmm")</f>
        <v>dezembro</v>
      </c>
    </row>
    <row r="4537" spans="1:9" x14ac:dyDescent="0.25">
      <c r="A4537">
        <v>2025</v>
      </c>
      <c r="B4537" t="s">
        <v>9035</v>
      </c>
      <c r="C4537" s="1">
        <v>45988</v>
      </c>
      <c r="D4537" t="s">
        <v>9036</v>
      </c>
      <c r="E4537">
        <v>327.60000000000002</v>
      </c>
      <c r="G4537" s="3">
        <f>MONTH(Tabela1[[#This Row],[Último pagto ano]])</f>
        <v>11</v>
      </c>
      <c r="H4537" t="str">
        <f>TEXT(Tabela1[[#This Row],[Coluna2]]*29,"mmmm")</f>
        <v>novembro</v>
      </c>
      <c r="I4537" t="str">
        <f>TEXT(MONTH(Tabela1[[#This Row],[Último pagto ano]])*29,"mmmm")</f>
        <v>novembro</v>
      </c>
    </row>
    <row r="4538" spans="1:9" x14ac:dyDescent="0.25">
      <c r="A4538">
        <v>2025</v>
      </c>
      <c r="B4538" t="s">
        <v>9037</v>
      </c>
      <c r="C4538" s="1">
        <v>45853</v>
      </c>
      <c r="D4538" t="s">
        <v>9038</v>
      </c>
      <c r="E4538" s="2">
        <v>1750.4</v>
      </c>
      <c r="G4538" s="3">
        <f>MONTH(Tabela1[[#This Row],[Último pagto ano]])</f>
        <v>7</v>
      </c>
      <c r="H4538" t="str">
        <f>TEXT(Tabela1[[#This Row],[Coluna2]]*29,"mmmm")</f>
        <v>julho</v>
      </c>
      <c r="I4538" t="str">
        <f>TEXT(MONTH(Tabela1[[#This Row],[Último pagto ano]])*29,"mmmm")</f>
        <v>julho</v>
      </c>
    </row>
    <row r="4539" spans="1:9" x14ac:dyDescent="0.25">
      <c r="A4539">
        <v>2025</v>
      </c>
      <c r="B4539" t="s">
        <v>9039</v>
      </c>
      <c r="C4539" s="1">
        <v>45996</v>
      </c>
      <c r="D4539" t="s">
        <v>9040</v>
      </c>
      <c r="E4539" s="2">
        <v>2500</v>
      </c>
      <c r="G4539" s="3">
        <f>MONTH(Tabela1[[#This Row],[Último pagto ano]])</f>
        <v>12</v>
      </c>
      <c r="H4539" t="str">
        <f>TEXT(Tabela1[[#This Row],[Coluna2]]*29,"mmmm")</f>
        <v>dezembro</v>
      </c>
      <c r="I4539" t="str">
        <f>TEXT(MONTH(Tabela1[[#This Row],[Último pagto ano]])*29,"mmmm")</f>
        <v>dezembro</v>
      </c>
    </row>
    <row r="4540" spans="1:9" x14ac:dyDescent="0.25">
      <c r="A4540">
        <v>2025</v>
      </c>
      <c r="B4540" t="s">
        <v>9041</v>
      </c>
      <c r="C4540" s="1">
        <v>46006</v>
      </c>
      <c r="D4540" t="s">
        <v>9042</v>
      </c>
      <c r="E4540">
        <v>44</v>
      </c>
      <c r="G4540" s="3">
        <f>MONTH(Tabela1[[#This Row],[Último pagto ano]])</f>
        <v>12</v>
      </c>
      <c r="H4540" t="str">
        <f>TEXT(Tabela1[[#This Row],[Coluna2]]*29,"mmmm")</f>
        <v>dezembro</v>
      </c>
      <c r="I4540" t="str">
        <f>TEXT(MONTH(Tabela1[[#This Row],[Último pagto ano]])*29,"mmmm")</f>
        <v>dezembro</v>
      </c>
    </row>
    <row r="4541" spans="1:9" x14ac:dyDescent="0.25">
      <c r="A4541">
        <v>2025</v>
      </c>
      <c r="B4541" t="s">
        <v>9043</v>
      </c>
      <c r="C4541" s="1">
        <v>45996</v>
      </c>
      <c r="D4541" t="s">
        <v>9044</v>
      </c>
      <c r="E4541" s="2">
        <v>36000</v>
      </c>
      <c r="G4541" s="3">
        <f>MONTH(Tabela1[[#This Row],[Último pagto ano]])</f>
        <v>12</v>
      </c>
      <c r="H4541" t="str">
        <f>TEXT(Tabela1[[#This Row],[Coluna2]]*29,"mmmm")</f>
        <v>dezembro</v>
      </c>
      <c r="I4541" t="str">
        <f>TEXT(MONTH(Tabela1[[#This Row],[Último pagto ano]])*29,"mmmm")</f>
        <v>dezembro</v>
      </c>
    </row>
    <row r="4542" spans="1:9" x14ac:dyDescent="0.25">
      <c r="A4542">
        <v>2025</v>
      </c>
      <c r="B4542" t="s">
        <v>9045</v>
      </c>
      <c r="C4542" s="1">
        <v>45769</v>
      </c>
      <c r="D4542" t="s">
        <v>9046</v>
      </c>
      <c r="E4542">
        <v>77</v>
      </c>
      <c r="G4542" s="3">
        <f>MONTH(Tabela1[[#This Row],[Último pagto ano]])</f>
        <v>4</v>
      </c>
      <c r="H4542" t="str">
        <f>TEXT(Tabela1[[#This Row],[Coluna2]]*29,"mmmm")</f>
        <v>abril</v>
      </c>
      <c r="I4542" t="str">
        <f>TEXT(MONTH(Tabela1[[#This Row],[Último pagto ano]])*29,"mmmm")</f>
        <v>abril</v>
      </c>
    </row>
    <row r="4543" spans="1:9" x14ac:dyDescent="0.25">
      <c r="A4543">
        <v>2025</v>
      </c>
      <c r="B4543" t="s">
        <v>9047</v>
      </c>
      <c r="C4543" s="1">
        <v>46010</v>
      </c>
      <c r="D4543" t="s">
        <v>9048</v>
      </c>
      <c r="E4543" s="2">
        <v>8400</v>
      </c>
      <c r="G4543" s="3">
        <f>MONTH(Tabela1[[#This Row],[Último pagto ano]])</f>
        <v>12</v>
      </c>
      <c r="H4543" t="str">
        <f>TEXT(Tabela1[[#This Row],[Coluna2]]*29,"mmmm")</f>
        <v>dezembro</v>
      </c>
      <c r="I4543" t="str">
        <f>TEXT(MONTH(Tabela1[[#This Row],[Último pagto ano]])*29,"mmmm")</f>
        <v>dezembro</v>
      </c>
    </row>
    <row r="4544" spans="1:9" x14ac:dyDescent="0.25">
      <c r="A4544">
        <v>2025</v>
      </c>
      <c r="B4544" t="s">
        <v>9049</v>
      </c>
      <c r="C4544" s="1">
        <v>46021</v>
      </c>
      <c r="D4544" t="s">
        <v>9050</v>
      </c>
      <c r="E4544" s="2">
        <v>13884.34</v>
      </c>
      <c r="G4544" s="3">
        <f>MONTH(Tabela1[[#This Row],[Último pagto ano]])</f>
        <v>12</v>
      </c>
      <c r="H4544" t="str">
        <f>TEXT(Tabela1[[#This Row],[Coluna2]]*29,"mmmm")</f>
        <v>dezembro</v>
      </c>
      <c r="I4544" t="str">
        <f>TEXT(MONTH(Tabela1[[#This Row],[Último pagto ano]])*29,"mmmm")</f>
        <v>dezembro</v>
      </c>
    </row>
    <row r="4545" spans="1:9" x14ac:dyDescent="0.25">
      <c r="A4545">
        <v>2025</v>
      </c>
      <c r="B4545" t="s">
        <v>9051</v>
      </c>
      <c r="C4545" s="1">
        <v>45803</v>
      </c>
      <c r="D4545" t="s">
        <v>9052</v>
      </c>
      <c r="E4545" s="2">
        <v>3500</v>
      </c>
      <c r="G4545" s="3">
        <f>MONTH(Tabela1[[#This Row],[Último pagto ano]])</f>
        <v>5</v>
      </c>
      <c r="H4545" t="str">
        <f>TEXT(Tabela1[[#This Row],[Coluna2]]*29,"mmmm")</f>
        <v>maio</v>
      </c>
      <c r="I4545" t="str">
        <f>TEXT(MONTH(Tabela1[[#This Row],[Último pagto ano]])*29,"mmmm")</f>
        <v>maio</v>
      </c>
    </row>
    <row r="4546" spans="1:9" x14ac:dyDescent="0.25">
      <c r="A4546">
        <v>2025</v>
      </c>
      <c r="B4546" t="s">
        <v>9053</v>
      </c>
      <c r="C4546" s="1">
        <v>45702</v>
      </c>
      <c r="D4546" t="s">
        <v>9054</v>
      </c>
      <c r="E4546" s="2">
        <v>1286.32</v>
      </c>
      <c r="G4546" s="3">
        <f>MONTH(Tabela1[[#This Row],[Último pagto ano]])</f>
        <v>2</v>
      </c>
      <c r="H4546" t="str">
        <f>TEXT(Tabela1[[#This Row],[Coluna2]]*29,"mmmm")</f>
        <v>fevereiro</v>
      </c>
      <c r="I4546" t="str">
        <f>TEXT(MONTH(Tabela1[[#This Row],[Último pagto ano]])*29,"mmmm")</f>
        <v>fevereiro</v>
      </c>
    </row>
    <row r="4547" spans="1:9" x14ac:dyDescent="0.25">
      <c r="A4547">
        <v>2025</v>
      </c>
      <c r="B4547" t="s">
        <v>9055</v>
      </c>
      <c r="C4547" s="1">
        <v>46006</v>
      </c>
      <c r="D4547" t="s">
        <v>9056</v>
      </c>
      <c r="E4547" s="2">
        <v>3553.92</v>
      </c>
      <c r="G4547" s="3">
        <f>MONTH(Tabela1[[#This Row],[Último pagto ano]])</f>
        <v>12</v>
      </c>
      <c r="H4547" t="str">
        <f>TEXT(Tabela1[[#This Row],[Coluna2]]*29,"mmmm")</f>
        <v>dezembro</v>
      </c>
      <c r="I4547" t="str">
        <f>TEXT(MONTH(Tabela1[[#This Row],[Último pagto ano]])*29,"mmmm")</f>
        <v>dezembro</v>
      </c>
    </row>
    <row r="4548" spans="1:9" x14ac:dyDescent="0.25">
      <c r="A4548">
        <v>2025</v>
      </c>
      <c r="B4548" t="s">
        <v>9057</v>
      </c>
      <c r="C4548" s="1">
        <v>45905</v>
      </c>
      <c r="D4548" t="s">
        <v>9058</v>
      </c>
      <c r="E4548" s="2">
        <v>37800</v>
      </c>
      <c r="G4548" s="3">
        <f>MONTH(Tabela1[[#This Row],[Último pagto ano]])</f>
        <v>9</v>
      </c>
      <c r="H4548" t="str">
        <f>TEXT(Tabela1[[#This Row],[Coluna2]]*29,"mmmm")</f>
        <v>setembro</v>
      </c>
      <c r="I4548" t="str">
        <f>TEXT(MONTH(Tabela1[[#This Row],[Último pagto ano]])*29,"mmmm")</f>
        <v>setembro</v>
      </c>
    </row>
    <row r="4549" spans="1:9" x14ac:dyDescent="0.25">
      <c r="A4549">
        <v>2025</v>
      </c>
      <c r="B4549" t="s">
        <v>9059</v>
      </c>
      <c r="C4549" s="1">
        <v>45989</v>
      </c>
      <c r="D4549" t="s">
        <v>9060</v>
      </c>
      <c r="E4549" s="2">
        <v>5265.43</v>
      </c>
      <c r="G4549" s="3">
        <f>MONTH(Tabela1[[#This Row],[Último pagto ano]])</f>
        <v>11</v>
      </c>
      <c r="H4549" t="str">
        <f>TEXT(Tabela1[[#This Row],[Coluna2]]*29,"mmmm")</f>
        <v>novembro</v>
      </c>
      <c r="I4549" t="str">
        <f>TEXT(MONTH(Tabela1[[#This Row],[Último pagto ano]])*29,"mmmm")</f>
        <v>novembro</v>
      </c>
    </row>
    <row r="4550" spans="1:9" x14ac:dyDescent="0.25">
      <c r="A4550">
        <v>2025</v>
      </c>
      <c r="B4550" t="s">
        <v>9061</v>
      </c>
      <c r="C4550" s="1">
        <v>46014</v>
      </c>
      <c r="D4550" t="s">
        <v>9062</v>
      </c>
      <c r="E4550" s="2">
        <v>5760</v>
      </c>
      <c r="G4550" s="3">
        <f>MONTH(Tabela1[[#This Row],[Último pagto ano]])</f>
        <v>12</v>
      </c>
      <c r="H4550" t="str">
        <f>TEXT(Tabela1[[#This Row],[Coluna2]]*29,"mmmm")</f>
        <v>dezembro</v>
      </c>
      <c r="I4550" t="str">
        <f>TEXT(MONTH(Tabela1[[#This Row],[Último pagto ano]])*29,"mmmm")</f>
        <v>dezembro</v>
      </c>
    </row>
    <row r="4551" spans="1:9" x14ac:dyDescent="0.25">
      <c r="A4551">
        <v>2025</v>
      </c>
      <c r="B4551" t="s">
        <v>9063</v>
      </c>
      <c r="C4551" s="1">
        <v>46014</v>
      </c>
      <c r="D4551" t="s">
        <v>9064</v>
      </c>
      <c r="E4551" s="2">
        <v>3120</v>
      </c>
      <c r="G4551" s="3">
        <f>MONTH(Tabela1[[#This Row],[Último pagto ano]])</f>
        <v>12</v>
      </c>
      <c r="H4551" t="str">
        <f>TEXT(Tabela1[[#This Row],[Coluna2]]*29,"mmmm")</f>
        <v>dezembro</v>
      </c>
      <c r="I4551" t="str">
        <f>TEXT(MONTH(Tabela1[[#This Row],[Último pagto ano]])*29,"mmmm")</f>
        <v>dezembro</v>
      </c>
    </row>
    <row r="4552" spans="1:9" x14ac:dyDescent="0.25">
      <c r="A4552">
        <v>2025</v>
      </c>
      <c r="B4552" t="s">
        <v>9065</v>
      </c>
      <c r="C4552" s="1">
        <v>45996</v>
      </c>
      <c r="D4552" t="s">
        <v>9066</v>
      </c>
      <c r="E4552" s="2">
        <v>10000</v>
      </c>
      <c r="G4552" s="3">
        <f>MONTH(Tabela1[[#This Row],[Último pagto ano]])</f>
        <v>12</v>
      </c>
      <c r="H4552" t="str">
        <f>TEXT(Tabela1[[#This Row],[Coluna2]]*29,"mmmm")</f>
        <v>dezembro</v>
      </c>
      <c r="I4552" t="str">
        <f>TEXT(MONTH(Tabela1[[#This Row],[Último pagto ano]])*29,"mmmm")</f>
        <v>dezembro</v>
      </c>
    </row>
    <row r="4553" spans="1:9" x14ac:dyDescent="0.25">
      <c r="A4553">
        <v>2025</v>
      </c>
      <c r="B4553" t="s">
        <v>9067</v>
      </c>
      <c r="C4553" s="1">
        <v>45996</v>
      </c>
      <c r="D4553" t="s">
        <v>9068</v>
      </c>
      <c r="E4553" s="2">
        <v>1000</v>
      </c>
      <c r="G4553" s="3">
        <f>MONTH(Tabela1[[#This Row],[Último pagto ano]])</f>
        <v>12</v>
      </c>
      <c r="H4553" t="str">
        <f>TEXT(Tabela1[[#This Row],[Coluna2]]*29,"mmmm")</f>
        <v>dezembro</v>
      </c>
      <c r="I4553" t="str">
        <f>TEXT(MONTH(Tabela1[[#This Row],[Último pagto ano]])*29,"mmmm")</f>
        <v>dezembro</v>
      </c>
    </row>
    <row r="4554" spans="1:9" x14ac:dyDescent="0.25">
      <c r="A4554">
        <v>2025</v>
      </c>
      <c r="B4554" t="s">
        <v>9069</v>
      </c>
      <c r="C4554" s="1">
        <v>45971</v>
      </c>
      <c r="D4554" t="s">
        <v>9070</v>
      </c>
      <c r="E4554">
        <v>130.80000000000001</v>
      </c>
      <c r="G4554" s="3">
        <f>MONTH(Tabela1[[#This Row],[Último pagto ano]])</f>
        <v>11</v>
      </c>
      <c r="H4554" t="str">
        <f>TEXT(Tabela1[[#This Row],[Coluna2]]*29,"mmmm")</f>
        <v>novembro</v>
      </c>
      <c r="I4554" t="str">
        <f>TEXT(MONTH(Tabela1[[#This Row],[Último pagto ano]])*29,"mmmm")</f>
        <v>novembro</v>
      </c>
    </row>
    <row r="4555" spans="1:9" x14ac:dyDescent="0.25">
      <c r="A4555">
        <v>2025</v>
      </c>
      <c r="B4555" t="s">
        <v>9071</v>
      </c>
      <c r="C4555" s="1">
        <v>46014</v>
      </c>
      <c r="D4555" t="s">
        <v>9072</v>
      </c>
      <c r="E4555">
        <v>92.14</v>
      </c>
      <c r="G4555" s="3">
        <f>MONTH(Tabela1[[#This Row],[Último pagto ano]])</f>
        <v>12</v>
      </c>
      <c r="H4555" t="str">
        <f>TEXT(Tabela1[[#This Row],[Coluna2]]*29,"mmmm")</f>
        <v>dezembro</v>
      </c>
      <c r="I4555" t="str">
        <f>TEXT(MONTH(Tabela1[[#This Row],[Último pagto ano]])*29,"mmmm")</f>
        <v>dezembro</v>
      </c>
    </row>
    <row r="4556" spans="1:9" x14ac:dyDescent="0.25">
      <c r="A4556">
        <v>2025</v>
      </c>
      <c r="B4556" t="s">
        <v>9073</v>
      </c>
      <c r="C4556" s="1">
        <v>46006</v>
      </c>
      <c r="D4556" t="s">
        <v>9074</v>
      </c>
      <c r="E4556" s="2">
        <v>5627.04</v>
      </c>
      <c r="G4556" s="3">
        <f>MONTH(Tabela1[[#This Row],[Último pagto ano]])</f>
        <v>12</v>
      </c>
      <c r="H4556" t="str">
        <f>TEXT(Tabela1[[#This Row],[Coluna2]]*29,"mmmm")</f>
        <v>dezembro</v>
      </c>
      <c r="I4556" t="str">
        <f>TEXT(MONTH(Tabela1[[#This Row],[Último pagto ano]])*29,"mmmm")</f>
        <v>dezembro</v>
      </c>
    </row>
    <row r="4557" spans="1:9" x14ac:dyDescent="0.25">
      <c r="A4557">
        <v>2025</v>
      </c>
      <c r="B4557" t="s">
        <v>9075</v>
      </c>
      <c r="C4557" s="1">
        <v>46010</v>
      </c>
      <c r="D4557" t="s">
        <v>9076</v>
      </c>
      <c r="E4557" s="2">
        <v>7700</v>
      </c>
      <c r="G4557" s="3">
        <f>MONTH(Tabela1[[#This Row],[Último pagto ano]])</f>
        <v>12</v>
      </c>
      <c r="H4557" t="str">
        <f>TEXT(Tabela1[[#This Row],[Coluna2]]*29,"mmmm")</f>
        <v>dezembro</v>
      </c>
      <c r="I4557" t="str">
        <f>TEXT(MONTH(Tabela1[[#This Row],[Último pagto ano]])*29,"mmmm")</f>
        <v>dezembro</v>
      </c>
    </row>
    <row r="4558" spans="1:9" x14ac:dyDescent="0.25">
      <c r="A4558">
        <v>2025</v>
      </c>
      <c r="B4558" t="s">
        <v>9077</v>
      </c>
      <c r="C4558" s="1">
        <v>45996</v>
      </c>
      <c r="D4558" t="s">
        <v>9078</v>
      </c>
      <c r="E4558" s="2">
        <v>64800</v>
      </c>
      <c r="G4558" s="3">
        <f>MONTH(Tabela1[[#This Row],[Último pagto ano]])</f>
        <v>12</v>
      </c>
      <c r="H4558" t="str">
        <f>TEXT(Tabela1[[#This Row],[Coluna2]]*29,"mmmm")</f>
        <v>dezembro</v>
      </c>
      <c r="I4558" t="str">
        <f>TEXT(MONTH(Tabela1[[#This Row],[Último pagto ano]])*29,"mmmm")</f>
        <v>dezembro</v>
      </c>
    </row>
    <row r="4559" spans="1:9" x14ac:dyDescent="0.25">
      <c r="A4559">
        <v>2025</v>
      </c>
      <c r="B4559" t="s">
        <v>9079</v>
      </c>
      <c r="C4559" s="1">
        <v>45996</v>
      </c>
      <c r="D4559" t="s">
        <v>9080</v>
      </c>
      <c r="E4559" s="2">
        <v>6000</v>
      </c>
      <c r="G4559" s="3">
        <f>MONTH(Tabela1[[#This Row],[Último pagto ano]])</f>
        <v>12</v>
      </c>
      <c r="H4559" t="str">
        <f>TEXT(Tabela1[[#This Row],[Coluna2]]*29,"mmmm")</f>
        <v>dezembro</v>
      </c>
      <c r="I4559" t="str">
        <f>TEXT(MONTH(Tabela1[[#This Row],[Último pagto ano]])*29,"mmmm")</f>
        <v>dezembro</v>
      </c>
    </row>
    <row r="4560" spans="1:9" x14ac:dyDescent="0.25">
      <c r="A4560">
        <v>2025</v>
      </c>
      <c r="B4560" t="s">
        <v>9081</v>
      </c>
      <c r="C4560" s="1">
        <v>46021</v>
      </c>
      <c r="D4560" t="s">
        <v>9082</v>
      </c>
      <c r="E4560">
        <v>599.59</v>
      </c>
      <c r="G4560" s="3">
        <f>MONTH(Tabela1[[#This Row],[Último pagto ano]])</f>
        <v>12</v>
      </c>
      <c r="H4560" t="str">
        <f>TEXT(Tabela1[[#This Row],[Coluna2]]*29,"mmmm")</f>
        <v>dezembro</v>
      </c>
      <c r="I4560" t="str">
        <f>TEXT(MONTH(Tabela1[[#This Row],[Último pagto ano]])*29,"mmmm")</f>
        <v>dezembro</v>
      </c>
    </row>
    <row r="4561" spans="1:9" x14ac:dyDescent="0.25">
      <c r="A4561">
        <v>2025</v>
      </c>
      <c r="B4561" t="s">
        <v>9083</v>
      </c>
      <c r="C4561" s="1">
        <v>45988</v>
      </c>
      <c r="D4561" t="s">
        <v>9084</v>
      </c>
      <c r="E4561" s="2">
        <v>3291.6</v>
      </c>
      <c r="G4561" s="3">
        <f>MONTH(Tabela1[[#This Row],[Último pagto ano]])</f>
        <v>11</v>
      </c>
      <c r="H4561" t="str">
        <f>TEXT(Tabela1[[#This Row],[Coluna2]]*29,"mmmm")</f>
        <v>novembro</v>
      </c>
      <c r="I4561" t="str">
        <f>TEXT(MONTH(Tabela1[[#This Row],[Último pagto ano]])*29,"mmmm")</f>
        <v>novembro</v>
      </c>
    </row>
    <row r="4562" spans="1:9" x14ac:dyDescent="0.25">
      <c r="A4562">
        <v>2025</v>
      </c>
      <c r="B4562" t="s">
        <v>9085</v>
      </c>
      <c r="C4562" s="1">
        <v>46006</v>
      </c>
      <c r="D4562" t="s">
        <v>9086</v>
      </c>
      <c r="E4562" s="2">
        <v>2665.44</v>
      </c>
      <c r="G4562" s="3">
        <f>MONTH(Tabela1[[#This Row],[Último pagto ano]])</f>
        <v>12</v>
      </c>
      <c r="H4562" t="str">
        <f>TEXT(Tabela1[[#This Row],[Coluna2]]*29,"mmmm")</f>
        <v>dezembro</v>
      </c>
      <c r="I4562" t="str">
        <f>TEXT(MONTH(Tabela1[[#This Row],[Último pagto ano]])*29,"mmmm")</f>
        <v>dezembro</v>
      </c>
    </row>
    <row r="4563" spans="1:9" x14ac:dyDescent="0.25">
      <c r="A4563">
        <v>2025</v>
      </c>
      <c r="B4563" t="s">
        <v>9087</v>
      </c>
      <c r="C4563" s="1">
        <v>45937</v>
      </c>
      <c r="D4563" t="s">
        <v>9088</v>
      </c>
      <c r="E4563" s="2">
        <v>1400</v>
      </c>
      <c r="G4563" s="3">
        <f>MONTH(Tabela1[[#This Row],[Último pagto ano]])</f>
        <v>10</v>
      </c>
      <c r="H4563" t="str">
        <f>TEXT(Tabela1[[#This Row],[Coluna2]]*29,"mmmm")</f>
        <v>outubro</v>
      </c>
      <c r="I4563" t="str">
        <f>TEXT(MONTH(Tabela1[[#This Row],[Último pagto ano]])*29,"mmmm")</f>
        <v>outubro</v>
      </c>
    </row>
    <row r="4564" spans="1:9" x14ac:dyDescent="0.25">
      <c r="A4564">
        <v>2025</v>
      </c>
      <c r="B4564" t="s">
        <v>9089</v>
      </c>
      <c r="C4564" s="1">
        <v>46013</v>
      </c>
      <c r="D4564" t="s">
        <v>9090</v>
      </c>
      <c r="E4564">
        <v>586.27</v>
      </c>
      <c r="G4564" s="3">
        <f>MONTH(Tabela1[[#This Row],[Último pagto ano]])</f>
        <v>12</v>
      </c>
      <c r="H4564" t="str">
        <f>TEXT(Tabela1[[#This Row],[Coluna2]]*29,"mmmm")</f>
        <v>dezembro</v>
      </c>
      <c r="I4564" t="str">
        <f>TEXT(MONTH(Tabela1[[#This Row],[Último pagto ano]])*29,"mmmm")</f>
        <v>dezembro</v>
      </c>
    </row>
    <row r="4565" spans="1:9" x14ac:dyDescent="0.25">
      <c r="A4565">
        <v>2025</v>
      </c>
      <c r="B4565" t="s">
        <v>9091</v>
      </c>
      <c r="C4565" s="1">
        <v>45853</v>
      </c>
      <c r="D4565" t="s">
        <v>9092</v>
      </c>
      <c r="E4565" s="2">
        <v>5896.64</v>
      </c>
      <c r="G4565" s="3">
        <f>MONTH(Tabela1[[#This Row],[Último pagto ano]])</f>
        <v>7</v>
      </c>
      <c r="H4565" t="str">
        <f>TEXT(Tabela1[[#This Row],[Coluna2]]*29,"mmmm")</f>
        <v>julho</v>
      </c>
      <c r="I4565" t="str">
        <f>TEXT(MONTH(Tabela1[[#This Row],[Último pagto ano]])*29,"mmmm")</f>
        <v>julho</v>
      </c>
    </row>
    <row r="4566" spans="1:9" x14ac:dyDescent="0.25">
      <c r="A4566">
        <v>2025</v>
      </c>
      <c r="B4566" t="s">
        <v>9093</v>
      </c>
      <c r="C4566" s="1">
        <v>45964</v>
      </c>
      <c r="D4566" t="s">
        <v>9094</v>
      </c>
      <c r="E4566">
        <v>11.16</v>
      </c>
      <c r="G4566" s="3">
        <f>MONTH(Tabela1[[#This Row],[Último pagto ano]])</f>
        <v>11</v>
      </c>
      <c r="H4566" t="str">
        <f>TEXT(Tabela1[[#This Row],[Coluna2]]*29,"mmmm")</f>
        <v>novembro</v>
      </c>
      <c r="I4566" t="str">
        <f>TEXT(MONTH(Tabela1[[#This Row],[Último pagto ano]])*29,"mmmm")</f>
        <v>novembro</v>
      </c>
    </row>
    <row r="4567" spans="1:9" x14ac:dyDescent="0.25">
      <c r="A4567">
        <v>2025</v>
      </c>
      <c r="B4567" t="s">
        <v>9095</v>
      </c>
      <c r="C4567" s="1">
        <v>46010</v>
      </c>
      <c r="D4567" t="s">
        <v>9096</v>
      </c>
      <c r="E4567" s="2">
        <v>12000</v>
      </c>
      <c r="G4567" s="3">
        <f>MONTH(Tabela1[[#This Row],[Último pagto ano]])</f>
        <v>12</v>
      </c>
      <c r="H4567" t="str">
        <f>TEXT(Tabela1[[#This Row],[Coluna2]]*29,"mmmm")</f>
        <v>dezembro</v>
      </c>
      <c r="I4567" t="str">
        <f>TEXT(MONTH(Tabela1[[#This Row],[Último pagto ano]])*29,"mmmm")</f>
        <v>dezembro</v>
      </c>
    </row>
    <row r="4568" spans="1:9" x14ac:dyDescent="0.25">
      <c r="A4568">
        <v>2025</v>
      </c>
      <c r="B4568" t="s">
        <v>9097</v>
      </c>
      <c r="C4568" s="1">
        <v>45988</v>
      </c>
      <c r="D4568" t="s">
        <v>9098</v>
      </c>
      <c r="E4568" s="2">
        <v>2212.12</v>
      </c>
      <c r="G4568" s="3">
        <f>MONTH(Tabela1[[#This Row],[Último pagto ano]])</f>
        <v>11</v>
      </c>
      <c r="H4568" t="str">
        <f>TEXT(Tabela1[[#This Row],[Coluna2]]*29,"mmmm")</f>
        <v>novembro</v>
      </c>
      <c r="I4568" t="str">
        <f>TEXT(MONTH(Tabela1[[#This Row],[Último pagto ano]])*29,"mmmm")</f>
        <v>novembro</v>
      </c>
    </row>
    <row r="4569" spans="1:9" x14ac:dyDescent="0.25">
      <c r="A4569">
        <v>2025</v>
      </c>
      <c r="B4569" t="s">
        <v>9099</v>
      </c>
      <c r="C4569" s="1">
        <v>46014</v>
      </c>
      <c r="D4569" t="s">
        <v>9100</v>
      </c>
      <c r="E4569" s="2">
        <v>14000</v>
      </c>
      <c r="G4569" s="3">
        <f>MONTH(Tabela1[[#This Row],[Último pagto ano]])</f>
        <v>12</v>
      </c>
      <c r="H4569" t="str">
        <f>TEXT(Tabela1[[#This Row],[Coluna2]]*29,"mmmm")</f>
        <v>dezembro</v>
      </c>
      <c r="I4569" t="str">
        <f>TEXT(MONTH(Tabela1[[#This Row],[Último pagto ano]])*29,"mmmm")</f>
        <v>dezembro</v>
      </c>
    </row>
    <row r="4570" spans="1:9" x14ac:dyDescent="0.25">
      <c r="A4570">
        <v>2025</v>
      </c>
      <c r="B4570" t="s">
        <v>9101</v>
      </c>
      <c r="C4570" s="1">
        <v>46010</v>
      </c>
      <c r="D4570" t="s">
        <v>9102</v>
      </c>
      <c r="E4570">
        <v>700</v>
      </c>
      <c r="G4570" s="3">
        <f>MONTH(Tabela1[[#This Row],[Último pagto ano]])</f>
        <v>12</v>
      </c>
      <c r="H4570" t="str">
        <f>TEXT(Tabela1[[#This Row],[Coluna2]]*29,"mmmm")</f>
        <v>dezembro</v>
      </c>
      <c r="I4570" t="str">
        <f>TEXT(MONTH(Tabela1[[#This Row],[Último pagto ano]])*29,"mmmm")</f>
        <v>dezembro</v>
      </c>
    </row>
    <row r="4571" spans="1:9" x14ac:dyDescent="0.25">
      <c r="A4571">
        <v>2025</v>
      </c>
      <c r="B4571" t="s">
        <v>9103</v>
      </c>
      <c r="C4571" s="1">
        <v>46021</v>
      </c>
      <c r="D4571" t="s">
        <v>9104</v>
      </c>
      <c r="E4571" s="2">
        <v>24772.36</v>
      </c>
      <c r="G4571" s="3">
        <f>MONTH(Tabela1[[#This Row],[Último pagto ano]])</f>
        <v>12</v>
      </c>
      <c r="H4571" t="str">
        <f>TEXT(Tabela1[[#This Row],[Coluna2]]*29,"mmmm")</f>
        <v>dezembro</v>
      </c>
      <c r="I4571" t="str">
        <f>TEXT(MONTH(Tabela1[[#This Row],[Último pagto ano]])*29,"mmmm")</f>
        <v>dezembro</v>
      </c>
    </row>
    <row r="4572" spans="1:9" x14ac:dyDescent="0.25">
      <c r="A4572">
        <v>2025</v>
      </c>
      <c r="B4572" t="s">
        <v>9105</v>
      </c>
      <c r="C4572" s="1">
        <v>46014</v>
      </c>
      <c r="D4572" t="s">
        <v>9106</v>
      </c>
      <c r="E4572" s="2">
        <v>10050</v>
      </c>
      <c r="G4572" s="3">
        <f>MONTH(Tabela1[[#This Row],[Último pagto ano]])</f>
        <v>12</v>
      </c>
      <c r="H4572" t="str">
        <f>TEXT(Tabela1[[#This Row],[Coluna2]]*29,"mmmm")</f>
        <v>dezembro</v>
      </c>
      <c r="I4572" t="str">
        <f>TEXT(MONTH(Tabela1[[#This Row],[Último pagto ano]])*29,"mmmm")</f>
        <v>dezembro</v>
      </c>
    </row>
    <row r="4573" spans="1:9" x14ac:dyDescent="0.25">
      <c r="A4573">
        <v>2025</v>
      </c>
      <c r="B4573" t="s">
        <v>9107</v>
      </c>
      <c r="C4573" s="1">
        <v>46014</v>
      </c>
      <c r="D4573" t="s">
        <v>9108</v>
      </c>
      <c r="E4573">
        <v>198</v>
      </c>
      <c r="G4573" s="3">
        <f>MONTH(Tabela1[[#This Row],[Último pagto ano]])</f>
        <v>12</v>
      </c>
      <c r="H4573" t="str">
        <f>TEXT(Tabela1[[#This Row],[Coluna2]]*29,"mmmm")</f>
        <v>dezembro</v>
      </c>
      <c r="I4573" t="str">
        <f>TEXT(MONTH(Tabela1[[#This Row],[Último pagto ano]])*29,"mmmm")</f>
        <v>dezembro</v>
      </c>
    </row>
    <row r="4574" spans="1:9" x14ac:dyDescent="0.25">
      <c r="A4574">
        <v>2025</v>
      </c>
      <c r="B4574" t="s">
        <v>9109</v>
      </c>
      <c r="C4574" s="1">
        <v>45989</v>
      </c>
      <c r="D4574" t="s">
        <v>9110</v>
      </c>
      <c r="E4574" s="2">
        <v>3676.74</v>
      </c>
      <c r="G4574" s="3">
        <f>MONTH(Tabela1[[#This Row],[Último pagto ano]])</f>
        <v>11</v>
      </c>
      <c r="H4574" t="str">
        <f>TEXT(Tabela1[[#This Row],[Coluna2]]*29,"mmmm")</f>
        <v>novembro</v>
      </c>
      <c r="I4574" t="str">
        <f>TEXT(MONTH(Tabela1[[#This Row],[Último pagto ano]])*29,"mmmm")</f>
        <v>novembro</v>
      </c>
    </row>
    <row r="4575" spans="1:9" x14ac:dyDescent="0.25">
      <c r="A4575">
        <v>2025</v>
      </c>
      <c r="B4575" t="s">
        <v>9111</v>
      </c>
      <c r="C4575" s="1">
        <v>45672</v>
      </c>
      <c r="D4575" t="s">
        <v>9112</v>
      </c>
      <c r="E4575">
        <v>565.76</v>
      </c>
      <c r="G4575" s="3">
        <f>MONTH(Tabela1[[#This Row],[Último pagto ano]])</f>
        <v>1</v>
      </c>
      <c r="H4575" t="str">
        <f>TEXT(Tabela1[[#This Row],[Coluna2]]*29,"mmmm")</f>
        <v>janeiro</v>
      </c>
      <c r="I4575" t="str">
        <f>TEXT(MONTH(Tabela1[[#This Row],[Último pagto ano]])*29,"mmmm")</f>
        <v>janeiro</v>
      </c>
    </row>
    <row r="4576" spans="1:9" x14ac:dyDescent="0.25">
      <c r="A4576">
        <v>2025</v>
      </c>
      <c r="B4576" t="s">
        <v>9113</v>
      </c>
      <c r="C4576" s="1">
        <v>46006</v>
      </c>
      <c r="D4576" t="s">
        <v>9114</v>
      </c>
      <c r="E4576" s="2">
        <v>21688.080000000002</v>
      </c>
      <c r="G4576" s="3">
        <f>MONTH(Tabela1[[#This Row],[Último pagto ano]])</f>
        <v>12</v>
      </c>
      <c r="H4576" t="str">
        <f>TEXT(Tabela1[[#This Row],[Coluna2]]*29,"mmmm")</f>
        <v>dezembro</v>
      </c>
      <c r="I4576" t="str">
        <f>TEXT(MONTH(Tabela1[[#This Row],[Último pagto ano]])*29,"mmmm")</f>
        <v>dezembro</v>
      </c>
    </row>
    <row r="4577" spans="1:9" x14ac:dyDescent="0.25">
      <c r="A4577">
        <v>2025</v>
      </c>
      <c r="B4577" t="s">
        <v>9115</v>
      </c>
      <c r="C4577" s="1">
        <v>45989</v>
      </c>
      <c r="D4577" t="s">
        <v>9116</v>
      </c>
      <c r="E4577" s="2">
        <v>7849.4</v>
      </c>
      <c r="G4577" s="3">
        <f>MONTH(Tabela1[[#This Row],[Último pagto ano]])</f>
        <v>11</v>
      </c>
      <c r="H4577" t="str">
        <f>TEXT(Tabela1[[#This Row],[Coluna2]]*29,"mmmm")</f>
        <v>novembro</v>
      </c>
      <c r="I4577" t="str">
        <f>TEXT(MONTH(Tabela1[[#This Row],[Último pagto ano]])*29,"mmmm")</f>
        <v>novembro</v>
      </c>
    </row>
    <row r="4578" spans="1:9" x14ac:dyDescent="0.25">
      <c r="A4578">
        <v>2025</v>
      </c>
      <c r="B4578" t="s">
        <v>9117</v>
      </c>
      <c r="C4578" s="1">
        <v>45743</v>
      </c>
      <c r="D4578" t="s">
        <v>9118</v>
      </c>
      <c r="E4578" s="2">
        <v>77760</v>
      </c>
      <c r="G4578" s="3">
        <f>MONTH(Tabela1[[#This Row],[Último pagto ano]])</f>
        <v>3</v>
      </c>
      <c r="H4578" t="str">
        <f>TEXT(Tabela1[[#This Row],[Coluna2]]*29,"mmmm")</f>
        <v>março</v>
      </c>
      <c r="I4578" t="str">
        <f>TEXT(MONTH(Tabela1[[#This Row],[Último pagto ano]])*29,"mmmm")</f>
        <v>março</v>
      </c>
    </row>
    <row r="4579" spans="1:9" x14ac:dyDescent="0.25">
      <c r="A4579">
        <v>2025</v>
      </c>
      <c r="B4579" t="s">
        <v>9119</v>
      </c>
      <c r="C4579" s="1">
        <v>45712</v>
      </c>
      <c r="D4579" t="s">
        <v>9120</v>
      </c>
      <c r="E4579" s="2">
        <v>1400</v>
      </c>
      <c r="G4579" s="3">
        <f>MONTH(Tabela1[[#This Row],[Último pagto ano]])</f>
        <v>2</v>
      </c>
      <c r="H4579" t="str">
        <f>TEXT(Tabela1[[#This Row],[Coluna2]]*29,"mmmm")</f>
        <v>fevereiro</v>
      </c>
      <c r="I4579" t="str">
        <f>TEXT(MONTH(Tabela1[[#This Row],[Último pagto ano]])*29,"mmmm")</f>
        <v>fevereiro</v>
      </c>
    </row>
    <row r="4580" spans="1:9" x14ac:dyDescent="0.25">
      <c r="A4580">
        <v>2025</v>
      </c>
      <c r="B4580" t="s">
        <v>9121</v>
      </c>
      <c r="C4580" s="1">
        <v>46006</v>
      </c>
      <c r="D4580" t="s">
        <v>9122</v>
      </c>
      <c r="E4580" s="2">
        <v>13866.4</v>
      </c>
      <c r="G4580" s="3">
        <f>MONTH(Tabela1[[#This Row],[Último pagto ano]])</f>
        <v>12</v>
      </c>
      <c r="H4580" t="str">
        <f>TEXT(Tabela1[[#This Row],[Coluna2]]*29,"mmmm")</f>
        <v>dezembro</v>
      </c>
      <c r="I4580" t="str">
        <f>TEXT(MONTH(Tabela1[[#This Row],[Último pagto ano]])*29,"mmmm")</f>
        <v>dezembro</v>
      </c>
    </row>
    <row r="4581" spans="1:9" x14ac:dyDescent="0.25">
      <c r="A4581">
        <v>2025</v>
      </c>
      <c r="B4581" t="s">
        <v>9123</v>
      </c>
      <c r="C4581" s="1">
        <v>45996</v>
      </c>
      <c r="D4581" t="s">
        <v>9124</v>
      </c>
      <c r="E4581" s="2">
        <v>64628.4</v>
      </c>
      <c r="G4581" s="3">
        <f>MONTH(Tabela1[[#This Row],[Último pagto ano]])</f>
        <v>12</v>
      </c>
      <c r="H4581" t="str">
        <f>TEXT(Tabela1[[#This Row],[Coluna2]]*29,"mmmm")</f>
        <v>dezembro</v>
      </c>
      <c r="I4581" t="str">
        <f>TEXT(MONTH(Tabela1[[#This Row],[Último pagto ano]])*29,"mmmm")</f>
        <v>dezembro</v>
      </c>
    </row>
    <row r="4582" spans="1:9" x14ac:dyDescent="0.25">
      <c r="A4582">
        <v>2025</v>
      </c>
      <c r="B4582" t="s">
        <v>9125</v>
      </c>
      <c r="C4582" s="1">
        <v>45803</v>
      </c>
      <c r="D4582" t="s">
        <v>9126</v>
      </c>
      <c r="E4582" s="2">
        <v>2100</v>
      </c>
      <c r="G4582" s="3">
        <f>MONTH(Tabela1[[#This Row],[Último pagto ano]])</f>
        <v>5</v>
      </c>
      <c r="H4582" t="str">
        <f>TEXT(Tabela1[[#This Row],[Coluna2]]*29,"mmmm")</f>
        <v>maio</v>
      </c>
      <c r="I4582" t="str">
        <f>TEXT(MONTH(Tabela1[[#This Row],[Último pagto ano]])*29,"mmmm")</f>
        <v>maio</v>
      </c>
    </row>
    <row r="4583" spans="1:9" x14ac:dyDescent="0.25">
      <c r="A4583">
        <v>2025</v>
      </c>
      <c r="B4583" t="s">
        <v>9127</v>
      </c>
      <c r="C4583" s="1">
        <v>45834</v>
      </c>
      <c r="D4583" t="s">
        <v>9128</v>
      </c>
      <c r="E4583" s="2">
        <v>5365.63</v>
      </c>
      <c r="G4583" s="3">
        <f>MONTH(Tabela1[[#This Row],[Último pagto ano]])</f>
        <v>6</v>
      </c>
      <c r="H4583" t="str">
        <f>TEXT(Tabela1[[#This Row],[Coluna2]]*29,"mmmm")</f>
        <v>junho</v>
      </c>
      <c r="I4583" t="str">
        <f>TEXT(MONTH(Tabela1[[#This Row],[Último pagto ano]])*29,"mmmm")</f>
        <v>junho</v>
      </c>
    </row>
    <row r="4584" spans="1:9" x14ac:dyDescent="0.25">
      <c r="A4584">
        <v>2025</v>
      </c>
      <c r="B4584" t="s">
        <v>9129</v>
      </c>
      <c r="C4584" s="1">
        <v>45968</v>
      </c>
      <c r="D4584" t="s">
        <v>9130</v>
      </c>
      <c r="E4584" s="2">
        <v>6000</v>
      </c>
      <c r="G4584" s="3">
        <f>MONTH(Tabela1[[#This Row],[Último pagto ano]])</f>
        <v>11</v>
      </c>
      <c r="H4584" t="str">
        <f>TEXT(Tabela1[[#This Row],[Coluna2]]*29,"mmmm")</f>
        <v>novembro</v>
      </c>
      <c r="I4584" t="str">
        <f>TEXT(MONTH(Tabela1[[#This Row],[Último pagto ano]])*29,"mmmm")</f>
        <v>novembro</v>
      </c>
    </row>
    <row r="4585" spans="1:9" x14ac:dyDescent="0.25">
      <c r="A4585">
        <v>2025</v>
      </c>
      <c r="B4585" t="s">
        <v>9131</v>
      </c>
      <c r="C4585" s="1">
        <v>45915</v>
      </c>
      <c r="D4585" t="s">
        <v>9132</v>
      </c>
      <c r="E4585" s="2">
        <v>8143.52</v>
      </c>
      <c r="G4585" s="3">
        <f>MONTH(Tabela1[[#This Row],[Último pagto ano]])</f>
        <v>9</v>
      </c>
      <c r="H4585" t="str">
        <f>TEXT(Tabela1[[#This Row],[Coluna2]]*29,"mmmm")</f>
        <v>setembro</v>
      </c>
      <c r="I4585" t="str">
        <f>TEXT(MONTH(Tabela1[[#This Row],[Último pagto ano]])*29,"mmmm")</f>
        <v>setembro</v>
      </c>
    </row>
    <row r="4586" spans="1:9" x14ac:dyDescent="0.25">
      <c r="A4586">
        <v>2025</v>
      </c>
      <c r="B4586" t="s">
        <v>9133</v>
      </c>
      <c r="C4586" s="1">
        <v>45971</v>
      </c>
      <c r="D4586" t="s">
        <v>9134</v>
      </c>
      <c r="E4586" s="2">
        <v>5130</v>
      </c>
      <c r="G4586" s="3">
        <f>MONTH(Tabela1[[#This Row],[Último pagto ano]])</f>
        <v>11</v>
      </c>
      <c r="H4586" t="str">
        <f>TEXT(Tabela1[[#This Row],[Coluna2]]*29,"mmmm")</f>
        <v>novembro</v>
      </c>
      <c r="I4586" t="str">
        <f>TEXT(MONTH(Tabela1[[#This Row],[Último pagto ano]])*29,"mmmm")</f>
        <v>novembro</v>
      </c>
    </row>
    <row r="4587" spans="1:9" x14ac:dyDescent="0.25">
      <c r="A4587">
        <v>2025</v>
      </c>
      <c r="B4587" t="s">
        <v>9135</v>
      </c>
      <c r="C4587" s="1">
        <v>45894</v>
      </c>
      <c r="D4587" t="s">
        <v>9136</v>
      </c>
      <c r="E4587">
        <v>560</v>
      </c>
      <c r="G4587" s="3">
        <f>MONTH(Tabela1[[#This Row],[Último pagto ano]])</f>
        <v>8</v>
      </c>
      <c r="H4587" t="str">
        <f>TEXT(Tabela1[[#This Row],[Coluna2]]*29,"mmmm")</f>
        <v>agosto</v>
      </c>
      <c r="I4587" t="str">
        <f>TEXT(MONTH(Tabela1[[#This Row],[Último pagto ano]])*29,"mmmm")</f>
        <v>agosto</v>
      </c>
    </row>
    <row r="4588" spans="1:9" x14ac:dyDescent="0.25">
      <c r="A4588">
        <v>2025</v>
      </c>
      <c r="B4588" t="s">
        <v>9137</v>
      </c>
      <c r="C4588" s="1">
        <v>45929</v>
      </c>
      <c r="D4588" t="s">
        <v>9138</v>
      </c>
      <c r="E4588">
        <v>44</v>
      </c>
      <c r="G4588" s="3">
        <f>MONTH(Tabela1[[#This Row],[Último pagto ano]])</f>
        <v>9</v>
      </c>
      <c r="H4588" t="str">
        <f>TEXT(Tabela1[[#This Row],[Coluna2]]*29,"mmmm")</f>
        <v>setembro</v>
      </c>
      <c r="I4588" t="str">
        <f>TEXT(MONTH(Tabela1[[#This Row],[Último pagto ano]])*29,"mmmm")</f>
        <v>setembro</v>
      </c>
    </row>
    <row r="4589" spans="1:9" x14ac:dyDescent="0.25">
      <c r="A4589">
        <v>2025</v>
      </c>
      <c r="B4589" t="s">
        <v>9139</v>
      </c>
      <c r="C4589" s="1">
        <v>45985</v>
      </c>
      <c r="D4589" t="s">
        <v>9140</v>
      </c>
      <c r="E4589">
        <v>220</v>
      </c>
      <c r="G4589" s="3">
        <f>MONTH(Tabela1[[#This Row],[Último pagto ano]])</f>
        <v>11</v>
      </c>
      <c r="H4589" t="str">
        <f>TEXT(Tabela1[[#This Row],[Coluna2]]*29,"mmmm")</f>
        <v>novembro</v>
      </c>
      <c r="I4589" t="str">
        <f>TEXT(MONTH(Tabela1[[#This Row],[Último pagto ano]])*29,"mmmm")</f>
        <v>novembro</v>
      </c>
    </row>
    <row r="4590" spans="1:9" x14ac:dyDescent="0.25">
      <c r="A4590">
        <v>2025</v>
      </c>
      <c r="B4590" t="s">
        <v>9141</v>
      </c>
      <c r="C4590" s="1">
        <v>46010</v>
      </c>
      <c r="D4590" t="s">
        <v>9142</v>
      </c>
      <c r="E4590" s="2">
        <v>24000</v>
      </c>
      <c r="G4590" s="3">
        <f>MONTH(Tabela1[[#This Row],[Último pagto ano]])</f>
        <v>12</v>
      </c>
      <c r="H4590" t="str">
        <f>TEXT(Tabela1[[#This Row],[Coluna2]]*29,"mmmm")</f>
        <v>dezembro</v>
      </c>
      <c r="I4590" t="str">
        <f>TEXT(MONTH(Tabela1[[#This Row],[Último pagto ano]])*29,"mmmm")</f>
        <v>dezembro</v>
      </c>
    </row>
    <row r="4591" spans="1:9" x14ac:dyDescent="0.25">
      <c r="A4591">
        <v>2025</v>
      </c>
      <c r="B4591" t="s">
        <v>9143</v>
      </c>
      <c r="C4591" s="1">
        <v>45841</v>
      </c>
      <c r="D4591" t="s">
        <v>9144</v>
      </c>
      <c r="E4591" s="2">
        <v>5155.63</v>
      </c>
      <c r="G4591" s="3">
        <f>MONTH(Tabela1[[#This Row],[Último pagto ano]])</f>
        <v>7</v>
      </c>
      <c r="H4591" t="str">
        <f>TEXT(Tabela1[[#This Row],[Coluna2]]*29,"mmmm")</f>
        <v>julho</v>
      </c>
      <c r="I4591" t="str">
        <f>TEXT(MONTH(Tabela1[[#This Row],[Último pagto ano]])*29,"mmmm")</f>
        <v>julho</v>
      </c>
    </row>
    <row r="4592" spans="1:9" x14ac:dyDescent="0.25">
      <c r="A4592">
        <v>2025</v>
      </c>
      <c r="B4592" t="s">
        <v>9145</v>
      </c>
      <c r="C4592" s="1">
        <v>46013</v>
      </c>
      <c r="D4592" t="s">
        <v>9146</v>
      </c>
      <c r="E4592" s="2">
        <v>7230.6</v>
      </c>
      <c r="G4592" s="3">
        <f>MONTH(Tabela1[[#This Row],[Último pagto ano]])</f>
        <v>12</v>
      </c>
      <c r="H4592" t="str">
        <f>TEXT(Tabela1[[#This Row],[Coluna2]]*29,"mmmm")</f>
        <v>dezembro</v>
      </c>
      <c r="I4592" t="str">
        <f>TEXT(MONTH(Tabela1[[#This Row],[Último pagto ano]])*29,"mmmm")</f>
        <v>dezembro</v>
      </c>
    </row>
    <row r="4593" spans="1:9" x14ac:dyDescent="0.25">
      <c r="A4593">
        <v>2025</v>
      </c>
      <c r="B4593" t="s">
        <v>9147</v>
      </c>
      <c r="C4593" s="1">
        <v>45904</v>
      </c>
      <c r="D4593" t="s">
        <v>9148</v>
      </c>
      <c r="E4593">
        <v>59.25</v>
      </c>
      <c r="G4593" s="3">
        <f>MONTH(Tabela1[[#This Row],[Último pagto ano]])</f>
        <v>9</v>
      </c>
      <c r="H4593" t="str">
        <f>TEXT(Tabela1[[#This Row],[Coluna2]]*29,"mmmm")</f>
        <v>setembro</v>
      </c>
      <c r="I4593" t="str">
        <f>TEXT(MONTH(Tabela1[[#This Row],[Último pagto ano]])*29,"mmmm")</f>
        <v>setembro</v>
      </c>
    </row>
    <row r="4594" spans="1:9" x14ac:dyDescent="0.25">
      <c r="A4594">
        <v>2025</v>
      </c>
      <c r="B4594" t="s">
        <v>9149</v>
      </c>
      <c r="C4594" s="1">
        <v>45728</v>
      </c>
      <c r="D4594" t="s">
        <v>9150</v>
      </c>
      <c r="E4594">
        <v>280</v>
      </c>
      <c r="G4594" s="3">
        <f>MONTH(Tabela1[[#This Row],[Último pagto ano]])</f>
        <v>3</v>
      </c>
      <c r="H4594" t="str">
        <f>TEXT(Tabela1[[#This Row],[Coluna2]]*29,"mmmm")</f>
        <v>março</v>
      </c>
      <c r="I4594" t="str">
        <f>TEXT(MONTH(Tabela1[[#This Row],[Último pagto ano]])*29,"mmmm")</f>
        <v>março</v>
      </c>
    </row>
    <row r="4595" spans="1:9" x14ac:dyDescent="0.25">
      <c r="A4595">
        <v>2025</v>
      </c>
      <c r="B4595" t="s">
        <v>9151</v>
      </c>
      <c r="C4595" s="1">
        <v>45813</v>
      </c>
      <c r="D4595" t="s">
        <v>9152</v>
      </c>
      <c r="E4595" s="2">
        <v>53234.43</v>
      </c>
      <c r="G4595" s="3">
        <f>MONTH(Tabela1[[#This Row],[Último pagto ano]])</f>
        <v>6</v>
      </c>
      <c r="H4595" t="str">
        <f>TEXT(Tabela1[[#This Row],[Coluna2]]*29,"mmmm")</f>
        <v>junho</v>
      </c>
      <c r="I4595" t="str">
        <f>TEXT(MONTH(Tabela1[[#This Row],[Último pagto ano]])*29,"mmmm")</f>
        <v>junho</v>
      </c>
    </row>
    <row r="4596" spans="1:9" x14ac:dyDescent="0.25">
      <c r="A4596">
        <v>2025</v>
      </c>
      <c r="B4596" t="s">
        <v>9153</v>
      </c>
      <c r="C4596" s="1">
        <v>45673</v>
      </c>
      <c r="D4596" t="s">
        <v>9154</v>
      </c>
      <c r="E4596" s="2">
        <v>1500</v>
      </c>
      <c r="G4596" s="3">
        <f>MONTH(Tabela1[[#This Row],[Último pagto ano]])</f>
        <v>1</v>
      </c>
      <c r="H4596" t="str">
        <f>TEXT(Tabela1[[#This Row],[Coluna2]]*29,"mmmm")</f>
        <v>janeiro</v>
      </c>
      <c r="I4596" t="str">
        <f>TEXT(MONTH(Tabela1[[#This Row],[Último pagto ano]])*29,"mmmm")</f>
        <v>janeiro</v>
      </c>
    </row>
    <row r="4597" spans="1:9" x14ac:dyDescent="0.25">
      <c r="A4597">
        <v>2025</v>
      </c>
      <c r="B4597" t="s">
        <v>9155</v>
      </c>
      <c r="C4597" s="1">
        <v>45702</v>
      </c>
      <c r="D4597" t="s">
        <v>9156</v>
      </c>
      <c r="E4597">
        <v>585.11</v>
      </c>
      <c r="G4597" s="3">
        <f>MONTH(Tabela1[[#This Row],[Último pagto ano]])</f>
        <v>2</v>
      </c>
      <c r="H4597" t="str">
        <f>TEXT(Tabela1[[#This Row],[Coluna2]]*29,"mmmm")</f>
        <v>fevereiro</v>
      </c>
      <c r="I4597" t="str">
        <f>TEXT(MONTH(Tabela1[[#This Row],[Último pagto ano]])*29,"mmmm")</f>
        <v>fevereiro</v>
      </c>
    </row>
    <row r="4598" spans="1:9" x14ac:dyDescent="0.25">
      <c r="A4598">
        <v>2025</v>
      </c>
      <c r="B4598" t="s">
        <v>9157</v>
      </c>
      <c r="C4598" s="1">
        <v>46010</v>
      </c>
      <c r="D4598" t="s">
        <v>9158</v>
      </c>
      <c r="E4598" s="2">
        <v>24000</v>
      </c>
      <c r="G4598" s="3">
        <f>MONTH(Tabela1[[#This Row],[Último pagto ano]])</f>
        <v>12</v>
      </c>
      <c r="H4598" t="str">
        <f>TEXT(Tabela1[[#This Row],[Coluna2]]*29,"mmmm")</f>
        <v>dezembro</v>
      </c>
      <c r="I4598" t="str">
        <f>TEXT(MONTH(Tabela1[[#This Row],[Último pagto ano]])*29,"mmmm")</f>
        <v>dezembro</v>
      </c>
    </row>
    <row r="4599" spans="1:9" x14ac:dyDescent="0.25">
      <c r="A4599">
        <v>2025</v>
      </c>
      <c r="B4599" t="s">
        <v>9159</v>
      </c>
      <c r="C4599" s="1">
        <v>46006</v>
      </c>
      <c r="D4599" t="s">
        <v>9160</v>
      </c>
      <c r="E4599" s="2">
        <v>7107.84</v>
      </c>
      <c r="G4599" s="3">
        <f>MONTH(Tabela1[[#This Row],[Último pagto ano]])</f>
        <v>12</v>
      </c>
      <c r="H4599" t="str">
        <f>TEXT(Tabela1[[#This Row],[Coluna2]]*29,"mmmm")</f>
        <v>dezembro</v>
      </c>
      <c r="I4599" t="str">
        <f>TEXT(MONTH(Tabela1[[#This Row],[Último pagto ano]])*29,"mmmm")</f>
        <v>dezembro</v>
      </c>
    </row>
    <row r="4600" spans="1:9" x14ac:dyDescent="0.25">
      <c r="A4600">
        <v>2025</v>
      </c>
      <c r="B4600" t="s">
        <v>9161</v>
      </c>
      <c r="C4600" s="1">
        <v>45989</v>
      </c>
      <c r="D4600" t="s">
        <v>9162</v>
      </c>
      <c r="E4600" s="2">
        <v>5049.2</v>
      </c>
      <c r="G4600" s="3">
        <f>MONTH(Tabela1[[#This Row],[Último pagto ano]])</f>
        <v>11</v>
      </c>
      <c r="H4600" t="str">
        <f>TEXT(Tabela1[[#This Row],[Coluna2]]*29,"mmmm")</f>
        <v>novembro</v>
      </c>
      <c r="I4600" t="str">
        <f>TEXT(MONTH(Tabela1[[#This Row],[Último pagto ano]])*29,"mmmm")</f>
        <v>novembro</v>
      </c>
    </row>
    <row r="4601" spans="1:9" x14ac:dyDescent="0.25">
      <c r="A4601">
        <v>2025</v>
      </c>
      <c r="B4601" t="s">
        <v>9163</v>
      </c>
      <c r="C4601" s="1">
        <v>46003</v>
      </c>
      <c r="D4601" t="s">
        <v>9164</v>
      </c>
      <c r="E4601" s="2">
        <v>43935.14</v>
      </c>
      <c r="G4601" s="3">
        <f>MONTH(Tabela1[[#This Row],[Último pagto ano]])</f>
        <v>12</v>
      </c>
      <c r="H4601" t="str">
        <f>TEXT(Tabela1[[#This Row],[Coluna2]]*29,"mmmm")</f>
        <v>dezembro</v>
      </c>
      <c r="I4601" t="str">
        <f>TEXT(MONTH(Tabela1[[#This Row],[Último pagto ano]])*29,"mmmm")</f>
        <v>dezembro</v>
      </c>
    </row>
    <row r="4602" spans="1:9" x14ac:dyDescent="0.25">
      <c r="A4602">
        <v>2025</v>
      </c>
      <c r="B4602" t="s">
        <v>9165</v>
      </c>
      <c r="C4602" s="1">
        <v>46006</v>
      </c>
      <c r="D4602" t="s">
        <v>9166</v>
      </c>
      <c r="E4602" s="2">
        <v>4738.5600000000004</v>
      </c>
      <c r="G4602" s="3">
        <f>MONTH(Tabela1[[#This Row],[Último pagto ano]])</f>
        <v>12</v>
      </c>
      <c r="H4602" t="str">
        <f>TEXT(Tabela1[[#This Row],[Coluna2]]*29,"mmmm")</f>
        <v>dezembro</v>
      </c>
      <c r="I4602" t="str">
        <f>TEXT(MONTH(Tabela1[[#This Row],[Último pagto ano]])*29,"mmmm")</f>
        <v>dezembro</v>
      </c>
    </row>
    <row r="4603" spans="1:9" x14ac:dyDescent="0.25">
      <c r="A4603">
        <v>2025</v>
      </c>
      <c r="B4603" t="s">
        <v>9167</v>
      </c>
      <c r="C4603" s="1">
        <v>46021</v>
      </c>
      <c r="D4603" t="s">
        <v>9168</v>
      </c>
      <c r="E4603" s="2">
        <v>6099.64</v>
      </c>
      <c r="G4603" s="3">
        <f>MONTH(Tabela1[[#This Row],[Último pagto ano]])</f>
        <v>12</v>
      </c>
      <c r="H4603" t="str">
        <f>TEXT(Tabela1[[#This Row],[Coluna2]]*29,"mmmm")</f>
        <v>dezembro</v>
      </c>
      <c r="I4603" t="str">
        <f>TEXT(MONTH(Tabela1[[#This Row],[Último pagto ano]])*29,"mmmm")</f>
        <v>dezembro</v>
      </c>
    </row>
    <row r="4604" spans="1:9" x14ac:dyDescent="0.25">
      <c r="A4604">
        <v>2025</v>
      </c>
      <c r="B4604" t="s">
        <v>9169</v>
      </c>
      <c r="C4604" s="1">
        <v>45883</v>
      </c>
      <c r="D4604" t="s">
        <v>9170</v>
      </c>
      <c r="E4604">
        <v>910.1</v>
      </c>
      <c r="G4604" s="3">
        <f>MONTH(Tabela1[[#This Row],[Último pagto ano]])</f>
        <v>8</v>
      </c>
      <c r="H4604" t="str">
        <f>TEXT(Tabela1[[#This Row],[Coluna2]]*29,"mmmm")</f>
        <v>agosto</v>
      </c>
      <c r="I4604" t="str">
        <f>TEXT(MONTH(Tabela1[[#This Row],[Último pagto ano]])*29,"mmmm")</f>
        <v>agosto</v>
      </c>
    </row>
    <row r="4605" spans="1:9" x14ac:dyDescent="0.25">
      <c r="A4605">
        <v>2025</v>
      </c>
      <c r="B4605" t="s">
        <v>9171</v>
      </c>
      <c r="C4605" s="1">
        <v>45996</v>
      </c>
      <c r="D4605" t="s">
        <v>9172</v>
      </c>
      <c r="E4605" s="2">
        <v>12000</v>
      </c>
      <c r="G4605" s="3">
        <f>MONTH(Tabela1[[#This Row],[Último pagto ano]])</f>
        <v>12</v>
      </c>
      <c r="H4605" t="str">
        <f>TEXT(Tabela1[[#This Row],[Coluna2]]*29,"mmmm")</f>
        <v>dezembro</v>
      </c>
      <c r="I4605" t="str">
        <f>TEXT(MONTH(Tabela1[[#This Row],[Último pagto ano]])*29,"mmmm")</f>
        <v>dezembro</v>
      </c>
    </row>
    <row r="4606" spans="1:9" x14ac:dyDescent="0.25">
      <c r="A4606">
        <v>2025</v>
      </c>
      <c r="B4606" t="s">
        <v>9173</v>
      </c>
      <c r="C4606" s="1">
        <v>45868</v>
      </c>
      <c r="D4606" t="s">
        <v>9174</v>
      </c>
      <c r="E4606" s="2">
        <v>3341.06</v>
      </c>
      <c r="G4606" s="3">
        <f>MONTH(Tabela1[[#This Row],[Último pagto ano]])</f>
        <v>7</v>
      </c>
      <c r="H4606" t="str">
        <f>TEXT(Tabela1[[#This Row],[Coluna2]]*29,"mmmm")</f>
        <v>julho</v>
      </c>
      <c r="I4606" t="str">
        <f>TEXT(MONTH(Tabela1[[#This Row],[Último pagto ano]])*29,"mmmm")</f>
        <v>julho</v>
      </c>
    </row>
    <row r="4607" spans="1:9" x14ac:dyDescent="0.25">
      <c r="A4607">
        <v>2025</v>
      </c>
      <c r="B4607" t="s">
        <v>9175</v>
      </c>
      <c r="C4607" s="1">
        <v>45964</v>
      </c>
      <c r="D4607" t="s">
        <v>9176</v>
      </c>
      <c r="E4607">
        <v>194.4</v>
      </c>
      <c r="G4607" s="3">
        <f>MONTH(Tabela1[[#This Row],[Último pagto ano]])</f>
        <v>11</v>
      </c>
      <c r="H4607" t="str">
        <f>TEXT(Tabela1[[#This Row],[Coluna2]]*29,"mmmm")</f>
        <v>novembro</v>
      </c>
      <c r="I4607" t="str">
        <f>TEXT(MONTH(Tabela1[[#This Row],[Último pagto ano]])*29,"mmmm")</f>
        <v>novembro</v>
      </c>
    </row>
    <row r="4608" spans="1:9" x14ac:dyDescent="0.25">
      <c r="A4608">
        <v>2025</v>
      </c>
      <c r="B4608" t="s">
        <v>9177</v>
      </c>
      <c r="C4608" s="1">
        <v>46014</v>
      </c>
      <c r="D4608" t="s">
        <v>9178</v>
      </c>
      <c r="E4608">
        <v>264</v>
      </c>
      <c r="G4608" s="3">
        <f>MONTH(Tabela1[[#This Row],[Último pagto ano]])</f>
        <v>12</v>
      </c>
      <c r="H4608" t="str">
        <f>TEXT(Tabela1[[#This Row],[Coluna2]]*29,"mmmm")</f>
        <v>dezembro</v>
      </c>
      <c r="I4608" t="str">
        <f>TEXT(MONTH(Tabela1[[#This Row],[Último pagto ano]])*29,"mmmm")</f>
        <v>dezembro</v>
      </c>
    </row>
    <row r="4609" spans="1:9" x14ac:dyDescent="0.25">
      <c r="A4609">
        <v>2025</v>
      </c>
      <c r="B4609" t="s">
        <v>9179</v>
      </c>
      <c r="C4609" s="1">
        <v>45975</v>
      </c>
      <c r="D4609" t="s">
        <v>9180</v>
      </c>
      <c r="E4609">
        <v>41.13</v>
      </c>
      <c r="G4609" s="3">
        <f>MONTH(Tabela1[[#This Row],[Último pagto ano]])</f>
        <v>11</v>
      </c>
      <c r="H4609" t="str">
        <f>TEXT(Tabela1[[#This Row],[Coluna2]]*29,"mmmm")</f>
        <v>novembro</v>
      </c>
      <c r="I4609" t="str">
        <f>TEXT(MONTH(Tabela1[[#This Row],[Último pagto ano]])*29,"mmmm")</f>
        <v>novembro</v>
      </c>
    </row>
    <row r="4610" spans="1:9" x14ac:dyDescent="0.25">
      <c r="A4610">
        <v>2025</v>
      </c>
      <c r="B4610" t="s">
        <v>9181</v>
      </c>
      <c r="C4610" s="1">
        <v>46010</v>
      </c>
      <c r="D4610" t="s">
        <v>9182</v>
      </c>
      <c r="E4610" s="2">
        <v>2100</v>
      </c>
      <c r="G4610" s="3">
        <f>MONTH(Tabela1[[#This Row],[Último pagto ano]])</f>
        <v>12</v>
      </c>
      <c r="H4610" t="str">
        <f>TEXT(Tabela1[[#This Row],[Coluna2]]*29,"mmmm")</f>
        <v>dezembro</v>
      </c>
      <c r="I4610" t="str">
        <f>TEXT(MONTH(Tabela1[[#This Row],[Último pagto ano]])*29,"mmmm")</f>
        <v>dezembro</v>
      </c>
    </row>
    <row r="4611" spans="1:9" x14ac:dyDescent="0.25">
      <c r="A4611">
        <v>2025</v>
      </c>
      <c r="B4611" t="s">
        <v>9183</v>
      </c>
      <c r="C4611" s="1">
        <v>45996</v>
      </c>
      <c r="D4611" t="s">
        <v>9184</v>
      </c>
      <c r="E4611" s="2">
        <v>7200</v>
      </c>
      <c r="G4611" s="3">
        <f>MONTH(Tabela1[[#This Row],[Último pagto ano]])</f>
        <v>12</v>
      </c>
      <c r="H4611" t="str">
        <f>TEXT(Tabela1[[#This Row],[Coluna2]]*29,"mmmm")</f>
        <v>dezembro</v>
      </c>
      <c r="I4611" t="str">
        <f>TEXT(MONTH(Tabela1[[#This Row],[Último pagto ano]])*29,"mmmm")</f>
        <v>dezembro</v>
      </c>
    </row>
    <row r="4612" spans="1:9" x14ac:dyDescent="0.25">
      <c r="A4612">
        <v>2025</v>
      </c>
      <c r="B4612" t="s">
        <v>9183</v>
      </c>
      <c r="C4612" s="1">
        <v>45803</v>
      </c>
      <c r="D4612" t="s">
        <v>9185</v>
      </c>
      <c r="E4612" s="2">
        <v>3500</v>
      </c>
      <c r="G4612" s="3">
        <f>MONTH(Tabela1[[#This Row],[Último pagto ano]])</f>
        <v>5</v>
      </c>
      <c r="H4612" t="str">
        <f>TEXT(Tabela1[[#This Row],[Coluna2]]*29,"mmmm")</f>
        <v>maio</v>
      </c>
      <c r="I4612" t="str">
        <f>TEXT(MONTH(Tabela1[[#This Row],[Último pagto ano]])*29,"mmmm")</f>
        <v>maio</v>
      </c>
    </row>
    <row r="4613" spans="1:9" x14ac:dyDescent="0.25">
      <c r="A4613">
        <v>2025</v>
      </c>
      <c r="B4613" t="s">
        <v>9186</v>
      </c>
      <c r="C4613" s="1">
        <v>45769</v>
      </c>
      <c r="D4613" t="s">
        <v>9187</v>
      </c>
      <c r="E4613" s="2">
        <v>4976.12</v>
      </c>
      <c r="G4613" s="3">
        <f>MONTH(Tabela1[[#This Row],[Último pagto ano]])</f>
        <v>4</v>
      </c>
      <c r="H4613" t="str">
        <f>TEXT(Tabela1[[#This Row],[Coluna2]]*29,"mmmm")</f>
        <v>abril</v>
      </c>
      <c r="I4613" t="str">
        <f>TEXT(MONTH(Tabela1[[#This Row],[Último pagto ano]])*29,"mmmm")</f>
        <v>abril</v>
      </c>
    </row>
    <row r="4614" spans="1:9" x14ac:dyDescent="0.25">
      <c r="A4614">
        <v>2025</v>
      </c>
      <c r="B4614" t="s">
        <v>9188</v>
      </c>
      <c r="C4614" s="1">
        <v>46013</v>
      </c>
      <c r="D4614" t="s">
        <v>9189</v>
      </c>
      <c r="E4614" s="2">
        <v>10011.299999999999</v>
      </c>
      <c r="G4614" s="3">
        <f>MONTH(Tabela1[[#This Row],[Último pagto ano]])</f>
        <v>12</v>
      </c>
      <c r="H4614" t="str">
        <f>TEXT(Tabela1[[#This Row],[Coluna2]]*29,"mmmm")</f>
        <v>dezembro</v>
      </c>
      <c r="I4614" t="str">
        <f>TEXT(MONTH(Tabela1[[#This Row],[Último pagto ano]])*29,"mmmm")</f>
        <v>dezembro</v>
      </c>
    </row>
    <row r="4615" spans="1:9" x14ac:dyDescent="0.25">
      <c r="A4615">
        <v>2025</v>
      </c>
      <c r="B4615" t="s">
        <v>9190</v>
      </c>
      <c r="C4615" s="1">
        <v>45950</v>
      </c>
      <c r="D4615" t="s">
        <v>9191</v>
      </c>
      <c r="E4615">
        <v>747.59</v>
      </c>
      <c r="G4615" s="3">
        <f>MONTH(Tabela1[[#This Row],[Último pagto ano]])</f>
        <v>10</v>
      </c>
      <c r="H4615" t="str">
        <f>TEXT(Tabela1[[#This Row],[Coluna2]]*29,"mmmm")</f>
        <v>outubro</v>
      </c>
      <c r="I4615" t="str">
        <f>TEXT(MONTH(Tabela1[[#This Row],[Último pagto ano]])*29,"mmmm")</f>
        <v>outubro</v>
      </c>
    </row>
    <row r="4616" spans="1:9" x14ac:dyDescent="0.25">
      <c r="A4616">
        <v>2025</v>
      </c>
      <c r="B4616" t="s">
        <v>9192</v>
      </c>
      <c r="C4616" s="1">
        <v>45691</v>
      </c>
      <c r="D4616" t="s">
        <v>9193</v>
      </c>
      <c r="E4616">
        <v>66</v>
      </c>
      <c r="G4616" s="3">
        <f>MONTH(Tabela1[[#This Row],[Último pagto ano]])</f>
        <v>2</v>
      </c>
      <c r="H4616" t="str">
        <f>TEXT(Tabela1[[#This Row],[Coluna2]]*29,"mmmm")</f>
        <v>fevereiro</v>
      </c>
      <c r="I4616" t="str">
        <f>TEXT(MONTH(Tabela1[[#This Row],[Último pagto ano]])*29,"mmmm")</f>
        <v>fevereiro</v>
      </c>
    </row>
    <row r="4617" spans="1:9" x14ac:dyDescent="0.25">
      <c r="A4617">
        <v>2025</v>
      </c>
      <c r="B4617" t="s">
        <v>9194</v>
      </c>
      <c r="C4617" s="1">
        <v>45894</v>
      </c>
      <c r="D4617" t="s">
        <v>9195</v>
      </c>
      <c r="E4617">
        <v>44</v>
      </c>
      <c r="G4617" s="3">
        <f>MONTH(Tabela1[[#This Row],[Último pagto ano]])</f>
        <v>8</v>
      </c>
      <c r="H4617" t="str">
        <f>TEXT(Tabela1[[#This Row],[Coluna2]]*29,"mmmm")</f>
        <v>agosto</v>
      </c>
      <c r="I4617" t="str">
        <f>TEXT(MONTH(Tabela1[[#This Row],[Último pagto ano]])*29,"mmmm")</f>
        <v>agosto</v>
      </c>
    </row>
    <row r="4618" spans="1:9" x14ac:dyDescent="0.25">
      <c r="A4618">
        <v>2025</v>
      </c>
      <c r="B4618" t="s">
        <v>9196</v>
      </c>
      <c r="C4618" s="1">
        <v>45681</v>
      </c>
      <c r="D4618" t="s">
        <v>9197</v>
      </c>
      <c r="E4618">
        <v>700</v>
      </c>
      <c r="G4618" s="3">
        <f>MONTH(Tabela1[[#This Row],[Último pagto ano]])</f>
        <v>1</v>
      </c>
      <c r="H4618" t="str">
        <f>TEXT(Tabela1[[#This Row],[Coluna2]]*29,"mmmm")</f>
        <v>janeiro</v>
      </c>
      <c r="I4618" t="str">
        <f>TEXT(MONTH(Tabela1[[#This Row],[Último pagto ano]])*29,"mmmm")</f>
        <v>janeiro</v>
      </c>
    </row>
    <row r="4619" spans="1:9" x14ac:dyDescent="0.25">
      <c r="A4619">
        <v>2025</v>
      </c>
      <c r="B4619" t="s">
        <v>9198</v>
      </c>
      <c r="C4619" s="1">
        <v>45803</v>
      </c>
      <c r="D4619" t="s">
        <v>9199</v>
      </c>
      <c r="E4619" s="2">
        <v>3500</v>
      </c>
      <c r="G4619" s="3">
        <f>MONTH(Tabela1[[#This Row],[Último pagto ano]])</f>
        <v>5</v>
      </c>
      <c r="H4619" t="str">
        <f>TEXT(Tabela1[[#This Row],[Coluna2]]*29,"mmmm")</f>
        <v>maio</v>
      </c>
      <c r="I4619" t="str">
        <f>TEXT(MONTH(Tabela1[[#This Row],[Último pagto ano]])*29,"mmmm")</f>
        <v>maio</v>
      </c>
    </row>
    <row r="4620" spans="1:9" x14ac:dyDescent="0.25">
      <c r="A4620">
        <v>2025</v>
      </c>
      <c r="B4620" t="s">
        <v>9200</v>
      </c>
      <c r="C4620" s="1">
        <v>45985</v>
      </c>
      <c r="D4620" t="s">
        <v>9201</v>
      </c>
      <c r="E4620" s="2">
        <v>2400</v>
      </c>
      <c r="G4620" s="3">
        <f>MONTH(Tabela1[[#This Row],[Último pagto ano]])</f>
        <v>11</v>
      </c>
      <c r="H4620" t="str">
        <f>TEXT(Tabela1[[#This Row],[Coluna2]]*29,"mmmm")</f>
        <v>novembro</v>
      </c>
      <c r="I4620" t="str">
        <f>TEXT(MONTH(Tabela1[[#This Row],[Último pagto ano]])*29,"mmmm")</f>
        <v>novembro</v>
      </c>
    </row>
    <row r="4621" spans="1:9" x14ac:dyDescent="0.25">
      <c r="A4621">
        <v>2025</v>
      </c>
      <c r="B4621" t="s">
        <v>9202</v>
      </c>
      <c r="C4621" s="1">
        <v>45702</v>
      </c>
      <c r="D4621" t="s">
        <v>9203</v>
      </c>
      <c r="E4621" s="2">
        <v>1232.93</v>
      </c>
      <c r="G4621" s="3">
        <f>MONTH(Tabela1[[#This Row],[Último pagto ano]])</f>
        <v>2</v>
      </c>
      <c r="H4621" t="str">
        <f>TEXT(Tabela1[[#This Row],[Coluna2]]*29,"mmmm")</f>
        <v>fevereiro</v>
      </c>
      <c r="I4621" t="str">
        <f>TEXT(MONTH(Tabela1[[#This Row],[Último pagto ano]])*29,"mmmm")</f>
        <v>fevereiro</v>
      </c>
    </row>
    <row r="4622" spans="1:9" x14ac:dyDescent="0.25">
      <c r="A4622">
        <v>2025</v>
      </c>
      <c r="B4622" t="s">
        <v>9204</v>
      </c>
      <c r="C4622" s="1">
        <v>45702</v>
      </c>
      <c r="D4622" t="s">
        <v>9205</v>
      </c>
      <c r="E4622">
        <v>406.78</v>
      </c>
      <c r="G4622" s="3">
        <f>MONTH(Tabela1[[#This Row],[Último pagto ano]])</f>
        <v>2</v>
      </c>
      <c r="H4622" t="str">
        <f>TEXT(Tabela1[[#This Row],[Coluna2]]*29,"mmmm")</f>
        <v>fevereiro</v>
      </c>
      <c r="I4622" t="str">
        <f>TEXT(MONTH(Tabela1[[#This Row],[Último pagto ano]])*29,"mmmm")</f>
        <v>fevereiro</v>
      </c>
    </row>
    <row r="4623" spans="1:9" x14ac:dyDescent="0.25">
      <c r="A4623">
        <v>2025</v>
      </c>
      <c r="B4623" t="s">
        <v>9206</v>
      </c>
      <c r="C4623" s="1">
        <v>45930</v>
      </c>
      <c r="D4623" t="s">
        <v>9207</v>
      </c>
      <c r="E4623" s="2">
        <v>9328.43</v>
      </c>
      <c r="G4623" s="3">
        <f>MONTH(Tabela1[[#This Row],[Último pagto ano]])</f>
        <v>9</v>
      </c>
      <c r="H4623" t="str">
        <f>TEXT(Tabela1[[#This Row],[Coluna2]]*29,"mmmm")</f>
        <v>setembro</v>
      </c>
      <c r="I4623" t="str">
        <f>TEXT(MONTH(Tabela1[[#This Row],[Último pagto ano]])*29,"mmmm")</f>
        <v>setembro</v>
      </c>
    </row>
    <row r="4624" spans="1:9" x14ac:dyDescent="0.25">
      <c r="A4624">
        <v>2025</v>
      </c>
      <c r="B4624" t="s">
        <v>9208</v>
      </c>
      <c r="C4624" s="1">
        <v>45950</v>
      </c>
      <c r="D4624" t="s">
        <v>9209</v>
      </c>
      <c r="E4624">
        <v>143</v>
      </c>
      <c r="G4624" s="3">
        <f>MONTH(Tabela1[[#This Row],[Último pagto ano]])</f>
        <v>10</v>
      </c>
      <c r="H4624" t="str">
        <f>TEXT(Tabela1[[#This Row],[Coluna2]]*29,"mmmm")</f>
        <v>outubro</v>
      </c>
      <c r="I4624" t="str">
        <f>TEXT(MONTH(Tabela1[[#This Row],[Último pagto ano]])*29,"mmmm")</f>
        <v>outubro</v>
      </c>
    </row>
    <row r="4625" spans="1:9" x14ac:dyDescent="0.25">
      <c r="A4625">
        <v>2025</v>
      </c>
      <c r="B4625" t="s">
        <v>9210</v>
      </c>
      <c r="C4625" s="1">
        <v>46021</v>
      </c>
      <c r="D4625" t="s">
        <v>9211</v>
      </c>
      <c r="E4625" s="2">
        <v>4372.75</v>
      </c>
      <c r="G4625" s="3">
        <f>MONTH(Tabela1[[#This Row],[Último pagto ano]])</f>
        <v>12</v>
      </c>
      <c r="H4625" t="str">
        <f>TEXT(Tabela1[[#This Row],[Coluna2]]*29,"mmmm")</f>
        <v>dezembro</v>
      </c>
      <c r="I4625" t="str">
        <f>TEXT(MONTH(Tabela1[[#This Row],[Último pagto ano]])*29,"mmmm")</f>
        <v>dezembro</v>
      </c>
    </row>
    <row r="4626" spans="1:9" x14ac:dyDescent="0.25">
      <c r="A4626">
        <v>2025</v>
      </c>
      <c r="B4626" t="s">
        <v>9212</v>
      </c>
      <c r="C4626" s="1">
        <v>45989</v>
      </c>
      <c r="D4626" t="s">
        <v>9213</v>
      </c>
      <c r="E4626" s="2">
        <v>11350.58</v>
      </c>
      <c r="G4626" s="3">
        <f>MONTH(Tabela1[[#This Row],[Último pagto ano]])</f>
        <v>11</v>
      </c>
      <c r="H4626" t="str">
        <f>TEXT(Tabela1[[#This Row],[Coluna2]]*29,"mmmm")</f>
        <v>novembro</v>
      </c>
      <c r="I4626" t="str">
        <f>TEXT(MONTH(Tabela1[[#This Row],[Último pagto ano]])*29,"mmmm")</f>
        <v>novembro</v>
      </c>
    </row>
    <row r="4627" spans="1:9" x14ac:dyDescent="0.25">
      <c r="A4627">
        <v>2025</v>
      </c>
      <c r="B4627" t="s">
        <v>9214</v>
      </c>
      <c r="C4627" s="1">
        <v>46010</v>
      </c>
      <c r="D4627" t="s">
        <v>9215</v>
      </c>
      <c r="E4627" s="2">
        <v>24000</v>
      </c>
      <c r="G4627" s="3">
        <f>MONTH(Tabela1[[#This Row],[Último pagto ano]])</f>
        <v>12</v>
      </c>
      <c r="H4627" t="str">
        <f>TEXT(Tabela1[[#This Row],[Coluna2]]*29,"mmmm")</f>
        <v>dezembro</v>
      </c>
      <c r="I4627" t="str">
        <f>TEXT(MONTH(Tabela1[[#This Row],[Último pagto ano]])*29,"mmmm")</f>
        <v>dezembro</v>
      </c>
    </row>
    <row r="4628" spans="1:9" x14ac:dyDescent="0.25">
      <c r="A4628">
        <v>2025</v>
      </c>
      <c r="B4628" t="s">
        <v>9216</v>
      </c>
      <c r="C4628" s="1">
        <v>45702</v>
      </c>
      <c r="D4628" t="s">
        <v>9217</v>
      </c>
      <c r="E4628">
        <v>12.22</v>
      </c>
      <c r="G4628" s="3">
        <f>MONTH(Tabela1[[#This Row],[Último pagto ano]])</f>
        <v>2</v>
      </c>
      <c r="H4628" t="str">
        <f>TEXT(Tabela1[[#This Row],[Coluna2]]*29,"mmmm")</f>
        <v>fevereiro</v>
      </c>
      <c r="I4628" t="str">
        <f>TEXT(MONTH(Tabela1[[#This Row],[Último pagto ano]])*29,"mmmm")</f>
        <v>fevereiro</v>
      </c>
    </row>
    <row r="4629" spans="1:9" x14ac:dyDescent="0.25">
      <c r="A4629">
        <v>2025</v>
      </c>
      <c r="B4629" t="s">
        <v>9218</v>
      </c>
      <c r="C4629" s="1">
        <v>46010</v>
      </c>
      <c r="D4629" t="s">
        <v>9219</v>
      </c>
      <c r="E4629" s="2">
        <v>5600</v>
      </c>
      <c r="G4629" s="3">
        <f>MONTH(Tabela1[[#This Row],[Último pagto ano]])</f>
        <v>12</v>
      </c>
      <c r="H4629" t="str">
        <f>TEXT(Tabela1[[#This Row],[Coluna2]]*29,"mmmm")</f>
        <v>dezembro</v>
      </c>
      <c r="I4629" t="str">
        <f>TEXT(MONTH(Tabela1[[#This Row],[Último pagto ano]])*29,"mmmm")</f>
        <v>dezembro</v>
      </c>
    </row>
    <row r="4630" spans="1:9" x14ac:dyDescent="0.25">
      <c r="A4630">
        <v>2025</v>
      </c>
      <c r="B4630" t="s">
        <v>9220</v>
      </c>
      <c r="C4630" s="1">
        <v>45989</v>
      </c>
      <c r="D4630" t="s">
        <v>9221</v>
      </c>
      <c r="E4630" s="2">
        <v>3232.87</v>
      </c>
      <c r="G4630" s="3">
        <f>MONTH(Tabela1[[#This Row],[Último pagto ano]])</f>
        <v>11</v>
      </c>
      <c r="H4630" t="str">
        <f>TEXT(Tabela1[[#This Row],[Coluna2]]*29,"mmmm")</f>
        <v>novembro</v>
      </c>
      <c r="I4630" t="str">
        <f>TEXT(MONTH(Tabela1[[#This Row],[Último pagto ano]])*29,"mmmm")</f>
        <v>novembro</v>
      </c>
    </row>
    <row r="4631" spans="1:9" x14ac:dyDescent="0.25">
      <c r="A4631">
        <v>2025</v>
      </c>
      <c r="B4631" t="s">
        <v>9222</v>
      </c>
      <c r="C4631" s="1">
        <v>45989</v>
      </c>
      <c r="D4631" t="s">
        <v>9223</v>
      </c>
      <c r="E4631" s="2">
        <v>2696.98</v>
      </c>
      <c r="G4631" s="3">
        <f>MONTH(Tabela1[[#This Row],[Último pagto ano]])</f>
        <v>11</v>
      </c>
      <c r="H4631" t="str">
        <f>TEXT(Tabela1[[#This Row],[Coluna2]]*29,"mmmm")</f>
        <v>novembro</v>
      </c>
      <c r="I4631" t="str">
        <f>TEXT(MONTH(Tabela1[[#This Row],[Último pagto ano]])*29,"mmmm")</f>
        <v>novembro</v>
      </c>
    </row>
    <row r="4632" spans="1:9" x14ac:dyDescent="0.25">
      <c r="A4632">
        <v>2025</v>
      </c>
      <c r="B4632" t="s">
        <v>9224</v>
      </c>
      <c r="C4632" s="1">
        <v>46010</v>
      </c>
      <c r="D4632" t="s">
        <v>9225</v>
      </c>
      <c r="E4632" s="2">
        <v>24000</v>
      </c>
      <c r="G4632" s="3">
        <f>MONTH(Tabela1[[#This Row],[Último pagto ano]])</f>
        <v>12</v>
      </c>
      <c r="H4632" t="str">
        <f>TEXT(Tabela1[[#This Row],[Coluna2]]*29,"mmmm")</f>
        <v>dezembro</v>
      </c>
      <c r="I4632" t="str">
        <f>TEXT(MONTH(Tabela1[[#This Row],[Último pagto ano]])*29,"mmmm")</f>
        <v>dezembro</v>
      </c>
    </row>
    <row r="4633" spans="1:9" x14ac:dyDescent="0.25">
      <c r="A4633">
        <v>2025</v>
      </c>
      <c r="B4633" t="s">
        <v>9226</v>
      </c>
      <c r="C4633" s="1">
        <v>46003</v>
      </c>
      <c r="D4633" t="s">
        <v>9227</v>
      </c>
      <c r="E4633" s="2">
        <v>55361.4</v>
      </c>
      <c r="G4633" s="3">
        <f>MONTH(Tabela1[[#This Row],[Último pagto ano]])</f>
        <v>12</v>
      </c>
      <c r="H4633" t="str">
        <f>TEXT(Tabela1[[#This Row],[Coluna2]]*29,"mmmm")</f>
        <v>dezembro</v>
      </c>
      <c r="I4633" t="str">
        <f>TEXT(MONTH(Tabela1[[#This Row],[Último pagto ano]])*29,"mmmm")</f>
        <v>dezembro</v>
      </c>
    </row>
    <row r="4634" spans="1:9" x14ac:dyDescent="0.25">
      <c r="A4634">
        <v>2025</v>
      </c>
      <c r="B4634" t="s">
        <v>9228</v>
      </c>
      <c r="C4634" s="1">
        <v>45800</v>
      </c>
      <c r="D4634" t="s">
        <v>9229</v>
      </c>
      <c r="E4634" s="2">
        <v>4109.58</v>
      </c>
      <c r="G4634" s="3">
        <f>MONTH(Tabela1[[#This Row],[Último pagto ano]])</f>
        <v>5</v>
      </c>
      <c r="H4634" t="str">
        <f>TEXT(Tabela1[[#This Row],[Coluna2]]*29,"mmmm")</f>
        <v>maio</v>
      </c>
      <c r="I4634" t="str">
        <f>TEXT(MONTH(Tabela1[[#This Row],[Último pagto ano]])*29,"mmmm")</f>
        <v>maio</v>
      </c>
    </row>
    <row r="4635" spans="1:9" x14ac:dyDescent="0.25">
      <c r="A4635">
        <v>2025</v>
      </c>
      <c r="B4635" t="s">
        <v>9230</v>
      </c>
      <c r="C4635" s="1">
        <v>46010</v>
      </c>
      <c r="D4635" t="s">
        <v>9231</v>
      </c>
      <c r="E4635" s="2">
        <v>24000</v>
      </c>
      <c r="G4635" s="3">
        <f>MONTH(Tabela1[[#This Row],[Último pagto ano]])</f>
        <v>12</v>
      </c>
      <c r="H4635" t="str">
        <f>TEXT(Tabela1[[#This Row],[Coluna2]]*29,"mmmm")</f>
        <v>dezembro</v>
      </c>
      <c r="I4635" t="str">
        <f>TEXT(MONTH(Tabela1[[#This Row],[Último pagto ano]])*29,"mmmm")</f>
        <v>dezembro</v>
      </c>
    </row>
    <row r="4636" spans="1:9" x14ac:dyDescent="0.25">
      <c r="A4636">
        <v>2025</v>
      </c>
      <c r="B4636" t="s">
        <v>9232</v>
      </c>
      <c r="C4636" s="1">
        <v>45989</v>
      </c>
      <c r="D4636" t="s">
        <v>9233</v>
      </c>
      <c r="E4636" s="2">
        <v>7421.51</v>
      </c>
      <c r="G4636" s="3">
        <f>MONTH(Tabela1[[#This Row],[Último pagto ano]])</f>
        <v>11</v>
      </c>
      <c r="H4636" t="str">
        <f>TEXT(Tabela1[[#This Row],[Coluna2]]*29,"mmmm")</f>
        <v>novembro</v>
      </c>
      <c r="I4636" t="str">
        <f>TEXT(MONTH(Tabela1[[#This Row],[Último pagto ano]])*29,"mmmm")</f>
        <v>novembro</v>
      </c>
    </row>
    <row r="4637" spans="1:9" x14ac:dyDescent="0.25">
      <c r="A4637">
        <v>2025</v>
      </c>
      <c r="B4637" t="s">
        <v>9234</v>
      </c>
      <c r="C4637" s="1">
        <v>45974</v>
      </c>
      <c r="D4637" t="s">
        <v>9235</v>
      </c>
      <c r="E4637" s="2">
        <v>3767</v>
      </c>
      <c r="G4637" s="3">
        <f>MONTH(Tabela1[[#This Row],[Último pagto ano]])</f>
        <v>11</v>
      </c>
      <c r="H4637" t="str">
        <f>TEXT(Tabela1[[#This Row],[Coluna2]]*29,"mmmm")</f>
        <v>novembro</v>
      </c>
      <c r="I4637" t="str">
        <f>TEXT(MONTH(Tabela1[[#This Row],[Último pagto ano]])*29,"mmmm")</f>
        <v>novembro</v>
      </c>
    </row>
    <row r="4638" spans="1:9" x14ac:dyDescent="0.25">
      <c r="A4638">
        <v>2025</v>
      </c>
      <c r="B4638" t="s">
        <v>9236</v>
      </c>
      <c r="C4638" s="1">
        <v>45989</v>
      </c>
      <c r="D4638" t="s">
        <v>9237</v>
      </c>
      <c r="E4638" s="2">
        <v>6200.73</v>
      </c>
      <c r="G4638" s="3">
        <f>MONTH(Tabela1[[#This Row],[Último pagto ano]])</f>
        <v>11</v>
      </c>
      <c r="H4638" t="str">
        <f>TEXT(Tabela1[[#This Row],[Coluna2]]*29,"mmmm")</f>
        <v>novembro</v>
      </c>
      <c r="I4638" t="str">
        <f>TEXT(MONTH(Tabela1[[#This Row],[Último pagto ano]])*29,"mmmm")</f>
        <v>novembro</v>
      </c>
    </row>
    <row r="4639" spans="1:9" x14ac:dyDescent="0.25">
      <c r="A4639">
        <v>2025</v>
      </c>
      <c r="B4639" t="s">
        <v>9238</v>
      </c>
      <c r="C4639" s="1">
        <v>45715</v>
      </c>
      <c r="D4639" t="s">
        <v>9239</v>
      </c>
      <c r="E4639" s="2">
        <v>1340.72</v>
      </c>
      <c r="G4639" s="3">
        <f>MONTH(Tabela1[[#This Row],[Último pagto ano]])</f>
        <v>2</v>
      </c>
      <c r="H4639" t="str">
        <f>TEXT(Tabela1[[#This Row],[Coluna2]]*29,"mmmm")</f>
        <v>fevereiro</v>
      </c>
      <c r="I4639" t="str">
        <f>TEXT(MONTH(Tabela1[[#This Row],[Último pagto ano]])*29,"mmmm")</f>
        <v>fevereiro</v>
      </c>
    </row>
    <row r="4640" spans="1:9" x14ac:dyDescent="0.25">
      <c r="A4640">
        <v>2025</v>
      </c>
      <c r="B4640" t="s">
        <v>9240</v>
      </c>
      <c r="C4640" s="1">
        <v>45687</v>
      </c>
      <c r="D4640" t="s">
        <v>9241</v>
      </c>
      <c r="E4640">
        <v>991.71</v>
      </c>
      <c r="G4640" s="3">
        <f>MONTH(Tabela1[[#This Row],[Último pagto ano]])</f>
        <v>1</v>
      </c>
      <c r="H4640" t="str">
        <f>TEXT(Tabela1[[#This Row],[Coluna2]]*29,"mmmm")</f>
        <v>janeiro</v>
      </c>
      <c r="I4640" t="str">
        <f>TEXT(MONTH(Tabela1[[#This Row],[Último pagto ano]])*29,"mmmm")</f>
        <v>janeiro</v>
      </c>
    </row>
    <row r="4641" spans="1:9" x14ac:dyDescent="0.25">
      <c r="A4641">
        <v>2025</v>
      </c>
      <c r="B4641" t="s">
        <v>9242</v>
      </c>
      <c r="C4641" s="1">
        <v>45728</v>
      </c>
      <c r="D4641" t="s">
        <v>9243</v>
      </c>
      <c r="E4641" s="2">
        <v>9087.57</v>
      </c>
      <c r="G4641" s="3">
        <f>MONTH(Tabela1[[#This Row],[Último pagto ano]])</f>
        <v>3</v>
      </c>
      <c r="H4641" t="str">
        <f>TEXT(Tabela1[[#This Row],[Coluna2]]*29,"mmmm")</f>
        <v>março</v>
      </c>
      <c r="I4641" t="str">
        <f>TEXT(MONTH(Tabela1[[#This Row],[Último pagto ano]])*29,"mmmm")</f>
        <v>março</v>
      </c>
    </row>
    <row r="4642" spans="1:9" x14ac:dyDescent="0.25">
      <c r="A4642">
        <v>2025</v>
      </c>
      <c r="B4642" t="s">
        <v>9244</v>
      </c>
      <c r="C4642" s="1">
        <v>46014</v>
      </c>
      <c r="D4642" t="s">
        <v>9245</v>
      </c>
      <c r="E4642" s="2">
        <v>10080</v>
      </c>
      <c r="G4642" s="3">
        <f>MONTH(Tabela1[[#This Row],[Último pagto ano]])</f>
        <v>12</v>
      </c>
      <c r="H4642" t="str">
        <f>TEXT(Tabela1[[#This Row],[Coluna2]]*29,"mmmm")</f>
        <v>dezembro</v>
      </c>
      <c r="I4642" t="str">
        <f>TEXT(MONTH(Tabela1[[#This Row],[Último pagto ano]])*29,"mmmm")</f>
        <v>dezembro</v>
      </c>
    </row>
    <row r="4643" spans="1:9" x14ac:dyDescent="0.25">
      <c r="A4643">
        <v>2025</v>
      </c>
      <c r="B4643" t="s">
        <v>9246</v>
      </c>
      <c r="C4643" s="1">
        <v>45796</v>
      </c>
      <c r="D4643" t="s">
        <v>9247</v>
      </c>
      <c r="E4643" s="2">
        <v>6297</v>
      </c>
      <c r="G4643" s="3">
        <f>MONTH(Tabela1[[#This Row],[Último pagto ano]])</f>
        <v>5</v>
      </c>
      <c r="H4643" t="str">
        <f>TEXT(Tabela1[[#This Row],[Coluna2]]*29,"mmmm")</f>
        <v>maio</v>
      </c>
      <c r="I4643" t="str">
        <f>TEXT(MONTH(Tabela1[[#This Row],[Último pagto ano]])*29,"mmmm")</f>
        <v>maio</v>
      </c>
    </row>
    <row r="4644" spans="1:9" x14ac:dyDescent="0.25">
      <c r="A4644">
        <v>2025</v>
      </c>
      <c r="B4644" t="s">
        <v>9248</v>
      </c>
      <c r="C4644" s="1">
        <v>45996</v>
      </c>
      <c r="D4644" t="s">
        <v>9249</v>
      </c>
      <c r="E4644" s="2">
        <v>5499.99</v>
      </c>
      <c r="G4644" s="3">
        <f>MONTH(Tabela1[[#This Row],[Último pagto ano]])</f>
        <v>12</v>
      </c>
      <c r="H4644" t="str">
        <f>TEXT(Tabela1[[#This Row],[Coluna2]]*29,"mmmm")</f>
        <v>dezembro</v>
      </c>
      <c r="I4644" t="str">
        <f>TEXT(MONTH(Tabela1[[#This Row],[Último pagto ano]])*29,"mmmm")</f>
        <v>dezembro</v>
      </c>
    </row>
    <row r="4645" spans="1:9" x14ac:dyDescent="0.25">
      <c r="A4645">
        <v>2025</v>
      </c>
      <c r="B4645" t="s">
        <v>9250</v>
      </c>
      <c r="C4645" s="1">
        <v>45996</v>
      </c>
      <c r="D4645" t="s">
        <v>9251</v>
      </c>
      <c r="E4645" s="2">
        <v>17400</v>
      </c>
      <c r="G4645" s="3">
        <f>MONTH(Tabela1[[#This Row],[Último pagto ano]])</f>
        <v>12</v>
      </c>
      <c r="H4645" t="str">
        <f>TEXT(Tabela1[[#This Row],[Coluna2]]*29,"mmmm")</f>
        <v>dezembro</v>
      </c>
      <c r="I4645" t="str">
        <f>TEXT(MONTH(Tabela1[[#This Row],[Último pagto ano]])*29,"mmmm")</f>
        <v>dezembro</v>
      </c>
    </row>
    <row r="4646" spans="1:9" x14ac:dyDescent="0.25">
      <c r="A4646">
        <v>2025</v>
      </c>
      <c r="B4646" t="s">
        <v>9252</v>
      </c>
      <c r="C4646" s="1">
        <v>45938</v>
      </c>
      <c r="D4646" t="s">
        <v>9253</v>
      </c>
      <c r="E4646" s="2">
        <v>9428.5400000000009</v>
      </c>
      <c r="G4646" s="3">
        <f>MONTH(Tabela1[[#This Row],[Último pagto ano]])</f>
        <v>10</v>
      </c>
      <c r="H4646" t="str">
        <f>TEXT(Tabela1[[#This Row],[Coluna2]]*29,"mmmm")</f>
        <v>outubro</v>
      </c>
      <c r="I4646" t="str">
        <f>TEXT(MONTH(Tabela1[[#This Row],[Último pagto ano]])*29,"mmmm")</f>
        <v>outubro</v>
      </c>
    </row>
    <row r="4647" spans="1:9" x14ac:dyDescent="0.25">
      <c r="A4647">
        <v>2025</v>
      </c>
      <c r="B4647" t="s">
        <v>9254</v>
      </c>
      <c r="C4647" s="1">
        <v>45926</v>
      </c>
      <c r="D4647" t="s">
        <v>9255</v>
      </c>
      <c r="E4647" s="2">
        <v>7499.7</v>
      </c>
      <c r="G4647" s="3">
        <f>MONTH(Tabela1[[#This Row],[Último pagto ano]])</f>
        <v>9</v>
      </c>
      <c r="H4647" t="str">
        <f>TEXT(Tabela1[[#This Row],[Coluna2]]*29,"mmmm")</f>
        <v>setembro</v>
      </c>
      <c r="I4647" t="str">
        <f>TEXT(MONTH(Tabela1[[#This Row],[Último pagto ano]])*29,"mmmm")</f>
        <v>setembro</v>
      </c>
    </row>
    <row r="4648" spans="1:9" x14ac:dyDescent="0.25">
      <c r="A4648">
        <v>2025</v>
      </c>
      <c r="B4648" t="s">
        <v>9256</v>
      </c>
      <c r="C4648" s="1">
        <v>45989</v>
      </c>
      <c r="D4648" t="s">
        <v>9257</v>
      </c>
      <c r="E4648" s="2">
        <v>10832.67</v>
      </c>
      <c r="G4648" s="3">
        <f>MONTH(Tabela1[[#This Row],[Último pagto ano]])</f>
        <v>11</v>
      </c>
      <c r="H4648" t="str">
        <f>TEXT(Tabela1[[#This Row],[Coluna2]]*29,"mmmm")</f>
        <v>novembro</v>
      </c>
      <c r="I4648" t="str">
        <f>TEXT(MONTH(Tabela1[[#This Row],[Último pagto ano]])*29,"mmmm")</f>
        <v>novembro</v>
      </c>
    </row>
    <row r="4649" spans="1:9" x14ac:dyDescent="0.25">
      <c r="A4649">
        <v>2025</v>
      </c>
      <c r="B4649" t="s">
        <v>9258</v>
      </c>
      <c r="C4649" s="1">
        <v>45985</v>
      </c>
      <c r="D4649" t="s">
        <v>9259</v>
      </c>
      <c r="E4649">
        <v>217.6</v>
      </c>
      <c r="G4649" s="3">
        <f>MONTH(Tabela1[[#This Row],[Último pagto ano]])</f>
        <v>11</v>
      </c>
      <c r="H4649" t="str">
        <f>TEXT(Tabela1[[#This Row],[Coluna2]]*29,"mmmm")</f>
        <v>novembro</v>
      </c>
      <c r="I4649" t="str">
        <f>TEXT(MONTH(Tabela1[[#This Row],[Último pagto ano]])*29,"mmmm")</f>
        <v>novembro</v>
      </c>
    </row>
    <row r="4650" spans="1:9" x14ac:dyDescent="0.25">
      <c r="A4650">
        <v>2025</v>
      </c>
      <c r="B4650" t="s">
        <v>9260</v>
      </c>
      <c r="C4650" s="1">
        <v>45996</v>
      </c>
      <c r="D4650" t="s">
        <v>9261</v>
      </c>
      <c r="E4650" s="2">
        <v>2475</v>
      </c>
      <c r="G4650" s="3">
        <f>MONTH(Tabela1[[#This Row],[Último pagto ano]])</f>
        <v>12</v>
      </c>
      <c r="H4650" t="str">
        <f>TEXT(Tabela1[[#This Row],[Coluna2]]*29,"mmmm")</f>
        <v>dezembro</v>
      </c>
      <c r="I4650" t="str">
        <f>TEXT(MONTH(Tabela1[[#This Row],[Último pagto ano]])*29,"mmmm")</f>
        <v>dezembro</v>
      </c>
    </row>
    <row r="4651" spans="1:9" x14ac:dyDescent="0.25">
      <c r="A4651">
        <v>2025</v>
      </c>
      <c r="B4651" t="s">
        <v>9262</v>
      </c>
      <c r="C4651" s="1">
        <v>46021</v>
      </c>
      <c r="D4651" t="s">
        <v>9263</v>
      </c>
      <c r="E4651" s="2">
        <v>12579.52</v>
      </c>
      <c r="G4651" s="3">
        <f>MONTH(Tabela1[[#This Row],[Último pagto ano]])</f>
        <v>12</v>
      </c>
      <c r="H4651" t="str">
        <f>TEXT(Tabela1[[#This Row],[Coluna2]]*29,"mmmm")</f>
        <v>dezembro</v>
      </c>
      <c r="I4651" t="str">
        <f>TEXT(MONTH(Tabela1[[#This Row],[Último pagto ano]])*29,"mmmm")</f>
        <v>dezembro</v>
      </c>
    </row>
    <row r="4652" spans="1:9" x14ac:dyDescent="0.25">
      <c r="A4652">
        <v>2025</v>
      </c>
      <c r="B4652" t="s">
        <v>9264</v>
      </c>
      <c r="C4652" s="1">
        <v>45810</v>
      </c>
      <c r="D4652" t="s">
        <v>9265</v>
      </c>
      <c r="E4652" s="2">
        <v>1500</v>
      </c>
      <c r="G4652" s="3">
        <f>MONTH(Tabela1[[#This Row],[Último pagto ano]])</f>
        <v>6</v>
      </c>
      <c r="H4652" t="str">
        <f>TEXT(Tabela1[[#This Row],[Coluna2]]*29,"mmmm")</f>
        <v>junho</v>
      </c>
      <c r="I4652" t="str">
        <f>TEXT(MONTH(Tabela1[[#This Row],[Último pagto ano]])*29,"mmmm")</f>
        <v>junho</v>
      </c>
    </row>
    <row r="4653" spans="1:9" x14ac:dyDescent="0.25">
      <c r="A4653">
        <v>2025</v>
      </c>
      <c r="B4653" t="s">
        <v>9266</v>
      </c>
      <c r="C4653" s="1">
        <v>45743</v>
      </c>
      <c r="D4653" t="s">
        <v>9267</v>
      </c>
      <c r="E4653">
        <v>17.27</v>
      </c>
      <c r="G4653" s="3">
        <f>MONTH(Tabela1[[#This Row],[Último pagto ano]])</f>
        <v>3</v>
      </c>
      <c r="H4653" t="str">
        <f>TEXT(Tabela1[[#This Row],[Coluna2]]*29,"mmmm")</f>
        <v>março</v>
      </c>
      <c r="I4653" t="str">
        <f>TEXT(MONTH(Tabela1[[#This Row],[Último pagto ano]])*29,"mmmm")</f>
        <v>março</v>
      </c>
    </row>
    <row r="4654" spans="1:9" x14ac:dyDescent="0.25">
      <c r="A4654">
        <v>2025</v>
      </c>
      <c r="B4654" t="s">
        <v>9268</v>
      </c>
      <c r="C4654" s="1">
        <v>46006</v>
      </c>
      <c r="D4654" t="s">
        <v>9269</v>
      </c>
      <c r="E4654">
        <v>22</v>
      </c>
      <c r="G4654" s="3">
        <f>MONTH(Tabela1[[#This Row],[Último pagto ano]])</f>
        <v>12</v>
      </c>
      <c r="H4654" t="str">
        <f>TEXT(Tabela1[[#This Row],[Coluna2]]*29,"mmmm")</f>
        <v>dezembro</v>
      </c>
      <c r="I4654" t="str">
        <f>TEXT(MONTH(Tabela1[[#This Row],[Último pagto ano]])*29,"mmmm")</f>
        <v>dezembro</v>
      </c>
    </row>
    <row r="4655" spans="1:9" x14ac:dyDescent="0.25">
      <c r="A4655">
        <v>2025</v>
      </c>
      <c r="B4655" t="s">
        <v>9270</v>
      </c>
      <c r="C4655" s="1">
        <v>45702</v>
      </c>
      <c r="D4655" t="s">
        <v>9271</v>
      </c>
      <c r="E4655">
        <v>270.33999999999997</v>
      </c>
      <c r="G4655" s="3">
        <f>MONTH(Tabela1[[#This Row],[Último pagto ano]])</f>
        <v>2</v>
      </c>
      <c r="H4655" t="str">
        <f>TEXT(Tabela1[[#This Row],[Coluna2]]*29,"mmmm")</f>
        <v>fevereiro</v>
      </c>
      <c r="I4655" t="str">
        <f>TEXT(MONTH(Tabela1[[#This Row],[Último pagto ano]])*29,"mmmm")</f>
        <v>fevereiro</v>
      </c>
    </row>
    <row r="4656" spans="1:9" x14ac:dyDescent="0.25">
      <c r="A4656">
        <v>2025</v>
      </c>
      <c r="B4656" t="s">
        <v>9272</v>
      </c>
      <c r="C4656" s="1">
        <v>45761</v>
      </c>
      <c r="D4656" t="s">
        <v>9273</v>
      </c>
      <c r="E4656">
        <v>59.76</v>
      </c>
      <c r="G4656" s="3">
        <f>MONTH(Tabela1[[#This Row],[Último pagto ano]])</f>
        <v>4</v>
      </c>
      <c r="H4656" t="str">
        <f>TEXT(Tabela1[[#This Row],[Coluna2]]*29,"mmmm")</f>
        <v>abril</v>
      </c>
      <c r="I4656" t="str">
        <f>TEXT(MONTH(Tabela1[[#This Row],[Último pagto ano]])*29,"mmmm")</f>
        <v>abril</v>
      </c>
    </row>
    <row r="4657" spans="1:9" x14ac:dyDescent="0.25">
      <c r="A4657">
        <v>2025</v>
      </c>
      <c r="B4657" t="s">
        <v>9274</v>
      </c>
      <c r="C4657" s="1">
        <v>45716</v>
      </c>
      <c r="D4657" t="s">
        <v>9275</v>
      </c>
      <c r="E4657" s="2">
        <v>1417.56</v>
      </c>
      <c r="G4657" s="3">
        <f>MONTH(Tabela1[[#This Row],[Último pagto ano]])</f>
        <v>2</v>
      </c>
      <c r="H4657" t="str">
        <f>TEXT(Tabela1[[#This Row],[Coluna2]]*29,"mmmm")</f>
        <v>fevereiro</v>
      </c>
      <c r="I4657" t="str">
        <f>TEXT(MONTH(Tabela1[[#This Row],[Último pagto ano]])*29,"mmmm")</f>
        <v>fevereiro</v>
      </c>
    </row>
    <row r="4658" spans="1:9" x14ac:dyDescent="0.25">
      <c r="A4658">
        <v>2025</v>
      </c>
      <c r="B4658" t="s">
        <v>9276</v>
      </c>
      <c r="C4658" s="1">
        <v>45744</v>
      </c>
      <c r="D4658" t="s">
        <v>9277</v>
      </c>
      <c r="E4658" s="2">
        <v>58495.69</v>
      </c>
      <c r="G4658" s="3">
        <f>MONTH(Tabela1[[#This Row],[Último pagto ano]])</f>
        <v>3</v>
      </c>
      <c r="H4658" t="str">
        <f>TEXT(Tabela1[[#This Row],[Coluna2]]*29,"mmmm")</f>
        <v>março</v>
      </c>
      <c r="I4658" t="str">
        <f>TEXT(MONTH(Tabela1[[#This Row],[Último pagto ano]])*29,"mmmm")</f>
        <v>março</v>
      </c>
    </row>
    <row r="4659" spans="1:9" x14ac:dyDescent="0.25">
      <c r="A4659">
        <v>2025</v>
      </c>
      <c r="B4659" t="s">
        <v>9278</v>
      </c>
      <c r="C4659" s="1">
        <v>45702</v>
      </c>
      <c r="D4659" t="s">
        <v>9279</v>
      </c>
      <c r="E4659">
        <v>589.76</v>
      </c>
      <c r="G4659" s="3">
        <f>MONTH(Tabela1[[#This Row],[Último pagto ano]])</f>
        <v>2</v>
      </c>
      <c r="H4659" t="str">
        <f>TEXT(Tabela1[[#This Row],[Coluna2]]*29,"mmmm")</f>
        <v>fevereiro</v>
      </c>
      <c r="I4659" t="str">
        <f>TEXT(MONTH(Tabela1[[#This Row],[Último pagto ano]])*29,"mmmm")</f>
        <v>fevereiro</v>
      </c>
    </row>
    <row r="4660" spans="1:9" x14ac:dyDescent="0.25">
      <c r="A4660">
        <v>2025</v>
      </c>
      <c r="B4660" t="s">
        <v>9280</v>
      </c>
      <c r="C4660" s="1">
        <v>45989</v>
      </c>
      <c r="D4660" t="s">
        <v>9281</v>
      </c>
      <c r="E4660" s="2">
        <v>8096.89</v>
      </c>
      <c r="G4660" s="3">
        <f>MONTH(Tabela1[[#This Row],[Último pagto ano]])</f>
        <v>11</v>
      </c>
      <c r="H4660" t="str">
        <f>TEXT(Tabela1[[#This Row],[Coluna2]]*29,"mmmm")</f>
        <v>novembro</v>
      </c>
      <c r="I4660" t="str">
        <f>TEXT(MONTH(Tabela1[[#This Row],[Último pagto ano]])*29,"mmmm")</f>
        <v>novembro</v>
      </c>
    </row>
    <row r="4661" spans="1:9" x14ac:dyDescent="0.25">
      <c r="A4661">
        <v>2025</v>
      </c>
      <c r="B4661" t="s">
        <v>9282</v>
      </c>
      <c r="C4661" s="1">
        <v>45968</v>
      </c>
      <c r="D4661" t="s">
        <v>9283</v>
      </c>
      <c r="E4661" s="2">
        <v>7000</v>
      </c>
      <c r="G4661" s="3">
        <f>MONTH(Tabela1[[#This Row],[Último pagto ano]])</f>
        <v>11</v>
      </c>
      <c r="H4661" t="str">
        <f>TEXT(Tabela1[[#This Row],[Coluna2]]*29,"mmmm")</f>
        <v>novembro</v>
      </c>
      <c r="I4661" t="str">
        <f>TEXT(MONTH(Tabela1[[#This Row],[Último pagto ano]])*29,"mmmm")</f>
        <v>novembro</v>
      </c>
    </row>
    <row r="4662" spans="1:9" x14ac:dyDescent="0.25">
      <c r="A4662">
        <v>2025</v>
      </c>
      <c r="B4662" t="s">
        <v>9284</v>
      </c>
      <c r="C4662" s="1">
        <v>45673</v>
      </c>
      <c r="D4662" t="s">
        <v>9285</v>
      </c>
      <c r="E4662">
        <v>600</v>
      </c>
      <c r="G4662" s="3">
        <f>MONTH(Tabela1[[#This Row],[Último pagto ano]])</f>
        <v>1</v>
      </c>
      <c r="H4662" t="str">
        <f>TEXT(Tabela1[[#This Row],[Coluna2]]*29,"mmmm")</f>
        <v>janeiro</v>
      </c>
      <c r="I4662" t="str">
        <f>TEXT(MONTH(Tabela1[[#This Row],[Último pagto ano]])*29,"mmmm")</f>
        <v>janeiro</v>
      </c>
    </row>
    <row r="4663" spans="1:9" x14ac:dyDescent="0.25">
      <c r="A4663">
        <v>2025</v>
      </c>
      <c r="B4663" t="s">
        <v>9286</v>
      </c>
      <c r="C4663" s="1">
        <v>45775</v>
      </c>
      <c r="D4663" t="s">
        <v>9287</v>
      </c>
      <c r="E4663" s="2">
        <v>7534.8</v>
      </c>
      <c r="G4663" s="3">
        <f>MONTH(Tabela1[[#This Row],[Último pagto ano]])</f>
        <v>4</v>
      </c>
      <c r="H4663" t="str">
        <f>TEXT(Tabela1[[#This Row],[Coluna2]]*29,"mmmm")</f>
        <v>abril</v>
      </c>
      <c r="I4663" t="str">
        <f>TEXT(MONTH(Tabela1[[#This Row],[Último pagto ano]])*29,"mmmm")</f>
        <v>abril</v>
      </c>
    </row>
    <row r="4664" spans="1:9" x14ac:dyDescent="0.25">
      <c r="A4664">
        <v>2025</v>
      </c>
      <c r="B4664" t="s">
        <v>9288</v>
      </c>
      <c r="C4664" s="1">
        <v>45673</v>
      </c>
      <c r="D4664" t="s">
        <v>9289</v>
      </c>
      <c r="E4664">
        <v>550</v>
      </c>
      <c r="G4664" s="3">
        <f>MONTH(Tabela1[[#This Row],[Último pagto ano]])</f>
        <v>1</v>
      </c>
      <c r="H4664" t="str">
        <f>TEXT(Tabela1[[#This Row],[Coluna2]]*29,"mmmm")</f>
        <v>janeiro</v>
      </c>
      <c r="I4664" t="str">
        <f>TEXT(MONTH(Tabela1[[#This Row],[Último pagto ano]])*29,"mmmm")</f>
        <v>janeiro</v>
      </c>
    </row>
    <row r="4665" spans="1:9" x14ac:dyDescent="0.25">
      <c r="A4665">
        <v>2025</v>
      </c>
      <c r="B4665" t="s">
        <v>9290</v>
      </c>
      <c r="C4665" s="1">
        <v>45996</v>
      </c>
      <c r="D4665" t="s">
        <v>9291</v>
      </c>
      <c r="E4665" s="2">
        <v>5600</v>
      </c>
      <c r="G4665" s="3">
        <f>MONTH(Tabela1[[#This Row],[Último pagto ano]])</f>
        <v>12</v>
      </c>
      <c r="H4665" t="str">
        <f>TEXT(Tabela1[[#This Row],[Coluna2]]*29,"mmmm")</f>
        <v>dezembro</v>
      </c>
      <c r="I4665" t="str">
        <f>TEXT(MONTH(Tabela1[[#This Row],[Último pagto ano]])*29,"mmmm")</f>
        <v>dezembro</v>
      </c>
    </row>
    <row r="4666" spans="1:9" x14ac:dyDescent="0.25">
      <c r="A4666">
        <v>2025</v>
      </c>
      <c r="B4666" t="s">
        <v>9292</v>
      </c>
      <c r="C4666" s="1">
        <v>45702</v>
      </c>
      <c r="D4666" t="s">
        <v>9293</v>
      </c>
      <c r="E4666">
        <v>595.16999999999996</v>
      </c>
      <c r="G4666" s="3">
        <f>MONTH(Tabela1[[#This Row],[Último pagto ano]])</f>
        <v>2</v>
      </c>
      <c r="H4666" t="str">
        <f>TEXT(Tabela1[[#This Row],[Coluna2]]*29,"mmmm")</f>
        <v>fevereiro</v>
      </c>
      <c r="I4666" t="str">
        <f>TEXT(MONTH(Tabela1[[#This Row],[Último pagto ano]])*29,"mmmm")</f>
        <v>fevereiro</v>
      </c>
    </row>
    <row r="4667" spans="1:9" x14ac:dyDescent="0.25">
      <c r="A4667">
        <v>2025</v>
      </c>
      <c r="B4667" t="s">
        <v>9294</v>
      </c>
      <c r="C4667" s="1">
        <v>46014</v>
      </c>
      <c r="D4667" t="s">
        <v>9295</v>
      </c>
      <c r="E4667">
        <v>220</v>
      </c>
      <c r="G4667" s="3">
        <f>MONTH(Tabela1[[#This Row],[Último pagto ano]])</f>
        <v>12</v>
      </c>
      <c r="H4667" t="str">
        <f>TEXT(Tabela1[[#This Row],[Coluna2]]*29,"mmmm")</f>
        <v>dezembro</v>
      </c>
      <c r="I4667" t="str">
        <f>TEXT(MONTH(Tabela1[[#This Row],[Último pagto ano]])*29,"mmmm")</f>
        <v>dezembro</v>
      </c>
    </row>
    <row r="4668" spans="1:9" x14ac:dyDescent="0.25">
      <c r="A4668">
        <v>2025</v>
      </c>
      <c r="B4668" t="s">
        <v>9296</v>
      </c>
      <c r="C4668" s="1">
        <v>45702</v>
      </c>
      <c r="D4668" t="s">
        <v>9297</v>
      </c>
      <c r="E4668" s="2">
        <v>1272.47</v>
      </c>
      <c r="G4668" s="3">
        <f>MONTH(Tabela1[[#This Row],[Último pagto ano]])</f>
        <v>2</v>
      </c>
      <c r="H4668" t="str">
        <f>TEXT(Tabela1[[#This Row],[Coluna2]]*29,"mmmm")</f>
        <v>fevereiro</v>
      </c>
      <c r="I4668" t="str">
        <f>TEXT(MONTH(Tabela1[[#This Row],[Último pagto ano]])*29,"mmmm")</f>
        <v>fevereiro</v>
      </c>
    </row>
    <row r="4669" spans="1:9" x14ac:dyDescent="0.25">
      <c r="A4669">
        <v>2025</v>
      </c>
      <c r="B4669" t="s">
        <v>9298</v>
      </c>
      <c r="C4669" s="1">
        <v>46010</v>
      </c>
      <c r="D4669" t="s">
        <v>9299</v>
      </c>
      <c r="E4669" s="2">
        <v>7000</v>
      </c>
      <c r="G4669" s="3">
        <f>MONTH(Tabela1[[#This Row],[Último pagto ano]])</f>
        <v>12</v>
      </c>
      <c r="H4669" t="str">
        <f>TEXT(Tabela1[[#This Row],[Coluna2]]*29,"mmmm")</f>
        <v>dezembro</v>
      </c>
      <c r="I4669" t="str">
        <f>TEXT(MONTH(Tabela1[[#This Row],[Último pagto ano]])*29,"mmmm")</f>
        <v>dezembro</v>
      </c>
    </row>
    <row r="4670" spans="1:9" x14ac:dyDescent="0.25">
      <c r="A4670">
        <v>2025</v>
      </c>
      <c r="B4670" t="s">
        <v>9300</v>
      </c>
      <c r="C4670" s="1">
        <v>45985</v>
      </c>
      <c r="D4670" t="s">
        <v>9301</v>
      </c>
      <c r="E4670" s="2">
        <v>1080</v>
      </c>
      <c r="G4670" s="3">
        <f>MONTH(Tabela1[[#This Row],[Último pagto ano]])</f>
        <v>11</v>
      </c>
      <c r="H4670" t="str">
        <f>TEXT(Tabela1[[#This Row],[Coluna2]]*29,"mmmm")</f>
        <v>novembro</v>
      </c>
      <c r="I4670" t="str">
        <f>TEXT(MONTH(Tabela1[[#This Row],[Último pagto ano]])*29,"mmmm")</f>
        <v>novembro</v>
      </c>
    </row>
    <row r="4671" spans="1:9" x14ac:dyDescent="0.25">
      <c r="A4671">
        <v>2025</v>
      </c>
      <c r="B4671" t="s">
        <v>9302</v>
      </c>
      <c r="C4671" s="1">
        <v>45996</v>
      </c>
      <c r="D4671" t="s">
        <v>9303</v>
      </c>
      <c r="E4671" s="2">
        <v>5350</v>
      </c>
      <c r="G4671" s="3">
        <f>MONTH(Tabela1[[#This Row],[Último pagto ano]])</f>
        <v>12</v>
      </c>
      <c r="H4671" t="str">
        <f>TEXT(Tabela1[[#This Row],[Coluna2]]*29,"mmmm")</f>
        <v>dezembro</v>
      </c>
      <c r="I4671" t="str">
        <f>TEXT(MONTH(Tabela1[[#This Row],[Último pagto ano]])*29,"mmmm")</f>
        <v>dezembro</v>
      </c>
    </row>
    <row r="4672" spans="1:9" x14ac:dyDescent="0.25">
      <c r="A4672">
        <v>2025</v>
      </c>
      <c r="B4672" t="s">
        <v>9304</v>
      </c>
      <c r="C4672" s="1">
        <v>45999</v>
      </c>
      <c r="D4672" t="s">
        <v>9305</v>
      </c>
      <c r="E4672">
        <v>110</v>
      </c>
      <c r="G4672" s="3">
        <f>MONTH(Tabela1[[#This Row],[Último pagto ano]])</f>
        <v>12</v>
      </c>
      <c r="H4672" t="str">
        <f>TEXT(Tabela1[[#This Row],[Coluna2]]*29,"mmmm")</f>
        <v>dezembro</v>
      </c>
      <c r="I4672" t="str">
        <f>TEXT(MONTH(Tabela1[[#This Row],[Último pagto ano]])*29,"mmmm")</f>
        <v>dezembro</v>
      </c>
    </row>
    <row r="4673" spans="1:9" x14ac:dyDescent="0.25">
      <c r="A4673">
        <v>2025</v>
      </c>
      <c r="B4673" t="s">
        <v>9306</v>
      </c>
      <c r="C4673" s="1">
        <v>45996</v>
      </c>
      <c r="D4673" t="s">
        <v>9307</v>
      </c>
      <c r="E4673" s="2">
        <v>14100</v>
      </c>
      <c r="G4673" s="3">
        <f>MONTH(Tabela1[[#This Row],[Último pagto ano]])</f>
        <v>12</v>
      </c>
      <c r="H4673" t="str">
        <f>TEXT(Tabela1[[#This Row],[Coluna2]]*29,"mmmm")</f>
        <v>dezembro</v>
      </c>
      <c r="I4673" t="str">
        <f>TEXT(MONTH(Tabela1[[#This Row],[Último pagto ano]])*29,"mmmm")</f>
        <v>dezembro</v>
      </c>
    </row>
    <row r="4674" spans="1:9" x14ac:dyDescent="0.25">
      <c r="A4674">
        <v>2025</v>
      </c>
      <c r="B4674" t="s">
        <v>9308</v>
      </c>
      <c r="C4674" s="1">
        <v>45905</v>
      </c>
      <c r="D4674" t="s">
        <v>9309</v>
      </c>
      <c r="E4674" s="2">
        <v>4200</v>
      </c>
      <c r="G4674" s="3">
        <f>MONTH(Tabela1[[#This Row],[Último pagto ano]])</f>
        <v>9</v>
      </c>
      <c r="H4674" t="str">
        <f>TEXT(Tabela1[[#This Row],[Coluna2]]*29,"mmmm")</f>
        <v>setembro</v>
      </c>
      <c r="I4674" t="str">
        <f>TEXT(MONTH(Tabela1[[#This Row],[Último pagto ano]])*29,"mmmm")</f>
        <v>setembro</v>
      </c>
    </row>
    <row r="4675" spans="1:9" x14ac:dyDescent="0.25">
      <c r="A4675">
        <v>2025</v>
      </c>
      <c r="B4675" t="s">
        <v>9310</v>
      </c>
      <c r="C4675" s="1">
        <v>45996</v>
      </c>
      <c r="D4675" t="s">
        <v>9311</v>
      </c>
      <c r="E4675" s="2">
        <v>7700</v>
      </c>
      <c r="G4675" s="3">
        <f>MONTH(Tabela1[[#This Row],[Último pagto ano]])</f>
        <v>12</v>
      </c>
      <c r="H4675" t="str">
        <f>TEXT(Tabela1[[#This Row],[Coluna2]]*29,"mmmm")</f>
        <v>dezembro</v>
      </c>
      <c r="I4675" t="str">
        <f>TEXT(MONTH(Tabela1[[#This Row],[Último pagto ano]])*29,"mmmm")</f>
        <v>dezembro</v>
      </c>
    </row>
    <row r="4676" spans="1:9" x14ac:dyDescent="0.25">
      <c r="A4676">
        <v>2025</v>
      </c>
      <c r="B4676" t="s">
        <v>9312</v>
      </c>
      <c r="C4676" s="1">
        <v>45845</v>
      </c>
      <c r="D4676" t="s">
        <v>9313</v>
      </c>
      <c r="E4676">
        <v>600</v>
      </c>
      <c r="G4676" s="3">
        <f>MONTH(Tabela1[[#This Row],[Último pagto ano]])</f>
        <v>7</v>
      </c>
      <c r="H4676" t="str">
        <f>TEXT(Tabela1[[#This Row],[Coluna2]]*29,"mmmm")</f>
        <v>julho</v>
      </c>
      <c r="I4676" t="str">
        <f>TEXT(MONTH(Tabela1[[#This Row],[Último pagto ano]])*29,"mmmm")</f>
        <v>julho</v>
      </c>
    </row>
    <row r="4677" spans="1:9" x14ac:dyDescent="0.25">
      <c r="A4677">
        <v>2025</v>
      </c>
      <c r="B4677" t="s">
        <v>9314</v>
      </c>
      <c r="C4677" s="1">
        <v>45891</v>
      </c>
      <c r="D4677" t="s">
        <v>9315</v>
      </c>
      <c r="E4677" s="2">
        <v>16749.37</v>
      </c>
      <c r="G4677" s="3">
        <f>MONTH(Tabela1[[#This Row],[Último pagto ano]])</f>
        <v>8</v>
      </c>
      <c r="H4677" t="str">
        <f>TEXT(Tabela1[[#This Row],[Coluna2]]*29,"mmmm")</f>
        <v>agosto</v>
      </c>
      <c r="I4677" t="str">
        <f>TEXT(MONTH(Tabela1[[#This Row],[Último pagto ano]])*29,"mmmm")</f>
        <v>agosto</v>
      </c>
    </row>
    <row r="4678" spans="1:9" x14ac:dyDescent="0.25">
      <c r="A4678">
        <v>2025</v>
      </c>
      <c r="B4678" t="s">
        <v>9316</v>
      </c>
      <c r="C4678" s="1">
        <v>45705</v>
      </c>
      <c r="D4678" t="s">
        <v>9317</v>
      </c>
      <c r="E4678">
        <v>592.32000000000005</v>
      </c>
      <c r="G4678" s="3">
        <f>MONTH(Tabela1[[#This Row],[Último pagto ano]])</f>
        <v>2</v>
      </c>
      <c r="H4678" t="str">
        <f>TEXT(Tabela1[[#This Row],[Coluna2]]*29,"mmmm")</f>
        <v>fevereiro</v>
      </c>
      <c r="I4678" t="str">
        <f>TEXT(MONTH(Tabela1[[#This Row],[Último pagto ano]])*29,"mmmm")</f>
        <v>fevereiro</v>
      </c>
    </row>
    <row r="4679" spans="1:9" x14ac:dyDescent="0.25">
      <c r="A4679">
        <v>2025</v>
      </c>
      <c r="B4679" t="s">
        <v>9318</v>
      </c>
      <c r="C4679" s="1">
        <v>45960</v>
      </c>
      <c r="D4679" t="s">
        <v>9319</v>
      </c>
      <c r="E4679">
        <v>240</v>
      </c>
      <c r="G4679" s="3">
        <f>MONTH(Tabela1[[#This Row],[Último pagto ano]])</f>
        <v>10</v>
      </c>
      <c r="H4679" t="str">
        <f>TEXT(Tabela1[[#This Row],[Coluna2]]*29,"mmmm")</f>
        <v>outubro</v>
      </c>
      <c r="I4679" t="str">
        <f>TEXT(MONTH(Tabela1[[#This Row],[Último pagto ano]])*29,"mmmm")</f>
        <v>outubro</v>
      </c>
    </row>
    <row r="4680" spans="1:9" x14ac:dyDescent="0.25">
      <c r="A4680">
        <v>2025</v>
      </c>
      <c r="B4680" t="s">
        <v>9320</v>
      </c>
      <c r="C4680" s="1">
        <v>45887</v>
      </c>
      <c r="D4680" t="s">
        <v>9321</v>
      </c>
      <c r="E4680" s="2">
        <v>6991.26</v>
      </c>
      <c r="G4680" s="3">
        <f>MONTH(Tabela1[[#This Row],[Último pagto ano]])</f>
        <v>8</v>
      </c>
      <c r="H4680" t="str">
        <f>TEXT(Tabela1[[#This Row],[Coluna2]]*29,"mmmm")</f>
        <v>agosto</v>
      </c>
      <c r="I4680" t="str">
        <f>TEXT(MONTH(Tabela1[[#This Row],[Último pagto ano]])*29,"mmmm")</f>
        <v>agosto</v>
      </c>
    </row>
    <row r="4681" spans="1:9" x14ac:dyDescent="0.25">
      <c r="A4681">
        <v>2025</v>
      </c>
      <c r="B4681" t="s">
        <v>9322</v>
      </c>
      <c r="C4681" s="1">
        <v>45989</v>
      </c>
      <c r="D4681" t="s">
        <v>9323</v>
      </c>
      <c r="E4681" s="2">
        <v>7613.74</v>
      </c>
      <c r="G4681" s="3">
        <f>MONTH(Tabela1[[#This Row],[Último pagto ano]])</f>
        <v>11</v>
      </c>
      <c r="H4681" t="str">
        <f>TEXT(Tabela1[[#This Row],[Coluna2]]*29,"mmmm")</f>
        <v>novembro</v>
      </c>
      <c r="I4681" t="str">
        <f>TEXT(MONTH(Tabela1[[#This Row],[Último pagto ano]])*29,"mmmm")</f>
        <v>novembro</v>
      </c>
    </row>
    <row r="4682" spans="1:9" x14ac:dyDescent="0.25">
      <c r="A4682">
        <v>2025</v>
      </c>
      <c r="B4682" t="s">
        <v>9324</v>
      </c>
      <c r="C4682" s="1">
        <v>45807</v>
      </c>
      <c r="D4682" t="s">
        <v>9325</v>
      </c>
      <c r="E4682" s="2">
        <v>3304.27</v>
      </c>
      <c r="G4682" s="3">
        <f>MONTH(Tabela1[[#This Row],[Último pagto ano]])</f>
        <v>5</v>
      </c>
      <c r="H4682" t="str">
        <f>TEXT(Tabela1[[#This Row],[Coluna2]]*29,"mmmm")</f>
        <v>maio</v>
      </c>
      <c r="I4682" t="str">
        <f>TEXT(MONTH(Tabela1[[#This Row],[Último pagto ano]])*29,"mmmm")</f>
        <v>maio</v>
      </c>
    </row>
    <row r="4683" spans="1:9" x14ac:dyDescent="0.25">
      <c r="A4683">
        <v>2025</v>
      </c>
      <c r="B4683" t="s">
        <v>9326</v>
      </c>
      <c r="C4683" s="1">
        <v>45810</v>
      </c>
      <c r="D4683" t="s">
        <v>9327</v>
      </c>
      <c r="E4683">
        <v>0.8</v>
      </c>
      <c r="G4683" s="3">
        <f>MONTH(Tabela1[[#This Row],[Último pagto ano]])</f>
        <v>6</v>
      </c>
      <c r="H4683" t="str">
        <f>TEXT(Tabela1[[#This Row],[Coluna2]]*29,"mmmm")</f>
        <v>junho</v>
      </c>
      <c r="I4683" t="str">
        <f>TEXT(MONTH(Tabela1[[#This Row],[Último pagto ano]])*29,"mmmm")</f>
        <v>junho</v>
      </c>
    </row>
    <row r="4684" spans="1:9" x14ac:dyDescent="0.25">
      <c r="A4684">
        <v>2025</v>
      </c>
      <c r="B4684" t="s">
        <v>9328</v>
      </c>
      <c r="C4684" s="1">
        <v>45999</v>
      </c>
      <c r="D4684" t="s">
        <v>9329</v>
      </c>
      <c r="E4684">
        <v>198</v>
      </c>
      <c r="G4684" s="3">
        <f>MONTH(Tabela1[[#This Row],[Último pagto ano]])</f>
        <v>12</v>
      </c>
      <c r="H4684" t="str">
        <f>TEXT(Tabela1[[#This Row],[Coluna2]]*29,"mmmm")</f>
        <v>dezembro</v>
      </c>
      <c r="I4684" t="str">
        <f>TEXT(MONTH(Tabela1[[#This Row],[Último pagto ano]])*29,"mmmm")</f>
        <v>dezembro</v>
      </c>
    </row>
    <row r="4685" spans="1:9" x14ac:dyDescent="0.25">
      <c r="A4685">
        <v>2025</v>
      </c>
      <c r="B4685" t="s">
        <v>9330</v>
      </c>
      <c r="C4685" s="1">
        <v>45702</v>
      </c>
      <c r="D4685" t="s">
        <v>9331</v>
      </c>
      <c r="E4685">
        <v>751.28</v>
      </c>
      <c r="G4685" s="3">
        <f>MONTH(Tabela1[[#This Row],[Último pagto ano]])</f>
        <v>2</v>
      </c>
      <c r="H4685" t="str">
        <f>TEXT(Tabela1[[#This Row],[Coluna2]]*29,"mmmm")</f>
        <v>fevereiro</v>
      </c>
      <c r="I4685" t="str">
        <f>TEXT(MONTH(Tabela1[[#This Row],[Último pagto ano]])*29,"mmmm")</f>
        <v>fevereiro</v>
      </c>
    </row>
    <row r="4686" spans="1:9" x14ac:dyDescent="0.25">
      <c r="A4686">
        <v>2025</v>
      </c>
      <c r="B4686" t="s">
        <v>9332</v>
      </c>
      <c r="C4686" s="1">
        <v>45971</v>
      </c>
      <c r="D4686" t="s">
        <v>9333</v>
      </c>
      <c r="E4686">
        <v>286</v>
      </c>
      <c r="G4686" s="3">
        <f>MONTH(Tabela1[[#This Row],[Último pagto ano]])</f>
        <v>11</v>
      </c>
      <c r="H4686" t="str">
        <f>TEXT(Tabela1[[#This Row],[Coluna2]]*29,"mmmm")</f>
        <v>novembro</v>
      </c>
      <c r="I4686" t="str">
        <f>TEXT(MONTH(Tabela1[[#This Row],[Último pagto ano]])*29,"mmmm")</f>
        <v>novembro</v>
      </c>
    </row>
    <row r="4687" spans="1:9" x14ac:dyDescent="0.25">
      <c r="A4687">
        <v>2025</v>
      </c>
      <c r="B4687" t="s">
        <v>9334</v>
      </c>
      <c r="C4687" s="1">
        <v>45989</v>
      </c>
      <c r="D4687" t="s">
        <v>9335</v>
      </c>
      <c r="E4687" s="2">
        <v>7222.09</v>
      </c>
      <c r="G4687" s="3">
        <f>MONTH(Tabela1[[#This Row],[Último pagto ano]])</f>
        <v>11</v>
      </c>
      <c r="H4687" t="str">
        <f>TEXT(Tabela1[[#This Row],[Coluna2]]*29,"mmmm")</f>
        <v>novembro</v>
      </c>
      <c r="I4687" t="str">
        <f>TEXT(MONTH(Tabela1[[#This Row],[Último pagto ano]])*29,"mmmm")</f>
        <v>novembro</v>
      </c>
    </row>
    <row r="4688" spans="1:9" x14ac:dyDescent="0.25">
      <c r="A4688">
        <v>2025</v>
      </c>
      <c r="B4688" t="s">
        <v>9336</v>
      </c>
      <c r="C4688" s="1">
        <v>45744</v>
      </c>
      <c r="D4688" t="s">
        <v>9337</v>
      </c>
      <c r="E4688" s="2">
        <v>3019.79</v>
      </c>
      <c r="G4688" s="3">
        <f>MONTH(Tabela1[[#This Row],[Último pagto ano]])</f>
        <v>3</v>
      </c>
      <c r="H4688" t="str">
        <f>TEXT(Tabela1[[#This Row],[Coluna2]]*29,"mmmm")</f>
        <v>março</v>
      </c>
      <c r="I4688" t="str">
        <f>TEXT(MONTH(Tabela1[[#This Row],[Último pagto ano]])*29,"mmmm")</f>
        <v>março</v>
      </c>
    </row>
    <row r="4689" spans="1:9" x14ac:dyDescent="0.25">
      <c r="A4689">
        <v>2025</v>
      </c>
      <c r="B4689" t="s">
        <v>9338</v>
      </c>
      <c r="C4689" s="1">
        <v>45740</v>
      </c>
      <c r="D4689" t="s">
        <v>9339</v>
      </c>
      <c r="E4689">
        <v>1.77</v>
      </c>
      <c r="G4689" s="3">
        <f>MONTH(Tabela1[[#This Row],[Último pagto ano]])</f>
        <v>3</v>
      </c>
      <c r="H4689" t="str">
        <f>TEXT(Tabela1[[#This Row],[Coluna2]]*29,"mmmm")</f>
        <v>março</v>
      </c>
      <c r="I4689" t="str">
        <f>TEXT(MONTH(Tabela1[[#This Row],[Último pagto ano]])*29,"mmmm")</f>
        <v>março</v>
      </c>
    </row>
    <row r="4690" spans="1:9" x14ac:dyDescent="0.25">
      <c r="A4690">
        <v>2025</v>
      </c>
      <c r="B4690" t="s">
        <v>9340</v>
      </c>
      <c r="C4690" s="1">
        <v>45929</v>
      </c>
      <c r="D4690" t="s">
        <v>9341</v>
      </c>
      <c r="E4690">
        <v>242</v>
      </c>
      <c r="G4690" s="3">
        <f>MONTH(Tabela1[[#This Row],[Último pagto ano]])</f>
        <v>9</v>
      </c>
      <c r="H4690" t="str">
        <f>TEXT(Tabela1[[#This Row],[Coluna2]]*29,"mmmm")</f>
        <v>setembro</v>
      </c>
      <c r="I4690" t="str">
        <f>TEXT(MONTH(Tabela1[[#This Row],[Último pagto ano]])*29,"mmmm")</f>
        <v>setembro</v>
      </c>
    </row>
    <row r="4691" spans="1:9" x14ac:dyDescent="0.25">
      <c r="A4691">
        <v>2025</v>
      </c>
      <c r="B4691" t="s">
        <v>9342</v>
      </c>
      <c r="C4691" s="1">
        <v>46014</v>
      </c>
      <c r="D4691" t="s">
        <v>9343</v>
      </c>
      <c r="E4691" s="2">
        <v>4400</v>
      </c>
      <c r="G4691" s="3">
        <f>MONTH(Tabela1[[#This Row],[Último pagto ano]])</f>
        <v>12</v>
      </c>
      <c r="H4691" t="str">
        <f>TEXT(Tabela1[[#This Row],[Coluna2]]*29,"mmmm")</f>
        <v>dezembro</v>
      </c>
      <c r="I4691" t="str">
        <f>TEXT(MONTH(Tabela1[[#This Row],[Último pagto ano]])*29,"mmmm")</f>
        <v>dezembro</v>
      </c>
    </row>
    <row r="4692" spans="1:9" x14ac:dyDescent="0.25">
      <c r="A4692">
        <v>2025</v>
      </c>
      <c r="B4692" t="s">
        <v>9344</v>
      </c>
      <c r="C4692" s="1">
        <v>45744</v>
      </c>
      <c r="D4692" t="s">
        <v>9345</v>
      </c>
      <c r="E4692" s="2">
        <v>41248.03</v>
      </c>
      <c r="G4692" s="3">
        <f>MONTH(Tabela1[[#This Row],[Último pagto ano]])</f>
        <v>3</v>
      </c>
      <c r="H4692" t="str">
        <f>TEXT(Tabela1[[#This Row],[Coluna2]]*29,"mmmm")</f>
        <v>março</v>
      </c>
      <c r="I4692" t="str">
        <f>TEXT(MONTH(Tabela1[[#This Row],[Último pagto ano]])*29,"mmmm")</f>
        <v>março</v>
      </c>
    </row>
    <row r="4693" spans="1:9" x14ac:dyDescent="0.25">
      <c r="A4693">
        <v>2025</v>
      </c>
      <c r="B4693" t="s">
        <v>9346</v>
      </c>
      <c r="C4693" s="1">
        <v>45996</v>
      </c>
      <c r="D4693" t="s">
        <v>9347</v>
      </c>
      <c r="E4693" s="2">
        <v>64800</v>
      </c>
      <c r="G4693" s="3">
        <f>MONTH(Tabela1[[#This Row],[Último pagto ano]])</f>
        <v>12</v>
      </c>
      <c r="H4693" t="str">
        <f>TEXT(Tabela1[[#This Row],[Coluna2]]*29,"mmmm")</f>
        <v>dezembro</v>
      </c>
      <c r="I4693" t="str">
        <f>TEXT(MONTH(Tabela1[[#This Row],[Último pagto ano]])*29,"mmmm")</f>
        <v>dezembro</v>
      </c>
    </row>
    <row r="4694" spans="1:9" x14ac:dyDescent="0.25">
      <c r="A4694">
        <v>2025</v>
      </c>
      <c r="B4694" t="s">
        <v>9348</v>
      </c>
      <c r="C4694" s="1">
        <v>45996</v>
      </c>
      <c r="D4694" t="s">
        <v>9349</v>
      </c>
      <c r="E4694" s="2">
        <v>4000</v>
      </c>
      <c r="G4694" s="3">
        <f>MONTH(Tabela1[[#This Row],[Último pagto ano]])</f>
        <v>12</v>
      </c>
      <c r="H4694" t="str">
        <f>TEXT(Tabela1[[#This Row],[Coluna2]]*29,"mmmm")</f>
        <v>dezembro</v>
      </c>
      <c r="I4694" t="str">
        <f>TEXT(MONTH(Tabela1[[#This Row],[Último pagto ano]])*29,"mmmm")</f>
        <v>dezembro</v>
      </c>
    </row>
    <row r="4695" spans="1:9" x14ac:dyDescent="0.25">
      <c r="A4695">
        <v>2025</v>
      </c>
      <c r="B4695" t="s">
        <v>9350</v>
      </c>
      <c r="C4695" s="1">
        <v>45757</v>
      </c>
      <c r="D4695" t="s">
        <v>9351</v>
      </c>
      <c r="E4695" s="2">
        <v>1965.6</v>
      </c>
      <c r="G4695" s="3">
        <f>MONTH(Tabela1[[#This Row],[Último pagto ano]])</f>
        <v>4</v>
      </c>
      <c r="H4695" t="str">
        <f>TEXT(Tabela1[[#This Row],[Coluna2]]*29,"mmmm")</f>
        <v>abril</v>
      </c>
      <c r="I4695" t="str">
        <f>TEXT(MONTH(Tabela1[[#This Row],[Último pagto ano]])*29,"mmmm")</f>
        <v>abril</v>
      </c>
    </row>
    <row r="4696" spans="1:9" x14ac:dyDescent="0.25">
      <c r="A4696">
        <v>2025</v>
      </c>
      <c r="B4696" t="s">
        <v>9352</v>
      </c>
      <c r="C4696" s="1">
        <v>45876</v>
      </c>
      <c r="D4696" t="s">
        <v>9353</v>
      </c>
      <c r="E4696" s="2">
        <v>3600</v>
      </c>
      <c r="G4696" s="3">
        <f>MONTH(Tabela1[[#This Row],[Último pagto ano]])</f>
        <v>8</v>
      </c>
      <c r="H4696" t="str">
        <f>TEXT(Tabela1[[#This Row],[Coluna2]]*29,"mmmm")</f>
        <v>agosto</v>
      </c>
      <c r="I4696" t="str">
        <f>TEXT(MONTH(Tabela1[[#This Row],[Último pagto ano]])*29,"mmmm")</f>
        <v>agosto</v>
      </c>
    </row>
    <row r="4697" spans="1:9" x14ac:dyDescent="0.25">
      <c r="A4697">
        <v>2025</v>
      </c>
      <c r="B4697" t="s">
        <v>9354</v>
      </c>
      <c r="C4697" s="1">
        <v>46003</v>
      </c>
      <c r="D4697" t="s">
        <v>9355</v>
      </c>
      <c r="E4697" s="2">
        <v>11603</v>
      </c>
      <c r="G4697" s="3">
        <f>MONTH(Tabela1[[#This Row],[Último pagto ano]])</f>
        <v>12</v>
      </c>
      <c r="H4697" t="str">
        <f>TEXT(Tabela1[[#This Row],[Coluna2]]*29,"mmmm")</f>
        <v>dezembro</v>
      </c>
      <c r="I4697" t="str">
        <f>TEXT(MONTH(Tabela1[[#This Row],[Último pagto ano]])*29,"mmmm")</f>
        <v>dezembro</v>
      </c>
    </row>
    <row r="4698" spans="1:9" x14ac:dyDescent="0.25">
      <c r="A4698">
        <v>2025</v>
      </c>
      <c r="B4698" t="s">
        <v>9356</v>
      </c>
      <c r="C4698" s="1">
        <v>45996</v>
      </c>
      <c r="D4698" t="s">
        <v>9357</v>
      </c>
      <c r="E4698" s="2">
        <v>2600</v>
      </c>
      <c r="G4698" s="3">
        <f>MONTH(Tabela1[[#This Row],[Último pagto ano]])</f>
        <v>12</v>
      </c>
      <c r="H4698" t="str">
        <f>TEXT(Tabela1[[#This Row],[Coluna2]]*29,"mmmm")</f>
        <v>dezembro</v>
      </c>
      <c r="I4698" t="str">
        <f>TEXT(MONTH(Tabela1[[#This Row],[Último pagto ano]])*29,"mmmm")</f>
        <v>dezembro</v>
      </c>
    </row>
    <row r="4699" spans="1:9" x14ac:dyDescent="0.25">
      <c r="A4699">
        <v>2025</v>
      </c>
      <c r="B4699" t="s">
        <v>9358</v>
      </c>
      <c r="C4699" s="1">
        <v>45996</v>
      </c>
      <c r="D4699" t="s">
        <v>9359</v>
      </c>
      <c r="E4699" s="2">
        <v>5500</v>
      </c>
      <c r="G4699" s="3">
        <f>MONTH(Tabela1[[#This Row],[Último pagto ano]])</f>
        <v>12</v>
      </c>
      <c r="H4699" t="str">
        <f>TEXT(Tabela1[[#This Row],[Coluna2]]*29,"mmmm")</f>
        <v>dezembro</v>
      </c>
      <c r="I4699" t="str">
        <f>TEXT(MONTH(Tabela1[[#This Row],[Último pagto ano]])*29,"mmmm")</f>
        <v>dezembro</v>
      </c>
    </row>
    <row r="4700" spans="1:9" x14ac:dyDescent="0.25">
      <c r="A4700">
        <v>2025</v>
      </c>
      <c r="B4700" t="s">
        <v>9360</v>
      </c>
      <c r="C4700" s="1">
        <v>45777</v>
      </c>
      <c r="D4700" t="s">
        <v>9361</v>
      </c>
      <c r="E4700" s="2">
        <v>4068.83</v>
      </c>
      <c r="G4700" s="3">
        <f>MONTH(Tabela1[[#This Row],[Último pagto ano]])</f>
        <v>4</v>
      </c>
      <c r="H4700" t="str">
        <f>TEXT(Tabela1[[#This Row],[Coluna2]]*29,"mmmm")</f>
        <v>abril</v>
      </c>
      <c r="I4700" t="str">
        <f>TEXT(MONTH(Tabela1[[#This Row],[Último pagto ano]])*29,"mmmm")</f>
        <v>abril</v>
      </c>
    </row>
    <row r="4701" spans="1:9" x14ac:dyDescent="0.25">
      <c r="A4701">
        <v>2025</v>
      </c>
      <c r="B4701" t="s">
        <v>9362</v>
      </c>
      <c r="C4701" s="1">
        <v>46010</v>
      </c>
      <c r="D4701" t="s">
        <v>9363</v>
      </c>
      <c r="E4701" s="2">
        <v>24000</v>
      </c>
      <c r="G4701" s="3">
        <f>MONTH(Tabela1[[#This Row],[Último pagto ano]])</f>
        <v>12</v>
      </c>
      <c r="H4701" t="str">
        <f>TEXT(Tabela1[[#This Row],[Coluna2]]*29,"mmmm")</f>
        <v>dezembro</v>
      </c>
      <c r="I4701" t="str">
        <f>TEXT(MONTH(Tabela1[[#This Row],[Último pagto ano]])*29,"mmmm")</f>
        <v>dezembro</v>
      </c>
    </row>
    <row r="4702" spans="1:9" x14ac:dyDescent="0.25">
      <c r="A4702">
        <v>2025</v>
      </c>
      <c r="B4702" t="s">
        <v>9364</v>
      </c>
      <c r="C4702" s="1">
        <v>46021</v>
      </c>
      <c r="D4702" t="s">
        <v>9365</v>
      </c>
      <c r="E4702" s="2">
        <v>1307.67</v>
      </c>
      <c r="G4702" s="3">
        <f>MONTH(Tabela1[[#This Row],[Último pagto ano]])</f>
        <v>12</v>
      </c>
      <c r="H4702" t="str">
        <f>TEXT(Tabela1[[#This Row],[Coluna2]]*29,"mmmm")</f>
        <v>dezembro</v>
      </c>
      <c r="I4702" t="str">
        <f>TEXT(MONTH(Tabela1[[#This Row],[Último pagto ano]])*29,"mmmm")</f>
        <v>dezembro</v>
      </c>
    </row>
    <row r="4703" spans="1:9" x14ac:dyDescent="0.25">
      <c r="A4703">
        <v>2025</v>
      </c>
      <c r="B4703" t="s">
        <v>9366</v>
      </c>
      <c r="C4703" s="1">
        <v>45999</v>
      </c>
      <c r="D4703" t="s">
        <v>9367</v>
      </c>
      <c r="E4703">
        <v>110</v>
      </c>
      <c r="G4703" s="3">
        <f>MONTH(Tabela1[[#This Row],[Último pagto ano]])</f>
        <v>12</v>
      </c>
      <c r="H4703" t="str">
        <f>TEXT(Tabela1[[#This Row],[Coluna2]]*29,"mmmm")</f>
        <v>dezembro</v>
      </c>
      <c r="I4703" t="str">
        <f>TEXT(MONTH(Tabela1[[#This Row],[Último pagto ano]])*29,"mmmm")</f>
        <v>dezembro</v>
      </c>
    </row>
    <row r="4704" spans="1:9" x14ac:dyDescent="0.25">
      <c r="A4704">
        <v>2025</v>
      </c>
      <c r="B4704" t="s">
        <v>9368</v>
      </c>
      <c r="C4704" s="1">
        <v>46010</v>
      </c>
      <c r="D4704" t="s">
        <v>9369</v>
      </c>
      <c r="E4704" s="2">
        <v>24000</v>
      </c>
      <c r="G4704" s="3">
        <f>MONTH(Tabela1[[#This Row],[Último pagto ano]])</f>
        <v>12</v>
      </c>
      <c r="H4704" t="str">
        <f>TEXT(Tabela1[[#This Row],[Coluna2]]*29,"mmmm")</f>
        <v>dezembro</v>
      </c>
      <c r="I4704" t="str">
        <f>TEXT(MONTH(Tabela1[[#This Row],[Último pagto ano]])*29,"mmmm")</f>
        <v>dezembro</v>
      </c>
    </row>
    <row r="4705" spans="1:9" x14ac:dyDescent="0.25">
      <c r="A4705">
        <v>2025</v>
      </c>
      <c r="B4705" t="s">
        <v>9370</v>
      </c>
      <c r="C4705" s="1">
        <v>45783</v>
      </c>
      <c r="D4705" t="s">
        <v>9371</v>
      </c>
      <c r="E4705" s="2">
        <v>3048.77</v>
      </c>
      <c r="G4705" s="3">
        <f>MONTH(Tabela1[[#This Row],[Último pagto ano]])</f>
        <v>5</v>
      </c>
      <c r="H4705" t="str">
        <f>TEXT(Tabela1[[#This Row],[Coluna2]]*29,"mmmm")</f>
        <v>maio</v>
      </c>
      <c r="I4705" t="str">
        <f>TEXT(MONTH(Tabela1[[#This Row],[Último pagto ano]])*29,"mmmm")</f>
        <v>maio</v>
      </c>
    </row>
    <row r="4706" spans="1:9" x14ac:dyDescent="0.25">
      <c r="A4706">
        <v>2025</v>
      </c>
      <c r="B4706" t="s">
        <v>9372</v>
      </c>
      <c r="C4706" s="1">
        <v>45996</v>
      </c>
      <c r="D4706" t="s">
        <v>9373</v>
      </c>
      <c r="E4706" s="2">
        <v>10000</v>
      </c>
      <c r="G4706" s="3">
        <f>MONTH(Tabela1[[#This Row],[Último pagto ano]])</f>
        <v>12</v>
      </c>
      <c r="H4706" t="str">
        <f>TEXT(Tabela1[[#This Row],[Coluna2]]*29,"mmmm")</f>
        <v>dezembro</v>
      </c>
      <c r="I4706" t="str">
        <f>TEXT(MONTH(Tabela1[[#This Row],[Último pagto ano]])*29,"mmmm")</f>
        <v>dezembro</v>
      </c>
    </row>
    <row r="4707" spans="1:9" x14ac:dyDescent="0.25">
      <c r="A4707">
        <v>2025</v>
      </c>
      <c r="B4707" t="s">
        <v>9374</v>
      </c>
      <c r="C4707" s="1">
        <v>45838</v>
      </c>
      <c r="D4707" t="s">
        <v>9375</v>
      </c>
      <c r="E4707" s="2">
        <v>90000</v>
      </c>
      <c r="G4707" s="3">
        <f>MONTH(Tabela1[[#This Row],[Último pagto ano]])</f>
        <v>6</v>
      </c>
      <c r="H4707" t="str">
        <f>TEXT(Tabela1[[#This Row],[Coluna2]]*29,"mmmm")</f>
        <v>junho</v>
      </c>
      <c r="I4707" t="str">
        <f>TEXT(MONTH(Tabela1[[#This Row],[Último pagto ano]])*29,"mmmm")</f>
        <v>junho</v>
      </c>
    </row>
    <row r="4708" spans="1:9" x14ac:dyDescent="0.25">
      <c r="A4708">
        <v>2025</v>
      </c>
      <c r="B4708" t="s">
        <v>9376</v>
      </c>
      <c r="C4708" s="1">
        <v>45996</v>
      </c>
      <c r="D4708" t="s">
        <v>9377</v>
      </c>
      <c r="E4708" s="2">
        <v>4400</v>
      </c>
      <c r="G4708" s="3">
        <f>MONTH(Tabela1[[#This Row],[Último pagto ano]])</f>
        <v>12</v>
      </c>
      <c r="H4708" t="str">
        <f>TEXT(Tabela1[[#This Row],[Coluna2]]*29,"mmmm")</f>
        <v>dezembro</v>
      </c>
      <c r="I4708" t="str">
        <f>TEXT(MONTH(Tabela1[[#This Row],[Último pagto ano]])*29,"mmmm")</f>
        <v>dezembro</v>
      </c>
    </row>
    <row r="4709" spans="1:9" x14ac:dyDescent="0.25">
      <c r="A4709">
        <v>2025</v>
      </c>
      <c r="B4709" t="s">
        <v>9378</v>
      </c>
      <c r="C4709" s="1">
        <v>46010</v>
      </c>
      <c r="D4709" t="s">
        <v>9379</v>
      </c>
      <c r="E4709" s="2">
        <v>8400</v>
      </c>
      <c r="G4709" s="3">
        <f>MONTH(Tabela1[[#This Row],[Último pagto ano]])</f>
        <v>12</v>
      </c>
      <c r="H4709" t="str">
        <f>TEXT(Tabela1[[#This Row],[Coluna2]]*29,"mmmm")</f>
        <v>dezembro</v>
      </c>
      <c r="I4709" t="str">
        <f>TEXT(MONTH(Tabela1[[#This Row],[Último pagto ano]])*29,"mmmm")</f>
        <v>dezembro</v>
      </c>
    </row>
    <row r="4710" spans="1:9" x14ac:dyDescent="0.25">
      <c r="A4710">
        <v>2025</v>
      </c>
      <c r="B4710" t="s">
        <v>9380</v>
      </c>
      <c r="C4710" s="1">
        <v>45936</v>
      </c>
      <c r="D4710" t="s">
        <v>9381</v>
      </c>
      <c r="E4710">
        <v>11</v>
      </c>
      <c r="G4710" s="3">
        <f>MONTH(Tabela1[[#This Row],[Último pagto ano]])</f>
        <v>10</v>
      </c>
      <c r="H4710" t="str">
        <f>TEXT(Tabela1[[#This Row],[Coluna2]]*29,"mmmm")</f>
        <v>outubro</v>
      </c>
      <c r="I4710" t="str">
        <f>TEXT(MONTH(Tabela1[[#This Row],[Último pagto ano]])*29,"mmmm")</f>
        <v>outubro</v>
      </c>
    </row>
    <row r="4711" spans="1:9" x14ac:dyDescent="0.25">
      <c r="A4711">
        <v>2025</v>
      </c>
      <c r="B4711" t="s">
        <v>9382</v>
      </c>
      <c r="C4711" s="1">
        <v>45826</v>
      </c>
      <c r="D4711" t="s">
        <v>9383</v>
      </c>
      <c r="E4711" s="2">
        <v>2571.89</v>
      </c>
      <c r="G4711" s="3">
        <f>MONTH(Tabela1[[#This Row],[Último pagto ano]])</f>
        <v>6</v>
      </c>
      <c r="H4711" t="str">
        <f>TEXT(Tabela1[[#This Row],[Coluna2]]*29,"mmmm")</f>
        <v>junho</v>
      </c>
      <c r="I4711" t="str">
        <f>TEXT(MONTH(Tabela1[[#This Row],[Último pagto ano]])*29,"mmmm")</f>
        <v>junho</v>
      </c>
    </row>
    <row r="4712" spans="1:9" x14ac:dyDescent="0.25">
      <c r="A4712">
        <v>2025</v>
      </c>
      <c r="B4712" t="s">
        <v>9384</v>
      </c>
      <c r="C4712" s="1">
        <v>45975</v>
      </c>
      <c r="D4712" t="s">
        <v>9385</v>
      </c>
      <c r="E4712" s="2">
        <v>5909.92</v>
      </c>
      <c r="G4712" s="3">
        <f>MONTH(Tabela1[[#This Row],[Último pagto ano]])</f>
        <v>11</v>
      </c>
      <c r="H4712" t="str">
        <f>TEXT(Tabela1[[#This Row],[Coluna2]]*29,"mmmm")</f>
        <v>novembro</v>
      </c>
      <c r="I4712" t="str">
        <f>TEXT(MONTH(Tabela1[[#This Row],[Último pagto ano]])*29,"mmmm")</f>
        <v>novembro</v>
      </c>
    </row>
    <row r="4713" spans="1:9" x14ac:dyDescent="0.25">
      <c r="A4713">
        <v>2025</v>
      </c>
      <c r="B4713" t="s">
        <v>9386</v>
      </c>
      <c r="C4713" s="1">
        <v>46014</v>
      </c>
      <c r="D4713" t="s">
        <v>9387</v>
      </c>
      <c r="E4713" s="2">
        <v>20280</v>
      </c>
      <c r="G4713" s="3">
        <f>MONTH(Tabela1[[#This Row],[Último pagto ano]])</f>
        <v>12</v>
      </c>
      <c r="H4713" t="str">
        <f>TEXT(Tabela1[[#This Row],[Coluna2]]*29,"mmmm")</f>
        <v>dezembro</v>
      </c>
      <c r="I4713" t="str">
        <f>TEXT(MONTH(Tabela1[[#This Row],[Último pagto ano]])*29,"mmmm")</f>
        <v>dezembro</v>
      </c>
    </row>
    <row r="4714" spans="1:9" x14ac:dyDescent="0.25">
      <c r="A4714">
        <v>2025</v>
      </c>
      <c r="B4714" t="s">
        <v>9388</v>
      </c>
      <c r="C4714" s="1">
        <v>45971</v>
      </c>
      <c r="D4714" t="s">
        <v>9389</v>
      </c>
      <c r="E4714" s="2">
        <v>24162.78</v>
      </c>
      <c r="G4714" s="3">
        <f>MONTH(Tabela1[[#This Row],[Último pagto ano]])</f>
        <v>11</v>
      </c>
      <c r="H4714" t="str">
        <f>TEXT(Tabela1[[#This Row],[Coluna2]]*29,"mmmm")</f>
        <v>novembro</v>
      </c>
      <c r="I4714" t="str">
        <f>TEXT(MONTH(Tabela1[[#This Row],[Último pagto ano]])*29,"mmmm")</f>
        <v>novembro</v>
      </c>
    </row>
    <row r="4715" spans="1:9" x14ac:dyDescent="0.25">
      <c r="A4715">
        <v>2025</v>
      </c>
      <c r="B4715" t="s">
        <v>9390</v>
      </c>
      <c r="C4715" s="1">
        <v>45989</v>
      </c>
      <c r="D4715" t="s">
        <v>9391</v>
      </c>
      <c r="E4715" s="2">
        <v>4004.74</v>
      </c>
      <c r="G4715" s="3">
        <f>MONTH(Tabela1[[#This Row],[Último pagto ano]])</f>
        <v>11</v>
      </c>
      <c r="H4715" t="str">
        <f>TEXT(Tabela1[[#This Row],[Coluna2]]*29,"mmmm")</f>
        <v>novembro</v>
      </c>
      <c r="I4715" t="str">
        <f>TEXT(MONTH(Tabela1[[#This Row],[Último pagto ano]])*29,"mmmm")</f>
        <v>novembro</v>
      </c>
    </row>
    <row r="4716" spans="1:9" x14ac:dyDescent="0.25">
      <c r="A4716">
        <v>2025</v>
      </c>
      <c r="B4716" t="s">
        <v>9392</v>
      </c>
      <c r="C4716" s="1">
        <v>45992</v>
      </c>
      <c r="D4716" t="s">
        <v>9393</v>
      </c>
      <c r="E4716" s="2">
        <v>293928</v>
      </c>
      <c r="G4716" s="3">
        <f>MONTH(Tabela1[[#This Row],[Último pagto ano]])</f>
        <v>12</v>
      </c>
      <c r="H4716" t="str">
        <f>TEXT(Tabela1[[#This Row],[Coluna2]]*29,"mmmm")</f>
        <v>dezembro</v>
      </c>
      <c r="I4716" t="str">
        <f>TEXT(MONTH(Tabela1[[#This Row],[Último pagto ano]])*29,"mmmm")</f>
        <v>dezembro</v>
      </c>
    </row>
    <row r="4717" spans="1:9" x14ac:dyDescent="0.25">
      <c r="A4717">
        <v>2025</v>
      </c>
      <c r="B4717" t="s">
        <v>9394</v>
      </c>
      <c r="C4717" s="1">
        <v>45663</v>
      </c>
      <c r="D4717" t="s">
        <v>9395</v>
      </c>
      <c r="E4717" s="2">
        <v>1555.2</v>
      </c>
      <c r="G4717" s="3">
        <f>MONTH(Tabela1[[#This Row],[Último pagto ano]])</f>
        <v>1</v>
      </c>
      <c r="H4717" t="str">
        <f>TEXT(Tabela1[[#This Row],[Coluna2]]*29,"mmmm")</f>
        <v>janeiro</v>
      </c>
      <c r="I4717" t="str">
        <f>TEXT(MONTH(Tabela1[[#This Row],[Último pagto ano]])*29,"mmmm")</f>
        <v>janeiro</v>
      </c>
    </row>
    <row r="4718" spans="1:9" x14ac:dyDescent="0.25">
      <c r="A4718">
        <v>2025</v>
      </c>
      <c r="B4718" t="s">
        <v>9396</v>
      </c>
      <c r="C4718" s="1">
        <v>46014</v>
      </c>
      <c r="D4718" t="s">
        <v>9397</v>
      </c>
      <c r="E4718" s="2">
        <v>534019.42000000004</v>
      </c>
      <c r="G4718" s="3">
        <f>MONTH(Tabela1[[#This Row],[Último pagto ano]])</f>
        <v>12</v>
      </c>
      <c r="H4718" t="str">
        <f>TEXT(Tabela1[[#This Row],[Coluna2]]*29,"mmmm")</f>
        <v>dezembro</v>
      </c>
      <c r="I4718" t="str">
        <f>TEXT(MONTH(Tabela1[[#This Row],[Último pagto ano]])*29,"mmmm")</f>
        <v>dezembro</v>
      </c>
    </row>
    <row r="4719" spans="1:9" x14ac:dyDescent="0.25">
      <c r="A4719">
        <v>2025</v>
      </c>
      <c r="B4719" t="s">
        <v>9398</v>
      </c>
      <c r="C4719" s="1">
        <v>45943</v>
      </c>
      <c r="D4719" t="s">
        <v>9399</v>
      </c>
      <c r="E4719">
        <v>825</v>
      </c>
      <c r="G4719" s="3">
        <f>MONTH(Tabela1[[#This Row],[Último pagto ano]])</f>
        <v>10</v>
      </c>
      <c r="H4719" t="str">
        <f>TEXT(Tabela1[[#This Row],[Coluna2]]*29,"mmmm")</f>
        <v>outubro</v>
      </c>
      <c r="I4719" t="str">
        <f>TEXT(MONTH(Tabela1[[#This Row],[Último pagto ano]])*29,"mmmm")</f>
        <v>outubro</v>
      </c>
    </row>
    <row r="4720" spans="1:9" x14ac:dyDescent="0.25">
      <c r="A4720">
        <v>2025</v>
      </c>
      <c r="B4720" t="s">
        <v>9400</v>
      </c>
      <c r="C4720" s="1">
        <v>45680</v>
      </c>
      <c r="D4720" t="s">
        <v>9401</v>
      </c>
      <c r="E4720">
        <v>245</v>
      </c>
      <c r="G4720" s="3">
        <f>MONTH(Tabela1[[#This Row],[Último pagto ano]])</f>
        <v>1</v>
      </c>
      <c r="H4720" t="str">
        <f>TEXT(Tabela1[[#This Row],[Coluna2]]*29,"mmmm")</f>
        <v>janeiro</v>
      </c>
      <c r="I4720" t="str">
        <f>TEXT(MONTH(Tabela1[[#This Row],[Último pagto ano]])*29,"mmmm")</f>
        <v>janeiro</v>
      </c>
    </row>
    <row r="4721" spans="1:9" x14ac:dyDescent="0.25">
      <c r="A4721">
        <v>2025</v>
      </c>
      <c r="B4721" t="s">
        <v>9402</v>
      </c>
      <c r="C4721" s="1">
        <v>46010</v>
      </c>
      <c r="D4721" t="s">
        <v>9403</v>
      </c>
      <c r="E4721" s="2">
        <v>88276.44</v>
      </c>
      <c r="G4721" s="3">
        <f>MONTH(Tabela1[[#This Row],[Último pagto ano]])</f>
        <v>12</v>
      </c>
      <c r="H4721" t="str">
        <f>TEXT(Tabela1[[#This Row],[Coluna2]]*29,"mmmm")</f>
        <v>dezembro</v>
      </c>
      <c r="I4721" t="str">
        <f>TEXT(MONTH(Tabela1[[#This Row],[Último pagto ano]])*29,"mmmm")</f>
        <v>dezembro</v>
      </c>
    </row>
    <row r="4722" spans="1:9" x14ac:dyDescent="0.25">
      <c r="A4722">
        <v>2025</v>
      </c>
      <c r="B4722" t="s">
        <v>9404</v>
      </c>
      <c r="C4722" s="1">
        <v>46000</v>
      </c>
      <c r="D4722" t="s">
        <v>9405</v>
      </c>
      <c r="E4722" s="2">
        <v>150789.32</v>
      </c>
      <c r="G4722" s="3">
        <f>MONTH(Tabela1[[#This Row],[Último pagto ano]])</f>
        <v>12</v>
      </c>
      <c r="H4722" t="str">
        <f>TEXT(Tabela1[[#This Row],[Coluna2]]*29,"mmmm")</f>
        <v>dezembro</v>
      </c>
      <c r="I4722" t="str">
        <f>TEXT(MONTH(Tabela1[[#This Row],[Último pagto ano]])*29,"mmmm")</f>
        <v>dezembro</v>
      </c>
    </row>
    <row r="4723" spans="1:9" x14ac:dyDescent="0.25">
      <c r="A4723">
        <v>2025</v>
      </c>
      <c r="B4723" t="s">
        <v>9406</v>
      </c>
      <c r="C4723" s="1">
        <v>46014</v>
      </c>
      <c r="D4723" t="s">
        <v>9407</v>
      </c>
      <c r="E4723" s="2">
        <v>558741.89</v>
      </c>
      <c r="G4723" s="3">
        <f>MONTH(Tabela1[[#This Row],[Último pagto ano]])</f>
        <v>12</v>
      </c>
      <c r="H4723" t="str">
        <f>TEXT(Tabela1[[#This Row],[Coluna2]]*29,"mmmm")</f>
        <v>dezembro</v>
      </c>
      <c r="I4723" t="str">
        <f>TEXT(MONTH(Tabela1[[#This Row],[Último pagto ano]])*29,"mmmm")</f>
        <v>dezembro</v>
      </c>
    </row>
    <row r="4724" spans="1:9" x14ac:dyDescent="0.25">
      <c r="A4724">
        <v>2025</v>
      </c>
      <c r="B4724" t="s">
        <v>9408</v>
      </c>
      <c r="C4724" s="1">
        <v>45877</v>
      </c>
      <c r="D4724" t="s">
        <v>9409</v>
      </c>
      <c r="E4724" s="2">
        <v>1145.9000000000001</v>
      </c>
      <c r="G4724" s="3">
        <f>MONTH(Tabela1[[#This Row],[Último pagto ano]])</f>
        <v>8</v>
      </c>
      <c r="H4724" t="str">
        <f>TEXT(Tabela1[[#This Row],[Coluna2]]*29,"mmmm")</f>
        <v>agosto</v>
      </c>
      <c r="I4724" t="str">
        <f>TEXT(MONTH(Tabela1[[#This Row],[Último pagto ano]])*29,"mmmm")</f>
        <v>agosto</v>
      </c>
    </row>
    <row r="4725" spans="1:9" x14ac:dyDescent="0.25">
      <c r="A4725">
        <v>2025</v>
      </c>
      <c r="B4725" t="s">
        <v>9410</v>
      </c>
      <c r="C4725" s="1">
        <v>45870</v>
      </c>
      <c r="D4725" t="s">
        <v>9411</v>
      </c>
      <c r="E4725">
        <v>128.56</v>
      </c>
      <c r="G4725" s="3">
        <f>MONTH(Tabela1[[#This Row],[Último pagto ano]])</f>
        <v>8</v>
      </c>
      <c r="H4725" t="str">
        <f>TEXT(Tabela1[[#This Row],[Coluna2]]*29,"mmmm")</f>
        <v>agosto</v>
      </c>
      <c r="I4725" t="str">
        <f>TEXT(MONTH(Tabela1[[#This Row],[Último pagto ano]])*29,"mmmm")</f>
        <v>agosto</v>
      </c>
    </row>
    <row r="4726" spans="1:9" x14ac:dyDescent="0.25">
      <c r="A4726">
        <v>2025</v>
      </c>
      <c r="B4726" t="s">
        <v>9412</v>
      </c>
      <c r="C4726" s="1">
        <v>45980</v>
      </c>
      <c r="D4726" t="s">
        <v>9413</v>
      </c>
      <c r="E4726" s="2">
        <v>115418</v>
      </c>
      <c r="G4726" s="3">
        <f>MONTH(Tabela1[[#This Row],[Último pagto ano]])</f>
        <v>11</v>
      </c>
      <c r="H4726" t="str">
        <f>TEXT(Tabela1[[#This Row],[Coluna2]]*29,"mmmm")</f>
        <v>novembro</v>
      </c>
      <c r="I4726" t="str">
        <f>TEXT(MONTH(Tabela1[[#This Row],[Último pagto ano]])*29,"mmmm")</f>
        <v>novembro</v>
      </c>
    </row>
    <row r="4727" spans="1:9" x14ac:dyDescent="0.25">
      <c r="A4727">
        <v>2025</v>
      </c>
      <c r="B4727" t="s">
        <v>9414</v>
      </c>
      <c r="C4727" s="1">
        <v>45824</v>
      </c>
      <c r="D4727" t="s">
        <v>9415</v>
      </c>
      <c r="E4727" s="2">
        <v>122550</v>
      </c>
      <c r="G4727" s="3">
        <f>MONTH(Tabela1[[#This Row],[Último pagto ano]])</f>
        <v>6</v>
      </c>
      <c r="H4727" t="str">
        <f>TEXT(Tabela1[[#This Row],[Coluna2]]*29,"mmmm")</f>
        <v>junho</v>
      </c>
      <c r="I4727" t="str">
        <f>TEXT(MONTH(Tabela1[[#This Row],[Último pagto ano]])*29,"mmmm")</f>
        <v>junho</v>
      </c>
    </row>
    <row r="4728" spans="1:9" x14ac:dyDescent="0.25">
      <c r="A4728">
        <v>2025</v>
      </c>
      <c r="B4728" t="s">
        <v>9416</v>
      </c>
      <c r="C4728" s="1">
        <v>45868</v>
      </c>
      <c r="D4728" t="s">
        <v>9417</v>
      </c>
      <c r="E4728" s="2">
        <v>57800</v>
      </c>
      <c r="G4728" s="3">
        <f>MONTH(Tabela1[[#This Row],[Último pagto ano]])</f>
        <v>7</v>
      </c>
      <c r="H4728" t="str">
        <f>TEXT(Tabela1[[#This Row],[Coluna2]]*29,"mmmm")</f>
        <v>julho</v>
      </c>
      <c r="I4728" t="str">
        <f>TEXT(MONTH(Tabela1[[#This Row],[Último pagto ano]])*29,"mmmm")</f>
        <v>julho</v>
      </c>
    </row>
    <row r="4729" spans="1:9" x14ac:dyDescent="0.25">
      <c r="A4729">
        <v>2025</v>
      </c>
      <c r="B4729" t="s">
        <v>9418</v>
      </c>
      <c r="C4729" s="1">
        <v>45782</v>
      </c>
      <c r="D4729" t="s">
        <v>9419</v>
      </c>
      <c r="E4729">
        <v>478.82</v>
      </c>
      <c r="G4729" s="3">
        <f>MONTH(Tabela1[[#This Row],[Último pagto ano]])</f>
        <v>5</v>
      </c>
      <c r="H4729" t="str">
        <f>TEXT(Tabela1[[#This Row],[Coluna2]]*29,"mmmm")</f>
        <v>maio</v>
      </c>
      <c r="I4729" t="str">
        <f>TEXT(MONTH(Tabela1[[#This Row],[Último pagto ano]])*29,"mmmm")</f>
        <v>maio</v>
      </c>
    </row>
    <row r="4730" spans="1:9" x14ac:dyDescent="0.25">
      <c r="A4730">
        <v>2025</v>
      </c>
      <c r="B4730" t="s">
        <v>9420</v>
      </c>
      <c r="C4730" s="1">
        <v>45943</v>
      </c>
      <c r="D4730" t="s">
        <v>9421</v>
      </c>
      <c r="E4730">
        <v>86.16</v>
      </c>
      <c r="G4730" s="3">
        <f>MONTH(Tabela1[[#This Row],[Último pagto ano]])</f>
        <v>10</v>
      </c>
      <c r="H4730" t="str">
        <f>TEXT(Tabela1[[#This Row],[Coluna2]]*29,"mmmm")</f>
        <v>outubro</v>
      </c>
      <c r="I4730" t="str">
        <f>TEXT(MONTH(Tabela1[[#This Row],[Último pagto ano]])*29,"mmmm")</f>
        <v>outubro</v>
      </c>
    </row>
    <row r="4731" spans="1:9" x14ac:dyDescent="0.25">
      <c r="A4731">
        <v>2025</v>
      </c>
      <c r="B4731" t="s">
        <v>9422</v>
      </c>
      <c r="C4731" s="1">
        <v>45996</v>
      </c>
      <c r="D4731" t="s">
        <v>9423</v>
      </c>
      <c r="E4731" s="2">
        <v>48000</v>
      </c>
      <c r="G4731" s="3">
        <f>MONTH(Tabela1[[#This Row],[Último pagto ano]])</f>
        <v>12</v>
      </c>
      <c r="H4731" t="str">
        <f>TEXT(Tabela1[[#This Row],[Coluna2]]*29,"mmmm")</f>
        <v>dezembro</v>
      </c>
      <c r="I4731" t="str">
        <f>TEXT(MONTH(Tabela1[[#This Row],[Último pagto ano]])*29,"mmmm")</f>
        <v>dezembro</v>
      </c>
    </row>
    <row r="4732" spans="1:9" x14ac:dyDescent="0.25">
      <c r="A4732">
        <v>2025</v>
      </c>
      <c r="B4732" t="s">
        <v>9424</v>
      </c>
      <c r="C4732" s="1">
        <v>46006</v>
      </c>
      <c r="D4732" t="s">
        <v>9425</v>
      </c>
      <c r="E4732">
        <v>55</v>
      </c>
      <c r="G4732" s="3">
        <f>MONTH(Tabela1[[#This Row],[Último pagto ano]])</f>
        <v>12</v>
      </c>
      <c r="H4732" t="str">
        <f>TEXT(Tabela1[[#This Row],[Coluna2]]*29,"mmmm")</f>
        <v>dezembro</v>
      </c>
      <c r="I4732" t="str">
        <f>TEXT(MONTH(Tabela1[[#This Row],[Último pagto ano]])*29,"mmmm")</f>
        <v>dezembro</v>
      </c>
    </row>
    <row r="4733" spans="1:9" x14ac:dyDescent="0.25">
      <c r="A4733">
        <v>2025</v>
      </c>
      <c r="B4733" t="s">
        <v>9426</v>
      </c>
      <c r="C4733" s="1">
        <v>45712</v>
      </c>
      <c r="D4733" t="s">
        <v>9427</v>
      </c>
      <c r="E4733" s="2">
        <v>2000</v>
      </c>
      <c r="G4733" s="3">
        <f>MONTH(Tabela1[[#This Row],[Último pagto ano]])</f>
        <v>2</v>
      </c>
      <c r="H4733" t="str">
        <f>TEXT(Tabela1[[#This Row],[Coluna2]]*29,"mmmm")</f>
        <v>fevereiro</v>
      </c>
      <c r="I4733" t="str">
        <f>TEXT(MONTH(Tabela1[[#This Row],[Último pagto ano]])*29,"mmmm")</f>
        <v>fevereiro</v>
      </c>
    </row>
    <row r="4734" spans="1:9" x14ac:dyDescent="0.25">
      <c r="A4734">
        <v>2025</v>
      </c>
      <c r="B4734" t="s">
        <v>9428</v>
      </c>
      <c r="C4734" s="1">
        <v>45681</v>
      </c>
      <c r="D4734" t="s">
        <v>9429</v>
      </c>
      <c r="E4734">
        <v>700</v>
      </c>
      <c r="G4734" s="3">
        <f>MONTH(Tabela1[[#This Row],[Último pagto ano]])</f>
        <v>1</v>
      </c>
      <c r="H4734" t="str">
        <f>TEXT(Tabela1[[#This Row],[Coluna2]]*29,"mmmm")</f>
        <v>janeiro</v>
      </c>
      <c r="I4734" t="str">
        <f>TEXT(MONTH(Tabela1[[#This Row],[Último pagto ano]])*29,"mmmm")</f>
        <v>janeiro</v>
      </c>
    </row>
    <row r="4735" spans="1:9" x14ac:dyDescent="0.25">
      <c r="A4735">
        <v>2025</v>
      </c>
      <c r="B4735" t="s">
        <v>9430</v>
      </c>
      <c r="C4735" s="1">
        <v>45841</v>
      </c>
      <c r="D4735" t="s">
        <v>9431</v>
      </c>
      <c r="E4735" s="2">
        <v>5654.46</v>
      </c>
      <c r="G4735" s="3">
        <f>MONTH(Tabela1[[#This Row],[Último pagto ano]])</f>
        <v>7</v>
      </c>
      <c r="H4735" t="str">
        <f>TEXT(Tabela1[[#This Row],[Coluna2]]*29,"mmmm")</f>
        <v>julho</v>
      </c>
      <c r="I4735" t="str">
        <f>TEXT(MONTH(Tabela1[[#This Row],[Último pagto ano]])*29,"mmmm")</f>
        <v>julho</v>
      </c>
    </row>
    <row r="4736" spans="1:9" x14ac:dyDescent="0.25">
      <c r="A4736">
        <v>2025</v>
      </c>
      <c r="B4736" t="s">
        <v>9432</v>
      </c>
      <c r="C4736" s="1">
        <v>46010</v>
      </c>
      <c r="D4736" t="s">
        <v>9433</v>
      </c>
      <c r="E4736" s="2">
        <v>2100</v>
      </c>
      <c r="G4736" s="3">
        <f>MONTH(Tabela1[[#This Row],[Último pagto ano]])</f>
        <v>12</v>
      </c>
      <c r="H4736" t="str">
        <f>TEXT(Tabela1[[#This Row],[Coluna2]]*29,"mmmm")</f>
        <v>dezembro</v>
      </c>
      <c r="I4736" t="str">
        <f>TEXT(MONTH(Tabela1[[#This Row],[Último pagto ano]])*29,"mmmm")</f>
        <v>dezembro</v>
      </c>
    </row>
    <row r="4737" spans="1:9" x14ac:dyDescent="0.25">
      <c r="A4737">
        <v>2025</v>
      </c>
      <c r="B4737" t="s">
        <v>9434</v>
      </c>
      <c r="C4737" s="1">
        <v>45989</v>
      </c>
      <c r="D4737" t="s">
        <v>9435</v>
      </c>
      <c r="E4737" s="2">
        <v>3974.87</v>
      </c>
      <c r="G4737" s="3">
        <f>MONTH(Tabela1[[#This Row],[Último pagto ano]])</f>
        <v>11</v>
      </c>
      <c r="H4737" t="str">
        <f>TEXT(Tabela1[[#This Row],[Coluna2]]*29,"mmmm")</f>
        <v>novembro</v>
      </c>
      <c r="I4737" t="str">
        <f>TEXT(MONTH(Tabela1[[#This Row],[Último pagto ano]])*29,"mmmm")</f>
        <v>novembro</v>
      </c>
    </row>
    <row r="4738" spans="1:9" x14ac:dyDescent="0.25">
      <c r="A4738">
        <v>2025</v>
      </c>
      <c r="B4738" t="s">
        <v>9436</v>
      </c>
      <c r="C4738" s="1">
        <v>46021</v>
      </c>
      <c r="D4738" t="s">
        <v>9437</v>
      </c>
      <c r="E4738" s="2">
        <v>1348.49</v>
      </c>
      <c r="G4738" s="3">
        <f>MONTH(Tabela1[[#This Row],[Último pagto ano]])</f>
        <v>12</v>
      </c>
      <c r="H4738" t="str">
        <f>TEXT(Tabela1[[#This Row],[Coluna2]]*29,"mmmm")</f>
        <v>dezembro</v>
      </c>
      <c r="I4738" t="str">
        <f>TEXT(MONTH(Tabela1[[#This Row],[Último pagto ano]])*29,"mmmm")</f>
        <v>dezembro</v>
      </c>
    </row>
    <row r="4739" spans="1:9" x14ac:dyDescent="0.25">
      <c r="A4739">
        <v>2025</v>
      </c>
      <c r="B4739" t="s">
        <v>9438</v>
      </c>
      <c r="C4739" s="1">
        <v>46010</v>
      </c>
      <c r="D4739" t="s">
        <v>9439</v>
      </c>
      <c r="E4739" s="2">
        <v>8400</v>
      </c>
      <c r="G4739" s="3">
        <f>MONTH(Tabela1[[#This Row],[Último pagto ano]])</f>
        <v>12</v>
      </c>
      <c r="H4739" t="str">
        <f>TEXT(Tabela1[[#This Row],[Coluna2]]*29,"mmmm")</f>
        <v>dezembro</v>
      </c>
      <c r="I4739" t="str">
        <f>TEXT(MONTH(Tabela1[[#This Row],[Último pagto ano]])*29,"mmmm")</f>
        <v>dezembro</v>
      </c>
    </row>
    <row r="4740" spans="1:9" x14ac:dyDescent="0.25">
      <c r="A4740">
        <v>2025</v>
      </c>
      <c r="B4740" t="s">
        <v>9440</v>
      </c>
      <c r="C4740" s="1">
        <v>46014</v>
      </c>
      <c r="D4740" t="s">
        <v>9441</v>
      </c>
      <c r="E4740" s="2">
        <v>1960</v>
      </c>
      <c r="G4740" s="3">
        <f>MONTH(Tabela1[[#This Row],[Último pagto ano]])</f>
        <v>12</v>
      </c>
      <c r="H4740" t="str">
        <f>TEXT(Tabela1[[#This Row],[Coluna2]]*29,"mmmm")</f>
        <v>dezembro</v>
      </c>
      <c r="I4740" t="str">
        <f>TEXT(MONTH(Tabela1[[#This Row],[Último pagto ano]])*29,"mmmm")</f>
        <v>dezembro</v>
      </c>
    </row>
    <row r="4741" spans="1:9" x14ac:dyDescent="0.25">
      <c r="A4741">
        <v>2025</v>
      </c>
      <c r="B4741" t="s">
        <v>9442</v>
      </c>
      <c r="C4741" s="1">
        <v>45807</v>
      </c>
      <c r="D4741" t="s">
        <v>9443</v>
      </c>
      <c r="E4741" s="2">
        <v>5156.91</v>
      </c>
      <c r="G4741" s="3">
        <f>MONTH(Tabela1[[#This Row],[Último pagto ano]])</f>
        <v>5</v>
      </c>
      <c r="H4741" t="str">
        <f>TEXT(Tabela1[[#This Row],[Coluna2]]*29,"mmmm")</f>
        <v>maio</v>
      </c>
      <c r="I4741" t="str">
        <f>TEXT(MONTH(Tabela1[[#This Row],[Último pagto ano]])*29,"mmmm")</f>
        <v>maio</v>
      </c>
    </row>
    <row r="4742" spans="1:9" x14ac:dyDescent="0.25">
      <c r="A4742">
        <v>2025</v>
      </c>
      <c r="B4742" t="s">
        <v>9444</v>
      </c>
      <c r="C4742" s="1">
        <v>45702</v>
      </c>
      <c r="D4742" t="s">
        <v>9445</v>
      </c>
      <c r="E4742" s="2">
        <v>1148.42</v>
      </c>
      <c r="G4742" s="3">
        <f>MONTH(Tabela1[[#This Row],[Último pagto ano]])</f>
        <v>2</v>
      </c>
      <c r="H4742" t="str">
        <f>TEXT(Tabela1[[#This Row],[Coluna2]]*29,"mmmm")</f>
        <v>fevereiro</v>
      </c>
      <c r="I4742" t="str">
        <f>TEXT(MONTH(Tabela1[[#This Row],[Último pagto ano]])*29,"mmmm")</f>
        <v>fevereiro</v>
      </c>
    </row>
    <row r="4743" spans="1:9" x14ac:dyDescent="0.25">
      <c r="A4743">
        <v>2025</v>
      </c>
      <c r="B4743" t="s">
        <v>9444</v>
      </c>
      <c r="C4743" s="1">
        <v>45897</v>
      </c>
      <c r="D4743" t="s">
        <v>9445</v>
      </c>
      <c r="E4743" s="2">
        <v>2538.9</v>
      </c>
      <c r="G4743" s="3">
        <f>MONTH(Tabela1[[#This Row],[Último pagto ano]])</f>
        <v>8</v>
      </c>
      <c r="H4743" t="str">
        <f>TEXT(Tabela1[[#This Row],[Coluna2]]*29,"mmmm")</f>
        <v>agosto</v>
      </c>
      <c r="I4743" t="str">
        <f>TEXT(MONTH(Tabela1[[#This Row],[Último pagto ano]])*29,"mmmm")</f>
        <v>agosto</v>
      </c>
    </row>
    <row r="4744" spans="1:9" x14ac:dyDescent="0.25">
      <c r="A4744">
        <v>2025</v>
      </c>
      <c r="B4744" t="s">
        <v>9446</v>
      </c>
      <c r="C4744" s="1">
        <v>45959</v>
      </c>
      <c r="D4744" t="s">
        <v>9447</v>
      </c>
      <c r="E4744">
        <v>66.11</v>
      </c>
      <c r="G4744" s="3">
        <f>MONTH(Tabela1[[#This Row],[Último pagto ano]])</f>
        <v>10</v>
      </c>
      <c r="H4744" t="str">
        <f>TEXT(Tabela1[[#This Row],[Coluna2]]*29,"mmmm")</f>
        <v>outubro</v>
      </c>
      <c r="I4744" t="str">
        <f>TEXT(MONTH(Tabela1[[#This Row],[Último pagto ano]])*29,"mmmm")</f>
        <v>outubro</v>
      </c>
    </row>
    <row r="4745" spans="1:9" x14ac:dyDescent="0.25">
      <c r="A4745">
        <v>2025</v>
      </c>
      <c r="B4745" t="s">
        <v>9448</v>
      </c>
      <c r="C4745" s="1">
        <v>45866</v>
      </c>
      <c r="D4745" t="s">
        <v>9449</v>
      </c>
      <c r="E4745" s="2">
        <v>2757.6</v>
      </c>
      <c r="G4745" s="3">
        <f>MONTH(Tabela1[[#This Row],[Último pagto ano]])</f>
        <v>7</v>
      </c>
      <c r="H4745" t="str">
        <f>TEXT(Tabela1[[#This Row],[Coluna2]]*29,"mmmm")</f>
        <v>julho</v>
      </c>
      <c r="I4745" t="str">
        <f>TEXT(MONTH(Tabela1[[#This Row],[Último pagto ano]])*29,"mmmm")</f>
        <v>julho</v>
      </c>
    </row>
    <row r="4746" spans="1:9" x14ac:dyDescent="0.25">
      <c r="A4746">
        <v>2025</v>
      </c>
      <c r="B4746" t="s">
        <v>9450</v>
      </c>
      <c r="C4746" s="1">
        <v>46010</v>
      </c>
      <c r="D4746" t="s">
        <v>9451</v>
      </c>
      <c r="E4746" s="2">
        <v>24000</v>
      </c>
      <c r="G4746" s="3">
        <f>MONTH(Tabela1[[#This Row],[Último pagto ano]])</f>
        <v>12</v>
      </c>
      <c r="H4746" t="str">
        <f>TEXT(Tabela1[[#This Row],[Coluna2]]*29,"mmmm")</f>
        <v>dezembro</v>
      </c>
      <c r="I4746" t="str">
        <f>TEXT(MONTH(Tabela1[[#This Row],[Último pagto ano]])*29,"mmmm")</f>
        <v>dezembro</v>
      </c>
    </row>
    <row r="4747" spans="1:9" x14ac:dyDescent="0.25">
      <c r="A4747">
        <v>2025</v>
      </c>
      <c r="B4747" t="s">
        <v>9452</v>
      </c>
      <c r="C4747" s="1">
        <v>46014</v>
      </c>
      <c r="D4747" t="s">
        <v>9453</v>
      </c>
      <c r="E4747">
        <v>680</v>
      </c>
      <c r="G4747" s="3">
        <f>MONTH(Tabela1[[#This Row],[Último pagto ano]])</f>
        <v>12</v>
      </c>
      <c r="H4747" t="str">
        <f>TEXT(Tabela1[[#This Row],[Coluna2]]*29,"mmmm")</f>
        <v>dezembro</v>
      </c>
      <c r="I4747" t="str">
        <f>TEXT(MONTH(Tabela1[[#This Row],[Último pagto ano]])*29,"mmmm")</f>
        <v>dezembro</v>
      </c>
    </row>
    <row r="4748" spans="1:9" x14ac:dyDescent="0.25">
      <c r="A4748">
        <v>2025</v>
      </c>
      <c r="B4748" t="s">
        <v>9454</v>
      </c>
      <c r="C4748" s="1">
        <v>45783</v>
      </c>
      <c r="D4748" t="s">
        <v>9455</v>
      </c>
      <c r="E4748" s="2">
        <v>3695.62</v>
      </c>
      <c r="G4748" s="3">
        <f>MONTH(Tabela1[[#This Row],[Último pagto ano]])</f>
        <v>5</v>
      </c>
      <c r="H4748" t="str">
        <f>TEXT(Tabela1[[#This Row],[Coluna2]]*29,"mmmm")</f>
        <v>maio</v>
      </c>
      <c r="I4748" t="str">
        <f>TEXT(MONTH(Tabela1[[#This Row],[Último pagto ano]])*29,"mmmm")</f>
        <v>maio</v>
      </c>
    </row>
    <row r="4749" spans="1:9" x14ac:dyDescent="0.25">
      <c r="A4749">
        <v>2025</v>
      </c>
      <c r="B4749" t="s">
        <v>9456</v>
      </c>
      <c r="C4749" s="1">
        <v>46003</v>
      </c>
      <c r="D4749" t="s">
        <v>9457</v>
      </c>
      <c r="E4749" s="2">
        <v>73237.210000000006</v>
      </c>
      <c r="G4749" s="3">
        <f>MONTH(Tabela1[[#This Row],[Último pagto ano]])</f>
        <v>12</v>
      </c>
      <c r="H4749" t="str">
        <f>TEXT(Tabela1[[#This Row],[Coluna2]]*29,"mmmm")</f>
        <v>dezembro</v>
      </c>
      <c r="I4749" t="str">
        <f>TEXT(MONTH(Tabela1[[#This Row],[Último pagto ano]])*29,"mmmm")</f>
        <v>dezembro</v>
      </c>
    </row>
    <row r="4750" spans="1:9" x14ac:dyDescent="0.25">
      <c r="A4750">
        <v>2025</v>
      </c>
      <c r="B4750" t="s">
        <v>9458</v>
      </c>
      <c r="C4750" s="1">
        <v>45996</v>
      </c>
      <c r="D4750" t="s">
        <v>9459</v>
      </c>
      <c r="E4750" s="2">
        <v>6030</v>
      </c>
      <c r="G4750" s="3">
        <f>MONTH(Tabela1[[#This Row],[Último pagto ano]])</f>
        <v>12</v>
      </c>
      <c r="H4750" t="str">
        <f>TEXT(Tabela1[[#This Row],[Coluna2]]*29,"mmmm")</f>
        <v>dezembro</v>
      </c>
      <c r="I4750" t="str">
        <f>TEXT(MONTH(Tabela1[[#This Row],[Último pagto ano]])*29,"mmmm")</f>
        <v>dezembro</v>
      </c>
    </row>
    <row r="4751" spans="1:9" x14ac:dyDescent="0.25">
      <c r="A4751">
        <v>2025</v>
      </c>
      <c r="B4751" t="s">
        <v>9460</v>
      </c>
      <c r="C4751" s="1">
        <v>45740</v>
      </c>
      <c r="D4751" t="s">
        <v>9461</v>
      </c>
      <c r="E4751">
        <v>172.8</v>
      </c>
      <c r="G4751" s="3">
        <f>MONTH(Tabela1[[#This Row],[Último pagto ano]])</f>
        <v>3</v>
      </c>
      <c r="H4751" t="str">
        <f>TEXT(Tabela1[[#This Row],[Coluna2]]*29,"mmmm")</f>
        <v>março</v>
      </c>
      <c r="I4751" t="str">
        <f>TEXT(MONTH(Tabela1[[#This Row],[Último pagto ano]])*29,"mmmm")</f>
        <v>março</v>
      </c>
    </row>
    <row r="4752" spans="1:9" x14ac:dyDescent="0.25">
      <c r="A4752">
        <v>2025</v>
      </c>
      <c r="B4752" t="s">
        <v>9462</v>
      </c>
      <c r="C4752" s="1">
        <v>45989</v>
      </c>
      <c r="D4752" t="s">
        <v>9463</v>
      </c>
      <c r="E4752" s="2">
        <v>10931.95</v>
      </c>
      <c r="G4752" s="3">
        <f>MONTH(Tabela1[[#This Row],[Último pagto ano]])</f>
        <v>11</v>
      </c>
      <c r="H4752" t="str">
        <f>TEXT(Tabela1[[#This Row],[Coluna2]]*29,"mmmm")</f>
        <v>novembro</v>
      </c>
      <c r="I4752" t="str">
        <f>TEXT(MONTH(Tabela1[[#This Row],[Último pagto ano]])*29,"mmmm")</f>
        <v>novembro</v>
      </c>
    </row>
    <row r="4753" spans="1:9" x14ac:dyDescent="0.25">
      <c r="A4753">
        <v>2025</v>
      </c>
      <c r="B4753" t="s">
        <v>9464</v>
      </c>
      <c r="C4753" s="1">
        <v>45898</v>
      </c>
      <c r="D4753" t="s">
        <v>9465</v>
      </c>
      <c r="E4753" s="2">
        <v>8334.51</v>
      </c>
      <c r="G4753" s="3">
        <f>MONTH(Tabela1[[#This Row],[Último pagto ano]])</f>
        <v>8</v>
      </c>
      <c r="H4753" t="str">
        <f>TEXT(Tabela1[[#This Row],[Coluna2]]*29,"mmmm")</f>
        <v>agosto</v>
      </c>
      <c r="I4753" t="str">
        <f>TEXT(MONTH(Tabela1[[#This Row],[Último pagto ano]])*29,"mmmm")</f>
        <v>agosto</v>
      </c>
    </row>
    <row r="4754" spans="1:9" x14ac:dyDescent="0.25">
      <c r="A4754">
        <v>2025</v>
      </c>
      <c r="B4754" t="s">
        <v>9466</v>
      </c>
      <c r="C4754" s="1">
        <v>45936</v>
      </c>
      <c r="D4754" t="s">
        <v>9467</v>
      </c>
      <c r="E4754" s="2">
        <v>25680</v>
      </c>
      <c r="G4754" s="3">
        <f>MONTH(Tabela1[[#This Row],[Último pagto ano]])</f>
        <v>10</v>
      </c>
      <c r="H4754" t="str">
        <f>TEXT(Tabela1[[#This Row],[Coluna2]]*29,"mmmm")</f>
        <v>outubro</v>
      </c>
      <c r="I4754" t="str">
        <f>TEXT(MONTH(Tabela1[[#This Row],[Último pagto ano]])*29,"mmmm")</f>
        <v>outubro</v>
      </c>
    </row>
    <row r="4755" spans="1:9" x14ac:dyDescent="0.25">
      <c r="A4755">
        <v>2025</v>
      </c>
      <c r="B4755" t="s">
        <v>9468</v>
      </c>
      <c r="C4755" s="1">
        <v>45985</v>
      </c>
      <c r="D4755" t="s">
        <v>9469</v>
      </c>
      <c r="E4755" s="2">
        <v>6896680.2300000004</v>
      </c>
      <c r="G4755" s="3">
        <f>MONTH(Tabela1[[#This Row],[Último pagto ano]])</f>
        <v>11</v>
      </c>
      <c r="H4755" t="str">
        <f>TEXT(Tabela1[[#This Row],[Coluna2]]*29,"mmmm")</f>
        <v>novembro</v>
      </c>
      <c r="I4755" t="str">
        <f>TEXT(MONTH(Tabela1[[#This Row],[Último pagto ano]])*29,"mmmm")</f>
        <v>novembro</v>
      </c>
    </row>
    <row r="4756" spans="1:9" x14ac:dyDescent="0.25">
      <c r="A4756">
        <v>2025</v>
      </c>
      <c r="B4756" t="s">
        <v>9470</v>
      </c>
      <c r="C4756" s="1">
        <v>45863</v>
      </c>
      <c r="D4756" t="s">
        <v>9471</v>
      </c>
      <c r="E4756" s="2">
        <v>4900</v>
      </c>
      <c r="G4756" s="3">
        <f>MONTH(Tabela1[[#This Row],[Último pagto ano]])</f>
        <v>7</v>
      </c>
      <c r="H4756" t="str">
        <f>TEXT(Tabela1[[#This Row],[Coluna2]]*29,"mmmm")</f>
        <v>julho</v>
      </c>
      <c r="I4756" t="str">
        <f>TEXT(MONTH(Tabela1[[#This Row],[Último pagto ano]])*29,"mmmm")</f>
        <v>julho</v>
      </c>
    </row>
    <row r="4757" spans="1:9" x14ac:dyDescent="0.25">
      <c r="A4757">
        <v>2025</v>
      </c>
      <c r="B4757" t="s">
        <v>9472</v>
      </c>
      <c r="C4757" s="1">
        <v>45996</v>
      </c>
      <c r="D4757" t="s">
        <v>9473</v>
      </c>
      <c r="E4757" s="2">
        <v>5350</v>
      </c>
      <c r="G4757" s="3">
        <f>MONTH(Tabela1[[#This Row],[Último pagto ano]])</f>
        <v>12</v>
      </c>
      <c r="H4757" t="str">
        <f>TEXT(Tabela1[[#This Row],[Coluna2]]*29,"mmmm")</f>
        <v>dezembro</v>
      </c>
      <c r="I4757" t="str">
        <f>TEXT(MONTH(Tabela1[[#This Row],[Último pagto ano]])*29,"mmmm")</f>
        <v>dezembro</v>
      </c>
    </row>
    <row r="4758" spans="1:9" x14ac:dyDescent="0.25">
      <c r="A4758">
        <v>2025</v>
      </c>
      <c r="B4758" t="s">
        <v>9474</v>
      </c>
      <c r="C4758" s="1">
        <v>45673</v>
      </c>
      <c r="D4758" t="s">
        <v>9475</v>
      </c>
      <c r="E4758" s="2">
        <v>1100</v>
      </c>
      <c r="G4758" s="3">
        <f>MONTH(Tabela1[[#This Row],[Último pagto ano]])</f>
        <v>1</v>
      </c>
      <c r="H4758" t="str">
        <f>TEXT(Tabela1[[#This Row],[Coluna2]]*29,"mmmm")</f>
        <v>janeiro</v>
      </c>
      <c r="I4758" t="str">
        <f>TEXT(MONTH(Tabela1[[#This Row],[Último pagto ano]])*29,"mmmm")</f>
        <v>janeiro</v>
      </c>
    </row>
    <row r="4759" spans="1:9" x14ac:dyDescent="0.25">
      <c r="A4759">
        <v>2025</v>
      </c>
      <c r="B4759" t="s">
        <v>9476</v>
      </c>
      <c r="C4759" s="1">
        <v>45915</v>
      </c>
      <c r="D4759" t="s">
        <v>9477</v>
      </c>
      <c r="E4759">
        <v>88</v>
      </c>
      <c r="G4759" s="3">
        <f>MONTH(Tabela1[[#This Row],[Último pagto ano]])</f>
        <v>9</v>
      </c>
      <c r="H4759" t="str">
        <f>TEXT(Tabela1[[#This Row],[Coluna2]]*29,"mmmm")</f>
        <v>setembro</v>
      </c>
      <c r="I4759" t="str">
        <f>TEXT(MONTH(Tabela1[[#This Row],[Último pagto ano]])*29,"mmmm")</f>
        <v>setembro</v>
      </c>
    </row>
    <row r="4760" spans="1:9" x14ac:dyDescent="0.25">
      <c r="A4760">
        <v>2025</v>
      </c>
      <c r="B4760" t="s">
        <v>9478</v>
      </c>
      <c r="C4760" s="1">
        <v>45898</v>
      </c>
      <c r="D4760" t="s">
        <v>9479</v>
      </c>
      <c r="E4760" s="2">
        <v>5747.31</v>
      </c>
      <c r="G4760" s="3">
        <f>MONTH(Tabela1[[#This Row],[Último pagto ano]])</f>
        <v>8</v>
      </c>
      <c r="H4760" t="str">
        <f>TEXT(Tabela1[[#This Row],[Coluna2]]*29,"mmmm")</f>
        <v>agosto</v>
      </c>
      <c r="I4760" t="str">
        <f>TEXT(MONTH(Tabela1[[#This Row],[Último pagto ano]])*29,"mmmm")</f>
        <v>agosto</v>
      </c>
    </row>
    <row r="4761" spans="1:9" x14ac:dyDescent="0.25">
      <c r="A4761">
        <v>2025</v>
      </c>
      <c r="B4761" t="s">
        <v>9480</v>
      </c>
      <c r="C4761" s="1">
        <v>45936</v>
      </c>
      <c r="D4761" t="s">
        <v>9481</v>
      </c>
      <c r="E4761">
        <v>32.4</v>
      </c>
      <c r="G4761" s="3">
        <f>MONTH(Tabela1[[#This Row],[Último pagto ano]])</f>
        <v>10</v>
      </c>
      <c r="H4761" t="str">
        <f>TEXT(Tabela1[[#This Row],[Coluna2]]*29,"mmmm")</f>
        <v>outubro</v>
      </c>
      <c r="I4761" t="str">
        <f>TEXT(MONTH(Tabela1[[#This Row],[Último pagto ano]])*29,"mmmm")</f>
        <v>outubro</v>
      </c>
    </row>
    <row r="4762" spans="1:9" x14ac:dyDescent="0.25">
      <c r="A4762">
        <v>2025</v>
      </c>
      <c r="B4762" t="s">
        <v>9482</v>
      </c>
      <c r="C4762" s="1">
        <v>45996</v>
      </c>
      <c r="D4762" t="s">
        <v>9483</v>
      </c>
      <c r="E4762" s="2">
        <v>7200</v>
      </c>
      <c r="G4762" s="3">
        <f>MONTH(Tabela1[[#This Row],[Último pagto ano]])</f>
        <v>12</v>
      </c>
      <c r="H4762" t="str">
        <f>TEXT(Tabela1[[#This Row],[Coluna2]]*29,"mmmm")</f>
        <v>dezembro</v>
      </c>
      <c r="I4762" t="str">
        <f>TEXT(MONTH(Tabela1[[#This Row],[Último pagto ano]])*29,"mmmm")</f>
        <v>dezembro</v>
      </c>
    </row>
    <row r="4763" spans="1:9" x14ac:dyDescent="0.25">
      <c r="A4763">
        <v>2025</v>
      </c>
      <c r="B4763" t="s">
        <v>9484</v>
      </c>
      <c r="C4763" s="1">
        <v>46014</v>
      </c>
      <c r="D4763" t="s">
        <v>9485</v>
      </c>
      <c r="E4763" s="2">
        <v>5943.6</v>
      </c>
      <c r="G4763" s="3">
        <f>MONTH(Tabela1[[#This Row],[Último pagto ano]])</f>
        <v>12</v>
      </c>
      <c r="H4763" t="str">
        <f>TEXT(Tabela1[[#This Row],[Coluna2]]*29,"mmmm")</f>
        <v>dezembro</v>
      </c>
      <c r="I4763" t="str">
        <f>TEXT(MONTH(Tabela1[[#This Row],[Último pagto ano]])*29,"mmmm")</f>
        <v>dezembro</v>
      </c>
    </row>
    <row r="4764" spans="1:9" x14ac:dyDescent="0.25">
      <c r="A4764">
        <v>2025</v>
      </c>
      <c r="B4764" t="s">
        <v>9486</v>
      </c>
      <c r="C4764" s="1">
        <v>45800</v>
      </c>
      <c r="D4764" t="s">
        <v>9487</v>
      </c>
      <c r="E4764" s="2">
        <v>3977.34</v>
      </c>
      <c r="G4764" s="3">
        <f>MONTH(Tabela1[[#This Row],[Último pagto ano]])</f>
        <v>5</v>
      </c>
      <c r="H4764" t="str">
        <f>TEXT(Tabela1[[#This Row],[Coluna2]]*29,"mmmm")</f>
        <v>maio</v>
      </c>
      <c r="I4764" t="str">
        <f>TEXT(MONTH(Tabela1[[#This Row],[Último pagto ano]])*29,"mmmm")</f>
        <v>maio</v>
      </c>
    </row>
    <row r="4765" spans="1:9" x14ac:dyDescent="0.25">
      <c r="A4765">
        <v>2025</v>
      </c>
      <c r="B4765" t="s">
        <v>9488</v>
      </c>
      <c r="C4765" s="1">
        <v>45673</v>
      </c>
      <c r="D4765" t="s">
        <v>9489</v>
      </c>
      <c r="E4765" s="2">
        <v>2000</v>
      </c>
      <c r="G4765" s="3">
        <f>MONTH(Tabela1[[#This Row],[Último pagto ano]])</f>
        <v>1</v>
      </c>
      <c r="H4765" t="str">
        <f>TEXT(Tabela1[[#This Row],[Coluna2]]*29,"mmmm")</f>
        <v>janeiro</v>
      </c>
      <c r="I4765" t="str">
        <f>TEXT(MONTH(Tabela1[[#This Row],[Último pagto ano]])*29,"mmmm")</f>
        <v>janeiro</v>
      </c>
    </row>
    <row r="4766" spans="1:9" x14ac:dyDescent="0.25">
      <c r="A4766">
        <v>2025</v>
      </c>
      <c r="B4766" t="s">
        <v>9490</v>
      </c>
      <c r="C4766" s="1">
        <v>45903</v>
      </c>
      <c r="D4766" t="s">
        <v>9491</v>
      </c>
      <c r="E4766" s="2">
        <v>5476.23</v>
      </c>
      <c r="G4766" s="3">
        <f>MONTH(Tabela1[[#This Row],[Último pagto ano]])</f>
        <v>9</v>
      </c>
      <c r="H4766" t="str">
        <f>TEXT(Tabela1[[#This Row],[Coluna2]]*29,"mmmm")</f>
        <v>setembro</v>
      </c>
      <c r="I4766" t="str">
        <f>TEXT(MONTH(Tabela1[[#This Row],[Último pagto ano]])*29,"mmmm")</f>
        <v>setembro</v>
      </c>
    </row>
    <row r="4767" spans="1:9" x14ac:dyDescent="0.25">
      <c r="A4767">
        <v>2025</v>
      </c>
      <c r="B4767" t="s">
        <v>9492</v>
      </c>
      <c r="C4767" s="1">
        <v>45702</v>
      </c>
      <c r="D4767" t="s">
        <v>9493</v>
      </c>
      <c r="E4767">
        <v>27.2</v>
      </c>
      <c r="G4767" s="3">
        <f>MONTH(Tabela1[[#This Row],[Último pagto ano]])</f>
        <v>2</v>
      </c>
      <c r="H4767" t="str">
        <f>TEXT(Tabela1[[#This Row],[Coluna2]]*29,"mmmm")</f>
        <v>fevereiro</v>
      </c>
      <c r="I4767" t="str">
        <f>TEXT(MONTH(Tabela1[[#This Row],[Último pagto ano]])*29,"mmmm")</f>
        <v>fevereiro</v>
      </c>
    </row>
    <row r="4768" spans="1:9" x14ac:dyDescent="0.25">
      <c r="A4768">
        <v>2025</v>
      </c>
      <c r="B4768" t="s">
        <v>9494</v>
      </c>
      <c r="C4768" s="1">
        <v>45999</v>
      </c>
      <c r="D4768" t="s">
        <v>9495</v>
      </c>
      <c r="E4768">
        <v>11</v>
      </c>
      <c r="G4768" s="3">
        <f>MONTH(Tabela1[[#This Row],[Último pagto ano]])</f>
        <v>12</v>
      </c>
      <c r="H4768" t="str">
        <f>TEXT(Tabela1[[#This Row],[Coluna2]]*29,"mmmm")</f>
        <v>dezembro</v>
      </c>
      <c r="I4768" t="str">
        <f>TEXT(MONTH(Tabela1[[#This Row],[Último pagto ano]])*29,"mmmm")</f>
        <v>dezembro</v>
      </c>
    </row>
    <row r="4769" spans="1:9" x14ac:dyDescent="0.25">
      <c r="A4769">
        <v>2025</v>
      </c>
      <c r="B4769" t="s">
        <v>9496</v>
      </c>
      <c r="C4769" s="1">
        <v>45894</v>
      </c>
      <c r="D4769" t="s">
        <v>9497</v>
      </c>
      <c r="E4769">
        <v>33</v>
      </c>
      <c r="G4769" s="3">
        <f>MONTH(Tabela1[[#This Row],[Último pagto ano]])</f>
        <v>8</v>
      </c>
      <c r="H4769" t="str">
        <f>TEXT(Tabela1[[#This Row],[Coluna2]]*29,"mmmm")</f>
        <v>agosto</v>
      </c>
      <c r="I4769" t="str">
        <f>TEXT(MONTH(Tabela1[[#This Row],[Último pagto ano]])*29,"mmmm")</f>
        <v>agosto</v>
      </c>
    </row>
    <row r="4770" spans="1:9" x14ac:dyDescent="0.25">
      <c r="A4770">
        <v>2025</v>
      </c>
      <c r="B4770" t="s">
        <v>9498</v>
      </c>
      <c r="C4770" s="1">
        <v>45769</v>
      </c>
      <c r="D4770" t="s">
        <v>9499</v>
      </c>
      <c r="E4770" s="2">
        <v>11438.14</v>
      </c>
      <c r="G4770" s="3">
        <f>MONTH(Tabela1[[#This Row],[Último pagto ano]])</f>
        <v>4</v>
      </c>
      <c r="H4770" t="str">
        <f>TEXT(Tabela1[[#This Row],[Coluna2]]*29,"mmmm")</f>
        <v>abril</v>
      </c>
      <c r="I4770" t="str">
        <f>TEXT(MONTH(Tabela1[[#This Row],[Último pagto ano]])*29,"mmmm")</f>
        <v>abril</v>
      </c>
    </row>
    <row r="4771" spans="1:9" x14ac:dyDescent="0.25">
      <c r="A4771">
        <v>2025</v>
      </c>
      <c r="B4771" t="s">
        <v>9500</v>
      </c>
      <c r="C4771" s="1">
        <v>45937</v>
      </c>
      <c r="D4771" t="s">
        <v>9501</v>
      </c>
      <c r="E4771" s="2">
        <v>1400</v>
      </c>
      <c r="G4771" s="3">
        <f>MONTH(Tabela1[[#This Row],[Último pagto ano]])</f>
        <v>10</v>
      </c>
      <c r="H4771" t="str">
        <f>TEXT(Tabela1[[#This Row],[Coluna2]]*29,"mmmm")</f>
        <v>outubro</v>
      </c>
      <c r="I4771" t="str">
        <f>TEXT(MONTH(Tabela1[[#This Row],[Último pagto ano]])*29,"mmmm")</f>
        <v>outubro</v>
      </c>
    </row>
    <row r="4772" spans="1:9" x14ac:dyDescent="0.25">
      <c r="A4772">
        <v>2025</v>
      </c>
      <c r="B4772" t="s">
        <v>9502</v>
      </c>
      <c r="C4772" s="1">
        <v>45702</v>
      </c>
      <c r="D4772" t="s">
        <v>9503</v>
      </c>
      <c r="E4772" s="2">
        <v>1174.27</v>
      </c>
      <c r="G4772" s="3">
        <f>MONTH(Tabela1[[#This Row],[Último pagto ano]])</f>
        <v>2</v>
      </c>
      <c r="H4772" t="str">
        <f>TEXT(Tabela1[[#This Row],[Coluna2]]*29,"mmmm")</f>
        <v>fevereiro</v>
      </c>
      <c r="I4772" t="str">
        <f>TEXT(MONTH(Tabela1[[#This Row],[Último pagto ano]])*29,"mmmm")</f>
        <v>fevereiro</v>
      </c>
    </row>
    <row r="4773" spans="1:9" x14ac:dyDescent="0.25">
      <c r="A4773">
        <v>2025</v>
      </c>
      <c r="B4773" t="s">
        <v>9504</v>
      </c>
      <c r="C4773" s="1">
        <v>46014</v>
      </c>
      <c r="D4773" t="s">
        <v>9505</v>
      </c>
      <c r="E4773" s="2">
        <v>6680</v>
      </c>
      <c r="G4773" s="3">
        <f>MONTH(Tabela1[[#This Row],[Último pagto ano]])</f>
        <v>12</v>
      </c>
      <c r="H4773" t="str">
        <f>TEXT(Tabela1[[#This Row],[Coluna2]]*29,"mmmm")</f>
        <v>dezembro</v>
      </c>
      <c r="I4773" t="str">
        <f>TEXT(MONTH(Tabela1[[#This Row],[Último pagto ano]])*29,"mmmm")</f>
        <v>dezembro</v>
      </c>
    </row>
    <row r="4774" spans="1:9" x14ac:dyDescent="0.25">
      <c r="A4774">
        <v>2025</v>
      </c>
      <c r="B4774" t="s">
        <v>9506</v>
      </c>
      <c r="C4774" s="1">
        <v>46021</v>
      </c>
      <c r="D4774" t="s">
        <v>9507</v>
      </c>
      <c r="E4774" s="2">
        <v>5442.59</v>
      </c>
      <c r="G4774" s="3">
        <f>MONTH(Tabela1[[#This Row],[Último pagto ano]])</f>
        <v>12</v>
      </c>
      <c r="H4774" t="str">
        <f>TEXT(Tabela1[[#This Row],[Coluna2]]*29,"mmmm")</f>
        <v>dezembro</v>
      </c>
      <c r="I4774" t="str">
        <f>TEXT(MONTH(Tabela1[[#This Row],[Último pagto ano]])*29,"mmmm")</f>
        <v>dezembro</v>
      </c>
    </row>
    <row r="4775" spans="1:9" x14ac:dyDescent="0.25">
      <c r="A4775">
        <v>2025</v>
      </c>
      <c r="B4775" t="s">
        <v>9508</v>
      </c>
      <c r="C4775" s="1">
        <v>45989</v>
      </c>
      <c r="D4775" t="s">
        <v>9509</v>
      </c>
      <c r="E4775" s="2">
        <v>11663.3</v>
      </c>
      <c r="G4775" s="3">
        <f>MONTH(Tabela1[[#This Row],[Último pagto ano]])</f>
        <v>11</v>
      </c>
      <c r="H4775" t="str">
        <f>TEXT(Tabela1[[#This Row],[Coluna2]]*29,"mmmm")</f>
        <v>novembro</v>
      </c>
      <c r="I4775" t="str">
        <f>TEXT(MONTH(Tabela1[[#This Row],[Último pagto ano]])*29,"mmmm")</f>
        <v>novembro</v>
      </c>
    </row>
    <row r="4776" spans="1:9" x14ac:dyDescent="0.25">
      <c r="A4776">
        <v>2025</v>
      </c>
      <c r="B4776" t="s">
        <v>9510</v>
      </c>
      <c r="C4776" s="1">
        <v>45709</v>
      </c>
      <c r="D4776" t="s">
        <v>9511</v>
      </c>
      <c r="E4776" s="2">
        <v>1143.58</v>
      </c>
      <c r="G4776" s="3">
        <f>MONTH(Tabela1[[#This Row],[Último pagto ano]])</f>
        <v>2</v>
      </c>
      <c r="H4776" t="str">
        <f>TEXT(Tabela1[[#This Row],[Coluna2]]*29,"mmmm")</f>
        <v>fevereiro</v>
      </c>
      <c r="I4776" t="str">
        <f>TEXT(MONTH(Tabela1[[#This Row],[Último pagto ano]])*29,"mmmm")</f>
        <v>fevereiro</v>
      </c>
    </row>
    <row r="4777" spans="1:9" x14ac:dyDescent="0.25">
      <c r="A4777">
        <v>2025</v>
      </c>
      <c r="B4777" t="s">
        <v>9512</v>
      </c>
      <c r="C4777" s="1">
        <v>45702</v>
      </c>
      <c r="D4777" t="s">
        <v>9513</v>
      </c>
      <c r="E4777">
        <v>25.83</v>
      </c>
      <c r="G4777" s="3">
        <f>MONTH(Tabela1[[#This Row],[Último pagto ano]])</f>
        <v>2</v>
      </c>
      <c r="H4777" t="str">
        <f>TEXT(Tabela1[[#This Row],[Coluna2]]*29,"mmmm")</f>
        <v>fevereiro</v>
      </c>
      <c r="I4777" t="str">
        <f>TEXT(MONTH(Tabela1[[#This Row],[Último pagto ano]])*29,"mmmm")</f>
        <v>fevereiro</v>
      </c>
    </row>
    <row r="4778" spans="1:9" x14ac:dyDescent="0.25">
      <c r="A4778">
        <v>2025</v>
      </c>
      <c r="B4778" t="s">
        <v>9514</v>
      </c>
      <c r="C4778" s="1">
        <v>45702</v>
      </c>
      <c r="D4778" t="s">
        <v>9515</v>
      </c>
      <c r="E4778" s="2">
        <v>1151.1300000000001</v>
      </c>
      <c r="G4778" s="3">
        <f>MONTH(Tabela1[[#This Row],[Último pagto ano]])</f>
        <v>2</v>
      </c>
      <c r="H4778" t="str">
        <f>TEXT(Tabela1[[#This Row],[Coluna2]]*29,"mmmm")</f>
        <v>fevereiro</v>
      </c>
      <c r="I4778" t="str">
        <f>TEXT(MONTH(Tabela1[[#This Row],[Último pagto ano]])*29,"mmmm")</f>
        <v>fevereiro</v>
      </c>
    </row>
    <row r="4779" spans="1:9" x14ac:dyDescent="0.25">
      <c r="A4779">
        <v>2025</v>
      </c>
      <c r="B4779" t="s">
        <v>9516</v>
      </c>
      <c r="C4779" s="1">
        <v>45989</v>
      </c>
      <c r="D4779" t="s">
        <v>9517</v>
      </c>
      <c r="E4779" s="2">
        <v>3157.05</v>
      </c>
      <c r="G4779" s="3">
        <f>MONTH(Tabela1[[#This Row],[Último pagto ano]])</f>
        <v>11</v>
      </c>
      <c r="H4779" t="str">
        <f>TEXT(Tabela1[[#This Row],[Coluna2]]*29,"mmmm")</f>
        <v>novembro</v>
      </c>
      <c r="I4779" t="str">
        <f>TEXT(MONTH(Tabela1[[#This Row],[Último pagto ano]])*29,"mmmm")</f>
        <v>novembro</v>
      </c>
    </row>
    <row r="4780" spans="1:9" x14ac:dyDescent="0.25">
      <c r="A4780">
        <v>2025</v>
      </c>
      <c r="B4780" t="s">
        <v>9518</v>
      </c>
      <c r="C4780" s="1">
        <v>45929</v>
      </c>
      <c r="D4780" t="s">
        <v>9519</v>
      </c>
      <c r="E4780">
        <v>218.8</v>
      </c>
      <c r="G4780" s="3">
        <f>MONTH(Tabela1[[#This Row],[Último pagto ano]])</f>
        <v>9</v>
      </c>
      <c r="H4780" t="str">
        <f>TEXT(Tabela1[[#This Row],[Coluna2]]*29,"mmmm")</f>
        <v>setembro</v>
      </c>
      <c r="I4780" t="str">
        <f>TEXT(MONTH(Tabela1[[#This Row],[Último pagto ano]])*29,"mmmm")</f>
        <v>setembro</v>
      </c>
    </row>
    <row r="4781" spans="1:9" x14ac:dyDescent="0.25">
      <c r="A4781">
        <v>2025</v>
      </c>
      <c r="B4781" t="s">
        <v>9520</v>
      </c>
      <c r="C4781" s="1">
        <v>45702</v>
      </c>
      <c r="D4781" t="s">
        <v>9521</v>
      </c>
      <c r="E4781">
        <v>27.73</v>
      </c>
      <c r="G4781" s="3">
        <f>MONTH(Tabela1[[#This Row],[Último pagto ano]])</f>
        <v>2</v>
      </c>
      <c r="H4781" t="str">
        <f>TEXT(Tabela1[[#This Row],[Coluna2]]*29,"mmmm")</f>
        <v>fevereiro</v>
      </c>
      <c r="I4781" t="str">
        <f>TEXT(MONTH(Tabela1[[#This Row],[Último pagto ano]])*29,"mmmm")</f>
        <v>fevereiro</v>
      </c>
    </row>
    <row r="4782" spans="1:9" x14ac:dyDescent="0.25">
      <c r="A4782">
        <v>2025</v>
      </c>
      <c r="B4782" t="s">
        <v>9522</v>
      </c>
      <c r="C4782" s="1">
        <v>45989</v>
      </c>
      <c r="D4782" t="s">
        <v>9523</v>
      </c>
      <c r="E4782" s="2">
        <v>11775.83</v>
      </c>
      <c r="G4782" s="3">
        <f>MONTH(Tabela1[[#This Row],[Último pagto ano]])</f>
        <v>11</v>
      </c>
      <c r="H4782" t="str">
        <f>TEXT(Tabela1[[#This Row],[Coluna2]]*29,"mmmm")</f>
        <v>novembro</v>
      </c>
      <c r="I4782" t="str">
        <f>TEXT(MONTH(Tabela1[[#This Row],[Último pagto ano]])*29,"mmmm")</f>
        <v>novembro</v>
      </c>
    </row>
    <row r="4783" spans="1:9" x14ac:dyDescent="0.25">
      <c r="A4783">
        <v>2025</v>
      </c>
      <c r="B4783" t="s">
        <v>9524</v>
      </c>
      <c r="C4783" s="1">
        <v>46021</v>
      </c>
      <c r="D4783" t="s">
        <v>9525</v>
      </c>
      <c r="E4783" s="2">
        <v>10557.47</v>
      </c>
      <c r="G4783" s="3">
        <f>MONTH(Tabela1[[#This Row],[Último pagto ano]])</f>
        <v>12</v>
      </c>
      <c r="H4783" t="str">
        <f>TEXT(Tabela1[[#This Row],[Coluna2]]*29,"mmmm")</f>
        <v>dezembro</v>
      </c>
      <c r="I4783" t="str">
        <f>TEXT(MONTH(Tabela1[[#This Row],[Último pagto ano]])*29,"mmmm")</f>
        <v>dezembro</v>
      </c>
    </row>
    <row r="4784" spans="1:9" x14ac:dyDescent="0.25">
      <c r="A4784">
        <v>2025</v>
      </c>
      <c r="B4784" t="s">
        <v>9526</v>
      </c>
      <c r="C4784" s="1">
        <v>45702</v>
      </c>
      <c r="D4784" t="s">
        <v>9527</v>
      </c>
      <c r="E4784" s="2">
        <v>1036.9100000000001</v>
      </c>
      <c r="G4784" s="3">
        <f>MONTH(Tabela1[[#This Row],[Último pagto ano]])</f>
        <v>2</v>
      </c>
      <c r="H4784" t="str">
        <f>TEXT(Tabela1[[#This Row],[Coluna2]]*29,"mmmm")</f>
        <v>fevereiro</v>
      </c>
      <c r="I4784" t="str">
        <f>TEXT(MONTH(Tabela1[[#This Row],[Último pagto ano]])*29,"mmmm")</f>
        <v>fevereiro</v>
      </c>
    </row>
    <row r="4785" spans="1:9" x14ac:dyDescent="0.25">
      <c r="A4785">
        <v>2025</v>
      </c>
      <c r="B4785" t="s">
        <v>9528</v>
      </c>
      <c r="C4785" s="1">
        <v>45702</v>
      </c>
      <c r="D4785" t="s">
        <v>9529</v>
      </c>
      <c r="E4785">
        <v>117.2</v>
      </c>
      <c r="G4785" s="3">
        <f>MONTH(Tabela1[[#This Row],[Último pagto ano]])</f>
        <v>2</v>
      </c>
      <c r="H4785" t="str">
        <f>TEXT(Tabela1[[#This Row],[Coluna2]]*29,"mmmm")</f>
        <v>fevereiro</v>
      </c>
      <c r="I4785" t="str">
        <f>TEXT(MONTH(Tabela1[[#This Row],[Último pagto ano]])*29,"mmmm")</f>
        <v>fevereiro</v>
      </c>
    </row>
    <row r="4786" spans="1:9" x14ac:dyDescent="0.25">
      <c r="A4786">
        <v>2025</v>
      </c>
      <c r="B4786" t="s">
        <v>9530</v>
      </c>
      <c r="C4786" s="1">
        <v>45839</v>
      </c>
      <c r="D4786" t="s">
        <v>9531</v>
      </c>
      <c r="E4786" s="2">
        <v>5788.49</v>
      </c>
      <c r="G4786" s="3">
        <f>MONTH(Tabela1[[#This Row],[Último pagto ano]])</f>
        <v>7</v>
      </c>
      <c r="H4786" t="str">
        <f>TEXT(Tabela1[[#This Row],[Coluna2]]*29,"mmmm")</f>
        <v>julho</v>
      </c>
      <c r="I4786" t="str">
        <f>TEXT(MONTH(Tabela1[[#This Row],[Último pagto ano]])*29,"mmmm")</f>
        <v>julho</v>
      </c>
    </row>
    <row r="4787" spans="1:9" x14ac:dyDescent="0.25">
      <c r="A4787">
        <v>2025</v>
      </c>
      <c r="B4787" t="s">
        <v>9532</v>
      </c>
      <c r="C4787" s="1">
        <v>45996</v>
      </c>
      <c r="D4787" t="s">
        <v>9533</v>
      </c>
      <c r="E4787" s="2">
        <v>37800</v>
      </c>
      <c r="G4787" s="3">
        <f>MONTH(Tabela1[[#This Row],[Último pagto ano]])</f>
        <v>12</v>
      </c>
      <c r="H4787" t="str">
        <f>TEXT(Tabela1[[#This Row],[Coluna2]]*29,"mmmm")</f>
        <v>dezembro</v>
      </c>
      <c r="I4787" t="str">
        <f>TEXT(MONTH(Tabela1[[#This Row],[Último pagto ano]])*29,"mmmm")</f>
        <v>dezembro</v>
      </c>
    </row>
    <row r="4788" spans="1:9" x14ac:dyDescent="0.25">
      <c r="A4788">
        <v>2025</v>
      </c>
      <c r="B4788" t="s">
        <v>9534</v>
      </c>
      <c r="C4788" s="1">
        <v>45996</v>
      </c>
      <c r="D4788" t="s">
        <v>9535</v>
      </c>
      <c r="E4788" s="2">
        <v>9800</v>
      </c>
      <c r="G4788" s="3">
        <f>MONTH(Tabela1[[#This Row],[Último pagto ano]])</f>
        <v>12</v>
      </c>
      <c r="H4788" t="str">
        <f>TEXT(Tabela1[[#This Row],[Coluna2]]*29,"mmmm")</f>
        <v>dezembro</v>
      </c>
      <c r="I4788" t="str">
        <f>TEXT(MONTH(Tabela1[[#This Row],[Último pagto ano]])*29,"mmmm")</f>
        <v>dezembro</v>
      </c>
    </row>
    <row r="4789" spans="1:9" x14ac:dyDescent="0.25">
      <c r="A4789">
        <v>2025</v>
      </c>
      <c r="B4789" t="s">
        <v>9536</v>
      </c>
      <c r="C4789" s="1">
        <v>45954</v>
      </c>
      <c r="D4789" t="s">
        <v>9537</v>
      </c>
      <c r="E4789" s="2">
        <v>8723</v>
      </c>
      <c r="G4789" s="3">
        <f>MONTH(Tabela1[[#This Row],[Último pagto ano]])</f>
        <v>10</v>
      </c>
      <c r="H4789" t="str">
        <f>TEXT(Tabela1[[#This Row],[Coluna2]]*29,"mmmm")</f>
        <v>outubro</v>
      </c>
      <c r="I4789" t="str">
        <f>TEXT(MONTH(Tabela1[[#This Row],[Último pagto ano]])*29,"mmmm")</f>
        <v>outubro</v>
      </c>
    </row>
    <row r="4790" spans="1:9" x14ac:dyDescent="0.25">
      <c r="A4790">
        <v>2025</v>
      </c>
      <c r="B4790" t="s">
        <v>9538</v>
      </c>
      <c r="C4790" s="1">
        <v>46021</v>
      </c>
      <c r="D4790" t="s">
        <v>9539</v>
      </c>
      <c r="E4790" s="2">
        <v>5851.94</v>
      </c>
      <c r="G4790" s="3">
        <f>MONTH(Tabela1[[#This Row],[Último pagto ano]])</f>
        <v>12</v>
      </c>
      <c r="H4790" t="str">
        <f>TEXT(Tabela1[[#This Row],[Coluna2]]*29,"mmmm")</f>
        <v>dezembro</v>
      </c>
      <c r="I4790" t="str">
        <f>TEXT(MONTH(Tabela1[[#This Row],[Último pagto ano]])*29,"mmmm")</f>
        <v>dezembro</v>
      </c>
    </row>
    <row r="4791" spans="1:9" x14ac:dyDescent="0.25">
      <c r="A4791">
        <v>2025</v>
      </c>
      <c r="B4791" t="s">
        <v>9540</v>
      </c>
      <c r="C4791" s="1">
        <v>45771</v>
      </c>
      <c r="D4791" t="s">
        <v>9541</v>
      </c>
      <c r="E4791" s="2">
        <v>2800</v>
      </c>
      <c r="G4791" s="3">
        <f>MONTH(Tabela1[[#This Row],[Último pagto ano]])</f>
        <v>4</v>
      </c>
      <c r="H4791" t="str">
        <f>TEXT(Tabela1[[#This Row],[Coluna2]]*29,"mmmm")</f>
        <v>abril</v>
      </c>
      <c r="I4791" t="str">
        <f>TEXT(MONTH(Tabela1[[#This Row],[Último pagto ano]])*29,"mmmm")</f>
        <v>abril</v>
      </c>
    </row>
    <row r="4792" spans="1:9" x14ac:dyDescent="0.25">
      <c r="A4792">
        <v>2025</v>
      </c>
      <c r="B4792" t="s">
        <v>9542</v>
      </c>
      <c r="C4792" s="1">
        <v>45996</v>
      </c>
      <c r="D4792" t="s">
        <v>9543</v>
      </c>
      <c r="E4792" s="2">
        <v>2000</v>
      </c>
      <c r="G4792" s="3">
        <f>MONTH(Tabela1[[#This Row],[Último pagto ano]])</f>
        <v>12</v>
      </c>
      <c r="H4792" t="str">
        <f>TEXT(Tabela1[[#This Row],[Coluna2]]*29,"mmmm")</f>
        <v>dezembro</v>
      </c>
      <c r="I4792" t="str">
        <f>TEXT(MONTH(Tabela1[[#This Row],[Último pagto ano]])*29,"mmmm")</f>
        <v>dezembro</v>
      </c>
    </row>
    <row r="4793" spans="1:9" x14ac:dyDescent="0.25">
      <c r="A4793">
        <v>2025</v>
      </c>
      <c r="B4793" t="s">
        <v>9544</v>
      </c>
      <c r="C4793" s="1">
        <v>46010</v>
      </c>
      <c r="D4793" t="s">
        <v>9545</v>
      </c>
      <c r="E4793">
        <v>700</v>
      </c>
      <c r="G4793" s="3">
        <f>MONTH(Tabela1[[#This Row],[Último pagto ano]])</f>
        <v>12</v>
      </c>
      <c r="H4793" t="str">
        <f>TEXT(Tabela1[[#This Row],[Coluna2]]*29,"mmmm")</f>
        <v>dezembro</v>
      </c>
      <c r="I4793" t="str">
        <f>TEXT(MONTH(Tabela1[[#This Row],[Último pagto ano]])*29,"mmmm")</f>
        <v>dezembro</v>
      </c>
    </row>
    <row r="4794" spans="1:9" x14ac:dyDescent="0.25">
      <c r="A4794">
        <v>2025</v>
      </c>
      <c r="B4794" t="s">
        <v>9546</v>
      </c>
      <c r="C4794" s="1">
        <v>45915</v>
      </c>
      <c r="D4794" t="s">
        <v>9547</v>
      </c>
      <c r="E4794">
        <v>563.30999999999995</v>
      </c>
      <c r="G4794" s="3">
        <f>MONTH(Tabela1[[#This Row],[Último pagto ano]])</f>
        <v>9</v>
      </c>
      <c r="H4794" t="str">
        <f>TEXT(Tabela1[[#This Row],[Coluna2]]*29,"mmmm")</f>
        <v>setembro</v>
      </c>
      <c r="I4794" t="str">
        <f>TEXT(MONTH(Tabela1[[#This Row],[Último pagto ano]])*29,"mmmm")</f>
        <v>setembro</v>
      </c>
    </row>
    <row r="4795" spans="1:9" x14ac:dyDescent="0.25">
      <c r="A4795">
        <v>2025</v>
      </c>
      <c r="B4795" t="s">
        <v>9548</v>
      </c>
      <c r="C4795" s="1">
        <v>45968</v>
      </c>
      <c r="D4795" t="s">
        <v>9549</v>
      </c>
      <c r="E4795" s="2">
        <v>9800</v>
      </c>
      <c r="G4795" s="3">
        <f>MONTH(Tabela1[[#This Row],[Último pagto ano]])</f>
        <v>11</v>
      </c>
      <c r="H4795" t="str">
        <f>TEXT(Tabela1[[#This Row],[Coluna2]]*29,"mmmm")</f>
        <v>novembro</v>
      </c>
      <c r="I4795" t="str">
        <f>TEXT(MONTH(Tabela1[[#This Row],[Último pagto ano]])*29,"mmmm")</f>
        <v>novembro</v>
      </c>
    </row>
    <row r="4796" spans="1:9" x14ac:dyDescent="0.25">
      <c r="A4796">
        <v>2025</v>
      </c>
      <c r="B4796" t="s">
        <v>9550</v>
      </c>
      <c r="C4796" s="1">
        <v>45722</v>
      </c>
      <c r="D4796" t="s">
        <v>9551</v>
      </c>
      <c r="E4796">
        <v>525.08000000000004</v>
      </c>
      <c r="G4796" s="3">
        <f>MONTH(Tabela1[[#This Row],[Último pagto ano]])</f>
        <v>3</v>
      </c>
      <c r="H4796" t="str">
        <f>TEXT(Tabela1[[#This Row],[Coluna2]]*29,"mmmm")</f>
        <v>março</v>
      </c>
      <c r="I4796" t="str">
        <f>TEXT(MONTH(Tabela1[[#This Row],[Último pagto ano]])*29,"mmmm")</f>
        <v>março</v>
      </c>
    </row>
    <row r="4797" spans="1:9" x14ac:dyDescent="0.25">
      <c r="A4797">
        <v>2025</v>
      </c>
      <c r="B4797" t="s">
        <v>9552</v>
      </c>
      <c r="C4797" s="1">
        <v>45996</v>
      </c>
      <c r="D4797" t="s">
        <v>9553</v>
      </c>
      <c r="E4797" s="2">
        <v>36120</v>
      </c>
      <c r="G4797" s="3">
        <f>MONTH(Tabela1[[#This Row],[Último pagto ano]])</f>
        <v>12</v>
      </c>
      <c r="H4797" t="str">
        <f>TEXT(Tabela1[[#This Row],[Coluna2]]*29,"mmmm")</f>
        <v>dezembro</v>
      </c>
      <c r="I4797" t="str">
        <f>TEXT(MONTH(Tabela1[[#This Row],[Último pagto ano]])*29,"mmmm")</f>
        <v>dezembro</v>
      </c>
    </row>
    <row r="4798" spans="1:9" x14ac:dyDescent="0.25">
      <c r="A4798">
        <v>2025</v>
      </c>
      <c r="B4798" t="s">
        <v>9554</v>
      </c>
      <c r="C4798" s="1">
        <v>45945</v>
      </c>
      <c r="D4798" t="s">
        <v>9555</v>
      </c>
      <c r="E4798" s="2">
        <v>7350.88</v>
      </c>
      <c r="G4798" s="3">
        <f>MONTH(Tabela1[[#This Row],[Último pagto ano]])</f>
        <v>10</v>
      </c>
      <c r="H4798" t="str">
        <f>TEXT(Tabela1[[#This Row],[Coluna2]]*29,"mmmm")</f>
        <v>outubro</v>
      </c>
      <c r="I4798" t="str">
        <f>TEXT(MONTH(Tabela1[[#This Row],[Último pagto ano]])*29,"mmmm")</f>
        <v>outubro</v>
      </c>
    </row>
    <row r="4799" spans="1:9" x14ac:dyDescent="0.25">
      <c r="A4799">
        <v>2025</v>
      </c>
      <c r="B4799" t="s">
        <v>9556</v>
      </c>
      <c r="C4799" s="1">
        <v>46010</v>
      </c>
      <c r="D4799" t="s">
        <v>9557</v>
      </c>
      <c r="E4799" s="2">
        <v>8400</v>
      </c>
      <c r="G4799" s="3">
        <f>MONTH(Tabela1[[#This Row],[Último pagto ano]])</f>
        <v>12</v>
      </c>
      <c r="H4799" t="str">
        <f>TEXT(Tabela1[[#This Row],[Coluna2]]*29,"mmmm")</f>
        <v>dezembro</v>
      </c>
      <c r="I4799" t="str">
        <f>TEXT(MONTH(Tabela1[[#This Row],[Último pagto ano]])*29,"mmmm")</f>
        <v>dezembro</v>
      </c>
    </row>
    <row r="4800" spans="1:9" x14ac:dyDescent="0.25">
      <c r="A4800">
        <v>2025</v>
      </c>
      <c r="B4800" t="s">
        <v>9558</v>
      </c>
      <c r="C4800" s="1">
        <v>45702</v>
      </c>
      <c r="D4800" t="s">
        <v>9559</v>
      </c>
      <c r="E4800">
        <v>115.45</v>
      </c>
      <c r="G4800" s="3">
        <f>MONTH(Tabela1[[#This Row],[Último pagto ano]])</f>
        <v>2</v>
      </c>
      <c r="H4800" t="str">
        <f>TEXT(Tabela1[[#This Row],[Coluna2]]*29,"mmmm")</f>
        <v>fevereiro</v>
      </c>
      <c r="I4800" t="str">
        <f>TEXT(MONTH(Tabela1[[#This Row],[Último pagto ano]])*29,"mmmm")</f>
        <v>fevereiro</v>
      </c>
    </row>
    <row r="4801" spans="1:9" x14ac:dyDescent="0.25">
      <c r="A4801">
        <v>2025</v>
      </c>
      <c r="B4801" t="s">
        <v>9560</v>
      </c>
      <c r="C4801" s="1">
        <v>45674</v>
      </c>
      <c r="D4801" t="s">
        <v>9561</v>
      </c>
      <c r="E4801">
        <v>44</v>
      </c>
      <c r="G4801" s="3">
        <f>MONTH(Tabela1[[#This Row],[Último pagto ano]])</f>
        <v>1</v>
      </c>
      <c r="H4801" t="str">
        <f>TEXT(Tabela1[[#This Row],[Coluna2]]*29,"mmmm")</f>
        <v>janeiro</v>
      </c>
      <c r="I4801" t="str">
        <f>TEXT(MONTH(Tabela1[[#This Row],[Último pagto ano]])*29,"mmmm")</f>
        <v>janeiro</v>
      </c>
    </row>
    <row r="4802" spans="1:9" x14ac:dyDescent="0.25">
      <c r="A4802">
        <v>2025</v>
      </c>
      <c r="B4802" t="s">
        <v>9562</v>
      </c>
      <c r="C4802" s="1">
        <v>45702</v>
      </c>
      <c r="D4802" t="s">
        <v>9563</v>
      </c>
      <c r="E4802">
        <v>143.26</v>
      </c>
      <c r="G4802" s="3">
        <f>MONTH(Tabela1[[#This Row],[Último pagto ano]])</f>
        <v>2</v>
      </c>
      <c r="H4802" t="str">
        <f>TEXT(Tabela1[[#This Row],[Coluna2]]*29,"mmmm")</f>
        <v>fevereiro</v>
      </c>
      <c r="I4802" t="str">
        <f>TEXT(MONTH(Tabela1[[#This Row],[Último pagto ano]])*29,"mmmm")</f>
        <v>fevereiro</v>
      </c>
    </row>
    <row r="4803" spans="1:9" x14ac:dyDescent="0.25">
      <c r="A4803">
        <v>2025</v>
      </c>
      <c r="B4803" t="s">
        <v>9564</v>
      </c>
      <c r="C4803" s="1">
        <v>45996</v>
      </c>
      <c r="D4803" t="s">
        <v>9565</v>
      </c>
      <c r="E4803" s="2">
        <v>1000</v>
      </c>
      <c r="G4803" s="3">
        <f>MONTH(Tabela1[[#This Row],[Último pagto ano]])</f>
        <v>12</v>
      </c>
      <c r="H4803" t="str">
        <f>TEXT(Tabela1[[#This Row],[Coluna2]]*29,"mmmm")</f>
        <v>dezembro</v>
      </c>
      <c r="I4803" t="str">
        <f>TEXT(MONTH(Tabela1[[#This Row],[Último pagto ano]])*29,"mmmm")</f>
        <v>dezembro</v>
      </c>
    </row>
    <row r="4804" spans="1:9" x14ac:dyDescent="0.25">
      <c r="A4804">
        <v>2025</v>
      </c>
      <c r="B4804" t="s">
        <v>9566</v>
      </c>
      <c r="C4804" s="1">
        <v>46010</v>
      </c>
      <c r="D4804" t="s">
        <v>9567</v>
      </c>
      <c r="E4804" s="2">
        <v>8400</v>
      </c>
      <c r="G4804" s="3">
        <f>MONTH(Tabela1[[#This Row],[Último pagto ano]])</f>
        <v>12</v>
      </c>
      <c r="H4804" t="str">
        <f>TEXT(Tabela1[[#This Row],[Coluna2]]*29,"mmmm")</f>
        <v>dezembro</v>
      </c>
      <c r="I4804" t="str">
        <f>TEXT(MONTH(Tabela1[[#This Row],[Último pagto ano]])*29,"mmmm")</f>
        <v>dezembro</v>
      </c>
    </row>
    <row r="4805" spans="1:9" x14ac:dyDescent="0.25">
      <c r="A4805">
        <v>2025</v>
      </c>
      <c r="B4805" t="s">
        <v>9568</v>
      </c>
      <c r="C4805" s="1">
        <v>46010</v>
      </c>
      <c r="D4805" t="s">
        <v>9569</v>
      </c>
      <c r="E4805">
        <v>700</v>
      </c>
      <c r="G4805" s="3">
        <f>MONTH(Tabela1[[#This Row],[Último pagto ano]])</f>
        <v>12</v>
      </c>
      <c r="H4805" t="str">
        <f>TEXT(Tabela1[[#This Row],[Coluna2]]*29,"mmmm")</f>
        <v>dezembro</v>
      </c>
      <c r="I4805" t="str">
        <f>TEXT(MONTH(Tabela1[[#This Row],[Último pagto ano]])*29,"mmmm")</f>
        <v>dezembro</v>
      </c>
    </row>
    <row r="4806" spans="1:9" x14ac:dyDescent="0.25">
      <c r="A4806">
        <v>2025</v>
      </c>
      <c r="B4806" t="s">
        <v>9570</v>
      </c>
      <c r="C4806" s="1">
        <v>45744</v>
      </c>
      <c r="D4806" t="s">
        <v>9571</v>
      </c>
      <c r="E4806" s="2">
        <v>66394.05</v>
      </c>
      <c r="G4806" s="3">
        <f>MONTH(Tabela1[[#This Row],[Último pagto ano]])</f>
        <v>3</v>
      </c>
      <c r="H4806" t="str">
        <f>TEXT(Tabela1[[#This Row],[Coluna2]]*29,"mmmm")</f>
        <v>março</v>
      </c>
      <c r="I4806" t="str">
        <f>TEXT(MONTH(Tabela1[[#This Row],[Último pagto ano]])*29,"mmmm")</f>
        <v>março</v>
      </c>
    </row>
    <row r="4807" spans="1:9" x14ac:dyDescent="0.25">
      <c r="A4807">
        <v>2025</v>
      </c>
      <c r="B4807" t="s">
        <v>9572</v>
      </c>
      <c r="C4807" s="1">
        <v>45866</v>
      </c>
      <c r="D4807" t="s">
        <v>9573</v>
      </c>
      <c r="E4807">
        <v>66</v>
      </c>
      <c r="G4807" s="3">
        <f>MONTH(Tabela1[[#This Row],[Último pagto ano]])</f>
        <v>7</v>
      </c>
      <c r="H4807" t="str">
        <f>TEXT(Tabela1[[#This Row],[Coluna2]]*29,"mmmm")</f>
        <v>julho</v>
      </c>
      <c r="I4807" t="str">
        <f>TEXT(MONTH(Tabela1[[#This Row],[Último pagto ano]])*29,"mmmm")</f>
        <v>julho</v>
      </c>
    </row>
    <row r="4808" spans="1:9" x14ac:dyDescent="0.25">
      <c r="A4808">
        <v>2025</v>
      </c>
      <c r="B4808" t="s">
        <v>9574</v>
      </c>
      <c r="C4808" s="1">
        <v>45996</v>
      </c>
      <c r="D4808" t="s">
        <v>9575</v>
      </c>
      <c r="E4808" s="2">
        <v>17325</v>
      </c>
      <c r="G4808" s="3">
        <f>MONTH(Tabela1[[#This Row],[Último pagto ano]])</f>
        <v>12</v>
      </c>
      <c r="H4808" t="str">
        <f>TEXT(Tabela1[[#This Row],[Coluna2]]*29,"mmmm")</f>
        <v>dezembro</v>
      </c>
      <c r="I4808" t="str">
        <f>TEXT(MONTH(Tabela1[[#This Row],[Último pagto ano]])*29,"mmmm")</f>
        <v>dezembro</v>
      </c>
    </row>
    <row r="4809" spans="1:9" x14ac:dyDescent="0.25">
      <c r="A4809">
        <v>2025</v>
      </c>
      <c r="B4809" t="s">
        <v>9576</v>
      </c>
      <c r="C4809" s="1">
        <v>45673</v>
      </c>
      <c r="D4809" t="s">
        <v>9577</v>
      </c>
      <c r="E4809">
        <v>250</v>
      </c>
      <c r="G4809" s="3">
        <f>MONTH(Tabela1[[#This Row],[Último pagto ano]])</f>
        <v>1</v>
      </c>
      <c r="H4809" t="str">
        <f>TEXT(Tabela1[[#This Row],[Coluna2]]*29,"mmmm")</f>
        <v>janeiro</v>
      </c>
      <c r="I4809" t="str">
        <f>TEXT(MONTH(Tabela1[[#This Row],[Último pagto ano]])*29,"mmmm")</f>
        <v>janeiro</v>
      </c>
    </row>
    <row r="4810" spans="1:9" x14ac:dyDescent="0.25">
      <c r="A4810">
        <v>2025</v>
      </c>
      <c r="B4810" t="s">
        <v>9578</v>
      </c>
      <c r="C4810" s="1">
        <v>45744</v>
      </c>
      <c r="D4810" t="s">
        <v>9579</v>
      </c>
      <c r="E4810" s="2">
        <v>33172.6</v>
      </c>
      <c r="G4810" s="3">
        <f>MONTH(Tabela1[[#This Row],[Último pagto ano]])</f>
        <v>3</v>
      </c>
      <c r="H4810" t="str">
        <f>TEXT(Tabela1[[#This Row],[Coluna2]]*29,"mmmm")</f>
        <v>março</v>
      </c>
      <c r="I4810" t="str">
        <f>TEXT(MONTH(Tabela1[[#This Row],[Último pagto ano]])*29,"mmmm")</f>
        <v>março</v>
      </c>
    </row>
    <row r="4811" spans="1:9" x14ac:dyDescent="0.25">
      <c r="A4811">
        <v>2025</v>
      </c>
      <c r="B4811" t="s">
        <v>9580</v>
      </c>
      <c r="C4811" s="1">
        <v>45954</v>
      </c>
      <c r="D4811" t="s">
        <v>9581</v>
      </c>
      <c r="E4811" s="2">
        <v>10535.31</v>
      </c>
      <c r="G4811" s="3">
        <f>MONTH(Tabela1[[#This Row],[Último pagto ano]])</f>
        <v>10</v>
      </c>
      <c r="H4811" t="str">
        <f>TEXT(Tabela1[[#This Row],[Coluna2]]*29,"mmmm")</f>
        <v>outubro</v>
      </c>
      <c r="I4811" t="str">
        <f>TEXT(MONTH(Tabela1[[#This Row],[Último pagto ano]])*29,"mmmm")</f>
        <v>outubro</v>
      </c>
    </row>
    <row r="4812" spans="1:9" x14ac:dyDescent="0.25">
      <c r="A4812">
        <v>2025</v>
      </c>
      <c r="B4812" t="s">
        <v>9582</v>
      </c>
      <c r="C4812" s="1">
        <v>46010</v>
      </c>
      <c r="D4812" t="s">
        <v>9583</v>
      </c>
      <c r="E4812" s="2">
        <v>24000</v>
      </c>
      <c r="G4812" s="3">
        <f>MONTH(Tabela1[[#This Row],[Último pagto ano]])</f>
        <v>12</v>
      </c>
      <c r="H4812" t="str">
        <f>TEXT(Tabela1[[#This Row],[Coluna2]]*29,"mmmm")</f>
        <v>dezembro</v>
      </c>
      <c r="I4812" t="str">
        <f>TEXT(MONTH(Tabela1[[#This Row],[Último pagto ano]])*29,"mmmm")</f>
        <v>dezembro</v>
      </c>
    </row>
    <row r="4813" spans="1:9" x14ac:dyDescent="0.25">
      <c r="A4813">
        <v>2025</v>
      </c>
      <c r="B4813" t="s">
        <v>9584</v>
      </c>
      <c r="C4813" s="1">
        <v>45901</v>
      </c>
      <c r="D4813" t="s">
        <v>9585</v>
      </c>
      <c r="E4813">
        <v>44</v>
      </c>
      <c r="G4813" s="3">
        <f>MONTH(Tabela1[[#This Row],[Último pagto ano]])</f>
        <v>9</v>
      </c>
      <c r="H4813" t="str">
        <f>TEXT(Tabela1[[#This Row],[Coluna2]]*29,"mmmm")</f>
        <v>setembro</v>
      </c>
      <c r="I4813" t="str">
        <f>TEXT(MONTH(Tabela1[[#This Row],[Último pagto ano]])*29,"mmmm")</f>
        <v>setembro</v>
      </c>
    </row>
    <row r="4814" spans="1:9" x14ac:dyDescent="0.25">
      <c r="A4814">
        <v>2025</v>
      </c>
      <c r="B4814" t="s">
        <v>9586</v>
      </c>
      <c r="C4814" s="1">
        <v>45835</v>
      </c>
      <c r="D4814" t="s">
        <v>9587</v>
      </c>
      <c r="E4814">
        <v>66</v>
      </c>
      <c r="G4814" s="3">
        <f>MONTH(Tabela1[[#This Row],[Último pagto ano]])</f>
        <v>6</v>
      </c>
      <c r="H4814" t="str">
        <f>TEXT(Tabela1[[#This Row],[Coluna2]]*29,"mmmm")</f>
        <v>junho</v>
      </c>
      <c r="I4814" t="str">
        <f>TEXT(MONTH(Tabela1[[#This Row],[Último pagto ano]])*29,"mmmm")</f>
        <v>junho</v>
      </c>
    </row>
    <row r="4815" spans="1:9" x14ac:dyDescent="0.25">
      <c r="A4815">
        <v>2025</v>
      </c>
      <c r="B4815" t="s">
        <v>9588</v>
      </c>
      <c r="C4815" s="1">
        <v>45950</v>
      </c>
      <c r="D4815" t="s">
        <v>9589</v>
      </c>
      <c r="E4815">
        <v>66</v>
      </c>
      <c r="G4815" s="3">
        <f>MONTH(Tabela1[[#This Row],[Último pagto ano]])</f>
        <v>10</v>
      </c>
      <c r="H4815" t="str">
        <f>TEXT(Tabela1[[#This Row],[Coluna2]]*29,"mmmm")</f>
        <v>outubro</v>
      </c>
      <c r="I4815" t="str">
        <f>TEXT(MONTH(Tabela1[[#This Row],[Último pagto ano]])*29,"mmmm")</f>
        <v>outubro</v>
      </c>
    </row>
    <row r="4816" spans="1:9" x14ac:dyDescent="0.25">
      <c r="A4816">
        <v>2025</v>
      </c>
      <c r="B4816" t="s">
        <v>9590</v>
      </c>
      <c r="C4816" s="1">
        <v>46021</v>
      </c>
      <c r="D4816" t="s">
        <v>9591</v>
      </c>
      <c r="E4816" s="2">
        <v>7971.01</v>
      </c>
      <c r="G4816" s="3">
        <f>MONTH(Tabela1[[#This Row],[Último pagto ano]])</f>
        <v>12</v>
      </c>
      <c r="H4816" t="str">
        <f>TEXT(Tabela1[[#This Row],[Coluna2]]*29,"mmmm")</f>
        <v>dezembro</v>
      </c>
      <c r="I4816" t="str">
        <f>TEXT(MONTH(Tabela1[[#This Row],[Último pagto ano]])*29,"mmmm")</f>
        <v>dezembro</v>
      </c>
    </row>
    <row r="4817" spans="1:9" x14ac:dyDescent="0.25">
      <c r="A4817">
        <v>2025</v>
      </c>
      <c r="B4817" t="s">
        <v>9592</v>
      </c>
      <c r="C4817" s="1">
        <v>45876</v>
      </c>
      <c r="D4817" t="s">
        <v>9593</v>
      </c>
      <c r="E4817" s="2">
        <v>30000</v>
      </c>
      <c r="G4817" s="3">
        <f>MONTH(Tabela1[[#This Row],[Último pagto ano]])</f>
        <v>8</v>
      </c>
      <c r="H4817" t="str">
        <f>TEXT(Tabela1[[#This Row],[Coluna2]]*29,"mmmm")</f>
        <v>agosto</v>
      </c>
      <c r="I4817" t="str">
        <f>TEXT(MONTH(Tabela1[[#This Row],[Último pagto ano]])*29,"mmmm")</f>
        <v>agosto</v>
      </c>
    </row>
    <row r="4818" spans="1:9" x14ac:dyDescent="0.25">
      <c r="A4818">
        <v>2025</v>
      </c>
      <c r="B4818" t="s">
        <v>9594</v>
      </c>
      <c r="C4818" s="1">
        <v>45848</v>
      </c>
      <c r="D4818" t="s">
        <v>9595</v>
      </c>
      <c r="E4818" s="2">
        <v>31372</v>
      </c>
      <c r="G4818" s="3">
        <f>MONTH(Tabela1[[#This Row],[Último pagto ano]])</f>
        <v>7</v>
      </c>
      <c r="H4818" t="str">
        <f>TEXT(Tabela1[[#This Row],[Coluna2]]*29,"mmmm")</f>
        <v>julho</v>
      </c>
      <c r="I4818" t="str">
        <f>TEXT(MONTH(Tabela1[[#This Row],[Último pagto ano]])*29,"mmmm")</f>
        <v>julho</v>
      </c>
    </row>
    <row r="4819" spans="1:9" x14ac:dyDescent="0.25">
      <c r="A4819">
        <v>2025</v>
      </c>
      <c r="B4819" t="s">
        <v>9596</v>
      </c>
      <c r="C4819" s="1">
        <v>46014</v>
      </c>
      <c r="D4819" t="s">
        <v>9597</v>
      </c>
      <c r="E4819" s="2">
        <v>15600</v>
      </c>
      <c r="G4819" s="3">
        <f>MONTH(Tabela1[[#This Row],[Último pagto ano]])</f>
        <v>12</v>
      </c>
      <c r="H4819" t="str">
        <f>TEXT(Tabela1[[#This Row],[Coluna2]]*29,"mmmm")</f>
        <v>dezembro</v>
      </c>
      <c r="I4819" t="str">
        <f>TEXT(MONTH(Tabela1[[#This Row],[Último pagto ano]])*29,"mmmm")</f>
        <v>dezembro</v>
      </c>
    </row>
    <row r="4820" spans="1:9" x14ac:dyDescent="0.25">
      <c r="A4820">
        <v>2025</v>
      </c>
      <c r="B4820" t="s">
        <v>9598</v>
      </c>
      <c r="C4820" s="1">
        <v>45968</v>
      </c>
      <c r="D4820" t="s">
        <v>9599</v>
      </c>
      <c r="E4820" s="2">
        <v>4385.9799999999996</v>
      </c>
      <c r="G4820" s="3">
        <f>MONTH(Tabela1[[#This Row],[Último pagto ano]])</f>
        <v>11</v>
      </c>
      <c r="H4820" t="str">
        <f>TEXT(Tabela1[[#This Row],[Coluna2]]*29,"mmmm")</f>
        <v>novembro</v>
      </c>
      <c r="I4820" t="str">
        <f>TEXT(MONTH(Tabela1[[#This Row],[Último pagto ano]])*29,"mmmm")</f>
        <v>novembro</v>
      </c>
    </row>
    <row r="4821" spans="1:9" x14ac:dyDescent="0.25">
      <c r="A4821">
        <v>2025</v>
      </c>
      <c r="B4821" t="s">
        <v>9600</v>
      </c>
      <c r="C4821" s="1">
        <v>45698</v>
      </c>
      <c r="D4821" t="s">
        <v>9601</v>
      </c>
      <c r="E4821">
        <v>197.18</v>
      </c>
      <c r="G4821" s="3">
        <f>MONTH(Tabela1[[#This Row],[Último pagto ano]])</f>
        <v>2</v>
      </c>
      <c r="H4821" t="str">
        <f>TEXT(Tabela1[[#This Row],[Coluna2]]*29,"mmmm")</f>
        <v>fevereiro</v>
      </c>
      <c r="I4821" t="str">
        <f>TEXT(MONTH(Tabela1[[#This Row],[Último pagto ano]])*29,"mmmm")</f>
        <v>fevereiro</v>
      </c>
    </row>
    <row r="4822" spans="1:9" x14ac:dyDescent="0.25">
      <c r="A4822">
        <v>2025</v>
      </c>
      <c r="B4822" t="s">
        <v>9602</v>
      </c>
      <c r="C4822" s="1">
        <v>45996</v>
      </c>
      <c r="D4822" t="s">
        <v>9603</v>
      </c>
      <c r="E4822" s="2">
        <v>1800</v>
      </c>
      <c r="G4822" s="3">
        <f>MONTH(Tabela1[[#This Row],[Último pagto ano]])</f>
        <v>12</v>
      </c>
      <c r="H4822" t="str">
        <f>TEXT(Tabela1[[#This Row],[Coluna2]]*29,"mmmm")</f>
        <v>dezembro</v>
      </c>
      <c r="I4822" t="str">
        <f>TEXT(MONTH(Tabela1[[#This Row],[Último pagto ano]])*29,"mmmm")</f>
        <v>dezembro</v>
      </c>
    </row>
    <row r="4823" spans="1:9" x14ac:dyDescent="0.25">
      <c r="A4823">
        <v>2025</v>
      </c>
      <c r="B4823" t="s">
        <v>9604</v>
      </c>
      <c r="C4823" s="1">
        <v>45968</v>
      </c>
      <c r="D4823" t="s">
        <v>9605</v>
      </c>
      <c r="E4823" s="2">
        <v>2000</v>
      </c>
      <c r="G4823" s="3">
        <f>MONTH(Tabela1[[#This Row],[Último pagto ano]])</f>
        <v>11</v>
      </c>
      <c r="H4823" t="str">
        <f>TEXT(Tabela1[[#This Row],[Coluna2]]*29,"mmmm")</f>
        <v>novembro</v>
      </c>
      <c r="I4823" t="str">
        <f>TEXT(MONTH(Tabela1[[#This Row],[Último pagto ano]])*29,"mmmm")</f>
        <v>novembro</v>
      </c>
    </row>
    <row r="4824" spans="1:9" x14ac:dyDescent="0.25">
      <c r="A4824">
        <v>2025</v>
      </c>
      <c r="B4824" t="s">
        <v>9606</v>
      </c>
      <c r="C4824" s="1">
        <v>45737</v>
      </c>
      <c r="D4824" t="s">
        <v>9607</v>
      </c>
      <c r="E4824" s="2">
        <v>23372.34</v>
      </c>
      <c r="G4824" s="3">
        <f>MONTH(Tabela1[[#This Row],[Último pagto ano]])</f>
        <v>3</v>
      </c>
      <c r="H4824" t="str">
        <f>TEXT(Tabela1[[#This Row],[Coluna2]]*29,"mmmm")</f>
        <v>março</v>
      </c>
      <c r="I4824" t="str">
        <f>TEXT(MONTH(Tabela1[[#This Row],[Último pagto ano]])*29,"mmmm")</f>
        <v>março</v>
      </c>
    </row>
    <row r="4825" spans="1:9" x14ac:dyDescent="0.25">
      <c r="A4825">
        <v>2025</v>
      </c>
      <c r="B4825" t="s">
        <v>9608</v>
      </c>
      <c r="C4825" s="1">
        <v>45989</v>
      </c>
      <c r="D4825" t="s">
        <v>9609</v>
      </c>
      <c r="E4825" s="2">
        <v>7407.92</v>
      </c>
      <c r="G4825" s="3">
        <f>MONTH(Tabela1[[#This Row],[Último pagto ano]])</f>
        <v>11</v>
      </c>
      <c r="H4825" t="str">
        <f>TEXT(Tabela1[[#This Row],[Coluna2]]*29,"mmmm")</f>
        <v>novembro</v>
      </c>
      <c r="I4825" t="str">
        <f>TEXT(MONTH(Tabela1[[#This Row],[Último pagto ano]])*29,"mmmm")</f>
        <v>novembro</v>
      </c>
    </row>
    <row r="4826" spans="1:9" x14ac:dyDescent="0.25">
      <c r="A4826">
        <v>2025</v>
      </c>
      <c r="B4826" t="s">
        <v>9610</v>
      </c>
      <c r="C4826" s="1">
        <v>45702</v>
      </c>
      <c r="D4826" t="s">
        <v>9611</v>
      </c>
      <c r="E4826">
        <v>13.86</v>
      </c>
      <c r="G4826" s="3">
        <f>MONTH(Tabela1[[#This Row],[Último pagto ano]])</f>
        <v>2</v>
      </c>
      <c r="H4826" t="str">
        <f>TEXT(Tabela1[[#This Row],[Coluna2]]*29,"mmmm")</f>
        <v>fevereiro</v>
      </c>
      <c r="I4826" t="str">
        <f>TEXT(MONTH(Tabela1[[#This Row],[Último pagto ano]])*29,"mmmm")</f>
        <v>fevereiro</v>
      </c>
    </row>
    <row r="4827" spans="1:9" x14ac:dyDescent="0.25">
      <c r="A4827">
        <v>2025</v>
      </c>
      <c r="B4827" t="s">
        <v>9612</v>
      </c>
      <c r="C4827" s="1">
        <v>45687</v>
      </c>
      <c r="D4827" t="s">
        <v>9613</v>
      </c>
      <c r="E4827">
        <v>140.4</v>
      </c>
      <c r="G4827" s="3">
        <f>MONTH(Tabela1[[#This Row],[Último pagto ano]])</f>
        <v>1</v>
      </c>
      <c r="H4827" t="str">
        <f>TEXT(Tabela1[[#This Row],[Coluna2]]*29,"mmmm")</f>
        <v>janeiro</v>
      </c>
      <c r="I4827" t="str">
        <f>TEXT(MONTH(Tabela1[[#This Row],[Último pagto ano]])*29,"mmmm")</f>
        <v>janeiro</v>
      </c>
    </row>
    <row r="4828" spans="1:9" x14ac:dyDescent="0.25">
      <c r="A4828">
        <v>2025</v>
      </c>
      <c r="B4828" t="s">
        <v>9614</v>
      </c>
      <c r="C4828" s="1">
        <v>45950</v>
      </c>
      <c r="D4828" t="s">
        <v>9615</v>
      </c>
      <c r="E4828">
        <v>176</v>
      </c>
      <c r="G4828" s="3">
        <f>MONTH(Tabela1[[#This Row],[Último pagto ano]])</f>
        <v>10</v>
      </c>
      <c r="H4828" t="str">
        <f>TEXT(Tabela1[[#This Row],[Coluna2]]*29,"mmmm")</f>
        <v>outubro</v>
      </c>
      <c r="I4828" t="str">
        <f>TEXT(MONTH(Tabela1[[#This Row],[Último pagto ano]])*29,"mmmm")</f>
        <v>outubro</v>
      </c>
    </row>
    <row r="4829" spans="1:9" x14ac:dyDescent="0.25">
      <c r="A4829">
        <v>2025</v>
      </c>
      <c r="B4829" t="s">
        <v>9616</v>
      </c>
      <c r="C4829" s="1">
        <v>45782</v>
      </c>
      <c r="D4829" t="s">
        <v>9617</v>
      </c>
      <c r="E4829">
        <v>22</v>
      </c>
      <c r="G4829" s="3">
        <f>MONTH(Tabela1[[#This Row],[Último pagto ano]])</f>
        <v>5</v>
      </c>
      <c r="H4829" t="str">
        <f>TEXT(Tabela1[[#This Row],[Coluna2]]*29,"mmmm")</f>
        <v>maio</v>
      </c>
      <c r="I4829" t="str">
        <f>TEXT(MONTH(Tabela1[[#This Row],[Último pagto ano]])*29,"mmmm")</f>
        <v>maio</v>
      </c>
    </row>
    <row r="4830" spans="1:9" x14ac:dyDescent="0.25">
      <c r="A4830">
        <v>2025</v>
      </c>
      <c r="B4830" t="s">
        <v>9618</v>
      </c>
      <c r="C4830" s="1">
        <v>45954</v>
      </c>
      <c r="D4830" t="s">
        <v>9619</v>
      </c>
      <c r="E4830" s="2">
        <v>11565</v>
      </c>
      <c r="G4830" s="3">
        <f>MONTH(Tabela1[[#This Row],[Último pagto ano]])</f>
        <v>10</v>
      </c>
      <c r="H4830" t="str">
        <f>TEXT(Tabela1[[#This Row],[Coluna2]]*29,"mmmm")</f>
        <v>outubro</v>
      </c>
      <c r="I4830" t="str">
        <f>TEXT(MONTH(Tabela1[[#This Row],[Último pagto ano]])*29,"mmmm")</f>
        <v>outubro</v>
      </c>
    </row>
    <row r="4831" spans="1:9" x14ac:dyDescent="0.25">
      <c r="A4831">
        <v>2025</v>
      </c>
      <c r="B4831" t="s">
        <v>9620</v>
      </c>
      <c r="C4831" s="1">
        <v>45821</v>
      </c>
      <c r="D4831" t="s">
        <v>9621</v>
      </c>
      <c r="E4831" s="2">
        <v>8419.92</v>
      </c>
      <c r="G4831" s="3">
        <f>MONTH(Tabela1[[#This Row],[Último pagto ano]])</f>
        <v>6</v>
      </c>
      <c r="H4831" t="str">
        <f>TEXT(Tabela1[[#This Row],[Coluna2]]*29,"mmmm")</f>
        <v>junho</v>
      </c>
      <c r="I4831" t="str">
        <f>TEXT(MONTH(Tabela1[[#This Row],[Último pagto ano]])*29,"mmmm")</f>
        <v>junho</v>
      </c>
    </row>
    <row r="4832" spans="1:9" x14ac:dyDescent="0.25">
      <c r="A4832">
        <v>2025</v>
      </c>
      <c r="B4832" t="s">
        <v>9622</v>
      </c>
      <c r="C4832" s="1">
        <v>46007</v>
      </c>
      <c r="D4832" t="s">
        <v>9623</v>
      </c>
      <c r="E4832" s="2">
        <v>456470.3</v>
      </c>
      <c r="G4832" s="3">
        <f>MONTH(Tabela1[[#This Row],[Último pagto ano]])</f>
        <v>12</v>
      </c>
      <c r="H4832" t="str">
        <f>TEXT(Tabela1[[#This Row],[Coluna2]]*29,"mmmm")</f>
        <v>dezembro</v>
      </c>
      <c r="I4832" t="str">
        <f>TEXT(MONTH(Tabela1[[#This Row],[Último pagto ano]])*29,"mmmm")</f>
        <v>dezembro</v>
      </c>
    </row>
    <row r="4833" spans="1:9" x14ac:dyDescent="0.25">
      <c r="A4833">
        <v>2025</v>
      </c>
      <c r="B4833" t="s">
        <v>9624</v>
      </c>
      <c r="C4833" s="1">
        <v>46009</v>
      </c>
      <c r="D4833" t="s">
        <v>9625</v>
      </c>
      <c r="E4833" s="2">
        <v>117829.56</v>
      </c>
      <c r="G4833" s="3">
        <f>MONTH(Tabela1[[#This Row],[Último pagto ano]])</f>
        <v>12</v>
      </c>
      <c r="H4833" t="str">
        <f>TEXT(Tabela1[[#This Row],[Coluna2]]*29,"mmmm")</f>
        <v>dezembro</v>
      </c>
      <c r="I4833" t="str">
        <f>TEXT(MONTH(Tabela1[[#This Row],[Último pagto ano]])*29,"mmmm")</f>
        <v>dezembro</v>
      </c>
    </row>
    <row r="4834" spans="1:9" x14ac:dyDescent="0.25">
      <c r="A4834">
        <v>2025</v>
      </c>
      <c r="B4834" t="s">
        <v>9626</v>
      </c>
      <c r="C4834" s="1">
        <v>46010</v>
      </c>
      <c r="D4834" t="s">
        <v>9627</v>
      </c>
      <c r="E4834" s="2">
        <v>12000</v>
      </c>
      <c r="G4834" s="3">
        <f>MONTH(Tabela1[[#This Row],[Último pagto ano]])</f>
        <v>12</v>
      </c>
      <c r="H4834" t="str">
        <f>TEXT(Tabela1[[#This Row],[Coluna2]]*29,"mmmm")</f>
        <v>dezembro</v>
      </c>
      <c r="I4834" t="str">
        <f>TEXT(MONTH(Tabela1[[#This Row],[Último pagto ano]])*29,"mmmm")</f>
        <v>dezembro</v>
      </c>
    </row>
    <row r="4835" spans="1:9" x14ac:dyDescent="0.25">
      <c r="A4835">
        <v>2025</v>
      </c>
      <c r="B4835" t="s">
        <v>9628</v>
      </c>
      <c r="C4835" s="1">
        <v>46014</v>
      </c>
      <c r="D4835" t="s">
        <v>9629</v>
      </c>
      <c r="E4835" s="2">
        <v>27130</v>
      </c>
      <c r="G4835" s="3">
        <f>MONTH(Tabela1[[#This Row],[Último pagto ano]])</f>
        <v>12</v>
      </c>
      <c r="H4835" t="str">
        <f>TEXT(Tabela1[[#This Row],[Coluna2]]*29,"mmmm")</f>
        <v>dezembro</v>
      </c>
      <c r="I4835" t="str">
        <f>TEXT(MONTH(Tabela1[[#This Row],[Último pagto ano]])*29,"mmmm")</f>
        <v>dezembro</v>
      </c>
    </row>
    <row r="4836" spans="1:9" x14ac:dyDescent="0.25">
      <c r="A4836">
        <v>2025</v>
      </c>
      <c r="B4836" t="s">
        <v>9630</v>
      </c>
      <c r="C4836" s="1">
        <v>45996</v>
      </c>
      <c r="D4836" t="s">
        <v>9631</v>
      </c>
      <c r="E4836" s="2">
        <v>10000</v>
      </c>
      <c r="G4836" s="3">
        <f>MONTH(Tabela1[[#This Row],[Último pagto ano]])</f>
        <v>12</v>
      </c>
      <c r="H4836" t="str">
        <f>TEXT(Tabela1[[#This Row],[Coluna2]]*29,"mmmm")</f>
        <v>dezembro</v>
      </c>
      <c r="I4836" t="str">
        <f>TEXT(MONTH(Tabela1[[#This Row],[Último pagto ano]])*29,"mmmm")</f>
        <v>dezembro</v>
      </c>
    </row>
    <row r="4837" spans="1:9" x14ac:dyDescent="0.25">
      <c r="A4837">
        <v>2025</v>
      </c>
      <c r="B4837" t="s">
        <v>9632</v>
      </c>
      <c r="C4837" s="1">
        <v>45852</v>
      </c>
      <c r="D4837" t="s">
        <v>9633</v>
      </c>
      <c r="E4837">
        <v>44</v>
      </c>
      <c r="G4837" s="3">
        <f>MONTH(Tabela1[[#This Row],[Último pagto ano]])</f>
        <v>7</v>
      </c>
      <c r="H4837" t="str">
        <f>TEXT(Tabela1[[#This Row],[Coluna2]]*29,"mmmm")</f>
        <v>julho</v>
      </c>
      <c r="I4837" t="str">
        <f>TEXT(MONTH(Tabela1[[#This Row],[Último pagto ano]])*29,"mmmm")</f>
        <v>julho</v>
      </c>
    </row>
    <row r="4838" spans="1:9" x14ac:dyDescent="0.25">
      <c r="A4838">
        <v>2025</v>
      </c>
      <c r="B4838" t="s">
        <v>9634</v>
      </c>
      <c r="C4838" s="1">
        <v>45975</v>
      </c>
      <c r="D4838" t="s">
        <v>9635</v>
      </c>
      <c r="E4838" s="2">
        <v>8884.7999999999993</v>
      </c>
      <c r="G4838" s="3">
        <f>MONTH(Tabela1[[#This Row],[Último pagto ano]])</f>
        <v>11</v>
      </c>
      <c r="H4838" t="str">
        <f>TEXT(Tabela1[[#This Row],[Coluna2]]*29,"mmmm")</f>
        <v>novembro</v>
      </c>
      <c r="I4838" t="str">
        <f>TEXT(MONTH(Tabela1[[#This Row],[Último pagto ano]])*29,"mmmm")</f>
        <v>novembro</v>
      </c>
    </row>
    <row r="4839" spans="1:9" x14ac:dyDescent="0.25">
      <c r="A4839">
        <v>2025</v>
      </c>
      <c r="B4839" t="s">
        <v>9636</v>
      </c>
      <c r="C4839" s="1">
        <v>45824</v>
      </c>
      <c r="D4839" t="s">
        <v>9637</v>
      </c>
      <c r="E4839" s="2">
        <v>28058.25</v>
      </c>
      <c r="G4839" s="3">
        <f>MONTH(Tabela1[[#This Row],[Último pagto ano]])</f>
        <v>6</v>
      </c>
      <c r="H4839" t="str">
        <f>TEXT(Tabela1[[#This Row],[Coluna2]]*29,"mmmm")</f>
        <v>junho</v>
      </c>
      <c r="I4839" t="str">
        <f>TEXT(MONTH(Tabela1[[#This Row],[Último pagto ano]])*29,"mmmm")</f>
        <v>junho</v>
      </c>
    </row>
    <row r="4840" spans="1:9" x14ac:dyDescent="0.25">
      <c r="A4840">
        <v>2025</v>
      </c>
      <c r="B4840" t="s">
        <v>9638</v>
      </c>
      <c r="C4840" s="1">
        <v>46006</v>
      </c>
      <c r="D4840" t="s">
        <v>9639</v>
      </c>
      <c r="E4840" s="2">
        <v>2961.6</v>
      </c>
      <c r="G4840" s="3">
        <f>MONTH(Tabela1[[#This Row],[Último pagto ano]])</f>
        <v>12</v>
      </c>
      <c r="H4840" t="str">
        <f>TEXT(Tabela1[[#This Row],[Coluna2]]*29,"mmmm")</f>
        <v>dezembro</v>
      </c>
      <c r="I4840" t="str">
        <f>TEXT(MONTH(Tabela1[[#This Row],[Último pagto ano]])*29,"mmmm")</f>
        <v>dezembro</v>
      </c>
    </row>
    <row r="4841" spans="1:9" x14ac:dyDescent="0.25">
      <c r="A4841">
        <v>2025</v>
      </c>
      <c r="B4841" t="s">
        <v>9640</v>
      </c>
      <c r="C4841" s="1">
        <v>45887</v>
      </c>
      <c r="D4841" t="s">
        <v>9641</v>
      </c>
      <c r="E4841">
        <v>44</v>
      </c>
      <c r="G4841" s="3">
        <f>MONTH(Tabela1[[#This Row],[Último pagto ano]])</f>
        <v>8</v>
      </c>
      <c r="H4841" t="str">
        <f>TEXT(Tabela1[[#This Row],[Coluna2]]*29,"mmmm")</f>
        <v>agosto</v>
      </c>
      <c r="I4841" t="str">
        <f>TEXT(MONTH(Tabela1[[#This Row],[Último pagto ano]])*29,"mmmm")</f>
        <v>agosto</v>
      </c>
    </row>
    <row r="4842" spans="1:9" x14ac:dyDescent="0.25">
      <c r="A4842">
        <v>2025</v>
      </c>
      <c r="B4842" t="s">
        <v>9642</v>
      </c>
      <c r="C4842" s="1">
        <v>45996</v>
      </c>
      <c r="D4842" t="s">
        <v>9643</v>
      </c>
      <c r="E4842" s="2">
        <v>60000</v>
      </c>
      <c r="G4842" s="3">
        <f>MONTH(Tabela1[[#This Row],[Último pagto ano]])</f>
        <v>12</v>
      </c>
      <c r="H4842" t="str">
        <f>TEXT(Tabela1[[#This Row],[Coluna2]]*29,"mmmm")</f>
        <v>dezembro</v>
      </c>
      <c r="I4842" t="str">
        <f>TEXT(MONTH(Tabela1[[#This Row],[Último pagto ano]])*29,"mmmm")</f>
        <v>dezembro</v>
      </c>
    </row>
    <row r="4843" spans="1:9" x14ac:dyDescent="0.25">
      <c r="A4843">
        <v>2025</v>
      </c>
      <c r="B4843" t="s">
        <v>9644</v>
      </c>
      <c r="C4843" s="1">
        <v>46006</v>
      </c>
      <c r="D4843" t="s">
        <v>9645</v>
      </c>
      <c r="E4843">
        <v>44</v>
      </c>
      <c r="G4843" s="3">
        <f>MONTH(Tabela1[[#This Row],[Último pagto ano]])</f>
        <v>12</v>
      </c>
      <c r="H4843" t="str">
        <f>TEXT(Tabela1[[#This Row],[Coluna2]]*29,"mmmm")</f>
        <v>dezembro</v>
      </c>
      <c r="I4843" t="str">
        <f>TEXT(MONTH(Tabela1[[#This Row],[Último pagto ano]])*29,"mmmm")</f>
        <v>dezembro</v>
      </c>
    </row>
    <row r="4844" spans="1:9" x14ac:dyDescent="0.25">
      <c r="A4844">
        <v>2025</v>
      </c>
      <c r="B4844" t="s">
        <v>9646</v>
      </c>
      <c r="C4844" s="1">
        <v>45964</v>
      </c>
      <c r="D4844" t="s">
        <v>9647</v>
      </c>
      <c r="E4844">
        <v>22</v>
      </c>
      <c r="G4844" s="3">
        <f>MONTH(Tabela1[[#This Row],[Último pagto ano]])</f>
        <v>11</v>
      </c>
      <c r="H4844" t="str">
        <f>TEXT(Tabela1[[#This Row],[Coluna2]]*29,"mmmm")</f>
        <v>novembro</v>
      </c>
      <c r="I4844" t="str">
        <f>TEXT(MONTH(Tabela1[[#This Row],[Último pagto ano]])*29,"mmmm")</f>
        <v>novembro</v>
      </c>
    </row>
    <row r="4845" spans="1:9" x14ac:dyDescent="0.25">
      <c r="A4845">
        <v>2025</v>
      </c>
      <c r="B4845" t="s">
        <v>9648</v>
      </c>
      <c r="C4845" s="1">
        <v>45681</v>
      </c>
      <c r="D4845" t="s">
        <v>9649</v>
      </c>
      <c r="E4845">
        <v>700</v>
      </c>
      <c r="G4845" s="3">
        <f>MONTH(Tabela1[[#This Row],[Último pagto ano]])</f>
        <v>1</v>
      </c>
      <c r="H4845" t="str">
        <f>TEXT(Tabela1[[#This Row],[Coluna2]]*29,"mmmm")</f>
        <v>janeiro</v>
      </c>
      <c r="I4845" t="str">
        <f>TEXT(MONTH(Tabela1[[#This Row],[Último pagto ano]])*29,"mmmm")</f>
        <v>janeiro</v>
      </c>
    </row>
    <row r="4846" spans="1:9" x14ac:dyDescent="0.25">
      <c r="A4846">
        <v>2025</v>
      </c>
      <c r="B4846" t="s">
        <v>9650</v>
      </c>
      <c r="C4846" s="1">
        <v>45996</v>
      </c>
      <c r="D4846" t="s">
        <v>9651</v>
      </c>
      <c r="E4846" s="2">
        <v>9900</v>
      </c>
      <c r="G4846" s="3">
        <f>MONTH(Tabela1[[#This Row],[Último pagto ano]])</f>
        <v>12</v>
      </c>
      <c r="H4846" t="str">
        <f>TEXT(Tabela1[[#This Row],[Coluna2]]*29,"mmmm")</f>
        <v>dezembro</v>
      </c>
      <c r="I4846" t="str">
        <f>TEXT(MONTH(Tabela1[[#This Row],[Último pagto ano]])*29,"mmmm")</f>
        <v>dezembro</v>
      </c>
    </row>
    <row r="4847" spans="1:9" x14ac:dyDescent="0.25">
      <c r="A4847">
        <v>2025</v>
      </c>
      <c r="B4847" t="s">
        <v>9652</v>
      </c>
      <c r="C4847" s="1">
        <v>45996</v>
      </c>
      <c r="D4847" t="s">
        <v>9653</v>
      </c>
      <c r="E4847" s="2">
        <v>4000</v>
      </c>
      <c r="G4847" s="3">
        <f>MONTH(Tabela1[[#This Row],[Último pagto ano]])</f>
        <v>12</v>
      </c>
      <c r="H4847" t="str">
        <f>TEXT(Tabela1[[#This Row],[Coluna2]]*29,"mmmm")</f>
        <v>dezembro</v>
      </c>
      <c r="I4847" t="str">
        <f>TEXT(MONTH(Tabela1[[#This Row],[Último pagto ano]])*29,"mmmm")</f>
        <v>dezembro</v>
      </c>
    </row>
    <row r="4848" spans="1:9" x14ac:dyDescent="0.25">
      <c r="A4848">
        <v>2025</v>
      </c>
      <c r="B4848" t="s">
        <v>9654</v>
      </c>
      <c r="C4848" s="1">
        <v>46006</v>
      </c>
      <c r="D4848" t="s">
        <v>9655</v>
      </c>
      <c r="E4848" s="2">
        <v>5923.2</v>
      </c>
      <c r="G4848" s="3">
        <f>MONTH(Tabela1[[#This Row],[Último pagto ano]])</f>
        <v>12</v>
      </c>
      <c r="H4848" t="str">
        <f>TEXT(Tabela1[[#This Row],[Coluna2]]*29,"mmmm")</f>
        <v>dezembro</v>
      </c>
      <c r="I4848" t="str">
        <f>TEXT(MONTH(Tabela1[[#This Row],[Último pagto ano]])*29,"mmmm")</f>
        <v>dezembro</v>
      </c>
    </row>
    <row r="4849" spans="1:9" x14ac:dyDescent="0.25">
      <c r="A4849">
        <v>2025</v>
      </c>
      <c r="B4849" t="s">
        <v>9656</v>
      </c>
      <c r="C4849" s="1">
        <v>45996</v>
      </c>
      <c r="D4849" t="s">
        <v>9657</v>
      </c>
      <c r="E4849" s="2">
        <v>3600</v>
      </c>
      <c r="G4849" s="3">
        <f>MONTH(Tabela1[[#This Row],[Último pagto ano]])</f>
        <v>12</v>
      </c>
      <c r="H4849" t="str">
        <f>TEXT(Tabela1[[#This Row],[Coluna2]]*29,"mmmm")</f>
        <v>dezembro</v>
      </c>
      <c r="I4849" t="str">
        <f>TEXT(MONTH(Tabela1[[#This Row],[Último pagto ano]])*29,"mmmm")</f>
        <v>dezembro</v>
      </c>
    </row>
    <row r="4850" spans="1:9" x14ac:dyDescent="0.25">
      <c r="A4850">
        <v>2025</v>
      </c>
      <c r="B4850" t="s">
        <v>9658</v>
      </c>
      <c r="C4850" s="1">
        <v>45814</v>
      </c>
      <c r="D4850" t="s">
        <v>9659</v>
      </c>
      <c r="E4850">
        <v>800</v>
      </c>
      <c r="G4850" s="3">
        <f>MONTH(Tabela1[[#This Row],[Último pagto ano]])</f>
        <v>6</v>
      </c>
      <c r="H4850" t="str">
        <f>TEXT(Tabela1[[#This Row],[Coluna2]]*29,"mmmm")</f>
        <v>junho</v>
      </c>
      <c r="I4850" t="str">
        <f>TEXT(MONTH(Tabela1[[#This Row],[Último pagto ano]])*29,"mmmm")</f>
        <v>junho</v>
      </c>
    </row>
    <row r="4851" spans="1:9" x14ac:dyDescent="0.25">
      <c r="A4851">
        <v>2025</v>
      </c>
      <c r="B4851" t="s">
        <v>9660</v>
      </c>
      <c r="C4851" s="1">
        <v>46014</v>
      </c>
      <c r="D4851" t="s">
        <v>9661</v>
      </c>
      <c r="E4851" s="2">
        <v>18550</v>
      </c>
      <c r="G4851" s="3">
        <f>MONTH(Tabela1[[#This Row],[Último pagto ano]])</f>
        <v>12</v>
      </c>
      <c r="H4851" t="str">
        <f>TEXT(Tabela1[[#This Row],[Coluna2]]*29,"mmmm")</f>
        <v>dezembro</v>
      </c>
      <c r="I4851" t="str">
        <f>TEXT(MONTH(Tabela1[[#This Row],[Último pagto ano]])*29,"mmmm")</f>
        <v>dezembro</v>
      </c>
    </row>
    <row r="4852" spans="1:9" x14ac:dyDescent="0.25">
      <c r="A4852">
        <v>2025</v>
      </c>
      <c r="B4852" t="s">
        <v>9662</v>
      </c>
      <c r="C4852" s="1">
        <v>45945</v>
      </c>
      <c r="D4852" t="s">
        <v>9663</v>
      </c>
      <c r="E4852" s="2">
        <v>8380.7999999999993</v>
      </c>
      <c r="G4852" s="3">
        <f>MONTH(Tabela1[[#This Row],[Último pagto ano]])</f>
        <v>10</v>
      </c>
      <c r="H4852" t="str">
        <f>TEXT(Tabela1[[#This Row],[Coluna2]]*29,"mmmm")</f>
        <v>outubro</v>
      </c>
      <c r="I4852" t="str">
        <f>TEXT(MONTH(Tabela1[[#This Row],[Último pagto ano]])*29,"mmmm")</f>
        <v>outubro</v>
      </c>
    </row>
    <row r="4853" spans="1:9" x14ac:dyDescent="0.25">
      <c r="A4853">
        <v>2025</v>
      </c>
      <c r="B4853" t="s">
        <v>9664</v>
      </c>
      <c r="C4853" s="1">
        <v>45702</v>
      </c>
      <c r="D4853" t="s">
        <v>9665</v>
      </c>
      <c r="E4853" s="2">
        <v>1289.1099999999999</v>
      </c>
      <c r="G4853" s="3">
        <f>MONTH(Tabela1[[#This Row],[Último pagto ano]])</f>
        <v>2</v>
      </c>
      <c r="H4853" t="str">
        <f>TEXT(Tabela1[[#This Row],[Coluna2]]*29,"mmmm")</f>
        <v>fevereiro</v>
      </c>
      <c r="I4853" t="str">
        <f>TEXT(MONTH(Tabela1[[#This Row],[Último pagto ano]])*29,"mmmm")</f>
        <v>fevereiro</v>
      </c>
    </row>
    <row r="4854" spans="1:9" x14ac:dyDescent="0.25">
      <c r="A4854">
        <v>2025</v>
      </c>
      <c r="B4854" t="s">
        <v>9666</v>
      </c>
      <c r="C4854" s="1">
        <v>45887</v>
      </c>
      <c r="D4854" t="s">
        <v>9667</v>
      </c>
      <c r="E4854">
        <v>399</v>
      </c>
      <c r="G4854" s="3">
        <f>MONTH(Tabela1[[#This Row],[Último pagto ano]])</f>
        <v>8</v>
      </c>
      <c r="H4854" t="str">
        <f>TEXT(Tabela1[[#This Row],[Coluna2]]*29,"mmmm")</f>
        <v>agosto</v>
      </c>
      <c r="I4854" t="str">
        <f>TEXT(MONTH(Tabela1[[#This Row],[Último pagto ano]])*29,"mmmm")</f>
        <v>agosto</v>
      </c>
    </row>
    <row r="4855" spans="1:9" x14ac:dyDescent="0.25">
      <c r="A4855">
        <v>2025</v>
      </c>
      <c r="B4855" t="s">
        <v>9668</v>
      </c>
      <c r="C4855" s="1">
        <v>45954</v>
      </c>
      <c r="D4855" t="s">
        <v>9669</v>
      </c>
      <c r="E4855" s="2">
        <v>5717.27</v>
      </c>
      <c r="G4855" s="3">
        <f>MONTH(Tabela1[[#This Row],[Último pagto ano]])</f>
        <v>10</v>
      </c>
      <c r="H4855" t="str">
        <f>TEXT(Tabela1[[#This Row],[Coluna2]]*29,"mmmm")</f>
        <v>outubro</v>
      </c>
      <c r="I4855" t="str">
        <f>TEXT(MONTH(Tabela1[[#This Row],[Último pagto ano]])*29,"mmmm")</f>
        <v>outubro</v>
      </c>
    </row>
    <row r="4856" spans="1:9" x14ac:dyDescent="0.25">
      <c r="A4856">
        <v>2025</v>
      </c>
      <c r="B4856" t="s">
        <v>9670</v>
      </c>
      <c r="C4856" s="1">
        <v>45922</v>
      </c>
      <c r="D4856" t="s">
        <v>9671</v>
      </c>
      <c r="E4856" s="2">
        <v>1222</v>
      </c>
      <c r="G4856" s="3">
        <f>MONTH(Tabela1[[#This Row],[Último pagto ano]])</f>
        <v>9</v>
      </c>
      <c r="H4856" t="str">
        <f>TEXT(Tabela1[[#This Row],[Coluna2]]*29,"mmmm")</f>
        <v>setembro</v>
      </c>
      <c r="I4856" t="str">
        <f>TEXT(MONTH(Tabela1[[#This Row],[Último pagto ano]])*29,"mmmm")</f>
        <v>setembro</v>
      </c>
    </row>
    <row r="4857" spans="1:9" x14ac:dyDescent="0.25">
      <c r="A4857">
        <v>2025</v>
      </c>
      <c r="B4857" t="s">
        <v>9672</v>
      </c>
      <c r="C4857" s="1">
        <v>45897</v>
      </c>
      <c r="D4857" t="s">
        <v>9673</v>
      </c>
      <c r="E4857" s="2">
        <v>1782.3</v>
      </c>
      <c r="G4857" s="3">
        <f>MONTH(Tabela1[[#This Row],[Último pagto ano]])</f>
        <v>8</v>
      </c>
      <c r="H4857" t="str">
        <f>TEXT(Tabela1[[#This Row],[Coluna2]]*29,"mmmm")</f>
        <v>agosto</v>
      </c>
      <c r="I4857" t="str">
        <f>TEXT(MONTH(Tabela1[[#This Row],[Último pagto ano]])*29,"mmmm")</f>
        <v>agosto</v>
      </c>
    </row>
    <row r="4858" spans="1:9" x14ac:dyDescent="0.25">
      <c r="A4858">
        <v>2025</v>
      </c>
      <c r="B4858" t="s">
        <v>9674</v>
      </c>
      <c r="C4858" s="1">
        <v>45876</v>
      </c>
      <c r="D4858" t="s">
        <v>9675</v>
      </c>
      <c r="E4858" s="2">
        <v>2844.08</v>
      </c>
      <c r="G4858" s="3">
        <f>MONTH(Tabela1[[#This Row],[Último pagto ano]])</f>
        <v>8</v>
      </c>
      <c r="H4858" t="str">
        <f>TEXT(Tabela1[[#This Row],[Coluna2]]*29,"mmmm")</f>
        <v>agosto</v>
      </c>
      <c r="I4858" t="str">
        <f>TEXT(MONTH(Tabela1[[#This Row],[Último pagto ano]])*29,"mmmm")</f>
        <v>agosto</v>
      </c>
    </row>
    <row r="4859" spans="1:9" x14ac:dyDescent="0.25">
      <c r="A4859">
        <v>2025</v>
      </c>
      <c r="B4859" t="s">
        <v>9676</v>
      </c>
      <c r="C4859" s="1">
        <v>45988</v>
      </c>
      <c r="D4859" t="s">
        <v>9677</v>
      </c>
      <c r="E4859">
        <v>365</v>
      </c>
      <c r="G4859" s="3">
        <f>MONTH(Tabela1[[#This Row],[Último pagto ano]])</f>
        <v>11</v>
      </c>
      <c r="H4859" t="str">
        <f>TEXT(Tabela1[[#This Row],[Coluna2]]*29,"mmmm")</f>
        <v>novembro</v>
      </c>
      <c r="I4859" t="str">
        <f>TEXT(MONTH(Tabela1[[#This Row],[Último pagto ano]])*29,"mmmm")</f>
        <v>novembro</v>
      </c>
    </row>
    <row r="4860" spans="1:9" x14ac:dyDescent="0.25">
      <c r="A4860">
        <v>2025</v>
      </c>
      <c r="B4860" t="s">
        <v>9678</v>
      </c>
      <c r="C4860" s="1">
        <v>45856</v>
      </c>
      <c r="D4860" t="s">
        <v>9679</v>
      </c>
      <c r="E4860" s="2">
        <v>5916.03</v>
      </c>
      <c r="G4860" s="3">
        <f>MONTH(Tabela1[[#This Row],[Último pagto ano]])</f>
        <v>7</v>
      </c>
      <c r="H4860" t="str">
        <f>TEXT(Tabela1[[#This Row],[Coluna2]]*29,"mmmm")</f>
        <v>julho</v>
      </c>
      <c r="I4860" t="str">
        <f>TEXT(MONTH(Tabela1[[#This Row],[Último pagto ano]])*29,"mmmm")</f>
        <v>julho</v>
      </c>
    </row>
    <row r="4861" spans="1:9" x14ac:dyDescent="0.25">
      <c r="A4861">
        <v>2025</v>
      </c>
      <c r="B4861" t="s">
        <v>9680</v>
      </c>
      <c r="C4861" s="1">
        <v>45915</v>
      </c>
      <c r="D4861" t="s">
        <v>9681</v>
      </c>
      <c r="E4861">
        <v>295.37</v>
      </c>
      <c r="G4861" s="3">
        <f>MONTH(Tabela1[[#This Row],[Último pagto ano]])</f>
        <v>9</v>
      </c>
      <c r="H4861" t="str">
        <f>TEXT(Tabela1[[#This Row],[Coluna2]]*29,"mmmm")</f>
        <v>setembro</v>
      </c>
      <c r="I4861" t="str">
        <f>TEXT(MONTH(Tabela1[[#This Row],[Último pagto ano]])*29,"mmmm")</f>
        <v>setembro</v>
      </c>
    </row>
    <row r="4862" spans="1:9" x14ac:dyDescent="0.25">
      <c r="A4862">
        <v>2025</v>
      </c>
      <c r="B4862" t="s">
        <v>9682</v>
      </c>
      <c r="C4862" s="1">
        <v>45989</v>
      </c>
      <c r="D4862" t="s">
        <v>9683</v>
      </c>
      <c r="E4862" s="2">
        <v>11388.64</v>
      </c>
      <c r="G4862" s="3">
        <f>MONTH(Tabela1[[#This Row],[Último pagto ano]])</f>
        <v>11</v>
      </c>
      <c r="H4862" t="str">
        <f>TEXT(Tabela1[[#This Row],[Coluna2]]*29,"mmmm")</f>
        <v>novembro</v>
      </c>
      <c r="I4862" t="str">
        <f>TEXT(MONTH(Tabela1[[#This Row],[Último pagto ano]])*29,"mmmm")</f>
        <v>novembro</v>
      </c>
    </row>
    <row r="4863" spans="1:9" x14ac:dyDescent="0.25">
      <c r="A4863">
        <v>2025</v>
      </c>
      <c r="B4863" t="s">
        <v>9684</v>
      </c>
      <c r="C4863" s="1">
        <v>45996</v>
      </c>
      <c r="D4863" t="s">
        <v>9685</v>
      </c>
      <c r="E4863" s="2">
        <v>25200</v>
      </c>
      <c r="G4863" s="3">
        <f>MONTH(Tabela1[[#This Row],[Último pagto ano]])</f>
        <v>12</v>
      </c>
      <c r="H4863" t="str">
        <f>TEXT(Tabela1[[#This Row],[Coluna2]]*29,"mmmm")</f>
        <v>dezembro</v>
      </c>
      <c r="I4863" t="str">
        <f>TEXT(MONTH(Tabela1[[#This Row],[Último pagto ano]])*29,"mmmm")</f>
        <v>dezembro</v>
      </c>
    </row>
    <row r="4864" spans="1:9" x14ac:dyDescent="0.25">
      <c r="A4864">
        <v>2025</v>
      </c>
      <c r="B4864" t="s">
        <v>9686</v>
      </c>
      <c r="C4864" s="1">
        <v>45744</v>
      </c>
      <c r="D4864" t="s">
        <v>9687</v>
      </c>
      <c r="E4864" s="2">
        <v>3185.3</v>
      </c>
      <c r="G4864" s="3">
        <f>MONTH(Tabela1[[#This Row],[Último pagto ano]])</f>
        <v>3</v>
      </c>
      <c r="H4864" t="str">
        <f>TEXT(Tabela1[[#This Row],[Coluna2]]*29,"mmmm")</f>
        <v>março</v>
      </c>
      <c r="I4864" t="str">
        <f>TEXT(MONTH(Tabela1[[#This Row],[Último pagto ano]])*29,"mmmm")</f>
        <v>março</v>
      </c>
    </row>
    <row r="4865" spans="1:9" x14ac:dyDescent="0.25">
      <c r="A4865">
        <v>2025</v>
      </c>
      <c r="B4865" t="s">
        <v>9688</v>
      </c>
      <c r="C4865" s="1">
        <v>46014</v>
      </c>
      <c r="D4865" t="s">
        <v>9689</v>
      </c>
      <c r="E4865" s="2">
        <v>13156</v>
      </c>
      <c r="G4865" s="3">
        <f>MONTH(Tabela1[[#This Row],[Último pagto ano]])</f>
        <v>12</v>
      </c>
      <c r="H4865" t="str">
        <f>TEXT(Tabela1[[#This Row],[Coluna2]]*29,"mmmm")</f>
        <v>dezembro</v>
      </c>
      <c r="I4865" t="str">
        <f>TEXT(MONTH(Tabela1[[#This Row],[Último pagto ano]])*29,"mmmm")</f>
        <v>dezembro</v>
      </c>
    </row>
    <row r="4866" spans="1:9" x14ac:dyDescent="0.25">
      <c r="A4866">
        <v>2025</v>
      </c>
      <c r="B4866" t="s">
        <v>9690</v>
      </c>
      <c r="C4866" s="1">
        <v>45702</v>
      </c>
      <c r="D4866" t="s">
        <v>9691</v>
      </c>
      <c r="E4866">
        <v>257.55</v>
      </c>
      <c r="G4866" s="3">
        <f>MONTH(Tabela1[[#This Row],[Último pagto ano]])</f>
        <v>2</v>
      </c>
      <c r="H4866" t="str">
        <f>TEXT(Tabela1[[#This Row],[Coluna2]]*29,"mmmm")</f>
        <v>fevereiro</v>
      </c>
      <c r="I4866" t="str">
        <f>TEXT(MONTH(Tabela1[[#This Row],[Último pagto ano]])*29,"mmmm")</f>
        <v>fevereiro</v>
      </c>
    </row>
    <row r="4867" spans="1:9" x14ac:dyDescent="0.25">
      <c r="A4867">
        <v>2025</v>
      </c>
      <c r="B4867" t="s">
        <v>9692</v>
      </c>
      <c r="C4867" s="1">
        <v>45702</v>
      </c>
      <c r="D4867" t="s">
        <v>9693</v>
      </c>
      <c r="E4867">
        <v>27.2</v>
      </c>
      <c r="G4867" s="3">
        <f>MONTH(Tabela1[[#This Row],[Último pagto ano]])</f>
        <v>2</v>
      </c>
      <c r="H4867" t="str">
        <f>TEXT(Tabela1[[#This Row],[Coluna2]]*29,"mmmm")</f>
        <v>fevereiro</v>
      </c>
      <c r="I4867" t="str">
        <f>TEXT(MONTH(Tabela1[[#This Row],[Último pagto ano]])*29,"mmmm")</f>
        <v>fevereiro</v>
      </c>
    </row>
    <row r="4868" spans="1:9" x14ac:dyDescent="0.25">
      <c r="A4868">
        <v>2025</v>
      </c>
      <c r="B4868" t="s">
        <v>9694</v>
      </c>
      <c r="C4868" s="1">
        <v>45796</v>
      </c>
      <c r="D4868" t="s">
        <v>9695</v>
      </c>
      <c r="E4868" s="2">
        <v>4080.28</v>
      </c>
      <c r="G4868" s="3">
        <f>MONTH(Tabela1[[#This Row],[Último pagto ano]])</f>
        <v>5</v>
      </c>
      <c r="H4868" t="str">
        <f>TEXT(Tabela1[[#This Row],[Coluna2]]*29,"mmmm")</f>
        <v>maio</v>
      </c>
      <c r="I4868" t="str">
        <f>TEXT(MONTH(Tabela1[[#This Row],[Último pagto ano]])*29,"mmmm")</f>
        <v>maio</v>
      </c>
    </row>
    <row r="4869" spans="1:9" x14ac:dyDescent="0.25">
      <c r="A4869">
        <v>2025</v>
      </c>
      <c r="B4869" t="s">
        <v>9696</v>
      </c>
      <c r="C4869" s="1">
        <v>45922</v>
      </c>
      <c r="D4869" t="s">
        <v>9697</v>
      </c>
      <c r="E4869">
        <v>98.4</v>
      </c>
      <c r="G4869" s="3">
        <f>MONTH(Tabela1[[#This Row],[Último pagto ano]])</f>
        <v>9</v>
      </c>
      <c r="H4869" t="str">
        <f>TEXT(Tabela1[[#This Row],[Coluna2]]*29,"mmmm")</f>
        <v>setembro</v>
      </c>
      <c r="I4869" t="str">
        <f>TEXT(MONTH(Tabela1[[#This Row],[Último pagto ano]])*29,"mmmm")</f>
        <v>setembro</v>
      </c>
    </row>
    <row r="4870" spans="1:9" x14ac:dyDescent="0.25">
      <c r="A4870">
        <v>2025</v>
      </c>
      <c r="B4870" t="s">
        <v>9698</v>
      </c>
      <c r="C4870" s="1">
        <v>45722</v>
      </c>
      <c r="D4870" t="s">
        <v>9699</v>
      </c>
      <c r="E4870" s="2">
        <v>94000</v>
      </c>
      <c r="G4870" s="3">
        <f>MONTH(Tabela1[[#This Row],[Último pagto ano]])</f>
        <v>3</v>
      </c>
      <c r="H4870" t="str">
        <f>TEXT(Tabela1[[#This Row],[Coluna2]]*29,"mmmm")</f>
        <v>março</v>
      </c>
      <c r="I4870" t="str">
        <f>TEXT(MONTH(Tabela1[[#This Row],[Último pagto ano]])*29,"mmmm")</f>
        <v>março</v>
      </c>
    </row>
    <row r="4871" spans="1:9" x14ac:dyDescent="0.25">
      <c r="A4871">
        <v>2025</v>
      </c>
      <c r="B4871" t="s">
        <v>9700</v>
      </c>
      <c r="C4871" s="1">
        <v>45985</v>
      </c>
      <c r="D4871" t="s">
        <v>9701</v>
      </c>
      <c r="E4871">
        <v>6.06</v>
      </c>
      <c r="G4871" s="3">
        <f>MONTH(Tabela1[[#This Row],[Último pagto ano]])</f>
        <v>11</v>
      </c>
      <c r="H4871" t="str">
        <f>TEXT(Tabela1[[#This Row],[Coluna2]]*29,"mmmm")</f>
        <v>novembro</v>
      </c>
      <c r="I4871" t="str">
        <f>TEXT(MONTH(Tabela1[[#This Row],[Último pagto ano]])*29,"mmmm")</f>
        <v>novembro</v>
      </c>
    </row>
    <row r="4872" spans="1:9" x14ac:dyDescent="0.25">
      <c r="A4872">
        <v>2025</v>
      </c>
      <c r="B4872" t="s">
        <v>9702</v>
      </c>
      <c r="C4872" s="1">
        <v>45996</v>
      </c>
      <c r="D4872" t="s">
        <v>9703</v>
      </c>
      <c r="E4872" s="2">
        <v>36000</v>
      </c>
      <c r="G4872" s="3">
        <f>MONTH(Tabela1[[#This Row],[Último pagto ano]])</f>
        <v>12</v>
      </c>
      <c r="H4872" t="str">
        <f>TEXT(Tabela1[[#This Row],[Coluna2]]*29,"mmmm")</f>
        <v>dezembro</v>
      </c>
      <c r="I4872" t="str">
        <f>TEXT(MONTH(Tabela1[[#This Row],[Último pagto ano]])*29,"mmmm")</f>
        <v>dezembro</v>
      </c>
    </row>
    <row r="4873" spans="1:9" x14ac:dyDescent="0.25">
      <c r="A4873">
        <v>2025</v>
      </c>
      <c r="B4873" t="s">
        <v>9704</v>
      </c>
      <c r="C4873" s="1">
        <v>45959</v>
      </c>
      <c r="D4873" t="s">
        <v>9705</v>
      </c>
      <c r="E4873" s="2">
        <v>9931.7999999999993</v>
      </c>
      <c r="G4873" s="3">
        <f>MONTH(Tabela1[[#This Row],[Último pagto ano]])</f>
        <v>10</v>
      </c>
      <c r="H4873" t="str">
        <f>TEXT(Tabela1[[#This Row],[Coluna2]]*29,"mmmm")</f>
        <v>outubro</v>
      </c>
      <c r="I4873" t="str">
        <f>TEXT(MONTH(Tabela1[[#This Row],[Último pagto ano]])*29,"mmmm")</f>
        <v>outubro</v>
      </c>
    </row>
    <row r="4874" spans="1:9" x14ac:dyDescent="0.25">
      <c r="A4874">
        <v>2025</v>
      </c>
      <c r="B4874" t="s">
        <v>9706</v>
      </c>
      <c r="C4874" s="1">
        <v>46006</v>
      </c>
      <c r="D4874" t="s">
        <v>9707</v>
      </c>
      <c r="E4874" s="2">
        <v>4035.68</v>
      </c>
      <c r="G4874" s="3">
        <f>MONTH(Tabela1[[#This Row],[Último pagto ano]])</f>
        <v>12</v>
      </c>
      <c r="H4874" t="str">
        <f>TEXT(Tabela1[[#This Row],[Coluna2]]*29,"mmmm")</f>
        <v>dezembro</v>
      </c>
      <c r="I4874" t="str">
        <f>TEXT(MONTH(Tabela1[[#This Row],[Último pagto ano]])*29,"mmmm")</f>
        <v>dezembro</v>
      </c>
    </row>
    <row r="4875" spans="1:9" x14ac:dyDescent="0.25">
      <c r="A4875">
        <v>2025</v>
      </c>
      <c r="B4875" t="s">
        <v>9708</v>
      </c>
      <c r="C4875" s="1">
        <v>45771</v>
      </c>
      <c r="D4875" t="s">
        <v>9709</v>
      </c>
      <c r="E4875">
        <v>3.35</v>
      </c>
      <c r="G4875" s="3">
        <f>MONTH(Tabela1[[#This Row],[Último pagto ano]])</f>
        <v>4</v>
      </c>
      <c r="H4875" t="str">
        <f>TEXT(Tabela1[[#This Row],[Coluna2]]*29,"mmmm")</f>
        <v>abril</v>
      </c>
      <c r="I4875" t="str">
        <f>TEXT(MONTH(Tabela1[[#This Row],[Último pagto ano]])*29,"mmmm")</f>
        <v>abril</v>
      </c>
    </row>
    <row r="4876" spans="1:9" x14ac:dyDescent="0.25">
      <c r="A4876">
        <v>2025</v>
      </c>
      <c r="B4876" t="s">
        <v>9710</v>
      </c>
      <c r="C4876" s="1">
        <v>45866</v>
      </c>
      <c r="D4876" t="s">
        <v>9711</v>
      </c>
      <c r="E4876">
        <v>66</v>
      </c>
      <c r="G4876" s="3">
        <f>MONTH(Tabela1[[#This Row],[Último pagto ano]])</f>
        <v>7</v>
      </c>
      <c r="H4876" t="str">
        <f>TEXT(Tabela1[[#This Row],[Coluna2]]*29,"mmmm")</f>
        <v>julho</v>
      </c>
      <c r="I4876" t="str">
        <f>TEXT(MONTH(Tabela1[[#This Row],[Último pagto ano]])*29,"mmmm")</f>
        <v>julho</v>
      </c>
    </row>
    <row r="4877" spans="1:9" x14ac:dyDescent="0.25">
      <c r="A4877">
        <v>2025</v>
      </c>
      <c r="B4877" t="s">
        <v>9712</v>
      </c>
      <c r="C4877" s="1">
        <v>45888</v>
      </c>
      <c r="D4877" t="s">
        <v>9713</v>
      </c>
      <c r="E4877">
        <v>176.6</v>
      </c>
      <c r="G4877" s="3">
        <f>MONTH(Tabela1[[#This Row],[Último pagto ano]])</f>
        <v>8</v>
      </c>
      <c r="H4877" t="str">
        <f>TEXT(Tabela1[[#This Row],[Coluna2]]*29,"mmmm")</f>
        <v>agosto</v>
      </c>
      <c r="I4877" t="str">
        <f>TEXT(MONTH(Tabela1[[#This Row],[Último pagto ano]])*29,"mmmm")</f>
        <v>agosto</v>
      </c>
    </row>
    <row r="4878" spans="1:9" x14ac:dyDescent="0.25">
      <c r="A4878">
        <v>2025</v>
      </c>
      <c r="B4878" t="s">
        <v>9714</v>
      </c>
      <c r="C4878" s="1">
        <v>45726</v>
      </c>
      <c r="D4878" t="s">
        <v>9715</v>
      </c>
      <c r="E4878">
        <v>63.8</v>
      </c>
      <c r="G4878" s="3">
        <f>MONTH(Tabela1[[#This Row],[Último pagto ano]])</f>
        <v>3</v>
      </c>
      <c r="H4878" t="str">
        <f>TEXT(Tabela1[[#This Row],[Coluna2]]*29,"mmmm")</f>
        <v>março</v>
      </c>
      <c r="I4878" t="str">
        <f>TEXT(MONTH(Tabela1[[#This Row],[Último pagto ano]])*29,"mmmm")</f>
        <v>março</v>
      </c>
    </row>
    <row r="4879" spans="1:9" x14ac:dyDescent="0.25">
      <c r="A4879">
        <v>2025</v>
      </c>
      <c r="B4879" t="s">
        <v>9716</v>
      </c>
      <c r="C4879" s="1">
        <v>45901</v>
      </c>
      <c r="D4879" t="s">
        <v>9717</v>
      </c>
      <c r="E4879">
        <v>44</v>
      </c>
      <c r="G4879" s="3">
        <f>MONTH(Tabela1[[#This Row],[Último pagto ano]])</f>
        <v>9</v>
      </c>
      <c r="H4879" t="str">
        <f>TEXT(Tabela1[[#This Row],[Coluna2]]*29,"mmmm")</f>
        <v>setembro</v>
      </c>
      <c r="I4879" t="str">
        <f>TEXT(MONTH(Tabela1[[#This Row],[Último pagto ano]])*29,"mmmm")</f>
        <v>setembro</v>
      </c>
    </row>
    <row r="4880" spans="1:9" x14ac:dyDescent="0.25">
      <c r="A4880">
        <v>2025</v>
      </c>
      <c r="B4880" t="s">
        <v>9718</v>
      </c>
      <c r="C4880" s="1">
        <v>45996</v>
      </c>
      <c r="D4880" t="s">
        <v>9719</v>
      </c>
      <c r="E4880" s="2">
        <v>26302.5</v>
      </c>
      <c r="G4880" s="3">
        <f>MONTH(Tabela1[[#This Row],[Último pagto ano]])</f>
        <v>12</v>
      </c>
      <c r="H4880" t="str">
        <f>TEXT(Tabela1[[#This Row],[Coluna2]]*29,"mmmm")</f>
        <v>dezembro</v>
      </c>
      <c r="I4880" t="str">
        <f>TEXT(MONTH(Tabela1[[#This Row],[Último pagto ano]])*29,"mmmm")</f>
        <v>dezembro</v>
      </c>
    </row>
    <row r="4881" spans="1:9" x14ac:dyDescent="0.25">
      <c r="A4881">
        <v>2025</v>
      </c>
      <c r="B4881" t="s">
        <v>9720</v>
      </c>
      <c r="C4881" s="1">
        <v>45796</v>
      </c>
      <c r="D4881" t="s">
        <v>9721</v>
      </c>
      <c r="E4881">
        <v>11</v>
      </c>
      <c r="G4881" s="3">
        <f>MONTH(Tabela1[[#This Row],[Último pagto ano]])</f>
        <v>5</v>
      </c>
      <c r="H4881" t="str">
        <f>TEXT(Tabela1[[#This Row],[Coluna2]]*29,"mmmm")</f>
        <v>maio</v>
      </c>
      <c r="I4881" t="str">
        <f>TEXT(MONTH(Tabela1[[#This Row],[Último pagto ano]])*29,"mmmm")</f>
        <v>maio</v>
      </c>
    </row>
    <row r="4882" spans="1:9" x14ac:dyDescent="0.25">
      <c r="A4882">
        <v>2025</v>
      </c>
      <c r="B4882" t="s">
        <v>9722</v>
      </c>
      <c r="C4882" s="1">
        <v>45672</v>
      </c>
      <c r="D4882" t="s">
        <v>9723</v>
      </c>
      <c r="E4882">
        <v>495.04</v>
      </c>
      <c r="G4882" s="3">
        <f>MONTH(Tabela1[[#This Row],[Último pagto ano]])</f>
        <v>1</v>
      </c>
      <c r="H4882" t="str">
        <f>TEXT(Tabela1[[#This Row],[Coluna2]]*29,"mmmm")</f>
        <v>janeiro</v>
      </c>
      <c r="I4882" t="str">
        <f>TEXT(MONTH(Tabela1[[#This Row],[Último pagto ano]])*29,"mmmm")</f>
        <v>janeiro</v>
      </c>
    </row>
    <row r="4883" spans="1:9" x14ac:dyDescent="0.25">
      <c r="A4883">
        <v>2025</v>
      </c>
      <c r="B4883" t="s">
        <v>9724</v>
      </c>
      <c r="C4883" s="1">
        <v>45673</v>
      </c>
      <c r="D4883" t="s">
        <v>9725</v>
      </c>
      <c r="E4883">
        <v>250</v>
      </c>
      <c r="G4883" s="3">
        <f>MONTH(Tabela1[[#This Row],[Último pagto ano]])</f>
        <v>1</v>
      </c>
      <c r="H4883" t="str">
        <f>TEXT(Tabela1[[#This Row],[Coluna2]]*29,"mmmm")</f>
        <v>janeiro</v>
      </c>
      <c r="I4883" t="str">
        <f>TEXT(MONTH(Tabela1[[#This Row],[Último pagto ano]])*29,"mmmm")</f>
        <v>janeiro</v>
      </c>
    </row>
    <row r="4884" spans="1:9" x14ac:dyDescent="0.25">
      <c r="A4884">
        <v>2025</v>
      </c>
      <c r="B4884" t="s">
        <v>9726</v>
      </c>
      <c r="C4884" s="1">
        <v>46006</v>
      </c>
      <c r="D4884" t="s">
        <v>9727</v>
      </c>
      <c r="E4884" s="2">
        <v>5627.04</v>
      </c>
      <c r="G4884" s="3">
        <f>MONTH(Tabela1[[#This Row],[Último pagto ano]])</f>
        <v>12</v>
      </c>
      <c r="H4884" t="str">
        <f>TEXT(Tabela1[[#This Row],[Coluna2]]*29,"mmmm")</f>
        <v>dezembro</v>
      </c>
      <c r="I4884" t="str">
        <f>TEXT(MONTH(Tabela1[[#This Row],[Último pagto ano]])*29,"mmmm")</f>
        <v>dezembro</v>
      </c>
    </row>
    <row r="4885" spans="1:9" x14ac:dyDescent="0.25">
      <c r="A4885">
        <v>2025</v>
      </c>
      <c r="B4885" t="s">
        <v>9728</v>
      </c>
      <c r="C4885" s="1">
        <v>45782</v>
      </c>
      <c r="D4885" t="s">
        <v>9729</v>
      </c>
      <c r="E4885">
        <v>29.73</v>
      </c>
      <c r="G4885" s="3">
        <f>MONTH(Tabela1[[#This Row],[Último pagto ano]])</f>
        <v>5</v>
      </c>
      <c r="H4885" t="str">
        <f>TEXT(Tabela1[[#This Row],[Coluna2]]*29,"mmmm")</f>
        <v>maio</v>
      </c>
      <c r="I4885" t="str">
        <f>TEXT(MONTH(Tabela1[[#This Row],[Último pagto ano]])*29,"mmmm")</f>
        <v>maio</v>
      </c>
    </row>
    <row r="4886" spans="1:9" x14ac:dyDescent="0.25">
      <c r="A4886">
        <v>2025</v>
      </c>
      <c r="B4886" t="s">
        <v>9730</v>
      </c>
      <c r="C4886" s="1">
        <v>45728</v>
      </c>
      <c r="D4886" t="s">
        <v>9731</v>
      </c>
      <c r="E4886" s="2">
        <v>12000</v>
      </c>
      <c r="G4886" s="3">
        <f>MONTH(Tabela1[[#This Row],[Último pagto ano]])</f>
        <v>3</v>
      </c>
      <c r="H4886" t="str">
        <f>TEXT(Tabela1[[#This Row],[Coluna2]]*29,"mmmm")</f>
        <v>março</v>
      </c>
      <c r="I4886" t="str">
        <f>TEXT(MONTH(Tabela1[[#This Row],[Último pagto ano]])*29,"mmmm")</f>
        <v>março</v>
      </c>
    </row>
    <row r="4887" spans="1:9" x14ac:dyDescent="0.25">
      <c r="A4887">
        <v>2025</v>
      </c>
      <c r="B4887" t="s">
        <v>9732</v>
      </c>
      <c r="C4887" s="1">
        <v>45831</v>
      </c>
      <c r="D4887" t="s">
        <v>9733</v>
      </c>
      <c r="E4887" s="2">
        <v>5821.2</v>
      </c>
      <c r="G4887" s="3">
        <f>MONTH(Tabela1[[#This Row],[Último pagto ano]])</f>
        <v>6</v>
      </c>
      <c r="H4887" t="str">
        <f>TEXT(Tabela1[[#This Row],[Coluna2]]*29,"mmmm")</f>
        <v>junho</v>
      </c>
      <c r="I4887" t="str">
        <f>TEXT(MONTH(Tabela1[[#This Row],[Último pagto ano]])*29,"mmmm")</f>
        <v>junho</v>
      </c>
    </row>
    <row r="4888" spans="1:9" x14ac:dyDescent="0.25">
      <c r="A4888">
        <v>2025</v>
      </c>
      <c r="B4888" t="s">
        <v>9734</v>
      </c>
      <c r="C4888" s="1">
        <v>46006</v>
      </c>
      <c r="D4888" t="s">
        <v>9735</v>
      </c>
      <c r="E4888" s="2">
        <v>15468.72</v>
      </c>
      <c r="G4888" s="3">
        <f>MONTH(Tabela1[[#This Row],[Último pagto ano]])</f>
        <v>12</v>
      </c>
      <c r="H4888" t="str">
        <f>TEXT(Tabela1[[#This Row],[Coluna2]]*29,"mmmm")</f>
        <v>dezembro</v>
      </c>
      <c r="I4888" t="str">
        <f>TEXT(MONTH(Tabela1[[#This Row],[Último pagto ano]])*29,"mmmm")</f>
        <v>dezembro</v>
      </c>
    </row>
    <row r="4889" spans="1:9" x14ac:dyDescent="0.25">
      <c r="A4889">
        <v>2025</v>
      </c>
      <c r="B4889" t="s">
        <v>9736</v>
      </c>
      <c r="C4889" s="1">
        <v>45975</v>
      </c>
      <c r="D4889" t="s">
        <v>9737</v>
      </c>
      <c r="E4889" s="2">
        <v>2369.2800000000002</v>
      </c>
      <c r="G4889" s="3">
        <f>MONTH(Tabela1[[#This Row],[Último pagto ano]])</f>
        <v>11</v>
      </c>
      <c r="H4889" t="str">
        <f>TEXT(Tabela1[[#This Row],[Coluna2]]*29,"mmmm")</f>
        <v>novembro</v>
      </c>
      <c r="I4889" t="str">
        <f>TEXT(MONTH(Tabela1[[#This Row],[Último pagto ano]])*29,"mmmm")</f>
        <v>novembro</v>
      </c>
    </row>
    <row r="4890" spans="1:9" x14ac:dyDescent="0.25">
      <c r="A4890">
        <v>2025</v>
      </c>
      <c r="B4890" t="s">
        <v>9738</v>
      </c>
      <c r="C4890" s="1">
        <v>45786</v>
      </c>
      <c r="D4890" t="s">
        <v>9739</v>
      </c>
      <c r="E4890" s="2">
        <v>3600</v>
      </c>
      <c r="G4890" s="3">
        <f>MONTH(Tabela1[[#This Row],[Último pagto ano]])</f>
        <v>5</v>
      </c>
      <c r="H4890" t="str">
        <f>TEXT(Tabela1[[#This Row],[Coluna2]]*29,"mmmm")</f>
        <v>maio</v>
      </c>
      <c r="I4890" t="str">
        <f>TEXT(MONTH(Tabela1[[#This Row],[Último pagto ano]])*29,"mmmm")</f>
        <v>maio</v>
      </c>
    </row>
    <row r="4891" spans="1:9" x14ac:dyDescent="0.25">
      <c r="A4891">
        <v>2025</v>
      </c>
      <c r="B4891" t="s">
        <v>9740</v>
      </c>
      <c r="C4891" s="1">
        <v>45995</v>
      </c>
      <c r="D4891" t="s">
        <v>9741</v>
      </c>
      <c r="E4891">
        <v>110</v>
      </c>
      <c r="G4891" s="3">
        <f>MONTH(Tabela1[[#This Row],[Último pagto ano]])</f>
        <v>12</v>
      </c>
      <c r="H4891" t="str">
        <f>TEXT(Tabela1[[#This Row],[Coluna2]]*29,"mmmm")</f>
        <v>dezembro</v>
      </c>
      <c r="I4891" t="str">
        <f>TEXT(MONTH(Tabela1[[#This Row],[Último pagto ano]])*29,"mmmm")</f>
        <v>dezembro</v>
      </c>
    </row>
    <row r="4892" spans="1:9" x14ac:dyDescent="0.25">
      <c r="A4892">
        <v>2025</v>
      </c>
      <c r="B4892" t="s">
        <v>9742</v>
      </c>
      <c r="C4892" s="1">
        <v>46021</v>
      </c>
      <c r="D4892" t="s">
        <v>9743</v>
      </c>
      <c r="E4892" s="2">
        <v>8264.06</v>
      </c>
      <c r="G4892" s="3">
        <f>MONTH(Tabela1[[#This Row],[Último pagto ano]])</f>
        <v>12</v>
      </c>
      <c r="H4892" t="str">
        <f>TEXT(Tabela1[[#This Row],[Coluna2]]*29,"mmmm")</f>
        <v>dezembro</v>
      </c>
      <c r="I4892" t="str">
        <f>TEXT(MONTH(Tabela1[[#This Row],[Último pagto ano]])*29,"mmmm")</f>
        <v>dezembro</v>
      </c>
    </row>
    <row r="4893" spans="1:9" x14ac:dyDescent="0.25">
      <c r="A4893">
        <v>2025</v>
      </c>
      <c r="B4893" t="s">
        <v>9744</v>
      </c>
      <c r="C4893" s="1">
        <v>45792</v>
      </c>
      <c r="D4893" t="s">
        <v>9745</v>
      </c>
      <c r="E4893" s="2">
        <v>5103.12</v>
      </c>
      <c r="G4893" s="3">
        <f>MONTH(Tabela1[[#This Row],[Último pagto ano]])</f>
        <v>5</v>
      </c>
      <c r="H4893" t="str">
        <f>TEXT(Tabela1[[#This Row],[Coluna2]]*29,"mmmm")</f>
        <v>maio</v>
      </c>
      <c r="I4893" t="str">
        <f>TEXT(MONTH(Tabela1[[#This Row],[Último pagto ano]])*29,"mmmm")</f>
        <v>maio</v>
      </c>
    </row>
    <row r="4894" spans="1:9" x14ac:dyDescent="0.25">
      <c r="A4894">
        <v>2025</v>
      </c>
      <c r="B4894" t="s">
        <v>9746</v>
      </c>
      <c r="C4894" s="1">
        <v>45945</v>
      </c>
      <c r="D4894" t="s">
        <v>9747</v>
      </c>
      <c r="E4894">
        <v>592.32000000000005</v>
      </c>
      <c r="G4894" s="3">
        <f>MONTH(Tabela1[[#This Row],[Último pagto ano]])</f>
        <v>10</v>
      </c>
      <c r="H4894" t="str">
        <f>TEXT(Tabela1[[#This Row],[Coluna2]]*29,"mmmm")</f>
        <v>outubro</v>
      </c>
      <c r="I4894" t="str">
        <f>TEXT(MONTH(Tabela1[[#This Row],[Último pagto ano]])*29,"mmmm")</f>
        <v>outubro</v>
      </c>
    </row>
    <row r="4895" spans="1:9" x14ac:dyDescent="0.25">
      <c r="A4895">
        <v>2025</v>
      </c>
      <c r="B4895" t="s">
        <v>9748</v>
      </c>
      <c r="C4895" s="1">
        <v>45716</v>
      </c>
      <c r="D4895" t="s">
        <v>9749</v>
      </c>
      <c r="E4895" s="2">
        <v>15834.79</v>
      </c>
      <c r="G4895" s="3">
        <f>MONTH(Tabela1[[#This Row],[Último pagto ano]])</f>
        <v>2</v>
      </c>
      <c r="H4895" t="str">
        <f>TEXT(Tabela1[[#This Row],[Coluna2]]*29,"mmmm")</f>
        <v>fevereiro</v>
      </c>
      <c r="I4895" t="str">
        <f>TEXT(MONTH(Tabela1[[#This Row],[Último pagto ano]])*29,"mmmm")</f>
        <v>fevereiro</v>
      </c>
    </row>
    <row r="4896" spans="1:9" x14ac:dyDescent="0.25">
      <c r="A4896">
        <v>2025</v>
      </c>
      <c r="B4896" t="s">
        <v>9750</v>
      </c>
      <c r="C4896" s="1">
        <v>45996</v>
      </c>
      <c r="D4896" t="s">
        <v>9751</v>
      </c>
      <c r="E4896" s="2">
        <v>27000</v>
      </c>
      <c r="G4896" s="3">
        <f>MONTH(Tabela1[[#This Row],[Último pagto ano]])</f>
        <v>12</v>
      </c>
      <c r="H4896" t="str">
        <f>TEXT(Tabela1[[#This Row],[Coluna2]]*29,"mmmm")</f>
        <v>dezembro</v>
      </c>
      <c r="I4896" t="str">
        <f>TEXT(MONTH(Tabela1[[#This Row],[Último pagto ano]])*29,"mmmm")</f>
        <v>dezembro</v>
      </c>
    </row>
    <row r="4897" spans="1:9" x14ac:dyDescent="0.25">
      <c r="A4897">
        <v>2025</v>
      </c>
      <c r="B4897" t="s">
        <v>9752</v>
      </c>
      <c r="C4897" s="1">
        <v>45945</v>
      </c>
      <c r="D4897" t="s">
        <v>9753</v>
      </c>
      <c r="E4897" s="2">
        <v>5587.2</v>
      </c>
      <c r="G4897" s="3">
        <f>MONTH(Tabela1[[#This Row],[Último pagto ano]])</f>
        <v>10</v>
      </c>
      <c r="H4897" t="str">
        <f>TEXT(Tabela1[[#This Row],[Coluna2]]*29,"mmmm")</f>
        <v>outubro</v>
      </c>
      <c r="I4897" t="str">
        <f>TEXT(MONTH(Tabela1[[#This Row],[Último pagto ano]])*29,"mmmm")</f>
        <v>outubro</v>
      </c>
    </row>
    <row r="4898" spans="1:9" x14ac:dyDescent="0.25">
      <c r="A4898">
        <v>2025</v>
      </c>
      <c r="B4898" t="s">
        <v>9754</v>
      </c>
      <c r="C4898" s="1">
        <v>45702</v>
      </c>
      <c r="D4898" t="s">
        <v>9755</v>
      </c>
      <c r="E4898">
        <v>549.05999999999995</v>
      </c>
      <c r="G4898" s="3">
        <f>MONTH(Tabela1[[#This Row],[Último pagto ano]])</f>
        <v>2</v>
      </c>
      <c r="H4898" t="str">
        <f>TEXT(Tabela1[[#This Row],[Coluna2]]*29,"mmmm")</f>
        <v>fevereiro</v>
      </c>
      <c r="I4898" t="str">
        <f>TEXT(MONTH(Tabela1[[#This Row],[Último pagto ano]])*29,"mmmm")</f>
        <v>fevereiro</v>
      </c>
    </row>
    <row r="4899" spans="1:9" x14ac:dyDescent="0.25">
      <c r="A4899">
        <v>2025</v>
      </c>
      <c r="B4899" t="s">
        <v>9756</v>
      </c>
      <c r="C4899" s="1">
        <v>45803</v>
      </c>
      <c r="D4899" t="s">
        <v>9757</v>
      </c>
      <c r="E4899" s="2">
        <v>2800</v>
      </c>
      <c r="G4899" s="3">
        <f>MONTH(Tabela1[[#This Row],[Último pagto ano]])</f>
        <v>5</v>
      </c>
      <c r="H4899" t="str">
        <f>TEXT(Tabela1[[#This Row],[Coluna2]]*29,"mmmm")</f>
        <v>maio</v>
      </c>
      <c r="I4899" t="str">
        <f>TEXT(MONTH(Tabela1[[#This Row],[Último pagto ano]])*29,"mmmm")</f>
        <v>maio</v>
      </c>
    </row>
    <row r="4900" spans="1:9" x14ac:dyDescent="0.25">
      <c r="A4900">
        <v>2025</v>
      </c>
      <c r="B4900" t="s">
        <v>9758</v>
      </c>
      <c r="C4900" s="1">
        <v>45853</v>
      </c>
      <c r="D4900" t="s">
        <v>9759</v>
      </c>
      <c r="E4900" s="2">
        <v>5008.16</v>
      </c>
      <c r="G4900" s="3">
        <f>MONTH(Tabela1[[#This Row],[Último pagto ano]])</f>
        <v>7</v>
      </c>
      <c r="H4900" t="str">
        <f>TEXT(Tabela1[[#This Row],[Coluna2]]*29,"mmmm")</f>
        <v>julho</v>
      </c>
      <c r="I4900" t="str">
        <f>TEXT(MONTH(Tabela1[[#This Row],[Último pagto ano]])*29,"mmmm")</f>
        <v>julho</v>
      </c>
    </row>
    <row r="4901" spans="1:9" x14ac:dyDescent="0.25">
      <c r="A4901">
        <v>2025</v>
      </c>
      <c r="B4901" t="s">
        <v>9760</v>
      </c>
      <c r="C4901" s="1">
        <v>46010</v>
      </c>
      <c r="D4901" t="s">
        <v>9761</v>
      </c>
      <c r="E4901" s="2">
        <v>3500</v>
      </c>
      <c r="G4901" s="3">
        <f>MONTH(Tabela1[[#This Row],[Último pagto ano]])</f>
        <v>12</v>
      </c>
      <c r="H4901" t="str">
        <f>TEXT(Tabela1[[#This Row],[Coluna2]]*29,"mmmm")</f>
        <v>dezembro</v>
      </c>
      <c r="I4901" t="str">
        <f>TEXT(MONTH(Tabela1[[#This Row],[Último pagto ano]])*29,"mmmm")</f>
        <v>dezembro</v>
      </c>
    </row>
    <row r="4902" spans="1:9" x14ac:dyDescent="0.25">
      <c r="A4902">
        <v>2025</v>
      </c>
      <c r="B4902" t="s">
        <v>9762</v>
      </c>
      <c r="C4902" s="1">
        <v>46006</v>
      </c>
      <c r="D4902" t="s">
        <v>9763</v>
      </c>
      <c r="E4902" s="2">
        <v>25321.68</v>
      </c>
      <c r="G4902" s="3">
        <f>MONTH(Tabela1[[#This Row],[Último pagto ano]])</f>
        <v>12</v>
      </c>
      <c r="H4902" t="str">
        <f>TEXT(Tabela1[[#This Row],[Coluna2]]*29,"mmmm")</f>
        <v>dezembro</v>
      </c>
      <c r="I4902" t="str">
        <f>TEXT(MONTH(Tabela1[[#This Row],[Último pagto ano]])*29,"mmmm")</f>
        <v>dezembro</v>
      </c>
    </row>
    <row r="4903" spans="1:9" x14ac:dyDescent="0.25">
      <c r="A4903">
        <v>2025</v>
      </c>
      <c r="B4903" t="s">
        <v>9764</v>
      </c>
      <c r="C4903" s="1">
        <v>45989</v>
      </c>
      <c r="D4903" t="s">
        <v>9765</v>
      </c>
      <c r="E4903" s="2">
        <v>11644.2</v>
      </c>
      <c r="G4903" s="3">
        <f>MONTH(Tabela1[[#This Row],[Último pagto ano]])</f>
        <v>11</v>
      </c>
      <c r="H4903" t="str">
        <f>TEXT(Tabela1[[#This Row],[Coluna2]]*29,"mmmm")</f>
        <v>novembro</v>
      </c>
      <c r="I4903" t="str">
        <f>TEXT(MONTH(Tabela1[[#This Row],[Último pagto ano]])*29,"mmmm")</f>
        <v>novembro</v>
      </c>
    </row>
    <row r="4904" spans="1:9" x14ac:dyDescent="0.25">
      <c r="A4904">
        <v>2025</v>
      </c>
      <c r="B4904" t="s">
        <v>9766</v>
      </c>
      <c r="C4904" s="1">
        <v>46006</v>
      </c>
      <c r="D4904" t="s">
        <v>9767</v>
      </c>
      <c r="E4904" s="2">
        <v>2665.44</v>
      </c>
      <c r="G4904" s="3">
        <f>MONTH(Tabela1[[#This Row],[Último pagto ano]])</f>
        <v>12</v>
      </c>
      <c r="H4904" t="str">
        <f>TEXT(Tabela1[[#This Row],[Coluna2]]*29,"mmmm")</f>
        <v>dezembro</v>
      </c>
      <c r="I4904" t="str">
        <f>TEXT(MONTH(Tabela1[[#This Row],[Último pagto ano]])*29,"mmmm")</f>
        <v>dezembro</v>
      </c>
    </row>
    <row r="4905" spans="1:9" x14ac:dyDescent="0.25">
      <c r="A4905">
        <v>2025</v>
      </c>
      <c r="B4905" t="s">
        <v>9768</v>
      </c>
      <c r="C4905" s="1">
        <v>45945</v>
      </c>
      <c r="D4905" t="s">
        <v>9769</v>
      </c>
      <c r="E4905" s="2">
        <v>2221.1999999999998</v>
      </c>
      <c r="G4905" s="3">
        <f>MONTH(Tabela1[[#This Row],[Último pagto ano]])</f>
        <v>10</v>
      </c>
      <c r="H4905" t="str">
        <f>TEXT(Tabela1[[#This Row],[Coluna2]]*29,"mmmm")</f>
        <v>outubro</v>
      </c>
      <c r="I4905" t="str">
        <f>TEXT(MONTH(Tabela1[[#This Row],[Último pagto ano]])*29,"mmmm")</f>
        <v>outubro</v>
      </c>
    </row>
    <row r="4906" spans="1:9" x14ac:dyDescent="0.25">
      <c r="A4906">
        <v>2025</v>
      </c>
      <c r="B4906" t="s">
        <v>9770</v>
      </c>
      <c r="C4906" s="1">
        <v>45884</v>
      </c>
      <c r="D4906" t="s">
        <v>9771</v>
      </c>
      <c r="E4906" s="2">
        <v>5923.2</v>
      </c>
      <c r="G4906" s="3">
        <f>MONTH(Tabela1[[#This Row],[Último pagto ano]])</f>
        <v>8</v>
      </c>
      <c r="H4906" t="str">
        <f>TEXT(Tabela1[[#This Row],[Coluna2]]*29,"mmmm")</f>
        <v>agosto</v>
      </c>
      <c r="I4906" t="str">
        <f>TEXT(MONTH(Tabela1[[#This Row],[Último pagto ano]])*29,"mmmm")</f>
        <v>agosto</v>
      </c>
    </row>
    <row r="4907" spans="1:9" x14ac:dyDescent="0.25">
      <c r="A4907">
        <v>2025</v>
      </c>
      <c r="B4907" t="s">
        <v>9772</v>
      </c>
      <c r="C4907" s="1">
        <v>45880</v>
      </c>
      <c r="D4907" t="s">
        <v>9773</v>
      </c>
      <c r="E4907">
        <v>88</v>
      </c>
      <c r="G4907" s="3">
        <f>MONTH(Tabela1[[#This Row],[Último pagto ano]])</f>
        <v>8</v>
      </c>
      <c r="H4907" t="str">
        <f>TEXT(Tabela1[[#This Row],[Coluna2]]*29,"mmmm")</f>
        <v>agosto</v>
      </c>
      <c r="I4907" t="str">
        <f>TEXT(MONTH(Tabela1[[#This Row],[Último pagto ano]])*29,"mmmm")</f>
        <v>agosto</v>
      </c>
    </row>
    <row r="4908" spans="1:9" x14ac:dyDescent="0.25">
      <c r="A4908">
        <v>2025</v>
      </c>
      <c r="B4908" t="s">
        <v>9774</v>
      </c>
      <c r="C4908" s="1">
        <v>45964</v>
      </c>
      <c r="D4908" t="s">
        <v>9775</v>
      </c>
      <c r="E4908">
        <v>22</v>
      </c>
      <c r="G4908" s="3">
        <f>MONTH(Tabela1[[#This Row],[Último pagto ano]])</f>
        <v>11</v>
      </c>
      <c r="H4908" t="str">
        <f>TEXT(Tabela1[[#This Row],[Coluna2]]*29,"mmmm")</f>
        <v>novembro</v>
      </c>
      <c r="I4908" t="str">
        <f>TEXT(MONTH(Tabela1[[#This Row],[Último pagto ano]])*29,"mmmm")</f>
        <v>novembro</v>
      </c>
    </row>
    <row r="4909" spans="1:9" x14ac:dyDescent="0.25">
      <c r="A4909">
        <v>2025</v>
      </c>
      <c r="B4909" t="s">
        <v>9776</v>
      </c>
      <c r="C4909" s="1">
        <v>45985</v>
      </c>
      <c r="D4909" t="s">
        <v>9777</v>
      </c>
      <c r="E4909" s="2">
        <v>1727.29</v>
      </c>
      <c r="G4909" s="3">
        <f>MONTH(Tabela1[[#This Row],[Último pagto ano]])</f>
        <v>11</v>
      </c>
      <c r="H4909" t="str">
        <f>TEXT(Tabela1[[#This Row],[Coluna2]]*29,"mmmm")</f>
        <v>novembro</v>
      </c>
      <c r="I4909" t="str">
        <f>TEXT(MONTH(Tabela1[[#This Row],[Último pagto ano]])*29,"mmmm")</f>
        <v>novembro</v>
      </c>
    </row>
    <row r="4910" spans="1:9" x14ac:dyDescent="0.25">
      <c r="A4910">
        <v>2025</v>
      </c>
      <c r="B4910" t="s">
        <v>9778</v>
      </c>
      <c r="C4910" s="1">
        <v>46006</v>
      </c>
      <c r="D4910" t="s">
        <v>9779</v>
      </c>
      <c r="E4910" s="2">
        <v>9463.84</v>
      </c>
      <c r="G4910" s="3">
        <f>MONTH(Tabela1[[#This Row],[Último pagto ano]])</f>
        <v>12</v>
      </c>
      <c r="H4910" t="str">
        <f>TEXT(Tabela1[[#This Row],[Coluna2]]*29,"mmmm")</f>
        <v>dezembro</v>
      </c>
      <c r="I4910" t="str">
        <f>TEXT(MONTH(Tabela1[[#This Row],[Último pagto ano]])*29,"mmmm")</f>
        <v>dezembro</v>
      </c>
    </row>
    <row r="4911" spans="1:9" x14ac:dyDescent="0.25">
      <c r="A4911">
        <v>2025</v>
      </c>
      <c r="B4911" t="s">
        <v>9780</v>
      </c>
      <c r="C4911" s="1">
        <v>45715</v>
      </c>
      <c r="D4911" t="s">
        <v>9781</v>
      </c>
      <c r="E4911">
        <v>22</v>
      </c>
      <c r="G4911" s="3">
        <f>MONTH(Tabela1[[#This Row],[Último pagto ano]])</f>
        <v>2</v>
      </c>
      <c r="H4911" t="str">
        <f>TEXT(Tabela1[[#This Row],[Coluna2]]*29,"mmmm")</f>
        <v>fevereiro</v>
      </c>
      <c r="I4911" t="str">
        <f>TEXT(MONTH(Tabela1[[#This Row],[Último pagto ano]])*29,"mmmm")</f>
        <v>fevereiro</v>
      </c>
    </row>
    <row r="4912" spans="1:9" x14ac:dyDescent="0.25">
      <c r="A4912">
        <v>2025</v>
      </c>
      <c r="B4912" t="s">
        <v>9782</v>
      </c>
      <c r="C4912" s="1">
        <v>45968</v>
      </c>
      <c r="D4912" t="s">
        <v>9783</v>
      </c>
      <c r="E4912" s="2">
        <v>2586.84</v>
      </c>
      <c r="G4912" s="3">
        <f>MONTH(Tabela1[[#This Row],[Último pagto ano]])</f>
        <v>11</v>
      </c>
      <c r="H4912" t="str">
        <f>TEXT(Tabela1[[#This Row],[Coluna2]]*29,"mmmm")</f>
        <v>novembro</v>
      </c>
      <c r="I4912" t="str">
        <f>TEXT(MONTH(Tabela1[[#This Row],[Último pagto ano]])*29,"mmmm")</f>
        <v>novembro</v>
      </c>
    </row>
    <row r="4913" spans="1:9" x14ac:dyDescent="0.25">
      <c r="A4913">
        <v>2025</v>
      </c>
      <c r="B4913" t="s">
        <v>9784</v>
      </c>
      <c r="C4913" s="1">
        <v>46010</v>
      </c>
      <c r="D4913" t="s">
        <v>9785</v>
      </c>
      <c r="E4913" s="2">
        <v>8400</v>
      </c>
      <c r="G4913" s="3">
        <f>MONTH(Tabela1[[#This Row],[Último pagto ano]])</f>
        <v>12</v>
      </c>
      <c r="H4913" t="str">
        <f>TEXT(Tabela1[[#This Row],[Coluna2]]*29,"mmmm")</f>
        <v>dezembro</v>
      </c>
      <c r="I4913" t="str">
        <f>TEXT(MONTH(Tabela1[[#This Row],[Último pagto ano]])*29,"mmmm")</f>
        <v>dezembro</v>
      </c>
    </row>
    <row r="4914" spans="1:9" x14ac:dyDescent="0.25">
      <c r="A4914">
        <v>2025</v>
      </c>
      <c r="B4914" t="s">
        <v>9786</v>
      </c>
      <c r="C4914" s="1">
        <v>46006</v>
      </c>
      <c r="D4914" t="s">
        <v>9787</v>
      </c>
      <c r="E4914" s="2">
        <v>19198.64</v>
      </c>
      <c r="G4914" s="3">
        <f>MONTH(Tabela1[[#This Row],[Último pagto ano]])</f>
        <v>12</v>
      </c>
      <c r="H4914" t="str">
        <f>TEXT(Tabela1[[#This Row],[Coluna2]]*29,"mmmm")</f>
        <v>dezembro</v>
      </c>
      <c r="I4914" t="str">
        <f>TEXT(MONTH(Tabela1[[#This Row],[Último pagto ano]])*29,"mmmm")</f>
        <v>dezembro</v>
      </c>
    </row>
    <row r="4915" spans="1:9" x14ac:dyDescent="0.25">
      <c r="A4915">
        <v>2025</v>
      </c>
      <c r="B4915" t="s">
        <v>9788</v>
      </c>
      <c r="C4915" s="1">
        <v>45750</v>
      </c>
      <c r="D4915" t="s">
        <v>9789</v>
      </c>
      <c r="E4915" s="2">
        <v>1370.12</v>
      </c>
      <c r="G4915" s="3">
        <f>MONTH(Tabela1[[#This Row],[Último pagto ano]])</f>
        <v>4</v>
      </c>
      <c r="H4915" t="str">
        <f>TEXT(Tabela1[[#This Row],[Coluna2]]*29,"mmmm")</f>
        <v>abril</v>
      </c>
      <c r="I4915" t="str">
        <f>TEXT(MONTH(Tabela1[[#This Row],[Último pagto ano]])*29,"mmmm")</f>
        <v>abril</v>
      </c>
    </row>
    <row r="4916" spans="1:9" x14ac:dyDescent="0.25">
      <c r="A4916">
        <v>2025</v>
      </c>
      <c r="B4916" t="s">
        <v>9790</v>
      </c>
      <c r="C4916" s="1">
        <v>45999</v>
      </c>
      <c r="D4916" t="s">
        <v>9791</v>
      </c>
      <c r="E4916">
        <v>121</v>
      </c>
      <c r="G4916" s="3">
        <f>MONTH(Tabela1[[#This Row],[Último pagto ano]])</f>
        <v>12</v>
      </c>
      <c r="H4916" t="str">
        <f>TEXT(Tabela1[[#This Row],[Coluna2]]*29,"mmmm")</f>
        <v>dezembro</v>
      </c>
      <c r="I4916" t="str">
        <f>TEXT(MONTH(Tabela1[[#This Row],[Último pagto ano]])*29,"mmmm")</f>
        <v>dezembro</v>
      </c>
    </row>
    <row r="4917" spans="1:9" x14ac:dyDescent="0.25">
      <c r="A4917">
        <v>2025</v>
      </c>
      <c r="B4917" t="s">
        <v>9792</v>
      </c>
      <c r="C4917" s="1">
        <v>45687</v>
      </c>
      <c r="D4917" t="s">
        <v>9793</v>
      </c>
      <c r="E4917">
        <v>458.98</v>
      </c>
      <c r="G4917" s="3">
        <f>MONTH(Tabela1[[#This Row],[Último pagto ano]])</f>
        <v>1</v>
      </c>
      <c r="H4917" t="str">
        <f>TEXT(Tabela1[[#This Row],[Coluna2]]*29,"mmmm")</f>
        <v>janeiro</v>
      </c>
      <c r="I4917" t="str">
        <f>TEXT(MONTH(Tabela1[[#This Row],[Último pagto ano]])*29,"mmmm")</f>
        <v>janeiro</v>
      </c>
    </row>
    <row r="4918" spans="1:9" x14ac:dyDescent="0.25">
      <c r="A4918">
        <v>2025</v>
      </c>
      <c r="B4918" t="s">
        <v>9794</v>
      </c>
      <c r="C4918" s="1">
        <v>46021</v>
      </c>
      <c r="D4918" t="s">
        <v>9795</v>
      </c>
      <c r="E4918" s="2">
        <v>1348.49</v>
      </c>
      <c r="G4918" s="3">
        <f>MONTH(Tabela1[[#This Row],[Último pagto ano]])</f>
        <v>12</v>
      </c>
      <c r="H4918" t="str">
        <f>TEXT(Tabela1[[#This Row],[Coluna2]]*29,"mmmm")</f>
        <v>dezembro</v>
      </c>
      <c r="I4918" t="str">
        <f>TEXT(MONTH(Tabela1[[#This Row],[Último pagto ano]])*29,"mmmm")</f>
        <v>dezembro</v>
      </c>
    </row>
    <row r="4919" spans="1:9" x14ac:dyDescent="0.25">
      <c r="A4919">
        <v>2025</v>
      </c>
      <c r="B4919" t="s">
        <v>9796</v>
      </c>
      <c r="C4919" s="1">
        <v>45716</v>
      </c>
      <c r="D4919" t="s">
        <v>9797</v>
      </c>
      <c r="E4919" s="2">
        <v>1770.84</v>
      </c>
      <c r="G4919" s="3">
        <f>MONTH(Tabela1[[#This Row],[Último pagto ano]])</f>
        <v>2</v>
      </c>
      <c r="H4919" t="str">
        <f>TEXT(Tabela1[[#This Row],[Coluna2]]*29,"mmmm")</f>
        <v>fevereiro</v>
      </c>
      <c r="I4919" t="str">
        <f>TEXT(MONTH(Tabela1[[#This Row],[Último pagto ano]])*29,"mmmm")</f>
        <v>fevereiro</v>
      </c>
    </row>
    <row r="4920" spans="1:9" x14ac:dyDescent="0.25">
      <c r="A4920">
        <v>2025</v>
      </c>
      <c r="B4920" t="s">
        <v>9798</v>
      </c>
      <c r="C4920" s="1">
        <v>45866</v>
      </c>
      <c r="D4920" t="s">
        <v>9799</v>
      </c>
      <c r="E4920" s="2">
        <v>2047.5</v>
      </c>
      <c r="G4920" s="3">
        <f>MONTH(Tabela1[[#This Row],[Último pagto ano]])</f>
        <v>7</v>
      </c>
      <c r="H4920" t="str">
        <f>TEXT(Tabela1[[#This Row],[Coluna2]]*29,"mmmm")</f>
        <v>julho</v>
      </c>
      <c r="I4920" t="str">
        <f>TEXT(MONTH(Tabela1[[#This Row],[Último pagto ano]])*29,"mmmm")</f>
        <v>julho</v>
      </c>
    </row>
    <row r="4921" spans="1:9" x14ac:dyDescent="0.25">
      <c r="A4921">
        <v>2025</v>
      </c>
      <c r="B4921" t="s">
        <v>9800</v>
      </c>
      <c r="C4921" s="1">
        <v>45702</v>
      </c>
      <c r="D4921" t="s">
        <v>9801</v>
      </c>
      <c r="E4921">
        <v>859.05</v>
      </c>
      <c r="G4921" s="3">
        <f>MONTH(Tabela1[[#This Row],[Último pagto ano]])</f>
        <v>2</v>
      </c>
      <c r="H4921" t="str">
        <f>TEXT(Tabela1[[#This Row],[Coluna2]]*29,"mmmm")</f>
        <v>fevereiro</v>
      </c>
      <c r="I4921" t="str">
        <f>TEXT(MONTH(Tabela1[[#This Row],[Último pagto ano]])*29,"mmmm")</f>
        <v>fevereiro</v>
      </c>
    </row>
    <row r="4922" spans="1:9" x14ac:dyDescent="0.25">
      <c r="A4922">
        <v>2025</v>
      </c>
      <c r="B4922" t="s">
        <v>9802</v>
      </c>
      <c r="C4922" s="1">
        <v>45996</v>
      </c>
      <c r="D4922" t="s">
        <v>9803</v>
      </c>
      <c r="E4922" s="2">
        <v>16500</v>
      </c>
      <c r="G4922" s="3">
        <f>MONTH(Tabela1[[#This Row],[Último pagto ano]])</f>
        <v>12</v>
      </c>
      <c r="H4922" t="str">
        <f>TEXT(Tabela1[[#This Row],[Coluna2]]*29,"mmmm")</f>
        <v>dezembro</v>
      </c>
      <c r="I4922" t="str">
        <f>TEXT(MONTH(Tabela1[[#This Row],[Último pagto ano]])*29,"mmmm")</f>
        <v>dezembro</v>
      </c>
    </row>
    <row r="4923" spans="1:9" x14ac:dyDescent="0.25">
      <c r="A4923">
        <v>2025</v>
      </c>
      <c r="B4923" t="s">
        <v>9804</v>
      </c>
      <c r="C4923" s="1">
        <v>45716</v>
      </c>
      <c r="D4923" t="s">
        <v>9805</v>
      </c>
      <c r="E4923" s="2">
        <v>1215.8399999999999</v>
      </c>
      <c r="G4923" s="3">
        <f>MONTH(Tabela1[[#This Row],[Último pagto ano]])</f>
        <v>2</v>
      </c>
      <c r="H4923" t="str">
        <f>TEXT(Tabela1[[#This Row],[Coluna2]]*29,"mmmm")</f>
        <v>fevereiro</v>
      </c>
      <c r="I4923" t="str">
        <f>TEXT(MONTH(Tabela1[[#This Row],[Último pagto ano]])*29,"mmmm")</f>
        <v>fevereiro</v>
      </c>
    </row>
    <row r="4924" spans="1:9" x14ac:dyDescent="0.25">
      <c r="A4924">
        <v>2025</v>
      </c>
      <c r="B4924" t="s">
        <v>9806</v>
      </c>
      <c r="C4924" s="1">
        <v>45999</v>
      </c>
      <c r="D4924" t="s">
        <v>9807</v>
      </c>
      <c r="E4924">
        <v>120.4</v>
      </c>
      <c r="G4924" s="3">
        <f>MONTH(Tabela1[[#This Row],[Último pagto ano]])</f>
        <v>12</v>
      </c>
      <c r="H4924" t="str">
        <f>TEXT(Tabela1[[#This Row],[Coluna2]]*29,"mmmm")</f>
        <v>dezembro</v>
      </c>
      <c r="I4924" t="str">
        <f>TEXT(MONTH(Tabela1[[#This Row],[Último pagto ano]])*29,"mmmm")</f>
        <v>dezembro</v>
      </c>
    </row>
    <row r="4925" spans="1:9" x14ac:dyDescent="0.25">
      <c r="A4925">
        <v>2025</v>
      </c>
      <c r="B4925" t="s">
        <v>9808</v>
      </c>
      <c r="C4925" s="1">
        <v>45856</v>
      </c>
      <c r="D4925" t="s">
        <v>9809</v>
      </c>
      <c r="E4925" s="2">
        <v>6607.59</v>
      </c>
      <c r="G4925" s="3">
        <f>MONTH(Tabela1[[#This Row],[Último pagto ano]])</f>
        <v>7</v>
      </c>
      <c r="H4925" t="str">
        <f>TEXT(Tabela1[[#This Row],[Coluna2]]*29,"mmmm")</f>
        <v>julho</v>
      </c>
      <c r="I4925" t="str">
        <f>TEXT(MONTH(Tabela1[[#This Row],[Último pagto ano]])*29,"mmmm")</f>
        <v>julho</v>
      </c>
    </row>
    <row r="4926" spans="1:9" x14ac:dyDescent="0.25">
      <c r="A4926">
        <v>2025</v>
      </c>
      <c r="B4926" t="s">
        <v>9810</v>
      </c>
      <c r="C4926" s="1">
        <v>45915</v>
      </c>
      <c r="D4926" t="s">
        <v>9811</v>
      </c>
      <c r="E4926">
        <v>99</v>
      </c>
      <c r="G4926" s="3">
        <f>MONTH(Tabela1[[#This Row],[Último pagto ano]])</f>
        <v>9</v>
      </c>
      <c r="H4926" t="str">
        <f>TEXT(Tabela1[[#This Row],[Coluna2]]*29,"mmmm")</f>
        <v>setembro</v>
      </c>
      <c r="I4926" t="str">
        <f>TEXT(MONTH(Tabela1[[#This Row],[Último pagto ano]])*29,"mmmm")</f>
        <v>setembro</v>
      </c>
    </row>
    <row r="4927" spans="1:9" x14ac:dyDescent="0.25">
      <c r="A4927">
        <v>2025</v>
      </c>
      <c r="B4927" t="s">
        <v>9812</v>
      </c>
      <c r="C4927" s="1">
        <v>45777</v>
      </c>
      <c r="D4927" t="s">
        <v>9813</v>
      </c>
      <c r="E4927" s="2">
        <v>2603.61</v>
      </c>
      <c r="G4927" s="3">
        <f>MONTH(Tabela1[[#This Row],[Último pagto ano]])</f>
        <v>4</v>
      </c>
      <c r="H4927" t="str">
        <f>TEXT(Tabela1[[#This Row],[Coluna2]]*29,"mmmm")</f>
        <v>abril</v>
      </c>
      <c r="I4927" t="str">
        <f>TEXT(MONTH(Tabela1[[#This Row],[Último pagto ano]])*29,"mmmm")</f>
        <v>abril</v>
      </c>
    </row>
    <row r="4928" spans="1:9" x14ac:dyDescent="0.25">
      <c r="A4928">
        <v>2025</v>
      </c>
      <c r="B4928" t="s">
        <v>9814</v>
      </c>
      <c r="C4928" s="1">
        <v>45996</v>
      </c>
      <c r="D4928" t="s">
        <v>9815</v>
      </c>
      <c r="E4928" s="2">
        <v>27000</v>
      </c>
      <c r="G4928" s="3">
        <f>MONTH(Tabela1[[#This Row],[Último pagto ano]])</f>
        <v>12</v>
      </c>
      <c r="H4928" t="str">
        <f>TEXT(Tabela1[[#This Row],[Coluna2]]*29,"mmmm")</f>
        <v>dezembro</v>
      </c>
      <c r="I4928" t="str">
        <f>TEXT(MONTH(Tabela1[[#This Row],[Último pagto ano]])*29,"mmmm")</f>
        <v>dezembro</v>
      </c>
    </row>
    <row r="4929" spans="1:9" x14ac:dyDescent="0.25">
      <c r="A4929">
        <v>2025</v>
      </c>
      <c r="B4929" t="s">
        <v>9816</v>
      </c>
      <c r="C4929" s="1">
        <v>45959</v>
      </c>
      <c r="D4929" t="s">
        <v>9817</v>
      </c>
      <c r="E4929" s="2">
        <v>3369.9</v>
      </c>
      <c r="G4929" s="3">
        <f>MONTH(Tabela1[[#This Row],[Último pagto ano]])</f>
        <v>10</v>
      </c>
      <c r="H4929" t="str">
        <f>TEXT(Tabela1[[#This Row],[Coluna2]]*29,"mmmm")</f>
        <v>outubro</v>
      </c>
      <c r="I4929" t="str">
        <f>TEXT(MONTH(Tabela1[[#This Row],[Último pagto ano]])*29,"mmmm")</f>
        <v>outubro</v>
      </c>
    </row>
    <row r="4930" spans="1:9" x14ac:dyDescent="0.25">
      <c r="A4930">
        <v>2025</v>
      </c>
      <c r="B4930" t="s">
        <v>9818</v>
      </c>
      <c r="C4930" s="1">
        <v>45702</v>
      </c>
      <c r="D4930" t="s">
        <v>9819</v>
      </c>
      <c r="E4930">
        <v>27.12</v>
      </c>
      <c r="G4930" s="3">
        <f>MONTH(Tabela1[[#This Row],[Último pagto ano]])</f>
        <v>2</v>
      </c>
      <c r="H4930" t="str">
        <f>TEXT(Tabela1[[#This Row],[Coluna2]]*29,"mmmm")</f>
        <v>fevereiro</v>
      </c>
      <c r="I4930" t="str">
        <f>TEXT(MONTH(Tabela1[[#This Row],[Último pagto ano]])*29,"mmmm")</f>
        <v>fevereiro</v>
      </c>
    </row>
    <row r="4931" spans="1:9" x14ac:dyDescent="0.25">
      <c r="A4931">
        <v>2025</v>
      </c>
      <c r="B4931" t="s">
        <v>9820</v>
      </c>
      <c r="C4931" s="1">
        <v>45806</v>
      </c>
      <c r="D4931" t="s">
        <v>9821</v>
      </c>
      <c r="E4931">
        <v>801.04</v>
      </c>
      <c r="G4931" s="3">
        <f>MONTH(Tabela1[[#This Row],[Último pagto ano]])</f>
        <v>5</v>
      </c>
      <c r="H4931" t="str">
        <f>TEXT(Tabela1[[#This Row],[Coluna2]]*29,"mmmm")</f>
        <v>maio</v>
      </c>
      <c r="I4931" t="str">
        <f>TEXT(MONTH(Tabela1[[#This Row],[Último pagto ano]])*29,"mmmm")</f>
        <v>maio</v>
      </c>
    </row>
    <row r="4932" spans="1:9" x14ac:dyDescent="0.25">
      <c r="A4932">
        <v>2025</v>
      </c>
      <c r="B4932" t="s">
        <v>9822</v>
      </c>
      <c r="C4932" s="1">
        <v>45777</v>
      </c>
      <c r="D4932" t="s">
        <v>9823</v>
      </c>
      <c r="E4932" s="2">
        <v>4188.0200000000004</v>
      </c>
      <c r="G4932" s="3">
        <f>MONTH(Tabela1[[#This Row],[Último pagto ano]])</f>
        <v>4</v>
      </c>
      <c r="H4932" t="str">
        <f>TEXT(Tabela1[[#This Row],[Coluna2]]*29,"mmmm")</f>
        <v>abril</v>
      </c>
      <c r="I4932" t="str">
        <f>TEXT(MONTH(Tabela1[[#This Row],[Último pagto ano]])*29,"mmmm")</f>
        <v>abril</v>
      </c>
    </row>
    <row r="4933" spans="1:9" x14ac:dyDescent="0.25">
      <c r="A4933">
        <v>2025</v>
      </c>
      <c r="B4933" t="s">
        <v>9824</v>
      </c>
      <c r="C4933" s="1">
        <v>45989</v>
      </c>
      <c r="D4933" t="s">
        <v>9825</v>
      </c>
      <c r="E4933" s="2">
        <v>7257.94</v>
      </c>
      <c r="G4933" s="3">
        <f>MONTH(Tabela1[[#This Row],[Último pagto ano]])</f>
        <v>11</v>
      </c>
      <c r="H4933" t="str">
        <f>TEXT(Tabela1[[#This Row],[Coluna2]]*29,"mmmm")</f>
        <v>novembro</v>
      </c>
      <c r="I4933" t="str">
        <f>TEXT(MONTH(Tabela1[[#This Row],[Último pagto ano]])*29,"mmmm")</f>
        <v>novembro</v>
      </c>
    </row>
    <row r="4934" spans="1:9" x14ac:dyDescent="0.25">
      <c r="A4934">
        <v>2025</v>
      </c>
      <c r="B4934" t="s">
        <v>9826</v>
      </c>
      <c r="C4934" s="1">
        <v>45996</v>
      </c>
      <c r="D4934" t="s">
        <v>9827</v>
      </c>
      <c r="E4934" s="2">
        <v>5000</v>
      </c>
      <c r="G4934" s="3">
        <f>MONTH(Tabela1[[#This Row],[Último pagto ano]])</f>
        <v>12</v>
      </c>
      <c r="H4934" t="str">
        <f>TEXT(Tabela1[[#This Row],[Coluna2]]*29,"mmmm")</f>
        <v>dezembro</v>
      </c>
      <c r="I4934" t="str">
        <f>TEXT(MONTH(Tabela1[[#This Row],[Último pagto ano]])*29,"mmmm")</f>
        <v>dezembro</v>
      </c>
    </row>
    <row r="4935" spans="1:9" x14ac:dyDescent="0.25">
      <c r="A4935">
        <v>2025</v>
      </c>
      <c r="B4935" t="s">
        <v>9828</v>
      </c>
      <c r="C4935" s="1">
        <v>46021</v>
      </c>
      <c r="D4935" t="s">
        <v>9829</v>
      </c>
      <c r="E4935">
        <v>846.48</v>
      </c>
      <c r="G4935" s="3">
        <f>MONTH(Tabela1[[#This Row],[Último pagto ano]])</f>
        <v>12</v>
      </c>
      <c r="H4935" t="str">
        <f>TEXT(Tabela1[[#This Row],[Coluna2]]*29,"mmmm")</f>
        <v>dezembro</v>
      </c>
      <c r="I4935" t="str">
        <f>TEXT(MONTH(Tabela1[[#This Row],[Último pagto ano]])*29,"mmmm")</f>
        <v>dezembro</v>
      </c>
    </row>
    <row r="4936" spans="1:9" x14ac:dyDescent="0.25">
      <c r="A4936">
        <v>2025</v>
      </c>
      <c r="B4936" t="s">
        <v>9830</v>
      </c>
      <c r="C4936" s="1">
        <v>45989</v>
      </c>
      <c r="D4936" t="s">
        <v>9831</v>
      </c>
      <c r="E4936" s="2">
        <v>11620.63</v>
      </c>
      <c r="G4936" s="3">
        <f>MONTH(Tabela1[[#This Row],[Último pagto ano]])</f>
        <v>11</v>
      </c>
      <c r="H4936" t="str">
        <f>TEXT(Tabela1[[#This Row],[Coluna2]]*29,"mmmm")</f>
        <v>novembro</v>
      </c>
      <c r="I4936" t="str">
        <f>TEXT(MONTH(Tabela1[[#This Row],[Último pagto ano]])*29,"mmmm")</f>
        <v>novembro</v>
      </c>
    </row>
    <row r="4937" spans="1:9" x14ac:dyDescent="0.25">
      <c r="A4937">
        <v>2025</v>
      </c>
      <c r="B4937" t="s">
        <v>9832</v>
      </c>
      <c r="C4937" s="1">
        <v>45989</v>
      </c>
      <c r="D4937" t="s">
        <v>9833</v>
      </c>
      <c r="E4937" s="2">
        <v>11569.01</v>
      </c>
      <c r="G4937" s="3">
        <f>MONTH(Tabela1[[#This Row],[Último pagto ano]])</f>
        <v>11</v>
      </c>
      <c r="H4937" t="str">
        <f>TEXT(Tabela1[[#This Row],[Coluna2]]*29,"mmmm")</f>
        <v>novembro</v>
      </c>
      <c r="I4937" t="str">
        <f>TEXT(MONTH(Tabela1[[#This Row],[Último pagto ano]])*29,"mmmm")</f>
        <v>novembro</v>
      </c>
    </row>
    <row r="4938" spans="1:9" x14ac:dyDescent="0.25">
      <c r="A4938">
        <v>2025</v>
      </c>
      <c r="B4938" t="s">
        <v>9834</v>
      </c>
      <c r="C4938" s="1">
        <v>45702</v>
      </c>
      <c r="D4938" t="s">
        <v>9835</v>
      </c>
      <c r="E4938">
        <v>231.66</v>
      </c>
      <c r="G4938" s="3">
        <f>MONTH(Tabela1[[#This Row],[Último pagto ano]])</f>
        <v>2</v>
      </c>
      <c r="H4938" t="str">
        <f>TEXT(Tabela1[[#This Row],[Coluna2]]*29,"mmmm")</f>
        <v>fevereiro</v>
      </c>
      <c r="I4938" t="str">
        <f>TEXT(MONTH(Tabela1[[#This Row],[Último pagto ano]])*29,"mmmm")</f>
        <v>fevereiro</v>
      </c>
    </row>
    <row r="4939" spans="1:9" x14ac:dyDescent="0.25">
      <c r="A4939">
        <v>2025</v>
      </c>
      <c r="B4939" t="s">
        <v>9836</v>
      </c>
      <c r="C4939" s="1">
        <v>45975</v>
      </c>
      <c r="D4939" t="s">
        <v>9837</v>
      </c>
      <c r="E4939" s="2">
        <v>5034.72</v>
      </c>
      <c r="G4939" s="3">
        <f>MONTH(Tabela1[[#This Row],[Último pagto ano]])</f>
        <v>11</v>
      </c>
      <c r="H4939" t="str">
        <f>TEXT(Tabela1[[#This Row],[Coluna2]]*29,"mmmm")</f>
        <v>novembro</v>
      </c>
      <c r="I4939" t="str">
        <f>TEXT(MONTH(Tabela1[[#This Row],[Último pagto ano]])*29,"mmmm")</f>
        <v>novembro</v>
      </c>
    </row>
    <row r="4940" spans="1:9" x14ac:dyDescent="0.25">
      <c r="A4940">
        <v>2025</v>
      </c>
      <c r="B4940" t="s">
        <v>9838</v>
      </c>
      <c r="C4940" s="1">
        <v>46021</v>
      </c>
      <c r="D4940" t="s">
        <v>9839</v>
      </c>
      <c r="E4940" s="2">
        <v>4752.26</v>
      </c>
      <c r="G4940" s="3">
        <f>MONTH(Tabela1[[#This Row],[Último pagto ano]])</f>
        <v>12</v>
      </c>
      <c r="H4940" t="str">
        <f>TEXT(Tabela1[[#This Row],[Coluna2]]*29,"mmmm")</f>
        <v>dezembro</v>
      </c>
      <c r="I4940" t="str">
        <f>TEXT(MONTH(Tabela1[[#This Row],[Último pagto ano]])*29,"mmmm")</f>
        <v>dezembro</v>
      </c>
    </row>
    <row r="4941" spans="1:9" x14ac:dyDescent="0.25">
      <c r="A4941">
        <v>2025</v>
      </c>
      <c r="B4941" t="s">
        <v>9840</v>
      </c>
      <c r="C4941" s="1">
        <v>45702</v>
      </c>
      <c r="D4941" t="s">
        <v>9841</v>
      </c>
      <c r="E4941">
        <v>84.24</v>
      </c>
      <c r="G4941" s="3">
        <f>MONTH(Tabela1[[#This Row],[Último pagto ano]])</f>
        <v>2</v>
      </c>
      <c r="H4941" t="str">
        <f>TEXT(Tabela1[[#This Row],[Coluna2]]*29,"mmmm")</f>
        <v>fevereiro</v>
      </c>
      <c r="I4941" t="str">
        <f>TEXT(MONTH(Tabela1[[#This Row],[Último pagto ano]])*29,"mmmm")</f>
        <v>fevereiro</v>
      </c>
    </row>
    <row r="4942" spans="1:9" x14ac:dyDescent="0.25">
      <c r="A4942">
        <v>2025</v>
      </c>
      <c r="B4942" t="s">
        <v>9842</v>
      </c>
      <c r="C4942" s="1">
        <v>45874</v>
      </c>
      <c r="D4942" t="s">
        <v>9843</v>
      </c>
      <c r="E4942" s="2">
        <v>6199.05</v>
      </c>
      <c r="G4942" s="3">
        <f>MONTH(Tabela1[[#This Row],[Último pagto ano]])</f>
        <v>8</v>
      </c>
      <c r="H4942" t="str">
        <f>TEXT(Tabela1[[#This Row],[Coluna2]]*29,"mmmm")</f>
        <v>agosto</v>
      </c>
      <c r="I4942" t="str">
        <f>TEXT(MONTH(Tabela1[[#This Row],[Último pagto ano]])*29,"mmmm")</f>
        <v>agosto</v>
      </c>
    </row>
    <row r="4943" spans="1:9" x14ac:dyDescent="0.25">
      <c r="A4943">
        <v>2025</v>
      </c>
      <c r="B4943" t="s">
        <v>9844</v>
      </c>
      <c r="C4943" s="1">
        <v>45996</v>
      </c>
      <c r="D4943" t="s">
        <v>9845</v>
      </c>
      <c r="E4943" s="2">
        <v>2000</v>
      </c>
      <c r="G4943" s="3">
        <f>MONTH(Tabela1[[#This Row],[Último pagto ano]])</f>
        <v>12</v>
      </c>
      <c r="H4943" t="str">
        <f>TEXT(Tabela1[[#This Row],[Coluna2]]*29,"mmmm")</f>
        <v>dezembro</v>
      </c>
      <c r="I4943" t="str">
        <f>TEXT(MONTH(Tabela1[[#This Row],[Último pagto ano]])*29,"mmmm")</f>
        <v>dezembro</v>
      </c>
    </row>
    <row r="4944" spans="1:9" x14ac:dyDescent="0.25">
      <c r="A4944">
        <v>2025</v>
      </c>
      <c r="B4944" t="s">
        <v>9846</v>
      </c>
      <c r="C4944" s="1">
        <v>45702</v>
      </c>
      <c r="D4944" t="s">
        <v>9847</v>
      </c>
      <c r="E4944">
        <v>780.57</v>
      </c>
      <c r="G4944" s="3">
        <f>MONTH(Tabela1[[#This Row],[Último pagto ano]])</f>
        <v>2</v>
      </c>
      <c r="H4944" t="str">
        <f>TEXT(Tabela1[[#This Row],[Coluna2]]*29,"mmmm")</f>
        <v>fevereiro</v>
      </c>
      <c r="I4944" t="str">
        <f>TEXT(MONTH(Tabela1[[#This Row],[Último pagto ano]])*29,"mmmm")</f>
        <v>fevereiro</v>
      </c>
    </row>
    <row r="4945" spans="1:9" x14ac:dyDescent="0.25">
      <c r="A4945">
        <v>2025</v>
      </c>
      <c r="B4945" t="s">
        <v>9848</v>
      </c>
      <c r="C4945" s="1">
        <v>46010</v>
      </c>
      <c r="D4945" t="s">
        <v>9849</v>
      </c>
      <c r="E4945" s="2">
        <v>8400</v>
      </c>
      <c r="G4945" s="3">
        <f>MONTH(Tabela1[[#This Row],[Último pagto ano]])</f>
        <v>12</v>
      </c>
      <c r="H4945" t="str">
        <f>TEXT(Tabela1[[#This Row],[Coluna2]]*29,"mmmm")</f>
        <v>dezembro</v>
      </c>
      <c r="I4945" t="str">
        <f>TEXT(MONTH(Tabela1[[#This Row],[Último pagto ano]])*29,"mmmm")</f>
        <v>dezembro</v>
      </c>
    </row>
    <row r="4946" spans="1:9" x14ac:dyDescent="0.25">
      <c r="A4946">
        <v>2025</v>
      </c>
      <c r="B4946" t="s">
        <v>9850</v>
      </c>
      <c r="C4946" s="1">
        <v>45695</v>
      </c>
      <c r="D4946" t="s">
        <v>9851</v>
      </c>
      <c r="E4946" s="2">
        <v>7254</v>
      </c>
      <c r="G4946" s="3">
        <f>MONTH(Tabela1[[#This Row],[Último pagto ano]])</f>
        <v>2</v>
      </c>
      <c r="H4946" t="str">
        <f>TEXT(Tabela1[[#This Row],[Coluna2]]*29,"mmmm")</f>
        <v>fevereiro</v>
      </c>
      <c r="I4946" t="str">
        <f>TEXT(MONTH(Tabela1[[#This Row],[Último pagto ano]])*29,"mmmm")</f>
        <v>fevereiro</v>
      </c>
    </row>
    <row r="4947" spans="1:9" x14ac:dyDescent="0.25">
      <c r="A4947">
        <v>2025</v>
      </c>
      <c r="B4947" t="s">
        <v>9852</v>
      </c>
      <c r="C4947" s="1">
        <v>45803</v>
      </c>
      <c r="D4947" t="s">
        <v>9853</v>
      </c>
      <c r="E4947" s="2">
        <v>2100</v>
      </c>
      <c r="G4947" s="3">
        <f>MONTH(Tabela1[[#This Row],[Último pagto ano]])</f>
        <v>5</v>
      </c>
      <c r="H4947" t="str">
        <f>TEXT(Tabela1[[#This Row],[Coluna2]]*29,"mmmm")</f>
        <v>maio</v>
      </c>
      <c r="I4947" t="str">
        <f>TEXT(MONTH(Tabela1[[#This Row],[Último pagto ano]])*29,"mmmm")</f>
        <v>maio</v>
      </c>
    </row>
    <row r="4948" spans="1:9" x14ac:dyDescent="0.25">
      <c r="A4948">
        <v>2025</v>
      </c>
      <c r="B4948" t="s">
        <v>9854</v>
      </c>
      <c r="C4948" s="1">
        <v>46013</v>
      </c>
      <c r="D4948" t="s">
        <v>9855</v>
      </c>
      <c r="E4948" s="2">
        <v>4536</v>
      </c>
      <c r="G4948" s="3">
        <f>MONTH(Tabela1[[#This Row],[Último pagto ano]])</f>
        <v>12</v>
      </c>
      <c r="H4948" t="str">
        <f>TEXT(Tabela1[[#This Row],[Coluna2]]*29,"mmmm")</f>
        <v>dezembro</v>
      </c>
      <c r="I4948" t="str">
        <f>TEXT(MONTH(Tabela1[[#This Row],[Último pagto ano]])*29,"mmmm")</f>
        <v>dezembro</v>
      </c>
    </row>
    <row r="4949" spans="1:9" x14ac:dyDescent="0.25">
      <c r="A4949">
        <v>2025</v>
      </c>
      <c r="B4949" t="s">
        <v>9856</v>
      </c>
      <c r="C4949" s="1">
        <v>45813</v>
      </c>
      <c r="D4949" t="s">
        <v>9857</v>
      </c>
      <c r="E4949" s="2">
        <v>4427.57</v>
      </c>
      <c r="G4949" s="3">
        <f>MONTH(Tabela1[[#This Row],[Último pagto ano]])</f>
        <v>6</v>
      </c>
      <c r="H4949" t="str">
        <f>TEXT(Tabela1[[#This Row],[Coluna2]]*29,"mmmm")</f>
        <v>junho</v>
      </c>
      <c r="I4949" t="str">
        <f>TEXT(MONTH(Tabela1[[#This Row],[Último pagto ano]])*29,"mmmm")</f>
        <v>junho</v>
      </c>
    </row>
    <row r="4950" spans="1:9" x14ac:dyDescent="0.25">
      <c r="A4950">
        <v>2025</v>
      </c>
      <c r="B4950" t="s">
        <v>9858</v>
      </c>
      <c r="C4950" s="1">
        <v>45673</v>
      </c>
      <c r="D4950" t="s">
        <v>9859</v>
      </c>
      <c r="E4950" s="2">
        <v>1200</v>
      </c>
      <c r="G4950" s="3">
        <f>MONTH(Tabela1[[#This Row],[Último pagto ano]])</f>
        <v>1</v>
      </c>
      <c r="H4950" t="str">
        <f>TEXT(Tabela1[[#This Row],[Coluna2]]*29,"mmmm")</f>
        <v>janeiro</v>
      </c>
      <c r="I4950" t="str">
        <f>TEXT(MONTH(Tabela1[[#This Row],[Último pagto ano]])*29,"mmmm")</f>
        <v>janeiro</v>
      </c>
    </row>
    <row r="4951" spans="1:9" x14ac:dyDescent="0.25">
      <c r="A4951">
        <v>2025</v>
      </c>
      <c r="B4951" t="s">
        <v>9860</v>
      </c>
      <c r="C4951" s="1">
        <v>46010</v>
      </c>
      <c r="D4951" t="s">
        <v>9861</v>
      </c>
      <c r="E4951" s="2">
        <v>24000</v>
      </c>
      <c r="G4951" s="3">
        <f>MONTH(Tabela1[[#This Row],[Último pagto ano]])</f>
        <v>12</v>
      </c>
      <c r="H4951" t="str">
        <f>TEXT(Tabela1[[#This Row],[Coluna2]]*29,"mmmm")</f>
        <v>dezembro</v>
      </c>
      <c r="I4951" t="str">
        <f>TEXT(MONTH(Tabela1[[#This Row],[Último pagto ano]])*29,"mmmm")</f>
        <v>dezembro</v>
      </c>
    </row>
    <row r="4952" spans="1:9" x14ac:dyDescent="0.25">
      <c r="A4952">
        <v>2025</v>
      </c>
      <c r="B4952" t="s">
        <v>9862</v>
      </c>
      <c r="C4952" s="1">
        <v>45702</v>
      </c>
      <c r="D4952" t="s">
        <v>9863</v>
      </c>
      <c r="E4952">
        <v>13.57</v>
      </c>
      <c r="G4952" s="3">
        <f>MONTH(Tabela1[[#This Row],[Último pagto ano]])</f>
        <v>2</v>
      </c>
      <c r="H4952" t="str">
        <f>TEXT(Tabela1[[#This Row],[Coluna2]]*29,"mmmm")</f>
        <v>fevereiro</v>
      </c>
      <c r="I4952" t="str">
        <f>TEXT(MONTH(Tabela1[[#This Row],[Último pagto ano]])*29,"mmmm")</f>
        <v>fevereiro</v>
      </c>
    </row>
    <row r="4953" spans="1:9" x14ac:dyDescent="0.25">
      <c r="A4953">
        <v>2025</v>
      </c>
      <c r="B4953" t="s">
        <v>9864</v>
      </c>
      <c r="C4953" s="1">
        <v>45978</v>
      </c>
      <c r="D4953" t="s">
        <v>9865</v>
      </c>
      <c r="E4953" s="2">
        <v>1800</v>
      </c>
      <c r="G4953" s="3">
        <f>MONTH(Tabela1[[#This Row],[Último pagto ano]])</f>
        <v>11</v>
      </c>
      <c r="H4953" t="str">
        <f>TEXT(Tabela1[[#This Row],[Coluna2]]*29,"mmmm")</f>
        <v>novembro</v>
      </c>
      <c r="I4953" t="str">
        <f>TEXT(MONTH(Tabela1[[#This Row],[Último pagto ano]])*29,"mmmm")</f>
        <v>novembro</v>
      </c>
    </row>
    <row r="4954" spans="1:9" x14ac:dyDescent="0.25">
      <c r="A4954">
        <v>2025</v>
      </c>
      <c r="B4954" t="s">
        <v>9866</v>
      </c>
      <c r="C4954" s="1">
        <v>45896</v>
      </c>
      <c r="D4954" t="s">
        <v>9867</v>
      </c>
      <c r="E4954" s="2">
        <v>6876.78</v>
      </c>
      <c r="G4954" s="3">
        <f>MONTH(Tabela1[[#This Row],[Último pagto ano]])</f>
        <v>8</v>
      </c>
      <c r="H4954" t="str">
        <f>TEXT(Tabela1[[#This Row],[Coluna2]]*29,"mmmm")</f>
        <v>agosto</v>
      </c>
      <c r="I4954" t="str">
        <f>TEXT(MONTH(Tabela1[[#This Row],[Último pagto ano]])*29,"mmmm")</f>
        <v>agosto</v>
      </c>
    </row>
    <row r="4955" spans="1:9" x14ac:dyDescent="0.25">
      <c r="A4955">
        <v>2025</v>
      </c>
      <c r="B4955" t="s">
        <v>9868</v>
      </c>
      <c r="C4955" s="1">
        <v>45905</v>
      </c>
      <c r="D4955" t="s">
        <v>9869</v>
      </c>
      <c r="E4955" s="2">
        <v>6000</v>
      </c>
      <c r="G4955" s="3">
        <f>MONTH(Tabela1[[#This Row],[Último pagto ano]])</f>
        <v>9</v>
      </c>
      <c r="H4955" t="str">
        <f>TEXT(Tabela1[[#This Row],[Coluna2]]*29,"mmmm")</f>
        <v>setembro</v>
      </c>
      <c r="I4955" t="str">
        <f>TEXT(MONTH(Tabela1[[#This Row],[Último pagto ano]])*29,"mmmm")</f>
        <v>setembro</v>
      </c>
    </row>
    <row r="4956" spans="1:9" x14ac:dyDescent="0.25">
      <c r="A4956">
        <v>2025</v>
      </c>
      <c r="B4956" t="s">
        <v>9870</v>
      </c>
      <c r="C4956" s="1">
        <v>45996</v>
      </c>
      <c r="D4956" t="s">
        <v>9871</v>
      </c>
      <c r="E4956" s="2">
        <v>23820</v>
      </c>
      <c r="G4956" s="3">
        <f>MONTH(Tabela1[[#This Row],[Último pagto ano]])</f>
        <v>12</v>
      </c>
      <c r="H4956" t="str">
        <f>TEXT(Tabela1[[#This Row],[Coluna2]]*29,"mmmm")</f>
        <v>dezembro</v>
      </c>
      <c r="I4956" t="str">
        <f>TEXT(MONTH(Tabela1[[#This Row],[Último pagto ano]])*29,"mmmm")</f>
        <v>dezembro</v>
      </c>
    </row>
    <row r="4957" spans="1:9" x14ac:dyDescent="0.25">
      <c r="A4957">
        <v>2025</v>
      </c>
      <c r="B4957" t="s">
        <v>9872</v>
      </c>
      <c r="C4957" s="1">
        <v>46006</v>
      </c>
      <c r="D4957" t="s">
        <v>9873</v>
      </c>
      <c r="E4957" s="2">
        <v>19988.48</v>
      </c>
      <c r="G4957" s="3">
        <f>MONTH(Tabela1[[#This Row],[Último pagto ano]])</f>
        <v>12</v>
      </c>
      <c r="H4957" t="str">
        <f>TEXT(Tabela1[[#This Row],[Coluna2]]*29,"mmmm")</f>
        <v>dezembro</v>
      </c>
      <c r="I4957" t="str">
        <f>TEXT(MONTH(Tabela1[[#This Row],[Último pagto ano]])*29,"mmmm")</f>
        <v>dezembro</v>
      </c>
    </row>
    <row r="4958" spans="1:9" x14ac:dyDescent="0.25">
      <c r="A4958">
        <v>2025</v>
      </c>
      <c r="B4958" t="s">
        <v>9874</v>
      </c>
      <c r="C4958" s="1">
        <v>45974</v>
      </c>
      <c r="D4958" t="s">
        <v>9875</v>
      </c>
      <c r="E4958" s="2">
        <v>7642</v>
      </c>
      <c r="G4958" s="3">
        <f>MONTH(Tabela1[[#This Row],[Último pagto ano]])</f>
        <v>11</v>
      </c>
      <c r="H4958" t="str">
        <f>TEXT(Tabela1[[#This Row],[Coluna2]]*29,"mmmm")</f>
        <v>novembro</v>
      </c>
      <c r="I4958" t="str">
        <f>TEXT(MONTH(Tabela1[[#This Row],[Último pagto ano]])*29,"mmmm")</f>
        <v>novembro</v>
      </c>
    </row>
    <row r="4959" spans="1:9" x14ac:dyDescent="0.25">
      <c r="A4959">
        <v>2025</v>
      </c>
      <c r="B4959" t="s">
        <v>9876</v>
      </c>
      <c r="C4959" s="1">
        <v>46014</v>
      </c>
      <c r="D4959" t="s">
        <v>9877</v>
      </c>
      <c r="E4959" s="2">
        <v>170113.01</v>
      </c>
      <c r="G4959" s="3">
        <f>MONTH(Tabela1[[#This Row],[Último pagto ano]])</f>
        <v>12</v>
      </c>
      <c r="H4959" t="str">
        <f>TEXT(Tabela1[[#This Row],[Coluna2]]*29,"mmmm")</f>
        <v>dezembro</v>
      </c>
      <c r="I4959" t="str">
        <f>TEXT(MONTH(Tabela1[[#This Row],[Último pagto ano]])*29,"mmmm")</f>
        <v>dezembro</v>
      </c>
    </row>
    <row r="4960" spans="1:9" x14ac:dyDescent="0.25">
      <c r="A4960">
        <v>2025</v>
      </c>
      <c r="B4960" t="s">
        <v>9878</v>
      </c>
      <c r="C4960" s="1">
        <v>45915</v>
      </c>
      <c r="D4960" t="s">
        <v>9879</v>
      </c>
      <c r="E4960" s="2">
        <v>15963.3</v>
      </c>
      <c r="G4960" s="3">
        <f>MONTH(Tabela1[[#This Row],[Último pagto ano]])</f>
        <v>9</v>
      </c>
      <c r="H4960" t="str">
        <f>TEXT(Tabela1[[#This Row],[Coluna2]]*29,"mmmm")</f>
        <v>setembro</v>
      </c>
      <c r="I4960" t="str">
        <f>TEXT(MONTH(Tabela1[[#This Row],[Último pagto ano]])*29,"mmmm")</f>
        <v>setembro</v>
      </c>
    </row>
    <row r="4961" spans="1:9" x14ac:dyDescent="0.25">
      <c r="A4961">
        <v>2025</v>
      </c>
      <c r="B4961" t="s">
        <v>9880</v>
      </c>
      <c r="C4961" s="1">
        <v>45975</v>
      </c>
      <c r="D4961" t="s">
        <v>9881</v>
      </c>
      <c r="E4961" s="2">
        <v>13248</v>
      </c>
      <c r="G4961" s="3">
        <f>MONTH(Tabela1[[#This Row],[Último pagto ano]])</f>
        <v>11</v>
      </c>
      <c r="H4961" t="str">
        <f>TEXT(Tabela1[[#This Row],[Coluna2]]*29,"mmmm")</f>
        <v>novembro</v>
      </c>
      <c r="I4961" t="str">
        <f>TEXT(MONTH(Tabela1[[#This Row],[Último pagto ano]])*29,"mmmm")</f>
        <v>novembro</v>
      </c>
    </row>
    <row r="4962" spans="1:9" x14ac:dyDescent="0.25">
      <c r="A4962">
        <v>2025</v>
      </c>
      <c r="B4962" t="s">
        <v>9882</v>
      </c>
      <c r="C4962" s="1">
        <v>46010</v>
      </c>
      <c r="D4962" t="s">
        <v>9883</v>
      </c>
      <c r="E4962" s="2">
        <v>12000</v>
      </c>
      <c r="G4962" s="3">
        <f>MONTH(Tabela1[[#This Row],[Último pagto ano]])</f>
        <v>12</v>
      </c>
      <c r="H4962" t="str">
        <f>TEXT(Tabela1[[#This Row],[Coluna2]]*29,"mmmm")</f>
        <v>dezembro</v>
      </c>
      <c r="I4962" t="str">
        <f>TEXT(MONTH(Tabela1[[#This Row],[Último pagto ano]])*29,"mmmm")</f>
        <v>dezembro</v>
      </c>
    </row>
    <row r="4963" spans="1:9" x14ac:dyDescent="0.25">
      <c r="A4963">
        <v>2025</v>
      </c>
      <c r="B4963" t="s">
        <v>9884</v>
      </c>
      <c r="C4963" s="1">
        <v>45999</v>
      </c>
      <c r="D4963" t="s">
        <v>9885</v>
      </c>
      <c r="E4963">
        <v>44</v>
      </c>
      <c r="G4963" s="3">
        <f>MONTH(Tabela1[[#This Row],[Último pagto ano]])</f>
        <v>12</v>
      </c>
      <c r="H4963" t="str">
        <f>TEXT(Tabela1[[#This Row],[Coluna2]]*29,"mmmm")</f>
        <v>dezembro</v>
      </c>
      <c r="I4963" t="str">
        <f>TEXT(MONTH(Tabela1[[#This Row],[Último pagto ano]])*29,"mmmm")</f>
        <v>dezembro</v>
      </c>
    </row>
    <row r="4964" spans="1:9" x14ac:dyDescent="0.25">
      <c r="A4964">
        <v>2025</v>
      </c>
      <c r="B4964" t="s">
        <v>9886</v>
      </c>
      <c r="C4964" s="1">
        <v>46006</v>
      </c>
      <c r="D4964" t="s">
        <v>9887</v>
      </c>
      <c r="E4964" s="2">
        <v>61920</v>
      </c>
      <c r="G4964" s="3">
        <f>MONTH(Tabela1[[#This Row],[Último pagto ano]])</f>
        <v>12</v>
      </c>
      <c r="H4964" t="str">
        <f>TEXT(Tabela1[[#This Row],[Coluna2]]*29,"mmmm")</f>
        <v>dezembro</v>
      </c>
      <c r="I4964" t="str">
        <f>TEXT(MONTH(Tabela1[[#This Row],[Último pagto ano]])*29,"mmmm")</f>
        <v>dezembro</v>
      </c>
    </row>
    <row r="4965" spans="1:9" x14ac:dyDescent="0.25">
      <c r="A4965">
        <v>2025</v>
      </c>
      <c r="B4965" t="s">
        <v>9888</v>
      </c>
      <c r="C4965" s="1">
        <v>45702</v>
      </c>
      <c r="D4965" t="s">
        <v>9889</v>
      </c>
      <c r="E4965">
        <v>180.23</v>
      </c>
      <c r="G4965" s="3">
        <f>MONTH(Tabela1[[#This Row],[Último pagto ano]])</f>
        <v>2</v>
      </c>
      <c r="H4965" t="str">
        <f>TEXT(Tabela1[[#This Row],[Coluna2]]*29,"mmmm")</f>
        <v>fevereiro</v>
      </c>
      <c r="I4965" t="str">
        <f>TEXT(MONTH(Tabela1[[#This Row],[Último pagto ano]])*29,"mmmm")</f>
        <v>fevereiro</v>
      </c>
    </row>
    <row r="4966" spans="1:9" x14ac:dyDescent="0.25">
      <c r="A4966">
        <v>2025</v>
      </c>
      <c r="B4966" t="s">
        <v>9890</v>
      </c>
      <c r="C4966" s="1">
        <v>45807</v>
      </c>
      <c r="D4966" t="s">
        <v>9891</v>
      </c>
      <c r="E4966" s="2">
        <v>1140.23</v>
      </c>
      <c r="G4966" s="3">
        <f>MONTH(Tabela1[[#This Row],[Último pagto ano]])</f>
        <v>5</v>
      </c>
      <c r="H4966" t="str">
        <f>TEXT(Tabela1[[#This Row],[Coluna2]]*29,"mmmm")</f>
        <v>maio</v>
      </c>
      <c r="I4966" t="str">
        <f>TEXT(MONTH(Tabela1[[#This Row],[Último pagto ano]])*29,"mmmm")</f>
        <v>maio</v>
      </c>
    </row>
    <row r="4967" spans="1:9" x14ac:dyDescent="0.25">
      <c r="A4967">
        <v>2025</v>
      </c>
      <c r="B4967" t="s">
        <v>9892</v>
      </c>
      <c r="C4967" s="1">
        <v>46006</v>
      </c>
      <c r="D4967" t="s">
        <v>9893</v>
      </c>
      <c r="E4967">
        <v>33</v>
      </c>
      <c r="G4967" s="3">
        <f>MONTH(Tabela1[[#This Row],[Último pagto ano]])</f>
        <v>12</v>
      </c>
      <c r="H4967" t="str">
        <f>TEXT(Tabela1[[#This Row],[Coluna2]]*29,"mmmm")</f>
        <v>dezembro</v>
      </c>
      <c r="I4967" t="str">
        <f>TEXT(MONTH(Tabela1[[#This Row],[Último pagto ano]])*29,"mmmm")</f>
        <v>dezembro</v>
      </c>
    </row>
    <row r="4968" spans="1:9" x14ac:dyDescent="0.25">
      <c r="A4968">
        <v>2025</v>
      </c>
      <c r="B4968" t="s">
        <v>9894</v>
      </c>
      <c r="C4968" s="1">
        <v>46014</v>
      </c>
      <c r="D4968" t="s">
        <v>9895</v>
      </c>
      <c r="E4968" s="2">
        <v>6030</v>
      </c>
      <c r="G4968" s="3">
        <f>MONTH(Tabela1[[#This Row],[Último pagto ano]])</f>
        <v>12</v>
      </c>
      <c r="H4968" t="str">
        <f>TEXT(Tabela1[[#This Row],[Coluna2]]*29,"mmmm")</f>
        <v>dezembro</v>
      </c>
      <c r="I4968" t="str">
        <f>TEXT(MONTH(Tabela1[[#This Row],[Último pagto ano]])*29,"mmmm")</f>
        <v>dezembro</v>
      </c>
    </row>
    <row r="4969" spans="1:9" x14ac:dyDescent="0.25">
      <c r="A4969">
        <v>2025</v>
      </c>
      <c r="B4969" t="s">
        <v>9896</v>
      </c>
      <c r="C4969" s="1">
        <v>45812</v>
      </c>
      <c r="D4969" t="s">
        <v>9897</v>
      </c>
      <c r="E4969" s="2">
        <v>403807.3</v>
      </c>
      <c r="G4969" s="3">
        <f>MONTH(Tabela1[[#This Row],[Último pagto ano]])</f>
        <v>6</v>
      </c>
      <c r="H4969" t="str">
        <f>TEXT(Tabela1[[#This Row],[Coluna2]]*29,"mmmm")</f>
        <v>junho</v>
      </c>
      <c r="I4969" t="str">
        <f>TEXT(MONTH(Tabela1[[#This Row],[Último pagto ano]])*29,"mmmm")</f>
        <v>junho</v>
      </c>
    </row>
    <row r="4970" spans="1:9" x14ac:dyDescent="0.25">
      <c r="A4970">
        <v>2025</v>
      </c>
      <c r="B4970" t="s">
        <v>9898</v>
      </c>
      <c r="C4970" s="1">
        <v>45985</v>
      </c>
      <c r="D4970" t="s">
        <v>9899</v>
      </c>
      <c r="E4970" s="2">
        <v>30000</v>
      </c>
      <c r="G4970" s="3">
        <f>MONTH(Tabela1[[#This Row],[Último pagto ano]])</f>
        <v>11</v>
      </c>
      <c r="H4970" t="str">
        <f>TEXT(Tabela1[[#This Row],[Coluna2]]*29,"mmmm")</f>
        <v>novembro</v>
      </c>
      <c r="I4970" t="str">
        <f>TEXT(MONTH(Tabela1[[#This Row],[Último pagto ano]])*29,"mmmm")</f>
        <v>novembro</v>
      </c>
    </row>
    <row r="4971" spans="1:9" x14ac:dyDescent="0.25">
      <c r="A4971">
        <v>2025</v>
      </c>
      <c r="B4971" t="s">
        <v>9900</v>
      </c>
      <c r="C4971" s="1">
        <v>45999</v>
      </c>
      <c r="D4971" t="s">
        <v>9901</v>
      </c>
      <c r="E4971" s="2">
        <v>398549.4</v>
      </c>
      <c r="G4971" s="3">
        <f>MONTH(Tabela1[[#This Row],[Último pagto ano]])</f>
        <v>12</v>
      </c>
      <c r="H4971" t="str">
        <f>TEXT(Tabela1[[#This Row],[Coluna2]]*29,"mmmm")</f>
        <v>dezembro</v>
      </c>
      <c r="I4971" t="str">
        <f>TEXT(MONTH(Tabela1[[#This Row],[Último pagto ano]])*29,"mmmm")</f>
        <v>dezembro</v>
      </c>
    </row>
    <row r="4972" spans="1:9" x14ac:dyDescent="0.25">
      <c r="A4972">
        <v>2025</v>
      </c>
      <c r="B4972" t="s">
        <v>9902</v>
      </c>
      <c r="C4972" s="1">
        <v>45938</v>
      </c>
      <c r="D4972" t="s">
        <v>9903</v>
      </c>
      <c r="E4972" s="2">
        <v>8958.44</v>
      </c>
      <c r="G4972" s="3">
        <f>MONTH(Tabela1[[#This Row],[Último pagto ano]])</f>
        <v>10</v>
      </c>
      <c r="H4972" t="str">
        <f>TEXT(Tabela1[[#This Row],[Coluna2]]*29,"mmmm")</f>
        <v>outubro</v>
      </c>
      <c r="I4972" t="str">
        <f>TEXT(MONTH(Tabela1[[#This Row],[Último pagto ano]])*29,"mmmm")</f>
        <v>outubro</v>
      </c>
    </row>
    <row r="4973" spans="1:9" x14ac:dyDescent="0.25">
      <c r="A4973">
        <v>2025</v>
      </c>
      <c r="B4973" t="s">
        <v>9904</v>
      </c>
      <c r="C4973" s="1">
        <v>45901</v>
      </c>
      <c r="D4973" t="s">
        <v>9905</v>
      </c>
      <c r="E4973" s="2">
        <v>5400</v>
      </c>
      <c r="G4973" s="3">
        <f>MONTH(Tabela1[[#This Row],[Último pagto ano]])</f>
        <v>9</v>
      </c>
      <c r="H4973" t="str">
        <f>TEXT(Tabela1[[#This Row],[Coluna2]]*29,"mmmm")</f>
        <v>setembro</v>
      </c>
      <c r="I4973" t="str">
        <f>TEXT(MONTH(Tabela1[[#This Row],[Último pagto ano]])*29,"mmmm")</f>
        <v>setembro</v>
      </c>
    </row>
    <row r="4974" spans="1:9" x14ac:dyDescent="0.25">
      <c r="A4974">
        <v>2025</v>
      </c>
      <c r="B4974" t="s">
        <v>9906</v>
      </c>
      <c r="C4974" s="1">
        <v>45996</v>
      </c>
      <c r="D4974" t="s">
        <v>9907</v>
      </c>
      <c r="E4974" s="2">
        <v>44000</v>
      </c>
      <c r="G4974" s="3">
        <f>MONTH(Tabela1[[#This Row],[Último pagto ano]])</f>
        <v>12</v>
      </c>
      <c r="H4974" t="str">
        <f>TEXT(Tabela1[[#This Row],[Coluna2]]*29,"mmmm")</f>
        <v>dezembro</v>
      </c>
      <c r="I4974" t="str">
        <f>TEXT(MONTH(Tabela1[[#This Row],[Último pagto ano]])*29,"mmmm")</f>
        <v>dezembro</v>
      </c>
    </row>
    <row r="4975" spans="1:9" x14ac:dyDescent="0.25">
      <c r="A4975">
        <v>2025</v>
      </c>
      <c r="B4975" t="s">
        <v>9908</v>
      </c>
      <c r="C4975" s="1">
        <v>45996</v>
      </c>
      <c r="D4975" t="s">
        <v>9909</v>
      </c>
      <c r="E4975" s="2">
        <v>14000.04</v>
      </c>
      <c r="G4975" s="3">
        <f>MONTH(Tabela1[[#This Row],[Último pagto ano]])</f>
        <v>12</v>
      </c>
      <c r="H4975" t="str">
        <f>TEXT(Tabela1[[#This Row],[Coluna2]]*29,"mmmm")</f>
        <v>dezembro</v>
      </c>
      <c r="I4975" t="str">
        <f>TEXT(MONTH(Tabela1[[#This Row],[Último pagto ano]])*29,"mmmm")</f>
        <v>dezembro</v>
      </c>
    </row>
    <row r="4976" spans="1:9" x14ac:dyDescent="0.25">
      <c r="A4976">
        <v>2025</v>
      </c>
      <c r="B4976" t="s">
        <v>9910</v>
      </c>
      <c r="C4976" s="1">
        <v>45733</v>
      </c>
      <c r="D4976" t="s">
        <v>9911</v>
      </c>
      <c r="E4976">
        <v>592.32000000000005</v>
      </c>
      <c r="G4976" s="3">
        <f>MONTH(Tabela1[[#This Row],[Último pagto ano]])</f>
        <v>3</v>
      </c>
      <c r="H4976" t="str">
        <f>TEXT(Tabela1[[#This Row],[Coluna2]]*29,"mmmm")</f>
        <v>março</v>
      </c>
      <c r="I4976" t="str">
        <f>TEXT(MONTH(Tabela1[[#This Row],[Último pagto ano]])*29,"mmmm")</f>
        <v>março</v>
      </c>
    </row>
    <row r="4977" spans="1:9" x14ac:dyDescent="0.25">
      <c r="A4977">
        <v>2025</v>
      </c>
      <c r="B4977" t="s">
        <v>9912</v>
      </c>
      <c r="C4977" s="1">
        <v>45996</v>
      </c>
      <c r="D4977" t="s">
        <v>9913</v>
      </c>
      <c r="E4977" s="2">
        <v>46425.599999999999</v>
      </c>
      <c r="G4977" s="3">
        <f>MONTH(Tabela1[[#This Row],[Último pagto ano]])</f>
        <v>12</v>
      </c>
      <c r="H4977" t="str">
        <f>TEXT(Tabela1[[#This Row],[Coluna2]]*29,"mmmm")</f>
        <v>dezembro</v>
      </c>
      <c r="I4977" t="str">
        <f>TEXT(MONTH(Tabela1[[#This Row],[Último pagto ano]])*29,"mmmm")</f>
        <v>dezembro</v>
      </c>
    </row>
    <row r="4978" spans="1:9" x14ac:dyDescent="0.25">
      <c r="A4978">
        <v>2025</v>
      </c>
      <c r="B4978" t="s">
        <v>9914</v>
      </c>
      <c r="C4978" s="1">
        <v>45943</v>
      </c>
      <c r="D4978" t="s">
        <v>9915</v>
      </c>
      <c r="E4978">
        <v>110</v>
      </c>
      <c r="G4978" s="3">
        <f>MONTH(Tabela1[[#This Row],[Último pagto ano]])</f>
        <v>10</v>
      </c>
      <c r="H4978" t="str">
        <f>TEXT(Tabela1[[#This Row],[Coluna2]]*29,"mmmm")</f>
        <v>outubro</v>
      </c>
      <c r="I4978" t="str">
        <f>TEXT(MONTH(Tabela1[[#This Row],[Último pagto ano]])*29,"mmmm")</f>
        <v>outubro</v>
      </c>
    </row>
    <row r="4979" spans="1:9" x14ac:dyDescent="0.25">
      <c r="A4979">
        <v>2025</v>
      </c>
      <c r="B4979" t="s">
        <v>9916</v>
      </c>
      <c r="C4979" s="1">
        <v>46014</v>
      </c>
      <c r="D4979" t="s">
        <v>9917</v>
      </c>
      <c r="E4979" s="2">
        <v>32232</v>
      </c>
      <c r="G4979" s="3">
        <f>MONTH(Tabela1[[#This Row],[Último pagto ano]])</f>
        <v>12</v>
      </c>
      <c r="H4979" t="str">
        <f>TEXT(Tabela1[[#This Row],[Coluna2]]*29,"mmmm")</f>
        <v>dezembro</v>
      </c>
      <c r="I4979" t="str">
        <f>TEXT(MONTH(Tabela1[[#This Row],[Último pagto ano]])*29,"mmmm")</f>
        <v>dezembro</v>
      </c>
    </row>
    <row r="4980" spans="1:9" x14ac:dyDescent="0.25">
      <c r="A4980">
        <v>2025</v>
      </c>
      <c r="B4980" t="s">
        <v>9918</v>
      </c>
      <c r="C4980" s="1">
        <v>45996</v>
      </c>
      <c r="D4980" t="s">
        <v>9919</v>
      </c>
      <c r="E4980" s="2">
        <v>115086.3</v>
      </c>
      <c r="G4980" s="3">
        <f>MONTH(Tabela1[[#This Row],[Último pagto ano]])</f>
        <v>12</v>
      </c>
      <c r="H4980" t="str">
        <f>TEXT(Tabela1[[#This Row],[Coluna2]]*29,"mmmm")</f>
        <v>dezembro</v>
      </c>
      <c r="I4980" t="str">
        <f>TEXT(MONTH(Tabela1[[#This Row],[Último pagto ano]])*29,"mmmm")</f>
        <v>dezembro</v>
      </c>
    </row>
    <row r="4981" spans="1:9" x14ac:dyDescent="0.25">
      <c r="A4981">
        <v>2025</v>
      </c>
      <c r="B4981" t="s">
        <v>9920</v>
      </c>
      <c r="C4981" s="1">
        <v>45964</v>
      </c>
      <c r="D4981" t="s">
        <v>9921</v>
      </c>
      <c r="E4981">
        <v>253</v>
      </c>
      <c r="G4981" s="3">
        <f>MONTH(Tabela1[[#This Row],[Último pagto ano]])</f>
        <v>11</v>
      </c>
      <c r="H4981" t="str">
        <f>TEXT(Tabela1[[#This Row],[Coluna2]]*29,"mmmm")</f>
        <v>novembro</v>
      </c>
      <c r="I4981" t="str">
        <f>TEXT(MONTH(Tabela1[[#This Row],[Último pagto ano]])*29,"mmmm")</f>
        <v>novembro</v>
      </c>
    </row>
    <row r="4982" spans="1:9" x14ac:dyDescent="0.25">
      <c r="A4982">
        <v>2025</v>
      </c>
      <c r="B4982" t="s">
        <v>9922</v>
      </c>
      <c r="C4982" s="1">
        <v>45821</v>
      </c>
      <c r="D4982" t="s">
        <v>9923</v>
      </c>
      <c r="E4982" s="2">
        <v>8933.7000000000007</v>
      </c>
      <c r="G4982" s="3">
        <f>MONTH(Tabela1[[#This Row],[Último pagto ano]])</f>
        <v>6</v>
      </c>
      <c r="H4982" t="str">
        <f>TEXT(Tabela1[[#This Row],[Coluna2]]*29,"mmmm")</f>
        <v>junho</v>
      </c>
      <c r="I4982" t="str">
        <f>TEXT(MONTH(Tabela1[[#This Row],[Último pagto ano]])*29,"mmmm")</f>
        <v>junho</v>
      </c>
    </row>
    <row r="4983" spans="1:9" x14ac:dyDescent="0.25">
      <c r="A4983">
        <v>2025</v>
      </c>
      <c r="B4983" t="s">
        <v>9924</v>
      </c>
      <c r="C4983" s="1">
        <v>45930</v>
      </c>
      <c r="D4983" t="s">
        <v>9925</v>
      </c>
      <c r="E4983" s="2">
        <v>9472.93</v>
      </c>
      <c r="G4983" s="3">
        <f>MONTH(Tabela1[[#This Row],[Último pagto ano]])</f>
        <v>9</v>
      </c>
      <c r="H4983" t="str">
        <f>TEXT(Tabela1[[#This Row],[Coluna2]]*29,"mmmm")</f>
        <v>setembro</v>
      </c>
      <c r="I4983" t="str">
        <f>TEXT(MONTH(Tabela1[[#This Row],[Último pagto ano]])*29,"mmmm")</f>
        <v>setembro</v>
      </c>
    </row>
    <row r="4984" spans="1:9" x14ac:dyDescent="0.25">
      <c r="A4984">
        <v>2025</v>
      </c>
      <c r="B4984" t="s">
        <v>9926</v>
      </c>
      <c r="C4984" s="1">
        <v>45989</v>
      </c>
      <c r="D4984" t="s">
        <v>9927</v>
      </c>
      <c r="E4984" s="2">
        <v>10076.24</v>
      </c>
      <c r="G4984" s="3">
        <f>MONTH(Tabela1[[#This Row],[Último pagto ano]])</f>
        <v>11</v>
      </c>
      <c r="H4984" t="str">
        <f>TEXT(Tabela1[[#This Row],[Coluna2]]*29,"mmmm")</f>
        <v>novembro</v>
      </c>
      <c r="I4984" t="str">
        <f>TEXT(MONTH(Tabela1[[#This Row],[Último pagto ano]])*29,"mmmm")</f>
        <v>novembro</v>
      </c>
    </row>
    <row r="4985" spans="1:9" x14ac:dyDescent="0.25">
      <c r="A4985">
        <v>2025</v>
      </c>
      <c r="B4985" t="s">
        <v>9928</v>
      </c>
      <c r="C4985" s="1">
        <v>46014</v>
      </c>
      <c r="D4985" t="s">
        <v>9929</v>
      </c>
      <c r="E4985">
        <v>220</v>
      </c>
      <c r="G4985" s="3">
        <f>MONTH(Tabela1[[#This Row],[Último pagto ano]])</f>
        <v>12</v>
      </c>
      <c r="H4985" t="str">
        <f>TEXT(Tabela1[[#This Row],[Coluna2]]*29,"mmmm")</f>
        <v>dezembro</v>
      </c>
      <c r="I4985" t="str">
        <f>TEXT(MONTH(Tabela1[[#This Row],[Último pagto ano]])*29,"mmmm")</f>
        <v>dezembro</v>
      </c>
    </row>
    <row r="4986" spans="1:9" x14ac:dyDescent="0.25">
      <c r="A4986">
        <v>2025</v>
      </c>
      <c r="B4986" t="s">
        <v>9930</v>
      </c>
      <c r="C4986" s="1">
        <v>45777</v>
      </c>
      <c r="D4986" t="s">
        <v>9931</v>
      </c>
      <c r="E4986" s="2">
        <v>3869.74</v>
      </c>
      <c r="G4986" s="3">
        <f>MONTH(Tabela1[[#This Row],[Último pagto ano]])</f>
        <v>4</v>
      </c>
      <c r="H4986" t="str">
        <f>TEXT(Tabela1[[#This Row],[Coluna2]]*29,"mmmm")</f>
        <v>abril</v>
      </c>
      <c r="I4986" t="str">
        <f>TEXT(MONTH(Tabela1[[#This Row],[Último pagto ano]])*29,"mmmm")</f>
        <v>abril</v>
      </c>
    </row>
    <row r="4987" spans="1:9" x14ac:dyDescent="0.25">
      <c r="A4987">
        <v>2025</v>
      </c>
      <c r="B4987" t="s">
        <v>9932</v>
      </c>
      <c r="C4987" s="1">
        <v>45702</v>
      </c>
      <c r="D4987" t="s">
        <v>9933</v>
      </c>
      <c r="E4987">
        <v>164.53</v>
      </c>
      <c r="G4987" s="3">
        <f>MONTH(Tabela1[[#This Row],[Último pagto ano]])</f>
        <v>2</v>
      </c>
      <c r="H4987" t="str">
        <f>TEXT(Tabela1[[#This Row],[Coluna2]]*29,"mmmm")</f>
        <v>fevereiro</v>
      </c>
      <c r="I4987" t="str">
        <f>TEXT(MONTH(Tabela1[[#This Row],[Último pagto ano]])*29,"mmmm")</f>
        <v>fevereiro</v>
      </c>
    </row>
    <row r="4988" spans="1:9" x14ac:dyDescent="0.25">
      <c r="A4988">
        <v>2025</v>
      </c>
      <c r="B4988" t="s">
        <v>9934</v>
      </c>
      <c r="C4988" s="1">
        <v>46010</v>
      </c>
      <c r="D4988" t="s">
        <v>9935</v>
      </c>
      <c r="E4988" s="2">
        <v>4900</v>
      </c>
      <c r="G4988" s="3">
        <f>MONTH(Tabela1[[#This Row],[Último pagto ano]])</f>
        <v>12</v>
      </c>
      <c r="H4988" t="str">
        <f>TEXT(Tabela1[[#This Row],[Coluna2]]*29,"mmmm")</f>
        <v>dezembro</v>
      </c>
      <c r="I4988" t="str">
        <f>TEXT(MONTH(Tabela1[[#This Row],[Último pagto ano]])*29,"mmmm")</f>
        <v>dezembro</v>
      </c>
    </row>
    <row r="4989" spans="1:9" x14ac:dyDescent="0.25">
      <c r="A4989">
        <v>2025</v>
      </c>
      <c r="B4989" t="s">
        <v>9936</v>
      </c>
      <c r="C4989" s="1">
        <v>45684</v>
      </c>
      <c r="D4989" t="s">
        <v>9937</v>
      </c>
      <c r="E4989">
        <v>22</v>
      </c>
      <c r="G4989" s="3">
        <f>MONTH(Tabela1[[#This Row],[Último pagto ano]])</f>
        <v>1</v>
      </c>
      <c r="H4989" t="str">
        <f>TEXT(Tabela1[[#This Row],[Coluna2]]*29,"mmmm")</f>
        <v>janeiro</v>
      </c>
      <c r="I4989" t="str">
        <f>TEXT(MONTH(Tabela1[[#This Row],[Último pagto ano]])*29,"mmmm")</f>
        <v>janeiro</v>
      </c>
    </row>
    <row r="4990" spans="1:9" x14ac:dyDescent="0.25">
      <c r="A4990">
        <v>2025</v>
      </c>
      <c r="B4990" t="s">
        <v>9938</v>
      </c>
      <c r="C4990" s="1">
        <v>46013</v>
      </c>
      <c r="D4990" t="s">
        <v>9939</v>
      </c>
      <c r="E4990" s="2">
        <v>10565.4</v>
      </c>
      <c r="G4990" s="3">
        <f>MONTH(Tabela1[[#This Row],[Último pagto ano]])</f>
        <v>12</v>
      </c>
      <c r="H4990" t="str">
        <f>TEXT(Tabela1[[#This Row],[Coluna2]]*29,"mmmm")</f>
        <v>dezembro</v>
      </c>
      <c r="I4990" t="str">
        <f>TEXT(MONTH(Tabela1[[#This Row],[Último pagto ano]])*29,"mmmm")</f>
        <v>dezembro</v>
      </c>
    </row>
    <row r="4991" spans="1:9" x14ac:dyDescent="0.25">
      <c r="A4991">
        <v>2025</v>
      </c>
      <c r="B4991" t="s">
        <v>9940</v>
      </c>
      <c r="C4991" s="1">
        <v>46006</v>
      </c>
      <c r="D4991" t="s">
        <v>9941</v>
      </c>
      <c r="E4991">
        <v>308</v>
      </c>
      <c r="G4991" s="3">
        <f>MONTH(Tabela1[[#This Row],[Último pagto ano]])</f>
        <v>12</v>
      </c>
      <c r="H4991" t="str">
        <f>TEXT(Tabela1[[#This Row],[Coluna2]]*29,"mmmm")</f>
        <v>dezembro</v>
      </c>
      <c r="I4991" t="str">
        <f>TEXT(MONTH(Tabela1[[#This Row],[Último pagto ano]])*29,"mmmm")</f>
        <v>dezembro</v>
      </c>
    </row>
    <row r="4992" spans="1:9" x14ac:dyDescent="0.25">
      <c r="A4992">
        <v>2025</v>
      </c>
      <c r="B4992" t="s">
        <v>9942</v>
      </c>
      <c r="C4992" s="1">
        <v>45989</v>
      </c>
      <c r="D4992" t="s">
        <v>9943</v>
      </c>
      <c r="E4992" s="2">
        <v>9464.1</v>
      </c>
      <c r="G4992" s="3">
        <f>MONTH(Tabela1[[#This Row],[Último pagto ano]])</f>
        <v>11</v>
      </c>
      <c r="H4992" t="str">
        <f>TEXT(Tabela1[[#This Row],[Coluna2]]*29,"mmmm")</f>
        <v>novembro</v>
      </c>
      <c r="I4992" t="str">
        <f>TEXT(MONTH(Tabela1[[#This Row],[Último pagto ano]])*29,"mmmm")</f>
        <v>novembro</v>
      </c>
    </row>
    <row r="4993" spans="1:9" x14ac:dyDescent="0.25">
      <c r="A4993">
        <v>2025</v>
      </c>
      <c r="B4993" t="s">
        <v>9944</v>
      </c>
      <c r="C4993" s="1">
        <v>45715</v>
      </c>
      <c r="D4993" t="s">
        <v>9945</v>
      </c>
      <c r="E4993">
        <v>66</v>
      </c>
      <c r="G4993" s="3">
        <f>MONTH(Tabela1[[#This Row],[Último pagto ano]])</f>
        <v>2</v>
      </c>
      <c r="H4993" t="str">
        <f>TEXT(Tabela1[[#This Row],[Coluna2]]*29,"mmmm")</f>
        <v>fevereiro</v>
      </c>
      <c r="I4993" t="str">
        <f>TEXT(MONTH(Tabela1[[#This Row],[Último pagto ano]])*29,"mmmm")</f>
        <v>fevereiro</v>
      </c>
    </row>
    <row r="4994" spans="1:9" x14ac:dyDescent="0.25">
      <c r="A4994">
        <v>2025</v>
      </c>
      <c r="B4994" t="s">
        <v>9946</v>
      </c>
      <c r="C4994" s="1">
        <v>45922</v>
      </c>
      <c r="D4994" t="s">
        <v>9947</v>
      </c>
      <c r="E4994" s="2">
        <v>37174</v>
      </c>
      <c r="G4994" s="3">
        <f>MONTH(Tabela1[[#This Row],[Último pagto ano]])</f>
        <v>9</v>
      </c>
      <c r="H4994" t="str">
        <f>TEXT(Tabela1[[#This Row],[Coluna2]]*29,"mmmm")</f>
        <v>setembro</v>
      </c>
      <c r="I4994" t="str">
        <f>TEXT(MONTH(Tabela1[[#This Row],[Último pagto ano]])*29,"mmmm")</f>
        <v>setembro</v>
      </c>
    </row>
    <row r="4995" spans="1:9" x14ac:dyDescent="0.25">
      <c r="A4995">
        <v>2025</v>
      </c>
      <c r="B4995" t="s">
        <v>9948</v>
      </c>
      <c r="C4995" s="1">
        <v>45743</v>
      </c>
      <c r="D4995" t="s">
        <v>9949</v>
      </c>
      <c r="E4995" s="2">
        <v>2424</v>
      </c>
      <c r="G4995" s="3">
        <f>MONTH(Tabela1[[#This Row],[Último pagto ano]])</f>
        <v>3</v>
      </c>
      <c r="H4995" t="str">
        <f>TEXT(Tabela1[[#This Row],[Coluna2]]*29,"mmmm")</f>
        <v>março</v>
      </c>
      <c r="I4995" t="str">
        <f>TEXT(MONTH(Tabela1[[#This Row],[Último pagto ano]])*29,"mmmm")</f>
        <v>março</v>
      </c>
    </row>
    <row r="4996" spans="1:9" x14ac:dyDescent="0.25">
      <c r="A4996">
        <v>2025</v>
      </c>
      <c r="B4996" t="s">
        <v>9950</v>
      </c>
      <c r="C4996" s="1">
        <v>46003</v>
      </c>
      <c r="D4996" t="s">
        <v>9951</v>
      </c>
      <c r="E4996" s="2">
        <v>93641.4</v>
      </c>
      <c r="G4996" s="3">
        <f>MONTH(Tabela1[[#This Row],[Último pagto ano]])</f>
        <v>12</v>
      </c>
      <c r="H4996" t="str">
        <f>TEXT(Tabela1[[#This Row],[Coluna2]]*29,"mmmm")</f>
        <v>dezembro</v>
      </c>
      <c r="I4996" t="str">
        <f>TEXT(MONTH(Tabela1[[#This Row],[Último pagto ano]])*29,"mmmm")</f>
        <v>dezembro</v>
      </c>
    </row>
    <row r="4997" spans="1:9" x14ac:dyDescent="0.25">
      <c r="A4997">
        <v>2025</v>
      </c>
      <c r="B4997" t="s">
        <v>9952</v>
      </c>
      <c r="C4997" s="1">
        <v>46003</v>
      </c>
      <c r="D4997" t="s">
        <v>9953</v>
      </c>
      <c r="E4997" s="2">
        <v>52404.23</v>
      </c>
      <c r="G4997" s="3">
        <f>MONTH(Tabela1[[#This Row],[Último pagto ano]])</f>
        <v>12</v>
      </c>
      <c r="H4997" t="str">
        <f>TEXT(Tabela1[[#This Row],[Coluna2]]*29,"mmmm")</f>
        <v>dezembro</v>
      </c>
      <c r="I4997" t="str">
        <f>TEXT(MONTH(Tabela1[[#This Row],[Último pagto ano]])*29,"mmmm")</f>
        <v>dezembro</v>
      </c>
    </row>
    <row r="4998" spans="1:9" x14ac:dyDescent="0.25">
      <c r="A4998">
        <v>2025</v>
      </c>
      <c r="B4998" t="s">
        <v>9954</v>
      </c>
      <c r="C4998" s="1">
        <v>45996</v>
      </c>
      <c r="D4998" t="s">
        <v>9955</v>
      </c>
      <c r="E4998" s="2">
        <v>31900</v>
      </c>
      <c r="G4998" s="3">
        <f>MONTH(Tabela1[[#This Row],[Último pagto ano]])</f>
        <v>12</v>
      </c>
      <c r="H4998" t="str">
        <f>TEXT(Tabela1[[#This Row],[Coluna2]]*29,"mmmm")</f>
        <v>dezembro</v>
      </c>
      <c r="I4998" t="str">
        <f>TEXT(MONTH(Tabela1[[#This Row],[Último pagto ano]])*29,"mmmm")</f>
        <v>dezembro</v>
      </c>
    </row>
    <row r="4999" spans="1:9" x14ac:dyDescent="0.25">
      <c r="A4999">
        <v>2025</v>
      </c>
      <c r="B4999" t="s">
        <v>9956</v>
      </c>
      <c r="C4999" s="1">
        <v>46006</v>
      </c>
      <c r="D4999" t="s">
        <v>9957</v>
      </c>
      <c r="E4999" s="2">
        <v>2220.96</v>
      </c>
      <c r="G4999" s="3">
        <f>MONTH(Tabela1[[#This Row],[Último pagto ano]])</f>
        <v>12</v>
      </c>
      <c r="H4999" t="str">
        <f>TEXT(Tabela1[[#This Row],[Coluna2]]*29,"mmmm")</f>
        <v>dezembro</v>
      </c>
      <c r="I4999" t="str">
        <f>TEXT(MONTH(Tabela1[[#This Row],[Último pagto ano]])*29,"mmmm")</f>
        <v>dezembro</v>
      </c>
    </row>
    <row r="5000" spans="1:9" x14ac:dyDescent="0.25">
      <c r="A5000">
        <v>2025</v>
      </c>
      <c r="B5000" t="s">
        <v>9958</v>
      </c>
      <c r="C5000" s="1">
        <v>45722</v>
      </c>
      <c r="D5000" t="s">
        <v>9959</v>
      </c>
      <c r="E5000">
        <v>222.6</v>
      </c>
      <c r="G5000" s="3">
        <f>MONTH(Tabela1[[#This Row],[Último pagto ano]])</f>
        <v>3</v>
      </c>
      <c r="H5000" t="str">
        <f>TEXT(Tabela1[[#This Row],[Coluna2]]*29,"mmmm")</f>
        <v>março</v>
      </c>
      <c r="I5000" t="str">
        <f>TEXT(MONTH(Tabela1[[#This Row],[Último pagto ano]])*29,"mmmm")</f>
        <v>março</v>
      </c>
    </row>
    <row r="5001" spans="1:9" x14ac:dyDescent="0.25">
      <c r="A5001">
        <v>2025</v>
      </c>
      <c r="B5001" t="s">
        <v>9960</v>
      </c>
      <c r="C5001" s="1">
        <v>46010</v>
      </c>
      <c r="D5001" t="s">
        <v>9961</v>
      </c>
      <c r="E5001" s="2">
        <v>1400</v>
      </c>
      <c r="G5001" s="3">
        <f>MONTH(Tabela1[[#This Row],[Último pagto ano]])</f>
        <v>12</v>
      </c>
      <c r="H5001" t="str">
        <f>TEXT(Tabela1[[#This Row],[Coluna2]]*29,"mmmm")</f>
        <v>dezembro</v>
      </c>
      <c r="I5001" t="str">
        <f>TEXT(MONTH(Tabela1[[#This Row],[Último pagto ano]])*29,"mmmm")</f>
        <v>dezembro</v>
      </c>
    </row>
    <row r="5002" spans="1:9" x14ac:dyDescent="0.25">
      <c r="A5002">
        <v>2025</v>
      </c>
      <c r="B5002" t="s">
        <v>9962</v>
      </c>
      <c r="C5002" s="1">
        <v>45810</v>
      </c>
      <c r="D5002" t="s">
        <v>9963</v>
      </c>
      <c r="E5002">
        <v>11.04</v>
      </c>
      <c r="G5002" s="3">
        <f>MONTH(Tabela1[[#This Row],[Último pagto ano]])</f>
        <v>6</v>
      </c>
      <c r="H5002" t="str">
        <f>TEXT(Tabela1[[#This Row],[Coluna2]]*29,"mmmm")</f>
        <v>junho</v>
      </c>
      <c r="I5002" t="str">
        <f>TEXT(MONTH(Tabela1[[#This Row],[Último pagto ano]])*29,"mmmm")</f>
        <v>junho</v>
      </c>
    </row>
    <row r="5003" spans="1:9" x14ac:dyDescent="0.25">
      <c r="A5003">
        <v>2025</v>
      </c>
      <c r="B5003" t="s">
        <v>9964</v>
      </c>
      <c r="C5003" s="1">
        <v>46006</v>
      </c>
      <c r="D5003" t="s">
        <v>9965</v>
      </c>
      <c r="E5003" s="2">
        <v>8400</v>
      </c>
      <c r="G5003" s="3">
        <f>MONTH(Tabela1[[#This Row],[Último pagto ano]])</f>
        <v>12</v>
      </c>
      <c r="H5003" t="str">
        <f>TEXT(Tabela1[[#This Row],[Coluna2]]*29,"mmmm")</f>
        <v>dezembro</v>
      </c>
      <c r="I5003" t="str">
        <f>TEXT(MONTH(Tabela1[[#This Row],[Último pagto ano]])*29,"mmmm")</f>
        <v>dezembro</v>
      </c>
    </row>
    <row r="5004" spans="1:9" x14ac:dyDescent="0.25">
      <c r="A5004">
        <v>2025</v>
      </c>
      <c r="B5004" t="s">
        <v>9966</v>
      </c>
      <c r="C5004" s="1">
        <v>45702</v>
      </c>
      <c r="D5004" t="s">
        <v>9967</v>
      </c>
      <c r="E5004">
        <v>112.27</v>
      </c>
      <c r="G5004" s="3">
        <f>MONTH(Tabela1[[#This Row],[Último pagto ano]])</f>
        <v>2</v>
      </c>
      <c r="H5004" t="str">
        <f>TEXT(Tabela1[[#This Row],[Coluna2]]*29,"mmmm")</f>
        <v>fevereiro</v>
      </c>
      <c r="I5004" t="str">
        <f>TEXT(MONTH(Tabela1[[#This Row],[Último pagto ano]])*29,"mmmm")</f>
        <v>fevereiro</v>
      </c>
    </row>
    <row r="5005" spans="1:9" x14ac:dyDescent="0.25">
      <c r="A5005">
        <v>2025</v>
      </c>
      <c r="B5005" t="s">
        <v>9968</v>
      </c>
      <c r="C5005" s="1">
        <v>45996</v>
      </c>
      <c r="D5005" t="s">
        <v>9969</v>
      </c>
      <c r="E5005" s="2">
        <v>39459.660000000003</v>
      </c>
      <c r="G5005" s="3">
        <f>MONTH(Tabela1[[#This Row],[Último pagto ano]])</f>
        <v>12</v>
      </c>
      <c r="H5005" t="str">
        <f>TEXT(Tabela1[[#This Row],[Coluna2]]*29,"mmmm")</f>
        <v>dezembro</v>
      </c>
      <c r="I5005" t="str">
        <f>TEXT(MONTH(Tabela1[[#This Row],[Último pagto ano]])*29,"mmmm")</f>
        <v>dezembro</v>
      </c>
    </row>
    <row r="5006" spans="1:9" x14ac:dyDescent="0.25">
      <c r="A5006">
        <v>2025</v>
      </c>
      <c r="B5006" t="s">
        <v>9970</v>
      </c>
      <c r="C5006" s="1">
        <v>45964</v>
      </c>
      <c r="D5006" t="s">
        <v>9971</v>
      </c>
      <c r="E5006">
        <v>44</v>
      </c>
      <c r="G5006" s="3">
        <f>MONTH(Tabela1[[#This Row],[Último pagto ano]])</f>
        <v>11</v>
      </c>
      <c r="H5006" t="str">
        <f>TEXT(Tabela1[[#This Row],[Coluna2]]*29,"mmmm")</f>
        <v>novembro</v>
      </c>
      <c r="I5006" t="str">
        <f>TEXT(MONTH(Tabela1[[#This Row],[Último pagto ano]])*29,"mmmm")</f>
        <v>novembro</v>
      </c>
    </row>
    <row r="5007" spans="1:9" x14ac:dyDescent="0.25">
      <c r="A5007">
        <v>2025</v>
      </c>
      <c r="B5007" t="s">
        <v>9972</v>
      </c>
      <c r="C5007" s="1">
        <v>45974</v>
      </c>
      <c r="D5007" t="s">
        <v>9973</v>
      </c>
      <c r="E5007" s="2">
        <v>21852.48</v>
      </c>
      <c r="G5007" s="3">
        <f>MONTH(Tabela1[[#This Row],[Último pagto ano]])</f>
        <v>11</v>
      </c>
      <c r="H5007" t="str">
        <f>TEXT(Tabela1[[#This Row],[Coluna2]]*29,"mmmm")</f>
        <v>novembro</v>
      </c>
      <c r="I5007" t="str">
        <f>TEXT(MONTH(Tabela1[[#This Row],[Último pagto ano]])*29,"mmmm")</f>
        <v>novembro</v>
      </c>
    </row>
    <row r="5008" spans="1:9" x14ac:dyDescent="0.25">
      <c r="A5008">
        <v>2025</v>
      </c>
      <c r="B5008" t="s">
        <v>9974</v>
      </c>
      <c r="C5008" s="1">
        <v>45964</v>
      </c>
      <c r="D5008" t="s">
        <v>9975</v>
      </c>
      <c r="E5008">
        <v>22</v>
      </c>
      <c r="G5008" s="3">
        <f>MONTH(Tabela1[[#This Row],[Último pagto ano]])</f>
        <v>11</v>
      </c>
      <c r="H5008" t="str">
        <f>TEXT(Tabela1[[#This Row],[Coluna2]]*29,"mmmm")</f>
        <v>novembro</v>
      </c>
      <c r="I5008" t="str">
        <f>TEXT(MONTH(Tabela1[[#This Row],[Último pagto ano]])*29,"mmmm")</f>
        <v>novembro</v>
      </c>
    </row>
    <row r="5009" spans="1:9" x14ac:dyDescent="0.25">
      <c r="A5009">
        <v>2025</v>
      </c>
      <c r="B5009" t="s">
        <v>9976</v>
      </c>
      <c r="C5009" s="1">
        <v>46014</v>
      </c>
      <c r="D5009" t="s">
        <v>9977</v>
      </c>
      <c r="E5009" s="2">
        <v>9867</v>
      </c>
      <c r="G5009" s="3">
        <f>MONTH(Tabela1[[#This Row],[Último pagto ano]])</f>
        <v>12</v>
      </c>
      <c r="H5009" t="str">
        <f>TEXT(Tabela1[[#This Row],[Coluna2]]*29,"mmmm")</f>
        <v>dezembro</v>
      </c>
      <c r="I5009" t="str">
        <f>TEXT(MONTH(Tabela1[[#This Row],[Último pagto ano]])*29,"mmmm")</f>
        <v>dezembro</v>
      </c>
    </row>
    <row r="5010" spans="1:9" x14ac:dyDescent="0.25">
      <c r="A5010">
        <v>2025</v>
      </c>
      <c r="B5010" t="s">
        <v>9978</v>
      </c>
      <c r="C5010" s="1">
        <v>45989</v>
      </c>
      <c r="D5010" t="s">
        <v>9979</v>
      </c>
      <c r="E5010" s="2">
        <v>8675.8700000000008</v>
      </c>
      <c r="G5010" s="3">
        <f>MONTH(Tabela1[[#This Row],[Último pagto ano]])</f>
        <v>11</v>
      </c>
      <c r="H5010" t="str">
        <f>TEXT(Tabela1[[#This Row],[Coluna2]]*29,"mmmm")</f>
        <v>novembro</v>
      </c>
      <c r="I5010" t="str">
        <f>TEXT(MONTH(Tabela1[[#This Row],[Último pagto ano]])*29,"mmmm")</f>
        <v>novembro</v>
      </c>
    </row>
    <row r="5011" spans="1:9" x14ac:dyDescent="0.25">
      <c r="A5011">
        <v>2025</v>
      </c>
      <c r="B5011" t="s">
        <v>9980</v>
      </c>
      <c r="C5011" s="1">
        <v>45996</v>
      </c>
      <c r="D5011" t="s">
        <v>9981</v>
      </c>
      <c r="E5011" s="2">
        <v>35677.47</v>
      </c>
      <c r="G5011" s="3">
        <f>MONTH(Tabela1[[#This Row],[Último pagto ano]])</f>
        <v>12</v>
      </c>
      <c r="H5011" t="str">
        <f>TEXT(Tabela1[[#This Row],[Coluna2]]*29,"mmmm")</f>
        <v>dezembro</v>
      </c>
      <c r="I5011" t="str">
        <f>TEXT(MONTH(Tabela1[[#This Row],[Último pagto ano]])*29,"mmmm")</f>
        <v>dezembro</v>
      </c>
    </row>
    <row r="5012" spans="1:9" x14ac:dyDescent="0.25">
      <c r="A5012">
        <v>2025</v>
      </c>
      <c r="B5012" t="s">
        <v>9982</v>
      </c>
      <c r="C5012" s="1">
        <v>45989</v>
      </c>
      <c r="D5012" t="s">
        <v>9983</v>
      </c>
      <c r="E5012" s="2">
        <v>3321.02</v>
      </c>
      <c r="G5012" s="3">
        <f>MONTH(Tabela1[[#This Row],[Último pagto ano]])</f>
        <v>11</v>
      </c>
      <c r="H5012" t="str">
        <f>TEXT(Tabela1[[#This Row],[Coluna2]]*29,"mmmm")</f>
        <v>novembro</v>
      </c>
      <c r="I5012" t="str">
        <f>TEXT(MONTH(Tabela1[[#This Row],[Último pagto ano]])*29,"mmmm")</f>
        <v>novembro</v>
      </c>
    </row>
    <row r="5013" spans="1:9" x14ac:dyDescent="0.25">
      <c r="A5013">
        <v>2025</v>
      </c>
      <c r="B5013" t="s">
        <v>9984</v>
      </c>
      <c r="C5013" s="1">
        <v>45813</v>
      </c>
      <c r="D5013" t="s">
        <v>9985</v>
      </c>
      <c r="E5013" s="2">
        <v>3948.16</v>
      </c>
      <c r="G5013" s="3">
        <f>MONTH(Tabela1[[#This Row],[Último pagto ano]])</f>
        <v>6</v>
      </c>
      <c r="H5013" t="str">
        <f>TEXT(Tabela1[[#This Row],[Coluna2]]*29,"mmmm")</f>
        <v>junho</v>
      </c>
      <c r="I5013" t="str">
        <f>TEXT(MONTH(Tabela1[[#This Row],[Último pagto ano]])*29,"mmmm")</f>
        <v>junho</v>
      </c>
    </row>
    <row r="5014" spans="1:9" x14ac:dyDescent="0.25">
      <c r="A5014">
        <v>2025</v>
      </c>
      <c r="B5014" t="s">
        <v>9986</v>
      </c>
      <c r="C5014" s="1">
        <v>45996</v>
      </c>
      <c r="D5014" t="s">
        <v>9987</v>
      </c>
      <c r="E5014" s="2">
        <v>10000</v>
      </c>
      <c r="G5014" s="3">
        <f>MONTH(Tabela1[[#This Row],[Último pagto ano]])</f>
        <v>12</v>
      </c>
      <c r="H5014" t="str">
        <f>TEXT(Tabela1[[#This Row],[Coluna2]]*29,"mmmm")</f>
        <v>dezembro</v>
      </c>
      <c r="I5014" t="str">
        <f>TEXT(MONTH(Tabela1[[#This Row],[Último pagto ano]])*29,"mmmm")</f>
        <v>dezembro</v>
      </c>
    </row>
    <row r="5015" spans="1:9" x14ac:dyDescent="0.25">
      <c r="A5015">
        <v>2025</v>
      </c>
      <c r="B5015" t="s">
        <v>9988</v>
      </c>
      <c r="C5015" s="1">
        <v>46010</v>
      </c>
      <c r="D5015" t="s">
        <v>9989</v>
      </c>
      <c r="E5015" s="2">
        <v>8400</v>
      </c>
      <c r="G5015" s="3">
        <f>MONTH(Tabela1[[#This Row],[Último pagto ano]])</f>
        <v>12</v>
      </c>
      <c r="H5015" t="str">
        <f>TEXT(Tabela1[[#This Row],[Coluna2]]*29,"mmmm")</f>
        <v>dezembro</v>
      </c>
      <c r="I5015" t="str">
        <f>TEXT(MONTH(Tabela1[[#This Row],[Último pagto ano]])*29,"mmmm")</f>
        <v>dezembro</v>
      </c>
    </row>
    <row r="5016" spans="1:9" x14ac:dyDescent="0.25">
      <c r="A5016">
        <v>2025</v>
      </c>
      <c r="B5016" t="s">
        <v>9990</v>
      </c>
      <c r="C5016" s="1">
        <v>46021</v>
      </c>
      <c r="D5016" t="s">
        <v>9991</v>
      </c>
      <c r="E5016">
        <v>564.32000000000005</v>
      </c>
      <c r="G5016" s="3">
        <f>MONTH(Tabela1[[#This Row],[Último pagto ano]])</f>
        <v>12</v>
      </c>
      <c r="H5016" t="str">
        <f>TEXT(Tabela1[[#This Row],[Coluna2]]*29,"mmmm")</f>
        <v>dezembro</v>
      </c>
      <c r="I5016" t="str">
        <f>TEXT(MONTH(Tabela1[[#This Row],[Último pagto ano]])*29,"mmmm")</f>
        <v>dezembro</v>
      </c>
    </row>
    <row r="5017" spans="1:9" x14ac:dyDescent="0.25">
      <c r="A5017">
        <v>2025</v>
      </c>
      <c r="B5017" t="s">
        <v>9992</v>
      </c>
      <c r="C5017" s="1">
        <v>45821</v>
      </c>
      <c r="D5017" t="s">
        <v>9993</v>
      </c>
      <c r="E5017">
        <v>44.87</v>
      </c>
      <c r="G5017" s="3">
        <f>MONTH(Tabela1[[#This Row],[Último pagto ano]])</f>
        <v>6</v>
      </c>
      <c r="H5017" t="str">
        <f>TEXT(Tabela1[[#This Row],[Coluna2]]*29,"mmmm")</f>
        <v>junho</v>
      </c>
      <c r="I5017" t="str">
        <f>TEXT(MONTH(Tabela1[[#This Row],[Último pagto ano]])*29,"mmmm")</f>
        <v>junho</v>
      </c>
    </row>
    <row r="5018" spans="1:9" x14ac:dyDescent="0.25">
      <c r="A5018">
        <v>2025</v>
      </c>
      <c r="B5018" t="s">
        <v>9994</v>
      </c>
      <c r="C5018" s="1">
        <v>45673</v>
      </c>
      <c r="D5018" t="s">
        <v>9995</v>
      </c>
      <c r="E5018" s="2">
        <v>1100</v>
      </c>
      <c r="G5018" s="3">
        <f>MONTH(Tabela1[[#This Row],[Último pagto ano]])</f>
        <v>1</v>
      </c>
      <c r="H5018" t="str">
        <f>TEXT(Tabela1[[#This Row],[Coluna2]]*29,"mmmm")</f>
        <v>janeiro</v>
      </c>
      <c r="I5018" t="str">
        <f>TEXT(MONTH(Tabela1[[#This Row],[Último pagto ano]])*29,"mmmm")</f>
        <v>janeiro</v>
      </c>
    </row>
    <row r="5019" spans="1:9" x14ac:dyDescent="0.25">
      <c r="A5019">
        <v>2025</v>
      </c>
      <c r="B5019" t="s">
        <v>9996</v>
      </c>
      <c r="C5019" s="1">
        <v>45964</v>
      </c>
      <c r="D5019" t="s">
        <v>9997</v>
      </c>
      <c r="E5019">
        <v>242</v>
      </c>
      <c r="G5019" s="3">
        <f>MONTH(Tabela1[[#This Row],[Último pagto ano]])</f>
        <v>11</v>
      </c>
      <c r="H5019" t="str">
        <f>TEXT(Tabela1[[#This Row],[Coluna2]]*29,"mmmm")</f>
        <v>novembro</v>
      </c>
      <c r="I5019" t="str">
        <f>TEXT(MONTH(Tabela1[[#This Row],[Último pagto ano]])*29,"mmmm")</f>
        <v>novembro</v>
      </c>
    </row>
    <row r="5020" spans="1:9" x14ac:dyDescent="0.25">
      <c r="A5020">
        <v>2025</v>
      </c>
      <c r="B5020" t="s">
        <v>9998</v>
      </c>
      <c r="C5020" s="1">
        <v>45922</v>
      </c>
      <c r="D5020" t="s">
        <v>9999</v>
      </c>
      <c r="E5020">
        <v>8.91</v>
      </c>
      <c r="G5020" s="3">
        <f>MONTH(Tabela1[[#This Row],[Último pagto ano]])</f>
        <v>9</v>
      </c>
      <c r="H5020" t="str">
        <f>TEXT(Tabela1[[#This Row],[Coluna2]]*29,"mmmm")</f>
        <v>setembro</v>
      </c>
      <c r="I5020" t="str">
        <f>TEXT(MONTH(Tabela1[[#This Row],[Último pagto ano]])*29,"mmmm")</f>
        <v>setembro</v>
      </c>
    </row>
    <row r="5021" spans="1:9" x14ac:dyDescent="0.25">
      <c r="A5021">
        <v>2025</v>
      </c>
      <c r="B5021" t="s">
        <v>10000</v>
      </c>
      <c r="C5021" s="1">
        <v>45896</v>
      </c>
      <c r="D5021" t="s">
        <v>10001</v>
      </c>
      <c r="E5021" s="2">
        <v>137843.75</v>
      </c>
      <c r="G5021" s="3">
        <f>MONTH(Tabela1[[#This Row],[Último pagto ano]])</f>
        <v>8</v>
      </c>
      <c r="H5021" t="str">
        <f>TEXT(Tabela1[[#This Row],[Coluna2]]*29,"mmmm")</f>
        <v>agosto</v>
      </c>
      <c r="I5021" t="str">
        <f>TEXT(MONTH(Tabela1[[#This Row],[Último pagto ano]])*29,"mmmm")</f>
        <v>agosto</v>
      </c>
    </row>
    <row r="5022" spans="1:9" x14ac:dyDescent="0.25">
      <c r="A5022">
        <v>2025</v>
      </c>
      <c r="B5022" t="s">
        <v>10002</v>
      </c>
      <c r="C5022" s="1">
        <v>46021</v>
      </c>
      <c r="D5022" t="s">
        <v>10003</v>
      </c>
      <c r="E5022" s="2">
        <v>947904.21</v>
      </c>
      <c r="G5022" s="3">
        <f>MONTH(Tabela1[[#This Row],[Último pagto ano]])</f>
        <v>12</v>
      </c>
      <c r="H5022" t="str">
        <f>TEXT(Tabela1[[#This Row],[Coluna2]]*29,"mmmm")</f>
        <v>dezembro</v>
      </c>
      <c r="I5022" t="str">
        <f>TEXT(MONTH(Tabela1[[#This Row],[Último pagto ano]])*29,"mmmm")</f>
        <v>dezembro</v>
      </c>
    </row>
    <row r="5023" spans="1:9" x14ac:dyDescent="0.25">
      <c r="A5023">
        <v>2025</v>
      </c>
      <c r="B5023" t="s">
        <v>10004</v>
      </c>
      <c r="C5023" s="1">
        <v>45988</v>
      </c>
      <c r="D5023" t="s">
        <v>10005</v>
      </c>
      <c r="E5023" s="2">
        <v>11849.25</v>
      </c>
      <c r="G5023" s="3">
        <f>MONTH(Tabela1[[#This Row],[Último pagto ano]])</f>
        <v>11</v>
      </c>
      <c r="H5023" t="str">
        <f>TEXT(Tabela1[[#This Row],[Coluna2]]*29,"mmmm")</f>
        <v>novembro</v>
      </c>
      <c r="I5023" t="str">
        <f>TEXT(MONTH(Tabela1[[#This Row],[Último pagto ano]])*29,"mmmm")</f>
        <v>novembro</v>
      </c>
    </row>
    <row r="5024" spans="1:9" x14ac:dyDescent="0.25">
      <c r="A5024">
        <v>2025</v>
      </c>
      <c r="B5024" t="s">
        <v>10006</v>
      </c>
      <c r="C5024" s="1">
        <v>46021</v>
      </c>
      <c r="D5024" t="s">
        <v>10007</v>
      </c>
      <c r="E5024" s="2">
        <v>272994.53999999998</v>
      </c>
      <c r="G5024" s="3">
        <f>MONTH(Tabela1[[#This Row],[Último pagto ano]])</f>
        <v>12</v>
      </c>
      <c r="H5024" t="str">
        <f>TEXT(Tabela1[[#This Row],[Coluna2]]*29,"mmmm")</f>
        <v>dezembro</v>
      </c>
      <c r="I5024" t="str">
        <f>TEXT(MONTH(Tabela1[[#This Row],[Último pagto ano]])*29,"mmmm")</f>
        <v>dezembro</v>
      </c>
    </row>
    <row r="5025" spans="1:9" x14ac:dyDescent="0.25">
      <c r="A5025">
        <v>2025</v>
      </c>
      <c r="B5025" t="s">
        <v>10008</v>
      </c>
      <c r="C5025" s="1">
        <v>46021</v>
      </c>
      <c r="D5025" t="s">
        <v>10009</v>
      </c>
      <c r="E5025" s="2">
        <v>1061990.25</v>
      </c>
      <c r="G5025" s="3">
        <f>MONTH(Tabela1[[#This Row],[Último pagto ano]])</f>
        <v>12</v>
      </c>
      <c r="H5025" t="str">
        <f>TEXT(Tabela1[[#This Row],[Coluna2]]*29,"mmmm")</f>
        <v>dezembro</v>
      </c>
      <c r="I5025" t="str">
        <f>TEXT(MONTH(Tabela1[[#This Row],[Último pagto ano]])*29,"mmmm")</f>
        <v>dezembro</v>
      </c>
    </row>
    <row r="5026" spans="1:9" x14ac:dyDescent="0.25">
      <c r="A5026">
        <v>2025</v>
      </c>
      <c r="B5026" t="s">
        <v>10010</v>
      </c>
      <c r="C5026" s="1">
        <v>46014</v>
      </c>
      <c r="D5026" t="s">
        <v>10011</v>
      </c>
      <c r="E5026" s="2">
        <v>5440360.0099999998</v>
      </c>
      <c r="G5026" s="3">
        <f>MONTH(Tabela1[[#This Row],[Último pagto ano]])</f>
        <v>12</v>
      </c>
      <c r="H5026" t="str">
        <f>TEXT(Tabela1[[#This Row],[Coluna2]]*29,"mmmm")</f>
        <v>dezembro</v>
      </c>
      <c r="I5026" t="str">
        <f>TEXT(MONTH(Tabela1[[#This Row],[Último pagto ano]])*29,"mmmm")</f>
        <v>dezembro</v>
      </c>
    </row>
    <row r="5027" spans="1:9" x14ac:dyDescent="0.25">
      <c r="A5027">
        <v>2025</v>
      </c>
      <c r="B5027" t="s">
        <v>10012</v>
      </c>
      <c r="C5027" s="1">
        <v>46021</v>
      </c>
      <c r="D5027" t="s">
        <v>10013</v>
      </c>
      <c r="E5027" s="2">
        <v>27797.79</v>
      </c>
      <c r="G5027" s="3">
        <f>MONTH(Tabela1[[#This Row],[Último pagto ano]])</f>
        <v>12</v>
      </c>
      <c r="H5027" t="str">
        <f>TEXT(Tabela1[[#This Row],[Coluna2]]*29,"mmmm")</f>
        <v>dezembro</v>
      </c>
      <c r="I5027" t="str">
        <f>TEXT(MONTH(Tabela1[[#This Row],[Último pagto ano]])*29,"mmmm")</f>
        <v>dezembro</v>
      </c>
    </row>
    <row r="5028" spans="1:9" x14ac:dyDescent="0.25">
      <c r="A5028">
        <v>2025</v>
      </c>
      <c r="B5028" t="s">
        <v>10014</v>
      </c>
      <c r="C5028" s="1">
        <v>45989</v>
      </c>
      <c r="D5028" t="s">
        <v>10015</v>
      </c>
      <c r="E5028">
        <v>980</v>
      </c>
      <c r="G5028" s="3">
        <f>MONTH(Tabela1[[#This Row],[Último pagto ano]])</f>
        <v>11</v>
      </c>
      <c r="H5028" t="str">
        <f>TEXT(Tabela1[[#This Row],[Coluna2]]*29,"mmmm")</f>
        <v>novembro</v>
      </c>
      <c r="I5028" t="str">
        <f>TEXT(MONTH(Tabela1[[#This Row],[Último pagto ano]])*29,"mmmm")</f>
        <v>novembro</v>
      </c>
    </row>
    <row r="5029" spans="1:9" x14ac:dyDescent="0.25">
      <c r="A5029">
        <v>2025</v>
      </c>
      <c r="B5029" t="s">
        <v>10016</v>
      </c>
      <c r="C5029" s="1">
        <v>46008</v>
      </c>
      <c r="D5029" t="s">
        <v>10017</v>
      </c>
      <c r="E5029" s="2">
        <v>375682.32</v>
      </c>
      <c r="G5029" s="3">
        <f>MONTH(Tabela1[[#This Row],[Último pagto ano]])</f>
        <v>12</v>
      </c>
      <c r="H5029" t="str">
        <f>TEXT(Tabela1[[#This Row],[Coluna2]]*29,"mmmm")</f>
        <v>dezembro</v>
      </c>
      <c r="I5029" t="str">
        <f>TEXT(MONTH(Tabela1[[#This Row],[Último pagto ano]])*29,"mmmm")</f>
        <v>dezembro</v>
      </c>
    </row>
    <row r="5030" spans="1:9" x14ac:dyDescent="0.25">
      <c r="A5030">
        <v>2025</v>
      </c>
      <c r="B5030" t="s">
        <v>10018</v>
      </c>
      <c r="C5030" s="1">
        <v>46013</v>
      </c>
      <c r="D5030" t="s">
        <v>10019</v>
      </c>
      <c r="E5030" s="2">
        <v>1098294.6000000001</v>
      </c>
      <c r="G5030" s="3">
        <f>MONTH(Tabela1[[#This Row],[Último pagto ano]])</f>
        <v>12</v>
      </c>
      <c r="H5030" t="str">
        <f>TEXT(Tabela1[[#This Row],[Coluna2]]*29,"mmmm")</f>
        <v>dezembro</v>
      </c>
      <c r="I5030" t="str">
        <f>TEXT(MONTH(Tabela1[[#This Row],[Último pagto ano]])*29,"mmmm")</f>
        <v>dezembro</v>
      </c>
    </row>
    <row r="5031" spans="1:9" x14ac:dyDescent="0.25">
      <c r="A5031">
        <v>2025</v>
      </c>
      <c r="B5031" t="s">
        <v>10020</v>
      </c>
      <c r="C5031" s="1">
        <v>45722</v>
      </c>
      <c r="D5031" t="s">
        <v>10021</v>
      </c>
      <c r="E5031" s="2">
        <v>5980</v>
      </c>
      <c r="G5031" s="3">
        <f>MONTH(Tabela1[[#This Row],[Último pagto ano]])</f>
        <v>3</v>
      </c>
      <c r="H5031" t="str">
        <f>TEXT(Tabela1[[#This Row],[Coluna2]]*29,"mmmm")</f>
        <v>março</v>
      </c>
      <c r="I5031" t="str">
        <f>TEXT(MONTH(Tabela1[[#This Row],[Último pagto ano]])*29,"mmmm")</f>
        <v>março</v>
      </c>
    </row>
    <row r="5032" spans="1:9" x14ac:dyDescent="0.25">
      <c r="A5032">
        <v>2025</v>
      </c>
      <c r="B5032" t="s">
        <v>10022</v>
      </c>
      <c r="C5032" s="1">
        <v>46001</v>
      </c>
      <c r="D5032" t="s">
        <v>10023</v>
      </c>
      <c r="E5032" s="2">
        <v>10035</v>
      </c>
      <c r="G5032" s="3">
        <f>MONTH(Tabela1[[#This Row],[Último pagto ano]])</f>
        <v>12</v>
      </c>
      <c r="H5032" t="str">
        <f>TEXT(Tabela1[[#This Row],[Coluna2]]*29,"mmmm")</f>
        <v>dezembro</v>
      </c>
      <c r="I5032" t="str">
        <f>TEXT(MONTH(Tabela1[[#This Row],[Último pagto ano]])*29,"mmmm")</f>
        <v>dezembro</v>
      </c>
    </row>
    <row r="5033" spans="1:9" x14ac:dyDescent="0.25">
      <c r="A5033">
        <v>2025</v>
      </c>
      <c r="B5033" t="s">
        <v>10024</v>
      </c>
      <c r="C5033" s="1">
        <v>45964</v>
      </c>
      <c r="D5033" t="s">
        <v>10025</v>
      </c>
      <c r="E5033" s="2">
        <v>2194.62</v>
      </c>
      <c r="G5033" s="3">
        <f>MONTH(Tabela1[[#This Row],[Último pagto ano]])</f>
        <v>11</v>
      </c>
      <c r="H5033" t="str">
        <f>TEXT(Tabela1[[#This Row],[Coluna2]]*29,"mmmm")</f>
        <v>novembro</v>
      </c>
      <c r="I5033" t="str">
        <f>TEXT(MONTH(Tabela1[[#This Row],[Último pagto ano]])*29,"mmmm")</f>
        <v>novembro</v>
      </c>
    </row>
    <row r="5034" spans="1:9" x14ac:dyDescent="0.25">
      <c r="A5034">
        <v>2025</v>
      </c>
      <c r="B5034" t="s">
        <v>10026</v>
      </c>
      <c r="C5034" s="1">
        <v>46008</v>
      </c>
      <c r="D5034" t="s">
        <v>10027</v>
      </c>
      <c r="E5034" s="2">
        <v>28027.5</v>
      </c>
      <c r="G5034" s="3">
        <f>MONTH(Tabela1[[#This Row],[Último pagto ano]])</f>
        <v>12</v>
      </c>
      <c r="H5034" t="str">
        <f>TEXT(Tabela1[[#This Row],[Coluna2]]*29,"mmmm")</f>
        <v>dezembro</v>
      </c>
      <c r="I5034" t="str">
        <f>TEXT(MONTH(Tabela1[[#This Row],[Último pagto ano]])*29,"mmmm")</f>
        <v>dezembro</v>
      </c>
    </row>
    <row r="5035" spans="1:9" x14ac:dyDescent="0.25">
      <c r="A5035">
        <v>2025</v>
      </c>
      <c r="B5035" t="s">
        <v>10028</v>
      </c>
      <c r="C5035" s="1">
        <v>45989</v>
      </c>
      <c r="D5035" t="s">
        <v>10029</v>
      </c>
      <c r="E5035" s="2">
        <v>3231.4</v>
      </c>
      <c r="G5035" s="3">
        <f>MONTH(Tabela1[[#This Row],[Último pagto ano]])</f>
        <v>11</v>
      </c>
      <c r="H5035" t="str">
        <f>TEXT(Tabela1[[#This Row],[Coluna2]]*29,"mmmm")</f>
        <v>novembro</v>
      </c>
      <c r="I5035" t="str">
        <f>TEXT(MONTH(Tabela1[[#This Row],[Último pagto ano]])*29,"mmmm")</f>
        <v>novembro</v>
      </c>
    </row>
    <row r="5036" spans="1:9" x14ac:dyDescent="0.25">
      <c r="A5036">
        <v>2025</v>
      </c>
      <c r="B5036" t="s">
        <v>10030</v>
      </c>
      <c r="C5036" s="1">
        <v>46009</v>
      </c>
      <c r="D5036" t="s">
        <v>10031</v>
      </c>
      <c r="E5036" s="2">
        <v>3761.69</v>
      </c>
      <c r="G5036" s="3">
        <f>MONTH(Tabela1[[#This Row],[Último pagto ano]])</f>
        <v>12</v>
      </c>
      <c r="H5036" t="str">
        <f>TEXT(Tabela1[[#This Row],[Coluna2]]*29,"mmmm")</f>
        <v>dezembro</v>
      </c>
      <c r="I5036" t="str">
        <f>TEXT(MONTH(Tabela1[[#This Row],[Último pagto ano]])*29,"mmmm")</f>
        <v>dezembro</v>
      </c>
    </row>
    <row r="5037" spans="1:9" x14ac:dyDescent="0.25">
      <c r="A5037">
        <v>2025</v>
      </c>
      <c r="B5037" t="s">
        <v>10032</v>
      </c>
      <c r="C5037" s="1">
        <v>45702</v>
      </c>
      <c r="D5037" t="s">
        <v>10033</v>
      </c>
      <c r="E5037">
        <v>52.79</v>
      </c>
      <c r="G5037" s="3">
        <f>MONTH(Tabela1[[#This Row],[Último pagto ano]])</f>
        <v>2</v>
      </c>
      <c r="H5037" t="str">
        <f>TEXT(Tabela1[[#This Row],[Coluna2]]*29,"mmmm")</f>
        <v>fevereiro</v>
      </c>
      <c r="I5037" t="str">
        <f>TEXT(MONTH(Tabela1[[#This Row],[Último pagto ano]])*29,"mmmm")</f>
        <v>fevereiro</v>
      </c>
    </row>
    <row r="5038" spans="1:9" x14ac:dyDescent="0.25">
      <c r="A5038">
        <v>2025</v>
      </c>
      <c r="B5038" t="s">
        <v>10034</v>
      </c>
      <c r="C5038" s="1">
        <v>45996</v>
      </c>
      <c r="D5038" t="s">
        <v>10035</v>
      </c>
      <c r="E5038" s="2">
        <v>45155.11</v>
      </c>
      <c r="G5038" s="3">
        <f>MONTH(Tabela1[[#This Row],[Último pagto ano]])</f>
        <v>12</v>
      </c>
      <c r="H5038" t="str">
        <f>TEXT(Tabela1[[#This Row],[Coluna2]]*29,"mmmm")</f>
        <v>dezembro</v>
      </c>
      <c r="I5038" t="str">
        <f>TEXT(MONTH(Tabela1[[#This Row],[Último pagto ano]])*29,"mmmm")</f>
        <v>dezembro</v>
      </c>
    </row>
    <row r="5039" spans="1:9" x14ac:dyDescent="0.25">
      <c r="A5039">
        <v>2025</v>
      </c>
      <c r="B5039" t="s">
        <v>10036</v>
      </c>
      <c r="C5039" s="1">
        <v>45947</v>
      </c>
      <c r="D5039" t="s">
        <v>10037</v>
      </c>
      <c r="E5039" s="2">
        <v>2530.9299999999998</v>
      </c>
      <c r="G5039" s="3">
        <f>MONTH(Tabela1[[#This Row],[Último pagto ano]])</f>
        <v>10</v>
      </c>
      <c r="H5039" t="str">
        <f>TEXT(Tabela1[[#This Row],[Coluna2]]*29,"mmmm")</f>
        <v>outubro</v>
      </c>
      <c r="I5039" t="str">
        <f>TEXT(MONTH(Tabela1[[#This Row],[Último pagto ano]])*29,"mmmm")</f>
        <v>outubro</v>
      </c>
    </row>
    <row r="5040" spans="1:9" x14ac:dyDescent="0.25">
      <c r="A5040">
        <v>2025</v>
      </c>
      <c r="B5040" t="s">
        <v>10038</v>
      </c>
      <c r="C5040" s="1">
        <v>46014</v>
      </c>
      <c r="D5040" t="s">
        <v>10039</v>
      </c>
      <c r="E5040" s="2">
        <v>76398.399999999994</v>
      </c>
      <c r="G5040" s="3">
        <f>MONTH(Tabela1[[#This Row],[Último pagto ano]])</f>
        <v>12</v>
      </c>
      <c r="H5040" t="str">
        <f>TEXT(Tabela1[[#This Row],[Coluna2]]*29,"mmmm")</f>
        <v>dezembro</v>
      </c>
      <c r="I5040" t="str">
        <f>TEXT(MONTH(Tabela1[[#This Row],[Último pagto ano]])*29,"mmmm")</f>
        <v>dezembro</v>
      </c>
    </row>
    <row r="5041" spans="1:9" x14ac:dyDescent="0.25">
      <c r="A5041">
        <v>2025</v>
      </c>
      <c r="B5041" t="s">
        <v>10040</v>
      </c>
      <c r="C5041" s="1">
        <v>45852</v>
      </c>
      <c r="D5041" t="s">
        <v>10041</v>
      </c>
      <c r="E5041">
        <v>132</v>
      </c>
      <c r="G5041" s="3">
        <f>MONTH(Tabela1[[#This Row],[Último pagto ano]])</f>
        <v>7</v>
      </c>
      <c r="H5041" t="str">
        <f>TEXT(Tabela1[[#This Row],[Coluna2]]*29,"mmmm")</f>
        <v>julho</v>
      </c>
      <c r="I5041" t="str">
        <f>TEXT(MONTH(Tabela1[[#This Row],[Último pagto ano]])*29,"mmmm")</f>
        <v>julho</v>
      </c>
    </row>
    <row r="5042" spans="1:9" x14ac:dyDescent="0.25">
      <c r="A5042">
        <v>2025</v>
      </c>
      <c r="B5042" t="s">
        <v>10042</v>
      </c>
      <c r="C5042" s="1">
        <v>46014</v>
      </c>
      <c r="D5042" t="s">
        <v>10043</v>
      </c>
      <c r="E5042" s="2">
        <v>25202</v>
      </c>
      <c r="G5042" s="3">
        <f>MONTH(Tabela1[[#This Row],[Último pagto ano]])</f>
        <v>12</v>
      </c>
      <c r="H5042" t="str">
        <f>TEXT(Tabela1[[#This Row],[Coluna2]]*29,"mmmm")</f>
        <v>dezembro</v>
      </c>
      <c r="I5042" t="str">
        <f>TEXT(MONTH(Tabela1[[#This Row],[Último pagto ano]])*29,"mmmm")</f>
        <v>dezembro</v>
      </c>
    </row>
    <row r="5043" spans="1:9" x14ac:dyDescent="0.25">
      <c r="A5043">
        <v>2025</v>
      </c>
      <c r="B5043" t="s">
        <v>10044</v>
      </c>
      <c r="C5043" s="1">
        <v>45803</v>
      </c>
      <c r="D5043" t="s">
        <v>10045</v>
      </c>
      <c r="E5043">
        <v>22</v>
      </c>
      <c r="G5043" s="3">
        <f>MONTH(Tabela1[[#This Row],[Último pagto ano]])</f>
        <v>5</v>
      </c>
      <c r="H5043" t="str">
        <f>TEXT(Tabela1[[#This Row],[Coluna2]]*29,"mmmm")</f>
        <v>maio</v>
      </c>
      <c r="I5043" t="str">
        <f>TEXT(MONTH(Tabela1[[#This Row],[Último pagto ano]])*29,"mmmm")</f>
        <v>maio</v>
      </c>
    </row>
    <row r="5044" spans="1:9" x14ac:dyDescent="0.25">
      <c r="A5044">
        <v>2025</v>
      </c>
      <c r="B5044" t="s">
        <v>10046</v>
      </c>
      <c r="C5044" s="1">
        <v>46010</v>
      </c>
      <c r="D5044" t="s">
        <v>10047</v>
      </c>
      <c r="E5044" s="2">
        <v>12000</v>
      </c>
      <c r="G5044" s="3">
        <f>MONTH(Tabela1[[#This Row],[Último pagto ano]])</f>
        <v>12</v>
      </c>
      <c r="H5044" t="str">
        <f>TEXT(Tabela1[[#This Row],[Coluna2]]*29,"mmmm")</f>
        <v>dezembro</v>
      </c>
      <c r="I5044" t="str">
        <f>TEXT(MONTH(Tabela1[[#This Row],[Último pagto ano]])*29,"mmmm")</f>
        <v>dezembro</v>
      </c>
    </row>
    <row r="5045" spans="1:9" x14ac:dyDescent="0.25">
      <c r="A5045">
        <v>2025</v>
      </c>
      <c r="B5045" t="s">
        <v>10048</v>
      </c>
      <c r="C5045" s="1">
        <v>46007</v>
      </c>
      <c r="D5045" t="s">
        <v>10049</v>
      </c>
      <c r="E5045" s="2">
        <v>99132</v>
      </c>
      <c r="G5045" s="3">
        <f>MONTH(Tabela1[[#This Row],[Último pagto ano]])</f>
        <v>12</v>
      </c>
      <c r="H5045" t="str">
        <f>TEXT(Tabela1[[#This Row],[Coluna2]]*29,"mmmm")</f>
        <v>dezembro</v>
      </c>
      <c r="I5045" t="str">
        <f>TEXT(MONTH(Tabela1[[#This Row],[Último pagto ano]])*29,"mmmm")</f>
        <v>dezembro</v>
      </c>
    </row>
    <row r="5046" spans="1:9" x14ac:dyDescent="0.25">
      <c r="A5046">
        <v>2025</v>
      </c>
      <c r="B5046" t="s">
        <v>10050</v>
      </c>
      <c r="C5046" s="1">
        <v>45855</v>
      </c>
      <c r="D5046" t="s">
        <v>10051</v>
      </c>
      <c r="E5046" s="2">
        <v>18804.509999999998</v>
      </c>
      <c r="G5046" s="3">
        <f>MONTH(Tabela1[[#This Row],[Último pagto ano]])</f>
        <v>7</v>
      </c>
      <c r="H5046" t="str">
        <f>TEXT(Tabela1[[#This Row],[Coluna2]]*29,"mmmm")</f>
        <v>julho</v>
      </c>
      <c r="I5046" t="str">
        <f>TEXT(MONTH(Tabela1[[#This Row],[Último pagto ano]])*29,"mmmm")</f>
        <v>julho</v>
      </c>
    </row>
    <row r="5047" spans="1:9" x14ac:dyDescent="0.25">
      <c r="A5047">
        <v>2025</v>
      </c>
      <c r="B5047" t="s">
        <v>10052</v>
      </c>
      <c r="C5047" s="1">
        <v>46010</v>
      </c>
      <c r="D5047" t="s">
        <v>10053</v>
      </c>
      <c r="E5047" s="2">
        <v>2800</v>
      </c>
      <c r="G5047" s="3">
        <f>MONTH(Tabela1[[#This Row],[Último pagto ano]])</f>
        <v>12</v>
      </c>
      <c r="H5047" t="str">
        <f>TEXT(Tabela1[[#This Row],[Coluna2]]*29,"mmmm")</f>
        <v>dezembro</v>
      </c>
      <c r="I5047" t="str">
        <f>TEXT(MONTH(Tabela1[[#This Row],[Último pagto ano]])*29,"mmmm")</f>
        <v>dezembro</v>
      </c>
    </row>
    <row r="5048" spans="1:9" x14ac:dyDescent="0.25">
      <c r="A5048">
        <v>2025</v>
      </c>
      <c r="B5048" t="s">
        <v>10054</v>
      </c>
      <c r="C5048" s="1">
        <v>45964</v>
      </c>
      <c r="D5048" t="s">
        <v>10055</v>
      </c>
      <c r="E5048" s="2">
        <v>7424</v>
      </c>
      <c r="G5048" s="3">
        <f>MONTH(Tabela1[[#This Row],[Último pagto ano]])</f>
        <v>11</v>
      </c>
      <c r="H5048" t="str">
        <f>TEXT(Tabela1[[#This Row],[Coluna2]]*29,"mmmm")</f>
        <v>novembro</v>
      </c>
      <c r="I5048" t="str">
        <f>TEXT(MONTH(Tabela1[[#This Row],[Último pagto ano]])*29,"mmmm")</f>
        <v>novembro</v>
      </c>
    </row>
    <row r="5049" spans="1:9" x14ac:dyDescent="0.25">
      <c r="A5049">
        <v>2025</v>
      </c>
      <c r="B5049" t="s">
        <v>10056</v>
      </c>
      <c r="C5049" s="1">
        <v>45891</v>
      </c>
      <c r="D5049" t="s">
        <v>10057</v>
      </c>
      <c r="E5049" s="2">
        <v>28998</v>
      </c>
      <c r="G5049" s="3">
        <f>MONTH(Tabela1[[#This Row],[Último pagto ano]])</f>
        <v>8</v>
      </c>
      <c r="H5049" t="str">
        <f>TEXT(Tabela1[[#This Row],[Coluna2]]*29,"mmmm")</f>
        <v>agosto</v>
      </c>
      <c r="I5049" t="str">
        <f>TEXT(MONTH(Tabela1[[#This Row],[Último pagto ano]])*29,"mmmm")</f>
        <v>agosto</v>
      </c>
    </row>
    <row r="5050" spans="1:9" x14ac:dyDescent="0.25">
      <c r="A5050">
        <v>2025</v>
      </c>
      <c r="B5050" t="s">
        <v>10058</v>
      </c>
      <c r="C5050" s="1">
        <v>46006</v>
      </c>
      <c r="D5050" t="s">
        <v>10059</v>
      </c>
      <c r="E5050" s="2">
        <v>176223.4</v>
      </c>
      <c r="G5050" s="3">
        <f>MONTH(Tabela1[[#This Row],[Último pagto ano]])</f>
        <v>12</v>
      </c>
      <c r="H5050" t="str">
        <f>TEXT(Tabela1[[#This Row],[Coluna2]]*29,"mmmm")</f>
        <v>dezembro</v>
      </c>
      <c r="I5050" t="str">
        <f>TEXT(MONTH(Tabela1[[#This Row],[Último pagto ano]])*29,"mmmm")</f>
        <v>dezembro</v>
      </c>
    </row>
    <row r="5051" spans="1:9" x14ac:dyDescent="0.25">
      <c r="A5051">
        <v>2025</v>
      </c>
      <c r="B5051" t="s">
        <v>10060</v>
      </c>
      <c r="C5051" s="1">
        <v>45769</v>
      </c>
      <c r="D5051" t="s">
        <v>10061</v>
      </c>
      <c r="E5051">
        <v>22</v>
      </c>
      <c r="G5051" s="3">
        <f>MONTH(Tabela1[[#This Row],[Último pagto ano]])</f>
        <v>4</v>
      </c>
      <c r="H5051" t="str">
        <f>TEXT(Tabela1[[#This Row],[Coluna2]]*29,"mmmm")</f>
        <v>abril</v>
      </c>
      <c r="I5051" t="str">
        <f>TEXT(MONTH(Tabela1[[#This Row],[Último pagto ano]])*29,"mmmm")</f>
        <v>abril</v>
      </c>
    </row>
    <row r="5052" spans="1:9" x14ac:dyDescent="0.25">
      <c r="A5052">
        <v>2025</v>
      </c>
      <c r="B5052" t="s">
        <v>10062</v>
      </c>
      <c r="C5052" s="1">
        <v>45841</v>
      </c>
      <c r="D5052" t="s">
        <v>10063</v>
      </c>
      <c r="E5052" s="2">
        <v>5402.35</v>
      </c>
      <c r="G5052" s="3">
        <f>MONTH(Tabela1[[#This Row],[Último pagto ano]])</f>
        <v>7</v>
      </c>
      <c r="H5052" t="str">
        <f>TEXT(Tabela1[[#This Row],[Coluna2]]*29,"mmmm")</f>
        <v>julho</v>
      </c>
      <c r="I5052" t="str">
        <f>TEXT(MONTH(Tabela1[[#This Row],[Último pagto ano]])*29,"mmmm")</f>
        <v>julho</v>
      </c>
    </row>
    <row r="5053" spans="1:9" x14ac:dyDescent="0.25">
      <c r="A5053">
        <v>2025</v>
      </c>
      <c r="B5053" t="s">
        <v>10064</v>
      </c>
      <c r="C5053" s="1">
        <v>46003</v>
      </c>
      <c r="D5053" t="s">
        <v>10065</v>
      </c>
      <c r="E5053" s="2">
        <v>4080</v>
      </c>
      <c r="G5053" s="3">
        <f>MONTH(Tabela1[[#This Row],[Último pagto ano]])</f>
        <v>12</v>
      </c>
      <c r="H5053" t="str">
        <f>TEXT(Tabela1[[#This Row],[Coluna2]]*29,"mmmm")</f>
        <v>dezembro</v>
      </c>
      <c r="I5053" t="str">
        <f>TEXT(MONTH(Tabela1[[#This Row],[Último pagto ano]])*29,"mmmm")</f>
        <v>dezembro</v>
      </c>
    </row>
    <row r="5054" spans="1:9" x14ac:dyDescent="0.25">
      <c r="A5054">
        <v>2025</v>
      </c>
      <c r="B5054" t="s">
        <v>10066</v>
      </c>
      <c r="C5054" s="1">
        <v>45853</v>
      </c>
      <c r="D5054" t="s">
        <v>10067</v>
      </c>
      <c r="E5054" s="2">
        <v>6199.44</v>
      </c>
      <c r="G5054" s="3">
        <f>MONTH(Tabela1[[#This Row],[Último pagto ano]])</f>
        <v>7</v>
      </c>
      <c r="H5054" t="str">
        <f>TEXT(Tabela1[[#This Row],[Coluna2]]*29,"mmmm")</f>
        <v>julho</v>
      </c>
      <c r="I5054" t="str">
        <f>TEXT(MONTH(Tabela1[[#This Row],[Último pagto ano]])*29,"mmmm")</f>
        <v>julho</v>
      </c>
    </row>
    <row r="5055" spans="1:9" x14ac:dyDescent="0.25">
      <c r="A5055">
        <v>2025</v>
      </c>
      <c r="B5055" t="s">
        <v>10068</v>
      </c>
      <c r="C5055" s="1">
        <v>46021</v>
      </c>
      <c r="D5055" t="s">
        <v>10069</v>
      </c>
      <c r="E5055" s="2">
        <v>10321.67</v>
      </c>
      <c r="G5055" s="3">
        <f>MONTH(Tabela1[[#This Row],[Último pagto ano]])</f>
        <v>12</v>
      </c>
      <c r="H5055" t="str">
        <f>TEXT(Tabela1[[#This Row],[Coluna2]]*29,"mmmm")</f>
        <v>dezembro</v>
      </c>
      <c r="I5055" t="str">
        <f>TEXT(MONTH(Tabela1[[#This Row],[Último pagto ano]])*29,"mmmm")</f>
        <v>dezembro</v>
      </c>
    </row>
    <row r="5056" spans="1:9" x14ac:dyDescent="0.25">
      <c r="A5056">
        <v>2025</v>
      </c>
      <c r="B5056" t="s">
        <v>10070</v>
      </c>
      <c r="C5056" s="1">
        <v>45702</v>
      </c>
      <c r="D5056" t="s">
        <v>10071</v>
      </c>
      <c r="E5056">
        <v>26.82</v>
      </c>
      <c r="G5056" s="3">
        <f>MONTH(Tabela1[[#This Row],[Último pagto ano]])</f>
        <v>2</v>
      </c>
      <c r="H5056" t="str">
        <f>TEXT(Tabela1[[#This Row],[Coluna2]]*29,"mmmm")</f>
        <v>fevereiro</v>
      </c>
      <c r="I5056" t="str">
        <f>TEXT(MONTH(Tabela1[[#This Row],[Último pagto ano]])*29,"mmmm")</f>
        <v>fevereiro</v>
      </c>
    </row>
    <row r="5057" spans="1:9" x14ac:dyDescent="0.25">
      <c r="A5057">
        <v>2025</v>
      </c>
      <c r="B5057" t="s">
        <v>10072</v>
      </c>
      <c r="C5057" s="1">
        <v>45814</v>
      </c>
      <c r="D5057" t="s">
        <v>10073</v>
      </c>
      <c r="E5057" s="2">
        <v>32400</v>
      </c>
      <c r="G5057" s="3">
        <f>MONTH(Tabela1[[#This Row],[Último pagto ano]])</f>
        <v>6</v>
      </c>
      <c r="H5057" t="str">
        <f>TEXT(Tabela1[[#This Row],[Coluna2]]*29,"mmmm")</f>
        <v>junho</v>
      </c>
      <c r="I5057" t="str">
        <f>TEXT(MONTH(Tabela1[[#This Row],[Último pagto ano]])*29,"mmmm")</f>
        <v>junho</v>
      </c>
    </row>
    <row r="5058" spans="1:9" x14ac:dyDescent="0.25">
      <c r="A5058">
        <v>2025</v>
      </c>
      <c r="B5058" t="s">
        <v>10074</v>
      </c>
      <c r="C5058" s="1">
        <v>45996</v>
      </c>
      <c r="D5058" t="s">
        <v>10075</v>
      </c>
      <c r="E5058" s="2">
        <v>12509.1</v>
      </c>
      <c r="G5058" s="3">
        <f>MONTH(Tabela1[[#This Row],[Último pagto ano]])</f>
        <v>12</v>
      </c>
      <c r="H5058" t="str">
        <f>TEXT(Tabela1[[#This Row],[Coluna2]]*29,"mmmm")</f>
        <v>dezembro</v>
      </c>
      <c r="I5058" t="str">
        <f>TEXT(MONTH(Tabela1[[#This Row],[Último pagto ano]])*29,"mmmm")</f>
        <v>dezembro</v>
      </c>
    </row>
    <row r="5059" spans="1:9" x14ac:dyDescent="0.25">
      <c r="A5059">
        <v>2025</v>
      </c>
      <c r="B5059" t="s">
        <v>10076</v>
      </c>
      <c r="C5059" s="1">
        <v>45824</v>
      </c>
      <c r="D5059" t="s">
        <v>10077</v>
      </c>
      <c r="E5059">
        <v>44</v>
      </c>
      <c r="G5059" s="3">
        <f>MONTH(Tabela1[[#This Row],[Último pagto ano]])</f>
        <v>6</v>
      </c>
      <c r="H5059" t="str">
        <f>TEXT(Tabela1[[#This Row],[Coluna2]]*29,"mmmm")</f>
        <v>junho</v>
      </c>
      <c r="I5059" t="str">
        <f>TEXT(MONTH(Tabela1[[#This Row],[Último pagto ano]])*29,"mmmm")</f>
        <v>junho</v>
      </c>
    </row>
    <row r="5060" spans="1:9" x14ac:dyDescent="0.25">
      <c r="A5060">
        <v>2025</v>
      </c>
      <c r="B5060" t="s">
        <v>10078</v>
      </c>
      <c r="C5060" s="1">
        <v>45803</v>
      </c>
      <c r="D5060" t="s">
        <v>10079</v>
      </c>
      <c r="E5060" s="2">
        <v>2400</v>
      </c>
      <c r="G5060" s="3">
        <f>MONTH(Tabela1[[#This Row],[Último pagto ano]])</f>
        <v>5</v>
      </c>
      <c r="H5060" t="str">
        <f>TEXT(Tabela1[[#This Row],[Coluna2]]*29,"mmmm")</f>
        <v>maio</v>
      </c>
      <c r="I5060" t="str">
        <f>TEXT(MONTH(Tabela1[[#This Row],[Último pagto ano]])*29,"mmmm")</f>
        <v>maio</v>
      </c>
    </row>
    <row r="5061" spans="1:9" x14ac:dyDescent="0.25">
      <c r="A5061">
        <v>2025</v>
      </c>
      <c r="B5061" t="s">
        <v>10080</v>
      </c>
      <c r="C5061" s="1">
        <v>46010</v>
      </c>
      <c r="D5061" t="s">
        <v>10081</v>
      </c>
      <c r="E5061" s="2">
        <v>8400</v>
      </c>
      <c r="G5061" s="3">
        <f>MONTH(Tabela1[[#This Row],[Último pagto ano]])</f>
        <v>12</v>
      </c>
      <c r="H5061" t="str">
        <f>TEXT(Tabela1[[#This Row],[Coluna2]]*29,"mmmm")</f>
        <v>dezembro</v>
      </c>
      <c r="I5061" t="str">
        <f>TEXT(MONTH(Tabela1[[#This Row],[Último pagto ano]])*29,"mmmm")</f>
        <v>dezembro</v>
      </c>
    </row>
    <row r="5062" spans="1:9" x14ac:dyDescent="0.25">
      <c r="A5062">
        <v>2025</v>
      </c>
      <c r="B5062" t="s">
        <v>10082</v>
      </c>
      <c r="C5062" s="1">
        <v>45702</v>
      </c>
      <c r="D5062" t="s">
        <v>10083</v>
      </c>
      <c r="E5062">
        <v>269.13</v>
      </c>
      <c r="G5062" s="3">
        <f>MONTH(Tabela1[[#This Row],[Último pagto ano]])</f>
        <v>2</v>
      </c>
      <c r="H5062" t="str">
        <f>TEXT(Tabela1[[#This Row],[Coluna2]]*29,"mmmm")</f>
        <v>fevereiro</v>
      </c>
      <c r="I5062" t="str">
        <f>TEXT(MONTH(Tabela1[[#This Row],[Último pagto ano]])*29,"mmmm")</f>
        <v>fevereiro</v>
      </c>
    </row>
    <row r="5063" spans="1:9" x14ac:dyDescent="0.25">
      <c r="A5063">
        <v>2025</v>
      </c>
      <c r="B5063" t="s">
        <v>10084</v>
      </c>
      <c r="C5063" s="1">
        <v>45702</v>
      </c>
      <c r="D5063" t="s">
        <v>10085</v>
      </c>
      <c r="E5063">
        <v>270.33999999999997</v>
      </c>
      <c r="G5063" s="3">
        <f>MONTH(Tabela1[[#This Row],[Último pagto ano]])</f>
        <v>2</v>
      </c>
      <c r="H5063" t="str">
        <f>TEXT(Tabela1[[#This Row],[Coluna2]]*29,"mmmm")</f>
        <v>fevereiro</v>
      </c>
      <c r="I5063" t="str">
        <f>TEXT(MONTH(Tabela1[[#This Row],[Último pagto ano]])*29,"mmmm")</f>
        <v>fevereiro</v>
      </c>
    </row>
    <row r="5064" spans="1:9" x14ac:dyDescent="0.25">
      <c r="A5064">
        <v>2025</v>
      </c>
      <c r="B5064" t="s">
        <v>10086</v>
      </c>
      <c r="C5064" s="1">
        <v>46010</v>
      </c>
      <c r="D5064" t="s">
        <v>10087</v>
      </c>
      <c r="E5064" s="2">
        <v>2800</v>
      </c>
      <c r="G5064" s="3">
        <f>MONTH(Tabela1[[#This Row],[Último pagto ano]])</f>
        <v>12</v>
      </c>
      <c r="H5064" t="str">
        <f>TEXT(Tabela1[[#This Row],[Coluna2]]*29,"mmmm")</f>
        <v>dezembro</v>
      </c>
      <c r="I5064" t="str">
        <f>TEXT(MONTH(Tabela1[[#This Row],[Último pagto ano]])*29,"mmmm")</f>
        <v>dezembro</v>
      </c>
    </row>
    <row r="5065" spans="1:9" x14ac:dyDescent="0.25">
      <c r="A5065">
        <v>2025</v>
      </c>
      <c r="B5065" t="s">
        <v>10088</v>
      </c>
      <c r="C5065" s="1">
        <v>45863</v>
      </c>
      <c r="D5065" t="s">
        <v>10089</v>
      </c>
      <c r="E5065" s="2">
        <v>5856.84</v>
      </c>
      <c r="G5065" s="3">
        <f>MONTH(Tabela1[[#This Row],[Último pagto ano]])</f>
        <v>7</v>
      </c>
      <c r="H5065" t="str">
        <f>TEXT(Tabela1[[#This Row],[Coluna2]]*29,"mmmm")</f>
        <v>julho</v>
      </c>
      <c r="I5065" t="str">
        <f>TEXT(MONTH(Tabela1[[#This Row],[Último pagto ano]])*29,"mmmm")</f>
        <v>julho</v>
      </c>
    </row>
    <row r="5066" spans="1:9" x14ac:dyDescent="0.25">
      <c r="A5066">
        <v>2025</v>
      </c>
      <c r="B5066" t="s">
        <v>10090</v>
      </c>
      <c r="C5066" s="1">
        <v>45702</v>
      </c>
      <c r="D5066" t="s">
        <v>10091</v>
      </c>
      <c r="E5066">
        <v>19.190000000000001</v>
      </c>
      <c r="G5066" s="3">
        <f>MONTH(Tabela1[[#This Row],[Último pagto ano]])</f>
        <v>2</v>
      </c>
      <c r="H5066" t="str">
        <f>TEXT(Tabela1[[#This Row],[Coluna2]]*29,"mmmm")</f>
        <v>fevereiro</v>
      </c>
      <c r="I5066" t="str">
        <f>TEXT(MONTH(Tabela1[[#This Row],[Último pagto ano]])*29,"mmmm")</f>
        <v>fevereiro</v>
      </c>
    </row>
    <row r="5067" spans="1:9" x14ac:dyDescent="0.25">
      <c r="A5067">
        <v>2025</v>
      </c>
      <c r="B5067" t="s">
        <v>10092</v>
      </c>
      <c r="C5067" s="1">
        <v>45817</v>
      </c>
      <c r="D5067" t="s">
        <v>10093</v>
      </c>
      <c r="E5067">
        <v>22</v>
      </c>
      <c r="G5067" s="3">
        <f>MONTH(Tabela1[[#This Row],[Último pagto ano]])</f>
        <v>6</v>
      </c>
      <c r="H5067" t="str">
        <f>TEXT(Tabela1[[#This Row],[Coluna2]]*29,"mmmm")</f>
        <v>junho</v>
      </c>
      <c r="I5067" t="str">
        <f>TEXT(MONTH(Tabela1[[#This Row],[Último pagto ano]])*29,"mmmm")</f>
        <v>junho</v>
      </c>
    </row>
    <row r="5068" spans="1:9" x14ac:dyDescent="0.25">
      <c r="A5068">
        <v>2025</v>
      </c>
      <c r="B5068" t="s">
        <v>10094</v>
      </c>
      <c r="C5068" s="1">
        <v>45898</v>
      </c>
      <c r="D5068" t="s">
        <v>10095</v>
      </c>
      <c r="E5068" s="2">
        <v>7962.68</v>
      </c>
      <c r="G5068" s="3">
        <f>MONTH(Tabela1[[#This Row],[Último pagto ano]])</f>
        <v>8</v>
      </c>
      <c r="H5068" t="str">
        <f>TEXT(Tabela1[[#This Row],[Coluna2]]*29,"mmmm")</f>
        <v>agosto</v>
      </c>
      <c r="I5068" t="str">
        <f>TEXT(MONTH(Tabela1[[#This Row],[Último pagto ano]])*29,"mmmm")</f>
        <v>agosto</v>
      </c>
    </row>
    <row r="5069" spans="1:9" x14ac:dyDescent="0.25">
      <c r="A5069">
        <v>2025</v>
      </c>
      <c r="B5069" t="s">
        <v>10096</v>
      </c>
      <c r="C5069" s="1">
        <v>46010</v>
      </c>
      <c r="D5069" t="s">
        <v>10097</v>
      </c>
      <c r="E5069" s="2">
        <v>12000</v>
      </c>
      <c r="G5069" s="3">
        <f>MONTH(Tabela1[[#This Row],[Último pagto ano]])</f>
        <v>12</v>
      </c>
      <c r="H5069" t="str">
        <f>TEXT(Tabela1[[#This Row],[Coluna2]]*29,"mmmm")</f>
        <v>dezembro</v>
      </c>
      <c r="I5069" t="str">
        <f>TEXT(MONTH(Tabela1[[#This Row],[Último pagto ano]])*29,"mmmm")</f>
        <v>dezembro</v>
      </c>
    </row>
    <row r="5070" spans="1:9" x14ac:dyDescent="0.25">
      <c r="A5070">
        <v>2025</v>
      </c>
      <c r="B5070" t="s">
        <v>10098</v>
      </c>
      <c r="C5070" s="1">
        <v>45681</v>
      </c>
      <c r="D5070" t="s">
        <v>10099</v>
      </c>
      <c r="E5070">
        <v>700</v>
      </c>
      <c r="G5070" s="3">
        <f>MONTH(Tabela1[[#This Row],[Último pagto ano]])</f>
        <v>1</v>
      </c>
      <c r="H5070" t="str">
        <f>TEXT(Tabela1[[#This Row],[Coluna2]]*29,"mmmm")</f>
        <v>janeiro</v>
      </c>
      <c r="I5070" t="str">
        <f>TEXT(MONTH(Tabela1[[#This Row],[Último pagto ano]])*29,"mmmm")</f>
        <v>janeiro</v>
      </c>
    </row>
    <row r="5071" spans="1:9" x14ac:dyDescent="0.25">
      <c r="A5071">
        <v>2025</v>
      </c>
      <c r="B5071" t="s">
        <v>10100</v>
      </c>
      <c r="C5071" s="1">
        <v>45930</v>
      </c>
      <c r="D5071" t="s">
        <v>10101</v>
      </c>
      <c r="E5071" s="2">
        <v>9551.3799999999992</v>
      </c>
      <c r="G5071" s="3">
        <f>MONTH(Tabela1[[#This Row],[Último pagto ano]])</f>
        <v>9</v>
      </c>
      <c r="H5071" t="str">
        <f>TEXT(Tabela1[[#This Row],[Coluna2]]*29,"mmmm")</f>
        <v>setembro</v>
      </c>
      <c r="I5071" t="str">
        <f>TEXT(MONTH(Tabela1[[#This Row],[Último pagto ano]])*29,"mmmm")</f>
        <v>setembro</v>
      </c>
    </row>
    <row r="5072" spans="1:9" x14ac:dyDescent="0.25">
      <c r="A5072">
        <v>2025</v>
      </c>
      <c r="B5072" t="s">
        <v>10102</v>
      </c>
      <c r="C5072" s="1">
        <v>45989</v>
      </c>
      <c r="D5072" t="s">
        <v>10103</v>
      </c>
      <c r="E5072" s="2">
        <v>5380.28</v>
      </c>
      <c r="G5072" s="3">
        <f>MONTH(Tabela1[[#This Row],[Último pagto ano]])</f>
        <v>11</v>
      </c>
      <c r="H5072" t="str">
        <f>TEXT(Tabela1[[#This Row],[Coluna2]]*29,"mmmm")</f>
        <v>novembro</v>
      </c>
      <c r="I5072" t="str">
        <f>TEXT(MONTH(Tabela1[[#This Row],[Último pagto ano]])*29,"mmmm")</f>
        <v>novembro</v>
      </c>
    </row>
    <row r="5073" spans="1:9" x14ac:dyDescent="0.25">
      <c r="A5073">
        <v>2025</v>
      </c>
      <c r="B5073" t="s">
        <v>10104</v>
      </c>
      <c r="C5073" s="1">
        <v>46010</v>
      </c>
      <c r="D5073" t="s">
        <v>10105</v>
      </c>
      <c r="E5073" s="2">
        <v>12000</v>
      </c>
      <c r="G5073" s="3">
        <f>MONTH(Tabela1[[#This Row],[Último pagto ano]])</f>
        <v>12</v>
      </c>
      <c r="H5073" t="str">
        <f>TEXT(Tabela1[[#This Row],[Coluna2]]*29,"mmmm")</f>
        <v>dezembro</v>
      </c>
      <c r="I5073" t="str">
        <f>TEXT(MONTH(Tabela1[[#This Row],[Último pagto ano]])*29,"mmmm")</f>
        <v>dezembro</v>
      </c>
    </row>
    <row r="5074" spans="1:9" x14ac:dyDescent="0.25">
      <c r="A5074">
        <v>2025</v>
      </c>
      <c r="B5074" t="s">
        <v>10106</v>
      </c>
      <c r="C5074" s="1">
        <v>45702</v>
      </c>
      <c r="D5074" t="s">
        <v>10107</v>
      </c>
      <c r="E5074">
        <v>28.8</v>
      </c>
      <c r="G5074" s="3">
        <f>MONTH(Tabela1[[#This Row],[Último pagto ano]])</f>
        <v>2</v>
      </c>
      <c r="H5074" t="str">
        <f>TEXT(Tabela1[[#This Row],[Coluna2]]*29,"mmmm")</f>
        <v>fevereiro</v>
      </c>
      <c r="I5074" t="str">
        <f>TEXT(MONTH(Tabela1[[#This Row],[Último pagto ano]])*29,"mmmm")</f>
        <v>fevereiro</v>
      </c>
    </row>
    <row r="5075" spans="1:9" x14ac:dyDescent="0.25">
      <c r="A5075">
        <v>2025</v>
      </c>
      <c r="B5075" t="s">
        <v>10106</v>
      </c>
      <c r="C5075" s="1">
        <v>45761</v>
      </c>
      <c r="D5075" t="s">
        <v>10107</v>
      </c>
      <c r="E5075">
        <v>480</v>
      </c>
      <c r="G5075" s="3">
        <f>MONTH(Tabela1[[#This Row],[Último pagto ano]])</f>
        <v>4</v>
      </c>
      <c r="H5075" t="str">
        <f>TEXT(Tabela1[[#This Row],[Coluna2]]*29,"mmmm")</f>
        <v>abril</v>
      </c>
      <c r="I5075" t="str">
        <f>TEXT(MONTH(Tabela1[[#This Row],[Último pagto ano]])*29,"mmmm")</f>
        <v>abril</v>
      </c>
    </row>
    <row r="5076" spans="1:9" x14ac:dyDescent="0.25">
      <c r="A5076">
        <v>2025</v>
      </c>
      <c r="B5076" t="s">
        <v>10108</v>
      </c>
      <c r="C5076" s="1">
        <v>45852</v>
      </c>
      <c r="D5076" t="s">
        <v>10109</v>
      </c>
      <c r="E5076">
        <v>11</v>
      </c>
      <c r="G5076" s="3">
        <f>MONTH(Tabela1[[#This Row],[Último pagto ano]])</f>
        <v>7</v>
      </c>
      <c r="H5076" t="str">
        <f>TEXT(Tabela1[[#This Row],[Coluna2]]*29,"mmmm")</f>
        <v>julho</v>
      </c>
      <c r="I5076" t="str">
        <f>TEXT(MONTH(Tabela1[[#This Row],[Último pagto ano]])*29,"mmmm")</f>
        <v>julho</v>
      </c>
    </row>
    <row r="5077" spans="1:9" x14ac:dyDescent="0.25">
      <c r="A5077">
        <v>2025</v>
      </c>
      <c r="B5077" t="s">
        <v>10110</v>
      </c>
      <c r="C5077" s="1">
        <v>45702</v>
      </c>
      <c r="D5077" t="s">
        <v>10111</v>
      </c>
      <c r="E5077">
        <v>22</v>
      </c>
      <c r="G5077" s="3">
        <f>MONTH(Tabela1[[#This Row],[Último pagto ano]])</f>
        <v>2</v>
      </c>
      <c r="H5077" t="str">
        <f>TEXT(Tabela1[[#This Row],[Coluna2]]*29,"mmmm")</f>
        <v>fevereiro</v>
      </c>
      <c r="I5077" t="str">
        <f>TEXT(MONTH(Tabela1[[#This Row],[Último pagto ano]])*29,"mmmm")</f>
        <v>fevereiro</v>
      </c>
    </row>
    <row r="5078" spans="1:9" x14ac:dyDescent="0.25">
      <c r="A5078">
        <v>2025</v>
      </c>
      <c r="B5078" t="s">
        <v>10112</v>
      </c>
      <c r="C5078" s="1">
        <v>45702</v>
      </c>
      <c r="D5078" t="s">
        <v>10113</v>
      </c>
      <c r="E5078">
        <v>8.89</v>
      </c>
      <c r="G5078" s="3">
        <f>MONTH(Tabela1[[#This Row],[Último pagto ano]])</f>
        <v>2</v>
      </c>
      <c r="H5078" t="str">
        <f>TEXT(Tabela1[[#This Row],[Coluna2]]*29,"mmmm")</f>
        <v>fevereiro</v>
      </c>
      <c r="I5078" t="str">
        <f>TEXT(MONTH(Tabela1[[#This Row],[Último pagto ano]])*29,"mmmm")</f>
        <v>fevereiro</v>
      </c>
    </row>
    <row r="5079" spans="1:9" x14ac:dyDescent="0.25">
      <c r="A5079">
        <v>2025</v>
      </c>
      <c r="B5079" t="s">
        <v>10114</v>
      </c>
      <c r="C5079" s="1">
        <v>45996</v>
      </c>
      <c r="D5079" t="s">
        <v>10115</v>
      </c>
      <c r="E5079" s="2">
        <v>11000</v>
      </c>
      <c r="G5079" s="3">
        <f>MONTH(Tabela1[[#This Row],[Último pagto ano]])</f>
        <v>12</v>
      </c>
      <c r="H5079" t="str">
        <f>TEXT(Tabela1[[#This Row],[Coluna2]]*29,"mmmm")</f>
        <v>dezembro</v>
      </c>
      <c r="I5079" t="str">
        <f>TEXT(MONTH(Tabela1[[#This Row],[Último pagto ano]])*29,"mmmm")</f>
        <v>dezembro</v>
      </c>
    </row>
    <row r="5080" spans="1:9" x14ac:dyDescent="0.25">
      <c r="A5080">
        <v>2025</v>
      </c>
      <c r="B5080" t="s">
        <v>10116</v>
      </c>
      <c r="C5080" s="1">
        <v>45849</v>
      </c>
      <c r="D5080" t="s">
        <v>10117</v>
      </c>
      <c r="E5080">
        <v>568.21</v>
      </c>
      <c r="G5080" s="3">
        <f>MONTH(Tabela1[[#This Row],[Último pagto ano]])</f>
        <v>7</v>
      </c>
      <c r="H5080" t="str">
        <f>TEXT(Tabela1[[#This Row],[Coluna2]]*29,"mmmm")</f>
        <v>julho</v>
      </c>
      <c r="I5080" t="str">
        <f>TEXT(MONTH(Tabela1[[#This Row],[Último pagto ano]])*29,"mmmm")</f>
        <v>julho</v>
      </c>
    </row>
    <row r="5081" spans="1:9" x14ac:dyDescent="0.25">
      <c r="A5081">
        <v>2025</v>
      </c>
      <c r="B5081" t="s">
        <v>10118</v>
      </c>
      <c r="C5081" s="1">
        <v>46013</v>
      </c>
      <c r="D5081" t="s">
        <v>10119</v>
      </c>
      <c r="E5081">
        <v>691.2</v>
      </c>
      <c r="G5081" s="3">
        <f>MONTH(Tabela1[[#This Row],[Último pagto ano]])</f>
        <v>12</v>
      </c>
      <c r="H5081" t="str">
        <f>TEXT(Tabela1[[#This Row],[Coluna2]]*29,"mmmm")</f>
        <v>dezembro</v>
      </c>
      <c r="I5081" t="str">
        <f>TEXT(MONTH(Tabela1[[#This Row],[Último pagto ano]])*29,"mmmm")</f>
        <v>dezembro</v>
      </c>
    </row>
    <row r="5082" spans="1:9" x14ac:dyDescent="0.25">
      <c r="A5082">
        <v>2025</v>
      </c>
      <c r="B5082" t="s">
        <v>10120</v>
      </c>
      <c r="C5082" s="1">
        <v>45996</v>
      </c>
      <c r="D5082" t="s">
        <v>10121</v>
      </c>
      <c r="E5082" s="2">
        <v>6350</v>
      </c>
      <c r="G5082" s="3">
        <f>MONTH(Tabela1[[#This Row],[Último pagto ano]])</f>
        <v>12</v>
      </c>
      <c r="H5082" t="str">
        <f>TEXT(Tabela1[[#This Row],[Coluna2]]*29,"mmmm")</f>
        <v>dezembro</v>
      </c>
      <c r="I5082" t="str">
        <f>TEXT(MONTH(Tabela1[[#This Row],[Último pagto ano]])*29,"mmmm")</f>
        <v>dezembro</v>
      </c>
    </row>
    <row r="5083" spans="1:9" x14ac:dyDescent="0.25">
      <c r="A5083">
        <v>2025</v>
      </c>
      <c r="B5083" t="s">
        <v>10122</v>
      </c>
      <c r="C5083" s="1">
        <v>45964</v>
      </c>
      <c r="D5083" t="s">
        <v>10123</v>
      </c>
      <c r="E5083">
        <v>110</v>
      </c>
      <c r="G5083" s="3">
        <f>MONTH(Tabela1[[#This Row],[Último pagto ano]])</f>
        <v>11</v>
      </c>
      <c r="H5083" t="str">
        <f>TEXT(Tabela1[[#This Row],[Coluna2]]*29,"mmmm")</f>
        <v>novembro</v>
      </c>
      <c r="I5083" t="str">
        <f>TEXT(MONTH(Tabela1[[#This Row],[Último pagto ano]])*29,"mmmm")</f>
        <v>novembro</v>
      </c>
    </row>
    <row r="5084" spans="1:9" x14ac:dyDescent="0.25">
      <c r="A5084">
        <v>2025</v>
      </c>
      <c r="B5084" t="s">
        <v>10124</v>
      </c>
      <c r="C5084" s="1">
        <v>45917</v>
      </c>
      <c r="D5084" t="s">
        <v>10125</v>
      </c>
      <c r="E5084" s="2">
        <v>1460.59</v>
      </c>
      <c r="G5084" s="3">
        <f>MONTH(Tabela1[[#This Row],[Último pagto ano]])</f>
        <v>9</v>
      </c>
      <c r="H5084" t="str">
        <f>TEXT(Tabela1[[#This Row],[Coluna2]]*29,"mmmm")</f>
        <v>setembro</v>
      </c>
      <c r="I5084" t="str">
        <f>TEXT(MONTH(Tabela1[[#This Row],[Último pagto ano]])*29,"mmmm")</f>
        <v>setembro</v>
      </c>
    </row>
    <row r="5085" spans="1:9" x14ac:dyDescent="0.25">
      <c r="A5085">
        <v>2025</v>
      </c>
      <c r="B5085" t="s">
        <v>10126</v>
      </c>
      <c r="C5085" s="1">
        <v>46006</v>
      </c>
      <c r="D5085" t="s">
        <v>10127</v>
      </c>
      <c r="E5085">
        <v>528</v>
      </c>
      <c r="G5085" s="3">
        <f>MONTH(Tabela1[[#This Row],[Último pagto ano]])</f>
        <v>12</v>
      </c>
      <c r="H5085" t="str">
        <f>TEXT(Tabela1[[#This Row],[Coluna2]]*29,"mmmm")</f>
        <v>dezembro</v>
      </c>
      <c r="I5085" t="str">
        <f>TEXT(MONTH(Tabela1[[#This Row],[Último pagto ano]])*29,"mmmm")</f>
        <v>dezembro</v>
      </c>
    </row>
    <row r="5086" spans="1:9" x14ac:dyDescent="0.25">
      <c r="A5086">
        <v>2025</v>
      </c>
      <c r="B5086" t="s">
        <v>10128</v>
      </c>
      <c r="C5086" s="1">
        <v>45996</v>
      </c>
      <c r="D5086" t="s">
        <v>10129</v>
      </c>
      <c r="E5086" s="2">
        <v>4000</v>
      </c>
      <c r="G5086" s="3">
        <f>MONTH(Tabela1[[#This Row],[Último pagto ano]])</f>
        <v>12</v>
      </c>
      <c r="H5086" t="str">
        <f>TEXT(Tabela1[[#This Row],[Coluna2]]*29,"mmmm")</f>
        <v>dezembro</v>
      </c>
      <c r="I5086" t="str">
        <f>TEXT(MONTH(Tabela1[[#This Row],[Último pagto ano]])*29,"mmmm")</f>
        <v>dezembro</v>
      </c>
    </row>
    <row r="5087" spans="1:9" x14ac:dyDescent="0.25">
      <c r="A5087">
        <v>2025</v>
      </c>
      <c r="B5087" t="s">
        <v>10130</v>
      </c>
      <c r="C5087" s="1">
        <v>45943</v>
      </c>
      <c r="D5087" t="s">
        <v>10131</v>
      </c>
      <c r="E5087">
        <v>132</v>
      </c>
      <c r="G5087" s="3">
        <f>MONTH(Tabela1[[#This Row],[Último pagto ano]])</f>
        <v>10</v>
      </c>
      <c r="H5087" t="str">
        <f>TEXT(Tabela1[[#This Row],[Coluna2]]*29,"mmmm")</f>
        <v>outubro</v>
      </c>
      <c r="I5087" t="str">
        <f>TEXT(MONTH(Tabela1[[#This Row],[Último pagto ano]])*29,"mmmm")</f>
        <v>outubro</v>
      </c>
    </row>
    <row r="5088" spans="1:9" x14ac:dyDescent="0.25">
      <c r="A5088">
        <v>2025</v>
      </c>
      <c r="B5088" t="s">
        <v>10132</v>
      </c>
      <c r="C5088" s="1">
        <v>46010</v>
      </c>
      <c r="D5088" t="s">
        <v>10133</v>
      </c>
      <c r="E5088" s="2">
        <v>1400</v>
      </c>
      <c r="G5088" s="3">
        <f>MONTH(Tabela1[[#This Row],[Último pagto ano]])</f>
        <v>12</v>
      </c>
      <c r="H5088" t="str">
        <f>TEXT(Tabela1[[#This Row],[Coluna2]]*29,"mmmm")</f>
        <v>dezembro</v>
      </c>
      <c r="I5088" t="str">
        <f>TEXT(MONTH(Tabela1[[#This Row],[Último pagto ano]])*29,"mmmm")</f>
        <v>dezembro</v>
      </c>
    </row>
    <row r="5089" spans="1:9" x14ac:dyDescent="0.25">
      <c r="A5089">
        <v>2025</v>
      </c>
      <c r="B5089" t="s">
        <v>10134</v>
      </c>
      <c r="C5089" s="1">
        <v>45937</v>
      </c>
      <c r="D5089" t="s">
        <v>10135</v>
      </c>
      <c r="E5089" s="2">
        <v>3000</v>
      </c>
      <c r="G5089" s="3">
        <f>MONTH(Tabela1[[#This Row],[Último pagto ano]])</f>
        <v>10</v>
      </c>
      <c r="H5089" t="str">
        <f>TEXT(Tabela1[[#This Row],[Coluna2]]*29,"mmmm")</f>
        <v>outubro</v>
      </c>
      <c r="I5089" t="str">
        <f>TEXT(MONTH(Tabela1[[#This Row],[Último pagto ano]])*29,"mmmm")</f>
        <v>outubro</v>
      </c>
    </row>
    <row r="5090" spans="1:9" x14ac:dyDescent="0.25">
      <c r="A5090">
        <v>2025</v>
      </c>
      <c r="B5090" t="s">
        <v>10136</v>
      </c>
      <c r="C5090" s="1">
        <v>45824</v>
      </c>
      <c r="D5090" t="s">
        <v>10137</v>
      </c>
      <c r="E5090">
        <v>592.32000000000005</v>
      </c>
      <c r="G5090" s="3">
        <f>MONTH(Tabela1[[#This Row],[Último pagto ano]])</f>
        <v>6</v>
      </c>
      <c r="H5090" t="str">
        <f>TEXT(Tabela1[[#This Row],[Coluna2]]*29,"mmmm")</f>
        <v>junho</v>
      </c>
      <c r="I5090" t="str">
        <f>TEXT(MONTH(Tabela1[[#This Row],[Último pagto ano]])*29,"mmmm")</f>
        <v>junho</v>
      </c>
    </row>
    <row r="5091" spans="1:9" x14ac:dyDescent="0.25">
      <c r="A5091">
        <v>2025</v>
      </c>
      <c r="B5091" t="s">
        <v>10138</v>
      </c>
      <c r="C5091" s="1">
        <v>45968</v>
      </c>
      <c r="D5091" t="s">
        <v>10139</v>
      </c>
      <c r="E5091" s="2">
        <v>1200</v>
      </c>
      <c r="G5091" s="3">
        <f>MONTH(Tabela1[[#This Row],[Último pagto ano]])</f>
        <v>11</v>
      </c>
      <c r="H5091" t="str">
        <f>TEXT(Tabela1[[#This Row],[Coluna2]]*29,"mmmm")</f>
        <v>novembro</v>
      </c>
      <c r="I5091" t="str">
        <f>TEXT(MONTH(Tabela1[[#This Row],[Último pagto ano]])*29,"mmmm")</f>
        <v>novembro</v>
      </c>
    </row>
    <row r="5092" spans="1:9" x14ac:dyDescent="0.25">
      <c r="A5092">
        <v>2025</v>
      </c>
      <c r="B5092" t="s">
        <v>10140</v>
      </c>
      <c r="C5092" s="1">
        <v>46010</v>
      </c>
      <c r="D5092" t="s">
        <v>10141</v>
      </c>
      <c r="E5092" s="2">
        <v>23734</v>
      </c>
      <c r="G5092" s="3">
        <f>MONTH(Tabela1[[#This Row],[Último pagto ano]])</f>
        <v>12</v>
      </c>
      <c r="H5092" t="str">
        <f>TEXT(Tabela1[[#This Row],[Coluna2]]*29,"mmmm")</f>
        <v>dezembro</v>
      </c>
      <c r="I5092" t="str">
        <f>TEXT(MONTH(Tabela1[[#This Row],[Último pagto ano]])*29,"mmmm")</f>
        <v>dezembro</v>
      </c>
    </row>
    <row r="5093" spans="1:9" x14ac:dyDescent="0.25">
      <c r="A5093">
        <v>2025</v>
      </c>
      <c r="B5093" t="s">
        <v>10142</v>
      </c>
      <c r="C5093" s="1">
        <v>45945</v>
      </c>
      <c r="D5093" t="s">
        <v>10143</v>
      </c>
      <c r="E5093" s="2">
        <v>4442.3999999999996</v>
      </c>
      <c r="G5093" s="3">
        <f>MONTH(Tabela1[[#This Row],[Último pagto ano]])</f>
        <v>10</v>
      </c>
      <c r="H5093" t="str">
        <f>TEXT(Tabela1[[#This Row],[Coluna2]]*29,"mmmm")</f>
        <v>outubro</v>
      </c>
      <c r="I5093" t="str">
        <f>TEXT(MONTH(Tabela1[[#This Row],[Último pagto ano]])*29,"mmmm")</f>
        <v>outubro</v>
      </c>
    </row>
    <row r="5094" spans="1:9" x14ac:dyDescent="0.25">
      <c r="A5094">
        <v>2025</v>
      </c>
      <c r="B5094" t="s">
        <v>10144</v>
      </c>
      <c r="C5094" s="1">
        <v>45999</v>
      </c>
      <c r="D5094" t="s">
        <v>10145</v>
      </c>
      <c r="E5094">
        <v>132</v>
      </c>
      <c r="G5094" s="3">
        <f>MONTH(Tabela1[[#This Row],[Último pagto ano]])</f>
        <v>12</v>
      </c>
      <c r="H5094" t="str">
        <f>TEXT(Tabela1[[#This Row],[Coluna2]]*29,"mmmm")</f>
        <v>dezembro</v>
      </c>
      <c r="I5094" t="str">
        <f>TEXT(MONTH(Tabela1[[#This Row],[Último pagto ano]])*29,"mmmm")</f>
        <v>dezembro</v>
      </c>
    </row>
    <row r="5095" spans="1:9" x14ac:dyDescent="0.25">
      <c r="A5095">
        <v>2025</v>
      </c>
      <c r="B5095" t="s">
        <v>10146</v>
      </c>
      <c r="C5095" s="1">
        <v>45853</v>
      </c>
      <c r="D5095" t="s">
        <v>10147</v>
      </c>
      <c r="E5095" s="2">
        <v>1454.24</v>
      </c>
      <c r="G5095" s="3">
        <f>MONTH(Tabela1[[#This Row],[Último pagto ano]])</f>
        <v>7</v>
      </c>
      <c r="H5095" t="str">
        <f>TEXT(Tabela1[[#This Row],[Coluna2]]*29,"mmmm")</f>
        <v>julho</v>
      </c>
      <c r="I5095" t="str">
        <f>TEXT(MONTH(Tabela1[[#This Row],[Último pagto ano]])*29,"mmmm")</f>
        <v>julho</v>
      </c>
    </row>
    <row r="5096" spans="1:9" x14ac:dyDescent="0.25">
      <c r="A5096">
        <v>2025</v>
      </c>
      <c r="B5096" t="s">
        <v>10148</v>
      </c>
      <c r="C5096" s="1">
        <v>45915</v>
      </c>
      <c r="D5096" t="s">
        <v>10149</v>
      </c>
      <c r="E5096" s="2">
        <v>3850.08</v>
      </c>
      <c r="G5096" s="3">
        <f>MONTH(Tabela1[[#This Row],[Último pagto ano]])</f>
        <v>9</v>
      </c>
      <c r="H5096" t="str">
        <f>TEXT(Tabela1[[#This Row],[Coluna2]]*29,"mmmm")</f>
        <v>setembro</v>
      </c>
      <c r="I5096" t="str">
        <f>TEXT(MONTH(Tabela1[[#This Row],[Último pagto ano]])*29,"mmmm")</f>
        <v>setembro</v>
      </c>
    </row>
    <row r="5097" spans="1:9" x14ac:dyDescent="0.25">
      <c r="A5097">
        <v>2025</v>
      </c>
      <c r="B5097" t="s">
        <v>10150</v>
      </c>
      <c r="C5097" s="1">
        <v>45975</v>
      </c>
      <c r="D5097" t="s">
        <v>10151</v>
      </c>
      <c r="E5097" s="2">
        <v>6948.48</v>
      </c>
      <c r="G5097" s="3">
        <f>MONTH(Tabela1[[#This Row],[Último pagto ano]])</f>
        <v>11</v>
      </c>
      <c r="H5097" t="str">
        <f>TEXT(Tabela1[[#This Row],[Coluna2]]*29,"mmmm")</f>
        <v>novembro</v>
      </c>
      <c r="I5097" t="str">
        <f>TEXT(MONTH(Tabela1[[#This Row],[Último pagto ano]])*29,"mmmm")</f>
        <v>novembro</v>
      </c>
    </row>
    <row r="5098" spans="1:9" x14ac:dyDescent="0.25">
      <c r="A5098">
        <v>2025</v>
      </c>
      <c r="B5098" t="s">
        <v>10152</v>
      </c>
      <c r="C5098" s="1">
        <v>45996</v>
      </c>
      <c r="D5098" t="s">
        <v>10153</v>
      </c>
      <c r="E5098" s="2">
        <v>13500</v>
      </c>
      <c r="G5098" s="3">
        <f>MONTH(Tabela1[[#This Row],[Último pagto ano]])</f>
        <v>12</v>
      </c>
      <c r="H5098" t="str">
        <f>TEXT(Tabela1[[#This Row],[Coluna2]]*29,"mmmm")</f>
        <v>dezembro</v>
      </c>
      <c r="I5098" t="str">
        <f>TEXT(MONTH(Tabela1[[#This Row],[Último pagto ano]])*29,"mmmm")</f>
        <v>dezembro</v>
      </c>
    </row>
    <row r="5099" spans="1:9" x14ac:dyDescent="0.25">
      <c r="A5099">
        <v>2025</v>
      </c>
      <c r="B5099" t="s">
        <v>10154</v>
      </c>
      <c r="C5099" s="1">
        <v>45937</v>
      </c>
      <c r="D5099" t="s">
        <v>10155</v>
      </c>
      <c r="E5099" s="2">
        <v>1400</v>
      </c>
      <c r="G5099" s="3">
        <f>MONTH(Tabela1[[#This Row],[Último pagto ano]])</f>
        <v>10</v>
      </c>
      <c r="H5099" t="str">
        <f>TEXT(Tabela1[[#This Row],[Coluna2]]*29,"mmmm")</f>
        <v>outubro</v>
      </c>
      <c r="I5099" t="str">
        <f>TEXT(MONTH(Tabela1[[#This Row],[Último pagto ano]])*29,"mmmm")</f>
        <v>outubro</v>
      </c>
    </row>
    <row r="5100" spans="1:9" x14ac:dyDescent="0.25">
      <c r="A5100">
        <v>2025</v>
      </c>
      <c r="B5100" t="s">
        <v>10156</v>
      </c>
      <c r="C5100" s="1">
        <v>46010</v>
      </c>
      <c r="D5100" t="s">
        <v>10157</v>
      </c>
      <c r="E5100" s="2">
        <v>24000</v>
      </c>
      <c r="G5100" s="3">
        <f>MONTH(Tabela1[[#This Row],[Último pagto ano]])</f>
        <v>12</v>
      </c>
      <c r="H5100" t="str">
        <f>TEXT(Tabela1[[#This Row],[Coluna2]]*29,"mmmm")</f>
        <v>dezembro</v>
      </c>
      <c r="I5100" t="str">
        <f>TEXT(MONTH(Tabela1[[#This Row],[Último pagto ano]])*29,"mmmm")</f>
        <v>dezembro</v>
      </c>
    </row>
    <row r="5101" spans="1:9" x14ac:dyDescent="0.25">
      <c r="A5101">
        <v>2025</v>
      </c>
      <c r="B5101" t="s">
        <v>10158</v>
      </c>
      <c r="C5101" s="1">
        <v>46006</v>
      </c>
      <c r="D5101" t="s">
        <v>10159</v>
      </c>
      <c r="E5101" s="2">
        <v>7969.76</v>
      </c>
      <c r="G5101" s="3">
        <f>MONTH(Tabela1[[#This Row],[Último pagto ano]])</f>
        <v>12</v>
      </c>
      <c r="H5101" t="str">
        <f>TEXT(Tabela1[[#This Row],[Coluna2]]*29,"mmmm")</f>
        <v>dezembro</v>
      </c>
      <c r="I5101" t="str">
        <f>TEXT(MONTH(Tabela1[[#This Row],[Último pagto ano]])*29,"mmmm")</f>
        <v>dezembro</v>
      </c>
    </row>
    <row r="5102" spans="1:9" x14ac:dyDescent="0.25">
      <c r="A5102">
        <v>2025</v>
      </c>
      <c r="B5102" t="s">
        <v>10160</v>
      </c>
      <c r="C5102" s="1">
        <v>45975</v>
      </c>
      <c r="D5102" t="s">
        <v>10161</v>
      </c>
      <c r="E5102" s="2">
        <v>5830.02</v>
      </c>
      <c r="G5102" s="3">
        <f>MONTH(Tabela1[[#This Row],[Último pagto ano]])</f>
        <v>11</v>
      </c>
      <c r="H5102" t="str">
        <f>TEXT(Tabela1[[#This Row],[Coluna2]]*29,"mmmm")</f>
        <v>novembro</v>
      </c>
      <c r="I5102" t="str">
        <f>TEXT(MONTH(Tabela1[[#This Row],[Último pagto ano]])*29,"mmmm")</f>
        <v>novembro</v>
      </c>
    </row>
    <row r="5103" spans="1:9" x14ac:dyDescent="0.25">
      <c r="A5103">
        <v>2025</v>
      </c>
      <c r="B5103" t="s">
        <v>10162</v>
      </c>
      <c r="C5103" s="1">
        <v>45733</v>
      </c>
      <c r="D5103" t="s">
        <v>10163</v>
      </c>
      <c r="E5103">
        <v>444.24</v>
      </c>
      <c r="G5103" s="3">
        <f>MONTH(Tabela1[[#This Row],[Último pagto ano]])</f>
        <v>3</v>
      </c>
      <c r="H5103" t="str">
        <f>TEXT(Tabela1[[#This Row],[Coluna2]]*29,"mmmm")</f>
        <v>março</v>
      </c>
      <c r="I5103" t="str">
        <f>TEXT(MONTH(Tabela1[[#This Row],[Último pagto ano]])*29,"mmmm")</f>
        <v>março</v>
      </c>
    </row>
    <row r="5104" spans="1:9" x14ac:dyDescent="0.25">
      <c r="A5104">
        <v>2025</v>
      </c>
      <c r="B5104" t="s">
        <v>10164</v>
      </c>
      <c r="C5104" s="1">
        <v>45702</v>
      </c>
      <c r="D5104" t="s">
        <v>10165</v>
      </c>
      <c r="E5104">
        <v>895.27</v>
      </c>
      <c r="G5104" s="3">
        <f>MONTH(Tabela1[[#This Row],[Último pagto ano]])</f>
        <v>2</v>
      </c>
      <c r="H5104" t="str">
        <f>TEXT(Tabela1[[#This Row],[Coluna2]]*29,"mmmm")</f>
        <v>fevereiro</v>
      </c>
      <c r="I5104" t="str">
        <f>TEXT(MONTH(Tabela1[[#This Row],[Último pagto ano]])*29,"mmmm")</f>
        <v>fevereiro</v>
      </c>
    </row>
    <row r="5105" spans="1:9" x14ac:dyDescent="0.25">
      <c r="A5105">
        <v>2025</v>
      </c>
      <c r="B5105" t="s">
        <v>10166</v>
      </c>
      <c r="C5105" s="1">
        <v>46010</v>
      </c>
      <c r="D5105" t="s">
        <v>10167</v>
      </c>
      <c r="E5105" s="2">
        <v>2800</v>
      </c>
      <c r="G5105" s="3">
        <f>MONTH(Tabela1[[#This Row],[Último pagto ano]])</f>
        <v>12</v>
      </c>
      <c r="H5105" t="str">
        <f>TEXT(Tabela1[[#This Row],[Coluna2]]*29,"mmmm")</f>
        <v>dezembro</v>
      </c>
      <c r="I5105" t="str">
        <f>TEXT(MONTH(Tabela1[[#This Row],[Último pagto ano]])*29,"mmmm")</f>
        <v>dezembro</v>
      </c>
    </row>
    <row r="5106" spans="1:9" x14ac:dyDescent="0.25">
      <c r="A5106">
        <v>2025</v>
      </c>
      <c r="B5106" t="s">
        <v>10168</v>
      </c>
      <c r="C5106" s="1">
        <v>46010</v>
      </c>
      <c r="D5106" t="s">
        <v>10169</v>
      </c>
      <c r="E5106" s="2">
        <v>12000</v>
      </c>
      <c r="G5106" s="3">
        <f>MONTH(Tabela1[[#This Row],[Último pagto ano]])</f>
        <v>12</v>
      </c>
      <c r="H5106" t="str">
        <f>TEXT(Tabela1[[#This Row],[Coluna2]]*29,"mmmm")</f>
        <v>dezembro</v>
      </c>
      <c r="I5106" t="str">
        <f>TEXT(MONTH(Tabela1[[#This Row],[Último pagto ano]])*29,"mmmm")</f>
        <v>dezembro</v>
      </c>
    </row>
    <row r="5107" spans="1:9" x14ac:dyDescent="0.25">
      <c r="A5107">
        <v>2025</v>
      </c>
      <c r="B5107" t="s">
        <v>10170</v>
      </c>
      <c r="C5107" s="1">
        <v>46021</v>
      </c>
      <c r="D5107" t="s">
        <v>10171</v>
      </c>
      <c r="E5107" s="2">
        <v>8949.5400000000009</v>
      </c>
      <c r="G5107" s="3">
        <f>MONTH(Tabela1[[#This Row],[Último pagto ano]])</f>
        <v>12</v>
      </c>
      <c r="H5107" t="str">
        <f>TEXT(Tabela1[[#This Row],[Coluna2]]*29,"mmmm")</f>
        <v>dezembro</v>
      </c>
      <c r="I5107" t="str">
        <f>TEXT(MONTH(Tabela1[[#This Row],[Último pagto ano]])*29,"mmmm")</f>
        <v>dezembro</v>
      </c>
    </row>
    <row r="5108" spans="1:9" x14ac:dyDescent="0.25">
      <c r="A5108">
        <v>2025</v>
      </c>
      <c r="B5108" t="s">
        <v>10172</v>
      </c>
      <c r="C5108" s="1">
        <v>45996</v>
      </c>
      <c r="D5108" t="s">
        <v>10173</v>
      </c>
      <c r="E5108" s="2">
        <v>33500</v>
      </c>
      <c r="G5108" s="3">
        <f>MONTH(Tabela1[[#This Row],[Último pagto ano]])</f>
        <v>12</v>
      </c>
      <c r="H5108" t="str">
        <f>TEXT(Tabela1[[#This Row],[Coluna2]]*29,"mmmm")</f>
        <v>dezembro</v>
      </c>
      <c r="I5108" t="str">
        <f>TEXT(MONTH(Tabela1[[#This Row],[Último pagto ano]])*29,"mmmm")</f>
        <v>dezembro</v>
      </c>
    </row>
    <row r="5109" spans="1:9" x14ac:dyDescent="0.25">
      <c r="A5109">
        <v>2025</v>
      </c>
      <c r="B5109" t="s">
        <v>10174</v>
      </c>
      <c r="C5109" s="1">
        <v>45733</v>
      </c>
      <c r="D5109" t="s">
        <v>10175</v>
      </c>
      <c r="E5109" s="2">
        <v>1763.68</v>
      </c>
      <c r="G5109" s="3">
        <f>MONTH(Tabela1[[#This Row],[Último pagto ano]])</f>
        <v>3</v>
      </c>
      <c r="H5109" t="str">
        <f>TEXT(Tabela1[[#This Row],[Coluna2]]*29,"mmmm")</f>
        <v>março</v>
      </c>
      <c r="I5109" t="str">
        <f>TEXT(MONTH(Tabela1[[#This Row],[Último pagto ano]])*29,"mmmm")</f>
        <v>março</v>
      </c>
    </row>
    <row r="5110" spans="1:9" x14ac:dyDescent="0.25">
      <c r="A5110">
        <v>2025</v>
      </c>
      <c r="B5110" t="s">
        <v>10176</v>
      </c>
      <c r="C5110" s="1">
        <v>45996</v>
      </c>
      <c r="D5110" t="s">
        <v>10177</v>
      </c>
      <c r="E5110" s="2">
        <v>4500</v>
      </c>
      <c r="G5110" s="3">
        <f>MONTH(Tabela1[[#This Row],[Último pagto ano]])</f>
        <v>12</v>
      </c>
      <c r="H5110" t="str">
        <f>TEXT(Tabela1[[#This Row],[Coluna2]]*29,"mmmm")</f>
        <v>dezembro</v>
      </c>
      <c r="I5110" t="str">
        <f>TEXT(MONTH(Tabela1[[#This Row],[Último pagto ano]])*29,"mmmm")</f>
        <v>dezembro</v>
      </c>
    </row>
    <row r="5111" spans="1:9" x14ac:dyDescent="0.25">
      <c r="A5111">
        <v>2025</v>
      </c>
      <c r="B5111" t="s">
        <v>10178</v>
      </c>
      <c r="C5111" s="1">
        <v>46021</v>
      </c>
      <c r="D5111" t="s">
        <v>10179</v>
      </c>
      <c r="E5111" s="2">
        <v>4372.76</v>
      </c>
      <c r="G5111" s="3">
        <f>MONTH(Tabela1[[#This Row],[Último pagto ano]])</f>
        <v>12</v>
      </c>
      <c r="H5111" t="str">
        <f>TEXT(Tabela1[[#This Row],[Coluna2]]*29,"mmmm")</f>
        <v>dezembro</v>
      </c>
      <c r="I5111" t="str">
        <f>TEXT(MONTH(Tabela1[[#This Row],[Último pagto ano]])*29,"mmmm")</f>
        <v>dezembro</v>
      </c>
    </row>
    <row r="5112" spans="1:9" x14ac:dyDescent="0.25">
      <c r="A5112">
        <v>2025</v>
      </c>
      <c r="B5112" t="s">
        <v>10180</v>
      </c>
      <c r="C5112" s="1">
        <v>46006</v>
      </c>
      <c r="D5112" t="s">
        <v>10181</v>
      </c>
      <c r="E5112" s="2">
        <v>10197.6</v>
      </c>
      <c r="G5112" s="3">
        <f>MONTH(Tabela1[[#This Row],[Último pagto ano]])</f>
        <v>12</v>
      </c>
      <c r="H5112" t="str">
        <f>TEXT(Tabela1[[#This Row],[Coluna2]]*29,"mmmm")</f>
        <v>dezembro</v>
      </c>
      <c r="I5112" t="str">
        <f>TEXT(MONTH(Tabela1[[#This Row],[Último pagto ano]])*29,"mmmm")</f>
        <v>dezembro</v>
      </c>
    </row>
    <row r="5113" spans="1:9" x14ac:dyDescent="0.25">
      <c r="A5113">
        <v>2025</v>
      </c>
      <c r="B5113" t="s">
        <v>10182</v>
      </c>
      <c r="C5113" s="1">
        <v>45950</v>
      </c>
      <c r="D5113" t="s">
        <v>10183</v>
      </c>
      <c r="E5113">
        <v>840</v>
      </c>
      <c r="G5113" s="3">
        <f>MONTH(Tabela1[[#This Row],[Último pagto ano]])</f>
        <v>10</v>
      </c>
      <c r="H5113" t="str">
        <f>TEXT(Tabela1[[#This Row],[Coluna2]]*29,"mmmm")</f>
        <v>outubro</v>
      </c>
      <c r="I5113" t="str">
        <f>TEXT(MONTH(Tabela1[[#This Row],[Último pagto ano]])*29,"mmmm")</f>
        <v>outubro</v>
      </c>
    </row>
    <row r="5114" spans="1:9" x14ac:dyDescent="0.25">
      <c r="A5114">
        <v>2025</v>
      </c>
      <c r="B5114" t="s">
        <v>10184</v>
      </c>
      <c r="C5114" s="1">
        <v>46009</v>
      </c>
      <c r="D5114" t="s">
        <v>10185</v>
      </c>
      <c r="E5114" s="2">
        <v>11903.01</v>
      </c>
      <c r="G5114" s="3">
        <f>MONTH(Tabela1[[#This Row],[Último pagto ano]])</f>
        <v>12</v>
      </c>
      <c r="H5114" t="str">
        <f>TEXT(Tabela1[[#This Row],[Coluna2]]*29,"mmmm")</f>
        <v>dezembro</v>
      </c>
      <c r="I5114" t="str">
        <f>TEXT(MONTH(Tabela1[[#This Row],[Último pagto ano]])*29,"mmmm")</f>
        <v>dezembro</v>
      </c>
    </row>
    <row r="5115" spans="1:9" x14ac:dyDescent="0.25">
      <c r="A5115">
        <v>2025</v>
      </c>
      <c r="B5115" t="s">
        <v>10186</v>
      </c>
      <c r="C5115" s="1">
        <v>45853</v>
      </c>
      <c r="D5115" t="s">
        <v>10187</v>
      </c>
      <c r="E5115">
        <v>296.16000000000003</v>
      </c>
      <c r="G5115" s="3">
        <f>MONTH(Tabela1[[#This Row],[Último pagto ano]])</f>
        <v>7</v>
      </c>
      <c r="H5115" t="str">
        <f>TEXT(Tabela1[[#This Row],[Coluna2]]*29,"mmmm")</f>
        <v>julho</v>
      </c>
      <c r="I5115" t="str">
        <f>TEXT(MONTH(Tabela1[[#This Row],[Último pagto ano]])*29,"mmmm")</f>
        <v>julho</v>
      </c>
    </row>
    <row r="5116" spans="1:9" x14ac:dyDescent="0.25">
      <c r="A5116">
        <v>2025</v>
      </c>
      <c r="B5116" t="s">
        <v>10188</v>
      </c>
      <c r="C5116" s="1">
        <v>46006</v>
      </c>
      <c r="D5116" t="s">
        <v>10189</v>
      </c>
      <c r="E5116" s="2">
        <v>16821.36</v>
      </c>
      <c r="G5116" s="3">
        <f>MONTH(Tabela1[[#This Row],[Último pagto ano]])</f>
        <v>12</v>
      </c>
      <c r="H5116" t="str">
        <f>TEXT(Tabela1[[#This Row],[Coluna2]]*29,"mmmm")</f>
        <v>dezembro</v>
      </c>
      <c r="I5116" t="str">
        <f>TEXT(MONTH(Tabela1[[#This Row],[Último pagto ano]])*29,"mmmm")</f>
        <v>dezembro</v>
      </c>
    </row>
    <row r="5117" spans="1:9" x14ac:dyDescent="0.25">
      <c r="A5117">
        <v>2025</v>
      </c>
      <c r="B5117" t="s">
        <v>10190</v>
      </c>
      <c r="C5117" s="1">
        <v>45810</v>
      </c>
      <c r="D5117" t="s">
        <v>10191</v>
      </c>
      <c r="E5117">
        <v>33</v>
      </c>
      <c r="G5117" s="3">
        <f>MONTH(Tabela1[[#This Row],[Último pagto ano]])</f>
        <v>6</v>
      </c>
      <c r="H5117" t="str">
        <f>TEXT(Tabela1[[#This Row],[Coluna2]]*29,"mmmm")</f>
        <v>junho</v>
      </c>
      <c r="I5117" t="str">
        <f>TEXT(MONTH(Tabela1[[#This Row],[Último pagto ano]])*29,"mmmm")</f>
        <v>junho</v>
      </c>
    </row>
    <row r="5118" spans="1:9" x14ac:dyDescent="0.25">
      <c r="A5118">
        <v>2025</v>
      </c>
      <c r="B5118" t="s">
        <v>10192</v>
      </c>
      <c r="C5118" s="1">
        <v>45975</v>
      </c>
      <c r="D5118" t="s">
        <v>10193</v>
      </c>
      <c r="E5118" s="2">
        <v>4429.12</v>
      </c>
      <c r="G5118" s="3">
        <f>MONTH(Tabela1[[#This Row],[Último pagto ano]])</f>
        <v>11</v>
      </c>
      <c r="H5118" t="str">
        <f>TEXT(Tabela1[[#This Row],[Coluna2]]*29,"mmmm")</f>
        <v>novembro</v>
      </c>
      <c r="I5118" t="str">
        <f>TEXT(MONTH(Tabela1[[#This Row],[Último pagto ano]])*29,"mmmm")</f>
        <v>novembro</v>
      </c>
    </row>
    <row r="5119" spans="1:9" x14ac:dyDescent="0.25">
      <c r="A5119">
        <v>2025</v>
      </c>
      <c r="B5119" t="s">
        <v>10194</v>
      </c>
      <c r="C5119" s="1">
        <v>45786</v>
      </c>
      <c r="D5119" t="s">
        <v>10195</v>
      </c>
      <c r="E5119" s="2">
        <v>19041.75</v>
      </c>
      <c r="G5119" s="3">
        <f>MONTH(Tabela1[[#This Row],[Último pagto ano]])</f>
        <v>5</v>
      </c>
      <c r="H5119" t="str">
        <f>TEXT(Tabela1[[#This Row],[Coluna2]]*29,"mmmm")</f>
        <v>maio</v>
      </c>
      <c r="I5119" t="str">
        <f>TEXT(MONTH(Tabela1[[#This Row],[Último pagto ano]])*29,"mmmm")</f>
        <v>maio</v>
      </c>
    </row>
    <row r="5120" spans="1:9" x14ac:dyDescent="0.25">
      <c r="A5120">
        <v>2025</v>
      </c>
      <c r="B5120" t="s">
        <v>10196</v>
      </c>
      <c r="C5120" s="1">
        <v>45985</v>
      </c>
      <c r="D5120" t="s">
        <v>10197</v>
      </c>
      <c r="E5120">
        <v>197.4</v>
      </c>
      <c r="G5120" s="3">
        <f>MONTH(Tabela1[[#This Row],[Último pagto ano]])</f>
        <v>11</v>
      </c>
      <c r="H5120" t="str">
        <f>TEXT(Tabela1[[#This Row],[Coluna2]]*29,"mmmm")</f>
        <v>novembro</v>
      </c>
      <c r="I5120" t="str">
        <f>TEXT(MONTH(Tabela1[[#This Row],[Último pagto ano]])*29,"mmmm")</f>
        <v>novembro</v>
      </c>
    </row>
    <row r="5121" spans="1:9" x14ac:dyDescent="0.25">
      <c r="A5121">
        <v>2025</v>
      </c>
      <c r="B5121" t="s">
        <v>10198</v>
      </c>
      <c r="C5121" s="1">
        <v>46006</v>
      </c>
      <c r="D5121" t="s">
        <v>10199</v>
      </c>
      <c r="E5121">
        <v>592.32000000000005</v>
      </c>
      <c r="G5121" s="3">
        <f>MONTH(Tabela1[[#This Row],[Último pagto ano]])</f>
        <v>12</v>
      </c>
      <c r="H5121" t="str">
        <f>TEXT(Tabela1[[#This Row],[Coluna2]]*29,"mmmm")</f>
        <v>dezembro</v>
      </c>
      <c r="I5121" t="str">
        <f>TEXT(MONTH(Tabela1[[#This Row],[Último pagto ano]])*29,"mmmm")</f>
        <v>dezembro</v>
      </c>
    </row>
    <row r="5122" spans="1:9" x14ac:dyDescent="0.25">
      <c r="A5122">
        <v>2025</v>
      </c>
      <c r="B5122" t="s">
        <v>10200</v>
      </c>
      <c r="C5122" s="1">
        <v>45996</v>
      </c>
      <c r="D5122" t="s">
        <v>10201</v>
      </c>
      <c r="E5122" s="2">
        <v>16261.25</v>
      </c>
      <c r="G5122" s="3">
        <f>MONTH(Tabela1[[#This Row],[Último pagto ano]])</f>
        <v>12</v>
      </c>
      <c r="H5122" t="str">
        <f>TEXT(Tabela1[[#This Row],[Coluna2]]*29,"mmmm")</f>
        <v>dezembro</v>
      </c>
      <c r="I5122" t="str">
        <f>TEXT(MONTH(Tabela1[[#This Row],[Último pagto ano]])*29,"mmmm")</f>
        <v>dezembro</v>
      </c>
    </row>
    <row r="5123" spans="1:9" x14ac:dyDescent="0.25">
      <c r="A5123">
        <v>2025</v>
      </c>
      <c r="B5123" t="s">
        <v>10202</v>
      </c>
      <c r="C5123" s="1">
        <v>45985</v>
      </c>
      <c r="D5123" t="s">
        <v>10203</v>
      </c>
      <c r="E5123" s="2">
        <v>7700</v>
      </c>
      <c r="G5123" s="3">
        <f>MONTH(Tabela1[[#This Row],[Último pagto ano]])</f>
        <v>11</v>
      </c>
      <c r="H5123" t="str">
        <f>TEXT(Tabela1[[#This Row],[Coluna2]]*29,"mmmm")</f>
        <v>novembro</v>
      </c>
      <c r="I5123" t="str">
        <f>TEXT(MONTH(Tabela1[[#This Row],[Último pagto ano]])*29,"mmmm")</f>
        <v>novembro</v>
      </c>
    </row>
    <row r="5124" spans="1:9" x14ac:dyDescent="0.25">
      <c r="A5124">
        <v>2025</v>
      </c>
      <c r="B5124" t="s">
        <v>10204</v>
      </c>
      <c r="C5124" s="1">
        <v>45744</v>
      </c>
      <c r="D5124" t="s">
        <v>10205</v>
      </c>
      <c r="E5124" s="2">
        <v>47432.3</v>
      </c>
      <c r="G5124" s="3">
        <f>MONTH(Tabela1[[#This Row],[Último pagto ano]])</f>
        <v>3</v>
      </c>
      <c r="H5124" t="str">
        <f>TEXT(Tabela1[[#This Row],[Coluna2]]*29,"mmmm")</f>
        <v>março</v>
      </c>
      <c r="I5124" t="str">
        <f>TEXT(MONTH(Tabela1[[#This Row],[Último pagto ano]])*29,"mmmm")</f>
        <v>março</v>
      </c>
    </row>
    <row r="5125" spans="1:9" x14ac:dyDescent="0.25">
      <c r="A5125">
        <v>2025</v>
      </c>
      <c r="B5125" t="s">
        <v>10206</v>
      </c>
      <c r="C5125" s="1">
        <v>45989</v>
      </c>
      <c r="D5125" t="s">
        <v>10207</v>
      </c>
      <c r="E5125" s="2">
        <v>5400.53</v>
      </c>
      <c r="G5125" s="3">
        <f>MONTH(Tabela1[[#This Row],[Último pagto ano]])</f>
        <v>11</v>
      </c>
      <c r="H5125" t="str">
        <f>TEXT(Tabela1[[#This Row],[Coluna2]]*29,"mmmm")</f>
        <v>novembro</v>
      </c>
      <c r="I5125" t="str">
        <f>TEXT(MONTH(Tabela1[[#This Row],[Último pagto ano]])*29,"mmmm")</f>
        <v>novembro</v>
      </c>
    </row>
    <row r="5126" spans="1:9" x14ac:dyDescent="0.25">
      <c r="A5126">
        <v>2025</v>
      </c>
      <c r="B5126" t="s">
        <v>10208</v>
      </c>
      <c r="C5126" s="1">
        <v>45996</v>
      </c>
      <c r="D5126" t="s">
        <v>10209</v>
      </c>
      <c r="E5126" s="2">
        <v>7200</v>
      </c>
      <c r="G5126" s="3">
        <f>MONTH(Tabela1[[#This Row],[Último pagto ano]])</f>
        <v>12</v>
      </c>
      <c r="H5126" t="str">
        <f>TEXT(Tabela1[[#This Row],[Coluna2]]*29,"mmmm")</f>
        <v>dezembro</v>
      </c>
      <c r="I5126" t="str">
        <f>TEXT(MONTH(Tabela1[[#This Row],[Último pagto ano]])*29,"mmmm")</f>
        <v>dezembro</v>
      </c>
    </row>
    <row r="5127" spans="1:9" x14ac:dyDescent="0.25">
      <c r="A5127">
        <v>2025</v>
      </c>
      <c r="B5127" t="s">
        <v>10210</v>
      </c>
      <c r="C5127" s="1">
        <v>46006</v>
      </c>
      <c r="D5127" t="s">
        <v>10211</v>
      </c>
      <c r="E5127" s="2">
        <v>15360.48</v>
      </c>
      <c r="G5127" s="3">
        <f>MONTH(Tabela1[[#This Row],[Último pagto ano]])</f>
        <v>12</v>
      </c>
      <c r="H5127" t="str">
        <f>TEXT(Tabela1[[#This Row],[Coluna2]]*29,"mmmm")</f>
        <v>dezembro</v>
      </c>
      <c r="I5127" t="str">
        <f>TEXT(MONTH(Tabela1[[#This Row],[Último pagto ano]])*29,"mmmm")</f>
        <v>dezembro</v>
      </c>
    </row>
    <row r="5128" spans="1:9" x14ac:dyDescent="0.25">
      <c r="A5128">
        <v>2025</v>
      </c>
      <c r="B5128" t="s">
        <v>10212</v>
      </c>
      <c r="C5128" s="1">
        <v>45853</v>
      </c>
      <c r="D5128" t="s">
        <v>10213</v>
      </c>
      <c r="E5128" s="2">
        <v>1184.6400000000001</v>
      </c>
      <c r="G5128" s="3">
        <f>MONTH(Tabela1[[#This Row],[Último pagto ano]])</f>
        <v>7</v>
      </c>
      <c r="H5128" t="str">
        <f>TEXT(Tabela1[[#This Row],[Coluna2]]*29,"mmmm")</f>
        <v>julho</v>
      </c>
      <c r="I5128" t="str">
        <f>TEXT(MONTH(Tabela1[[#This Row],[Último pagto ano]])*29,"mmmm")</f>
        <v>julho</v>
      </c>
    </row>
    <row r="5129" spans="1:9" x14ac:dyDescent="0.25">
      <c r="A5129">
        <v>2025</v>
      </c>
      <c r="B5129" t="s">
        <v>10214</v>
      </c>
      <c r="C5129" s="1">
        <v>46010</v>
      </c>
      <c r="D5129" t="s">
        <v>10215</v>
      </c>
      <c r="E5129" s="2">
        <v>8400</v>
      </c>
      <c r="G5129" s="3">
        <f>MONTH(Tabela1[[#This Row],[Último pagto ano]])</f>
        <v>12</v>
      </c>
      <c r="H5129" t="str">
        <f>TEXT(Tabela1[[#This Row],[Coluna2]]*29,"mmmm")</f>
        <v>dezembro</v>
      </c>
      <c r="I5129" t="str">
        <f>TEXT(MONTH(Tabela1[[#This Row],[Último pagto ano]])*29,"mmmm")</f>
        <v>dezembro</v>
      </c>
    </row>
    <row r="5130" spans="1:9" x14ac:dyDescent="0.25">
      <c r="A5130">
        <v>2025</v>
      </c>
      <c r="B5130" t="s">
        <v>10216</v>
      </c>
      <c r="C5130" s="1">
        <v>45996</v>
      </c>
      <c r="D5130" t="s">
        <v>10217</v>
      </c>
      <c r="E5130" s="2">
        <v>35580.839999999997</v>
      </c>
      <c r="G5130" s="3">
        <f>MONTH(Tabela1[[#This Row],[Último pagto ano]])</f>
        <v>12</v>
      </c>
      <c r="H5130" t="str">
        <f>TEXT(Tabela1[[#This Row],[Coluna2]]*29,"mmmm")</f>
        <v>dezembro</v>
      </c>
      <c r="I5130" t="str">
        <f>TEXT(MONTH(Tabela1[[#This Row],[Último pagto ano]])*29,"mmmm")</f>
        <v>dezembro</v>
      </c>
    </row>
    <row r="5131" spans="1:9" x14ac:dyDescent="0.25">
      <c r="A5131">
        <v>2025</v>
      </c>
      <c r="B5131" t="s">
        <v>10218</v>
      </c>
      <c r="C5131" s="1">
        <v>46006</v>
      </c>
      <c r="D5131" t="s">
        <v>10219</v>
      </c>
      <c r="E5131" s="2">
        <v>17769.599999999999</v>
      </c>
      <c r="G5131" s="3">
        <f>MONTH(Tabela1[[#This Row],[Último pagto ano]])</f>
        <v>12</v>
      </c>
      <c r="H5131" t="str">
        <f>TEXT(Tabela1[[#This Row],[Coluna2]]*29,"mmmm")</f>
        <v>dezembro</v>
      </c>
      <c r="I5131" t="str">
        <f>TEXT(MONTH(Tabela1[[#This Row],[Último pagto ano]])*29,"mmmm")</f>
        <v>dezembro</v>
      </c>
    </row>
    <row r="5132" spans="1:9" x14ac:dyDescent="0.25">
      <c r="A5132">
        <v>2025</v>
      </c>
      <c r="B5132" t="s">
        <v>10220</v>
      </c>
      <c r="C5132" s="1">
        <v>46003</v>
      </c>
      <c r="D5132" t="s">
        <v>10221</v>
      </c>
      <c r="E5132" s="2">
        <v>60200.38</v>
      </c>
      <c r="G5132" s="3">
        <f>MONTH(Tabela1[[#This Row],[Último pagto ano]])</f>
        <v>12</v>
      </c>
      <c r="H5132" t="str">
        <f>TEXT(Tabela1[[#This Row],[Coluna2]]*29,"mmmm")</f>
        <v>dezembro</v>
      </c>
      <c r="I5132" t="str">
        <f>TEXT(MONTH(Tabela1[[#This Row],[Último pagto ano]])*29,"mmmm")</f>
        <v>dezembro</v>
      </c>
    </row>
    <row r="5133" spans="1:9" x14ac:dyDescent="0.25">
      <c r="A5133">
        <v>2025</v>
      </c>
      <c r="B5133" t="s">
        <v>10222</v>
      </c>
      <c r="C5133" s="1">
        <v>45985</v>
      </c>
      <c r="D5133" t="s">
        <v>10223</v>
      </c>
      <c r="E5133" s="2">
        <v>2160</v>
      </c>
      <c r="G5133" s="3">
        <f>MONTH(Tabela1[[#This Row],[Último pagto ano]])</f>
        <v>11</v>
      </c>
      <c r="H5133" t="str">
        <f>TEXT(Tabela1[[#This Row],[Coluna2]]*29,"mmmm")</f>
        <v>novembro</v>
      </c>
      <c r="I5133" t="str">
        <f>TEXT(MONTH(Tabela1[[#This Row],[Último pagto ano]])*29,"mmmm")</f>
        <v>novembro</v>
      </c>
    </row>
    <row r="5134" spans="1:9" x14ac:dyDescent="0.25">
      <c r="A5134">
        <v>2025</v>
      </c>
      <c r="B5134" t="s">
        <v>10224</v>
      </c>
      <c r="C5134" s="1">
        <v>45945</v>
      </c>
      <c r="D5134" t="s">
        <v>10225</v>
      </c>
      <c r="E5134">
        <v>296.16000000000003</v>
      </c>
      <c r="G5134" s="3">
        <f>MONTH(Tabela1[[#This Row],[Último pagto ano]])</f>
        <v>10</v>
      </c>
      <c r="H5134" t="str">
        <f>TEXT(Tabela1[[#This Row],[Coluna2]]*29,"mmmm")</f>
        <v>outubro</v>
      </c>
      <c r="I5134" t="str">
        <f>TEXT(MONTH(Tabela1[[#This Row],[Último pagto ano]])*29,"mmmm")</f>
        <v>outubro</v>
      </c>
    </row>
    <row r="5135" spans="1:9" x14ac:dyDescent="0.25">
      <c r="A5135">
        <v>2025</v>
      </c>
      <c r="B5135" t="s">
        <v>10226</v>
      </c>
      <c r="C5135" s="1">
        <v>45989</v>
      </c>
      <c r="D5135" t="s">
        <v>10227</v>
      </c>
      <c r="E5135" s="2">
        <v>4539.6000000000004</v>
      </c>
      <c r="G5135" s="3">
        <f>MONTH(Tabela1[[#This Row],[Último pagto ano]])</f>
        <v>11</v>
      </c>
      <c r="H5135" t="str">
        <f>TEXT(Tabela1[[#This Row],[Coluna2]]*29,"mmmm")</f>
        <v>novembro</v>
      </c>
      <c r="I5135" t="str">
        <f>TEXT(MONTH(Tabela1[[#This Row],[Último pagto ano]])*29,"mmmm")</f>
        <v>novembro</v>
      </c>
    </row>
    <row r="5136" spans="1:9" x14ac:dyDescent="0.25">
      <c r="A5136">
        <v>2025</v>
      </c>
      <c r="B5136" t="s">
        <v>10228</v>
      </c>
      <c r="C5136" s="1">
        <v>46013</v>
      </c>
      <c r="D5136" t="s">
        <v>10229</v>
      </c>
      <c r="E5136" s="2">
        <v>6150.3</v>
      </c>
      <c r="G5136" s="3">
        <f>MONTH(Tabela1[[#This Row],[Último pagto ano]])</f>
        <v>12</v>
      </c>
      <c r="H5136" t="str">
        <f>TEXT(Tabela1[[#This Row],[Coluna2]]*29,"mmmm")</f>
        <v>dezembro</v>
      </c>
      <c r="I5136" t="str">
        <f>TEXT(MONTH(Tabela1[[#This Row],[Último pagto ano]])*29,"mmmm")</f>
        <v>dezembro</v>
      </c>
    </row>
    <row r="5137" spans="1:9" x14ac:dyDescent="0.25">
      <c r="A5137">
        <v>2025</v>
      </c>
      <c r="B5137" t="s">
        <v>10230</v>
      </c>
      <c r="C5137" s="1">
        <v>46006</v>
      </c>
      <c r="D5137" t="s">
        <v>10231</v>
      </c>
      <c r="E5137" s="2">
        <v>5923.2</v>
      </c>
      <c r="G5137" s="3">
        <f>MONTH(Tabela1[[#This Row],[Último pagto ano]])</f>
        <v>12</v>
      </c>
      <c r="H5137" t="str">
        <f>TEXT(Tabela1[[#This Row],[Coluna2]]*29,"mmmm")</f>
        <v>dezembro</v>
      </c>
      <c r="I5137" t="str">
        <f>TEXT(MONTH(Tabela1[[#This Row],[Último pagto ano]])*29,"mmmm")</f>
        <v>dezembro</v>
      </c>
    </row>
    <row r="5138" spans="1:9" x14ac:dyDescent="0.25">
      <c r="A5138">
        <v>2025</v>
      </c>
      <c r="B5138" t="s">
        <v>10232</v>
      </c>
      <c r="C5138" s="1">
        <v>46013</v>
      </c>
      <c r="D5138" t="s">
        <v>10233</v>
      </c>
      <c r="E5138" s="2">
        <v>6274.8</v>
      </c>
      <c r="G5138" s="3">
        <f>MONTH(Tabela1[[#This Row],[Último pagto ano]])</f>
        <v>12</v>
      </c>
      <c r="H5138" t="str">
        <f>TEXT(Tabela1[[#This Row],[Coluna2]]*29,"mmmm")</f>
        <v>dezembro</v>
      </c>
      <c r="I5138" t="str">
        <f>TEXT(MONTH(Tabela1[[#This Row],[Último pagto ano]])*29,"mmmm")</f>
        <v>dezembro</v>
      </c>
    </row>
    <row r="5139" spans="1:9" x14ac:dyDescent="0.25">
      <c r="A5139">
        <v>2025</v>
      </c>
      <c r="B5139" t="s">
        <v>10234</v>
      </c>
      <c r="C5139" s="1">
        <v>45880</v>
      </c>
      <c r="D5139" t="s">
        <v>10235</v>
      </c>
      <c r="E5139" s="2">
        <v>1200</v>
      </c>
      <c r="G5139" s="3">
        <f>MONTH(Tabela1[[#This Row],[Último pagto ano]])</f>
        <v>8</v>
      </c>
      <c r="H5139" t="str">
        <f>TEXT(Tabela1[[#This Row],[Coluna2]]*29,"mmmm")</f>
        <v>agosto</v>
      </c>
      <c r="I5139" t="str">
        <f>TEXT(MONTH(Tabela1[[#This Row],[Último pagto ano]])*29,"mmmm")</f>
        <v>agosto</v>
      </c>
    </row>
    <row r="5140" spans="1:9" x14ac:dyDescent="0.25">
      <c r="A5140">
        <v>2025</v>
      </c>
      <c r="B5140" t="s">
        <v>10236</v>
      </c>
      <c r="C5140" s="1">
        <v>45996</v>
      </c>
      <c r="D5140" t="s">
        <v>10237</v>
      </c>
      <c r="E5140" s="2">
        <v>22290</v>
      </c>
      <c r="G5140" s="3">
        <f>MONTH(Tabela1[[#This Row],[Último pagto ano]])</f>
        <v>12</v>
      </c>
      <c r="H5140" t="str">
        <f>TEXT(Tabela1[[#This Row],[Coluna2]]*29,"mmmm")</f>
        <v>dezembro</v>
      </c>
      <c r="I5140" t="str">
        <f>TEXT(MONTH(Tabela1[[#This Row],[Último pagto ano]])*29,"mmmm")</f>
        <v>dezembro</v>
      </c>
    </row>
    <row r="5141" spans="1:9" x14ac:dyDescent="0.25">
      <c r="A5141">
        <v>2025</v>
      </c>
      <c r="B5141" t="s">
        <v>10238</v>
      </c>
      <c r="C5141" s="1">
        <v>45996</v>
      </c>
      <c r="D5141" t="s">
        <v>10239</v>
      </c>
      <c r="E5141" s="2">
        <v>22680</v>
      </c>
      <c r="G5141" s="3">
        <f>MONTH(Tabela1[[#This Row],[Último pagto ano]])</f>
        <v>12</v>
      </c>
      <c r="H5141" t="str">
        <f>TEXT(Tabela1[[#This Row],[Coluna2]]*29,"mmmm")</f>
        <v>dezembro</v>
      </c>
      <c r="I5141" t="str">
        <f>TEXT(MONTH(Tabela1[[#This Row],[Último pagto ano]])*29,"mmmm")</f>
        <v>dezembro</v>
      </c>
    </row>
    <row r="5142" spans="1:9" x14ac:dyDescent="0.25">
      <c r="A5142">
        <v>2025</v>
      </c>
      <c r="B5142" t="s">
        <v>10240</v>
      </c>
      <c r="C5142" s="1">
        <v>45936</v>
      </c>
      <c r="D5142" t="s">
        <v>10241</v>
      </c>
      <c r="E5142">
        <v>286</v>
      </c>
      <c r="G5142" s="3">
        <f>MONTH(Tabela1[[#This Row],[Último pagto ano]])</f>
        <v>10</v>
      </c>
      <c r="H5142" t="str">
        <f>TEXT(Tabela1[[#This Row],[Coluna2]]*29,"mmmm")</f>
        <v>outubro</v>
      </c>
      <c r="I5142" t="str">
        <f>TEXT(MONTH(Tabela1[[#This Row],[Último pagto ano]])*29,"mmmm")</f>
        <v>outubro</v>
      </c>
    </row>
    <row r="5143" spans="1:9" x14ac:dyDescent="0.25">
      <c r="A5143">
        <v>2025</v>
      </c>
      <c r="B5143" t="s">
        <v>10242</v>
      </c>
      <c r="C5143" s="1">
        <v>46013</v>
      </c>
      <c r="D5143" t="s">
        <v>10243</v>
      </c>
      <c r="E5143" s="2">
        <v>13091.1</v>
      </c>
      <c r="G5143" s="3">
        <f>MONTH(Tabela1[[#This Row],[Último pagto ano]])</f>
        <v>12</v>
      </c>
      <c r="H5143" t="str">
        <f>TEXT(Tabela1[[#This Row],[Coluna2]]*29,"mmmm")</f>
        <v>dezembro</v>
      </c>
      <c r="I5143" t="str">
        <f>TEXT(MONTH(Tabela1[[#This Row],[Último pagto ano]])*29,"mmmm")</f>
        <v>dezembro</v>
      </c>
    </row>
    <row r="5144" spans="1:9" x14ac:dyDescent="0.25">
      <c r="A5144">
        <v>2025</v>
      </c>
      <c r="B5144" t="s">
        <v>10244</v>
      </c>
      <c r="C5144" s="1">
        <v>45945</v>
      </c>
      <c r="D5144" t="s">
        <v>10245</v>
      </c>
      <c r="E5144" s="2">
        <v>4146.24</v>
      </c>
      <c r="G5144" s="3">
        <f>MONTH(Tabela1[[#This Row],[Último pagto ano]])</f>
        <v>10</v>
      </c>
      <c r="H5144" t="str">
        <f>TEXT(Tabela1[[#This Row],[Coluna2]]*29,"mmmm")</f>
        <v>outubro</v>
      </c>
      <c r="I5144" t="str">
        <f>TEXT(MONTH(Tabela1[[#This Row],[Último pagto ano]])*29,"mmmm")</f>
        <v>outubro</v>
      </c>
    </row>
    <row r="5145" spans="1:9" x14ac:dyDescent="0.25">
      <c r="A5145">
        <v>2025</v>
      </c>
      <c r="B5145" t="s">
        <v>10246</v>
      </c>
      <c r="C5145" s="1">
        <v>45989</v>
      </c>
      <c r="D5145" t="s">
        <v>10247</v>
      </c>
      <c r="E5145" s="2">
        <v>9705.0499999999993</v>
      </c>
      <c r="G5145" s="3">
        <f>MONTH(Tabela1[[#This Row],[Último pagto ano]])</f>
        <v>11</v>
      </c>
      <c r="H5145" t="str">
        <f>TEXT(Tabela1[[#This Row],[Coluna2]]*29,"mmmm")</f>
        <v>novembro</v>
      </c>
      <c r="I5145" t="str">
        <f>TEXT(MONTH(Tabela1[[#This Row],[Último pagto ano]])*29,"mmmm")</f>
        <v>novembro</v>
      </c>
    </row>
    <row r="5146" spans="1:9" x14ac:dyDescent="0.25">
      <c r="A5146">
        <v>2025</v>
      </c>
      <c r="B5146" t="s">
        <v>10248</v>
      </c>
      <c r="C5146" s="1">
        <v>46006</v>
      </c>
      <c r="D5146" t="s">
        <v>10249</v>
      </c>
      <c r="E5146" s="2">
        <v>2665.44</v>
      </c>
      <c r="G5146" s="3">
        <f>MONTH(Tabela1[[#This Row],[Último pagto ano]])</f>
        <v>12</v>
      </c>
      <c r="H5146" t="str">
        <f>TEXT(Tabela1[[#This Row],[Coluna2]]*29,"mmmm")</f>
        <v>dezembro</v>
      </c>
      <c r="I5146" t="str">
        <f>TEXT(MONTH(Tabela1[[#This Row],[Último pagto ano]])*29,"mmmm")</f>
        <v>dezembro</v>
      </c>
    </row>
    <row r="5147" spans="1:9" x14ac:dyDescent="0.25">
      <c r="A5147">
        <v>2025</v>
      </c>
      <c r="B5147" t="s">
        <v>10250</v>
      </c>
      <c r="C5147" s="1">
        <v>45937</v>
      </c>
      <c r="D5147" t="s">
        <v>10251</v>
      </c>
      <c r="E5147" s="2">
        <v>7000</v>
      </c>
      <c r="G5147" s="3">
        <f>MONTH(Tabela1[[#This Row],[Último pagto ano]])</f>
        <v>10</v>
      </c>
      <c r="H5147" t="str">
        <f>TEXT(Tabela1[[#This Row],[Coluna2]]*29,"mmmm")</f>
        <v>outubro</v>
      </c>
      <c r="I5147" t="str">
        <f>TEXT(MONTH(Tabela1[[#This Row],[Último pagto ano]])*29,"mmmm")</f>
        <v>outubro</v>
      </c>
    </row>
    <row r="5148" spans="1:9" x14ac:dyDescent="0.25">
      <c r="A5148">
        <v>2025</v>
      </c>
      <c r="B5148" t="s">
        <v>10252</v>
      </c>
      <c r="C5148" s="1">
        <v>46021</v>
      </c>
      <c r="D5148" t="s">
        <v>10253</v>
      </c>
      <c r="E5148" s="2">
        <v>8508.4599999999991</v>
      </c>
      <c r="G5148" s="3">
        <f>MONTH(Tabela1[[#This Row],[Último pagto ano]])</f>
        <v>12</v>
      </c>
      <c r="H5148" t="str">
        <f>TEXT(Tabela1[[#This Row],[Coluna2]]*29,"mmmm")</f>
        <v>dezembro</v>
      </c>
      <c r="I5148" t="str">
        <f>TEXT(MONTH(Tabela1[[#This Row],[Último pagto ano]])*29,"mmmm")</f>
        <v>dezembro</v>
      </c>
    </row>
    <row r="5149" spans="1:9" x14ac:dyDescent="0.25">
      <c r="A5149">
        <v>2025</v>
      </c>
      <c r="B5149" t="s">
        <v>10254</v>
      </c>
      <c r="C5149" s="1">
        <v>45868</v>
      </c>
      <c r="D5149" t="s">
        <v>10255</v>
      </c>
      <c r="E5149" s="2">
        <v>7272.1</v>
      </c>
      <c r="G5149" s="3">
        <f>MONTH(Tabela1[[#This Row],[Último pagto ano]])</f>
        <v>7</v>
      </c>
      <c r="H5149" t="str">
        <f>TEXT(Tabela1[[#This Row],[Coluna2]]*29,"mmmm")</f>
        <v>julho</v>
      </c>
      <c r="I5149" t="str">
        <f>TEXT(MONTH(Tabela1[[#This Row],[Último pagto ano]])*29,"mmmm")</f>
        <v>julho</v>
      </c>
    </row>
    <row r="5150" spans="1:9" x14ac:dyDescent="0.25">
      <c r="A5150">
        <v>2025</v>
      </c>
      <c r="B5150" t="s">
        <v>10256</v>
      </c>
      <c r="C5150" s="1">
        <v>45915</v>
      </c>
      <c r="D5150" t="s">
        <v>10257</v>
      </c>
      <c r="E5150">
        <v>110</v>
      </c>
      <c r="G5150" s="3">
        <f>MONTH(Tabela1[[#This Row],[Último pagto ano]])</f>
        <v>9</v>
      </c>
      <c r="H5150" t="str">
        <f>TEXT(Tabela1[[#This Row],[Coluna2]]*29,"mmmm")</f>
        <v>setembro</v>
      </c>
      <c r="I5150" t="str">
        <f>TEXT(MONTH(Tabela1[[#This Row],[Último pagto ano]])*29,"mmmm")</f>
        <v>setembro</v>
      </c>
    </row>
    <row r="5151" spans="1:9" x14ac:dyDescent="0.25">
      <c r="A5151">
        <v>2025</v>
      </c>
      <c r="B5151" t="s">
        <v>10258</v>
      </c>
      <c r="C5151" s="1">
        <v>45769</v>
      </c>
      <c r="D5151" t="s">
        <v>10259</v>
      </c>
      <c r="E5151">
        <v>22</v>
      </c>
      <c r="G5151" s="3">
        <f>MONTH(Tabela1[[#This Row],[Último pagto ano]])</f>
        <v>4</v>
      </c>
      <c r="H5151" t="str">
        <f>TEXT(Tabela1[[#This Row],[Coluna2]]*29,"mmmm")</f>
        <v>abril</v>
      </c>
      <c r="I5151" t="str">
        <f>TEXT(MONTH(Tabela1[[#This Row],[Último pagto ano]])*29,"mmmm")</f>
        <v>abril</v>
      </c>
    </row>
    <row r="5152" spans="1:9" x14ac:dyDescent="0.25">
      <c r="A5152">
        <v>2025</v>
      </c>
      <c r="B5152" t="s">
        <v>10260</v>
      </c>
      <c r="C5152" s="1">
        <v>45989</v>
      </c>
      <c r="D5152" t="s">
        <v>10261</v>
      </c>
      <c r="E5152" s="2">
        <v>2949.06</v>
      </c>
      <c r="G5152" s="3">
        <f>MONTH(Tabela1[[#This Row],[Último pagto ano]])</f>
        <v>11</v>
      </c>
      <c r="H5152" t="str">
        <f>TEXT(Tabela1[[#This Row],[Coluna2]]*29,"mmmm")</f>
        <v>novembro</v>
      </c>
      <c r="I5152" t="str">
        <f>TEXT(MONTH(Tabela1[[#This Row],[Último pagto ano]])*29,"mmmm")</f>
        <v>novembro</v>
      </c>
    </row>
    <row r="5153" spans="1:9" x14ac:dyDescent="0.25">
      <c r="A5153">
        <v>2025</v>
      </c>
      <c r="B5153" t="s">
        <v>10262</v>
      </c>
      <c r="C5153" s="1">
        <v>45761</v>
      </c>
      <c r="D5153" t="s">
        <v>10263</v>
      </c>
      <c r="E5153" s="2">
        <v>1291.0899999999999</v>
      </c>
      <c r="G5153" s="3">
        <f>MONTH(Tabela1[[#This Row],[Último pagto ano]])</f>
        <v>4</v>
      </c>
      <c r="H5153" t="str">
        <f>TEXT(Tabela1[[#This Row],[Coluna2]]*29,"mmmm")</f>
        <v>abril</v>
      </c>
      <c r="I5153" t="str">
        <f>TEXT(MONTH(Tabela1[[#This Row],[Último pagto ano]])*29,"mmmm")</f>
        <v>abril</v>
      </c>
    </row>
    <row r="5154" spans="1:9" x14ac:dyDescent="0.25">
      <c r="A5154">
        <v>2025</v>
      </c>
      <c r="B5154" t="s">
        <v>10264</v>
      </c>
      <c r="C5154" s="1">
        <v>45688</v>
      </c>
      <c r="D5154" t="s">
        <v>10265</v>
      </c>
      <c r="E5154" s="2">
        <v>2109.84</v>
      </c>
      <c r="G5154" s="3">
        <f>MONTH(Tabela1[[#This Row],[Último pagto ano]])</f>
        <v>1</v>
      </c>
      <c r="H5154" t="str">
        <f>TEXT(Tabela1[[#This Row],[Coluna2]]*29,"mmmm")</f>
        <v>janeiro</v>
      </c>
      <c r="I5154" t="str">
        <f>TEXT(MONTH(Tabela1[[#This Row],[Último pagto ano]])*29,"mmmm")</f>
        <v>janeiro</v>
      </c>
    </row>
    <row r="5155" spans="1:9" x14ac:dyDescent="0.25">
      <c r="A5155">
        <v>2025</v>
      </c>
      <c r="B5155" t="s">
        <v>10266</v>
      </c>
      <c r="C5155" s="1">
        <v>45813</v>
      </c>
      <c r="D5155" t="s">
        <v>10267</v>
      </c>
      <c r="E5155" s="2">
        <v>8750</v>
      </c>
      <c r="G5155" s="3">
        <f>MONTH(Tabela1[[#This Row],[Último pagto ano]])</f>
        <v>6</v>
      </c>
      <c r="H5155" t="str">
        <f>TEXT(Tabela1[[#This Row],[Coluna2]]*29,"mmmm")</f>
        <v>junho</v>
      </c>
      <c r="I5155" t="str">
        <f>TEXT(MONTH(Tabela1[[#This Row],[Último pagto ano]])*29,"mmmm")</f>
        <v>junho</v>
      </c>
    </row>
    <row r="5156" spans="1:9" x14ac:dyDescent="0.25">
      <c r="A5156">
        <v>2025</v>
      </c>
      <c r="B5156" t="s">
        <v>10268</v>
      </c>
      <c r="C5156" s="1">
        <v>45959</v>
      </c>
      <c r="D5156" t="s">
        <v>10269</v>
      </c>
      <c r="E5156" s="2">
        <v>91731.6</v>
      </c>
      <c r="G5156" s="3">
        <f>MONTH(Tabela1[[#This Row],[Último pagto ano]])</f>
        <v>10</v>
      </c>
      <c r="H5156" t="str">
        <f>TEXT(Tabela1[[#This Row],[Coluna2]]*29,"mmmm")</f>
        <v>outubro</v>
      </c>
      <c r="I5156" t="str">
        <f>TEXT(MONTH(Tabela1[[#This Row],[Último pagto ano]])*29,"mmmm")</f>
        <v>outubro</v>
      </c>
    </row>
    <row r="5157" spans="1:9" x14ac:dyDescent="0.25">
      <c r="A5157">
        <v>2025</v>
      </c>
      <c r="B5157" t="s">
        <v>10270</v>
      </c>
      <c r="C5157" s="1">
        <v>45978</v>
      </c>
      <c r="D5157" t="s">
        <v>10271</v>
      </c>
      <c r="E5157">
        <v>528</v>
      </c>
      <c r="G5157" s="3">
        <f>MONTH(Tabela1[[#This Row],[Último pagto ano]])</f>
        <v>11</v>
      </c>
      <c r="H5157" t="str">
        <f>TEXT(Tabela1[[#This Row],[Coluna2]]*29,"mmmm")</f>
        <v>novembro</v>
      </c>
      <c r="I5157" t="str">
        <f>TEXT(MONTH(Tabela1[[#This Row],[Último pagto ano]])*29,"mmmm")</f>
        <v>novembro</v>
      </c>
    </row>
    <row r="5158" spans="1:9" x14ac:dyDescent="0.25">
      <c r="A5158">
        <v>2025</v>
      </c>
      <c r="B5158" t="s">
        <v>10272</v>
      </c>
      <c r="C5158" s="1">
        <v>45985</v>
      </c>
      <c r="D5158" t="s">
        <v>10273</v>
      </c>
      <c r="E5158">
        <v>218.8</v>
      </c>
      <c r="G5158" s="3">
        <f>MONTH(Tabela1[[#This Row],[Último pagto ano]])</f>
        <v>11</v>
      </c>
      <c r="H5158" t="str">
        <f>TEXT(Tabela1[[#This Row],[Coluna2]]*29,"mmmm")</f>
        <v>novembro</v>
      </c>
      <c r="I5158" t="str">
        <f>TEXT(MONTH(Tabela1[[#This Row],[Último pagto ano]])*29,"mmmm")</f>
        <v>novembro</v>
      </c>
    </row>
    <row r="5159" spans="1:9" x14ac:dyDescent="0.25">
      <c r="A5159">
        <v>2025</v>
      </c>
      <c r="B5159" t="s">
        <v>10274</v>
      </c>
      <c r="C5159" s="1">
        <v>45712</v>
      </c>
      <c r="D5159" t="s">
        <v>10275</v>
      </c>
      <c r="E5159" s="2">
        <v>27127.919999999998</v>
      </c>
      <c r="G5159" s="3">
        <f>MONTH(Tabela1[[#This Row],[Último pagto ano]])</f>
        <v>2</v>
      </c>
      <c r="H5159" t="str">
        <f>TEXT(Tabela1[[#This Row],[Coluna2]]*29,"mmmm")</f>
        <v>fevereiro</v>
      </c>
      <c r="I5159" t="str">
        <f>TEXT(MONTH(Tabela1[[#This Row],[Último pagto ano]])*29,"mmmm")</f>
        <v>fevereiro</v>
      </c>
    </row>
    <row r="5160" spans="1:9" x14ac:dyDescent="0.25">
      <c r="A5160">
        <v>2025</v>
      </c>
      <c r="B5160" t="s">
        <v>10276</v>
      </c>
      <c r="C5160" s="1">
        <v>45845</v>
      </c>
      <c r="D5160" t="s">
        <v>10277</v>
      </c>
      <c r="E5160">
        <v>3.8</v>
      </c>
      <c r="G5160" s="3">
        <f>MONTH(Tabela1[[#This Row],[Último pagto ano]])</f>
        <v>7</v>
      </c>
      <c r="H5160" t="str">
        <f>TEXT(Tabela1[[#This Row],[Coluna2]]*29,"mmmm")</f>
        <v>julho</v>
      </c>
      <c r="I5160" t="str">
        <f>TEXT(MONTH(Tabela1[[#This Row],[Último pagto ano]])*29,"mmmm")</f>
        <v>julho</v>
      </c>
    </row>
    <row r="5161" spans="1:9" x14ac:dyDescent="0.25">
      <c r="A5161">
        <v>2025</v>
      </c>
      <c r="B5161" t="s">
        <v>10278</v>
      </c>
      <c r="C5161" s="1">
        <v>45947</v>
      </c>
      <c r="D5161" t="s">
        <v>10279</v>
      </c>
      <c r="E5161">
        <v>1.99</v>
      </c>
      <c r="G5161" s="3">
        <f>MONTH(Tabela1[[#This Row],[Último pagto ano]])</f>
        <v>10</v>
      </c>
      <c r="H5161" t="str">
        <f>TEXT(Tabela1[[#This Row],[Coluna2]]*29,"mmmm")</f>
        <v>outubro</v>
      </c>
      <c r="I5161" t="str">
        <f>TEXT(MONTH(Tabela1[[#This Row],[Último pagto ano]])*29,"mmmm")</f>
        <v>outubro</v>
      </c>
    </row>
    <row r="5162" spans="1:9" x14ac:dyDescent="0.25">
      <c r="A5162">
        <v>2025</v>
      </c>
      <c r="B5162" t="s">
        <v>10280</v>
      </c>
      <c r="C5162" s="1">
        <v>46006</v>
      </c>
      <c r="D5162" t="s">
        <v>10281</v>
      </c>
      <c r="E5162">
        <v>198</v>
      </c>
      <c r="G5162" s="3">
        <f>MONTH(Tabela1[[#This Row],[Último pagto ano]])</f>
        <v>12</v>
      </c>
      <c r="H5162" t="str">
        <f>TEXT(Tabela1[[#This Row],[Coluna2]]*29,"mmmm")</f>
        <v>dezembro</v>
      </c>
      <c r="I5162" t="str">
        <f>TEXT(MONTH(Tabela1[[#This Row],[Último pagto ano]])*29,"mmmm")</f>
        <v>dezembro</v>
      </c>
    </row>
    <row r="5163" spans="1:9" x14ac:dyDescent="0.25">
      <c r="A5163">
        <v>2025</v>
      </c>
      <c r="B5163" t="s">
        <v>10282</v>
      </c>
      <c r="C5163" s="1">
        <v>46006</v>
      </c>
      <c r="D5163" t="s">
        <v>10283</v>
      </c>
      <c r="E5163">
        <v>340.4</v>
      </c>
      <c r="G5163" s="3">
        <f>MONTH(Tabela1[[#This Row],[Último pagto ano]])</f>
        <v>12</v>
      </c>
      <c r="H5163" t="str">
        <f>TEXT(Tabela1[[#This Row],[Coluna2]]*29,"mmmm")</f>
        <v>dezembro</v>
      </c>
      <c r="I5163" t="str">
        <f>TEXT(MONTH(Tabela1[[#This Row],[Último pagto ano]])*29,"mmmm")</f>
        <v>dezembro</v>
      </c>
    </row>
    <row r="5164" spans="1:9" x14ac:dyDescent="0.25">
      <c r="A5164">
        <v>2025</v>
      </c>
      <c r="B5164" t="s">
        <v>10284</v>
      </c>
      <c r="C5164" s="1">
        <v>45856</v>
      </c>
      <c r="D5164" t="s">
        <v>10285</v>
      </c>
      <c r="E5164" s="2">
        <v>6477.79</v>
      </c>
      <c r="G5164" s="3">
        <f>MONTH(Tabela1[[#This Row],[Último pagto ano]])</f>
        <v>7</v>
      </c>
      <c r="H5164" t="str">
        <f>TEXT(Tabela1[[#This Row],[Coluna2]]*29,"mmmm")</f>
        <v>julho</v>
      </c>
      <c r="I5164" t="str">
        <f>TEXT(MONTH(Tabela1[[#This Row],[Último pagto ano]])*29,"mmmm")</f>
        <v>julho</v>
      </c>
    </row>
    <row r="5165" spans="1:9" x14ac:dyDescent="0.25">
      <c r="A5165">
        <v>2025</v>
      </c>
      <c r="B5165" t="s">
        <v>10286</v>
      </c>
      <c r="C5165" s="1">
        <v>46010</v>
      </c>
      <c r="D5165" t="s">
        <v>10287</v>
      </c>
      <c r="E5165" s="2">
        <v>8400</v>
      </c>
      <c r="G5165" s="3">
        <f>MONTH(Tabela1[[#This Row],[Último pagto ano]])</f>
        <v>12</v>
      </c>
      <c r="H5165" t="str">
        <f>TEXT(Tabela1[[#This Row],[Coluna2]]*29,"mmmm")</f>
        <v>dezembro</v>
      </c>
      <c r="I5165" t="str">
        <f>TEXT(MONTH(Tabela1[[#This Row],[Último pagto ano]])*29,"mmmm")</f>
        <v>dezembro</v>
      </c>
    </row>
    <row r="5166" spans="1:9" x14ac:dyDescent="0.25">
      <c r="A5166">
        <v>2025</v>
      </c>
      <c r="B5166" t="s">
        <v>10288</v>
      </c>
      <c r="C5166" s="1">
        <v>45716</v>
      </c>
      <c r="D5166" t="s">
        <v>10289</v>
      </c>
      <c r="E5166" s="2">
        <v>1994.12</v>
      </c>
      <c r="G5166" s="3">
        <f>MONTH(Tabela1[[#This Row],[Último pagto ano]])</f>
        <v>2</v>
      </c>
      <c r="H5166" t="str">
        <f>TEXT(Tabela1[[#This Row],[Coluna2]]*29,"mmmm")</f>
        <v>fevereiro</v>
      </c>
      <c r="I5166" t="str">
        <f>TEXT(MONTH(Tabela1[[#This Row],[Último pagto ano]])*29,"mmmm")</f>
        <v>fevereiro</v>
      </c>
    </row>
    <row r="5167" spans="1:9" x14ac:dyDescent="0.25">
      <c r="A5167">
        <v>2025</v>
      </c>
      <c r="B5167" t="s">
        <v>10290</v>
      </c>
      <c r="C5167" s="1">
        <v>45769</v>
      </c>
      <c r="D5167" t="s">
        <v>10291</v>
      </c>
      <c r="E5167">
        <v>22</v>
      </c>
      <c r="G5167" s="3">
        <f>MONTH(Tabela1[[#This Row],[Último pagto ano]])</f>
        <v>4</v>
      </c>
      <c r="H5167" t="str">
        <f>TEXT(Tabela1[[#This Row],[Coluna2]]*29,"mmmm")</f>
        <v>abril</v>
      </c>
      <c r="I5167" t="str">
        <f>TEXT(MONTH(Tabela1[[#This Row],[Último pagto ano]])*29,"mmmm")</f>
        <v>abril</v>
      </c>
    </row>
    <row r="5168" spans="1:9" x14ac:dyDescent="0.25">
      <c r="A5168">
        <v>2025</v>
      </c>
      <c r="B5168" t="s">
        <v>10292</v>
      </c>
      <c r="C5168" s="1">
        <v>45726</v>
      </c>
      <c r="D5168" t="s">
        <v>10293</v>
      </c>
      <c r="E5168">
        <v>105.81</v>
      </c>
      <c r="G5168" s="3">
        <f>MONTH(Tabela1[[#This Row],[Último pagto ano]])</f>
        <v>3</v>
      </c>
      <c r="H5168" t="str">
        <f>TEXT(Tabela1[[#This Row],[Coluna2]]*29,"mmmm")</f>
        <v>março</v>
      </c>
      <c r="I5168" t="str">
        <f>TEXT(MONTH(Tabela1[[#This Row],[Último pagto ano]])*29,"mmmm")</f>
        <v>março</v>
      </c>
    </row>
    <row r="5169" spans="1:9" x14ac:dyDescent="0.25">
      <c r="A5169">
        <v>2025</v>
      </c>
      <c r="B5169" t="s">
        <v>10294</v>
      </c>
      <c r="C5169" s="1">
        <v>45877</v>
      </c>
      <c r="D5169" t="s">
        <v>10295</v>
      </c>
      <c r="E5169">
        <v>120</v>
      </c>
      <c r="G5169" s="3">
        <f>MONTH(Tabela1[[#This Row],[Último pagto ano]])</f>
        <v>8</v>
      </c>
      <c r="H5169" t="str">
        <f>TEXT(Tabela1[[#This Row],[Coluna2]]*29,"mmmm")</f>
        <v>agosto</v>
      </c>
      <c r="I5169" t="str">
        <f>TEXT(MONTH(Tabela1[[#This Row],[Último pagto ano]])*29,"mmmm")</f>
        <v>agosto</v>
      </c>
    </row>
    <row r="5170" spans="1:9" x14ac:dyDescent="0.25">
      <c r="A5170">
        <v>2025</v>
      </c>
      <c r="B5170" t="s">
        <v>10296</v>
      </c>
      <c r="C5170" s="1">
        <v>45792</v>
      </c>
      <c r="D5170" t="s">
        <v>10297</v>
      </c>
      <c r="E5170" s="2">
        <v>5317.2</v>
      </c>
      <c r="G5170" s="3">
        <f>MONTH(Tabela1[[#This Row],[Último pagto ano]])</f>
        <v>5</v>
      </c>
      <c r="H5170" t="str">
        <f>TEXT(Tabela1[[#This Row],[Coluna2]]*29,"mmmm")</f>
        <v>maio</v>
      </c>
      <c r="I5170" t="str">
        <f>TEXT(MONTH(Tabela1[[#This Row],[Último pagto ano]])*29,"mmmm")</f>
        <v>maio</v>
      </c>
    </row>
    <row r="5171" spans="1:9" x14ac:dyDescent="0.25">
      <c r="A5171">
        <v>2025</v>
      </c>
      <c r="B5171" t="s">
        <v>10298</v>
      </c>
      <c r="C5171" s="1">
        <v>45922</v>
      </c>
      <c r="D5171" t="s">
        <v>10299</v>
      </c>
      <c r="E5171">
        <v>33</v>
      </c>
      <c r="G5171" s="3">
        <f>MONTH(Tabela1[[#This Row],[Último pagto ano]])</f>
        <v>9</v>
      </c>
      <c r="H5171" t="str">
        <f>TEXT(Tabela1[[#This Row],[Coluna2]]*29,"mmmm")</f>
        <v>setembro</v>
      </c>
      <c r="I5171" t="str">
        <f>TEXT(MONTH(Tabela1[[#This Row],[Último pagto ano]])*29,"mmmm")</f>
        <v>setembro</v>
      </c>
    </row>
    <row r="5172" spans="1:9" x14ac:dyDescent="0.25">
      <c r="A5172">
        <v>2025</v>
      </c>
      <c r="B5172" t="s">
        <v>10300</v>
      </c>
      <c r="C5172" s="1">
        <v>45736</v>
      </c>
      <c r="D5172" t="s">
        <v>10301</v>
      </c>
      <c r="E5172" s="2">
        <v>11960.22</v>
      </c>
      <c r="G5172" s="3">
        <f>MONTH(Tabela1[[#This Row],[Último pagto ano]])</f>
        <v>3</v>
      </c>
      <c r="H5172" t="str">
        <f>TEXT(Tabela1[[#This Row],[Coluna2]]*29,"mmmm")</f>
        <v>março</v>
      </c>
      <c r="I5172" t="str">
        <f>TEXT(MONTH(Tabela1[[#This Row],[Último pagto ano]])*29,"mmmm")</f>
        <v>março</v>
      </c>
    </row>
    <row r="5173" spans="1:9" x14ac:dyDescent="0.25">
      <c r="A5173">
        <v>2025</v>
      </c>
      <c r="B5173" t="s">
        <v>10302</v>
      </c>
      <c r="C5173" s="1">
        <v>46010</v>
      </c>
      <c r="D5173" t="s">
        <v>10303</v>
      </c>
      <c r="E5173" s="2">
        <v>7700</v>
      </c>
      <c r="G5173" s="3">
        <f>MONTH(Tabela1[[#This Row],[Último pagto ano]])</f>
        <v>12</v>
      </c>
      <c r="H5173" t="str">
        <f>TEXT(Tabela1[[#This Row],[Coluna2]]*29,"mmmm")</f>
        <v>dezembro</v>
      </c>
      <c r="I5173" t="str">
        <f>TEXT(MONTH(Tabela1[[#This Row],[Último pagto ano]])*29,"mmmm")</f>
        <v>dezembro</v>
      </c>
    </row>
    <row r="5174" spans="1:9" x14ac:dyDescent="0.25">
      <c r="A5174">
        <v>2025</v>
      </c>
      <c r="B5174" t="s">
        <v>10304</v>
      </c>
      <c r="C5174" s="1">
        <v>45751</v>
      </c>
      <c r="D5174" t="s">
        <v>10305</v>
      </c>
      <c r="E5174" s="2">
        <v>26906.25</v>
      </c>
      <c r="G5174" s="3">
        <f>MONTH(Tabela1[[#This Row],[Último pagto ano]])</f>
        <v>4</v>
      </c>
      <c r="H5174" t="str">
        <f>TEXT(Tabela1[[#This Row],[Coluna2]]*29,"mmmm")</f>
        <v>abril</v>
      </c>
      <c r="I5174" t="str">
        <f>TEXT(MONTH(Tabela1[[#This Row],[Último pagto ano]])*29,"mmmm")</f>
        <v>abril</v>
      </c>
    </row>
    <row r="5175" spans="1:9" x14ac:dyDescent="0.25">
      <c r="A5175">
        <v>2025</v>
      </c>
      <c r="B5175" t="s">
        <v>10306</v>
      </c>
      <c r="C5175" s="1">
        <v>46010</v>
      </c>
      <c r="D5175" t="s">
        <v>10307</v>
      </c>
      <c r="E5175" s="2">
        <v>4200</v>
      </c>
      <c r="G5175" s="3">
        <f>MONTH(Tabela1[[#This Row],[Último pagto ano]])</f>
        <v>12</v>
      </c>
      <c r="H5175" t="str">
        <f>TEXT(Tabela1[[#This Row],[Coluna2]]*29,"mmmm")</f>
        <v>dezembro</v>
      </c>
      <c r="I5175" t="str">
        <f>TEXT(MONTH(Tabela1[[#This Row],[Último pagto ano]])*29,"mmmm")</f>
        <v>dezembro</v>
      </c>
    </row>
    <row r="5176" spans="1:9" x14ac:dyDescent="0.25">
      <c r="A5176">
        <v>2025</v>
      </c>
      <c r="B5176" t="s">
        <v>10308</v>
      </c>
      <c r="C5176" s="1">
        <v>45771</v>
      </c>
      <c r="D5176" t="s">
        <v>10309</v>
      </c>
      <c r="E5176" s="2">
        <v>2800</v>
      </c>
      <c r="G5176" s="3">
        <f>MONTH(Tabela1[[#This Row],[Último pagto ano]])</f>
        <v>4</v>
      </c>
      <c r="H5176" t="str">
        <f>TEXT(Tabela1[[#This Row],[Coluna2]]*29,"mmmm")</f>
        <v>abril</v>
      </c>
      <c r="I5176" t="str">
        <f>TEXT(MONTH(Tabela1[[#This Row],[Último pagto ano]])*29,"mmmm")</f>
        <v>abril</v>
      </c>
    </row>
    <row r="5177" spans="1:9" x14ac:dyDescent="0.25">
      <c r="A5177">
        <v>2025</v>
      </c>
      <c r="B5177" t="s">
        <v>10310</v>
      </c>
      <c r="C5177" s="1">
        <v>46006</v>
      </c>
      <c r="D5177" t="s">
        <v>10311</v>
      </c>
      <c r="E5177" s="2">
        <v>12000</v>
      </c>
      <c r="G5177" s="3">
        <f>MONTH(Tabela1[[#This Row],[Último pagto ano]])</f>
        <v>12</v>
      </c>
      <c r="H5177" t="str">
        <f>TEXT(Tabela1[[#This Row],[Coluna2]]*29,"mmmm")</f>
        <v>dezembro</v>
      </c>
      <c r="I5177" t="str">
        <f>TEXT(MONTH(Tabela1[[#This Row],[Último pagto ano]])*29,"mmmm")</f>
        <v>dezembro</v>
      </c>
    </row>
    <row r="5178" spans="1:9" x14ac:dyDescent="0.25">
      <c r="A5178">
        <v>2025</v>
      </c>
      <c r="B5178" t="s">
        <v>10312</v>
      </c>
      <c r="C5178" s="1">
        <v>45824</v>
      </c>
      <c r="D5178" t="s">
        <v>10313</v>
      </c>
      <c r="E5178" s="2">
        <v>3621.1</v>
      </c>
      <c r="G5178" s="3">
        <f>MONTH(Tabela1[[#This Row],[Último pagto ano]])</f>
        <v>6</v>
      </c>
      <c r="H5178" t="str">
        <f>TEXT(Tabela1[[#This Row],[Coluna2]]*29,"mmmm")</f>
        <v>junho</v>
      </c>
      <c r="I5178" t="str">
        <f>TEXT(MONTH(Tabela1[[#This Row],[Último pagto ano]])*29,"mmmm")</f>
        <v>junho</v>
      </c>
    </row>
    <row r="5179" spans="1:9" x14ac:dyDescent="0.25">
      <c r="A5179">
        <v>2025</v>
      </c>
      <c r="B5179" t="s">
        <v>10314</v>
      </c>
      <c r="C5179" s="1">
        <v>45744</v>
      </c>
      <c r="D5179" t="s">
        <v>10315</v>
      </c>
      <c r="E5179" s="2">
        <v>59972.47</v>
      </c>
      <c r="G5179" s="3">
        <f>MONTH(Tabela1[[#This Row],[Último pagto ano]])</f>
        <v>3</v>
      </c>
      <c r="H5179" t="str">
        <f>TEXT(Tabela1[[#This Row],[Coluna2]]*29,"mmmm")</f>
        <v>março</v>
      </c>
      <c r="I5179" t="str">
        <f>TEXT(MONTH(Tabela1[[#This Row],[Último pagto ano]])*29,"mmmm")</f>
        <v>março</v>
      </c>
    </row>
    <row r="5180" spans="1:9" x14ac:dyDescent="0.25">
      <c r="A5180">
        <v>2025</v>
      </c>
      <c r="B5180" t="s">
        <v>10316</v>
      </c>
      <c r="C5180" s="1">
        <v>45870</v>
      </c>
      <c r="D5180" t="s">
        <v>10317</v>
      </c>
      <c r="E5180">
        <v>972</v>
      </c>
      <c r="G5180" s="3">
        <f>MONTH(Tabela1[[#This Row],[Último pagto ano]])</f>
        <v>8</v>
      </c>
      <c r="H5180" t="str">
        <f>TEXT(Tabela1[[#This Row],[Coluna2]]*29,"mmmm")</f>
        <v>agosto</v>
      </c>
      <c r="I5180" t="str">
        <f>TEXT(MONTH(Tabela1[[#This Row],[Último pagto ano]])*29,"mmmm")</f>
        <v>agosto</v>
      </c>
    </row>
    <row r="5181" spans="1:9" x14ac:dyDescent="0.25">
      <c r="A5181">
        <v>2025</v>
      </c>
      <c r="B5181" t="s">
        <v>10316</v>
      </c>
      <c r="C5181" s="1">
        <v>45702</v>
      </c>
      <c r="D5181" t="s">
        <v>10318</v>
      </c>
      <c r="E5181">
        <v>231.42</v>
      </c>
      <c r="G5181" s="3">
        <f>MONTH(Tabela1[[#This Row],[Último pagto ano]])</f>
        <v>2</v>
      </c>
      <c r="H5181" t="str">
        <f>TEXT(Tabela1[[#This Row],[Coluna2]]*29,"mmmm")</f>
        <v>fevereiro</v>
      </c>
      <c r="I5181" t="str">
        <f>TEXT(MONTH(Tabela1[[#This Row],[Último pagto ano]])*29,"mmmm")</f>
        <v>fevereiro</v>
      </c>
    </row>
    <row r="5182" spans="1:9" x14ac:dyDescent="0.25">
      <c r="A5182">
        <v>2025</v>
      </c>
      <c r="B5182" t="s">
        <v>10319</v>
      </c>
      <c r="C5182" s="1">
        <v>45999</v>
      </c>
      <c r="D5182" t="s">
        <v>10320</v>
      </c>
      <c r="E5182">
        <v>11</v>
      </c>
      <c r="G5182" s="3">
        <f>MONTH(Tabela1[[#This Row],[Último pagto ano]])</f>
        <v>12</v>
      </c>
      <c r="H5182" t="str">
        <f>TEXT(Tabela1[[#This Row],[Coluna2]]*29,"mmmm")</f>
        <v>dezembro</v>
      </c>
      <c r="I5182" t="str">
        <f>TEXT(MONTH(Tabela1[[#This Row],[Último pagto ano]])*29,"mmmm")</f>
        <v>dezembro</v>
      </c>
    </row>
    <row r="5183" spans="1:9" x14ac:dyDescent="0.25">
      <c r="A5183">
        <v>2025</v>
      </c>
      <c r="B5183" t="s">
        <v>10321</v>
      </c>
      <c r="C5183" s="1">
        <v>46010</v>
      </c>
      <c r="D5183" t="s">
        <v>10322</v>
      </c>
      <c r="E5183">
        <v>700</v>
      </c>
      <c r="G5183" s="3">
        <f>MONTH(Tabela1[[#This Row],[Último pagto ano]])</f>
        <v>12</v>
      </c>
      <c r="H5183" t="str">
        <f>TEXT(Tabela1[[#This Row],[Coluna2]]*29,"mmmm")</f>
        <v>dezembro</v>
      </c>
      <c r="I5183" t="str">
        <f>TEXT(MONTH(Tabela1[[#This Row],[Último pagto ano]])*29,"mmmm")</f>
        <v>dezembro</v>
      </c>
    </row>
    <row r="5184" spans="1:9" x14ac:dyDescent="0.25">
      <c r="A5184">
        <v>2025</v>
      </c>
      <c r="B5184" t="s">
        <v>10323</v>
      </c>
      <c r="C5184" s="1">
        <v>45911</v>
      </c>
      <c r="D5184" t="s">
        <v>10324</v>
      </c>
      <c r="E5184">
        <v>138.80000000000001</v>
      </c>
      <c r="G5184" s="3">
        <f>MONTH(Tabela1[[#This Row],[Último pagto ano]])</f>
        <v>9</v>
      </c>
      <c r="H5184" t="str">
        <f>TEXT(Tabela1[[#This Row],[Coluna2]]*29,"mmmm")</f>
        <v>setembro</v>
      </c>
      <c r="I5184" t="str">
        <f>TEXT(MONTH(Tabela1[[#This Row],[Último pagto ano]])*29,"mmmm")</f>
        <v>setembro</v>
      </c>
    </row>
    <row r="5185" spans="1:9" x14ac:dyDescent="0.25">
      <c r="A5185">
        <v>2025</v>
      </c>
      <c r="B5185" t="s">
        <v>10325</v>
      </c>
      <c r="C5185" s="1">
        <v>45975</v>
      </c>
      <c r="D5185" t="s">
        <v>10326</v>
      </c>
      <c r="E5185" s="2">
        <v>11000</v>
      </c>
      <c r="G5185" s="3">
        <f>MONTH(Tabela1[[#This Row],[Último pagto ano]])</f>
        <v>11</v>
      </c>
      <c r="H5185" t="str">
        <f>TEXT(Tabela1[[#This Row],[Coluna2]]*29,"mmmm")</f>
        <v>novembro</v>
      </c>
      <c r="I5185" t="str">
        <f>TEXT(MONTH(Tabela1[[#This Row],[Último pagto ano]])*29,"mmmm")</f>
        <v>novembro</v>
      </c>
    </row>
    <row r="5186" spans="1:9" x14ac:dyDescent="0.25">
      <c r="A5186">
        <v>2025</v>
      </c>
      <c r="B5186" t="s">
        <v>10327</v>
      </c>
      <c r="C5186" s="1">
        <v>45966</v>
      </c>
      <c r="D5186" t="s">
        <v>10328</v>
      </c>
      <c r="E5186" s="2">
        <v>4417</v>
      </c>
      <c r="G5186" s="3">
        <f>MONTH(Tabela1[[#This Row],[Último pagto ano]])</f>
        <v>11</v>
      </c>
      <c r="H5186" t="str">
        <f>TEXT(Tabela1[[#This Row],[Coluna2]]*29,"mmmm")</f>
        <v>novembro</v>
      </c>
      <c r="I5186" t="str">
        <f>TEXT(MONTH(Tabela1[[#This Row],[Último pagto ano]])*29,"mmmm")</f>
        <v>novembro</v>
      </c>
    </row>
    <row r="5187" spans="1:9" x14ac:dyDescent="0.25">
      <c r="A5187">
        <v>2025</v>
      </c>
      <c r="B5187" t="s">
        <v>10329</v>
      </c>
      <c r="C5187" s="1">
        <v>45985</v>
      </c>
      <c r="D5187" t="s">
        <v>10330</v>
      </c>
      <c r="E5187">
        <v>33</v>
      </c>
      <c r="G5187" s="3">
        <f>MONTH(Tabela1[[#This Row],[Último pagto ano]])</f>
        <v>11</v>
      </c>
      <c r="H5187" t="str">
        <f>TEXT(Tabela1[[#This Row],[Coluna2]]*29,"mmmm")</f>
        <v>novembro</v>
      </c>
      <c r="I5187" t="str">
        <f>TEXT(MONTH(Tabela1[[#This Row],[Último pagto ano]])*29,"mmmm")</f>
        <v>novembro</v>
      </c>
    </row>
    <row r="5188" spans="1:9" x14ac:dyDescent="0.25">
      <c r="A5188">
        <v>2025</v>
      </c>
      <c r="B5188" t="s">
        <v>10331</v>
      </c>
      <c r="C5188" s="1">
        <v>46013</v>
      </c>
      <c r="D5188" t="s">
        <v>10332</v>
      </c>
      <c r="E5188" s="2">
        <v>11085.8</v>
      </c>
      <c r="G5188" s="3">
        <f>MONTH(Tabela1[[#This Row],[Último pagto ano]])</f>
        <v>12</v>
      </c>
      <c r="H5188" t="str">
        <f>TEXT(Tabela1[[#This Row],[Coluna2]]*29,"mmmm")</f>
        <v>dezembro</v>
      </c>
      <c r="I5188" t="str">
        <f>TEXT(MONTH(Tabela1[[#This Row],[Último pagto ano]])*29,"mmmm")</f>
        <v>dezembro</v>
      </c>
    </row>
    <row r="5189" spans="1:9" x14ac:dyDescent="0.25">
      <c r="A5189">
        <v>2025</v>
      </c>
      <c r="B5189" t="s">
        <v>10333</v>
      </c>
      <c r="C5189" s="1">
        <v>45863</v>
      </c>
      <c r="D5189" t="s">
        <v>10334</v>
      </c>
      <c r="E5189" s="2">
        <v>6835.28</v>
      </c>
      <c r="G5189" s="3">
        <f>MONTH(Tabela1[[#This Row],[Último pagto ano]])</f>
        <v>7</v>
      </c>
      <c r="H5189" t="str">
        <f>TEXT(Tabela1[[#This Row],[Coluna2]]*29,"mmmm")</f>
        <v>julho</v>
      </c>
      <c r="I5189" t="str">
        <f>TEXT(MONTH(Tabela1[[#This Row],[Último pagto ano]])*29,"mmmm")</f>
        <v>julho</v>
      </c>
    </row>
    <row r="5190" spans="1:9" x14ac:dyDescent="0.25">
      <c r="A5190">
        <v>2025</v>
      </c>
      <c r="B5190" t="s">
        <v>10335</v>
      </c>
      <c r="C5190" s="1">
        <v>45989</v>
      </c>
      <c r="D5190" t="s">
        <v>10336</v>
      </c>
      <c r="E5190" s="2">
        <v>11708.94</v>
      </c>
      <c r="G5190" s="3">
        <f>MONTH(Tabela1[[#This Row],[Último pagto ano]])</f>
        <v>11</v>
      </c>
      <c r="H5190" t="str">
        <f>TEXT(Tabela1[[#This Row],[Coluna2]]*29,"mmmm")</f>
        <v>novembro</v>
      </c>
      <c r="I5190" t="str">
        <f>TEXT(MONTH(Tabela1[[#This Row],[Último pagto ano]])*29,"mmmm")</f>
        <v>novembro</v>
      </c>
    </row>
    <row r="5191" spans="1:9" x14ac:dyDescent="0.25">
      <c r="A5191">
        <v>2025</v>
      </c>
      <c r="B5191" t="s">
        <v>10337</v>
      </c>
      <c r="C5191" s="1">
        <v>46010</v>
      </c>
      <c r="D5191" t="s">
        <v>10338</v>
      </c>
      <c r="E5191" s="2">
        <v>12000</v>
      </c>
      <c r="G5191" s="3">
        <f>MONTH(Tabela1[[#This Row],[Último pagto ano]])</f>
        <v>12</v>
      </c>
      <c r="H5191" t="str">
        <f>TEXT(Tabela1[[#This Row],[Coluna2]]*29,"mmmm")</f>
        <v>dezembro</v>
      </c>
      <c r="I5191" t="str">
        <f>TEXT(MONTH(Tabela1[[#This Row],[Último pagto ano]])*29,"mmmm")</f>
        <v>dezembro</v>
      </c>
    </row>
    <row r="5192" spans="1:9" x14ac:dyDescent="0.25">
      <c r="A5192">
        <v>2025</v>
      </c>
      <c r="B5192" t="s">
        <v>10339</v>
      </c>
      <c r="C5192" s="1">
        <v>46006</v>
      </c>
      <c r="D5192" t="s">
        <v>10340</v>
      </c>
      <c r="E5192">
        <v>671</v>
      </c>
      <c r="G5192" s="3">
        <f>MONTH(Tabela1[[#This Row],[Último pagto ano]])</f>
        <v>12</v>
      </c>
      <c r="H5192" t="str">
        <f>TEXT(Tabela1[[#This Row],[Coluna2]]*29,"mmmm")</f>
        <v>dezembro</v>
      </c>
      <c r="I5192" t="str">
        <f>TEXT(MONTH(Tabela1[[#This Row],[Último pagto ano]])*29,"mmmm")</f>
        <v>dezembro</v>
      </c>
    </row>
    <row r="5193" spans="1:9" x14ac:dyDescent="0.25">
      <c r="A5193">
        <v>2025</v>
      </c>
      <c r="B5193" t="s">
        <v>10341</v>
      </c>
      <c r="C5193" s="1">
        <v>45866</v>
      </c>
      <c r="D5193" t="s">
        <v>10342</v>
      </c>
      <c r="E5193" s="2">
        <v>7938</v>
      </c>
      <c r="G5193" s="3">
        <f>MONTH(Tabela1[[#This Row],[Último pagto ano]])</f>
        <v>7</v>
      </c>
      <c r="H5193" t="str">
        <f>TEXT(Tabela1[[#This Row],[Coluna2]]*29,"mmmm")</f>
        <v>julho</v>
      </c>
      <c r="I5193" t="str">
        <f>TEXT(MONTH(Tabela1[[#This Row],[Último pagto ano]])*29,"mmmm")</f>
        <v>julho</v>
      </c>
    </row>
    <row r="5194" spans="1:9" x14ac:dyDescent="0.25">
      <c r="A5194">
        <v>2025</v>
      </c>
      <c r="B5194" t="s">
        <v>10343</v>
      </c>
      <c r="C5194" s="1">
        <v>45954</v>
      </c>
      <c r="D5194" t="s">
        <v>10344</v>
      </c>
      <c r="E5194" s="2">
        <v>84871.28</v>
      </c>
      <c r="G5194" s="3">
        <f>MONTH(Tabela1[[#This Row],[Último pagto ano]])</f>
        <v>10</v>
      </c>
      <c r="H5194" t="str">
        <f>TEXT(Tabela1[[#This Row],[Coluna2]]*29,"mmmm")</f>
        <v>outubro</v>
      </c>
      <c r="I5194" t="str">
        <f>TEXT(MONTH(Tabela1[[#This Row],[Último pagto ano]])*29,"mmmm")</f>
        <v>outubro</v>
      </c>
    </row>
    <row r="5195" spans="1:9" x14ac:dyDescent="0.25">
      <c r="A5195">
        <v>2025</v>
      </c>
      <c r="B5195" t="s">
        <v>10345</v>
      </c>
      <c r="C5195" s="1">
        <v>45894</v>
      </c>
      <c r="D5195" t="s">
        <v>10346</v>
      </c>
      <c r="E5195" s="2">
        <v>5600</v>
      </c>
      <c r="G5195" s="3">
        <f>MONTH(Tabela1[[#This Row],[Último pagto ano]])</f>
        <v>8</v>
      </c>
      <c r="H5195" t="str">
        <f>TEXT(Tabela1[[#This Row],[Coluna2]]*29,"mmmm")</f>
        <v>agosto</v>
      </c>
      <c r="I5195" t="str">
        <f>TEXT(MONTH(Tabela1[[#This Row],[Último pagto ano]])*29,"mmmm")</f>
        <v>agosto</v>
      </c>
    </row>
    <row r="5196" spans="1:9" x14ac:dyDescent="0.25">
      <c r="A5196">
        <v>2025</v>
      </c>
      <c r="B5196" t="s">
        <v>10347</v>
      </c>
      <c r="C5196" s="1">
        <v>45996</v>
      </c>
      <c r="D5196" t="s">
        <v>10348</v>
      </c>
      <c r="E5196" s="2">
        <v>20800</v>
      </c>
      <c r="G5196" s="3">
        <f>MONTH(Tabela1[[#This Row],[Último pagto ano]])</f>
        <v>12</v>
      </c>
      <c r="H5196" t="str">
        <f>TEXT(Tabela1[[#This Row],[Coluna2]]*29,"mmmm")</f>
        <v>dezembro</v>
      </c>
      <c r="I5196" t="str">
        <f>TEXT(MONTH(Tabela1[[#This Row],[Último pagto ano]])*29,"mmmm")</f>
        <v>dezembro</v>
      </c>
    </row>
    <row r="5197" spans="1:9" x14ac:dyDescent="0.25">
      <c r="A5197">
        <v>2025</v>
      </c>
      <c r="B5197" t="s">
        <v>10349</v>
      </c>
      <c r="C5197" s="1">
        <v>45954</v>
      </c>
      <c r="D5197" t="s">
        <v>10350</v>
      </c>
      <c r="E5197" s="2">
        <v>116891.2</v>
      </c>
      <c r="G5197" s="3">
        <f>MONTH(Tabela1[[#This Row],[Último pagto ano]])</f>
        <v>10</v>
      </c>
      <c r="H5197" t="str">
        <f>TEXT(Tabela1[[#This Row],[Coluna2]]*29,"mmmm")</f>
        <v>outubro</v>
      </c>
      <c r="I5197" t="str">
        <f>TEXT(MONTH(Tabela1[[#This Row],[Último pagto ano]])*29,"mmmm")</f>
        <v>outubro</v>
      </c>
    </row>
    <row r="5198" spans="1:9" x14ac:dyDescent="0.25">
      <c r="A5198">
        <v>2025</v>
      </c>
      <c r="B5198" t="s">
        <v>10351</v>
      </c>
      <c r="C5198" s="1">
        <v>46006</v>
      </c>
      <c r="D5198" t="s">
        <v>10352</v>
      </c>
      <c r="E5198" s="2">
        <v>4442.3999999999996</v>
      </c>
      <c r="G5198" s="3">
        <f>MONTH(Tabela1[[#This Row],[Último pagto ano]])</f>
        <v>12</v>
      </c>
      <c r="H5198" t="str">
        <f>TEXT(Tabela1[[#This Row],[Coluna2]]*29,"mmmm")</f>
        <v>dezembro</v>
      </c>
      <c r="I5198" t="str">
        <f>TEXT(MONTH(Tabela1[[#This Row],[Último pagto ano]])*29,"mmmm")</f>
        <v>dezembro</v>
      </c>
    </row>
    <row r="5199" spans="1:9" x14ac:dyDescent="0.25">
      <c r="A5199">
        <v>2025</v>
      </c>
      <c r="B5199" t="s">
        <v>10353</v>
      </c>
      <c r="C5199" s="1">
        <v>46010</v>
      </c>
      <c r="D5199" t="s">
        <v>10354</v>
      </c>
      <c r="E5199" s="2">
        <v>12000</v>
      </c>
      <c r="G5199" s="3">
        <f>MONTH(Tabela1[[#This Row],[Último pagto ano]])</f>
        <v>12</v>
      </c>
      <c r="H5199" t="str">
        <f>TEXT(Tabela1[[#This Row],[Coluna2]]*29,"mmmm")</f>
        <v>dezembro</v>
      </c>
      <c r="I5199" t="str">
        <f>TEXT(MONTH(Tabela1[[#This Row],[Último pagto ano]])*29,"mmmm")</f>
        <v>dezembro</v>
      </c>
    </row>
    <row r="5200" spans="1:9" x14ac:dyDescent="0.25">
      <c r="A5200">
        <v>2025</v>
      </c>
      <c r="B5200" t="s">
        <v>10355</v>
      </c>
      <c r="C5200" s="1">
        <v>46006</v>
      </c>
      <c r="D5200" t="s">
        <v>10356</v>
      </c>
      <c r="E5200" s="2">
        <v>5896.64</v>
      </c>
      <c r="G5200" s="3">
        <f>MONTH(Tabela1[[#This Row],[Último pagto ano]])</f>
        <v>12</v>
      </c>
      <c r="H5200" t="str">
        <f>TEXT(Tabela1[[#This Row],[Coluna2]]*29,"mmmm")</f>
        <v>dezembro</v>
      </c>
      <c r="I5200" t="str">
        <f>TEXT(MONTH(Tabela1[[#This Row],[Último pagto ano]])*29,"mmmm")</f>
        <v>dezembro</v>
      </c>
    </row>
    <row r="5201" spans="1:9" x14ac:dyDescent="0.25">
      <c r="A5201">
        <v>2025</v>
      </c>
      <c r="B5201" t="s">
        <v>10357</v>
      </c>
      <c r="C5201" s="1">
        <v>45996</v>
      </c>
      <c r="D5201" t="s">
        <v>10358</v>
      </c>
      <c r="E5201" s="2">
        <v>5250</v>
      </c>
      <c r="G5201" s="3">
        <f>MONTH(Tabela1[[#This Row],[Último pagto ano]])</f>
        <v>12</v>
      </c>
      <c r="H5201" t="str">
        <f>TEXT(Tabela1[[#This Row],[Coluna2]]*29,"mmmm")</f>
        <v>dezembro</v>
      </c>
      <c r="I5201" t="str">
        <f>TEXT(MONTH(Tabela1[[#This Row],[Último pagto ano]])*29,"mmmm")</f>
        <v>dezembro</v>
      </c>
    </row>
    <row r="5202" spans="1:9" x14ac:dyDescent="0.25">
      <c r="A5202">
        <v>2025</v>
      </c>
      <c r="B5202" t="s">
        <v>10359</v>
      </c>
      <c r="C5202" s="1">
        <v>45807</v>
      </c>
      <c r="D5202" t="s">
        <v>10360</v>
      </c>
      <c r="E5202" s="2">
        <v>1768.89</v>
      </c>
      <c r="G5202" s="3">
        <f>MONTH(Tabela1[[#This Row],[Último pagto ano]])</f>
        <v>5</v>
      </c>
      <c r="H5202" t="str">
        <f>TEXT(Tabela1[[#This Row],[Coluna2]]*29,"mmmm")</f>
        <v>maio</v>
      </c>
      <c r="I5202" t="str">
        <f>TEXT(MONTH(Tabela1[[#This Row],[Último pagto ano]])*29,"mmmm")</f>
        <v>maio</v>
      </c>
    </row>
    <row r="5203" spans="1:9" x14ac:dyDescent="0.25">
      <c r="A5203">
        <v>2025</v>
      </c>
      <c r="B5203" t="s">
        <v>10361</v>
      </c>
      <c r="C5203" s="1">
        <v>45915</v>
      </c>
      <c r="D5203" t="s">
        <v>10362</v>
      </c>
      <c r="E5203" s="2">
        <v>3109.68</v>
      </c>
      <c r="G5203" s="3">
        <f>MONTH(Tabela1[[#This Row],[Último pagto ano]])</f>
        <v>9</v>
      </c>
      <c r="H5203" t="str">
        <f>TEXT(Tabela1[[#This Row],[Coluna2]]*29,"mmmm")</f>
        <v>setembro</v>
      </c>
      <c r="I5203" t="str">
        <f>TEXT(MONTH(Tabela1[[#This Row],[Último pagto ano]])*29,"mmmm")</f>
        <v>setembro</v>
      </c>
    </row>
    <row r="5204" spans="1:9" x14ac:dyDescent="0.25">
      <c r="A5204">
        <v>2025</v>
      </c>
      <c r="B5204" t="s">
        <v>10363</v>
      </c>
      <c r="C5204" s="1">
        <v>45996</v>
      </c>
      <c r="D5204" t="s">
        <v>10364</v>
      </c>
      <c r="E5204" s="2">
        <v>48580</v>
      </c>
      <c r="G5204" s="3">
        <f>MONTH(Tabela1[[#This Row],[Último pagto ano]])</f>
        <v>12</v>
      </c>
      <c r="H5204" t="str">
        <f>TEXT(Tabela1[[#This Row],[Coluna2]]*29,"mmmm")</f>
        <v>dezembro</v>
      </c>
      <c r="I5204" t="str">
        <f>TEXT(MONTH(Tabela1[[#This Row],[Último pagto ano]])*29,"mmmm")</f>
        <v>dezembro</v>
      </c>
    </row>
    <row r="5205" spans="1:9" x14ac:dyDescent="0.25">
      <c r="A5205">
        <v>2025</v>
      </c>
      <c r="B5205" t="s">
        <v>10365</v>
      </c>
      <c r="C5205" s="1">
        <v>45894</v>
      </c>
      <c r="D5205" t="s">
        <v>10366</v>
      </c>
      <c r="E5205">
        <v>10.4</v>
      </c>
      <c r="G5205" s="3">
        <f>MONTH(Tabela1[[#This Row],[Último pagto ano]])</f>
        <v>8</v>
      </c>
      <c r="H5205" t="str">
        <f>TEXT(Tabela1[[#This Row],[Coluna2]]*29,"mmmm")</f>
        <v>agosto</v>
      </c>
      <c r="I5205" t="str">
        <f>TEXT(MONTH(Tabela1[[#This Row],[Último pagto ano]])*29,"mmmm")</f>
        <v>agosto</v>
      </c>
    </row>
    <row r="5206" spans="1:9" x14ac:dyDescent="0.25">
      <c r="A5206">
        <v>2025</v>
      </c>
      <c r="B5206" t="s">
        <v>10367</v>
      </c>
      <c r="C5206" s="1">
        <v>45999</v>
      </c>
      <c r="D5206" t="s">
        <v>10368</v>
      </c>
      <c r="E5206">
        <v>251.8</v>
      </c>
      <c r="G5206" s="3">
        <f>MONTH(Tabela1[[#This Row],[Último pagto ano]])</f>
        <v>12</v>
      </c>
      <c r="H5206" t="str">
        <f>TEXT(Tabela1[[#This Row],[Coluna2]]*29,"mmmm")</f>
        <v>dezembro</v>
      </c>
      <c r="I5206" t="str">
        <f>TEXT(MONTH(Tabela1[[#This Row],[Último pagto ano]])*29,"mmmm")</f>
        <v>dezembro</v>
      </c>
    </row>
    <row r="5207" spans="1:9" x14ac:dyDescent="0.25">
      <c r="A5207">
        <v>2025</v>
      </c>
      <c r="B5207" t="s">
        <v>10369</v>
      </c>
      <c r="C5207" s="1">
        <v>45988</v>
      </c>
      <c r="D5207" t="s">
        <v>10370</v>
      </c>
      <c r="E5207" s="2">
        <v>5000</v>
      </c>
      <c r="G5207" s="3">
        <f>MONTH(Tabela1[[#This Row],[Último pagto ano]])</f>
        <v>11</v>
      </c>
      <c r="H5207" t="str">
        <f>TEXT(Tabela1[[#This Row],[Coluna2]]*29,"mmmm")</f>
        <v>novembro</v>
      </c>
      <c r="I5207" t="str">
        <f>TEXT(MONTH(Tabela1[[#This Row],[Último pagto ano]])*29,"mmmm")</f>
        <v>novembro</v>
      </c>
    </row>
    <row r="5208" spans="1:9" x14ac:dyDescent="0.25">
      <c r="A5208">
        <v>2025</v>
      </c>
      <c r="B5208" t="s">
        <v>10371</v>
      </c>
      <c r="C5208" s="1">
        <v>46006</v>
      </c>
      <c r="D5208" t="s">
        <v>10372</v>
      </c>
      <c r="E5208" s="2">
        <v>10500.4</v>
      </c>
      <c r="G5208" s="3">
        <f>MONTH(Tabela1[[#This Row],[Último pagto ano]])</f>
        <v>12</v>
      </c>
      <c r="H5208" t="str">
        <f>TEXT(Tabela1[[#This Row],[Coluna2]]*29,"mmmm")</f>
        <v>dezembro</v>
      </c>
      <c r="I5208" t="str">
        <f>TEXT(MONTH(Tabela1[[#This Row],[Último pagto ano]])*29,"mmmm")</f>
        <v>dezembro</v>
      </c>
    </row>
    <row r="5209" spans="1:9" x14ac:dyDescent="0.25">
      <c r="A5209">
        <v>2025</v>
      </c>
      <c r="B5209" t="s">
        <v>10373</v>
      </c>
      <c r="C5209" s="1">
        <v>45674</v>
      </c>
      <c r="D5209" t="s">
        <v>10374</v>
      </c>
      <c r="E5209" s="2">
        <v>6601.92</v>
      </c>
      <c r="G5209" s="3">
        <f>MONTH(Tabela1[[#This Row],[Último pagto ano]])</f>
        <v>1</v>
      </c>
      <c r="H5209" t="str">
        <f>TEXT(Tabela1[[#This Row],[Coluna2]]*29,"mmmm")</f>
        <v>janeiro</v>
      </c>
      <c r="I5209" t="str">
        <f>TEXT(MONTH(Tabela1[[#This Row],[Último pagto ano]])*29,"mmmm")</f>
        <v>janeiro</v>
      </c>
    </row>
    <row r="5210" spans="1:9" x14ac:dyDescent="0.25">
      <c r="A5210">
        <v>2025</v>
      </c>
      <c r="B5210" t="s">
        <v>10375</v>
      </c>
      <c r="C5210" s="1">
        <v>45747</v>
      </c>
      <c r="D5210" t="s">
        <v>10376</v>
      </c>
      <c r="E5210">
        <v>33</v>
      </c>
      <c r="G5210" s="3">
        <f>MONTH(Tabela1[[#This Row],[Último pagto ano]])</f>
        <v>3</v>
      </c>
      <c r="H5210" t="str">
        <f>TEXT(Tabela1[[#This Row],[Coluna2]]*29,"mmmm")</f>
        <v>março</v>
      </c>
      <c r="I5210" t="str">
        <f>TEXT(MONTH(Tabela1[[#This Row],[Último pagto ano]])*29,"mmmm")</f>
        <v>março</v>
      </c>
    </row>
    <row r="5211" spans="1:9" x14ac:dyDescent="0.25">
      <c r="A5211">
        <v>2025</v>
      </c>
      <c r="B5211" t="s">
        <v>10377</v>
      </c>
      <c r="C5211" s="1">
        <v>46006</v>
      </c>
      <c r="D5211" t="s">
        <v>10378</v>
      </c>
      <c r="E5211" s="2">
        <v>7000</v>
      </c>
      <c r="G5211" s="3">
        <f>MONTH(Tabela1[[#This Row],[Último pagto ano]])</f>
        <v>12</v>
      </c>
      <c r="H5211" t="str">
        <f>TEXT(Tabela1[[#This Row],[Coluna2]]*29,"mmmm")</f>
        <v>dezembro</v>
      </c>
      <c r="I5211" t="str">
        <f>TEXT(MONTH(Tabela1[[#This Row],[Último pagto ano]])*29,"mmmm")</f>
        <v>dezembro</v>
      </c>
    </row>
    <row r="5212" spans="1:9" x14ac:dyDescent="0.25">
      <c r="A5212">
        <v>2025</v>
      </c>
      <c r="B5212" t="s">
        <v>10379</v>
      </c>
      <c r="C5212" s="1">
        <v>45702</v>
      </c>
      <c r="D5212" t="s">
        <v>10380</v>
      </c>
      <c r="E5212">
        <v>27.2</v>
      </c>
      <c r="G5212" s="3">
        <f>MONTH(Tabela1[[#This Row],[Último pagto ano]])</f>
        <v>2</v>
      </c>
      <c r="H5212" t="str">
        <f>TEXT(Tabela1[[#This Row],[Coluna2]]*29,"mmmm")</f>
        <v>fevereiro</v>
      </c>
      <c r="I5212" t="str">
        <f>TEXT(MONTH(Tabela1[[#This Row],[Último pagto ano]])*29,"mmmm")</f>
        <v>fevereiro</v>
      </c>
    </row>
    <row r="5213" spans="1:9" x14ac:dyDescent="0.25">
      <c r="A5213">
        <v>2025</v>
      </c>
      <c r="B5213" t="s">
        <v>10381</v>
      </c>
      <c r="C5213" s="1">
        <v>45890</v>
      </c>
      <c r="D5213" t="s">
        <v>10382</v>
      </c>
      <c r="E5213" s="2">
        <v>3693.36</v>
      </c>
      <c r="G5213" s="3">
        <f>MONTH(Tabela1[[#This Row],[Último pagto ano]])</f>
        <v>8</v>
      </c>
      <c r="H5213" t="str">
        <f>TEXT(Tabela1[[#This Row],[Coluna2]]*29,"mmmm")</f>
        <v>agosto</v>
      </c>
      <c r="I5213" t="str">
        <f>TEXT(MONTH(Tabela1[[#This Row],[Último pagto ano]])*29,"mmmm")</f>
        <v>agosto</v>
      </c>
    </row>
    <row r="5214" spans="1:9" x14ac:dyDescent="0.25">
      <c r="A5214">
        <v>2025</v>
      </c>
      <c r="B5214" t="s">
        <v>10383</v>
      </c>
      <c r="C5214" s="1">
        <v>45996</v>
      </c>
      <c r="D5214" t="s">
        <v>10384</v>
      </c>
      <c r="E5214" s="2">
        <v>114941.61</v>
      </c>
      <c r="G5214" s="3">
        <f>MONTH(Tabela1[[#This Row],[Último pagto ano]])</f>
        <v>12</v>
      </c>
      <c r="H5214" t="str">
        <f>TEXT(Tabela1[[#This Row],[Coluna2]]*29,"mmmm")</f>
        <v>dezembro</v>
      </c>
      <c r="I5214" t="str">
        <f>TEXT(MONTH(Tabela1[[#This Row],[Último pagto ano]])*29,"mmmm")</f>
        <v>dezembro</v>
      </c>
    </row>
    <row r="5215" spans="1:9" x14ac:dyDescent="0.25">
      <c r="A5215">
        <v>2025</v>
      </c>
      <c r="B5215" t="s">
        <v>10385</v>
      </c>
      <c r="C5215" s="1">
        <v>46021</v>
      </c>
      <c r="D5215" t="s">
        <v>10386</v>
      </c>
      <c r="E5215" s="2">
        <v>24397.81</v>
      </c>
      <c r="G5215" s="3">
        <f>MONTH(Tabela1[[#This Row],[Último pagto ano]])</f>
        <v>12</v>
      </c>
      <c r="H5215" t="str">
        <f>TEXT(Tabela1[[#This Row],[Coluna2]]*29,"mmmm")</f>
        <v>dezembro</v>
      </c>
      <c r="I5215" t="str">
        <f>TEXT(MONTH(Tabela1[[#This Row],[Último pagto ano]])*29,"mmmm")</f>
        <v>dezembro</v>
      </c>
    </row>
    <row r="5216" spans="1:9" x14ac:dyDescent="0.25">
      <c r="A5216">
        <v>2025</v>
      </c>
      <c r="B5216" t="s">
        <v>10387</v>
      </c>
      <c r="C5216" s="1">
        <v>45912</v>
      </c>
      <c r="D5216" t="s">
        <v>10388</v>
      </c>
      <c r="E5216" s="2">
        <v>1472.47</v>
      </c>
      <c r="G5216" s="3">
        <f>MONTH(Tabela1[[#This Row],[Último pagto ano]])</f>
        <v>9</v>
      </c>
      <c r="H5216" t="str">
        <f>TEXT(Tabela1[[#This Row],[Coluna2]]*29,"mmmm")</f>
        <v>setembro</v>
      </c>
      <c r="I5216" t="str">
        <f>TEXT(MONTH(Tabela1[[#This Row],[Último pagto ano]])*29,"mmmm")</f>
        <v>setembro</v>
      </c>
    </row>
    <row r="5217" spans="1:9" x14ac:dyDescent="0.25">
      <c r="A5217">
        <v>2025</v>
      </c>
      <c r="B5217" t="s">
        <v>10389</v>
      </c>
      <c r="C5217" s="1">
        <v>46013</v>
      </c>
      <c r="D5217" t="s">
        <v>10390</v>
      </c>
      <c r="E5217" s="2">
        <v>5421.6</v>
      </c>
      <c r="G5217" s="3">
        <f>MONTH(Tabela1[[#This Row],[Último pagto ano]])</f>
        <v>12</v>
      </c>
      <c r="H5217" t="str">
        <f>TEXT(Tabela1[[#This Row],[Coluna2]]*29,"mmmm")</f>
        <v>dezembro</v>
      </c>
      <c r="I5217" t="str">
        <f>TEXT(MONTH(Tabela1[[#This Row],[Último pagto ano]])*29,"mmmm")</f>
        <v>dezembro</v>
      </c>
    </row>
    <row r="5218" spans="1:9" x14ac:dyDescent="0.25">
      <c r="A5218">
        <v>2025</v>
      </c>
      <c r="B5218" t="s">
        <v>10391</v>
      </c>
      <c r="C5218" s="1">
        <v>46010</v>
      </c>
      <c r="D5218" t="s">
        <v>10392</v>
      </c>
      <c r="E5218" s="2">
        <v>13016.6</v>
      </c>
      <c r="G5218" s="3">
        <f>MONTH(Tabela1[[#This Row],[Último pagto ano]])</f>
        <v>12</v>
      </c>
      <c r="H5218" t="str">
        <f>TEXT(Tabela1[[#This Row],[Coluna2]]*29,"mmmm")</f>
        <v>dezembro</v>
      </c>
      <c r="I5218" t="str">
        <f>TEXT(MONTH(Tabela1[[#This Row],[Último pagto ano]])*29,"mmmm")</f>
        <v>dezembro</v>
      </c>
    </row>
    <row r="5219" spans="1:9" x14ac:dyDescent="0.25">
      <c r="A5219">
        <v>2025</v>
      </c>
      <c r="B5219" t="s">
        <v>10393</v>
      </c>
      <c r="C5219" s="1">
        <v>45866</v>
      </c>
      <c r="D5219" t="s">
        <v>10394</v>
      </c>
      <c r="E5219" s="2">
        <v>9361.7999999999993</v>
      </c>
      <c r="G5219" s="3">
        <f>MONTH(Tabela1[[#This Row],[Último pagto ano]])</f>
        <v>7</v>
      </c>
      <c r="H5219" t="str">
        <f>TEXT(Tabela1[[#This Row],[Coluna2]]*29,"mmmm")</f>
        <v>julho</v>
      </c>
      <c r="I5219" t="str">
        <f>TEXT(MONTH(Tabela1[[#This Row],[Último pagto ano]])*29,"mmmm")</f>
        <v>julho</v>
      </c>
    </row>
    <row r="5220" spans="1:9" x14ac:dyDescent="0.25">
      <c r="A5220">
        <v>2025</v>
      </c>
      <c r="B5220" t="s">
        <v>10395</v>
      </c>
      <c r="C5220" s="1">
        <v>45796</v>
      </c>
      <c r="D5220" t="s">
        <v>10396</v>
      </c>
      <c r="E5220">
        <v>160</v>
      </c>
      <c r="G5220" s="3">
        <f>MONTH(Tabela1[[#This Row],[Último pagto ano]])</f>
        <v>5</v>
      </c>
      <c r="H5220" t="str">
        <f>TEXT(Tabela1[[#This Row],[Coluna2]]*29,"mmmm")</f>
        <v>maio</v>
      </c>
      <c r="I5220" t="str">
        <f>TEXT(MONTH(Tabela1[[#This Row],[Último pagto ano]])*29,"mmmm")</f>
        <v>maio</v>
      </c>
    </row>
    <row r="5221" spans="1:9" x14ac:dyDescent="0.25">
      <c r="A5221">
        <v>2025</v>
      </c>
      <c r="B5221" t="s">
        <v>10397</v>
      </c>
      <c r="C5221" s="1">
        <v>46010</v>
      </c>
      <c r="D5221" t="s">
        <v>10398</v>
      </c>
      <c r="E5221" s="2">
        <v>12000</v>
      </c>
      <c r="G5221" s="3">
        <f>MONTH(Tabela1[[#This Row],[Último pagto ano]])</f>
        <v>12</v>
      </c>
      <c r="H5221" t="str">
        <f>TEXT(Tabela1[[#This Row],[Coluna2]]*29,"mmmm")</f>
        <v>dezembro</v>
      </c>
      <c r="I5221" t="str">
        <f>TEXT(MONTH(Tabela1[[#This Row],[Último pagto ano]])*29,"mmmm")</f>
        <v>dezembro</v>
      </c>
    </row>
    <row r="5222" spans="1:9" x14ac:dyDescent="0.25">
      <c r="A5222">
        <v>2025</v>
      </c>
      <c r="B5222" t="s">
        <v>10399</v>
      </c>
      <c r="C5222" s="1">
        <v>45853</v>
      </c>
      <c r="D5222" t="s">
        <v>10400</v>
      </c>
      <c r="E5222" s="2">
        <v>5922.56</v>
      </c>
      <c r="G5222" s="3">
        <f>MONTH(Tabela1[[#This Row],[Último pagto ano]])</f>
        <v>7</v>
      </c>
      <c r="H5222" t="str">
        <f>TEXT(Tabela1[[#This Row],[Coluna2]]*29,"mmmm")</f>
        <v>julho</v>
      </c>
      <c r="I5222" t="str">
        <f>TEXT(MONTH(Tabela1[[#This Row],[Último pagto ano]])*29,"mmmm")</f>
        <v>julho</v>
      </c>
    </row>
    <row r="5223" spans="1:9" x14ac:dyDescent="0.25">
      <c r="A5223">
        <v>2025</v>
      </c>
      <c r="B5223" t="s">
        <v>10401</v>
      </c>
      <c r="C5223" s="1">
        <v>46006</v>
      </c>
      <c r="D5223" t="s">
        <v>10402</v>
      </c>
      <c r="E5223" s="2">
        <v>24353.52</v>
      </c>
      <c r="G5223" s="3">
        <f>MONTH(Tabela1[[#This Row],[Último pagto ano]])</f>
        <v>12</v>
      </c>
      <c r="H5223" t="str">
        <f>TEXT(Tabela1[[#This Row],[Coluna2]]*29,"mmmm")</f>
        <v>dezembro</v>
      </c>
      <c r="I5223" t="str">
        <f>TEXT(MONTH(Tabela1[[#This Row],[Último pagto ano]])*29,"mmmm")</f>
        <v>dezembro</v>
      </c>
    </row>
    <row r="5224" spans="1:9" x14ac:dyDescent="0.25">
      <c r="A5224">
        <v>2025</v>
      </c>
      <c r="B5224" t="s">
        <v>10403</v>
      </c>
      <c r="C5224" s="1">
        <v>46006</v>
      </c>
      <c r="D5224" t="s">
        <v>10404</v>
      </c>
      <c r="E5224">
        <v>888.48</v>
      </c>
      <c r="G5224" s="3">
        <f>MONTH(Tabela1[[#This Row],[Último pagto ano]])</f>
        <v>12</v>
      </c>
      <c r="H5224" t="str">
        <f>TEXT(Tabela1[[#This Row],[Coluna2]]*29,"mmmm")</f>
        <v>dezembro</v>
      </c>
      <c r="I5224" t="str">
        <f>TEXT(MONTH(Tabela1[[#This Row],[Último pagto ano]])*29,"mmmm")</f>
        <v>dezembro</v>
      </c>
    </row>
    <row r="5225" spans="1:9" x14ac:dyDescent="0.25">
      <c r="A5225">
        <v>2025</v>
      </c>
      <c r="B5225" t="s">
        <v>10405</v>
      </c>
      <c r="C5225" s="1">
        <v>45996</v>
      </c>
      <c r="D5225" t="s">
        <v>10406</v>
      </c>
      <c r="E5225" s="2">
        <v>64618.400000000001</v>
      </c>
      <c r="G5225" s="3">
        <f>MONTH(Tabela1[[#This Row],[Último pagto ano]])</f>
        <v>12</v>
      </c>
      <c r="H5225" t="str">
        <f>TEXT(Tabela1[[#This Row],[Coluna2]]*29,"mmmm")</f>
        <v>dezembro</v>
      </c>
      <c r="I5225" t="str">
        <f>TEXT(MONTH(Tabela1[[#This Row],[Último pagto ano]])*29,"mmmm")</f>
        <v>dezembro</v>
      </c>
    </row>
    <row r="5226" spans="1:9" x14ac:dyDescent="0.25">
      <c r="A5226">
        <v>2025</v>
      </c>
      <c r="B5226" t="s">
        <v>10407</v>
      </c>
      <c r="C5226" s="1">
        <v>45744</v>
      </c>
      <c r="D5226" t="s">
        <v>10408</v>
      </c>
      <c r="E5226" s="2">
        <v>98488.78</v>
      </c>
      <c r="G5226" s="3">
        <f>MONTH(Tabela1[[#This Row],[Último pagto ano]])</f>
        <v>3</v>
      </c>
      <c r="H5226" t="str">
        <f>TEXT(Tabela1[[#This Row],[Coluna2]]*29,"mmmm")</f>
        <v>março</v>
      </c>
      <c r="I5226" t="str">
        <f>TEXT(MONTH(Tabela1[[#This Row],[Último pagto ano]])*29,"mmmm")</f>
        <v>março</v>
      </c>
    </row>
    <row r="5227" spans="1:9" x14ac:dyDescent="0.25">
      <c r="A5227">
        <v>2025</v>
      </c>
      <c r="B5227" t="s">
        <v>10409</v>
      </c>
      <c r="C5227" s="1">
        <v>45898</v>
      </c>
      <c r="D5227" t="s">
        <v>10410</v>
      </c>
      <c r="E5227">
        <v>740.67</v>
      </c>
      <c r="G5227" s="3">
        <f>MONTH(Tabela1[[#This Row],[Último pagto ano]])</f>
        <v>8</v>
      </c>
      <c r="H5227" t="str">
        <f>TEXT(Tabela1[[#This Row],[Coluna2]]*29,"mmmm")</f>
        <v>agosto</v>
      </c>
      <c r="I5227" t="str">
        <f>TEXT(MONTH(Tabela1[[#This Row],[Último pagto ano]])*29,"mmmm")</f>
        <v>agosto</v>
      </c>
    </row>
    <row r="5228" spans="1:9" x14ac:dyDescent="0.25">
      <c r="A5228">
        <v>2025</v>
      </c>
      <c r="B5228" t="s">
        <v>10411</v>
      </c>
      <c r="C5228" s="1">
        <v>45996</v>
      </c>
      <c r="D5228" t="s">
        <v>10412</v>
      </c>
      <c r="E5228" s="2">
        <v>1575</v>
      </c>
      <c r="G5228" s="3">
        <f>MONTH(Tabela1[[#This Row],[Último pagto ano]])</f>
        <v>12</v>
      </c>
      <c r="H5228" t="str">
        <f>TEXT(Tabela1[[#This Row],[Coluna2]]*29,"mmmm")</f>
        <v>dezembro</v>
      </c>
      <c r="I5228" t="str">
        <f>TEXT(MONTH(Tabela1[[#This Row],[Último pagto ano]])*29,"mmmm")</f>
        <v>dezembro</v>
      </c>
    </row>
    <row r="5229" spans="1:9" x14ac:dyDescent="0.25">
      <c r="A5229">
        <v>2025</v>
      </c>
      <c r="B5229" t="s">
        <v>10413</v>
      </c>
      <c r="C5229" s="1">
        <v>45702</v>
      </c>
      <c r="D5229" t="s">
        <v>10414</v>
      </c>
      <c r="E5229">
        <v>159.06</v>
      </c>
      <c r="G5229" s="3">
        <f>MONTH(Tabela1[[#This Row],[Último pagto ano]])</f>
        <v>2</v>
      </c>
      <c r="H5229" t="str">
        <f>TEXT(Tabela1[[#This Row],[Coluna2]]*29,"mmmm")</f>
        <v>fevereiro</v>
      </c>
      <c r="I5229" t="str">
        <f>TEXT(MONTH(Tabela1[[#This Row],[Último pagto ano]])*29,"mmmm")</f>
        <v>fevereiro</v>
      </c>
    </row>
    <row r="5230" spans="1:9" x14ac:dyDescent="0.25">
      <c r="A5230">
        <v>2025</v>
      </c>
      <c r="B5230" t="s">
        <v>10415</v>
      </c>
      <c r="C5230" s="1">
        <v>45929</v>
      </c>
      <c r="D5230" t="s">
        <v>10416</v>
      </c>
      <c r="E5230">
        <v>44</v>
      </c>
      <c r="G5230" s="3">
        <f>MONTH(Tabela1[[#This Row],[Último pagto ano]])</f>
        <v>9</v>
      </c>
      <c r="H5230" t="str">
        <f>TEXT(Tabela1[[#This Row],[Coluna2]]*29,"mmmm")</f>
        <v>setembro</v>
      </c>
      <c r="I5230" t="str">
        <f>TEXT(MONTH(Tabela1[[#This Row],[Último pagto ano]])*29,"mmmm")</f>
        <v>setembro</v>
      </c>
    </row>
    <row r="5231" spans="1:9" x14ac:dyDescent="0.25">
      <c r="A5231">
        <v>2025</v>
      </c>
      <c r="B5231" t="s">
        <v>10417</v>
      </c>
      <c r="C5231" s="1">
        <v>46010</v>
      </c>
      <c r="D5231" t="s">
        <v>10418</v>
      </c>
      <c r="E5231" s="2">
        <v>8400</v>
      </c>
      <c r="G5231" s="3">
        <f>MONTH(Tabela1[[#This Row],[Último pagto ano]])</f>
        <v>12</v>
      </c>
      <c r="H5231" t="str">
        <f>TEXT(Tabela1[[#This Row],[Coluna2]]*29,"mmmm")</f>
        <v>dezembro</v>
      </c>
      <c r="I5231" t="str">
        <f>TEXT(MONTH(Tabela1[[#This Row],[Último pagto ano]])*29,"mmmm")</f>
        <v>dezembro</v>
      </c>
    </row>
    <row r="5232" spans="1:9" x14ac:dyDescent="0.25">
      <c r="A5232">
        <v>2025</v>
      </c>
      <c r="B5232" t="s">
        <v>10419</v>
      </c>
      <c r="C5232" s="1">
        <v>45890</v>
      </c>
      <c r="D5232" t="s">
        <v>10420</v>
      </c>
      <c r="E5232" s="2">
        <v>2677.85</v>
      </c>
      <c r="G5232" s="3">
        <f>MONTH(Tabela1[[#This Row],[Último pagto ano]])</f>
        <v>8</v>
      </c>
      <c r="H5232" t="str">
        <f>TEXT(Tabela1[[#This Row],[Coluna2]]*29,"mmmm")</f>
        <v>agosto</v>
      </c>
      <c r="I5232" t="str">
        <f>TEXT(MONTH(Tabela1[[#This Row],[Último pagto ano]])*29,"mmmm")</f>
        <v>agosto</v>
      </c>
    </row>
    <row r="5233" spans="1:9" x14ac:dyDescent="0.25">
      <c r="A5233">
        <v>2025</v>
      </c>
      <c r="B5233" t="s">
        <v>10421</v>
      </c>
      <c r="C5233" s="1">
        <v>46014</v>
      </c>
      <c r="D5233" t="s">
        <v>10422</v>
      </c>
      <c r="E5233">
        <v>198</v>
      </c>
      <c r="G5233" s="3">
        <f>MONTH(Tabela1[[#This Row],[Último pagto ano]])</f>
        <v>12</v>
      </c>
      <c r="H5233" t="str">
        <f>TEXT(Tabela1[[#This Row],[Coluna2]]*29,"mmmm")</f>
        <v>dezembro</v>
      </c>
      <c r="I5233" t="str">
        <f>TEXT(MONTH(Tabela1[[#This Row],[Último pagto ano]])*29,"mmmm")</f>
        <v>dezembro</v>
      </c>
    </row>
    <row r="5234" spans="1:9" x14ac:dyDescent="0.25">
      <c r="A5234">
        <v>2025</v>
      </c>
      <c r="B5234" t="s">
        <v>10423</v>
      </c>
      <c r="C5234" s="1">
        <v>45856</v>
      </c>
      <c r="D5234" t="s">
        <v>10424</v>
      </c>
      <c r="E5234" s="2">
        <v>2128.5500000000002</v>
      </c>
      <c r="G5234" s="3">
        <f>MONTH(Tabela1[[#This Row],[Último pagto ano]])</f>
        <v>7</v>
      </c>
      <c r="H5234" t="str">
        <f>TEXT(Tabela1[[#This Row],[Coluna2]]*29,"mmmm")</f>
        <v>julho</v>
      </c>
      <c r="I5234" t="str">
        <f>TEXT(MONTH(Tabela1[[#This Row],[Último pagto ano]])*29,"mmmm")</f>
        <v>julho</v>
      </c>
    </row>
    <row r="5235" spans="1:9" x14ac:dyDescent="0.25">
      <c r="A5235">
        <v>2025</v>
      </c>
      <c r="B5235" t="s">
        <v>10425</v>
      </c>
      <c r="C5235" s="1">
        <v>45912</v>
      </c>
      <c r="D5235" t="s">
        <v>10426</v>
      </c>
      <c r="E5235" s="2">
        <v>4621.17</v>
      </c>
      <c r="G5235" s="3">
        <f>MONTH(Tabela1[[#This Row],[Último pagto ano]])</f>
        <v>9</v>
      </c>
      <c r="H5235" t="str">
        <f>TEXT(Tabela1[[#This Row],[Coluna2]]*29,"mmmm")</f>
        <v>setembro</v>
      </c>
      <c r="I5235" t="str">
        <f>TEXT(MONTH(Tabela1[[#This Row],[Último pagto ano]])*29,"mmmm")</f>
        <v>setembro</v>
      </c>
    </row>
    <row r="5236" spans="1:9" x14ac:dyDescent="0.25">
      <c r="A5236">
        <v>2025</v>
      </c>
      <c r="B5236" t="s">
        <v>10427</v>
      </c>
      <c r="C5236" s="1">
        <v>46009</v>
      </c>
      <c r="D5236" t="s">
        <v>10428</v>
      </c>
      <c r="E5236" s="2">
        <v>10560</v>
      </c>
      <c r="G5236" s="3">
        <f>MONTH(Tabela1[[#This Row],[Último pagto ano]])</f>
        <v>12</v>
      </c>
      <c r="H5236" t="str">
        <f>TEXT(Tabela1[[#This Row],[Coluna2]]*29,"mmmm")</f>
        <v>dezembro</v>
      </c>
      <c r="I5236" t="str">
        <f>TEXT(MONTH(Tabela1[[#This Row],[Último pagto ano]])*29,"mmmm")</f>
        <v>dezembro</v>
      </c>
    </row>
    <row r="5237" spans="1:9" x14ac:dyDescent="0.25">
      <c r="A5237">
        <v>2025</v>
      </c>
      <c r="B5237" t="s">
        <v>10429</v>
      </c>
      <c r="C5237" s="1">
        <v>45726</v>
      </c>
      <c r="D5237" t="s">
        <v>10430</v>
      </c>
      <c r="E5237">
        <v>176.08</v>
      </c>
      <c r="G5237" s="3">
        <f>MONTH(Tabela1[[#This Row],[Último pagto ano]])</f>
        <v>3</v>
      </c>
      <c r="H5237" t="str">
        <f>TEXT(Tabela1[[#This Row],[Coluna2]]*29,"mmmm")</f>
        <v>março</v>
      </c>
      <c r="I5237" t="str">
        <f>TEXT(MONTH(Tabela1[[#This Row],[Último pagto ano]])*29,"mmmm")</f>
        <v>março</v>
      </c>
    </row>
    <row r="5238" spans="1:9" x14ac:dyDescent="0.25">
      <c r="A5238">
        <v>2025</v>
      </c>
      <c r="B5238" t="s">
        <v>10431</v>
      </c>
      <c r="C5238" s="1">
        <v>45996</v>
      </c>
      <c r="D5238" t="s">
        <v>10432</v>
      </c>
      <c r="E5238" s="2">
        <v>64800</v>
      </c>
      <c r="G5238" s="3">
        <f>MONTH(Tabela1[[#This Row],[Último pagto ano]])</f>
        <v>12</v>
      </c>
      <c r="H5238" t="str">
        <f>TEXT(Tabela1[[#This Row],[Coluna2]]*29,"mmmm")</f>
        <v>dezembro</v>
      </c>
      <c r="I5238" t="str">
        <f>TEXT(MONTH(Tabela1[[#This Row],[Último pagto ano]])*29,"mmmm")</f>
        <v>dezembro</v>
      </c>
    </row>
    <row r="5239" spans="1:9" x14ac:dyDescent="0.25">
      <c r="A5239">
        <v>2025</v>
      </c>
      <c r="B5239" t="s">
        <v>10433</v>
      </c>
      <c r="C5239" s="1">
        <v>45726</v>
      </c>
      <c r="D5239" t="s">
        <v>10434</v>
      </c>
      <c r="E5239">
        <v>243.64</v>
      </c>
      <c r="G5239" s="3">
        <f>MONTH(Tabela1[[#This Row],[Último pagto ano]])</f>
        <v>3</v>
      </c>
      <c r="H5239" t="str">
        <f>TEXT(Tabela1[[#This Row],[Coluna2]]*29,"mmmm")</f>
        <v>março</v>
      </c>
      <c r="I5239" t="str">
        <f>TEXT(MONTH(Tabela1[[#This Row],[Último pagto ano]])*29,"mmmm")</f>
        <v>março</v>
      </c>
    </row>
    <row r="5240" spans="1:9" x14ac:dyDescent="0.25">
      <c r="A5240">
        <v>2025</v>
      </c>
      <c r="B5240" t="s">
        <v>10435</v>
      </c>
      <c r="C5240" s="1">
        <v>46014</v>
      </c>
      <c r="D5240" t="s">
        <v>10436</v>
      </c>
      <c r="E5240" s="2">
        <v>16650</v>
      </c>
      <c r="G5240" s="3">
        <f>MONTH(Tabela1[[#This Row],[Último pagto ano]])</f>
        <v>12</v>
      </c>
      <c r="H5240" t="str">
        <f>TEXT(Tabela1[[#This Row],[Coluna2]]*29,"mmmm")</f>
        <v>dezembro</v>
      </c>
      <c r="I5240" t="str">
        <f>TEXT(MONTH(Tabela1[[#This Row],[Último pagto ano]])*29,"mmmm")</f>
        <v>dezembro</v>
      </c>
    </row>
    <row r="5241" spans="1:9" x14ac:dyDescent="0.25">
      <c r="A5241">
        <v>2025</v>
      </c>
      <c r="B5241" t="s">
        <v>10437</v>
      </c>
      <c r="C5241" s="1">
        <v>45884</v>
      </c>
      <c r="D5241" t="s">
        <v>10438</v>
      </c>
      <c r="E5241" s="2">
        <v>5304.32</v>
      </c>
      <c r="G5241" s="3">
        <f>MONTH(Tabela1[[#This Row],[Último pagto ano]])</f>
        <v>8</v>
      </c>
      <c r="H5241" t="str">
        <f>TEXT(Tabela1[[#This Row],[Coluna2]]*29,"mmmm")</f>
        <v>agosto</v>
      </c>
      <c r="I5241" t="str">
        <f>TEXT(MONTH(Tabela1[[#This Row],[Último pagto ano]])*29,"mmmm")</f>
        <v>agosto</v>
      </c>
    </row>
    <row r="5242" spans="1:9" x14ac:dyDescent="0.25">
      <c r="A5242">
        <v>2025</v>
      </c>
      <c r="B5242" t="s">
        <v>10439</v>
      </c>
      <c r="C5242" s="1">
        <v>46013</v>
      </c>
      <c r="D5242" t="s">
        <v>10440</v>
      </c>
      <c r="E5242" s="2">
        <v>15470</v>
      </c>
      <c r="G5242" s="3">
        <f>MONTH(Tabela1[[#This Row],[Último pagto ano]])</f>
        <v>12</v>
      </c>
      <c r="H5242" t="str">
        <f>TEXT(Tabela1[[#This Row],[Coluna2]]*29,"mmmm")</f>
        <v>dezembro</v>
      </c>
      <c r="I5242" t="str">
        <f>TEXT(MONTH(Tabela1[[#This Row],[Último pagto ano]])*29,"mmmm")</f>
        <v>dezembro</v>
      </c>
    </row>
    <row r="5243" spans="1:9" x14ac:dyDescent="0.25">
      <c r="A5243">
        <v>2025</v>
      </c>
      <c r="B5243" t="s">
        <v>10441</v>
      </c>
      <c r="C5243" s="1">
        <v>46007</v>
      </c>
      <c r="D5243" t="s">
        <v>10442</v>
      </c>
      <c r="E5243" s="2">
        <v>106061.44</v>
      </c>
      <c r="G5243" s="3">
        <f>MONTH(Tabela1[[#This Row],[Último pagto ano]])</f>
        <v>12</v>
      </c>
      <c r="H5243" t="str">
        <f>TEXT(Tabela1[[#This Row],[Coluna2]]*29,"mmmm")</f>
        <v>dezembro</v>
      </c>
      <c r="I5243" t="str">
        <f>TEXT(MONTH(Tabela1[[#This Row],[Último pagto ano]])*29,"mmmm")</f>
        <v>dezembro</v>
      </c>
    </row>
    <row r="5244" spans="1:9" x14ac:dyDescent="0.25">
      <c r="A5244">
        <v>2025</v>
      </c>
      <c r="B5244" t="s">
        <v>10443</v>
      </c>
      <c r="C5244" s="1">
        <v>45996</v>
      </c>
      <c r="D5244" t="s">
        <v>10444</v>
      </c>
      <c r="E5244" s="2">
        <v>4500</v>
      </c>
      <c r="G5244" s="3">
        <f>MONTH(Tabela1[[#This Row],[Último pagto ano]])</f>
        <v>12</v>
      </c>
      <c r="H5244" t="str">
        <f>TEXT(Tabela1[[#This Row],[Coluna2]]*29,"mmmm")</f>
        <v>dezembro</v>
      </c>
      <c r="I5244" t="str">
        <f>TEXT(MONTH(Tabela1[[#This Row],[Último pagto ano]])*29,"mmmm")</f>
        <v>dezembro</v>
      </c>
    </row>
    <row r="5245" spans="1:9" x14ac:dyDescent="0.25">
      <c r="A5245">
        <v>2025</v>
      </c>
      <c r="B5245" t="s">
        <v>10445</v>
      </c>
      <c r="C5245" s="1">
        <v>45964</v>
      </c>
      <c r="D5245" t="s">
        <v>10446</v>
      </c>
      <c r="E5245">
        <v>88</v>
      </c>
      <c r="G5245" s="3">
        <f>MONTH(Tabela1[[#This Row],[Último pagto ano]])</f>
        <v>11</v>
      </c>
      <c r="H5245" t="str">
        <f>TEXT(Tabela1[[#This Row],[Coluna2]]*29,"mmmm")</f>
        <v>novembro</v>
      </c>
      <c r="I5245" t="str">
        <f>TEXT(MONTH(Tabela1[[#This Row],[Último pagto ano]])*29,"mmmm")</f>
        <v>novembro</v>
      </c>
    </row>
    <row r="5246" spans="1:9" x14ac:dyDescent="0.25">
      <c r="A5246">
        <v>2025</v>
      </c>
      <c r="B5246" t="s">
        <v>10447</v>
      </c>
      <c r="C5246" s="1">
        <v>45716</v>
      </c>
      <c r="D5246" t="s">
        <v>10448</v>
      </c>
      <c r="E5246" s="2">
        <v>1793.57</v>
      </c>
      <c r="G5246" s="3">
        <f>MONTH(Tabela1[[#This Row],[Último pagto ano]])</f>
        <v>2</v>
      </c>
      <c r="H5246" t="str">
        <f>TEXT(Tabela1[[#This Row],[Coluna2]]*29,"mmmm")</f>
        <v>fevereiro</v>
      </c>
      <c r="I5246" t="str">
        <f>TEXT(MONTH(Tabela1[[#This Row],[Último pagto ano]])*29,"mmmm")</f>
        <v>fevereiro</v>
      </c>
    </row>
    <row r="5247" spans="1:9" x14ac:dyDescent="0.25">
      <c r="A5247">
        <v>2025</v>
      </c>
      <c r="B5247" t="s">
        <v>10449</v>
      </c>
      <c r="C5247" s="1">
        <v>45988</v>
      </c>
      <c r="D5247" t="s">
        <v>10450</v>
      </c>
      <c r="E5247">
        <v>187.2</v>
      </c>
      <c r="G5247" s="3">
        <f>MONTH(Tabela1[[#This Row],[Último pagto ano]])</f>
        <v>11</v>
      </c>
      <c r="H5247" t="str">
        <f>TEXT(Tabela1[[#This Row],[Coluna2]]*29,"mmmm")</f>
        <v>novembro</v>
      </c>
      <c r="I5247" t="str">
        <f>TEXT(MONTH(Tabela1[[#This Row],[Último pagto ano]])*29,"mmmm")</f>
        <v>novembro</v>
      </c>
    </row>
    <row r="5248" spans="1:9" x14ac:dyDescent="0.25">
      <c r="A5248">
        <v>2025</v>
      </c>
      <c r="B5248" t="s">
        <v>10451</v>
      </c>
      <c r="C5248" s="1">
        <v>45999</v>
      </c>
      <c r="D5248" t="s">
        <v>10452</v>
      </c>
      <c r="E5248">
        <v>11</v>
      </c>
      <c r="G5248" s="3">
        <f>MONTH(Tabela1[[#This Row],[Último pagto ano]])</f>
        <v>12</v>
      </c>
      <c r="H5248" t="str">
        <f>TEXT(Tabela1[[#This Row],[Coluna2]]*29,"mmmm")</f>
        <v>dezembro</v>
      </c>
      <c r="I5248" t="str">
        <f>TEXT(MONTH(Tabela1[[#This Row],[Último pagto ano]])*29,"mmmm")</f>
        <v>dezembro</v>
      </c>
    </row>
    <row r="5249" spans="1:9" x14ac:dyDescent="0.25">
      <c r="A5249">
        <v>2025</v>
      </c>
      <c r="B5249" t="s">
        <v>10453</v>
      </c>
      <c r="C5249" s="1">
        <v>46010</v>
      </c>
      <c r="D5249" t="s">
        <v>10454</v>
      </c>
      <c r="E5249">
        <v>281.74</v>
      </c>
      <c r="G5249" s="3">
        <f>MONTH(Tabela1[[#This Row],[Último pagto ano]])</f>
        <v>12</v>
      </c>
      <c r="H5249" t="str">
        <f>TEXT(Tabela1[[#This Row],[Coluna2]]*29,"mmmm")</f>
        <v>dezembro</v>
      </c>
      <c r="I5249" t="str">
        <f>TEXT(MONTH(Tabela1[[#This Row],[Último pagto ano]])*29,"mmmm")</f>
        <v>dezembro</v>
      </c>
    </row>
    <row r="5250" spans="1:9" x14ac:dyDescent="0.25">
      <c r="A5250">
        <v>2025</v>
      </c>
      <c r="B5250" t="s">
        <v>10455</v>
      </c>
      <c r="C5250" s="1">
        <v>46008</v>
      </c>
      <c r="D5250" t="s">
        <v>10456</v>
      </c>
      <c r="E5250" s="2">
        <v>97473.35</v>
      </c>
      <c r="G5250" s="3">
        <f>MONTH(Tabela1[[#This Row],[Último pagto ano]])</f>
        <v>12</v>
      </c>
      <c r="H5250" t="str">
        <f>TEXT(Tabela1[[#This Row],[Coluna2]]*29,"mmmm")</f>
        <v>dezembro</v>
      </c>
      <c r="I5250" t="str">
        <f>TEXT(MONTH(Tabela1[[#This Row],[Último pagto ano]])*29,"mmmm")</f>
        <v>dezembro</v>
      </c>
    </row>
    <row r="5251" spans="1:9" x14ac:dyDescent="0.25">
      <c r="A5251">
        <v>2025</v>
      </c>
      <c r="B5251" t="s">
        <v>10457</v>
      </c>
      <c r="C5251" s="1">
        <v>45996</v>
      </c>
      <c r="D5251" t="s">
        <v>10458</v>
      </c>
      <c r="E5251" s="2">
        <v>40900</v>
      </c>
      <c r="G5251" s="3">
        <f>MONTH(Tabela1[[#This Row],[Último pagto ano]])</f>
        <v>12</v>
      </c>
      <c r="H5251" t="str">
        <f>TEXT(Tabela1[[#This Row],[Coluna2]]*29,"mmmm")</f>
        <v>dezembro</v>
      </c>
      <c r="I5251" t="str">
        <f>TEXT(MONTH(Tabela1[[#This Row],[Último pagto ano]])*29,"mmmm")</f>
        <v>dezembro</v>
      </c>
    </row>
    <row r="5252" spans="1:9" x14ac:dyDescent="0.25">
      <c r="A5252">
        <v>2025</v>
      </c>
      <c r="B5252" t="s">
        <v>10459</v>
      </c>
      <c r="C5252" s="1">
        <v>45866</v>
      </c>
      <c r="D5252" t="s">
        <v>10460</v>
      </c>
      <c r="E5252" s="2">
        <v>105662.3</v>
      </c>
      <c r="G5252" s="3">
        <f>MONTH(Tabela1[[#This Row],[Último pagto ano]])</f>
        <v>7</v>
      </c>
      <c r="H5252" t="str">
        <f>TEXT(Tabela1[[#This Row],[Coluna2]]*29,"mmmm")</f>
        <v>julho</v>
      </c>
      <c r="I5252" t="str">
        <f>TEXT(MONTH(Tabela1[[#This Row],[Último pagto ano]])*29,"mmmm")</f>
        <v>julho</v>
      </c>
    </row>
    <row r="5253" spans="1:9" x14ac:dyDescent="0.25">
      <c r="A5253">
        <v>2025</v>
      </c>
      <c r="B5253" t="s">
        <v>10461</v>
      </c>
      <c r="C5253" s="1">
        <v>45996</v>
      </c>
      <c r="D5253" t="s">
        <v>10462</v>
      </c>
      <c r="E5253" s="2">
        <v>1937.5</v>
      </c>
      <c r="G5253" s="3">
        <f>MONTH(Tabela1[[#This Row],[Último pagto ano]])</f>
        <v>12</v>
      </c>
      <c r="H5253" t="str">
        <f>TEXT(Tabela1[[#This Row],[Coluna2]]*29,"mmmm")</f>
        <v>dezembro</v>
      </c>
      <c r="I5253" t="str">
        <f>TEXT(MONTH(Tabela1[[#This Row],[Último pagto ano]])*29,"mmmm")</f>
        <v>dezembro</v>
      </c>
    </row>
    <row r="5254" spans="1:9" x14ac:dyDescent="0.25">
      <c r="A5254">
        <v>2025</v>
      </c>
      <c r="B5254" t="s">
        <v>10463</v>
      </c>
      <c r="C5254" s="1">
        <v>45931</v>
      </c>
      <c r="D5254" t="s">
        <v>10464</v>
      </c>
      <c r="E5254" s="2">
        <v>42000</v>
      </c>
      <c r="G5254" s="3">
        <f>MONTH(Tabela1[[#This Row],[Último pagto ano]])</f>
        <v>10</v>
      </c>
      <c r="H5254" t="str">
        <f>TEXT(Tabela1[[#This Row],[Coluna2]]*29,"mmmm")</f>
        <v>outubro</v>
      </c>
      <c r="I5254" t="str">
        <f>TEXT(MONTH(Tabela1[[#This Row],[Último pagto ano]])*29,"mmmm")</f>
        <v>outubro</v>
      </c>
    </row>
    <row r="5255" spans="1:9" x14ac:dyDescent="0.25">
      <c r="A5255">
        <v>2025</v>
      </c>
      <c r="B5255" t="s">
        <v>10465</v>
      </c>
      <c r="C5255" s="1">
        <v>46006</v>
      </c>
      <c r="D5255" t="s">
        <v>10466</v>
      </c>
      <c r="E5255" s="2">
        <v>3553.92</v>
      </c>
      <c r="G5255" s="3">
        <f>MONTH(Tabela1[[#This Row],[Último pagto ano]])</f>
        <v>12</v>
      </c>
      <c r="H5255" t="str">
        <f>TEXT(Tabela1[[#This Row],[Coluna2]]*29,"mmmm")</f>
        <v>dezembro</v>
      </c>
      <c r="I5255" t="str">
        <f>TEXT(MONTH(Tabela1[[#This Row],[Último pagto ano]])*29,"mmmm")</f>
        <v>dezembro</v>
      </c>
    </row>
    <row r="5256" spans="1:9" x14ac:dyDescent="0.25">
      <c r="A5256">
        <v>2025</v>
      </c>
      <c r="B5256" t="s">
        <v>10467</v>
      </c>
      <c r="C5256" s="1">
        <v>45835</v>
      </c>
      <c r="D5256" t="s">
        <v>10468</v>
      </c>
      <c r="E5256">
        <v>842.4</v>
      </c>
      <c r="G5256" s="3">
        <f>MONTH(Tabela1[[#This Row],[Último pagto ano]])</f>
        <v>6</v>
      </c>
      <c r="H5256" t="str">
        <f>TEXT(Tabela1[[#This Row],[Coluna2]]*29,"mmmm")</f>
        <v>junho</v>
      </c>
      <c r="I5256" t="str">
        <f>TEXT(MONTH(Tabela1[[#This Row],[Último pagto ano]])*29,"mmmm")</f>
        <v>junho</v>
      </c>
    </row>
    <row r="5257" spans="1:9" x14ac:dyDescent="0.25">
      <c r="A5257">
        <v>2025</v>
      </c>
      <c r="B5257" t="s">
        <v>10469</v>
      </c>
      <c r="C5257" s="1">
        <v>46006</v>
      </c>
      <c r="D5257" t="s">
        <v>10470</v>
      </c>
      <c r="E5257" s="2">
        <v>2369.2800000000002</v>
      </c>
      <c r="G5257" s="3">
        <f>MONTH(Tabela1[[#This Row],[Último pagto ano]])</f>
        <v>12</v>
      </c>
      <c r="H5257" t="str">
        <f>TEXT(Tabela1[[#This Row],[Coluna2]]*29,"mmmm")</f>
        <v>dezembro</v>
      </c>
      <c r="I5257" t="str">
        <f>TEXT(MONTH(Tabela1[[#This Row],[Último pagto ano]])*29,"mmmm")</f>
        <v>dezembro</v>
      </c>
    </row>
    <row r="5258" spans="1:9" x14ac:dyDescent="0.25">
      <c r="A5258">
        <v>2025</v>
      </c>
      <c r="B5258" t="s">
        <v>10471</v>
      </c>
      <c r="C5258" s="1">
        <v>45996</v>
      </c>
      <c r="D5258" t="s">
        <v>10472</v>
      </c>
      <c r="E5258" s="2">
        <v>18900</v>
      </c>
      <c r="G5258" s="3">
        <f>MONTH(Tabela1[[#This Row],[Último pagto ano]])</f>
        <v>12</v>
      </c>
      <c r="H5258" t="str">
        <f>TEXT(Tabela1[[#This Row],[Coluna2]]*29,"mmmm")</f>
        <v>dezembro</v>
      </c>
      <c r="I5258" t="str">
        <f>TEXT(MONTH(Tabela1[[#This Row],[Último pagto ano]])*29,"mmmm")</f>
        <v>dezembro</v>
      </c>
    </row>
    <row r="5259" spans="1:9" x14ac:dyDescent="0.25">
      <c r="A5259">
        <v>2025</v>
      </c>
      <c r="B5259" t="s">
        <v>10473</v>
      </c>
      <c r="C5259" s="1">
        <v>46021</v>
      </c>
      <c r="D5259" t="s">
        <v>10474</v>
      </c>
      <c r="E5259" s="2">
        <v>12568.44</v>
      </c>
      <c r="G5259" s="3">
        <f>MONTH(Tabela1[[#This Row],[Último pagto ano]])</f>
        <v>12</v>
      </c>
      <c r="H5259" t="str">
        <f>TEXT(Tabela1[[#This Row],[Coluna2]]*29,"mmmm")</f>
        <v>dezembro</v>
      </c>
      <c r="I5259" t="str">
        <f>TEXT(MONTH(Tabela1[[#This Row],[Último pagto ano]])*29,"mmmm")</f>
        <v>dezembro</v>
      </c>
    </row>
    <row r="5260" spans="1:9" x14ac:dyDescent="0.25">
      <c r="A5260">
        <v>2025</v>
      </c>
      <c r="B5260" t="s">
        <v>10475</v>
      </c>
      <c r="C5260" s="1">
        <v>45712</v>
      </c>
      <c r="D5260" t="s">
        <v>10476</v>
      </c>
      <c r="E5260" s="2">
        <v>1400</v>
      </c>
      <c r="G5260" s="3">
        <f>MONTH(Tabela1[[#This Row],[Último pagto ano]])</f>
        <v>2</v>
      </c>
      <c r="H5260" t="str">
        <f>TEXT(Tabela1[[#This Row],[Coluna2]]*29,"mmmm")</f>
        <v>fevereiro</v>
      </c>
      <c r="I5260" t="str">
        <f>TEXT(MONTH(Tabela1[[#This Row],[Último pagto ano]])*29,"mmmm")</f>
        <v>fevereiro</v>
      </c>
    </row>
    <row r="5261" spans="1:9" x14ac:dyDescent="0.25">
      <c r="A5261">
        <v>2025</v>
      </c>
      <c r="B5261" t="s">
        <v>10477</v>
      </c>
      <c r="C5261" s="1">
        <v>46013</v>
      </c>
      <c r="D5261" t="s">
        <v>10478</v>
      </c>
      <c r="E5261" s="2">
        <v>1111.5</v>
      </c>
      <c r="G5261" s="3">
        <f>MONTH(Tabela1[[#This Row],[Último pagto ano]])</f>
        <v>12</v>
      </c>
      <c r="H5261" t="str">
        <f>TEXT(Tabela1[[#This Row],[Coluna2]]*29,"mmmm")</f>
        <v>dezembro</v>
      </c>
      <c r="I5261" t="str">
        <f>TEXT(MONTH(Tabela1[[#This Row],[Último pagto ano]])*29,"mmmm")</f>
        <v>dezembro</v>
      </c>
    </row>
    <row r="5262" spans="1:9" x14ac:dyDescent="0.25">
      <c r="A5262">
        <v>2025</v>
      </c>
      <c r="B5262" t="s">
        <v>10479</v>
      </c>
      <c r="C5262" s="1">
        <v>45945</v>
      </c>
      <c r="D5262" t="s">
        <v>10480</v>
      </c>
      <c r="E5262" s="2">
        <v>5922.56</v>
      </c>
      <c r="G5262" s="3">
        <f>MONTH(Tabela1[[#This Row],[Último pagto ano]])</f>
        <v>10</v>
      </c>
      <c r="H5262" t="str">
        <f>TEXT(Tabela1[[#This Row],[Coluna2]]*29,"mmmm")</f>
        <v>outubro</v>
      </c>
      <c r="I5262" t="str">
        <f>TEXT(MONTH(Tabela1[[#This Row],[Último pagto ano]])*29,"mmmm")</f>
        <v>outubro</v>
      </c>
    </row>
    <row r="5263" spans="1:9" x14ac:dyDescent="0.25">
      <c r="A5263">
        <v>2025</v>
      </c>
      <c r="B5263" t="s">
        <v>10481</v>
      </c>
      <c r="C5263" s="1">
        <v>45996</v>
      </c>
      <c r="D5263" t="s">
        <v>10482</v>
      </c>
      <c r="E5263" s="2">
        <v>3600</v>
      </c>
      <c r="G5263" s="3">
        <f>MONTH(Tabela1[[#This Row],[Último pagto ano]])</f>
        <v>12</v>
      </c>
      <c r="H5263" t="str">
        <f>TEXT(Tabela1[[#This Row],[Coluna2]]*29,"mmmm")</f>
        <v>dezembro</v>
      </c>
      <c r="I5263" t="str">
        <f>TEXT(MONTH(Tabela1[[#This Row],[Último pagto ano]])*29,"mmmm")</f>
        <v>dezembro</v>
      </c>
    </row>
    <row r="5264" spans="1:9" x14ac:dyDescent="0.25">
      <c r="A5264">
        <v>2025</v>
      </c>
      <c r="B5264" t="s">
        <v>10483</v>
      </c>
      <c r="C5264" s="1">
        <v>45996</v>
      </c>
      <c r="D5264" t="s">
        <v>10484</v>
      </c>
      <c r="E5264" s="2">
        <v>64800</v>
      </c>
      <c r="G5264" s="3">
        <f>MONTH(Tabela1[[#This Row],[Último pagto ano]])</f>
        <v>12</v>
      </c>
      <c r="H5264" t="str">
        <f>TEXT(Tabela1[[#This Row],[Coluna2]]*29,"mmmm")</f>
        <v>dezembro</v>
      </c>
      <c r="I5264" t="str">
        <f>TEXT(MONTH(Tabela1[[#This Row],[Último pagto ano]])*29,"mmmm")</f>
        <v>dezembro</v>
      </c>
    </row>
    <row r="5265" spans="1:9" x14ac:dyDescent="0.25">
      <c r="A5265">
        <v>2025</v>
      </c>
      <c r="B5265" t="s">
        <v>10485</v>
      </c>
      <c r="C5265" s="1">
        <v>45817</v>
      </c>
      <c r="D5265" t="s">
        <v>10486</v>
      </c>
      <c r="E5265">
        <v>22</v>
      </c>
      <c r="G5265" s="3">
        <f>MONTH(Tabela1[[#This Row],[Último pagto ano]])</f>
        <v>6</v>
      </c>
      <c r="H5265" t="str">
        <f>TEXT(Tabela1[[#This Row],[Coluna2]]*29,"mmmm")</f>
        <v>junho</v>
      </c>
      <c r="I5265" t="str">
        <f>TEXT(MONTH(Tabela1[[#This Row],[Último pagto ano]])*29,"mmmm")</f>
        <v>junho</v>
      </c>
    </row>
    <row r="5266" spans="1:9" x14ac:dyDescent="0.25">
      <c r="A5266">
        <v>2025</v>
      </c>
      <c r="B5266" t="s">
        <v>10487</v>
      </c>
      <c r="C5266" s="1">
        <v>45968</v>
      </c>
      <c r="D5266" t="s">
        <v>10488</v>
      </c>
      <c r="E5266" s="2">
        <v>2996</v>
      </c>
      <c r="G5266" s="3">
        <f>MONTH(Tabela1[[#This Row],[Último pagto ano]])</f>
        <v>11</v>
      </c>
      <c r="H5266" t="str">
        <f>TEXT(Tabela1[[#This Row],[Coluna2]]*29,"mmmm")</f>
        <v>novembro</v>
      </c>
      <c r="I5266" t="str">
        <f>TEXT(MONTH(Tabela1[[#This Row],[Último pagto ano]])*29,"mmmm")</f>
        <v>novembro</v>
      </c>
    </row>
    <row r="5267" spans="1:9" x14ac:dyDescent="0.25">
      <c r="A5267">
        <v>2025</v>
      </c>
      <c r="B5267" t="s">
        <v>10489</v>
      </c>
      <c r="C5267" s="1">
        <v>45733</v>
      </c>
      <c r="D5267" t="s">
        <v>10490</v>
      </c>
      <c r="E5267">
        <v>888.48</v>
      </c>
      <c r="G5267" s="3">
        <f>MONTH(Tabela1[[#This Row],[Último pagto ano]])</f>
        <v>3</v>
      </c>
      <c r="H5267" t="str">
        <f>TEXT(Tabela1[[#This Row],[Coluna2]]*29,"mmmm")</f>
        <v>março</v>
      </c>
      <c r="I5267" t="str">
        <f>TEXT(MONTH(Tabela1[[#This Row],[Último pagto ano]])*29,"mmmm")</f>
        <v>março</v>
      </c>
    </row>
    <row r="5268" spans="1:9" x14ac:dyDescent="0.25">
      <c r="A5268">
        <v>2025</v>
      </c>
      <c r="B5268" t="s">
        <v>10491</v>
      </c>
      <c r="C5268" s="1">
        <v>46003</v>
      </c>
      <c r="D5268" t="s">
        <v>10492</v>
      </c>
      <c r="E5268" s="2">
        <v>4060.8</v>
      </c>
      <c r="G5268" s="3">
        <f>MONTH(Tabela1[[#This Row],[Último pagto ano]])</f>
        <v>12</v>
      </c>
      <c r="H5268" t="str">
        <f>TEXT(Tabela1[[#This Row],[Coluna2]]*29,"mmmm")</f>
        <v>dezembro</v>
      </c>
      <c r="I5268" t="str">
        <f>TEXT(MONTH(Tabela1[[#This Row],[Último pagto ano]])*29,"mmmm")</f>
        <v>dezembro</v>
      </c>
    </row>
    <row r="5269" spans="1:9" x14ac:dyDescent="0.25">
      <c r="A5269">
        <v>2025</v>
      </c>
      <c r="B5269" t="s">
        <v>10493</v>
      </c>
      <c r="C5269" s="1">
        <v>45996</v>
      </c>
      <c r="D5269" t="s">
        <v>10494</v>
      </c>
      <c r="E5269" s="2">
        <v>9950</v>
      </c>
      <c r="G5269" s="3">
        <f>MONTH(Tabela1[[#This Row],[Último pagto ano]])</f>
        <v>12</v>
      </c>
      <c r="H5269" t="str">
        <f>TEXT(Tabela1[[#This Row],[Coluna2]]*29,"mmmm")</f>
        <v>dezembro</v>
      </c>
      <c r="I5269" t="str">
        <f>TEXT(MONTH(Tabela1[[#This Row],[Último pagto ano]])*29,"mmmm")</f>
        <v>dezembro</v>
      </c>
    </row>
    <row r="5270" spans="1:9" x14ac:dyDescent="0.25">
      <c r="A5270">
        <v>2025</v>
      </c>
      <c r="B5270" t="s">
        <v>10495</v>
      </c>
      <c r="C5270" s="1">
        <v>46006</v>
      </c>
      <c r="D5270" t="s">
        <v>10496</v>
      </c>
      <c r="E5270" s="2">
        <v>15952.8</v>
      </c>
      <c r="G5270" s="3">
        <f>MONTH(Tabela1[[#This Row],[Último pagto ano]])</f>
        <v>12</v>
      </c>
      <c r="H5270" t="str">
        <f>TEXT(Tabela1[[#This Row],[Coluna2]]*29,"mmmm")</f>
        <v>dezembro</v>
      </c>
      <c r="I5270" t="str">
        <f>TEXT(MONTH(Tabela1[[#This Row],[Último pagto ano]])*29,"mmmm")</f>
        <v>dezembro</v>
      </c>
    </row>
    <row r="5271" spans="1:9" x14ac:dyDescent="0.25">
      <c r="A5271">
        <v>2025</v>
      </c>
      <c r="B5271" t="s">
        <v>10497</v>
      </c>
      <c r="C5271" s="1">
        <v>45964</v>
      </c>
      <c r="D5271" t="s">
        <v>10498</v>
      </c>
      <c r="E5271">
        <v>154</v>
      </c>
      <c r="G5271" s="3">
        <f>MONTH(Tabela1[[#This Row],[Último pagto ano]])</f>
        <v>11</v>
      </c>
      <c r="H5271" t="str">
        <f>TEXT(Tabela1[[#This Row],[Coluna2]]*29,"mmmm")</f>
        <v>novembro</v>
      </c>
      <c r="I5271" t="str">
        <f>TEXT(MONTH(Tabela1[[#This Row],[Último pagto ano]])*29,"mmmm")</f>
        <v>novembro</v>
      </c>
    </row>
    <row r="5272" spans="1:9" x14ac:dyDescent="0.25">
      <c r="A5272">
        <v>2025</v>
      </c>
      <c r="B5272" t="s">
        <v>10499</v>
      </c>
      <c r="C5272" s="1">
        <v>45733</v>
      </c>
      <c r="D5272" t="s">
        <v>10500</v>
      </c>
      <c r="E5272" s="2">
        <v>3217.92</v>
      </c>
      <c r="G5272" s="3">
        <f>MONTH(Tabela1[[#This Row],[Último pagto ano]])</f>
        <v>3</v>
      </c>
      <c r="H5272" t="str">
        <f>TEXT(Tabela1[[#This Row],[Coluna2]]*29,"mmmm")</f>
        <v>março</v>
      </c>
      <c r="I5272" t="str">
        <f>TEXT(MONTH(Tabela1[[#This Row],[Último pagto ano]])*29,"mmmm")</f>
        <v>março</v>
      </c>
    </row>
    <row r="5273" spans="1:9" x14ac:dyDescent="0.25">
      <c r="A5273">
        <v>2025</v>
      </c>
      <c r="B5273" t="s">
        <v>10501</v>
      </c>
      <c r="C5273" s="1">
        <v>45959</v>
      </c>
      <c r="D5273" t="s">
        <v>10502</v>
      </c>
      <c r="E5273" s="2">
        <v>78516.479999999996</v>
      </c>
      <c r="G5273" s="3">
        <f>MONTH(Tabela1[[#This Row],[Último pagto ano]])</f>
        <v>10</v>
      </c>
      <c r="H5273" t="str">
        <f>TEXT(Tabela1[[#This Row],[Coluna2]]*29,"mmmm")</f>
        <v>outubro</v>
      </c>
      <c r="I5273" t="str">
        <f>TEXT(MONTH(Tabela1[[#This Row],[Último pagto ano]])*29,"mmmm")</f>
        <v>outubro</v>
      </c>
    </row>
    <row r="5274" spans="1:9" x14ac:dyDescent="0.25">
      <c r="A5274">
        <v>2025</v>
      </c>
      <c r="B5274" t="s">
        <v>10503</v>
      </c>
      <c r="C5274" s="1">
        <v>46021</v>
      </c>
      <c r="D5274" t="s">
        <v>10504</v>
      </c>
      <c r="E5274">
        <v>599.59</v>
      </c>
      <c r="G5274" s="3">
        <f>MONTH(Tabela1[[#This Row],[Último pagto ano]])</f>
        <v>12</v>
      </c>
      <c r="H5274" t="str">
        <f>TEXT(Tabela1[[#This Row],[Coluna2]]*29,"mmmm")</f>
        <v>dezembro</v>
      </c>
      <c r="I5274" t="str">
        <f>TEXT(MONTH(Tabela1[[#This Row],[Último pagto ano]])*29,"mmmm")</f>
        <v>dezembro</v>
      </c>
    </row>
    <row r="5275" spans="1:9" x14ac:dyDescent="0.25">
      <c r="A5275">
        <v>2025</v>
      </c>
      <c r="B5275" t="s">
        <v>10505</v>
      </c>
      <c r="C5275" s="1">
        <v>45996</v>
      </c>
      <c r="D5275" t="s">
        <v>10506</v>
      </c>
      <c r="E5275" s="2">
        <v>1000</v>
      </c>
      <c r="G5275" s="3">
        <f>MONTH(Tabela1[[#This Row],[Último pagto ano]])</f>
        <v>12</v>
      </c>
      <c r="H5275" t="str">
        <f>TEXT(Tabela1[[#This Row],[Coluna2]]*29,"mmmm")</f>
        <v>dezembro</v>
      </c>
      <c r="I5275" t="str">
        <f>TEXT(MONTH(Tabela1[[#This Row],[Último pagto ano]])*29,"mmmm")</f>
        <v>dezembro</v>
      </c>
    </row>
    <row r="5276" spans="1:9" x14ac:dyDescent="0.25">
      <c r="A5276">
        <v>2025</v>
      </c>
      <c r="B5276" t="s">
        <v>10507</v>
      </c>
      <c r="C5276" s="1">
        <v>45702</v>
      </c>
      <c r="D5276" t="s">
        <v>10508</v>
      </c>
      <c r="E5276">
        <v>45.92</v>
      </c>
      <c r="G5276" s="3">
        <f>MONTH(Tabela1[[#This Row],[Último pagto ano]])</f>
        <v>2</v>
      </c>
      <c r="H5276" t="str">
        <f>TEXT(Tabela1[[#This Row],[Coluna2]]*29,"mmmm")</f>
        <v>fevereiro</v>
      </c>
      <c r="I5276" t="str">
        <f>TEXT(MONTH(Tabela1[[#This Row],[Último pagto ano]])*29,"mmmm")</f>
        <v>fevereiro</v>
      </c>
    </row>
    <row r="5277" spans="1:9" x14ac:dyDescent="0.25">
      <c r="A5277">
        <v>2025</v>
      </c>
      <c r="B5277" t="s">
        <v>10509</v>
      </c>
      <c r="C5277" s="1">
        <v>46006</v>
      </c>
      <c r="D5277" t="s">
        <v>10510</v>
      </c>
      <c r="E5277" s="2">
        <v>8400</v>
      </c>
      <c r="G5277" s="3">
        <f>MONTH(Tabela1[[#This Row],[Último pagto ano]])</f>
        <v>12</v>
      </c>
      <c r="H5277" t="str">
        <f>TEXT(Tabela1[[#This Row],[Coluna2]]*29,"mmmm")</f>
        <v>dezembro</v>
      </c>
      <c r="I5277" t="str">
        <f>TEXT(MONTH(Tabela1[[#This Row],[Último pagto ano]])*29,"mmmm")</f>
        <v>dezembro</v>
      </c>
    </row>
    <row r="5278" spans="1:9" x14ac:dyDescent="0.25">
      <c r="A5278">
        <v>2025</v>
      </c>
      <c r="B5278" t="s">
        <v>10511</v>
      </c>
      <c r="C5278" s="1">
        <v>45996</v>
      </c>
      <c r="D5278" t="s">
        <v>10512</v>
      </c>
      <c r="E5278" s="2">
        <v>27000</v>
      </c>
      <c r="G5278" s="3">
        <f>MONTH(Tabela1[[#This Row],[Último pagto ano]])</f>
        <v>12</v>
      </c>
      <c r="H5278" t="str">
        <f>TEXT(Tabela1[[#This Row],[Coluna2]]*29,"mmmm")</f>
        <v>dezembro</v>
      </c>
      <c r="I5278" t="str">
        <f>TEXT(MONTH(Tabela1[[#This Row],[Último pagto ano]])*29,"mmmm")</f>
        <v>dezembro</v>
      </c>
    </row>
    <row r="5279" spans="1:9" x14ac:dyDescent="0.25">
      <c r="A5279">
        <v>2025</v>
      </c>
      <c r="B5279" t="s">
        <v>10513</v>
      </c>
      <c r="C5279" s="1">
        <v>45975</v>
      </c>
      <c r="D5279" t="s">
        <v>10514</v>
      </c>
      <c r="E5279" s="2">
        <v>5883.36</v>
      </c>
      <c r="G5279" s="3">
        <f>MONTH(Tabela1[[#This Row],[Último pagto ano]])</f>
        <v>11</v>
      </c>
      <c r="H5279" t="str">
        <f>TEXT(Tabela1[[#This Row],[Coluna2]]*29,"mmmm")</f>
        <v>novembro</v>
      </c>
      <c r="I5279" t="str">
        <f>TEXT(MONTH(Tabela1[[#This Row],[Último pagto ano]])*29,"mmmm")</f>
        <v>novembro</v>
      </c>
    </row>
    <row r="5280" spans="1:9" x14ac:dyDescent="0.25">
      <c r="A5280">
        <v>2025</v>
      </c>
      <c r="B5280" t="s">
        <v>10515</v>
      </c>
      <c r="C5280" s="1">
        <v>46014</v>
      </c>
      <c r="D5280" t="s">
        <v>10516</v>
      </c>
      <c r="E5280">
        <v>63.8</v>
      </c>
      <c r="G5280" s="3">
        <f>MONTH(Tabela1[[#This Row],[Último pagto ano]])</f>
        <v>12</v>
      </c>
      <c r="H5280" t="str">
        <f>TEXT(Tabela1[[#This Row],[Coluna2]]*29,"mmmm")</f>
        <v>dezembro</v>
      </c>
      <c r="I5280" t="str">
        <f>TEXT(MONTH(Tabela1[[#This Row],[Último pagto ano]])*29,"mmmm")</f>
        <v>dezembro</v>
      </c>
    </row>
    <row r="5281" spans="1:9" x14ac:dyDescent="0.25">
      <c r="A5281">
        <v>2025</v>
      </c>
      <c r="B5281" t="s">
        <v>10517</v>
      </c>
      <c r="C5281" s="1">
        <v>45986</v>
      </c>
      <c r="D5281" t="s">
        <v>10518</v>
      </c>
      <c r="E5281">
        <v>240.3</v>
      </c>
      <c r="G5281" s="3">
        <f>MONTH(Tabela1[[#This Row],[Último pagto ano]])</f>
        <v>11</v>
      </c>
      <c r="H5281" t="str">
        <f>TEXT(Tabela1[[#This Row],[Coluna2]]*29,"mmmm")</f>
        <v>novembro</v>
      </c>
      <c r="I5281" t="str">
        <f>TEXT(MONTH(Tabela1[[#This Row],[Último pagto ano]])*29,"mmmm")</f>
        <v>novembro</v>
      </c>
    </row>
    <row r="5282" spans="1:9" x14ac:dyDescent="0.25">
      <c r="A5282">
        <v>2025</v>
      </c>
      <c r="B5282" t="s">
        <v>10519</v>
      </c>
      <c r="C5282" s="1">
        <v>46010</v>
      </c>
      <c r="D5282" t="s">
        <v>10520</v>
      </c>
      <c r="E5282" s="2">
        <v>12000</v>
      </c>
      <c r="G5282" s="3">
        <f>MONTH(Tabela1[[#This Row],[Último pagto ano]])</f>
        <v>12</v>
      </c>
      <c r="H5282" t="str">
        <f>TEXT(Tabela1[[#This Row],[Coluna2]]*29,"mmmm")</f>
        <v>dezembro</v>
      </c>
      <c r="I5282" t="str">
        <f>TEXT(MONTH(Tabela1[[#This Row],[Último pagto ano]])*29,"mmmm")</f>
        <v>dezembro</v>
      </c>
    </row>
    <row r="5283" spans="1:9" x14ac:dyDescent="0.25">
      <c r="A5283">
        <v>2025</v>
      </c>
      <c r="B5283" t="s">
        <v>10521</v>
      </c>
      <c r="C5283" s="1">
        <v>45978</v>
      </c>
      <c r="D5283" t="s">
        <v>10522</v>
      </c>
      <c r="E5283">
        <v>198</v>
      </c>
      <c r="G5283" s="3">
        <f>MONTH(Tabela1[[#This Row],[Último pagto ano]])</f>
        <v>11</v>
      </c>
      <c r="H5283" t="str">
        <f>TEXT(Tabela1[[#This Row],[Coluna2]]*29,"mmmm")</f>
        <v>novembro</v>
      </c>
      <c r="I5283" t="str">
        <f>TEXT(MONTH(Tabela1[[#This Row],[Último pagto ano]])*29,"mmmm")</f>
        <v>novembro</v>
      </c>
    </row>
    <row r="5284" spans="1:9" x14ac:dyDescent="0.25">
      <c r="A5284">
        <v>2025</v>
      </c>
      <c r="B5284" t="s">
        <v>10523</v>
      </c>
      <c r="C5284" s="1">
        <v>45884</v>
      </c>
      <c r="D5284" t="s">
        <v>10524</v>
      </c>
      <c r="E5284" s="2">
        <v>3887</v>
      </c>
      <c r="G5284" s="3">
        <f>MONTH(Tabela1[[#This Row],[Último pagto ano]])</f>
        <v>8</v>
      </c>
      <c r="H5284" t="str">
        <f>TEXT(Tabela1[[#This Row],[Coluna2]]*29,"mmmm")</f>
        <v>agosto</v>
      </c>
      <c r="I5284" t="str">
        <f>TEXT(MONTH(Tabela1[[#This Row],[Último pagto ano]])*29,"mmmm")</f>
        <v>agosto</v>
      </c>
    </row>
    <row r="5285" spans="1:9" x14ac:dyDescent="0.25">
      <c r="A5285">
        <v>2025</v>
      </c>
      <c r="B5285" t="s">
        <v>10525</v>
      </c>
      <c r="C5285" s="1">
        <v>45996</v>
      </c>
      <c r="D5285" t="s">
        <v>10526</v>
      </c>
      <c r="E5285" s="2">
        <v>27877.5</v>
      </c>
      <c r="G5285" s="3">
        <f>MONTH(Tabela1[[#This Row],[Último pagto ano]])</f>
        <v>12</v>
      </c>
      <c r="H5285" t="str">
        <f>TEXT(Tabela1[[#This Row],[Coluna2]]*29,"mmmm")</f>
        <v>dezembro</v>
      </c>
      <c r="I5285" t="str">
        <f>TEXT(MONTH(Tabela1[[#This Row],[Último pagto ano]])*29,"mmmm")</f>
        <v>dezembro</v>
      </c>
    </row>
    <row r="5286" spans="1:9" x14ac:dyDescent="0.25">
      <c r="A5286">
        <v>2025</v>
      </c>
      <c r="B5286" t="s">
        <v>10527</v>
      </c>
      <c r="C5286" s="1">
        <v>45954</v>
      </c>
      <c r="D5286" t="s">
        <v>10528</v>
      </c>
      <c r="E5286" s="2">
        <v>8110.2</v>
      </c>
      <c r="G5286" s="3">
        <f>MONTH(Tabela1[[#This Row],[Último pagto ano]])</f>
        <v>10</v>
      </c>
      <c r="H5286" t="str">
        <f>TEXT(Tabela1[[#This Row],[Coluna2]]*29,"mmmm")</f>
        <v>outubro</v>
      </c>
      <c r="I5286" t="str">
        <f>TEXT(MONTH(Tabela1[[#This Row],[Último pagto ano]])*29,"mmmm")</f>
        <v>outubro</v>
      </c>
    </row>
    <row r="5287" spans="1:9" x14ac:dyDescent="0.25">
      <c r="A5287">
        <v>2025</v>
      </c>
      <c r="B5287" t="s">
        <v>10529</v>
      </c>
      <c r="C5287" s="1">
        <v>46006</v>
      </c>
      <c r="D5287" t="s">
        <v>10530</v>
      </c>
      <c r="E5287" s="2">
        <v>5330.88</v>
      </c>
      <c r="G5287" s="3">
        <f>MONTH(Tabela1[[#This Row],[Último pagto ano]])</f>
        <v>12</v>
      </c>
      <c r="H5287" t="str">
        <f>TEXT(Tabela1[[#This Row],[Coluna2]]*29,"mmmm")</f>
        <v>dezembro</v>
      </c>
      <c r="I5287" t="str">
        <f>TEXT(MONTH(Tabela1[[#This Row],[Último pagto ano]])*29,"mmmm")</f>
        <v>dezembro</v>
      </c>
    </row>
    <row r="5288" spans="1:9" x14ac:dyDescent="0.25">
      <c r="A5288">
        <v>2025</v>
      </c>
      <c r="B5288" t="s">
        <v>10531</v>
      </c>
      <c r="C5288" s="1">
        <v>45959</v>
      </c>
      <c r="D5288" t="s">
        <v>10532</v>
      </c>
      <c r="E5288" s="2">
        <v>101311.44</v>
      </c>
      <c r="G5288" s="3">
        <f>MONTH(Tabela1[[#This Row],[Último pagto ano]])</f>
        <v>10</v>
      </c>
      <c r="H5288" t="str">
        <f>TEXT(Tabela1[[#This Row],[Coluna2]]*29,"mmmm")</f>
        <v>outubro</v>
      </c>
      <c r="I5288" t="str">
        <f>TEXT(MONTH(Tabela1[[#This Row],[Último pagto ano]])*29,"mmmm")</f>
        <v>outubro</v>
      </c>
    </row>
    <row r="5289" spans="1:9" x14ac:dyDescent="0.25">
      <c r="A5289">
        <v>2025</v>
      </c>
      <c r="B5289" t="s">
        <v>10533</v>
      </c>
      <c r="C5289" s="1">
        <v>45915</v>
      </c>
      <c r="D5289" t="s">
        <v>10534</v>
      </c>
      <c r="E5289" s="2">
        <v>1243.1300000000001</v>
      </c>
      <c r="G5289" s="3">
        <f>MONTH(Tabela1[[#This Row],[Último pagto ano]])</f>
        <v>9</v>
      </c>
      <c r="H5289" t="str">
        <f>TEXT(Tabela1[[#This Row],[Coluna2]]*29,"mmmm")</f>
        <v>setembro</v>
      </c>
      <c r="I5289" t="str">
        <f>TEXT(MONTH(Tabela1[[#This Row],[Último pagto ano]])*29,"mmmm")</f>
        <v>setembro</v>
      </c>
    </row>
    <row r="5290" spans="1:9" x14ac:dyDescent="0.25">
      <c r="A5290">
        <v>2025</v>
      </c>
      <c r="B5290" t="s">
        <v>10535</v>
      </c>
      <c r="C5290" s="1">
        <v>46006</v>
      </c>
      <c r="D5290" t="s">
        <v>10536</v>
      </c>
      <c r="E5290" s="2">
        <v>15513.6</v>
      </c>
      <c r="G5290" s="3">
        <f>MONTH(Tabela1[[#This Row],[Último pagto ano]])</f>
        <v>12</v>
      </c>
      <c r="H5290" t="str">
        <f>TEXT(Tabela1[[#This Row],[Coluna2]]*29,"mmmm")</f>
        <v>dezembro</v>
      </c>
      <c r="I5290" t="str">
        <f>TEXT(MONTH(Tabela1[[#This Row],[Último pagto ano]])*29,"mmmm")</f>
        <v>dezembro</v>
      </c>
    </row>
    <row r="5291" spans="1:9" x14ac:dyDescent="0.25">
      <c r="A5291">
        <v>2025</v>
      </c>
      <c r="B5291" t="s">
        <v>10537</v>
      </c>
      <c r="C5291" s="1">
        <v>45712</v>
      </c>
      <c r="D5291" t="s">
        <v>10538</v>
      </c>
      <c r="E5291" s="2">
        <v>1400</v>
      </c>
      <c r="G5291" s="3">
        <f>MONTH(Tabela1[[#This Row],[Último pagto ano]])</f>
        <v>2</v>
      </c>
      <c r="H5291" t="str">
        <f>TEXT(Tabela1[[#This Row],[Coluna2]]*29,"mmmm")</f>
        <v>fevereiro</v>
      </c>
      <c r="I5291" t="str">
        <f>TEXT(MONTH(Tabela1[[#This Row],[Último pagto ano]])*29,"mmmm")</f>
        <v>fevereiro</v>
      </c>
    </row>
    <row r="5292" spans="1:9" x14ac:dyDescent="0.25">
      <c r="A5292">
        <v>2025</v>
      </c>
      <c r="B5292" t="s">
        <v>10537</v>
      </c>
      <c r="C5292" s="1">
        <v>45996</v>
      </c>
      <c r="D5292" t="s">
        <v>10539</v>
      </c>
      <c r="E5292" s="2">
        <v>24000</v>
      </c>
      <c r="G5292" s="3">
        <f>MONTH(Tabela1[[#This Row],[Último pagto ano]])</f>
        <v>12</v>
      </c>
      <c r="H5292" t="str">
        <f>TEXT(Tabela1[[#This Row],[Coluna2]]*29,"mmmm")</f>
        <v>dezembro</v>
      </c>
      <c r="I5292" t="str">
        <f>TEXT(MONTH(Tabela1[[#This Row],[Último pagto ano]])*29,"mmmm")</f>
        <v>dezembro</v>
      </c>
    </row>
    <row r="5293" spans="1:9" x14ac:dyDescent="0.25">
      <c r="A5293">
        <v>2025</v>
      </c>
      <c r="B5293" t="s">
        <v>10540</v>
      </c>
      <c r="C5293" s="1">
        <v>45736</v>
      </c>
      <c r="D5293" t="s">
        <v>10541</v>
      </c>
      <c r="E5293" s="2">
        <v>4406.7299999999996</v>
      </c>
      <c r="G5293" s="3">
        <f>MONTH(Tabela1[[#This Row],[Último pagto ano]])</f>
        <v>3</v>
      </c>
      <c r="H5293" t="str">
        <f>TEXT(Tabela1[[#This Row],[Coluna2]]*29,"mmmm")</f>
        <v>março</v>
      </c>
      <c r="I5293" t="str">
        <f>TEXT(MONTH(Tabela1[[#This Row],[Último pagto ano]])*29,"mmmm")</f>
        <v>março</v>
      </c>
    </row>
    <row r="5294" spans="1:9" x14ac:dyDescent="0.25">
      <c r="A5294">
        <v>2025</v>
      </c>
      <c r="B5294" t="s">
        <v>10542</v>
      </c>
      <c r="C5294" s="1">
        <v>45954</v>
      </c>
      <c r="D5294" t="s">
        <v>10543</v>
      </c>
      <c r="E5294" s="2">
        <v>76405</v>
      </c>
      <c r="G5294" s="3">
        <f>MONTH(Tabela1[[#This Row],[Último pagto ano]])</f>
        <v>10</v>
      </c>
      <c r="H5294" t="str">
        <f>TEXT(Tabela1[[#This Row],[Coluna2]]*29,"mmmm")</f>
        <v>outubro</v>
      </c>
      <c r="I5294" t="str">
        <f>TEXT(MONTH(Tabela1[[#This Row],[Último pagto ano]])*29,"mmmm")</f>
        <v>outubro</v>
      </c>
    </row>
    <row r="5295" spans="1:9" x14ac:dyDescent="0.25">
      <c r="A5295">
        <v>2025</v>
      </c>
      <c r="B5295" t="s">
        <v>10544</v>
      </c>
      <c r="C5295" s="1">
        <v>46006</v>
      </c>
      <c r="D5295" t="s">
        <v>10545</v>
      </c>
      <c r="E5295" s="2">
        <v>17314.72</v>
      </c>
      <c r="G5295" s="3">
        <f>MONTH(Tabela1[[#This Row],[Último pagto ano]])</f>
        <v>12</v>
      </c>
      <c r="H5295" t="str">
        <f>TEXT(Tabela1[[#This Row],[Coluna2]]*29,"mmmm")</f>
        <v>dezembro</v>
      </c>
      <c r="I5295" t="str">
        <f>TEXT(MONTH(Tabela1[[#This Row],[Último pagto ano]])*29,"mmmm")</f>
        <v>dezembro</v>
      </c>
    </row>
    <row r="5296" spans="1:9" x14ac:dyDescent="0.25">
      <c r="A5296">
        <v>2025</v>
      </c>
      <c r="B5296" t="s">
        <v>10546</v>
      </c>
      <c r="C5296" s="1">
        <v>45670</v>
      </c>
      <c r="D5296" t="s">
        <v>10547</v>
      </c>
      <c r="E5296" s="2">
        <v>10657.68</v>
      </c>
      <c r="G5296" s="3">
        <f>MONTH(Tabela1[[#This Row],[Último pagto ano]])</f>
        <v>1</v>
      </c>
      <c r="H5296" t="str">
        <f>TEXT(Tabela1[[#This Row],[Coluna2]]*29,"mmmm")</f>
        <v>janeiro</v>
      </c>
      <c r="I5296" t="str">
        <f>TEXT(MONTH(Tabela1[[#This Row],[Último pagto ano]])*29,"mmmm")</f>
        <v>janeiro</v>
      </c>
    </row>
    <row r="5297" spans="1:9" x14ac:dyDescent="0.25">
      <c r="A5297">
        <v>2025</v>
      </c>
      <c r="B5297" t="s">
        <v>10548</v>
      </c>
      <c r="C5297" s="1">
        <v>46013</v>
      </c>
      <c r="D5297" t="s">
        <v>10549</v>
      </c>
      <c r="E5297">
        <v>536.4</v>
      </c>
      <c r="G5297" s="3">
        <f>MONTH(Tabela1[[#This Row],[Último pagto ano]])</f>
        <v>12</v>
      </c>
      <c r="H5297" t="str">
        <f>TEXT(Tabela1[[#This Row],[Coluna2]]*29,"mmmm")</f>
        <v>dezembro</v>
      </c>
      <c r="I5297" t="str">
        <f>TEXT(MONTH(Tabela1[[#This Row],[Último pagto ano]])*29,"mmmm")</f>
        <v>dezembro</v>
      </c>
    </row>
    <row r="5298" spans="1:9" x14ac:dyDescent="0.25">
      <c r="A5298">
        <v>2025</v>
      </c>
      <c r="B5298" t="s">
        <v>10550</v>
      </c>
      <c r="C5298" s="1">
        <v>45915</v>
      </c>
      <c r="D5298" t="s">
        <v>10551</v>
      </c>
      <c r="E5298" s="2">
        <v>15468.72</v>
      </c>
      <c r="G5298" s="3">
        <f>MONTH(Tabela1[[#This Row],[Último pagto ano]])</f>
        <v>9</v>
      </c>
      <c r="H5298" t="str">
        <f>TEXT(Tabela1[[#This Row],[Coluna2]]*29,"mmmm")</f>
        <v>setembro</v>
      </c>
      <c r="I5298" t="str">
        <f>TEXT(MONTH(Tabela1[[#This Row],[Último pagto ano]])*29,"mmmm")</f>
        <v>setembro</v>
      </c>
    </row>
    <row r="5299" spans="1:9" x14ac:dyDescent="0.25">
      <c r="A5299">
        <v>2025</v>
      </c>
      <c r="B5299" t="s">
        <v>10552</v>
      </c>
      <c r="C5299" s="1">
        <v>45954</v>
      </c>
      <c r="D5299" t="s">
        <v>10553</v>
      </c>
      <c r="E5299" s="2">
        <v>126658.56</v>
      </c>
      <c r="G5299" s="3">
        <f>MONTH(Tabela1[[#This Row],[Último pagto ano]])</f>
        <v>10</v>
      </c>
      <c r="H5299" t="str">
        <f>TEXT(Tabela1[[#This Row],[Coluna2]]*29,"mmmm")</f>
        <v>outubro</v>
      </c>
      <c r="I5299" t="str">
        <f>TEXT(MONTH(Tabela1[[#This Row],[Último pagto ano]])*29,"mmmm")</f>
        <v>outubro</v>
      </c>
    </row>
    <row r="5300" spans="1:9" x14ac:dyDescent="0.25">
      <c r="A5300">
        <v>2025</v>
      </c>
      <c r="B5300" t="s">
        <v>10554</v>
      </c>
      <c r="C5300" s="1">
        <v>45803</v>
      </c>
      <c r="D5300" t="s">
        <v>10555</v>
      </c>
      <c r="E5300" s="2">
        <v>3000</v>
      </c>
      <c r="G5300" s="3">
        <f>MONTH(Tabela1[[#This Row],[Último pagto ano]])</f>
        <v>5</v>
      </c>
      <c r="H5300" t="str">
        <f>TEXT(Tabela1[[#This Row],[Coluna2]]*29,"mmmm")</f>
        <v>maio</v>
      </c>
      <c r="I5300" t="str">
        <f>TEXT(MONTH(Tabela1[[#This Row],[Último pagto ano]])*29,"mmmm")</f>
        <v>maio</v>
      </c>
    </row>
    <row r="5301" spans="1:9" x14ac:dyDescent="0.25">
      <c r="A5301">
        <v>2025</v>
      </c>
      <c r="B5301" t="s">
        <v>10556</v>
      </c>
      <c r="C5301" s="1">
        <v>45999</v>
      </c>
      <c r="D5301" t="s">
        <v>10557</v>
      </c>
      <c r="E5301">
        <v>11</v>
      </c>
      <c r="G5301" s="3">
        <f>MONTH(Tabela1[[#This Row],[Último pagto ano]])</f>
        <v>12</v>
      </c>
      <c r="H5301" t="str">
        <f>TEXT(Tabela1[[#This Row],[Coluna2]]*29,"mmmm")</f>
        <v>dezembro</v>
      </c>
      <c r="I5301" t="str">
        <f>TEXT(MONTH(Tabela1[[#This Row],[Último pagto ano]])*29,"mmmm")</f>
        <v>dezembro</v>
      </c>
    </row>
    <row r="5302" spans="1:9" x14ac:dyDescent="0.25">
      <c r="A5302">
        <v>2025</v>
      </c>
      <c r="B5302" t="s">
        <v>10558</v>
      </c>
      <c r="C5302" s="1">
        <v>46014</v>
      </c>
      <c r="D5302" t="s">
        <v>10559</v>
      </c>
      <c r="E5302">
        <v>363</v>
      </c>
      <c r="G5302" s="3">
        <f>MONTH(Tabela1[[#This Row],[Último pagto ano]])</f>
        <v>12</v>
      </c>
      <c r="H5302" t="str">
        <f>TEXT(Tabela1[[#This Row],[Coluna2]]*29,"mmmm")</f>
        <v>dezembro</v>
      </c>
      <c r="I5302" t="str">
        <f>TEXT(MONTH(Tabela1[[#This Row],[Último pagto ano]])*29,"mmmm")</f>
        <v>dezembro</v>
      </c>
    </row>
    <row r="5303" spans="1:9" x14ac:dyDescent="0.25">
      <c r="A5303">
        <v>2025</v>
      </c>
      <c r="B5303" t="s">
        <v>10560</v>
      </c>
      <c r="C5303" s="1">
        <v>46014</v>
      </c>
      <c r="D5303" t="s">
        <v>10561</v>
      </c>
      <c r="E5303">
        <v>451</v>
      </c>
      <c r="G5303" s="3">
        <f>MONTH(Tabela1[[#This Row],[Último pagto ano]])</f>
        <v>12</v>
      </c>
      <c r="H5303" t="str">
        <f>TEXT(Tabela1[[#This Row],[Coluna2]]*29,"mmmm")</f>
        <v>dezembro</v>
      </c>
      <c r="I5303" t="str">
        <f>TEXT(MONTH(Tabela1[[#This Row],[Último pagto ano]])*29,"mmmm")</f>
        <v>dezembro</v>
      </c>
    </row>
    <row r="5304" spans="1:9" x14ac:dyDescent="0.25">
      <c r="A5304">
        <v>2025</v>
      </c>
      <c r="B5304" t="s">
        <v>10562</v>
      </c>
      <c r="C5304" s="1">
        <v>46006</v>
      </c>
      <c r="D5304" t="s">
        <v>10563</v>
      </c>
      <c r="E5304" s="2">
        <v>22576.560000000001</v>
      </c>
      <c r="G5304" s="3">
        <f>MONTH(Tabela1[[#This Row],[Último pagto ano]])</f>
        <v>12</v>
      </c>
      <c r="H5304" t="str">
        <f>TEXT(Tabela1[[#This Row],[Coluna2]]*29,"mmmm")</f>
        <v>dezembro</v>
      </c>
      <c r="I5304" t="str">
        <f>TEXT(MONTH(Tabela1[[#This Row],[Último pagto ano]])*29,"mmmm")</f>
        <v>dezembro</v>
      </c>
    </row>
    <row r="5305" spans="1:9" x14ac:dyDescent="0.25">
      <c r="A5305">
        <v>2025</v>
      </c>
      <c r="B5305" t="s">
        <v>10564</v>
      </c>
      <c r="C5305" s="1">
        <v>45964</v>
      </c>
      <c r="D5305" t="s">
        <v>10565</v>
      </c>
      <c r="E5305">
        <v>24.76</v>
      </c>
      <c r="G5305" s="3">
        <f>MONTH(Tabela1[[#This Row],[Último pagto ano]])</f>
        <v>11</v>
      </c>
      <c r="H5305" t="str">
        <f>TEXT(Tabela1[[#This Row],[Coluna2]]*29,"mmmm")</f>
        <v>novembro</v>
      </c>
      <c r="I5305" t="str">
        <f>TEXT(MONTH(Tabela1[[#This Row],[Último pagto ano]])*29,"mmmm")</f>
        <v>novembro</v>
      </c>
    </row>
    <row r="5306" spans="1:9" x14ac:dyDescent="0.25">
      <c r="A5306">
        <v>2025</v>
      </c>
      <c r="B5306" t="s">
        <v>10566</v>
      </c>
      <c r="C5306" s="1">
        <v>46021</v>
      </c>
      <c r="D5306" t="s">
        <v>10567</v>
      </c>
      <c r="E5306" s="2">
        <v>40585.4</v>
      </c>
      <c r="G5306" s="3">
        <f>MONTH(Tabela1[[#This Row],[Último pagto ano]])</f>
        <v>12</v>
      </c>
      <c r="H5306" t="str">
        <f>TEXT(Tabela1[[#This Row],[Coluna2]]*29,"mmmm")</f>
        <v>dezembro</v>
      </c>
      <c r="I5306" t="str">
        <f>TEXT(MONTH(Tabela1[[#This Row],[Último pagto ano]])*29,"mmmm")</f>
        <v>dezembro</v>
      </c>
    </row>
    <row r="5307" spans="1:9" x14ac:dyDescent="0.25">
      <c r="A5307">
        <v>2025</v>
      </c>
      <c r="B5307" t="s">
        <v>10568</v>
      </c>
      <c r="C5307" s="1">
        <v>45954</v>
      </c>
      <c r="D5307" t="s">
        <v>10569</v>
      </c>
      <c r="E5307" s="2">
        <v>3877.39</v>
      </c>
      <c r="G5307" s="3">
        <f>MONTH(Tabela1[[#This Row],[Último pagto ano]])</f>
        <v>10</v>
      </c>
      <c r="H5307" t="str">
        <f>TEXT(Tabela1[[#This Row],[Coluna2]]*29,"mmmm")</f>
        <v>outubro</v>
      </c>
      <c r="I5307" t="str">
        <f>TEXT(MONTH(Tabela1[[#This Row],[Último pagto ano]])*29,"mmmm")</f>
        <v>outubro</v>
      </c>
    </row>
    <row r="5308" spans="1:9" x14ac:dyDescent="0.25">
      <c r="A5308">
        <v>2025</v>
      </c>
      <c r="B5308" t="s">
        <v>10570</v>
      </c>
      <c r="C5308" s="1">
        <v>46010</v>
      </c>
      <c r="D5308" t="s">
        <v>10571</v>
      </c>
      <c r="E5308" s="2">
        <v>2800</v>
      </c>
      <c r="G5308" s="3">
        <f>MONTH(Tabela1[[#This Row],[Último pagto ano]])</f>
        <v>12</v>
      </c>
      <c r="H5308" t="str">
        <f>TEXT(Tabela1[[#This Row],[Coluna2]]*29,"mmmm")</f>
        <v>dezembro</v>
      </c>
      <c r="I5308" t="str">
        <f>TEXT(MONTH(Tabela1[[#This Row],[Último pagto ano]])*29,"mmmm")</f>
        <v>dezembro</v>
      </c>
    </row>
    <row r="5309" spans="1:9" x14ac:dyDescent="0.25">
      <c r="A5309">
        <v>2025</v>
      </c>
      <c r="B5309" t="s">
        <v>10572</v>
      </c>
      <c r="C5309" s="1">
        <v>45702</v>
      </c>
      <c r="D5309" t="s">
        <v>10573</v>
      </c>
      <c r="E5309">
        <v>207.2</v>
      </c>
      <c r="G5309" s="3">
        <f>MONTH(Tabela1[[#This Row],[Último pagto ano]])</f>
        <v>2</v>
      </c>
      <c r="H5309" t="str">
        <f>TEXT(Tabela1[[#This Row],[Coluna2]]*29,"mmmm")</f>
        <v>fevereiro</v>
      </c>
      <c r="I5309" t="str">
        <f>TEXT(MONTH(Tabela1[[#This Row],[Último pagto ano]])*29,"mmmm")</f>
        <v>fevereiro</v>
      </c>
    </row>
    <row r="5310" spans="1:9" x14ac:dyDescent="0.25">
      <c r="A5310">
        <v>2025</v>
      </c>
      <c r="B5310" t="s">
        <v>10574</v>
      </c>
      <c r="C5310" s="1">
        <v>45996</v>
      </c>
      <c r="D5310" t="s">
        <v>10575</v>
      </c>
      <c r="E5310" s="2">
        <v>14050</v>
      </c>
      <c r="G5310" s="3">
        <f>MONTH(Tabela1[[#This Row],[Último pagto ano]])</f>
        <v>12</v>
      </c>
      <c r="H5310" t="str">
        <f>TEXT(Tabela1[[#This Row],[Coluna2]]*29,"mmmm")</f>
        <v>dezembro</v>
      </c>
      <c r="I5310" t="str">
        <f>TEXT(MONTH(Tabela1[[#This Row],[Último pagto ano]])*29,"mmmm")</f>
        <v>dezembro</v>
      </c>
    </row>
    <row r="5311" spans="1:9" x14ac:dyDescent="0.25">
      <c r="A5311">
        <v>2025</v>
      </c>
      <c r="B5311" t="s">
        <v>10576</v>
      </c>
      <c r="C5311" s="1">
        <v>45883</v>
      </c>
      <c r="D5311" t="s">
        <v>10577</v>
      </c>
      <c r="E5311">
        <v>427.91</v>
      </c>
      <c r="G5311" s="3">
        <f>MONTH(Tabela1[[#This Row],[Último pagto ano]])</f>
        <v>8</v>
      </c>
      <c r="H5311" t="str">
        <f>TEXT(Tabela1[[#This Row],[Coluna2]]*29,"mmmm")</f>
        <v>agosto</v>
      </c>
      <c r="I5311" t="str">
        <f>TEXT(MONTH(Tabela1[[#This Row],[Último pagto ano]])*29,"mmmm")</f>
        <v>agosto</v>
      </c>
    </row>
    <row r="5312" spans="1:9" x14ac:dyDescent="0.25">
      <c r="A5312">
        <v>2025</v>
      </c>
      <c r="B5312" t="s">
        <v>10578</v>
      </c>
      <c r="C5312" s="1">
        <v>45989</v>
      </c>
      <c r="D5312" t="s">
        <v>10579</v>
      </c>
      <c r="E5312" s="2">
        <v>33860</v>
      </c>
      <c r="G5312" s="3">
        <f>MONTH(Tabela1[[#This Row],[Último pagto ano]])</f>
        <v>11</v>
      </c>
      <c r="H5312" t="str">
        <f>TEXT(Tabela1[[#This Row],[Coluna2]]*29,"mmmm")</f>
        <v>novembro</v>
      </c>
      <c r="I5312" t="str">
        <f>TEXT(MONTH(Tabela1[[#This Row],[Último pagto ano]])*29,"mmmm")</f>
        <v>novembro</v>
      </c>
    </row>
    <row r="5313" spans="1:9" x14ac:dyDescent="0.25">
      <c r="A5313">
        <v>2025</v>
      </c>
      <c r="B5313" t="s">
        <v>10580</v>
      </c>
      <c r="C5313" s="1">
        <v>45863</v>
      </c>
      <c r="D5313" t="s">
        <v>10581</v>
      </c>
      <c r="E5313" s="2">
        <v>4900</v>
      </c>
      <c r="G5313" s="3">
        <f>MONTH(Tabela1[[#This Row],[Último pagto ano]])</f>
        <v>7</v>
      </c>
      <c r="H5313" t="str">
        <f>TEXT(Tabela1[[#This Row],[Coluna2]]*29,"mmmm")</f>
        <v>julho</v>
      </c>
      <c r="I5313" t="str">
        <f>TEXT(MONTH(Tabela1[[#This Row],[Último pagto ano]])*29,"mmmm")</f>
        <v>julho</v>
      </c>
    </row>
    <row r="5314" spans="1:9" x14ac:dyDescent="0.25">
      <c r="A5314">
        <v>2025</v>
      </c>
      <c r="B5314" t="s">
        <v>10582</v>
      </c>
      <c r="C5314" s="1">
        <v>45670</v>
      </c>
      <c r="D5314" t="s">
        <v>10583</v>
      </c>
      <c r="E5314" s="2">
        <v>2270.19</v>
      </c>
      <c r="G5314" s="3">
        <f>MONTH(Tabela1[[#This Row],[Último pagto ano]])</f>
        <v>1</v>
      </c>
      <c r="H5314" t="str">
        <f>TEXT(Tabela1[[#This Row],[Coluna2]]*29,"mmmm")</f>
        <v>janeiro</v>
      </c>
      <c r="I5314" t="str">
        <f>TEXT(MONTH(Tabela1[[#This Row],[Último pagto ano]])*29,"mmmm")</f>
        <v>janeiro</v>
      </c>
    </row>
    <row r="5315" spans="1:9" x14ac:dyDescent="0.25">
      <c r="A5315">
        <v>2025</v>
      </c>
      <c r="B5315" t="s">
        <v>10584</v>
      </c>
      <c r="C5315" s="1">
        <v>46014</v>
      </c>
      <c r="D5315" t="s">
        <v>10585</v>
      </c>
      <c r="E5315" s="2">
        <v>25180</v>
      </c>
      <c r="G5315" s="3">
        <f>MONTH(Tabela1[[#This Row],[Último pagto ano]])</f>
        <v>12</v>
      </c>
      <c r="H5315" t="str">
        <f>TEXT(Tabela1[[#This Row],[Coluna2]]*29,"mmmm")</f>
        <v>dezembro</v>
      </c>
      <c r="I5315" t="str">
        <f>TEXT(MONTH(Tabela1[[#This Row],[Último pagto ano]])*29,"mmmm")</f>
        <v>dezembro</v>
      </c>
    </row>
    <row r="5316" spans="1:9" x14ac:dyDescent="0.25">
      <c r="A5316">
        <v>2025</v>
      </c>
      <c r="B5316" t="s">
        <v>10586</v>
      </c>
      <c r="C5316" s="1">
        <v>45985</v>
      </c>
      <c r="D5316" t="s">
        <v>10587</v>
      </c>
      <c r="E5316" s="2">
        <v>2100</v>
      </c>
      <c r="G5316" s="3">
        <f>MONTH(Tabela1[[#This Row],[Último pagto ano]])</f>
        <v>11</v>
      </c>
      <c r="H5316" t="str">
        <f>TEXT(Tabela1[[#This Row],[Coluna2]]*29,"mmmm")</f>
        <v>novembro</v>
      </c>
      <c r="I5316" t="str">
        <f>TEXT(MONTH(Tabela1[[#This Row],[Último pagto ano]])*29,"mmmm")</f>
        <v>novembro</v>
      </c>
    </row>
    <row r="5317" spans="1:9" x14ac:dyDescent="0.25">
      <c r="A5317">
        <v>2025</v>
      </c>
      <c r="B5317" t="s">
        <v>10588</v>
      </c>
      <c r="C5317" s="1">
        <v>45792</v>
      </c>
      <c r="D5317" t="s">
        <v>10589</v>
      </c>
      <c r="E5317">
        <v>520.77</v>
      </c>
      <c r="G5317" s="3">
        <f>MONTH(Tabela1[[#This Row],[Último pagto ano]])</f>
        <v>5</v>
      </c>
      <c r="H5317" t="str">
        <f>TEXT(Tabela1[[#This Row],[Coluna2]]*29,"mmmm")</f>
        <v>maio</v>
      </c>
      <c r="I5317" t="str">
        <f>TEXT(MONTH(Tabela1[[#This Row],[Último pagto ano]])*29,"mmmm")</f>
        <v>maio</v>
      </c>
    </row>
    <row r="5318" spans="1:9" x14ac:dyDescent="0.25">
      <c r="A5318">
        <v>2025</v>
      </c>
      <c r="B5318" t="s">
        <v>10590</v>
      </c>
      <c r="C5318" s="1">
        <v>45996</v>
      </c>
      <c r="D5318" t="s">
        <v>10591</v>
      </c>
      <c r="E5318" s="2">
        <v>31104</v>
      </c>
      <c r="G5318" s="3">
        <f>MONTH(Tabela1[[#This Row],[Último pagto ano]])</f>
        <v>12</v>
      </c>
      <c r="H5318" t="str">
        <f>TEXT(Tabela1[[#This Row],[Coluna2]]*29,"mmmm")</f>
        <v>dezembro</v>
      </c>
      <c r="I5318" t="str">
        <f>TEXT(MONTH(Tabela1[[#This Row],[Último pagto ano]])*29,"mmmm")</f>
        <v>dezembro</v>
      </c>
    </row>
    <row r="5319" spans="1:9" x14ac:dyDescent="0.25">
      <c r="A5319">
        <v>2025</v>
      </c>
      <c r="B5319" t="s">
        <v>10592</v>
      </c>
      <c r="C5319" s="1">
        <v>45831</v>
      </c>
      <c r="D5319" t="s">
        <v>10593</v>
      </c>
      <c r="E5319">
        <v>87.75</v>
      </c>
      <c r="G5319" s="3">
        <f>MONTH(Tabela1[[#This Row],[Último pagto ano]])</f>
        <v>6</v>
      </c>
      <c r="H5319" t="str">
        <f>TEXT(Tabela1[[#This Row],[Coluna2]]*29,"mmmm")</f>
        <v>junho</v>
      </c>
      <c r="I5319" t="str">
        <f>TEXT(MONTH(Tabela1[[#This Row],[Último pagto ano]])*29,"mmmm")</f>
        <v>junho</v>
      </c>
    </row>
    <row r="5320" spans="1:9" x14ac:dyDescent="0.25">
      <c r="A5320">
        <v>2025</v>
      </c>
      <c r="B5320" t="s">
        <v>10594</v>
      </c>
      <c r="C5320" s="1">
        <v>46010</v>
      </c>
      <c r="D5320" t="s">
        <v>10595</v>
      </c>
      <c r="E5320" s="2">
        <v>8400</v>
      </c>
      <c r="G5320" s="3">
        <f>MONTH(Tabela1[[#This Row],[Último pagto ano]])</f>
        <v>12</v>
      </c>
      <c r="H5320" t="str">
        <f>TEXT(Tabela1[[#This Row],[Coluna2]]*29,"mmmm")</f>
        <v>dezembro</v>
      </c>
      <c r="I5320" t="str">
        <f>TEXT(MONTH(Tabela1[[#This Row],[Último pagto ano]])*29,"mmmm")</f>
        <v>dezembro</v>
      </c>
    </row>
    <row r="5321" spans="1:9" x14ac:dyDescent="0.25">
      <c r="A5321">
        <v>2025</v>
      </c>
      <c r="B5321" t="s">
        <v>10596</v>
      </c>
      <c r="C5321" s="1">
        <v>46006</v>
      </c>
      <c r="D5321" t="s">
        <v>10597</v>
      </c>
      <c r="E5321" s="2">
        <v>8265.92</v>
      </c>
      <c r="G5321" s="3">
        <f>MONTH(Tabela1[[#This Row],[Último pagto ano]])</f>
        <v>12</v>
      </c>
      <c r="H5321" t="str">
        <f>TEXT(Tabela1[[#This Row],[Coluna2]]*29,"mmmm")</f>
        <v>dezembro</v>
      </c>
      <c r="I5321" t="str">
        <f>TEXT(MONTH(Tabela1[[#This Row],[Último pagto ano]])*29,"mmmm")</f>
        <v>dezembro</v>
      </c>
    </row>
    <row r="5322" spans="1:9" x14ac:dyDescent="0.25">
      <c r="A5322">
        <v>2025</v>
      </c>
      <c r="B5322" t="s">
        <v>10598</v>
      </c>
      <c r="C5322" s="1">
        <v>45915</v>
      </c>
      <c r="D5322" t="s">
        <v>10599</v>
      </c>
      <c r="E5322">
        <v>700</v>
      </c>
      <c r="G5322" s="3">
        <f>MONTH(Tabela1[[#This Row],[Último pagto ano]])</f>
        <v>9</v>
      </c>
      <c r="H5322" t="str">
        <f>TEXT(Tabela1[[#This Row],[Coluna2]]*29,"mmmm")</f>
        <v>setembro</v>
      </c>
      <c r="I5322" t="str">
        <f>TEXT(MONTH(Tabela1[[#This Row],[Último pagto ano]])*29,"mmmm")</f>
        <v>setembro</v>
      </c>
    </row>
    <row r="5323" spans="1:9" x14ac:dyDescent="0.25">
      <c r="A5323">
        <v>2025</v>
      </c>
      <c r="B5323" t="s">
        <v>10600</v>
      </c>
      <c r="C5323" s="1">
        <v>45996</v>
      </c>
      <c r="D5323" t="s">
        <v>10601</v>
      </c>
      <c r="E5323" s="2">
        <v>5500</v>
      </c>
      <c r="G5323" s="3">
        <f>MONTH(Tabela1[[#This Row],[Último pagto ano]])</f>
        <v>12</v>
      </c>
      <c r="H5323" t="str">
        <f>TEXT(Tabela1[[#This Row],[Coluna2]]*29,"mmmm")</f>
        <v>dezembro</v>
      </c>
      <c r="I5323" t="str">
        <f>TEXT(MONTH(Tabela1[[#This Row],[Último pagto ano]])*29,"mmmm")</f>
        <v>dezembro</v>
      </c>
    </row>
    <row r="5324" spans="1:9" x14ac:dyDescent="0.25">
      <c r="A5324">
        <v>2025</v>
      </c>
      <c r="B5324" t="s">
        <v>10602</v>
      </c>
      <c r="C5324" s="1">
        <v>46021</v>
      </c>
      <c r="D5324" t="s">
        <v>10603</v>
      </c>
      <c r="E5324" s="2">
        <v>15936.86</v>
      </c>
      <c r="G5324" s="3">
        <f>MONTH(Tabela1[[#This Row],[Último pagto ano]])</f>
        <v>12</v>
      </c>
      <c r="H5324" t="str">
        <f>TEXT(Tabela1[[#This Row],[Coluna2]]*29,"mmmm")</f>
        <v>dezembro</v>
      </c>
      <c r="I5324" t="str">
        <f>TEXT(MONTH(Tabela1[[#This Row],[Último pagto ano]])*29,"mmmm")</f>
        <v>dezembro</v>
      </c>
    </row>
    <row r="5325" spans="1:9" x14ac:dyDescent="0.25">
      <c r="A5325">
        <v>2025</v>
      </c>
      <c r="B5325" t="s">
        <v>10604</v>
      </c>
      <c r="C5325" s="1">
        <v>45996</v>
      </c>
      <c r="D5325" t="s">
        <v>10605</v>
      </c>
      <c r="E5325" s="2">
        <v>5000</v>
      </c>
      <c r="G5325" s="3">
        <f>MONTH(Tabela1[[#This Row],[Último pagto ano]])</f>
        <v>12</v>
      </c>
      <c r="H5325" t="str">
        <f>TEXT(Tabela1[[#This Row],[Coluna2]]*29,"mmmm")</f>
        <v>dezembro</v>
      </c>
      <c r="I5325" t="str">
        <f>TEXT(MONTH(Tabela1[[#This Row],[Último pagto ano]])*29,"mmmm")</f>
        <v>dezembro</v>
      </c>
    </row>
    <row r="5326" spans="1:9" x14ac:dyDescent="0.25">
      <c r="A5326">
        <v>2025</v>
      </c>
      <c r="B5326" t="s">
        <v>10606</v>
      </c>
      <c r="C5326" s="1">
        <v>46006</v>
      </c>
      <c r="D5326" t="s">
        <v>10607</v>
      </c>
      <c r="E5326">
        <v>66</v>
      </c>
      <c r="G5326" s="3">
        <f>MONTH(Tabela1[[#This Row],[Último pagto ano]])</f>
        <v>12</v>
      </c>
      <c r="H5326" t="str">
        <f>TEXT(Tabela1[[#This Row],[Coluna2]]*29,"mmmm")</f>
        <v>dezembro</v>
      </c>
      <c r="I5326" t="str">
        <f>TEXT(MONTH(Tabela1[[#This Row],[Último pagto ano]])*29,"mmmm")</f>
        <v>dezembro</v>
      </c>
    </row>
    <row r="5327" spans="1:9" x14ac:dyDescent="0.25">
      <c r="A5327">
        <v>2025</v>
      </c>
      <c r="B5327" t="s">
        <v>10608</v>
      </c>
      <c r="C5327" s="1">
        <v>46006</v>
      </c>
      <c r="D5327" t="s">
        <v>10609</v>
      </c>
      <c r="E5327" s="2">
        <v>10547.88</v>
      </c>
      <c r="G5327" s="3">
        <f>MONTH(Tabela1[[#This Row],[Último pagto ano]])</f>
        <v>12</v>
      </c>
      <c r="H5327" t="str">
        <f>TEXT(Tabela1[[#This Row],[Coluna2]]*29,"mmmm")</f>
        <v>dezembro</v>
      </c>
      <c r="I5327" t="str">
        <f>TEXT(MONTH(Tabela1[[#This Row],[Último pagto ano]])*29,"mmmm")</f>
        <v>dezembro</v>
      </c>
    </row>
    <row r="5328" spans="1:9" x14ac:dyDescent="0.25">
      <c r="A5328">
        <v>2025</v>
      </c>
      <c r="B5328" t="s">
        <v>10610</v>
      </c>
      <c r="C5328" s="1">
        <v>45989</v>
      </c>
      <c r="D5328" t="s">
        <v>10611</v>
      </c>
      <c r="E5328" s="2">
        <v>8014.37</v>
      </c>
      <c r="G5328" s="3">
        <f>MONTH(Tabela1[[#This Row],[Último pagto ano]])</f>
        <v>11</v>
      </c>
      <c r="H5328" t="str">
        <f>TEXT(Tabela1[[#This Row],[Coluna2]]*29,"mmmm")</f>
        <v>novembro</v>
      </c>
      <c r="I5328" t="str">
        <f>TEXT(MONTH(Tabela1[[#This Row],[Último pagto ano]])*29,"mmmm")</f>
        <v>novembro</v>
      </c>
    </row>
    <row r="5329" spans="1:9" x14ac:dyDescent="0.25">
      <c r="A5329">
        <v>2025</v>
      </c>
      <c r="B5329" t="s">
        <v>10612</v>
      </c>
      <c r="C5329" s="1">
        <v>45880</v>
      </c>
      <c r="D5329" t="s">
        <v>10613</v>
      </c>
      <c r="E5329" s="2">
        <v>1500</v>
      </c>
      <c r="G5329" s="3">
        <f>MONTH(Tabela1[[#This Row],[Último pagto ano]])</f>
        <v>8</v>
      </c>
      <c r="H5329" t="str">
        <f>TEXT(Tabela1[[#This Row],[Coluna2]]*29,"mmmm")</f>
        <v>agosto</v>
      </c>
      <c r="I5329" t="str">
        <f>TEXT(MONTH(Tabela1[[#This Row],[Último pagto ano]])*29,"mmmm")</f>
        <v>agosto</v>
      </c>
    </row>
    <row r="5330" spans="1:9" x14ac:dyDescent="0.25">
      <c r="A5330">
        <v>2025</v>
      </c>
      <c r="B5330" t="s">
        <v>10614</v>
      </c>
      <c r="C5330" s="1">
        <v>46006</v>
      </c>
      <c r="D5330" t="s">
        <v>10615</v>
      </c>
      <c r="E5330" s="2">
        <v>13866.4</v>
      </c>
      <c r="G5330" s="3">
        <f>MONTH(Tabela1[[#This Row],[Último pagto ano]])</f>
        <v>12</v>
      </c>
      <c r="H5330" t="str">
        <f>TEXT(Tabela1[[#This Row],[Coluna2]]*29,"mmmm")</f>
        <v>dezembro</v>
      </c>
      <c r="I5330" t="str">
        <f>TEXT(MONTH(Tabela1[[#This Row],[Último pagto ano]])*29,"mmmm")</f>
        <v>dezembro</v>
      </c>
    </row>
    <row r="5331" spans="1:9" x14ac:dyDescent="0.25">
      <c r="A5331">
        <v>2025</v>
      </c>
      <c r="B5331" t="s">
        <v>10616</v>
      </c>
      <c r="C5331" s="1">
        <v>45702</v>
      </c>
      <c r="D5331" t="s">
        <v>10617</v>
      </c>
      <c r="E5331">
        <v>596.89</v>
      </c>
      <c r="G5331" s="3">
        <f>MONTH(Tabela1[[#This Row],[Último pagto ano]])</f>
        <v>2</v>
      </c>
      <c r="H5331" t="str">
        <f>TEXT(Tabela1[[#This Row],[Coluna2]]*29,"mmmm")</f>
        <v>fevereiro</v>
      </c>
      <c r="I5331" t="str">
        <f>TEXT(MONTH(Tabela1[[#This Row],[Último pagto ano]])*29,"mmmm")</f>
        <v>fevereiro</v>
      </c>
    </row>
    <row r="5332" spans="1:9" x14ac:dyDescent="0.25">
      <c r="A5332">
        <v>2025</v>
      </c>
      <c r="B5332" t="s">
        <v>10618</v>
      </c>
      <c r="C5332" s="1">
        <v>46006</v>
      </c>
      <c r="D5332" t="s">
        <v>10619</v>
      </c>
      <c r="E5332" s="2">
        <v>4146.24</v>
      </c>
      <c r="G5332" s="3">
        <f>MONTH(Tabela1[[#This Row],[Último pagto ano]])</f>
        <v>12</v>
      </c>
      <c r="H5332" t="str">
        <f>TEXT(Tabela1[[#This Row],[Coluna2]]*29,"mmmm")</f>
        <v>dezembro</v>
      </c>
      <c r="I5332" t="str">
        <f>TEXT(MONTH(Tabela1[[#This Row],[Último pagto ano]])*29,"mmmm")</f>
        <v>dezembro</v>
      </c>
    </row>
    <row r="5333" spans="1:9" x14ac:dyDescent="0.25">
      <c r="A5333">
        <v>2025</v>
      </c>
      <c r="B5333" t="s">
        <v>10620</v>
      </c>
      <c r="C5333" s="1">
        <v>45996</v>
      </c>
      <c r="D5333" t="s">
        <v>10621</v>
      </c>
      <c r="E5333" s="2">
        <v>30031.599999999999</v>
      </c>
      <c r="G5333" s="3">
        <f>MONTH(Tabela1[[#This Row],[Último pagto ano]])</f>
        <v>12</v>
      </c>
      <c r="H5333" t="str">
        <f>TEXT(Tabela1[[#This Row],[Coluna2]]*29,"mmmm")</f>
        <v>dezembro</v>
      </c>
      <c r="I5333" t="str">
        <f>TEXT(MONTH(Tabela1[[#This Row],[Último pagto ano]])*29,"mmmm")</f>
        <v>dezembro</v>
      </c>
    </row>
    <row r="5334" spans="1:9" x14ac:dyDescent="0.25">
      <c r="A5334">
        <v>2025</v>
      </c>
      <c r="B5334" t="s">
        <v>10622</v>
      </c>
      <c r="C5334" s="1">
        <v>46010</v>
      </c>
      <c r="D5334" t="s">
        <v>10623</v>
      </c>
      <c r="E5334">
        <v>700</v>
      </c>
      <c r="G5334" s="3">
        <f>MONTH(Tabela1[[#This Row],[Último pagto ano]])</f>
        <v>12</v>
      </c>
      <c r="H5334" t="str">
        <f>TEXT(Tabela1[[#This Row],[Coluna2]]*29,"mmmm")</f>
        <v>dezembro</v>
      </c>
      <c r="I5334" t="str">
        <f>TEXT(MONTH(Tabela1[[#This Row],[Último pagto ano]])*29,"mmmm")</f>
        <v>dezembro</v>
      </c>
    </row>
    <row r="5335" spans="1:9" x14ac:dyDescent="0.25">
      <c r="A5335">
        <v>2025</v>
      </c>
      <c r="B5335" t="s">
        <v>10624</v>
      </c>
      <c r="C5335" s="1">
        <v>45702</v>
      </c>
      <c r="D5335" t="s">
        <v>10625</v>
      </c>
      <c r="E5335">
        <v>48.36</v>
      </c>
      <c r="G5335" s="3">
        <f>MONTH(Tabela1[[#This Row],[Último pagto ano]])</f>
        <v>2</v>
      </c>
      <c r="H5335" t="str">
        <f>TEXT(Tabela1[[#This Row],[Coluna2]]*29,"mmmm")</f>
        <v>fevereiro</v>
      </c>
      <c r="I5335" t="str">
        <f>TEXT(MONTH(Tabela1[[#This Row],[Último pagto ano]])*29,"mmmm")</f>
        <v>fevereiro</v>
      </c>
    </row>
    <row r="5336" spans="1:9" x14ac:dyDescent="0.25">
      <c r="A5336">
        <v>2025</v>
      </c>
      <c r="B5336" t="s">
        <v>10626</v>
      </c>
      <c r="C5336" s="1">
        <v>45996</v>
      </c>
      <c r="D5336" t="s">
        <v>10627</v>
      </c>
      <c r="E5336" s="2">
        <v>4900</v>
      </c>
      <c r="G5336" s="3">
        <f>MONTH(Tabela1[[#This Row],[Último pagto ano]])</f>
        <v>12</v>
      </c>
      <c r="H5336" t="str">
        <f>TEXT(Tabela1[[#This Row],[Coluna2]]*29,"mmmm")</f>
        <v>dezembro</v>
      </c>
      <c r="I5336" t="str">
        <f>TEXT(MONTH(Tabela1[[#This Row],[Último pagto ano]])*29,"mmmm")</f>
        <v>dezembro</v>
      </c>
    </row>
    <row r="5337" spans="1:9" x14ac:dyDescent="0.25">
      <c r="A5337">
        <v>2025</v>
      </c>
      <c r="B5337" t="s">
        <v>10628</v>
      </c>
      <c r="C5337" s="1">
        <v>45989</v>
      </c>
      <c r="D5337" t="s">
        <v>10629</v>
      </c>
      <c r="E5337" s="2">
        <v>5393.53</v>
      </c>
      <c r="G5337" s="3">
        <f>MONTH(Tabela1[[#This Row],[Último pagto ano]])</f>
        <v>11</v>
      </c>
      <c r="H5337" t="str">
        <f>TEXT(Tabela1[[#This Row],[Coluna2]]*29,"mmmm")</f>
        <v>novembro</v>
      </c>
      <c r="I5337" t="str">
        <f>TEXT(MONTH(Tabela1[[#This Row],[Último pagto ano]])*29,"mmmm")</f>
        <v>novembro</v>
      </c>
    </row>
    <row r="5338" spans="1:9" x14ac:dyDescent="0.25">
      <c r="A5338">
        <v>2025</v>
      </c>
      <c r="B5338" t="s">
        <v>10630</v>
      </c>
      <c r="C5338" s="1">
        <v>45908</v>
      </c>
      <c r="D5338" t="s">
        <v>10631</v>
      </c>
      <c r="E5338">
        <v>22.98</v>
      </c>
      <c r="G5338" s="3">
        <f>MONTH(Tabela1[[#This Row],[Último pagto ano]])</f>
        <v>9</v>
      </c>
      <c r="H5338" t="str">
        <f>TEXT(Tabela1[[#This Row],[Coluna2]]*29,"mmmm")</f>
        <v>setembro</v>
      </c>
      <c r="I5338" t="str">
        <f>TEXT(MONTH(Tabela1[[#This Row],[Último pagto ano]])*29,"mmmm")</f>
        <v>setembro</v>
      </c>
    </row>
    <row r="5339" spans="1:9" x14ac:dyDescent="0.25">
      <c r="A5339">
        <v>2025</v>
      </c>
      <c r="B5339" t="s">
        <v>10632</v>
      </c>
      <c r="C5339" s="1">
        <v>45996</v>
      </c>
      <c r="D5339" t="s">
        <v>10633</v>
      </c>
      <c r="E5339" s="2">
        <v>10800</v>
      </c>
      <c r="G5339" s="3">
        <f>MONTH(Tabela1[[#This Row],[Último pagto ano]])</f>
        <v>12</v>
      </c>
      <c r="H5339" t="str">
        <f>TEXT(Tabela1[[#This Row],[Coluna2]]*29,"mmmm")</f>
        <v>dezembro</v>
      </c>
      <c r="I5339" t="str">
        <f>TEXT(MONTH(Tabela1[[#This Row],[Último pagto ano]])*29,"mmmm")</f>
        <v>dezembro</v>
      </c>
    </row>
    <row r="5340" spans="1:9" x14ac:dyDescent="0.25">
      <c r="A5340">
        <v>2025</v>
      </c>
      <c r="B5340" t="s">
        <v>10634</v>
      </c>
      <c r="C5340" s="1">
        <v>45975</v>
      </c>
      <c r="D5340" t="s">
        <v>10635</v>
      </c>
      <c r="E5340" s="2">
        <v>5923.2</v>
      </c>
      <c r="G5340" s="3">
        <f>MONTH(Tabela1[[#This Row],[Último pagto ano]])</f>
        <v>11</v>
      </c>
      <c r="H5340" t="str">
        <f>TEXT(Tabela1[[#This Row],[Coluna2]]*29,"mmmm")</f>
        <v>novembro</v>
      </c>
      <c r="I5340" t="str">
        <f>TEXT(MONTH(Tabela1[[#This Row],[Último pagto ano]])*29,"mmmm")</f>
        <v>novembro</v>
      </c>
    </row>
    <row r="5341" spans="1:9" x14ac:dyDescent="0.25">
      <c r="A5341">
        <v>2025</v>
      </c>
      <c r="B5341" t="s">
        <v>10636</v>
      </c>
      <c r="C5341" s="1">
        <v>45832</v>
      </c>
      <c r="D5341" t="s">
        <v>10637</v>
      </c>
      <c r="E5341" s="2">
        <v>2800</v>
      </c>
      <c r="G5341" s="3">
        <f>MONTH(Tabela1[[#This Row],[Último pagto ano]])</f>
        <v>6</v>
      </c>
      <c r="H5341" t="str">
        <f>TEXT(Tabela1[[#This Row],[Coluna2]]*29,"mmmm")</f>
        <v>junho</v>
      </c>
      <c r="I5341" t="str">
        <f>TEXT(MONTH(Tabela1[[#This Row],[Último pagto ano]])*29,"mmmm")</f>
        <v>junho</v>
      </c>
    </row>
    <row r="5342" spans="1:9" x14ac:dyDescent="0.25">
      <c r="A5342">
        <v>2025</v>
      </c>
      <c r="B5342" t="s">
        <v>10638</v>
      </c>
      <c r="C5342" s="1">
        <v>45824</v>
      </c>
      <c r="D5342" t="s">
        <v>10639</v>
      </c>
      <c r="E5342" s="2">
        <v>8500</v>
      </c>
      <c r="G5342" s="3">
        <f>MONTH(Tabela1[[#This Row],[Último pagto ano]])</f>
        <v>6</v>
      </c>
      <c r="H5342" t="str">
        <f>TEXT(Tabela1[[#This Row],[Coluna2]]*29,"mmmm")</f>
        <v>junho</v>
      </c>
      <c r="I5342" t="str">
        <f>TEXT(MONTH(Tabela1[[#This Row],[Último pagto ano]])*29,"mmmm")</f>
        <v>junho</v>
      </c>
    </row>
    <row r="5343" spans="1:9" x14ac:dyDescent="0.25">
      <c r="A5343">
        <v>2025</v>
      </c>
      <c r="B5343" t="s">
        <v>10640</v>
      </c>
      <c r="C5343" s="1">
        <v>45996</v>
      </c>
      <c r="D5343" t="s">
        <v>10641</v>
      </c>
      <c r="E5343" s="2">
        <v>25863.7</v>
      </c>
      <c r="G5343" s="3">
        <f>MONTH(Tabela1[[#This Row],[Último pagto ano]])</f>
        <v>12</v>
      </c>
      <c r="H5343" t="str">
        <f>TEXT(Tabela1[[#This Row],[Coluna2]]*29,"mmmm")</f>
        <v>dezembro</v>
      </c>
      <c r="I5343" t="str">
        <f>TEXT(MONTH(Tabela1[[#This Row],[Último pagto ano]])*29,"mmmm")</f>
        <v>dezembro</v>
      </c>
    </row>
    <row r="5344" spans="1:9" x14ac:dyDescent="0.25">
      <c r="A5344">
        <v>2025</v>
      </c>
      <c r="B5344" t="s">
        <v>10642</v>
      </c>
      <c r="C5344" s="1">
        <v>45705</v>
      </c>
      <c r="D5344" t="s">
        <v>10643</v>
      </c>
      <c r="E5344" s="2">
        <v>1184.6400000000001</v>
      </c>
      <c r="G5344" s="3">
        <f>MONTH(Tabela1[[#This Row],[Último pagto ano]])</f>
        <v>2</v>
      </c>
      <c r="H5344" t="str">
        <f>TEXT(Tabela1[[#This Row],[Coluna2]]*29,"mmmm")</f>
        <v>fevereiro</v>
      </c>
      <c r="I5344" t="str">
        <f>TEXT(MONTH(Tabela1[[#This Row],[Último pagto ano]])*29,"mmmm")</f>
        <v>fevereiro</v>
      </c>
    </row>
    <row r="5345" spans="1:9" x14ac:dyDescent="0.25">
      <c r="A5345">
        <v>2025</v>
      </c>
      <c r="B5345" t="s">
        <v>10642</v>
      </c>
      <c r="C5345" s="1">
        <v>45996</v>
      </c>
      <c r="D5345" t="s">
        <v>10644</v>
      </c>
      <c r="E5345" s="2">
        <v>24570</v>
      </c>
      <c r="G5345" s="3">
        <f>MONTH(Tabela1[[#This Row],[Último pagto ano]])</f>
        <v>12</v>
      </c>
      <c r="H5345" t="str">
        <f>TEXT(Tabela1[[#This Row],[Coluna2]]*29,"mmmm")</f>
        <v>dezembro</v>
      </c>
      <c r="I5345" t="str">
        <f>TEXT(MONTH(Tabela1[[#This Row],[Último pagto ano]])*29,"mmmm")</f>
        <v>dezembro</v>
      </c>
    </row>
    <row r="5346" spans="1:9" x14ac:dyDescent="0.25">
      <c r="A5346">
        <v>2025</v>
      </c>
      <c r="B5346" t="s">
        <v>10645</v>
      </c>
      <c r="C5346" s="1">
        <v>45988</v>
      </c>
      <c r="D5346" t="s">
        <v>10646</v>
      </c>
      <c r="E5346" s="2">
        <v>2329.48</v>
      </c>
      <c r="G5346" s="3">
        <f>MONTH(Tabela1[[#This Row],[Último pagto ano]])</f>
        <v>11</v>
      </c>
      <c r="H5346" t="str">
        <f>TEXT(Tabela1[[#This Row],[Coluna2]]*29,"mmmm")</f>
        <v>novembro</v>
      </c>
      <c r="I5346" t="str">
        <f>TEXT(MONTH(Tabela1[[#This Row],[Último pagto ano]])*29,"mmmm")</f>
        <v>novembro</v>
      </c>
    </row>
    <row r="5347" spans="1:9" x14ac:dyDescent="0.25">
      <c r="A5347">
        <v>2025</v>
      </c>
      <c r="B5347" t="s">
        <v>10647</v>
      </c>
      <c r="C5347" s="1">
        <v>46006</v>
      </c>
      <c r="D5347" t="s">
        <v>10648</v>
      </c>
      <c r="E5347" s="2">
        <v>16977.68</v>
      </c>
      <c r="G5347" s="3">
        <f>MONTH(Tabela1[[#This Row],[Último pagto ano]])</f>
        <v>12</v>
      </c>
      <c r="H5347" t="str">
        <f>TEXT(Tabela1[[#This Row],[Coluna2]]*29,"mmmm")</f>
        <v>dezembro</v>
      </c>
      <c r="I5347" t="str">
        <f>TEXT(MONTH(Tabela1[[#This Row],[Último pagto ano]])*29,"mmmm")</f>
        <v>dezembro</v>
      </c>
    </row>
    <row r="5348" spans="1:9" x14ac:dyDescent="0.25">
      <c r="A5348">
        <v>2025</v>
      </c>
      <c r="B5348" t="s">
        <v>10649</v>
      </c>
      <c r="C5348" s="1">
        <v>45926</v>
      </c>
      <c r="D5348" t="s">
        <v>10650</v>
      </c>
      <c r="E5348">
        <v>257.39999999999998</v>
      </c>
      <c r="G5348" s="3">
        <f>MONTH(Tabela1[[#This Row],[Último pagto ano]])</f>
        <v>9</v>
      </c>
      <c r="H5348" t="str">
        <f>TEXT(Tabela1[[#This Row],[Coluna2]]*29,"mmmm")</f>
        <v>setembro</v>
      </c>
      <c r="I5348" t="str">
        <f>TEXT(MONTH(Tabela1[[#This Row],[Último pagto ano]])*29,"mmmm")</f>
        <v>setembro</v>
      </c>
    </row>
    <row r="5349" spans="1:9" x14ac:dyDescent="0.25">
      <c r="A5349">
        <v>2025</v>
      </c>
      <c r="B5349" t="s">
        <v>10651</v>
      </c>
      <c r="C5349" s="1">
        <v>45996</v>
      </c>
      <c r="D5349" t="s">
        <v>10652</v>
      </c>
      <c r="E5349" s="2">
        <v>4800</v>
      </c>
      <c r="G5349" s="3">
        <f>MONTH(Tabela1[[#This Row],[Último pagto ano]])</f>
        <v>12</v>
      </c>
      <c r="H5349" t="str">
        <f>TEXT(Tabela1[[#This Row],[Coluna2]]*29,"mmmm")</f>
        <v>dezembro</v>
      </c>
      <c r="I5349" t="str">
        <f>TEXT(MONTH(Tabela1[[#This Row],[Último pagto ano]])*29,"mmmm")</f>
        <v>dezembro</v>
      </c>
    </row>
    <row r="5350" spans="1:9" x14ac:dyDescent="0.25">
      <c r="A5350">
        <v>2025</v>
      </c>
      <c r="B5350" t="s">
        <v>10653</v>
      </c>
      <c r="C5350" s="1">
        <v>46010</v>
      </c>
      <c r="D5350" t="s">
        <v>10654</v>
      </c>
      <c r="E5350" s="2">
        <v>12000</v>
      </c>
      <c r="G5350" s="3">
        <f>MONTH(Tabela1[[#This Row],[Último pagto ano]])</f>
        <v>12</v>
      </c>
      <c r="H5350" t="str">
        <f>TEXT(Tabela1[[#This Row],[Coluna2]]*29,"mmmm")</f>
        <v>dezembro</v>
      </c>
      <c r="I5350" t="str">
        <f>TEXT(MONTH(Tabela1[[#This Row],[Último pagto ano]])*29,"mmmm")</f>
        <v>dezembro</v>
      </c>
    </row>
    <row r="5351" spans="1:9" x14ac:dyDescent="0.25">
      <c r="A5351">
        <v>2025</v>
      </c>
      <c r="B5351" t="s">
        <v>10655</v>
      </c>
      <c r="C5351" s="1">
        <v>45996</v>
      </c>
      <c r="D5351" t="s">
        <v>10656</v>
      </c>
      <c r="E5351" s="2">
        <v>11740</v>
      </c>
      <c r="G5351" s="3">
        <f>MONTH(Tabela1[[#This Row],[Último pagto ano]])</f>
        <v>12</v>
      </c>
      <c r="H5351" t="str">
        <f>TEXT(Tabela1[[#This Row],[Coluna2]]*29,"mmmm")</f>
        <v>dezembro</v>
      </c>
      <c r="I5351" t="str">
        <f>TEXT(MONTH(Tabela1[[#This Row],[Último pagto ano]])*29,"mmmm")</f>
        <v>dezembro</v>
      </c>
    </row>
    <row r="5352" spans="1:9" x14ac:dyDescent="0.25">
      <c r="A5352">
        <v>2025</v>
      </c>
      <c r="B5352" t="s">
        <v>10657</v>
      </c>
      <c r="C5352" s="1">
        <v>46010</v>
      </c>
      <c r="D5352" t="s">
        <v>10658</v>
      </c>
      <c r="E5352" s="2">
        <v>10000</v>
      </c>
      <c r="G5352" s="3">
        <f>MONTH(Tabela1[[#This Row],[Último pagto ano]])</f>
        <v>12</v>
      </c>
      <c r="H5352" t="str">
        <f>TEXT(Tabela1[[#This Row],[Coluna2]]*29,"mmmm")</f>
        <v>dezembro</v>
      </c>
      <c r="I5352" t="str">
        <f>TEXT(MONTH(Tabela1[[#This Row],[Último pagto ano]])*29,"mmmm")</f>
        <v>dezembro</v>
      </c>
    </row>
    <row r="5353" spans="1:9" x14ac:dyDescent="0.25">
      <c r="A5353">
        <v>2025</v>
      </c>
      <c r="B5353" t="s">
        <v>10659</v>
      </c>
      <c r="C5353" s="1">
        <v>45996</v>
      </c>
      <c r="D5353" t="s">
        <v>10660</v>
      </c>
      <c r="E5353" s="2">
        <v>15000</v>
      </c>
      <c r="G5353" s="3">
        <f>MONTH(Tabela1[[#This Row],[Último pagto ano]])</f>
        <v>12</v>
      </c>
      <c r="H5353" t="str">
        <f>TEXT(Tabela1[[#This Row],[Coluna2]]*29,"mmmm")</f>
        <v>dezembro</v>
      </c>
      <c r="I5353" t="str">
        <f>TEXT(MONTH(Tabela1[[#This Row],[Último pagto ano]])*29,"mmmm")</f>
        <v>dezembro</v>
      </c>
    </row>
    <row r="5354" spans="1:9" x14ac:dyDescent="0.25">
      <c r="A5354">
        <v>2025</v>
      </c>
      <c r="B5354" t="s">
        <v>10661</v>
      </c>
      <c r="C5354" s="1">
        <v>46010</v>
      </c>
      <c r="D5354" t="s">
        <v>10662</v>
      </c>
      <c r="E5354" s="2">
        <v>24000</v>
      </c>
      <c r="G5354" s="3">
        <f>MONTH(Tabela1[[#This Row],[Último pagto ano]])</f>
        <v>12</v>
      </c>
      <c r="H5354" t="str">
        <f>TEXT(Tabela1[[#This Row],[Coluna2]]*29,"mmmm")</f>
        <v>dezembro</v>
      </c>
      <c r="I5354" t="str">
        <f>TEXT(MONTH(Tabela1[[#This Row],[Último pagto ano]])*29,"mmmm")</f>
        <v>dezembro</v>
      </c>
    </row>
    <row r="5355" spans="1:9" x14ac:dyDescent="0.25">
      <c r="A5355">
        <v>2025</v>
      </c>
      <c r="B5355" t="s">
        <v>10663</v>
      </c>
      <c r="C5355" s="1">
        <v>45702</v>
      </c>
      <c r="D5355" t="s">
        <v>10664</v>
      </c>
      <c r="E5355">
        <v>148.77000000000001</v>
      </c>
      <c r="G5355" s="3">
        <f>MONTH(Tabela1[[#This Row],[Último pagto ano]])</f>
        <v>2</v>
      </c>
      <c r="H5355" t="str">
        <f>TEXT(Tabela1[[#This Row],[Coluna2]]*29,"mmmm")</f>
        <v>fevereiro</v>
      </c>
      <c r="I5355" t="str">
        <f>TEXT(MONTH(Tabela1[[#This Row],[Último pagto ano]])*29,"mmmm")</f>
        <v>fevereiro</v>
      </c>
    </row>
    <row r="5356" spans="1:9" x14ac:dyDescent="0.25">
      <c r="A5356">
        <v>2025</v>
      </c>
      <c r="B5356" t="s">
        <v>10665</v>
      </c>
      <c r="C5356" s="1">
        <v>45989</v>
      </c>
      <c r="D5356" t="s">
        <v>10666</v>
      </c>
      <c r="E5356" s="2">
        <v>5397.9</v>
      </c>
      <c r="G5356" s="3">
        <f>MONTH(Tabela1[[#This Row],[Último pagto ano]])</f>
        <v>11</v>
      </c>
      <c r="H5356" t="str">
        <f>TEXT(Tabela1[[#This Row],[Coluna2]]*29,"mmmm")</f>
        <v>novembro</v>
      </c>
      <c r="I5356" t="str">
        <f>TEXT(MONTH(Tabela1[[#This Row],[Último pagto ano]])*29,"mmmm")</f>
        <v>novembro</v>
      </c>
    </row>
    <row r="5357" spans="1:9" x14ac:dyDescent="0.25">
      <c r="A5357">
        <v>2025</v>
      </c>
      <c r="B5357" t="s">
        <v>10667</v>
      </c>
      <c r="C5357" s="1">
        <v>46007</v>
      </c>
      <c r="D5357" t="s">
        <v>10668</v>
      </c>
      <c r="E5357" s="2">
        <v>369251.58</v>
      </c>
      <c r="G5357" s="3">
        <f>MONTH(Tabela1[[#This Row],[Último pagto ano]])</f>
        <v>12</v>
      </c>
      <c r="H5357" t="str">
        <f>TEXT(Tabela1[[#This Row],[Coluna2]]*29,"mmmm")</f>
        <v>dezembro</v>
      </c>
      <c r="I5357" t="str">
        <f>TEXT(MONTH(Tabela1[[#This Row],[Último pagto ano]])*29,"mmmm")</f>
        <v>dezembro</v>
      </c>
    </row>
    <row r="5358" spans="1:9" x14ac:dyDescent="0.25">
      <c r="A5358">
        <v>2025</v>
      </c>
      <c r="B5358" t="s">
        <v>10669</v>
      </c>
      <c r="C5358" s="1">
        <v>45757</v>
      </c>
      <c r="D5358" t="s">
        <v>10670</v>
      </c>
      <c r="E5358" s="2">
        <v>4483.9799999999996</v>
      </c>
      <c r="G5358" s="3">
        <f>MONTH(Tabela1[[#This Row],[Último pagto ano]])</f>
        <v>4</v>
      </c>
      <c r="H5358" t="str">
        <f>TEXT(Tabela1[[#This Row],[Coluna2]]*29,"mmmm")</f>
        <v>abril</v>
      </c>
      <c r="I5358" t="str">
        <f>TEXT(MONTH(Tabela1[[#This Row],[Último pagto ano]])*29,"mmmm")</f>
        <v>abril</v>
      </c>
    </row>
    <row r="5359" spans="1:9" x14ac:dyDescent="0.25">
      <c r="A5359">
        <v>2025</v>
      </c>
      <c r="B5359" t="s">
        <v>10671</v>
      </c>
      <c r="C5359" s="1">
        <v>45747</v>
      </c>
      <c r="D5359" t="s">
        <v>10672</v>
      </c>
      <c r="E5359" s="2">
        <v>69999.990000000005</v>
      </c>
      <c r="G5359" s="3">
        <f>MONTH(Tabela1[[#This Row],[Último pagto ano]])</f>
        <v>3</v>
      </c>
      <c r="H5359" t="str">
        <f>TEXT(Tabela1[[#This Row],[Coluna2]]*29,"mmmm")</f>
        <v>março</v>
      </c>
      <c r="I5359" t="str">
        <f>TEXT(MONTH(Tabela1[[#This Row],[Último pagto ano]])*29,"mmmm")</f>
        <v>março</v>
      </c>
    </row>
    <row r="5360" spans="1:9" x14ac:dyDescent="0.25">
      <c r="A5360">
        <v>2025</v>
      </c>
      <c r="B5360" t="s">
        <v>10673</v>
      </c>
      <c r="C5360" s="1">
        <v>45842</v>
      </c>
      <c r="D5360" t="s">
        <v>10674</v>
      </c>
      <c r="E5360" s="2">
        <v>6546.4</v>
      </c>
      <c r="G5360" s="3">
        <f>MONTH(Tabela1[[#This Row],[Último pagto ano]])</f>
        <v>7</v>
      </c>
      <c r="H5360" t="str">
        <f>TEXT(Tabela1[[#This Row],[Coluna2]]*29,"mmmm")</f>
        <v>julho</v>
      </c>
      <c r="I5360" t="str">
        <f>TEXT(MONTH(Tabela1[[#This Row],[Último pagto ano]])*29,"mmmm")</f>
        <v>julho</v>
      </c>
    </row>
    <row r="5361" spans="1:9" x14ac:dyDescent="0.25">
      <c r="A5361">
        <v>2025</v>
      </c>
      <c r="B5361" t="s">
        <v>10675</v>
      </c>
      <c r="C5361" s="1">
        <v>46014</v>
      </c>
      <c r="D5361" t="s">
        <v>10676</v>
      </c>
      <c r="E5361" s="2">
        <v>30177.99</v>
      </c>
      <c r="G5361" s="3">
        <f>MONTH(Tabela1[[#This Row],[Último pagto ano]])</f>
        <v>12</v>
      </c>
      <c r="H5361" t="str">
        <f>TEXT(Tabela1[[#This Row],[Coluna2]]*29,"mmmm")</f>
        <v>dezembro</v>
      </c>
      <c r="I5361" t="str">
        <f>TEXT(MONTH(Tabela1[[#This Row],[Último pagto ano]])*29,"mmmm")</f>
        <v>dezembro</v>
      </c>
    </row>
    <row r="5362" spans="1:9" x14ac:dyDescent="0.25">
      <c r="A5362">
        <v>2025</v>
      </c>
      <c r="B5362" t="s">
        <v>10677</v>
      </c>
      <c r="C5362" s="1">
        <v>46006</v>
      </c>
      <c r="D5362" t="s">
        <v>10678</v>
      </c>
      <c r="E5362" s="2">
        <v>2800</v>
      </c>
      <c r="G5362" s="3">
        <f>MONTH(Tabela1[[#This Row],[Último pagto ano]])</f>
        <v>12</v>
      </c>
      <c r="H5362" t="str">
        <f>TEXT(Tabela1[[#This Row],[Coluna2]]*29,"mmmm")</f>
        <v>dezembro</v>
      </c>
      <c r="I5362" t="str">
        <f>TEXT(MONTH(Tabela1[[#This Row],[Último pagto ano]])*29,"mmmm")</f>
        <v>dezembro</v>
      </c>
    </row>
    <row r="5363" spans="1:9" x14ac:dyDescent="0.25">
      <c r="A5363">
        <v>2025</v>
      </c>
      <c r="B5363" t="s">
        <v>10679</v>
      </c>
      <c r="C5363" s="1">
        <v>45733</v>
      </c>
      <c r="D5363" t="s">
        <v>10680</v>
      </c>
      <c r="E5363">
        <v>708</v>
      </c>
      <c r="G5363" s="3">
        <f>MONTH(Tabela1[[#This Row],[Último pagto ano]])</f>
        <v>3</v>
      </c>
      <c r="H5363" t="str">
        <f>TEXT(Tabela1[[#This Row],[Coluna2]]*29,"mmmm")</f>
        <v>março</v>
      </c>
      <c r="I5363" t="str">
        <f>TEXT(MONTH(Tabela1[[#This Row],[Último pagto ano]])*29,"mmmm")</f>
        <v>março</v>
      </c>
    </row>
    <row r="5364" spans="1:9" x14ac:dyDescent="0.25">
      <c r="A5364">
        <v>2025</v>
      </c>
      <c r="B5364" t="s">
        <v>10681</v>
      </c>
      <c r="C5364" s="1">
        <v>46014</v>
      </c>
      <c r="D5364" t="s">
        <v>10682</v>
      </c>
      <c r="E5364" s="2">
        <v>229867.53</v>
      </c>
      <c r="G5364" s="3">
        <f>MONTH(Tabela1[[#This Row],[Último pagto ano]])</f>
        <v>12</v>
      </c>
      <c r="H5364" t="str">
        <f>TEXT(Tabela1[[#This Row],[Coluna2]]*29,"mmmm")</f>
        <v>dezembro</v>
      </c>
      <c r="I5364" t="str">
        <f>TEXT(MONTH(Tabela1[[#This Row],[Último pagto ano]])*29,"mmmm")</f>
        <v>dezembro</v>
      </c>
    </row>
    <row r="5365" spans="1:9" x14ac:dyDescent="0.25">
      <c r="A5365">
        <v>2025</v>
      </c>
      <c r="B5365" t="s">
        <v>10683</v>
      </c>
      <c r="C5365" s="1">
        <v>45817</v>
      </c>
      <c r="D5365" t="s">
        <v>10684</v>
      </c>
      <c r="E5365">
        <v>2.04</v>
      </c>
      <c r="G5365" s="3">
        <f>MONTH(Tabela1[[#This Row],[Último pagto ano]])</f>
        <v>6</v>
      </c>
      <c r="H5365" t="str">
        <f>TEXT(Tabela1[[#This Row],[Coluna2]]*29,"mmmm")</f>
        <v>junho</v>
      </c>
      <c r="I5365" t="str">
        <f>TEXT(MONTH(Tabela1[[#This Row],[Último pagto ano]])*29,"mmmm")</f>
        <v>junho</v>
      </c>
    </row>
    <row r="5366" spans="1:9" x14ac:dyDescent="0.25">
      <c r="A5366">
        <v>2025</v>
      </c>
      <c r="B5366" t="s">
        <v>10685</v>
      </c>
      <c r="C5366" s="1">
        <v>45929</v>
      </c>
      <c r="D5366" t="s">
        <v>10686</v>
      </c>
      <c r="E5366">
        <v>22</v>
      </c>
      <c r="G5366" s="3">
        <f>MONTH(Tabela1[[#This Row],[Último pagto ano]])</f>
        <v>9</v>
      </c>
      <c r="H5366" t="str">
        <f>TEXT(Tabela1[[#This Row],[Coluna2]]*29,"mmmm")</f>
        <v>setembro</v>
      </c>
      <c r="I5366" t="str">
        <f>TEXT(MONTH(Tabela1[[#This Row],[Último pagto ano]])*29,"mmmm")</f>
        <v>setembro</v>
      </c>
    </row>
    <row r="5367" spans="1:9" x14ac:dyDescent="0.25">
      <c r="A5367">
        <v>2025</v>
      </c>
      <c r="B5367" t="s">
        <v>10687</v>
      </c>
      <c r="C5367" s="1">
        <v>45996</v>
      </c>
      <c r="D5367" t="s">
        <v>10688</v>
      </c>
      <c r="E5367" s="2">
        <v>27600</v>
      </c>
      <c r="G5367" s="3">
        <f>MONTH(Tabela1[[#This Row],[Último pagto ano]])</f>
        <v>12</v>
      </c>
      <c r="H5367" t="str">
        <f>TEXT(Tabela1[[#This Row],[Coluna2]]*29,"mmmm")</f>
        <v>dezembro</v>
      </c>
      <c r="I5367" t="str">
        <f>TEXT(MONTH(Tabela1[[#This Row],[Último pagto ano]])*29,"mmmm")</f>
        <v>dezembro</v>
      </c>
    </row>
    <row r="5368" spans="1:9" x14ac:dyDescent="0.25">
      <c r="A5368">
        <v>2025</v>
      </c>
      <c r="B5368" t="s">
        <v>10689</v>
      </c>
      <c r="C5368" s="1">
        <v>45936</v>
      </c>
      <c r="D5368" t="s">
        <v>10690</v>
      </c>
      <c r="E5368">
        <v>132</v>
      </c>
      <c r="G5368" s="3">
        <f>MONTH(Tabela1[[#This Row],[Último pagto ano]])</f>
        <v>10</v>
      </c>
      <c r="H5368" t="str">
        <f>TEXT(Tabela1[[#This Row],[Coluna2]]*29,"mmmm")</f>
        <v>outubro</v>
      </c>
      <c r="I5368" t="str">
        <f>TEXT(MONTH(Tabela1[[#This Row],[Último pagto ano]])*29,"mmmm")</f>
        <v>outubro</v>
      </c>
    </row>
    <row r="5369" spans="1:9" x14ac:dyDescent="0.25">
      <c r="A5369">
        <v>2025</v>
      </c>
      <c r="B5369" t="s">
        <v>10691</v>
      </c>
      <c r="C5369" s="1">
        <v>45677</v>
      </c>
      <c r="D5369" t="s">
        <v>10692</v>
      </c>
      <c r="E5369">
        <v>43.28</v>
      </c>
      <c r="G5369" s="3">
        <f>MONTH(Tabela1[[#This Row],[Último pagto ano]])</f>
        <v>1</v>
      </c>
      <c r="H5369" t="str">
        <f>TEXT(Tabela1[[#This Row],[Coluna2]]*29,"mmmm")</f>
        <v>janeiro</v>
      </c>
      <c r="I5369" t="str">
        <f>TEXT(MONTH(Tabela1[[#This Row],[Último pagto ano]])*29,"mmmm")</f>
        <v>janeiro</v>
      </c>
    </row>
    <row r="5370" spans="1:9" x14ac:dyDescent="0.25">
      <c r="A5370">
        <v>2025</v>
      </c>
      <c r="B5370" t="s">
        <v>10693</v>
      </c>
      <c r="C5370" s="1">
        <v>45754</v>
      </c>
      <c r="D5370" t="s">
        <v>10694</v>
      </c>
      <c r="E5370" s="2">
        <v>15330</v>
      </c>
      <c r="G5370" s="3">
        <f>MONTH(Tabela1[[#This Row],[Último pagto ano]])</f>
        <v>4</v>
      </c>
      <c r="H5370" t="str">
        <f>TEXT(Tabela1[[#This Row],[Coluna2]]*29,"mmmm")</f>
        <v>abril</v>
      </c>
      <c r="I5370" t="str">
        <f>TEXT(MONTH(Tabela1[[#This Row],[Último pagto ano]])*29,"mmmm")</f>
        <v>abril</v>
      </c>
    </row>
    <row r="5371" spans="1:9" x14ac:dyDescent="0.25">
      <c r="A5371">
        <v>2025</v>
      </c>
      <c r="B5371" t="s">
        <v>10695</v>
      </c>
      <c r="C5371" s="1">
        <v>45730</v>
      </c>
      <c r="D5371" t="s">
        <v>10696</v>
      </c>
      <c r="E5371" s="2">
        <v>1616.39</v>
      </c>
      <c r="G5371" s="3">
        <f>MONTH(Tabela1[[#This Row],[Último pagto ano]])</f>
        <v>3</v>
      </c>
      <c r="H5371" t="str">
        <f>TEXT(Tabela1[[#This Row],[Coluna2]]*29,"mmmm")</f>
        <v>março</v>
      </c>
      <c r="I5371" t="str">
        <f>TEXT(MONTH(Tabela1[[#This Row],[Último pagto ano]])*29,"mmmm")</f>
        <v>março</v>
      </c>
    </row>
    <row r="5372" spans="1:9" x14ac:dyDescent="0.25">
      <c r="A5372">
        <v>2025</v>
      </c>
      <c r="B5372" t="s">
        <v>10697</v>
      </c>
      <c r="C5372" s="1">
        <v>46010</v>
      </c>
      <c r="D5372" t="s">
        <v>10698</v>
      </c>
      <c r="E5372" s="2">
        <v>1329132.05</v>
      </c>
      <c r="G5372" s="3">
        <f>MONTH(Tabela1[[#This Row],[Último pagto ano]])</f>
        <v>12</v>
      </c>
      <c r="H5372" t="str">
        <f>TEXT(Tabela1[[#This Row],[Coluna2]]*29,"mmmm")</f>
        <v>dezembro</v>
      </c>
      <c r="I5372" t="str">
        <f>TEXT(MONTH(Tabela1[[#This Row],[Último pagto ano]])*29,"mmmm")</f>
        <v>dezembro</v>
      </c>
    </row>
    <row r="5373" spans="1:9" x14ac:dyDescent="0.25">
      <c r="A5373">
        <v>2025</v>
      </c>
      <c r="B5373" t="s">
        <v>10699</v>
      </c>
      <c r="C5373" s="1">
        <v>46009</v>
      </c>
      <c r="D5373" t="s">
        <v>10700</v>
      </c>
      <c r="E5373" s="2">
        <v>194343.8</v>
      </c>
      <c r="G5373" s="3">
        <f>MONTH(Tabela1[[#This Row],[Último pagto ano]])</f>
        <v>12</v>
      </c>
      <c r="H5373" t="str">
        <f>TEXT(Tabela1[[#This Row],[Coluna2]]*29,"mmmm")</f>
        <v>dezembro</v>
      </c>
      <c r="I5373" t="str">
        <f>TEXT(MONTH(Tabela1[[#This Row],[Último pagto ano]])*29,"mmmm")</f>
        <v>dezembro</v>
      </c>
    </row>
    <row r="5374" spans="1:9" x14ac:dyDescent="0.25">
      <c r="A5374">
        <v>2025</v>
      </c>
      <c r="B5374" t="s">
        <v>10701</v>
      </c>
      <c r="C5374" s="1">
        <v>45904</v>
      </c>
      <c r="D5374" t="s">
        <v>10702</v>
      </c>
      <c r="E5374" s="2">
        <v>147122.92000000001</v>
      </c>
      <c r="G5374" s="3">
        <f>MONTH(Tabela1[[#This Row],[Último pagto ano]])</f>
        <v>9</v>
      </c>
      <c r="H5374" t="str">
        <f>TEXT(Tabela1[[#This Row],[Coluna2]]*29,"mmmm")</f>
        <v>setembro</v>
      </c>
      <c r="I5374" t="str">
        <f>TEXT(MONTH(Tabela1[[#This Row],[Último pagto ano]])*29,"mmmm")</f>
        <v>setembro</v>
      </c>
    </row>
    <row r="5375" spans="1:9" x14ac:dyDescent="0.25">
      <c r="A5375">
        <v>2025</v>
      </c>
      <c r="B5375" t="s">
        <v>10703</v>
      </c>
      <c r="C5375" s="1">
        <v>45992</v>
      </c>
      <c r="D5375" t="s">
        <v>10704</v>
      </c>
      <c r="E5375" s="2">
        <v>7413.1</v>
      </c>
      <c r="G5375" s="3">
        <f>MONTH(Tabela1[[#This Row],[Último pagto ano]])</f>
        <v>12</v>
      </c>
      <c r="H5375" t="str">
        <f>TEXT(Tabela1[[#This Row],[Coluna2]]*29,"mmmm")</f>
        <v>dezembro</v>
      </c>
      <c r="I5375" t="str">
        <f>TEXT(MONTH(Tabela1[[#This Row],[Último pagto ano]])*29,"mmmm")</f>
        <v>dezembro</v>
      </c>
    </row>
    <row r="5376" spans="1:9" x14ac:dyDescent="0.25">
      <c r="A5376">
        <v>2025</v>
      </c>
      <c r="B5376" t="s">
        <v>10705</v>
      </c>
      <c r="C5376" s="1">
        <v>46007</v>
      </c>
      <c r="D5376" t="s">
        <v>10706</v>
      </c>
      <c r="E5376" s="2">
        <v>20412</v>
      </c>
      <c r="G5376" s="3">
        <f>MONTH(Tabela1[[#This Row],[Último pagto ano]])</f>
        <v>12</v>
      </c>
      <c r="H5376" t="str">
        <f>TEXT(Tabela1[[#This Row],[Coluna2]]*29,"mmmm")</f>
        <v>dezembro</v>
      </c>
      <c r="I5376" t="str">
        <f>TEXT(MONTH(Tabela1[[#This Row],[Último pagto ano]])*29,"mmmm")</f>
        <v>dezembro</v>
      </c>
    </row>
    <row r="5377" spans="1:9" x14ac:dyDescent="0.25">
      <c r="A5377">
        <v>2025</v>
      </c>
      <c r="B5377" t="s">
        <v>10707</v>
      </c>
      <c r="C5377" s="1">
        <v>46006</v>
      </c>
      <c r="D5377" t="s">
        <v>10708</v>
      </c>
      <c r="E5377" s="2">
        <v>1476</v>
      </c>
      <c r="G5377" s="3">
        <f>MONTH(Tabela1[[#This Row],[Último pagto ano]])</f>
        <v>12</v>
      </c>
      <c r="H5377" t="str">
        <f>TEXT(Tabela1[[#This Row],[Coluna2]]*29,"mmmm")</f>
        <v>dezembro</v>
      </c>
      <c r="I5377" t="str">
        <f>TEXT(MONTH(Tabela1[[#This Row],[Último pagto ano]])*29,"mmmm")</f>
        <v>dezembro</v>
      </c>
    </row>
    <row r="5378" spans="1:9" x14ac:dyDescent="0.25">
      <c r="A5378">
        <v>2025</v>
      </c>
      <c r="B5378" t="s">
        <v>10709</v>
      </c>
      <c r="C5378" s="1">
        <v>46014</v>
      </c>
      <c r="D5378" t="s">
        <v>10710</v>
      </c>
      <c r="E5378" s="2">
        <v>274252</v>
      </c>
      <c r="G5378" s="3">
        <f>MONTH(Tabela1[[#This Row],[Último pagto ano]])</f>
        <v>12</v>
      </c>
      <c r="H5378" t="str">
        <f>TEXT(Tabela1[[#This Row],[Coluna2]]*29,"mmmm")</f>
        <v>dezembro</v>
      </c>
      <c r="I5378" t="str">
        <f>TEXT(MONTH(Tabela1[[#This Row],[Último pagto ano]])*29,"mmmm")</f>
        <v>dezembro</v>
      </c>
    </row>
    <row r="5379" spans="1:9" x14ac:dyDescent="0.25">
      <c r="A5379">
        <v>2025</v>
      </c>
      <c r="B5379" t="s">
        <v>10711</v>
      </c>
      <c r="C5379" s="1">
        <v>45685</v>
      </c>
      <c r="D5379" t="s">
        <v>10712</v>
      </c>
      <c r="E5379" s="2">
        <v>148359.35</v>
      </c>
      <c r="G5379" s="3">
        <f>MONTH(Tabela1[[#This Row],[Último pagto ano]])</f>
        <v>1</v>
      </c>
      <c r="H5379" t="str">
        <f>TEXT(Tabela1[[#This Row],[Coluna2]]*29,"mmmm")</f>
        <v>janeiro</v>
      </c>
      <c r="I5379" t="str">
        <f>TEXT(MONTH(Tabela1[[#This Row],[Último pagto ano]])*29,"mmmm")</f>
        <v>janeiro</v>
      </c>
    </row>
    <row r="5380" spans="1:9" x14ac:dyDescent="0.25">
      <c r="A5380">
        <v>2025</v>
      </c>
      <c r="B5380" t="s">
        <v>10713</v>
      </c>
      <c r="C5380" s="1">
        <v>46002</v>
      </c>
      <c r="D5380" t="s">
        <v>10714</v>
      </c>
      <c r="E5380" s="2">
        <v>410835.86</v>
      </c>
      <c r="G5380" s="3">
        <f>MONTH(Tabela1[[#This Row],[Último pagto ano]])</f>
        <v>12</v>
      </c>
      <c r="H5380" t="str">
        <f>TEXT(Tabela1[[#This Row],[Coluna2]]*29,"mmmm")</f>
        <v>dezembro</v>
      </c>
      <c r="I5380" t="str">
        <f>TEXT(MONTH(Tabela1[[#This Row],[Último pagto ano]])*29,"mmmm")</f>
        <v>dezembro</v>
      </c>
    </row>
    <row r="5381" spans="1:9" x14ac:dyDescent="0.25">
      <c r="A5381">
        <v>2025</v>
      </c>
      <c r="B5381" t="s">
        <v>10715</v>
      </c>
      <c r="C5381" s="1">
        <v>46010</v>
      </c>
      <c r="D5381" t="s">
        <v>10716</v>
      </c>
      <c r="E5381" s="2">
        <v>43619.4</v>
      </c>
      <c r="G5381" s="3">
        <f>MONTH(Tabela1[[#This Row],[Último pagto ano]])</f>
        <v>12</v>
      </c>
      <c r="H5381" t="str">
        <f>TEXT(Tabela1[[#This Row],[Coluna2]]*29,"mmmm")</f>
        <v>dezembro</v>
      </c>
      <c r="I5381" t="str">
        <f>TEXT(MONTH(Tabela1[[#This Row],[Último pagto ano]])*29,"mmmm")</f>
        <v>dezembro</v>
      </c>
    </row>
    <row r="5382" spans="1:9" x14ac:dyDescent="0.25">
      <c r="A5382">
        <v>2025</v>
      </c>
      <c r="B5382" t="s">
        <v>10717</v>
      </c>
      <c r="C5382" s="1">
        <v>45971</v>
      </c>
      <c r="D5382" t="s">
        <v>10718</v>
      </c>
      <c r="E5382" s="2">
        <v>12029.53</v>
      </c>
      <c r="G5382" s="3">
        <f>MONTH(Tabela1[[#This Row],[Último pagto ano]])</f>
        <v>11</v>
      </c>
      <c r="H5382" t="str">
        <f>TEXT(Tabela1[[#This Row],[Coluna2]]*29,"mmmm")</f>
        <v>novembro</v>
      </c>
      <c r="I5382" t="str">
        <f>TEXT(MONTH(Tabela1[[#This Row],[Último pagto ano]])*29,"mmmm")</f>
        <v>novembro</v>
      </c>
    </row>
    <row r="5383" spans="1:9" x14ac:dyDescent="0.25">
      <c r="A5383">
        <v>2025</v>
      </c>
      <c r="B5383" t="s">
        <v>10719</v>
      </c>
      <c r="C5383" s="1">
        <v>46002</v>
      </c>
      <c r="D5383" t="s">
        <v>10720</v>
      </c>
      <c r="E5383" s="2">
        <v>107282.85</v>
      </c>
      <c r="G5383" s="3">
        <f>MONTH(Tabela1[[#This Row],[Último pagto ano]])</f>
        <v>12</v>
      </c>
      <c r="H5383" t="str">
        <f>TEXT(Tabela1[[#This Row],[Coluna2]]*29,"mmmm")</f>
        <v>dezembro</v>
      </c>
      <c r="I5383" t="str">
        <f>TEXT(MONTH(Tabela1[[#This Row],[Último pagto ano]])*29,"mmmm")</f>
        <v>dezembro</v>
      </c>
    </row>
    <row r="5384" spans="1:9" x14ac:dyDescent="0.25">
      <c r="A5384">
        <v>2025</v>
      </c>
      <c r="B5384" t="s">
        <v>10721</v>
      </c>
      <c r="C5384" s="1">
        <v>45911</v>
      </c>
      <c r="D5384" t="s">
        <v>10722</v>
      </c>
      <c r="E5384">
        <v>83.06</v>
      </c>
      <c r="G5384" s="3">
        <f>MONTH(Tabela1[[#This Row],[Último pagto ano]])</f>
        <v>9</v>
      </c>
      <c r="H5384" t="str">
        <f>TEXT(Tabela1[[#This Row],[Coluna2]]*29,"mmmm")</f>
        <v>setembro</v>
      </c>
      <c r="I5384" t="str">
        <f>TEXT(MONTH(Tabela1[[#This Row],[Último pagto ano]])*29,"mmmm")</f>
        <v>setembro</v>
      </c>
    </row>
    <row r="5385" spans="1:9" x14ac:dyDescent="0.25">
      <c r="A5385">
        <v>2025</v>
      </c>
      <c r="B5385" t="s">
        <v>10723</v>
      </c>
      <c r="C5385" s="1">
        <v>45971</v>
      </c>
      <c r="D5385" t="s">
        <v>10724</v>
      </c>
      <c r="E5385" s="2">
        <v>2460</v>
      </c>
      <c r="G5385" s="3">
        <f>MONTH(Tabela1[[#This Row],[Último pagto ano]])</f>
        <v>11</v>
      </c>
      <c r="H5385" t="str">
        <f>TEXT(Tabela1[[#This Row],[Coluna2]]*29,"mmmm")</f>
        <v>novembro</v>
      </c>
      <c r="I5385" t="str">
        <f>TEXT(MONTH(Tabela1[[#This Row],[Último pagto ano]])*29,"mmmm")</f>
        <v>novembro</v>
      </c>
    </row>
    <row r="5386" spans="1:9" x14ac:dyDescent="0.25">
      <c r="A5386">
        <v>2025</v>
      </c>
      <c r="B5386" t="s">
        <v>10725</v>
      </c>
      <c r="C5386" s="1">
        <v>46008</v>
      </c>
      <c r="D5386" t="s">
        <v>10726</v>
      </c>
      <c r="E5386" s="2">
        <v>268202.46000000002</v>
      </c>
      <c r="G5386" s="3">
        <f>MONTH(Tabela1[[#This Row],[Último pagto ano]])</f>
        <v>12</v>
      </c>
      <c r="H5386" t="str">
        <f>TEXT(Tabela1[[#This Row],[Coluna2]]*29,"mmmm")</f>
        <v>dezembro</v>
      </c>
      <c r="I5386" t="str">
        <f>TEXT(MONTH(Tabela1[[#This Row],[Último pagto ano]])*29,"mmmm")</f>
        <v>dezembro</v>
      </c>
    </row>
    <row r="5387" spans="1:9" x14ac:dyDescent="0.25">
      <c r="A5387">
        <v>2025</v>
      </c>
      <c r="B5387" t="s">
        <v>10727</v>
      </c>
      <c r="C5387" s="1">
        <v>45784</v>
      </c>
      <c r="D5387" t="s">
        <v>10728</v>
      </c>
      <c r="E5387" s="2">
        <v>19485</v>
      </c>
      <c r="G5387" s="3">
        <f>MONTH(Tabela1[[#This Row],[Último pagto ano]])</f>
        <v>5</v>
      </c>
      <c r="H5387" t="str">
        <f>TEXT(Tabela1[[#This Row],[Coluna2]]*29,"mmmm")</f>
        <v>maio</v>
      </c>
      <c r="I5387" t="str">
        <f>TEXT(MONTH(Tabela1[[#This Row],[Último pagto ano]])*29,"mmmm")</f>
        <v>maio</v>
      </c>
    </row>
    <row r="5388" spans="1:9" x14ac:dyDescent="0.25">
      <c r="A5388">
        <v>2025</v>
      </c>
      <c r="B5388" t="s">
        <v>10729</v>
      </c>
      <c r="C5388" s="1">
        <v>45929</v>
      </c>
      <c r="D5388" t="s">
        <v>10730</v>
      </c>
      <c r="E5388" s="2">
        <v>32877.01</v>
      </c>
      <c r="G5388" s="3">
        <f>MONTH(Tabela1[[#This Row],[Último pagto ano]])</f>
        <v>9</v>
      </c>
      <c r="H5388" t="str">
        <f>TEXT(Tabela1[[#This Row],[Coluna2]]*29,"mmmm")</f>
        <v>setembro</v>
      </c>
      <c r="I5388" t="str">
        <f>TEXT(MONTH(Tabela1[[#This Row],[Último pagto ano]])*29,"mmmm")</f>
        <v>setembro</v>
      </c>
    </row>
    <row r="5389" spans="1:9" x14ac:dyDescent="0.25">
      <c r="A5389">
        <v>2025</v>
      </c>
      <c r="B5389" t="s">
        <v>10731</v>
      </c>
      <c r="C5389" s="1">
        <v>46001</v>
      </c>
      <c r="D5389" t="s">
        <v>10732</v>
      </c>
      <c r="E5389" s="2">
        <v>3161.7</v>
      </c>
      <c r="G5389" s="3">
        <f>MONTH(Tabela1[[#This Row],[Último pagto ano]])</f>
        <v>12</v>
      </c>
      <c r="H5389" t="str">
        <f>TEXT(Tabela1[[#This Row],[Coluna2]]*29,"mmmm")</f>
        <v>dezembro</v>
      </c>
      <c r="I5389" t="str">
        <f>TEXT(MONTH(Tabela1[[#This Row],[Último pagto ano]])*29,"mmmm")</f>
        <v>dezembro</v>
      </c>
    </row>
    <row r="5390" spans="1:9" x14ac:dyDescent="0.25">
      <c r="A5390">
        <v>2025</v>
      </c>
      <c r="B5390" t="s">
        <v>10733</v>
      </c>
      <c r="C5390" s="1">
        <v>45971</v>
      </c>
      <c r="D5390" t="s">
        <v>10734</v>
      </c>
      <c r="E5390">
        <v>176</v>
      </c>
      <c r="G5390" s="3">
        <f>MONTH(Tabela1[[#This Row],[Último pagto ano]])</f>
        <v>11</v>
      </c>
      <c r="H5390" t="str">
        <f>TEXT(Tabela1[[#This Row],[Coluna2]]*29,"mmmm")</f>
        <v>novembro</v>
      </c>
      <c r="I5390" t="str">
        <f>TEXT(MONTH(Tabela1[[#This Row],[Último pagto ano]])*29,"mmmm")</f>
        <v>novembro</v>
      </c>
    </row>
    <row r="5391" spans="1:9" x14ac:dyDescent="0.25">
      <c r="A5391">
        <v>2025</v>
      </c>
      <c r="B5391" t="s">
        <v>10735</v>
      </c>
      <c r="C5391" s="1">
        <v>45880</v>
      </c>
      <c r="D5391" t="s">
        <v>10736</v>
      </c>
      <c r="E5391" s="2">
        <v>11995.2</v>
      </c>
      <c r="G5391" s="3">
        <f>MONTH(Tabela1[[#This Row],[Último pagto ano]])</f>
        <v>8</v>
      </c>
      <c r="H5391" t="str">
        <f>TEXT(Tabela1[[#This Row],[Coluna2]]*29,"mmmm")</f>
        <v>agosto</v>
      </c>
      <c r="I5391" t="str">
        <f>TEXT(MONTH(Tabela1[[#This Row],[Último pagto ano]])*29,"mmmm")</f>
        <v>agosto</v>
      </c>
    </row>
    <row r="5392" spans="1:9" x14ac:dyDescent="0.25">
      <c r="A5392">
        <v>2025</v>
      </c>
      <c r="B5392" t="s">
        <v>10737</v>
      </c>
      <c r="C5392" s="1">
        <v>45964</v>
      </c>
      <c r="D5392" t="s">
        <v>10738</v>
      </c>
      <c r="E5392" s="2">
        <v>1122</v>
      </c>
      <c r="G5392" s="3">
        <f>MONTH(Tabela1[[#This Row],[Último pagto ano]])</f>
        <v>11</v>
      </c>
      <c r="H5392" t="str">
        <f>TEXT(Tabela1[[#This Row],[Coluna2]]*29,"mmmm")</f>
        <v>novembro</v>
      </c>
      <c r="I5392" t="str">
        <f>TEXT(MONTH(Tabela1[[#This Row],[Último pagto ano]])*29,"mmmm")</f>
        <v>novembro</v>
      </c>
    </row>
    <row r="5393" spans="1:9" x14ac:dyDescent="0.25">
      <c r="A5393">
        <v>2025</v>
      </c>
      <c r="B5393" t="s">
        <v>10739</v>
      </c>
      <c r="C5393" s="1">
        <v>46006</v>
      </c>
      <c r="D5393" t="s">
        <v>10740</v>
      </c>
      <c r="E5393" s="2">
        <v>2665.44</v>
      </c>
      <c r="G5393" s="3">
        <f>MONTH(Tabela1[[#This Row],[Último pagto ano]])</f>
        <v>12</v>
      </c>
      <c r="H5393" t="str">
        <f>TEXT(Tabela1[[#This Row],[Coluna2]]*29,"mmmm")</f>
        <v>dezembro</v>
      </c>
      <c r="I5393" t="str">
        <f>TEXT(MONTH(Tabela1[[#This Row],[Último pagto ano]])*29,"mmmm")</f>
        <v>dezembro</v>
      </c>
    </row>
    <row r="5394" spans="1:9" x14ac:dyDescent="0.25">
      <c r="A5394">
        <v>2025</v>
      </c>
      <c r="B5394" t="s">
        <v>10741</v>
      </c>
      <c r="C5394" s="1">
        <v>46006</v>
      </c>
      <c r="D5394" t="s">
        <v>10742</v>
      </c>
      <c r="E5394" s="2">
        <v>8551.6200000000008</v>
      </c>
      <c r="G5394" s="3">
        <f>MONTH(Tabela1[[#This Row],[Último pagto ano]])</f>
        <v>12</v>
      </c>
      <c r="H5394" t="str">
        <f>TEXT(Tabela1[[#This Row],[Coluna2]]*29,"mmmm")</f>
        <v>dezembro</v>
      </c>
      <c r="I5394" t="str">
        <f>TEXT(MONTH(Tabela1[[#This Row],[Último pagto ano]])*29,"mmmm")</f>
        <v>dezembro</v>
      </c>
    </row>
    <row r="5395" spans="1:9" x14ac:dyDescent="0.25">
      <c r="A5395">
        <v>2025</v>
      </c>
      <c r="B5395" t="s">
        <v>10743</v>
      </c>
      <c r="C5395" s="1">
        <v>46006</v>
      </c>
      <c r="D5395" t="s">
        <v>10744</v>
      </c>
      <c r="E5395" s="2">
        <v>7700</v>
      </c>
      <c r="G5395" s="3">
        <f>MONTH(Tabela1[[#This Row],[Último pagto ano]])</f>
        <v>12</v>
      </c>
      <c r="H5395" t="str">
        <f>TEXT(Tabela1[[#This Row],[Coluna2]]*29,"mmmm")</f>
        <v>dezembro</v>
      </c>
      <c r="I5395" t="str">
        <f>TEXT(MONTH(Tabela1[[#This Row],[Último pagto ano]])*29,"mmmm")</f>
        <v>dezembro</v>
      </c>
    </row>
    <row r="5396" spans="1:9" x14ac:dyDescent="0.25">
      <c r="A5396">
        <v>2025</v>
      </c>
      <c r="B5396" t="s">
        <v>10745</v>
      </c>
      <c r="C5396" s="1">
        <v>45708</v>
      </c>
      <c r="D5396" t="s">
        <v>10746</v>
      </c>
      <c r="E5396" s="2">
        <v>1440</v>
      </c>
      <c r="G5396" s="3">
        <f>MONTH(Tabela1[[#This Row],[Último pagto ano]])</f>
        <v>2</v>
      </c>
      <c r="H5396" t="str">
        <f>TEXT(Tabela1[[#This Row],[Coluna2]]*29,"mmmm")</f>
        <v>fevereiro</v>
      </c>
      <c r="I5396" t="str">
        <f>TEXT(MONTH(Tabela1[[#This Row],[Último pagto ano]])*29,"mmmm")</f>
        <v>fevereiro</v>
      </c>
    </row>
    <row r="5397" spans="1:9" x14ac:dyDescent="0.25">
      <c r="A5397">
        <v>2025</v>
      </c>
      <c r="B5397" t="s">
        <v>10747</v>
      </c>
      <c r="C5397" s="1">
        <v>45887</v>
      </c>
      <c r="D5397" t="s">
        <v>10748</v>
      </c>
      <c r="E5397">
        <v>44</v>
      </c>
      <c r="G5397" s="3">
        <f>MONTH(Tabela1[[#This Row],[Último pagto ano]])</f>
        <v>8</v>
      </c>
      <c r="H5397" t="str">
        <f>TEXT(Tabela1[[#This Row],[Coluna2]]*29,"mmmm")</f>
        <v>agosto</v>
      </c>
      <c r="I5397" t="str">
        <f>TEXT(MONTH(Tabela1[[#This Row],[Último pagto ano]])*29,"mmmm")</f>
        <v>agosto</v>
      </c>
    </row>
    <row r="5398" spans="1:9" x14ac:dyDescent="0.25">
      <c r="A5398">
        <v>2025</v>
      </c>
      <c r="B5398" t="s">
        <v>10749</v>
      </c>
      <c r="C5398" s="1">
        <v>46014</v>
      </c>
      <c r="D5398" t="s">
        <v>10750</v>
      </c>
      <c r="E5398">
        <v>295.2</v>
      </c>
      <c r="G5398" s="3">
        <f>MONTH(Tabela1[[#This Row],[Último pagto ano]])</f>
        <v>12</v>
      </c>
      <c r="H5398" t="str">
        <f>TEXT(Tabela1[[#This Row],[Coluna2]]*29,"mmmm")</f>
        <v>dezembro</v>
      </c>
      <c r="I5398" t="str">
        <f>TEXT(MONTH(Tabela1[[#This Row],[Último pagto ano]])*29,"mmmm")</f>
        <v>dezembro</v>
      </c>
    </row>
    <row r="5399" spans="1:9" x14ac:dyDescent="0.25">
      <c r="A5399">
        <v>2025</v>
      </c>
      <c r="B5399" t="s">
        <v>10751</v>
      </c>
      <c r="C5399" s="1">
        <v>45897</v>
      </c>
      <c r="D5399" t="s">
        <v>10752</v>
      </c>
      <c r="E5399">
        <v>292.5</v>
      </c>
      <c r="G5399" s="3">
        <f>MONTH(Tabela1[[#This Row],[Último pagto ano]])</f>
        <v>8</v>
      </c>
      <c r="H5399" t="str">
        <f>TEXT(Tabela1[[#This Row],[Coluna2]]*29,"mmmm")</f>
        <v>agosto</v>
      </c>
      <c r="I5399" t="str">
        <f>TEXT(MONTH(Tabela1[[#This Row],[Último pagto ano]])*29,"mmmm")</f>
        <v>agosto</v>
      </c>
    </row>
    <row r="5400" spans="1:9" x14ac:dyDescent="0.25">
      <c r="A5400">
        <v>2025</v>
      </c>
      <c r="B5400" t="s">
        <v>10753</v>
      </c>
      <c r="C5400" s="1">
        <v>45996</v>
      </c>
      <c r="D5400" t="s">
        <v>10754</v>
      </c>
      <c r="E5400" s="2">
        <v>9000</v>
      </c>
      <c r="G5400" s="3">
        <f>MONTH(Tabela1[[#This Row],[Último pagto ano]])</f>
        <v>12</v>
      </c>
      <c r="H5400" t="str">
        <f>TEXT(Tabela1[[#This Row],[Coluna2]]*29,"mmmm")</f>
        <v>dezembro</v>
      </c>
      <c r="I5400" t="str">
        <f>TEXT(MONTH(Tabela1[[#This Row],[Último pagto ano]])*29,"mmmm")</f>
        <v>dezembro</v>
      </c>
    </row>
    <row r="5401" spans="1:9" x14ac:dyDescent="0.25">
      <c r="A5401">
        <v>2025</v>
      </c>
      <c r="B5401" t="s">
        <v>10755</v>
      </c>
      <c r="C5401" s="1">
        <v>45943</v>
      </c>
      <c r="D5401" t="s">
        <v>10756</v>
      </c>
      <c r="E5401" s="2">
        <v>44900</v>
      </c>
      <c r="G5401" s="3">
        <f>MONTH(Tabela1[[#This Row],[Último pagto ano]])</f>
        <v>10</v>
      </c>
      <c r="H5401" t="str">
        <f>TEXT(Tabela1[[#This Row],[Coluna2]]*29,"mmmm")</f>
        <v>outubro</v>
      </c>
      <c r="I5401" t="str">
        <f>TEXT(MONTH(Tabela1[[#This Row],[Último pagto ano]])*29,"mmmm")</f>
        <v>outubro</v>
      </c>
    </row>
    <row r="5402" spans="1:9" x14ac:dyDescent="0.25">
      <c r="A5402">
        <v>2025</v>
      </c>
      <c r="B5402" t="s">
        <v>10757</v>
      </c>
      <c r="C5402" s="1">
        <v>45728</v>
      </c>
      <c r="D5402" t="s">
        <v>10758</v>
      </c>
      <c r="E5402" s="2">
        <v>1000</v>
      </c>
      <c r="G5402" s="3">
        <f>MONTH(Tabela1[[#This Row],[Último pagto ano]])</f>
        <v>3</v>
      </c>
      <c r="H5402" t="str">
        <f>TEXT(Tabela1[[#This Row],[Coluna2]]*29,"mmmm")</f>
        <v>março</v>
      </c>
      <c r="I5402" t="str">
        <f>TEXT(MONTH(Tabela1[[#This Row],[Último pagto ano]])*29,"mmmm")</f>
        <v>março</v>
      </c>
    </row>
    <row r="5403" spans="1:9" x14ac:dyDescent="0.25">
      <c r="A5403">
        <v>2025</v>
      </c>
      <c r="B5403" t="s">
        <v>10759</v>
      </c>
      <c r="C5403" s="1">
        <v>45915</v>
      </c>
      <c r="D5403" t="s">
        <v>10760</v>
      </c>
      <c r="E5403">
        <v>575.71</v>
      </c>
      <c r="G5403" s="3">
        <f>MONTH(Tabela1[[#This Row],[Último pagto ano]])</f>
        <v>9</v>
      </c>
      <c r="H5403" t="str">
        <f>TEXT(Tabela1[[#This Row],[Coluna2]]*29,"mmmm")</f>
        <v>setembro</v>
      </c>
      <c r="I5403" t="str">
        <f>TEXT(MONTH(Tabela1[[#This Row],[Último pagto ano]])*29,"mmmm")</f>
        <v>setembro</v>
      </c>
    </row>
    <row r="5404" spans="1:9" x14ac:dyDescent="0.25">
      <c r="A5404">
        <v>2025</v>
      </c>
      <c r="B5404" t="s">
        <v>10761</v>
      </c>
      <c r="C5404" s="1">
        <v>45996</v>
      </c>
      <c r="D5404" t="s">
        <v>10762</v>
      </c>
      <c r="E5404" s="2">
        <v>27000</v>
      </c>
      <c r="G5404" s="3">
        <f>MONTH(Tabela1[[#This Row],[Último pagto ano]])</f>
        <v>12</v>
      </c>
      <c r="H5404" t="str">
        <f>TEXT(Tabela1[[#This Row],[Coluna2]]*29,"mmmm")</f>
        <v>dezembro</v>
      </c>
      <c r="I5404" t="str">
        <f>TEXT(MONTH(Tabela1[[#This Row],[Último pagto ano]])*29,"mmmm")</f>
        <v>dezembro</v>
      </c>
    </row>
    <row r="5405" spans="1:9" x14ac:dyDescent="0.25">
      <c r="A5405">
        <v>2025</v>
      </c>
      <c r="B5405" t="s">
        <v>10763</v>
      </c>
      <c r="C5405" s="1">
        <v>46014</v>
      </c>
      <c r="D5405" t="s">
        <v>10764</v>
      </c>
      <c r="E5405" s="2">
        <v>8640</v>
      </c>
      <c r="G5405" s="3">
        <f>MONTH(Tabela1[[#This Row],[Último pagto ano]])</f>
        <v>12</v>
      </c>
      <c r="H5405" t="str">
        <f>TEXT(Tabela1[[#This Row],[Coluna2]]*29,"mmmm")</f>
        <v>dezembro</v>
      </c>
      <c r="I5405" t="str">
        <f>TEXT(MONTH(Tabela1[[#This Row],[Último pagto ano]])*29,"mmmm")</f>
        <v>dezembro</v>
      </c>
    </row>
    <row r="5406" spans="1:9" x14ac:dyDescent="0.25">
      <c r="A5406">
        <v>2025</v>
      </c>
      <c r="B5406" t="s">
        <v>10765</v>
      </c>
      <c r="C5406" s="1">
        <v>45702</v>
      </c>
      <c r="D5406" t="s">
        <v>10766</v>
      </c>
      <c r="E5406">
        <v>267.63</v>
      </c>
      <c r="G5406" s="3">
        <f>MONTH(Tabela1[[#This Row],[Último pagto ano]])</f>
        <v>2</v>
      </c>
      <c r="H5406" t="str">
        <f>TEXT(Tabela1[[#This Row],[Coluna2]]*29,"mmmm")</f>
        <v>fevereiro</v>
      </c>
      <c r="I5406" t="str">
        <f>TEXT(MONTH(Tabela1[[#This Row],[Último pagto ano]])*29,"mmmm")</f>
        <v>fevereiro</v>
      </c>
    </row>
    <row r="5407" spans="1:9" x14ac:dyDescent="0.25">
      <c r="A5407">
        <v>2025</v>
      </c>
      <c r="B5407" t="s">
        <v>10767</v>
      </c>
      <c r="C5407" s="1">
        <v>46013</v>
      </c>
      <c r="D5407" t="s">
        <v>10768</v>
      </c>
      <c r="E5407" s="2">
        <v>5110.55</v>
      </c>
      <c r="G5407" s="3">
        <f>MONTH(Tabela1[[#This Row],[Último pagto ano]])</f>
        <v>12</v>
      </c>
      <c r="H5407" t="str">
        <f>TEXT(Tabela1[[#This Row],[Coluna2]]*29,"mmmm")</f>
        <v>dezembro</v>
      </c>
      <c r="I5407" t="str">
        <f>TEXT(MONTH(Tabela1[[#This Row],[Último pagto ano]])*29,"mmmm")</f>
        <v>dezembro</v>
      </c>
    </row>
    <row r="5408" spans="1:9" x14ac:dyDescent="0.25">
      <c r="A5408">
        <v>2025</v>
      </c>
      <c r="B5408" t="s">
        <v>10769</v>
      </c>
      <c r="C5408" s="1">
        <v>45663</v>
      </c>
      <c r="D5408" t="s">
        <v>10770</v>
      </c>
      <c r="E5408" s="2">
        <v>8720</v>
      </c>
      <c r="G5408" s="3">
        <f>MONTH(Tabela1[[#This Row],[Último pagto ano]])</f>
        <v>1</v>
      </c>
      <c r="H5408" t="str">
        <f>TEXT(Tabela1[[#This Row],[Coluna2]]*29,"mmmm")</f>
        <v>janeiro</v>
      </c>
      <c r="I5408" t="str">
        <f>TEXT(MONTH(Tabela1[[#This Row],[Último pagto ano]])*29,"mmmm")</f>
        <v>janeiro</v>
      </c>
    </row>
    <row r="5409" spans="1:9" x14ac:dyDescent="0.25">
      <c r="A5409">
        <v>2025</v>
      </c>
      <c r="B5409" t="s">
        <v>10771</v>
      </c>
      <c r="C5409" s="1">
        <v>46014</v>
      </c>
      <c r="D5409" t="s">
        <v>10772</v>
      </c>
      <c r="E5409">
        <v>286</v>
      </c>
      <c r="G5409" s="3">
        <f>MONTH(Tabela1[[#This Row],[Último pagto ano]])</f>
        <v>12</v>
      </c>
      <c r="H5409" t="str">
        <f>TEXT(Tabela1[[#This Row],[Coluna2]]*29,"mmmm")</f>
        <v>dezembro</v>
      </c>
      <c r="I5409" t="str">
        <f>TEXT(MONTH(Tabela1[[#This Row],[Último pagto ano]])*29,"mmmm")</f>
        <v>dezembro</v>
      </c>
    </row>
    <row r="5410" spans="1:9" x14ac:dyDescent="0.25">
      <c r="A5410">
        <v>2025</v>
      </c>
      <c r="B5410" t="s">
        <v>10773</v>
      </c>
      <c r="C5410" s="1">
        <v>45673</v>
      </c>
      <c r="D5410" t="s">
        <v>10774</v>
      </c>
      <c r="E5410" s="2">
        <v>4000</v>
      </c>
      <c r="G5410" s="3">
        <f>MONTH(Tabela1[[#This Row],[Último pagto ano]])</f>
        <v>1</v>
      </c>
      <c r="H5410" t="str">
        <f>TEXT(Tabela1[[#This Row],[Coluna2]]*29,"mmmm")</f>
        <v>janeiro</v>
      </c>
      <c r="I5410" t="str">
        <f>TEXT(MONTH(Tabela1[[#This Row],[Último pagto ano]])*29,"mmmm")</f>
        <v>janeiro</v>
      </c>
    </row>
    <row r="5411" spans="1:9" x14ac:dyDescent="0.25">
      <c r="A5411">
        <v>2025</v>
      </c>
      <c r="B5411" t="s">
        <v>10775</v>
      </c>
      <c r="C5411" s="1">
        <v>45841</v>
      </c>
      <c r="D5411" t="s">
        <v>10776</v>
      </c>
      <c r="E5411">
        <v>571.75</v>
      </c>
      <c r="G5411" s="3">
        <f>MONTH(Tabela1[[#This Row],[Último pagto ano]])</f>
        <v>7</v>
      </c>
      <c r="H5411" t="str">
        <f>TEXT(Tabela1[[#This Row],[Coluna2]]*29,"mmmm")</f>
        <v>julho</v>
      </c>
      <c r="I5411" t="str">
        <f>TEXT(MONTH(Tabela1[[#This Row],[Último pagto ano]])*29,"mmmm")</f>
        <v>julho</v>
      </c>
    </row>
    <row r="5412" spans="1:9" x14ac:dyDescent="0.25">
      <c r="A5412">
        <v>2025</v>
      </c>
      <c r="B5412" t="s">
        <v>10777</v>
      </c>
      <c r="C5412" s="1">
        <v>45996</v>
      </c>
      <c r="D5412" t="s">
        <v>10778</v>
      </c>
      <c r="E5412" s="2">
        <v>27000</v>
      </c>
      <c r="G5412" s="3">
        <f>MONTH(Tabela1[[#This Row],[Último pagto ano]])</f>
        <v>12</v>
      </c>
      <c r="H5412" t="str">
        <f>TEXT(Tabela1[[#This Row],[Coluna2]]*29,"mmmm")</f>
        <v>dezembro</v>
      </c>
      <c r="I5412" t="str">
        <f>TEXT(MONTH(Tabela1[[#This Row],[Último pagto ano]])*29,"mmmm")</f>
        <v>dezembro</v>
      </c>
    </row>
    <row r="5413" spans="1:9" x14ac:dyDescent="0.25">
      <c r="A5413">
        <v>2025</v>
      </c>
      <c r="B5413" t="s">
        <v>10779</v>
      </c>
      <c r="C5413" s="1">
        <v>45758</v>
      </c>
      <c r="D5413" t="s">
        <v>10780</v>
      </c>
      <c r="E5413" s="2">
        <v>21480</v>
      </c>
      <c r="G5413" s="3">
        <f>MONTH(Tabela1[[#This Row],[Último pagto ano]])</f>
        <v>4</v>
      </c>
      <c r="H5413" t="str">
        <f>TEXT(Tabela1[[#This Row],[Coluna2]]*29,"mmmm")</f>
        <v>abril</v>
      </c>
      <c r="I5413" t="str">
        <f>TEXT(MONTH(Tabela1[[#This Row],[Último pagto ano]])*29,"mmmm")</f>
        <v>abril</v>
      </c>
    </row>
    <row r="5414" spans="1:9" x14ac:dyDescent="0.25">
      <c r="A5414">
        <v>2025</v>
      </c>
      <c r="B5414" t="s">
        <v>10781</v>
      </c>
      <c r="C5414" s="1">
        <v>46014</v>
      </c>
      <c r="D5414" t="s">
        <v>10782</v>
      </c>
      <c r="E5414" s="2">
        <v>31464</v>
      </c>
      <c r="G5414" s="3">
        <f>MONTH(Tabela1[[#This Row],[Último pagto ano]])</f>
        <v>12</v>
      </c>
      <c r="H5414" t="str">
        <f>TEXT(Tabela1[[#This Row],[Coluna2]]*29,"mmmm")</f>
        <v>dezembro</v>
      </c>
      <c r="I5414" t="str">
        <f>TEXT(MONTH(Tabela1[[#This Row],[Último pagto ano]])*29,"mmmm")</f>
        <v>dezembro</v>
      </c>
    </row>
    <row r="5415" spans="1:9" x14ac:dyDescent="0.25">
      <c r="A5415">
        <v>2025</v>
      </c>
      <c r="B5415" t="s">
        <v>10783</v>
      </c>
      <c r="C5415" s="1">
        <v>45996</v>
      </c>
      <c r="D5415" t="s">
        <v>10784</v>
      </c>
      <c r="E5415" s="2">
        <v>743110.38</v>
      </c>
      <c r="G5415" s="3">
        <f>MONTH(Tabela1[[#This Row],[Último pagto ano]])</f>
        <v>12</v>
      </c>
      <c r="H5415" t="str">
        <f>TEXT(Tabela1[[#This Row],[Coluna2]]*29,"mmmm")</f>
        <v>dezembro</v>
      </c>
      <c r="I5415" t="str">
        <f>TEXT(MONTH(Tabela1[[#This Row],[Último pagto ano]])*29,"mmmm")</f>
        <v>dezembro</v>
      </c>
    </row>
    <row r="5416" spans="1:9" x14ac:dyDescent="0.25">
      <c r="A5416">
        <v>2025</v>
      </c>
      <c r="B5416" t="s">
        <v>10785</v>
      </c>
      <c r="C5416" s="1">
        <v>45817</v>
      </c>
      <c r="D5416" t="s">
        <v>10786</v>
      </c>
      <c r="E5416">
        <v>1.56</v>
      </c>
      <c r="G5416" s="3">
        <f>MONTH(Tabela1[[#This Row],[Último pagto ano]])</f>
        <v>6</v>
      </c>
      <c r="H5416" t="str">
        <f>TEXT(Tabela1[[#This Row],[Coluna2]]*29,"mmmm")</f>
        <v>junho</v>
      </c>
      <c r="I5416" t="str">
        <f>TEXT(MONTH(Tabela1[[#This Row],[Último pagto ano]])*29,"mmmm")</f>
        <v>junho</v>
      </c>
    </row>
    <row r="5417" spans="1:9" x14ac:dyDescent="0.25">
      <c r="A5417">
        <v>2025</v>
      </c>
      <c r="B5417" t="s">
        <v>10787</v>
      </c>
      <c r="C5417" s="1">
        <v>46014</v>
      </c>
      <c r="D5417" t="s">
        <v>10788</v>
      </c>
      <c r="E5417">
        <v>233.2</v>
      </c>
      <c r="G5417" s="3">
        <f>MONTH(Tabela1[[#This Row],[Último pagto ano]])</f>
        <v>12</v>
      </c>
      <c r="H5417" t="str">
        <f>TEXT(Tabela1[[#This Row],[Coluna2]]*29,"mmmm")</f>
        <v>dezembro</v>
      </c>
      <c r="I5417" t="str">
        <f>TEXT(MONTH(Tabela1[[#This Row],[Último pagto ano]])*29,"mmmm")</f>
        <v>dezembro</v>
      </c>
    </row>
    <row r="5418" spans="1:9" x14ac:dyDescent="0.25">
      <c r="A5418">
        <v>2025</v>
      </c>
      <c r="B5418" t="s">
        <v>10789</v>
      </c>
      <c r="C5418" s="1">
        <v>45915</v>
      </c>
      <c r="D5418" t="s">
        <v>10790</v>
      </c>
      <c r="E5418" s="2">
        <v>6549.72</v>
      </c>
      <c r="G5418" s="3">
        <f>MONTH(Tabela1[[#This Row],[Último pagto ano]])</f>
        <v>9</v>
      </c>
      <c r="H5418" t="str">
        <f>TEXT(Tabela1[[#This Row],[Coluna2]]*29,"mmmm")</f>
        <v>setembro</v>
      </c>
      <c r="I5418" t="str">
        <f>TEXT(MONTH(Tabela1[[#This Row],[Último pagto ano]])*29,"mmmm")</f>
        <v>setembro</v>
      </c>
    </row>
    <row r="5419" spans="1:9" x14ac:dyDescent="0.25">
      <c r="A5419">
        <v>2025</v>
      </c>
      <c r="B5419" t="s">
        <v>10791</v>
      </c>
      <c r="C5419" s="1">
        <v>45924</v>
      </c>
      <c r="D5419" t="s">
        <v>10792</v>
      </c>
      <c r="E5419" s="2">
        <v>1400</v>
      </c>
      <c r="G5419" s="3">
        <f>MONTH(Tabela1[[#This Row],[Último pagto ano]])</f>
        <v>9</v>
      </c>
      <c r="H5419" t="str">
        <f>TEXT(Tabela1[[#This Row],[Coluna2]]*29,"mmmm")</f>
        <v>setembro</v>
      </c>
      <c r="I5419" t="str">
        <f>TEXT(MONTH(Tabela1[[#This Row],[Último pagto ano]])*29,"mmmm")</f>
        <v>setembro</v>
      </c>
    </row>
    <row r="5420" spans="1:9" x14ac:dyDescent="0.25">
      <c r="A5420">
        <v>2025</v>
      </c>
      <c r="B5420" t="s">
        <v>10793</v>
      </c>
      <c r="C5420" s="1">
        <v>45999</v>
      </c>
      <c r="D5420" t="s">
        <v>10794</v>
      </c>
      <c r="E5420" s="2">
        <v>3498</v>
      </c>
      <c r="G5420" s="3">
        <f>MONTH(Tabela1[[#This Row],[Último pagto ano]])</f>
        <v>12</v>
      </c>
      <c r="H5420" t="str">
        <f>TEXT(Tabela1[[#This Row],[Coluna2]]*29,"mmmm")</f>
        <v>dezembro</v>
      </c>
      <c r="I5420" t="str">
        <f>TEXT(MONTH(Tabela1[[#This Row],[Último pagto ano]])*29,"mmmm")</f>
        <v>dezembro</v>
      </c>
    </row>
    <row r="5421" spans="1:9" x14ac:dyDescent="0.25">
      <c r="A5421">
        <v>2025</v>
      </c>
      <c r="B5421" t="s">
        <v>10795</v>
      </c>
      <c r="C5421" s="1">
        <v>46006</v>
      </c>
      <c r="D5421" t="s">
        <v>10796</v>
      </c>
      <c r="E5421">
        <v>286</v>
      </c>
      <c r="G5421" s="3">
        <f>MONTH(Tabela1[[#This Row],[Último pagto ano]])</f>
        <v>12</v>
      </c>
      <c r="H5421" t="str">
        <f>TEXT(Tabela1[[#This Row],[Coluna2]]*29,"mmmm")</f>
        <v>dezembro</v>
      </c>
      <c r="I5421" t="str">
        <f>TEXT(MONTH(Tabela1[[#This Row],[Último pagto ano]])*29,"mmmm")</f>
        <v>dezembro</v>
      </c>
    </row>
    <row r="5422" spans="1:9" x14ac:dyDescent="0.25">
      <c r="A5422">
        <v>2025</v>
      </c>
      <c r="B5422" t="s">
        <v>10797</v>
      </c>
      <c r="C5422" s="1">
        <v>45769</v>
      </c>
      <c r="D5422" t="s">
        <v>10798</v>
      </c>
      <c r="E5422" s="2">
        <v>9408.25</v>
      </c>
      <c r="G5422" s="3">
        <f>MONTH(Tabela1[[#This Row],[Último pagto ano]])</f>
        <v>4</v>
      </c>
      <c r="H5422" t="str">
        <f>TEXT(Tabela1[[#This Row],[Coluna2]]*29,"mmmm")</f>
        <v>abril</v>
      </c>
      <c r="I5422" t="str">
        <f>TEXT(MONTH(Tabela1[[#This Row],[Último pagto ano]])*29,"mmmm")</f>
        <v>abril</v>
      </c>
    </row>
    <row r="5423" spans="1:9" x14ac:dyDescent="0.25">
      <c r="A5423">
        <v>2025</v>
      </c>
      <c r="B5423" t="s">
        <v>10799</v>
      </c>
      <c r="C5423" s="1">
        <v>45852</v>
      </c>
      <c r="D5423" t="s">
        <v>10800</v>
      </c>
      <c r="E5423">
        <v>22</v>
      </c>
      <c r="G5423" s="3">
        <f>MONTH(Tabela1[[#This Row],[Último pagto ano]])</f>
        <v>7</v>
      </c>
      <c r="H5423" t="str">
        <f>TEXT(Tabela1[[#This Row],[Coluna2]]*29,"mmmm")</f>
        <v>julho</v>
      </c>
      <c r="I5423" t="str">
        <f>TEXT(MONTH(Tabela1[[#This Row],[Último pagto ano]])*29,"mmmm")</f>
        <v>julho</v>
      </c>
    </row>
    <row r="5424" spans="1:9" x14ac:dyDescent="0.25">
      <c r="A5424">
        <v>2025</v>
      </c>
      <c r="B5424" t="s">
        <v>10801</v>
      </c>
      <c r="C5424" s="1">
        <v>45702</v>
      </c>
      <c r="D5424" t="s">
        <v>10802</v>
      </c>
      <c r="E5424">
        <v>596.82000000000005</v>
      </c>
      <c r="G5424" s="3">
        <f>MONTH(Tabela1[[#This Row],[Último pagto ano]])</f>
        <v>2</v>
      </c>
      <c r="H5424" t="str">
        <f>TEXT(Tabela1[[#This Row],[Coluna2]]*29,"mmmm")</f>
        <v>fevereiro</v>
      </c>
      <c r="I5424" t="str">
        <f>TEXT(MONTH(Tabela1[[#This Row],[Último pagto ano]])*29,"mmmm")</f>
        <v>fevereiro</v>
      </c>
    </row>
    <row r="5425" spans="1:9" x14ac:dyDescent="0.25">
      <c r="A5425">
        <v>2025</v>
      </c>
      <c r="B5425" t="s">
        <v>10803</v>
      </c>
      <c r="C5425" s="1">
        <v>45846</v>
      </c>
      <c r="D5425" t="s">
        <v>10804</v>
      </c>
      <c r="E5425" s="2">
        <v>6197.98</v>
      </c>
      <c r="G5425" s="3">
        <f>MONTH(Tabela1[[#This Row],[Último pagto ano]])</f>
        <v>7</v>
      </c>
      <c r="H5425" t="str">
        <f>TEXT(Tabela1[[#This Row],[Coluna2]]*29,"mmmm")</f>
        <v>julho</v>
      </c>
      <c r="I5425" t="str">
        <f>TEXT(MONTH(Tabela1[[#This Row],[Último pagto ano]])*29,"mmmm")</f>
        <v>julho</v>
      </c>
    </row>
    <row r="5426" spans="1:9" x14ac:dyDescent="0.25">
      <c r="A5426">
        <v>2025</v>
      </c>
      <c r="B5426" t="s">
        <v>10805</v>
      </c>
      <c r="C5426" s="1">
        <v>45996</v>
      </c>
      <c r="D5426" t="s">
        <v>10806</v>
      </c>
      <c r="E5426" s="2">
        <v>16734</v>
      </c>
      <c r="G5426" s="3">
        <f>MONTH(Tabela1[[#This Row],[Último pagto ano]])</f>
        <v>12</v>
      </c>
      <c r="H5426" t="str">
        <f>TEXT(Tabela1[[#This Row],[Coluna2]]*29,"mmmm")</f>
        <v>dezembro</v>
      </c>
      <c r="I5426" t="str">
        <f>TEXT(MONTH(Tabela1[[#This Row],[Último pagto ano]])*29,"mmmm")</f>
        <v>dezembro</v>
      </c>
    </row>
    <row r="5427" spans="1:9" x14ac:dyDescent="0.25">
      <c r="A5427">
        <v>2025</v>
      </c>
      <c r="B5427" t="s">
        <v>10807</v>
      </c>
      <c r="C5427" s="1">
        <v>45876</v>
      </c>
      <c r="D5427" t="s">
        <v>10808</v>
      </c>
      <c r="E5427" s="2">
        <v>27000</v>
      </c>
      <c r="G5427" s="3">
        <f>MONTH(Tabela1[[#This Row],[Último pagto ano]])</f>
        <v>8</v>
      </c>
      <c r="H5427" t="str">
        <f>TEXT(Tabela1[[#This Row],[Coluna2]]*29,"mmmm")</f>
        <v>agosto</v>
      </c>
      <c r="I5427" t="str">
        <f>TEXT(MONTH(Tabela1[[#This Row],[Último pagto ano]])*29,"mmmm")</f>
        <v>agosto</v>
      </c>
    </row>
    <row r="5428" spans="1:9" x14ac:dyDescent="0.25">
      <c r="A5428">
        <v>2025</v>
      </c>
      <c r="B5428" t="s">
        <v>10809</v>
      </c>
      <c r="C5428" s="1">
        <v>45786</v>
      </c>
      <c r="D5428" t="s">
        <v>10810</v>
      </c>
      <c r="E5428">
        <v>600</v>
      </c>
      <c r="G5428" s="3">
        <f>MONTH(Tabela1[[#This Row],[Último pagto ano]])</f>
        <v>5</v>
      </c>
      <c r="H5428" t="str">
        <f>TEXT(Tabela1[[#This Row],[Coluna2]]*29,"mmmm")</f>
        <v>maio</v>
      </c>
      <c r="I5428" t="str">
        <f>TEXT(MONTH(Tabela1[[#This Row],[Último pagto ano]])*29,"mmmm")</f>
        <v>maio</v>
      </c>
    </row>
    <row r="5429" spans="1:9" x14ac:dyDescent="0.25">
      <c r="A5429">
        <v>2025</v>
      </c>
      <c r="B5429" t="s">
        <v>10811</v>
      </c>
      <c r="C5429" s="1">
        <v>45930</v>
      </c>
      <c r="D5429" t="s">
        <v>10812</v>
      </c>
      <c r="E5429" s="2">
        <v>7891.58</v>
      </c>
      <c r="G5429" s="3">
        <f>MONTH(Tabela1[[#This Row],[Último pagto ano]])</f>
        <v>9</v>
      </c>
      <c r="H5429" t="str">
        <f>TEXT(Tabela1[[#This Row],[Coluna2]]*29,"mmmm")</f>
        <v>setembro</v>
      </c>
      <c r="I5429" t="str">
        <f>TEXT(MONTH(Tabela1[[#This Row],[Último pagto ano]])*29,"mmmm")</f>
        <v>setembro</v>
      </c>
    </row>
    <row r="5430" spans="1:9" x14ac:dyDescent="0.25">
      <c r="A5430">
        <v>2025</v>
      </c>
      <c r="B5430" t="s">
        <v>10813</v>
      </c>
      <c r="C5430" s="1">
        <v>45943</v>
      </c>
      <c r="D5430" t="s">
        <v>10814</v>
      </c>
      <c r="E5430">
        <v>66</v>
      </c>
      <c r="G5430" s="3">
        <f>MONTH(Tabela1[[#This Row],[Último pagto ano]])</f>
        <v>10</v>
      </c>
      <c r="H5430" t="str">
        <f>TEXT(Tabela1[[#This Row],[Coluna2]]*29,"mmmm")</f>
        <v>outubro</v>
      </c>
      <c r="I5430" t="str">
        <f>TEXT(MONTH(Tabela1[[#This Row],[Último pagto ano]])*29,"mmmm")</f>
        <v>outubro</v>
      </c>
    </row>
    <row r="5431" spans="1:9" x14ac:dyDescent="0.25">
      <c r="A5431">
        <v>2025</v>
      </c>
      <c r="B5431" t="s">
        <v>10815</v>
      </c>
      <c r="C5431" s="1">
        <v>45968</v>
      </c>
      <c r="D5431" t="s">
        <v>10816</v>
      </c>
      <c r="E5431" s="2">
        <v>10000</v>
      </c>
      <c r="G5431" s="3">
        <f>MONTH(Tabela1[[#This Row],[Último pagto ano]])</f>
        <v>11</v>
      </c>
      <c r="H5431" t="str">
        <f>TEXT(Tabela1[[#This Row],[Coluna2]]*29,"mmmm")</f>
        <v>novembro</v>
      </c>
      <c r="I5431" t="str">
        <f>TEXT(MONTH(Tabela1[[#This Row],[Último pagto ano]])*29,"mmmm")</f>
        <v>novembro</v>
      </c>
    </row>
    <row r="5432" spans="1:9" x14ac:dyDescent="0.25">
      <c r="A5432">
        <v>2025</v>
      </c>
      <c r="B5432" t="s">
        <v>10817</v>
      </c>
      <c r="C5432" s="1">
        <v>46006</v>
      </c>
      <c r="D5432" t="s">
        <v>10818</v>
      </c>
      <c r="E5432">
        <v>66</v>
      </c>
      <c r="G5432" s="3">
        <f>MONTH(Tabela1[[#This Row],[Último pagto ano]])</f>
        <v>12</v>
      </c>
      <c r="H5432" t="str">
        <f>TEXT(Tabela1[[#This Row],[Coluna2]]*29,"mmmm")</f>
        <v>dezembro</v>
      </c>
      <c r="I5432" t="str">
        <f>TEXT(MONTH(Tabela1[[#This Row],[Último pagto ano]])*29,"mmmm")</f>
        <v>dezembro</v>
      </c>
    </row>
    <row r="5433" spans="1:9" x14ac:dyDescent="0.25">
      <c r="A5433">
        <v>2025</v>
      </c>
      <c r="B5433" t="s">
        <v>10819</v>
      </c>
      <c r="C5433" s="1">
        <v>45684</v>
      </c>
      <c r="D5433" t="s">
        <v>10820</v>
      </c>
      <c r="E5433">
        <v>22</v>
      </c>
      <c r="G5433" s="3">
        <f>MONTH(Tabela1[[#This Row],[Último pagto ano]])</f>
        <v>1</v>
      </c>
      <c r="H5433" t="str">
        <f>TEXT(Tabela1[[#This Row],[Coluna2]]*29,"mmmm")</f>
        <v>janeiro</v>
      </c>
      <c r="I5433" t="str">
        <f>TEXT(MONTH(Tabela1[[#This Row],[Último pagto ano]])*29,"mmmm")</f>
        <v>janeiro</v>
      </c>
    </row>
    <row r="5434" spans="1:9" x14ac:dyDescent="0.25">
      <c r="A5434">
        <v>2025</v>
      </c>
      <c r="B5434" t="s">
        <v>10821</v>
      </c>
      <c r="C5434" s="1">
        <v>46014</v>
      </c>
      <c r="D5434" t="s">
        <v>10822</v>
      </c>
      <c r="E5434" s="2">
        <v>144000</v>
      </c>
      <c r="G5434" s="3">
        <f>MONTH(Tabela1[[#This Row],[Último pagto ano]])</f>
        <v>12</v>
      </c>
      <c r="H5434" t="str">
        <f>TEXT(Tabela1[[#This Row],[Coluna2]]*29,"mmmm")</f>
        <v>dezembro</v>
      </c>
      <c r="I5434" t="str">
        <f>TEXT(MONTH(Tabela1[[#This Row],[Último pagto ano]])*29,"mmmm")</f>
        <v>dezembro</v>
      </c>
    </row>
    <row r="5435" spans="1:9" x14ac:dyDescent="0.25">
      <c r="A5435">
        <v>2025</v>
      </c>
      <c r="B5435" t="s">
        <v>10823</v>
      </c>
      <c r="C5435" s="1">
        <v>45971</v>
      </c>
      <c r="D5435" t="s">
        <v>10824</v>
      </c>
      <c r="E5435" s="2">
        <v>1532983.61</v>
      </c>
      <c r="G5435" s="3">
        <f>MONTH(Tabela1[[#This Row],[Último pagto ano]])</f>
        <v>11</v>
      </c>
      <c r="H5435" t="str">
        <f>TEXT(Tabela1[[#This Row],[Coluna2]]*29,"mmmm")</f>
        <v>novembro</v>
      </c>
      <c r="I5435" t="str">
        <f>TEXT(MONTH(Tabela1[[#This Row],[Último pagto ano]])*29,"mmmm")</f>
        <v>novembro</v>
      </c>
    </row>
    <row r="5436" spans="1:9" x14ac:dyDescent="0.25">
      <c r="A5436">
        <v>2025</v>
      </c>
      <c r="B5436" t="s">
        <v>10825</v>
      </c>
      <c r="C5436" s="1">
        <v>46014</v>
      </c>
      <c r="D5436" t="s">
        <v>10826</v>
      </c>
      <c r="E5436" s="2">
        <v>60806</v>
      </c>
      <c r="G5436" s="3">
        <f>MONTH(Tabela1[[#This Row],[Último pagto ano]])</f>
        <v>12</v>
      </c>
      <c r="H5436" t="str">
        <f>TEXT(Tabela1[[#This Row],[Coluna2]]*29,"mmmm")</f>
        <v>dezembro</v>
      </c>
      <c r="I5436" t="str">
        <f>TEXT(MONTH(Tabela1[[#This Row],[Último pagto ano]])*29,"mmmm")</f>
        <v>dezembro</v>
      </c>
    </row>
    <row r="5437" spans="1:9" x14ac:dyDescent="0.25">
      <c r="A5437">
        <v>2025</v>
      </c>
      <c r="B5437" t="s">
        <v>10827</v>
      </c>
      <c r="C5437" s="1">
        <v>45994</v>
      </c>
      <c r="D5437" t="s">
        <v>10828</v>
      </c>
      <c r="E5437" s="2">
        <v>60848.15</v>
      </c>
      <c r="G5437" s="3">
        <f>MONTH(Tabela1[[#This Row],[Último pagto ano]])</f>
        <v>12</v>
      </c>
      <c r="H5437" t="str">
        <f>TEXT(Tabela1[[#This Row],[Coluna2]]*29,"mmmm")</f>
        <v>dezembro</v>
      </c>
      <c r="I5437" t="str">
        <f>TEXT(MONTH(Tabela1[[#This Row],[Último pagto ano]])*29,"mmmm")</f>
        <v>dezembro</v>
      </c>
    </row>
    <row r="5438" spans="1:9" x14ac:dyDescent="0.25">
      <c r="A5438">
        <v>2025</v>
      </c>
      <c r="B5438" t="s">
        <v>10829</v>
      </c>
      <c r="C5438" s="1">
        <v>45929</v>
      </c>
      <c r="D5438" t="s">
        <v>10830</v>
      </c>
      <c r="E5438">
        <v>110</v>
      </c>
      <c r="G5438" s="3">
        <f>MONTH(Tabela1[[#This Row],[Último pagto ano]])</f>
        <v>9</v>
      </c>
      <c r="H5438" t="str">
        <f>TEXT(Tabela1[[#This Row],[Coluna2]]*29,"mmmm")</f>
        <v>setembro</v>
      </c>
      <c r="I5438" t="str">
        <f>TEXT(MONTH(Tabela1[[#This Row],[Último pagto ano]])*29,"mmmm")</f>
        <v>setembro</v>
      </c>
    </row>
    <row r="5439" spans="1:9" x14ac:dyDescent="0.25">
      <c r="A5439">
        <v>2025</v>
      </c>
      <c r="B5439" t="s">
        <v>10831</v>
      </c>
      <c r="C5439" s="1">
        <v>45838</v>
      </c>
      <c r="D5439" t="s">
        <v>10832</v>
      </c>
      <c r="E5439" s="2">
        <v>2863</v>
      </c>
      <c r="G5439" s="3">
        <f>MONTH(Tabela1[[#This Row],[Último pagto ano]])</f>
        <v>6</v>
      </c>
      <c r="H5439" t="str">
        <f>TEXT(Tabela1[[#This Row],[Coluna2]]*29,"mmmm")</f>
        <v>junho</v>
      </c>
      <c r="I5439" t="str">
        <f>TEXT(MONTH(Tabela1[[#This Row],[Último pagto ano]])*29,"mmmm")</f>
        <v>junho</v>
      </c>
    </row>
    <row r="5440" spans="1:9" x14ac:dyDescent="0.25">
      <c r="A5440">
        <v>2025</v>
      </c>
      <c r="B5440" t="s">
        <v>10833</v>
      </c>
      <c r="C5440" s="1">
        <v>45846</v>
      </c>
      <c r="D5440" t="s">
        <v>10834</v>
      </c>
      <c r="E5440" s="2">
        <v>6178.77</v>
      </c>
      <c r="G5440" s="3">
        <f>MONTH(Tabela1[[#This Row],[Último pagto ano]])</f>
        <v>7</v>
      </c>
      <c r="H5440" t="str">
        <f>TEXT(Tabela1[[#This Row],[Coluna2]]*29,"mmmm")</f>
        <v>julho</v>
      </c>
      <c r="I5440" t="str">
        <f>TEXT(MONTH(Tabela1[[#This Row],[Último pagto ano]])*29,"mmmm")</f>
        <v>julho</v>
      </c>
    </row>
    <row r="5441" spans="1:9" x14ac:dyDescent="0.25">
      <c r="A5441">
        <v>2025</v>
      </c>
      <c r="B5441" t="s">
        <v>10835</v>
      </c>
      <c r="C5441" s="1">
        <v>45677</v>
      </c>
      <c r="D5441" t="s">
        <v>10836</v>
      </c>
      <c r="E5441">
        <v>600</v>
      </c>
      <c r="G5441" s="3">
        <f>MONTH(Tabela1[[#This Row],[Último pagto ano]])</f>
        <v>1</v>
      </c>
      <c r="H5441" t="str">
        <f>TEXT(Tabela1[[#This Row],[Coluna2]]*29,"mmmm")</f>
        <v>janeiro</v>
      </c>
      <c r="I5441" t="str">
        <f>TEXT(MONTH(Tabela1[[#This Row],[Último pagto ano]])*29,"mmmm")</f>
        <v>janeiro</v>
      </c>
    </row>
    <row r="5442" spans="1:9" x14ac:dyDescent="0.25">
      <c r="A5442">
        <v>2025</v>
      </c>
      <c r="B5442" t="s">
        <v>10837</v>
      </c>
      <c r="C5442" s="1">
        <v>45845</v>
      </c>
      <c r="D5442" t="s">
        <v>10838</v>
      </c>
      <c r="E5442">
        <v>7.12</v>
      </c>
      <c r="G5442" s="3">
        <f>MONTH(Tabela1[[#This Row],[Último pagto ano]])</f>
        <v>7</v>
      </c>
      <c r="H5442" t="str">
        <f>TEXT(Tabela1[[#This Row],[Coluna2]]*29,"mmmm")</f>
        <v>julho</v>
      </c>
      <c r="I5442" t="str">
        <f>TEXT(MONTH(Tabela1[[#This Row],[Último pagto ano]])*29,"mmmm")</f>
        <v>julho</v>
      </c>
    </row>
    <row r="5443" spans="1:9" x14ac:dyDescent="0.25">
      <c r="A5443">
        <v>2025</v>
      </c>
      <c r="B5443" t="s">
        <v>10839</v>
      </c>
      <c r="C5443" s="1">
        <v>45996</v>
      </c>
      <c r="D5443" t="s">
        <v>10840</v>
      </c>
      <c r="E5443" s="2">
        <v>7983.43</v>
      </c>
      <c r="G5443" s="3">
        <f>MONTH(Tabela1[[#This Row],[Último pagto ano]])</f>
        <v>12</v>
      </c>
      <c r="H5443" t="str">
        <f>TEXT(Tabela1[[#This Row],[Coluna2]]*29,"mmmm")</f>
        <v>dezembro</v>
      </c>
      <c r="I5443" t="str">
        <f>TEXT(MONTH(Tabela1[[#This Row],[Último pagto ano]])*29,"mmmm")</f>
        <v>dezembro</v>
      </c>
    </row>
    <row r="5444" spans="1:9" x14ac:dyDescent="0.25">
      <c r="A5444">
        <v>2025</v>
      </c>
      <c r="B5444" t="s">
        <v>10841</v>
      </c>
      <c r="C5444" s="1">
        <v>46021</v>
      </c>
      <c r="D5444" t="s">
        <v>10842</v>
      </c>
      <c r="E5444" s="2">
        <v>12758.43</v>
      </c>
      <c r="G5444" s="3">
        <f>MONTH(Tabela1[[#This Row],[Último pagto ano]])</f>
        <v>12</v>
      </c>
      <c r="H5444" t="str">
        <f>TEXT(Tabela1[[#This Row],[Coluna2]]*29,"mmmm")</f>
        <v>dezembro</v>
      </c>
      <c r="I5444" t="str">
        <f>TEXT(MONTH(Tabela1[[#This Row],[Último pagto ano]])*29,"mmmm")</f>
        <v>dezembro</v>
      </c>
    </row>
    <row r="5445" spans="1:9" x14ac:dyDescent="0.25">
      <c r="A5445">
        <v>2025</v>
      </c>
      <c r="B5445" t="s">
        <v>10843</v>
      </c>
      <c r="C5445" s="1">
        <v>45702</v>
      </c>
      <c r="D5445" t="s">
        <v>10844</v>
      </c>
      <c r="E5445" s="2">
        <v>1278.17</v>
      </c>
      <c r="G5445" s="3">
        <f>MONTH(Tabela1[[#This Row],[Último pagto ano]])</f>
        <v>2</v>
      </c>
      <c r="H5445" t="str">
        <f>TEXT(Tabela1[[#This Row],[Coluna2]]*29,"mmmm")</f>
        <v>fevereiro</v>
      </c>
      <c r="I5445" t="str">
        <f>TEXT(MONTH(Tabela1[[#This Row],[Último pagto ano]])*29,"mmmm")</f>
        <v>fevereiro</v>
      </c>
    </row>
    <row r="5446" spans="1:9" x14ac:dyDescent="0.25">
      <c r="A5446">
        <v>2025</v>
      </c>
      <c r="B5446" t="s">
        <v>10845</v>
      </c>
      <c r="C5446" s="1">
        <v>45989</v>
      </c>
      <c r="D5446" t="s">
        <v>10846</v>
      </c>
      <c r="E5446" s="2">
        <v>11772.17</v>
      </c>
      <c r="G5446" s="3">
        <f>MONTH(Tabela1[[#This Row],[Último pagto ano]])</f>
        <v>11</v>
      </c>
      <c r="H5446" t="str">
        <f>TEXT(Tabela1[[#This Row],[Coluna2]]*29,"mmmm")</f>
        <v>novembro</v>
      </c>
      <c r="I5446" t="str">
        <f>TEXT(MONTH(Tabela1[[#This Row],[Último pagto ano]])*29,"mmmm")</f>
        <v>novembro</v>
      </c>
    </row>
    <row r="5447" spans="1:9" x14ac:dyDescent="0.25">
      <c r="A5447">
        <v>2025</v>
      </c>
      <c r="B5447" t="s">
        <v>10847</v>
      </c>
      <c r="C5447" s="1">
        <v>46010</v>
      </c>
      <c r="D5447" t="s">
        <v>10848</v>
      </c>
      <c r="E5447" s="2">
        <v>12000</v>
      </c>
      <c r="G5447" s="3">
        <f>MONTH(Tabela1[[#This Row],[Último pagto ano]])</f>
        <v>12</v>
      </c>
      <c r="H5447" t="str">
        <f>TEXT(Tabela1[[#This Row],[Coluna2]]*29,"mmmm")</f>
        <v>dezembro</v>
      </c>
      <c r="I5447" t="str">
        <f>TEXT(MONTH(Tabela1[[#This Row],[Último pagto ano]])*29,"mmmm")</f>
        <v>dezembro</v>
      </c>
    </row>
    <row r="5448" spans="1:9" x14ac:dyDescent="0.25">
      <c r="A5448">
        <v>2025</v>
      </c>
      <c r="B5448" t="s">
        <v>10849</v>
      </c>
      <c r="C5448" s="1">
        <v>46006</v>
      </c>
      <c r="D5448" t="s">
        <v>10850</v>
      </c>
      <c r="E5448" s="2">
        <v>9773.2800000000007</v>
      </c>
      <c r="G5448" s="3">
        <f>MONTH(Tabela1[[#This Row],[Último pagto ano]])</f>
        <v>12</v>
      </c>
      <c r="H5448" t="str">
        <f>TEXT(Tabela1[[#This Row],[Coluna2]]*29,"mmmm")</f>
        <v>dezembro</v>
      </c>
      <c r="I5448" t="str">
        <f>TEXT(MONTH(Tabela1[[#This Row],[Último pagto ano]])*29,"mmmm")</f>
        <v>dezembro</v>
      </c>
    </row>
    <row r="5449" spans="1:9" x14ac:dyDescent="0.25">
      <c r="A5449">
        <v>2025</v>
      </c>
      <c r="B5449" t="s">
        <v>10851</v>
      </c>
      <c r="C5449" s="1">
        <v>45996</v>
      </c>
      <c r="D5449" t="s">
        <v>10852</v>
      </c>
      <c r="E5449" s="2">
        <v>5445</v>
      </c>
      <c r="G5449" s="3">
        <f>MONTH(Tabela1[[#This Row],[Último pagto ano]])</f>
        <v>12</v>
      </c>
      <c r="H5449" t="str">
        <f>TEXT(Tabela1[[#This Row],[Coluna2]]*29,"mmmm")</f>
        <v>dezembro</v>
      </c>
      <c r="I5449" t="str">
        <f>TEXT(MONTH(Tabela1[[#This Row],[Último pagto ano]])*29,"mmmm")</f>
        <v>dezembro</v>
      </c>
    </row>
    <row r="5450" spans="1:9" x14ac:dyDescent="0.25">
      <c r="A5450">
        <v>2025</v>
      </c>
      <c r="B5450" t="s">
        <v>10853</v>
      </c>
      <c r="C5450" s="1">
        <v>45996</v>
      </c>
      <c r="D5450" t="s">
        <v>10854</v>
      </c>
      <c r="E5450" s="2">
        <v>12900</v>
      </c>
      <c r="G5450" s="3">
        <f>MONTH(Tabela1[[#This Row],[Último pagto ano]])</f>
        <v>12</v>
      </c>
      <c r="H5450" t="str">
        <f>TEXT(Tabela1[[#This Row],[Coluna2]]*29,"mmmm")</f>
        <v>dezembro</v>
      </c>
      <c r="I5450" t="str">
        <f>TEXT(MONTH(Tabela1[[#This Row],[Último pagto ano]])*29,"mmmm")</f>
        <v>dezembro</v>
      </c>
    </row>
    <row r="5451" spans="1:9" x14ac:dyDescent="0.25">
      <c r="A5451">
        <v>2025</v>
      </c>
      <c r="B5451" t="s">
        <v>10855</v>
      </c>
      <c r="C5451" s="1">
        <v>45937</v>
      </c>
      <c r="D5451" t="s">
        <v>10856</v>
      </c>
      <c r="E5451" s="2">
        <v>2855.18</v>
      </c>
      <c r="G5451" s="3">
        <f>MONTH(Tabela1[[#This Row],[Último pagto ano]])</f>
        <v>10</v>
      </c>
      <c r="H5451" t="str">
        <f>TEXT(Tabela1[[#This Row],[Coluna2]]*29,"mmmm")</f>
        <v>outubro</v>
      </c>
      <c r="I5451" t="str">
        <f>TEXT(MONTH(Tabela1[[#This Row],[Último pagto ano]])*29,"mmmm")</f>
        <v>outubro</v>
      </c>
    </row>
    <row r="5452" spans="1:9" x14ac:dyDescent="0.25">
      <c r="A5452">
        <v>2025</v>
      </c>
      <c r="B5452" t="s">
        <v>10857</v>
      </c>
      <c r="C5452" s="1">
        <v>45959</v>
      </c>
      <c r="D5452" t="s">
        <v>10858</v>
      </c>
      <c r="E5452" s="2">
        <v>4953.8500000000004</v>
      </c>
      <c r="G5452" s="3">
        <f>MONTH(Tabela1[[#This Row],[Último pagto ano]])</f>
        <v>10</v>
      </c>
      <c r="H5452" t="str">
        <f>TEXT(Tabela1[[#This Row],[Coluna2]]*29,"mmmm")</f>
        <v>outubro</v>
      </c>
      <c r="I5452" t="str">
        <f>TEXT(MONTH(Tabela1[[#This Row],[Último pagto ano]])*29,"mmmm")</f>
        <v>outubro</v>
      </c>
    </row>
    <row r="5453" spans="1:9" x14ac:dyDescent="0.25">
      <c r="A5453">
        <v>2025</v>
      </c>
      <c r="B5453" t="s">
        <v>10859</v>
      </c>
      <c r="C5453" s="1">
        <v>45989</v>
      </c>
      <c r="D5453" t="s">
        <v>10860</v>
      </c>
      <c r="E5453" s="2">
        <v>5369.48</v>
      </c>
      <c r="G5453" s="3">
        <f>MONTH(Tabela1[[#This Row],[Último pagto ano]])</f>
        <v>11</v>
      </c>
      <c r="H5453" t="str">
        <f>TEXT(Tabela1[[#This Row],[Coluna2]]*29,"mmmm")</f>
        <v>novembro</v>
      </c>
      <c r="I5453" t="str">
        <f>TEXT(MONTH(Tabela1[[#This Row],[Último pagto ano]])*29,"mmmm")</f>
        <v>novembro</v>
      </c>
    </row>
    <row r="5454" spans="1:9" x14ac:dyDescent="0.25">
      <c r="A5454">
        <v>2025</v>
      </c>
      <c r="B5454" t="s">
        <v>10861</v>
      </c>
      <c r="C5454" s="1">
        <v>46013</v>
      </c>
      <c r="D5454" t="s">
        <v>10862</v>
      </c>
      <c r="E5454">
        <v>163.80000000000001</v>
      </c>
      <c r="G5454" s="3">
        <f>MONTH(Tabela1[[#This Row],[Último pagto ano]])</f>
        <v>12</v>
      </c>
      <c r="H5454" t="str">
        <f>TEXT(Tabela1[[#This Row],[Coluna2]]*29,"mmmm")</f>
        <v>dezembro</v>
      </c>
      <c r="I5454" t="str">
        <f>TEXT(MONTH(Tabela1[[#This Row],[Último pagto ano]])*29,"mmmm")</f>
        <v>dezembro</v>
      </c>
    </row>
    <row r="5455" spans="1:9" x14ac:dyDescent="0.25">
      <c r="A5455">
        <v>2025</v>
      </c>
      <c r="B5455" t="s">
        <v>10861</v>
      </c>
      <c r="C5455" s="1">
        <v>45702</v>
      </c>
      <c r="D5455" t="s">
        <v>10862</v>
      </c>
      <c r="E5455">
        <v>163.16</v>
      </c>
      <c r="G5455" s="3">
        <f>MONTH(Tabela1[[#This Row],[Último pagto ano]])</f>
        <v>2</v>
      </c>
      <c r="H5455" t="str">
        <f>TEXT(Tabela1[[#This Row],[Coluna2]]*29,"mmmm")</f>
        <v>fevereiro</v>
      </c>
      <c r="I5455" t="str">
        <f>TEXT(MONTH(Tabela1[[#This Row],[Último pagto ano]])*29,"mmmm")</f>
        <v>fevereiro</v>
      </c>
    </row>
    <row r="5456" spans="1:9" x14ac:dyDescent="0.25">
      <c r="A5456">
        <v>2025</v>
      </c>
      <c r="B5456" t="s">
        <v>10863</v>
      </c>
      <c r="C5456" s="1">
        <v>46010</v>
      </c>
      <c r="D5456" t="s">
        <v>10864</v>
      </c>
      <c r="E5456" s="2">
        <v>24000</v>
      </c>
      <c r="G5456" s="3">
        <f>MONTH(Tabela1[[#This Row],[Último pagto ano]])</f>
        <v>12</v>
      </c>
      <c r="H5456" t="str">
        <f>TEXT(Tabela1[[#This Row],[Coluna2]]*29,"mmmm")</f>
        <v>dezembro</v>
      </c>
      <c r="I5456" t="str">
        <f>TEXT(MONTH(Tabela1[[#This Row],[Último pagto ano]])*29,"mmmm")</f>
        <v>dezembro</v>
      </c>
    </row>
    <row r="5457" spans="1:9" x14ac:dyDescent="0.25">
      <c r="A5457">
        <v>2025</v>
      </c>
      <c r="B5457" t="s">
        <v>10865</v>
      </c>
      <c r="C5457" s="1">
        <v>45964</v>
      </c>
      <c r="D5457" t="s">
        <v>10866</v>
      </c>
      <c r="E5457">
        <v>44</v>
      </c>
      <c r="G5457" s="3">
        <f>MONTH(Tabela1[[#This Row],[Último pagto ano]])</f>
        <v>11</v>
      </c>
      <c r="H5457" t="str">
        <f>TEXT(Tabela1[[#This Row],[Coluna2]]*29,"mmmm")</f>
        <v>novembro</v>
      </c>
      <c r="I5457" t="str">
        <f>TEXT(MONTH(Tabela1[[#This Row],[Último pagto ano]])*29,"mmmm")</f>
        <v>novembro</v>
      </c>
    </row>
    <row r="5458" spans="1:9" x14ac:dyDescent="0.25">
      <c r="A5458">
        <v>2025</v>
      </c>
      <c r="B5458" t="s">
        <v>10867</v>
      </c>
      <c r="C5458" s="1">
        <v>46013</v>
      </c>
      <c r="D5458" t="s">
        <v>10868</v>
      </c>
      <c r="E5458" s="2">
        <v>4872.8999999999996</v>
      </c>
      <c r="G5458" s="3">
        <f>MONTH(Tabela1[[#This Row],[Último pagto ano]])</f>
        <v>12</v>
      </c>
      <c r="H5458" t="str">
        <f>TEXT(Tabela1[[#This Row],[Coluna2]]*29,"mmmm")</f>
        <v>dezembro</v>
      </c>
      <c r="I5458" t="str">
        <f>TEXT(MONTH(Tabela1[[#This Row],[Último pagto ano]])*29,"mmmm")</f>
        <v>dezembro</v>
      </c>
    </row>
    <row r="5459" spans="1:9" x14ac:dyDescent="0.25">
      <c r="A5459">
        <v>2025</v>
      </c>
      <c r="B5459" t="s">
        <v>10869</v>
      </c>
      <c r="C5459" s="1">
        <v>45702</v>
      </c>
      <c r="D5459" t="s">
        <v>10870</v>
      </c>
      <c r="E5459">
        <v>103.8</v>
      </c>
      <c r="G5459" s="3">
        <f>MONTH(Tabela1[[#This Row],[Último pagto ano]])</f>
        <v>2</v>
      </c>
      <c r="H5459" t="str">
        <f>TEXT(Tabela1[[#This Row],[Coluna2]]*29,"mmmm")</f>
        <v>fevereiro</v>
      </c>
      <c r="I5459" t="str">
        <f>TEXT(MONTH(Tabela1[[#This Row],[Último pagto ano]])*29,"mmmm")</f>
        <v>fevereiro</v>
      </c>
    </row>
    <row r="5460" spans="1:9" x14ac:dyDescent="0.25">
      <c r="A5460">
        <v>2025</v>
      </c>
      <c r="B5460" t="s">
        <v>10871</v>
      </c>
      <c r="C5460" s="1">
        <v>45989</v>
      </c>
      <c r="D5460" t="s">
        <v>10872</v>
      </c>
      <c r="E5460" s="2">
        <v>11039.17</v>
      </c>
      <c r="G5460" s="3">
        <f>MONTH(Tabela1[[#This Row],[Último pagto ano]])</f>
        <v>11</v>
      </c>
      <c r="H5460" t="str">
        <f>TEXT(Tabela1[[#This Row],[Coluna2]]*29,"mmmm")</f>
        <v>novembro</v>
      </c>
      <c r="I5460" t="str">
        <f>TEXT(MONTH(Tabela1[[#This Row],[Último pagto ano]])*29,"mmmm")</f>
        <v>novembro</v>
      </c>
    </row>
    <row r="5461" spans="1:9" x14ac:dyDescent="0.25">
      <c r="A5461">
        <v>2025</v>
      </c>
      <c r="B5461" t="s">
        <v>10873</v>
      </c>
      <c r="C5461" s="1">
        <v>45996</v>
      </c>
      <c r="D5461" t="s">
        <v>10874</v>
      </c>
      <c r="E5461" s="2">
        <v>32643</v>
      </c>
      <c r="G5461" s="3">
        <f>MONTH(Tabela1[[#This Row],[Último pagto ano]])</f>
        <v>12</v>
      </c>
      <c r="H5461" t="str">
        <f>TEXT(Tabela1[[#This Row],[Coluna2]]*29,"mmmm")</f>
        <v>dezembro</v>
      </c>
      <c r="I5461" t="str">
        <f>TEXT(MONTH(Tabela1[[#This Row],[Último pagto ano]])*29,"mmmm")</f>
        <v>dezembro</v>
      </c>
    </row>
    <row r="5462" spans="1:9" x14ac:dyDescent="0.25">
      <c r="A5462">
        <v>2025</v>
      </c>
      <c r="B5462" t="s">
        <v>10875</v>
      </c>
      <c r="C5462" s="1">
        <v>45835</v>
      </c>
      <c r="D5462" t="s">
        <v>10876</v>
      </c>
      <c r="E5462">
        <v>3</v>
      </c>
      <c r="G5462" s="3">
        <f>MONTH(Tabela1[[#This Row],[Último pagto ano]])</f>
        <v>6</v>
      </c>
      <c r="H5462" t="str">
        <f>TEXT(Tabela1[[#This Row],[Coluna2]]*29,"mmmm")</f>
        <v>junho</v>
      </c>
      <c r="I5462" t="str">
        <f>TEXT(MONTH(Tabela1[[#This Row],[Último pagto ano]])*29,"mmmm")</f>
        <v>junho</v>
      </c>
    </row>
    <row r="5463" spans="1:9" x14ac:dyDescent="0.25">
      <c r="A5463">
        <v>2025</v>
      </c>
      <c r="B5463" t="s">
        <v>10877</v>
      </c>
      <c r="C5463" s="1">
        <v>46013</v>
      </c>
      <c r="D5463" t="s">
        <v>10878</v>
      </c>
      <c r="E5463">
        <v>311.17</v>
      </c>
      <c r="G5463" s="3">
        <f>MONTH(Tabela1[[#This Row],[Último pagto ano]])</f>
        <v>12</v>
      </c>
      <c r="H5463" t="str">
        <f>TEXT(Tabela1[[#This Row],[Coluna2]]*29,"mmmm")</f>
        <v>dezembro</v>
      </c>
      <c r="I5463" t="str">
        <f>TEXT(MONTH(Tabela1[[#This Row],[Último pagto ano]])*29,"mmmm")</f>
        <v>dezembro</v>
      </c>
    </row>
    <row r="5464" spans="1:9" x14ac:dyDescent="0.25">
      <c r="A5464">
        <v>2025</v>
      </c>
      <c r="B5464" t="s">
        <v>10879</v>
      </c>
      <c r="C5464" s="1">
        <v>46010</v>
      </c>
      <c r="D5464" t="s">
        <v>10880</v>
      </c>
      <c r="E5464" s="2">
        <v>4900</v>
      </c>
      <c r="G5464" s="3">
        <f>MONTH(Tabela1[[#This Row],[Último pagto ano]])</f>
        <v>12</v>
      </c>
      <c r="H5464" t="str">
        <f>TEXT(Tabela1[[#This Row],[Coluna2]]*29,"mmmm")</f>
        <v>dezembro</v>
      </c>
      <c r="I5464" t="str">
        <f>TEXT(MONTH(Tabela1[[#This Row],[Último pagto ano]])*29,"mmmm")</f>
        <v>dezembro</v>
      </c>
    </row>
    <row r="5465" spans="1:9" x14ac:dyDescent="0.25">
      <c r="A5465">
        <v>2025</v>
      </c>
      <c r="B5465" t="s">
        <v>10881</v>
      </c>
      <c r="C5465" s="1">
        <v>45726</v>
      </c>
      <c r="D5465" t="s">
        <v>10882</v>
      </c>
      <c r="E5465">
        <v>93.28</v>
      </c>
      <c r="G5465" s="3">
        <f>MONTH(Tabela1[[#This Row],[Último pagto ano]])</f>
        <v>3</v>
      </c>
      <c r="H5465" t="str">
        <f>TEXT(Tabela1[[#This Row],[Coluna2]]*29,"mmmm")</f>
        <v>março</v>
      </c>
      <c r="I5465" t="str">
        <f>TEXT(MONTH(Tabela1[[#This Row],[Último pagto ano]])*29,"mmmm")</f>
        <v>março</v>
      </c>
    </row>
    <row r="5466" spans="1:9" x14ac:dyDescent="0.25">
      <c r="A5466">
        <v>2025</v>
      </c>
      <c r="B5466" t="s">
        <v>10883</v>
      </c>
      <c r="C5466" s="1">
        <v>45988</v>
      </c>
      <c r="D5466" t="s">
        <v>10884</v>
      </c>
      <c r="E5466">
        <v>702</v>
      </c>
      <c r="G5466" s="3">
        <f>MONTH(Tabela1[[#This Row],[Último pagto ano]])</f>
        <v>11</v>
      </c>
      <c r="H5466" t="str">
        <f>TEXT(Tabela1[[#This Row],[Coluna2]]*29,"mmmm")</f>
        <v>novembro</v>
      </c>
      <c r="I5466" t="str">
        <f>TEXT(MONTH(Tabela1[[#This Row],[Último pagto ano]])*29,"mmmm")</f>
        <v>novembro</v>
      </c>
    </row>
    <row r="5467" spans="1:9" x14ac:dyDescent="0.25">
      <c r="A5467">
        <v>2025</v>
      </c>
      <c r="B5467" t="s">
        <v>10885</v>
      </c>
      <c r="C5467" s="1">
        <v>46010</v>
      </c>
      <c r="D5467" t="s">
        <v>10886</v>
      </c>
      <c r="E5467" s="2">
        <v>2100</v>
      </c>
      <c r="G5467" s="3">
        <f>MONTH(Tabela1[[#This Row],[Último pagto ano]])</f>
        <v>12</v>
      </c>
      <c r="H5467" t="str">
        <f>TEXT(Tabela1[[#This Row],[Coluna2]]*29,"mmmm")</f>
        <v>dezembro</v>
      </c>
      <c r="I5467" t="str">
        <f>TEXT(MONTH(Tabela1[[#This Row],[Último pagto ano]])*29,"mmmm")</f>
        <v>dezembro</v>
      </c>
    </row>
    <row r="5468" spans="1:9" x14ac:dyDescent="0.25">
      <c r="A5468">
        <v>2025</v>
      </c>
      <c r="B5468" t="s">
        <v>10887</v>
      </c>
      <c r="C5468" s="1">
        <v>45924</v>
      </c>
      <c r="D5468" t="s">
        <v>10888</v>
      </c>
      <c r="E5468" s="2">
        <v>4900</v>
      </c>
      <c r="G5468" s="3">
        <f>MONTH(Tabela1[[#This Row],[Último pagto ano]])</f>
        <v>9</v>
      </c>
      <c r="H5468" t="str">
        <f>TEXT(Tabela1[[#This Row],[Coluna2]]*29,"mmmm")</f>
        <v>setembro</v>
      </c>
      <c r="I5468" t="str">
        <f>TEXT(MONTH(Tabela1[[#This Row],[Último pagto ano]])*29,"mmmm")</f>
        <v>setembro</v>
      </c>
    </row>
    <row r="5469" spans="1:9" x14ac:dyDescent="0.25">
      <c r="A5469">
        <v>2025</v>
      </c>
      <c r="B5469" t="s">
        <v>10889</v>
      </c>
      <c r="C5469" s="1">
        <v>45782</v>
      </c>
      <c r="D5469" t="s">
        <v>10890</v>
      </c>
      <c r="E5469">
        <v>253</v>
      </c>
      <c r="G5469" s="3">
        <f>MONTH(Tabela1[[#This Row],[Último pagto ano]])</f>
        <v>5</v>
      </c>
      <c r="H5469" t="str">
        <f>TEXT(Tabela1[[#This Row],[Coluna2]]*29,"mmmm")</f>
        <v>maio</v>
      </c>
      <c r="I5469" t="str">
        <f>TEXT(MONTH(Tabela1[[#This Row],[Último pagto ano]])*29,"mmmm")</f>
        <v>maio</v>
      </c>
    </row>
    <row r="5470" spans="1:9" x14ac:dyDescent="0.25">
      <c r="A5470">
        <v>2025</v>
      </c>
      <c r="B5470" t="s">
        <v>10891</v>
      </c>
      <c r="C5470" s="1">
        <v>46010</v>
      </c>
      <c r="D5470" t="s">
        <v>10892</v>
      </c>
      <c r="E5470" s="2">
        <v>24000</v>
      </c>
      <c r="G5470" s="3">
        <f>MONTH(Tabela1[[#This Row],[Último pagto ano]])</f>
        <v>12</v>
      </c>
      <c r="H5470" t="str">
        <f>TEXT(Tabela1[[#This Row],[Coluna2]]*29,"mmmm")</f>
        <v>dezembro</v>
      </c>
      <c r="I5470" t="str">
        <f>TEXT(MONTH(Tabela1[[#This Row],[Último pagto ano]])*29,"mmmm")</f>
        <v>dezembro</v>
      </c>
    </row>
    <row r="5471" spans="1:9" x14ac:dyDescent="0.25">
      <c r="A5471">
        <v>2025</v>
      </c>
      <c r="B5471" t="s">
        <v>10893</v>
      </c>
      <c r="C5471" s="1">
        <v>45896</v>
      </c>
      <c r="D5471" t="s">
        <v>10894</v>
      </c>
      <c r="E5471">
        <v>200</v>
      </c>
      <c r="G5471" s="3">
        <f>MONTH(Tabela1[[#This Row],[Último pagto ano]])</f>
        <v>8</v>
      </c>
      <c r="H5471" t="str">
        <f>TEXT(Tabela1[[#This Row],[Coluna2]]*29,"mmmm")</f>
        <v>agosto</v>
      </c>
      <c r="I5471" t="str">
        <f>TEXT(MONTH(Tabela1[[#This Row],[Último pagto ano]])*29,"mmmm")</f>
        <v>agosto</v>
      </c>
    </row>
    <row r="5472" spans="1:9" x14ac:dyDescent="0.25">
      <c r="A5472">
        <v>2025</v>
      </c>
      <c r="B5472" t="s">
        <v>10895</v>
      </c>
      <c r="C5472" s="1">
        <v>45712</v>
      </c>
      <c r="D5472" t="s">
        <v>10896</v>
      </c>
      <c r="E5472" s="2">
        <v>1400</v>
      </c>
      <c r="G5472" s="3">
        <f>MONTH(Tabela1[[#This Row],[Último pagto ano]])</f>
        <v>2</v>
      </c>
      <c r="H5472" t="str">
        <f>TEXT(Tabela1[[#This Row],[Coluna2]]*29,"mmmm")</f>
        <v>fevereiro</v>
      </c>
      <c r="I5472" t="str">
        <f>TEXT(MONTH(Tabela1[[#This Row],[Último pagto ano]])*29,"mmmm")</f>
        <v>fevereiro</v>
      </c>
    </row>
    <row r="5473" spans="1:9" x14ac:dyDescent="0.25">
      <c r="A5473">
        <v>2025</v>
      </c>
      <c r="B5473" t="s">
        <v>10897</v>
      </c>
      <c r="C5473" s="1">
        <v>46021</v>
      </c>
      <c r="D5473" t="s">
        <v>10898</v>
      </c>
      <c r="E5473" s="2">
        <v>13947.86</v>
      </c>
      <c r="G5473" s="3">
        <f>MONTH(Tabela1[[#This Row],[Último pagto ano]])</f>
        <v>12</v>
      </c>
      <c r="H5473" t="str">
        <f>TEXT(Tabela1[[#This Row],[Coluna2]]*29,"mmmm")</f>
        <v>dezembro</v>
      </c>
      <c r="I5473" t="str">
        <f>TEXT(MONTH(Tabela1[[#This Row],[Último pagto ano]])*29,"mmmm")</f>
        <v>dezembro</v>
      </c>
    </row>
    <row r="5474" spans="1:9" x14ac:dyDescent="0.25">
      <c r="A5474">
        <v>2025</v>
      </c>
      <c r="B5474" t="s">
        <v>10899</v>
      </c>
      <c r="C5474" s="1">
        <v>46010</v>
      </c>
      <c r="D5474" t="s">
        <v>10900</v>
      </c>
      <c r="E5474" s="2">
        <v>8400</v>
      </c>
      <c r="G5474" s="3">
        <f>MONTH(Tabela1[[#This Row],[Último pagto ano]])</f>
        <v>12</v>
      </c>
      <c r="H5474" t="str">
        <f>TEXT(Tabela1[[#This Row],[Coluna2]]*29,"mmmm")</f>
        <v>dezembro</v>
      </c>
      <c r="I5474" t="str">
        <f>TEXT(MONTH(Tabela1[[#This Row],[Último pagto ano]])*29,"mmmm")</f>
        <v>dezembro</v>
      </c>
    </row>
    <row r="5475" spans="1:9" x14ac:dyDescent="0.25">
      <c r="A5475">
        <v>2025</v>
      </c>
      <c r="B5475" t="s">
        <v>10901</v>
      </c>
      <c r="C5475" s="1">
        <v>46003</v>
      </c>
      <c r="D5475" t="s">
        <v>10902</v>
      </c>
      <c r="E5475" s="2">
        <v>1555.2</v>
      </c>
      <c r="G5475" s="3">
        <f>MONTH(Tabela1[[#This Row],[Último pagto ano]])</f>
        <v>12</v>
      </c>
      <c r="H5475" t="str">
        <f>TEXT(Tabela1[[#This Row],[Coluna2]]*29,"mmmm")</f>
        <v>dezembro</v>
      </c>
      <c r="I5475" t="str">
        <f>TEXT(MONTH(Tabela1[[#This Row],[Último pagto ano]])*29,"mmmm")</f>
        <v>dezembro</v>
      </c>
    </row>
    <row r="5476" spans="1:9" x14ac:dyDescent="0.25">
      <c r="A5476">
        <v>2025</v>
      </c>
      <c r="B5476" t="s">
        <v>10903</v>
      </c>
      <c r="C5476" s="1">
        <v>45775</v>
      </c>
      <c r="D5476" t="s">
        <v>10904</v>
      </c>
      <c r="E5476">
        <v>158</v>
      </c>
      <c r="G5476" s="3">
        <f>MONTH(Tabela1[[#This Row],[Último pagto ano]])</f>
        <v>4</v>
      </c>
      <c r="H5476" t="str">
        <f>TEXT(Tabela1[[#This Row],[Coluna2]]*29,"mmmm")</f>
        <v>abril</v>
      </c>
      <c r="I5476" t="str">
        <f>TEXT(MONTH(Tabela1[[#This Row],[Último pagto ano]])*29,"mmmm")</f>
        <v>abril</v>
      </c>
    </row>
    <row r="5477" spans="1:9" x14ac:dyDescent="0.25">
      <c r="A5477">
        <v>2025</v>
      </c>
      <c r="B5477" t="s">
        <v>10905</v>
      </c>
      <c r="C5477" s="1">
        <v>45873</v>
      </c>
      <c r="D5477" t="s">
        <v>10906</v>
      </c>
      <c r="E5477">
        <v>44</v>
      </c>
      <c r="G5477" s="3">
        <f>MONTH(Tabela1[[#This Row],[Último pagto ano]])</f>
        <v>8</v>
      </c>
      <c r="H5477" t="str">
        <f>TEXT(Tabela1[[#This Row],[Coluna2]]*29,"mmmm")</f>
        <v>agosto</v>
      </c>
      <c r="I5477" t="str">
        <f>TEXT(MONTH(Tabela1[[#This Row],[Último pagto ano]])*29,"mmmm")</f>
        <v>agosto</v>
      </c>
    </row>
    <row r="5478" spans="1:9" x14ac:dyDescent="0.25">
      <c r="A5478">
        <v>2025</v>
      </c>
      <c r="B5478" t="s">
        <v>10907</v>
      </c>
      <c r="C5478" s="1">
        <v>45985</v>
      </c>
      <c r="D5478" t="s">
        <v>10908</v>
      </c>
      <c r="E5478">
        <v>88</v>
      </c>
      <c r="G5478" s="3">
        <f>MONTH(Tabela1[[#This Row],[Último pagto ano]])</f>
        <v>11</v>
      </c>
      <c r="H5478" t="str">
        <f>TEXT(Tabela1[[#This Row],[Coluna2]]*29,"mmmm")</f>
        <v>novembro</v>
      </c>
      <c r="I5478" t="str">
        <f>TEXT(MONTH(Tabela1[[#This Row],[Último pagto ano]])*29,"mmmm")</f>
        <v>novembro</v>
      </c>
    </row>
    <row r="5479" spans="1:9" x14ac:dyDescent="0.25">
      <c r="A5479">
        <v>2025</v>
      </c>
      <c r="B5479" t="s">
        <v>10909</v>
      </c>
      <c r="C5479" s="1">
        <v>45945</v>
      </c>
      <c r="D5479" t="s">
        <v>10910</v>
      </c>
      <c r="E5479" s="2">
        <v>6206.08</v>
      </c>
      <c r="G5479" s="3">
        <f>MONTH(Tabela1[[#This Row],[Último pagto ano]])</f>
        <v>10</v>
      </c>
      <c r="H5479" t="str">
        <f>TEXT(Tabela1[[#This Row],[Coluna2]]*29,"mmmm")</f>
        <v>outubro</v>
      </c>
      <c r="I5479" t="str">
        <f>TEXT(MONTH(Tabela1[[#This Row],[Último pagto ano]])*29,"mmmm")</f>
        <v>outubro</v>
      </c>
    </row>
    <row r="5480" spans="1:9" x14ac:dyDescent="0.25">
      <c r="A5480">
        <v>2025</v>
      </c>
      <c r="B5480" t="s">
        <v>10911</v>
      </c>
      <c r="C5480" s="1">
        <v>45856</v>
      </c>
      <c r="D5480" t="s">
        <v>10912</v>
      </c>
      <c r="E5480" s="2">
        <v>6392.06</v>
      </c>
      <c r="G5480" s="3">
        <f>MONTH(Tabela1[[#This Row],[Último pagto ano]])</f>
        <v>7</v>
      </c>
      <c r="H5480" t="str">
        <f>TEXT(Tabela1[[#This Row],[Coluna2]]*29,"mmmm")</f>
        <v>julho</v>
      </c>
      <c r="I5480" t="str">
        <f>TEXT(MONTH(Tabela1[[#This Row],[Último pagto ano]])*29,"mmmm")</f>
        <v>julho</v>
      </c>
    </row>
    <row r="5481" spans="1:9" x14ac:dyDescent="0.25">
      <c r="A5481">
        <v>2025</v>
      </c>
      <c r="B5481" t="s">
        <v>10913</v>
      </c>
      <c r="C5481" s="1">
        <v>45672</v>
      </c>
      <c r="D5481" t="s">
        <v>10914</v>
      </c>
      <c r="E5481" s="2">
        <v>2121.6</v>
      </c>
      <c r="G5481" s="3">
        <f>MONTH(Tabela1[[#This Row],[Último pagto ano]])</f>
        <v>1</v>
      </c>
      <c r="H5481" t="str">
        <f>TEXT(Tabela1[[#This Row],[Coluna2]]*29,"mmmm")</f>
        <v>janeiro</v>
      </c>
      <c r="I5481" t="str">
        <f>TEXT(MONTH(Tabela1[[#This Row],[Último pagto ano]])*29,"mmmm")</f>
        <v>janeiro</v>
      </c>
    </row>
    <row r="5482" spans="1:9" x14ac:dyDescent="0.25">
      <c r="A5482">
        <v>2025</v>
      </c>
      <c r="B5482" t="s">
        <v>10915</v>
      </c>
      <c r="C5482" s="1">
        <v>45775</v>
      </c>
      <c r="D5482" t="s">
        <v>10916</v>
      </c>
      <c r="E5482" s="2">
        <v>2100</v>
      </c>
      <c r="G5482" s="3">
        <f>MONTH(Tabela1[[#This Row],[Último pagto ano]])</f>
        <v>4</v>
      </c>
      <c r="H5482" t="str">
        <f>TEXT(Tabela1[[#This Row],[Coluna2]]*29,"mmmm")</f>
        <v>abril</v>
      </c>
      <c r="I5482" t="str">
        <f>TEXT(MONTH(Tabela1[[#This Row],[Último pagto ano]])*29,"mmmm")</f>
        <v>abril</v>
      </c>
    </row>
    <row r="5483" spans="1:9" x14ac:dyDescent="0.25">
      <c r="A5483">
        <v>2025</v>
      </c>
      <c r="B5483" t="s">
        <v>10917</v>
      </c>
      <c r="C5483" s="1">
        <v>46006</v>
      </c>
      <c r="D5483" t="s">
        <v>10918</v>
      </c>
      <c r="E5483" s="2">
        <v>11200.96</v>
      </c>
      <c r="G5483" s="3">
        <f>MONTH(Tabela1[[#This Row],[Último pagto ano]])</f>
        <v>12</v>
      </c>
      <c r="H5483" t="str">
        <f>TEXT(Tabela1[[#This Row],[Coluna2]]*29,"mmmm")</f>
        <v>dezembro</v>
      </c>
      <c r="I5483" t="str">
        <f>TEXT(MONTH(Tabela1[[#This Row],[Último pagto ano]])*29,"mmmm")</f>
        <v>dezembro</v>
      </c>
    </row>
    <row r="5484" spans="1:9" x14ac:dyDescent="0.25">
      <c r="A5484">
        <v>2025</v>
      </c>
      <c r="B5484" t="s">
        <v>10919</v>
      </c>
      <c r="C5484" s="1">
        <v>46013</v>
      </c>
      <c r="D5484" t="s">
        <v>10920</v>
      </c>
      <c r="E5484" s="2">
        <v>1735</v>
      </c>
      <c r="G5484" s="3">
        <f>MONTH(Tabela1[[#This Row],[Último pagto ano]])</f>
        <v>12</v>
      </c>
      <c r="H5484" t="str">
        <f>TEXT(Tabela1[[#This Row],[Coluna2]]*29,"mmmm")</f>
        <v>dezembro</v>
      </c>
      <c r="I5484" t="str">
        <f>TEXT(MONTH(Tabela1[[#This Row],[Último pagto ano]])*29,"mmmm")</f>
        <v>dezembro</v>
      </c>
    </row>
    <row r="5485" spans="1:9" x14ac:dyDescent="0.25">
      <c r="A5485">
        <v>2025</v>
      </c>
      <c r="B5485" t="s">
        <v>10921</v>
      </c>
      <c r="C5485" s="1">
        <v>45975</v>
      </c>
      <c r="D5485" t="s">
        <v>10922</v>
      </c>
      <c r="E5485" s="2">
        <v>5923.2</v>
      </c>
      <c r="G5485" s="3">
        <f>MONTH(Tabela1[[#This Row],[Último pagto ano]])</f>
        <v>11</v>
      </c>
      <c r="H5485" t="str">
        <f>TEXT(Tabela1[[#This Row],[Coluna2]]*29,"mmmm")</f>
        <v>novembro</v>
      </c>
      <c r="I5485" t="str">
        <f>TEXT(MONTH(Tabela1[[#This Row],[Último pagto ano]])*29,"mmmm")</f>
        <v>novembro</v>
      </c>
    </row>
    <row r="5486" spans="1:9" x14ac:dyDescent="0.25">
      <c r="A5486">
        <v>2025</v>
      </c>
      <c r="B5486" t="s">
        <v>10923</v>
      </c>
      <c r="C5486" s="1">
        <v>46014</v>
      </c>
      <c r="D5486" t="s">
        <v>10924</v>
      </c>
      <c r="E5486" s="2">
        <v>34184</v>
      </c>
      <c r="G5486" s="3">
        <f>MONTH(Tabela1[[#This Row],[Último pagto ano]])</f>
        <v>12</v>
      </c>
      <c r="H5486" t="str">
        <f>TEXT(Tabela1[[#This Row],[Coluna2]]*29,"mmmm")</f>
        <v>dezembro</v>
      </c>
      <c r="I5486" t="str">
        <f>TEXT(MONTH(Tabela1[[#This Row],[Último pagto ano]])*29,"mmmm")</f>
        <v>dezembro</v>
      </c>
    </row>
    <row r="5487" spans="1:9" x14ac:dyDescent="0.25">
      <c r="A5487">
        <v>2025</v>
      </c>
      <c r="B5487" t="s">
        <v>10925</v>
      </c>
      <c r="C5487" s="1">
        <v>46014</v>
      </c>
      <c r="D5487" t="s">
        <v>10926</v>
      </c>
      <c r="E5487" s="2">
        <v>82411.929999999993</v>
      </c>
      <c r="G5487" s="3">
        <f>MONTH(Tabela1[[#This Row],[Último pagto ano]])</f>
        <v>12</v>
      </c>
      <c r="H5487" t="str">
        <f>TEXT(Tabela1[[#This Row],[Coluna2]]*29,"mmmm")</f>
        <v>dezembro</v>
      </c>
      <c r="I5487" t="str">
        <f>TEXT(MONTH(Tabela1[[#This Row],[Último pagto ano]])*29,"mmmm")</f>
        <v>dezembro</v>
      </c>
    </row>
    <row r="5488" spans="1:9" x14ac:dyDescent="0.25">
      <c r="A5488">
        <v>2025</v>
      </c>
      <c r="B5488" t="s">
        <v>10927</v>
      </c>
      <c r="C5488" s="1">
        <v>46021</v>
      </c>
      <c r="D5488" t="s">
        <v>10928</v>
      </c>
      <c r="E5488" s="2">
        <v>13038.6</v>
      </c>
      <c r="G5488" s="3">
        <f>MONTH(Tabela1[[#This Row],[Último pagto ano]])</f>
        <v>12</v>
      </c>
      <c r="H5488" t="str">
        <f>TEXT(Tabela1[[#This Row],[Coluna2]]*29,"mmmm")</f>
        <v>dezembro</v>
      </c>
      <c r="I5488" t="str">
        <f>TEXT(MONTH(Tabela1[[#This Row],[Último pagto ano]])*29,"mmmm")</f>
        <v>dezembro</v>
      </c>
    </row>
    <row r="5489" spans="1:9" x14ac:dyDescent="0.25">
      <c r="A5489">
        <v>2025</v>
      </c>
      <c r="B5489" t="s">
        <v>10929</v>
      </c>
      <c r="C5489" s="1">
        <v>46006</v>
      </c>
      <c r="D5489" t="s">
        <v>10930</v>
      </c>
      <c r="E5489" s="2">
        <v>17709.84</v>
      </c>
      <c r="G5489" s="3">
        <f>MONTH(Tabela1[[#This Row],[Último pagto ano]])</f>
        <v>12</v>
      </c>
      <c r="H5489" t="str">
        <f>TEXT(Tabela1[[#This Row],[Coluna2]]*29,"mmmm")</f>
        <v>dezembro</v>
      </c>
      <c r="I5489" t="str">
        <f>TEXT(MONTH(Tabela1[[#This Row],[Último pagto ano]])*29,"mmmm")</f>
        <v>dezembro</v>
      </c>
    </row>
    <row r="5490" spans="1:9" x14ac:dyDescent="0.25">
      <c r="A5490">
        <v>2025</v>
      </c>
      <c r="B5490" t="s">
        <v>10931</v>
      </c>
      <c r="C5490" s="1">
        <v>45924</v>
      </c>
      <c r="D5490" t="s">
        <v>10932</v>
      </c>
      <c r="E5490" s="2">
        <v>6300</v>
      </c>
      <c r="G5490" s="3">
        <f>MONTH(Tabela1[[#This Row],[Último pagto ano]])</f>
        <v>9</v>
      </c>
      <c r="H5490" t="str">
        <f>TEXT(Tabela1[[#This Row],[Coluna2]]*29,"mmmm")</f>
        <v>setembro</v>
      </c>
      <c r="I5490" t="str">
        <f>TEXT(MONTH(Tabela1[[#This Row],[Último pagto ano]])*29,"mmmm")</f>
        <v>setembro</v>
      </c>
    </row>
    <row r="5491" spans="1:9" x14ac:dyDescent="0.25">
      <c r="A5491">
        <v>2025</v>
      </c>
      <c r="B5491" t="s">
        <v>10933</v>
      </c>
      <c r="C5491" s="1">
        <v>45792</v>
      </c>
      <c r="D5491" t="s">
        <v>10934</v>
      </c>
      <c r="E5491" s="2">
        <v>4729.28</v>
      </c>
      <c r="G5491" s="3">
        <f>MONTH(Tabela1[[#This Row],[Último pagto ano]])</f>
        <v>5</v>
      </c>
      <c r="H5491" t="str">
        <f>TEXT(Tabela1[[#This Row],[Coluna2]]*29,"mmmm")</f>
        <v>maio</v>
      </c>
      <c r="I5491" t="str">
        <f>TEXT(MONTH(Tabela1[[#This Row],[Último pagto ano]])*29,"mmmm")</f>
        <v>maio</v>
      </c>
    </row>
    <row r="5492" spans="1:9" x14ac:dyDescent="0.25">
      <c r="A5492">
        <v>2025</v>
      </c>
      <c r="B5492" t="s">
        <v>10935</v>
      </c>
      <c r="C5492" s="1">
        <v>45803</v>
      </c>
      <c r="D5492" t="s">
        <v>10936</v>
      </c>
      <c r="E5492" s="2">
        <v>2100</v>
      </c>
      <c r="G5492" s="3">
        <f>MONTH(Tabela1[[#This Row],[Último pagto ano]])</f>
        <v>5</v>
      </c>
      <c r="H5492" t="str">
        <f>TEXT(Tabela1[[#This Row],[Coluna2]]*29,"mmmm")</f>
        <v>maio</v>
      </c>
      <c r="I5492" t="str">
        <f>TEXT(MONTH(Tabela1[[#This Row],[Último pagto ano]])*29,"mmmm")</f>
        <v>maio</v>
      </c>
    </row>
    <row r="5493" spans="1:9" x14ac:dyDescent="0.25">
      <c r="A5493">
        <v>2025</v>
      </c>
      <c r="B5493" t="s">
        <v>10937</v>
      </c>
      <c r="C5493" s="1">
        <v>45771</v>
      </c>
      <c r="D5493" t="s">
        <v>10938</v>
      </c>
      <c r="E5493" s="2">
        <v>2800</v>
      </c>
      <c r="G5493" s="3">
        <f>MONTH(Tabela1[[#This Row],[Último pagto ano]])</f>
        <v>4</v>
      </c>
      <c r="H5493" t="str">
        <f>TEXT(Tabela1[[#This Row],[Coluna2]]*29,"mmmm")</f>
        <v>abril</v>
      </c>
      <c r="I5493" t="str">
        <f>TEXT(MONTH(Tabela1[[#This Row],[Último pagto ano]])*29,"mmmm")</f>
        <v>abril</v>
      </c>
    </row>
    <row r="5494" spans="1:9" x14ac:dyDescent="0.25">
      <c r="A5494">
        <v>2025</v>
      </c>
      <c r="B5494" t="s">
        <v>10939</v>
      </c>
      <c r="C5494" s="1">
        <v>45740</v>
      </c>
      <c r="D5494" t="s">
        <v>10940</v>
      </c>
      <c r="E5494">
        <v>4.9400000000000004</v>
      </c>
      <c r="G5494" s="3">
        <f>MONTH(Tabela1[[#This Row],[Último pagto ano]])</f>
        <v>3</v>
      </c>
      <c r="H5494" t="str">
        <f>TEXT(Tabela1[[#This Row],[Coluna2]]*29,"mmmm")</f>
        <v>março</v>
      </c>
      <c r="I5494" t="str">
        <f>TEXT(MONTH(Tabela1[[#This Row],[Último pagto ano]])*29,"mmmm")</f>
        <v>março</v>
      </c>
    </row>
    <row r="5495" spans="1:9" x14ac:dyDescent="0.25">
      <c r="A5495">
        <v>2025</v>
      </c>
      <c r="B5495" t="s">
        <v>10941</v>
      </c>
      <c r="C5495" s="1">
        <v>45775</v>
      </c>
      <c r="D5495" t="s">
        <v>10942</v>
      </c>
      <c r="E5495" s="2">
        <v>1450.8</v>
      </c>
      <c r="G5495" s="3">
        <f>MONTH(Tabela1[[#This Row],[Último pagto ano]])</f>
        <v>4</v>
      </c>
      <c r="H5495" t="str">
        <f>TEXT(Tabela1[[#This Row],[Coluna2]]*29,"mmmm")</f>
        <v>abril</v>
      </c>
      <c r="I5495" t="str">
        <f>TEXT(MONTH(Tabela1[[#This Row],[Último pagto ano]])*29,"mmmm")</f>
        <v>abril</v>
      </c>
    </row>
    <row r="5496" spans="1:9" x14ac:dyDescent="0.25">
      <c r="A5496">
        <v>2025</v>
      </c>
      <c r="B5496" t="s">
        <v>10943</v>
      </c>
      <c r="C5496" s="1">
        <v>46006</v>
      </c>
      <c r="D5496" t="s">
        <v>10944</v>
      </c>
      <c r="E5496" s="2">
        <v>8252.64</v>
      </c>
      <c r="G5496" s="3">
        <f>MONTH(Tabela1[[#This Row],[Último pagto ano]])</f>
        <v>12</v>
      </c>
      <c r="H5496" t="str">
        <f>TEXT(Tabela1[[#This Row],[Coluna2]]*29,"mmmm")</f>
        <v>dezembro</v>
      </c>
      <c r="I5496" t="str">
        <f>TEXT(MONTH(Tabela1[[#This Row],[Último pagto ano]])*29,"mmmm")</f>
        <v>dezembro</v>
      </c>
    </row>
    <row r="5497" spans="1:9" x14ac:dyDescent="0.25">
      <c r="A5497">
        <v>2025</v>
      </c>
      <c r="B5497" t="s">
        <v>10945</v>
      </c>
      <c r="C5497" s="1">
        <v>46010</v>
      </c>
      <c r="D5497" t="s">
        <v>10946</v>
      </c>
      <c r="E5497" s="2">
        <v>1400</v>
      </c>
      <c r="G5497" s="3">
        <f>MONTH(Tabela1[[#This Row],[Último pagto ano]])</f>
        <v>12</v>
      </c>
      <c r="H5497" t="str">
        <f>TEXT(Tabela1[[#This Row],[Coluna2]]*29,"mmmm")</f>
        <v>dezembro</v>
      </c>
      <c r="I5497" t="str">
        <f>TEXT(MONTH(Tabela1[[#This Row],[Último pagto ano]])*29,"mmmm")</f>
        <v>dezembro</v>
      </c>
    </row>
    <row r="5498" spans="1:9" x14ac:dyDescent="0.25">
      <c r="A5498">
        <v>2025</v>
      </c>
      <c r="B5498" t="s">
        <v>10947</v>
      </c>
      <c r="C5498" s="1">
        <v>45817</v>
      </c>
      <c r="D5498" t="s">
        <v>10948</v>
      </c>
      <c r="E5498">
        <v>0.88</v>
      </c>
      <c r="G5498" s="3">
        <f>MONTH(Tabela1[[#This Row],[Último pagto ano]])</f>
        <v>6</v>
      </c>
      <c r="H5498" t="str">
        <f>TEXT(Tabela1[[#This Row],[Coluna2]]*29,"mmmm")</f>
        <v>junho</v>
      </c>
      <c r="I5498" t="str">
        <f>TEXT(MONTH(Tabela1[[#This Row],[Último pagto ano]])*29,"mmmm")</f>
        <v>junho</v>
      </c>
    </row>
    <row r="5499" spans="1:9" x14ac:dyDescent="0.25">
      <c r="A5499">
        <v>2025</v>
      </c>
      <c r="B5499" t="s">
        <v>10949</v>
      </c>
      <c r="C5499" s="1">
        <v>45748</v>
      </c>
      <c r="D5499" t="s">
        <v>10950</v>
      </c>
      <c r="E5499" s="2">
        <v>12348.74</v>
      </c>
      <c r="G5499" s="3">
        <f>MONTH(Tabela1[[#This Row],[Último pagto ano]])</f>
        <v>4</v>
      </c>
      <c r="H5499" t="str">
        <f>TEXT(Tabela1[[#This Row],[Coluna2]]*29,"mmmm")</f>
        <v>abril</v>
      </c>
      <c r="I5499" t="str">
        <f>TEXT(MONTH(Tabela1[[#This Row],[Último pagto ano]])*29,"mmmm")</f>
        <v>abril</v>
      </c>
    </row>
    <row r="5500" spans="1:9" x14ac:dyDescent="0.25">
      <c r="A5500">
        <v>2025</v>
      </c>
      <c r="B5500" t="s">
        <v>10951</v>
      </c>
      <c r="C5500" s="1">
        <v>45975</v>
      </c>
      <c r="D5500" t="s">
        <v>10952</v>
      </c>
      <c r="E5500" s="2">
        <v>6416</v>
      </c>
      <c r="G5500" s="3">
        <f>MONTH(Tabela1[[#This Row],[Último pagto ano]])</f>
        <v>11</v>
      </c>
      <c r="H5500" t="str">
        <f>TEXT(Tabela1[[#This Row],[Coluna2]]*29,"mmmm")</f>
        <v>novembro</v>
      </c>
      <c r="I5500" t="str">
        <f>TEXT(MONTH(Tabela1[[#This Row],[Último pagto ano]])*29,"mmmm")</f>
        <v>novembro</v>
      </c>
    </row>
    <row r="5501" spans="1:9" x14ac:dyDescent="0.25">
      <c r="A5501">
        <v>2025</v>
      </c>
      <c r="B5501" t="s">
        <v>10953</v>
      </c>
      <c r="C5501" s="1">
        <v>46010</v>
      </c>
      <c r="D5501" t="s">
        <v>10954</v>
      </c>
      <c r="E5501" s="2">
        <v>3500</v>
      </c>
      <c r="G5501" s="3">
        <f>MONTH(Tabela1[[#This Row],[Último pagto ano]])</f>
        <v>12</v>
      </c>
      <c r="H5501" t="str">
        <f>TEXT(Tabela1[[#This Row],[Coluna2]]*29,"mmmm")</f>
        <v>dezembro</v>
      </c>
      <c r="I5501" t="str">
        <f>TEXT(MONTH(Tabela1[[#This Row],[Último pagto ano]])*29,"mmmm")</f>
        <v>dezembro</v>
      </c>
    </row>
    <row r="5502" spans="1:9" x14ac:dyDescent="0.25">
      <c r="A5502">
        <v>2025</v>
      </c>
      <c r="B5502" t="s">
        <v>10955</v>
      </c>
      <c r="C5502" s="1">
        <v>45782</v>
      </c>
      <c r="D5502" t="s">
        <v>10956</v>
      </c>
      <c r="E5502">
        <v>197.18</v>
      </c>
      <c r="G5502" s="3">
        <f>MONTH(Tabela1[[#This Row],[Último pagto ano]])</f>
        <v>5</v>
      </c>
      <c r="H5502" t="str">
        <f>TEXT(Tabela1[[#This Row],[Coluna2]]*29,"mmmm")</f>
        <v>maio</v>
      </c>
      <c r="I5502" t="str">
        <f>TEXT(MONTH(Tabela1[[#This Row],[Último pagto ano]])*29,"mmmm")</f>
        <v>maio</v>
      </c>
    </row>
    <row r="5503" spans="1:9" x14ac:dyDescent="0.25">
      <c r="A5503">
        <v>2025</v>
      </c>
      <c r="B5503" t="s">
        <v>10957</v>
      </c>
      <c r="C5503" s="1">
        <v>45985</v>
      </c>
      <c r="D5503" t="s">
        <v>10958</v>
      </c>
      <c r="E5503">
        <v>436.8</v>
      </c>
      <c r="G5503" s="3">
        <f>MONTH(Tabela1[[#This Row],[Último pagto ano]])</f>
        <v>11</v>
      </c>
      <c r="H5503" t="str">
        <f>TEXT(Tabela1[[#This Row],[Coluna2]]*29,"mmmm")</f>
        <v>novembro</v>
      </c>
      <c r="I5503" t="str">
        <f>TEXT(MONTH(Tabela1[[#This Row],[Último pagto ano]])*29,"mmmm")</f>
        <v>novembro</v>
      </c>
    </row>
    <row r="5504" spans="1:9" x14ac:dyDescent="0.25">
      <c r="A5504">
        <v>2025</v>
      </c>
      <c r="B5504" t="s">
        <v>10959</v>
      </c>
      <c r="C5504" s="1">
        <v>45915</v>
      </c>
      <c r="D5504" t="s">
        <v>10960</v>
      </c>
      <c r="E5504" s="2">
        <v>5809.32</v>
      </c>
      <c r="G5504" s="3">
        <f>MONTH(Tabela1[[#This Row],[Último pagto ano]])</f>
        <v>9</v>
      </c>
      <c r="H5504" t="str">
        <f>TEXT(Tabela1[[#This Row],[Coluna2]]*29,"mmmm")</f>
        <v>setembro</v>
      </c>
      <c r="I5504" t="str">
        <f>TEXT(MONTH(Tabela1[[#This Row],[Último pagto ano]])*29,"mmmm")</f>
        <v>setembro</v>
      </c>
    </row>
    <row r="5505" spans="1:9" x14ac:dyDescent="0.25">
      <c r="A5505">
        <v>2025</v>
      </c>
      <c r="B5505" t="s">
        <v>10961</v>
      </c>
      <c r="C5505" s="1">
        <v>45751</v>
      </c>
      <c r="D5505" t="s">
        <v>10962</v>
      </c>
      <c r="E5505">
        <v>237.6</v>
      </c>
      <c r="G5505" s="3">
        <f>MONTH(Tabela1[[#This Row],[Último pagto ano]])</f>
        <v>4</v>
      </c>
      <c r="H5505" t="str">
        <f>TEXT(Tabela1[[#This Row],[Coluna2]]*29,"mmmm")</f>
        <v>abril</v>
      </c>
      <c r="I5505" t="str">
        <f>TEXT(MONTH(Tabela1[[#This Row],[Último pagto ano]])*29,"mmmm")</f>
        <v>abril</v>
      </c>
    </row>
    <row r="5506" spans="1:9" x14ac:dyDescent="0.25">
      <c r="A5506">
        <v>2025</v>
      </c>
      <c r="B5506" t="s">
        <v>10963</v>
      </c>
      <c r="C5506" s="1">
        <v>45995</v>
      </c>
      <c r="D5506" t="s">
        <v>10964</v>
      </c>
      <c r="E5506">
        <v>294.8</v>
      </c>
      <c r="G5506" s="3">
        <f>MONTH(Tabela1[[#This Row],[Último pagto ano]])</f>
        <v>12</v>
      </c>
      <c r="H5506" t="str">
        <f>TEXT(Tabela1[[#This Row],[Coluna2]]*29,"mmmm")</f>
        <v>dezembro</v>
      </c>
      <c r="I5506" t="str">
        <f>TEXT(MONTH(Tabela1[[#This Row],[Último pagto ano]])*29,"mmmm")</f>
        <v>dezembro</v>
      </c>
    </row>
    <row r="5507" spans="1:9" x14ac:dyDescent="0.25">
      <c r="A5507">
        <v>2025</v>
      </c>
      <c r="B5507" t="s">
        <v>10965</v>
      </c>
      <c r="C5507" s="1">
        <v>45673</v>
      </c>
      <c r="D5507" t="s">
        <v>10966</v>
      </c>
      <c r="E5507">
        <v>327.39999999999998</v>
      </c>
      <c r="G5507" s="3">
        <f>MONTH(Tabela1[[#This Row],[Último pagto ano]])</f>
        <v>1</v>
      </c>
      <c r="H5507" t="str">
        <f>TEXT(Tabela1[[#This Row],[Coluna2]]*29,"mmmm")</f>
        <v>janeiro</v>
      </c>
      <c r="I5507" t="str">
        <f>TEXT(MONTH(Tabela1[[#This Row],[Último pagto ano]])*29,"mmmm")</f>
        <v>janeiro</v>
      </c>
    </row>
    <row r="5508" spans="1:9" x14ac:dyDescent="0.25">
      <c r="A5508">
        <v>2025</v>
      </c>
      <c r="B5508" t="s">
        <v>10967</v>
      </c>
      <c r="C5508" s="1">
        <v>45702</v>
      </c>
      <c r="D5508" t="s">
        <v>10968</v>
      </c>
      <c r="E5508">
        <v>181.83</v>
      </c>
      <c r="G5508" s="3">
        <f>MONTH(Tabela1[[#This Row],[Último pagto ano]])</f>
        <v>2</v>
      </c>
      <c r="H5508" t="str">
        <f>TEXT(Tabela1[[#This Row],[Coluna2]]*29,"mmmm")</f>
        <v>fevereiro</v>
      </c>
      <c r="I5508" t="str">
        <f>TEXT(MONTH(Tabela1[[#This Row],[Último pagto ano]])*29,"mmmm")</f>
        <v>fevereiro</v>
      </c>
    </row>
    <row r="5509" spans="1:9" x14ac:dyDescent="0.25">
      <c r="A5509">
        <v>2025</v>
      </c>
      <c r="B5509" t="s">
        <v>10969</v>
      </c>
      <c r="C5509" s="1">
        <v>45996</v>
      </c>
      <c r="D5509" t="s">
        <v>10970</v>
      </c>
      <c r="E5509" s="2">
        <v>48000</v>
      </c>
      <c r="G5509" s="3">
        <f>MONTH(Tabela1[[#This Row],[Último pagto ano]])</f>
        <v>12</v>
      </c>
      <c r="H5509" t="str">
        <f>TEXT(Tabela1[[#This Row],[Coluna2]]*29,"mmmm")</f>
        <v>dezembro</v>
      </c>
      <c r="I5509" t="str">
        <f>TEXT(MONTH(Tabela1[[#This Row],[Último pagto ano]])*29,"mmmm")</f>
        <v>dezembro</v>
      </c>
    </row>
    <row r="5510" spans="1:9" x14ac:dyDescent="0.25">
      <c r="A5510">
        <v>2025</v>
      </c>
      <c r="B5510" t="s">
        <v>10971</v>
      </c>
      <c r="C5510" s="1">
        <v>46021</v>
      </c>
      <c r="D5510" t="s">
        <v>10972</v>
      </c>
      <c r="E5510" s="2">
        <v>5321.94</v>
      </c>
      <c r="G5510" s="3">
        <f>MONTH(Tabela1[[#This Row],[Último pagto ano]])</f>
        <v>12</v>
      </c>
      <c r="H5510" t="str">
        <f>TEXT(Tabela1[[#This Row],[Coluna2]]*29,"mmmm")</f>
        <v>dezembro</v>
      </c>
      <c r="I5510" t="str">
        <f>TEXT(MONTH(Tabela1[[#This Row],[Último pagto ano]])*29,"mmmm")</f>
        <v>dezembro</v>
      </c>
    </row>
    <row r="5511" spans="1:9" x14ac:dyDescent="0.25">
      <c r="A5511">
        <v>2025</v>
      </c>
      <c r="B5511" t="s">
        <v>10973</v>
      </c>
      <c r="C5511" s="1">
        <v>45985</v>
      </c>
      <c r="D5511" t="s">
        <v>10974</v>
      </c>
      <c r="E5511">
        <v>220</v>
      </c>
      <c r="G5511" s="3">
        <f>MONTH(Tabela1[[#This Row],[Último pagto ano]])</f>
        <v>11</v>
      </c>
      <c r="H5511" t="str">
        <f>TEXT(Tabela1[[#This Row],[Coluna2]]*29,"mmmm")</f>
        <v>novembro</v>
      </c>
      <c r="I5511" t="str">
        <f>TEXT(MONTH(Tabela1[[#This Row],[Último pagto ano]])*29,"mmmm")</f>
        <v>novembro</v>
      </c>
    </row>
    <row r="5512" spans="1:9" x14ac:dyDescent="0.25">
      <c r="A5512">
        <v>2025</v>
      </c>
      <c r="B5512" t="s">
        <v>10975</v>
      </c>
      <c r="C5512" s="1">
        <v>45846</v>
      </c>
      <c r="D5512" t="s">
        <v>10976</v>
      </c>
      <c r="E5512" s="2">
        <v>6021.45</v>
      </c>
      <c r="G5512" s="3">
        <f>MONTH(Tabela1[[#This Row],[Último pagto ano]])</f>
        <v>7</v>
      </c>
      <c r="H5512" t="str">
        <f>TEXT(Tabela1[[#This Row],[Coluna2]]*29,"mmmm")</f>
        <v>julho</v>
      </c>
      <c r="I5512" t="str">
        <f>TEXT(MONTH(Tabela1[[#This Row],[Último pagto ano]])*29,"mmmm")</f>
        <v>julho</v>
      </c>
    </row>
    <row r="5513" spans="1:9" x14ac:dyDescent="0.25">
      <c r="A5513">
        <v>2025</v>
      </c>
      <c r="B5513" t="s">
        <v>10977</v>
      </c>
      <c r="C5513" s="1">
        <v>45862</v>
      </c>
      <c r="D5513" t="s">
        <v>10978</v>
      </c>
      <c r="E5513">
        <v>199.91</v>
      </c>
      <c r="G5513" s="3">
        <f>MONTH(Tabela1[[#This Row],[Último pagto ano]])</f>
        <v>7</v>
      </c>
      <c r="H5513" t="str">
        <f>TEXT(Tabela1[[#This Row],[Coluna2]]*29,"mmmm")</f>
        <v>julho</v>
      </c>
      <c r="I5513" t="str">
        <f>TEXT(MONTH(Tabela1[[#This Row],[Último pagto ano]])*29,"mmmm")</f>
        <v>julho</v>
      </c>
    </row>
    <row r="5514" spans="1:9" x14ac:dyDescent="0.25">
      <c r="A5514">
        <v>2025</v>
      </c>
      <c r="B5514" t="s">
        <v>10979</v>
      </c>
      <c r="C5514" s="1">
        <v>46006</v>
      </c>
      <c r="D5514" t="s">
        <v>10980</v>
      </c>
      <c r="E5514">
        <v>22</v>
      </c>
      <c r="G5514" s="3">
        <f>MONTH(Tabela1[[#This Row],[Último pagto ano]])</f>
        <v>12</v>
      </c>
      <c r="H5514" t="str">
        <f>TEXT(Tabela1[[#This Row],[Coluna2]]*29,"mmmm")</f>
        <v>dezembro</v>
      </c>
      <c r="I5514" t="str">
        <f>TEXT(MONTH(Tabela1[[#This Row],[Último pagto ano]])*29,"mmmm")</f>
        <v>dezembro</v>
      </c>
    </row>
    <row r="5515" spans="1:9" x14ac:dyDescent="0.25">
      <c r="A5515">
        <v>2025</v>
      </c>
      <c r="B5515" t="s">
        <v>10981</v>
      </c>
      <c r="C5515" s="1">
        <v>45716</v>
      </c>
      <c r="D5515" t="s">
        <v>10982</v>
      </c>
      <c r="E5515" s="2">
        <v>1393.47</v>
      </c>
      <c r="G5515" s="3">
        <f>MONTH(Tabela1[[#This Row],[Último pagto ano]])</f>
        <v>2</v>
      </c>
      <c r="H5515" t="str">
        <f>TEXT(Tabela1[[#This Row],[Coluna2]]*29,"mmmm")</f>
        <v>fevereiro</v>
      </c>
      <c r="I5515" t="str">
        <f>TEXT(MONTH(Tabela1[[#This Row],[Último pagto ano]])*29,"mmmm")</f>
        <v>fevereiro</v>
      </c>
    </row>
    <row r="5516" spans="1:9" x14ac:dyDescent="0.25">
      <c r="A5516">
        <v>2025</v>
      </c>
      <c r="B5516" t="s">
        <v>10983</v>
      </c>
      <c r="C5516" s="1">
        <v>46010</v>
      </c>
      <c r="D5516" t="s">
        <v>10984</v>
      </c>
      <c r="E5516" s="2">
        <v>5600</v>
      </c>
      <c r="G5516" s="3">
        <f>MONTH(Tabela1[[#This Row],[Último pagto ano]])</f>
        <v>12</v>
      </c>
      <c r="H5516" t="str">
        <f>TEXT(Tabela1[[#This Row],[Coluna2]]*29,"mmmm")</f>
        <v>dezembro</v>
      </c>
      <c r="I5516" t="str">
        <f>TEXT(MONTH(Tabela1[[#This Row],[Último pagto ano]])*29,"mmmm")</f>
        <v>dezembro</v>
      </c>
    </row>
    <row r="5517" spans="1:9" x14ac:dyDescent="0.25">
      <c r="A5517">
        <v>2025</v>
      </c>
      <c r="B5517" t="s">
        <v>10985</v>
      </c>
      <c r="C5517" s="1">
        <v>45996</v>
      </c>
      <c r="D5517" t="s">
        <v>10986</v>
      </c>
      <c r="E5517" s="2">
        <v>49889.52</v>
      </c>
      <c r="G5517" s="3">
        <f>MONTH(Tabela1[[#This Row],[Último pagto ano]])</f>
        <v>12</v>
      </c>
      <c r="H5517" t="str">
        <f>TEXT(Tabela1[[#This Row],[Coluna2]]*29,"mmmm")</f>
        <v>dezembro</v>
      </c>
      <c r="I5517" t="str">
        <f>TEXT(MONTH(Tabela1[[#This Row],[Último pagto ano]])*29,"mmmm")</f>
        <v>dezembro</v>
      </c>
    </row>
    <row r="5518" spans="1:9" x14ac:dyDescent="0.25">
      <c r="A5518">
        <v>2025</v>
      </c>
      <c r="B5518" t="s">
        <v>10987</v>
      </c>
      <c r="C5518" s="1">
        <v>46021</v>
      </c>
      <c r="D5518" t="s">
        <v>10988</v>
      </c>
      <c r="E5518" s="2">
        <v>4867.26</v>
      </c>
      <c r="G5518" s="3">
        <f>MONTH(Tabela1[[#This Row],[Último pagto ano]])</f>
        <v>12</v>
      </c>
      <c r="H5518" t="str">
        <f>TEXT(Tabela1[[#This Row],[Coluna2]]*29,"mmmm")</f>
        <v>dezembro</v>
      </c>
      <c r="I5518" t="str">
        <f>TEXT(MONTH(Tabela1[[#This Row],[Último pagto ano]])*29,"mmmm")</f>
        <v>dezembro</v>
      </c>
    </row>
    <row r="5519" spans="1:9" x14ac:dyDescent="0.25">
      <c r="A5519">
        <v>2025</v>
      </c>
      <c r="B5519" t="s">
        <v>10989</v>
      </c>
      <c r="C5519" s="1">
        <v>45824</v>
      </c>
      <c r="D5519" t="s">
        <v>10990</v>
      </c>
      <c r="E5519" s="2">
        <v>8422.99</v>
      </c>
      <c r="G5519" s="3">
        <f>MONTH(Tabela1[[#This Row],[Último pagto ano]])</f>
        <v>6</v>
      </c>
      <c r="H5519" t="str">
        <f>TEXT(Tabela1[[#This Row],[Coluna2]]*29,"mmmm")</f>
        <v>junho</v>
      </c>
      <c r="I5519" t="str">
        <f>TEXT(MONTH(Tabela1[[#This Row],[Último pagto ano]])*29,"mmmm")</f>
        <v>junho</v>
      </c>
    </row>
    <row r="5520" spans="1:9" x14ac:dyDescent="0.25">
      <c r="A5520">
        <v>2025</v>
      </c>
      <c r="B5520" t="s">
        <v>10991</v>
      </c>
      <c r="C5520" s="1">
        <v>46021</v>
      </c>
      <c r="D5520" t="s">
        <v>10992</v>
      </c>
      <c r="E5520" s="2">
        <v>10556.29</v>
      </c>
      <c r="G5520" s="3">
        <f>MONTH(Tabela1[[#This Row],[Último pagto ano]])</f>
        <v>12</v>
      </c>
      <c r="H5520" t="str">
        <f>TEXT(Tabela1[[#This Row],[Coluna2]]*29,"mmmm")</f>
        <v>dezembro</v>
      </c>
      <c r="I5520" t="str">
        <f>TEXT(MONTH(Tabela1[[#This Row],[Último pagto ano]])*29,"mmmm")</f>
        <v>dezembro</v>
      </c>
    </row>
    <row r="5521" spans="1:9" x14ac:dyDescent="0.25">
      <c r="A5521">
        <v>2025</v>
      </c>
      <c r="B5521" t="s">
        <v>10993</v>
      </c>
      <c r="C5521" s="1">
        <v>45754</v>
      </c>
      <c r="D5521" t="s">
        <v>10994</v>
      </c>
      <c r="E5521">
        <v>11</v>
      </c>
      <c r="G5521" s="3">
        <f>MONTH(Tabela1[[#This Row],[Último pagto ano]])</f>
        <v>4</v>
      </c>
      <c r="H5521" t="str">
        <f>TEXT(Tabela1[[#This Row],[Coluna2]]*29,"mmmm")</f>
        <v>abril</v>
      </c>
      <c r="I5521" t="str">
        <f>TEXT(MONTH(Tabela1[[#This Row],[Último pagto ano]])*29,"mmmm")</f>
        <v>abril</v>
      </c>
    </row>
    <row r="5522" spans="1:9" x14ac:dyDescent="0.25">
      <c r="A5522">
        <v>2025</v>
      </c>
      <c r="B5522" t="s">
        <v>10995</v>
      </c>
      <c r="C5522" s="1">
        <v>46010</v>
      </c>
      <c r="D5522" t="s">
        <v>10996</v>
      </c>
      <c r="E5522" s="2">
        <v>12000</v>
      </c>
      <c r="G5522" s="3">
        <f>MONTH(Tabela1[[#This Row],[Último pagto ano]])</f>
        <v>12</v>
      </c>
      <c r="H5522" t="str">
        <f>TEXT(Tabela1[[#This Row],[Coluna2]]*29,"mmmm")</f>
        <v>dezembro</v>
      </c>
      <c r="I5522" t="str">
        <f>TEXT(MONTH(Tabela1[[#This Row],[Último pagto ano]])*29,"mmmm")</f>
        <v>dezembro</v>
      </c>
    </row>
    <row r="5523" spans="1:9" x14ac:dyDescent="0.25">
      <c r="A5523">
        <v>2025</v>
      </c>
      <c r="B5523" t="s">
        <v>10997</v>
      </c>
      <c r="C5523" s="1">
        <v>45782</v>
      </c>
      <c r="D5523" t="s">
        <v>10998</v>
      </c>
      <c r="E5523">
        <v>378.49</v>
      </c>
      <c r="G5523" s="3">
        <f>MONTH(Tabela1[[#This Row],[Último pagto ano]])</f>
        <v>5</v>
      </c>
      <c r="H5523" t="str">
        <f>TEXT(Tabela1[[#This Row],[Coluna2]]*29,"mmmm")</f>
        <v>maio</v>
      </c>
      <c r="I5523" t="str">
        <f>TEXT(MONTH(Tabela1[[#This Row],[Último pagto ano]])*29,"mmmm")</f>
        <v>maio</v>
      </c>
    </row>
    <row r="5524" spans="1:9" x14ac:dyDescent="0.25">
      <c r="A5524">
        <v>2025</v>
      </c>
      <c r="B5524" t="s">
        <v>10999</v>
      </c>
      <c r="C5524" s="1">
        <v>46010</v>
      </c>
      <c r="D5524" t="s">
        <v>11000</v>
      </c>
      <c r="E5524" s="2">
        <v>12000</v>
      </c>
      <c r="G5524" s="3">
        <f>MONTH(Tabela1[[#This Row],[Último pagto ano]])</f>
        <v>12</v>
      </c>
      <c r="H5524" t="str">
        <f>TEXT(Tabela1[[#This Row],[Coluna2]]*29,"mmmm")</f>
        <v>dezembro</v>
      </c>
      <c r="I5524" t="str">
        <f>TEXT(MONTH(Tabela1[[#This Row],[Último pagto ano]])*29,"mmmm")</f>
        <v>dezembro</v>
      </c>
    </row>
    <row r="5525" spans="1:9" x14ac:dyDescent="0.25">
      <c r="A5525">
        <v>2025</v>
      </c>
      <c r="B5525" t="s">
        <v>11001</v>
      </c>
      <c r="C5525" s="1">
        <v>46006</v>
      </c>
      <c r="D5525" t="s">
        <v>11002</v>
      </c>
      <c r="E5525">
        <v>224.6</v>
      </c>
      <c r="G5525" s="3">
        <f>MONTH(Tabela1[[#This Row],[Último pagto ano]])</f>
        <v>12</v>
      </c>
      <c r="H5525" t="str">
        <f>TEXT(Tabela1[[#This Row],[Coluna2]]*29,"mmmm")</f>
        <v>dezembro</v>
      </c>
      <c r="I5525" t="str">
        <f>TEXT(MONTH(Tabela1[[#This Row],[Último pagto ano]])*29,"mmmm")</f>
        <v>dezembro</v>
      </c>
    </row>
    <row r="5526" spans="1:9" x14ac:dyDescent="0.25">
      <c r="A5526">
        <v>2025</v>
      </c>
      <c r="B5526" t="s">
        <v>11003</v>
      </c>
      <c r="C5526" s="1">
        <v>45897</v>
      </c>
      <c r="D5526" t="s">
        <v>11004</v>
      </c>
      <c r="E5526" s="2">
        <v>3716.7</v>
      </c>
      <c r="G5526" s="3">
        <f>MONTH(Tabela1[[#This Row],[Último pagto ano]])</f>
        <v>8</v>
      </c>
      <c r="H5526" t="str">
        <f>TEXT(Tabela1[[#This Row],[Coluna2]]*29,"mmmm")</f>
        <v>agosto</v>
      </c>
      <c r="I5526" t="str">
        <f>TEXT(MONTH(Tabela1[[#This Row],[Último pagto ano]])*29,"mmmm")</f>
        <v>agosto</v>
      </c>
    </row>
    <row r="5527" spans="1:9" x14ac:dyDescent="0.25">
      <c r="A5527">
        <v>2025</v>
      </c>
      <c r="B5527" t="s">
        <v>11005</v>
      </c>
      <c r="C5527" s="1">
        <v>45988</v>
      </c>
      <c r="D5527" t="s">
        <v>11006</v>
      </c>
      <c r="E5527" s="2">
        <v>2913.3</v>
      </c>
      <c r="G5527" s="3">
        <f>MONTH(Tabela1[[#This Row],[Último pagto ano]])</f>
        <v>11</v>
      </c>
      <c r="H5527" t="str">
        <f>TEXT(Tabela1[[#This Row],[Coluna2]]*29,"mmmm")</f>
        <v>novembro</v>
      </c>
      <c r="I5527" t="str">
        <f>TEXT(MONTH(Tabela1[[#This Row],[Último pagto ano]])*29,"mmmm")</f>
        <v>novembro</v>
      </c>
    </row>
    <row r="5528" spans="1:9" x14ac:dyDescent="0.25">
      <c r="A5528">
        <v>2025</v>
      </c>
      <c r="B5528" t="s">
        <v>11007</v>
      </c>
      <c r="C5528" s="1">
        <v>46013</v>
      </c>
      <c r="D5528" t="s">
        <v>11008</v>
      </c>
      <c r="E5528" s="2">
        <v>2269.8000000000002</v>
      </c>
      <c r="G5528" s="3">
        <f>MONTH(Tabela1[[#This Row],[Último pagto ano]])</f>
        <v>12</v>
      </c>
      <c r="H5528" t="str">
        <f>TEXT(Tabela1[[#This Row],[Coluna2]]*29,"mmmm")</f>
        <v>dezembro</v>
      </c>
      <c r="I5528" t="str">
        <f>TEXT(MONTH(Tabela1[[#This Row],[Último pagto ano]])*29,"mmmm")</f>
        <v>dezembro</v>
      </c>
    </row>
    <row r="5529" spans="1:9" x14ac:dyDescent="0.25">
      <c r="A5529">
        <v>2025</v>
      </c>
      <c r="B5529" t="s">
        <v>11009</v>
      </c>
      <c r="C5529" s="1">
        <v>45831</v>
      </c>
      <c r="D5529" t="s">
        <v>11010</v>
      </c>
      <c r="E5529" s="2">
        <v>4452.29</v>
      </c>
      <c r="G5529" s="3">
        <f>MONTH(Tabela1[[#This Row],[Último pagto ano]])</f>
        <v>6</v>
      </c>
      <c r="H5529" t="str">
        <f>TEXT(Tabela1[[#This Row],[Coluna2]]*29,"mmmm")</f>
        <v>junho</v>
      </c>
      <c r="I5529" t="str">
        <f>TEXT(MONTH(Tabela1[[#This Row],[Último pagto ano]])*29,"mmmm")</f>
        <v>junho</v>
      </c>
    </row>
    <row r="5530" spans="1:9" x14ac:dyDescent="0.25">
      <c r="A5530">
        <v>2025</v>
      </c>
      <c r="B5530" t="s">
        <v>11011</v>
      </c>
      <c r="C5530" s="1">
        <v>45989</v>
      </c>
      <c r="D5530" t="s">
        <v>11012</v>
      </c>
      <c r="E5530" s="2">
        <v>6471.5</v>
      </c>
      <c r="G5530" s="3">
        <f>MONTH(Tabela1[[#This Row],[Último pagto ano]])</f>
        <v>11</v>
      </c>
      <c r="H5530" t="str">
        <f>TEXT(Tabela1[[#This Row],[Coluna2]]*29,"mmmm")</f>
        <v>novembro</v>
      </c>
      <c r="I5530" t="str">
        <f>TEXT(MONTH(Tabela1[[#This Row],[Último pagto ano]])*29,"mmmm")</f>
        <v>novembro</v>
      </c>
    </row>
    <row r="5531" spans="1:9" x14ac:dyDescent="0.25">
      <c r="A5531">
        <v>2025</v>
      </c>
      <c r="B5531" t="s">
        <v>11013</v>
      </c>
      <c r="C5531" s="1">
        <v>45995</v>
      </c>
      <c r="D5531" t="s">
        <v>11014</v>
      </c>
      <c r="E5531">
        <v>154</v>
      </c>
      <c r="G5531" s="3">
        <f>MONTH(Tabela1[[#This Row],[Último pagto ano]])</f>
        <v>12</v>
      </c>
      <c r="H5531" t="str">
        <f>TEXT(Tabela1[[#This Row],[Coluna2]]*29,"mmmm")</f>
        <v>dezembro</v>
      </c>
      <c r="I5531" t="str">
        <f>TEXT(MONTH(Tabela1[[#This Row],[Último pagto ano]])*29,"mmmm")</f>
        <v>dezembro</v>
      </c>
    </row>
    <row r="5532" spans="1:9" x14ac:dyDescent="0.25">
      <c r="A5532">
        <v>2025</v>
      </c>
      <c r="B5532" t="s">
        <v>11015</v>
      </c>
      <c r="C5532" s="1">
        <v>46006</v>
      </c>
      <c r="D5532" t="s">
        <v>11016</v>
      </c>
      <c r="E5532" s="2">
        <v>18149.400000000001</v>
      </c>
      <c r="G5532" s="3">
        <f>MONTH(Tabela1[[#This Row],[Último pagto ano]])</f>
        <v>12</v>
      </c>
      <c r="H5532" t="str">
        <f>TEXT(Tabela1[[#This Row],[Coluna2]]*29,"mmmm")</f>
        <v>dezembro</v>
      </c>
      <c r="I5532" t="str">
        <f>TEXT(MONTH(Tabela1[[#This Row],[Último pagto ano]])*29,"mmmm")</f>
        <v>dezembro</v>
      </c>
    </row>
    <row r="5533" spans="1:9" x14ac:dyDescent="0.25">
      <c r="A5533">
        <v>2025</v>
      </c>
      <c r="B5533" t="s">
        <v>11017</v>
      </c>
      <c r="C5533" s="1">
        <v>45691</v>
      </c>
      <c r="D5533" t="s">
        <v>11018</v>
      </c>
      <c r="E5533">
        <v>11</v>
      </c>
      <c r="G5533" s="3">
        <f>MONTH(Tabela1[[#This Row],[Último pagto ano]])</f>
        <v>2</v>
      </c>
      <c r="H5533" t="str">
        <f>TEXT(Tabela1[[#This Row],[Coluna2]]*29,"mmmm")</f>
        <v>fevereiro</v>
      </c>
      <c r="I5533" t="str">
        <f>TEXT(MONTH(Tabela1[[#This Row],[Último pagto ano]])*29,"mmmm")</f>
        <v>fevereiro</v>
      </c>
    </row>
    <row r="5534" spans="1:9" x14ac:dyDescent="0.25">
      <c r="A5534">
        <v>2025</v>
      </c>
      <c r="B5534" t="s">
        <v>11019</v>
      </c>
      <c r="C5534" s="1">
        <v>46013</v>
      </c>
      <c r="D5534" t="s">
        <v>11020</v>
      </c>
      <c r="E5534" s="2">
        <v>9002.7000000000007</v>
      </c>
      <c r="G5534" s="3">
        <f>MONTH(Tabela1[[#This Row],[Último pagto ano]])</f>
        <v>12</v>
      </c>
      <c r="H5534" t="str">
        <f>TEXT(Tabela1[[#This Row],[Coluna2]]*29,"mmmm")</f>
        <v>dezembro</v>
      </c>
      <c r="I5534" t="str">
        <f>TEXT(MONTH(Tabela1[[#This Row],[Último pagto ano]])*29,"mmmm")</f>
        <v>dezembro</v>
      </c>
    </row>
    <row r="5535" spans="1:9" x14ac:dyDescent="0.25">
      <c r="A5535">
        <v>2025</v>
      </c>
      <c r="B5535" t="s">
        <v>11021</v>
      </c>
      <c r="C5535" s="1">
        <v>46006</v>
      </c>
      <c r="D5535" t="s">
        <v>11022</v>
      </c>
      <c r="E5535" s="2">
        <v>3553.92</v>
      </c>
      <c r="G5535" s="3">
        <f>MONTH(Tabela1[[#This Row],[Último pagto ano]])</f>
        <v>12</v>
      </c>
      <c r="H5535" t="str">
        <f>TEXT(Tabela1[[#This Row],[Coluna2]]*29,"mmmm")</f>
        <v>dezembro</v>
      </c>
      <c r="I5535" t="str">
        <f>TEXT(MONTH(Tabela1[[#This Row],[Último pagto ano]])*29,"mmmm")</f>
        <v>dezembro</v>
      </c>
    </row>
    <row r="5536" spans="1:9" x14ac:dyDescent="0.25">
      <c r="A5536">
        <v>2025</v>
      </c>
      <c r="B5536" t="s">
        <v>11023</v>
      </c>
      <c r="C5536" s="1">
        <v>45947</v>
      </c>
      <c r="D5536" t="s">
        <v>11024</v>
      </c>
      <c r="E5536" s="2">
        <v>3037.11</v>
      </c>
      <c r="G5536" s="3">
        <f>MONTH(Tabela1[[#This Row],[Último pagto ano]])</f>
        <v>10</v>
      </c>
      <c r="H5536" t="str">
        <f>TEXT(Tabela1[[#This Row],[Coluna2]]*29,"mmmm")</f>
        <v>outubro</v>
      </c>
      <c r="I5536" t="str">
        <f>TEXT(MONTH(Tabela1[[#This Row],[Último pagto ano]])*29,"mmmm")</f>
        <v>outubro</v>
      </c>
    </row>
    <row r="5537" spans="1:9" x14ac:dyDescent="0.25">
      <c r="A5537">
        <v>2025</v>
      </c>
      <c r="B5537" t="s">
        <v>11025</v>
      </c>
      <c r="C5537" s="1">
        <v>45943</v>
      </c>
      <c r="D5537" t="s">
        <v>11026</v>
      </c>
      <c r="E5537" s="2">
        <v>22466.7</v>
      </c>
      <c r="G5537" s="3">
        <f>MONTH(Tabela1[[#This Row],[Último pagto ano]])</f>
        <v>10</v>
      </c>
      <c r="H5537" t="str">
        <f>TEXT(Tabela1[[#This Row],[Coluna2]]*29,"mmmm")</f>
        <v>outubro</v>
      </c>
      <c r="I5537" t="str">
        <f>TEXT(MONTH(Tabela1[[#This Row],[Último pagto ano]])*29,"mmmm")</f>
        <v>outubro</v>
      </c>
    </row>
    <row r="5538" spans="1:9" x14ac:dyDescent="0.25">
      <c r="A5538">
        <v>2025</v>
      </c>
      <c r="B5538" t="s">
        <v>11027</v>
      </c>
      <c r="C5538" s="1">
        <v>45996</v>
      </c>
      <c r="D5538" t="s">
        <v>11028</v>
      </c>
      <c r="E5538" s="2">
        <v>2250</v>
      </c>
      <c r="G5538" s="3">
        <f>MONTH(Tabela1[[#This Row],[Último pagto ano]])</f>
        <v>12</v>
      </c>
      <c r="H5538" t="str">
        <f>TEXT(Tabela1[[#This Row],[Coluna2]]*29,"mmmm")</f>
        <v>dezembro</v>
      </c>
      <c r="I5538" t="str">
        <f>TEXT(MONTH(Tabela1[[#This Row],[Último pagto ano]])*29,"mmmm")</f>
        <v>dezembro</v>
      </c>
    </row>
    <row r="5539" spans="1:9" x14ac:dyDescent="0.25">
      <c r="A5539">
        <v>2025</v>
      </c>
      <c r="B5539" t="s">
        <v>11029</v>
      </c>
      <c r="C5539" s="1">
        <v>45853</v>
      </c>
      <c r="D5539" t="s">
        <v>11030</v>
      </c>
      <c r="E5539" s="2">
        <v>1850.8</v>
      </c>
      <c r="G5539" s="3">
        <f>MONTH(Tabela1[[#This Row],[Último pagto ano]])</f>
        <v>7</v>
      </c>
      <c r="H5539" t="str">
        <f>TEXT(Tabela1[[#This Row],[Coluna2]]*29,"mmmm")</f>
        <v>julho</v>
      </c>
      <c r="I5539" t="str">
        <f>TEXT(MONTH(Tabela1[[#This Row],[Último pagto ano]])*29,"mmmm")</f>
        <v>julho</v>
      </c>
    </row>
    <row r="5540" spans="1:9" x14ac:dyDescent="0.25">
      <c r="A5540">
        <v>2025</v>
      </c>
      <c r="B5540" t="s">
        <v>11031</v>
      </c>
      <c r="C5540" s="1">
        <v>45971</v>
      </c>
      <c r="D5540" t="s">
        <v>11032</v>
      </c>
      <c r="E5540" s="2">
        <v>6400</v>
      </c>
      <c r="G5540" s="3">
        <f>MONTH(Tabela1[[#This Row],[Último pagto ano]])</f>
        <v>11</v>
      </c>
      <c r="H5540" t="str">
        <f>TEXT(Tabela1[[#This Row],[Coluna2]]*29,"mmmm")</f>
        <v>novembro</v>
      </c>
      <c r="I5540" t="str">
        <f>TEXT(MONTH(Tabela1[[#This Row],[Último pagto ano]])*29,"mmmm")</f>
        <v>novembro</v>
      </c>
    </row>
    <row r="5541" spans="1:9" x14ac:dyDescent="0.25">
      <c r="A5541">
        <v>2025</v>
      </c>
      <c r="B5541" t="s">
        <v>11033</v>
      </c>
      <c r="C5541" s="1">
        <v>45782</v>
      </c>
      <c r="D5541" t="s">
        <v>11034</v>
      </c>
      <c r="E5541">
        <v>6</v>
      </c>
      <c r="G5541" s="3">
        <f>MONTH(Tabela1[[#This Row],[Último pagto ano]])</f>
        <v>5</v>
      </c>
      <c r="H5541" t="str">
        <f>TEXT(Tabela1[[#This Row],[Coluna2]]*29,"mmmm")</f>
        <v>maio</v>
      </c>
      <c r="I5541" t="str">
        <f>TEXT(MONTH(Tabela1[[#This Row],[Último pagto ano]])*29,"mmmm")</f>
        <v>maio</v>
      </c>
    </row>
    <row r="5542" spans="1:9" x14ac:dyDescent="0.25">
      <c r="A5542">
        <v>2025</v>
      </c>
      <c r="B5542" t="s">
        <v>11035</v>
      </c>
      <c r="C5542" s="1">
        <v>45996</v>
      </c>
      <c r="D5542" t="s">
        <v>11036</v>
      </c>
      <c r="E5542" s="2">
        <v>12900</v>
      </c>
      <c r="G5542" s="3">
        <f>MONTH(Tabela1[[#This Row],[Último pagto ano]])</f>
        <v>12</v>
      </c>
      <c r="H5542" t="str">
        <f>TEXT(Tabela1[[#This Row],[Coluna2]]*29,"mmmm")</f>
        <v>dezembro</v>
      </c>
      <c r="I5542" t="str">
        <f>TEXT(MONTH(Tabela1[[#This Row],[Último pagto ano]])*29,"mmmm")</f>
        <v>dezembro</v>
      </c>
    </row>
    <row r="5543" spans="1:9" x14ac:dyDescent="0.25">
      <c r="A5543">
        <v>2025</v>
      </c>
      <c r="B5543" t="s">
        <v>11037</v>
      </c>
      <c r="C5543" s="1">
        <v>46007</v>
      </c>
      <c r="D5543" t="s">
        <v>11038</v>
      </c>
      <c r="E5543" s="2">
        <v>486387.09</v>
      </c>
      <c r="G5543" s="3">
        <f>MONTH(Tabela1[[#This Row],[Último pagto ano]])</f>
        <v>12</v>
      </c>
      <c r="H5543" t="str">
        <f>TEXT(Tabela1[[#This Row],[Coluna2]]*29,"mmmm")</f>
        <v>dezembro</v>
      </c>
      <c r="I5543" t="str">
        <f>TEXT(MONTH(Tabela1[[#This Row],[Último pagto ano]])*29,"mmmm")</f>
        <v>dezembro</v>
      </c>
    </row>
    <row r="5544" spans="1:9" x14ac:dyDescent="0.25">
      <c r="A5544">
        <v>2025</v>
      </c>
      <c r="B5544" t="s">
        <v>11039</v>
      </c>
      <c r="C5544" s="1">
        <v>46006</v>
      </c>
      <c r="D5544" t="s">
        <v>11040</v>
      </c>
      <c r="E5544" s="2">
        <v>5330.88</v>
      </c>
      <c r="G5544" s="3">
        <f>MONTH(Tabela1[[#This Row],[Último pagto ano]])</f>
        <v>12</v>
      </c>
      <c r="H5544" t="str">
        <f>TEXT(Tabela1[[#This Row],[Coluna2]]*29,"mmmm")</f>
        <v>dezembro</v>
      </c>
      <c r="I5544" t="str">
        <f>TEXT(MONTH(Tabela1[[#This Row],[Último pagto ano]])*29,"mmmm")</f>
        <v>dezembro</v>
      </c>
    </row>
    <row r="5545" spans="1:9" x14ac:dyDescent="0.25">
      <c r="A5545">
        <v>2025</v>
      </c>
      <c r="B5545" t="s">
        <v>11041</v>
      </c>
      <c r="C5545" s="1">
        <v>45975</v>
      </c>
      <c r="D5545" t="s">
        <v>11042</v>
      </c>
      <c r="E5545">
        <v>888.48</v>
      </c>
      <c r="G5545" s="3">
        <f>MONTH(Tabela1[[#This Row],[Último pagto ano]])</f>
        <v>11</v>
      </c>
      <c r="H5545" t="str">
        <f>TEXT(Tabela1[[#This Row],[Coluna2]]*29,"mmmm")</f>
        <v>novembro</v>
      </c>
      <c r="I5545" t="str">
        <f>TEXT(MONTH(Tabela1[[#This Row],[Último pagto ano]])*29,"mmmm")</f>
        <v>novembro</v>
      </c>
    </row>
    <row r="5546" spans="1:9" x14ac:dyDescent="0.25">
      <c r="A5546">
        <v>2025</v>
      </c>
      <c r="B5546" t="s">
        <v>11043</v>
      </c>
      <c r="C5546" s="1">
        <v>46014</v>
      </c>
      <c r="D5546" t="s">
        <v>11044</v>
      </c>
      <c r="E5546">
        <v>22</v>
      </c>
      <c r="G5546" s="3">
        <f>MONTH(Tabela1[[#This Row],[Último pagto ano]])</f>
        <v>12</v>
      </c>
      <c r="H5546" t="str">
        <f>TEXT(Tabela1[[#This Row],[Coluna2]]*29,"mmmm")</f>
        <v>dezembro</v>
      </c>
      <c r="I5546" t="str">
        <f>TEXT(MONTH(Tabela1[[#This Row],[Último pagto ano]])*29,"mmmm")</f>
        <v>dezembro</v>
      </c>
    </row>
    <row r="5547" spans="1:9" x14ac:dyDescent="0.25">
      <c r="A5547">
        <v>2025</v>
      </c>
      <c r="B5547" t="s">
        <v>11045</v>
      </c>
      <c r="C5547" s="1">
        <v>45740</v>
      </c>
      <c r="D5547" t="s">
        <v>11046</v>
      </c>
      <c r="E5547" s="2">
        <v>2100</v>
      </c>
      <c r="G5547" s="3">
        <f>MONTH(Tabela1[[#This Row],[Último pagto ano]])</f>
        <v>3</v>
      </c>
      <c r="H5547" t="str">
        <f>TEXT(Tabela1[[#This Row],[Coluna2]]*29,"mmmm")</f>
        <v>março</v>
      </c>
      <c r="I5547" t="str">
        <f>TEXT(MONTH(Tabela1[[#This Row],[Último pagto ano]])*29,"mmmm")</f>
        <v>março</v>
      </c>
    </row>
    <row r="5548" spans="1:9" x14ac:dyDescent="0.25">
      <c r="A5548">
        <v>2025</v>
      </c>
      <c r="B5548" t="s">
        <v>11047</v>
      </c>
      <c r="C5548" s="1">
        <v>45684</v>
      </c>
      <c r="D5548" t="s">
        <v>11048</v>
      </c>
      <c r="E5548">
        <v>156.18</v>
      </c>
      <c r="G5548" s="3">
        <f>MONTH(Tabela1[[#This Row],[Último pagto ano]])</f>
        <v>1</v>
      </c>
      <c r="H5548" t="str">
        <f>TEXT(Tabela1[[#This Row],[Coluna2]]*29,"mmmm")</f>
        <v>janeiro</v>
      </c>
      <c r="I5548" t="str">
        <f>TEXT(MONTH(Tabela1[[#This Row],[Último pagto ano]])*29,"mmmm")</f>
        <v>janeiro</v>
      </c>
    </row>
    <row r="5549" spans="1:9" x14ac:dyDescent="0.25">
      <c r="A5549">
        <v>2025</v>
      </c>
      <c r="B5549" t="s">
        <v>11049</v>
      </c>
      <c r="C5549" s="1">
        <v>45842</v>
      </c>
      <c r="D5549" t="s">
        <v>11050</v>
      </c>
      <c r="E5549" s="2">
        <v>3073.05</v>
      </c>
      <c r="G5549" s="3">
        <f>MONTH(Tabela1[[#This Row],[Último pagto ano]])</f>
        <v>7</v>
      </c>
      <c r="H5549" t="str">
        <f>TEXT(Tabela1[[#This Row],[Coluna2]]*29,"mmmm")</f>
        <v>julho</v>
      </c>
      <c r="I5549" t="str">
        <f>TEXT(MONTH(Tabela1[[#This Row],[Último pagto ano]])*29,"mmmm")</f>
        <v>julho</v>
      </c>
    </row>
    <row r="5550" spans="1:9" x14ac:dyDescent="0.25">
      <c r="A5550">
        <v>2025</v>
      </c>
      <c r="B5550" t="s">
        <v>11051</v>
      </c>
      <c r="C5550" s="1">
        <v>45853</v>
      </c>
      <c r="D5550" t="s">
        <v>11052</v>
      </c>
      <c r="E5550">
        <v>296.16000000000003</v>
      </c>
      <c r="G5550" s="3">
        <f>MONTH(Tabela1[[#This Row],[Último pagto ano]])</f>
        <v>7</v>
      </c>
      <c r="H5550" t="str">
        <f>TEXT(Tabela1[[#This Row],[Coluna2]]*29,"mmmm")</f>
        <v>julho</v>
      </c>
      <c r="I5550" t="str">
        <f>TEXT(MONTH(Tabela1[[#This Row],[Último pagto ano]])*29,"mmmm")</f>
        <v>julho</v>
      </c>
    </row>
    <row r="5551" spans="1:9" x14ac:dyDescent="0.25">
      <c r="A5551">
        <v>2025</v>
      </c>
      <c r="B5551" t="s">
        <v>11053</v>
      </c>
      <c r="C5551" s="1">
        <v>46010</v>
      </c>
      <c r="D5551" t="s">
        <v>11054</v>
      </c>
      <c r="E5551" s="2">
        <v>6300</v>
      </c>
      <c r="G5551" s="3">
        <f>MONTH(Tabela1[[#This Row],[Último pagto ano]])</f>
        <v>12</v>
      </c>
      <c r="H5551" t="str">
        <f>TEXT(Tabela1[[#This Row],[Coluna2]]*29,"mmmm")</f>
        <v>dezembro</v>
      </c>
      <c r="I5551" t="str">
        <f>TEXT(MONTH(Tabela1[[#This Row],[Último pagto ano]])*29,"mmmm")</f>
        <v>dezembro</v>
      </c>
    </row>
    <row r="5552" spans="1:9" x14ac:dyDescent="0.25">
      <c r="A5552">
        <v>2025</v>
      </c>
      <c r="B5552" t="s">
        <v>11055</v>
      </c>
      <c r="C5552" s="1">
        <v>46013</v>
      </c>
      <c r="D5552" t="s">
        <v>11056</v>
      </c>
      <c r="E5552">
        <v>453.6</v>
      </c>
      <c r="G5552" s="3">
        <f>MONTH(Tabela1[[#This Row],[Último pagto ano]])</f>
        <v>12</v>
      </c>
      <c r="H5552" t="str">
        <f>TEXT(Tabela1[[#This Row],[Coluna2]]*29,"mmmm")</f>
        <v>dezembro</v>
      </c>
      <c r="I5552" t="str">
        <f>TEXT(MONTH(Tabela1[[#This Row],[Último pagto ano]])*29,"mmmm")</f>
        <v>dezembro</v>
      </c>
    </row>
    <row r="5553" spans="1:9" x14ac:dyDescent="0.25">
      <c r="A5553">
        <v>2025</v>
      </c>
      <c r="B5553" t="s">
        <v>11057</v>
      </c>
      <c r="C5553" s="1">
        <v>46013</v>
      </c>
      <c r="D5553" t="s">
        <v>11058</v>
      </c>
      <c r="E5553" s="2">
        <v>13692.6</v>
      </c>
      <c r="G5553" s="3">
        <f>MONTH(Tabela1[[#This Row],[Último pagto ano]])</f>
        <v>12</v>
      </c>
      <c r="H5553" t="str">
        <f>TEXT(Tabela1[[#This Row],[Coluna2]]*29,"mmmm")</f>
        <v>dezembro</v>
      </c>
      <c r="I5553" t="str">
        <f>TEXT(MONTH(Tabela1[[#This Row],[Último pagto ano]])*29,"mmmm")</f>
        <v>dezembro</v>
      </c>
    </row>
    <row r="5554" spans="1:9" x14ac:dyDescent="0.25">
      <c r="A5554">
        <v>2025</v>
      </c>
      <c r="B5554" t="s">
        <v>11059</v>
      </c>
      <c r="C5554" s="1">
        <v>45996</v>
      </c>
      <c r="D5554" t="s">
        <v>11060</v>
      </c>
      <c r="E5554" s="2">
        <v>8850</v>
      </c>
      <c r="G5554" s="3">
        <f>MONTH(Tabela1[[#This Row],[Último pagto ano]])</f>
        <v>12</v>
      </c>
      <c r="H5554" t="str">
        <f>TEXT(Tabela1[[#This Row],[Coluna2]]*29,"mmmm")</f>
        <v>dezembro</v>
      </c>
      <c r="I5554" t="str">
        <f>TEXT(MONTH(Tabela1[[#This Row],[Último pagto ano]])*29,"mmmm")</f>
        <v>dezembro</v>
      </c>
    </row>
    <row r="5555" spans="1:9" x14ac:dyDescent="0.25">
      <c r="A5555">
        <v>2025</v>
      </c>
      <c r="B5555" t="s">
        <v>11061</v>
      </c>
      <c r="C5555" s="1">
        <v>45770</v>
      </c>
      <c r="D5555" t="s">
        <v>11062</v>
      </c>
      <c r="E5555" s="2">
        <v>4000</v>
      </c>
      <c r="G5555" s="3">
        <f>MONTH(Tabela1[[#This Row],[Último pagto ano]])</f>
        <v>4</v>
      </c>
      <c r="H5555" t="str">
        <f>TEXT(Tabela1[[#This Row],[Coluna2]]*29,"mmmm")</f>
        <v>abril</v>
      </c>
      <c r="I5555" t="str">
        <f>TEXT(MONTH(Tabela1[[#This Row],[Último pagto ano]])*29,"mmmm")</f>
        <v>abril</v>
      </c>
    </row>
    <row r="5556" spans="1:9" x14ac:dyDescent="0.25">
      <c r="A5556">
        <v>2025</v>
      </c>
      <c r="B5556" t="s">
        <v>11063</v>
      </c>
      <c r="C5556" s="1">
        <v>45894</v>
      </c>
      <c r="D5556" t="s">
        <v>11064</v>
      </c>
      <c r="E5556" s="2">
        <v>5600</v>
      </c>
      <c r="G5556" s="3">
        <f>MONTH(Tabela1[[#This Row],[Último pagto ano]])</f>
        <v>8</v>
      </c>
      <c r="H5556" t="str">
        <f>TEXT(Tabela1[[#This Row],[Coluna2]]*29,"mmmm")</f>
        <v>agosto</v>
      </c>
      <c r="I5556" t="str">
        <f>TEXT(MONTH(Tabela1[[#This Row],[Último pagto ano]])*29,"mmmm")</f>
        <v>agosto</v>
      </c>
    </row>
    <row r="5557" spans="1:9" x14ac:dyDescent="0.25">
      <c r="A5557">
        <v>2025</v>
      </c>
      <c r="B5557" t="s">
        <v>11065</v>
      </c>
      <c r="C5557" s="1">
        <v>46006</v>
      </c>
      <c r="D5557" t="s">
        <v>11066</v>
      </c>
      <c r="E5557" s="2">
        <v>3836.8</v>
      </c>
      <c r="G5557" s="3">
        <f>MONTH(Tabela1[[#This Row],[Último pagto ano]])</f>
        <v>12</v>
      </c>
      <c r="H5557" t="str">
        <f>TEXT(Tabela1[[#This Row],[Coluna2]]*29,"mmmm")</f>
        <v>dezembro</v>
      </c>
      <c r="I5557" t="str">
        <f>TEXT(MONTH(Tabela1[[#This Row],[Último pagto ano]])*29,"mmmm")</f>
        <v>dezembro</v>
      </c>
    </row>
    <row r="5558" spans="1:9" x14ac:dyDescent="0.25">
      <c r="A5558">
        <v>2025</v>
      </c>
      <c r="B5558" t="s">
        <v>11067</v>
      </c>
      <c r="C5558" s="1">
        <v>45835</v>
      </c>
      <c r="D5558" t="s">
        <v>11068</v>
      </c>
      <c r="E5558">
        <v>66</v>
      </c>
      <c r="G5558" s="3">
        <f>MONTH(Tabela1[[#This Row],[Último pagto ano]])</f>
        <v>6</v>
      </c>
      <c r="H5558" t="str">
        <f>TEXT(Tabela1[[#This Row],[Coluna2]]*29,"mmmm")</f>
        <v>junho</v>
      </c>
      <c r="I5558" t="str">
        <f>TEXT(MONTH(Tabela1[[#This Row],[Último pagto ano]])*29,"mmmm")</f>
        <v>junho</v>
      </c>
    </row>
    <row r="5559" spans="1:9" x14ac:dyDescent="0.25">
      <c r="A5559">
        <v>2025</v>
      </c>
      <c r="B5559" t="s">
        <v>11069</v>
      </c>
      <c r="C5559" s="1">
        <v>45894</v>
      </c>
      <c r="D5559" t="s">
        <v>11070</v>
      </c>
      <c r="E5559" s="2">
        <v>2800</v>
      </c>
      <c r="G5559" s="3">
        <f>MONTH(Tabela1[[#This Row],[Último pagto ano]])</f>
        <v>8</v>
      </c>
      <c r="H5559" t="str">
        <f>TEXT(Tabela1[[#This Row],[Coluna2]]*29,"mmmm")</f>
        <v>agosto</v>
      </c>
      <c r="I5559" t="str">
        <f>TEXT(MONTH(Tabela1[[#This Row],[Último pagto ano]])*29,"mmmm")</f>
        <v>agosto</v>
      </c>
    </row>
    <row r="5560" spans="1:9" x14ac:dyDescent="0.25">
      <c r="A5560">
        <v>2025</v>
      </c>
      <c r="B5560" t="s">
        <v>11071</v>
      </c>
      <c r="C5560" s="1">
        <v>46006</v>
      </c>
      <c r="D5560" t="s">
        <v>11072</v>
      </c>
      <c r="E5560" s="2">
        <v>5000</v>
      </c>
      <c r="G5560" s="3">
        <f>MONTH(Tabela1[[#This Row],[Último pagto ano]])</f>
        <v>12</v>
      </c>
      <c r="H5560" t="str">
        <f>TEXT(Tabela1[[#This Row],[Coluna2]]*29,"mmmm")</f>
        <v>dezembro</v>
      </c>
      <c r="I5560" t="str">
        <f>TEXT(MONTH(Tabela1[[#This Row],[Último pagto ano]])*29,"mmmm")</f>
        <v>dezembro</v>
      </c>
    </row>
    <row r="5561" spans="1:9" x14ac:dyDescent="0.25">
      <c r="A5561">
        <v>2025</v>
      </c>
      <c r="B5561" t="s">
        <v>11073</v>
      </c>
      <c r="C5561" s="1">
        <v>45673</v>
      </c>
      <c r="D5561" t="s">
        <v>11074</v>
      </c>
      <c r="E5561" s="2">
        <v>1444.73</v>
      </c>
      <c r="G5561" s="3">
        <f>MONTH(Tabela1[[#This Row],[Último pagto ano]])</f>
        <v>1</v>
      </c>
      <c r="H5561" t="str">
        <f>TEXT(Tabela1[[#This Row],[Coluna2]]*29,"mmmm")</f>
        <v>janeiro</v>
      </c>
      <c r="I5561" t="str">
        <f>TEXT(MONTH(Tabela1[[#This Row],[Último pagto ano]])*29,"mmmm")</f>
        <v>janeiro</v>
      </c>
    </row>
    <row r="5562" spans="1:9" x14ac:dyDescent="0.25">
      <c r="A5562">
        <v>2025</v>
      </c>
      <c r="B5562" t="s">
        <v>11075</v>
      </c>
      <c r="C5562" s="1">
        <v>46010</v>
      </c>
      <c r="D5562" t="s">
        <v>11076</v>
      </c>
      <c r="E5562" s="2">
        <v>24000</v>
      </c>
      <c r="G5562" s="3">
        <f>MONTH(Tabela1[[#This Row],[Último pagto ano]])</f>
        <v>12</v>
      </c>
      <c r="H5562" t="str">
        <f>TEXT(Tabela1[[#This Row],[Coluna2]]*29,"mmmm")</f>
        <v>dezembro</v>
      </c>
      <c r="I5562" t="str">
        <f>TEXT(MONTH(Tabela1[[#This Row],[Último pagto ano]])*29,"mmmm")</f>
        <v>dezembro</v>
      </c>
    </row>
    <row r="5563" spans="1:9" x14ac:dyDescent="0.25">
      <c r="A5563">
        <v>2025</v>
      </c>
      <c r="B5563" t="s">
        <v>11077</v>
      </c>
      <c r="C5563" s="1">
        <v>46006</v>
      </c>
      <c r="D5563" t="s">
        <v>11078</v>
      </c>
      <c r="E5563" s="2">
        <v>5008.16</v>
      </c>
      <c r="G5563" s="3">
        <f>MONTH(Tabela1[[#This Row],[Último pagto ano]])</f>
        <v>12</v>
      </c>
      <c r="H5563" t="str">
        <f>TEXT(Tabela1[[#This Row],[Coluna2]]*29,"mmmm")</f>
        <v>dezembro</v>
      </c>
      <c r="I5563" t="str">
        <f>TEXT(MONTH(Tabela1[[#This Row],[Último pagto ano]])*29,"mmmm")</f>
        <v>dezembro</v>
      </c>
    </row>
    <row r="5564" spans="1:9" x14ac:dyDescent="0.25">
      <c r="A5564">
        <v>2025</v>
      </c>
      <c r="B5564" t="s">
        <v>11079</v>
      </c>
      <c r="C5564" s="1">
        <v>45996</v>
      </c>
      <c r="D5564" t="s">
        <v>11080</v>
      </c>
      <c r="E5564" s="2">
        <v>64800</v>
      </c>
      <c r="G5564" s="3">
        <f>MONTH(Tabela1[[#This Row],[Último pagto ano]])</f>
        <v>12</v>
      </c>
      <c r="H5564" t="str">
        <f>TEXT(Tabela1[[#This Row],[Coluna2]]*29,"mmmm")</f>
        <v>dezembro</v>
      </c>
      <c r="I5564" t="str">
        <f>TEXT(MONTH(Tabela1[[#This Row],[Último pagto ano]])*29,"mmmm")</f>
        <v>dezembro</v>
      </c>
    </row>
    <row r="5565" spans="1:9" x14ac:dyDescent="0.25">
      <c r="A5565">
        <v>2025</v>
      </c>
      <c r="B5565" t="s">
        <v>11081</v>
      </c>
      <c r="C5565" s="1">
        <v>46007</v>
      </c>
      <c r="D5565" t="s">
        <v>11082</v>
      </c>
      <c r="E5565" s="2">
        <v>82408.399999999994</v>
      </c>
      <c r="G5565" s="3">
        <f>MONTH(Tabela1[[#This Row],[Último pagto ano]])</f>
        <v>12</v>
      </c>
      <c r="H5565" t="str">
        <f>TEXT(Tabela1[[#This Row],[Coluna2]]*29,"mmmm")</f>
        <v>dezembro</v>
      </c>
      <c r="I5565" t="str">
        <f>TEXT(MONTH(Tabela1[[#This Row],[Último pagto ano]])*29,"mmmm")</f>
        <v>dezembro</v>
      </c>
    </row>
    <row r="5566" spans="1:9" x14ac:dyDescent="0.25">
      <c r="A5566">
        <v>2025</v>
      </c>
      <c r="B5566" t="s">
        <v>11083</v>
      </c>
      <c r="C5566" s="1">
        <v>45968</v>
      </c>
      <c r="D5566" t="s">
        <v>11084</v>
      </c>
      <c r="E5566" s="2">
        <v>10000</v>
      </c>
      <c r="G5566" s="3">
        <f>MONTH(Tabela1[[#This Row],[Último pagto ano]])</f>
        <v>11</v>
      </c>
      <c r="H5566" t="str">
        <f>TEXT(Tabela1[[#This Row],[Coluna2]]*29,"mmmm")</f>
        <v>novembro</v>
      </c>
      <c r="I5566" t="str">
        <f>TEXT(MONTH(Tabela1[[#This Row],[Último pagto ano]])*29,"mmmm")</f>
        <v>novembro</v>
      </c>
    </row>
    <row r="5567" spans="1:9" x14ac:dyDescent="0.25">
      <c r="A5567">
        <v>2025</v>
      </c>
      <c r="B5567" t="s">
        <v>11085</v>
      </c>
      <c r="C5567" s="1">
        <v>45876</v>
      </c>
      <c r="D5567" t="s">
        <v>11086</v>
      </c>
      <c r="E5567" s="2">
        <v>13350</v>
      </c>
      <c r="G5567" s="3">
        <f>MONTH(Tabela1[[#This Row],[Último pagto ano]])</f>
        <v>8</v>
      </c>
      <c r="H5567" t="str">
        <f>TEXT(Tabela1[[#This Row],[Coluna2]]*29,"mmmm")</f>
        <v>agosto</v>
      </c>
      <c r="I5567" t="str">
        <f>TEXT(MONTH(Tabela1[[#This Row],[Último pagto ano]])*29,"mmmm")</f>
        <v>agosto</v>
      </c>
    </row>
    <row r="5568" spans="1:9" x14ac:dyDescent="0.25">
      <c r="A5568">
        <v>2025</v>
      </c>
      <c r="B5568" t="s">
        <v>11087</v>
      </c>
      <c r="C5568" s="1">
        <v>45709</v>
      </c>
      <c r="D5568" t="s">
        <v>11088</v>
      </c>
      <c r="E5568">
        <v>385.39</v>
      </c>
      <c r="G5568" s="3">
        <f>MONTH(Tabela1[[#This Row],[Último pagto ano]])</f>
        <v>2</v>
      </c>
      <c r="H5568" t="str">
        <f>TEXT(Tabela1[[#This Row],[Coluna2]]*29,"mmmm")</f>
        <v>fevereiro</v>
      </c>
      <c r="I5568" t="str">
        <f>TEXT(MONTH(Tabela1[[#This Row],[Último pagto ano]])*29,"mmmm")</f>
        <v>fevereiro</v>
      </c>
    </row>
    <row r="5569" spans="1:9" x14ac:dyDescent="0.25">
      <c r="A5569">
        <v>2025</v>
      </c>
      <c r="B5569" t="s">
        <v>11089</v>
      </c>
      <c r="C5569" s="1">
        <v>45943</v>
      </c>
      <c r="D5569" t="s">
        <v>11090</v>
      </c>
      <c r="E5569" s="2">
        <v>12219.09</v>
      </c>
      <c r="G5569" s="3">
        <f>MONTH(Tabela1[[#This Row],[Último pagto ano]])</f>
        <v>10</v>
      </c>
      <c r="H5569" t="str">
        <f>TEXT(Tabela1[[#This Row],[Coluna2]]*29,"mmmm")</f>
        <v>outubro</v>
      </c>
      <c r="I5569" t="str">
        <f>TEXT(MONTH(Tabela1[[#This Row],[Último pagto ano]])*29,"mmmm")</f>
        <v>outubro</v>
      </c>
    </row>
    <row r="5570" spans="1:9" x14ac:dyDescent="0.25">
      <c r="A5570">
        <v>2025</v>
      </c>
      <c r="B5570" t="s">
        <v>11091</v>
      </c>
      <c r="C5570" s="1">
        <v>45799</v>
      </c>
      <c r="D5570" t="s">
        <v>11092</v>
      </c>
      <c r="E5570">
        <v>198.49</v>
      </c>
      <c r="G5570" s="3">
        <f>MONTH(Tabela1[[#This Row],[Último pagto ano]])</f>
        <v>5</v>
      </c>
      <c r="H5570" t="str">
        <f>TEXT(Tabela1[[#This Row],[Coluna2]]*29,"mmmm")</f>
        <v>maio</v>
      </c>
      <c r="I5570" t="str">
        <f>TEXT(MONTH(Tabela1[[#This Row],[Último pagto ano]])*29,"mmmm")</f>
        <v>maio</v>
      </c>
    </row>
    <row r="5571" spans="1:9" x14ac:dyDescent="0.25">
      <c r="A5571">
        <v>2025</v>
      </c>
      <c r="B5571" t="s">
        <v>11093</v>
      </c>
      <c r="C5571" s="1">
        <v>45884</v>
      </c>
      <c r="D5571" t="s">
        <v>11094</v>
      </c>
      <c r="E5571" s="2">
        <v>1776.96</v>
      </c>
      <c r="G5571" s="3">
        <f>MONTH(Tabela1[[#This Row],[Último pagto ano]])</f>
        <v>8</v>
      </c>
      <c r="H5571" t="str">
        <f>TEXT(Tabela1[[#This Row],[Coluna2]]*29,"mmmm")</f>
        <v>agosto</v>
      </c>
      <c r="I5571" t="str">
        <f>TEXT(MONTH(Tabela1[[#This Row],[Último pagto ano]])*29,"mmmm")</f>
        <v>agosto</v>
      </c>
    </row>
    <row r="5572" spans="1:9" x14ac:dyDescent="0.25">
      <c r="A5572">
        <v>2025</v>
      </c>
      <c r="B5572" t="s">
        <v>11095</v>
      </c>
      <c r="C5572" s="1">
        <v>46010</v>
      </c>
      <c r="D5572" t="s">
        <v>11096</v>
      </c>
      <c r="E5572">
        <v>700</v>
      </c>
      <c r="G5572" s="3">
        <f>MONTH(Tabela1[[#This Row],[Último pagto ano]])</f>
        <v>12</v>
      </c>
      <c r="H5572" t="str">
        <f>TEXT(Tabela1[[#This Row],[Coluna2]]*29,"mmmm")</f>
        <v>dezembro</v>
      </c>
      <c r="I5572" t="str">
        <f>TEXT(MONTH(Tabela1[[#This Row],[Último pagto ano]])*29,"mmmm")</f>
        <v>dezembro</v>
      </c>
    </row>
    <row r="5573" spans="1:9" x14ac:dyDescent="0.25">
      <c r="A5573">
        <v>2025</v>
      </c>
      <c r="B5573" t="s">
        <v>11097</v>
      </c>
      <c r="C5573" s="1">
        <v>45996</v>
      </c>
      <c r="D5573" t="s">
        <v>11098</v>
      </c>
      <c r="E5573" s="2">
        <v>115224.1</v>
      </c>
      <c r="G5573" s="3">
        <f>MONTH(Tabela1[[#This Row],[Último pagto ano]])</f>
        <v>12</v>
      </c>
      <c r="H5573" t="str">
        <f>TEXT(Tabela1[[#This Row],[Coluna2]]*29,"mmmm")</f>
        <v>dezembro</v>
      </c>
      <c r="I5573" t="str">
        <f>TEXT(MONTH(Tabela1[[#This Row],[Último pagto ano]])*29,"mmmm")</f>
        <v>dezembro</v>
      </c>
    </row>
    <row r="5574" spans="1:9" x14ac:dyDescent="0.25">
      <c r="A5574">
        <v>2025</v>
      </c>
      <c r="B5574" t="s">
        <v>11099</v>
      </c>
      <c r="C5574" s="1">
        <v>45866</v>
      </c>
      <c r="D5574" t="s">
        <v>11100</v>
      </c>
      <c r="E5574" s="2">
        <v>1658.97</v>
      </c>
      <c r="G5574" s="3">
        <f>MONTH(Tabela1[[#This Row],[Último pagto ano]])</f>
        <v>7</v>
      </c>
      <c r="H5574" t="str">
        <f>TEXT(Tabela1[[#This Row],[Coluna2]]*29,"mmmm")</f>
        <v>julho</v>
      </c>
      <c r="I5574" t="str">
        <f>TEXT(MONTH(Tabela1[[#This Row],[Último pagto ano]])*29,"mmmm")</f>
        <v>julho</v>
      </c>
    </row>
    <row r="5575" spans="1:9" x14ac:dyDescent="0.25">
      <c r="A5575">
        <v>2025</v>
      </c>
      <c r="B5575" t="s">
        <v>11101</v>
      </c>
      <c r="C5575" s="1">
        <v>45937</v>
      </c>
      <c r="D5575" t="s">
        <v>11102</v>
      </c>
      <c r="E5575" s="2">
        <v>3000</v>
      </c>
      <c r="G5575" s="3">
        <f>MONTH(Tabela1[[#This Row],[Último pagto ano]])</f>
        <v>10</v>
      </c>
      <c r="H5575" t="str">
        <f>TEXT(Tabela1[[#This Row],[Coluna2]]*29,"mmmm")</f>
        <v>outubro</v>
      </c>
      <c r="I5575" t="str">
        <f>TEXT(MONTH(Tabela1[[#This Row],[Último pagto ano]])*29,"mmmm")</f>
        <v>outubro</v>
      </c>
    </row>
    <row r="5576" spans="1:9" x14ac:dyDescent="0.25">
      <c r="A5576">
        <v>2025</v>
      </c>
      <c r="B5576" t="s">
        <v>11103</v>
      </c>
      <c r="C5576" s="1">
        <v>45996</v>
      </c>
      <c r="D5576" t="s">
        <v>11104</v>
      </c>
      <c r="E5576" s="2">
        <v>7500</v>
      </c>
      <c r="G5576" s="3">
        <f>MONTH(Tabela1[[#This Row],[Último pagto ano]])</f>
        <v>12</v>
      </c>
      <c r="H5576" t="str">
        <f>TEXT(Tabela1[[#This Row],[Coluna2]]*29,"mmmm")</f>
        <v>dezembro</v>
      </c>
      <c r="I5576" t="str">
        <f>TEXT(MONTH(Tabela1[[#This Row],[Último pagto ano]])*29,"mmmm")</f>
        <v>dezembro</v>
      </c>
    </row>
    <row r="5577" spans="1:9" x14ac:dyDescent="0.25">
      <c r="A5577">
        <v>2025</v>
      </c>
      <c r="B5577" t="s">
        <v>11105</v>
      </c>
      <c r="C5577" s="1">
        <v>45792</v>
      </c>
      <c r="D5577" t="s">
        <v>11106</v>
      </c>
      <c r="E5577" s="2">
        <v>5486.16</v>
      </c>
      <c r="G5577" s="3">
        <f>MONTH(Tabela1[[#This Row],[Último pagto ano]])</f>
        <v>5</v>
      </c>
      <c r="H5577" t="str">
        <f>TEXT(Tabela1[[#This Row],[Coluna2]]*29,"mmmm")</f>
        <v>maio</v>
      </c>
      <c r="I5577" t="str">
        <f>TEXT(MONTH(Tabela1[[#This Row],[Último pagto ano]])*29,"mmmm")</f>
        <v>maio</v>
      </c>
    </row>
    <row r="5578" spans="1:9" x14ac:dyDescent="0.25">
      <c r="A5578">
        <v>2025</v>
      </c>
      <c r="B5578" t="s">
        <v>11107</v>
      </c>
      <c r="C5578" s="1">
        <v>45835</v>
      </c>
      <c r="D5578" t="s">
        <v>11108</v>
      </c>
      <c r="E5578">
        <v>27.18</v>
      </c>
      <c r="G5578" s="3">
        <f>MONTH(Tabela1[[#This Row],[Último pagto ano]])</f>
        <v>6</v>
      </c>
      <c r="H5578" t="str">
        <f>TEXT(Tabela1[[#This Row],[Coluna2]]*29,"mmmm")</f>
        <v>junho</v>
      </c>
      <c r="I5578" t="str">
        <f>TEXT(MONTH(Tabela1[[#This Row],[Último pagto ano]])*29,"mmmm")</f>
        <v>junho</v>
      </c>
    </row>
    <row r="5579" spans="1:9" x14ac:dyDescent="0.25">
      <c r="A5579">
        <v>2025</v>
      </c>
      <c r="B5579" t="s">
        <v>11109</v>
      </c>
      <c r="C5579" s="1">
        <v>45884</v>
      </c>
      <c r="D5579" t="s">
        <v>11110</v>
      </c>
      <c r="E5579" s="2">
        <v>3886.68</v>
      </c>
      <c r="G5579" s="3">
        <f>MONTH(Tabela1[[#This Row],[Último pagto ano]])</f>
        <v>8</v>
      </c>
      <c r="H5579" t="str">
        <f>TEXT(Tabela1[[#This Row],[Coluna2]]*29,"mmmm")</f>
        <v>agosto</v>
      </c>
      <c r="I5579" t="str">
        <f>TEXT(MONTH(Tabela1[[#This Row],[Último pagto ano]])*29,"mmmm")</f>
        <v>agosto</v>
      </c>
    </row>
    <row r="5580" spans="1:9" x14ac:dyDescent="0.25">
      <c r="A5580">
        <v>2025</v>
      </c>
      <c r="B5580" t="s">
        <v>11111</v>
      </c>
      <c r="C5580" s="1">
        <v>45684</v>
      </c>
      <c r="D5580" t="s">
        <v>11112</v>
      </c>
      <c r="E5580">
        <v>22</v>
      </c>
      <c r="G5580" s="3">
        <f>MONTH(Tabela1[[#This Row],[Último pagto ano]])</f>
        <v>1</v>
      </c>
      <c r="H5580" t="str">
        <f>TEXT(Tabela1[[#This Row],[Coluna2]]*29,"mmmm")</f>
        <v>janeiro</v>
      </c>
      <c r="I5580" t="str">
        <f>TEXT(MONTH(Tabela1[[#This Row],[Último pagto ano]])*29,"mmmm")</f>
        <v>janeiro</v>
      </c>
    </row>
    <row r="5581" spans="1:9" x14ac:dyDescent="0.25">
      <c r="A5581">
        <v>2025</v>
      </c>
      <c r="B5581" t="s">
        <v>11113</v>
      </c>
      <c r="C5581" s="1">
        <v>46006</v>
      </c>
      <c r="D5581" t="s">
        <v>11114</v>
      </c>
      <c r="E5581" s="2">
        <v>6179.52</v>
      </c>
      <c r="G5581" s="3">
        <f>MONTH(Tabela1[[#This Row],[Último pagto ano]])</f>
        <v>12</v>
      </c>
      <c r="H5581" t="str">
        <f>TEXT(Tabela1[[#This Row],[Coluna2]]*29,"mmmm")</f>
        <v>dezembro</v>
      </c>
      <c r="I5581" t="str">
        <f>TEXT(MONTH(Tabela1[[#This Row],[Último pagto ano]])*29,"mmmm")</f>
        <v>dezembro</v>
      </c>
    </row>
    <row r="5582" spans="1:9" x14ac:dyDescent="0.25">
      <c r="A5582">
        <v>2025</v>
      </c>
      <c r="B5582" t="s">
        <v>11115</v>
      </c>
      <c r="C5582" s="1">
        <v>45824</v>
      </c>
      <c r="D5582" t="s">
        <v>11116</v>
      </c>
      <c r="E5582" s="2">
        <v>4200</v>
      </c>
      <c r="G5582" s="3">
        <f>MONTH(Tabela1[[#This Row],[Último pagto ano]])</f>
        <v>6</v>
      </c>
      <c r="H5582" t="str">
        <f>TEXT(Tabela1[[#This Row],[Coluna2]]*29,"mmmm")</f>
        <v>junho</v>
      </c>
      <c r="I5582" t="str">
        <f>TEXT(MONTH(Tabela1[[#This Row],[Último pagto ano]])*29,"mmmm")</f>
        <v>junho</v>
      </c>
    </row>
    <row r="5583" spans="1:9" x14ac:dyDescent="0.25">
      <c r="A5583">
        <v>2025</v>
      </c>
      <c r="B5583" t="s">
        <v>11117</v>
      </c>
      <c r="C5583" s="1">
        <v>46006</v>
      </c>
      <c r="D5583" t="s">
        <v>11118</v>
      </c>
      <c r="E5583" s="2">
        <v>12872.8</v>
      </c>
      <c r="G5583" s="3">
        <f>MONTH(Tabela1[[#This Row],[Último pagto ano]])</f>
        <v>12</v>
      </c>
      <c r="H5583" t="str">
        <f>TEXT(Tabela1[[#This Row],[Coluna2]]*29,"mmmm")</f>
        <v>dezembro</v>
      </c>
      <c r="I5583" t="str">
        <f>TEXT(MONTH(Tabela1[[#This Row],[Último pagto ano]])*29,"mmmm")</f>
        <v>dezembro</v>
      </c>
    </row>
    <row r="5584" spans="1:9" x14ac:dyDescent="0.25">
      <c r="A5584">
        <v>2025</v>
      </c>
      <c r="B5584" t="s">
        <v>11119</v>
      </c>
      <c r="C5584" s="1">
        <v>46010</v>
      </c>
      <c r="D5584" t="s">
        <v>11120</v>
      </c>
      <c r="E5584" s="2">
        <v>3500</v>
      </c>
      <c r="G5584" s="3">
        <f>MONTH(Tabela1[[#This Row],[Último pagto ano]])</f>
        <v>12</v>
      </c>
      <c r="H5584" t="str">
        <f>TEXT(Tabela1[[#This Row],[Coluna2]]*29,"mmmm")</f>
        <v>dezembro</v>
      </c>
      <c r="I5584" t="str">
        <f>TEXT(MONTH(Tabela1[[#This Row],[Último pagto ano]])*29,"mmmm")</f>
        <v>dezembro</v>
      </c>
    </row>
    <row r="5585" spans="1:9" x14ac:dyDescent="0.25">
      <c r="A5585">
        <v>2025</v>
      </c>
      <c r="B5585" t="s">
        <v>11121</v>
      </c>
      <c r="C5585" s="1">
        <v>45870</v>
      </c>
      <c r="D5585" t="s">
        <v>11122</v>
      </c>
      <c r="E5585">
        <v>48.49</v>
      </c>
      <c r="G5585" s="3">
        <f>MONTH(Tabela1[[#This Row],[Último pagto ano]])</f>
        <v>8</v>
      </c>
      <c r="H5585" t="str">
        <f>TEXT(Tabela1[[#This Row],[Coluna2]]*29,"mmmm")</f>
        <v>agosto</v>
      </c>
      <c r="I5585" t="str">
        <f>TEXT(MONTH(Tabela1[[#This Row],[Último pagto ano]])*29,"mmmm")</f>
        <v>agosto</v>
      </c>
    </row>
    <row r="5586" spans="1:9" x14ac:dyDescent="0.25">
      <c r="A5586">
        <v>2025</v>
      </c>
      <c r="B5586" t="s">
        <v>11123</v>
      </c>
      <c r="C5586" s="1">
        <v>46006</v>
      </c>
      <c r="D5586" t="s">
        <v>11124</v>
      </c>
      <c r="E5586" s="2">
        <v>16976.080000000002</v>
      </c>
      <c r="G5586" s="3">
        <f>MONTH(Tabela1[[#This Row],[Último pagto ano]])</f>
        <v>12</v>
      </c>
      <c r="H5586" t="str">
        <f>TEXT(Tabela1[[#This Row],[Coluna2]]*29,"mmmm")</f>
        <v>dezembro</v>
      </c>
      <c r="I5586" t="str">
        <f>TEXT(MONTH(Tabela1[[#This Row],[Último pagto ano]])*29,"mmmm")</f>
        <v>dezembro</v>
      </c>
    </row>
    <row r="5587" spans="1:9" x14ac:dyDescent="0.25">
      <c r="A5587">
        <v>2025</v>
      </c>
      <c r="B5587" t="s">
        <v>11125</v>
      </c>
      <c r="C5587" s="1">
        <v>46006</v>
      </c>
      <c r="D5587" t="s">
        <v>11126</v>
      </c>
      <c r="E5587" s="2">
        <v>8844.9599999999991</v>
      </c>
      <c r="G5587" s="3">
        <f>MONTH(Tabela1[[#This Row],[Último pagto ano]])</f>
        <v>12</v>
      </c>
      <c r="H5587" t="str">
        <f>TEXT(Tabela1[[#This Row],[Coluna2]]*29,"mmmm")</f>
        <v>dezembro</v>
      </c>
      <c r="I5587" t="str">
        <f>TEXT(MONTH(Tabela1[[#This Row],[Último pagto ano]])*29,"mmmm")</f>
        <v>dezembro</v>
      </c>
    </row>
    <row r="5588" spans="1:9" x14ac:dyDescent="0.25">
      <c r="A5588">
        <v>2025</v>
      </c>
      <c r="B5588" t="s">
        <v>11127</v>
      </c>
      <c r="C5588" s="1">
        <v>45705</v>
      </c>
      <c r="D5588" t="s">
        <v>11128</v>
      </c>
      <c r="E5588">
        <v>444.24</v>
      </c>
      <c r="G5588" s="3">
        <f>MONTH(Tabela1[[#This Row],[Último pagto ano]])</f>
        <v>2</v>
      </c>
      <c r="H5588" t="str">
        <f>TEXT(Tabela1[[#This Row],[Coluna2]]*29,"mmmm")</f>
        <v>fevereiro</v>
      </c>
      <c r="I5588" t="str">
        <f>TEXT(MONTH(Tabela1[[#This Row],[Último pagto ano]])*29,"mmmm")</f>
        <v>fevereiro</v>
      </c>
    </row>
    <row r="5589" spans="1:9" x14ac:dyDescent="0.25">
      <c r="A5589">
        <v>2025</v>
      </c>
      <c r="B5589" t="s">
        <v>11129</v>
      </c>
      <c r="C5589" s="1">
        <v>46010</v>
      </c>
      <c r="D5589" t="s">
        <v>11130</v>
      </c>
      <c r="E5589" s="2">
        <v>3500</v>
      </c>
      <c r="G5589" s="3">
        <f>MONTH(Tabela1[[#This Row],[Último pagto ano]])</f>
        <v>12</v>
      </c>
      <c r="H5589" t="str">
        <f>TEXT(Tabela1[[#This Row],[Coluna2]]*29,"mmmm")</f>
        <v>dezembro</v>
      </c>
      <c r="I5589" t="str">
        <f>TEXT(MONTH(Tabela1[[#This Row],[Último pagto ano]])*29,"mmmm")</f>
        <v>dezembro</v>
      </c>
    </row>
    <row r="5590" spans="1:9" x14ac:dyDescent="0.25">
      <c r="A5590">
        <v>2025</v>
      </c>
      <c r="B5590" t="s">
        <v>11131</v>
      </c>
      <c r="C5590" s="1">
        <v>45959</v>
      </c>
      <c r="D5590" t="s">
        <v>11132</v>
      </c>
      <c r="E5590" s="2">
        <v>7000</v>
      </c>
      <c r="G5590" s="3">
        <f>MONTH(Tabela1[[#This Row],[Último pagto ano]])</f>
        <v>10</v>
      </c>
      <c r="H5590" t="str">
        <f>TEXT(Tabela1[[#This Row],[Coluna2]]*29,"mmmm")</f>
        <v>outubro</v>
      </c>
      <c r="I5590" t="str">
        <f>TEXT(MONTH(Tabela1[[#This Row],[Último pagto ano]])*29,"mmmm")</f>
        <v>outubro</v>
      </c>
    </row>
    <row r="5591" spans="1:9" x14ac:dyDescent="0.25">
      <c r="A5591">
        <v>2025</v>
      </c>
      <c r="B5591" t="s">
        <v>11133</v>
      </c>
      <c r="C5591" s="1">
        <v>46006</v>
      </c>
      <c r="D5591" t="s">
        <v>11134</v>
      </c>
      <c r="E5591" s="2">
        <v>23929.200000000001</v>
      </c>
      <c r="G5591" s="3">
        <f>MONTH(Tabela1[[#This Row],[Último pagto ano]])</f>
        <v>12</v>
      </c>
      <c r="H5591" t="str">
        <f>TEXT(Tabela1[[#This Row],[Coluna2]]*29,"mmmm")</f>
        <v>dezembro</v>
      </c>
      <c r="I5591" t="str">
        <f>TEXT(MONTH(Tabela1[[#This Row],[Último pagto ano]])*29,"mmmm")</f>
        <v>dezembro</v>
      </c>
    </row>
    <row r="5592" spans="1:9" x14ac:dyDescent="0.25">
      <c r="A5592">
        <v>2025</v>
      </c>
      <c r="B5592" t="s">
        <v>11135</v>
      </c>
      <c r="C5592" s="1">
        <v>45712</v>
      </c>
      <c r="D5592" t="s">
        <v>11136</v>
      </c>
      <c r="E5592" s="2">
        <v>1400</v>
      </c>
      <c r="G5592" s="3">
        <f>MONTH(Tabela1[[#This Row],[Último pagto ano]])</f>
        <v>2</v>
      </c>
      <c r="H5592" t="str">
        <f>TEXT(Tabela1[[#This Row],[Coluna2]]*29,"mmmm")</f>
        <v>fevereiro</v>
      </c>
      <c r="I5592" t="str">
        <f>TEXT(MONTH(Tabela1[[#This Row],[Último pagto ano]])*29,"mmmm")</f>
        <v>fevereiro</v>
      </c>
    </row>
    <row r="5593" spans="1:9" x14ac:dyDescent="0.25">
      <c r="A5593">
        <v>2025</v>
      </c>
      <c r="B5593" t="s">
        <v>11137</v>
      </c>
      <c r="C5593" s="1">
        <v>45733</v>
      </c>
      <c r="D5593" t="s">
        <v>11138</v>
      </c>
      <c r="E5593">
        <v>740.32</v>
      </c>
      <c r="G5593" s="3">
        <f>MONTH(Tabela1[[#This Row],[Último pagto ano]])</f>
        <v>3</v>
      </c>
      <c r="H5593" t="str">
        <f>TEXT(Tabela1[[#This Row],[Coluna2]]*29,"mmmm")</f>
        <v>março</v>
      </c>
      <c r="I5593" t="str">
        <f>TEXT(MONTH(Tabela1[[#This Row],[Último pagto ano]])*29,"mmmm")</f>
        <v>março</v>
      </c>
    </row>
    <row r="5594" spans="1:9" x14ac:dyDescent="0.25">
      <c r="A5594">
        <v>2025</v>
      </c>
      <c r="B5594" t="s">
        <v>11139</v>
      </c>
      <c r="C5594" s="1">
        <v>45988</v>
      </c>
      <c r="D5594" t="s">
        <v>11140</v>
      </c>
      <c r="E5594">
        <v>565.20000000000005</v>
      </c>
      <c r="G5594" s="3">
        <f>MONTH(Tabela1[[#This Row],[Último pagto ano]])</f>
        <v>11</v>
      </c>
      <c r="H5594" t="str">
        <f>TEXT(Tabela1[[#This Row],[Coluna2]]*29,"mmmm")</f>
        <v>novembro</v>
      </c>
      <c r="I5594" t="str">
        <f>TEXT(MONTH(Tabela1[[#This Row],[Último pagto ano]])*29,"mmmm")</f>
        <v>novembro</v>
      </c>
    </row>
    <row r="5595" spans="1:9" x14ac:dyDescent="0.25">
      <c r="A5595">
        <v>2025</v>
      </c>
      <c r="B5595" t="s">
        <v>11141</v>
      </c>
      <c r="C5595" s="1">
        <v>46010</v>
      </c>
      <c r="D5595" t="s">
        <v>11142</v>
      </c>
      <c r="E5595" s="2">
        <v>8400</v>
      </c>
      <c r="G5595" s="3">
        <f>MONTH(Tabela1[[#This Row],[Último pagto ano]])</f>
        <v>12</v>
      </c>
      <c r="H5595" t="str">
        <f>TEXT(Tabela1[[#This Row],[Coluna2]]*29,"mmmm")</f>
        <v>dezembro</v>
      </c>
      <c r="I5595" t="str">
        <f>TEXT(MONTH(Tabela1[[#This Row],[Último pagto ano]])*29,"mmmm")</f>
        <v>dezembro</v>
      </c>
    </row>
    <row r="5596" spans="1:9" x14ac:dyDescent="0.25">
      <c r="A5596">
        <v>2025</v>
      </c>
      <c r="B5596" t="s">
        <v>11143</v>
      </c>
      <c r="C5596" s="1">
        <v>45772</v>
      </c>
      <c r="D5596" t="s">
        <v>11144</v>
      </c>
      <c r="E5596" s="2">
        <v>30047.83</v>
      </c>
      <c r="G5596" s="3">
        <f>MONTH(Tabela1[[#This Row],[Último pagto ano]])</f>
        <v>4</v>
      </c>
      <c r="H5596" t="str">
        <f>TEXT(Tabela1[[#This Row],[Coluna2]]*29,"mmmm")</f>
        <v>abril</v>
      </c>
      <c r="I5596" t="str">
        <f>TEXT(MONTH(Tabela1[[#This Row],[Último pagto ano]])*29,"mmmm")</f>
        <v>abril</v>
      </c>
    </row>
    <row r="5597" spans="1:9" x14ac:dyDescent="0.25">
      <c r="A5597">
        <v>2025</v>
      </c>
      <c r="B5597" t="s">
        <v>11145</v>
      </c>
      <c r="C5597" s="1">
        <v>45901</v>
      </c>
      <c r="D5597" t="s">
        <v>11146</v>
      </c>
      <c r="E5597" s="2">
        <v>1301.98</v>
      </c>
      <c r="G5597" s="3">
        <f>MONTH(Tabela1[[#This Row],[Último pagto ano]])</f>
        <v>9</v>
      </c>
      <c r="H5597" t="str">
        <f>TEXT(Tabela1[[#This Row],[Coluna2]]*29,"mmmm")</f>
        <v>setembro</v>
      </c>
      <c r="I5597" t="str">
        <f>TEXT(MONTH(Tabela1[[#This Row],[Último pagto ano]])*29,"mmmm")</f>
        <v>setembro</v>
      </c>
    </row>
    <row r="5598" spans="1:9" x14ac:dyDescent="0.25">
      <c r="A5598">
        <v>2025</v>
      </c>
      <c r="B5598" t="s">
        <v>11147</v>
      </c>
      <c r="C5598" s="1">
        <v>46006</v>
      </c>
      <c r="D5598" t="s">
        <v>11148</v>
      </c>
      <c r="E5598" s="2">
        <v>27687.48</v>
      </c>
      <c r="G5598" s="3">
        <f>MONTH(Tabela1[[#This Row],[Último pagto ano]])</f>
        <v>12</v>
      </c>
      <c r="H5598" t="str">
        <f>TEXT(Tabela1[[#This Row],[Coluna2]]*29,"mmmm")</f>
        <v>dezembro</v>
      </c>
      <c r="I5598" t="str">
        <f>TEXT(MONTH(Tabela1[[#This Row],[Último pagto ano]])*29,"mmmm")</f>
        <v>dezembro</v>
      </c>
    </row>
    <row r="5599" spans="1:9" x14ac:dyDescent="0.25">
      <c r="A5599">
        <v>2025</v>
      </c>
      <c r="B5599" t="s">
        <v>11149</v>
      </c>
      <c r="C5599" s="1">
        <v>45996</v>
      </c>
      <c r="D5599" t="s">
        <v>11150</v>
      </c>
      <c r="E5599" s="2">
        <v>64228.800000000003</v>
      </c>
      <c r="G5599" s="3">
        <f>MONTH(Tabela1[[#This Row],[Último pagto ano]])</f>
        <v>12</v>
      </c>
      <c r="H5599" t="str">
        <f>TEXT(Tabela1[[#This Row],[Coluna2]]*29,"mmmm")</f>
        <v>dezembro</v>
      </c>
      <c r="I5599" t="str">
        <f>TEXT(MONTH(Tabela1[[#This Row],[Último pagto ano]])*29,"mmmm")</f>
        <v>dezembro</v>
      </c>
    </row>
    <row r="5600" spans="1:9" x14ac:dyDescent="0.25">
      <c r="A5600">
        <v>2025</v>
      </c>
      <c r="B5600" t="s">
        <v>11151</v>
      </c>
      <c r="C5600" s="1">
        <v>45989</v>
      </c>
      <c r="D5600" t="s">
        <v>11152</v>
      </c>
      <c r="E5600" s="2">
        <v>10076.280000000001</v>
      </c>
      <c r="G5600" s="3">
        <f>MONTH(Tabela1[[#This Row],[Último pagto ano]])</f>
        <v>11</v>
      </c>
      <c r="H5600" t="str">
        <f>TEXT(Tabela1[[#This Row],[Coluna2]]*29,"mmmm")</f>
        <v>novembro</v>
      </c>
      <c r="I5600" t="str">
        <f>TEXT(MONTH(Tabela1[[#This Row],[Último pagto ano]])*29,"mmmm")</f>
        <v>novembro</v>
      </c>
    </row>
    <row r="5601" spans="1:9" x14ac:dyDescent="0.25">
      <c r="A5601">
        <v>2025</v>
      </c>
      <c r="B5601" t="s">
        <v>11153</v>
      </c>
      <c r="C5601" s="1">
        <v>45945</v>
      </c>
      <c r="D5601" t="s">
        <v>11154</v>
      </c>
      <c r="E5601" s="2">
        <v>10718.08</v>
      </c>
      <c r="G5601" s="3">
        <f>MONTH(Tabela1[[#This Row],[Último pagto ano]])</f>
        <v>10</v>
      </c>
      <c r="H5601" t="str">
        <f>TEXT(Tabela1[[#This Row],[Coluna2]]*29,"mmmm")</f>
        <v>outubro</v>
      </c>
      <c r="I5601" t="str">
        <f>TEXT(MONTH(Tabela1[[#This Row],[Último pagto ano]])*29,"mmmm")</f>
        <v>outubro</v>
      </c>
    </row>
    <row r="5602" spans="1:9" x14ac:dyDescent="0.25">
      <c r="A5602">
        <v>2025</v>
      </c>
      <c r="B5602" t="s">
        <v>11155</v>
      </c>
      <c r="C5602" s="1">
        <v>45791</v>
      </c>
      <c r="D5602" t="s">
        <v>11156</v>
      </c>
      <c r="E5602">
        <v>521.19000000000005</v>
      </c>
      <c r="G5602" s="3">
        <f>MONTH(Tabela1[[#This Row],[Último pagto ano]])</f>
        <v>5</v>
      </c>
      <c r="H5602" t="str">
        <f>TEXT(Tabela1[[#This Row],[Coluna2]]*29,"mmmm")</f>
        <v>maio</v>
      </c>
      <c r="I5602" t="str">
        <f>TEXT(MONTH(Tabela1[[#This Row],[Último pagto ano]])*29,"mmmm")</f>
        <v>maio</v>
      </c>
    </row>
    <row r="5603" spans="1:9" x14ac:dyDescent="0.25">
      <c r="A5603">
        <v>2025</v>
      </c>
      <c r="B5603" t="s">
        <v>11157</v>
      </c>
      <c r="C5603" s="1">
        <v>45747</v>
      </c>
      <c r="D5603" t="s">
        <v>11158</v>
      </c>
      <c r="E5603" s="2">
        <v>84759.6</v>
      </c>
      <c r="G5603" s="3">
        <f>MONTH(Tabela1[[#This Row],[Último pagto ano]])</f>
        <v>3</v>
      </c>
      <c r="H5603" t="str">
        <f>TEXT(Tabela1[[#This Row],[Coluna2]]*29,"mmmm")</f>
        <v>março</v>
      </c>
      <c r="I5603" t="str">
        <f>TEXT(MONTH(Tabela1[[#This Row],[Último pagto ano]])*29,"mmmm")</f>
        <v>março</v>
      </c>
    </row>
    <row r="5604" spans="1:9" x14ac:dyDescent="0.25">
      <c r="A5604">
        <v>2025</v>
      </c>
      <c r="B5604" t="s">
        <v>11159</v>
      </c>
      <c r="C5604" s="1">
        <v>45863</v>
      </c>
      <c r="D5604" t="s">
        <v>11160</v>
      </c>
      <c r="E5604" s="2">
        <v>4900</v>
      </c>
      <c r="G5604" s="3">
        <f>MONTH(Tabela1[[#This Row],[Último pagto ano]])</f>
        <v>7</v>
      </c>
      <c r="H5604" t="str">
        <f>TEXT(Tabela1[[#This Row],[Coluna2]]*29,"mmmm")</f>
        <v>julho</v>
      </c>
      <c r="I5604" t="str">
        <f>TEXT(MONTH(Tabela1[[#This Row],[Último pagto ano]])*29,"mmmm")</f>
        <v>julho</v>
      </c>
    </row>
    <row r="5605" spans="1:9" x14ac:dyDescent="0.25">
      <c r="A5605">
        <v>2025</v>
      </c>
      <c r="B5605" t="s">
        <v>11161</v>
      </c>
      <c r="C5605" s="1">
        <v>45960</v>
      </c>
      <c r="D5605" t="s">
        <v>11162</v>
      </c>
      <c r="E5605" s="2">
        <v>4140</v>
      </c>
      <c r="G5605" s="3">
        <f>MONTH(Tabela1[[#This Row],[Último pagto ano]])</f>
        <v>10</v>
      </c>
      <c r="H5605" t="str">
        <f>TEXT(Tabela1[[#This Row],[Coluna2]]*29,"mmmm")</f>
        <v>outubro</v>
      </c>
      <c r="I5605" t="str">
        <f>TEXT(MONTH(Tabela1[[#This Row],[Último pagto ano]])*29,"mmmm")</f>
        <v>outubro</v>
      </c>
    </row>
    <row r="5606" spans="1:9" x14ac:dyDescent="0.25">
      <c r="A5606">
        <v>2025</v>
      </c>
      <c r="B5606" t="s">
        <v>11163</v>
      </c>
      <c r="C5606" s="1">
        <v>45947</v>
      </c>
      <c r="D5606" t="s">
        <v>11164</v>
      </c>
      <c r="E5606" s="2">
        <v>1499.8</v>
      </c>
      <c r="G5606" s="3">
        <f>MONTH(Tabela1[[#This Row],[Último pagto ano]])</f>
        <v>10</v>
      </c>
      <c r="H5606" t="str">
        <f>TEXT(Tabela1[[#This Row],[Coluna2]]*29,"mmmm")</f>
        <v>outubro</v>
      </c>
      <c r="I5606" t="str">
        <f>TEXT(MONTH(Tabela1[[#This Row],[Último pagto ano]])*29,"mmmm")</f>
        <v>outubro</v>
      </c>
    </row>
    <row r="5607" spans="1:9" x14ac:dyDescent="0.25">
      <c r="A5607">
        <v>2025</v>
      </c>
      <c r="B5607" t="s">
        <v>11165</v>
      </c>
      <c r="C5607" s="1">
        <v>46008</v>
      </c>
      <c r="D5607" t="s">
        <v>11166</v>
      </c>
      <c r="E5607" s="2">
        <v>111337.2</v>
      </c>
      <c r="G5607" s="3">
        <f>MONTH(Tabela1[[#This Row],[Último pagto ano]])</f>
        <v>12</v>
      </c>
      <c r="H5607" t="str">
        <f>TEXT(Tabela1[[#This Row],[Coluna2]]*29,"mmmm")</f>
        <v>dezembro</v>
      </c>
      <c r="I5607" t="str">
        <f>TEXT(MONTH(Tabela1[[#This Row],[Último pagto ano]])*29,"mmmm")</f>
        <v>dezembro</v>
      </c>
    </row>
    <row r="5608" spans="1:9" x14ac:dyDescent="0.25">
      <c r="A5608">
        <v>2025</v>
      </c>
      <c r="B5608" t="s">
        <v>11167</v>
      </c>
      <c r="C5608" s="1">
        <v>45999</v>
      </c>
      <c r="D5608" t="s">
        <v>11168</v>
      </c>
      <c r="E5608">
        <v>198</v>
      </c>
      <c r="G5608" s="3">
        <f>MONTH(Tabela1[[#This Row],[Último pagto ano]])</f>
        <v>12</v>
      </c>
      <c r="H5608" t="str">
        <f>TEXT(Tabela1[[#This Row],[Coluna2]]*29,"mmmm")</f>
        <v>dezembro</v>
      </c>
      <c r="I5608" t="str">
        <f>TEXT(MONTH(Tabela1[[#This Row],[Último pagto ano]])*29,"mmmm")</f>
        <v>dezembro</v>
      </c>
    </row>
    <row r="5609" spans="1:9" x14ac:dyDescent="0.25">
      <c r="A5609">
        <v>2025</v>
      </c>
      <c r="B5609" t="s">
        <v>11169</v>
      </c>
      <c r="C5609" s="1">
        <v>46006</v>
      </c>
      <c r="D5609" t="s">
        <v>11170</v>
      </c>
      <c r="E5609">
        <v>410</v>
      </c>
      <c r="G5609" s="3">
        <f>MONTH(Tabela1[[#This Row],[Último pagto ano]])</f>
        <v>12</v>
      </c>
      <c r="H5609" t="str">
        <f>TEXT(Tabela1[[#This Row],[Coluna2]]*29,"mmmm")</f>
        <v>dezembro</v>
      </c>
      <c r="I5609" t="str">
        <f>TEXT(MONTH(Tabela1[[#This Row],[Último pagto ano]])*29,"mmmm")</f>
        <v>dezembro</v>
      </c>
    </row>
    <row r="5610" spans="1:9" x14ac:dyDescent="0.25">
      <c r="A5610">
        <v>2025</v>
      </c>
      <c r="B5610" t="s">
        <v>11171</v>
      </c>
      <c r="C5610" s="1">
        <v>45866</v>
      </c>
      <c r="D5610" t="s">
        <v>11172</v>
      </c>
      <c r="E5610">
        <v>132</v>
      </c>
      <c r="G5610" s="3">
        <f>MONTH(Tabela1[[#This Row],[Último pagto ano]])</f>
        <v>7</v>
      </c>
      <c r="H5610" t="str">
        <f>TEXT(Tabela1[[#This Row],[Coluna2]]*29,"mmmm")</f>
        <v>julho</v>
      </c>
      <c r="I5610" t="str">
        <f>TEXT(MONTH(Tabela1[[#This Row],[Último pagto ano]])*29,"mmmm")</f>
        <v>julho</v>
      </c>
    </row>
    <row r="5611" spans="1:9" x14ac:dyDescent="0.25">
      <c r="A5611">
        <v>2025</v>
      </c>
      <c r="B5611" t="s">
        <v>11173</v>
      </c>
      <c r="C5611" s="1">
        <v>45989</v>
      </c>
      <c r="D5611" t="s">
        <v>11174</v>
      </c>
      <c r="E5611" s="2">
        <v>5020</v>
      </c>
      <c r="G5611" s="3">
        <f>MONTH(Tabela1[[#This Row],[Último pagto ano]])</f>
        <v>11</v>
      </c>
      <c r="H5611" t="str">
        <f>TEXT(Tabela1[[#This Row],[Coluna2]]*29,"mmmm")</f>
        <v>novembro</v>
      </c>
      <c r="I5611" t="str">
        <f>TEXT(MONTH(Tabela1[[#This Row],[Último pagto ano]])*29,"mmmm")</f>
        <v>novembro</v>
      </c>
    </row>
    <row r="5612" spans="1:9" x14ac:dyDescent="0.25">
      <c r="A5612">
        <v>2025</v>
      </c>
      <c r="B5612" t="s">
        <v>11175</v>
      </c>
      <c r="C5612" s="1">
        <v>45989</v>
      </c>
      <c r="D5612" t="s">
        <v>11176</v>
      </c>
      <c r="E5612" s="2">
        <v>8100.22</v>
      </c>
      <c r="G5612" s="3">
        <f>MONTH(Tabela1[[#This Row],[Último pagto ano]])</f>
        <v>11</v>
      </c>
      <c r="H5612" t="str">
        <f>TEXT(Tabela1[[#This Row],[Coluna2]]*29,"mmmm")</f>
        <v>novembro</v>
      </c>
      <c r="I5612" t="str">
        <f>TEXT(MONTH(Tabela1[[#This Row],[Último pagto ano]])*29,"mmmm")</f>
        <v>novembro</v>
      </c>
    </row>
    <row r="5613" spans="1:9" x14ac:dyDescent="0.25">
      <c r="A5613">
        <v>2025</v>
      </c>
      <c r="B5613" t="s">
        <v>11177</v>
      </c>
      <c r="C5613" s="1">
        <v>46010</v>
      </c>
      <c r="D5613" t="s">
        <v>11178</v>
      </c>
      <c r="E5613" s="2">
        <v>7000</v>
      </c>
      <c r="G5613" s="3">
        <f>MONTH(Tabela1[[#This Row],[Último pagto ano]])</f>
        <v>12</v>
      </c>
      <c r="H5613" t="str">
        <f>TEXT(Tabela1[[#This Row],[Coluna2]]*29,"mmmm")</f>
        <v>dezembro</v>
      </c>
      <c r="I5613" t="str">
        <f>TEXT(MONTH(Tabela1[[#This Row],[Último pagto ano]])*29,"mmmm")</f>
        <v>dezembro</v>
      </c>
    </row>
    <row r="5614" spans="1:9" x14ac:dyDescent="0.25">
      <c r="A5614">
        <v>2025</v>
      </c>
      <c r="B5614" t="s">
        <v>11179</v>
      </c>
      <c r="C5614" s="1">
        <v>46010</v>
      </c>
      <c r="D5614" t="s">
        <v>11180</v>
      </c>
      <c r="E5614" s="2">
        <v>2800</v>
      </c>
      <c r="G5614" s="3">
        <f>MONTH(Tabela1[[#This Row],[Último pagto ano]])</f>
        <v>12</v>
      </c>
      <c r="H5614" t="str">
        <f>TEXT(Tabela1[[#This Row],[Coluna2]]*29,"mmmm")</f>
        <v>dezembro</v>
      </c>
      <c r="I5614" t="str">
        <f>TEXT(MONTH(Tabela1[[#This Row],[Último pagto ano]])*29,"mmmm")</f>
        <v>dezembro</v>
      </c>
    </row>
    <row r="5615" spans="1:9" x14ac:dyDescent="0.25">
      <c r="A5615">
        <v>2025</v>
      </c>
      <c r="B5615" t="s">
        <v>11181</v>
      </c>
      <c r="C5615" s="1">
        <v>45911</v>
      </c>
      <c r="D5615" t="s">
        <v>11182</v>
      </c>
      <c r="E5615" s="2">
        <v>40000</v>
      </c>
      <c r="G5615" s="3">
        <f>MONTH(Tabela1[[#This Row],[Último pagto ano]])</f>
        <v>9</v>
      </c>
      <c r="H5615" t="str">
        <f>TEXT(Tabela1[[#This Row],[Coluna2]]*29,"mmmm")</f>
        <v>setembro</v>
      </c>
      <c r="I5615" t="str">
        <f>TEXT(MONTH(Tabela1[[#This Row],[Último pagto ano]])*29,"mmmm")</f>
        <v>setembro</v>
      </c>
    </row>
    <row r="5616" spans="1:9" x14ac:dyDescent="0.25">
      <c r="A5616">
        <v>2025</v>
      </c>
      <c r="B5616" t="s">
        <v>11183</v>
      </c>
      <c r="C5616" s="1">
        <v>46014</v>
      </c>
      <c r="D5616" t="s">
        <v>11184</v>
      </c>
      <c r="E5616" s="2">
        <v>4025</v>
      </c>
      <c r="G5616" s="3">
        <f>MONTH(Tabela1[[#This Row],[Último pagto ano]])</f>
        <v>12</v>
      </c>
      <c r="H5616" t="str">
        <f>TEXT(Tabela1[[#This Row],[Coluna2]]*29,"mmmm")</f>
        <v>dezembro</v>
      </c>
      <c r="I5616" t="str">
        <f>TEXT(MONTH(Tabela1[[#This Row],[Último pagto ano]])*29,"mmmm")</f>
        <v>dezembro</v>
      </c>
    </row>
    <row r="5617" spans="1:9" x14ac:dyDescent="0.25">
      <c r="A5617">
        <v>2025</v>
      </c>
      <c r="B5617" t="s">
        <v>11185</v>
      </c>
      <c r="C5617" s="1">
        <v>46010</v>
      </c>
      <c r="D5617" t="s">
        <v>11186</v>
      </c>
      <c r="E5617" s="2">
        <v>4200</v>
      </c>
      <c r="G5617" s="3">
        <f>MONTH(Tabela1[[#This Row],[Último pagto ano]])</f>
        <v>12</v>
      </c>
      <c r="H5617" t="str">
        <f>TEXT(Tabela1[[#This Row],[Coluna2]]*29,"mmmm")</f>
        <v>dezembro</v>
      </c>
      <c r="I5617" t="str">
        <f>TEXT(MONTH(Tabela1[[#This Row],[Último pagto ano]])*29,"mmmm")</f>
        <v>dezembro</v>
      </c>
    </row>
    <row r="5618" spans="1:9" x14ac:dyDescent="0.25">
      <c r="A5618">
        <v>2025</v>
      </c>
      <c r="B5618" t="s">
        <v>11187</v>
      </c>
      <c r="C5618" s="1">
        <v>45771</v>
      </c>
      <c r="D5618" t="s">
        <v>11188</v>
      </c>
      <c r="E5618" s="2">
        <v>2800</v>
      </c>
      <c r="G5618" s="3">
        <f>MONTH(Tabela1[[#This Row],[Último pagto ano]])</f>
        <v>4</v>
      </c>
      <c r="H5618" t="str">
        <f>TEXT(Tabela1[[#This Row],[Coluna2]]*29,"mmmm")</f>
        <v>abril</v>
      </c>
      <c r="I5618" t="str">
        <f>TEXT(MONTH(Tabela1[[#This Row],[Último pagto ano]])*29,"mmmm")</f>
        <v>abril</v>
      </c>
    </row>
    <row r="5619" spans="1:9" x14ac:dyDescent="0.25">
      <c r="A5619">
        <v>2025</v>
      </c>
      <c r="B5619" t="s">
        <v>11189</v>
      </c>
      <c r="C5619" s="1">
        <v>45915</v>
      </c>
      <c r="D5619" t="s">
        <v>11190</v>
      </c>
      <c r="E5619" s="2">
        <v>5034.72</v>
      </c>
      <c r="G5619" s="3">
        <f>MONTH(Tabela1[[#This Row],[Último pagto ano]])</f>
        <v>9</v>
      </c>
      <c r="H5619" t="str">
        <f>TEXT(Tabela1[[#This Row],[Coluna2]]*29,"mmmm")</f>
        <v>setembro</v>
      </c>
      <c r="I5619" t="str">
        <f>TEXT(MONTH(Tabela1[[#This Row],[Último pagto ano]])*29,"mmmm")</f>
        <v>setembro</v>
      </c>
    </row>
    <row r="5620" spans="1:9" x14ac:dyDescent="0.25">
      <c r="A5620">
        <v>2025</v>
      </c>
      <c r="B5620" t="s">
        <v>11191</v>
      </c>
      <c r="C5620" s="1">
        <v>46010</v>
      </c>
      <c r="D5620" t="s">
        <v>11192</v>
      </c>
      <c r="E5620" s="2">
        <v>24000</v>
      </c>
      <c r="G5620" s="3">
        <f>MONTH(Tabela1[[#This Row],[Último pagto ano]])</f>
        <v>12</v>
      </c>
      <c r="H5620" t="str">
        <f>TEXT(Tabela1[[#This Row],[Coluna2]]*29,"mmmm")</f>
        <v>dezembro</v>
      </c>
      <c r="I5620" t="str">
        <f>TEXT(MONTH(Tabela1[[#This Row],[Último pagto ano]])*29,"mmmm")</f>
        <v>dezembro</v>
      </c>
    </row>
    <row r="5621" spans="1:9" x14ac:dyDescent="0.25">
      <c r="A5621">
        <v>2025</v>
      </c>
      <c r="B5621" t="s">
        <v>11193</v>
      </c>
      <c r="C5621" s="1">
        <v>46010</v>
      </c>
      <c r="D5621" t="s">
        <v>11194</v>
      </c>
      <c r="E5621" s="2">
        <v>7000</v>
      </c>
      <c r="G5621" s="3">
        <f>MONTH(Tabela1[[#This Row],[Último pagto ano]])</f>
        <v>12</v>
      </c>
      <c r="H5621" t="str">
        <f>TEXT(Tabela1[[#This Row],[Coluna2]]*29,"mmmm")</f>
        <v>dezembro</v>
      </c>
      <c r="I5621" t="str">
        <f>TEXT(MONTH(Tabela1[[#This Row],[Último pagto ano]])*29,"mmmm")</f>
        <v>dezembro</v>
      </c>
    </row>
    <row r="5622" spans="1:9" x14ac:dyDescent="0.25">
      <c r="A5622">
        <v>2025</v>
      </c>
      <c r="B5622" t="s">
        <v>11195</v>
      </c>
      <c r="C5622" s="1">
        <v>46006</v>
      </c>
      <c r="D5622" t="s">
        <v>11196</v>
      </c>
      <c r="E5622" s="2">
        <v>11610.36</v>
      </c>
      <c r="G5622" s="3">
        <f>MONTH(Tabela1[[#This Row],[Último pagto ano]])</f>
        <v>12</v>
      </c>
      <c r="H5622" t="str">
        <f>TEXT(Tabela1[[#This Row],[Coluna2]]*29,"mmmm")</f>
        <v>dezembro</v>
      </c>
      <c r="I5622" t="str">
        <f>TEXT(MONTH(Tabela1[[#This Row],[Último pagto ano]])*29,"mmmm")</f>
        <v>dezembro</v>
      </c>
    </row>
    <row r="5623" spans="1:9" x14ac:dyDescent="0.25">
      <c r="A5623">
        <v>2025</v>
      </c>
      <c r="B5623" t="s">
        <v>11197</v>
      </c>
      <c r="C5623" s="1">
        <v>45733</v>
      </c>
      <c r="D5623" t="s">
        <v>11198</v>
      </c>
      <c r="E5623" s="2">
        <v>1110.48</v>
      </c>
      <c r="G5623" s="3">
        <f>MONTH(Tabela1[[#This Row],[Último pagto ano]])</f>
        <v>3</v>
      </c>
      <c r="H5623" t="str">
        <f>TEXT(Tabela1[[#This Row],[Coluna2]]*29,"mmmm")</f>
        <v>março</v>
      </c>
      <c r="I5623" t="str">
        <f>TEXT(MONTH(Tabela1[[#This Row],[Último pagto ano]])*29,"mmmm")</f>
        <v>março</v>
      </c>
    </row>
    <row r="5624" spans="1:9" x14ac:dyDescent="0.25">
      <c r="A5624">
        <v>2025</v>
      </c>
      <c r="B5624" t="s">
        <v>11199</v>
      </c>
      <c r="C5624" s="1">
        <v>46006</v>
      </c>
      <c r="D5624" t="s">
        <v>11200</v>
      </c>
      <c r="E5624">
        <v>888.48</v>
      </c>
      <c r="G5624" s="3">
        <f>MONTH(Tabela1[[#This Row],[Último pagto ano]])</f>
        <v>12</v>
      </c>
      <c r="H5624" t="str">
        <f>TEXT(Tabela1[[#This Row],[Coluna2]]*29,"mmmm")</f>
        <v>dezembro</v>
      </c>
      <c r="I5624" t="str">
        <f>TEXT(MONTH(Tabela1[[#This Row],[Último pagto ano]])*29,"mmmm")</f>
        <v>dezembro</v>
      </c>
    </row>
    <row r="5625" spans="1:9" x14ac:dyDescent="0.25">
      <c r="A5625">
        <v>2025</v>
      </c>
      <c r="B5625" t="s">
        <v>11201</v>
      </c>
      <c r="C5625" s="1">
        <v>45996</v>
      </c>
      <c r="D5625" t="s">
        <v>11202</v>
      </c>
      <c r="E5625" s="2">
        <v>2000</v>
      </c>
      <c r="G5625" s="3">
        <f>MONTH(Tabela1[[#This Row],[Último pagto ano]])</f>
        <v>12</v>
      </c>
      <c r="H5625" t="str">
        <f>TEXT(Tabela1[[#This Row],[Coluna2]]*29,"mmmm")</f>
        <v>dezembro</v>
      </c>
      <c r="I5625" t="str">
        <f>TEXT(MONTH(Tabela1[[#This Row],[Último pagto ano]])*29,"mmmm")</f>
        <v>dezembro</v>
      </c>
    </row>
    <row r="5626" spans="1:9" x14ac:dyDescent="0.25">
      <c r="A5626">
        <v>2025</v>
      </c>
      <c r="B5626" t="s">
        <v>11203</v>
      </c>
      <c r="C5626" s="1">
        <v>46013</v>
      </c>
      <c r="D5626" t="s">
        <v>11204</v>
      </c>
      <c r="E5626">
        <v>385</v>
      </c>
      <c r="G5626" s="3">
        <f>MONTH(Tabela1[[#This Row],[Último pagto ano]])</f>
        <v>12</v>
      </c>
      <c r="H5626" t="str">
        <f>TEXT(Tabela1[[#This Row],[Coluna2]]*29,"mmmm")</f>
        <v>dezembro</v>
      </c>
      <c r="I5626" t="str">
        <f>TEXT(MONTH(Tabela1[[#This Row],[Último pagto ano]])*29,"mmmm")</f>
        <v>dezembro</v>
      </c>
    </row>
    <row r="5627" spans="1:9" x14ac:dyDescent="0.25">
      <c r="A5627">
        <v>2025</v>
      </c>
      <c r="B5627" t="s">
        <v>11205</v>
      </c>
      <c r="C5627" s="1">
        <v>46021</v>
      </c>
      <c r="D5627" t="s">
        <v>11206</v>
      </c>
      <c r="E5627" s="2">
        <v>14384.52</v>
      </c>
      <c r="G5627" s="3">
        <f>MONTH(Tabela1[[#This Row],[Último pagto ano]])</f>
        <v>12</v>
      </c>
      <c r="H5627" t="str">
        <f>TEXT(Tabela1[[#This Row],[Coluna2]]*29,"mmmm")</f>
        <v>dezembro</v>
      </c>
      <c r="I5627" t="str">
        <f>TEXT(MONTH(Tabela1[[#This Row],[Último pagto ano]])*29,"mmmm")</f>
        <v>dezembro</v>
      </c>
    </row>
    <row r="5628" spans="1:9" x14ac:dyDescent="0.25">
      <c r="A5628">
        <v>2025</v>
      </c>
      <c r="B5628" t="s">
        <v>11207</v>
      </c>
      <c r="C5628" s="1">
        <v>45832</v>
      </c>
      <c r="D5628" t="s">
        <v>11208</v>
      </c>
      <c r="E5628" s="2">
        <v>6000</v>
      </c>
      <c r="G5628" s="3">
        <f>MONTH(Tabela1[[#This Row],[Último pagto ano]])</f>
        <v>6</v>
      </c>
      <c r="H5628" t="str">
        <f>TEXT(Tabela1[[#This Row],[Coluna2]]*29,"mmmm")</f>
        <v>junho</v>
      </c>
      <c r="I5628" t="str">
        <f>TEXT(MONTH(Tabela1[[#This Row],[Último pagto ano]])*29,"mmmm")</f>
        <v>junho</v>
      </c>
    </row>
    <row r="5629" spans="1:9" x14ac:dyDescent="0.25">
      <c r="A5629">
        <v>2025</v>
      </c>
      <c r="B5629" t="s">
        <v>11209</v>
      </c>
      <c r="C5629" s="1">
        <v>45996</v>
      </c>
      <c r="D5629" t="s">
        <v>11210</v>
      </c>
      <c r="E5629" s="2">
        <v>9000</v>
      </c>
      <c r="G5629" s="3">
        <f>MONTH(Tabela1[[#This Row],[Último pagto ano]])</f>
        <v>12</v>
      </c>
      <c r="H5629" t="str">
        <f>TEXT(Tabela1[[#This Row],[Coluna2]]*29,"mmmm")</f>
        <v>dezembro</v>
      </c>
      <c r="I5629" t="str">
        <f>TEXT(MONTH(Tabela1[[#This Row],[Último pagto ano]])*29,"mmmm")</f>
        <v>dezembro</v>
      </c>
    </row>
    <row r="5630" spans="1:9" x14ac:dyDescent="0.25">
      <c r="A5630">
        <v>2025</v>
      </c>
      <c r="B5630" t="s">
        <v>11211</v>
      </c>
      <c r="C5630" s="1">
        <v>45674</v>
      </c>
      <c r="D5630" t="s">
        <v>11212</v>
      </c>
      <c r="E5630" s="2">
        <v>6517</v>
      </c>
      <c r="G5630" s="3">
        <f>MONTH(Tabela1[[#This Row],[Último pagto ano]])</f>
        <v>1</v>
      </c>
      <c r="H5630" t="str">
        <f>TEXT(Tabela1[[#This Row],[Coluna2]]*29,"mmmm")</f>
        <v>janeiro</v>
      </c>
      <c r="I5630" t="str">
        <f>TEXT(MONTH(Tabela1[[#This Row],[Último pagto ano]])*29,"mmmm")</f>
        <v>janeiro</v>
      </c>
    </row>
    <row r="5631" spans="1:9" x14ac:dyDescent="0.25">
      <c r="A5631">
        <v>2025</v>
      </c>
      <c r="B5631" t="s">
        <v>11213</v>
      </c>
      <c r="C5631" s="1">
        <v>46006</v>
      </c>
      <c r="D5631" t="s">
        <v>11214</v>
      </c>
      <c r="E5631" s="2">
        <v>2073.12</v>
      </c>
      <c r="G5631" s="3">
        <f>MONTH(Tabela1[[#This Row],[Último pagto ano]])</f>
        <v>12</v>
      </c>
      <c r="H5631" t="str">
        <f>TEXT(Tabela1[[#This Row],[Coluna2]]*29,"mmmm")</f>
        <v>dezembro</v>
      </c>
      <c r="I5631" t="str">
        <f>TEXT(MONTH(Tabela1[[#This Row],[Último pagto ano]])*29,"mmmm")</f>
        <v>dezembro</v>
      </c>
    </row>
    <row r="5632" spans="1:9" x14ac:dyDescent="0.25">
      <c r="A5632">
        <v>2025</v>
      </c>
      <c r="B5632" t="s">
        <v>11215</v>
      </c>
      <c r="C5632" s="1">
        <v>46006</v>
      </c>
      <c r="D5632" t="s">
        <v>11216</v>
      </c>
      <c r="E5632" s="2">
        <v>24840.17</v>
      </c>
      <c r="G5632" s="3">
        <f>MONTH(Tabela1[[#This Row],[Último pagto ano]])</f>
        <v>12</v>
      </c>
      <c r="H5632" t="str">
        <f>TEXT(Tabela1[[#This Row],[Coluna2]]*29,"mmmm")</f>
        <v>dezembro</v>
      </c>
      <c r="I5632" t="str">
        <f>TEXT(MONTH(Tabela1[[#This Row],[Último pagto ano]])*29,"mmmm")</f>
        <v>dezembro</v>
      </c>
    </row>
    <row r="5633" spans="1:9" x14ac:dyDescent="0.25">
      <c r="A5633">
        <v>2025</v>
      </c>
      <c r="B5633" t="s">
        <v>11217</v>
      </c>
      <c r="C5633" s="1">
        <v>45853</v>
      </c>
      <c r="D5633" t="s">
        <v>11218</v>
      </c>
      <c r="E5633" s="2">
        <v>2073.12</v>
      </c>
      <c r="G5633" s="3">
        <f>MONTH(Tabela1[[#This Row],[Último pagto ano]])</f>
        <v>7</v>
      </c>
      <c r="H5633" t="str">
        <f>TEXT(Tabela1[[#This Row],[Coluna2]]*29,"mmmm")</f>
        <v>julho</v>
      </c>
      <c r="I5633" t="str">
        <f>TEXT(MONTH(Tabela1[[#This Row],[Último pagto ano]])*29,"mmmm")</f>
        <v>julho</v>
      </c>
    </row>
    <row r="5634" spans="1:9" x14ac:dyDescent="0.25">
      <c r="A5634">
        <v>2025</v>
      </c>
      <c r="B5634" t="s">
        <v>11219</v>
      </c>
      <c r="C5634" s="1">
        <v>45814</v>
      </c>
      <c r="D5634" t="s">
        <v>11220</v>
      </c>
      <c r="E5634" s="2">
        <v>32400</v>
      </c>
      <c r="G5634" s="3">
        <f>MONTH(Tabela1[[#This Row],[Último pagto ano]])</f>
        <v>6</v>
      </c>
      <c r="H5634" t="str">
        <f>TEXT(Tabela1[[#This Row],[Coluna2]]*29,"mmmm")</f>
        <v>junho</v>
      </c>
      <c r="I5634" t="str">
        <f>TEXT(MONTH(Tabela1[[#This Row],[Último pagto ano]])*29,"mmmm")</f>
        <v>junho</v>
      </c>
    </row>
    <row r="5635" spans="1:9" x14ac:dyDescent="0.25">
      <c r="A5635">
        <v>2025</v>
      </c>
      <c r="B5635" t="s">
        <v>11221</v>
      </c>
      <c r="C5635" s="1">
        <v>45945</v>
      </c>
      <c r="D5635" t="s">
        <v>11222</v>
      </c>
      <c r="E5635">
        <v>875.2</v>
      </c>
      <c r="G5635" s="3">
        <f>MONTH(Tabela1[[#This Row],[Último pagto ano]])</f>
        <v>10</v>
      </c>
      <c r="H5635" t="str">
        <f>TEXT(Tabela1[[#This Row],[Coluna2]]*29,"mmmm")</f>
        <v>outubro</v>
      </c>
      <c r="I5635" t="str">
        <f>TEXT(MONTH(Tabela1[[#This Row],[Último pagto ano]])*29,"mmmm")</f>
        <v>outubro</v>
      </c>
    </row>
    <row r="5636" spans="1:9" x14ac:dyDescent="0.25">
      <c r="A5636">
        <v>2025</v>
      </c>
      <c r="B5636" t="s">
        <v>11223</v>
      </c>
      <c r="C5636" s="1">
        <v>45803</v>
      </c>
      <c r="D5636" t="s">
        <v>11224</v>
      </c>
      <c r="E5636" s="2">
        <v>7500</v>
      </c>
      <c r="G5636" s="3">
        <f>MONTH(Tabela1[[#This Row],[Último pagto ano]])</f>
        <v>5</v>
      </c>
      <c r="H5636" t="str">
        <f>TEXT(Tabela1[[#This Row],[Coluna2]]*29,"mmmm")</f>
        <v>maio</v>
      </c>
      <c r="I5636" t="str">
        <f>TEXT(MONTH(Tabela1[[#This Row],[Último pagto ano]])*29,"mmmm")</f>
        <v>maio</v>
      </c>
    </row>
    <row r="5637" spans="1:9" x14ac:dyDescent="0.25">
      <c r="A5637">
        <v>2025</v>
      </c>
      <c r="B5637" t="s">
        <v>11225</v>
      </c>
      <c r="C5637" s="1">
        <v>45999</v>
      </c>
      <c r="D5637" t="s">
        <v>11226</v>
      </c>
      <c r="E5637">
        <v>88</v>
      </c>
      <c r="G5637" s="3">
        <f>MONTH(Tabela1[[#This Row],[Último pagto ano]])</f>
        <v>12</v>
      </c>
      <c r="H5637" t="str">
        <f>TEXT(Tabela1[[#This Row],[Coluna2]]*29,"mmmm")</f>
        <v>dezembro</v>
      </c>
      <c r="I5637" t="str">
        <f>TEXT(MONTH(Tabela1[[#This Row],[Último pagto ano]])*29,"mmmm")</f>
        <v>dezembro</v>
      </c>
    </row>
    <row r="5638" spans="1:9" x14ac:dyDescent="0.25">
      <c r="A5638">
        <v>2025</v>
      </c>
      <c r="B5638" t="s">
        <v>11227</v>
      </c>
      <c r="C5638" s="1">
        <v>45681</v>
      </c>
      <c r="D5638" t="s">
        <v>11228</v>
      </c>
      <c r="E5638">
        <v>700</v>
      </c>
      <c r="G5638" s="3">
        <f>MONTH(Tabela1[[#This Row],[Último pagto ano]])</f>
        <v>1</v>
      </c>
      <c r="H5638" t="str">
        <f>TEXT(Tabela1[[#This Row],[Coluna2]]*29,"mmmm")</f>
        <v>janeiro</v>
      </c>
      <c r="I5638" t="str">
        <f>TEXT(MONTH(Tabela1[[#This Row],[Último pagto ano]])*29,"mmmm")</f>
        <v>janeiro</v>
      </c>
    </row>
    <row r="5639" spans="1:9" x14ac:dyDescent="0.25">
      <c r="A5639">
        <v>2025</v>
      </c>
      <c r="B5639" t="s">
        <v>11229</v>
      </c>
      <c r="C5639" s="1">
        <v>45979</v>
      </c>
      <c r="D5639" t="s">
        <v>11230</v>
      </c>
      <c r="E5639" s="2">
        <v>84949.92</v>
      </c>
      <c r="G5639" s="3">
        <f>MONTH(Tabela1[[#This Row],[Último pagto ano]])</f>
        <v>11</v>
      </c>
      <c r="H5639" t="str">
        <f>TEXT(Tabela1[[#This Row],[Coluna2]]*29,"mmmm")</f>
        <v>novembro</v>
      </c>
      <c r="I5639" t="str">
        <f>TEXT(MONTH(Tabela1[[#This Row],[Último pagto ano]])*29,"mmmm")</f>
        <v>novembro</v>
      </c>
    </row>
    <row r="5640" spans="1:9" x14ac:dyDescent="0.25">
      <c r="A5640">
        <v>2025</v>
      </c>
      <c r="B5640" t="s">
        <v>11231</v>
      </c>
      <c r="C5640" s="1">
        <v>46007</v>
      </c>
      <c r="D5640" t="s">
        <v>11232</v>
      </c>
      <c r="E5640" s="2">
        <v>175651.6</v>
      </c>
      <c r="G5640" s="3">
        <f>MONTH(Tabela1[[#This Row],[Último pagto ano]])</f>
        <v>12</v>
      </c>
      <c r="H5640" t="str">
        <f>TEXT(Tabela1[[#This Row],[Coluna2]]*29,"mmmm")</f>
        <v>dezembro</v>
      </c>
      <c r="I5640" t="str">
        <f>TEXT(MONTH(Tabela1[[#This Row],[Último pagto ano]])*29,"mmmm")</f>
        <v>dezembro</v>
      </c>
    </row>
    <row r="5641" spans="1:9" x14ac:dyDescent="0.25">
      <c r="A5641">
        <v>2025</v>
      </c>
      <c r="B5641" t="s">
        <v>11233</v>
      </c>
      <c r="C5641" s="1">
        <v>45769</v>
      </c>
      <c r="D5641" t="s">
        <v>11234</v>
      </c>
      <c r="E5641" s="2">
        <v>4021.34</v>
      </c>
      <c r="G5641" s="3">
        <f>MONTH(Tabela1[[#This Row],[Último pagto ano]])</f>
        <v>4</v>
      </c>
      <c r="H5641" t="str">
        <f>TEXT(Tabela1[[#This Row],[Coluna2]]*29,"mmmm")</f>
        <v>abril</v>
      </c>
      <c r="I5641" t="str">
        <f>TEXT(MONTH(Tabela1[[#This Row],[Último pagto ano]])*29,"mmmm")</f>
        <v>abril</v>
      </c>
    </row>
    <row r="5642" spans="1:9" x14ac:dyDescent="0.25">
      <c r="A5642">
        <v>2025</v>
      </c>
      <c r="B5642" t="s">
        <v>11235</v>
      </c>
      <c r="C5642" s="1">
        <v>45800</v>
      </c>
      <c r="D5642" t="s">
        <v>11236</v>
      </c>
      <c r="E5642">
        <v>239.36</v>
      </c>
      <c r="G5642" s="3">
        <f>MONTH(Tabela1[[#This Row],[Último pagto ano]])</f>
        <v>5</v>
      </c>
      <c r="H5642" t="str">
        <f>TEXT(Tabela1[[#This Row],[Coluna2]]*29,"mmmm")</f>
        <v>maio</v>
      </c>
      <c r="I5642" t="str">
        <f>TEXT(MONTH(Tabela1[[#This Row],[Último pagto ano]])*29,"mmmm")</f>
        <v>maio</v>
      </c>
    </row>
    <row r="5643" spans="1:9" x14ac:dyDescent="0.25">
      <c r="A5643">
        <v>2025</v>
      </c>
      <c r="B5643" t="s">
        <v>11237</v>
      </c>
      <c r="C5643" s="1">
        <v>45999</v>
      </c>
      <c r="D5643" t="s">
        <v>11238</v>
      </c>
      <c r="E5643">
        <v>66</v>
      </c>
      <c r="G5643" s="3">
        <f>MONTH(Tabela1[[#This Row],[Último pagto ano]])</f>
        <v>12</v>
      </c>
      <c r="H5643" t="str">
        <f>TEXT(Tabela1[[#This Row],[Coluna2]]*29,"mmmm")</f>
        <v>dezembro</v>
      </c>
      <c r="I5643" t="str">
        <f>TEXT(MONTH(Tabela1[[#This Row],[Último pagto ano]])*29,"mmmm")</f>
        <v>dezembro</v>
      </c>
    </row>
    <row r="5644" spans="1:9" x14ac:dyDescent="0.25">
      <c r="A5644">
        <v>2025</v>
      </c>
      <c r="B5644" t="s">
        <v>11239</v>
      </c>
      <c r="C5644" s="1">
        <v>46006</v>
      </c>
      <c r="D5644" t="s">
        <v>11240</v>
      </c>
      <c r="E5644">
        <v>330</v>
      </c>
      <c r="G5644" s="3">
        <f>MONTH(Tabela1[[#This Row],[Último pagto ano]])</f>
        <v>12</v>
      </c>
      <c r="H5644" t="str">
        <f>TEXT(Tabela1[[#This Row],[Coluna2]]*29,"mmmm")</f>
        <v>dezembro</v>
      </c>
      <c r="I5644" t="str">
        <f>TEXT(MONTH(Tabela1[[#This Row],[Último pagto ano]])*29,"mmmm")</f>
        <v>dezembro</v>
      </c>
    </row>
    <row r="5645" spans="1:9" x14ac:dyDescent="0.25">
      <c r="A5645">
        <v>2025</v>
      </c>
      <c r="B5645" t="s">
        <v>11241</v>
      </c>
      <c r="C5645" s="1">
        <v>45985</v>
      </c>
      <c r="D5645" t="s">
        <v>11242</v>
      </c>
      <c r="E5645">
        <v>154</v>
      </c>
      <c r="G5645" s="3">
        <f>MONTH(Tabela1[[#This Row],[Último pagto ano]])</f>
        <v>11</v>
      </c>
      <c r="H5645" t="str">
        <f>TEXT(Tabela1[[#This Row],[Coluna2]]*29,"mmmm")</f>
        <v>novembro</v>
      </c>
      <c r="I5645" t="str">
        <f>TEXT(MONTH(Tabela1[[#This Row],[Último pagto ano]])*29,"mmmm")</f>
        <v>novembro</v>
      </c>
    </row>
    <row r="5646" spans="1:9" x14ac:dyDescent="0.25">
      <c r="A5646">
        <v>2025</v>
      </c>
      <c r="B5646" t="s">
        <v>11243</v>
      </c>
      <c r="C5646" s="1">
        <v>45908</v>
      </c>
      <c r="D5646" t="s">
        <v>11244</v>
      </c>
      <c r="E5646">
        <v>44</v>
      </c>
      <c r="G5646" s="3">
        <f>MONTH(Tabela1[[#This Row],[Último pagto ano]])</f>
        <v>9</v>
      </c>
      <c r="H5646" t="str">
        <f>TEXT(Tabela1[[#This Row],[Coluna2]]*29,"mmmm")</f>
        <v>setembro</v>
      </c>
      <c r="I5646" t="str">
        <f>TEXT(MONTH(Tabela1[[#This Row],[Último pagto ano]])*29,"mmmm")</f>
        <v>setembro</v>
      </c>
    </row>
    <row r="5647" spans="1:9" x14ac:dyDescent="0.25">
      <c r="A5647">
        <v>2025</v>
      </c>
      <c r="B5647" t="s">
        <v>11245</v>
      </c>
      <c r="C5647" s="1">
        <v>45792</v>
      </c>
      <c r="D5647" t="s">
        <v>11246</v>
      </c>
      <c r="E5647">
        <v>222.12</v>
      </c>
      <c r="G5647" s="3">
        <f>MONTH(Tabela1[[#This Row],[Último pagto ano]])</f>
        <v>5</v>
      </c>
      <c r="H5647" t="str">
        <f>TEXT(Tabela1[[#This Row],[Coluna2]]*29,"mmmm")</f>
        <v>maio</v>
      </c>
      <c r="I5647" t="str">
        <f>TEXT(MONTH(Tabela1[[#This Row],[Último pagto ano]])*29,"mmmm")</f>
        <v>maio</v>
      </c>
    </row>
    <row r="5648" spans="1:9" x14ac:dyDescent="0.25">
      <c r="A5648">
        <v>2025</v>
      </c>
      <c r="B5648" t="s">
        <v>11247</v>
      </c>
      <c r="C5648" s="1">
        <v>46013</v>
      </c>
      <c r="D5648" t="s">
        <v>11248</v>
      </c>
      <c r="E5648" s="2">
        <v>6669</v>
      </c>
      <c r="G5648" s="3">
        <f>MONTH(Tabela1[[#This Row],[Último pagto ano]])</f>
        <v>12</v>
      </c>
      <c r="H5648" t="str">
        <f>TEXT(Tabela1[[#This Row],[Coluna2]]*29,"mmmm")</f>
        <v>dezembro</v>
      </c>
      <c r="I5648" t="str">
        <f>TEXT(MONTH(Tabela1[[#This Row],[Último pagto ano]])*29,"mmmm")</f>
        <v>dezembro</v>
      </c>
    </row>
    <row r="5649" spans="1:9" x14ac:dyDescent="0.25">
      <c r="A5649">
        <v>2025</v>
      </c>
      <c r="B5649" t="s">
        <v>11249</v>
      </c>
      <c r="C5649" s="1">
        <v>45810</v>
      </c>
      <c r="D5649" t="s">
        <v>11250</v>
      </c>
      <c r="E5649">
        <v>110</v>
      </c>
      <c r="G5649" s="3">
        <f>MONTH(Tabela1[[#This Row],[Último pagto ano]])</f>
        <v>6</v>
      </c>
      <c r="H5649" t="str">
        <f>TEXT(Tabela1[[#This Row],[Coluna2]]*29,"mmmm")</f>
        <v>junho</v>
      </c>
      <c r="I5649" t="str">
        <f>TEXT(MONTH(Tabela1[[#This Row],[Último pagto ano]])*29,"mmmm")</f>
        <v>junho</v>
      </c>
    </row>
    <row r="5650" spans="1:9" x14ac:dyDescent="0.25">
      <c r="A5650">
        <v>2025</v>
      </c>
      <c r="B5650" t="s">
        <v>11251</v>
      </c>
      <c r="C5650" s="1">
        <v>45810</v>
      </c>
      <c r="D5650" t="s">
        <v>11252</v>
      </c>
      <c r="E5650">
        <v>44</v>
      </c>
      <c r="G5650" s="3">
        <f>MONTH(Tabela1[[#This Row],[Último pagto ano]])</f>
        <v>6</v>
      </c>
      <c r="H5650" t="str">
        <f>TEXT(Tabela1[[#This Row],[Coluna2]]*29,"mmmm")</f>
        <v>junho</v>
      </c>
      <c r="I5650" t="str">
        <f>TEXT(MONTH(Tabela1[[#This Row],[Último pagto ano]])*29,"mmmm")</f>
        <v>junho</v>
      </c>
    </row>
    <row r="5651" spans="1:9" x14ac:dyDescent="0.25">
      <c r="A5651">
        <v>2025</v>
      </c>
      <c r="B5651" t="s">
        <v>11253</v>
      </c>
      <c r="C5651" s="1">
        <v>45880</v>
      </c>
      <c r="D5651" t="s">
        <v>11254</v>
      </c>
      <c r="E5651">
        <v>209</v>
      </c>
      <c r="G5651" s="3">
        <f>MONTH(Tabela1[[#This Row],[Último pagto ano]])</f>
        <v>8</v>
      </c>
      <c r="H5651" t="str">
        <f>TEXT(Tabela1[[#This Row],[Coluna2]]*29,"mmmm")</f>
        <v>agosto</v>
      </c>
      <c r="I5651" t="str">
        <f>TEXT(MONTH(Tabela1[[#This Row],[Último pagto ano]])*29,"mmmm")</f>
        <v>agosto</v>
      </c>
    </row>
    <row r="5652" spans="1:9" x14ac:dyDescent="0.25">
      <c r="A5652">
        <v>2025</v>
      </c>
      <c r="B5652" t="s">
        <v>11255</v>
      </c>
      <c r="C5652" s="1">
        <v>45726</v>
      </c>
      <c r="D5652" t="s">
        <v>11256</v>
      </c>
      <c r="E5652" s="2">
        <v>2300</v>
      </c>
      <c r="G5652" s="3">
        <f>MONTH(Tabela1[[#This Row],[Último pagto ano]])</f>
        <v>3</v>
      </c>
      <c r="H5652" t="str">
        <f>TEXT(Tabela1[[#This Row],[Coluna2]]*29,"mmmm")</f>
        <v>março</v>
      </c>
      <c r="I5652" t="str">
        <f>TEXT(MONTH(Tabela1[[#This Row],[Último pagto ano]])*29,"mmmm")</f>
        <v>março</v>
      </c>
    </row>
    <row r="5653" spans="1:9" x14ac:dyDescent="0.25">
      <c r="A5653">
        <v>2025</v>
      </c>
      <c r="B5653" t="s">
        <v>11257</v>
      </c>
      <c r="C5653" s="1">
        <v>46006</v>
      </c>
      <c r="D5653" t="s">
        <v>11258</v>
      </c>
      <c r="E5653" s="2">
        <v>7700</v>
      </c>
      <c r="G5653" s="3">
        <f>MONTH(Tabela1[[#This Row],[Último pagto ano]])</f>
        <v>12</v>
      </c>
      <c r="H5653" t="str">
        <f>TEXT(Tabela1[[#This Row],[Coluna2]]*29,"mmmm")</f>
        <v>dezembro</v>
      </c>
      <c r="I5653" t="str">
        <f>TEXT(MONTH(Tabela1[[#This Row],[Último pagto ano]])*29,"mmmm")</f>
        <v>dezembro</v>
      </c>
    </row>
    <row r="5654" spans="1:9" x14ac:dyDescent="0.25">
      <c r="A5654">
        <v>2025</v>
      </c>
      <c r="B5654" t="s">
        <v>11257</v>
      </c>
      <c r="C5654" s="1">
        <v>46006</v>
      </c>
      <c r="D5654" t="s">
        <v>11259</v>
      </c>
      <c r="E5654">
        <v>154</v>
      </c>
      <c r="G5654" s="3">
        <f>MONTH(Tabela1[[#This Row],[Último pagto ano]])</f>
        <v>12</v>
      </c>
      <c r="H5654" t="str">
        <f>TEXT(Tabela1[[#This Row],[Coluna2]]*29,"mmmm")</f>
        <v>dezembro</v>
      </c>
      <c r="I5654" t="str">
        <f>TEXT(MONTH(Tabela1[[#This Row],[Último pagto ano]])*29,"mmmm")</f>
        <v>dezembro</v>
      </c>
    </row>
    <row r="5655" spans="1:9" x14ac:dyDescent="0.25">
      <c r="A5655">
        <v>2025</v>
      </c>
      <c r="B5655" t="s">
        <v>11257</v>
      </c>
      <c r="C5655" s="1">
        <v>45782</v>
      </c>
      <c r="D5655" t="s">
        <v>11260</v>
      </c>
      <c r="E5655">
        <v>55.97</v>
      </c>
      <c r="G5655" s="3">
        <f>MONTH(Tabela1[[#This Row],[Último pagto ano]])</f>
        <v>5</v>
      </c>
      <c r="H5655" t="str">
        <f>TEXT(Tabela1[[#This Row],[Coluna2]]*29,"mmmm")</f>
        <v>maio</v>
      </c>
      <c r="I5655" t="str">
        <f>TEXT(MONTH(Tabela1[[#This Row],[Último pagto ano]])*29,"mmmm")</f>
        <v>maio</v>
      </c>
    </row>
    <row r="5656" spans="1:9" x14ac:dyDescent="0.25">
      <c r="A5656">
        <v>2025</v>
      </c>
      <c r="B5656" t="s">
        <v>11261</v>
      </c>
      <c r="C5656" s="1">
        <v>46014</v>
      </c>
      <c r="D5656" t="s">
        <v>11262</v>
      </c>
      <c r="E5656">
        <v>242</v>
      </c>
      <c r="G5656" s="3">
        <f>MONTH(Tabela1[[#This Row],[Último pagto ano]])</f>
        <v>12</v>
      </c>
      <c r="H5656" t="str">
        <f>TEXT(Tabela1[[#This Row],[Coluna2]]*29,"mmmm")</f>
        <v>dezembro</v>
      </c>
      <c r="I5656" t="str">
        <f>TEXT(MONTH(Tabela1[[#This Row],[Último pagto ano]])*29,"mmmm")</f>
        <v>dezembro</v>
      </c>
    </row>
    <row r="5657" spans="1:9" x14ac:dyDescent="0.25">
      <c r="A5657">
        <v>2025</v>
      </c>
      <c r="B5657" t="s">
        <v>11263</v>
      </c>
      <c r="C5657" s="1">
        <v>45800</v>
      </c>
      <c r="D5657" t="s">
        <v>11264</v>
      </c>
      <c r="E5657" s="2">
        <v>4389.5</v>
      </c>
      <c r="G5657" s="3">
        <f>MONTH(Tabela1[[#This Row],[Último pagto ano]])</f>
        <v>5</v>
      </c>
      <c r="H5657" t="str">
        <f>TEXT(Tabela1[[#This Row],[Coluna2]]*29,"mmmm")</f>
        <v>maio</v>
      </c>
      <c r="I5657" t="str">
        <f>TEXT(MONTH(Tabela1[[#This Row],[Último pagto ano]])*29,"mmmm")</f>
        <v>maio</v>
      </c>
    </row>
    <row r="5658" spans="1:9" x14ac:dyDescent="0.25">
      <c r="A5658">
        <v>2025</v>
      </c>
      <c r="B5658" t="s">
        <v>11265</v>
      </c>
      <c r="C5658" s="1">
        <v>46010</v>
      </c>
      <c r="D5658" t="s">
        <v>11266</v>
      </c>
      <c r="E5658" s="2">
        <v>12000</v>
      </c>
      <c r="G5658" s="3">
        <f>MONTH(Tabela1[[#This Row],[Último pagto ano]])</f>
        <v>12</v>
      </c>
      <c r="H5658" t="str">
        <f>TEXT(Tabela1[[#This Row],[Coluna2]]*29,"mmmm")</f>
        <v>dezembro</v>
      </c>
      <c r="I5658" t="str">
        <f>TEXT(MONTH(Tabela1[[#This Row],[Último pagto ano]])*29,"mmmm")</f>
        <v>dezembro</v>
      </c>
    </row>
    <row r="5659" spans="1:9" x14ac:dyDescent="0.25">
      <c r="A5659">
        <v>2025</v>
      </c>
      <c r="B5659" t="s">
        <v>11267</v>
      </c>
      <c r="C5659" s="1">
        <v>45954</v>
      </c>
      <c r="D5659" t="s">
        <v>11268</v>
      </c>
      <c r="E5659" s="2">
        <v>91084.32</v>
      </c>
      <c r="G5659" s="3">
        <f>MONTH(Tabela1[[#This Row],[Último pagto ano]])</f>
        <v>10</v>
      </c>
      <c r="H5659" t="str">
        <f>TEXT(Tabela1[[#This Row],[Coluna2]]*29,"mmmm")</f>
        <v>outubro</v>
      </c>
      <c r="I5659" t="str">
        <f>TEXT(MONTH(Tabela1[[#This Row],[Último pagto ano]])*29,"mmmm")</f>
        <v>outubro</v>
      </c>
    </row>
    <row r="5660" spans="1:9" x14ac:dyDescent="0.25">
      <c r="A5660">
        <v>2025</v>
      </c>
      <c r="B5660" t="s">
        <v>11269</v>
      </c>
      <c r="C5660" s="1">
        <v>46006</v>
      </c>
      <c r="D5660" t="s">
        <v>11270</v>
      </c>
      <c r="E5660">
        <v>77</v>
      </c>
      <c r="G5660" s="3">
        <f>MONTH(Tabela1[[#This Row],[Último pagto ano]])</f>
        <v>12</v>
      </c>
      <c r="H5660" t="str">
        <f>TEXT(Tabela1[[#This Row],[Coluna2]]*29,"mmmm")</f>
        <v>dezembro</v>
      </c>
      <c r="I5660" t="str">
        <f>TEXT(MONTH(Tabela1[[#This Row],[Último pagto ano]])*29,"mmmm")</f>
        <v>dezembro</v>
      </c>
    </row>
    <row r="5661" spans="1:9" x14ac:dyDescent="0.25">
      <c r="A5661">
        <v>2025</v>
      </c>
      <c r="B5661" t="s">
        <v>11271</v>
      </c>
      <c r="C5661" s="1">
        <v>45715</v>
      </c>
      <c r="D5661" t="s">
        <v>11272</v>
      </c>
      <c r="E5661">
        <v>44</v>
      </c>
      <c r="G5661" s="3">
        <f>MONTH(Tabela1[[#This Row],[Último pagto ano]])</f>
        <v>2</v>
      </c>
      <c r="H5661" t="str">
        <f>TEXT(Tabela1[[#This Row],[Coluna2]]*29,"mmmm")</f>
        <v>fevereiro</v>
      </c>
      <c r="I5661" t="str">
        <f>TEXT(MONTH(Tabela1[[#This Row],[Último pagto ano]])*29,"mmmm")</f>
        <v>fevereiro</v>
      </c>
    </row>
    <row r="5662" spans="1:9" x14ac:dyDescent="0.25">
      <c r="A5662">
        <v>2025</v>
      </c>
      <c r="B5662" t="s">
        <v>11273</v>
      </c>
      <c r="C5662" s="1">
        <v>45702</v>
      </c>
      <c r="D5662" t="s">
        <v>11274</v>
      </c>
      <c r="E5662">
        <v>33</v>
      </c>
      <c r="G5662" s="3">
        <f>MONTH(Tabela1[[#This Row],[Último pagto ano]])</f>
        <v>2</v>
      </c>
      <c r="H5662" t="str">
        <f>TEXT(Tabela1[[#This Row],[Coluna2]]*29,"mmmm")</f>
        <v>fevereiro</v>
      </c>
      <c r="I5662" t="str">
        <f>TEXT(MONTH(Tabela1[[#This Row],[Último pagto ano]])*29,"mmmm")</f>
        <v>fevereiro</v>
      </c>
    </row>
    <row r="5663" spans="1:9" x14ac:dyDescent="0.25">
      <c r="A5663">
        <v>2025</v>
      </c>
      <c r="B5663" t="s">
        <v>11275</v>
      </c>
      <c r="C5663" s="1">
        <v>45989</v>
      </c>
      <c r="D5663" t="s">
        <v>11276</v>
      </c>
      <c r="E5663" s="2">
        <v>10342.280000000001</v>
      </c>
      <c r="G5663" s="3">
        <f>MONTH(Tabela1[[#This Row],[Último pagto ano]])</f>
        <v>11</v>
      </c>
      <c r="H5663" t="str">
        <f>TEXT(Tabela1[[#This Row],[Coluna2]]*29,"mmmm")</f>
        <v>novembro</v>
      </c>
      <c r="I5663" t="str">
        <f>TEXT(MONTH(Tabela1[[#This Row],[Último pagto ano]])*29,"mmmm")</f>
        <v>novembro</v>
      </c>
    </row>
    <row r="5664" spans="1:9" x14ac:dyDescent="0.25">
      <c r="A5664">
        <v>2025</v>
      </c>
      <c r="B5664" t="s">
        <v>11277</v>
      </c>
      <c r="C5664" s="1">
        <v>46010</v>
      </c>
      <c r="D5664" t="s">
        <v>11278</v>
      </c>
      <c r="E5664" s="2">
        <v>12000</v>
      </c>
      <c r="G5664" s="3">
        <f>MONTH(Tabela1[[#This Row],[Último pagto ano]])</f>
        <v>12</v>
      </c>
      <c r="H5664" t="str">
        <f>TEXT(Tabela1[[#This Row],[Coluna2]]*29,"mmmm")</f>
        <v>dezembro</v>
      </c>
      <c r="I5664" t="str">
        <f>TEXT(MONTH(Tabela1[[#This Row],[Último pagto ano]])*29,"mmmm")</f>
        <v>dezembro</v>
      </c>
    </row>
    <row r="5665" spans="1:9" x14ac:dyDescent="0.25">
      <c r="A5665">
        <v>2025</v>
      </c>
      <c r="B5665" t="s">
        <v>11279</v>
      </c>
      <c r="C5665" s="1">
        <v>46013</v>
      </c>
      <c r="D5665" t="s">
        <v>11280</v>
      </c>
      <c r="E5665" s="2">
        <v>19379.400000000001</v>
      </c>
      <c r="G5665" s="3">
        <f>MONTH(Tabela1[[#This Row],[Último pagto ano]])</f>
        <v>12</v>
      </c>
      <c r="H5665" t="str">
        <f>TEXT(Tabela1[[#This Row],[Coluna2]]*29,"mmmm")</f>
        <v>dezembro</v>
      </c>
      <c r="I5665" t="str">
        <f>TEXT(MONTH(Tabela1[[#This Row],[Último pagto ano]])*29,"mmmm")</f>
        <v>dezembro</v>
      </c>
    </row>
    <row r="5666" spans="1:9" x14ac:dyDescent="0.25">
      <c r="A5666">
        <v>2025</v>
      </c>
      <c r="B5666" t="s">
        <v>11281</v>
      </c>
      <c r="C5666" s="1">
        <v>45803</v>
      </c>
      <c r="D5666" t="s">
        <v>11282</v>
      </c>
      <c r="E5666">
        <v>139.55000000000001</v>
      </c>
      <c r="G5666" s="3">
        <f>MONTH(Tabela1[[#This Row],[Último pagto ano]])</f>
        <v>5</v>
      </c>
      <c r="H5666" t="str">
        <f>TEXT(Tabela1[[#This Row],[Coluna2]]*29,"mmmm")</f>
        <v>maio</v>
      </c>
      <c r="I5666" t="str">
        <f>TEXT(MONTH(Tabela1[[#This Row],[Último pagto ano]])*29,"mmmm")</f>
        <v>maio</v>
      </c>
    </row>
    <row r="5667" spans="1:9" x14ac:dyDescent="0.25">
      <c r="A5667">
        <v>2025</v>
      </c>
      <c r="B5667" t="s">
        <v>11283</v>
      </c>
      <c r="C5667" s="1">
        <v>45894</v>
      </c>
      <c r="D5667" t="s">
        <v>11284</v>
      </c>
      <c r="E5667" s="2">
        <v>4300</v>
      </c>
      <c r="G5667" s="3">
        <f>MONTH(Tabela1[[#This Row],[Último pagto ano]])</f>
        <v>8</v>
      </c>
      <c r="H5667" t="str">
        <f>TEXT(Tabela1[[#This Row],[Coluna2]]*29,"mmmm")</f>
        <v>agosto</v>
      </c>
      <c r="I5667" t="str">
        <f>TEXT(MONTH(Tabela1[[#This Row],[Último pagto ano]])*29,"mmmm")</f>
        <v>agosto</v>
      </c>
    </row>
    <row r="5668" spans="1:9" x14ac:dyDescent="0.25">
      <c r="A5668">
        <v>2025</v>
      </c>
      <c r="B5668" t="s">
        <v>11285</v>
      </c>
      <c r="C5668" s="1">
        <v>45996</v>
      </c>
      <c r="D5668" t="s">
        <v>11286</v>
      </c>
      <c r="E5668" s="2">
        <v>2700</v>
      </c>
      <c r="G5668" s="3">
        <f>MONTH(Tabela1[[#This Row],[Último pagto ano]])</f>
        <v>12</v>
      </c>
      <c r="H5668" t="str">
        <f>TEXT(Tabela1[[#This Row],[Coluna2]]*29,"mmmm")</f>
        <v>dezembro</v>
      </c>
      <c r="I5668" t="str">
        <f>TEXT(MONTH(Tabela1[[#This Row],[Último pagto ano]])*29,"mmmm")</f>
        <v>dezembro</v>
      </c>
    </row>
    <row r="5669" spans="1:9" x14ac:dyDescent="0.25">
      <c r="A5669">
        <v>2025</v>
      </c>
      <c r="B5669" t="s">
        <v>11287</v>
      </c>
      <c r="C5669" s="1">
        <v>46010</v>
      </c>
      <c r="D5669" t="s">
        <v>11288</v>
      </c>
      <c r="E5669" s="2">
        <v>12000</v>
      </c>
      <c r="G5669" s="3">
        <f>MONTH(Tabela1[[#This Row],[Último pagto ano]])</f>
        <v>12</v>
      </c>
      <c r="H5669" t="str">
        <f>TEXT(Tabela1[[#This Row],[Coluna2]]*29,"mmmm")</f>
        <v>dezembro</v>
      </c>
      <c r="I5669" t="str">
        <f>TEXT(MONTH(Tabela1[[#This Row],[Último pagto ano]])*29,"mmmm")</f>
        <v>dezembro</v>
      </c>
    </row>
    <row r="5670" spans="1:9" x14ac:dyDescent="0.25">
      <c r="A5670">
        <v>2025</v>
      </c>
      <c r="B5670" t="s">
        <v>11289</v>
      </c>
      <c r="C5670" s="1">
        <v>46010</v>
      </c>
      <c r="D5670" t="s">
        <v>11290</v>
      </c>
      <c r="E5670" s="2">
        <v>8400</v>
      </c>
      <c r="G5670" s="3">
        <f>MONTH(Tabela1[[#This Row],[Último pagto ano]])</f>
        <v>12</v>
      </c>
      <c r="H5670" t="str">
        <f>TEXT(Tabela1[[#This Row],[Coluna2]]*29,"mmmm")</f>
        <v>dezembro</v>
      </c>
      <c r="I5670" t="str">
        <f>TEXT(MONTH(Tabela1[[#This Row],[Último pagto ano]])*29,"mmmm")</f>
        <v>dezembro</v>
      </c>
    </row>
    <row r="5671" spans="1:9" x14ac:dyDescent="0.25">
      <c r="A5671">
        <v>2025</v>
      </c>
      <c r="B5671" t="s">
        <v>11291</v>
      </c>
      <c r="C5671" s="1">
        <v>45782</v>
      </c>
      <c r="D5671" t="s">
        <v>11292</v>
      </c>
      <c r="E5671">
        <v>22</v>
      </c>
      <c r="G5671" s="3">
        <f>MONTH(Tabela1[[#This Row],[Último pagto ano]])</f>
        <v>5</v>
      </c>
      <c r="H5671" t="str">
        <f>TEXT(Tabela1[[#This Row],[Coluna2]]*29,"mmmm")</f>
        <v>maio</v>
      </c>
      <c r="I5671" t="str">
        <f>TEXT(MONTH(Tabela1[[#This Row],[Último pagto ano]])*29,"mmmm")</f>
        <v>maio</v>
      </c>
    </row>
    <row r="5672" spans="1:9" x14ac:dyDescent="0.25">
      <c r="A5672">
        <v>2025</v>
      </c>
      <c r="B5672" t="s">
        <v>11293</v>
      </c>
      <c r="C5672" s="1">
        <v>45838</v>
      </c>
      <c r="D5672" t="s">
        <v>11294</v>
      </c>
      <c r="E5672">
        <v>38.200000000000003</v>
      </c>
      <c r="G5672" s="3">
        <f>MONTH(Tabela1[[#This Row],[Último pagto ano]])</f>
        <v>6</v>
      </c>
      <c r="H5672" t="str">
        <f>TEXT(Tabela1[[#This Row],[Coluna2]]*29,"mmmm")</f>
        <v>junho</v>
      </c>
      <c r="I5672" t="str">
        <f>TEXT(MONTH(Tabela1[[#This Row],[Último pagto ano]])*29,"mmmm")</f>
        <v>junho</v>
      </c>
    </row>
    <row r="5673" spans="1:9" x14ac:dyDescent="0.25">
      <c r="A5673">
        <v>2025</v>
      </c>
      <c r="B5673" t="s">
        <v>11295</v>
      </c>
      <c r="C5673" s="1">
        <v>46006</v>
      </c>
      <c r="D5673" t="s">
        <v>11296</v>
      </c>
      <c r="E5673">
        <v>154</v>
      </c>
      <c r="G5673" s="3">
        <f>MONTH(Tabela1[[#This Row],[Último pagto ano]])</f>
        <v>12</v>
      </c>
      <c r="H5673" t="str">
        <f>TEXT(Tabela1[[#This Row],[Coluna2]]*29,"mmmm")</f>
        <v>dezembro</v>
      </c>
      <c r="I5673" t="str">
        <f>TEXT(MONTH(Tabela1[[#This Row],[Último pagto ano]])*29,"mmmm")</f>
        <v>dezembro</v>
      </c>
    </row>
    <row r="5674" spans="1:9" x14ac:dyDescent="0.25">
      <c r="A5674">
        <v>2025</v>
      </c>
      <c r="B5674" t="s">
        <v>11297</v>
      </c>
      <c r="C5674" s="1">
        <v>45769</v>
      </c>
      <c r="D5674" t="s">
        <v>11298</v>
      </c>
      <c r="E5674">
        <v>11</v>
      </c>
      <c r="G5674" s="3">
        <f>MONTH(Tabela1[[#This Row],[Último pagto ano]])</f>
        <v>4</v>
      </c>
      <c r="H5674" t="str">
        <f>TEXT(Tabela1[[#This Row],[Coluna2]]*29,"mmmm")</f>
        <v>abril</v>
      </c>
      <c r="I5674" t="str">
        <f>TEXT(MONTH(Tabela1[[#This Row],[Último pagto ano]])*29,"mmmm")</f>
        <v>abril</v>
      </c>
    </row>
    <row r="5675" spans="1:9" x14ac:dyDescent="0.25">
      <c r="A5675">
        <v>2025</v>
      </c>
      <c r="B5675" t="s">
        <v>11299</v>
      </c>
      <c r="C5675" s="1">
        <v>45950</v>
      </c>
      <c r="D5675" t="s">
        <v>11300</v>
      </c>
      <c r="E5675">
        <v>88</v>
      </c>
      <c r="G5675" s="3">
        <f>MONTH(Tabela1[[#This Row],[Último pagto ano]])</f>
        <v>10</v>
      </c>
      <c r="H5675" t="str">
        <f>TEXT(Tabela1[[#This Row],[Coluna2]]*29,"mmmm")</f>
        <v>outubro</v>
      </c>
      <c r="I5675" t="str">
        <f>TEXT(MONTH(Tabela1[[#This Row],[Último pagto ano]])*29,"mmmm")</f>
        <v>outubro</v>
      </c>
    </row>
    <row r="5676" spans="1:9" x14ac:dyDescent="0.25">
      <c r="A5676">
        <v>2025</v>
      </c>
      <c r="B5676" t="s">
        <v>11301</v>
      </c>
      <c r="C5676" s="1">
        <v>45803</v>
      </c>
      <c r="D5676" t="s">
        <v>11302</v>
      </c>
      <c r="E5676" s="2">
        <v>11043.15</v>
      </c>
      <c r="G5676" s="3">
        <f>MONTH(Tabela1[[#This Row],[Último pagto ano]])</f>
        <v>5</v>
      </c>
      <c r="H5676" t="str">
        <f>TEXT(Tabela1[[#This Row],[Coluna2]]*29,"mmmm")</f>
        <v>maio</v>
      </c>
      <c r="I5676" t="str">
        <f>TEXT(MONTH(Tabela1[[#This Row],[Último pagto ano]])*29,"mmmm")</f>
        <v>maio</v>
      </c>
    </row>
    <row r="5677" spans="1:9" x14ac:dyDescent="0.25">
      <c r="A5677">
        <v>2025</v>
      </c>
      <c r="B5677" t="s">
        <v>11303</v>
      </c>
      <c r="C5677" s="1">
        <v>46002</v>
      </c>
      <c r="D5677" t="s">
        <v>11304</v>
      </c>
      <c r="E5677" s="2">
        <v>58890.239999999998</v>
      </c>
      <c r="G5677" s="3">
        <f>MONTH(Tabela1[[#This Row],[Último pagto ano]])</f>
        <v>12</v>
      </c>
      <c r="H5677" t="str">
        <f>TEXT(Tabela1[[#This Row],[Coluna2]]*29,"mmmm")</f>
        <v>dezembro</v>
      </c>
      <c r="I5677" t="str">
        <f>TEXT(MONTH(Tabela1[[#This Row],[Último pagto ano]])*29,"mmmm")</f>
        <v>dezembro</v>
      </c>
    </row>
    <row r="5678" spans="1:9" x14ac:dyDescent="0.25">
      <c r="A5678">
        <v>2025</v>
      </c>
      <c r="B5678" t="s">
        <v>11305</v>
      </c>
      <c r="C5678" s="1">
        <v>45995</v>
      </c>
      <c r="D5678" t="s">
        <v>11306</v>
      </c>
      <c r="E5678" s="2">
        <v>33600</v>
      </c>
      <c r="G5678" s="3">
        <f>MONTH(Tabela1[[#This Row],[Último pagto ano]])</f>
        <v>12</v>
      </c>
      <c r="H5678" t="str">
        <f>TEXT(Tabela1[[#This Row],[Coluna2]]*29,"mmmm")</f>
        <v>dezembro</v>
      </c>
      <c r="I5678" t="str">
        <f>TEXT(MONTH(Tabela1[[#This Row],[Último pagto ano]])*29,"mmmm")</f>
        <v>dezembro</v>
      </c>
    </row>
    <row r="5679" spans="1:9" x14ac:dyDescent="0.25">
      <c r="A5679">
        <v>2025</v>
      </c>
      <c r="B5679" t="s">
        <v>11307</v>
      </c>
      <c r="C5679" s="1">
        <v>45989</v>
      </c>
      <c r="D5679" t="s">
        <v>11308</v>
      </c>
      <c r="E5679" s="2">
        <v>9079.0300000000007</v>
      </c>
      <c r="G5679" s="3">
        <f>MONTH(Tabela1[[#This Row],[Último pagto ano]])</f>
        <v>11</v>
      </c>
      <c r="H5679" t="str">
        <f>TEXT(Tabela1[[#This Row],[Coluna2]]*29,"mmmm")</f>
        <v>novembro</v>
      </c>
      <c r="I5679" t="str">
        <f>TEXT(MONTH(Tabela1[[#This Row],[Último pagto ano]])*29,"mmmm")</f>
        <v>novembro</v>
      </c>
    </row>
    <row r="5680" spans="1:9" x14ac:dyDescent="0.25">
      <c r="A5680">
        <v>2025</v>
      </c>
      <c r="B5680" t="s">
        <v>11309</v>
      </c>
      <c r="C5680" s="1">
        <v>45807</v>
      </c>
      <c r="D5680" t="s">
        <v>11310</v>
      </c>
      <c r="E5680" s="2">
        <v>4028.18</v>
      </c>
      <c r="G5680" s="3">
        <f>MONTH(Tabela1[[#This Row],[Último pagto ano]])</f>
        <v>5</v>
      </c>
      <c r="H5680" t="str">
        <f>TEXT(Tabela1[[#This Row],[Coluna2]]*29,"mmmm")</f>
        <v>maio</v>
      </c>
      <c r="I5680" t="str">
        <f>TEXT(MONTH(Tabela1[[#This Row],[Último pagto ano]])*29,"mmmm")</f>
        <v>maio</v>
      </c>
    </row>
    <row r="5681" spans="1:9" x14ac:dyDescent="0.25">
      <c r="A5681">
        <v>2025</v>
      </c>
      <c r="B5681" t="s">
        <v>11311</v>
      </c>
      <c r="C5681" s="1">
        <v>45803</v>
      </c>
      <c r="D5681" t="s">
        <v>11312</v>
      </c>
      <c r="E5681" s="2">
        <v>4000</v>
      </c>
      <c r="G5681" s="3">
        <f>MONTH(Tabela1[[#This Row],[Último pagto ano]])</f>
        <v>5</v>
      </c>
      <c r="H5681" t="str">
        <f>TEXT(Tabela1[[#This Row],[Coluna2]]*29,"mmmm")</f>
        <v>maio</v>
      </c>
      <c r="I5681" t="str">
        <f>TEXT(MONTH(Tabela1[[#This Row],[Último pagto ano]])*29,"mmmm")</f>
        <v>maio</v>
      </c>
    </row>
    <row r="5682" spans="1:9" x14ac:dyDescent="0.25">
      <c r="A5682">
        <v>2025</v>
      </c>
      <c r="B5682" t="s">
        <v>11313</v>
      </c>
      <c r="C5682" s="1">
        <v>45905</v>
      </c>
      <c r="D5682" t="s">
        <v>11314</v>
      </c>
      <c r="E5682" s="2">
        <v>12140</v>
      </c>
      <c r="G5682" s="3">
        <f>MONTH(Tabela1[[#This Row],[Último pagto ano]])</f>
        <v>9</v>
      </c>
      <c r="H5682" t="str">
        <f>TEXT(Tabela1[[#This Row],[Coluna2]]*29,"mmmm")</f>
        <v>setembro</v>
      </c>
      <c r="I5682" t="str">
        <f>TEXT(MONTH(Tabela1[[#This Row],[Último pagto ano]])*29,"mmmm")</f>
        <v>setembro</v>
      </c>
    </row>
    <row r="5683" spans="1:9" x14ac:dyDescent="0.25">
      <c r="A5683">
        <v>2025</v>
      </c>
      <c r="B5683" t="s">
        <v>11315</v>
      </c>
      <c r="C5683" s="1">
        <v>45929</v>
      </c>
      <c r="D5683" t="s">
        <v>11316</v>
      </c>
      <c r="E5683">
        <v>33</v>
      </c>
      <c r="G5683" s="3">
        <f>MONTH(Tabela1[[#This Row],[Último pagto ano]])</f>
        <v>9</v>
      </c>
      <c r="H5683" t="str">
        <f>TEXT(Tabela1[[#This Row],[Coluna2]]*29,"mmmm")</f>
        <v>setembro</v>
      </c>
      <c r="I5683" t="str">
        <f>TEXT(MONTH(Tabela1[[#This Row],[Último pagto ano]])*29,"mmmm")</f>
        <v>setembro</v>
      </c>
    </row>
    <row r="5684" spans="1:9" x14ac:dyDescent="0.25">
      <c r="A5684">
        <v>2025</v>
      </c>
      <c r="B5684" t="s">
        <v>11317</v>
      </c>
      <c r="C5684" s="1">
        <v>45996</v>
      </c>
      <c r="D5684" t="s">
        <v>11318</v>
      </c>
      <c r="E5684" s="2">
        <v>5000</v>
      </c>
      <c r="G5684" s="3">
        <f>MONTH(Tabela1[[#This Row],[Último pagto ano]])</f>
        <v>12</v>
      </c>
      <c r="H5684" t="str">
        <f>TEXT(Tabela1[[#This Row],[Coluna2]]*29,"mmmm")</f>
        <v>dezembro</v>
      </c>
      <c r="I5684" t="str">
        <f>TEXT(MONTH(Tabela1[[#This Row],[Último pagto ano]])*29,"mmmm")</f>
        <v>dezembro</v>
      </c>
    </row>
    <row r="5685" spans="1:9" x14ac:dyDescent="0.25">
      <c r="A5685">
        <v>2025</v>
      </c>
      <c r="B5685" t="s">
        <v>11319</v>
      </c>
      <c r="C5685" s="1">
        <v>45744</v>
      </c>
      <c r="D5685" t="s">
        <v>11320</v>
      </c>
      <c r="E5685" s="2">
        <v>3065.13</v>
      </c>
      <c r="G5685" s="3">
        <f>MONTH(Tabela1[[#This Row],[Último pagto ano]])</f>
        <v>3</v>
      </c>
      <c r="H5685" t="str">
        <f>TEXT(Tabela1[[#This Row],[Coluna2]]*29,"mmmm")</f>
        <v>março</v>
      </c>
      <c r="I5685" t="str">
        <f>TEXT(MONTH(Tabela1[[#This Row],[Último pagto ano]])*29,"mmmm")</f>
        <v>março</v>
      </c>
    </row>
    <row r="5686" spans="1:9" x14ac:dyDescent="0.25">
      <c r="A5686">
        <v>2025</v>
      </c>
      <c r="B5686" t="s">
        <v>11321</v>
      </c>
      <c r="C5686" s="1">
        <v>45894</v>
      </c>
      <c r="D5686" t="s">
        <v>11322</v>
      </c>
      <c r="E5686">
        <v>66</v>
      </c>
      <c r="G5686" s="3">
        <f>MONTH(Tabela1[[#This Row],[Último pagto ano]])</f>
        <v>8</v>
      </c>
      <c r="H5686" t="str">
        <f>TEXT(Tabela1[[#This Row],[Coluna2]]*29,"mmmm")</f>
        <v>agosto</v>
      </c>
      <c r="I5686" t="str">
        <f>TEXT(MONTH(Tabela1[[#This Row],[Último pagto ano]])*29,"mmmm")</f>
        <v>agosto</v>
      </c>
    </row>
    <row r="5687" spans="1:9" x14ac:dyDescent="0.25">
      <c r="A5687">
        <v>2025</v>
      </c>
      <c r="B5687" t="s">
        <v>11323</v>
      </c>
      <c r="C5687" s="1">
        <v>45702</v>
      </c>
      <c r="D5687" t="s">
        <v>11324</v>
      </c>
      <c r="E5687">
        <v>71.23</v>
      </c>
      <c r="G5687" s="3">
        <f>MONTH(Tabela1[[#This Row],[Último pagto ano]])</f>
        <v>2</v>
      </c>
      <c r="H5687" t="str">
        <f>TEXT(Tabela1[[#This Row],[Coluna2]]*29,"mmmm")</f>
        <v>fevereiro</v>
      </c>
      <c r="I5687" t="str">
        <f>TEXT(MONTH(Tabela1[[#This Row],[Último pagto ano]])*29,"mmmm")</f>
        <v>fevereiro</v>
      </c>
    </row>
    <row r="5688" spans="1:9" x14ac:dyDescent="0.25">
      <c r="A5688">
        <v>2025</v>
      </c>
      <c r="B5688" t="s">
        <v>11325</v>
      </c>
      <c r="C5688" s="1">
        <v>45989</v>
      </c>
      <c r="D5688" t="s">
        <v>11326</v>
      </c>
      <c r="E5688" s="2">
        <v>7181.57</v>
      </c>
      <c r="G5688" s="3">
        <f>MONTH(Tabela1[[#This Row],[Último pagto ano]])</f>
        <v>11</v>
      </c>
      <c r="H5688" t="str">
        <f>TEXT(Tabela1[[#This Row],[Coluna2]]*29,"mmmm")</f>
        <v>novembro</v>
      </c>
      <c r="I5688" t="str">
        <f>TEXT(MONTH(Tabela1[[#This Row],[Último pagto ano]])*29,"mmmm")</f>
        <v>novembro</v>
      </c>
    </row>
    <row r="5689" spans="1:9" x14ac:dyDescent="0.25">
      <c r="A5689">
        <v>2025</v>
      </c>
      <c r="B5689" t="s">
        <v>11327</v>
      </c>
      <c r="C5689" s="1">
        <v>45989</v>
      </c>
      <c r="D5689" t="s">
        <v>11328</v>
      </c>
      <c r="E5689" s="2">
        <v>5523.35</v>
      </c>
      <c r="G5689" s="3">
        <f>MONTH(Tabela1[[#This Row],[Último pagto ano]])</f>
        <v>11</v>
      </c>
      <c r="H5689" t="str">
        <f>TEXT(Tabela1[[#This Row],[Coluna2]]*29,"mmmm")</f>
        <v>novembro</v>
      </c>
      <c r="I5689" t="str">
        <f>TEXT(MONTH(Tabela1[[#This Row],[Último pagto ano]])*29,"mmmm")</f>
        <v>novembro</v>
      </c>
    </row>
    <row r="5690" spans="1:9" x14ac:dyDescent="0.25">
      <c r="A5690">
        <v>2025</v>
      </c>
      <c r="B5690" t="s">
        <v>11329</v>
      </c>
      <c r="C5690" s="1">
        <v>45964</v>
      </c>
      <c r="D5690" t="s">
        <v>11330</v>
      </c>
      <c r="E5690">
        <v>143</v>
      </c>
      <c r="G5690" s="3">
        <f>MONTH(Tabela1[[#This Row],[Último pagto ano]])</f>
        <v>11</v>
      </c>
      <c r="H5690" t="str">
        <f>TEXT(Tabela1[[#This Row],[Coluna2]]*29,"mmmm")</f>
        <v>novembro</v>
      </c>
      <c r="I5690" t="str">
        <f>TEXT(MONTH(Tabela1[[#This Row],[Último pagto ano]])*29,"mmmm")</f>
        <v>novembro</v>
      </c>
    </row>
    <row r="5691" spans="1:9" x14ac:dyDescent="0.25">
      <c r="A5691">
        <v>2025</v>
      </c>
      <c r="B5691" t="s">
        <v>11331</v>
      </c>
      <c r="C5691" s="1">
        <v>45989</v>
      </c>
      <c r="D5691" t="s">
        <v>11332</v>
      </c>
      <c r="E5691" s="2">
        <v>3137.37</v>
      </c>
      <c r="G5691" s="3">
        <f>MONTH(Tabela1[[#This Row],[Último pagto ano]])</f>
        <v>11</v>
      </c>
      <c r="H5691" t="str">
        <f>TEXT(Tabela1[[#This Row],[Coluna2]]*29,"mmmm")</f>
        <v>novembro</v>
      </c>
      <c r="I5691" t="str">
        <f>TEXT(MONTH(Tabela1[[#This Row],[Último pagto ano]])*29,"mmmm")</f>
        <v>novembro</v>
      </c>
    </row>
    <row r="5692" spans="1:9" x14ac:dyDescent="0.25">
      <c r="A5692">
        <v>2025</v>
      </c>
      <c r="B5692" t="s">
        <v>11333</v>
      </c>
      <c r="C5692" s="1">
        <v>46021</v>
      </c>
      <c r="D5692" t="s">
        <v>11334</v>
      </c>
      <c r="E5692" s="2">
        <v>12757.62</v>
      </c>
      <c r="G5692" s="3">
        <f>MONTH(Tabela1[[#This Row],[Último pagto ano]])</f>
        <v>12</v>
      </c>
      <c r="H5692" t="str">
        <f>TEXT(Tabela1[[#This Row],[Coluna2]]*29,"mmmm")</f>
        <v>dezembro</v>
      </c>
      <c r="I5692" t="str">
        <f>TEXT(MONTH(Tabela1[[#This Row],[Último pagto ano]])*29,"mmmm")</f>
        <v>dezembro</v>
      </c>
    </row>
    <row r="5693" spans="1:9" x14ac:dyDescent="0.25">
      <c r="A5693">
        <v>2025</v>
      </c>
      <c r="B5693" t="s">
        <v>11335</v>
      </c>
      <c r="C5693" s="1">
        <v>46021</v>
      </c>
      <c r="D5693" t="s">
        <v>11336</v>
      </c>
      <c r="E5693" s="2">
        <v>12713.54</v>
      </c>
      <c r="G5693" s="3">
        <f>MONTH(Tabela1[[#This Row],[Último pagto ano]])</f>
        <v>12</v>
      </c>
      <c r="H5693" t="str">
        <f>TEXT(Tabela1[[#This Row],[Coluna2]]*29,"mmmm")</f>
        <v>dezembro</v>
      </c>
      <c r="I5693" t="str">
        <f>TEXT(MONTH(Tabela1[[#This Row],[Último pagto ano]])*29,"mmmm")</f>
        <v>dezembro</v>
      </c>
    </row>
    <row r="5694" spans="1:9" x14ac:dyDescent="0.25">
      <c r="A5694">
        <v>2025</v>
      </c>
      <c r="B5694" t="s">
        <v>11337</v>
      </c>
      <c r="C5694" s="1">
        <v>46021</v>
      </c>
      <c r="D5694" t="s">
        <v>11338</v>
      </c>
      <c r="E5694" s="2">
        <v>5819.55</v>
      </c>
      <c r="G5694" s="3">
        <f>MONTH(Tabela1[[#This Row],[Último pagto ano]])</f>
        <v>12</v>
      </c>
      <c r="H5694" t="str">
        <f>TEXT(Tabela1[[#This Row],[Coluna2]]*29,"mmmm")</f>
        <v>dezembro</v>
      </c>
      <c r="I5694" t="str">
        <f>TEXT(MONTH(Tabela1[[#This Row],[Último pagto ano]])*29,"mmmm")</f>
        <v>dezembro</v>
      </c>
    </row>
    <row r="5695" spans="1:9" x14ac:dyDescent="0.25">
      <c r="A5695">
        <v>2025</v>
      </c>
      <c r="B5695" t="s">
        <v>11339</v>
      </c>
      <c r="C5695" s="1">
        <v>45996</v>
      </c>
      <c r="D5695" t="s">
        <v>11340</v>
      </c>
      <c r="E5695" s="2">
        <v>7000</v>
      </c>
      <c r="G5695" s="3">
        <f>MONTH(Tabela1[[#This Row],[Último pagto ano]])</f>
        <v>12</v>
      </c>
      <c r="H5695" t="str">
        <f>TEXT(Tabela1[[#This Row],[Coluna2]]*29,"mmmm")</f>
        <v>dezembro</v>
      </c>
      <c r="I5695" t="str">
        <f>TEXT(MONTH(Tabela1[[#This Row],[Último pagto ano]])*29,"mmmm")</f>
        <v>dezembro</v>
      </c>
    </row>
    <row r="5696" spans="1:9" x14ac:dyDescent="0.25">
      <c r="A5696">
        <v>2025</v>
      </c>
      <c r="B5696" t="s">
        <v>11341</v>
      </c>
      <c r="C5696" s="1">
        <v>45702</v>
      </c>
      <c r="D5696" t="s">
        <v>11342</v>
      </c>
      <c r="E5696">
        <v>592.33000000000004</v>
      </c>
      <c r="G5696" s="3">
        <f>MONTH(Tabela1[[#This Row],[Último pagto ano]])</f>
        <v>2</v>
      </c>
      <c r="H5696" t="str">
        <f>TEXT(Tabela1[[#This Row],[Coluna2]]*29,"mmmm")</f>
        <v>fevereiro</v>
      </c>
      <c r="I5696" t="str">
        <f>TEXT(MONTH(Tabela1[[#This Row],[Último pagto ano]])*29,"mmmm")</f>
        <v>fevereiro</v>
      </c>
    </row>
    <row r="5697" spans="1:9" x14ac:dyDescent="0.25">
      <c r="A5697">
        <v>2025</v>
      </c>
      <c r="B5697" t="s">
        <v>11343</v>
      </c>
      <c r="C5697" s="1">
        <v>45702</v>
      </c>
      <c r="D5697" t="s">
        <v>11344</v>
      </c>
      <c r="E5697">
        <v>132.24</v>
      </c>
      <c r="G5697" s="3">
        <f>MONTH(Tabela1[[#This Row],[Último pagto ano]])</f>
        <v>2</v>
      </c>
      <c r="H5697" t="str">
        <f>TEXT(Tabela1[[#This Row],[Coluna2]]*29,"mmmm")</f>
        <v>fevereiro</v>
      </c>
      <c r="I5697" t="str">
        <f>TEXT(MONTH(Tabela1[[#This Row],[Último pagto ano]])*29,"mmmm")</f>
        <v>fevereiro</v>
      </c>
    </row>
    <row r="5698" spans="1:9" x14ac:dyDescent="0.25">
      <c r="A5698">
        <v>2025</v>
      </c>
      <c r="B5698" t="s">
        <v>11345</v>
      </c>
      <c r="C5698" s="1">
        <v>45989</v>
      </c>
      <c r="D5698" t="s">
        <v>11346</v>
      </c>
      <c r="E5698" s="2">
        <v>3277.56</v>
      </c>
      <c r="G5698" s="3">
        <f>MONTH(Tabela1[[#This Row],[Último pagto ano]])</f>
        <v>11</v>
      </c>
      <c r="H5698" t="str">
        <f>TEXT(Tabela1[[#This Row],[Coluna2]]*29,"mmmm")</f>
        <v>novembro</v>
      </c>
      <c r="I5698" t="str">
        <f>TEXT(MONTH(Tabela1[[#This Row],[Último pagto ano]])*29,"mmmm")</f>
        <v>novembro</v>
      </c>
    </row>
    <row r="5699" spans="1:9" x14ac:dyDescent="0.25">
      <c r="A5699">
        <v>2025</v>
      </c>
      <c r="B5699" t="s">
        <v>11347</v>
      </c>
      <c r="C5699" s="1">
        <v>45996</v>
      </c>
      <c r="D5699" t="s">
        <v>11348</v>
      </c>
      <c r="E5699" s="2">
        <v>5950</v>
      </c>
      <c r="G5699" s="3">
        <f>MONTH(Tabela1[[#This Row],[Último pagto ano]])</f>
        <v>12</v>
      </c>
      <c r="H5699" t="str">
        <f>TEXT(Tabela1[[#This Row],[Coluna2]]*29,"mmmm")</f>
        <v>dezembro</v>
      </c>
      <c r="I5699" t="str">
        <f>TEXT(MONTH(Tabela1[[#This Row],[Último pagto ano]])*29,"mmmm")</f>
        <v>dezembro</v>
      </c>
    </row>
    <row r="5700" spans="1:9" x14ac:dyDescent="0.25">
      <c r="A5700">
        <v>2025</v>
      </c>
      <c r="B5700" t="s">
        <v>11349</v>
      </c>
      <c r="C5700" s="1">
        <v>45989</v>
      </c>
      <c r="D5700" t="s">
        <v>11350</v>
      </c>
      <c r="E5700" s="2">
        <v>11618.28</v>
      </c>
      <c r="G5700" s="3">
        <f>MONTH(Tabela1[[#This Row],[Último pagto ano]])</f>
        <v>11</v>
      </c>
      <c r="H5700" t="str">
        <f>TEXT(Tabela1[[#This Row],[Coluna2]]*29,"mmmm")</f>
        <v>novembro</v>
      </c>
      <c r="I5700" t="str">
        <f>TEXT(MONTH(Tabela1[[#This Row],[Último pagto ano]])*29,"mmmm")</f>
        <v>novembro</v>
      </c>
    </row>
    <row r="5701" spans="1:9" x14ac:dyDescent="0.25">
      <c r="A5701">
        <v>2025</v>
      </c>
      <c r="B5701" t="s">
        <v>11351</v>
      </c>
      <c r="C5701" s="1">
        <v>45989</v>
      </c>
      <c r="D5701" t="s">
        <v>11352</v>
      </c>
      <c r="E5701" s="2">
        <v>3279.62</v>
      </c>
      <c r="G5701" s="3">
        <f>MONTH(Tabela1[[#This Row],[Último pagto ano]])</f>
        <v>11</v>
      </c>
      <c r="H5701" t="str">
        <f>TEXT(Tabela1[[#This Row],[Coluna2]]*29,"mmmm")</f>
        <v>novembro</v>
      </c>
      <c r="I5701" t="str">
        <f>TEXT(MONTH(Tabela1[[#This Row],[Último pagto ano]])*29,"mmmm")</f>
        <v>novembro</v>
      </c>
    </row>
    <row r="5702" spans="1:9" x14ac:dyDescent="0.25">
      <c r="A5702">
        <v>2025</v>
      </c>
      <c r="B5702" t="s">
        <v>11353</v>
      </c>
      <c r="C5702" s="1">
        <v>45996</v>
      </c>
      <c r="D5702" t="s">
        <v>11354</v>
      </c>
      <c r="E5702" s="2">
        <v>8800</v>
      </c>
      <c r="G5702" s="3">
        <f>MONTH(Tabela1[[#This Row],[Último pagto ano]])</f>
        <v>12</v>
      </c>
      <c r="H5702" t="str">
        <f>TEXT(Tabela1[[#This Row],[Coluna2]]*29,"mmmm")</f>
        <v>dezembro</v>
      </c>
      <c r="I5702" t="str">
        <f>TEXT(MONTH(Tabela1[[#This Row],[Último pagto ano]])*29,"mmmm")</f>
        <v>dezembro</v>
      </c>
    </row>
    <row r="5703" spans="1:9" x14ac:dyDescent="0.25">
      <c r="A5703">
        <v>2025</v>
      </c>
      <c r="B5703" t="s">
        <v>11355</v>
      </c>
      <c r="C5703" s="1">
        <v>45936</v>
      </c>
      <c r="D5703" t="s">
        <v>11356</v>
      </c>
      <c r="E5703">
        <v>88</v>
      </c>
      <c r="G5703" s="3">
        <f>MONTH(Tabela1[[#This Row],[Último pagto ano]])</f>
        <v>10</v>
      </c>
      <c r="H5703" t="str">
        <f>TEXT(Tabela1[[#This Row],[Coluna2]]*29,"mmmm")</f>
        <v>outubro</v>
      </c>
      <c r="I5703" t="str">
        <f>TEXT(MONTH(Tabela1[[#This Row],[Último pagto ano]])*29,"mmmm")</f>
        <v>outubro</v>
      </c>
    </row>
    <row r="5704" spans="1:9" x14ac:dyDescent="0.25">
      <c r="A5704">
        <v>2025</v>
      </c>
      <c r="B5704" t="s">
        <v>11357</v>
      </c>
      <c r="C5704" s="1">
        <v>45894</v>
      </c>
      <c r="D5704" t="s">
        <v>11358</v>
      </c>
      <c r="E5704">
        <v>209.66</v>
      </c>
      <c r="G5704" s="3">
        <f>MONTH(Tabela1[[#This Row],[Último pagto ano]])</f>
        <v>8</v>
      </c>
      <c r="H5704" t="str">
        <f>TEXT(Tabela1[[#This Row],[Coluna2]]*29,"mmmm")</f>
        <v>agosto</v>
      </c>
      <c r="I5704" t="str">
        <f>TEXT(MONTH(Tabela1[[#This Row],[Último pagto ano]])*29,"mmmm")</f>
        <v>agosto</v>
      </c>
    </row>
    <row r="5705" spans="1:9" x14ac:dyDescent="0.25">
      <c r="A5705">
        <v>2025</v>
      </c>
      <c r="B5705" t="s">
        <v>11359</v>
      </c>
      <c r="C5705" s="1">
        <v>45810</v>
      </c>
      <c r="D5705" t="s">
        <v>11360</v>
      </c>
      <c r="E5705">
        <v>121</v>
      </c>
      <c r="G5705" s="3">
        <f>MONTH(Tabela1[[#This Row],[Último pagto ano]])</f>
        <v>6</v>
      </c>
      <c r="H5705" t="str">
        <f>TEXT(Tabela1[[#This Row],[Coluna2]]*29,"mmmm")</f>
        <v>junho</v>
      </c>
      <c r="I5705" t="str">
        <f>TEXT(MONTH(Tabela1[[#This Row],[Último pagto ano]])*29,"mmmm")</f>
        <v>junho</v>
      </c>
    </row>
    <row r="5706" spans="1:9" x14ac:dyDescent="0.25">
      <c r="A5706">
        <v>2025</v>
      </c>
      <c r="B5706" t="s">
        <v>11361</v>
      </c>
      <c r="C5706" s="1">
        <v>45862</v>
      </c>
      <c r="D5706" t="s">
        <v>11362</v>
      </c>
      <c r="E5706" s="2">
        <v>3033.17</v>
      </c>
      <c r="G5706" s="3">
        <f>MONTH(Tabela1[[#This Row],[Último pagto ano]])</f>
        <v>7</v>
      </c>
      <c r="H5706" t="str">
        <f>TEXT(Tabela1[[#This Row],[Coluna2]]*29,"mmmm")</f>
        <v>julho</v>
      </c>
      <c r="I5706" t="str">
        <f>TEXT(MONTH(Tabela1[[#This Row],[Último pagto ano]])*29,"mmmm")</f>
        <v>julho</v>
      </c>
    </row>
    <row r="5707" spans="1:9" x14ac:dyDescent="0.25">
      <c r="A5707">
        <v>2025</v>
      </c>
      <c r="B5707" t="s">
        <v>11363</v>
      </c>
      <c r="C5707" s="1">
        <v>45964</v>
      </c>
      <c r="D5707" t="s">
        <v>11364</v>
      </c>
      <c r="E5707">
        <v>110</v>
      </c>
      <c r="G5707" s="3">
        <f>MONTH(Tabela1[[#This Row],[Último pagto ano]])</f>
        <v>11</v>
      </c>
      <c r="H5707" t="str">
        <f>TEXT(Tabela1[[#This Row],[Coluna2]]*29,"mmmm")</f>
        <v>novembro</v>
      </c>
      <c r="I5707" t="str">
        <f>TEXT(MONTH(Tabela1[[#This Row],[Último pagto ano]])*29,"mmmm")</f>
        <v>novembro</v>
      </c>
    </row>
    <row r="5708" spans="1:9" x14ac:dyDescent="0.25">
      <c r="A5708">
        <v>2025</v>
      </c>
      <c r="B5708" t="s">
        <v>11365</v>
      </c>
      <c r="C5708" s="1">
        <v>45796</v>
      </c>
      <c r="D5708" t="s">
        <v>11366</v>
      </c>
      <c r="E5708" s="2">
        <v>7244.99</v>
      </c>
      <c r="G5708" s="3">
        <f>MONTH(Tabela1[[#This Row],[Último pagto ano]])</f>
        <v>5</v>
      </c>
      <c r="H5708" t="str">
        <f>TEXT(Tabela1[[#This Row],[Coluna2]]*29,"mmmm")</f>
        <v>maio</v>
      </c>
      <c r="I5708" t="str">
        <f>TEXT(MONTH(Tabela1[[#This Row],[Último pagto ano]])*29,"mmmm")</f>
        <v>maio</v>
      </c>
    </row>
    <row r="5709" spans="1:9" x14ac:dyDescent="0.25">
      <c r="A5709">
        <v>2025</v>
      </c>
      <c r="B5709" t="s">
        <v>11367</v>
      </c>
      <c r="C5709" s="1">
        <v>45996</v>
      </c>
      <c r="D5709" t="s">
        <v>11368</v>
      </c>
      <c r="E5709" s="2">
        <v>15000</v>
      </c>
      <c r="G5709" s="3">
        <f>MONTH(Tabela1[[#This Row],[Último pagto ano]])</f>
        <v>12</v>
      </c>
      <c r="H5709" t="str">
        <f>TEXT(Tabela1[[#This Row],[Coluna2]]*29,"mmmm")</f>
        <v>dezembro</v>
      </c>
      <c r="I5709" t="str">
        <f>TEXT(MONTH(Tabela1[[#This Row],[Último pagto ano]])*29,"mmmm")</f>
        <v>dezembro</v>
      </c>
    </row>
    <row r="5710" spans="1:9" x14ac:dyDescent="0.25">
      <c r="A5710">
        <v>2025</v>
      </c>
      <c r="B5710" t="s">
        <v>11369</v>
      </c>
      <c r="C5710" s="1">
        <v>46021</v>
      </c>
      <c r="D5710" t="s">
        <v>11370</v>
      </c>
      <c r="E5710" s="2">
        <v>16833.12</v>
      </c>
      <c r="G5710" s="3">
        <f>MONTH(Tabela1[[#This Row],[Último pagto ano]])</f>
        <v>12</v>
      </c>
      <c r="H5710" t="str">
        <f>TEXT(Tabela1[[#This Row],[Coluna2]]*29,"mmmm")</f>
        <v>dezembro</v>
      </c>
      <c r="I5710" t="str">
        <f>TEXT(MONTH(Tabela1[[#This Row],[Último pagto ano]])*29,"mmmm")</f>
        <v>dezembro</v>
      </c>
    </row>
    <row r="5711" spans="1:9" x14ac:dyDescent="0.25">
      <c r="A5711">
        <v>2025</v>
      </c>
      <c r="B5711" t="s">
        <v>11371</v>
      </c>
      <c r="C5711" s="1">
        <v>45824</v>
      </c>
      <c r="D5711" t="s">
        <v>11372</v>
      </c>
      <c r="E5711" s="2">
        <v>4128.2</v>
      </c>
      <c r="G5711" s="3">
        <f>MONTH(Tabela1[[#This Row],[Último pagto ano]])</f>
        <v>6</v>
      </c>
      <c r="H5711" t="str">
        <f>TEXT(Tabela1[[#This Row],[Coluna2]]*29,"mmmm")</f>
        <v>junho</v>
      </c>
      <c r="I5711" t="str">
        <f>TEXT(MONTH(Tabela1[[#This Row],[Último pagto ano]])*29,"mmmm")</f>
        <v>junho</v>
      </c>
    </row>
    <row r="5712" spans="1:9" x14ac:dyDescent="0.25">
      <c r="A5712">
        <v>2025</v>
      </c>
      <c r="B5712" t="s">
        <v>11373</v>
      </c>
      <c r="C5712" s="1">
        <v>45964</v>
      </c>
      <c r="D5712" t="s">
        <v>11374</v>
      </c>
      <c r="E5712">
        <v>22</v>
      </c>
      <c r="G5712" s="3">
        <f>MONTH(Tabela1[[#This Row],[Último pagto ano]])</f>
        <v>11</v>
      </c>
      <c r="H5712" t="str">
        <f>TEXT(Tabela1[[#This Row],[Coluna2]]*29,"mmmm")</f>
        <v>novembro</v>
      </c>
      <c r="I5712" t="str">
        <f>TEXT(MONTH(Tabela1[[#This Row],[Último pagto ano]])*29,"mmmm")</f>
        <v>novembro</v>
      </c>
    </row>
    <row r="5713" spans="1:9" x14ac:dyDescent="0.25">
      <c r="A5713">
        <v>2025</v>
      </c>
      <c r="B5713" t="s">
        <v>11375</v>
      </c>
      <c r="C5713" s="1">
        <v>45995</v>
      </c>
      <c r="D5713" t="s">
        <v>11376</v>
      </c>
      <c r="E5713">
        <v>836</v>
      </c>
      <c r="G5713" s="3">
        <f>MONTH(Tabela1[[#This Row],[Último pagto ano]])</f>
        <v>12</v>
      </c>
      <c r="H5713" t="str">
        <f>TEXT(Tabela1[[#This Row],[Coluna2]]*29,"mmmm")</f>
        <v>dezembro</v>
      </c>
      <c r="I5713" t="str">
        <f>TEXT(MONTH(Tabela1[[#This Row],[Último pagto ano]])*29,"mmmm")</f>
        <v>dezembro</v>
      </c>
    </row>
    <row r="5714" spans="1:9" x14ac:dyDescent="0.25">
      <c r="A5714">
        <v>2025</v>
      </c>
      <c r="B5714" t="s">
        <v>11377</v>
      </c>
      <c r="C5714" s="1">
        <v>45761</v>
      </c>
      <c r="D5714" t="s">
        <v>11378</v>
      </c>
      <c r="E5714" s="2">
        <v>1145.67</v>
      </c>
      <c r="G5714" s="3">
        <f>MONTH(Tabela1[[#This Row],[Último pagto ano]])</f>
        <v>4</v>
      </c>
      <c r="H5714" t="str">
        <f>TEXT(Tabela1[[#This Row],[Coluna2]]*29,"mmmm")</f>
        <v>abril</v>
      </c>
      <c r="I5714" t="str">
        <f>TEXT(MONTH(Tabela1[[#This Row],[Último pagto ano]])*29,"mmmm")</f>
        <v>abril</v>
      </c>
    </row>
    <row r="5715" spans="1:9" x14ac:dyDescent="0.25">
      <c r="A5715">
        <v>2025</v>
      </c>
      <c r="B5715" t="s">
        <v>11379</v>
      </c>
      <c r="C5715" s="1">
        <v>46013</v>
      </c>
      <c r="D5715" t="s">
        <v>11380</v>
      </c>
      <c r="E5715">
        <v>690.3</v>
      </c>
      <c r="G5715" s="3">
        <f>MONTH(Tabela1[[#This Row],[Último pagto ano]])</f>
        <v>12</v>
      </c>
      <c r="H5715" t="str">
        <f>TEXT(Tabela1[[#This Row],[Coluna2]]*29,"mmmm")</f>
        <v>dezembro</v>
      </c>
      <c r="I5715" t="str">
        <f>TEXT(MONTH(Tabela1[[#This Row],[Último pagto ano]])*29,"mmmm")</f>
        <v>dezembro</v>
      </c>
    </row>
    <row r="5716" spans="1:9" x14ac:dyDescent="0.25">
      <c r="A5716">
        <v>2025</v>
      </c>
      <c r="B5716" t="s">
        <v>11381</v>
      </c>
      <c r="C5716" s="1">
        <v>45915</v>
      </c>
      <c r="D5716" t="s">
        <v>11382</v>
      </c>
      <c r="E5716">
        <v>745</v>
      </c>
      <c r="G5716" s="3">
        <f>MONTH(Tabela1[[#This Row],[Último pagto ano]])</f>
        <v>9</v>
      </c>
      <c r="H5716" t="str">
        <f>TEXT(Tabela1[[#This Row],[Coluna2]]*29,"mmmm")</f>
        <v>setembro</v>
      </c>
      <c r="I5716" t="str">
        <f>TEXT(MONTH(Tabela1[[#This Row],[Último pagto ano]])*29,"mmmm")</f>
        <v>setembro</v>
      </c>
    </row>
    <row r="5717" spans="1:9" x14ac:dyDescent="0.25">
      <c r="A5717">
        <v>2025</v>
      </c>
      <c r="B5717" t="s">
        <v>11383</v>
      </c>
      <c r="C5717" s="1">
        <v>45985</v>
      </c>
      <c r="D5717" t="s">
        <v>11384</v>
      </c>
      <c r="E5717">
        <v>143</v>
      </c>
      <c r="G5717" s="3">
        <f>MONTH(Tabela1[[#This Row],[Último pagto ano]])</f>
        <v>11</v>
      </c>
      <c r="H5717" t="str">
        <f>TEXT(Tabela1[[#This Row],[Coluna2]]*29,"mmmm")</f>
        <v>novembro</v>
      </c>
      <c r="I5717" t="str">
        <f>TEXT(MONTH(Tabela1[[#This Row],[Último pagto ano]])*29,"mmmm")</f>
        <v>novembro</v>
      </c>
    </row>
    <row r="5718" spans="1:9" x14ac:dyDescent="0.25">
      <c r="A5718">
        <v>2025</v>
      </c>
      <c r="B5718" t="s">
        <v>11385</v>
      </c>
      <c r="C5718" s="1">
        <v>45782</v>
      </c>
      <c r="D5718" t="s">
        <v>11386</v>
      </c>
      <c r="E5718">
        <v>0.67</v>
      </c>
      <c r="G5718" s="3">
        <f>MONTH(Tabela1[[#This Row],[Último pagto ano]])</f>
        <v>5</v>
      </c>
      <c r="H5718" t="str">
        <f>TEXT(Tabela1[[#This Row],[Coluna2]]*29,"mmmm")</f>
        <v>maio</v>
      </c>
      <c r="I5718" t="str">
        <f>TEXT(MONTH(Tabela1[[#This Row],[Último pagto ano]])*29,"mmmm")</f>
        <v>maio</v>
      </c>
    </row>
    <row r="5719" spans="1:9" x14ac:dyDescent="0.25">
      <c r="A5719">
        <v>2025</v>
      </c>
      <c r="B5719" t="s">
        <v>11387</v>
      </c>
      <c r="C5719" s="1">
        <v>45702</v>
      </c>
      <c r="D5719" t="s">
        <v>11388</v>
      </c>
      <c r="E5719">
        <v>3.2</v>
      </c>
      <c r="G5719" s="3">
        <f>MONTH(Tabela1[[#This Row],[Último pagto ano]])</f>
        <v>2</v>
      </c>
      <c r="H5719" t="str">
        <f>TEXT(Tabela1[[#This Row],[Coluna2]]*29,"mmmm")</f>
        <v>fevereiro</v>
      </c>
      <c r="I5719" t="str">
        <f>TEXT(MONTH(Tabela1[[#This Row],[Último pagto ano]])*29,"mmmm")</f>
        <v>fevereiro</v>
      </c>
    </row>
    <row r="5720" spans="1:9" x14ac:dyDescent="0.25">
      <c r="A5720">
        <v>2025</v>
      </c>
      <c r="B5720" t="s">
        <v>11389</v>
      </c>
      <c r="C5720" s="1">
        <v>46002</v>
      </c>
      <c r="D5720" t="s">
        <v>11390</v>
      </c>
      <c r="E5720" s="2">
        <v>34939.699999999997</v>
      </c>
      <c r="G5720" s="3">
        <f>MONTH(Tabela1[[#This Row],[Último pagto ano]])</f>
        <v>12</v>
      </c>
      <c r="H5720" t="str">
        <f>TEXT(Tabela1[[#This Row],[Coluna2]]*29,"mmmm")</f>
        <v>dezembro</v>
      </c>
      <c r="I5720" t="str">
        <f>TEXT(MONTH(Tabela1[[#This Row],[Último pagto ano]])*29,"mmmm")</f>
        <v>dezembro</v>
      </c>
    </row>
    <row r="5721" spans="1:9" x14ac:dyDescent="0.25">
      <c r="A5721">
        <v>2025</v>
      </c>
      <c r="B5721" t="s">
        <v>11391</v>
      </c>
      <c r="C5721" s="1">
        <v>45922</v>
      </c>
      <c r="D5721" t="s">
        <v>11392</v>
      </c>
      <c r="E5721">
        <v>22</v>
      </c>
      <c r="G5721" s="3">
        <f>MONTH(Tabela1[[#This Row],[Último pagto ano]])</f>
        <v>9</v>
      </c>
      <c r="H5721" t="str">
        <f>TEXT(Tabela1[[#This Row],[Coluna2]]*29,"mmmm")</f>
        <v>setembro</v>
      </c>
      <c r="I5721" t="str">
        <f>TEXT(MONTH(Tabela1[[#This Row],[Último pagto ano]])*29,"mmmm")</f>
        <v>setembro</v>
      </c>
    </row>
    <row r="5722" spans="1:9" x14ac:dyDescent="0.25">
      <c r="A5722">
        <v>2025</v>
      </c>
      <c r="B5722" t="s">
        <v>11393</v>
      </c>
      <c r="C5722" s="1">
        <v>46013</v>
      </c>
      <c r="D5722" t="s">
        <v>11394</v>
      </c>
      <c r="E5722">
        <v>291.60000000000002</v>
      </c>
      <c r="G5722" s="3">
        <f>MONTH(Tabela1[[#This Row],[Último pagto ano]])</f>
        <v>12</v>
      </c>
      <c r="H5722" t="str">
        <f>TEXT(Tabela1[[#This Row],[Coluna2]]*29,"mmmm")</f>
        <v>dezembro</v>
      </c>
      <c r="I5722" t="str">
        <f>TEXT(MONTH(Tabela1[[#This Row],[Último pagto ano]])*29,"mmmm")</f>
        <v>dezembro</v>
      </c>
    </row>
    <row r="5723" spans="1:9" x14ac:dyDescent="0.25">
      <c r="A5723">
        <v>2025</v>
      </c>
      <c r="B5723" t="s">
        <v>11395</v>
      </c>
      <c r="C5723" s="1">
        <v>45915</v>
      </c>
      <c r="D5723" t="s">
        <v>11396</v>
      </c>
      <c r="E5723">
        <v>264</v>
      </c>
      <c r="G5723" s="3">
        <f>MONTH(Tabela1[[#This Row],[Último pagto ano]])</f>
        <v>9</v>
      </c>
      <c r="H5723" t="str">
        <f>TEXT(Tabela1[[#This Row],[Coluna2]]*29,"mmmm")</f>
        <v>setembro</v>
      </c>
      <c r="I5723" t="str">
        <f>TEXT(MONTH(Tabela1[[#This Row],[Último pagto ano]])*29,"mmmm")</f>
        <v>setembro</v>
      </c>
    </row>
    <row r="5724" spans="1:9" x14ac:dyDescent="0.25">
      <c r="A5724">
        <v>2025</v>
      </c>
      <c r="B5724" t="s">
        <v>11397</v>
      </c>
      <c r="C5724" s="1">
        <v>45915</v>
      </c>
      <c r="D5724" t="s">
        <v>11398</v>
      </c>
      <c r="E5724">
        <v>154</v>
      </c>
      <c r="G5724" s="3">
        <f>MONTH(Tabela1[[#This Row],[Último pagto ano]])</f>
        <v>9</v>
      </c>
      <c r="H5724" t="str">
        <f>TEXT(Tabela1[[#This Row],[Coluna2]]*29,"mmmm")</f>
        <v>setembro</v>
      </c>
      <c r="I5724" t="str">
        <f>TEXT(MONTH(Tabela1[[#This Row],[Último pagto ano]])*29,"mmmm")</f>
        <v>setembro</v>
      </c>
    </row>
    <row r="5725" spans="1:9" x14ac:dyDescent="0.25">
      <c r="A5725">
        <v>2025</v>
      </c>
      <c r="B5725" t="s">
        <v>11399</v>
      </c>
      <c r="C5725" s="1">
        <v>45677</v>
      </c>
      <c r="D5725" t="s">
        <v>11400</v>
      </c>
      <c r="E5725" s="2">
        <v>6343.2</v>
      </c>
      <c r="G5725" s="3">
        <f>MONTH(Tabela1[[#This Row],[Último pagto ano]])</f>
        <v>1</v>
      </c>
      <c r="H5725" t="str">
        <f>TEXT(Tabela1[[#This Row],[Coluna2]]*29,"mmmm")</f>
        <v>janeiro</v>
      </c>
      <c r="I5725" t="str">
        <f>TEXT(MONTH(Tabela1[[#This Row],[Último pagto ano]])*29,"mmmm")</f>
        <v>janeiro</v>
      </c>
    </row>
    <row r="5726" spans="1:9" x14ac:dyDescent="0.25">
      <c r="A5726">
        <v>2025</v>
      </c>
      <c r="B5726" t="s">
        <v>11401</v>
      </c>
      <c r="C5726" s="1">
        <v>46006</v>
      </c>
      <c r="D5726" t="s">
        <v>11402</v>
      </c>
      <c r="E5726">
        <v>33</v>
      </c>
      <c r="G5726" s="3">
        <f>MONTH(Tabela1[[#This Row],[Último pagto ano]])</f>
        <v>12</v>
      </c>
      <c r="H5726" t="str">
        <f>TEXT(Tabela1[[#This Row],[Coluna2]]*29,"mmmm")</f>
        <v>dezembro</v>
      </c>
      <c r="I5726" t="str">
        <f>TEXT(MONTH(Tabela1[[#This Row],[Último pagto ano]])*29,"mmmm")</f>
        <v>dezembro</v>
      </c>
    </row>
    <row r="5727" spans="1:9" x14ac:dyDescent="0.25">
      <c r="A5727">
        <v>2025</v>
      </c>
      <c r="B5727" t="s">
        <v>11403</v>
      </c>
      <c r="C5727" s="1">
        <v>46006</v>
      </c>
      <c r="D5727" t="s">
        <v>11404</v>
      </c>
      <c r="E5727" s="2">
        <v>2800</v>
      </c>
      <c r="G5727" s="3">
        <f>MONTH(Tabela1[[#This Row],[Último pagto ano]])</f>
        <v>12</v>
      </c>
      <c r="H5727" t="str">
        <f>TEXT(Tabela1[[#This Row],[Coluna2]]*29,"mmmm")</f>
        <v>dezembro</v>
      </c>
      <c r="I5727" t="str">
        <f>TEXT(MONTH(Tabela1[[#This Row],[Último pagto ano]])*29,"mmmm")</f>
        <v>dezembro</v>
      </c>
    </row>
    <row r="5728" spans="1:9" x14ac:dyDescent="0.25">
      <c r="A5728">
        <v>2025</v>
      </c>
      <c r="B5728" t="s">
        <v>11405</v>
      </c>
      <c r="C5728" s="1">
        <v>45722</v>
      </c>
      <c r="D5728" t="s">
        <v>11406</v>
      </c>
      <c r="E5728">
        <v>11</v>
      </c>
      <c r="G5728" s="3">
        <f>MONTH(Tabela1[[#This Row],[Último pagto ano]])</f>
        <v>3</v>
      </c>
      <c r="H5728" t="str">
        <f>TEXT(Tabela1[[#This Row],[Coluna2]]*29,"mmmm")</f>
        <v>março</v>
      </c>
      <c r="I5728" t="str">
        <f>TEXT(MONTH(Tabela1[[#This Row],[Último pagto ano]])*29,"mmmm")</f>
        <v>março</v>
      </c>
    </row>
    <row r="5729" spans="1:9" x14ac:dyDescent="0.25">
      <c r="A5729">
        <v>2025</v>
      </c>
      <c r="B5729" t="s">
        <v>11407</v>
      </c>
      <c r="C5729" s="1">
        <v>45887</v>
      </c>
      <c r="D5729" t="s">
        <v>11408</v>
      </c>
      <c r="E5729">
        <v>33</v>
      </c>
      <c r="G5729" s="3">
        <f>MONTH(Tabela1[[#This Row],[Último pagto ano]])</f>
        <v>8</v>
      </c>
      <c r="H5729" t="str">
        <f>TEXT(Tabela1[[#This Row],[Coluna2]]*29,"mmmm")</f>
        <v>agosto</v>
      </c>
      <c r="I5729" t="str">
        <f>TEXT(MONTH(Tabela1[[#This Row],[Último pagto ano]])*29,"mmmm")</f>
        <v>agosto</v>
      </c>
    </row>
    <row r="5730" spans="1:9" x14ac:dyDescent="0.25">
      <c r="A5730">
        <v>2025</v>
      </c>
      <c r="B5730" t="s">
        <v>11409</v>
      </c>
      <c r="C5730" s="1">
        <v>45999</v>
      </c>
      <c r="D5730" t="s">
        <v>11410</v>
      </c>
      <c r="E5730">
        <v>253</v>
      </c>
      <c r="G5730" s="3">
        <f>MONTH(Tabela1[[#This Row],[Último pagto ano]])</f>
        <v>12</v>
      </c>
      <c r="H5730" t="str">
        <f>TEXT(Tabela1[[#This Row],[Coluna2]]*29,"mmmm")</f>
        <v>dezembro</v>
      </c>
      <c r="I5730" t="str">
        <f>TEXT(MONTH(Tabela1[[#This Row],[Último pagto ano]])*29,"mmmm")</f>
        <v>dezembro</v>
      </c>
    </row>
    <row r="5731" spans="1:9" x14ac:dyDescent="0.25">
      <c r="A5731">
        <v>2025</v>
      </c>
      <c r="B5731" t="s">
        <v>11411</v>
      </c>
      <c r="C5731" s="1">
        <v>46010</v>
      </c>
      <c r="D5731" t="s">
        <v>11412</v>
      </c>
      <c r="E5731" s="2">
        <v>8400</v>
      </c>
      <c r="G5731" s="3">
        <f>MONTH(Tabela1[[#This Row],[Último pagto ano]])</f>
        <v>12</v>
      </c>
      <c r="H5731" t="str">
        <f>TEXT(Tabela1[[#This Row],[Coluna2]]*29,"mmmm")</f>
        <v>dezembro</v>
      </c>
      <c r="I5731" t="str">
        <f>TEXT(MONTH(Tabela1[[#This Row],[Último pagto ano]])*29,"mmmm")</f>
        <v>dezembro</v>
      </c>
    </row>
    <row r="5732" spans="1:9" x14ac:dyDescent="0.25">
      <c r="A5732">
        <v>2025</v>
      </c>
      <c r="B5732" t="s">
        <v>11413</v>
      </c>
      <c r="C5732" s="1">
        <v>45950</v>
      </c>
      <c r="D5732" t="s">
        <v>11414</v>
      </c>
      <c r="E5732" s="2">
        <v>2040</v>
      </c>
      <c r="G5732" s="3">
        <f>MONTH(Tabela1[[#This Row],[Último pagto ano]])</f>
        <v>10</v>
      </c>
      <c r="H5732" t="str">
        <f>TEXT(Tabela1[[#This Row],[Coluna2]]*29,"mmmm")</f>
        <v>outubro</v>
      </c>
      <c r="I5732" t="str">
        <f>TEXT(MONTH(Tabela1[[#This Row],[Último pagto ano]])*29,"mmmm")</f>
        <v>outubro</v>
      </c>
    </row>
    <row r="5733" spans="1:9" x14ac:dyDescent="0.25">
      <c r="A5733">
        <v>2025</v>
      </c>
      <c r="B5733" t="s">
        <v>11415</v>
      </c>
      <c r="C5733" s="1">
        <v>46006</v>
      </c>
      <c r="D5733" t="s">
        <v>11416</v>
      </c>
      <c r="E5733" s="2">
        <v>4900</v>
      </c>
      <c r="G5733" s="3">
        <f>MONTH(Tabela1[[#This Row],[Último pagto ano]])</f>
        <v>12</v>
      </c>
      <c r="H5733" t="str">
        <f>TEXT(Tabela1[[#This Row],[Coluna2]]*29,"mmmm")</f>
        <v>dezembro</v>
      </c>
      <c r="I5733" t="str">
        <f>TEXT(MONTH(Tabela1[[#This Row],[Último pagto ano]])*29,"mmmm")</f>
        <v>dezembro</v>
      </c>
    </row>
    <row r="5734" spans="1:9" x14ac:dyDescent="0.25">
      <c r="A5734">
        <v>2025</v>
      </c>
      <c r="B5734" t="s">
        <v>11417</v>
      </c>
      <c r="C5734" s="1">
        <v>46010</v>
      </c>
      <c r="D5734" t="s">
        <v>11418</v>
      </c>
      <c r="E5734" s="2">
        <v>10300</v>
      </c>
      <c r="G5734" s="3">
        <f>MONTH(Tabela1[[#This Row],[Último pagto ano]])</f>
        <v>12</v>
      </c>
      <c r="H5734" t="str">
        <f>TEXT(Tabela1[[#This Row],[Coluna2]]*29,"mmmm")</f>
        <v>dezembro</v>
      </c>
      <c r="I5734" t="str">
        <f>TEXT(MONTH(Tabela1[[#This Row],[Último pagto ano]])*29,"mmmm")</f>
        <v>dezembro</v>
      </c>
    </row>
    <row r="5735" spans="1:9" x14ac:dyDescent="0.25">
      <c r="A5735">
        <v>2025</v>
      </c>
      <c r="B5735" t="s">
        <v>11419</v>
      </c>
      <c r="C5735" s="1">
        <v>46006</v>
      </c>
      <c r="D5735" t="s">
        <v>11420</v>
      </c>
      <c r="E5735" s="2">
        <v>7700</v>
      </c>
      <c r="G5735" s="3">
        <f>MONTH(Tabela1[[#This Row],[Último pagto ano]])</f>
        <v>12</v>
      </c>
      <c r="H5735" t="str">
        <f>TEXT(Tabela1[[#This Row],[Coluna2]]*29,"mmmm")</f>
        <v>dezembro</v>
      </c>
      <c r="I5735" t="str">
        <f>TEXT(MONTH(Tabela1[[#This Row],[Último pagto ano]])*29,"mmmm")</f>
        <v>dezembro</v>
      </c>
    </row>
    <row r="5736" spans="1:9" x14ac:dyDescent="0.25">
      <c r="A5736">
        <v>2025</v>
      </c>
      <c r="B5736" t="s">
        <v>11421</v>
      </c>
      <c r="C5736" s="1">
        <v>45754</v>
      </c>
      <c r="D5736" t="s">
        <v>11422</v>
      </c>
      <c r="E5736">
        <v>22</v>
      </c>
      <c r="G5736" s="3">
        <f>MONTH(Tabela1[[#This Row],[Último pagto ano]])</f>
        <v>4</v>
      </c>
      <c r="H5736" t="str">
        <f>TEXT(Tabela1[[#This Row],[Coluna2]]*29,"mmmm")</f>
        <v>abril</v>
      </c>
      <c r="I5736" t="str">
        <f>TEXT(MONTH(Tabela1[[#This Row],[Último pagto ano]])*29,"mmmm")</f>
        <v>abril</v>
      </c>
    </row>
    <row r="5737" spans="1:9" x14ac:dyDescent="0.25">
      <c r="A5737">
        <v>2025</v>
      </c>
      <c r="B5737" t="s">
        <v>11423</v>
      </c>
      <c r="C5737" s="1">
        <v>46006</v>
      </c>
      <c r="D5737" t="s">
        <v>11424</v>
      </c>
      <c r="E5737" s="2">
        <v>8400</v>
      </c>
      <c r="G5737" s="3">
        <f>MONTH(Tabela1[[#This Row],[Último pagto ano]])</f>
        <v>12</v>
      </c>
      <c r="H5737" t="str">
        <f>TEXT(Tabela1[[#This Row],[Coluna2]]*29,"mmmm")</f>
        <v>dezembro</v>
      </c>
      <c r="I5737" t="str">
        <f>TEXT(MONTH(Tabela1[[#This Row],[Último pagto ano]])*29,"mmmm")</f>
        <v>dezembro</v>
      </c>
    </row>
    <row r="5738" spans="1:9" x14ac:dyDescent="0.25">
      <c r="A5738">
        <v>2025</v>
      </c>
      <c r="B5738" t="s">
        <v>11425</v>
      </c>
      <c r="C5738" s="1">
        <v>45859</v>
      </c>
      <c r="D5738" t="s">
        <v>11426</v>
      </c>
      <c r="E5738" s="2">
        <v>13676.02</v>
      </c>
      <c r="G5738" s="3">
        <f>MONTH(Tabela1[[#This Row],[Último pagto ano]])</f>
        <v>7</v>
      </c>
      <c r="H5738" t="str">
        <f>TEXT(Tabela1[[#This Row],[Coluna2]]*29,"mmmm")</f>
        <v>julho</v>
      </c>
      <c r="I5738" t="str">
        <f>TEXT(MONTH(Tabela1[[#This Row],[Último pagto ano]])*29,"mmmm")</f>
        <v>julho</v>
      </c>
    </row>
    <row r="5739" spans="1:9" x14ac:dyDescent="0.25">
      <c r="A5739">
        <v>2025</v>
      </c>
      <c r="B5739" t="s">
        <v>11427</v>
      </c>
      <c r="C5739" s="1">
        <v>46010</v>
      </c>
      <c r="D5739" t="s">
        <v>11428</v>
      </c>
      <c r="E5739" s="2">
        <v>6500</v>
      </c>
      <c r="G5739" s="3">
        <f>MONTH(Tabela1[[#This Row],[Último pagto ano]])</f>
        <v>12</v>
      </c>
      <c r="H5739" t="str">
        <f>TEXT(Tabela1[[#This Row],[Coluna2]]*29,"mmmm")</f>
        <v>dezembro</v>
      </c>
      <c r="I5739" t="str">
        <f>TEXT(MONTH(Tabela1[[#This Row],[Último pagto ano]])*29,"mmmm")</f>
        <v>dezembro</v>
      </c>
    </row>
    <row r="5740" spans="1:9" x14ac:dyDescent="0.25">
      <c r="A5740">
        <v>2025</v>
      </c>
      <c r="B5740" t="s">
        <v>11429</v>
      </c>
      <c r="C5740" s="1">
        <v>45831</v>
      </c>
      <c r="D5740" t="s">
        <v>11430</v>
      </c>
      <c r="E5740" s="2">
        <v>2117.6999999999998</v>
      </c>
      <c r="G5740" s="3">
        <f>MONTH(Tabela1[[#This Row],[Último pagto ano]])</f>
        <v>6</v>
      </c>
      <c r="H5740" t="str">
        <f>TEXT(Tabela1[[#This Row],[Coluna2]]*29,"mmmm")</f>
        <v>junho</v>
      </c>
      <c r="I5740" t="str">
        <f>TEXT(MONTH(Tabela1[[#This Row],[Último pagto ano]])*29,"mmmm")</f>
        <v>junho</v>
      </c>
    </row>
    <row r="5741" spans="1:9" x14ac:dyDescent="0.25">
      <c r="A5741">
        <v>2025</v>
      </c>
      <c r="B5741" t="s">
        <v>11431</v>
      </c>
      <c r="C5741" s="1">
        <v>46006</v>
      </c>
      <c r="D5741" t="s">
        <v>11432</v>
      </c>
      <c r="E5741">
        <v>214.2</v>
      </c>
      <c r="G5741" s="3">
        <f>MONTH(Tabela1[[#This Row],[Último pagto ano]])</f>
        <v>12</v>
      </c>
      <c r="H5741" t="str">
        <f>TEXT(Tabela1[[#This Row],[Coluna2]]*29,"mmmm")</f>
        <v>dezembro</v>
      </c>
      <c r="I5741" t="str">
        <f>TEXT(MONTH(Tabela1[[#This Row],[Último pagto ano]])*29,"mmmm")</f>
        <v>dezembro</v>
      </c>
    </row>
    <row r="5742" spans="1:9" x14ac:dyDescent="0.25">
      <c r="A5742">
        <v>2025</v>
      </c>
      <c r="B5742" t="s">
        <v>11433</v>
      </c>
      <c r="C5742" s="1">
        <v>45971</v>
      </c>
      <c r="D5742" t="s">
        <v>11434</v>
      </c>
      <c r="E5742">
        <v>22</v>
      </c>
      <c r="G5742" s="3">
        <f>MONTH(Tabela1[[#This Row],[Último pagto ano]])</f>
        <v>11</v>
      </c>
      <c r="H5742" t="str">
        <f>TEXT(Tabela1[[#This Row],[Coluna2]]*29,"mmmm")</f>
        <v>novembro</v>
      </c>
      <c r="I5742" t="str">
        <f>TEXT(MONTH(Tabela1[[#This Row],[Último pagto ano]])*29,"mmmm")</f>
        <v>novembro</v>
      </c>
    </row>
    <row r="5743" spans="1:9" x14ac:dyDescent="0.25">
      <c r="A5743">
        <v>2025</v>
      </c>
      <c r="B5743" t="s">
        <v>11435</v>
      </c>
      <c r="C5743" s="1">
        <v>45835</v>
      </c>
      <c r="D5743" t="s">
        <v>11436</v>
      </c>
      <c r="E5743" s="2">
        <v>5452.92</v>
      </c>
      <c r="G5743" s="3">
        <f>MONTH(Tabela1[[#This Row],[Último pagto ano]])</f>
        <v>6</v>
      </c>
      <c r="H5743" t="str">
        <f>TEXT(Tabela1[[#This Row],[Coluna2]]*29,"mmmm")</f>
        <v>junho</v>
      </c>
      <c r="I5743" t="str">
        <f>TEXT(MONTH(Tabela1[[#This Row],[Último pagto ano]])*29,"mmmm")</f>
        <v>junho</v>
      </c>
    </row>
    <row r="5744" spans="1:9" x14ac:dyDescent="0.25">
      <c r="A5744">
        <v>2025</v>
      </c>
      <c r="B5744" t="s">
        <v>11437</v>
      </c>
      <c r="C5744" s="1">
        <v>45922</v>
      </c>
      <c r="D5744" t="s">
        <v>11438</v>
      </c>
      <c r="E5744">
        <v>121</v>
      </c>
      <c r="G5744" s="3">
        <f>MONTH(Tabela1[[#This Row],[Último pagto ano]])</f>
        <v>9</v>
      </c>
      <c r="H5744" t="str">
        <f>TEXT(Tabela1[[#This Row],[Coluna2]]*29,"mmmm")</f>
        <v>setembro</v>
      </c>
      <c r="I5744" t="str">
        <f>TEXT(MONTH(Tabela1[[#This Row],[Último pagto ano]])*29,"mmmm")</f>
        <v>setembro</v>
      </c>
    </row>
    <row r="5745" spans="1:9" x14ac:dyDescent="0.25">
      <c r="A5745">
        <v>2025</v>
      </c>
      <c r="B5745" t="s">
        <v>11439</v>
      </c>
      <c r="C5745" s="1">
        <v>45999</v>
      </c>
      <c r="D5745" t="s">
        <v>11440</v>
      </c>
      <c r="E5745">
        <v>198</v>
      </c>
      <c r="G5745" s="3">
        <f>MONTH(Tabela1[[#This Row],[Último pagto ano]])</f>
        <v>12</v>
      </c>
      <c r="H5745" t="str">
        <f>TEXT(Tabela1[[#This Row],[Coluna2]]*29,"mmmm")</f>
        <v>dezembro</v>
      </c>
      <c r="I5745" t="str">
        <f>TEXT(MONTH(Tabela1[[#This Row],[Último pagto ano]])*29,"mmmm")</f>
        <v>dezembro</v>
      </c>
    </row>
    <row r="5746" spans="1:9" x14ac:dyDescent="0.25">
      <c r="A5746">
        <v>2025</v>
      </c>
      <c r="B5746" t="s">
        <v>11441</v>
      </c>
      <c r="C5746" s="1">
        <v>45831</v>
      </c>
      <c r="D5746" t="s">
        <v>11442</v>
      </c>
      <c r="E5746" s="2">
        <v>1700.4</v>
      </c>
      <c r="G5746" s="3">
        <f>MONTH(Tabela1[[#This Row],[Último pagto ano]])</f>
        <v>6</v>
      </c>
      <c r="H5746" t="str">
        <f>TEXT(Tabela1[[#This Row],[Coluna2]]*29,"mmmm")</f>
        <v>junho</v>
      </c>
      <c r="I5746" t="str">
        <f>TEXT(MONTH(Tabela1[[#This Row],[Último pagto ano]])*29,"mmmm")</f>
        <v>junho</v>
      </c>
    </row>
    <row r="5747" spans="1:9" x14ac:dyDescent="0.25">
      <c r="A5747">
        <v>2025</v>
      </c>
      <c r="B5747" t="s">
        <v>11443</v>
      </c>
      <c r="C5747" s="1">
        <v>45994</v>
      </c>
      <c r="D5747" t="s">
        <v>11444</v>
      </c>
      <c r="E5747" s="2">
        <v>1423.14</v>
      </c>
      <c r="G5747" s="3">
        <f>MONTH(Tabela1[[#This Row],[Último pagto ano]])</f>
        <v>12</v>
      </c>
      <c r="H5747" t="str">
        <f>TEXT(Tabela1[[#This Row],[Coluna2]]*29,"mmmm")</f>
        <v>dezembro</v>
      </c>
      <c r="I5747" t="str">
        <f>TEXT(MONTH(Tabela1[[#This Row],[Último pagto ano]])*29,"mmmm")</f>
        <v>dezembro</v>
      </c>
    </row>
    <row r="5748" spans="1:9" x14ac:dyDescent="0.25">
      <c r="A5748">
        <v>2025</v>
      </c>
      <c r="B5748" t="s">
        <v>11445</v>
      </c>
      <c r="C5748" s="1">
        <v>46014</v>
      </c>
      <c r="D5748" t="s">
        <v>11446</v>
      </c>
      <c r="E5748" s="2">
        <v>30000</v>
      </c>
      <c r="G5748" s="3">
        <f>MONTH(Tabela1[[#This Row],[Último pagto ano]])</f>
        <v>12</v>
      </c>
      <c r="H5748" t="str">
        <f>TEXT(Tabela1[[#This Row],[Coluna2]]*29,"mmmm")</f>
        <v>dezembro</v>
      </c>
      <c r="I5748" t="str">
        <f>TEXT(MONTH(Tabela1[[#This Row],[Último pagto ano]])*29,"mmmm")</f>
        <v>dezembro</v>
      </c>
    </row>
    <row r="5749" spans="1:9" x14ac:dyDescent="0.25">
      <c r="A5749">
        <v>2025</v>
      </c>
      <c r="B5749" t="s">
        <v>11447</v>
      </c>
      <c r="C5749" s="1">
        <v>45954</v>
      </c>
      <c r="D5749" t="s">
        <v>11448</v>
      </c>
      <c r="E5749" s="2">
        <v>91779.199999999997</v>
      </c>
      <c r="G5749" s="3">
        <f>MONTH(Tabela1[[#This Row],[Último pagto ano]])</f>
        <v>10</v>
      </c>
      <c r="H5749" t="str">
        <f>TEXT(Tabela1[[#This Row],[Coluna2]]*29,"mmmm")</f>
        <v>outubro</v>
      </c>
      <c r="I5749" t="str">
        <f>TEXT(MONTH(Tabela1[[#This Row],[Último pagto ano]])*29,"mmmm")</f>
        <v>outubro</v>
      </c>
    </row>
    <row r="5750" spans="1:9" x14ac:dyDescent="0.25">
      <c r="A5750">
        <v>2025</v>
      </c>
      <c r="B5750" t="s">
        <v>11449</v>
      </c>
      <c r="C5750" s="1">
        <v>45835</v>
      </c>
      <c r="D5750" t="s">
        <v>11450</v>
      </c>
      <c r="E5750">
        <v>253</v>
      </c>
      <c r="G5750" s="3">
        <f>MONTH(Tabela1[[#This Row],[Último pagto ano]])</f>
        <v>6</v>
      </c>
      <c r="H5750" t="str">
        <f>TEXT(Tabela1[[#This Row],[Coluna2]]*29,"mmmm")</f>
        <v>junho</v>
      </c>
      <c r="I5750" t="str">
        <f>TEXT(MONTH(Tabela1[[#This Row],[Último pagto ano]])*29,"mmmm")</f>
        <v>junho</v>
      </c>
    </row>
    <row r="5751" spans="1:9" x14ac:dyDescent="0.25">
      <c r="A5751">
        <v>2025</v>
      </c>
      <c r="B5751" t="s">
        <v>11451</v>
      </c>
      <c r="C5751" s="1">
        <v>45838</v>
      </c>
      <c r="D5751" t="s">
        <v>11452</v>
      </c>
      <c r="E5751" s="2">
        <v>3445.93</v>
      </c>
      <c r="G5751" s="3">
        <f>MONTH(Tabela1[[#This Row],[Último pagto ano]])</f>
        <v>6</v>
      </c>
      <c r="H5751" t="str">
        <f>TEXT(Tabela1[[#This Row],[Coluna2]]*29,"mmmm")</f>
        <v>junho</v>
      </c>
      <c r="I5751" t="str">
        <f>TEXT(MONTH(Tabela1[[#This Row],[Último pagto ano]])*29,"mmmm")</f>
        <v>junho</v>
      </c>
    </row>
    <row r="5752" spans="1:9" x14ac:dyDescent="0.25">
      <c r="A5752">
        <v>2025</v>
      </c>
      <c r="B5752" t="s">
        <v>11453</v>
      </c>
      <c r="C5752" s="1">
        <v>45950</v>
      </c>
      <c r="D5752" t="s">
        <v>11454</v>
      </c>
      <c r="E5752">
        <v>22</v>
      </c>
      <c r="G5752" s="3">
        <f>MONTH(Tabela1[[#This Row],[Último pagto ano]])</f>
        <v>10</v>
      </c>
      <c r="H5752" t="str">
        <f>TEXT(Tabela1[[#This Row],[Coluna2]]*29,"mmmm")</f>
        <v>outubro</v>
      </c>
      <c r="I5752" t="str">
        <f>TEXT(MONTH(Tabela1[[#This Row],[Último pagto ano]])*29,"mmmm")</f>
        <v>outubro</v>
      </c>
    </row>
    <row r="5753" spans="1:9" x14ac:dyDescent="0.25">
      <c r="A5753">
        <v>2025</v>
      </c>
      <c r="B5753" t="s">
        <v>11455</v>
      </c>
      <c r="C5753" s="1">
        <v>45838</v>
      </c>
      <c r="D5753" t="s">
        <v>11456</v>
      </c>
      <c r="E5753">
        <v>22</v>
      </c>
      <c r="G5753" s="3">
        <f>MONTH(Tabela1[[#This Row],[Último pagto ano]])</f>
        <v>6</v>
      </c>
      <c r="H5753" t="str">
        <f>TEXT(Tabela1[[#This Row],[Coluna2]]*29,"mmmm")</f>
        <v>junho</v>
      </c>
      <c r="I5753" t="str">
        <f>TEXT(MONTH(Tabela1[[#This Row],[Último pagto ano]])*29,"mmmm")</f>
        <v>junho</v>
      </c>
    </row>
    <row r="5754" spans="1:9" x14ac:dyDescent="0.25">
      <c r="A5754">
        <v>2025</v>
      </c>
      <c r="B5754" t="s">
        <v>11457</v>
      </c>
      <c r="C5754" s="1">
        <v>45999</v>
      </c>
      <c r="D5754" t="s">
        <v>11458</v>
      </c>
      <c r="E5754">
        <v>33</v>
      </c>
      <c r="G5754" s="3">
        <f>MONTH(Tabela1[[#This Row],[Último pagto ano]])</f>
        <v>12</v>
      </c>
      <c r="H5754" t="str">
        <f>TEXT(Tabela1[[#This Row],[Coluna2]]*29,"mmmm")</f>
        <v>dezembro</v>
      </c>
      <c r="I5754" t="str">
        <f>TEXT(MONTH(Tabela1[[#This Row],[Último pagto ano]])*29,"mmmm")</f>
        <v>dezembro</v>
      </c>
    </row>
    <row r="5755" spans="1:9" x14ac:dyDescent="0.25">
      <c r="A5755">
        <v>2025</v>
      </c>
      <c r="B5755" t="s">
        <v>11459</v>
      </c>
      <c r="C5755" s="1">
        <v>45744</v>
      </c>
      <c r="D5755" t="s">
        <v>11460</v>
      </c>
      <c r="E5755" s="2">
        <v>68996.37</v>
      </c>
      <c r="G5755" s="3">
        <f>MONTH(Tabela1[[#This Row],[Último pagto ano]])</f>
        <v>3</v>
      </c>
      <c r="H5755" t="str">
        <f>TEXT(Tabela1[[#This Row],[Coluna2]]*29,"mmmm")</f>
        <v>março</v>
      </c>
      <c r="I5755" t="str">
        <f>TEXT(MONTH(Tabela1[[#This Row],[Último pagto ano]])*29,"mmmm")</f>
        <v>março</v>
      </c>
    </row>
    <row r="5756" spans="1:9" x14ac:dyDescent="0.25">
      <c r="A5756">
        <v>2025</v>
      </c>
      <c r="B5756" t="s">
        <v>11461</v>
      </c>
      <c r="C5756" s="1">
        <v>45936</v>
      </c>
      <c r="D5756" t="s">
        <v>11462</v>
      </c>
      <c r="E5756">
        <v>44</v>
      </c>
      <c r="G5756" s="3">
        <f>MONTH(Tabela1[[#This Row],[Último pagto ano]])</f>
        <v>10</v>
      </c>
      <c r="H5756" t="str">
        <f>TEXT(Tabela1[[#This Row],[Coluna2]]*29,"mmmm")</f>
        <v>outubro</v>
      </c>
      <c r="I5756" t="str">
        <f>TEXT(MONTH(Tabela1[[#This Row],[Último pagto ano]])*29,"mmmm")</f>
        <v>outubro</v>
      </c>
    </row>
    <row r="5757" spans="1:9" x14ac:dyDescent="0.25">
      <c r="A5757">
        <v>2025</v>
      </c>
      <c r="B5757" t="s">
        <v>11463</v>
      </c>
      <c r="C5757" s="1">
        <v>45989</v>
      </c>
      <c r="D5757" t="s">
        <v>11464</v>
      </c>
      <c r="E5757" s="2">
        <v>5400.53</v>
      </c>
      <c r="G5757" s="3">
        <f>MONTH(Tabela1[[#This Row],[Último pagto ano]])</f>
        <v>11</v>
      </c>
      <c r="H5757" t="str">
        <f>TEXT(Tabela1[[#This Row],[Coluna2]]*29,"mmmm")</f>
        <v>novembro</v>
      </c>
      <c r="I5757" t="str">
        <f>TEXT(MONTH(Tabela1[[#This Row],[Último pagto ano]])*29,"mmmm")</f>
        <v>novembro</v>
      </c>
    </row>
    <row r="5758" spans="1:9" x14ac:dyDescent="0.25">
      <c r="A5758">
        <v>2025</v>
      </c>
      <c r="B5758" t="s">
        <v>11465</v>
      </c>
      <c r="C5758" s="1">
        <v>45959</v>
      </c>
      <c r="D5758" t="s">
        <v>11466</v>
      </c>
      <c r="E5758" s="2">
        <v>93154.5</v>
      </c>
      <c r="G5758" s="3">
        <f>MONTH(Tabela1[[#This Row],[Último pagto ano]])</f>
        <v>10</v>
      </c>
      <c r="H5758" t="str">
        <f>TEXT(Tabela1[[#This Row],[Coluna2]]*29,"mmmm")</f>
        <v>outubro</v>
      </c>
      <c r="I5758" t="str">
        <f>TEXT(MONTH(Tabela1[[#This Row],[Último pagto ano]])*29,"mmmm")</f>
        <v>outubro</v>
      </c>
    </row>
    <row r="5759" spans="1:9" x14ac:dyDescent="0.25">
      <c r="A5759">
        <v>2025</v>
      </c>
      <c r="B5759" t="s">
        <v>11467</v>
      </c>
      <c r="C5759" s="1">
        <v>45989</v>
      </c>
      <c r="D5759" t="s">
        <v>11468</v>
      </c>
      <c r="E5759" s="2">
        <v>7271.24</v>
      </c>
      <c r="G5759" s="3">
        <f>MONTH(Tabela1[[#This Row],[Último pagto ano]])</f>
        <v>11</v>
      </c>
      <c r="H5759" t="str">
        <f>TEXT(Tabela1[[#This Row],[Coluna2]]*29,"mmmm")</f>
        <v>novembro</v>
      </c>
      <c r="I5759" t="str">
        <f>TEXT(MONTH(Tabela1[[#This Row],[Último pagto ano]])*29,"mmmm")</f>
        <v>novembro</v>
      </c>
    </row>
    <row r="5760" spans="1:9" x14ac:dyDescent="0.25">
      <c r="A5760">
        <v>2025</v>
      </c>
      <c r="B5760" t="s">
        <v>11469</v>
      </c>
      <c r="C5760" s="1">
        <v>45813</v>
      </c>
      <c r="D5760" t="s">
        <v>11470</v>
      </c>
      <c r="E5760" s="2">
        <v>4191.22</v>
      </c>
      <c r="G5760" s="3">
        <f>MONTH(Tabela1[[#This Row],[Último pagto ano]])</f>
        <v>6</v>
      </c>
      <c r="H5760" t="str">
        <f>TEXT(Tabela1[[#This Row],[Coluna2]]*29,"mmmm")</f>
        <v>junho</v>
      </c>
      <c r="I5760" t="str">
        <f>TEXT(MONTH(Tabela1[[#This Row],[Último pagto ano]])*29,"mmmm")</f>
        <v>junho</v>
      </c>
    </row>
    <row r="5761" spans="1:9" x14ac:dyDescent="0.25">
      <c r="A5761">
        <v>2025</v>
      </c>
      <c r="B5761" t="s">
        <v>11471</v>
      </c>
      <c r="C5761" s="1">
        <v>45989</v>
      </c>
      <c r="D5761" t="s">
        <v>11472</v>
      </c>
      <c r="E5761" s="2">
        <v>5393.55</v>
      </c>
      <c r="G5761" s="3">
        <f>MONTH(Tabela1[[#This Row],[Último pagto ano]])</f>
        <v>11</v>
      </c>
      <c r="H5761" t="str">
        <f>TEXT(Tabela1[[#This Row],[Coluna2]]*29,"mmmm")</f>
        <v>novembro</v>
      </c>
      <c r="I5761" t="str">
        <f>TEXT(MONTH(Tabela1[[#This Row],[Último pagto ano]])*29,"mmmm")</f>
        <v>novembro</v>
      </c>
    </row>
    <row r="5762" spans="1:9" x14ac:dyDescent="0.25">
      <c r="A5762">
        <v>2025</v>
      </c>
      <c r="B5762" t="s">
        <v>11473</v>
      </c>
      <c r="C5762" s="1">
        <v>45996</v>
      </c>
      <c r="D5762" t="s">
        <v>11474</v>
      </c>
      <c r="E5762" s="2">
        <v>2000</v>
      </c>
      <c r="G5762" s="3">
        <f>MONTH(Tabela1[[#This Row],[Último pagto ano]])</f>
        <v>12</v>
      </c>
      <c r="H5762" t="str">
        <f>TEXT(Tabela1[[#This Row],[Coluna2]]*29,"mmmm")</f>
        <v>dezembro</v>
      </c>
      <c r="I5762" t="str">
        <f>TEXT(MONTH(Tabela1[[#This Row],[Último pagto ano]])*29,"mmmm")</f>
        <v>dezembro</v>
      </c>
    </row>
    <row r="5763" spans="1:9" x14ac:dyDescent="0.25">
      <c r="A5763">
        <v>2025</v>
      </c>
      <c r="B5763" t="s">
        <v>11475</v>
      </c>
      <c r="C5763" s="1">
        <v>45996</v>
      </c>
      <c r="D5763" t="s">
        <v>11476</v>
      </c>
      <c r="E5763" s="2">
        <v>2000</v>
      </c>
      <c r="G5763" s="3">
        <f>MONTH(Tabela1[[#This Row],[Último pagto ano]])</f>
        <v>12</v>
      </c>
      <c r="H5763" t="str">
        <f>TEXT(Tabela1[[#This Row],[Coluna2]]*29,"mmmm")</f>
        <v>dezembro</v>
      </c>
      <c r="I5763" t="str">
        <f>TEXT(MONTH(Tabela1[[#This Row],[Último pagto ano]])*29,"mmmm")</f>
        <v>dezembro</v>
      </c>
    </row>
    <row r="5764" spans="1:9" x14ac:dyDescent="0.25">
      <c r="A5764">
        <v>2025</v>
      </c>
      <c r="B5764" t="s">
        <v>11477</v>
      </c>
      <c r="C5764" s="1">
        <v>45803</v>
      </c>
      <c r="D5764" t="s">
        <v>11478</v>
      </c>
      <c r="E5764" s="2">
        <v>1200</v>
      </c>
      <c r="G5764" s="3">
        <f>MONTH(Tabela1[[#This Row],[Último pagto ano]])</f>
        <v>5</v>
      </c>
      <c r="H5764" t="str">
        <f>TEXT(Tabela1[[#This Row],[Coluna2]]*29,"mmmm")</f>
        <v>maio</v>
      </c>
      <c r="I5764" t="str">
        <f>TEXT(MONTH(Tabela1[[#This Row],[Último pagto ano]])*29,"mmmm")</f>
        <v>maio</v>
      </c>
    </row>
    <row r="5765" spans="1:9" x14ac:dyDescent="0.25">
      <c r="A5765">
        <v>2025</v>
      </c>
      <c r="B5765" t="s">
        <v>11479</v>
      </c>
      <c r="C5765" s="1">
        <v>45783</v>
      </c>
      <c r="D5765" t="s">
        <v>11480</v>
      </c>
      <c r="E5765" s="2">
        <v>3594.84</v>
      </c>
      <c r="G5765" s="3">
        <f>MONTH(Tabela1[[#This Row],[Último pagto ano]])</f>
        <v>5</v>
      </c>
      <c r="H5765" t="str">
        <f>TEXT(Tabela1[[#This Row],[Coluna2]]*29,"mmmm")</f>
        <v>maio</v>
      </c>
      <c r="I5765" t="str">
        <f>TEXT(MONTH(Tabela1[[#This Row],[Último pagto ano]])*29,"mmmm")</f>
        <v>maio</v>
      </c>
    </row>
    <row r="5766" spans="1:9" x14ac:dyDescent="0.25">
      <c r="A5766">
        <v>2025</v>
      </c>
      <c r="B5766" t="s">
        <v>11481</v>
      </c>
      <c r="C5766" s="1">
        <v>46021</v>
      </c>
      <c r="D5766" t="s">
        <v>11482</v>
      </c>
      <c r="E5766" s="2">
        <v>12758.43</v>
      </c>
      <c r="G5766" s="3">
        <f>MONTH(Tabela1[[#This Row],[Último pagto ano]])</f>
        <v>12</v>
      </c>
      <c r="H5766" t="str">
        <f>TEXT(Tabela1[[#This Row],[Coluna2]]*29,"mmmm")</f>
        <v>dezembro</v>
      </c>
      <c r="I5766" t="str">
        <f>TEXT(MONTH(Tabela1[[#This Row],[Último pagto ano]])*29,"mmmm")</f>
        <v>dezembro</v>
      </c>
    </row>
    <row r="5767" spans="1:9" x14ac:dyDescent="0.25">
      <c r="A5767">
        <v>2025</v>
      </c>
      <c r="B5767" t="s">
        <v>11483</v>
      </c>
      <c r="C5767" s="1">
        <v>45989</v>
      </c>
      <c r="D5767" t="s">
        <v>11484</v>
      </c>
      <c r="E5767" s="2">
        <v>11527.54</v>
      </c>
      <c r="G5767" s="3">
        <f>MONTH(Tabela1[[#This Row],[Último pagto ano]])</f>
        <v>11</v>
      </c>
      <c r="H5767" t="str">
        <f>TEXT(Tabela1[[#This Row],[Coluna2]]*29,"mmmm")</f>
        <v>novembro</v>
      </c>
      <c r="I5767" t="str">
        <f>TEXT(MONTH(Tabela1[[#This Row],[Último pagto ano]])*29,"mmmm")</f>
        <v>novembro</v>
      </c>
    </row>
    <row r="5768" spans="1:9" x14ac:dyDescent="0.25">
      <c r="A5768">
        <v>2025</v>
      </c>
      <c r="B5768" t="s">
        <v>11485</v>
      </c>
      <c r="C5768" s="1">
        <v>45880</v>
      </c>
      <c r="D5768" t="s">
        <v>11486</v>
      </c>
      <c r="E5768" s="2">
        <v>6000</v>
      </c>
      <c r="G5768" s="3">
        <f>MONTH(Tabela1[[#This Row],[Último pagto ano]])</f>
        <v>8</v>
      </c>
      <c r="H5768" t="str">
        <f>TEXT(Tabela1[[#This Row],[Coluna2]]*29,"mmmm")</f>
        <v>agosto</v>
      </c>
      <c r="I5768" t="str">
        <f>TEXT(MONTH(Tabela1[[#This Row],[Último pagto ano]])*29,"mmmm")</f>
        <v>agosto</v>
      </c>
    </row>
    <row r="5769" spans="1:9" x14ac:dyDescent="0.25">
      <c r="A5769">
        <v>2025</v>
      </c>
      <c r="B5769" t="s">
        <v>11487</v>
      </c>
      <c r="C5769" s="1">
        <v>45673</v>
      </c>
      <c r="D5769" t="s">
        <v>11488</v>
      </c>
      <c r="E5769">
        <v>750</v>
      </c>
      <c r="G5769" s="3">
        <f>MONTH(Tabela1[[#This Row],[Último pagto ano]])</f>
        <v>1</v>
      </c>
      <c r="H5769" t="str">
        <f>TEXT(Tabela1[[#This Row],[Coluna2]]*29,"mmmm")</f>
        <v>janeiro</v>
      </c>
      <c r="I5769" t="str">
        <f>TEXT(MONTH(Tabela1[[#This Row],[Último pagto ano]])*29,"mmmm")</f>
        <v>janeiro</v>
      </c>
    </row>
    <row r="5770" spans="1:9" x14ac:dyDescent="0.25">
      <c r="A5770">
        <v>2025</v>
      </c>
      <c r="B5770" t="s">
        <v>11489</v>
      </c>
      <c r="C5770" s="1">
        <v>45807</v>
      </c>
      <c r="D5770" t="s">
        <v>11490</v>
      </c>
      <c r="E5770" s="2">
        <v>5113.6400000000003</v>
      </c>
      <c r="G5770" s="3">
        <f>MONTH(Tabela1[[#This Row],[Último pagto ano]])</f>
        <v>5</v>
      </c>
      <c r="H5770" t="str">
        <f>TEXT(Tabela1[[#This Row],[Coluna2]]*29,"mmmm")</f>
        <v>maio</v>
      </c>
      <c r="I5770" t="str">
        <f>TEXT(MONTH(Tabela1[[#This Row],[Último pagto ano]])*29,"mmmm")</f>
        <v>maio</v>
      </c>
    </row>
    <row r="5771" spans="1:9" x14ac:dyDescent="0.25">
      <c r="A5771">
        <v>2025</v>
      </c>
      <c r="B5771" t="s">
        <v>11491</v>
      </c>
      <c r="C5771" s="1">
        <v>45777</v>
      </c>
      <c r="D5771" t="s">
        <v>11492</v>
      </c>
      <c r="E5771">
        <v>723.15</v>
      </c>
      <c r="G5771" s="3">
        <f>MONTH(Tabela1[[#This Row],[Último pagto ano]])</f>
        <v>4</v>
      </c>
      <c r="H5771" t="str">
        <f>TEXT(Tabela1[[#This Row],[Coluna2]]*29,"mmmm")</f>
        <v>abril</v>
      </c>
      <c r="I5771" t="str">
        <f>TEXT(MONTH(Tabela1[[#This Row],[Último pagto ano]])*29,"mmmm")</f>
        <v>abril</v>
      </c>
    </row>
    <row r="5772" spans="1:9" x14ac:dyDescent="0.25">
      <c r="A5772">
        <v>2025</v>
      </c>
      <c r="B5772" t="s">
        <v>11493</v>
      </c>
      <c r="C5772" s="1">
        <v>45989</v>
      </c>
      <c r="D5772" t="s">
        <v>11494</v>
      </c>
      <c r="E5772" s="2">
        <v>3936.72</v>
      </c>
      <c r="G5772" s="3">
        <f>MONTH(Tabela1[[#This Row],[Último pagto ano]])</f>
        <v>11</v>
      </c>
      <c r="H5772" t="str">
        <f>TEXT(Tabela1[[#This Row],[Coluna2]]*29,"mmmm")</f>
        <v>novembro</v>
      </c>
      <c r="I5772" t="str">
        <f>TEXT(MONTH(Tabela1[[#This Row],[Último pagto ano]])*29,"mmmm")</f>
        <v>novembro</v>
      </c>
    </row>
    <row r="5773" spans="1:9" x14ac:dyDescent="0.25">
      <c r="A5773">
        <v>2025</v>
      </c>
      <c r="B5773" t="s">
        <v>11495</v>
      </c>
      <c r="C5773" s="1">
        <v>46010</v>
      </c>
      <c r="D5773" t="s">
        <v>11496</v>
      </c>
      <c r="E5773" s="2">
        <v>8400</v>
      </c>
      <c r="G5773" s="3">
        <f>MONTH(Tabela1[[#This Row],[Último pagto ano]])</f>
        <v>12</v>
      </c>
      <c r="H5773" t="str">
        <f>TEXT(Tabela1[[#This Row],[Coluna2]]*29,"mmmm")</f>
        <v>dezembro</v>
      </c>
      <c r="I5773" t="str">
        <f>TEXT(MONTH(Tabela1[[#This Row],[Último pagto ano]])*29,"mmmm")</f>
        <v>dezembro</v>
      </c>
    </row>
    <row r="5774" spans="1:9" x14ac:dyDescent="0.25">
      <c r="A5774">
        <v>2025</v>
      </c>
      <c r="B5774" t="s">
        <v>11497</v>
      </c>
      <c r="C5774" s="1">
        <v>45996</v>
      </c>
      <c r="D5774" t="s">
        <v>11498</v>
      </c>
      <c r="E5774" s="2">
        <v>3000</v>
      </c>
      <c r="G5774" s="3">
        <f>MONTH(Tabela1[[#This Row],[Último pagto ano]])</f>
        <v>12</v>
      </c>
      <c r="H5774" t="str">
        <f>TEXT(Tabela1[[#This Row],[Coluna2]]*29,"mmmm")</f>
        <v>dezembro</v>
      </c>
      <c r="I5774" t="str">
        <f>TEXT(MONTH(Tabela1[[#This Row],[Último pagto ano]])*29,"mmmm")</f>
        <v>dezembro</v>
      </c>
    </row>
    <row r="5775" spans="1:9" x14ac:dyDescent="0.25">
      <c r="A5775">
        <v>2025</v>
      </c>
      <c r="B5775" t="s">
        <v>11499</v>
      </c>
      <c r="C5775" s="1">
        <v>45989</v>
      </c>
      <c r="D5775" t="s">
        <v>11500</v>
      </c>
      <c r="E5775" s="2">
        <v>4020.66</v>
      </c>
      <c r="G5775" s="3">
        <f>MONTH(Tabela1[[#This Row],[Último pagto ano]])</f>
        <v>11</v>
      </c>
      <c r="H5775" t="str">
        <f>TEXT(Tabela1[[#This Row],[Coluna2]]*29,"mmmm")</f>
        <v>novembro</v>
      </c>
      <c r="I5775" t="str">
        <f>TEXT(MONTH(Tabela1[[#This Row],[Último pagto ano]])*29,"mmmm")</f>
        <v>novembro</v>
      </c>
    </row>
    <row r="5776" spans="1:9" x14ac:dyDescent="0.25">
      <c r="A5776">
        <v>2025</v>
      </c>
      <c r="B5776" t="s">
        <v>11501</v>
      </c>
      <c r="C5776" s="1">
        <v>46021</v>
      </c>
      <c r="D5776" t="s">
        <v>11502</v>
      </c>
      <c r="E5776" s="2">
        <v>12758.43</v>
      </c>
      <c r="G5776" s="3">
        <f>MONTH(Tabela1[[#This Row],[Último pagto ano]])</f>
        <v>12</v>
      </c>
      <c r="H5776" t="str">
        <f>TEXT(Tabela1[[#This Row],[Coluna2]]*29,"mmmm")</f>
        <v>dezembro</v>
      </c>
      <c r="I5776" t="str">
        <f>TEXT(MONTH(Tabela1[[#This Row],[Último pagto ano]])*29,"mmmm")</f>
        <v>dezembro</v>
      </c>
    </row>
    <row r="5777" spans="1:9" x14ac:dyDescent="0.25">
      <c r="A5777">
        <v>2025</v>
      </c>
      <c r="B5777" t="s">
        <v>11503</v>
      </c>
      <c r="C5777" s="1">
        <v>45868</v>
      </c>
      <c r="D5777" t="s">
        <v>11504</v>
      </c>
      <c r="E5777" s="2">
        <v>6078.28</v>
      </c>
      <c r="G5777" s="3">
        <f>MONTH(Tabela1[[#This Row],[Último pagto ano]])</f>
        <v>7</v>
      </c>
      <c r="H5777" t="str">
        <f>TEXT(Tabela1[[#This Row],[Coluna2]]*29,"mmmm")</f>
        <v>julho</v>
      </c>
      <c r="I5777" t="str">
        <f>TEXT(MONTH(Tabela1[[#This Row],[Último pagto ano]])*29,"mmmm")</f>
        <v>julho</v>
      </c>
    </row>
    <row r="5778" spans="1:9" x14ac:dyDescent="0.25">
      <c r="A5778">
        <v>2025</v>
      </c>
      <c r="B5778" t="s">
        <v>11505</v>
      </c>
      <c r="C5778" s="1">
        <v>45996</v>
      </c>
      <c r="D5778" t="s">
        <v>11506</v>
      </c>
      <c r="E5778" s="2">
        <v>4950</v>
      </c>
      <c r="G5778" s="3">
        <f>MONTH(Tabela1[[#This Row],[Último pagto ano]])</f>
        <v>12</v>
      </c>
      <c r="H5778" t="str">
        <f>TEXT(Tabela1[[#This Row],[Coluna2]]*29,"mmmm")</f>
        <v>dezembro</v>
      </c>
      <c r="I5778" t="str">
        <f>TEXT(MONTH(Tabela1[[#This Row],[Último pagto ano]])*29,"mmmm")</f>
        <v>dezembro</v>
      </c>
    </row>
    <row r="5779" spans="1:9" x14ac:dyDescent="0.25">
      <c r="A5779">
        <v>2025</v>
      </c>
      <c r="B5779" t="s">
        <v>11507</v>
      </c>
      <c r="C5779" s="1">
        <v>45954</v>
      </c>
      <c r="D5779" t="s">
        <v>11508</v>
      </c>
      <c r="E5779" s="2">
        <v>10414.61</v>
      </c>
      <c r="G5779" s="3">
        <f>MONTH(Tabela1[[#This Row],[Último pagto ano]])</f>
        <v>10</v>
      </c>
      <c r="H5779" t="str">
        <f>TEXT(Tabela1[[#This Row],[Coluna2]]*29,"mmmm")</f>
        <v>outubro</v>
      </c>
      <c r="I5779" t="str">
        <f>TEXT(MONTH(Tabela1[[#This Row],[Último pagto ano]])*29,"mmmm")</f>
        <v>outubro</v>
      </c>
    </row>
    <row r="5780" spans="1:9" x14ac:dyDescent="0.25">
      <c r="A5780">
        <v>2025</v>
      </c>
      <c r="B5780" t="s">
        <v>11509</v>
      </c>
      <c r="C5780" s="1">
        <v>45880</v>
      </c>
      <c r="D5780" t="s">
        <v>11510</v>
      </c>
      <c r="E5780">
        <v>33</v>
      </c>
      <c r="G5780" s="3">
        <f>MONTH(Tabela1[[#This Row],[Último pagto ano]])</f>
        <v>8</v>
      </c>
      <c r="H5780" t="str">
        <f>TEXT(Tabela1[[#This Row],[Coluna2]]*29,"mmmm")</f>
        <v>agosto</v>
      </c>
      <c r="I5780" t="str">
        <f>TEXT(MONTH(Tabela1[[#This Row],[Último pagto ano]])*29,"mmmm")</f>
        <v>agosto</v>
      </c>
    </row>
    <row r="5781" spans="1:9" x14ac:dyDescent="0.25">
      <c r="A5781">
        <v>2025</v>
      </c>
      <c r="B5781" t="s">
        <v>11511</v>
      </c>
      <c r="C5781" s="1">
        <v>45989</v>
      </c>
      <c r="D5781" t="s">
        <v>11512</v>
      </c>
      <c r="E5781" s="2">
        <v>5400.13</v>
      </c>
      <c r="G5781" s="3">
        <f>MONTH(Tabela1[[#This Row],[Último pagto ano]])</f>
        <v>11</v>
      </c>
      <c r="H5781" t="str">
        <f>TEXT(Tabela1[[#This Row],[Coluna2]]*29,"mmmm")</f>
        <v>novembro</v>
      </c>
      <c r="I5781" t="str">
        <f>TEXT(MONTH(Tabela1[[#This Row],[Último pagto ano]])*29,"mmmm")</f>
        <v>novembro</v>
      </c>
    </row>
    <row r="5782" spans="1:9" x14ac:dyDescent="0.25">
      <c r="A5782">
        <v>2025</v>
      </c>
      <c r="B5782" t="s">
        <v>11513</v>
      </c>
      <c r="C5782" s="1">
        <v>45702</v>
      </c>
      <c r="D5782" t="s">
        <v>11514</v>
      </c>
      <c r="E5782">
        <v>16.66</v>
      </c>
      <c r="G5782" s="3">
        <f>MONTH(Tabela1[[#This Row],[Último pagto ano]])</f>
        <v>2</v>
      </c>
      <c r="H5782" t="str">
        <f>TEXT(Tabela1[[#This Row],[Coluna2]]*29,"mmmm")</f>
        <v>fevereiro</v>
      </c>
      <c r="I5782" t="str">
        <f>TEXT(MONTH(Tabela1[[#This Row],[Último pagto ano]])*29,"mmmm")</f>
        <v>fevereiro</v>
      </c>
    </row>
    <row r="5783" spans="1:9" x14ac:dyDescent="0.25">
      <c r="A5783">
        <v>2025</v>
      </c>
      <c r="B5783" t="s">
        <v>11515</v>
      </c>
      <c r="C5783" s="1">
        <v>45813</v>
      </c>
      <c r="D5783" t="s">
        <v>11516</v>
      </c>
      <c r="E5783" s="2">
        <v>4567.07</v>
      </c>
      <c r="G5783" s="3">
        <f>MONTH(Tabela1[[#This Row],[Último pagto ano]])</f>
        <v>6</v>
      </c>
      <c r="H5783" t="str">
        <f>TEXT(Tabela1[[#This Row],[Coluna2]]*29,"mmmm")</f>
        <v>junho</v>
      </c>
      <c r="I5783" t="str">
        <f>TEXT(MONTH(Tabela1[[#This Row],[Último pagto ano]])*29,"mmmm")</f>
        <v>junho</v>
      </c>
    </row>
    <row r="5784" spans="1:9" x14ac:dyDescent="0.25">
      <c r="A5784">
        <v>2025</v>
      </c>
      <c r="B5784" t="s">
        <v>11517</v>
      </c>
      <c r="C5784" s="1">
        <v>45930</v>
      </c>
      <c r="D5784" t="s">
        <v>11518</v>
      </c>
      <c r="E5784" s="2">
        <v>7578.83</v>
      </c>
      <c r="G5784" s="3">
        <f>MONTH(Tabela1[[#This Row],[Último pagto ano]])</f>
        <v>9</v>
      </c>
      <c r="H5784" t="str">
        <f>TEXT(Tabela1[[#This Row],[Coluna2]]*29,"mmmm")</f>
        <v>setembro</v>
      </c>
      <c r="I5784" t="str">
        <f>TEXT(MONTH(Tabela1[[#This Row],[Último pagto ano]])*29,"mmmm")</f>
        <v>setembro</v>
      </c>
    </row>
    <row r="5785" spans="1:9" x14ac:dyDescent="0.25">
      <c r="A5785">
        <v>2025</v>
      </c>
      <c r="B5785" t="s">
        <v>11519</v>
      </c>
      <c r="C5785" s="1">
        <v>45989</v>
      </c>
      <c r="D5785" t="s">
        <v>11520</v>
      </c>
      <c r="E5785" s="2">
        <v>3186.32</v>
      </c>
      <c r="G5785" s="3">
        <f>MONTH(Tabela1[[#This Row],[Último pagto ano]])</f>
        <v>11</v>
      </c>
      <c r="H5785" t="str">
        <f>TEXT(Tabela1[[#This Row],[Coluna2]]*29,"mmmm")</f>
        <v>novembro</v>
      </c>
      <c r="I5785" t="str">
        <f>TEXT(MONTH(Tabela1[[#This Row],[Último pagto ano]])*29,"mmmm")</f>
        <v>novembro</v>
      </c>
    </row>
    <row r="5786" spans="1:9" x14ac:dyDescent="0.25">
      <c r="A5786">
        <v>2025</v>
      </c>
      <c r="B5786" t="s">
        <v>11521</v>
      </c>
      <c r="C5786" s="1">
        <v>45996</v>
      </c>
      <c r="D5786" t="s">
        <v>11522</v>
      </c>
      <c r="E5786" s="2">
        <v>31281.599999999999</v>
      </c>
      <c r="G5786" s="3">
        <f>MONTH(Tabela1[[#This Row],[Último pagto ano]])</f>
        <v>12</v>
      </c>
      <c r="H5786" t="str">
        <f>TEXT(Tabela1[[#This Row],[Coluna2]]*29,"mmmm")</f>
        <v>dezembro</v>
      </c>
      <c r="I5786" t="str">
        <f>TEXT(MONTH(Tabela1[[#This Row],[Último pagto ano]])*29,"mmmm")</f>
        <v>dezembro</v>
      </c>
    </row>
    <row r="5787" spans="1:9" x14ac:dyDescent="0.25">
      <c r="A5787">
        <v>2025</v>
      </c>
      <c r="B5787" t="s">
        <v>11523</v>
      </c>
      <c r="C5787" s="1">
        <v>45989</v>
      </c>
      <c r="D5787" t="s">
        <v>11524</v>
      </c>
      <c r="E5787" s="2">
        <v>5341.64</v>
      </c>
      <c r="G5787" s="3">
        <f>MONTH(Tabela1[[#This Row],[Último pagto ano]])</f>
        <v>11</v>
      </c>
      <c r="H5787" t="str">
        <f>TEXT(Tabela1[[#This Row],[Coluna2]]*29,"mmmm")</f>
        <v>novembro</v>
      </c>
      <c r="I5787" t="str">
        <f>TEXT(MONTH(Tabela1[[#This Row],[Último pagto ano]])*29,"mmmm")</f>
        <v>novembro</v>
      </c>
    </row>
    <row r="5788" spans="1:9" x14ac:dyDescent="0.25">
      <c r="A5788">
        <v>2025</v>
      </c>
      <c r="B5788" t="s">
        <v>11525</v>
      </c>
      <c r="C5788" s="1">
        <v>45989</v>
      </c>
      <c r="D5788" t="s">
        <v>11526</v>
      </c>
      <c r="E5788" s="2">
        <v>11757.26</v>
      </c>
      <c r="G5788" s="3">
        <f>MONTH(Tabela1[[#This Row],[Último pagto ano]])</f>
        <v>11</v>
      </c>
      <c r="H5788" t="str">
        <f>TEXT(Tabela1[[#This Row],[Coluna2]]*29,"mmmm")</f>
        <v>novembro</v>
      </c>
      <c r="I5788" t="str">
        <f>TEXT(MONTH(Tabela1[[#This Row],[Último pagto ano]])*29,"mmmm")</f>
        <v>novembro</v>
      </c>
    </row>
    <row r="5789" spans="1:9" x14ac:dyDescent="0.25">
      <c r="A5789">
        <v>2025</v>
      </c>
      <c r="B5789" t="s">
        <v>11527</v>
      </c>
      <c r="C5789" s="1">
        <v>45996</v>
      </c>
      <c r="D5789" t="s">
        <v>11528</v>
      </c>
      <c r="E5789" s="2">
        <v>10900</v>
      </c>
      <c r="G5789" s="3">
        <f>MONTH(Tabela1[[#This Row],[Último pagto ano]])</f>
        <v>12</v>
      </c>
      <c r="H5789" t="str">
        <f>TEXT(Tabela1[[#This Row],[Coluna2]]*29,"mmmm")</f>
        <v>dezembro</v>
      </c>
      <c r="I5789" t="str">
        <f>TEXT(MONTH(Tabela1[[#This Row],[Último pagto ano]])*29,"mmmm")</f>
        <v>dezembro</v>
      </c>
    </row>
    <row r="5790" spans="1:9" x14ac:dyDescent="0.25">
      <c r="A5790">
        <v>2025</v>
      </c>
      <c r="B5790" t="s">
        <v>11529</v>
      </c>
      <c r="C5790" s="1">
        <v>45995</v>
      </c>
      <c r="D5790" t="s">
        <v>11530</v>
      </c>
      <c r="E5790">
        <v>55</v>
      </c>
      <c r="G5790" s="3">
        <f>MONTH(Tabela1[[#This Row],[Último pagto ano]])</f>
        <v>12</v>
      </c>
      <c r="H5790" t="str">
        <f>TEXT(Tabela1[[#This Row],[Coluna2]]*29,"mmmm")</f>
        <v>dezembro</v>
      </c>
      <c r="I5790" t="str">
        <f>TEXT(MONTH(Tabela1[[#This Row],[Último pagto ano]])*29,"mmmm")</f>
        <v>dezembro</v>
      </c>
    </row>
    <row r="5791" spans="1:9" x14ac:dyDescent="0.25">
      <c r="A5791">
        <v>2025</v>
      </c>
      <c r="B5791" t="s">
        <v>11531</v>
      </c>
      <c r="C5791" s="1">
        <v>46006</v>
      </c>
      <c r="D5791" t="s">
        <v>11532</v>
      </c>
      <c r="E5791">
        <v>220</v>
      </c>
      <c r="G5791" s="3">
        <f>MONTH(Tabela1[[#This Row],[Último pagto ano]])</f>
        <v>12</v>
      </c>
      <c r="H5791" t="str">
        <f>TEXT(Tabela1[[#This Row],[Coluna2]]*29,"mmmm")</f>
        <v>dezembro</v>
      </c>
      <c r="I5791" t="str">
        <f>TEXT(MONTH(Tabela1[[#This Row],[Último pagto ano]])*29,"mmmm")</f>
        <v>dezembro</v>
      </c>
    </row>
    <row r="5792" spans="1:9" x14ac:dyDescent="0.25">
      <c r="A5792">
        <v>2025</v>
      </c>
      <c r="B5792" t="s">
        <v>11533</v>
      </c>
      <c r="C5792" s="1">
        <v>46021</v>
      </c>
      <c r="D5792" t="s">
        <v>11534</v>
      </c>
      <c r="E5792" s="2">
        <v>5927.01</v>
      </c>
      <c r="G5792" s="3">
        <f>MONTH(Tabela1[[#This Row],[Último pagto ano]])</f>
        <v>12</v>
      </c>
      <c r="H5792" t="str">
        <f>TEXT(Tabela1[[#This Row],[Coluna2]]*29,"mmmm")</f>
        <v>dezembro</v>
      </c>
      <c r="I5792" t="str">
        <f>TEXT(MONTH(Tabela1[[#This Row],[Último pagto ano]])*29,"mmmm")</f>
        <v>dezembro</v>
      </c>
    </row>
    <row r="5793" spans="1:9" x14ac:dyDescent="0.25">
      <c r="A5793">
        <v>2025</v>
      </c>
      <c r="B5793" t="s">
        <v>11535</v>
      </c>
      <c r="C5793" s="1">
        <v>45964</v>
      </c>
      <c r="D5793" t="s">
        <v>11536</v>
      </c>
      <c r="E5793">
        <v>66</v>
      </c>
      <c r="G5793" s="3">
        <f>MONTH(Tabela1[[#This Row],[Último pagto ano]])</f>
        <v>11</v>
      </c>
      <c r="H5793" t="str">
        <f>TEXT(Tabela1[[#This Row],[Coluna2]]*29,"mmmm")</f>
        <v>novembro</v>
      </c>
      <c r="I5793" t="str">
        <f>TEXT(MONTH(Tabela1[[#This Row],[Último pagto ano]])*29,"mmmm")</f>
        <v>novembro</v>
      </c>
    </row>
    <row r="5794" spans="1:9" x14ac:dyDescent="0.25">
      <c r="A5794">
        <v>2025</v>
      </c>
      <c r="B5794" t="s">
        <v>11537</v>
      </c>
      <c r="C5794" s="1">
        <v>46010</v>
      </c>
      <c r="D5794" t="s">
        <v>11538</v>
      </c>
      <c r="E5794" s="2">
        <v>4900</v>
      </c>
      <c r="G5794" s="3">
        <f>MONTH(Tabela1[[#This Row],[Último pagto ano]])</f>
        <v>12</v>
      </c>
      <c r="H5794" t="str">
        <f>TEXT(Tabela1[[#This Row],[Coluna2]]*29,"mmmm")</f>
        <v>dezembro</v>
      </c>
      <c r="I5794" t="str">
        <f>TEXT(MONTH(Tabela1[[#This Row],[Último pagto ano]])*29,"mmmm")</f>
        <v>dezembro</v>
      </c>
    </row>
    <row r="5795" spans="1:9" x14ac:dyDescent="0.25">
      <c r="A5795">
        <v>2025</v>
      </c>
      <c r="B5795" t="s">
        <v>11539</v>
      </c>
      <c r="C5795" s="1">
        <v>46021</v>
      </c>
      <c r="D5795" t="s">
        <v>11540</v>
      </c>
      <c r="E5795" s="2">
        <v>7322.79</v>
      </c>
      <c r="G5795" s="3">
        <f>MONTH(Tabela1[[#This Row],[Último pagto ano]])</f>
        <v>12</v>
      </c>
      <c r="H5795" t="str">
        <f>TEXT(Tabela1[[#This Row],[Coluna2]]*29,"mmmm")</f>
        <v>dezembro</v>
      </c>
      <c r="I5795" t="str">
        <f>TEXT(MONTH(Tabela1[[#This Row],[Último pagto ano]])*29,"mmmm")</f>
        <v>dezembro</v>
      </c>
    </row>
    <row r="5796" spans="1:9" x14ac:dyDescent="0.25">
      <c r="A5796">
        <v>2025</v>
      </c>
      <c r="B5796" t="s">
        <v>11541</v>
      </c>
      <c r="C5796" s="1">
        <v>46021</v>
      </c>
      <c r="D5796" t="s">
        <v>11542</v>
      </c>
      <c r="E5796" s="2">
        <v>11521.87</v>
      </c>
      <c r="G5796" s="3">
        <f>MONTH(Tabela1[[#This Row],[Último pagto ano]])</f>
        <v>12</v>
      </c>
      <c r="H5796" t="str">
        <f>TEXT(Tabela1[[#This Row],[Coluna2]]*29,"mmmm")</f>
        <v>dezembro</v>
      </c>
      <c r="I5796" t="str">
        <f>TEXT(MONTH(Tabela1[[#This Row],[Último pagto ano]])*29,"mmmm")</f>
        <v>dezembro</v>
      </c>
    </row>
    <row r="5797" spans="1:9" x14ac:dyDescent="0.25">
      <c r="A5797">
        <v>2025</v>
      </c>
      <c r="B5797" t="s">
        <v>11543</v>
      </c>
      <c r="C5797" s="1">
        <v>45838</v>
      </c>
      <c r="D5797" t="s">
        <v>11544</v>
      </c>
      <c r="E5797">
        <v>539</v>
      </c>
      <c r="G5797" s="3">
        <f>MONTH(Tabela1[[#This Row],[Último pagto ano]])</f>
        <v>6</v>
      </c>
      <c r="H5797" t="str">
        <f>TEXT(Tabela1[[#This Row],[Coluna2]]*29,"mmmm")</f>
        <v>junho</v>
      </c>
      <c r="I5797" t="str">
        <f>TEXT(MONTH(Tabela1[[#This Row],[Último pagto ano]])*29,"mmmm")</f>
        <v>junho</v>
      </c>
    </row>
    <row r="5798" spans="1:9" x14ac:dyDescent="0.25">
      <c r="A5798">
        <v>2025</v>
      </c>
      <c r="B5798" t="s">
        <v>11545</v>
      </c>
      <c r="C5798" s="1">
        <v>46013</v>
      </c>
      <c r="D5798" t="s">
        <v>11546</v>
      </c>
      <c r="E5798" s="2">
        <v>3218.4</v>
      </c>
      <c r="G5798" s="3">
        <f>MONTH(Tabela1[[#This Row],[Último pagto ano]])</f>
        <v>12</v>
      </c>
      <c r="H5798" t="str">
        <f>TEXT(Tabela1[[#This Row],[Coluna2]]*29,"mmmm")</f>
        <v>dezembro</v>
      </c>
      <c r="I5798" t="str">
        <f>TEXT(MONTH(Tabela1[[#This Row],[Último pagto ano]])*29,"mmmm")</f>
        <v>dezembro</v>
      </c>
    </row>
    <row r="5799" spans="1:9" x14ac:dyDescent="0.25">
      <c r="A5799">
        <v>2025</v>
      </c>
      <c r="B5799" t="s">
        <v>11547</v>
      </c>
      <c r="C5799" s="1">
        <v>45845</v>
      </c>
      <c r="D5799" t="s">
        <v>11548</v>
      </c>
      <c r="E5799">
        <v>118.34</v>
      </c>
      <c r="G5799" s="3">
        <f>MONTH(Tabela1[[#This Row],[Último pagto ano]])</f>
        <v>7</v>
      </c>
      <c r="H5799" t="str">
        <f>TEXT(Tabela1[[#This Row],[Coluna2]]*29,"mmmm")</f>
        <v>julho</v>
      </c>
      <c r="I5799" t="str">
        <f>TEXT(MONTH(Tabela1[[#This Row],[Último pagto ano]])*29,"mmmm")</f>
        <v>julho</v>
      </c>
    </row>
    <row r="5800" spans="1:9" x14ac:dyDescent="0.25">
      <c r="A5800">
        <v>2025</v>
      </c>
      <c r="B5800" t="s">
        <v>11549</v>
      </c>
      <c r="C5800" s="1">
        <v>45743</v>
      </c>
      <c r="D5800" t="s">
        <v>11550</v>
      </c>
      <c r="E5800">
        <v>7.06</v>
      </c>
      <c r="G5800" s="3">
        <f>MONTH(Tabela1[[#This Row],[Último pagto ano]])</f>
        <v>3</v>
      </c>
      <c r="H5800" t="str">
        <f>TEXT(Tabela1[[#This Row],[Coluna2]]*29,"mmmm")</f>
        <v>março</v>
      </c>
      <c r="I5800" t="str">
        <f>TEXT(MONTH(Tabela1[[#This Row],[Último pagto ano]])*29,"mmmm")</f>
        <v>março</v>
      </c>
    </row>
    <row r="5801" spans="1:9" x14ac:dyDescent="0.25">
      <c r="A5801">
        <v>2025</v>
      </c>
      <c r="B5801" t="s">
        <v>11551</v>
      </c>
      <c r="C5801" s="1">
        <v>45971</v>
      </c>
      <c r="D5801" t="s">
        <v>11552</v>
      </c>
      <c r="E5801">
        <v>22</v>
      </c>
      <c r="G5801" s="3">
        <f>MONTH(Tabela1[[#This Row],[Último pagto ano]])</f>
        <v>11</v>
      </c>
      <c r="H5801" t="str">
        <f>TEXT(Tabela1[[#This Row],[Coluna2]]*29,"mmmm")</f>
        <v>novembro</v>
      </c>
      <c r="I5801" t="str">
        <f>TEXT(MONTH(Tabela1[[#This Row],[Último pagto ano]])*29,"mmmm")</f>
        <v>novembro</v>
      </c>
    </row>
    <row r="5802" spans="1:9" x14ac:dyDescent="0.25">
      <c r="A5802">
        <v>2025</v>
      </c>
      <c r="B5802" t="s">
        <v>11553</v>
      </c>
      <c r="C5802" s="1">
        <v>45754</v>
      </c>
      <c r="D5802" t="s">
        <v>11554</v>
      </c>
      <c r="E5802" s="2">
        <v>7875</v>
      </c>
      <c r="G5802" s="3">
        <f>MONTH(Tabela1[[#This Row],[Último pagto ano]])</f>
        <v>4</v>
      </c>
      <c r="H5802" t="str">
        <f>TEXT(Tabela1[[#This Row],[Coluna2]]*29,"mmmm")</f>
        <v>abril</v>
      </c>
      <c r="I5802" t="str">
        <f>TEXT(MONTH(Tabela1[[#This Row],[Último pagto ano]])*29,"mmmm")</f>
        <v>abril</v>
      </c>
    </row>
    <row r="5803" spans="1:9" x14ac:dyDescent="0.25">
      <c r="A5803">
        <v>2025</v>
      </c>
      <c r="B5803" t="s">
        <v>11555</v>
      </c>
      <c r="C5803" s="1">
        <v>45702</v>
      </c>
      <c r="D5803" t="s">
        <v>11556</v>
      </c>
      <c r="E5803">
        <v>506.01</v>
      </c>
      <c r="G5803" s="3">
        <f>MONTH(Tabela1[[#This Row],[Último pagto ano]])</f>
        <v>2</v>
      </c>
      <c r="H5803" t="str">
        <f>TEXT(Tabela1[[#This Row],[Coluna2]]*29,"mmmm")</f>
        <v>fevereiro</v>
      </c>
      <c r="I5803" t="str">
        <f>TEXT(MONTH(Tabela1[[#This Row],[Último pagto ano]])*29,"mmmm")</f>
        <v>fevereiro</v>
      </c>
    </row>
    <row r="5804" spans="1:9" x14ac:dyDescent="0.25">
      <c r="A5804">
        <v>2025</v>
      </c>
      <c r="B5804" t="s">
        <v>11557</v>
      </c>
      <c r="C5804" s="1">
        <v>45996</v>
      </c>
      <c r="D5804" t="s">
        <v>11558</v>
      </c>
      <c r="E5804" s="2">
        <v>2700</v>
      </c>
      <c r="G5804" s="3">
        <f>MONTH(Tabela1[[#This Row],[Último pagto ano]])</f>
        <v>12</v>
      </c>
      <c r="H5804" t="str">
        <f>TEXT(Tabela1[[#This Row],[Coluna2]]*29,"mmmm")</f>
        <v>dezembro</v>
      </c>
      <c r="I5804" t="str">
        <f>TEXT(MONTH(Tabela1[[#This Row],[Último pagto ano]])*29,"mmmm")</f>
        <v>dezembro</v>
      </c>
    </row>
    <row r="5805" spans="1:9" x14ac:dyDescent="0.25">
      <c r="A5805">
        <v>2025</v>
      </c>
      <c r="B5805" t="s">
        <v>11559</v>
      </c>
      <c r="C5805" s="1">
        <v>45943</v>
      </c>
      <c r="D5805" t="s">
        <v>11560</v>
      </c>
      <c r="E5805">
        <v>22</v>
      </c>
      <c r="G5805" s="3">
        <f>MONTH(Tabela1[[#This Row],[Último pagto ano]])</f>
        <v>10</v>
      </c>
      <c r="H5805" t="str">
        <f>TEXT(Tabela1[[#This Row],[Coluna2]]*29,"mmmm")</f>
        <v>outubro</v>
      </c>
      <c r="I5805" t="str">
        <f>TEXT(MONTH(Tabela1[[#This Row],[Último pagto ano]])*29,"mmmm")</f>
        <v>outubro</v>
      </c>
    </row>
    <row r="5806" spans="1:9" x14ac:dyDescent="0.25">
      <c r="A5806">
        <v>2025</v>
      </c>
      <c r="B5806" t="s">
        <v>11561</v>
      </c>
      <c r="C5806" s="1">
        <v>46014</v>
      </c>
      <c r="D5806" t="s">
        <v>11562</v>
      </c>
      <c r="E5806">
        <v>242</v>
      </c>
      <c r="G5806" s="3">
        <f>MONTH(Tabela1[[#This Row],[Último pagto ano]])</f>
        <v>12</v>
      </c>
      <c r="H5806" t="str">
        <f>TEXT(Tabela1[[#This Row],[Coluna2]]*29,"mmmm")</f>
        <v>dezembro</v>
      </c>
      <c r="I5806" t="str">
        <f>TEXT(MONTH(Tabela1[[#This Row],[Último pagto ano]])*29,"mmmm")</f>
        <v>dezembro</v>
      </c>
    </row>
    <row r="5807" spans="1:9" x14ac:dyDescent="0.25">
      <c r="A5807">
        <v>2025</v>
      </c>
      <c r="B5807" t="s">
        <v>11563</v>
      </c>
      <c r="C5807" s="1">
        <v>45989</v>
      </c>
      <c r="D5807" t="s">
        <v>11564</v>
      </c>
      <c r="E5807" s="2">
        <v>3280.11</v>
      </c>
      <c r="G5807" s="3">
        <f>MONTH(Tabela1[[#This Row],[Último pagto ano]])</f>
        <v>11</v>
      </c>
      <c r="H5807" t="str">
        <f>TEXT(Tabela1[[#This Row],[Coluna2]]*29,"mmmm")</f>
        <v>novembro</v>
      </c>
      <c r="I5807" t="str">
        <f>TEXT(MONTH(Tabela1[[#This Row],[Último pagto ano]])*29,"mmmm")</f>
        <v>novembro</v>
      </c>
    </row>
    <row r="5808" spans="1:9" x14ac:dyDescent="0.25">
      <c r="A5808">
        <v>2025</v>
      </c>
      <c r="B5808" t="s">
        <v>11565</v>
      </c>
      <c r="C5808" s="1">
        <v>45702</v>
      </c>
      <c r="D5808" t="s">
        <v>11566</v>
      </c>
      <c r="E5808">
        <v>114.41</v>
      </c>
      <c r="G5808" s="3">
        <f>MONTH(Tabela1[[#This Row],[Último pagto ano]])</f>
        <v>2</v>
      </c>
      <c r="H5808" t="str">
        <f>TEXT(Tabela1[[#This Row],[Coluna2]]*29,"mmmm")</f>
        <v>fevereiro</v>
      </c>
      <c r="I5808" t="str">
        <f>TEXT(MONTH(Tabela1[[#This Row],[Último pagto ano]])*29,"mmmm")</f>
        <v>fevereiro</v>
      </c>
    </row>
    <row r="5809" spans="1:9" x14ac:dyDescent="0.25">
      <c r="A5809">
        <v>2025</v>
      </c>
      <c r="B5809" t="s">
        <v>11567</v>
      </c>
      <c r="C5809" s="1">
        <v>45880</v>
      </c>
      <c r="D5809" t="s">
        <v>11568</v>
      </c>
      <c r="E5809" s="2">
        <v>2102.4</v>
      </c>
      <c r="G5809" s="3">
        <f>MONTH(Tabela1[[#This Row],[Último pagto ano]])</f>
        <v>8</v>
      </c>
      <c r="H5809" t="str">
        <f>TEXT(Tabela1[[#This Row],[Coluna2]]*29,"mmmm")</f>
        <v>agosto</v>
      </c>
      <c r="I5809" t="str">
        <f>TEXT(MONTH(Tabela1[[#This Row],[Último pagto ano]])*29,"mmmm")</f>
        <v>agosto</v>
      </c>
    </row>
    <row r="5810" spans="1:9" x14ac:dyDescent="0.25">
      <c r="A5810">
        <v>2025</v>
      </c>
      <c r="B5810" t="s">
        <v>11569</v>
      </c>
      <c r="C5810" s="1">
        <v>46010</v>
      </c>
      <c r="D5810" t="s">
        <v>11570</v>
      </c>
      <c r="E5810" s="2">
        <v>8400</v>
      </c>
      <c r="G5810" s="3">
        <f>MONTH(Tabela1[[#This Row],[Último pagto ano]])</f>
        <v>12</v>
      </c>
      <c r="H5810" t="str">
        <f>TEXT(Tabela1[[#This Row],[Coluna2]]*29,"mmmm")</f>
        <v>dezembro</v>
      </c>
      <c r="I5810" t="str">
        <f>TEXT(MONTH(Tabela1[[#This Row],[Último pagto ano]])*29,"mmmm")</f>
        <v>dezembro</v>
      </c>
    </row>
    <row r="5811" spans="1:9" x14ac:dyDescent="0.25">
      <c r="A5811">
        <v>2025</v>
      </c>
      <c r="B5811" t="s">
        <v>11571</v>
      </c>
      <c r="C5811" s="1">
        <v>46013</v>
      </c>
      <c r="D5811" t="s">
        <v>11572</v>
      </c>
      <c r="E5811" s="2">
        <v>3451.5</v>
      </c>
      <c r="G5811" s="3">
        <f>MONTH(Tabela1[[#This Row],[Último pagto ano]])</f>
        <v>12</v>
      </c>
      <c r="H5811" t="str">
        <f>TEXT(Tabela1[[#This Row],[Coluna2]]*29,"mmmm")</f>
        <v>dezembro</v>
      </c>
      <c r="I5811" t="str">
        <f>TEXT(MONTH(Tabela1[[#This Row],[Último pagto ano]])*29,"mmmm")</f>
        <v>dezembro</v>
      </c>
    </row>
    <row r="5812" spans="1:9" x14ac:dyDescent="0.25">
      <c r="A5812">
        <v>2025</v>
      </c>
      <c r="B5812" t="s">
        <v>11573</v>
      </c>
      <c r="C5812" s="1">
        <v>46008</v>
      </c>
      <c r="D5812" t="s">
        <v>11574</v>
      </c>
      <c r="E5812" s="2">
        <v>79891.199999999997</v>
      </c>
      <c r="G5812" s="3">
        <f>MONTH(Tabela1[[#This Row],[Último pagto ano]])</f>
        <v>12</v>
      </c>
      <c r="H5812" t="str">
        <f>TEXT(Tabela1[[#This Row],[Coluna2]]*29,"mmmm")</f>
        <v>dezembro</v>
      </c>
      <c r="I5812" t="str">
        <f>TEXT(MONTH(Tabela1[[#This Row],[Último pagto ano]])*29,"mmmm")</f>
        <v>dezembro</v>
      </c>
    </row>
    <row r="5813" spans="1:9" x14ac:dyDescent="0.25">
      <c r="A5813">
        <v>2025</v>
      </c>
      <c r="B5813" t="s">
        <v>11575</v>
      </c>
      <c r="C5813" s="1">
        <v>45762</v>
      </c>
      <c r="D5813" t="s">
        <v>11576</v>
      </c>
      <c r="E5813" s="2">
        <v>2800</v>
      </c>
      <c r="G5813" s="3">
        <f>MONTH(Tabela1[[#This Row],[Último pagto ano]])</f>
        <v>4</v>
      </c>
      <c r="H5813" t="str">
        <f>TEXT(Tabela1[[#This Row],[Coluna2]]*29,"mmmm")</f>
        <v>abril</v>
      </c>
      <c r="I5813" t="str">
        <f>TEXT(MONTH(Tabela1[[#This Row],[Último pagto ano]])*29,"mmmm")</f>
        <v>abril</v>
      </c>
    </row>
    <row r="5814" spans="1:9" x14ac:dyDescent="0.25">
      <c r="A5814">
        <v>2025</v>
      </c>
      <c r="B5814" t="s">
        <v>11577</v>
      </c>
      <c r="C5814" s="1">
        <v>45866</v>
      </c>
      <c r="D5814" t="s">
        <v>11578</v>
      </c>
      <c r="E5814">
        <v>2.69</v>
      </c>
      <c r="G5814" s="3">
        <f>MONTH(Tabela1[[#This Row],[Último pagto ano]])</f>
        <v>7</v>
      </c>
      <c r="H5814" t="str">
        <f>TEXT(Tabela1[[#This Row],[Coluna2]]*29,"mmmm")</f>
        <v>julho</v>
      </c>
      <c r="I5814" t="str">
        <f>TEXT(MONTH(Tabela1[[#This Row],[Último pagto ano]])*29,"mmmm")</f>
        <v>julho</v>
      </c>
    </row>
    <row r="5815" spans="1:9" x14ac:dyDescent="0.25">
      <c r="A5815">
        <v>2025</v>
      </c>
      <c r="B5815" t="s">
        <v>11579</v>
      </c>
      <c r="C5815" s="1">
        <v>46006</v>
      </c>
      <c r="D5815" t="s">
        <v>11580</v>
      </c>
      <c r="E5815">
        <v>66</v>
      </c>
      <c r="G5815" s="3">
        <f>MONTH(Tabela1[[#This Row],[Último pagto ano]])</f>
        <v>12</v>
      </c>
      <c r="H5815" t="str">
        <f>TEXT(Tabela1[[#This Row],[Coluna2]]*29,"mmmm")</f>
        <v>dezembro</v>
      </c>
      <c r="I5815" t="str">
        <f>TEXT(MONTH(Tabela1[[#This Row],[Último pagto ano]])*29,"mmmm")</f>
        <v>dezembro</v>
      </c>
    </row>
    <row r="5816" spans="1:9" x14ac:dyDescent="0.25">
      <c r="A5816">
        <v>2025</v>
      </c>
      <c r="B5816" t="s">
        <v>11581</v>
      </c>
      <c r="C5816" s="1">
        <v>46014</v>
      </c>
      <c r="D5816" t="s">
        <v>11582</v>
      </c>
      <c r="E5816">
        <v>308</v>
      </c>
      <c r="G5816" s="3">
        <f>MONTH(Tabela1[[#This Row],[Último pagto ano]])</f>
        <v>12</v>
      </c>
      <c r="H5816" t="str">
        <f>TEXT(Tabela1[[#This Row],[Coluna2]]*29,"mmmm")</f>
        <v>dezembro</v>
      </c>
      <c r="I5816" t="str">
        <f>TEXT(MONTH(Tabela1[[#This Row],[Último pagto ano]])*29,"mmmm")</f>
        <v>dezembro</v>
      </c>
    </row>
    <row r="5817" spans="1:9" x14ac:dyDescent="0.25">
      <c r="A5817">
        <v>2025</v>
      </c>
      <c r="B5817" t="s">
        <v>11583</v>
      </c>
      <c r="C5817" s="1">
        <v>46014</v>
      </c>
      <c r="D5817" t="s">
        <v>11584</v>
      </c>
      <c r="E5817">
        <v>198</v>
      </c>
      <c r="G5817" s="3">
        <f>MONTH(Tabela1[[#This Row],[Último pagto ano]])</f>
        <v>12</v>
      </c>
      <c r="H5817" t="str">
        <f>TEXT(Tabela1[[#This Row],[Coluna2]]*29,"mmmm")</f>
        <v>dezembro</v>
      </c>
      <c r="I5817" t="str">
        <f>TEXT(MONTH(Tabela1[[#This Row],[Último pagto ano]])*29,"mmmm")</f>
        <v>dezembro</v>
      </c>
    </row>
    <row r="5818" spans="1:9" x14ac:dyDescent="0.25">
      <c r="A5818">
        <v>2025</v>
      </c>
      <c r="B5818" t="s">
        <v>11585</v>
      </c>
      <c r="C5818" s="1">
        <v>46013</v>
      </c>
      <c r="D5818" t="s">
        <v>11586</v>
      </c>
      <c r="E5818">
        <v>927.9</v>
      </c>
      <c r="G5818" s="3">
        <f>MONTH(Tabela1[[#This Row],[Último pagto ano]])</f>
        <v>12</v>
      </c>
      <c r="H5818" t="str">
        <f>TEXT(Tabela1[[#This Row],[Coluna2]]*29,"mmmm")</f>
        <v>dezembro</v>
      </c>
      <c r="I5818" t="str">
        <f>TEXT(MONTH(Tabela1[[#This Row],[Último pagto ano]])*29,"mmmm")</f>
        <v>dezembro</v>
      </c>
    </row>
    <row r="5819" spans="1:9" x14ac:dyDescent="0.25">
      <c r="A5819">
        <v>2025</v>
      </c>
      <c r="B5819" t="s">
        <v>11587</v>
      </c>
      <c r="C5819" s="1">
        <v>45887</v>
      </c>
      <c r="D5819" t="s">
        <v>11588</v>
      </c>
      <c r="E5819">
        <v>107.6</v>
      </c>
      <c r="G5819" s="3">
        <f>MONTH(Tabela1[[#This Row],[Último pagto ano]])</f>
        <v>8</v>
      </c>
      <c r="H5819" t="str">
        <f>TEXT(Tabela1[[#This Row],[Coluna2]]*29,"mmmm")</f>
        <v>agosto</v>
      </c>
      <c r="I5819" t="str">
        <f>TEXT(MONTH(Tabela1[[#This Row],[Último pagto ano]])*29,"mmmm")</f>
        <v>agosto</v>
      </c>
    </row>
    <row r="5820" spans="1:9" x14ac:dyDescent="0.25">
      <c r="A5820">
        <v>2025</v>
      </c>
      <c r="B5820" t="s">
        <v>11589</v>
      </c>
      <c r="C5820" s="1">
        <v>45964</v>
      </c>
      <c r="D5820" t="s">
        <v>11590</v>
      </c>
      <c r="E5820">
        <v>242</v>
      </c>
      <c r="G5820" s="3">
        <f>MONTH(Tabela1[[#This Row],[Último pagto ano]])</f>
        <v>11</v>
      </c>
      <c r="H5820" t="str">
        <f>TEXT(Tabela1[[#This Row],[Coluna2]]*29,"mmmm")</f>
        <v>novembro</v>
      </c>
      <c r="I5820" t="str">
        <f>TEXT(MONTH(Tabela1[[#This Row],[Último pagto ano]])*29,"mmmm")</f>
        <v>novembro</v>
      </c>
    </row>
    <row r="5821" spans="1:9" x14ac:dyDescent="0.25">
      <c r="A5821">
        <v>2025</v>
      </c>
      <c r="B5821" t="s">
        <v>11591</v>
      </c>
      <c r="C5821" s="1">
        <v>45824</v>
      </c>
      <c r="D5821" t="s">
        <v>11592</v>
      </c>
      <c r="E5821">
        <v>44</v>
      </c>
      <c r="G5821" s="3">
        <f>MONTH(Tabela1[[#This Row],[Último pagto ano]])</f>
        <v>6</v>
      </c>
      <c r="H5821" t="str">
        <f>TEXT(Tabela1[[#This Row],[Coluna2]]*29,"mmmm")</f>
        <v>junho</v>
      </c>
      <c r="I5821" t="str">
        <f>TEXT(MONTH(Tabela1[[#This Row],[Último pagto ano]])*29,"mmmm")</f>
        <v>junho</v>
      </c>
    </row>
    <row r="5822" spans="1:9" x14ac:dyDescent="0.25">
      <c r="A5822">
        <v>2025</v>
      </c>
      <c r="B5822" t="s">
        <v>11593</v>
      </c>
      <c r="C5822" s="1">
        <v>46006</v>
      </c>
      <c r="D5822" t="s">
        <v>11594</v>
      </c>
      <c r="E5822" s="2">
        <v>3000</v>
      </c>
      <c r="G5822" s="3">
        <f>MONTH(Tabela1[[#This Row],[Último pagto ano]])</f>
        <v>12</v>
      </c>
      <c r="H5822" t="str">
        <f>TEXT(Tabela1[[#This Row],[Coluna2]]*29,"mmmm")</f>
        <v>dezembro</v>
      </c>
      <c r="I5822" t="str">
        <f>TEXT(MONTH(Tabela1[[#This Row],[Último pagto ano]])*29,"mmmm")</f>
        <v>dezembro</v>
      </c>
    </row>
    <row r="5823" spans="1:9" x14ac:dyDescent="0.25">
      <c r="A5823">
        <v>2025</v>
      </c>
      <c r="B5823" t="s">
        <v>11595</v>
      </c>
      <c r="C5823" s="1">
        <v>45810</v>
      </c>
      <c r="D5823" t="s">
        <v>11596</v>
      </c>
      <c r="E5823">
        <v>123.42</v>
      </c>
      <c r="G5823" s="3">
        <f>MONTH(Tabela1[[#This Row],[Último pagto ano]])</f>
        <v>6</v>
      </c>
      <c r="H5823" t="str">
        <f>TEXT(Tabela1[[#This Row],[Coluna2]]*29,"mmmm")</f>
        <v>junho</v>
      </c>
      <c r="I5823" t="str">
        <f>TEXT(MONTH(Tabela1[[#This Row],[Último pagto ano]])*29,"mmmm")</f>
        <v>junho</v>
      </c>
    </row>
    <row r="5824" spans="1:9" x14ac:dyDescent="0.25">
      <c r="A5824">
        <v>2025</v>
      </c>
      <c r="B5824" t="s">
        <v>11597</v>
      </c>
      <c r="C5824" s="1">
        <v>45817</v>
      </c>
      <c r="D5824" t="s">
        <v>11598</v>
      </c>
      <c r="E5824">
        <v>241.38</v>
      </c>
      <c r="G5824" s="3">
        <f>MONTH(Tabela1[[#This Row],[Último pagto ano]])</f>
        <v>6</v>
      </c>
      <c r="H5824" t="str">
        <f>TEXT(Tabela1[[#This Row],[Coluna2]]*29,"mmmm")</f>
        <v>junho</v>
      </c>
      <c r="I5824" t="str">
        <f>TEXT(MONTH(Tabela1[[#This Row],[Último pagto ano]])*29,"mmmm")</f>
        <v>junho</v>
      </c>
    </row>
    <row r="5825" spans="1:9" x14ac:dyDescent="0.25">
      <c r="A5825">
        <v>2025</v>
      </c>
      <c r="B5825" t="s">
        <v>11599</v>
      </c>
      <c r="C5825" s="1">
        <v>45943</v>
      </c>
      <c r="D5825" t="s">
        <v>11600</v>
      </c>
      <c r="E5825" s="2">
        <v>2852.53</v>
      </c>
      <c r="G5825" s="3">
        <f>MONTH(Tabela1[[#This Row],[Último pagto ano]])</f>
        <v>10</v>
      </c>
      <c r="H5825" t="str">
        <f>TEXT(Tabela1[[#This Row],[Coluna2]]*29,"mmmm")</f>
        <v>outubro</v>
      </c>
      <c r="I5825" t="str">
        <f>TEXT(MONTH(Tabela1[[#This Row],[Último pagto ano]])*29,"mmmm")</f>
        <v>outubro</v>
      </c>
    </row>
    <row r="5826" spans="1:9" x14ac:dyDescent="0.25">
      <c r="A5826">
        <v>2025</v>
      </c>
      <c r="B5826" t="s">
        <v>11601</v>
      </c>
      <c r="C5826" s="1">
        <v>45754</v>
      </c>
      <c r="D5826" t="s">
        <v>11602</v>
      </c>
      <c r="E5826">
        <v>66</v>
      </c>
      <c r="G5826" s="3">
        <f>MONTH(Tabela1[[#This Row],[Último pagto ano]])</f>
        <v>4</v>
      </c>
      <c r="H5826" t="str">
        <f>TEXT(Tabela1[[#This Row],[Coluna2]]*29,"mmmm")</f>
        <v>abril</v>
      </c>
      <c r="I5826" t="str">
        <f>TEXT(MONTH(Tabela1[[#This Row],[Último pagto ano]])*29,"mmmm")</f>
        <v>abril</v>
      </c>
    </row>
    <row r="5827" spans="1:9" x14ac:dyDescent="0.25">
      <c r="A5827">
        <v>2025</v>
      </c>
      <c r="B5827" t="s">
        <v>11603</v>
      </c>
      <c r="C5827" s="1">
        <v>46014</v>
      </c>
      <c r="D5827" t="s">
        <v>11604</v>
      </c>
      <c r="E5827">
        <v>502.4</v>
      </c>
      <c r="G5827" s="3">
        <f>MONTH(Tabela1[[#This Row],[Último pagto ano]])</f>
        <v>12</v>
      </c>
      <c r="H5827" t="str">
        <f>TEXT(Tabela1[[#This Row],[Coluna2]]*29,"mmmm")</f>
        <v>dezembro</v>
      </c>
      <c r="I5827" t="str">
        <f>TEXT(MONTH(Tabela1[[#This Row],[Último pagto ano]])*29,"mmmm")</f>
        <v>dezembro</v>
      </c>
    </row>
    <row r="5828" spans="1:9" x14ac:dyDescent="0.25">
      <c r="A5828">
        <v>2025</v>
      </c>
      <c r="B5828" t="s">
        <v>11605</v>
      </c>
      <c r="C5828" s="1">
        <v>45702</v>
      </c>
      <c r="D5828" t="s">
        <v>11606</v>
      </c>
      <c r="E5828" s="2">
        <v>8268.6200000000008</v>
      </c>
      <c r="G5828" s="3">
        <f>MONTH(Tabela1[[#This Row],[Último pagto ano]])</f>
        <v>2</v>
      </c>
      <c r="H5828" t="str">
        <f>TEXT(Tabela1[[#This Row],[Coluna2]]*29,"mmmm")</f>
        <v>fevereiro</v>
      </c>
      <c r="I5828" t="str">
        <f>TEXT(MONTH(Tabela1[[#This Row],[Último pagto ano]])*29,"mmmm")</f>
        <v>fevereiro</v>
      </c>
    </row>
    <row r="5829" spans="1:9" x14ac:dyDescent="0.25">
      <c r="A5829">
        <v>2025</v>
      </c>
      <c r="B5829" t="s">
        <v>11607</v>
      </c>
      <c r="C5829" s="1">
        <v>45950</v>
      </c>
      <c r="D5829" t="s">
        <v>11608</v>
      </c>
      <c r="E5829">
        <v>319</v>
      </c>
      <c r="G5829" s="3">
        <f>MONTH(Tabela1[[#This Row],[Último pagto ano]])</f>
        <v>10</v>
      </c>
      <c r="H5829" t="str">
        <f>TEXT(Tabela1[[#This Row],[Coluna2]]*29,"mmmm")</f>
        <v>outubro</v>
      </c>
      <c r="I5829" t="str">
        <f>TEXT(MONTH(Tabela1[[#This Row],[Último pagto ano]])*29,"mmmm")</f>
        <v>outubro</v>
      </c>
    </row>
    <row r="5830" spans="1:9" x14ac:dyDescent="0.25">
      <c r="A5830">
        <v>2025</v>
      </c>
      <c r="B5830" t="s">
        <v>11609</v>
      </c>
      <c r="C5830" s="1">
        <v>45761</v>
      </c>
      <c r="D5830" t="s">
        <v>11610</v>
      </c>
      <c r="E5830" s="2">
        <v>21311.94</v>
      </c>
      <c r="G5830" s="3">
        <f>MONTH(Tabela1[[#This Row],[Último pagto ano]])</f>
        <v>4</v>
      </c>
      <c r="H5830" t="str">
        <f>TEXT(Tabela1[[#This Row],[Coluna2]]*29,"mmmm")</f>
        <v>abril</v>
      </c>
      <c r="I5830" t="str">
        <f>TEXT(MONTH(Tabela1[[#This Row],[Último pagto ano]])*29,"mmmm")</f>
        <v>abril</v>
      </c>
    </row>
    <row r="5831" spans="1:9" x14ac:dyDescent="0.25">
      <c r="A5831">
        <v>2025</v>
      </c>
      <c r="B5831" t="s">
        <v>11611</v>
      </c>
      <c r="C5831" s="1">
        <v>45674</v>
      </c>
      <c r="D5831" t="s">
        <v>11612</v>
      </c>
      <c r="E5831" s="2">
        <v>6240.96</v>
      </c>
      <c r="G5831" s="3">
        <f>MONTH(Tabela1[[#This Row],[Último pagto ano]])</f>
        <v>1</v>
      </c>
      <c r="H5831" t="str">
        <f>TEXT(Tabela1[[#This Row],[Coluna2]]*29,"mmmm")</f>
        <v>janeiro</v>
      </c>
      <c r="I5831" t="str">
        <f>TEXT(MONTH(Tabela1[[#This Row],[Último pagto ano]])*29,"mmmm")</f>
        <v>janeiro</v>
      </c>
    </row>
    <row r="5832" spans="1:9" x14ac:dyDescent="0.25">
      <c r="A5832">
        <v>2025</v>
      </c>
      <c r="B5832" t="s">
        <v>11611</v>
      </c>
      <c r="C5832" s="1">
        <v>46010</v>
      </c>
      <c r="D5832" t="s">
        <v>11613</v>
      </c>
      <c r="E5832" s="2">
        <v>76094.34</v>
      </c>
      <c r="G5832" s="3">
        <f>MONTH(Tabela1[[#This Row],[Último pagto ano]])</f>
        <v>12</v>
      </c>
      <c r="H5832" t="str">
        <f>TEXT(Tabela1[[#This Row],[Coluna2]]*29,"mmmm")</f>
        <v>dezembro</v>
      </c>
      <c r="I5832" t="str">
        <f>TEXT(MONTH(Tabela1[[#This Row],[Último pagto ano]])*29,"mmmm")</f>
        <v>dezembro</v>
      </c>
    </row>
    <row r="5833" spans="1:9" x14ac:dyDescent="0.25">
      <c r="A5833">
        <v>2025</v>
      </c>
      <c r="B5833" t="s">
        <v>11614</v>
      </c>
      <c r="C5833" s="1">
        <v>45964</v>
      </c>
      <c r="D5833" t="s">
        <v>11615</v>
      </c>
      <c r="E5833">
        <v>11</v>
      </c>
      <c r="G5833" s="3">
        <f>MONTH(Tabela1[[#This Row],[Último pagto ano]])</f>
        <v>11</v>
      </c>
      <c r="H5833" t="str">
        <f>TEXT(Tabela1[[#This Row],[Coluna2]]*29,"mmmm")</f>
        <v>novembro</v>
      </c>
      <c r="I5833" t="str">
        <f>TEXT(MONTH(Tabela1[[#This Row],[Último pagto ano]])*29,"mmmm")</f>
        <v>novembro</v>
      </c>
    </row>
    <row r="5834" spans="1:9" x14ac:dyDescent="0.25">
      <c r="A5834">
        <v>2025</v>
      </c>
      <c r="B5834" t="s">
        <v>11616</v>
      </c>
      <c r="C5834" s="1">
        <v>45978</v>
      </c>
      <c r="D5834" t="s">
        <v>11617</v>
      </c>
      <c r="E5834">
        <v>88</v>
      </c>
      <c r="G5834" s="3">
        <f>MONTH(Tabela1[[#This Row],[Último pagto ano]])</f>
        <v>11</v>
      </c>
      <c r="H5834" t="str">
        <f>TEXT(Tabela1[[#This Row],[Coluna2]]*29,"mmmm")</f>
        <v>novembro</v>
      </c>
      <c r="I5834" t="str">
        <f>TEXT(MONTH(Tabela1[[#This Row],[Último pagto ano]])*29,"mmmm")</f>
        <v>novembro</v>
      </c>
    </row>
    <row r="5835" spans="1:9" x14ac:dyDescent="0.25">
      <c r="A5835">
        <v>2025</v>
      </c>
      <c r="B5835" t="s">
        <v>11618</v>
      </c>
      <c r="C5835" s="1">
        <v>46006</v>
      </c>
      <c r="D5835" t="s">
        <v>11619</v>
      </c>
      <c r="E5835" s="2">
        <v>1000</v>
      </c>
      <c r="G5835" s="3">
        <f>MONTH(Tabela1[[#This Row],[Último pagto ano]])</f>
        <v>12</v>
      </c>
      <c r="H5835" t="str">
        <f>TEXT(Tabela1[[#This Row],[Coluna2]]*29,"mmmm")</f>
        <v>dezembro</v>
      </c>
      <c r="I5835" t="str">
        <f>TEXT(MONTH(Tabela1[[#This Row],[Último pagto ano]])*29,"mmmm")</f>
        <v>dezembro</v>
      </c>
    </row>
    <row r="5836" spans="1:9" x14ac:dyDescent="0.25">
      <c r="A5836">
        <v>2025</v>
      </c>
      <c r="B5836" t="s">
        <v>11620</v>
      </c>
      <c r="C5836" s="1">
        <v>45663</v>
      </c>
      <c r="D5836" t="s">
        <v>11621</v>
      </c>
      <c r="E5836">
        <v>67.56</v>
      </c>
      <c r="G5836" s="3">
        <f>MONTH(Tabela1[[#This Row],[Último pagto ano]])</f>
        <v>1</v>
      </c>
      <c r="H5836" t="str">
        <f>TEXT(Tabela1[[#This Row],[Coluna2]]*29,"mmmm")</f>
        <v>janeiro</v>
      </c>
      <c r="I5836" t="str">
        <f>TEXT(MONTH(Tabela1[[#This Row],[Último pagto ano]])*29,"mmmm")</f>
        <v>janeiro</v>
      </c>
    </row>
    <row r="5837" spans="1:9" x14ac:dyDescent="0.25">
      <c r="A5837">
        <v>2025</v>
      </c>
      <c r="B5837" t="s">
        <v>11622</v>
      </c>
      <c r="C5837" s="1">
        <v>45796</v>
      </c>
      <c r="D5837" t="s">
        <v>11623</v>
      </c>
      <c r="E5837" s="2">
        <v>5431.89</v>
      </c>
      <c r="G5837" s="3">
        <f>MONTH(Tabela1[[#This Row],[Último pagto ano]])</f>
        <v>5</v>
      </c>
      <c r="H5837" t="str">
        <f>TEXT(Tabela1[[#This Row],[Coluna2]]*29,"mmmm")</f>
        <v>maio</v>
      </c>
      <c r="I5837" t="str">
        <f>TEXT(MONTH(Tabela1[[#This Row],[Último pagto ano]])*29,"mmmm")</f>
        <v>maio</v>
      </c>
    </row>
    <row r="5838" spans="1:9" x14ac:dyDescent="0.25">
      <c r="A5838">
        <v>2025</v>
      </c>
      <c r="B5838" t="s">
        <v>11624</v>
      </c>
      <c r="C5838" s="1">
        <v>45769</v>
      </c>
      <c r="D5838" t="s">
        <v>11625</v>
      </c>
      <c r="E5838" s="2">
        <v>8247.51</v>
      </c>
      <c r="G5838" s="3">
        <f>MONTH(Tabela1[[#This Row],[Último pagto ano]])</f>
        <v>4</v>
      </c>
      <c r="H5838" t="str">
        <f>TEXT(Tabela1[[#This Row],[Coluna2]]*29,"mmmm")</f>
        <v>abril</v>
      </c>
      <c r="I5838" t="str">
        <f>TEXT(MONTH(Tabela1[[#This Row],[Último pagto ano]])*29,"mmmm")</f>
        <v>abril</v>
      </c>
    </row>
    <row r="5839" spans="1:9" x14ac:dyDescent="0.25">
      <c r="A5839">
        <v>2025</v>
      </c>
      <c r="B5839" t="s">
        <v>11626</v>
      </c>
      <c r="C5839" s="1">
        <v>45777</v>
      </c>
      <c r="D5839" t="s">
        <v>11627</v>
      </c>
      <c r="E5839" s="2">
        <v>2158.5100000000002</v>
      </c>
      <c r="G5839" s="3">
        <f>MONTH(Tabela1[[#This Row],[Último pagto ano]])</f>
        <v>4</v>
      </c>
      <c r="H5839" t="str">
        <f>TEXT(Tabela1[[#This Row],[Coluna2]]*29,"mmmm")</f>
        <v>abril</v>
      </c>
      <c r="I5839" t="str">
        <f>TEXT(MONTH(Tabela1[[#This Row],[Último pagto ano]])*29,"mmmm")</f>
        <v>abril</v>
      </c>
    </row>
    <row r="5840" spans="1:9" x14ac:dyDescent="0.25">
      <c r="A5840">
        <v>2025</v>
      </c>
      <c r="B5840" t="s">
        <v>11628</v>
      </c>
      <c r="C5840" s="1">
        <v>45733</v>
      </c>
      <c r="D5840" t="s">
        <v>11629</v>
      </c>
      <c r="E5840">
        <v>858.54</v>
      </c>
      <c r="G5840" s="3">
        <f>MONTH(Tabela1[[#This Row],[Último pagto ano]])</f>
        <v>3</v>
      </c>
      <c r="H5840" t="str">
        <f>TEXT(Tabela1[[#This Row],[Coluna2]]*29,"mmmm")</f>
        <v>março</v>
      </c>
      <c r="I5840" t="str">
        <f>TEXT(MONTH(Tabela1[[#This Row],[Último pagto ano]])*29,"mmmm")</f>
        <v>março</v>
      </c>
    </row>
    <row r="5841" spans="1:9" x14ac:dyDescent="0.25">
      <c r="A5841">
        <v>2025</v>
      </c>
      <c r="B5841" t="s">
        <v>11630</v>
      </c>
      <c r="C5841" s="1">
        <v>45964</v>
      </c>
      <c r="D5841" t="s">
        <v>11631</v>
      </c>
      <c r="E5841">
        <v>66</v>
      </c>
      <c r="G5841" s="3">
        <f>MONTH(Tabela1[[#This Row],[Último pagto ano]])</f>
        <v>11</v>
      </c>
      <c r="H5841" t="str">
        <f>TEXT(Tabela1[[#This Row],[Coluna2]]*29,"mmmm")</f>
        <v>novembro</v>
      </c>
      <c r="I5841" t="str">
        <f>TEXT(MONTH(Tabela1[[#This Row],[Último pagto ano]])*29,"mmmm")</f>
        <v>novembro</v>
      </c>
    </row>
    <row r="5842" spans="1:9" x14ac:dyDescent="0.25">
      <c r="A5842">
        <v>2025</v>
      </c>
      <c r="B5842" t="s">
        <v>11632</v>
      </c>
      <c r="C5842" s="1">
        <v>45803</v>
      </c>
      <c r="D5842" t="s">
        <v>11633</v>
      </c>
      <c r="E5842">
        <v>11</v>
      </c>
      <c r="G5842" s="3">
        <f>MONTH(Tabela1[[#This Row],[Último pagto ano]])</f>
        <v>5</v>
      </c>
      <c r="H5842" t="str">
        <f>TEXT(Tabela1[[#This Row],[Coluna2]]*29,"mmmm")</f>
        <v>maio</v>
      </c>
      <c r="I5842" t="str">
        <f>TEXT(MONTH(Tabela1[[#This Row],[Último pagto ano]])*29,"mmmm")</f>
        <v>maio</v>
      </c>
    </row>
    <row r="5843" spans="1:9" x14ac:dyDescent="0.25">
      <c r="A5843">
        <v>2025</v>
      </c>
      <c r="B5843" t="s">
        <v>11634</v>
      </c>
      <c r="C5843" s="1">
        <v>45691</v>
      </c>
      <c r="D5843" t="s">
        <v>11635</v>
      </c>
      <c r="E5843">
        <v>22</v>
      </c>
      <c r="G5843" s="3">
        <f>MONTH(Tabela1[[#This Row],[Último pagto ano]])</f>
        <v>2</v>
      </c>
      <c r="H5843" t="str">
        <f>TEXT(Tabela1[[#This Row],[Coluna2]]*29,"mmmm")</f>
        <v>fevereiro</v>
      </c>
      <c r="I5843" t="str">
        <f>TEXT(MONTH(Tabela1[[#This Row],[Último pagto ano]])*29,"mmmm")</f>
        <v>fevereiro</v>
      </c>
    </row>
    <row r="5844" spans="1:9" x14ac:dyDescent="0.25">
      <c r="A5844">
        <v>2025</v>
      </c>
      <c r="B5844" t="s">
        <v>11636</v>
      </c>
      <c r="C5844" s="1">
        <v>45989</v>
      </c>
      <c r="D5844" t="s">
        <v>11637</v>
      </c>
      <c r="E5844" s="2">
        <v>11350.48</v>
      </c>
      <c r="G5844" s="3">
        <f>MONTH(Tabela1[[#This Row],[Último pagto ano]])</f>
        <v>11</v>
      </c>
      <c r="H5844" t="str">
        <f>TEXT(Tabela1[[#This Row],[Coluna2]]*29,"mmmm")</f>
        <v>novembro</v>
      </c>
      <c r="I5844" t="str">
        <f>TEXT(MONTH(Tabela1[[#This Row],[Último pagto ano]])*29,"mmmm")</f>
        <v>novembro</v>
      </c>
    </row>
    <row r="5845" spans="1:9" x14ac:dyDescent="0.25">
      <c r="A5845">
        <v>2025</v>
      </c>
      <c r="B5845" t="s">
        <v>11638</v>
      </c>
      <c r="C5845" s="1">
        <v>45702</v>
      </c>
      <c r="D5845" t="s">
        <v>11639</v>
      </c>
      <c r="E5845">
        <v>594.53</v>
      </c>
      <c r="G5845" s="3">
        <f>MONTH(Tabela1[[#This Row],[Último pagto ano]])</f>
        <v>2</v>
      </c>
      <c r="H5845" t="str">
        <f>TEXT(Tabela1[[#This Row],[Coluna2]]*29,"mmmm")</f>
        <v>fevereiro</v>
      </c>
      <c r="I5845" t="str">
        <f>TEXT(MONTH(Tabela1[[#This Row],[Último pagto ano]])*29,"mmmm")</f>
        <v>fevereiro</v>
      </c>
    </row>
    <row r="5846" spans="1:9" x14ac:dyDescent="0.25">
      <c r="A5846">
        <v>2025</v>
      </c>
      <c r="B5846" t="s">
        <v>11640</v>
      </c>
      <c r="C5846" s="1">
        <v>45999</v>
      </c>
      <c r="D5846" t="s">
        <v>11641</v>
      </c>
      <c r="E5846" s="2">
        <v>3388</v>
      </c>
      <c r="G5846" s="3">
        <f>MONTH(Tabela1[[#This Row],[Último pagto ano]])</f>
        <v>12</v>
      </c>
      <c r="H5846" t="str">
        <f>TEXT(Tabela1[[#This Row],[Coluna2]]*29,"mmmm")</f>
        <v>dezembro</v>
      </c>
      <c r="I5846" t="str">
        <f>TEXT(MONTH(Tabela1[[#This Row],[Último pagto ano]])*29,"mmmm")</f>
        <v>dezembro</v>
      </c>
    </row>
    <row r="5847" spans="1:9" x14ac:dyDescent="0.25">
      <c r="A5847">
        <v>2025</v>
      </c>
      <c r="B5847" t="s">
        <v>11642</v>
      </c>
      <c r="C5847" s="1">
        <v>45989</v>
      </c>
      <c r="D5847" t="s">
        <v>11643</v>
      </c>
      <c r="E5847" s="2">
        <v>11300.48</v>
      </c>
      <c r="G5847" s="3">
        <f>MONTH(Tabela1[[#This Row],[Último pagto ano]])</f>
        <v>11</v>
      </c>
      <c r="H5847" t="str">
        <f>TEXT(Tabela1[[#This Row],[Coluna2]]*29,"mmmm")</f>
        <v>novembro</v>
      </c>
      <c r="I5847" t="str">
        <f>TEXT(MONTH(Tabela1[[#This Row],[Último pagto ano]])*29,"mmmm")</f>
        <v>novembro</v>
      </c>
    </row>
    <row r="5848" spans="1:9" x14ac:dyDescent="0.25">
      <c r="A5848">
        <v>2025</v>
      </c>
      <c r="B5848" t="s">
        <v>11644</v>
      </c>
      <c r="C5848" s="1">
        <v>45915</v>
      </c>
      <c r="D5848" t="s">
        <v>11645</v>
      </c>
      <c r="E5848">
        <v>176</v>
      </c>
      <c r="G5848" s="3">
        <f>MONTH(Tabela1[[#This Row],[Último pagto ano]])</f>
        <v>9</v>
      </c>
      <c r="H5848" t="str">
        <f>TEXT(Tabela1[[#This Row],[Coluna2]]*29,"mmmm")</f>
        <v>setembro</v>
      </c>
      <c r="I5848" t="str">
        <f>TEXT(MONTH(Tabela1[[#This Row],[Último pagto ano]])*29,"mmmm")</f>
        <v>setembro</v>
      </c>
    </row>
    <row r="5849" spans="1:9" x14ac:dyDescent="0.25">
      <c r="A5849">
        <v>2025</v>
      </c>
      <c r="B5849" t="s">
        <v>11646</v>
      </c>
      <c r="C5849" s="1">
        <v>45673</v>
      </c>
      <c r="D5849" t="s">
        <v>11647</v>
      </c>
      <c r="E5849" s="2">
        <v>1100</v>
      </c>
      <c r="G5849" s="3">
        <f>MONTH(Tabela1[[#This Row],[Último pagto ano]])</f>
        <v>1</v>
      </c>
      <c r="H5849" t="str">
        <f>TEXT(Tabela1[[#This Row],[Coluna2]]*29,"mmmm")</f>
        <v>janeiro</v>
      </c>
      <c r="I5849" t="str">
        <f>TEXT(MONTH(Tabela1[[#This Row],[Último pagto ano]])*29,"mmmm")</f>
        <v>janeiro</v>
      </c>
    </row>
    <row r="5850" spans="1:9" x14ac:dyDescent="0.25">
      <c r="A5850">
        <v>2025</v>
      </c>
      <c r="B5850" t="s">
        <v>11648</v>
      </c>
      <c r="C5850" s="1">
        <v>46021</v>
      </c>
      <c r="D5850" t="s">
        <v>11649</v>
      </c>
      <c r="E5850" s="2">
        <v>10515</v>
      </c>
      <c r="G5850" s="3">
        <f>MONTH(Tabela1[[#This Row],[Último pagto ano]])</f>
        <v>12</v>
      </c>
      <c r="H5850" t="str">
        <f>TEXT(Tabela1[[#This Row],[Coluna2]]*29,"mmmm")</f>
        <v>dezembro</v>
      </c>
      <c r="I5850" t="str">
        <f>TEXT(MONTH(Tabela1[[#This Row],[Último pagto ano]])*29,"mmmm")</f>
        <v>dezembro</v>
      </c>
    </row>
    <row r="5851" spans="1:9" x14ac:dyDescent="0.25">
      <c r="A5851">
        <v>2025</v>
      </c>
      <c r="B5851" t="s">
        <v>11650</v>
      </c>
      <c r="C5851" s="1">
        <v>45673</v>
      </c>
      <c r="D5851" t="s">
        <v>11651</v>
      </c>
      <c r="E5851">
        <v>500</v>
      </c>
      <c r="G5851" s="3">
        <f>MONTH(Tabela1[[#This Row],[Último pagto ano]])</f>
        <v>1</v>
      </c>
      <c r="H5851" t="str">
        <f>TEXT(Tabela1[[#This Row],[Coluna2]]*29,"mmmm")</f>
        <v>janeiro</v>
      </c>
      <c r="I5851" t="str">
        <f>TEXT(MONTH(Tabela1[[#This Row],[Último pagto ano]])*29,"mmmm")</f>
        <v>janeiro</v>
      </c>
    </row>
    <row r="5852" spans="1:9" x14ac:dyDescent="0.25">
      <c r="A5852">
        <v>2025</v>
      </c>
      <c r="B5852" t="s">
        <v>11652</v>
      </c>
      <c r="C5852" s="1">
        <v>46010</v>
      </c>
      <c r="D5852" t="s">
        <v>11653</v>
      </c>
      <c r="E5852" s="2">
        <v>12000</v>
      </c>
      <c r="G5852" s="3">
        <f>MONTH(Tabela1[[#This Row],[Último pagto ano]])</f>
        <v>12</v>
      </c>
      <c r="H5852" t="str">
        <f>TEXT(Tabela1[[#This Row],[Coluna2]]*29,"mmmm")</f>
        <v>dezembro</v>
      </c>
      <c r="I5852" t="str">
        <f>TEXT(MONTH(Tabela1[[#This Row],[Último pagto ano]])*29,"mmmm")</f>
        <v>dezembro</v>
      </c>
    </row>
    <row r="5853" spans="1:9" x14ac:dyDescent="0.25">
      <c r="A5853">
        <v>2025</v>
      </c>
      <c r="B5853" t="s">
        <v>11654</v>
      </c>
      <c r="C5853" s="1">
        <v>45995</v>
      </c>
      <c r="D5853" t="s">
        <v>11655</v>
      </c>
      <c r="E5853">
        <v>22</v>
      </c>
      <c r="G5853" s="3">
        <f>MONTH(Tabela1[[#This Row],[Último pagto ano]])</f>
        <v>12</v>
      </c>
      <c r="H5853" t="str">
        <f>TEXT(Tabela1[[#This Row],[Coluna2]]*29,"mmmm")</f>
        <v>dezembro</v>
      </c>
      <c r="I5853" t="str">
        <f>TEXT(MONTH(Tabela1[[#This Row],[Último pagto ano]])*29,"mmmm")</f>
        <v>dezembro</v>
      </c>
    </row>
    <row r="5854" spans="1:9" x14ac:dyDescent="0.25">
      <c r="A5854">
        <v>2025</v>
      </c>
      <c r="B5854" t="s">
        <v>11656</v>
      </c>
      <c r="C5854" s="1">
        <v>45824</v>
      </c>
      <c r="D5854" t="s">
        <v>11657</v>
      </c>
      <c r="E5854" s="2">
        <v>15995.52</v>
      </c>
      <c r="G5854" s="3">
        <f>MONTH(Tabela1[[#This Row],[Último pagto ano]])</f>
        <v>6</v>
      </c>
      <c r="H5854" t="str">
        <f>TEXT(Tabela1[[#This Row],[Coluna2]]*29,"mmmm")</f>
        <v>junho</v>
      </c>
      <c r="I5854" t="str">
        <f>TEXT(MONTH(Tabela1[[#This Row],[Último pagto ano]])*29,"mmmm")</f>
        <v>junho</v>
      </c>
    </row>
    <row r="5855" spans="1:9" x14ac:dyDescent="0.25">
      <c r="A5855">
        <v>2025</v>
      </c>
      <c r="B5855" t="s">
        <v>11658</v>
      </c>
      <c r="C5855" s="1">
        <v>45672</v>
      </c>
      <c r="D5855" t="s">
        <v>11659</v>
      </c>
      <c r="E5855">
        <v>700</v>
      </c>
      <c r="G5855" s="3">
        <f>MONTH(Tabela1[[#This Row],[Último pagto ano]])</f>
        <v>1</v>
      </c>
      <c r="H5855" t="str">
        <f>TEXT(Tabela1[[#This Row],[Coluna2]]*29,"mmmm")</f>
        <v>janeiro</v>
      </c>
      <c r="I5855" t="str">
        <f>TEXT(MONTH(Tabela1[[#This Row],[Último pagto ano]])*29,"mmmm")</f>
        <v>janeiro</v>
      </c>
    </row>
    <row r="5856" spans="1:9" x14ac:dyDescent="0.25">
      <c r="A5856">
        <v>2025</v>
      </c>
      <c r="B5856" t="s">
        <v>11660</v>
      </c>
      <c r="C5856" s="1">
        <v>45884</v>
      </c>
      <c r="D5856" t="s">
        <v>11661</v>
      </c>
      <c r="E5856" s="2">
        <v>2740.84</v>
      </c>
      <c r="G5856" s="3">
        <f>MONTH(Tabela1[[#This Row],[Último pagto ano]])</f>
        <v>8</v>
      </c>
      <c r="H5856" t="str">
        <f>TEXT(Tabela1[[#This Row],[Coluna2]]*29,"mmmm")</f>
        <v>agosto</v>
      </c>
      <c r="I5856" t="str">
        <f>TEXT(MONTH(Tabela1[[#This Row],[Último pagto ano]])*29,"mmmm")</f>
        <v>agosto</v>
      </c>
    </row>
    <row r="5857" spans="1:9" x14ac:dyDescent="0.25">
      <c r="A5857">
        <v>2025</v>
      </c>
      <c r="B5857" t="s">
        <v>11662</v>
      </c>
      <c r="C5857" s="1">
        <v>45672</v>
      </c>
      <c r="D5857" t="s">
        <v>11663</v>
      </c>
      <c r="E5857" s="2">
        <v>1000</v>
      </c>
      <c r="G5857" s="3">
        <f>MONTH(Tabela1[[#This Row],[Último pagto ano]])</f>
        <v>1</v>
      </c>
      <c r="H5857" t="str">
        <f>TEXT(Tabela1[[#This Row],[Coluna2]]*29,"mmmm")</f>
        <v>janeiro</v>
      </c>
      <c r="I5857" t="str">
        <f>TEXT(MONTH(Tabela1[[#This Row],[Último pagto ano]])*29,"mmmm")</f>
        <v>janeiro</v>
      </c>
    </row>
    <row r="5858" spans="1:9" x14ac:dyDescent="0.25">
      <c r="A5858">
        <v>2025</v>
      </c>
      <c r="B5858" t="s">
        <v>11664</v>
      </c>
      <c r="C5858" s="1">
        <v>45996</v>
      </c>
      <c r="D5858" t="s">
        <v>11665</v>
      </c>
      <c r="E5858" s="2">
        <v>9900</v>
      </c>
      <c r="G5858" s="3">
        <f>MONTH(Tabela1[[#This Row],[Último pagto ano]])</f>
        <v>12</v>
      </c>
      <c r="H5858" t="str">
        <f>TEXT(Tabela1[[#This Row],[Coluna2]]*29,"mmmm")</f>
        <v>dezembro</v>
      </c>
      <c r="I5858" t="str">
        <f>TEXT(MONTH(Tabela1[[#This Row],[Último pagto ano]])*29,"mmmm")</f>
        <v>dezembro</v>
      </c>
    </row>
    <row r="5859" spans="1:9" x14ac:dyDescent="0.25">
      <c r="A5859">
        <v>2025</v>
      </c>
      <c r="B5859" t="s">
        <v>11666</v>
      </c>
      <c r="C5859" s="1">
        <v>45971</v>
      </c>
      <c r="D5859" t="s">
        <v>11667</v>
      </c>
      <c r="E5859" s="2">
        <v>6327.4</v>
      </c>
      <c r="G5859" s="3">
        <f>MONTH(Tabela1[[#This Row],[Último pagto ano]])</f>
        <v>11</v>
      </c>
      <c r="H5859" t="str">
        <f>TEXT(Tabela1[[#This Row],[Coluna2]]*29,"mmmm")</f>
        <v>novembro</v>
      </c>
      <c r="I5859" t="str">
        <f>TEXT(MONTH(Tabela1[[#This Row],[Último pagto ano]])*29,"mmmm")</f>
        <v>novembro</v>
      </c>
    </row>
    <row r="5860" spans="1:9" x14ac:dyDescent="0.25">
      <c r="A5860">
        <v>2025</v>
      </c>
      <c r="B5860" t="s">
        <v>11668</v>
      </c>
      <c r="C5860" s="1">
        <v>45996</v>
      </c>
      <c r="D5860" t="s">
        <v>11669</v>
      </c>
      <c r="E5860" s="2">
        <v>9000</v>
      </c>
      <c r="G5860" s="3">
        <f>MONTH(Tabela1[[#This Row],[Último pagto ano]])</f>
        <v>12</v>
      </c>
      <c r="H5860" t="str">
        <f>TEXT(Tabela1[[#This Row],[Coluna2]]*29,"mmmm")</f>
        <v>dezembro</v>
      </c>
      <c r="I5860" t="str">
        <f>TEXT(MONTH(Tabela1[[#This Row],[Último pagto ano]])*29,"mmmm")</f>
        <v>dezembro</v>
      </c>
    </row>
    <row r="5861" spans="1:9" x14ac:dyDescent="0.25">
      <c r="A5861">
        <v>2025</v>
      </c>
      <c r="B5861" t="s">
        <v>11670</v>
      </c>
      <c r="C5861" s="1">
        <v>46014</v>
      </c>
      <c r="D5861" t="s">
        <v>11671</v>
      </c>
      <c r="E5861">
        <v>339.2</v>
      </c>
      <c r="G5861" s="3">
        <f>MONTH(Tabela1[[#This Row],[Último pagto ano]])</f>
        <v>12</v>
      </c>
      <c r="H5861" t="str">
        <f>TEXT(Tabela1[[#This Row],[Coluna2]]*29,"mmmm")</f>
        <v>dezembro</v>
      </c>
      <c r="I5861" t="str">
        <f>TEXT(MONTH(Tabela1[[#This Row],[Último pagto ano]])*29,"mmmm")</f>
        <v>dezembro</v>
      </c>
    </row>
    <row r="5862" spans="1:9" x14ac:dyDescent="0.25">
      <c r="A5862">
        <v>2025</v>
      </c>
      <c r="B5862" t="s">
        <v>11672</v>
      </c>
      <c r="C5862" s="1">
        <v>45728</v>
      </c>
      <c r="D5862" t="s">
        <v>11673</v>
      </c>
      <c r="E5862">
        <v>22</v>
      </c>
      <c r="G5862" s="3">
        <f>MONTH(Tabela1[[#This Row],[Último pagto ano]])</f>
        <v>3</v>
      </c>
      <c r="H5862" t="str">
        <f>TEXT(Tabela1[[#This Row],[Coluna2]]*29,"mmmm")</f>
        <v>março</v>
      </c>
      <c r="I5862" t="str">
        <f>TEXT(MONTH(Tabela1[[#This Row],[Último pagto ano]])*29,"mmmm")</f>
        <v>março</v>
      </c>
    </row>
    <row r="5863" spans="1:9" x14ac:dyDescent="0.25">
      <c r="A5863">
        <v>2025</v>
      </c>
      <c r="B5863" t="s">
        <v>11674</v>
      </c>
      <c r="C5863" s="1">
        <v>45849</v>
      </c>
      <c r="D5863" t="s">
        <v>11675</v>
      </c>
      <c r="E5863" s="2">
        <v>20481.36</v>
      </c>
      <c r="G5863" s="3">
        <f>MONTH(Tabela1[[#This Row],[Último pagto ano]])</f>
        <v>7</v>
      </c>
      <c r="H5863" t="str">
        <f>TEXT(Tabela1[[#This Row],[Coluna2]]*29,"mmmm")</f>
        <v>julho</v>
      </c>
      <c r="I5863" t="str">
        <f>TEXT(MONTH(Tabela1[[#This Row],[Último pagto ano]])*29,"mmmm")</f>
        <v>julho</v>
      </c>
    </row>
    <row r="5864" spans="1:9" x14ac:dyDescent="0.25">
      <c r="A5864">
        <v>2025</v>
      </c>
      <c r="B5864" t="s">
        <v>11676</v>
      </c>
      <c r="C5864" s="1">
        <v>45996</v>
      </c>
      <c r="D5864" t="s">
        <v>11677</v>
      </c>
      <c r="E5864" s="2">
        <v>2675</v>
      </c>
      <c r="G5864" s="3">
        <f>MONTH(Tabela1[[#This Row],[Último pagto ano]])</f>
        <v>12</v>
      </c>
      <c r="H5864" t="str">
        <f>TEXT(Tabela1[[#This Row],[Coluna2]]*29,"mmmm")</f>
        <v>dezembro</v>
      </c>
      <c r="I5864" t="str">
        <f>TEXT(MONTH(Tabela1[[#This Row],[Último pagto ano]])*29,"mmmm")</f>
        <v>dezembro</v>
      </c>
    </row>
    <row r="5865" spans="1:9" x14ac:dyDescent="0.25">
      <c r="A5865">
        <v>2025</v>
      </c>
      <c r="B5865" t="s">
        <v>11678</v>
      </c>
      <c r="C5865" s="1">
        <v>45915</v>
      </c>
      <c r="D5865" t="s">
        <v>11679</v>
      </c>
      <c r="E5865">
        <v>308</v>
      </c>
      <c r="G5865" s="3">
        <f>MONTH(Tabela1[[#This Row],[Último pagto ano]])</f>
        <v>9</v>
      </c>
      <c r="H5865" t="str">
        <f>TEXT(Tabela1[[#This Row],[Coluna2]]*29,"mmmm")</f>
        <v>setembro</v>
      </c>
      <c r="I5865" t="str">
        <f>TEXT(MONTH(Tabela1[[#This Row],[Último pagto ano]])*29,"mmmm")</f>
        <v>setembro</v>
      </c>
    </row>
    <row r="5866" spans="1:9" x14ac:dyDescent="0.25">
      <c r="A5866">
        <v>2025</v>
      </c>
      <c r="B5866" t="s">
        <v>11680</v>
      </c>
      <c r="C5866" s="1">
        <v>45810</v>
      </c>
      <c r="D5866" t="s">
        <v>11681</v>
      </c>
      <c r="E5866">
        <v>44</v>
      </c>
      <c r="G5866" s="3">
        <f>MONTH(Tabela1[[#This Row],[Último pagto ano]])</f>
        <v>6</v>
      </c>
      <c r="H5866" t="str">
        <f>TEXT(Tabela1[[#This Row],[Coluna2]]*29,"mmmm")</f>
        <v>junho</v>
      </c>
      <c r="I5866" t="str">
        <f>TEXT(MONTH(Tabela1[[#This Row],[Último pagto ano]])*29,"mmmm")</f>
        <v>junho</v>
      </c>
    </row>
    <row r="5867" spans="1:9" x14ac:dyDescent="0.25">
      <c r="A5867">
        <v>2025</v>
      </c>
      <c r="B5867" t="s">
        <v>11682</v>
      </c>
      <c r="C5867" s="1">
        <v>45912</v>
      </c>
      <c r="D5867" t="s">
        <v>11683</v>
      </c>
      <c r="E5867" s="2">
        <v>3371.41</v>
      </c>
      <c r="G5867" s="3">
        <f>MONTH(Tabela1[[#This Row],[Último pagto ano]])</f>
        <v>9</v>
      </c>
      <c r="H5867" t="str">
        <f>TEXT(Tabela1[[#This Row],[Coluna2]]*29,"mmmm")</f>
        <v>setembro</v>
      </c>
      <c r="I5867" t="str">
        <f>TEXT(MONTH(Tabela1[[#This Row],[Último pagto ano]])*29,"mmmm")</f>
        <v>setembro</v>
      </c>
    </row>
    <row r="5868" spans="1:9" x14ac:dyDescent="0.25">
      <c r="A5868">
        <v>2025</v>
      </c>
      <c r="B5868" t="s">
        <v>11684</v>
      </c>
      <c r="C5868" s="1">
        <v>46006</v>
      </c>
      <c r="D5868" t="s">
        <v>11685</v>
      </c>
      <c r="E5868">
        <v>330</v>
      </c>
      <c r="G5868" s="3">
        <f>MONTH(Tabela1[[#This Row],[Último pagto ano]])</f>
        <v>12</v>
      </c>
      <c r="H5868" t="str">
        <f>TEXT(Tabela1[[#This Row],[Coluna2]]*29,"mmmm")</f>
        <v>dezembro</v>
      </c>
      <c r="I5868" t="str">
        <f>TEXT(MONTH(Tabela1[[#This Row],[Último pagto ano]])*29,"mmmm")</f>
        <v>dezembro</v>
      </c>
    </row>
    <row r="5869" spans="1:9" x14ac:dyDescent="0.25">
      <c r="A5869">
        <v>2025</v>
      </c>
      <c r="B5869" t="s">
        <v>11686</v>
      </c>
      <c r="C5869" s="1">
        <v>45985</v>
      </c>
      <c r="D5869" t="s">
        <v>11687</v>
      </c>
      <c r="E5869">
        <v>55</v>
      </c>
      <c r="G5869" s="3">
        <f>MONTH(Tabela1[[#This Row],[Último pagto ano]])</f>
        <v>11</v>
      </c>
      <c r="H5869" t="str">
        <f>TEXT(Tabela1[[#This Row],[Coluna2]]*29,"mmmm")</f>
        <v>novembro</v>
      </c>
      <c r="I5869" t="str">
        <f>TEXT(MONTH(Tabela1[[#This Row],[Último pagto ano]])*29,"mmmm")</f>
        <v>novembro</v>
      </c>
    </row>
    <row r="5870" spans="1:9" x14ac:dyDescent="0.25">
      <c r="A5870">
        <v>2025</v>
      </c>
      <c r="B5870" t="s">
        <v>11688</v>
      </c>
      <c r="C5870" s="1">
        <v>45989</v>
      </c>
      <c r="D5870" t="s">
        <v>11689</v>
      </c>
      <c r="E5870" s="2">
        <v>6089.35</v>
      </c>
      <c r="G5870" s="3">
        <f>MONTH(Tabela1[[#This Row],[Último pagto ano]])</f>
        <v>11</v>
      </c>
      <c r="H5870" t="str">
        <f>TEXT(Tabela1[[#This Row],[Coluna2]]*29,"mmmm")</f>
        <v>novembro</v>
      </c>
      <c r="I5870" t="str">
        <f>TEXT(MONTH(Tabela1[[#This Row],[Último pagto ano]])*29,"mmmm")</f>
        <v>novembro</v>
      </c>
    </row>
    <row r="5871" spans="1:9" x14ac:dyDescent="0.25">
      <c r="A5871">
        <v>2025</v>
      </c>
      <c r="B5871" t="s">
        <v>11690</v>
      </c>
      <c r="C5871" s="1">
        <v>45852</v>
      </c>
      <c r="D5871" t="s">
        <v>11691</v>
      </c>
      <c r="E5871">
        <v>11</v>
      </c>
      <c r="G5871" s="3">
        <f>MONTH(Tabela1[[#This Row],[Último pagto ano]])</f>
        <v>7</v>
      </c>
      <c r="H5871" t="str">
        <f>TEXT(Tabela1[[#This Row],[Coluna2]]*29,"mmmm")</f>
        <v>julho</v>
      </c>
      <c r="I5871" t="str">
        <f>TEXT(MONTH(Tabela1[[#This Row],[Último pagto ano]])*29,"mmmm")</f>
        <v>julho</v>
      </c>
    </row>
    <row r="5872" spans="1:9" x14ac:dyDescent="0.25">
      <c r="A5872">
        <v>2025</v>
      </c>
      <c r="B5872" t="s">
        <v>11692</v>
      </c>
      <c r="C5872" s="1">
        <v>45995</v>
      </c>
      <c r="D5872" t="s">
        <v>11693</v>
      </c>
      <c r="E5872">
        <v>242</v>
      </c>
      <c r="G5872" s="3">
        <f>MONTH(Tabela1[[#This Row],[Último pagto ano]])</f>
        <v>12</v>
      </c>
      <c r="H5872" t="str">
        <f>TEXT(Tabela1[[#This Row],[Coluna2]]*29,"mmmm")</f>
        <v>dezembro</v>
      </c>
      <c r="I5872" t="str">
        <f>TEXT(MONTH(Tabela1[[#This Row],[Último pagto ano]])*29,"mmmm")</f>
        <v>dezembro</v>
      </c>
    </row>
    <row r="5873" spans="1:9" x14ac:dyDescent="0.25">
      <c r="A5873">
        <v>2025</v>
      </c>
      <c r="B5873" t="s">
        <v>11694</v>
      </c>
      <c r="C5873" s="1">
        <v>46021</v>
      </c>
      <c r="D5873" t="s">
        <v>11695</v>
      </c>
      <c r="E5873" s="2">
        <v>5900.59</v>
      </c>
      <c r="G5873" s="3">
        <f>MONTH(Tabela1[[#This Row],[Último pagto ano]])</f>
        <v>12</v>
      </c>
      <c r="H5873" t="str">
        <f>TEXT(Tabela1[[#This Row],[Coluna2]]*29,"mmmm")</f>
        <v>dezembro</v>
      </c>
      <c r="I5873" t="str">
        <f>TEXT(MONTH(Tabela1[[#This Row],[Último pagto ano]])*29,"mmmm")</f>
        <v>dezembro</v>
      </c>
    </row>
    <row r="5874" spans="1:9" x14ac:dyDescent="0.25">
      <c r="A5874">
        <v>2025</v>
      </c>
      <c r="B5874" t="s">
        <v>11696</v>
      </c>
      <c r="C5874" s="1">
        <v>46010</v>
      </c>
      <c r="D5874" t="s">
        <v>11697</v>
      </c>
      <c r="E5874" s="2">
        <v>5934</v>
      </c>
      <c r="G5874" s="3">
        <f>MONTH(Tabela1[[#This Row],[Último pagto ano]])</f>
        <v>12</v>
      </c>
      <c r="H5874" t="str">
        <f>TEXT(Tabela1[[#This Row],[Coluna2]]*29,"mmmm")</f>
        <v>dezembro</v>
      </c>
      <c r="I5874" t="str">
        <f>TEXT(MONTH(Tabela1[[#This Row],[Último pagto ano]])*29,"mmmm")</f>
        <v>dezembro</v>
      </c>
    </row>
    <row r="5875" spans="1:9" x14ac:dyDescent="0.25">
      <c r="A5875">
        <v>2025</v>
      </c>
      <c r="B5875" t="s">
        <v>11698</v>
      </c>
      <c r="C5875" s="1">
        <v>45870</v>
      </c>
      <c r="D5875" t="s">
        <v>11699</v>
      </c>
      <c r="E5875" s="2">
        <v>1310.4000000000001</v>
      </c>
      <c r="G5875" s="3">
        <f>MONTH(Tabela1[[#This Row],[Último pagto ano]])</f>
        <v>8</v>
      </c>
      <c r="H5875" t="str">
        <f>TEXT(Tabela1[[#This Row],[Coluna2]]*29,"mmmm")</f>
        <v>agosto</v>
      </c>
      <c r="I5875" t="str">
        <f>TEXT(MONTH(Tabela1[[#This Row],[Último pagto ano]])*29,"mmmm")</f>
        <v>agosto</v>
      </c>
    </row>
    <row r="5876" spans="1:9" x14ac:dyDescent="0.25">
      <c r="A5876">
        <v>2025</v>
      </c>
      <c r="B5876" t="s">
        <v>11700</v>
      </c>
      <c r="C5876" s="1">
        <v>45911</v>
      </c>
      <c r="D5876" t="s">
        <v>11701</v>
      </c>
      <c r="E5876">
        <v>661.29</v>
      </c>
      <c r="G5876" s="3">
        <f>MONTH(Tabela1[[#This Row],[Último pagto ano]])</f>
        <v>9</v>
      </c>
      <c r="H5876" t="str">
        <f>TEXT(Tabela1[[#This Row],[Coluna2]]*29,"mmmm")</f>
        <v>setembro</v>
      </c>
      <c r="I5876" t="str">
        <f>TEXT(MONTH(Tabela1[[#This Row],[Último pagto ano]])*29,"mmmm")</f>
        <v>setembro</v>
      </c>
    </row>
    <row r="5877" spans="1:9" x14ac:dyDescent="0.25">
      <c r="A5877">
        <v>2025</v>
      </c>
      <c r="B5877" t="s">
        <v>11702</v>
      </c>
      <c r="C5877" s="1">
        <v>45853</v>
      </c>
      <c r="D5877" t="s">
        <v>11703</v>
      </c>
      <c r="E5877" s="2">
        <v>4900</v>
      </c>
      <c r="G5877" s="3">
        <f>MONTH(Tabela1[[#This Row],[Último pagto ano]])</f>
        <v>7</v>
      </c>
      <c r="H5877" t="str">
        <f>TEXT(Tabela1[[#This Row],[Coluna2]]*29,"mmmm")</f>
        <v>julho</v>
      </c>
      <c r="I5877" t="str">
        <f>TEXT(MONTH(Tabela1[[#This Row],[Último pagto ano]])*29,"mmmm")</f>
        <v>julho</v>
      </c>
    </row>
    <row r="5878" spans="1:9" x14ac:dyDescent="0.25">
      <c r="A5878">
        <v>2025</v>
      </c>
      <c r="B5878" t="s">
        <v>11704</v>
      </c>
      <c r="C5878" s="1">
        <v>46013</v>
      </c>
      <c r="D5878" t="s">
        <v>11705</v>
      </c>
      <c r="E5878" s="2">
        <v>5576.4</v>
      </c>
      <c r="G5878" s="3">
        <f>MONTH(Tabela1[[#This Row],[Último pagto ano]])</f>
        <v>12</v>
      </c>
      <c r="H5878" t="str">
        <f>TEXT(Tabela1[[#This Row],[Coluna2]]*29,"mmmm")</f>
        <v>dezembro</v>
      </c>
      <c r="I5878" t="str">
        <f>TEXT(MONTH(Tabela1[[#This Row],[Último pagto ano]])*29,"mmmm")</f>
        <v>dezembro</v>
      </c>
    </row>
    <row r="5879" spans="1:9" x14ac:dyDescent="0.25">
      <c r="A5879">
        <v>2025</v>
      </c>
      <c r="B5879" t="s">
        <v>11706</v>
      </c>
      <c r="C5879" s="1">
        <v>45744</v>
      </c>
      <c r="D5879" t="s">
        <v>11707</v>
      </c>
      <c r="E5879" s="2">
        <v>33070.15</v>
      </c>
      <c r="G5879" s="3">
        <f>MONTH(Tabela1[[#This Row],[Último pagto ano]])</f>
        <v>3</v>
      </c>
      <c r="H5879" t="str">
        <f>TEXT(Tabela1[[#This Row],[Coluna2]]*29,"mmmm")</f>
        <v>março</v>
      </c>
      <c r="I5879" t="str">
        <f>TEXT(MONTH(Tabela1[[#This Row],[Último pagto ano]])*29,"mmmm")</f>
        <v>março</v>
      </c>
    </row>
    <row r="5880" spans="1:9" x14ac:dyDescent="0.25">
      <c r="A5880">
        <v>2025</v>
      </c>
      <c r="B5880" t="s">
        <v>11708</v>
      </c>
      <c r="C5880" s="1">
        <v>45702</v>
      </c>
      <c r="D5880" t="s">
        <v>11709</v>
      </c>
      <c r="E5880">
        <v>27.2</v>
      </c>
      <c r="G5880" s="3">
        <f>MONTH(Tabela1[[#This Row],[Último pagto ano]])</f>
        <v>2</v>
      </c>
      <c r="H5880" t="str">
        <f>TEXT(Tabela1[[#This Row],[Coluna2]]*29,"mmmm")</f>
        <v>fevereiro</v>
      </c>
      <c r="I5880" t="str">
        <f>TEXT(MONTH(Tabela1[[#This Row],[Último pagto ano]])*29,"mmmm")</f>
        <v>fevereiro</v>
      </c>
    </row>
    <row r="5881" spans="1:9" x14ac:dyDescent="0.25">
      <c r="A5881">
        <v>2025</v>
      </c>
      <c r="B5881" t="s">
        <v>11710</v>
      </c>
      <c r="C5881" s="1">
        <v>46006</v>
      </c>
      <c r="D5881" t="s">
        <v>11711</v>
      </c>
      <c r="E5881">
        <v>165</v>
      </c>
      <c r="G5881" s="3">
        <f>MONTH(Tabela1[[#This Row],[Último pagto ano]])</f>
        <v>12</v>
      </c>
      <c r="H5881" t="str">
        <f>TEXT(Tabela1[[#This Row],[Coluna2]]*29,"mmmm")</f>
        <v>dezembro</v>
      </c>
      <c r="I5881" t="str">
        <f>TEXT(MONTH(Tabela1[[#This Row],[Último pagto ano]])*29,"mmmm")</f>
        <v>dezembro</v>
      </c>
    </row>
    <row r="5882" spans="1:9" x14ac:dyDescent="0.25">
      <c r="A5882">
        <v>2025</v>
      </c>
      <c r="B5882" t="s">
        <v>11712</v>
      </c>
      <c r="C5882" s="1">
        <v>45740</v>
      </c>
      <c r="D5882" t="s">
        <v>11713</v>
      </c>
      <c r="E5882" s="2">
        <v>2100</v>
      </c>
      <c r="G5882" s="3">
        <f>MONTH(Tabela1[[#This Row],[Último pagto ano]])</f>
        <v>3</v>
      </c>
      <c r="H5882" t="str">
        <f>TEXT(Tabela1[[#This Row],[Coluna2]]*29,"mmmm")</f>
        <v>março</v>
      </c>
      <c r="I5882" t="str">
        <f>TEXT(MONTH(Tabela1[[#This Row],[Último pagto ano]])*29,"mmmm")</f>
        <v>março</v>
      </c>
    </row>
    <row r="5883" spans="1:9" x14ac:dyDescent="0.25">
      <c r="A5883">
        <v>2025</v>
      </c>
      <c r="B5883" t="s">
        <v>11714</v>
      </c>
      <c r="C5883" s="1">
        <v>46006</v>
      </c>
      <c r="D5883" t="s">
        <v>11715</v>
      </c>
      <c r="E5883" s="2">
        <v>12000</v>
      </c>
      <c r="G5883" s="3">
        <f>MONTH(Tabela1[[#This Row],[Último pagto ano]])</f>
        <v>12</v>
      </c>
      <c r="H5883" t="str">
        <f>TEXT(Tabela1[[#This Row],[Coluna2]]*29,"mmmm")</f>
        <v>dezembro</v>
      </c>
      <c r="I5883" t="str">
        <f>TEXT(MONTH(Tabela1[[#This Row],[Último pagto ano]])*29,"mmmm")</f>
        <v>dezembro</v>
      </c>
    </row>
    <row r="5884" spans="1:9" x14ac:dyDescent="0.25">
      <c r="A5884">
        <v>2025</v>
      </c>
      <c r="B5884" t="s">
        <v>11716</v>
      </c>
      <c r="C5884" s="1">
        <v>45702</v>
      </c>
      <c r="D5884" t="s">
        <v>11717</v>
      </c>
      <c r="E5884">
        <v>596.89</v>
      </c>
      <c r="G5884" s="3">
        <f>MONTH(Tabela1[[#This Row],[Último pagto ano]])</f>
        <v>2</v>
      </c>
      <c r="H5884" t="str">
        <f>TEXT(Tabela1[[#This Row],[Coluna2]]*29,"mmmm")</f>
        <v>fevereiro</v>
      </c>
      <c r="I5884" t="str">
        <f>TEXT(MONTH(Tabela1[[#This Row],[Último pagto ano]])*29,"mmmm")</f>
        <v>fevereiro</v>
      </c>
    </row>
    <row r="5885" spans="1:9" x14ac:dyDescent="0.25">
      <c r="A5885">
        <v>2025</v>
      </c>
      <c r="B5885" t="s">
        <v>11718</v>
      </c>
      <c r="C5885" s="1">
        <v>45744</v>
      </c>
      <c r="D5885" t="s">
        <v>11719</v>
      </c>
      <c r="E5885" s="2">
        <v>59191.49</v>
      </c>
      <c r="G5885" s="3">
        <f>MONTH(Tabela1[[#This Row],[Último pagto ano]])</f>
        <v>3</v>
      </c>
      <c r="H5885" t="str">
        <f>TEXT(Tabela1[[#This Row],[Coluna2]]*29,"mmmm")</f>
        <v>março</v>
      </c>
      <c r="I5885" t="str">
        <f>TEXT(MONTH(Tabela1[[#This Row],[Último pagto ano]])*29,"mmmm")</f>
        <v>março</v>
      </c>
    </row>
    <row r="5886" spans="1:9" x14ac:dyDescent="0.25">
      <c r="A5886">
        <v>2025</v>
      </c>
      <c r="B5886" t="s">
        <v>11720</v>
      </c>
      <c r="C5886" s="1">
        <v>45999</v>
      </c>
      <c r="D5886" t="s">
        <v>11721</v>
      </c>
      <c r="E5886">
        <v>110</v>
      </c>
      <c r="G5886" s="3">
        <f>MONTH(Tabela1[[#This Row],[Último pagto ano]])</f>
        <v>12</v>
      </c>
      <c r="H5886" t="str">
        <f>TEXT(Tabela1[[#This Row],[Coluna2]]*29,"mmmm")</f>
        <v>dezembro</v>
      </c>
      <c r="I5886" t="str">
        <f>TEXT(MONTH(Tabela1[[#This Row],[Último pagto ano]])*29,"mmmm")</f>
        <v>dezembro</v>
      </c>
    </row>
    <row r="5887" spans="1:9" x14ac:dyDescent="0.25">
      <c r="A5887">
        <v>2025</v>
      </c>
      <c r="B5887" t="s">
        <v>11722</v>
      </c>
      <c r="C5887" s="1">
        <v>46014</v>
      </c>
      <c r="D5887" t="s">
        <v>11723</v>
      </c>
      <c r="E5887" s="2">
        <v>15552.72</v>
      </c>
      <c r="G5887" s="3">
        <f>MONTH(Tabela1[[#This Row],[Último pagto ano]])</f>
        <v>12</v>
      </c>
      <c r="H5887" t="str">
        <f>TEXT(Tabela1[[#This Row],[Coluna2]]*29,"mmmm")</f>
        <v>dezembro</v>
      </c>
      <c r="I5887" t="str">
        <f>TEXT(MONTH(Tabela1[[#This Row],[Último pagto ano]])*29,"mmmm")</f>
        <v>dezembro</v>
      </c>
    </row>
    <row r="5888" spans="1:9" x14ac:dyDescent="0.25">
      <c r="A5888">
        <v>2025</v>
      </c>
      <c r="B5888" t="s">
        <v>11724</v>
      </c>
      <c r="C5888" s="1">
        <v>46006</v>
      </c>
      <c r="D5888" t="s">
        <v>11725</v>
      </c>
      <c r="E5888" s="2">
        <v>17600</v>
      </c>
      <c r="G5888" s="3">
        <f>MONTH(Tabela1[[#This Row],[Último pagto ano]])</f>
        <v>12</v>
      </c>
      <c r="H5888" t="str">
        <f>TEXT(Tabela1[[#This Row],[Coluna2]]*29,"mmmm")</f>
        <v>dezembro</v>
      </c>
      <c r="I5888" t="str">
        <f>TEXT(MONTH(Tabela1[[#This Row],[Último pagto ano]])*29,"mmmm")</f>
        <v>dezembro</v>
      </c>
    </row>
    <row r="5889" spans="1:9" x14ac:dyDescent="0.25">
      <c r="A5889">
        <v>2025</v>
      </c>
      <c r="B5889" t="s">
        <v>11726</v>
      </c>
      <c r="C5889" s="1">
        <v>45996</v>
      </c>
      <c r="D5889" t="s">
        <v>11727</v>
      </c>
      <c r="E5889" s="2">
        <v>2700</v>
      </c>
      <c r="G5889" s="3">
        <f>MONTH(Tabela1[[#This Row],[Último pagto ano]])</f>
        <v>12</v>
      </c>
      <c r="H5889" t="str">
        <f>TEXT(Tabela1[[#This Row],[Coluna2]]*29,"mmmm")</f>
        <v>dezembro</v>
      </c>
      <c r="I5889" t="str">
        <f>TEXT(MONTH(Tabela1[[#This Row],[Último pagto ano]])*29,"mmmm")</f>
        <v>dezembro</v>
      </c>
    </row>
    <row r="5890" spans="1:9" x14ac:dyDescent="0.25">
      <c r="A5890">
        <v>2025</v>
      </c>
      <c r="B5890" t="s">
        <v>11728</v>
      </c>
      <c r="C5890" s="1">
        <v>45702</v>
      </c>
      <c r="D5890" t="s">
        <v>11729</v>
      </c>
      <c r="E5890">
        <v>28.8</v>
      </c>
      <c r="G5890" s="3">
        <f>MONTH(Tabela1[[#This Row],[Último pagto ano]])</f>
        <v>2</v>
      </c>
      <c r="H5890" t="str">
        <f>TEXT(Tabela1[[#This Row],[Coluna2]]*29,"mmmm")</f>
        <v>fevereiro</v>
      </c>
      <c r="I5890" t="str">
        <f>TEXT(MONTH(Tabela1[[#This Row],[Último pagto ano]])*29,"mmmm")</f>
        <v>fevereiro</v>
      </c>
    </row>
    <row r="5891" spans="1:9" x14ac:dyDescent="0.25">
      <c r="A5891">
        <v>2025</v>
      </c>
      <c r="B5891" t="s">
        <v>11730</v>
      </c>
      <c r="C5891" s="1">
        <v>46006</v>
      </c>
      <c r="D5891" t="s">
        <v>11731</v>
      </c>
      <c r="E5891" s="2">
        <v>8400</v>
      </c>
      <c r="G5891" s="3">
        <f>MONTH(Tabela1[[#This Row],[Último pagto ano]])</f>
        <v>12</v>
      </c>
      <c r="H5891" t="str">
        <f>TEXT(Tabela1[[#This Row],[Coluna2]]*29,"mmmm")</f>
        <v>dezembro</v>
      </c>
      <c r="I5891" t="str">
        <f>TEXT(MONTH(Tabela1[[#This Row],[Último pagto ano]])*29,"mmmm")</f>
        <v>dezembro</v>
      </c>
    </row>
    <row r="5892" spans="1:9" x14ac:dyDescent="0.25">
      <c r="A5892">
        <v>2025</v>
      </c>
      <c r="B5892" t="s">
        <v>11732</v>
      </c>
      <c r="C5892" s="1">
        <v>45989</v>
      </c>
      <c r="D5892" t="s">
        <v>11733</v>
      </c>
      <c r="E5892" s="2">
        <v>7861.84</v>
      </c>
      <c r="G5892" s="3">
        <f>MONTH(Tabela1[[#This Row],[Último pagto ano]])</f>
        <v>11</v>
      </c>
      <c r="H5892" t="str">
        <f>TEXT(Tabela1[[#This Row],[Coluna2]]*29,"mmmm")</f>
        <v>novembro</v>
      </c>
      <c r="I5892" t="str">
        <f>TEXT(MONTH(Tabela1[[#This Row],[Último pagto ano]])*29,"mmmm")</f>
        <v>novembro</v>
      </c>
    </row>
    <row r="5893" spans="1:9" x14ac:dyDescent="0.25">
      <c r="A5893">
        <v>2025</v>
      </c>
      <c r="B5893" t="s">
        <v>11734</v>
      </c>
      <c r="C5893" s="1">
        <v>46014</v>
      </c>
      <c r="D5893" t="s">
        <v>11735</v>
      </c>
      <c r="E5893" s="2">
        <v>5701.2</v>
      </c>
      <c r="G5893" s="3">
        <f>MONTH(Tabela1[[#This Row],[Último pagto ano]])</f>
        <v>12</v>
      </c>
      <c r="H5893" t="str">
        <f>TEXT(Tabela1[[#This Row],[Coluna2]]*29,"mmmm")</f>
        <v>dezembro</v>
      </c>
      <c r="I5893" t="str">
        <f>TEXT(MONTH(Tabela1[[#This Row],[Último pagto ano]])*29,"mmmm")</f>
        <v>dezembro</v>
      </c>
    </row>
    <row r="5894" spans="1:9" x14ac:dyDescent="0.25">
      <c r="A5894">
        <v>2025</v>
      </c>
      <c r="B5894" t="s">
        <v>11736</v>
      </c>
      <c r="C5894" s="1">
        <v>45702</v>
      </c>
      <c r="D5894" t="s">
        <v>11737</v>
      </c>
      <c r="E5894" s="2">
        <v>1190.08</v>
      </c>
      <c r="G5894" s="3">
        <f>MONTH(Tabela1[[#This Row],[Último pagto ano]])</f>
        <v>2</v>
      </c>
      <c r="H5894" t="str">
        <f>TEXT(Tabela1[[#This Row],[Coluna2]]*29,"mmmm")</f>
        <v>fevereiro</v>
      </c>
      <c r="I5894" t="str">
        <f>TEXT(MONTH(Tabela1[[#This Row],[Último pagto ano]])*29,"mmmm")</f>
        <v>fevereiro</v>
      </c>
    </row>
    <row r="5895" spans="1:9" x14ac:dyDescent="0.25">
      <c r="A5895">
        <v>2025</v>
      </c>
      <c r="B5895" t="s">
        <v>11738</v>
      </c>
      <c r="C5895" s="1">
        <v>45950</v>
      </c>
      <c r="D5895" t="s">
        <v>11739</v>
      </c>
      <c r="E5895">
        <v>286</v>
      </c>
      <c r="G5895" s="3">
        <f>MONTH(Tabela1[[#This Row],[Último pagto ano]])</f>
        <v>10</v>
      </c>
      <c r="H5895" t="str">
        <f>TEXT(Tabela1[[#This Row],[Coluna2]]*29,"mmmm")</f>
        <v>outubro</v>
      </c>
      <c r="I5895" t="str">
        <f>TEXT(MONTH(Tabela1[[#This Row],[Último pagto ano]])*29,"mmmm")</f>
        <v>outubro</v>
      </c>
    </row>
    <row r="5896" spans="1:9" x14ac:dyDescent="0.25">
      <c r="A5896">
        <v>2025</v>
      </c>
      <c r="B5896" t="s">
        <v>11740</v>
      </c>
      <c r="C5896" s="1">
        <v>45736</v>
      </c>
      <c r="D5896" t="s">
        <v>11741</v>
      </c>
      <c r="E5896">
        <v>320</v>
      </c>
      <c r="G5896" s="3">
        <f>MONTH(Tabela1[[#This Row],[Último pagto ano]])</f>
        <v>3</v>
      </c>
      <c r="H5896" t="str">
        <f>TEXT(Tabela1[[#This Row],[Coluna2]]*29,"mmmm")</f>
        <v>março</v>
      </c>
      <c r="I5896" t="str">
        <f>TEXT(MONTH(Tabela1[[#This Row],[Último pagto ano]])*29,"mmmm")</f>
        <v>março</v>
      </c>
    </row>
    <row r="5897" spans="1:9" x14ac:dyDescent="0.25">
      <c r="A5897">
        <v>2025</v>
      </c>
      <c r="B5897" t="s">
        <v>11742</v>
      </c>
      <c r="C5897" s="1">
        <v>45887</v>
      </c>
      <c r="D5897" t="s">
        <v>11743</v>
      </c>
      <c r="E5897" s="2">
        <v>8792.17</v>
      </c>
      <c r="G5897" s="3">
        <f>MONTH(Tabela1[[#This Row],[Último pagto ano]])</f>
        <v>8</v>
      </c>
      <c r="H5897" t="str">
        <f>TEXT(Tabela1[[#This Row],[Coluna2]]*29,"mmmm")</f>
        <v>agosto</v>
      </c>
      <c r="I5897" t="str">
        <f>TEXT(MONTH(Tabela1[[#This Row],[Último pagto ano]])*29,"mmmm")</f>
        <v>agosto</v>
      </c>
    </row>
    <row r="5898" spans="1:9" x14ac:dyDescent="0.25">
      <c r="A5898">
        <v>2025</v>
      </c>
      <c r="B5898" t="s">
        <v>11744</v>
      </c>
      <c r="C5898" s="1">
        <v>45887</v>
      </c>
      <c r="D5898" t="s">
        <v>11745</v>
      </c>
      <c r="E5898">
        <v>88</v>
      </c>
      <c r="G5898" s="3">
        <f>MONTH(Tabela1[[#This Row],[Último pagto ano]])</f>
        <v>8</v>
      </c>
      <c r="H5898" t="str">
        <f>TEXT(Tabela1[[#This Row],[Coluna2]]*29,"mmmm")</f>
        <v>agosto</v>
      </c>
      <c r="I5898" t="str">
        <f>TEXT(MONTH(Tabela1[[#This Row],[Último pagto ano]])*29,"mmmm")</f>
        <v>agosto</v>
      </c>
    </row>
    <row r="5899" spans="1:9" x14ac:dyDescent="0.25">
      <c r="A5899">
        <v>2025</v>
      </c>
      <c r="B5899" t="s">
        <v>11746</v>
      </c>
      <c r="C5899" s="1">
        <v>45716</v>
      </c>
      <c r="D5899" t="s">
        <v>11747</v>
      </c>
      <c r="E5899" s="2">
        <v>2143.6</v>
      </c>
      <c r="G5899" s="3">
        <f>MONTH(Tabela1[[#This Row],[Último pagto ano]])</f>
        <v>2</v>
      </c>
      <c r="H5899" t="str">
        <f>TEXT(Tabela1[[#This Row],[Coluna2]]*29,"mmmm")</f>
        <v>fevereiro</v>
      </c>
      <c r="I5899" t="str">
        <f>TEXT(MONTH(Tabela1[[#This Row],[Último pagto ano]])*29,"mmmm")</f>
        <v>fevereiro</v>
      </c>
    </row>
    <row r="5900" spans="1:9" x14ac:dyDescent="0.25">
      <c r="A5900">
        <v>2025</v>
      </c>
      <c r="B5900" t="s">
        <v>11748</v>
      </c>
      <c r="C5900" s="1">
        <v>45897</v>
      </c>
      <c r="D5900" t="s">
        <v>11749</v>
      </c>
      <c r="E5900" s="2">
        <v>1953.9</v>
      </c>
      <c r="G5900" s="3">
        <f>MONTH(Tabela1[[#This Row],[Último pagto ano]])</f>
        <v>8</v>
      </c>
      <c r="H5900" t="str">
        <f>TEXT(Tabela1[[#This Row],[Coluna2]]*29,"mmmm")</f>
        <v>agosto</v>
      </c>
      <c r="I5900" t="str">
        <f>TEXT(MONTH(Tabela1[[#This Row],[Último pagto ano]])*29,"mmmm")</f>
        <v>agosto</v>
      </c>
    </row>
    <row r="5901" spans="1:9" x14ac:dyDescent="0.25">
      <c r="A5901">
        <v>2025</v>
      </c>
      <c r="B5901" t="s">
        <v>11750</v>
      </c>
      <c r="C5901" s="1">
        <v>45995</v>
      </c>
      <c r="D5901" t="s">
        <v>11751</v>
      </c>
      <c r="E5901">
        <v>11</v>
      </c>
      <c r="G5901" s="3">
        <f>MONTH(Tabela1[[#This Row],[Último pagto ano]])</f>
        <v>12</v>
      </c>
      <c r="H5901" t="str">
        <f>TEXT(Tabela1[[#This Row],[Coluna2]]*29,"mmmm")</f>
        <v>dezembro</v>
      </c>
      <c r="I5901" t="str">
        <f>TEXT(MONTH(Tabela1[[#This Row],[Último pagto ano]])*29,"mmmm")</f>
        <v>dezembro</v>
      </c>
    </row>
    <row r="5902" spans="1:9" x14ac:dyDescent="0.25">
      <c r="A5902">
        <v>2025</v>
      </c>
      <c r="B5902" t="s">
        <v>11752</v>
      </c>
      <c r="C5902" s="1">
        <v>46010</v>
      </c>
      <c r="D5902" t="s">
        <v>11753</v>
      </c>
      <c r="E5902" s="2">
        <v>12000</v>
      </c>
      <c r="G5902" s="3">
        <f>MONTH(Tabela1[[#This Row],[Último pagto ano]])</f>
        <v>12</v>
      </c>
      <c r="H5902" t="str">
        <f>TEXT(Tabela1[[#This Row],[Coluna2]]*29,"mmmm")</f>
        <v>dezembro</v>
      </c>
      <c r="I5902" t="str">
        <f>TEXT(MONTH(Tabela1[[#This Row],[Último pagto ano]])*29,"mmmm")</f>
        <v>dezembro</v>
      </c>
    </row>
    <row r="5903" spans="1:9" x14ac:dyDescent="0.25">
      <c r="A5903">
        <v>2025</v>
      </c>
      <c r="B5903" t="s">
        <v>11754</v>
      </c>
      <c r="C5903" s="1">
        <v>46021</v>
      </c>
      <c r="D5903" t="s">
        <v>11755</v>
      </c>
      <c r="E5903" s="2">
        <v>10389.52</v>
      </c>
      <c r="G5903" s="3">
        <f>MONTH(Tabela1[[#This Row],[Último pagto ano]])</f>
        <v>12</v>
      </c>
      <c r="H5903" t="str">
        <f>TEXT(Tabela1[[#This Row],[Coluna2]]*29,"mmmm")</f>
        <v>dezembro</v>
      </c>
      <c r="I5903" t="str">
        <f>TEXT(MONTH(Tabela1[[#This Row],[Último pagto ano]])*29,"mmmm")</f>
        <v>dezembro</v>
      </c>
    </row>
    <row r="5904" spans="1:9" x14ac:dyDescent="0.25">
      <c r="A5904">
        <v>2025</v>
      </c>
      <c r="B5904" t="s">
        <v>11756</v>
      </c>
      <c r="C5904" s="1">
        <v>45996</v>
      </c>
      <c r="D5904" t="s">
        <v>11757</v>
      </c>
      <c r="E5904" s="2">
        <v>10850</v>
      </c>
      <c r="G5904" s="3">
        <f>MONTH(Tabela1[[#This Row],[Último pagto ano]])</f>
        <v>12</v>
      </c>
      <c r="H5904" t="str">
        <f>TEXT(Tabela1[[#This Row],[Coluna2]]*29,"mmmm")</f>
        <v>dezembro</v>
      </c>
      <c r="I5904" t="str">
        <f>TEXT(MONTH(Tabela1[[#This Row],[Último pagto ano]])*29,"mmmm")</f>
        <v>dezembro</v>
      </c>
    </row>
    <row r="5905" spans="1:9" x14ac:dyDescent="0.25">
      <c r="A5905">
        <v>2025</v>
      </c>
      <c r="B5905" t="s">
        <v>11758</v>
      </c>
      <c r="C5905" s="1">
        <v>45989</v>
      </c>
      <c r="D5905" t="s">
        <v>11759</v>
      </c>
      <c r="E5905" s="2">
        <v>11774.62</v>
      </c>
      <c r="G5905" s="3">
        <f>MONTH(Tabela1[[#This Row],[Último pagto ano]])</f>
        <v>11</v>
      </c>
      <c r="H5905" t="str">
        <f>TEXT(Tabela1[[#This Row],[Coluna2]]*29,"mmmm")</f>
        <v>novembro</v>
      </c>
      <c r="I5905" t="str">
        <f>TEXT(MONTH(Tabela1[[#This Row],[Último pagto ano]])*29,"mmmm")</f>
        <v>novembro</v>
      </c>
    </row>
    <row r="5906" spans="1:9" x14ac:dyDescent="0.25">
      <c r="A5906">
        <v>2025</v>
      </c>
      <c r="B5906" t="s">
        <v>11760</v>
      </c>
      <c r="C5906" s="1">
        <v>45702</v>
      </c>
      <c r="D5906" t="s">
        <v>11761</v>
      </c>
      <c r="E5906">
        <v>949.97</v>
      </c>
      <c r="G5906" s="3">
        <f>MONTH(Tabela1[[#This Row],[Último pagto ano]])</f>
        <v>2</v>
      </c>
      <c r="H5906" t="str">
        <f>TEXT(Tabela1[[#This Row],[Coluna2]]*29,"mmmm")</f>
        <v>fevereiro</v>
      </c>
      <c r="I5906" t="str">
        <f>TEXT(MONTH(Tabela1[[#This Row],[Último pagto ano]])*29,"mmmm")</f>
        <v>fevereiro</v>
      </c>
    </row>
    <row r="5907" spans="1:9" x14ac:dyDescent="0.25">
      <c r="A5907">
        <v>2025</v>
      </c>
      <c r="B5907" t="s">
        <v>11762</v>
      </c>
      <c r="C5907" s="1">
        <v>45744</v>
      </c>
      <c r="D5907" t="s">
        <v>11763</v>
      </c>
      <c r="E5907" s="2">
        <v>87879.81</v>
      </c>
      <c r="G5907" s="3">
        <f>MONTH(Tabela1[[#This Row],[Último pagto ano]])</f>
        <v>3</v>
      </c>
      <c r="H5907" t="str">
        <f>TEXT(Tabela1[[#This Row],[Coluna2]]*29,"mmmm")</f>
        <v>março</v>
      </c>
      <c r="I5907" t="str">
        <f>TEXT(MONTH(Tabela1[[#This Row],[Último pagto ano]])*29,"mmmm")</f>
        <v>março</v>
      </c>
    </row>
    <row r="5908" spans="1:9" x14ac:dyDescent="0.25">
      <c r="A5908">
        <v>2025</v>
      </c>
      <c r="B5908" t="s">
        <v>11764</v>
      </c>
      <c r="C5908" s="1">
        <v>45873</v>
      </c>
      <c r="D5908" t="s">
        <v>11765</v>
      </c>
      <c r="E5908">
        <v>22</v>
      </c>
      <c r="G5908" s="3">
        <f>MONTH(Tabela1[[#This Row],[Último pagto ano]])</f>
        <v>8</v>
      </c>
      <c r="H5908" t="str">
        <f>TEXT(Tabela1[[#This Row],[Coluna2]]*29,"mmmm")</f>
        <v>agosto</v>
      </c>
      <c r="I5908" t="str">
        <f>TEXT(MONTH(Tabela1[[#This Row],[Último pagto ano]])*29,"mmmm")</f>
        <v>agosto</v>
      </c>
    </row>
    <row r="5909" spans="1:9" x14ac:dyDescent="0.25">
      <c r="A5909">
        <v>2025</v>
      </c>
      <c r="B5909" t="s">
        <v>11766</v>
      </c>
      <c r="C5909" s="1">
        <v>45964</v>
      </c>
      <c r="D5909" t="s">
        <v>11767</v>
      </c>
      <c r="E5909">
        <v>44</v>
      </c>
      <c r="G5909" s="3">
        <f>MONTH(Tabela1[[#This Row],[Último pagto ano]])</f>
        <v>11</v>
      </c>
      <c r="H5909" t="str">
        <f>TEXT(Tabela1[[#This Row],[Coluna2]]*29,"mmmm")</f>
        <v>novembro</v>
      </c>
      <c r="I5909" t="str">
        <f>TEXT(MONTH(Tabela1[[#This Row],[Último pagto ano]])*29,"mmmm")</f>
        <v>novembro</v>
      </c>
    </row>
    <row r="5910" spans="1:9" x14ac:dyDescent="0.25">
      <c r="A5910">
        <v>2025</v>
      </c>
      <c r="B5910" t="s">
        <v>11768</v>
      </c>
      <c r="C5910" s="1">
        <v>45868</v>
      </c>
      <c r="D5910" t="s">
        <v>11769</v>
      </c>
      <c r="E5910" s="2">
        <v>4878.17</v>
      </c>
      <c r="G5910" s="3">
        <f>MONTH(Tabela1[[#This Row],[Último pagto ano]])</f>
        <v>7</v>
      </c>
      <c r="H5910" t="str">
        <f>TEXT(Tabela1[[#This Row],[Coluna2]]*29,"mmmm")</f>
        <v>julho</v>
      </c>
      <c r="I5910" t="str">
        <f>TEXT(MONTH(Tabela1[[#This Row],[Último pagto ano]])*29,"mmmm")</f>
        <v>julho</v>
      </c>
    </row>
    <row r="5911" spans="1:9" x14ac:dyDescent="0.25">
      <c r="A5911">
        <v>2025</v>
      </c>
      <c r="B5911" t="s">
        <v>11770</v>
      </c>
      <c r="C5911" s="1">
        <v>46010</v>
      </c>
      <c r="D5911" t="s">
        <v>11771</v>
      </c>
      <c r="E5911" s="2">
        <v>7000</v>
      </c>
      <c r="G5911" s="3">
        <f>MONTH(Tabela1[[#This Row],[Último pagto ano]])</f>
        <v>12</v>
      </c>
      <c r="H5911" t="str">
        <f>TEXT(Tabela1[[#This Row],[Coluna2]]*29,"mmmm")</f>
        <v>dezembro</v>
      </c>
      <c r="I5911" t="str">
        <f>TEXT(MONTH(Tabela1[[#This Row],[Último pagto ano]])*29,"mmmm")</f>
        <v>dezembro</v>
      </c>
    </row>
    <row r="5912" spans="1:9" x14ac:dyDescent="0.25">
      <c r="A5912">
        <v>2025</v>
      </c>
      <c r="B5912" t="s">
        <v>11772</v>
      </c>
      <c r="C5912" s="1">
        <v>45968</v>
      </c>
      <c r="D5912" t="s">
        <v>11773</v>
      </c>
      <c r="E5912" s="2">
        <v>9456.11</v>
      </c>
      <c r="G5912" s="3">
        <f>MONTH(Tabela1[[#This Row],[Último pagto ano]])</f>
        <v>11</v>
      </c>
      <c r="H5912" t="str">
        <f>TEXT(Tabela1[[#This Row],[Coluna2]]*29,"mmmm")</f>
        <v>novembro</v>
      </c>
      <c r="I5912" t="str">
        <f>TEXT(MONTH(Tabela1[[#This Row],[Último pagto ano]])*29,"mmmm")</f>
        <v>novembro</v>
      </c>
    </row>
    <row r="5913" spans="1:9" x14ac:dyDescent="0.25">
      <c r="A5913">
        <v>2025</v>
      </c>
      <c r="B5913" t="s">
        <v>11774</v>
      </c>
      <c r="C5913" s="1">
        <v>45938</v>
      </c>
      <c r="D5913" t="s">
        <v>11775</v>
      </c>
      <c r="E5913" s="2">
        <v>4125.1400000000003</v>
      </c>
      <c r="G5913" s="3">
        <f>MONTH(Tabela1[[#This Row],[Último pagto ano]])</f>
        <v>10</v>
      </c>
      <c r="H5913" t="str">
        <f>TEXT(Tabela1[[#This Row],[Coluna2]]*29,"mmmm")</f>
        <v>outubro</v>
      </c>
      <c r="I5913" t="str">
        <f>TEXT(MONTH(Tabela1[[#This Row],[Último pagto ano]])*29,"mmmm")</f>
        <v>outubro</v>
      </c>
    </row>
    <row r="5914" spans="1:9" x14ac:dyDescent="0.25">
      <c r="A5914">
        <v>2025</v>
      </c>
      <c r="B5914" t="s">
        <v>11776</v>
      </c>
      <c r="C5914" s="1">
        <v>45744</v>
      </c>
      <c r="D5914" t="s">
        <v>11777</v>
      </c>
      <c r="E5914" s="2">
        <v>2757.67</v>
      </c>
      <c r="G5914" s="3">
        <f>MONTH(Tabela1[[#This Row],[Último pagto ano]])</f>
        <v>3</v>
      </c>
      <c r="H5914" t="str">
        <f>TEXT(Tabela1[[#This Row],[Coluna2]]*29,"mmmm")</f>
        <v>março</v>
      </c>
      <c r="I5914" t="str">
        <f>TEXT(MONTH(Tabela1[[#This Row],[Último pagto ano]])*29,"mmmm")</f>
        <v>março</v>
      </c>
    </row>
    <row r="5915" spans="1:9" x14ac:dyDescent="0.25">
      <c r="A5915">
        <v>2025</v>
      </c>
      <c r="B5915" t="s">
        <v>11778</v>
      </c>
      <c r="C5915" s="1">
        <v>45996</v>
      </c>
      <c r="D5915" t="s">
        <v>11779</v>
      </c>
      <c r="E5915" s="2">
        <v>5000</v>
      </c>
      <c r="G5915" s="3">
        <f>MONTH(Tabela1[[#This Row],[Último pagto ano]])</f>
        <v>12</v>
      </c>
      <c r="H5915" t="str">
        <f>TEXT(Tabela1[[#This Row],[Coluna2]]*29,"mmmm")</f>
        <v>dezembro</v>
      </c>
      <c r="I5915" t="str">
        <f>TEXT(MONTH(Tabela1[[#This Row],[Último pagto ano]])*29,"mmmm")</f>
        <v>dezembro</v>
      </c>
    </row>
    <row r="5916" spans="1:9" x14ac:dyDescent="0.25">
      <c r="A5916">
        <v>2025</v>
      </c>
      <c r="B5916" t="s">
        <v>11780</v>
      </c>
      <c r="C5916" s="1">
        <v>46010</v>
      </c>
      <c r="D5916" t="s">
        <v>11781</v>
      </c>
      <c r="E5916" s="2">
        <v>24000</v>
      </c>
      <c r="G5916" s="3">
        <f>MONTH(Tabela1[[#This Row],[Último pagto ano]])</f>
        <v>12</v>
      </c>
      <c r="H5916" t="str">
        <f>TEXT(Tabela1[[#This Row],[Coluna2]]*29,"mmmm")</f>
        <v>dezembro</v>
      </c>
      <c r="I5916" t="str">
        <f>TEXT(MONTH(Tabela1[[#This Row],[Último pagto ano]])*29,"mmmm")</f>
        <v>dezembro</v>
      </c>
    </row>
    <row r="5917" spans="1:9" x14ac:dyDescent="0.25">
      <c r="A5917">
        <v>2025</v>
      </c>
      <c r="B5917" t="s">
        <v>11782</v>
      </c>
      <c r="C5917" s="1">
        <v>46014</v>
      </c>
      <c r="D5917" t="s">
        <v>11783</v>
      </c>
      <c r="E5917">
        <v>736.4</v>
      </c>
      <c r="G5917" s="3">
        <f>MONTH(Tabela1[[#This Row],[Último pagto ano]])</f>
        <v>12</v>
      </c>
      <c r="H5917" t="str">
        <f>TEXT(Tabela1[[#This Row],[Coluna2]]*29,"mmmm")</f>
        <v>dezembro</v>
      </c>
      <c r="I5917" t="str">
        <f>TEXT(MONTH(Tabela1[[#This Row],[Último pagto ano]])*29,"mmmm")</f>
        <v>dezembro</v>
      </c>
    </row>
    <row r="5918" spans="1:9" x14ac:dyDescent="0.25">
      <c r="A5918">
        <v>2025</v>
      </c>
      <c r="B5918" t="s">
        <v>11784</v>
      </c>
      <c r="C5918" s="1">
        <v>45751</v>
      </c>
      <c r="D5918" t="s">
        <v>11785</v>
      </c>
      <c r="E5918">
        <v>259.2</v>
      </c>
      <c r="G5918" s="3">
        <f>MONTH(Tabela1[[#This Row],[Último pagto ano]])</f>
        <v>4</v>
      </c>
      <c r="H5918" t="str">
        <f>TEXT(Tabela1[[#This Row],[Coluna2]]*29,"mmmm")</f>
        <v>abril</v>
      </c>
      <c r="I5918" t="str">
        <f>TEXT(MONTH(Tabela1[[#This Row],[Último pagto ano]])*29,"mmmm")</f>
        <v>abril</v>
      </c>
    </row>
    <row r="5919" spans="1:9" x14ac:dyDescent="0.25">
      <c r="A5919">
        <v>2025</v>
      </c>
      <c r="B5919" t="s">
        <v>11786</v>
      </c>
      <c r="C5919" s="1">
        <v>45702</v>
      </c>
      <c r="D5919" t="s">
        <v>11787</v>
      </c>
      <c r="E5919">
        <v>38.39</v>
      </c>
      <c r="G5919" s="3">
        <f>MONTH(Tabela1[[#This Row],[Último pagto ano]])</f>
        <v>2</v>
      </c>
      <c r="H5919" t="str">
        <f>TEXT(Tabela1[[#This Row],[Coluna2]]*29,"mmmm")</f>
        <v>fevereiro</v>
      </c>
      <c r="I5919" t="str">
        <f>TEXT(MONTH(Tabela1[[#This Row],[Último pagto ano]])*29,"mmmm")</f>
        <v>fevereiro</v>
      </c>
    </row>
    <row r="5920" spans="1:9" x14ac:dyDescent="0.25">
      <c r="A5920">
        <v>2025</v>
      </c>
      <c r="B5920" t="s">
        <v>11788</v>
      </c>
      <c r="C5920" s="1">
        <v>46006</v>
      </c>
      <c r="D5920" t="s">
        <v>11789</v>
      </c>
      <c r="E5920" s="2">
        <v>12000</v>
      </c>
      <c r="G5920" s="3">
        <f>MONTH(Tabela1[[#This Row],[Último pagto ano]])</f>
        <v>12</v>
      </c>
      <c r="H5920" t="str">
        <f>TEXT(Tabela1[[#This Row],[Coluna2]]*29,"mmmm")</f>
        <v>dezembro</v>
      </c>
      <c r="I5920" t="str">
        <f>TEXT(MONTH(Tabela1[[#This Row],[Último pagto ano]])*29,"mmmm")</f>
        <v>dezembro</v>
      </c>
    </row>
    <row r="5921" spans="1:9" x14ac:dyDescent="0.25">
      <c r="A5921">
        <v>2025</v>
      </c>
      <c r="B5921" t="s">
        <v>11790</v>
      </c>
      <c r="C5921" s="1">
        <v>46010</v>
      </c>
      <c r="D5921" t="s">
        <v>11791</v>
      </c>
      <c r="E5921" s="2">
        <v>8400</v>
      </c>
      <c r="G5921" s="3">
        <f>MONTH(Tabela1[[#This Row],[Último pagto ano]])</f>
        <v>12</v>
      </c>
      <c r="H5921" t="str">
        <f>TEXT(Tabela1[[#This Row],[Coluna2]]*29,"mmmm")</f>
        <v>dezembro</v>
      </c>
      <c r="I5921" t="str">
        <f>TEXT(MONTH(Tabela1[[#This Row],[Último pagto ano]])*29,"mmmm")</f>
        <v>dezembro</v>
      </c>
    </row>
    <row r="5922" spans="1:9" x14ac:dyDescent="0.25">
      <c r="A5922">
        <v>2025</v>
      </c>
      <c r="B5922" t="s">
        <v>11792</v>
      </c>
      <c r="C5922" s="1">
        <v>45702</v>
      </c>
      <c r="D5922" t="s">
        <v>11793</v>
      </c>
      <c r="E5922">
        <v>785.43</v>
      </c>
      <c r="G5922" s="3">
        <f>MONTH(Tabela1[[#This Row],[Último pagto ano]])</f>
        <v>2</v>
      </c>
      <c r="H5922" t="str">
        <f>TEXT(Tabela1[[#This Row],[Coluna2]]*29,"mmmm")</f>
        <v>fevereiro</v>
      </c>
      <c r="I5922" t="str">
        <f>TEXT(MONTH(Tabela1[[#This Row],[Último pagto ano]])*29,"mmmm")</f>
        <v>fevereiro</v>
      </c>
    </row>
    <row r="5923" spans="1:9" x14ac:dyDescent="0.25">
      <c r="A5923">
        <v>2025</v>
      </c>
      <c r="B5923" t="s">
        <v>11794</v>
      </c>
      <c r="C5923" s="1">
        <v>45993</v>
      </c>
      <c r="D5923" t="s">
        <v>11795</v>
      </c>
      <c r="E5923" s="2">
        <v>10850.1</v>
      </c>
      <c r="G5923" s="3">
        <f>MONTH(Tabela1[[#This Row],[Último pagto ano]])</f>
        <v>12</v>
      </c>
      <c r="H5923" t="str">
        <f>TEXT(Tabela1[[#This Row],[Coluna2]]*29,"mmmm")</f>
        <v>dezembro</v>
      </c>
      <c r="I5923" t="str">
        <f>TEXT(MONTH(Tabela1[[#This Row],[Último pagto ano]])*29,"mmmm")</f>
        <v>dezembro</v>
      </c>
    </row>
    <row r="5924" spans="1:9" x14ac:dyDescent="0.25">
      <c r="A5924">
        <v>2025</v>
      </c>
      <c r="B5924" t="s">
        <v>11796</v>
      </c>
      <c r="C5924" s="1">
        <v>45989</v>
      </c>
      <c r="D5924" t="s">
        <v>11797</v>
      </c>
      <c r="E5924" s="2">
        <v>6459.02</v>
      </c>
      <c r="G5924" s="3">
        <f>MONTH(Tabela1[[#This Row],[Último pagto ano]])</f>
        <v>11</v>
      </c>
      <c r="H5924" t="str">
        <f>TEXT(Tabela1[[#This Row],[Coluna2]]*29,"mmmm")</f>
        <v>novembro</v>
      </c>
      <c r="I5924" t="str">
        <f>TEXT(MONTH(Tabela1[[#This Row],[Último pagto ano]])*29,"mmmm")</f>
        <v>novembro</v>
      </c>
    </row>
    <row r="5925" spans="1:9" x14ac:dyDescent="0.25">
      <c r="A5925">
        <v>2025</v>
      </c>
      <c r="B5925" t="s">
        <v>11798</v>
      </c>
      <c r="C5925" s="1">
        <v>46021</v>
      </c>
      <c r="D5925" t="s">
        <v>11799</v>
      </c>
      <c r="E5925" s="2">
        <v>7426.58</v>
      </c>
      <c r="G5925" s="3">
        <f>MONTH(Tabela1[[#This Row],[Último pagto ano]])</f>
        <v>12</v>
      </c>
      <c r="H5925" t="str">
        <f>TEXT(Tabela1[[#This Row],[Coluna2]]*29,"mmmm")</f>
        <v>dezembro</v>
      </c>
      <c r="I5925" t="str">
        <f>TEXT(MONTH(Tabela1[[#This Row],[Último pagto ano]])*29,"mmmm")</f>
        <v>dezembro</v>
      </c>
    </row>
    <row r="5926" spans="1:9" x14ac:dyDescent="0.25">
      <c r="A5926">
        <v>2025</v>
      </c>
      <c r="B5926" t="s">
        <v>11800</v>
      </c>
      <c r="C5926" s="1">
        <v>45702</v>
      </c>
      <c r="D5926" t="s">
        <v>11801</v>
      </c>
      <c r="E5926">
        <v>564.07000000000005</v>
      </c>
      <c r="G5926" s="3">
        <f>MONTH(Tabela1[[#This Row],[Último pagto ano]])</f>
        <v>2</v>
      </c>
      <c r="H5926" t="str">
        <f>TEXT(Tabela1[[#This Row],[Coluna2]]*29,"mmmm")</f>
        <v>fevereiro</v>
      </c>
      <c r="I5926" t="str">
        <f>TEXT(MONTH(Tabela1[[#This Row],[Último pagto ano]])*29,"mmmm")</f>
        <v>fevereiro</v>
      </c>
    </row>
    <row r="5927" spans="1:9" x14ac:dyDescent="0.25">
      <c r="A5927">
        <v>2025</v>
      </c>
      <c r="B5927" t="s">
        <v>11802</v>
      </c>
      <c r="C5927" s="1">
        <v>45989</v>
      </c>
      <c r="D5927" t="s">
        <v>11803</v>
      </c>
      <c r="E5927" s="2">
        <v>8467.94</v>
      </c>
      <c r="G5927" s="3">
        <f>MONTH(Tabela1[[#This Row],[Último pagto ano]])</f>
        <v>11</v>
      </c>
      <c r="H5927" t="str">
        <f>TEXT(Tabela1[[#This Row],[Coluna2]]*29,"mmmm")</f>
        <v>novembro</v>
      </c>
      <c r="I5927" t="str">
        <f>TEXT(MONTH(Tabela1[[#This Row],[Último pagto ano]])*29,"mmmm")</f>
        <v>novembro</v>
      </c>
    </row>
    <row r="5928" spans="1:9" x14ac:dyDescent="0.25">
      <c r="A5928">
        <v>2025</v>
      </c>
      <c r="B5928" t="s">
        <v>11804</v>
      </c>
      <c r="C5928" s="1">
        <v>45868</v>
      </c>
      <c r="D5928" t="s">
        <v>11805</v>
      </c>
      <c r="E5928" s="2">
        <v>6968.27</v>
      </c>
      <c r="G5928" s="3">
        <f>MONTH(Tabela1[[#This Row],[Último pagto ano]])</f>
        <v>7</v>
      </c>
      <c r="H5928" t="str">
        <f>TEXT(Tabela1[[#This Row],[Coluna2]]*29,"mmmm")</f>
        <v>julho</v>
      </c>
      <c r="I5928" t="str">
        <f>TEXT(MONTH(Tabela1[[#This Row],[Último pagto ano]])*29,"mmmm")</f>
        <v>julho</v>
      </c>
    </row>
    <row r="5929" spans="1:9" x14ac:dyDescent="0.25">
      <c r="A5929">
        <v>2025</v>
      </c>
      <c r="B5929" t="s">
        <v>11806</v>
      </c>
      <c r="C5929" s="1">
        <v>45996</v>
      </c>
      <c r="D5929" t="s">
        <v>11807</v>
      </c>
      <c r="E5929" s="2">
        <v>5650</v>
      </c>
      <c r="G5929" s="3">
        <f>MONTH(Tabela1[[#This Row],[Último pagto ano]])</f>
        <v>12</v>
      </c>
      <c r="H5929" t="str">
        <f>TEXT(Tabela1[[#This Row],[Coluna2]]*29,"mmmm")</f>
        <v>dezembro</v>
      </c>
      <c r="I5929" t="str">
        <f>TEXT(MONTH(Tabela1[[#This Row],[Último pagto ano]])*29,"mmmm")</f>
        <v>dezembro</v>
      </c>
    </row>
    <row r="5930" spans="1:9" x14ac:dyDescent="0.25">
      <c r="A5930">
        <v>2025</v>
      </c>
      <c r="B5930" t="s">
        <v>11808</v>
      </c>
      <c r="C5930" s="1">
        <v>45754</v>
      </c>
      <c r="D5930" t="s">
        <v>11809</v>
      </c>
      <c r="E5930">
        <v>800</v>
      </c>
      <c r="G5930" s="3">
        <f>MONTH(Tabela1[[#This Row],[Último pagto ano]])</f>
        <v>4</v>
      </c>
      <c r="H5930" t="str">
        <f>TEXT(Tabela1[[#This Row],[Coluna2]]*29,"mmmm")</f>
        <v>abril</v>
      </c>
      <c r="I5930" t="str">
        <f>TEXT(MONTH(Tabela1[[#This Row],[Último pagto ano]])*29,"mmmm")</f>
        <v>abril</v>
      </c>
    </row>
    <row r="5931" spans="1:9" x14ac:dyDescent="0.25">
      <c r="A5931">
        <v>2025</v>
      </c>
      <c r="B5931" t="s">
        <v>11810</v>
      </c>
      <c r="C5931" s="1">
        <v>45702</v>
      </c>
      <c r="D5931" t="s">
        <v>11811</v>
      </c>
      <c r="E5931" s="2">
        <v>1300.45</v>
      </c>
      <c r="G5931" s="3">
        <f>MONTH(Tabela1[[#This Row],[Último pagto ano]])</f>
        <v>2</v>
      </c>
      <c r="H5931" t="str">
        <f>TEXT(Tabela1[[#This Row],[Coluna2]]*29,"mmmm")</f>
        <v>fevereiro</v>
      </c>
      <c r="I5931" t="str">
        <f>TEXT(MONTH(Tabela1[[#This Row],[Último pagto ano]])*29,"mmmm")</f>
        <v>fevereiro</v>
      </c>
    </row>
    <row r="5932" spans="1:9" x14ac:dyDescent="0.25">
      <c r="A5932">
        <v>2025</v>
      </c>
      <c r="B5932" t="s">
        <v>11812</v>
      </c>
      <c r="C5932" s="1">
        <v>45995</v>
      </c>
      <c r="D5932" t="s">
        <v>11813</v>
      </c>
      <c r="E5932">
        <v>719.6</v>
      </c>
      <c r="G5932" s="3">
        <f>MONTH(Tabela1[[#This Row],[Último pagto ano]])</f>
        <v>12</v>
      </c>
      <c r="H5932" t="str">
        <f>TEXT(Tabela1[[#This Row],[Coluna2]]*29,"mmmm")</f>
        <v>dezembro</v>
      </c>
      <c r="I5932" t="str">
        <f>TEXT(MONTH(Tabela1[[#This Row],[Último pagto ano]])*29,"mmmm")</f>
        <v>dezembro</v>
      </c>
    </row>
    <row r="5933" spans="1:9" x14ac:dyDescent="0.25">
      <c r="A5933">
        <v>2025</v>
      </c>
      <c r="B5933" t="s">
        <v>11814</v>
      </c>
      <c r="C5933" s="1">
        <v>45705</v>
      </c>
      <c r="D5933" t="s">
        <v>11815</v>
      </c>
      <c r="E5933">
        <v>542.82000000000005</v>
      </c>
      <c r="G5933" s="3">
        <f>MONTH(Tabela1[[#This Row],[Último pagto ano]])</f>
        <v>2</v>
      </c>
      <c r="H5933" t="str">
        <f>TEXT(Tabela1[[#This Row],[Coluna2]]*29,"mmmm")</f>
        <v>fevereiro</v>
      </c>
      <c r="I5933" t="str">
        <f>TEXT(MONTH(Tabela1[[#This Row],[Último pagto ano]])*29,"mmmm")</f>
        <v>fevereiro</v>
      </c>
    </row>
    <row r="5934" spans="1:9" x14ac:dyDescent="0.25">
      <c r="A5934">
        <v>2025</v>
      </c>
      <c r="B5934" t="s">
        <v>11816</v>
      </c>
      <c r="C5934" s="1">
        <v>45702</v>
      </c>
      <c r="D5934" t="s">
        <v>11817</v>
      </c>
      <c r="E5934">
        <v>116.19</v>
      </c>
      <c r="G5934" s="3">
        <f>MONTH(Tabela1[[#This Row],[Último pagto ano]])</f>
        <v>2</v>
      </c>
      <c r="H5934" t="str">
        <f>TEXT(Tabela1[[#This Row],[Coluna2]]*29,"mmmm")</f>
        <v>fevereiro</v>
      </c>
      <c r="I5934" t="str">
        <f>TEXT(MONTH(Tabela1[[#This Row],[Último pagto ano]])*29,"mmmm")</f>
        <v>fevereiro</v>
      </c>
    </row>
    <row r="5935" spans="1:9" x14ac:dyDescent="0.25">
      <c r="A5935">
        <v>2025</v>
      </c>
      <c r="B5935" t="s">
        <v>11818</v>
      </c>
      <c r="C5935" s="1">
        <v>46010</v>
      </c>
      <c r="D5935" t="s">
        <v>11819</v>
      </c>
      <c r="E5935" s="2">
        <v>8300</v>
      </c>
      <c r="G5935" s="3">
        <f>MONTH(Tabela1[[#This Row],[Último pagto ano]])</f>
        <v>12</v>
      </c>
      <c r="H5935" t="str">
        <f>TEXT(Tabela1[[#This Row],[Coluna2]]*29,"mmmm")</f>
        <v>dezembro</v>
      </c>
      <c r="I5935" t="str">
        <f>TEXT(MONTH(Tabela1[[#This Row],[Último pagto ano]])*29,"mmmm")</f>
        <v>dezembro</v>
      </c>
    </row>
    <row r="5936" spans="1:9" x14ac:dyDescent="0.25">
      <c r="A5936">
        <v>2025</v>
      </c>
      <c r="B5936" t="s">
        <v>11820</v>
      </c>
      <c r="C5936" s="1">
        <v>45736</v>
      </c>
      <c r="D5936" t="s">
        <v>11821</v>
      </c>
      <c r="E5936" s="2">
        <v>2631.27</v>
      </c>
      <c r="G5936" s="3">
        <f>MONTH(Tabela1[[#This Row],[Último pagto ano]])</f>
        <v>3</v>
      </c>
      <c r="H5936" t="str">
        <f>TEXT(Tabela1[[#This Row],[Coluna2]]*29,"mmmm")</f>
        <v>março</v>
      </c>
      <c r="I5936" t="str">
        <f>TEXT(MONTH(Tabela1[[#This Row],[Último pagto ano]])*29,"mmmm")</f>
        <v>março</v>
      </c>
    </row>
    <row r="5937" spans="1:9" x14ac:dyDescent="0.25">
      <c r="A5937">
        <v>2025</v>
      </c>
      <c r="B5937" t="s">
        <v>11822</v>
      </c>
      <c r="C5937" s="1">
        <v>45702</v>
      </c>
      <c r="D5937" t="s">
        <v>11823</v>
      </c>
      <c r="E5937">
        <v>22</v>
      </c>
      <c r="G5937" s="3">
        <f>MONTH(Tabela1[[#This Row],[Último pagto ano]])</f>
        <v>2</v>
      </c>
      <c r="H5937" t="str">
        <f>TEXT(Tabela1[[#This Row],[Coluna2]]*29,"mmmm")</f>
        <v>fevereiro</v>
      </c>
      <c r="I5937" t="str">
        <f>TEXT(MONTH(Tabela1[[#This Row],[Último pagto ano]])*29,"mmmm")</f>
        <v>fevereiro</v>
      </c>
    </row>
    <row r="5938" spans="1:9" x14ac:dyDescent="0.25">
      <c r="A5938">
        <v>2025</v>
      </c>
      <c r="B5938" t="s">
        <v>11824</v>
      </c>
      <c r="C5938" s="1">
        <v>45937</v>
      </c>
      <c r="D5938" t="s">
        <v>11825</v>
      </c>
      <c r="E5938" s="2">
        <v>2350</v>
      </c>
      <c r="G5938" s="3">
        <f>MONTH(Tabela1[[#This Row],[Último pagto ano]])</f>
        <v>10</v>
      </c>
      <c r="H5938" t="str">
        <f>TEXT(Tabela1[[#This Row],[Coluna2]]*29,"mmmm")</f>
        <v>outubro</v>
      </c>
      <c r="I5938" t="str">
        <f>TEXT(MONTH(Tabela1[[#This Row],[Último pagto ano]])*29,"mmmm")</f>
        <v>outubro</v>
      </c>
    </row>
    <row r="5939" spans="1:9" x14ac:dyDescent="0.25">
      <c r="A5939">
        <v>2025</v>
      </c>
      <c r="B5939" t="s">
        <v>11826</v>
      </c>
      <c r="C5939" s="1">
        <v>45985</v>
      </c>
      <c r="D5939" t="s">
        <v>11827</v>
      </c>
      <c r="E5939">
        <v>132</v>
      </c>
      <c r="G5939" s="3">
        <f>MONTH(Tabela1[[#This Row],[Último pagto ano]])</f>
        <v>11</v>
      </c>
      <c r="H5939" t="str">
        <f>TEXT(Tabela1[[#This Row],[Coluna2]]*29,"mmmm")</f>
        <v>novembro</v>
      </c>
      <c r="I5939" t="str">
        <f>TEXT(MONTH(Tabela1[[#This Row],[Último pagto ano]])*29,"mmmm")</f>
        <v>novembro</v>
      </c>
    </row>
    <row r="5940" spans="1:9" x14ac:dyDescent="0.25">
      <c r="A5940">
        <v>2025</v>
      </c>
      <c r="B5940" t="s">
        <v>11828</v>
      </c>
      <c r="C5940" s="1">
        <v>45989</v>
      </c>
      <c r="D5940" t="s">
        <v>11829</v>
      </c>
      <c r="E5940" s="2">
        <v>11150.88</v>
      </c>
      <c r="G5940" s="3">
        <f>MONTH(Tabela1[[#This Row],[Último pagto ano]])</f>
        <v>11</v>
      </c>
      <c r="H5940" t="str">
        <f>TEXT(Tabela1[[#This Row],[Coluna2]]*29,"mmmm")</f>
        <v>novembro</v>
      </c>
      <c r="I5940" t="str">
        <f>TEXT(MONTH(Tabela1[[#This Row],[Último pagto ano]])*29,"mmmm")</f>
        <v>novembro</v>
      </c>
    </row>
    <row r="5941" spans="1:9" x14ac:dyDescent="0.25">
      <c r="A5941">
        <v>2025</v>
      </c>
      <c r="B5941" t="s">
        <v>11830</v>
      </c>
      <c r="C5941" s="1">
        <v>45978</v>
      </c>
      <c r="D5941" t="s">
        <v>11831</v>
      </c>
      <c r="E5941">
        <v>196.8</v>
      </c>
      <c r="G5941" s="3">
        <f>MONTH(Tabela1[[#This Row],[Último pagto ano]])</f>
        <v>11</v>
      </c>
      <c r="H5941" t="str">
        <f>TEXT(Tabela1[[#This Row],[Coluna2]]*29,"mmmm")</f>
        <v>novembro</v>
      </c>
      <c r="I5941" t="str">
        <f>TEXT(MONTH(Tabela1[[#This Row],[Último pagto ano]])*29,"mmmm")</f>
        <v>novembro</v>
      </c>
    </row>
    <row r="5942" spans="1:9" x14ac:dyDescent="0.25">
      <c r="A5942">
        <v>2025</v>
      </c>
      <c r="B5942" t="s">
        <v>11832</v>
      </c>
      <c r="C5942" s="1">
        <v>45674</v>
      </c>
      <c r="D5942" t="s">
        <v>11833</v>
      </c>
      <c r="E5942" s="2">
        <v>80535</v>
      </c>
      <c r="G5942" s="3">
        <f>MONTH(Tabela1[[#This Row],[Último pagto ano]])</f>
        <v>1</v>
      </c>
      <c r="H5942" t="str">
        <f>TEXT(Tabela1[[#This Row],[Coluna2]]*29,"mmmm")</f>
        <v>janeiro</v>
      </c>
      <c r="I5942" t="str">
        <f>TEXT(MONTH(Tabela1[[#This Row],[Último pagto ano]])*29,"mmmm")</f>
        <v>janeiro</v>
      </c>
    </row>
    <row r="5943" spans="1:9" x14ac:dyDescent="0.25">
      <c r="A5943">
        <v>2025</v>
      </c>
      <c r="B5943" t="s">
        <v>11834</v>
      </c>
      <c r="C5943" s="1">
        <v>46006</v>
      </c>
      <c r="D5943" t="s">
        <v>11835</v>
      </c>
      <c r="E5943" s="2">
        <v>12823.2</v>
      </c>
      <c r="G5943" s="3">
        <f>MONTH(Tabela1[[#This Row],[Último pagto ano]])</f>
        <v>12</v>
      </c>
      <c r="H5943" t="str">
        <f>TEXT(Tabela1[[#This Row],[Coluna2]]*29,"mmmm")</f>
        <v>dezembro</v>
      </c>
      <c r="I5943" t="str">
        <f>TEXT(MONTH(Tabela1[[#This Row],[Último pagto ano]])*29,"mmmm")</f>
        <v>dezembro</v>
      </c>
    </row>
    <row r="5944" spans="1:9" x14ac:dyDescent="0.25">
      <c r="A5944">
        <v>2025</v>
      </c>
      <c r="B5944" t="s">
        <v>11836</v>
      </c>
      <c r="C5944" s="1">
        <v>45769</v>
      </c>
      <c r="D5944" t="s">
        <v>11837</v>
      </c>
      <c r="E5944">
        <v>44</v>
      </c>
      <c r="G5944" s="3">
        <f>MONTH(Tabela1[[#This Row],[Último pagto ano]])</f>
        <v>4</v>
      </c>
      <c r="H5944" t="str">
        <f>TEXT(Tabela1[[#This Row],[Coluna2]]*29,"mmmm")</f>
        <v>abril</v>
      </c>
      <c r="I5944" t="str">
        <f>TEXT(MONTH(Tabela1[[#This Row],[Último pagto ano]])*29,"mmmm")</f>
        <v>abril</v>
      </c>
    </row>
    <row r="5945" spans="1:9" x14ac:dyDescent="0.25">
      <c r="A5945">
        <v>2025</v>
      </c>
      <c r="B5945" t="s">
        <v>11838</v>
      </c>
      <c r="C5945" s="1">
        <v>46006</v>
      </c>
      <c r="D5945" t="s">
        <v>11839</v>
      </c>
      <c r="E5945">
        <v>297</v>
      </c>
      <c r="G5945" s="3">
        <f>MONTH(Tabela1[[#This Row],[Último pagto ano]])</f>
        <v>12</v>
      </c>
      <c r="H5945" t="str">
        <f>TEXT(Tabela1[[#This Row],[Coluna2]]*29,"mmmm")</f>
        <v>dezembro</v>
      </c>
      <c r="I5945" t="str">
        <f>TEXT(MONTH(Tabela1[[#This Row],[Último pagto ano]])*29,"mmmm")</f>
        <v>dezembro</v>
      </c>
    </row>
    <row r="5946" spans="1:9" x14ac:dyDescent="0.25">
      <c r="A5946">
        <v>2025</v>
      </c>
      <c r="B5946" t="s">
        <v>11840</v>
      </c>
      <c r="C5946" s="1">
        <v>45978</v>
      </c>
      <c r="D5946" t="s">
        <v>11841</v>
      </c>
      <c r="E5946">
        <v>3.32</v>
      </c>
      <c r="G5946" s="3">
        <f>MONTH(Tabela1[[#This Row],[Último pagto ano]])</f>
        <v>11</v>
      </c>
      <c r="H5946" t="str">
        <f>TEXT(Tabela1[[#This Row],[Coluna2]]*29,"mmmm")</f>
        <v>novembro</v>
      </c>
      <c r="I5946" t="str">
        <f>TEXT(MONTH(Tabela1[[#This Row],[Último pagto ano]])*29,"mmmm")</f>
        <v>novembro</v>
      </c>
    </row>
    <row r="5947" spans="1:9" x14ac:dyDescent="0.25">
      <c r="A5947">
        <v>2025</v>
      </c>
      <c r="B5947" t="s">
        <v>11842</v>
      </c>
      <c r="C5947" s="1">
        <v>45999</v>
      </c>
      <c r="D5947" t="s">
        <v>11843</v>
      </c>
      <c r="E5947">
        <v>11</v>
      </c>
      <c r="G5947" s="3">
        <f>MONTH(Tabela1[[#This Row],[Último pagto ano]])</f>
        <v>12</v>
      </c>
      <c r="H5947" t="str">
        <f>TEXT(Tabela1[[#This Row],[Coluna2]]*29,"mmmm")</f>
        <v>dezembro</v>
      </c>
      <c r="I5947" t="str">
        <f>TEXT(MONTH(Tabela1[[#This Row],[Último pagto ano]])*29,"mmmm")</f>
        <v>dezembro</v>
      </c>
    </row>
    <row r="5948" spans="1:9" x14ac:dyDescent="0.25">
      <c r="A5948">
        <v>2025</v>
      </c>
      <c r="B5948" t="s">
        <v>11844</v>
      </c>
      <c r="C5948" s="1">
        <v>46010</v>
      </c>
      <c r="D5948" t="s">
        <v>11845</v>
      </c>
      <c r="E5948" s="2">
        <v>7000</v>
      </c>
      <c r="G5948" s="3">
        <f>MONTH(Tabela1[[#This Row],[Último pagto ano]])</f>
        <v>12</v>
      </c>
      <c r="H5948" t="str">
        <f>TEXT(Tabela1[[#This Row],[Coluna2]]*29,"mmmm")</f>
        <v>dezembro</v>
      </c>
      <c r="I5948" t="str">
        <f>TEXT(MONTH(Tabela1[[#This Row],[Último pagto ano]])*29,"mmmm")</f>
        <v>dezembro</v>
      </c>
    </row>
    <row r="5949" spans="1:9" x14ac:dyDescent="0.25">
      <c r="A5949">
        <v>2025</v>
      </c>
      <c r="B5949" t="s">
        <v>11846</v>
      </c>
      <c r="C5949" s="1">
        <v>45968</v>
      </c>
      <c r="D5949" t="s">
        <v>11847</v>
      </c>
      <c r="E5949" s="2">
        <v>5553</v>
      </c>
      <c r="G5949" s="3">
        <f>MONTH(Tabela1[[#This Row],[Último pagto ano]])</f>
        <v>11</v>
      </c>
      <c r="H5949" t="str">
        <f>TEXT(Tabela1[[#This Row],[Coluna2]]*29,"mmmm")</f>
        <v>novembro</v>
      </c>
      <c r="I5949" t="str">
        <f>TEXT(MONTH(Tabela1[[#This Row],[Último pagto ano]])*29,"mmmm")</f>
        <v>novembro</v>
      </c>
    </row>
    <row r="5950" spans="1:9" x14ac:dyDescent="0.25">
      <c r="A5950">
        <v>2025</v>
      </c>
      <c r="B5950" t="s">
        <v>11848</v>
      </c>
      <c r="C5950" s="1">
        <v>45824</v>
      </c>
      <c r="D5950" t="s">
        <v>11849</v>
      </c>
      <c r="E5950">
        <v>22</v>
      </c>
      <c r="G5950" s="3">
        <f>MONTH(Tabela1[[#This Row],[Último pagto ano]])</f>
        <v>6</v>
      </c>
      <c r="H5950" t="str">
        <f>TEXT(Tabela1[[#This Row],[Coluna2]]*29,"mmmm")</f>
        <v>junho</v>
      </c>
      <c r="I5950" t="str">
        <f>TEXT(MONTH(Tabela1[[#This Row],[Último pagto ano]])*29,"mmmm")</f>
        <v>junho</v>
      </c>
    </row>
    <row r="5951" spans="1:9" x14ac:dyDescent="0.25">
      <c r="A5951">
        <v>2025</v>
      </c>
      <c r="B5951" t="s">
        <v>11850</v>
      </c>
      <c r="C5951" s="1">
        <v>45807</v>
      </c>
      <c r="D5951" t="s">
        <v>11851</v>
      </c>
      <c r="E5951" s="2">
        <v>4499.67</v>
      </c>
      <c r="G5951" s="3">
        <f>MONTH(Tabela1[[#This Row],[Último pagto ano]])</f>
        <v>5</v>
      </c>
      <c r="H5951" t="str">
        <f>TEXT(Tabela1[[#This Row],[Coluna2]]*29,"mmmm")</f>
        <v>maio</v>
      </c>
      <c r="I5951" t="str">
        <f>TEXT(MONTH(Tabela1[[#This Row],[Último pagto ano]])*29,"mmmm")</f>
        <v>maio</v>
      </c>
    </row>
    <row r="5952" spans="1:9" x14ac:dyDescent="0.25">
      <c r="A5952">
        <v>2025</v>
      </c>
      <c r="B5952" t="s">
        <v>11852</v>
      </c>
      <c r="C5952" s="1">
        <v>46010</v>
      </c>
      <c r="D5952" t="s">
        <v>11853</v>
      </c>
      <c r="E5952" s="2">
        <v>8400</v>
      </c>
      <c r="G5952" s="3">
        <f>MONTH(Tabela1[[#This Row],[Último pagto ano]])</f>
        <v>12</v>
      </c>
      <c r="H5952" t="str">
        <f>TEXT(Tabela1[[#This Row],[Coluna2]]*29,"mmmm")</f>
        <v>dezembro</v>
      </c>
      <c r="I5952" t="str">
        <f>TEXT(MONTH(Tabela1[[#This Row],[Último pagto ano]])*29,"mmmm")</f>
        <v>dezembro</v>
      </c>
    </row>
    <row r="5953" spans="1:9" x14ac:dyDescent="0.25">
      <c r="A5953">
        <v>2025</v>
      </c>
      <c r="B5953" t="s">
        <v>11854</v>
      </c>
      <c r="C5953" s="1">
        <v>45965</v>
      </c>
      <c r="D5953" t="s">
        <v>11855</v>
      </c>
      <c r="E5953" s="2">
        <v>5584.12</v>
      </c>
      <c r="G5953" s="3">
        <f>MONTH(Tabela1[[#This Row],[Último pagto ano]])</f>
        <v>11</v>
      </c>
      <c r="H5953" t="str">
        <f>TEXT(Tabela1[[#This Row],[Coluna2]]*29,"mmmm")</f>
        <v>novembro</v>
      </c>
      <c r="I5953" t="str">
        <f>TEXT(MONTH(Tabela1[[#This Row],[Último pagto ano]])*29,"mmmm")</f>
        <v>novembro</v>
      </c>
    </row>
    <row r="5954" spans="1:9" x14ac:dyDescent="0.25">
      <c r="A5954">
        <v>2025</v>
      </c>
      <c r="B5954" t="s">
        <v>11856</v>
      </c>
      <c r="C5954" s="1">
        <v>45845</v>
      </c>
      <c r="D5954" t="s">
        <v>11857</v>
      </c>
      <c r="E5954">
        <v>700</v>
      </c>
      <c r="G5954" s="3">
        <f>MONTH(Tabela1[[#This Row],[Último pagto ano]])</f>
        <v>7</v>
      </c>
      <c r="H5954" t="str">
        <f>TEXT(Tabela1[[#This Row],[Coluna2]]*29,"mmmm")</f>
        <v>julho</v>
      </c>
      <c r="I5954" t="str">
        <f>TEXT(MONTH(Tabela1[[#This Row],[Último pagto ano]])*29,"mmmm")</f>
        <v>julho</v>
      </c>
    </row>
    <row r="5955" spans="1:9" x14ac:dyDescent="0.25">
      <c r="A5955">
        <v>2025</v>
      </c>
      <c r="B5955" t="s">
        <v>11858</v>
      </c>
      <c r="C5955" s="1">
        <v>45995</v>
      </c>
      <c r="D5955" t="s">
        <v>11859</v>
      </c>
      <c r="E5955">
        <v>88</v>
      </c>
      <c r="G5955" s="3">
        <f>MONTH(Tabela1[[#This Row],[Último pagto ano]])</f>
        <v>12</v>
      </c>
      <c r="H5955" t="str">
        <f>TEXT(Tabela1[[#This Row],[Coluna2]]*29,"mmmm")</f>
        <v>dezembro</v>
      </c>
      <c r="I5955" t="str">
        <f>TEXT(MONTH(Tabela1[[#This Row],[Último pagto ano]])*29,"mmmm")</f>
        <v>dezembro</v>
      </c>
    </row>
    <row r="5956" spans="1:9" x14ac:dyDescent="0.25">
      <c r="A5956">
        <v>2025</v>
      </c>
      <c r="B5956" t="s">
        <v>11860</v>
      </c>
      <c r="C5956" s="1">
        <v>46021</v>
      </c>
      <c r="D5956" t="s">
        <v>11861</v>
      </c>
      <c r="E5956" s="2">
        <v>10911.02</v>
      </c>
      <c r="G5956" s="3">
        <f>MONTH(Tabela1[[#This Row],[Último pagto ano]])</f>
        <v>12</v>
      </c>
      <c r="H5956" t="str">
        <f>TEXT(Tabela1[[#This Row],[Coluna2]]*29,"mmmm")</f>
        <v>dezembro</v>
      </c>
      <c r="I5956" t="str">
        <f>TEXT(MONTH(Tabela1[[#This Row],[Último pagto ano]])*29,"mmmm")</f>
        <v>dezembro</v>
      </c>
    </row>
    <row r="5957" spans="1:9" x14ac:dyDescent="0.25">
      <c r="A5957">
        <v>2025</v>
      </c>
      <c r="B5957" t="s">
        <v>11862</v>
      </c>
      <c r="C5957" s="1">
        <v>45964</v>
      </c>
      <c r="D5957" t="s">
        <v>11863</v>
      </c>
      <c r="E5957">
        <v>66</v>
      </c>
      <c r="G5957" s="3">
        <f>MONTH(Tabela1[[#This Row],[Último pagto ano]])</f>
        <v>11</v>
      </c>
      <c r="H5957" t="str">
        <f>TEXT(Tabela1[[#This Row],[Coluna2]]*29,"mmmm")</f>
        <v>novembro</v>
      </c>
      <c r="I5957" t="str">
        <f>TEXT(MONTH(Tabela1[[#This Row],[Último pagto ano]])*29,"mmmm")</f>
        <v>novembro</v>
      </c>
    </row>
    <row r="5958" spans="1:9" x14ac:dyDescent="0.25">
      <c r="A5958">
        <v>2025</v>
      </c>
      <c r="B5958" t="s">
        <v>11864</v>
      </c>
      <c r="C5958" s="1">
        <v>45848</v>
      </c>
      <c r="D5958" t="s">
        <v>11865</v>
      </c>
      <c r="E5958" s="2">
        <v>2000</v>
      </c>
      <c r="G5958" s="3">
        <f>MONTH(Tabela1[[#This Row],[Último pagto ano]])</f>
        <v>7</v>
      </c>
      <c r="H5958" t="str">
        <f>TEXT(Tabela1[[#This Row],[Coluna2]]*29,"mmmm")</f>
        <v>julho</v>
      </c>
      <c r="I5958" t="str">
        <f>TEXT(MONTH(Tabela1[[#This Row],[Último pagto ano]])*29,"mmmm")</f>
        <v>julho</v>
      </c>
    </row>
    <row r="5959" spans="1:9" x14ac:dyDescent="0.25">
      <c r="A5959">
        <v>2025</v>
      </c>
      <c r="B5959" t="s">
        <v>11866</v>
      </c>
      <c r="C5959" s="1">
        <v>46010</v>
      </c>
      <c r="D5959" t="s">
        <v>11867</v>
      </c>
      <c r="E5959" s="2">
        <v>12000</v>
      </c>
      <c r="G5959" s="3">
        <f>MONTH(Tabela1[[#This Row],[Último pagto ano]])</f>
        <v>12</v>
      </c>
      <c r="H5959" t="str">
        <f>TEXT(Tabela1[[#This Row],[Coluna2]]*29,"mmmm")</f>
        <v>dezembro</v>
      </c>
      <c r="I5959" t="str">
        <f>TEXT(MONTH(Tabela1[[#This Row],[Último pagto ano]])*29,"mmmm")</f>
        <v>dezembro</v>
      </c>
    </row>
    <row r="5960" spans="1:9" x14ac:dyDescent="0.25">
      <c r="A5960">
        <v>2025</v>
      </c>
      <c r="B5960" t="s">
        <v>11868</v>
      </c>
      <c r="C5960" s="1">
        <v>46014</v>
      </c>
      <c r="D5960" t="s">
        <v>11869</v>
      </c>
      <c r="E5960" s="2">
        <v>34550.339999999997</v>
      </c>
      <c r="G5960" s="3">
        <f>MONTH(Tabela1[[#This Row],[Último pagto ano]])</f>
        <v>12</v>
      </c>
      <c r="H5960" t="str">
        <f>TEXT(Tabela1[[#This Row],[Coluna2]]*29,"mmmm")</f>
        <v>dezembro</v>
      </c>
      <c r="I5960" t="str">
        <f>TEXT(MONTH(Tabela1[[#This Row],[Último pagto ano]])*29,"mmmm")</f>
        <v>dezembro</v>
      </c>
    </row>
    <row r="5961" spans="1:9" x14ac:dyDescent="0.25">
      <c r="A5961">
        <v>2025</v>
      </c>
      <c r="B5961" t="s">
        <v>11870</v>
      </c>
      <c r="C5961" s="1">
        <v>45702</v>
      </c>
      <c r="D5961" t="s">
        <v>11871</v>
      </c>
      <c r="E5961">
        <v>22</v>
      </c>
      <c r="G5961" s="3">
        <f>MONTH(Tabela1[[#This Row],[Último pagto ano]])</f>
        <v>2</v>
      </c>
      <c r="H5961" t="str">
        <f>TEXT(Tabela1[[#This Row],[Coluna2]]*29,"mmmm")</f>
        <v>fevereiro</v>
      </c>
      <c r="I5961" t="str">
        <f>TEXT(MONTH(Tabela1[[#This Row],[Último pagto ano]])*29,"mmmm")</f>
        <v>fevereiro</v>
      </c>
    </row>
    <row r="5962" spans="1:9" x14ac:dyDescent="0.25">
      <c r="A5962">
        <v>2025</v>
      </c>
      <c r="B5962" t="s">
        <v>11872</v>
      </c>
      <c r="C5962" s="1">
        <v>45674</v>
      </c>
      <c r="D5962" t="s">
        <v>11873</v>
      </c>
      <c r="E5962" s="2">
        <v>6642.24</v>
      </c>
      <c r="G5962" s="3">
        <f>MONTH(Tabela1[[#This Row],[Último pagto ano]])</f>
        <v>1</v>
      </c>
      <c r="H5962" t="str">
        <f>TEXT(Tabela1[[#This Row],[Coluna2]]*29,"mmmm")</f>
        <v>janeiro</v>
      </c>
      <c r="I5962" t="str">
        <f>TEXT(MONTH(Tabela1[[#This Row],[Último pagto ano]])*29,"mmmm")</f>
        <v>janeiro</v>
      </c>
    </row>
    <row r="5963" spans="1:9" x14ac:dyDescent="0.25">
      <c r="A5963">
        <v>2025</v>
      </c>
      <c r="B5963" t="s">
        <v>11874</v>
      </c>
      <c r="C5963" s="1">
        <v>46010</v>
      </c>
      <c r="D5963" t="s">
        <v>11875</v>
      </c>
      <c r="E5963" s="2">
        <v>2100</v>
      </c>
      <c r="G5963" s="3">
        <f>MONTH(Tabela1[[#This Row],[Último pagto ano]])</f>
        <v>12</v>
      </c>
      <c r="H5963" t="str">
        <f>TEXT(Tabela1[[#This Row],[Coluna2]]*29,"mmmm")</f>
        <v>dezembro</v>
      </c>
      <c r="I5963" t="str">
        <f>TEXT(MONTH(Tabela1[[#This Row],[Último pagto ano]])*29,"mmmm")</f>
        <v>dezembro</v>
      </c>
    </row>
    <row r="5964" spans="1:9" x14ac:dyDescent="0.25">
      <c r="A5964">
        <v>2025</v>
      </c>
      <c r="B5964" t="s">
        <v>11876</v>
      </c>
      <c r="C5964" s="1">
        <v>45702</v>
      </c>
      <c r="D5964" t="s">
        <v>11877</v>
      </c>
      <c r="E5964">
        <v>880.26</v>
      </c>
      <c r="G5964" s="3">
        <f>MONTH(Tabela1[[#This Row],[Último pagto ano]])</f>
        <v>2</v>
      </c>
      <c r="H5964" t="str">
        <f>TEXT(Tabela1[[#This Row],[Coluna2]]*29,"mmmm")</f>
        <v>fevereiro</v>
      </c>
      <c r="I5964" t="str">
        <f>TEXT(MONTH(Tabela1[[#This Row],[Último pagto ano]])*29,"mmmm")</f>
        <v>fevereiro</v>
      </c>
    </row>
    <row r="5965" spans="1:9" x14ac:dyDescent="0.25">
      <c r="A5965">
        <v>2025</v>
      </c>
      <c r="B5965" t="s">
        <v>11878</v>
      </c>
      <c r="C5965" s="1">
        <v>46021</v>
      </c>
      <c r="D5965" t="s">
        <v>11879</v>
      </c>
      <c r="E5965" s="2">
        <v>4828.6899999999996</v>
      </c>
      <c r="G5965" s="3">
        <f>MONTH(Tabela1[[#This Row],[Último pagto ano]])</f>
        <v>12</v>
      </c>
      <c r="H5965" t="str">
        <f>TEXT(Tabela1[[#This Row],[Coluna2]]*29,"mmmm")</f>
        <v>dezembro</v>
      </c>
      <c r="I5965" t="str">
        <f>TEXT(MONTH(Tabela1[[#This Row],[Último pagto ano]])*29,"mmmm")</f>
        <v>dezembro</v>
      </c>
    </row>
    <row r="5966" spans="1:9" x14ac:dyDescent="0.25">
      <c r="A5966">
        <v>2025</v>
      </c>
      <c r="B5966" t="s">
        <v>11880</v>
      </c>
      <c r="C5966" s="1">
        <v>45968</v>
      </c>
      <c r="D5966" t="s">
        <v>11881</v>
      </c>
      <c r="E5966" s="2">
        <v>9000</v>
      </c>
      <c r="G5966" s="3">
        <f>MONTH(Tabela1[[#This Row],[Último pagto ano]])</f>
        <v>11</v>
      </c>
      <c r="H5966" t="str">
        <f>TEXT(Tabela1[[#This Row],[Coluna2]]*29,"mmmm")</f>
        <v>novembro</v>
      </c>
      <c r="I5966" t="str">
        <f>TEXT(MONTH(Tabela1[[#This Row],[Último pagto ano]])*29,"mmmm")</f>
        <v>novembro</v>
      </c>
    </row>
    <row r="5967" spans="1:9" x14ac:dyDescent="0.25">
      <c r="A5967">
        <v>2025</v>
      </c>
      <c r="B5967" t="s">
        <v>11882</v>
      </c>
      <c r="C5967" s="1">
        <v>45824</v>
      </c>
      <c r="D5967" t="s">
        <v>11883</v>
      </c>
      <c r="E5967">
        <v>22.81</v>
      </c>
      <c r="G5967" s="3">
        <f>MONTH(Tabela1[[#This Row],[Último pagto ano]])</f>
        <v>6</v>
      </c>
      <c r="H5967" t="str">
        <f>TEXT(Tabela1[[#This Row],[Coluna2]]*29,"mmmm")</f>
        <v>junho</v>
      </c>
      <c r="I5967" t="str">
        <f>TEXT(MONTH(Tabela1[[#This Row],[Último pagto ano]])*29,"mmmm")</f>
        <v>junho</v>
      </c>
    </row>
    <row r="5968" spans="1:9" x14ac:dyDescent="0.25">
      <c r="A5968">
        <v>2025</v>
      </c>
      <c r="B5968" t="s">
        <v>11884</v>
      </c>
      <c r="C5968" s="1">
        <v>46021</v>
      </c>
      <c r="D5968" t="s">
        <v>11885</v>
      </c>
      <c r="E5968" s="2">
        <v>11171.08</v>
      </c>
      <c r="G5968" s="3">
        <f>MONTH(Tabela1[[#This Row],[Último pagto ano]])</f>
        <v>12</v>
      </c>
      <c r="H5968" t="str">
        <f>TEXT(Tabela1[[#This Row],[Coluna2]]*29,"mmmm")</f>
        <v>dezembro</v>
      </c>
      <c r="I5968" t="str">
        <f>TEXT(MONTH(Tabela1[[#This Row],[Último pagto ano]])*29,"mmmm")</f>
        <v>dezembro</v>
      </c>
    </row>
    <row r="5969" spans="1:9" x14ac:dyDescent="0.25">
      <c r="A5969">
        <v>2025</v>
      </c>
      <c r="B5969" t="s">
        <v>11886</v>
      </c>
      <c r="C5969" s="1">
        <v>46021</v>
      </c>
      <c r="D5969" t="s">
        <v>11887</v>
      </c>
      <c r="E5969" s="2">
        <v>10557.35</v>
      </c>
      <c r="G5969" s="3">
        <f>MONTH(Tabela1[[#This Row],[Último pagto ano]])</f>
        <v>12</v>
      </c>
      <c r="H5969" t="str">
        <f>TEXT(Tabela1[[#This Row],[Coluna2]]*29,"mmmm")</f>
        <v>dezembro</v>
      </c>
      <c r="I5969" t="str">
        <f>TEXT(MONTH(Tabela1[[#This Row],[Último pagto ano]])*29,"mmmm")</f>
        <v>dezembro</v>
      </c>
    </row>
    <row r="5970" spans="1:9" x14ac:dyDescent="0.25">
      <c r="A5970">
        <v>2025</v>
      </c>
      <c r="B5970" t="s">
        <v>11888</v>
      </c>
      <c r="C5970" s="1">
        <v>45673</v>
      </c>
      <c r="D5970" t="s">
        <v>11889</v>
      </c>
      <c r="E5970" s="2">
        <v>3000</v>
      </c>
      <c r="G5970" s="3">
        <f>MONTH(Tabela1[[#This Row],[Último pagto ano]])</f>
        <v>1</v>
      </c>
      <c r="H5970" t="str">
        <f>TEXT(Tabela1[[#This Row],[Coluna2]]*29,"mmmm")</f>
        <v>janeiro</v>
      </c>
      <c r="I5970" t="str">
        <f>TEXT(MONTH(Tabela1[[#This Row],[Último pagto ano]])*29,"mmmm")</f>
        <v>janeiro</v>
      </c>
    </row>
    <row r="5971" spans="1:9" x14ac:dyDescent="0.25">
      <c r="A5971">
        <v>2025</v>
      </c>
      <c r="B5971" t="s">
        <v>11890</v>
      </c>
      <c r="C5971" s="1">
        <v>45924</v>
      </c>
      <c r="D5971" t="s">
        <v>11891</v>
      </c>
      <c r="E5971" s="2">
        <v>6300</v>
      </c>
      <c r="G5971" s="3">
        <f>MONTH(Tabela1[[#This Row],[Último pagto ano]])</f>
        <v>9</v>
      </c>
      <c r="H5971" t="str">
        <f>TEXT(Tabela1[[#This Row],[Coluna2]]*29,"mmmm")</f>
        <v>setembro</v>
      </c>
      <c r="I5971" t="str">
        <f>TEXT(MONTH(Tabela1[[#This Row],[Último pagto ano]])*29,"mmmm")</f>
        <v>setembro</v>
      </c>
    </row>
    <row r="5972" spans="1:9" x14ac:dyDescent="0.25">
      <c r="A5972">
        <v>2025</v>
      </c>
      <c r="B5972" t="s">
        <v>11892</v>
      </c>
      <c r="C5972" s="1">
        <v>45866</v>
      </c>
      <c r="D5972" t="s">
        <v>11893</v>
      </c>
      <c r="E5972">
        <v>15.91</v>
      </c>
      <c r="G5972" s="3">
        <f>MONTH(Tabela1[[#This Row],[Último pagto ano]])</f>
        <v>7</v>
      </c>
      <c r="H5972" t="str">
        <f>TEXT(Tabela1[[#This Row],[Coluna2]]*29,"mmmm")</f>
        <v>julho</v>
      </c>
      <c r="I5972" t="str">
        <f>TEXT(MONTH(Tabela1[[#This Row],[Último pagto ano]])*29,"mmmm")</f>
        <v>julho</v>
      </c>
    </row>
    <row r="5973" spans="1:9" x14ac:dyDescent="0.25">
      <c r="A5973">
        <v>2025</v>
      </c>
      <c r="B5973" t="s">
        <v>11894</v>
      </c>
      <c r="C5973" s="1">
        <v>45769</v>
      </c>
      <c r="D5973" t="s">
        <v>11895</v>
      </c>
      <c r="E5973" s="2">
        <v>4055.23</v>
      </c>
      <c r="G5973" s="3">
        <f>MONTH(Tabela1[[#This Row],[Último pagto ano]])</f>
        <v>4</v>
      </c>
      <c r="H5973" t="str">
        <f>TEXT(Tabela1[[#This Row],[Coluna2]]*29,"mmmm")</f>
        <v>abril</v>
      </c>
      <c r="I5973" t="str">
        <f>TEXT(MONTH(Tabela1[[#This Row],[Último pagto ano]])*29,"mmmm")</f>
        <v>abril</v>
      </c>
    </row>
    <row r="5974" spans="1:9" x14ac:dyDescent="0.25">
      <c r="A5974">
        <v>2025</v>
      </c>
      <c r="B5974" t="s">
        <v>11896</v>
      </c>
      <c r="C5974" s="1">
        <v>45814</v>
      </c>
      <c r="D5974" t="s">
        <v>11897</v>
      </c>
      <c r="E5974" s="2">
        <v>4146.34</v>
      </c>
      <c r="G5974" s="3">
        <f>MONTH(Tabela1[[#This Row],[Último pagto ano]])</f>
        <v>6</v>
      </c>
      <c r="H5974" t="str">
        <f>TEXT(Tabela1[[#This Row],[Coluna2]]*29,"mmmm")</f>
        <v>junho</v>
      </c>
      <c r="I5974" t="str">
        <f>TEXT(MONTH(Tabela1[[#This Row],[Último pagto ano]])*29,"mmmm")</f>
        <v>junho</v>
      </c>
    </row>
    <row r="5975" spans="1:9" x14ac:dyDescent="0.25">
      <c r="A5975">
        <v>2025</v>
      </c>
      <c r="B5975" t="s">
        <v>11898</v>
      </c>
      <c r="C5975" s="1">
        <v>45999</v>
      </c>
      <c r="D5975" t="s">
        <v>11899</v>
      </c>
      <c r="E5975">
        <v>132</v>
      </c>
      <c r="G5975" s="3">
        <f>MONTH(Tabela1[[#This Row],[Último pagto ano]])</f>
        <v>12</v>
      </c>
      <c r="H5975" t="str">
        <f>TEXT(Tabela1[[#This Row],[Coluna2]]*29,"mmmm")</f>
        <v>dezembro</v>
      </c>
      <c r="I5975" t="str">
        <f>TEXT(MONTH(Tabela1[[#This Row],[Último pagto ano]])*29,"mmmm")</f>
        <v>dezembro</v>
      </c>
    </row>
    <row r="5976" spans="1:9" x14ac:dyDescent="0.25">
      <c r="A5976">
        <v>2025</v>
      </c>
      <c r="B5976" t="s">
        <v>11900</v>
      </c>
      <c r="C5976" s="1">
        <v>46001</v>
      </c>
      <c r="D5976" t="s">
        <v>11901</v>
      </c>
      <c r="E5976" s="2">
        <v>74111.600000000006</v>
      </c>
      <c r="G5976" s="3">
        <f>MONTH(Tabela1[[#This Row],[Último pagto ano]])</f>
        <v>12</v>
      </c>
      <c r="H5976" t="str">
        <f>TEXT(Tabela1[[#This Row],[Coluna2]]*29,"mmmm")</f>
        <v>dezembro</v>
      </c>
      <c r="I5976" t="str">
        <f>TEXT(MONTH(Tabela1[[#This Row],[Último pagto ano]])*29,"mmmm")</f>
        <v>dezembro</v>
      </c>
    </row>
    <row r="5977" spans="1:9" x14ac:dyDescent="0.25">
      <c r="A5977">
        <v>2025</v>
      </c>
      <c r="B5977" t="s">
        <v>11902</v>
      </c>
      <c r="C5977" s="1">
        <v>46006</v>
      </c>
      <c r="D5977" t="s">
        <v>11903</v>
      </c>
      <c r="E5977">
        <v>220</v>
      </c>
      <c r="G5977" s="3">
        <f>MONTH(Tabela1[[#This Row],[Último pagto ano]])</f>
        <v>12</v>
      </c>
      <c r="H5977" t="str">
        <f>TEXT(Tabela1[[#This Row],[Coluna2]]*29,"mmmm")</f>
        <v>dezembro</v>
      </c>
      <c r="I5977" t="str">
        <f>TEXT(MONTH(Tabela1[[#This Row],[Último pagto ano]])*29,"mmmm")</f>
        <v>dezembro</v>
      </c>
    </row>
    <row r="5978" spans="1:9" x14ac:dyDescent="0.25">
      <c r="A5978">
        <v>2025</v>
      </c>
      <c r="B5978" t="s">
        <v>11904</v>
      </c>
      <c r="C5978" s="1">
        <v>46010</v>
      </c>
      <c r="D5978" t="s">
        <v>11905</v>
      </c>
      <c r="E5978" s="2">
        <v>4867.72</v>
      </c>
      <c r="G5978" s="3">
        <f>MONTH(Tabela1[[#This Row],[Último pagto ano]])</f>
        <v>12</v>
      </c>
      <c r="H5978" t="str">
        <f>TEXT(Tabela1[[#This Row],[Coluna2]]*29,"mmmm")</f>
        <v>dezembro</v>
      </c>
      <c r="I5978" t="str">
        <f>TEXT(MONTH(Tabela1[[#This Row],[Último pagto ano]])*29,"mmmm")</f>
        <v>dezembro</v>
      </c>
    </row>
    <row r="5979" spans="1:9" x14ac:dyDescent="0.25">
      <c r="A5979">
        <v>2025</v>
      </c>
      <c r="B5979" t="s">
        <v>11906</v>
      </c>
      <c r="C5979" s="1">
        <v>45876</v>
      </c>
      <c r="D5979" t="s">
        <v>11907</v>
      </c>
      <c r="E5979" s="2">
        <v>3200</v>
      </c>
      <c r="G5979" s="3">
        <f>MONTH(Tabela1[[#This Row],[Último pagto ano]])</f>
        <v>8</v>
      </c>
      <c r="H5979" t="str">
        <f>TEXT(Tabela1[[#This Row],[Coluna2]]*29,"mmmm")</f>
        <v>agosto</v>
      </c>
      <c r="I5979" t="str">
        <f>TEXT(MONTH(Tabela1[[#This Row],[Último pagto ano]])*29,"mmmm")</f>
        <v>agosto</v>
      </c>
    </row>
    <row r="5980" spans="1:9" x14ac:dyDescent="0.25">
      <c r="A5980">
        <v>2025</v>
      </c>
      <c r="B5980" t="s">
        <v>11908</v>
      </c>
      <c r="C5980" s="1">
        <v>45985</v>
      </c>
      <c r="D5980" t="s">
        <v>11909</v>
      </c>
      <c r="E5980">
        <v>75.8</v>
      </c>
      <c r="G5980" s="3">
        <f>MONTH(Tabela1[[#This Row],[Último pagto ano]])</f>
        <v>11</v>
      </c>
      <c r="H5980" t="str">
        <f>TEXT(Tabela1[[#This Row],[Coluna2]]*29,"mmmm")</f>
        <v>novembro</v>
      </c>
      <c r="I5980" t="str">
        <f>TEXT(MONTH(Tabela1[[#This Row],[Último pagto ano]])*29,"mmmm")</f>
        <v>novembro</v>
      </c>
    </row>
    <row r="5981" spans="1:9" x14ac:dyDescent="0.25">
      <c r="A5981">
        <v>2025</v>
      </c>
      <c r="B5981" t="s">
        <v>11910</v>
      </c>
      <c r="C5981" s="1">
        <v>45866</v>
      </c>
      <c r="D5981" t="s">
        <v>11911</v>
      </c>
      <c r="E5981">
        <v>385</v>
      </c>
      <c r="G5981" s="3">
        <f>MONTH(Tabela1[[#This Row],[Último pagto ano]])</f>
        <v>7</v>
      </c>
      <c r="H5981" t="str">
        <f>TEXT(Tabela1[[#This Row],[Coluna2]]*29,"mmmm")</f>
        <v>julho</v>
      </c>
      <c r="I5981" t="str">
        <f>TEXT(MONTH(Tabela1[[#This Row],[Último pagto ano]])*29,"mmmm")</f>
        <v>julho</v>
      </c>
    </row>
    <row r="5982" spans="1:9" x14ac:dyDescent="0.25">
      <c r="A5982">
        <v>2025</v>
      </c>
      <c r="B5982" t="s">
        <v>11912</v>
      </c>
      <c r="C5982" s="1">
        <v>46021</v>
      </c>
      <c r="D5982" t="s">
        <v>11913</v>
      </c>
      <c r="E5982" s="2">
        <v>1956.22</v>
      </c>
      <c r="G5982" s="3">
        <f>MONTH(Tabela1[[#This Row],[Último pagto ano]])</f>
        <v>12</v>
      </c>
      <c r="H5982" t="str">
        <f>TEXT(Tabela1[[#This Row],[Coluna2]]*29,"mmmm")</f>
        <v>dezembro</v>
      </c>
      <c r="I5982" t="str">
        <f>TEXT(MONTH(Tabela1[[#This Row],[Último pagto ano]])*29,"mmmm")</f>
        <v>dezembro</v>
      </c>
    </row>
    <row r="5983" spans="1:9" x14ac:dyDescent="0.25">
      <c r="A5983">
        <v>2025</v>
      </c>
      <c r="B5983" t="s">
        <v>11914</v>
      </c>
      <c r="C5983" s="1">
        <v>45937</v>
      </c>
      <c r="D5983" t="s">
        <v>11915</v>
      </c>
      <c r="E5983" s="2">
        <v>10500</v>
      </c>
      <c r="G5983" s="3">
        <f>MONTH(Tabela1[[#This Row],[Último pagto ano]])</f>
        <v>10</v>
      </c>
      <c r="H5983" t="str">
        <f>TEXT(Tabela1[[#This Row],[Coluna2]]*29,"mmmm")</f>
        <v>outubro</v>
      </c>
      <c r="I5983" t="str">
        <f>TEXT(MONTH(Tabela1[[#This Row],[Último pagto ano]])*29,"mmmm")</f>
        <v>outubro</v>
      </c>
    </row>
    <row r="5984" spans="1:9" x14ac:dyDescent="0.25">
      <c r="A5984">
        <v>2025</v>
      </c>
      <c r="B5984" t="s">
        <v>11916</v>
      </c>
      <c r="C5984" s="1">
        <v>45968</v>
      </c>
      <c r="D5984" t="s">
        <v>11917</v>
      </c>
      <c r="E5984" s="2">
        <v>10000</v>
      </c>
      <c r="G5984" s="3">
        <f>MONTH(Tabela1[[#This Row],[Último pagto ano]])</f>
        <v>11</v>
      </c>
      <c r="H5984" t="str">
        <f>TEXT(Tabela1[[#This Row],[Coluna2]]*29,"mmmm")</f>
        <v>novembro</v>
      </c>
      <c r="I5984" t="str">
        <f>TEXT(MONTH(Tabela1[[#This Row],[Último pagto ano]])*29,"mmmm")</f>
        <v>novembro</v>
      </c>
    </row>
    <row r="5985" spans="1:9" x14ac:dyDescent="0.25">
      <c r="A5985">
        <v>2025</v>
      </c>
      <c r="B5985" t="s">
        <v>11918</v>
      </c>
      <c r="C5985" s="1">
        <v>45996</v>
      </c>
      <c r="D5985" t="s">
        <v>11919</v>
      </c>
      <c r="E5985" s="2">
        <v>6210</v>
      </c>
      <c r="G5985" s="3">
        <f>MONTH(Tabela1[[#This Row],[Último pagto ano]])</f>
        <v>12</v>
      </c>
      <c r="H5985" t="str">
        <f>TEXT(Tabela1[[#This Row],[Coluna2]]*29,"mmmm")</f>
        <v>dezembro</v>
      </c>
      <c r="I5985" t="str">
        <f>TEXT(MONTH(Tabela1[[#This Row],[Último pagto ano]])*29,"mmmm")</f>
        <v>dezembro</v>
      </c>
    </row>
    <row r="5986" spans="1:9" x14ac:dyDescent="0.25">
      <c r="A5986">
        <v>2025</v>
      </c>
      <c r="B5986" t="s">
        <v>11920</v>
      </c>
      <c r="C5986" s="1">
        <v>45975</v>
      </c>
      <c r="D5986" t="s">
        <v>11921</v>
      </c>
      <c r="E5986" s="2">
        <v>4442.3999999999996</v>
      </c>
      <c r="G5986" s="3">
        <f>MONTH(Tabela1[[#This Row],[Último pagto ano]])</f>
        <v>11</v>
      </c>
      <c r="H5986" t="str">
        <f>TEXT(Tabela1[[#This Row],[Coluna2]]*29,"mmmm")</f>
        <v>novembro</v>
      </c>
      <c r="I5986" t="str">
        <f>TEXT(MONTH(Tabela1[[#This Row],[Último pagto ano]])*29,"mmmm")</f>
        <v>novembro</v>
      </c>
    </row>
    <row r="5987" spans="1:9" x14ac:dyDescent="0.25">
      <c r="A5987">
        <v>2025</v>
      </c>
      <c r="B5987" t="s">
        <v>11922</v>
      </c>
      <c r="C5987" s="1">
        <v>45908</v>
      </c>
      <c r="D5987" t="s">
        <v>11923</v>
      </c>
      <c r="E5987">
        <v>446.77</v>
      </c>
      <c r="G5987" s="3">
        <f>MONTH(Tabela1[[#This Row],[Último pagto ano]])</f>
        <v>9</v>
      </c>
      <c r="H5987" t="str">
        <f>TEXT(Tabela1[[#This Row],[Coluna2]]*29,"mmmm")</f>
        <v>setembro</v>
      </c>
      <c r="I5987" t="str">
        <f>TEXT(MONTH(Tabela1[[#This Row],[Último pagto ano]])*29,"mmmm")</f>
        <v>setembro</v>
      </c>
    </row>
    <row r="5988" spans="1:9" x14ac:dyDescent="0.25">
      <c r="A5988">
        <v>2025</v>
      </c>
      <c r="B5988" t="s">
        <v>11924</v>
      </c>
      <c r="C5988" s="1">
        <v>45876</v>
      </c>
      <c r="D5988" t="s">
        <v>11925</v>
      </c>
      <c r="E5988" s="2">
        <v>43160.800000000003</v>
      </c>
      <c r="G5988" s="3">
        <f>MONTH(Tabela1[[#This Row],[Último pagto ano]])</f>
        <v>8</v>
      </c>
      <c r="H5988" t="str">
        <f>TEXT(Tabela1[[#This Row],[Coluna2]]*29,"mmmm")</f>
        <v>agosto</v>
      </c>
      <c r="I5988" t="str">
        <f>TEXT(MONTH(Tabela1[[#This Row],[Último pagto ano]])*29,"mmmm")</f>
        <v>agosto</v>
      </c>
    </row>
    <row r="5989" spans="1:9" x14ac:dyDescent="0.25">
      <c r="A5989">
        <v>2025</v>
      </c>
      <c r="B5989" t="s">
        <v>11926</v>
      </c>
      <c r="C5989" s="1">
        <v>45926</v>
      </c>
      <c r="D5989" t="s">
        <v>11927</v>
      </c>
      <c r="E5989">
        <v>163.80000000000001</v>
      </c>
      <c r="G5989" s="3">
        <f>MONTH(Tabela1[[#This Row],[Último pagto ano]])</f>
        <v>9</v>
      </c>
      <c r="H5989" t="str">
        <f>TEXT(Tabela1[[#This Row],[Coluna2]]*29,"mmmm")</f>
        <v>setembro</v>
      </c>
      <c r="I5989" t="str">
        <f>TEXT(MONTH(Tabela1[[#This Row],[Último pagto ano]])*29,"mmmm")</f>
        <v>setembro</v>
      </c>
    </row>
    <row r="5990" spans="1:9" x14ac:dyDescent="0.25">
      <c r="A5990">
        <v>2025</v>
      </c>
      <c r="B5990" t="s">
        <v>11928</v>
      </c>
      <c r="C5990" s="1">
        <v>46006</v>
      </c>
      <c r="D5990" t="s">
        <v>11929</v>
      </c>
      <c r="E5990" s="2">
        <v>2961.6</v>
      </c>
      <c r="G5990" s="3">
        <f>MONTH(Tabela1[[#This Row],[Último pagto ano]])</f>
        <v>12</v>
      </c>
      <c r="H5990" t="str">
        <f>TEXT(Tabela1[[#This Row],[Coluna2]]*29,"mmmm")</f>
        <v>dezembro</v>
      </c>
      <c r="I5990" t="str">
        <f>TEXT(MONTH(Tabela1[[#This Row],[Último pagto ano]])*29,"mmmm")</f>
        <v>dezembro</v>
      </c>
    </row>
    <row r="5991" spans="1:9" x14ac:dyDescent="0.25">
      <c r="A5991">
        <v>2025</v>
      </c>
      <c r="B5991" t="s">
        <v>11930</v>
      </c>
      <c r="C5991" s="1">
        <v>46010</v>
      </c>
      <c r="D5991" t="s">
        <v>11931</v>
      </c>
      <c r="E5991">
        <v>700</v>
      </c>
      <c r="G5991" s="3">
        <f>MONTH(Tabela1[[#This Row],[Último pagto ano]])</f>
        <v>12</v>
      </c>
      <c r="H5991" t="str">
        <f>TEXT(Tabela1[[#This Row],[Coluna2]]*29,"mmmm")</f>
        <v>dezembro</v>
      </c>
      <c r="I5991" t="str">
        <f>TEXT(MONTH(Tabela1[[#This Row],[Último pagto ano]])*29,"mmmm")</f>
        <v>dezembro</v>
      </c>
    </row>
    <row r="5992" spans="1:9" x14ac:dyDescent="0.25">
      <c r="A5992">
        <v>2025</v>
      </c>
      <c r="B5992" t="s">
        <v>11932</v>
      </c>
      <c r="C5992" s="1">
        <v>45988</v>
      </c>
      <c r="D5992" t="s">
        <v>11933</v>
      </c>
      <c r="E5992" s="2">
        <v>2527.1999999999998</v>
      </c>
      <c r="G5992" s="3">
        <f>MONTH(Tabela1[[#This Row],[Último pagto ano]])</f>
        <v>11</v>
      </c>
      <c r="H5992" t="str">
        <f>TEXT(Tabela1[[#This Row],[Coluna2]]*29,"mmmm")</f>
        <v>novembro</v>
      </c>
      <c r="I5992" t="str">
        <f>TEXT(MONTH(Tabela1[[#This Row],[Último pagto ano]])*29,"mmmm")</f>
        <v>novembro</v>
      </c>
    </row>
    <row r="5993" spans="1:9" x14ac:dyDescent="0.25">
      <c r="A5993">
        <v>2025</v>
      </c>
      <c r="B5993" t="s">
        <v>11934</v>
      </c>
      <c r="C5993" s="1">
        <v>46010</v>
      </c>
      <c r="D5993" t="s">
        <v>11935</v>
      </c>
      <c r="E5993" s="2">
        <v>6000</v>
      </c>
      <c r="G5993" s="3">
        <f>MONTH(Tabela1[[#This Row],[Último pagto ano]])</f>
        <v>12</v>
      </c>
      <c r="H5993" t="str">
        <f>TEXT(Tabela1[[#This Row],[Coluna2]]*29,"mmmm")</f>
        <v>dezembro</v>
      </c>
      <c r="I5993" t="str">
        <f>TEXT(MONTH(Tabela1[[#This Row],[Último pagto ano]])*29,"mmmm")</f>
        <v>dezembro</v>
      </c>
    </row>
    <row r="5994" spans="1:9" x14ac:dyDescent="0.25">
      <c r="A5994">
        <v>2025</v>
      </c>
      <c r="B5994" t="s">
        <v>11936</v>
      </c>
      <c r="C5994" s="1">
        <v>45831</v>
      </c>
      <c r="D5994" t="s">
        <v>11937</v>
      </c>
      <c r="E5994" s="2">
        <v>4785.91</v>
      </c>
      <c r="G5994" s="3">
        <f>MONTH(Tabela1[[#This Row],[Último pagto ano]])</f>
        <v>6</v>
      </c>
      <c r="H5994" t="str">
        <f>TEXT(Tabela1[[#This Row],[Coluna2]]*29,"mmmm")</f>
        <v>junho</v>
      </c>
      <c r="I5994" t="str">
        <f>TEXT(MONTH(Tabela1[[#This Row],[Último pagto ano]])*29,"mmmm")</f>
        <v>junho</v>
      </c>
    </row>
    <row r="5995" spans="1:9" x14ac:dyDescent="0.25">
      <c r="A5995">
        <v>2025</v>
      </c>
      <c r="B5995" t="s">
        <v>11938</v>
      </c>
      <c r="C5995" s="1">
        <v>46010</v>
      </c>
      <c r="D5995" t="s">
        <v>11939</v>
      </c>
      <c r="E5995" s="2">
        <v>24000</v>
      </c>
      <c r="G5995" s="3">
        <f>MONTH(Tabela1[[#This Row],[Último pagto ano]])</f>
        <v>12</v>
      </c>
      <c r="H5995" t="str">
        <f>TEXT(Tabela1[[#This Row],[Coluna2]]*29,"mmmm")</f>
        <v>dezembro</v>
      </c>
      <c r="I5995" t="str">
        <f>TEXT(MONTH(Tabela1[[#This Row],[Último pagto ano]])*29,"mmmm")</f>
        <v>dezembro</v>
      </c>
    </row>
    <row r="5996" spans="1:9" x14ac:dyDescent="0.25">
      <c r="A5996">
        <v>2025</v>
      </c>
      <c r="B5996" t="s">
        <v>11940</v>
      </c>
      <c r="C5996" s="1">
        <v>45824</v>
      </c>
      <c r="D5996" t="s">
        <v>11941</v>
      </c>
      <c r="E5996">
        <v>187</v>
      </c>
      <c r="G5996" s="3">
        <f>MONTH(Tabela1[[#This Row],[Último pagto ano]])</f>
        <v>6</v>
      </c>
      <c r="H5996" t="str">
        <f>TEXT(Tabela1[[#This Row],[Coluna2]]*29,"mmmm")</f>
        <v>junho</v>
      </c>
      <c r="I5996" t="str">
        <f>TEXT(MONTH(Tabela1[[#This Row],[Último pagto ano]])*29,"mmmm")</f>
        <v>junho</v>
      </c>
    </row>
    <row r="5997" spans="1:9" x14ac:dyDescent="0.25">
      <c r="A5997">
        <v>2025</v>
      </c>
      <c r="B5997" t="s">
        <v>11942</v>
      </c>
      <c r="C5997" s="1">
        <v>45930</v>
      </c>
      <c r="D5997" t="s">
        <v>11943</v>
      </c>
      <c r="E5997" s="2">
        <v>6601.81</v>
      </c>
      <c r="G5997" s="3">
        <f>MONTH(Tabela1[[#This Row],[Último pagto ano]])</f>
        <v>9</v>
      </c>
      <c r="H5997" t="str">
        <f>TEXT(Tabela1[[#This Row],[Coluna2]]*29,"mmmm")</f>
        <v>setembro</v>
      </c>
      <c r="I5997" t="str">
        <f>TEXT(MONTH(Tabela1[[#This Row],[Último pagto ano]])*29,"mmmm")</f>
        <v>setembro</v>
      </c>
    </row>
    <row r="5998" spans="1:9" x14ac:dyDescent="0.25">
      <c r="A5998">
        <v>2025</v>
      </c>
      <c r="B5998" t="s">
        <v>11944</v>
      </c>
      <c r="C5998" s="1">
        <v>45747</v>
      </c>
      <c r="D5998" t="s">
        <v>11945</v>
      </c>
      <c r="E5998">
        <v>44</v>
      </c>
      <c r="G5998" s="3">
        <f>MONTH(Tabela1[[#This Row],[Último pagto ano]])</f>
        <v>3</v>
      </c>
      <c r="H5998" t="str">
        <f>TEXT(Tabela1[[#This Row],[Coluna2]]*29,"mmmm")</f>
        <v>março</v>
      </c>
      <c r="I5998" t="str">
        <f>TEXT(MONTH(Tabela1[[#This Row],[Último pagto ano]])*29,"mmmm")</f>
        <v>março</v>
      </c>
    </row>
    <row r="5999" spans="1:9" x14ac:dyDescent="0.25">
      <c r="A5999">
        <v>2025</v>
      </c>
      <c r="B5999" t="s">
        <v>11946</v>
      </c>
      <c r="C5999" s="1">
        <v>45792</v>
      </c>
      <c r="D5999" t="s">
        <v>11947</v>
      </c>
      <c r="E5999">
        <v>108.8</v>
      </c>
      <c r="G5999" s="3">
        <f>MONTH(Tabela1[[#This Row],[Último pagto ano]])</f>
        <v>5</v>
      </c>
      <c r="H5999" t="str">
        <f>TEXT(Tabela1[[#This Row],[Coluna2]]*29,"mmmm")</f>
        <v>maio</v>
      </c>
      <c r="I5999" t="str">
        <f>TEXT(MONTH(Tabela1[[#This Row],[Último pagto ano]])*29,"mmmm")</f>
        <v>maio</v>
      </c>
    </row>
    <row r="6000" spans="1:9" x14ac:dyDescent="0.25">
      <c r="A6000">
        <v>2025</v>
      </c>
      <c r="B6000" t="s">
        <v>11948</v>
      </c>
      <c r="C6000" s="1">
        <v>46010</v>
      </c>
      <c r="D6000" t="s">
        <v>11949</v>
      </c>
      <c r="E6000" s="2">
        <v>24000</v>
      </c>
      <c r="G6000" s="3">
        <f>MONTH(Tabela1[[#This Row],[Último pagto ano]])</f>
        <v>12</v>
      </c>
      <c r="H6000" t="str">
        <f>TEXT(Tabela1[[#This Row],[Coluna2]]*29,"mmmm")</f>
        <v>dezembro</v>
      </c>
      <c r="I6000" t="str">
        <f>TEXT(MONTH(Tabela1[[#This Row],[Último pagto ano]])*29,"mmmm")</f>
        <v>dezembro</v>
      </c>
    </row>
    <row r="6001" spans="1:9" x14ac:dyDescent="0.25">
      <c r="A6001">
        <v>2025</v>
      </c>
      <c r="B6001" t="s">
        <v>11950</v>
      </c>
      <c r="C6001" s="1">
        <v>46010</v>
      </c>
      <c r="D6001" t="s">
        <v>11951</v>
      </c>
      <c r="E6001" s="2">
        <v>4200</v>
      </c>
      <c r="G6001" s="3">
        <f>MONTH(Tabela1[[#This Row],[Último pagto ano]])</f>
        <v>12</v>
      </c>
      <c r="H6001" t="str">
        <f>TEXT(Tabela1[[#This Row],[Coluna2]]*29,"mmmm")</f>
        <v>dezembro</v>
      </c>
      <c r="I6001" t="str">
        <f>TEXT(MONTH(Tabela1[[#This Row],[Último pagto ano]])*29,"mmmm")</f>
        <v>dezembro</v>
      </c>
    </row>
    <row r="6002" spans="1:9" x14ac:dyDescent="0.25">
      <c r="A6002">
        <v>2025</v>
      </c>
      <c r="B6002" t="s">
        <v>11952</v>
      </c>
      <c r="C6002" s="1">
        <v>45744</v>
      </c>
      <c r="D6002" t="s">
        <v>11953</v>
      </c>
      <c r="E6002" s="2">
        <v>89323.97</v>
      </c>
      <c r="G6002" s="3">
        <f>MONTH(Tabela1[[#This Row],[Último pagto ano]])</f>
        <v>3</v>
      </c>
      <c r="H6002" t="str">
        <f>TEXT(Tabela1[[#This Row],[Coluna2]]*29,"mmmm")</f>
        <v>março</v>
      </c>
      <c r="I6002" t="str">
        <f>TEXT(MONTH(Tabela1[[#This Row],[Último pagto ano]])*29,"mmmm")</f>
        <v>março</v>
      </c>
    </row>
    <row r="6003" spans="1:9" x14ac:dyDescent="0.25">
      <c r="A6003">
        <v>2025</v>
      </c>
      <c r="B6003" t="s">
        <v>11954</v>
      </c>
      <c r="C6003" s="1">
        <v>46021</v>
      </c>
      <c r="D6003" t="s">
        <v>11955</v>
      </c>
      <c r="E6003" s="2">
        <v>9225.81</v>
      </c>
      <c r="G6003" s="3">
        <f>MONTH(Tabela1[[#This Row],[Último pagto ano]])</f>
        <v>12</v>
      </c>
      <c r="H6003" t="str">
        <f>TEXT(Tabela1[[#This Row],[Coluna2]]*29,"mmmm")</f>
        <v>dezembro</v>
      </c>
      <c r="I6003" t="str">
        <f>TEXT(MONTH(Tabela1[[#This Row],[Último pagto ano]])*29,"mmmm")</f>
        <v>dezembro</v>
      </c>
    </row>
    <row r="6004" spans="1:9" x14ac:dyDescent="0.25">
      <c r="A6004">
        <v>2025</v>
      </c>
      <c r="B6004" t="s">
        <v>11956</v>
      </c>
      <c r="C6004" s="1">
        <v>45810</v>
      </c>
      <c r="D6004" t="s">
        <v>11957</v>
      </c>
      <c r="E6004">
        <v>22</v>
      </c>
      <c r="G6004" s="3">
        <f>MONTH(Tabela1[[#This Row],[Último pagto ano]])</f>
        <v>6</v>
      </c>
      <c r="H6004" t="str">
        <f>TEXT(Tabela1[[#This Row],[Coluna2]]*29,"mmmm")</f>
        <v>junho</v>
      </c>
      <c r="I6004" t="str">
        <f>TEXT(MONTH(Tabela1[[#This Row],[Último pagto ano]])*29,"mmmm")</f>
        <v>junho</v>
      </c>
    </row>
    <row r="6005" spans="1:9" x14ac:dyDescent="0.25">
      <c r="A6005">
        <v>2025</v>
      </c>
      <c r="B6005" t="s">
        <v>11958</v>
      </c>
      <c r="C6005" s="1">
        <v>45728</v>
      </c>
      <c r="D6005" t="s">
        <v>11959</v>
      </c>
      <c r="E6005">
        <v>429</v>
      </c>
      <c r="G6005" s="3">
        <f>MONTH(Tabela1[[#This Row],[Último pagto ano]])</f>
        <v>3</v>
      </c>
      <c r="H6005" t="str">
        <f>TEXT(Tabela1[[#This Row],[Coluna2]]*29,"mmmm")</f>
        <v>março</v>
      </c>
      <c r="I6005" t="str">
        <f>TEXT(MONTH(Tabela1[[#This Row],[Último pagto ano]])*29,"mmmm")</f>
        <v>março</v>
      </c>
    </row>
    <row r="6006" spans="1:9" x14ac:dyDescent="0.25">
      <c r="A6006">
        <v>2025</v>
      </c>
      <c r="B6006" t="s">
        <v>11960</v>
      </c>
      <c r="C6006" s="1">
        <v>46006</v>
      </c>
      <c r="D6006" t="s">
        <v>11961</v>
      </c>
      <c r="E6006" s="2">
        <v>4900</v>
      </c>
      <c r="G6006" s="3">
        <f>MONTH(Tabela1[[#This Row],[Último pagto ano]])</f>
        <v>12</v>
      </c>
      <c r="H6006" t="str">
        <f>TEXT(Tabela1[[#This Row],[Coluna2]]*29,"mmmm")</f>
        <v>dezembro</v>
      </c>
      <c r="I6006" t="str">
        <f>TEXT(MONTH(Tabela1[[#This Row],[Último pagto ano]])*29,"mmmm")</f>
        <v>dezembro</v>
      </c>
    </row>
    <row r="6007" spans="1:9" x14ac:dyDescent="0.25">
      <c r="A6007">
        <v>2025</v>
      </c>
      <c r="B6007" t="s">
        <v>11962</v>
      </c>
      <c r="C6007" s="1">
        <v>45740</v>
      </c>
      <c r="D6007" t="s">
        <v>11963</v>
      </c>
      <c r="E6007" s="2">
        <v>2100</v>
      </c>
      <c r="G6007" s="3">
        <f>MONTH(Tabela1[[#This Row],[Último pagto ano]])</f>
        <v>3</v>
      </c>
      <c r="H6007" t="str">
        <f>TEXT(Tabela1[[#This Row],[Coluna2]]*29,"mmmm")</f>
        <v>março</v>
      </c>
      <c r="I6007" t="str">
        <f>TEXT(MONTH(Tabela1[[#This Row],[Último pagto ano]])*29,"mmmm")</f>
        <v>março</v>
      </c>
    </row>
    <row r="6008" spans="1:9" x14ac:dyDescent="0.25">
      <c r="A6008">
        <v>2025</v>
      </c>
      <c r="B6008" t="s">
        <v>11964</v>
      </c>
      <c r="C6008" s="1">
        <v>45849</v>
      </c>
      <c r="D6008" t="s">
        <v>11965</v>
      </c>
      <c r="E6008">
        <v>132</v>
      </c>
      <c r="G6008" s="3">
        <f>MONTH(Tabela1[[#This Row],[Último pagto ano]])</f>
        <v>7</v>
      </c>
      <c r="H6008" t="str">
        <f>TEXT(Tabela1[[#This Row],[Coluna2]]*29,"mmmm")</f>
        <v>julho</v>
      </c>
      <c r="I6008" t="str">
        <f>TEXT(MONTH(Tabela1[[#This Row],[Último pagto ano]])*29,"mmmm")</f>
        <v>julho</v>
      </c>
    </row>
    <row r="6009" spans="1:9" x14ac:dyDescent="0.25">
      <c r="A6009">
        <v>2025</v>
      </c>
      <c r="B6009" t="s">
        <v>11966</v>
      </c>
      <c r="C6009" s="1">
        <v>45964</v>
      </c>
      <c r="D6009" t="s">
        <v>11967</v>
      </c>
      <c r="E6009">
        <v>209</v>
      </c>
      <c r="G6009" s="3">
        <f>MONTH(Tabela1[[#This Row],[Último pagto ano]])</f>
        <v>11</v>
      </c>
      <c r="H6009" t="str">
        <f>TEXT(Tabela1[[#This Row],[Coluna2]]*29,"mmmm")</f>
        <v>novembro</v>
      </c>
      <c r="I6009" t="str">
        <f>TEXT(MONTH(Tabela1[[#This Row],[Último pagto ano]])*29,"mmmm")</f>
        <v>novembro</v>
      </c>
    </row>
    <row r="6010" spans="1:9" x14ac:dyDescent="0.25">
      <c r="A6010">
        <v>2025</v>
      </c>
      <c r="B6010" t="s">
        <v>11968</v>
      </c>
      <c r="C6010" s="1">
        <v>46006</v>
      </c>
      <c r="D6010" t="s">
        <v>11969</v>
      </c>
      <c r="E6010" s="2">
        <v>12000</v>
      </c>
      <c r="G6010" s="3">
        <f>MONTH(Tabela1[[#This Row],[Último pagto ano]])</f>
        <v>12</v>
      </c>
      <c r="H6010" t="str">
        <f>TEXT(Tabela1[[#This Row],[Coluna2]]*29,"mmmm")</f>
        <v>dezembro</v>
      </c>
      <c r="I6010" t="str">
        <f>TEXT(MONTH(Tabela1[[#This Row],[Último pagto ano]])*29,"mmmm")</f>
        <v>dezembro</v>
      </c>
    </row>
    <row r="6011" spans="1:9" x14ac:dyDescent="0.25">
      <c r="A6011">
        <v>2025</v>
      </c>
      <c r="B6011" t="s">
        <v>11970</v>
      </c>
      <c r="C6011" s="1">
        <v>45744</v>
      </c>
      <c r="D6011" t="s">
        <v>11971</v>
      </c>
      <c r="E6011" s="2">
        <v>70003.66</v>
      </c>
      <c r="G6011" s="3">
        <f>MONTH(Tabela1[[#This Row],[Último pagto ano]])</f>
        <v>3</v>
      </c>
      <c r="H6011" t="str">
        <f>TEXT(Tabela1[[#This Row],[Coluna2]]*29,"mmmm")</f>
        <v>março</v>
      </c>
      <c r="I6011" t="str">
        <f>TEXT(MONTH(Tabela1[[#This Row],[Último pagto ano]])*29,"mmmm")</f>
        <v>março</v>
      </c>
    </row>
    <row r="6012" spans="1:9" x14ac:dyDescent="0.25">
      <c r="A6012">
        <v>2025</v>
      </c>
      <c r="B6012" t="s">
        <v>11972</v>
      </c>
      <c r="C6012" s="1">
        <v>45915</v>
      </c>
      <c r="D6012" t="s">
        <v>11973</v>
      </c>
      <c r="E6012">
        <v>77</v>
      </c>
      <c r="G6012" s="3">
        <f>MONTH(Tabela1[[#This Row],[Último pagto ano]])</f>
        <v>9</v>
      </c>
      <c r="H6012" t="str">
        <f>TEXT(Tabela1[[#This Row],[Coluna2]]*29,"mmmm")</f>
        <v>setembro</v>
      </c>
      <c r="I6012" t="str">
        <f>TEXT(MONTH(Tabela1[[#This Row],[Último pagto ano]])*29,"mmmm")</f>
        <v>setembro</v>
      </c>
    </row>
    <row r="6013" spans="1:9" x14ac:dyDescent="0.25">
      <c r="A6013">
        <v>2025</v>
      </c>
      <c r="B6013" t="s">
        <v>11974</v>
      </c>
      <c r="C6013" s="1">
        <v>45880</v>
      </c>
      <c r="D6013" t="s">
        <v>11975</v>
      </c>
      <c r="E6013">
        <v>345.6</v>
      </c>
      <c r="G6013" s="3">
        <f>MONTH(Tabela1[[#This Row],[Último pagto ano]])</f>
        <v>8</v>
      </c>
      <c r="H6013" t="str">
        <f>TEXT(Tabela1[[#This Row],[Coluna2]]*29,"mmmm")</f>
        <v>agosto</v>
      </c>
      <c r="I6013" t="str">
        <f>TEXT(MONTH(Tabela1[[#This Row],[Último pagto ano]])*29,"mmmm")</f>
        <v>agosto</v>
      </c>
    </row>
    <row r="6014" spans="1:9" x14ac:dyDescent="0.25">
      <c r="A6014">
        <v>2025</v>
      </c>
      <c r="B6014" t="s">
        <v>11976</v>
      </c>
      <c r="C6014" s="1">
        <v>46014</v>
      </c>
      <c r="D6014" t="s">
        <v>11977</v>
      </c>
      <c r="E6014">
        <v>536.79999999999995</v>
      </c>
      <c r="G6014" s="3">
        <f>MONTH(Tabela1[[#This Row],[Último pagto ano]])</f>
        <v>12</v>
      </c>
      <c r="H6014" t="str">
        <f>TEXT(Tabela1[[#This Row],[Coluna2]]*29,"mmmm")</f>
        <v>dezembro</v>
      </c>
      <c r="I6014" t="str">
        <f>TEXT(MONTH(Tabela1[[#This Row],[Último pagto ano]])*29,"mmmm")</f>
        <v>dezembro</v>
      </c>
    </row>
    <row r="6015" spans="1:9" x14ac:dyDescent="0.25">
      <c r="A6015">
        <v>2025</v>
      </c>
      <c r="B6015" t="s">
        <v>11978</v>
      </c>
      <c r="C6015" s="1">
        <v>45915</v>
      </c>
      <c r="D6015" t="s">
        <v>11979</v>
      </c>
      <c r="E6015">
        <v>55</v>
      </c>
      <c r="G6015" s="3">
        <f>MONTH(Tabela1[[#This Row],[Último pagto ano]])</f>
        <v>9</v>
      </c>
      <c r="H6015" t="str">
        <f>TEXT(Tabela1[[#This Row],[Coluna2]]*29,"mmmm")</f>
        <v>setembro</v>
      </c>
      <c r="I6015" t="str">
        <f>TEXT(MONTH(Tabela1[[#This Row],[Último pagto ano]])*29,"mmmm")</f>
        <v>setembro</v>
      </c>
    </row>
    <row r="6016" spans="1:9" x14ac:dyDescent="0.25">
      <c r="A6016">
        <v>2025</v>
      </c>
      <c r="B6016" t="s">
        <v>11980</v>
      </c>
      <c r="C6016" s="1">
        <v>46013</v>
      </c>
      <c r="D6016" t="s">
        <v>11981</v>
      </c>
      <c r="E6016" s="2">
        <v>10234.799999999999</v>
      </c>
      <c r="G6016" s="3">
        <f>MONTH(Tabela1[[#This Row],[Último pagto ano]])</f>
        <v>12</v>
      </c>
      <c r="H6016" t="str">
        <f>TEXT(Tabela1[[#This Row],[Coluna2]]*29,"mmmm")</f>
        <v>dezembro</v>
      </c>
      <c r="I6016" t="str">
        <f>TEXT(MONTH(Tabela1[[#This Row],[Último pagto ano]])*29,"mmmm")</f>
        <v>dezembro</v>
      </c>
    </row>
    <row r="6017" spans="1:9" x14ac:dyDescent="0.25">
      <c r="A6017">
        <v>2025</v>
      </c>
      <c r="B6017" t="s">
        <v>11982</v>
      </c>
      <c r="C6017" s="1">
        <v>45940</v>
      </c>
      <c r="D6017" t="s">
        <v>11983</v>
      </c>
      <c r="E6017" s="2">
        <v>15025.2</v>
      </c>
      <c r="G6017" s="3">
        <f>MONTH(Tabela1[[#This Row],[Último pagto ano]])</f>
        <v>10</v>
      </c>
      <c r="H6017" t="str">
        <f>TEXT(Tabela1[[#This Row],[Coluna2]]*29,"mmmm")</f>
        <v>outubro</v>
      </c>
      <c r="I6017" t="str">
        <f>TEXT(MONTH(Tabela1[[#This Row],[Último pagto ano]])*29,"mmmm")</f>
        <v>outubro</v>
      </c>
    </row>
    <row r="6018" spans="1:9" x14ac:dyDescent="0.25">
      <c r="A6018">
        <v>2025</v>
      </c>
      <c r="B6018" t="s">
        <v>11984</v>
      </c>
      <c r="C6018" s="1">
        <v>45673</v>
      </c>
      <c r="D6018" t="s">
        <v>11985</v>
      </c>
      <c r="E6018" s="2">
        <v>2000</v>
      </c>
      <c r="G6018" s="3">
        <f>MONTH(Tabela1[[#This Row],[Último pagto ano]])</f>
        <v>1</v>
      </c>
      <c r="H6018" t="str">
        <f>TEXT(Tabela1[[#This Row],[Coluna2]]*29,"mmmm")</f>
        <v>janeiro</v>
      </c>
      <c r="I6018" t="str">
        <f>TEXT(MONTH(Tabela1[[#This Row],[Último pagto ano]])*29,"mmmm")</f>
        <v>janeiro</v>
      </c>
    </row>
    <row r="6019" spans="1:9" x14ac:dyDescent="0.25">
      <c r="A6019">
        <v>2025</v>
      </c>
      <c r="B6019" t="s">
        <v>11986</v>
      </c>
      <c r="C6019" s="1">
        <v>45995</v>
      </c>
      <c r="D6019" t="s">
        <v>11987</v>
      </c>
      <c r="E6019" s="2">
        <v>11959</v>
      </c>
      <c r="G6019" s="3">
        <f>MONTH(Tabela1[[#This Row],[Último pagto ano]])</f>
        <v>12</v>
      </c>
      <c r="H6019" t="str">
        <f>TEXT(Tabela1[[#This Row],[Coluna2]]*29,"mmmm")</f>
        <v>dezembro</v>
      </c>
      <c r="I6019" t="str">
        <f>TEXT(MONTH(Tabela1[[#This Row],[Último pagto ano]])*29,"mmmm")</f>
        <v>dezembro</v>
      </c>
    </row>
    <row r="6020" spans="1:9" x14ac:dyDescent="0.25">
      <c r="A6020">
        <v>2025</v>
      </c>
      <c r="B6020" t="s">
        <v>11988</v>
      </c>
      <c r="C6020" s="1">
        <v>45709</v>
      </c>
      <c r="D6020" t="s">
        <v>11989</v>
      </c>
      <c r="E6020" s="2">
        <v>68076.039999999994</v>
      </c>
      <c r="G6020" s="3">
        <f>MONTH(Tabela1[[#This Row],[Último pagto ano]])</f>
        <v>2</v>
      </c>
      <c r="H6020" t="str">
        <f>TEXT(Tabela1[[#This Row],[Coluna2]]*29,"mmmm")</f>
        <v>fevereiro</v>
      </c>
      <c r="I6020" t="str">
        <f>TEXT(MONTH(Tabela1[[#This Row],[Último pagto ano]])*29,"mmmm")</f>
        <v>fevereiro</v>
      </c>
    </row>
    <row r="6021" spans="1:9" x14ac:dyDescent="0.25">
      <c r="A6021">
        <v>2025</v>
      </c>
      <c r="B6021" t="s">
        <v>11990</v>
      </c>
      <c r="C6021" s="1">
        <v>46007</v>
      </c>
      <c r="D6021" t="s">
        <v>11991</v>
      </c>
      <c r="E6021" s="2">
        <v>10723.2</v>
      </c>
      <c r="G6021" s="3">
        <f>MONTH(Tabela1[[#This Row],[Último pagto ano]])</f>
        <v>12</v>
      </c>
      <c r="H6021" t="str">
        <f>TEXT(Tabela1[[#This Row],[Coluna2]]*29,"mmmm")</f>
        <v>dezembro</v>
      </c>
      <c r="I6021" t="str">
        <f>TEXT(MONTH(Tabela1[[#This Row],[Último pagto ano]])*29,"mmmm")</f>
        <v>dezembro</v>
      </c>
    </row>
    <row r="6022" spans="1:9" x14ac:dyDescent="0.25">
      <c r="A6022">
        <v>2025</v>
      </c>
      <c r="B6022" t="s">
        <v>11992</v>
      </c>
      <c r="C6022" s="1">
        <v>45680</v>
      </c>
      <c r="D6022" t="s">
        <v>11993</v>
      </c>
      <c r="E6022" s="2">
        <v>7753.2</v>
      </c>
      <c r="G6022" s="3">
        <f>MONTH(Tabela1[[#This Row],[Último pagto ano]])</f>
        <v>1</v>
      </c>
      <c r="H6022" t="str">
        <f>TEXT(Tabela1[[#This Row],[Coluna2]]*29,"mmmm")</f>
        <v>janeiro</v>
      </c>
      <c r="I6022" t="str">
        <f>TEXT(MONTH(Tabela1[[#This Row],[Último pagto ano]])*29,"mmmm")</f>
        <v>janeiro</v>
      </c>
    </row>
    <row r="6023" spans="1:9" x14ac:dyDescent="0.25">
      <c r="A6023">
        <v>2025</v>
      </c>
      <c r="B6023" t="s">
        <v>11994</v>
      </c>
      <c r="C6023" s="1">
        <v>45996</v>
      </c>
      <c r="D6023" t="s">
        <v>11995</v>
      </c>
      <c r="E6023" s="2">
        <v>5500</v>
      </c>
      <c r="G6023" s="3">
        <f>MONTH(Tabela1[[#This Row],[Último pagto ano]])</f>
        <v>12</v>
      </c>
      <c r="H6023" t="str">
        <f>TEXT(Tabela1[[#This Row],[Coluna2]]*29,"mmmm")</f>
        <v>dezembro</v>
      </c>
      <c r="I6023" t="str">
        <f>TEXT(MONTH(Tabela1[[#This Row],[Último pagto ano]])*29,"mmmm")</f>
        <v>dezembro</v>
      </c>
    </row>
    <row r="6024" spans="1:9" x14ac:dyDescent="0.25">
      <c r="A6024">
        <v>2025</v>
      </c>
      <c r="B6024" t="s">
        <v>11996</v>
      </c>
      <c r="C6024" s="1">
        <v>45814</v>
      </c>
      <c r="D6024" t="s">
        <v>11997</v>
      </c>
      <c r="E6024" s="2">
        <v>27000</v>
      </c>
      <c r="G6024" s="3">
        <f>MONTH(Tabela1[[#This Row],[Último pagto ano]])</f>
        <v>6</v>
      </c>
      <c r="H6024" t="str">
        <f>TEXT(Tabela1[[#This Row],[Coluna2]]*29,"mmmm")</f>
        <v>junho</v>
      </c>
      <c r="I6024" t="str">
        <f>TEXT(MONTH(Tabela1[[#This Row],[Último pagto ano]])*29,"mmmm")</f>
        <v>junho</v>
      </c>
    </row>
    <row r="6025" spans="1:9" x14ac:dyDescent="0.25">
      <c r="A6025">
        <v>2025</v>
      </c>
      <c r="B6025" t="s">
        <v>11998</v>
      </c>
      <c r="C6025" s="1">
        <v>46009</v>
      </c>
      <c r="D6025" t="s">
        <v>11999</v>
      </c>
      <c r="E6025" s="2">
        <v>16663.400000000001</v>
      </c>
      <c r="G6025" s="3">
        <f>MONTH(Tabela1[[#This Row],[Último pagto ano]])</f>
        <v>12</v>
      </c>
      <c r="H6025" t="str">
        <f>TEXT(Tabela1[[#This Row],[Coluna2]]*29,"mmmm")</f>
        <v>dezembro</v>
      </c>
      <c r="I6025" t="str">
        <f>TEXT(MONTH(Tabela1[[#This Row],[Último pagto ano]])*29,"mmmm")</f>
        <v>dezembro</v>
      </c>
    </row>
    <row r="6026" spans="1:9" x14ac:dyDescent="0.25">
      <c r="A6026">
        <v>2025</v>
      </c>
      <c r="B6026" t="s">
        <v>12000</v>
      </c>
      <c r="C6026" s="1">
        <v>45985</v>
      </c>
      <c r="D6026" t="s">
        <v>12001</v>
      </c>
      <c r="E6026" s="2">
        <v>91742.19</v>
      </c>
      <c r="G6026" s="3">
        <f>MONTH(Tabela1[[#This Row],[Último pagto ano]])</f>
        <v>11</v>
      </c>
      <c r="H6026" t="str">
        <f>TEXT(Tabela1[[#This Row],[Coluna2]]*29,"mmmm")</f>
        <v>novembro</v>
      </c>
      <c r="I6026" t="str">
        <f>TEXT(MONTH(Tabela1[[#This Row],[Último pagto ano]])*29,"mmmm")</f>
        <v>novembro</v>
      </c>
    </row>
    <row r="6027" spans="1:9" x14ac:dyDescent="0.25">
      <c r="A6027">
        <v>2025</v>
      </c>
      <c r="B6027" t="s">
        <v>12002</v>
      </c>
      <c r="C6027" s="1">
        <v>45989</v>
      </c>
      <c r="D6027" t="s">
        <v>12003</v>
      </c>
      <c r="E6027" s="2">
        <v>11601.85</v>
      </c>
      <c r="G6027" s="3">
        <f>MONTH(Tabela1[[#This Row],[Último pagto ano]])</f>
        <v>11</v>
      </c>
      <c r="H6027" t="str">
        <f>TEXT(Tabela1[[#This Row],[Coluna2]]*29,"mmmm")</f>
        <v>novembro</v>
      </c>
      <c r="I6027" t="str">
        <f>TEXT(MONTH(Tabela1[[#This Row],[Último pagto ano]])*29,"mmmm")</f>
        <v>novembro</v>
      </c>
    </row>
    <row r="6028" spans="1:9" x14ac:dyDescent="0.25">
      <c r="A6028">
        <v>2025</v>
      </c>
      <c r="B6028" t="s">
        <v>12004</v>
      </c>
      <c r="C6028" s="1">
        <v>45908</v>
      </c>
      <c r="D6028" t="s">
        <v>12005</v>
      </c>
      <c r="E6028">
        <v>44</v>
      </c>
      <c r="G6028" s="3">
        <f>MONTH(Tabela1[[#This Row],[Último pagto ano]])</f>
        <v>9</v>
      </c>
      <c r="H6028" t="str">
        <f>TEXT(Tabela1[[#This Row],[Coluna2]]*29,"mmmm")</f>
        <v>setembro</v>
      </c>
      <c r="I6028" t="str">
        <f>TEXT(MONTH(Tabela1[[#This Row],[Último pagto ano]])*29,"mmmm")</f>
        <v>setembro</v>
      </c>
    </row>
    <row r="6029" spans="1:9" x14ac:dyDescent="0.25">
      <c r="A6029">
        <v>2025</v>
      </c>
      <c r="B6029" t="s">
        <v>12006</v>
      </c>
      <c r="C6029" s="1">
        <v>45771</v>
      </c>
      <c r="D6029" t="s">
        <v>12007</v>
      </c>
      <c r="E6029" s="2">
        <v>2800</v>
      </c>
      <c r="G6029" s="3">
        <f>MONTH(Tabela1[[#This Row],[Último pagto ano]])</f>
        <v>4</v>
      </c>
      <c r="H6029" t="str">
        <f>TEXT(Tabela1[[#This Row],[Coluna2]]*29,"mmmm")</f>
        <v>abril</v>
      </c>
      <c r="I6029" t="str">
        <f>TEXT(MONTH(Tabela1[[#This Row],[Último pagto ano]])*29,"mmmm")</f>
        <v>abril</v>
      </c>
    </row>
    <row r="6030" spans="1:9" x14ac:dyDescent="0.25">
      <c r="A6030">
        <v>2025</v>
      </c>
      <c r="B6030" t="s">
        <v>12008</v>
      </c>
      <c r="C6030" s="1">
        <v>45796</v>
      </c>
      <c r="D6030" t="s">
        <v>12009</v>
      </c>
      <c r="E6030" s="2">
        <v>16577.16</v>
      </c>
      <c r="G6030" s="3">
        <f>MONTH(Tabela1[[#This Row],[Último pagto ano]])</f>
        <v>5</v>
      </c>
      <c r="H6030" t="str">
        <f>TEXT(Tabela1[[#This Row],[Coluna2]]*29,"mmmm")</f>
        <v>maio</v>
      </c>
      <c r="I6030" t="str">
        <f>TEXT(MONTH(Tabela1[[#This Row],[Último pagto ano]])*29,"mmmm")</f>
        <v>maio</v>
      </c>
    </row>
    <row r="6031" spans="1:9" x14ac:dyDescent="0.25">
      <c r="A6031">
        <v>2025</v>
      </c>
      <c r="B6031" t="s">
        <v>12010</v>
      </c>
      <c r="C6031" s="1">
        <v>46014</v>
      </c>
      <c r="D6031" t="s">
        <v>12011</v>
      </c>
      <c r="E6031" s="2">
        <v>62807.02</v>
      </c>
      <c r="G6031" s="3">
        <f>MONTH(Tabela1[[#This Row],[Último pagto ano]])</f>
        <v>12</v>
      </c>
      <c r="H6031" t="str">
        <f>TEXT(Tabela1[[#This Row],[Coluna2]]*29,"mmmm")</f>
        <v>dezembro</v>
      </c>
      <c r="I6031" t="str">
        <f>TEXT(MONTH(Tabela1[[#This Row],[Último pagto ano]])*29,"mmmm")</f>
        <v>dezembro</v>
      </c>
    </row>
    <row r="6032" spans="1:9" x14ac:dyDescent="0.25">
      <c r="A6032">
        <v>2025</v>
      </c>
      <c r="B6032" t="s">
        <v>12012</v>
      </c>
      <c r="C6032" s="1">
        <v>45869</v>
      </c>
      <c r="D6032" t="s">
        <v>12013</v>
      </c>
      <c r="E6032" s="2">
        <v>4750.82</v>
      </c>
      <c r="G6032" s="3">
        <f>MONTH(Tabela1[[#This Row],[Último pagto ano]])</f>
        <v>7</v>
      </c>
      <c r="H6032" t="str">
        <f>TEXT(Tabela1[[#This Row],[Coluna2]]*29,"mmmm")</f>
        <v>julho</v>
      </c>
      <c r="I6032" t="str">
        <f>TEXT(MONTH(Tabela1[[#This Row],[Último pagto ano]])*29,"mmmm")</f>
        <v>julho</v>
      </c>
    </row>
    <row r="6033" spans="1:9" x14ac:dyDescent="0.25">
      <c r="A6033">
        <v>2025</v>
      </c>
      <c r="B6033" t="s">
        <v>12014</v>
      </c>
      <c r="C6033" s="1">
        <v>45974</v>
      </c>
      <c r="D6033" t="s">
        <v>12015</v>
      </c>
      <c r="E6033" s="2">
        <v>10358.49</v>
      </c>
      <c r="G6033" s="3">
        <f>MONTH(Tabela1[[#This Row],[Último pagto ano]])</f>
        <v>11</v>
      </c>
      <c r="H6033" t="str">
        <f>TEXT(Tabela1[[#This Row],[Coluna2]]*29,"mmmm")</f>
        <v>novembro</v>
      </c>
      <c r="I6033" t="str">
        <f>TEXT(MONTH(Tabela1[[#This Row],[Último pagto ano]])*29,"mmmm")</f>
        <v>novembro</v>
      </c>
    </row>
    <row r="6034" spans="1:9" x14ac:dyDescent="0.25">
      <c r="A6034">
        <v>2025</v>
      </c>
      <c r="B6034" t="s">
        <v>12016</v>
      </c>
      <c r="C6034" s="1">
        <v>46014</v>
      </c>
      <c r="D6034" t="s">
        <v>12017</v>
      </c>
      <c r="E6034" s="2">
        <v>628400.38</v>
      </c>
      <c r="G6034" s="3">
        <f>MONTH(Tabela1[[#This Row],[Último pagto ano]])</f>
        <v>12</v>
      </c>
      <c r="H6034" t="str">
        <f>TEXT(Tabela1[[#This Row],[Coluna2]]*29,"mmmm")</f>
        <v>dezembro</v>
      </c>
      <c r="I6034" t="str">
        <f>TEXT(MONTH(Tabela1[[#This Row],[Último pagto ano]])*29,"mmmm")</f>
        <v>dezembro</v>
      </c>
    </row>
    <row r="6035" spans="1:9" x14ac:dyDescent="0.25">
      <c r="A6035">
        <v>2025</v>
      </c>
      <c r="B6035" t="s">
        <v>12018</v>
      </c>
      <c r="C6035" s="1">
        <v>45908</v>
      </c>
      <c r="D6035" t="s">
        <v>12019</v>
      </c>
      <c r="E6035">
        <v>8.91</v>
      </c>
      <c r="G6035" s="3">
        <f>MONTH(Tabela1[[#This Row],[Último pagto ano]])</f>
        <v>9</v>
      </c>
      <c r="H6035" t="str">
        <f>TEXT(Tabela1[[#This Row],[Coluna2]]*29,"mmmm")</f>
        <v>setembro</v>
      </c>
      <c r="I6035" t="str">
        <f>TEXT(MONTH(Tabela1[[#This Row],[Último pagto ano]])*29,"mmmm")</f>
        <v>setembro</v>
      </c>
    </row>
    <row r="6036" spans="1:9" x14ac:dyDescent="0.25">
      <c r="A6036">
        <v>2025</v>
      </c>
      <c r="B6036" t="s">
        <v>12020</v>
      </c>
      <c r="C6036" s="1">
        <v>45908</v>
      </c>
      <c r="D6036" t="s">
        <v>12021</v>
      </c>
      <c r="E6036">
        <v>11.72</v>
      </c>
      <c r="G6036" s="3">
        <f>MONTH(Tabela1[[#This Row],[Último pagto ano]])</f>
        <v>9</v>
      </c>
      <c r="H6036" t="str">
        <f>TEXT(Tabela1[[#This Row],[Coluna2]]*29,"mmmm")</f>
        <v>setembro</v>
      </c>
      <c r="I6036" t="str">
        <f>TEXT(MONTH(Tabela1[[#This Row],[Último pagto ano]])*29,"mmmm")</f>
        <v>setembro</v>
      </c>
    </row>
    <row r="6037" spans="1:9" x14ac:dyDescent="0.25">
      <c r="A6037">
        <v>2025</v>
      </c>
      <c r="B6037" t="s">
        <v>12022</v>
      </c>
      <c r="C6037" s="1">
        <v>46010</v>
      </c>
      <c r="D6037" t="s">
        <v>12023</v>
      </c>
      <c r="E6037" s="2">
        <v>2534</v>
      </c>
      <c r="G6037" s="3">
        <f>MONTH(Tabela1[[#This Row],[Último pagto ano]])</f>
        <v>12</v>
      </c>
      <c r="H6037" t="str">
        <f>TEXT(Tabela1[[#This Row],[Coluna2]]*29,"mmmm")</f>
        <v>dezembro</v>
      </c>
      <c r="I6037" t="str">
        <f>TEXT(MONTH(Tabela1[[#This Row],[Último pagto ano]])*29,"mmmm")</f>
        <v>dezembro</v>
      </c>
    </row>
    <row r="6038" spans="1:9" x14ac:dyDescent="0.25">
      <c r="A6038">
        <v>2025</v>
      </c>
      <c r="B6038" t="s">
        <v>12024</v>
      </c>
      <c r="C6038" s="1">
        <v>46013</v>
      </c>
      <c r="D6038" t="s">
        <v>12025</v>
      </c>
      <c r="E6038" s="2">
        <v>3074.4</v>
      </c>
      <c r="G6038" s="3">
        <f>MONTH(Tabela1[[#This Row],[Último pagto ano]])</f>
        <v>12</v>
      </c>
      <c r="H6038" t="str">
        <f>TEXT(Tabela1[[#This Row],[Coluna2]]*29,"mmmm")</f>
        <v>dezembro</v>
      </c>
      <c r="I6038" t="str">
        <f>TEXT(MONTH(Tabela1[[#This Row],[Último pagto ano]])*29,"mmmm")</f>
        <v>dezembro</v>
      </c>
    </row>
    <row r="6039" spans="1:9" x14ac:dyDescent="0.25">
      <c r="A6039">
        <v>2025</v>
      </c>
      <c r="B6039" t="s">
        <v>12026</v>
      </c>
      <c r="C6039" s="1">
        <v>45937</v>
      </c>
      <c r="D6039" t="s">
        <v>12027</v>
      </c>
      <c r="E6039" s="2">
        <v>5800</v>
      </c>
      <c r="G6039" s="3">
        <f>MONTH(Tabela1[[#This Row],[Último pagto ano]])</f>
        <v>10</v>
      </c>
      <c r="H6039" t="str">
        <f>TEXT(Tabela1[[#This Row],[Coluna2]]*29,"mmmm")</f>
        <v>outubro</v>
      </c>
      <c r="I6039" t="str">
        <f>TEXT(MONTH(Tabela1[[#This Row],[Último pagto ano]])*29,"mmmm")</f>
        <v>outubro</v>
      </c>
    </row>
    <row r="6040" spans="1:9" x14ac:dyDescent="0.25">
      <c r="A6040">
        <v>2025</v>
      </c>
      <c r="B6040" t="s">
        <v>12028</v>
      </c>
      <c r="C6040" s="1">
        <v>45702</v>
      </c>
      <c r="D6040" t="s">
        <v>12029</v>
      </c>
      <c r="E6040">
        <v>502.74</v>
      </c>
      <c r="G6040" s="3">
        <f>MONTH(Tabela1[[#This Row],[Último pagto ano]])</f>
        <v>2</v>
      </c>
      <c r="H6040" t="str">
        <f>TEXT(Tabela1[[#This Row],[Coluna2]]*29,"mmmm")</f>
        <v>fevereiro</v>
      </c>
      <c r="I6040" t="str">
        <f>TEXT(MONTH(Tabela1[[#This Row],[Último pagto ano]])*29,"mmmm")</f>
        <v>fevereiro</v>
      </c>
    </row>
    <row r="6041" spans="1:9" x14ac:dyDescent="0.25">
      <c r="A6041">
        <v>2025</v>
      </c>
      <c r="B6041" t="s">
        <v>12030</v>
      </c>
      <c r="C6041" s="1">
        <v>46014</v>
      </c>
      <c r="D6041" t="s">
        <v>12031</v>
      </c>
      <c r="E6041" s="2">
        <v>2700</v>
      </c>
      <c r="G6041" s="3">
        <f>MONTH(Tabela1[[#This Row],[Último pagto ano]])</f>
        <v>12</v>
      </c>
      <c r="H6041" t="str">
        <f>TEXT(Tabela1[[#This Row],[Coluna2]]*29,"mmmm")</f>
        <v>dezembro</v>
      </c>
      <c r="I6041" t="str">
        <f>TEXT(MONTH(Tabela1[[#This Row],[Último pagto ano]])*29,"mmmm")</f>
        <v>dezembro</v>
      </c>
    </row>
    <row r="6042" spans="1:9" x14ac:dyDescent="0.25">
      <c r="A6042">
        <v>2025</v>
      </c>
      <c r="B6042" t="s">
        <v>12032</v>
      </c>
      <c r="C6042" s="1">
        <v>46014</v>
      </c>
      <c r="D6042" t="s">
        <v>12033</v>
      </c>
      <c r="E6042" s="2">
        <v>20925</v>
      </c>
      <c r="G6042" s="3">
        <f>MONTH(Tabela1[[#This Row],[Último pagto ano]])</f>
        <v>12</v>
      </c>
      <c r="H6042" t="str">
        <f>TEXT(Tabela1[[#This Row],[Coluna2]]*29,"mmmm")</f>
        <v>dezembro</v>
      </c>
      <c r="I6042" t="str">
        <f>TEXT(MONTH(Tabela1[[#This Row],[Último pagto ano]])*29,"mmmm")</f>
        <v>dezembro</v>
      </c>
    </row>
    <row r="6043" spans="1:9" x14ac:dyDescent="0.25">
      <c r="A6043">
        <v>2025</v>
      </c>
      <c r="B6043" t="s">
        <v>12034</v>
      </c>
      <c r="C6043" s="1">
        <v>46006</v>
      </c>
      <c r="D6043" t="s">
        <v>12035</v>
      </c>
      <c r="E6043" s="2">
        <v>7441.02</v>
      </c>
      <c r="G6043" s="3">
        <f>MONTH(Tabela1[[#This Row],[Último pagto ano]])</f>
        <v>12</v>
      </c>
      <c r="H6043" t="str">
        <f>TEXT(Tabela1[[#This Row],[Coluna2]]*29,"mmmm")</f>
        <v>dezembro</v>
      </c>
      <c r="I6043" t="str">
        <f>TEXT(MONTH(Tabela1[[#This Row],[Último pagto ano]])*29,"mmmm")</f>
        <v>dezembro</v>
      </c>
    </row>
    <row r="6044" spans="1:9" x14ac:dyDescent="0.25">
      <c r="A6044">
        <v>2025</v>
      </c>
      <c r="B6044" t="s">
        <v>12036</v>
      </c>
      <c r="C6044" s="1">
        <v>46021</v>
      </c>
      <c r="D6044" t="s">
        <v>12037</v>
      </c>
      <c r="E6044" s="2">
        <v>12727.96</v>
      </c>
      <c r="G6044" s="3">
        <f>MONTH(Tabela1[[#This Row],[Último pagto ano]])</f>
        <v>12</v>
      </c>
      <c r="H6044" t="str">
        <f>TEXT(Tabela1[[#This Row],[Coluna2]]*29,"mmmm")</f>
        <v>dezembro</v>
      </c>
      <c r="I6044" t="str">
        <f>TEXT(MONTH(Tabela1[[#This Row],[Último pagto ano]])*29,"mmmm")</f>
        <v>dezembro</v>
      </c>
    </row>
    <row r="6045" spans="1:9" x14ac:dyDescent="0.25">
      <c r="A6045">
        <v>2025</v>
      </c>
      <c r="B6045" t="s">
        <v>12038</v>
      </c>
      <c r="C6045" s="1">
        <v>45945</v>
      </c>
      <c r="D6045" t="s">
        <v>12039</v>
      </c>
      <c r="E6045" s="2">
        <v>8097.25</v>
      </c>
      <c r="G6045" s="3">
        <f>MONTH(Tabela1[[#This Row],[Último pagto ano]])</f>
        <v>10</v>
      </c>
      <c r="H6045" t="str">
        <f>TEXT(Tabela1[[#This Row],[Coluna2]]*29,"mmmm")</f>
        <v>outubro</v>
      </c>
      <c r="I6045" t="str">
        <f>TEXT(MONTH(Tabela1[[#This Row],[Último pagto ano]])*29,"mmmm")</f>
        <v>outubro</v>
      </c>
    </row>
    <row r="6046" spans="1:9" x14ac:dyDescent="0.25">
      <c r="A6046">
        <v>2025</v>
      </c>
      <c r="B6046" t="s">
        <v>12040</v>
      </c>
      <c r="C6046" s="1">
        <v>45989</v>
      </c>
      <c r="D6046" t="s">
        <v>12041</v>
      </c>
      <c r="E6046" s="2">
        <v>13233.5</v>
      </c>
      <c r="G6046" s="3">
        <f>MONTH(Tabela1[[#This Row],[Último pagto ano]])</f>
        <v>11</v>
      </c>
      <c r="H6046" t="str">
        <f>TEXT(Tabela1[[#This Row],[Coluna2]]*29,"mmmm")</f>
        <v>novembro</v>
      </c>
      <c r="I6046" t="str">
        <f>TEXT(MONTH(Tabela1[[#This Row],[Último pagto ano]])*29,"mmmm")</f>
        <v>novembro</v>
      </c>
    </row>
    <row r="6047" spans="1:9" x14ac:dyDescent="0.25">
      <c r="A6047">
        <v>2025</v>
      </c>
      <c r="B6047" t="s">
        <v>12042</v>
      </c>
      <c r="C6047" s="1">
        <v>45996</v>
      </c>
      <c r="D6047" t="s">
        <v>12043</v>
      </c>
      <c r="E6047" s="2">
        <v>35820</v>
      </c>
      <c r="G6047" s="3">
        <f>MONTH(Tabela1[[#This Row],[Último pagto ano]])</f>
        <v>12</v>
      </c>
      <c r="H6047" t="str">
        <f>TEXT(Tabela1[[#This Row],[Coluna2]]*29,"mmmm")</f>
        <v>dezembro</v>
      </c>
      <c r="I6047" t="str">
        <f>TEXT(MONTH(Tabela1[[#This Row],[Último pagto ano]])*29,"mmmm")</f>
        <v>dezembro</v>
      </c>
    </row>
    <row r="6048" spans="1:9" x14ac:dyDescent="0.25">
      <c r="A6048">
        <v>2025</v>
      </c>
      <c r="B6048" t="s">
        <v>12044</v>
      </c>
      <c r="C6048" s="1">
        <v>45915</v>
      </c>
      <c r="D6048" t="s">
        <v>12045</v>
      </c>
      <c r="E6048" s="2">
        <v>1765.16</v>
      </c>
      <c r="G6048" s="3">
        <f>MONTH(Tabela1[[#This Row],[Último pagto ano]])</f>
        <v>9</v>
      </c>
      <c r="H6048" t="str">
        <f>TEXT(Tabela1[[#This Row],[Coluna2]]*29,"mmmm")</f>
        <v>setembro</v>
      </c>
      <c r="I6048" t="str">
        <f>TEXT(MONTH(Tabela1[[#This Row],[Último pagto ano]])*29,"mmmm")</f>
        <v>setembro</v>
      </c>
    </row>
    <row r="6049" spans="1:9" x14ac:dyDescent="0.25">
      <c r="A6049">
        <v>2025</v>
      </c>
      <c r="B6049" t="s">
        <v>12046</v>
      </c>
      <c r="C6049" s="1">
        <v>46006</v>
      </c>
      <c r="D6049" t="s">
        <v>12047</v>
      </c>
      <c r="E6049" s="2">
        <v>2369.2800000000002</v>
      </c>
      <c r="G6049" s="3">
        <f>MONTH(Tabela1[[#This Row],[Último pagto ano]])</f>
        <v>12</v>
      </c>
      <c r="H6049" t="str">
        <f>TEXT(Tabela1[[#This Row],[Coluna2]]*29,"mmmm")</f>
        <v>dezembro</v>
      </c>
      <c r="I6049" t="str">
        <f>TEXT(MONTH(Tabela1[[#This Row],[Último pagto ano]])*29,"mmmm")</f>
        <v>dezembro</v>
      </c>
    </row>
    <row r="6050" spans="1:9" x14ac:dyDescent="0.25">
      <c r="A6050">
        <v>2025</v>
      </c>
      <c r="B6050" t="s">
        <v>12048</v>
      </c>
      <c r="C6050" s="1">
        <v>45853</v>
      </c>
      <c r="D6050" t="s">
        <v>12049</v>
      </c>
      <c r="E6050" s="2">
        <v>3314.88</v>
      </c>
      <c r="G6050" s="3">
        <f>MONTH(Tabela1[[#This Row],[Último pagto ano]])</f>
        <v>7</v>
      </c>
      <c r="H6050" t="str">
        <f>TEXT(Tabela1[[#This Row],[Coluna2]]*29,"mmmm")</f>
        <v>julho</v>
      </c>
      <c r="I6050" t="str">
        <f>TEXT(MONTH(Tabela1[[#This Row],[Último pagto ano]])*29,"mmmm")</f>
        <v>julho</v>
      </c>
    </row>
    <row r="6051" spans="1:9" x14ac:dyDescent="0.25">
      <c r="A6051">
        <v>2025</v>
      </c>
      <c r="B6051" t="s">
        <v>12050</v>
      </c>
      <c r="C6051" s="1">
        <v>46006</v>
      </c>
      <c r="D6051" t="s">
        <v>12051</v>
      </c>
      <c r="E6051">
        <v>704</v>
      </c>
      <c r="G6051" s="3">
        <f>MONTH(Tabela1[[#This Row],[Último pagto ano]])</f>
        <v>12</v>
      </c>
      <c r="H6051" t="str">
        <f>TEXT(Tabela1[[#This Row],[Coluna2]]*29,"mmmm")</f>
        <v>dezembro</v>
      </c>
      <c r="I6051" t="str">
        <f>TEXT(MONTH(Tabela1[[#This Row],[Último pagto ano]])*29,"mmmm")</f>
        <v>dezembro</v>
      </c>
    </row>
    <row r="6052" spans="1:9" x14ac:dyDescent="0.25">
      <c r="A6052">
        <v>2025</v>
      </c>
      <c r="B6052" t="s">
        <v>12052</v>
      </c>
      <c r="C6052" s="1">
        <v>45943</v>
      </c>
      <c r="D6052" t="s">
        <v>12053</v>
      </c>
      <c r="E6052">
        <v>42.8</v>
      </c>
      <c r="G6052" s="3">
        <f>MONTH(Tabela1[[#This Row],[Último pagto ano]])</f>
        <v>10</v>
      </c>
      <c r="H6052" t="str">
        <f>TEXT(Tabela1[[#This Row],[Coluna2]]*29,"mmmm")</f>
        <v>outubro</v>
      </c>
      <c r="I6052" t="str">
        <f>TEXT(MONTH(Tabela1[[#This Row],[Último pagto ano]])*29,"mmmm")</f>
        <v>outubro</v>
      </c>
    </row>
    <row r="6053" spans="1:9" x14ac:dyDescent="0.25">
      <c r="A6053">
        <v>2025</v>
      </c>
      <c r="B6053" t="s">
        <v>12054</v>
      </c>
      <c r="C6053" s="1">
        <v>45996</v>
      </c>
      <c r="D6053" t="s">
        <v>12055</v>
      </c>
      <c r="E6053" s="2">
        <v>22680</v>
      </c>
      <c r="G6053" s="3">
        <f>MONTH(Tabela1[[#This Row],[Último pagto ano]])</f>
        <v>12</v>
      </c>
      <c r="H6053" t="str">
        <f>TEXT(Tabela1[[#This Row],[Coluna2]]*29,"mmmm")</f>
        <v>dezembro</v>
      </c>
      <c r="I6053" t="str">
        <f>TEXT(MONTH(Tabela1[[#This Row],[Último pagto ano]])*29,"mmmm")</f>
        <v>dezembro</v>
      </c>
    </row>
    <row r="6054" spans="1:9" x14ac:dyDescent="0.25">
      <c r="A6054">
        <v>2025</v>
      </c>
      <c r="B6054" t="s">
        <v>12056</v>
      </c>
      <c r="C6054" s="1">
        <v>45996</v>
      </c>
      <c r="D6054" t="s">
        <v>12057</v>
      </c>
      <c r="E6054" s="2">
        <v>8420</v>
      </c>
      <c r="G6054" s="3">
        <f>MONTH(Tabela1[[#This Row],[Último pagto ano]])</f>
        <v>12</v>
      </c>
      <c r="H6054" t="str">
        <f>TEXT(Tabela1[[#This Row],[Coluna2]]*29,"mmmm")</f>
        <v>dezembro</v>
      </c>
      <c r="I6054" t="str">
        <f>TEXT(MONTH(Tabela1[[#This Row],[Último pagto ano]])*29,"mmmm")</f>
        <v>dezembro</v>
      </c>
    </row>
    <row r="6055" spans="1:9" x14ac:dyDescent="0.25">
      <c r="A6055">
        <v>2025</v>
      </c>
      <c r="B6055" t="s">
        <v>12058</v>
      </c>
      <c r="C6055" s="1">
        <v>46021</v>
      </c>
      <c r="D6055" t="s">
        <v>12059</v>
      </c>
      <c r="E6055" s="2">
        <v>11158.74</v>
      </c>
      <c r="G6055" s="3">
        <f>MONTH(Tabela1[[#This Row],[Último pagto ano]])</f>
        <v>12</v>
      </c>
      <c r="H6055" t="str">
        <f>TEXT(Tabela1[[#This Row],[Coluna2]]*29,"mmmm")</f>
        <v>dezembro</v>
      </c>
      <c r="I6055" t="str">
        <f>TEXT(MONTH(Tabela1[[#This Row],[Último pagto ano]])*29,"mmmm")</f>
        <v>dezembro</v>
      </c>
    </row>
    <row r="6056" spans="1:9" x14ac:dyDescent="0.25">
      <c r="A6056">
        <v>2025</v>
      </c>
      <c r="B6056" t="s">
        <v>12060</v>
      </c>
      <c r="C6056" s="1">
        <v>45996</v>
      </c>
      <c r="D6056" t="s">
        <v>12061</v>
      </c>
      <c r="E6056" s="2">
        <v>5800</v>
      </c>
      <c r="G6056" s="3">
        <f>MONTH(Tabela1[[#This Row],[Último pagto ano]])</f>
        <v>12</v>
      </c>
      <c r="H6056" t="str">
        <f>TEXT(Tabela1[[#This Row],[Coluna2]]*29,"mmmm")</f>
        <v>dezembro</v>
      </c>
      <c r="I6056" t="str">
        <f>TEXT(MONTH(Tabela1[[#This Row],[Último pagto ano]])*29,"mmmm")</f>
        <v>dezembro</v>
      </c>
    </row>
    <row r="6057" spans="1:9" x14ac:dyDescent="0.25">
      <c r="A6057">
        <v>2025</v>
      </c>
      <c r="B6057" t="s">
        <v>12062</v>
      </c>
      <c r="C6057" s="1">
        <v>45777</v>
      </c>
      <c r="D6057" t="s">
        <v>12063</v>
      </c>
      <c r="E6057" s="2">
        <v>3492.19</v>
      </c>
      <c r="G6057" s="3">
        <f>MONTH(Tabela1[[#This Row],[Último pagto ano]])</f>
        <v>4</v>
      </c>
      <c r="H6057" t="str">
        <f>TEXT(Tabela1[[#This Row],[Coluna2]]*29,"mmmm")</f>
        <v>abril</v>
      </c>
      <c r="I6057" t="str">
        <f>TEXT(MONTH(Tabela1[[#This Row],[Último pagto ano]])*29,"mmmm")</f>
        <v>abril</v>
      </c>
    </row>
    <row r="6058" spans="1:9" x14ac:dyDescent="0.25">
      <c r="A6058">
        <v>2025</v>
      </c>
      <c r="B6058" t="s">
        <v>12064</v>
      </c>
      <c r="C6058" s="1">
        <v>45814</v>
      </c>
      <c r="D6058" t="s">
        <v>12065</v>
      </c>
      <c r="E6058" s="2">
        <v>32400</v>
      </c>
      <c r="G6058" s="3">
        <f>MONTH(Tabela1[[#This Row],[Último pagto ano]])</f>
        <v>6</v>
      </c>
      <c r="H6058" t="str">
        <f>TEXT(Tabela1[[#This Row],[Coluna2]]*29,"mmmm")</f>
        <v>junho</v>
      </c>
      <c r="I6058" t="str">
        <f>TEXT(MONTH(Tabela1[[#This Row],[Último pagto ano]])*29,"mmmm")</f>
        <v>junho</v>
      </c>
    </row>
    <row r="6059" spans="1:9" x14ac:dyDescent="0.25">
      <c r="A6059">
        <v>2025</v>
      </c>
      <c r="B6059" t="s">
        <v>12066</v>
      </c>
      <c r="C6059" s="1">
        <v>45996</v>
      </c>
      <c r="D6059" t="s">
        <v>12067</v>
      </c>
      <c r="E6059" s="2">
        <v>3000</v>
      </c>
      <c r="G6059" s="3">
        <f>MONTH(Tabela1[[#This Row],[Último pagto ano]])</f>
        <v>12</v>
      </c>
      <c r="H6059" t="str">
        <f>TEXT(Tabela1[[#This Row],[Coluna2]]*29,"mmmm")</f>
        <v>dezembro</v>
      </c>
      <c r="I6059" t="str">
        <f>TEXT(MONTH(Tabela1[[#This Row],[Último pagto ano]])*29,"mmmm")</f>
        <v>dezembro</v>
      </c>
    </row>
    <row r="6060" spans="1:9" x14ac:dyDescent="0.25">
      <c r="A6060">
        <v>2025</v>
      </c>
      <c r="B6060" t="s">
        <v>12068</v>
      </c>
      <c r="C6060" s="1">
        <v>46021</v>
      </c>
      <c r="D6060" t="s">
        <v>12069</v>
      </c>
      <c r="E6060" s="2">
        <v>13172</v>
      </c>
      <c r="G6060" s="3">
        <f>MONTH(Tabela1[[#This Row],[Último pagto ano]])</f>
        <v>12</v>
      </c>
      <c r="H6060" t="str">
        <f>TEXT(Tabela1[[#This Row],[Coluna2]]*29,"mmmm")</f>
        <v>dezembro</v>
      </c>
      <c r="I6060" t="str">
        <f>TEXT(MONTH(Tabela1[[#This Row],[Último pagto ano]])*29,"mmmm")</f>
        <v>dezembro</v>
      </c>
    </row>
    <row r="6061" spans="1:9" x14ac:dyDescent="0.25">
      <c r="A6061">
        <v>2025</v>
      </c>
      <c r="B6061" t="s">
        <v>12070</v>
      </c>
      <c r="C6061" s="1">
        <v>45863</v>
      </c>
      <c r="D6061" t="s">
        <v>12071</v>
      </c>
      <c r="E6061" s="2">
        <v>1622.67</v>
      </c>
      <c r="G6061" s="3">
        <f>MONTH(Tabela1[[#This Row],[Último pagto ano]])</f>
        <v>7</v>
      </c>
      <c r="H6061" t="str">
        <f>TEXT(Tabela1[[#This Row],[Coluna2]]*29,"mmmm")</f>
        <v>julho</v>
      </c>
      <c r="I6061" t="str">
        <f>TEXT(MONTH(Tabela1[[#This Row],[Último pagto ano]])*29,"mmmm")</f>
        <v>julho</v>
      </c>
    </row>
    <row r="6062" spans="1:9" x14ac:dyDescent="0.25">
      <c r="A6062">
        <v>2025</v>
      </c>
      <c r="B6062" t="s">
        <v>12072</v>
      </c>
      <c r="C6062" s="1">
        <v>45996</v>
      </c>
      <c r="D6062" t="s">
        <v>12073</v>
      </c>
      <c r="E6062" s="2">
        <v>16500</v>
      </c>
      <c r="G6062" s="3">
        <f>MONTH(Tabela1[[#This Row],[Último pagto ano]])</f>
        <v>12</v>
      </c>
      <c r="H6062" t="str">
        <f>TEXT(Tabela1[[#This Row],[Coluna2]]*29,"mmmm")</f>
        <v>dezembro</v>
      </c>
      <c r="I6062" t="str">
        <f>TEXT(MONTH(Tabela1[[#This Row],[Último pagto ano]])*29,"mmmm")</f>
        <v>dezembro</v>
      </c>
    </row>
    <row r="6063" spans="1:9" x14ac:dyDescent="0.25">
      <c r="A6063">
        <v>2025</v>
      </c>
      <c r="B6063" t="s">
        <v>12074</v>
      </c>
      <c r="C6063" s="1">
        <v>45995</v>
      </c>
      <c r="D6063" t="s">
        <v>12075</v>
      </c>
      <c r="E6063">
        <v>55</v>
      </c>
      <c r="G6063" s="3">
        <f>MONTH(Tabela1[[#This Row],[Último pagto ano]])</f>
        <v>12</v>
      </c>
      <c r="H6063" t="str">
        <f>TEXT(Tabela1[[#This Row],[Coluna2]]*29,"mmmm")</f>
        <v>dezembro</v>
      </c>
      <c r="I6063" t="str">
        <f>TEXT(MONTH(Tabela1[[#This Row],[Último pagto ano]])*29,"mmmm")</f>
        <v>dezembro</v>
      </c>
    </row>
    <row r="6064" spans="1:9" x14ac:dyDescent="0.25">
      <c r="A6064">
        <v>2025</v>
      </c>
      <c r="B6064" t="s">
        <v>12076</v>
      </c>
      <c r="C6064" s="1">
        <v>45673</v>
      </c>
      <c r="D6064" t="s">
        <v>12077</v>
      </c>
      <c r="E6064">
        <v>500</v>
      </c>
      <c r="G6064" s="3">
        <f>MONTH(Tabela1[[#This Row],[Último pagto ano]])</f>
        <v>1</v>
      </c>
      <c r="H6064" t="str">
        <f>TEXT(Tabela1[[#This Row],[Coluna2]]*29,"mmmm")</f>
        <v>janeiro</v>
      </c>
      <c r="I6064" t="str">
        <f>TEXT(MONTH(Tabela1[[#This Row],[Último pagto ano]])*29,"mmmm")</f>
        <v>janeiro</v>
      </c>
    </row>
    <row r="6065" spans="1:9" x14ac:dyDescent="0.25">
      <c r="A6065">
        <v>2025</v>
      </c>
      <c r="B6065" t="s">
        <v>12078</v>
      </c>
      <c r="C6065" s="1">
        <v>45702</v>
      </c>
      <c r="D6065" t="s">
        <v>12079</v>
      </c>
      <c r="E6065">
        <v>122.49</v>
      </c>
      <c r="G6065" s="3">
        <f>MONTH(Tabela1[[#This Row],[Último pagto ano]])</f>
        <v>2</v>
      </c>
      <c r="H6065" t="str">
        <f>TEXT(Tabela1[[#This Row],[Coluna2]]*29,"mmmm")</f>
        <v>fevereiro</v>
      </c>
      <c r="I6065" t="str">
        <f>TEXT(MONTH(Tabela1[[#This Row],[Último pagto ano]])*29,"mmmm")</f>
        <v>fevereiro</v>
      </c>
    </row>
    <row r="6066" spans="1:9" x14ac:dyDescent="0.25">
      <c r="A6066">
        <v>2025</v>
      </c>
      <c r="B6066" t="s">
        <v>12080</v>
      </c>
      <c r="C6066" s="1">
        <v>45996</v>
      </c>
      <c r="D6066" t="s">
        <v>12081</v>
      </c>
      <c r="E6066" s="2">
        <v>5400</v>
      </c>
      <c r="G6066" s="3">
        <f>MONTH(Tabela1[[#This Row],[Último pagto ano]])</f>
        <v>12</v>
      </c>
      <c r="H6066" t="str">
        <f>TEXT(Tabela1[[#This Row],[Coluna2]]*29,"mmmm")</f>
        <v>dezembro</v>
      </c>
      <c r="I6066" t="str">
        <f>TEXT(MONTH(Tabela1[[#This Row],[Último pagto ano]])*29,"mmmm")</f>
        <v>dezembro</v>
      </c>
    </row>
    <row r="6067" spans="1:9" x14ac:dyDescent="0.25">
      <c r="A6067">
        <v>2025</v>
      </c>
      <c r="B6067" t="s">
        <v>12082</v>
      </c>
      <c r="C6067" s="1">
        <v>46010</v>
      </c>
      <c r="D6067" t="s">
        <v>12083</v>
      </c>
      <c r="E6067" s="2">
        <v>10000</v>
      </c>
      <c r="G6067" s="3">
        <f>MONTH(Tabela1[[#This Row],[Último pagto ano]])</f>
        <v>12</v>
      </c>
      <c r="H6067" t="str">
        <f>TEXT(Tabela1[[#This Row],[Coluna2]]*29,"mmmm")</f>
        <v>dezembro</v>
      </c>
      <c r="I6067" t="str">
        <f>TEXT(MONTH(Tabela1[[#This Row],[Último pagto ano]])*29,"mmmm")</f>
        <v>dezembro</v>
      </c>
    </row>
    <row r="6068" spans="1:9" x14ac:dyDescent="0.25">
      <c r="A6068">
        <v>2025</v>
      </c>
      <c r="B6068" t="s">
        <v>12084</v>
      </c>
      <c r="C6068" s="1">
        <v>45996</v>
      </c>
      <c r="D6068" t="s">
        <v>12085</v>
      </c>
      <c r="E6068" s="2">
        <v>8000</v>
      </c>
      <c r="G6068" s="3">
        <f>MONTH(Tabela1[[#This Row],[Último pagto ano]])</f>
        <v>12</v>
      </c>
      <c r="H6068" t="str">
        <f>TEXT(Tabela1[[#This Row],[Coluna2]]*29,"mmmm")</f>
        <v>dezembro</v>
      </c>
      <c r="I6068" t="str">
        <f>TEXT(MONTH(Tabela1[[#This Row],[Último pagto ano]])*29,"mmmm")</f>
        <v>dezembro</v>
      </c>
    </row>
    <row r="6069" spans="1:9" x14ac:dyDescent="0.25">
      <c r="A6069">
        <v>2025</v>
      </c>
      <c r="B6069" t="s">
        <v>12086</v>
      </c>
      <c r="C6069" s="1">
        <v>45996</v>
      </c>
      <c r="D6069" t="s">
        <v>12087</v>
      </c>
      <c r="E6069" s="2">
        <v>1000</v>
      </c>
      <c r="G6069" s="3">
        <f>MONTH(Tabela1[[#This Row],[Último pagto ano]])</f>
        <v>12</v>
      </c>
      <c r="H6069" t="str">
        <f>TEXT(Tabela1[[#This Row],[Coluna2]]*29,"mmmm")</f>
        <v>dezembro</v>
      </c>
      <c r="I6069" t="str">
        <f>TEXT(MONTH(Tabela1[[#This Row],[Último pagto ano]])*29,"mmmm")</f>
        <v>dezembro</v>
      </c>
    </row>
    <row r="6070" spans="1:9" x14ac:dyDescent="0.25">
      <c r="A6070">
        <v>2025</v>
      </c>
      <c r="B6070" t="s">
        <v>12088</v>
      </c>
      <c r="C6070" s="1">
        <v>45786</v>
      </c>
      <c r="D6070" t="s">
        <v>12089</v>
      </c>
      <c r="E6070" s="2">
        <v>20000</v>
      </c>
      <c r="G6070" s="3">
        <f>MONTH(Tabela1[[#This Row],[Último pagto ano]])</f>
        <v>5</v>
      </c>
      <c r="H6070" t="str">
        <f>TEXT(Tabela1[[#This Row],[Coluna2]]*29,"mmmm")</f>
        <v>maio</v>
      </c>
      <c r="I6070" t="str">
        <f>TEXT(MONTH(Tabela1[[#This Row],[Último pagto ano]])*29,"mmmm")</f>
        <v>maio</v>
      </c>
    </row>
    <row r="6071" spans="1:9" x14ac:dyDescent="0.25">
      <c r="A6071">
        <v>2025</v>
      </c>
      <c r="B6071" t="s">
        <v>12090</v>
      </c>
      <c r="C6071" s="1">
        <v>46010</v>
      </c>
      <c r="D6071" t="s">
        <v>12091</v>
      </c>
      <c r="E6071" s="2">
        <v>12000</v>
      </c>
      <c r="G6071" s="3">
        <f>MONTH(Tabela1[[#This Row],[Último pagto ano]])</f>
        <v>12</v>
      </c>
      <c r="H6071" t="str">
        <f>TEXT(Tabela1[[#This Row],[Coluna2]]*29,"mmmm")</f>
        <v>dezembro</v>
      </c>
      <c r="I6071" t="str">
        <f>TEXT(MONTH(Tabela1[[#This Row],[Último pagto ano]])*29,"mmmm")</f>
        <v>dezembro</v>
      </c>
    </row>
    <row r="6072" spans="1:9" x14ac:dyDescent="0.25">
      <c r="A6072">
        <v>2025</v>
      </c>
      <c r="B6072" t="s">
        <v>12092</v>
      </c>
      <c r="C6072" s="1">
        <v>46014</v>
      </c>
      <c r="D6072" t="s">
        <v>12093</v>
      </c>
      <c r="E6072">
        <v>66</v>
      </c>
      <c r="G6072" s="3">
        <f>MONTH(Tabela1[[#This Row],[Último pagto ano]])</f>
        <v>12</v>
      </c>
      <c r="H6072" t="str">
        <f>TEXT(Tabela1[[#This Row],[Coluna2]]*29,"mmmm")</f>
        <v>dezembro</v>
      </c>
      <c r="I6072" t="str">
        <f>TEXT(MONTH(Tabela1[[#This Row],[Último pagto ano]])*29,"mmmm")</f>
        <v>dezembro</v>
      </c>
    </row>
    <row r="6073" spans="1:9" x14ac:dyDescent="0.25">
      <c r="A6073">
        <v>2025</v>
      </c>
      <c r="B6073" t="s">
        <v>12094</v>
      </c>
      <c r="C6073" s="1">
        <v>45709</v>
      </c>
      <c r="D6073" t="s">
        <v>12095</v>
      </c>
      <c r="E6073">
        <v>28.2</v>
      </c>
      <c r="G6073" s="3">
        <f>MONTH(Tabela1[[#This Row],[Último pagto ano]])</f>
        <v>2</v>
      </c>
      <c r="H6073" t="str">
        <f>TEXT(Tabela1[[#This Row],[Coluna2]]*29,"mmmm")</f>
        <v>fevereiro</v>
      </c>
      <c r="I6073" t="str">
        <f>TEXT(MONTH(Tabela1[[#This Row],[Último pagto ano]])*29,"mmmm")</f>
        <v>fevereiro</v>
      </c>
    </row>
    <row r="6074" spans="1:9" x14ac:dyDescent="0.25">
      <c r="A6074">
        <v>2025</v>
      </c>
      <c r="B6074" t="s">
        <v>12096</v>
      </c>
      <c r="C6074" s="1">
        <v>46006</v>
      </c>
      <c r="D6074" t="s">
        <v>12097</v>
      </c>
      <c r="E6074" s="2">
        <v>11200.96</v>
      </c>
      <c r="G6074" s="3">
        <f>MONTH(Tabela1[[#This Row],[Último pagto ano]])</f>
        <v>12</v>
      </c>
      <c r="H6074" t="str">
        <f>TEXT(Tabela1[[#This Row],[Coluna2]]*29,"mmmm")</f>
        <v>dezembro</v>
      </c>
      <c r="I6074" t="str">
        <f>TEXT(MONTH(Tabela1[[#This Row],[Último pagto ano]])*29,"mmmm")</f>
        <v>dezembro</v>
      </c>
    </row>
    <row r="6075" spans="1:9" x14ac:dyDescent="0.25">
      <c r="A6075">
        <v>2025</v>
      </c>
      <c r="B6075" t="s">
        <v>12098</v>
      </c>
      <c r="C6075" s="1">
        <v>45849</v>
      </c>
      <c r="D6075" t="s">
        <v>12099</v>
      </c>
      <c r="E6075">
        <v>165</v>
      </c>
      <c r="G6075" s="3">
        <f>MONTH(Tabela1[[#This Row],[Último pagto ano]])</f>
        <v>7</v>
      </c>
      <c r="H6075" t="str">
        <f>TEXT(Tabela1[[#This Row],[Coluna2]]*29,"mmmm")</f>
        <v>julho</v>
      </c>
      <c r="I6075" t="str">
        <f>TEXT(MONTH(Tabela1[[#This Row],[Último pagto ano]])*29,"mmmm")</f>
        <v>julho</v>
      </c>
    </row>
    <row r="6076" spans="1:9" x14ac:dyDescent="0.25">
      <c r="A6076">
        <v>2025</v>
      </c>
      <c r="B6076" t="s">
        <v>12100</v>
      </c>
      <c r="C6076" s="1">
        <v>45943</v>
      </c>
      <c r="D6076" t="s">
        <v>12101</v>
      </c>
      <c r="E6076" s="2">
        <v>9203.41</v>
      </c>
      <c r="G6076" s="3">
        <f>MONTH(Tabela1[[#This Row],[Último pagto ano]])</f>
        <v>10</v>
      </c>
      <c r="H6076" t="str">
        <f>TEXT(Tabela1[[#This Row],[Coluna2]]*29,"mmmm")</f>
        <v>outubro</v>
      </c>
      <c r="I6076" t="str">
        <f>TEXT(MONTH(Tabela1[[#This Row],[Último pagto ano]])*29,"mmmm")</f>
        <v>outubro</v>
      </c>
    </row>
    <row r="6077" spans="1:9" x14ac:dyDescent="0.25">
      <c r="A6077">
        <v>2025</v>
      </c>
      <c r="B6077" t="s">
        <v>12102</v>
      </c>
      <c r="C6077" s="1">
        <v>45996</v>
      </c>
      <c r="D6077" t="s">
        <v>12103</v>
      </c>
      <c r="E6077" s="2">
        <v>2800</v>
      </c>
      <c r="G6077" s="3">
        <f>MONTH(Tabela1[[#This Row],[Último pagto ano]])</f>
        <v>12</v>
      </c>
      <c r="H6077" t="str">
        <f>TEXT(Tabela1[[#This Row],[Coluna2]]*29,"mmmm")</f>
        <v>dezembro</v>
      </c>
      <c r="I6077" t="str">
        <f>TEXT(MONTH(Tabela1[[#This Row],[Último pagto ano]])*29,"mmmm")</f>
        <v>dezembro</v>
      </c>
    </row>
    <row r="6078" spans="1:9" x14ac:dyDescent="0.25">
      <c r="A6078">
        <v>2025</v>
      </c>
      <c r="B6078" t="s">
        <v>12104</v>
      </c>
      <c r="C6078" s="1">
        <v>45783</v>
      </c>
      <c r="D6078" t="s">
        <v>12105</v>
      </c>
      <c r="E6078" s="2">
        <v>3585.14</v>
      </c>
      <c r="G6078" s="3">
        <f>MONTH(Tabela1[[#This Row],[Último pagto ano]])</f>
        <v>5</v>
      </c>
      <c r="H6078" t="str">
        <f>TEXT(Tabela1[[#This Row],[Coluna2]]*29,"mmmm")</f>
        <v>maio</v>
      </c>
      <c r="I6078" t="str">
        <f>TEXT(MONTH(Tabela1[[#This Row],[Último pagto ano]])*29,"mmmm")</f>
        <v>maio</v>
      </c>
    </row>
    <row r="6079" spans="1:9" x14ac:dyDescent="0.25">
      <c r="A6079">
        <v>2025</v>
      </c>
      <c r="B6079" t="s">
        <v>12106</v>
      </c>
      <c r="C6079" s="1">
        <v>46006</v>
      </c>
      <c r="D6079" t="s">
        <v>12107</v>
      </c>
      <c r="E6079" s="2">
        <v>23647.32</v>
      </c>
      <c r="G6079" s="3">
        <f>MONTH(Tabela1[[#This Row],[Último pagto ano]])</f>
        <v>12</v>
      </c>
      <c r="H6079" t="str">
        <f>TEXT(Tabela1[[#This Row],[Coluna2]]*29,"mmmm")</f>
        <v>dezembro</v>
      </c>
      <c r="I6079" t="str">
        <f>TEXT(MONTH(Tabela1[[#This Row],[Último pagto ano]])*29,"mmmm")</f>
        <v>dezembro</v>
      </c>
    </row>
    <row r="6080" spans="1:9" x14ac:dyDescent="0.25">
      <c r="A6080">
        <v>2025</v>
      </c>
      <c r="B6080" t="s">
        <v>12108</v>
      </c>
      <c r="C6080" s="1">
        <v>45996</v>
      </c>
      <c r="D6080" t="s">
        <v>12109</v>
      </c>
      <c r="E6080" s="2">
        <v>49800</v>
      </c>
      <c r="G6080" s="3">
        <f>MONTH(Tabela1[[#This Row],[Último pagto ano]])</f>
        <v>12</v>
      </c>
      <c r="H6080" t="str">
        <f>TEXT(Tabela1[[#This Row],[Coluna2]]*29,"mmmm")</f>
        <v>dezembro</v>
      </c>
      <c r="I6080" t="str">
        <f>TEXT(MONTH(Tabela1[[#This Row],[Último pagto ano]])*29,"mmmm")</f>
        <v>dezembro</v>
      </c>
    </row>
    <row r="6081" spans="1:9" x14ac:dyDescent="0.25">
      <c r="A6081">
        <v>2025</v>
      </c>
      <c r="B6081" t="s">
        <v>12110</v>
      </c>
      <c r="C6081" s="1">
        <v>46010</v>
      </c>
      <c r="D6081" t="s">
        <v>12111</v>
      </c>
      <c r="E6081" s="2">
        <v>1400</v>
      </c>
      <c r="G6081" s="3">
        <f>MONTH(Tabela1[[#This Row],[Último pagto ano]])</f>
        <v>12</v>
      </c>
      <c r="H6081" t="str">
        <f>TEXT(Tabela1[[#This Row],[Coluna2]]*29,"mmmm")</f>
        <v>dezembro</v>
      </c>
      <c r="I6081" t="str">
        <f>TEXT(MONTH(Tabela1[[#This Row],[Último pagto ano]])*29,"mmmm")</f>
        <v>dezembro</v>
      </c>
    </row>
    <row r="6082" spans="1:9" x14ac:dyDescent="0.25">
      <c r="A6082">
        <v>2025</v>
      </c>
      <c r="B6082" t="s">
        <v>12112</v>
      </c>
      <c r="C6082" s="1">
        <v>45996</v>
      </c>
      <c r="D6082" t="s">
        <v>12113</v>
      </c>
      <c r="E6082" s="2">
        <v>8195.4</v>
      </c>
      <c r="G6082" s="3">
        <f>MONTH(Tabela1[[#This Row],[Último pagto ano]])</f>
        <v>12</v>
      </c>
      <c r="H6082" t="str">
        <f>TEXT(Tabela1[[#This Row],[Coluna2]]*29,"mmmm")</f>
        <v>dezembro</v>
      </c>
      <c r="I6082" t="str">
        <f>TEXT(MONTH(Tabela1[[#This Row],[Último pagto ano]])*29,"mmmm")</f>
        <v>dezembro</v>
      </c>
    </row>
    <row r="6083" spans="1:9" x14ac:dyDescent="0.25">
      <c r="A6083">
        <v>2025</v>
      </c>
      <c r="B6083" t="s">
        <v>12114</v>
      </c>
      <c r="C6083" s="1">
        <v>45996</v>
      </c>
      <c r="D6083" t="s">
        <v>12115</v>
      </c>
      <c r="E6083" s="2">
        <v>23625</v>
      </c>
      <c r="G6083" s="3">
        <f>MONTH(Tabela1[[#This Row],[Último pagto ano]])</f>
        <v>12</v>
      </c>
      <c r="H6083" t="str">
        <f>TEXT(Tabela1[[#This Row],[Coluna2]]*29,"mmmm")</f>
        <v>dezembro</v>
      </c>
      <c r="I6083" t="str">
        <f>TEXT(MONTH(Tabela1[[#This Row],[Último pagto ano]])*29,"mmmm")</f>
        <v>dezembro</v>
      </c>
    </row>
    <row r="6084" spans="1:9" x14ac:dyDescent="0.25">
      <c r="A6084">
        <v>2025</v>
      </c>
      <c r="B6084" t="s">
        <v>12116</v>
      </c>
      <c r="C6084" s="1">
        <v>45905</v>
      </c>
      <c r="D6084" t="s">
        <v>12117</v>
      </c>
      <c r="E6084" s="2">
        <v>3570</v>
      </c>
      <c r="G6084" s="3">
        <f>MONTH(Tabela1[[#This Row],[Último pagto ano]])</f>
        <v>9</v>
      </c>
      <c r="H6084" t="str">
        <f>TEXT(Tabela1[[#This Row],[Coluna2]]*29,"mmmm")</f>
        <v>setembro</v>
      </c>
      <c r="I6084" t="str">
        <f>TEXT(MONTH(Tabela1[[#This Row],[Último pagto ano]])*29,"mmmm")</f>
        <v>setembro</v>
      </c>
    </row>
    <row r="6085" spans="1:9" x14ac:dyDescent="0.25">
      <c r="A6085">
        <v>2025</v>
      </c>
      <c r="B6085" t="s">
        <v>12118</v>
      </c>
      <c r="C6085" s="1">
        <v>45971</v>
      </c>
      <c r="D6085" t="s">
        <v>12119</v>
      </c>
      <c r="E6085" s="2">
        <v>1965.6</v>
      </c>
      <c r="G6085" s="3">
        <f>MONTH(Tabela1[[#This Row],[Último pagto ano]])</f>
        <v>11</v>
      </c>
      <c r="H6085" t="str">
        <f>TEXT(Tabela1[[#This Row],[Coluna2]]*29,"mmmm")</f>
        <v>novembro</v>
      </c>
      <c r="I6085" t="str">
        <f>TEXT(MONTH(Tabela1[[#This Row],[Último pagto ano]])*29,"mmmm")</f>
        <v>novembro</v>
      </c>
    </row>
    <row r="6086" spans="1:9" x14ac:dyDescent="0.25">
      <c r="A6086">
        <v>2025</v>
      </c>
      <c r="B6086" t="s">
        <v>12120</v>
      </c>
      <c r="C6086" s="1">
        <v>45898</v>
      </c>
      <c r="D6086" t="s">
        <v>12121</v>
      </c>
      <c r="E6086" s="2">
        <v>8127.03</v>
      </c>
      <c r="G6086" s="3">
        <f>MONTH(Tabela1[[#This Row],[Último pagto ano]])</f>
        <v>8</v>
      </c>
      <c r="H6086" t="str">
        <f>TEXT(Tabela1[[#This Row],[Coluna2]]*29,"mmmm")</f>
        <v>agosto</v>
      </c>
      <c r="I6086" t="str">
        <f>TEXT(MONTH(Tabela1[[#This Row],[Último pagto ano]])*29,"mmmm")</f>
        <v>agosto</v>
      </c>
    </row>
    <row r="6087" spans="1:9" x14ac:dyDescent="0.25">
      <c r="A6087">
        <v>2025</v>
      </c>
      <c r="B6087" t="s">
        <v>12122</v>
      </c>
      <c r="C6087" s="1">
        <v>45996</v>
      </c>
      <c r="D6087" t="s">
        <v>12123</v>
      </c>
      <c r="E6087" s="2">
        <v>7500</v>
      </c>
      <c r="G6087" s="3">
        <f>MONTH(Tabela1[[#This Row],[Último pagto ano]])</f>
        <v>12</v>
      </c>
      <c r="H6087" t="str">
        <f>TEXT(Tabela1[[#This Row],[Coluna2]]*29,"mmmm")</f>
        <v>dezembro</v>
      </c>
      <c r="I6087" t="str">
        <f>TEXT(MONTH(Tabela1[[#This Row],[Último pagto ano]])*29,"mmmm")</f>
        <v>dezembro</v>
      </c>
    </row>
    <row r="6088" spans="1:9" x14ac:dyDescent="0.25">
      <c r="A6088">
        <v>2025</v>
      </c>
      <c r="B6088" t="s">
        <v>12124</v>
      </c>
      <c r="C6088" s="1">
        <v>45989</v>
      </c>
      <c r="D6088" t="s">
        <v>12125</v>
      </c>
      <c r="E6088" s="2">
        <v>9288.02</v>
      </c>
      <c r="G6088" s="3">
        <f>MONTH(Tabela1[[#This Row],[Último pagto ano]])</f>
        <v>11</v>
      </c>
      <c r="H6088" t="str">
        <f>TEXT(Tabela1[[#This Row],[Coluna2]]*29,"mmmm")</f>
        <v>novembro</v>
      </c>
      <c r="I6088" t="str">
        <f>TEXT(MONTH(Tabela1[[#This Row],[Último pagto ano]])*29,"mmmm")</f>
        <v>novembro</v>
      </c>
    </row>
    <row r="6089" spans="1:9" x14ac:dyDescent="0.25">
      <c r="A6089">
        <v>2025</v>
      </c>
      <c r="B6089" t="s">
        <v>12126</v>
      </c>
      <c r="C6089" s="1">
        <v>46013</v>
      </c>
      <c r="D6089" t="s">
        <v>12127</v>
      </c>
      <c r="E6089" s="2">
        <v>34951.5</v>
      </c>
      <c r="G6089" s="3">
        <f>MONTH(Tabela1[[#This Row],[Último pagto ano]])</f>
        <v>12</v>
      </c>
      <c r="H6089" t="str">
        <f>TEXT(Tabela1[[#This Row],[Coluna2]]*29,"mmmm")</f>
        <v>dezembro</v>
      </c>
      <c r="I6089" t="str">
        <f>TEXT(MONTH(Tabela1[[#This Row],[Último pagto ano]])*29,"mmmm")</f>
        <v>dezembro</v>
      </c>
    </row>
    <row r="6090" spans="1:9" x14ac:dyDescent="0.25">
      <c r="A6090">
        <v>2025</v>
      </c>
      <c r="B6090" t="s">
        <v>12128</v>
      </c>
      <c r="C6090" s="1">
        <v>45936</v>
      </c>
      <c r="D6090" t="s">
        <v>12129</v>
      </c>
      <c r="E6090">
        <v>184.8</v>
      </c>
      <c r="G6090" s="3">
        <f>MONTH(Tabela1[[#This Row],[Último pagto ano]])</f>
        <v>10</v>
      </c>
      <c r="H6090" t="str">
        <f>TEXT(Tabela1[[#This Row],[Coluna2]]*29,"mmmm")</f>
        <v>outubro</v>
      </c>
      <c r="I6090" t="str">
        <f>TEXT(MONTH(Tabela1[[#This Row],[Último pagto ano]])*29,"mmmm")</f>
        <v>outubro</v>
      </c>
    </row>
    <row r="6091" spans="1:9" x14ac:dyDescent="0.25">
      <c r="A6091">
        <v>2025</v>
      </c>
      <c r="B6091" t="s">
        <v>12130</v>
      </c>
      <c r="C6091" s="1">
        <v>45712</v>
      </c>
      <c r="D6091" t="s">
        <v>12131</v>
      </c>
      <c r="E6091" s="2">
        <v>1400</v>
      </c>
      <c r="G6091" s="3">
        <f>MONTH(Tabela1[[#This Row],[Último pagto ano]])</f>
        <v>2</v>
      </c>
      <c r="H6091" t="str">
        <f>TEXT(Tabela1[[#This Row],[Coluna2]]*29,"mmmm")</f>
        <v>fevereiro</v>
      </c>
      <c r="I6091" t="str">
        <f>TEXT(MONTH(Tabela1[[#This Row],[Último pagto ano]])*29,"mmmm")</f>
        <v>fevereiro</v>
      </c>
    </row>
    <row r="6092" spans="1:9" x14ac:dyDescent="0.25">
      <c r="A6092">
        <v>2025</v>
      </c>
      <c r="B6092" t="s">
        <v>12132</v>
      </c>
      <c r="C6092" s="1">
        <v>45777</v>
      </c>
      <c r="D6092" t="s">
        <v>12133</v>
      </c>
      <c r="E6092" s="2">
        <v>4107.51</v>
      </c>
      <c r="G6092" s="3">
        <f>MONTH(Tabela1[[#This Row],[Último pagto ano]])</f>
        <v>4</v>
      </c>
      <c r="H6092" t="str">
        <f>TEXT(Tabela1[[#This Row],[Coluna2]]*29,"mmmm")</f>
        <v>abril</v>
      </c>
      <c r="I6092" t="str">
        <f>TEXT(MONTH(Tabela1[[#This Row],[Último pagto ano]])*29,"mmmm")</f>
        <v>abril</v>
      </c>
    </row>
    <row r="6093" spans="1:9" x14ac:dyDescent="0.25">
      <c r="A6093">
        <v>2025</v>
      </c>
      <c r="B6093" t="s">
        <v>12134</v>
      </c>
      <c r="C6093" s="1">
        <v>46006</v>
      </c>
      <c r="D6093" t="s">
        <v>12135</v>
      </c>
      <c r="E6093" s="2">
        <v>4442.3999999999996</v>
      </c>
      <c r="G6093" s="3">
        <f>MONTH(Tabela1[[#This Row],[Último pagto ano]])</f>
        <v>12</v>
      </c>
      <c r="H6093" t="str">
        <f>TEXT(Tabela1[[#This Row],[Coluna2]]*29,"mmmm")</f>
        <v>dezembro</v>
      </c>
      <c r="I6093" t="str">
        <f>TEXT(MONTH(Tabela1[[#This Row],[Último pagto ano]])*29,"mmmm")</f>
        <v>dezembro</v>
      </c>
    </row>
    <row r="6094" spans="1:9" x14ac:dyDescent="0.25">
      <c r="A6094">
        <v>2025</v>
      </c>
      <c r="B6094" t="s">
        <v>12136</v>
      </c>
      <c r="C6094" s="1">
        <v>45845</v>
      </c>
      <c r="D6094" t="s">
        <v>12137</v>
      </c>
      <c r="E6094" s="2">
        <v>37800</v>
      </c>
      <c r="G6094" s="3">
        <f>MONTH(Tabela1[[#This Row],[Último pagto ano]])</f>
        <v>7</v>
      </c>
      <c r="H6094" t="str">
        <f>TEXT(Tabela1[[#This Row],[Coluna2]]*29,"mmmm")</f>
        <v>julho</v>
      </c>
      <c r="I6094" t="str">
        <f>TEXT(MONTH(Tabela1[[#This Row],[Último pagto ano]])*29,"mmmm")</f>
        <v>julho</v>
      </c>
    </row>
    <row r="6095" spans="1:9" x14ac:dyDescent="0.25">
      <c r="A6095">
        <v>2025</v>
      </c>
      <c r="B6095" t="s">
        <v>12138</v>
      </c>
      <c r="C6095" s="1">
        <v>45996</v>
      </c>
      <c r="D6095" t="s">
        <v>12139</v>
      </c>
      <c r="E6095" s="2">
        <v>17500</v>
      </c>
      <c r="G6095" s="3">
        <f>MONTH(Tabela1[[#This Row],[Último pagto ano]])</f>
        <v>12</v>
      </c>
      <c r="H6095" t="str">
        <f>TEXT(Tabela1[[#This Row],[Coluna2]]*29,"mmmm")</f>
        <v>dezembro</v>
      </c>
      <c r="I6095" t="str">
        <f>TEXT(MONTH(Tabela1[[#This Row],[Último pagto ano]])*29,"mmmm")</f>
        <v>dezembro</v>
      </c>
    </row>
    <row r="6096" spans="1:9" x14ac:dyDescent="0.25">
      <c r="A6096">
        <v>2025</v>
      </c>
      <c r="B6096" t="s">
        <v>12140</v>
      </c>
      <c r="C6096" s="1">
        <v>45702</v>
      </c>
      <c r="D6096" t="s">
        <v>12141</v>
      </c>
      <c r="E6096">
        <v>79.89</v>
      </c>
      <c r="G6096" s="3">
        <f>MONTH(Tabela1[[#This Row],[Último pagto ano]])</f>
        <v>2</v>
      </c>
      <c r="H6096" t="str">
        <f>TEXT(Tabela1[[#This Row],[Coluna2]]*29,"mmmm")</f>
        <v>fevereiro</v>
      </c>
      <c r="I6096" t="str">
        <f>TEXT(MONTH(Tabela1[[#This Row],[Último pagto ano]])*29,"mmmm")</f>
        <v>fevereiro</v>
      </c>
    </row>
    <row r="6097" spans="1:9" x14ac:dyDescent="0.25">
      <c r="A6097">
        <v>2025</v>
      </c>
      <c r="B6097" t="s">
        <v>12142</v>
      </c>
      <c r="C6097" s="1">
        <v>45985</v>
      </c>
      <c r="D6097" t="s">
        <v>12143</v>
      </c>
      <c r="E6097">
        <v>22</v>
      </c>
      <c r="G6097" s="3">
        <f>MONTH(Tabela1[[#This Row],[Último pagto ano]])</f>
        <v>11</v>
      </c>
      <c r="H6097" t="str">
        <f>TEXT(Tabela1[[#This Row],[Coluna2]]*29,"mmmm")</f>
        <v>novembro</v>
      </c>
      <c r="I6097" t="str">
        <f>TEXT(MONTH(Tabela1[[#This Row],[Último pagto ano]])*29,"mmmm")</f>
        <v>novembro</v>
      </c>
    </row>
    <row r="6098" spans="1:9" x14ac:dyDescent="0.25">
      <c r="A6098">
        <v>2025</v>
      </c>
      <c r="B6098" t="s">
        <v>12144</v>
      </c>
      <c r="C6098" s="1">
        <v>45762</v>
      </c>
      <c r="D6098" t="s">
        <v>12145</v>
      </c>
      <c r="E6098">
        <v>296.16000000000003</v>
      </c>
      <c r="G6098" s="3">
        <f>MONTH(Tabela1[[#This Row],[Último pagto ano]])</f>
        <v>4</v>
      </c>
      <c r="H6098" t="str">
        <f>TEXT(Tabela1[[#This Row],[Coluna2]]*29,"mmmm")</f>
        <v>abril</v>
      </c>
      <c r="I6098" t="str">
        <f>TEXT(MONTH(Tabela1[[#This Row],[Último pagto ano]])*29,"mmmm")</f>
        <v>abril</v>
      </c>
    </row>
    <row r="6099" spans="1:9" x14ac:dyDescent="0.25">
      <c r="A6099">
        <v>2025</v>
      </c>
      <c r="B6099" t="s">
        <v>12146</v>
      </c>
      <c r="C6099" s="1">
        <v>45908</v>
      </c>
      <c r="D6099" t="s">
        <v>12147</v>
      </c>
      <c r="E6099">
        <v>121.33</v>
      </c>
      <c r="G6099" s="3">
        <f>MONTH(Tabela1[[#This Row],[Último pagto ano]])</f>
        <v>9</v>
      </c>
      <c r="H6099" t="str">
        <f>TEXT(Tabela1[[#This Row],[Coluna2]]*29,"mmmm")</f>
        <v>setembro</v>
      </c>
      <c r="I6099" t="str">
        <f>TEXT(MONTH(Tabela1[[#This Row],[Último pagto ano]])*29,"mmmm")</f>
        <v>setembro</v>
      </c>
    </row>
    <row r="6100" spans="1:9" x14ac:dyDescent="0.25">
      <c r="A6100">
        <v>2025</v>
      </c>
      <c r="B6100" t="s">
        <v>12148</v>
      </c>
      <c r="C6100" s="1">
        <v>45897</v>
      </c>
      <c r="D6100" t="s">
        <v>12149</v>
      </c>
      <c r="E6100" s="2">
        <v>3416.4</v>
      </c>
      <c r="G6100" s="3">
        <f>MONTH(Tabela1[[#This Row],[Último pagto ano]])</f>
        <v>8</v>
      </c>
      <c r="H6100" t="str">
        <f>TEXT(Tabela1[[#This Row],[Coluna2]]*29,"mmmm")</f>
        <v>agosto</v>
      </c>
      <c r="I6100" t="str">
        <f>TEXT(MONTH(Tabela1[[#This Row],[Último pagto ano]])*29,"mmmm")</f>
        <v>agosto</v>
      </c>
    </row>
    <row r="6101" spans="1:9" x14ac:dyDescent="0.25">
      <c r="A6101">
        <v>2025</v>
      </c>
      <c r="B6101" t="s">
        <v>12150</v>
      </c>
      <c r="C6101" s="1">
        <v>46013</v>
      </c>
      <c r="D6101" t="s">
        <v>12151</v>
      </c>
      <c r="E6101">
        <v>532.79999999999995</v>
      </c>
      <c r="G6101" s="3">
        <f>MONTH(Tabela1[[#This Row],[Último pagto ano]])</f>
        <v>12</v>
      </c>
      <c r="H6101" t="str">
        <f>TEXT(Tabela1[[#This Row],[Coluna2]]*29,"mmmm")</f>
        <v>dezembro</v>
      </c>
      <c r="I6101" t="str">
        <f>TEXT(MONTH(Tabela1[[#This Row],[Último pagto ano]])*29,"mmmm")</f>
        <v>dezembro</v>
      </c>
    </row>
    <row r="6102" spans="1:9" x14ac:dyDescent="0.25">
      <c r="A6102">
        <v>2025</v>
      </c>
      <c r="B6102" t="s">
        <v>12152</v>
      </c>
      <c r="C6102" s="1">
        <v>45996</v>
      </c>
      <c r="D6102" t="s">
        <v>12153</v>
      </c>
      <c r="E6102" s="2">
        <v>18000</v>
      </c>
      <c r="G6102" s="3">
        <f>MONTH(Tabela1[[#This Row],[Último pagto ano]])</f>
        <v>12</v>
      </c>
      <c r="H6102" t="str">
        <f>TEXT(Tabela1[[#This Row],[Coluna2]]*29,"mmmm")</f>
        <v>dezembro</v>
      </c>
      <c r="I6102" t="str">
        <f>TEXT(MONTH(Tabela1[[#This Row],[Último pagto ano]])*29,"mmmm")</f>
        <v>dezembro</v>
      </c>
    </row>
    <row r="6103" spans="1:9" x14ac:dyDescent="0.25">
      <c r="A6103">
        <v>2025</v>
      </c>
      <c r="B6103" t="s">
        <v>12154</v>
      </c>
      <c r="C6103" s="1">
        <v>45666</v>
      </c>
      <c r="D6103" t="s">
        <v>12155</v>
      </c>
      <c r="E6103">
        <v>230</v>
      </c>
      <c r="G6103" s="3">
        <f>MONTH(Tabela1[[#This Row],[Último pagto ano]])</f>
        <v>1</v>
      </c>
      <c r="H6103" t="str">
        <f>TEXT(Tabela1[[#This Row],[Coluna2]]*29,"mmmm")</f>
        <v>janeiro</v>
      </c>
      <c r="I6103" t="str">
        <f>TEXT(MONTH(Tabela1[[#This Row],[Último pagto ano]])*29,"mmmm")</f>
        <v>janeiro</v>
      </c>
    </row>
    <row r="6104" spans="1:9" x14ac:dyDescent="0.25">
      <c r="A6104">
        <v>2025</v>
      </c>
      <c r="B6104" t="s">
        <v>12156</v>
      </c>
      <c r="C6104" s="1">
        <v>45726</v>
      </c>
      <c r="D6104" t="s">
        <v>12157</v>
      </c>
      <c r="E6104">
        <v>226.77</v>
      </c>
      <c r="G6104" s="3">
        <f>MONTH(Tabela1[[#This Row],[Último pagto ano]])</f>
        <v>3</v>
      </c>
      <c r="H6104" t="str">
        <f>TEXT(Tabela1[[#This Row],[Coluna2]]*29,"mmmm")</f>
        <v>março</v>
      </c>
      <c r="I6104" t="str">
        <f>TEXT(MONTH(Tabela1[[#This Row],[Último pagto ano]])*29,"mmmm")</f>
        <v>março</v>
      </c>
    </row>
    <row r="6105" spans="1:9" x14ac:dyDescent="0.25">
      <c r="A6105">
        <v>2025</v>
      </c>
      <c r="B6105" t="s">
        <v>12158</v>
      </c>
      <c r="C6105" s="1">
        <v>45754</v>
      </c>
      <c r="D6105" t="s">
        <v>12159</v>
      </c>
      <c r="E6105" s="2">
        <v>16200</v>
      </c>
      <c r="G6105" s="3">
        <f>MONTH(Tabela1[[#This Row],[Último pagto ano]])</f>
        <v>4</v>
      </c>
      <c r="H6105" t="str">
        <f>TEXT(Tabela1[[#This Row],[Coluna2]]*29,"mmmm")</f>
        <v>abril</v>
      </c>
      <c r="I6105" t="str">
        <f>TEXT(MONTH(Tabela1[[#This Row],[Último pagto ano]])*29,"mmmm")</f>
        <v>abril</v>
      </c>
    </row>
    <row r="6106" spans="1:9" x14ac:dyDescent="0.25">
      <c r="A6106">
        <v>2025</v>
      </c>
      <c r="B6106" t="s">
        <v>12160</v>
      </c>
      <c r="C6106" s="1">
        <v>45972</v>
      </c>
      <c r="D6106" t="s">
        <v>12161</v>
      </c>
      <c r="E6106">
        <v>545.20000000000005</v>
      </c>
      <c r="G6106" s="3">
        <f>MONTH(Tabela1[[#This Row],[Último pagto ano]])</f>
        <v>11</v>
      </c>
      <c r="H6106" t="str">
        <f>TEXT(Tabela1[[#This Row],[Coluna2]]*29,"mmmm")</f>
        <v>novembro</v>
      </c>
      <c r="I6106" t="str">
        <f>TEXT(MONTH(Tabela1[[#This Row],[Último pagto ano]])*29,"mmmm")</f>
        <v>novembro</v>
      </c>
    </row>
    <row r="6107" spans="1:9" x14ac:dyDescent="0.25">
      <c r="A6107">
        <v>2025</v>
      </c>
      <c r="B6107" t="s">
        <v>12162</v>
      </c>
      <c r="C6107" s="1">
        <v>45863</v>
      </c>
      <c r="D6107" t="s">
        <v>12163</v>
      </c>
      <c r="E6107">
        <v>2.73</v>
      </c>
      <c r="G6107" s="3">
        <f>MONTH(Tabela1[[#This Row],[Último pagto ano]])</f>
        <v>7</v>
      </c>
      <c r="H6107" t="str">
        <f>TEXT(Tabela1[[#This Row],[Coluna2]]*29,"mmmm")</f>
        <v>julho</v>
      </c>
      <c r="I6107" t="str">
        <f>TEXT(MONTH(Tabela1[[#This Row],[Último pagto ano]])*29,"mmmm")</f>
        <v>julho</v>
      </c>
    </row>
    <row r="6108" spans="1:9" x14ac:dyDescent="0.25">
      <c r="A6108">
        <v>2025</v>
      </c>
      <c r="B6108" t="s">
        <v>12164</v>
      </c>
      <c r="C6108" s="1">
        <v>45971</v>
      </c>
      <c r="D6108" t="s">
        <v>12165</v>
      </c>
      <c r="E6108" s="2">
        <v>1684.8</v>
      </c>
      <c r="G6108" s="3">
        <f>MONTH(Tabela1[[#This Row],[Último pagto ano]])</f>
        <v>11</v>
      </c>
      <c r="H6108" t="str">
        <f>TEXT(Tabela1[[#This Row],[Coluna2]]*29,"mmmm")</f>
        <v>novembro</v>
      </c>
      <c r="I6108" t="str">
        <f>TEXT(MONTH(Tabela1[[#This Row],[Último pagto ano]])*29,"mmmm")</f>
        <v>novembro</v>
      </c>
    </row>
    <row r="6109" spans="1:9" x14ac:dyDescent="0.25">
      <c r="A6109">
        <v>2025</v>
      </c>
      <c r="B6109" t="s">
        <v>12166</v>
      </c>
      <c r="C6109" s="1">
        <v>45722</v>
      </c>
      <c r="D6109" t="s">
        <v>12167</v>
      </c>
      <c r="E6109">
        <v>33</v>
      </c>
      <c r="G6109" s="3">
        <f>MONTH(Tabela1[[#This Row],[Último pagto ano]])</f>
        <v>3</v>
      </c>
      <c r="H6109" t="str">
        <f>TEXT(Tabela1[[#This Row],[Coluna2]]*29,"mmmm")</f>
        <v>março</v>
      </c>
      <c r="I6109" t="str">
        <f>TEXT(MONTH(Tabela1[[#This Row],[Último pagto ano]])*29,"mmmm")</f>
        <v>março</v>
      </c>
    </row>
    <row r="6110" spans="1:9" x14ac:dyDescent="0.25">
      <c r="A6110">
        <v>2025</v>
      </c>
      <c r="B6110" t="s">
        <v>12168</v>
      </c>
      <c r="C6110" s="1">
        <v>46006</v>
      </c>
      <c r="D6110" t="s">
        <v>12169</v>
      </c>
      <c r="E6110">
        <v>88</v>
      </c>
      <c r="G6110" s="3">
        <f>MONTH(Tabela1[[#This Row],[Último pagto ano]])</f>
        <v>12</v>
      </c>
      <c r="H6110" t="str">
        <f>TEXT(Tabela1[[#This Row],[Coluna2]]*29,"mmmm")</f>
        <v>dezembro</v>
      </c>
      <c r="I6110" t="str">
        <f>TEXT(MONTH(Tabela1[[#This Row],[Último pagto ano]])*29,"mmmm")</f>
        <v>dezembro</v>
      </c>
    </row>
    <row r="6111" spans="1:9" x14ac:dyDescent="0.25">
      <c r="A6111">
        <v>2025</v>
      </c>
      <c r="B6111" t="s">
        <v>12170</v>
      </c>
      <c r="C6111" s="1">
        <v>45880</v>
      </c>
      <c r="D6111" t="s">
        <v>12171</v>
      </c>
      <c r="E6111" s="2">
        <v>2016</v>
      </c>
      <c r="G6111" s="3">
        <f>MONTH(Tabela1[[#This Row],[Último pagto ano]])</f>
        <v>8</v>
      </c>
      <c r="H6111" t="str">
        <f>TEXT(Tabela1[[#This Row],[Coluna2]]*29,"mmmm")</f>
        <v>agosto</v>
      </c>
      <c r="I6111" t="str">
        <f>TEXT(MONTH(Tabela1[[#This Row],[Último pagto ano]])*29,"mmmm")</f>
        <v>agosto</v>
      </c>
    </row>
    <row r="6112" spans="1:9" x14ac:dyDescent="0.25">
      <c r="A6112">
        <v>2025</v>
      </c>
      <c r="B6112" t="s">
        <v>12172</v>
      </c>
      <c r="C6112" s="1">
        <v>45929</v>
      </c>
      <c r="D6112" t="s">
        <v>12173</v>
      </c>
      <c r="E6112" s="2">
        <v>140624.87</v>
      </c>
      <c r="G6112" s="3">
        <f>MONTH(Tabela1[[#This Row],[Último pagto ano]])</f>
        <v>9</v>
      </c>
      <c r="H6112" t="str">
        <f>TEXT(Tabela1[[#This Row],[Coluna2]]*29,"mmmm")</f>
        <v>setembro</v>
      </c>
      <c r="I6112" t="str">
        <f>TEXT(MONTH(Tabela1[[#This Row],[Último pagto ano]])*29,"mmmm")</f>
        <v>setembro</v>
      </c>
    </row>
    <row r="6113" spans="1:9" x14ac:dyDescent="0.25">
      <c r="A6113">
        <v>2025</v>
      </c>
      <c r="B6113" t="s">
        <v>12174</v>
      </c>
      <c r="C6113" s="1">
        <v>45771</v>
      </c>
      <c r="D6113" t="s">
        <v>12175</v>
      </c>
      <c r="E6113">
        <v>235.32</v>
      </c>
      <c r="G6113" s="3">
        <f>MONTH(Tabela1[[#This Row],[Último pagto ano]])</f>
        <v>4</v>
      </c>
      <c r="H6113" t="str">
        <f>TEXT(Tabela1[[#This Row],[Coluna2]]*29,"mmmm")</f>
        <v>abril</v>
      </c>
      <c r="I6113" t="str">
        <f>TEXT(MONTH(Tabela1[[#This Row],[Último pagto ano]])*29,"mmmm")</f>
        <v>abril</v>
      </c>
    </row>
    <row r="6114" spans="1:9" x14ac:dyDescent="0.25">
      <c r="A6114">
        <v>2025</v>
      </c>
      <c r="B6114" t="s">
        <v>12176</v>
      </c>
      <c r="C6114" s="1">
        <v>45988</v>
      </c>
      <c r="D6114" t="s">
        <v>12177</v>
      </c>
      <c r="E6114">
        <v>175.5</v>
      </c>
      <c r="G6114" s="3">
        <f>MONTH(Tabela1[[#This Row],[Último pagto ano]])</f>
        <v>11</v>
      </c>
      <c r="H6114" t="str">
        <f>TEXT(Tabela1[[#This Row],[Coluna2]]*29,"mmmm")</f>
        <v>novembro</v>
      </c>
      <c r="I6114" t="str">
        <f>TEXT(MONTH(Tabela1[[#This Row],[Último pagto ano]])*29,"mmmm")</f>
        <v>novembro</v>
      </c>
    </row>
    <row r="6115" spans="1:9" x14ac:dyDescent="0.25">
      <c r="A6115">
        <v>2025</v>
      </c>
      <c r="B6115" t="s">
        <v>12178</v>
      </c>
      <c r="C6115" s="1">
        <v>45744</v>
      </c>
      <c r="D6115" t="s">
        <v>12179</v>
      </c>
      <c r="E6115" s="2">
        <v>76711.62</v>
      </c>
      <c r="G6115" s="3">
        <f>MONTH(Tabela1[[#This Row],[Último pagto ano]])</f>
        <v>3</v>
      </c>
      <c r="H6115" t="str">
        <f>TEXT(Tabela1[[#This Row],[Coluna2]]*29,"mmmm")</f>
        <v>março</v>
      </c>
      <c r="I6115" t="str">
        <f>TEXT(MONTH(Tabela1[[#This Row],[Último pagto ano]])*29,"mmmm")</f>
        <v>março</v>
      </c>
    </row>
    <row r="6116" spans="1:9" x14ac:dyDescent="0.25">
      <c r="A6116">
        <v>2025</v>
      </c>
      <c r="B6116" t="s">
        <v>12180</v>
      </c>
      <c r="C6116" s="1">
        <v>45915</v>
      </c>
      <c r="D6116" t="s">
        <v>12181</v>
      </c>
      <c r="E6116" s="2">
        <v>6663.6</v>
      </c>
      <c r="G6116" s="3">
        <f>MONTH(Tabela1[[#This Row],[Último pagto ano]])</f>
        <v>9</v>
      </c>
      <c r="H6116" t="str">
        <f>TEXT(Tabela1[[#This Row],[Coluna2]]*29,"mmmm")</f>
        <v>setembro</v>
      </c>
      <c r="I6116" t="str">
        <f>TEXT(MONTH(Tabela1[[#This Row],[Último pagto ano]])*29,"mmmm")</f>
        <v>setembro</v>
      </c>
    </row>
    <row r="6117" spans="1:9" x14ac:dyDescent="0.25">
      <c r="A6117">
        <v>2025</v>
      </c>
      <c r="B6117" t="s">
        <v>12182</v>
      </c>
      <c r="C6117" s="1">
        <v>46006</v>
      </c>
      <c r="D6117" t="s">
        <v>12183</v>
      </c>
      <c r="E6117" s="2">
        <v>5889.44</v>
      </c>
      <c r="G6117" s="3">
        <f>MONTH(Tabela1[[#This Row],[Último pagto ano]])</f>
        <v>12</v>
      </c>
      <c r="H6117" t="str">
        <f>TEXT(Tabela1[[#This Row],[Coluna2]]*29,"mmmm")</f>
        <v>dezembro</v>
      </c>
      <c r="I6117" t="str">
        <f>TEXT(MONTH(Tabela1[[#This Row],[Último pagto ano]])*29,"mmmm")</f>
        <v>dezembro</v>
      </c>
    </row>
    <row r="6118" spans="1:9" x14ac:dyDescent="0.25">
      <c r="A6118">
        <v>2025</v>
      </c>
      <c r="B6118" t="s">
        <v>12184</v>
      </c>
      <c r="C6118" s="1">
        <v>45989</v>
      </c>
      <c r="D6118" t="s">
        <v>12185</v>
      </c>
      <c r="E6118" s="2">
        <v>6542.29</v>
      </c>
      <c r="G6118" s="3">
        <f>MONTH(Tabela1[[#This Row],[Último pagto ano]])</f>
        <v>11</v>
      </c>
      <c r="H6118" t="str">
        <f>TEXT(Tabela1[[#This Row],[Coluna2]]*29,"mmmm")</f>
        <v>novembro</v>
      </c>
      <c r="I6118" t="str">
        <f>TEXT(MONTH(Tabela1[[#This Row],[Último pagto ano]])*29,"mmmm")</f>
        <v>novembro</v>
      </c>
    </row>
    <row r="6119" spans="1:9" x14ac:dyDescent="0.25">
      <c r="A6119">
        <v>2025</v>
      </c>
      <c r="B6119" t="s">
        <v>12186</v>
      </c>
      <c r="C6119" s="1">
        <v>46001</v>
      </c>
      <c r="D6119" t="s">
        <v>12187</v>
      </c>
      <c r="E6119" s="2">
        <v>43234.3</v>
      </c>
      <c r="G6119" s="3">
        <f>MONTH(Tabela1[[#This Row],[Último pagto ano]])</f>
        <v>12</v>
      </c>
      <c r="H6119" t="str">
        <f>TEXT(Tabela1[[#This Row],[Coluna2]]*29,"mmmm")</f>
        <v>dezembro</v>
      </c>
      <c r="I6119" t="str">
        <f>TEXT(MONTH(Tabela1[[#This Row],[Último pagto ano]])*29,"mmmm")</f>
        <v>dezembro</v>
      </c>
    </row>
    <row r="6120" spans="1:9" x14ac:dyDescent="0.25">
      <c r="A6120">
        <v>2025</v>
      </c>
      <c r="B6120" t="s">
        <v>12188</v>
      </c>
      <c r="C6120" s="1">
        <v>46006</v>
      </c>
      <c r="D6120" t="s">
        <v>12189</v>
      </c>
      <c r="E6120" s="2">
        <v>37344.42</v>
      </c>
      <c r="G6120" s="3">
        <f>MONTH(Tabela1[[#This Row],[Último pagto ano]])</f>
        <v>12</v>
      </c>
      <c r="H6120" t="str">
        <f>TEXT(Tabela1[[#This Row],[Coluna2]]*29,"mmmm")</f>
        <v>dezembro</v>
      </c>
      <c r="I6120" t="str">
        <f>TEXT(MONTH(Tabela1[[#This Row],[Último pagto ano]])*29,"mmmm")</f>
        <v>dezembro</v>
      </c>
    </row>
    <row r="6121" spans="1:9" x14ac:dyDescent="0.25">
      <c r="A6121">
        <v>2025</v>
      </c>
      <c r="B6121" t="s">
        <v>12190</v>
      </c>
      <c r="C6121" s="1">
        <v>45841</v>
      </c>
      <c r="D6121" t="s">
        <v>12191</v>
      </c>
      <c r="E6121" s="2">
        <v>38329.57</v>
      </c>
      <c r="G6121" s="3">
        <f>MONTH(Tabela1[[#This Row],[Último pagto ano]])</f>
        <v>7</v>
      </c>
      <c r="H6121" t="str">
        <f>TEXT(Tabela1[[#This Row],[Coluna2]]*29,"mmmm")</f>
        <v>julho</v>
      </c>
      <c r="I6121" t="str">
        <f>TEXT(MONTH(Tabela1[[#This Row],[Último pagto ano]])*29,"mmmm")</f>
        <v>julho</v>
      </c>
    </row>
    <row r="6122" spans="1:9" x14ac:dyDescent="0.25">
      <c r="A6122">
        <v>2025</v>
      </c>
      <c r="B6122" t="s">
        <v>12192</v>
      </c>
      <c r="C6122" s="1">
        <v>45988</v>
      </c>
      <c r="D6122" t="s">
        <v>12193</v>
      </c>
      <c r="E6122" s="2">
        <v>7207.2</v>
      </c>
      <c r="G6122" s="3">
        <f>MONTH(Tabela1[[#This Row],[Último pagto ano]])</f>
        <v>11</v>
      </c>
      <c r="H6122" t="str">
        <f>TEXT(Tabela1[[#This Row],[Coluna2]]*29,"mmmm")</f>
        <v>novembro</v>
      </c>
      <c r="I6122" t="str">
        <f>TEXT(MONTH(Tabela1[[#This Row],[Último pagto ano]])*29,"mmmm")</f>
        <v>novembro</v>
      </c>
    </row>
    <row r="6123" spans="1:9" x14ac:dyDescent="0.25">
      <c r="A6123">
        <v>2025</v>
      </c>
      <c r="B6123" t="s">
        <v>12194</v>
      </c>
      <c r="C6123" s="1">
        <v>45929</v>
      </c>
      <c r="D6123" t="s">
        <v>12195</v>
      </c>
      <c r="E6123">
        <v>33</v>
      </c>
      <c r="G6123" s="3">
        <f>MONTH(Tabela1[[#This Row],[Último pagto ano]])</f>
        <v>9</v>
      </c>
      <c r="H6123" t="str">
        <f>TEXT(Tabela1[[#This Row],[Coluna2]]*29,"mmmm")</f>
        <v>setembro</v>
      </c>
      <c r="I6123" t="str">
        <f>TEXT(MONTH(Tabela1[[#This Row],[Último pagto ano]])*29,"mmmm")</f>
        <v>setembro</v>
      </c>
    </row>
    <row r="6124" spans="1:9" x14ac:dyDescent="0.25">
      <c r="A6124">
        <v>2025</v>
      </c>
      <c r="B6124" t="s">
        <v>12196</v>
      </c>
      <c r="C6124" s="1">
        <v>46021</v>
      </c>
      <c r="D6124" t="s">
        <v>12197</v>
      </c>
      <c r="E6124" s="2">
        <v>323023.13</v>
      </c>
      <c r="G6124" s="3">
        <f>MONTH(Tabela1[[#This Row],[Último pagto ano]])</f>
        <v>12</v>
      </c>
      <c r="H6124" t="str">
        <f>TEXT(Tabela1[[#This Row],[Coluna2]]*29,"mmmm")</f>
        <v>dezembro</v>
      </c>
      <c r="I6124" t="str">
        <f>TEXT(MONTH(Tabela1[[#This Row],[Último pagto ano]])*29,"mmmm")</f>
        <v>dezembro</v>
      </c>
    </row>
    <row r="6125" spans="1:9" x14ac:dyDescent="0.25">
      <c r="A6125">
        <v>2025</v>
      </c>
      <c r="B6125" t="s">
        <v>12198</v>
      </c>
      <c r="C6125" s="1">
        <v>45992</v>
      </c>
      <c r="D6125" t="s">
        <v>12199</v>
      </c>
      <c r="E6125" s="2">
        <v>243158.03</v>
      </c>
      <c r="G6125" s="3">
        <f>MONTH(Tabela1[[#This Row],[Último pagto ano]])</f>
        <v>12</v>
      </c>
      <c r="H6125" t="str">
        <f>TEXT(Tabela1[[#This Row],[Coluna2]]*29,"mmmm")</f>
        <v>dezembro</v>
      </c>
      <c r="I6125" t="str">
        <f>TEXT(MONTH(Tabela1[[#This Row],[Último pagto ano]])*29,"mmmm")</f>
        <v>dezembro</v>
      </c>
    </row>
    <row r="6126" spans="1:9" x14ac:dyDescent="0.25">
      <c r="A6126">
        <v>2025</v>
      </c>
      <c r="B6126" t="s">
        <v>12200</v>
      </c>
      <c r="C6126" s="1">
        <v>45908</v>
      </c>
      <c r="D6126" t="s">
        <v>12201</v>
      </c>
      <c r="E6126" s="2">
        <v>12163.54</v>
      </c>
      <c r="G6126" s="3">
        <f>MONTH(Tabela1[[#This Row],[Último pagto ano]])</f>
        <v>9</v>
      </c>
      <c r="H6126" t="str">
        <f>TEXT(Tabela1[[#This Row],[Coluna2]]*29,"mmmm")</f>
        <v>setembro</v>
      </c>
      <c r="I6126" t="str">
        <f>TEXT(MONTH(Tabela1[[#This Row],[Último pagto ano]])*29,"mmmm")</f>
        <v>setembro</v>
      </c>
    </row>
    <row r="6127" spans="1:9" x14ac:dyDescent="0.25">
      <c r="A6127">
        <v>2025</v>
      </c>
      <c r="B6127" t="s">
        <v>12202</v>
      </c>
      <c r="C6127" s="1">
        <v>46006</v>
      </c>
      <c r="D6127" t="s">
        <v>12203</v>
      </c>
      <c r="E6127" s="2">
        <v>3918.48</v>
      </c>
      <c r="G6127" s="3">
        <f>MONTH(Tabela1[[#This Row],[Último pagto ano]])</f>
        <v>12</v>
      </c>
      <c r="H6127" t="str">
        <f>TEXT(Tabela1[[#This Row],[Coluna2]]*29,"mmmm")</f>
        <v>dezembro</v>
      </c>
      <c r="I6127" t="str">
        <f>TEXT(MONTH(Tabela1[[#This Row],[Último pagto ano]])*29,"mmmm")</f>
        <v>dezembro</v>
      </c>
    </row>
    <row r="6128" spans="1:9" x14ac:dyDescent="0.25">
      <c r="A6128">
        <v>2025</v>
      </c>
      <c r="B6128" t="s">
        <v>12204</v>
      </c>
      <c r="C6128" s="1">
        <v>45792</v>
      </c>
      <c r="D6128" t="s">
        <v>12205</v>
      </c>
      <c r="E6128">
        <v>888.48</v>
      </c>
      <c r="G6128" s="3">
        <f>MONTH(Tabela1[[#This Row],[Último pagto ano]])</f>
        <v>5</v>
      </c>
      <c r="H6128" t="str">
        <f>TEXT(Tabela1[[#This Row],[Coluna2]]*29,"mmmm")</f>
        <v>maio</v>
      </c>
      <c r="I6128" t="str">
        <f>TEXT(MONTH(Tabela1[[#This Row],[Último pagto ano]])*29,"mmmm")</f>
        <v>maio</v>
      </c>
    </row>
    <row r="6129" spans="1:9" x14ac:dyDescent="0.25">
      <c r="A6129">
        <v>2025</v>
      </c>
      <c r="B6129" t="s">
        <v>12206</v>
      </c>
      <c r="C6129" s="1">
        <v>45702</v>
      </c>
      <c r="D6129" t="s">
        <v>12207</v>
      </c>
      <c r="E6129">
        <v>239.07</v>
      </c>
      <c r="G6129" s="3">
        <f>MONTH(Tabela1[[#This Row],[Último pagto ano]])</f>
        <v>2</v>
      </c>
      <c r="H6129" t="str">
        <f>TEXT(Tabela1[[#This Row],[Coluna2]]*29,"mmmm")</f>
        <v>fevereiro</v>
      </c>
      <c r="I6129" t="str">
        <f>TEXT(MONTH(Tabela1[[#This Row],[Último pagto ano]])*29,"mmmm")</f>
        <v>fevereiro</v>
      </c>
    </row>
    <row r="6130" spans="1:9" x14ac:dyDescent="0.25">
      <c r="A6130">
        <v>2025</v>
      </c>
      <c r="B6130" t="s">
        <v>12208</v>
      </c>
      <c r="C6130" s="1">
        <v>45673</v>
      </c>
      <c r="D6130" t="s">
        <v>12209</v>
      </c>
      <c r="E6130" s="2">
        <v>1200</v>
      </c>
      <c r="G6130" s="3">
        <f>MONTH(Tabela1[[#This Row],[Último pagto ano]])</f>
        <v>1</v>
      </c>
      <c r="H6130" t="str">
        <f>TEXT(Tabela1[[#This Row],[Coluna2]]*29,"mmmm")</f>
        <v>janeiro</v>
      </c>
      <c r="I6130" t="str">
        <f>TEXT(MONTH(Tabela1[[#This Row],[Último pagto ano]])*29,"mmmm")</f>
        <v>janeiro</v>
      </c>
    </row>
    <row r="6131" spans="1:9" x14ac:dyDescent="0.25">
      <c r="A6131">
        <v>2025</v>
      </c>
      <c r="B6131" t="s">
        <v>12210</v>
      </c>
      <c r="C6131" s="1">
        <v>46021</v>
      </c>
      <c r="D6131" t="s">
        <v>12211</v>
      </c>
      <c r="E6131" s="2">
        <v>12756.68</v>
      </c>
      <c r="G6131" s="3">
        <f>MONTH(Tabela1[[#This Row],[Último pagto ano]])</f>
        <v>12</v>
      </c>
      <c r="H6131" t="str">
        <f>TEXT(Tabela1[[#This Row],[Coluna2]]*29,"mmmm")</f>
        <v>dezembro</v>
      </c>
      <c r="I6131" t="str">
        <f>TEXT(MONTH(Tabela1[[#This Row],[Último pagto ano]])*29,"mmmm")</f>
        <v>dezembro</v>
      </c>
    </row>
    <row r="6132" spans="1:9" x14ac:dyDescent="0.25">
      <c r="A6132">
        <v>2025</v>
      </c>
      <c r="B6132" t="s">
        <v>12212</v>
      </c>
      <c r="C6132" s="1">
        <v>45996</v>
      </c>
      <c r="D6132" t="s">
        <v>12213</v>
      </c>
      <c r="E6132" s="2">
        <v>42525</v>
      </c>
      <c r="G6132" s="3">
        <f>MONTH(Tabela1[[#This Row],[Último pagto ano]])</f>
        <v>12</v>
      </c>
      <c r="H6132" t="str">
        <f>TEXT(Tabela1[[#This Row],[Coluna2]]*29,"mmmm")</f>
        <v>dezembro</v>
      </c>
      <c r="I6132" t="str">
        <f>TEXT(MONTH(Tabela1[[#This Row],[Último pagto ano]])*29,"mmmm")</f>
        <v>dezembro</v>
      </c>
    </row>
    <row r="6133" spans="1:9" x14ac:dyDescent="0.25">
      <c r="A6133">
        <v>2025</v>
      </c>
      <c r="B6133" t="s">
        <v>12214</v>
      </c>
      <c r="C6133" s="1">
        <v>45905</v>
      </c>
      <c r="D6133" t="s">
        <v>12215</v>
      </c>
      <c r="E6133" s="2">
        <v>39585</v>
      </c>
      <c r="G6133" s="3">
        <f>MONTH(Tabela1[[#This Row],[Último pagto ano]])</f>
        <v>9</v>
      </c>
      <c r="H6133" t="str">
        <f>TEXT(Tabela1[[#This Row],[Coluna2]]*29,"mmmm")</f>
        <v>setembro</v>
      </c>
      <c r="I6133" t="str">
        <f>TEXT(MONTH(Tabela1[[#This Row],[Último pagto ano]])*29,"mmmm")</f>
        <v>setembro</v>
      </c>
    </row>
    <row r="6134" spans="1:9" x14ac:dyDescent="0.25">
      <c r="A6134">
        <v>2025</v>
      </c>
      <c r="B6134" t="s">
        <v>12216</v>
      </c>
      <c r="C6134" s="1">
        <v>45673</v>
      </c>
      <c r="D6134" t="s">
        <v>12217</v>
      </c>
      <c r="E6134" s="2">
        <v>1499.99</v>
      </c>
      <c r="G6134" s="3">
        <f>MONTH(Tabela1[[#This Row],[Último pagto ano]])</f>
        <v>1</v>
      </c>
      <c r="H6134" t="str">
        <f>TEXT(Tabela1[[#This Row],[Coluna2]]*29,"mmmm")</f>
        <v>janeiro</v>
      </c>
      <c r="I6134" t="str">
        <f>TEXT(MONTH(Tabela1[[#This Row],[Último pagto ano]])*29,"mmmm")</f>
        <v>janeiro</v>
      </c>
    </row>
    <row r="6135" spans="1:9" x14ac:dyDescent="0.25">
      <c r="A6135">
        <v>2025</v>
      </c>
      <c r="B6135" t="s">
        <v>12218</v>
      </c>
      <c r="C6135" s="1">
        <v>46013</v>
      </c>
      <c r="D6135" t="s">
        <v>12219</v>
      </c>
      <c r="E6135" s="2">
        <v>5850</v>
      </c>
      <c r="G6135" s="3">
        <f>MONTH(Tabela1[[#This Row],[Último pagto ano]])</f>
        <v>12</v>
      </c>
      <c r="H6135" t="str">
        <f>TEXT(Tabela1[[#This Row],[Coluna2]]*29,"mmmm")</f>
        <v>dezembro</v>
      </c>
      <c r="I6135" t="str">
        <f>TEXT(MONTH(Tabela1[[#This Row],[Último pagto ano]])*29,"mmmm")</f>
        <v>dezembro</v>
      </c>
    </row>
    <row r="6136" spans="1:9" x14ac:dyDescent="0.25">
      <c r="A6136">
        <v>2025</v>
      </c>
      <c r="B6136" t="s">
        <v>12218</v>
      </c>
      <c r="C6136" s="1">
        <v>45702</v>
      </c>
      <c r="D6136" t="s">
        <v>12219</v>
      </c>
      <c r="E6136">
        <v>184.84</v>
      </c>
      <c r="G6136" s="3">
        <f>MONTH(Tabela1[[#This Row],[Último pagto ano]])</f>
        <v>2</v>
      </c>
      <c r="H6136" t="str">
        <f>TEXT(Tabela1[[#This Row],[Coluna2]]*29,"mmmm")</f>
        <v>fevereiro</v>
      </c>
      <c r="I6136" t="str">
        <f>TEXT(MONTH(Tabela1[[#This Row],[Último pagto ano]])*29,"mmmm")</f>
        <v>fevereiro</v>
      </c>
    </row>
    <row r="6137" spans="1:9" x14ac:dyDescent="0.25">
      <c r="A6137">
        <v>2025</v>
      </c>
      <c r="B6137" t="s">
        <v>12220</v>
      </c>
      <c r="C6137" s="1">
        <v>45702</v>
      </c>
      <c r="D6137" t="s">
        <v>12221</v>
      </c>
      <c r="E6137">
        <v>15.85</v>
      </c>
      <c r="G6137" s="3">
        <f>MONTH(Tabela1[[#This Row],[Último pagto ano]])</f>
        <v>2</v>
      </c>
      <c r="H6137" t="str">
        <f>TEXT(Tabela1[[#This Row],[Coluna2]]*29,"mmmm")</f>
        <v>fevereiro</v>
      </c>
      <c r="I6137" t="str">
        <f>TEXT(MONTH(Tabela1[[#This Row],[Último pagto ano]])*29,"mmmm")</f>
        <v>fevereiro</v>
      </c>
    </row>
    <row r="6138" spans="1:9" x14ac:dyDescent="0.25">
      <c r="A6138">
        <v>2025</v>
      </c>
      <c r="B6138" t="s">
        <v>12222</v>
      </c>
      <c r="C6138" s="1">
        <v>46021</v>
      </c>
      <c r="D6138" t="s">
        <v>12223</v>
      </c>
      <c r="E6138" s="2">
        <v>9223.86</v>
      </c>
      <c r="G6138" s="3">
        <f>MONTH(Tabela1[[#This Row],[Último pagto ano]])</f>
        <v>12</v>
      </c>
      <c r="H6138" t="str">
        <f>TEXT(Tabela1[[#This Row],[Coluna2]]*29,"mmmm")</f>
        <v>dezembro</v>
      </c>
      <c r="I6138" t="str">
        <f>TEXT(MONTH(Tabela1[[#This Row],[Último pagto ano]])*29,"mmmm")</f>
        <v>dezembro</v>
      </c>
    </row>
    <row r="6139" spans="1:9" x14ac:dyDescent="0.25">
      <c r="A6139">
        <v>2025</v>
      </c>
      <c r="B6139" t="s">
        <v>12224</v>
      </c>
      <c r="C6139" s="1">
        <v>45996</v>
      </c>
      <c r="D6139" t="s">
        <v>12225</v>
      </c>
      <c r="E6139" s="2">
        <v>1000</v>
      </c>
      <c r="G6139" s="3">
        <f>MONTH(Tabela1[[#This Row],[Último pagto ano]])</f>
        <v>12</v>
      </c>
      <c r="H6139" t="str">
        <f>TEXT(Tabela1[[#This Row],[Coluna2]]*29,"mmmm")</f>
        <v>dezembro</v>
      </c>
      <c r="I6139" t="str">
        <f>TEXT(MONTH(Tabela1[[#This Row],[Último pagto ano]])*29,"mmmm")</f>
        <v>dezembro</v>
      </c>
    </row>
    <row r="6140" spans="1:9" x14ac:dyDescent="0.25">
      <c r="A6140">
        <v>2025</v>
      </c>
      <c r="B6140" t="s">
        <v>12226</v>
      </c>
      <c r="C6140" s="1">
        <v>46010</v>
      </c>
      <c r="D6140" t="s">
        <v>12227</v>
      </c>
      <c r="E6140" s="2">
        <v>24000</v>
      </c>
      <c r="G6140" s="3">
        <f>MONTH(Tabela1[[#This Row],[Último pagto ano]])</f>
        <v>12</v>
      </c>
      <c r="H6140" t="str">
        <f>TEXT(Tabela1[[#This Row],[Coluna2]]*29,"mmmm")</f>
        <v>dezembro</v>
      </c>
      <c r="I6140" t="str">
        <f>TEXT(MONTH(Tabela1[[#This Row],[Último pagto ano]])*29,"mmmm")</f>
        <v>dezembro</v>
      </c>
    </row>
    <row r="6141" spans="1:9" x14ac:dyDescent="0.25">
      <c r="A6141">
        <v>2025</v>
      </c>
      <c r="B6141" t="s">
        <v>12228</v>
      </c>
      <c r="C6141" s="1">
        <v>46006</v>
      </c>
      <c r="D6141" t="s">
        <v>12229</v>
      </c>
      <c r="E6141" s="2">
        <v>15307.36</v>
      </c>
      <c r="G6141" s="3">
        <f>MONTH(Tabela1[[#This Row],[Último pagto ano]])</f>
        <v>12</v>
      </c>
      <c r="H6141" t="str">
        <f>TEXT(Tabela1[[#This Row],[Coluna2]]*29,"mmmm")</f>
        <v>dezembro</v>
      </c>
      <c r="I6141" t="str">
        <f>TEXT(MONTH(Tabela1[[#This Row],[Último pagto ano]])*29,"mmmm")</f>
        <v>dezembro</v>
      </c>
    </row>
    <row r="6142" spans="1:9" x14ac:dyDescent="0.25">
      <c r="A6142">
        <v>2025</v>
      </c>
      <c r="B6142" t="s">
        <v>12230</v>
      </c>
      <c r="C6142" s="1">
        <v>45996</v>
      </c>
      <c r="D6142" t="s">
        <v>12231</v>
      </c>
      <c r="E6142" s="2">
        <v>33979.4</v>
      </c>
      <c r="G6142" s="3">
        <f>MONTH(Tabela1[[#This Row],[Último pagto ano]])</f>
        <v>12</v>
      </c>
      <c r="H6142" t="str">
        <f>TEXT(Tabela1[[#This Row],[Coluna2]]*29,"mmmm")</f>
        <v>dezembro</v>
      </c>
      <c r="I6142" t="str">
        <f>TEXT(MONTH(Tabela1[[#This Row],[Último pagto ano]])*29,"mmmm")</f>
        <v>dezembro</v>
      </c>
    </row>
    <row r="6143" spans="1:9" x14ac:dyDescent="0.25">
      <c r="A6143">
        <v>2025</v>
      </c>
      <c r="B6143" t="s">
        <v>12232</v>
      </c>
      <c r="C6143" s="1">
        <v>45754</v>
      </c>
      <c r="D6143" t="s">
        <v>12233</v>
      </c>
      <c r="E6143">
        <v>240</v>
      </c>
      <c r="G6143" s="3">
        <f>MONTH(Tabela1[[#This Row],[Último pagto ano]])</f>
        <v>4</v>
      </c>
      <c r="H6143" t="str">
        <f>TEXT(Tabela1[[#This Row],[Coluna2]]*29,"mmmm")</f>
        <v>abril</v>
      </c>
      <c r="I6143" t="str">
        <f>TEXT(MONTH(Tabela1[[#This Row],[Último pagto ano]])*29,"mmmm")</f>
        <v>abril</v>
      </c>
    </row>
    <row r="6144" spans="1:9" x14ac:dyDescent="0.25">
      <c r="A6144">
        <v>2025</v>
      </c>
      <c r="B6144" t="s">
        <v>12234</v>
      </c>
      <c r="C6144" s="1">
        <v>45978</v>
      </c>
      <c r="D6144" t="s">
        <v>12235</v>
      </c>
      <c r="E6144">
        <v>132</v>
      </c>
      <c r="G6144" s="3">
        <f>MONTH(Tabela1[[#This Row],[Último pagto ano]])</f>
        <v>11</v>
      </c>
      <c r="H6144" t="str">
        <f>TEXT(Tabela1[[#This Row],[Coluna2]]*29,"mmmm")</f>
        <v>novembro</v>
      </c>
      <c r="I6144" t="str">
        <f>TEXT(MONTH(Tabela1[[#This Row],[Último pagto ano]])*29,"mmmm")</f>
        <v>novembro</v>
      </c>
    </row>
    <row r="6145" spans="1:9" x14ac:dyDescent="0.25">
      <c r="A6145">
        <v>2025</v>
      </c>
      <c r="B6145" t="s">
        <v>12236</v>
      </c>
      <c r="C6145" s="1">
        <v>45989</v>
      </c>
      <c r="D6145" t="s">
        <v>12237</v>
      </c>
      <c r="E6145" s="2">
        <v>10949.58</v>
      </c>
      <c r="G6145" s="3">
        <f>MONTH(Tabela1[[#This Row],[Último pagto ano]])</f>
        <v>11</v>
      </c>
      <c r="H6145" t="str">
        <f>TEXT(Tabela1[[#This Row],[Coluna2]]*29,"mmmm")</f>
        <v>novembro</v>
      </c>
      <c r="I6145" t="str">
        <f>TEXT(MONTH(Tabela1[[#This Row],[Último pagto ano]])*29,"mmmm")</f>
        <v>novembro</v>
      </c>
    </row>
    <row r="6146" spans="1:9" x14ac:dyDescent="0.25">
      <c r="A6146">
        <v>2025</v>
      </c>
      <c r="B6146" t="s">
        <v>12238</v>
      </c>
      <c r="C6146" s="1">
        <v>46021</v>
      </c>
      <c r="D6146" t="s">
        <v>12239</v>
      </c>
      <c r="E6146" s="2">
        <v>11074.04</v>
      </c>
      <c r="G6146" s="3">
        <f>MONTH(Tabela1[[#This Row],[Último pagto ano]])</f>
        <v>12</v>
      </c>
      <c r="H6146" t="str">
        <f>TEXT(Tabela1[[#This Row],[Coluna2]]*29,"mmmm")</f>
        <v>dezembro</v>
      </c>
      <c r="I6146" t="str">
        <f>TEXT(MONTH(Tabela1[[#This Row],[Último pagto ano]])*29,"mmmm")</f>
        <v>dezembro</v>
      </c>
    </row>
    <row r="6147" spans="1:9" x14ac:dyDescent="0.25">
      <c r="A6147">
        <v>2025</v>
      </c>
      <c r="B6147" t="s">
        <v>12240</v>
      </c>
      <c r="C6147" s="1">
        <v>45716</v>
      </c>
      <c r="D6147" t="s">
        <v>12241</v>
      </c>
      <c r="E6147">
        <v>976.94</v>
      </c>
      <c r="G6147" s="3">
        <f>MONTH(Tabela1[[#This Row],[Último pagto ano]])</f>
        <v>2</v>
      </c>
      <c r="H6147" t="str">
        <f>TEXT(Tabela1[[#This Row],[Coluna2]]*29,"mmmm")</f>
        <v>fevereiro</v>
      </c>
      <c r="I6147" t="str">
        <f>TEXT(MONTH(Tabela1[[#This Row],[Último pagto ano]])*29,"mmmm")</f>
        <v>fevereiro</v>
      </c>
    </row>
    <row r="6148" spans="1:9" x14ac:dyDescent="0.25">
      <c r="A6148">
        <v>2025</v>
      </c>
      <c r="B6148" t="s">
        <v>12242</v>
      </c>
      <c r="C6148" s="1">
        <v>45873</v>
      </c>
      <c r="D6148" t="s">
        <v>12243</v>
      </c>
      <c r="E6148">
        <v>22</v>
      </c>
      <c r="G6148" s="3">
        <f>MONTH(Tabela1[[#This Row],[Último pagto ano]])</f>
        <v>8</v>
      </c>
      <c r="H6148" t="str">
        <f>TEXT(Tabela1[[#This Row],[Coluna2]]*29,"mmmm")</f>
        <v>agosto</v>
      </c>
      <c r="I6148" t="str">
        <f>TEXT(MONTH(Tabela1[[#This Row],[Último pagto ano]])*29,"mmmm")</f>
        <v>agosto</v>
      </c>
    </row>
    <row r="6149" spans="1:9" x14ac:dyDescent="0.25">
      <c r="A6149">
        <v>2025</v>
      </c>
      <c r="B6149" t="s">
        <v>12244</v>
      </c>
      <c r="C6149" s="1">
        <v>46014</v>
      </c>
      <c r="D6149" t="s">
        <v>12245</v>
      </c>
      <c r="E6149" s="2">
        <v>158125.4</v>
      </c>
      <c r="G6149" s="3">
        <f>MONTH(Tabela1[[#This Row],[Último pagto ano]])</f>
        <v>12</v>
      </c>
      <c r="H6149" t="str">
        <f>TEXT(Tabela1[[#This Row],[Coluna2]]*29,"mmmm")</f>
        <v>dezembro</v>
      </c>
      <c r="I6149" t="str">
        <f>TEXT(MONTH(Tabela1[[#This Row],[Último pagto ano]])*29,"mmmm")</f>
        <v>dezembro</v>
      </c>
    </row>
    <row r="6150" spans="1:9" x14ac:dyDescent="0.25">
      <c r="A6150">
        <v>2025</v>
      </c>
      <c r="B6150" t="s">
        <v>12246</v>
      </c>
      <c r="C6150" s="1">
        <v>45769</v>
      </c>
      <c r="D6150" t="s">
        <v>12247</v>
      </c>
      <c r="E6150">
        <v>174.19</v>
      </c>
      <c r="G6150" s="3">
        <f>MONTH(Tabela1[[#This Row],[Último pagto ano]])</f>
        <v>4</v>
      </c>
      <c r="H6150" t="str">
        <f>TEXT(Tabela1[[#This Row],[Coluna2]]*29,"mmmm")</f>
        <v>abril</v>
      </c>
      <c r="I6150" t="str">
        <f>TEXT(MONTH(Tabela1[[#This Row],[Último pagto ano]])*29,"mmmm")</f>
        <v>abril</v>
      </c>
    </row>
    <row r="6151" spans="1:9" x14ac:dyDescent="0.25">
      <c r="A6151">
        <v>2025</v>
      </c>
      <c r="B6151" t="s">
        <v>12248</v>
      </c>
      <c r="C6151" s="1">
        <v>46013</v>
      </c>
      <c r="D6151" t="s">
        <v>12249</v>
      </c>
      <c r="E6151" s="2">
        <v>15000</v>
      </c>
      <c r="G6151" s="3">
        <f>MONTH(Tabela1[[#This Row],[Último pagto ano]])</f>
        <v>12</v>
      </c>
      <c r="H6151" t="str">
        <f>TEXT(Tabela1[[#This Row],[Coluna2]]*29,"mmmm")</f>
        <v>dezembro</v>
      </c>
      <c r="I6151" t="str">
        <f>TEXT(MONTH(Tabela1[[#This Row],[Último pagto ano]])*29,"mmmm")</f>
        <v>dezembro</v>
      </c>
    </row>
    <row r="6152" spans="1:9" x14ac:dyDescent="0.25">
      <c r="A6152">
        <v>2025</v>
      </c>
      <c r="B6152" t="s">
        <v>12250</v>
      </c>
      <c r="C6152" s="1">
        <v>45964</v>
      </c>
      <c r="D6152" t="s">
        <v>12251</v>
      </c>
      <c r="E6152" s="2">
        <v>68227</v>
      </c>
      <c r="G6152" s="3">
        <f>MONTH(Tabela1[[#This Row],[Último pagto ano]])</f>
        <v>11</v>
      </c>
      <c r="H6152" t="str">
        <f>TEXT(Tabela1[[#This Row],[Coluna2]]*29,"mmmm")</f>
        <v>novembro</v>
      </c>
      <c r="I6152" t="str">
        <f>TEXT(MONTH(Tabela1[[#This Row],[Último pagto ano]])*29,"mmmm")</f>
        <v>novembro</v>
      </c>
    </row>
    <row r="6153" spans="1:9" x14ac:dyDescent="0.25">
      <c r="A6153">
        <v>2025</v>
      </c>
      <c r="B6153" t="s">
        <v>12252</v>
      </c>
      <c r="C6153" s="1">
        <v>45855</v>
      </c>
      <c r="D6153" t="s">
        <v>12253</v>
      </c>
      <c r="E6153" s="2">
        <v>33439.85</v>
      </c>
      <c r="G6153" s="3">
        <f>MONTH(Tabela1[[#This Row],[Último pagto ano]])</f>
        <v>7</v>
      </c>
      <c r="H6153" t="str">
        <f>TEXT(Tabela1[[#This Row],[Coluna2]]*29,"mmmm")</f>
        <v>julho</v>
      </c>
      <c r="I6153" t="str">
        <f>TEXT(MONTH(Tabela1[[#This Row],[Último pagto ano]])*29,"mmmm")</f>
        <v>julho</v>
      </c>
    </row>
    <row r="6154" spans="1:9" x14ac:dyDescent="0.25">
      <c r="A6154">
        <v>2025</v>
      </c>
      <c r="B6154" t="s">
        <v>12254</v>
      </c>
      <c r="C6154" s="1">
        <v>46006</v>
      </c>
      <c r="D6154" t="s">
        <v>12255</v>
      </c>
      <c r="E6154" s="2">
        <v>16868.34</v>
      </c>
      <c r="G6154" s="3">
        <f>MONTH(Tabela1[[#This Row],[Último pagto ano]])</f>
        <v>12</v>
      </c>
      <c r="H6154" t="str">
        <f>TEXT(Tabela1[[#This Row],[Coluna2]]*29,"mmmm")</f>
        <v>dezembro</v>
      </c>
      <c r="I6154" t="str">
        <f>TEXT(MONTH(Tabela1[[#This Row],[Último pagto ano]])*29,"mmmm")</f>
        <v>dezembro</v>
      </c>
    </row>
    <row r="6155" spans="1:9" x14ac:dyDescent="0.25">
      <c r="A6155">
        <v>2025</v>
      </c>
      <c r="B6155" t="s">
        <v>12256</v>
      </c>
      <c r="C6155" s="1">
        <v>46014</v>
      </c>
      <c r="D6155" t="s">
        <v>12257</v>
      </c>
      <c r="E6155" s="2">
        <v>4510</v>
      </c>
      <c r="G6155" s="3">
        <f>MONTH(Tabela1[[#This Row],[Último pagto ano]])</f>
        <v>12</v>
      </c>
      <c r="H6155" t="str">
        <f>TEXT(Tabela1[[#This Row],[Coluna2]]*29,"mmmm")</f>
        <v>dezembro</v>
      </c>
      <c r="I6155" t="str">
        <f>TEXT(MONTH(Tabela1[[#This Row],[Último pagto ano]])*29,"mmmm")</f>
        <v>dezembro</v>
      </c>
    </row>
    <row r="6156" spans="1:9" x14ac:dyDescent="0.25">
      <c r="A6156">
        <v>2025</v>
      </c>
      <c r="B6156" t="s">
        <v>12258</v>
      </c>
      <c r="C6156" s="1">
        <v>46002</v>
      </c>
      <c r="D6156" t="s">
        <v>12259</v>
      </c>
      <c r="E6156" s="2">
        <v>182863.6</v>
      </c>
      <c r="G6156" s="3">
        <f>MONTH(Tabela1[[#This Row],[Último pagto ano]])</f>
        <v>12</v>
      </c>
      <c r="H6156" t="str">
        <f>TEXT(Tabela1[[#This Row],[Coluna2]]*29,"mmmm")</f>
        <v>dezembro</v>
      </c>
      <c r="I6156" t="str">
        <f>TEXT(MONTH(Tabela1[[#This Row],[Último pagto ano]])*29,"mmmm")</f>
        <v>dezembro</v>
      </c>
    </row>
    <row r="6157" spans="1:9" x14ac:dyDescent="0.25">
      <c r="A6157">
        <v>2025</v>
      </c>
      <c r="B6157" t="s">
        <v>12260</v>
      </c>
      <c r="C6157" s="1">
        <v>45698</v>
      </c>
      <c r="D6157" t="s">
        <v>12261</v>
      </c>
      <c r="E6157" s="2">
        <v>14562.31</v>
      </c>
      <c r="G6157" s="3">
        <f>MONTH(Tabela1[[#This Row],[Último pagto ano]])</f>
        <v>2</v>
      </c>
      <c r="H6157" t="str">
        <f>TEXT(Tabela1[[#This Row],[Coluna2]]*29,"mmmm")</f>
        <v>fevereiro</v>
      </c>
      <c r="I6157" t="str">
        <f>TEXT(MONTH(Tabela1[[#This Row],[Último pagto ano]])*29,"mmmm")</f>
        <v>fevereiro</v>
      </c>
    </row>
    <row r="6158" spans="1:9" x14ac:dyDescent="0.25">
      <c r="A6158">
        <v>2025</v>
      </c>
      <c r="B6158" t="s">
        <v>12262</v>
      </c>
      <c r="C6158" s="1">
        <v>46014</v>
      </c>
      <c r="D6158" t="s">
        <v>12263</v>
      </c>
      <c r="E6158" s="2">
        <v>3603286.36</v>
      </c>
      <c r="G6158" s="3">
        <f>MONTH(Tabela1[[#This Row],[Último pagto ano]])</f>
        <v>12</v>
      </c>
      <c r="H6158" t="str">
        <f>TEXT(Tabela1[[#This Row],[Coluna2]]*29,"mmmm")</f>
        <v>dezembro</v>
      </c>
      <c r="I6158" t="str">
        <f>TEXT(MONTH(Tabela1[[#This Row],[Último pagto ano]])*29,"mmmm")</f>
        <v>dezembro</v>
      </c>
    </row>
    <row r="6159" spans="1:9" x14ac:dyDescent="0.25">
      <c r="A6159">
        <v>2025</v>
      </c>
      <c r="B6159" t="s">
        <v>12264</v>
      </c>
      <c r="C6159" s="1">
        <v>46009</v>
      </c>
      <c r="D6159" t="s">
        <v>12265</v>
      </c>
      <c r="E6159" s="2">
        <v>20100.8</v>
      </c>
      <c r="G6159" s="3">
        <f>MONTH(Tabela1[[#This Row],[Último pagto ano]])</f>
        <v>12</v>
      </c>
      <c r="H6159" t="str">
        <f>TEXT(Tabela1[[#This Row],[Coluna2]]*29,"mmmm")</f>
        <v>dezembro</v>
      </c>
      <c r="I6159" t="str">
        <f>TEXT(MONTH(Tabela1[[#This Row],[Último pagto ano]])*29,"mmmm")</f>
        <v>dezembro</v>
      </c>
    </row>
    <row r="6160" spans="1:9" x14ac:dyDescent="0.25">
      <c r="A6160">
        <v>2025</v>
      </c>
      <c r="B6160" t="s">
        <v>12266</v>
      </c>
      <c r="C6160" s="1">
        <v>46014</v>
      </c>
      <c r="D6160" t="s">
        <v>12267</v>
      </c>
      <c r="E6160" s="2">
        <v>60476.07</v>
      </c>
      <c r="G6160" s="3">
        <f>MONTH(Tabela1[[#This Row],[Último pagto ano]])</f>
        <v>12</v>
      </c>
      <c r="H6160" t="str">
        <f>TEXT(Tabela1[[#This Row],[Coluna2]]*29,"mmmm")</f>
        <v>dezembro</v>
      </c>
      <c r="I6160" t="str">
        <f>TEXT(MONTH(Tabela1[[#This Row],[Último pagto ano]])*29,"mmmm")</f>
        <v>dezembro</v>
      </c>
    </row>
    <row r="6161" spans="1:9" x14ac:dyDescent="0.25">
      <c r="A6161">
        <v>2025</v>
      </c>
      <c r="B6161" t="s">
        <v>12268</v>
      </c>
      <c r="C6161" s="1">
        <v>46014</v>
      </c>
      <c r="D6161" t="s">
        <v>12269</v>
      </c>
      <c r="E6161" s="2">
        <v>26868</v>
      </c>
      <c r="G6161" s="3">
        <f>MONTH(Tabela1[[#This Row],[Último pagto ano]])</f>
        <v>12</v>
      </c>
      <c r="H6161" t="str">
        <f>TEXT(Tabela1[[#This Row],[Coluna2]]*29,"mmmm")</f>
        <v>dezembro</v>
      </c>
      <c r="I6161" t="str">
        <f>TEXT(MONTH(Tabela1[[#This Row],[Último pagto ano]])*29,"mmmm")</f>
        <v>dezembro</v>
      </c>
    </row>
    <row r="6162" spans="1:9" x14ac:dyDescent="0.25">
      <c r="A6162">
        <v>2025</v>
      </c>
      <c r="B6162" t="s">
        <v>12270</v>
      </c>
      <c r="C6162" s="1">
        <v>45695</v>
      </c>
      <c r="D6162" t="s">
        <v>12271</v>
      </c>
      <c r="E6162" s="2">
        <v>5648</v>
      </c>
      <c r="G6162" s="3">
        <f>MONTH(Tabela1[[#This Row],[Último pagto ano]])</f>
        <v>2</v>
      </c>
      <c r="H6162" t="str">
        <f>TEXT(Tabela1[[#This Row],[Coluna2]]*29,"mmmm")</f>
        <v>fevereiro</v>
      </c>
      <c r="I6162" t="str">
        <f>TEXT(MONTH(Tabela1[[#This Row],[Último pagto ano]])*29,"mmmm")</f>
        <v>fevereiro</v>
      </c>
    </row>
    <row r="6163" spans="1:9" x14ac:dyDescent="0.25">
      <c r="A6163">
        <v>2025</v>
      </c>
      <c r="B6163" t="s">
        <v>12272</v>
      </c>
      <c r="C6163" s="1">
        <v>45989</v>
      </c>
      <c r="D6163" t="s">
        <v>12273</v>
      </c>
      <c r="E6163" s="2">
        <v>430014</v>
      </c>
      <c r="G6163" s="3">
        <f>MONTH(Tabela1[[#This Row],[Último pagto ano]])</f>
        <v>11</v>
      </c>
      <c r="H6163" t="str">
        <f>TEXT(Tabela1[[#This Row],[Coluna2]]*29,"mmmm")</f>
        <v>novembro</v>
      </c>
      <c r="I6163" t="str">
        <f>TEXT(MONTH(Tabela1[[#This Row],[Último pagto ano]])*29,"mmmm")</f>
        <v>novembro</v>
      </c>
    </row>
    <row r="6164" spans="1:9" x14ac:dyDescent="0.25">
      <c r="A6164">
        <v>2025</v>
      </c>
      <c r="B6164" t="s">
        <v>12274</v>
      </c>
      <c r="C6164" s="1">
        <v>46014</v>
      </c>
      <c r="D6164" t="s">
        <v>12275</v>
      </c>
      <c r="E6164" s="2">
        <v>60245.760000000002</v>
      </c>
      <c r="G6164" s="3">
        <f>MONTH(Tabela1[[#This Row],[Último pagto ano]])</f>
        <v>12</v>
      </c>
      <c r="H6164" t="str">
        <f>TEXT(Tabela1[[#This Row],[Coluna2]]*29,"mmmm")</f>
        <v>dezembro</v>
      </c>
      <c r="I6164" t="str">
        <f>TEXT(MONTH(Tabela1[[#This Row],[Último pagto ano]])*29,"mmmm")</f>
        <v>dezembro</v>
      </c>
    </row>
    <row r="6165" spans="1:9" x14ac:dyDescent="0.25">
      <c r="A6165">
        <v>2025</v>
      </c>
      <c r="B6165" t="s">
        <v>12276</v>
      </c>
      <c r="C6165" s="1">
        <v>45988</v>
      </c>
      <c r="D6165" t="s">
        <v>12277</v>
      </c>
      <c r="E6165">
        <v>23.53</v>
      </c>
      <c r="G6165" s="3">
        <f>MONTH(Tabela1[[#This Row],[Último pagto ano]])</f>
        <v>11</v>
      </c>
      <c r="H6165" t="str">
        <f>TEXT(Tabela1[[#This Row],[Coluna2]]*29,"mmmm")</f>
        <v>novembro</v>
      </c>
      <c r="I6165" t="str">
        <f>TEXT(MONTH(Tabela1[[#This Row],[Último pagto ano]])*29,"mmmm")</f>
        <v>novembro</v>
      </c>
    </row>
    <row r="6166" spans="1:9" x14ac:dyDescent="0.25">
      <c r="A6166">
        <v>2025</v>
      </c>
      <c r="B6166" t="s">
        <v>12278</v>
      </c>
      <c r="C6166" s="1">
        <v>45971</v>
      </c>
      <c r="D6166" t="s">
        <v>12279</v>
      </c>
      <c r="E6166" s="2">
        <v>14507.4</v>
      </c>
      <c r="G6166" s="3">
        <f>MONTH(Tabela1[[#This Row],[Último pagto ano]])</f>
        <v>11</v>
      </c>
      <c r="H6166" t="str">
        <f>TEXT(Tabela1[[#This Row],[Coluna2]]*29,"mmmm")</f>
        <v>novembro</v>
      </c>
      <c r="I6166" t="str">
        <f>TEXT(MONTH(Tabela1[[#This Row],[Último pagto ano]])*29,"mmmm")</f>
        <v>novembro</v>
      </c>
    </row>
    <row r="6167" spans="1:9" x14ac:dyDescent="0.25">
      <c r="A6167">
        <v>2025</v>
      </c>
      <c r="B6167" t="s">
        <v>12280</v>
      </c>
      <c r="C6167" s="1">
        <v>45782</v>
      </c>
      <c r="D6167" t="s">
        <v>12281</v>
      </c>
      <c r="E6167" s="2">
        <v>22956</v>
      </c>
      <c r="G6167" s="3">
        <f>MONTH(Tabela1[[#This Row],[Último pagto ano]])</f>
        <v>5</v>
      </c>
      <c r="H6167" t="str">
        <f>TEXT(Tabela1[[#This Row],[Coluna2]]*29,"mmmm")</f>
        <v>maio</v>
      </c>
      <c r="I6167" t="str">
        <f>TEXT(MONTH(Tabela1[[#This Row],[Último pagto ano]])*29,"mmmm")</f>
        <v>maio</v>
      </c>
    </row>
    <row r="6168" spans="1:9" x14ac:dyDescent="0.25">
      <c r="A6168">
        <v>2025</v>
      </c>
      <c r="B6168" t="s">
        <v>12282</v>
      </c>
      <c r="C6168" s="1">
        <v>46003</v>
      </c>
      <c r="D6168" t="s">
        <v>12283</v>
      </c>
      <c r="E6168" s="2">
        <v>1712.76</v>
      </c>
      <c r="G6168" s="3">
        <f>MONTH(Tabela1[[#This Row],[Último pagto ano]])</f>
        <v>12</v>
      </c>
      <c r="H6168" t="str">
        <f>TEXT(Tabela1[[#This Row],[Coluna2]]*29,"mmmm")</f>
        <v>dezembro</v>
      </c>
      <c r="I6168" t="str">
        <f>TEXT(MONTH(Tabela1[[#This Row],[Último pagto ano]])*29,"mmmm")</f>
        <v>dezembro</v>
      </c>
    </row>
    <row r="6169" spans="1:9" x14ac:dyDescent="0.25">
      <c r="A6169">
        <v>2025</v>
      </c>
      <c r="B6169" t="s">
        <v>12284</v>
      </c>
      <c r="C6169" s="1">
        <v>45903</v>
      </c>
      <c r="D6169" t="s">
        <v>12285</v>
      </c>
      <c r="E6169" s="2">
        <v>1759.2</v>
      </c>
      <c r="G6169" s="3">
        <f>MONTH(Tabela1[[#This Row],[Último pagto ano]])</f>
        <v>9</v>
      </c>
      <c r="H6169" t="str">
        <f>TEXT(Tabela1[[#This Row],[Coluna2]]*29,"mmmm")</f>
        <v>setembro</v>
      </c>
      <c r="I6169" t="str">
        <f>TEXT(MONTH(Tabela1[[#This Row],[Último pagto ano]])*29,"mmmm")</f>
        <v>setembro</v>
      </c>
    </row>
    <row r="6170" spans="1:9" x14ac:dyDescent="0.25">
      <c r="A6170">
        <v>2025</v>
      </c>
      <c r="B6170" t="s">
        <v>12286</v>
      </c>
      <c r="C6170" s="1">
        <v>46006</v>
      </c>
      <c r="D6170" t="s">
        <v>12287</v>
      </c>
      <c r="E6170" s="2">
        <v>216904.2</v>
      </c>
      <c r="G6170" s="3">
        <f>MONTH(Tabela1[[#This Row],[Último pagto ano]])</f>
        <v>12</v>
      </c>
      <c r="H6170" t="str">
        <f>TEXT(Tabela1[[#This Row],[Coluna2]]*29,"mmmm")</f>
        <v>dezembro</v>
      </c>
      <c r="I6170" t="str">
        <f>TEXT(MONTH(Tabela1[[#This Row],[Último pagto ano]])*29,"mmmm")</f>
        <v>dezembro</v>
      </c>
    </row>
    <row r="6171" spans="1:9" x14ac:dyDescent="0.25">
      <c r="A6171">
        <v>2025</v>
      </c>
      <c r="B6171" t="s">
        <v>12288</v>
      </c>
      <c r="C6171" s="1">
        <v>45803</v>
      </c>
      <c r="D6171" t="s">
        <v>12289</v>
      </c>
      <c r="E6171">
        <v>44</v>
      </c>
      <c r="G6171" s="3">
        <f>MONTH(Tabela1[[#This Row],[Último pagto ano]])</f>
        <v>5</v>
      </c>
      <c r="H6171" t="str">
        <f>TEXT(Tabela1[[#This Row],[Coluna2]]*29,"mmmm")</f>
        <v>maio</v>
      </c>
      <c r="I6171" t="str">
        <f>TEXT(MONTH(Tabela1[[#This Row],[Último pagto ano]])*29,"mmmm")</f>
        <v>maio</v>
      </c>
    </row>
    <row r="6172" spans="1:9" x14ac:dyDescent="0.25">
      <c r="A6172">
        <v>2025</v>
      </c>
      <c r="B6172" t="s">
        <v>12290</v>
      </c>
      <c r="C6172" s="1">
        <v>45989</v>
      </c>
      <c r="D6172" t="s">
        <v>12291</v>
      </c>
      <c r="E6172" s="2">
        <v>11776.65</v>
      </c>
      <c r="G6172" s="3">
        <f>MONTH(Tabela1[[#This Row],[Último pagto ano]])</f>
        <v>11</v>
      </c>
      <c r="H6172" t="str">
        <f>TEXT(Tabela1[[#This Row],[Coluna2]]*29,"mmmm")</f>
        <v>novembro</v>
      </c>
      <c r="I6172" t="str">
        <f>TEXT(MONTH(Tabela1[[#This Row],[Último pagto ano]])*29,"mmmm")</f>
        <v>novembro</v>
      </c>
    </row>
    <row r="6173" spans="1:9" x14ac:dyDescent="0.25">
      <c r="A6173">
        <v>2025</v>
      </c>
      <c r="B6173" t="s">
        <v>12292</v>
      </c>
      <c r="C6173" s="1">
        <v>45985</v>
      </c>
      <c r="D6173" t="s">
        <v>12293</v>
      </c>
      <c r="E6173" s="2">
        <v>3192.8</v>
      </c>
      <c r="G6173" s="3">
        <f>MONTH(Tabela1[[#This Row],[Último pagto ano]])</f>
        <v>11</v>
      </c>
      <c r="H6173" t="str">
        <f>TEXT(Tabela1[[#This Row],[Coluna2]]*29,"mmmm")</f>
        <v>novembro</v>
      </c>
      <c r="I6173" t="str">
        <f>TEXT(MONTH(Tabela1[[#This Row],[Último pagto ano]])*29,"mmmm")</f>
        <v>novembro</v>
      </c>
    </row>
    <row r="6174" spans="1:9" x14ac:dyDescent="0.25">
      <c r="A6174">
        <v>2025</v>
      </c>
      <c r="B6174" t="s">
        <v>12294</v>
      </c>
      <c r="C6174" s="1">
        <v>46003</v>
      </c>
      <c r="D6174" t="s">
        <v>12295</v>
      </c>
      <c r="E6174" s="2">
        <v>27296.240000000002</v>
      </c>
      <c r="G6174" s="3">
        <f>MONTH(Tabela1[[#This Row],[Último pagto ano]])</f>
        <v>12</v>
      </c>
      <c r="H6174" t="str">
        <f>TEXT(Tabela1[[#This Row],[Coluna2]]*29,"mmmm")</f>
        <v>dezembro</v>
      </c>
      <c r="I6174" t="str">
        <f>TEXT(MONTH(Tabela1[[#This Row],[Último pagto ano]])*29,"mmmm")</f>
        <v>dezembro</v>
      </c>
    </row>
    <row r="6175" spans="1:9" x14ac:dyDescent="0.25">
      <c r="A6175">
        <v>2025</v>
      </c>
      <c r="B6175" t="s">
        <v>12296</v>
      </c>
      <c r="C6175" s="1">
        <v>46010</v>
      </c>
      <c r="D6175" t="s">
        <v>12297</v>
      </c>
      <c r="E6175" s="2">
        <v>24000</v>
      </c>
      <c r="G6175" s="3">
        <f>MONTH(Tabela1[[#This Row],[Último pagto ano]])</f>
        <v>12</v>
      </c>
      <c r="H6175" t="str">
        <f>TEXT(Tabela1[[#This Row],[Coluna2]]*29,"mmmm")</f>
        <v>dezembro</v>
      </c>
      <c r="I6175" t="str">
        <f>TEXT(MONTH(Tabela1[[#This Row],[Último pagto ano]])*29,"mmmm")</f>
        <v>dezembro</v>
      </c>
    </row>
    <row r="6176" spans="1:9" x14ac:dyDescent="0.25">
      <c r="A6176">
        <v>2025</v>
      </c>
      <c r="B6176" t="s">
        <v>12298</v>
      </c>
      <c r="C6176" s="1">
        <v>45960</v>
      </c>
      <c r="D6176" t="s">
        <v>12299</v>
      </c>
      <c r="E6176" s="2">
        <v>9109.01</v>
      </c>
      <c r="G6176" s="3">
        <f>MONTH(Tabela1[[#This Row],[Último pagto ano]])</f>
        <v>10</v>
      </c>
      <c r="H6176" t="str">
        <f>TEXT(Tabela1[[#This Row],[Coluna2]]*29,"mmmm")</f>
        <v>outubro</v>
      </c>
      <c r="I6176" t="str">
        <f>TEXT(MONTH(Tabela1[[#This Row],[Último pagto ano]])*29,"mmmm")</f>
        <v>outubro</v>
      </c>
    </row>
    <row r="6177" spans="1:9" x14ac:dyDescent="0.25">
      <c r="A6177">
        <v>2025</v>
      </c>
      <c r="B6177" t="s">
        <v>12300</v>
      </c>
      <c r="C6177" s="1">
        <v>45853</v>
      </c>
      <c r="D6177" t="s">
        <v>12301</v>
      </c>
      <c r="E6177" s="2">
        <v>3553.92</v>
      </c>
      <c r="G6177" s="3">
        <f>MONTH(Tabela1[[#This Row],[Último pagto ano]])</f>
        <v>7</v>
      </c>
      <c r="H6177" t="str">
        <f>TEXT(Tabela1[[#This Row],[Coluna2]]*29,"mmmm")</f>
        <v>julho</v>
      </c>
      <c r="I6177" t="str">
        <f>TEXT(MONTH(Tabela1[[#This Row],[Último pagto ano]])*29,"mmmm")</f>
        <v>julho</v>
      </c>
    </row>
    <row r="6178" spans="1:9" x14ac:dyDescent="0.25">
      <c r="A6178">
        <v>2025</v>
      </c>
      <c r="B6178" t="s">
        <v>12302</v>
      </c>
      <c r="C6178" s="1">
        <v>45996</v>
      </c>
      <c r="D6178" t="s">
        <v>12303</v>
      </c>
      <c r="E6178" s="2">
        <v>18100</v>
      </c>
      <c r="G6178" s="3">
        <f>MONTH(Tabela1[[#This Row],[Último pagto ano]])</f>
        <v>12</v>
      </c>
      <c r="H6178" t="str">
        <f>TEXT(Tabela1[[#This Row],[Coluna2]]*29,"mmmm")</f>
        <v>dezembro</v>
      </c>
      <c r="I6178" t="str">
        <f>TEXT(MONTH(Tabela1[[#This Row],[Último pagto ano]])*29,"mmmm")</f>
        <v>dezembro</v>
      </c>
    </row>
    <row r="6179" spans="1:9" x14ac:dyDescent="0.25">
      <c r="A6179">
        <v>2025</v>
      </c>
      <c r="B6179" t="s">
        <v>12304</v>
      </c>
      <c r="C6179" s="1">
        <v>45702</v>
      </c>
      <c r="D6179" t="s">
        <v>12305</v>
      </c>
      <c r="E6179">
        <v>176.48</v>
      </c>
      <c r="G6179" s="3">
        <f>MONTH(Tabela1[[#This Row],[Último pagto ano]])</f>
        <v>2</v>
      </c>
      <c r="H6179" t="str">
        <f>TEXT(Tabela1[[#This Row],[Coluna2]]*29,"mmmm")</f>
        <v>fevereiro</v>
      </c>
      <c r="I6179" t="str">
        <f>TEXT(MONTH(Tabela1[[#This Row],[Último pagto ano]])*29,"mmmm")</f>
        <v>fevereiro</v>
      </c>
    </row>
    <row r="6180" spans="1:9" x14ac:dyDescent="0.25">
      <c r="A6180">
        <v>2025</v>
      </c>
      <c r="B6180" t="s">
        <v>12304</v>
      </c>
      <c r="C6180" s="1">
        <v>45929</v>
      </c>
      <c r="D6180" t="s">
        <v>12305</v>
      </c>
      <c r="E6180">
        <v>44</v>
      </c>
      <c r="G6180" s="3">
        <f>MONTH(Tabela1[[#This Row],[Último pagto ano]])</f>
        <v>9</v>
      </c>
      <c r="H6180" t="str">
        <f>TEXT(Tabela1[[#This Row],[Coluna2]]*29,"mmmm")</f>
        <v>setembro</v>
      </c>
      <c r="I6180" t="str">
        <f>TEXT(MONTH(Tabela1[[#This Row],[Último pagto ano]])*29,"mmmm")</f>
        <v>setembro</v>
      </c>
    </row>
    <row r="6181" spans="1:9" x14ac:dyDescent="0.25">
      <c r="A6181">
        <v>2025</v>
      </c>
      <c r="B6181" t="s">
        <v>12306</v>
      </c>
      <c r="C6181" s="1">
        <v>45733</v>
      </c>
      <c r="D6181" t="s">
        <v>12307</v>
      </c>
      <c r="E6181" s="2">
        <v>2450</v>
      </c>
      <c r="G6181" s="3">
        <f>MONTH(Tabela1[[#This Row],[Último pagto ano]])</f>
        <v>3</v>
      </c>
      <c r="H6181" t="str">
        <f>TEXT(Tabela1[[#This Row],[Coluna2]]*29,"mmmm")</f>
        <v>março</v>
      </c>
      <c r="I6181" t="str">
        <f>TEXT(MONTH(Tabela1[[#This Row],[Último pagto ano]])*29,"mmmm")</f>
        <v>março</v>
      </c>
    </row>
    <row r="6182" spans="1:9" x14ac:dyDescent="0.25">
      <c r="A6182">
        <v>2025</v>
      </c>
      <c r="B6182" t="s">
        <v>12308</v>
      </c>
      <c r="C6182" s="1">
        <v>45782</v>
      </c>
      <c r="D6182" t="s">
        <v>12309</v>
      </c>
      <c r="E6182" s="2">
        <v>13095</v>
      </c>
      <c r="G6182" s="3">
        <f>MONTH(Tabela1[[#This Row],[Último pagto ano]])</f>
        <v>5</v>
      </c>
      <c r="H6182" t="str">
        <f>TEXT(Tabela1[[#This Row],[Coluna2]]*29,"mmmm")</f>
        <v>maio</v>
      </c>
      <c r="I6182" t="str">
        <f>TEXT(MONTH(Tabela1[[#This Row],[Último pagto ano]])*29,"mmmm")</f>
        <v>maio</v>
      </c>
    </row>
    <row r="6183" spans="1:9" x14ac:dyDescent="0.25">
      <c r="A6183">
        <v>2025</v>
      </c>
      <c r="B6183" t="s">
        <v>12310</v>
      </c>
      <c r="C6183" s="1">
        <v>45922</v>
      </c>
      <c r="D6183" t="s">
        <v>12311</v>
      </c>
      <c r="E6183" s="2">
        <v>2836.7</v>
      </c>
      <c r="G6183" s="3">
        <f>MONTH(Tabela1[[#This Row],[Último pagto ano]])</f>
        <v>9</v>
      </c>
      <c r="H6183" t="str">
        <f>TEXT(Tabela1[[#This Row],[Coluna2]]*29,"mmmm")</f>
        <v>setembro</v>
      </c>
      <c r="I6183" t="str">
        <f>TEXT(MONTH(Tabela1[[#This Row],[Último pagto ano]])*29,"mmmm")</f>
        <v>setembro</v>
      </c>
    </row>
    <row r="6184" spans="1:9" x14ac:dyDescent="0.25">
      <c r="A6184">
        <v>2025</v>
      </c>
      <c r="B6184" t="s">
        <v>12312</v>
      </c>
      <c r="C6184" s="1">
        <v>45859</v>
      </c>
      <c r="D6184" t="s">
        <v>12313</v>
      </c>
      <c r="E6184">
        <v>55</v>
      </c>
      <c r="G6184" s="3">
        <f>MONTH(Tabela1[[#This Row],[Último pagto ano]])</f>
        <v>7</v>
      </c>
      <c r="H6184" t="str">
        <f>TEXT(Tabela1[[#This Row],[Coluna2]]*29,"mmmm")</f>
        <v>julho</v>
      </c>
      <c r="I6184" t="str">
        <f>TEXT(MONTH(Tabela1[[#This Row],[Último pagto ano]])*29,"mmmm")</f>
        <v>julho</v>
      </c>
    </row>
    <row r="6185" spans="1:9" x14ac:dyDescent="0.25">
      <c r="A6185">
        <v>2025</v>
      </c>
      <c r="B6185" t="s">
        <v>12314</v>
      </c>
      <c r="C6185" s="1">
        <v>45945</v>
      </c>
      <c r="D6185" t="s">
        <v>12315</v>
      </c>
      <c r="E6185" s="2">
        <v>2944.72</v>
      </c>
      <c r="G6185" s="3">
        <f>MONTH(Tabela1[[#This Row],[Último pagto ano]])</f>
        <v>10</v>
      </c>
      <c r="H6185" t="str">
        <f>TEXT(Tabela1[[#This Row],[Coluna2]]*29,"mmmm")</f>
        <v>outubro</v>
      </c>
      <c r="I6185" t="str">
        <f>TEXT(MONTH(Tabela1[[#This Row],[Último pagto ano]])*29,"mmmm")</f>
        <v>outubro</v>
      </c>
    </row>
    <row r="6186" spans="1:9" x14ac:dyDescent="0.25">
      <c r="A6186">
        <v>2025</v>
      </c>
      <c r="B6186" t="s">
        <v>12316</v>
      </c>
      <c r="C6186" s="1">
        <v>45992</v>
      </c>
      <c r="D6186" t="s">
        <v>12317</v>
      </c>
      <c r="E6186">
        <v>4.5599999999999996</v>
      </c>
      <c r="G6186" s="3">
        <f>MONTH(Tabela1[[#This Row],[Último pagto ano]])</f>
        <v>12</v>
      </c>
      <c r="H6186" t="str">
        <f>TEXT(Tabela1[[#This Row],[Coluna2]]*29,"mmmm")</f>
        <v>dezembro</v>
      </c>
      <c r="I6186" t="str">
        <f>TEXT(MONTH(Tabela1[[#This Row],[Último pagto ano]])*29,"mmmm")</f>
        <v>dezembro</v>
      </c>
    </row>
    <row r="6187" spans="1:9" x14ac:dyDescent="0.25">
      <c r="A6187">
        <v>2025</v>
      </c>
      <c r="B6187" t="s">
        <v>12318</v>
      </c>
      <c r="C6187" s="1">
        <v>46006</v>
      </c>
      <c r="D6187" t="s">
        <v>12319</v>
      </c>
      <c r="E6187" s="2">
        <v>9733.44</v>
      </c>
      <c r="G6187" s="3">
        <f>MONTH(Tabela1[[#This Row],[Último pagto ano]])</f>
        <v>12</v>
      </c>
      <c r="H6187" t="str">
        <f>TEXT(Tabela1[[#This Row],[Coluna2]]*29,"mmmm")</f>
        <v>dezembro</v>
      </c>
      <c r="I6187" t="str">
        <f>TEXT(MONTH(Tabela1[[#This Row],[Último pagto ano]])*29,"mmmm")</f>
        <v>dezembro</v>
      </c>
    </row>
    <row r="6188" spans="1:9" x14ac:dyDescent="0.25">
      <c r="A6188">
        <v>2025</v>
      </c>
      <c r="B6188" t="s">
        <v>12320</v>
      </c>
      <c r="C6188" s="1">
        <v>46014</v>
      </c>
      <c r="D6188" t="s">
        <v>12321</v>
      </c>
      <c r="E6188" s="2">
        <v>3055757.54</v>
      </c>
      <c r="G6188" s="3">
        <f>MONTH(Tabela1[[#This Row],[Último pagto ano]])</f>
        <v>12</v>
      </c>
      <c r="H6188" t="str">
        <f>TEXT(Tabela1[[#This Row],[Coluna2]]*29,"mmmm")</f>
        <v>dezembro</v>
      </c>
      <c r="I6188" t="str">
        <f>TEXT(MONTH(Tabela1[[#This Row],[Último pagto ano]])*29,"mmmm")</f>
        <v>dezembro</v>
      </c>
    </row>
    <row r="6189" spans="1:9" x14ac:dyDescent="0.25">
      <c r="A6189">
        <v>2025</v>
      </c>
      <c r="B6189" t="s">
        <v>12322</v>
      </c>
      <c r="C6189" s="1">
        <v>45994</v>
      </c>
      <c r="D6189" t="s">
        <v>12323</v>
      </c>
      <c r="E6189" s="2">
        <v>12658.72</v>
      </c>
      <c r="G6189" s="3">
        <f>MONTH(Tabela1[[#This Row],[Último pagto ano]])</f>
        <v>12</v>
      </c>
      <c r="H6189" t="str">
        <f>TEXT(Tabela1[[#This Row],[Coluna2]]*29,"mmmm")</f>
        <v>dezembro</v>
      </c>
      <c r="I6189" t="str">
        <f>TEXT(MONTH(Tabela1[[#This Row],[Último pagto ano]])*29,"mmmm")</f>
        <v>dezembro</v>
      </c>
    </row>
    <row r="6190" spans="1:9" x14ac:dyDescent="0.25">
      <c r="A6190">
        <v>2025</v>
      </c>
      <c r="B6190" t="s">
        <v>12324</v>
      </c>
      <c r="C6190" s="1">
        <v>45988</v>
      </c>
      <c r="D6190" t="s">
        <v>12325</v>
      </c>
      <c r="E6190" s="2">
        <v>2708.83</v>
      </c>
      <c r="G6190" s="3">
        <f>MONTH(Tabela1[[#This Row],[Último pagto ano]])</f>
        <v>11</v>
      </c>
      <c r="H6190" t="str">
        <f>TEXT(Tabela1[[#This Row],[Coluna2]]*29,"mmmm")</f>
        <v>novembro</v>
      </c>
      <c r="I6190" t="str">
        <f>TEXT(MONTH(Tabela1[[#This Row],[Último pagto ano]])*29,"mmmm")</f>
        <v>novembro</v>
      </c>
    </row>
    <row r="6191" spans="1:9" x14ac:dyDescent="0.25">
      <c r="A6191">
        <v>2025</v>
      </c>
      <c r="B6191" t="s">
        <v>12326</v>
      </c>
      <c r="C6191" s="1">
        <v>45726</v>
      </c>
      <c r="D6191" t="s">
        <v>12327</v>
      </c>
      <c r="E6191" s="2">
        <v>1796.8</v>
      </c>
      <c r="G6191" s="3">
        <f>MONTH(Tabela1[[#This Row],[Último pagto ano]])</f>
        <v>3</v>
      </c>
      <c r="H6191" t="str">
        <f>TEXT(Tabela1[[#This Row],[Coluna2]]*29,"mmmm")</f>
        <v>março</v>
      </c>
      <c r="I6191" t="str">
        <f>TEXT(MONTH(Tabela1[[#This Row],[Último pagto ano]])*29,"mmmm")</f>
        <v>março</v>
      </c>
    </row>
    <row r="6192" spans="1:9" x14ac:dyDescent="0.25">
      <c r="A6192">
        <v>2025</v>
      </c>
      <c r="B6192" t="s">
        <v>12328</v>
      </c>
      <c r="C6192" s="1">
        <v>45898</v>
      </c>
      <c r="D6192" t="s">
        <v>12329</v>
      </c>
      <c r="E6192" s="2">
        <v>9284</v>
      </c>
      <c r="G6192" s="3">
        <f>MONTH(Tabela1[[#This Row],[Último pagto ano]])</f>
        <v>8</v>
      </c>
      <c r="H6192" t="str">
        <f>TEXT(Tabela1[[#This Row],[Coluna2]]*29,"mmmm")</f>
        <v>agosto</v>
      </c>
      <c r="I6192" t="str">
        <f>TEXT(MONTH(Tabela1[[#This Row],[Último pagto ano]])*29,"mmmm")</f>
        <v>agosto</v>
      </c>
    </row>
    <row r="6193" spans="1:9" x14ac:dyDescent="0.25">
      <c r="A6193">
        <v>2025</v>
      </c>
      <c r="B6193" t="s">
        <v>12330</v>
      </c>
      <c r="C6193" s="1">
        <v>45971</v>
      </c>
      <c r="D6193" t="s">
        <v>12331</v>
      </c>
      <c r="E6193" s="2">
        <v>5010</v>
      </c>
      <c r="G6193" s="3">
        <f>MONTH(Tabela1[[#This Row],[Último pagto ano]])</f>
        <v>11</v>
      </c>
      <c r="H6193" t="str">
        <f>TEXT(Tabela1[[#This Row],[Coluna2]]*29,"mmmm")</f>
        <v>novembro</v>
      </c>
      <c r="I6193" t="str">
        <f>TEXT(MONTH(Tabela1[[#This Row],[Último pagto ano]])*29,"mmmm")</f>
        <v>novembro</v>
      </c>
    </row>
    <row r="6194" spans="1:9" x14ac:dyDescent="0.25">
      <c r="A6194">
        <v>2025</v>
      </c>
      <c r="B6194" t="s">
        <v>12332</v>
      </c>
      <c r="C6194" s="1">
        <v>45995</v>
      </c>
      <c r="D6194" t="s">
        <v>12333</v>
      </c>
      <c r="E6194" s="2">
        <v>63643.32</v>
      </c>
      <c r="G6194" s="3">
        <f>MONTH(Tabela1[[#This Row],[Último pagto ano]])</f>
        <v>12</v>
      </c>
      <c r="H6194" t="str">
        <f>TEXT(Tabela1[[#This Row],[Coluna2]]*29,"mmmm")</f>
        <v>dezembro</v>
      </c>
      <c r="I6194" t="str">
        <f>TEXT(MONTH(Tabela1[[#This Row],[Último pagto ano]])*29,"mmmm")</f>
        <v>dezembro</v>
      </c>
    </row>
    <row r="6195" spans="1:9" x14ac:dyDescent="0.25">
      <c r="A6195">
        <v>2025</v>
      </c>
      <c r="B6195" t="s">
        <v>12334</v>
      </c>
      <c r="C6195" s="1">
        <v>45936</v>
      </c>
      <c r="D6195" t="s">
        <v>12335</v>
      </c>
      <c r="E6195" s="2">
        <v>32425.39</v>
      </c>
      <c r="G6195" s="3">
        <f>MONTH(Tabela1[[#This Row],[Último pagto ano]])</f>
        <v>10</v>
      </c>
      <c r="H6195" t="str">
        <f>TEXT(Tabela1[[#This Row],[Coluna2]]*29,"mmmm")</f>
        <v>outubro</v>
      </c>
      <c r="I6195" t="str">
        <f>TEXT(MONTH(Tabela1[[#This Row],[Último pagto ano]])*29,"mmmm")</f>
        <v>outubro</v>
      </c>
    </row>
    <row r="6196" spans="1:9" x14ac:dyDescent="0.25">
      <c r="A6196">
        <v>2025</v>
      </c>
      <c r="B6196" t="s">
        <v>12336</v>
      </c>
      <c r="C6196" s="1">
        <v>45744</v>
      </c>
      <c r="D6196" t="s">
        <v>12337</v>
      </c>
      <c r="E6196" s="2">
        <v>1622.36</v>
      </c>
      <c r="G6196" s="3">
        <f>MONTH(Tabela1[[#This Row],[Último pagto ano]])</f>
        <v>3</v>
      </c>
      <c r="H6196" t="str">
        <f>TEXT(Tabela1[[#This Row],[Coluna2]]*29,"mmmm")</f>
        <v>março</v>
      </c>
      <c r="I6196" t="str">
        <f>TEXT(MONTH(Tabela1[[#This Row],[Último pagto ano]])*29,"mmmm")</f>
        <v>março</v>
      </c>
    </row>
    <row r="6197" spans="1:9" x14ac:dyDescent="0.25">
      <c r="A6197">
        <v>2025</v>
      </c>
      <c r="B6197" t="s">
        <v>12338</v>
      </c>
      <c r="C6197" s="1">
        <v>46021</v>
      </c>
      <c r="D6197" t="s">
        <v>12339</v>
      </c>
      <c r="E6197" s="2">
        <v>5361.04</v>
      </c>
      <c r="G6197" s="3">
        <f>MONTH(Tabela1[[#This Row],[Último pagto ano]])</f>
        <v>12</v>
      </c>
      <c r="H6197" t="str">
        <f>TEXT(Tabela1[[#This Row],[Coluna2]]*29,"mmmm")</f>
        <v>dezembro</v>
      </c>
      <c r="I6197" t="str">
        <f>TEXT(MONTH(Tabela1[[#This Row],[Último pagto ano]])*29,"mmmm")</f>
        <v>dezembro</v>
      </c>
    </row>
    <row r="6198" spans="1:9" x14ac:dyDescent="0.25">
      <c r="A6198">
        <v>2025</v>
      </c>
      <c r="B6198" t="s">
        <v>12340</v>
      </c>
      <c r="C6198" s="1">
        <v>45790</v>
      </c>
      <c r="D6198" t="s">
        <v>12341</v>
      </c>
      <c r="E6198" s="2">
        <v>3483.84</v>
      </c>
      <c r="G6198" s="3">
        <f>MONTH(Tabela1[[#This Row],[Último pagto ano]])</f>
        <v>5</v>
      </c>
      <c r="H6198" t="str">
        <f>TEXT(Tabela1[[#This Row],[Coluna2]]*29,"mmmm")</f>
        <v>maio</v>
      </c>
      <c r="I6198" t="str">
        <f>TEXT(MONTH(Tabela1[[#This Row],[Último pagto ano]])*29,"mmmm")</f>
        <v>maio</v>
      </c>
    </row>
    <row r="6199" spans="1:9" x14ac:dyDescent="0.25">
      <c r="A6199">
        <v>2025</v>
      </c>
      <c r="B6199" t="s">
        <v>12342</v>
      </c>
      <c r="C6199" s="1">
        <v>46021</v>
      </c>
      <c r="D6199" t="s">
        <v>12343</v>
      </c>
      <c r="E6199" s="2">
        <v>9684.1200000000008</v>
      </c>
      <c r="G6199" s="3">
        <f>MONTH(Tabela1[[#This Row],[Último pagto ano]])</f>
        <v>12</v>
      </c>
      <c r="H6199" t="str">
        <f>TEXT(Tabela1[[#This Row],[Coluna2]]*29,"mmmm")</f>
        <v>dezembro</v>
      </c>
      <c r="I6199" t="str">
        <f>TEXT(MONTH(Tabela1[[#This Row],[Último pagto ano]])*29,"mmmm")</f>
        <v>dezembro</v>
      </c>
    </row>
    <row r="6200" spans="1:9" x14ac:dyDescent="0.25">
      <c r="A6200">
        <v>2025</v>
      </c>
      <c r="B6200" t="s">
        <v>12344</v>
      </c>
      <c r="C6200" s="1">
        <v>45715</v>
      </c>
      <c r="D6200" t="s">
        <v>12345</v>
      </c>
      <c r="E6200">
        <v>11</v>
      </c>
      <c r="G6200" s="3">
        <f>MONTH(Tabela1[[#This Row],[Último pagto ano]])</f>
        <v>2</v>
      </c>
      <c r="H6200" t="str">
        <f>TEXT(Tabela1[[#This Row],[Coluna2]]*29,"mmmm")</f>
        <v>fevereiro</v>
      </c>
      <c r="I6200" t="str">
        <f>TEXT(MONTH(Tabela1[[#This Row],[Último pagto ano]])*29,"mmmm")</f>
        <v>fevereiro</v>
      </c>
    </row>
    <row r="6201" spans="1:9" x14ac:dyDescent="0.25">
      <c r="A6201">
        <v>2025</v>
      </c>
      <c r="B6201" t="s">
        <v>12346</v>
      </c>
      <c r="C6201" s="1">
        <v>45887</v>
      </c>
      <c r="D6201" t="s">
        <v>12347</v>
      </c>
      <c r="E6201">
        <v>240</v>
      </c>
      <c r="G6201" s="3">
        <f>MONTH(Tabela1[[#This Row],[Último pagto ano]])</f>
        <v>8</v>
      </c>
      <c r="H6201" t="str">
        <f>TEXT(Tabela1[[#This Row],[Coluna2]]*29,"mmmm")</f>
        <v>agosto</v>
      </c>
      <c r="I6201" t="str">
        <f>TEXT(MONTH(Tabela1[[#This Row],[Último pagto ano]])*29,"mmmm")</f>
        <v>agosto</v>
      </c>
    </row>
    <row r="6202" spans="1:9" x14ac:dyDescent="0.25">
      <c r="A6202">
        <v>2025</v>
      </c>
      <c r="B6202" t="s">
        <v>12348</v>
      </c>
      <c r="C6202" s="1">
        <v>45959</v>
      </c>
      <c r="D6202" t="s">
        <v>12349</v>
      </c>
      <c r="E6202" s="2">
        <v>7000</v>
      </c>
      <c r="G6202" s="3">
        <f>MONTH(Tabela1[[#This Row],[Último pagto ano]])</f>
        <v>10</v>
      </c>
      <c r="H6202" t="str">
        <f>TEXT(Tabela1[[#This Row],[Coluna2]]*29,"mmmm")</f>
        <v>outubro</v>
      </c>
      <c r="I6202" t="str">
        <f>TEXT(MONTH(Tabela1[[#This Row],[Último pagto ano]])*29,"mmmm")</f>
        <v>outubro</v>
      </c>
    </row>
    <row r="6203" spans="1:9" x14ac:dyDescent="0.25">
      <c r="A6203">
        <v>2025</v>
      </c>
      <c r="B6203" t="s">
        <v>12350</v>
      </c>
      <c r="C6203" s="1">
        <v>45945</v>
      </c>
      <c r="D6203" t="s">
        <v>12351</v>
      </c>
      <c r="E6203" s="2">
        <v>2073.12</v>
      </c>
      <c r="G6203" s="3">
        <f>MONTH(Tabela1[[#This Row],[Último pagto ano]])</f>
        <v>10</v>
      </c>
      <c r="H6203" t="str">
        <f>TEXT(Tabela1[[#This Row],[Coluna2]]*29,"mmmm")</f>
        <v>outubro</v>
      </c>
      <c r="I6203" t="str">
        <f>TEXT(MONTH(Tabela1[[#This Row],[Último pagto ano]])*29,"mmmm")</f>
        <v>outubro</v>
      </c>
    </row>
    <row r="6204" spans="1:9" x14ac:dyDescent="0.25">
      <c r="A6204">
        <v>2025</v>
      </c>
      <c r="B6204" t="s">
        <v>12352</v>
      </c>
      <c r="C6204" s="1">
        <v>45945</v>
      </c>
      <c r="D6204" t="s">
        <v>12353</v>
      </c>
      <c r="E6204" s="2">
        <v>5922.56</v>
      </c>
      <c r="G6204" s="3">
        <f>MONTH(Tabela1[[#This Row],[Último pagto ano]])</f>
        <v>10</v>
      </c>
      <c r="H6204" t="str">
        <f>TEXT(Tabela1[[#This Row],[Coluna2]]*29,"mmmm")</f>
        <v>outubro</v>
      </c>
      <c r="I6204" t="str">
        <f>TEXT(MONTH(Tabela1[[#This Row],[Último pagto ano]])*29,"mmmm")</f>
        <v>outubro</v>
      </c>
    </row>
    <row r="6205" spans="1:9" x14ac:dyDescent="0.25">
      <c r="A6205">
        <v>2025</v>
      </c>
      <c r="B6205" t="s">
        <v>12354</v>
      </c>
      <c r="C6205" s="1">
        <v>45681</v>
      </c>
      <c r="D6205" t="s">
        <v>12355</v>
      </c>
      <c r="E6205">
        <v>700</v>
      </c>
      <c r="G6205" s="3">
        <f>MONTH(Tabela1[[#This Row],[Último pagto ano]])</f>
        <v>1</v>
      </c>
      <c r="H6205" t="str">
        <f>TEXT(Tabela1[[#This Row],[Coluna2]]*29,"mmmm")</f>
        <v>janeiro</v>
      </c>
      <c r="I6205" t="str">
        <f>TEXT(MONTH(Tabela1[[#This Row],[Último pagto ano]])*29,"mmmm")</f>
        <v>janeiro</v>
      </c>
    </row>
    <row r="6206" spans="1:9" x14ac:dyDescent="0.25">
      <c r="A6206">
        <v>2025</v>
      </c>
      <c r="B6206" t="s">
        <v>12356</v>
      </c>
      <c r="C6206" s="1">
        <v>45821</v>
      </c>
      <c r="D6206" t="s">
        <v>12357</v>
      </c>
      <c r="E6206">
        <v>73.44</v>
      </c>
      <c r="G6206" s="3">
        <f>MONTH(Tabela1[[#This Row],[Último pagto ano]])</f>
        <v>6</v>
      </c>
      <c r="H6206" t="str">
        <f>TEXT(Tabela1[[#This Row],[Coluna2]]*29,"mmmm")</f>
        <v>junho</v>
      </c>
      <c r="I6206" t="str">
        <f>TEXT(MONTH(Tabela1[[#This Row],[Último pagto ano]])*29,"mmmm")</f>
        <v>junho</v>
      </c>
    </row>
    <row r="6207" spans="1:9" x14ac:dyDescent="0.25">
      <c r="A6207">
        <v>2025</v>
      </c>
      <c r="B6207" t="s">
        <v>12358</v>
      </c>
      <c r="C6207" s="1">
        <v>45915</v>
      </c>
      <c r="D6207" t="s">
        <v>12359</v>
      </c>
      <c r="E6207" s="2">
        <v>2920</v>
      </c>
      <c r="G6207" s="3">
        <f>MONTH(Tabela1[[#This Row],[Último pagto ano]])</f>
        <v>9</v>
      </c>
      <c r="H6207" t="str">
        <f>TEXT(Tabela1[[#This Row],[Coluna2]]*29,"mmmm")</f>
        <v>setembro</v>
      </c>
      <c r="I6207" t="str">
        <f>TEXT(MONTH(Tabela1[[#This Row],[Último pagto ano]])*29,"mmmm")</f>
        <v>setembro</v>
      </c>
    </row>
    <row r="6208" spans="1:9" x14ac:dyDescent="0.25">
      <c r="A6208">
        <v>2025</v>
      </c>
      <c r="B6208" t="s">
        <v>12360</v>
      </c>
      <c r="C6208" s="1">
        <v>45687</v>
      </c>
      <c r="D6208" t="s">
        <v>12361</v>
      </c>
      <c r="E6208">
        <v>608.26</v>
      </c>
      <c r="G6208" s="3">
        <f>MONTH(Tabela1[[#This Row],[Último pagto ano]])</f>
        <v>1</v>
      </c>
      <c r="H6208" t="str">
        <f>TEXT(Tabela1[[#This Row],[Coluna2]]*29,"mmmm")</f>
        <v>janeiro</v>
      </c>
      <c r="I6208" t="str">
        <f>TEXT(MONTH(Tabela1[[#This Row],[Último pagto ano]])*29,"mmmm")</f>
        <v>janeiro</v>
      </c>
    </row>
    <row r="6209" spans="1:9" x14ac:dyDescent="0.25">
      <c r="A6209">
        <v>2025</v>
      </c>
      <c r="B6209" t="s">
        <v>12362</v>
      </c>
      <c r="C6209" s="1">
        <v>46003</v>
      </c>
      <c r="D6209" t="s">
        <v>12363</v>
      </c>
      <c r="E6209">
        <v>963.64</v>
      </c>
      <c r="G6209" s="3">
        <f>MONTH(Tabela1[[#This Row],[Último pagto ano]])</f>
        <v>12</v>
      </c>
      <c r="H6209" t="str">
        <f>TEXT(Tabela1[[#This Row],[Coluna2]]*29,"mmmm")</f>
        <v>dezembro</v>
      </c>
      <c r="I6209" t="str">
        <f>TEXT(MONTH(Tabela1[[#This Row],[Último pagto ano]])*29,"mmmm")</f>
        <v>dezembro</v>
      </c>
    </row>
    <row r="6210" spans="1:9" x14ac:dyDescent="0.25">
      <c r="A6210">
        <v>2025</v>
      </c>
      <c r="B6210" t="s">
        <v>12364</v>
      </c>
      <c r="C6210" s="1">
        <v>46010</v>
      </c>
      <c r="D6210" t="s">
        <v>12365</v>
      </c>
      <c r="E6210" s="2">
        <v>4900</v>
      </c>
      <c r="G6210" s="3">
        <f>MONTH(Tabela1[[#This Row],[Último pagto ano]])</f>
        <v>12</v>
      </c>
      <c r="H6210" t="str">
        <f>TEXT(Tabela1[[#This Row],[Coluna2]]*29,"mmmm")</f>
        <v>dezembro</v>
      </c>
      <c r="I6210" t="str">
        <f>TEXT(MONTH(Tabela1[[#This Row],[Último pagto ano]])*29,"mmmm")</f>
        <v>dezembro</v>
      </c>
    </row>
    <row r="6211" spans="1:9" x14ac:dyDescent="0.25">
      <c r="A6211">
        <v>2025</v>
      </c>
      <c r="B6211" t="s">
        <v>12366</v>
      </c>
      <c r="C6211" s="1">
        <v>45803</v>
      </c>
      <c r="D6211" t="s">
        <v>12367</v>
      </c>
      <c r="E6211" s="2">
        <v>3500</v>
      </c>
      <c r="G6211" s="3">
        <f>MONTH(Tabela1[[#This Row],[Último pagto ano]])</f>
        <v>5</v>
      </c>
      <c r="H6211" t="str">
        <f>TEXT(Tabela1[[#This Row],[Coluna2]]*29,"mmmm")</f>
        <v>maio</v>
      </c>
      <c r="I6211" t="str">
        <f>TEXT(MONTH(Tabela1[[#This Row],[Último pagto ano]])*29,"mmmm")</f>
        <v>maio</v>
      </c>
    </row>
    <row r="6212" spans="1:9" x14ac:dyDescent="0.25">
      <c r="A6212">
        <v>2025</v>
      </c>
      <c r="B6212" t="s">
        <v>12368</v>
      </c>
      <c r="C6212" s="1">
        <v>45908</v>
      </c>
      <c r="D6212" t="s">
        <v>12369</v>
      </c>
      <c r="E6212">
        <v>132</v>
      </c>
      <c r="G6212" s="3">
        <f>MONTH(Tabela1[[#This Row],[Último pagto ano]])</f>
        <v>9</v>
      </c>
      <c r="H6212" t="str">
        <f>TEXT(Tabela1[[#This Row],[Coluna2]]*29,"mmmm")</f>
        <v>setembro</v>
      </c>
      <c r="I6212" t="str">
        <f>TEXT(MONTH(Tabela1[[#This Row],[Último pagto ano]])*29,"mmmm")</f>
        <v>setembro</v>
      </c>
    </row>
    <row r="6213" spans="1:9" x14ac:dyDescent="0.25">
      <c r="A6213">
        <v>2025</v>
      </c>
      <c r="B6213" t="s">
        <v>12370</v>
      </c>
      <c r="C6213" s="1">
        <v>45999</v>
      </c>
      <c r="D6213" t="s">
        <v>12371</v>
      </c>
      <c r="E6213">
        <v>44</v>
      </c>
      <c r="G6213" s="3">
        <f>MONTH(Tabela1[[#This Row],[Último pagto ano]])</f>
        <v>12</v>
      </c>
      <c r="H6213" t="str">
        <f>TEXT(Tabela1[[#This Row],[Coluna2]]*29,"mmmm")</f>
        <v>dezembro</v>
      </c>
      <c r="I6213" t="str">
        <f>TEXT(MONTH(Tabela1[[#This Row],[Último pagto ano]])*29,"mmmm")</f>
        <v>dezembro</v>
      </c>
    </row>
    <row r="6214" spans="1:9" x14ac:dyDescent="0.25">
      <c r="A6214">
        <v>2025</v>
      </c>
      <c r="B6214" t="s">
        <v>12372</v>
      </c>
      <c r="C6214" s="1">
        <v>45978</v>
      </c>
      <c r="D6214" t="s">
        <v>12373</v>
      </c>
      <c r="E6214">
        <v>968</v>
      </c>
      <c r="G6214" s="3">
        <f>MONTH(Tabela1[[#This Row],[Último pagto ano]])</f>
        <v>11</v>
      </c>
      <c r="H6214" t="str">
        <f>TEXT(Tabela1[[#This Row],[Coluna2]]*29,"mmmm")</f>
        <v>novembro</v>
      </c>
      <c r="I6214" t="str">
        <f>TEXT(MONTH(Tabela1[[#This Row],[Último pagto ano]])*29,"mmmm")</f>
        <v>novembro</v>
      </c>
    </row>
    <row r="6215" spans="1:9" x14ac:dyDescent="0.25">
      <c r="A6215">
        <v>2025</v>
      </c>
      <c r="B6215" t="s">
        <v>12374</v>
      </c>
      <c r="C6215" s="1">
        <v>45986</v>
      </c>
      <c r="D6215" t="s">
        <v>12375</v>
      </c>
      <c r="E6215" s="2">
        <v>8533.6</v>
      </c>
      <c r="G6215" s="3">
        <f>MONTH(Tabela1[[#This Row],[Último pagto ano]])</f>
        <v>11</v>
      </c>
      <c r="H6215" t="str">
        <f>TEXT(Tabela1[[#This Row],[Coluna2]]*29,"mmmm")</f>
        <v>novembro</v>
      </c>
      <c r="I6215" t="str">
        <f>TEXT(MONTH(Tabela1[[#This Row],[Último pagto ano]])*29,"mmmm")</f>
        <v>novembro</v>
      </c>
    </row>
    <row r="6216" spans="1:9" x14ac:dyDescent="0.25">
      <c r="A6216">
        <v>2025</v>
      </c>
      <c r="B6216" t="s">
        <v>12376</v>
      </c>
      <c r="C6216" s="1">
        <v>46021</v>
      </c>
      <c r="D6216" t="s">
        <v>12377</v>
      </c>
      <c r="E6216" s="2">
        <v>1022.83</v>
      </c>
      <c r="G6216" s="3">
        <f>MONTH(Tabela1[[#This Row],[Último pagto ano]])</f>
        <v>12</v>
      </c>
      <c r="H6216" t="str">
        <f>TEXT(Tabela1[[#This Row],[Coluna2]]*29,"mmmm")</f>
        <v>dezembro</v>
      </c>
      <c r="I6216" t="str">
        <f>TEXT(MONTH(Tabela1[[#This Row],[Último pagto ano]])*29,"mmmm")</f>
        <v>dezembro</v>
      </c>
    </row>
    <row r="6217" spans="1:9" x14ac:dyDescent="0.25">
      <c r="A6217">
        <v>2025</v>
      </c>
      <c r="B6217" t="s">
        <v>12378</v>
      </c>
      <c r="C6217" s="1">
        <v>45917</v>
      </c>
      <c r="D6217" t="s">
        <v>12379</v>
      </c>
      <c r="E6217" s="2">
        <v>1985.28</v>
      </c>
      <c r="G6217" s="3">
        <f>MONTH(Tabela1[[#This Row],[Último pagto ano]])</f>
        <v>9</v>
      </c>
      <c r="H6217" t="str">
        <f>TEXT(Tabela1[[#This Row],[Coluna2]]*29,"mmmm")</f>
        <v>setembro</v>
      </c>
      <c r="I6217" t="str">
        <f>TEXT(MONTH(Tabela1[[#This Row],[Último pagto ano]])*29,"mmmm")</f>
        <v>setembro</v>
      </c>
    </row>
    <row r="6218" spans="1:9" x14ac:dyDescent="0.25">
      <c r="A6218">
        <v>2025</v>
      </c>
      <c r="B6218" t="s">
        <v>12380</v>
      </c>
      <c r="C6218" s="1">
        <v>46013</v>
      </c>
      <c r="D6218" t="s">
        <v>12381</v>
      </c>
      <c r="E6218" s="2">
        <v>13304.9</v>
      </c>
      <c r="G6218" s="3">
        <f>MONTH(Tabela1[[#This Row],[Último pagto ano]])</f>
        <v>12</v>
      </c>
      <c r="H6218" t="str">
        <f>TEXT(Tabela1[[#This Row],[Coluna2]]*29,"mmmm")</f>
        <v>dezembro</v>
      </c>
      <c r="I6218" t="str">
        <f>TEXT(MONTH(Tabela1[[#This Row],[Último pagto ano]])*29,"mmmm")</f>
        <v>dezembro</v>
      </c>
    </row>
    <row r="6219" spans="1:9" x14ac:dyDescent="0.25">
      <c r="A6219">
        <v>2025</v>
      </c>
      <c r="B6219" t="s">
        <v>12382</v>
      </c>
      <c r="C6219" s="1">
        <v>45922</v>
      </c>
      <c r="D6219" t="s">
        <v>12383</v>
      </c>
      <c r="E6219" s="2">
        <v>5125</v>
      </c>
      <c r="G6219" s="3">
        <f>MONTH(Tabela1[[#This Row],[Último pagto ano]])</f>
        <v>9</v>
      </c>
      <c r="H6219" t="str">
        <f>TEXT(Tabela1[[#This Row],[Coluna2]]*29,"mmmm")</f>
        <v>setembro</v>
      </c>
      <c r="I6219" t="str">
        <f>TEXT(MONTH(Tabela1[[#This Row],[Último pagto ano]])*29,"mmmm")</f>
        <v>setembro</v>
      </c>
    </row>
    <row r="6220" spans="1:9" x14ac:dyDescent="0.25">
      <c r="A6220">
        <v>2025</v>
      </c>
      <c r="B6220" t="s">
        <v>12384</v>
      </c>
      <c r="C6220" s="1">
        <v>45996</v>
      </c>
      <c r="D6220" t="s">
        <v>12385</v>
      </c>
      <c r="E6220" s="2">
        <v>62400</v>
      </c>
      <c r="G6220" s="3">
        <f>MONTH(Tabela1[[#This Row],[Último pagto ano]])</f>
        <v>12</v>
      </c>
      <c r="H6220" t="str">
        <f>TEXT(Tabela1[[#This Row],[Coluna2]]*29,"mmmm")</f>
        <v>dezembro</v>
      </c>
      <c r="I6220" t="str">
        <f>TEXT(MONTH(Tabela1[[#This Row],[Último pagto ano]])*29,"mmmm")</f>
        <v>dezembro</v>
      </c>
    </row>
    <row r="6221" spans="1:9" x14ac:dyDescent="0.25">
      <c r="A6221">
        <v>2025</v>
      </c>
      <c r="B6221" t="s">
        <v>12386</v>
      </c>
      <c r="C6221" s="1">
        <v>45924</v>
      </c>
      <c r="D6221" t="s">
        <v>12387</v>
      </c>
      <c r="E6221">
        <v>431</v>
      </c>
      <c r="G6221" s="3">
        <f>MONTH(Tabela1[[#This Row],[Último pagto ano]])</f>
        <v>9</v>
      </c>
      <c r="H6221" t="str">
        <f>TEXT(Tabela1[[#This Row],[Coluna2]]*29,"mmmm")</f>
        <v>setembro</v>
      </c>
      <c r="I6221" t="str">
        <f>TEXT(MONTH(Tabela1[[#This Row],[Último pagto ano]])*29,"mmmm")</f>
        <v>setembro</v>
      </c>
    </row>
    <row r="6222" spans="1:9" x14ac:dyDescent="0.25">
      <c r="A6222">
        <v>2025</v>
      </c>
      <c r="B6222" t="s">
        <v>12388</v>
      </c>
      <c r="C6222" s="1">
        <v>45975</v>
      </c>
      <c r="D6222" t="s">
        <v>12389</v>
      </c>
      <c r="E6222" s="2">
        <v>8339.39</v>
      </c>
      <c r="G6222" s="3">
        <f>MONTH(Tabela1[[#This Row],[Último pagto ano]])</f>
        <v>11</v>
      </c>
      <c r="H6222" t="str">
        <f>TEXT(Tabela1[[#This Row],[Coluna2]]*29,"mmmm")</f>
        <v>novembro</v>
      </c>
      <c r="I6222" t="str">
        <f>TEXT(MONTH(Tabela1[[#This Row],[Último pagto ano]])*29,"mmmm")</f>
        <v>novembro</v>
      </c>
    </row>
    <row r="6223" spans="1:9" x14ac:dyDescent="0.25">
      <c r="A6223">
        <v>2025</v>
      </c>
      <c r="B6223" t="s">
        <v>12390</v>
      </c>
      <c r="C6223" s="1">
        <v>46013</v>
      </c>
      <c r="D6223" t="s">
        <v>12391</v>
      </c>
      <c r="E6223" s="2">
        <v>5855</v>
      </c>
      <c r="G6223" s="3">
        <f>MONTH(Tabela1[[#This Row],[Último pagto ano]])</f>
        <v>12</v>
      </c>
      <c r="H6223" t="str">
        <f>TEXT(Tabela1[[#This Row],[Coluna2]]*29,"mmmm")</f>
        <v>dezembro</v>
      </c>
      <c r="I6223" t="str">
        <f>TEXT(MONTH(Tabela1[[#This Row],[Último pagto ano]])*29,"mmmm")</f>
        <v>dezembro</v>
      </c>
    </row>
    <row r="6224" spans="1:9" x14ac:dyDescent="0.25">
      <c r="A6224">
        <v>2025</v>
      </c>
      <c r="B6224" t="s">
        <v>12392</v>
      </c>
      <c r="C6224" s="1">
        <v>45681</v>
      </c>
      <c r="D6224" t="s">
        <v>12393</v>
      </c>
      <c r="E6224">
        <v>700</v>
      </c>
      <c r="G6224" s="3">
        <f>MONTH(Tabela1[[#This Row],[Último pagto ano]])</f>
        <v>1</v>
      </c>
      <c r="H6224" t="str">
        <f>TEXT(Tabela1[[#This Row],[Coluna2]]*29,"mmmm")</f>
        <v>janeiro</v>
      </c>
      <c r="I6224" t="str">
        <f>TEXT(MONTH(Tabela1[[#This Row],[Último pagto ano]])*29,"mmmm")</f>
        <v>janeiro</v>
      </c>
    </row>
    <row r="6225" spans="1:9" x14ac:dyDescent="0.25">
      <c r="A6225">
        <v>2025</v>
      </c>
      <c r="B6225" t="s">
        <v>12394</v>
      </c>
      <c r="C6225" s="1">
        <v>46006</v>
      </c>
      <c r="D6225" t="s">
        <v>12395</v>
      </c>
      <c r="E6225">
        <v>592.32000000000005</v>
      </c>
      <c r="G6225" s="3">
        <f>MONTH(Tabela1[[#This Row],[Último pagto ano]])</f>
        <v>12</v>
      </c>
      <c r="H6225" t="str">
        <f>TEXT(Tabela1[[#This Row],[Coluna2]]*29,"mmmm")</f>
        <v>dezembro</v>
      </c>
      <c r="I6225" t="str">
        <f>TEXT(MONTH(Tabela1[[#This Row],[Último pagto ano]])*29,"mmmm")</f>
        <v>dezembro</v>
      </c>
    </row>
    <row r="6226" spans="1:9" x14ac:dyDescent="0.25">
      <c r="A6226">
        <v>2025</v>
      </c>
      <c r="B6226" t="s">
        <v>12396</v>
      </c>
      <c r="C6226" s="1">
        <v>45929</v>
      </c>
      <c r="D6226" t="s">
        <v>12397</v>
      </c>
      <c r="E6226">
        <v>132</v>
      </c>
      <c r="G6226" s="3">
        <f>MONTH(Tabela1[[#This Row],[Último pagto ano]])</f>
        <v>9</v>
      </c>
      <c r="H6226" t="str">
        <f>TEXT(Tabela1[[#This Row],[Coluna2]]*29,"mmmm")</f>
        <v>setembro</v>
      </c>
      <c r="I6226" t="str">
        <f>TEXT(MONTH(Tabela1[[#This Row],[Último pagto ano]])*29,"mmmm")</f>
        <v>setembro</v>
      </c>
    </row>
    <row r="6227" spans="1:9" x14ac:dyDescent="0.25">
      <c r="A6227">
        <v>2025</v>
      </c>
      <c r="B6227" t="s">
        <v>12398</v>
      </c>
      <c r="C6227" s="1">
        <v>46014</v>
      </c>
      <c r="D6227" t="s">
        <v>12399</v>
      </c>
      <c r="E6227">
        <v>2.36</v>
      </c>
      <c r="G6227" s="3">
        <f>MONTH(Tabela1[[#This Row],[Último pagto ano]])</f>
        <v>12</v>
      </c>
      <c r="H6227" t="str">
        <f>TEXT(Tabela1[[#This Row],[Coluna2]]*29,"mmmm")</f>
        <v>dezembro</v>
      </c>
      <c r="I6227" t="str">
        <f>TEXT(MONTH(Tabela1[[#This Row],[Último pagto ano]])*29,"mmmm")</f>
        <v>dezembro</v>
      </c>
    </row>
    <row r="6228" spans="1:9" x14ac:dyDescent="0.25">
      <c r="A6228">
        <v>2025</v>
      </c>
      <c r="B6228" t="s">
        <v>12400</v>
      </c>
      <c r="C6228" s="1">
        <v>46006</v>
      </c>
      <c r="D6228" t="s">
        <v>12401</v>
      </c>
      <c r="E6228">
        <v>44</v>
      </c>
      <c r="G6228" s="3">
        <f>MONTH(Tabela1[[#This Row],[Último pagto ano]])</f>
        <v>12</v>
      </c>
      <c r="H6228" t="str">
        <f>TEXT(Tabela1[[#This Row],[Coluna2]]*29,"mmmm")</f>
        <v>dezembro</v>
      </c>
      <c r="I6228" t="str">
        <f>TEXT(MONTH(Tabela1[[#This Row],[Último pagto ano]])*29,"mmmm")</f>
        <v>dezembro</v>
      </c>
    </row>
    <row r="6229" spans="1:9" x14ac:dyDescent="0.25">
      <c r="A6229">
        <v>2025</v>
      </c>
      <c r="B6229" t="s">
        <v>12402</v>
      </c>
      <c r="C6229" s="1">
        <v>45868</v>
      </c>
      <c r="D6229" t="s">
        <v>12403</v>
      </c>
      <c r="E6229" s="2">
        <v>4801.46</v>
      </c>
      <c r="G6229" s="3">
        <f>MONTH(Tabela1[[#This Row],[Último pagto ano]])</f>
        <v>7</v>
      </c>
      <c r="H6229" t="str">
        <f>TEXT(Tabela1[[#This Row],[Coluna2]]*29,"mmmm")</f>
        <v>julho</v>
      </c>
      <c r="I6229" t="str">
        <f>TEXT(MONTH(Tabela1[[#This Row],[Último pagto ano]])*29,"mmmm")</f>
        <v>julho</v>
      </c>
    </row>
    <row r="6230" spans="1:9" x14ac:dyDescent="0.25">
      <c r="A6230">
        <v>2025</v>
      </c>
      <c r="B6230" t="s">
        <v>12404</v>
      </c>
      <c r="C6230" s="1">
        <v>45922</v>
      </c>
      <c r="D6230" t="s">
        <v>12405</v>
      </c>
      <c r="E6230">
        <v>44</v>
      </c>
      <c r="G6230" s="3">
        <f>MONTH(Tabela1[[#This Row],[Último pagto ano]])</f>
        <v>9</v>
      </c>
      <c r="H6230" t="str">
        <f>TEXT(Tabela1[[#This Row],[Coluna2]]*29,"mmmm")</f>
        <v>setembro</v>
      </c>
      <c r="I6230" t="str">
        <f>TEXT(MONTH(Tabela1[[#This Row],[Último pagto ano]])*29,"mmmm")</f>
        <v>setembro</v>
      </c>
    </row>
    <row r="6231" spans="1:9" x14ac:dyDescent="0.25">
      <c r="A6231">
        <v>2025</v>
      </c>
      <c r="B6231" t="s">
        <v>12406</v>
      </c>
      <c r="C6231" s="1">
        <v>45999</v>
      </c>
      <c r="D6231" t="s">
        <v>12407</v>
      </c>
      <c r="E6231">
        <v>44</v>
      </c>
      <c r="G6231" s="3">
        <f>MONTH(Tabela1[[#This Row],[Último pagto ano]])</f>
        <v>12</v>
      </c>
      <c r="H6231" t="str">
        <f>TEXT(Tabela1[[#This Row],[Coluna2]]*29,"mmmm")</f>
        <v>dezembro</v>
      </c>
      <c r="I6231" t="str">
        <f>TEXT(MONTH(Tabela1[[#This Row],[Último pagto ano]])*29,"mmmm")</f>
        <v>dezembro</v>
      </c>
    </row>
    <row r="6232" spans="1:9" x14ac:dyDescent="0.25">
      <c r="A6232">
        <v>2025</v>
      </c>
      <c r="B6232" t="s">
        <v>12408</v>
      </c>
      <c r="C6232" s="1">
        <v>45999</v>
      </c>
      <c r="D6232" t="s">
        <v>12409</v>
      </c>
      <c r="E6232">
        <v>220</v>
      </c>
      <c r="G6232" s="3">
        <f>MONTH(Tabela1[[#This Row],[Último pagto ano]])</f>
        <v>12</v>
      </c>
      <c r="H6232" t="str">
        <f>TEXT(Tabela1[[#This Row],[Coluna2]]*29,"mmmm")</f>
        <v>dezembro</v>
      </c>
      <c r="I6232" t="str">
        <f>TEXT(MONTH(Tabela1[[#This Row],[Último pagto ano]])*29,"mmmm")</f>
        <v>dezembro</v>
      </c>
    </row>
    <row r="6233" spans="1:9" x14ac:dyDescent="0.25">
      <c r="A6233">
        <v>2025</v>
      </c>
      <c r="B6233" t="s">
        <v>12410</v>
      </c>
      <c r="C6233" s="1">
        <v>46010</v>
      </c>
      <c r="D6233" t="s">
        <v>12411</v>
      </c>
      <c r="E6233" s="2">
        <v>24000</v>
      </c>
      <c r="G6233" s="3">
        <f>MONTH(Tabela1[[#This Row],[Último pagto ano]])</f>
        <v>12</v>
      </c>
      <c r="H6233" t="str">
        <f>TEXT(Tabela1[[#This Row],[Coluna2]]*29,"mmmm")</f>
        <v>dezembro</v>
      </c>
      <c r="I6233" t="str">
        <f>TEXT(MONTH(Tabela1[[#This Row],[Último pagto ano]])*29,"mmmm")</f>
        <v>dezembro</v>
      </c>
    </row>
    <row r="6234" spans="1:9" x14ac:dyDescent="0.25">
      <c r="A6234">
        <v>2025</v>
      </c>
      <c r="B6234" t="s">
        <v>12412</v>
      </c>
      <c r="C6234" s="1">
        <v>45929</v>
      </c>
      <c r="D6234" t="s">
        <v>12413</v>
      </c>
      <c r="E6234">
        <v>22</v>
      </c>
      <c r="G6234" s="3">
        <f>MONTH(Tabela1[[#This Row],[Último pagto ano]])</f>
        <v>9</v>
      </c>
      <c r="H6234" t="str">
        <f>TEXT(Tabela1[[#This Row],[Coluna2]]*29,"mmmm")</f>
        <v>setembro</v>
      </c>
      <c r="I6234" t="str">
        <f>TEXT(MONTH(Tabela1[[#This Row],[Último pagto ano]])*29,"mmmm")</f>
        <v>setembro</v>
      </c>
    </row>
    <row r="6235" spans="1:9" x14ac:dyDescent="0.25">
      <c r="A6235">
        <v>2025</v>
      </c>
      <c r="B6235" t="s">
        <v>12414</v>
      </c>
      <c r="C6235" s="1">
        <v>45835</v>
      </c>
      <c r="D6235" t="s">
        <v>12415</v>
      </c>
      <c r="E6235">
        <v>66</v>
      </c>
      <c r="G6235" s="3">
        <f>MONTH(Tabela1[[#This Row],[Último pagto ano]])</f>
        <v>6</v>
      </c>
      <c r="H6235" t="str">
        <f>TEXT(Tabela1[[#This Row],[Coluna2]]*29,"mmmm")</f>
        <v>junho</v>
      </c>
      <c r="I6235" t="str">
        <f>TEXT(MONTH(Tabela1[[#This Row],[Último pagto ano]])*29,"mmmm")</f>
        <v>junho</v>
      </c>
    </row>
    <row r="6236" spans="1:9" x14ac:dyDescent="0.25">
      <c r="A6236">
        <v>2025</v>
      </c>
      <c r="B6236" t="s">
        <v>12416</v>
      </c>
      <c r="C6236" s="1">
        <v>45950</v>
      </c>
      <c r="D6236" t="s">
        <v>12417</v>
      </c>
      <c r="E6236">
        <v>66</v>
      </c>
      <c r="G6236" s="3">
        <f>MONTH(Tabela1[[#This Row],[Último pagto ano]])</f>
        <v>10</v>
      </c>
      <c r="H6236" t="str">
        <f>TEXT(Tabela1[[#This Row],[Coluna2]]*29,"mmmm")</f>
        <v>outubro</v>
      </c>
      <c r="I6236" t="str">
        <f>TEXT(MONTH(Tabela1[[#This Row],[Último pagto ano]])*29,"mmmm")</f>
        <v>outubro</v>
      </c>
    </row>
    <row r="6237" spans="1:9" x14ac:dyDescent="0.25">
      <c r="A6237">
        <v>2025</v>
      </c>
      <c r="B6237" t="s">
        <v>12418</v>
      </c>
      <c r="C6237" s="1">
        <v>45996</v>
      </c>
      <c r="D6237" t="s">
        <v>12419</v>
      </c>
      <c r="E6237" s="2">
        <v>39686</v>
      </c>
      <c r="G6237" s="3">
        <f>MONTH(Tabela1[[#This Row],[Último pagto ano]])</f>
        <v>12</v>
      </c>
      <c r="H6237" t="str">
        <f>TEXT(Tabela1[[#This Row],[Coluna2]]*29,"mmmm")</f>
        <v>dezembro</v>
      </c>
      <c r="I6237" t="str">
        <f>TEXT(MONTH(Tabela1[[#This Row],[Último pagto ano]])*29,"mmmm")</f>
        <v>dezembro</v>
      </c>
    </row>
    <row r="6238" spans="1:9" x14ac:dyDescent="0.25">
      <c r="A6238">
        <v>2025</v>
      </c>
      <c r="B6238" t="s">
        <v>12420</v>
      </c>
      <c r="C6238" s="1">
        <v>45978</v>
      </c>
      <c r="D6238" t="s">
        <v>12421</v>
      </c>
      <c r="E6238" s="2">
        <v>3170</v>
      </c>
      <c r="G6238" s="3">
        <f>MONTH(Tabela1[[#This Row],[Último pagto ano]])</f>
        <v>11</v>
      </c>
      <c r="H6238" t="str">
        <f>TEXT(Tabela1[[#This Row],[Coluna2]]*29,"mmmm")</f>
        <v>novembro</v>
      </c>
      <c r="I6238" t="str">
        <f>TEXT(MONTH(Tabela1[[#This Row],[Último pagto ano]])*29,"mmmm")</f>
        <v>novembro</v>
      </c>
    </row>
    <row r="6239" spans="1:9" x14ac:dyDescent="0.25">
      <c r="A6239">
        <v>2025</v>
      </c>
      <c r="B6239" t="s">
        <v>12422</v>
      </c>
      <c r="C6239" s="1">
        <v>46014</v>
      </c>
      <c r="D6239" t="s">
        <v>12423</v>
      </c>
      <c r="E6239" s="2">
        <v>70039699.629999995</v>
      </c>
      <c r="G6239" s="3">
        <f>MONTH(Tabela1[[#This Row],[Último pagto ano]])</f>
        <v>12</v>
      </c>
      <c r="H6239" t="str">
        <f>TEXT(Tabela1[[#This Row],[Coluna2]]*29,"mmmm")</f>
        <v>dezembro</v>
      </c>
      <c r="I6239" t="str">
        <f>TEXT(MONTH(Tabela1[[#This Row],[Último pagto ano]])*29,"mmmm")</f>
        <v>dezembro</v>
      </c>
    </row>
    <row r="6240" spans="1:9" x14ac:dyDescent="0.25">
      <c r="A6240">
        <v>2025</v>
      </c>
      <c r="B6240" t="s">
        <v>12424</v>
      </c>
      <c r="C6240" s="1">
        <v>45985</v>
      </c>
      <c r="D6240" t="s">
        <v>12425</v>
      </c>
      <c r="E6240" s="2">
        <v>599072</v>
      </c>
      <c r="G6240" s="3">
        <f>MONTH(Tabela1[[#This Row],[Último pagto ano]])</f>
        <v>11</v>
      </c>
      <c r="H6240" t="str">
        <f>TEXT(Tabela1[[#This Row],[Coluna2]]*29,"mmmm")</f>
        <v>novembro</v>
      </c>
      <c r="I6240" t="str">
        <f>TEXT(MONTH(Tabela1[[#This Row],[Último pagto ano]])*29,"mmmm")</f>
        <v>novembro</v>
      </c>
    </row>
    <row r="6241" spans="1:9" x14ac:dyDescent="0.25">
      <c r="A6241">
        <v>2025</v>
      </c>
      <c r="B6241" t="s">
        <v>12426</v>
      </c>
      <c r="C6241" s="1">
        <v>45702</v>
      </c>
      <c r="D6241" t="s">
        <v>12427</v>
      </c>
      <c r="E6241">
        <v>596.89</v>
      </c>
      <c r="G6241" s="3">
        <f>MONTH(Tabela1[[#This Row],[Último pagto ano]])</f>
        <v>2</v>
      </c>
      <c r="H6241" t="str">
        <f>TEXT(Tabela1[[#This Row],[Coluna2]]*29,"mmmm")</f>
        <v>fevereiro</v>
      </c>
      <c r="I6241" t="str">
        <f>TEXT(MONTH(Tabela1[[#This Row],[Último pagto ano]])*29,"mmmm")</f>
        <v>fevereiro</v>
      </c>
    </row>
    <row r="6242" spans="1:9" x14ac:dyDescent="0.25">
      <c r="A6242">
        <v>2025</v>
      </c>
      <c r="B6242" t="s">
        <v>12428</v>
      </c>
      <c r="C6242" s="1">
        <v>45989</v>
      </c>
      <c r="D6242" t="s">
        <v>12429</v>
      </c>
      <c r="E6242" s="2">
        <v>11241.48</v>
      </c>
      <c r="G6242" s="3">
        <f>MONTH(Tabela1[[#This Row],[Último pagto ano]])</f>
        <v>11</v>
      </c>
      <c r="H6242" t="str">
        <f>TEXT(Tabela1[[#This Row],[Coluna2]]*29,"mmmm")</f>
        <v>novembro</v>
      </c>
      <c r="I6242" t="str">
        <f>TEXT(MONTH(Tabela1[[#This Row],[Último pagto ano]])*29,"mmmm")</f>
        <v>novembro</v>
      </c>
    </row>
    <row r="6243" spans="1:9" x14ac:dyDescent="0.25">
      <c r="A6243">
        <v>2025</v>
      </c>
      <c r="B6243" t="s">
        <v>12430</v>
      </c>
      <c r="C6243" s="1">
        <v>46021</v>
      </c>
      <c r="D6243" t="s">
        <v>12431</v>
      </c>
      <c r="E6243" s="2">
        <v>12682.87</v>
      </c>
      <c r="G6243" s="3">
        <f>MONTH(Tabela1[[#This Row],[Último pagto ano]])</f>
        <v>12</v>
      </c>
      <c r="H6243" t="str">
        <f>TEXT(Tabela1[[#This Row],[Coluna2]]*29,"mmmm")</f>
        <v>dezembro</v>
      </c>
      <c r="I6243" t="str">
        <f>TEXT(MONTH(Tabela1[[#This Row],[Último pagto ano]])*29,"mmmm")</f>
        <v>dezembro</v>
      </c>
    </row>
    <row r="6244" spans="1:9" x14ac:dyDescent="0.25">
      <c r="A6244">
        <v>2025</v>
      </c>
      <c r="B6244" t="s">
        <v>12432</v>
      </c>
      <c r="C6244" s="1">
        <v>46021</v>
      </c>
      <c r="D6244" t="s">
        <v>12433</v>
      </c>
      <c r="E6244" s="2">
        <v>1601.91</v>
      </c>
      <c r="G6244" s="3">
        <f>MONTH(Tabela1[[#This Row],[Último pagto ano]])</f>
        <v>12</v>
      </c>
      <c r="H6244" t="str">
        <f>TEXT(Tabela1[[#This Row],[Coluna2]]*29,"mmmm")</f>
        <v>dezembro</v>
      </c>
      <c r="I6244" t="str">
        <f>TEXT(MONTH(Tabela1[[#This Row],[Último pagto ano]])*29,"mmmm")</f>
        <v>dezembro</v>
      </c>
    </row>
    <row r="6245" spans="1:9" x14ac:dyDescent="0.25">
      <c r="A6245">
        <v>2025</v>
      </c>
      <c r="B6245" t="s">
        <v>12434</v>
      </c>
      <c r="C6245" s="1">
        <v>46021</v>
      </c>
      <c r="D6245" t="s">
        <v>12435</v>
      </c>
      <c r="E6245" s="2">
        <v>3588.85</v>
      </c>
      <c r="G6245" s="3">
        <f>MONTH(Tabela1[[#This Row],[Último pagto ano]])</f>
        <v>12</v>
      </c>
      <c r="H6245" t="str">
        <f>TEXT(Tabela1[[#This Row],[Coluna2]]*29,"mmmm")</f>
        <v>dezembro</v>
      </c>
      <c r="I6245" t="str">
        <f>TEXT(MONTH(Tabela1[[#This Row],[Último pagto ano]])*29,"mmmm")</f>
        <v>dezembro</v>
      </c>
    </row>
    <row r="6246" spans="1:9" x14ac:dyDescent="0.25">
      <c r="A6246">
        <v>2025</v>
      </c>
      <c r="B6246" t="s">
        <v>12436</v>
      </c>
      <c r="C6246" s="1">
        <v>46010</v>
      </c>
      <c r="D6246" t="s">
        <v>12437</v>
      </c>
      <c r="E6246" s="2">
        <v>1000</v>
      </c>
      <c r="G6246" s="3">
        <f>MONTH(Tabela1[[#This Row],[Último pagto ano]])</f>
        <v>12</v>
      </c>
      <c r="H6246" t="str">
        <f>TEXT(Tabela1[[#This Row],[Coluna2]]*29,"mmmm")</f>
        <v>dezembro</v>
      </c>
      <c r="I6246" t="str">
        <f>TEXT(MONTH(Tabela1[[#This Row],[Último pagto ano]])*29,"mmmm")</f>
        <v>dezembro</v>
      </c>
    </row>
    <row r="6247" spans="1:9" x14ac:dyDescent="0.25">
      <c r="A6247">
        <v>2025</v>
      </c>
      <c r="B6247" t="s">
        <v>12438</v>
      </c>
      <c r="C6247" s="1">
        <v>45849</v>
      </c>
      <c r="D6247" t="s">
        <v>12439</v>
      </c>
      <c r="E6247" s="2">
        <v>5158.3599999999997</v>
      </c>
      <c r="G6247" s="3">
        <f>MONTH(Tabela1[[#This Row],[Último pagto ano]])</f>
        <v>7</v>
      </c>
      <c r="H6247" t="str">
        <f>TEXT(Tabela1[[#This Row],[Coluna2]]*29,"mmmm")</f>
        <v>julho</v>
      </c>
      <c r="I6247" t="str">
        <f>TEXT(MONTH(Tabela1[[#This Row],[Último pagto ano]])*29,"mmmm")</f>
        <v>julho</v>
      </c>
    </row>
    <row r="6248" spans="1:9" x14ac:dyDescent="0.25">
      <c r="A6248">
        <v>2025</v>
      </c>
      <c r="B6248" t="s">
        <v>12440</v>
      </c>
      <c r="C6248" s="1">
        <v>46010</v>
      </c>
      <c r="D6248" t="s">
        <v>12441</v>
      </c>
      <c r="E6248" s="2">
        <v>7700</v>
      </c>
      <c r="G6248" s="3">
        <f>MONTH(Tabela1[[#This Row],[Último pagto ano]])</f>
        <v>12</v>
      </c>
      <c r="H6248" t="str">
        <f>TEXT(Tabela1[[#This Row],[Coluna2]]*29,"mmmm")</f>
        <v>dezembro</v>
      </c>
      <c r="I6248" t="str">
        <f>TEXT(MONTH(Tabela1[[#This Row],[Último pagto ano]])*29,"mmmm")</f>
        <v>dezembro</v>
      </c>
    </row>
    <row r="6249" spans="1:9" x14ac:dyDescent="0.25">
      <c r="A6249">
        <v>2025</v>
      </c>
      <c r="B6249" t="s">
        <v>12442</v>
      </c>
      <c r="C6249" s="1">
        <v>45996</v>
      </c>
      <c r="D6249" t="s">
        <v>12443</v>
      </c>
      <c r="E6249" s="2">
        <v>4200</v>
      </c>
      <c r="G6249" s="3">
        <f>MONTH(Tabela1[[#This Row],[Último pagto ano]])</f>
        <v>12</v>
      </c>
      <c r="H6249" t="str">
        <f>TEXT(Tabela1[[#This Row],[Coluna2]]*29,"mmmm")</f>
        <v>dezembro</v>
      </c>
      <c r="I6249" t="str">
        <f>TEXT(MONTH(Tabela1[[#This Row],[Último pagto ano]])*29,"mmmm")</f>
        <v>dezembro</v>
      </c>
    </row>
    <row r="6250" spans="1:9" x14ac:dyDescent="0.25">
      <c r="A6250">
        <v>2025</v>
      </c>
      <c r="B6250" t="s">
        <v>12444</v>
      </c>
      <c r="C6250" s="1">
        <v>45712</v>
      </c>
      <c r="D6250" t="s">
        <v>12445</v>
      </c>
      <c r="E6250" s="2">
        <v>1400</v>
      </c>
      <c r="G6250" s="3">
        <f>MONTH(Tabela1[[#This Row],[Último pagto ano]])</f>
        <v>2</v>
      </c>
      <c r="H6250" t="str">
        <f>TEXT(Tabela1[[#This Row],[Coluna2]]*29,"mmmm")</f>
        <v>fevereiro</v>
      </c>
      <c r="I6250" t="str">
        <f>TEXT(MONTH(Tabela1[[#This Row],[Último pagto ano]])*29,"mmmm")</f>
        <v>fevereiro</v>
      </c>
    </row>
    <row r="6251" spans="1:9" x14ac:dyDescent="0.25">
      <c r="A6251">
        <v>2025</v>
      </c>
      <c r="B6251" t="s">
        <v>12446</v>
      </c>
      <c r="C6251" s="1">
        <v>45985</v>
      </c>
      <c r="D6251" t="s">
        <v>12447</v>
      </c>
      <c r="E6251">
        <v>154</v>
      </c>
      <c r="G6251" s="3">
        <f>MONTH(Tabela1[[#This Row],[Último pagto ano]])</f>
        <v>11</v>
      </c>
      <c r="H6251" t="str">
        <f>TEXT(Tabela1[[#This Row],[Coluna2]]*29,"mmmm")</f>
        <v>novembro</v>
      </c>
      <c r="I6251" t="str">
        <f>TEXT(MONTH(Tabela1[[#This Row],[Último pagto ano]])*29,"mmmm")</f>
        <v>novembro</v>
      </c>
    </row>
    <row r="6252" spans="1:9" x14ac:dyDescent="0.25">
      <c r="A6252">
        <v>2025</v>
      </c>
      <c r="B6252" t="s">
        <v>12448</v>
      </c>
      <c r="C6252" s="1">
        <v>45712</v>
      </c>
      <c r="D6252" t="s">
        <v>12449</v>
      </c>
      <c r="E6252" s="2">
        <v>4460.3999999999996</v>
      </c>
      <c r="G6252" s="3">
        <f>MONTH(Tabela1[[#This Row],[Último pagto ano]])</f>
        <v>2</v>
      </c>
      <c r="H6252" t="str">
        <f>TEXT(Tabela1[[#This Row],[Coluna2]]*29,"mmmm")</f>
        <v>fevereiro</v>
      </c>
      <c r="I6252" t="str">
        <f>TEXT(MONTH(Tabela1[[#This Row],[Último pagto ano]])*29,"mmmm")</f>
        <v>fevereiro</v>
      </c>
    </row>
    <row r="6253" spans="1:9" x14ac:dyDescent="0.25">
      <c r="A6253">
        <v>2025</v>
      </c>
      <c r="B6253" t="s">
        <v>12448</v>
      </c>
      <c r="C6253" s="1">
        <v>45702</v>
      </c>
      <c r="D6253" t="s">
        <v>12449</v>
      </c>
      <c r="E6253" s="2">
        <v>1292.7</v>
      </c>
      <c r="G6253" s="3">
        <f>MONTH(Tabela1[[#This Row],[Último pagto ano]])</f>
        <v>2</v>
      </c>
      <c r="H6253" t="str">
        <f>TEXT(Tabela1[[#This Row],[Coluna2]]*29,"mmmm")</f>
        <v>fevereiro</v>
      </c>
      <c r="I6253" t="str">
        <f>TEXT(MONTH(Tabela1[[#This Row],[Último pagto ano]])*29,"mmmm")</f>
        <v>fevereiro</v>
      </c>
    </row>
    <row r="6254" spans="1:9" x14ac:dyDescent="0.25">
      <c r="A6254">
        <v>2025</v>
      </c>
      <c r="B6254" t="s">
        <v>12450</v>
      </c>
      <c r="C6254" s="1">
        <v>45702</v>
      </c>
      <c r="D6254" t="s">
        <v>12451</v>
      </c>
      <c r="E6254" s="2">
        <v>300672</v>
      </c>
      <c r="G6254" s="3">
        <f>MONTH(Tabela1[[#This Row],[Último pagto ano]])</f>
        <v>2</v>
      </c>
      <c r="H6254" t="str">
        <f>TEXT(Tabela1[[#This Row],[Coluna2]]*29,"mmmm")</f>
        <v>fevereiro</v>
      </c>
      <c r="I6254" t="str">
        <f>TEXT(MONTH(Tabela1[[#This Row],[Último pagto ano]])*29,"mmmm")</f>
        <v>fevereiro</v>
      </c>
    </row>
    <row r="6255" spans="1:9" x14ac:dyDescent="0.25">
      <c r="A6255">
        <v>2025</v>
      </c>
      <c r="B6255" t="s">
        <v>12452</v>
      </c>
      <c r="C6255" s="1">
        <v>46008</v>
      </c>
      <c r="D6255" t="s">
        <v>12453</v>
      </c>
      <c r="E6255" s="2">
        <v>230356</v>
      </c>
      <c r="G6255" s="3">
        <f>MONTH(Tabela1[[#This Row],[Último pagto ano]])</f>
        <v>12</v>
      </c>
      <c r="H6255" t="str">
        <f>TEXT(Tabela1[[#This Row],[Coluna2]]*29,"mmmm")</f>
        <v>dezembro</v>
      </c>
      <c r="I6255" t="str">
        <f>TEXT(MONTH(Tabela1[[#This Row],[Último pagto ano]])*29,"mmmm")</f>
        <v>dezembro</v>
      </c>
    </row>
    <row r="6256" spans="1:9" x14ac:dyDescent="0.25">
      <c r="A6256">
        <v>2025</v>
      </c>
      <c r="B6256" t="s">
        <v>12454</v>
      </c>
      <c r="C6256" s="1">
        <v>45702</v>
      </c>
      <c r="D6256" t="s">
        <v>12455</v>
      </c>
      <c r="E6256">
        <v>15.47</v>
      </c>
      <c r="G6256" s="3">
        <f>MONTH(Tabela1[[#This Row],[Último pagto ano]])</f>
        <v>2</v>
      </c>
      <c r="H6256" t="str">
        <f>TEXT(Tabela1[[#This Row],[Coluna2]]*29,"mmmm")</f>
        <v>fevereiro</v>
      </c>
      <c r="I6256" t="str">
        <f>TEXT(MONTH(Tabela1[[#This Row],[Último pagto ano]])*29,"mmmm")</f>
        <v>fevereiro</v>
      </c>
    </row>
    <row r="6257" spans="1:9" x14ac:dyDescent="0.25">
      <c r="A6257">
        <v>2025</v>
      </c>
      <c r="B6257" t="s">
        <v>12456</v>
      </c>
      <c r="C6257" s="1">
        <v>45999</v>
      </c>
      <c r="D6257" t="s">
        <v>12457</v>
      </c>
      <c r="E6257">
        <v>990.57</v>
      </c>
      <c r="G6257" s="3">
        <f>MONTH(Tabela1[[#This Row],[Último pagto ano]])</f>
        <v>12</v>
      </c>
      <c r="H6257" t="str">
        <f>TEXT(Tabela1[[#This Row],[Coluna2]]*29,"mmmm")</f>
        <v>dezembro</v>
      </c>
      <c r="I6257" t="str">
        <f>TEXT(MONTH(Tabela1[[#This Row],[Último pagto ano]])*29,"mmmm")</f>
        <v>dezembro</v>
      </c>
    </row>
    <row r="6258" spans="1:9" x14ac:dyDescent="0.25">
      <c r="A6258">
        <v>2025</v>
      </c>
      <c r="B6258" t="s">
        <v>12458</v>
      </c>
      <c r="C6258" s="1">
        <v>45915</v>
      </c>
      <c r="D6258" t="s">
        <v>12459</v>
      </c>
      <c r="E6258" s="2">
        <v>5896.64</v>
      </c>
      <c r="G6258" s="3">
        <f>MONTH(Tabela1[[#This Row],[Último pagto ano]])</f>
        <v>9</v>
      </c>
      <c r="H6258" t="str">
        <f>TEXT(Tabela1[[#This Row],[Coluna2]]*29,"mmmm")</f>
        <v>setembro</v>
      </c>
      <c r="I6258" t="str">
        <f>TEXT(MONTH(Tabela1[[#This Row],[Último pagto ano]])*29,"mmmm")</f>
        <v>setembro</v>
      </c>
    </row>
    <row r="6259" spans="1:9" x14ac:dyDescent="0.25">
      <c r="A6259">
        <v>2025</v>
      </c>
      <c r="B6259" t="s">
        <v>12460</v>
      </c>
      <c r="C6259" s="1">
        <v>45821</v>
      </c>
      <c r="D6259" t="s">
        <v>12461</v>
      </c>
      <c r="E6259">
        <v>169.75</v>
      </c>
      <c r="G6259" s="3">
        <f>MONTH(Tabela1[[#This Row],[Último pagto ano]])</f>
        <v>6</v>
      </c>
      <c r="H6259" t="str">
        <f>TEXT(Tabela1[[#This Row],[Coluna2]]*29,"mmmm")</f>
        <v>junho</v>
      </c>
      <c r="I6259" t="str">
        <f>TEXT(MONTH(Tabela1[[#This Row],[Último pagto ano]])*29,"mmmm")</f>
        <v>junho</v>
      </c>
    </row>
    <row r="6260" spans="1:9" x14ac:dyDescent="0.25">
      <c r="A6260">
        <v>2025</v>
      </c>
      <c r="B6260" t="s">
        <v>12462</v>
      </c>
      <c r="C6260" s="1">
        <v>45782</v>
      </c>
      <c r="D6260" t="s">
        <v>12463</v>
      </c>
      <c r="E6260">
        <v>1.1599999999999999</v>
      </c>
      <c r="G6260" s="3">
        <f>MONTH(Tabela1[[#This Row],[Último pagto ano]])</f>
        <v>5</v>
      </c>
      <c r="H6260" t="str">
        <f>TEXT(Tabela1[[#This Row],[Coluna2]]*29,"mmmm")</f>
        <v>maio</v>
      </c>
      <c r="I6260" t="str">
        <f>TEXT(MONTH(Tabela1[[#This Row],[Último pagto ano]])*29,"mmmm")</f>
        <v>maio</v>
      </c>
    </row>
    <row r="6261" spans="1:9" x14ac:dyDescent="0.25">
      <c r="A6261">
        <v>2025</v>
      </c>
      <c r="B6261" t="s">
        <v>12464</v>
      </c>
      <c r="C6261" s="1">
        <v>45880</v>
      </c>
      <c r="D6261" t="s">
        <v>12465</v>
      </c>
      <c r="E6261">
        <v>4.92</v>
      </c>
      <c r="G6261" s="3">
        <f>MONTH(Tabela1[[#This Row],[Último pagto ano]])</f>
        <v>8</v>
      </c>
      <c r="H6261" t="str">
        <f>TEXT(Tabela1[[#This Row],[Coluna2]]*29,"mmmm")</f>
        <v>agosto</v>
      </c>
      <c r="I6261" t="str">
        <f>TEXT(MONTH(Tabela1[[#This Row],[Último pagto ano]])*29,"mmmm")</f>
        <v>agosto</v>
      </c>
    </row>
    <row r="6262" spans="1:9" x14ac:dyDescent="0.25">
      <c r="A6262">
        <v>2025</v>
      </c>
      <c r="B6262" t="s">
        <v>12466</v>
      </c>
      <c r="C6262" s="1">
        <v>45854</v>
      </c>
      <c r="D6262" t="s">
        <v>12467</v>
      </c>
      <c r="E6262" s="2">
        <v>9325.01</v>
      </c>
      <c r="G6262" s="3">
        <f>MONTH(Tabela1[[#This Row],[Último pagto ano]])</f>
        <v>7</v>
      </c>
      <c r="H6262" t="str">
        <f>TEXT(Tabela1[[#This Row],[Coluna2]]*29,"mmmm")</f>
        <v>julho</v>
      </c>
      <c r="I6262" t="str">
        <f>TEXT(MONTH(Tabela1[[#This Row],[Último pagto ano]])*29,"mmmm")</f>
        <v>julho</v>
      </c>
    </row>
    <row r="6263" spans="1:9" x14ac:dyDescent="0.25">
      <c r="A6263">
        <v>2025</v>
      </c>
      <c r="B6263" t="s">
        <v>12468</v>
      </c>
      <c r="C6263" s="1">
        <v>46021</v>
      </c>
      <c r="D6263" t="s">
        <v>12469</v>
      </c>
      <c r="E6263" s="2">
        <v>42689741.149999999</v>
      </c>
      <c r="G6263" s="3">
        <f>MONTH(Tabela1[[#This Row],[Último pagto ano]])</f>
        <v>12</v>
      </c>
      <c r="H6263" t="str">
        <f>TEXT(Tabela1[[#This Row],[Coluna2]]*29,"mmmm")</f>
        <v>dezembro</v>
      </c>
      <c r="I6263" t="str">
        <f>TEXT(MONTH(Tabela1[[#This Row],[Último pagto ano]])*29,"mmmm")</f>
        <v>dezembro</v>
      </c>
    </row>
    <row r="6264" spans="1:9" x14ac:dyDescent="0.25">
      <c r="A6264">
        <v>2025</v>
      </c>
      <c r="B6264" t="s">
        <v>12470</v>
      </c>
      <c r="C6264" s="1">
        <v>45943</v>
      </c>
      <c r="D6264" t="s">
        <v>12471</v>
      </c>
      <c r="E6264" s="2">
        <v>79808.240000000005</v>
      </c>
      <c r="G6264" s="3">
        <f>MONTH(Tabela1[[#This Row],[Último pagto ano]])</f>
        <v>10</v>
      </c>
      <c r="H6264" t="str">
        <f>TEXT(Tabela1[[#This Row],[Coluna2]]*29,"mmmm")</f>
        <v>outubro</v>
      </c>
      <c r="I6264" t="str">
        <f>TEXT(MONTH(Tabela1[[#This Row],[Último pagto ano]])*29,"mmmm")</f>
        <v>outubro</v>
      </c>
    </row>
    <row r="6265" spans="1:9" x14ac:dyDescent="0.25">
      <c r="A6265">
        <v>2025</v>
      </c>
      <c r="B6265" t="s">
        <v>12472</v>
      </c>
      <c r="C6265" s="1">
        <v>45968</v>
      </c>
      <c r="D6265" t="s">
        <v>12473</v>
      </c>
      <c r="E6265" s="2">
        <v>15000</v>
      </c>
      <c r="G6265" s="3">
        <f>MONTH(Tabela1[[#This Row],[Último pagto ano]])</f>
        <v>11</v>
      </c>
      <c r="H6265" t="str">
        <f>TEXT(Tabela1[[#This Row],[Coluna2]]*29,"mmmm")</f>
        <v>novembro</v>
      </c>
      <c r="I6265" t="str">
        <f>TEXT(MONTH(Tabela1[[#This Row],[Último pagto ano]])*29,"mmmm")</f>
        <v>novembro</v>
      </c>
    </row>
    <row r="6266" spans="1:9" x14ac:dyDescent="0.25">
      <c r="A6266">
        <v>2025</v>
      </c>
      <c r="B6266" t="s">
        <v>12474</v>
      </c>
      <c r="C6266" s="1">
        <v>45922</v>
      </c>
      <c r="D6266" t="s">
        <v>12475</v>
      </c>
      <c r="E6266">
        <v>26</v>
      </c>
      <c r="G6266" s="3">
        <f>MONTH(Tabela1[[#This Row],[Último pagto ano]])</f>
        <v>9</v>
      </c>
      <c r="H6266" t="str">
        <f>TEXT(Tabela1[[#This Row],[Coluna2]]*29,"mmmm")</f>
        <v>setembro</v>
      </c>
      <c r="I6266" t="str">
        <f>TEXT(MONTH(Tabela1[[#This Row],[Último pagto ano]])*29,"mmmm")</f>
        <v>setembro</v>
      </c>
    </row>
    <row r="6267" spans="1:9" x14ac:dyDescent="0.25">
      <c r="A6267">
        <v>2025</v>
      </c>
      <c r="B6267" t="s">
        <v>12476</v>
      </c>
      <c r="C6267" s="1">
        <v>45702</v>
      </c>
      <c r="D6267" t="s">
        <v>12477</v>
      </c>
      <c r="E6267">
        <v>6.66</v>
      </c>
      <c r="G6267" s="3">
        <f>MONTH(Tabela1[[#This Row],[Último pagto ano]])</f>
        <v>2</v>
      </c>
      <c r="H6267" t="str">
        <f>TEXT(Tabela1[[#This Row],[Coluna2]]*29,"mmmm")</f>
        <v>fevereiro</v>
      </c>
      <c r="I6267" t="str">
        <f>TEXT(MONTH(Tabela1[[#This Row],[Último pagto ano]])*29,"mmmm")</f>
        <v>fevereiro</v>
      </c>
    </row>
    <row r="6268" spans="1:9" x14ac:dyDescent="0.25">
      <c r="A6268">
        <v>2025</v>
      </c>
      <c r="B6268" t="s">
        <v>12478</v>
      </c>
      <c r="C6268" s="1">
        <v>46010</v>
      </c>
      <c r="D6268" t="s">
        <v>12479</v>
      </c>
      <c r="E6268" s="2">
        <v>9400</v>
      </c>
      <c r="G6268" s="3">
        <f>MONTH(Tabela1[[#This Row],[Último pagto ano]])</f>
        <v>12</v>
      </c>
      <c r="H6268" t="str">
        <f>TEXT(Tabela1[[#This Row],[Coluna2]]*29,"mmmm")</f>
        <v>dezembro</v>
      </c>
      <c r="I6268" t="str">
        <f>TEXT(MONTH(Tabela1[[#This Row],[Último pagto ano]])*29,"mmmm")</f>
        <v>dezembro</v>
      </c>
    </row>
    <row r="6269" spans="1:9" x14ac:dyDescent="0.25">
      <c r="A6269">
        <v>2025</v>
      </c>
      <c r="B6269" t="s">
        <v>12480</v>
      </c>
      <c r="C6269" s="1">
        <v>46021</v>
      </c>
      <c r="D6269" t="s">
        <v>12481</v>
      </c>
      <c r="E6269" s="2">
        <v>7517.25</v>
      </c>
      <c r="G6269" s="3">
        <f>MONTH(Tabela1[[#This Row],[Último pagto ano]])</f>
        <v>12</v>
      </c>
      <c r="H6269" t="str">
        <f>TEXT(Tabela1[[#This Row],[Coluna2]]*29,"mmmm")</f>
        <v>dezembro</v>
      </c>
      <c r="I6269" t="str">
        <f>TEXT(MONTH(Tabela1[[#This Row],[Último pagto ano]])*29,"mmmm")</f>
        <v>dezembro</v>
      </c>
    </row>
    <row r="6270" spans="1:9" x14ac:dyDescent="0.25">
      <c r="A6270">
        <v>2025</v>
      </c>
      <c r="B6270" t="s">
        <v>12482</v>
      </c>
      <c r="C6270" s="1">
        <v>45989</v>
      </c>
      <c r="D6270" t="s">
        <v>12483</v>
      </c>
      <c r="E6270" s="2">
        <v>4284.1400000000003</v>
      </c>
      <c r="G6270" s="3">
        <f>MONTH(Tabela1[[#This Row],[Último pagto ano]])</f>
        <v>11</v>
      </c>
      <c r="H6270" t="str">
        <f>TEXT(Tabela1[[#This Row],[Coluna2]]*29,"mmmm")</f>
        <v>novembro</v>
      </c>
      <c r="I6270" t="str">
        <f>TEXT(MONTH(Tabela1[[#This Row],[Último pagto ano]])*29,"mmmm")</f>
        <v>novembro</v>
      </c>
    </row>
    <row r="6271" spans="1:9" x14ac:dyDescent="0.25">
      <c r="A6271">
        <v>2025</v>
      </c>
      <c r="B6271" t="s">
        <v>12484</v>
      </c>
      <c r="C6271" s="1">
        <v>45702</v>
      </c>
      <c r="D6271" t="s">
        <v>12485</v>
      </c>
      <c r="E6271" s="2">
        <v>1288.31</v>
      </c>
      <c r="G6271" s="3">
        <f>MONTH(Tabela1[[#This Row],[Último pagto ano]])</f>
        <v>2</v>
      </c>
      <c r="H6271" t="str">
        <f>TEXT(Tabela1[[#This Row],[Coluna2]]*29,"mmmm")</f>
        <v>fevereiro</v>
      </c>
      <c r="I6271" t="str">
        <f>TEXT(MONTH(Tabela1[[#This Row],[Último pagto ano]])*29,"mmmm")</f>
        <v>fevereiro</v>
      </c>
    </row>
    <row r="6272" spans="1:9" x14ac:dyDescent="0.25">
      <c r="A6272">
        <v>2025</v>
      </c>
      <c r="B6272" t="s">
        <v>12486</v>
      </c>
      <c r="C6272" s="1">
        <v>45964</v>
      </c>
      <c r="D6272" t="s">
        <v>12487</v>
      </c>
      <c r="E6272">
        <v>110</v>
      </c>
      <c r="G6272" s="3">
        <f>MONTH(Tabela1[[#This Row],[Último pagto ano]])</f>
        <v>11</v>
      </c>
      <c r="H6272" t="str">
        <f>TEXT(Tabela1[[#This Row],[Coluna2]]*29,"mmmm")</f>
        <v>novembro</v>
      </c>
      <c r="I6272" t="str">
        <f>TEXT(MONTH(Tabela1[[#This Row],[Último pagto ano]])*29,"mmmm")</f>
        <v>novembro</v>
      </c>
    </row>
    <row r="6273" spans="1:9" x14ac:dyDescent="0.25">
      <c r="A6273">
        <v>2025</v>
      </c>
      <c r="B6273" t="s">
        <v>12488</v>
      </c>
      <c r="C6273" s="1">
        <v>46010</v>
      </c>
      <c r="D6273" t="s">
        <v>12489</v>
      </c>
      <c r="E6273" s="2">
        <v>12000</v>
      </c>
      <c r="G6273" s="3">
        <f>MONTH(Tabela1[[#This Row],[Último pagto ano]])</f>
        <v>12</v>
      </c>
      <c r="H6273" t="str">
        <f>TEXT(Tabela1[[#This Row],[Coluna2]]*29,"mmmm")</f>
        <v>dezembro</v>
      </c>
      <c r="I6273" t="str">
        <f>TEXT(MONTH(Tabela1[[#This Row],[Último pagto ano]])*29,"mmmm")</f>
        <v>dezembro</v>
      </c>
    </row>
    <row r="6274" spans="1:9" x14ac:dyDescent="0.25">
      <c r="A6274">
        <v>2025</v>
      </c>
      <c r="B6274" t="s">
        <v>12490</v>
      </c>
      <c r="C6274" s="1">
        <v>46014</v>
      </c>
      <c r="D6274" t="s">
        <v>12491</v>
      </c>
      <c r="E6274">
        <v>54.4</v>
      </c>
      <c r="G6274" s="3">
        <f>MONTH(Tabela1[[#This Row],[Último pagto ano]])</f>
        <v>12</v>
      </c>
      <c r="H6274" t="str">
        <f>TEXT(Tabela1[[#This Row],[Coluna2]]*29,"mmmm")</f>
        <v>dezembro</v>
      </c>
      <c r="I6274" t="str">
        <f>TEXT(MONTH(Tabela1[[#This Row],[Último pagto ano]])*29,"mmmm")</f>
        <v>dezembro</v>
      </c>
    </row>
    <row r="6275" spans="1:9" x14ac:dyDescent="0.25">
      <c r="A6275">
        <v>2025</v>
      </c>
      <c r="B6275" t="s">
        <v>12492</v>
      </c>
      <c r="C6275" s="1">
        <v>46010</v>
      </c>
      <c r="D6275" t="s">
        <v>12493</v>
      </c>
      <c r="E6275" s="2">
        <v>8400</v>
      </c>
      <c r="G6275" s="3">
        <f>MONTH(Tabela1[[#This Row],[Último pagto ano]])</f>
        <v>12</v>
      </c>
      <c r="H6275" t="str">
        <f>TEXT(Tabela1[[#This Row],[Coluna2]]*29,"mmmm")</f>
        <v>dezembro</v>
      </c>
      <c r="I6275" t="str">
        <f>TEXT(MONTH(Tabela1[[#This Row],[Último pagto ano]])*29,"mmmm")</f>
        <v>dezembro</v>
      </c>
    </row>
    <row r="6276" spans="1:9" x14ac:dyDescent="0.25">
      <c r="A6276">
        <v>2025</v>
      </c>
      <c r="B6276" t="s">
        <v>12494</v>
      </c>
      <c r="C6276" s="1">
        <v>45817</v>
      </c>
      <c r="D6276" t="s">
        <v>12495</v>
      </c>
      <c r="E6276">
        <v>24.94</v>
      </c>
      <c r="G6276" s="3">
        <f>MONTH(Tabela1[[#This Row],[Último pagto ano]])</f>
        <v>6</v>
      </c>
      <c r="H6276" t="str">
        <f>TEXT(Tabela1[[#This Row],[Coluna2]]*29,"mmmm")</f>
        <v>junho</v>
      </c>
      <c r="I6276" t="str">
        <f>TEXT(MONTH(Tabela1[[#This Row],[Último pagto ano]])*29,"mmmm")</f>
        <v>junho</v>
      </c>
    </row>
    <row r="6277" spans="1:9" x14ac:dyDescent="0.25">
      <c r="A6277">
        <v>2025</v>
      </c>
      <c r="B6277" t="s">
        <v>12496</v>
      </c>
      <c r="C6277" s="1">
        <v>45910</v>
      </c>
      <c r="D6277" t="s">
        <v>12497</v>
      </c>
      <c r="E6277">
        <v>640</v>
      </c>
      <c r="G6277" s="3">
        <f>MONTH(Tabela1[[#This Row],[Último pagto ano]])</f>
        <v>9</v>
      </c>
      <c r="H6277" t="str">
        <f>TEXT(Tabela1[[#This Row],[Coluna2]]*29,"mmmm")</f>
        <v>setembro</v>
      </c>
      <c r="I6277" t="str">
        <f>TEXT(MONTH(Tabela1[[#This Row],[Último pagto ano]])*29,"mmmm")</f>
        <v>setembro</v>
      </c>
    </row>
    <row r="6278" spans="1:9" x14ac:dyDescent="0.25">
      <c r="A6278">
        <v>2025</v>
      </c>
      <c r="B6278" t="s">
        <v>12498</v>
      </c>
      <c r="C6278" s="1">
        <v>45999</v>
      </c>
      <c r="D6278" t="s">
        <v>12499</v>
      </c>
      <c r="E6278">
        <v>165</v>
      </c>
      <c r="G6278" s="3">
        <f>MONTH(Tabela1[[#This Row],[Último pagto ano]])</f>
        <v>12</v>
      </c>
      <c r="H6278" t="str">
        <f>TEXT(Tabela1[[#This Row],[Coluna2]]*29,"mmmm")</f>
        <v>dezembro</v>
      </c>
      <c r="I6278" t="str">
        <f>TEXT(MONTH(Tabela1[[#This Row],[Último pagto ano]])*29,"mmmm")</f>
        <v>dezembro</v>
      </c>
    </row>
    <row r="6279" spans="1:9" x14ac:dyDescent="0.25">
      <c r="A6279">
        <v>2025</v>
      </c>
      <c r="B6279" t="s">
        <v>12500</v>
      </c>
      <c r="C6279" s="1">
        <v>45989</v>
      </c>
      <c r="D6279" t="s">
        <v>12501</v>
      </c>
      <c r="E6279" s="2">
        <v>3088.17</v>
      </c>
      <c r="G6279" s="3">
        <f>MONTH(Tabela1[[#This Row],[Último pagto ano]])</f>
        <v>11</v>
      </c>
      <c r="H6279" t="str">
        <f>TEXT(Tabela1[[#This Row],[Coluna2]]*29,"mmmm")</f>
        <v>novembro</v>
      </c>
      <c r="I6279" t="str">
        <f>TEXT(MONTH(Tabela1[[#This Row],[Último pagto ano]])*29,"mmmm")</f>
        <v>novembro</v>
      </c>
    </row>
    <row r="6280" spans="1:9" x14ac:dyDescent="0.25">
      <c r="A6280">
        <v>2025</v>
      </c>
      <c r="B6280" t="s">
        <v>12502</v>
      </c>
      <c r="C6280" s="1">
        <v>45831</v>
      </c>
      <c r="D6280" t="s">
        <v>12503</v>
      </c>
      <c r="E6280" s="2">
        <v>3236.01</v>
      </c>
      <c r="G6280" s="3">
        <f>MONTH(Tabela1[[#This Row],[Último pagto ano]])</f>
        <v>6</v>
      </c>
      <c r="H6280" t="str">
        <f>TEXT(Tabela1[[#This Row],[Coluna2]]*29,"mmmm")</f>
        <v>junho</v>
      </c>
      <c r="I6280" t="str">
        <f>TEXT(MONTH(Tabela1[[#This Row],[Último pagto ano]])*29,"mmmm")</f>
        <v>junho</v>
      </c>
    </row>
    <row r="6281" spans="1:9" x14ac:dyDescent="0.25">
      <c r="A6281">
        <v>2025</v>
      </c>
      <c r="B6281" t="s">
        <v>12504</v>
      </c>
      <c r="C6281" s="1">
        <v>46021</v>
      </c>
      <c r="D6281" t="s">
        <v>12505</v>
      </c>
      <c r="E6281" s="2">
        <v>12690.66</v>
      </c>
      <c r="G6281" s="3">
        <f>MONTH(Tabela1[[#This Row],[Último pagto ano]])</f>
        <v>12</v>
      </c>
      <c r="H6281" t="str">
        <f>TEXT(Tabela1[[#This Row],[Coluna2]]*29,"mmmm")</f>
        <v>dezembro</v>
      </c>
      <c r="I6281" t="str">
        <f>TEXT(MONTH(Tabela1[[#This Row],[Último pagto ano]])*29,"mmmm")</f>
        <v>dezembro</v>
      </c>
    </row>
    <row r="6282" spans="1:9" x14ac:dyDescent="0.25">
      <c r="A6282">
        <v>2025</v>
      </c>
      <c r="B6282" t="s">
        <v>12506</v>
      </c>
      <c r="C6282" s="1">
        <v>46010</v>
      </c>
      <c r="D6282" t="s">
        <v>12507</v>
      </c>
      <c r="E6282" s="2">
        <v>1400</v>
      </c>
      <c r="G6282" s="3">
        <f>MONTH(Tabela1[[#This Row],[Último pagto ano]])</f>
        <v>12</v>
      </c>
      <c r="H6282" t="str">
        <f>TEXT(Tabela1[[#This Row],[Coluna2]]*29,"mmmm")</f>
        <v>dezembro</v>
      </c>
      <c r="I6282" t="str">
        <f>TEXT(MONTH(Tabela1[[#This Row],[Último pagto ano]])*29,"mmmm")</f>
        <v>dezembro</v>
      </c>
    </row>
    <row r="6283" spans="1:9" x14ac:dyDescent="0.25">
      <c r="A6283">
        <v>2025</v>
      </c>
      <c r="B6283" t="s">
        <v>12508</v>
      </c>
      <c r="C6283" s="1">
        <v>45887</v>
      </c>
      <c r="D6283" t="s">
        <v>12509</v>
      </c>
      <c r="E6283" s="2">
        <v>3000</v>
      </c>
      <c r="G6283" s="3">
        <f>MONTH(Tabela1[[#This Row],[Último pagto ano]])</f>
        <v>8</v>
      </c>
      <c r="H6283" t="str">
        <f>TEXT(Tabela1[[#This Row],[Coluna2]]*29,"mmmm")</f>
        <v>agosto</v>
      </c>
      <c r="I6283" t="str">
        <f>TEXT(MONTH(Tabela1[[#This Row],[Último pagto ano]])*29,"mmmm")</f>
        <v>agosto</v>
      </c>
    </row>
    <row r="6284" spans="1:9" x14ac:dyDescent="0.25">
      <c r="A6284">
        <v>2025</v>
      </c>
      <c r="B6284" t="s">
        <v>12510</v>
      </c>
      <c r="C6284" s="1">
        <v>45863</v>
      </c>
      <c r="D6284" t="s">
        <v>12511</v>
      </c>
      <c r="E6284" s="2">
        <v>651745.6</v>
      </c>
      <c r="G6284" s="3">
        <f>MONTH(Tabela1[[#This Row],[Último pagto ano]])</f>
        <v>7</v>
      </c>
      <c r="H6284" t="str">
        <f>TEXT(Tabela1[[#This Row],[Coluna2]]*29,"mmmm")</f>
        <v>julho</v>
      </c>
      <c r="I6284" t="str">
        <f>TEXT(MONTH(Tabela1[[#This Row],[Último pagto ano]])*29,"mmmm")</f>
        <v>julho</v>
      </c>
    </row>
    <row r="6285" spans="1:9" x14ac:dyDescent="0.25">
      <c r="A6285">
        <v>2025</v>
      </c>
      <c r="B6285" t="s">
        <v>12512</v>
      </c>
      <c r="C6285" s="1">
        <v>45849</v>
      </c>
      <c r="D6285" t="s">
        <v>12513</v>
      </c>
      <c r="E6285" s="2">
        <v>1207.8599999999999</v>
      </c>
      <c r="G6285" s="3">
        <f>MONTH(Tabela1[[#This Row],[Último pagto ano]])</f>
        <v>7</v>
      </c>
      <c r="H6285" t="str">
        <f>TEXT(Tabela1[[#This Row],[Coluna2]]*29,"mmmm")</f>
        <v>julho</v>
      </c>
      <c r="I6285" t="str">
        <f>TEXT(MONTH(Tabela1[[#This Row],[Último pagto ano]])*29,"mmmm")</f>
        <v>julho</v>
      </c>
    </row>
    <row r="6286" spans="1:9" x14ac:dyDescent="0.25">
      <c r="A6286">
        <v>2025</v>
      </c>
      <c r="B6286" t="s">
        <v>12514</v>
      </c>
      <c r="C6286" s="1">
        <v>46014</v>
      </c>
      <c r="D6286" t="s">
        <v>12515</v>
      </c>
      <c r="E6286" s="2">
        <v>10552</v>
      </c>
      <c r="G6286" s="3">
        <f>MONTH(Tabela1[[#This Row],[Último pagto ano]])</f>
        <v>12</v>
      </c>
      <c r="H6286" t="str">
        <f>TEXT(Tabela1[[#This Row],[Coluna2]]*29,"mmmm")</f>
        <v>dezembro</v>
      </c>
      <c r="I6286" t="str">
        <f>TEXT(MONTH(Tabela1[[#This Row],[Último pagto ano]])*29,"mmmm")</f>
        <v>dezembro</v>
      </c>
    </row>
    <row r="6287" spans="1:9" x14ac:dyDescent="0.25">
      <c r="A6287">
        <v>2025</v>
      </c>
      <c r="B6287" t="s">
        <v>12516</v>
      </c>
      <c r="C6287" s="1">
        <v>45912</v>
      </c>
      <c r="D6287" t="s">
        <v>12517</v>
      </c>
      <c r="E6287" s="2">
        <v>8775</v>
      </c>
      <c r="G6287" s="3">
        <f>MONTH(Tabela1[[#This Row],[Último pagto ano]])</f>
        <v>9</v>
      </c>
      <c r="H6287" t="str">
        <f>TEXT(Tabela1[[#This Row],[Coluna2]]*29,"mmmm")</f>
        <v>setembro</v>
      </c>
      <c r="I6287" t="str">
        <f>TEXT(MONTH(Tabela1[[#This Row],[Último pagto ano]])*29,"mmmm")</f>
        <v>setembro</v>
      </c>
    </row>
    <row r="6288" spans="1:9" x14ac:dyDescent="0.25">
      <c r="A6288">
        <v>2025</v>
      </c>
      <c r="B6288" t="s">
        <v>12518</v>
      </c>
      <c r="C6288" s="1">
        <v>46021</v>
      </c>
      <c r="D6288" t="s">
        <v>12519</v>
      </c>
      <c r="E6288" s="2">
        <v>50000</v>
      </c>
      <c r="G6288" s="3">
        <f>MONTH(Tabela1[[#This Row],[Último pagto ano]])</f>
        <v>12</v>
      </c>
      <c r="H6288" t="str">
        <f>TEXT(Tabela1[[#This Row],[Coluna2]]*29,"mmmm")</f>
        <v>dezembro</v>
      </c>
      <c r="I6288" t="str">
        <f>TEXT(MONTH(Tabela1[[#This Row],[Último pagto ano]])*29,"mmmm")</f>
        <v>dezembro</v>
      </c>
    </row>
    <row r="6289" spans="1:9" x14ac:dyDescent="0.25">
      <c r="A6289">
        <v>2025</v>
      </c>
      <c r="B6289" t="s">
        <v>12520</v>
      </c>
      <c r="C6289" s="1">
        <v>46010</v>
      </c>
      <c r="D6289" t="s">
        <v>12521</v>
      </c>
      <c r="E6289" s="2">
        <v>8400</v>
      </c>
      <c r="G6289" s="3">
        <f>MONTH(Tabela1[[#This Row],[Último pagto ano]])</f>
        <v>12</v>
      </c>
      <c r="H6289" t="str">
        <f>TEXT(Tabela1[[#This Row],[Coluna2]]*29,"mmmm")</f>
        <v>dezembro</v>
      </c>
      <c r="I6289" t="str">
        <f>TEXT(MONTH(Tabela1[[#This Row],[Último pagto ano]])*29,"mmmm")</f>
        <v>dezembro</v>
      </c>
    </row>
    <row r="6290" spans="1:9" x14ac:dyDescent="0.25">
      <c r="A6290">
        <v>2025</v>
      </c>
      <c r="B6290" t="s">
        <v>12522</v>
      </c>
      <c r="C6290" s="1">
        <v>46014</v>
      </c>
      <c r="D6290" t="s">
        <v>12523</v>
      </c>
      <c r="E6290" s="2">
        <v>3560</v>
      </c>
      <c r="G6290" s="3">
        <f>MONTH(Tabela1[[#This Row],[Último pagto ano]])</f>
        <v>12</v>
      </c>
      <c r="H6290" t="str">
        <f>TEXT(Tabela1[[#This Row],[Coluna2]]*29,"mmmm")</f>
        <v>dezembro</v>
      </c>
      <c r="I6290" t="str">
        <f>TEXT(MONTH(Tabela1[[#This Row],[Último pagto ano]])*29,"mmmm")</f>
        <v>dezembro</v>
      </c>
    </row>
    <row r="6291" spans="1:9" x14ac:dyDescent="0.25">
      <c r="A6291">
        <v>2025</v>
      </c>
      <c r="B6291" t="s">
        <v>12524</v>
      </c>
      <c r="C6291" s="1">
        <v>45996</v>
      </c>
      <c r="D6291" t="s">
        <v>12525</v>
      </c>
      <c r="E6291" s="2">
        <v>3500</v>
      </c>
      <c r="G6291" s="3">
        <f>MONTH(Tabela1[[#This Row],[Último pagto ano]])</f>
        <v>12</v>
      </c>
      <c r="H6291" t="str">
        <f>TEXT(Tabela1[[#This Row],[Coluna2]]*29,"mmmm")</f>
        <v>dezembro</v>
      </c>
      <c r="I6291" t="str">
        <f>TEXT(MONTH(Tabela1[[#This Row],[Último pagto ano]])*29,"mmmm")</f>
        <v>dezembro</v>
      </c>
    </row>
    <row r="6292" spans="1:9" x14ac:dyDescent="0.25">
      <c r="A6292">
        <v>2025</v>
      </c>
      <c r="B6292" t="s">
        <v>12526</v>
      </c>
      <c r="C6292" s="1">
        <v>45884</v>
      </c>
      <c r="D6292" t="s">
        <v>12527</v>
      </c>
      <c r="E6292" s="2">
        <v>3553.92</v>
      </c>
      <c r="G6292" s="3">
        <f>MONTH(Tabela1[[#This Row],[Último pagto ano]])</f>
        <v>8</v>
      </c>
      <c r="H6292" t="str">
        <f>TEXT(Tabela1[[#This Row],[Coluna2]]*29,"mmmm")</f>
        <v>agosto</v>
      </c>
      <c r="I6292" t="str">
        <f>TEXT(MONTH(Tabela1[[#This Row],[Último pagto ano]])*29,"mmmm")</f>
        <v>agosto</v>
      </c>
    </row>
    <row r="6293" spans="1:9" x14ac:dyDescent="0.25">
      <c r="A6293">
        <v>2025</v>
      </c>
      <c r="B6293" t="s">
        <v>12528</v>
      </c>
      <c r="C6293" s="1">
        <v>45792</v>
      </c>
      <c r="D6293" t="s">
        <v>12529</v>
      </c>
      <c r="E6293" s="2">
        <v>1737.12</v>
      </c>
      <c r="G6293" s="3">
        <f>MONTH(Tabela1[[#This Row],[Último pagto ano]])</f>
        <v>5</v>
      </c>
      <c r="H6293" t="str">
        <f>TEXT(Tabela1[[#This Row],[Coluna2]]*29,"mmmm")</f>
        <v>maio</v>
      </c>
      <c r="I6293" t="str">
        <f>TEXT(MONTH(Tabela1[[#This Row],[Último pagto ano]])*29,"mmmm")</f>
        <v>maio</v>
      </c>
    </row>
    <row r="6294" spans="1:9" x14ac:dyDescent="0.25">
      <c r="A6294">
        <v>2025</v>
      </c>
      <c r="B6294" t="s">
        <v>12530</v>
      </c>
      <c r="C6294" s="1">
        <v>46006</v>
      </c>
      <c r="D6294" t="s">
        <v>12531</v>
      </c>
      <c r="E6294" s="2">
        <v>7054.72</v>
      </c>
      <c r="G6294" s="3">
        <f>MONTH(Tabela1[[#This Row],[Último pagto ano]])</f>
        <v>12</v>
      </c>
      <c r="H6294" t="str">
        <f>TEXT(Tabela1[[#This Row],[Coluna2]]*29,"mmmm")</f>
        <v>dezembro</v>
      </c>
      <c r="I6294" t="str">
        <f>TEXT(MONTH(Tabela1[[#This Row],[Último pagto ano]])*29,"mmmm")</f>
        <v>dezembro</v>
      </c>
    </row>
    <row r="6295" spans="1:9" x14ac:dyDescent="0.25">
      <c r="A6295">
        <v>2025</v>
      </c>
      <c r="B6295" t="s">
        <v>12532</v>
      </c>
      <c r="C6295" s="1">
        <v>45996</v>
      </c>
      <c r="D6295" t="s">
        <v>12533</v>
      </c>
      <c r="E6295" s="2">
        <v>5380</v>
      </c>
      <c r="G6295" s="3">
        <f>MONTH(Tabela1[[#This Row],[Último pagto ano]])</f>
        <v>12</v>
      </c>
      <c r="H6295" t="str">
        <f>TEXT(Tabela1[[#This Row],[Coluna2]]*29,"mmmm")</f>
        <v>dezembro</v>
      </c>
      <c r="I6295" t="str">
        <f>TEXT(MONTH(Tabela1[[#This Row],[Último pagto ano]])*29,"mmmm")</f>
        <v>dezembro</v>
      </c>
    </row>
    <row r="6296" spans="1:9" x14ac:dyDescent="0.25">
      <c r="A6296">
        <v>2025</v>
      </c>
      <c r="B6296" t="s">
        <v>12534</v>
      </c>
      <c r="C6296" s="1">
        <v>45681</v>
      </c>
      <c r="D6296" t="s">
        <v>12535</v>
      </c>
      <c r="E6296">
        <v>700</v>
      </c>
      <c r="G6296" s="3">
        <f>MONTH(Tabela1[[#This Row],[Último pagto ano]])</f>
        <v>1</v>
      </c>
      <c r="H6296" t="str">
        <f>TEXT(Tabela1[[#This Row],[Coluna2]]*29,"mmmm")</f>
        <v>janeiro</v>
      </c>
      <c r="I6296" t="str">
        <f>TEXT(MONTH(Tabela1[[#This Row],[Último pagto ano]])*29,"mmmm")</f>
        <v>janeiro</v>
      </c>
    </row>
    <row r="6297" spans="1:9" x14ac:dyDescent="0.25">
      <c r="A6297">
        <v>2025</v>
      </c>
      <c r="B6297" t="s">
        <v>12536</v>
      </c>
      <c r="C6297" s="1">
        <v>45849</v>
      </c>
      <c r="D6297" t="s">
        <v>12537</v>
      </c>
      <c r="E6297" s="2">
        <v>6184.04</v>
      </c>
      <c r="G6297" s="3">
        <f>MONTH(Tabela1[[#This Row],[Último pagto ano]])</f>
        <v>7</v>
      </c>
      <c r="H6297" t="str">
        <f>TEXT(Tabela1[[#This Row],[Coluna2]]*29,"mmmm")</f>
        <v>julho</v>
      </c>
      <c r="I6297" t="str">
        <f>TEXT(MONTH(Tabela1[[#This Row],[Último pagto ano]])*29,"mmmm")</f>
        <v>julho</v>
      </c>
    </row>
    <row r="6298" spans="1:9" x14ac:dyDescent="0.25">
      <c r="A6298">
        <v>2025</v>
      </c>
      <c r="B6298" t="s">
        <v>12538</v>
      </c>
      <c r="C6298" s="1">
        <v>45702</v>
      </c>
      <c r="D6298" t="s">
        <v>12539</v>
      </c>
      <c r="E6298">
        <v>804.36</v>
      </c>
      <c r="G6298" s="3">
        <f>MONTH(Tabela1[[#This Row],[Último pagto ano]])</f>
        <v>2</v>
      </c>
      <c r="H6298" t="str">
        <f>TEXT(Tabela1[[#This Row],[Coluna2]]*29,"mmmm")</f>
        <v>fevereiro</v>
      </c>
      <c r="I6298" t="str">
        <f>TEXT(MONTH(Tabela1[[#This Row],[Último pagto ano]])*29,"mmmm")</f>
        <v>fevereiro</v>
      </c>
    </row>
    <row r="6299" spans="1:9" x14ac:dyDescent="0.25">
      <c r="A6299">
        <v>2025</v>
      </c>
      <c r="B6299" t="s">
        <v>12540</v>
      </c>
      <c r="C6299" s="1">
        <v>45996</v>
      </c>
      <c r="D6299" t="s">
        <v>12541</v>
      </c>
      <c r="E6299" s="2">
        <v>9950</v>
      </c>
      <c r="G6299" s="3">
        <f>MONTH(Tabela1[[#This Row],[Último pagto ano]])</f>
        <v>12</v>
      </c>
      <c r="H6299" t="str">
        <f>TEXT(Tabela1[[#This Row],[Coluna2]]*29,"mmmm")</f>
        <v>dezembro</v>
      </c>
      <c r="I6299" t="str">
        <f>TEXT(MONTH(Tabela1[[#This Row],[Último pagto ano]])*29,"mmmm")</f>
        <v>dezembro</v>
      </c>
    </row>
    <row r="6300" spans="1:9" x14ac:dyDescent="0.25">
      <c r="A6300">
        <v>2025</v>
      </c>
      <c r="B6300" t="s">
        <v>12542</v>
      </c>
      <c r="C6300" s="1">
        <v>46013</v>
      </c>
      <c r="D6300" t="s">
        <v>12543</v>
      </c>
      <c r="E6300">
        <v>932.1</v>
      </c>
      <c r="G6300" s="3">
        <f>MONTH(Tabela1[[#This Row],[Último pagto ano]])</f>
        <v>12</v>
      </c>
      <c r="H6300" t="str">
        <f>TEXT(Tabela1[[#This Row],[Coluna2]]*29,"mmmm")</f>
        <v>dezembro</v>
      </c>
      <c r="I6300" t="str">
        <f>TEXT(MONTH(Tabela1[[#This Row],[Último pagto ano]])*29,"mmmm")</f>
        <v>dezembro</v>
      </c>
    </row>
    <row r="6301" spans="1:9" x14ac:dyDescent="0.25">
      <c r="A6301">
        <v>2025</v>
      </c>
      <c r="B6301" t="s">
        <v>12544</v>
      </c>
      <c r="C6301" s="1">
        <v>45996</v>
      </c>
      <c r="D6301" t="s">
        <v>12545</v>
      </c>
      <c r="E6301" s="2">
        <v>22000</v>
      </c>
      <c r="G6301" s="3">
        <f>MONTH(Tabela1[[#This Row],[Último pagto ano]])</f>
        <v>12</v>
      </c>
      <c r="H6301" t="str">
        <f>TEXT(Tabela1[[#This Row],[Coluna2]]*29,"mmmm")</f>
        <v>dezembro</v>
      </c>
      <c r="I6301" t="str">
        <f>TEXT(MONTH(Tabela1[[#This Row],[Último pagto ano]])*29,"mmmm")</f>
        <v>dezembro</v>
      </c>
    </row>
    <row r="6302" spans="1:9" x14ac:dyDescent="0.25">
      <c r="A6302">
        <v>2025</v>
      </c>
      <c r="B6302" t="s">
        <v>12546</v>
      </c>
      <c r="C6302" s="1">
        <v>46014</v>
      </c>
      <c r="D6302" t="s">
        <v>12547</v>
      </c>
      <c r="E6302" s="2">
        <v>37999.980000000003</v>
      </c>
      <c r="G6302" s="3">
        <f>MONTH(Tabela1[[#This Row],[Último pagto ano]])</f>
        <v>12</v>
      </c>
      <c r="H6302" t="str">
        <f>TEXT(Tabela1[[#This Row],[Coluna2]]*29,"mmmm")</f>
        <v>dezembro</v>
      </c>
      <c r="I6302" t="str">
        <f>TEXT(MONTH(Tabela1[[#This Row],[Último pagto ano]])*29,"mmmm")</f>
        <v>dezembro</v>
      </c>
    </row>
    <row r="6303" spans="1:9" x14ac:dyDescent="0.25">
      <c r="A6303">
        <v>2025</v>
      </c>
      <c r="B6303" t="s">
        <v>12548</v>
      </c>
      <c r="C6303" s="1">
        <v>45715</v>
      </c>
      <c r="D6303" t="s">
        <v>12549</v>
      </c>
      <c r="E6303">
        <v>132</v>
      </c>
      <c r="G6303" s="3">
        <f>MONTH(Tabela1[[#This Row],[Último pagto ano]])</f>
        <v>2</v>
      </c>
      <c r="H6303" t="str">
        <f>TEXT(Tabela1[[#This Row],[Coluna2]]*29,"mmmm")</f>
        <v>fevereiro</v>
      </c>
      <c r="I6303" t="str">
        <f>TEXT(MONTH(Tabela1[[#This Row],[Último pagto ano]])*29,"mmmm")</f>
        <v>fevereiro</v>
      </c>
    </row>
    <row r="6304" spans="1:9" x14ac:dyDescent="0.25">
      <c r="A6304">
        <v>2025</v>
      </c>
      <c r="B6304" t="s">
        <v>12550</v>
      </c>
      <c r="C6304" s="1">
        <v>45887</v>
      </c>
      <c r="D6304" t="s">
        <v>12551</v>
      </c>
      <c r="E6304" s="2">
        <v>10366.58</v>
      </c>
      <c r="G6304" s="3">
        <f>MONTH(Tabela1[[#This Row],[Último pagto ano]])</f>
        <v>8</v>
      </c>
      <c r="H6304" t="str">
        <f>TEXT(Tabela1[[#This Row],[Coluna2]]*29,"mmmm")</f>
        <v>agosto</v>
      </c>
      <c r="I6304" t="str">
        <f>TEXT(MONTH(Tabela1[[#This Row],[Último pagto ano]])*29,"mmmm")</f>
        <v>agosto</v>
      </c>
    </row>
    <row r="6305" spans="1:9" x14ac:dyDescent="0.25">
      <c r="A6305">
        <v>2025</v>
      </c>
      <c r="B6305" t="s">
        <v>12552</v>
      </c>
      <c r="C6305" s="1">
        <v>45702</v>
      </c>
      <c r="D6305" t="s">
        <v>12553</v>
      </c>
      <c r="E6305">
        <v>80.27</v>
      </c>
      <c r="G6305" s="3">
        <f>MONTH(Tabela1[[#This Row],[Último pagto ano]])</f>
        <v>2</v>
      </c>
      <c r="H6305" t="str">
        <f>TEXT(Tabela1[[#This Row],[Coluna2]]*29,"mmmm")</f>
        <v>fevereiro</v>
      </c>
      <c r="I6305" t="str">
        <f>TEXT(MONTH(Tabela1[[#This Row],[Último pagto ano]])*29,"mmmm")</f>
        <v>fevereiro</v>
      </c>
    </row>
    <row r="6306" spans="1:9" x14ac:dyDescent="0.25">
      <c r="A6306">
        <v>2025</v>
      </c>
      <c r="B6306" t="s">
        <v>12554</v>
      </c>
      <c r="C6306" s="1">
        <v>45996</v>
      </c>
      <c r="D6306" t="s">
        <v>12555</v>
      </c>
      <c r="E6306" s="2">
        <v>33405.01</v>
      </c>
      <c r="G6306" s="3">
        <f>MONTH(Tabela1[[#This Row],[Último pagto ano]])</f>
        <v>12</v>
      </c>
      <c r="H6306" t="str">
        <f>TEXT(Tabela1[[#This Row],[Coluna2]]*29,"mmmm")</f>
        <v>dezembro</v>
      </c>
      <c r="I6306" t="str">
        <f>TEXT(MONTH(Tabela1[[#This Row],[Último pagto ano]])*29,"mmmm")</f>
        <v>dezembro</v>
      </c>
    </row>
    <row r="6307" spans="1:9" x14ac:dyDescent="0.25">
      <c r="A6307">
        <v>2025</v>
      </c>
      <c r="B6307" t="s">
        <v>12556</v>
      </c>
      <c r="C6307" s="1">
        <v>46013</v>
      </c>
      <c r="D6307" t="s">
        <v>12557</v>
      </c>
      <c r="E6307" s="2">
        <v>20146.45</v>
      </c>
      <c r="G6307" s="3">
        <f>MONTH(Tabela1[[#This Row],[Último pagto ano]])</f>
        <v>12</v>
      </c>
      <c r="H6307" t="str">
        <f>TEXT(Tabela1[[#This Row],[Coluna2]]*29,"mmmm")</f>
        <v>dezembro</v>
      </c>
      <c r="I6307" t="str">
        <f>TEXT(MONTH(Tabela1[[#This Row],[Último pagto ano]])*29,"mmmm")</f>
        <v>dezembro</v>
      </c>
    </row>
    <row r="6308" spans="1:9" x14ac:dyDescent="0.25">
      <c r="A6308">
        <v>2025</v>
      </c>
      <c r="B6308" t="s">
        <v>12558</v>
      </c>
      <c r="C6308" s="1">
        <v>45792</v>
      </c>
      <c r="D6308" t="s">
        <v>12559</v>
      </c>
      <c r="E6308">
        <v>235.31</v>
      </c>
      <c r="G6308" s="3">
        <f>MONTH(Tabela1[[#This Row],[Último pagto ano]])</f>
        <v>5</v>
      </c>
      <c r="H6308" t="str">
        <f>TEXT(Tabela1[[#This Row],[Coluna2]]*29,"mmmm")</f>
        <v>maio</v>
      </c>
      <c r="I6308" t="str">
        <f>TEXT(MONTH(Tabela1[[#This Row],[Último pagto ano]])*29,"mmmm")</f>
        <v>maio</v>
      </c>
    </row>
    <row r="6309" spans="1:9" x14ac:dyDescent="0.25">
      <c r="A6309">
        <v>2025</v>
      </c>
      <c r="B6309" t="s">
        <v>12560</v>
      </c>
      <c r="C6309" s="1">
        <v>45996</v>
      </c>
      <c r="D6309" t="s">
        <v>12561</v>
      </c>
      <c r="E6309" s="2">
        <v>11340</v>
      </c>
      <c r="G6309" s="3">
        <f>MONTH(Tabela1[[#This Row],[Último pagto ano]])</f>
        <v>12</v>
      </c>
      <c r="H6309" t="str">
        <f>TEXT(Tabela1[[#This Row],[Coluna2]]*29,"mmmm")</f>
        <v>dezembro</v>
      </c>
      <c r="I6309" t="str">
        <f>TEXT(MONTH(Tabela1[[#This Row],[Último pagto ano]])*29,"mmmm")</f>
        <v>dezembro</v>
      </c>
    </row>
    <row r="6310" spans="1:9" x14ac:dyDescent="0.25">
      <c r="A6310">
        <v>2025</v>
      </c>
      <c r="B6310" t="s">
        <v>12562</v>
      </c>
      <c r="C6310" s="1">
        <v>45987</v>
      </c>
      <c r="D6310" t="s">
        <v>12563</v>
      </c>
      <c r="E6310" s="2">
        <v>116846.19</v>
      </c>
      <c r="G6310" s="3">
        <f>MONTH(Tabela1[[#This Row],[Último pagto ano]])</f>
        <v>11</v>
      </c>
      <c r="H6310" t="str">
        <f>TEXT(Tabela1[[#This Row],[Coluna2]]*29,"mmmm")</f>
        <v>novembro</v>
      </c>
      <c r="I6310" t="str">
        <f>TEXT(MONTH(Tabela1[[#This Row],[Último pagto ano]])*29,"mmmm")</f>
        <v>novembro</v>
      </c>
    </row>
    <row r="6311" spans="1:9" x14ac:dyDescent="0.25">
      <c r="A6311">
        <v>2025</v>
      </c>
      <c r="B6311" t="s">
        <v>12564</v>
      </c>
      <c r="C6311" s="1">
        <v>45989</v>
      </c>
      <c r="D6311" t="s">
        <v>12565</v>
      </c>
      <c r="E6311" s="2">
        <v>4020.78</v>
      </c>
      <c r="G6311" s="3">
        <f>MONTH(Tabela1[[#This Row],[Último pagto ano]])</f>
        <v>11</v>
      </c>
      <c r="H6311" t="str">
        <f>TEXT(Tabela1[[#This Row],[Coluna2]]*29,"mmmm")</f>
        <v>novembro</v>
      </c>
      <c r="I6311" t="str">
        <f>TEXT(MONTH(Tabela1[[#This Row],[Último pagto ano]])*29,"mmmm")</f>
        <v>novembro</v>
      </c>
    </row>
    <row r="6312" spans="1:9" x14ac:dyDescent="0.25">
      <c r="A6312">
        <v>2025</v>
      </c>
      <c r="B6312" t="s">
        <v>12566</v>
      </c>
      <c r="C6312" s="1">
        <v>46010</v>
      </c>
      <c r="D6312" t="s">
        <v>12567</v>
      </c>
      <c r="E6312" s="2">
        <v>24000</v>
      </c>
      <c r="G6312" s="3">
        <f>MONTH(Tabela1[[#This Row],[Último pagto ano]])</f>
        <v>12</v>
      </c>
      <c r="H6312" t="str">
        <f>TEXT(Tabela1[[#This Row],[Coluna2]]*29,"mmmm")</f>
        <v>dezembro</v>
      </c>
      <c r="I6312" t="str">
        <f>TEXT(MONTH(Tabela1[[#This Row],[Último pagto ano]])*29,"mmmm")</f>
        <v>dezembro</v>
      </c>
    </row>
    <row r="6313" spans="1:9" x14ac:dyDescent="0.25">
      <c r="A6313">
        <v>2025</v>
      </c>
      <c r="B6313" t="s">
        <v>12568</v>
      </c>
      <c r="C6313" s="1">
        <v>45945</v>
      </c>
      <c r="D6313" t="s">
        <v>12569</v>
      </c>
      <c r="E6313">
        <v>296.16000000000003</v>
      </c>
      <c r="G6313" s="3">
        <f>MONTH(Tabela1[[#This Row],[Último pagto ano]])</f>
        <v>10</v>
      </c>
      <c r="H6313" t="str">
        <f>TEXT(Tabela1[[#This Row],[Coluna2]]*29,"mmmm")</f>
        <v>outubro</v>
      </c>
      <c r="I6313" t="str">
        <f>TEXT(MONTH(Tabela1[[#This Row],[Último pagto ano]])*29,"mmmm")</f>
        <v>outubro</v>
      </c>
    </row>
    <row r="6314" spans="1:9" x14ac:dyDescent="0.25">
      <c r="A6314">
        <v>2025</v>
      </c>
      <c r="B6314" t="s">
        <v>12570</v>
      </c>
      <c r="C6314" s="1">
        <v>45818</v>
      </c>
      <c r="D6314" t="s">
        <v>12571</v>
      </c>
      <c r="E6314" s="2">
        <v>2000</v>
      </c>
      <c r="G6314" s="3">
        <f>MONTH(Tabela1[[#This Row],[Último pagto ano]])</f>
        <v>6</v>
      </c>
      <c r="H6314" t="str">
        <f>TEXT(Tabela1[[#This Row],[Coluna2]]*29,"mmmm")</f>
        <v>junho</v>
      </c>
      <c r="I6314" t="str">
        <f>TEXT(MONTH(Tabela1[[#This Row],[Último pagto ano]])*29,"mmmm")</f>
        <v>junho</v>
      </c>
    </row>
    <row r="6315" spans="1:9" x14ac:dyDescent="0.25">
      <c r="A6315">
        <v>2025</v>
      </c>
      <c r="B6315" t="s">
        <v>12572</v>
      </c>
      <c r="C6315" s="1">
        <v>45975</v>
      </c>
      <c r="D6315" t="s">
        <v>12573</v>
      </c>
      <c r="E6315" s="2">
        <v>1850</v>
      </c>
      <c r="G6315" s="3">
        <f>MONTH(Tabela1[[#This Row],[Último pagto ano]])</f>
        <v>11</v>
      </c>
      <c r="H6315" t="str">
        <f>TEXT(Tabela1[[#This Row],[Coluna2]]*29,"mmmm")</f>
        <v>novembro</v>
      </c>
      <c r="I6315" t="str">
        <f>TEXT(MONTH(Tabela1[[#This Row],[Último pagto ano]])*29,"mmmm")</f>
        <v>novembro</v>
      </c>
    </row>
    <row r="6316" spans="1:9" x14ac:dyDescent="0.25">
      <c r="A6316">
        <v>2025</v>
      </c>
      <c r="B6316" t="s">
        <v>12574</v>
      </c>
      <c r="C6316" s="1">
        <v>45842</v>
      </c>
      <c r="D6316" t="s">
        <v>12575</v>
      </c>
      <c r="E6316" s="2">
        <v>174279.08</v>
      </c>
      <c r="G6316" s="3">
        <f>MONTH(Tabela1[[#This Row],[Último pagto ano]])</f>
        <v>7</v>
      </c>
      <c r="H6316" t="str">
        <f>TEXT(Tabela1[[#This Row],[Coluna2]]*29,"mmmm")</f>
        <v>julho</v>
      </c>
      <c r="I6316" t="str">
        <f>TEXT(MONTH(Tabela1[[#This Row],[Último pagto ano]])*29,"mmmm")</f>
        <v>julho</v>
      </c>
    </row>
    <row r="6317" spans="1:9" x14ac:dyDescent="0.25">
      <c r="A6317">
        <v>2025</v>
      </c>
      <c r="B6317" t="s">
        <v>12576</v>
      </c>
      <c r="C6317" s="1">
        <v>46007</v>
      </c>
      <c r="D6317" t="s">
        <v>12577</v>
      </c>
      <c r="E6317" s="2">
        <v>909288.38</v>
      </c>
      <c r="G6317" s="3">
        <f>MONTH(Tabela1[[#This Row],[Último pagto ano]])</f>
        <v>12</v>
      </c>
      <c r="H6317" t="str">
        <f>TEXT(Tabela1[[#This Row],[Coluna2]]*29,"mmmm")</f>
        <v>dezembro</v>
      </c>
      <c r="I6317" t="str">
        <f>TEXT(MONTH(Tabela1[[#This Row],[Último pagto ano]])*29,"mmmm")</f>
        <v>dezembro</v>
      </c>
    </row>
    <row r="6318" spans="1:9" x14ac:dyDescent="0.25">
      <c r="A6318">
        <v>2025</v>
      </c>
      <c r="B6318" t="s">
        <v>12578</v>
      </c>
      <c r="C6318" s="1">
        <v>45944</v>
      </c>
      <c r="D6318" t="s">
        <v>12579</v>
      </c>
      <c r="E6318" s="2">
        <v>7459.6</v>
      </c>
      <c r="G6318" s="3">
        <f>MONTH(Tabela1[[#This Row],[Último pagto ano]])</f>
        <v>10</v>
      </c>
      <c r="H6318" t="str">
        <f>TEXT(Tabela1[[#This Row],[Coluna2]]*29,"mmmm")</f>
        <v>outubro</v>
      </c>
      <c r="I6318" t="str">
        <f>TEXT(MONTH(Tabela1[[#This Row],[Último pagto ano]])*29,"mmmm")</f>
        <v>outubro</v>
      </c>
    </row>
    <row r="6319" spans="1:9" x14ac:dyDescent="0.25">
      <c r="A6319">
        <v>2025</v>
      </c>
      <c r="B6319" t="s">
        <v>12580</v>
      </c>
      <c r="C6319" s="1">
        <v>45797</v>
      </c>
      <c r="D6319" t="s">
        <v>12581</v>
      </c>
      <c r="E6319" s="2">
        <v>2980</v>
      </c>
      <c r="G6319" s="3">
        <f>MONTH(Tabela1[[#This Row],[Último pagto ano]])</f>
        <v>5</v>
      </c>
      <c r="H6319" t="str">
        <f>TEXT(Tabela1[[#This Row],[Coluna2]]*29,"mmmm")</f>
        <v>maio</v>
      </c>
      <c r="I6319" t="str">
        <f>TEXT(MONTH(Tabela1[[#This Row],[Último pagto ano]])*29,"mmmm")</f>
        <v>maio</v>
      </c>
    </row>
    <row r="6320" spans="1:9" x14ac:dyDescent="0.25">
      <c r="A6320">
        <v>2025</v>
      </c>
      <c r="B6320" t="s">
        <v>12582</v>
      </c>
      <c r="C6320" s="1">
        <v>46014</v>
      </c>
      <c r="D6320" t="s">
        <v>12583</v>
      </c>
      <c r="E6320" s="2">
        <v>185029.6</v>
      </c>
      <c r="G6320" s="3">
        <f>MONTH(Tabela1[[#This Row],[Último pagto ano]])</f>
        <v>12</v>
      </c>
      <c r="H6320" t="str">
        <f>TEXT(Tabela1[[#This Row],[Coluna2]]*29,"mmmm")</f>
        <v>dezembro</v>
      </c>
      <c r="I6320" t="str">
        <f>TEXT(MONTH(Tabela1[[#This Row],[Último pagto ano]])*29,"mmmm")</f>
        <v>dezembro</v>
      </c>
    </row>
    <row r="6321" spans="1:9" x14ac:dyDescent="0.25">
      <c r="A6321">
        <v>2025</v>
      </c>
      <c r="B6321" t="s">
        <v>12584</v>
      </c>
      <c r="C6321" s="1">
        <v>45908</v>
      </c>
      <c r="D6321" t="s">
        <v>12585</v>
      </c>
      <c r="E6321" s="2">
        <v>9727.14</v>
      </c>
      <c r="G6321" s="3">
        <f>MONTH(Tabela1[[#This Row],[Último pagto ano]])</f>
        <v>9</v>
      </c>
      <c r="H6321" t="str">
        <f>TEXT(Tabela1[[#This Row],[Coluna2]]*29,"mmmm")</f>
        <v>setembro</v>
      </c>
      <c r="I6321" t="str">
        <f>TEXT(MONTH(Tabela1[[#This Row],[Último pagto ano]])*29,"mmmm")</f>
        <v>setembro</v>
      </c>
    </row>
    <row r="6322" spans="1:9" x14ac:dyDescent="0.25">
      <c r="A6322">
        <v>2025</v>
      </c>
      <c r="B6322" t="s">
        <v>12586</v>
      </c>
      <c r="C6322" s="1">
        <v>45882</v>
      </c>
      <c r="D6322" t="s">
        <v>12587</v>
      </c>
      <c r="E6322" s="2">
        <v>836190.24</v>
      </c>
      <c r="G6322" s="3">
        <f>MONTH(Tabela1[[#This Row],[Último pagto ano]])</f>
        <v>8</v>
      </c>
      <c r="H6322" t="str">
        <f>TEXT(Tabela1[[#This Row],[Coluna2]]*29,"mmmm")</f>
        <v>agosto</v>
      </c>
      <c r="I6322" t="str">
        <f>TEXT(MONTH(Tabela1[[#This Row],[Último pagto ano]])*29,"mmmm")</f>
        <v>agosto</v>
      </c>
    </row>
    <row r="6323" spans="1:9" x14ac:dyDescent="0.25">
      <c r="A6323">
        <v>2025</v>
      </c>
      <c r="B6323" t="s">
        <v>12588</v>
      </c>
      <c r="C6323" s="1">
        <v>45758</v>
      </c>
      <c r="D6323" t="s">
        <v>12589</v>
      </c>
      <c r="E6323" s="2">
        <v>22400</v>
      </c>
      <c r="G6323" s="3">
        <f>MONTH(Tabela1[[#This Row],[Último pagto ano]])</f>
        <v>4</v>
      </c>
      <c r="H6323" t="str">
        <f>TEXT(Tabela1[[#This Row],[Coluna2]]*29,"mmmm")</f>
        <v>abril</v>
      </c>
      <c r="I6323" t="str">
        <f>TEXT(MONTH(Tabela1[[#This Row],[Último pagto ano]])*29,"mmmm")</f>
        <v>abril</v>
      </c>
    </row>
    <row r="6324" spans="1:9" x14ac:dyDescent="0.25">
      <c r="A6324">
        <v>2025</v>
      </c>
      <c r="B6324" t="s">
        <v>12590</v>
      </c>
      <c r="C6324" s="1">
        <v>45999</v>
      </c>
      <c r="D6324" t="s">
        <v>12591</v>
      </c>
      <c r="E6324" s="2">
        <v>165912</v>
      </c>
      <c r="G6324" s="3">
        <f>MONTH(Tabela1[[#This Row],[Último pagto ano]])</f>
        <v>12</v>
      </c>
      <c r="H6324" t="str">
        <f>TEXT(Tabela1[[#This Row],[Coluna2]]*29,"mmmm")</f>
        <v>dezembro</v>
      </c>
      <c r="I6324" t="str">
        <f>TEXT(MONTH(Tabela1[[#This Row],[Último pagto ano]])*29,"mmmm")</f>
        <v>dezembro</v>
      </c>
    </row>
    <row r="6325" spans="1:9" x14ac:dyDescent="0.25">
      <c r="A6325">
        <v>2025</v>
      </c>
      <c r="B6325" t="s">
        <v>12592</v>
      </c>
      <c r="C6325" s="1">
        <v>46021</v>
      </c>
      <c r="D6325" t="s">
        <v>12593</v>
      </c>
      <c r="E6325" s="2">
        <v>40880</v>
      </c>
      <c r="G6325" s="3">
        <f>MONTH(Tabela1[[#This Row],[Último pagto ano]])</f>
        <v>12</v>
      </c>
      <c r="H6325" t="str">
        <f>TEXT(Tabela1[[#This Row],[Coluna2]]*29,"mmmm")</f>
        <v>dezembro</v>
      </c>
      <c r="I6325" t="str">
        <f>TEXT(MONTH(Tabela1[[#This Row],[Último pagto ano]])*29,"mmmm")</f>
        <v>dezembro</v>
      </c>
    </row>
    <row r="6326" spans="1:9" x14ac:dyDescent="0.25">
      <c r="A6326">
        <v>2025</v>
      </c>
      <c r="B6326" t="s">
        <v>12594</v>
      </c>
      <c r="C6326" s="1">
        <v>45782</v>
      </c>
      <c r="D6326" t="s">
        <v>12595</v>
      </c>
      <c r="E6326" s="2">
        <v>183304.08</v>
      </c>
      <c r="G6326" s="3">
        <f>MONTH(Tabela1[[#This Row],[Último pagto ano]])</f>
        <v>5</v>
      </c>
      <c r="H6326" t="str">
        <f>TEXT(Tabela1[[#This Row],[Coluna2]]*29,"mmmm")</f>
        <v>maio</v>
      </c>
      <c r="I6326" t="str">
        <f>TEXT(MONTH(Tabela1[[#This Row],[Último pagto ano]])*29,"mmmm")</f>
        <v>maio</v>
      </c>
    </row>
    <row r="6327" spans="1:9" x14ac:dyDescent="0.25">
      <c r="A6327">
        <v>2025</v>
      </c>
      <c r="B6327" t="s">
        <v>12596</v>
      </c>
      <c r="C6327" s="1">
        <v>46014</v>
      </c>
      <c r="D6327" t="s">
        <v>12597</v>
      </c>
      <c r="E6327" s="2">
        <v>14500</v>
      </c>
      <c r="G6327" s="3">
        <f>MONTH(Tabela1[[#This Row],[Último pagto ano]])</f>
        <v>12</v>
      </c>
      <c r="H6327" t="str">
        <f>TEXT(Tabela1[[#This Row],[Coluna2]]*29,"mmmm")</f>
        <v>dezembro</v>
      </c>
      <c r="I6327" t="str">
        <f>TEXT(MONTH(Tabela1[[#This Row],[Último pagto ano]])*29,"mmmm")</f>
        <v>dezembro</v>
      </c>
    </row>
    <row r="6328" spans="1:9" x14ac:dyDescent="0.25">
      <c r="A6328">
        <v>2025</v>
      </c>
      <c r="B6328" t="s">
        <v>12598</v>
      </c>
      <c r="C6328" s="1">
        <v>45663</v>
      </c>
      <c r="D6328" t="s">
        <v>12599</v>
      </c>
      <c r="E6328" s="2">
        <v>4776</v>
      </c>
      <c r="G6328" s="3">
        <f>MONTH(Tabela1[[#This Row],[Último pagto ano]])</f>
        <v>1</v>
      </c>
      <c r="H6328" t="str">
        <f>TEXT(Tabela1[[#This Row],[Coluna2]]*29,"mmmm")</f>
        <v>janeiro</v>
      </c>
      <c r="I6328" t="str">
        <f>TEXT(MONTH(Tabela1[[#This Row],[Último pagto ano]])*29,"mmmm")</f>
        <v>janeiro</v>
      </c>
    </row>
    <row r="6329" spans="1:9" x14ac:dyDescent="0.25">
      <c r="A6329">
        <v>2025</v>
      </c>
      <c r="B6329" t="s">
        <v>12600</v>
      </c>
      <c r="C6329" s="1">
        <v>45728</v>
      </c>
      <c r="D6329" t="s">
        <v>12601</v>
      </c>
      <c r="E6329" s="2">
        <v>72133.61</v>
      </c>
      <c r="G6329" s="3">
        <f>MONTH(Tabela1[[#This Row],[Último pagto ano]])</f>
        <v>3</v>
      </c>
      <c r="H6329" t="str">
        <f>TEXT(Tabela1[[#This Row],[Coluna2]]*29,"mmmm")</f>
        <v>março</v>
      </c>
      <c r="I6329" t="str">
        <f>TEXT(MONTH(Tabela1[[#This Row],[Último pagto ano]])*29,"mmmm")</f>
        <v>março</v>
      </c>
    </row>
    <row r="6330" spans="1:9" x14ac:dyDescent="0.25">
      <c r="A6330">
        <v>2025</v>
      </c>
      <c r="B6330" t="s">
        <v>12602</v>
      </c>
      <c r="C6330" s="1">
        <v>45831</v>
      </c>
      <c r="D6330" t="s">
        <v>12603</v>
      </c>
      <c r="E6330" s="2">
        <v>1254972</v>
      </c>
      <c r="G6330" s="3">
        <f>MONTH(Tabela1[[#This Row],[Último pagto ano]])</f>
        <v>6</v>
      </c>
      <c r="H6330" t="str">
        <f>TEXT(Tabela1[[#This Row],[Coluna2]]*29,"mmmm")</f>
        <v>junho</v>
      </c>
      <c r="I6330" t="str">
        <f>TEXT(MONTH(Tabela1[[#This Row],[Último pagto ano]])*29,"mmmm")</f>
        <v>junho</v>
      </c>
    </row>
    <row r="6331" spans="1:9" x14ac:dyDescent="0.25">
      <c r="A6331">
        <v>2025</v>
      </c>
      <c r="B6331" t="s">
        <v>12604</v>
      </c>
      <c r="C6331" s="1">
        <v>46014</v>
      </c>
      <c r="D6331" t="s">
        <v>12605</v>
      </c>
      <c r="E6331">
        <v>33</v>
      </c>
      <c r="G6331" s="3">
        <f>MONTH(Tabela1[[#This Row],[Último pagto ano]])</f>
        <v>12</v>
      </c>
      <c r="H6331" t="str">
        <f>TEXT(Tabela1[[#This Row],[Coluna2]]*29,"mmmm")</f>
        <v>dezembro</v>
      </c>
      <c r="I6331" t="str">
        <f>TEXT(MONTH(Tabela1[[#This Row],[Último pagto ano]])*29,"mmmm")</f>
        <v>dezembro</v>
      </c>
    </row>
    <row r="6332" spans="1:9" x14ac:dyDescent="0.25">
      <c r="A6332">
        <v>2025</v>
      </c>
      <c r="B6332" t="s">
        <v>12606</v>
      </c>
      <c r="C6332" s="1">
        <v>45911</v>
      </c>
      <c r="D6332" t="s">
        <v>12607</v>
      </c>
      <c r="E6332" s="2">
        <v>7500</v>
      </c>
      <c r="G6332" s="3">
        <f>MONTH(Tabela1[[#This Row],[Último pagto ano]])</f>
        <v>9</v>
      </c>
      <c r="H6332" t="str">
        <f>TEXT(Tabela1[[#This Row],[Coluna2]]*29,"mmmm")</f>
        <v>setembro</v>
      </c>
      <c r="I6332" t="str">
        <f>TEXT(MONTH(Tabela1[[#This Row],[Último pagto ano]])*29,"mmmm")</f>
        <v>setembro</v>
      </c>
    </row>
    <row r="6333" spans="1:9" x14ac:dyDescent="0.25">
      <c r="A6333">
        <v>2025</v>
      </c>
      <c r="B6333" t="s">
        <v>12608</v>
      </c>
      <c r="C6333" s="1">
        <v>45905</v>
      </c>
      <c r="D6333" t="s">
        <v>12609</v>
      </c>
      <c r="E6333" s="2">
        <v>13000</v>
      </c>
      <c r="G6333" s="3">
        <f>MONTH(Tabela1[[#This Row],[Último pagto ano]])</f>
        <v>9</v>
      </c>
      <c r="H6333" t="str">
        <f>TEXT(Tabela1[[#This Row],[Coluna2]]*29,"mmmm")</f>
        <v>setembro</v>
      </c>
      <c r="I6333" t="str">
        <f>TEXT(MONTH(Tabela1[[#This Row],[Último pagto ano]])*29,"mmmm")</f>
        <v>setembro</v>
      </c>
    </row>
    <row r="6334" spans="1:9" x14ac:dyDescent="0.25">
      <c r="A6334">
        <v>2025</v>
      </c>
      <c r="B6334" t="s">
        <v>12610</v>
      </c>
      <c r="C6334" s="1">
        <v>46010</v>
      </c>
      <c r="D6334" t="s">
        <v>12611</v>
      </c>
      <c r="E6334" s="2">
        <v>24000</v>
      </c>
      <c r="G6334" s="3">
        <f>MONTH(Tabela1[[#This Row],[Último pagto ano]])</f>
        <v>12</v>
      </c>
      <c r="H6334" t="str">
        <f>TEXT(Tabela1[[#This Row],[Coluna2]]*29,"mmmm")</f>
        <v>dezembro</v>
      </c>
      <c r="I6334" t="str">
        <f>TEXT(MONTH(Tabela1[[#This Row],[Último pagto ano]])*29,"mmmm")</f>
        <v>dezembro</v>
      </c>
    </row>
    <row r="6335" spans="1:9" x14ac:dyDescent="0.25">
      <c r="A6335">
        <v>2025</v>
      </c>
      <c r="B6335" t="s">
        <v>12612</v>
      </c>
      <c r="C6335" s="1">
        <v>46013</v>
      </c>
      <c r="D6335" t="s">
        <v>12613</v>
      </c>
      <c r="E6335" s="2">
        <v>10120.799999999999</v>
      </c>
      <c r="G6335" s="3">
        <f>MONTH(Tabela1[[#This Row],[Último pagto ano]])</f>
        <v>12</v>
      </c>
      <c r="H6335" t="str">
        <f>TEXT(Tabela1[[#This Row],[Coluna2]]*29,"mmmm")</f>
        <v>dezembro</v>
      </c>
      <c r="I6335" t="str">
        <f>TEXT(MONTH(Tabela1[[#This Row],[Último pagto ano]])*29,"mmmm")</f>
        <v>dezembro</v>
      </c>
    </row>
    <row r="6336" spans="1:9" x14ac:dyDescent="0.25">
      <c r="A6336">
        <v>2025</v>
      </c>
      <c r="B6336" t="s">
        <v>12614</v>
      </c>
      <c r="C6336" s="1">
        <v>46014</v>
      </c>
      <c r="D6336" t="s">
        <v>12615</v>
      </c>
      <c r="E6336" s="2">
        <v>123877.63</v>
      </c>
      <c r="G6336" s="3">
        <f>MONTH(Tabela1[[#This Row],[Último pagto ano]])</f>
        <v>12</v>
      </c>
      <c r="H6336" t="str">
        <f>TEXT(Tabela1[[#This Row],[Coluna2]]*29,"mmmm")</f>
        <v>dezembro</v>
      </c>
      <c r="I6336" t="str">
        <f>TEXT(MONTH(Tabela1[[#This Row],[Último pagto ano]])*29,"mmmm")</f>
        <v>dezembro</v>
      </c>
    </row>
    <row r="6337" spans="1:9" x14ac:dyDescent="0.25">
      <c r="A6337">
        <v>2025</v>
      </c>
      <c r="B6337" t="s">
        <v>12616</v>
      </c>
      <c r="C6337" s="1">
        <v>45833</v>
      </c>
      <c r="D6337" t="s">
        <v>12617</v>
      </c>
      <c r="E6337" s="2">
        <v>4800</v>
      </c>
      <c r="G6337" s="3">
        <f>MONTH(Tabela1[[#This Row],[Último pagto ano]])</f>
        <v>6</v>
      </c>
      <c r="H6337" t="str">
        <f>TEXT(Tabela1[[#This Row],[Coluna2]]*29,"mmmm")</f>
        <v>junho</v>
      </c>
      <c r="I6337" t="str">
        <f>TEXT(MONTH(Tabela1[[#This Row],[Último pagto ano]])*29,"mmmm")</f>
        <v>junho</v>
      </c>
    </row>
    <row r="6338" spans="1:9" x14ac:dyDescent="0.25">
      <c r="A6338">
        <v>2025</v>
      </c>
      <c r="B6338" t="s">
        <v>12618</v>
      </c>
      <c r="C6338" s="1">
        <v>45728</v>
      </c>
      <c r="D6338" t="s">
        <v>12619</v>
      </c>
      <c r="E6338">
        <v>615.20000000000005</v>
      </c>
      <c r="G6338" s="3">
        <f>MONTH(Tabela1[[#This Row],[Último pagto ano]])</f>
        <v>3</v>
      </c>
      <c r="H6338" t="str">
        <f>TEXT(Tabela1[[#This Row],[Coluna2]]*29,"mmmm")</f>
        <v>março</v>
      </c>
      <c r="I6338" t="str">
        <f>TEXT(MONTH(Tabela1[[#This Row],[Último pagto ano]])*29,"mmmm")</f>
        <v>março</v>
      </c>
    </row>
    <row r="6339" spans="1:9" x14ac:dyDescent="0.25">
      <c r="A6339">
        <v>2025</v>
      </c>
      <c r="B6339" t="s">
        <v>12620</v>
      </c>
      <c r="C6339" s="1">
        <v>46013</v>
      </c>
      <c r="D6339" t="s">
        <v>12621</v>
      </c>
      <c r="E6339" s="2">
        <v>1439.1</v>
      </c>
      <c r="G6339" s="3">
        <f>MONTH(Tabela1[[#This Row],[Último pagto ano]])</f>
        <v>12</v>
      </c>
      <c r="H6339" t="str">
        <f>TEXT(Tabela1[[#This Row],[Coluna2]]*29,"mmmm")</f>
        <v>dezembro</v>
      </c>
      <c r="I6339" t="str">
        <f>TEXT(MONTH(Tabela1[[#This Row],[Último pagto ano]])*29,"mmmm")</f>
        <v>dezembro</v>
      </c>
    </row>
    <row r="6340" spans="1:9" x14ac:dyDescent="0.25">
      <c r="A6340">
        <v>2025</v>
      </c>
      <c r="B6340" t="s">
        <v>12622</v>
      </c>
      <c r="C6340" s="1">
        <v>45915</v>
      </c>
      <c r="D6340" t="s">
        <v>12623</v>
      </c>
      <c r="E6340">
        <v>132</v>
      </c>
      <c r="G6340" s="3">
        <f>MONTH(Tabela1[[#This Row],[Último pagto ano]])</f>
        <v>9</v>
      </c>
      <c r="H6340" t="str">
        <f>TEXT(Tabela1[[#This Row],[Coluna2]]*29,"mmmm")</f>
        <v>setembro</v>
      </c>
      <c r="I6340" t="str">
        <f>TEXT(MONTH(Tabela1[[#This Row],[Último pagto ano]])*29,"mmmm")</f>
        <v>setembro</v>
      </c>
    </row>
    <row r="6341" spans="1:9" x14ac:dyDescent="0.25">
      <c r="A6341">
        <v>2025</v>
      </c>
      <c r="B6341" t="s">
        <v>12624</v>
      </c>
      <c r="C6341" s="1">
        <v>45763</v>
      </c>
      <c r="D6341" t="s">
        <v>12625</v>
      </c>
      <c r="E6341">
        <v>411.46</v>
      </c>
      <c r="G6341" s="3">
        <f>MONTH(Tabela1[[#This Row],[Último pagto ano]])</f>
        <v>4</v>
      </c>
      <c r="H6341" t="str">
        <f>TEXT(Tabela1[[#This Row],[Coluna2]]*29,"mmmm")</f>
        <v>abril</v>
      </c>
      <c r="I6341" t="str">
        <f>TEXT(MONTH(Tabela1[[#This Row],[Último pagto ano]])*29,"mmmm")</f>
        <v>abril</v>
      </c>
    </row>
    <row r="6342" spans="1:9" x14ac:dyDescent="0.25">
      <c r="A6342">
        <v>2025</v>
      </c>
      <c r="B6342" t="s">
        <v>12626</v>
      </c>
      <c r="C6342" s="1">
        <v>45964</v>
      </c>
      <c r="D6342" t="s">
        <v>12627</v>
      </c>
      <c r="E6342">
        <v>132</v>
      </c>
      <c r="G6342" s="3">
        <f>MONTH(Tabela1[[#This Row],[Último pagto ano]])</f>
        <v>11</v>
      </c>
      <c r="H6342" t="str">
        <f>TEXT(Tabela1[[#This Row],[Coluna2]]*29,"mmmm")</f>
        <v>novembro</v>
      </c>
      <c r="I6342" t="str">
        <f>TEXT(MONTH(Tabela1[[#This Row],[Último pagto ano]])*29,"mmmm")</f>
        <v>novembro</v>
      </c>
    </row>
    <row r="6343" spans="1:9" x14ac:dyDescent="0.25">
      <c r="A6343">
        <v>2025</v>
      </c>
      <c r="B6343" t="s">
        <v>12628</v>
      </c>
      <c r="C6343" s="1">
        <v>46010</v>
      </c>
      <c r="D6343" t="s">
        <v>12629</v>
      </c>
      <c r="E6343" s="2">
        <v>23600</v>
      </c>
      <c r="G6343" s="3">
        <f>MONTH(Tabela1[[#This Row],[Último pagto ano]])</f>
        <v>12</v>
      </c>
      <c r="H6343" t="str">
        <f>TEXT(Tabela1[[#This Row],[Coluna2]]*29,"mmmm")</f>
        <v>dezembro</v>
      </c>
      <c r="I6343" t="str">
        <f>TEXT(MONTH(Tabela1[[#This Row],[Último pagto ano]])*29,"mmmm")</f>
        <v>dezembro</v>
      </c>
    </row>
    <row r="6344" spans="1:9" x14ac:dyDescent="0.25">
      <c r="A6344">
        <v>2025</v>
      </c>
      <c r="B6344" t="s">
        <v>12630</v>
      </c>
      <c r="C6344" s="1">
        <v>45842</v>
      </c>
      <c r="D6344" t="s">
        <v>12631</v>
      </c>
      <c r="E6344" s="2">
        <v>5940</v>
      </c>
      <c r="G6344" s="3">
        <f>MONTH(Tabela1[[#This Row],[Último pagto ano]])</f>
        <v>7</v>
      </c>
      <c r="H6344" t="str">
        <f>TEXT(Tabela1[[#This Row],[Coluna2]]*29,"mmmm")</f>
        <v>julho</v>
      </c>
      <c r="I6344" t="str">
        <f>TEXT(MONTH(Tabela1[[#This Row],[Último pagto ano]])*29,"mmmm")</f>
        <v>julho</v>
      </c>
    </row>
    <row r="6345" spans="1:9" x14ac:dyDescent="0.25">
      <c r="A6345">
        <v>2025</v>
      </c>
      <c r="B6345" t="s">
        <v>12632</v>
      </c>
      <c r="C6345" s="1">
        <v>46010</v>
      </c>
      <c r="D6345" t="s">
        <v>12633</v>
      </c>
      <c r="E6345" s="2">
        <v>8300</v>
      </c>
      <c r="G6345" s="3">
        <f>MONTH(Tabela1[[#This Row],[Último pagto ano]])</f>
        <v>12</v>
      </c>
      <c r="H6345" t="str">
        <f>TEXT(Tabela1[[#This Row],[Coluna2]]*29,"mmmm")</f>
        <v>dezembro</v>
      </c>
      <c r="I6345" t="str">
        <f>TEXT(MONTH(Tabela1[[#This Row],[Último pagto ano]])*29,"mmmm")</f>
        <v>dezembro</v>
      </c>
    </row>
    <row r="6346" spans="1:9" x14ac:dyDescent="0.25">
      <c r="A6346">
        <v>2025</v>
      </c>
      <c r="B6346" t="s">
        <v>12634</v>
      </c>
      <c r="C6346" s="1">
        <v>46021</v>
      </c>
      <c r="D6346" t="s">
        <v>12635</v>
      </c>
      <c r="E6346" s="2">
        <v>10354.86</v>
      </c>
      <c r="G6346" s="3">
        <f>MONTH(Tabela1[[#This Row],[Último pagto ano]])</f>
        <v>12</v>
      </c>
      <c r="H6346" t="str">
        <f>TEXT(Tabela1[[#This Row],[Coluna2]]*29,"mmmm")</f>
        <v>dezembro</v>
      </c>
      <c r="I6346" t="str">
        <f>TEXT(MONTH(Tabela1[[#This Row],[Último pagto ano]])*29,"mmmm")</f>
        <v>dezembro</v>
      </c>
    </row>
    <row r="6347" spans="1:9" x14ac:dyDescent="0.25">
      <c r="A6347">
        <v>2025</v>
      </c>
      <c r="B6347" t="s">
        <v>12636</v>
      </c>
      <c r="C6347" s="1">
        <v>45748</v>
      </c>
      <c r="D6347" t="s">
        <v>12637</v>
      </c>
      <c r="E6347" s="2">
        <v>2023.88</v>
      </c>
      <c r="G6347" s="3">
        <f>MONTH(Tabela1[[#This Row],[Último pagto ano]])</f>
        <v>4</v>
      </c>
      <c r="H6347" t="str">
        <f>TEXT(Tabela1[[#This Row],[Coluna2]]*29,"mmmm")</f>
        <v>abril</v>
      </c>
      <c r="I6347" t="str">
        <f>TEXT(MONTH(Tabela1[[#This Row],[Último pagto ano]])*29,"mmmm")</f>
        <v>abril</v>
      </c>
    </row>
    <row r="6348" spans="1:9" x14ac:dyDescent="0.25">
      <c r="A6348">
        <v>2025</v>
      </c>
      <c r="B6348" t="s">
        <v>12638</v>
      </c>
      <c r="C6348" s="1">
        <v>45849</v>
      </c>
      <c r="D6348" t="s">
        <v>12639</v>
      </c>
      <c r="E6348">
        <v>22</v>
      </c>
      <c r="G6348" s="3">
        <f>MONTH(Tabela1[[#This Row],[Último pagto ano]])</f>
        <v>7</v>
      </c>
      <c r="H6348" t="str">
        <f>TEXT(Tabela1[[#This Row],[Coluna2]]*29,"mmmm")</f>
        <v>julho</v>
      </c>
      <c r="I6348" t="str">
        <f>TEXT(MONTH(Tabela1[[#This Row],[Último pagto ano]])*29,"mmmm")</f>
        <v>julho</v>
      </c>
    </row>
    <row r="6349" spans="1:9" x14ac:dyDescent="0.25">
      <c r="A6349">
        <v>2025</v>
      </c>
      <c r="B6349" t="s">
        <v>12640</v>
      </c>
      <c r="C6349" s="1">
        <v>45722</v>
      </c>
      <c r="D6349" t="s">
        <v>12641</v>
      </c>
      <c r="E6349">
        <v>11</v>
      </c>
      <c r="G6349" s="3">
        <f>MONTH(Tabela1[[#This Row],[Último pagto ano]])</f>
        <v>3</v>
      </c>
      <c r="H6349" t="str">
        <f>TEXT(Tabela1[[#This Row],[Coluna2]]*29,"mmmm")</f>
        <v>março</v>
      </c>
      <c r="I6349" t="str">
        <f>TEXT(MONTH(Tabela1[[#This Row],[Último pagto ano]])*29,"mmmm")</f>
        <v>março</v>
      </c>
    </row>
    <row r="6350" spans="1:9" x14ac:dyDescent="0.25">
      <c r="A6350">
        <v>2025</v>
      </c>
      <c r="B6350" t="s">
        <v>12642</v>
      </c>
      <c r="C6350" s="1">
        <v>45985</v>
      </c>
      <c r="D6350" t="s">
        <v>12643</v>
      </c>
      <c r="E6350">
        <v>66</v>
      </c>
      <c r="G6350" s="3">
        <f>MONTH(Tabela1[[#This Row],[Último pagto ano]])</f>
        <v>11</v>
      </c>
      <c r="H6350" t="str">
        <f>TEXT(Tabela1[[#This Row],[Coluna2]]*29,"mmmm")</f>
        <v>novembro</v>
      </c>
      <c r="I6350" t="str">
        <f>TEXT(MONTH(Tabela1[[#This Row],[Último pagto ano]])*29,"mmmm")</f>
        <v>novembro</v>
      </c>
    </row>
    <row r="6351" spans="1:9" x14ac:dyDescent="0.25">
      <c r="A6351">
        <v>2025</v>
      </c>
      <c r="B6351" t="s">
        <v>12644</v>
      </c>
      <c r="C6351" s="1">
        <v>45835</v>
      </c>
      <c r="D6351" t="s">
        <v>12645</v>
      </c>
      <c r="E6351">
        <v>22</v>
      </c>
      <c r="G6351" s="3">
        <f>MONTH(Tabela1[[#This Row],[Último pagto ano]])</f>
        <v>6</v>
      </c>
      <c r="H6351" t="str">
        <f>TEXT(Tabela1[[#This Row],[Coluna2]]*29,"mmmm")</f>
        <v>junho</v>
      </c>
      <c r="I6351" t="str">
        <f>TEXT(MONTH(Tabela1[[#This Row],[Último pagto ano]])*29,"mmmm")</f>
        <v>junho</v>
      </c>
    </row>
    <row r="6352" spans="1:9" x14ac:dyDescent="0.25">
      <c r="A6352">
        <v>2025</v>
      </c>
      <c r="B6352" t="s">
        <v>12646</v>
      </c>
      <c r="C6352" s="1">
        <v>45702</v>
      </c>
      <c r="D6352" t="s">
        <v>12647</v>
      </c>
      <c r="E6352">
        <v>226.57</v>
      </c>
      <c r="G6352" s="3">
        <f>MONTH(Tabela1[[#This Row],[Último pagto ano]])</f>
        <v>2</v>
      </c>
      <c r="H6352" t="str">
        <f>TEXT(Tabela1[[#This Row],[Coluna2]]*29,"mmmm")</f>
        <v>fevereiro</v>
      </c>
      <c r="I6352" t="str">
        <f>TEXT(MONTH(Tabela1[[#This Row],[Último pagto ano]])*29,"mmmm")</f>
        <v>fevereiro</v>
      </c>
    </row>
    <row r="6353" spans="1:9" x14ac:dyDescent="0.25">
      <c r="A6353">
        <v>2025</v>
      </c>
      <c r="B6353" t="s">
        <v>12648</v>
      </c>
      <c r="C6353" s="1">
        <v>45705</v>
      </c>
      <c r="D6353" t="s">
        <v>12649</v>
      </c>
      <c r="E6353" s="2">
        <v>69033.64</v>
      </c>
      <c r="G6353" s="3">
        <f>MONTH(Tabela1[[#This Row],[Último pagto ano]])</f>
        <v>2</v>
      </c>
      <c r="H6353" t="str">
        <f>TEXT(Tabela1[[#This Row],[Coluna2]]*29,"mmmm")</f>
        <v>fevereiro</v>
      </c>
      <c r="I6353" t="str">
        <f>TEXT(MONTH(Tabela1[[#This Row],[Último pagto ano]])*29,"mmmm")</f>
        <v>fevereiro</v>
      </c>
    </row>
    <row r="6354" spans="1:9" x14ac:dyDescent="0.25">
      <c r="A6354">
        <v>2025</v>
      </c>
      <c r="B6354" t="s">
        <v>12650</v>
      </c>
      <c r="C6354" s="1">
        <v>45996</v>
      </c>
      <c r="D6354" t="s">
        <v>12651</v>
      </c>
      <c r="E6354" s="2">
        <v>2700</v>
      </c>
      <c r="G6354" s="3">
        <f>MONTH(Tabela1[[#This Row],[Último pagto ano]])</f>
        <v>12</v>
      </c>
      <c r="H6354" t="str">
        <f>TEXT(Tabela1[[#This Row],[Coluna2]]*29,"mmmm")</f>
        <v>dezembro</v>
      </c>
      <c r="I6354" t="str">
        <f>TEXT(MONTH(Tabela1[[#This Row],[Último pagto ano]])*29,"mmmm")</f>
        <v>dezembro</v>
      </c>
    </row>
    <row r="6355" spans="1:9" x14ac:dyDescent="0.25">
      <c r="A6355">
        <v>2025</v>
      </c>
      <c r="B6355" t="s">
        <v>12652</v>
      </c>
      <c r="C6355" s="1">
        <v>45995</v>
      </c>
      <c r="D6355" t="s">
        <v>12653</v>
      </c>
      <c r="E6355">
        <v>66</v>
      </c>
      <c r="G6355" s="3">
        <f>MONTH(Tabela1[[#This Row],[Último pagto ano]])</f>
        <v>12</v>
      </c>
      <c r="H6355" t="str">
        <f>TEXT(Tabela1[[#This Row],[Coluna2]]*29,"mmmm")</f>
        <v>dezembro</v>
      </c>
      <c r="I6355" t="str">
        <f>TEXT(MONTH(Tabela1[[#This Row],[Último pagto ano]])*29,"mmmm")</f>
        <v>dezembro</v>
      </c>
    </row>
    <row r="6356" spans="1:9" x14ac:dyDescent="0.25">
      <c r="A6356">
        <v>2025</v>
      </c>
      <c r="B6356" t="s">
        <v>12654</v>
      </c>
      <c r="C6356" s="1">
        <v>45964</v>
      </c>
      <c r="D6356" t="s">
        <v>12655</v>
      </c>
      <c r="E6356" s="2">
        <v>3089.53</v>
      </c>
      <c r="G6356" s="3">
        <f>MONTH(Tabela1[[#This Row],[Último pagto ano]])</f>
        <v>11</v>
      </c>
      <c r="H6356" t="str">
        <f>TEXT(Tabela1[[#This Row],[Coluna2]]*29,"mmmm")</f>
        <v>novembro</v>
      </c>
      <c r="I6356" t="str">
        <f>TEXT(MONTH(Tabela1[[#This Row],[Último pagto ano]])*29,"mmmm")</f>
        <v>novembro</v>
      </c>
    </row>
    <row r="6357" spans="1:9" x14ac:dyDescent="0.25">
      <c r="A6357">
        <v>2025</v>
      </c>
      <c r="B6357" t="s">
        <v>12656</v>
      </c>
      <c r="C6357" s="1">
        <v>46007</v>
      </c>
      <c r="D6357" t="s">
        <v>12657</v>
      </c>
      <c r="E6357" s="2">
        <v>174163.02</v>
      </c>
      <c r="G6357" s="3">
        <f>MONTH(Tabela1[[#This Row],[Último pagto ano]])</f>
        <v>12</v>
      </c>
      <c r="H6357" t="str">
        <f>TEXT(Tabela1[[#This Row],[Coluna2]]*29,"mmmm")</f>
        <v>dezembro</v>
      </c>
      <c r="I6357" t="str">
        <f>TEXT(MONTH(Tabela1[[#This Row],[Último pagto ano]])*29,"mmmm")</f>
        <v>dezembro</v>
      </c>
    </row>
    <row r="6358" spans="1:9" x14ac:dyDescent="0.25">
      <c r="A6358">
        <v>2025</v>
      </c>
      <c r="B6358" t="s">
        <v>12658</v>
      </c>
      <c r="C6358" s="1">
        <v>45996</v>
      </c>
      <c r="D6358" t="s">
        <v>12659</v>
      </c>
      <c r="E6358" s="2">
        <v>23500</v>
      </c>
      <c r="G6358" s="3">
        <f>MONTH(Tabela1[[#This Row],[Último pagto ano]])</f>
        <v>12</v>
      </c>
      <c r="H6358" t="str">
        <f>TEXT(Tabela1[[#This Row],[Coluna2]]*29,"mmmm")</f>
        <v>dezembro</v>
      </c>
      <c r="I6358" t="str">
        <f>TEXT(MONTH(Tabela1[[#This Row],[Último pagto ano]])*29,"mmmm")</f>
        <v>dezembro</v>
      </c>
    </row>
    <row r="6359" spans="1:9" x14ac:dyDescent="0.25">
      <c r="A6359">
        <v>2025</v>
      </c>
      <c r="B6359" t="s">
        <v>12660</v>
      </c>
      <c r="C6359" s="1">
        <v>46009</v>
      </c>
      <c r="D6359" t="s">
        <v>12661</v>
      </c>
      <c r="E6359" s="2">
        <v>11648.8</v>
      </c>
      <c r="G6359" s="3">
        <f>MONTH(Tabela1[[#This Row],[Último pagto ano]])</f>
        <v>12</v>
      </c>
      <c r="H6359" t="str">
        <f>TEXT(Tabela1[[#This Row],[Coluna2]]*29,"mmmm")</f>
        <v>dezembro</v>
      </c>
      <c r="I6359" t="str">
        <f>TEXT(MONTH(Tabela1[[#This Row],[Último pagto ano]])*29,"mmmm")</f>
        <v>dezembro</v>
      </c>
    </row>
    <row r="6360" spans="1:9" x14ac:dyDescent="0.25">
      <c r="A6360">
        <v>2025</v>
      </c>
      <c r="B6360" t="s">
        <v>12662</v>
      </c>
      <c r="C6360" s="1">
        <v>45835</v>
      </c>
      <c r="D6360" t="s">
        <v>12663</v>
      </c>
      <c r="E6360">
        <v>88</v>
      </c>
      <c r="G6360" s="3">
        <f>MONTH(Tabela1[[#This Row],[Último pagto ano]])</f>
        <v>6</v>
      </c>
      <c r="H6360" t="str">
        <f>TEXT(Tabela1[[#This Row],[Coluna2]]*29,"mmmm")</f>
        <v>junho</v>
      </c>
      <c r="I6360" t="str">
        <f>TEXT(MONTH(Tabela1[[#This Row],[Último pagto ano]])*29,"mmmm")</f>
        <v>junho</v>
      </c>
    </row>
    <row r="6361" spans="1:9" x14ac:dyDescent="0.25">
      <c r="A6361">
        <v>2025</v>
      </c>
      <c r="B6361" t="s">
        <v>12664</v>
      </c>
      <c r="C6361" s="1">
        <v>45964</v>
      </c>
      <c r="D6361" t="s">
        <v>12665</v>
      </c>
      <c r="E6361">
        <v>44</v>
      </c>
      <c r="G6361" s="3">
        <f>MONTH(Tabela1[[#This Row],[Último pagto ano]])</f>
        <v>11</v>
      </c>
      <c r="H6361" t="str">
        <f>TEXT(Tabela1[[#This Row],[Coluna2]]*29,"mmmm")</f>
        <v>novembro</v>
      </c>
      <c r="I6361" t="str">
        <f>TEXT(MONTH(Tabela1[[#This Row],[Último pagto ano]])*29,"mmmm")</f>
        <v>novembro</v>
      </c>
    </row>
    <row r="6362" spans="1:9" x14ac:dyDescent="0.25">
      <c r="A6362">
        <v>2025</v>
      </c>
      <c r="B6362" t="s">
        <v>12666</v>
      </c>
      <c r="C6362" s="1">
        <v>46010</v>
      </c>
      <c r="D6362" t="s">
        <v>12667</v>
      </c>
      <c r="E6362" s="2">
        <v>23934</v>
      </c>
      <c r="G6362" s="3">
        <f>MONTH(Tabela1[[#This Row],[Último pagto ano]])</f>
        <v>12</v>
      </c>
      <c r="H6362" t="str">
        <f>TEXT(Tabela1[[#This Row],[Coluna2]]*29,"mmmm")</f>
        <v>dezembro</v>
      </c>
      <c r="I6362" t="str">
        <f>TEXT(MONTH(Tabela1[[#This Row],[Último pagto ano]])*29,"mmmm")</f>
        <v>dezembro</v>
      </c>
    </row>
    <row r="6363" spans="1:9" x14ac:dyDescent="0.25">
      <c r="A6363">
        <v>2025</v>
      </c>
      <c r="B6363" t="s">
        <v>12668</v>
      </c>
      <c r="C6363" s="1">
        <v>45744</v>
      </c>
      <c r="D6363" t="s">
        <v>12669</v>
      </c>
      <c r="E6363" s="2">
        <v>3074.31</v>
      </c>
      <c r="G6363" s="3">
        <f>MONTH(Tabela1[[#This Row],[Último pagto ano]])</f>
        <v>3</v>
      </c>
      <c r="H6363" t="str">
        <f>TEXT(Tabela1[[#This Row],[Coluna2]]*29,"mmmm")</f>
        <v>março</v>
      </c>
      <c r="I6363" t="str">
        <f>TEXT(MONTH(Tabela1[[#This Row],[Último pagto ano]])*29,"mmmm")</f>
        <v>março</v>
      </c>
    </row>
    <row r="6364" spans="1:9" x14ac:dyDescent="0.25">
      <c r="A6364">
        <v>2025</v>
      </c>
      <c r="B6364" t="s">
        <v>12670</v>
      </c>
      <c r="C6364" s="1">
        <v>46014</v>
      </c>
      <c r="D6364" t="s">
        <v>12671</v>
      </c>
      <c r="E6364">
        <v>66</v>
      </c>
      <c r="G6364" s="3">
        <f>MONTH(Tabela1[[#This Row],[Último pagto ano]])</f>
        <v>12</v>
      </c>
      <c r="H6364" t="str">
        <f>TEXT(Tabela1[[#This Row],[Coluna2]]*29,"mmmm")</f>
        <v>dezembro</v>
      </c>
      <c r="I6364" t="str">
        <f>TEXT(MONTH(Tabela1[[#This Row],[Último pagto ano]])*29,"mmmm")</f>
        <v>dezembro</v>
      </c>
    </row>
    <row r="6365" spans="1:9" x14ac:dyDescent="0.25">
      <c r="A6365">
        <v>2025</v>
      </c>
      <c r="B6365" t="s">
        <v>12672</v>
      </c>
      <c r="C6365" s="1">
        <v>46006</v>
      </c>
      <c r="D6365" t="s">
        <v>12673</v>
      </c>
      <c r="E6365" s="2">
        <v>5000</v>
      </c>
      <c r="G6365" s="3">
        <f>MONTH(Tabela1[[#This Row],[Último pagto ano]])</f>
        <v>12</v>
      </c>
      <c r="H6365" t="str">
        <f>TEXT(Tabela1[[#This Row],[Coluna2]]*29,"mmmm")</f>
        <v>dezembro</v>
      </c>
      <c r="I6365" t="str">
        <f>TEXT(MONTH(Tabela1[[#This Row],[Último pagto ano]])*29,"mmmm")</f>
        <v>dezembro</v>
      </c>
    </row>
    <row r="6366" spans="1:9" x14ac:dyDescent="0.25">
      <c r="A6366">
        <v>2025</v>
      </c>
      <c r="B6366" t="s">
        <v>12674</v>
      </c>
      <c r="C6366" s="1">
        <v>46021</v>
      </c>
      <c r="D6366" t="s">
        <v>12675</v>
      </c>
      <c r="E6366" s="2">
        <v>4795.87</v>
      </c>
      <c r="G6366" s="3">
        <f>MONTH(Tabela1[[#This Row],[Último pagto ano]])</f>
        <v>12</v>
      </c>
      <c r="H6366" t="str">
        <f>TEXT(Tabela1[[#This Row],[Coluna2]]*29,"mmmm")</f>
        <v>dezembro</v>
      </c>
      <c r="I6366" t="str">
        <f>TEXT(MONTH(Tabela1[[#This Row],[Último pagto ano]])*29,"mmmm")</f>
        <v>dezembro</v>
      </c>
    </row>
    <row r="6367" spans="1:9" x14ac:dyDescent="0.25">
      <c r="A6367">
        <v>2025</v>
      </c>
      <c r="B6367" t="s">
        <v>12676</v>
      </c>
      <c r="C6367" s="1">
        <v>45883</v>
      </c>
      <c r="D6367" t="s">
        <v>12677</v>
      </c>
      <c r="E6367" s="2">
        <v>4741.63</v>
      </c>
      <c r="G6367" s="3">
        <f>MONTH(Tabela1[[#This Row],[Último pagto ano]])</f>
        <v>8</v>
      </c>
      <c r="H6367" t="str">
        <f>TEXT(Tabela1[[#This Row],[Coluna2]]*29,"mmmm")</f>
        <v>agosto</v>
      </c>
      <c r="I6367" t="str">
        <f>TEXT(MONTH(Tabela1[[#This Row],[Último pagto ano]])*29,"mmmm")</f>
        <v>agosto</v>
      </c>
    </row>
    <row r="6368" spans="1:9" x14ac:dyDescent="0.25">
      <c r="A6368">
        <v>2025</v>
      </c>
      <c r="B6368" t="s">
        <v>12678</v>
      </c>
      <c r="C6368" s="1">
        <v>45702</v>
      </c>
      <c r="D6368" t="s">
        <v>12679</v>
      </c>
      <c r="E6368" s="2">
        <v>1034.79</v>
      </c>
      <c r="G6368" s="3">
        <f>MONTH(Tabela1[[#This Row],[Último pagto ano]])</f>
        <v>2</v>
      </c>
      <c r="H6368" t="str">
        <f>TEXT(Tabela1[[#This Row],[Coluna2]]*29,"mmmm")</f>
        <v>fevereiro</v>
      </c>
      <c r="I6368" t="str">
        <f>TEXT(MONTH(Tabela1[[#This Row],[Último pagto ano]])*29,"mmmm")</f>
        <v>fevereiro</v>
      </c>
    </row>
    <row r="6369" spans="1:9" x14ac:dyDescent="0.25">
      <c r="A6369">
        <v>2025</v>
      </c>
      <c r="B6369" t="s">
        <v>12680</v>
      </c>
      <c r="C6369" s="1">
        <v>45712</v>
      </c>
      <c r="D6369" t="s">
        <v>12681</v>
      </c>
      <c r="E6369">
        <v>529.20000000000005</v>
      </c>
      <c r="G6369" s="3">
        <f>MONTH(Tabela1[[#This Row],[Último pagto ano]])</f>
        <v>2</v>
      </c>
      <c r="H6369" t="str">
        <f>TEXT(Tabela1[[#This Row],[Coluna2]]*29,"mmmm")</f>
        <v>fevereiro</v>
      </c>
      <c r="I6369" t="str">
        <f>TEXT(MONTH(Tabela1[[#This Row],[Último pagto ano]])*29,"mmmm")</f>
        <v>fevereiro</v>
      </c>
    </row>
    <row r="6370" spans="1:9" x14ac:dyDescent="0.25">
      <c r="A6370">
        <v>2025</v>
      </c>
      <c r="B6370" t="s">
        <v>12682</v>
      </c>
      <c r="C6370" s="1">
        <v>45754</v>
      </c>
      <c r="D6370" t="s">
        <v>12683</v>
      </c>
      <c r="E6370">
        <v>22</v>
      </c>
      <c r="G6370" s="3">
        <f>MONTH(Tabela1[[#This Row],[Último pagto ano]])</f>
        <v>4</v>
      </c>
      <c r="H6370" t="str">
        <f>TEXT(Tabela1[[#This Row],[Coluna2]]*29,"mmmm")</f>
        <v>abril</v>
      </c>
      <c r="I6370" t="str">
        <f>TEXT(MONTH(Tabela1[[#This Row],[Último pagto ano]])*29,"mmmm")</f>
        <v>abril</v>
      </c>
    </row>
    <row r="6371" spans="1:9" x14ac:dyDescent="0.25">
      <c r="A6371">
        <v>2025</v>
      </c>
      <c r="B6371" t="s">
        <v>12684</v>
      </c>
      <c r="C6371" s="1">
        <v>45975</v>
      </c>
      <c r="D6371" t="s">
        <v>12685</v>
      </c>
      <c r="E6371" s="2">
        <v>5021.4399999999996</v>
      </c>
      <c r="G6371" s="3">
        <f>MONTH(Tabela1[[#This Row],[Último pagto ano]])</f>
        <v>11</v>
      </c>
      <c r="H6371" t="str">
        <f>TEXT(Tabela1[[#This Row],[Coluna2]]*29,"mmmm")</f>
        <v>novembro</v>
      </c>
      <c r="I6371" t="str">
        <f>TEXT(MONTH(Tabela1[[#This Row],[Último pagto ano]])*29,"mmmm")</f>
        <v>novembro</v>
      </c>
    </row>
    <row r="6372" spans="1:9" x14ac:dyDescent="0.25">
      <c r="A6372">
        <v>2025</v>
      </c>
      <c r="B6372" t="s">
        <v>12686</v>
      </c>
      <c r="C6372" s="1">
        <v>46006</v>
      </c>
      <c r="D6372" t="s">
        <v>12687</v>
      </c>
      <c r="E6372" s="2">
        <v>4886.6400000000003</v>
      </c>
      <c r="G6372" s="3">
        <f>MONTH(Tabela1[[#This Row],[Último pagto ano]])</f>
        <v>12</v>
      </c>
      <c r="H6372" t="str">
        <f>TEXT(Tabela1[[#This Row],[Coluna2]]*29,"mmmm")</f>
        <v>dezembro</v>
      </c>
      <c r="I6372" t="str">
        <f>TEXT(MONTH(Tabela1[[#This Row],[Último pagto ano]])*29,"mmmm")</f>
        <v>dezembro</v>
      </c>
    </row>
    <row r="6373" spans="1:9" x14ac:dyDescent="0.25">
      <c r="A6373">
        <v>2025</v>
      </c>
      <c r="B6373" t="s">
        <v>12688</v>
      </c>
      <c r="C6373" s="1">
        <v>45716</v>
      </c>
      <c r="D6373" t="s">
        <v>12689</v>
      </c>
      <c r="E6373">
        <v>976.1</v>
      </c>
      <c r="G6373" s="3">
        <f>MONTH(Tabela1[[#This Row],[Último pagto ano]])</f>
        <v>2</v>
      </c>
      <c r="H6373" t="str">
        <f>TEXT(Tabela1[[#This Row],[Coluna2]]*29,"mmmm")</f>
        <v>fevereiro</v>
      </c>
      <c r="I6373" t="str">
        <f>TEXT(MONTH(Tabela1[[#This Row],[Último pagto ano]])*29,"mmmm")</f>
        <v>fevereiro</v>
      </c>
    </row>
    <row r="6374" spans="1:9" x14ac:dyDescent="0.25">
      <c r="A6374">
        <v>2025</v>
      </c>
      <c r="B6374" t="s">
        <v>12690</v>
      </c>
      <c r="C6374" s="1">
        <v>45702</v>
      </c>
      <c r="D6374" t="s">
        <v>12691</v>
      </c>
      <c r="E6374">
        <v>269.12</v>
      </c>
      <c r="G6374" s="3">
        <f>MONTH(Tabela1[[#This Row],[Último pagto ano]])</f>
        <v>2</v>
      </c>
      <c r="H6374" t="str">
        <f>TEXT(Tabela1[[#This Row],[Coluna2]]*29,"mmmm")</f>
        <v>fevereiro</v>
      </c>
      <c r="I6374" t="str">
        <f>TEXT(MONTH(Tabela1[[#This Row],[Último pagto ano]])*29,"mmmm")</f>
        <v>fevereiro</v>
      </c>
    </row>
    <row r="6375" spans="1:9" x14ac:dyDescent="0.25">
      <c r="A6375">
        <v>2025</v>
      </c>
      <c r="B6375" t="s">
        <v>12692</v>
      </c>
      <c r="C6375" s="1">
        <v>45884</v>
      </c>
      <c r="D6375" t="s">
        <v>12693</v>
      </c>
      <c r="E6375" s="2">
        <v>8000</v>
      </c>
      <c r="G6375" s="3">
        <f>MONTH(Tabela1[[#This Row],[Último pagto ano]])</f>
        <v>8</v>
      </c>
      <c r="H6375" t="str">
        <f>TEXT(Tabela1[[#This Row],[Coluna2]]*29,"mmmm")</f>
        <v>agosto</v>
      </c>
      <c r="I6375" t="str">
        <f>TEXT(MONTH(Tabela1[[#This Row],[Último pagto ano]])*29,"mmmm")</f>
        <v>agosto</v>
      </c>
    </row>
    <row r="6376" spans="1:9" x14ac:dyDescent="0.25">
      <c r="A6376">
        <v>2025</v>
      </c>
      <c r="B6376" t="s">
        <v>12694</v>
      </c>
      <c r="C6376" s="1">
        <v>46010</v>
      </c>
      <c r="D6376" t="s">
        <v>12695</v>
      </c>
      <c r="E6376" s="2">
        <v>24000</v>
      </c>
      <c r="G6376" s="3">
        <f>MONTH(Tabela1[[#This Row],[Último pagto ano]])</f>
        <v>12</v>
      </c>
      <c r="H6376" t="str">
        <f>TEXT(Tabela1[[#This Row],[Coluna2]]*29,"mmmm")</f>
        <v>dezembro</v>
      </c>
      <c r="I6376" t="str">
        <f>TEXT(MONTH(Tabela1[[#This Row],[Último pagto ano]])*29,"mmmm")</f>
        <v>dezembro</v>
      </c>
    </row>
    <row r="6377" spans="1:9" x14ac:dyDescent="0.25">
      <c r="A6377">
        <v>2025</v>
      </c>
      <c r="B6377" t="s">
        <v>12696</v>
      </c>
      <c r="C6377" s="1">
        <v>45989</v>
      </c>
      <c r="D6377" t="s">
        <v>12697</v>
      </c>
      <c r="E6377" s="2">
        <v>4020.66</v>
      </c>
      <c r="G6377" s="3">
        <f>MONTH(Tabela1[[#This Row],[Último pagto ano]])</f>
        <v>11</v>
      </c>
      <c r="H6377" t="str">
        <f>TEXT(Tabela1[[#This Row],[Coluna2]]*29,"mmmm")</f>
        <v>novembro</v>
      </c>
      <c r="I6377" t="str">
        <f>TEXT(MONTH(Tabela1[[#This Row],[Último pagto ano]])*29,"mmmm")</f>
        <v>novembro</v>
      </c>
    </row>
    <row r="6378" spans="1:9" x14ac:dyDescent="0.25">
      <c r="A6378">
        <v>2025</v>
      </c>
      <c r="B6378" t="s">
        <v>12698</v>
      </c>
      <c r="C6378" s="1">
        <v>45929</v>
      </c>
      <c r="D6378" t="s">
        <v>12699</v>
      </c>
      <c r="E6378">
        <v>88</v>
      </c>
      <c r="G6378" s="3">
        <f>MONTH(Tabela1[[#This Row],[Último pagto ano]])</f>
        <v>9</v>
      </c>
      <c r="H6378" t="str">
        <f>TEXT(Tabela1[[#This Row],[Coluna2]]*29,"mmmm")</f>
        <v>setembro</v>
      </c>
      <c r="I6378" t="str">
        <f>TEXT(MONTH(Tabela1[[#This Row],[Último pagto ano]])*29,"mmmm")</f>
        <v>setembro</v>
      </c>
    </row>
    <row r="6379" spans="1:9" x14ac:dyDescent="0.25">
      <c r="A6379">
        <v>2025</v>
      </c>
      <c r="B6379" t="s">
        <v>12700</v>
      </c>
      <c r="C6379" s="1">
        <v>45702</v>
      </c>
      <c r="D6379" t="s">
        <v>12701</v>
      </c>
      <c r="E6379">
        <v>125.28</v>
      </c>
      <c r="G6379" s="3">
        <f>MONTH(Tabela1[[#This Row],[Último pagto ano]])</f>
        <v>2</v>
      </c>
      <c r="H6379" t="str">
        <f>TEXT(Tabela1[[#This Row],[Coluna2]]*29,"mmmm")</f>
        <v>fevereiro</v>
      </c>
      <c r="I6379" t="str">
        <f>TEXT(MONTH(Tabela1[[#This Row],[Último pagto ano]])*29,"mmmm")</f>
        <v>fevereiro</v>
      </c>
    </row>
    <row r="6380" spans="1:9" x14ac:dyDescent="0.25">
      <c r="A6380">
        <v>2025</v>
      </c>
      <c r="B6380" t="s">
        <v>12702</v>
      </c>
      <c r="C6380" s="1">
        <v>46014</v>
      </c>
      <c r="D6380" t="s">
        <v>12703</v>
      </c>
      <c r="E6380" s="2">
        <v>1188</v>
      </c>
      <c r="G6380" s="3">
        <f>MONTH(Tabela1[[#This Row],[Último pagto ano]])</f>
        <v>12</v>
      </c>
      <c r="H6380" t="str">
        <f>TEXT(Tabela1[[#This Row],[Coluna2]]*29,"mmmm")</f>
        <v>dezembro</v>
      </c>
      <c r="I6380" t="str">
        <f>TEXT(MONTH(Tabela1[[#This Row],[Último pagto ano]])*29,"mmmm")</f>
        <v>dezembro</v>
      </c>
    </row>
    <row r="6381" spans="1:9" x14ac:dyDescent="0.25">
      <c r="A6381">
        <v>2025</v>
      </c>
      <c r="B6381" t="s">
        <v>12704</v>
      </c>
      <c r="C6381" s="1">
        <v>45876</v>
      </c>
      <c r="D6381" t="s">
        <v>12705</v>
      </c>
      <c r="E6381" s="2">
        <v>1000</v>
      </c>
      <c r="G6381" s="3">
        <f>MONTH(Tabela1[[#This Row],[Último pagto ano]])</f>
        <v>8</v>
      </c>
      <c r="H6381" t="str">
        <f>TEXT(Tabela1[[#This Row],[Coluna2]]*29,"mmmm")</f>
        <v>agosto</v>
      </c>
      <c r="I6381" t="str">
        <f>TEXT(MONTH(Tabela1[[#This Row],[Último pagto ano]])*29,"mmmm")</f>
        <v>agosto</v>
      </c>
    </row>
    <row r="6382" spans="1:9" x14ac:dyDescent="0.25">
      <c r="A6382">
        <v>2025</v>
      </c>
      <c r="B6382" t="s">
        <v>12706</v>
      </c>
      <c r="C6382" s="1">
        <v>46006</v>
      </c>
      <c r="D6382" t="s">
        <v>12707</v>
      </c>
      <c r="E6382" s="2">
        <v>4900</v>
      </c>
      <c r="G6382" s="3">
        <f>MONTH(Tabela1[[#This Row],[Último pagto ano]])</f>
        <v>12</v>
      </c>
      <c r="H6382" t="str">
        <f>TEXT(Tabela1[[#This Row],[Coluna2]]*29,"mmmm")</f>
        <v>dezembro</v>
      </c>
      <c r="I6382" t="str">
        <f>TEXT(MONTH(Tabela1[[#This Row],[Último pagto ano]])*29,"mmmm")</f>
        <v>dezembro</v>
      </c>
    </row>
    <row r="6383" spans="1:9" x14ac:dyDescent="0.25">
      <c r="A6383">
        <v>2025</v>
      </c>
      <c r="B6383" t="s">
        <v>12708</v>
      </c>
      <c r="C6383" s="1">
        <v>46010</v>
      </c>
      <c r="D6383" t="s">
        <v>12709</v>
      </c>
      <c r="E6383" s="2">
        <v>2800</v>
      </c>
      <c r="G6383" s="3">
        <f>MONTH(Tabela1[[#This Row],[Último pagto ano]])</f>
        <v>12</v>
      </c>
      <c r="H6383" t="str">
        <f>TEXT(Tabela1[[#This Row],[Coluna2]]*29,"mmmm")</f>
        <v>dezembro</v>
      </c>
      <c r="I6383" t="str">
        <f>TEXT(MONTH(Tabela1[[#This Row],[Último pagto ano]])*29,"mmmm")</f>
        <v>dezembro</v>
      </c>
    </row>
    <row r="6384" spans="1:9" x14ac:dyDescent="0.25">
      <c r="A6384">
        <v>2025</v>
      </c>
      <c r="B6384" t="s">
        <v>12710</v>
      </c>
      <c r="C6384" s="1">
        <v>45716</v>
      </c>
      <c r="D6384" t="s">
        <v>12711</v>
      </c>
      <c r="E6384" s="2">
        <v>1778.65</v>
      </c>
      <c r="G6384" s="3">
        <f>MONTH(Tabela1[[#This Row],[Último pagto ano]])</f>
        <v>2</v>
      </c>
      <c r="H6384" t="str">
        <f>TEXT(Tabela1[[#This Row],[Coluna2]]*29,"mmmm")</f>
        <v>fevereiro</v>
      </c>
      <c r="I6384" t="str">
        <f>TEXT(MONTH(Tabela1[[#This Row],[Último pagto ano]])*29,"mmmm")</f>
        <v>fevereiro</v>
      </c>
    </row>
    <row r="6385" spans="1:9" x14ac:dyDescent="0.25">
      <c r="A6385">
        <v>2025</v>
      </c>
      <c r="B6385" t="s">
        <v>12712</v>
      </c>
      <c r="C6385" s="1">
        <v>45971</v>
      </c>
      <c r="D6385" t="s">
        <v>12713</v>
      </c>
      <c r="E6385" s="2">
        <v>1890</v>
      </c>
      <c r="G6385" s="3">
        <f>MONTH(Tabela1[[#This Row],[Último pagto ano]])</f>
        <v>11</v>
      </c>
      <c r="H6385" t="str">
        <f>TEXT(Tabela1[[#This Row],[Coluna2]]*29,"mmmm")</f>
        <v>novembro</v>
      </c>
      <c r="I6385" t="str">
        <f>TEXT(MONTH(Tabela1[[#This Row],[Último pagto ano]])*29,"mmmm")</f>
        <v>novembro</v>
      </c>
    </row>
    <row r="6386" spans="1:9" x14ac:dyDescent="0.25">
      <c r="A6386">
        <v>2025</v>
      </c>
      <c r="B6386" t="s">
        <v>12714</v>
      </c>
      <c r="C6386" s="1">
        <v>45702</v>
      </c>
      <c r="D6386" t="s">
        <v>12715</v>
      </c>
      <c r="E6386">
        <v>807.84</v>
      </c>
      <c r="G6386" s="3">
        <f>MONTH(Tabela1[[#This Row],[Último pagto ano]])</f>
        <v>2</v>
      </c>
      <c r="H6386" t="str">
        <f>TEXT(Tabela1[[#This Row],[Coluna2]]*29,"mmmm")</f>
        <v>fevereiro</v>
      </c>
      <c r="I6386" t="str">
        <f>TEXT(MONTH(Tabela1[[#This Row],[Último pagto ano]])*29,"mmmm")</f>
        <v>fevereiro</v>
      </c>
    </row>
    <row r="6387" spans="1:9" x14ac:dyDescent="0.25">
      <c r="A6387">
        <v>2025</v>
      </c>
      <c r="B6387" t="s">
        <v>12716</v>
      </c>
      <c r="C6387" s="1">
        <v>45988</v>
      </c>
      <c r="D6387" t="s">
        <v>12717</v>
      </c>
      <c r="E6387" s="2">
        <v>2950.2</v>
      </c>
      <c r="G6387" s="3">
        <f>MONTH(Tabela1[[#This Row],[Último pagto ano]])</f>
        <v>11</v>
      </c>
      <c r="H6387" t="str">
        <f>TEXT(Tabela1[[#This Row],[Coluna2]]*29,"mmmm")</f>
        <v>novembro</v>
      </c>
      <c r="I6387" t="str">
        <f>TEXT(MONTH(Tabela1[[#This Row],[Último pagto ano]])*29,"mmmm")</f>
        <v>novembro</v>
      </c>
    </row>
    <row r="6388" spans="1:9" x14ac:dyDescent="0.25">
      <c r="A6388">
        <v>2025</v>
      </c>
      <c r="B6388" t="s">
        <v>12718</v>
      </c>
      <c r="C6388" s="1">
        <v>45803</v>
      </c>
      <c r="D6388" t="s">
        <v>12719</v>
      </c>
      <c r="E6388" s="2">
        <v>2749.5</v>
      </c>
      <c r="G6388" s="3">
        <f>MONTH(Tabela1[[#This Row],[Último pagto ano]])</f>
        <v>5</v>
      </c>
      <c r="H6388" t="str">
        <f>TEXT(Tabela1[[#This Row],[Coluna2]]*29,"mmmm")</f>
        <v>maio</v>
      </c>
      <c r="I6388" t="str">
        <f>TEXT(MONTH(Tabela1[[#This Row],[Último pagto ano]])*29,"mmmm")</f>
        <v>maio</v>
      </c>
    </row>
    <row r="6389" spans="1:9" x14ac:dyDescent="0.25">
      <c r="A6389">
        <v>2025</v>
      </c>
      <c r="B6389" t="s">
        <v>12720</v>
      </c>
      <c r="C6389" s="1">
        <v>45989</v>
      </c>
      <c r="D6389" t="s">
        <v>12721</v>
      </c>
      <c r="E6389" s="2">
        <v>11412.32</v>
      </c>
      <c r="G6389" s="3">
        <f>MONTH(Tabela1[[#This Row],[Último pagto ano]])</f>
        <v>11</v>
      </c>
      <c r="H6389" t="str">
        <f>TEXT(Tabela1[[#This Row],[Coluna2]]*29,"mmmm")</f>
        <v>novembro</v>
      </c>
      <c r="I6389" t="str">
        <f>TEXT(MONTH(Tabela1[[#This Row],[Último pagto ano]])*29,"mmmm")</f>
        <v>novembro</v>
      </c>
    </row>
    <row r="6390" spans="1:9" x14ac:dyDescent="0.25">
      <c r="A6390">
        <v>2025</v>
      </c>
      <c r="B6390" t="s">
        <v>12722</v>
      </c>
      <c r="C6390" s="1">
        <v>45945</v>
      </c>
      <c r="D6390" t="s">
        <v>12723</v>
      </c>
      <c r="E6390" s="2">
        <v>1776.96</v>
      </c>
      <c r="G6390" s="3">
        <f>MONTH(Tabela1[[#This Row],[Último pagto ano]])</f>
        <v>10</v>
      </c>
      <c r="H6390" t="str">
        <f>TEXT(Tabela1[[#This Row],[Coluna2]]*29,"mmmm")</f>
        <v>outubro</v>
      </c>
      <c r="I6390" t="str">
        <f>TEXT(MONTH(Tabela1[[#This Row],[Último pagto ano]])*29,"mmmm")</f>
        <v>outubro</v>
      </c>
    </row>
    <row r="6391" spans="1:9" x14ac:dyDescent="0.25">
      <c r="A6391">
        <v>2025</v>
      </c>
      <c r="B6391" t="s">
        <v>12724</v>
      </c>
      <c r="C6391" s="1">
        <v>45964</v>
      </c>
      <c r="D6391" t="s">
        <v>12725</v>
      </c>
      <c r="E6391">
        <v>66</v>
      </c>
      <c r="G6391" s="3">
        <f>MONTH(Tabela1[[#This Row],[Último pagto ano]])</f>
        <v>11</v>
      </c>
      <c r="H6391" t="str">
        <f>TEXT(Tabela1[[#This Row],[Coluna2]]*29,"mmmm")</f>
        <v>novembro</v>
      </c>
      <c r="I6391" t="str">
        <f>TEXT(MONTH(Tabela1[[#This Row],[Último pagto ano]])*29,"mmmm")</f>
        <v>novembro</v>
      </c>
    </row>
    <row r="6392" spans="1:9" x14ac:dyDescent="0.25">
      <c r="A6392">
        <v>2025</v>
      </c>
      <c r="B6392" t="s">
        <v>12726</v>
      </c>
      <c r="C6392" s="1">
        <v>45999</v>
      </c>
      <c r="D6392" t="s">
        <v>12727</v>
      </c>
      <c r="E6392">
        <v>198</v>
      </c>
      <c r="G6392" s="3">
        <f>MONTH(Tabela1[[#This Row],[Último pagto ano]])</f>
        <v>12</v>
      </c>
      <c r="H6392" t="str">
        <f>TEXT(Tabela1[[#This Row],[Coluna2]]*29,"mmmm")</f>
        <v>dezembro</v>
      </c>
      <c r="I6392" t="str">
        <f>TEXT(MONTH(Tabela1[[#This Row],[Último pagto ano]])*29,"mmmm")</f>
        <v>dezembro</v>
      </c>
    </row>
    <row r="6393" spans="1:9" x14ac:dyDescent="0.25">
      <c r="A6393">
        <v>2025</v>
      </c>
      <c r="B6393" t="s">
        <v>12728</v>
      </c>
      <c r="C6393" s="1">
        <v>45824</v>
      </c>
      <c r="D6393" t="s">
        <v>12729</v>
      </c>
      <c r="E6393">
        <v>220</v>
      </c>
      <c r="G6393" s="3">
        <f>MONTH(Tabela1[[#This Row],[Último pagto ano]])</f>
        <v>6</v>
      </c>
      <c r="H6393" t="str">
        <f>TEXT(Tabela1[[#This Row],[Coluna2]]*29,"mmmm")</f>
        <v>junho</v>
      </c>
      <c r="I6393" t="str">
        <f>TEXT(MONTH(Tabela1[[#This Row],[Último pagto ano]])*29,"mmmm")</f>
        <v>junho</v>
      </c>
    </row>
    <row r="6394" spans="1:9" x14ac:dyDescent="0.25">
      <c r="A6394">
        <v>2025</v>
      </c>
      <c r="B6394" t="s">
        <v>12730</v>
      </c>
      <c r="C6394" s="1">
        <v>45835</v>
      </c>
      <c r="D6394" t="s">
        <v>12731</v>
      </c>
      <c r="E6394" s="2">
        <v>4197.55</v>
      </c>
      <c r="G6394" s="3">
        <f>MONTH(Tabela1[[#This Row],[Último pagto ano]])</f>
        <v>6</v>
      </c>
      <c r="H6394" t="str">
        <f>TEXT(Tabela1[[#This Row],[Coluna2]]*29,"mmmm")</f>
        <v>junho</v>
      </c>
      <c r="I6394" t="str">
        <f>TEXT(MONTH(Tabela1[[#This Row],[Último pagto ano]])*29,"mmmm")</f>
        <v>junho</v>
      </c>
    </row>
    <row r="6395" spans="1:9" x14ac:dyDescent="0.25">
      <c r="A6395">
        <v>2025</v>
      </c>
      <c r="B6395" t="s">
        <v>12732</v>
      </c>
      <c r="C6395" s="1">
        <v>45898</v>
      </c>
      <c r="D6395" t="s">
        <v>12733</v>
      </c>
      <c r="E6395" s="2">
        <v>8367.43</v>
      </c>
      <c r="G6395" s="3">
        <f>MONTH(Tabela1[[#This Row],[Último pagto ano]])</f>
        <v>8</v>
      </c>
      <c r="H6395" t="str">
        <f>TEXT(Tabela1[[#This Row],[Coluna2]]*29,"mmmm")</f>
        <v>agosto</v>
      </c>
      <c r="I6395" t="str">
        <f>TEXT(MONTH(Tabela1[[#This Row],[Último pagto ano]])*29,"mmmm")</f>
        <v>agosto</v>
      </c>
    </row>
    <row r="6396" spans="1:9" x14ac:dyDescent="0.25">
      <c r="A6396">
        <v>2025</v>
      </c>
      <c r="B6396" t="s">
        <v>12734</v>
      </c>
      <c r="C6396" s="1">
        <v>45996</v>
      </c>
      <c r="D6396" t="s">
        <v>12735</v>
      </c>
      <c r="E6396" s="2">
        <v>24097.5</v>
      </c>
      <c r="G6396" s="3">
        <f>MONTH(Tabela1[[#This Row],[Último pagto ano]])</f>
        <v>12</v>
      </c>
      <c r="H6396" t="str">
        <f>TEXT(Tabela1[[#This Row],[Coluna2]]*29,"mmmm")</f>
        <v>dezembro</v>
      </c>
      <c r="I6396" t="str">
        <f>TEXT(MONTH(Tabela1[[#This Row],[Último pagto ano]])*29,"mmmm")</f>
        <v>dezembro</v>
      </c>
    </row>
    <row r="6397" spans="1:9" x14ac:dyDescent="0.25">
      <c r="A6397">
        <v>2025</v>
      </c>
      <c r="B6397" t="s">
        <v>12736</v>
      </c>
      <c r="C6397" s="1">
        <v>45996</v>
      </c>
      <c r="D6397" t="s">
        <v>12737</v>
      </c>
      <c r="E6397" s="2">
        <v>8500</v>
      </c>
      <c r="G6397" s="3">
        <f>MONTH(Tabela1[[#This Row],[Último pagto ano]])</f>
        <v>12</v>
      </c>
      <c r="H6397" t="str">
        <f>TEXT(Tabela1[[#This Row],[Coluna2]]*29,"mmmm")</f>
        <v>dezembro</v>
      </c>
      <c r="I6397" t="str">
        <f>TEXT(MONTH(Tabela1[[#This Row],[Último pagto ano]])*29,"mmmm")</f>
        <v>dezembro</v>
      </c>
    </row>
    <row r="6398" spans="1:9" x14ac:dyDescent="0.25">
      <c r="A6398">
        <v>2025</v>
      </c>
      <c r="B6398" t="s">
        <v>12738</v>
      </c>
      <c r="C6398" s="1">
        <v>45985</v>
      </c>
      <c r="D6398" t="s">
        <v>12739</v>
      </c>
      <c r="E6398">
        <v>110</v>
      </c>
      <c r="G6398" s="3">
        <f>MONTH(Tabela1[[#This Row],[Último pagto ano]])</f>
        <v>11</v>
      </c>
      <c r="H6398" t="str">
        <f>TEXT(Tabela1[[#This Row],[Coluna2]]*29,"mmmm")</f>
        <v>novembro</v>
      </c>
      <c r="I6398" t="str">
        <f>TEXT(MONTH(Tabela1[[#This Row],[Último pagto ano]])*29,"mmmm")</f>
        <v>novembro</v>
      </c>
    </row>
    <row r="6399" spans="1:9" x14ac:dyDescent="0.25">
      <c r="A6399">
        <v>2025</v>
      </c>
      <c r="B6399" t="s">
        <v>12740</v>
      </c>
      <c r="C6399" s="1">
        <v>45989</v>
      </c>
      <c r="D6399" t="s">
        <v>12741</v>
      </c>
      <c r="E6399" s="2">
        <v>5400.53</v>
      </c>
      <c r="G6399" s="3">
        <f>MONTH(Tabela1[[#This Row],[Último pagto ano]])</f>
        <v>11</v>
      </c>
      <c r="H6399" t="str">
        <f>TEXT(Tabela1[[#This Row],[Coluna2]]*29,"mmmm")</f>
        <v>novembro</v>
      </c>
      <c r="I6399" t="str">
        <f>TEXT(MONTH(Tabela1[[#This Row],[Último pagto ano]])*29,"mmmm")</f>
        <v>novembro</v>
      </c>
    </row>
    <row r="6400" spans="1:9" x14ac:dyDescent="0.25">
      <c r="A6400">
        <v>2025</v>
      </c>
      <c r="B6400" t="s">
        <v>12742</v>
      </c>
      <c r="C6400" s="1">
        <v>46006</v>
      </c>
      <c r="D6400" t="s">
        <v>12743</v>
      </c>
      <c r="E6400" s="2">
        <v>5182.24</v>
      </c>
      <c r="G6400" s="3">
        <f>MONTH(Tabela1[[#This Row],[Último pagto ano]])</f>
        <v>12</v>
      </c>
      <c r="H6400" t="str">
        <f>TEXT(Tabela1[[#This Row],[Coluna2]]*29,"mmmm")</f>
        <v>dezembro</v>
      </c>
      <c r="I6400" t="str">
        <f>TEXT(MONTH(Tabela1[[#This Row],[Último pagto ano]])*29,"mmmm")</f>
        <v>dezembro</v>
      </c>
    </row>
    <row r="6401" spans="1:9" x14ac:dyDescent="0.25">
      <c r="A6401">
        <v>2025</v>
      </c>
      <c r="B6401" t="s">
        <v>12744</v>
      </c>
      <c r="C6401" s="1">
        <v>45695</v>
      </c>
      <c r="D6401" t="s">
        <v>12745</v>
      </c>
      <c r="E6401" s="2">
        <v>6494.4</v>
      </c>
      <c r="G6401" s="3">
        <f>MONTH(Tabela1[[#This Row],[Último pagto ano]])</f>
        <v>2</v>
      </c>
      <c r="H6401" t="str">
        <f>TEXT(Tabela1[[#This Row],[Coluna2]]*29,"mmmm")</f>
        <v>fevereiro</v>
      </c>
      <c r="I6401" t="str">
        <f>TEXT(MONTH(Tabela1[[#This Row],[Último pagto ano]])*29,"mmmm")</f>
        <v>fevereiro</v>
      </c>
    </row>
    <row r="6402" spans="1:9" x14ac:dyDescent="0.25">
      <c r="A6402">
        <v>2025</v>
      </c>
      <c r="B6402" t="s">
        <v>12746</v>
      </c>
      <c r="C6402" s="1">
        <v>45996</v>
      </c>
      <c r="D6402" t="s">
        <v>12747</v>
      </c>
      <c r="E6402" s="2">
        <v>4150</v>
      </c>
      <c r="G6402" s="3">
        <f>MONTH(Tabela1[[#This Row],[Último pagto ano]])</f>
        <v>12</v>
      </c>
      <c r="H6402" t="str">
        <f>TEXT(Tabela1[[#This Row],[Coluna2]]*29,"mmmm")</f>
        <v>dezembro</v>
      </c>
      <c r="I6402" t="str">
        <f>TEXT(MONTH(Tabela1[[#This Row],[Último pagto ano]])*29,"mmmm")</f>
        <v>dezembro</v>
      </c>
    </row>
    <row r="6403" spans="1:9" x14ac:dyDescent="0.25">
      <c r="A6403">
        <v>2025</v>
      </c>
      <c r="B6403" t="s">
        <v>12748</v>
      </c>
      <c r="C6403" s="1">
        <v>45996</v>
      </c>
      <c r="D6403" t="s">
        <v>12749</v>
      </c>
      <c r="E6403" s="2">
        <v>4500</v>
      </c>
      <c r="G6403" s="3">
        <f>MONTH(Tabela1[[#This Row],[Último pagto ano]])</f>
        <v>12</v>
      </c>
      <c r="H6403" t="str">
        <f>TEXT(Tabela1[[#This Row],[Coluna2]]*29,"mmmm")</f>
        <v>dezembro</v>
      </c>
      <c r="I6403" t="str">
        <f>TEXT(MONTH(Tabela1[[#This Row],[Último pagto ano]])*29,"mmmm")</f>
        <v>dezembro</v>
      </c>
    </row>
    <row r="6404" spans="1:9" x14ac:dyDescent="0.25">
      <c r="A6404">
        <v>2025</v>
      </c>
      <c r="B6404" t="s">
        <v>12750</v>
      </c>
      <c r="C6404" s="1">
        <v>45989</v>
      </c>
      <c r="D6404" t="s">
        <v>12751</v>
      </c>
      <c r="E6404" s="2">
        <v>3234.57</v>
      </c>
      <c r="G6404" s="3">
        <f>MONTH(Tabela1[[#This Row],[Último pagto ano]])</f>
        <v>11</v>
      </c>
      <c r="H6404" t="str">
        <f>TEXT(Tabela1[[#This Row],[Coluna2]]*29,"mmmm")</f>
        <v>novembro</v>
      </c>
      <c r="I6404" t="str">
        <f>TEXT(MONTH(Tabela1[[#This Row],[Último pagto ano]])*29,"mmmm")</f>
        <v>novembro</v>
      </c>
    </row>
    <row r="6405" spans="1:9" x14ac:dyDescent="0.25">
      <c r="A6405">
        <v>2025</v>
      </c>
      <c r="B6405" t="s">
        <v>12752</v>
      </c>
      <c r="C6405" s="1">
        <v>45971</v>
      </c>
      <c r="D6405" t="s">
        <v>12753</v>
      </c>
      <c r="E6405">
        <v>143</v>
      </c>
      <c r="G6405" s="3">
        <f>MONTH(Tabela1[[#This Row],[Último pagto ano]])</f>
        <v>11</v>
      </c>
      <c r="H6405" t="str">
        <f>TEXT(Tabela1[[#This Row],[Coluna2]]*29,"mmmm")</f>
        <v>novembro</v>
      </c>
      <c r="I6405" t="str">
        <f>TEXT(MONTH(Tabela1[[#This Row],[Último pagto ano]])*29,"mmmm")</f>
        <v>novembro</v>
      </c>
    </row>
    <row r="6406" spans="1:9" x14ac:dyDescent="0.25">
      <c r="A6406">
        <v>2025</v>
      </c>
      <c r="B6406" t="s">
        <v>12754</v>
      </c>
      <c r="C6406" s="1">
        <v>45919</v>
      </c>
      <c r="D6406" t="s">
        <v>12755</v>
      </c>
      <c r="E6406">
        <v>707.16</v>
      </c>
      <c r="G6406" s="3">
        <f>MONTH(Tabela1[[#This Row],[Último pagto ano]])</f>
        <v>9</v>
      </c>
      <c r="H6406" t="str">
        <f>TEXT(Tabela1[[#This Row],[Coluna2]]*29,"mmmm")</f>
        <v>setembro</v>
      </c>
      <c r="I6406" t="str">
        <f>TEXT(MONTH(Tabela1[[#This Row],[Último pagto ano]])*29,"mmmm")</f>
        <v>setembro</v>
      </c>
    </row>
    <row r="6407" spans="1:9" x14ac:dyDescent="0.25">
      <c r="A6407">
        <v>2025</v>
      </c>
      <c r="B6407" t="s">
        <v>12756</v>
      </c>
      <c r="C6407" s="1">
        <v>46014</v>
      </c>
      <c r="D6407" t="s">
        <v>12757</v>
      </c>
      <c r="E6407" s="2">
        <v>32220</v>
      </c>
      <c r="G6407" s="3">
        <f>MONTH(Tabela1[[#This Row],[Último pagto ano]])</f>
        <v>12</v>
      </c>
      <c r="H6407" t="str">
        <f>TEXT(Tabela1[[#This Row],[Coluna2]]*29,"mmmm")</f>
        <v>dezembro</v>
      </c>
      <c r="I6407" t="str">
        <f>TEXT(MONTH(Tabela1[[#This Row],[Último pagto ano]])*29,"mmmm")</f>
        <v>dezembro</v>
      </c>
    </row>
    <row r="6408" spans="1:9" x14ac:dyDescent="0.25">
      <c r="A6408">
        <v>2025</v>
      </c>
      <c r="B6408" t="s">
        <v>12758</v>
      </c>
      <c r="C6408" s="1">
        <v>46014</v>
      </c>
      <c r="D6408" t="s">
        <v>12759</v>
      </c>
      <c r="E6408" s="2">
        <v>90000</v>
      </c>
      <c r="G6408" s="3">
        <f>MONTH(Tabela1[[#This Row],[Último pagto ano]])</f>
        <v>12</v>
      </c>
      <c r="H6408" t="str">
        <f>TEXT(Tabela1[[#This Row],[Coluna2]]*29,"mmmm")</f>
        <v>dezembro</v>
      </c>
      <c r="I6408" t="str">
        <f>TEXT(MONTH(Tabela1[[#This Row],[Último pagto ano]])*29,"mmmm")</f>
        <v>dezembro</v>
      </c>
    </row>
    <row r="6409" spans="1:9" x14ac:dyDescent="0.25">
      <c r="A6409">
        <v>2025</v>
      </c>
      <c r="B6409" t="s">
        <v>12760</v>
      </c>
      <c r="C6409" s="1">
        <v>45996</v>
      </c>
      <c r="D6409" t="s">
        <v>12761</v>
      </c>
      <c r="E6409" s="2">
        <v>32130</v>
      </c>
      <c r="G6409" s="3">
        <f>MONTH(Tabela1[[#This Row],[Último pagto ano]])</f>
        <v>12</v>
      </c>
      <c r="H6409" t="str">
        <f>TEXT(Tabela1[[#This Row],[Coluna2]]*29,"mmmm")</f>
        <v>dezembro</v>
      </c>
      <c r="I6409" t="str">
        <f>TEXT(MONTH(Tabela1[[#This Row],[Último pagto ano]])*29,"mmmm")</f>
        <v>dezembro</v>
      </c>
    </row>
    <row r="6410" spans="1:9" x14ac:dyDescent="0.25">
      <c r="A6410">
        <v>2025</v>
      </c>
      <c r="B6410" t="s">
        <v>12762</v>
      </c>
      <c r="C6410" s="1">
        <v>46003</v>
      </c>
      <c r="D6410" t="s">
        <v>12763</v>
      </c>
      <c r="E6410" s="2">
        <v>43493.4</v>
      </c>
      <c r="G6410" s="3">
        <f>MONTH(Tabela1[[#This Row],[Último pagto ano]])</f>
        <v>12</v>
      </c>
      <c r="H6410" t="str">
        <f>TEXT(Tabela1[[#This Row],[Coluna2]]*29,"mmmm")</f>
        <v>dezembro</v>
      </c>
      <c r="I6410" t="str">
        <f>TEXT(MONTH(Tabela1[[#This Row],[Último pagto ano]])*29,"mmmm")</f>
        <v>dezembro</v>
      </c>
    </row>
    <row r="6411" spans="1:9" x14ac:dyDescent="0.25">
      <c r="A6411">
        <v>2025</v>
      </c>
      <c r="B6411" t="s">
        <v>12764</v>
      </c>
      <c r="C6411" s="1">
        <v>45674</v>
      </c>
      <c r="D6411" t="s">
        <v>12765</v>
      </c>
      <c r="E6411">
        <v>88</v>
      </c>
      <c r="G6411" s="3">
        <f>MONTH(Tabela1[[#This Row],[Último pagto ano]])</f>
        <v>1</v>
      </c>
      <c r="H6411" t="str">
        <f>TEXT(Tabela1[[#This Row],[Coluna2]]*29,"mmmm")</f>
        <v>janeiro</v>
      </c>
      <c r="I6411" t="str">
        <f>TEXT(MONTH(Tabela1[[#This Row],[Último pagto ano]])*29,"mmmm")</f>
        <v>janeiro</v>
      </c>
    </row>
    <row r="6412" spans="1:9" x14ac:dyDescent="0.25">
      <c r="A6412">
        <v>2025</v>
      </c>
      <c r="B6412" t="s">
        <v>12766</v>
      </c>
      <c r="C6412" s="1">
        <v>45936</v>
      </c>
      <c r="D6412" t="s">
        <v>12767</v>
      </c>
      <c r="E6412">
        <v>66</v>
      </c>
      <c r="G6412" s="3">
        <f>MONTH(Tabela1[[#This Row],[Último pagto ano]])</f>
        <v>10</v>
      </c>
      <c r="H6412" t="str">
        <f>TEXT(Tabela1[[#This Row],[Coluna2]]*29,"mmmm")</f>
        <v>outubro</v>
      </c>
      <c r="I6412" t="str">
        <f>TEXT(MONTH(Tabela1[[#This Row],[Último pagto ano]])*29,"mmmm")</f>
        <v>outubro</v>
      </c>
    </row>
    <row r="6413" spans="1:9" x14ac:dyDescent="0.25">
      <c r="A6413">
        <v>2025</v>
      </c>
      <c r="B6413" t="s">
        <v>12768</v>
      </c>
      <c r="C6413" s="1">
        <v>46013</v>
      </c>
      <c r="D6413" t="s">
        <v>12769</v>
      </c>
      <c r="E6413" s="2">
        <v>12880</v>
      </c>
      <c r="G6413" s="3">
        <f>MONTH(Tabela1[[#This Row],[Último pagto ano]])</f>
        <v>12</v>
      </c>
      <c r="H6413" t="str">
        <f>TEXT(Tabela1[[#This Row],[Coluna2]]*29,"mmmm")</f>
        <v>dezembro</v>
      </c>
      <c r="I6413" t="str">
        <f>TEXT(MONTH(Tabela1[[#This Row],[Último pagto ano]])*29,"mmmm")</f>
        <v>dezembro</v>
      </c>
    </row>
    <row r="6414" spans="1:9" x14ac:dyDescent="0.25">
      <c r="A6414">
        <v>2025</v>
      </c>
      <c r="B6414" t="s">
        <v>12770</v>
      </c>
      <c r="C6414" s="1">
        <v>45747</v>
      </c>
      <c r="D6414" t="s">
        <v>12771</v>
      </c>
      <c r="E6414">
        <v>379.85</v>
      </c>
      <c r="G6414" s="3">
        <f>MONTH(Tabela1[[#This Row],[Último pagto ano]])</f>
        <v>3</v>
      </c>
      <c r="H6414" t="str">
        <f>TEXT(Tabela1[[#This Row],[Coluna2]]*29,"mmmm")</f>
        <v>março</v>
      </c>
      <c r="I6414" t="str">
        <f>TEXT(MONTH(Tabela1[[#This Row],[Último pagto ano]])*29,"mmmm")</f>
        <v>março</v>
      </c>
    </row>
    <row r="6415" spans="1:9" x14ac:dyDescent="0.25">
      <c r="A6415">
        <v>2025</v>
      </c>
      <c r="B6415" t="s">
        <v>12772</v>
      </c>
      <c r="C6415" s="1">
        <v>45831</v>
      </c>
      <c r="D6415" t="s">
        <v>12773</v>
      </c>
      <c r="E6415">
        <v>722.03</v>
      </c>
      <c r="G6415" s="3">
        <f>MONTH(Tabela1[[#This Row],[Último pagto ano]])</f>
        <v>6</v>
      </c>
      <c r="H6415" t="str">
        <f>TEXT(Tabela1[[#This Row],[Coluna2]]*29,"mmmm")</f>
        <v>junho</v>
      </c>
      <c r="I6415" t="str">
        <f>TEXT(MONTH(Tabela1[[#This Row],[Último pagto ano]])*29,"mmmm")</f>
        <v>junho</v>
      </c>
    </row>
    <row r="6416" spans="1:9" x14ac:dyDescent="0.25">
      <c r="A6416">
        <v>2025</v>
      </c>
      <c r="B6416" t="s">
        <v>12774</v>
      </c>
      <c r="C6416" s="1">
        <v>45995</v>
      </c>
      <c r="D6416" t="s">
        <v>12775</v>
      </c>
      <c r="E6416">
        <v>286</v>
      </c>
      <c r="G6416" s="3">
        <f>MONTH(Tabela1[[#This Row],[Último pagto ano]])</f>
        <v>12</v>
      </c>
      <c r="H6416" t="str">
        <f>TEXT(Tabela1[[#This Row],[Coluna2]]*29,"mmmm")</f>
        <v>dezembro</v>
      </c>
      <c r="I6416" t="str">
        <f>TEXT(MONTH(Tabela1[[#This Row],[Último pagto ano]])*29,"mmmm")</f>
        <v>dezembro</v>
      </c>
    </row>
    <row r="6417" spans="1:9" x14ac:dyDescent="0.25">
      <c r="A6417">
        <v>2025</v>
      </c>
      <c r="B6417" t="s">
        <v>12776</v>
      </c>
      <c r="C6417" s="1">
        <v>46006</v>
      </c>
      <c r="D6417" t="s">
        <v>12777</v>
      </c>
      <c r="E6417" s="2">
        <v>2961.6</v>
      </c>
      <c r="G6417" s="3">
        <f>MONTH(Tabela1[[#This Row],[Último pagto ano]])</f>
        <v>12</v>
      </c>
      <c r="H6417" t="str">
        <f>TEXT(Tabela1[[#This Row],[Coluna2]]*29,"mmmm")</f>
        <v>dezembro</v>
      </c>
      <c r="I6417" t="str">
        <f>TEXT(MONTH(Tabela1[[#This Row],[Último pagto ano]])*29,"mmmm")</f>
        <v>dezembro</v>
      </c>
    </row>
    <row r="6418" spans="1:9" x14ac:dyDescent="0.25">
      <c r="A6418">
        <v>2025</v>
      </c>
      <c r="B6418" t="s">
        <v>12778</v>
      </c>
      <c r="C6418" s="1">
        <v>45880</v>
      </c>
      <c r="D6418" t="s">
        <v>12779</v>
      </c>
      <c r="E6418">
        <v>318.5</v>
      </c>
      <c r="G6418" s="3">
        <f>MONTH(Tabela1[[#This Row],[Último pagto ano]])</f>
        <v>8</v>
      </c>
      <c r="H6418" t="str">
        <f>TEXT(Tabela1[[#This Row],[Coluna2]]*29,"mmmm")</f>
        <v>agosto</v>
      </c>
      <c r="I6418" t="str">
        <f>TEXT(MONTH(Tabela1[[#This Row],[Último pagto ano]])*29,"mmmm")</f>
        <v>agosto</v>
      </c>
    </row>
    <row r="6419" spans="1:9" x14ac:dyDescent="0.25">
      <c r="A6419">
        <v>2025</v>
      </c>
      <c r="B6419" t="s">
        <v>12780</v>
      </c>
      <c r="C6419" s="1">
        <v>45978</v>
      </c>
      <c r="D6419" t="s">
        <v>12781</v>
      </c>
      <c r="E6419" s="2">
        <v>29399.599999999999</v>
      </c>
      <c r="G6419" s="3">
        <f>MONTH(Tabela1[[#This Row],[Último pagto ano]])</f>
        <v>11</v>
      </c>
      <c r="H6419" t="str">
        <f>TEXT(Tabela1[[#This Row],[Coluna2]]*29,"mmmm")</f>
        <v>novembro</v>
      </c>
      <c r="I6419" t="str">
        <f>TEXT(MONTH(Tabela1[[#This Row],[Último pagto ano]])*29,"mmmm")</f>
        <v>novembro</v>
      </c>
    </row>
    <row r="6420" spans="1:9" x14ac:dyDescent="0.25">
      <c r="A6420">
        <v>2025</v>
      </c>
      <c r="B6420" t="s">
        <v>12782</v>
      </c>
      <c r="C6420" s="1">
        <v>45861</v>
      </c>
      <c r="D6420" t="s">
        <v>12783</v>
      </c>
      <c r="E6420">
        <v>429.48</v>
      </c>
      <c r="G6420" s="3">
        <f>MONTH(Tabela1[[#This Row],[Último pagto ano]])</f>
        <v>7</v>
      </c>
      <c r="H6420" t="str">
        <f>TEXT(Tabela1[[#This Row],[Coluna2]]*29,"mmmm")</f>
        <v>julho</v>
      </c>
      <c r="I6420" t="str">
        <f>TEXT(MONTH(Tabela1[[#This Row],[Último pagto ano]])*29,"mmmm")</f>
        <v>julho</v>
      </c>
    </row>
    <row r="6421" spans="1:9" x14ac:dyDescent="0.25">
      <c r="A6421">
        <v>2025</v>
      </c>
      <c r="B6421" t="s">
        <v>12784</v>
      </c>
      <c r="C6421" s="1">
        <v>46014</v>
      </c>
      <c r="D6421" t="s">
        <v>12785</v>
      </c>
      <c r="E6421" s="2">
        <v>108430.42</v>
      </c>
      <c r="G6421" s="3">
        <f>MONTH(Tabela1[[#This Row],[Último pagto ano]])</f>
        <v>12</v>
      </c>
      <c r="H6421" t="str">
        <f>TEXT(Tabela1[[#This Row],[Coluna2]]*29,"mmmm")</f>
        <v>dezembro</v>
      </c>
      <c r="I6421" t="str">
        <f>TEXT(MONTH(Tabela1[[#This Row],[Último pagto ano]])*29,"mmmm")</f>
        <v>dezembro</v>
      </c>
    </row>
    <row r="6422" spans="1:9" x14ac:dyDescent="0.25">
      <c r="A6422">
        <v>2025</v>
      </c>
      <c r="B6422" t="s">
        <v>12786</v>
      </c>
      <c r="C6422" s="1">
        <v>46003</v>
      </c>
      <c r="D6422" t="s">
        <v>12787</v>
      </c>
      <c r="E6422" s="2">
        <v>1963.64</v>
      </c>
      <c r="G6422" s="3">
        <f>MONTH(Tabela1[[#This Row],[Último pagto ano]])</f>
        <v>12</v>
      </c>
      <c r="H6422" t="str">
        <f>TEXT(Tabela1[[#This Row],[Coluna2]]*29,"mmmm")</f>
        <v>dezembro</v>
      </c>
      <c r="I6422" t="str">
        <f>TEXT(MONTH(Tabela1[[#This Row],[Último pagto ano]])*29,"mmmm")</f>
        <v>dezembro</v>
      </c>
    </row>
    <row r="6423" spans="1:9" x14ac:dyDescent="0.25">
      <c r="A6423">
        <v>2025</v>
      </c>
      <c r="B6423" t="s">
        <v>12788</v>
      </c>
      <c r="C6423" s="1">
        <v>45800</v>
      </c>
      <c r="D6423" t="s">
        <v>12789</v>
      </c>
      <c r="E6423" s="2">
        <v>2790.04</v>
      </c>
      <c r="G6423" s="3">
        <f>MONTH(Tabela1[[#This Row],[Último pagto ano]])</f>
        <v>5</v>
      </c>
      <c r="H6423" t="str">
        <f>TEXT(Tabela1[[#This Row],[Coluna2]]*29,"mmmm")</f>
        <v>maio</v>
      </c>
      <c r="I6423" t="str">
        <f>TEXT(MONTH(Tabela1[[#This Row],[Último pagto ano]])*29,"mmmm")</f>
        <v>maio</v>
      </c>
    </row>
    <row r="6424" spans="1:9" x14ac:dyDescent="0.25">
      <c r="A6424">
        <v>2025</v>
      </c>
      <c r="B6424" t="s">
        <v>12790</v>
      </c>
      <c r="C6424" s="1">
        <v>45887</v>
      </c>
      <c r="D6424" t="s">
        <v>12791</v>
      </c>
      <c r="E6424" s="2">
        <v>78312</v>
      </c>
      <c r="G6424" s="3">
        <f>MONTH(Tabela1[[#This Row],[Último pagto ano]])</f>
        <v>8</v>
      </c>
      <c r="H6424" t="str">
        <f>TEXT(Tabela1[[#This Row],[Coluna2]]*29,"mmmm")</f>
        <v>agosto</v>
      </c>
      <c r="I6424" t="str">
        <f>TEXT(MONTH(Tabela1[[#This Row],[Último pagto ano]])*29,"mmmm")</f>
        <v>agosto</v>
      </c>
    </row>
    <row r="6425" spans="1:9" x14ac:dyDescent="0.25">
      <c r="A6425">
        <v>2025</v>
      </c>
      <c r="B6425" t="s">
        <v>12792</v>
      </c>
      <c r="C6425" s="1">
        <v>46001</v>
      </c>
      <c r="D6425" t="s">
        <v>12793</v>
      </c>
      <c r="E6425" s="2">
        <v>50791.14</v>
      </c>
      <c r="G6425" s="3">
        <f>MONTH(Tabela1[[#This Row],[Último pagto ano]])</f>
        <v>12</v>
      </c>
      <c r="H6425" t="str">
        <f>TEXT(Tabela1[[#This Row],[Coluna2]]*29,"mmmm")</f>
        <v>dezembro</v>
      </c>
      <c r="I6425" t="str">
        <f>TEXT(MONTH(Tabela1[[#This Row],[Último pagto ano]])*29,"mmmm")</f>
        <v>dezembro</v>
      </c>
    </row>
    <row r="6426" spans="1:9" x14ac:dyDescent="0.25">
      <c r="A6426">
        <v>2025</v>
      </c>
      <c r="B6426" t="s">
        <v>12794</v>
      </c>
      <c r="C6426" s="1">
        <v>45849</v>
      </c>
      <c r="D6426" t="s">
        <v>12795</v>
      </c>
      <c r="E6426" s="2">
        <v>6172.32</v>
      </c>
      <c r="G6426" s="3">
        <f>MONTH(Tabela1[[#This Row],[Último pagto ano]])</f>
        <v>7</v>
      </c>
      <c r="H6426" t="str">
        <f>TEXT(Tabela1[[#This Row],[Coluna2]]*29,"mmmm")</f>
        <v>julho</v>
      </c>
      <c r="I6426" t="str">
        <f>TEXT(MONTH(Tabela1[[#This Row],[Último pagto ano]])*29,"mmmm")</f>
        <v>julho</v>
      </c>
    </row>
    <row r="6427" spans="1:9" x14ac:dyDescent="0.25">
      <c r="A6427">
        <v>2025</v>
      </c>
      <c r="B6427" t="s">
        <v>12796</v>
      </c>
      <c r="C6427" s="1">
        <v>45887</v>
      </c>
      <c r="D6427" t="s">
        <v>12797</v>
      </c>
      <c r="E6427" s="2">
        <v>2420.58</v>
      </c>
      <c r="G6427" s="3">
        <f>MONTH(Tabela1[[#This Row],[Último pagto ano]])</f>
        <v>8</v>
      </c>
      <c r="H6427" t="str">
        <f>TEXT(Tabela1[[#This Row],[Coluna2]]*29,"mmmm")</f>
        <v>agosto</v>
      </c>
      <c r="I6427" t="str">
        <f>TEXT(MONTH(Tabela1[[#This Row],[Último pagto ano]])*29,"mmmm")</f>
        <v>agosto</v>
      </c>
    </row>
    <row r="6428" spans="1:9" x14ac:dyDescent="0.25">
      <c r="A6428">
        <v>2025</v>
      </c>
      <c r="B6428" t="s">
        <v>12798</v>
      </c>
      <c r="C6428" s="1">
        <v>45971</v>
      </c>
      <c r="D6428" t="s">
        <v>12799</v>
      </c>
      <c r="E6428">
        <v>88</v>
      </c>
      <c r="G6428" s="3">
        <f>MONTH(Tabela1[[#This Row],[Último pagto ano]])</f>
        <v>11</v>
      </c>
      <c r="H6428" t="str">
        <f>TEXT(Tabela1[[#This Row],[Coluna2]]*29,"mmmm")</f>
        <v>novembro</v>
      </c>
      <c r="I6428" t="str">
        <f>TEXT(MONTH(Tabela1[[#This Row],[Último pagto ano]])*29,"mmmm")</f>
        <v>novembro</v>
      </c>
    </row>
    <row r="6429" spans="1:9" x14ac:dyDescent="0.25">
      <c r="A6429">
        <v>2025</v>
      </c>
      <c r="B6429" t="s">
        <v>12800</v>
      </c>
      <c r="C6429" s="1">
        <v>45785</v>
      </c>
      <c r="D6429" t="s">
        <v>12801</v>
      </c>
      <c r="E6429">
        <v>8.7799999999999994</v>
      </c>
      <c r="G6429" s="3">
        <f>MONTH(Tabela1[[#This Row],[Último pagto ano]])</f>
        <v>5</v>
      </c>
      <c r="H6429" t="str">
        <f>TEXT(Tabela1[[#This Row],[Coluna2]]*29,"mmmm")</f>
        <v>maio</v>
      </c>
      <c r="I6429" t="str">
        <f>TEXT(MONTH(Tabela1[[#This Row],[Último pagto ano]])*29,"mmmm")</f>
        <v>maio</v>
      </c>
    </row>
    <row r="6430" spans="1:9" x14ac:dyDescent="0.25">
      <c r="A6430">
        <v>2025</v>
      </c>
      <c r="B6430" t="s">
        <v>12802</v>
      </c>
      <c r="C6430" s="1">
        <v>45873</v>
      </c>
      <c r="D6430" t="s">
        <v>12803</v>
      </c>
      <c r="E6430">
        <v>42.8</v>
      </c>
      <c r="G6430" s="3">
        <f>MONTH(Tabela1[[#This Row],[Último pagto ano]])</f>
        <v>8</v>
      </c>
      <c r="H6430" t="str">
        <f>TEXT(Tabela1[[#This Row],[Coluna2]]*29,"mmmm")</f>
        <v>agosto</v>
      </c>
      <c r="I6430" t="str">
        <f>TEXT(MONTH(Tabela1[[#This Row],[Último pagto ano]])*29,"mmmm")</f>
        <v>agosto</v>
      </c>
    </row>
    <row r="6431" spans="1:9" x14ac:dyDescent="0.25">
      <c r="A6431">
        <v>2025</v>
      </c>
      <c r="B6431" t="s">
        <v>12804</v>
      </c>
      <c r="C6431" s="1">
        <v>45866</v>
      </c>
      <c r="D6431" t="s">
        <v>12805</v>
      </c>
      <c r="E6431">
        <v>22</v>
      </c>
      <c r="G6431" s="3">
        <f>MONTH(Tabela1[[#This Row],[Último pagto ano]])</f>
        <v>7</v>
      </c>
      <c r="H6431" t="str">
        <f>TEXT(Tabela1[[#This Row],[Coluna2]]*29,"mmmm")</f>
        <v>julho</v>
      </c>
      <c r="I6431" t="str">
        <f>TEXT(MONTH(Tabela1[[#This Row],[Último pagto ano]])*29,"mmmm")</f>
        <v>julho</v>
      </c>
    </row>
    <row r="6432" spans="1:9" x14ac:dyDescent="0.25">
      <c r="A6432">
        <v>2025</v>
      </c>
      <c r="B6432" t="s">
        <v>12806</v>
      </c>
      <c r="C6432" s="1">
        <v>46010</v>
      </c>
      <c r="D6432" t="s">
        <v>12807</v>
      </c>
      <c r="E6432" s="2">
        <v>12000</v>
      </c>
      <c r="G6432" s="3">
        <f>MONTH(Tabela1[[#This Row],[Último pagto ano]])</f>
        <v>12</v>
      </c>
      <c r="H6432" t="str">
        <f>TEXT(Tabela1[[#This Row],[Coluna2]]*29,"mmmm")</f>
        <v>dezembro</v>
      </c>
      <c r="I6432" t="str">
        <f>TEXT(MONTH(Tabela1[[#This Row],[Último pagto ano]])*29,"mmmm")</f>
        <v>dezembro</v>
      </c>
    </row>
    <row r="6433" spans="1:9" x14ac:dyDescent="0.25">
      <c r="A6433">
        <v>2025</v>
      </c>
      <c r="B6433" t="s">
        <v>12808</v>
      </c>
      <c r="C6433" s="1">
        <v>45974</v>
      </c>
      <c r="D6433" t="s">
        <v>12809</v>
      </c>
      <c r="E6433" s="2">
        <v>12943</v>
      </c>
      <c r="G6433" s="3">
        <f>MONTH(Tabela1[[#This Row],[Último pagto ano]])</f>
        <v>11</v>
      </c>
      <c r="H6433" t="str">
        <f>TEXT(Tabela1[[#This Row],[Coluna2]]*29,"mmmm")</f>
        <v>novembro</v>
      </c>
      <c r="I6433" t="str">
        <f>TEXT(MONTH(Tabela1[[#This Row],[Último pagto ano]])*29,"mmmm")</f>
        <v>novembro</v>
      </c>
    </row>
    <row r="6434" spans="1:9" x14ac:dyDescent="0.25">
      <c r="A6434">
        <v>2025</v>
      </c>
      <c r="B6434" t="s">
        <v>12810</v>
      </c>
      <c r="C6434" s="1">
        <v>46014</v>
      </c>
      <c r="D6434" t="s">
        <v>12811</v>
      </c>
      <c r="E6434" s="2">
        <v>243302</v>
      </c>
      <c r="G6434" s="3">
        <f>MONTH(Tabela1[[#This Row],[Último pagto ano]])</f>
        <v>12</v>
      </c>
      <c r="H6434" t="str">
        <f>TEXT(Tabela1[[#This Row],[Coluna2]]*29,"mmmm")</f>
        <v>dezembro</v>
      </c>
      <c r="I6434" t="str">
        <f>TEXT(MONTH(Tabela1[[#This Row],[Último pagto ano]])*29,"mmmm")</f>
        <v>dezembro</v>
      </c>
    </row>
    <row r="6435" spans="1:9" x14ac:dyDescent="0.25">
      <c r="A6435">
        <v>2025</v>
      </c>
      <c r="B6435" t="s">
        <v>12812</v>
      </c>
      <c r="C6435" s="1">
        <v>46006</v>
      </c>
      <c r="D6435" t="s">
        <v>12813</v>
      </c>
      <c r="E6435" s="2">
        <v>387136.56</v>
      </c>
      <c r="G6435" s="3">
        <f>MONTH(Tabela1[[#This Row],[Último pagto ano]])</f>
        <v>12</v>
      </c>
      <c r="H6435" t="str">
        <f>TEXT(Tabela1[[#This Row],[Coluna2]]*29,"mmmm")</f>
        <v>dezembro</v>
      </c>
      <c r="I6435" t="str">
        <f>TEXT(MONTH(Tabela1[[#This Row],[Último pagto ano]])*29,"mmmm")</f>
        <v>dezembro</v>
      </c>
    </row>
    <row r="6436" spans="1:9" x14ac:dyDescent="0.25">
      <c r="A6436">
        <v>2025</v>
      </c>
      <c r="B6436" t="s">
        <v>12814</v>
      </c>
      <c r="C6436" s="1">
        <v>45667</v>
      </c>
      <c r="D6436" t="s">
        <v>12815</v>
      </c>
      <c r="E6436" s="2">
        <v>15921.27</v>
      </c>
      <c r="G6436" s="3">
        <f>MONTH(Tabela1[[#This Row],[Último pagto ano]])</f>
        <v>1</v>
      </c>
      <c r="H6436" t="str">
        <f>TEXT(Tabela1[[#This Row],[Coluna2]]*29,"mmmm")</f>
        <v>janeiro</v>
      </c>
      <c r="I6436" t="str">
        <f>TEXT(MONTH(Tabela1[[#This Row],[Último pagto ano]])*29,"mmmm")</f>
        <v>janeiro</v>
      </c>
    </row>
    <row r="6437" spans="1:9" x14ac:dyDescent="0.25">
      <c r="A6437">
        <v>2025</v>
      </c>
      <c r="B6437" t="s">
        <v>12816</v>
      </c>
      <c r="C6437" s="1">
        <v>45702</v>
      </c>
      <c r="D6437" t="s">
        <v>12817</v>
      </c>
      <c r="E6437">
        <v>85.97</v>
      </c>
      <c r="G6437" s="3">
        <f>MONTH(Tabela1[[#This Row],[Último pagto ano]])</f>
        <v>2</v>
      </c>
      <c r="H6437" t="str">
        <f>TEXT(Tabela1[[#This Row],[Coluna2]]*29,"mmmm")</f>
        <v>fevereiro</v>
      </c>
      <c r="I6437" t="str">
        <f>TEXT(MONTH(Tabela1[[#This Row],[Último pagto ano]])*29,"mmmm")</f>
        <v>fevereiro</v>
      </c>
    </row>
    <row r="6438" spans="1:9" x14ac:dyDescent="0.25">
      <c r="A6438">
        <v>2025</v>
      </c>
      <c r="B6438" t="s">
        <v>12818</v>
      </c>
      <c r="C6438" s="1">
        <v>45856</v>
      </c>
      <c r="D6438" t="s">
        <v>12819</v>
      </c>
      <c r="E6438" s="2">
        <v>1950</v>
      </c>
      <c r="G6438" s="3">
        <f>MONTH(Tabela1[[#This Row],[Último pagto ano]])</f>
        <v>7</v>
      </c>
      <c r="H6438" t="str">
        <f>TEXT(Tabela1[[#This Row],[Coluna2]]*29,"mmmm")</f>
        <v>julho</v>
      </c>
      <c r="I6438" t="str">
        <f>TEXT(MONTH(Tabela1[[#This Row],[Último pagto ano]])*29,"mmmm")</f>
        <v>julho</v>
      </c>
    </row>
    <row r="6439" spans="1:9" x14ac:dyDescent="0.25">
      <c r="A6439">
        <v>2025</v>
      </c>
      <c r="B6439" t="s">
        <v>12820</v>
      </c>
      <c r="C6439" s="1">
        <v>45775</v>
      </c>
      <c r="D6439" t="s">
        <v>12821</v>
      </c>
      <c r="E6439" s="2">
        <v>2700</v>
      </c>
      <c r="G6439" s="3">
        <f>MONTH(Tabela1[[#This Row],[Último pagto ano]])</f>
        <v>4</v>
      </c>
      <c r="H6439" t="str">
        <f>TEXT(Tabela1[[#This Row],[Coluna2]]*29,"mmmm")</f>
        <v>abril</v>
      </c>
      <c r="I6439" t="str">
        <f>TEXT(MONTH(Tabela1[[#This Row],[Último pagto ano]])*29,"mmmm")</f>
        <v>abril</v>
      </c>
    </row>
    <row r="6440" spans="1:9" x14ac:dyDescent="0.25">
      <c r="A6440">
        <v>2025</v>
      </c>
      <c r="B6440" t="s">
        <v>12822</v>
      </c>
      <c r="C6440" s="1">
        <v>45673</v>
      </c>
      <c r="D6440" t="s">
        <v>12823</v>
      </c>
      <c r="E6440">
        <v>400</v>
      </c>
      <c r="G6440" s="3">
        <f>MONTH(Tabela1[[#This Row],[Último pagto ano]])</f>
        <v>1</v>
      </c>
      <c r="H6440" t="str">
        <f>TEXT(Tabela1[[#This Row],[Coluna2]]*29,"mmmm")</f>
        <v>janeiro</v>
      </c>
      <c r="I6440" t="str">
        <f>TEXT(MONTH(Tabela1[[#This Row],[Último pagto ano]])*29,"mmmm")</f>
        <v>janeiro</v>
      </c>
    </row>
    <row r="6441" spans="1:9" x14ac:dyDescent="0.25">
      <c r="A6441">
        <v>2025</v>
      </c>
      <c r="B6441" t="s">
        <v>12824</v>
      </c>
      <c r="C6441" s="1">
        <v>45898</v>
      </c>
      <c r="D6441" t="s">
        <v>12825</v>
      </c>
      <c r="E6441">
        <v>2.0499999999999998</v>
      </c>
      <c r="G6441" s="3">
        <f>MONTH(Tabela1[[#This Row],[Último pagto ano]])</f>
        <v>8</v>
      </c>
      <c r="H6441" t="str">
        <f>TEXT(Tabela1[[#This Row],[Coluna2]]*29,"mmmm")</f>
        <v>agosto</v>
      </c>
      <c r="I6441" t="str">
        <f>TEXT(MONTH(Tabela1[[#This Row],[Último pagto ano]])*29,"mmmm")</f>
        <v>agosto</v>
      </c>
    </row>
    <row r="6442" spans="1:9" x14ac:dyDescent="0.25">
      <c r="A6442">
        <v>2025</v>
      </c>
      <c r="B6442" t="s">
        <v>12826</v>
      </c>
      <c r="C6442" s="1">
        <v>45996</v>
      </c>
      <c r="D6442" t="s">
        <v>12827</v>
      </c>
      <c r="E6442" s="2">
        <v>4600</v>
      </c>
      <c r="G6442" s="3">
        <f>MONTH(Tabela1[[#This Row],[Último pagto ano]])</f>
        <v>12</v>
      </c>
      <c r="H6442" t="str">
        <f>TEXT(Tabela1[[#This Row],[Coluna2]]*29,"mmmm")</f>
        <v>dezembro</v>
      </c>
      <c r="I6442" t="str">
        <f>TEXT(MONTH(Tabela1[[#This Row],[Último pagto ano]])*29,"mmmm")</f>
        <v>dezembro</v>
      </c>
    </row>
    <row r="6443" spans="1:9" x14ac:dyDescent="0.25">
      <c r="A6443">
        <v>2025</v>
      </c>
      <c r="B6443" t="s">
        <v>12828</v>
      </c>
      <c r="C6443" s="1">
        <v>46021</v>
      </c>
      <c r="D6443" t="s">
        <v>12829</v>
      </c>
      <c r="E6443" s="2">
        <v>4081.91</v>
      </c>
      <c r="G6443" s="3">
        <f>MONTH(Tabela1[[#This Row],[Último pagto ano]])</f>
        <v>12</v>
      </c>
      <c r="H6443" t="str">
        <f>TEXT(Tabela1[[#This Row],[Coluna2]]*29,"mmmm")</f>
        <v>dezembro</v>
      </c>
      <c r="I6443" t="str">
        <f>TEXT(MONTH(Tabela1[[#This Row],[Último pagto ano]])*29,"mmmm")</f>
        <v>dezembro</v>
      </c>
    </row>
    <row r="6444" spans="1:9" x14ac:dyDescent="0.25">
      <c r="A6444">
        <v>2025</v>
      </c>
      <c r="B6444" t="s">
        <v>12830</v>
      </c>
      <c r="C6444" s="1">
        <v>45996</v>
      </c>
      <c r="D6444" t="s">
        <v>12831</v>
      </c>
      <c r="E6444" s="2">
        <v>47700</v>
      </c>
      <c r="G6444" s="3">
        <f>MONTH(Tabela1[[#This Row],[Último pagto ano]])</f>
        <v>12</v>
      </c>
      <c r="H6444" t="str">
        <f>TEXT(Tabela1[[#This Row],[Coluna2]]*29,"mmmm")</f>
        <v>dezembro</v>
      </c>
      <c r="I6444" t="str">
        <f>TEXT(MONTH(Tabela1[[#This Row],[Último pagto ano]])*29,"mmmm")</f>
        <v>dezembro</v>
      </c>
    </row>
    <row r="6445" spans="1:9" x14ac:dyDescent="0.25">
      <c r="A6445">
        <v>2025</v>
      </c>
      <c r="B6445" t="s">
        <v>12832</v>
      </c>
      <c r="C6445" s="1">
        <v>46006</v>
      </c>
      <c r="D6445" t="s">
        <v>12833</v>
      </c>
      <c r="E6445" s="2">
        <v>10957.92</v>
      </c>
      <c r="G6445" s="3">
        <f>MONTH(Tabela1[[#This Row],[Último pagto ano]])</f>
        <v>12</v>
      </c>
      <c r="H6445" t="str">
        <f>TEXT(Tabela1[[#This Row],[Coluna2]]*29,"mmmm")</f>
        <v>dezembro</v>
      </c>
      <c r="I6445" t="str">
        <f>TEXT(MONTH(Tabela1[[#This Row],[Último pagto ano]])*29,"mmmm")</f>
        <v>dezembro</v>
      </c>
    </row>
    <row r="6446" spans="1:9" x14ac:dyDescent="0.25">
      <c r="A6446">
        <v>2025</v>
      </c>
      <c r="B6446" t="s">
        <v>12834</v>
      </c>
      <c r="C6446" s="1">
        <v>45996</v>
      </c>
      <c r="D6446" t="s">
        <v>12835</v>
      </c>
      <c r="E6446" s="2">
        <v>8700</v>
      </c>
      <c r="G6446" s="3">
        <f>MONTH(Tabela1[[#This Row],[Último pagto ano]])</f>
        <v>12</v>
      </c>
      <c r="H6446" t="str">
        <f>TEXT(Tabela1[[#This Row],[Coluna2]]*29,"mmmm")</f>
        <v>dezembro</v>
      </c>
      <c r="I6446" t="str">
        <f>TEXT(MONTH(Tabela1[[#This Row],[Último pagto ano]])*29,"mmmm")</f>
        <v>dezembro</v>
      </c>
    </row>
    <row r="6447" spans="1:9" x14ac:dyDescent="0.25">
      <c r="A6447">
        <v>2025</v>
      </c>
      <c r="B6447" t="s">
        <v>12836</v>
      </c>
      <c r="C6447" s="1">
        <v>45777</v>
      </c>
      <c r="D6447" t="s">
        <v>12837</v>
      </c>
      <c r="E6447" s="2">
        <v>4115.6099999999997</v>
      </c>
      <c r="G6447" s="3">
        <f>MONTH(Tabela1[[#This Row],[Último pagto ano]])</f>
        <v>4</v>
      </c>
      <c r="H6447" t="str">
        <f>TEXT(Tabela1[[#This Row],[Coluna2]]*29,"mmmm")</f>
        <v>abril</v>
      </c>
      <c r="I6447" t="str">
        <f>TEXT(MONTH(Tabela1[[#This Row],[Último pagto ano]])*29,"mmmm")</f>
        <v>abril</v>
      </c>
    </row>
    <row r="6448" spans="1:9" x14ac:dyDescent="0.25">
      <c r="A6448">
        <v>2025</v>
      </c>
      <c r="B6448" t="s">
        <v>12838</v>
      </c>
      <c r="C6448" s="1">
        <v>45695</v>
      </c>
      <c r="D6448" t="s">
        <v>12839</v>
      </c>
      <c r="E6448" s="2">
        <v>10800</v>
      </c>
      <c r="G6448" s="3">
        <f>MONTH(Tabela1[[#This Row],[Último pagto ano]])</f>
        <v>2</v>
      </c>
      <c r="H6448" t="str">
        <f>TEXT(Tabela1[[#This Row],[Coluna2]]*29,"mmmm")</f>
        <v>fevereiro</v>
      </c>
      <c r="I6448" t="str">
        <f>TEXT(MONTH(Tabela1[[#This Row],[Último pagto ano]])*29,"mmmm")</f>
        <v>fevereiro</v>
      </c>
    </row>
    <row r="6449" spans="1:9" x14ac:dyDescent="0.25">
      <c r="A6449">
        <v>2025</v>
      </c>
      <c r="B6449" t="s">
        <v>12840</v>
      </c>
      <c r="C6449" s="1">
        <v>45702</v>
      </c>
      <c r="D6449" t="s">
        <v>12841</v>
      </c>
      <c r="E6449">
        <v>835.5</v>
      </c>
      <c r="G6449" s="3">
        <f>MONTH(Tabela1[[#This Row],[Último pagto ano]])</f>
        <v>2</v>
      </c>
      <c r="H6449" t="str">
        <f>TEXT(Tabela1[[#This Row],[Coluna2]]*29,"mmmm")</f>
        <v>fevereiro</v>
      </c>
      <c r="I6449" t="str">
        <f>TEXT(MONTH(Tabela1[[#This Row],[Último pagto ano]])*29,"mmmm")</f>
        <v>fevereiro</v>
      </c>
    </row>
    <row r="6450" spans="1:9" x14ac:dyDescent="0.25">
      <c r="A6450">
        <v>2025</v>
      </c>
      <c r="B6450" t="s">
        <v>12842</v>
      </c>
      <c r="C6450" s="1">
        <v>45771</v>
      </c>
      <c r="D6450" t="s">
        <v>12843</v>
      </c>
      <c r="E6450">
        <v>555.98</v>
      </c>
      <c r="G6450" s="3">
        <f>MONTH(Tabela1[[#This Row],[Último pagto ano]])</f>
        <v>4</v>
      </c>
      <c r="H6450" t="str">
        <f>TEXT(Tabela1[[#This Row],[Coluna2]]*29,"mmmm")</f>
        <v>abril</v>
      </c>
      <c r="I6450" t="str">
        <f>TEXT(MONTH(Tabela1[[#This Row],[Último pagto ano]])*29,"mmmm")</f>
        <v>abril</v>
      </c>
    </row>
    <row r="6451" spans="1:9" x14ac:dyDescent="0.25">
      <c r="A6451">
        <v>2025</v>
      </c>
      <c r="B6451" t="s">
        <v>12844</v>
      </c>
      <c r="C6451" s="1">
        <v>45775</v>
      </c>
      <c r="D6451" t="s">
        <v>12845</v>
      </c>
      <c r="E6451">
        <v>345.6</v>
      </c>
      <c r="G6451" s="3">
        <f>MONTH(Tabela1[[#This Row],[Último pagto ano]])</f>
        <v>4</v>
      </c>
      <c r="H6451" t="str">
        <f>TEXT(Tabela1[[#This Row],[Coluna2]]*29,"mmmm")</f>
        <v>abril</v>
      </c>
      <c r="I6451" t="str">
        <f>TEXT(MONTH(Tabela1[[#This Row],[Último pagto ano]])*29,"mmmm")</f>
        <v>abril</v>
      </c>
    </row>
    <row r="6452" spans="1:9" x14ac:dyDescent="0.25">
      <c r="A6452">
        <v>2025</v>
      </c>
      <c r="B6452" t="s">
        <v>12846</v>
      </c>
      <c r="C6452" s="1">
        <v>45687</v>
      </c>
      <c r="D6452" t="s">
        <v>12847</v>
      </c>
      <c r="E6452">
        <v>991.71</v>
      </c>
      <c r="G6452" s="3">
        <f>MONTH(Tabela1[[#This Row],[Último pagto ano]])</f>
        <v>1</v>
      </c>
      <c r="H6452" t="str">
        <f>TEXT(Tabela1[[#This Row],[Coluna2]]*29,"mmmm")</f>
        <v>janeiro</v>
      </c>
      <c r="I6452" t="str">
        <f>TEXT(MONTH(Tabela1[[#This Row],[Último pagto ano]])*29,"mmmm")</f>
        <v>janeiro</v>
      </c>
    </row>
    <row r="6453" spans="1:9" x14ac:dyDescent="0.25">
      <c r="A6453">
        <v>2025</v>
      </c>
      <c r="B6453" t="s">
        <v>12848</v>
      </c>
      <c r="C6453" s="1">
        <v>45996</v>
      </c>
      <c r="D6453" t="s">
        <v>12849</v>
      </c>
      <c r="E6453" s="2">
        <v>36000</v>
      </c>
      <c r="G6453" s="3">
        <f>MONTH(Tabela1[[#This Row],[Último pagto ano]])</f>
        <v>12</v>
      </c>
      <c r="H6453" t="str">
        <f>TEXT(Tabela1[[#This Row],[Coluna2]]*29,"mmmm")</f>
        <v>dezembro</v>
      </c>
      <c r="I6453" t="str">
        <f>TEXT(MONTH(Tabela1[[#This Row],[Último pagto ano]])*29,"mmmm")</f>
        <v>dezembro</v>
      </c>
    </row>
    <row r="6454" spans="1:9" x14ac:dyDescent="0.25">
      <c r="A6454">
        <v>2025</v>
      </c>
      <c r="B6454" t="s">
        <v>12850</v>
      </c>
      <c r="C6454" s="1">
        <v>45702</v>
      </c>
      <c r="D6454" t="s">
        <v>12851</v>
      </c>
      <c r="E6454">
        <v>895.05</v>
      </c>
      <c r="G6454" s="3">
        <f>MONTH(Tabela1[[#This Row],[Último pagto ano]])</f>
        <v>2</v>
      </c>
      <c r="H6454" t="str">
        <f>TEXT(Tabela1[[#This Row],[Coluna2]]*29,"mmmm")</f>
        <v>fevereiro</v>
      </c>
      <c r="I6454" t="str">
        <f>TEXT(MONTH(Tabela1[[#This Row],[Último pagto ano]])*29,"mmmm")</f>
        <v>fevereiro</v>
      </c>
    </row>
    <row r="6455" spans="1:9" x14ac:dyDescent="0.25">
      <c r="A6455">
        <v>2025</v>
      </c>
      <c r="B6455" t="s">
        <v>12852</v>
      </c>
      <c r="C6455" s="1">
        <v>45702</v>
      </c>
      <c r="D6455" t="s">
        <v>12853</v>
      </c>
      <c r="E6455">
        <v>577.98</v>
      </c>
      <c r="G6455" s="3">
        <f>MONTH(Tabela1[[#This Row],[Último pagto ano]])</f>
        <v>2</v>
      </c>
      <c r="H6455" t="str">
        <f>TEXT(Tabela1[[#This Row],[Coluna2]]*29,"mmmm")</f>
        <v>fevereiro</v>
      </c>
      <c r="I6455" t="str">
        <f>TEXT(MONTH(Tabela1[[#This Row],[Último pagto ano]])*29,"mmmm")</f>
        <v>fevereiro</v>
      </c>
    </row>
    <row r="6456" spans="1:9" x14ac:dyDescent="0.25">
      <c r="A6456">
        <v>2025</v>
      </c>
      <c r="B6456" t="s">
        <v>12854</v>
      </c>
      <c r="C6456" s="1">
        <v>45989</v>
      </c>
      <c r="D6456" t="s">
        <v>12855</v>
      </c>
      <c r="E6456" s="2">
        <v>10129</v>
      </c>
      <c r="G6456" s="3">
        <f>MONTH(Tabela1[[#This Row],[Último pagto ano]])</f>
        <v>11</v>
      </c>
      <c r="H6456" t="str">
        <f>TEXT(Tabela1[[#This Row],[Coluna2]]*29,"mmmm")</f>
        <v>novembro</v>
      </c>
      <c r="I6456" t="str">
        <f>TEXT(MONTH(Tabela1[[#This Row],[Último pagto ano]])*29,"mmmm")</f>
        <v>novembro</v>
      </c>
    </row>
    <row r="6457" spans="1:9" x14ac:dyDescent="0.25">
      <c r="A6457">
        <v>2025</v>
      </c>
      <c r="B6457" t="s">
        <v>12856</v>
      </c>
      <c r="C6457" s="1">
        <v>45673</v>
      </c>
      <c r="D6457" t="s">
        <v>12857</v>
      </c>
      <c r="E6457">
        <v>150</v>
      </c>
      <c r="G6457" s="3">
        <f>MONTH(Tabela1[[#This Row],[Último pagto ano]])</f>
        <v>1</v>
      </c>
      <c r="H6457" t="str">
        <f>TEXT(Tabela1[[#This Row],[Coluna2]]*29,"mmmm")</f>
        <v>janeiro</v>
      </c>
      <c r="I6457" t="str">
        <f>TEXT(MONTH(Tabela1[[#This Row],[Último pagto ano]])*29,"mmmm")</f>
        <v>janeiro</v>
      </c>
    </row>
    <row r="6458" spans="1:9" x14ac:dyDescent="0.25">
      <c r="A6458">
        <v>2025</v>
      </c>
      <c r="B6458" t="s">
        <v>12858</v>
      </c>
      <c r="C6458" s="1">
        <v>46014</v>
      </c>
      <c r="D6458" t="s">
        <v>12859</v>
      </c>
      <c r="E6458">
        <v>760</v>
      </c>
      <c r="G6458" s="3">
        <f>MONTH(Tabela1[[#This Row],[Último pagto ano]])</f>
        <v>12</v>
      </c>
      <c r="H6458" t="str">
        <f>TEXT(Tabela1[[#This Row],[Coluna2]]*29,"mmmm")</f>
        <v>dezembro</v>
      </c>
      <c r="I6458" t="str">
        <f>TEXT(MONTH(Tabela1[[#This Row],[Último pagto ano]])*29,"mmmm")</f>
        <v>dezembro</v>
      </c>
    </row>
    <row r="6459" spans="1:9" x14ac:dyDescent="0.25">
      <c r="A6459">
        <v>2025</v>
      </c>
      <c r="B6459" t="s">
        <v>12860</v>
      </c>
      <c r="C6459" s="1">
        <v>45996</v>
      </c>
      <c r="D6459" t="s">
        <v>12861</v>
      </c>
      <c r="E6459" s="2">
        <v>2000</v>
      </c>
      <c r="G6459" s="3">
        <f>MONTH(Tabela1[[#This Row],[Último pagto ano]])</f>
        <v>12</v>
      </c>
      <c r="H6459" t="str">
        <f>TEXT(Tabela1[[#This Row],[Coluna2]]*29,"mmmm")</f>
        <v>dezembro</v>
      </c>
      <c r="I6459" t="str">
        <f>TEXT(MONTH(Tabela1[[#This Row],[Último pagto ano]])*29,"mmmm")</f>
        <v>dezembro</v>
      </c>
    </row>
    <row r="6460" spans="1:9" x14ac:dyDescent="0.25">
      <c r="A6460">
        <v>2025</v>
      </c>
      <c r="B6460" t="s">
        <v>12862</v>
      </c>
      <c r="C6460" s="1">
        <v>45803</v>
      </c>
      <c r="D6460" t="s">
        <v>12863</v>
      </c>
      <c r="E6460" s="2">
        <v>5000</v>
      </c>
      <c r="G6460" s="3">
        <f>MONTH(Tabela1[[#This Row],[Último pagto ano]])</f>
        <v>5</v>
      </c>
      <c r="H6460" t="str">
        <f>TEXT(Tabela1[[#This Row],[Coluna2]]*29,"mmmm")</f>
        <v>maio</v>
      </c>
      <c r="I6460" t="str">
        <f>TEXT(MONTH(Tabela1[[#This Row],[Último pagto ano]])*29,"mmmm")</f>
        <v>maio</v>
      </c>
    </row>
    <row r="6461" spans="1:9" x14ac:dyDescent="0.25">
      <c r="A6461">
        <v>2025</v>
      </c>
      <c r="B6461" t="s">
        <v>12864</v>
      </c>
      <c r="C6461" s="1">
        <v>45702</v>
      </c>
      <c r="D6461" t="s">
        <v>12865</v>
      </c>
      <c r="E6461">
        <v>27.2</v>
      </c>
      <c r="G6461" s="3">
        <f>MONTH(Tabela1[[#This Row],[Último pagto ano]])</f>
        <v>2</v>
      </c>
      <c r="H6461" t="str">
        <f>TEXT(Tabela1[[#This Row],[Coluna2]]*29,"mmmm")</f>
        <v>fevereiro</v>
      </c>
      <c r="I6461" t="str">
        <f>TEXT(MONTH(Tabela1[[#This Row],[Último pagto ano]])*29,"mmmm")</f>
        <v>fevereiro</v>
      </c>
    </row>
    <row r="6462" spans="1:9" x14ac:dyDescent="0.25">
      <c r="A6462">
        <v>2025</v>
      </c>
      <c r="B6462" t="s">
        <v>12866</v>
      </c>
      <c r="C6462" s="1">
        <v>45919</v>
      </c>
      <c r="D6462" t="s">
        <v>12867</v>
      </c>
      <c r="E6462">
        <v>315.95</v>
      </c>
      <c r="G6462" s="3">
        <f>MONTH(Tabela1[[#This Row],[Último pagto ano]])</f>
        <v>9</v>
      </c>
      <c r="H6462" t="str">
        <f>TEXT(Tabela1[[#This Row],[Coluna2]]*29,"mmmm")</f>
        <v>setembro</v>
      </c>
      <c r="I6462" t="str">
        <f>TEXT(MONTH(Tabela1[[#This Row],[Último pagto ano]])*29,"mmmm")</f>
        <v>setembro</v>
      </c>
    </row>
    <row r="6463" spans="1:9" x14ac:dyDescent="0.25">
      <c r="A6463">
        <v>2025</v>
      </c>
      <c r="B6463" t="s">
        <v>12866</v>
      </c>
      <c r="C6463" s="1">
        <v>45950</v>
      </c>
      <c r="D6463" t="s">
        <v>12868</v>
      </c>
      <c r="E6463" s="2">
        <v>1534.39</v>
      </c>
      <c r="G6463" s="3">
        <f>MONTH(Tabela1[[#This Row],[Último pagto ano]])</f>
        <v>10</v>
      </c>
      <c r="H6463" t="str">
        <f>TEXT(Tabela1[[#This Row],[Coluna2]]*29,"mmmm")</f>
        <v>outubro</v>
      </c>
      <c r="I6463" t="str">
        <f>TEXT(MONTH(Tabela1[[#This Row],[Último pagto ano]])*29,"mmmm")</f>
        <v>outubro</v>
      </c>
    </row>
    <row r="6464" spans="1:9" x14ac:dyDescent="0.25">
      <c r="A6464">
        <v>2025</v>
      </c>
      <c r="B6464" t="s">
        <v>12869</v>
      </c>
      <c r="C6464" s="1">
        <v>45978</v>
      </c>
      <c r="D6464" t="s">
        <v>12870</v>
      </c>
      <c r="E6464">
        <v>286</v>
      </c>
      <c r="G6464" s="3">
        <f>MONTH(Tabela1[[#This Row],[Último pagto ano]])</f>
        <v>11</v>
      </c>
      <c r="H6464" t="str">
        <f>TEXT(Tabela1[[#This Row],[Coluna2]]*29,"mmmm")</f>
        <v>novembro</v>
      </c>
      <c r="I6464" t="str">
        <f>TEXT(MONTH(Tabela1[[#This Row],[Último pagto ano]])*29,"mmmm")</f>
        <v>novembro</v>
      </c>
    </row>
    <row r="6465" spans="1:9" x14ac:dyDescent="0.25">
      <c r="A6465">
        <v>2025</v>
      </c>
      <c r="B6465" t="s">
        <v>12871</v>
      </c>
      <c r="C6465" s="1">
        <v>45769</v>
      </c>
      <c r="D6465" t="s">
        <v>12872</v>
      </c>
      <c r="E6465">
        <v>22</v>
      </c>
      <c r="G6465" s="3">
        <f>MONTH(Tabela1[[#This Row],[Último pagto ano]])</f>
        <v>4</v>
      </c>
      <c r="H6465" t="str">
        <f>TEXT(Tabela1[[#This Row],[Coluna2]]*29,"mmmm")</f>
        <v>abril</v>
      </c>
      <c r="I6465" t="str">
        <f>TEXT(MONTH(Tabela1[[#This Row],[Último pagto ano]])*29,"mmmm")</f>
        <v>abril</v>
      </c>
    </row>
    <row r="6466" spans="1:9" x14ac:dyDescent="0.25">
      <c r="A6466">
        <v>2025</v>
      </c>
      <c r="B6466" t="s">
        <v>12873</v>
      </c>
      <c r="C6466" s="1">
        <v>45988</v>
      </c>
      <c r="D6466" t="s">
        <v>12874</v>
      </c>
      <c r="E6466" s="2">
        <v>3440.77</v>
      </c>
      <c r="G6466" s="3">
        <f>MONTH(Tabela1[[#This Row],[Último pagto ano]])</f>
        <v>11</v>
      </c>
      <c r="H6466" t="str">
        <f>TEXT(Tabela1[[#This Row],[Coluna2]]*29,"mmmm")</f>
        <v>novembro</v>
      </c>
      <c r="I6466" t="str">
        <f>TEXT(MONTH(Tabela1[[#This Row],[Último pagto ano]])*29,"mmmm")</f>
        <v>novembro</v>
      </c>
    </row>
    <row r="6467" spans="1:9" x14ac:dyDescent="0.25">
      <c r="A6467">
        <v>2025</v>
      </c>
      <c r="B6467" t="s">
        <v>12875</v>
      </c>
      <c r="C6467" s="1">
        <v>45849</v>
      </c>
      <c r="D6467" t="s">
        <v>12876</v>
      </c>
      <c r="E6467">
        <v>88</v>
      </c>
      <c r="G6467" s="3">
        <f>MONTH(Tabela1[[#This Row],[Último pagto ano]])</f>
        <v>7</v>
      </c>
      <c r="H6467" t="str">
        <f>TEXT(Tabela1[[#This Row],[Coluna2]]*29,"mmmm")</f>
        <v>julho</v>
      </c>
      <c r="I6467" t="str">
        <f>TEXT(MONTH(Tabela1[[#This Row],[Último pagto ano]])*29,"mmmm")</f>
        <v>julho</v>
      </c>
    </row>
    <row r="6468" spans="1:9" x14ac:dyDescent="0.25">
      <c r="A6468">
        <v>2025</v>
      </c>
      <c r="B6468" t="s">
        <v>12877</v>
      </c>
      <c r="C6468" s="1">
        <v>45985</v>
      </c>
      <c r="D6468" t="s">
        <v>12878</v>
      </c>
      <c r="E6468">
        <v>44</v>
      </c>
      <c r="G6468" s="3">
        <f>MONTH(Tabela1[[#This Row],[Último pagto ano]])</f>
        <v>11</v>
      </c>
      <c r="H6468" t="str">
        <f>TEXT(Tabela1[[#This Row],[Coluna2]]*29,"mmmm")</f>
        <v>novembro</v>
      </c>
      <c r="I6468" t="str">
        <f>TEXT(MONTH(Tabela1[[#This Row],[Último pagto ano]])*29,"mmmm")</f>
        <v>novembro</v>
      </c>
    </row>
    <row r="6469" spans="1:9" x14ac:dyDescent="0.25">
      <c r="A6469">
        <v>2025</v>
      </c>
      <c r="B6469" t="s">
        <v>12879</v>
      </c>
      <c r="C6469" s="1">
        <v>46010</v>
      </c>
      <c r="D6469" t="s">
        <v>12880</v>
      </c>
      <c r="E6469" s="2">
        <v>12000</v>
      </c>
      <c r="G6469" s="3">
        <f>MONTH(Tabela1[[#This Row],[Último pagto ano]])</f>
        <v>12</v>
      </c>
      <c r="H6469" t="str">
        <f>TEXT(Tabela1[[#This Row],[Coluna2]]*29,"mmmm")</f>
        <v>dezembro</v>
      </c>
      <c r="I6469" t="str">
        <f>TEXT(MONTH(Tabela1[[#This Row],[Último pagto ano]])*29,"mmmm")</f>
        <v>dezembro</v>
      </c>
    </row>
    <row r="6470" spans="1:9" x14ac:dyDescent="0.25">
      <c r="A6470">
        <v>2025</v>
      </c>
      <c r="B6470" t="s">
        <v>12881</v>
      </c>
      <c r="C6470" s="1">
        <v>45812</v>
      </c>
      <c r="D6470" t="s">
        <v>12882</v>
      </c>
      <c r="E6470" s="2">
        <v>2900.8</v>
      </c>
      <c r="G6470" s="3">
        <f>MONTH(Tabela1[[#This Row],[Último pagto ano]])</f>
        <v>6</v>
      </c>
      <c r="H6470" t="str">
        <f>TEXT(Tabela1[[#This Row],[Coluna2]]*29,"mmmm")</f>
        <v>junho</v>
      </c>
      <c r="I6470" t="str">
        <f>TEXT(MONTH(Tabela1[[#This Row],[Último pagto ano]])*29,"mmmm")</f>
        <v>junho</v>
      </c>
    </row>
    <row r="6471" spans="1:9" x14ac:dyDescent="0.25">
      <c r="A6471">
        <v>2025</v>
      </c>
      <c r="B6471" t="s">
        <v>12883</v>
      </c>
      <c r="C6471" s="1">
        <v>45849</v>
      </c>
      <c r="D6471" t="s">
        <v>12884</v>
      </c>
      <c r="E6471">
        <v>88</v>
      </c>
      <c r="G6471" s="3">
        <f>MONTH(Tabela1[[#This Row],[Último pagto ano]])</f>
        <v>7</v>
      </c>
      <c r="H6471" t="str">
        <f>TEXT(Tabela1[[#This Row],[Coluna2]]*29,"mmmm")</f>
        <v>julho</v>
      </c>
      <c r="I6471" t="str">
        <f>TEXT(MONTH(Tabela1[[#This Row],[Último pagto ano]])*29,"mmmm")</f>
        <v>julho</v>
      </c>
    </row>
    <row r="6472" spans="1:9" x14ac:dyDescent="0.25">
      <c r="A6472">
        <v>2025</v>
      </c>
      <c r="B6472" t="s">
        <v>12885</v>
      </c>
      <c r="C6472" s="1">
        <v>46013</v>
      </c>
      <c r="D6472" t="s">
        <v>12886</v>
      </c>
      <c r="E6472" s="2">
        <v>5626.8</v>
      </c>
      <c r="G6472" s="3">
        <f>MONTH(Tabela1[[#This Row],[Último pagto ano]])</f>
        <v>12</v>
      </c>
      <c r="H6472" t="str">
        <f>TEXT(Tabela1[[#This Row],[Coluna2]]*29,"mmmm")</f>
        <v>dezembro</v>
      </c>
      <c r="I6472" t="str">
        <f>TEXT(MONTH(Tabela1[[#This Row],[Último pagto ano]])*29,"mmmm")</f>
        <v>dezembro</v>
      </c>
    </row>
    <row r="6473" spans="1:9" x14ac:dyDescent="0.25">
      <c r="A6473">
        <v>2025</v>
      </c>
      <c r="B6473" t="s">
        <v>12887</v>
      </c>
      <c r="C6473" s="1">
        <v>46010</v>
      </c>
      <c r="D6473" t="s">
        <v>12888</v>
      </c>
      <c r="E6473" s="2">
        <v>24000</v>
      </c>
      <c r="G6473" s="3">
        <f>MONTH(Tabela1[[#This Row],[Último pagto ano]])</f>
        <v>12</v>
      </c>
      <c r="H6473" t="str">
        <f>TEXT(Tabela1[[#This Row],[Coluna2]]*29,"mmmm")</f>
        <v>dezembro</v>
      </c>
      <c r="I6473" t="str">
        <f>TEXT(MONTH(Tabela1[[#This Row],[Último pagto ano]])*29,"mmmm")</f>
        <v>dezembro</v>
      </c>
    </row>
    <row r="6474" spans="1:9" x14ac:dyDescent="0.25">
      <c r="A6474">
        <v>2025</v>
      </c>
      <c r="B6474" t="s">
        <v>12889</v>
      </c>
      <c r="C6474" s="1">
        <v>45924</v>
      </c>
      <c r="D6474" t="s">
        <v>12890</v>
      </c>
      <c r="E6474" s="2">
        <v>6300</v>
      </c>
      <c r="G6474" s="3">
        <f>MONTH(Tabela1[[#This Row],[Último pagto ano]])</f>
        <v>9</v>
      </c>
      <c r="H6474" t="str">
        <f>TEXT(Tabela1[[#This Row],[Coluna2]]*29,"mmmm")</f>
        <v>setembro</v>
      </c>
      <c r="I6474" t="str">
        <f>TEXT(MONTH(Tabela1[[#This Row],[Último pagto ano]])*29,"mmmm")</f>
        <v>setembro</v>
      </c>
    </row>
    <row r="6475" spans="1:9" x14ac:dyDescent="0.25">
      <c r="A6475">
        <v>2025</v>
      </c>
      <c r="B6475" t="s">
        <v>12891</v>
      </c>
      <c r="C6475" s="1">
        <v>46010</v>
      </c>
      <c r="D6475" t="s">
        <v>12892</v>
      </c>
      <c r="E6475" s="2">
        <v>12000</v>
      </c>
      <c r="G6475" s="3">
        <f>MONTH(Tabela1[[#This Row],[Último pagto ano]])</f>
        <v>12</v>
      </c>
      <c r="H6475" t="str">
        <f>TEXT(Tabela1[[#This Row],[Coluna2]]*29,"mmmm")</f>
        <v>dezembro</v>
      </c>
      <c r="I6475" t="str">
        <f>TEXT(MONTH(Tabela1[[#This Row],[Último pagto ano]])*29,"mmmm")</f>
        <v>dezembro</v>
      </c>
    </row>
    <row r="6476" spans="1:9" x14ac:dyDescent="0.25">
      <c r="A6476">
        <v>2025</v>
      </c>
      <c r="B6476" t="s">
        <v>12893</v>
      </c>
      <c r="C6476" s="1">
        <v>45985</v>
      </c>
      <c r="D6476" t="s">
        <v>12894</v>
      </c>
      <c r="E6476">
        <v>880</v>
      </c>
      <c r="G6476" s="3">
        <f>MONTH(Tabela1[[#This Row],[Último pagto ano]])</f>
        <v>11</v>
      </c>
      <c r="H6476" t="str">
        <f>TEXT(Tabela1[[#This Row],[Coluna2]]*29,"mmmm")</f>
        <v>novembro</v>
      </c>
      <c r="I6476" t="str">
        <f>TEXT(MONTH(Tabela1[[#This Row],[Último pagto ano]])*29,"mmmm")</f>
        <v>novembro</v>
      </c>
    </row>
    <row r="6477" spans="1:9" x14ac:dyDescent="0.25">
      <c r="A6477">
        <v>2025</v>
      </c>
      <c r="B6477" t="s">
        <v>12895</v>
      </c>
      <c r="C6477" s="1">
        <v>46014</v>
      </c>
      <c r="D6477" t="s">
        <v>12896</v>
      </c>
      <c r="E6477" s="2">
        <v>13050</v>
      </c>
      <c r="G6477" s="3">
        <f>MONTH(Tabela1[[#This Row],[Último pagto ano]])</f>
        <v>12</v>
      </c>
      <c r="H6477" t="str">
        <f>TEXT(Tabela1[[#This Row],[Coluna2]]*29,"mmmm")</f>
        <v>dezembro</v>
      </c>
      <c r="I6477" t="str">
        <f>TEXT(MONTH(Tabela1[[#This Row],[Último pagto ano]])*29,"mmmm")</f>
        <v>dezembro</v>
      </c>
    </row>
    <row r="6478" spans="1:9" x14ac:dyDescent="0.25">
      <c r="A6478">
        <v>2025</v>
      </c>
      <c r="B6478" t="s">
        <v>12897</v>
      </c>
      <c r="C6478" s="1">
        <v>45702</v>
      </c>
      <c r="D6478" t="s">
        <v>12898</v>
      </c>
      <c r="E6478">
        <v>40.67</v>
      </c>
      <c r="G6478" s="3">
        <f>MONTH(Tabela1[[#This Row],[Último pagto ano]])</f>
        <v>2</v>
      </c>
      <c r="H6478" t="str">
        <f>TEXT(Tabela1[[#This Row],[Coluna2]]*29,"mmmm")</f>
        <v>fevereiro</v>
      </c>
      <c r="I6478" t="str">
        <f>TEXT(MONTH(Tabela1[[#This Row],[Último pagto ano]])*29,"mmmm")</f>
        <v>fevereiro</v>
      </c>
    </row>
    <row r="6479" spans="1:9" x14ac:dyDescent="0.25">
      <c r="A6479">
        <v>2025</v>
      </c>
      <c r="B6479" t="s">
        <v>12899</v>
      </c>
      <c r="C6479" s="1">
        <v>45792</v>
      </c>
      <c r="D6479" t="s">
        <v>12900</v>
      </c>
      <c r="E6479">
        <v>33</v>
      </c>
      <c r="G6479" s="3">
        <f>MONTH(Tabela1[[#This Row],[Último pagto ano]])</f>
        <v>5</v>
      </c>
      <c r="H6479" t="str">
        <f>TEXT(Tabela1[[#This Row],[Coluna2]]*29,"mmmm")</f>
        <v>maio</v>
      </c>
      <c r="I6479" t="str">
        <f>TEXT(MONTH(Tabela1[[#This Row],[Último pagto ano]])*29,"mmmm")</f>
        <v>maio</v>
      </c>
    </row>
    <row r="6480" spans="1:9" x14ac:dyDescent="0.25">
      <c r="A6480">
        <v>2025</v>
      </c>
      <c r="B6480" t="s">
        <v>12901</v>
      </c>
      <c r="C6480" s="1">
        <v>45698</v>
      </c>
      <c r="D6480" t="s">
        <v>12902</v>
      </c>
      <c r="E6480" s="2">
        <v>25228.799999999999</v>
      </c>
      <c r="G6480" s="3">
        <f>MONTH(Tabela1[[#This Row],[Último pagto ano]])</f>
        <v>2</v>
      </c>
      <c r="H6480" t="str">
        <f>TEXT(Tabela1[[#This Row],[Coluna2]]*29,"mmmm")</f>
        <v>fevereiro</v>
      </c>
      <c r="I6480" t="str">
        <f>TEXT(MONTH(Tabela1[[#This Row],[Último pagto ano]])*29,"mmmm")</f>
        <v>fevereiro</v>
      </c>
    </row>
    <row r="6481" spans="1:9" x14ac:dyDescent="0.25">
      <c r="A6481">
        <v>2025</v>
      </c>
      <c r="B6481" t="s">
        <v>12903</v>
      </c>
      <c r="C6481" s="1">
        <v>45702</v>
      </c>
      <c r="D6481" t="s">
        <v>12904</v>
      </c>
      <c r="E6481">
        <v>234.73</v>
      </c>
      <c r="G6481" s="3">
        <f>MONTH(Tabela1[[#This Row],[Último pagto ano]])</f>
        <v>2</v>
      </c>
      <c r="H6481" t="str">
        <f>TEXT(Tabela1[[#This Row],[Coluna2]]*29,"mmmm")</f>
        <v>fevereiro</v>
      </c>
      <c r="I6481" t="str">
        <f>TEXT(MONTH(Tabela1[[#This Row],[Último pagto ano]])*29,"mmmm")</f>
        <v>fevereiro</v>
      </c>
    </row>
    <row r="6482" spans="1:9" x14ac:dyDescent="0.25">
      <c r="A6482">
        <v>2025</v>
      </c>
      <c r="B6482" t="s">
        <v>12905</v>
      </c>
      <c r="C6482" s="1">
        <v>46006</v>
      </c>
      <c r="D6482" t="s">
        <v>12906</v>
      </c>
      <c r="E6482" s="2">
        <v>6663.6</v>
      </c>
      <c r="G6482" s="3">
        <f>MONTH(Tabela1[[#This Row],[Último pagto ano]])</f>
        <v>12</v>
      </c>
      <c r="H6482" t="str">
        <f>TEXT(Tabela1[[#This Row],[Coluna2]]*29,"mmmm")</f>
        <v>dezembro</v>
      </c>
      <c r="I6482" t="str">
        <f>TEXT(MONTH(Tabela1[[#This Row],[Último pagto ano]])*29,"mmmm")</f>
        <v>dezembro</v>
      </c>
    </row>
    <row r="6483" spans="1:9" x14ac:dyDescent="0.25">
      <c r="A6483">
        <v>2025</v>
      </c>
      <c r="B6483" t="s">
        <v>12907</v>
      </c>
      <c r="C6483" s="1">
        <v>45996</v>
      </c>
      <c r="D6483" t="s">
        <v>12908</v>
      </c>
      <c r="E6483" s="2">
        <v>36000</v>
      </c>
      <c r="G6483" s="3">
        <f>MONTH(Tabela1[[#This Row],[Último pagto ano]])</f>
        <v>12</v>
      </c>
      <c r="H6483" t="str">
        <f>TEXT(Tabela1[[#This Row],[Coluna2]]*29,"mmmm")</f>
        <v>dezembro</v>
      </c>
      <c r="I6483" t="str">
        <f>TEXT(MONTH(Tabela1[[#This Row],[Último pagto ano]])*29,"mmmm")</f>
        <v>dezembro</v>
      </c>
    </row>
    <row r="6484" spans="1:9" x14ac:dyDescent="0.25">
      <c r="A6484">
        <v>2025</v>
      </c>
      <c r="B6484" t="s">
        <v>12909</v>
      </c>
      <c r="C6484" s="1">
        <v>46006</v>
      </c>
      <c r="D6484" t="s">
        <v>12910</v>
      </c>
      <c r="E6484" s="2">
        <v>30028.5</v>
      </c>
      <c r="G6484" s="3">
        <f>MONTH(Tabela1[[#This Row],[Último pagto ano]])</f>
        <v>12</v>
      </c>
      <c r="H6484" t="str">
        <f>TEXT(Tabela1[[#This Row],[Coluna2]]*29,"mmmm")</f>
        <v>dezembro</v>
      </c>
      <c r="I6484" t="str">
        <f>TEXT(MONTH(Tabela1[[#This Row],[Último pagto ano]])*29,"mmmm")</f>
        <v>dezembro</v>
      </c>
    </row>
    <row r="6485" spans="1:9" x14ac:dyDescent="0.25">
      <c r="A6485">
        <v>2025</v>
      </c>
      <c r="B6485" t="s">
        <v>12911</v>
      </c>
      <c r="C6485" s="1">
        <v>45702</v>
      </c>
      <c r="D6485" t="s">
        <v>12912</v>
      </c>
      <c r="E6485">
        <v>173.68</v>
      </c>
      <c r="G6485" s="3">
        <f>MONTH(Tabela1[[#This Row],[Último pagto ano]])</f>
        <v>2</v>
      </c>
      <c r="H6485" t="str">
        <f>TEXT(Tabela1[[#This Row],[Coluna2]]*29,"mmmm")</f>
        <v>fevereiro</v>
      </c>
      <c r="I6485" t="str">
        <f>TEXT(MONTH(Tabela1[[#This Row],[Último pagto ano]])*29,"mmmm")</f>
        <v>fevereiro</v>
      </c>
    </row>
    <row r="6486" spans="1:9" x14ac:dyDescent="0.25">
      <c r="A6486">
        <v>2025</v>
      </c>
      <c r="B6486" t="s">
        <v>12913</v>
      </c>
      <c r="C6486" s="1">
        <v>46010</v>
      </c>
      <c r="D6486" t="s">
        <v>12914</v>
      </c>
      <c r="E6486" s="2">
        <v>12000</v>
      </c>
      <c r="G6486" s="3">
        <f>MONTH(Tabela1[[#This Row],[Último pagto ano]])</f>
        <v>12</v>
      </c>
      <c r="H6486" t="str">
        <f>TEXT(Tabela1[[#This Row],[Coluna2]]*29,"mmmm")</f>
        <v>dezembro</v>
      </c>
      <c r="I6486" t="str">
        <f>TEXT(MONTH(Tabela1[[#This Row],[Último pagto ano]])*29,"mmmm")</f>
        <v>dezembro</v>
      </c>
    </row>
    <row r="6487" spans="1:9" x14ac:dyDescent="0.25">
      <c r="A6487">
        <v>2025</v>
      </c>
      <c r="B6487" t="s">
        <v>12915</v>
      </c>
      <c r="C6487" s="1">
        <v>45936</v>
      </c>
      <c r="D6487" t="s">
        <v>12916</v>
      </c>
      <c r="E6487">
        <v>22</v>
      </c>
      <c r="G6487" s="3">
        <f>MONTH(Tabela1[[#This Row],[Último pagto ano]])</f>
        <v>10</v>
      </c>
      <c r="H6487" t="str">
        <f>TEXT(Tabela1[[#This Row],[Coluna2]]*29,"mmmm")</f>
        <v>outubro</v>
      </c>
      <c r="I6487" t="str">
        <f>TEXT(MONTH(Tabela1[[#This Row],[Último pagto ano]])*29,"mmmm")</f>
        <v>outubro</v>
      </c>
    </row>
    <row r="6488" spans="1:9" x14ac:dyDescent="0.25">
      <c r="A6488">
        <v>2025</v>
      </c>
      <c r="B6488" t="s">
        <v>12917</v>
      </c>
      <c r="C6488" s="1">
        <v>46014</v>
      </c>
      <c r="D6488" t="s">
        <v>12918</v>
      </c>
      <c r="E6488">
        <v>165</v>
      </c>
      <c r="G6488" s="3">
        <f>MONTH(Tabela1[[#This Row],[Último pagto ano]])</f>
        <v>12</v>
      </c>
      <c r="H6488" t="str">
        <f>TEXT(Tabela1[[#This Row],[Coluna2]]*29,"mmmm")</f>
        <v>dezembro</v>
      </c>
      <c r="I6488" t="str">
        <f>TEXT(MONTH(Tabela1[[#This Row],[Último pagto ano]])*29,"mmmm")</f>
        <v>dezembro</v>
      </c>
    </row>
    <row r="6489" spans="1:9" x14ac:dyDescent="0.25">
      <c r="A6489">
        <v>2025</v>
      </c>
      <c r="B6489" t="s">
        <v>12919</v>
      </c>
      <c r="C6489" s="1">
        <v>45889</v>
      </c>
      <c r="D6489" t="s">
        <v>12920</v>
      </c>
      <c r="E6489" s="2">
        <v>34925</v>
      </c>
      <c r="G6489" s="3">
        <f>MONTH(Tabela1[[#This Row],[Último pagto ano]])</f>
        <v>8</v>
      </c>
      <c r="H6489" t="str">
        <f>TEXT(Tabela1[[#This Row],[Coluna2]]*29,"mmmm")</f>
        <v>agosto</v>
      </c>
      <c r="I6489" t="str">
        <f>TEXT(MONTH(Tabela1[[#This Row],[Último pagto ano]])*29,"mmmm")</f>
        <v>agosto</v>
      </c>
    </row>
    <row r="6490" spans="1:9" x14ac:dyDescent="0.25">
      <c r="A6490">
        <v>2025</v>
      </c>
      <c r="B6490" t="s">
        <v>12921</v>
      </c>
      <c r="C6490" s="1">
        <v>45673</v>
      </c>
      <c r="D6490" t="s">
        <v>12922</v>
      </c>
      <c r="E6490" s="2">
        <v>1800</v>
      </c>
      <c r="G6490" s="3">
        <f>MONTH(Tabela1[[#This Row],[Último pagto ano]])</f>
        <v>1</v>
      </c>
      <c r="H6490" t="str">
        <f>TEXT(Tabela1[[#This Row],[Coluna2]]*29,"mmmm")</f>
        <v>janeiro</v>
      </c>
      <c r="I6490" t="str">
        <f>TEXT(MONTH(Tabela1[[#This Row],[Último pagto ano]])*29,"mmmm")</f>
        <v>janeiro</v>
      </c>
    </row>
    <row r="6491" spans="1:9" x14ac:dyDescent="0.25">
      <c r="A6491">
        <v>2025</v>
      </c>
      <c r="B6491" t="s">
        <v>12923</v>
      </c>
      <c r="C6491" s="1">
        <v>45971</v>
      </c>
      <c r="D6491" t="s">
        <v>12924</v>
      </c>
      <c r="E6491">
        <v>847</v>
      </c>
      <c r="G6491" s="3">
        <f>MONTH(Tabela1[[#This Row],[Último pagto ano]])</f>
        <v>11</v>
      </c>
      <c r="H6491" t="str">
        <f>TEXT(Tabela1[[#This Row],[Coluna2]]*29,"mmmm")</f>
        <v>novembro</v>
      </c>
      <c r="I6491" t="str">
        <f>TEXT(MONTH(Tabela1[[#This Row],[Último pagto ano]])*29,"mmmm")</f>
        <v>novembro</v>
      </c>
    </row>
    <row r="6492" spans="1:9" x14ac:dyDescent="0.25">
      <c r="A6492">
        <v>2025</v>
      </c>
      <c r="B6492" t="s">
        <v>12925</v>
      </c>
      <c r="C6492" s="1">
        <v>46014</v>
      </c>
      <c r="D6492" t="s">
        <v>12926</v>
      </c>
      <c r="E6492" s="2">
        <v>336328.99</v>
      </c>
      <c r="G6492" s="3">
        <f>MONTH(Tabela1[[#This Row],[Último pagto ano]])</f>
        <v>12</v>
      </c>
      <c r="H6492" t="str">
        <f>TEXT(Tabela1[[#This Row],[Coluna2]]*29,"mmmm")</f>
        <v>dezembro</v>
      </c>
      <c r="I6492" t="str">
        <f>TEXT(MONTH(Tabela1[[#This Row],[Último pagto ano]])*29,"mmmm")</f>
        <v>dezembro</v>
      </c>
    </row>
    <row r="6493" spans="1:9" x14ac:dyDescent="0.25">
      <c r="A6493">
        <v>2025</v>
      </c>
      <c r="B6493" t="s">
        <v>12927</v>
      </c>
      <c r="C6493" s="1">
        <v>46010</v>
      </c>
      <c r="D6493" t="s">
        <v>12928</v>
      </c>
      <c r="E6493" s="2">
        <v>24000</v>
      </c>
      <c r="G6493" s="3">
        <f>MONTH(Tabela1[[#This Row],[Último pagto ano]])</f>
        <v>12</v>
      </c>
      <c r="H6493" t="str">
        <f>TEXT(Tabela1[[#This Row],[Coluna2]]*29,"mmmm")</f>
        <v>dezembro</v>
      </c>
      <c r="I6493" t="str">
        <f>TEXT(MONTH(Tabela1[[#This Row],[Último pagto ano]])*29,"mmmm")</f>
        <v>dezembro</v>
      </c>
    </row>
    <row r="6494" spans="1:9" x14ac:dyDescent="0.25">
      <c r="A6494">
        <v>2025</v>
      </c>
      <c r="B6494" t="s">
        <v>12929</v>
      </c>
      <c r="C6494" s="1">
        <v>45744</v>
      </c>
      <c r="D6494" t="s">
        <v>12930</v>
      </c>
      <c r="E6494" s="2">
        <v>88495.88</v>
      </c>
      <c r="G6494" s="3">
        <f>MONTH(Tabela1[[#This Row],[Último pagto ano]])</f>
        <v>3</v>
      </c>
      <c r="H6494" t="str">
        <f>TEXT(Tabela1[[#This Row],[Coluna2]]*29,"mmmm")</f>
        <v>março</v>
      </c>
      <c r="I6494" t="str">
        <f>TEXT(MONTH(Tabela1[[#This Row],[Último pagto ano]])*29,"mmmm")</f>
        <v>março</v>
      </c>
    </row>
    <row r="6495" spans="1:9" x14ac:dyDescent="0.25">
      <c r="A6495">
        <v>2025</v>
      </c>
      <c r="B6495" t="s">
        <v>12931</v>
      </c>
      <c r="C6495" s="1">
        <v>45813</v>
      </c>
      <c r="D6495" t="s">
        <v>12932</v>
      </c>
      <c r="E6495" s="2">
        <v>40320</v>
      </c>
      <c r="G6495" s="3">
        <f>MONTH(Tabela1[[#This Row],[Último pagto ano]])</f>
        <v>6</v>
      </c>
      <c r="H6495" t="str">
        <f>TEXT(Tabela1[[#This Row],[Coluna2]]*29,"mmmm")</f>
        <v>junho</v>
      </c>
      <c r="I6495" t="str">
        <f>TEXT(MONTH(Tabela1[[#This Row],[Último pagto ano]])*29,"mmmm")</f>
        <v>junho</v>
      </c>
    </row>
    <row r="6496" spans="1:9" x14ac:dyDescent="0.25">
      <c r="A6496">
        <v>2025</v>
      </c>
      <c r="B6496" t="s">
        <v>12933</v>
      </c>
      <c r="C6496" s="1">
        <v>46010</v>
      </c>
      <c r="D6496" t="s">
        <v>12934</v>
      </c>
      <c r="E6496" s="2">
        <v>12000</v>
      </c>
      <c r="G6496" s="3">
        <f>MONTH(Tabela1[[#This Row],[Último pagto ano]])</f>
        <v>12</v>
      </c>
      <c r="H6496" t="str">
        <f>TEXT(Tabela1[[#This Row],[Coluna2]]*29,"mmmm")</f>
        <v>dezembro</v>
      </c>
      <c r="I6496" t="str">
        <f>TEXT(MONTH(Tabela1[[#This Row],[Último pagto ano]])*29,"mmmm")</f>
        <v>dezembro</v>
      </c>
    </row>
    <row r="6497" spans="1:9" x14ac:dyDescent="0.25">
      <c r="A6497">
        <v>2025</v>
      </c>
      <c r="B6497" t="s">
        <v>12935</v>
      </c>
      <c r="C6497" s="1">
        <v>45842</v>
      </c>
      <c r="D6497" t="s">
        <v>12936</v>
      </c>
      <c r="E6497">
        <v>5.22</v>
      </c>
      <c r="G6497" s="3">
        <f>MONTH(Tabela1[[#This Row],[Último pagto ano]])</f>
        <v>7</v>
      </c>
      <c r="H6497" t="str">
        <f>TEXT(Tabela1[[#This Row],[Coluna2]]*29,"mmmm")</f>
        <v>julho</v>
      </c>
      <c r="I6497" t="str">
        <f>TEXT(MONTH(Tabela1[[#This Row],[Último pagto ano]])*29,"mmmm")</f>
        <v>julho</v>
      </c>
    </row>
    <row r="6498" spans="1:9" x14ac:dyDescent="0.25">
      <c r="A6498">
        <v>2025</v>
      </c>
      <c r="B6498" t="s">
        <v>12937</v>
      </c>
      <c r="C6498" s="1">
        <v>46014</v>
      </c>
      <c r="D6498" t="s">
        <v>12938</v>
      </c>
      <c r="E6498" s="2">
        <v>91135.43</v>
      </c>
      <c r="G6498" s="3">
        <f>MONTH(Tabela1[[#This Row],[Último pagto ano]])</f>
        <v>12</v>
      </c>
      <c r="H6498" t="str">
        <f>TEXT(Tabela1[[#This Row],[Coluna2]]*29,"mmmm")</f>
        <v>dezembro</v>
      </c>
      <c r="I6498" t="str">
        <f>TEXT(MONTH(Tabela1[[#This Row],[Último pagto ano]])*29,"mmmm")</f>
        <v>dezembro</v>
      </c>
    </row>
    <row r="6499" spans="1:9" x14ac:dyDescent="0.25">
      <c r="A6499">
        <v>2025</v>
      </c>
      <c r="B6499" t="s">
        <v>12939</v>
      </c>
      <c r="C6499" s="1">
        <v>45964</v>
      </c>
      <c r="D6499" t="s">
        <v>12940</v>
      </c>
      <c r="E6499" s="2">
        <v>44838</v>
      </c>
      <c r="G6499" s="3">
        <f>MONTH(Tabela1[[#This Row],[Último pagto ano]])</f>
        <v>11</v>
      </c>
      <c r="H6499" t="str">
        <f>TEXT(Tabela1[[#This Row],[Coluna2]]*29,"mmmm")</f>
        <v>novembro</v>
      </c>
      <c r="I6499" t="str">
        <f>TEXT(MONTH(Tabela1[[#This Row],[Último pagto ano]])*29,"mmmm")</f>
        <v>novembro</v>
      </c>
    </row>
    <row r="6500" spans="1:9" x14ac:dyDescent="0.25">
      <c r="A6500">
        <v>2025</v>
      </c>
      <c r="B6500" t="s">
        <v>12941</v>
      </c>
      <c r="C6500" s="1">
        <v>45796</v>
      </c>
      <c r="D6500" t="s">
        <v>12942</v>
      </c>
      <c r="E6500" s="2">
        <v>16746.990000000002</v>
      </c>
      <c r="G6500" s="3">
        <f>MONTH(Tabela1[[#This Row],[Último pagto ano]])</f>
        <v>5</v>
      </c>
      <c r="H6500" t="str">
        <f>TEXT(Tabela1[[#This Row],[Coluna2]]*29,"mmmm")</f>
        <v>maio</v>
      </c>
      <c r="I6500" t="str">
        <f>TEXT(MONTH(Tabela1[[#This Row],[Último pagto ano]])*29,"mmmm")</f>
        <v>maio</v>
      </c>
    </row>
    <row r="6501" spans="1:9" x14ac:dyDescent="0.25">
      <c r="A6501">
        <v>2025</v>
      </c>
      <c r="B6501" t="s">
        <v>12943</v>
      </c>
      <c r="C6501" s="1">
        <v>46021</v>
      </c>
      <c r="D6501" t="s">
        <v>12944</v>
      </c>
      <c r="E6501" s="2">
        <v>355042.2</v>
      </c>
      <c r="G6501" s="3">
        <f>MONTH(Tabela1[[#This Row],[Último pagto ano]])</f>
        <v>12</v>
      </c>
      <c r="H6501" t="str">
        <f>TEXT(Tabela1[[#This Row],[Coluna2]]*29,"mmmm")</f>
        <v>dezembro</v>
      </c>
      <c r="I6501" t="str">
        <f>TEXT(MONTH(Tabela1[[#This Row],[Último pagto ano]])*29,"mmmm")</f>
        <v>dezembro</v>
      </c>
    </row>
    <row r="6502" spans="1:9" x14ac:dyDescent="0.25">
      <c r="A6502">
        <v>2025</v>
      </c>
      <c r="B6502" t="s">
        <v>12945</v>
      </c>
      <c r="C6502" s="1">
        <v>46014</v>
      </c>
      <c r="D6502" t="s">
        <v>12946</v>
      </c>
      <c r="E6502" s="2">
        <v>99673</v>
      </c>
      <c r="G6502" s="3">
        <f>MONTH(Tabela1[[#This Row],[Último pagto ano]])</f>
        <v>12</v>
      </c>
      <c r="H6502" t="str">
        <f>TEXT(Tabela1[[#This Row],[Coluna2]]*29,"mmmm")</f>
        <v>dezembro</v>
      </c>
      <c r="I6502" t="str">
        <f>TEXT(MONTH(Tabela1[[#This Row],[Último pagto ano]])*29,"mmmm")</f>
        <v>dezembro</v>
      </c>
    </row>
    <row r="6503" spans="1:9" x14ac:dyDescent="0.25">
      <c r="A6503">
        <v>2025</v>
      </c>
      <c r="B6503" t="s">
        <v>12947</v>
      </c>
      <c r="C6503" s="1">
        <v>46014</v>
      </c>
      <c r="D6503" t="s">
        <v>12948</v>
      </c>
      <c r="E6503" s="2">
        <v>525279.69999999995</v>
      </c>
      <c r="G6503" s="3">
        <f>MONTH(Tabela1[[#This Row],[Último pagto ano]])</f>
        <v>12</v>
      </c>
      <c r="H6503" t="str">
        <f>TEXT(Tabela1[[#This Row],[Coluna2]]*29,"mmmm")</f>
        <v>dezembro</v>
      </c>
      <c r="I6503" t="str">
        <f>TEXT(MONTH(Tabela1[[#This Row],[Último pagto ano]])*29,"mmmm")</f>
        <v>dezembro</v>
      </c>
    </row>
    <row r="6504" spans="1:9" x14ac:dyDescent="0.25">
      <c r="A6504">
        <v>2025</v>
      </c>
      <c r="B6504" t="s">
        <v>12949</v>
      </c>
      <c r="C6504" s="1">
        <v>46009</v>
      </c>
      <c r="D6504" t="s">
        <v>12950</v>
      </c>
      <c r="E6504" s="2">
        <v>54737</v>
      </c>
      <c r="G6504" s="3">
        <f>MONTH(Tabela1[[#This Row],[Último pagto ano]])</f>
        <v>12</v>
      </c>
      <c r="H6504" t="str">
        <f>TEXT(Tabela1[[#This Row],[Coluna2]]*29,"mmmm")</f>
        <v>dezembro</v>
      </c>
      <c r="I6504" t="str">
        <f>TEXT(MONTH(Tabela1[[#This Row],[Último pagto ano]])*29,"mmmm")</f>
        <v>dezembro</v>
      </c>
    </row>
    <row r="6505" spans="1:9" x14ac:dyDescent="0.25">
      <c r="A6505">
        <v>2025</v>
      </c>
      <c r="B6505" t="s">
        <v>12951</v>
      </c>
      <c r="C6505" s="1">
        <v>46014</v>
      </c>
      <c r="D6505" t="s">
        <v>12952</v>
      </c>
      <c r="E6505" s="2">
        <v>18964.919999999998</v>
      </c>
      <c r="G6505" s="3">
        <f>MONTH(Tabela1[[#This Row],[Último pagto ano]])</f>
        <v>12</v>
      </c>
      <c r="H6505" t="str">
        <f>TEXT(Tabela1[[#This Row],[Coluna2]]*29,"mmmm")</f>
        <v>dezembro</v>
      </c>
      <c r="I6505" t="str">
        <f>TEXT(MONTH(Tabela1[[#This Row],[Último pagto ano]])*29,"mmmm")</f>
        <v>dezembro</v>
      </c>
    </row>
    <row r="6506" spans="1:9" x14ac:dyDescent="0.25">
      <c r="A6506">
        <v>2025</v>
      </c>
      <c r="B6506" t="s">
        <v>12953</v>
      </c>
      <c r="C6506" s="1">
        <v>46010</v>
      </c>
      <c r="D6506" t="s">
        <v>12954</v>
      </c>
      <c r="E6506" s="2">
        <v>33800</v>
      </c>
      <c r="G6506" s="3">
        <f>MONTH(Tabela1[[#This Row],[Último pagto ano]])</f>
        <v>12</v>
      </c>
      <c r="H6506" t="str">
        <f>TEXT(Tabela1[[#This Row],[Coluna2]]*29,"mmmm")</f>
        <v>dezembro</v>
      </c>
      <c r="I6506" t="str">
        <f>TEXT(MONTH(Tabela1[[#This Row],[Último pagto ano]])*29,"mmmm")</f>
        <v>dezembro</v>
      </c>
    </row>
    <row r="6507" spans="1:9" x14ac:dyDescent="0.25">
      <c r="A6507">
        <v>2025</v>
      </c>
      <c r="B6507" t="s">
        <v>12955</v>
      </c>
      <c r="C6507" s="1">
        <v>45863</v>
      </c>
      <c r="D6507" t="s">
        <v>12956</v>
      </c>
      <c r="E6507" s="2">
        <v>4900</v>
      </c>
      <c r="G6507" s="3">
        <f>MONTH(Tabela1[[#This Row],[Último pagto ano]])</f>
        <v>7</v>
      </c>
      <c r="H6507" t="str">
        <f>TEXT(Tabela1[[#This Row],[Coluna2]]*29,"mmmm")</f>
        <v>julho</v>
      </c>
      <c r="I6507" t="str">
        <f>TEXT(MONTH(Tabela1[[#This Row],[Último pagto ano]])*29,"mmmm")</f>
        <v>julho</v>
      </c>
    </row>
    <row r="6508" spans="1:9" x14ac:dyDescent="0.25">
      <c r="A6508">
        <v>2025</v>
      </c>
      <c r="B6508" t="s">
        <v>12957</v>
      </c>
      <c r="C6508" s="1">
        <v>45985</v>
      </c>
      <c r="D6508" t="s">
        <v>12958</v>
      </c>
      <c r="E6508" s="2">
        <v>206879.8</v>
      </c>
      <c r="G6508" s="3">
        <f>MONTH(Tabela1[[#This Row],[Último pagto ano]])</f>
        <v>11</v>
      </c>
      <c r="H6508" t="str">
        <f>TEXT(Tabela1[[#This Row],[Coluna2]]*29,"mmmm")</f>
        <v>novembro</v>
      </c>
      <c r="I6508" t="str">
        <f>TEXT(MONTH(Tabela1[[#This Row],[Último pagto ano]])*29,"mmmm")</f>
        <v>novembro</v>
      </c>
    </row>
    <row r="6509" spans="1:9" x14ac:dyDescent="0.25">
      <c r="A6509">
        <v>2025</v>
      </c>
      <c r="B6509" t="s">
        <v>12959</v>
      </c>
      <c r="C6509" s="1">
        <v>46014</v>
      </c>
      <c r="D6509" t="s">
        <v>12960</v>
      </c>
      <c r="E6509" s="2">
        <v>259823.56</v>
      </c>
      <c r="G6509" s="3">
        <f>MONTH(Tabela1[[#This Row],[Último pagto ano]])</f>
        <v>12</v>
      </c>
      <c r="H6509" t="str">
        <f>TEXT(Tabela1[[#This Row],[Coluna2]]*29,"mmmm")</f>
        <v>dezembro</v>
      </c>
      <c r="I6509" t="str">
        <f>TEXT(MONTH(Tabela1[[#This Row],[Último pagto ano]])*29,"mmmm")</f>
        <v>dezembro</v>
      </c>
    </row>
    <row r="6510" spans="1:9" x14ac:dyDescent="0.25">
      <c r="A6510">
        <v>2025</v>
      </c>
      <c r="B6510" t="s">
        <v>12961</v>
      </c>
      <c r="C6510" s="1">
        <v>45919</v>
      </c>
      <c r="D6510" t="s">
        <v>12962</v>
      </c>
      <c r="E6510" s="2">
        <v>2429.3000000000002</v>
      </c>
      <c r="G6510" s="3">
        <f>MONTH(Tabela1[[#This Row],[Último pagto ano]])</f>
        <v>9</v>
      </c>
      <c r="H6510" t="str">
        <f>TEXT(Tabela1[[#This Row],[Coluna2]]*29,"mmmm")</f>
        <v>setembro</v>
      </c>
      <c r="I6510" t="str">
        <f>TEXT(MONTH(Tabela1[[#This Row],[Último pagto ano]])*29,"mmmm")</f>
        <v>setembro</v>
      </c>
    </row>
    <row r="6511" spans="1:9" x14ac:dyDescent="0.25">
      <c r="A6511">
        <v>2025</v>
      </c>
      <c r="B6511" t="s">
        <v>12963</v>
      </c>
      <c r="C6511" s="1">
        <v>45968</v>
      </c>
      <c r="D6511" t="s">
        <v>12964</v>
      </c>
      <c r="E6511" s="2">
        <v>1054775.06</v>
      </c>
      <c r="G6511" s="3">
        <f>MONTH(Tabela1[[#This Row],[Último pagto ano]])</f>
        <v>11</v>
      </c>
      <c r="H6511" t="str">
        <f>TEXT(Tabela1[[#This Row],[Coluna2]]*29,"mmmm")</f>
        <v>novembro</v>
      </c>
      <c r="I6511" t="str">
        <f>TEXT(MONTH(Tabela1[[#This Row],[Último pagto ano]])*29,"mmmm")</f>
        <v>novembro</v>
      </c>
    </row>
    <row r="6512" spans="1:9" x14ac:dyDescent="0.25">
      <c r="A6512">
        <v>2025</v>
      </c>
      <c r="B6512" t="s">
        <v>12965</v>
      </c>
      <c r="C6512" s="1">
        <v>45848</v>
      </c>
      <c r="D6512" t="s">
        <v>12966</v>
      </c>
      <c r="E6512" s="2">
        <v>647200</v>
      </c>
      <c r="G6512" s="3">
        <f>MONTH(Tabela1[[#This Row],[Último pagto ano]])</f>
        <v>7</v>
      </c>
      <c r="H6512" t="str">
        <f>TEXT(Tabela1[[#This Row],[Coluna2]]*29,"mmmm")</f>
        <v>julho</v>
      </c>
      <c r="I6512" t="str">
        <f>TEXT(MONTH(Tabela1[[#This Row],[Último pagto ano]])*29,"mmmm")</f>
        <v>julho</v>
      </c>
    </row>
    <row r="6513" spans="1:9" x14ac:dyDescent="0.25">
      <c r="A6513">
        <v>2025</v>
      </c>
      <c r="B6513" t="s">
        <v>12967</v>
      </c>
      <c r="C6513" s="1">
        <v>45835</v>
      </c>
      <c r="D6513" t="s">
        <v>12968</v>
      </c>
      <c r="E6513">
        <v>1.57</v>
      </c>
      <c r="G6513" s="3">
        <f>MONTH(Tabela1[[#This Row],[Último pagto ano]])</f>
        <v>6</v>
      </c>
      <c r="H6513" t="str">
        <f>TEXT(Tabela1[[#This Row],[Coluna2]]*29,"mmmm")</f>
        <v>junho</v>
      </c>
      <c r="I6513" t="str">
        <f>TEXT(MONTH(Tabela1[[#This Row],[Último pagto ano]])*29,"mmmm")</f>
        <v>junho</v>
      </c>
    </row>
    <row r="6514" spans="1:9" x14ac:dyDescent="0.25">
      <c r="A6514">
        <v>2025</v>
      </c>
      <c r="B6514" t="s">
        <v>12969</v>
      </c>
      <c r="C6514" s="1">
        <v>45959</v>
      </c>
      <c r="D6514" t="s">
        <v>12970</v>
      </c>
      <c r="E6514">
        <v>94</v>
      </c>
      <c r="G6514" s="3">
        <f>MONTH(Tabela1[[#This Row],[Último pagto ano]])</f>
        <v>10</v>
      </c>
      <c r="H6514" t="str">
        <f>TEXT(Tabela1[[#This Row],[Coluna2]]*29,"mmmm")</f>
        <v>outubro</v>
      </c>
      <c r="I6514" t="str">
        <f>TEXT(MONTH(Tabela1[[#This Row],[Último pagto ano]])*29,"mmmm")</f>
        <v>outubro</v>
      </c>
    </row>
    <row r="6515" spans="1:9" x14ac:dyDescent="0.25">
      <c r="A6515">
        <v>2025</v>
      </c>
      <c r="B6515" t="s">
        <v>12971</v>
      </c>
      <c r="C6515" s="1">
        <v>46014</v>
      </c>
      <c r="D6515" t="s">
        <v>12972</v>
      </c>
      <c r="E6515">
        <v>502.2</v>
      </c>
      <c r="G6515" s="3">
        <f>MONTH(Tabela1[[#This Row],[Último pagto ano]])</f>
        <v>12</v>
      </c>
      <c r="H6515" t="str">
        <f>TEXT(Tabela1[[#This Row],[Coluna2]]*29,"mmmm")</f>
        <v>dezembro</v>
      </c>
      <c r="I6515" t="str">
        <f>TEXT(MONTH(Tabela1[[#This Row],[Último pagto ano]])*29,"mmmm")</f>
        <v>dezembro</v>
      </c>
    </row>
    <row r="6516" spans="1:9" x14ac:dyDescent="0.25">
      <c r="A6516">
        <v>2025</v>
      </c>
      <c r="B6516" t="s">
        <v>12973</v>
      </c>
      <c r="C6516" s="1">
        <v>45985</v>
      </c>
      <c r="D6516" t="s">
        <v>12974</v>
      </c>
      <c r="E6516" s="2">
        <v>2112</v>
      </c>
      <c r="G6516" s="3">
        <f>MONTH(Tabela1[[#This Row],[Último pagto ano]])</f>
        <v>11</v>
      </c>
      <c r="H6516" t="str">
        <f>TEXT(Tabela1[[#This Row],[Coluna2]]*29,"mmmm")</f>
        <v>novembro</v>
      </c>
      <c r="I6516" t="str">
        <f>TEXT(MONTH(Tabela1[[#This Row],[Último pagto ano]])*29,"mmmm")</f>
        <v>novembro</v>
      </c>
    </row>
    <row r="6517" spans="1:9" x14ac:dyDescent="0.25">
      <c r="A6517">
        <v>2025</v>
      </c>
      <c r="B6517" t="s">
        <v>12975</v>
      </c>
      <c r="C6517" s="1">
        <v>46006</v>
      </c>
      <c r="D6517" t="s">
        <v>12976</v>
      </c>
      <c r="E6517" s="2">
        <v>1326844.2</v>
      </c>
      <c r="G6517" s="3">
        <f>MONTH(Tabela1[[#This Row],[Último pagto ano]])</f>
        <v>12</v>
      </c>
      <c r="H6517" t="str">
        <f>TEXT(Tabela1[[#This Row],[Coluna2]]*29,"mmmm")</f>
        <v>dezembro</v>
      </c>
      <c r="I6517" t="str">
        <f>TEXT(MONTH(Tabela1[[#This Row],[Último pagto ano]])*29,"mmmm")</f>
        <v>dezembro</v>
      </c>
    </row>
    <row r="6518" spans="1:9" x14ac:dyDescent="0.25">
      <c r="A6518">
        <v>2025</v>
      </c>
      <c r="B6518" t="s">
        <v>12977</v>
      </c>
      <c r="C6518" s="1">
        <v>45992</v>
      </c>
      <c r="D6518" t="s">
        <v>12978</v>
      </c>
      <c r="E6518" s="2">
        <v>3086645.76</v>
      </c>
      <c r="G6518" s="3">
        <f>MONTH(Tabela1[[#This Row],[Último pagto ano]])</f>
        <v>12</v>
      </c>
      <c r="H6518" t="str">
        <f>TEXT(Tabela1[[#This Row],[Coluna2]]*29,"mmmm")</f>
        <v>dezembro</v>
      </c>
      <c r="I6518" t="str">
        <f>TEXT(MONTH(Tabela1[[#This Row],[Último pagto ano]])*29,"mmmm")</f>
        <v>dezembro</v>
      </c>
    </row>
    <row r="6519" spans="1:9" x14ac:dyDescent="0.25">
      <c r="A6519">
        <v>2025</v>
      </c>
      <c r="B6519" t="s">
        <v>12979</v>
      </c>
      <c r="C6519" s="1">
        <v>45667</v>
      </c>
      <c r="D6519" t="s">
        <v>12980</v>
      </c>
      <c r="E6519" s="2">
        <v>65784.92</v>
      </c>
      <c r="G6519" s="3">
        <f>MONTH(Tabela1[[#This Row],[Último pagto ano]])</f>
        <v>1</v>
      </c>
      <c r="H6519" t="str">
        <f>TEXT(Tabela1[[#This Row],[Coluna2]]*29,"mmmm")</f>
        <v>janeiro</v>
      </c>
      <c r="I6519" t="str">
        <f>TEXT(MONTH(Tabela1[[#This Row],[Último pagto ano]])*29,"mmmm")</f>
        <v>janeiro</v>
      </c>
    </row>
    <row r="6520" spans="1:9" x14ac:dyDescent="0.25">
      <c r="A6520">
        <v>2025</v>
      </c>
      <c r="B6520" t="s">
        <v>12981</v>
      </c>
      <c r="C6520" s="1">
        <v>45999</v>
      </c>
      <c r="D6520" t="s">
        <v>12982</v>
      </c>
      <c r="E6520" s="2">
        <v>528903.67000000004</v>
      </c>
      <c r="G6520" s="3">
        <f>MONTH(Tabela1[[#This Row],[Último pagto ano]])</f>
        <v>12</v>
      </c>
      <c r="H6520" t="str">
        <f>TEXT(Tabela1[[#This Row],[Coluna2]]*29,"mmmm")</f>
        <v>dezembro</v>
      </c>
      <c r="I6520" t="str">
        <f>TEXT(MONTH(Tabela1[[#This Row],[Último pagto ano]])*29,"mmmm")</f>
        <v>dezembro</v>
      </c>
    </row>
    <row r="6521" spans="1:9" x14ac:dyDescent="0.25">
      <c r="A6521">
        <v>2025</v>
      </c>
      <c r="B6521" t="s">
        <v>12983</v>
      </c>
      <c r="C6521" s="1">
        <v>45999</v>
      </c>
      <c r="D6521" t="s">
        <v>12984</v>
      </c>
      <c r="E6521" s="2">
        <v>246921.42</v>
      </c>
      <c r="G6521" s="3">
        <f>MONTH(Tabela1[[#This Row],[Último pagto ano]])</f>
        <v>12</v>
      </c>
      <c r="H6521" t="str">
        <f>TEXT(Tabela1[[#This Row],[Coluna2]]*29,"mmmm")</f>
        <v>dezembro</v>
      </c>
      <c r="I6521" t="str">
        <f>TEXT(MONTH(Tabela1[[#This Row],[Último pagto ano]])*29,"mmmm")</f>
        <v>dezembro</v>
      </c>
    </row>
    <row r="6522" spans="1:9" x14ac:dyDescent="0.25">
      <c r="A6522">
        <v>2025</v>
      </c>
      <c r="B6522" t="s">
        <v>12985</v>
      </c>
      <c r="C6522" s="1">
        <v>45999</v>
      </c>
      <c r="D6522" t="s">
        <v>12986</v>
      </c>
      <c r="E6522" s="2">
        <v>2107007.7200000002</v>
      </c>
      <c r="G6522" s="3">
        <f>MONTH(Tabela1[[#This Row],[Último pagto ano]])</f>
        <v>12</v>
      </c>
      <c r="H6522" t="str">
        <f>TEXT(Tabela1[[#This Row],[Coluna2]]*29,"mmmm")</f>
        <v>dezembro</v>
      </c>
      <c r="I6522" t="str">
        <f>TEXT(MONTH(Tabela1[[#This Row],[Último pagto ano]])*29,"mmmm")</f>
        <v>dezembro</v>
      </c>
    </row>
    <row r="6523" spans="1:9" x14ac:dyDescent="0.25">
      <c r="A6523">
        <v>2025</v>
      </c>
      <c r="B6523" t="s">
        <v>12987</v>
      </c>
      <c r="C6523" s="1">
        <v>46014</v>
      </c>
      <c r="D6523" t="s">
        <v>12988</v>
      </c>
      <c r="E6523" s="2">
        <v>315411</v>
      </c>
      <c r="G6523" s="3">
        <f>MONTH(Tabela1[[#This Row],[Último pagto ano]])</f>
        <v>12</v>
      </c>
      <c r="H6523" t="str">
        <f>TEXT(Tabela1[[#This Row],[Coluna2]]*29,"mmmm")</f>
        <v>dezembro</v>
      </c>
      <c r="I6523" t="str">
        <f>TEXT(MONTH(Tabela1[[#This Row],[Último pagto ano]])*29,"mmmm")</f>
        <v>dezembro</v>
      </c>
    </row>
    <row r="6524" spans="1:9" x14ac:dyDescent="0.25">
      <c r="A6524">
        <v>2025</v>
      </c>
      <c r="B6524" t="s">
        <v>12989</v>
      </c>
      <c r="C6524" s="1">
        <v>46021</v>
      </c>
      <c r="D6524" t="s">
        <v>12990</v>
      </c>
      <c r="E6524" s="2">
        <v>9000</v>
      </c>
      <c r="G6524" s="3">
        <f>MONTH(Tabela1[[#This Row],[Último pagto ano]])</f>
        <v>12</v>
      </c>
      <c r="H6524" t="str">
        <f>TEXT(Tabela1[[#This Row],[Coluna2]]*29,"mmmm")</f>
        <v>dezembro</v>
      </c>
      <c r="I6524" t="str">
        <f>TEXT(MONTH(Tabela1[[#This Row],[Último pagto ano]])*29,"mmmm")</f>
        <v>dezembro</v>
      </c>
    </row>
    <row r="6525" spans="1:9" x14ac:dyDescent="0.25">
      <c r="A6525">
        <v>2025</v>
      </c>
      <c r="B6525" t="s">
        <v>12991</v>
      </c>
      <c r="C6525" s="1">
        <v>46014</v>
      </c>
      <c r="D6525" t="s">
        <v>12992</v>
      </c>
      <c r="E6525" s="2">
        <v>211163.28</v>
      </c>
      <c r="G6525" s="3">
        <f>MONTH(Tabela1[[#This Row],[Último pagto ano]])</f>
        <v>12</v>
      </c>
      <c r="H6525" t="str">
        <f>TEXT(Tabela1[[#This Row],[Coluna2]]*29,"mmmm")</f>
        <v>dezembro</v>
      </c>
      <c r="I6525" t="str">
        <f>TEXT(MONTH(Tabela1[[#This Row],[Último pagto ano]])*29,"mmmm")</f>
        <v>dezembro</v>
      </c>
    </row>
    <row r="6526" spans="1:9" x14ac:dyDescent="0.25">
      <c r="A6526">
        <v>2025</v>
      </c>
      <c r="B6526" t="s">
        <v>12993</v>
      </c>
      <c r="C6526" s="1">
        <v>45740</v>
      </c>
      <c r="D6526" t="s">
        <v>12994</v>
      </c>
      <c r="E6526">
        <v>4.91</v>
      </c>
      <c r="G6526" s="3">
        <f>MONTH(Tabela1[[#This Row],[Último pagto ano]])</f>
        <v>3</v>
      </c>
      <c r="H6526" t="str">
        <f>TEXT(Tabela1[[#This Row],[Coluna2]]*29,"mmmm")</f>
        <v>março</v>
      </c>
      <c r="I6526" t="str">
        <f>TEXT(MONTH(Tabela1[[#This Row],[Último pagto ano]])*29,"mmmm")</f>
        <v>março</v>
      </c>
    </row>
    <row r="6527" spans="1:9" x14ac:dyDescent="0.25">
      <c r="A6527">
        <v>2025</v>
      </c>
      <c r="B6527" t="s">
        <v>12995</v>
      </c>
      <c r="C6527" s="1">
        <v>46014</v>
      </c>
      <c r="D6527" t="s">
        <v>12996</v>
      </c>
      <c r="E6527" s="2">
        <v>338024.48</v>
      </c>
      <c r="G6527" s="3">
        <f>MONTH(Tabela1[[#This Row],[Último pagto ano]])</f>
        <v>12</v>
      </c>
      <c r="H6527" t="str">
        <f>TEXT(Tabela1[[#This Row],[Coluna2]]*29,"mmmm")</f>
        <v>dezembro</v>
      </c>
      <c r="I6527" t="str">
        <f>TEXT(MONTH(Tabela1[[#This Row],[Último pagto ano]])*29,"mmmm")</f>
        <v>dezembro</v>
      </c>
    </row>
    <row r="6528" spans="1:9" x14ac:dyDescent="0.25">
      <c r="A6528">
        <v>2025</v>
      </c>
      <c r="B6528" t="s">
        <v>12997</v>
      </c>
      <c r="C6528" s="1">
        <v>45733</v>
      </c>
      <c r="D6528" t="s">
        <v>12998</v>
      </c>
      <c r="E6528" s="2">
        <v>4607.76</v>
      </c>
      <c r="G6528" s="3">
        <f>MONTH(Tabela1[[#This Row],[Último pagto ano]])</f>
        <v>3</v>
      </c>
      <c r="H6528" t="str">
        <f>TEXT(Tabela1[[#This Row],[Coluna2]]*29,"mmmm")</f>
        <v>março</v>
      </c>
      <c r="I6528" t="str">
        <f>TEXT(MONTH(Tabela1[[#This Row],[Último pagto ano]])*29,"mmmm")</f>
        <v>março</v>
      </c>
    </row>
    <row r="6529" spans="1:9" x14ac:dyDescent="0.25">
      <c r="A6529">
        <v>2025</v>
      </c>
      <c r="B6529" t="s">
        <v>12999</v>
      </c>
      <c r="C6529" s="1">
        <v>46006</v>
      </c>
      <c r="D6529" t="s">
        <v>13000</v>
      </c>
      <c r="E6529">
        <v>217.8</v>
      </c>
      <c r="G6529" s="3">
        <f>MONTH(Tabela1[[#This Row],[Último pagto ano]])</f>
        <v>12</v>
      </c>
      <c r="H6529" t="str">
        <f>TEXT(Tabela1[[#This Row],[Coluna2]]*29,"mmmm")</f>
        <v>dezembro</v>
      </c>
      <c r="I6529" t="str">
        <f>TEXT(MONTH(Tabela1[[#This Row],[Último pagto ano]])*29,"mmmm")</f>
        <v>dezembro</v>
      </c>
    </row>
    <row r="6530" spans="1:9" x14ac:dyDescent="0.25">
      <c r="A6530">
        <v>2025</v>
      </c>
      <c r="B6530" t="s">
        <v>13001</v>
      </c>
      <c r="C6530" s="1">
        <v>45691</v>
      </c>
      <c r="D6530" t="s">
        <v>13002</v>
      </c>
      <c r="E6530">
        <v>11</v>
      </c>
      <c r="G6530" s="3">
        <f>MONTH(Tabela1[[#This Row],[Último pagto ano]])</f>
        <v>2</v>
      </c>
      <c r="H6530" t="str">
        <f>TEXT(Tabela1[[#This Row],[Coluna2]]*29,"mmmm")</f>
        <v>fevereiro</v>
      </c>
      <c r="I6530" t="str">
        <f>TEXT(MONTH(Tabela1[[#This Row],[Último pagto ano]])*29,"mmmm")</f>
        <v>fevereiro</v>
      </c>
    </row>
    <row r="6531" spans="1:9" x14ac:dyDescent="0.25">
      <c r="A6531">
        <v>2025</v>
      </c>
      <c r="B6531" t="s">
        <v>13003</v>
      </c>
      <c r="C6531" s="1">
        <v>45985</v>
      </c>
      <c r="D6531" t="s">
        <v>13004</v>
      </c>
      <c r="E6531">
        <v>77</v>
      </c>
      <c r="G6531" s="3">
        <f>MONTH(Tabela1[[#This Row],[Último pagto ano]])</f>
        <v>11</v>
      </c>
      <c r="H6531" t="str">
        <f>TEXT(Tabela1[[#This Row],[Coluna2]]*29,"mmmm")</f>
        <v>novembro</v>
      </c>
      <c r="I6531" t="str">
        <f>TEXT(MONTH(Tabela1[[#This Row],[Último pagto ano]])*29,"mmmm")</f>
        <v>novembro</v>
      </c>
    </row>
    <row r="6532" spans="1:9" x14ac:dyDescent="0.25">
      <c r="A6532">
        <v>2025</v>
      </c>
      <c r="B6532" t="s">
        <v>13005</v>
      </c>
      <c r="C6532" s="1">
        <v>45817</v>
      </c>
      <c r="D6532" t="s">
        <v>13006</v>
      </c>
      <c r="E6532">
        <v>14.8</v>
      </c>
      <c r="G6532" s="3">
        <f>MONTH(Tabela1[[#This Row],[Último pagto ano]])</f>
        <v>6</v>
      </c>
      <c r="H6532" t="str">
        <f>TEXT(Tabela1[[#This Row],[Coluna2]]*29,"mmmm")</f>
        <v>junho</v>
      </c>
      <c r="I6532" t="str">
        <f>TEXT(MONTH(Tabela1[[#This Row],[Último pagto ano]])*29,"mmmm")</f>
        <v>junho</v>
      </c>
    </row>
    <row r="6533" spans="1:9" x14ac:dyDescent="0.25">
      <c r="A6533">
        <v>2025</v>
      </c>
      <c r="B6533" t="s">
        <v>13007</v>
      </c>
      <c r="C6533" s="1">
        <v>46006</v>
      </c>
      <c r="D6533" t="s">
        <v>13008</v>
      </c>
      <c r="E6533" s="2">
        <v>2000</v>
      </c>
      <c r="G6533" s="3">
        <f>MONTH(Tabela1[[#This Row],[Último pagto ano]])</f>
        <v>12</v>
      </c>
      <c r="H6533" t="str">
        <f>TEXT(Tabela1[[#This Row],[Coluna2]]*29,"mmmm")</f>
        <v>dezembro</v>
      </c>
      <c r="I6533" t="str">
        <f>TEXT(MONTH(Tabela1[[#This Row],[Último pagto ano]])*29,"mmmm")</f>
        <v>dezembro</v>
      </c>
    </row>
    <row r="6534" spans="1:9" x14ac:dyDescent="0.25">
      <c r="A6534">
        <v>2025</v>
      </c>
      <c r="B6534" t="s">
        <v>13009</v>
      </c>
      <c r="C6534" s="1">
        <v>45964</v>
      </c>
      <c r="D6534" t="s">
        <v>13010</v>
      </c>
      <c r="E6534">
        <v>187</v>
      </c>
      <c r="G6534" s="3">
        <f>MONTH(Tabela1[[#This Row],[Último pagto ano]])</f>
        <v>11</v>
      </c>
      <c r="H6534" t="str">
        <f>TEXT(Tabela1[[#This Row],[Coluna2]]*29,"mmmm")</f>
        <v>novembro</v>
      </c>
      <c r="I6534" t="str">
        <f>TEXT(MONTH(Tabela1[[#This Row],[Último pagto ano]])*29,"mmmm")</f>
        <v>novembro</v>
      </c>
    </row>
    <row r="6535" spans="1:9" x14ac:dyDescent="0.25">
      <c r="A6535">
        <v>2025</v>
      </c>
      <c r="B6535" t="s">
        <v>13011</v>
      </c>
      <c r="C6535" s="1">
        <v>46003</v>
      </c>
      <c r="D6535" t="s">
        <v>13012</v>
      </c>
      <c r="E6535" s="2">
        <v>48750</v>
      </c>
      <c r="G6535" s="3">
        <f>MONTH(Tabela1[[#This Row],[Último pagto ano]])</f>
        <v>12</v>
      </c>
      <c r="H6535" t="str">
        <f>TEXT(Tabela1[[#This Row],[Coluna2]]*29,"mmmm")</f>
        <v>dezembro</v>
      </c>
      <c r="I6535" t="str">
        <f>TEXT(MONTH(Tabela1[[#This Row],[Último pagto ano]])*29,"mmmm")</f>
        <v>dezembro</v>
      </c>
    </row>
    <row r="6536" spans="1:9" x14ac:dyDescent="0.25">
      <c r="A6536">
        <v>2025</v>
      </c>
      <c r="B6536" t="s">
        <v>13013</v>
      </c>
      <c r="C6536" s="1">
        <v>45903</v>
      </c>
      <c r="D6536" t="s">
        <v>13014</v>
      </c>
      <c r="E6536" s="2">
        <v>3375.92</v>
      </c>
      <c r="G6536" s="3">
        <f>MONTH(Tabela1[[#This Row],[Último pagto ano]])</f>
        <v>9</v>
      </c>
      <c r="H6536" t="str">
        <f>TEXT(Tabela1[[#This Row],[Coluna2]]*29,"mmmm")</f>
        <v>setembro</v>
      </c>
      <c r="I6536" t="str">
        <f>TEXT(MONTH(Tabela1[[#This Row],[Último pagto ano]])*29,"mmmm")</f>
        <v>setembro</v>
      </c>
    </row>
    <row r="6537" spans="1:9" x14ac:dyDescent="0.25">
      <c r="A6537">
        <v>2025</v>
      </c>
      <c r="B6537" t="s">
        <v>13015</v>
      </c>
      <c r="C6537" s="1">
        <v>45915</v>
      </c>
      <c r="D6537" t="s">
        <v>13016</v>
      </c>
      <c r="E6537" s="2">
        <v>34800</v>
      </c>
      <c r="G6537" s="3">
        <f>MONTH(Tabela1[[#This Row],[Último pagto ano]])</f>
        <v>9</v>
      </c>
      <c r="H6537" t="str">
        <f>TEXT(Tabela1[[#This Row],[Coluna2]]*29,"mmmm")</f>
        <v>setembro</v>
      </c>
      <c r="I6537" t="str">
        <f>TEXT(MONTH(Tabela1[[#This Row],[Último pagto ano]])*29,"mmmm")</f>
        <v>setembro</v>
      </c>
    </row>
    <row r="6538" spans="1:9" x14ac:dyDescent="0.25">
      <c r="A6538">
        <v>2025</v>
      </c>
      <c r="B6538" t="s">
        <v>13017</v>
      </c>
      <c r="C6538" s="1">
        <v>45961</v>
      </c>
      <c r="D6538" t="s">
        <v>13018</v>
      </c>
      <c r="E6538" s="2">
        <v>44468.87</v>
      </c>
      <c r="G6538" s="3">
        <f>MONTH(Tabela1[[#This Row],[Último pagto ano]])</f>
        <v>10</v>
      </c>
      <c r="H6538" t="str">
        <f>TEXT(Tabela1[[#This Row],[Coluna2]]*29,"mmmm")</f>
        <v>outubro</v>
      </c>
      <c r="I6538" t="str">
        <f>TEXT(MONTH(Tabela1[[#This Row],[Último pagto ano]])*29,"mmmm")</f>
        <v>outubro</v>
      </c>
    </row>
    <row r="6539" spans="1:9" x14ac:dyDescent="0.25">
      <c r="A6539">
        <v>2025</v>
      </c>
      <c r="B6539" t="s">
        <v>13019</v>
      </c>
      <c r="C6539" s="1">
        <v>45965</v>
      </c>
      <c r="D6539" t="s">
        <v>13020</v>
      </c>
      <c r="E6539" s="2">
        <v>156448.5</v>
      </c>
      <c r="G6539" s="3">
        <f>MONTH(Tabela1[[#This Row],[Último pagto ano]])</f>
        <v>11</v>
      </c>
      <c r="H6539" t="str">
        <f>TEXT(Tabela1[[#This Row],[Coluna2]]*29,"mmmm")</f>
        <v>novembro</v>
      </c>
      <c r="I6539" t="str">
        <f>TEXT(MONTH(Tabela1[[#This Row],[Último pagto ano]])*29,"mmmm")</f>
        <v>novembro</v>
      </c>
    </row>
    <row r="6540" spans="1:9" x14ac:dyDescent="0.25">
      <c r="A6540">
        <v>2025</v>
      </c>
      <c r="B6540" t="s">
        <v>13021</v>
      </c>
      <c r="C6540" s="1">
        <v>46013</v>
      </c>
      <c r="D6540" t="s">
        <v>13022</v>
      </c>
      <c r="E6540" s="2">
        <v>35420.01</v>
      </c>
      <c r="G6540" s="3">
        <f>MONTH(Tabela1[[#This Row],[Último pagto ano]])</f>
        <v>12</v>
      </c>
      <c r="H6540" t="str">
        <f>TEXT(Tabela1[[#This Row],[Coluna2]]*29,"mmmm")</f>
        <v>dezembro</v>
      </c>
      <c r="I6540" t="str">
        <f>TEXT(MONTH(Tabela1[[#This Row],[Último pagto ano]])*29,"mmmm")</f>
        <v>dezembro</v>
      </c>
    </row>
    <row r="6541" spans="1:9" x14ac:dyDescent="0.25">
      <c r="A6541">
        <v>2025</v>
      </c>
      <c r="B6541" t="s">
        <v>13023</v>
      </c>
      <c r="C6541" s="1">
        <v>45964</v>
      </c>
      <c r="D6541" t="s">
        <v>13024</v>
      </c>
      <c r="E6541">
        <v>55</v>
      </c>
      <c r="G6541" s="3">
        <f>MONTH(Tabela1[[#This Row],[Último pagto ano]])</f>
        <v>11</v>
      </c>
      <c r="H6541" t="str">
        <f>TEXT(Tabela1[[#This Row],[Coluna2]]*29,"mmmm")</f>
        <v>novembro</v>
      </c>
      <c r="I6541" t="str">
        <f>TEXT(MONTH(Tabela1[[#This Row],[Último pagto ano]])*29,"mmmm")</f>
        <v>novembro</v>
      </c>
    </row>
    <row r="6542" spans="1:9" x14ac:dyDescent="0.25">
      <c r="A6542">
        <v>2025</v>
      </c>
      <c r="B6542" t="s">
        <v>13025</v>
      </c>
      <c r="C6542" s="1">
        <v>45769</v>
      </c>
      <c r="D6542" t="s">
        <v>13026</v>
      </c>
      <c r="E6542">
        <v>44</v>
      </c>
      <c r="G6542" s="3">
        <f>MONTH(Tabela1[[#This Row],[Último pagto ano]])</f>
        <v>4</v>
      </c>
      <c r="H6542" t="str">
        <f>TEXT(Tabela1[[#This Row],[Coluna2]]*29,"mmmm")</f>
        <v>abril</v>
      </c>
      <c r="I6542" t="str">
        <f>TEXT(MONTH(Tabela1[[#This Row],[Último pagto ano]])*29,"mmmm")</f>
        <v>abril</v>
      </c>
    </row>
    <row r="6543" spans="1:9" x14ac:dyDescent="0.25">
      <c r="A6543">
        <v>2025</v>
      </c>
      <c r="B6543" t="s">
        <v>13027</v>
      </c>
      <c r="C6543" s="1">
        <v>46006</v>
      </c>
      <c r="D6543" t="s">
        <v>13028</v>
      </c>
      <c r="E6543" s="2">
        <v>20494.2</v>
      </c>
      <c r="G6543" s="3">
        <f>MONTH(Tabela1[[#This Row],[Último pagto ano]])</f>
        <v>12</v>
      </c>
      <c r="H6543" t="str">
        <f>TEXT(Tabela1[[#This Row],[Coluna2]]*29,"mmmm")</f>
        <v>dezembro</v>
      </c>
      <c r="I6543" t="str">
        <f>TEXT(MONTH(Tabela1[[#This Row],[Último pagto ano]])*29,"mmmm")</f>
        <v>dezembro</v>
      </c>
    </row>
    <row r="6544" spans="1:9" x14ac:dyDescent="0.25">
      <c r="A6544">
        <v>2025</v>
      </c>
      <c r="B6544" t="s">
        <v>13029</v>
      </c>
      <c r="C6544" s="1">
        <v>45943</v>
      </c>
      <c r="D6544" t="s">
        <v>13030</v>
      </c>
      <c r="E6544">
        <v>293.56</v>
      </c>
      <c r="G6544" s="3">
        <f>MONTH(Tabela1[[#This Row],[Último pagto ano]])</f>
        <v>10</v>
      </c>
      <c r="H6544" t="str">
        <f>TEXT(Tabela1[[#This Row],[Coluna2]]*29,"mmmm")</f>
        <v>outubro</v>
      </c>
      <c r="I6544" t="str">
        <f>TEXT(MONTH(Tabela1[[#This Row],[Último pagto ano]])*29,"mmmm")</f>
        <v>outubro</v>
      </c>
    </row>
    <row r="6545" spans="1:9" x14ac:dyDescent="0.25">
      <c r="A6545">
        <v>2025</v>
      </c>
      <c r="B6545" t="s">
        <v>13031</v>
      </c>
      <c r="C6545" s="1">
        <v>45978</v>
      </c>
      <c r="D6545" t="s">
        <v>13032</v>
      </c>
      <c r="E6545" s="2">
        <v>9300</v>
      </c>
      <c r="G6545" s="3">
        <f>MONTH(Tabela1[[#This Row],[Último pagto ano]])</f>
        <v>11</v>
      </c>
      <c r="H6545" t="str">
        <f>TEXT(Tabela1[[#This Row],[Coluna2]]*29,"mmmm")</f>
        <v>novembro</v>
      </c>
      <c r="I6545" t="str">
        <f>TEXT(MONTH(Tabela1[[#This Row],[Último pagto ano]])*29,"mmmm")</f>
        <v>novembro</v>
      </c>
    </row>
    <row r="6546" spans="1:9" x14ac:dyDescent="0.25">
      <c r="A6546">
        <v>2025</v>
      </c>
      <c r="B6546" t="s">
        <v>13033</v>
      </c>
      <c r="C6546" s="1">
        <v>45985</v>
      </c>
      <c r="D6546" t="s">
        <v>13034</v>
      </c>
      <c r="E6546" s="2">
        <v>47040</v>
      </c>
      <c r="G6546" s="3">
        <f>MONTH(Tabela1[[#This Row],[Último pagto ano]])</f>
        <v>11</v>
      </c>
      <c r="H6546" t="str">
        <f>TEXT(Tabela1[[#This Row],[Coluna2]]*29,"mmmm")</f>
        <v>novembro</v>
      </c>
      <c r="I6546" t="str">
        <f>TEXT(MONTH(Tabela1[[#This Row],[Último pagto ano]])*29,"mmmm")</f>
        <v>novembro</v>
      </c>
    </row>
    <row r="6547" spans="1:9" x14ac:dyDescent="0.25">
      <c r="A6547">
        <v>2025</v>
      </c>
      <c r="B6547" t="s">
        <v>13035</v>
      </c>
      <c r="C6547" s="1">
        <v>45882</v>
      </c>
      <c r="D6547" t="s">
        <v>13036</v>
      </c>
      <c r="E6547" s="2">
        <v>23500</v>
      </c>
      <c r="G6547" s="3">
        <f>MONTH(Tabela1[[#This Row],[Último pagto ano]])</f>
        <v>8</v>
      </c>
      <c r="H6547" t="str">
        <f>TEXT(Tabela1[[#This Row],[Coluna2]]*29,"mmmm")</f>
        <v>agosto</v>
      </c>
      <c r="I6547" t="str">
        <f>TEXT(MONTH(Tabela1[[#This Row],[Último pagto ano]])*29,"mmmm")</f>
        <v>agosto</v>
      </c>
    </row>
    <row r="6548" spans="1:9" x14ac:dyDescent="0.25">
      <c r="A6548">
        <v>2025</v>
      </c>
      <c r="B6548" t="s">
        <v>13037</v>
      </c>
      <c r="C6548" s="1">
        <v>45861</v>
      </c>
      <c r="D6548" t="s">
        <v>13038</v>
      </c>
      <c r="E6548" s="2">
        <v>7100</v>
      </c>
      <c r="G6548" s="3">
        <f>MONTH(Tabela1[[#This Row],[Último pagto ano]])</f>
        <v>7</v>
      </c>
      <c r="H6548" t="str">
        <f>TEXT(Tabela1[[#This Row],[Coluna2]]*29,"mmmm")</f>
        <v>julho</v>
      </c>
      <c r="I6548" t="str">
        <f>TEXT(MONTH(Tabela1[[#This Row],[Último pagto ano]])*29,"mmmm")</f>
        <v>julho</v>
      </c>
    </row>
    <row r="6549" spans="1:9" x14ac:dyDescent="0.25">
      <c r="A6549">
        <v>2025</v>
      </c>
      <c r="B6549" t="s">
        <v>13039</v>
      </c>
      <c r="C6549" s="1">
        <v>45810</v>
      </c>
      <c r="D6549" t="s">
        <v>13040</v>
      </c>
      <c r="E6549">
        <v>146</v>
      </c>
      <c r="G6549" s="3">
        <f>MONTH(Tabela1[[#This Row],[Último pagto ano]])</f>
        <v>6</v>
      </c>
      <c r="H6549" t="str">
        <f>TEXT(Tabela1[[#This Row],[Coluna2]]*29,"mmmm")</f>
        <v>junho</v>
      </c>
      <c r="I6549" t="str">
        <f>TEXT(MONTH(Tabela1[[#This Row],[Último pagto ano]])*29,"mmmm")</f>
        <v>junho</v>
      </c>
    </row>
    <row r="6550" spans="1:9" x14ac:dyDescent="0.25">
      <c r="A6550">
        <v>2025</v>
      </c>
      <c r="B6550" t="s">
        <v>13041</v>
      </c>
      <c r="C6550" s="1">
        <v>46014</v>
      </c>
      <c r="D6550" t="s">
        <v>13042</v>
      </c>
      <c r="E6550" s="2">
        <v>56226.55</v>
      </c>
      <c r="G6550" s="3">
        <f>MONTH(Tabela1[[#This Row],[Último pagto ano]])</f>
        <v>12</v>
      </c>
      <c r="H6550" t="str">
        <f>TEXT(Tabela1[[#This Row],[Coluna2]]*29,"mmmm")</f>
        <v>dezembro</v>
      </c>
      <c r="I6550" t="str">
        <f>TEXT(MONTH(Tabela1[[#This Row],[Último pagto ano]])*29,"mmmm")</f>
        <v>dezembro</v>
      </c>
    </row>
    <row r="6551" spans="1:9" x14ac:dyDescent="0.25">
      <c r="A6551">
        <v>2025</v>
      </c>
      <c r="B6551" t="s">
        <v>13043</v>
      </c>
      <c r="C6551" s="1">
        <v>45733</v>
      </c>
      <c r="D6551" t="s">
        <v>13044</v>
      </c>
      <c r="E6551" s="2">
        <v>1447.52</v>
      </c>
      <c r="G6551" s="3">
        <f>MONTH(Tabela1[[#This Row],[Último pagto ano]])</f>
        <v>3</v>
      </c>
      <c r="H6551" t="str">
        <f>TEXT(Tabela1[[#This Row],[Coluna2]]*29,"mmmm")</f>
        <v>março</v>
      </c>
      <c r="I6551" t="str">
        <f>TEXT(MONTH(Tabela1[[#This Row],[Último pagto ano]])*29,"mmmm")</f>
        <v>março</v>
      </c>
    </row>
    <row r="6552" spans="1:9" x14ac:dyDescent="0.25">
      <c r="A6552">
        <v>2025</v>
      </c>
      <c r="B6552" t="s">
        <v>13045</v>
      </c>
      <c r="C6552" s="1">
        <v>45985</v>
      </c>
      <c r="D6552" t="s">
        <v>13046</v>
      </c>
      <c r="E6552" s="2">
        <v>276960</v>
      </c>
      <c r="G6552" s="3">
        <f>MONTH(Tabela1[[#This Row],[Último pagto ano]])</f>
        <v>11</v>
      </c>
      <c r="H6552" t="str">
        <f>TEXT(Tabela1[[#This Row],[Coluna2]]*29,"mmmm")</f>
        <v>novembro</v>
      </c>
      <c r="I6552" t="str">
        <f>TEXT(MONTH(Tabela1[[#This Row],[Último pagto ano]])*29,"mmmm")</f>
        <v>novembro</v>
      </c>
    </row>
    <row r="6553" spans="1:9" x14ac:dyDescent="0.25">
      <c r="A6553">
        <v>2025</v>
      </c>
      <c r="B6553" t="s">
        <v>13045</v>
      </c>
      <c r="C6553" s="1">
        <v>45971</v>
      </c>
      <c r="D6553" t="s">
        <v>13047</v>
      </c>
      <c r="E6553" s="2">
        <v>1144938.3</v>
      </c>
      <c r="G6553" s="3">
        <f>MONTH(Tabela1[[#This Row],[Último pagto ano]])</f>
        <v>11</v>
      </c>
      <c r="H6553" t="str">
        <f>TEXT(Tabela1[[#This Row],[Coluna2]]*29,"mmmm")</f>
        <v>novembro</v>
      </c>
      <c r="I6553" t="str">
        <f>TEXT(MONTH(Tabela1[[#This Row],[Último pagto ano]])*29,"mmmm")</f>
        <v>novembro</v>
      </c>
    </row>
    <row r="6554" spans="1:9" x14ac:dyDescent="0.25">
      <c r="A6554">
        <v>2025</v>
      </c>
      <c r="B6554" t="s">
        <v>13048</v>
      </c>
      <c r="C6554" s="1">
        <v>45695</v>
      </c>
      <c r="D6554" t="s">
        <v>13049</v>
      </c>
      <c r="E6554" s="2">
        <v>3093.6</v>
      </c>
      <c r="G6554" s="3">
        <f>MONTH(Tabela1[[#This Row],[Último pagto ano]])</f>
        <v>2</v>
      </c>
      <c r="H6554" t="str">
        <f>TEXT(Tabela1[[#This Row],[Coluna2]]*29,"mmmm")</f>
        <v>fevereiro</v>
      </c>
      <c r="I6554" t="str">
        <f>TEXT(MONTH(Tabela1[[#This Row],[Último pagto ano]])*29,"mmmm")</f>
        <v>fevereiro</v>
      </c>
    </row>
    <row r="6555" spans="1:9" x14ac:dyDescent="0.25">
      <c r="A6555">
        <v>2025</v>
      </c>
      <c r="B6555" t="s">
        <v>13050</v>
      </c>
      <c r="C6555" s="1">
        <v>45932</v>
      </c>
      <c r="D6555" t="s">
        <v>13051</v>
      </c>
      <c r="E6555" s="2">
        <v>48948</v>
      </c>
      <c r="G6555" s="3">
        <f>MONTH(Tabela1[[#This Row],[Último pagto ano]])</f>
        <v>10</v>
      </c>
      <c r="H6555" t="str">
        <f>TEXT(Tabela1[[#This Row],[Coluna2]]*29,"mmmm")</f>
        <v>outubro</v>
      </c>
      <c r="I6555" t="str">
        <f>TEXT(MONTH(Tabela1[[#This Row],[Último pagto ano]])*29,"mmmm")</f>
        <v>outubro</v>
      </c>
    </row>
    <row r="6556" spans="1:9" x14ac:dyDescent="0.25">
      <c r="A6556">
        <v>2025</v>
      </c>
      <c r="B6556" t="s">
        <v>13050</v>
      </c>
      <c r="C6556" s="1">
        <v>45747</v>
      </c>
      <c r="D6556" t="s">
        <v>13052</v>
      </c>
      <c r="E6556" s="2">
        <v>2240.16</v>
      </c>
      <c r="G6556" s="3">
        <f>MONTH(Tabela1[[#This Row],[Último pagto ano]])</f>
        <v>3</v>
      </c>
      <c r="H6556" t="str">
        <f>TEXT(Tabela1[[#This Row],[Coluna2]]*29,"mmmm")</f>
        <v>março</v>
      </c>
      <c r="I6556" t="str">
        <f>TEXT(MONTH(Tabela1[[#This Row],[Último pagto ano]])*29,"mmmm")</f>
        <v>março</v>
      </c>
    </row>
    <row r="6557" spans="1:9" x14ac:dyDescent="0.25">
      <c r="A6557">
        <v>2025</v>
      </c>
      <c r="B6557" t="s">
        <v>13053</v>
      </c>
      <c r="C6557" s="1">
        <v>46014</v>
      </c>
      <c r="D6557" t="s">
        <v>13054</v>
      </c>
      <c r="E6557" s="2">
        <v>280309.82</v>
      </c>
      <c r="G6557" s="3">
        <f>MONTH(Tabela1[[#This Row],[Último pagto ano]])</f>
        <v>12</v>
      </c>
      <c r="H6557" t="str">
        <f>TEXT(Tabela1[[#This Row],[Coluna2]]*29,"mmmm")</f>
        <v>dezembro</v>
      </c>
      <c r="I6557" t="str">
        <f>TEXT(MONTH(Tabela1[[#This Row],[Último pagto ano]])*29,"mmmm")</f>
        <v>dezembro</v>
      </c>
    </row>
    <row r="6558" spans="1:9" x14ac:dyDescent="0.25">
      <c r="A6558">
        <v>2025</v>
      </c>
      <c r="B6558" t="s">
        <v>13055</v>
      </c>
      <c r="C6558" s="1">
        <v>45989</v>
      </c>
      <c r="D6558" t="s">
        <v>13056</v>
      </c>
      <c r="E6558">
        <v>830.26</v>
      </c>
      <c r="G6558" s="3">
        <f>MONTH(Tabela1[[#This Row],[Último pagto ano]])</f>
        <v>11</v>
      </c>
      <c r="H6558" t="str">
        <f>TEXT(Tabela1[[#This Row],[Coluna2]]*29,"mmmm")</f>
        <v>novembro</v>
      </c>
      <c r="I6558" t="str">
        <f>TEXT(MONTH(Tabela1[[#This Row],[Último pagto ano]])*29,"mmmm")</f>
        <v>novembro</v>
      </c>
    </row>
    <row r="6559" spans="1:9" x14ac:dyDescent="0.25">
      <c r="A6559">
        <v>2025</v>
      </c>
      <c r="B6559" t="s">
        <v>13057</v>
      </c>
      <c r="C6559" s="1">
        <v>45769</v>
      </c>
      <c r="D6559" t="s">
        <v>13058</v>
      </c>
      <c r="E6559" s="2">
        <v>206640.7</v>
      </c>
      <c r="G6559" s="3">
        <f>MONTH(Tabela1[[#This Row],[Último pagto ano]])</f>
        <v>4</v>
      </c>
      <c r="H6559" t="str">
        <f>TEXT(Tabela1[[#This Row],[Coluna2]]*29,"mmmm")</f>
        <v>abril</v>
      </c>
      <c r="I6559" t="str">
        <f>TEXT(MONTH(Tabela1[[#This Row],[Último pagto ano]])*29,"mmmm")</f>
        <v>abril</v>
      </c>
    </row>
    <row r="6560" spans="1:9" x14ac:dyDescent="0.25">
      <c r="A6560">
        <v>2025</v>
      </c>
      <c r="B6560" t="s">
        <v>13059</v>
      </c>
      <c r="C6560" s="1">
        <v>46014</v>
      </c>
      <c r="D6560" t="s">
        <v>13060</v>
      </c>
      <c r="E6560" s="2">
        <v>1112543.6499999999</v>
      </c>
      <c r="G6560" s="3">
        <f>MONTH(Tabela1[[#This Row],[Último pagto ano]])</f>
        <v>12</v>
      </c>
      <c r="H6560" t="str">
        <f>TEXT(Tabela1[[#This Row],[Coluna2]]*29,"mmmm")</f>
        <v>dezembro</v>
      </c>
      <c r="I6560" t="str">
        <f>TEXT(MONTH(Tabela1[[#This Row],[Último pagto ano]])*29,"mmmm")</f>
        <v>dezembro</v>
      </c>
    </row>
    <row r="6561" spans="1:9" x14ac:dyDescent="0.25">
      <c r="A6561">
        <v>2025</v>
      </c>
      <c r="B6561" t="s">
        <v>13061</v>
      </c>
      <c r="C6561" s="1">
        <v>46008</v>
      </c>
      <c r="D6561" t="s">
        <v>13062</v>
      </c>
      <c r="E6561" s="2">
        <v>667363.16</v>
      </c>
      <c r="G6561" s="3">
        <f>MONTH(Tabela1[[#This Row],[Último pagto ano]])</f>
        <v>12</v>
      </c>
      <c r="H6561" t="str">
        <f>TEXT(Tabela1[[#This Row],[Coluna2]]*29,"mmmm")</f>
        <v>dezembro</v>
      </c>
      <c r="I6561" t="str">
        <f>TEXT(MONTH(Tabela1[[#This Row],[Último pagto ano]])*29,"mmmm")</f>
        <v>dezembro</v>
      </c>
    </row>
    <row r="6562" spans="1:9" x14ac:dyDescent="0.25">
      <c r="A6562">
        <v>2025</v>
      </c>
      <c r="B6562" t="s">
        <v>13063</v>
      </c>
      <c r="C6562" s="1">
        <v>45875</v>
      </c>
      <c r="D6562" t="s">
        <v>13064</v>
      </c>
      <c r="E6562" s="2">
        <v>8200</v>
      </c>
      <c r="G6562" s="3">
        <f>MONTH(Tabela1[[#This Row],[Último pagto ano]])</f>
        <v>8</v>
      </c>
      <c r="H6562" t="str">
        <f>TEXT(Tabela1[[#This Row],[Coluna2]]*29,"mmmm")</f>
        <v>agosto</v>
      </c>
      <c r="I6562" t="str">
        <f>TEXT(MONTH(Tabela1[[#This Row],[Último pagto ano]])*29,"mmmm")</f>
        <v>agosto</v>
      </c>
    </row>
    <row r="6563" spans="1:9" x14ac:dyDescent="0.25">
      <c r="A6563">
        <v>2025</v>
      </c>
      <c r="B6563" t="s">
        <v>13065</v>
      </c>
      <c r="C6563" s="1">
        <v>45820</v>
      </c>
      <c r="D6563" t="s">
        <v>13066</v>
      </c>
      <c r="E6563">
        <v>13.42</v>
      </c>
      <c r="G6563" s="3">
        <f>MONTH(Tabela1[[#This Row],[Último pagto ano]])</f>
        <v>6</v>
      </c>
      <c r="H6563" t="str">
        <f>TEXT(Tabela1[[#This Row],[Coluna2]]*29,"mmmm")</f>
        <v>junho</v>
      </c>
      <c r="I6563" t="str">
        <f>TEXT(MONTH(Tabela1[[#This Row],[Último pagto ano]])*29,"mmmm")</f>
        <v>junho</v>
      </c>
    </row>
    <row r="6564" spans="1:9" x14ac:dyDescent="0.25">
      <c r="A6564">
        <v>2025</v>
      </c>
      <c r="B6564" t="s">
        <v>13067</v>
      </c>
      <c r="C6564" s="1">
        <v>46010</v>
      </c>
      <c r="D6564" t="s">
        <v>13068</v>
      </c>
      <c r="E6564" s="2">
        <v>12000</v>
      </c>
      <c r="G6564" s="3">
        <f>MONTH(Tabela1[[#This Row],[Último pagto ano]])</f>
        <v>12</v>
      </c>
      <c r="H6564" t="str">
        <f>TEXT(Tabela1[[#This Row],[Coluna2]]*29,"mmmm")</f>
        <v>dezembro</v>
      </c>
      <c r="I6564" t="str">
        <f>TEXT(MONTH(Tabela1[[#This Row],[Último pagto ano]])*29,"mmmm")</f>
        <v>dezembro</v>
      </c>
    </row>
    <row r="6565" spans="1:9" x14ac:dyDescent="0.25">
      <c r="A6565">
        <v>2025</v>
      </c>
      <c r="B6565" t="s">
        <v>13069</v>
      </c>
      <c r="C6565" s="1">
        <v>45989</v>
      </c>
      <c r="D6565" t="s">
        <v>13070</v>
      </c>
      <c r="E6565" s="2">
        <v>270808.71999999997</v>
      </c>
      <c r="G6565" s="3">
        <f>MONTH(Tabela1[[#This Row],[Último pagto ano]])</f>
        <v>11</v>
      </c>
      <c r="H6565" t="str">
        <f>TEXT(Tabela1[[#This Row],[Coluna2]]*29,"mmmm")</f>
        <v>novembro</v>
      </c>
      <c r="I6565" t="str">
        <f>TEXT(MONTH(Tabela1[[#This Row],[Último pagto ano]])*29,"mmmm")</f>
        <v>novembro</v>
      </c>
    </row>
    <row r="6566" spans="1:9" x14ac:dyDescent="0.25">
      <c r="A6566">
        <v>2025</v>
      </c>
      <c r="B6566" t="s">
        <v>13071</v>
      </c>
      <c r="C6566" s="1">
        <v>45807</v>
      </c>
      <c r="D6566" t="s">
        <v>13072</v>
      </c>
      <c r="E6566" s="2">
        <v>1672.33</v>
      </c>
      <c r="G6566" s="3">
        <f>MONTH(Tabela1[[#This Row],[Último pagto ano]])</f>
        <v>5</v>
      </c>
      <c r="H6566" t="str">
        <f>TEXT(Tabela1[[#This Row],[Coluna2]]*29,"mmmm")</f>
        <v>maio</v>
      </c>
      <c r="I6566" t="str">
        <f>TEXT(MONTH(Tabela1[[#This Row],[Último pagto ano]])*29,"mmmm")</f>
        <v>maio</v>
      </c>
    </row>
    <row r="6567" spans="1:9" x14ac:dyDescent="0.25">
      <c r="A6567">
        <v>2025</v>
      </c>
      <c r="B6567" t="s">
        <v>13073</v>
      </c>
      <c r="C6567" s="1">
        <v>46014</v>
      </c>
      <c r="D6567" t="s">
        <v>13074</v>
      </c>
      <c r="E6567">
        <v>11.43</v>
      </c>
      <c r="G6567" s="3">
        <f>MONTH(Tabela1[[#This Row],[Último pagto ano]])</f>
        <v>12</v>
      </c>
      <c r="H6567" t="str">
        <f>TEXT(Tabela1[[#This Row],[Coluna2]]*29,"mmmm")</f>
        <v>dezembro</v>
      </c>
      <c r="I6567" t="str">
        <f>TEXT(MONTH(Tabela1[[#This Row],[Último pagto ano]])*29,"mmmm")</f>
        <v>dezembro</v>
      </c>
    </row>
    <row r="6568" spans="1:9" x14ac:dyDescent="0.25">
      <c r="A6568">
        <v>2025</v>
      </c>
      <c r="B6568" t="s">
        <v>13075</v>
      </c>
      <c r="C6568" s="1">
        <v>45838</v>
      </c>
      <c r="D6568" t="s">
        <v>13076</v>
      </c>
      <c r="E6568">
        <v>33</v>
      </c>
      <c r="G6568" s="3">
        <f>MONTH(Tabela1[[#This Row],[Último pagto ano]])</f>
        <v>6</v>
      </c>
      <c r="H6568" t="str">
        <f>TEXT(Tabela1[[#This Row],[Coluna2]]*29,"mmmm")</f>
        <v>junho</v>
      </c>
      <c r="I6568" t="str">
        <f>TEXT(MONTH(Tabela1[[#This Row],[Último pagto ano]])*29,"mmmm")</f>
        <v>junho</v>
      </c>
    </row>
    <row r="6569" spans="1:9" x14ac:dyDescent="0.25">
      <c r="A6569">
        <v>2025</v>
      </c>
      <c r="B6569" t="s">
        <v>13077</v>
      </c>
      <c r="C6569" s="1">
        <v>45807</v>
      </c>
      <c r="D6569" t="s">
        <v>13078</v>
      </c>
      <c r="E6569">
        <v>124.9</v>
      </c>
      <c r="G6569" s="3">
        <f>MONTH(Tabela1[[#This Row],[Último pagto ano]])</f>
        <v>5</v>
      </c>
      <c r="H6569" t="str">
        <f>TEXT(Tabela1[[#This Row],[Coluna2]]*29,"mmmm")</f>
        <v>maio</v>
      </c>
      <c r="I6569" t="str">
        <f>TEXT(MONTH(Tabela1[[#This Row],[Último pagto ano]])*29,"mmmm")</f>
        <v>maio</v>
      </c>
    </row>
    <row r="6570" spans="1:9" x14ac:dyDescent="0.25">
      <c r="A6570">
        <v>2025</v>
      </c>
      <c r="B6570" t="s">
        <v>13079</v>
      </c>
      <c r="C6570" s="1">
        <v>45740</v>
      </c>
      <c r="D6570" t="s">
        <v>13080</v>
      </c>
      <c r="E6570">
        <v>12.64</v>
      </c>
      <c r="G6570" s="3">
        <f>MONTH(Tabela1[[#This Row],[Último pagto ano]])</f>
        <v>3</v>
      </c>
      <c r="H6570" t="str">
        <f>TEXT(Tabela1[[#This Row],[Coluna2]]*29,"mmmm")</f>
        <v>março</v>
      </c>
      <c r="I6570" t="str">
        <f>TEXT(MONTH(Tabela1[[#This Row],[Último pagto ano]])*29,"mmmm")</f>
        <v>março</v>
      </c>
    </row>
    <row r="6571" spans="1:9" x14ac:dyDescent="0.25">
      <c r="A6571">
        <v>2025</v>
      </c>
      <c r="B6571" t="s">
        <v>13081</v>
      </c>
      <c r="C6571" s="1">
        <v>45974</v>
      </c>
      <c r="D6571" t="s">
        <v>13082</v>
      </c>
      <c r="E6571">
        <v>810</v>
      </c>
      <c r="G6571" s="3">
        <f>MONTH(Tabela1[[#This Row],[Último pagto ano]])</f>
        <v>11</v>
      </c>
      <c r="H6571" t="str">
        <f>TEXT(Tabela1[[#This Row],[Coluna2]]*29,"mmmm")</f>
        <v>novembro</v>
      </c>
      <c r="I6571" t="str">
        <f>TEXT(MONTH(Tabela1[[#This Row],[Último pagto ano]])*29,"mmmm")</f>
        <v>novembro</v>
      </c>
    </row>
    <row r="6572" spans="1:9" x14ac:dyDescent="0.25">
      <c r="A6572">
        <v>2025</v>
      </c>
      <c r="B6572" t="s">
        <v>13083</v>
      </c>
      <c r="C6572" s="1">
        <v>45715</v>
      </c>
      <c r="D6572" t="s">
        <v>13084</v>
      </c>
      <c r="E6572" s="2">
        <v>3200</v>
      </c>
      <c r="G6572" s="3">
        <f>MONTH(Tabela1[[#This Row],[Último pagto ano]])</f>
        <v>2</v>
      </c>
      <c r="H6572" t="str">
        <f>TEXT(Tabela1[[#This Row],[Coluna2]]*29,"mmmm")</f>
        <v>fevereiro</v>
      </c>
      <c r="I6572" t="str">
        <f>TEXT(MONTH(Tabela1[[#This Row],[Último pagto ano]])*29,"mmmm")</f>
        <v>fevereiro</v>
      </c>
    </row>
    <row r="6573" spans="1:9" x14ac:dyDescent="0.25">
      <c r="A6573">
        <v>2025</v>
      </c>
      <c r="B6573" t="s">
        <v>13085</v>
      </c>
      <c r="C6573" s="1">
        <v>45849</v>
      </c>
      <c r="D6573" t="s">
        <v>13086</v>
      </c>
      <c r="E6573">
        <v>88</v>
      </c>
      <c r="G6573" s="3">
        <f>MONTH(Tabela1[[#This Row],[Último pagto ano]])</f>
        <v>7</v>
      </c>
      <c r="H6573" t="str">
        <f>TEXT(Tabela1[[#This Row],[Coluna2]]*29,"mmmm")</f>
        <v>julho</v>
      </c>
      <c r="I6573" t="str">
        <f>TEXT(MONTH(Tabela1[[#This Row],[Último pagto ano]])*29,"mmmm")</f>
        <v>julho</v>
      </c>
    </row>
    <row r="6574" spans="1:9" x14ac:dyDescent="0.25">
      <c r="A6574">
        <v>2025</v>
      </c>
      <c r="B6574" t="s">
        <v>13087</v>
      </c>
      <c r="C6574" s="1">
        <v>46006</v>
      </c>
      <c r="D6574" t="s">
        <v>13088</v>
      </c>
      <c r="E6574" s="2">
        <v>15834.08</v>
      </c>
      <c r="G6574" s="3">
        <f>MONTH(Tabela1[[#This Row],[Último pagto ano]])</f>
        <v>12</v>
      </c>
      <c r="H6574" t="str">
        <f>TEXT(Tabela1[[#This Row],[Coluna2]]*29,"mmmm")</f>
        <v>dezembro</v>
      </c>
      <c r="I6574" t="str">
        <f>TEXT(MONTH(Tabela1[[#This Row],[Último pagto ano]])*29,"mmmm")</f>
        <v>dezembro</v>
      </c>
    </row>
    <row r="6575" spans="1:9" x14ac:dyDescent="0.25">
      <c r="A6575">
        <v>2025</v>
      </c>
      <c r="B6575" t="s">
        <v>13089</v>
      </c>
      <c r="C6575" s="1">
        <v>45810</v>
      </c>
      <c r="D6575" t="s">
        <v>13090</v>
      </c>
      <c r="E6575">
        <v>22</v>
      </c>
      <c r="G6575" s="3">
        <f>MONTH(Tabela1[[#This Row],[Último pagto ano]])</f>
        <v>6</v>
      </c>
      <c r="H6575" t="str">
        <f>TEXT(Tabela1[[#This Row],[Coluna2]]*29,"mmmm")</f>
        <v>junho</v>
      </c>
      <c r="I6575" t="str">
        <f>TEXT(MONTH(Tabela1[[#This Row],[Último pagto ano]])*29,"mmmm")</f>
        <v>junho</v>
      </c>
    </row>
    <row r="6576" spans="1:9" x14ac:dyDescent="0.25">
      <c r="A6576">
        <v>2025</v>
      </c>
      <c r="B6576" t="s">
        <v>13091</v>
      </c>
      <c r="C6576" s="1">
        <v>46014</v>
      </c>
      <c r="D6576" t="s">
        <v>13092</v>
      </c>
      <c r="E6576">
        <v>16.559999999999999</v>
      </c>
      <c r="G6576" s="3">
        <f>MONTH(Tabela1[[#This Row],[Último pagto ano]])</f>
        <v>12</v>
      </c>
      <c r="H6576" t="str">
        <f>TEXT(Tabela1[[#This Row],[Coluna2]]*29,"mmmm")</f>
        <v>dezembro</v>
      </c>
      <c r="I6576" t="str">
        <f>TEXT(MONTH(Tabela1[[#This Row],[Último pagto ano]])*29,"mmmm")</f>
        <v>dezembro</v>
      </c>
    </row>
    <row r="6577" spans="1:9" x14ac:dyDescent="0.25">
      <c r="A6577">
        <v>2025</v>
      </c>
      <c r="B6577" t="s">
        <v>13093</v>
      </c>
      <c r="C6577" s="1">
        <v>46006</v>
      </c>
      <c r="D6577" t="s">
        <v>13094</v>
      </c>
      <c r="E6577" s="2">
        <v>7353.52</v>
      </c>
      <c r="G6577" s="3">
        <f>MONTH(Tabela1[[#This Row],[Último pagto ano]])</f>
        <v>12</v>
      </c>
      <c r="H6577" t="str">
        <f>TEXT(Tabela1[[#This Row],[Coluna2]]*29,"mmmm")</f>
        <v>dezembro</v>
      </c>
      <c r="I6577" t="str">
        <f>TEXT(MONTH(Tabela1[[#This Row],[Último pagto ano]])*29,"mmmm")</f>
        <v>dezembro</v>
      </c>
    </row>
    <row r="6578" spans="1:9" x14ac:dyDescent="0.25">
      <c r="A6578">
        <v>2025</v>
      </c>
      <c r="B6578" t="s">
        <v>13095</v>
      </c>
      <c r="C6578" s="1">
        <v>45996</v>
      </c>
      <c r="D6578" t="s">
        <v>13096</v>
      </c>
      <c r="E6578" s="2">
        <v>48000</v>
      </c>
      <c r="G6578" s="3">
        <f>MONTH(Tabela1[[#This Row],[Último pagto ano]])</f>
        <v>12</v>
      </c>
      <c r="H6578" t="str">
        <f>TEXT(Tabela1[[#This Row],[Coluna2]]*29,"mmmm")</f>
        <v>dezembro</v>
      </c>
      <c r="I6578" t="str">
        <f>TEXT(MONTH(Tabela1[[#This Row],[Último pagto ano]])*29,"mmmm")</f>
        <v>dezembro</v>
      </c>
    </row>
    <row r="6579" spans="1:9" x14ac:dyDescent="0.25">
      <c r="A6579">
        <v>2025</v>
      </c>
      <c r="B6579" t="s">
        <v>13097</v>
      </c>
      <c r="C6579" s="1">
        <v>45740</v>
      </c>
      <c r="D6579" t="s">
        <v>13098</v>
      </c>
      <c r="E6579" s="2">
        <v>2100</v>
      </c>
      <c r="G6579" s="3">
        <f>MONTH(Tabela1[[#This Row],[Último pagto ano]])</f>
        <v>3</v>
      </c>
      <c r="H6579" t="str">
        <f>TEXT(Tabela1[[#This Row],[Coluna2]]*29,"mmmm")</f>
        <v>março</v>
      </c>
      <c r="I6579" t="str">
        <f>TEXT(MONTH(Tabela1[[#This Row],[Último pagto ano]])*29,"mmmm")</f>
        <v>março</v>
      </c>
    </row>
    <row r="6580" spans="1:9" x14ac:dyDescent="0.25">
      <c r="A6580">
        <v>2025</v>
      </c>
      <c r="B6580" t="s">
        <v>13099</v>
      </c>
      <c r="C6580" s="1">
        <v>45831</v>
      </c>
      <c r="D6580" t="s">
        <v>13100</v>
      </c>
      <c r="E6580">
        <v>336.56</v>
      </c>
      <c r="G6580" s="3">
        <f>MONTH(Tabela1[[#This Row],[Último pagto ano]])</f>
        <v>6</v>
      </c>
      <c r="H6580" t="str">
        <f>TEXT(Tabela1[[#This Row],[Coluna2]]*29,"mmmm")</f>
        <v>junho</v>
      </c>
      <c r="I6580" t="str">
        <f>TEXT(MONTH(Tabela1[[#This Row],[Último pagto ano]])*29,"mmmm")</f>
        <v>junho</v>
      </c>
    </row>
    <row r="6581" spans="1:9" x14ac:dyDescent="0.25">
      <c r="A6581">
        <v>2025</v>
      </c>
      <c r="B6581" t="s">
        <v>13101</v>
      </c>
      <c r="C6581" s="1">
        <v>45915</v>
      </c>
      <c r="D6581" t="s">
        <v>13102</v>
      </c>
      <c r="E6581" s="2">
        <v>5613.76</v>
      </c>
      <c r="G6581" s="3">
        <f>MONTH(Tabela1[[#This Row],[Último pagto ano]])</f>
        <v>9</v>
      </c>
      <c r="H6581" t="str">
        <f>TEXT(Tabela1[[#This Row],[Coluna2]]*29,"mmmm")</f>
        <v>setembro</v>
      </c>
      <c r="I6581" t="str">
        <f>TEXT(MONTH(Tabela1[[#This Row],[Último pagto ano]])*29,"mmmm")</f>
        <v>setembro</v>
      </c>
    </row>
    <row r="6582" spans="1:9" x14ac:dyDescent="0.25">
      <c r="A6582">
        <v>2025</v>
      </c>
      <c r="B6582" t="s">
        <v>13103</v>
      </c>
      <c r="C6582" s="1">
        <v>46014</v>
      </c>
      <c r="D6582" t="s">
        <v>13104</v>
      </c>
      <c r="E6582">
        <v>209</v>
      </c>
      <c r="G6582" s="3">
        <f>MONTH(Tabela1[[#This Row],[Último pagto ano]])</f>
        <v>12</v>
      </c>
      <c r="H6582" t="str">
        <f>TEXT(Tabela1[[#This Row],[Coluna2]]*29,"mmmm")</f>
        <v>dezembro</v>
      </c>
      <c r="I6582" t="str">
        <f>TEXT(MONTH(Tabela1[[#This Row],[Último pagto ano]])*29,"mmmm")</f>
        <v>dezembro</v>
      </c>
    </row>
    <row r="6583" spans="1:9" x14ac:dyDescent="0.25">
      <c r="A6583">
        <v>2025</v>
      </c>
      <c r="B6583" t="s">
        <v>13105</v>
      </c>
      <c r="C6583" s="1">
        <v>46014</v>
      </c>
      <c r="D6583" t="s">
        <v>13106</v>
      </c>
      <c r="E6583" s="2">
        <v>18350</v>
      </c>
      <c r="G6583" s="3">
        <f>MONTH(Tabela1[[#This Row],[Último pagto ano]])</f>
        <v>12</v>
      </c>
      <c r="H6583" t="str">
        <f>TEXT(Tabela1[[#This Row],[Coluna2]]*29,"mmmm")</f>
        <v>dezembro</v>
      </c>
      <c r="I6583" t="str">
        <f>TEXT(MONTH(Tabela1[[#This Row],[Último pagto ano]])*29,"mmmm")</f>
        <v>dezembro</v>
      </c>
    </row>
    <row r="6584" spans="1:9" x14ac:dyDescent="0.25">
      <c r="A6584">
        <v>2025</v>
      </c>
      <c r="B6584" t="s">
        <v>13107</v>
      </c>
      <c r="C6584" s="1">
        <v>45996</v>
      </c>
      <c r="D6584" t="s">
        <v>13108</v>
      </c>
      <c r="E6584" s="2">
        <v>33815.65</v>
      </c>
      <c r="G6584" s="3">
        <f>MONTH(Tabela1[[#This Row],[Último pagto ano]])</f>
        <v>12</v>
      </c>
      <c r="H6584" t="str">
        <f>TEXT(Tabela1[[#This Row],[Coluna2]]*29,"mmmm")</f>
        <v>dezembro</v>
      </c>
      <c r="I6584" t="str">
        <f>TEXT(MONTH(Tabela1[[#This Row],[Último pagto ano]])*29,"mmmm")</f>
        <v>dezembro</v>
      </c>
    </row>
    <row r="6585" spans="1:9" x14ac:dyDescent="0.25">
      <c r="A6585">
        <v>2025</v>
      </c>
      <c r="B6585" t="s">
        <v>13109</v>
      </c>
      <c r="C6585" s="1">
        <v>46009</v>
      </c>
      <c r="D6585" t="s">
        <v>13110</v>
      </c>
      <c r="E6585" s="2">
        <v>97250.84</v>
      </c>
      <c r="G6585" s="3">
        <f>MONTH(Tabela1[[#This Row],[Último pagto ano]])</f>
        <v>12</v>
      </c>
      <c r="H6585" t="str">
        <f>TEXT(Tabela1[[#This Row],[Coluna2]]*29,"mmmm")</f>
        <v>dezembro</v>
      </c>
      <c r="I6585" t="str">
        <f>TEXT(MONTH(Tabela1[[#This Row],[Último pagto ano]])*29,"mmmm")</f>
        <v>dezembro</v>
      </c>
    </row>
    <row r="6586" spans="1:9" x14ac:dyDescent="0.25">
      <c r="A6586">
        <v>2025</v>
      </c>
      <c r="B6586" t="s">
        <v>13111</v>
      </c>
      <c r="C6586" s="1">
        <v>45792</v>
      </c>
      <c r="D6586" t="s">
        <v>13112</v>
      </c>
      <c r="E6586" s="2">
        <v>1144.5</v>
      </c>
      <c r="G6586" s="3">
        <f>MONTH(Tabela1[[#This Row],[Último pagto ano]])</f>
        <v>5</v>
      </c>
      <c r="H6586" t="str">
        <f>TEXT(Tabela1[[#This Row],[Coluna2]]*29,"mmmm")</f>
        <v>maio</v>
      </c>
      <c r="I6586" t="str">
        <f>TEXT(MONTH(Tabela1[[#This Row],[Último pagto ano]])*29,"mmmm")</f>
        <v>maio</v>
      </c>
    </row>
    <row r="6587" spans="1:9" x14ac:dyDescent="0.25">
      <c r="A6587">
        <v>2025</v>
      </c>
      <c r="B6587" t="s">
        <v>13113</v>
      </c>
      <c r="C6587" s="1">
        <v>46014</v>
      </c>
      <c r="D6587" t="s">
        <v>13114</v>
      </c>
      <c r="E6587">
        <v>308</v>
      </c>
      <c r="G6587" s="3">
        <f>MONTH(Tabela1[[#This Row],[Último pagto ano]])</f>
        <v>12</v>
      </c>
      <c r="H6587" t="str">
        <f>TEXT(Tabela1[[#This Row],[Coluna2]]*29,"mmmm")</f>
        <v>dezembro</v>
      </c>
      <c r="I6587" t="str">
        <f>TEXT(MONTH(Tabela1[[#This Row],[Último pagto ano]])*29,"mmmm")</f>
        <v>dezembro</v>
      </c>
    </row>
    <row r="6588" spans="1:9" x14ac:dyDescent="0.25">
      <c r="A6588">
        <v>2025</v>
      </c>
      <c r="B6588" t="s">
        <v>13115</v>
      </c>
      <c r="C6588" s="1">
        <v>45702</v>
      </c>
      <c r="D6588" t="s">
        <v>13116</v>
      </c>
      <c r="E6588">
        <v>44</v>
      </c>
      <c r="G6588" s="3">
        <f>MONTH(Tabela1[[#This Row],[Último pagto ano]])</f>
        <v>2</v>
      </c>
      <c r="H6588" t="str">
        <f>TEXT(Tabela1[[#This Row],[Coluna2]]*29,"mmmm")</f>
        <v>fevereiro</v>
      </c>
      <c r="I6588" t="str">
        <f>TEXT(MONTH(Tabela1[[#This Row],[Último pagto ano]])*29,"mmmm")</f>
        <v>fevereiro</v>
      </c>
    </row>
    <row r="6589" spans="1:9" x14ac:dyDescent="0.25">
      <c r="A6589">
        <v>2025</v>
      </c>
      <c r="B6589" t="s">
        <v>13117</v>
      </c>
      <c r="C6589" s="1">
        <v>45702</v>
      </c>
      <c r="D6589" t="s">
        <v>13118</v>
      </c>
      <c r="E6589">
        <v>895.35</v>
      </c>
      <c r="G6589" s="3">
        <f>MONTH(Tabela1[[#This Row],[Último pagto ano]])</f>
        <v>2</v>
      </c>
      <c r="H6589" t="str">
        <f>TEXT(Tabela1[[#This Row],[Coluna2]]*29,"mmmm")</f>
        <v>fevereiro</v>
      </c>
      <c r="I6589" t="str">
        <f>TEXT(MONTH(Tabela1[[#This Row],[Último pagto ano]])*29,"mmmm")</f>
        <v>fevereiro</v>
      </c>
    </row>
    <row r="6590" spans="1:9" x14ac:dyDescent="0.25">
      <c r="A6590">
        <v>2025</v>
      </c>
      <c r="B6590" t="s">
        <v>13119</v>
      </c>
      <c r="C6590" s="1">
        <v>45743</v>
      </c>
      <c r="D6590" t="s">
        <v>13120</v>
      </c>
      <c r="E6590">
        <v>324.06</v>
      </c>
      <c r="G6590" s="3">
        <f>MONTH(Tabela1[[#This Row],[Último pagto ano]])</f>
        <v>3</v>
      </c>
      <c r="H6590" t="str">
        <f>TEXT(Tabela1[[#This Row],[Coluna2]]*29,"mmmm")</f>
        <v>março</v>
      </c>
      <c r="I6590" t="str">
        <f>TEXT(MONTH(Tabela1[[#This Row],[Último pagto ano]])*29,"mmmm")</f>
        <v>março</v>
      </c>
    </row>
    <row r="6591" spans="1:9" x14ac:dyDescent="0.25">
      <c r="A6591">
        <v>2025</v>
      </c>
      <c r="B6591" t="s">
        <v>13121</v>
      </c>
      <c r="C6591" s="1">
        <v>46014</v>
      </c>
      <c r="D6591" t="s">
        <v>13122</v>
      </c>
      <c r="E6591" s="2">
        <v>2914915.29</v>
      </c>
      <c r="G6591" s="3">
        <f>MONTH(Tabela1[[#This Row],[Último pagto ano]])</f>
        <v>12</v>
      </c>
      <c r="H6591" t="str">
        <f>TEXT(Tabela1[[#This Row],[Coluna2]]*29,"mmmm")</f>
        <v>dezembro</v>
      </c>
      <c r="I6591" t="str">
        <f>TEXT(MONTH(Tabela1[[#This Row],[Último pagto ano]])*29,"mmmm")</f>
        <v>dezembro</v>
      </c>
    </row>
    <row r="6592" spans="1:9" x14ac:dyDescent="0.25">
      <c r="A6592">
        <v>2025</v>
      </c>
      <c r="B6592" t="s">
        <v>13123</v>
      </c>
      <c r="C6592" s="1">
        <v>46010</v>
      </c>
      <c r="D6592" t="s">
        <v>13124</v>
      </c>
      <c r="E6592" s="2">
        <v>2800</v>
      </c>
      <c r="G6592" s="3">
        <f>MONTH(Tabela1[[#This Row],[Último pagto ano]])</f>
        <v>12</v>
      </c>
      <c r="H6592" t="str">
        <f>TEXT(Tabela1[[#This Row],[Coluna2]]*29,"mmmm")</f>
        <v>dezembro</v>
      </c>
      <c r="I6592" t="str">
        <f>TEXT(MONTH(Tabela1[[#This Row],[Último pagto ano]])*29,"mmmm")</f>
        <v>dezembro</v>
      </c>
    </row>
    <row r="6593" spans="1:9" x14ac:dyDescent="0.25">
      <c r="A6593">
        <v>2025</v>
      </c>
      <c r="B6593" t="s">
        <v>13125</v>
      </c>
      <c r="C6593" s="1">
        <v>45989</v>
      </c>
      <c r="D6593" t="s">
        <v>13126</v>
      </c>
      <c r="E6593" s="2">
        <v>11755.61</v>
      </c>
      <c r="G6593" s="3">
        <f>MONTH(Tabela1[[#This Row],[Último pagto ano]])</f>
        <v>11</v>
      </c>
      <c r="H6593" t="str">
        <f>TEXT(Tabela1[[#This Row],[Coluna2]]*29,"mmmm")</f>
        <v>novembro</v>
      </c>
      <c r="I6593" t="str">
        <f>TEXT(MONTH(Tabela1[[#This Row],[Último pagto ano]])*29,"mmmm")</f>
        <v>novembro</v>
      </c>
    </row>
    <row r="6594" spans="1:9" x14ac:dyDescent="0.25">
      <c r="A6594">
        <v>2025</v>
      </c>
      <c r="B6594" t="s">
        <v>13127</v>
      </c>
      <c r="C6594" s="1">
        <v>45691</v>
      </c>
      <c r="D6594" t="s">
        <v>13128</v>
      </c>
      <c r="E6594" s="2">
        <v>97500</v>
      </c>
      <c r="G6594" s="3">
        <f>MONTH(Tabela1[[#This Row],[Último pagto ano]])</f>
        <v>2</v>
      </c>
      <c r="H6594" t="str">
        <f>TEXT(Tabela1[[#This Row],[Coluna2]]*29,"mmmm")</f>
        <v>fevereiro</v>
      </c>
      <c r="I6594" t="str">
        <f>TEXT(MONTH(Tabela1[[#This Row],[Último pagto ano]])*29,"mmmm")</f>
        <v>fevereiro</v>
      </c>
    </row>
    <row r="6595" spans="1:9" x14ac:dyDescent="0.25">
      <c r="A6595">
        <v>2025</v>
      </c>
      <c r="B6595" t="s">
        <v>13129</v>
      </c>
      <c r="C6595" s="1">
        <v>45866</v>
      </c>
      <c r="D6595" t="s">
        <v>13130</v>
      </c>
      <c r="E6595">
        <v>167.58</v>
      </c>
      <c r="G6595" s="3">
        <f>MONTH(Tabela1[[#This Row],[Último pagto ano]])</f>
        <v>7</v>
      </c>
      <c r="H6595" t="str">
        <f>TEXT(Tabela1[[#This Row],[Coluna2]]*29,"mmmm")</f>
        <v>julho</v>
      </c>
      <c r="I6595" t="str">
        <f>TEXT(MONTH(Tabela1[[#This Row],[Último pagto ano]])*29,"mmmm")</f>
        <v>julho</v>
      </c>
    </row>
    <row r="6596" spans="1:9" x14ac:dyDescent="0.25">
      <c r="A6596">
        <v>2025</v>
      </c>
      <c r="B6596" t="s">
        <v>13131</v>
      </c>
      <c r="C6596" s="1">
        <v>45775</v>
      </c>
      <c r="D6596" t="s">
        <v>13132</v>
      </c>
      <c r="E6596" s="2">
        <v>150000</v>
      </c>
      <c r="G6596" s="3">
        <f>MONTH(Tabela1[[#This Row],[Último pagto ano]])</f>
        <v>4</v>
      </c>
      <c r="H6596" t="str">
        <f>TEXT(Tabela1[[#This Row],[Coluna2]]*29,"mmmm")</f>
        <v>abril</v>
      </c>
      <c r="I6596" t="str">
        <f>TEXT(MONTH(Tabela1[[#This Row],[Último pagto ano]])*29,"mmmm")</f>
        <v>abril</v>
      </c>
    </row>
    <row r="6597" spans="1:9" x14ac:dyDescent="0.25">
      <c r="A6597">
        <v>2025</v>
      </c>
      <c r="B6597" t="s">
        <v>13133</v>
      </c>
      <c r="C6597" s="1">
        <v>45985</v>
      </c>
      <c r="D6597" t="s">
        <v>13134</v>
      </c>
      <c r="E6597">
        <v>720</v>
      </c>
      <c r="G6597" s="3">
        <f>MONTH(Tabela1[[#This Row],[Último pagto ano]])</f>
        <v>11</v>
      </c>
      <c r="H6597" t="str">
        <f>TEXT(Tabela1[[#This Row],[Coluna2]]*29,"mmmm")</f>
        <v>novembro</v>
      </c>
      <c r="I6597" t="str">
        <f>TEXT(MONTH(Tabela1[[#This Row],[Último pagto ano]])*29,"mmmm")</f>
        <v>novembro</v>
      </c>
    </row>
    <row r="6598" spans="1:9" x14ac:dyDescent="0.25">
      <c r="A6598">
        <v>2025</v>
      </c>
      <c r="B6598" t="s">
        <v>13135</v>
      </c>
      <c r="C6598" s="1">
        <v>45968</v>
      </c>
      <c r="D6598" t="s">
        <v>13136</v>
      </c>
      <c r="E6598" s="2">
        <v>1500</v>
      </c>
      <c r="G6598" s="3">
        <f>MONTH(Tabela1[[#This Row],[Último pagto ano]])</f>
        <v>11</v>
      </c>
      <c r="H6598" t="str">
        <f>TEXT(Tabela1[[#This Row],[Coluna2]]*29,"mmmm")</f>
        <v>novembro</v>
      </c>
      <c r="I6598" t="str">
        <f>TEXT(MONTH(Tabela1[[#This Row],[Último pagto ano]])*29,"mmmm")</f>
        <v>novembro</v>
      </c>
    </row>
    <row r="6599" spans="1:9" x14ac:dyDescent="0.25">
      <c r="A6599">
        <v>2025</v>
      </c>
      <c r="B6599" t="s">
        <v>13137</v>
      </c>
      <c r="C6599" s="1">
        <v>45996</v>
      </c>
      <c r="D6599" t="s">
        <v>13138</v>
      </c>
      <c r="E6599" s="2">
        <v>10900</v>
      </c>
      <c r="G6599" s="3">
        <f>MONTH(Tabela1[[#This Row],[Último pagto ano]])</f>
        <v>12</v>
      </c>
      <c r="H6599" t="str">
        <f>TEXT(Tabela1[[#This Row],[Coluna2]]*29,"mmmm")</f>
        <v>dezembro</v>
      </c>
      <c r="I6599" t="str">
        <f>TEXT(MONTH(Tabela1[[#This Row],[Último pagto ano]])*29,"mmmm")</f>
        <v>dezembro</v>
      </c>
    </row>
    <row r="6600" spans="1:9" x14ac:dyDescent="0.25">
      <c r="A6600">
        <v>2025</v>
      </c>
      <c r="B6600" t="s">
        <v>13139</v>
      </c>
      <c r="C6600" s="1">
        <v>46013</v>
      </c>
      <c r="D6600" t="s">
        <v>13140</v>
      </c>
      <c r="E6600" s="2">
        <v>11070</v>
      </c>
      <c r="G6600" s="3">
        <f>MONTH(Tabela1[[#This Row],[Último pagto ano]])</f>
        <v>12</v>
      </c>
      <c r="H6600" t="str">
        <f>TEXT(Tabela1[[#This Row],[Coluna2]]*29,"mmmm")</f>
        <v>dezembro</v>
      </c>
      <c r="I6600" t="str">
        <f>TEXT(MONTH(Tabela1[[#This Row],[Último pagto ano]])*29,"mmmm")</f>
        <v>dezembro</v>
      </c>
    </row>
    <row r="6601" spans="1:9" x14ac:dyDescent="0.25">
      <c r="A6601">
        <v>2025</v>
      </c>
      <c r="B6601" t="s">
        <v>13141</v>
      </c>
      <c r="C6601" s="1">
        <v>46014</v>
      </c>
      <c r="D6601" t="s">
        <v>13142</v>
      </c>
      <c r="E6601">
        <v>44</v>
      </c>
      <c r="G6601" s="3">
        <f>MONTH(Tabela1[[#This Row],[Último pagto ano]])</f>
        <v>12</v>
      </c>
      <c r="H6601" t="str">
        <f>TEXT(Tabela1[[#This Row],[Coluna2]]*29,"mmmm")</f>
        <v>dezembro</v>
      </c>
      <c r="I6601" t="str">
        <f>TEXT(MONTH(Tabela1[[#This Row],[Último pagto ano]])*29,"mmmm")</f>
        <v>dezembro</v>
      </c>
    </row>
    <row r="6602" spans="1:9" x14ac:dyDescent="0.25">
      <c r="A6602">
        <v>2025</v>
      </c>
      <c r="B6602" t="s">
        <v>13143</v>
      </c>
      <c r="C6602" s="1">
        <v>46021</v>
      </c>
      <c r="D6602" t="s">
        <v>13144</v>
      </c>
      <c r="E6602" s="2">
        <v>3520621.69</v>
      </c>
      <c r="G6602" s="3">
        <f>MONTH(Tabela1[[#This Row],[Último pagto ano]])</f>
        <v>12</v>
      </c>
      <c r="H6602" t="str">
        <f>TEXT(Tabela1[[#This Row],[Coluna2]]*29,"mmmm")</f>
        <v>dezembro</v>
      </c>
      <c r="I6602" t="str">
        <f>TEXT(MONTH(Tabela1[[#This Row],[Último pagto ano]])*29,"mmmm")</f>
        <v>dezembro</v>
      </c>
    </row>
    <row r="6603" spans="1:9" x14ac:dyDescent="0.25">
      <c r="A6603">
        <v>2025</v>
      </c>
      <c r="B6603" t="s">
        <v>13145</v>
      </c>
      <c r="C6603" s="1">
        <v>46014</v>
      </c>
      <c r="D6603" t="s">
        <v>13146</v>
      </c>
      <c r="E6603" s="2">
        <v>19193</v>
      </c>
      <c r="G6603" s="3">
        <f>MONTH(Tabela1[[#This Row],[Último pagto ano]])</f>
        <v>12</v>
      </c>
      <c r="H6603" t="str">
        <f>TEXT(Tabela1[[#This Row],[Coluna2]]*29,"mmmm")</f>
        <v>dezembro</v>
      </c>
      <c r="I6603" t="str">
        <f>TEXT(MONTH(Tabela1[[#This Row],[Último pagto ano]])*29,"mmmm")</f>
        <v>dezembro</v>
      </c>
    </row>
    <row r="6604" spans="1:9" x14ac:dyDescent="0.25">
      <c r="A6604">
        <v>2025</v>
      </c>
      <c r="B6604" t="s">
        <v>13147</v>
      </c>
      <c r="C6604" s="1">
        <v>45975</v>
      </c>
      <c r="D6604" t="s">
        <v>13148</v>
      </c>
      <c r="E6604" s="2">
        <v>15000</v>
      </c>
      <c r="G6604" s="3">
        <f>MONTH(Tabela1[[#This Row],[Último pagto ano]])</f>
        <v>11</v>
      </c>
      <c r="H6604" t="str">
        <f>TEXT(Tabela1[[#This Row],[Coluna2]]*29,"mmmm")</f>
        <v>novembro</v>
      </c>
      <c r="I6604" t="str">
        <f>TEXT(MONTH(Tabela1[[#This Row],[Último pagto ano]])*29,"mmmm")</f>
        <v>novembro</v>
      </c>
    </row>
    <row r="6605" spans="1:9" x14ac:dyDescent="0.25">
      <c r="A6605">
        <v>2025</v>
      </c>
      <c r="B6605" t="s">
        <v>13149</v>
      </c>
      <c r="C6605" s="1">
        <v>45996</v>
      </c>
      <c r="D6605" t="s">
        <v>13150</v>
      </c>
      <c r="E6605" s="2">
        <v>55678.2</v>
      </c>
      <c r="G6605" s="3">
        <f>MONTH(Tabela1[[#This Row],[Último pagto ano]])</f>
        <v>12</v>
      </c>
      <c r="H6605" t="str">
        <f>TEXT(Tabela1[[#This Row],[Coluna2]]*29,"mmmm")</f>
        <v>dezembro</v>
      </c>
      <c r="I6605" t="str">
        <f>TEXT(MONTH(Tabela1[[#This Row],[Último pagto ano]])*29,"mmmm")</f>
        <v>dezembro</v>
      </c>
    </row>
    <row r="6606" spans="1:9" x14ac:dyDescent="0.25">
      <c r="A6606">
        <v>2025</v>
      </c>
      <c r="B6606" t="s">
        <v>13151</v>
      </c>
      <c r="C6606" s="1">
        <v>45810</v>
      </c>
      <c r="D6606" t="s">
        <v>13152</v>
      </c>
      <c r="E6606">
        <v>0.95</v>
      </c>
      <c r="G6606" s="3">
        <f>MONTH(Tabela1[[#This Row],[Último pagto ano]])</f>
        <v>6</v>
      </c>
      <c r="H6606" t="str">
        <f>TEXT(Tabela1[[#This Row],[Coluna2]]*29,"mmmm")</f>
        <v>junho</v>
      </c>
      <c r="I6606" t="str">
        <f>TEXT(MONTH(Tabela1[[#This Row],[Último pagto ano]])*29,"mmmm")</f>
        <v>junho</v>
      </c>
    </row>
    <row r="6607" spans="1:9" x14ac:dyDescent="0.25">
      <c r="A6607">
        <v>2025</v>
      </c>
      <c r="B6607" t="s">
        <v>13153</v>
      </c>
      <c r="C6607" s="1">
        <v>46010</v>
      </c>
      <c r="D6607" t="s">
        <v>13154</v>
      </c>
      <c r="E6607" s="2">
        <v>8400</v>
      </c>
      <c r="G6607" s="3">
        <f>MONTH(Tabela1[[#This Row],[Último pagto ano]])</f>
        <v>12</v>
      </c>
      <c r="H6607" t="str">
        <f>TEXT(Tabela1[[#This Row],[Coluna2]]*29,"mmmm")</f>
        <v>dezembro</v>
      </c>
      <c r="I6607" t="str">
        <f>TEXT(MONTH(Tabela1[[#This Row],[Último pagto ano]])*29,"mmmm")</f>
        <v>dezembro</v>
      </c>
    </row>
    <row r="6608" spans="1:9" x14ac:dyDescent="0.25">
      <c r="A6608">
        <v>2025</v>
      </c>
      <c r="B6608" t="s">
        <v>13155</v>
      </c>
      <c r="C6608" s="1">
        <v>45996</v>
      </c>
      <c r="D6608" t="s">
        <v>13156</v>
      </c>
      <c r="E6608" s="2">
        <v>7500</v>
      </c>
      <c r="G6608" s="3">
        <f>MONTH(Tabela1[[#This Row],[Último pagto ano]])</f>
        <v>12</v>
      </c>
      <c r="H6608" t="str">
        <f>TEXT(Tabela1[[#This Row],[Coluna2]]*29,"mmmm")</f>
        <v>dezembro</v>
      </c>
      <c r="I6608" t="str">
        <f>TEXT(MONTH(Tabela1[[#This Row],[Último pagto ano]])*29,"mmmm")</f>
        <v>dezembro</v>
      </c>
    </row>
    <row r="6609" spans="1:9" x14ac:dyDescent="0.25">
      <c r="A6609">
        <v>2025</v>
      </c>
      <c r="B6609" t="s">
        <v>13157</v>
      </c>
      <c r="C6609" s="1">
        <v>45996</v>
      </c>
      <c r="D6609" t="s">
        <v>13158</v>
      </c>
      <c r="E6609" s="2">
        <v>22680</v>
      </c>
      <c r="G6609" s="3">
        <f>MONTH(Tabela1[[#This Row],[Último pagto ano]])</f>
        <v>12</v>
      </c>
      <c r="H6609" t="str">
        <f>TEXT(Tabela1[[#This Row],[Coluna2]]*29,"mmmm")</f>
        <v>dezembro</v>
      </c>
      <c r="I6609" t="str">
        <f>TEXT(MONTH(Tabela1[[#This Row],[Último pagto ano]])*29,"mmmm")</f>
        <v>dezembro</v>
      </c>
    </row>
    <row r="6610" spans="1:9" x14ac:dyDescent="0.25">
      <c r="A6610">
        <v>2025</v>
      </c>
      <c r="B6610" t="s">
        <v>13159</v>
      </c>
      <c r="C6610" s="1">
        <v>45989</v>
      </c>
      <c r="D6610" t="s">
        <v>13160</v>
      </c>
      <c r="E6610" s="2">
        <v>11761.47</v>
      </c>
      <c r="G6610" s="3">
        <f>MONTH(Tabela1[[#This Row],[Último pagto ano]])</f>
        <v>11</v>
      </c>
      <c r="H6610" t="str">
        <f>TEXT(Tabela1[[#This Row],[Coluna2]]*29,"mmmm")</f>
        <v>novembro</v>
      </c>
      <c r="I6610" t="str">
        <f>TEXT(MONTH(Tabela1[[#This Row],[Último pagto ano]])*29,"mmmm")</f>
        <v>novembro</v>
      </c>
    </row>
    <row r="6611" spans="1:9" x14ac:dyDescent="0.25">
      <c r="A6611">
        <v>2025</v>
      </c>
      <c r="B6611" t="s">
        <v>13161</v>
      </c>
      <c r="C6611" s="1">
        <v>45989</v>
      </c>
      <c r="D6611" t="s">
        <v>13162</v>
      </c>
      <c r="E6611" s="2">
        <v>6476.21</v>
      </c>
      <c r="G6611" s="3">
        <f>MONTH(Tabela1[[#This Row],[Último pagto ano]])</f>
        <v>11</v>
      </c>
      <c r="H6611" t="str">
        <f>TEXT(Tabela1[[#This Row],[Coluna2]]*29,"mmmm")</f>
        <v>novembro</v>
      </c>
      <c r="I6611" t="str">
        <f>TEXT(MONTH(Tabela1[[#This Row],[Último pagto ano]])*29,"mmmm")</f>
        <v>novembro</v>
      </c>
    </row>
    <row r="6612" spans="1:9" x14ac:dyDescent="0.25">
      <c r="A6612">
        <v>2025</v>
      </c>
      <c r="B6612" t="s">
        <v>13163</v>
      </c>
      <c r="C6612" s="1">
        <v>45673</v>
      </c>
      <c r="D6612" t="s">
        <v>13164</v>
      </c>
      <c r="E6612" s="2">
        <v>2800</v>
      </c>
      <c r="G6612" s="3">
        <f>MONTH(Tabela1[[#This Row],[Último pagto ano]])</f>
        <v>1</v>
      </c>
      <c r="H6612" t="str">
        <f>TEXT(Tabela1[[#This Row],[Coluna2]]*29,"mmmm")</f>
        <v>janeiro</v>
      </c>
      <c r="I6612" t="str">
        <f>TEXT(MONTH(Tabela1[[#This Row],[Último pagto ano]])*29,"mmmm")</f>
        <v>janeiro</v>
      </c>
    </row>
    <row r="6613" spans="1:9" x14ac:dyDescent="0.25">
      <c r="A6613">
        <v>2025</v>
      </c>
      <c r="B6613" t="s">
        <v>13165</v>
      </c>
      <c r="C6613" s="1">
        <v>45950</v>
      </c>
      <c r="D6613" t="s">
        <v>13166</v>
      </c>
      <c r="E6613">
        <v>44</v>
      </c>
      <c r="G6613" s="3">
        <f>MONTH(Tabela1[[#This Row],[Último pagto ano]])</f>
        <v>10</v>
      </c>
      <c r="H6613" t="str">
        <f>TEXT(Tabela1[[#This Row],[Coluna2]]*29,"mmmm")</f>
        <v>outubro</v>
      </c>
      <c r="I6613" t="str">
        <f>TEXT(MONTH(Tabela1[[#This Row],[Último pagto ano]])*29,"mmmm")</f>
        <v>outubro</v>
      </c>
    </row>
    <row r="6614" spans="1:9" x14ac:dyDescent="0.25">
      <c r="A6614">
        <v>2025</v>
      </c>
      <c r="B6614" t="s">
        <v>13167</v>
      </c>
      <c r="C6614" s="1">
        <v>45702</v>
      </c>
      <c r="D6614" t="s">
        <v>13168</v>
      </c>
      <c r="E6614">
        <v>246.3</v>
      </c>
      <c r="G6614" s="3">
        <f>MONTH(Tabela1[[#This Row],[Último pagto ano]])</f>
        <v>2</v>
      </c>
      <c r="H6614" t="str">
        <f>TEXT(Tabela1[[#This Row],[Coluna2]]*29,"mmmm")</f>
        <v>fevereiro</v>
      </c>
      <c r="I6614" t="str">
        <f>TEXT(MONTH(Tabela1[[#This Row],[Último pagto ano]])*29,"mmmm")</f>
        <v>fevereiro</v>
      </c>
    </row>
    <row r="6615" spans="1:9" x14ac:dyDescent="0.25">
      <c r="A6615">
        <v>2025</v>
      </c>
      <c r="B6615" t="s">
        <v>13169</v>
      </c>
      <c r="C6615" s="1">
        <v>45771</v>
      </c>
      <c r="D6615" t="s">
        <v>13170</v>
      </c>
      <c r="E6615" s="2">
        <v>2800</v>
      </c>
      <c r="G6615" s="3">
        <f>MONTH(Tabela1[[#This Row],[Último pagto ano]])</f>
        <v>4</v>
      </c>
      <c r="H6615" t="str">
        <f>TEXT(Tabela1[[#This Row],[Coluna2]]*29,"mmmm")</f>
        <v>abril</v>
      </c>
      <c r="I6615" t="str">
        <f>TEXT(MONTH(Tabela1[[#This Row],[Último pagto ano]])*29,"mmmm")</f>
        <v>abril</v>
      </c>
    </row>
    <row r="6616" spans="1:9" x14ac:dyDescent="0.25">
      <c r="A6616">
        <v>2025</v>
      </c>
      <c r="B6616" t="s">
        <v>13171</v>
      </c>
      <c r="C6616" s="1">
        <v>46014</v>
      </c>
      <c r="D6616" t="s">
        <v>13172</v>
      </c>
      <c r="E6616" s="2">
        <v>4720</v>
      </c>
      <c r="G6616" s="3">
        <f>MONTH(Tabela1[[#This Row],[Último pagto ano]])</f>
        <v>12</v>
      </c>
      <c r="H6616" t="str">
        <f>TEXT(Tabela1[[#This Row],[Coluna2]]*29,"mmmm")</f>
        <v>dezembro</v>
      </c>
      <c r="I6616" t="str">
        <f>TEXT(MONTH(Tabela1[[#This Row],[Último pagto ano]])*29,"mmmm")</f>
        <v>dezembro</v>
      </c>
    </row>
    <row r="6617" spans="1:9" x14ac:dyDescent="0.25">
      <c r="A6617">
        <v>2025</v>
      </c>
      <c r="B6617" t="s">
        <v>13173</v>
      </c>
      <c r="C6617" s="1">
        <v>45999</v>
      </c>
      <c r="D6617" t="s">
        <v>13174</v>
      </c>
      <c r="E6617">
        <v>44</v>
      </c>
      <c r="G6617" s="3">
        <f>MONTH(Tabela1[[#This Row],[Último pagto ano]])</f>
        <v>12</v>
      </c>
      <c r="H6617" t="str">
        <f>TEXT(Tabela1[[#This Row],[Coluna2]]*29,"mmmm")</f>
        <v>dezembro</v>
      </c>
      <c r="I6617" t="str">
        <f>TEXT(MONTH(Tabela1[[#This Row],[Último pagto ano]])*29,"mmmm")</f>
        <v>dezembro</v>
      </c>
    </row>
    <row r="6618" spans="1:9" x14ac:dyDescent="0.25">
      <c r="A6618">
        <v>2025</v>
      </c>
      <c r="B6618" t="s">
        <v>13175</v>
      </c>
      <c r="C6618" s="1">
        <v>45771</v>
      </c>
      <c r="D6618" t="s">
        <v>13176</v>
      </c>
      <c r="E6618" s="2">
        <v>2800</v>
      </c>
      <c r="G6618" s="3">
        <f>MONTH(Tabela1[[#This Row],[Último pagto ano]])</f>
        <v>4</v>
      </c>
      <c r="H6618" t="str">
        <f>TEXT(Tabela1[[#This Row],[Coluna2]]*29,"mmmm")</f>
        <v>abril</v>
      </c>
      <c r="I6618" t="str">
        <f>TEXT(MONTH(Tabela1[[#This Row],[Último pagto ano]])*29,"mmmm")</f>
        <v>abril</v>
      </c>
    </row>
    <row r="6619" spans="1:9" x14ac:dyDescent="0.25">
      <c r="A6619">
        <v>2025</v>
      </c>
      <c r="B6619" t="s">
        <v>13177</v>
      </c>
      <c r="C6619" s="1">
        <v>46010</v>
      </c>
      <c r="D6619" t="s">
        <v>13178</v>
      </c>
      <c r="E6619" s="2">
        <v>2800</v>
      </c>
      <c r="G6619" s="3">
        <f>MONTH(Tabela1[[#This Row],[Último pagto ano]])</f>
        <v>12</v>
      </c>
      <c r="H6619" t="str">
        <f>TEXT(Tabela1[[#This Row],[Coluna2]]*29,"mmmm")</f>
        <v>dezembro</v>
      </c>
      <c r="I6619" t="str">
        <f>TEXT(MONTH(Tabela1[[#This Row],[Último pagto ano]])*29,"mmmm")</f>
        <v>dezembro</v>
      </c>
    </row>
    <row r="6620" spans="1:9" x14ac:dyDescent="0.25">
      <c r="A6620">
        <v>2025</v>
      </c>
      <c r="B6620" t="s">
        <v>13179</v>
      </c>
      <c r="C6620" s="1">
        <v>45996</v>
      </c>
      <c r="D6620" t="s">
        <v>13180</v>
      </c>
      <c r="E6620" s="2">
        <v>13500</v>
      </c>
      <c r="G6620" s="3">
        <f>MONTH(Tabela1[[#This Row],[Último pagto ano]])</f>
        <v>12</v>
      </c>
      <c r="H6620" t="str">
        <f>TEXT(Tabela1[[#This Row],[Coluna2]]*29,"mmmm")</f>
        <v>dezembro</v>
      </c>
      <c r="I6620" t="str">
        <f>TEXT(MONTH(Tabela1[[#This Row],[Último pagto ano]])*29,"mmmm")</f>
        <v>dezembro</v>
      </c>
    </row>
    <row r="6621" spans="1:9" x14ac:dyDescent="0.25">
      <c r="A6621">
        <v>2025</v>
      </c>
      <c r="B6621" t="s">
        <v>13181</v>
      </c>
      <c r="C6621" s="1">
        <v>45702</v>
      </c>
      <c r="D6621" t="s">
        <v>13182</v>
      </c>
      <c r="E6621">
        <v>21.79</v>
      </c>
      <c r="G6621" s="3">
        <f>MONTH(Tabela1[[#This Row],[Último pagto ano]])</f>
        <v>2</v>
      </c>
      <c r="H6621" t="str">
        <f>TEXT(Tabela1[[#This Row],[Coluna2]]*29,"mmmm")</f>
        <v>fevereiro</v>
      </c>
      <c r="I6621" t="str">
        <f>TEXT(MONTH(Tabela1[[#This Row],[Último pagto ano]])*29,"mmmm")</f>
        <v>fevereiro</v>
      </c>
    </row>
    <row r="6622" spans="1:9" x14ac:dyDescent="0.25">
      <c r="A6622">
        <v>2025</v>
      </c>
      <c r="B6622" t="s">
        <v>13183</v>
      </c>
      <c r="C6622" s="1">
        <v>45670</v>
      </c>
      <c r="D6622" t="s">
        <v>13184</v>
      </c>
      <c r="E6622">
        <v>300</v>
      </c>
      <c r="G6622" s="3">
        <f>MONTH(Tabela1[[#This Row],[Último pagto ano]])</f>
        <v>1</v>
      </c>
      <c r="H6622" t="str">
        <f>TEXT(Tabela1[[#This Row],[Coluna2]]*29,"mmmm")</f>
        <v>janeiro</v>
      </c>
      <c r="I6622" t="str">
        <f>TEXT(MONTH(Tabela1[[#This Row],[Último pagto ano]])*29,"mmmm")</f>
        <v>janeiro</v>
      </c>
    </row>
    <row r="6623" spans="1:9" x14ac:dyDescent="0.25">
      <c r="A6623">
        <v>2025</v>
      </c>
      <c r="B6623" t="s">
        <v>13185</v>
      </c>
      <c r="C6623" s="1">
        <v>46010</v>
      </c>
      <c r="D6623" t="s">
        <v>13186</v>
      </c>
      <c r="E6623" s="2">
        <v>2100</v>
      </c>
      <c r="G6623" s="3">
        <f>MONTH(Tabela1[[#This Row],[Último pagto ano]])</f>
        <v>12</v>
      </c>
      <c r="H6623" t="str">
        <f>TEXT(Tabela1[[#This Row],[Coluna2]]*29,"mmmm")</f>
        <v>dezembro</v>
      </c>
      <c r="I6623" t="str">
        <f>TEXT(MONTH(Tabela1[[#This Row],[Último pagto ano]])*29,"mmmm")</f>
        <v>dezembro</v>
      </c>
    </row>
    <row r="6624" spans="1:9" x14ac:dyDescent="0.25">
      <c r="A6624">
        <v>2025</v>
      </c>
      <c r="B6624" t="s">
        <v>13187</v>
      </c>
      <c r="C6624" s="1">
        <v>46014</v>
      </c>
      <c r="D6624" t="s">
        <v>13188</v>
      </c>
      <c r="E6624" s="2">
        <v>5566</v>
      </c>
      <c r="G6624" s="3">
        <f>MONTH(Tabela1[[#This Row],[Último pagto ano]])</f>
        <v>12</v>
      </c>
      <c r="H6624" t="str">
        <f>TEXT(Tabela1[[#This Row],[Coluna2]]*29,"mmmm")</f>
        <v>dezembro</v>
      </c>
      <c r="I6624" t="str">
        <f>TEXT(MONTH(Tabela1[[#This Row],[Último pagto ano]])*29,"mmmm")</f>
        <v>dezembro</v>
      </c>
    </row>
    <row r="6625" spans="1:9" x14ac:dyDescent="0.25">
      <c r="A6625">
        <v>2025</v>
      </c>
      <c r="B6625" t="s">
        <v>13189</v>
      </c>
      <c r="C6625" s="1">
        <v>45852</v>
      </c>
      <c r="D6625" t="s">
        <v>13190</v>
      </c>
      <c r="E6625" s="2">
        <v>11230.29</v>
      </c>
      <c r="G6625" s="3">
        <f>MONTH(Tabela1[[#This Row],[Último pagto ano]])</f>
        <v>7</v>
      </c>
      <c r="H6625" t="str">
        <f>TEXT(Tabela1[[#This Row],[Coluna2]]*29,"mmmm")</f>
        <v>julho</v>
      </c>
      <c r="I6625" t="str">
        <f>TEXT(MONTH(Tabela1[[#This Row],[Último pagto ano]])*29,"mmmm")</f>
        <v>julho</v>
      </c>
    </row>
    <row r="6626" spans="1:9" x14ac:dyDescent="0.25">
      <c r="A6626">
        <v>2025</v>
      </c>
      <c r="B6626" t="s">
        <v>13191</v>
      </c>
      <c r="C6626" s="1">
        <v>45876</v>
      </c>
      <c r="D6626" t="s">
        <v>13192</v>
      </c>
      <c r="E6626" s="2">
        <v>15500</v>
      </c>
      <c r="G6626" s="3">
        <f>MONTH(Tabela1[[#This Row],[Último pagto ano]])</f>
        <v>8</v>
      </c>
      <c r="H6626" t="str">
        <f>TEXT(Tabela1[[#This Row],[Coluna2]]*29,"mmmm")</f>
        <v>agosto</v>
      </c>
      <c r="I6626" t="str">
        <f>TEXT(MONTH(Tabela1[[#This Row],[Último pagto ano]])*29,"mmmm")</f>
        <v>agosto</v>
      </c>
    </row>
    <row r="6627" spans="1:9" x14ac:dyDescent="0.25">
      <c r="A6627">
        <v>2025</v>
      </c>
      <c r="B6627" t="s">
        <v>13193</v>
      </c>
      <c r="C6627" s="1">
        <v>45999</v>
      </c>
      <c r="D6627" t="s">
        <v>13194</v>
      </c>
      <c r="E6627">
        <v>509.6</v>
      </c>
      <c r="G6627" s="3">
        <f>MONTH(Tabela1[[#This Row],[Último pagto ano]])</f>
        <v>12</v>
      </c>
      <c r="H6627" t="str">
        <f>TEXT(Tabela1[[#This Row],[Coluna2]]*29,"mmmm")</f>
        <v>dezembro</v>
      </c>
      <c r="I6627" t="str">
        <f>TEXT(MONTH(Tabela1[[#This Row],[Último pagto ano]])*29,"mmmm")</f>
        <v>dezembro</v>
      </c>
    </row>
    <row r="6628" spans="1:9" x14ac:dyDescent="0.25">
      <c r="A6628">
        <v>2025</v>
      </c>
      <c r="B6628" t="s">
        <v>13195</v>
      </c>
      <c r="C6628" s="1">
        <v>45978</v>
      </c>
      <c r="D6628" t="s">
        <v>13196</v>
      </c>
      <c r="E6628">
        <v>44</v>
      </c>
      <c r="G6628" s="3">
        <f>MONTH(Tabela1[[#This Row],[Último pagto ano]])</f>
        <v>11</v>
      </c>
      <c r="H6628" t="str">
        <f>TEXT(Tabela1[[#This Row],[Coluna2]]*29,"mmmm")</f>
        <v>novembro</v>
      </c>
      <c r="I6628" t="str">
        <f>TEXT(MONTH(Tabela1[[#This Row],[Último pagto ano]])*29,"mmmm")</f>
        <v>novembro</v>
      </c>
    </row>
    <row r="6629" spans="1:9" x14ac:dyDescent="0.25">
      <c r="A6629">
        <v>2025</v>
      </c>
      <c r="B6629" t="s">
        <v>13197</v>
      </c>
      <c r="C6629" s="1">
        <v>45856</v>
      </c>
      <c r="D6629" t="s">
        <v>13198</v>
      </c>
      <c r="E6629">
        <v>886.3</v>
      </c>
      <c r="G6629" s="3">
        <f>MONTH(Tabela1[[#This Row],[Último pagto ano]])</f>
        <v>7</v>
      </c>
      <c r="H6629" t="str">
        <f>TEXT(Tabela1[[#This Row],[Coluna2]]*29,"mmmm")</f>
        <v>julho</v>
      </c>
      <c r="I6629" t="str">
        <f>TEXT(MONTH(Tabela1[[#This Row],[Último pagto ano]])*29,"mmmm")</f>
        <v>julho</v>
      </c>
    </row>
    <row r="6630" spans="1:9" x14ac:dyDescent="0.25">
      <c r="A6630">
        <v>2025</v>
      </c>
      <c r="B6630" t="s">
        <v>13199</v>
      </c>
      <c r="C6630" s="1">
        <v>45887</v>
      </c>
      <c r="D6630" t="s">
        <v>13200</v>
      </c>
      <c r="E6630">
        <v>585</v>
      </c>
      <c r="G6630" s="3">
        <f>MONTH(Tabela1[[#This Row],[Último pagto ano]])</f>
        <v>8</v>
      </c>
      <c r="H6630" t="str">
        <f>TEXT(Tabela1[[#This Row],[Coluna2]]*29,"mmmm")</f>
        <v>agosto</v>
      </c>
      <c r="I6630" t="str">
        <f>TEXT(MONTH(Tabela1[[#This Row],[Último pagto ano]])*29,"mmmm")</f>
        <v>agosto</v>
      </c>
    </row>
    <row r="6631" spans="1:9" x14ac:dyDescent="0.25">
      <c r="A6631">
        <v>2025</v>
      </c>
      <c r="B6631" t="s">
        <v>13201</v>
      </c>
      <c r="C6631" s="1">
        <v>45887</v>
      </c>
      <c r="D6631" t="s">
        <v>13202</v>
      </c>
      <c r="E6631" s="2">
        <v>93551.06</v>
      </c>
      <c r="G6631" s="3">
        <f>MONTH(Tabela1[[#This Row],[Último pagto ano]])</f>
        <v>8</v>
      </c>
      <c r="H6631" t="str">
        <f>TEXT(Tabela1[[#This Row],[Coluna2]]*29,"mmmm")</f>
        <v>agosto</v>
      </c>
      <c r="I6631" t="str">
        <f>TEXT(MONTH(Tabela1[[#This Row],[Último pagto ano]])*29,"mmmm")</f>
        <v>agosto</v>
      </c>
    </row>
    <row r="6632" spans="1:9" x14ac:dyDescent="0.25">
      <c r="A6632">
        <v>2025</v>
      </c>
      <c r="B6632" t="s">
        <v>13203</v>
      </c>
      <c r="C6632" s="1">
        <v>46014</v>
      </c>
      <c r="D6632" t="s">
        <v>13204</v>
      </c>
      <c r="E6632" s="2">
        <v>1859509.63</v>
      </c>
      <c r="G6632" s="3">
        <f>MONTH(Tabela1[[#This Row],[Último pagto ano]])</f>
        <v>12</v>
      </c>
      <c r="H6632" t="str">
        <f>TEXT(Tabela1[[#This Row],[Coluna2]]*29,"mmmm")</f>
        <v>dezembro</v>
      </c>
      <c r="I6632" t="str">
        <f>TEXT(MONTH(Tabela1[[#This Row],[Último pagto ano]])*29,"mmmm")</f>
        <v>dezembro</v>
      </c>
    </row>
    <row r="6633" spans="1:9" x14ac:dyDescent="0.25">
      <c r="A6633">
        <v>2025</v>
      </c>
      <c r="B6633" t="s">
        <v>13205</v>
      </c>
      <c r="C6633" s="1">
        <v>46014</v>
      </c>
      <c r="D6633" t="s">
        <v>13206</v>
      </c>
      <c r="E6633" s="2">
        <v>243106</v>
      </c>
      <c r="G6633" s="3">
        <f>MONTH(Tabela1[[#This Row],[Último pagto ano]])</f>
        <v>12</v>
      </c>
      <c r="H6633" t="str">
        <f>TEXT(Tabela1[[#This Row],[Coluna2]]*29,"mmmm")</f>
        <v>dezembro</v>
      </c>
      <c r="I6633" t="str">
        <f>TEXT(MONTH(Tabela1[[#This Row],[Último pagto ano]])*29,"mmmm")</f>
        <v>dezembro</v>
      </c>
    </row>
    <row r="6634" spans="1:9" x14ac:dyDescent="0.25">
      <c r="A6634">
        <v>2025</v>
      </c>
      <c r="B6634" t="s">
        <v>13207</v>
      </c>
      <c r="C6634" s="1">
        <v>45870</v>
      </c>
      <c r="D6634" t="s">
        <v>13208</v>
      </c>
      <c r="E6634">
        <v>713.96</v>
      </c>
      <c r="G6634" s="3">
        <f>MONTH(Tabela1[[#This Row],[Último pagto ano]])</f>
        <v>8</v>
      </c>
      <c r="H6634" t="str">
        <f>TEXT(Tabela1[[#This Row],[Coluna2]]*29,"mmmm")</f>
        <v>agosto</v>
      </c>
      <c r="I6634" t="str">
        <f>TEXT(MONTH(Tabela1[[#This Row],[Último pagto ano]])*29,"mmmm")</f>
        <v>agosto</v>
      </c>
    </row>
    <row r="6635" spans="1:9" x14ac:dyDescent="0.25">
      <c r="A6635">
        <v>2025</v>
      </c>
      <c r="B6635" t="s">
        <v>13209</v>
      </c>
      <c r="C6635" s="1">
        <v>45989</v>
      </c>
      <c r="D6635" t="s">
        <v>13210</v>
      </c>
      <c r="E6635" s="2">
        <v>9045.1299999999992</v>
      </c>
      <c r="G6635" s="3">
        <f>MONTH(Tabela1[[#This Row],[Último pagto ano]])</f>
        <v>11</v>
      </c>
      <c r="H6635" t="str">
        <f>TEXT(Tabela1[[#This Row],[Coluna2]]*29,"mmmm")</f>
        <v>novembro</v>
      </c>
      <c r="I6635" t="str">
        <f>TEXT(MONTH(Tabela1[[#This Row],[Último pagto ano]])*29,"mmmm")</f>
        <v>novembro</v>
      </c>
    </row>
    <row r="6636" spans="1:9" x14ac:dyDescent="0.25">
      <c r="A6636">
        <v>2025</v>
      </c>
      <c r="B6636" t="s">
        <v>13211</v>
      </c>
      <c r="C6636" s="1">
        <v>45702</v>
      </c>
      <c r="D6636" t="s">
        <v>13212</v>
      </c>
      <c r="E6636">
        <v>54.39</v>
      </c>
      <c r="G6636" s="3">
        <f>MONTH(Tabela1[[#This Row],[Último pagto ano]])</f>
        <v>2</v>
      </c>
      <c r="H6636" t="str">
        <f>TEXT(Tabela1[[#This Row],[Coluna2]]*29,"mmmm")</f>
        <v>fevereiro</v>
      </c>
      <c r="I6636" t="str">
        <f>TEXT(MONTH(Tabela1[[#This Row],[Último pagto ano]])*29,"mmmm")</f>
        <v>fevereiro</v>
      </c>
    </row>
    <row r="6637" spans="1:9" x14ac:dyDescent="0.25">
      <c r="A6637">
        <v>2025</v>
      </c>
      <c r="B6637" t="s">
        <v>13213</v>
      </c>
      <c r="C6637" s="1">
        <v>46014</v>
      </c>
      <c r="D6637" t="s">
        <v>13214</v>
      </c>
      <c r="E6637">
        <v>920</v>
      </c>
      <c r="G6637" s="3">
        <f>MONTH(Tabela1[[#This Row],[Último pagto ano]])</f>
        <v>12</v>
      </c>
      <c r="H6637" t="str">
        <f>TEXT(Tabela1[[#This Row],[Coluna2]]*29,"mmmm")</f>
        <v>dezembro</v>
      </c>
      <c r="I6637" t="str">
        <f>TEXT(MONTH(Tabela1[[#This Row],[Último pagto ano]])*29,"mmmm")</f>
        <v>dezembro</v>
      </c>
    </row>
    <row r="6638" spans="1:9" x14ac:dyDescent="0.25">
      <c r="A6638">
        <v>2025</v>
      </c>
      <c r="B6638" t="s">
        <v>13215</v>
      </c>
      <c r="C6638" s="1">
        <v>45901</v>
      </c>
      <c r="D6638" t="s">
        <v>13216</v>
      </c>
      <c r="E6638">
        <v>264</v>
      </c>
      <c r="G6638" s="3">
        <f>MONTH(Tabela1[[#This Row],[Último pagto ano]])</f>
        <v>9</v>
      </c>
      <c r="H6638" t="str">
        <f>TEXT(Tabela1[[#This Row],[Coluna2]]*29,"mmmm")</f>
        <v>setembro</v>
      </c>
      <c r="I6638" t="str">
        <f>TEXT(MONTH(Tabela1[[#This Row],[Último pagto ano]])*29,"mmmm")</f>
        <v>setembro</v>
      </c>
    </row>
    <row r="6639" spans="1:9" x14ac:dyDescent="0.25">
      <c r="A6639">
        <v>2025</v>
      </c>
      <c r="B6639" t="s">
        <v>13217</v>
      </c>
      <c r="C6639" s="1">
        <v>45769</v>
      </c>
      <c r="D6639" t="s">
        <v>13218</v>
      </c>
      <c r="E6639">
        <v>66</v>
      </c>
      <c r="G6639" s="3">
        <f>MONTH(Tabela1[[#This Row],[Último pagto ano]])</f>
        <v>4</v>
      </c>
      <c r="H6639" t="str">
        <f>TEXT(Tabela1[[#This Row],[Coluna2]]*29,"mmmm")</f>
        <v>abril</v>
      </c>
      <c r="I6639" t="str">
        <f>TEXT(MONTH(Tabela1[[#This Row],[Último pagto ano]])*29,"mmmm")</f>
        <v>abril</v>
      </c>
    </row>
    <row r="6640" spans="1:9" x14ac:dyDescent="0.25">
      <c r="A6640">
        <v>2025</v>
      </c>
      <c r="B6640" t="s">
        <v>13219</v>
      </c>
      <c r="C6640" s="1">
        <v>45824</v>
      </c>
      <c r="D6640" t="s">
        <v>13220</v>
      </c>
      <c r="E6640" s="2">
        <v>5400.91</v>
      </c>
      <c r="G6640" s="3">
        <f>MONTH(Tabela1[[#This Row],[Último pagto ano]])</f>
        <v>6</v>
      </c>
      <c r="H6640" t="str">
        <f>TEXT(Tabela1[[#This Row],[Coluna2]]*29,"mmmm")</f>
        <v>junho</v>
      </c>
      <c r="I6640" t="str">
        <f>TEXT(MONTH(Tabela1[[#This Row],[Último pagto ano]])*29,"mmmm")</f>
        <v>junho</v>
      </c>
    </row>
    <row r="6641" spans="1:9" x14ac:dyDescent="0.25">
      <c r="A6641">
        <v>2025</v>
      </c>
      <c r="B6641" t="s">
        <v>13221</v>
      </c>
      <c r="C6641" s="1">
        <v>45832</v>
      </c>
      <c r="D6641" t="s">
        <v>13222</v>
      </c>
      <c r="E6641" s="2">
        <v>1400</v>
      </c>
      <c r="G6641" s="3">
        <f>MONTH(Tabela1[[#This Row],[Último pagto ano]])</f>
        <v>6</v>
      </c>
      <c r="H6641" t="str">
        <f>TEXT(Tabela1[[#This Row],[Coluna2]]*29,"mmmm")</f>
        <v>junho</v>
      </c>
      <c r="I6641" t="str">
        <f>TEXT(MONTH(Tabela1[[#This Row],[Último pagto ano]])*29,"mmmm")</f>
        <v>junho</v>
      </c>
    </row>
    <row r="6642" spans="1:9" x14ac:dyDescent="0.25">
      <c r="A6642">
        <v>2025</v>
      </c>
      <c r="B6642" t="s">
        <v>13223</v>
      </c>
      <c r="C6642" s="1">
        <v>45831</v>
      </c>
      <c r="D6642" t="s">
        <v>13224</v>
      </c>
      <c r="E6642" s="2">
        <v>9372.4500000000007</v>
      </c>
      <c r="G6642" s="3">
        <f>MONTH(Tabela1[[#This Row],[Último pagto ano]])</f>
        <v>6</v>
      </c>
      <c r="H6642" t="str">
        <f>TEXT(Tabela1[[#This Row],[Coluna2]]*29,"mmmm")</f>
        <v>junho</v>
      </c>
      <c r="I6642" t="str">
        <f>TEXT(MONTH(Tabela1[[#This Row],[Último pagto ano]])*29,"mmmm")</f>
        <v>junho</v>
      </c>
    </row>
    <row r="6643" spans="1:9" x14ac:dyDescent="0.25">
      <c r="A6643">
        <v>2025</v>
      </c>
      <c r="B6643" t="s">
        <v>13225</v>
      </c>
      <c r="C6643" s="1">
        <v>46010</v>
      </c>
      <c r="D6643" t="s">
        <v>13226</v>
      </c>
      <c r="E6643" s="2">
        <v>80792.160000000003</v>
      </c>
      <c r="G6643" s="3">
        <f>MONTH(Tabela1[[#This Row],[Último pagto ano]])</f>
        <v>12</v>
      </c>
      <c r="H6643" t="str">
        <f>TEXT(Tabela1[[#This Row],[Coluna2]]*29,"mmmm")</f>
        <v>dezembro</v>
      </c>
      <c r="I6643" t="str">
        <f>TEXT(MONTH(Tabela1[[#This Row],[Último pagto ano]])*29,"mmmm")</f>
        <v>dezembro</v>
      </c>
    </row>
    <row r="6644" spans="1:9" x14ac:dyDescent="0.25">
      <c r="A6644">
        <v>2025</v>
      </c>
      <c r="B6644" t="s">
        <v>13227</v>
      </c>
      <c r="C6644" s="1">
        <v>45786</v>
      </c>
      <c r="D6644" t="s">
        <v>13228</v>
      </c>
      <c r="E6644" s="2">
        <v>8981.6</v>
      </c>
      <c r="G6644" s="3">
        <f>MONTH(Tabela1[[#This Row],[Último pagto ano]])</f>
        <v>5</v>
      </c>
      <c r="H6644" t="str">
        <f>TEXT(Tabela1[[#This Row],[Coluna2]]*29,"mmmm")</f>
        <v>maio</v>
      </c>
      <c r="I6644" t="str">
        <f>TEXT(MONTH(Tabela1[[#This Row],[Último pagto ano]])*29,"mmmm")</f>
        <v>maio</v>
      </c>
    </row>
    <row r="6645" spans="1:9" x14ac:dyDescent="0.25">
      <c r="A6645">
        <v>2025</v>
      </c>
      <c r="B6645" t="s">
        <v>13229</v>
      </c>
      <c r="C6645" s="1">
        <v>45831</v>
      </c>
      <c r="D6645" t="s">
        <v>13230</v>
      </c>
      <c r="E6645" s="2">
        <v>2100</v>
      </c>
      <c r="G6645" s="3">
        <f>MONTH(Tabela1[[#This Row],[Último pagto ano]])</f>
        <v>6</v>
      </c>
      <c r="H6645" t="str">
        <f>TEXT(Tabela1[[#This Row],[Coluna2]]*29,"mmmm")</f>
        <v>junho</v>
      </c>
      <c r="I6645" t="str">
        <f>TEXT(MONTH(Tabela1[[#This Row],[Último pagto ano]])*29,"mmmm")</f>
        <v>junho</v>
      </c>
    </row>
    <row r="6646" spans="1:9" x14ac:dyDescent="0.25">
      <c r="A6646">
        <v>2025</v>
      </c>
      <c r="B6646" t="s">
        <v>13231</v>
      </c>
      <c r="C6646" s="1">
        <v>45985</v>
      </c>
      <c r="D6646" t="s">
        <v>13232</v>
      </c>
      <c r="E6646">
        <v>517</v>
      </c>
      <c r="G6646" s="3">
        <f>MONTH(Tabela1[[#This Row],[Último pagto ano]])</f>
        <v>11</v>
      </c>
      <c r="H6646" t="str">
        <f>TEXT(Tabela1[[#This Row],[Coluna2]]*29,"mmmm")</f>
        <v>novembro</v>
      </c>
      <c r="I6646" t="str">
        <f>TEXT(MONTH(Tabela1[[#This Row],[Último pagto ano]])*29,"mmmm")</f>
        <v>novembro</v>
      </c>
    </row>
    <row r="6647" spans="1:9" x14ac:dyDescent="0.25">
      <c r="A6647">
        <v>2025</v>
      </c>
      <c r="B6647" t="s">
        <v>13233</v>
      </c>
      <c r="C6647" s="1">
        <v>45740</v>
      </c>
      <c r="D6647" t="s">
        <v>13234</v>
      </c>
      <c r="E6647">
        <v>11</v>
      </c>
      <c r="G6647" s="3">
        <f>MONTH(Tabela1[[#This Row],[Último pagto ano]])</f>
        <v>3</v>
      </c>
      <c r="H6647" t="str">
        <f>TEXT(Tabela1[[#This Row],[Coluna2]]*29,"mmmm")</f>
        <v>março</v>
      </c>
      <c r="I6647" t="str">
        <f>TEXT(MONTH(Tabela1[[#This Row],[Último pagto ano]])*29,"mmmm")</f>
        <v>março</v>
      </c>
    </row>
    <row r="6648" spans="1:9" x14ac:dyDescent="0.25">
      <c r="A6648">
        <v>2025</v>
      </c>
      <c r="B6648" t="s">
        <v>13235</v>
      </c>
      <c r="C6648" s="1">
        <v>45748</v>
      </c>
      <c r="D6648" t="s">
        <v>13236</v>
      </c>
      <c r="E6648" s="2">
        <v>2201.7199999999998</v>
      </c>
      <c r="G6648" s="3">
        <f>MONTH(Tabela1[[#This Row],[Último pagto ano]])</f>
        <v>4</v>
      </c>
      <c r="H6648" t="str">
        <f>TEXT(Tabela1[[#This Row],[Coluna2]]*29,"mmmm")</f>
        <v>abril</v>
      </c>
      <c r="I6648" t="str">
        <f>TEXT(MONTH(Tabela1[[#This Row],[Último pagto ano]])*29,"mmmm")</f>
        <v>abril</v>
      </c>
    </row>
    <row r="6649" spans="1:9" x14ac:dyDescent="0.25">
      <c r="A6649">
        <v>2025</v>
      </c>
      <c r="B6649" t="s">
        <v>13237</v>
      </c>
      <c r="C6649" s="1">
        <v>45989</v>
      </c>
      <c r="D6649" t="s">
        <v>13238</v>
      </c>
      <c r="E6649" s="2">
        <v>11344.37</v>
      </c>
      <c r="G6649" s="3">
        <f>MONTH(Tabela1[[#This Row],[Último pagto ano]])</f>
        <v>11</v>
      </c>
      <c r="H6649" t="str">
        <f>TEXT(Tabela1[[#This Row],[Coluna2]]*29,"mmmm")</f>
        <v>novembro</v>
      </c>
      <c r="I6649" t="str">
        <f>TEXT(MONTH(Tabela1[[#This Row],[Último pagto ano]])*29,"mmmm")</f>
        <v>novembro</v>
      </c>
    </row>
    <row r="6650" spans="1:9" x14ac:dyDescent="0.25">
      <c r="A6650">
        <v>2025</v>
      </c>
      <c r="B6650" t="s">
        <v>13239</v>
      </c>
      <c r="C6650" s="1">
        <v>45672</v>
      </c>
      <c r="D6650" t="s">
        <v>13240</v>
      </c>
      <c r="E6650">
        <v>282.88</v>
      </c>
      <c r="G6650" s="3">
        <f>MONTH(Tabela1[[#This Row],[Último pagto ano]])</f>
        <v>1</v>
      </c>
      <c r="H6650" t="str">
        <f>TEXT(Tabela1[[#This Row],[Coluna2]]*29,"mmmm")</f>
        <v>janeiro</v>
      </c>
      <c r="I6650" t="str">
        <f>TEXT(MONTH(Tabela1[[#This Row],[Último pagto ano]])*29,"mmmm")</f>
        <v>janeiro</v>
      </c>
    </row>
    <row r="6651" spans="1:9" x14ac:dyDescent="0.25">
      <c r="A6651">
        <v>2025</v>
      </c>
      <c r="B6651" t="s">
        <v>13241</v>
      </c>
      <c r="C6651" s="1">
        <v>45698</v>
      </c>
      <c r="D6651" t="s">
        <v>13242</v>
      </c>
      <c r="E6651">
        <v>414.22</v>
      </c>
      <c r="G6651" s="3">
        <f>MONTH(Tabela1[[#This Row],[Último pagto ano]])</f>
        <v>2</v>
      </c>
      <c r="H6651" t="str">
        <f>TEXT(Tabela1[[#This Row],[Coluna2]]*29,"mmmm")</f>
        <v>fevereiro</v>
      </c>
      <c r="I6651" t="str">
        <f>TEXT(MONTH(Tabela1[[#This Row],[Último pagto ano]])*29,"mmmm")</f>
        <v>fevereiro</v>
      </c>
    </row>
    <row r="6652" spans="1:9" x14ac:dyDescent="0.25">
      <c r="A6652">
        <v>2025</v>
      </c>
      <c r="B6652" t="s">
        <v>13243</v>
      </c>
      <c r="C6652" s="1">
        <v>45989</v>
      </c>
      <c r="D6652" t="s">
        <v>13244</v>
      </c>
      <c r="E6652" s="2">
        <v>5386.98</v>
      </c>
      <c r="G6652" s="3">
        <f>MONTH(Tabela1[[#This Row],[Último pagto ano]])</f>
        <v>11</v>
      </c>
      <c r="H6652" t="str">
        <f>TEXT(Tabela1[[#This Row],[Coluna2]]*29,"mmmm")</f>
        <v>novembro</v>
      </c>
      <c r="I6652" t="str">
        <f>TEXT(MONTH(Tabela1[[#This Row],[Último pagto ano]])*29,"mmmm")</f>
        <v>novembro</v>
      </c>
    </row>
    <row r="6653" spans="1:9" x14ac:dyDescent="0.25">
      <c r="A6653">
        <v>2025</v>
      </c>
      <c r="B6653" t="s">
        <v>13245</v>
      </c>
      <c r="C6653" s="1">
        <v>45838</v>
      </c>
      <c r="D6653" t="s">
        <v>13246</v>
      </c>
      <c r="E6653">
        <v>22</v>
      </c>
      <c r="G6653" s="3">
        <f>MONTH(Tabela1[[#This Row],[Último pagto ano]])</f>
        <v>6</v>
      </c>
      <c r="H6653" t="str">
        <f>TEXT(Tabela1[[#This Row],[Coluna2]]*29,"mmmm")</f>
        <v>junho</v>
      </c>
      <c r="I6653" t="str">
        <f>TEXT(MONTH(Tabela1[[#This Row],[Último pagto ano]])*29,"mmmm")</f>
        <v>junho</v>
      </c>
    </row>
    <row r="6654" spans="1:9" x14ac:dyDescent="0.25">
      <c r="A6654">
        <v>2025</v>
      </c>
      <c r="B6654" t="s">
        <v>13247</v>
      </c>
      <c r="C6654" s="1">
        <v>45992</v>
      </c>
      <c r="D6654" t="s">
        <v>13248</v>
      </c>
      <c r="E6654">
        <v>48.86</v>
      </c>
      <c r="G6654" s="3">
        <f>MONTH(Tabela1[[#This Row],[Último pagto ano]])</f>
        <v>12</v>
      </c>
      <c r="H6654" t="str">
        <f>TEXT(Tabela1[[#This Row],[Coluna2]]*29,"mmmm")</f>
        <v>dezembro</v>
      </c>
      <c r="I6654" t="str">
        <f>TEXT(MONTH(Tabela1[[#This Row],[Último pagto ano]])*29,"mmmm")</f>
        <v>dezembro</v>
      </c>
    </row>
    <row r="6655" spans="1:9" x14ac:dyDescent="0.25">
      <c r="A6655">
        <v>2025</v>
      </c>
      <c r="B6655" t="s">
        <v>13249</v>
      </c>
      <c r="C6655" s="1">
        <v>45835</v>
      </c>
      <c r="D6655" t="s">
        <v>13250</v>
      </c>
      <c r="E6655">
        <v>29.99</v>
      </c>
      <c r="G6655" s="3">
        <f>MONTH(Tabela1[[#This Row],[Último pagto ano]])</f>
        <v>6</v>
      </c>
      <c r="H6655" t="str">
        <f>TEXT(Tabela1[[#This Row],[Coluna2]]*29,"mmmm")</f>
        <v>junho</v>
      </c>
      <c r="I6655" t="str">
        <f>TEXT(MONTH(Tabela1[[#This Row],[Último pagto ano]])*29,"mmmm")</f>
        <v>junho</v>
      </c>
    </row>
    <row r="6656" spans="1:9" x14ac:dyDescent="0.25">
      <c r="A6656">
        <v>2025</v>
      </c>
      <c r="B6656" t="s">
        <v>13251</v>
      </c>
      <c r="C6656" s="1">
        <v>45985</v>
      </c>
      <c r="D6656" t="s">
        <v>13252</v>
      </c>
      <c r="E6656" s="2">
        <v>20337.46</v>
      </c>
      <c r="G6656" s="3">
        <f>MONTH(Tabela1[[#This Row],[Último pagto ano]])</f>
        <v>11</v>
      </c>
      <c r="H6656" t="str">
        <f>TEXT(Tabela1[[#This Row],[Coluna2]]*29,"mmmm")</f>
        <v>novembro</v>
      </c>
      <c r="I6656" t="str">
        <f>TEXT(MONTH(Tabela1[[#This Row],[Último pagto ano]])*29,"mmmm")</f>
        <v>novembro</v>
      </c>
    </row>
    <row r="6657" spans="1:9" x14ac:dyDescent="0.25">
      <c r="A6657">
        <v>2025</v>
      </c>
      <c r="B6657" t="s">
        <v>13253</v>
      </c>
      <c r="C6657" s="1">
        <v>45824</v>
      </c>
      <c r="D6657" t="s">
        <v>13254</v>
      </c>
      <c r="E6657" s="2">
        <v>4200</v>
      </c>
      <c r="G6657" s="3">
        <f>MONTH(Tabela1[[#This Row],[Último pagto ano]])</f>
        <v>6</v>
      </c>
      <c r="H6657" t="str">
        <f>TEXT(Tabela1[[#This Row],[Coluna2]]*29,"mmmm")</f>
        <v>junho</v>
      </c>
      <c r="I6657" t="str">
        <f>TEXT(MONTH(Tabela1[[#This Row],[Último pagto ano]])*29,"mmmm")</f>
        <v>junho</v>
      </c>
    </row>
    <row r="6658" spans="1:9" x14ac:dyDescent="0.25">
      <c r="A6658">
        <v>2025</v>
      </c>
      <c r="B6658" t="s">
        <v>13255</v>
      </c>
      <c r="C6658" s="1">
        <v>45911</v>
      </c>
      <c r="D6658" t="s">
        <v>13256</v>
      </c>
      <c r="E6658" s="2">
        <v>3000</v>
      </c>
      <c r="G6658" s="3">
        <f>MONTH(Tabela1[[#This Row],[Último pagto ano]])</f>
        <v>9</v>
      </c>
      <c r="H6658" t="str">
        <f>TEXT(Tabela1[[#This Row],[Coluna2]]*29,"mmmm")</f>
        <v>setembro</v>
      </c>
      <c r="I6658" t="str">
        <f>TEXT(MONTH(Tabela1[[#This Row],[Último pagto ano]])*29,"mmmm")</f>
        <v>setembro</v>
      </c>
    </row>
    <row r="6659" spans="1:9" x14ac:dyDescent="0.25">
      <c r="A6659">
        <v>2025</v>
      </c>
      <c r="B6659" t="s">
        <v>13257</v>
      </c>
      <c r="C6659" s="1">
        <v>46013</v>
      </c>
      <c r="D6659" t="s">
        <v>13258</v>
      </c>
      <c r="E6659" s="2">
        <v>2080</v>
      </c>
      <c r="G6659" s="3">
        <f>MONTH(Tabela1[[#This Row],[Último pagto ano]])</f>
        <v>12</v>
      </c>
      <c r="H6659" t="str">
        <f>TEXT(Tabela1[[#This Row],[Coluna2]]*29,"mmmm")</f>
        <v>dezembro</v>
      </c>
      <c r="I6659" t="str">
        <f>TEXT(MONTH(Tabela1[[#This Row],[Último pagto ano]])*29,"mmmm")</f>
        <v>dezembro</v>
      </c>
    </row>
    <row r="6660" spans="1:9" x14ac:dyDescent="0.25">
      <c r="A6660">
        <v>2025</v>
      </c>
      <c r="B6660" t="s">
        <v>13259</v>
      </c>
      <c r="C6660" s="1">
        <v>45842</v>
      </c>
      <c r="D6660" t="s">
        <v>13260</v>
      </c>
      <c r="E6660">
        <v>5.61</v>
      </c>
      <c r="G6660" s="3">
        <f>MONTH(Tabela1[[#This Row],[Último pagto ano]])</f>
        <v>7</v>
      </c>
      <c r="H6660" t="str">
        <f>TEXT(Tabela1[[#This Row],[Coluna2]]*29,"mmmm")</f>
        <v>julho</v>
      </c>
      <c r="I6660" t="str">
        <f>TEXT(MONTH(Tabela1[[#This Row],[Último pagto ano]])*29,"mmmm")</f>
        <v>julho</v>
      </c>
    </row>
    <row r="6661" spans="1:9" x14ac:dyDescent="0.25">
      <c r="A6661">
        <v>2025</v>
      </c>
      <c r="B6661" t="s">
        <v>13261</v>
      </c>
      <c r="C6661" s="1">
        <v>46006</v>
      </c>
      <c r="D6661" t="s">
        <v>13262</v>
      </c>
      <c r="E6661" s="2">
        <v>8400</v>
      </c>
      <c r="G6661" s="3">
        <f>MONTH(Tabela1[[#This Row],[Último pagto ano]])</f>
        <v>12</v>
      </c>
      <c r="H6661" t="str">
        <f>TEXT(Tabela1[[#This Row],[Coluna2]]*29,"mmmm")</f>
        <v>dezembro</v>
      </c>
      <c r="I6661" t="str">
        <f>TEXT(MONTH(Tabela1[[#This Row],[Último pagto ano]])*29,"mmmm")</f>
        <v>dezembro</v>
      </c>
    </row>
    <row r="6662" spans="1:9" x14ac:dyDescent="0.25">
      <c r="A6662">
        <v>2025</v>
      </c>
      <c r="B6662" t="s">
        <v>13263</v>
      </c>
      <c r="C6662" s="1">
        <v>45964</v>
      </c>
      <c r="D6662" t="s">
        <v>13264</v>
      </c>
      <c r="E6662">
        <v>55</v>
      </c>
      <c r="G6662" s="3">
        <f>MONTH(Tabela1[[#This Row],[Último pagto ano]])</f>
        <v>11</v>
      </c>
      <c r="H6662" t="str">
        <f>TEXT(Tabela1[[#This Row],[Coluna2]]*29,"mmmm")</f>
        <v>novembro</v>
      </c>
      <c r="I6662" t="str">
        <f>TEXT(MONTH(Tabela1[[#This Row],[Último pagto ano]])*29,"mmmm")</f>
        <v>novembro</v>
      </c>
    </row>
    <row r="6663" spans="1:9" x14ac:dyDescent="0.25">
      <c r="A6663">
        <v>2025</v>
      </c>
      <c r="B6663" t="s">
        <v>13265</v>
      </c>
      <c r="C6663" s="1">
        <v>45674</v>
      </c>
      <c r="D6663" t="s">
        <v>13266</v>
      </c>
      <c r="E6663" s="2">
        <v>7581.83</v>
      </c>
      <c r="G6663" s="3">
        <f>MONTH(Tabela1[[#This Row],[Último pagto ano]])</f>
        <v>1</v>
      </c>
      <c r="H6663" t="str">
        <f>TEXT(Tabela1[[#This Row],[Coluna2]]*29,"mmmm")</f>
        <v>janeiro</v>
      </c>
      <c r="I6663" t="str">
        <f>TEXT(MONTH(Tabela1[[#This Row],[Último pagto ano]])*29,"mmmm")</f>
        <v>janeiro</v>
      </c>
    </row>
    <row r="6664" spans="1:9" x14ac:dyDescent="0.25">
      <c r="A6664">
        <v>2025</v>
      </c>
      <c r="B6664" t="s">
        <v>13267</v>
      </c>
      <c r="C6664" s="1">
        <v>45989</v>
      </c>
      <c r="D6664" t="s">
        <v>13268</v>
      </c>
      <c r="E6664" s="2">
        <v>11466.67</v>
      </c>
      <c r="G6664" s="3">
        <f>MONTH(Tabela1[[#This Row],[Último pagto ano]])</f>
        <v>11</v>
      </c>
      <c r="H6664" t="str">
        <f>TEXT(Tabela1[[#This Row],[Coluna2]]*29,"mmmm")</f>
        <v>novembro</v>
      </c>
      <c r="I6664" t="str">
        <f>TEXT(MONTH(Tabela1[[#This Row],[Último pagto ano]])*29,"mmmm")</f>
        <v>novembro</v>
      </c>
    </row>
    <row r="6665" spans="1:9" x14ac:dyDescent="0.25">
      <c r="A6665">
        <v>2025</v>
      </c>
      <c r="B6665" t="s">
        <v>13269</v>
      </c>
      <c r="C6665" s="1">
        <v>45715</v>
      </c>
      <c r="D6665" t="s">
        <v>13270</v>
      </c>
      <c r="E6665">
        <v>22</v>
      </c>
      <c r="G6665" s="3">
        <f>MONTH(Tabela1[[#This Row],[Último pagto ano]])</f>
        <v>2</v>
      </c>
      <c r="H6665" t="str">
        <f>TEXT(Tabela1[[#This Row],[Coluna2]]*29,"mmmm")</f>
        <v>fevereiro</v>
      </c>
      <c r="I6665" t="str">
        <f>TEXT(MONTH(Tabela1[[#This Row],[Último pagto ano]])*29,"mmmm")</f>
        <v>fevereiro</v>
      </c>
    </row>
    <row r="6666" spans="1:9" x14ac:dyDescent="0.25">
      <c r="A6666">
        <v>2025</v>
      </c>
      <c r="B6666" t="s">
        <v>13271</v>
      </c>
      <c r="C6666" s="1">
        <v>46010</v>
      </c>
      <c r="D6666" t="s">
        <v>13272</v>
      </c>
      <c r="E6666" s="2">
        <v>24000</v>
      </c>
      <c r="G6666" s="3">
        <f>MONTH(Tabela1[[#This Row],[Último pagto ano]])</f>
        <v>12</v>
      </c>
      <c r="H6666" t="str">
        <f>TEXT(Tabela1[[#This Row],[Coluna2]]*29,"mmmm")</f>
        <v>dezembro</v>
      </c>
      <c r="I6666" t="str">
        <f>TEXT(MONTH(Tabela1[[#This Row],[Último pagto ano]])*29,"mmmm")</f>
        <v>dezembro</v>
      </c>
    </row>
    <row r="6667" spans="1:9" x14ac:dyDescent="0.25">
      <c r="A6667">
        <v>2025</v>
      </c>
      <c r="B6667" t="s">
        <v>13273</v>
      </c>
      <c r="C6667" s="1">
        <v>45810</v>
      </c>
      <c r="D6667" t="s">
        <v>13274</v>
      </c>
      <c r="E6667" s="2">
        <v>1800</v>
      </c>
      <c r="G6667" s="3">
        <f>MONTH(Tabela1[[#This Row],[Último pagto ano]])</f>
        <v>6</v>
      </c>
      <c r="H6667" t="str">
        <f>TEXT(Tabela1[[#This Row],[Coluna2]]*29,"mmmm")</f>
        <v>junho</v>
      </c>
      <c r="I6667" t="str">
        <f>TEXT(MONTH(Tabela1[[#This Row],[Último pagto ano]])*29,"mmmm")</f>
        <v>junho</v>
      </c>
    </row>
    <row r="6668" spans="1:9" x14ac:dyDescent="0.25">
      <c r="A6668">
        <v>2025</v>
      </c>
      <c r="B6668" t="s">
        <v>13275</v>
      </c>
      <c r="C6668" s="1">
        <v>45769</v>
      </c>
      <c r="D6668" t="s">
        <v>13276</v>
      </c>
      <c r="E6668">
        <v>48.94</v>
      </c>
      <c r="G6668" s="3">
        <f>MONTH(Tabela1[[#This Row],[Último pagto ano]])</f>
        <v>4</v>
      </c>
      <c r="H6668" t="str">
        <f>TEXT(Tabela1[[#This Row],[Coluna2]]*29,"mmmm")</f>
        <v>abril</v>
      </c>
      <c r="I6668" t="str">
        <f>TEXT(MONTH(Tabela1[[#This Row],[Último pagto ano]])*29,"mmmm")</f>
        <v>abril</v>
      </c>
    </row>
    <row r="6669" spans="1:9" x14ac:dyDescent="0.25">
      <c r="A6669">
        <v>2025</v>
      </c>
      <c r="B6669" t="s">
        <v>13277</v>
      </c>
      <c r="C6669" s="1">
        <v>45807</v>
      </c>
      <c r="D6669" t="s">
        <v>13278</v>
      </c>
      <c r="E6669">
        <v>42.12</v>
      </c>
      <c r="G6669" s="3">
        <f>MONTH(Tabela1[[#This Row],[Último pagto ano]])</f>
        <v>5</v>
      </c>
      <c r="H6669" t="str">
        <f>TEXT(Tabela1[[#This Row],[Coluna2]]*29,"mmmm")</f>
        <v>maio</v>
      </c>
      <c r="I6669" t="str">
        <f>TEXT(MONTH(Tabela1[[#This Row],[Último pagto ano]])*29,"mmmm")</f>
        <v>maio</v>
      </c>
    </row>
    <row r="6670" spans="1:9" x14ac:dyDescent="0.25">
      <c r="A6670">
        <v>2025</v>
      </c>
      <c r="B6670" t="s">
        <v>13279</v>
      </c>
      <c r="C6670" s="1">
        <v>46013</v>
      </c>
      <c r="D6670" t="s">
        <v>13280</v>
      </c>
      <c r="E6670" s="2">
        <v>11309.9</v>
      </c>
      <c r="G6670" s="3">
        <f>MONTH(Tabela1[[#This Row],[Último pagto ano]])</f>
        <v>12</v>
      </c>
      <c r="H6670" t="str">
        <f>TEXT(Tabela1[[#This Row],[Coluna2]]*29,"mmmm")</f>
        <v>dezembro</v>
      </c>
      <c r="I6670" t="str">
        <f>TEXT(MONTH(Tabela1[[#This Row],[Último pagto ano]])*29,"mmmm")</f>
        <v>dezembro</v>
      </c>
    </row>
    <row r="6671" spans="1:9" x14ac:dyDescent="0.25">
      <c r="A6671">
        <v>2025</v>
      </c>
      <c r="B6671" t="s">
        <v>13281</v>
      </c>
      <c r="C6671" s="1">
        <v>45884</v>
      </c>
      <c r="D6671" t="s">
        <v>13282</v>
      </c>
      <c r="E6671" s="2">
        <v>5600.48</v>
      </c>
      <c r="G6671" s="3">
        <f>MONTH(Tabela1[[#This Row],[Último pagto ano]])</f>
        <v>8</v>
      </c>
      <c r="H6671" t="str">
        <f>TEXT(Tabela1[[#This Row],[Coluna2]]*29,"mmmm")</f>
        <v>agosto</v>
      </c>
      <c r="I6671" t="str">
        <f>TEXT(MONTH(Tabela1[[#This Row],[Último pagto ano]])*29,"mmmm")</f>
        <v>agosto</v>
      </c>
    </row>
    <row r="6672" spans="1:9" x14ac:dyDescent="0.25">
      <c r="A6672">
        <v>2025</v>
      </c>
      <c r="B6672" t="s">
        <v>13283</v>
      </c>
      <c r="C6672" s="1">
        <v>45964</v>
      </c>
      <c r="D6672" t="s">
        <v>13284</v>
      </c>
      <c r="E6672">
        <v>108.8</v>
      </c>
      <c r="G6672" s="3">
        <f>MONTH(Tabela1[[#This Row],[Último pagto ano]])</f>
        <v>11</v>
      </c>
      <c r="H6672" t="str">
        <f>TEXT(Tabela1[[#This Row],[Coluna2]]*29,"mmmm")</f>
        <v>novembro</v>
      </c>
      <c r="I6672" t="str">
        <f>TEXT(MONTH(Tabela1[[#This Row],[Último pagto ano]])*29,"mmmm")</f>
        <v>novembro</v>
      </c>
    </row>
    <row r="6673" spans="1:9" x14ac:dyDescent="0.25">
      <c r="A6673">
        <v>2025</v>
      </c>
      <c r="B6673" t="s">
        <v>13285</v>
      </c>
      <c r="C6673" s="1">
        <v>46006</v>
      </c>
      <c r="D6673" t="s">
        <v>13286</v>
      </c>
      <c r="E6673" s="2">
        <v>6811.68</v>
      </c>
      <c r="G6673" s="3">
        <f>MONTH(Tabela1[[#This Row],[Último pagto ano]])</f>
        <v>12</v>
      </c>
      <c r="H6673" t="str">
        <f>TEXT(Tabela1[[#This Row],[Coluna2]]*29,"mmmm")</f>
        <v>dezembro</v>
      </c>
      <c r="I6673" t="str">
        <f>TEXT(MONTH(Tabela1[[#This Row],[Último pagto ano]])*29,"mmmm")</f>
        <v>dezembro</v>
      </c>
    </row>
    <row r="6674" spans="1:9" x14ac:dyDescent="0.25">
      <c r="A6674">
        <v>2025</v>
      </c>
      <c r="B6674" t="s">
        <v>13287</v>
      </c>
      <c r="C6674" s="1">
        <v>45996</v>
      </c>
      <c r="D6674" t="s">
        <v>13288</v>
      </c>
      <c r="E6674" s="2">
        <v>4050</v>
      </c>
      <c r="G6674" s="3">
        <f>MONTH(Tabela1[[#This Row],[Último pagto ano]])</f>
        <v>12</v>
      </c>
      <c r="H6674" t="str">
        <f>TEXT(Tabela1[[#This Row],[Coluna2]]*29,"mmmm")</f>
        <v>dezembro</v>
      </c>
      <c r="I6674" t="str">
        <f>TEXT(MONTH(Tabela1[[#This Row],[Último pagto ano]])*29,"mmmm")</f>
        <v>dezembro</v>
      </c>
    </row>
    <row r="6675" spans="1:9" x14ac:dyDescent="0.25">
      <c r="A6675">
        <v>2025</v>
      </c>
      <c r="B6675" t="s">
        <v>13289</v>
      </c>
      <c r="C6675" s="1">
        <v>46010</v>
      </c>
      <c r="D6675" t="s">
        <v>13290</v>
      </c>
      <c r="E6675" s="2">
        <v>19734</v>
      </c>
      <c r="G6675" s="3">
        <f>MONTH(Tabela1[[#This Row],[Último pagto ano]])</f>
        <v>12</v>
      </c>
      <c r="H6675" t="str">
        <f>TEXT(Tabela1[[#This Row],[Coluna2]]*29,"mmmm")</f>
        <v>dezembro</v>
      </c>
      <c r="I6675" t="str">
        <f>TEXT(MONTH(Tabela1[[#This Row],[Último pagto ano]])*29,"mmmm")</f>
        <v>dezembro</v>
      </c>
    </row>
    <row r="6676" spans="1:9" x14ac:dyDescent="0.25">
      <c r="A6676">
        <v>2025</v>
      </c>
      <c r="B6676" t="s">
        <v>13291</v>
      </c>
      <c r="C6676" s="1">
        <v>46006</v>
      </c>
      <c r="D6676" t="s">
        <v>13292</v>
      </c>
      <c r="E6676" s="2">
        <v>12000</v>
      </c>
      <c r="G6676" s="3">
        <f>MONTH(Tabela1[[#This Row],[Último pagto ano]])</f>
        <v>12</v>
      </c>
      <c r="H6676" t="str">
        <f>TEXT(Tabela1[[#This Row],[Coluna2]]*29,"mmmm")</f>
        <v>dezembro</v>
      </c>
      <c r="I6676" t="str">
        <f>TEXT(MONTH(Tabela1[[#This Row],[Último pagto ano]])*29,"mmmm")</f>
        <v>dezembro</v>
      </c>
    </row>
    <row r="6677" spans="1:9" x14ac:dyDescent="0.25">
      <c r="A6677">
        <v>2025</v>
      </c>
      <c r="B6677" t="s">
        <v>13293</v>
      </c>
      <c r="C6677" s="1">
        <v>46006</v>
      </c>
      <c r="D6677" t="s">
        <v>13294</v>
      </c>
      <c r="E6677">
        <v>198</v>
      </c>
      <c r="G6677" s="3">
        <f>MONTH(Tabela1[[#This Row],[Último pagto ano]])</f>
        <v>12</v>
      </c>
      <c r="H6677" t="str">
        <f>TEXT(Tabela1[[#This Row],[Coluna2]]*29,"mmmm")</f>
        <v>dezembro</v>
      </c>
      <c r="I6677" t="str">
        <f>TEXT(MONTH(Tabela1[[#This Row],[Último pagto ano]])*29,"mmmm")</f>
        <v>dezembro</v>
      </c>
    </row>
    <row r="6678" spans="1:9" x14ac:dyDescent="0.25">
      <c r="A6678">
        <v>2025</v>
      </c>
      <c r="B6678" t="s">
        <v>13295</v>
      </c>
      <c r="C6678" s="1">
        <v>45904</v>
      </c>
      <c r="D6678" t="s">
        <v>13296</v>
      </c>
      <c r="E6678" s="2">
        <v>1316.39</v>
      </c>
      <c r="G6678" s="3">
        <f>MONTH(Tabela1[[#This Row],[Último pagto ano]])</f>
        <v>9</v>
      </c>
      <c r="H6678" t="str">
        <f>TEXT(Tabela1[[#This Row],[Coluna2]]*29,"mmmm")</f>
        <v>setembro</v>
      </c>
      <c r="I6678" t="str">
        <f>TEXT(MONTH(Tabela1[[#This Row],[Último pagto ano]])*29,"mmmm")</f>
        <v>setembro</v>
      </c>
    </row>
    <row r="6679" spans="1:9" x14ac:dyDescent="0.25">
      <c r="A6679">
        <v>2025</v>
      </c>
      <c r="B6679" t="s">
        <v>13297</v>
      </c>
      <c r="C6679" s="1">
        <v>45792</v>
      </c>
      <c r="D6679" t="s">
        <v>13298</v>
      </c>
      <c r="E6679" s="2">
        <v>1851</v>
      </c>
      <c r="G6679" s="3">
        <f>MONTH(Tabela1[[#This Row],[Último pagto ano]])</f>
        <v>5</v>
      </c>
      <c r="H6679" t="str">
        <f>TEXT(Tabela1[[#This Row],[Coluna2]]*29,"mmmm")</f>
        <v>maio</v>
      </c>
      <c r="I6679" t="str">
        <f>TEXT(MONTH(Tabela1[[#This Row],[Último pagto ano]])*29,"mmmm")</f>
        <v>maio</v>
      </c>
    </row>
    <row r="6680" spans="1:9" x14ac:dyDescent="0.25">
      <c r="A6680">
        <v>2025</v>
      </c>
      <c r="B6680" t="s">
        <v>13299</v>
      </c>
      <c r="C6680" s="1">
        <v>45856</v>
      </c>
      <c r="D6680" t="s">
        <v>13300</v>
      </c>
      <c r="E6680" s="2">
        <v>6456.39</v>
      </c>
      <c r="G6680" s="3">
        <f>MONTH(Tabela1[[#This Row],[Último pagto ano]])</f>
        <v>7</v>
      </c>
      <c r="H6680" t="str">
        <f>TEXT(Tabela1[[#This Row],[Coluna2]]*29,"mmmm")</f>
        <v>julho</v>
      </c>
      <c r="I6680" t="str">
        <f>TEXT(MONTH(Tabela1[[#This Row],[Último pagto ano]])*29,"mmmm")</f>
        <v>julho</v>
      </c>
    </row>
    <row r="6681" spans="1:9" x14ac:dyDescent="0.25">
      <c r="A6681">
        <v>2025</v>
      </c>
      <c r="B6681" t="s">
        <v>13301</v>
      </c>
      <c r="C6681" s="1">
        <v>45841</v>
      </c>
      <c r="D6681" t="s">
        <v>13302</v>
      </c>
      <c r="E6681" s="2">
        <v>5576.67</v>
      </c>
      <c r="G6681" s="3">
        <f>MONTH(Tabela1[[#This Row],[Último pagto ano]])</f>
        <v>7</v>
      </c>
      <c r="H6681" t="str">
        <f>TEXT(Tabela1[[#This Row],[Coluna2]]*29,"mmmm")</f>
        <v>julho</v>
      </c>
      <c r="I6681" t="str">
        <f>TEXT(MONTH(Tabela1[[#This Row],[Último pagto ano]])*29,"mmmm")</f>
        <v>julho</v>
      </c>
    </row>
    <row r="6682" spans="1:9" x14ac:dyDescent="0.25">
      <c r="A6682">
        <v>2025</v>
      </c>
      <c r="B6682" t="s">
        <v>13303</v>
      </c>
      <c r="C6682" s="1">
        <v>46010</v>
      </c>
      <c r="D6682" t="s">
        <v>13304</v>
      </c>
      <c r="E6682" s="2">
        <v>8400</v>
      </c>
      <c r="G6682" s="3">
        <f>MONTH(Tabela1[[#This Row],[Último pagto ano]])</f>
        <v>12</v>
      </c>
      <c r="H6682" t="str">
        <f>TEXT(Tabela1[[#This Row],[Coluna2]]*29,"mmmm")</f>
        <v>dezembro</v>
      </c>
      <c r="I6682" t="str">
        <f>TEXT(MONTH(Tabela1[[#This Row],[Último pagto ano]])*29,"mmmm")</f>
        <v>dezembro</v>
      </c>
    </row>
    <row r="6683" spans="1:9" x14ac:dyDescent="0.25">
      <c r="A6683">
        <v>2025</v>
      </c>
      <c r="B6683" t="s">
        <v>13305</v>
      </c>
      <c r="C6683" s="1">
        <v>46010</v>
      </c>
      <c r="D6683" t="s">
        <v>13306</v>
      </c>
      <c r="E6683" s="2">
        <v>7700</v>
      </c>
      <c r="G6683" s="3">
        <f>MONTH(Tabela1[[#This Row],[Último pagto ano]])</f>
        <v>12</v>
      </c>
      <c r="H6683" t="str">
        <f>TEXT(Tabela1[[#This Row],[Coluna2]]*29,"mmmm")</f>
        <v>dezembro</v>
      </c>
      <c r="I6683" t="str">
        <f>TEXT(MONTH(Tabela1[[#This Row],[Último pagto ano]])*29,"mmmm")</f>
        <v>dezembro</v>
      </c>
    </row>
    <row r="6684" spans="1:9" x14ac:dyDescent="0.25">
      <c r="A6684">
        <v>2025</v>
      </c>
      <c r="B6684" t="s">
        <v>13307</v>
      </c>
      <c r="C6684" s="1">
        <v>45853</v>
      </c>
      <c r="D6684" t="s">
        <v>13308</v>
      </c>
      <c r="E6684" s="2">
        <v>5883.36</v>
      </c>
      <c r="G6684" s="3">
        <f>MONTH(Tabela1[[#This Row],[Último pagto ano]])</f>
        <v>7</v>
      </c>
      <c r="H6684" t="str">
        <f>TEXT(Tabela1[[#This Row],[Coluna2]]*29,"mmmm")</f>
        <v>julho</v>
      </c>
      <c r="I6684" t="str">
        <f>TEXT(MONTH(Tabela1[[#This Row],[Último pagto ano]])*29,"mmmm")</f>
        <v>julho</v>
      </c>
    </row>
    <row r="6685" spans="1:9" x14ac:dyDescent="0.25">
      <c r="A6685">
        <v>2025</v>
      </c>
      <c r="B6685" t="s">
        <v>13309</v>
      </c>
      <c r="C6685" s="1">
        <v>46010</v>
      </c>
      <c r="D6685" t="s">
        <v>13310</v>
      </c>
      <c r="E6685" s="2">
        <v>1400</v>
      </c>
      <c r="G6685" s="3">
        <f>MONTH(Tabela1[[#This Row],[Último pagto ano]])</f>
        <v>12</v>
      </c>
      <c r="H6685" t="str">
        <f>TEXT(Tabela1[[#This Row],[Coluna2]]*29,"mmmm")</f>
        <v>dezembro</v>
      </c>
      <c r="I6685" t="str">
        <f>TEXT(MONTH(Tabela1[[#This Row],[Último pagto ano]])*29,"mmmm")</f>
        <v>dezembro</v>
      </c>
    </row>
    <row r="6686" spans="1:9" x14ac:dyDescent="0.25">
      <c r="A6686">
        <v>2025</v>
      </c>
      <c r="B6686" t="s">
        <v>13311</v>
      </c>
      <c r="C6686" s="1">
        <v>46010</v>
      </c>
      <c r="D6686" t="s">
        <v>13312</v>
      </c>
      <c r="E6686" s="2">
        <v>3500</v>
      </c>
      <c r="G6686" s="3">
        <f>MONTH(Tabela1[[#This Row],[Último pagto ano]])</f>
        <v>12</v>
      </c>
      <c r="H6686" t="str">
        <f>TEXT(Tabela1[[#This Row],[Coluna2]]*29,"mmmm")</f>
        <v>dezembro</v>
      </c>
      <c r="I6686" t="str">
        <f>TEXT(MONTH(Tabela1[[#This Row],[Último pagto ano]])*29,"mmmm")</f>
        <v>dezembro</v>
      </c>
    </row>
    <row r="6687" spans="1:9" x14ac:dyDescent="0.25">
      <c r="A6687">
        <v>2025</v>
      </c>
      <c r="B6687" t="s">
        <v>13313</v>
      </c>
      <c r="C6687" s="1">
        <v>45996</v>
      </c>
      <c r="D6687" t="s">
        <v>13314</v>
      </c>
      <c r="E6687" s="2">
        <v>34579.19</v>
      </c>
      <c r="G6687" s="3">
        <f>MONTH(Tabela1[[#This Row],[Último pagto ano]])</f>
        <v>12</v>
      </c>
      <c r="H6687" t="str">
        <f>TEXT(Tabela1[[#This Row],[Coluna2]]*29,"mmmm")</f>
        <v>dezembro</v>
      </c>
      <c r="I6687" t="str">
        <f>TEXT(MONTH(Tabela1[[#This Row],[Último pagto ano]])*29,"mmmm")</f>
        <v>dezembro</v>
      </c>
    </row>
    <row r="6688" spans="1:9" x14ac:dyDescent="0.25">
      <c r="A6688">
        <v>2025</v>
      </c>
      <c r="B6688" t="s">
        <v>13315</v>
      </c>
      <c r="C6688" s="1">
        <v>46014</v>
      </c>
      <c r="D6688" t="s">
        <v>13316</v>
      </c>
      <c r="E6688">
        <v>14.04</v>
      </c>
      <c r="G6688" s="3">
        <f>MONTH(Tabela1[[#This Row],[Último pagto ano]])</f>
        <v>12</v>
      </c>
      <c r="H6688" t="str">
        <f>TEXT(Tabela1[[#This Row],[Coluna2]]*29,"mmmm")</f>
        <v>dezembro</v>
      </c>
      <c r="I6688" t="str">
        <f>TEXT(MONTH(Tabela1[[#This Row],[Último pagto ano]])*29,"mmmm")</f>
        <v>dezembro</v>
      </c>
    </row>
    <row r="6689" spans="1:9" x14ac:dyDescent="0.25">
      <c r="A6689">
        <v>2025</v>
      </c>
      <c r="B6689" t="s">
        <v>13317</v>
      </c>
      <c r="C6689" s="1">
        <v>45684</v>
      </c>
      <c r="D6689" t="s">
        <v>13318</v>
      </c>
      <c r="E6689" s="2">
        <v>1092.48</v>
      </c>
      <c r="G6689" s="3">
        <f>MONTH(Tabela1[[#This Row],[Último pagto ano]])</f>
        <v>1</v>
      </c>
      <c r="H6689" t="str">
        <f>TEXT(Tabela1[[#This Row],[Coluna2]]*29,"mmmm")</f>
        <v>janeiro</v>
      </c>
      <c r="I6689" t="str">
        <f>TEXT(MONTH(Tabela1[[#This Row],[Último pagto ano]])*29,"mmmm")</f>
        <v>janeiro</v>
      </c>
    </row>
    <row r="6690" spans="1:9" x14ac:dyDescent="0.25">
      <c r="A6690">
        <v>2025</v>
      </c>
      <c r="B6690" t="s">
        <v>13319</v>
      </c>
      <c r="C6690" s="1">
        <v>45975</v>
      </c>
      <c r="D6690" t="s">
        <v>13320</v>
      </c>
      <c r="E6690" s="2">
        <v>5896.64</v>
      </c>
      <c r="G6690" s="3">
        <f>MONTH(Tabela1[[#This Row],[Último pagto ano]])</f>
        <v>11</v>
      </c>
      <c r="H6690" t="str">
        <f>TEXT(Tabela1[[#This Row],[Coluna2]]*29,"mmmm")</f>
        <v>novembro</v>
      </c>
      <c r="I6690" t="str">
        <f>TEXT(MONTH(Tabela1[[#This Row],[Último pagto ano]])*29,"mmmm")</f>
        <v>novembro</v>
      </c>
    </row>
    <row r="6691" spans="1:9" x14ac:dyDescent="0.25">
      <c r="A6691">
        <v>2025</v>
      </c>
      <c r="B6691" t="s">
        <v>13321</v>
      </c>
      <c r="C6691" s="1">
        <v>45826</v>
      </c>
      <c r="D6691" t="s">
        <v>13322</v>
      </c>
      <c r="E6691">
        <v>850</v>
      </c>
      <c r="G6691" s="3">
        <f>MONTH(Tabela1[[#This Row],[Último pagto ano]])</f>
        <v>6</v>
      </c>
      <c r="H6691" t="str">
        <f>TEXT(Tabela1[[#This Row],[Coluna2]]*29,"mmmm")</f>
        <v>junho</v>
      </c>
      <c r="I6691" t="str">
        <f>TEXT(MONTH(Tabela1[[#This Row],[Último pagto ano]])*29,"mmmm")</f>
        <v>junho</v>
      </c>
    </row>
    <row r="6692" spans="1:9" x14ac:dyDescent="0.25">
      <c r="A6692">
        <v>2025</v>
      </c>
      <c r="B6692" t="s">
        <v>13323</v>
      </c>
      <c r="C6692" s="1">
        <v>45937</v>
      </c>
      <c r="D6692" t="s">
        <v>13324</v>
      </c>
      <c r="E6692" s="2">
        <v>3773.88</v>
      </c>
      <c r="G6692" s="3">
        <f>MONTH(Tabela1[[#This Row],[Último pagto ano]])</f>
        <v>10</v>
      </c>
      <c r="H6692" t="str">
        <f>TEXT(Tabela1[[#This Row],[Coluna2]]*29,"mmmm")</f>
        <v>outubro</v>
      </c>
      <c r="I6692" t="str">
        <f>TEXT(MONTH(Tabela1[[#This Row],[Último pagto ano]])*29,"mmmm")</f>
        <v>outubro</v>
      </c>
    </row>
    <row r="6693" spans="1:9" x14ac:dyDescent="0.25">
      <c r="A6693">
        <v>2025</v>
      </c>
      <c r="B6693" t="s">
        <v>13325</v>
      </c>
      <c r="C6693" s="1">
        <v>46010</v>
      </c>
      <c r="D6693" t="s">
        <v>13326</v>
      </c>
      <c r="E6693" s="2">
        <v>5600</v>
      </c>
      <c r="G6693" s="3">
        <f>MONTH(Tabela1[[#This Row],[Último pagto ano]])</f>
        <v>12</v>
      </c>
      <c r="H6693" t="str">
        <f>TEXT(Tabela1[[#This Row],[Coluna2]]*29,"mmmm")</f>
        <v>dezembro</v>
      </c>
      <c r="I6693" t="str">
        <f>TEXT(MONTH(Tabela1[[#This Row],[Último pagto ano]])*29,"mmmm")</f>
        <v>dezembro</v>
      </c>
    </row>
    <row r="6694" spans="1:9" x14ac:dyDescent="0.25">
      <c r="A6694">
        <v>2025</v>
      </c>
      <c r="B6694" t="s">
        <v>13327</v>
      </c>
      <c r="C6694" s="1">
        <v>45824</v>
      </c>
      <c r="D6694" t="s">
        <v>13328</v>
      </c>
      <c r="E6694" s="2">
        <v>1776.96</v>
      </c>
      <c r="G6694" s="3">
        <f>MONTH(Tabela1[[#This Row],[Último pagto ano]])</f>
        <v>6</v>
      </c>
      <c r="H6694" t="str">
        <f>TEXT(Tabela1[[#This Row],[Coluna2]]*29,"mmmm")</f>
        <v>junho</v>
      </c>
      <c r="I6694" t="str">
        <f>TEXT(MONTH(Tabela1[[#This Row],[Último pagto ano]])*29,"mmmm")</f>
        <v>junho</v>
      </c>
    </row>
    <row r="6695" spans="1:9" x14ac:dyDescent="0.25">
      <c r="A6695">
        <v>2025</v>
      </c>
      <c r="B6695" t="s">
        <v>13329</v>
      </c>
      <c r="C6695" s="1">
        <v>46006</v>
      </c>
      <c r="D6695" t="s">
        <v>13330</v>
      </c>
      <c r="E6695" s="2">
        <v>4500</v>
      </c>
      <c r="G6695" s="3">
        <f>MONTH(Tabela1[[#This Row],[Último pagto ano]])</f>
        <v>12</v>
      </c>
      <c r="H6695" t="str">
        <f>TEXT(Tabela1[[#This Row],[Coluna2]]*29,"mmmm")</f>
        <v>dezembro</v>
      </c>
      <c r="I6695" t="str">
        <f>TEXT(MONTH(Tabela1[[#This Row],[Último pagto ano]])*29,"mmmm")</f>
        <v>dezembro</v>
      </c>
    </row>
    <row r="6696" spans="1:9" x14ac:dyDescent="0.25">
      <c r="A6696">
        <v>2025</v>
      </c>
      <c r="B6696" t="s">
        <v>13331</v>
      </c>
      <c r="C6696" s="1">
        <v>45936</v>
      </c>
      <c r="D6696" t="s">
        <v>13332</v>
      </c>
      <c r="E6696">
        <v>993.51</v>
      </c>
      <c r="G6696" s="3">
        <f>MONTH(Tabela1[[#This Row],[Último pagto ano]])</f>
        <v>10</v>
      </c>
      <c r="H6696" t="str">
        <f>TEXT(Tabela1[[#This Row],[Coluna2]]*29,"mmmm")</f>
        <v>outubro</v>
      </c>
      <c r="I6696" t="str">
        <f>TEXT(MONTH(Tabela1[[#This Row],[Último pagto ano]])*29,"mmmm")</f>
        <v>outubro</v>
      </c>
    </row>
    <row r="6697" spans="1:9" x14ac:dyDescent="0.25">
      <c r="A6697">
        <v>2025</v>
      </c>
      <c r="B6697" t="s">
        <v>13333</v>
      </c>
      <c r="C6697" s="1">
        <v>45896</v>
      </c>
      <c r="D6697" t="s">
        <v>13334</v>
      </c>
      <c r="E6697" s="2">
        <v>1857.69</v>
      </c>
      <c r="G6697" s="3">
        <f>MONTH(Tabela1[[#This Row],[Último pagto ano]])</f>
        <v>8</v>
      </c>
      <c r="H6697" t="str">
        <f>TEXT(Tabela1[[#This Row],[Coluna2]]*29,"mmmm")</f>
        <v>agosto</v>
      </c>
      <c r="I6697" t="str">
        <f>TEXT(MONTH(Tabela1[[#This Row],[Último pagto ano]])*29,"mmmm")</f>
        <v>agosto</v>
      </c>
    </row>
    <row r="6698" spans="1:9" x14ac:dyDescent="0.25">
      <c r="A6698">
        <v>2025</v>
      </c>
      <c r="B6698" t="s">
        <v>13335</v>
      </c>
      <c r="C6698" s="1">
        <v>45996</v>
      </c>
      <c r="D6698" t="s">
        <v>13336</v>
      </c>
      <c r="E6698" s="2">
        <v>8000</v>
      </c>
      <c r="G6698" s="3">
        <f>MONTH(Tabela1[[#This Row],[Último pagto ano]])</f>
        <v>12</v>
      </c>
      <c r="H6698" t="str">
        <f>TEXT(Tabela1[[#This Row],[Coluna2]]*29,"mmmm")</f>
        <v>dezembro</v>
      </c>
      <c r="I6698" t="str">
        <f>TEXT(MONTH(Tabela1[[#This Row],[Último pagto ano]])*29,"mmmm")</f>
        <v>dezembro</v>
      </c>
    </row>
    <row r="6699" spans="1:9" x14ac:dyDescent="0.25">
      <c r="A6699">
        <v>2025</v>
      </c>
      <c r="B6699" t="s">
        <v>13337</v>
      </c>
      <c r="C6699" s="1">
        <v>45853</v>
      </c>
      <c r="D6699" t="s">
        <v>13338</v>
      </c>
      <c r="E6699" s="2">
        <v>3850.08</v>
      </c>
      <c r="G6699" s="3">
        <f>MONTH(Tabela1[[#This Row],[Último pagto ano]])</f>
        <v>7</v>
      </c>
      <c r="H6699" t="str">
        <f>TEXT(Tabela1[[#This Row],[Coluna2]]*29,"mmmm")</f>
        <v>julho</v>
      </c>
      <c r="I6699" t="str">
        <f>TEXT(MONTH(Tabela1[[#This Row],[Último pagto ano]])*29,"mmmm")</f>
        <v>julho</v>
      </c>
    </row>
    <row r="6700" spans="1:9" x14ac:dyDescent="0.25">
      <c r="A6700">
        <v>2025</v>
      </c>
      <c r="B6700" t="s">
        <v>13339</v>
      </c>
      <c r="C6700" s="1">
        <v>45936</v>
      </c>
      <c r="D6700" t="s">
        <v>13340</v>
      </c>
      <c r="E6700">
        <v>88</v>
      </c>
      <c r="G6700" s="3">
        <f>MONTH(Tabela1[[#This Row],[Último pagto ano]])</f>
        <v>10</v>
      </c>
      <c r="H6700" t="str">
        <f>TEXT(Tabela1[[#This Row],[Coluna2]]*29,"mmmm")</f>
        <v>outubro</v>
      </c>
      <c r="I6700" t="str">
        <f>TEXT(MONTH(Tabela1[[#This Row],[Último pagto ano]])*29,"mmmm")</f>
        <v>outubro</v>
      </c>
    </row>
    <row r="6701" spans="1:9" x14ac:dyDescent="0.25">
      <c r="A6701">
        <v>2025</v>
      </c>
      <c r="B6701" t="s">
        <v>13341</v>
      </c>
      <c r="C6701" s="1">
        <v>45996</v>
      </c>
      <c r="D6701" t="s">
        <v>13342</v>
      </c>
      <c r="E6701" s="2">
        <v>33547.5</v>
      </c>
      <c r="G6701" s="3">
        <f>MONTH(Tabela1[[#This Row],[Último pagto ano]])</f>
        <v>12</v>
      </c>
      <c r="H6701" t="str">
        <f>TEXT(Tabela1[[#This Row],[Coluna2]]*29,"mmmm")</f>
        <v>dezembro</v>
      </c>
      <c r="I6701" t="str">
        <f>TEXT(MONTH(Tabela1[[#This Row],[Último pagto ano]])*29,"mmmm")</f>
        <v>dezembro</v>
      </c>
    </row>
    <row r="6702" spans="1:9" x14ac:dyDescent="0.25">
      <c r="A6702">
        <v>2025</v>
      </c>
      <c r="B6702" t="s">
        <v>13343</v>
      </c>
      <c r="C6702" s="1">
        <v>45937</v>
      </c>
      <c r="D6702" t="s">
        <v>13344</v>
      </c>
      <c r="E6702" s="2">
        <v>3000</v>
      </c>
      <c r="G6702" s="3">
        <f>MONTH(Tabela1[[#This Row],[Último pagto ano]])</f>
        <v>10</v>
      </c>
      <c r="H6702" t="str">
        <f>TEXT(Tabela1[[#This Row],[Coluna2]]*29,"mmmm")</f>
        <v>outubro</v>
      </c>
      <c r="I6702" t="str">
        <f>TEXT(MONTH(Tabela1[[#This Row],[Último pagto ano]])*29,"mmmm")</f>
        <v>outubro</v>
      </c>
    </row>
    <row r="6703" spans="1:9" x14ac:dyDescent="0.25">
      <c r="A6703">
        <v>2025</v>
      </c>
      <c r="B6703" t="s">
        <v>13345</v>
      </c>
      <c r="C6703" s="1">
        <v>45807</v>
      </c>
      <c r="D6703" t="s">
        <v>13346</v>
      </c>
      <c r="E6703">
        <v>408.43</v>
      </c>
      <c r="G6703" s="3">
        <f>MONTH(Tabela1[[#This Row],[Último pagto ano]])</f>
        <v>5</v>
      </c>
      <c r="H6703" t="str">
        <f>TEXT(Tabela1[[#This Row],[Coluna2]]*29,"mmmm")</f>
        <v>maio</v>
      </c>
      <c r="I6703" t="str">
        <f>TEXT(MONTH(Tabela1[[#This Row],[Último pagto ano]])*29,"mmmm")</f>
        <v>maio</v>
      </c>
    </row>
    <row r="6704" spans="1:9" x14ac:dyDescent="0.25">
      <c r="A6704">
        <v>2025</v>
      </c>
      <c r="B6704" t="s">
        <v>13347</v>
      </c>
      <c r="C6704" s="1">
        <v>46021</v>
      </c>
      <c r="D6704" t="s">
        <v>13348</v>
      </c>
      <c r="E6704" s="2">
        <v>9677.2900000000009</v>
      </c>
      <c r="G6704" s="3">
        <f>MONTH(Tabela1[[#This Row],[Último pagto ano]])</f>
        <v>12</v>
      </c>
      <c r="H6704" t="str">
        <f>TEXT(Tabela1[[#This Row],[Coluna2]]*29,"mmmm")</f>
        <v>dezembro</v>
      </c>
      <c r="I6704" t="str">
        <f>TEXT(MONTH(Tabela1[[#This Row],[Último pagto ano]])*29,"mmmm")</f>
        <v>dezembro</v>
      </c>
    </row>
    <row r="6705" spans="1:9" x14ac:dyDescent="0.25">
      <c r="A6705">
        <v>2025</v>
      </c>
      <c r="B6705" t="s">
        <v>13347</v>
      </c>
      <c r="C6705" s="1">
        <v>46014</v>
      </c>
      <c r="D6705" t="s">
        <v>13348</v>
      </c>
      <c r="E6705" s="2">
        <v>3104.6</v>
      </c>
      <c r="G6705" s="3">
        <f>MONTH(Tabela1[[#This Row],[Último pagto ano]])</f>
        <v>12</v>
      </c>
      <c r="H6705" t="str">
        <f>TEXT(Tabela1[[#This Row],[Coluna2]]*29,"mmmm")</f>
        <v>dezembro</v>
      </c>
      <c r="I6705" t="str">
        <f>TEXT(MONTH(Tabela1[[#This Row],[Último pagto ano]])*29,"mmmm")</f>
        <v>dezembro</v>
      </c>
    </row>
    <row r="6706" spans="1:9" x14ac:dyDescent="0.25">
      <c r="A6706">
        <v>2025</v>
      </c>
      <c r="B6706" t="s">
        <v>13349</v>
      </c>
      <c r="C6706" s="1">
        <v>45996</v>
      </c>
      <c r="D6706" t="s">
        <v>13350</v>
      </c>
      <c r="E6706" s="2">
        <v>5840</v>
      </c>
      <c r="G6706" s="3">
        <f>MONTH(Tabela1[[#This Row],[Último pagto ano]])</f>
        <v>12</v>
      </c>
      <c r="H6706" t="str">
        <f>TEXT(Tabela1[[#This Row],[Coluna2]]*29,"mmmm")</f>
        <v>dezembro</v>
      </c>
      <c r="I6706" t="str">
        <f>TEXT(MONTH(Tabela1[[#This Row],[Último pagto ano]])*29,"mmmm")</f>
        <v>dezembro</v>
      </c>
    </row>
    <row r="6707" spans="1:9" x14ac:dyDescent="0.25">
      <c r="A6707">
        <v>2025</v>
      </c>
      <c r="B6707" t="s">
        <v>13351</v>
      </c>
      <c r="C6707" s="1">
        <v>45936</v>
      </c>
      <c r="D6707" t="s">
        <v>13352</v>
      </c>
      <c r="E6707" s="2">
        <v>1553.91</v>
      </c>
      <c r="G6707" s="3">
        <f>MONTH(Tabela1[[#This Row],[Último pagto ano]])</f>
        <v>10</v>
      </c>
      <c r="H6707" t="str">
        <f>TEXT(Tabela1[[#This Row],[Coluna2]]*29,"mmmm")</f>
        <v>outubro</v>
      </c>
      <c r="I6707" t="str">
        <f>TEXT(MONTH(Tabela1[[#This Row],[Último pagto ano]])*29,"mmmm")</f>
        <v>outubro</v>
      </c>
    </row>
    <row r="6708" spans="1:9" x14ac:dyDescent="0.25">
      <c r="A6708">
        <v>2025</v>
      </c>
      <c r="B6708" t="s">
        <v>13353</v>
      </c>
      <c r="C6708" s="1">
        <v>45762</v>
      </c>
      <c r="D6708" t="s">
        <v>13354</v>
      </c>
      <c r="E6708" s="2">
        <v>2369.2800000000002</v>
      </c>
      <c r="G6708" s="3">
        <f>MONTH(Tabela1[[#This Row],[Último pagto ano]])</f>
        <v>4</v>
      </c>
      <c r="H6708" t="str">
        <f>TEXT(Tabela1[[#This Row],[Coluna2]]*29,"mmmm")</f>
        <v>abril</v>
      </c>
      <c r="I6708" t="str">
        <f>TEXT(MONTH(Tabela1[[#This Row],[Último pagto ano]])*29,"mmmm")</f>
        <v>abril</v>
      </c>
    </row>
    <row r="6709" spans="1:9" x14ac:dyDescent="0.25">
      <c r="A6709">
        <v>2025</v>
      </c>
      <c r="B6709" t="s">
        <v>13355</v>
      </c>
      <c r="C6709" s="1">
        <v>45824</v>
      </c>
      <c r="D6709" t="s">
        <v>13356</v>
      </c>
      <c r="E6709" s="2">
        <v>4981.6000000000004</v>
      </c>
      <c r="G6709" s="3">
        <f>MONTH(Tabela1[[#This Row],[Último pagto ano]])</f>
        <v>6</v>
      </c>
      <c r="H6709" t="str">
        <f>TEXT(Tabela1[[#This Row],[Coluna2]]*29,"mmmm")</f>
        <v>junho</v>
      </c>
      <c r="I6709" t="str">
        <f>TEXT(MONTH(Tabela1[[#This Row],[Último pagto ano]])*29,"mmmm")</f>
        <v>junho</v>
      </c>
    </row>
    <row r="6710" spans="1:9" x14ac:dyDescent="0.25">
      <c r="A6710">
        <v>2025</v>
      </c>
      <c r="B6710" t="s">
        <v>13357</v>
      </c>
      <c r="C6710" s="1">
        <v>45979</v>
      </c>
      <c r="D6710" t="s">
        <v>13358</v>
      </c>
      <c r="E6710" s="2">
        <v>4800</v>
      </c>
      <c r="G6710" s="3">
        <f>MONTH(Tabela1[[#This Row],[Último pagto ano]])</f>
        <v>11</v>
      </c>
      <c r="H6710" t="str">
        <f>TEXT(Tabela1[[#This Row],[Coluna2]]*29,"mmmm")</f>
        <v>novembro</v>
      </c>
      <c r="I6710" t="str">
        <f>TEXT(MONTH(Tabela1[[#This Row],[Último pagto ano]])*29,"mmmm")</f>
        <v>novembro</v>
      </c>
    </row>
    <row r="6711" spans="1:9" x14ac:dyDescent="0.25">
      <c r="A6711">
        <v>2025</v>
      </c>
      <c r="B6711" t="s">
        <v>13359</v>
      </c>
      <c r="C6711" s="1">
        <v>45856</v>
      </c>
      <c r="D6711" t="s">
        <v>13360</v>
      </c>
      <c r="E6711">
        <v>3.43</v>
      </c>
      <c r="G6711" s="3">
        <f>MONTH(Tabela1[[#This Row],[Último pagto ano]])</f>
        <v>7</v>
      </c>
      <c r="H6711" t="str">
        <f>TEXT(Tabela1[[#This Row],[Coluna2]]*29,"mmmm")</f>
        <v>julho</v>
      </c>
      <c r="I6711" t="str">
        <f>TEXT(MONTH(Tabela1[[#This Row],[Último pagto ano]])*29,"mmmm")</f>
        <v>julho</v>
      </c>
    </row>
    <row r="6712" spans="1:9" x14ac:dyDescent="0.25">
      <c r="A6712">
        <v>2025</v>
      </c>
      <c r="B6712" t="s">
        <v>13361</v>
      </c>
      <c r="C6712" s="1">
        <v>46014</v>
      </c>
      <c r="D6712" t="s">
        <v>13362</v>
      </c>
      <c r="E6712" s="2">
        <v>7975</v>
      </c>
      <c r="G6712" s="3">
        <f>MONTH(Tabela1[[#This Row],[Último pagto ano]])</f>
        <v>12</v>
      </c>
      <c r="H6712" t="str">
        <f>TEXT(Tabela1[[#This Row],[Coluna2]]*29,"mmmm")</f>
        <v>dezembro</v>
      </c>
      <c r="I6712" t="str">
        <f>TEXT(MONTH(Tabela1[[#This Row],[Último pagto ano]])*29,"mmmm")</f>
        <v>dezembro</v>
      </c>
    </row>
    <row r="6713" spans="1:9" x14ac:dyDescent="0.25">
      <c r="A6713">
        <v>2025</v>
      </c>
      <c r="B6713" t="s">
        <v>13363</v>
      </c>
      <c r="C6713" s="1">
        <v>45705</v>
      </c>
      <c r="D6713" t="s">
        <v>13364</v>
      </c>
      <c r="E6713">
        <v>11</v>
      </c>
      <c r="G6713" s="3">
        <f>MONTH(Tabela1[[#This Row],[Último pagto ano]])</f>
        <v>2</v>
      </c>
      <c r="H6713" t="str">
        <f>TEXT(Tabela1[[#This Row],[Coluna2]]*29,"mmmm")</f>
        <v>fevereiro</v>
      </c>
      <c r="I6713" t="str">
        <f>TEXT(MONTH(Tabela1[[#This Row],[Último pagto ano]])*29,"mmmm")</f>
        <v>fevereiro</v>
      </c>
    </row>
    <row r="6714" spans="1:9" x14ac:dyDescent="0.25">
      <c r="A6714">
        <v>2025</v>
      </c>
      <c r="B6714" t="s">
        <v>13365</v>
      </c>
      <c r="C6714" s="1">
        <v>46006</v>
      </c>
      <c r="D6714" t="s">
        <v>13366</v>
      </c>
      <c r="E6714" s="2">
        <v>5923.2</v>
      </c>
      <c r="G6714" s="3">
        <f>MONTH(Tabela1[[#This Row],[Último pagto ano]])</f>
        <v>12</v>
      </c>
      <c r="H6714" t="str">
        <f>TEXT(Tabela1[[#This Row],[Coluna2]]*29,"mmmm")</f>
        <v>dezembro</v>
      </c>
      <c r="I6714" t="str">
        <f>TEXT(MONTH(Tabela1[[#This Row],[Último pagto ano]])*29,"mmmm")</f>
        <v>dezembro</v>
      </c>
    </row>
    <row r="6715" spans="1:9" x14ac:dyDescent="0.25">
      <c r="A6715">
        <v>2025</v>
      </c>
      <c r="B6715" t="s">
        <v>13367</v>
      </c>
      <c r="C6715" s="1">
        <v>45975</v>
      </c>
      <c r="D6715" t="s">
        <v>13368</v>
      </c>
      <c r="E6715" s="2">
        <v>23042.46</v>
      </c>
      <c r="G6715" s="3">
        <f>MONTH(Tabela1[[#This Row],[Último pagto ano]])</f>
        <v>11</v>
      </c>
      <c r="H6715" t="str">
        <f>TEXT(Tabela1[[#This Row],[Coluna2]]*29,"mmmm")</f>
        <v>novembro</v>
      </c>
      <c r="I6715" t="str">
        <f>TEXT(MONTH(Tabela1[[#This Row],[Último pagto ano]])*29,"mmmm")</f>
        <v>novembro</v>
      </c>
    </row>
    <row r="6716" spans="1:9" x14ac:dyDescent="0.25">
      <c r="A6716">
        <v>2025</v>
      </c>
      <c r="B6716" t="s">
        <v>13369</v>
      </c>
      <c r="C6716" s="1">
        <v>46021</v>
      </c>
      <c r="D6716" t="s">
        <v>13370</v>
      </c>
      <c r="E6716" s="2">
        <v>2405.44</v>
      </c>
      <c r="G6716" s="3">
        <f>MONTH(Tabela1[[#This Row],[Último pagto ano]])</f>
        <v>12</v>
      </c>
      <c r="H6716" t="str">
        <f>TEXT(Tabela1[[#This Row],[Coluna2]]*29,"mmmm")</f>
        <v>dezembro</v>
      </c>
      <c r="I6716" t="str">
        <f>TEXT(MONTH(Tabela1[[#This Row],[Último pagto ano]])*29,"mmmm")</f>
        <v>dezembro</v>
      </c>
    </row>
    <row r="6717" spans="1:9" x14ac:dyDescent="0.25">
      <c r="A6717">
        <v>2025</v>
      </c>
      <c r="B6717" t="s">
        <v>13371</v>
      </c>
      <c r="C6717" s="1">
        <v>46010</v>
      </c>
      <c r="D6717" t="s">
        <v>13372</v>
      </c>
      <c r="E6717" s="2">
        <v>24000</v>
      </c>
      <c r="G6717" s="3">
        <f>MONTH(Tabela1[[#This Row],[Último pagto ano]])</f>
        <v>12</v>
      </c>
      <c r="H6717" t="str">
        <f>TEXT(Tabela1[[#This Row],[Coluna2]]*29,"mmmm")</f>
        <v>dezembro</v>
      </c>
      <c r="I6717" t="str">
        <f>TEXT(MONTH(Tabela1[[#This Row],[Último pagto ano]])*29,"mmmm")</f>
        <v>dezembro</v>
      </c>
    </row>
    <row r="6718" spans="1:9" x14ac:dyDescent="0.25">
      <c r="A6718">
        <v>2025</v>
      </c>
      <c r="B6718" t="s">
        <v>13373</v>
      </c>
      <c r="C6718" s="1">
        <v>45792</v>
      </c>
      <c r="D6718" t="s">
        <v>13374</v>
      </c>
      <c r="E6718" s="2">
        <v>1640.88</v>
      </c>
      <c r="G6718" s="3">
        <f>MONTH(Tabela1[[#This Row],[Último pagto ano]])</f>
        <v>5</v>
      </c>
      <c r="H6718" t="str">
        <f>TEXT(Tabela1[[#This Row],[Coluna2]]*29,"mmmm")</f>
        <v>maio</v>
      </c>
      <c r="I6718" t="str">
        <f>TEXT(MONTH(Tabela1[[#This Row],[Último pagto ano]])*29,"mmmm")</f>
        <v>maio</v>
      </c>
    </row>
    <row r="6719" spans="1:9" x14ac:dyDescent="0.25">
      <c r="A6719">
        <v>2025</v>
      </c>
      <c r="B6719" t="s">
        <v>13375</v>
      </c>
      <c r="C6719" s="1">
        <v>45952</v>
      </c>
      <c r="D6719" t="s">
        <v>13376</v>
      </c>
      <c r="E6719">
        <v>483</v>
      </c>
      <c r="G6719" s="3">
        <f>MONTH(Tabela1[[#This Row],[Último pagto ano]])</f>
        <v>10</v>
      </c>
      <c r="H6719" t="str">
        <f>TEXT(Tabela1[[#This Row],[Coluna2]]*29,"mmmm")</f>
        <v>outubro</v>
      </c>
      <c r="I6719" t="str">
        <f>TEXT(MONTH(Tabela1[[#This Row],[Último pagto ano]])*29,"mmmm")</f>
        <v>outubro</v>
      </c>
    </row>
    <row r="6720" spans="1:9" x14ac:dyDescent="0.25">
      <c r="A6720">
        <v>2025</v>
      </c>
      <c r="B6720" t="s">
        <v>13377</v>
      </c>
      <c r="C6720" s="1">
        <v>45884</v>
      </c>
      <c r="D6720" t="s">
        <v>13378</v>
      </c>
      <c r="E6720" s="2">
        <v>3701.6</v>
      </c>
      <c r="G6720" s="3">
        <f>MONTH(Tabela1[[#This Row],[Último pagto ano]])</f>
        <v>8</v>
      </c>
      <c r="H6720" t="str">
        <f>TEXT(Tabela1[[#This Row],[Coluna2]]*29,"mmmm")</f>
        <v>agosto</v>
      </c>
      <c r="I6720" t="str">
        <f>TEXT(MONTH(Tabela1[[#This Row],[Último pagto ano]])*29,"mmmm")</f>
        <v>agosto</v>
      </c>
    </row>
    <row r="6721" spans="1:9" x14ac:dyDescent="0.25">
      <c r="A6721">
        <v>2025</v>
      </c>
      <c r="B6721" t="s">
        <v>13377</v>
      </c>
      <c r="C6721" s="1">
        <v>46013</v>
      </c>
      <c r="D6721" t="s">
        <v>13379</v>
      </c>
      <c r="E6721" s="2">
        <v>8701.6</v>
      </c>
      <c r="G6721" s="3">
        <f>MONTH(Tabela1[[#This Row],[Último pagto ano]])</f>
        <v>12</v>
      </c>
      <c r="H6721" t="str">
        <f>TEXT(Tabela1[[#This Row],[Coluna2]]*29,"mmmm")</f>
        <v>dezembro</v>
      </c>
      <c r="I6721" t="str">
        <f>TEXT(MONTH(Tabela1[[#This Row],[Último pagto ano]])*29,"mmmm")</f>
        <v>dezembro</v>
      </c>
    </row>
    <row r="6722" spans="1:9" x14ac:dyDescent="0.25">
      <c r="A6722">
        <v>2025</v>
      </c>
      <c r="B6722" t="s">
        <v>13380</v>
      </c>
      <c r="C6722" s="1">
        <v>45996</v>
      </c>
      <c r="D6722" t="s">
        <v>13381</v>
      </c>
      <c r="E6722" s="2">
        <v>22010</v>
      </c>
      <c r="G6722" s="3">
        <f>MONTH(Tabela1[[#This Row],[Último pagto ano]])</f>
        <v>12</v>
      </c>
      <c r="H6722" t="str">
        <f>TEXT(Tabela1[[#This Row],[Coluna2]]*29,"mmmm")</f>
        <v>dezembro</v>
      </c>
      <c r="I6722" t="str">
        <f>TEXT(MONTH(Tabela1[[#This Row],[Último pagto ano]])*29,"mmmm")</f>
        <v>dezembro</v>
      </c>
    </row>
    <row r="6723" spans="1:9" x14ac:dyDescent="0.25">
      <c r="A6723">
        <v>2025</v>
      </c>
      <c r="B6723" t="s">
        <v>13382</v>
      </c>
      <c r="C6723" s="1">
        <v>45996</v>
      </c>
      <c r="D6723" t="s">
        <v>13383</v>
      </c>
      <c r="E6723" s="2">
        <v>6400</v>
      </c>
      <c r="G6723" s="3">
        <f>MONTH(Tabela1[[#This Row],[Último pagto ano]])</f>
        <v>12</v>
      </c>
      <c r="H6723" t="str">
        <f>TEXT(Tabela1[[#This Row],[Coluna2]]*29,"mmmm")</f>
        <v>dezembro</v>
      </c>
      <c r="I6723" t="str">
        <f>TEXT(MONTH(Tabela1[[#This Row],[Último pagto ano]])*29,"mmmm")</f>
        <v>dezembro</v>
      </c>
    </row>
    <row r="6724" spans="1:9" x14ac:dyDescent="0.25">
      <c r="A6724">
        <v>2025</v>
      </c>
      <c r="B6724" t="s">
        <v>13384</v>
      </c>
      <c r="C6724" s="1">
        <v>46006</v>
      </c>
      <c r="D6724" t="s">
        <v>13385</v>
      </c>
      <c r="E6724" s="2">
        <v>2961.6</v>
      </c>
      <c r="G6724" s="3">
        <f>MONTH(Tabela1[[#This Row],[Último pagto ano]])</f>
        <v>12</v>
      </c>
      <c r="H6724" t="str">
        <f>TEXT(Tabela1[[#This Row],[Coluna2]]*29,"mmmm")</f>
        <v>dezembro</v>
      </c>
      <c r="I6724" t="str">
        <f>TEXT(MONTH(Tabela1[[#This Row],[Último pagto ano]])*29,"mmmm")</f>
        <v>dezembro</v>
      </c>
    </row>
    <row r="6725" spans="1:9" x14ac:dyDescent="0.25">
      <c r="A6725">
        <v>2025</v>
      </c>
      <c r="B6725" t="s">
        <v>13386</v>
      </c>
      <c r="C6725" s="1">
        <v>46010</v>
      </c>
      <c r="D6725" t="s">
        <v>13387</v>
      </c>
      <c r="E6725" s="2">
        <v>8400</v>
      </c>
      <c r="G6725" s="3">
        <f>MONTH(Tabela1[[#This Row],[Último pagto ano]])</f>
        <v>12</v>
      </c>
      <c r="H6725" t="str">
        <f>TEXT(Tabela1[[#This Row],[Coluna2]]*29,"mmmm")</f>
        <v>dezembro</v>
      </c>
      <c r="I6725" t="str">
        <f>TEXT(MONTH(Tabela1[[#This Row],[Último pagto ano]])*29,"mmmm")</f>
        <v>dezembro</v>
      </c>
    </row>
    <row r="6726" spans="1:9" x14ac:dyDescent="0.25">
      <c r="A6726">
        <v>2025</v>
      </c>
      <c r="B6726" t="s">
        <v>13388</v>
      </c>
      <c r="C6726" s="1">
        <v>46010</v>
      </c>
      <c r="D6726" t="s">
        <v>13389</v>
      </c>
      <c r="E6726" s="2">
        <v>5600</v>
      </c>
      <c r="G6726" s="3">
        <f>MONTH(Tabela1[[#This Row],[Último pagto ano]])</f>
        <v>12</v>
      </c>
      <c r="H6726" t="str">
        <f>TEXT(Tabela1[[#This Row],[Coluna2]]*29,"mmmm")</f>
        <v>dezembro</v>
      </c>
      <c r="I6726" t="str">
        <f>TEXT(MONTH(Tabela1[[#This Row],[Último pagto ano]])*29,"mmmm")</f>
        <v>dezembro</v>
      </c>
    </row>
    <row r="6727" spans="1:9" x14ac:dyDescent="0.25">
      <c r="A6727">
        <v>2025</v>
      </c>
      <c r="B6727" t="s">
        <v>13390</v>
      </c>
      <c r="C6727" s="1">
        <v>46014</v>
      </c>
      <c r="D6727" t="s">
        <v>13391</v>
      </c>
      <c r="E6727" s="2">
        <v>11000</v>
      </c>
      <c r="G6727" s="3">
        <f>MONTH(Tabela1[[#This Row],[Último pagto ano]])</f>
        <v>12</v>
      </c>
      <c r="H6727" t="str">
        <f>TEXT(Tabela1[[#This Row],[Coluna2]]*29,"mmmm")</f>
        <v>dezembro</v>
      </c>
      <c r="I6727" t="str">
        <f>TEXT(MONTH(Tabela1[[#This Row],[Último pagto ano]])*29,"mmmm")</f>
        <v>dezembro</v>
      </c>
    </row>
    <row r="6728" spans="1:9" x14ac:dyDescent="0.25">
      <c r="A6728">
        <v>2025</v>
      </c>
      <c r="B6728" t="s">
        <v>13392</v>
      </c>
      <c r="C6728" s="1">
        <v>45853</v>
      </c>
      <c r="D6728" t="s">
        <v>13393</v>
      </c>
      <c r="E6728" s="2">
        <v>6198.21</v>
      </c>
      <c r="G6728" s="3">
        <f>MONTH(Tabela1[[#This Row],[Último pagto ano]])</f>
        <v>7</v>
      </c>
      <c r="H6728" t="str">
        <f>TEXT(Tabela1[[#This Row],[Coluna2]]*29,"mmmm")</f>
        <v>julho</v>
      </c>
      <c r="I6728" t="str">
        <f>TEXT(MONTH(Tabela1[[#This Row],[Último pagto ano]])*29,"mmmm")</f>
        <v>julho</v>
      </c>
    </row>
    <row r="6729" spans="1:9" x14ac:dyDescent="0.25">
      <c r="A6729">
        <v>2025</v>
      </c>
      <c r="B6729" t="s">
        <v>13394</v>
      </c>
      <c r="C6729" s="1">
        <v>45880</v>
      </c>
      <c r="D6729" t="s">
        <v>13395</v>
      </c>
      <c r="E6729" s="2">
        <v>2883.41</v>
      </c>
      <c r="G6729" s="3">
        <f>MONTH(Tabela1[[#This Row],[Último pagto ano]])</f>
        <v>8</v>
      </c>
      <c r="H6729" t="str">
        <f>TEXT(Tabela1[[#This Row],[Coluna2]]*29,"mmmm")</f>
        <v>agosto</v>
      </c>
      <c r="I6729" t="str">
        <f>TEXT(MONTH(Tabela1[[#This Row],[Último pagto ano]])*29,"mmmm")</f>
        <v>agosto</v>
      </c>
    </row>
    <row r="6730" spans="1:9" x14ac:dyDescent="0.25">
      <c r="A6730">
        <v>2025</v>
      </c>
      <c r="B6730" t="s">
        <v>13396</v>
      </c>
      <c r="C6730" s="1">
        <v>45971</v>
      </c>
      <c r="D6730" t="s">
        <v>13397</v>
      </c>
      <c r="E6730">
        <v>193.2</v>
      </c>
      <c r="G6730" s="3">
        <f>MONTH(Tabela1[[#This Row],[Último pagto ano]])</f>
        <v>11</v>
      </c>
      <c r="H6730" t="str">
        <f>TEXT(Tabela1[[#This Row],[Coluna2]]*29,"mmmm")</f>
        <v>novembro</v>
      </c>
      <c r="I6730" t="str">
        <f>TEXT(MONTH(Tabela1[[#This Row],[Último pagto ano]])*29,"mmmm")</f>
        <v>novembro</v>
      </c>
    </row>
    <row r="6731" spans="1:9" x14ac:dyDescent="0.25">
      <c r="A6731">
        <v>2025</v>
      </c>
      <c r="B6731" t="s">
        <v>13398</v>
      </c>
      <c r="C6731" s="1">
        <v>46021</v>
      </c>
      <c r="D6731" t="s">
        <v>13399</v>
      </c>
      <c r="E6731" s="2">
        <v>13038.6</v>
      </c>
      <c r="G6731" s="3">
        <f>MONTH(Tabela1[[#This Row],[Último pagto ano]])</f>
        <v>12</v>
      </c>
      <c r="H6731" t="str">
        <f>TEXT(Tabela1[[#This Row],[Coluna2]]*29,"mmmm")</f>
        <v>dezembro</v>
      </c>
      <c r="I6731" t="str">
        <f>TEXT(MONTH(Tabela1[[#This Row],[Último pagto ano]])*29,"mmmm")</f>
        <v>dezembro</v>
      </c>
    </row>
    <row r="6732" spans="1:9" x14ac:dyDescent="0.25">
      <c r="A6732">
        <v>2025</v>
      </c>
      <c r="B6732" t="s">
        <v>13400</v>
      </c>
      <c r="C6732" s="1">
        <v>45961</v>
      </c>
      <c r="D6732" t="s">
        <v>13401</v>
      </c>
      <c r="E6732" s="2">
        <v>1240</v>
      </c>
      <c r="G6732" s="3">
        <f>MONTH(Tabela1[[#This Row],[Último pagto ano]])</f>
        <v>10</v>
      </c>
      <c r="H6732" t="str">
        <f>TEXT(Tabela1[[#This Row],[Coluna2]]*29,"mmmm")</f>
        <v>outubro</v>
      </c>
      <c r="I6732" t="str">
        <f>TEXT(MONTH(Tabela1[[#This Row],[Último pagto ano]])*29,"mmmm")</f>
        <v>outubro</v>
      </c>
    </row>
    <row r="6733" spans="1:9" x14ac:dyDescent="0.25">
      <c r="A6733">
        <v>2025</v>
      </c>
      <c r="B6733" t="s">
        <v>13402</v>
      </c>
      <c r="C6733" s="1">
        <v>46014</v>
      </c>
      <c r="D6733" t="s">
        <v>13403</v>
      </c>
      <c r="E6733" s="2">
        <v>10245</v>
      </c>
      <c r="G6733" s="3">
        <f>MONTH(Tabela1[[#This Row],[Último pagto ano]])</f>
        <v>12</v>
      </c>
      <c r="H6733" t="str">
        <f>TEXT(Tabela1[[#This Row],[Coluna2]]*29,"mmmm")</f>
        <v>dezembro</v>
      </c>
      <c r="I6733" t="str">
        <f>TEXT(MONTH(Tabela1[[#This Row],[Último pagto ano]])*29,"mmmm")</f>
        <v>dezembro</v>
      </c>
    </row>
    <row r="6734" spans="1:9" x14ac:dyDescent="0.25">
      <c r="A6734">
        <v>2025</v>
      </c>
      <c r="B6734" t="s">
        <v>13404</v>
      </c>
      <c r="C6734" s="1">
        <v>46014</v>
      </c>
      <c r="D6734" t="s">
        <v>13405</v>
      </c>
      <c r="E6734">
        <v>207.8</v>
      </c>
      <c r="G6734" s="3">
        <f>MONTH(Tabela1[[#This Row],[Último pagto ano]])</f>
        <v>12</v>
      </c>
      <c r="H6734" t="str">
        <f>TEXT(Tabela1[[#This Row],[Coluna2]]*29,"mmmm")</f>
        <v>dezembro</v>
      </c>
      <c r="I6734" t="str">
        <f>TEXT(MONTH(Tabela1[[#This Row],[Último pagto ano]])*29,"mmmm")</f>
        <v>dezembro</v>
      </c>
    </row>
    <row r="6735" spans="1:9" x14ac:dyDescent="0.25">
      <c r="A6735">
        <v>2025</v>
      </c>
      <c r="B6735" t="s">
        <v>13406</v>
      </c>
      <c r="C6735" s="1">
        <v>45996</v>
      </c>
      <c r="D6735" t="s">
        <v>13407</v>
      </c>
      <c r="E6735" s="2">
        <v>27723.75</v>
      </c>
      <c r="G6735" s="3">
        <f>MONTH(Tabela1[[#This Row],[Último pagto ano]])</f>
        <v>12</v>
      </c>
      <c r="H6735" t="str">
        <f>TEXT(Tabela1[[#This Row],[Coluna2]]*29,"mmmm")</f>
        <v>dezembro</v>
      </c>
      <c r="I6735" t="str">
        <f>TEXT(MONTH(Tabela1[[#This Row],[Último pagto ano]])*29,"mmmm")</f>
        <v>dezembro</v>
      </c>
    </row>
    <row r="6736" spans="1:9" x14ac:dyDescent="0.25">
      <c r="A6736">
        <v>2025</v>
      </c>
      <c r="B6736" t="s">
        <v>13408</v>
      </c>
      <c r="C6736" s="1">
        <v>45996</v>
      </c>
      <c r="D6736" t="s">
        <v>13409</v>
      </c>
      <c r="E6736" s="2">
        <v>64800</v>
      </c>
      <c r="G6736" s="3">
        <f>MONTH(Tabela1[[#This Row],[Último pagto ano]])</f>
        <v>12</v>
      </c>
      <c r="H6736" t="str">
        <f>TEXT(Tabela1[[#This Row],[Coluna2]]*29,"mmmm")</f>
        <v>dezembro</v>
      </c>
      <c r="I6736" t="str">
        <f>TEXT(MONTH(Tabela1[[#This Row],[Último pagto ano]])*29,"mmmm")</f>
        <v>dezembro</v>
      </c>
    </row>
    <row r="6737" spans="1:9" x14ac:dyDescent="0.25">
      <c r="A6737">
        <v>2025</v>
      </c>
      <c r="B6737" t="s">
        <v>13410</v>
      </c>
      <c r="C6737" s="1">
        <v>46010</v>
      </c>
      <c r="D6737" t="s">
        <v>13411</v>
      </c>
      <c r="E6737" s="2">
        <v>8400</v>
      </c>
      <c r="G6737" s="3">
        <f>MONTH(Tabela1[[#This Row],[Último pagto ano]])</f>
        <v>12</v>
      </c>
      <c r="H6737" t="str">
        <f>TEXT(Tabela1[[#This Row],[Coluna2]]*29,"mmmm")</f>
        <v>dezembro</v>
      </c>
      <c r="I6737" t="str">
        <f>TEXT(MONTH(Tabela1[[#This Row],[Último pagto ano]])*29,"mmmm")</f>
        <v>dezembro</v>
      </c>
    </row>
    <row r="6738" spans="1:9" x14ac:dyDescent="0.25">
      <c r="A6738">
        <v>2025</v>
      </c>
      <c r="B6738" t="s">
        <v>13412</v>
      </c>
      <c r="C6738" s="1">
        <v>45915</v>
      </c>
      <c r="D6738" t="s">
        <v>13413</v>
      </c>
      <c r="E6738">
        <v>24.36</v>
      </c>
      <c r="G6738" s="3">
        <f>MONTH(Tabela1[[#This Row],[Último pagto ano]])</f>
        <v>9</v>
      </c>
      <c r="H6738" t="str">
        <f>TEXT(Tabela1[[#This Row],[Coluna2]]*29,"mmmm")</f>
        <v>setembro</v>
      </c>
      <c r="I6738" t="str">
        <f>TEXT(MONTH(Tabela1[[#This Row],[Último pagto ano]])*29,"mmmm")</f>
        <v>setembro</v>
      </c>
    </row>
    <row r="6739" spans="1:9" x14ac:dyDescent="0.25">
      <c r="A6739">
        <v>2025</v>
      </c>
      <c r="B6739" t="s">
        <v>13414</v>
      </c>
      <c r="C6739" s="1">
        <v>45996</v>
      </c>
      <c r="D6739" t="s">
        <v>13415</v>
      </c>
      <c r="E6739" s="2">
        <v>5526.72</v>
      </c>
      <c r="G6739" s="3">
        <f>MONTH(Tabela1[[#This Row],[Último pagto ano]])</f>
        <v>12</v>
      </c>
      <c r="H6739" t="str">
        <f>TEXT(Tabela1[[#This Row],[Coluna2]]*29,"mmmm")</f>
        <v>dezembro</v>
      </c>
      <c r="I6739" t="str">
        <f>TEXT(MONTH(Tabela1[[#This Row],[Último pagto ano]])*29,"mmmm")</f>
        <v>dezembro</v>
      </c>
    </row>
    <row r="6740" spans="1:9" x14ac:dyDescent="0.25">
      <c r="A6740">
        <v>2025</v>
      </c>
      <c r="B6740" t="s">
        <v>13416</v>
      </c>
      <c r="C6740" s="1">
        <v>46006</v>
      </c>
      <c r="D6740" t="s">
        <v>13417</v>
      </c>
      <c r="E6740" s="2">
        <v>15468.72</v>
      </c>
      <c r="G6740" s="3">
        <f>MONTH(Tabela1[[#This Row],[Último pagto ano]])</f>
        <v>12</v>
      </c>
      <c r="H6740" t="str">
        <f>TEXT(Tabela1[[#This Row],[Coluna2]]*29,"mmmm")</f>
        <v>dezembro</v>
      </c>
      <c r="I6740" t="str">
        <f>TEXT(MONTH(Tabela1[[#This Row],[Último pagto ano]])*29,"mmmm")</f>
        <v>dezembro</v>
      </c>
    </row>
    <row r="6741" spans="1:9" x14ac:dyDescent="0.25">
      <c r="A6741">
        <v>2025</v>
      </c>
      <c r="B6741" t="s">
        <v>13418</v>
      </c>
      <c r="C6741" s="1">
        <v>45824</v>
      </c>
      <c r="D6741" t="s">
        <v>13419</v>
      </c>
      <c r="E6741" s="2">
        <v>1158.08</v>
      </c>
      <c r="G6741" s="3">
        <f>MONTH(Tabela1[[#This Row],[Último pagto ano]])</f>
        <v>6</v>
      </c>
      <c r="H6741" t="str">
        <f>TEXT(Tabela1[[#This Row],[Coluna2]]*29,"mmmm")</f>
        <v>junho</v>
      </c>
      <c r="I6741" t="str">
        <f>TEXT(MONTH(Tabela1[[#This Row],[Último pagto ano]])*29,"mmmm")</f>
        <v>junho</v>
      </c>
    </row>
    <row r="6742" spans="1:9" x14ac:dyDescent="0.25">
      <c r="A6742">
        <v>2025</v>
      </c>
      <c r="B6742" t="s">
        <v>13420</v>
      </c>
      <c r="C6742" s="1">
        <v>45999</v>
      </c>
      <c r="D6742" t="s">
        <v>13421</v>
      </c>
      <c r="E6742">
        <v>154</v>
      </c>
      <c r="G6742" s="3">
        <f>MONTH(Tabela1[[#This Row],[Último pagto ano]])</f>
        <v>12</v>
      </c>
      <c r="H6742" t="str">
        <f>TEXT(Tabela1[[#This Row],[Coluna2]]*29,"mmmm")</f>
        <v>dezembro</v>
      </c>
      <c r="I6742" t="str">
        <f>TEXT(MONTH(Tabela1[[#This Row],[Último pagto ano]])*29,"mmmm")</f>
        <v>dezembro</v>
      </c>
    </row>
    <row r="6743" spans="1:9" x14ac:dyDescent="0.25">
      <c r="A6743">
        <v>2025</v>
      </c>
      <c r="B6743" t="s">
        <v>13422</v>
      </c>
      <c r="C6743" s="1">
        <v>45924</v>
      </c>
      <c r="D6743" t="s">
        <v>13423</v>
      </c>
      <c r="E6743" s="2">
        <v>2800</v>
      </c>
      <c r="G6743" s="3">
        <f>MONTH(Tabela1[[#This Row],[Último pagto ano]])</f>
        <v>9</v>
      </c>
      <c r="H6743" t="str">
        <f>TEXT(Tabela1[[#This Row],[Coluna2]]*29,"mmmm")</f>
        <v>setembro</v>
      </c>
      <c r="I6743" t="str">
        <f>TEXT(MONTH(Tabela1[[#This Row],[Último pagto ano]])*29,"mmmm")</f>
        <v>setembro</v>
      </c>
    </row>
    <row r="6744" spans="1:9" x14ac:dyDescent="0.25">
      <c r="A6744">
        <v>2025</v>
      </c>
      <c r="B6744" t="s">
        <v>13422</v>
      </c>
      <c r="C6744" s="1">
        <v>46006</v>
      </c>
      <c r="D6744" t="s">
        <v>13424</v>
      </c>
      <c r="E6744" s="2">
        <v>17749.68</v>
      </c>
      <c r="G6744" s="3">
        <f>MONTH(Tabela1[[#This Row],[Último pagto ano]])</f>
        <v>12</v>
      </c>
      <c r="H6744" t="str">
        <f>TEXT(Tabela1[[#This Row],[Coluna2]]*29,"mmmm")</f>
        <v>dezembro</v>
      </c>
      <c r="I6744" t="str">
        <f>TEXT(MONTH(Tabela1[[#This Row],[Último pagto ano]])*29,"mmmm")</f>
        <v>dezembro</v>
      </c>
    </row>
    <row r="6745" spans="1:9" x14ac:dyDescent="0.25">
      <c r="A6745">
        <v>2025</v>
      </c>
      <c r="B6745" t="s">
        <v>13425</v>
      </c>
      <c r="C6745" s="1">
        <v>46010</v>
      </c>
      <c r="D6745" t="s">
        <v>13426</v>
      </c>
      <c r="E6745" s="2">
        <v>8400</v>
      </c>
      <c r="G6745" s="3">
        <f>MONTH(Tabela1[[#This Row],[Último pagto ano]])</f>
        <v>12</v>
      </c>
      <c r="H6745" t="str">
        <f>TEXT(Tabela1[[#This Row],[Coluna2]]*29,"mmmm")</f>
        <v>dezembro</v>
      </c>
      <c r="I6745" t="str">
        <f>TEXT(MONTH(Tabela1[[#This Row],[Último pagto ano]])*29,"mmmm")</f>
        <v>dezembro</v>
      </c>
    </row>
    <row r="6746" spans="1:9" x14ac:dyDescent="0.25">
      <c r="A6746">
        <v>2025</v>
      </c>
      <c r="B6746" t="s">
        <v>13427</v>
      </c>
      <c r="C6746" s="1">
        <v>45989</v>
      </c>
      <c r="D6746" t="s">
        <v>13428</v>
      </c>
      <c r="E6746" s="2">
        <v>5028.9799999999996</v>
      </c>
      <c r="G6746" s="3">
        <f>MONTH(Tabela1[[#This Row],[Último pagto ano]])</f>
        <v>11</v>
      </c>
      <c r="H6746" t="str">
        <f>TEXT(Tabela1[[#This Row],[Coluna2]]*29,"mmmm")</f>
        <v>novembro</v>
      </c>
      <c r="I6746" t="str">
        <f>TEXT(MONTH(Tabela1[[#This Row],[Último pagto ano]])*29,"mmmm")</f>
        <v>novembro</v>
      </c>
    </row>
    <row r="6747" spans="1:9" x14ac:dyDescent="0.25">
      <c r="A6747">
        <v>2025</v>
      </c>
      <c r="B6747" t="s">
        <v>13429</v>
      </c>
      <c r="C6747" s="1">
        <v>45733</v>
      </c>
      <c r="D6747" t="s">
        <v>13430</v>
      </c>
      <c r="E6747">
        <v>592.32000000000005</v>
      </c>
      <c r="G6747" s="3">
        <f>MONTH(Tabela1[[#This Row],[Último pagto ano]])</f>
        <v>3</v>
      </c>
      <c r="H6747" t="str">
        <f>TEXT(Tabela1[[#This Row],[Coluna2]]*29,"mmmm")</f>
        <v>março</v>
      </c>
      <c r="I6747" t="str">
        <f>TEXT(MONTH(Tabela1[[#This Row],[Último pagto ano]])*29,"mmmm")</f>
        <v>março</v>
      </c>
    </row>
    <row r="6748" spans="1:9" x14ac:dyDescent="0.25">
      <c r="A6748">
        <v>2025</v>
      </c>
      <c r="B6748" t="s">
        <v>13431</v>
      </c>
      <c r="C6748" s="1">
        <v>45868</v>
      </c>
      <c r="D6748" t="s">
        <v>13432</v>
      </c>
      <c r="E6748">
        <v>883.26</v>
      </c>
      <c r="G6748" s="3">
        <f>MONTH(Tabela1[[#This Row],[Último pagto ano]])</f>
        <v>7</v>
      </c>
      <c r="H6748" t="str">
        <f>TEXT(Tabela1[[#This Row],[Coluna2]]*29,"mmmm")</f>
        <v>julho</v>
      </c>
      <c r="I6748" t="str">
        <f>TEXT(MONTH(Tabela1[[#This Row],[Último pagto ano]])*29,"mmmm")</f>
        <v>julho</v>
      </c>
    </row>
    <row r="6749" spans="1:9" x14ac:dyDescent="0.25">
      <c r="A6749">
        <v>2025</v>
      </c>
      <c r="B6749" t="s">
        <v>13433</v>
      </c>
      <c r="C6749" s="1">
        <v>45702</v>
      </c>
      <c r="D6749" t="s">
        <v>13434</v>
      </c>
      <c r="E6749">
        <v>11</v>
      </c>
      <c r="G6749" s="3">
        <f>MONTH(Tabela1[[#This Row],[Último pagto ano]])</f>
        <v>2</v>
      </c>
      <c r="H6749" t="str">
        <f>TEXT(Tabela1[[#This Row],[Coluna2]]*29,"mmmm")</f>
        <v>fevereiro</v>
      </c>
      <c r="I6749" t="str">
        <f>TEXT(MONTH(Tabela1[[#This Row],[Último pagto ano]])*29,"mmmm")</f>
        <v>fevereiro</v>
      </c>
    </row>
    <row r="6750" spans="1:9" x14ac:dyDescent="0.25">
      <c r="A6750">
        <v>2025</v>
      </c>
      <c r="B6750" t="s">
        <v>13435</v>
      </c>
      <c r="C6750" s="1">
        <v>45821</v>
      </c>
      <c r="D6750" t="s">
        <v>13436</v>
      </c>
      <c r="E6750" s="2">
        <v>25332.48</v>
      </c>
      <c r="G6750" s="3">
        <f>MONTH(Tabela1[[#This Row],[Último pagto ano]])</f>
        <v>6</v>
      </c>
      <c r="H6750" t="str">
        <f>TEXT(Tabela1[[#This Row],[Coluna2]]*29,"mmmm")</f>
        <v>junho</v>
      </c>
      <c r="I6750" t="str">
        <f>TEXT(MONTH(Tabela1[[#This Row],[Último pagto ano]])*29,"mmmm")</f>
        <v>junho</v>
      </c>
    </row>
    <row r="6751" spans="1:9" x14ac:dyDescent="0.25">
      <c r="A6751">
        <v>2025</v>
      </c>
      <c r="B6751" t="s">
        <v>13437</v>
      </c>
      <c r="C6751" s="1">
        <v>45800</v>
      </c>
      <c r="D6751" t="s">
        <v>13438</v>
      </c>
      <c r="E6751" s="2">
        <v>36569.97</v>
      </c>
      <c r="G6751" s="3">
        <f>MONTH(Tabela1[[#This Row],[Último pagto ano]])</f>
        <v>5</v>
      </c>
      <c r="H6751" t="str">
        <f>TEXT(Tabela1[[#This Row],[Coluna2]]*29,"mmmm")</f>
        <v>maio</v>
      </c>
      <c r="I6751" t="str">
        <f>TEXT(MONTH(Tabela1[[#This Row],[Último pagto ano]])*29,"mmmm")</f>
        <v>maio</v>
      </c>
    </row>
    <row r="6752" spans="1:9" x14ac:dyDescent="0.25">
      <c r="A6752">
        <v>2025</v>
      </c>
      <c r="B6752" t="s">
        <v>13439</v>
      </c>
      <c r="C6752" s="1">
        <v>45807</v>
      </c>
      <c r="D6752" t="s">
        <v>13440</v>
      </c>
      <c r="E6752" s="2">
        <v>2260</v>
      </c>
      <c r="G6752" s="3">
        <f>MONTH(Tabela1[[#This Row],[Último pagto ano]])</f>
        <v>5</v>
      </c>
      <c r="H6752" t="str">
        <f>TEXT(Tabela1[[#This Row],[Coluna2]]*29,"mmmm")</f>
        <v>maio</v>
      </c>
      <c r="I6752" t="str">
        <f>TEXT(MONTH(Tabela1[[#This Row],[Último pagto ano]])*29,"mmmm")</f>
        <v>maio</v>
      </c>
    </row>
    <row r="6753" spans="1:9" x14ac:dyDescent="0.25">
      <c r="A6753">
        <v>2025</v>
      </c>
      <c r="B6753" t="s">
        <v>13441</v>
      </c>
      <c r="C6753" s="1">
        <v>46014</v>
      </c>
      <c r="D6753" t="s">
        <v>13442</v>
      </c>
      <c r="E6753" s="2">
        <v>12283</v>
      </c>
      <c r="G6753" s="3">
        <f>MONTH(Tabela1[[#This Row],[Último pagto ano]])</f>
        <v>12</v>
      </c>
      <c r="H6753" t="str">
        <f>TEXT(Tabela1[[#This Row],[Coluna2]]*29,"mmmm")</f>
        <v>dezembro</v>
      </c>
      <c r="I6753" t="str">
        <f>TEXT(MONTH(Tabela1[[#This Row],[Último pagto ano]])*29,"mmmm")</f>
        <v>dezembro</v>
      </c>
    </row>
    <row r="6754" spans="1:9" x14ac:dyDescent="0.25">
      <c r="A6754">
        <v>2025</v>
      </c>
      <c r="B6754" t="s">
        <v>13443</v>
      </c>
      <c r="C6754" s="1">
        <v>45866</v>
      </c>
      <c r="D6754" t="s">
        <v>13444</v>
      </c>
      <c r="E6754">
        <v>10.83</v>
      </c>
      <c r="G6754" s="3">
        <f>MONTH(Tabela1[[#This Row],[Último pagto ano]])</f>
        <v>7</v>
      </c>
      <c r="H6754" t="str">
        <f>TEXT(Tabela1[[#This Row],[Coluna2]]*29,"mmmm")</f>
        <v>julho</v>
      </c>
      <c r="I6754" t="str">
        <f>TEXT(MONTH(Tabela1[[#This Row],[Último pagto ano]])*29,"mmmm")</f>
        <v>julho</v>
      </c>
    </row>
    <row r="6755" spans="1:9" x14ac:dyDescent="0.25">
      <c r="A6755">
        <v>2025</v>
      </c>
      <c r="B6755" t="s">
        <v>13445</v>
      </c>
      <c r="C6755" s="1">
        <v>45814</v>
      </c>
      <c r="D6755" t="s">
        <v>13446</v>
      </c>
      <c r="E6755">
        <v>800</v>
      </c>
      <c r="G6755" s="3">
        <f>MONTH(Tabela1[[#This Row],[Último pagto ano]])</f>
        <v>6</v>
      </c>
      <c r="H6755" t="str">
        <f>TEXT(Tabela1[[#This Row],[Coluna2]]*29,"mmmm")</f>
        <v>junho</v>
      </c>
      <c r="I6755" t="str">
        <f>TEXT(MONTH(Tabela1[[#This Row],[Último pagto ano]])*29,"mmmm")</f>
        <v>junho</v>
      </c>
    </row>
    <row r="6756" spans="1:9" x14ac:dyDescent="0.25">
      <c r="A6756">
        <v>2025</v>
      </c>
      <c r="B6756" t="s">
        <v>13447</v>
      </c>
      <c r="C6756" s="1">
        <v>46010</v>
      </c>
      <c r="D6756" t="s">
        <v>13448</v>
      </c>
      <c r="E6756" s="2">
        <v>24000</v>
      </c>
      <c r="G6756" s="3">
        <f>MONTH(Tabela1[[#This Row],[Último pagto ano]])</f>
        <v>12</v>
      </c>
      <c r="H6756" t="str">
        <f>TEXT(Tabela1[[#This Row],[Coluna2]]*29,"mmmm")</f>
        <v>dezembro</v>
      </c>
      <c r="I6756" t="str">
        <f>TEXT(MONTH(Tabela1[[#This Row],[Último pagto ano]])*29,"mmmm")</f>
        <v>dezembro</v>
      </c>
    </row>
    <row r="6757" spans="1:9" x14ac:dyDescent="0.25">
      <c r="A6757">
        <v>2025</v>
      </c>
      <c r="B6757" t="s">
        <v>13449</v>
      </c>
      <c r="C6757" s="1">
        <v>45996</v>
      </c>
      <c r="D6757" t="s">
        <v>13450</v>
      </c>
      <c r="E6757" s="2">
        <v>3600</v>
      </c>
      <c r="G6757" s="3">
        <f>MONTH(Tabela1[[#This Row],[Último pagto ano]])</f>
        <v>12</v>
      </c>
      <c r="H6757" t="str">
        <f>TEXT(Tabela1[[#This Row],[Coluna2]]*29,"mmmm")</f>
        <v>dezembro</v>
      </c>
      <c r="I6757" t="str">
        <f>TEXT(MONTH(Tabela1[[#This Row],[Último pagto ano]])*29,"mmmm")</f>
        <v>dezembro</v>
      </c>
    </row>
    <row r="6758" spans="1:9" x14ac:dyDescent="0.25">
      <c r="A6758">
        <v>2025</v>
      </c>
      <c r="B6758" t="s">
        <v>13451</v>
      </c>
      <c r="C6758" s="1">
        <v>45996</v>
      </c>
      <c r="D6758" t="s">
        <v>13452</v>
      </c>
      <c r="E6758" s="2">
        <v>17050</v>
      </c>
      <c r="G6758" s="3">
        <f>MONTH(Tabela1[[#This Row],[Último pagto ano]])</f>
        <v>12</v>
      </c>
      <c r="H6758" t="str">
        <f>TEXT(Tabela1[[#This Row],[Coluna2]]*29,"mmmm")</f>
        <v>dezembro</v>
      </c>
      <c r="I6758" t="str">
        <f>TEXT(MONTH(Tabela1[[#This Row],[Último pagto ano]])*29,"mmmm")</f>
        <v>dezembro</v>
      </c>
    </row>
    <row r="6759" spans="1:9" x14ac:dyDescent="0.25">
      <c r="A6759">
        <v>2025</v>
      </c>
      <c r="B6759" t="s">
        <v>13453</v>
      </c>
      <c r="C6759" s="1">
        <v>45807</v>
      </c>
      <c r="D6759" t="s">
        <v>13454</v>
      </c>
      <c r="E6759" s="2">
        <v>4537.55</v>
      </c>
      <c r="G6759" s="3">
        <f>MONTH(Tabela1[[#This Row],[Último pagto ano]])</f>
        <v>5</v>
      </c>
      <c r="H6759" t="str">
        <f>TEXT(Tabela1[[#This Row],[Coluna2]]*29,"mmmm")</f>
        <v>maio</v>
      </c>
      <c r="I6759" t="str">
        <f>TEXT(MONTH(Tabela1[[#This Row],[Último pagto ano]])*29,"mmmm")</f>
        <v>maio</v>
      </c>
    </row>
    <row r="6760" spans="1:9" x14ac:dyDescent="0.25">
      <c r="A6760">
        <v>2025</v>
      </c>
      <c r="B6760" t="s">
        <v>13455</v>
      </c>
      <c r="C6760" s="1">
        <v>45945</v>
      </c>
      <c r="D6760" t="s">
        <v>13456</v>
      </c>
      <c r="E6760" s="2">
        <v>5330.88</v>
      </c>
      <c r="G6760" s="3">
        <f>MONTH(Tabela1[[#This Row],[Último pagto ano]])</f>
        <v>10</v>
      </c>
      <c r="H6760" t="str">
        <f>TEXT(Tabela1[[#This Row],[Coluna2]]*29,"mmmm")</f>
        <v>outubro</v>
      </c>
      <c r="I6760" t="str">
        <f>TEXT(MONTH(Tabela1[[#This Row],[Último pagto ano]])*29,"mmmm")</f>
        <v>outubro</v>
      </c>
    </row>
    <row r="6761" spans="1:9" x14ac:dyDescent="0.25">
      <c r="A6761">
        <v>2025</v>
      </c>
      <c r="B6761" t="s">
        <v>13457</v>
      </c>
      <c r="C6761" s="1">
        <v>45796</v>
      </c>
      <c r="D6761" t="s">
        <v>13458</v>
      </c>
      <c r="E6761">
        <v>631.79999999999995</v>
      </c>
      <c r="G6761" s="3">
        <f>MONTH(Tabela1[[#This Row],[Último pagto ano]])</f>
        <v>5</v>
      </c>
      <c r="H6761" t="str">
        <f>TEXT(Tabela1[[#This Row],[Coluna2]]*29,"mmmm")</f>
        <v>maio</v>
      </c>
      <c r="I6761" t="str">
        <f>TEXT(MONTH(Tabela1[[#This Row],[Último pagto ano]])*29,"mmmm")</f>
        <v>maio</v>
      </c>
    </row>
    <row r="6762" spans="1:9" x14ac:dyDescent="0.25">
      <c r="A6762">
        <v>2025</v>
      </c>
      <c r="B6762" t="s">
        <v>13459</v>
      </c>
      <c r="C6762" s="1">
        <v>45672</v>
      </c>
      <c r="D6762" t="s">
        <v>13460</v>
      </c>
      <c r="E6762">
        <v>353.6</v>
      </c>
      <c r="G6762" s="3">
        <f>MONTH(Tabela1[[#This Row],[Último pagto ano]])</f>
        <v>1</v>
      </c>
      <c r="H6762" t="str">
        <f>TEXT(Tabela1[[#This Row],[Coluna2]]*29,"mmmm")</f>
        <v>janeiro</v>
      </c>
      <c r="I6762" t="str">
        <f>TEXT(MONTH(Tabela1[[#This Row],[Último pagto ano]])*29,"mmmm")</f>
        <v>janeiro</v>
      </c>
    </row>
    <row r="6763" spans="1:9" x14ac:dyDescent="0.25">
      <c r="A6763">
        <v>2025</v>
      </c>
      <c r="B6763" t="s">
        <v>13461</v>
      </c>
      <c r="C6763" s="1">
        <v>45814</v>
      </c>
      <c r="D6763" t="s">
        <v>13462</v>
      </c>
      <c r="E6763" s="2">
        <v>2000</v>
      </c>
      <c r="G6763" s="3">
        <f>MONTH(Tabela1[[#This Row],[Último pagto ano]])</f>
        <v>6</v>
      </c>
      <c r="H6763" t="str">
        <f>TEXT(Tabela1[[#This Row],[Coluna2]]*29,"mmmm")</f>
        <v>junho</v>
      </c>
      <c r="I6763" t="str">
        <f>TEXT(MONTH(Tabela1[[#This Row],[Último pagto ano]])*29,"mmmm")</f>
        <v>junho</v>
      </c>
    </row>
    <row r="6764" spans="1:9" x14ac:dyDescent="0.25">
      <c r="A6764">
        <v>2025</v>
      </c>
      <c r="B6764" t="s">
        <v>13463</v>
      </c>
      <c r="C6764" s="1">
        <v>45838</v>
      </c>
      <c r="D6764" t="s">
        <v>13464</v>
      </c>
      <c r="E6764" s="2">
        <v>2277.38</v>
      </c>
      <c r="G6764" s="3">
        <f>MONTH(Tabela1[[#This Row],[Último pagto ano]])</f>
        <v>6</v>
      </c>
      <c r="H6764" t="str">
        <f>TEXT(Tabela1[[#This Row],[Coluna2]]*29,"mmmm")</f>
        <v>junho</v>
      </c>
      <c r="I6764" t="str">
        <f>TEXT(MONTH(Tabela1[[#This Row],[Último pagto ano]])*29,"mmmm")</f>
        <v>junho</v>
      </c>
    </row>
    <row r="6765" spans="1:9" x14ac:dyDescent="0.25">
      <c r="A6765">
        <v>2025</v>
      </c>
      <c r="B6765" t="s">
        <v>13465</v>
      </c>
      <c r="C6765" s="1">
        <v>46014</v>
      </c>
      <c r="D6765" t="s">
        <v>13466</v>
      </c>
      <c r="E6765" s="2">
        <v>1738</v>
      </c>
      <c r="G6765" s="3">
        <f>MONTH(Tabela1[[#This Row],[Último pagto ano]])</f>
        <v>12</v>
      </c>
      <c r="H6765" t="str">
        <f>TEXT(Tabela1[[#This Row],[Coluna2]]*29,"mmmm")</f>
        <v>dezembro</v>
      </c>
      <c r="I6765" t="str">
        <f>TEXT(MONTH(Tabela1[[#This Row],[Último pagto ano]])*29,"mmmm")</f>
        <v>dezembro</v>
      </c>
    </row>
    <row r="6766" spans="1:9" x14ac:dyDescent="0.25">
      <c r="A6766">
        <v>2025</v>
      </c>
      <c r="B6766" t="s">
        <v>13467</v>
      </c>
      <c r="C6766" s="1">
        <v>45996</v>
      </c>
      <c r="D6766" t="s">
        <v>13468</v>
      </c>
      <c r="E6766" s="2">
        <v>4900</v>
      </c>
      <c r="G6766" s="3">
        <f>MONTH(Tabela1[[#This Row],[Último pagto ano]])</f>
        <v>12</v>
      </c>
      <c r="H6766" t="str">
        <f>TEXT(Tabela1[[#This Row],[Coluna2]]*29,"mmmm")</f>
        <v>dezembro</v>
      </c>
      <c r="I6766" t="str">
        <f>TEXT(MONTH(Tabela1[[#This Row],[Último pagto ano]])*29,"mmmm")</f>
        <v>dezembro</v>
      </c>
    </row>
    <row r="6767" spans="1:9" x14ac:dyDescent="0.25">
      <c r="A6767">
        <v>2025</v>
      </c>
      <c r="B6767" t="s">
        <v>13469</v>
      </c>
      <c r="C6767" s="1">
        <v>45996</v>
      </c>
      <c r="D6767" t="s">
        <v>13470</v>
      </c>
      <c r="E6767" s="2">
        <v>17300</v>
      </c>
      <c r="G6767" s="3">
        <f>MONTH(Tabela1[[#This Row],[Último pagto ano]])</f>
        <v>12</v>
      </c>
      <c r="H6767" t="str">
        <f>TEXT(Tabela1[[#This Row],[Coluna2]]*29,"mmmm")</f>
        <v>dezembro</v>
      </c>
      <c r="I6767" t="str">
        <f>TEXT(MONTH(Tabela1[[#This Row],[Último pagto ano]])*29,"mmmm")</f>
        <v>dezembro</v>
      </c>
    </row>
    <row r="6768" spans="1:9" x14ac:dyDescent="0.25">
      <c r="A6768">
        <v>2025</v>
      </c>
      <c r="B6768" t="s">
        <v>13471</v>
      </c>
      <c r="C6768" s="1">
        <v>45996</v>
      </c>
      <c r="D6768" t="s">
        <v>13472</v>
      </c>
      <c r="E6768" s="2">
        <v>37800</v>
      </c>
      <c r="G6768" s="3">
        <f>MONTH(Tabela1[[#This Row],[Último pagto ano]])</f>
        <v>12</v>
      </c>
      <c r="H6768" t="str">
        <f>TEXT(Tabela1[[#This Row],[Coluna2]]*29,"mmmm")</f>
        <v>dezembro</v>
      </c>
      <c r="I6768" t="str">
        <f>TEXT(MONTH(Tabela1[[#This Row],[Último pagto ano]])*29,"mmmm")</f>
        <v>dezembro</v>
      </c>
    </row>
    <row r="6769" spans="1:9" x14ac:dyDescent="0.25">
      <c r="A6769">
        <v>2025</v>
      </c>
      <c r="B6769" t="s">
        <v>13473</v>
      </c>
      <c r="C6769" s="1">
        <v>45702</v>
      </c>
      <c r="D6769" t="s">
        <v>13474</v>
      </c>
      <c r="E6769">
        <v>835.4</v>
      </c>
      <c r="G6769" s="3">
        <f>MONTH(Tabela1[[#This Row],[Último pagto ano]])</f>
        <v>2</v>
      </c>
      <c r="H6769" t="str">
        <f>TEXT(Tabela1[[#This Row],[Coluna2]]*29,"mmmm")</f>
        <v>fevereiro</v>
      </c>
      <c r="I6769" t="str">
        <f>TEXT(MONTH(Tabela1[[#This Row],[Último pagto ano]])*29,"mmmm")</f>
        <v>fevereiro</v>
      </c>
    </row>
    <row r="6770" spans="1:9" x14ac:dyDescent="0.25">
      <c r="A6770">
        <v>2025</v>
      </c>
      <c r="B6770" t="s">
        <v>13475</v>
      </c>
      <c r="C6770" s="1">
        <v>45814</v>
      </c>
      <c r="D6770" t="s">
        <v>13476</v>
      </c>
      <c r="E6770" s="2">
        <v>2000</v>
      </c>
      <c r="G6770" s="3">
        <f>MONTH(Tabela1[[#This Row],[Último pagto ano]])</f>
        <v>6</v>
      </c>
      <c r="H6770" t="str">
        <f>TEXT(Tabela1[[#This Row],[Coluna2]]*29,"mmmm")</f>
        <v>junho</v>
      </c>
      <c r="I6770" t="str">
        <f>TEXT(MONTH(Tabela1[[#This Row],[Último pagto ano]])*29,"mmmm")</f>
        <v>junho</v>
      </c>
    </row>
    <row r="6771" spans="1:9" x14ac:dyDescent="0.25">
      <c r="A6771">
        <v>2025</v>
      </c>
      <c r="B6771" t="s">
        <v>13477</v>
      </c>
      <c r="C6771" s="1">
        <v>45996</v>
      </c>
      <c r="D6771" t="s">
        <v>13478</v>
      </c>
      <c r="E6771" s="2">
        <v>21735</v>
      </c>
      <c r="G6771" s="3">
        <f>MONTH(Tabela1[[#This Row],[Último pagto ano]])</f>
        <v>12</v>
      </c>
      <c r="H6771" t="str">
        <f>TEXT(Tabela1[[#This Row],[Coluna2]]*29,"mmmm")</f>
        <v>dezembro</v>
      </c>
      <c r="I6771" t="str">
        <f>TEXT(MONTH(Tabela1[[#This Row],[Último pagto ano]])*29,"mmmm")</f>
        <v>dezembro</v>
      </c>
    </row>
    <row r="6772" spans="1:9" x14ac:dyDescent="0.25">
      <c r="A6772">
        <v>2025</v>
      </c>
      <c r="B6772" t="s">
        <v>13479</v>
      </c>
      <c r="C6772" s="1">
        <v>46006</v>
      </c>
      <c r="D6772" t="s">
        <v>13480</v>
      </c>
      <c r="E6772" s="2">
        <v>6502.24</v>
      </c>
      <c r="G6772" s="3">
        <f>MONTH(Tabela1[[#This Row],[Último pagto ano]])</f>
        <v>12</v>
      </c>
      <c r="H6772" t="str">
        <f>TEXT(Tabela1[[#This Row],[Coluna2]]*29,"mmmm")</f>
        <v>dezembro</v>
      </c>
      <c r="I6772" t="str">
        <f>TEXT(MONTH(Tabela1[[#This Row],[Último pagto ano]])*29,"mmmm")</f>
        <v>dezembro</v>
      </c>
    </row>
    <row r="6773" spans="1:9" x14ac:dyDescent="0.25">
      <c r="A6773">
        <v>2025</v>
      </c>
      <c r="B6773" t="s">
        <v>13481</v>
      </c>
      <c r="C6773" s="1">
        <v>45846</v>
      </c>
      <c r="D6773" t="s">
        <v>13482</v>
      </c>
      <c r="E6773" s="2">
        <v>5849.55</v>
      </c>
      <c r="G6773" s="3">
        <f>MONTH(Tabela1[[#This Row],[Último pagto ano]])</f>
        <v>7</v>
      </c>
      <c r="H6773" t="str">
        <f>TEXT(Tabela1[[#This Row],[Coluna2]]*29,"mmmm")</f>
        <v>julho</v>
      </c>
      <c r="I6773" t="str">
        <f>TEXT(MONTH(Tabela1[[#This Row],[Último pagto ano]])*29,"mmmm")</f>
        <v>julho</v>
      </c>
    </row>
    <row r="6774" spans="1:9" x14ac:dyDescent="0.25">
      <c r="A6774">
        <v>2025</v>
      </c>
      <c r="B6774" t="s">
        <v>13483</v>
      </c>
      <c r="C6774" s="1">
        <v>45964</v>
      </c>
      <c r="D6774" t="s">
        <v>13484</v>
      </c>
      <c r="E6774">
        <v>195</v>
      </c>
      <c r="G6774" s="3">
        <f>MONTH(Tabela1[[#This Row],[Último pagto ano]])</f>
        <v>11</v>
      </c>
      <c r="H6774" t="str">
        <f>TEXT(Tabela1[[#This Row],[Coluna2]]*29,"mmmm")</f>
        <v>novembro</v>
      </c>
      <c r="I6774" t="str">
        <f>TEXT(MONTH(Tabela1[[#This Row],[Último pagto ano]])*29,"mmmm")</f>
        <v>novembro</v>
      </c>
    </row>
    <row r="6775" spans="1:9" x14ac:dyDescent="0.25">
      <c r="A6775">
        <v>2025</v>
      </c>
      <c r="B6775" t="s">
        <v>13485</v>
      </c>
      <c r="C6775" s="1">
        <v>45996</v>
      </c>
      <c r="D6775" t="s">
        <v>13486</v>
      </c>
      <c r="E6775" s="2">
        <v>11500</v>
      </c>
      <c r="G6775" s="3">
        <f>MONTH(Tabela1[[#This Row],[Último pagto ano]])</f>
        <v>12</v>
      </c>
      <c r="H6775" t="str">
        <f>TEXT(Tabela1[[#This Row],[Coluna2]]*29,"mmmm")</f>
        <v>dezembro</v>
      </c>
      <c r="I6775" t="str">
        <f>TEXT(MONTH(Tabela1[[#This Row],[Último pagto ano]])*29,"mmmm")</f>
        <v>dezembro</v>
      </c>
    </row>
    <row r="6776" spans="1:9" x14ac:dyDescent="0.25">
      <c r="A6776">
        <v>2025</v>
      </c>
      <c r="B6776" t="s">
        <v>13487</v>
      </c>
      <c r="C6776" s="1">
        <v>45929</v>
      </c>
      <c r="D6776" t="s">
        <v>13488</v>
      </c>
      <c r="E6776">
        <v>110</v>
      </c>
      <c r="G6776" s="3">
        <f>MONTH(Tabela1[[#This Row],[Último pagto ano]])</f>
        <v>9</v>
      </c>
      <c r="H6776" t="str">
        <f>TEXT(Tabela1[[#This Row],[Coluna2]]*29,"mmmm")</f>
        <v>setembro</v>
      </c>
      <c r="I6776" t="str">
        <f>TEXT(MONTH(Tabela1[[#This Row],[Último pagto ano]])*29,"mmmm")</f>
        <v>setembro</v>
      </c>
    </row>
    <row r="6777" spans="1:9" x14ac:dyDescent="0.25">
      <c r="A6777">
        <v>2025</v>
      </c>
      <c r="B6777" t="s">
        <v>13489</v>
      </c>
      <c r="C6777" s="1">
        <v>45996</v>
      </c>
      <c r="D6777" t="s">
        <v>13490</v>
      </c>
      <c r="E6777" s="2">
        <v>16400</v>
      </c>
      <c r="G6777" s="3">
        <f>MONTH(Tabela1[[#This Row],[Último pagto ano]])</f>
        <v>12</v>
      </c>
      <c r="H6777" t="str">
        <f>TEXT(Tabela1[[#This Row],[Coluna2]]*29,"mmmm")</f>
        <v>dezembro</v>
      </c>
      <c r="I6777" t="str">
        <f>TEXT(MONTH(Tabela1[[#This Row],[Último pagto ano]])*29,"mmmm")</f>
        <v>dezembro</v>
      </c>
    </row>
    <row r="6778" spans="1:9" x14ac:dyDescent="0.25">
      <c r="A6778">
        <v>2025</v>
      </c>
      <c r="B6778" t="s">
        <v>13491</v>
      </c>
      <c r="C6778" s="1">
        <v>45945</v>
      </c>
      <c r="D6778" t="s">
        <v>13492</v>
      </c>
      <c r="E6778" s="2">
        <v>5600.48</v>
      </c>
      <c r="G6778" s="3">
        <f>MONTH(Tabela1[[#This Row],[Último pagto ano]])</f>
        <v>10</v>
      </c>
      <c r="H6778" t="str">
        <f>TEXT(Tabela1[[#This Row],[Coluna2]]*29,"mmmm")</f>
        <v>outubro</v>
      </c>
      <c r="I6778" t="str">
        <f>TEXT(MONTH(Tabela1[[#This Row],[Último pagto ano]])*29,"mmmm")</f>
        <v>outubro</v>
      </c>
    </row>
    <row r="6779" spans="1:9" x14ac:dyDescent="0.25">
      <c r="A6779">
        <v>2025</v>
      </c>
      <c r="B6779" t="s">
        <v>13493</v>
      </c>
      <c r="C6779" s="1">
        <v>45996</v>
      </c>
      <c r="D6779" t="s">
        <v>13494</v>
      </c>
      <c r="E6779" s="2">
        <v>63228.800000000003</v>
      </c>
      <c r="G6779" s="3">
        <f>MONTH(Tabela1[[#This Row],[Último pagto ano]])</f>
        <v>12</v>
      </c>
      <c r="H6779" t="str">
        <f>TEXT(Tabela1[[#This Row],[Coluna2]]*29,"mmmm")</f>
        <v>dezembro</v>
      </c>
      <c r="I6779" t="str">
        <f>TEXT(MONTH(Tabela1[[#This Row],[Último pagto ano]])*29,"mmmm")</f>
        <v>dezembro</v>
      </c>
    </row>
    <row r="6780" spans="1:9" x14ac:dyDescent="0.25">
      <c r="A6780">
        <v>2025</v>
      </c>
      <c r="B6780" t="s">
        <v>13495</v>
      </c>
      <c r="C6780" s="1">
        <v>45996</v>
      </c>
      <c r="D6780" t="s">
        <v>13496</v>
      </c>
      <c r="E6780" s="2">
        <v>23625</v>
      </c>
      <c r="G6780" s="3">
        <f>MONTH(Tabela1[[#This Row],[Último pagto ano]])</f>
        <v>12</v>
      </c>
      <c r="H6780" t="str">
        <f>TEXT(Tabela1[[#This Row],[Coluna2]]*29,"mmmm")</f>
        <v>dezembro</v>
      </c>
      <c r="I6780" t="str">
        <f>TEXT(MONTH(Tabela1[[#This Row],[Último pagto ano]])*29,"mmmm")</f>
        <v>dezembro</v>
      </c>
    </row>
    <row r="6781" spans="1:9" x14ac:dyDescent="0.25">
      <c r="A6781">
        <v>2025</v>
      </c>
      <c r="B6781" t="s">
        <v>13497</v>
      </c>
      <c r="C6781" s="1">
        <v>45792</v>
      </c>
      <c r="D6781" t="s">
        <v>13498</v>
      </c>
      <c r="E6781" s="2">
        <v>1776.96</v>
      </c>
      <c r="G6781" s="3">
        <f>MONTH(Tabela1[[#This Row],[Último pagto ano]])</f>
        <v>5</v>
      </c>
      <c r="H6781" t="str">
        <f>TEXT(Tabela1[[#This Row],[Coluna2]]*29,"mmmm")</f>
        <v>maio</v>
      </c>
      <c r="I6781" t="str">
        <f>TEXT(MONTH(Tabela1[[#This Row],[Último pagto ano]])*29,"mmmm")</f>
        <v>maio</v>
      </c>
    </row>
    <row r="6782" spans="1:9" x14ac:dyDescent="0.25">
      <c r="A6782">
        <v>2025</v>
      </c>
      <c r="B6782" t="s">
        <v>13499</v>
      </c>
      <c r="C6782" s="1">
        <v>45807</v>
      </c>
      <c r="D6782" t="s">
        <v>13500</v>
      </c>
      <c r="E6782" s="2">
        <v>3309.85</v>
      </c>
      <c r="G6782" s="3">
        <f>MONTH(Tabela1[[#This Row],[Último pagto ano]])</f>
        <v>5</v>
      </c>
      <c r="H6782" t="str">
        <f>TEXT(Tabela1[[#This Row],[Coluna2]]*29,"mmmm")</f>
        <v>maio</v>
      </c>
      <c r="I6782" t="str">
        <f>TEXT(MONTH(Tabela1[[#This Row],[Último pagto ano]])*29,"mmmm")</f>
        <v>maio</v>
      </c>
    </row>
    <row r="6783" spans="1:9" x14ac:dyDescent="0.25">
      <c r="A6783">
        <v>2025</v>
      </c>
      <c r="B6783" t="s">
        <v>13501</v>
      </c>
      <c r="C6783" s="1">
        <v>45796</v>
      </c>
      <c r="D6783" t="s">
        <v>13502</v>
      </c>
      <c r="E6783">
        <v>21.4</v>
      </c>
      <c r="G6783" s="3">
        <f>MONTH(Tabela1[[#This Row],[Último pagto ano]])</f>
        <v>5</v>
      </c>
      <c r="H6783" t="str">
        <f>TEXT(Tabela1[[#This Row],[Coluna2]]*29,"mmmm")</f>
        <v>maio</v>
      </c>
      <c r="I6783" t="str">
        <f>TEXT(MONTH(Tabela1[[#This Row],[Último pagto ano]])*29,"mmmm")</f>
        <v>maio</v>
      </c>
    </row>
    <row r="6784" spans="1:9" x14ac:dyDescent="0.25">
      <c r="A6784">
        <v>2025</v>
      </c>
      <c r="B6784" t="s">
        <v>13503</v>
      </c>
      <c r="C6784" s="1">
        <v>45996</v>
      </c>
      <c r="D6784" t="s">
        <v>13504</v>
      </c>
      <c r="E6784" s="2">
        <v>1200</v>
      </c>
      <c r="G6784" s="3">
        <f>MONTH(Tabela1[[#This Row],[Último pagto ano]])</f>
        <v>12</v>
      </c>
      <c r="H6784" t="str">
        <f>TEXT(Tabela1[[#This Row],[Coluna2]]*29,"mmmm")</f>
        <v>dezembro</v>
      </c>
      <c r="I6784" t="str">
        <f>TEXT(MONTH(Tabela1[[#This Row],[Último pagto ano]])*29,"mmmm")</f>
        <v>dezembro</v>
      </c>
    </row>
    <row r="6785" spans="1:9" x14ac:dyDescent="0.25">
      <c r="A6785">
        <v>2025</v>
      </c>
      <c r="B6785" t="s">
        <v>13505</v>
      </c>
      <c r="C6785" s="1">
        <v>46006</v>
      </c>
      <c r="D6785" t="s">
        <v>13506</v>
      </c>
      <c r="E6785" s="2">
        <v>13771.44</v>
      </c>
      <c r="G6785" s="3">
        <f>MONTH(Tabela1[[#This Row],[Último pagto ano]])</f>
        <v>12</v>
      </c>
      <c r="H6785" t="str">
        <f>TEXT(Tabela1[[#This Row],[Coluna2]]*29,"mmmm")</f>
        <v>dezembro</v>
      </c>
      <c r="I6785" t="str">
        <f>TEXT(MONTH(Tabela1[[#This Row],[Último pagto ano]])*29,"mmmm")</f>
        <v>dezembro</v>
      </c>
    </row>
    <row r="6786" spans="1:9" x14ac:dyDescent="0.25">
      <c r="A6786">
        <v>2025</v>
      </c>
      <c r="B6786" t="s">
        <v>13507</v>
      </c>
      <c r="C6786" s="1">
        <v>45996</v>
      </c>
      <c r="D6786" t="s">
        <v>13508</v>
      </c>
      <c r="E6786" s="2">
        <v>38508.75</v>
      </c>
      <c r="G6786" s="3">
        <f>MONTH(Tabela1[[#This Row],[Último pagto ano]])</f>
        <v>12</v>
      </c>
      <c r="H6786" t="str">
        <f>TEXT(Tabela1[[#This Row],[Coluna2]]*29,"mmmm")</f>
        <v>dezembro</v>
      </c>
      <c r="I6786" t="str">
        <f>TEXT(MONTH(Tabela1[[#This Row],[Último pagto ano]])*29,"mmmm")</f>
        <v>dezembro</v>
      </c>
    </row>
    <row r="6787" spans="1:9" x14ac:dyDescent="0.25">
      <c r="A6787">
        <v>2025</v>
      </c>
      <c r="B6787" t="s">
        <v>13509</v>
      </c>
      <c r="C6787" s="1">
        <v>45996</v>
      </c>
      <c r="D6787" t="s">
        <v>13510</v>
      </c>
      <c r="E6787" s="2">
        <v>8800</v>
      </c>
      <c r="G6787" s="3">
        <f>MONTH(Tabela1[[#This Row],[Último pagto ano]])</f>
        <v>12</v>
      </c>
      <c r="H6787" t="str">
        <f>TEXT(Tabela1[[#This Row],[Coluna2]]*29,"mmmm")</f>
        <v>dezembro</v>
      </c>
      <c r="I6787" t="str">
        <f>TEXT(MONTH(Tabela1[[#This Row],[Último pagto ano]])*29,"mmmm")</f>
        <v>dezembro</v>
      </c>
    </row>
    <row r="6788" spans="1:9" x14ac:dyDescent="0.25">
      <c r="A6788">
        <v>2025</v>
      </c>
      <c r="B6788" t="s">
        <v>13511</v>
      </c>
      <c r="C6788" s="1">
        <v>45819</v>
      </c>
      <c r="D6788" t="s">
        <v>13512</v>
      </c>
      <c r="E6788" s="2">
        <v>1190.73</v>
      </c>
      <c r="G6788" s="3">
        <f>MONTH(Tabela1[[#This Row],[Último pagto ano]])</f>
        <v>6</v>
      </c>
      <c r="H6788" t="str">
        <f>TEXT(Tabela1[[#This Row],[Coluna2]]*29,"mmmm")</f>
        <v>junho</v>
      </c>
      <c r="I6788" t="str">
        <f>TEXT(MONTH(Tabela1[[#This Row],[Último pagto ano]])*29,"mmmm")</f>
        <v>junho</v>
      </c>
    </row>
    <row r="6789" spans="1:9" x14ac:dyDescent="0.25">
      <c r="A6789">
        <v>2025</v>
      </c>
      <c r="B6789" t="s">
        <v>13513</v>
      </c>
      <c r="C6789" s="1">
        <v>46021</v>
      </c>
      <c r="D6789" t="s">
        <v>13514</v>
      </c>
      <c r="E6789" s="2">
        <v>1093.3699999999999</v>
      </c>
      <c r="G6789" s="3">
        <f>MONTH(Tabela1[[#This Row],[Último pagto ano]])</f>
        <v>12</v>
      </c>
      <c r="H6789" t="str">
        <f>TEXT(Tabela1[[#This Row],[Coluna2]]*29,"mmmm")</f>
        <v>dezembro</v>
      </c>
      <c r="I6789" t="str">
        <f>TEXT(MONTH(Tabela1[[#This Row],[Último pagto ano]])*29,"mmmm")</f>
        <v>dezembro</v>
      </c>
    </row>
    <row r="6790" spans="1:9" x14ac:dyDescent="0.25">
      <c r="A6790">
        <v>2025</v>
      </c>
      <c r="B6790" t="s">
        <v>13515</v>
      </c>
      <c r="C6790" s="1">
        <v>45681</v>
      </c>
      <c r="D6790" t="s">
        <v>13516</v>
      </c>
      <c r="E6790">
        <v>700</v>
      </c>
      <c r="G6790" s="3">
        <f>MONTH(Tabela1[[#This Row],[Último pagto ano]])</f>
        <v>1</v>
      </c>
      <c r="H6790" t="str">
        <f>TEXT(Tabela1[[#This Row],[Coluna2]]*29,"mmmm")</f>
        <v>janeiro</v>
      </c>
      <c r="I6790" t="str">
        <f>TEXT(MONTH(Tabela1[[#This Row],[Último pagto ano]])*29,"mmmm")</f>
        <v>janeiro</v>
      </c>
    </row>
    <row r="6791" spans="1:9" x14ac:dyDescent="0.25">
      <c r="A6791">
        <v>2025</v>
      </c>
      <c r="B6791" t="s">
        <v>13517</v>
      </c>
      <c r="C6791" s="1">
        <v>46014</v>
      </c>
      <c r="D6791" t="s">
        <v>13518</v>
      </c>
      <c r="E6791" s="2">
        <v>9108</v>
      </c>
      <c r="G6791" s="3">
        <f>MONTH(Tabela1[[#This Row],[Último pagto ano]])</f>
        <v>12</v>
      </c>
      <c r="H6791" t="str">
        <f>TEXT(Tabela1[[#This Row],[Coluna2]]*29,"mmmm")</f>
        <v>dezembro</v>
      </c>
      <c r="I6791" t="str">
        <f>TEXT(MONTH(Tabela1[[#This Row],[Último pagto ano]])*29,"mmmm")</f>
        <v>dezembro</v>
      </c>
    </row>
    <row r="6792" spans="1:9" x14ac:dyDescent="0.25">
      <c r="A6792">
        <v>2025</v>
      </c>
      <c r="B6792" t="s">
        <v>13519</v>
      </c>
      <c r="C6792" s="1">
        <v>45985</v>
      </c>
      <c r="D6792" t="s">
        <v>13520</v>
      </c>
      <c r="E6792">
        <v>330</v>
      </c>
      <c r="G6792" s="3">
        <f>MONTH(Tabela1[[#This Row],[Último pagto ano]])</f>
        <v>11</v>
      </c>
      <c r="H6792" t="str">
        <f>TEXT(Tabela1[[#This Row],[Coluna2]]*29,"mmmm")</f>
        <v>novembro</v>
      </c>
      <c r="I6792" t="str">
        <f>TEXT(MONTH(Tabela1[[#This Row],[Último pagto ano]])*29,"mmmm")</f>
        <v>novembro</v>
      </c>
    </row>
    <row r="6793" spans="1:9" x14ac:dyDescent="0.25">
      <c r="A6793">
        <v>2025</v>
      </c>
      <c r="B6793" t="s">
        <v>13521</v>
      </c>
      <c r="C6793" s="1">
        <v>45975</v>
      </c>
      <c r="D6793" t="s">
        <v>13522</v>
      </c>
      <c r="E6793" s="2">
        <v>2665.44</v>
      </c>
      <c r="G6793" s="3">
        <f>MONTH(Tabela1[[#This Row],[Último pagto ano]])</f>
        <v>11</v>
      </c>
      <c r="H6793" t="str">
        <f>TEXT(Tabela1[[#This Row],[Coluna2]]*29,"mmmm")</f>
        <v>novembro</v>
      </c>
      <c r="I6793" t="str">
        <f>TEXT(MONTH(Tabela1[[#This Row],[Último pagto ano]])*29,"mmmm")</f>
        <v>novembro</v>
      </c>
    </row>
    <row r="6794" spans="1:9" x14ac:dyDescent="0.25">
      <c r="A6794">
        <v>2025</v>
      </c>
      <c r="B6794" t="s">
        <v>13523</v>
      </c>
      <c r="C6794" s="1">
        <v>45989</v>
      </c>
      <c r="D6794" t="s">
        <v>13524</v>
      </c>
      <c r="E6794" s="2">
        <v>4233.78</v>
      </c>
      <c r="G6794" s="3">
        <f>MONTH(Tabela1[[#This Row],[Último pagto ano]])</f>
        <v>11</v>
      </c>
      <c r="H6794" t="str">
        <f>TEXT(Tabela1[[#This Row],[Coluna2]]*29,"mmmm")</f>
        <v>novembro</v>
      </c>
      <c r="I6794" t="str">
        <f>TEXT(MONTH(Tabela1[[#This Row],[Último pagto ano]])*29,"mmmm")</f>
        <v>novembro</v>
      </c>
    </row>
    <row r="6795" spans="1:9" x14ac:dyDescent="0.25">
      <c r="A6795">
        <v>2025</v>
      </c>
      <c r="B6795" t="s">
        <v>13525</v>
      </c>
      <c r="C6795" s="1">
        <v>45937</v>
      </c>
      <c r="D6795" t="s">
        <v>13526</v>
      </c>
      <c r="E6795" s="2">
        <v>3200</v>
      </c>
      <c r="G6795" s="3">
        <f>MONTH(Tabela1[[#This Row],[Último pagto ano]])</f>
        <v>10</v>
      </c>
      <c r="H6795" t="str">
        <f>TEXT(Tabela1[[#This Row],[Coluna2]]*29,"mmmm")</f>
        <v>outubro</v>
      </c>
      <c r="I6795" t="str">
        <f>TEXT(MONTH(Tabela1[[#This Row],[Último pagto ano]])*29,"mmmm")</f>
        <v>outubro</v>
      </c>
    </row>
    <row r="6796" spans="1:9" x14ac:dyDescent="0.25">
      <c r="A6796">
        <v>2025</v>
      </c>
      <c r="B6796" t="s">
        <v>13527</v>
      </c>
      <c r="C6796" s="1">
        <v>46006</v>
      </c>
      <c r="D6796" t="s">
        <v>13528</v>
      </c>
      <c r="E6796" s="2">
        <v>4712</v>
      </c>
      <c r="G6796" s="3">
        <f>MONTH(Tabela1[[#This Row],[Último pagto ano]])</f>
        <v>12</v>
      </c>
      <c r="H6796" t="str">
        <f>TEXT(Tabela1[[#This Row],[Coluna2]]*29,"mmmm")</f>
        <v>dezembro</v>
      </c>
      <c r="I6796" t="str">
        <f>TEXT(MONTH(Tabela1[[#This Row],[Último pagto ano]])*29,"mmmm")</f>
        <v>dezembro</v>
      </c>
    </row>
    <row r="6797" spans="1:9" x14ac:dyDescent="0.25">
      <c r="A6797">
        <v>2025</v>
      </c>
      <c r="B6797" t="s">
        <v>13529</v>
      </c>
      <c r="C6797" s="1">
        <v>45968</v>
      </c>
      <c r="D6797" t="s">
        <v>13530</v>
      </c>
      <c r="E6797" s="2">
        <v>8800</v>
      </c>
      <c r="G6797" s="3">
        <f>MONTH(Tabela1[[#This Row],[Último pagto ano]])</f>
        <v>11</v>
      </c>
      <c r="H6797" t="str">
        <f>TEXT(Tabela1[[#This Row],[Coluna2]]*29,"mmmm")</f>
        <v>novembro</v>
      </c>
      <c r="I6797" t="str">
        <f>TEXT(MONTH(Tabela1[[#This Row],[Último pagto ano]])*29,"mmmm")</f>
        <v>novembro</v>
      </c>
    </row>
    <row r="6798" spans="1:9" x14ac:dyDescent="0.25">
      <c r="A6798">
        <v>2025</v>
      </c>
      <c r="B6798" t="s">
        <v>13531</v>
      </c>
      <c r="C6798" s="1">
        <v>46021</v>
      </c>
      <c r="D6798" t="s">
        <v>13532</v>
      </c>
      <c r="E6798" s="2">
        <v>4336.67</v>
      </c>
      <c r="G6798" s="3">
        <f>MONTH(Tabela1[[#This Row],[Último pagto ano]])</f>
        <v>12</v>
      </c>
      <c r="H6798" t="str">
        <f>TEXT(Tabela1[[#This Row],[Coluna2]]*29,"mmmm")</f>
        <v>dezembro</v>
      </c>
      <c r="I6798" t="str">
        <f>TEXT(MONTH(Tabela1[[#This Row],[Último pagto ano]])*29,"mmmm")</f>
        <v>dezembro</v>
      </c>
    </row>
    <row r="6799" spans="1:9" x14ac:dyDescent="0.25">
      <c r="A6799">
        <v>2025</v>
      </c>
      <c r="B6799" t="s">
        <v>13533</v>
      </c>
      <c r="C6799" s="1">
        <v>45996</v>
      </c>
      <c r="D6799" t="s">
        <v>13534</v>
      </c>
      <c r="E6799" s="2">
        <v>8800</v>
      </c>
      <c r="G6799" s="3">
        <f>MONTH(Tabela1[[#This Row],[Último pagto ano]])</f>
        <v>12</v>
      </c>
      <c r="H6799" t="str">
        <f>TEXT(Tabela1[[#This Row],[Coluna2]]*29,"mmmm")</f>
        <v>dezembro</v>
      </c>
      <c r="I6799" t="str">
        <f>TEXT(MONTH(Tabela1[[#This Row],[Último pagto ano]])*29,"mmmm")</f>
        <v>dezembro</v>
      </c>
    </row>
    <row r="6800" spans="1:9" x14ac:dyDescent="0.25">
      <c r="A6800">
        <v>2025</v>
      </c>
      <c r="B6800" t="s">
        <v>13535</v>
      </c>
      <c r="C6800" s="1">
        <v>45954</v>
      </c>
      <c r="D6800" t="s">
        <v>13536</v>
      </c>
      <c r="E6800" s="2">
        <v>87885.119999999995</v>
      </c>
      <c r="G6800" s="3">
        <f>MONTH(Tabela1[[#This Row],[Último pagto ano]])</f>
        <v>10</v>
      </c>
      <c r="H6800" t="str">
        <f>TEXT(Tabela1[[#This Row],[Coluna2]]*29,"mmmm")</f>
        <v>outubro</v>
      </c>
      <c r="I6800" t="str">
        <f>TEXT(MONTH(Tabela1[[#This Row],[Último pagto ano]])*29,"mmmm")</f>
        <v>outubro</v>
      </c>
    </row>
    <row r="6801" spans="1:9" x14ac:dyDescent="0.25">
      <c r="A6801">
        <v>2025</v>
      </c>
      <c r="B6801" t="s">
        <v>13537</v>
      </c>
      <c r="C6801" s="1">
        <v>45996</v>
      </c>
      <c r="D6801" t="s">
        <v>13538</v>
      </c>
      <c r="E6801" s="2">
        <v>34020</v>
      </c>
      <c r="G6801" s="3">
        <f>MONTH(Tabela1[[#This Row],[Último pagto ano]])</f>
        <v>12</v>
      </c>
      <c r="H6801" t="str">
        <f>TEXT(Tabela1[[#This Row],[Coluna2]]*29,"mmmm")</f>
        <v>dezembro</v>
      </c>
      <c r="I6801" t="str">
        <f>TEXT(MONTH(Tabela1[[#This Row],[Último pagto ano]])*29,"mmmm")</f>
        <v>dezembro</v>
      </c>
    </row>
    <row r="6802" spans="1:9" x14ac:dyDescent="0.25">
      <c r="A6802">
        <v>2025</v>
      </c>
      <c r="B6802" t="s">
        <v>13539</v>
      </c>
      <c r="C6802" s="1">
        <v>45677</v>
      </c>
      <c r="D6802" t="s">
        <v>13540</v>
      </c>
      <c r="E6802" s="2">
        <v>2105</v>
      </c>
      <c r="G6802" s="3">
        <f>MONTH(Tabela1[[#This Row],[Último pagto ano]])</f>
        <v>1</v>
      </c>
      <c r="H6802" t="str">
        <f>TEXT(Tabela1[[#This Row],[Coluna2]]*29,"mmmm")</f>
        <v>janeiro</v>
      </c>
      <c r="I6802" t="str">
        <f>TEXT(MONTH(Tabela1[[#This Row],[Último pagto ano]])*29,"mmmm")</f>
        <v>janeiro</v>
      </c>
    </row>
    <row r="6803" spans="1:9" x14ac:dyDescent="0.25">
      <c r="A6803">
        <v>2025</v>
      </c>
      <c r="B6803" t="s">
        <v>13541</v>
      </c>
      <c r="C6803" s="1">
        <v>46014</v>
      </c>
      <c r="D6803" t="s">
        <v>13542</v>
      </c>
      <c r="E6803">
        <v>435</v>
      </c>
      <c r="G6803" s="3">
        <f>MONTH(Tabela1[[#This Row],[Último pagto ano]])</f>
        <v>12</v>
      </c>
      <c r="H6803" t="str">
        <f>TEXT(Tabela1[[#This Row],[Coluna2]]*29,"mmmm")</f>
        <v>dezembro</v>
      </c>
      <c r="I6803" t="str">
        <f>TEXT(MONTH(Tabela1[[#This Row],[Último pagto ano]])*29,"mmmm")</f>
        <v>dezembro</v>
      </c>
    </row>
    <row r="6804" spans="1:9" x14ac:dyDescent="0.25">
      <c r="A6804">
        <v>2025</v>
      </c>
      <c r="B6804" t="s">
        <v>13543</v>
      </c>
      <c r="C6804" s="1">
        <v>45803</v>
      </c>
      <c r="D6804" t="s">
        <v>13544</v>
      </c>
      <c r="E6804" s="2">
        <v>14764.06</v>
      </c>
      <c r="G6804" s="3">
        <f>MONTH(Tabela1[[#This Row],[Último pagto ano]])</f>
        <v>5</v>
      </c>
      <c r="H6804" t="str">
        <f>TEXT(Tabela1[[#This Row],[Coluna2]]*29,"mmmm")</f>
        <v>maio</v>
      </c>
      <c r="I6804" t="str">
        <f>TEXT(MONTH(Tabela1[[#This Row],[Último pagto ano]])*29,"mmmm")</f>
        <v>maio</v>
      </c>
    </row>
    <row r="6805" spans="1:9" x14ac:dyDescent="0.25">
      <c r="A6805">
        <v>2025</v>
      </c>
      <c r="B6805" t="s">
        <v>13545</v>
      </c>
      <c r="C6805" s="1">
        <v>45817</v>
      </c>
      <c r="D6805" t="s">
        <v>13546</v>
      </c>
      <c r="E6805">
        <v>38.409999999999997</v>
      </c>
      <c r="G6805" s="3">
        <f>MONTH(Tabela1[[#This Row],[Último pagto ano]])</f>
        <v>6</v>
      </c>
      <c r="H6805" t="str">
        <f>TEXT(Tabela1[[#This Row],[Coluna2]]*29,"mmmm")</f>
        <v>junho</v>
      </c>
      <c r="I6805" t="str">
        <f>TEXT(MONTH(Tabela1[[#This Row],[Último pagto ano]])*29,"mmmm")</f>
        <v>junho</v>
      </c>
    </row>
    <row r="6806" spans="1:9" x14ac:dyDescent="0.25">
      <c r="A6806">
        <v>2025</v>
      </c>
      <c r="B6806" t="s">
        <v>13547</v>
      </c>
      <c r="C6806" s="1">
        <v>45782</v>
      </c>
      <c r="D6806" t="s">
        <v>13548</v>
      </c>
      <c r="E6806">
        <v>2.5099999999999998</v>
      </c>
      <c r="G6806" s="3">
        <f>MONTH(Tabela1[[#This Row],[Último pagto ano]])</f>
        <v>5</v>
      </c>
      <c r="H6806" t="str">
        <f>TEXT(Tabela1[[#This Row],[Coluna2]]*29,"mmmm")</f>
        <v>maio</v>
      </c>
      <c r="I6806" t="str">
        <f>TEXT(MONTH(Tabela1[[#This Row],[Último pagto ano]])*29,"mmmm")</f>
        <v>maio</v>
      </c>
    </row>
    <row r="6807" spans="1:9" x14ac:dyDescent="0.25">
      <c r="A6807">
        <v>2025</v>
      </c>
      <c r="B6807" t="s">
        <v>13549</v>
      </c>
      <c r="C6807" s="1">
        <v>45943</v>
      </c>
      <c r="D6807" t="s">
        <v>13550</v>
      </c>
      <c r="E6807">
        <v>108.8</v>
      </c>
      <c r="G6807" s="3">
        <f>MONTH(Tabela1[[#This Row],[Último pagto ano]])</f>
        <v>10</v>
      </c>
      <c r="H6807" t="str">
        <f>TEXT(Tabela1[[#This Row],[Coluna2]]*29,"mmmm")</f>
        <v>outubro</v>
      </c>
      <c r="I6807" t="str">
        <f>TEXT(MONTH(Tabela1[[#This Row],[Último pagto ano]])*29,"mmmm")</f>
        <v>outubro</v>
      </c>
    </row>
    <row r="6808" spans="1:9" x14ac:dyDescent="0.25">
      <c r="A6808">
        <v>2025</v>
      </c>
      <c r="B6808" t="s">
        <v>13551</v>
      </c>
      <c r="C6808" s="1">
        <v>46021</v>
      </c>
      <c r="D6808" t="s">
        <v>13552</v>
      </c>
      <c r="E6808" s="2">
        <v>646700.66</v>
      </c>
      <c r="G6808" s="3">
        <f>MONTH(Tabela1[[#This Row],[Último pagto ano]])</f>
        <v>12</v>
      </c>
      <c r="H6808" t="str">
        <f>TEXT(Tabela1[[#This Row],[Coluna2]]*29,"mmmm")</f>
        <v>dezembro</v>
      </c>
      <c r="I6808" t="str">
        <f>TEXT(MONTH(Tabela1[[#This Row],[Último pagto ano]])*29,"mmmm")</f>
        <v>dezembro</v>
      </c>
    </row>
    <row r="6809" spans="1:9" x14ac:dyDescent="0.25">
      <c r="A6809">
        <v>2025</v>
      </c>
      <c r="B6809" t="s">
        <v>13553</v>
      </c>
      <c r="C6809" s="1">
        <v>45999</v>
      </c>
      <c r="D6809" t="s">
        <v>13554</v>
      </c>
      <c r="E6809">
        <v>88</v>
      </c>
      <c r="G6809" s="3">
        <f>MONTH(Tabela1[[#This Row],[Último pagto ano]])</f>
        <v>12</v>
      </c>
      <c r="H6809" t="str">
        <f>TEXT(Tabela1[[#This Row],[Coluna2]]*29,"mmmm")</f>
        <v>dezembro</v>
      </c>
      <c r="I6809" t="str">
        <f>TEXT(MONTH(Tabela1[[#This Row],[Último pagto ano]])*29,"mmmm")</f>
        <v>dezembro</v>
      </c>
    </row>
    <row r="6810" spans="1:9" x14ac:dyDescent="0.25">
      <c r="A6810">
        <v>2025</v>
      </c>
      <c r="B6810" t="s">
        <v>13555</v>
      </c>
      <c r="C6810" s="1">
        <v>45985</v>
      </c>
      <c r="D6810" t="s">
        <v>13556</v>
      </c>
      <c r="E6810" s="2">
        <v>20731.330000000002</v>
      </c>
      <c r="G6810" s="3">
        <f>MONTH(Tabela1[[#This Row],[Último pagto ano]])</f>
        <v>11</v>
      </c>
      <c r="H6810" t="str">
        <f>TEXT(Tabela1[[#This Row],[Coluna2]]*29,"mmmm")</f>
        <v>novembro</v>
      </c>
      <c r="I6810" t="str">
        <f>TEXT(MONTH(Tabela1[[#This Row],[Último pagto ano]])*29,"mmmm")</f>
        <v>novembro</v>
      </c>
    </row>
    <row r="6811" spans="1:9" x14ac:dyDescent="0.25">
      <c r="A6811">
        <v>2025</v>
      </c>
      <c r="B6811" t="s">
        <v>13557</v>
      </c>
      <c r="C6811" s="1">
        <v>45797</v>
      </c>
      <c r="D6811" t="s">
        <v>13558</v>
      </c>
      <c r="E6811" s="2">
        <v>4370</v>
      </c>
      <c r="G6811" s="3">
        <f>MONTH(Tabela1[[#This Row],[Último pagto ano]])</f>
        <v>5</v>
      </c>
      <c r="H6811" t="str">
        <f>TEXT(Tabela1[[#This Row],[Coluna2]]*29,"mmmm")</f>
        <v>maio</v>
      </c>
      <c r="I6811" t="str">
        <f>TEXT(MONTH(Tabela1[[#This Row],[Último pagto ano]])*29,"mmmm")</f>
        <v>maio</v>
      </c>
    </row>
    <row r="6812" spans="1:9" x14ac:dyDescent="0.25">
      <c r="A6812">
        <v>2025</v>
      </c>
      <c r="B6812" t="s">
        <v>13559</v>
      </c>
      <c r="C6812" s="1">
        <v>45874</v>
      </c>
      <c r="D6812" t="s">
        <v>13560</v>
      </c>
      <c r="E6812" s="2">
        <v>15250</v>
      </c>
      <c r="G6812" s="3">
        <f>MONTH(Tabela1[[#This Row],[Último pagto ano]])</f>
        <v>8</v>
      </c>
      <c r="H6812" t="str">
        <f>TEXT(Tabela1[[#This Row],[Coluna2]]*29,"mmmm")</f>
        <v>agosto</v>
      </c>
      <c r="I6812" t="str">
        <f>TEXT(MONTH(Tabela1[[#This Row],[Último pagto ano]])*29,"mmmm")</f>
        <v>agosto</v>
      </c>
    </row>
    <row r="6813" spans="1:9" x14ac:dyDescent="0.25">
      <c r="A6813">
        <v>2025</v>
      </c>
      <c r="B6813" t="s">
        <v>13561</v>
      </c>
      <c r="C6813" s="1">
        <v>45996</v>
      </c>
      <c r="D6813" t="s">
        <v>13562</v>
      </c>
      <c r="E6813" s="2">
        <v>5800</v>
      </c>
      <c r="G6813" s="3">
        <f>MONTH(Tabela1[[#This Row],[Último pagto ano]])</f>
        <v>12</v>
      </c>
      <c r="H6813" t="str">
        <f>TEXT(Tabela1[[#This Row],[Coluna2]]*29,"mmmm")</f>
        <v>dezembro</v>
      </c>
      <c r="I6813" t="str">
        <f>TEXT(MONTH(Tabela1[[#This Row],[Último pagto ano]])*29,"mmmm")</f>
        <v>dezembro</v>
      </c>
    </row>
    <row r="6814" spans="1:9" x14ac:dyDescent="0.25">
      <c r="A6814">
        <v>2025</v>
      </c>
      <c r="B6814" t="s">
        <v>13563</v>
      </c>
      <c r="C6814" s="1">
        <v>45971</v>
      </c>
      <c r="D6814" t="s">
        <v>13564</v>
      </c>
      <c r="E6814">
        <v>478.2</v>
      </c>
      <c r="G6814" s="3">
        <f>MONTH(Tabela1[[#This Row],[Último pagto ano]])</f>
        <v>11</v>
      </c>
      <c r="H6814" t="str">
        <f>TEXT(Tabela1[[#This Row],[Coluna2]]*29,"mmmm")</f>
        <v>novembro</v>
      </c>
      <c r="I6814" t="str">
        <f>TEXT(MONTH(Tabela1[[#This Row],[Último pagto ano]])*29,"mmmm")</f>
        <v>novembro</v>
      </c>
    </row>
    <row r="6815" spans="1:9" x14ac:dyDescent="0.25">
      <c r="A6815">
        <v>2025</v>
      </c>
      <c r="B6815" t="s">
        <v>13565</v>
      </c>
      <c r="C6815" s="1">
        <v>45986</v>
      </c>
      <c r="D6815" t="s">
        <v>13566</v>
      </c>
      <c r="E6815">
        <v>404.75</v>
      </c>
      <c r="G6815" s="3">
        <f>MONTH(Tabela1[[#This Row],[Último pagto ano]])</f>
        <v>11</v>
      </c>
      <c r="H6815" t="str">
        <f>TEXT(Tabela1[[#This Row],[Coluna2]]*29,"mmmm")</f>
        <v>novembro</v>
      </c>
      <c r="I6815" t="str">
        <f>TEXT(MONTH(Tabela1[[#This Row],[Último pagto ano]])*29,"mmmm")</f>
        <v>novembro</v>
      </c>
    </row>
    <row r="6816" spans="1:9" x14ac:dyDescent="0.25">
      <c r="A6816">
        <v>2025</v>
      </c>
      <c r="B6816" t="s">
        <v>13567</v>
      </c>
      <c r="C6816" s="1">
        <v>45814</v>
      </c>
      <c r="D6816" t="s">
        <v>13568</v>
      </c>
      <c r="E6816" s="2">
        <v>2000</v>
      </c>
      <c r="G6816" s="3">
        <f>MONTH(Tabela1[[#This Row],[Último pagto ano]])</f>
        <v>6</v>
      </c>
      <c r="H6816" t="str">
        <f>TEXT(Tabela1[[#This Row],[Coluna2]]*29,"mmmm")</f>
        <v>junho</v>
      </c>
      <c r="I6816" t="str">
        <f>TEXT(MONTH(Tabela1[[#This Row],[Último pagto ano]])*29,"mmmm")</f>
        <v>junho</v>
      </c>
    </row>
    <row r="6817" spans="1:9" x14ac:dyDescent="0.25">
      <c r="A6817">
        <v>2025</v>
      </c>
      <c r="B6817" t="s">
        <v>13569</v>
      </c>
      <c r="C6817" s="1">
        <v>46006</v>
      </c>
      <c r="D6817" t="s">
        <v>13570</v>
      </c>
      <c r="E6817" s="2">
        <v>10000</v>
      </c>
      <c r="G6817" s="3">
        <f>MONTH(Tabela1[[#This Row],[Último pagto ano]])</f>
        <v>12</v>
      </c>
      <c r="H6817" t="str">
        <f>TEXT(Tabela1[[#This Row],[Coluna2]]*29,"mmmm")</f>
        <v>dezembro</v>
      </c>
      <c r="I6817" t="str">
        <f>TEXT(MONTH(Tabela1[[#This Row],[Último pagto ano]])*29,"mmmm")</f>
        <v>dezembro</v>
      </c>
    </row>
    <row r="6818" spans="1:9" x14ac:dyDescent="0.25">
      <c r="A6818">
        <v>2025</v>
      </c>
      <c r="B6818" t="s">
        <v>13571</v>
      </c>
      <c r="C6818" s="1">
        <v>45994</v>
      </c>
      <c r="D6818" t="s">
        <v>13572</v>
      </c>
      <c r="E6818" s="2">
        <v>1848894.28</v>
      </c>
      <c r="G6818" s="3">
        <f>MONTH(Tabela1[[#This Row],[Último pagto ano]])</f>
        <v>12</v>
      </c>
      <c r="H6818" t="str">
        <f>TEXT(Tabela1[[#This Row],[Coluna2]]*29,"mmmm")</f>
        <v>dezembro</v>
      </c>
      <c r="I6818" t="str">
        <f>TEXT(MONTH(Tabela1[[#This Row],[Último pagto ano]])*29,"mmmm")</f>
        <v>dezembro</v>
      </c>
    </row>
    <row r="6819" spans="1:9" x14ac:dyDescent="0.25">
      <c r="A6819">
        <v>2025</v>
      </c>
      <c r="B6819" t="s">
        <v>13573</v>
      </c>
      <c r="C6819" s="1">
        <v>45708</v>
      </c>
      <c r="D6819" t="s">
        <v>13574</v>
      </c>
      <c r="E6819">
        <v>192</v>
      </c>
      <c r="G6819" s="3">
        <f>MONTH(Tabela1[[#This Row],[Último pagto ano]])</f>
        <v>2</v>
      </c>
      <c r="H6819" t="str">
        <f>TEXT(Tabela1[[#This Row],[Coluna2]]*29,"mmmm")</f>
        <v>fevereiro</v>
      </c>
      <c r="I6819" t="str">
        <f>TEXT(MONTH(Tabela1[[#This Row],[Último pagto ano]])*29,"mmmm")</f>
        <v>fevereiro</v>
      </c>
    </row>
    <row r="6820" spans="1:9" x14ac:dyDescent="0.25">
      <c r="A6820">
        <v>2025</v>
      </c>
      <c r="B6820" t="s">
        <v>13575</v>
      </c>
      <c r="C6820" s="1">
        <v>46000</v>
      </c>
      <c r="D6820" t="s">
        <v>13576</v>
      </c>
      <c r="E6820" s="2">
        <v>3495</v>
      </c>
      <c r="G6820" s="3">
        <f>MONTH(Tabela1[[#This Row],[Último pagto ano]])</f>
        <v>12</v>
      </c>
      <c r="H6820" t="str">
        <f>TEXT(Tabela1[[#This Row],[Coluna2]]*29,"mmmm")</f>
        <v>dezembro</v>
      </c>
      <c r="I6820" t="str">
        <f>TEXT(MONTH(Tabela1[[#This Row],[Último pagto ano]])*29,"mmmm")</f>
        <v>dezembro</v>
      </c>
    </row>
    <row r="6821" spans="1:9" x14ac:dyDescent="0.25">
      <c r="A6821">
        <v>2025</v>
      </c>
      <c r="B6821" t="s">
        <v>13577</v>
      </c>
      <c r="C6821" s="1">
        <v>45728</v>
      </c>
      <c r="D6821" t="s">
        <v>13578</v>
      </c>
      <c r="E6821" s="2">
        <v>111278.46</v>
      </c>
      <c r="G6821" s="3">
        <f>MONTH(Tabela1[[#This Row],[Último pagto ano]])</f>
        <v>3</v>
      </c>
      <c r="H6821" t="str">
        <f>TEXT(Tabela1[[#This Row],[Coluna2]]*29,"mmmm")</f>
        <v>março</v>
      </c>
      <c r="I6821" t="str">
        <f>TEXT(MONTH(Tabela1[[#This Row],[Último pagto ano]])*29,"mmmm")</f>
        <v>março</v>
      </c>
    </row>
    <row r="6822" spans="1:9" x14ac:dyDescent="0.25">
      <c r="A6822">
        <v>2025</v>
      </c>
      <c r="B6822" t="s">
        <v>13579</v>
      </c>
      <c r="C6822" s="1">
        <v>46006</v>
      </c>
      <c r="D6822" t="s">
        <v>13580</v>
      </c>
      <c r="E6822" s="2">
        <v>1757241.36</v>
      </c>
      <c r="G6822" s="3">
        <f>MONTH(Tabela1[[#This Row],[Último pagto ano]])</f>
        <v>12</v>
      </c>
      <c r="H6822" t="str">
        <f>TEXT(Tabela1[[#This Row],[Coluna2]]*29,"mmmm")</f>
        <v>dezembro</v>
      </c>
      <c r="I6822" t="str">
        <f>TEXT(MONTH(Tabela1[[#This Row],[Último pagto ano]])*29,"mmmm")</f>
        <v>dezembro</v>
      </c>
    </row>
    <row r="6823" spans="1:9" x14ac:dyDescent="0.25">
      <c r="A6823">
        <v>2025</v>
      </c>
      <c r="B6823" t="s">
        <v>13581</v>
      </c>
      <c r="C6823" s="1">
        <v>46014</v>
      </c>
      <c r="D6823" t="s">
        <v>13582</v>
      </c>
      <c r="E6823" s="2">
        <v>2695231.71</v>
      </c>
      <c r="G6823" s="3">
        <f>MONTH(Tabela1[[#This Row],[Último pagto ano]])</f>
        <v>12</v>
      </c>
      <c r="H6823" t="str">
        <f>TEXT(Tabela1[[#This Row],[Coluna2]]*29,"mmmm")</f>
        <v>dezembro</v>
      </c>
      <c r="I6823" t="str">
        <f>TEXT(MONTH(Tabela1[[#This Row],[Último pagto ano]])*29,"mmmm")</f>
        <v>dezembro</v>
      </c>
    </row>
    <row r="6824" spans="1:9" x14ac:dyDescent="0.25">
      <c r="A6824">
        <v>2025</v>
      </c>
      <c r="B6824" t="s">
        <v>13583</v>
      </c>
      <c r="C6824" s="1">
        <v>45736</v>
      </c>
      <c r="D6824" t="s">
        <v>13584</v>
      </c>
      <c r="E6824" s="2">
        <v>5904</v>
      </c>
      <c r="G6824" s="3">
        <f>MONTH(Tabela1[[#This Row],[Último pagto ano]])</f>
        <v>3</v>
      </c>
      <c r="H6824" t="str">
        <f>TEXT(Tabela1[[#This Row],[Coluna2]]*29,"mmmm")</f>
        <v>março</v>
      </c>
      <c r="I6824" t="str">
        <f>TEXT(MONTH(Tabela1[[#This Row],[Último pagto ano]])*29,"mmmm")</f>
        <v>março</v>
      </c>
    </row>
    <row r="6825" spans="1:9" x14ac:dyDescent="0.25">
      <c r="A6825">
        <v>2025</v>
      </c>
      <c r="B6825" t="s">
        <v>13585</v>
      </c>
      <c r="C6825" s="1">
        <v>46006</v>
      </c>
      <c r="D6825" t="s">
        <v>13586</v>
      </c>
      <c r="E6825" s="2">
        <v>7800</v>
      </c>
      <c r="G6825" s="3">
        <f>MONTH(Tabela1[[#This Row],[Último pagto ano]])</f>
        <v>12</v>
      </c>
      <c r="H6825" t="str">
        <f>TEXT(Tabela1[[#This Row],[Coluna2]]*29,"mmmm")</f>
        <v>dezembro</v>
      </c>
      <c r="I6825" t="str">
        <f>TEXT(MONTH(Tabela1[[#This Row],[Último pagto ano]])*29,"mmmm")</f>
        <v>dezembro</v>
      </c>
    </row>
    <row r="6826" spans="1:9" x14ac:dyDescent="0.25">
      <c r="A6826">
        <v>2025</v>
      </c>
      <c r="B6826" t="s">
        <v>13587</v>
      </c>
      <c r="C6826" s="1">
        <v>46021</v>
      </c>
      <c r="D6826" t="s">
        <v>13588</v>
      </c>
      <c r="E6826" s="2">
        <v>11290.17</v>
      </c>
      <c r="G6826" s="3">
        <f>MONTH(Tabela1[[#This Row],[Último pagto ano]])</f>
        <v>12</v>
      </c>
      <c r="H6826" t="str">
        <f>TEXT(Tabela1[[#This Row],[Coluna2]]*29,"mmmm")</f>
        <v>dezembro</v>
      </c>
      <c r="I6826" t="str">
        <f>TEXT(MONTH(Tabela1[[#This Row],[Último pagto ano]])*29,"mmmm")</f>
        <v>dezembro</v>
      </c>
    </row>
    <row r="6827" spans="1:9" x14ac:dyDescent="0.25">
      <c r="A6827">
        <v>2025</v>
      </c>
      <c r="B6827" t="s">
        <v>13589</v>
      </c>
      <c r="C6827" s="1">
        <v>46006</v>
      </c>
      <c r="D6827" t="s">
        <v>13590</v>
      </c>
      <c r="E6827" s="2">
        <v>19871.28</v>
      </c>
      <c r="G6827" s="3">
        <f>MONTH(Tabela1[[#This Row],[Último pagto ano]])</f>
        <v>12</v>
      </c>
      <c r="H6827" t="str">
        <f>TEXT(Tabela1[[#This Row],[Coluna2]]*29,"mmmm")</f>
        <v>dezembro</v>
      </c>
      <c r="I6827" t="str">
        <f>TEXT(MONTH(Tabela1[[#This Row],[Último pagto ano]])*29,"mmmm")</f>
        <v>dezembro</v>
      </c>
    </row>
    <row r="6828" spans="1:9" x14ac:dyDescent="0.25">
      <c r="A6828">
        <v>2025</v>
      </c>
      <c r="B6828" t="s">
        <v>13591</v>
      </c>
      <c r="C6828" s="1">
        <v>46001</v>
      </c>
      <c r="D6828" t="s">
        <v>13592</v>
      </c>
      <c r="E6828" s="2">
        <v>22817.200000000001</v>
      </c>
      <c r="G6828" s="3">
        <f>MONTH(Tabela1[[#This Row],[Último pagto ano]])</f>
        <v>12</v>
      </c>
      <c r="H6828" t="str">
        <f>TEXT(Tabela1[[#This Row],[Coluna2]]*29,"mmmm")</f>
        <v>dezembro</v>
      </c>
      <c r="I6828" t="str">
        <f>TEXT(MONTH(Tabela1[[#This Row],[Último pagto ano]])*29,"mmmm")</f>
        <v>dezembro</v>
      </c>
    </row>
    <row r="6829" spans="1:9" x14ac:dyDescent="0.25">
      <c r="A6829">
        <v>2025</v>
      </c>
      <c r="B6829" t="s">
        <v>13593</v>
      </c>
      <c r="C6829" s="1">
        <v>45933</v>
      </c>
      <c r="D6829" t="s">
        <v>13594</v>
      </c>
      <c r="E6829" s="2">
        <v>1190</v>
      </c>
      <c r="G6829" s="3">
        <f>MONTH(Tabela1[[#This Row],[Último pagto ano]])</f>
        <v>10</v>
      </c>
      <c r="H6829" t="str">
        <f>TEXT(Tabela1[[#This Row],[Coluna2]]*29,"mmmm")</f>
        <v>outubro</v>
      </c>
      <c r="I6829" t="str">
        <f>TEXT(MONTH(Tabela1[[#This Row],[Último pagto ano]])*29,"mmmm")</f>
        <v>outubro</v>
      </c>
    </row>
    <row r="6830" spans="1:9" x14ac:dyDescent="0.25">
      <c r="A6830">
        <v>2025</v>
      </c>
      <c r="B6830" t="s">
        <v>13595</v>
      </c>
      <c r="C6830" s="1">
        <v>46021</v>
      </c>
      <c r="D6830" t="s">
        <v>13596</v>
      </c>
      <c r="E6830" s="2">
        <v>11675377.99</v>
      </c>
      <c r="G6830" s="3">
        <f>MONTH(Tabela1[[#This Row],[Último pagto ano]])</f>
        <v>12</v>
      </c>
      <c r="H6830" t="str">
        <f>TEXT(Tabela1[[#This Row],[Coluna2]]*29,"mmmm")</f>
        <v>dezembro</v>
      </c>
      <c r="I6830" t="str">
        <f>TEXT(MONTH(Tabela1[[#This Row],[Último pagto ano]])*29,"mmmm")</f>
        <v>dezembro</v>
      </c>
    </row>
    <row r="6831" spans="1:9" x14ac:dyDescent="0.25">
      <c r="A6831">
        <v>2025</v>
      </c>
      <c r="B6831" t="s">
        <v>13597</v>
      </c>
      <c r="C6831" s="1">
        <v>46006</v>
      </c>
      <c r="D6831" t="s">
        <v>13598</v>
      </c>
      <c r="E6831" s="2">
        <v>11000</v>
      </c>
      <c r="G6831" s="3">
        <f>MONTH(Tabela1[[#This Row],[Último pagto ano]])</f>
        <v>12</v>
      </c>
      <c r="H6831" t="str">
        <f>TEXT(Tabela1[[#This Row],[Coluna2]]*29,"mmmm")</f>
        <v>dezembro</v>
      </c>
      <c r="I6831" t="str">
        <f>TEXT(MONTH(Tabela1[[#This Row],[Último pagto ano]])*29,"mmmm")</f>
        <v>dezembro</v>
      </c>
    </row>
    <row r="6832" spans="1:9" x14ac:dyDescent="0.25">
      <c r="A6832">
        <v>2025</v>
      </c>
      <c r="B6832" t="s">
        <v>13599</v>
      </c>
      <c r="C6832" s="1">
        <v>45673</v>
      </c>
      <c r="D6832" t="s">
        <v>13600</v>
      </c>
      <c r="E6832">
        <v>250</v>
      </c>
      <c r="G6832" s="3">
        <f>MONTH(Tabela1[[#This Row],[Último pagto ano]])</f>
        <v>1</v>
      </c>
      <c r="H6832" t="str">
        <f>TEXT(Tabela1[[#This Row],[Coluna2]]*29,"mmmm")</f>
        <v>janeiro</v>
      </c>
      <c r="I6832" t="str">
        <f>TEXT(MONTH(Tabela1[[#This Row],[Último pagto ano]])*29,"mmmm")</f>
        <v>janeiro</v>
      </c>
    </row>
    <row r="6833" spans="1:9" x14ac:dyDescent="0.25">
      <c r="A6833">
        <v>2025</v>
      </c>
      <c r="B6833" t="s">
        <v>13601</v>
      </c>
      <c r="C6833" s="1">
        <v>45996</v>
      </c>
      <c r="D6833" t="s">
        <v>13602</v>
      </c>
      <c r="E6833" s="2">
        <v>35000</v>
      </c>
      <c r="G6833" s="3">
        <f>MONTH(Tabela1[[#This Row],[Último pagto ano]])</f>
        <v>12</v>
      </c>
      <c r="H6833" t="str">
        <f>TEXT(Tabela1[[#This Row],[Coluna2]]*29,"mmmm")</f>
        <v>dezembro</v>
      </c>
      <c r="I6833" t="str">
        <f>TEXT(MONTH(Tabela1[[#This Row],[Último pagto ano]])*29,"mmmm")</f>
        <v>dezembro</v>
      </c>
    </row>
    <row r="6834" spans="1:9" x14ac:dyDescent="0.25">
      <c r="A6834">
        <v>2025</v>
      </c>
      <c r="B6834" t="s">
        <v>13603</v>
      </c>
      <c r="C6834" s="1">
        <v>45996</v>
      </c>
      <c r="D6834" t="s">
        <v>13604</v>
      </c>
      <c r="E6834" s="2">
        <v>32504.6</v>
      </c>
      <c r="G6834" s="3">
        <f>MONTH(Tabela1[[#This Row],[Último pagto ano]])</f>
        <v>12</v>
      </c>
      <c r="H6834" t="str">
        <f>TEXT(Tabela1[[#This Row],[Coluna2]]*29,"mmmm")</f>
        <v>dezembro</v>
      </c>
      <c r="I6834" t="str">
        <f>TEXT(MONTH(Tabela1[[#This Row],[Último pagto ano]])*29,"mmmm")</f>
        <v>dezembro</v>
      </c>
    </row>
    <row r="6835" spans="1:9" x14ac:dyDescent="0.25">
      <c r="A6835">
        <v>2025</v>
      </c>
      <c r="B6835" t="s">
        <v>13605</v>
      </c>
      <c r="C6835" s="1">
        <v>46010</v>
      </c>
      <c r="D6835" t="s">
        <v>13606</v>
      </c>
      <c r="E6835" s="2">
        <v>70992</v>
      </c>
      <c r="G6835" s="3">
        <f>MONTH(Tabela1[[#This Row],[Último pagto ano]])</f>
        <v>12</v>
      </c>
      <c r="H6835" t="str">
        <f>TEXT(Tabela1[[#This Row],[Coluna2]]*29,"mmmm")</f>
        <v>dezembro</v>
      </c>
      <c r="I6835" t="str">
        <f>TEXT(MONTH(Tabela1[[#This Row],[Último pagto ano]])*29,"mmmm")</f>
        <v>dezembro</v>
      </c>
    </row>
    <row r="6836" spans="1:9" x14ac:dyDescent="0.25">
      <c r="A6836">
        <v>2025</v>
      </c>
      <c r="B6836" t="s">
        <v>13607</v>
      </c>
      <c r="C6836" s="1">
        <v>45824</v>
      </c>
      <c r="D6836" t="s">
        <v>13608</v>
      </c>
      <c r="E6836" s="2">
        <v>31966.66</v>
      </c>
      <c r="G6836" s="3">
        <f>MONTH(Tabela1[[#This Row],[Último pagto ano]])</f>
        <v>6</v>
      </c>
      <c r="H6836" t="str">
        <f>TEXT(Tabela1[[#This Row],[Coluna2]]*29,"mmmm")</f>
        <v>junho</v>
      </c>
      <c r="I6836" t="str">
        <f>TEXT(MONTH(Tabela1[[#This Row],[Último pagto ano]])*29,"mmmm")</f>
        <v>junho</v>
      </c>
    </row>
    <row r="6837" spans="1:9" x14ac:dyDescent="0.25">
      <c r="A6837">
        <v>2025</v>
      </c>
      <c r="B6837" t="s">
        <v>13609</v>
      </c>
      <c r="C6837" s="1">
        <v>45989</v>
      </c>
      <c r="D6837" t="s">
        <v>13610</v>
      </c>
      <c r="E6837" s="2">
        <v>3525.54</v>
      </c>
      <c r="G6837" s="3">
        <f>MONTH(Tabela1[[#This Row],[Último pagto ano]])</f>
        <v>11</v>
      </c>
      <c r="H6837" t="str">
        <f>TEXT(Tabela1[[#This Row],[Coluna2]]*29,"mmmm")</f>
        <v>novembro</v>
      </c>
      <c r="I6837" t="str">
        <f>TEXT(MONTH(Tabela1[[#This Row],[Último pagto ano]])*29,"mmmm")</f>
        <v>novembro</v>
      </c>
    </row>
    <row r="6838" spans="1:9" x14ac:dyDescent="0.25">
      <c r="A6838">
        <v>2025</v>
      </c>
      <c r="B6838" t="s">
        <v>13611</v>
      </c>
      <c r="C6838" s="1">
        <v>45989</v>
      </c>
      <c r="D6838" t="s">
        <v>13612</v>
      </c>
      <c r="E6838" s="2">
        <v>10447.48</v>
      </c>
      <c r="G6838" s="3">
        <f>MONTH(Tabela1[[#This Row],[Último pagto ano]])</f>
        <v>11</v>
      </c>
      <c r="H6838" t="str">
        <f>TEXT(Tabela1[[#This Row],[Coluna2]]*29,"mmmm")</f>
        <v>novembro</v>
      </c>
      <c r="I6838" t="str">
        <f>TEXT(MONTH(Tabela1[[#This Row],[Último pagto ano]])*29,"mmmm")</f>
        <v>novembro</v>
      </c>
    </row>
    <row r="6839" spans="1:9" x14ac:dyDescent="0.25">
      <c r="A6839">
        <v>2025</v>
      </c>
      <c r="B6839" t="s">
        <v>13613</v>
      </c>
      <c r="C6839" s="1">
        <v>45838</v>
      </c>
      <c r="D6839" t="s">
        <v>13614</v>
      </c>
      <c r="E6839" s="2">
        <v>14507.54</v>
      </c>
      <c r="G6839" s="3">
        <f>MONTH(Tabela1[[#This Row],[Último pagto ano]])</f>
        <v>6</v>
      </c>
      <c r="H6839" t="str">
        <f>TEXT(Tabela1[[#This Row],[Coluna2]]*29,"mmmm")</f>
        <v>junho</v>
      </c>
      <c r="I6839" t="str">
        <f>TEXT(MONTH(Tabela1[[#This Row],[Último pagto ano]])*29,"mmmm")</f>
        <v>junho</v>
      </c>
    </row>
    <row r="6840" spans="1:9" x14ac:dyDescent="0.25">
      <c r="A6840">
        <v>2025</v>
      </c>
      <c r="B6840" t="s">
        <v>13615</v>
      </c>
      <c r="C6840" s="1">
        <v>46014</v>
      </c>
      <c r="D6840" t="s">
        <v>13616</v>
      </c>
      <c r="E6840" s="2">
        <v>6555.6</v>
      </c>
      <c r="G6840" s="3">
        <f>MONTH(Tabela1[[#This Row],[Último pagto ano]])</f>
        <v>12</v>
      </c>
      <c r="H6840" t="str">
        <f>TEXT(Tabela1[[#This Row],[Coluna2]]*29,"mmmm")</f>
        <v>dezembro</v>
      </c>
      <c r="I6840" t="str">
        <f>TEXT(MONTH(Tabela1[[#This Row],[Último pagto ano]])*29,"mmmm")</f>
        <v>dezembro</v>
      </c>
    </row>
    <row r="6841" spans="1:9" x14ac:dyDescent="0.25">
      <c r="A6841">
        <v>2025</v>
      </c>
      <c r="B6841" t="s">
        <v>13617</v>
      </c>
      <c r="C6841" s="1">
        <v>46003</v>
      </c>
      <c r="D6841" t="s">
        <v>13618</v>
      </c>
      <c r="E6841" s="2">
        <v>1235679.8899999999</v>
      </c>
      <c r="G6841" s="3">
        <f>MONTH(Tabela1[[#This Row],[Último pagto ano]])</f>
        <v>12</v>
      </c>
      <c r="H6841" t="str">
        <f>TEXT(Tabela1[[#This Row],[Coluna2]]*29,"mmmm")</f>
        <v>dezembro</v>
      </c>
      <c r="I6841" t="str">
        <f>TEXT(MONTH(Tabela1[[#This Row],[Último pagto ano]])*29,"mmmm")</f>
        <v>dezembro</v>
      </c>
    </row>
    <row r="6842" spans="1:9" x14ac:dyDescent="0.25">
      <c r="A6842">
        <v>2025</v>
      </c>
      <c r="B6842" t="s">
        <v>13619</v>
      </c>
      <c r="C6842" s="1">
        <v>46013</v>
      </c>
      <c r="D6842" t="s">
        <v>13620</v>
      </c>
      <c r="E6842" s="2">
        <v>16027</v>
      </c>
      <c r="G6842" s="3">
        <f>MONTH(Tabela1[[#This Row],[Último pagto ano]])</f>
        <v>12</v>
      </c>
      <c r="H6842" t="str">
        <f>TEXT(Tabela1[[#This Row],[Coluna2]]*29,"mmmm")</f>
        <v>dezembro</v>
      </c>
      <c r="I6842" t="str">
        <f>TEXT(MONTH(Tabela1[[#This Row],[Último pagto ano]])*29,"mmmm")</f>
        <v>dezembro</v>
      </c>
    </row>
    <row r="6843" spans="1:9" x14ac:dyDescent="0.25">
      <c r="A6843">
        <v>2025</v>
      </c>
      <c r="B6843" t="s">
        <v>13621</v>
      </c>
      <c r="C6843" s="1">
        <v>46014</v>
      </c>
      <c r="D6843" t="s">
        <v>13622</v>
      </c>
      <c r="E6843" s="2">
        <v>133500</v>
      </c>
      <c r="G6843" s="3">
        <f>MONTH(Tabela1[[#This Row],[Último pagto ano]])</f>
        <v>12</v>
      </c>
      <c r="H6843" t="str">
        <f>TEXT(Tabela1[[#This Row],[Coluna2]]*29,"mmmm")</f>
        <v>dezembro</v>
      </c>
      <c r="I6843" t="str">
        <f>TEXT(MONTH(Tabela1[[#This Row],[Último pagto ano]])*29,"mmmm")</f>
        <v>dezembro</v>
      </c>
    </row>
    <row r="6844" spans="1:9" x14ac:dyDescent="0.25">
      <c r="A6844">
        <v>2025</v>
      </c>
      <c r="B6844" t="s">
        <v>13623</v>
      </c>
      <c r="C6844" s="1">
        <v>45996</v>
      </c>
      <c r="D6844" t="s">
        <v>13624</v>
      </c>
      <c r="E6844" s="2">
        <v>4519</v>
      </c>
      <c r="G6844" s="3">
        <f>MONTH(Tabela1[[#This Row],[Último pagto ano]])</f>
        <v>12</v>
      </c>
      <c r="H6844" t="str">
        <f>TEXT(Tabela1[[#This Row],[Coluna2]]*29,"mmmm")</f>
        <v>dezembro</v>
      </c>
      <c r="I6844" t="str">
        <f>TEXT(MONTH(Tabela1[[#This Row],[Último pagto ano]])*29,"mmmm")</f>
        <v>dezembro</v>
      </c>
    </row>
    <row r="6845" spans="1:9" x14ac:dyDescent="0.25">
      <c r="A6845">
        <v>2025</v>
      </c>
      <c r="B6845" t="s">
        <v>13625</v>
      </c>
      <c r="C6845" s="1">
        <v>45964</v>
      </c>
      <c r="D6845" t="s">
        <v>13626</v>
      </c>
      <c r="E6845" s="2">
        <v>48150</v>
      </c>
      <c r="G6845" s="3">
        <f>MONTH(Tabela1[[#This Row],[Último pagto ano]])</f>
        <v>11</v>
      </c>
      <c r="H6845" t="str">
        <f>TEXT(Tabela1[[#This Row],[Coluna2]]*29,"mmmm")</f>
        <v>novembro</v>
      </c>
      <c r="I6845" t="str">
        <f>TEXT(MONTH(Tabela1[[#This Row],[Último pagto ano]])*29,"mmmm")</f>
        <v>novembro</v>
      </c>
    </row>
    <row r="6846" spans="1:9" x14ac:dyDescent="0.25">
      <c r="A6846">
        <v>2025</v>
      </c>
      <c r="B6846" t="s">
        <v>13627</v>
      </c>
      <c r="C6846" s="1">
        <v>45747</v>
      </c>
      <c r="D6846" t="s">
        <v>13628</v>
      </c>
      <c r="E6846" s="2">
        <v>25200</v>
      </c>
      <c r="G6846" s="3">
        <f>MONTH(Tabela1[[#This Row],[Último pagto ano]])</f>
        <v>3</v>
      </c>
      <c r="H6846" t="str">
        <f>TEXT(Tabela1[[#This Row],[Coluna2]]*29,"mmmm")</f>
        <v>março</v>
      </c>
      <c r="I6846" t="str">
        <f>TEXT(MONTH(Tabela1[[#This Row],[Último pagto ano]])*29,"mmmm")</f>
        <v>março</v>
      </c>
    </row>
    <row r="6847" spans="1:9" x14ac:dyDescent="0.25">
      <c r="A6847">
        <v>2025</v>
      </c>
      <c r="B6847" t="s">
        <v>13629</v>
      </c>
      <c r="C6847" s="1">
        <v>46002</v>
      </c>
      <c r="D6847" t="s">
        <v>13630</v>
      </c>
      <c r="E6847" s="2">
        <v>2916211.85</v>
      </c>
      <c r="G6847" s="3">
        <f>MONTH(Tabela1[[#This Row],[Último pagto ano]])</f>
        <v>12</v>
      </c>
      <c r="H6847" t="str">
        <f>TEXT(Tabela1[[#This Row],[Coluna2]]*29,"mmmm")</f>
        <v>dezembro</v>
      </c>
      <c r="I6847" t="str">
        <f>TEXT(MONTH(Tabela1[[#This Row],[Último pagto ano]])*29,"mmmm")</f>
        <v>dezembro</v>
      </c>
    </row>
    <row r="6848" spans="1:9" x14ac:dyDescent="0.25">
      <c r="A6848">
        <v>2025</v>
      </c>
      <c r="B6848" t="s">
        <v>13631</v>
      </c>
      <c r="C6848" s="1">
        <v>45875</v>
      </c>
      <c r="D6848" t="s">
        <v>13632</v>
      </c>
      <c r="E6848">
        <v>220</v>
      </c>
      <c r="G6848" s="3">
        <f>MONTH(Tabela1[[#This Row],[Último pagto ano]])</f>
        <v>8</v>
      </c>
      <c r="H6848" t="str">
        <f>TEXT(Tabela1[[#This Row],[Coluna2]]*29,"mmmm")</f>
        <v>agosto</v>
      </c>
      <c r="I6848" t="str">
        <f>TEXT(MONTH(Tabela1[[#This Row],[Último pagto ano]])*29,"mmmm")</f>
        <v>agosto</v>
      </c>
    </row>
    <row r="6849" spans="1:9" x14ac:dyDescent="0.25">
      <c r="A6849">
        <v>2025</v>
      </c>
      <c r="B6849" t="s">
        <v>13633</v>
      </c>
      <c r="C6849" s="1">
        <v>46013</v>
      </c>
      <c r="D6849" t="s">
        <v>13634</v>
      </c>
      <c r="E6849" s="2">
        <v>48002568.200000003</v>
      </c>
      <c r="G6849" s="3">
        <f>MONTH(Tabela1[[#This Row],[Último pagto ano]])</f>
        <v>12</v>
      </c>
      <c r="H6849" t="str">
        <f>TEXT(Tabela1[[#This Row],[Coluna2]]*29,"mmmm")</f>
        <v>dezembro</v>
      </c>
      <c r="I6849" t="str">
        <f>TEXT(MONTH(Tabela1[[#This Row],[Último pagto ano]])*29,"mmmm")</f>
        <v>dezembro</v>
      </c>
    </row>
    <row r="6850" spans="1:9" x14ac:dyDescent="0.25">
      <c r="A6850">
        <v>2025</v>
      </c>
      <c r="B6850" t="s">
        <v>13635</v>
      </c>
      <c r="C6850" s="1">
        <v>45807</v>
      </c>
      <c r="D6850" t="s">
        <v>13636</v>
      </c>
      <c r="E6850" s="2">
        <v>1326</v>
      </c>
      <c r="G6850" s="3">
        <f>MONTH(Tabela1[[#This Row],[Último pagto ano]])</f>
        <v>5</v>
      </c>
      <c r="H6850" t="str">
        <f>TEXT(Tabela1[[#This Row],[Coluna2]]*29,"mmmm")</f>
        <v>maio</v>
      </c>
      <c r="I6850" t="str">
        <f>TEXT(MONTH(Tabela1[[#This Row],[Último pagto ano]])*29,"mmmm")</f>
        <v>maio</v>
      </c>
    </row>
    <row r="6851" spans="1:9" x14ac:dyDescent="0.25">
      <c r="A6851">
        <v>2025</v>
      </c>
      <c r="B6851" t="s">
        <v>13637</v>
      </c>
      <c r="C6851" s="1">
        <v>45793</v>
      </c>
      <c r="D6851" t="s">
        <v>13638</v>
      </c>
      <c r="E6851" s="2">
        <v>60000</v>
      </c>
      <c r="G6851" s="3">
        <f>MONTH(Tabela1[[#This Row],[Último pagto ano]])</f>
        <v>5</v>
      </c>
      <c r="H6851" t="str">
        <f>TEXT(Tabela1[[#This Row],[Coluna2]]*29,"mmmm")</f>
        <v>maio</v>
      </c>
      <c r="I6851" t="str">
        <f>TEXT(MONTH(Tabela1[[#This Row],[Último pagto ano]])*29,"mmmm")</f>
        <v>maio</v>
      </c>
    </row>
    <row r="6852" spans="1:9" x14ac:dyDescent="0.25">
      <c r="A6852">
        <v>2025</v>
      </c>
      <c r="B6852" t="s">
        <v>13639</v>
      </c>
      <c r="C6852" s="1">
        <v>46001</v>
      </c>
      <c r="D6852" t="s">
        <v>13640</v>
      </c>
      <c r="E6852" s="2">
        <v>24914.59</v>
      </c>
      <c r="G6852" s="3">
        <f>MONTH(Tabela1[[#This Row],[Último pagto ano]])</f>
        <v>12</v>
      </c>
      <c r="H6852" t="str">
        <f>TEXT(Tabela1[[#This Row],[Coluna2]]*29,"mmmm")</f>
        <v>dezembro</v>
      </c>
      <c r="I6852" t="str">
        <f>TEXT(MONTH(Tabela1[[#This Row],[Último pagto ano]])*29,"mmmm")</f>
        <v>dezembro</v>
      </c>
    </row>
    <row r="6853" spans="1:9" x14ac:dyDescent="0.25">
      <c r="A6853">
        <v>2025</v>
      </c>
      <c r="B6853" t="s">
        <v>13641</v>
      </c>
      <c r="C6853" s="1">
        <v>45959</v>
      </c>
      <c r="D6853" t="s">
        <v>13642</v>
      </c>
      <c r="E6853" s="2">
        <v>237831.36</v>
      </c>
      <c r="G6853" s="3">
        <f>MONTH(Tabela1[[#This Row],[Último pagto ano]])</f>
        <v>10</v>
      </c>
      <c r="H6853" t="str">
        <f>TEXT(Tabela1[[#This Row],[Coluna2]]*29,"mmmm")</f>
        <v>outubro</v>
      </c>
      <c r="I6853" t="str">
        <f>TEXT(MONTH(Tabela1[[#This Row],[Último pagto ano]])*29,"mmmm")</f>
        <v>outubro</v>
      </c>
    </row>
    <row r="6854" spans="1:9" x14ac:dyDescent="0.25">
      <c r="A6854">
        <v>2025</v>
      </c>
      <c r="B6854" t="s">
        <v>13643</v>
      </c>
      <c r="C6854" s="1">
        <v>46010</v>
      </c>
      <c r="D6854" t="s">
        <v>13644</v>
      </c>
      <c r="E6854" s="2">
        <v>8400</v>
      </c>
      <c r="G6854" s="3">
        <f>MONTH(Tabela1[[#This Row],[Último pagto ano]])</f>
        <v>12</v>
      </c>
      <c r="H6854" t="str">
        <f>TEXT(Tabela1[[#This Row],[Coluna2]]*29,"mmmm")</f>
        <v>dezembro</v>
      </c>
      <c r="I6854" t="str">
        <f>TEXT(MONTH(Tabela1[[#This Row],[Último pagto ano]])*29,"mmmm")</f>
        <v>dezembro</v>
      </c>
    </row>
    <row r="6855" spans="1:9" x14ac:dyDescent="0.25">
      <c r="A6855">
        <v>2025</v>
      </c>
      <c r="B6855" t="s">
        <v>13645</v>
      </c>
      <c r="C6855" s="1">
        <v>46010</v>
      </c>
      <c r="D6855" t="s">
        <v>13646</v>
      </c>
      <c r="E6855" s="2">
        <v>8400</v>
      </c>
      <c r="G6855" s="3">
        <f>MONTH(Tabela1[[#This Row],[Último pagto ano]])</f>
        <v>12</v>
      </c>
      <c r="H6855" t="str">
        <f>TEXT(Tabela1[[#This Row],[Coluna2]]*29,"mmmm")</f>
        <v>dezembro</v>
      </c>
      <c r="I6855" t="str">
        <f>TEXT(MONTH(Tabela1[[#This Row],[Último pagto ano]])*29,"mmmm")</f>
        <v>dezembro</v>
      </c>
    </row>
    <row r="6856" spans="1:9" x14ac:dyDescent="0.25">
      <c r="A6856">
        <v>2025</v>
      </c>
      <c r="B6856" t="s">
        <v>13647</v>
      </c>
      <c r="C6856" s="1">
        <v>45740</v>
      </c>
      <c r="D6856" t="s">
        <v>13648</v>
      </c>
      <c r="E6856" s="2">
        <v>5054.3999999999996</v>
      </c>
      <c r="G6856" s="3">
        <f>MONTH(Tabela1[[#This Row],[Último pagto ano]])</f>
        <v>3</v>
      </c>
      <c r="H6856" t="str">
        <f>TEXT(Tabela1[[#This Row],[Coluna2]]*29,"mmmm")</f>
        <v>março</v>
      </c>
      <c r="I6856" t="str">
        <f>TEXT(MONTH(Tabela1[[#This Row],[Último pagto ano]])*29,"mmmm")</f>
        <v>março</v>
      </c>
    </row>
    <row r="6857" spans="1:9" x14ac:dyDescent="0.25">
      <c r="A6857">
        <v>2025</v>
      </c>
      <c r="B6857" t="s">
        <v>13649</v>
      </c>
      <c r="C6857" s="1">
        <v>46010</v>
      </c>
      <c r="D6857" t="s">
        <v>13650</v>
      </c>
      <c r="E6857" s="2">
        <v>24000</v>
      </c>
      <c r="G6857" s="3">
        <f>MONTH(Tabela1[[#This Row],[Último pagto ano]])</f>
        <v>12</v>
      </c>
      <c r="H6857" t="str">
        <f>TEXT(Tabela1[[#This Row],[Coluna2]]*29,"mmmm")</f>
        <v>dezembro</v>
      </c>
      <c r="I6857" t="str">
        <f>TEXT(MONTH(Tabela1[[#This Row],[Último pagto ano]])*29,"mmmm")</f>
        <v>dezembro</v>
      </c>
    </row>
    <row r="6858" spans="1:9" x14ac:dyDescent="0.25">
      <c r="A6858">
        <v>2025</v>
      </c>
      <c r="B6858" t="s">
        <v>13651</v>
      </c>
      <c r="C6858" s="1">
        <v>45924</v>
      </c>
      <c r="D6858" t="s">
        <v>13652</v>
      </c>
      <c r="E6858" s="2">
        <v>6300</v>
      </c>
      <c r="G6858" s="3">
        <f>MONTH(Tabela1[[#This Row],[Último pagto ano]])</f>
        <v>9</v>
      </c>
      <c r="H6858" t="str">
        <f>TEXT(Tabela1[[#This Row],[Coluna2]]*29,"mmmm")</f>
        <v>setembro</v>
      </c>
      <c r="I6858" t="str">
        <f>TEXT(MONTH(Tabela1[[#This Row],[Último pagto ano]])*29,"mmmm")</f>
        <v>setembro</v>
      </c>
    </row>
    <row r="6859" spans="1:9" x14ac:dyDescent="0.25">
      <c r="A6859">
        <v>2025</v>
      </c>
      <c r="B6859" t="s">
        <v>13653</v>
      </c>
      <c r="C6859" s="1">
        <v>45754</v>
      </c>
      <c r="D6859" t="s">
        <v>13654</v>
      </c>
      <c r="E6859" s="2">
        <v>9964.6</v>
      </c>
      <c r="G6859" s="3">
        <f>MONTH(Tabela1[[#This Row],[Último pagto ano]])</f>
        <v>4</v>
      </c>
      <c r="H6859" t="str">
        <f>TEXT(Tabela1[[#This Row],[Coluna2]]*29,"mmmm")</f>
        <v>abril</v>
      </c>
      <c r="I6859" t="str">
        <f>TEXT(MONTH(Tabela1[[#This Row],[Último pagto ano]])*29,"mmmm")</f>
        <v>abril</v>
      </c>
    </row>
    <row r="6860" spans="1:9" x14ac:dyDescent="0.25">
      <c r="A6860">
        <v>2025</v>
      </c>
      <c r="B6860" t="s">
        <v>13655</v>
      </c>
      <c r="C6860" s="1">
        <v>45687</v>
      </c>
      <c r="D6860" t="s">
        <v>13656</v>
      </c>
      <c r="E6860">
        <v>991.71</v>
      </c>
      <c r="G6860" s="3">
        <f>MONTH(Tabela1[[#This Row],[Último pagto ano]])</f>
        <v>1</v>
      </c>
      <c r="H6860" t="str">
        <f>TEXT(Tabela1[[#This Row],[Coluna2]]*29,"mmmm")</f>
        <v>janeiro</v>
      </c>
      <c r="I6860" t="str">
        <f>TEXT(MONTH(Tabela1[[#This Row],[Último pagto ano]])*29,"mmmm")</f>
        <v>janeiro</v>
      </c>
    </row>
    <row r="6861" spans="1:9" x14ac:dyDescent="0.25">
      <c r="A6861">
        <v>2025</v>
      </c>
      <c r="B6861" t="s">
        <v>13657</v>
      </c>
      <c r="C6861" s="1">
        <v>46006</v>
      </c>
      <c r="D6861" t="s">
        <v>13658</v>
      </c>
      <c r="E6861" s="2">
        <v>8400</v>
      </c>
      <c r="G6861" s="3">
        <f>MONTH(Tabela1[[#This Row],[Último pagto ano]])</f>
        <v>12</v>
      </c>
      <c r="H6861" t="str">
        <f>TEXT(Tabela1[[#This Row],[Coluna2]]*29,"mmmm")</f>
        <v>dezembro</v>
      </c>
      <c r="I6861" t="str">
        <f>TEXT(MONTH(Tabela1[[#This Row],[Último pagto ano]])*29,"mmmm")</f>
        <v>dezembro</v>
      </c>
    </row>
    <row r="6862" spans="1:9" x14ac:dyDescent="0.25">
      <c r="A6862">
        <v>2025</v>
      </c>
      <c r="B6862" t="s">
        <v>13659</v>
      </c>
      <c r="C6862" s="1">
        <v>45716</v>
      </c>
      <c r="D6862" t="s">
        <v>13660</v>
      </c>
      <c r="E6862" s="2">
        <v>1864.4</v>
      </c>
      <c r="G6862" s="3">
        <f>MONTH(Tabela1[[#This Row],[Último pagto ano]])</f>
        <v>2</v>
      </c>
      <c r="H6862" t="str">
        <f>TEXT(Tabela1[[#This Row],[Coluna2]]*29,"mmmm")</f>
        <v>fevereiro</v>
      </c>
      <c r="I6862" t="str">
        <f>TEXT(MONTH(Tabela1[[#This Row],[Último pagto ano]])*29,"mmmm")</f>
        <v>fevereiro</v>
      </c>
    </row>
    <row r="6863" spans="1:9" x14ac:dyDescent="0.25">
      <c r="A6863">
        <v>2025</v>
      </c>
      <c r="B6863" t="s">
        <v>13661</v>
      </c>
      <c r="C6863" s="1">
        <v>45989</v>
      </c>
      <c r="D6863" t="s">
        <v>13662</v>
      </c>
      <c r="E6863" s="2">
        <v>11776.65</v>
      </c>
      <c r="G6863" s="3">
        <f>MONTH(Tabela1[[#This Row],[Último pagto ano]])</f>
        <v>11</v>
      </c>
      <c r="H6863" t="str">
        <f>TEXT(Tabela1[[#This Row],[Coluna2]]*29,"mmmm")</f>
        <v>novembro</v>
      </c>
      <c r="I6863" t="str">
        <f>TEXT(MONTH(Tabela1[[#This Row],[Último pagto ano]])*29,"mmmm")</f>
        <v>novembro</v>
      </c>
    </row>
    <row r="6864" spans="1:9" x14ac:dyDescent="0.25">
      <c r="A6864">
        <v>2025</v>
      </c>
      <c r="B6864" t="s">
        <v>13663</v>
      </c>
      <c r="C6864" s="1">
        <v>45876</v>
      </c>
      <c r="D6864" t="s">
        <v>13664</v>
      </c>
      <c r="E6864" s="2">
        <v>6457.99</v>
      </c>
      <c r="G6864" s="3">
        <f>MONTH(Tabela1[[#This Row],[Último pagto ano]])</f>
        <v>8</v>
      </c>
      <c r="H6864" t="str">
        <f>TEXT(Tabela1[[#This Row],[Coluna2]]*29,"mmmm")</f>
        <v>agosto</v>
      </c>
      <c r="I6864" t="str">
        <f>TEXT(MONTH(Tabela1[[#This Row],[Último pagto ano]])*29,"mmmm")</f>
        <v>agosto</v>
      </c>
    </row>
    <row r="6865" spans="1:9" x14ac:dyDescent="0.25">
      <c r="A6865">
        <v>2025</v>
      </c>
      <c r="B6865" t="s">
        <v>13665</v>
      </c>
      <c r="C6865" s="1">
        <v>45702</v>
      </c>
      <c r="D6865" t="s">
        <v>13666</v>
      </c>
      <c r="E6865" s="2">
        <v>1282.8499999999999</v>
      </c>
      <c r="G6865" s="3">
        <f>MONTH(Tabela1[[#This Row],[Último pagto ano]])</f>
        <v>2</v>
      </c>
      <c r="H6865" t="str">
        <f>TEXT(Tabela1[[#This Row],[Coluna2]]*29,"mmmm")</f>
        <v>fevereiro</v>
      </c>
      <c r="I6865" t="str">
        <f>TEXT(MONTH(Tabela1[[#This Row],[Último pagto ano]])*29,"mmmm")</f>
        <v>fevereiro</v>
      </c>
    </row>
    <row r="6866" spans="1:9" x14ac:dyDescent="0.25">
      <c r="A6866">
        <v>2025</v>
      </c>
      <c r="B6866" t="s">
        <v>13667</v>
      </c>
      <c r="C6866" s="1">
        <v>45996</v>
      </c>
      <c r="D6866" t="s">
        <v>13668</v>
      </c>
      <c r="E6866" s="2">
        <v>26425</v>
      </c>
      <c r="G6866" s="3">
        <f>MONTH(Tabela1[[#This Row],[Último pagto ano]])</f>
        <v>12</v>
      </c>
      <c r="H6866" t="str">
        <f>TEXT(Tabela1[[#This Row],[Coluna2]]*29,"mmmm")</f>
        <v>dezembro</v>
      </c>
      <c r="I6866" t="str">
        <f>TEXT(MONTH(Tabela1[[#This Row],[Último pagto ano]])*29,"mmmm")</f>
        <v>dezembro</v>
      </c>
    </row>
    <row r="6867" spans="1:9" x14ac:dyDescent="0.25">
      <c r="A6867">
        <v>2025</v>
      </c>
      <c r="B6867" t="s">
        <v>13669</v>
      </c>
      <c r="C6867" s="1">
        <v>46010</v>
      </c>
      <c r="D6867" t="s">
        <v>13670</v>
      </c>
      <c r="E6867" s="2">
        <v>24000</v>
      </c>
      <c r="G6867" s="3">
        <f>MONTH(Tabela1[[#This Row],[Último pagto ano]])</f>
        <v>12</v>
      </c>
      <c r="H6867" t="str">
        <f>TEXT(Tabela1[[#This Row],[Coluna2]]*29,"mmmm")</f>
        <v>dezembro</v>
      </c>
      <c r="I6867" t="str">
        <f>TEXT(MONTH(Tabela1[[#This Row],[Último pagto ano]])*29,"mmmm")</f>
        <v>dezembro</v>
      </c>
    </row>
    <row r="6868" spans="1:9" x14ac:dyDescent="0.25">
      <c r="A6868">
        <v>2025</v>
      </c>
      <c r="B6868" t="s">
        <v>13671</v>
      </c>
      <c r="C6868" s="1">
        <v>45898</v>
      </c>
      <c r="D6868" t="s">
        <v>13672</v>
      </c>
      <c r="E6868" s="2">
        <v>7294.37</v>
      </c>
      <c r="G6868" s="3">
        <f>MONTH(Tabela1[[#This Row],[Último pagto ano]])</f>
        <v>8</v>
      </c>
      <c r="H6868" t="str">
        <f>TEXT(Tabela1[[#This Row],[Coluna2]]*29,"mmmm")</f>
        <v>agosto</v>
      </c>
      <c r="I6868" t="str">
        <f>TEXT(MONTH(Tabela1[[#This Row],[Último pagto ano]])*29,"mmmm")</f>
        <v>agosto</v>
      </c>
    </row>
    <row r="6869" spans="1:9" x14ac:dyDescent="0.25">
      <c r="A6869">
        <v>2025</v>
      </c>
      <c r="B6869" t="s">
        <v>13671</v>
      </c>
      <c r="C6869" s="1">
        <v>46013</v>
      </c>
      <c r="D6869" t="s">
        <v>13672</v>
      </c>
      <c r="E6869" s="2">
        <v>1712.1</v>
      </c>
      <c r="G6869" s="3">
        <f>MONTH(Tabela1[[#This Row],[Último pagto ano]])</f>
        <v>12</v>
      </c>
      <c r="H6869" t="str">
        <f>TEXT(Tabela1[[#This Row],[Coluna2]]*29,"mmmm")</f>
        <v>dezembro</v>
      </c>
      <c r="I6869" t="str">
        <f>TEXT(MONTH(Tabela1[[#This Row],[Último pagto ano]])*29,"mmmm")</f>
        <v>dezembro</v>
      </c>
    </row>
    <row r="6870" spans="1:9" x14ac:dyDescent="0.25">
      <c r="A6870">
        <v>2025</v>
      </c>
      <c r="B6870" t="s">
        <v>13673</v>
      </c>
      <c r="C6870" s="1">
        <v>46009</v>
      </c>
      <c r="D6870" t="s">
        <v>13674</v>
      </c>
      <c r="E6870" s="2">
        <v>3814.06</v>
      </c>
      <c r="G6870" s="3">
        <f>MONTH(Tabela1[[#This Row],[Último pagto ano]])</f>
        <v>12</v>
      </c>
      <c r="H6870" t="str">
        <f>TEXT(Tabela1[[#This Row],[Coluna2]]*29,"mmmm")</f>
        <v>dezembro</v>
      </c>
      <c r="I6870" t="str">
        <f>TEXT(MONTH(Tabela1[[#This Row],[Último pagto ano]])*29,"mmmm")</f>
        <v>dezembro</v>
      </c>
    </row>
    <row r="6871" spans="1:9" x14ac:dyDescent="0.25">
      <c r="A6871">
        <v>2025</v>
      </c>
      <c r="B6871" t="s">
        <v>13675</v>
      </c>
      <c r="C6871" s="1">
        <v>46010</v>
      </c>
      <c r="D6871" t="s">
        <v>13676</v>
      </c>
      <c r="E6871" s="2">
        <v>7700</v>
      </c>
      <c r="G6871" s="3">
        <f>MONTH(Tabela1[[#This Row],[Último pagto ano]])</f>
        <v>12</v>
      </c>
      <c r="H6871" t="str">
        <f>TEXT(Tabela1[[#This Row],[Coluna2]]*29,"mmmm")</f>
        <v>dezembro</v>
      </c>
      <c r="I6871" t="str">
        <f>TEXT(MONTH(Tabela1[[#This Row],[Último pagto ano]])*29,"mmmm")</f>
        <v>dezembro</v>
      </c>
    </row>
    <row r="6872" spans="1:9" x14ac:dyDescent="0.25">
      <c r="A6872">
        <v>2025</v>
      </c>
      <c r="B6872" t="s">
        <v>13677</v>
      </c>
      <c r="C6872" s="1">
        <v>46013</v>
      </c>
      <c r="D6872" t="s">
        <v>13678</v>
      </c>
      <c r="E6872" s="2">
        <v>10220.4</v>
      </c>
      <c r="G6872" s="3">
        <f>MONTH(Tabela1[[#This Row],[Último pagto ano]])</f>
        <v>12</v>
      </c>
      <c r="H6872" t="str">
        <f>TEXT(Tabela1[[#This Row],[Coluna2]]*29,"mmmm")</f>
        <v>dezembro</v>
      </c>
      <c r="I6872" t="str">
        <f>TEXT(MONTH(Tabela1[[#This Row],[Último pagto ano]])*29,"mmmm")</f>
        <v>dezembro</v>
      </c>
    </row>
    <row r="6873" spans="1:9" x14ac:dyDescent="0.25">
      <c r="A6873">
        <v>2025</v>
      </c>
      <c r="B6873" t="s">
        <v>13679</v>
      </c>
      <c r="C6873" s="1">
        <v>45748</v>
      </c>
      <c r="D6873" t="s">
        <v>13680</v>
      </c>
      <c r="E6873" s="2">
        <v>2310.52</v>
      </c>
      <c r="G6873" s="3">
        <f>MONTH(Tabela1[[#This Row],[Último pagto ano]])</f>
        <v>4</v>
      </c>
      <c r="H6873" t="str">
        <f>TEXT(Tabela1[[#This Row],[Coluna2]]*29,"mmmm")</f>
        <v>abril</v>
      </c>
      <c r="I6873" t="str">
        <f>TEXT(MONTH(Tabela1[[#This Row],[Último pagto ano]])*29,"mmmm")</f>
        <v>abril</v>
      </c>
    </row>
    <row r="6874" spans="1:9" x14ac:dyDescent="0.25">
      <c r="A6874">
        <v>2025</v>
      </c>
      <c r="B6874" t="s">
        <v>13681</v>
      </c>
      <c r="C6874" s="1">
        <v>45880</v>
      </c>
      <c r="D6874" t="s">
        <v>13682</v>
      </c>
      <c r="E6874">
        <v>33</v>
      </c>
      <c r="G6874" s="3">
        <f>MONTH(Tabela1[[#This Row],[Último pagto ano]])</f>
        <v>8</v>
      </c>
      <c r="H6874" t="str">
        <f>TEXT(Tabela1[[#This Row],[Coluna2]]*29,"mmmm")</f>
        <v>agosto</v>
      </c>
      <c r="I6874" t="str">
        <f>TEXT(MONTH(Tabela1[[#This Row],[Último pagto ano]])*29,"mmmm")</f>
        <v>agosto</v>
      </c>
    </row>
    <row r="6875" spans="1:9" x14ac:dyDescent="0.25">
      <c r="A6875">
        <v>2025</v>
      </c>
      <c r="B6875" t="s">
        <v>13683</v>
      </c>
      <c r="C6875" s="1">
        <v>45702</v>
      </c>
      <c r="D6875" t="s">
        <v>13684</v>
      </c>
      <c r="E6875">
        <v>859.51</v>
      </c>
      <c r="G6875" s="3">
        <f>MONTH(Tabela1[[#This Row],[Último pagto ano]])</f>
        <v>2</v>
      </c>
      <c r="H6875" t="str">
        <f>TEXT(Tabela1[[#This Row],[Coluna2]]*29,"mmmm")</f>
        <v>fevereiro</v>
      </c>
      <c r="I6875" t="str">
        <f>TEXT(MONTH(Tabela1[[#This Row],[Último pagto ano]])*29,"mmmm")</f>
        <v>fevereiro</v>
      </c>
    </row>
    <row r="6876" spans="1:9" x14ac:dyDescent="0.25">
      <c r="A6876">
        <v>2025</v>
      </c>
      <c r="B6876" t="s">
        <v>13685</v>
      </c>
      <c r="C6876" s="1">
        <v>45989</v>
      </c>
      <c r="D6876" t="s">
        <v>13686</v>
      </c>
      <c r="E6876" s="2">
        <v>11116.52</v>
      </c>
      <c r="G6876" s="3">
        <f>MONTH(Tabela1[[#This Row],[Último pagto ano]])</f>
        <v>11</v>
      </c>
      <c r="H6876" t="str">
        <f>TEXT(Tabela1[[#This Row],[Coluna2]]*29,"mmmm")</f>
        <v>novembro</v>
      </c>
      <c r="I6876" t="str">
        <f>TEXT(MONTH(Tabela1[[#This Row],[Último pagto ano]])*29,"mmmm")</f>
        <v>novembro</v>
      </c>
    </row>
    <row r="6877" spans="1:9" x14ac:dyDescent="0.25">
      <c r="A6877">
        <v>2025</v>
      </c>
      <c r="B6877" t="s">
        <v>13687</v>
      </c>
      <c r="C6877" s="1">
        <v>45898</v>
      </c>
      <c r="D6877" t="s">
        <v>13688</v>
      </c>
      <c r="E6877">
        <v>883.26</v>
      </c>
      <c r="G6877" s="3">
        <f>MONTH(Tabela1[[#This Row],[Último pagto ano]])</f>
        <v>8</v>
      </c>
      <c r="H6877" t="str">
        <f>TEXT(Tabela1[[#This Row],[Coluna2]]*29,"mmmm")</f>
        <v>agosto</v>
      </c>
      <c r="I6877" t="str">
        <f>TEXT(MONTH(Tabela1[[#This Row],[Último pagto ano]])*29,"mmmm")</f>
        <v>agosto</v>
      </c>
    </row>
    <row r="6878" spans="1:9" x14ac:dyDescent="0.25">
      <c r="A6878">
        <v>2025</v>
      </c>
      <c r="B6878" t="s">
        <v>13689</v>
      </c>
      <c r="C6878" s="1">
        <v>45702</v>
      </c>
      <c r="D6878" t="s">
        <v>13690</v>
      </c>
      <c r="E6878">
        <v>726.93</v>
      </c>
      <c r="G6878" s="3">
        <f>MONTH(Tabela1[[#This Row],[Último pagto ano]])</f>
        <v>2</v>
      </c>
      <c r="H6878" t="str">
        <f>TEXT(Tabela1[[#This Row],[Coluna2]]*29,"mmmm")</f>
        <v>fevereiro</v>
      </c>
      <c r="I6878" t="str">
        <f>TEXT(MONTH(Tabela1[[#This Row],[Último pagto ano]])*29,"mmmm")</f>
        <v>fevereiro</v>
      </c>
    </row>
    <row r="6879" spans="1:9" x14ac:dyDescent="0.25">
      <c r="A6879">
        <v>2025</v>
      </c>
      <c r="B6879" t="s">
        <v>13691</v>
      </c>
      <c r="C6879" s="1">
        <v>45869</v>
      </c>
      <c r="D6879" t="s">
        <v>13692</v>
      </c>
      <c r="E6879" s="2">
        <v>5993.73</v>
      </c>
      <c r="G6879" s="3">
        <f>MONTH(Tabela1[[#This Row],[Último pagto ano]])</f>
        <v>7</v>
      </c>
      <c r="H6879" t="str">
        <f>TEXT(Tabela1[[#This Row],[Coluna2]]*29,"mmmm")</f>
        <v>julho</v>
      </c>
      <c r="I6879" t="str">
        <f>TEXT(MONTH(Tabela1[[#This Row],[Último pagto ano]])*29,"mmmm")</f>
        <v>julho</v>
      </c>
    </row>
    <row r="6880" spans="1:9" x14ac:dyDescent="0.25">
      <c r="A6880">
        <v>2025</v>
      </c>
      <c r="B6880" t="s">
        <v>13693</v>
      </c>
      <c r="C6880" s="1">
        <v>45880</v>
      </c>
      <c r="D6880" t="s">
        <v>13694</v>
      </c>
      <c r="E6880" s="2">
        <v>32140</v>
      </c>
      <c r="G6880" s="3">
        <f>MONTH(Tabela1[[#This Row],[Último pagto ano]])</f>
        <v>8</v>
      </c>
      <c r="H6880" t="str">
        <f>TEXT(Tabela1[[#This Row],[Coluna2]]*29,"mmmm")</f>
        <v>agosto</v>
      </c>
      <c r="I6880" t="str">
        <f>TEXT(MONTH(Tabela1[[#This Row],[Último pagto ano]])*29,"mmmm")</f>
        <v>agosto</v>
      </c>
    </row>
    <row r="6881" spans="1:9" x14ac:dyDescent="0.25">
      <c r="A6881">
        <v>2025</v>
      </c>
      <c r="B6881" t="s">
        <v>13695</v>
      </c>
      <c r="C6881" s="1">
        <v>45966</v>
      </c>
      <c r="D6881" t="s">
        <v>13696</v>
      </c>
      <c r="E6881" s="2">
        <v>704600</v>
      </c>
      <c r="G6881" s="3">
        <f>MONTH(Tabela1[[#This Row],[Último pagto ano]])</f>
        <v>11</v>
      </c>
      <c r="H6881" t="str">
        <f>TEXT(Tabela1[[#This Row],[Coluna2]]*29,"mmmm")</f>
        <v>novembro</v>
      </c>
      <c r="I6881" t="str">
        <f>TEXT(MONTH(Tabela1[[#This Row],[Último pagto ano]])*29,"mmmm")</f>
        <v>novembro</v>
      </c>
    </row>
    <row r="6882" spans="1:9" x14ac:dyDescent="0.25">
      <c r="A6882">
        <v>2025</v>
      </c>
      <c r="B6882" t="s">
        <v>13697</v>
      </c>
      <c r="C6882" s="1">
        <v>46014</v>
      </c>
      <c r="D6882" t="s">
        <v>13698</v>
      </c>
      <c r="E6882" s="2">
        <v>1125010.2</v>
      </c>
      <c r="G6882" s="3">
        <f>MONTH(Tabela1[[#This Row],[Último pagto ano]])</f>
        <v>12</v>
      </c>
      <c r="H6882" t="str">
        <f>TEXT(Tabela1[[#This Row],[Coluna2]]*29,"mmmm")</f>
        <v>dezembro</v>
      </c>
      <c r="I6882" t="str">
        <f>TEXT(MONTH(Tabela1[[#This Row],[Último pagto ano]])*29,"mmmm")</f>
        <v>dezembro</v>
      </c>
    </row>
    <row r="6883" spans="1:9" x14ac:dyDescent="0.25">
      <c r="A6883">
        <v>2025</v>
      </c>
      <c r="B6883" t="s">
        <v>13699</v>
      </c>
      <c r="C6883" s="1">
        <v>45996</v>
      </c>
      <c r="D6883" t="s">
        <v>13700</v>
      </c>
      <c r="E6883" s="2">
        <v>350700</v>
      </c>
      <c r="G6883" s="3">
        <f>MONTH(Tabela1[[#This Row],[Último pagto ano]])</f>
        <v>12</v>
      </c>
      <c r="H6883" t="str">
        <f>TEXT(Tabela1[[#This Row],[Coluna2]]*29,"mmmm")</f>
        <v>dezembro</v>
      </c>
      <c r="I6883" t="str">
        <f>TEXT(MONTH(Tabela1[[#This Row],[Último pagto ano]])*29,"mmmm")</f>
        <v>dezembro</v>
      </c>
    </row>
    <row r="6884" spans="1:9" x14ac:dyDescent="0.25">
      <c r="A6884">
        <v>2025</v>
      </c>
      <c r="B6884" t="s">
        <v>13701</v>
      </c>
      <c r="C6884" s="1">
        <v>45999</v>
      </c>
      <c r="D6884" t="s">
        <v>13702</v>
      </c>
      <c r="E6884" s="2">
        <v>631426.18999999994</v>
      </c>
      <c r="G6884" s="3">
        <f>MONTH(Tabela1[[#This Row],[Último pagto ano]])</f>
        <v>12</v>
      </c>
      <c r="H6884" t="str">
        <f>TEXT(Tabela1[[#This Row],[Coluna2]]*29,"mmmm")</f>
        <v>dezembro</v>
      </c>
      <c r="I6884" t="str">
        <f>TEXT(MONTH(Tabela1[[#This Row],[Último pagto ano]])*29,"mmmm")</f>
        <v>dezembro</v>
      </c>
    </row>
    <row r="6885" spans="1:9" x14ac:dyDescent="0.25">
      <c r="A6885">
        <v>2025</v>
      </c>
      <c r="B6885" t="s">
        <v>13703</v>
      </c>
      <c r="C6885" s="1">
        <v>45996</v>
      </c>
      <c r="D6885" t="s">
        <v>13704</v>
      </c>
      <c r="E6885">
        <v>300</v>
      </c>
      <c r="G6885" s="3">
        <f>MONTH(Tabela1[[#This Row],[Último pagto ano]])</f>
        <v>12</v>
      </c>
      <c r="H6885" t="str">
        <f>TEXT(Tabela1[[#This Row],[Coluna2]]*29,"mmmm")</f>
        <v>dezembro</v>
      </c>
      <c r="I6885" t="str">
        <f>TEXT(MONTH(Tabela1[[#This Row],[Último pagto ano]])*29,"mmmm")</f>
        <v>dezembro</v>
      </c>
    </row>
    <row r="6886" spans="1:9" x14ac:dyDescent="0.25">
      <c r="A6886">
        <v>2025</v>
      </c>
      <c r="B6886" t="s">
        <v>13705</v>
      </c>
      <c r="C6886" s="1">
        <v>45971</v>
      </c>
      <c r="D6886" t="s">
        <v>13706</v>
      </c>
      <c r="E6886" s="2">
        <v>29260</v>
      </c>
      <c r="G6886" s="3">
        <f>MONTH(Tabela1[[#This Row],[Último pagto ano]])</f>
        <v>11</v>
      </c>
      <c r="H6886" t="str">
        <f>TEXT(Tabela1[[#This Row],[Coluna2]]*29,"mmmm")</f>
        <v>novembro</v>
      </c>
      <c r="I6886" t="str">
        <f>TEXT(MONTH(Tabela1[[#This Row],[Último pagto ano]])*29,"mmmm")</f>
        <v>novembro</v>
      </c>
    </row>
    <row r="6887" spans="1:9" x14ac:dyDescent="0.25">
      <c r="A6887">
        <v>2025</v>
      </c>
      <c r="B6887" t="s">
        <v>13707</v>
      </c>
      <c r="C6887" s="1">
        <v>45849</v>
      </c>
      <c r="D6887" t="s">
        <v>13708</v>
      </c>
      <c r="E6887" s="2">
        <v>251604.8</v>
      </c>
      <c r="G6887" s="3">
        <f>MONTH(Tabela1[[#This Row],[Último pagto ano]])</f>
        <v>7</v>
      </c>
      <c r="H6887" t="str">
        <f>TEXT(Tabela1[[#This Row],[Coluna2]]*29,"mmmm")</f>
        <v>julho</v>
      </c>
      <c r="I6887" t="str">
        <f>TEXT(MONTH(Tabela1[[#This Row],[Último pagto ano]])*29,"mmmm")</f>
        <v>julho</v>
      </c>
    </row>
    <row r="6888" spans="1:9" x14ac:dyDescent="0.25">
      <c r="A6888">
        <v>2025</v>
      </c>
      <c r="B6888" t="s">
        <v>13709</v>
      </c>
      <c r="C6888" s="1">
        <v>45740</v>
      </c>
      <c r="D6888" t="s">
        <v>13710</v>
      </c>
      <c r="E6888" s="2">
        <v>3219</v>
      </c>
      <c r="G6888" s="3">
        <f>MONTH(Tabela1[[#This Row],[Último pagto ano]])</f>
        <v>3</v>
      </c>
      <c r="H6888" t="str">
        <f>TEXT(Tabela1[[#This Row],[Coluna2]]*29,"mmmm")</f>
        <v>março</v>
      </c>
      <c r="I6888" t="str">
        <f>TEXT(MONTH(Tabela1[[#This Row],[Último pagto ano]])*29,"mmmm")</f>
        <v>março</v>
      </c>
    </row>
    <row r="6889" spans="1:9" x14ac:dyDescent="0.25">
      <c r="A6889">
        <v>2025</v>
      </c>
      <c r="B6889" t="s">
        <v>13711</v>
      </c>
      <c r="C6889" s="1">
        <v>45936</v>
      </c>
      <c r="D6889" t="s">
        <v>13712</v>
      </c>
      <c r="E6889" s="2">
        <v>5070</v>
      </c>
      <c r="G6889" s="3">
        <f>MONTH(Tabela1[[#This Row],[Último pagto ano]])</f>
        <v>10</v>
      </c>
      <c r="H6889" t="str">
        <f>TEXT(Tabela1[[#This Row],[Coluna2]]*29,"mmmm")</f>
        <v>outubro</v>
      </c>
      <c r="I6889" t="str">
        <f>TEXT(MONTH(Tabela1[[#This Row],[Último pagto ano]])*29,"mmmm")</f>
        <v>outubro</v>
      </c>
    </row>
    <row r="6890" spans="1:9" x14ac:dyDescent="0.25">
      <c r="A6890">
        <v>2025</v>
      </c>
      <c r="B6890" t="s">
        <v>13713</v>
      </c>
      <c r="C6890" s="1">
        <v>45989</v>
      </c>
      <c r="D6890" t="s">
        <v>13714</v>
      </c>
      <c r="E6890" s="2">
        <v>141294.56</v>
      </c>
      <c r="G6890" s="3">
        <f>MONTH(Tabela1[[#This Row],[Último pagto ano]])</f>
        <v>11</v>
      </c>
      <c r="H6890" t="str">
        <f>TEXT(Tabela1[[#This Row],[Coluna2]]*29,"mmmm")</f>
        <v>novembro</v>
      </c>
      <c r="I6890" t="str">
        <f>TEXT(MONTH(Tabela1[[#This Row],[Último pagto ano]])*29,"mmmm")</f>
        <v>novembro</v>
      </c>
    </row>
    <row r="6891" spans="1:9" x14ac:dyDescent="0.25">
      <c r="A6891">
        <v>2025</v>
      </c>
      <c r="B6891" t="s">
        <v>13715</v>
      </c>
      <c r="C6891" s="1">
        <v>46006</v>
      </c>
      <c r="D6891" t="s">
        <v>13716</v>
      </c>
      <c r="E6891" s="2">
        <v>79800</v>
      </c>
      <c r="G6891" s="3">
        <f>MONTH(Tabela1[[#This Row],[Último pagto ano]])</f>
        <v>12</v>
      </c>
      <c r="H6891" t="str">
        <f>TEXT(Tabela1[[#This Row],[Coluna2]]*29,"mmmm")</f>
        <v>dezembro</v>
      </c>
      <c r="I6891" t="str">
        <f>TEXT(MONTH(Tabela1[[#This Row],[Último pagto ano]])*29,"mmmm")</f>
        <v>dezembro</v>
      </c>
    </row>
    <row r="6892" spans="1:9" x14ac:dyDescent="0.25">
      <c r="A6892">
        <v>2025</v>
      </c>
      <c r="B6892" t="s">
        <v>13717</v>
      </c>
      <c r="C6892" s="1">
        <v>46001</v>
      </c>
      <c r="D6892" t="s">
        <v>13718</v>
      </c>
      <c r="E6892" s="2">
        <v>466609.07</v>
      </c>
      <c r="G6892" s="3">
        <f>MONTH(Tabela1[[#This Row],[Último pagto ano]])</f>
        <v>12</v>
      </c>
      <c r="H6892" t="str">
        <f>TEXT(Tabela1[[#This Row],[Coluna2]]*29,"mmmm")</f>
        <v>dezembro</v>
      </c>
      <c r="I6892" t="str">
        <f>TEXT(MONTH(Tabela1[[#This Row],[Último pagto ano]])*29,"mmmm")</f>
        <v>dezembro</v>
      </c>
    </row>
    <row r="6893" spans="1:9" x14ac:dyDescent="0.25">
      <c r="A6893">
        <v>2025</v>
      </c>
      <c r="B6893" t="s">
        <v>13719</v>
      </c>
      <c r="C6893" s="1">
        <v>46014</v>
      </c>
      <c r="D6893" t="s">
        <v>13720</v>
      </c>
      <c r="E6893" s="2">
        <v>20235.599999999999</v>
      </c>
      <c r="G6893" s="3">
        <f>MONTH(Tabela1[[#This Row],[Último pagto ano]])</f>
        <v>12</v>
      </c>
      <c r="H6893" t="str">
        <f>TEXT(Tabela1[[#This Row],[Coluna2]]*29,"mmmm")</f>
        <v>dezembro</v>
      </c>
      <c r="I6893" t="str">
        <f>TEXT(MONTH(Tabela1[[#This Row],[Último pagto ano]])*29,"mmmm")</f>
        <v>dezembro</v>
      </c>
    </row>
    <row r="6894" spans="1:9" x14ac:dyDescent="0.25">
      <c r="A6894">
        <v>2025</v>
      </c>
      <c r="B6894" t="s">
        <v>13721</v>
      </c>
      <c r="C6894" s="1">
        <v>45967</v>
      </c>
      <c r="D6894" t="s">
        <v>13722</v>
      </c>
      <c r="E6894" s="2">
        <v>7350</v>
      </c>
      <c r="G6894" s="3">
        <f>MONTH(Tabela1[[#This Row],[Último pagto ano]])</f>
        <v>11</v>
      </c>
      <c r="H6894" t="str">
        <f>TEXT(Tabela1[[#This Row],[Coluna2]]*29,"mmmm")</f>
        <v>novembro</v>
      </c>
      <c r="I6894" t="str">
        <f>TEXT(MONTH(Tabela1[[#This Row],[Último pagto ano]])*29,"mmmm")</f>
        <v>novembro</v>
      </c>
    </row>
    <row r="6895" spans="1:9" x14ac:dyDescent="0.25">
      <c r="A6895">
        <v>2025</v>
      </c>
      <c r="B6895" t="s">
        <v>13723</v>
      </c>
      <c r="C6895" s="1">
        <v>45999</v>
      </c>
      <c r="D6895" t="s">
        <v>13724</v>
      </c>
      <c r="E6895" s="2">
        <v>4643.5</v>
      </c>
      <c r="G6895" s="3">
        <f>MONTH(Tabela1[[#This Row],[Último pagto ano]])</f>
        <v>12</v>
      </c>
      <c r="H6895" t="str">
        <f>TEXT(Tabela1[[#This Row],[Coluna2]]*29,"mmmm")</f>
        <v>dezembro</v>
      </c>
      <c r="I6895" t="str">
        <f>TEXT(MONTH(Tabela1[[#This Row],[Último pagto ano]])*29,"mmmm")</f>
        <v>dezembro</v>
      </c>
    </row>
    <row r="6896" spans="1:9" x14ac:dyDescent="0.25">
      <c r="A6896">
        <v>2025</v>
      </c>
      <c r="B6896" t="s">
        <v>13725</v>
      </c>
      <c r="C6896" s="1">
        <v>45845</v>
      </c>
      <c r="D6896" t="s">
        <v>13726</v>
      </c>
      <c r="E6896" s="2">
        <v>1368</v>
      </c>
      <c r="G6896" s="3">
        <f>MONTH(Tabela1[[#This Row],[Último pagto ano]])</f>
        <v>7</v>
      </c>
      <c r="H6896" t="str">
        <f>TEXT(Tabela1[[#This Row],[Coluna2]]*29,"mmmm")</f>
        <v>julho</v>
      </c>
      <c r="I6896" t="str">
        <f>TEXT(MONTH(Tabela1[[#This Row],[Último pagto ano]])*29,"mmmm")</f>
        <v>julho</v>
      </c>
    </row>
    <row r="6897" spans="1:9" x14ac:dyDescent="0.25">
      <c r="A6897">
        <v>2025</v>
      </c>
      <c r="B6897" t="s">
        <v>13727</v>
      </c>
      <c r="C6897" s="1">
        <v>46014</v>
      </c>
      <c r="D6897" t="s">
        <v>13728</v>
      </c>
      <c r="E6897" s="2">
        <v>22144.38</v>
      </c>
      <c r="G6897" s="3">
        <f>MONTH(Tabela1[[#This Row],[Último pagto ano]])</f>
        <v>12</v>
      </c>
      <c r="H6897" t="str">
        <f>TEXT(Tabela1[[#This Row],[Coluna2]]*29,"mmmm")</f>
        <v>dezembro</v>
      </c>
      <c r="I6897" t="str">
        <f>TEXT(MONTH(Tabela1[[#This Row],[Último pagto ano]])*29,"mmmm")</f>
        <v>dezembro</v>
      </c>
    </row>
    <row r="6898" spans="1:9" x14ac:dyDescent="0.25">
      <c r="A6898">
        <v>2025</v>
      </c>
      <c r="B6898" t="s">
        <v>13729</v>
      </c>
      <c r="C6898" s="1">
        <v>45978</v>
      </c>
      <c r="D6898" t="s">
        <v>13730</v>
      </c>
      <c r="E6898" s="2">
        <v>19329.330000000002</v>
      </c>
      <c r="G6898" s="3">
        <f>MONTH(Tabela1[[#This Row],[Último pagto ano]])</f>
        <v>11</v>
      </c>
      <c r="H6898" t="str">
        <f>TEXT(Tabela1[[#This Row],[Coluna2]]*29,"mmmm")</f>
        <v>novembro</v>
      </c>
      <c r="I6898" t="str">
        <f>TEXT(MONTH(Tabela1[[#This Row],[Último pagto ano]])*29,"mmmm")</f>
        <v>novembro</v>
      </c>
    </row>
    <row r="6899" spans="1:9" x14ac:dyDescent="0.25">
      <c r="A6899">
        <v>2025</v>
      </c>
      <c r="B6899" t="s">
        <v>13731</v>
      </c>
      <c r="C6899" s="1">
        <v>45975</v>
      </c>
      <c r="D6899" t="s">
        <v>13732</v>
      </c>
      <c r="E6899" s="2">
        <v>95444.4</v>
      </c>
      <c r="G6899" s="3">
        <f>MONTH(Tabela1[[#This Row],[Último pagto ano]])</f>
        <v>11</v>
      </c>
      <c r="H6899" t="str">
        <f>TEXT(Tabela1[[#This Row],[Coluna2]]*29,"mmmm")</f>
        <v>novembro</v>
      </c>
      <c r="I6899" t="str">
        <f>TEXT(MONTH(Tabela1[[#This Row],[Último pagto ano]])*29,"mmmm")</f>
        <v>novembro</v>
      </c>
    </row>
    <row r="6900" spans="1:9" x14ac:dyDescent="0.25">
      <c r="A6900">
        <v>2025</v>
      </c>
      <c r="B6900" t="s">
        <v>13733</v>
      </c>
      <c r="C6900" s="1">
        <v>45985</v>
      </c>
      <c r="D6900" t="s">
        <v>13734</v>
      </c>
      <c r="E6900" s="2">
        <v>3400</v>
      </c>
      <c r="G6900" s="3">
        <f>MONTH(Tabela1[[#This Row],[Último pagto ano]])</f>
        <v>11</v>
      </c>
      <c r="H6900" t="str">
        <f>TEXT(Tabela1[[#This Row],[Coluna2]]*29,"mmmm")</f>
        <v>novembro</v>
      </c>
      <c r="I6900" t="str">
        <f>TEXT(MONTH(Tabela1[[#This Row],[Último pagto ano]])*29,"mmmm")</f>
        <v>novembro</v>
      </c>
    </row>
    <row r="6901" spans="1:9" x14ac:dyDescent="0.25">
      <c r="A6901">
        <v>2025</v>
      </c>
      <c r="B6901" t="s">
        <v>13735</v>
      </c>
      <c r="C6901" s="1">
        <v>45929</v>
      </c>
      <c r="D6901" t="s">
        <v>13736</v>
      </c>
      <c r="E6901" s="2">
        <v>3024</v>
      </c>
      <c r="G6901" s="3">
        <f>MONTH(Tabela1[[#This Row],[Último pagto ano]])</f>
        <v>9</v>
      </c>
      <c r="H6901" t="str">
        <f>TEXT(Tabela1[[#This Row],[Coluna2]]*29,"mmmm")</f>
        <v>setembro</v>
      </c>
      <c r="I6901" t="str">
        <f>TEXT(MONTH(Tabela1[[#This Row],[Último pagto ano]])*29,"mmmm")</f>
        <v>setembro</v>
      </c>
    </row>
    <row r="6902" spans="1:9" x14ac:dyDescent="0.25">
      <c r="A6902">
        <v>2025</v>
      </c>
      <c r="B6902" t="s">
        <v>13737</v>
      </c>
      <c r="C6902" s="1">
        <v>45852</v>
      </c>
      <c r="D6902" t="s">
        <v>13738</v>
      </c>
      <c r="E6902" s="2">
        <v>13150</v>
      </c>
      <c r="G6902" s="3">
        <f>MONTH(Tabela1[[#This Row],[Último pagto ano]])</f>
        <v>7</v>
      </c>
      <c r="H6902" t="str">
        <f>TEXT(Tabela1[[#This Row],[Coluna2]]*29,"mmmm")</f>
        <v>julho</v>
      </c>
      <c r="I6902" t="str">
        <f>TEXT(MONTH(Tabela1[[#This Row],[Último pagto ano]])*29,"mmmm")</f>
        <v>julho</v>
      </c>
    </row>
    <row r="6903" spans="1:9" x14ac:dyDescent="0.25">
      <c r="A6903">
        <v>2025</v>
      </c>
      <c r="B6903" t="s">
        <v>13739</v>
      </c>
      <c r="C6903" s="1">
        <v>45936</v>
      </c>
      <c r="D6903" t="s">
        <v>13740</v>
      </c>
      <c r="E6903" s="2">
        <v>1098</v>
      </c>
      <c r="G6903" s="3">
        <f>MONTH(Tabela1[[#This Row],[Último pagto ano]])</f>
        <v>10</v>
      </c>
      <c r="H6903" t="str">
        <f>TEXT(Tabela1[[#This Row],[Coluna2]]*29,"mmmm")</f>
        <v>outubro</v>
      </c>
      <c r="I6903" t="str">
        <f>TEXT(MONTH(Tabela1[[#This Row],[Último pagto ano]])*29,"mmmm")</f>
        <v>outubro</v>
      </c>
    </row>
    <row r="6904" spans="1:9" x14ac:dyDescent="0.25">
      <c r="A6904">
        <v>2025</v>
      </c>
      <c r="B6904" t="s">
        <v>13741</v>
      </c>
      <c r="C6904" s="1">
        <v>45876</v>
      </c>
      <c r="D6904" t="s">
        <v>13742</v>
      </c>
      <c r="E6904" s="2">
        <v>10320</v>
      </c>
      <c r="G6904" s="3">
        <f>MONTH(Tabela1[[#This Row],[Último pagto ano]])</f>
        <v>8</v>
      </c>
      <c r="H6904" t="str">
        <f>TEXT(Tabela1[[#This Row],[Coluna2]]*29,"mmmm")</f>
        <v>agosto</v>
      </c>
      <c r="I6904" t="str">
        <f>TEXT(MONTH(Tabela1[[#This Row],[Último pagto ano]])*29,"mmmm")</f>
        <v>agosto</v>
      </c>
    </row>
    <row r="6905" spans="1:9" x14ac:dyDescent="0.25">
      <c r="A6905">
        <v>2025</v>
      </c>
      <c r="B6905" t="s">
        <v>13743</v>
      </c>
      <c r="C6905" s="1">
        <v>45929</v>
      </c>
      <c r="D6905" t="s">
        <v>13744</v>
      </c>
      <c r="E6905" s="2">
        <v>16500</v>
      </c>
      <c r="G6905" s="3">
        <f>MONTH(Tabela1[[#This Row],[Último pagto ano]])</f>
        <v>9</v>
      </c>
      <c r="H6905" t="str">
        <f>TEXT(Tabela1[[#This Row],[Coluna2]]*29,"mmmm")</f>
        <v>setembro</v>
      </c>
      <c r="I6905" t="str">
        <f>TEXT(MONTH(Tabela1[[#This Row],[Último pagto ano]])*29,"mmmm")</f>
        <v>setembro</v>
      </c>
    </row>
    <row r="6906" spans="1:9" x14ac:dyDescent="0.25">
      <c r="A6906">
        <v>2025</v>
      </c>
      <c r="B6906" t="s">
        <v>13745</v>
      </c>
      <c r="C6906" s="1">
        <v>45985</v>
      </c>
      <c r="D6906" t="s">
        <v>13746</v>
      </c>
      <c r="E6906">
        <v>262.35000000000002</v>
      </c>
      <c r="G6906" s="3">
        <f>MONTH(Tabela1[[#This Row],[Último pagto ano]])</f>
        <v>11</v>
      </c>
      <c r="H6906" t="str">
        <f>TEXT(Tabela1[[#This Row],[Coluna2]]*29,"mmmm")</f>
        <v>novembro</v>
      </c>
      <c r="I6906" t="str">
        <f>TEXT(MONTH(Tabela1[[#This Row],[Último pagto ano]])*29,"mmmm")</f>
        <v>novembro</v>
      </c>
    </row>
    <row r="6907" spans="1:9" x14ac:dyDescent="0.25">
      <c r="A6907">
        <v>2025</v>
      </c>
      <c r="B6907" t="s">
        <v>13747</v>
      </c>
      <c r="C6907" s="1">
        <v>45898</v>
      </c>
      <c r="D6907" t="s">
        <v>13748</v>
      </c>
      <c r="E6907" s="2">
        <v>4794.2700000000004</v>
      </c>
      <c r="G6907" s="3">
        <f>MONTH(Tabela1[[#This Row],[Último pagto ano]])</f>
        <v>8</v>
      </c>
      <c r="H6907" t="str">
        <f>TEXT(Tabela1[[#This Row],[Coluna2]]*29,"mmmm")</f>
        <v>agosto</v>
      </c>
      <c r="I6907" t="str">
        <f>TEXT(MONTH(Tabela1[[#This Row],[Último pagto ano]])*29,"mmmm")</f>
        <v>agosto</v>
      </c>
    </row>
    <row r="6908" spans="1:9" x14ac:dyDescent="0.25">
      <c r="A6908">
        <v>2025</v>
      </c>
      <c r="B6908" t="s">
        <v>13749</v>
      </c>
      <c r="C6908" s="1">
        <v>46014</v>
      </c>
      <c r="D6908" t="s">
        <v>13750</v>
      </c>
      <c r="E6908" s="2">
        <v>8943781.9600000009</v>
      </c>
      <c r="G6908" s="3">
        <f>MONTH(Tabela1[[#This Row],[Último pagto ano]])</f>
        <v>12</v>
      </c>
      <c r="H6908" t="str">
        <f>TEXT(Tabela1[[#This Row],[Coluna2]]*29,"mmmm")</f>
        <v>dezembro</v>
      </c>
      <c r="I6908" t="str">
        <f>TEXT(MONTH(Tabela1[[#This Row],[Último pagto ano]])*29,"mmmm")</f>
        <v>dezembro</v>
      </c>
    </row>
    <row r="6909" spans="1:9" x14ac:dyDescent="0.25">
      <c r="A6909">
        <v>2025</v>
      </c>
      <c r="B6909" t="s">
        <v>13751</v>
      </c>
      <c r="C6909" s="1">
        <v>45967</v>
      </c>
      <c r="D6909" t="s">
        <v>13752</v>
      </c>
      <c r="E6909" s="2">
        <v>1184352.6000000001</v>
      </c>
      <c r="G6909" s="3">
        <f>MONTH(Tabela1[[#This Row],[Último pagto ano]])</f>
        <v>11</v>
      </c>
      <c r="H6909" t="str">
        <f>TEXT(Tabela1[[#This Row],[Coluna2]]*29,"mmmm")</f>
        <v>novembro</v>
      </c>
      <c r="I6909" t="str">
        <f>TEXT(MONTH(Tabela1[[#This Row],[Último pagto ano]])*29,"mmmm")</f>
        <v>novembro</v>
      </c>
    </row>
    <row r="6910" spans="1:9" x14ac:dyDescent="0.25">
      <c r="A6910">
        <v>2025</v>
      </c>
      <c r="B6910" t="s">
        <v>13753</v>
      </c>
      <c r="C6910" s="1">
        <v>46014</v>
      </c>
      <c r="D6910" t="s">
        <v>13754</v>
      </c>
      <c r="E6910">
        <v>297</v>
      </c>
      <c r="G6910" s="3">
        <f>MONTH(Tabela1[[#This Row],[Último pagto ano]])</f>
        <v>12</v>
      </c>
      <c r="H6910" t="str">
        <f>TEXT(Tabela1[[#This Row],[Coluna2]]*29,"mmmm")</f>
        <v>dezembro</v>
      </c>
      <c r="I6910" t="str">
        <f>TEXT(MONTH(Tabela1[[#This Row],[Último pagto ano]])*29,"mmmm")</f>
        <v>dezembro</v>
      </c>
    </row>
    <row r="6911" spans="1:9" x14ac:dyDescent="0.25">
      <c r="A6911">
        <v>2025</v>
      </c>
      <c r="B6911" t="s">
        <v>13755</v>
      </c>
      <c r="C6911" s="1">
        <v>45888</v>
      </c>
      <c r="D6911" t="s">
        <v>13756</v>
      </c>
      <c r="E6911" s="2">
        <v>255367.23</v>
      </c>
      <c r="G6911" s="3">
        <f>MONTH(Tabela1[[#This Row],[Último pagto ano]])</f>
        <v>8</v>
      </c>
      <c r="H6911" t="str">
        <f>TEXT(Tabela1[[#This Row],[Coluna2]]*29,"mmmm")</f>
        <v>agosto</v>
      </c>
      <c r="I6911" t="str">
        <f>TEXT(MONTH(Tabela1[[#This Row],[Último pagto ano]])*29,"mmmm")</f>
        <v>agosto</v>
      </c>
    </row>
    <row r="6912" spans="1:9" x14ac:dyDescent="0.25">
      <c r="A6912">
        <v>2025</v>
      </c>
      <c r="B6912" t="s">
        <v>13757</v>
      </c>
      <c r="C6912" s="1">
        <v>45971</v>
      </c>
      <c r="D6912" t="s">
        <v>13758</v>
      </c>
      <c r="E6912" s="2">
        <v>3360</v>
      </c>
      <c r="G6912" s="3">
        <f>MONTH(Tabela1[[#This Row],[Último pagto ano]])</f>
        <v>11</v>
      </c>
      <c r="H6912" t="str">
        <f>TEXT(Tabela1[[#This Row],[Coluna2]]*29,"mmmm")</f>
        <v>novembro</v>
      </c>
      <c r="I6912" t="str">
        <f>TEXT(MONTH(Tabela1[[#This Row],[Último pagto ano]])*29,"mmmm")</f>
        <v>novembro</v>
      </c>
    </row>
    <row r="6913" spans="1:9" x14ac:dyDescent="0.25">
      <c r="A6913">
        <v>2025</v>
      </c>
      <c r="B6913" t="s">
        <v>13759</v>
      </c>
      <c r="C6913" s="1">
        <v>45947</v>
      </c>
      <c r="D6913" t="s">
        <v>13760</v>
      </c>
      <c r="E6913" s="2">
        <v>3405</v>
      </c>
      <c r="G6913" s="3">
        <f>MONTH(Tabela1[[#This Row],[Último pagto ano]])</f>
        <v>10</v>
      </c>
      <c r="H6913" t="str">
        <f>TEXT(Tabela1[[#This Row],[Coluna2]]*29,"mmmm")</f>
        <v>outubro</v>
      </c>
      <c r="I6913" t="str">
        <f>TEXT(MONTH(Tabela1[[#This Row],[Último pagto ano]])*29,"mmmm")</f>
        <v>outubro</v>
      </c>
    </row>
    <row r="6914" spans="1:9" x14ac:dyDescent="0.25">
      <c r="A6914">
        <v>2025</v>
      </c>
      <c r="B6914" t="s">
        <v>13761</v>
      </c>
      <c r="C6914" s="1">
        <v>45960</v>
      </c>
      <c r="D6914" t="s">
        <v>13762</v>
      </c>
      <c r="E6914" s="2">
        <v>46200</v>
      </c>
      <c r="G6914" s="3">
        <f>MONTH(Tabela1[[#This Row],[Último pagto ano]])</f>
        <v>10</v>
      </c>
      <c r="H6914" t="str">
        <f>TEXT(Tabela1[[#This Row],[Coluna2]]*29,"mmmm")</f>
        <v>outubro</v>
      </c>
      <c r="I6914" t="str">
        <f>TEXT(MONTH(Tabela1[[#This Row],[Último pagto ano]])*29,"mmmm")</f>
        <v>outubro</v>
      </c>
    </row>
    <row r="6915" spans="1:9" x14ac:dyDescent="0.25">
      <c r="A6915">
        <v>2025</v>
      </c>
      <c r="B6915" t="s">
        <v>13763</v>
      </c>
      <c r="C6915" s="1">
        <v>45782</v>
      </c>
      <c r="D6915" t="s">
        <v>13764</v>
      </c>
      <c r="E6915" s="2">
        <v>22620.5</v>
      </c>
      <c r="G6915" s="3">
        <f>MONTH(Tabela1[[#This Row],[Último pagto ano]])</f>
        <v>5</v>
      </c>
      <c r="H6915" t="str">
        <f>TEXT(Tabela1[[#This Row],[Coluna2]]*29,"mmmm")</f>
        <v>maio</v>
      </c>
      <c r="I6915" t="str">
        <f>TEXT(MONTH(Tabela1[[#This Row],[Último pagto ano]])*29,"mmmm")</f>
        <v>maio</v>
      </c>
    </row>
    <row r="6916" spans="1:9" x14ac:dyDescent="0.25">
      <c r="A6916">
        <v>2025</v>
      </c>
      <c r="B6916" t="s">
        <v>13765</v>
      </c>
      <c r="C6916" s="1">
        <v>45954</v>
      </c>
      <c r="D6916" t="s">
        <v>13766</v>
      </c>
      <c r="E6916" s="2">
        <v>150542.91</v>
      </c>
      <c r="G6916" s="3">
        <f>MONTH(Tabela1[[#This Row],[Último pagto ano]])</f>
        <v>10</v>
      </c>
      <c r="H6916" t="str">
        <f>TEXT(Tabela1[[#This Row],[Coluna2]]*29,"mmmm")</f>
        <v>outubro</v>
      </c>
      <c r="I6916" t="str">
        <f>TEXT(MONTH(Tabela1[[#This Row],[Último pagto ano]])*29,"mmmm")</f>
        <v>outubro</v>
      </c>
    </row>
    <row r="6917" spans="1:9" x14ac:dyDescent="0.25">
      <c r="A6917">
        <v>2025</v>
      </c>
      <c r="B6917" t="s">
        <v>13767</v>
      </c>
      <c r="C6917" s="1">
        <v>45922</v>
      </c>
      <c r="D6917" t="s">
        <v>13768</v>
      </c>
      <c r="E6917">
        <v>499.8</v>
      </c>
      <c r="G6917" s="3">
        <f>MONTH(Tabela1[[#This Row],[Último pagto ano]])</f>
        <v>9</v>
      </c>
      <c r="H6917" t="str">
        <f>TEXT(Tabela1[[#This Row],[Coluna2]]*29,"mmmm")</f>
        <v>setembro</v>
      </c>
      <c r="I6917" t="str">
        <f>TEXT(MONTH(Tabela1[[#This Row],[Último pagto ano]])*29,"mmmm")</f>
        <v>setembro</v>
      </c>
    </row>
    <row r="6918" spans="1:9" x14ac:dyDescent="0.25">
      <c r="A6918">
        <v>2025</v>
      </c>
      <c r="B6918" t="s">
        <v>13769</v>
      </c>
      <c r="C6918" s="1">
        <v>46001</v>
      </c>
      <c r="D6918" t="s">
        <v>13770</v>
      </c>
      <c r="E6918" s="2">
        <v>149297.56</v>
      </c>
      <c r="G6918" s="3">
        <f>MONTH(Tabela1[[#This Row],[Último pagto ano]])</f>
        <v>12</v>
      </c>
      <c r="H6918" t="str">
        <f>TEXT(Tabela1[[#This Row],[Coluna2]]*29,"mmmm")</f>
        <v>dezembro</v>
      </c>
      <c r="I6918" t="str">
        <f>TEXT(MONTH(Tabela1[[#This Row],[Último pagto ano]])*29,"mmmm")</f>
        <v>dezembro</v>
      </c>
    </row>
    <row r="6919" spans="1:9" x14ac:dyDescent="0.25">
      <c r="A6919">
        <v>2025</v>
      </c>
      <c r="B6919" t="s">
        <v>13771</v>
      </c>
      <c r="C6919" s="1">
        <v>45922</v>
      </c>
      <c r="D6919" t="s">
        <v>13772</v>
      </c>
      <c r="E6919">
        <v>99</v>
      </c>
      <c r="G6919" s="3">
        <f>MONTH(Tabela1[[#This Row],[Último pagto ano]])</f>
        <v>9</v>
      </c>
      <c r="H6919" t="str">
        <f>TEXT(Tabela1[[#This Row],[Coluna2]]*29,"mmmm")</f>
        <v>setembro</v>
      </c>
      <c r="I6919" t="str">
        <f>TEXT(MONTH(Tabela1[[#This Row],[Último pagto ano]])*29,"mmmm")</f>
        <v>setembro</v>
      </c>
    </row>
    <row r="6920" spans="1:9" x14ac:dyDescent="0.25">
      <c r="A6920">
        <v>2025</v>
      </c>
      <c r="B6920" t="s">
        <v>13773</v>
      </c>
      <c r="C6920" s="1">
        <v>46006</v>
      </c>
      <c r="D6920" t="s">
        <v>13774</v>
      </c>
      <c r="E6920" s="2">
        <v>24726.54</v>
      </c>
      <c r="G6920" s="3">
        <f>MONTH(Tabela1[[#This Row],[Último pagto ano]])</f>
        <v>12</v>
      </c>
      <c r="H6920" t="str">
        <f>TEXT(Tabela1[[#This Row],[Coluna2]]*29,"mmmm")</f>
        <v>dezembro</v>
      </c>
      <c r="I6920" t="str">
        <f>TEXT(MONTH(Tabela1[[#This Row],[Último pagto ano]])*29,"mmmm")</f>
        <v>dezembro</v>
      </c>
    </row>
    <row r="6921" spans="1:9" x14ac:dyDescent="0.25">
      <c r="A6921">
        <v>2025</v>
      </c>
      <c r="B6921" t="s">
        <v>13775</v>
      </c>
      <c r="C6921" s="1">
        <v>45702</v>
      </c>
      <c r="D6921" t="s">
        <v>13776</v>
      </c>
      <c r="E6921">
        <v>487.66</v>
      </c>
      <c r="G6921" s="3">
        <f>MONTH(Tabela1[[#This Row],[Último pagto ano]])</f>
        <v>2</v>
      </c>
      <c r="H6921" t="str">
        <f>TEXT(Tabela1[[#This Row],[Coluna2]]*29,"mmmm")</f>
        <v>fevereiro</v>
      </c>
      <c r="I6921" t="str">
        <f>TEXT(MONTH(Tabela1[[#This Row],[Último pagto ano]])*29,"mmmm")</f>
        <v>fevereiro</v>
      </c>
    </row>
    <row r="6922" spans="1:9" x14ac:dyDescent="0.25">
      <c r="A6922">
        <v>2025</v>
      </c>
      <c r="B6922" t="s">
        <v>13777</v>
      </c>
      <c r="C6922" s="1">
        <v>45762</v>
      </c>
      <c r="D6922" t="s">
        <v>13778</v>
      </c>
      <c r="E6922" s="2">
        <v>2625.6</v>
      </c>
      <c r="G6922" s="3">
        <f>MONTH(Tabela1[[#This Row],[Último pagto ano]])</f>
        <v>4</v>
      </c>
      <c r="H6922" t="str">
        <f>TEXT(Tabela1[[#This Row],[Coluna2]]*29,"mmmm")</f>
        <v>abril</v>
      </c>
      <c r="I6922" t="str">
        <f>TEXT(MONTH(Tabela1[[#This Row],[Último pagto ano]])*29,"mmmm")</f>
        <v>abril</v>
      </c>
    </row>
    <row r="6923" spans="1:9" x14ac:dyDescent="0.25">
      <c r="A6923">
        <v>2025</v>
      </c>
      <c r="B6923" t="s">
        <v>13779</v>
      </c>
      <c r="C6923" s="1">
        <v>46006</v>
      </c>
      <c r="D6923" t="s">
        <v>13780</v>
      </c>
      <c r="E6923" s="2">
        <v>4146.24</v>
      </c>
      <c r="G6923" s="3">
        <f>MONTH(Tabela1[[#This Row],[Último pagto ano]])</f>
        <v>12</v>
      </c>
      <c r="H6923" t="str">
        <f>TEXT(Tabela1[[#This Row],[Coluna2]]*29,"mmmm")</f>
        <v>dezembro</v>
      </c>
      <c r="I6923" t="str">
        <f>TEXT(MONTH(Tabela1[[#This Row],[Último pagto ano]])*29,"mmmm")</f>
        <v>dezembro</v>
      </c>
    </row>
    <row r="6924" spans="1:9" x14ac:dyDescent="0.25">
      <c r="A6924">
        <v>2025</v>
      </c>
      <c r="B6924" t="s">
        <v>13781</v>
      </c>
      <c r="C6924" s="1">
        <v>45887</v>
      </c>
      <c r="D6924" t="s">
        <v>13782</v>
      </c>
      <c r="E6924">
        <v>242</v>
      </c>
      <c r="G6924" s="3">
        <f>MONTH(Tabela1[[#This Row],[Último pagto ano]])</f>
        <v>8</v>
      </c>
      <c r="H6924" t="str">
        <f>TEXT(Tabela1[[#This Row],[Coluna2]]*29,"mmmm")</f>
        <v>agosto</v>
      </c>
      <c r="I6924" t="str">
        <f>TEXT(MONTH(Tabela1[[#This Row],[Último pagto ano]])*29,"mmmm")</f>
        <v>agosto</v>
      </c>
    </row>
    <row r="6925" spans="1:9" x14ac:dyDescent="0.25">
      <c r="A6925">
        <v>2025</v>
      </c>
      <c r="B6925" t="s">
        <v>13783</v>
      </c>
      <c r="C6925" s="1">
        <v>45733</v>
      </c>
      <c r="D6925" t="s">
        <v>13784</v>
      </c>
      <c r="E6925">
        <v>592.32000000000005</v>
      </c>
      <c r="G6925" s="3">
        <f>MONTH(Tabela1[[#This Row],[Último pagto ano]])</f>
        <v>3</v>
      </c>
      <c r="H6925" t="str">
        <f>TEXT(Tabela1[[#This Row],[Coluna2]]*29,"mmmm")</f>
        <v>março</v>
      </c>
      <c r="I6925" t="str">
        <f>TEXT(MONTH(Tabela1[[#This Row],[Último pagto ano]])*29,"mmmm")</f>
        <v>março</v>
      </c>
    </row>
    <row r="6926" spans="1:9" x14ac:dyDescent="0.25">
      <c r="A6926">
        <v>2025</v>
      </c>
      <c r="B6926" t="s">
        <v>13785</v>
      </c>
      <c r="C6926" s="1">
        <v>45988</v>
      </c>
      <c r="D6926" t="s">
        <v>13786</v>
      </c>
      <c r="E6926" s="2">
        <v>3308.4</v>
      </c>
      <c r="G6926" s="3">
        <f>MONTH(Tabela1[[#This Row],[Último pagto ano]])</f>
        <v>11</v>
      </c>
      <c r="H6926" t="str">
        <f>TEXT(Tabela1[[#This Row],[Coluna2]]*29,"mmmm")</f>
        <v>novembro</v>
      </c>
      <c r="I6926" t="str">
        <f>TEXT(MONTH(Tabela1[[#This Row],[Último pagto ano]])*29,"mmmm")</f>
        <v>novembro</v>
      </c>
    </row>
    <row r="6927" spans="1:9" x14ac:dyDescent="0.25">
      <c r="A6927">
        <v>2025</v>
      </c>
      <c r="B6927" t="s">
        <v>13787</v>
      </c>
      <c r="C6927" s="1">
        <v>46021</v>
      </c>
      <c r="D6927" t="s">
        <v>13788</v>
      </c>
      <c r="E6927" s="2">
        <v>11464.61</v>
      </c>
      <c r="G6927" s="3">
        <f>MONTH(Tabela1[[#This Row],[Último pagto ano]])</f>
        <v>12</v>
      </c>
      <c r="H6927" t="str">
        <f>TEXT(Tabela1[[#This Row],[Coluna2]]*29,"mmmm")</f>
        <v>dezembro</v>
      </c>
      <c r="I6927" t="str">
        <f>TEXT(MONTH(Tabela1[[#This Row],[Último pagto ano]])*29,"mmmm")</f>
        <v>dezembro</v>
      </c>
    </row>
    <row r="6928" spans="1:9" x14ac:dyDescent="0.25">
      <c r="A6928">
        <v>2025</v>
      </c>
      <c r="B6928" t="s">
        <v>13789</v>
      </c>
      <c r="C6928" s="1">
        <v>46006</v>
      </c>
      <c r="D6928" t="s">
        <v>13790</v>
      </c>
      <c r="E6928" s="2">
        <v>5034.72</v>
      </c>
      <c r="G6928" s="3">
        <f>MONTH(Tabela1[[#This Row],[Último pagto ano]])</f>
        <v>12</v>
      </c>
      <c r="H6928" t="str">
        <f>TEXT(Tabela1[[#This Row],[Coluna2]]*29,"mmmm")</f>
        <v>dezembro</v>
      </c>
      <c r="I6928" t="str">
        <f>TEXT(MONTH(Tabela1[[#This Row],[Último pagto ano]])*29,"mmmm")</f>
        <v>dezembro</v>
      </c>
    </row>
    <row r="6929" spans="1:9" x14ac:dyDescent="0.25">
      <c r="A6929">
        <v>2025</v>
      </c>
      <c r="B6929" t="s">
        <v>13791</v>
      </c>
      <c r="C6929" s="1">
        <v>46006</v>
      </c>
      <c r="D6929" t="s">
        <v>13792</v>
      </c>
      <c r="E6929" s="2">
        <v>21540</v>
      </c>
      <c r="G6929" s="3">
        <f>MONTH(Tabela1[[#This Row],[Último pagto ano]])</f>
        <v>12</v>
      </c>
      <c r="H6929" t="str">
        <f>TEXT(Tabela1[[#This Row],[Coluna2]]*29,"mmmm")</f>
        <v>dezembro</v>
      </c>
      <c r="I6929" t="str">
        <f>TEXT(MONTH(Tabela1[[#This Row],[Último pagto ano]])*29,"mmmm")</f>
        <v>dezembro</v>
      </c>
    </row>
    <row r="6930" spans="1:9" x14ac:dyDescent="0.25">
      <c r="A6930">
        <v>2025</v>
      </c>
      <c r="B6930" t="s">
        <v>13793</v>
      </c>
      <c r="C6930" s="1">
        <v>45975</v>
      </c>
      <c r="D6930" t="s">
        <v>13794</v>
      </c>
      <c r="E6930" s="2">
        <v>5870.08</v>
      </c>
      <c r="G6930" s="3">
        <f>MONTH(Tabela1[[#This Row],[Último pagto ano]])</f>
        <v>11</v>
      </c>
      <c r="H6930" t="str">
        <f>TEXT(Tabela1[[#This Row],[Coluna2]]*29,"mmmm")</f>
        <v>novembro</v>
      </c>
      <c r="I6930" t="str">
        <f>TEXT(MONTH(Tabela1[[#This Row],[Último pagto ano]])*29,"mmmm")</f>
        <v>novembro</v>
      </c>
    </row>
    <row r="6931" spans="1:9" x14ac:dyDescent="0.25">
      <c r="A6931">
        <v>2025</v>
      </c>
      <c r="B6931" t="s">
        <v>13795</v>
      </c>
      <c r="C6931" s="1">
        <v>46006</v>
      </c>
      <c r="D6931" t="s">
        <v>13796</v>
      </c>
      <c r="E6931" s="2">
        <v>25887.82</v>
      </c>
      <c r="G6931" s="3">
        <f>MONTH(Tabela1[[#This Row],[Último pagto ano]])</f>
        <v>12</v>
      </c>
      <c r="H6931" t="str">
        <f>TEXT(Tabela1[[#This Row],[Coluna2]]*29,"mmmm")</f>
        <v>dezembro</v>
      </c>
      <c r="I6931" t="str">
        <f>TEXT(MONTH(Tabela1[[#This Row],[Último pagto ano]])*29,"mmmm")</f>
        <v>dezembro</v>
      </c>
    </row>
    <row r="6932" spans="1:9" x14ac:dyDescent="0.25">
      <c r="A6932">
        <v>2025</v>
      </c>
      <c r="B6932" t="s">
        <v>13797</v>
      </c>
      <c r="C6932" s="1">
        <v>45884</v>
      </c>
      <c r="D6932" t="s">
        <v>13798</v>
      </c>
      <c r="E6932" s="2">
        <v>4408.8</v>
      </c>
      <c r="G6932" s="3">
        <f>MONTH(Tabela1[[#This Row],[Último pagto ano]])</f>
        <v>8</v>
      </c>
      <c r="H6932" t="str">
        <f>TEXT(Tabela1[[#This Row],[Coluna2]]*29,"mmmm")</f>
        <v>agosto</v>
      </c>
      <c r="I6932" t="str">
        <f>TEXT(MONTH(Tabela1[[#This Row],[Último pagto ano]])*29,"mmmm")</f>
        <v>agosto</v>
      </c>
    </row>
    <row r="6933" spans="1:9" x14ac:dyDescent="0.25">
      <c r="A6933">
        <v>2025</v>
      </c>
      <c r="B6933" t="s">
        <v>13799</v>
      </c>
      <c r="C6933" s="1">
        <v>45996</v>
      </c>
      <c r="D6933" t="s">
        <v>13800</v>
      </c>
      <c r="E6933" s="2">
        <v>14600</v>
      </c>
      <c r="G6933" s="3">
        <f>MONTH(Tabela1[[#This Row],[Último pagto ano]])</f>
        <v>12</v>
      </c>
      <c r="H6933" t="str">
        <f>TEXT(Tabela1[[#This Row],[Coluna2]]*29,"mmmm")</f>
        <v>dezembro</v>
      </c>
      <c r="I6933" t="str">
        <f>TEXT(MONTH(Tabela1[[#This Row],[Último pagto ano]])*29,"mmmm")</f>
        <v>dezembro</v>
      </c>
    </row>
    <row r="6934" spans="1:9" x14ac:dyDescent="0.25">
      <c r="A6934">
        <v>2025</v>
      </c>
      <c r="B6934" t="s">
        <v>13801</v>
      </c>
      <c r="C6934" s="1">
        <v>45996</v>
      </c>
      <c r="D6934" t="s">
        <v>13802</v>
      </c>
      <c r="E6934" s="2">
        <v>15233.4</v>
      </c>
      <c r="G6934" s="3">
        <f>MONTH(Tabela1[[#This Row],[Último pagto ano]])</f>
        <v>12</v>
      </c>
      <c r="H6934" t="str">
        <f>TEXT(Tabela1[[#This Row],[Coluna2]]*29,"mmmm")</f>
        <v>dezembro</v>
      </c>
      <c r="I6934" t="str">
        <f>TEXT(MONTH(Tabela1[[#This Row],[Último pagto ano]])*29,"mmmm")</f>
        <v>dezembro</v>
      </c>
    </row>
    <row r="6935" spans="1:9" x14ac:dyDescent="0.25">
      <c r="A6935">
        <v>2025</v>
      </c>
      <c r="B6935" t="s">
        <v>13803</v>
      </c>
      <c r="C6935" s="1">
        <v>46013</v>
      </c>
      <c r="D6935" t="s">
        <v>13804</v>
      </c>
      <c r="E6935" s="2">
        <v>10680.6</v>
      </c>
      <c r="G6935" s="3">
        <f>MONTH(Tabela1[[#This Row],[Último pagto ano]])</f>
        <v>12</v>
      </c>
      <c r="H6935" t="str">
        <f>TEXT(Tabela1[[#This Row],[Coluna2]]*29,"mmmm")</f>
        <v>dezembro</v>
      </c>
      <c r="I6935" t="str">
        <f>TEXT(MONTH(Tabela1[[#This Row],[Último pagto ano]])*29,"mmmm")</f>
        <v>dezembro</v>
      </c>
    </row>
    <row r="6936" spans="1:9" x14ac:dyDescent="0.25">
      <c r="A6936">
        <v>2025</v>
      </c>
      <c r="B6936" t="s">
        <v>13805</v>
      </c>
      <c r="C6936" s="1">
        <v>46006</v>
      </c>
      <c r="D6936" t="s">
        <v>13806</v>
      </c>
      <c r="E6936" s="2">
        <v>8844.9599999999991</v>
      </c>
      <c r="G6936" s="3">
        <f>MONTH(Tabela1[[#This Row],[Último pagto ano]])</f>
        <v>12</v>
      </c>
      <c r="H6936" t="str">
        <f>TEXT(Tabela1[[#This Row],[Coluna2]]*29,"mmmm")</f>
        <v>dezembro</v>
      </c>
      <c r="I6936" t="str">
        <f>TEXT(MONTH(Tabela1[[#This Row],[Último pagto ano]])*29,"mmmm")</f>
        <v>dezembro</v>
      </c>
    </row>
    <row r="6937" spans="1:9" x14ac:dyDescent="0.25">
      <c r="A6937">
        <v>2025</v>
      </c>
      <c r="B6937" t="s">
        <v>13807</v>
      </c>
      <c r="C6937" s="1">
        <v>45959</v>
      </c>
      <c r="D6937" t="s">
        <v>13808</v>
      </c>
      <c r="E6937" s="2">
        <v>8443.5</v>
      </c>
      <c r="G6937" s="3">
        <f>MONTH(Tabela1[[#This Row],[Último pagto ano]])</f>
        <v>10</v>
      </c>
      <c r="H6937" t="str">
        <f>TEXT(Tabela1[[#This Row],[Coluna2]]*29,"mmmm")</f>
        <v>outubro</v>
      </c>
      <c r="I6937" t="str">
        <f>TEXT(MONTH(Tabela1[[#This Row],[Último pagto ano]])*29,"mmmm")</f>
        <v>outubro</v>
      </c>
    </row>
    <row r="6938" spans="1:9" x14ac:dyDescent="0.25">
      <c r="A6938">
        <v>2025</v>
      </c>
      <c r="B6938" t="s">
        <v>13809</v>
      </c>
      <c r="C6938" s="1">
        <v>46006</v>
      </c>
      <c r="D6938" t="s">
        <v>13810</v>
      </c>
      <c r="E6938" s="2">
        <v>12076.16</v>
      </c>
      <c r="G6938" s="3">
        <f>MONTH(Tabela1[[#This Row],[Último pagto ano]])</f>
        <v>12</v>
      </c>
      <c r="H6938" t="str">
        <f>TEXT(Tabela1[[#This Row],[Coluna2]]*29,"mmmm")</f>
        <v>dezembro</v>
      </c>
      <c r="I6938" t="str">
        <f>TEXT(MONTH(Tabela1[[#This Row],[Último pagto ano]])*29,"mmmm")</f>
        <v>dezembro</v>
      </c>
    </row>
    <row r="6939" spans="1:9" x14ac:dyDescent="0.25">
      <c r="A6939">
        <v>2025</v>
      </c>
      <c r="B6939" t="s">
        <v>13811</v>
      </c>
      <c r="C6939" s="1">
        <v>45996</v>
      </c>
      <c r="D6939" t="s">
        <v>13812</v>
      </c>
      <c r="E6939" s="2">
        <v>48600</v>
      </c>
      <c r="G6939" s="3">
        <f>MONTH(Tabela1[[#This Row],[Último pagto ano]])</f>
        <v>12</v>
      </c>
      <c r="H6939" t="str">
        <f>TEXT(Tabela1[[#This Row],[Coluna2]]*29,"mmmm")</f>
        <v>dezembro</v>
      </c>
      <c r="I6939" t="str">
        <f>TEXT(MONTH(Tabela1[[#This Row],[Último pagto ano]])*29,"mmmm")</f>
        <v>dezembro</v>
      </c>
    </row>
    <row r="6940" spans="1:9" x14ac:dyDescent="0.25">
      <c r="A6940">
        <v>2025</v>
      </c>
      <c r="B6940" t="s">
        <v>13813</v>
      </c>
      <c r="C6940" s="1">
        <v>45996</v>
      </c>
      <c r="D6940" t="s">
        <v>13814</v>
      </c>
      <c r="E6940" s="2">
        <v>39852.75</v>
      </c>
      <c r="G6940" s="3">
        <f>MONTH(Tabela1[[#This Row],[Último pagto ano]])</f>
        <v>12</v>
      </c>
      <c r="H6940" t="str">
        <f>TEXT(Tabela1[[#This Row],[Coluna2]]*29,"mmmm")</f>
        <v>dezembro</v>
      </c>
      <c r="I6940" t="str">
        <f>TEXT(MONTH(Tabela1[[#This Row],[Último pagto ano]])*29,"mmmm")</f>
        <v>dezembro</v>
      </c>
    </row>
    <row r="6941" spans="1:9" x14ac:dyDescent="0.25">
      <c r="A6941">
        <v>2025</v>
      </c>
      <c r="B6941" t="s">
        <v>13815</v>
      </c>
      <c r="C6941" s="1">
        <v>45937</v>
      </c>
      <c r="D6941" t="s">
        <v>13816</v>
      </c>
      <c r="E6941" s="2">
        <v>3000</v>
      </c>
      <c r="G6941" s="3">
        <f>MONTH(Tabela1[[#This Row],[Último pagto ano]])</f>
        <v>10</v>
      </c>
      <c r="H6941" t="str">
        <f>TEXT(Tabela1[[#This Row],[Coluna2]]*29,"mmmm")</f>
        <v>outubro</v>
      </c>
      <c r="I6941" t="str">
        <f>TEXT(MONTH(Tabela1[[#This Row],[Último pagto ano]])*29,"mmmm")</f>
        <v>outubro</v>
      </c>
    </row>
    <row r="6942" spans="1:9" x14ac:dyDescent="0.25">
      <c r="A6942">
        <v>2025</v>
      </c>
      <c r="B6942" t="s">
        <v>13817</v>
      </c>
      <c r="C6942" s="1">
        <v>46014</v>
      </c>
      <c r="D6942" t="s">
        <v>13818</v>
      </c>
      <c r="E6942">
        <v>214.2</v>
      </c>
      <c r="G6942" s="3">
        <f>MONTH(Tabela1[[#This Row],[Último pagto ano]])</f>
        <v>12</v>
      </c>
      <c r="H6942" t="str">
        <f>TEXT(Tabela1[[#This Row],[Coluna2]]*29,"mmmm")</f>
        <v>dezembro</v>
      </c>
      <c r="I6942" t="str">
        <f>TEXT(MONTH(Tabela1[[#This Row],[Último pagto ano]])*29,"mmmm")</f>
        <v>dezembro</v>
      </c>
    </row>
    <row r="6943" spans="1:9" x14ac:dyDescent="0.25">
      <c r="A6943">
        <v>2025</v>
      </c>
      <c r="B6943" t="s">
        <v>13819</v>
      </c>
      <c r="C6943" s="1">
        <v>45884</v>
      </c>
      <c r="D6943" t="s">
        <v>13820</v>
      </c>
      <c r="E6943" s="2">
        <v>4778.96</v>
      </c>
      <c r="G6943" s="3">
        <f>MONTH(Tabela1[[#This Row],[Último pagto ano]])</f>
        <v>8</v>
      </c>
      <c r="H6943" t="str">
        <f>TEXT(Tabela1[[#This Row],[Coluna2]]*29,"mmmm")</f>
        <v>agosto</v>
      </c>
      <c r="I6943" t="str">
        <f>TEXT(MONTH(Tabela1[[#This Row],[Último pagto ano]])*29,"mmmm")</f>
        <v>agosto</v>
      </c>
    </row>
    <row r="6944" spans="1:9" x14ac:dyDescent="0.25">
      <c r="A6944">
        <v>2025</v>
      </c>
      <c r="B6944" t="s">
        <v>13821</v>
      </c>
      <c r="C6944" s="1">
        <v>45908</v>
      </c>
      <c r="D6944" t="s">
        <v>13822</v>
      </c>
      <c r="E6944">
        <v>132</v>
      </c>
      <c r="G6944" s="3">
        <f>MONTH(Tabela1[[#This Row],[Último pagto ano]])</f>
        <v>9</v>
      </c>
      <c r="H6944" t="str">
        <f>TEXT(Tabela1[[#This Row],[Coluna2]]*29,"mmmm")</f>
        <v>setembro</v>
      </c>
      <c r="I6944" t="str">
        <f>TEXT(MONTH(Tabela1[[#This Row],[Último pagto ano]])*29,"mmmm")</f>
        <v>setembro</v>
      </c>
    </row>
    <row r="6945" spans="1:9" x14ac:dyDescent="0.25">
      <c r="A6945">
        <v>2025</v>
      </c>
      <c r="B6945" t="s">
        <v>13823</v>
      </c>
      <c r="C6945" s="1">
        <v>45673</v>
      </c>
      <c r="D6945" t="s">
        <v>13824</v>
      </c>
      <c r="E6945" s="2">
        <v>2800</v>
      </c>
      <c r="G6945" s="3">
        <f>MONTH(Tabela1[[#This Row],[Último pagto ano]])</f>
        <v>1</v>
      </c>
      <c r="H6945" t="str">
        <f>TEXT(Tabela1[[#This Row],[Coluna2]]*29,"mmmm")</f>
        <v>janeiro</v>
      </c>
      <c r="I6945" t="str">
        <f>TEXT(MONTH(Tabela1[[#This Row],[Último pagto ano]])*29,"mmmm")</f>
        <v>janeiro</v>
      </c>
    </row>
    <row r="6946" spans="1:9" x14ac:dyDescent="0.25">
      <c r="A6946">
        <v>2025</v>
      </c>
      <c r="B6946" t="s">
        <v>13825</v>
      </c>
      <c r="C6946" s="1">
        <v>46006</v>
      </c>
      <c r="D6946" t="s">
        <v>13826</v>
      </c>
      <c r="E6946" s="2">
        <v>1184.6400000000001</v>
      </c>
      <c r="G6946" s="3">
        <f>MONTH(Tabela1[[#This Row],[Último pagto ano]])</f>
        <v>12</v>
      </c>
      <c r="H6946" t="str">
        <f>TEXT(Tabela1[[#This Row],[Coluna2]]*29,"mmmm")</f>
        <v>dezembro</v>
      </c>
      <c r="I6946" t="str">
        <f>TEXT(MONTH(Tabela1[[#This Row],[Último pagto ano]])*29,"mmmm")</f>
        <v>dezembro</v>
      </c>
    </row>
    <row r="6947" spans="1:9" x14ac:dyDescent="0.25">
      <c r="A6947">
        <v>2025</v>
      </c>
      <c r="B6947" t="s">
        <v>13827</v>
      </c>
      <c r="C6947" s="1">
        <v>45996</v>
      </c>
      <c r="D6947" t="s">
        <v>13828</v>
      </c>
      <c r="E6947" s="2">
        <v>38000</v>
      </c>
      <c r="G6947" s="3">
        <f>MONTH(Tabela1[[#This Row],[Último pagto ano]])</f>
        <v>12</v>
      </c>
      <c r="H6947" t="str">
        <f>TEXT(Tabela1[[#This Row],[Coluna2]]*29,"mmmm")</f>
        <v>dezembro</v>
      </c>
      <c r="I6947" t="str">
        <f>TEXT(MONTH(Tabela1[[#This Row],[Último pagto ano]])*29,"mmmm")</f>
        <v>dezembro</v>
      </c>
    </row>
    <row r="6948" spans="1:9" x14ac:dyDescent="0.25">
      <c r="A6948">
        <v>2025</v>
      </c>
      <c r="B6948" t="s">
        <v>13829</v>
      </c>
      <c r="C6948" s="1">
        <v>45873</v>
      </c>
      <c r="D6948" t="s">
        <v>13830</v>
      </c>
      <c r="E6948">
        <v>66.41</v>
      </c>
      <c r="G6948" s="3">
        <f>MONTH(Tabela1[[#This Row],[Último pagto ano]])</f>
        <v>8</v>
      </c>
      <c r="H6948" t="str">
        <f>TEXT(Tabela1[[#This Row],[Coluna2]]*29,"mmmm")</f>
        <v>agosto</v>
      </c>
      <c r="I6948" t="str">
        <f>TEXT(MONTH(Tabela1[[#This Row],[Último pagto ano]])*29,"mmmm")</f>
        <v>agosto</v>
      </c>
    </row>
    <row r="6949" spans="1:9" x14ac:dyDescent="0.25">
      <c r="A6949">
        <v>2025</v>
      </c>
      <c r="B6949" t="s">
        <v>13831</v>
      </c>
      <c r="C6949" s="1">
        <v>45989</v>
      </c>
      <c r="D6949" t="s">
        <v>13832</v>
      </c>
      <c r="E6949" s="2">
        <v>5368.45</v>
      </c>
      <c r="G6949" s="3">
        <f>MONTH(Tabela1[[#This Row],[Último pagto ano]])</f>
        <v>11</v>
      </c>
      <c r="H6949" t="str">
        <f>TEXT(Tabela1[[#This Row],[Coluna2]]*29,"mmmm")</f>
        <v>novembro</v>
      </c>
      <c r="I6949" t="str">
        <f>TEXT(MONTH(Tabela1[[#This Row],[Último pagto ano]])*29,"mmmm")</f>
        <v>novembro</v>
      </c>
    </row>
    <row r="6950" spans="1:9" x14ac:dyDescent="0.25">
      <c r="A6950">
        <v>2025</v>
      </c>
      <c r="B6950" t="s">
        <v>13833</v>
      </c>
      <c r="C6950" s="1">
        <v>46013</v>
      </c>
      <c r="D6950" t="s">
        <v>13834</v>
      </c>
      <c r="E6950" s="2">
        <v>5470</v>
      </c>
      <c r="G6950" s="3">
        <f>MONTH(Tabela1[[#This Row],[Último pagto ano]])</f>
        <v>12</v>
      </c>
      <c r="H6950" t="str">
        <f>TEXT(Tabela1[[#This Row],[Coluna2]]*29,"mmmm")</f>
        <v>dezembro</v>
      </c>
      <c r="I6950" t="str">
        <f>TEXT(MONTH(Tabela1[[#This Row],[Último pagto ano]])*29,"mmmm")</f>
        <v>dezembro</v>
      </c>
    </row>
    <row r="6951" spans="1:9" x14ac:dyDescent="0.25">
      <c r="A6951">
        <v>2025</v>
      </c>
      <c r="B6951" t="s">
        <v>13835</v>
      </c>
      <c r="C6951" s="1">
        <v>45996</v>
      </c>
      <c r="D6951" t="s">
        <v>13836</v>
      </c>
      <c r="E6951" s="2">
        <v>28350</v>
      </c>
      <c r="G6951" s="3">
        <f>MONTH(Tabela1[[#This Row],[Último pagto ano]])</f>
        <v>12</v>
      </c>
      <c r="H6951" t="str">
        <f>TEXT(Tabela1[[#This Row],[Coluna2]]*29,"mmmm")</f>
        <v>dezembro</v>
      </c>
      <c r="I6951" t="str">
        <f>TEXT(MONTH(Tabela1[[#This Row],[Último pagto ano]])*29,"mmmm")</f>
        <v>dezembro</v>
      </c>
    </row>
    <row r="6952" spans="1:9" x14ac:dyDescent="0.25">
      <c r="A6952">
        <v>2025</v>
      </c>
      <c r="B6952" t="s">
        <v>13837</v>
      </c>
      <c r="C6952" s="1">
        <v>46021</v>
      </c>
      <c r="D6952" t="s">
        <v>13838</v>
      </c>
      <c r="E6952" s="2">
        <v>11024.85</v>
      </c>
      <c r="G6952" s="3">
        <f>MONTH(Tabela1[[#This Row],[Último pagto ano]])</f>
        <v>12</v>
      </c>
      <c r="H6952" t="str">
        <f>TEXT(Tabela1[[#This Row],[Coluna2]]*29,"mmmm")</f>
        <v>dezembro</v>
      </c>
      <c r="I6952" t="str">
        <f>TEXT(MONTH(Tabela1[[#This Row],[Último pagto ano]])*29,"mmmm")</f>
        <v>dezembro</v>
      </c>
    </row>
    <row r="6953" spans="1:9" x14ac:dyDescent="0.25">
      <c r="A6953">
        <v>2025</v>
      </c>
      <c r="B6953" t="s">
        <v>13839</v>
      </c>
      <c r="C6953" s="1">
        <v>45989</v>
      </c>
      <c r="D6953" t="s">
        <v>13840</v>
      </c>
      <c r="E6953" s="2">
        <v>3512.82</v>
      </c>
      <c r="G6953" s="3">
        <f>MONTH(Tabela1[[#This Row],[Último pagto ano]])</f>
        <v>11</v>
      </c>
      <c r="H6953" t="str">
        <f>TEXT(Tabela1[[#This Row],[Coluna2]]*29,"mmmm")</f>
        <v>novembro</v>
      </c>
      <c r="I6953" t="str">
        <f>TEXT(MONTH(Tabela1[[#This Row],[Último pagto ano]])*29,"mmmm")</f>
        <v>novembro</v>
      </c>
    </row>
    <row r="6954" spans="1:9" x14ac:dyDescent="0.25">
      <c r="A6954">
        <v>2025</v>
      </c>
      <c r="B6954" t="s">
        <v>13841</v>
      </c>
      <c r="C6954" s="1">
        <v>46010</v>
      </c>
      <c r="D6954" t="s">
        <v>13842</v>
      </c>
      <c r="E6954" s="2">
        <v>12000</v>
      </c>
      <c r="G6954" s="3">
        <f>MONTH(Tabela1[[#This Row],[Último pagto ano]])</f>
        <v>12</v>
      </c>
      <c r="H6954" t="str">
        <f>TEXT(Tabela1[[#This Row],[Coluna2]]*29,"mmmm")</f>
        <v>dezembro</v>
      </c>
      <c r="I6954" t="str">
        <f>TEXT(MONTH(Tabela1[[#This Row],[Último pagto ano]])*29,"mmmm")</f>
        <v>dezembro</v>
      </c>
    </row>
    <row r="6955" spans="1:9" x14ac:dyDescent="0.25">
      <c r="A6955">
        <v>2025</v>
      </c>
      <c r="B6955" t="s">
        <v>13843</v>
      </c>
      <c r="C6955" s="1">
        <v>45884</v>
      </c>
      <c r="D6955" t="s">
        <v>13844</v>
      </c>
      <c r="E6955" s="2">
        <v>5889.44</v>
      </c>
      <c r="G6955" s="3">
        <f>MONTH(Tabela1[[#This Row],[Último pagto ano]])</f>
        <v>8</v>
      </c>
      <c r="H6955" t="str">
        <f>TEXT(Tabela1[[#This Row],[Coluna2]]*29,"mmmm")</f>
        <v>agosto</v>
      </c>
      <c r="I6955" t="str">
        <f>TEXT(MONTH(Tabela1[[#This Row],[Último pagto ano]])*29,"mmmm")</f>
        <v>agosto</v>
      </c>
    </row>
    <row r="6956" spans="1:9" x14ac:dyDescent="0.25">
      <c r="A6956">
        <v>2025</v>
      </c>
      <c r="B6956" t="s">
        <v>13845</v>
      </c>
      <c r="C6956" s="1">
        <v>45723</v>
      </c>
      <c r="D6956" t="s">
        <v>13846</v>
      </c>
      <c r="E6956" s="2">
        <v>1499.49</v>
      </c>
      <c r="G6956" s="3">
        <f>MONTH(Tabela1[[#This Row],[Último pagto ano]])</f>
        <v>3</v>
      </c>
      <c r="H6956" t="str">
        <f>TEXT(Tabela1[[#This Row],[Coluna2]]*29,"mmmm")</f>
        <v>março</v>
      </c>
      <c r="I6956" t="str">
        <f>TEXT(MONTH(Tabela1[[#This Row],[Último pagto ano]])*29,"mmmm")</f>
        <v>março</v>
      </c>
    </row>
    <row r="6957" spans="1:9" x14ac:dyDescent="0.25">
      <c r="A6957">
        <v>2025</v>
      </c>
      <c r="B6957" t="s">
        <v>13847</v>
      </c>
      <c r="C6957" s="1">
        <v>46010</v>
      </c>
      <c r="D6957" t="s">
        <v>13848</v>
      </c>
      <c r="E6957" s="2">
        <v>8400</v>
      </c>
      <c r="G6957" s="3">
        <f>MONTH(Tabela1[[#This Row],[Último pagto ano]])</f>
        <v>12</v>
      </c>
      <c r="H6957" t="str">
        <f>TEXT(Tabela1[[#This Row],[Coluna2]]*29,"mmmm")</f>
        <v>dezembro</v>
      </c>
      <c r="I6957" t="str">
        <f>TEXT(MONTH(Tabela1[[#This Row],[Último pagto ano]])*29,"mmmm")</f>
        <v>dezembro</v>
      </c>
    </row>
    <row r="6958" spans="1:9" x14ac:dyDescent="0.25">
      <c r="A6958">
        <v>2025</v>
      </c>
      <c r="B6958" t="s">
        <v>13849</v>
      </c>
      <c r="C6958" s="1">
        <v>46014</v>
      </c>
      <c r="D6958" t="s">
        <v>13850</v>
      </c>
      <c r="E6958" s="2">
        <v>9865</v>
      </c>
      <c r="G6958" s="3">
        <f>MONTH(Tabela1[[#This Row],[Último pagto ano]])</f>
        <v>12</v>
      </c>
      <c r="H6958" t="str">
        <f>TEXT(Tabela1[[#This Row],[Coluna2]]*29,"mmmm")</f>
        <v>dezembro</v>
      </c>
      <c r="I6958" t="str">
        <f>TEXT(MONTH(Tabela1[[#This Row],[Último pagto ano]])*29,"mmmm")</f>
        <v>dezembro</v>
      </c>
    </row>
    <row r="6959" spans="1:9" x14ac:dyDescent="0.25">
      <c r="A6959">
        <v>2025</v>
      </c>
      <c r="B6959" t="s">
        <v>13851</v>
      </c>
      <c r="C6959" s="1">
        <v>45733</v>
      </c>
      <c r="D6959" t="s">
        <v>13852</v>
      </c>
      <c r="E6959">
        <v>90.68</v>
      </c>
      <c r="G6959" s="3">
        <f>MONTH(Tabela1[[#This Row],[Último pagto ano]])</f>
        <v>3</v>
      </c>
      <c r="H6959" t="str">
        <f>TEXT(Tabela1[[#This Row],[Coluna2]]*29,"mmmm")</f>
        <v>março</v>
      </c>
      <c r="I6959" t="str">
        <f>TEXT(MONTH(Tabela1[[#This Row],[Último pagto ano]])*29,"mmmm")</f>
        <v>março</v>
      </c>
    </row>
    <row r="6960" spans="1:9" x14ac:dyDescent="0.25">
      <c r="A6960">
        <v>2025</v>
      </c>
      <c r="B6960" t="s">
        <v>13853</v>
      </c>
      <c r="C6960" s="1">
        <v>45996</v>
      </c>
      <c r="D6960" t="s">
        <v>13854</v>
      </c>
      <c r="E6960" s="2">
        <v>10000</v>
      </c>
      <c r="G6960" s="3">
        <f>MONTH(Tabela1[[#This Row],[Último pagto ano]])</f>
        <v>12</v>
      </c>
      <c r="H6960" t="str">
        <f>TEXT(Tabela1[[#This Row],[Coluna2]]*29,"mmmm")</f>
        <v>dezembro</v>
      </c>
      <c r="I6960" t="str">
        <f>TEXT(MONTH(Tabela1[[#This Row],[Último pagto ano]])*29,"mmmm")</f>
        <v>dezembro</v>
      </c>
    </row>
    <row r="6961" spans="1:9" x14ac:dyDescent="0.25">
      <c r="A6961">
        <v>2025</v>
      </c>
      <c r="B6961" t="s">
        <v>13855</v>
      </c>
      <c r="C6961" s="1">
        <v>46021</v>
      </c>
      <c r="D6961" t="s">
        <v>13856</v>
      </c>
      <c r="E6961" s="2">
        <v>12709.31</v>
      </c>
      <c r="G6961" s="3">
        <f>MONTH(Tabela1[[#This Row],[Último pagto ano]])</f>
        <v>12</v>
      </c>
      <c r="H6961" t="str">
        <f>TEXT(Tabela1[[#This Row],[Coluna2]]*29,"mmmm")</f>
        <v>dezembro</v>
      </c>
      <c r="I6961" t="str">
        <f>TEXT(MONTH(Tabela1[[#This Row],[Último pagto ano]])*29,"mmmm")</f>
        <v>dezembro</v>
      </c>
    </row>
    <row r="6962" spans="1:9" x14ac:dyDescent="0.25">
      <c r="A6962">
        <v>2025</v>
      </c>
      <c r="B6962" t="s">
        <v>13857</v>
      </c>
      <c r="C6962" s="1">
        <v>45975</v>
      </c>
      <c r="D6962" t="s">
        <v>13858</v>
      </c>
      <c r="E6962" s="2">
        <v>5775.12</v>
      </c>
      <c r="G6962" s="3">
        <f>MONTH(Tabela1[[#This Row],[Último pagto ano]])</f>
        <v>11</v>
      </c>
      <c r="H6962" t="str">
        <f>TEXT(Tabela1[[#This Row],[Coluna2]]*29,"mmmm")</f>
        <v>novembro</v>
      </c>
      <c r="I6962" t="str">
        <f>TEXT(MONTH(Tabela1[[#This Row],[Último pagto ano]])*29,"mmmm")</f>
        <v>novembro</v>
      </c>
    </row>
    <row r="6963" spans="1:9" x14ac:dyDescent="0.25">
      <c r="A6963">
        <v>2025</v>
      </c>
      <c r="B6963" t="s">
        <v>13859</v>
      </c>
      <c r="C6963" s="1">
        <v>46006</v>
      </c>
      <c r="D6963" t="s">
        <v>13860</v>
      </c>
      <c r="E6963">
        <v>444.24</v>
      </c>
      <c r="G6963" s="3">
        <f>MONTH(Tabela1[[#This Row],[Último pagto ano]])</f>
        <v>12</v>
      </c>
      <c r="H6963" t="str">
        <f>TEXT(Tabela1[[#This Row],[Coluna2]]*29,"mmmm")</f>
        <v>dezembro</v>
      </c>
      <c r="I6963" t="str">
        <f>TEXT(MONTH(Tabela1[[#This Row],[Último pagto ano]])*29,"mmmm")</f>
        <v>dezembro</v>
      </c>
    </row>
    <row r="6964" spans="1:9" x14ac:dyDescent="0.25">
      <c r="A6964">
        <v>2025</v>
      </c>
      <c r="B6964" t="s">
        <v>13861</v>
      </c>
      <c r="C6964" s="1">
        <v>45968</v>
      </c>
      <c r="D6964" t="s">
        <v>13862</v>
      </c>
      <c r="E6964" s="2">
        <v>9400</v>
      </c>
      <c r="G6964" s="3">
        <f>MONTH(Tabela1[[#This Row],[Último pagto ano]])</f>
        <v>11</v>
      </c>
      <c r="H6964" t="str">
        <f>TEXT(Tabela1[[#This Row],[Coluna2]]*29,"mmmm")</f>
        <v>novembro</v>
      </c>
      <c r="I6964" t="str">
        <f>TEXT(MONTH(Tabela1[[#This Row],[Último pagto ano]])*29,"mmmm")</f>
        <v>novembro</v>
      </c>
    </row>
    <row r="6965" spans="1:9" x14ac:dyDescent="0.25">
      <c r="A6965">
        <v>2025</v>
      </c>
      <c r="B6965" t="s">
        <v>13863</v>
      </c>
      <c r="C6965" s="1">
        <v>45894</v>
      </c>
      <c r="D6965" t="s">
        <v>13864</v>
      </c>
      <c r="E6965">
        <v>152</v>
      </c>
      <c r="G6965" s="3">
        <f>MONTH(Tabela1[[#This Row],[Último pagto ano]])</f>
        <v>8</v>
      </c>
      <c r="H6965" t="str">
        <f>TEXT(Tabela1[[#This Row],[Coluna2]]*29,"mmmm")</f>
        <v>agosto</v>
      </c>
      <c r="I6965" t="str">
        <f>TEXT(MONTH(Tabela1[[#This Row],[Último pagto ano]])*29,"mmmm")</f>
        <v>agosto</v>
      </c>
    </row>
    <row r="6966" spans="1:9" x14ac:dyDescent="0.25">
      <c r="A6966">
        <v>2025</v>
      </c>
      <c r="B6966" t="s">
        <v>13865</v>
      </c>
      <c r="C6966" s="1">
        <v>46010</v>
      </c>
      <c r="D6966" t="s">
        <v>13866</v>
      </c>
      <c r="E6966" s="2">
        <v>3500</v>
      </c>
      <c r="G6966" s="3">
        <f>MONTH(Tabela1[[#This Row],[Último pagto ano]])</f>
        <v>12</v>
      </c>
      <c r="H6966" t="str">
        <f>TEXT(Tabela1[[#This Row],[Coluna2]]*29,"mmmm")</f>
        <v>dezembro</v>
      </c>
      <c r="I6966" t="str">
        <f>TEXT(MONTH(Tabela1[[#This Row],[Último pagto ano]])*29,"mmmm")</f>
        <v>dezembro</v>
      </c>
    </row>
    <row r="6967" spans="1:9" x14ac:dyDescent="0.25">
      <c r="A6967">
        <v>2025</v>
      </c>
      <c r="B6967" t="s">
        <v>13867</v>
      </c>
      <c r="C6967" s="1">
        <v>46006</v>
      </c>
      <c r="D6967" t="s">
        <v>13868</v>
      </c>
      <c r="E6967" s="2">
        <v>12102.72</v>
      </c>
      <c r="G6967" s="3">
        <f>MONTH(Tabela1[[#This Row],[Último pagto ano]])</f>
        <v>12</v>
      </c>
      <c r="H6967" t="str">
        <f>TEXT(Tabela1[[#This Row],[Coluna2]]*29,"mmmm")</f>
        <v>dezembro</v>
      </c>
      <c r="I6967" t="str">
        <f>TEXT(MONTH(Tabela1[[#This Row],[Último pagto ano]])*29,"mmmm")</f>
        <v>dezembro</v>
      </c>
    </row>
    <row r="6968" spans="1:9" x14ac:dyDescent="0.25">
      <c r="A6968">
        <v>2025</v>
      </c>
      <c r="B6968" t="s">
        <v>13869</v>
      </c>
      <c r="C6968" s="1">
        <v>45792</v>
      </c>
      <c r="D6968" t="s">
        <v>13870</v>
      </c>
      <c r="E6968">
        <v>11</v>
      </c>
      <c r="G6968" s="3">
        <f>MONTH(Tabela1[[#This Row],[Último pagto ano]])</f>
        <v>5</v>
      </c>
      <c r="H6968" t="str">
        <f>TEXT(Tabela1[[#This Row],[Coluna2]]*29,"mmmm")</f>
        <v>maio</v>
      </c>
      <c r="I6968" t="str">
        <f>TEXT(MONTH(Tabela1[[#This Row],[Último pagto ano]])*29,"mmmm")</f>
        <v>maio</v>
      </c>
    </row>
    <row r="6969" spans="1:9" x14ac:dyDescent="0.25">
      <c r="A6969">
        <v>2025</v>
      </c>
      <c r="B6969" t="s">
        <v>13871</v>
      </c>
      <c r="C6969" s="1">
        <v>45737</v>
      </c>
      <c r="D6969" t="s">
        <v>13872</v>
      </c>
      <c r="E6969">
        <v>65.58</v>
      </c>
      <c r="G6969" s="3">
        <f>MONTH(Tabela1[[#This Row],[Último pagto ano]])</f>
        <v>3</v>
      </c>
      <c r="H6969" t="str">
        <f>TEXT(Tabela1[[#This Row],[Coluna2]]*29,"mmmm")</f>
        <v>março</v>
      </c>
      <c r="I6969" t="str">
        <f>TEXT(MONTH(Tabela1[[#This Row],[Último pagto ano]])*29,"mmmm")</f>
        <v>março</v>
      </c>
    </row>
    <row r="6970" spans="1:9" x14ac:dyDescent="0.25">
      <c r="A6970">
        <v>2025</v>
      </c>
      <c r="B6970" t="s">
        <v>13873</v>
      </c>
      <c r="C6970" s="1">
        <v>45996</v>
      </c>
      <c r="D6970" t="s">
        <v>13874</v>
      </c>
      <c r="E6970" s="2">
        <v>5040</v>
      </c>
      <c r="G6970" s="3">
        <f>MONTH(Tabela1[[#This Row],[Último pagto ano]])</f>
        <v>12</v>
      </c>
      <c r="H6970" t="str">
        <f>TEXT(Tabela1[[#This Row],[Coluna2]]*29,"mmmm")</f>
        <v>dezembro</v>
      </c>
      <c r="I6970" t="str">
        <f>TEXT(MONTH(Tabela1[[#This Row],[Último pagto ano]])*29,"mmmm")</f>
        <v>dezembro</v>
      </c>
    </row>
    <row r="6971" spans="1:9" x14ac:dyDescent="0.25">
      <c r="A6971">
        <v>2025</v>
      </c>
      <c r="B6971" t="s">
        <v>13875</v>
      </c>
      <c r="C6971" s="1">
        <v>45786</v>
      </c>
      <c r="D6971" t="s">
        <v>13876</v>
      </c>
      <c r="E6971" s="2">
        <v>2000</v>
      </c>
      <c r="G6971" s="3">
        <f>MONTH(Tabela1[[#This Row],[Último pagto ano]])</f>
        <v>5</v>
      </c>
      <c r="H6971" t="str">
        <f>TEXT(Tabela1[[#This Row],[Coluna2]]*29,"mmmm")</f>
        <v>maio</v>
      </c>
      <c r="I6971" t="str">
        <f>TEXT(MONTH(Tabela1[[#This Row],[Último pagto ano]])*29,"mmmm")</f>
        <v>maio</v>
      </c>
    </row>
    <row r="6972" spans="1:9" x14ac:dyDescent="0.25">
      <c r="A6972">
        <v>2025</v>
      </c>
      <c r="B6972" t="s">
        <v>13877</v>
      </c>
      <c r="C6972" s="1">
        <v>45996</v>
      </c>
      <c r="D6972" t="s">
        <v>13878</v>
      </c>
      <c r="E6972" s="2">
        <v>8910</v>
      </c>
      <c r="G6972" s="3">
        <f>MONTH(Tabela1[[#This Row],[Último pagto ano]])</f>
        <v>12</v>
      </c>
      <c r="H6972" t="str">
        <f>TEXT(Tabela1[[#This Row],[Coluna2]]*29,"mmmm")</f>
        <v>dezembro</v>
      </c>
      <c r="I6972" t="str">
        <f>TEXT(MONTH(Tabela1[[#This Row],[Último pagto ano]])*29,"mmmm")</f>
        <v>dezembro</v>
      </c>
    </row>
    <row r="6973" spans="1:9" x14ac:dyDescent="0.25">
      <c r="A6973">
        <v>2025</v>
      </c>
      <c r="B6973" t="s">
        <v>13879</v>
      </c>
      <c r="C6973" s="1">
        <v>45771</v>
      </c>
      <c r="D6973" t="s">
        <v>13880</v>
      </c>
      <c r="E6973" s="2">
        <v>2800</v>
      </c>
      <c r="G6973" s="3">
        <f>MONTH(Tabela1[[#This Row],[Último pagto ano]])</f>
        <v>4</v>
      </c>
      <c r="H6973" t="str">
        <f>TEXT(Tabela1[[#This Row],[Coluna2]]*29,"mmmm")</f>
        <v>abril</v>
      </c>
      <c r="I6973" t="str">
        <f>TEXT(MONTH(Tabela1[[#This Row],[Último pagto ano]])*29,"mmmm")</f>
        <v>abril</v>
      </c>
    </row>
    <row r="6974" spans="1:9" x14ac:dyDescent="0.25">
      <c r="A6974">
        <v>2025</v>
      </c>
      <c r="B6974" t="s">
        <v>13881</v>
      </c>
      <c r="C6974" s="1">
        <v>45702</v>
      </c>
      <c r="D6974" t="s">
        <v>13882</v>
      </c>
      <c r="E6974">
        <v>547.63</v>
      </c>
      <c r="G6974" s="3">
        <f>MONTH(Tabela1[[#This Row],[Último pagto ano]])</f>
        <v>2</v>
      </c>
      <c r="H6974" t="str">
        <f>TEXT(Tabela1[[#This Row],[Coluna2]]*29,"mmmm")</f>
        <v>fevereiro</v>
      </c>
      <c r="I6974" t="str">
        <f>TEXT(MONTH(Tabela1[[#This Row],[Último pagto ano]])*29,"mmmm")</f>
        <v>fevereiro</v>
      </c>
    </row>
    <row r="6975" spans="1:9" x14ac:dyDescent="0.25">
      <c r="A6975">
        <v>2025</v>
      </c>
      <c r="B6975" t="s">
        <v>13883</v>
      </c>
      <c r="C6975" s="1">
        <v>46014</v>
      </c>
      <c r="D6975" t="s">
        <v>13884</v>
      </c>
      <c r="E6975" s="2">
        <v>4240</v>
      </c>
      <c r="G6975" s="3">
        <f>MONTH(Tabela1[[#This Row],[Último pagto ano]])</f>
        <v>12</v>
      </c>
      <c r="H6975" t="str">
        <f>TEXT(Tabela1[[#This Row],[Coluna2]]*29,"mmmm")</f>
        <v>dezembro</v>
      </c>
      <c r="I6975" t="str">
        <f>TEXT(MONTH(Tabela1[[#This Row],[Último pagto ano]])*29,"mmmm")</f>
        <v>dezembro</v>
      </c>
    </row>
    <row r="6976" spans="1:9" x14ac:dyDescent="0.25">
      <c r="A6976">
        <v>2025</v>
      </c>
      <c r="B6976" t="s">
        <v>13885</v>
      </c>
      <c r="C6976" s="1">
        <v>46021</v>
      </c>
      <c r="D6976" t="s">
        <v>13886</v>
      </c>
      <c r="E6976" s="2">
        <v>4315.17</v>
      </c>
      <c r="G6976" s="3">
        <f>MONTH(Tabela1[[#This Row],[Último pagto ano]])</f>
        <v>12</v>
      </c>
      <c r="H6976" t="str">
        <f>TEXT(Tabela1[[#This Row],[Coluna2]]*29,"mmmm")</f>
        <v>dezembro</v>
      </c>
      <c r="I6976" t="str">
        <f>TEXT(MONTH(Tabela1[[#This Row],[Último pagto ano]])*29,"mmmm")</f>
        <v>dezembro</v>
      </c>
    </row>
    <row r="6977" spans="1:9" x14ac:dyDescent="0.25">
      <c r="A6977">
        <v>2025</v>
      </c>
      <c r="B6977" t="s">
        <v>13887</v>
      </c>
      <c r="C6977" s="1">
        <v>45996</v>
      </c>
      <c r="D6977" t="s">
        <v>13888</v>
      </c>
      <c r="E6977">
        <v>500</v>
      </c>
      <c r="G6977" s="3">
        <f>MONTH(Tabela1[[#This Row],[Último pagto ano]])</f>
        <v>12</v>
      </c>
      <c r="H6977" t="str">
        <f>TEXT(Tabela1[[#This Row],[Coluna2]]*29,"mmmm")</f>
        <v>dezembro</v>
      </c>
      <c r="I6977" t="str">
        <f>TEXT(MONTH(Tabela1[[#This Row],[Último pagto ano]])*29,"mmmm")</f>
        <v>dezembro</v>
      </c>
    </row>
    <row r="6978" spans="1:9" x14ac:dyDescent="0.25">
      <c r="A6978">
        <v>2025</v>
      </c>
      <c r="B6978" t="s">
        <v>13889</v>
      </c>
      <c r="C6978" s="1">
        <v>45702</v>
      </c>
      <c r="D6978" t="s">
        <v>13890</v>
      </c>
      <c r="E6978">
        <v>269.17</v>
      </c>
      <c r="G6978" s="3">
        <f>MONTH(Tabela1[[#This Row],[Último pagto ano]])</f>
        <v>2</v>
      </c>
      <c r="H6978" t="str">
        <f>TEXT(Tabela1[[#This Row],[Coluna2]]*29,"mmmm")</f>
        <v>fevereiro</v>
      </c>
      <c r="I6978" t="str">
        <f>TEXT(MONTH(Tabela1[[#This Row],[Último pagto ano]])*29,"mmmm")</f>
        <v>fevereiro</v>
      </c>
    </row>
    <row r="6979" spans="1:9" x14ac:dyDescent="0.25">
      <c r="A6979">
        <v>2025</v>
      </c>
      <c r="B6979" t="s">
        <v>13891</v>
      </c>
      <c r="C6979" s="1">
        <v>45996</v>
      </c>
      <c r="D6979" t="s">
        <v>13892</v>
      </c>
      <c r="E6979" s="2">
        <v>42143</v>
      </c>
      <c r="G6979" s="3">
        <f>MONTH(Tabela1[[#This Row],[Último pagto ano]])</f>
        <v>12</v>
      </c>
      <c r="H6979" t="str">
        <f>TEXT(Tabela1[[#This Row],[Coluna2]]*29,"mmmm")</f>
        <v>dezembro</v>
      </c>
      <c r="I6979" t="str">
        <f>TEXT(MONTH(Tabela1[[#This Row],[Último pagto ano]])*29,"mmmm")</f>
        <v>dezembro</v>
      </c>
    </row>
    <row r="6980" spans="1:9" x14ac:dyDescent="0.25">
      <c r="A6980">
        <v>2025</v>
      </c>
      <c r="B6980" t="s">
        <v>13893</v>
      </c>
      <c r="C6980" s="1">
        <v>46006</v>
      </c>
      <c r="D6980" t="s">
        <v>13894</v>
      </c>
      <c r="E6980" s="2">
        <v>8400</v>
      </c>
      <c r="G6980" s="3">
        <f>MONTH(Tabela1[[#This Row],[Último pagto ano]])</f>
        <v>12</v>
      </c>
      <c r="H6980" t="str">
        <f>TEXT(Tabela1[[#This Row],[Coluna2]]*29,"mmmm")</f>
        <v>dezembro</v>
      </c>
      <c r="I6980" t="str">
        <f>TEXT(MONTH(Tabela1[[#This Row],[Último pagto ano]])*29,"mmmm")</f>
        <v>dezembro</v>
      </c>
    </row>
    <row r="6981" spans="1:9" x14ac:dyDescent="0.25">
      <c r="A6981">
        <v>2025</v>
      </c>
      <c r="B6981" t="s">
        <v>13895</v>
      </c>
      <c r="C6981" s="1">
        <v>45971</v>
      </c>
      <c r="D6981" t="s">
        <v>13896</v>
      </c>
      <c r="E6981">
        <v>55</v>
      </c>
      <c r="G6981" s="3">
        <f>MONTH(Tabela1[[#This Row],[Último pagto ano]])</f>
        <v>11</v>
      </c>
      <c r="H6981" t="str">
        <f>TEXT(Tabela1[[#This Row],[Coluna2]]*29,"mmmm")</f>
        <v>novembro</v>
      </c>
      <c r="I6981" t="str">
        <f>TEXT(MONTH(Tabela1[[#This Row],[Último pagto ano]])*29,"mmmm")</f>
        <v>novembro</v>
      </c>
    </row>
    <row r="6982" spans="1:9" x14ac:dyDescent="0.25">
      <c r="A6982">
        <v>2025</v>
      </c>
      <c r="B6982" t="s">
        <v>13897</v>
      </c>
      <c r="C6982" s="1">
        <v>45978</v>
      </c>
      <c r="D6982" t="s">
        <v>13898</v>
      </c>
      <c r="E6982" s="2">
        <v>8559.69</v>
      </c>
      <c r="G6982" s="3">
        <f>MONTH(Tabela1[[#This Row],[Último pagto ano]])</f>
        <v>11</v>
      </c>
      <c r="H6982" t="str">
        <f>TEXT(Tabela1[[#This Row],[Coluna2]]*29,"mmmm")</f>
        <v>novembro</v>
      </c>
      <c r="I6982" t="str">
        <f>TEXT(MONTH(Tabela1[[#This Row],[Último pagto ano]])*29,"mmmm")</f>
        <v>novembro</v>
      </c>
    </row>
    <row r="6983" spans="1:9" x14ac:dyDescent="0.25">
      <c r="A6983">
        <v>2025</v>
      </c>
      <c r="B6983" t="s">
        <v>13899</v>
      </c>
      <c r="C6983" s="1">
        <v>46006</v>
      </c>
      <c r="D6983" t="s">
        <v>13900</v>
      </c>
      <c r="E6983">
        <v>88</v>
      </c>
      <c r="G6983" s="3">
        <f>MONTH(Tabela1[[#This Row],[Último pagto ano]])</f>
        <v>12</v>
      </c>
      <c r="H6983" t="str">
        <f>TEXT(Tabela1[[#This Row],[Coluna2]]*29,"mmmm")</f>
        <v>dezembro</v>
      </c>
      <c r="I6983" t="str">
        <f>TEXT(MONTH(Tabela1[[#This Row],[Último pagto ano]])*29,"mmmm")</f>
        <v>dezembro</v>
      </c>
    </row>
    <row r="6984" spans="1:9" x14ac:dyDescent="0.25">
      <c r="A6984">
        <v>2025</v>
      </c>
      <c r="B6984" t="s">
        <v>13901</v>
      </c>
      <c r="C6984" s="1">
        <v>45673</v>
      </c>
      <c r="D6984" t="s">
        <v>13902</v>
      </c>
      <c r="E6984" s="2">
        <v>1000</v>
      </c>
      <c r="G6984" s="3">
        <f>MONTH(Tabela1[[#This Row],[Último pagto ano]])</f>
        <v>1</v>
      </c>
      <c r="H6984" t="str">
        <f>TEXT(Tabela1[[#This Row],[Coluna2]]*29,"mmmm")</f>
        <v>janeiro</v>
      </c>
      <c r="I6984" t="str">
        <f>TEXT(MONTH(Tabela1[[#This Row],[Último pagto ano]])*29,"mmmm")</f>
        <v>janeiro</v>
      </c>
    </row>
    <row r="6985" spans="1:9" x14ac:dyDescent="0.25">
      <c r="A6985">
        <v>2025</v>
      </c>
      <c r="B6985" t="s">
        <v>13903</v>
      </c>
      <c r="C6985" s="1">
        <v>45841</v>
      </c>
      <c r="D6985" t="s">
        <v>13904</v>
      </c>
      <c r="E6985" s="2">
        <v>3563.22</v>
      </c>
      <c r="G6985" s="3">
        <f>MONTH(Tabela1[[#This Row],[Último pagto ano]])</f>
        <v>7</v>
      </c>
      <c r="H6985" t="str">
        <f>TEXT(Tabela1[[#This Row],[Coluna2]]*29,"mmmm")</f>
        <v>julho</v>
      </c>
      <c r="I6985" t="str">
        <f>TEXT(MONTH(Tabela1[[#This Row],[Último pagto ano]])*29,"mmmm")</f>
        <v>julho</v>
      </c>
    </row>
    <row r="6986" spans="1:9" x14ac:dyDescent="0.25">
      <c r="A6986">
        <v>2025</v>
      </c>
      <c r="B6986" t="s">
        <v>13905</v>
      </c>
      <c r="C6986" s="1">
        <v>46014</v>
      </c>
      <c r="D6986" t="s">
        <v>13906</v>
      </c>
      <c r="E6986">
        <v>11</v>
      </c>
      <c r="G6986" s="3">
        <f>MONTH(Tabela1[[#This Row],[Último pagto ano]])</f>
        <v>12</v>
      </c>
      <c r="H6986" t="str">
        <f>TEXT(Tabela1[[#This Row],[Coluna2]]*29,"mmmm")</f>
        <v>dezembro</v>
      </c>
      <c r="I6986" t="str">
        <f>TEXT(MONTH(Tabela1[[#This Row],[Último pagto ano]])*29,"mmmm")</f>
        <v>dezembro</v>
      </c>
    </row>
    <row r="6987" spans="1:9" x14ac:dyDescent="0.25">
      <c r="A6987">
        <v>2025</v>
      </c>
      <c r="B6987" t="s">
        <v>13907</v>
      </c>
      <c r="C6987" s="1">
        <v>45887</v>
      </c>
      <c r="D6987" t="s">
        <v>13908</v>
      </c>
      <c r="E6987">
        <v>400</v>
      </c>
      <c r="G6987" s="3">
        <f>MONTH(Tabela1[[#This Row],[Último pagto ano]])</f>
        <v>8</v>
      </c>
      <c r="H6987" t="str">
        <f>TEXT(Tabela1[[#This Row],[Coluna2]]*29,"mmmm")</f>
        <v>agosto</v>
      </c>
      <c r="I6987" t="str">
        <f>TEXT(MONTH(Tabela1[[#This Row],[Último pagto ano]])*29,"mmmm")</f>
        <v>agosto</v>
      </c>
    </row>
    <row r="6988" spans="1:9" x14ac:dyDescent="0.25">
      <c r="A6988">
        <v>2025</v>
      </c>
      <c r="B6988" t="s">
        <v>13909</v>
      </c>
      <c r="C6988" s="1">
        <v>45841</v>
      </c>
      <c r="D6988" t="s">
        <v>13910</v>
      </c>
      <c r="E6988" s="2">
        <v>5424.3</v>
      </c>
      <c r="G6988" s="3">
        <f>MONTH(Tabela1[[#This Row],[Último pagto ano]])</f>
        <v>7</v>
      </c>
      <c r="H6988" t="str">
        <f>TEXT(Tabela1[[#This Row],[Coluna2]]*29,"mmmm")</f>
        <v>julho</v>
      </c>
      <c r="I6988" t="str">
        <f>TEXT(MONTH(Tabela1[[#This Row],[Último pagto ano]])*29,"mmmm")</f>
        <v>julho</v>
      </c>
    </row>
    <row r="6989" spans="1:9" x14ac:dyDescent="0.25">
      <c r="A6989">
        <v>2025</v>
      </c>
      <c r="B6989" t="s">
        <v>13911</v>
      </c>
      <c r="C6989" s="1">
        <v>45792</v>
      </c>
      <c r="D6989" t="s">
        <v>13912</v>
      </c>
      <c r="E6989" s="2">
        <v>5870.08</v>
      </c>
      <c r="G6989" s="3">
        <f>MONTH(Tabela1[[#This Row],[Último pagto ano]])</f>
        <v>5</v>
      </c>
      <c r="H6989" t="str">
        <f>TEXT(Tabela1[[#This Row],[Coluna2]]*29,"mmmm")</f>
        <v>maio</v>
      </c>
      <c r="I6989" t="str">
        <f>TEXT(MONTH(Tabela1[[#This Row],[Último pagto ano]])*29,"mmmm")</f>
        <v>maio</v>
      </c>
    </row>
    <row r="6990" spans="1:9" x14ac:dyDescent="0.25">
      <c r="A6990">
        <v>2025</v>
      </c>
      <c r="B6990" t="s">
        <v>13913</v>
      </c>
      <c r="C6990" s="1">
        <v>45800</v>
      </c>
      <c r="D6990" t="s">
        <v>13914</v>
      </c>
      <c r="E6990" s="2">
        <v>3971.44</v>
      </c>
      <c r="G6990" s="3">
        <f>MONTH(Tabela1[[#This Row],[Último pagto ano]])</f>
        <v>5</v>
      </c>
      <c r="H6990" t="str">
        <f>TEXT(Tabela1[[#This Row],[Coluna2]]*29,"mmmm")</f>
        <v>maio</v>
      </c>
      <c r="I6990" t="str">
        <f>TEXT(MONTH(Tabela1[[#This Row],[Último pagto ano]])*29,"mmmm")</f>
        <v>maio</v>
      </c>
    </row>
    <row r="6991" spans="1:9" x14ac:dyDescent="0.25">
      <c r="A6991">
        <v>2025</v>
      </c>
      <c r="B6991" t="s">
        <v>13915</v>
      </c>
      <c r="C6991" s="1">
        <v>45989</v>
      </c>
      <c r="D6991" t="s">
        <v>13916</v>
      </c>
      <c r="E6991" s="2">
        <v>3278.04</v>
      </c>
      <c r="G6991" s="3">
        <f>MONTH(Tabela1[[#This Row],[Último pagto ano]])</f>
        <v>11</v>
      </c>
      <c r="H6991" t="str">
        <f>TEXT(Tabela1[[#This Row],[Coluna2]]*29,"mmmm")</f>
        <v>novembro</v>
      </c>
      <c r="I6991" t="str">
        <f>TEXT(MONTH(Tabela1[[#This Row],[Último pagto ano]])*29,"mmmm")</f>
        <v>novembro</v>
      </c>
    </row>
    <row r="6992" spans="1:9" x14ac:dyDescent="0.25">
      <c r="A6992">
        <v>2025</v>
      </c>
      <c r="B6992" t="s">
        <v>13917</v>
      </c>
      <c r="C6992" s="1">
        <v>45702</v>
      </c>
      <c r="D6992" t="s">
        <v>13918</v>
      </c>
      <c r="E6992" s="2">
        <v>1287.27</v>
      </c>
      <c r="G6992" s="3">
        <f>MONTH(Tabela1[[#This Row],[Último pagto ano]])</f>
        <v>2</v>
      </c>
      <c r="H6992" t="str">
        <f>TEXT(Tabela1[[#This Row],[Coluna2]]*29,"mmmm")</f>
        <v>fevereiro</v>
      </c>
      <c r="I6992" t="str">
        <f>TEXT(MONTH(Tabela1[[#This Row],[Último pagto ano]])*29,"mmmm")</f>
        <v>fevereiro</v>
      </c>
    </row>
    <row r="6993" spans="1:9" x14ac:dyDescent="0.25">
      <c r="A6993">
        <v>2025</v>
      </c>
      <c r="B6993" t="s">
        <v>13919</v>
      </c>
      <c r="C6993" s="1">
        <v>46021</v>
      </c>
      <c r="D6993" t="s">
        <v>13920</v>
      </c>
      <c r="E6993" s="2">
        <v>7274.33</v>
      </c>
      <c r="G6993" s="3">
        <f>MONTH(Tabela1[[#This Row],[Último pagto ano]])</f>
        <v>12</v>
      </c>
      <c r="H6993" t="str">
        <f>TEXT(Tabela1[[#This Row],[Coluna2]]*29,"mmmm")</f>
        <v>dezembro</v>
      </c>
      <c r="I6993" t="str">
        <f>TEXT(MONTH(Tabela1[[#This Row],[Último pagto ano]])*29,"mmmm")</f>
        <v>dezembro</v>
      </c>
    </row>
    <row r="6994" spans="1:9" x14ac:dyDescent="0.25">
      <c r="A6994">
        <v>2025</v>
      </c>
      <c r="B6994" t="s">
        <v>13921</v>
      </c>
      <c r="C6994" s="1">
        <v>45996</v>
      </c>
      <c r="D6994" t="s">
        <v>13922</v>
      </c>
      <c r="E6994" s="2">
        <v>5000</v>
      </c>
      <c r="G6994" s="3">
        <f>MONTH(Tabela1[[#This Row],[Último pagto ano]])</f>
        <v>12</v>
      </c>
      <c r="H6994" t="str">
        <f>TEXT(Tabela1[[#This Row],[Coluna2]]*29,"mmmm")</f>
        <v>dezembro</v>
      </c>
      <c r="I6994" t="str">
        <f>TEXT(MONTH(Tabela1[[#This Row],[Último pagto ano]])*29,"mmmm")</f>
        <v>dezembro</v>
      </c>
    </row>
    <row r="6995" spans="1:9" x14ac:dyDescent="0.25">
      <c r="A6995">
        <v>2025</v>
      </c>
      <c r="B6995" t="s">
        <v>13923</v>
      </c>
      <c r="C6995" s="1">
        <v>45817</v>
      </c>
      <c r="D6995" t="s">
        <v>13924</v>
      </c>
      <c r="E6995">
        <v>1.1100000000000001</v>
      </c>
      <c r="G6995" s="3">
        <f>MONTH(Tabela1[[#This Row],[Último pagto ano]])</f>
        <v>6</v>
      </c>
      <c r="H6995" t="str">
        <f>TEXT(Tabela1[[#This Row],[Coluna2]]*29,"mmmm")</f>
        <v>junho</v>
      </c>
      <c r="I6995" t="str">
        <f>TEXT(MONTH(Tabela1[[#This Row],[Último pagto ano]])*29,"mmmm")</f>
        <v>junho</v>
      </c>
    </row>
    <row r="6996" spans="1:9" x14ac:dyDescent="0.25">
      <c r="A6996">
        <v>2025</v>
      </c>
      <c r="B6996" t="s">
        <v>13925</v>
      </c>
      <c r="C6996" s="1">
        <v>45702</v>
      </c>
      <c r="D6996" t="s">
        <v>13926</v>
      </c>
      <c r="E6996">
        <v>43.64</v>
      </c>
      <c r="G6996" s="3">
        <f>MONTH(Tabela1[[#This Row],[Último pagto ano]])</f>
        <v>2</v>
      </c>
      <c r="H6996" t="str">
        <f>TEXT(Tabela1[[#This Row],[Coluna2]]*29,"mmmm")</f>
        <v>fevereiro</v>
      </c>
      <c r="I6996" t="str">
        <f>TEXT(MONTH(Tabela1[[#This Row],[Último pagto ano]])*29,"mmmm")</f>
        <v>fevereiro</v>
      </c>
    </row>
    <row r="6997" spans="1:9" x14ac:dyDescent="0.25">
      <c r="A6997">
        <v>2025</v>
      </c>
      <c r="B6997" t="s">
        <v>13927</v>
      </c>
      <c r="C6997" s="1">
        <v>46010</v>
      </c>
      <c r="D6997" t="s">
        <v>13928</v>
      </c>
      <c r="E6997" s="2">
        <v>11000</v>
      </c>
      <c r="G6997" s="3">
        <f>MONTH(Tabela1[[#This Row],[Último pagto ano]])</f>
        <v>12</v>
      </c>
      <c r="H6997" t="str">
        <f>TEXT(Tabela1[[#This Row],[Coluna2]]*29,"mmmm")</f>
        <v>dezembro</v>
      </c>
      <c r="I6997" t="str">
        <f>TEXT(MONTH(Tabela1[[#This Row],[Último pagto ano]])*29,"mmmm")</f>
        <v>dezembro</v>
      </c>
    </row>
    <row r="6998" spans="1:9" x14ac:dyDescent="0.25">
      <c r="A6998">
        <v>2025</v>
      </c>
      <c r="B6998" t="s">
        <v>13929</v>
      </c>
      <c r="C6998" s="1">
        <v>45712</v>
      </c>
      <c r="D6998" t="s">
        <v>13930</v>
      </c>
      <c r="E6998" s="2">
        <v>1044</v>
      </c>
      <c r="G6998" s="3">
        <f>MONTH(Tabela1[[#This Row],[Último pagto ano]])</f>
        <v>2</v>
      </c>
      <c r="H6998" t="str">
        <f>TEXT(Tabela1[[#This Row],[Coluna2]]*29,"mmmm")</f>
        <v>fevereiro</v>
      </c>
      <c r="I6998" t="str">
        <f>TEXT(MONTH(Tabela1[[#This Row],[Último pagto ano]])*29,"mmmm")</f>
        <v>fevereiro</v>
      </c>
    </row>
    <row r="6999" spans="1:9" x14ac:dyDescent="0.25">
      <c r="A6999">
        <v>2025</v>
      </c>
      <c r="B6999" t="s">
        <v>13931</v>
      </c>
      <c r="C6999" s="1">
        <v>45824</v>
      </c>
      <c r="D6999" t="s">
        <v>13932</v>
      </c>
      <c r="E6999" s="2">
        <v>5569.52</v>
      </c>
      <c r="G6999" s="3">
        <f>MONTH(Tabela1[[#This Row],[Último pagto ano]])</f>
        <v>6</v>
      </c>
      <c r="H6999" t="str">
        <f>TEXT(Tabela1[[#This Row],[Coluna2]]*29,"mmmm")</f>
        <v>junho</v>
      </c>
      <c r="I6999" t="str">
        <f>TEXT(MONTH(Tabela1[[#This Row],[Último pagto ano]])*29,"mmmm")</f>
        <v>junho</v>
      </c>
    </row>
    <row r="7000" spans="1:9" x14ac:dyDescent="0.25">
      <c r="A7000">
        <v>2025</v>
      </c>
      <c r="B7000" t="s">
        <v>13933</v>
      </c>
      <c r="C7000" s="1">
        <v>45674</v>
      </c>
      <c r="D7000" t="s">
        <v>13934</v>
      </c>
      <c r="E7000">
        <v>22</v>
      </c>
      <c r="G7000" s="3">
        <f>MONTH(Tabela1[[#This Row],[Último pagto ano]])</f>
        <v>1</v>
      </c>
      <c r="H7000" t="str">
        <f>TEXT(Tabela1[[#This Row],[Coluna2]]*29,"mmmm")</f>
        <v>janeiro</v>
      </c>
      <c r="I7000" t="str">
        <f>TEXT(MONTH(Tabela1[[#This Row],[Último pagto ano]])*29,"mmmm")</f>
        <v>janeiro</v>
      </c>
    </row>
    <row r="7001" spans="1:9" x14ac:dyDescent="0.25">
      <c r="A7001">
        <v>2025</v>
      </c>
      <c r="B7001" t="s">
        <v>13935</v>
      </c>
      <c r="C7001" s="1">
        <v>45796</v>
      </c>
      <c r="D7001" t="s">
        <v>13936</v>
      </c>
      <c r="E7001">
        <v>22</v>
      </c>
      <c r="G7001" s="3">
        <f>MONTH(Tabela1[[#This Row],[Último pagto ano]])</f>
        <v>5</v>
      </c>
      <c r="H7001" t="str">
        <f>TEXT(Tabela1[[#This Row],[Coluna2]]*29,"mmmm")</f>
        <v>maio</v>
      </c>
      <c r="I7001" t="str">
        <f>TEXT(MONTH(Tabela1[[#This Row],[Último pagto ano]])*29,"mmmm")</f>
        <v>maio</v>
      </c>
    </row>
    <row r="7002" spans="1:9" x14ac:dyDescent="0.25">
      <c r="A7002">
        <v>2025</v>
      </c>
      <c r="B7002" t="s">
        <v>13937</v>
      </c>
      <c r="C7002" s="1">
        <v>45792</v>
      </c>
      <c r="D7002" t="s">
        <v>13938</v>
      </c>
      <c r="E7002">
        <v>22</v>
      </c>
      <c r="G7002" s="3">
        <f>MONTH(Tabela1[[#This Row],[Último pagto ano]])</f>
        <v>5</v>
      </c>
      <c r="H7002" t="str">
        <f>TEXT(Tabela1[[#This Row],[Coluna2]]*29,"mmmm")</f>
        <v>maio</v>
      </c>
      <c r="I7002" t="str">
        <f>TEXT(MONTH(Tabela1[[#This Row],[Último pagto ano]])*29,"mmmm")</f>
        <v>maio</v>
      </c>
    </row>
    <row r="7003" spans="1:9" x14ac:dyDescent="0.25">
      <c r="A7003">
        <v>2025</v>
      </c>
      <c r="B7003" t="s">
        <v>13939</v>
      </c>
      <c r="C7003" s="1">
        <v>45771</v>
      </c>
      <c r="D7003" t="s">
        <v>13940</v>
      </c>
      <c r="E7003" s="2">
        <v>2800</v>
      </c>
      <c r="G7003" s="3">
        <f>MONTH(Tabela1[[#This Row],[Último pagto ano]])</f>
        <v>4</v>
      </c>
      <c r="H7003" t="str">
        <f>TEXT(Tabela1[[#This Row],[Coluna2]]*29,"mmmm")</f>
        <v>abril</v>
      </c>
      <c r="I7003" t="str">
        <f>TEXT(MONTH(Tabela1[[#This Row],[Último pagto ano]])*29,"mmmm")</f>
        <v>abril</v>
      </c>
    </row>
    <row r="7004" spans="1:9" x14ac:dyDescent="0.25">
      <c r="A7004">
        <v>2025</v>
      </c>
      <c r="B7004" t="s">
        <v>13941</v>
      </c>
      <c r="C7004" s="1">
        <v>45985</v>
      </c>
      <c r="D7004" t="s">
        <v>13942</v>
      </c>
      <c r="E7004">
        <v>99</v>
      </c>
      <c r="G7004" s="3">
        <f>MONTH(Tabela1[[#This Row],[Último pagto ano]])</f>
        <v>11</v>
      </c>
      <c r="H7004" t="str">
        <f>TEXT(Tabela1[[#This Row],[Coluna2]]*29,"mmmm")</f>
        <v>novembro</v>
      </c>
      <c r="I7004" t="str">
        <f>TEXT(MONTH(Tabela1[[#This Row],[Último pagto ano]])*29,"mmmm")</f>
        <v>novembro</v>
      </c>
    </row>
    <row r="7005" spans="1:9" x14ac:dyDescent="0.25">
      <c r="A7005">
        <v>2025</v>
      </c>
      <c r="B7005" t="s">
        <v>13943</v>
      </c>
      <c r="C7005" s="1">
        <v>46014</v>
      </c>
      <c r="D7005" t="s">
        <v>13944</v>
      </c>
      <c r="E7005">
        <v>416.8</v>
      </c>
      <c r="G7005" s="3">
        <f>MONTH(Tabela1[[#This Row],[Último pagto ano]])</f>
        <v>12</v>
      </c>
      <c r="H7005" t="str">
        <f>TEXT(Tabela1[[#This Row],[Coluna2]]*29,"mmmm")</f>
        <v>dezembro</v>
      </c>
      <c r="I7005" t="str">
        <f>TEXT(MONTH(Tabela1[[#This Row],[Último pagto ano]])*29,"mmmm")</f>
        <v>dezembro</v>
      </c>
    </row>
    <row r="7006" spans="1:9" x14ac:dyDescent="0.25">
      <c r="A7006">
        <v>2025</v>
      </c>
      <c r="B7006" t="s">
        <v>13945</v>
      </c>
      <c r="C7006" s="1">
        <v>46010</v>
      </c>
      <c r="D7006" t="s">
        <v>13946</v>
      </c>
      <c r="E7006" s="2">
        <v>24000</v>
      </c>
      <c r="G7006" s="3">
        <f>MONTH(Tabela1[[#This Row],[Último pagto ano]])</f>
        <v>12</v>
      </c>
      <c r="H7006" t="str">
        <f>TEXT(Tabela1[[#This Row],[Coluna2]]*29,"mmmm")</f>
        <v>dezembro</v>
      </c>
      <c r="I7006" t="str">
        <f>TEXT(MONTH(Tabela1[[#This Row],[Último pagto ano]])*29,"mmmm")</f>
        <v>dezembro</v>
      </c>
    </row>
    <row r="7007" spans="1:9" x14ac:dyDescent="0.25">
      <c r="A7007">
        <v>2025</v>
      </c>
      <c r="B7007" t="s">
        <v>13947</v>
      </c>
      <c r="C7007" s="1">
        <v>45702</v>
      </c>
      <c r="D7007" t="s">
        <v>13948</v>
      </c>
      <c r="E7007">
        <v>77.14</v>
      </c>
      <c r="G7007" s="3">
        <f>MONTH(Tabela1[[#This Row],[Último pagto ano]])</f>
        <v>2</v>
      </c>
      <c r="H7007" t="str">
        <f>TEXT(Tabela1[[#This Row],[Coluna2]]*29,"mmmm")</f>
        <v>fevereiro</v>
      </c>
      <c r="I7007" t="str">
        <f>TEXT(MONTH(Tabela1[[#This Row],[Último pagto ano]])*29,"mmmm")</f>
        <v>fevereiro</v>
      </c>
    </row>
    <row r="7008" spans="1:9" x14ac:dyDescent="0.25">
      <c r="A7008">
        <v>2025</v>
      </c>
      <c r="B7008" t="s">
        <v>13949</v>
      </c>
      <c r="C7008" s="1">
        <v>45989</v>
      </c>
      <c r="D7008" t="s">
        <v>13950</v>
      </c>
      <c r="E7008" s="2">
        <v>7261.02</v>
      </c>
      <c r="G7008" s="3">
        <f>MONTH(Tabela1[[#This Row],[Último pagto ano]])</f>
        <v>11</v>
      </c>
      <c r="H7008" t="str">
        <f>TEXT(Tabela1[[#This Row],[Coluna2]]*29,"mmmm")</f>
        <v>novembro</v>
      </c>
      <c r="I7008" t="str">
        <f>TEXT(MONTH(Tabela1[[#This Row],[Último pagto ano]])*29,"mmmm")</f>
        <v>novembro</v>
      </c>
    </row>
    <row r="7009" spans="1:9" x14ac:dyDescent="0.25">
      <c r="A7009">
        <v>2025</v>
      </c>
      <c r="B7009" t="s">
        <v>13951</v>
      </c>
      <c r="C7009" s="1">
        <v>45845</v>
      </c>
      <c r="D7009" t="s">
        <v>13952</v>
      </c>
      <c r="E7009" s="2">
        <v>9000</v>
      </c>
      <c r="G7009" s="3">
        <f>MONTH(Tabela1[[#This Row],[Último pagto ano]])</f>
        <v>7</v>
      </c>
      <c r="H7009" t="str">
        <f>TEXT(Tabela1[[#This Row],[Coluna2]]*29,"mmmm")</f>
        <v>julho</v>
      </c>
      <c r="I7009" t="str">
        <f>TEXT(MONTH(Tabela1[[#This Row],[Último pagto ano]])*29,"mmmm")</f>
        <v>julho</v>
      </c>
    </row>
    <row r="7010" spans="1:9" x14ac:dyDescent="0.25">
      <c r="A7010">
        <v>2025</v>
      </c>
      <c r="B7010" t="s">
        <v>13953</v>
      </c>
      <c r="C7010" s="1">
        <v>45996</v>
      </c>
      <c r="D7010" t="s">
        <v>13954</v>
      </c>
      <c r="E7010" s="2">
        <v>13530</v>
      </c>
      <c r="G7010" s="3">
        <f>MONTH(Tabela1[[#This Row],[Último pagto ano]])</f>
        <v>12</v>
      </c>
      <c r="H7010" t="str">
        <f>TEXT(Tabela1[[#This Row],[Coluna2]]*29,"mmmm")</f>
        <v>dezembro</v>
      </c>
      <c r="I7010" t="str">
        <f>TEXT(MONTH(Tabela1[[#This Row],[Último pagto ano]])*29,"mmmm")</f>
        <v>dezembro</v>
      </c>
    </row>
    <row r="7011" spans="1:9" x14ac:dyDescent="0.25">
      <c r="A7011">
        <v>2025</v>
      </c>
      <c r="B7011" t="s">
        <v>13955</v>
      </c>
      <c r="C7011" s="1">
        <v>45950</v>
      </c>
      <c r="D7011" t="s">
        <v>13956</v>
      </c>
      <c r="E7011" s="2">
        <v>1400</v>
      </c>
      <c r="G7011" s="3">
        <f>MONTH(Tabela1[[#This Row],[Último pagto ano]])</f>
        <v>10</v>
      </c>
      <c r="H7011" t="str">
        <f>TEXT(Tabela1[[#This Row],[Coluna2]]*29,"mmmm")</f>
        <v>outubro</v>
      </c>
      <c r="I7011" t="str">
        <f>TEXT(MONTH(Tabela1[[#This Row],[Último pagto ano]])*29,"mmmm")</f>
        <v>outubro</v>
      </c>
    </row>
    <row r="7012" spans="1:9" x14ac:dyDescent="0.25">
      <c r="A7012">
        <v>2025</v>
      </c>
      <c r="B7012" t="s">
        <v>13957</v>
      </c>
      <c r="C7012" s="1">
        <v>45702</v>
      </c>
      <c r="D7012" t="s">
        <v>13958</v>
      </c>
      <c r="E7012">
        <v>224.13</v>
      </c>
      <c r="G7012" s="3">
        <f>MONTH(Tabela1[[#This Row],[Último pagto ano]])</f>
        <v>2</v>
      </c>
      <c r="H7012" t="str">
        <f>TEXT(Tabela1[[#This Row],[Coluna2]]*29,"mmmm")</f>
        <v>fevereiro</v>
      </c>
      <c r="I7012" t="str">
        <f>TEXT(MONTH(Tabela1[[#This Row],[Último pagto ano]])*29,"mmmm")</f>
        <v>fevereiro</v>
      </c>
    </row>
    <row r="7013" spans="1:9" x14ac:dyDescent="0.25">
      <c r="A7013">
        <v>2025</v>
      </c>
      <c r="B7013" t="s">
        <v>13959</v>
      </c>
      <c r="C7013" s="1">
        <v>45996</v>
      </c>
      <c r="D7013" t="s">
        <v>13960</v>
      </c>
      <c r="E7013" s="2">
        <v>3200</v>
      </c>
      <c r="G7013" s="3">
        <f>MONTH(Tabela1[[#This Row],[Último pagto ano]])</f>
        <v>12</v>
      </c>
      <c r="H7013" t="str">
        <f>TEXT(Tabela1[[#This Row],[Coluna2]]*29,"mmmm")</f>
        <v>dezembro</v>
      </c>
      <c r="I7013" t="str">
        <f>TEXT(MONTH(Tabela1[[#This Row],[Último pagto ano]])*29,"mmmm")</f>
        <v>dezembro</v>
      </c>
    </row>
    <row r="7014" spans="1:9" x14ac:dyDescent="0.25">
      <c r="A7014">
        <v>2025</v>
      </c>
      <c r="B7014" t="s">
        <v>13961</v>
      </c>
      <c r="C7014" s="1">
        <v>45884</v>
      </c>
      <c r="D7014" t="s">
        <v>13962</v>
      </c>
      <c r="E7014" s="2">
        <v>5573.92</v>
      </c>
      <c r="G7014" s="3">
        <f>MONTH(Tabela1[[#This Row],[Último pagto ano]])</f>
        <v>8</v>
      </c>
      <c r="H7014" t="str">
        <f>TEXT(Tabela1[[#This Row],[Coluna2]]*29,"mmmm")</f>
        <v>agosto</v>
      </c>
      <c r="I7014" t="str">
        <f>TEXT(MONTH(Tabela1[[#This Row],[Último pagto ano]])*29,"mmmm")</f>
        <v>agosto</v>
      </c>
    </row>
    <row r="7015" spans="1:9" x14ac:dyDescent="0.25">
      <c r="A7015">
        <v>2025</v>
      </c>
      <c r="B7015" t="s">
        <v>13963</v>
      </c>
      <c r="C7015" s="1">
        <v>46014</v>
      </c>
      <c r="D7015" t="s">
        <v>13964</v>
      </c>
      <c r="E7015" s="2">
        <v>1130719.1599999999</v>
      </c>
      <c r="G7015" s="3">
        <f>MONTH(Tabela1[[#This Row],[Último pagto ano]])</f>
        <v>12</v>
      </c>
      <c r="H7015" t="str">
        <f>TEXT(Tabela1[[#This Row],[Coluna2]]*29,"mmmm")</f>
        <v>dezembro</v>
      </c>
      <c r="I7015" t="str">
        <f>TEXT(MONTH(Tabela1[[#This Row],[Último pagto ano]])*29,"mmmm")</f>
        <v>dezembro</v>
      </c>
    </row>
    <row r="7016" spans="1:9" x14ac:dyDescent="0.25">
      <c r="A7016">
        <v>2025</v>
      </c>
      <c r="B7016" t="s">
        <v>13965</v>
      </c>
      <c r="C7016" s="1">
        <v>45943</v>
      </c>
      <c r="D7016" t="s">
        <v>13966</v>
      </c>
      <c r="E7016" s="2">
        <v>3286.4</v>
      </c>
      <c r="G7016" s="3">
        <f>MONTH(Tabela1[[#This Row],[Último pagto ano]])</f>
        <v>10</v>
      </c>
      <c r="H7016" t="str">
        <f>TEXT(Tabela1[[#This Row],[Coluna2]]*29,"mmmm")</f>
        <v>outubro</v>
      </c>
      <c r="I7016" t="str">
        <f>TEXT(MONTH(Tabela1[[#This Row],[Último pagto ano]])*29,"mmmm")</f>
        <v>outubro</v>
      </c>
    </row>
    <row r="7017" spans="1:9" x14ac:dyDescent="0.25">
      <c r="A7017">
        <v>2025</v>
      </c>
      <c r="B7017" t="s">
        <v>13967</v>
      </c>
      <c r="C7017" s="1">
        <v>45972</v>
      </c>
      <c r="D7017" t="s">
        <v>13968</v>
      </c>
      <c r="E7017" s="2">
        <v>21533.5</v>
      </c>
      <c r="G7017" s="3">
        <f>MONTH(Tabela1[[#This Row],[Último pagto ano]])</f>
        <v>11</v>
      </c>
      <c r="H7017" t="str">
        <f>TEXT(Tabela1[[#This Row],[Coluna2]]*29,"mmmm")</f>
        <v>novembro</v>
      </c>
      <c r="I7017" t="str">
        <f>TEXT(MONTH(Tabela1[[#This Row],[Último pagto ano]])*29,"mmmm")</f>
        <v>novembro</v>
      </c>
    </row>
    <row r="7018" spans="1:9" x14ac:dyDescent="0.25">
      <c r="A7018">
        <v>2025</v>
      </c>
      <c r="B7018" t="s">
        <v>13969</v>
      </c>
      <c r="C7018" s="1">
        <v>45758</v>
      </c>
      <c r="D7018" t="s">
        <v>13970</v>
      </c>
      <c r="E7018" s="2">
        <v>3841.38</v>
      </c>
      <c r="G7018" s="3">
        <f>MONTH(Tabela1[[#This Row],[Último pagto ano]])</f>
        <v>4</v>
      </c>
      <c r="H7018" t="str">
        <f>TEXT(Tabela1[[#This Row],[Coluna2]]*29,"mmmm")</f>
        <v>abril</v>
      </c>
      <c r="I7018" t="str">
        <f>TEXT(MONTH(Tabela1[[#This Row],[Último pagto ano]])*29,"mmmm")</f>
        <v>abril</v>
      </c>
    </row>
    <row r="7019" spans="1:9" x14ac:dyDescent="0.25">
      <c r="A7019">
        <v>2025</v>
      </c>
      <c r="B7019" t="s">
        <v>13971</v>
      </c>
      <c r="C7019" s="1">
        <v>45702</v>
      </c>
      <c r="D7019" t="s">
        <v>13972</v>
      </c>
      <c r="E7019">
        <v>239.65</v>
      </c>
      <c r="G7019" s="3">
        <f>MONTH(Tabela1[[#This Row],[Último pagto ano]])</f>
        <v>2</v>
      </c>
      <c r="H7019" t="str">
        <f>TEXT(Tabela1[[#This Row],[Coluna2]]*29,"mmmm")</f>
        <v>fevereiro</v>
      </c>
      <c r="I7019" t="str">
        <f>TEXT(MONTH(Tabela1[[#This Row],[Último pagto ano]])*29,"mmmm")</f>
        <v>fevereiro</v>
      </c>
    </row>
    <row r="7020" spans="1:9" x14ac:dyDescent="0.25">
      <c r="A7020">
        <v>2025</v>
      </c>
      <c r="B7020" t="s">
        <v>13973</v>
      </c>
      <c r="C7020" s="1">
        <v>45985</v>
      </c>
      <c r="D7020" t="s">
        <v>13974</v>
      </c>
      <c r="E7020" s="2">
        <v>14920</v>
      </c>
      <c r="G7020" s="3">
        <f>MONTH(Tabela1[[#This Row],[Último pagto ano]])</f>
        <v>11</v>
      </c>
      <c r="H7020" t="str">
        <f>TEXT(Tabela1[[#This Row],[Coluna2]]*29,"mmmm")</f>
        <v>novembro</v>
      </c>
      <c r="I7020" t="str">
        <f>TEXT(MONTH(Tabela1[[#This Row],[Último pagto ano]])*29,"mmmm")</f>
        <v>novembro</v>
      </c>
    </row>
    <row r="7021" spans="1:9" x14ac:dyDescent="0.25">
      <c r="A7021">
        <v>2025</v>
      </c>
      <c r="B7021" t="s">
        <v>13975</v>
      </c>
      <c r="C7021" s="1">
        <v>46006</v>
      </c>
      <c r="D7021" t="s">
        <v>13976</v>
      </c>
      <c r="E7021" s="2">
        <v>13325.76</v>
      </c>
      <c r="G7021" s="3">
        <f>MONTH(Tabela1[[#This Row],[Último pagto ano]])</f>
        <v>12</v>
      </c>
      <c r="H7021" t="str">
        <f>TEXT(Tabela1[[#This Row],[Coluna2]]*29,"mmmm")</f>
        <v>dezembro</v>
      </c>
      <c r="I7021" t="str">
        <f>TEXT(MONTH(Tabela1[[#This Row],[Último pagto ano]])*29,"mmmm")</f>
        <v>dezembro</v>
      </c>
    </row>
    <row r="7022" spans="1:9" x14ac:dyDescent="0.25">
      <c r="A7022">
        <v>2025</v>
      </c>
      <c r="B7022" t="s">
        <v>13977</v>
      </c>
      <c r="C7022" s="1">
        <v>45814</v>
      </c>
      <c r="D7022" t="s">
        <v>13978</v>
      </c>
      <c r="E7022" s="2">
        <v>16537.5</v>
      </c>
      <c r="G7022" s="3">
        <f>MONTH(Tabela1[[#This Row],[Último pagto ano]])</f>
        <v>6</v>
      </c>
      <c r="H7022" t="str">
        <f>TEXT(Tabela1[[#This Row],[Coluna2]]*29,"mmmm")</f>
        <v>junho</v>
      </c>
      <c r="I7022" t="str">
        <f>TEXT(MONTH(Tabela1[[#This Row],[Último pagto ano]])*29,"mmmm")</f>
        <v>junho</v>
      </c>
    </row>
    <row r="7023" spans="1:9" x14ac:dyDescent="0.25">
      <c r="A7023">
        <v>2025</v>
      </c>
      <c r="B7023" t="s">
        <v>13979</v>
      </c>
      <c r="C7023" s="1">
        <v>45996</v>
      </c>
      <c r="D7023" t="s">
        <v>13980</v>
      </c>
      <c r="E7023" s="2">
        <v>13200</v>
      </c>
      <c r="G7023" s="3">
        <f>MONTH(Tabela1[[#This Row],[Último pagto ano]])</f>
        <v>12</v>
      </c>
      <c r="H7023" t="str">
        <f>TEXT(Tabela1[[#This Row],[Coluna2]]*29,"mmmm")</f>
        <v>dezembro</v>
      </c>
      <c r="I7023" t="str">
        <f>TEXT(MONTH(Tabela1[[#This Row],[Último pagto ano]])*29,"mmmm")</f>
        <v>dezembro</v>
      </c>
    </row>
    <row r="7024" spans="1:9" x14ac:dyDescent="0.25">
      <c r="A7024">
        <v>2025</v>
      </c>
      <c r="B7024" t="s">
        <v>13981</v>
      </c>
      <c r="C7024" s="1">
        <v>45924</v>
      </c>
      <c r="D7024" t="s">
        <v>13982</v>
      </c>
      <c r="E7024" s="2">
        <v>6300</v>
      </c>
      <c r="G7024" s="3">
        <f>MONTH(Tabela1[[#This Row],[Último pagto ano]])</f>
        <v>9</v>
      </c>
      <c r="H7024" t="str">
        <f>TEXT(Tabela1[[#This Row],[Coluna2]]*29,"mmmm")</f>
        <v>setembro</v>
      </c>
      <c r="I7024" t="str">
        <f>TEXT(MONTH(Tabela1[[#This Row],[Último pagto ano]])*29,"mmmm")</f>
        <v>setembro</v>
      </c>
    </row>
    <row r="7025" spans="1:9" x14ac:dyDescent="0.25">
      <c r="A7025">
        <v>2025</v>
      </c>
      <c r="B7025" t="s">
        <v>13983</v>
      </c>
      <c r="C7025" s="1">
        <v>45996</v>
      </c>
      <c r="D7025" t="s">
        <v>13984</v>
      </c>
      <c r="E7025" s="2">
        <v>26066.25</v>
      </c>
      <c r="G7025" s="3">
        <f>MONTH(Tabela1[[#This Row],[Último pagto ano]])</f>
        <v>12</v>
      </c>
      <c r="H7025" t="str">
        <f>TEXT(Tabela1[[#This Row],[Coluna2]]*29,"mmmm")</f>
        <v>dezembro</v>
      </c>
      <c r="I7025" t="str">
        <f>TEXT(MONTH(Tabela1[[#This Row],[Último pagto ano]])*29,"mmmm")</f>
        <v>dezembro</v>
      </c>
    </row>
    <row r="7026" spans="1:9" x14ac:dyDescent="0.25">
      <c r="A7026">
        <v>2025</v>
      </c>
      <c r="B7026" t="s">
        <v>13985</v>
      </c>
      <c r="C7026" s="1">
        <v>45911</v>
      </c>
      <c r="D7026" t="s">
        <v>13986</v>
      </c>
      <c r="E7026" s="2">
        <v>22000</v>
      </c>
      <c r="G7026" s="3">
        <f>MONTH(Tabela1[[#This Row],[Último pagto ano]])</f>
        <v>9</v>
      </c>
      <c r="H7026" t="str">
        <f>TEXT(Tabela1[[#This Row],[Coluna2]]*29,"mmmm")</f>
        <v>setembro</v>
      </c>
      <c r="I7026" t="str">
        <f>TEXT(MONTH(Tabela1[[#This Row],[Último pagto ano]])*29,"mmmm")</f>
        <v>setembro</v>
      </c>
    </row>
    <row r="7027" spans="1:9" x14ac:dyDescent="0.25">
      <c r="A7027">
        <v>2025</v>
      </c>
      <c r="B7027" t="s">
        <v>13987</v>
      </c>
      <c r="C7027" s="1">
        <v>46010</v>
      </c>
      <c r="D7027" t="s">
        <v>13988</v>
      </c>
      <c r="E7027" s="2">
        <v>3500</v>
      </c>
      <c r="G7027" s="3">
        <f>MONTH(Tabela1[[#This Row],[Último pagto ano]])</f>
        <v>12</v>
      </c>
      <c r="H7027" t="str">
        <f>TEXT(Tabela1[[#This Row],[Coluna2]]*29,"mmmm")</f>
        <v>dezembro</v>
      </c>
      <c r="I7027" t="str">
        <f>TEXT(MONTH(Tabela1[[#This Row],[Último pagto ano]])*29,"mmmm")</f>
        <v>dezembro</v>
      </c>
    </row>
    <row r="7028" spans="1:9" x14ac:dyDescent="0.25">
      <c r="A7028">
        <v>2025</v>
      </c>
      <c r="B7028" t="s">
        <v>13989</v>
      </c>
      <c r="C7028" s="1">
        <v>45996</v>
      </c>
      <c r="D7028" t="s">
        <v>13990</v>
      </c>
      <c r="E7028" s="2">
        <v>15600</v>
      </c>
      <c r="G7028" s="3">
        <f>MONTH(Tabela1[[#This Row],[Último pagto ano]])</f>
        <v>12</v>
      </c>
      <c r="H7028" t="str">
        <f>TEXT(Tabela1[[#This Row],[Coluna2]]*29,"mmmm")</f>
        <v>dezembro</v>
      </c>
      <c r="I7028" t="str">
        <f>TEXT(MONTH(Tabela1[[#This Row],[Último pagto ano]])*29,"mmmm")</f>
        <v>dezembro</v>
      </c>
    </row>
    <row r="7029" spans="1:9" x14ac:dyDescent="0.25">
      <c r="A7029">
        <v>2025</v>
      </c>
      <c r="B7029" t="s">
        <v>13991</v>
      </c>
      <c r="C7029" s="1">
        <v>45968</v>
      </c>
      <c r="D7029" t="s">
        <v>13992</v>
      </c>
      <c r="E7029" s="2">
        <v>10000</v>
      </c>
      <c r="G7029" s="3">
        <f>MONTH(Tabela1[[#This Row],[Último pagto ano]])</f>
        <v>11</v>
      </c>
      <c r="H7029" t="str">
        <f>TEXT(Tabela1[[#This Row],[Coluna2]]*29,"mmmm")</f>
        <v>novembro</v>
      </c>
      <c r="I7029" t="str">
        <f>TEXT(MONTH(Tabela1[[#This Row],[Último pagto ano]])*29,"mmmm")</f>
        <v>novembro</v>
      </c>
    </row>
    <row r="7030" spans="1:9" x14ac:dyDescent="0.25">
      <c r="A7030">
        <v>2025</v>
      </c>
      <c r="B7030" t="s">
        <v>13993</v>
      </c>
      <c r="C7030" s="1">
        <v>45943</v>
      </c>
      <c r="D7030" t="s">
        <v>13994</v>
      </c>
      <c r="E7030">
        <v>106.43</v>
      </c>
      <c r="G7030" s="3">
        <f>MONTH(Tabela1[[#This Row],[Último pagto ano]])</f>
        <v>10</v>
      </c>
      <c r="H7030" t="str">
        <f>TEXT(Tabela1[[#This Row],[Coluna2]]*29,"mmmm")</f>
        <v>outubro</v>
      </c>
      <c r="I7030" t="str">
        <f>TEXT(MONTH(Tabela1[[#This Row],[Último pagto ano]])*29,"mmmm")</f>
        <v>outubro</v>
      </c>
    </row>
    <row r="7031" spans="1:9" x14ac:dyDescent="0.25">
      <c r="A7031">
        <v>2025</v>
      </c>
      <c r="B7031" t="s">
        <v>13995</v>
      </c>
      <c r="C7031" s="1">
        <v>46010</v>
      </c>
      <c r="D7031" t="s">
        <v>13996</v>
      </c>
      <c r="E7031" s="2">
        <v>12000</v>
      </c>
      <c r="G7031" s="3">
        <f>MONTH(Tabela1[[#This Row],[Último pagto ano]])</f>
        <v>12</v>
      </c>
      <c r="H7031" t="str">
        <f>TEXT(Tabela1[[#This Row],[Coluna2]]*29,"mmmm")</f>
        <v>dezembro</v>
      </c>
      <c r="I7031" t="str">
        <f>TEXT(MONTH(Tabela1[[#This Row],[Último pagto ano]])*29,"mmmm")</f>
        <v>dezembro</v>
      </c>
    </row>
    <row r="7032" spans="1:9" x14ac:dyDescent="0.25">
      <c r="A7032">
        <v>2025</v>
      </c>
      <c r="B7032" t="s">
        <v>13997</v>
      </c>
      <c r="C7032" s="1">
        <v>45884</v>
      </c>
      <c r="D7032" t="s">
        <v>13998</v>
      </c>
      <c r="E7032" s="2">
        <v>2275.06</v>
      </c>
      <c r="G7032" s="3">
        <f>MONTH(Tabela1[[#This Row],[Último pagto ano]])</f>
        <v>8</v>
      </c>
      <c r="H7032" t="str">
        <f>TEXT(Tabela1[[#This Row],[Coluna2]]*29,"mmmm")</f>
        <v>agosto</v>
      </c>
      <c r="I7032" t="str">
        <f>TEXT(MONTH(Tabela1[[#This Row],[Último pagto ano]])*29,"mmmm")</f>
        <v>agosto</v>
      </c>
    </row>
    <row r="7033" spans="1:9" x14ac:dyDescent="0.25">
      <c r="A7033">
        <v>2025</v>
      </c>
      <c r="B7033" t="s">
        <v>13999</v>
      </c>
      <c r="C7033" s="1">
        <v>46010</v>
      </c>
      <c r="D7033" t="s">
        <v>14000</v>
      </c>
      <c r="E7033" s="2">
        <v>334800</v>
      </c>
      <c r="G7033" s="3">
        <f>MONTH(Tabela1[[#This Row],[Último pagto ano]])</f>
        <v>12</v>
      </c>
      <c r="H7033" t="str">
        <f>TEXT(Tabela1[[#This Row],[Coluna2]]*29,"mmmm")</f>
        <v>dezembro</v>
      </c>
      <c r="I7033" t="str">
        <f>TEXT(MONTH(Tabela1[[#This Row],[Último pagto ano]])*29,"mmmm")</f>
        <v>dezembro</v>
      </c>
    </row>
    <row r="7034" spans="1:9" x14ac:dyDescent="0.25">
      <c r="A7034">
        <v>2025</v>
      </c>
      <c r="B7034" t="s">
        <v>14001</v>
      </c>
      <c r="C7034" s="1">
        <v>46013</v>
      </c>
      <c r="D7034" t="s">
        <v>14002</v>
      </c>
      <c r="E7034" s="2">
        <v>7714.2</v>
      </c>
      <c r="G7034" s="3">
        <f>MONTH(Tabela1[[#This Row],[Último pagto ano]])</f>
        <v>12</v>
      </c>
      <c r="H7034" t="str">
        <f>TEXT(Tabela1[[#This Row],[Coluna2]]*29,"mmmm")</f>
        <v>dezembro</v>
      </c>
      <c r="I7034" t="str">
        <f>TEXT(MONTH(Tabela1[[#This Row],[Último pagto ano]])*29,"mmmm")</f>
        <v>dezembro</v>
      </c>
    </row>
    <row r="7035" spans="1:9" x14ac:dyDescent="0.25">
      <c r="A7035">
        <v>2025</v>
      </c>
      <c r="B7035" t="s">
        <v>14003</v>
      </c>
      <c r="C7035" s="1">
        <v>46007</v>
      </c>
      <c r="D7035" t="s">
        <v>14004</v>
      </c>
      <c r="E7035" s="2">
        <v>128572.56</v>
      </c>
      <c r="G7035" s="3">
        <f>MONTH(Tabela1[[#This Row],[Último pagto ano]])</f>
        <v>12</v>
      </c>
      <c r="H7035" t="str">
        <f>TEXT(Tabela1[[#This Row],[Coluna2]]*29,"mmmm")</f>
        <v>dezembro</v>
      </c>
      <c r="I7035" t="str">
        <f>TEXT(MONTH(Tabela1[[#This Row],[Último pagto ano]])*29,"mmmm")</f>
        <v>dezembro</v>
      </c>
    </row>
    <row r="7036" spans="1:9" x14ac:dyDescent="0.25">
      <c r="A7036">
        <v>2025</v>
      </c>
      <c r="B7036" t="s">
        <v>14005</v>
      </c>
      <c r="C7036" s="1">
        <v>45716</v>
      </c>
      <c r="D7036" t="s">
        <v>14006</v>
      </c>
      <c r="E7036" s="2">
        <v>1995.85</v>
      </c>
      <c r="G7036" s="3">
        <f>MONTH(Tabela1[[#This Row],[Último pagto ano]])</f>
        <v>2</v>
      </c>
      <c r="H7036" t="str">
        <f>TEXT(Tabela1[[#This Row],[Coluna2]]*29,"mmmm")</f>
        <v>fevereiro</v>
      </c>
      <c r="I7036" t="str">
        <f>TEXT(MONTH(Tabela1[[#This Row],[Último pagto ano]])*29,"mmmm")</f>
        <v>fevereiro</v>
      </c>
    </row>
    <row r="7037" spans="1:9" x14ac:dyDescent="0.25">
      <c r="A7037">
        <v>2025</v>
      </c>
      <c r="B7037" t="s">
        <v>14007</v>
      </c>
      <c r="C7037" s="1">
        <v>45922</v>
      </c>
      <c r="D7037" t="s">
        <v>14008</v>
      </c>
      <c r="E7037">
        <v>22</v>
      </c>
      <c r="G7037" s="3">
        <f>MONTH(Tabela1[[#This Row],[Último pagto ano]])</f>
        <v>9</v>
      </c>
      <c r="H7037" t="str">
        <f>TEXT(Tabela1[[#This Row],[Coluna2]]*29,"mmmm")</f>
        <v>setembro</v>
      </c>
      <c r="I7037" t="str">
        <f>TEXT(MONTH(Tabela1[[#This Row],[Último pagto ano]])*29,"mmmm")</f>
        <v>setembro</v>
      </c>
    </row>
    <row r="7038" spans="1:9" x14ac:dyDescent="0.25">
      <c r="A7038">
        <v>2025</v>
      </c>
      <c r="B7038" t="s">
        <v>14009</v>
      </c>
      <c r="C7038" s="1">
        <v>45702</v>
      </c>
      <c r="D7038" t="s">
        <v>14010</v>
      </c>
      <c r="E7038">
        <v>103.86</v>
      </c>
      <c r="G7038" s="3">
        <f>MONTH(Tabela1[[#This Row],[Último pagto ano]])</f>
        <v>2</v>
      </c>
      <c r="H7038" t="str">
        <f>TEXT(Tabela1[[#This Row],[Coluna2]]*29,"mmmm")</f>
        <v>fevereiro</v>
      </c>
      <c r="I7038" t="str">
        <f>TEXT(MONTH(Tabela1[[#This Row],[Último pagto ano]])*29,"mmmm")</f>
        <v>fevereiro</v>
      </c>
    </row>
    <row r="7039" spans="1:9" x14ac:dyDescent="0.25">
      <c r="A7039">
        <v>2025</v>
      </c>
      <c r="B7039" t="s">
        <v>14011</v>
      </c>
      <c r="C7039" s="1">
        <v>45702</v>
      </c>
      <c r="D7039" t="s">
        <v>14012</v>
      </c>
      <c r="E7039">
        <v>174.7</v>
      </c>
      <c r="G7039" s="3">
        <f>MONTH(Tabela1[[#This Row],[Último pagto ano]])</f>
        <v>2</v>
      </c>
      <c r="H7039" t="str">
        <f>TEXT(Tabela1[[#This Row],[Coluna2]]*29,"mmmm")</f>
        <v>fevereiro</v>
      </c>
      <c r="I7039" t="str">
        <f>TEXT(MONTH(Tabela1[[#This Row],[Último pagto ano]])*29,"mmmm")</f>
        <v>fevereiro</v>
      </c>
    </row>
    <row r="7040" spans="1:9" x14ac:dyDescent="0.25">
      <c r="A7040">
        <v>2025</v>
      </c>
      <c r="B7040" t="s">
        <v>14013</v>
      </c>
      <c r="C7040" s="1">
        <v>46010</v>
      </c>
      <c r="D7040" t="s">
        <v>14014</v>
      </c>
      <c r="E7040" s="2">
        <v>3500</v>
      </c>
      <c r="G7040" s="3">
        <f>MONTH(Tabela1[[#This Row],[Último pagto ano]])</f>
        <v>12</v>
      </c>
      <c r="H7040" t="str">
        <f>TEXT(Tabela1[[#This Row],[Coluna2]]*29,"mmmm")</f>
        <v>dezembro</v>
      </c>
      <c r="I7040" t="str">
        <f>TEXT(MONTH(Tabela1[[#This Row],[Último pagto ano]])*29,"mmmm")</f>
        <v>dezembro</v>
      </c>
    </row>
    <row r="7041" spans="1:9" x14ac:dyDescent="0.25">
      <c r="A7041">
        <v>2025</v>
      </c>
      <c r="B7041" t="s">
        <v>14015</v>
      </c>
      <c r="C7041" s="1">
        <v>45975</v>
      </c>
      <c r="D7041" t="s">
        <v>14016</v>
      </c>
      <c r="E7041">
        <v>41.7</v>
      </c>
      <c r="G7041" s="3">
        <f>MONTH(Tabela1[[#This Row],[Último pagto ano]])</f>
        <v>11</v>
      </c>
      <c r="H7041" t="str">
        <f>TEXT(Tabela1[[#This Row],[Coluna2]]*29,"mmmm")</f>
        <v>novembro</v>
      </c>
      <c r="I7041" t="str">
        <f>TEXT(MONTH(Tabela1[[#This Row],[Último pagto ano]])*29,"mmmm")</f>
        <v>novembro</v>
      </c>
    </row>
    <row r="7042" spans="1:9" x14ac:dyDescent="0.25">
      <c r="A7042">
        <v>2025</v>
      </c>
      <c r="B7042" t="s">
        <v>14017</v>
      </c>
      <c r="C7042" s="1">
        <v>45954</v>
      </c>
      <c r="D7042" t="s">
        <v>14018</v>
      </c>
      <c r="E7042" s="2">
        <v>10571.69</v>
      </c>
      <c r="G7042" s="3">
        <f>MONTH(Tabela1[[#This Row],[Último pagto ano]])</f>
        <v>10</v>
      </c>
      <c r="H7042" t="str">
        <f>TEXT(Tabela1[[#This Row],[Coluna2]]*29,"mmmm")</f>
        <v>outubro</v>
      </c>
      <c r="I7042" t="str">
        <f>TEXT(MONTH(Tabela1[[#This Row],[Último pagto ano]])*29,"mmmm")</f>
        <v>outubro</v>
      </c>
    </row>
    <row r="7043" spans="1:9" x14ac:dyDescent="0.25">
      <c r="A7043">
        <v>2025</v>
      </c>
      <c r="B7043" t="s">
        <v>14019</v>
      </c>
      <c r="C7043" s="1">
        <v>45868</v>
      </c>
      <c r="D7043" t="s">
        <v>14020</v>
      </c>
      <c r="E7043" s="2">
        <v>5570.57</v>
      </c>
      <c r="G7043" s="3">
        <f>MONTH(Tabela1[[#This Row],[Último pagto ano]])</f>
        <v>7</v>
      </c>
      <c r="H7043" t="str">
        <f>TEXT(Tabela1[[#This Row],[Coluna2]]*29,"mmmm")</f>
        <v>julho</v>
      </c>
      <c r="I7043" t="str">
        <f>TEXT(MONTH(Tabela1[[#This Row],[Último pagto ano]])*29,"mmmm")</f>
        <v>julho</v>
      </c>
    </row>
    <row r="7044" spans="1:9" x14ac:dyDescent="0.25">
      <c r="A7044">
        <v>2025</v>
      </c>
      <c r="B7044" t="s">
        <v>14021</v>
      </c>
      <c r="C7044" s="1">
        <v>46014</v>
      </c>
      <c r="D7044" t="s">
        <v>14022</v>
      </c>
      <c r="E7044" s="2">
        <v>240696.6</v>
      </c>
      <c r="G7044" s="3">
        <f>MONTH(Tabela1[[#This Row],[Último pagto ano]])</f>
        <v>12</v>
      </c>
      <c r="H7044" t="str">
        <f>TEXT(Tabela1[[#This Row],[Coluna2]]*29,"mmmm")</f>
        <v>dezembro</v>
      </c>
      <c r="I7044" t="str">
        <f>TEXT(MONTH(Tabela1[[#This Row],[Último pagto ano]])*29,"mmmm")</f>
        <v>dezembro</v>
      </c>
    </row>
    <row r="7045" spans="1:9" x14ac:dyDescent="0.25">
      <c r="A7045">
        <v>2025</v>
      </c>
      <c r="B7045" t="s">
        <v>14023</v>
      </c>
      <c r="C7045" s="1">
        <v>45880</v>
      </c>
      <c r="D7045" t="s">
        <v>14024</v>
      </c>
      <c r="E7045">
        <v>51.8</v>
      </c>
      <c r="G7045" s="3">
        <f>MONTH(Tabela1[[#This Row],[Último pagto ano]])</f>
        <v>8</v>
      </c>
      <c r="H7045" t="str">
        <f>TEXT(Tabela1[[#This Row],[Coluna2]]*29,"mmmm")</f>
        <v>agosto</v>
      </c>
      <c r="I7045" t="str">
        <f>TEXT(MONTH(Tabela1[[#This Row],[Último pagto ano]])*29,"mmmm")</f>
        <v>agosto</v>
      </c>
    </row>
    <row r="7046" spans="1:9" x14ac:dyDescent="0.25">
      <c r="A7046">
        <v>2025</v>
      </c>
      <c r="B7046" t="s">
        <v>14025</v>
      </c>
      <c r="C7046" s="1">
        <v>46010</v>
      </c>
      <c r="D7046" t="s">
        <v>14026</v>
      </c>
      <c r="E7046" s="2">
        <v>8400</v>
      </c>
      <c r="G7046" s="3">
        <f>MONTH(Tabela1[[#This Row],[Último pagto ano]])</f>
        <v>12</v>
      </c>
      <c r="H7046" t="str">
        <f>TEXT(Tabela1[[#This Row],[Coluna2]]*29,"mmmm")</f>
        <v>dezembro</v>
      </c>
      <c r="I7046" t="str">
        <f>TEXT(MONTH(Tabela1[[#This Row],[Último pagto ano]])*29,"mmmm")</f>
        <v>dezembro</v>
      </c>
    </row>
    <row r="7047" spans="1:9" x14ac:dyDescent="0.25">
      <c r="A7047">
        <v>2025</v>
      </c>
      <c r="B7047" t="s">
        <v>14027</v>
      </c>
      <c r="C7047" s="1">
        <v>45728</v>
      </c>
      <c r="D7047" t="s">
        <v>14028</v>
      </c>
      <c r="E7047">
        <v>11</v>
      </c>
      <c r="G7047" s="3">
        <f>MONTH(Tabela1[[#This Row],[Último pagto ano]])</f>
        <v>3</v>
      </c>
      <c r="H7047" t="str">
        <f>TEXT(Tabela1[[#This Row],[Coluna2]]*29,"mmmm")</f>
        <v>março</v>
      </c>
      <c r="I7047" t="str">
        <f>TEXT(MONTH(Tabela1[[#This Row],[Último pagto ano]])*29,"mmmm")</f>
        <v>março</v>
      </c>
    </row>
    <row r="7048" spans="1:9" x14ac:dyDescent="0.25">
      <c r="A7048">
        <v>2025</v>
      </c>
      <c r="B7048" t="s">
        <v>14029</v>
      </c>
      <c r="C7048" s="1">
        <v>46006</v>
      </c>
      <c r="D7048" t="s">
        <v>14030</v>
      </c>
      <c r="E7048" s="2">
        <v>66265.5</v>
      </c>
      <c r="G7048" s="3">
        <f>MONTH(Tabela1[[#This Row],[Último pagto ano]])</f>
        <v>12</v>
      </c>
      <c r="H7048" t="str">
        <f>TEXT(Tabela1[[#This Row],[Coluna2]]*29,"mmmm")</f>
        <v>dezembro</v>
      </c>
      <c r="I7048" t="str">
        <f>TEXT(MONTH(Tabela1[[#This Row],[Último pagto ano]])*29,"mmmm")</f>
        <v>dezembro</v>
      </c>
    </row>
    <row r="7049" spans="1:9" x14ac:dyDescent="0.25">
      <c r="A7049">
        <v>2025</v>
      </c>
      <c r="B7049" t="s">
        <v>14031</v>
      </c>
      <c r="C7049" s="1">
        <v>45709</v>
      </c>
      <c r="D7049" t="s">
        <v>14032</v>
      </c>
      <c r="E7049">
        <v>127.74</v>
      </c>
      <c r="G7049" s="3">
        <f>MONTH(Tabela1[[#This Row],[Último pagto ano]])</f>
        <v>2</v>
      </c>
      <c r="H7049" t="str">
        <f>TEXT(Tabela1[[#This Row],[Coluna2]]*29,"mmmm")</f>
        <v>fevereiro</v>
      </c>
      <c r="I7049" t="str">
        <f>TEXT(MONTH(Tabela1[[#This Row],[Último pagto ano]])*29,"mmmm")</f>
        <v>fevereiro</v>
      </c>
    </row>
    <row r="7050" spans="1:9" x14ac:dyDescent="0.25">
      <c r="A7050">
        <v>2025</v>
      </c>
      <c r="B7050" t="s">
        <v>14033</v>
      </c>
      <c r="C7050" s="1">
        <v>45989</v>
      </c>
      <c r="D7050" t="s">
        <v>14034</v>
      </c>
      <c r="E7050" s="2">
        <v>3516.67</v>
      </c>
      <c r="G7050" s="3">
        <f>MONTH(Tabela1[[#This Row],[Último pagto ano]])</f>
        <v>11</v>
      </c>
      <c r="H7050" t="str">
        <f>TEXT(Tabela1[[#This Row],[Coluna2]]*29,"mmmm")</f>
        <v>novembro</v>
      </c>
      <c r="I7050" t="str">
        <f>TEXT(MONTH(Tabela1[[#This Row],[Último pagto ano]])*29,"mmmm")</f>
        <v>novembro</v>
      </c>
    </row>
    <row r="7051" spans="1:9" x14ac:dyDescent="0.25">
      <c r="A7051">
        <v>2025</v>
      </c>
      <c r="B7051" t="s">
        <v>14035</v>
      </c>
      <c r="C7051" s="1">
        <v>45897</v>
      </c>
      <c r="D7051" t="s">
        <v>14036</v>
      </c>
      <c r="E7051" s="2">
        <v>1425.6</v>
      </c>
      <c r="G7051" s="3">
        <f>MONTH(Tabela1[[#This Row],[Último pagto ano]])</f>
        <v>8</v>
      </c>
      <c r="H7051" t="str">
        <f>TEXT(Tabela1[[#This Row],[Coluna2]]*29,"mmmm")</f>
        <v>agosto</v>
      </c>
      <c r="I7051" t="str">
        <f>TEXT(MONTH(Tabela1[[#This Row],[Último pagto ano]])*29,"mmmm")</f>
        <v>agosto</v>
      </c>
    </row>
    <row r="7052" spans="1:9" x14ac:dyDescent="0.25">
      <c r="A7052">
        <v>2025</v>
      </c>
      <c r="B7052" t="s">
        <v>14037</v>
      </c>
      <c r="C7052" s="1">
        <v>46010</v>
      </c>
      <c r="D7052" t="s">
        <v>14038</v>
      </c>
      <c r="E7052" s="2">
        <v>8400</v>
      </c>
      <c r="G7052" s="3">
        <f>MONTH(Tabela1[[#This Row],[Último pagto ano]])</f>
        <v>12</v>
      </c>
      <c r="H7052" t="str">
        <f>TEXT(Tabela1[[#This Row],[Coluna2]]*29,"mmmm")</f>
        <v>dezembro</v>
      </c>
      <c r="I7052" t="str">
        <f>TEXT(MONTH(Tabela1[[#This Row],[Último pagto ano]])*29,"mmmm")</f>
        <v>dezembro</v>
      </c>
    </row>
    <row r="7053" spans="1:9" x14ac:dyDescent="0.25">
      <c r="A7053">
        <v>2025</v>
      </c>
      <c r="B7053" t="s">
        <v>14039</v>
      </c>
      <c r="C7053" s="1">
        <v>45996</v>
      </c>
      <c r="D7053" t="s">
        <v>14040</v>
      </c>
      <c r="E7053" s="2">
        <v>42525</v>
      </c>
      <c r="G7053" s="3">
        <f>MONTH(Tabela1[[#This Row],[Último pagto ano]])</f>
        <v>12</v>
      </c>
      <c r="H7053" t="str">
        <f>TEXT(Tabela1[[#This Row],[Coluna2]]*29,"mmmm")</f>
        <v>dezembro</v>
      </c>
      <c r="I7053" t="str">
        <f>TEXT(MONTH(Tabela1[[#This Row],[Último pagto ano]])*29,"mmmm")</f>
        <v>dezembro</v>
      </c>
    </row>
    <row r="7054" spans="1:9" x14ac:dyDescent="0.25">
      <c r="A7054">
        <v>2025</v>
      </c>
      <c r="B7054" t="s">
        <v>14041</v>
      </c>
      <c r="C7054" s="1">
        <v>45979</v>
      </c>
      <c r="D7054" t="s">
        <v>14042</v>
      </c>
      <c r="E7054" s="2">
        <v>51000</v>
      </c>
      <c r="G7054" s="3">
        <f>MONTH(Tabela1[[#This Row],[Último pagto ano]])</f>
        <v>11</v>
      </c>
      <c r="H7054" t="str">
        <f>TEXT(Tabela1[[#This Row],[Coluna2]]*29,"mmmm")</f>
        <v>novembro</v>
      </c>
      <c r="I7054" t="str">
        <f>TEXT(MONTH(Tabela1[[#This Row],[Último pagto ano]])*29,"mmmm")</f>
        <v>novembro</v>
      </c>
    </row>
    <row r="7055" spans="1:9" x14ac:dyDescent="0.25">
      <c r="A7055">
        <v>2025</v>
      </c>
      <c r="B7055" t="s">
        <v>14043</v>
      </c>
      <c r="C7055" s="1">
        <v>45992</v>
      </c>
      <c r="D7055" t="s">
        <v>14044</v>
      </c>
      <c r="E7055" s="2">
        <v>26513.01</v>
      </c>
      <c r="G7055" s="3">
        <f>MONTH(Tabela1[[#This Row],[Último pagto ano]])</f>
        <v>12</v>
      </c>
      <c r="H7055" t="str">
        <f>TEXT(Tabela1[[#This Row],[Coluna2]]*29,"mmmm")</f>
        <v>dezembro</v>
      </c>
      <c r="I7055" t="str">
        <f>TEXT(MONTH(Tabela1[[#This Row],[Último pagto ano]])*29,"mmmm")</f>
        <v>dezembro</v>
      </c>
    </row>
    <row r="7056" spans="1:9" x14ac:dyDescent="0.25">
      <c r="A7056">
        <v>2025</v>
      </c>
      <c r="B7056" t="s">
        <v>14045</v>
      </c>
      <c r="C7056" s="1">
        <v>45863</v>
      </c>
      <c r="D7056" t="s">
        <v>14046</v>
      </c>
      <c r="E7056">
        <v>444.6</v>
      </c>
      <c r="G7056" s="3">
        <f>MONTH(Tabela1[[#This Row],[Último pagto ano]])</f>
        <v>7</v>
      </c>
      <c r="H7056" t="str">
        <f>TEXT(Tabela1[[#This Row],[Coluna2]]*29,"mmmm")</f>
        <v>julho</v>
      </c>
      <c r="I7056" t="str">
        <f>TEXT(MONTH(Tabela1[[#This Row],[Último pagto ano]])*29,"mmmm")</f>
        <v>julho</v>
      </c>
    </row>
    <row r="7057" spans="1:9" x14ac:dyDescent="0.25">
      <c r="A7057">
        <v>2025</v>
      </c>
      <c r="B7057" t="s">
        <v>14047</v>
      </c>
      <c r="C7057" s="1">
        <v>45908</v>
      </c>
      <c r="D7057" t="s">
        <v>14048</v>
      </c>
      <c r="E7057">
        <v>4.7699999999999996</v>
      </c>
      <c r="G7057" s="3">
        <f>MONTH(Tabela1[[#This Row],[Último pagto ano]])</f>
        <v>9</v>
      </c>
      <c r="H7057" t="str">
        <f>TEXT(Tabela1[[#This Row],[Coluna2]]*29,"mmmm")</f>
        <v>setembro</v>
      </c>
      <c r="I7057" t="str">
        <f>TEXT(MONTH(Tabela1[[#This Row],[Último pagto ano]])*29,"mmmm")</f>
        <v>setembro</v>
      </c>
    </row>
    <row r="7058" spans="1:9" x14ac:dyDescent="0.25">
      <c r="A7058">
        <v>2025</v>
      </c>
      <c r="B7058" t="s">
        <v>14049</v>
      </c>
      <c r="C7058" s="1">
        <v>46010</v>
      </c>
      <c r="D7058" t="s">
        <v>14050</v>
      </c>
      <c r="E7058" s="2">
        <v>2100</v>
      </c>
      <c r="G7058" s="3">
        <f>MONTH(Tabela1[[#This Row],[Último pagto ano]])</f>
        <v>12</v>
      </c>
      <c r="H7058" t="str">
        <f>TEXT(Tabela1[[#This Row],[Coluna2]]*29,"mmmm")</f>
        <v>dezembro</v>
      </c>
      <c r="I7058" t="str">
        <f>TEXT(MONTH(Tabela1[[#This Row],[Último pagto ano]])*29,"mmmm")</f>
        <v>dezembro</v>
      </c>
    </row>
    <row r="7059" spans="1:9" x14ac:dyDescent="0.25">
      <c r="A7059">
        <v>2025</v>
      </c>
      <c r="B7059" t="s">
        <v>14051</v>
      </c>
      <c r="C7059" s="1">
        <v>46010</v>
      </c>
      <c r="D7059" t="s">
        <v>14052</v>
      </c>
      <c r="E7059" s="2">
        <v>3500</v>
      </c>
      <c r="G7059" s="3">
        <f>MONTH(Tabela1[[#This Row],[Último pagto ano]])</f>
        <v>12</v>
      </c>
      <c r="H7059" t="str">
        <f>TEXT(Tabela1[[#This Row],[Coluna2]]*29,"mmmm")</f>
        <v>dezembro</v>
      </c>
      <c r="I7059" t="str">
        <f>TEXT(MONTH(Tabela1[[#This Row],[Último pagto ano]])*29,"mmmm")</f>
        <v>dezembro</v>
      </c>
    </row>
    <row r="7060" spans="1:9" x14ac:dyDescent="0.25">
      <c r="A7060">
        <v>2025</v>
      </c>
      <c r="B7060" t="s">
        <v>14053</v>
      </c>
      <c r="C7060" s="1">
        <v>45754</v>
      </c>
      <c r="D7060" t="s">
        <v>14054</v>
      </c>
      <c r="E7060" s="2">
        <v>29400</v>
      </c>
      <c r="G7060" s="3">
        <f>MONTH(Tabela1[[#This Row],[Último pagto ano]])</f>
        <v>4</v>
      </c>
      <c r="H7060" t="str">
        <f>TEXT(Tabela1[[#This Row],[Coluna2]]*29,"mmmm")</f>
        <v>abril</v>
      </c>
      <c r="I7060" t="str">
        <f>TEXT(MONTH(Tabela1[[#This Row],[Último pagto ano]])*29,"mmmm")</f>
        <v>abril</v>
      </c>
    </row>
    <row r="7061" spans="1:9" x14ac:dyDescent="0.25">
      <c r="A7061">
        <v>2025</v>
      </c>
      <c r="B7061" t="s">
        <v>14055</v>
      </c>
      <c r="C7061" s="1">
        <v>46014</v>
      </c>
      <c r="D7061" t="s">
        <v>14056</v>
      </c>
      <c r="E7061" s="2">
        <v>6145143.9500000002</v>
      </c>
      <c r="G7061" s="3">
        <f>MONTH(Tabela1[[#This Row],[Último pagto ano]])</f>
        <v>12</v>
      </c>
      <c r="H7061" t="str">
        <f>TEXT(Tabela1[[#This Row],[Coluna2]]*29,"mmmm")</f>
        <v>dezembro</v>
      </c>
      <c r="I7061" t="str">
        <f>TEXT(MONTH(Tabela1[[#This Row],[Último pagto ano]])*29,"mmmm")</f>
        <v>dezembro</v>
      </c>
    </row>
    <row r="7062" spans="1:9" x14ac:dyDescent="0.25">
      <c r="A7062">
        <v>2025</v>
      </c>
      <c r="B7062" t="s">
        <v>14057</v>
      </c>
      <c r="C7062" s="1">
        <v>46006</v>
      </c>
      <c r="D7062" t="s">
        <v>14058</v>
      </c>
      <c r="E7062" s="2">
        <v>13004.48</v>
      </c>
      <c r="G7062" s="3">
        <f>MONTH(Tabela1[[#This Row],[Último pagto ano]])</f>
        <v>12</v>
      </c>
      <c r="H7062" t="str">
        <f>TEXT(Tabela1[[#This Row],[Coluna2]]*29,"mmmm")</f>
        <v>dezembro</v>
      </c>
      <c r="I7062" t="str">
        <f>TEXT(MONTH(Tabela1[[#This Row],[Último pagto ano]])*29,"mmmm")</f>
        <v>dezembro</v>
      </c>
    </row>
    <row r="7063" spans="1:9" x14ac:dyDescent="0.25">
      <c r="A7063">
        <v>2025</v>
      </c>
      <c r="B7063" t="s">
        <v>14059</v>
      </c>
      <c r="C7063" s="1">
        <v>45979</v>
      </c>
      <c r="D7063" t="s">
        <v>14060</v>
      </c>
      <c r="E7063" s="2">
        <v>5550.92</v>
      </c>
      <c r="G7063" s="3">
        <f>MONTH(Tabela1[[#This Row],[Último pagto ano]])</f>
        <v>11</v>
      </c>
      <c r="H7063" t="str">
        <f>TEXT(Tabela1[[#This Row],[Coluna2]]*29,"mmmm")</f>
        <v>novembro</v>
      </c>
      <c r="I7063" t="str">
        <f>TEXT(MONTH(Tabela1[[#This Row],[Último pagto ano]])*29,"mmmm")</f>
        <v>novembro</v>
      </c>
    </row>
    <row r="7064" spans="1:9" x14ac:dyDescent="0.25">
      <c r="A7064">
        <v>2025</v>
      </c>
      <c r="B7064" t="s">
        <v>14061</v>
      </c>
      <c r="C7064" s="1">
        <v>46014</v>
      </c>
      <c r="D7064" t="s">
        <v>14062</v>
      </c>
      <c r="E7064" s="2">
        <v>56000</v>
      </c>
      <c r="G7064" s="3">
        <f>MONTH(Tabela1[[#This Row],[Último pagto ano]])</f>
        <v>12</v>
      </c>
      <c r="H7064" t="str">
        <f>TEXT(Tabela1[[#This Row],[Coluna2]]*29,"mmmm")</f>
        <v>dezembro</v>
      </c>
      <c r="I7064" t="str">
        <f>TEXT(MONTH(Tabela1[[#This Row],[Último pagto ano]])*29,"mmmm")</f>
        <v>dezembro</v>
      </c>
    </row>
    <row r="7065" spans="1:9" x14ac:dyDescent="0.25">
      <c r="A7065">
        <v>2025</v>
      </c>
      <c r="B7065" t="s">
        <v>14063</v>
      </c>
      <c r="C7065" s="1">
        <v>45702</v>
      </c>
      <c r="D7065" t="s">
        <v>14064</v>
      </c>
      <c r="E7065">
        <v>175.93</v>
      </c>
      <c r="G7065" s="3">
        <f>MONTH(Tabela1[[#This Row],[Último pagto ano]])</f>
        <v>2</v>
      </c>
      <c r="H7065" t="str">
        <f>TEXT(Tabela1[[#This Row],[Coluna2]]*29,"mmmm")</f>
        <v>fevereiro</v>
      </c>
      <c r="I7065" t="str">
        <f>TEXT(MONTH(Tabela1[[#This Row],[Último pagto ano]])*29,"mmmm")</f>
        <v>fevereiro</v>
      </c>
    </row>
    <row r="7066" spans="1:9" x14ac:dyDescent="0.25">
      <c r="A7066">
        <v>2025</v>
      </c>
      <c r="B7066" t="s">
        <v>14065</v>
      </c>
      <c r="C7066" s="1">
        <v>45702</v>
      </c>
      <c r="D7066" t="s">
        <v>14066</v>
      </c>
      <c r="E7066">
        <v>196.76</v>
      </c>
      <c r="G7066" s="3">
        <f>MONTH(Tabela1[[#This Row],[Último pagto ano]])</f>
        <v>2</v>
      </c>
      <c r="H7066" t="str">
        <f>TEXT(Tabela1[[#This Row],[Coluna2]]*29,"mmmm")</f>
        <v>fevereiro</v>
      </c>
      <c r="I7066" t="str">
        <f>TEXT(MONTH(Tabela1[[#This Row],[Último pagto ano]])*29,"mmmm")</f>
        <v>fevereiro</v>
      </c>
    </row>
    <row r="7067" spans="1:9" x14ac:dyDescent="0.25">
      <c r="A7067">
        <v>2025</v>
      </c>
      <c r="B7067" t="s">
        <v>14067</v>
      </c>
      <c r="C7067" s="1">
        <v>45775</v>
      </c>
      <c r="D7067" t="s">
        <v>14068</v>
      </c>
      <c r="E7067">
        <v>518.4</v>
      </c>
      <c r="G7067" s="3">
        <f>MONTH(Tabela1[[#This Row],[Último pagto ano]])</f>
        <v>4</v>
      </c>
      <c r="H7067" t="str">
        <f>TEXT(Tabela1[[#This Row],[Coluna2]]*29,"mmmm")</f>
        <v>abril</v>
      </c>
      <c r="I7067" t="str">
        <f>TEXT(MONTH(Tabela1[[#This Row],[Último pagto ano]])*29,"mmmm")</f>
        <v>abril</v>
      </c>
    </row>
    <row r="7068" spans="1:9" x14ac:dyDescent="0.25">
      <c r="A7068">
        <v>2025</v>
      </c>
      <c r="B7068" t="s">
        <v>14069</v>
      </c>
      <c r="C7068" s="1">
        <v>45968</v>
      </c>
      <c r="D7068" t="s">
        <v>14070</v>
      </c>
      <c r="E7068" s="2">
        <v>5000</v>
      </c>
      <c r="G7068" s="3">
        <f>MONTH(Tabela1[[#This Row],[Último pagto ano]])</f>
        <v>11</v>
      </c>
      <c r="H7068" t="str">
        <f>TEXT(Tabela1[[#This Row],[Coluna2]]*29,"mmmm")</f>
        <v>novembro</v>
      </c>
      <c r="I7068" t="str">
        <f>TEXT(MONTH(Tabela1[[#This Row],[Último pagto ano]])*29,"mmmm")</f>
        <v>novembro</v>
      </c>
    </row>
    <row r="7069" spans="1:9" x14ac:dyDescent="0.25">
      <c r="A7069">
        <v>2025</v>
      </c>
      <c r="B7069" t="s">
        <v>14071</v>
      </c>
      <c r="C7069" s="1">
        <v>45744</v>
      </c>
      <c r="D7069" t="s">
        <v>14072</v>
      </c>
      <c r="E7069" s="2">
        <v>8397.6</v>
      </c>
      <c r="G7069" s="3">
        <f>MONTH(Tabela1[[#This Row],[Último pagto ano]])</f>
        <v>3</v>
      </c>
      <c r="H7069" t="str">
        <f>TEXT(Tabela1[[#This Row],[Coluna2]]*29,"mmmm")</f>
        <v>março</v>
      </c>
      <c r="I7069" t="str">
        <f>TEXT(MONTH(Tabela1[[#This Row],[Último pagto ano]])*29,"mmmm")</f>
        <v>março</v>
      </c>
    </row>
    <row r="7070" spans="1:9" x14ac:dyDescent="0.25">
      <c r="A7070">
        <v>2025</v>
      </c>
      <c r="B7070" t="s">
        <v>14073</v>
      </c>
      <c r="C7070" s="1">
        <v>46006</v>
      </c>
      <c r="D7070" t="s">
        <v>14074</v>
      </c>
      <c r="E7070">
        <v>700</v>
      </c>
      <c r="G7070" s="3">
        <f>MONTH(Tabela1[[#This Row],[Último pagto ano]])</f>
        <v>12</v>
      </c>
      <c r="H7070" t="str">
        <f>TEXT(Tabela1[[#This Row],[Coluna2]]*29,"mmmm")</f>
        <v>dezembro</v>
      </c>
      <c r="I7070" t="str">
        <f>TEXT(MONTH(Tabela1[[#This Row],[Último pagto ano]])*29,"mmmm")</f>
        <v>dezembro</v>
      </c>
    </row>
    <row r="7071" spans="1:9" x14ac:dyDescent="0.25">
      <c r="A7071">
        <v>2025</v>
      </c>
      <c r="B7071" t="s">
        <v>14075</v>
      </c>
      <c r="C7071" s="1">
        <v>45926</v>
      </c>
      <c r="D7071" t="s">
        <v>14076</v>
      </c>
      <c r="E7071" s="2">
        <v>7446.53</v>
      </c>
      <c r="G7071" s="3">
        <f>MONTH(Tabela1[[#This Row],[Último pagto ano]])</f>
        <v>9</v>
      </c>
      <c r="H7071" t="str">
        <f>TEXT(Tabela1[[#This Row],[Coluna2]]*29,"mmmm")</f>
        <v>setembro</v>
      </c>
      <c r="I7071" t="str">
        <f>TEXT(MONTH(Tabela1[[#This Row],[Último pagto ano]])*29,"mmmm")</f>
        <v>setembro</v>
      </c>
    </row>
    <row r="7072" spans="1:9" x14ac:dyDescent="0.25">
      <c r="A7072">
        <v>2025</v>
      </c>
      <c r="B7072" t="s">
        <v>14077</v>
      </c>
      <c r="C7072" s="1">
        <v>45985</v>
      </c>
      <c r="D7072" t="s">
        <v>14078</v>
      </c>
      <c r="E7072" s="2">
        <v>5286.15</v>
      </c>
      <c r="G7072" s="3">
        <f>MONTH(Tabela1[[#This Row],[Último pagto ano]])</f>
        <v>11</v>
      </c>
      <c r="H7072" t="str">
        <f>TEXT(Tabela1[[#This Row],[Coluna2]]*29,"mmmm")</f>
        <v>novembro</v>
      </c>
      <c r="I7072" t="str">
        <f>TEXT(MONTH(Tabela1[[#This Row],[Último pagto ano]])*29,"mmmm")</f>
        <v>novembro</v>
      </c>
    </row>
    <row r="7073" spans="1:9" x14ac:dyDescent="0.25">
      <c r="A7073">
        <v>2025</v>
      </c>
      <c r="B7073" t="s">
        <v>14079</v>
      </c>
      <c r="C7073" s="1">
        <v>46014</v>
      </c>
      <c r="D7073" t="s">
        <v>14080</v>
      </c>
      <c r="E7073">
        <v>451</v>
      </c>
      <c r="G7073" s="3">
        <f>MONTH(Tabela1[[#This Row],[Último pagto ano]])</f>
        <v>12</v>
      </c>
      <c r="H7073" t="str">
        <f>TEXT(Tabela1[[#This Row],[Coluna2]]*29,"mmmm")</f>
        <v>dezembro</v>
      </c>
      <c r="I7073" t="str">
        <f>TEXT(MONTH(Tabela1[[#This Row],[Último pagto ano]])*29,"mmmm")</f>
        <v>dezembro</v>
      </c>
    </row>
    <row r="7074" spans="1:9" x14ac:dyDescent="0.25">
      <c r="A7074">
        <v>2025</v>
      </c>
      <c r="B7074" t="s">
        <v>14081</v>
      </c>
      <c r="C7074" s="1">
        <v>45936</v>
      </c>
      <c r="D7074" t="s">
        <v>14082</v>
      </c>
      <c r="E7074">
        <v>99</v>
      </c>
      <c r="G7074" s="3">
        <f>MONTH(Tabela1[[#This Row],[Último pagto ano]])</f>
        <v>10</v>
      </c>
      <c r="H7074" t="str">
        <f>TEXT(Tabela1[[#This Row],[Coluna2]]*29,"mmmm")</f>
        <v>outubro</v>
      </c>
      <c r="I7074" t="str">
        <f>TEXT(MONTH(Tabela1[[#This Row],[Último pagto ano]])*29,"mmmm")</f>
        <v>outubro</v>
      </c>
    </row>
    <row r="7075" spans="1:9" x14ac:dyDescent="0.25">
      <c r="A7075">
        <v>2025</v>
      </c>
      <c r="B7075" t="s">
        <v>14083</v>
      </c>
      <c r="C7075" s="1">
        <v>45796</v>
      </c>
      <c r="D7075" t="s">
        <v>14084</v>
      </c>
      <c r="E7075" s="2">
        <v>25128.03</v>
      </c>
      <c r="G7075" s="3">
        <f>MONTH(Tabela1[[#This Row],[Último pagto ano]])</f>
        <v>5</v>
      </c>
      <c r="H7075" t="str">
        <f>TEXT(Tabela1[[#This Row],[Coluna2]]*29,"mmmm")</f>
        <v>maio</v>
      </c>
      <c r="I7075" t="str">
        <f>TEXT(MONTH(Tabela1[[#This Row],[Último pagto ano]])*29,"mmmm")</f>
        <v>maio</v>
      </c>
    </row>
    <row r="7076" spans="1:9" x14ac:dyDescent="0.25">
      <c r="A7076">
        <v>2025</v>
      </c>
      <c r="B7076" t="s">
        <v>14085</v>
      </c>
      <c r="C7076" s="1">
        <v>46010</v>
      </c>
      <c r="D7076" t="s">
        <v>14086</v>
      </c>
      <c r="E7076" s="2">
        <v>12000</v>
      </c>
      <c r="G7076" s="3">
        <f>MONTH(Tabela1[[#This Row],[Último pagto ano]])</f>
        <v>12</v>
      </c>
      <c r="H7076" t="str">
        <f>TEXT(Tabela1[[#This Row],[Coluna2]]*29,"mmmm")</f>
        <v>dezembro</v>
      </c>
      <c r="I7076" t="str">
        <f>TEXT(MONTH(Tabela1[[#This Row],[Último pagto ano]])*29,"mmmm")</f>
        <v>dezembro</v>
      </c>
    </row>
    <row r="7077" spans="1:9" x14ac:dyDescent="0.25">
      <c r="A7077">
        <v>2025</v>
      </c>
      <c r="B7077" t="s">
        <v>14087</v>
      </c>
      <c r="C7077" s="1">
        <v>45992</v>
      </c>
      <c r="D7077" t="s">
        <v>14088</v>
      </c>
      <c r="E7077" s="2">
        <v>50643.76</v>
      </c>
      <c r="G7077" s="3">
        <f>MONTH(Tabela1[[#This Row],[Último pagto ano]])</f>
        <v>12</v>
      </c>
      <c r="H7077" t="str">
        <f>TEXT(Tabela1[[#This Row],[Coluna2]]*29,"mmmm")</f>
        <v>dezembro</v>
      </c>
      <c r="I7077" t="str">
        <f>TEXT(MONTH(Tabela1[[#This Row],[Último pagto ano]])*29,"mmmm")</f>
        <v>dezembro</v>
      </c>
    </row>
    <row r="7078" spans="1:9" x14ac:dyDescent="0.25">
      <c r="A7078">
        <v>2025</v>
      </c>
      <c r="B7078" t="s">
        <v>14089</v>
      </c>
      <c r="C7078" s="1">
        <v>45744</v>
      </c>
      <c r="D7078" t="s">
        <v>14090</v>
      </c>
      <c r="E7078" s="2">
        <v>89839.15</v>
      </c>
      <c r="G7078" s="3">
        <f>MONTH(Tabela1[[#This Row],[Último pagto ano]])</f>
        <v>3</v>
      </c>
      <c r="H7078" t="str">
        <f>TEXT(Tabela1[[#This Row],[Coluna2]]*29,"mmmm")</f>
        <v>março</v>
      </c>
      <c r="I7078" t="str">
        <f>TEXT(MONTH(Tabela1[[#This Row],[Último pagto ano]])*29,"mmmm")</f>
        <v>março</v>
      </c>
    </row>
    <row r="7079" spans="1:9" x14ac:dyDescent="0.25">
      <c r="A7079">
        <v>2025</v>
      </c>
      <c r="B7079" t="s">
        <v>14091</v>
      </c>
      <c r="C7079" s="1">
        <v>45989</v>
      </c>
      <c r="D7079" t="s">
        <v>14092</v>
      </c>
      <c r="E7079" s="2">
        <v>11332.54</v>
      </c>
      <c r="G7079" s="3">
        <f>MONTH(Tabela1[[#This Row],[Último pagto ano]])</f>
        <v>11</v>
      </c>
      <c r="H7079" t="str">
        <f>TEXT(Tabela1[[#This Row],[Coluna2]]*29,"mmmm")</f>
        <v>novembro</v>
      </c>
      <c r="I7079" t="str">
        <f>TEXT(MONTH(Tabela1[[#This Row],[Último pagto ano]])*29,"mmmm")</f>
        <v>novembro</v>
      </c>
    </row>
    <row r="7080" spans="1:9" x14ac:dyDescent="0.25">
      <c r="A7080">
        <v>2025</v>
      </c>
      <c r="B7080" t="s">
        <v>14091</v>
      </c>
      <c r="C7080" s="1">
        <v>45988</v>
      </c>
      <c r="D7080" t="s">
        <v>14092</v>
      </c>
      <c r="E7080" s="2">
        <v>2808</v>
      </c>
      <c r="G7080" s="3">
        <f>MONTH(Tabela1[[#This Row],[Último pagto ano]])</f>
        <v>11</v>
      </c>
      <c r="H7080" t="str">
        <f>TEXT(Tabela1[[#This Row],[Coluna2]]*29,"mmmm")</f>
        <v>novembro</v>
      </c>
      <c r="I7080" t="str">
        <f>TEXT(MONTH(Tabela1[[#This Row],[Último pagto ano]])*29,"mmmm")</f>
        <v>novembro</v>
      </c>
    </row>
    <row r="7081" spans="1:9" x14ac:dyDescent="0.25">
      <c r="A7081">
        <v>2025</v>
      </c>
      <c r="B7081" t="s">
        <v>14093</v>
      </c>
      <c r="C7081" s="1">
        <v>45803</v>
      </c>
      <c r="D7081" t="s">
        <v>14094</v>
      </c>
      <c r="E7081" s="2">
        <v>3500</v>
      </c>
      <c r="G7081" s="3">
        <f>MONTH(Tabela1[[#This Row],[Último pagto ano]])</f>
        <v>5</v>
      </c>
      <c r="H7081" t="str">
        <f>TEXT(Tabela1[[#This Row],[Coluna2]]*29,"mmmm")</f>
        <v>maio</v>
      </c>
      <c r="I7081" t="str">
        <f>TEXT(MONTH(Tabela1[[#This Row],[Último pagto ano]])*29,"mmmm")</f>
        <v>maio</v>
      </c>
    </row>
    <row r="7082" spans="1:9" x14ac:dyDescent="0.25">
      <c r="A7082">
        <v>2025</v>
      </c>
      <c r="B7082" t="s">
        <v>14095</v>
      </c>
      <c r="C7082" s="1">
        <v>45989</v>
      </c>
      <c r="D7082" t="s">
        <v>14096</v>
      </c>
      <c r="E7082" s="2">
        <v>3689.25</v>
      </c>
      <c r="G7082" s="3">
        <f>MONTH(Tabela1[[#This Row],[Último pagto ano]])</f>
        <v>11</v>
      </c>
      <c r="H7082" t="str">
        <f>TEXT(Tabela1[[#This Row],[Coluna2]]*29,"mmmm")</f>
        <v>novembro</v>
      </c>
      <c r="I7082" t="str">
        <f>TEXT(MONTH(Tabela1[[#This Row],[Último pagto ano]])*29,"mmmm")</f>
        <v>novembro</v>
      </c>
    </row>
    <row r="7083" spans="1:9" x14ac:dyDescent="0.25">
      <c r="A7083">
        <v>2025</v>
      </c>
      <c r="B7083" t="s">
        <v>14097</v>
      </c>
      <c r="C7083" s="1">
        <v>45985</v>
      </c>
      <c r="D7083" t="s">
        <v>14098</v>
      </c>
      <c r="E7083">
        <v>154</v>
      </c>
      <c r="G7083" s="3">
        <f>MONTH(Tabela1[[#This Row],[Último pagto ano]])</f>
        <v>11</v>
      </c>
      <c r="H7083" t="str">
        <f>TEXT(Tabela1[[#This Row],[Coluna2]]*29,"mmmm")</f>
        <v>novembro</v>
      </c>
      <c r="I7083" t="str">
        <f>TEXT(MONTH(Tabela1[[#This Row],[Último pagto ano]])*29,"mmmm")</f>
        <v>novembro</v>
      </c>
    </row>
    <row r="7084" spans="1:9" x14ac:dyDescent="0.25">
      <c r="A7084">
        <v>2025</v>
      </c>
      <c r="B7084" t="s">
        <v>14099</v>
      </c>
      <c r="C7084" s="1">
        <v>46010</v>
      </c>
      <c r="D7084" t="s">
        <v>14100</v>
      </c>
      <c r="E7084" s="2">
        <v>8400</v>
      </c>
      <c r="G7084" s="3">
        <f>MONTH(Tabela1[[#This Row],[Último pagto ano]])</f>
        <v>12</v>
      </c>
      <c r="H7084" t="str">
        <f>TEXT(Tabela1[[#This Row],[Coluna2]]*29,"mmmm")</f>
        <v>dezembro</v>
      </c>
      <c r="I7084" t="str">
        <f>TEXT(MONTH(Tabela1[[#This Row],[Último pagto ano]])*29,"mmmm")</f>
        <v>dezembro</v>
      </c>
    </row>
    <row r="7085" spans="1:9" x14ac:dyDescent="0.25">
      <c r="A7085">
        <v>2025</v>
      </c>
      <c r="B7085" t="s">
        <v>14101</v>
      </c>
      <c r="C7085" s="1">
        <v>45876</v>
      </c>
      <c r="D7085" t="s">
        <v>14102</v>
      </c>
      <c r="E7085" s="2">
        <v>7164.06</v>
      </c>
      <c r="G7085" s="3">
        <f>MONTH(Tabela1[[#This Row],[Último pagto ano]])</f>
        <v>8</v>
      </c>
      <c r="H7085" t="str">
        <f>TEXT(Tabela1[[#This Row],[Coluna2]]*29,"mmmm")</f>
        <v>agosto</v>
      </c>
      <c r="I7085" t="str">
        <f>TEXT(MONTH(Tabela1[[#This Row],[Último pagto ano]])*29,"mmmm")</f>
        <v>agosto</v>
      </c>
    </row>
    <row r="7086" spans="1:9" x14ac:dyDescent="0.25">
      <c r="A7086">
        <v>2025</v>
      </c>
      <c r="B7086" t="s">
        <v>14103</v>
      </c>
      <c r="C7086" s="1">
        <v>45835</v>
      </c>
      <c r="D7086" t="s">
        <v>14104</v>
      </c>
      <c r="E7086">
        <v>99</v>
      </c>
      <c r="G7086" s="3">
        <f>MONTH(Tabela1[[#This Row],[Último pagto ano]])</f>
        <v>6</v>
      </c>
      <c r="H7086" t="str">
        <f>TEXT(Tabela1[[#This Row],[Coluna2]]*29,"mmmm")</f>
        <v>junho</v>
      </c>
      <c r="I7086" t="str">
        <f>TEXT(MONTH(Tabela1[[#This Row],[Último pagto ano]])*29,"mmmm")</f>
        <v>junho</v>
      </c>
    </row>
    <row r="7087" spans="1:9" x14ac:dyDescent="0.25">
      <c r="A7087">
        <v>2025</v>
      </c>
      <c r="B7087" t="s">
        <v>14105</v>
      </c>
      <c r="C7087" s="1">
        <v>46014</v>
      </c>
      <c r="D7087" t="s">
        <v>14106</v>
      </c>
      <c r="E7087">
        <v>9.7200000000000006</v>
      </c>
      <c r="G7087" s="3">
        <f>MONTH(Tabela1[[#This Row],[Último pagto ano]])</f>
        <v>12</v>
      </c>
      <c r="H7087" t="str">
        <f>TEXT(Tabela1[[#This Row],[Coluna2]]*29,"mmmm")</f>
        <v>dezembro</v>
      </c>
      <c r="I7087" t="str">
        <f>TEXT(MONTH(Tabela1[[#This Row],[Último pagto ano]])*29,"mmmm")</f>
        <v>dezembro</v>
      </c>
    </row>
    <row r="7088" spans="1:9" x14ac:dyDescent="0.25">
      <c r="A7088">
        <v>2025</v>
      </c>
      <c r="B7088" t="s">
        <v>14107</v>
      </c>
      <c r="C7088" s="1">
        <v>46006</v>
      </c>
      <c r="D7088" t="s">
        <v>14108</v>
      </c>
      <c r="E7088" s="2">
        <v>8400</v>
      </c>
      <c r="G7088" s="3">
        <f>MONTH(Tabela1[[#This Row],[Último pagto ano]])</f>
        <v>12</v>
      </c>
      <c r="H7088" t="str">
        <f>TEXT(Tabela1[[#This Row],[Coluna2]]*29,"mmmm")</f>
        <v>dezembro</v>
      </c>
      <c r="I7088" t="str">
        <f>TEXT(MONTH(Tabela1[[#This Row],[Último pagto ano]])*29,"mmmm")</f>
        <v>dezembro</v>
      </c>
    </row>
    <row r="7089" spans="1:9" x14ac:dyDescent="0.25">
      <c r="A7089">
        <v>2025</v>
      </c>
      <c r="B7089" t="s">
        <v>14109</v>
      </c>
      <c r="C7089" s="1">
        <v>45862</v>
      </c>
      <c r="D7089" t="s">
        <v>14110</v>
      </c>
      <c r="E7089" s="2">
        <v>1803.83</v>
      </c>
      <c r="G7089" s="3">
        <f>MONTH(Tabela1[[#This Row],[Último pagto ano]])</f>
        <v>7</v>
      </c>
      <c r="H7089" t="str">
        <f>TEXT(Tabela1[[#This Row],[Coluna2]]*29,"mmmm")</f>
        <v>julho</v>
      </c>
      <c r="I7089" t="str">
        <f>TEXT(MONTH(Tabela1[[#This Row],[Último pagto ano]])*29,"mmmm")</f>
        <v>julho</v>
      </c>
    </row>
    <row r="7090" spans="1:9" x14ac:dyDescent="0.25">
      <c r="A7090">
        <v>2025</v>
      </c>
      <c r="B7090" t="s">
        <v>14111</v>
      </c>
      <c r="C7090" s="1">
        <v>45936</v>
      </c>
      <c r="D7090" t="s">
        <v>14112</v>
      </c>
      <c r="E7090">
        <v>22</v>
      </c>
      <c r="G7090" s="3">
        <f>MONTH(Tabela1[[#This Row],[Último pagto ano]])</f>
        <v>10</v>
      </c>
      <c r="H7090" t="str">
        <f>TEXT(Tabela1[[#This Row],[Coluna2]]*29,"mmmm")</f>
        <v>outubro</v>
      </c>
      <c r="I7090" t="str">
        <f>TEXT(MONTH(Tabela1[[#This Row],[Último pagto ano]])*29,"mmmm")</f>
        <v>outubro</v>
      </c>
    </row>
    <row r="7091" spans="1:9" x14ac:dyDescent="0.25">
      <c r="A7091">
        <v>2025</v>
      </c>
      <c r="B7091" t="s">
        <v>14113</v>
      </c>
      <c r="C7091" s="1">
        <v>45891</v>
      </c>
      <c r="D7091" t="s">
        <v>14114</v>
      </c>
      <c r="E7091" s="2">
        <v>3791.6</v>
      </c>
      <c r="G7091" s="3">
        <f>MONTH(Tabela1[[#This Row],[Último pagto ano]])</f>
        <v>8</v>
      </c>
      <c r="H7091" t="str">
        <f>TEXT(Tabela1[[#This Row],[Coluna2]]*29,"mmmm")</f>
        <v>agosto</v>
      </c>
      <c r="I7091" t="str">
        <f>TEXT(MONTH(Tabela1[[#This Row],[Último pagto ano]])*29,"mmmm")</f>
        <v>agosto</v>
      </c>
    </row>
    <row r="7092" spans="1:9" x14ac:dyDescent="0.25">
      <c r="A7092">
        <v>2025</v>
      </c>
      <c r="B7092" t="s">
        <v>14115</v>
      </c>
      <c r="C7092" s="1">
        <v>46006</v>
      </c>
      <c r="D7092" t="s">
        <v>14116</v>
      </c>
      <c r="E7092" s="2">
        <v>21386.48</v>
      </c>
      <c r="G7092" s="3">
        <f>MONTH(Tabela1[[#This Row],[Último pagto ano]])</f>
        <v>12</v>
      </c>
      <c r="H7092" t="str">
        <f>TEXT(Tabela1[[#This Row],[Coluna2]]*29,"mmmm")</f>
        <v>dezembro</v>
      </c>
      <c r="I7092" t="str">
        <f>TEXT(MONTH(Tabela1[[#This Row],[Último pagto ano]])*29,"mmmm")</f>
        <v>dezembro</v>
      </c>
    </row>
    <row r="7093" spans="1:9" x14ac:dyDescent="0.25">
      <c r="A7093">
        <v>2025</v>
      </c>
      <c r="B7093" t="s">
        <v>14117</v>
      </c>
      <c r="C7093" s="1">
        <v>45740</v>
      </c>
      <c r="D7093" t="s">
        <v>14118</v>
      </c>
      <c r="E7093" s="2">
        <v>2100</v>
      </c>
      <c r="G7093" s="3">
        <f>MONTH(Tabela1[[#This Row],[Último pagto ano]])</f>
        <v>3</v>
      </c>
      <c r="H7093" t="str">
        <f>TEXT(Tabela1[[#This Row],[Coluna2]]*29,"mmmm")</f>
        <v>março</v>
      </c>
      <c r="I7093" t="str">
        <f>TEXT(MONTH(Tabela1[[#This Row],[Último pagto ano]])*29,"mmmm")</f>
        <v>março</v>
      </c>
    </row>
    <row r="7094" spans="1:9" x14ac:dyDescent="0.25">
      <c r="A7094">
        <v>2025</v>
      </c>
      <c r="B7094" t="s">
        <v>14119</v>
      </c>
      <c r="C7094" s="1">
        <v>46014</v>
      </c>
      <c r="D7094" t="s">
        <v>14120</v>
      </c>
      <c r="E7094" s="2">
        <v>14740</v>
      </c>
      <c r="G7094" s="3">
        <f>MONTH(Tabela1[[#This Row],[Último pagto ano]])</f>
        <v>12</v>
      </c>
      <c r="H7094" t="str">
        <f>TEXT(Tabela1[[#This Row],[Coluna2]]*29,"mmmm")</f>
        <v>dezembro</v>
      </c>
      <c r="I7094" t="str">
        <f>TEXT(MONTH(Tabela1[[#This Row],[Último pagto ano]])*29,"mmmm")</f>
        <v>dezembro</v>
      </c>
    </row>
    <row r="7095" spans="1:9" x14ac:dyDescent="0.25">
      <c r="A7095">
        <v>2025</v>
      </c>
      <c r="B7095" t="s">
        <v>14121</v>
      </c>
      <c r="C7095" s="1">
        <v>45824</v>
      </c>
      <c r="D7095" t="s">
        <v>14122</v>
      </c>
      <c r="E7095" s="2">
        <v>7620.48</v>
      </c>
      <c r="G7095" s="3">
        <f>MONTH(Tabela1[[#This Row],[Último pagto ano]])</f>
        <v>6</v>
      </c>
      <c r="H7095" t="str">
        <f>TEXT(Tabela1[[#This Row],[Coluna2]]*29,"mmmm")</f>
        <v>junho</v>
      </c>
      <c r="I7095" t="str">
        <f>TEXT(MONTH(Tabela1[[#This Row],[Último pagto ano]])*29,"mmmm")</f>
        <v>junho</v>
      </c>
    </row>
    <row r="7096" spans="1:9" x14ac:dyDescent="0.25">
      <c r="A7096">
        <v>2025</v>
      </c>
      <c r="B7096" t="s">
        <v>14123</v>
      </c>
      <c r="C7096" s="1">
        <v>45922</v>
      </c>
      <c r="D7096" t="s">
        <v>14124</v>
      </c>
      <c r="E7096">
        <v>540</v>
      </c>
      <c r="G7096" s="3">
        <f>MONTH(Tabela1[[#This Row],[Último pagto ano]])</f>
        <v>9</v>
      </c>
      <c r="H7096" t="str">
        <f>TEXT(Tabela1[[#This Row],[Coluna2]]*29,"mmmm")</f>
        <v>setembro</v>
      </c>
      <c r="I7096" t="str">
        <f>TEXT(MONTH(Tabela1[[#This Row],[Último pagto ano]])*29,"mmmm")</f>
        <v>setembro</v>
      </c>
    </row>
    <row r="7097" spans="1:9" x14ac:dyDescent="0.25">
      <c r="A7097">
        <v>2025</v>
      </c>
      <c r="B7097" t="s">
        <v>14125</v>
      </c>
      <c r="C7097" s="1">
        <v>46010</v>
      </c>
      <c r="D7097" t="s">
        <v>14126</v>
      </c>
      <c r="E7097" s="2">
        <v>12000</v>
      </c>
      <c r="G7097" s="3">
        <f>MONTH(Tabela1[[#This Row],[Último pagto ano]])</f>
        <v>12</v>
      </c>
      <c r="H7097" t="str">
        <f>TEXT(Tabela1[[#This Row],[Coluna2]]*29,"mmmm")</f>
        <v>dezembro</v>
      </c>
      <c r="I7097" t="str">
        <f>TEXT(MONTH(Tabela1[[#This Row],[Último pagto ano]])*29,"mmmm")</f>
        <v>dezembro</v>
      </c>
    </row>
    <row r="7098" spans="1:9" x14ac:dyDescent="0.25">
      <c r="A7098">
        <v>2025</v>
      </c>
      <c r="B7098" t="s">
        <v>14127</v>
      </c>
      <c r="C7098" s="1">
        <v>45695</v>
      </c>
      <c r="D7098" t="s">
        <v>14128</v>
      </c>
      <c r="E7098" s="2">
        <v>10800</v>
      </c>
      <c r="G7098" s="3">
        <f>MONTH(Tabela1[[#This Row],[Último pagto ano]])</f>
        <v>2</v>
      </c>
      <c r="H7098" t="str">
        <f>TEXT(Tabela1[[#This Row],[Coluna2]]*29,"mmmm")</f>
        <v>fevereiro</v>
      </c>
      <c r="I7098" t="str">
        <f>TEXT(MONTH(Tabela1[[#This Row],[Último pagto ano]])*29,"mmmm")</f>
        <v>fevereiro</v>
      </c>
    </row>
    <row r="7099" spans="1:9" x14ac:dyDescent="0.25">
      <c r="A7099">
        <v>2025</v>
      </c>
      <c r="B7099" t="s">
        <v>14129</v>
      </c>
      <c r="C7099" s="1">
        <v>45793</v>
      </c>
      <c r="D7099" t="s">
        <v>14130</v>
      </c>
      <c r="E7099">
        <v>41.13</v>
      </c>
      <c r="G7099" s="3">
        <f>MONTH(Tabela1[[#This Row],[Último pagto ano]])</f>
        <v>5</v>
      </c>
      <c r="H7099" t="str">
        <f>TEXT(Tabela1[[#This Row],[Coluna2]]*29,"mmmm")</f>
        <v>maio</v>
      </c>
      <c r="I7099" t="str">
        <f>TEXT(MONTH(Tabela1[[#This Row],[Último pagto ano]])*29,"mmmm")</f>
        <v>maio</v>
      </c>
    </row>
    <row r="7100" spans="1:9" x14ac:dyDescent="0.25">
      <c r="A7100">
        <v>2025</v>
      </c>
      <c r="B7100" t="s">
        <v>14131</v>
      </c>
      <c r="C7100" s="1">
        <v>45832</v>
      </c>
      <c r="D7100" t="s">
        <v>14132</v>
      </c>
      <c r="E7100" s="2">
        <v>4200</v>
      </c>
      <c r="G7100" s="3">
        <f>MONTH(Tabela1[[#This Row],[Último pagto ano]])</f>
        <v>6</v>
      </c>
      <c r="H7100" t="str">
        <f>TEXT(Tabela1[[#This Row],[Coluna2]]*29,"mmmm")</f>
        <v>junho</v>
      </c>
      <c r="I7100" t="str">
        <f>TEXT(MONTH(Tabela1[[#This Row],[Último pagto ano]])*29,"mmmm")</f>
        <v>junho</v>
      </c>
    </row>
    <row r="7101" spans="1:9" x14ac:dyDescent="0.25">
      <c r="A7101">
        <v>2025</v>
      </c>
      <c r="B7101" t="s">
        <v>14133</v>
      </c>
      <c r="C7101" s="1">
        <v>45670</v>
      </c>
      <c r="D7101" t="s">
        <v>14134</v>
      </c>
      <c r="E7101">
        <v>917.41</v>
      </c>
      <c r="G7101" s="3">
        <f>MONTH(Tabela1[[#This Row],[Último pagto ano]])</f>
        <v>1</v>
      </c>
      <c r="H7101" t="str">
        <f>TEXT(Tabela1[[#This Row],[Coluna2]]*29,"mmmm")</f>
        <v>janeiro</v>
      </c>
      <c r="I7101" t="str">
        <f>TEXT(MONTH(Tabela1[[#This Row],[Último pagto ano]])*29,"mmmm")</f>
        <v>janeiro</v>
      </c>
    </row>
    <row r="7102" spans="1:9" x14ac:dyDescent="0.25">
      <c r="A7102">
        <v>2025</v>
      </c>
      <c r="B7102" t="s">
        <v>14135</v>
      </c>
      <c r="C7102" s="1">
        <v>46006</v>
      </c>
      <c r="D7102" t="s">
        <v>14136</v>
      </c>
      <c r="E7102" s="2">
        <v>19763.04</v>
      </c>
      <c r="G7102" s="3">
        <f>MONTH(Tabela1[[#This Row],[Último pagto ano]])</f>
        <v>12</v>
      </c>
      <c r="H7102" t="str">
        <f>TEXT(Tabela1[[#This Row],[Coluna2]]*29,"mmmm")</f>
        <v>dezembro</v>
      </c>
      <c r="I7102" t="str">
        <f>TEXT(MONTH(Tabela1[[#This Row],[Último pagto ano]])*29,"mmmm")</f>
        <v>dezembro</v>
      </c>
    </row>
    <row r="7103" spans="1:9" x14ac:dyDescent="0.25">
      <c r="A7103">
        <v>2025</v>
      </c>
      <c r="B7103" t="s">
        <v>14137</v>
      </c>
      <c r="C7103" s="1">
        <v>46014</v>
      </c>
      <c r="D7103" t="s">
        <v>14138</v>
      </c>
      <c r="E7103" s="2">
        <v>10940</v>
      </c>
      <c r="G7103" s="3">
        <f>MONTH(Tabela1[[#This Row],[Último pagto ano]])</f>
        <v>12</v>
      </c>
      <c r="H7103" t="str">
        <f>TEXT(Tabela1[[#This Row],[Coluna2]]*29,"mmmm")</f>
        <v>dezembro</v>
      </c>
      <c r="I7103" t="str">
        <f>TEXT(MONTH(Tabela1[[#This Row],[Último pagto ano]])*29,"mmmm")</f>
        <v>dezembro</v>
      </c>
    </row>
    <row r="7104" spans="1:9" x14ac:dyDescent="0.25">
      <c r="A7104">
        <v>2025</v>
      </c>
      <c r="B7104" t="s">
        <v>14139</v>
      </c>
      <c r="C7104" s="1">
        <v>45852</v>
      </c>
      <c r="D7104" t="s">
        <v>14140</v>
      </c>
      <c r="E7104">
        <v>33</v>
      </c>
      <c r="G7104" s="3">
        <f>MONTH(Tabela1[[#This Row],[Último pagto ano]])</f>
        <v>7</v>
      </c>
      <c r="H7104" t="str">
        <f>TEXT(Tabela1[[#This Row],[Coluna2]]*29,"mmmm")</f>
        <v>julho</v>
      </c>
      <c r="I7104" t="str">
        <f>TEXT(MONTH(Tabela1[[#This Row],[Último pagto ano]])*29,"mmmm")</f>
        <v>julho</v>
      </c>
    </row>
    <row r="7105" spans="1:9" x14ac:dyDescent="0.25">
      <c r="A7105">
        <v>2025</v>
      </c>
      <c r="B7105" t="s">
        <v>14141</v>
      </c>
      <c r="C7105" s="1">
        <v>46006</v>
      </c>
      <c r="D7105" t="s">
        <v>14142</v>
      </c>
      <c r="E7105">
        <v>22</v>
      </c>
      <c r="G7105" s="3">
        <f>MONTH(Tabela1[[#This Row],[Último pagto ano]])</f>
        <v>12</v>
      </c>
      <c r="H7105" t="str">
        <f>TEXT(Tabela1[[#This Row],[Coluna2]]*29,"mmmm")</f>
        <v>dezembro</v>
      </c>
      <c r="I7105" t="str">
        <f>TEXT(MONTH(Tabela1[[#This Row],[Último pagto ano]])*29,"mmmm")</f>
        <v>dezembro</v>
      </c>
    </row>
    <row r="7106" spans="1:9" x14ac:dyDescent="0.25">
      <c r="A7106">
        <v>2025</v>
      </c>
      <c r="B7106" t="s">
        <v>14143</v>
      </c>
      <c r="C7106" s="1">
        <v>46014</v>
      </c>
      <c r="D7106" t="s">
        <v>14144</v>
      </c>
      <c r="E7106">
        <v>154</v>
      </c>
      <c r="G7106" s="3">
        <f>MONTH(Tabela1[[#This Row],[Último pagto ano]])</f>
        <v>12</v>
      </c>
      <c r="H7106" t="str">
        <f>TEXT(Tabela1[[#This Row],[Coluna2]]*29,"mmmm")</f>
        <v>dezembro</v>
      </c>
      <c r="I7106" t="str">
        <f>TEXT(MONTH(Tabela1[[#This Row],[Último pagto ano]])*29,"mmmm")</f>
        <v>dezembro</v>
      </c>
    </row>
    <row r="7107" spans="1:9" x14ac:dyDescent="0.25">
      <c r="A7107">
        <v>2025</v>
      </c>
      <c r="B7107" t="s">
        <v>14145</v>
      </c>
      <c r="C7107" s="1">
        <v>46013</v>
      </c>
      <c r="D7107" t="s">
        <v>14146</v>
      </c>
      <c r="E7107" s="2">
        <v>1490.4</v>
      </c>
      <c r="G7107" s="3">
        <f>MONTH(Tabela1[[#This Row],[Último pagto ano]])</f>
        <v>12</v>
      </c>
      <c r="H7107" t="str">
        <f>TEXT(Tabela1[[#This Row],[Coluna2]]*29,"mmmm")</f>
        <v>dezembro</v>
      </c>
      <c r="I7107" t="str">
        <f>TEXT(MONTH(Tabela1[[#This Row],[Último pagto ano]])*29,"mmmm")</f>
        <v>dezembro</v>
      </c>
    </row>
    <row r="7108" spans="1:9" x14ac:dyDescent="0.25">
      <c r="A7108">
        <v>2025</v>
      </c>
      <c r="B7108" t="s">
        <v>14147</v>
      </c>
      <c r="C7108" s="1">
        <v>46014</v>
      </c>
      <c r="D7108" t="s">
        <v>14148</v>
      </c>
      <c r="E7108" s="2">
        <v>17591318.48</v>
      </c>
      <c r="G7108" s="3">
        <f>MONTH(Tabela1[[#This Row],[Último pagto ano]])</f>
        <v>12</v>
      </c>
      <c r="H7108" t="str">
        <f>TEXT(Tabela1[[#This Row],[Coluna2]]*29,"mmmm")</f>
        <v>dezembro</v>
      </c>
      <c r="I7108" t="str">
        <f>TEXT(MONTH(Tabela1[[#This Row],[Último pagto ano]])*29,"mmmm")</f>
        <v>dezembro</v>
      </c>
    </row>
    <row r="7109" spans="1:9" x14ac:dyDescent="0.25">
      <c r="A7109">
        <v>2025</v>
      </c>
      <c r="B7109" t="s">
        <v>14149</v>
      </c>
      <c r="C7109" s="1">
        <v>45901</v>
      </c>
      <c r="D7109" t="s">
        <v>14150</v>
      </c>
      <c r="E7109" s="2">
        <v>9299</v>
      </c>
      <c r="G7109" s="3">
        <f>MONTH(Tabela1[[#This Row],[Último pagto ano]])</f>
        <v>9</v>
      </c>
      <c r="H7109" t="str">
        <f>TEXT(Tabela1[[#This Row],[Coluna2]]*29,"mmmm")</f>
        <v>setembro</v>
      </c>
      <c r="I7109" t="str">
        <f>TEXT(MONTH(Tabela1[[#This Row],[Último pagto ano]])*29,"mmmm")</f>
        <v>setembro</v>
      </c>
    </row>
    <row r="7110" spans="1:9" x14ac:dyDescent="0.25">
      <c r="A7110">
        <v>2025</v>
      </c>
      <c r="B7110" t="s">
        <v>14151</v>
      </c>
      <c r="C7110" s="1">
        <v>45989</v>
      </c>
      <c r="D7110" t="s">
        <v>14152</v>
      </c>
      <c r="E7110" s="2">
        <v>114532.96</v>
      </c>
      <c r="G7110" s="3">
        <f>MONTH(Tabela1[[#This Row],[Último pagto ano]])</f>
        <v>11</v>
      </c>
      <c r="H7110" t="str">
        <f>TEXT(Tabela1[[#This Row],[Coluna2]]*29,"mmmm")</f>
        <v>novembro</v>
      </c>
      <c r="I7110" t="str">
        <f>TEXT(MONTH(Tabela1[[#This Row],[Último pagto ano]])*29,"mmmm")</f>
        <v>novembro</v>
      </c>
    </row>
    <row r="7111" spans="1:9" x14ac:dyDescent="0.25">
      <c r="A7111">
        <v>2025</v>
      </c>
      <c r="B7111" t="s">
        <v>14153</v>
      </c>
      <c r="C7111" s="1">
        <v>45673</v>
      </c>
      <c r="D7111" t="s">
        <v>14154</v>
      </c>
      <c r="E7111">
        <v>350</v>
      </c>
      <c r="G7111" s="3">
        <f>MONTH(Tabela1[[#This Row],[Último pagto ano]])</f>
        <v>1</v>
      </c>
      <c r="H7111" t="str">
        <f>TEXT(Tabela1[[#This Row],[Coluna2]]*29,"mmmm")</f>
        <v>janeiro</v>
      </c>
      <c r="I7111" t="str">
        <f>TEXT(MONTH(Tabela1[[#This Row],[Último pagto ano]])*29,"mmmm")</f>
        <v>janeiro</v>
      </c>
    </row>
    <row r="7112" spans="1:9" x14ac:dyDescent="0.25">
      <c r="A7112">
        <v>2025</v>
      </c>
      <c r="B7112" t="s">
        <v>14155</v>
      </c>
      <c r="C7112" s="1">
        <v>46013</v>
      </c>
      <c r="D7112" t="s">
        <v>14156</v>
      </c>
      <c r="E7112" s="2">
        <v>5720</v>
      </c>
      <c r="G7112" s="3">
        <f>MONTH(Tabela1[[#This Row],[Último pagto ano]])</f>
        <v>12</v>
      </c>
      <c r="H7112" t="str">
        <f>TEXT(Tabela1[[#This Row],[Coluna2]]*29,"mmmm")</f>
        <v>dezembro</v>
      </c>
      <c r="I7112" t="str">
        <f>TEXT(MONTH(Tabela1[[#This Row],[Último pagto ano]])*29,"mmmm")</f>
        <v>dezembro</v>
      </c>
    </row>
    <row r="7113" spans="1:9" x14ac:dyDescent="0.25">
      <c r="A7113">
        <v>2025</v>
      </c>
      <c r="B7113" t="s">
        <v>14157</v>
      </c>
      <c r="C7113" s="1">
        <v>46006</v>
      </c>
      <c r="D7113" t="s">
        <v>14158</v>
      </c>
      <c r="E7113" s="2">
        <v>4119.68</v>
      </c>
      <c r="G7113" s="3">
        <f>MONTH(Tabela1[[#This Row],[Último pagto ano]])</f>
        <v>12</v>
      </c>
      <c r="H7113" t="str">
        <f>TEXT(Tabela1[[#This Row],[Coluna2]]*29,"mmmm")</f>
        <v>dezembro</v>
      </c>
      <c r="I7113" t="str">
        <f>TEXT(MONTH(Tabela1[[#This Row],[Último pagto ano]])*29,"mmmm")</f>
        <v>dezembro</v>
      </c>
    </row>
    <row r="7114" spans="1:9" x14ac:dyDescent="0.25">
      <c r="A7114">
        <v>2025</v>
      </c>
      <c r="B7114" t="s">
        <v>14159</v>
      </c>
      <c r="C7114" s="1">
        <v>45989</v>
      </c>
      <c r="D7114" t="s">
        <v>14160</v>
      </c>
      <c r="E7114" s="2">
        <v>8100.93</v>
      </c>
      <c r="G7114" s="3">
        <f>MONTH(Tabela1[[#This Row],[Último pagto ano]])</f>
        <v>11</v>
      </c>
      <c r="H7114" t="str">
        <f>TEXT(Tabela1[[#This Row],[Coluna2]]*29,"mmmm")</f>
        <v>novembro</v>
      </c>
      <c r="I7114" t="str">
        <f>TEXT(MONTH(Tabela1[[#This Row],[Último pagto ano]])*29,"mmmm")</f>
        <v>novembro</v>
      </c>
    </row>
    <row r="7115" spans="1:9" x14ac:dyDescent="0.25">
      <c r="A7115">
        <v>2025</v>
      </c>
      <c r="B7115" t="s">
        <v>14161</v>
      </c>
      <c r="C7115" s="1">
        <v>45884</v>
      </c>
      <c r="D7115" t="s">
        <v>14162</v>
      </c>
      <c r="E7115" s="2">
        <v>5923.2</v>
      </c>
      <c r="G7115" s="3">
        <f>MONTH(Tabela1[[#This Row],[Último pagto ano]])</f>
        <v>8</v>
      </c>
      <c r="H7115" t="str">
        <f>TEXT(Tabela1[[#This Row],[Coluna2]]*29,"mmmm")</f>
        <v>agosto</v>
      </c>
      <c r="I7115" t="str">
        <f>TEXT(MONTH(Tabela1[[#This Row],[Último pagto ano]])*29,"mmmm")</f>
        <v>agosto</v>
      </c>
    </row>
    <row r="7116" spans="1:9" x14ac:dyDescent="0.25">
      <c r="A7116">
        <v>2025</v>
      </c>
      <c r="B7116" t="s">
        <v>14163</v>
      </c>
      <c r="C7116" s="1">
        <v>45673</v>
      </c>
      <c r="D7116" t="s">
        <v>14164</v>
      </c>
      <c r="E7116" s="2">
        <v>1040</v>
      </c>
      <c r="G7116" s="3">
        <f>MONTH(Tabela1[[#This Row],[Último pagto ano]])</f>
        <v>1</v>
      </c>
      <c r="H7116" t="str">
        <f>TEXT(Tabela1[[#This Row],[Coluna2]]*29,"mmmm")</f>
        <v>janeiro</v>
      </c>
      <c r="I7116" t="str">
        <f>TEXT(MONTH(Tabela1[[#This Row],[Último pagto ano]])*29,"mmmm")</f>
        <v>janeiro</v>
      </c>
    </row>
    <row r="7117" spans="1:9" x14ac:dyDescent="0.25">
      <c r="A7117">
        <v>2025</v>
      </c>
      <c r="B7117" t="s">
        <v>14165</v>
      </c>
      <c r="C7117" s="1">
        <v>45702</v>
      </c>
      <c r="D7117" t="s">
        <v>14166</v>
      </c>
      <c r="E7117">
        <v>105.79</v>
      </c>
      <c r="G7117" s="3">
        <f>MONTH(Tabela1[[#This Row],[Último pagto ano]])</f>
        <v>2</v>
      </c>
      <c r="H7117" t="str">
        <f>TEXT(Tabela1[[#This Row],[Coluna2]]*29,"mmmm")</f>
        <v>fevereiro</v>
      </c>
      <c r="I7117" t="str">
        <f>TEXT(MONTH(Tabela1[[#This Row],[Último pagto ano]])*29,"mmmm")</f>
        <v>fevereiro</v>
      </c>
    </row>
    <row r="7118" spans="1:9" x14ac:dyDescent="0.25">
      <c r="A7118">
        <v>2025</v>
      </c>
      <c r="B7118" t="s">
        <v>14167</v>
      </c>
      <c r="C7118" s="1">
        <v>45728</v>
      </c>
      <c r="D7118" t="s">
        <v>14168</v>
      </c>
      <c r="E7118" s="2">
        <v>1400</v>
      </c>
      <c r="G7118" s="3">
        <f>MONTH(Tabela1[[#This Row],[Último pagto ano]])</f>
        <v>3</v>
      </c>
      <c r="H7118" t="str">
        <f>TEXT(Tabela1[[#This Row],[Coluna2]]*29,"mmmm")</f>
        <v>março</v>
      </c>
      <c r="I7118" t="str">
        <f>TEXT(MONTH(Tabela1[[#This Row],[Último pagto ano]])*29,"mmmm")</f>
        <v>março</v>
      </c>
    </row>
    <row r="7119" spans="1:9" x14ac:dyDescent="0.25">
      <c r="A7119">
        <v>2025</v>
      </c>
      <c r="B7119" t="s">
        <v>14169</v>
      </c>
      <c r="C7119" s="1">
        <v>46006</v>
      </c>
      <c r="D7119" t="s">
        <v>14170</v>
      </c>
      <c r="E7119" s="2">
        <v>6219.36</v>
      </c>
      <c r="G7119" s="3">
        <f>MONTH(Tabela1[[#This Row],[Último pagto ano]])</f>
        <v>12</v>
      </c>
      <c r="H7119" t="str">
        <f>TEXT(Tabela1[[#This Row],[Coluna2]]*29,"mmmm")</f>
        <v>dezembro</v>
      </c>
      <c r="I7119" t="str">
        <f>TEXT(MONTH(Tabela1[[#This Row],[Último pagto ano]])*29,"mmmm")</f>
        <v>dezembro</v>
      </c>
    </row>
    <row r="7120" spans="1:9" x14ac:dyDescent="0.25">
      <c r="A7120">
        <v>2025</v>
      </c>
      <c r="B7120" t="s">
        <v>14171</v>
      </c>
      <c r="C7120" s="1">
        <v>46021</v>
      </c>
      <c r="D7120" t="s">
        <v>14172</v>
      </c>
      <c r="E7120" s="2">
        <v>1120704.8700000001</v>
      </c>
      <c r="G7120" s="3">
        <f>MONTH(Tabela1[[#This Row],[Último pagto ano]])</f>
        <v>12</v>
      </c>
      <c r="H7120" t="str">
        <f>TEXT(Tabela1[[#This Row],[Coluna2]]*29,"mmmm")</f>
        <v>dezembro</v>
      </c>
      <c r="I7120" t="str">
        <f>TEXT(MONTH(Tabela1[[#This Row],[Último pagto ano]])*29,"mmmm")</f>
        <v>dezembro</v>
      </c>
    </row>
    <row r="7121" spans="1:9" x14ac:dyDescent="0.25">
      <c r="A7121">
        <v>2025</v>
      </c>
      <c r="B7121" t="s">
        <v>14173</v>
      </c>
      <c r="C7121" s="1">
        <v>45708</v>
      </c>
      <c r="D7121" t="s">
        <v>14174</v>
      </c>
      <c r="E7121" s="2">
        <v>2200</v>
      </c>
      <c r="G7121" s="3">
        <f>MONTH(Tabela1[[#This Row],[Último pagto ano]])</f>
        <v>2</v>
      </c>
      <c r="H7121" t="str">
        <f>TEXT(Tabela1[[#This Row],[Coluna2]]*29,"mmmm")</f>
        <v>fevereiro</v>
      </c>
      <c r="I7121" t="str">
        <f>TEXT(MONTH(Tabela1[[#This Row],[Último pagto ano]])*29,"mmmm")</f>
        <v>fevereiro</v>
      </c>
    </row>
    <row r="7122" spans="1:9" x14ac:dyDescent="0.25">
      <c r="A7122">
        <v>2025</v>
      </c>
      <c r="B7122" t="s">
        <v>14175</v>
      </c>
      <c r="C7122" s="1">
        <v>45849</v>
      </c>
      <c r="D7122" t="s">
        <v>14176</v>
      </c>
      <c r="E7122" s="2">
        <v>3000</v>
      </c>
      <c r="G7122" s="3">
        <f>MONTH(Tabela1[[#This Row],[Último pagto ano]])</f>
        <v>7</v>
      </c>
      <c r="H7122" t="str">
        <f>TEXT(Tabela1[[#This Row],[Coluna2]]*29,"mmmm")</f>
        <v>julho</v>
      </c>
      <c r="I7122" t="str">
        <f>TEXT(MONTH(Tabela1[[#This Row],[Último pagto ano]])*29,"mmmm")</f>
        <v>julho</v>
      </c>
    </row>
    <row r="7123" spans="1:9" x14ac:dyDescent="0.25">
      <c r="A7123">
        <v>2025</v>
      </c>
      <c r="B7123" t="s">
        <v>14177</v>
      </c>
      <c r="C7123" s="1">
        <v>45964</v>
      </c>
      <c r="D7123" t="s">
        <v>14178</v>
      </c>
      <c r="E7123">
        <v>88</v>
      </c>
      <c r="G7123" s="3">
        <f>MONTH(Tabela1[[#This Row],[Último pagto ano]])</f>
        <v>11</v>
      </c>
      <c r="H7123" t="str">
        <f>TEXT(Tabela1[[#This Row],[Coluna2]]*29,"mmmm")</f>
        <v>novembro</v>
      </c>
      <c r="I7123" t="str">
        <f>TEXT(MONTH(Tabela1[[#This Row],[Último pagto ano]])*29,"mmmm")</f>
        <v>novembro</v>
      </c>
    </row>
    <row r="7124" spans="1:9" x14ac:dyDescent="0.25">
      <c r="A7124">
        <v>2025</v>
      </c>
      <c r="B7124" t="s">
        <v>14179</v>
      </c>
      <c r="C7124" s="1">
        <v>45870</v>
      </c>
      <c r="D7124" t="s">
        <v>14180</v>
      </c>
      <c r="E7124">
        <v>8.16</v>
      </c>
      <c r="G7124" s="3">
        <f>MONTH(Tabela1[[#This Row],[Último pagto ano]])</f>
        <v>8</v>
      </c>
      <c r="H7124" t="str">
        <f>TEXT(Tabela1[[#This Row],[Coluna2]]*29,"mmmm")</f>
        <v>agosto</v>
      </c>
      <c r="I7124" t="str">
        <f>TEXT(MONTH(Tabela1[[#This Row],[Último pagto ano]])*29,"mmmm")</f>
        <v>agosto</v>
      </c>
    </row>
    <row r="7125" spans="1:9" x14ac:dyDescent="0.25">
      <c r="A7125">
        <v>2025</v>
      </c>
      <c r="B7125" t="s">
        <v>14181</v>
      </c>
      <c r="C7125" s="1">
        <v>46021</v>
      </c>
      <c r="D7125" t="s">
        <v>14182</v>
      </c>
      <c r="E7125" s="2">
        <v>13111.95</v>
      </c>
      <c r="G7125" s="3">
        <f>MONTH(Tabela1[[#This Row],[Último pagto ano]])</f>
        <v>12</v>
      </c>
      <c r="H7125" t="str">
        <f>TEXT(Tabela1[[#This Row],[Coluna2]]*29,"mmmm")</f>
        <v>dezembro</v>
      </c>
      <c r="I7125" t="str">
        <f>TEXT(MONTH(Tabela1[[#This Row],[Último pagto ano]])*29,"mmmm")</f>
        <v>dezembro</v>
      </c>
    </row>
    <row r="7126" spans="1:9" x14ac:dyDescent="0.25">
      <c r="A7126">
        <v>2025</v>
      </c>
      <c r="B7126" t="s">
        <v>14183</v>
      </c>
      <c r="C7126" s="1">
        <v>45989</v>
      </c>
      <c r="D7126" t="s">
        <v>14184</v>
      </c>
      <c r="E7126" s="2">
        <v>2211.36</v>
      </c>
      <c r="G7126" s="3">
        <f>MONTH(Tabela1[[#This Row],[Último pagto ano]])</f>
        <v>11</v>
      </c>
      <c r="H7126" t="str">
        <f>TEXT(Tabela1[[#This Row],[Coluna2]]*29,"mmmm")</f>
        <v>novembro</v>
      </c>
      <c r="I7126" t="str">
        <f>TEXT(MONTH(Tabela1[[#This Row],[Último pagto ano]])*29,"mmmm")</f>
        <v>novembro</v>
      </c>
    </row>
    <row r="7127" spans="1:9" x14ac:dyDescent="0.25">
      <c r="A7127">
        <v>2025</v>
      </c>
      <c r="B7127" t="s">
        <v>14185</v>
      </c>
      <c r="C7127" s="1">
        <v>45989</v>
      </c>
      <c r="D7127" t="s">
        <v>14186</v>
      </c>
      <c r="E7127" s="2">
        <v>7814.4</v>
      </c>
      <c r="G7127" s="3">
        <f>MONTH(Tabela1[[#This Row],[Último pagto ano]])</f>
        <v>11</v>
      </c>
      <c r="H7127" t="str">
        <f>TEXT(Tabela1[[#This Row],[Coluna2]]*29,"mmmm")</f>
        <v>novembro</v>
      </c>
      <c r="I7127" t="str">
        <f>TEXT(MONTH(Tabela1[[#This Row],[Último pagto ano]])*29,"mmmm")</f>
        <v>novembro</v>
      </c>
    </row>
    <row r="7128" spans="1:9" x14ac:dyDescent="0.25">
      <c r="A7128">
        <v>2025</v>
      </c>
      <c r="B7128" t="s">
        <v>14187</v>
      </c>
      <c r="C7128" s="1">
        <v>45695</v>
      </c>
      <c r="D7128" t="s">
        <v>14188</v>
      </c>
      <c r="E7128" s="2">
        <v>10800</v>
      </c>
      <c r="G7128" s="3">
        <f>MONTH(Tabela1[[#This Row],[Último pagto ano]])</f>
        <v>2</v>
      </c>
      <c r="H7128" t="str">
        <f>TEXT(Tabela1[[#This Row],[Coluna2]]*29,"mmmm")</f>
        <v>fevereiro</v>
      </c>
      <c r="I7128" t="str">
        <f>TEXT(MONTH(Tabela1[[#This Row],[Último pagto ano]])*29,"mmmm")</f>
        <v>fevereiro</v>
      </c>
    </row>
    <row r="7129" spans="1:9" x14ac:dyDescent="0.25">
      <c r="A7129">
        <v>2025</v>
      </c>
      <c r="B7129" t="s">
        <v>14189</v>
      </c>
      <c r="C7129" s="1">
        <v>45868</v>
      </c>
      <c r="D7129" t="s">
        <v>14190</v>
      </c>
      <c r="E7129" s="2">
        <v>2491.4299999999998</v>
      </c>
      <c r="G7129" s="3">
        <f>MONTH(Tabela1[[#This Row],[Último pagto ano]])</f>
        <v>7</v>
      </c>
      <c r="H7129" t="str">
        <f>TEXT(Tabela1[[#This Row],[Coluna2]]*29,"mmmm")</f>
        <v>julho</v>
      </c>
      <c r="I7129" t="str">
        <f>TEXT(MONTH(Tabela1[[#This Row],[Último pagto ano]])*29,"mmmm")</f>
        <v>julho</v>
      </c>
    </row>
    <row r="7130" spans="1:9" x14ac:dyDescent="0.25">
      <c r="A7130">
        <v>2025</v>
      </c>
      <c r="B7130" t="s">
        <v>14191</v>
      </c>
      <c r="C7130" s="1">
        <v>45702</v>
      </c>
      <c r="D7130" t="s">
        <v>14192</v>
      </c>
      <c r="E7130">
        <v>27.2</v>
      </c>
      <c r="G7130" s="3">
        <f>MONTH(Tabela1[[#This Row],[Último pagto ano]])</f>
        <v>2</v>
      </c>
      <c r="H7130" t="str">
        <f>TEXT(Tabela1[[#This Row],[Coluna2]]*29,"mmmm")</f>
        <v>fevereiro</v>
      </c>
      <c r="I7130" t="str">
        <f>TEXT(MONTH(Tabela1[[#This Row],[Último pagto ano]])*29,"mmmm")</f>
        <v>fevereiro</v>
      </c>
    </row>
    <row r="7131" spans="1:9" x14ac:dyDescent="0.25">
      <c r="A7131">
        <v>2025</v>
      </c>
      <c r="B7131" t="s">
        <v>14193</v>
      </c>
      <c r="C7131" s="1">
        <v>45813</v>
      </c>
      <c r="D7131" t="s">
        <v>14194</v>
      </c>
      <c r="E7131" s="2">
        <v>4290.66</v>
      </c>
      <c r="G7131" s="3">
        <f>MONTH(Tabela1[[#This Row],[Último pagto ano]])</f>
        <v>6</v>
      </c>
      <c r="H7131" t="str">
        <f>TEXT(Tabela1[[#This Row],[Coluna2]]*29,"mmmm")</f>
        <v>junho</v>
      </c>
      <c r="I7131" t="str">
        <f>TEXT(MONTH(Tabela1[[#This Row],[Último pagto ano]])*29,"mmmm")</f>
        <v>junho</v>
      </c>
    </row>
    <row r="7132" spans="1:9" x14ac:dyDescent="0.25">
      <c r="A7132">
        <v>2025</v>
      </c>
      <c r="B7132" t="s">
        <v>14195</v>
      </c>
      <c r="C7132" s="1">
        <v>45712</v>
      </c>
      <c r="D7132" t="s">
        <v>14196</v>
      </c>
      <c r="E7132" s="2">
        <v>1400</v>
      </c>
      <c r="G7132" s="3">
        <f>MONTH(Tabela1[[#This Row],[Último pagto ano]])</f>
        <v>2</v>
      </c>
      <c r="H7132" t="str">
        <f>TEXT(Tabela1[[#This Row],[Coluna2]]*29,"mmmm")</f>
        <v>fevereiro</v>
      </c>
      <c r="I7132" t="str">
        <f>TEXT(MONTH(Tabela1[[#This Row],[Último pagto ano]])*29,"mmmm")</f>
        <v>fevereiro</v>
      </c>
    </row>
    <row r="7133" spans="1:9" x14ac:dyDescent="0.25">
      <c r="A7133">
        <v>2025</v>
      </c>
      <c r="B7133" t="s">
        <v>14197</v>
      </c>
      <c r="C7133" s="1">
        <v>45709</v>
      </c>
      <c r="D7133" t="s">
        <v>14198</v>
      </c>
      <c r="E7133" s="2">
        <v>4389.79</v>
      </c>
      <c r="G7133" s="3">
        <f>MONTH(Tabela1[[#This Row],[Último pagto ano]])</f>
        <v>2</v>
      </c>
      <c r="H7133" t="str">
        <f>TEXT(Tabela1[[#This Row],[Coluna2]]*29,"mmmm")</f>
        <v>fevereiro</v>
      </c>
      <c r="I7133" t="str">
        <f>TEXT(MONTH(Tabela1[[#This Row],[Último pagto ano]])*29,"mmmm")</f>
        <v>fevereiro</v>
      </c>
    </row>
    <row r="7134" spans="1:9" x14ac:dyDescent="0.25">
      <c r="A7134">
        <v>2025</v>
      </c>
      <c r="B7134" t="s">
        <v>14199</v>
      </c>
      <c r="C7134" s="1">
        <v>45909</v>
      </c>
      <c r="D7134" t="s">
        <v>14200</v>
      </c>
      <c r="E7134">
        <v>772.98</v>
      </c>
      <c r="G7134" s="3">
        <f>MONTH(Tabela1[[#This Row],[Último pagto ano]])</f>
        <v>9</v>
      </c>
      <c r="H7134" t="str">
        <f>TEXT(Tabela1[[#This Row],[Coluna2]]*29,"mmmm")</f>
        <v>setembro</v>
      </c>
      <c r="I7134" t="str">
        <f>TEXT(MONTH(Tabela1[[#This Row],[Último pagto ano]])*29,"mmmm")</f>
        <v>setembro</v>
      </c>
    </row>
    <row r="7135" spans="1:9" x14ac:dyDescent="0.25">
      <c r="A7135">
        <v>2025</v>
      </c>
      <c r="B7135" t="s">
        <v>14201</v>
      </c>
      <c r="C7135" s="1">
        <v>45691</v>
      </c>
      <c r="D7135" t="s">
        <v>14202</v>
      </c>
      <c r="E7135">
        <v>22</v>
      </c>
      <c r="G7135" s="3">
        <f>MONTH(Tabela1[[#This Row],[Último pagto ano]])</f>
        <v>2</v>
      </c>
      <c r="H7135" t="str">
        <f>TEXT(Tabela1[[#This Row],[Coluna2]]*29,"mmmm")</f>
        <v>fevereiro</v>
      </c>
      <c r="I7135" t="str">
        <f>TEXT(MONTH(Tabela1[[#This Row],[Último pagto ano]])*29,"mmmm")</f>
        <v>fevereiro</v>
      </c>
    </row>
    <row r="7136" spans="1:9" x14ac:dyDescent="0.25">
      <c r="A7136">
        <v>2025</v>
      </c>
      <c r="B7136" t="s">
        <v>14203</v>
      </c>
      <c r="C7136" s="1">
        <v>45733</v>
      </c>
      <c r="D7136" t="s">
        <v>14204</v>
      </c>
      <c r="E7136">
        <v>9.7200000000000006</v>
      </c>
      <c r="G7136" s="3">
        <f>MONTH(Tabela1[[#This Row],[Último pagto ano]])</f>
        <v>3</v>
      </c>
      <c r="H7136" t="str">
        <f>TEXT(Tabela1[[#This Row],[Coluna2]]*29,"mmmm")</f>
        <v>março</v>
      </c>
      <c r="I7136" t="str">
        <f>TEXT(MONTH(Tabela1[[#This Row],[Último pagto ano]])*29,"mmmm")</f>
        <v>março</v>
      </c>
    </row>
    <row r="7137" spans="1:9" x14ac:dyDescent="0.25">
      <c r="A7137">
        <v>2025</v>
      </c>
      <c r="B7137" t="s">
        <v>14205</v>
      </c>
      <c r="C7137" s="1">
        <v>45989</v>
      </c>
      <c r="D7137" t="s">
        <v>14206</v>
      </c>
      <c r="E7137" s="2">
        <v>3275.37</v>
      </c>
      <c r="G7137" s="3">
        <f>MONTH(Tabela1[[#This Row],[Último pagto ano]])</f>
        <v>11</v>
      </c>
      <c r="H7137" t="str">
        <f>TEXT(Tabela1[[#This Row],[Coluna2]]*29,"mmmm")</f>
        <v>novembro</v>
      </c>
      <c r="I7137" t="str">
        <f>TEXT(MONTH(Tabela1[[#This Row],[Último pagto ano]])*29,"mmmm")</f>
        <v>novembro</v>
      </c>
    </row>
    <row r="7138" spans="1:9" x14ac:dyDescent="0.25">
      <c r="A7138">
        <v>2025</v>
      </c>
      <c r="B7138" t="s">
        <v>14207</v>
      </c>
      <c r="C7138" s="1">
        <v>45996</v>
      </c>
      <c r="D7138" t="s">
        <v>14208</v>
      </c>
      <c r="E7138" s="2">
        <v>4500</v>
      </c>
      <c r="G7138" s="3">
        <f>MONTH(Tabela1[[#This Row],[Último pagto ano]])</f>
        <v>12</v>
      </c>
      <c r="H7138" t="str">
        <f>TEXT(Tabela1[[#This Row],[Coluna2]]*29,"mmmm")</f>
        <v>dezembro</v>
      </c>
      <c r="I7138" t="str">
        <f>TEXT(MONTH(Tabela1[[#This Row],[Último pagto ano]])*29,"mmmm")</f>
        <v>dezembro</v>
      </c>
    </row>
    <row r="7139" spans="1:9" x14ac:dyDescent="0.25">
      <c r="A7139">
        <v>2025</v>
      </c>
      <c r="B7139" t="s">
        <v>14209</v>
      </c>
      <c r="C7139" s="1">
        <v>46021</v>
      </c>
      <c r="D7139" t="s">
        <v>14210</v>
      </c>
      <c r="E7139" s="2">
        <v>7880.09</v>
      </c>
      <c r="G7139" s="3">
        <f>MONTH(Tabela1[[#This Row],[Último pagto ano]])</f>
        <v>12</v>
      </c>
      <c r="H7139" t="str">
        <f>TEXT(Tabela1[[#This Row],[Coluna2]]*29,"mmmm")</f>
        <v>dezembro</v>
      </c>
      <c r="I7139" t="str">
        <f>TEXT(MONTH(Tabela1[[#This Row],[Último pagto ano]])*29,"mmmm")</f>
        <v>dezembro</v>
      </c>
    </row>
    <row r="7140" spans="1:9" x14ac:dyDescent="0.25">
      <c r="A7140">
        <v>2025</v>
      </c>
      <c r="B7140" t="s">
        <v>14211</v>
      </c>
      <c r="C7140" s="1">
        <v>45709</v>
      </c>
      <c r="D7140" t="s">
        <v>14212</v>
      </c>
      <c r="E7140" s="2">
        <v>1320.45</v>
      </c>
      <c r="G7140" s="3">
        <f>MONTH(Tabela1[[#This Row],[Último pagto ano]])</f>
        <v>2</v>
      </c>
      <c r="H7140" t="str">
        <f>TEXT(Tabela1[[#This Row],[Coluna2]]*29,"mmmm")</f>
        <v>fevereiro</v>
      </c>
      <c r="I7140" t="str">
        <f>TEXT(MONTH(Tabela1[[#This Row],[Último pagto ano]])*29,"mmmm")</f>
        <v>fevereiro</v>
      </c>
    </row>
    <row r="7141" spans="1:9" x14ac:dyDescent="0.25">
      <c r="A7141">
        <v>2025</v>
      </c>
      <c r="B7141" t="s">
        <v>14213</v>
      </c>
      <c r="C7141" s="1">
        <v>45775</v>
      </c>
      <c r="D7141" t="s">
        <v>14214</v>
      </c>
      <c r="E7141" s="2">
        <v>6476.4</v>
      </c>
      <c r="G7141" s="3">
        <f>MONTH(Tabela1[[#This Row],[Último pagto ano]])</f>
        <v>4</v>
      </c>
      <c r="H7141" t="str">
        <f>TEXT(Tabela1[[#This Row],[Coluna2]]*29,"mmmm")</f>
        <v>abril</v>
      </c>
      <c r="I7141" t="str">
        <f>TEXT(MONTH(Tabela1[[#This Row],[Último pagto ano]])*29,"mmmm")</f>
        <v>abril</v>
      </c>
    </row>
    <row r="7142" spans="1:9" x14ac:dyDescent="0.25">
      <c r="A7142">
        <v>2025</v>
      </c>
      <c r="B7142" t="s">
        <v>14215</v>
      </c>
      <c r="C7142" s="1">
        <v>45702</v>
      </c>
      <c r="D7142" t="s">
        <v>14216</v>
      </c>
      <c r="E7142">
        <v>30.31</v>
      </c>
      <c r="G7142" s="3">
        <f>MONTH(Tabela1[[#This Row],[Último pagto ano]])</f>
        <v>2</v>
      </c>
      <c r="H7142" t="str">
        <f>TEXT(Tabela1[[#This Row],[Coluna2]]*29,"mmmm")</f>
        <v>fevereiro</v>
      </c>
      <c r="I7142" t="str">
        <f>TEXT(MONTH(Tabela1[[#This Row],[Último pagto ano]])*29,"mmmm")</f>
        <v>fevereiro</v>
      </c>
    </row>
    <row r="7143" spans="1:9" x14ac:dyDescent="0.25">
      <c r="A7143">
        <v>2025</v>
      </c>
      <c r="B7143" t="s">
        <v>14217</v>
      </c>
      <c r="C7143" s="1">
        <v>45744</v>
      </c>
      <c r="D7143" t="s">
        <v>14218</v>
      </c>
      <c r="E7143" s="2">
        <v>2677.56</v>
      </c>
      <c r="G7143" s="3">
        <f>MONTH(Tabela1[[#This Row],[Último pagto ano]])</f>
        <v>3</v>
      </c>
      <c r="H7143" t="str">
        <f>TEXT(Tabela1[[#This Row],[Coluna2]]*29,"mmmm")</f>
        <v>março</v>
      </c>
      <c r="I7143" t="str">
        <f>TEXT(MONTH(Tabela1[[#This Row],[Último pagto ano]])*29,"mmmm")</f>
        <v>março</v>
      </c>
    </row>
    <row r="7144" spans="1:9" x14ac:dyDescent="0.25">
      <c r="A7144">
        <v>2025</v>
      </c>
      <c r="B7144" t="s">
        <v>14219</v>
      </c>
      <c r="C7144" s="1">
        <v>46013</v>
      </c>
      <c r="D7144" t="s">
        <v>14220</v>
      </c>
      <c r="E7144">
        <v>70.2</v>
      </c>
      <c r="G7144" s="3">
        <f>MONTH(Tabela1[[#This Row],[Último pagto ano]])</f>
        <v>12</v>
      </c>
      <c r="H7144" t="str">
        <f>TEXT(Tabela1[[#This Row],[Coluna2]]*29,"mmmm")</f>
        <v>dezembro</v>
      </c>
      <c r="I7144" t="str">
        <f>TEXT(MONTH(Tabela1[[#This Row],[Último pagto ano]])*29,"mmmm")</f>
        <v>dezembro</v>
      </c>
    </row>
    <row r="7145" spans="1:9" x14ac:dyDescent="0.25">
      <c r="A7145">
        <v>2025</v>
      </c>
      <c r="B7145" t="s">
        <v>14221</v>
      </c>
      <c r="C7145" s="1">
        <v>45936</v>
      </c>
      <c r="D7145" t="s">
        <v>14222</v>
      </c>
      <c r="E7145">
        <v>33</v>
      </c>
      <c r="G7145" s="3">
        <f>MONTH(Tabela1[[#This Row],[Último pagto ano]])</f>
        <v>10</v>
      </c>
      <c r="H7145" t="str">
        <f>TEXT(Tabela1[[#This Row],[Coluna2]]*29,"mmmm")</f>
        <v>outubro</v>
      </c>
      <c r="I7145" t="str">
        <f>TEXT(MONTH(Tabela1[[#This Row],[Último pagto ano]])*29,"mmmm")</f>
        <v>outubro</v>
      </c>
    </row>
    <row r="7146" spans="1:9" x14ac:dyDescent="0.25">
      <c r="A7146">
        <v>2025</v>
      </c>
      <c r="B7146" t="s">
        <v>14223</v>
      </c>
      <c r="C7146" s="1">
        <v>45996</v>
      </c>
      <c r="D7146" t="s">
        <v>14224</v>
      </c>
      <c r="E7146" s="2">
        <v>38944.92</v>
      </c>
      <c r="G7146" s="3">
        <f>MONTH(Tabela1[[#This Row],[Último pagto ano]])</f>
        <v>12</v>
      </c>
      <c r="H7146" t="str">
        <f>TEXT(Tabela1[[#This Row],[Coluna2]]*29,"mmmm")</f>
        <v>dezembro</v>
      </c>
      <c r="I7146" t="str">
        <f>TEXT(MONTH(Tabela1[[#This Row],[Último pagto ano]])*29,"mmmm")</f>
        <v>dezembro</v>
      </c>
    </row>
    <row r="7147" spans="1:9" x14ac:dyDescent="0.25">
      <c r="A7147">
        <v>2025</v>
      </c>
      <c r="B7147" t="s">
        <v>14225</v>
      </c>
      <c r="C7147" s="1">
        <v>45915</v>
      </c>
      <c r="D7147" t="s">
        <v>14226</v>
      </c>
      <c r="E7147" s="2">
        <v>5825.92</v>
      </c>
      <c r="G7147" s="3">
        <f>MONTH(Tabela1[[#This Row],[Último pagto ano]])</f>
        <v>9</v>
      </c>
      <c r="H7147" t="str">
        <f>TEXT(Tabela1[[#This Row],[Coluna2]]*29,"mmmm")</f>
        <v>setembro</v>
      </c>
      <c r="I7147" t="str">
        <f>TEXT(MONTH(Tabela1[[#This Row],[Último pagto ano]])*29,"mmmm")</f>
        <v>setembro</v>
      </c>
    </row>
    <row r="7148" spans="1:9" x14ac:dyDescent="0.25">
      <c r="A7148">
        <v>2025</v>
      </c>
      <c r="B7148" t="s">
        <v>14227</v>
      </c>
      <c r="C7148" s="1">
        <v>46021</v>
      </c>
      <c r="D7148" t="s">
        <v>14228</v>
      </c>
      <c r="E7148" s="2">
        <v>24772.36</v>
      </c>
      <c r="G7148" s="3">
        <f>MONTH(Tabela1[[#This Row],[Último pagto ano]])</f>
        <v>12</v>
      </c>
      <c r="H7148" t="str">
        <f>TEXT(Tabela1[[#This Row],[Coluna2]]*29,"mmmm")</f>
        <v>dezembro</v>
      </c>
      <c r="I7148" t="str">
        <f>TEXT(MONTH(Tabela1[[#This Row],[Último pagto ano]])*29,"mmmm")</f>
        <v>dezembro</v>
      </c>
    </row>
    <row r="7149" spans="1:9" x14ac:dyDescent="0.25">
      <c r="A7149">
        <v>2025</v>
      </c>
      <c r="B7149" t="s">
        <v>14229</v>
      </c>
      <c r="C7149" s="1">
        <v>45845</v>
      </c>
      <c r="D7149" t="s">
        <v>14230</v>
      </c>
      <c r="E7149" s="2">
        <v>37800</v>
      </c>
      <c r="G7149" s="3">
        <f>MONTH(Tabela1[[#This Row],[Último pagto ano]])</f>
        <v>7</v>
      </c>
      <c r="H7149" t="str">
        <f>TEXT(Tabela1[[#This Row],[Coluna2]]*29,"mmmm")</f>
        <v>julho</v>
      </c>
      <c r="I7149" t="str">
        <f>TEXT(MONTH(Tabela1[[#This Row],[Último pagto ano]])*29,"mmmm")</f>
        <v>julho</v>
      </c>
    </row>
    <row r="7150" spans="1:9" x14ac:dyDescent="0.25">
      <c r="A7150">
        <v>2025</v>
      </c>
      <c r="B7150" t="s">
        <v>14231</v>
      </c>
      <c r="C7150" s="1">
        <v>45677</v>
      </c>
      <c r="D7150" t="s">
        <v>14232</v>
      </c>
      <c r="E7150" s="2">
        <v>44802</v>
      </c>
      <c r="G7150" s="3">
        <f>MONTH(Tabela1[[#This Row],[Último pagto ano]])</f>
        <v>1</v>
      </c>
      <c r="H7150" t="str">
        <f>TEXT(Tabela1[[#This Row],[Coluna2]]*29,"mmmm")</f>
        <v>janeiro</v>
      </c>
      <c r="I7150" t="str">
        <f>TEXT(MONTH(Tabela1[[#This Row],[Último pagto ano]])*29,"mmmm")</f>
        <v>janeiro</v>
      </c>
    </row>
    <row r="7151" spans="1:9" x14ac:dyDescent="0.25">
      <c r="A7151">
        <v>2025</v>
      </c>
      <c r="B7151" t="s">
        <v>14233</v>
      </c>
      <c r="C7151" s="1">
        <v>45985</v>
      </c>
      <c r="D7151" t="s">
        <v>14234</v>
      </c>
      <c r="E7151">
        <v>132</v>
      </c>
      <c r="G7151" s="3">
        <f>MONTH(Tabela1[[#This Row],[Último pagto ano]])</f>
        <v>11</v>
      </c>
      <c r="H7151" t="str">
        <f>TEXT(Tabela1[[#This Row],[Coluna2]]*29,"mmmm")</f>
        <v>novembro</v>
      </c>
      <c r="I7151" t="str">
        <f>TEXT(MONTH(Tabela1[[#This Row],[Último pagto ano]])*29,"mmmm")</f>
        <v>novembro</v>
      </c>
    </row>
    <row r="7152" spans="1:9" x14ac:dyDescent="0.25">
      <c r="A7152">
        <v>2025</v>
      </c>
      <c r="B7152" t="s">
        <v>14235</v>
      </c>
      <c r="C7152" s="1">
        <v>45978</v>
      </c>
      <c r="D7152" t="s">
        <v>14236</v>
      </c>
      <c r="E7152">
        <v>128.6</v>
      </c>
      <c r="G7152" s="3">
        <f>MONTH(Tabela1[[#This Row],[Último pagto ano]])</f>
        <v>11</v>
      </c>
      <c r="H7152" t="str">
        <f>TEXT(Tabela1[[#This Row],[Coluna2]]*29,"mmmm")</f>
        <v>novembro</v>
      </c>
      <c r="I7152" t="str">
        <f>TEXT(MONTH(Tabela1[[#This Row],[Último pagto ano]])*29,"mmmm")</f>
        <v>novembro</v>
      </c>
    </row>
    <row r="7153" spans="1:9" x14ac:dyDescent="0.25">
      <c r="A7153">
        <v>2025</v>
      </c>
      <c r="B7153" t="s">
        <v>14237</v>
      </c>
      <c r="C7153" s="1">
        <v>46006</v>
      </c>
      <c r="D7153" t="s">
        <v>14238</v>
      </c>
      <c r="E7153" s="2">
        <v>15939.52</v>
      </c>
      <c r="G7153" s="3">
        <f>MONTH(Tabela1[[#This Row],[Último pagto ano]])</f>
        <v>12</v>
      </c>
      <c r="H7153" t="str">
        <f>TEXT(Tabela1[[#This Row],[Coluna2]]*29,"mmmm")</f>
        <v>dezembro</v>
      </c>
      <c r="I7153" t="str">
        <f>TEXT(MONTH(Tabela1[[#This Row],[Último pagto ano]])*29,"mmmm")</f>
        <v>dezembro</v>
      </c>
    </row>
    <row r="7154" spans="1:9" x14ac:dyDescent="0.25">
      <c r="A7154">
        <v>2025</v>
      </c>
      <c r="B7154" t="s">
        <v>14239</v>
      </c>
      <c r="C7154" s="1">
        <v>46014</v>
      </c>
      <c r="D7154" t="s">
        <v>14240</v>
      </c>
      <c r="E7154">
        <v>88</v>
      </c>
      <c r="G7154" s="3">
        <f>MONTH(Tabela1[[#This Row],[Último pagto ano]])</f>
        <v>12</v>
      </c>
      <c r="H7154" t="str">
        <f>TEXT(Tabela1[[#This Row],[Coluna2]]*29,"mmmm")</f>
        <v>dezembro</v>
      </c>
      <c r="I7154" t="str">
        <f>TEXT(MONTH(Tabela1[[#This Row],[Último pagto ano]])*29,"mmmm")</f>
        <v>dezembro</v>
      </c>
    </row>
    <row r="7155" spans="1:9" x14ac:dyDescent="0.25">
      <c r="A7155">
        <v>2025</v>
      </c>
      <c r="B7155" t="s">
        <v>14241</v>
      </c>
      <c r="C7155" s="1">
        <v>46014</v>
      </c>
      <c r="D7155" t="s">
        <v>14242</v>
      </c>
      <c r="E7155" s="2">
        <v>16570</v>
      </c>
      <c r="G7155" s="3">
        <f>MONTH(Tabela1[[#This Row],[Último pagto ano]])</f>
        <v>12</v>
      </c>
      <c r="H7155" t="str">
        <f>TEXT(Tabela1[[#This Row],[Coluna2]]*29,"mmmm")</f>
        <v>dezembro</v>
      </c>
      <c r="I7155" t="str">
        <f>TEXT(MONTH(Tabela1[[#This Row],[Último pagto ano]])*29,"mmmm")</f>
        <v>dezembro</v>
      </c>
    </row>
    <row r="7156" spans="1:9" x14ac:dyDescent="0.25">
      <c r="A7156">
        <v>2025</v>
      </c>
      <c r="B7156" t="s">
        <v>14243</v>
      </c>
      <c r="C7156" s="1">
        <v>46006</v>
      </c>
      <c r="D7156" t="s">
        <v>14244</v>
      </c>
      <c r="E7156" s="2">
        <v>7000</v>
      </c>
      <c r="G7156" s="3">
        <f>MONTH(Tabela1[[#This Row],[Último pagto ano]])</f>
        <v>12</v>
      </c>
      <c r="H7156" t="str">
        <f>TEXT(Tabela1[[#This Row],[Coluna2]]*29,"mmmm")</f>
        <v>dezembro</v>
      </c>
      <c r="I7156" t="str">
        <f>TEXT(MONTH(Tabela1[[#This Row],[Último pagto ano]])*29,"mmmm")</f>
        <v>dezembro</v>
      </c>
    </row>
    <row r="7157" spans="1:9" x14ac:dyDescent="0.25">
      <c r="A7157">
        <v>2025</v>
      </c>
      <c r="B7157" t="s">
        <v>14245</v>
      </c>
      <c r="C7157" s="1">
        <v>45912</v>
      </c>
      <c r="D7157" t="s">
        <v>14246</v>
      </c>
      <c r="E7157" s="2">
        <v>10747.51</v>
      </c>
      <c r="G7157" s="3">
        <f>MONTH(Tabela1[[#This Row],[Último pagto ano]])</f>
        <v>9</v>
      </c>
      <c r="H7157" t="str">
        <f>TEXT(Tabela1[[#This Row],[Coluna2]]*29,"mmmm")</f>
        <v>setembro</v>
      </c>
      <c r="I7157" t="str">
        <f>TEXT(MONTH(Tabela1[[#This Row],[Último pagto ano]])*29,"mmmm")</f>
        <v>setembro</v>
      </c>
    </row>
    <row r="7158" spans="1:9" x14ac:dyDescent="0.25">
      <c r="A7158">
        <v>2025</v>
      </c>
      <c r="B7158" t="s">
        <v>14247</v>
      </c>
      <c r="C7158" s="1">
        <v>45968</v>
      </c>
      <c r="D7158" t="s">
        <v>14248</v>
      </c>
      <c r="E7158" s="2">
        <v>18600</v>
      </c>
      <c r="G7158" s="3">
        <f>MONTH(Tabela1[[#This Row],[Último pagto ano]])</f>
        <v>11</v>
      </c>
      <c r="H7158" t="str">
        <f>TEXT(Tabela1[[#This Row],[Coluna2]]*29,"mmmm")</f>
        <v>novembro</v>
      </c>
      <c r="I7158" t="str">
        <f>TEXT(MONTH(Tabela1[[#This Row],[Último pagto ano]])*29,"mmmm")</f>
        <v>novembro</v>
      </c>
    </row>
    <row r="7159" spans="1:9" x14ac:dyDescent="0.25">
      <c r="A7159">
        <v>2025</v>
      </c>
      <c r="B7159" t="s">
        <v>14249</v>
      </c>
      <c r="C7159" s="1">
        <v>46009</v>
      </c>
      <c r="D7159" t="s">
        <v>14250</v>
      </c>
      <c r="E7159">
        <v>0.45</v>
      </c>
      <c r="G7159" s="3">
        <f>MONTH(Tabela1[[#This Row],[Último pagto ano]])</f>
        <v>12</v>
      </c>
      <c r="H7159" t="str">
        <f>TEXT(Tabela1[[#This Row],[Coluna2]]*29,"mmmm")</f>
        <v>dezembro</v>
      </c>
      <c r="I7159" t="str">
        <f>TEXT(MONTH(Tabela1[[#This Row],[Último pagto ano]])*29,"mmmm")</f>
        <v>dezembro</v>
      </c>
    </row>
    <row r="7160" spans="1:9" x14ac:dyDescent="0.25">
      <c r="A7160">
        <v>2025</v>
      </c>
      <c r="B7160" t="s">
        <v>14251</v>
      </c>
      <c r="C7160" s="1">
        <v>45791</v>
      </c>
      <c r="D7160" t="s">
        <v>14252</v>
      </c>
      <c r="E7160" s="2">
        <v>1210.76</v>
      </c>
      <c r="G7160" s="3">
        <f>MONTH(Tabela1[[#This Row],[Último pagto ano]])</f>
        <v>5</v>
      </c>
      <c r="H7160" t="str">
        <f>TEXT(Tabela1[[#This Row],[Coluna2]]*29,"mmmm")</f>
        <v>maio</v>
      </c>
      <c r="I7160" t="str">
        <f>TEXT(MONTH(Tabela1[[#This Row],[Último pagto ano]])*29,"mmmm")</f>
        <v>maio</v>
      </c>
    </row>
    <row r="7161" spans="1:9" x14ac:dyDescent="0.25">
      <c r="A7161">
        <v>2025</v>
      </c>
      <c r="B7161" t="s">
        <v>14253</v>
      </c>
      <c r="C7161" s="1">
        <v>45887</v>
      </c>
      <c r="D7161" t="s">
        <v>14254</v>
      </c>
      <c r="E7161">
        <v>88</v>
      </c>
      <c r="G7161" s="3">
        <f>MONTH(Tabela1[[#This Row],[Último pagto ano]])</f>
        <v>8</v>
      </c>
      <c r="H7161" t="str">
        <f>TEXT(Tabela1[[#This Row],[Coluna2]]*29,"mmmm")</f>
        <v>agosto</v>
      </c>
      <c r="I7161" t="str">
        <f>TEXT(MONTH(Tabela1[[#This Row],[Último pagto ano]])*29,"mmmm")</f>
        <v>agosto</v>
      </c>
    </row>
    <row r="7162" spans="1:9" x14ac:dyDescent="0.25">
      <c r="A7162">
        <v>2025</v>
      </c>
      <c r="B7162" t="s">
        <v>14255</v>
      </c>
      <c r="C7162" s="1">
        <v>45950</v>
      </c>
      <c r="D7162" t="s">
        <v>14256</v>
      </c>
      <c r="E7162">
        <v>97.95</v>
      </c>
      <c r="G7162" s="3">
        <f>MONTH(Tabela1[[#This Row],[Último pagto ano]])</f>
        <v>10</v>
      </c>
      <c r="H7162" t="str">
        <f>TEXT(Tabela1[[#This Row],[Coluna2]]*29,"mmmm")</f>
        <v>outubro</v>
      </c>
      <c r="I7162" t="str">
        <f>TEXT(MONTH(Tabela1[[#This Row],[Último pagto ano]])*29,"mmmm")</f>
        <v>outubro</v>
      </c>
    </row>
    <row r="7163" spans="1:9" x14ac:dyDescent="0.25">
      <c r="A7163">
        <v>2025</v>
      </c>
      <c r="B7163" t="s">
        <v>14257</v>
      </c>
      <c r="C7163" s="1">
        <v>45996</v>
      </c>
      <c r="D7163" t="s">
        <v>14258</v>
      </c>
      <c r="E7163" s="2">
        <v>35705</v>
      </c>
      <c r="G7163" s="3">
        <f>MONTH(Tabela1[[#This Row],[Último pagto ano]])</f>
        <v>12</v>
      </c>
      <c r="H7163" t="str">
        <f>TEXT(Tabela1[[#This Row],[Coluna2]]*29,"mmmm")</f>
        <v>dezembro</v>
      </c>
      <c r="I7163" t="str">
        <f>TEXT(MONTH(Tabela1[[#This Row],[Último pagto ano]])*29,"mmmm")</f>
        <v>dezembro</v>
      </c>
    </row>
    <row r="7164" spans="1:9" x14ac:dyDescent="0.25">
      <c r="A7164">
        <v>2025</v>
      </c>
      <c r="B7164" t="s">
        <v>14259</v>
      </c>
      <c r="C7164" s="1">
        <v>45824</v>
      </c>
      <c r="D7164" t="s">
        <v>14260</v>
      </c>
      <c r="E7164" s="2">
        <v>7620.48</v>
      </c>
      <c r="G7164" s="3">
        <f>MONTH(Tabela1[[#This Row],[Último pagto ano]])</f>
        <v>6</v>
      </c>
      <c r="H7164" t="str">
        <f>TEXT(Tabela1[[#This Row],[Coluna2]]*29,"mmmm")</f>
        <v>junho</v>
      </c>
      <c r="I7164" t="str">
        <f>TEXT(MONTH(Tabela1[[#This Row],[Último pagto ano]])*29,"mmmm")</f>
        <v>junho</v>
      </c>
    </row>
    <row r="7165" spans="1:9" x14ac:dyDescent="0.25">
      <c r="A7165">
        <v>2025</v>
      </c>
      <c r="B7165" t="s">
        <v>14261</v>
      </c>
      <c r="C7165" s="1">
        <v>46021</v>
      </c>
      <c r="D7165" t="s">
        <v>14262</v>
      </c>
      <c r="E7165" s="2">
        <v>12746.53</v>
      </c>
      <c r="G7165" s="3">
        <f>MONTH(Tabela1[[#This Row],[Último pagto ano]])</f>
        <v>12</v>
      </c>
      <c r="H7165" t="str">
        <f>TEXT(Tabela1[[#This Row],[Coluna2]]*29,"mmmm")</f>
        <v>dezembro</v>
      </c>
      <c r="I7165" t="str">
        <f>TEXT(MONTH(Tabela1[[#This Row],[Último pagto ano]])*29,"mmmm")</f>
        <v>dezembro</v>
      </c>
    </row>
    <row r="7166" spans="1:9" x14ac:dyDescent="0.25">
      <c r="A7166">
        <v>2025</v>
      </c>
      <c r="B7166" t="s">
        <v>14263</v>
      </c>
      <c r="C7166" s="1">
        <v>45933</v>
      </c>
      <c r="D7166" t="s">
        <v>14264</v>
      </c>
      <c r="E7166" s="2">
        <v>5624.54</v>
      </c>
      <c r="G7166" s="3">
        <f>MONTH(Tabela1[[#This Row],[Último pagto ano]])</f>
        <v>10</v>
      </c>
      <c r="H7166" t="str">
        <f>TEXT(Tabela1[[#This Row],[Coluna2]]*29,"mmmm")</f>
        <v>outubro</v>
      </c>
      <c r="I7166" t="str">
        <f>TEXT(MONTH(Tabela1[[#This Row],[Último pagto ano]])*29,"mmmm")</f>
        <v>outubro</v>
      </c>
    </row>
    <row r="7167" spans="1:9" x14ac:dyDescent="0.25">
      <c r="A7167">
        <v>2025</v>
      </c>
      <c r="B7167" t="s">
        <v>14265</v>
      </c>
      <c r="C7167" s="1">
        <v>45996</v>
      </c>
      <c r="D7167" t="s">
        <v>14266</v>
      </c>
      <c r="E7167" s="2">
        <v>64800</v>
      </c>
      <c r="G7167" s="3">
        <f>MONTH(Tabela1[[#This Row],[Último pagto ano]])</f>
        <v>12</v>
      </c>
      <c r="H7167" t="str">
        <f>TEXT(Tabela1[[#This Row],[Coluna2]]*29,"mmmm")</f>
        <v>dezembro</v>
      </c>
      <c r="I7167" t="str">
        <f>TEXT(MONTH(Tabela1[[#This Row],[Último pagto ano]])*29,"mmmm")</f>
        <v>dezembro</v>
      </c>
    </row>
    <row r="7168" spans="1:9" x14ac:dyDescent="0.25">
      <c r="A7168">
        <v>2025</v>
      </c>
      <c r="B7168" t="s">
        <v>14267</v>
      </c>
      <c r="C7168" s="1">
        <v>45761</v>
      </c>
      <c r="D7168" t="s">
        <v>14268</v>
      </c>
      <c r="E7168">
        <v>5.7</v>
      </c>
      <c r="G7168" s="3">
        <f>MONTH(Tabela1[[#This Row],[Último pagto ano]])</f>
        <v>4</v>
      </c>
      <c r="H7168" t="str">
        <f>TEXT(Tabela1[[#This Row],[Coluna2]]*29,"mmmm")</f>
        <v>abril</v>
      </c>
      <c r="I7168" t="str">
        <f>TEXT(MONTH(Tabela1[[#This Row],[Último pagto ano]])*29,"mmmm")</f>
        <v>abril</v>
      </c>
    </row>
    <row r="7169" spans="1:9" x14ac:dyDescent="0.25">
      <c r="A7169">
        <v>2025</v>
      </c>
      <c r="B7169" t="s">
        <v>14269</v>
      </c>
      <c r="C7169" s="1">
        <v>45996</v>
      </c>
      <c r="D7169" t="s">
        <v>14270</v>
      </c>
      <c r="E7169" s="2">
        <v>3100</v>
      </c>
      <c r="G7169" s="3">
        <f>MONTH(Tabela1[[#This Row],[Último pagto ano]])</f>
        <v>12</v>
      </c>
      <c r="H7169" t="str">
        <f>TEXT(Tabela1[[#This Row],[Coluna2]]*29,"mmmm")</f>
        <v>dezembro</v>
      </c>
      <c r="I7169" t="str">
        <f>TEXT(MONTH(Tabela1[[#This Row],[Último pagto ano]])*29,"mmmm")</f>
        <v>dezembro</v>
      </c>
    </row>
    <row r="7170" spans="1:9" x14ac:dyDescent="0.25">
      <c r="A7170">
        <v>2025</v>
      </c>
      <c r="B7170" t="s">
        <v>14271</v>
      </c>
      <c r="C7170" s="1">
        <v>45835</v>
      </c>
      <c r="D7170" t="s">
        <v>14272</v>
      </c>
      <c r="E7170">
        <v>19.12</v>
      </c>
      <c r="G7170" s="3">
        <f>MONTH(Tabela1[[#This Row],[Último pagto ano]])</f>
        <v>6</v>
      </c>
      <c r="H7170" t="str">
        <f>TEXT(Tabela1[[#This Row],[Coluna2]]*29,"mmmm")</f>
        <v>junho</v>
      </c>
      <c r="I7170" t="str">
        <f>TEXT(MONTH(Tabela1[[#This Row],[Último pagto ano]])*29,"mmmm")</f>
        <v>junho</v>
      </c>
    </row>
    <row r="7171" spans="1:9" x14ac:dyDescent="0.25">
      <c r="A7171">
        <v>2025</v>
      </c>
      <c r="B7171" t="s">
        <v>14273</v>
      </c>
      <c r="C7171" s="1">
        <v>46006</v>
      </c>
      <c r="D7171" t="s">
        <v>14274</v>
      </c>
      <c r="E7171">
        <v>296.16000000000003</v>
      </c>
      <c r="G7171" s="3">
        <f>MONTH(Tabela1[[#This Row],[Último pagto ano]])</f>
        <v>12</v>
      </c>
      <c r="H7171" t="str">
        <f>TEXT(Tabela1[[#This Row],[Coluna2]]*29,"mmmm")</f>
        <v>dezembro</v>
      </c>
      <c r="I7171" t="str">
        <f>TEXT(MONTH(Tabela1[[#This Row],[Último pagto ano]])*29,"mmmm")</f>
        <v>dezembro</v>
      </c>
    </row>
    <row r="7172" spans="1:9" x14ac:dyDescent="0.25">
      <c r="A7172">
        <v>2025</v>
      </c>
      <c r="B7172" t="s">
        <v>14275</v>
      </c>
      <c r="C7172" s="1">
        <v>45992</v>
      </c>
      <c r="D7172" t="s">
        <v>14276</v>
      </c>
      <c r="E7172" s="2">
        <v>2135749.87</v>
      </c>
      <c r="G7172" s="3">
        <f>MONTH(Tabela1[[#This Row],[Último pagto ano]])</f>
        <v>12</v>
      </c>
      <c r="H7172" t="str">
        <f>TEXT(Tabela1[[#This Row],[Coluna2]]*29,"mmmm")</f>
        <v>dezembro</v>
      </c>
      <c r="I7172" t="str">
        <f>TEXT(MONTH(Tabela1[[#This Row],[Último pagto ano]])*29,"mmmm")</f>
        <v>dezembro</v>
      </c>
    </row>
    <row r="7173" spans="1:9" x14ac:dyDescent="0.25">
      <c r="A7173">
        <v>2025</v>
      </c>
      <c r="B7173" t="s">
        <v>14277</v>
      </c>
      <c r="C7173" s="1">
        <v>46021</v>
      </c>
      <c r="D7173" t="s">
        <v>14278</v>
      </c>
      <c r="E7173" s="2">
        <v>2856707.91</v>
      </c>
      <c r="G7173" s="3">
        <f>MONTH(Tabela1[[#This Row],[Último pagto ano]])</f>
        <v>12</v>
      </c>
      <c r="H7173" t="str">
        <f>TEXT(Tabela1[[#This Row],[Coluna2]]*29,"mmmm")</f>
        <v>dezembro</v>
      </c>
      <c r="I7173" t="str">
        <f>TEXT(MONTH(Tabela1[[#This Row],[Último pagto ano]])*29,"mmmm")</f>
        <v>dezembro</v>
      </c>
    </row>
    <row r="7174" spans="1:9" x14ac:dyDescent="0.25">
      <c r="A7174">
        <v>2025</v>
      </c>
      <c r="B7174" t="s">
        <v>14279</v>
      </c>
      <c r="C7174" s="1">
        <v>45762</v>
      </c>
      <c r="D7174" t="s">
        <v>14280</v>
      </c>
      <c r="E7174" s="2">
        <v>2660</v>
      </c>
      <c r="G7174" s="3">
        <f>MONTH(Tabela1[[#This Row],[Último pagto ano]])</f>
        <v>4</v>
      </c>
      <c r="H7174" t="str">
        <f>TEXT(Tabela1[[#This Row],[Coluna2]]*29,"mmmm")</f>
        <v>abril</v>
      </c>
      <c r="I7174" t="str">
        <f>TEXT(MONTH(Tabela1[[#This Row],[Último pagto ano]])*29,"mmmm")</f>
        <v>abril</v>
      </c>
    </row>
    <row r="7175" spans="1:9" x14ac:dyDescent="0.25">
      <c r="A7175">
        <v>2025</v>
      </c>
      <c r="B7175" t="s">
        <v>14281</v>
      </c>
      <c r="C7175" s="1">
        <v>46014</v>
      </c>
      <c r="D7175" t="s">
        <v>14282</v>
      </c>
      <c r="E7175" s="2">
        <v>59235</v>
      </c>
      <c r="G7175" s="3">
        <f>MONTH(Tabela1[[#This Row],[Último pagto ano]])</f>
        <v>12</v>
      </c>
      <c r="H7175" t="str">
        <f>TEXT(Tabela1[[#This Row],[Coluna2]]*29,"mmmm")</f>
        <v>dezembro</v>
      </c>
      <c r="I7175" t="str">
        <f>TEXT(MONTH(Tabela1[[#This Row],[Último pagto ano]])*29,"mmmm")</f>
        <v>dezembro</v>
      </c>
    </row>
    <row r="7176" spans="1:9" x14ac:dyDescent="0.25">
      <c r="A7176">
        <v>2025</v>
      </c>
      <c r="B7176" t="s">
        <v>14283</v>
      </c>
      <c r="C7176" s="1">
        <v>46014</v>
      </c>
      <c r="D7176" t="s">
        <v>14284</v>
      </c>
      <c r="E7176" s="2">
        <v>6905</v>
      </c>
      <c r="G7176" s="3">
        <f>MONTH(Tabela1[[#This Row],[Último pagto ano]])</f>
        <v>12</v>
      </c>
      <c r="H7176" t="str">
        <f>TEXT(Tabela1[[#This Row],[Coluna2]]*29,"mmmm")</f>
        <v>dezembro</v>
      </c>
      <c r="I7176" t="str">
        <f>TEXT(MONTH(Tabela1[[#This Row],[Último pagto ano]])*29,"mmmm")</f>
        <v>dezembro</v>
      </c>
    </row>
    <row r="7177" spans="1:9" x14ac:dyDescent="0.25">
      <c r="A7177">
        <v>2025</v>
      </c>
      <c r="B7177" t="s">
        <v>14285</v>
      </c>
      <c r="C7177" s="1">
        <v>46014</v>
      </c>
      <c r="D7177" t="s">
        <v>14286</v>
      </c>
      <c r="E7177" s="2">
        <v>56041.5</v>
      </c>
      <c r="G7177" s="3">
        <f>MONTH(Tabela1[[#This Row],[Último pagto ano]])</f>
        <v>12</v>
      </c>
      <c r="H7177" t="str">
        <f>TEXT(Tabela1[[#This Row],[Coluna2]]*29,"mmmm")</f>
        <v>dezembro</v>
      </c>
      <c r="I7177" t="str">
        <f>TEXT(MONTH(Tabela1[[#This Row],[Último pagto ano]])*29,"mmmm")</f>
        <v>dezembro</v>
      </c>
    </row>
    <row r="7178" spans="1:9" x14ac:dyDescent="0.25">
      <c r="A7178">
        <v>2025</v>
      </c>
      <c r="B7178" t="s">
        <v>14287</v>
      </c>
      <c r="C7178" s="1">
        <v>45978</v>
      </c>
      <c r="D7178" t="s">
        <v>14288</v>
      </c>
      <c r="E7178" s="2">
        <v>124827.4</v>
      </c>
      <c r="G7178" s="3">
        <f>MONTH(Tabela1[[#This Row],[Último pagto ano]])</f>
        <v>11</v>
      </c>
      <c r="H7178" t="str">
        <f>TEXT(Tabela1[[#This Row],[Coluna2]]*29,"mmmm")</f>
        <v>novembro</v>
      </c>
      <c r="I7178" t="str">
        <f>TEXT(MONTH(Tabela1[[#This Row],[Último pagto ano]])*29,"mmmm")</f>
        <v>novembro</v>
      </c>
    </row>
    <row r="7179" spans="1:9" x14ac:dyDescent="0.25">
      <c r="A7179">
        <v>2025</v>
      </c>
      <c r="B7179" t="s">
        <v>14289</v>
      </c>
      <c r="C7179" s="1">
        <v>46014</v>
      </c>
      <c r="D7179" t="s">
        <v>14290</v>
      </c>
      <c r="E7179" s="2">
        <v>126629.53</v>
      </c>
      <c r="G7179" s="3">
        <f>MONTH(Tabela1[[#This Row],[Último pagto ano]])</f>
        <v>12</v>
      </c>
      <c r="H7179" t="str">
        <f>TEXT(Tabela1[[#This Row],[Coluna2]]*29,"mmmm")</f>
        <v>dezembro</v>
      </c>
      <c r="I7179" t="str">
        <f>TEXT(MONTH(Tabela1[[#This Row],[Último pagto ano]])*29,"mmmm")</f>
        <v>dezembro</v>
      </c>
    </row>
    <row r="7180" spans="1:9" x14ac:dyDescent="0.25">
      <c r="A7180">
        <v>2025</v>
      </c>
      <c r="B7180" t="s">
        <v>14291</v>
      </c>
      <c r="C7180" s="1">
        <v>45894</v>
      </c>
      <c r="D7180" t="s">
        <v>14292</v>
      </c>
      <c r="E7180" s="2">
        <v>68180.5</v>
      </c>
      <c r="G7180" s="3">
        <f>MONTH(Tabela1[[#This Row],[Último pagto ano]])</f>
        <v>8</v>
      </c>
      <c r="H7180" t="str">
        <f>TEXT(Tabela1[[#This Row],[Coluna2]]*29,"mmmm")</f>
        <v>agosto</v>
      </c>
      <c r="I7180" t="str">
        <f>TEXT(MONTH(Tabela1[[#This Row],[Último pagto ano]])*29,"mmmm")</f>
        <v>agosto</v>
      </c>
    </row>
    <row r="7181" spans="1:9" x14ac:dyDescent="0.25">
      <c r="A7181">
        <v>2025</v>
      </c>
      <c r="B7181" t="s">
        <v>14293</v>
      </c>
      <c r="C7181" s="1">
        <v>46006</v>
      </c>
      <c r="D7181" t="s">
        <v>14294</v>
      </c>
      <c r="E7181" s="2">
        <v>3701.6</v>
      </c>
      <c r="G7181" s="3">
        <f>MONTH(Tabela1[[#This Row],[Último pagto ano]])</f>
        <v>12</v>
      </c>
      <c r="H7181" t="str">
        <f>TEXT(Tabela1[[#This Row],[Coluna2]]*29,"mmmm")</f>
        <v>dezembro</v>
      </c>
      <c r="I7181" t="str">
        <f>TEXT(MONTH(Tabela1[[#This Row],[Último pagto ano]])*29,"mmmm")</f>
        <v>dezembro</v>
      </c>
    </row>
    <row r="7182" spans="1:9" x14ac:dyDescent="0.25">
      <c r="A7182">
        <v>2025</v>
      </c>
      <c r="B7182" t="s">
        <v>14295</v>
      </c>
      <c r="C7182" s="1">
        <v>45959</v>
      </c>
      <c r="D7182" t="s">
        <v>14296</v>
      </c>
      <c r="E7182" s="2">
        <v>33287.699999999997</v>
      </c>
      <c r="G7182" s="3">
        <f>MONTH(Tabela1[[#This Row],[Último pagto ano]])</f>
        <v>10</v>
      </c>
      <c r="H7182" t="str">
        <f>TEXT(Tabela1[[#This Row],[Coluna2]]*29,"mmmm")</f>
        <v>outubro</v>
      </c>
      <c r="I7182" t="str">
        <f>TEXT(MONTH(Tabela1[[#This Row],[Último pagto ano]])*29,"mmmm")</f>
        <v>outubro</v>
      </c>
    </row>
    <row r="7183" spans="1:9" x14ac:dyDescent="0.25">
      <c r="A7183">
        <v>2025</v>
      </c>
      <c r="B7183" t="s">
        <v>14297</v>
      </c>
      <c r="C7183" s="1">
        <v>46006</v>
      </c>
      <c r="D7183" t="s">
        <v>14298</v>
      </c>
      <c r="E7183">
        <v>176</v>
      </c>
      <c r="G7183" s="3">
        <f>MONTH(Tabela1[[#This Row],[Último pagto ano]])</f>
        <v>12</v>
      </c>
      <c r="H7183" t="str">
        <f>TEXT(Tabela1[[#This Row],[Coluna2]]*29,"mmmm")</f>
        <v>dezembro</v>
      </c>
      <c r="I7183" t="str">
        <f>TEXT(MONTH(Tabela1[[#This Row],[Último pagto ano]])*29,"mmmm")</f>
        <v>dezembro</v>
      </c>
    </row>
    <row r="7184" spans="1:9" x14ac:dyDescent="0.25">
      <c r="A7184">
        <v>2025</v>
      </c>
      <c r="B7184" t="s">
        <v>14299</v>
      </c>
      <c r="C7184" s="1">
        <v>45996</v>
      </c>
      <c r="D7184" t="s">
        <v>14300</v>
      </c>
      <c r="E7184" s="2">
        <v>5000</v>
      </c>
      <c r="G7184" s="3">
        <f>MONTH(Tabela1[[#This Row],[Último pagto ano]])</f>
        <v>12</v>
      </c>
      <c r="H7184" t="str">
        <f>TEXT(Tabela1[[#This Row],[Coluna2]]*29,"mmmm")</f>
        <v>dezembro</v>
      </c>
      <c r="I7184" t="str">
        <f>TEXT(MONTH(Tabela1[[#This Row],[Último pagto ano]])*29,"mmmm")</f>
        <v>dezembro</v>
      </c>
    </row>
    <row r="7185" spans="1:9" x14ac:dyDescent="0.25">
      <c r="A7185">
        <v>2025</v>
      </c>
      <c r="B7185" t="s">
        <v>14301</v>
      </c>
      <c r="C7185" s="1">
        <v>45950</v>
      </c>
      <c r="D7185" t="s">
        <v>14302</v>
      </c>
      <c r="E7185" s="2">
        <v>2148.7199999999998</v>
      </c>
      <c r="G7185" s="3">
        <f>MONTH(Tabela1[[#This Row],[Último pagto ano]])</f>
        <v>10</v>
      </c>
      <c r="H7185" t="str">
        <f>TEXT(Tabela1[[#This Row],[Coluna2]]*29,"mmmm")</f>
        <v>outubro</v>
      </c>
      <c r="I7185" t="str">
        <f>TEXT(MONTH(Tabela1[[#This Row],[Último pagto ano]])*29,"mmmm")</f>
        <v>outubro</v>
      </c>
    </row>
    <row r="7186" spans="1:9" x14ac:dyDescent="0.25">
      <c r="A7186">
        <v>2025</v>
      </c>
      <c r="B7186" t="s">
        <v>14303</v>
      </c>
      <c r="C7186" s="1">
        <v>45992</v>
      </c>
      <c r="D7186" t="s">
        <v>14304</v>
      </c>
      <c r="E7186" s="2">
        <v>99412.9</v>
      </c>
      <c r="G7186" s="3">
        <f>MONTH(Tabela1[[#This Row],[Último pagto ano]])</f>
        <v>12</v>
      </c>
      <c r="H7186" t="str">
        <f>TEXT(Tabela1[[#This Row],[Coluna2]]*29,"mmmm")</f>
        <v>dezembro</v>
      </c>
      <c r="I7186" t="str">
        <f>TEXT(MONTH(Tabela1[[#This Row],[Último pagto ano]])*29,"mmmm")</f>
        <v>dezembro</v>
      </c>
    </row>
    <row r="7187" spans="1:9" x14ac:dyDescent="0.25">
      <c r="A7187">
        <v>2025</v>
      </c>
      <c r="B7187" t="s">
        <v>14305</v>
      </c>
      <c r="C7187" s="1">
        <v>46014</v>
      </c>
      <c r="D7187" t="s">
        <v>14306</v>
      </c>
      <c r="E7187" s="2">
        <v>31699.98</v>
      </c>
      <c r="G7187" s="3">
        <f>MONTH(Tabela1[[#This Row],[Último pagto ano]])</f>
        <v>12</v>
      </c>
      <c r="H7187" t="str">
        <f>TEXT(Tabela1[[#This Row],[Coluna2]]*29,"mmmm")</f>
        <v>dezembro</v>
      </c>
      <c r="I7187" t="str">
        <f>TEXT(MONTH(Tabela1[[#This Row],[Último pagto ano]])*29,"mmmm")</f>
        <v>dezembro</v>
      </c>
    </row>
    <row r="7188" spans="1:9" x14ac:dyDescent="0.25">
      <c r="A7188">
        <v>2025</v>
      </c>
      <c r="B7188" t="s">
        <v>14307</v>
      </c>
      <c r="C7188" s="1">
        <v>45996</v>
      </c>
      <c r="D7188" t="s">
        <v>14308</v>
      </c>
      <c r="E7188" s="2">
        <v>52228.800000000003</v>
      </c>
      <c r="G7188" s="3">
        <f>MONTH(Tabela1[[#This Row],[Último pagto ano]])</f>
        <v>12</v>
      </c>
      <c r="H7188" t="str">
        <f>TEXT(Tabela1[[#This Row],[Coluna2]]*29,"mmmm")</f>
        <v>dezembro</v>
      </c>
      <c r="I7188" t="str">
        <f>TEXT(MONTH(Tabela1[[#This Row],[Último pagto ano]])*29,"mmmm")</f>
        <v>dezembro</v>
      </c>
    </row>
    <row r="7189" spans="1:9" x14ac:dyDescent="0.25">
      <c r="A7189">
        <v>2025</v>
      </c>
      <c r="B7189" t="s">
        <v>14309</v>
      </c>
      <c r="C7189" s="1">
        <v>45769</v>
      </c>
      <c r="D7189" t="s">
        <v>14310</v>
      </c>
      <c r="E7189">
        <v>10.87</v>
      </c>
      <c r="G7189" s="3">
        <f>MONTH(Tabela1[[#This Row],[Último pagto ano]])</f>
        <v>4</v>
      </c>
      <c r="H7189" t="str">
        <f>TEXT(Tabela1[[#This Row],[Coluna2]]*29,"mmmm")</f>
        <v>abril</v>
      </c>
      <c r="I7189" t="str">
        <f>TEXT(MONTH(Tabela1[[#This Row],[Último pagto ano]])*29,"mmmm")</f>
        <v>abril</v>
      </c>
    </row>
    <row r="7190" spans="1:9" x14ac:dyDescent="0.25">
      <c r="A7190">
        <v>2025</v>
      </c>
      <c r="B7190" t="s">
        <v>14311</v>
      </c>
      <c r="C7190" s="1">
        <v>45673</v>
      </c>
      <c r="D7190" t="s">
        <v>14312</v>
      </c>
      <c r="E7190" s="2">
        <v>4000</v>
      </c>
      <c r="G7190" s="3">
        <f>MONTH(Tabela1[[#This Row],[Último pagto ano]])</f>
        <v>1</v>
      </c>
      <c r="H7190" t="str">
        <f>TEXT(Tabela1[[#This Row],[Coluna2]]*29,"mmmm")</f>
        <v>janeiro</v>
      </c>
      <c r="I7190" t="str">
        <f>TEXT(MONTH(Tabela1[[#This Row],[Último pagto ano]])*29,"mmmm")</f>
        <v>janeiro</v>
      </c>
    </row>
    <row r="7191" spans="1:9" x14ac:dyDescent="0.25">
      <c r="A7191">
        <v>2025</v>
      </c>
      <c r="B7191" t="s">
        <v>14313</v>
      </c>
      <c r="C7191" s="1">
        <v>45845</v>
      </c>
      <c r="D7191" t="s">
        <v>14314</v>
      </c>
      <c r="E7191">
        <v>2.7</v>
      </c>
      <c r="G7191" s="3">
        <f>MONTH(Tabela1[[#This Row],[Último pagto ano]])</f>
        <v>7</v>
      </c>
      <c r="H7191" t="str">
        <f>TEXT(Tabela1[[#This Row],[Coluna2]]*29,"mmmm")</f>
        <v>julho</v>
      </c>
      <c r="I7191" t="str">
        <f>TEXT(MONTH(Tabela1[[#This Row],[Último pagto ano]])*29,"mmmm")</f>
        <v>julho</v>
      </c>
    </row>
    <row r="7192" spans="1:9" x14ac:dyDescent="0.25">
      <c r="A7192">
        <v>2025</v>
      </c>
      <c r="B7192" t="s">
        <v>14315</v>
      </c>
      <c r="C7192" s="1">
        <v>46013</v>
      </c>
      <c r="D7192" t="s">
        <v>14316</v>
      </c>
      <c r="E7192" s="2">
        <v>7027.2</v>
      </c>
      <c r="G7192" s="3">
        <f>MONTH(Tabela1[[#This Row],[Último pagto ano]])</f>
        <v>12</v>
      </c>
      <c r="H7192" t="str">
        <f>TEXT(Tabela1[[#This Row],[Coluna2]]*29,"mmmm")</f>
        <v>dezembro</v>
      </c>
      <c r="I7192" t="str">
        <f>TEXT(MONTH(Tabela1[[#This Row],[Último pagto ano]])*29,"mmmm")</f>
        <v>dezembro</v>
      </c>
    </row>
    <row r="7193" spans="1:9" x14ac:dyDescent="0.25">
      <c r="A7193">
        <v>2025</v>
      </c>
      <c r="B7193" t="s">
        <v>14317</v>
      </c>
      <c r="C7193" s="1">
        <v>45945</v>
      </c>
      <c r="D7193" t="s">
        <v>14318</v>
      </c>
      <c r="E7193" s="2">
        <v>5896.64</v>
      </c>
      <c r="G7193" s="3">
        <f>MONTH(Tabela1[[#This Row],[Último pagto ano]])</f>
        <v>10</v>
      </c>
      <c r="H7193" t="str">
        <f>TEXT(Tabela1[[#This Row],[Coluna2]]*29,"mmmm")</f>
        <v>outubro</v>
      </c>
      <c r="I7193" t="str">
        <f>TEXT(MONTH(Tabela1[[#This Row],[Último pagto ano]])*29,"mmmm")</f>
        <v>outubro</v>
      </c>
    </row>
    <row r="7194" spans="1:9" x14ac:dyDescent="0.25">
      <c r="A7194">
        <v>2025</v>
      </c>
      <c r="B7194" t="s">
        <v>14319</v>
      </c>
      <c r="C7194" s="1">
        <v>45705</v>
      </c>
      <c r="D7194" t="s">
        <v>14320</v>
      </c>
      <c r="E7194">
        <v>861.92</v>
      </c>
      <c r="G7194" s="3">
        <f>MONTH(Tabela1[[#This Row],[Último pagto ano]])</f>
        <v>2</v>
      </c>
      <c r="H7194" t="str">
        <f>TEXT(Tabela1[[#This Row],[Coluna2]]*29,"mmmm")</f>
        <v>fevereiro</v>
      </c>
      <c r="I7194" t="str">
        <f>TEXT(MONTH(Tabela1[[#This Row],[Último pagto ano]])*29,"mmmm")</f>
        <v>fevereiro</v>
      </c>
    </row>
    <row r="7195" spans="1:9" x14ac:dyDescent="0.25">
      <c r="A7195">
        <v>2025</v>
      </c>
      <c r="B7195" t="s">
        <v>14321</v>
      </c>
      <c r="C7195" s="1">
        <v>46006</v>
      </c>
      <c r="D7195" t="s">
        <v>14322</v>
      </c>
      <c r="E7195" s="2">
        <v>10197.6</v>
      </c>
      <c r="G7195" s="3">
        <f>MONTH(Tabela1[[#This Row],[Último pagto ano]])</f>
        <v>12</v>
      </c>
      <c r="H7195" t="str">
        <f>TEXT(Tabela1[[#This Row],[Coluna2]]*29,"mmmm")</f>
        <v>dezembro</v>
      </c>
      <c r="I7195" t="str">
        <f>TEXT(MONTH(Tabela1[[#This Row],[Último pagto ano]])*29,"mmmm")</f>
        <v>dezembro</v>
      </c>
    </row>
    <row r="7196" spans="1:9" x14ac:dyDescent="0.25">
      <c r="A7196">
        <v>2025</v>
      </c>
      <c r="B7196" t="s">
        <v>14323</v>
      </c>
      <c r="C7196" s="1">
        <v>45769</v>
      </c>
      <c r="D7196" t="s">
        <v>14324</v>
      </c>
      <c r="E7196">
        <v>927.54</v>
      </c>
      <c r="G7196" s="3">
        <f>MONTH(Tabela1[[#This Row],[Último pagto ano]])</f>
        <v>4</v>
      </c>
      <c r="H7196" t="str">
        <f>TEXT(Tabela1[[#This Row],[Coluna2]]*29,"mmmm")</f>
        <v>abril</v>
      </c>
      <c r="I7196" t="str">
        <f>TEXT(MONTH(Tabela1[[#This Row],[Último pagto ano]])*29,"mmmm")</f>
        <v>abril</v>
      </c>
    </row>
    <row r="7197" spans="1:9" x14ac:dyDescent="0.25">
      <c r="A7197">
        <v>2025</v>
      </c>
      <c r="B7197" t="s">
        <v>14325</v>
      </c>
      <c r="C7197" s="1">
        <v>45988</v>
      </c>
      <c r="D7197" t="s">
        <v>14326</v>
      </c>
      <c r="E7197">
        <v>774.25</v>
      </c>
      <c r="G7197" s="3">
        <f>MONTH(Tabela1[[#This Row],[Último pagto ano]])</f>
        <v>11</v>
      </c>
      <c r="H7197" t="str">
        <f>TEXT(Tabela1[[#This Row],[Coluna2]]*29,"mmmm")</f>
        <v>novembro</v>
      </c>
      <c r="I7197" t="str">
        <f>TEXT(MONTH(Tabela1[[#This Row],[Último pagto ano]])*29,"mmmm")</f>
        <v>novembro</v>
      </c>
    </row>
    <row r="7198" spans="1:9" x14ac:dyDescent="0.25">
      <c r="A7198">
        <v>2025</v>
      </c>
      <c r="B7198" t="s">
        <v>14327</v>
      </c>
      <c r="C7198" s="1">
        <v>46021</v>
      </c>
      <c r="D7198" t="s">
        <v>14328</v>
      </c>
      <c r="E7198" s="2">
        <v>12618</v>
      </c>
      <c r="G7198" s="3">
        <f>MONTH(Tabela1[[#This Row],[Último pagto ano]])</f>
        <v>12</v>
      </c>
      <c r="H7198" t="str">
        <f>TEXT(Tabela1[[#This Row],[Coluna2]]*29,"mmmm")</f>
        <v>dezembro</v>
      </c>
      <c r="I7198" t="str">
        <f>TEXT(MONTH(Tabela1[[#This Row],[Último pagto ano]])*29,"mmmm")</f>
        <v>dezembro</v>
      </c>
    </row>
    <row r="7199" spans="1:9" x14ac:dyDescent="0.25">
      <c r="A7199">
        <v>2025</v>
      </c>
      <c r="B7199" t="s">
        <v>14329</v>
      </c>
      <c r="C7199" s="1">
        <v>46014</v>
      </c>
      <c r="D7199" t="s">
        <v>14330</v>
      </c>
      <c r="E7199" s="2">
        <v>12509.15</v>
      </c>
      <c r="G7199" s="3">
        <f>MONTH(Tabela1[[#This Row],[Último pagto ano]])</f>
        <v>12</v>
      </c>
      <c r="H7199" t="str">
        <f>TEXT(Tabela1[[#This Row],[Coluna2]]*29,"mmmm")</f>
        <v>dezembro</v>
      </c>
      <c r="I7199" t="str">
        <f>TEXT(MONTH(Tabela1[[#This Row],[Último pagto ano]])*29,"mmmm")</f>
        <v>dezembro</v>
      </c>
    </row>
    <row r="7200" spans="1:9" x14ac:dyDescent="0.25">
      <c r="A7200">
        <v>2025</v>
      </c>
      <c r="B7200" t="s">
        <v>14331</v>
      </c>
      <c r="C7200" s="1">
        <v>45705</v>
      </c>
      <c r="D7200" t="s">
        <v>14332</v>
      </c>
      <c r="E7200" s="2">
        <v>1427.68</v>
      </c>
      <c r="G7200" s="3">
        <f>MONTH(Tabela1[[#This Row],[Último pagto ano]])</f>
        <v>2</v>
      </c>
      <c r="H7200" t="str">
        <f>TEXT(Tabela1[[#This Row],[Coluna2]]*29,"mmmm")</f>
        <v>fevereiro</v>
      </c>
      <c r="I7200" t="str">
        <f>TEXT(MONTH(Tabela1[[#This Row],[Último pagto ano]])*29,"mmmm")</f>
        <v>fevereiro</v>
      </c>
    </row>
    <row r="7201" spans="1:9" x14ac:dyDescent="0.25">
      <c r="A7201">
        <v>2025</v>
      </c>
      <c r="B7201" t="s">
        <v>14333</v>
      </c>
      <c r="C7201" s="1">
        <v>45845</v>
      </c>
      <c r="D7201" t="s">
        <v>14334</v>
      </c>
      <c r="E7201" s="2">
        <v>1985.59</v>
      </c>
      <c r="G7201" s="3">
        <f>MONTH(Tabela1[[#This Row],[Último pagto ano]])</f>
        <v>7</v>
      </c>
      <c r="H7201" t="str">
        <f>TEXT(Tabela1[[#This Row],[Coluna2]]*29,"mmmm")</f>
        <v>julho</v>
      </c>
      <c r="I7201" t="str">
        <f>TEXT(MONTH(Tabela1[[#This Row],[Último pagto ano]])*29,"mmmm")</f>
        <v>julho</v>
      </c>
    </row>
    <row r="7202" spans="1:9" x14ac:dyDescent="0.25">
      <c r="A7202">
        <v>2025</v>
      </c>
      <c r="B7202" t="s">
        <v>14335</v>
      </c>
      <c r="C7202" s="1">
        <v>45945</v>
      </c>
      <c r="D7202" t="s">
        <v>14336</v>
      </c>
      <c r="E7202" s="2">
        <v>5502.72</v>
      </c>
      <c r="G7202" s="3">
        <f>MONTH(Tabela1[[#This Row],[Último pagto ano]])</f>
        <v>10</v>
      </c>
      <c r="H7202" t="str">
        <f>TEXT(Tabela1[[#This Row],[Coluna2]]*29,"mmmm")</f>
        <v>outubro</v>
      </c>
      <c r="I7202" t="str">
        <f>TEXT(MONTH(Tabela1[[#This Row],[Último pagto ano]])*29,"mmmm")</f>
        <v>outubro</v>
      </c>
    </row>
    <row r="7203" spans="1:9" x14ac:dyDescent="0.25">
      <c r="A7203">
        <v>2025</v>
      </c>
      <c r="B7203" t="s">
        <v>14337</v>
      </c>
      <c r="C7203" s="1">
        <v>46006</v>
      </c>
      <c r="D7203" t="s">
        <v>14338</v>
      </c>
      <c r="E7203">
        <v>592.32000000000005</v>
      </c>
      <c r="G7203" s="3">
        <f>MONTH(Tabela1[[#This Row],[Último pagto ano]])</f>
        <v>12</v>
      </c>
      <c r="H7203" t="str">
        <f>TEXT(Tabela1[[#This Row],[Coluna2]]*29,"mmmm")</f>
        <v>dezembro</v>
      </c>
      <c r="I7203" t="str">
        <f>TEXT(MONTH(Tabela1[[#This Row],[Último pagto ano]])*29,"mmmm")</f>
        <v>dezembro</v>
      </c>
    </row>
    <row r="7204" spans="1:9" x14ac:dyDescent="0.25">
      <c r="A7204">
        <v>2025</v>
      </c>
      <c r="B7204" t="s">
        <v>14339</v>
      </c>
      <c r="C7204" s="1">
        <v>45673</v>
      </c>
      <c r="D7204" t="s">
        <v>14340</v>
      </c>
      <c r="E7204" s="2">
        <v>1100</v>
      </c>
      <c r="G7204" s="3">
        <f>MONTH(Tabela1[[#This Row],[Último pagto ano]])</f>
        <v>1</v>
      </c>
      <c r="H7204" t="str">
        <f>TEXT(Tabela1[[#This Row],[Coluna2]]*29,"mmmm")</f>
        <v>janeiro</v>
      </c>
      <c r="I7204" t="str">
        <f>TEXT(MONTH(Tabela1[[#This Row],[Último pagto ano]])*29,"mmmm")</f>
        <v>janeiro</v>
      </c>
    </row>
    <row r="7205" spans="1:9" x14ac:dyDescent="0.25">
      <c r="A7205">
        <v>2025</v>
      </c>
      <c r="B7205" t="s">
        <v>14341</v>
      </c>
      <c r="C7205" s="1">
        <v>45868</v>
      </c>
      <c r="D7205" t="s">
        <v>14342</v>
      </c>
      <c r="E7205" s="2">
        <v>3055.61</v>
      </c>
      <c r="G7205" s="3">
        <f>MONTH(Tabela1[[#This Row],[Último pagto ano]])</f>
        <v>7</v>
      </c>
      <c r="H7205" t="str">
        <f>TEXT(Tabela1[[#This Row],[Coluna2]]*29,"mmmm")</f>
        <v>julho</v>
      </c>
      <c r="I7205" t="str">
        <f>TEXT(MONTH(Tabela1[[#This Row],[Último pagto ano]])*29,"mmmm")</f>
        <v>julho</v>
      </c>
    </row>
    <row r="7206" spans="1:9" x14ac:dyDescent="0.25">
      <c r="A7206">
        <v>2025</v>
      </c>
      <c r="B7206" t="s">
        <v>14343</v>
      </c>
      <c r="C7206" s="1">
        <v>45673</v>
      </c>
      <c r="D7206" t="s">
        <v>14344</v>
      </c>
      <c r="E7206">
        <v>500</v>
      </c>
      <c r="G7206" s="3">
        <f>MONTH(Tabela1[[#This Row],[Último pagto ano]])</f>
        <v>1</v>
      </c>
      <c r="H7206" t="str">
        <f>TEXT(Tabela1[[#This Row],[Coluna2]]*29,"mmmm")</f>
        <v>janeiro</v>
      </c>
      <c r="I7206" t="str">
        <f>TEXT(MONTH(Tabela1[[#This Row],[Último pagto ano]])*29,"mmmm")</f>
        <v>janeiro</v>
      </c>
    </row>
    <row r="7207" spans="1:9" x14ac:dyDescent="0.25">
      <c r="A7207">
        <v>2025</v>
      </c>
      <c r="B7207" t="s">
        <v>14345</v>
      </c>
      <c r="C7207" s="1">
        <v>46014</v>
      </c>
      <c r="D7207" t="s">
        <v>14346</v>
      </c>
      <c r="E7207">
        <v>204.4</v>
      </c>
      <c r="G7207" s="3">
        <f>MONTH(Tabela1[[#This Row],[Último pagto ano]])</f>
        <v>12</v>
      </c>
      <c r="H7207" t="str">
        <f>TEXT(Tabela1[[#This Row],[Coluna2]]*29,"mmmm")</f>
        <v>dezembro</v>
      </c>
      <c r="I7207" t="str">
        <f>TEXT(MONTH(Tabela1[[#This Row],[Último pagto ano]])*29,"mmmm")</f>
        <v>dezembro</v>
      </c>
    </row>
    <row r="7208" spans="1:9" x14ac:dyDescent="0.25">
      <c r="A7208">
        <v>2025</v>
      </c>
      <c r="B7208" t="s">
        <v>14347</v>
      </c>
      <c r="C7208" s="1">
        <v>45761</v>
      </c>
      <c r="D7208" t="s">
        <v>14348</v>
      </c>
      <c r="E7208">
        <v>960</v>
      </c>
      <c r="G7208" s="3">
        <f>MONTH(Tabela1[[#This Row],[Último pagto ano]])</f>
        <v>4</v>
      </c>
      <c r="H7208" t="str">
        <f>TEXT(Tabela1[[#This Row],[Coluna2]]*29,"mmmm")</f>
        <v>abril</v>
      </c>
      <c r="I7208" t="str">
        <f>TEXT(MONTH(Tabela1[[#This Row],[Último pagto ano]])*29,"mmmm")</f>
        <v>abril</v>
      </c>
    </row>
    <row r="7209" spans="1:9" x14ac:dyDescent="0.25">
      <c r="A7209">
        <v>2025</v>
      </c>
      <c r="B7209" t="s">
        <v>14349</v>
      </c>
      <c r="C7209" s="1">
        <v>45853</v>
      </c>
      <c r="D7209" t="s">
        <v>14350</v>
      </c>
      <c r="E7209" s="2">
        <v>5034.72</v>
      </c>
      <c r="G7209" s="3">
        <f>MONTH(Tabela1[[#This Row],[Último pagto ano]])</f>
        <v>7</v>
      </c>
      <c r="H7209" t="str">
        <f>TEXT(Tabela1[[#This Row],[Coluna2]]*29,"mmmm")</f>
        <v>julho</v>
      </c>
      <c r="I7209" t="str">
        <f>TEXT(MONTH(Tabela1[[#This Row],[Último pagto ano]])*29,"mmmm")</f>
        <v>julho</v>
      </c>
    </row>
    <row r="7210" spans="1:9" x14ac:dyDescent="0.25">
      <c r="A7210">
        <v>2025</v>
      </c>
      <c r="B7210" t="s">
        <v>14351</v>
      </c>
      <c r="C7210" s="1">
        <v>46010</v>
      </c>
      <c r="D7210" t="s">
        <v>14352</v>
      </c>
      <c r="E7210" s="2">
        <v>11000</v>
      </c>
      <c r="G7210" s="3">
        <f>MONTH(Tabela1[[#This Row],[Último pagto ano]])</f>
        <v>12</v>
      </c>
      <c r="H7210" t="str">
        <f>TEXT(Tabela1[[#This Row],[Coluna2]]*29,"mmmm")</f>
        <v>dezembro</v>
      </c>
      <c r="I7210" t="str">
        <f>TEXT(MONTH(Tabela1[[#This Row],[Último pagto ano]])*29,"mmmm")</f>
        <v>dezembro</v>
      </c>
    </row>
    <row r="7211" spans="1:9" x14ac:dyDescent="0.25">
      <c r="A7211">
        <v>2025</v>
      </c>
      <c r="B7211" t="s">
        <v>14353</v>
      </c>
      <c r="C7211" s="1">
        <v>46009</v>
      </c>
      <c r="D7211" t="s">
        <v>14354</v>
      </c>
      <c r="E7211" s="2">
        <v>20874.759999999998</v>
      </c>
      <c r="G7211" s="3">
        <f>MONTH(Tabela1[[#This Row],[Último pagto ano]])</f>
        <v>12</v>
      </c>
      <c r="H7211" t="str">
        <f>TEXT(Tabela1[[#This Row],[Coluna2]]*29,"mmmm")</f>
        <v>dezembro</v>
      </c>
      <c r="I7211" t="str">
        <f>TEXT(MONTH(Tabela1[[#This Row],[Último pagto ano]])*29,"mmmm")</f>
        <v>dezembro</v>
      </c>
    </row>
    <row r="7212" spans="1:9" x14ac:dyDescent="0.25">
      <c r="A7212">
        <v>2025</v>
      </c>
      <c r="B7212" t="s">
        <v>14355</v>
      </c>
      <c r="C7212" s="1">
        <v>45894</v>
      </c>
      <c r="D7212" t="s">
        <v>14356</v>
      </c>
      <c r="E7212">
        <v>66</v>
      </c>
      <c r="G7212" s="3">
        <f>MONTH(Tabela1[[#This Row],[Último pagto ano]])</f>
        <v>8</v>
      </c>
      <c r="H7212" t="str">
        <f>TEXT(Tabela1[[#This Row],[Coluna2]]*29,"mmmm")</f>
        <v>agosto</v>
      </c>
      <c r="I7212" t="str">
        <f>TEXT(MONTH(Tabela1[[#This Row],[Último pagto ano]])*29,"mmmm")</f>
        <v>agosto</v>
      </c>
    </row>
    <row r="7213" spans="1:9" x14ac:dyDescent="0.25">
      <c r="A7213">
        <v>2025</v>
      </c>
      <c r="B7213" t="s">
        <v>14357</v>
      </c>
      <c r="C7213" s="1">
        <v>45937</v>
      </c>
      <c r="D7213" t="s">
        <v>14358</v>
      </c>
      <c r="E7213" s="2">
        <v>10500</v>
      </c>
      <c r="G7213" s="3">
        <f>MONTH(Tabela1[[#This Row],[Último pagto ano]])</f>
        <v>10</v>
      </c>
      <c r="H7213" t="str">
        <f>TEXT(Tabela1[[#This Row],[Coluna2]]*29,"mmmm")</f>
        <v>outubro</v>
      </c>
      <c r="I7213" t="str">
        <f>TEXT(MONTH(Tabela1[[#This Row],[Último pagto ano]])*29,"mmmm")</f>
        <v>outubro</v>
      </c>
    </row>
    <row r="7214" spans="1:9" x14ac:dyDescent="0.25">
      <c r="A7214">
        <v>2025</v>
      </c>
      <c r="B7214" t="s">
        <v>14359</v>
      </c>
      <c r="C7214" s="1">
        <v>46021</v>
      </c>
      <c r="D7214" t="s">
        <v>14360</v>
      </c>
      <c r="E7214" s="2">
        <v>10911.37</v>
      </c>
      <c r="G7214" s="3">
        <f>MONTH(Tabela1[[#This Row],[Último pagto ano]])</f>
        <v>12</v>
      </c>
      <c r="H7214" t="str">
        <f>TEXT(Tabela1[[#This Row],[Coluna2]]*29,"mmmm")</f>
        <v>dezembro</v>
      </c>
      <c r="I7214" t="str">
        <f>TEXT(MONTH(Tabela1[[#This Row],[Último pagto ano]])*29,"mmmm")</f>
        <v>dezembro</v>
      </c>
    </row>
    <row r="7215" spans="1:9" x14ac:dyDescent="0.25">
      <c r="A7215">
        <v>2025</v>
      </c>
      <c r="B7215" t="s">
        <v>14361</v>
      </c>
      <c r="C7215" s="1">
        <v>46010</v>
      </c>
      <c r="D7215" t="s">
        <v>14362</v>
      </c>
      <c r="E7215" s="2">
        <v>8400</v>
      </c>
      <c r="G7215" s="3">
        <f>MONTH(Tabela1[[#This Row],[Último pagto ano]])</f>
        <v>12</v>
      </c>
      <c r="H7215" t="str">
        <f>TEXT(Tabela1[[#This Row],[Coluna2]]*29,"mmmm")</f>
        <v>dezembro</v>
      </c>
      <c r="I7215" t="str">
        <f>TEXT(MONTH(Tabela1[[#This Row],[Último pagto ano]])*29,"mmmm")</f>
        <v>dezembro</v>
      </c>
    </row>
    <row r="7216" spans="1:9" x14ac:dyDescent="0.25">
      <c r="A7216">
        <v>2025</v>
      </c>
      <c r="B7216" t="s">
        <v>14363</v>
      </c>
      <c r="C7216" s="1">
        <v>45890</v>
      </c>
      <c r="D7216" t="s">
        <v>14364</v>
      </c>
      <c r="E7216" s="2">
        <v>2404.12</v>
      </c>
      <c r="G7216" s="3">
        <f>MONTH(Tabela1[[#This Row],[Último pagto ano]])</f>
        <v>8</v>
      </c>
      <c r="H7216" t="str">
        <f>TEXT(Tabela1[[#This Row],[Coluna2]]*29,"mmmm")</f>
        <v>agosto</v>
      </c>
      <c r="I7216" t="str">
        <f>TEXT(MONTH(Tabela1[[#This Row],[Último pagto ano]])*29,"mmmm")</f>
        <v>agosto</v>
      </c>
    </row>
    <row r="7217" spans="1:9" x14ac:dyDescent="0.25">
      <c r="A7217">
        <v>2025</v>
      </c>
      <c r="B7217" t="s">
        <v>14365</v>
      </c>
      <c r="C7217" s="1">
        <v>45762</v>
      </c>
      <c r="D7217" t="s">
        <v>14366</v>
      </c>
      <c r="E7217" s="2">
        <v>2800</v>
      </c>
      <c r="G7217" s="3">
        <f>MONTH(Tabela1[[#This Row],[Último pagto ano]])</f>
        <v>4</v>
      </c>
      <c r="H7217" t="str">
        <f>TEXT(Tabela1[[#This Row],[Coluna2]]*29,"mmmm")</f>
        <v>abril</v>
      </c>
      <c r="I7217" t="str">
        <f>TEXT(MONTH(Tabela1[[#This Row],[Último pagto ano]])*29,"mmmm")</f>
        <v>abril</v>
      </c>
    </row>
    <row r="7218" spans="1:9" x14ac:dyDescent="0.25">
      <c r="A7218">
        <v>2025</v>
      </c>
      <c r="B7218" t="s">
        <v>14367</v>
      </c>
      <c r="C7218" s="1">
        <v>45730</v>
      </c>
      <c r="D7218" t="s">
        <v>14368</v>
      </c>
      <c r="E7218" s="2">
        <v>2100</v>
      </c>
      <c r="G7218" s="3">
        <f>MONTH(Tabela1[[#This Row],[Último pagto ano]])</f>
        <v>3</v>
      </c>
      <c r="H7218" t="str">
        <f>TEXT(Tabela1[[#This Row],[Coluna2]]*29,"mmmm")</f>
        <v>março</v>
      </c>
      <c r="I7218" t="str">
        <f>TEXT(MONTH(Tabela1[[#This Row],[Último pagto ano]])*29,"mmmm")</f>
        <v>março</v>
      </c>
    </row>
    <row r="7219" spans="1:9" x14ac:dyDescent="0.25">
      <c r="A7219">
        <v>2025</v>
      </c>
      <c r="B7219" t="s">
        <v>14369</v>
      </c>
      <c r="C7219" s="1">
        <v>45989</v>
      </c>
      <c r="D7219" t="s">
        <v>14370</v>
      </c>
      <c r="E7219" s="2">
        <v>2696.98</v>
      </c>
      <c r="G7219" s="3">
        <f>MONTH(Tabela1[[#This Row],[Último pagto ano]])</f>
        <v>11</v>
      </c>
      <c r="H7219" t="str">
        <f>TEXT(Tabela1[[#This Row],[Coluna2]]*29,"mmmm")</f>
        <v>novembro</v>
      </c>
      <c r="I7219" t="str">
        <f>TEXT(MONTH(Tabela1[[#This Row],[Último pagto ano]])*29,"mmmm")</f>
        <v>novembro</v>
      </c>
    </row>
    <row r="7220" spans="1:9" x14ac:dyDescent="0.25">
      <c r="A7220">
        <v>2025</v>
      </c>
      <c r="B7220" t="s">
        <v>14371</v>
      </c>
      <c r="C7220" s="1">
        <v>46021</v>
      </c>
      <c r="D7220" t="s">
        <v>14372</v>
      </c>
      <c r="E7220">
        <v>599.59</v>
      </c>
      <c r="G7220" s="3">
        <f>MONTH(Tabela1[[#This Row],[Último pagto ano]])</f>
        <v>12</v>
      </c>
      <c r="H7220" t="str">
        <f>TEXT(Tabela1[[#This Row],[Coluna2]]*29,"mmmm")</f>
        <v>dezembro</v>
      </c>
      <c r="I7220" t="str">
        <f>TEXT(MONTH(Tabela1[[#This Row],[Último pagto ano]])*29,"mmmm")</f>
        <v>dezembro</v>
      </c>
    </row>
    <row r="7221" spans="1:9" x14ac:dyDescent="0.25">
      <c r="A7221">
        <v>2025</v>
      </c>
      <c r="B7221" t="s">
        <v>14373</v>
      </c>
      <c r="C7221" s="1">
        <v>45733</v>
      </c>
      <c r="D7221" t="s">
        <v>14374</v>
      </c>
      <c r="E7221" s="2">
        <v>8169.21</v>
      </c>
      <c r="G7221" s="3">
        <f>MONTH(Tabela1[[#This Row],[Último pagto ano]])</f>
        <v>3</v>
      </c>
      <c r="H7221" t="str">
        <f>TEXT(Tabela1[[#This Row],[Coluna2]]*29,"mmmm")</f>
        <v>março</v>
      </c>
      <c r="I7221" t="str">
        <f>TEXT(MONTH(Tabela1[[#This Row],[Último pagto ano]])*29,"mmmm")</f>
        <v>março</v>
      </c>
    </row>
    <row r="7222" spans="1:9" x14ac:dyDescent="0.25">
      <c r="A7222">
        <v>2025</v>
      </c>
      <c r="B7222" t="s">
        <v>14375</v>
      </c>
      <c r="C7222" s="1">
        <v>46014</v>
      </c>
      <c r="D7222" t="s">
        <v>14376</v>
      </c>
      <c r="E7222">
        <v>172.4</v>
      </c>
      <c r="G7222" s="3">
        <f>MONTH(Tabela1[[#This Row],[Último pagto ano]])</f>
        <v>12</v>
      </c>
      <c r="H7222" t="str">
        <f>TEXT(Tabela1[[#This Row],[Coluna2]]*29,"mmmm")</f>
        <v>dezembro</v>
      </c>
      <c r="I7222" t="str">
        <f>TEXT(MONTH(Tabela1[[#This Row],[Último pagto ano]])*29,"mmmm")</f>
        <v>dezembro</v>
      </c>
    </row>
    <row r="7223" spans="1:9" x14ac:dyDescent="0.25">
      <c r="A7223">
        <v>2025</v>
      </c>
      <c r="B7223" t="s">
        <v>14377</v>
      </c>
      <c r="C7223" s="1">
        <v>45674</v>
      </c>
      <c r="D7223" t="s">
        <v>14378</v>
      </c>
      <c r="E7223" s="2">
        <v>6718.8</v>
      </c>
      <c r="G7223" s="3">
        <f>MONTH(Tabela1[[#This Row],[Último pagto ano]])</f>
        <v>1</v>
      </c>
      <c r="H7223" t="str">
        <f>TEXT(Tabela1[[#This Row],[Coluna2]]*29,"mmmm")</f>
        <v>janeiro</v>
      </c>
      <c r="I7223" t="str">
        <f>TEXT(MONTH(Tabela1[[#This Row],[Último pagto ano]])*29,"mmmm")</f>
        <v>janeiro</v>
      </c>
    </row>
    <row r="7224" spans="1:9" x14ac:dyDescent="0.25">
      <c r="A7224">
        <v>2025</v>
      </c>
      <c r="B7224" t="s">
        <v>14379</v>
      </c>
      <c r="C7224" s="1">
        <v>46007</v>
      </c>
      <c r="D7224" t="s">
        <v>14380</v>
      </c>
      <c r="E7224" s="2">
        <v>496413.12</v>
      </c>
      <c r="G7224" s="3">
        <f>MONTH(Tabela1[[#This Row],[Último pagto ano]])</f>
        <v>12</v>
      </c>
      <c r="H7224" t="str">
        <f>TEXT(Tabela1[[#This Row],[Coluna2]]*29,"mmmm")</f>
        <v>dezembro</v>
      </c>
      <c r="I7224" t="str">
        <f>TEXT(MONTH(Tabela1[[#This Row],[Último pagto ano]])*29,"mmmm")</f>
        <v>dezembro</v>
      </c>
    </row>
    <row r="7225" spans="1:9" x14ac:dyDescent="0.25">
      <c r="A7225">
        <v>2025</v>
      </c>
      <c r="B7225" t="s">
        <v>14381</v>
      </c>
      <c r="C7225" s="1">
        <v>46010</v>
      </c>
      <c r="D7225" t="s">
        <v>14382</v>
      </c>
      <c r="E7225" s="2">
        <v>12000</v>
      </c>
      <c r="G7225" s="3">
        <f>MONTH(Tabela1[[#This Row],[Último pagto ano]])</f>
        <v>12</v>
      </c>
      <c r="H7225" t="str">
        <f>TEXT(Tabela1[[#This Row],[Coluna2]]*29,"mmmm")</f>
        <v>dezembro</v>
      </c>
      <c r="I7225" t="str">
        <f>TEXT(MONTH(Tabela1[[#This Row],[Último pagto ano]])*29,"mmmm")</f>
        <v>dezembro</v>
      </c>
    </row>
    <row r="7226" spans="1:9" x14ac:dyDescent="0.25">
      <c r="A7226">
        <v>2025</v>
      </c>
      <c r="B7226" t="s">
        <v>14383</v>
      </c>
      <c r="C7226" s="1">
        <v>45841</v>
      </c>
      <c r="D7226" t="s">
        <v>14384</v>
      </c>
      <c r="E7226" s="2">
        <v>3862.58</v>
      </c>
      <c r="G7226" s="3">
        <f>MONTH(Tabela1[[#This Row],[Último pagto ano]])</f>
        <v>7</v>
      </c>
      <c r="H7226" t="str">
        <f>TEXT(Tabela1[[#This Row],[Coluna2]]*29,"mmmm")</f>
        <v>julho</v>
      </c>
      <c r="I7226" t="str">
        <f>TEXT(MONTH(Tabela1[[#This Row],[Último pagto ano]])*29,"mmmm")</f>
        <v>julho</v>
      </c>
    </row>
    <row r="7227" spans="1:9" x14ac:dyDescent="0.25">
      <c r="A7227">
        <v>2025</v>
      </c>
      <c r="B7227" t="s">
        <v>14385</v>
      </c>
      <c r="C7227" s="1">
        <v>45677</v>
      </c>
      <c r="D7227" t="s">
        <v>14386</v>
      </c>
      <c r="E7227">
        <v>89.87</v>
      </c>
      <c r="G7227" s="3">
        <f>MONTH(Tabela1[[#This Row],[Último pagto ano]])</f>
        <v>1</v>
      </c>
      <c r="H7227" t="str">
        <f>TEXT(Tabela1[[#This Row],[Coluna2]]*29,"mmmm")</f>
        <v>janeiro</v>
      </c>
      <c r="I7227" t="str">
        <f>TEXT(MONTH(Tabela1[[#This Row],[Último pagto ano]])*29,"mmmm")</f>
        <v>janeiro</v>
      </c>
    </row>
    <row r="7228" spans="1:9" x14ac:dyDescent="0.25">
      <c r="A7228">
        <v>2025</v>
      </c>
      <c r="B7228" t="s">
        <v>14387</v>
      </c>
      <c r="C7228" s="1">
        <v>45903</v>
      </c>
      <c r="D7228" t="s">
        <v>14388</v>
      </c>
      <c r="E7228">
        <v>33</v>
      </c>
      <c r="G7228" s="3">
        <f>MONTH(Tabela1[[#This Row],[Último pagto ano]])</f>
        <v>9</v>
      </c>
      <c r="H7228" t="str">
        <f>TEXT(Tabela1[[#This Row],[Coluna2]]*29,"mmmm")</f>
        <v>setembro</v>
      </c>
      <c r="I7228" t="str">
        <f>TEXT(MONTH(Tabela1[[#This Row],[Último pagto ano]])*29,"mmmm")</f>
        <v>setembro</v>
      </c>
    </row>
    <row r="7229" spans="1:9" x14ac:dyDescent="0.25">
      <c r="A7229">
        <v>2025</v>
      </c>
      <c r="B7229" t="s">
        <v>14389</v>
      </c>
      <c r="C7229" s="1">
        <v>45670</v>
      </c>
      <c r="D7229" t="s">
        <v>14390</v>
      </c>
      <c r="E7229" s="2">
        <v>15298.32</v>
      </c>
      <c r="G7229" s="3">
        <f>MONTH(Tabela1[[#This Row],[Último pagto ano]])</f>
        <v>1</v>
      </c>
      <c r="H7229" t="str">
        <f>TEXT(Tabela1[[#This Row],[Coluna2]]*29,"mmmm")</f>
        <v>janeiro</v>
      </c>
      <c r="I7229" t="str">
        <f>TEXT(MONTH(Tabela1[[#This Row],[Último pagto ano]])*29,"mmmm")</f>
        <v>janeiro</v>
      </c>
    </row>
    <row r="7230" spans="1:9" x14ac:dyDescent="0.25">
      <c r="A7230">
        <v>2025</v>
      </c>
      <c r="B7230" t="s">
        <v>14391</v>
      </c>
      <c r="C7230" s="1">
        <v>46009</v>
      </c>
      <c r="D7230" t="s">
        <v>14392</v>
      </c>
      <c r="E7230" s="2">
        <v>1382.51</v>
      </c>
      <c r="G7230" s="3">
        <f>MONTH(Tabela1[[#This Row],[Último pagto ano]])</f>
        <v>12</v>
      </c>
      <c r="H7230" t="str">
        <f>TEXT(Tabela1[[#This Row],[Coluna2]]*29,"mmmm")</f>
        <v>dezembro</v>
      </c>
      <c r="I7230" t="str">
        <f>TEXT(MONTH(Tabela1[[#This Row],[Último pagto ano]])*29,"mmmm")</f>
        <v>dezembro</v>
      </c>
    </row>
    <row r="7231" spans="1:9" x14ac:dyDescent="0.25">
      <c r="A7231">
        <v>2025</v>
      </c>
      <c r="B7231" t="s">
        <v>14393</v>
      </c>
      <c r="C7231" s="1">
        <v>46010</v>
      </c>
      <c r="D7231" t="s">
        <v>14394</v>
      </c>
      <c r="E7231" s="2">
        <v>8400</v>
      </c>
      <c r="G7231" s="3">
        <f>MONTH(Tabela1[[#This Row],[Último pagto ano]])</f>
        <v>12</v>
      </c>
      <c r="H7231" t="str">
        <f>TEXT(Tabela1[[#This Row],[Coluna2]]*29,"mmmm")</f>
        <v>dezembro</v>
      </c>
      <c r="I7231" t="str">
        <f>TEXT(MONTH(Tabela1[[#This Row],[Último pagto ano]])*29,"mmmm")</f>
        <v>dezembro</v>
      </c>
    </row>
    <row r="7232" spans="1:9" x14ac:dyDescent="0.25">
      <c r="A7232">
        <v>2025</v>
      </c>
      <c r="B7232" t="s">
        <v>14395</v>
      </c>
      <c r="C7232" s="1">
        <v>46021</v>
      </c>
      <c r="D7232" t="s">
        <v>14396</v>
      </c>
      <c r="E7232" s="2">
        <v>4373.4799999999996</v>
      </c>
      <c r="G7232" s="3">
        <f>MONTH(Tabela1[[#This Row],[Último pagto ano]])</f>
        <v>12</v>
      </c>
      <c r="H7232" t="str">
        <f>TEXT(Tabela1[[#This Row],[Coluna2]]*29,"mmmm")</f>
        <v>dezembro</v>
      </c>
      <c r="I7232" t="str">
        <f>TEXT(MONTH(Tabela1[[#This Row],[Último pagto ano]])*29,"mmmm")</f>
        <v>dezembro</v>
      </c>
    </row>
    <row r="7233" spans="1:9" x14ac:dyDescent="0.25">
      <c r="A7233">
        <v>2025</v>
      </c>
      <c r="B7233" t="s">
        <v>14397</v>
      </c>
      <c r="C7233" s="1">
        <v>46006</v>
      </c>
      <c r="D7233" t="s">
        <v>14398</v>
      </c>
      <c r="E7233" s="2">
        <v>16248.96</v>
      </c>
      <c r="G7233" s="3">
        <f>MONTH(Tabela1[[#This Row],[Último pagto ano]])</f>
        <v>12</v>
      </c>
      <c r="H7233" t="str">
        <f>TEXT(Tabela1[[#This Row],[Coluna2]]*29,"mmmm")</f>
        <v>dezembro</v>
      </c>
      <c r="I7233" t="str">
        <f>TEXT(MONTH(Tabela1[[#This Row],[Último pagto ano]])*29,"mmmm")</f>
        <v>dezembro</v>
      </c>
    </row>
    <row r="7234" spans="1:9" x14ac:dyDescent="0.25">
      <c r="A7234">
        <v>2025</v>
      </c>
      <c r="B7234" t="s">
        <v>14399</v>
      </c>
      <c r="C7234" s="1">
        <v>45792</v>
      </c>
      <c r="D7234" t="s">
        <v>14400</v>
      </c>
      <c r="E7234">
        <v>44</v>
      </c>
      <c r="G7234" s="3">
        <f>MONTH(Tabela1[[#This Row],[Último pagto ano]])</f>
        <v>5</v>
      </c>
      <c r="H7234" t="str">
        <f>TEXT(Tabela1[[#This Row],[Coluna2]]*29,"mmmm")</f>
        <v>maio</v>
      </c>
      <c r="I7234" t="str">
        <f>TEXT(MONTH(Tabela1[[#This Row],[Último pagto ano]])*29,"mmmm")</f>
        <v>maio</v>
      </c>
    </row>
    <row r="7235" spans="1:9" x14ac:dyDescent="0.25">
      <c r="A7235">
        <v>2025</v>
      </c>
      <c r="B7235" t="s">
        <v>14401</v>
      </c>
      <c r="C7235" s="1">
        <v>45910</v>
      </c>
      <c r="D7235" t="s">
        <v>14402</v>
      </c>
      <c r="E7235" s="2">
        <v>5218.42</v>
      </c>
      <c r="G7235" s="3">
        <f>MONTH(Tabela1[[#This Row],[Último pagto ano]])</f>
        <v>9</v>
      </c>
      <c r="H7235" t="str">
        <f>TEXT(Tabela1[[#This Row],[Coluna2]]*29,"mmmm")</f>
        <v>setembro</v>
      </c>
      <c r="I7235" t="str">
        <f>TEXT(MONTH(Tabela1[[#This Row],[Último pagto ano]])*29,"mmmm")</f>
        <v>setembro</v>
      </c>
    </row>
    <row r="7236" spans="1:9" x14ac:dyDescent="0.25">
      <c r="A7236">
        <v>2025</v>
      </c>
      <c r="B7236" t="s">
        <v>14403</v>
      </c>
      <c r="C7236" s="1">
        <v>46006</v>
      </c>
      <c r="D7236" t="s">
        <v>14404</v>
      </c>
      <c r="E7236">
        <v>700</v>
      </c>
      <c r="G7236" s="3">
        <f>MONTH(Tabela1[[#This Row],[Último pagto ano]])</f>
        <v>12</v>
      </c>
      <c r="H7236" t="str">
        <f>TEXT(Tabela1[[#This Row],[Coluna2]]*29,"mmmm")</f>
        <v>dezembro</v>
      </c>
      <c r="I7236" t="str">
        <f>TEXT(MONTH(Tabela1[[#This Row],[Último pagto ano]])*29,"mmmm")</f>
        <v>dezembro</v>
      </c>
    </row>
    <row r="7237" spans="1:9" x14ac:dyDescent="0.25">
      <c r="A7237">
        <v>2025</v>
      </c>
      <c r="B7237" t="s">
        <v>14405</v>
      </c>
      <c r="C7237" s="1">
        <v>45880</v>
      </c>
      <c r="D7237" t="s">
        <v>14406</v>
      </c>
      <c r="E7237">
        <v>165</v>
      </c>
      <c r="G7237" s="3">
        <f>MONTH(Tabela1[[#This Row],[Último pagto ano]])</f>
        <v>8</v>
      </c>
      <c r="H7237" t="str">
        <f>TEXT(Tabela1[[#This Row],[Coluna2]]*29,"mmmm")</f>
        <v>agosto</v>
      </c>
      <c r="I7237" t="str">
        <f>TEXT(MONTH(Tabela1[[#This Row],[Último pagto ano]])*29,"mmmm")</f>
        <v>agosto</v>
      </c>
    </row>
    <row r="7238" spans="1:9" x14ac:dyDescent="0.25">
      <c r="A7238">
        <v>2025</v>
      </c>
      <c r="B7238" t="s">
        <v>14407</v>
      </c>
      <c r="C7238" s="1">
        <v>45747</v>
      </c>
      <c r="D7238" t="s">
        <v>14408</v>
      </c>
      <c r="E7238">
        <v>66</v>
      </c>
      <c r="G7238" s="3">
        <f>MONTH(Tabela1[[#This Row],[Último pagto ano]])</f>
        <v>3</v>
      </c>
      <c r="H7238" t="str">
        <f>TEXT(Tabela1[[#This Row],[Coluna2]]*29,"mmmm")</f>
        <v>março</v>
      </c>
      <c r="I7238" t="str">
        <f>TEXT(MONTH(Tabela1[[#This Row],[Último pagto ano]])*29,"mmmm")</f>
        <v>março</v>
      </c>
    </row>
    <row r="7239" spans="1:9" x14ac:dyDescent="0.25">
      <c r="A7239">
        <v>2025</v>
      </c>
      <c r="B7239" t="s">
        <v>14409</v>
      </c>
      <c r="C7239" s="1">
        <v>45898</v>
      </c>
      <c r="D7239" t="s">
        <v>14410</v>
      </c>
      <c r="E7239" s="2">
        <v>8213.99</v>
      </c>
      <c r="G7239" s="3">
        <f>MONTH(Tabela1[[#This Row],[Último pagto ano]])</f>
        <v>8</v>
      </c>
      <c r="H7239" t="str">
        <f>TEXT(Tabela1[[#This Row],[Coluna2]]*29,"mmmm")</f>
        <v>agosto</v>
      </c>
      <c r="I7239" t="str">
        <f>TEXT(MONTH(Tabela1[[#This Row],[Último pagto ano]])*29,"mmmm")</f>
        <v>agosto</v>
      </c>
    </row>
    <row r="7240" spans="1:9" x14ac:dyDescent="0.25">
      <c r="A7240">
        <v>2025</v>
      </c>
      <c r="B7240" t="s">
        <v>14411</v>
      </c>
      <c r="C7240" s="1">
        <v>46013</v>
      </c>
      <c r="D7240" t="s">
        <v>14412</v>
      </c>
      <c r="E7240" s="2">
        <v>13375</v>
      </c>
      <c r="G7240" s="3">
        <f>MONTH(Tabela1[[#This Row],[Último pagto ano]])</f>
        <v>12</v>
      </c>
      <c r="H7240" t="str">
        <f>TEXT(Tabela1[[#This Row],[Coluna2]]*29,"mmmm")</f>
        <v>dezembro</v>
      </c>
      <c r="I7240" t="str">
        <f>TEXT(MONTH(Tabela1[[#This Row],[Último pagto ano]])*29,"mmmm")</f>
        <v>dezembro</v>
      </c>
    </row>
    <row r="7241" spans="1:9" x14ac:dyDescent="0.25">
      <c r="A7241">
        <v>2025</v>
      </c>
      <c r="B7241" t="s">
        <v>14413</v>
      </c>
      <c r="C7241" s="1">
        <v>45673</v>
      </c>
      <c r="D7241" t="s">
        <v>14414</v>
      </c>
      <c r="E7241">
        <v>900</v>
      </c>
      <c r="G7241" s="3">
        <f>MONTH(Tabela1[[#This Row],[Último pagto ano]])</f>
        <v>1</v>
      </c>
      <c r="H7241" t="str">
        <f>TEXT(Tabela1[[#This Row],[Coluna2]]*29,"mmmm")</f>
        <v>janeiro</v>
      </c>
      <c r="I7241" t="str">
        <f>TEXT(MONTH(Tabela1[[#This Row],[Último pagto ano]])*29,"mmmm")</f>
        <v>janeiro</v>
      </c>
    </row>
    <row r="7242" spans="1:9" x14ac:dyDescent="0.25">
      <c r="A7242">
        <v>2025</v>
      </c>
      <c r="B7242" t="s">
        <v>14415</v>
      </c>
      <c r="C7242" s="1">
        <v>46014</v>
      </c>
      <c r="D7242" t="s">
        <v>14416</v>
      </c>
      <c r="E7242">
        <v>33</v>
      </c>
      <c r="G7242" s="3">
        <f>MONTH(Tabela1[[#This Row],[Último pagto ano]])</f>
        <v>12</v>
      </c>
      <c r="H7242" t="str">
        <f>TEXT(Tabela1[[#This Row],[Coluna2]]*29,"mmmm")</f>
        <v>dezembro</v>
      </c>
      <c r="I7242" t="str">
        <f>TEXT(MONTH(Tabela1[[#This Row],[Último pagto ano]])*29,"mmmm")</f>
        <v>dezembro</v>
      </c>
    </row>
    <row r="7243" spans="1:9" x14ac:dyDescent="0.25">
      <c r="A7243">
        <v>2025</v>
      </c>
      <c r="B7243" t="s">
        <v>14417</v>
      </c>
      <c r="C7243" s="1">
        <v>45943</v>
      </c>
      <c r="D7243" t="s">
        <v>14418</v>
      </c>
      <c r="E7243">
        <v>66</v>
      </c>
      <c r="G7243" s="3">
        <f>MONTH(Tabela1[[#This Row],[Último pagto ano]])</f>
        <v>10</v>
      </c>
      <c r="H7243" t="str">
        <f>TEXT(Tabela1[[#This Row],[Coluna2]]*29,"mmmm")</f>
        <v>outubro</v>
      </c>
      <c r="I7243" t="str">
        <f>TEXT(MONTH(Tabela1[[#This Row],[Último pagto ano]])*29,"mmmm")</f>
        <v>outubro</v>
      </c>
    </row>
    <row r="7244" spans="1:9" x14ac:dyDescent="0.25">
      <c r="A7244">
        <v>2025</v>
      </c>
      <c r="B7244" t="s">
        <v>14419</v>
      </c>
      <c r="C7244" s="1">
        <v>45702</v>
      </c>
      <c r="D7244" t="s">
        <v>14420</v>
      </c>
      <c r="E7244">
        <v>258.82</v>
      </c>
      <c r="G7244" s="3">
        <f>MONTH(Tabela1[[#This Row],[Último pagto ano]])</f>
        <v>2</v>
      </c>
      <c r="H7244" t="str">
        <f>TEXT(Tabela1[[#This Row],[Coluna2]]*29,"mmmm")</f>
        <v>fevereiro</v>
      </c>
      <c r="I7244" t="str">
        <f>TEXT(MONTH(Tabela1[[#This Row],[Último pagto ano]])*29,"mmmm")</f>
        <v>fevereiro</v>
      </c>
    </row>
    <row r="7245" spans="1:9" x14ac:dyDescent="0.25">
      <c r="A7245">
        <v>2025</v>
      </c>
      <c r="B7245" t="s">
        <v>14421</v>
      </c>
      <c r="C7245" s="1">
        <v>45894</v>
      </c>
      <c r="D7245" t="s">
        <v>14422</v>
      </c>
      <c r="E7245">
        <v>2.35</v>
      </c>
      <c r="G7245" s="3">
        <f>MONTH(Tabela1[[#This Row],[Último pagto ano]])</f>
        <v>8</v>
      </c>
      <c r="H7245" t="str">
        <f>TEXT(Tabela1[[#This Row],[Coluna2]]*29,"mmmm")</f>
        <v>agosto</v>
      </c>
      <c r="I7245" t="str">
        <f>TEXT(MONTH(Tabela1[[#This Row],[Último pagto ano]])*29,"mmmm")</f>
        <v>agosto</v>
      </c>
    </row>
    <row r="7246" spans="1:9" x14ac:dyDescent="0.25">
      <c r="A7246">
        <v>2025</v>
      </c>
      <c r="B7246" t="s">
        <v>14423</v>
      </c>
      <c r="C7246" s="1">
        <v>45782</v>
      </c>
      <c r="D7246" t="s">
        <v>14424</v>
      </c>
      <c r="E7246">
        <v>33</v>
      </c>
      <c r="G7246" s="3">
        <f>MONTH(Tabela1[[#This Row],[Último pagto ano]])</f>
        <v>5</v>
      </c>
      <c r="H7246" t="str">
        <f>TEXT(Tabela1[[#This Row],[Coluna2]]*29,"mmmm")</f>
        <v>maio</v>
      </c>
      <c r="I7246" t="str">
        <f>TEXT(MONTH(Tabela1[[#This Row],[Último pagto ano]])*29,"mmmm")</f>
        <v>maio</v>
      </c>
    </row>
    <row r="7247" spans="1:9" x14ac:dyDescent="0.25">
      <c r="A7247">
        <v>2025</v>
      </c>
      <c r="B7247" t="s">
        <v>14425</v>
      </c>
      <c r="C7247" s="1">
        <v>46013</v>
      </c>
      <c r="D7247" t="s">
        <v>14426</v>
      </c>
      <c r="E7247">
        <v>386.1</v>
      </c>
      <c r="G7247" s="3">
        <f>MONTH(Tabela1[[#This Row],[Último pagto ano]])</f>
        <v>12</v>
      </c>
      <c r="H7247" t="str">
        <f>TEXT(Tabela1[[#This Row],[Coluna2]]*29,"mmmm")</f>
        <v>dezembro</v>
      </c>
      <c r="I7247" t="str">
        <f>TEXT(MONTH(Tabela1[[#This Row],[Último pagto ano]])*29,"mmmm")</f>
        <v>dezembro</v>
      </c>
    </row>
    <row r="7248" spans="1:9" x14ac:dyDescent="0.25">
      <c r="A7248">
        <v>2025</v>
      </c>
      <c r="B7248" t="s">
        <v>14427</v>
      </c>
      <c r="C7248" s="1">
        <v>45961</v>
      </c>
      <c r="D7248" t="s">
        <v>14428</v>
      </c>
      <c r="E7248" s="2">
        <v>4948.87</v>
      </c>
      <c r="G7248" s="3">
        <f>MONTH(Tabela1[[#This Row],[Último pagto ano]])</f>
        <v>10</v>
      </c>
      <c r="H7248" t="str">
        <f>TEXT(Tabela1[[#This Row],[Coluna2]]*29,"mmmm")</f>
        <v>outubro</v>
      </c>
      <c r="I7248" t="str">
        <f>TEXT(MONTH(Tabela1[[#This Row],[Último pagto ano]])*29,"mmmm")</f>
        <v>outubro</v>
      </c>
    </row>
    <row r="7249" spans="1:9" x14ac:dyDescent="0.25">
      <c r="A7249">
        <v>2025</v>
      </c>
      <c r="B7249" t="s">
        <v>14429</v>
      </c>
      <c r="C7249" s="1">
        <v>46010</v>
      </c>
      <c r="D7249" t="s">
        <v>14430</v>
      </c>
      <c r="E7249" s="2">
        <v>8400</v>
      </c>
      <c r="G7249" s="3">
        <f>MONTH(Tabela1[[#This Row],[Último pagto ano]])</f>
        <v>12</v>
      </c>
      <c r="H7249" t="str">
        <f>TEXT(Tabela1[[#This Row],[Coluna2]]*29,"mmmm")</f>
        <v>dezembro</v>
      </c>
      <c r="I7249" t="str">
        <f>TEXT(MONTH(Tabela1[[#This Row],[Último pagto ano]])*29,"mmmm")</f>
        <v>dezembro</v>
      </c>
    </row>
    <row r="7250" spans="1:9" x14ac:dyDescent="0.25">
      <c r="A7250">
        <v>2025</v>
      </c>
      <c r="B7250" t="s">
        <v>14431</v>
      </c>
      <c r="C7250" s="1">
        <v>45995</v>
      </c>
      <c r="D7250" t="s">
        <v>14432</v>
      </c>
      <c r="E7250">
        <v>88</v>
      </c>
      <c r="G7250" s="3">
        <f>MONTH(Tabela1[[#This Row],[Último pagto ano]])</f>
        <v>12</v>
      </c>
      <c r="H7250" t="str">
        <f>TEXT(Tabela1[[#This Row],[Coluna2]]*29,"mmmm")</f>
        <v>dezembro</v>
      </c>
      <c r="I7250" t="str">
        <f>TEXT(MONTH(Tabela1[[#This Row],[Último pagto ano]])*29,"mmmm")</f>
        <v>dezembro</v>
      </c>
    </row>
    <row r="7251" spans="1:9" x14ac:dyDescent="0.25">
      <c r="A7251">
        <v>2025</v>
      </c>
      <c r="B7251" t="s">
        <v>14433</v>
      </c>
      <c r="C7251" s="1">
        <v>45978</v>
      </c>
      <c r="D7251" t="s">
        <v>14434</v>
      </c>
      <c r="E7251" s="2">
        <v>2300</v>
      </c>
      <c r="G7251" s="3">
        <f>MONTH(Tabela1[[#This Row],[Último pagto ano]])</f>
        <v>11</v>
      </c>
      <c r="H7251" t="str">
        <f>TEXT(Tabela1[[#This Row],[Coluna2]]*29,"mmmm")</f>
        <v>novembro</v>
      </c>
      <c r="I7251" t="str">
        <f>TEXT(MONTH(Tabela1[[#This Row],[Último pagto ano]])*29,"mmmm")</f>
        <v>novembro</v>
      </c>
    </row>
    <row r="7252" spans="1:9" x14ac:dyDescent="0.25">
      <c r="A7252">
        <v>2025</v>
      </c>
      <c r="B7252" t="s">
        <v>14435</v>
      </c>
      <c r="C7252" s="1">
        <v>46006</v>
      </c>
      <c r="D7252" t="s">
        <v>14436</v>
      </c>
      <c r="E7252" s="2">
        <v>12311.56</v>
      </c>
      <c r="G7252" s="3">
        <f>MONTH(Tabela1[[#This Row],[Último pagto ano]])</f>
        <v>12</v>
      </c>
      <c r="H7252" t="str">
        <f>TEXT(Tabela1[[#This Row],[Coluna2]]*29,"mmmm")</f>
        <v>dezembro</v>
      </c>
      <c r="I7252" t="str">
        <f>TEXT(MONTH(Tabela1[[#This Row],[Último pagto ano]])*29,"mmmm")</f>
        <v>dezembro</v>
      </c>
    </row>
    <row r="7253" spans="1:9" x14ac:dyDescent="0.25">
      <c r="A7253">
        <v>2025</v>
      </c>
      <c r="B7253" t="s">
        <v>14437</v>
      </c>
      <c r="C7253" s="1">
        <v>45888</v>
      </c>
      <c r="D7253" t="s">
        <v>14438</v>
      </c>
      <c r="E7253" s="2">
        <v>3559</v>
      </c>
      <c r="G7253" s="3">
        <f>MONTH(Tabela1[[#This Row],[Último pagto ano]])</f>
        <v>8</v>
      </c>
      <c r="H7253" t="str">
        <f>TEXT(Tabela1[[#This Row],[Coluna2]]*29,"mmmm")</f>
        <v>agosto</v>
      </c>
      <c r="I7253" t="str">
        <f>TEXT(MONTH(Tabela1[[#This Row],[Último pagto ano]])*29,"mmmm")</f>
        <v>agosto</v>
      </c>
    </row>
    <row r="7254" spans="1:9" x14ac:dyDescent="0.25">
      <c r="A7254">
        <v>2025</v>
      </c>
      <c r="B7254" t="s">
        <v>14439</v>
      </c>
      <c r="C7254" s="1">
        <v>46007</v>
      </c>
      <c r="D7254" t="s">
        <v>14440</v>
      </c>
      <c r="E7254" s="2">
        <v>97048.320000000007</v>
      </c>
      <c r="G7254" s="3">
        <f>MONTH(Tabela1[[#This Row],[Último pagto ano]])</f>
        <v>12</v>
      </c>
      <c r="H7254" t="str">
        <f>TEXT(Tabela1[[#This Row],[Coluna2]]*29,"mmmm")</f>
        <v>dezembro</v>
      </c>
      <c r="I7254" t="str">
        <f>TEXT(MONTH(Tabela1[[#This Row],[Último pagto ano]])*29,"mmmm")</f>
        <v>dezembro</v>
      </c>
    </row>
    <row r="7255" spans="1:9" x14ac:dyDescent="0.25">
      <c r="A7255">
        <v>2025</v>
      </c>
      <c r="B7255" t="s">
        <v>14441</v>
      </c>
      <c r="C7255" s="1">
        <v>45884</v>
      </c>
      <c r="D7255" t="s">
        <v>14442</v>
      </c>
      <c r="E7255" s="2">
        <v>1776.96</v>
      </c>
      <c r="G7255" s="3">
        <f>MONTH(Tabela1[[#This Row],[Último pagto ano]])</f>
        <v>8</v>
      </c>
      <c r="H7255" t="str">
        <f>TEXT(Tabela1[[#This Row],[Coluna2]]*29,"mmmm")</f>
        <v>agosto</v>
      </c>
      <c r="I7255" t="str">
        <f>TEXT(MONTH(Tabela1[[#This Row],[Último pagto ano]])*29,"mmmm")</f>
        <v>agosto</v>
      </c>
    </row>
    <row r="7256" spans="1:9" x14ac:dyDescent="0.25">
      <c r="A7256">
        <v>2025</v>
      </c>
      <c r="B7256" t="s">
        <v>14443</v>
      </c>
      <c r="C7256" s="1">
        <v>45817</v>
      </c>
      <c r="D7256" t="s">
        <v>14444</v>
      </c>
      <c r="E7256">
        <v>66</v>
      </c>
      <c r="G7256" s="3">
        <f>MONTH(Tabela1[[#This Row],[Último pagto ano]])</f>
        <v>6</v>
      </c>
      <c r="H7256" t="str">
        <f>TEXT(Tabela1[[#This Row],[Coluna2]]*29,"mmmm")</f>
        <v>junho</v>
      </c>
      <c r="I7256" t="str">
        <f>TEXT(MONTH(Tabela1[[#This Row],[Último pagto ano]])*29,"mmmm")</f>
        <v>junho</v>
      </c>
    </row>
    <row r="7257" spans="1:9" x14ac:dyDescent="0.25">
      <c r="A7257">
        <v>2025</v>
      </c>
      <c r="B7257" t="s">
        <v>14445</v>
      </c>
      <c r="C7257" s="1">
        <v>46014</v>
      </c>
      <c r="D7257" t="s">
        <v>14446</v>
      </c>
      <c r="E7257">
        <v>31.76</v>
      </c>
      <c r="G7257" s="3">
        <f>MONTH(Tabela1[[#This Row],[Último pagto ano]])</f>
        <v>12</v>
      </c>
      <c r="H7257" t="str">
        <f>TEXT(Tabela1[[#This Row],[Coluna2]]*29,"mmmm")</f>
        <v>dezembro</v>
      </c>
      <c r="I7257" t="str">
        <f>TEXT(MONTH(Tabela1[[#This Row],[Último pagto ano]])*29,"mmmm")</f>
        <v>dezembro</v>
      </c>
    </row>
    <row r="7258" spans="1:9" x14ac:dyDescent="0.25">
      <c r="A7258">
        <v>2025</v>
      </c>
      <c r="B7258" t="s">
        <v>14447</v>
      </c>
      <c r="C7258" s="1">
        <v>45684</v>
      </c>
      <c r="D7258" t="s">
        <v>14448</v>
      </c>
      <c r="E7258">
        <v>698.29</v>
      </c>
      <c r="G7258" s="3">
        <f>MONTH(Tabela1[[#This Row],[Último pagto ano]])</f>
        <v>1</v>
      </c>
      <c r="H7258" t="str">
        <f>TEXT(Tabela1[[#This Row],[Coluna2]]*29,"mmmm")</f>
        <v>janeiro</v>
      </c>
      <c r="I7258" t="str">
        <f>TEXT(MONTH(Tabela1[[#This Row],[Último pagto ano]])*29,"mmmm")</f>
        <v>janeiro</v>
      </c>
    </row>
    <row r="7259" spans="1:9" x14ac:dyDescent="0.25">
      <c r="A7259">
        <v>2025</v>
      </c>
      <c r="B7259" t="s">
        <v>14449</v>
      </c>
      <c r="C7259" s="1">
        <v>46006</v>
      </c>
      <c r="D7259" t="s">
        <v>14450</v>
      </c>
      <c r="E7259">
        <v>198</v>
      </c>
      <c r="G7259" s="3">
        <f>MONTH(Tabela1[[#This Row],[Último pagto ano]])</f>
        <v>12</v>
      </c>
      <c r="H7259" t="str">
        <f>TEXT(Tabela1[[#This Row],[Coluna2]]*29,"mmmm")</f>
        <v>dezembro</v>
      </c>
      <c r="I7259" t="str">
        <f>TEXT(MONTH(Tabela1[[#This Row],[Último pagto ano]])*29,"mmmm")</f>
        <v>dezembro</v>
      </c>
    </row>
    <row r="7260" spans="1:9" x14ac:dyDescent="0.25">
      <c r="A7260">
        <v>2025</v>
      </c>
      <c r="B7260" t="s">
        <v>14451</v>
      </c>
      <c r="C7260" s="1">
        <v>45904</v>
      </c>
      <c r="D7260" t="s">
        <v>14452</v>
      </c>
      <c r="E7260">
        <v>277.08</v>
      </c>
      <c r="G7260" s="3">
        <f>MONTH(Tabela1[[#This Row],[Último pagto ano]])</f>
        <v>9</v>
      </c>
      <c r="H7260" t="str">
        <f>TEXT(Tabela1[[#This Row],[Coluna2]]*29,"mmmm")</f>
        <v>setembro</v>
      </c>
      <c r="I7260" t="str">
        <f>TEXT(MONTH(Tabela1[[#This Row],[Último pagto ano]])*29,"mmmm")</f>
        <v>setembro</v>
      </c>
    </row>
    <row r="7261" spans="1:9" x14ac:dyDescent="0.25">
      <c r="A7261">
        <v>2025</v>
      </c>
      <c r="B7261" t="s">
        <v>14453</v>
      </c>
      <c r="C7261" s="1">
        <v>45782</v>
      </c>
      <c r="D7261" t="s">
        <v>14454</v>
      </c>
      <c r="E7261">
        <v>55</v>
      </c>
      <c r="G7261" s="3">
        <f>MONTH(Tabela1[[#This Row],[Último pagto ano]])</f>
        <v>5</v>
      </c>
      <c r="H7261" t="str">
        <f>TEXT(Tabela1[[#This Row],[Coluna2]]*29,"mmmm")</f>
        <v>maio</v>
      </c>
      <c r="I7261" t="str">
        <f>TEXT(MONTH(Tabela1[[#This Row],[Último pagto ano]])*29,"mmmm")</f>
        <v>maio</v>
      </c>
    </row>
    <row r="7262" spans="1:9" x14ac:dyDescent="0.25">
      <c r="A7262">
        <v>2025</v>
      </c>
      <c r="B7262" t="s">
        <v>14455</v>
      </c>
      <c r="C7262" s="1">
        <v>45917</v>
      </c>
      <c r="D7262" t="s">
        <v>14456</v>
      </c>
      <c r="E7262" s="2">
        <v>20720</v>
      </c>
      <c r="G7262" s="3">
        <f>MONTH(Tabela1[[#This Row],[Último pagto ano]])</f>
        <v>9</v>
      </c>
      <c r="H7262" t="str">
        <f>TEXT(Tabela1[[#This Row],[Coluna2]]*29,"mmmm")</f>
        <v>setembro</v>
      </c>
      <c r="I7262" t="str">
        <f>TEXT(MONTH(Tabela1[[#This Row],[Último pagto ano]])*29,"mmmm")</f>
        <v>setembro</v>
      </c>
    </row>
    <row r="7263" spans="1:9" x14ac:dyDescent="0.25">
      <c r="A7263">
        <v>2025</v>
      </c>
      <c r="B7263" t="s">
        <v>14457</v>
      </c>
      <c r="C7263" s="1">
        <v>46010</v>
      </c>
      <c r="D7263" t="s">
        <v>14458</v>
      </c>
      <c r="E7263" s="2">
        <v>7000</v>
      </c>
      <c r="G7263" s="3">
        <f>MONTH(Tabela1[[#This Row],[Último pagto ano]])</f>
        <v>12</v>
      </c>
      <c r="H7263" t="str">
        <f>TEXT(Tabela1[[#This Row],[Coluna2]]*29,"mmmm")</f>
        <v>dezembro</v>
      </c>
      <c r="I7263" t="str">
        <f>TEXT(MONTH(Tabela1[[#This Row],[Último pagto ano]])*29,"mmmm")</f>
        <v>dezembro</v>
      </c>
    </row>
    <row r="7264" spans="1:9" x14ac:dyDescent="0.25">
      <c r="A7264">
        <v>2025</v>
      </c>
      <c r="B7264" t="s">
        <v>14459</v>
      </c>
      <c r="C7264" s="1">
        <v>46010</v>
      </c>
      <c r="D7264" t="s">
        <v>14460</v>
      </c>
      <c r="E7264" s="2">
        <v>1400</v>
      </c>
      <c r="G7264" s="3">
        <f>MONTH(Tabela1[[#This Row],[Último pagto ano]])</f>
        <v>12</v>
      </c>
      <c r="H7264" t="str">
        <f>TEXT(Tabela1[[#This Row],[Coluna2]]*29,"mmmm")</f>
        <v>dezembro</v>
      </c>
      <c r="I7264" t="str">
        <f>TEXT(MONTH(Tabela1[[#This Row],[Último pagto ano]])*29,"mmmm")</f>
        <v>dezembro</v>
      </c>
    </row>
    <row r="7265" spans="1:9" x14ac:dyDescent="0.25">
      <c r="A7265">
        <v>2025</v>
      </c>
      <c r="B7265" t="s">
        <v>14461</v>
      </c>
      <c r="C7265" s="1">
        <v>46006</v>
      </c>
      <c r="D7265" t="s">
        <v>14462</v>
      </c>
      <c r="E7265" s="2">
        <v>8077.28</v>
      </c>
      <c r="G7265" s="3">
        <f>MONTH(Tabela1[[#This Row],[Último pagto ano]])</f>
        <v>12</v>
      </c>
      <c r="H7265" t="str">
        <f>TEXT(Tabela1[[#This Row],[Coluna2]]*29,"mmmm")</f>
        <v>dezembro</v>
      </c>
      <c r="I7265" t="str">
        <f>TEXT(MONTH(Tabela1[[#This Row],[Último pagto ano]])*29,"mmmm")</f>
        <v>dezembro</v>
      </c>
    </row>
    <row r="7266" spans="1:9" x14ac:dyDescent="0.25">
      <c r="A7266">
        <v>2025</v>
      </c>
      <c r="B7266" t="s">
        <v>14463</v>
      </c>
      <c r="C7266" s="1">
        <v>45999</v>
      </c>
      <c r="D7266" t="s">
        <v>14464</v>
      </c>
      <c r="E7266" s="2">
        <v>1672</v>
      </c>
      <c r="G7266" s="3">
        <f>MONTH(Tabela1[[#This Row],[Último pagto ano]])</f>
        <v>12</v>
      </c>
      <c r="H7266" t="str">
        <f>TEXT(Tabela1[[#This Row],[Coluna2]]*29,"mmmm")</f>
        <v>dezembro</v>
      </c>
      <c r="I7266" t="str">
        <f>TEXT(MONTH(Tabela1[[#This Row],[Último pagto ano]])*29,"mmmm")</f>
        <v>dezembro</v>
      </c>
    </row>
    <row r="7267" spans="1:9" x14ac:dyDescent="0.25">
      <c r="A7267">
        <v>2025</v>
      </c>
      <c r="B7267" t="s">
        <v>14465</v>
      </c>
      <c r="C7267" s="1">
        <v>46013</v>
      </c>
      <c r="D7267" t="s">
        <v>14466</v>
      </c>
      <c r="E7267" s="2">
        <v>10790.4</v>
      </c>
      <c r="G7267" s="3">
        <f>MONTH(Tabela1[[#This Row],[Último pagto ano]])</f>
        <v>12</v>
      </c>
      <c r="H7267" t="str">
        <f>TEXT(Tabela1[[#This Row],[Coluna2]]*29,"mmmm")</f>
        <v>dezembro</v>
      </c>
      <c r="I7267" t="str">
        <f>TEXT(MONTH(Tabela1[[#This Row],[Último pagto ano]])*29,"mmmm")</f>
        <v>dezembro</v>
      </c>
    </row>
    <row r="7268" spans="1:9" x14ac:dyDescent="0.25">
      <c r="A7268">
        <v>2025</v>
      </c>
      <c r="B7268" t="s">
        <v>14467</v>
      </c>
      <c r="C7268" s="1">
        <v>46013</v>
      </c>
      <c r="D7268" t="s">
        <v>14468</v>
      </c>
      <c r="E7268" s="2">
        <v>10346.4</v>
      </c>
      <c r="G7268" s="3">
        <f>MONTH(Tabela1[[#This Row],[Último pagto ano]])</f>
        <v>12</v>
      </c>
      <c r="H7268" t="str">
        <f>TEXT(Tabela1[[#This Row],[Coluna2]]*29,"mmmm")</f>
        <v>dezembro</v>
      </c>
      <c r="I7268" t="str">
        <f>TEXT(MONTH(Tabela1[[#This Row],[Último pagto ano]])*29,"mmmm")</f>
        <v>dezembro</v>
      </c>
    </row>
    <row r="7269" spans="1:9" x14ac:dyDescent="0.25">
      <c r="A7269">
        <v>2025</v>
      </c>
      <c r="B7269" t="s">
        <v>14469</v>
      </c>
      <c r="C7269" s="1">
        <v>46010</v>
      </c>
      <c r="D7269" t="s">
        <v>14470</v>
      </c>
      <c r="E7269" s="2">
        <v>8400</v>
      </c>
      <c r="G7269" s="3">
        <f>MONTH(Tabela1[[#This Row],[Último pagto ano]])</f>
        <v>12</v>
      </c>
      <c r="H7269" t="str">
        <f>TEXT(Tabela1[[#This Row],[Coluna2]]*29,"mmmm")</f>
        <v>dezembro</v>
      </c>
      <c r="I7269" t="str">
        <f>TEXT(MONTH(Tabela1[[#This Row],[Último pagto ano]])*29,"mmmm")</f>
        <v>dezembro</v>
      </c>
    </row>
    <row r="7270" spans="1:9" x14ac:dyDescent="0.25">
      <c r="A7270">
        <v>2025</v>
      </c>
      <c r="B7270" t="s">
        <v>14471</v>
      </c>
      <c r="C7270" s="1">
        <v>46010</v>
      </c>
      <c r="D7270" t="s">
        <v>14472</v>
      </c>
      <c r="E7270" s="2">
        <v>2800</v>
      </c>
      <c r="G7270" s="3">
        <f>MONTH(Tabela1[[#This Row],[Último pagto ano]])</f>
        <v>12</v>
      </c>
      <c r="H7270" t="str">
        <f>TEXT(Tabela1[[#This Row],[Coluna2]]*29,"mmmm")</f>
        <v>dezembro</v>
      </c>
      <c r="I7270" t="str">
        <f>TEXT(MONTH(Tabela1[[#This Row],[Último pagto ano]])*29,"mmmm")</f>
        <v>dezembro</v>
      </c>
    </row>
    <row r="7271" spans="1:9" x14ac:dyDescent="0.25">
      <c r="A7271">
        <v>2025</v>
      </c>
      <c r="B7271" t="s">
        <v>14473</v>
      </c>
      <c r="C7271" s="1">
        <v>46006</v>
      </c>
      <c r="D7271" t="s">
        <v>14474</v>
      </c>
      <c r="E7271" s="2">
        <v>10684.96</v>
      </c>
      <c r="G7271" s="3">
        <f>MONTH(Tabela1[[#This Row],[Último pagto ano]])</f>
        <v>12</v>
      </c>
      <c r="H7271" t="str">
        <f>TEXT(Tabela1[[#This Row],[Coluna2]]*29,"mmmm")</f>
        <v>dezembro</v>
      </c>
      <c r="I7271" t="str">
        <f>TEXT(MONTH(Tabela1[[#This Row],[Último pagto ano]])*29,"mmmm")</f>
        <v>dezembro</v>
      </c>
    </row>
    <row r="7272" spans="1:9" x14ac:dyDescent="0.25">
      <c r="A7272">
        <v>2025</v>
      </c>
      <c r="B7272" t="s">
        <v>14475</v>
      </c>
      <c r="C7272" s="1">
        <v>46014</v>
      </c>
      <c r="D7272" t="s">
        <v>14476</v>
      </c>
      <c r="E7272">
        <v>301.8</v>
      </c>
      <c r="G7272" s="3">
        <f>MONTH(Tabela1[[#This Row],[Último pagto ano]])</f>
        <v>12</v>
      </c>
      <c r="H7272" t="str">
        <f>TEXT(Tabela1[[#This Row],[Coluna2]]*29,"mmmm")</f>
        <v>dezembro</v>
      </c>
      <c r="I7272" t="str">
        <f>TEXT(MONTH(Tabela1[[#This Row],[Último pagto ano]])*29,"mmmm")</f>
        <v>dezembro</v>
      </c>
    </row>
    <row r="7273" spans="1:9" x14ac:dyDescent="0.25">
      <c r="A7273">
        <v>2025</v>
      </c>
      <c r="B7273" t="s">
        <v>14477</v>
      </c>
      <c r="C7273" s="1">
        <v>46006</v>
      </c>
      <c r="D7273" t="s">
        <v>14478</v>
      </c>
      <c r="E7273" s="2">
        <v>5317.6</v>
      </c>
      <c r="G7273" s="3">
        <f>MONTH(Tabela1[[#This Row],[Último pagto ano]])</f>
        <v>12</v>
      </c>
      <c r="H7273" t="str">
        <f>TEXT(Tabela1[[#This Row],[Coluna2]]*29,"mmmm")</f>
        <v>dezembro</v>
      </c>
      <c r="I7273" t="str">
        <f>TEXT(MONTH(Tabela1[[#This Row],[Último pagto ano]])*29,"mmmm")</f>
        <v>dezembro</v>
      </c>
    </row>
    <row r="7274" spans="1:9" x14ac:dyDescent="0.25">
      <c r="A7274">
        <v>2025</v>
      </c>
      <c r="B7274" t="s">
        <v>14479</v>
      </c>
      <c r="C7274" s="1">
        <v>45959</v>
      </c>
      <c r="D7274" t="s">
        <v>14480</v>
      </c>
      <c r="E7274" s="2">
        <v>7000</v>
      </c>
      <c r="G7274" s="3">
        <f>MONTH(Tabela1[[#This Row],[Último pagto ano]])</f>
        <v>10</v>
      </c>
      <c r="H7274" t="str">
        <f>TEXT(Tabela1[[#This Row],[Coluna2]]*29,"mmmm")</f>
        <v>outubro</v>
      </c>
      <c r="I7274" t="str">
        <f>TEXT(MONTH(Tabela1[[#This Row],[Último pagto ano]])*29,"mmmm")</f>
        <v>outubro</v>
      </c>
    </row>
    <row r="7275" spans="1:9" x14ac:dyDescent="0.25">
      <c r="A7275">
        <v>2025</v>
      </c>
      <c r="B7275" t="s">
        <v>14481</v>
      </c>
      <c r="C7275" s="1">
        <v>46006</v>
      </c>
      <c r="D7275" t="s">
        <v>14482</v>
      </c>
      <c r="E7275" s="2">
        <v>13806.48</v>
      </c>
      <c r="G7275" s="3">
        <f>MONTH(Tabela1[[#This Row],[Último pagto ano]])</f>
        <v>12</v>
      </c>
      <c r="H7275" t="str">
        <f>TEXT(Tabela1[[#This Row],[Coluna2]]*29,"mmmm")</f>
        <v>dezembro</v>
      </c>
      <c r="I7275" t="str">
        <f>TEXT(MONTH(Tabela1[[#This Row],[Último pagto ano]])*29,"mmmm")</f>
        <v>dezembro</v>
      </c>
    </row>
    <row r="7276" spans="1:9" x14ac:dyDescent="0.25">
      <c r="A7276">
        <v>2025</v>
      </c>
      <c r="B7276" t="s">
        <v>14483</v>
      </c>
      <c r="C7276" s="1">
        <v>46013</v>
      </c>
      <c r="D7276" t="s">
        <v>14484</v>
      </c>
      <c r="E7276" s="2">
        <v>30260</v>
      </c>
      <c r="G7276" s="3">
        <f>MONTH(Tabela1[[#This Row],[Último pagto ano]])</f>
        <v>12</v>
      </c>
      <c r="H7276" t="str">
        <f>TEXT(Tabela1[[#This Row],[Coluna2]]*29,"mmmm")</f>
        <v>dezembro</v>
      </c>
      <c r="I7276" t="str">
        <f>TEXT(MONTH(Tabela1[[#This Row],[Último pagto ano]])*29,"mmmm")</f>
        <v>dezembro</v>
      </c>
    </row>
    <row r="7277" spans="1:9" x14ac:dyDescent="0.25">
      <c r="A7277">
        <v>2025</v>
      </c>
      <c r="B7277" t="s">
        <v>14485</v>
      </c>
      <c r="C7277" s="1">
        <v>45915</v>
      </c>
      <c r="D7277" t="s">
        <v>14486</v>
      </c>
      <c r="E7277">
        <v>22</v>
      </c>
      <c r="G7277" s="3">
        <f>MONTH(Tabela1[[#This Row],[Último pagto ano]])</f>
        <v>9</v>
      </c>
      <c r="H7277" t="str">
        <f>TEXT(Tabela1[[#This Row],[Coluna2]]*29,"mmmm")</f>
        <v>setembro</v>
      </c>
      <c r="I7277" t="str">
        <f>TEXT(MONTH(Tabela1[[#This Row],[Último pagto ano]])*29,"mmmm")</f>
        <v>setembro</v>
      </c>
    </row>
    <row r="7278" spans="1:9" x14ac:dyDescent="0.25">
      <c r="A7278">
        <v>2025</v>
      </c>
      <c r="B7278" t="s">
        <v>14487</v>
      </c>
      <c r="C7278" s="1">
        <v>45999</v>
      </c>
      <c r="D7278" t="s">
        <v>14488</v>
      </c>
      <c r="E7278">
        <v>164.4</v>
      </c>
      <c r="G7278" s="3">
        <f>MONTH(Tabela1[[#This Row],[Último pagto ano]])</f>
        <v>12</v>
      </c>
      <c r="H7278" t="str">
        <f>TEXT(Tabela1[[#This Row],[Coluna2]]*29,"mmmm")</f>
        <v>dezembro</v>
      </c>
      <c r="I7278" t="str">
        <f>TEXT(MONTH(Tabela1[[#This Row],[Último pagto ano]])*29,"mmmm")</f>
        <v>dezembro</v>
      </c>
    </row>
    <row r="7279" spans="1:9" x14ac:dyDescent="0.25">
      <c r="A7279">
        <v>2025</v>
      </c>
      <c r="B7279" t="s">
        <v>14489</v>
      </c>
      <c r="C7279" s="1">
        <v>45989</v>
      </c>
      <c r="D7279" t="s">
        <v>14490</v>
      </c>
      <c r="E7279" s="2">
        <v>3580.2</v>
      </c>
      <c r="G7279" s="3">
        <f>MONTH(Tabela1[[#This Row],[Último pagto ano]])</f>
        <v>11</v>
      </c>
      <c r="H7279" t="str">
        <f>TEXT(Tabela1[[#This Row],[Coluna2]]*29,"mmmm")</f>
        <v>novembro</v>
      </c>
      <c r="I7279" t="str">
        <f>TEXT(MONTH(Tabela1[[#This Row],[Último pagto ano]])*29,"mmmm")</f>
        <v>novembro</v>
      </c>
    </row>
    <row r="7280" spans="1:9" x14ac:dyDescent="0.25">
      <c r="A7280">
        <v>2025</v>
      </c>
      <c r="B7280" t="s">
        <v>14491</v>
      </c>
      <c r="C7280" s="1">
        <v>45845</v>
      </c>
      <c r="D7280" t="s">
        <v>14492</v>
      </c>
      <c r="E7280" s="2">
        <v>3600</v>
      </c>
      <c r="G7280" s="3">
        <f>MONTH(Tabela1[[#This Row],[Último pagto ano]])</f>
        <v>7</v>
      </c>
      <c r="H7280" t="str">
        <f>TEXT(Tabela1[[#This Row],[Coluna2]]*29,"mmmm")</f>
        <v>julho</v>
      </c>
      <c r="I7280" t="str">
        <f>TEXT(MONTH(Tabela1[[#This Row],[Último pagto ano]])*29,"mmmm")</f>
        <v>julho</v>
      </c>
    </row>
    <row r="7281" spans="1:9" x14ac:dyDescent="0.25">
      <c r="A7281">
        <v>2025</v>
      </c>
      <c r="B7281" t="s">
        <v>14493</v>
      </c>
      <c r="C7281" s="1">
        <v>45866</v>
      </c>
      <c r="D7281" t="s">
        <v>14494</v>
      </c>
      <c r="E7281">
        <v>66</v>
      </c>
      <c r="G7281" s="3">
        <f>MONTH(Tabela1[[#This Row],[Último pagto ano]])</f>
        <v>7</v>
      </c>
      <c r="H7281" t="str">
        <f>TEXT(Tabela1[[#This Row],[Coluna2]]*29,"mmmm")</f>
        <v>julho</v>
      </c>
      <c r="I7281" t="str">
        <f>TEXT(MONTH(Tabela1[[#This Row],[Último pagto ano]])*29,"mmmm")</f>
        <v>julho</v>
      </c>
    </row>
    <row r="7282" spans="1:9" x14ac:dyDescent="0.25">
      <c r="A7282">
        <v>2025</v>
      </c>
      <c r="B7282" t="s">
        <v>14495</v>
      </c>
      <c r="C7282" s="1">
        <v>45996</v>
      </c>
      <c r="D7282" t="s">
        <v>14496</v>
      </c>
      <c r="E7282" s="2">
        <v>64800</v>
      </c>
      <c r="G7282" s="3">
        <f>MONTH(Tabela1[[#This Row],[Último pagto ano]])</f>
        <v>12</v>
      </c>
      <c r="H7282" t="str">
        <f>TEXT(Tabela1[[#This Row],[Coluna2]]*29,"mmmm")</f>
        <v>dezembro</v>
      </c>
      <c r="I7282" t="str">
        <f>TEXT(MONTH(Tabela1[[#This Row],[Último pagto ano]])*29,"mmmm")</f>
        <v>dezembro</v>
      </c>
    </row>
    <row r="7283" spans="1:9" x14ac:dyDescent="0.25">
      <c r="A7283">
        <v>2025</v>
      </c>
      <c r="B7283" t="s">
        <v>14497</v>
      </c>
      <c r="C7283" s="1">
        <v>45824</v>
      </c>
      <c r="D7283" t="s">
        <v>14498</v>
      </c>
      <c r="E7283" s="2">
        <v>3803.41</v>
      </c>
      <c r="G7283" s="3">
        <f>MONTH(Tabela1[[#This Row],[Último pagto ano]])</f>
        <v>6</v>
      </c>
      <c r="H7283" t="str">
        <f>TEXT(Tabela1[[#This Row],[Coluna2]]*29,"mmmm")</f>
        <v>junho</v>
      </c>
      <c r="I7283" t="str">
        <f>TEXT(MONTH(Tabela1[[#This Row],[Último pagto ano]])*29,"mmmm")</f>
        <v>junho</v>
      </c>
    </row>
    <row r="7284" spans="1:9" x14ac:dyDescent="0.25">
      <c r="A7284">
        <v>2025</v>
      </c>
      <c r="B7284" t="s">
        <v>14499</v>
      </c>
      <c r="C7284" s="1">
        <v>46013</v>
      </c>
      <c r="D7284" t="s">
        <v>14500</v>
      </c>
      <c r="E7284" s="2">
        <v>3373.5</v>
      </c>
      <c r="G7284" s="3">
        <f>MONTH(Tabela1[[#This Row],[Último pagto ano]])</f>
        <v>12</v>
      </c>
      <c r="H7284" t="str">
        <f>TEXT(Tabela1[[#This Row],[Coluna2]]*29,"mmmm")</f>
        <v>dezembro</v>
      </c>
      <c r="I7284" t="str">
        <f>TEXT(MONTH(Tabela1[[#This Row],[Último pagto ano]])*29,"mmmm")</f>
        <v>dezembro</v>
      </c>
    </row>
    <row r="7285" spans="1:9" x14ac:dyDescent="0.25">
      <c r="A7285">
        <v>2025</v>
      </c>
      <c r="B7285" t="s">
        <v>14501</v>
      </c>
      <c r="C7285" s="1">
        <v>45966</v>
      </c>
      <c r="D7285" t="s">
        <v>14502</v>
      </c>
      <c r="E7285" s="2">
        <v>2387.7800000000002</v>
      </c>
      <c r="G7285" s="3">
        <f>MONTH(Tabela1[[#This Row],[Último pagto ano]])</f>
        <v>11</v>
      </c>
      <c r="H7285" t="str">
        <f>TEXT(Tabela1[[#This Row],[Coluna2]]*29,"mmmm")</f>
        <v>novembro</v>
      </c>
      <c r="I7285" t="str">
        <f>TEXT(MONTH(Tabela1[[#This Row],[Último pagto ano]])*29,"mmmm")</f>
        <v>novembro</v>
      </c>
    </row>
    <row r="7286" spans="1:9" x14ac:dyDescent="0.25">
      <c r="A7286">
        <v>2025</v>
      </c>
      <c r="B7286" t="s">
        <v>14503</v>
      </c>
      <c r="C7286" s="1">
        <v>45887</v>
      </c>
      <c r="D7286" t="s">
        <v>14504</v>
      </c>
      <c r="E7286">
        <v>0.85</v>
      </c>
      <c r="G7286" s="3">
        <f>MONTH(Tabela1[[#This Row],[Último pagto ano]])</f>
        <v>8</v>
      </c>
      <c r="H7286" t="str">
        <f>TEXT(Tabela1[[#This Row],[Coluna2]]*29,"mmmm")</f>
        <v>agosto</v>
      </c>
      <c r="I7286" t="str">
        <f>TEXT(MONTH(Tabela1[[#This Row],[Último pagto ano]])*29,"mmmm")</f>
        <v>agosto</v>
      </c>
    </row>
    <row r="7287" spans="1:9" x14ac:dyDescent="0.25">
      <c r="A7287">
        <v>2025</v>
      </c>
      <c r="B7287" t="s">
        <v>14505</v>
      </c>
      <c r="C7287" s="1">
        <v>45702</v>
      </c>
      <c r="D7287" t="s">
        <v>14506</v>
      </c>
      <c r="E7287">
        <v>11</v>
      </c>
      <c r="G7287" s="3">
        <f>MONTH(Tabela1[[#This Row],[Último pagto ano]])</f>
        <v>2</v>
      </c>
      <c r="H7287" t="str">
        <f>TEXT(Tabela1[[#This Row],[Coluna2]]*29,"mmmm")</f>
        <v>fevereiro</v>
      </c>
      <c r="I7287" t="str">
        <f>TEXT(MONTH(Tabela1[[#This Row],[Último pagto ano]])*29,"mmmm")</f>
        <v>fevereiro</v>
      </c>
    </row>
    <row r="7288" spans="1:9" x14ac:dyDescent="0.25">
      <c r="A7288">
        <v>2025</v>
      </c>
      <c r="B7288" t="s">
        <v>14507</v>
      </c>
      <c r="C7288" s="1">
        <v>45995</v>
      </c>
      <c r="D7288" t="s">
        <v>14508</v>
      </c>
      <c r="E7288">
        <v>11</v>
      </c>
      <c r="G7288" s="3">
        <f>MONTH(Tabela1[[#This Row],[Último pagto ano]])</f>
        <v>12</v>
      </c>
      <c r="H7288" t="str">
        <f>TEXT(Tabela1[[#This Row],[Coluna2]]*29,"mmmm")</f>
        <v>dezembro</v>
      </c>
      <c r="I7288" t="str">
        <f>TEXT(MONTH(Tabela1[[#This Row],[Último pagto ano]])*29,"mmmm")</f>
        <v>dezembro</v>
      </c>
    </row>
    <row r="7289" spans="1:9" x14ac:dyDescent="0.25">
      <c r="A7289">
        <v>2025</v>
      </c>
      <c r="B7289" t="s">
        <v>14509</v>
      </c>
      <c r="C7289" s="1">
        <v>45835</v>
      </c>
      <c r="D7289" t="s">
        <v>14510</v>
      </c>
      <c r="E7289" s="2">
        <v>1922.4</v>
      </c>
      <c r="G7289" s="3">
        <f>MONTH(Tabela1[[#This Row],[Último pagto ano]])</f>
        <v>6</v>
      </c>
      <c r="H7289" t="str">
        <f>TEXT(Tabela1[[#This Row],[Coluna2]]*29,"mmmm")</f>
        <v>junho</v>
      </c>
      <c r="I7289" t="str">
        <f>TEXT(MONTH(Tabela1[[#This Row],[Último pagto ano]])*29,"mmmm")</f>
        <v>junho</v>
      </c>
    </row>
    <row r="7290" spans="1:9" x14ac:dyDescent="0.25">
      <c r="A7290">
        <v>2025</v>
      </c>
      <c r="B7290" t="s">
        <v>14511</v>
      </c>
      <c r="C7290" s="1">
        <v>46006</v>
      </c>
      <c r="D7290" t="s">
        <v>14512</v>
      </c>
      <c r="E7290" s="2">
        <v>10217.52</v>
      </c>
      <c r="G7290" s="3">
        <f>MONTH(Tabela1[[#This Row],[Último pagto ano]])</f>
        <v>12</v>
      </c>
      <c r="H7290" t="str">
        <f>TEXT(Tabela1[[#This Row],[Coluna2]]*29,"mmmm")</f>
        <v>dezembro</v>
      </c>
      <c r="I7290" t="str">
        <f>TEXT(MONTH(Tabela1[[#This Row],[Último pagto ano]])*29,"mmmm")</f>
        <v>dezembro</v>
      </c>
    </row>
    <row r="7291" spans="1:9" x14ac:dyDescent="0.25">
      <c r="A7291">
        <v>2025</v>
      </c>
      <c r="B7291" t="s">
        <v>14513</v>
      </c>
      <c r="C7291" s="1">
        <v>45959</v>
      </c>
      <c r="D7291" t="s">
        <v>14514</v>
      </c>
      <c r="E7291" s="2">
        <v>1908</v>
      </c>
      <c r="G7291" s="3">
        <f>MONTH(Tabela1[[#This Row],[Último pagto ano]])</f>
        <v>10</v>
      </c>
      <c r="H7291" t="str">
        <f>TEXT(Tabela1[[#This Row],[Coluna2]]*29,"mmmm")</f>
        <v>outubro</v>
      </c>
      <c r="I7291" t="str">
        <f>TEXT(MONTH(Tabela1[[#This Row],[Último pagto ano]])*29,"mmmm")</f>
        <v>outubro</v>
      </c>
    </row>
    <row r="7292" spans="1:9" x14ac:dyDescent="0.25">
      <c r="A7292">
        <v>2025</v>
      </c>
      <c r="B7292" t="s">
        <v>14515</v>
      </c>
      <c r="C7292" s="1">
        <v>46006</v>
      </c>
      <c r="D7292" t="s">
        <v>14516</v>
      </c>
      <c r="E7292" s="2">
        <v>23237.279999999999</v>
      </c>
      <c r="G7292" s="3">
        <f>MONTH(Tabela1[[#This Row],[Último pagto ano]])</f>
        <v>12</v>
      </c>
      <c r="H7292" t="str">
        <f>TEXT(Tabela1[[#This Row],[Coluna2]]*29,"mmmm")</f>
        <v>dezembro</v>
      </c>
      <c r="I7292" t="str">
        <f>TEXT(MONTH(Tabela1[[#This Row],[Último pagto ano]])*29,"mmmm")</f>
        <v>dezembro</v>
      </c>
    </row>
    <row r="7293" spans="1:9" x14ac:dyDescent="0.25">
      <c r="A7293">
        <v>2025</v>
      </c>
      <c r="B7293" t="s">
        <v>14517</v>
      </c>
      <c r="C7293" s="1">
        <v>45670</v>
      </c>
      <c r="D7293" t="s">
        <v>14518</v>
      </c>
      <c r="E7293" s="2">
        <v>6589.44</v>
      </c>
      <c r="G7293" s="3">
        <f>MONTH(Tabela1[[#This Row],[Último pagto ano]])</f>
        <v>1</v>
      </c>
      <c r="H7293" t="str">
        <f>TEXT(Tabela1[[#This Row],[Coluna2]]*29,"mmmm")</f>
        <v>janeiro</v>
      </c>
      <c r="I7293" t="str">
        <f>TEXT(MONTH(Tabela1[[#This Row],[Último pagto ano]])*29,"mmmm")</f>
        <v>janeiro</v>
      </c>
    </row>
    <row r="7294" spans="1:9" x14ac:dyDescent="0.25">
      <c r="A7294">
        <v>2025</v>
      </c>
      <c r="B7294" t="s">
        <v>14519</v>
      </c>
      <c r="C7294" s="1">
        <v>46006</v>
      </c>
      <c r="D7294" t="s">
        <v>14520</v>
      </c>
      <c r="E7294" s="2">
        <v>3998.16</v>
      </c>
      <c r="G7294" s="3">
        <f>MONTH(Tabela1[[#This Row],[Último pagto ano]])</f>
        <v>12</v>
      </c>
      <c r="H7294" t="str">
        <f>TEXT(Tabela1[[#This Row],[Coluna2]]*29,"mmmm")</f>
        <v>dezembro</v>
      </c>
      <c r="I7294" t="str">
        <f>TEXT(MONTH(Tabela1[[#This Row],[Último pagto ano]])*29,"mmmm")</f>
        <v>dezembro</v>
      </c>
    </row>
    <row r="7295" spans="1:9" x14ac:dyDescent="0.25">
      <c r="A7295">
        <v>2025</v>
      </c>
      <c r="B7295" t="s">
        <v>14521</v>
      </c>
      <c r="C7295" s="1">
        <v>46006</v>
      </c>
      <c r="D7295" t="s">
        <v>14522</v>
      </c>
      <c r="E7295" s="2">
        <v>31381.68</v>
      </c>
      <c r="G7295" s="3">
        <f>MONTH(Tabela1[[#This Row],[Último pagto ano]])</f>
        <v>12</v>
      </c>
      <c r="H7295" t="str">
        <f>TEXT(Tabela1[[#This Row],[Coluna2]]*29,"mmmm")</f>
        <v>dezembro</v>
      </c>
      <c r="I7295" t="str">
        <f>TEXT(MONTH(Tabela1[[#This Row],[Último pagto ano]])*29,"mmmm")</f>
        <v>dezembro</v>
      </c>
    </row>
    <row r="7296" spans="1:9" x14ac:dyDescent="0.25">
      <c r="A7296">
        <v>2025</v>
      </c>
      <c r="B7296" t="s">
        <v>14523</v>
      </c>
      <c r="C7296" s="1">
        <v>45901</v>
      </c>
      <c r="D7296" t="s">
        <v>14524</v>
      </c>
      <c r="E7296">
        <v>88</v>
      </c>
      <c r="G7296" s="3">
        <f>MONTH(Tabela1[[#This Row],[Último pagto ano]])</f>
        <v>9</v>
      </c>
      <c r="H7296" t="str">
        <f>TEXT(Tabela1[[#This Row],[Coluna2]]*29,"mmmm")</f>
        <v>setembro</v>
      </c>
      <c r="I7296" t="str">
        <f>TEXT(MONTH(Tabela1[[#This Row],[Último pagto ano]])*29,"mmmm")</f>
        <v>setembro</v>
      </c>
    </row>
    <row r="7297" spans="1:9" x14ac:dyDescent="0.25">
      <c r="A7297">
        <v>2025</v>
      </c>
      <c r="B7297" t="s">
        <v>14525</v>
      </c>
      <c r="C7297" s="1">
        <v>45824</v>
      </c>
      <c r="D7297" t="s">
        <v>14526</v>
      </c>
      <c r="E7297" s="2">
        <v>6179.52</v>
      </c>
      <c r="G7297" s="3">
        <f>MONTH(Tabela1[[#This Row],[Último pagto ano]])</f>
        <v>6</v>
      </c>
      <c r="H7297" t="str">
        <f>TEXT(Tabela1[[#This Row],[Coluna2]]*29,"mmmm")</f>
        <v>junho</v>
      </c>
      <c r="I7297" t="str">
        <f>TEXT(MONTH(Tabela1[[#This Row],[Último pagto ano]])*29,"mmmm")</f>
        <v>junho</v>
      </c>
    </row>
    <row r="7298" spans="1:9" x14ac:dyDescent="0.25">
      <c r="A7298">
        <v>2025</v>
      </c>
      <c r="B7298" t="s">
        <v>14527</v>
      </c>
      <c r="C7298" s="1">
        <v>46006</v>
      </c>
      <c r="D7298" t="s">
        <v>14528</v>
      </c>
      <c r="E7298" s="2">
        <v>12000</v>
      </c>
      <c r="G7298" s="3">
        <f>MONTH(Tabela1[[#This Row],[Último pagto ano]])</f>
        <v>12</v>
      </c>
      <c r="H7298" t="str">
        <f>TEXT(Tabela1[[#This Row],[Coluna2]]*29,"mmmm")</f>
        <v>dezembro</v>
      </c>
      <c r="I7298" t="str">
        <f>TEXT(MONTH(Tabela1[[#This Row],[Último pagto ano]])*29,"mmmm")</f>
        <v>dezembro</v>
      </c>
    </row>
    <row r="7299" spans="1:9" x14ac:dyDescent="0.25">
      <c r="A7299">
        <v>2025</v>
      </c>
      <c r="B7299" t="s">
        <v>14529</v>
      </c>
      <c r="C7299" s="1">
        <v>45975</v>
      </c>
      <c r="D7299" t="s">
        <v>14530</v>
      </c>
      <c r="E7299" s="2">
        <v>5923.2</v>
      </c>
      <c r="G7299" s="3">
        <f>MONTH(Tabela1[[#This Row],[Último pagto ano]])</f>
        <v>11</v>
      </c>
      <c r="H7299" t="str">
        <f>TEXT(Tabela1[[#This Row],[Coluna2]]*29,"mmmm")</f>
        <v>novembro</v>
      </c>
      <c r="I7299" t="str">
        <f>TEXT(MONTH(Tabela1[[#This Row],[Último pagto ano]])*29,"mmmm")</f>
        <v>novembro</v>
      </c>
    </row>
    <row r="7300" spans="1:9" x14ac:dyDescent="0.25">
      <c r="A7300">
        <v>2025</v>
      </c>
      <c r="B7300" t="s">
        <v>14531</v>
      </c>
      <c r="C7300" s="1">
        <v>45978</v>
      </c>
      <c r="D7300" t="s">
        <v>14532</v>
      </c>
      <c r="E7300" s="2">
        <v>5600.09</v>
      </c>
      <c r="G7300" s="3">
        <f>MONTH(Tabela1[[#This Row],[Último pagto ano]])</f>
        <v>11</v>
      </c>
      <c r="H7300" t="str">
        <f>TEXT(Tabela1[[#This Row],[Coluna2]]*29,"mmmm")</f>
        <v>novembro</v>
      </c>
      <c r="I7300" t="str">
        <f>TEXT(MONTH(Tabela1[[#This Row],[Último pagto ano]])*29,"mmmm")</f>
        <v>novembro</v>
      </c>
    </row>
    <row r="7301" spans="1:9" x14ac:dyDescent="0.25">
      <c r="A7301">
        <v>2025</v>
      </c>
      <c r="B7301" t="s">
        <v>14533</v>
      </c>
      <c r="C7301" s="1">
        <v>45813</v>
      </c>
      <c r="D7301" t="s">
        <v>14534</v>
      </c>
      <c r="E7301" s="2">
        <v>4456.54</v>
      </c>
      <c r="G7301" s="3">
        <f>MONTH(Tabela1[[#This Row],[Último pagto ano]])</f>
        <v>6</v>
      </c>
      <c r="H7301" t="str">
        <f>TEXT(Tabela1[[#This Row],[Coluna2]]*29,"mmmm")</f>
        <v>junho</v>
      </c>
      <c r="I7301" t="str">
        <f>TEXT(MONTH(Tabela1[[#This Row],[Último pagto ano]])*29,"mmmm")</f>
        <v>junho</v>
      </c>
    </row>
    <row r="7302" spans="1:9" x14ac:dyDescent="0.25">
      <c r="A7302">
        <v>2025</v>
      </c>
      <c r="B7302" t="s">
        <v>14535</v>
      </c>
      <c r="C7302" s="1">
        <v>46006</v>
      </c>
      <c r="D7302" t="s">
        <v>14536</v>
      </c>
      <c r="E7302" s="2">
        <v>2356</v>
      </c>
      <c r="G7302" s="3">
        <f>MONTH(Tabela1[[#This Row],[Último pagto ano]])</f>
        <v>12</v>
      </c>
      <c r="H7302" t="str">
        <f>TEXT(Tabela1[[#This Row],[Coluna2]]*29,"mmmm")</f>
        <v>dezembro</v>
      </c>
      <c r="I7302" t="str">
        <f>TEXT(MONTH(Tabela1[[#This Row],[Último pagto ano]])*29,"mmmm")</f>
        <v>dezembro</v>
      </c>
    </row>
    <row r="7303" spans="1:9" x14ac:dyDescent="0.25">
      <c r="A7303">
        <v>2025</v>
      </c>
      <c r="B7303" t="s">
        <v>14537</v>
      </c>
      <c r="C7303" s="1">
        <v>46006</v>
      </c>
      <c r="D7303" t="s">
        <v>14538</v>
      </c>
      <c r="E7303" s="2">
        <v>11523.68</v>
      </c>
      <c r="G7303" s="3">
        <f>MONTH(Tabela1[[#This Row],[Último pagto ano]])</f>
        <v>12</v>
      </c>
      <c r="H7303" t="str">
        <f>TEXT(Tabela1[[#This Row],[Coluna2]]*29,"mmmm")</f>
        <v>dezembro</v>
      </c>
      <c r="I7303" t="str">
        <f>TEXT(MONTH(Tabela1[[#This Row],[Último pagto ano]])*29,"mmmm")</f>
        <v>dezembro</v>
      </c>
    </row>
    <row r="7304" spans="1:9" x14ac:dyDescent="0.25">
      <c r="A7304">
        <v>2025</v>
      </c>
      <c r="B7304" t="s">
        <v>14539</v>
      </c>
      <c r="C7304" s="1">
        <v>46006</v>
      </c>
      <c r="D7304" t="s">
        <v>14540</v>
      </c>
      <c r="E7304" s="2">
        <v>13031.04</v>
      </c>
      <c r="G7304" s="3">
        <f>MONTH(Tabela1[[#This Row],[Último pagto ano]])</f>
        <v>12</v>
      </c>
      <c r="H7304" t="str">
        <f>TEXT(Tabela1[[#This Row],[Coluna2]]*29,"mmmm")</f>
        <v>dezembro</v>
      </c>
      <c r="I7304" t="str">
        <f>TEXT(MONTH(Tabela1[[#This Row],[Último pagto ano]])*29,"mmmm")</f>
        <v>dezembro</v>
      </c>
    </row>
    <row r="7305" spans="1:9" x14ac:dyDescent="0.25">
      <c r="A7305">
        <v>2025</v>
      </c>
      <c r="B7305" t="s">
        <v>14541</v>
      </c>
      <c r="C7305" s="1">
        <v>45672</v>
      </c>
      <c r="D7305" t="s">
        <v>14542</v>
      </c>
      <c r="E7305">
        <v>707.2</v>
      </c>
      <c r="G7305" s="3">
        <f>MONTH(Tabela1[[#This Row],[Último pagto ano]])</f>
        <v>1</v>
      </c>
      <c r="H7305" t="str">
        <f>TEXT(Tabela1[[#This Row],[Coluna2]]*29,"mmmm")</f>
        <v>janeiro</v>
      </c>
      <c r="I7305" t="str">
        <f>TEXT(MONTH(Tabela1[[#This Row],[Último pagto ano]])*29,"mmmm")</f>
        <v>janeiro</v>
      </c>
    </row>
    <row r="7306" spans="1:9" x14ac:dyDescent="0.25">
      <c r="A7306">
        <v>2025</v>
      </c>
      <c r="B7306" t="s">
        <v>14543</v>
      </c>
      <c r="C7306" s="1">
        <v>45954</v>
      </c>
      <c r="D7306" t="s">
        <v>14544</v>
      </c>
      <c r="E7306" s="2">
        <v>74467.8</v>
      </c>
      <c r="G7306" s="3">
        <f>MONTH(Tabela1[[#This Row],[Último pagto ano]])</f>
        <v>10</v>
      </c>
      <c r="H7306" t="str">
        <f>TEXT(Tabela1[[#This Row],[Coluna2]]*29,"mmmm")</f>
        <v>outubro</v>
      </c>
      <c r="I7306" t="str">
        <f>TEXT(MONTH(Tabela1[[#This Row],[Último pagto ano]])*29,"mmmm")</f>
        <v>outubro</v>
      </c>
    </row>
    <row r="7307" spans="1:9" x14ac:dyDescent="0.25">
      <c r="A7307">
        <v>2025</v>
      </c>
      <c r="B7307" t="s">
        <v>14545</v>
      </c>
      <c r="C7307" s="1">
        <v>46006</v>
      </c>
      <c r="D7307" t="s">
        <v>14546</v>
      </c>
      <c r="E7307" s="2">
        <v>23889.360000000001</v>
      </c>
      <c r="G7307" s="3">
        <f>MONTH(Tabela1[[#This Row],[Último pagto ano]])</f>
        <v>12</v>
      </c>
      <c r="H7307" t="str">
        <f>TEXT(Tabela1[[#This Row],[Coluna2]]*29,"mmmm")</f>
        <v>dezembro</v>
      </c>
      <c r="I7307" t="str">
        <f>TEXT(MONTH(Tabela1[[#This Row],[Último pagto ano]])*29,"mmmm")</f>
        <v>dezembro</v>
      </c>
    </row>
    <row r="7308" spans="1:9" x14ac:dyDescent="0.25">
      <c r="A7308">
        <v>2025</v>
      </c>
      <c r="B7308" t="s">
        <v>14547</v>
      </c>
      <c r="C7308" s="1">
        <v>46010</v>
      </c>
      <c r="D7308" t="s">
        <v>14548</v>
      </c>
      <c r="E7308" s="2">
        <v>16342.13</v>
      </c>
      <c r="G7308" s="3">
        <f>MONTH(Tabela1[[#This Row],[Último pagto ano]])</f>
        <v>12</v>
      </c>
      <c r="H7308" t="str">
        <f>TEXT(Tabela1[[#This Row],[Coluna2]]*29,"mmmm")</f>
        <v>dezembro</v>
      </c>
      <c r="I7308" t="str">
        <f>TEXT(MONTH(Tabela1[[#This Row],[Último pagto ano]])*29,"mmmm")</f>
        <v>dezembro</v>
      </c>
    </row>
    <row r="7309" spans="1:9" x14ac:dyDescent="0.25">
      <c r="A7309">
        <v>2025</v>
      </c>
      <c r="B7309" t="s">
        <v>14549</v>
      </c>
      <c r="C7309" s="1">
        <v>45915</v>
      </c>
      <c r="D7309" t="s">
        <v>14550</v>
      </c>
      <c r="E7309" s="2">
        <v>1184.6400000000001</v>
      </c>
      <c r="G7309" s="3">
        <f>MONTH(Tabela1[[#This Row],[Último pagto ano]])</f>
        <v>9</v>
      </c>
      <c r="H7309" t="str">
        <f>TEXT(Tabela1[[#This Row],[Coluna2]]*29,"mmmm")</f>
        <v>setembro</v>
      </c>
      <c r="I7309" t="str">
        <f>TEXT(MONTH(Tabela1[[#This Row],[Último pagto ano]])*29,"mmmm")</f>
        <v>setembro</v>
      </c>
    </row>
    <row r="7310" spans="1:9" x14ac:dyDescent="0.25">
      <c r="A7310">
        <v>2025</v>
      </c>
      <c r="B7310" t="s">
        <v>14551</v>
      </c>
      <c r="C7310" s="1">
        <v>45702</v>
      </c>
      <c r="D7310" t="s">
        <v>14552</v>
      </c>
      <c r="E7310">
        <v>180.26</v>
      </c>
      <c r="G7310" s="3">
        <f>MONTH(Tabela1[[#This Row],[Último pagto ano]])</f>
        <v>2</v>
      </c>
      <c r="H7310" t="str">
        <f>TEXT(Tabela1[[#This Row],[Coluna2]]*29,"mmmm")</f>
        <v>fevereiro</v>
      </c>
      <c r="I7310" t="str">
        <f>TEXT(MONTH(Tabela1[[#This Row],[Último pagto ano]])*29,"mmmm")</f>
        <v>fevereiro</v>
      </c>
    </row>
    <row r="7311" spans="1:9" x14ac:dyDescent="0.25">
      <c r="A7311">
        <v>2025</v>
      </c>
      <c r="B7311" t="s">
        <v>14553</v>
      </c>
      <c r="C7311" s="1">
        <v>45814</v>
      </c>
      <c r="D7311" t="s">
        <v>14554</v>
      </c>
      <c r="E7311">
        <v>800</v>
      </c>
      <c r="G7311" s="3">
        <f>MONTH(Tabela1[[#This Row],[Último pagto ano]])</f>
        <v>6</v>
      </c>
      <c r="H7311" t="str">
        <f>TEXT(Tabela1[[#This Row],[Coluna2]]*29,"mmmm")</f>
        <v>junho</v>
      </c>
      <c r="I7311" t="str">
        <f>TEXT(MONTH(Tabela1[[#This Row],[Último pagto ano]])*29,"mmmm")</f>
        <v>junho</v>
      </c>
    </row>
    <row r="7312" spans="1:9" x14ac:dyDescent="0.25">
      <c r="A7312">
        <v>2025</v>
      </c>
      <c r="B7312" t="s">
        <v>14555</v>
      </c>
      <c r="C7312" s="1">
        <v>45705</v>
      </c>
      <c r="D7312" t="s">
        <v>14556</v>
      </c>
      <c r="E7312">
        <v>757.5</v>
      </c>
      <c r="G7312" s="3">
        <f>MONTH(Tabela1[[#This Row],[Último pagto ano]])</f>
        <v>2</v>
      </c>
      <c r="H7312" t="str">
        <f>TEXT(Tabela1[[#This Row],[Coluna2]]*29,"mmmm")</f>
        <v>fevereiro</v>
      </c>
      <c r="I7312" t="str">
        <f>TEXT(MONTH(Tabela1[[#This Row],[Último pagto ano]])*29,"mmmm")</f>
        <v>fevereiro</v>
      </c>
    </row>
    <row r="7313" spans="1:9" x14ac:dyDescent="0.25">
      <c r="A7313">
        <v>2025</v>
      </c>
      <c r="B7313" t="s">
        <v>14557</v>
      </c>
      <c r="C7313" s="1">
        <v>46014</v>
      </c>
      <c r="D7313" t="s">
        <v>14558</v>
      </c>
      <c r="E7313" s="2">
        <v>539595</v>
      </c>
      <c r="G7313" s="3">
        <f>MONTH(Tabela1[[#This Row],[Último pagto ano]])</f>
        <v>12</v>
      </c>
      <c r="H7313" t="str">
        <f>TEXT(Tabela1[[#This Row],[Coluna2]]*29,"mmmm")</f>
        <v>dezembro</v>
      </c>
      <c r="I7313" t="str">
        <f>TEXT(MONTH(Tabela1[[#This Row],[Último pagto ano]])*29,"mmmm")</f>
        <v>dezembro</v>
      </c>
    </row>
    <row r="7314" spans="1:9" x14ac:dyDescent="0.25">
      <c r="A7314">
        <v>2025</v>
      </c>
      <c r="B7314" t="s">
        <v>14559</v>
      </c>
      <c r="C7314" s="1">
        <v>45959</v>
      </c>
      <c r="D7314" t="s">
        <v>14560</v>
      </c>
      <c r="E7314" s="2">
        <v>153480</v>
      </c>
      <c r="G7314" s="3">
        <f>MONTH(Tabela1[[#This Row],[Último pagto ano]])</f>
        <v>10</v>
      </c>
      <c r="H7314" t="str">
        <f>TEXT(Tabela1[[#This Row],[Coluna2]]*29,"mmmm")</f>
        <v>outubro</v>
      </c>
      <c r="I7314" t="str">
        <f>TEXT(MONTH(Tabela1[[#This Row],[Último pagto ano]])*29,"mmmm")</f>
        <v>outubro</v>
      </c>
    </row>
    <row r="7315" spans="1:9" x14ac:dyDescent="0.25">
      <c r="A7315">
        <v>2025</v>
      </c>
      <c r="B7315" t="s">
        <v>14561</v>
      </c>
      <c r="C7315" s="1">
        <v>46010</v>
      </c>
      <c r="D7315" t="s">
        <v>14562</v>
      </c>
      <c r="E7315" s="2">
        <v>12000</v>
      </c>
      <c r="G7315" s="3">
        <f>MONTH(Tabela1[[#This Row],[Último pagto ano]])</f>
        <v>12</v>
      </c>
      <c r="H7315" t="str">
        <f>TEXT(Tabela1[[#This Row],[Coluna2]]*29,"mmmm")</f>
        <v>dezembro</v>
      </c>
      <c r="I7315" t="str">
        <f>TEXT(MONTH(Tabela1[[#This Row],[Último pagto ano]])*29,"mmmm")</f>
        <v>dezembro</v>
      </c>
    </row>
    <row r="7316" spans="1:9" x14ac:dyDescent="0.25">
      <c r="A7316">
        <v>2025</v>
      </c>
      <c r="B7316" t="s">
        <v>14563</v>
      </c>
      <c r="C7316" s="1">
        <v>46014</v>
      </c>
      <c r="D7316" t="s">
        <v>14564</v>
      </c>
      <c r="E7316" s="2">
        <v>36400</v>
      </c>
      <c r="G7316" s="3">
        <f>MONTH(Tabela1[[#This Row],[Último pagto ano]])</f>
        <v>12</v>
      </c>
      <c r="H7316" t="str">
        <f>TEXT(Tabela1[[#This Row],[Coluna2]]*29,"mmmm")</f>
        <v>dezembro</v>
      </c>
      <c r="I7316" t="str">
        <f>TEXT(MONTH(Tabela1[[#This Row],[Último pagto ano]])*29,"mmmm")</f>
        <v>dezembro</v>
      </c>
    </row>
    <row r="7317" spans="1:9" x14ac:dyDescent="0.25">
      <c r="A7317">
        <v>2025</v>
      </c>
      <c r="B7317" t="s">
        <v>14565</v>
      </c>
      <c r="C7317" s="1">
        <v>45740</v>
      </c>
      <c r="D7317" t="s">
        <v>14566</v>
      </c>
      <c r="E7317" s="2">
        <v>2100</v>
      </c>
      <c r="G7317" s="3">
        <f>MONTH(Tabela1[[#This Row],[Último pagto ano]])</f>
        <v>3</v>
      </c>
      <c r="H7317" t="str">
        <f>TEXT(Tabela1[[#This Row],[Coluna2]]*29,"mmmm")</f>
        <v>março</v>
      </c>
      <c r="I7317" t="str">
        <f>TEXT(MONTH(Tabela1[[#This Row],[Último pagto ano]])*29,"mmmm")</f>
        <v>março</v>
      </c>
    </row>
    <row r="7318" spans="1:9" x14ac:dyDescent="0.25">
      <c r="A7318">
        <v>2025</v>
      </c>
      <c r="B7318" t="s">
        <v>14567</v>
      </c>
      <c r="C7318" s="1">
        <v>46006</v>
      </c>
      <c r="D7318" t="s">
        <v>14568</v>
      </c>
      <c r="E7318" s="2">
        <v>11806.56</v>
      </c>
      <c r="G7318" s="3">
        <f>MONTH(Tabela1[[#This Row],[Último pagto ano]])</f>
        <v>12</v>
      </c>
      <c r="H7318" t="str">
        <f>TEXT(Tabela1[[#This Row],[Coluna2]]*29,"mmmm")</f>
        <v>dezembro</v>
      </c>
      <c r="I7318" t="str">
        <f>TEXT(MONTH(Tabela1[[#This Row],[Último pagto ano]])*29,"mmmm")</f>
        <v>dezembro</v>
      </c>
    </row>
    <row r="7319" spans="1:9" x14ac:dyDescent="0.25">
      <c r="A7319">
        <v>2025</v>
      </c>
      <c r="B7319" t="s">
        <v>14569</v>
      </c>
      <c r="C7319" s="1">
        <v>46010</v>
      </c>
      <c r="D7319" t="s">
        <v>14570</v>
      </c>
      <c r="E7319" s="2">
        <v>8400</v>
      </c>
      <c r="G7319" s="3">
        <f>MONTH(Tabela1[[#This Row],[Último pagto ano]])</f>
        <v>12</v>
      </c>
      <c r="H7319" t="str">
        <f>TEXT(Tabela1[[#This Row],[Coluna2]]*29,"mmmm")</f>
        <v>dezembro</v>
      </c>
      <c r="I7319" t="str">
        <f>TEXT(MONTH(Tabela1[[#This Row],[Último pagto ano]])*29,"mmmm")</f>
        <v>dezembro</v>
      </c>
    </row>
    <row r="7320" spans="1:9" x14ac:dyDescent="0.25">
      <c r="A7320">
        <v>2025</v>
      </c>
      <c r="B7320" t="s">
        <v>14571</v>
      </c>
      <c r="C7320" s="1">
        <v>46003</v>
      </c>
      <c r="D7320" t="s">
        <v>14572</v>
      </c>
      <c r="E7320" s="2">
        <v>8400</v>
      </c>
      <c r="G7320" s="3">
        <f>MONTH(Tabela1[[#This Row],[Último pagto ano]])</f>
        <v>12</v>
      </c>
      <c r="H7320" t="str">
        <f>TEXT(Tabela1[[#This Row],[Coluna2]]*29,"mmmm")</f>
        <v>dezembro</v>
      </c>
      <c r="I7320" t="str">
        <f>TEXT(MONTH(Tabela1[[#This Row],[Último pagto ano]])*29,"mmmm")</f>
        <v>dezembro</v>
      </c>
    </row>
    <row r="7321" spans="1:9" x14ac:dyDescent="0.25">
      <c r="A7321">
        <v>2025</v>
      </c>
      <c r="B7321" t="s">
        <v>14573</v>
      </c>
      <c r="C7321" s="1">
        <v>46010</v>
      </c>
      <c r="D7321" t="s">
        <v>14574</v>
      </c>
      <c r="E7321" s="2">
        <v>8400</v>
      </c>
      <c r="G7321" s="3">
        <f>MONTH(Tabela1[[#This Row],[Último pagto ano]])</f>
        <v>12</v>
      </c>
      <c r="H7321" t="str">
        <f>TEXT(Tabela1[[#This Row],[Coluna2]]*29,"mmmm")</f>
        <v>dezembro</v>
      </c>
      <c r="I7321" t="str">
        <f>TEXT(MONTH(Tabela1[[#This Row],[Último pagto ano]])*29,"mmmm")</f>
        <v>dezembro</v>
      </c>
    </row>
    <row r="7322" spans="1:9" x14ac:dyDescent="0.25">
      <c r="A7322">
        <v>2025</v>
      </c>
      <c r="B7322" t="s">
        <v>14575</v>
      </c>
      <c r="C7322" s="1">
        <v>45996</v>
      </c>
      <c r="D7322" t="s">
        <v>14576</v>
      </c>
      <c r="E7322" s="2">
        <v>32400</v>
      </c>
      <c r="G7322" s="3">
        <f>MONTH(Tabela1[[#This Row],[Último pagto ano]])</f>
        <v>12</v>
      </c>
      <c r="H7322" t="str">
        <f>TEXT(Tabela1[[#This Row],[Coluna2]]*29,"mmmm")</f>
        <v>dezembro</v>
      </c>
      <c r="I7322" t="str">
        <f>TEXT(MONTH(Tabela1[[#This Row],[Último pagto ano]])*29,"mmmm")</f>
        <v>dezembro</v>
      </c>
    </row>
    <row r="7323" spans="1:9" x14ac:dyDescent="0.25">
      <c r="A7323">
        <v>2025</v>
      </c>
      <c r="B7323" t="s">
        <v>14577</v>
      </c>
      <c r="C7323" s="1">
        <v>45912</v>
      </c>
      <c r="D7323" t="s">
        <v>14578</v>
      </c>
      <c r="E7323" s="2">
        <v>2590.2800000000002</v>
      </c>
      <c r="G7323" s="3">
        <f>MONTH(Tabela1[[#This Row],[Último pagto ano]])</f>
        <v>9</v>
      </c>
      <c r="H7323" t="str">
        <f>TEXT(Tabela1[[#This Row],[Coluna2]]*29,"mmmm")</f>
        <v>setembro</v>
      </c>
      <c r="I7323" t="str">
        <f>TEXT(MONTH(Tabela1[[#This Row],[Último pagto ano]])*29,"mmmm")</f>
        <v>setembro</v>
      </c>
    </row>
    <row r="7324" spans="1:9" x14ac:dyDescent="0.25">
      <c r="A7324">
        <v>2025</v>
      </c>
      <c r="B7324" t="s">
        <v>14579</v>
      </c>
      <c r="C7324" s="1">
        <v>46021</v>
      </c>
      <c r="D7324" t="s">
        <v>14580</v>
      </c>
      <c r="E7324" s="2">
        <v>12618</v>
      </c>
      <c r="G7324" s="3">
        <f>MONTH(Tabela1[[#This Row],[Último pagto ano]])</f>
        <v>12</v>
      </c>
      <c r="H7324" t="str">
        <f>TEXT(Tabela1[[#This Row],[Coluna2]]*29,"mmmm")</f>
        <v>dezembro</v>
      </c>
      <c r="I7324" t="str">
        <f>TEXT(MONTH(Tabela1[[#This Row],[Último pagto ano]])*29,"mmmm")</f>
        <v>dezembro</v>
      </c>
    </row>
    <row r="7325" spans="1:9" x14ac:dyDescent="0.25">
      <c r="A7325">
        <v>2025</v>
      </c>
      <c r="B7325" t="s">
        <v>14581</v>
      </c>
      <c r="C7325" s="1">
        <v>45915</v>
      </c>
      <c r="D7325" t="s">
        <v>14582</v>
      </c>
      <c r="E7325" s="2">
        <v>3796.96</v>
      </c>
      <c r="G7325" s="3">
        <f>MONTH(Tabela1[[#This Row],[Último pagto ano]])</f>
        <v>9</v>
      </c>
      <c r="H7325" t="str">
        <f>TEXT(Tabela1[[#This Row],[Coluna2]]*29,"mmmm")</f>
        <v>setembro</v>
      </c>
      <c r="I7325" t="str">
        <f>TEXT(MONTH(Tabela1[[#This Row],[Último pagto ano]])*29,"mmmm")</f>
        <v>setembro</v>
      </c>
    </row>
    <row r="7326" spans="1:9" x14ac:dyDescent="0.25">
      <c r="A7326">
        <v>2025</v>
      </c>
      <c r="B7326" t="s">
        <v>14583</v>
      </c>
      <c r="C7326" s="1">
        <v>46006</v>
      </c>
      <c r="D7326" t="s">
        <v>14584</v>
      </c>
      <c r="E7326" s="2">
        <v>5627.04</v>
      </c>
      <c r="G7326" s="3">
        <f>MONTH(Tabela1[[#This Row],[Último pagto ano]])</f>
        <v>12</v>
      </c>
      <c r="H7326" t="str">
        <f>TEXT(Tabela1[[#This Row],[Coluna2]]*29,"mmmm")</f>
        <v>dezembro</v>
      </c>
      <c r="I7326" t="str">
        <f>TEXT(MONTH(Tabela1[[#This Row],[Último pagto ano]])*29,"mmmm")</f>
        <v>dezembro</v>
      </c>
    </row>
    <row r="7327" spans="1:9" x14ac:dyDescent="0.25">
      <c r="A7327">
        <v>2025</v>
      </c>
      <c r="B7327" t="s">
        <v>14585</v>
      </c>
      <c r="C7327" s="1">
        <v>46006</v>
      </c>
      <c r="D7327" t="s">
        <v>14586</v>
      </c>
      <c r="E7327" s="2">
        <v>13287.36</v>
      </c>
      <c r="G7327" s="3">
        <f>MONTH(Tabela1[[#This Row],[Último pagto ano]])</f>
        <v>12</v>
      </c>
      <c r="H7327" t="str">
        <f>TEXT(Tabela1[[#This Row],[Coluna2]]*29,"mmmm")</f>
        <v>dezembro</v>
      </c>
      <c r="I7327" t="str">
        <f>TEXT(MONTH(Tabela1[[#This Row],[Último pagto ano]])*29,"mmmm")</f>
        <v>dezembro</v>
      </c>
    </row>
    <row r="7328" spans="1:9" x14ac:dyDescent="0.25">
      <c r="A7328">
        <v>2025</v>
      </c>
      <c r="B7328" t="s">
        <v>14587</v>
      </c>
      <c r="C7328" s="1">
        <v>46006</v>
      </c>
      <c r="D7328" t="s">
        <v>14588</v>
      </c>
      <c r="E7328" s="2">
        <v>4725.28</v>
      </c>
      <c r="G7328" s="3">
        <f>MONTH(Tabela1[[#This Row],[Último pagto ano]])</f>
        <v>12</v>
      </c>
      <c r="H7328" t="str">
        <f>TEXT(Tabela1[[#This Row],[Coluna2]]*29,"mmmm")</f>
        <v>dezembro</v>
      </c>
      <c r="I7328" t="str">
        <f>TEXT(MONTH(Tabela1[[#This Row],[Último pagto ano]])*29,"mmmm")</f>
        <v>dezembro</v>
      </c>
    </row>
    <row r="7329" spans="1:9" x14ac:dyDescent="0.25">
      <c r="A7329">
        <v>2025</v>
      </c>
      <c r="B7329" t="s">
        <v>14589</v>
      </c>
      <c r="C7329" s="1">
        <v>46006</v>
      </c>
      <c r="D7329" t="s">
        <v>14590</v>
      </c>
      <c r="E7329" s="2">
        <v>14973.68</v>
      </c>
      <c r="G7329" s="3">
        <f>MONTH(Tabela1[[#This Row],[Último pagto ano]])</f>
        <v>12</v>
      </c>
      <c r="H7329" t="str">
        <f>TEXT(Tabela1[[#This Row],[Coluna2]]*29,"mmmm")</f>
        <v>dezembro</v>
      </c>
      <c r="I7329" t="str">
        <f>TEXT(MONTH(Tabela1[[#This Row],[Último pagto ano]])*29,"mmmm")</f>
        <v>dezembro</v>
      </c>
    </row>
    <row r="7330" spans="1:9" x14ac:dyDescent="0.25">
      <c r="A7330">
        <v>2025</v>
      </c>
      <c r="B7330" t="s">
        <v>14591</v>
      </c>
      <c r="C7330" s="1">
        <v>45959</v>
      </c>
      <c r="D7330" t="s">
        <v>14592</v>
      </c>
      <c r="E7330" s="2">
        <v>101187.6</v>
      </c>
      <c r="G7330" s="3">
        <f>MONTH(Tabela1[[#This Row],[Último pagto ano]])</f>
        <v>10</v>
      </c>
      <c r="H7330" t="str">
        <f>TEXT(Tabela1[[#This Row],[Coluna2]]*29,"mmmm")</f>
        <v>outubro</v>
      </c>
      <c r="I7330" t="str">
        <f>TEXT(MONTH(Tabela1[[#This Row],[Último pagto ano]])*29,"mmmm")</f>
        <v>outubro</v>
      </c>
    </row>
    <row r="7331" spans="1:9" x14ac:dyDescent="0.25">
      <c r="A7331">
        <v>2025</v>
      </c>
      <c r="B7331" t="s">
        <v>14593</v>
      </c>
      <c r="C7331" s="1">
        <v>46006</v>
      </c>
      <c r="D7331" t="s">
        <v>14594</v>
      </c>
      <c r="E7331" s="2">
        <v>7033.04</v>
      </c>
      <c r="G7331" s="3">
        <f>MONTH(Tabela1[[#This Row],[Último pagto ano]])</f>
        <v>12</v>
      </c>
      <c r="H7331" t="str">
        <f>TEXT(Tabela1[[#This Row],[Coluna2]]*29,"mmmm")</f>
        <v>dezembro</v>
      </c>
      <c r="I7331" t="str">
        <f>TEXT(MONTH(Tabela1[[#This Row],[Último pagto ano]])*29,"mmmm")</f>
        <v>dezembro</v>
      </c>
    </row>
    <row r="7332" spans="1:9" x14ac:dyDescent="0.25">
      <c r="A7332">
        <v>2025</v>
      </c>
      <c r="B7332" t="s">
        <v>14595</v>
      </c>
      <c r="C7332" s="1">
        <v>45996</v>
      </c>
      <c r="D7332" t="s">
        <v>14596</v>
      </c>
      <c r="E7332" s="2">
        <v>42000</v>
      </c>
      <c r="G7332" s="3">
        <f>MONTH(Tabela1[[#This Row],[Último pagto ano]])</f>
        <v>12</v>
      </c>
      <c r="H7332" t="str">
        <f>TEXT(Tabela1[[#This Row],[Coluna2]]*29,"mmmm")</f>
        <v>dezembro</v>
      </c>
      <c r="I7332" t="str">
        <f>TEXT(MONTH(Tabela1[[#This Row],[Último pagto ano]])*29,"mmmm")</f>
        <v>dezembro</v>
      </c>
    </row>
    <row r="7333" spans="1:9" x14ac:dyDescent="0.25">
      <c r="A7333">
        <v>2025</v>
      </c>
      <c r="B7333" t="s">
        <v>14597</v>
      </c>
      <c r="C7333" s="1">
        <v>45999</v>
      </c>
      <c r="D7333" t="s">
        <v>14598</v>
      </c>
      <c r="E7333">
        <v>22</v>
      </c>
      <c r="G7333" s="3">
        <f>MONTH(Tabela1[[#This Row],[Último pagto ano]])</f>
        <v>12</v>
      </c>
      <c r="H7333" t="str">
        <f>TEXT(Tabela1[[#This Row],[Coluna2]]*29,"mmmm")</f>
        <v>dezembro</v>
      </c>
      <c r="I7333" t="str">
        <f>TEXT(MONTH(Tabela1[[#This Row],[Último pagto ano]])*29,"mmmm")</f>
        <v>dezembro</v>
      </c>
    </row>
    <row r="7334" spans="1:9" x14ac:dyDescent="0.25">
      <c r="A7334">
        <v>2025</v>
      </c>
      <c r="B7334" t="s">
        <v>14599</v>
      </c>
      <c r="C7334" s="1">
        <v>45945</v>
      </c>
      <c r="D7334" t="s">
        <v>14600</v>
      </c>
      <c r="E7334" s="2">
        <v>1184.6400000000001</v>
      </c>
      <c r="G7334" s="3">
        <f>MONTH(Tabela1[[#This Row],[Último pagto ano]])</f>
        <v>10</v>
      </c>
      <c r="H7334" t="str">
        <f>TEXT(Tabela1[[#This Row],[Coluna2]]*29,"mmmm")</f>
        <v>outubro</v>
      </c>
      <c r="I7334" t="str">
        <f>TEXT(MONTH(Tabela1[[#This Row],[Último pagto ano]])*29,"mmmm")</f>
        <v>outubro</v>
      </c>
    </row>
    <row r="7335" spans="1:9" x14ac:dyDescent="0.25">
      <c r="A7335">
        <v>2025</v>
      </c>
      <c r="B7335" t="s">
        <v>14601</v>
      </c>
      <c r="C7335" s="1">
        <v>46006</v>
      </c>
      <c r="D7335" t="s">
        <v>14602</v>
      </c>
      <c r="E7335" s="2">
        <v>5330.88</v>
      </c>
      <c r="G7335" s="3">
        <f>MONTH(Tabela1[[#This Row],[Último pagto ano]])</f>
        <v>12</v>
      </c>
      <c r="H7335" t="str">
        <f>TEXT(Tabela1[[#This Row],[Coluna2]]*29,"mmmm")</f>
        <v>dezembro</v>
      </c>
      <c r="I7335" t="str">
        <f>TEXT(MONTH(Tabela1[[#This Row],[Último pagto ano]])*29,"mmmm")</f>
        <v>dezembro</v>
      </c>
    </row>
    <row r="7336" spans="1:9" x14ac:dyDescent="0.25">
      <c r="A7336">
        <v>2025</v>
      </c>
      <c r="B7336" t="s">
        <v>14603</v>
      </c>
      <c r="C7336" s="1">
        <v>45975</v>
      </c>
      <c r="D7336" t="s">
        <v>14604</v>
      </c>
      <c r="E7336" s="2">
        <v>5922.56</v>
      </c>
      <c r="G7336" s="3">
        <f>MONTH(Tabela1[[#This Row],[Último pagto ano]])</f>
        <v>11</v>
      </c>
      <c r="H7336" t="str">
        <f>TEXT(Tabela1[[#This Row],[Coluna2]]*29,"mmmm")</f>
        <v>novembro</v>
      </c>
      <c r="I7336" t="str">
        <f>TEXT(MONTH(Tabela1[[#This Row],[Último pagto ano]])*29,"mmmm")</f>
        <v>novembro</v>
      </c>
    </row>
    <row r="7337" spans="1:9" x14ac:dyDescent="0.25">
      <c r="A7337">
        <v>2025</v>
      </c>
      <c r="B7337" t="s">
        <v>14605</v>
      </c>
      <c r="C7337" s="1">
        <v>45950</v>
      </c>
      <c r="D7337" t="s">
        <v>14606</v>
      </c>
      <c r="E7337" s="2">
        <v>1760</v>
      </c>
      <c r="G7337" s="3">
        <f>MONTH(Tabela1[[#This Row],[Último pagto ano]])</f>
        <v>10</v>
      </c>
      <c r="H7337" t="str">
        <f>TEXT(Tabela1[[#This Row],[Coluna2]]*29,"mmmm")</f>
        <v>outubro</v>
      </c>
      <c r="I7337" t="str">
        <f>TEXT(MONTH(Tabela1[[#This Row],[Último pagto ano]])*29,"mmmm")</f>
        <v>outubro</v>
      </c>
    </row>
    <row r="7338" spans="1:9" x14ac:dyDescent="0.25">
      <c r="A7338">
        <v>2025</v>
      </c>
      <c r="B7338" t="s">
        <v>14607</v>
      </c>
      <c r="C7338" s="1">
        <v>46014</v>
      </c>
      <c r="D7338" t="s">
        <v>14608</v>
      </c>
      <c r="E7338" s="2">
        <v>30980</v>
      </c>
      <c r="G7338" s="3">
        <f>MONTH(Tabela1[[#This Row],[Último pagto ano]])</f>
        <v>12</v>
      </c>
      <c r="H7338" t="str">
        <f>TEXT(Tabela1[[#This Row],[Coluna2]]*29,"mmmm")</f>
        <v>dezembro</v>
      </c>
      <c r="I7338" t="str">
        <f>TEXT(MONTH(Tabela1[[#This Row],[Último pagto ano]])*29,"mmmm")</f>
        <v>dezembro</v>
      </c>
    </row>
    <row r="7339" spans="1:9" x14ac:dyDescent="0.25">
      <c r="A7339">
        <v>2025</v>
      </c>
      <c r="B7339" t="s">
        <v>14609</v>
      </c>
      <c r="C7339" s="1">
        <v>46014</v>
      </c>
      <c r="D7339" t="s">
        <v>14610</v>
      </c>
      <c r="E7339" s="2">
        <v>32220</v>
      </c>
      <c r="G7339" s="3">
        <f>MONTH(Tabela1[[#This Row],[Último pagto ano]])</f>
        <v>12</v>
      </c>
      <c r="H7339" t="str">
        <f>TEXT(Tabela1[[#This Row],[Coluna2]]*29,"mmmm")</f>
        <v>dezembro</v>
      </c>
      <c r="I7339" t="str">
        <f>TEXT(MONTH(Tabela1[[#This Row],[Último pagto ano]])*29,"mmmm")</f>
        <v>dezembro</v>
      </c>
    </row>
    <row r="7340" spans="1:9" x14ac:dyDescent="0.25">
      <c r="A7340">
        <v>2025</v>
      </c>
      <c r="B7340" t="s">
        <v>14611</v>
      </c>
      <c r="C7340" s="1">
        <v>46006</v>
      </c>
      <c r="D7340" t="s">
        <v>14612</v>
      </c>
      <c r="E7340" s="2">
        <v>5923.2</v>
      </c>
      <c r="G7340" s="3">
        <f>MONTH(Tabela1[[#This Row],[Último pagto ano]])</f>
        <v>12</v>
      </c>
      <c r="H7340" t="str">
        <f>TEXT(Tabela1[[#This Row],[Coluna2]]*29,"mmmm")</f>
        <v>dezembro</v>
      </c>
      <c r="I7340" t="str">
        <f>TEXT(MONTH(Tabela1[[#This Row],[Último pagto ano]])*29,"mmmm")</f>
        <v>dezembro</v>
      </c>
    </row>
    <row r="7341" spans="1:9" x14ac:dyDescent="0.25">
      <c r="A7341">
        <v>2025</v>
      </c>
      <c r="B7341" t="s">
        <v>14613</v>
      </c>
      <c r="C7341" s="1">
        <v>45975</v>
      </c>
      <c r="D7341" t="s">
        <v>14614</v>
      </c>
      <c r="E7341" s="2">
        <v>6724.36</v>
      </c>
      <c r="G7341" s="3">
        <f>MONTH(Tabela1[[#This Row],[Último pagto ano]])</f>
        <v>11</v>
      </c>
      <c r="H7341" t="str">
        <f>TEXT(Tabela1[[#This Row],[Coluna2]]*29,"mmmm")</f>
        <v>novembro</v>
      </c>
      <c r="I7341" t="str">
        <f>TEXT(MONTH(Tabela1[[#This Row],[Último pagto ano]])*29,"mmmm")</f>
        <v>novembro</v>
      </c>
    </row>
    <row r="7342" spans="1:9" x14ac:dyDescent="0.25">
      <c r="A7342">
        <v>2025</v>
      </c>
      <c r="B7342" t="s">
        <v>14615</v>
      </c>
      <c r="C7342" s="1">
        <v>46006</v>
      </c>
      <c r="D7342" t="s">
        <v>14616</v>
      </c>
      <c r="E7342" s="2">
        <v>21243.84</v>
      </c>
      <c r="G7342" s="3">
        <f>MONTH(Tabela1[[#This Row],[Último pagto ano]])</f>
        <v>12</v>
      </c>
      <c r="H7342" t="str">
        <f>TEXT(Tabela1[[#This Row],[Coluna2]]*29,"mmmm")</f>
        <v>dezembro</v>
      </c>
      <c r="I7342" t="str">
        <f>TEXT(MONTH(Tabela1[[#This Row],[Último pagto ano]])*29,"mmmm")</f>
        <v>dezembro</v>
      </c>
    </row>
    <row r="7343" spans="1:9" x14ac:dyDescent="0.25">
      <c r="A7343">
        <v>2025</v>
      </c>
      <c r="B7343" t="s">
        <v>14617</v>
      </c>
      <c r="C7343" s="1">
        <v>45951</v>
      </c>
      <c r="D7343" t="s">
        <v>14618</v>
      </c>
      <c r="E7343" s="2">
        <v>62487.3</v>
      </c>
      <c r="G7343" s="3">
        <f>MONTH(Tabela1[[#This Row],[Último pagto ano]])</f>
        <v>10</v>
      </c>
      <c r="H7343" t="str">
        <f>TEXT(Tabela1[[#This Row],[Coluna2]]*29,"mmmm")</f>
        <v>outubro</v>
      </c>
      <c r="I7343" t="str">
        <f>TEXT(MONTH(Tabela1[[#This Row],[Último pagto ano]])*29,"mmmm")</f>
        <v>outubro</v>
      </c>
    </row>
    <row r="7344" spans="1:9" x14ac:dyDescent="0.25">
      <c r="A7344">
        <v>2025</v>
      </c>
      <c r="B7344" t="s">
        <v>14619</v>
      </c>
      <c r="C7344" s="1">
        <v>45961</v>
      </c>
      <c r="D7344" t="s">
        <v>14620</v>
      </c>
      <c r="E7344">
        <v>934.1</v>
      </c>
      <c r="G7344" s="3">
        <f>MONTH(Tabela1[[#This Row],[Último pagto ano]])</f>
        <v>10</v>
      </c>
      <c r="H7344" t="str">
        <f>TEXT(Tabela1[[#This Row],[Coluna2]]*29,"mmmm")</f>
        <v>outubro</v>
      </c>
      <c r="I7344" t="str">
        <f>TEXT(MONTH(Tabela1[[#This Row],[Último pagto ano]])*29,"mmmm")</f>
        <v>outubro</v>
      </c>
    </row>
    <row r="7345" spans="1:9" x14ac:dyDescent="0.25">
      <c r="A7345">
        <v>2025</v>
      </c>
      <c r="B7345" t="s">
        <v>14621</v>
      </c>
      <c r="C7345" s="1">
        <v>45705</v>
      </c>
      <c r="D7345" t="s">
        <v>14622</v>
      </c>
      <c r="E7345" s="2">
        <v>3134.82</v>
      </c>
      <c r="G7345" s="3">
        <f>MONTH(Tabela1[[#This Row],[Último pagto ano]])</f>
        <v>2</v>
      </c>
      <c r="H7345" t="str">
        <f>TEXT(Tabela1[[#This Row],[Coluna2]]*29,"mmmm")</f>
        <v>fevereiro</v>
      </c>
      <c r="I7345" t="str">
        <f>TEXT(MONTH(Tabela1[[#This Row],[Último pagto ano]])*29,"mmmm")</f>
        <v>fevereiro</v>
      </c>
    </row>
    <row r="7346" spans="1:9" x14ac:dyDescent="0.25">
      <c r="A7346">
        <v>2025</v>
      </c>
      <c r="B7346" t="s">
        <v>14623</v>
      </c>
      <c r="C7346" s="1">
        <v>45884</v>
      </c>
      <c r="D7346" t="s">
        <v>14624</v>
      </c>
      <c r="E7346" s="2">
        <v>10003.040000000001</v>
      </c>
      <c r="G7346" s="3">
        <f>MONTH(Tabela1[[#This Row],[Último pagto ano]])</f>
        <v>8</v>
      </c>
      <c r="H7346" t="str">
        <f>TEXT(Tabela1[[#This Row],[Coluna2]]*29,"mmmm")</f>
        <v>agosto</v>
      </c>
      <c r="I7346" t="str">
        <f>TEXT(MONTH(Tabela1[[#This Row],[Último pagto ano]])*29,"mmmm")</f>
        <v>agosto</v>
      </c>
    </row>
    <row r="7347" spans="1:9" x14ac:dyDescent="0.25">
      <c r="A7347">
        <v>2025</v>
      </c>
      <c r="B7347" t="s">
        <v>14625</v>
      </c>
      <c r="C7347" s="1">
        <v>46014</v>
      </c>
      <c r="D7347" t="s">
        <v>14626</v>
      </c>
      <c r="E7347" s="2">
        <v>11725</v>
      </c>
      <c r="G7347" s="3">
        <f>MONTH(Tabela1[[#This Row],[Último pagto ano]])</f>
        <v>12</v>
      </c>
      <c r="H7347" t="str">
        <f>TEXT(Tabela1[[#This Row],[Coluna2]]*29,"mmmm")</f>
        <v>dezembro</v>
      </c>
      <c r="I7347" t="str">
        <f>TEXT(MONTH(Tabela1[[#This Row],[Último pagto ano]])*29,"mmmm")</f>
        <v>dezembro</v>
      </c>
    </row>
    <row r="7348" spans="1:9" x14ac:dyDescent="0.25">
      <c r="A7348">
        <v>2025</v>
      </c>
      <c r="B7348" t="s">
        <v>14627</v>
      </c>
      <c r="C7348" s="1">
        <v>45852</v>
      </c>
      <c r="D7348" t="s">
        <v>14628</v>
      </c>
      <c r="E7348" s="2">
        <v>25254.85</v>
      </c>
      <c r="G7348" s="3">
        <f>MONTH(Tabela1[[#This Row],[Último pagto ano]])</f>
        <v>7</v>
      </c>
      <c r="H7348" t="str">
        <f>TEXT(Tabela1[[#This Row],[Coluna2]]*29,"mmmm")</f>
        <v>julho</v>
      </c>
      <c r="I7348" t="str">
        <f>TEXT(MONTH(Tabela1[[#This Row],[Último pagto ano]])*29,"mmmm")</f>
        <v>julho</v>
      </c>
    </row>
    <row r="7349" spans="1:9" x14ac:dyDescent="0.25">
      <c r="A7349">
        <v>2025</v>
      </c>
      <c r="B7349" t="s">
        <v>14629</v>
      </c>
      <c r="C7349" s="1">
        <v>45723</v>
      </c>
      <c r="D7349" t="s">
        <v>14630</v>
      </c>
      <c r="E7349">
        <v>930.5</v>
      </c>
      <c r="G7349" s="3">
        <f>MONTH(Tabela1[[#This Row],[Último pagto ano]])</f>
        <v>3</v>
      </c>
      <c r="H7349" t="str">
        <f>TEXT(Tabela1[[#This Row],[Coluna2]]*29,"mmmm")</f>
        <v>março</v>
      </c>
      <c r="I7349" t="str">
        <f>TEXT(MONTH(Tabela1[[#This Row],[Último pagto ano]])*29,"mmmm")</f>
        <v>março</v>
      </c>
    </row>
    <row r="7350" spans="1:9" x14ac:dyDescent="0.25">
      <c r="A7350">
        <v>2025</v>
      </c>
      <c r="B7350" t="s">
        <v>14631</v>
      </c>
      <c r="C7350" s="1">
        <v>45954</v>
      </c>
      <c r="D7350" t="s">
        <v>14632</v>
      </c>
      <c r="E7350" s="2">
        <v>82690.720000000001</v>
      </c>
      <c r="G7350" s="3">
        <f>MONTH(Tabela1[[#This Row],[Último pagto ano]])</f>
        <v>10</v>
      </c>
      <c r="H7350" t="str">
        <f>TEXT(Tabela1[[#This Row],[Coluna2]]*29,"mmmm")</f>
        <v>outubro</v>
      </c>
      <c r="I7350" t="str">
        <f>TEXT(MONTH(Tabela1[[#This Row],[Último pagto ano]])*29,"mmmm")</f>
        <v>outubro</v>
      </c>
    </row>
    <row r="7351" spans="1:9" x14ac:dyDescent="0.25">
      <c r="A7351">
        <v>2025</v>
      </c>
      <c r="B7351" t="s">
        <v>14633</v>
      </c>
      <c r="C7351" s="1">
        <v>46007</v>
      </c>
      <c r="D7351" t="s">
        <v>14634</v>
      </c>
      <c r="E7351" s="2">
        <v>12078</v>
      </c>
      <c r="G7351" s="3">
        <f>MONTH(Tabela1[[#This Row],[Último pagto ano]])</f>
        <v>12</v>
      </c>
      <c r="H7351" t="str">
        <f>TEXT(Tabela1[[#This Row],[Coluna2]]*29,"mmmm")</f>
        <v>dezembro</v>
      </c>
      <c r="I7351" t="str">
        <f>TEXT(MONTH(Tabela1[[#This Row],[Último pagto ano]])*29,"mmmm")</f>
        <v>dezembro</v>
      </c>
    </row>
    <row r="7352" spans="1:9" x14ac:dyDescent="0.25">
      <c r="A7352">
        <v>2025</v>
      </c>
      <c r="B7352" t="s">
        <v>14635</v>
      </c>
      <c r="C7352" s="1">
        <v>46014</v>
      </c>
      <c r="D7352" t="s">
        <v>14636</v>
      </c>
      <c r="E7352" s="2">
        <v>11006.4</v>
      </c>
      <c r="G7352" s="3">
        <f>MONTH(Tabela1[[#This Row],[Último pagto ano]])</f>
        <v>12</v>
      </c>
      <c r="H7352" t="str">
        <f>TEXT(Tabela1[[#This Row],[Coluna2]]*29,"mmmm")</f>
        <v>dezembro</v>
      </c>
      <c r="I7352" t="str">
        <f>TEXT(MONTH(Tabela1[[#This Row],[Último pagto ano]])*29,"mmmm")</f>
        <v>dezembro</v>
      </c>
    </row>
    <row r="7353" spans="1:9" x14ac:dyDescent="0.25">
      <c r="A7353">
        <v>2025</v>
      </c>
      <c r="B7353" t="s">
        <v>14637</v>
      </c>
      <c r="C7353" s="1">
        <v>46010</v>
      </c>
      <c r="D7353" t="s">
        <v>14638</v>
      </c>
      <c r="E7353" s="2">
        <v>1400</v>
      </c>
      <c r="G7353" s="3">
        <f>MONTH(Tabela1[[#This Row],[Último pagto ano]])</f>
        <v>12</v>
      </c>
      <c r="H7353" t="str">
        <f>TEXT(Tabela1[[#This Row],[Coluna2]]*29,"mmmm")</f>
        <v>dezembro</v>
      </c>
      <c r="I7353" t="str">
        <f>TEXT(MONTH(Tabela1[[#This Row],[Último pagto ano]])*29,"mmmm")</f>
        <v>dezembro</v>
      </c>
    </row>
    <row r="7354" spans="1:9" x14ac:dyDescent="0.25">
      <c r="A7354">
        <v>2025</v>
      </c>
      <c r="B7354" t="s">
        <v>14639</v>
      </c>
      <c r="C7354" s="1">
        <v>45996</v>
      </c>
      <c r="D7354" t="s">
        <v>14640</v>
      </c>
      <c r="E7354" s="2">
        <v>115224.1</v>
      </c>
      <c r="G7354" s="3">
        <f>MONTH(Tabela1[[#This Row],[Último pagto ano]])</f>
        <v>12</v>
      </c>
      <c r="H7354" t="str">
        <f>TEXT(Tabela1[[#This Row],[Coluna2]]*29,"mmmm")</f>
        <v>dezembro</v>
      </c>
      <c r="I7354" t="str">
        <f>TEXT(MONTH(Tabela1[[#This Row],[Último pagto ano]])*29,"mmmm")</f>
        <v>dezembro</v>
      </c>
    </row>
    <row r="7355" spans="1:9" x14ac:dyDescent="0.25">
      <c r="A7355">
        <v>2025</v>
      </c>
      <c r="B7355" t="s">
        <v>14641</v>
      </c>
      <c r="C7355" s="1">
        <v>45814</v>
      </c>
      <c r="D7355" t="s">
        <v>14642</v>
      </c>
      <c r="E7355" s="2">
        <v>32400</v>
      </c>
      <c r="G7355" s="3">
        <f>MONTH(Tabela1[[#This Row],[Último pagto ano]])</f>
        <v>6</v>
      </c>
      <c r="H7355" t="str">
        <f>TEXT(Tabela1[[#This Row],[Coluna2]]*29,"mmmm")</f>
        <v>junho</v>
      </c>
      <c r="I7355" t="str">
        <f>TEXT(MONTH(Tabela1[[#This Row],[Último pagto ano]])*29,"mmmm")</f>
        <v>junho</v>
      </c>
    </row>
    <row r="7356" spans="1:9" x14ac:dyDescent="0.25">
      <c r="A7356">
        <v>2025</v>
      </c>
      <c r="B7356" t="s">
        <v>14643</v>
      </c>
      <c r="C7356" s="1">
        <v>45754</v>
      </c>
      <c r="D7356" t="s">
        <v>14644</v>
      </c>
      <c r="E7356" s="2">
        <v>2951.01</v>
      </c>
      <c r="G7356" s="3">
        <f>MONTH(Tabela1[[#This Row],[Último pagto ano]])</f>
        <v>4</v>
      </c>
      <c r="H7356" t="str">
        <f>TEXT(Tabela1[[#This Row],[Coluna2]]*29,"mmmm")</f>
        <v>abril</v>
      </c>
      <c r="I7356" t="str">
        <f>TEXT(MONTH(Tabela1[[#This Row],[Último pagto ano]])*29,"mmmm")</f>
        <v>abril</v>
      </c>
    </row>
    <row r="7357" spans="1:9" x14ac:dyDescent="0.25">
      <c r="A7357">
        <v>2025</v>
      </c>
      <c r="B7357" t="s">
        <v>14645</v>
      </c>
      <c r="C7357" s="1">
        <v>45959</v>
      </c>
      <c r="D7357" t="s">
        <v>14646</v>
      </c>
      <c r="E7357" s="2">
        <v>44411</v>
      </c>
      <c r="G7357" s="3">
        <f>MONTH(Tabela1[[#This Row],[Último pagto ano]])</f>
        <v>10</v>
      </c>
      <c r="H7357" t="str">
        <f>TEXT(Tabela1[[#This Row],[Coluna2]]*29,"mmmm")</f>
        <v>outubro</v>
      </c>
      <c r="I7357" t="str">
        <f>TEXT(MONTH(Tabela1[[#This Row],[Último pagto ano]])*29,"mmmm")</f>
        <v>outubro</v>
      </c>
    </row>
    <row r="7358" spans="1:9" x14ac:dyDescent="0.25">
      <c r="A7358">
        <v>2025</v>
      </c>
      <c r="B7358" t="s">
        <v>14647</v>
      </c>
      <c r="C7358" s="1">
        <v>46006</v>
      </c>
      <c r="D7358" t="s">
        <v>14648</v>
      </c>
      <c r="E7358" s="2">
        <v>19594.04</v>
      </c>
      <c r="G7358" s="3">
        <f>MONTH(Tabela1[[#This Row],[Último pagto ano]])</f>
        <v>12</v>
      </c>
      <c r="H7358" t="str">
        <f>TEXT(Tabela1[[#This Row],[Coluna2]]*29,"mmmm")</f>
        <v>dezembro</v>
      </c>
      <c r="I7358" t="str">
        <f>TEXT(MONTH(Tabela1[[#This Row],[Último pagto ano]])*29,"mmmm")</f>
        <v>dezembro</v>
      </c>
    </row>
    <row r="7359" spans="1:9" x14ac:dyDescent="0.25">
      <c r="A7359">
        <v>2025</v>
      </c>
      <c r="B7359" t="s">
        <v>14649</v>
      </c>
      <c r="C7359" s="1">
        <v>45945</v>
      </c>
      <c r="D7359" t="s">
        <v>14650</v>
      </c>
      <c r="E7359" s="2">
        <v>5883.36</v>
      </c>
      <c r="G7359" s="3">
        <f>MONTH(Tabela1[[#This Row],[Último pagto ano]])</f>
        <v>10</v>
      </c>
      <c r="H7359" t="str">
        <f>TEXT(Tabela1[[#This Row],[Coluna2]]*29,"mmmm")</f>
        <v>outubro</v>
      </c>
      <c r="I7359" t="str">
        <f>TEXT(MONTH(Tabela1[[#This Row],[Último pagto ano]])*29,"mmmm")</f>
        <v>outubro</v>
      </c>
    </row>
    <row r="7360" spans="1:9" x14ac:dyDescent="0.25">
      <c r="A7360">
        <v>2025</v>
      </c>
      <c r="B7360" t="s">
        <v>14651</v>
      </c>
      <c r="C7360" s="1">
        <v>46003</v>
      </c>
      <c r="D7360" t="s">
        <v>14652</v>
      </c>
      <c r="E7360" s="2">
        <v>21100.04</v>
      </c>
      <c r="G7360" s="3">
        <f>MONTH(Tabela1[[#This Row],[Último pagto ano]])</f>
        <v>12</v>
      </c>
      <c r="H7360" t="str">
        <f>TEXT(Tabela1[[#This Row],[Coluna2]]*29,"mmmm")</f>
        <v>dezembro</v>
      </c>
      <c r="I7360" t="str">
        <f>TEXT(MONTH(Tabela1[[#This Row],[Último pagto ano]])*29,"mmmm")</f>
        <v>dezembro</v>
      </c>
    </row>
    <row r="7361" spans="1:9" x14ac:dyDescent="0.25">
      <c r="A7361">
        <v>2025</v>
      </c>
      <c r="B7361" t="s">
        <v>14653</v>
      </c>
      <c r="C7361" s="1">
        <v>45922</v>
      </c>
      <c r="D7361" t="s">
        <v>14654</v>
      </c>
      <c r="E7361">
        <v>960</v>
      </c>
      <c r="G7361" s="3">
        <f>MONTH(Tabela1[[#This Row],[Último pagto ano]])</f>
        <v>9</v>
      </c>
      <c r="H7361" t="str">
        <f>TEXT(Tabela1[[#This Row],[Coluna2]]*29,"mmmm")</f>
        <v>setembro</v>
      </c>
      <c r="I7361" t="str">
        <f>TEXT(MONTH(Tabela1[[#This Row],[Último pagto ano]])*29,"mmmm")</f>
        <v>setembro</v>
      </c>
    </row>
    <row r="7362" spans="1:9" x14ac:dyDescent="0.25">
      <c r="A7362">
        <v>2025</v>
      </c>
      <c r="B7362" t="s">
        <v>14655</v>
      </c>
      <c r="C7362" s="1">
        <v>45918</v>
      </c>
      <c r="D7362" t="s">
        <v>14656</v>
      </c>
      <c r="E7362">
        <v>480</v>
      </c>
      <c r="G7362" s="3">
        <f>MONTH(Tabela1[[#This Row],[Último pagto ano]])</f>
        <v>9</v>
      </c>
      <c r="H7362" t="str">
        <f>TEXT(Tabela1[[#This Row],[Coluna2]]*29,"mmmm")</f>
        <v>setembro</v>
      </c>
      <c r="I7362" t="str">
        <f>TEXT(MONTH(Tabela1[[#This Row],[Último pagto ano]])*29,"mmmm")</f>
        <v>setembro</v>
      </c>
    </row>
    <row r="7363" spans="1:9" x14ac:dyDescent="0.25">
      <c r="A7363">
        <v>2025</v>
      </c>
      <c r="B7363" t="s">
        <v>14657</v>
      </c>
      <c r="C7363" s="1">
        <v>45887</v>
      </c>
      <c r="D7363" t="s">
        <v>14658</v>
      </c>
      <c r="E7363" s="2">
        <v>1320</v>
      </c>
      <c r="G7363" s="3">
        <f>MONTH(Tabela1[[#This Row],[Último pagto ano]])</f>
        <v>8</v>
      </c>
      <c r="H7363" t="str">
        <f>TEXT(Tabela1[[#This Row],[Coluna2]]*29,"mmmm")</f>
        <v>agosto</v>
      </c>
      <c r="I7363" t="str">
        <f>TEXT(MONTH(Tabela1[[#This Row],[Último pagto ano]])*29,"mmmm")</f>
        <v>agosto</v>
      </c>
    </row>
    <row r="7364" spans="1:9" x14ac:dyDescent="0.25">
      <c r="A7364">
        <v>2025</v>
      </c>
      <c r="B7364" t="s">
        <v>14659</v>
      </c>
      <c r="C7364" s="1">
        <v>46006</v>
      </c>
      <c r="D7364" t="s">
        <v>14660</v>
      </c>
      <c r="E7364" s="2">
        <v>2369.2800000000002</v>
      </c>
      <c r="G7364" s="3">
        <f>MONTH(Tabela1[[#This Row],[Último pagto ano]])</f>
        <v>12</v>
      </c>
      <c r="H7364" t="str">
        <f>TEXT(Tabela1[[#This Row],[Coluna2]]*29,"mmmm")</f>
        <v>dezembro</v>
      </c>
      <c r="I7364" t="str">
        <f>TEXT(MONTH(Tabela1[[#This Row],[Último pagto ano]])*29,"mmmm")</f>
        <v>dezembro</v>
      </c>
    </row>
    <row r="7365" spans="1:9" x14ac:dyDescent="0.25">
      <c r="A7365">
        <v>2025</v>
      </c>
      <c r="B7365" t="s">
        <v>14661</v>
      </c>
      <c r="C7365" s="1">
        <v>45817</v>
      </c>
      <c r="D7365" t="s">
        <v>14662</v>
      </c>
      <c r="E7365">
        <v>11</v>
      </c>
      <c r="G7365" s="3">
        <f>MONTH(Tabela1[[#This Row],[Último pagto ano]])</f>
        <v>6</v>
      </c>
      <c r="H7365" t="str">
        <f>TEXT(Tabela1[[#This Row],[Coluna2]]*29,"mmmm")</f>
        <v>junho</v>
      </c>
      <c r="I7365" t="str">
        <f>TEXT(MONTH(Tabela1[[#This Row],[Último pagto ano]])*29,"mmmm")</f>
        <v>junho</v>
      </c>
    </row>
    <row r="7366" spans="1:9" x14ac:dyDescent="0.25">
      <c r="A7366">
        <v>2025</v>
      </c>
      <c r="B7366" t="s">
        <v>14663</v>
      </c>
      <c r="C7366" s="1">
        <v>45978</v>
      </c>
      <c r="D7366" t="s">
        <v>14664</v>
      </c>
      <c r="E7366" s="2">
        <v>5677.54</v>
      </c>
      <c r="G7366" s="3">
        <f>MONTH(Tabela1[[#This Row],[Último pagto ano]])</f>
        <v>11</v>
      </c>
      <c r="H7366" t="str">
        <f>TEXT(Tabela1[[#This Row],[Coluna2]]*29,"mmmm")</f>
        <v>novembro</v>
      </c>
      <c r="I7366" t="str">
        <f>TEXT(MONTH(Tabela1[[#This Row],[Último pagto ano]])*29,"mmmm")</f>
        <v>novembro</v>
      </c>
    </row>
    <row r="7367" spans="1:9" x14ac:dyDescent="0.25">
      <c r="A7367">
        <v>2025</v>
      </c>
      <c r="B7367" t="s">
        <v>14665</v>
      </c>
      <c r="C7367" s="1">
        <v>46006</v>
      </c>
      <c r="D7367" t="s">
        <v>14666</v>
      </c>
      <c r="E7367" s="2">
        <v>11392.16</v>
      </c>
      <c r="G7367" s="3">
        <f>MONTH(Tabela1[[#This Row],[Último pagto ano]])</f>
        <v>12</v>
      </c>
      <c r="H7367" t="str">
        <f>TEXT(Tabela1[[#This Row],[Coluna2]]*29,"mmmm")</f>
        <v>dezembro</v>
      </c>
      <c r="I7367" t="str">
        <f>TEXT(MONTH(Tabela1[[#This Row],[Último pagto ano]])*29,"mmmm")</f>
        <v>dezembro</v>
      </c>
    </row>
    <row r="7368" spans="1:9" x14ac:dyDescent="0.25">
      <c r="A7368">
        <v>2025</v>
      </c>
      <c r="B7368" t="s">
        <v>14667</v>
      </c>
      <c r="C7368" s="1">
        <v>45681</v>
      </c>
      <c r="D7368" t="s">
        <v>14668</v>
      </c>
      <c r="E7368">
        <v>700</v>
      </c>
      <c r="G7368" s="3">
        <f>MONTH(Tabela1[[#This Row],[Último pagto ano]])</f>
        <v>1</v>
      </c>
      <c r="H7368" t="str">
        <f>TEXT(Tabela1[[#This Row],[Coluna2]]*29,"mmmm")</f>
        <v>janeiro</v>
      </c>
      <c r="I7368" t="str">
        <f>TEXT(MONTH(Tabela1[[#This Row],[Último pagto ano]])*29,"mmmm")</f>
        <v>janeiro</v>
      </c>
    </row>
    <row r="7369" spans="1:9" x14ac:dyDescent="0.25">
      <c r="A7369">
        <v>2025</v>
      </c>
      <c r="B7369" t="s">
        <v>14669</v>
      </c>
      <c r="C7369" s="1">
        <v>45702</v>
      </c>
      <c r="D7369" t="s">
        <v>14670</v>
      </c>
      <c r="E7369">
        <v>49.52</v>
      </c>
      <c r="G7369" s="3">
        <f>MONTH(Tabela1[[#This Row],[Último pagto ano]])</f>
        <v>2</v>
      </c>
      <c r="H7369" t="str">
        <f>TEXT(Tabela1[[#This Row],[Coluna2]]*29,"mmmm")</f>
        <v>fevereiro</v>
      </c>
      <c r="I7369" t="str">
        <f>TEXT(MONTH(Tabela1[[#This Row],[Último pagto ano]])*29,"mmmm")</f>
        <v>fevereiro</v>
      </c>
    </row>
    <row r="7370" spans="1:9" x14ac:dyDescent="0.25">
      <c r="A7370">
        <v>2025</v>
      </c>
      <c r="B7370" t="s">
        <v>14671</v>
      </c>
      <c r="C7370" s="1">
        <v>45950</v>
      </c>
      <c r="D7370" t="s">
        <v>14672</v>
      </c>
      <c r="E7370" s="2">
        <v>1800</v>
      </c>
      <c r="G7370" s="3">
        <f>MONTH(Tabela1[[#This Row],[Último pagto ano]])</f>
        <v>10</v>
      </c>
      <c r="H7370" t="str">
        <f>TEXT(Tabela1[[#This Row],[Coluna2]]*29,"mmmm")</f>
        <v>outubro</v>
      </c>
      <c r="I7370" t="str">
        <f>TEXT(MONTH(Tabela1[[#This Row],[Último pagto ano]])*29,"mmmm")</f>
        <v>outubro</v>
      </c>
    </row>
    <row r="7371" spans="1:9" x14ac:dyDescent="0.25">
      <c r="A7371">
        <v>2025</v>
      </c>
      <c r="B7371" t="s">
        <v>14673</v>
      </c>
      <c r="C7371" s="1">
        <v>45959</v>
      </c>
      <c r="D7371" t="s">
        <v>14674</v>
      </c>
      <c r="E7371" s="2">
        <v>10000</v>
      </c>
      <c r="G7371" s="3">
        <f>MONTH(Tabela1[[#This Row],[Último pagto ano]])</f>
        <v>10</v>
      </c>
      <c r="H7371" t="str">
        <f>TEXT(Tabela1[[#This Row],[Coluna2]]*29,"mmmm")</f>
        <v>outubro</v>
      </c>
      <c r="I7371" t="str">
        <f>TEXT(MONTH(Tabela1[[#This Row],[Último pagto ano]])*29,"mmmm")</f>
        <v>outubro</v>
      </c>
    </row>
    <row r="7372" spans="1:9" x14ac:dyDescent="0.25">
      <c r="A7372">
        <v>2025</v>
      </c>
      <c r="B7372" t="s">
        <v>14675</v>
      </c>
      <c r="C7372" s="1">
        <v>45996</v>
      </c>
      <c r="D7372" t="s">
        <v>14676</v>
      </c>
      <c r="E7372" s="2">
        <v>60000</v>
      </c>
      <c r="G7372" s="3">
        <f>MONTH(Tabela1[[#This Row],[Último pagto ano]])</f>
        <v>12</v>
      </c>
      <c r="H7372" t="str">
        <f>TEXT(Tabela1[[#This Row],[Coluna2]]*29,"mmmm")</f>
        <v>dezembro</v>
      </c>
      <c r="I7372" t="str">
        <f>TEXT(MONTH(Tabela1[[#This Row],[Último pagto ano]])*29,"mmmm")</f>
        <v>dezembro</v>
      </c>
    </row>
    <row r="7373" spans="1:9" x14ac:dyDescent="0.25">
      <c r="A7373">
        <v>2025</v>
      </c>
      <c r="B7373" t="s">
        <v>14677</v>
      </c>
      <c r="C7373" s="1">
        <v>46013</v>
      </c>
      <c r="D7373" t="s">
        <v>14678</v>
      </c>
      <c r="E7373" s="2">
        <v>14310</v>
      </c>
      <c r="G7373" s="3">
        <f>MONTH(Tabela1[[#This Row],[Último pagto ano]])</f>
        <v>12</v>
      </c>
      <c r="H7373" t="str">
        <f>TEXT(Tabela1[[#This Row],[Coluna2]]*29,"mmmm")</f>
        <v>dezembro</v>
      </c>
      <c r="I7373" t="str">
        <f>TEXT(MONTH(Tabela1[[#This Row],[Último pagto ano]])*29,"mmmm")</f>
        <v>dezembro</v>
      </c>
    </row>
    <row r="7374" spans="1:9" x14ac:dyDescent="0.25">
      <c r="A7374">
        <v>2025</v>
      </c>
      <c r="B7374" t="s">
        <v>14679</v>
      </c>
      <c r="C7374" s="1">
        <v>45814</v>
      </c>
      <c r="D7374" t="s">
        <v>14680</v>
      </c>
      <c r="E7374" s="2">
        <v>35960</v>
      </c>
      <c r="G7374" s="3">
        <f>MONTH(Tabela1[[#This Row],[Último pagto ano]])</f>
        <v>6</v>
      </c>
      <c r="H7374" t="str">
        <f>TEXT(Tabela1[[#This Row],[Coluna2]]*29,"mmmm")</f>
        <v>junho</v>
      </c>
      <c r="I7374" t="str">
        <f>TEXT(MONTH(Tabela1[[#This Row],[Último pagto ano]])*29,"mmmm")</f>
        <v>junho</v>
      </c>
    </row>
    <row r="7375" spans="1:9" x14ac:dyDescent="0.25">
      <c r="A7375">
        <v>2025</v>
      </c>
      <c r="B7375" t="s">
        <v>14681</v>
      </c>
      <c r="C7375" s="1">
        <v>45673</v>
      </c>
      <c r="D7375" t="s">
        <v>14682</v>
      </c>
      <c r="E7375" s="2">
        <v>1500</v>
      </c>
      <c r="G7375" s="3">
        <f>MONTH(Tabela1[[#This Row],[Último pagto ano]])</f>
        <v>1</v>
      </c>
      <c r="H7375" t="str">
        <f>TEXT(Tabela1[[#This Row],[Coluna2]]*29,"mmmm")</f>
        <v>janeiro</v>
      </c>
      <c r="I7375" t="str">
        <f>TEXT(MONTH(Tabela1[[#This Row],[Último pagto ano]])*29,"mmmm")</f>
        <v>janeiro</v>
      </c>
    </row>
    <row r="7376" spans="1:9" x14ac:dyDescent="0.25">
      <c r="A7376">
        <v>2025</v>
      </c>
      <c r="B7376" t="s">
        <v>14683</v>
      </c>
      <c r="C7376" s="1">
        <v>46014</v>
      </c>
      <c r="D7376" t="s">
        <v>14684</v>
      </c>
      <c r="E7376" s="2">
        <v>566683</v>
      </c>
      <c r="G7376" s="3">
        <f>MONTH(Tabela1[[#This Row],[Último pagto ano]])</f>
        <v>12</v>
      </c>
      <c r="H7376" t="str">
        <f>TEXT(Tabela1[[#This Row],[Coluna2]]*29,"mmmm")</f>
        <v>dezembro</v>
      </c>
      <c r="I7376" t="str">
        <f>TEXT(MONTH(Tabela1[[#This Row],[Último pagto ano]])*29,"mmmm")</f>
        <v>dezembro</v>
      </c>
    </row>
    <row r="7377" spans="1:9" x14ac:dyDescent="0.25">
      <c r="A7377">
        <v>2025</v>
      </c>
      <c r="B7377" t="s">
        <v>14685</v>
      </c>
      <c r="C7377" s="1">
        <v>45754</v>
      </c>
      <c r="D7377" t="s">
        <v>14686</v>
      </c>
      <c r="E7377">
        <v>11</v>
      </c>
      <c r="G7377" s="3">
        <f>MONTH(Tabela1[[#This Row],[Último pagto ano]])</f>
        <v>4</v>
      </c>
      <c r="H7377" t="str">
        <f>TEXT(Tabela1[[#This Row],[Coluna2]]*29,"mmmm")</f>
        <v>abril</v>
      </c>
      <c r="I7377" t="str">
        <f>TEXT(MONTH(Tabela1[[#This Row],[Último pagto ano]])*29,"mmmm")</f>
        <v>abril</v>
      </c>
    </row>
    <row r="7378" spans="1:9" x14ac:dyDescent="0.25">
      <c r="A7378">
        <v>2025</v>
      </c>
      <c r="B7378" t="s">
        <v>14687</v>
      </c>
      <c r="C7378" s="1">
        <v>45835</v>
      </c>
      <c r="D7378" t="s">
        <v>14688</v>
      </c>
      <c r="E7378">
        <v>22</v>
      </c>
      <c r="G7378" s="3">
        <f>MONTH(Tabela1[[#This Row],[Último pagto ano]])</f>
        <v>6</v>
      </c>
      <c r="H7378" t="str">
        <f>TEXT(Tabela1[[#This Row],[Coluna2]]*29,"mmmm")</f>
        <v>junho</v>
      </c>
      <c r="I7378" t="str">
        <f>TEXT(MONTH(Tabela1[[#This Row],[Último pagto ano]])*29,"mmmm")</f>
        <v>junho</v>
      </c>
    </row>
    <row r="7379" spans="1:9" x14ac:dyDescent="0.25">
      <c r="A7379">
        <v>2025</v>
      </c>
      <c r="B7379" t="s">
        <v>14689</v>
      </c>
      <c r="C7379" s="1">
        <v>46010</v>
      </c>
      <c r="D7379" t="s">
        <v>14690</v>
      </c>
      <c r="E7379" s="2">
        <v>4900</v>
      </c>
      <c r="G7379" s="3">
        <f>MONTH(Tabela1[[#This Row],[Último pagto ano]])</f>
        <v>12</v>
      </c>
      <c r="H7379" t="str">
        <f>TEXT(Tabela1[[#This Row],[Coluna2]]*29,"mmmm")</f>
        <v>dezembro</v>
      </c>
      <c r="I7379" t="str">
        <f>TEXT(MONTH(Tabela1[[#This Row],[Último pagto ano]])*29,"mmmm")</f>
        <v>dezembro</v>
      </c>
    </row>
    <row r="7380" spans="1:9" x14ac:dyDescent="0.25">
      <c r="A7380">
        <v>2025</v>
      </c>
      <c r="B7380" t="s">
        <v>14691</v>
      </c>
      <c r="C7380" s="1">
        <v>45705</v>
      </c>
      <c r="D7380" t="s">
        <v>14692</v>
      </c>
      <c r="E7380">
        <v>296.16000000000003</v>
      </c>
      <c r="G7380" s="3">
        <f>MONTH(Tabela1[[#This Row],[Último pagto ano]])</f>
        <v>2</v>
      </c>
      <c r="H7380" t="str">
        <f>TEXT(Tabela1[[#This Row],[Coluna2]]*29,"mmmm")</f>
        <v>fevereiro</v>
      </c>
      <c r="I7380" t="str">
        <f>TEXT(MONTH(Tabela1[[#This Row],[Último pagto ano]])*29,"mmmm")</f>
        <v>fevereiro</v>
      </c>
    </row>
    <row r="7381" spans="1:9" x14ac:dyDescent="0.25">
      <c r="A7381">
        <v>2025</v>
      </c>
      <c r="B7381" t="s">
        <v>14693</v>
      </c>
      <c r="C7381" s="1">
        <v>46013</v>
      </c>
      <c r="D7381" t="s">
        <v>14694</v>
      </c>
      <c r="E7381" s="2">
        <v>11552.4</v>
      </c>
      <c r="G7381" s="3">
        <f>MONTH(Tabela1[[#This Row],[Último pagto ano]])</f>
        <v>12</v>
      </c>
      <c r="H7381" t="str">
        <f>TEXT(Tabela1[[#This Row],[Coluna2]]*29,"mmmm")</f>
        <v>dezembro</v>
      </c>
      <c r="I7381" t="str">
        <f>TEXT(MONTH(Tabela1[[#This Row],[Último pagto ano]])*29,"mmmm")</f>
        <v>dezembro</v>
      </c>
    </row>
    <row r="7382" spans="1:9" x14ac:dyDescent="0.25">
      <c r="A7382">
        <v>2025</v>
      </c>
      <c r="B7382" t="s">
        <v>14695</v>
      </c>
      <c r="C7382" s="1">
        <v>45996</v>
      </c>
      <c r="D7382" t="s">
        <v>14696</v>
      </c>
      <c r="E7382" s="2">
        <v>32400</v>
      </c>
      <c r="G7382" s="3">
        <f>MONTH(Tabela1[[#This Row],[Último pagto ano]])</f>
        <v>12</v>
      </c>
      <c r="H7382" t="str">
        <f>TEXT(Tabela1[[#This Row],[Coluna2]]*29,"mmmm")</f>
        <v>dezembro</v>
      </c>
      <c r="I7382" t="str">
        <f>TEXT(MONTH(Tabela1[[#This Row],[Último pagto ano]])*29,"mmmm")</f>
        <v>dezembro</v>
      </c>
    </row>
    <row r="7383" spans="1:9" x14ac:dyDescent="0.25">
      <c r="A7383">
        <v>2025</v>
      </c>
      <c r="B7383" t="s">
        <v>14697</v>
      </c>
      <c r="C7383" s="1">
        <v>45945</v>
      </c>
      <c r="D7383" t="s">
        <v>14698</v>
      </c>
      <c r="E7383" s="2">
        <v>3850.08</v>
      </c>
      <c r="G7383" s="3">
        <f>MONTH(Tabela1[[#This Row],[Último pagto ano]])</f>
        <v>10</v>
      </c>
      <c r="H7383" t="str">
        <f>TEXT(Tabela1[[#This Row],[Coluna2]]*29,"mmmm")</f>
        <v>outubro</v>
      </c>
      <c r="I7383" t="str">
        <f>TEXT(MONTH(Tabela1[[#This Row],[Último pagto ano]])*29,"mmmm")</f>
        <v>outubro</v>
      </c>
    </row>
    <row r="7384" spans="1:9" x14ac:dyDescent="0.25">
      <c r="A7384">
        <v>2025</v>
      </c>
      <c r="B7384" t="s">
        <v>14699</v>
      </c>
      <c r="C7384" s="1">
        <v>45824</v>
      </c>
      <c r="D7384" t="s">
        <v>14700</v>
      </c>
      <c r="E7384" s="2">
        <v>1193.95</v>
      </c>
      <c r="G7384" s="3">
        <f>MONTH(Tabela1[[#This Row],[Último pagto ano]])</f>
        <v>6</v>
      </c>
      <c r="H7384" t="str">
        <f>TEXT(Tabela1[[#This Row],[Coluna2]]*29,"mmmm")</f>
        <v>junho</v>
      </c>
      <c r="I7384" t="str">
        <f>TEXT(MONTH(Tabela1[[#This Row],[Último pagto ano]])*29,"mmmm")</f>
        <v>junho</v>
      </c>
    </row>
    <row r="7385" spans="1:9" x14ac:dyDescent="0.25">
      <c r="A7385">
        <v>2025</v>
      </c>
      <c r="B7385" t="s">
        <v>14701</v>
      </c>
      <c r="C7385" s="1">
        <v>45926</v>
      </c>
      <c r="D7385" t="s">
        <v>14702</v>
      </c>
      <c r="E7385" s="2">
        <v>4526.3500000000004</v>
      </c>
      <c r="G7385" s="3">
        <f>MONTH(Tabela1[[#This Row],[Último pagto ano]])</f>
        <v>9</v>
      </c>
      <c r="H7385" t="str">
        <f>TEXT(Tabela1[[#This Row],[Coluna2]]*29,"mmmm")</f>
        <v>setembro</v>
      </c>
      <c r="I7385" t="str">
        <f>TEXT(MONTH(Tabela1[[#This Row],[Último pagto ano]])*29,"mmmm")</f>
        <v>setembro</v>
      </c>
    </row>
    <row r="7386" spans="1:9" x14ac:dyDescent="0.25">
      <c r="A7386">
        <v>2025</v>
      </c>
      <c r="B7386" t="s">
        <v>14703</v>
      </c>
      <c r="C7386" s="1">
        <v>45681</v>
      </c>
      <c r="D7386" t="s">
        <v>14704</v>
      </c>
      <c r="E7386">
        <v>700</v>
      </c>
      <c r="G7386" s="3">
        <f>MONTH(Tabela1[[#This Row],[Último pagto ano]])</f>
        <v>1</v>
      </c>
      <c r="H7386" t="str">
        <f>TEXT(Tabela1[[#This Row],[Coluna2]]*29,"mmmm")</f>
        <v>janeiro</v>
      </c>
      <c r="I7386" t="str">
        <f>TEXT(MONTH(Tabela1[[#This Row],[Último pagto ano]])*29,"mmmm")</f>
        <v>janeiro</v>
      </c>
    </row>
    <row r="7387" spans="1:9" x14ac:dyDescent="0.25">
      <c r="A7387">
        <v>2025</v>
      </c>
      <c r="B7387" t="s">
        <v>14705</v>
      </c>
      <c r="C7387" s="1">
        <v>46006</v>
      </c>
      <c r="D7387" t="s">
        <v>14706</v>
      </c>
      <c r="E7387" s="2">
        <v>6662.88</v>
      </c>
      <c r="G7387" s="3">
        <f>MONTH(Tabela1[[#This Row],[Último pagto ano]])</f>
        <v>12</v>
      </c>
      <c r="H7387" t="str">
        <f>TEXT(Tabela1[[#This Row],[Coluna2]]*29,"mmmm")</f>
        <v>dezembro</v>
      </c>
      <c r="I7387" t="str">
        <f>TEXT(MONTH(Tabela1[[#This Row],[Último pagto ano]])*29,"mmmm")</f>
        <v>dezembro</v>
      </c>
    </row>
    <row r="7388" spans="1:9" x14ac:dyDescent="0.25">
      <c r="A7388">
        <v>2025</v>
      </c>
      <c r="B7388" t="s">
        <v>14707</v>
      </c>
      <c r="C7388" s="1">
        <v>45672</v>
      </c>
      <c r="D7388" t="s">
        <v>14708</v>
      </c>
      <c r="E7388" s="2">
        <v>1237.5999999999999</v>
      </c>
      <c r="G7388" s="3">
        <f>MONTH(Tabela1[[#This Row],[Último pagto ano]])</f>
        <v>1</v>
      </c>
      <c r="H7388" t="str">
        <f>TEXT(Tabela1[[#This Row],[Coluna2]]*29,"mmmm")</f>
        <v>janeiro</v>
      </c>
      <c r="I7388" t="str">
        <f>TEXT(MONTH(Tabela1[[#This Row],[Último pagto ano]])*29,"mmmm")</f>
        <v>janeiro</v>
      </c>
    </row>
    <row r="7389" spans="1:9" x14ac:dyDescent="0.25">
      <c r="A7389">
        <v>2025</v>
      </c>
      <c r="B7389" t="s">
        <v>14709</v>
      </c>
      <c r="C7389" s="1">
        <v>45996</v>
      </c>
      <c r="D7389" t="s">
        <v>14710</v>
      </c>
      <c r="E7389" s="2">
        <v>11000</v>
      </c>
      <c r="G7389" s="3">
        <f>MONTH(Tabela1[[#This Row],[Último pagto ano]])</f>
        <v>12</v>
      </c>
      <c r="H7389" t="str">
        <f>TEXT(Tabela1[[#This Row],[Coluna2]]*29,"mmmm")</f>
        <v>dezembro</v>
      </c>
      <c r="I7389" t="str">
        <f>TEXT(MONTH(Tabela1[[#This Row],[Último pagto ano]])*29,"mmmm")</f>
        <v>dezembro</v>
      </c>
    </row>
    <row r="7390" spans="1:9" x14ac:dyDescent="0.25">
      <c r="A7390">
        <v>2025</v>
      </c>
      <c r="B7390" t="s">
        <v>14711</v>
      </c>
      <c r="C7390" s="1">
        <v>45973</v>
      </c>
      <c r="D7390" t="s">
        <v>14712</v>
      </c>
      <c r="E7390">
        <v>120.05</v>
      </c>
      <c r="G7390" s="3">
        <f>MONTH(Tabela1[[#This Row],[Último pagto ano]])</f>
        <v>11</v>
      </c>
      <c r="H7390" t="str">
        <f>TEXT(Tabela1[[#This Row],[Coluna2]]*29,"mmmm")</f>
        <v>novembro</v>
      </c>
      <c r="I7390" t="str">
        <f>TEXT(MONTH(Tabela1[[#This Row],[Último pagto ano]])*29,"mmmm")</f>
        <v>novembro</v>
      </c>
    </row>
    <row r="7391" spans="1:9" x14ac:dyDescent="0.25">
      <c r="A7391">
        <v>2025</v>
      </c>
      <c r="B7391" t="s">
        <v>14713</v>
      </c>
      <c r="C7391" s="1">
        <v>45852</v>
      </c>
      <c r="D7391" t="s">
        <v>14714</v>
      </c>
      <c r="E7391" s="2">
        <v>26221.94</v>
      </c>
      <c r="G7391" s="3">
        <f>MONTH(Tabela1[[#This Row],[Último pagto ano]])</f>
        <v>7</v>
      </c>
      <c r="H7391" t="str">
        <f>TEXT(Tabela1[[#This Row],[Coluna2]]*29,"mmmm")</f>
        <v>julho</v>
      </c>
      <c r="I7391" t="str">
        <f>TEXT(MONTH(Tabela1[[#This Row],[Último pagto ano]])*29,"mmmm")</f>
        <v>julho</v>
      </c>
    </row>
    <row r="7392" spans="1:9" x14ac:dyDescent="0.25">
      <c r="A7392">
        <v>2025</v>
      </c>
      <c r="B7392" t="s">
        <v>14715</v>
      </c>
      <c r="C7392" s="1">
        <v>45672</v>
      </c>
      <c r="D7392" t="s">
        <v>14716</v>
      </c>
      <c r="E7392">
        <v>282.88</v>
      </c>
      <c r="G7392" s="3">
        <f>MONTH(Tabela1[[#This Row],[Último pagto ano]])</f>
        <v>1</v>
      </c>
      <c r="H7392" t="str">
        <f>TEXT(Tabela1[[#This Row],[Coluna2]]*29,"mmmm")</f>
        <v>janeiro</v>
      </c>
      <c r="I7392" t="str">
        <f>TEXT(MONTH(Tabela1[[#This Row],[Último pagto ano]])*29,"mmmm")</f>
        <v>janeiro</v>
      </c>
    </row>
    <row r="7393" spans="1:9" x14ac:dyDescent="0.25">
      <c r="A7393">
        <v>2025</v>
      </c>
      <c r="B7393" t="s">
        <v>14717</v>
      </c>
      <c r="C7393" s="1">
        <v>45915</v>
      </c>
      <c r="D7393" t="s">
        <v>14718</v>
      </c>
      <c r="E7393" s="2">
        <v>5600.48</v>
      </c>
      <c r="G7393" s="3">
        <f>MONTH(Tabela1[[#This Row],[Último pagto ano]])</f>
        <v>9</v>
      </c>
      <c r="H7393" t="str">
        <f>TEXT(Tabela1[[#This Row],[Coluna2]]*29,"mmmm")</f>
        <v>setembro</v>
      </c>
      <c r="I7393" t="str">
        <f>TEXT(MONTH(Tabela1[[#This Row],[Último pagto ano]])*29,"mmmm")</f>
        <v>setembro</v>
      </c>
    </row>
    <row r="7394" spans="1:9" x14ac:dyDescent="0.25">
      <c r="A7394">
        <v>2025</v>
      </c>
      <c r="B7394" t="s">
        <v>14719</v>
      </c>
      <c r="C7394" s="1">
        <v>45936</v>
      </c>
      <c r="D7394" t="s">
        <v>14720</v>
      </c>
      <c r="E7394">
        <v>88</v>
      </c>
      <c r="G7394" s="3">
        <f>MONTH(Tabela1[[#This Row],[Último pagto ano]])</f>
        <v>10</v>
      </c>
      <c r="H7394" t="str">
        <f>TEXT(Tabela1[[#This Row],[Coluna2]]*29,"mmmm")</f>
        <v>outubro</v>
      </c>
      <c r="I7394" t="str">
        <f>TEXT(MONTH(Tabela1[[#This Row],[Último pagto ano]])*29,"mmmm")</f>
        <v>outubro</v>
      </c>
    </row>
    <row r="7395" spans="1:9" x14ac:dyDescent="0.25">
      <c r="A7395">
        <v>2025</v>
      </c>
      <c r="B7395" t="s">
        <v>14721</v>
      </c>
      <c r="C7395" s="1">
        <v>45989</v>
      </c>
      <c r="D7395" t="s">
        <v>14722</v>
      </c>
      <c r="E7395" s="2">
        <v>50440.9</v>
      </c>
      <c r="G7395" s="3">
        <f>MONTH(Tabela1[[#This Row],[Último pagto ano]])</f>
        <v>11</v>
      </c>
      <c r="H7395" t="str">
        <f>TEXT(Tabela1[[#This Row],[Coluna2]]*29,"mmmm")</f>
        <v>novembro</v>
      </c>
      <c r="I7395" t="str">
        <f>TEXT(MONTH(Tabela1[[#This Row],[Último pagto ano]])*29,"mmmm")</f>
        <v>novembro</v>
      </c>
    </row>
    <row r="7396" spans="1:9" x14ac:dyDescent="0.25">
      <c r="A7396">
        <v>2025</v>
      </c>
      <c r="B7396" t="s">
        <v>14723</v>
      </c>
      <c r="C7396" s="1">
        <v>46010</v>
      </c>
      <c r="D7396" t="s">
        <v>14724</v>
      </c>
      <c r="E7396" s="2">
        <v>4200</v>
      </c>
      <c r="G7396" s="3">
        <f>MONTH(Tabela1[[#This Row],[Último pagto ano]])</f>
        <v>12</v>
      </c>
      <c r="H7396" t="str">
        <f>TEXT(Tabela1[[#This Row],[Coluna2]]*29,"mmmm")</f>
        <v>dezembro</v>
      </c>
      <c r="I7396" t="str">
        <f>TEXT(MONTH(Tabela1[[#This Row],[Último pagto ano]])*29,"mmmm")</f>
        <v>dezembro</v>
      </c>
    </row>
    <row r="7397" spans="1:9" x14ac:dyDescent="0.25">
      <c r="A7397">
        <v>2025</v>
      </c>
      <c r="B7397" t="s">
        <v>14725</v>
      </c>
      <c r="C7397" s="1">
        <v>46014</v>
      </c>
      <c r="D7397" t="s">
        <v>14726</v>
      </c>
      <c r="E7397">
        <v>990.58</v>
      </c>
      <c r="G7397" s="3">
        <f>MONTH(Tabela1[[#This Row],[Último pagto ano]])</f>
        <v>12</v>
      </c>
      <c r="H7397" t="str">
        <f>TEXT(Tabela1[[#This Row],[Coluna2]]*29,"mmmm")</f>
        <v>dezembro</v>
      </c>
      <c r="I7397" t="str">
        <f>TEXT(MONTH(Tabela1[[#This Row],[Último pagto ano]])*29,"mmmm")</f>
        <v>dezembro</v>
      </c>
    </row>
    <row r="7398" spans="1:9" x14ac:dyDescent="0.25">
      <c r="A7398">
        <v>2025</v>
      </c>
      <c r="B7398" t="s">
        <v>14727</v>
      </c>
      <c r="C7398" s="1">
        <v>46006</v>
      </c>
      <c r="D7398" t="s">
        <v>14728</v>
      </c>
      <c r="E7398" s="2">
        <v>17854.599999999999</v>
      </c>
      <c r="G7398" s="3">
        <f>MONTH(Tabela1[[#This Row],[Último pagto ano]])</f>
        <v>12</v>
      </c>
      <c r="H7398" t="str">
        <f>TEXT(Tabela1[[#This Row],[Coluna2]]*29,"mmmm")</f>
        <v>dezembro</v>
      </c>
      <c r="I7398" t="str">
        <f>TEXT(MONTH(Tabela1[[#This Row],[Último pagto ano]])*29,"mmmm")</f>
        <v>dezembro</v>
      </c>
    </row>
    <row r="7399" spans="1:9" x14ac:dyDescent="0.25">
      <c r="A7399">
        <v>2025</v>
      </c>
      <c r="B7399" t="s">
        <v>14729</v>
      </c>
      <c r="C7399" s="1">
        <v>45722</v>
      </c>
      <c r="D7399" t="s">
        <v>14730</v>
      </c>
      <c r="E7399" s="2">
        <v>3094</v>
      </c>
      <c r="G7399" s="3">
        <f>MONTH(Tabela1[[#This Row],[Último pagto ano]])</f>
        <v>3</v>
      </c>
      <c r="H7399" t="str">
        <f>TEXT(Tabela1[[#This Row],[Coluna2]]*29,"mmmm")</f>
        <v>março</v>
      </c>
      <c r="I7399" t="str">
        <f>TEXT(MONTH(Tabela1[[#This Row],[Último pagto ano]])*29,"mmmm")</f>
        <v>março</v>
      </c>
    </row>
    <row r="7400" spans="1:9" x14ac:dyDescent="0.25">
      <c r="A7400">
        <v>2025</v>
      </c>
      <c r="B7400" t="s">
        <v>14731</v>
      </c>
      <c r="C7400" s="1">
        <v>45740</v>
      </c>
      <c r="D7400" t="s">
        <v>14732</v>
      </c>
      <c r="E7400">
        <v>0.26</v>
      </c>
      <c r="G7400" s="3">
        <f>MONTH(Tabela1[[#This Row],[Último pagto ano]])</f>
        <v>3</v>
      </c>
      <c r="H7400" t="str">
        <f>TEXT(Tabela1[[#This Row],[Coluna2]]*29,"mmmm")</f>
        <v>março</v>
      </c>
      <c r="I7400" t="str">
        <f>TEXT(MONTH(Tabela1[[#This Row],[Último pagto ano]])*29,"mmmm")</f>
        <v>março</v>
      </c>
    </row>
    <row r="7401" spans="1:9" x14ac:dyDescent="0.25">
      <c r="A7401">
        <v>2025</v>
      </c>
      <c r="B7401" t="s">
        <v>14733</v>
      </c>
      <c r="C7401" s="1">
        <v>45975</v>
      </c>
      <c r="D7401" t="s">
        <v>14734</v>
      </c>
      <c r="E7401" s="2">
        <v>1665.72</v>
      </c>
      <c r="G7401" s="3">
        <f>MONTH(Tabela1[[#This Row],[Último pagto ano]])</f>
        <v>11</v>
      </c>
      <c r="H7401" t="str">
        <f>TEXT(Tabela1[[#This Row],[Coluna2]]*29,"mmmm")</f>
        <v>novembro</v>
      </c>
      <c r="I7401" t="str">
        <f>TEXT(MONTH(Tabela1[[#This Row],[Último pagto ano]])*29,"mmmm")</f>
        <v>novembro</v>
      </c>
    </row>
    <row r="7402" spans="1:9" x14ac:dyDescent="0.25">
      <c r="A7402">
        <v>2025</v>
      </c>
      <c r="B7402" t="s">
        <v>14735</v>
      </c>
      <c r="C7402" s="1">
        <v>46014</v>
      </c>
      <c r="D7402" t="s">
        <v>14736</v>
      </c>
      <c r="E7402">
        <v>5.0999999999999996</v>
      </c>
      <c r="G7402" s="3">
        <f>MONTH(Tabela1[[#This Row],[Último pagto ano]])</f>
        <v>12</v>
      </c>
      <c r="H7402" t="str">
        <f>TEXT(Tabela1[[#This Row],[Coluna2]]*29,"mmmm")</f>
        <v>dezembro</v>
      </c>
      <c r="I7402" t="str">
        <f>TEXT(MONTH(Tabela1[[#This Row],[Último pagto ano]])*29,"mmmm")</f>
        <v>dezembro</v>
      </c>
    </row>
    <row r="7403" spans="1:9" x14ac:dyDescent="0.25">
      <c r="A7403">
        <v>2025</v>
      </c>
      <c r="B7403" t="s">
        <v>14737</v>
      </c>
      <c r="C7403" s="1">
        <v>45842</v>
      </c>
      <c r="D7403" t="s">
        <v>14738</v>
      </c>
      <c r="E7403">
        <v>824.53</v>
      </c>
      <c r="G7403" s="3">
        <f>MONTH(Tabela1[[#This Row],[Último pagto ano]])</f>
        <v>7</v>
      </c>
      <c r="H7403" t="str">
        <f>TEXT(Tabela1[[#This Row],[Coluna2]]*29,"mmmm")</f>
        <v>julho</v>
      </c>
      <c r="I7403" t="str">
        <f>TEXT(MONTH(Tabela1[[#This Row],[Último pagto ano]])*29,"mmmm")</f>
        <v>julho</v>
      </c>
    </row>
    <row r="7404" spans="1:9" x14ac:dyDescent="0.25">
      <c r="A7404">
        <v>2025</v>
      </c>
      <c r="B7404" t="s">
        <v>14739</v>
      </c>
      <c r="C7404" s="1">
        <v>46010</v>
      </c>
      <c r="D7404" t="s">
        <v>14740</v>
      </c>
      <c r="E7404" s="2">
        <v>2800</v>
      </c>
      <c r="G7404" s="3">
        <f>MONTH(Tabela1[[#This Row],[Último pagto ano]])</f>
        <v>12</v>
      </c>
      <c r="H7404" t="str">
        <f>TEXT(Tabela1[[#This Row],[Coluna2]]*29,"mmmm")</f>
        <v>dezembro</v>
      </c>
      <c r="I7404" t="str">
        <f>TEXT(MONTH(Tabela1[[#This Row],[Último pagto ano]])*29,"mmmm")</f>
        <v>dezembro</v>
      </c>
    </row>
    <row r="7405" spans="1:9" x14ac:dyDescent="0.25">
      <c r="A7405">
        <v>2025</v>
      </c>
      <c r="B7405" t="s">
        <v>14741</v>
      </c>
      <c r="C7405" s="1">
        <v>45989</v>
      </c>
      <c r="D7405" t="s">
        <v>14742</v>
      </c>
      <c r="E7405" s="2">
        <v>3150.82</v>
      </c>
      <c r="G7405" s="3">
        <f>MONTH(Tabela1[[#This Row],[Último pagto ano]])</f>
        <v>11</v>
      </c>
      <c r="H7405" t="str">
        <f>TEXT(Tabela1[[#This Row],[Coluna2]]*29,"mmmm")</f>
        <v>novembro</v>
      </c>
      <c r="I7405" t="str">
        <f>TEXT(MONTH(Tabela1[[#This Row],[Último pagto ano]])*29,"mmmm")</f>
        <v>novembro</v>
      </c>
    </row>
    <row r="7406" spans="1:9" x14ac:dyDescent="0.25">
      <c r="A7406">
        <v>2025</v>
      </c>
      <c r="B7406" t="s">
        <v>14743</v>
      </c>
      <c r="C7406" s="1">
        <v>45971</v>
      </c>
      <c r="D7406" t="s">
        <v>14744</v>
      </c>
      <c r="E7406" s="2">
        <v>45400</v>
      </c>
      <c r="G7406" s="3">
        <f>MONTH(Tabela1[[#This Row],[Último pagto ano]])</f>
        <v>11</v>
      </c>
      <c r="H7406" t="str">
        <f>TEXT(Tabela1[[#This Row],[Coluna2]]*29,"mmmm")</f>
        <v>novembro</v>
      </c>
      <c r="I7406" t="str">
        <f>TEXT(MONTH(Tabela1[[#This Row],[Último pagto ano]])*29,"mmmm")</f>
        <v>novembro</v>
      </c>
    </row>
    <row r="7407" spans="1:9" x14ac:dyDescent="0.25">
      <c r="A7407">
        <v>2025</v>
      </c>
      <c r="B7407" t="s">
        <v>14745</v>
      </c>
      <c r="C7407" s="1">
        <v>45884</v>
      </c>
      <c r="D7407" t="s">
        <v>14746</v>
      </c>
      <c r="E7407" s="2">
        <v>3214.63</v>
      </c>
      <c r="G7407" s="3">
        <f>MONTH(Tabela1[[#This Row],[Último pagto ano]])</f>
        <v>8</v>
      </c>
      <c r="H7407" t="str">
        <f>TEXT(Tabela1[[#This Row],[Coluna2]]*29,"mmmm")</f>
        <v>agosto</v>
      </c>
      <c r="I7407" t="str">
        <f>TEXT(MONTH(Tabela1[[#This Row],[Último pagto ano]])*29,"mmmm")</f>
        <v>agosto</v>
      </c>
    </row>
    <row r="7408" spans="1:9" x14ac:dyDescent="0.25">
      <c r="A7408">
        <v>2025</v>
      </c>
      <c r="B7408" t="s">
        <v>14747</v>
      </c>
      <c r="C7408" s="1">
        <v>45996</v>
      </c>
      <c r="D7408" t="s">
        <v>14748</v>
      </c>
      <c r="E7408" s="2">
        <v>54000</v>
      </c>
      <c r="G7408" s="3">
        <f>MONTH(Tabela1[[#This Row],[Último pagto ano]])</f>
        <v>12</v>
      </c>
      <c r="H7408" t="str">
        <f>TEXT(Tabela1[[#This Row],[Coluna2]]*29,"mmmm")</f>
        <v>dezembro</v>
      </c>
      <c r="I7408" t="str">
        <f>TEXT(MONTH(Tabela1[[#This Row],[Último pagto ano]])*29,"mmmm")</f>
        <v>dezembro</v>
      </c>
    </row>
    <row r="7409" spans="1:9" x14ac:dyDescent="0.25">
      <c r="A7409">
        <v>2025</v>
      </c>
      <c r="B7409" t="s">
        <v>14749</v>
      </c>
      <c r="C7409" s="1">
        <v>45782</v>
      </c>
      <c r="D7409" t="s">
        <v>14750</v>
      </c>
      <c r="E7409">
        <v>9.0299999999999994</v>
      </c>
      <c r="G7409" s="3">
        <f>MONTH(Tabela1[[#This Row],[Último pagto ano]])</f>
        <v>5</v>
      </c>
      <c r="H7409" t="str">
        <f>TEXT(Tabela1[[#This Row],[Coluna2]]*29,"mmmm")</f>
        <v>maio</v>
      </c>
      <c r="I7409" t="str">
        <f>TEXT(MONTH(Tabela1[[#This Row],[Último pagto ano]])*29,"mmmm")</f>
        <v>maio</v>
      </c>
    </row>
    <row r="7410" spans="1:9" x14ac:dyDescent="0.25">
      <c r="A7410">
        <v>2025</v>
      </c>
      <c r="B7410" t="s">
        <v>14751</v>
      </c>
      <c r="C7410" s="1">
        <v>45996</v>
      </c>
      <c r="D7410" t="s">
        <v>14752</v>
      </c>
      <c r="E7410" s="2">
        <v>15000</v>
      </c>
      <c r="G7410" s="3">
        <f>MONTH(Tabela1[[#This Row],[Último pagto ano]])</f>
        <v>12</v>
      </c>
      <c r="H7410" t="str">
        <f>TEXT(Tabela1[[#This Row],[Coluna2]]*29,"mmmm")</f>
        <v>dezembro</v>
      </c>
      <c r="I7410" t="str">
        <f>TEXT(MONTH(Tabela1[[#This Row],[Último pagto ano]])*29,"mmmm")</f>
        <v>dezembro</v>
      </c>
    </row>
    <row r="7411" spans="1:9" x14ac:dyDescent="0.25">
      <c r="A7411">
        <v>2025</v>
      </c>
      <c r="B7411" t="s">
        <v>14753</v>
      </c>
      <c r="C7411" s="1">
        <v>45964</v>
      </c>
      <c r="D7411" t="s">
        <v>14754</v>
      </c>
      <c r="E7411">
        <v>77</v>
      </c>
      <c r="G7411" s="3">
        <f>MONTH(Tabela1[[#This Row],[Último pagto ano]])</f>
        <v>11</v>
      </c>
      <c r="H7411" t="str">
        <f>TEXT(Tabela1[[#This Row],[Coluna2]]*29,"mmmm")</f>
        <v>novembro</v>
      </c>
      <c r="I7411" t="str">
        <f>TEXT(MONTH(Tabela1[[#This Row],[Último pagto ano]])*29,"mmmm")</f>
        <v>novembro</v>
      </c>
    </row>
    <row r="7412" spans="1:9" x14ac:dyDescent="0.25">
      <c r="A7412">
        <v>2025</v>
      </c>
      <c r="B7412" t="s">
        <v>14755</v>
      </c>
      <c r="C7412" s="1">
        <v>45796</v>
      </c>
      <c r="D7412" t="s">
        <v>14756</v>
      </c>
      <c r="E7412" s="2">
        <v>11249.78</v>
      </c>
      <c r="G7412" s="3">
        <f>MONTH(Tabela1[[#This Row],[Último pagto ano]])</f>
        <v>5</v>
      </c>
      <c r="H7412" t="str">
        <f>TEXT(Tabela1[[#This Row],[Coluna2]]*29,"mmmm")</f>
        <v>maio</v>
      </c>
      <c r="I7412" t="str">
        <f>TEXT(MONTH(Tabela1[[#This Row],[Último pagto ano]])*29,"mmmm")</f>
        <v>maio</v>
      </c>
    </row>
    <row r="7413" spans="1:9" x14ac:dyDescent="0.25">
      <c r="A7413">
        <v>2025</v>
      </c>
      <c r="B7413" t="s">
        <v>14757</v>
      </c>
      <c r="C7413" s="1">
        <v>45702</v>
      </c>
      <c r="D7413" t="s">
        <v>14758</v>
      </c>
      <c r="E7413" s="2">
        <v>1214.29</v>
      </c>
      <c r="G7413" s="3">
        <f>MONTH(Tabela1[[#This Row],[Último pagto ano]])</f>
        <v>2</v>
      </c>
      <c r="H7413" t="str">
        <f>TEXT(Tabela1[[#This Row],[Coluna2]]*29,"mmmm")</f>
        <v>fevereiro</v>
      </c>
      <c r="I7413" t="str">
        <f>TEXT(MONTH(Tabela1[[#This Row],[Último pagto ano]])*29,"mmmm")</f>
        <v>fevereiro</v>
      </c>
    </row>
    <row r="7414" spans="1:9" x14ac:dyDescent="0.25">
      <c r="A7414">
        <v>2025</v>
      </c>
      <c r="B7414" t="s">
        <v>14759</v>
      </c>
      <c r="C7414" s="1">
        <v>45687</v>
      </c>
      <c r="D7414" t="s">
        <v>14760</v>
      </c>
      <c r="E7414" s="2">
        <v>1558.47</v>
      </c>
      <c r="G7414" s="3">
        <f>MONTH(Tabela1[[#This Row],[Último pagto ano]])</f>
        <v>1</v>
      </c>
      <c r="H7414" t="str">
        <f>TEXT(Tabela1[[#This Row],[Coluna2]]*29,"mmmm")</f>
        <v>janeiro</v>
      </c>
      <c r="I7414" t="str">
        <f>TEXT(MONTH(Tabela1[[#This Row],[Último pagto ano]])*29,"mmmm")</f>
        <v>janeiro</v>
      </c>
    </row>
    <row r="7415" spans="1:9" x14ac:dyDescent="0.25">
      <c r="A7415">
        <v>2025</v>
      </c>
      <c r="B7415" t="s">
        <v>14761</v>
      </c>
      <c r="C7415" s="1">
        <v>45995</v>
      </c>
      <c r="D7415" t="s">
        <v>14762</v>
      </c>
      <c r="E7415">
        <v>286</v>
      </c>
      <c r="G7415" s="3">
        <f>MONTH(Tabela1[[#This Row],[Último pagto ano]])</f>
        <v>12</v>
      </c>
      <c r="H7415" t="str">
        <f>TEXT(Tabela1[[#This Row],[Coluna2]]*29,"mmmm")</f>
        <v>dezembro</v>
      </c>
      <c r="I7415" t="str">
        <f>TEXT(MONTH(Tabela1[[#This Row],[Último pagto ano]])*29,"mmmm")</f>
        <v>dezembro</v>
      </c>
    </row>
    <row r="7416" spans="1:9" x14ac:dyDescent="0.25">
      <c r="A7416">
        <v>2025</v>
      </c>
      <c r="B7416" t="s">
        <v>14763</v>
      </c>
      <c r="C7416" s="1">
        <v>45936</v>
      </c>
      <c r="D7416" t="s">
        <v>14764</v>
      </c>
      <c r="E7416">
        <v>352</v>
      </c>
      <c r="G7416" s="3">
        <f>MONTH(Tabela1[[#This Row],[Último pagto ano]])</f>
        <v>10</v>
      </c>
      <c r="H7416" t="str">
        <f>TEXT(Tabela1[[#This Row],[Coluna2]]*29,"mmmm")</f>
        <v>outubro</v>
      </c>
      <c r="I7416" t="str">
        <f>TEXT(MONTH(Tabela1[[#This Row],[Último pagto ano]])*29,"mmmm")</f>
        <v>outubro</v>
      </c>
    </row>
    <row r="7417" spans="1:9" x14ac:dyDescent="0.25">
      <c r="A7417">
        <v>2025</v>
      </c>
      <c r="B7417" t="s">
        <v>14765</v>
      </c>
      <c r="C7417" s="1">
        <v>46014</v>
      </c>
      <c r="D7417" t="s">
        <v>14766</v>
      </c>
      <c r="E7417" s="2">
        <v>1880</v>
      </c>
      <c r="G7417" s="3">
        <f>MONTH(Tabela1[[#This Row],[Último pagto ano]])</f>
        <v>12</v>
      </c>
      <c r="H7417" t="str">
        <f>TEXT(Tabela1[[#This Row],[Coluna2]]*29,"mmmm")</f>
        <v>dezembro</v>
      </c>
      <c r="I7417" t="str">
        <f>TEXT(MONTH(Tabela1[[#This Row],[Último pagto ano]])*29,"mmmm")</f>
        <v>dezembro</v>
      </c>
    </row>
    <row r="7418" spans="1:9" x14ac:dyDescent="0.25">
      <c r="A7418">
        <v>2025</v>
      </c>
      <c r="B7418" t="s">
        <v>14767</v>
      </c>
      <c r="C7418" s="1">
        <v>46013</v>
      </c>
      <c r="D7418" t="s">
        <v>14768</v>
      </c>
      <c r="E7418" s="2">
        <v>5050.8</v>
      </c>
      <c r="G7418" s="3">
        <f>MONTH(Tabela1[[#This Row],[Último pagto ano]])</f>
        <v>12</v>
      </c>
      <c r="H7418" t="str">
        <f>TEXT(Tabela1[[#This Row],[Coluna2]]*29,"mmmm")</f>
        <v>dezembro</v>
      </c>
      <c r="I7418" t="str">
        <f>TEXT(MONTH(Tabela1[[#This Row],[Último pagto ano]])*29,"mmmm")</f>
        <v>dezembro</v>
      </c>
    </row>
    <row r="7419" spans="1:9" x14ac:dyDescent="0.25">
      <c r="A7419">
        <v>2025</v>
      </c>
      <c r="B7419" t="s">
        <v>14769</v>
      </c>
      <c r="C7419" s="1">
        <v>46010</v>
      </c>
      <c r="D7419" t="s">
        <v>14770</v>
      </c>
      <c r="E7419" s="2">
        <v>8400</v>
      </c>
      <c r="G7419" s="3">
        <f>MONTH(Tabela1[[#This Row],[Último pagto ano]])</f>
        <v>12</v>
      </c>
      <c r="H7419" t="str">
        <f>TEXT(Tabela1[[#This Row],[Coluna2]]*29,"mmmm")</f>
        <v>dezembro</v>
      </c>
      <c r="I7419" t="str">
        <f>TEXT(MONTH(Tabela1[[#This Row],[Último pagto ano]])*29,"mmmm")</f>
        <v>dezembro</v>
      </c>
    </row>
    <row r="7420" spans="1:9" x14ac:dyDescent="0.25">
      <c r="A7420">
        <v>2025</v>
      </c>
      <c r="B7420" t="s">
        <v>14771</v>
      </c>
      <c r="C7420" s="1">
        <v>45996</v>
      </c>
      <c r="D7420" t="s">
        <v>14772</v>
      </c>
      <c r="E7420" s="2">
        <v>10800</v>
      </c>
      <c r="G7420" s="3">
        <f>MONTH(Tabela1[[#This Row],[Último pagto ano]])</f>
        <v>12</v>
      </c>
      <c r="H7420" t="str">
        <f>TEXT(Tabela1[[#This Row],[Coluna2]]*29,"mmmm")</f>
        <v>dezembro</v>
      </c>
      <c r="I7420" t="str">
        <f>TEXT(MONTH(Tabela1[[#This Row],[Último pagto ano]])*29,"mmmm")</f>
        <v>dezembro</v>
      </c>
    </row>
    <row r="7421" spans="1:9" x14ac:dyDescent="0.25">
      <c r="A7421">
        <v>2025</v>
      </c>
      <c r="B7421" t="s">
        <v>14773</v>
      </c>
      <c r="C7421" s="1">
        <v>46010</v>
      </c>
      <c r="D7421" t="s">
        <v>14774</v>
      </c>
      <c r="E7421" s="2">
        <v>12000</v>
      </c>
      <c r="G7421" s="3">
        <f>MONTH(Tabela1[[#This Row],[Último pagto ano]])</f>
        <v>12</v>
      </c>
      <c r="H7421" t="str">
        <f>TEXT(Tabela1[[#This Row],[Coluna2]]*29,"mmmm")</f>
        <v>dezembro</v>
      </c>
      <c r="I7421" t="str">
        <f>TEXT(MONTH(Tabela1[[#This Row],[Último pagto ano]])*29,"mmmm")</f>
        <v>dezembro</v>
      </c>
    </row>
    <row r="7422" spans="1:9" x14ac:dyDescent="0.25">
      <c r="A7422">
        <v>2025</v>
      </c>
      <c r="B7422" t="s">
        <v>14775</v>
      </c>
      <c r="C7422" s="1">
        <v>45978</v>
      </c>
      <c r="D7422" t="s">
        <v>14776</v>
      </c>
      <c r="E7422">
        <v>11</v>
      </c>
      <c r="G7422" s="3">
        <f>MONTH(Tabela1[[#This Row],[Último pagto ano]])</f>
        <v>11</v>
      </c>
      <c r="H7422" t="str">
        <f>TEXT(Tabela1[[#This Row],[Coluna2]]*29,"mmmm")</f>
        <v>novembro</v>
      </c>
      <c r="I7422" t="str">
        <f>TEXT(MONTH(Tabela1[[#This Row],[Último pagto ano]])*29,"mmmm")</f>
        <v>novembro</v>
      </c>
    </row>
    <row r="7423" spans="1:9" x14ac:dyDescent="0.25">
      <c r="A7423">
        <v>2025</v>
      </c>
      <c r="B7423" t="s">
        <v>14777</v>
      </c>
      <c r="C7423" s="1">
        <v>45901</v>
      </c>
      <c r="D7423" t="s">
        <v>14778</v>
      </c>
      <c r="E7423">
        <v>374</v>
      </c>
      <c r="G7423" s="3">
        <f>MONTH(Tabela1[[#This Row],[Último pagto ano]])</f>
        <v>9</v>
      </c>
      <c r="H7423" t="str">
        <f>TEXT(Tabela1[[#This Row],[Coluna2]]*29,"mmmm")</f>
        <v>setembro</v>
      </c>
      <c r="I7423" t="str">
        <f>TEXT(MONTH(Tabela1[[#This Row],[Último pagto ano]])*29,"mmmm")</f>
        <v>setembro</v>
      </c>
    </row>
    <row r="7424" spans="1:9" x14ac:dyDescent="0.25">
      <c r="A7424">
        <v>2025</v>
      </c>
      <c r="B7424" t="s">
        <v>14779</v>
      </c>
      <c r="C7424" s="1">
        <v>45875</v>
      </c>
      <c r="D7424" t="s">
        <v>14780</v>
      </c>
      <c r="E7424" s="2">
        <v>1282.0899999999999</v>
      </c>
      <c r="G7424" s="3">
        <f>MONTH(Tabela1[[#This Row],[Último pagto ano]])</f>
        <v>8</v>
      </c>
      <c r="H7424" t="str">
        <f>TEXT(Tabela1[[#This Row],[Coluna2]]*29,"mmmm")</f>
        <v>agosto</v>
      </c>
      <c r="I7424" t="str">
        <f>TEXT(MONTH(Tabela1[[#This Row],[Último pagto ano]])*29,"mmmm")</f>
        <v>agosto</v>
      </c>
    </row>
    <row r="7425" spans="1:9" x14ac:dyDescent="0.25">
      <c r="A7425">
        <v>2025</v>
      </c>
      <c r="B7425" t="s">
        <v>14781</v>
      </c>
      <c r="C7425" s="1">
        <v>46006</v>
      </c>
      <c r="D7425" t="s">
        <v>14782</v>
      </c>
      <c r="E7425">
        <v>22</v>
      </c>
      <c r="G7425" s="3">
        <f>MONTH(Tabela1[[#This Row],[Último pagto ano]])</f>
        <v>12</v>
      </c>
      <c r="H7425" t="str">
        <f>TEXT(Tabela1[[#This Row],[Coluna2]]*29,"mmmm")</f>
        <v>dezembro</v>
      </c>
      <c r="I7425" t="str">
        <f>TEXT(MONTH(Tabela1[[#This Row],[Último pagto ano]])*29,"mmmm")</f>
        <v>dezembro</v>
      </c>
    </row>
    <row r="7426" spans="1:9" x14ac:dyDescent="0.25">
      <c r="A7426">
        <v>2025</v>
      </c>
      <c r="B7426" t="s">
        <v>14783</v>
      </c>
      <c r="C7426" s="1">
        <v>45712</v>
      </c>
      <c r="D7426" t="s">
        <v>14784</v>
      </c>
      <c r="E7426" s="2">
        <v>1400</v>
      </c>
      <c r="G7426" s="3">
        <f>MONTH(Tabela1[[#This Row],[Último pagto ano]])</f>
        <v>2</v>
      </c>
      <c r="H7426" t="str">
        <f>TEXT(Tabela1[[#This Row],[Coluna2]]*29,"mmmm")</f>
        <v>fevereiro</v>
      </c>
      <c r="I7426" t="str">
        <f>TEXT(MONTH(Tabela1[[#This Row],[Último pagto ano]])*29,"mmmm")</f>
        <v>fevereiro</v>
      </c>
    </row>
    <row r="7427" spans="1:9" x14ac:dyDescent="0.25">
      <c r="A7427">
        <v>2025</v>
      </c>
      <c r="B7427" t="s">
        <v>14785</v>
      </c>
      <c r="C7427" s="1">
        <v>45989</v>
      </c>
      <c r="D7427" t="s">
        <v>14786</v>
      </c>
      <c r="E7427" s="2">
        <v>11614.36</v>
      </c>
      <c r="G7427" s="3">
        <f>MONTH(Tabela1[[#This Row],[Último pagto ano]])</f>
        <v>11</v>
      </c>
      <c r="H7427" t="str">
        <f>TEXT(Tabela1[[#This Row],[Coluna2]]*29,"mmmm")</f>
        <v>novembro</v>
      </c>
      <c r="I7427" t="str">
        <f>TEXT(MONTH(Tabela1[[#This Row],[Último pagto ano]])*29,"mmmm")</f>
        <v>novembro</v>
      </c>
    </row>
    <row r="7428" spans="1:9" x14ac:dyDescent="0.25">
      <c r="A7428">
        <v>2025</v>
      </c>
      <c r="B7428" t="s">
        <v>14787</v>
      </c>
      <c r="C7428" s="1">
        <v>46014</v>
      </c>
      <c r="D7428" t="s">
        <v>14788</v>
      </c>
      <c r="E7428" s="2">
        <v>56400</v>
      </c>
      <c r="G7428" s="3">
        <f>MONTH(Tabela1[[#This Row],[Último pagto ano]])</f>
        <v>12</v>
      </c>
      <c r="H7428" t="str">
        <f>TEXT(Tabela1[[#This Row],[Coluna2]]*29,"mmmm")</f>
        <v>dezembro</v>
      </c>
      <c r="I7428" t="str">
        <f>TEXT(MONTH(Tabela1[[#This Row],[Último pagto ano]])*29,"mmmm")</f>
        <v>dezembro</v>
      </c>
    </row>
    <row r="7429" spans="1:9" x14ac:dyDescent="0.25">
      <c r="A7429">
        <v>2025</v>
      </c>
      <c r="B7429" t="s">
        <v>14789</v>
      </c>
      <c r="C7429" s="1">
        <v>45750</v>
      </c>
      <c r="D7429" t="s">
        <v>14790</v>
      </c>
      <c r="E7429">
        <v>274.58</v>
      </c>
      <c r="G7429" s="3">
        <f>MONTH(Tabela1[[#This Row],[Último pagto ano]])</f>
        <v>4</v>
      </c>
      <c r="H7429" t="str">
        <f>TEXT(Tabela1[[#This Row],[Coluna2]]*29,"mmmm")</f>
        <v>abril</v>
      </c>
      <c r="I7429" t="str">
        <f>TEXT(MONTH(Tabela1[[#This Row],[Último pagto ano]])*29,"mmmm")</f>
        <v>abril</v>
      </c>
    </row>
    <row r="7430" spans="1:9" x14ac:dyDescent="0.25">
      <c r="A7430">
        <v>2025</v>
      </c>
      <c r="B7430" t="s">
        <v>14791</v>
      </c>
      <c r="C7430" s="1">
        <v>45744</v>
      </c>
      <c r="D7430" t="s">
        <v>14792</v>
      </c>
      <c r="E7430" s="2">
        <v>158382.09</v>
      </c>
      <c r="G7430" s="3">
        <f>MONTH(Tabela1[[#This Row],[Último pagto ano]])</f>
        <v>3</v>
      </c>
      <c r="H7430" t="str">
        <f>TEXT(Tabela1[[#This Row],[Coluna2]]*29,"mmmm")</f>
        <v>março</v>
      </c>
      <c r="I7430" t="str">
        <f>TEXT(MONTH(Tabela1[[#This Row],[Último pagto ano]])*29,"mmmm")</f>
        <v>março</v>
      </c>
    </row>
    <row r="7431" spans="1:9" x14ac:dyDescent="0.25">
      <c r="A7431">
        <v>2025</v>
      </c>
      <c r="B7431" t="s">
        <v>14793</v>
      </c>
      <c r="C7431" s="1">
        <v>46014</v>
      </c>
      <c r="D7431" t="s">
        <v>14794</v>
      </c>
      <c r="E7431">
        <v>132</v>
      </c>
      <c r="G7431" s="3">
        <f>MONTH(Tabela1[[#This Row],[Último pagto ano]])</f>
        <v>12</v>
      </c>
      <c r="H7431" t="str">
        <f>TEXT(Tabela1[[#This Row],[Coluna2]]*29,"mmmm")</f>
        <v>dezembro</v>
      </c>
      <c r="I7431" t="str">
        <f>TEXT(MONTH(Tabela1[[#This Row],[Último pagto ano]])*29,"mmmm")</f>
        <v>dezembro</v>
      </c>
    </row>
    <row r="7432" spans="1:9" x14ac:dyDescent="0.25">
      <c r="A7432">
        <v>2025</v>
      </c>
      <c r="B7432" t="s">
        <v>14795</v>
      </c>
      <c r="C7432" s="1">
        <v>46013</v>
      </c>
      <c r="D7432" t="s">
        <v>14796</v>
      </c>
      <c r="E7432" s="2">
        <v>5087.7</v>
      </c>
      <c r="G7432" s="3">
        <f>MONTH(Tabela1[[#This Row],[Último pagto ano]])</f>
        <v>12</v>
      </c>
      <c r="H7432" t="str">
        <f>TEXT(Tabela1[[#This Row],[Coluna2]]*29,"mmmm")</f>
        <v>dezembro</v>
      </c>
      <c r="I7432" t="str">
        <f>TEXT(MONTH(Tabela1[[#This Row],[Último pagto ano]])*29,"mmmm")</f>
        <v>dezembro</v>
      </c>
    </row>
    <row r="7433" spans="1:9" x14ac:dyDescent="0.25">
      <c r="A7433">
        <v>2025</v>
      </c>
      <c r="B7433" t="s">
        <v>14797</v>
      </c>
      <c r="C7433" s="1">
        <v>45838</v>
      </c>
      <c r="D7433" t="s">
        <v>14798</v>
      </c>
      <c r="E7433">
        <v>11</v>
      </c>
      <c r="G7433" s="3">
        <f>MONTH(Tabela1[[#This Row],[Último pagto ano]])</f>
        <v>6</v>
      </c>
      <c r="H7433" t="str">
        <f>TEXT(Tabela1[[#This Row],[Coluna2]]*29,"mmmm")</f>
        <v>junho</v>
      </c>
      <c r="I7433" t="str">
        <f>TEXT(MONTH(Tabela1[[#This Row],[Último pagto ano]])*29,"mmmm")</f>
        <v>junho</v>
      </c>
    </row>
    <row r="7434" spans="1:9" x14ac:dyDescent="0.25">
      <c r="A7434">
        <v>2025</v>
      </c>
      <c r="B7434" t="s">
        <v>14799</v>
      </c>
      <c r="C7434" s="1">
        <v>45964</v>
      </c>
      <c r="D7434" t="s">
        <v>14800</v>
      </c>
      <c r="E7434" s="2">
        <v>1030</v>
      </c>
      <c r="G7434" s="3">
        <f>MONTH(Tabela1[[#This Row],[Último pagto ano]])</f>
        <v>11</v>
      </c>
      <c r="H7434" t="str">
        <f>TEXT(Tabela1[[#This Row],[Coluna2]]*29,"mmmm")</f>
        <v>novembro</v>
      </c>
      <c r="I7434" t="str">
        <f>TEXT(MONTH(Tabela1[[#This Row],[Último pagto ano]])*29,"mmmm")</f>
        <v>novembro</v>
      </c>
    </row>
    <row r="7435" spans="1:9" x14ac:dyDescent="0.25">
      <c r="A7435">
        <v>2025</v>
      </c>
      <c r="B7435" t="s">
        <v>14801</v>
      </c>
      <c r="C7435" s="1">
        <v>45784</v>
      </c>
      <c r="D7435" t="s">
        <v>14802</v>
      </c>
      <c r="E7435" s="2">
        <v>3678.61</v>
      </c>
      <c r="G7435" s="3">
        <f>MONTH(Tabela1[[#This Row],[Último pagto ano]])</f>
        <v>5</v>
      </c>
      <c r="H7435" t="str">
        <f>TEXT(Tabela1[[#This Row],[Coluna2]]*29,"mmmm")</f>
        <v>maio</v>
      </c>
      <c r="I7435" t="str">
        <f>TEXT(MONTH(Tabela1[[#This Row],[Último pagto ano]])*29,"mmmm")</f>
        <v>maio</v>
      </c>
    </row>
    <row r="7436" spans="1:9" x14ac:dyDescent="0.25">
      <c r="A7436">
        <v>2025</v>
      </c>
      <c r="B7436" t="s">
        <v>14803</v>
      </c>
      <c r="C7436" s="1">
        <v>45999</v>
      </c>
      <c r="D7436" t="s">
        <v>14804</v>
      </c>
      <c r="E7436">
        <v>22</v>
      </c>
      <c r="G7436" s="3">
        <f>MONTH(Tabela1[[#This Row],[Último pagto ano]])</f>
        <v>12</v>
      </c>
      <c r="H7436" t="str">
        <f>TEXT(Tabela1[[#This Row],[Coluna2]]*29,"mmmm")</f>
        <v>dezembro</v>
      </c>
      <c r="I7436" t="str">
        <f>TEXT(MONTH(Tabela1[[#This Row],[Último pagto ano]])*29,"mmmm")</f>
        <v>dezembro</v>
      </c>
    </row>
    <row r="7437" spans="1:9" x14ac:dyDescent="0.25">
      <c r="A7437">
        <v>2025</v>
      </c>
      <c r="B7437" t="s">
        <v>14805</v>
      </c>
      <c r="C7437" s="1">
        <v>45915</v>
      </c>
      <c r="D7437" t="s">
        <v>14806</v>
      </c>
      <c r="E7437">
        <v>300.2</v>
      </c>
      <c r="G7437" s="3">
        <f>MONTH(Tabela1[[#This Row],[Último pagto ano]])</f>
        <v>9</v>
      </c>
      <c r="H7437" t="str">
        <f>TEXT(Tabela1[[#This Row],[Coluna2]]*29,"mmmm")</f>
        <v>setembro</v>
      </c>
      <c r="I7437" t="str">
        <f>TEXT(MONTH(Tabela1[[#This Row],[Último pagto ano]])*29,"mmmm")</f>
        <v>setembro</v>
      </c>
    </row>
    <row r="7438" spans="1:9" x14ac:dyDescent="0.25">
      <c r="A7438">
        <v>2025</v>
      </c>
      <c r="B7438" t="s">
        <v>14807</v>
      </c>
      <c r="C7438" s="1">
        <v>45995</v>
      </c>
      <c r="D7438" t="s">
        <v>14808</v>
      </c>
      <c r="E7438">
        <v>132</v>
      </c>
      <c r="G7438" s="3">
        <f>MONTH(Tabela1[[#This Row],[Último pagto ano]])</f>
        <v>12</v>
      </c>
      <c r="H7438" t="str">
        <f>TEXT(Tabela1[[#This Row],[Coluna2]]*29,"mmmm")</f>
        <v>dezembro</v>
      </c>
      <c r="I7438" t="str">
        <f>TEXT(MONTH(Tabela1[[#This Row],[Último pagto ano]])*29,"mmmm")</f>
        <v>dezembro</v>
      </c>
    </row>
    <row r="7439" spans="1:9" x14ac:dyDescent="0.25">
      <c r="A7439">
        <v>2025</v>
      </c>
      <c r="B7439" t="s">
        <v>14809</v>
      </c>
      <c r="C7439" s="1">
        <v>45954</v>
      </c>
      <c r="D7439" t="s">
        <v>14810</v>
      </c>
      <c r="E7439" s="2">
        <v>95106</v>
      </c>
      <c r="G7439" s="3">
        <f>MONTH(Tabela1[[#This Row],[Último pagto ano]])</f>
        <v>10</v>
      </c>
      <c r="H7439" t="str">
        <f>TEXT(Tabela1[[#This Row],[Coluna2]]*29,"mmmm")</f>
        <v>outubro</v>
      </c>
      <c r="I7439" t="str">
        <f>TEXT(MONTH(Tabela1[[#This Row],[Último pagto ano]])*29,"mmmm")</f>
        <v>outubro</v>
      </c>
    </row>
    <row r="7440" spans="1:9" x14ac:dyDescent="0.25">
      <c r="A7440">
        <v>2025</v>
      </c>
      <c r="B7440" t="s">
        <v>14811</v>
      </c>
      <c r="C7440" s="1">
        <v>45989</v>
      </c>
      <c r="D7440" t="s">
        <v>14812</v>
      </c>
      <c r="E7440" s="2">
        <v>3503.79</v>
      </c>
      <c r="G7440" s="3">
        <f>MONTH(Tabela1[[#This Row],[Último pagto ano]])</f>
        <v>11</v>
      </c>
      <c r="H7440" t="str">
        <f>TEXT(Tabela1[[#This Row],[Coluna2]]*29,"mmmm")</f>
        <v>novembro</v>
      </c>
      <c r="I7440" t="str">
        <f>TEXT(MONTH(Tabela1[[#This Row],[Último pagto ano]])*29,"mmmm")</f>
        <v>novembro</v>
      </c>
    </row>
    <row r="7441" spans="1:9" x14ac:dyDescent="0.25">
      <c r="A7441">
        <v>2025</v>
      </c>
      <c r="B7441" t="s">
        <v>14813</v>
      </c>
      <c r="C7441" s="1">
        <v>45883</v>
      </c>
      <c r="D7441" t="s">
        <v>14814</v>
      </c>
      <c r="E7441" s="2">
        <v>9280.35</v>
      </c>
      <c r="G7441" s="3">
        <f>MONTH(Tabela1[[#This Row],[Último pagto ano]])</f>
        <v>8</v>
      </c>
      <c r="H7441" t="str">
        <f>TEXT(Tabela1[[#This Row],[Coluna2]]*29,"mmmm")</f>
        <v>agosto</v>
      </c>
      <c r="I7441" t="str">
        <f>TEXT(MONTH(Tabela1[[#This Row],[Último pagto ano]])*29,"mmmm")</f>
        <v>agosto</v>
      </c>
    </row>
    <row r="7442" spans="1:9" x14ac:dyDescent="0.25">
      <c r="A7442">
        <v>2025</v>
      </c>
      <c r="B7442" t="s">
        <v>14815</v>
      </c>
      <c r="C7442" s="1">
        <v>46013</v>
      </c>
      <c r="D7442" t="s">
        <v>14816</v>
      </c>
      <c r="E7442" s="2">
        <v>9500.4</v>
      </c>
      <c r="G7442" s="3">
        <f>MONTH(Tabela1[[#This Row],[Último pagto ano]])</f>
        <v>12</v>
      </c>
      <c r="H7442" t="str">
        <f>TEXT(Tabela1[[#This Row],[Coluna2]]*29,"mmmm")</f>
        <v>dezembro</v>
      </c>
      <c r="I7442" t="str">
        <f>TEXT(MONTH(Tabela1[[#This Row],[Último pagto ano]])*29,"mmmm")</f>
        <v>dezembro</v>
      </c>
    </row>
    <row r="7443" spans="1:9" x14ac:dyDescent="0.25">
      <c r="A7443">
        <v>2025</v>
      </c>
      <c r="B7443" t="s">
        <v>14817</v>
      </c>
      <c r="C7443" s="1">
        <v>45988</v>
      </c>
      <c r="D7443" t="s">
        <v>14818</v>
      </c>
      <c r="E7443">
        <v>561.6</v>
      </c>
      <c r="G7443" s="3">
        <f>MONTH(Tabela1[[#This Row],[Último pagto ano]])</f>
        <v>11</v>
      </c>
      <c r="H7443" t="str">
        <f>TEXT(Tabela1[[#This Row],[Coluna2]]*29,"mmmm")</f>
        <v>novembro</v>
      </c>
      <c r="I7443" t="str">
        <f>TEXT(MONTH(Tabela1[[#This Row],[Último pagto ano]])*29,"mmmm")</f>
        <v>novembro</v>
      </c>
    </row>
    <row r="7444" spans="1:9" x14ac:dyDescent="0.25">
      <c r="A7444">
        <v>2025</v>
      </c>
      <c r="B7444" t="s">
        <v>14819</v>
      </c>
      <c r="C7444" s="1">
        <v>45803</v>
      </c>
      <c r="D7444" t="s">
        <v>14820</v>
      </c>
      <c r="E7444">
        <v>44</v>
      </c>
      <c r="G7444" s="3">
        <f>MONTH(Tabela1[[#This Row],[Último pagto ano]])</f>
        <v>5</v>
      </c>
      <c r="H7444" t="str">
        <f>TEXT(Tabela1[[#This Row],[Coluna2]]*29,"mmmm")</f>
        <v>maio</v>
      </c>
      <c r="I7444" t="str">
        <f>TEXT(MONTH(Tabela1[[#This Row],[Último pagto ano]])*29,"mmmm")</f>
        <v>maio</v>
      </c>
    </row>
    <row r="7445" spans="1:9" x14ac:dyDescent="0.25">
      <c r="A7445">
        <v>2025</v>
      </c>
      <c r="B7445" t="s">
        <v>14821</v>
      </c>
      <c r="C7445" s="1">
        <v>46010</v>
      </c>
      <c r="D7445" t="s">
        <v>14822</v>
      </c>
      <c r="E7445" s="2">
        <v>1400</v>
      </c>
      <c r="G7445" s="3">
        <f>MONTH(Tabela1[[#This Row],[Último pagto ano]])</f>
        <v>12</v>
      </c>
      <c r="H7445" t="str">
        <f>TEXT(Tabela1[[#This Row],[Coluna2]]*29,"mmmm")</f>
        <v>dezembro</v>
      </c>
      <c r="I7445" t="str">
        <f>TEXT(MONTH(Tabela1[[#This Row],[Último pagto ano]])*29,"mmmm")</f>
        <v>dezembro</v>
      </c>
    </row>
    <row r="7446" spans="1:9" x14ac:dyDescent="0.25">
      <c r="A7446">
        <v>2025</v>
      </c>
      <c r="B7446" t="s">
        <v>14823</v>
      </c>
      <c r="C7446" s="1">
        <v>46013</v>
      </c>
      <c r="D7446" t="s">
        <v>14824</v>
      </c>
      <c r="E7446" s="2">
        <v>12862.1</v>
      </c>
      <c r="G7446" s="3">
        <f>MONTH(Tabela1[[#This Row],[Último pagto ano]])</f>
        <v>12</v>
      </c>
      <c r="H7446" t="str">
        <f>TEXT(Tabela1[[#This Row],[Coluna2]]*29,"mmmm")</f>
        <v>dezembro</v>
      </c>
      <c r="I7446" t="str">
        <f>TEXT(MONTH(Tabela1[[#This Row],[Último pagto ano]])*29,"mmmm")</f>
        <v>dezembro</v>
      </c>
    </row>
    <row r="7447" spans="1:9" x14ac:dyDescent="0.25">
      <c r="A7447">
        <v>2025</v>
      </c>
      <c r="B7447" t="s">
        <v>14825</v>
      </c>
      <c r="C7447" s="1">
        <v>45954</v>
      </c>
      <c r="D7447" t="s">
        <v>14826</v>
      </c>
      <c r="E7447" s="2">
        <v>9402.9599999999991</v>
      </c>
      <c r="G7447" s="3">
        <f>MONTH(Tabela1[[#This Row],[Último pagto ano]])</f>
        <v>10</v>
      </c>
      <c r="H7447" t="str">
        <f>TEXT(Tabela1[[#This Row],[Coluna2]]*29,"mmmm")</f>
        <v>outubro</v>
      </c>
      <c r="I7447" t="str">
        <f>TEXT(MONTH(Tabela1[[#This Row],[Último pagto ano]])*29,"mmmm")</f>
        <v>outubro</v>
      </c>
    </row>
    <row r="7448" spans="1:9" x14ac:dyDescent="0.25">
      <c r="A7448">
        <v>2025</v>
      </c>
      <c r="B7448" t="s">
        <v>14827</v>
      </c>
      <c r="C7448" s="1">
        <v>45803</v>
      </c>
      <c r="D7448" t="s">
        <v>14828</v>
      </c>
      <c r="E7448">
        <v>549.9</v>
      </c>
      <c r="G7448" s="3">
        <f>MONTH(Tabela1[[#This Row],[Último pagto ano]])</f>
        <v>5</v>
      </c>
      <c r="H7448" t="str">
        <f>TEXT(Tabela1[[#This Row],[Coluna2]]*29,"mmmm")</f>
        <v>maio</v>
      </c>
      <c r="I7448" t="str">
        <f>TEXT(MONTH(Tabela1[[#This Row],[Último pagto ano]])*29,"mmmm")</f>
        <v>maio</v>
      </c>
    </row>
    <row r="7449" spans="1:9" x14ac:dyDescent="0.25">
      <c r="A7449">
        <v>2025</v>
      </c>
      <c r="B7449" t="s">
        <v>14829</v>
      </c>
      <c r="C7449" s="1">
        <v>46010</v>
      </c>
      <c r="D7449" t="s">
        <v>14830</v>
      </c>
      <c r="E7449" s="2">
        <v>8400</v>
      </c>
      <c r="G7449" s="3">
        <f>MONTH(Tabela1[[#This Row],[Último pagto ano]])</f>
        <v>12</v>
      </c>
      <c r="H7449" t="str">
        <f>TEXT(Tabela1[[#This Row],[Coluna2]]*29,"mmmm")</f>
        <v>dezembro</v>
      </c>
      <c r="I7449" t="str">
        <f>TEXT(MONTH(Tabela1[[#This Row],[Último pagto ano]])*29,"mmmm")</f>
        <v>dezembro</v>
      </c>
    </row>
    <row r="7450" spans="1:9" x14ac:dyDescent="0.25">
      <c r="A7450">
        <v>2025</v>
      </c>
      <c r="B7450" t="s">
        <v>14831</v>
      </c>
      <c r="C7450" s="1">
        <v>45989</v>
      </c>
      <c r="D7450" t="s">
        <v>14832</v>
      </c>
      <c r="E7450" s="2">
        <v>9160.67</v>
      </c>
      <c r="G7450" s="3">
        <f>MONTH(Tabela1[[#This Row],[Último pagto ano]])</f>
        <v>11</v>
      </c>
      <c r="H7450" t="str">
        <f>TEXT(Tabela1[[#This Row],[Coluna2]]*29,"mmmm")</f>
        <v>novembro</v>
      </c>
      <c r="I7450" t="str">
        <f>TEXT(MONTH(Tabela1[[#This Row],[Último pagto ano]])*29,"mmmm")</f>
        <v>novembro</v>
      </c>
    </row>
    <row r="7451" spans="1:9" x14ac:dyDescent="0.25">
      <c r="A7451">
        <v>2025</v>
      </c>
      <c r="B7451" t="s">
        <v>14833</v>
      </c>
      <c r="C7451" s="1">
        <v>45716</v>
      </c>
      <c r="D7451" t="s">
        <v>14834</v>
      </c>
      <c r="E7451" s="2">
        <v>2032.43</v>
      </c>
      <c r="G7451" s="3">
        <f>MONTH(Tabela1[[#This Row],[Último pagto ano]])</f>
        <v>2</v>
      </c>
      <c r="H7451" t="str">
        <f>TEXT(Tabela1[[#This Row],[Coluna2]]*29,"mmmm")</f>
        <v>fevereiro</v>
      </c>
      <c r="I7451" t="str">
        <f>TEXT(MONTH(Tabela1[[#This Row],[Último pagto ano]])*29,"mmmm")</f>
        <v>fevereiro</v>
      </c>
    </row>
    <row r="7452" spans="1:9" x14ac:dyDescent="0.25">
      <c r="A7452">
        <v>2025</v>
      </c>
      <c r="B7452" t="s">
        <v>14835</v>
      </c>
      <c r="C7452" s="1">
        <v>46021</v>
      </c>
      <c r="D7452" t="s">
        <v>14836</v>
      </c>
      <c r="E7452" s="2">
        <v>11095.92</v>
      </c>
      <c r="G7452" s="3">
        <f>MONTH(Tabela1[[#This Row],[Último pagto ano]])</f>
        <v>12</v>
      </c>
      <c r="H7452" t="str">
        <f>TEXT(Tabela1[[#This Row],[Coluna2]]*29,"mmmm")</f>
        <v>dezembro</v>
      </c>
      <c r="I7452" t="str">
        <f>TEXT(MONTH(Tabela1[[#This Row],[Último pagto ano]])*29,"mmmm")</f>
        <v>dezembro</v>
      </c>
    </row>
    <row r="7453" spans="1:9" x14ac:dyDescent="0.25">
      <c r="A7453">
        <v>2025</v>
      </c>
      <c r="B7453" t="s">
        <v>14837</v>
      </c>
      <c r="C7453" s="1">
        <v>45985</v>
      </c>
      <c r="D7453" t="s">
        <v>14838</v>
      </c>
      <c r="E7453">
        <v>85.6</v>
      </c>
      <c r="G7453" s="3">
        <f>MONTH(Tabela1[[#This Row],[Último pagto ano]])</f>
        <v>11</v>
      </c>
      <c r="H7453" t="str">
        <f>TEXT(Tabela1[[#This Row],[Coluna2]]*29,"mmmm")</f>
        <v>novembro</v>
      </c>
      <c r="I7453" t="str">
        <f>TEXT(MONTH(Tabela1[[#This Row],[Último pagto ano]])*29,"mmmm")</f>
        <v>novembro</v>
      </c>
    </row>
    <row r="7454" spans="1:9" x14ac:dyDescent="0.25">
      <c r="A7454">
        <v>2025</v>
      </c>
      <c r="B7454" t="s">
        <v>14839</v>
      </c>
      <c r="C7454" s="1">
        <v>45985</v>
      </c>
      <c r="D7454" t="s">
        <v>14840</v>
      </c>
      <c r="E7454">
        <v>99</v>
      </c>
      <c r="G7454" s="3">
        <f>MONTH(Tabela1[[#This Row],[Último pagto ano]])</f>
        <v>11</v>
      </c>
      <c r="H7454" t="str">
        <f>TEXT(Tabela1[[#This Row],[Coluna2]]*29,"mmmm")</f>
        <v>novembro</v>
      </c>
      <c r="I7454" t="str">
        <f>TEXT(MONTH(Tabela1[[#This Row],[Último pagto ano]])*29,"mmmm")</f>
        <v>novembro</v>
      </c>
    </row>
    <row r="7455" spans="1:9" x14ac:dyDescent="0.25">
      <c r="A7455">
        <v>2025</v>
      </c>
      <c r="B7455" t="s">
        <v>14841</v>
      </c>
      <c r="C7455" s="1">
        <v>45694</v>
      </c>
      <c r="D7455" t="s">
        <v>14842</v>
      </c>
      <c r="E7455" s="2">
        <v>1625.59</v>
      </c>
      <c r="G7455" s="3">
        <f>MONTH(Tabela1[[#This Row],[Último pagto ano]])</f>
        <v>2</v>
      </c>
      <c r="H7455" t="str">
        <f>TEXT(Tabela1[[#This Row],[Coluna2]]*29,"mmmm")</f>
        <v>fevereiro</v>
      </c>
      <c r="I7455" t="str">
        <f>TEXT(MONTH(Tabela1[[#This Row],[Último pagto ano]])*29,"mmmm")</f>
        <v>fevereiro</v>
      </c>
    </row>
    <row r="7456" spans="1:9" x14ac:dyDescent="0.25">
      <c r="A7456">
        <v>2025</v>
      </c>
      <c r="B7456" t="s">
        <v>14843</v>
      </c>
      <c r="C7456" s="1">
        <v>45702</v>
      </c>
      <c r="D7456" t="s">
        <v>14844</v>
      </c>
      <c r="E7456">
        <v>876.04</v>
      </c>
      <c r="G7456" s="3">
        <f>MONTH(Tabela1[[#This Row],[Último pagto ano]])</f>
        <v>2</v>
      </c>
      <c r="H7456" t="str">
        <f>TEXT(Tabela1[[#This Row],[Coluna2]]*29,"mmmm")</f>
        <v>fevereiro</v>
      </c>
      <c r="I7456" t="str">
        <f>TEXT(MONTH(Tabela1[[#This Row],[Último pagto ano]])*29,"mmmm")</f>
        <v>fevereiro</v>
      </c>
    </row>
    <row r="7457" spans="1:9" x14ac:dyDescent="0.25">
      <c r="A7457">
        <v>2025</v>
      </c>
      <c r="B7457" t="s">
        <v>14845</v>
      </c>
      <c r="C7457" s="1">
        <v>45964</v>
      </c>
      <c r="D7457" t="s">
        <v>14846</v>
      </c>
      <c r="E7457">
        <v>536.6</v>
      </c>
      <c r="G7457" s="3">
        <f>MONTH(Tabela1[[#This Row],[Último pagto ano]])</f>
        <v>11</v>
      </c>
      <c r="H7457" t="str">
        <f>TEXT(Tabela1[[#This Row],[Coluna2]]*29,"mmmm")</f>
        <v>novembro</v>
      </c>
      <c r="I7457" t="str">
        <f>TEXT(MONTH(Tabela1[[#This Row],[Último pagto ano]])*29,"mmmm")</f>
        <v>novembro</v>
      </c>
    </row>
    <row r="7458" spans="1:9" x14ac:dyDescent="0.25">
      <c r="A7458">
        <v>2025</v>
      </c>
      <c r="B7458" t="s">
        <v>14847</v>
      </c>
      <c r="C7458" s="1">
        <v>45978</v>
      </c>
      <c r="D7458" t="s">
        <v>14848</v>
      </c>
      <c r="E7458">
        <v>132</v>
      </c>
      <c r="G7458" s="3">
        <f>MONTH(Tabela1[[#This Row],[Último pagto ano]])</f>
        <v>11</v>
      </c>
      <c r="H7458" t="str">
        <f>TEXT(Tabela1[[#This Row],[Coluna2]]*29,"mmmm")</f>
        <v>novembro</v>
      </c>
      <c r="I7458" t="str">
        <f>TEXT(MONTH(Tabela1[[#This Row],[Último pagto ano]])*29,"mmmm")</f>
        <v>novembro</v>
      </c>
    </row>
    <row r="7459" spans="1:9" x14ac:dyDescent="0.25">
      <c r="A7459">
        <v>2025</v>
      </c>
      <c r="B7459" t="s">
        <v>14849</v>
      </c>
      <c r="C7459" s="1">
        <v>45702</v>
      </c>
      <c r="D7459" t="s">
        <v>14850</v>
      </c>
      <c r="E7459" s="2">
        <v>1026.51</v>
      </c>
      <c r="G7459" s="3">
        <f>MONTH(Tabela1[[#This Row],[Último pagto ano]])</f>
        <v>2</v>
      </c>
      <c r="H7459" t="str">
        <f>TEXT(Tabela1[[#This Row],[Coluna2]]*29,"mmmm")</f>
        <v>fevereiro</v>
      </c>
      <c r="I7459" t="str">
        <f>TEXT(MONTH(Tabela1[[#This Row],[Último pagto ano]])*29,"mmmm")</f>
        <v>fevereiro</v>
      </c>
    </row>
    <row r="7460" spans="1:9" x14ac:dyDescent="0.25">
      <c r="A7460">
        <v>2025</v>
      </c>
      <c r="B7460" t="s">
        <v>14851</v>
      </c>
      <c r="C7460" s="1">
        <v>46007</v>
      </c>
      <c r="D7460" t="s">
        <v>14852</v>
      </c>
      <c r="E7460" s="2">
        <v>75447.360000000001</v>
      </c>
      <c r="G7460" s="3">
        <f>MONTH(Tabela1[[#This Row],[Último pagto ano]])</f>
        <v>12</v>
      </c>
      <c r="H7460" t="str">
        <f>TEXT(Tabela1[[#This Row],[Coluna2]]*29,"mmmm")</f>
        <v>dezembro</v>
      </c>
      <c r="I7460" t="str">
        <f>TEXT(MONTH(Tabela1[[#This Row],[Último pagto ano]])*29,"mmmm")</f>
        <v>dezembro</v>
      </c>
    </row>
    <row r="7461" spans="1:9" x14ac:dyDescent="0.25">
      <c r="A7461">
        <v>2025</v>
      </c>
      <c r="B7461" t="s">
        <v>14853</v>
      </c>
      <c r="C7461" s="1">
        <v>45740</v>
      </c>
      <c r="D7461" t="s">
        <v>14854</v>
      </c>
      <c r="E7461">
        <v>60.24</v>
      </c>
      <c r="G7461" s="3">
        <f>MONTH(Tabela1[[#This Row],[Último pagto ano]])</f>
        <v>3</v>
      </c>
      <c r="H7461" t="str">
        <f>TEXT(Tabela1[[#This Row],[Coluna2]]*29,"mmmm")</f>
        <v>março</v>
      </c>
      <c r="I7461" t="str">
        <f>TEXT(MONTH(Tabela1[[#This Row],[Último pagto ano]])*29,"mmmm")</f>
        <v>março</v>
      </c>
    </row>
    <row r="7462" spans="1:9" x14ac:dyDescent="0.25">
      <c r="A7462">
        <v>2025</v>
      </c>
      <c r="B7462" t="s">
        <v>14855</v>
      </c>
      <c r="C7462" s="1">
        <v>46006</v>
      </c>
      <c r="D7462" t="s">
        <v>14856</v>
      </c>
      <c r="E7462" s="2">
        <v>7000</v>
      </c>
      <c r="G7462" s="3">
        <f>MONTH(Tabela1[[#This Row],[Último pagto ano]])</f>
        <v>12</v>
      </c>
      <c r="H7462" t="str">
        <f>TEXT(Tabela1[[#This Row],[Coluna2]]*29,"mmmm")</f>
        <v>dezembro</v>
      </c>
      <c r="I7462" t="str">
        <f>TEXT(MONTH(Tabela1[[#This Row],[Último pagto ano]])*29,"mmmm")</f>
        <v>dezembro</v>
      </c>
    </row>
    <row r="7463" spans="1:9" x14ac:dyDescent="0.25">
      <c r="A7463">
        <v>2025</v>
      </c>
      <c r="B7463" t="s">
        <v>14857</v>
      </c>
      <c r="C7463" s="1">
        <v>46014</v>
      </c>
      <c r="D7463" t="s">
        <v>14858</v>
      </c>
      <c r="E7463" s="2">
        <v>40813.599999999999</v>
      </c>
      <c r="G7463" s="3">
        <f>MONTH(Tabela1[[#This Row],[Último pagto ano]])</f>
        <v>12</v>
      </c>
      <c r="H7463" t="str">
        <f>TEXT(Tabela1[[#This Row],[Coluna2]]*29,"mmmm")</f>
        <v>dezembro</v>
      </c>
      <c r="I7463" t="str">
        <f>TEXT(MONTH(Tabela1[[#This Row],[Último pagto ano]])*29,"mmmm")</f>
        <v>dezembro</v>
      </c>
    </row>
    <row r="7464" spans="1:9" x14ac:dyDescent="0.25">
      <c r="A7464">
        <v>2025</v>
      </c>
      <c r="B7464" t="s">
        <v>14859</v>
      </c>
      <c r="C7464" s="1">
        <v>45685</v>
      </c>
      <c r="D7464" t="s">
        <v>14860</v>
      </c>
      <c r="E7464">
        <v>970.6</v>
      </c>
      <c r="G7464" s="3">
        <f>MONTH(Tabela1[[#This Row],[Último pagto ano]])</f>
        <v>1</v>
      </c>
      <c r="H7464" t="str">
        <f>TEXT(Tabela1[[#This Row],[Coluna2]]*29,"mmmm")</f>
        <v>janeiro</v>
      </c>
      <c r="I7464" t="str">
        <f>TEXT(MONTH(Tabela1[[#This Row],[Último pagto ano]])*29,"mmmm")</f>
        <v>janeiro</v>
      </c>
    </row>
    <row r="7465" spans="1:9" x14ac:dyDescent="0.25">
      <c r="A7465">
        <v>2025</v>
      </c>
      <c r="B7465" t="s">
        <v>14861</v>
      </c>
      <c r="C7465" s="1">
        <v>45929</v>
      </c>
      <c r="D7465" t="s">
        <v>14862</v>
      </c>
      <c r="E7465">
        <v>11</v>
      </c>
      <c r="G7465" s="3">
        <f>MONTH(Tabela1[[#This Row],[Último pagto ano]])</f>
        <v>9</v>
      </c>
      <c r="H7465" t="str">
        <f>TEXT(Tabela1[[#This Row],[Coluna2]]*29,"mmmm")</f>
        <v>setembro</v>
      </c>
      <c r="I7465" t="str">
        <f>TEXT(MONTH(Tabela1[[#This Row],[Último pagto ano]])*29,"mmmm")</f>
        <v>setembro</v>
      </c>
    </row>
    <row r="7466" spans="1:9" x14ac:dyDescent="0.25">
      <c r="A7466">
        <v>2025</v>
      </c>
      <c r="B7466" t="s">
        <v>14863</v>
      </c>
      <c r="C7466" s="1">
        <v>46010</v>
      </c>
      <c r="D7466" t="s">
        <v>14864</v>
      </c>
      <c r="E7466" s="2">
        <v>2100</v>
      </c>
      <c r="G7466" s="3">
        <f>MONTH(Tabela1[[#This Row],[Último pagto ano]])</f>
        <v>12</v>
      </c>
      <c r="H7466" t="str">
        <f>TEXT(Tabela1[[#This Row],[Coluna2]]*29,"mmmm")</f>
        <v>dezembro</v>
      </c>
      <c r="I7466" t="str">
        <f>TEXT(MONTH(Tabela1[[#This Row],[Último pagto ano]])*29,"mmmm")</f>
        <v>dezembro</v>
      </c>
    </row>
    <row r="7467" spans="1:9" x14ac:dyDescent="0.25">
      <c r="A7467">
        <v>2025</v>
      </c>
      <c r="B7467" t="s">
        <v>14865</v>
      </c>
      <c r="C7467" s="1">
        <v>45702</v>
      </c>
      <c r="D7467" t="s">
        <v>14866</v>
      </c>
      <c r="E7467">
        <v>110.33</v>
      </c>
      <c r="G7467" s="3">
        <f>MONTH(Tabela1[[#This Row],[Último pagto ano]])</f>
        <v>2</v>
      </c>
      <c r="H7467" t="str">
        <f>TEXT(Tabela1[[#This Row],[Coluna2]]*29,"mmmm")</f>
        <v>fevereiro</v>
      </c>
      <c r="I7467" t="str">
        <f>TEXT(MONTH(Tabela1[[#This Row],[Último pagto ano]])*29,"mmmm")</f>
        <v>fevereiro</v>
      </c>
    </row>
    <row r="7468" spans="1:9" x14ac:dyDescent="0.25">
      <c r="A7468">
        <v>2025</v>
      </c>
      <c r="B7468" t="s">
        <v>14867</v>
      </c>
      <c r="C7468" s="1">
        <v>46014</v>
      </c>
      <c r="D7468" t="s">
        <v>14868</v>
      </c>
      <c r="E7468" s="2">
        <v>19240</v>
      </c>
      <c r="G7468" s="3">
        <f>MONTH(Tabela1[[#This Row],[Último pagto ano]])</f>
        <v>12</v>
      </c>
      <c r="H7468" t="str">
        <f>TEXT(Tabela1[[#This Row],[Coluna2]]*29,"mmmm")</f>
        <v>dezembro</v>
      </c>
      <c r="I7468" t="str">
        <f>TEXT(MONTH(Tabela1[[#This Row],[Último pagto ano]])*29,"mmmm")</f>
        <v>dezembro</v>
      </c>
    </row>
    <row r="7469" spans="1:9" x14ac:dyDescent="0.25">
      <c r="A7469">
        <v>2025</v>
      </c>
      <c r="B7469" t="s">
        <v>14869</v>
      </c>
      <c r="C7469" s="1">
        <v>45985</v>
      </c>
      <c r="D7469" t="s">
        <v>14870</v>
      </c>
      <c r="E7469">
        <v>286</v>
      </c>
      <c r="G7469" s="3">
        <f>MONTH(Tabela1[[#This Row],[Último pagto ano]])</f>
        <v>11</v>
      </c>
      <c r="H7469" t="str">
        <f>TEXT(Tabela1[[#This Row],[Coluna2]]*29,"mmmm")</f>
        <v>novembro</v>
      </c>
      <c r="I7469" t="str">
        <f>TEXT(MONTH(Tabela1[[#This Row],[Último pagto ano]])*29,"mmmm")</f>
        <v>novembro</v>
      </c>
    </row>
    <row r="7470" spans="1:9" x14ac:dyDescent="0.25">
      <c r="A7470">
        <v>2025</v>
      </c>
      <c r="B7470" t="s">
        <v>14871</v>
      </c>
      <c r="C7470" s="1">
        <v>46006</v>
      </c>
      <c r="D7470" t="s">
        <v>14872</v>
      </c>
      <c r="E7470">
        <v>466</v>
      </c>
      <c r="G7470" s="3">
        <f>MONTH(Tabela1[[#This Row],[Último pagto ano]])</f>
        <v>12</v>
      </c>
      <c r="H7470" t="str">
        <f>TEXT(Tabela1[[#This Row],[Coluna2]]*29,"mmmm")</f>
        <v>dezembro</v>
      </c>
      <c r="I7470" t="str">
        <f>TEXT(MONTH(Tabela1[[#This Row],[Último pagto ano]])*29,"mmmm")</f>
        <v>dezembro</v>
      </c>
    </row>
    <row r="7471" spans="1:9" x14ac:dyDescent="0.25">
      <c r="A7471">
        <v>2025</v>
      </c>
      <c r="B7471" t="s">
        <v>14873</v>
      </c>
      <c r="C7471" s="1">
        <v>45705</v>
      </c>
      <c r="D7471" t="s">
        <v>14874</v>
      </c>
      <c r="E7471">
        <v>863.24</v>
      </c>
      <c r="G7471" s="3">
        <f>MONTH(Tabela1[[#This Row],[Último pagto ano]])</f>
        <v>2</v>
      </c>
      <c r="H7471" t="str">
        <f>TEXT(Tabela1[[#This Row],[Coluna2]]*29,"mmmm")</f>
        <v>fevereiro</v>
      </c>
      <c r="I7471" t="str">
        <f>TEXT(MONTH(Tabela1[[#This Row],[Último pagto ano]])*29,"mmmm")</f>
        <v>fevereiro</v>
      </c>
    </row>
    <row r="7472" spans="1:9" x14ac:dyDescent="0.25">
      <c r="A7472">
        <v>2025</v>
      </c>
      <c r="B7472" t="s">
        <v>14875</v>
      </c>
      <c r="C7472" s="1">
        <v>46010</v>
      </c>
      <c r="D7472" t="s">
        <v>14876</v>
      </c>
      <c r="E7472" s="2">
        <v>12000</v>
      </c>
      <c r="G7472" s="3">
        <f>MONTH(Tabela1[[#This Row],[Último pagto ano]])</f>
        <v>12</v>
      </c>
      <c r="H7472" t="str">
        <f>TEXT(Tabela1[[#This Row],[Coluna2]]*29,"mmmm")</f>
        <v>dezembro</v>
      </c>
      <c r="I7472" t="str">
        <f>TEXT(MONTH(Tabela1[[#This Row],[Último pagto ano]])*29,"mmmm")</f>
        <v>dezembro</v>
      </c>
    </row>
    <row r="7473" spans="1:9" x14ac:dyDescent="0.25">
      <c r="A7473">
        <v>2025</v>
      </c>
      <c r="B7473" t="s">
        <v>14877</v>
      </c>
      <c r="C7473" s="1">
        <v>45859</v>
      </c>
      <c r="D7473" t="s">
        <v>14878</v>
      </c>
      <c r="E7473" s="2">
        <v>13067</v>
      </c>
      <c r="G7473" s="3">
        <f>MONTH(Tabela1[[#This Row],[Último pagto ano]])</f>
        <v>7</v>
      </c>
      <c r="H7473" t="str">
        <f>TEXT(Tabela1[[#This Row],[Coluna2]]*29,"mmmm")</f>
        <v>julho</v>
      </c>
      <c r="I7473" t="str">
        <f>TEXT(MONTH(Tabela1[[#This Row],[Último pagto ano]])*29,"mmmm")</f>
        <v>julho</v>
      </c>
    </row>
    <row r="7474" spans="1:9" x14ac:dyDescent="0.25">
      <c r="A7474">
        <v>2025</v>
      </c>
      <c r="B7474" t="s">
        <v>14879</v>
      </c>
      <c r="C7474" s="1">
        <v>45702</v>
      </c>
      <c r="D7474" t="s">
        <v>14880</v>
      </c>
      <c r="E7474">
        <v>22</v>
      </c>
      <c r="G7474" s="3">
        <f>MONTH(Tabela1[[#This Row],[Último pagto ano]])</f>
        <v>2</v>
      </c>
      <c r="H7474" t="str">
        <f>TEXT(Tabela1[[#This Row],[Coluna2]]*29,"mmmm")</f>
        <v>fevereiro</v>
      </c>
      <c r="I7474" t="str">
        <f>TEXT(MONTH(Tabela1[[#This Row],[Último pagto ano]])*29,"mmmm")</f>
        <v>fevereiro</v>
      </c>
    </row>
    <row r="7475" spans="1:9" x14ac:dyDescent="0.25">
      <c r="A7475">
        <v>2025</v>
      </c>
      <c r="B7475" t="s">
        <v>14881</v>
      </c>
      <c r="C7475" s="1">
        <v>45748</v>
      </c>
      <c r="D7475" t="s">
        <v>14882</v>
      </c>
      <c r="E7475" s="2">
        <v>1954.3</v>
      </c>
      <c r="G7475" s="3">
        <f>MONTH(Tabela1[[#This Row],[Último pagto ano]])</f>
        <v>4</v>
      </c>
      <c r="H7475" t="str">
        <f>TEXT(Tabela1[[#This Row],[Coluna2]]*29,"mmmm")</f>
        <v>abril</v>
      </c>
      <c r="I7475" t="str">
        <f>TEXT(MONTH(Tabela1[[#This Row],[Último pagto ano]])*29,"mmmm")</f>
        <v>abril</v>
      </c>
    </row>
    <row r="7476" spans="1:9" x14ac:dyDescent="0.25">
      <c r="A7476">
        <v>2025</v>
      </c>
      <c r="B7476" t="s">
        <v>14883</v>
      </c>
      <c r="C7476" s="1">
        <v>46010</v>
      </c>
      <c r="D7476" t="s">
        <v>14884</v>
      </c>
      <c r="E7476" s="2">
        <v>6300</v>
      </c>
      <c r="G7476" s="3">
        <f>MONTH(Tabela1[[#This Row],[Último pagto ano]])</f>
        <v>12</v>
      </c>
      <c r="H7476" t="str">
        <f>TEXT(Tabela1[[#This Row],[Coluna2]]*29,"mmmm")</f>
        <v>dezembro</v>
      </c>
      <c r="I7476" t="str">
        <f>TEXT(MONTH(Tabela1[[#This Row],[Último pagto ano]])*29,"mmmm")</f>
        <v>dezembro</v>
      </c>
    </row>
    <row r="7477" spans="1:9" x14ac:dyDescent="0.25">
      <c r="A7477">
        <v>2025</v>
      </c>
      <c r="B7477" t="s">
        <v>14885</v>
      </c>
      <c r="C7477" s="1">
        <v>45728</v>
      </c>
      <c r="D7477" t="s">
        <v>14886</v>
      </c>
      <c r="E7477">
        <v>22</v>
      </c>
      <c r="G7477" s="3">
        <f>MONTH(Tabela1[[#This Row],[Último pagto ano]])</f>
        <v>3</v>
      </c>
      <c r="H7477" t="str">
        <f>TEXT(Tabela1[[#This Row],[Coluna2]]*29,"mmmm")</f>
        <v>março</v>
      </c>
      <c r="I7477" t="str">
        <f>TEXT(MONTH(Tabela1[[#This Row],[Último pagto ano]])*29,"mmmm")</f>
        <v>março</v>
      </c>
    </row>
    <row r="7478" spans="1:9" x14ac:dyDescent="0.25">
      <c r="A7478">
        <v>2025</v>
      </c>
      <c r="B7478" t="s">
        <v>14887</v>
      </c>
      <c r="C7478" s="1">
        <v>45943</v>
      </c>
      <c r="D7478" t="s">
        <v>14888</v>
      </c>
      <c r="E7478">
        <v>242</v>
      </c>
      <c r="G7478" s="3">
        <f>MONTH(Tabela1[[#This Row],[Último pagto ano]])</f>
        <v>10</v>
      </c>
      <c r="H7478" t="str">
        <f>TEXT(Tabela1[[#This Row],[Coluna2]]*29,"mmmm")</f>
        <v>outubro</v>
      </c>
      <c r="I7478" t="str">
        <f>TEXT(MONTH(Tabela1[[#This Row],[Último pagto ano]])*29,"mmmm")</f>
        <v>outubro</v>
      </c>
    </row>
    <row r="7479" spans="1:9" x14ac:dyDescent="0.25">
      <c r="A7479">
        <v>2025</v>
      </c>
      <c r="B7479" t="s">
        <v>14889</v>
      </c>
      <c r="C7479" s="1">
        <v>45702</v>
      </c>
      <c r="D7479" t="s">
        <v>14890</v>
      </c>
      <c r="E7479">
        <v>78.7</v>
      </c>
      <c r="G7479" s="3">
        <f>MONTH(Tabela1[[#This Row],[Último pagto ano]])</f>
        <v>2</v>
      </c>
      <c r="H7479" t="str">
        <f>TEXT(Tabela1[[#This Row],[Coluna2]]*29,"mmmm")</f>
        <v>fevereiro</v>
      </c>
      <c r="I7479" t="str">
        <f>TEXT(MONTH(Tabela1[[#This Row],[Último pagto ano]])*29,"mmmm")</f>
        <v>fevereiro</v>
      </c>
    </row>
    <row r="7480" spans="1:9" x14ac:dyDescent="0.25">
      <c r="A7480">
        <v>2025</v>
      </c>
      <c r="B7480" t="s">
        <v>14891</v>
      </c>
      <c r="C7480" s="1">
        <v>45968</v>
      </c>
      <c r="D7480" t="s">
        <v>14892</v>
      </c>
      <c r="E7480" s="2">
        <v>7000</v>
      </c>
      <c r="G7480" s="3">
        <f>MONTH(Tabela1[[#This Row],[Último pagto ano]])</f>
        <v>11</v>
      </c>
      <c r="H7480" t="str">
        <f>TEXT(Tabela1[[#This Row],[Coluna2]]*29,"mmmm")</f>
        <v>novembro</v>
      </c>
      <c r="I7480" t="str">
        <f>TEXT(MONTH(Tabela1[[#This Row],[Último pagto ano]])*29,"mmmm")</f>
        <v>novembro</v>
      </c>
    </row>
    <row r="7481" spans="1:9" x14ac:dyDescent="0.25">
      <c r="A7481">
        <v>2025</v>
      </c>
      <c r="B7481" t="s">
        <v>14893</v>
      </c>
      <c r="C7481" s="1">
        <v>46014</v>
      </c>
      <c r="D7481" t="s">
        <v>14894</v>
      </c>
      <c r="E7481">
        <v>506</v>
      </c>
      <c r="G7481" s="3">
        <f>MONTH(Tabela1[[#This Row],[Último pagto ano]])</f>
        <v>12</v>
      </c>
      <c r="H7481" t="str">
        <f>TEXT(Tabela1[[#This Row],[Coluna2]]*29,"mmmm")</f>
        <v>dezembro</v>
      </c>
      <c r="I7481" t="str">
        <f>TEXT(MONTH(Tabela1[[#This Row],[Último pagto ano]])*29,"mmmm")</f>
        <v>dezembro</v>
      </c>
    </row>
    <row r="7482" spans="1:9" x14ac:dyDescent="0.25">
      <c r="A7482">
        <v>2025</v>
      </c>
      <c r="B7482" t="s">
        <v>14895</v>
      </c>
      <c r="C7482" s="1">
        <v>46010</v>
      </c>
      <c r="D7482" t="s">
        <v>14896</v>
      </c>
      <c r="E7482" s="2">
        <v>4900</v>
      </c>
      <c r="G7482" s="3">
        <f>MONTH(Tabela1[[#This Row],[Último pagto ano]])</f>
        <v>12</v>
      </c>
      <c r="H7482" t="str">
        <f>TEXT(Tabela1[[#This Row],[Coluna2]]*29,"mmmm")</f>
        <v>dezembro</v>
      </c>
      <c r="I7482" t="str">
        <f>TEXT(MONTH(Tabela1[[#This Row],[Último pagto ano]])*29,"mmmm")</f>
        <v>dezembro</v>
      </c>
    </row>
    <row r="7483" spans="1:9" x14ac:dyDescent="0.25">
      <c r="A7483">
        <v>2025</v>
      </c>
      <c r="B7483" t="s">
        <v>14897</v>
      </c>
      <c r="C7483" s="1">
        <v>45978</v>
      </c>
      <c r="D7483" t="s">
        <v>14898</v>
      </c>
      <c r="E7483">
        <v>187</v>
      </c>
      <c r="G7483" s="3">
        <f>MONTH(Tabela1[[#This Row],[Último pagto ano]])</f>
        <v>11</v>
      </c>
      <c r="H7483" t="str">
        <f>TEXT(Tabela1[[#This Row],[Coluna2]]*29,"mmmm")</f>
        <v>novembro</v>
      </c>
      <c r="I7483" t="str">
        <f>TEXT(MONTH(Tabela1[[#This Row],[Último pagto ano]])*29,"mmmm")</f>
        <v>novembro</v>
      </c>
    </row>
    <row r="7484" spans="1:9" x14ac:dyDescent="0.25">
      <c r="A7484">
        <v>2025</v>
      </c>
      <c r="B7484" t="s">
        <v>14899</v>
      </c>
      <c r="C7484" s="1">
        <v>45964</v>
      </c>
      <c r="D7484" t="s">
        <v>14900</v>
      </c>
      <c r="E7484">
        <v>352</v>
      </c>
      <c r="G7484" s="3">
        <f>MONTH(Tabela1[[#This Row],[Último pagto ano]])</f>
        <v>11</v>
      </c>
      <c r="H7484" t="str">
        <f>TEXT(Tabela1[[#This Row],[Coluna2]]*29,"mmmm")</f>
        <v>novembro</v>
      </c>
      <c r="I7484" t="str">
        <f>TEXT(MONTH(Tabela1[[#This Row],[Último pagto ano]])*29,"mmmm")</f>
        <v>novembro</v>
      </c>
    </row>
    <row r="7485" spans="1:9" x14ac:dyDescent="0.25">
      <c r="A7485">
        <v>2025</v>
      </c>
      <c r="B7485" t="s">
        <v>14901</v>
      </c>
      <c r="C7485" s="1">
        <v>45744</v>
      </c>
      <c r="D7485" t="s">
        <v>14902</v>
      </c>
      <c r="E7485" s="2">
        <v>55696.52</v>
      </c>
      <c r="G7485" s="3">
        <f>MONTH(Tabela1[[#This Row],[Último pagto ano]])</f>
        <v>3</v>
      </c>
      <c r="H7485" t="str">
        <f>TEXT(Tabela1[[#This Row],[Coluna2]]*29,"mmmm")</f>
        <v>março</v>
      </c>
      <c r="I7485" t="str">
        <f>TEXT(MONTH(Tabela1[[#This Row],[Último pagto ano]])*29,"mmmm")</f>
        <v>março</v>
      </c>
    </row>
    <row r="7486" spans="1:9" x14ac:dyDescent="0.25">
      <c r="A7486">
        <v>2025</v>
      </c>
      <c r="B7486" t="s">
        <v>14903</v>
      </c>
      <c r="C7486" s="1">
        <v>45832</v>
      </c>
      <c r="D7486" t="s">
        <v>14904</v>
      </c>
      <c r="E7486" s="2">
        <v>1400</v>
      </c>
      <c r="G7486" s="3">
        <f>MONTH(Tabela1[[#This Row],[Último pagto ano]])</f>
        <v>6</v>
      </c>
      <c r="H7486" t="str">
        <f>TEXT(Tabela1[[#This Row],[Coluna2]]*29,"mmmm")</f>
        <v>junho</v>
      </c>
      <c r="I7486" t="str">
        <f>TEXT(MONTH(Tabela1[[#This Row],[Último pagto ano]])*29,"mmmm")</f>
        <v>junho</v>
      </c>
    </row>
    <row r="7487" spans="1:9" x14ac:dyDescent="0.25">
      <c r="A7487">
        <v>2025</v>
      </c>
      <c r="B7487" t="s">
        <v>14905</v>
      </c>
      <c r="C7487" s="1">
        <v>46014</v>
      </c>
      <c r="D7487" t="s">
        <v>14906</v>
      </c>
      <c r="E7487">
        <v>128.4</v>
      </c>
      <c r="G7487" s="3">
        <f>MONTH(Tabela1[[#This Row],[Último pagto ano]])</f>
        <v>12</v>
      </c>
      <c r="H7487" t="str">
        <f>TEXT(Tabela1[[#This Row],[Coluna2]]*29,"mmmm")</f>
        <v>dezembro</v>
      </c>
      <c r="I7487" t="str">
        <f>TEXT(MONTH(Tabela1[[#This Row],[Último pagto ano]])*29,"mmmm")</f>
        <v>dezembro</v>
      </c>
    </row>
    <row r="7488" spans="1:9" x14ac:dyDescent="0.25">
      <c r="A7488">
        <v>2025</v>
      </c>
      <c r="B7488" t="s">
        <v>14907</v>
      </c>
      <c r="C7488" s="1">
        <v>45985</v>
      </c>
      <c r="D7488" t="s">
        <v>14908</v>
      </c>
      <c r="E7488" s="2">
        <v>11000</v>
      </c>
      <c r="G7488" s="3">
        <f>MONTH(Tabela1[[#This Row],[Último pagto ano]])</f>
        <v>11</v>
      </c>
      <c r="H7488" t="str">
        <f>TEXT(Tabela1[[#This Row],[Coluna2]]*29,"mmmm")</f>
        <v>novembro</v>
      </c>
      <c r="I7488" t="str">
        <f>TEXT(MONTH(Tabela1[[#This Row],[Último pagto ano]])*29,"mmmm")</f>
        <v>novembro</v>
      </c>
    </row>
    <row r="7489" spans="1:9" x14ac:dyDescent="0.25">
      <c r="A7489">
        <v>2025</v>
      </c>
      <c r="B7489" t="s">
        <v>14909</v>
      </c>
      <c r="C7489" s="1">
        <v>45996</v>
      </c>
      <c r="D7489" t="s">
        <v>14910</v>
      </c>
      <c r="E7489" s="2">
        <v>52228.800000000003</v>
      </c>
      <c r="G7489" s="3">
        <f>MONTH(Tabela1[[#This Row],[Último pagto ano]])</f>
        <v>12</v>
      </c>
      <c r="H7489" t="str">
        <f>TEXT(Tabela1[[#This Row],[Coluna2]]*29,"mmmm")</f>
        <v>dezembro</v>
      </c>
      <c r="I7489" t="str">
        <f>TEXT(MONTH(Tabela1[[#This Row],[Último pagto ano]])*29,"mmmm")</f>
        <v>dezembro</v>
      </c>
    </row>
    <row r="7490" spans="1:9" x14ac:dyDescent="0.25">
      <c r="A7490">
        <v>2025</v>
      </c>
      <c r="B7490" t="s">
        <v>14911</v>
      </c>
      <c r="C7490" s="1">
        <v>45705</v>
      </c>
      <c r="D7490" t="s">
        <v>14912</v>
      </c>
      <c r="E7490">
        <v>22</v>
      </c>
      <c r="G7490" s="3">
        <f>MONTH(Tabela1[[#This Row],[Último pagto ano]])</f>
        <v>2</v>
      </c>
      <c r="H7490" t="str">
        <f>TEXT(Tabela1[[#This Row],[Coluna2]]*29,"mmmm")</f>
        <v>fevereiro</v>
      </c>
      <c r="I7490" t="str">
        <f>TEXT(MONTH(Tabela1[[#This Row],[Último pagto ano]])*29,"mmmm")</f>
        <v>fevereiro</v>
      </c>
    </row>
    <row r="7491" spans="1:9" x14ac:dyDescent="0.25">
      <c r="A7491">
        <v>2025</v>
      </c>
      <c r="B7491" t="s">
        <v>14913</v>
      </c>
      <c r="C7491" s="1">
        <v>45817</v>
      </c>
      <c r="D7491" t="s">
        <v>14914</v>
      </c>
      <c r="E7491">
        <v>22</v>
      </c>
      <c r="G7491" s="3">
        <f>MONTH(Tabela1[[#This Row],[Último pagto ano]])</f>
        <v>6</v>
      </c>
      <c r="H7491" t="str">
        <f>TEXT(Tabela1[[#This Row],[Coluna2]]*29,"mmmm")</f>
        <v>junho</v>
      </c>
      <c r="I7491" t="str">
        <f>TEXT(MONTH(Tabela1[[#This Row],[Último pagto ano]])*29,"mmmm")</f>
        <v>junho</v>
      </c>
    </row>
    <row r="7492" spans="1:9" x14ac:dyDescent="0.25">
      <c r="A7492">
        <v>2025</v>
      </c>
      <c r="B7492" t="s">
        <v>14915</v>
      </c>
      <c r="C7492" s="1">
        <v>46021</v>
      </c>
      <c r="D7492" t="s">
        <v>14916</v>
      </c>
      <c r="E7492" s="2">
        <v>1894.88</v>
      </c>
      <c r="G7492" s="3">
        <f>MONTH(Tabela1[[#This Row],[Último pagto ano]])</f>
        <v>12</v>
      </c>
      <c r="H7492" t="str">
        <f>TEXT(Tabela1[[#This Row],[Coluna2]]*29,"mmmm")</f>
        <v>dezembro</v>
      </c>
      <c r="I7492" t="str">
        <f>TEXT(MONTH(Tabela1[[#This Row],[Último pagto ano]])*29,"mmmm")</f>
        <v>dezembro</v>
      </c>
    </row>
    <row r="7493" spans="1:9" x14ac:dyDescent="0.25">
      <c r="A7493">
        <v>2025</v>
      </c>
      <c r="B7493" t="s">
        <v>14917</v>
      </c>
      <c r="C7493" s="1">
        <v>45747</v>
      </c>
      <c r="D7493" t="s">
        <v>14918</v>
      </c>
      <c r="E7493" s="2">
        <v>1340</v>
      </c>
      <c r="G7493" s="3">
        <f>MONTH(Tabela1[[#This Row],[Último pagto ano]])</f>
        <v>3</v>
      </c>
      <c r="H7493" t="str">
        <f>TEXT(Tabela1[[#This Row],[Coluna2]]*29,"mmmm")</f>
        <v>março</v>
      </c>
      <c r="I7493" t="str">
        <f>TEXT(MONTH(Tabela1[[#This Row],[Último pagto ano]])*29,"mmmm")</f>
        <v>março</v>
      </c>
    </row>
    <row r="7494" spans="1:9" x14ac:dyDescent="0.25">
      <c r="A7494">
        <v>2025</v>
      </c>
      <c r="B7494" t="s">
        <v>14919</v>
      </c>
      <c r="C7494" s="1">
        <v>45992</v>
      </c>
      <c r="D7494" t="s">
        <v>14920</v>
      </c>
      <c r="E7494" s="2">
        <v>2340</v>
      </c>
      <c r="G7494" s="3">
        <f>MONTH(Tabela1[[#This Row],[Último pagto ano]])</f>
        <v>12</v>
      </c>
      <c r="H7494" t="str">
        <f>TEXT(Tabela1[[#This Row],[Coluna2]]*29,"mmmm")</f>
        <v>dezembro</v>
      </c>
      <c r="I7494" t="str">
        <f>TEXT(MONTH(Tabela1[[#This Row],[Último pagto ano]])*29,"mmmm")</f>
        <v>dezembro</v>
      </c>
    </row>
    <row r="7495" spans="1:9" x14ac:dyDescent="0.25">
      <c r="A7495">
        <v>2025</v>
      </c>
      <c r="B7495" t="s">
        <v>14921</v>
      </c>
      <c r="C7495" s="1">
        <v>45995</v>
      </c>
      <c r="D7495" t="s">
        <v>14922</v>
      </c>
      <c r="E7495">
        <v>88</v>
      </c>
      <c r="G7495" s="3">
        <f>MONTH(Tabela1[[#This Row],[Último pagto ano]])</f>
        <v>12</v>
      </c>
      <c r="H7495" t="str">
        <f>TEXT(Tabela1[[#This Row],[Coluna2]]*29,"mmmm")</f>
        <v>dezembro</v>
      </c>
      <c r="I7495" t="str">
        <f>TEXT(MONTH(Tabela1[[#This Row],[Último pagto ano]])*29,"mmmm")</f>
        <v>dezembro</v>
      </c>
    </row>
    <row r="7496" spans="1:9" x14ac:dyDescent="0.25">
      <c r="A7496">
        <v>2025</v>
      </c>
      <c r="B7496" t="s">
        <v>14923</v>
      </c>
      <c r="C7496" s="1">
        <v>45702</v>
      </c>
      <c r="D7496" t="s">
        <v>14924</v>
      </c>
      <c r="E7496" s="2">
        <v>1200.3900000000001</v>
      </c>
      <c r="G7496" s="3">
        <f>MONTH(Tabela1[[#This Row],[Último pagto ano]])</f>
        <v>2</v>
      </c>
      <c r="H7496" t="str">
        <f>TEXT(Tabela1[[#This Row],[Coluna2]]*29,"mmmm")</f>
        <v>fevereiro</v>
      </c>
      <c r="I7496" t="str">
        <f>TEXT(MONTH(Tabela1[[#This Row],[Último pagto ano]])*29,"mmmm")</f>
        <v>fevereiro</v>
      </c>
    </row>
    <row r="7497" spans="1:9" x14ac:dyDescent="0.25">
      <c r="A7497">
        <v>2025</v>
      </c>
      <c r="B7497" t="s">
        <v>14925</v>
      </c>
      <c r="C7497" s="1">
        <v>45992</v>
      </c>
      <c r="D7497" t="s">
        <v>14926</v>
      </c>
      <c r="E7497" s="2">
        <v>243468.55</v>
      </c>
      <c r="G7497" s="3">
        <f>MONTH(Tabela1[[#This Row],[Último pagto ano]])</f>
        <v>12</v>
      </c>
      <c r="H7497" t="str">
        <f>TEXT(Tabela1[[#This Row],[Coluna2]]*29,"mmmm")</f>
        <v>dezembro</v>
      </c>
      <c r="I7497" t="str">
        <f>TEXT(MONTH(Tabela1[[#This Row],[Último pagto ano]])*29,"mmmm")</f>
        <v>dezembro</v>
      </c>
    </row>
    <row r="7498" spans="1:9" x14ac:dyDescent="0.25">
      <c r="A7498">
        <v>2025</v>
      </c>
      <c r="B7498" t="s">
        <v>14927</v>
      </c>
      <c r="C7498" s="1">
        <v>45980</v>
      </c>
      <c r="D7498" t="s">
        <v>14928</v>
      </c>
      <c r="E7498" s="2">
        <v>3375</v>
      </c>
      <c r="G7498" s="3">
        <f>MONTH(Tabela1[[#This Row],[Último pagto ano]])</f>
        <v>11</v>
      </c>
      <c r="H7498" t="str">
        <f>TEXT(Tabela1[[#This Row],[Coluna2]]*29,"mmmm")</f>
        <v>novembro</v>
      </c>
      <c r="I7498" t="str">
        <f>TEXT(MONTH(Tabela1[[#This Row],[Último pagto ano]])*29,"mmmm")</f>
        <v>novembro</v>
      </c>
    </row>
    <row r="7499" spans="1:9" x14ac:dyDescent="0.25">
      <c r="A7499">
        <v>2025</v>
      </c>
      <c r="B7499" t="s">
        <v>14929</v>
      </c>
      <c r="C7499" s="1">
        <v>45971</v>
      </c>
      <c r="D7499" t="s">
        <v>14930</v>
      </c>
      <c r="E7499" s="2">
        <v>32498</v>
      </c>
      <c r="G7499" s="3">
        <f>MONTH(Tabela1[[#This Row],[Último pagto ano]])</f>
        <v>11</v>
      </c>
      <c r="H7499" t="str">
        <f>TEXT(Tabela1[[#This Row],[Coluna2]]*29,"mmmm")</f>
        <v>novembro</v>
      </c>
      <c r="I7499" t="str">
        <f>TEXT(MONTH(Tabela1[[#This Row],[Último pagto ano]])*29,"mmmm")</f>
        <v>novembro</v>
      </c>
    </row>
    <row r="7500" spans="1:9" x14ac:dyDescent="0.25">
      <c r="A7500">
        <v>2025</v>
      </c>
      <c r="B7500" t="s">
        <v>14931</v>
      </c>
      <c r="C7500" s="1">
        <v>45968</v>
      </c>
      <c r="D7500" t="s">
        <v>14932</v>
      </c>
      <c r="E7500" s="2">
        <v>10000</v>
      </c>
      <c r="G7500" s="3">
        <f>MONTH(Tabela1[[#This Row],[Último pagto ano]])</f>
        <v>11</v>
      </c>
      <c r="H7500" t="str">
        <f>TEXT(Tabela1[[#This Row],[Coluna2]]*29,"mmmm")</f>
        <v>novembro</v>
      </c>
      <c r="I7500" t="str">
        <f>TEXT(MONTH(Tabela1[[#This Row],[Último pagto ano]])*29,"mmmm")</f>
        <v>novembro</v>
      </c>
    </row>
    <row r="7501" spans="1:9" x14ac:dyDescent="0.25">
      <c r="A7501">
        <v>2025</v>
      </c>
      <c r="B7501" t="s">
        <v>14933</v>
      </c>
      <c r="C7501" s="1">
        <v>45740</v>
      </c>
      <c r="D7501" t="s">
        <v>14934</v>
      </c>
      <c r="E7501">
        <v>22</v>
      </c>
      <c r="G7501" s="3">
        <f>MONTH(Tabela1[[#This Row],[Último pagto ano]])</f>
        <v>3</v>
      </c>
      <c r="H7501" t="str">
        <f>TEXT(Tabela1[[#This Row],[Coluna2]]*29,"mmmm")</f>
        <v>março</v>
      </c>
      <c r="I7501" t="str">
        <f>TEXT(MONTH(Tabela1[[#This Row],[Último pagto ano]])*29,"mmmm")</f>
        <v>março</v>
      </c>
    </row>
    <row r="7502" spans="1:9" x14ac:dyDescent="0.25">
      <c r="A7502">
        <v>2025</v>
      </c>
      <c r="B7502" t="s">
        <v>14935</v>
      </c>
      <c r="C7502" s="1">
        <v>45968</v>
      </c>
      <c r="D7502" t="s">
        <v>14936</v>
      </c>
      <c r="E7502" s="2">
        <v>9000</v>
      </c>
      <c r="G7502" s="3">
        <f>MONTH(Tabela1[[#This Row],[Último pagto ano]])</f>
        <v>11</v>
      </c>
      <c r="H7502" t="str">
        <f>TEXT(Tabela1[[#This Row],[Coluna2]]*29,"mmmm")</f>
        <v>novembro</v>
      </c>
      <c r="I7502" t="str">
        <f>TEXT(MONTH(Tabela1[[#This Row],[Último pagto ano]])*29,"mmmm")</f>
        <v>novembro</v>
      </c>
    </row>
    <row r="7503" spans="1:9" x14ac:dyDescent="0.25">
      <c r="A7503">
        <v>2025</v>
      </c>
      <c r="B7503" t="s">
        <v>14937</v>
      </c>
      <c r="C7503" s="1">
        <v>45782</v>
      </c>
      <c r="D7503" t="s">
        <v>14938</v>
      </c>
      <c r="E7503">
        <v>22</v>
      </c>
      <c r="G7503" s="3">
        <f>MONTH(Tabela1[[#This Row],[Último pagto ano]])</f>
        <v>5</v>
      </c>
      <c r="H7503" t="str">
        <f>TEXT(Tabela1[[#This Row],[Coluna2]]*29,"mmmm")</f>
        <v>maio</v>
      </c>
      <c r="I7503" t="str">
        <f>TEXT(MONTH(Tabela1[[#This Row],[Último pagto ano]])*29,"mmmm")</f>
        <v>maio</v>
      </c>
    </row>
    <row r="7504" spans="1:9" x14ac:dyDescent="0.25">
      <c r="A7504">
        <v>2025</v>
      </c>
      <c r="B7504" t="s">
        <v>14939</v>
      </c>
      <c r="C7504" s="1">
        <v>46006</v>
      </c>
      <c r="D7504" t="s">
        <v>14940</v>
      </c>
      <c r="E7504">
        <v>231</v>
      </c>
      <c r="G7504" s="3">
        <f>MONTH(Tabela1[[#This Row],[Último pagto ano]])</f>
        <v>12</v>
      </c>
      <c r="H7504" t="str">
        <f>TEXT(Tabela1[[#This Row],[Coluna2]]*29,"mmmm")</f>
        <v>dezembro</v>
      </c>
      <c r="I7504" t="str">
        <f>TEXT(MONTH(Tabela1[[#This Row],[Último pagto ano]])*29,"mmmm")</f>
        <v>dezembro</v>
      </c>
    </row>
    <row r="7505" spans="1:9" x14ac:dyDescent="0.25">
      <c r="A7505">
        <v>2025</v>
      </c>
      <c r="B7505" t="s">
        <v>14941</v>
      </c>
      <c r="C7505" s="1">
        <v>45672</v>
      </c>
      <c r="D7505" t="s">
        <v>14942</v>
      </c>
      <c r="E7505">
        <v>565.76</v>
      </c>
      <c r="G7505" s="3">
        <f>MONTH(Tabela1[[#This Row],[Último pagto ano]])</f>
        <v>1</v>
      </c>
      <c r="H7505" t="str">
        <f>TEXT(Tabela1[[#This Row],[Coluna2]]*29,"mmmm")</f>
        <v>janeiro</v>
      </c>
      <c r="I7505" t="str">
        <f>TEXT(MONTH(Tabela1[[#This Row],[Último pagto ano]])*29,"mmmm")</f>
        <v>janeiro</v>
      </c>
    </row>
    <row r="7506" spans="1:9" x14ac:dyDescent="0.25">
      <c r="A7506">
        <v>2025</v>
      </c>
      <c r="B7506" t="s">
        <v>14943</v>
      </c>
      <c r="C7506" s="1">
        <v>46010</v>
      </c>
      <c r="D7506" t="s">
        <v>14944</v>
      </c>
      <c r="E7506" s="2">
        <v>8400</v>
      </c>
      <c r="G7506" s="3">
        <f>MONTH(Tabela1[[#This Row],[Último pagto ano]])</f>
        <v>12</v>
      </c>
      <c r="H7506" t="str">
        <f>TEXT(Tabela1[[#This Row],[Coluna2]]*29,"mmmm")</f>
        <v>dezembro</v>
      </c>
      <c r="I7506" t="str">
        <f>TEXT(MONTH(Tabela1[[#This Row],[Último pagto ano]])*29,"mmmm")</f>
        <v>dezembro</v>
      </c>
    </row>
    <row r="7507" spans="1:9" x14ac:dyDescent="0.25">
      <c r="A7507">
        <v>2025</v>
      </c>
      <c r="B7507" t="s">
        <v>14945</v>
      </c>
      <c r="C7507" s="1">
        <v>45807</v>
      </c>
      <c r="D7507" t="s">
        <v>14946</v>
      </c>
      <c r="E7507">
        <v>123.11</v>
      </c>
      <c r="G7507" s="3">
        <f>MONTH(Tabela1[[#This Row],[Último pagto ano]])</f>
        <v>5</v>
      </c>
      <c r="H7507" t="str">
        <f>TEXT(Tabela1[[#This Row],[Coluna2]]*29,"mmmm")</f>
        <v>maio</v>
      </c>
      <c r="I7507" t="str">
        <f>TEXT(MONTH(Tabela1[[#This Row],[Último pagto ano]])*29,"mmmm")</f>
        <v>maio</v>
      </c>
    </row>
    <row r="7508" spans="1:9" x14ac:dyDescent="0.25">
      <c r="A7508">
        <v>2025</v>
      </c>
      <c r="B7508" t="s">
        <v>14947</v>
      </c>
      <c r="C7508" s="1">
        <v>45824</v>
      </c>
      <c r="D7508" t="s">
        <v>14948</v>
      </c>
      <c r="E7508" s="2">
        <v>2935.04</v>
      </c>
      <c r="G7508" s="3">
        <f>MONTH(Tabela1[[#This Row],[Último pagto ano]])</f>
        <v>6</v>
      </c>
      <c r="H7508" t="str">
        <f>TEXT(Tabela1[[#This Row],[Coluna2]]*29,"mmmm")</f>
        <v>junho</v>
      </c>
      <c r="I7508" t="str">
        <f>TEXT(MONTH(Tabela1[[#This Row],[Último pagto ano]])*29,"mmmm")</f>
        <v>junho</v>
      </c>
    </row>
    <row r="7509" spans="1:9" x14ac:dyDescent="0.25">
      <c r="A7509">
        <v>2025</v>
      </c>
      <c r="B7509" t="s">
        <v>14949</v>
      </c>
      <c r="C7509" s="1">
        <v>45841</v>
      </c>
      <c r="D7509" t="s">
        <v>14950</v>
      </c>
      <c r="E7509" s="2">
        <v>5544.81</v>
      </c>
      <c r="G7509" s="3">
        <f>MONTH(Tabela1[[#This Row],[Último pagto ano]])</f>
        <v>7</v>
      </c>
      <c r="H7509" t="str">
        <f>TEXT(Tabela1[[#This Row],[Coluna2]]*29,"mmmm")</f>
        <v>julho</v>
      </c>
      <c r="I7509" t="str">
        <f>TEXT(MONTH(Tabela1[[#This Row],[Último pagto ano]])*29,"mmmm")</f>
        <v>julho</v>
      </c>
    </row>
    <row r="7510" spans="1:9" x14ac:dyDescent="0.25">
      <c r="A7510">
        <v>2025</v>
      </c>
      <c r="B7510" t="s">
        <v>14951</v>
      </c>
      <c r="C7510" s="1">
        <v>45999</v>
      </c>
      <c r="D7510" t="s">
        <v>14952</v>
      </c>
      <c r="E7510">
        <v>198</v>
      </c>
      <c r="G7510" s="3">
        <f>MONTH(Tabela1[[#This Row],[Último pagto ano]])</f>
        <v>12</v>
      </c>
      <c r="H7510" t="str">
        <f>TEXT(Tabela1[[#This Row],[Coluna2]]*29,"mmmm")</f>
        <v>dezembro</v>
      </c>
      <c r="I7510" t="str">
        <f>TEXT(MONTH(Tabela1[[#This Row],[Último pagto ano]])*29,"mmmm")</f>
        <v>dezembro</v>
      </c>
    </row>
    <row r="7511" spans="1:9" x14ac:dyDescent="0.25">
      <c r="A7511">
        <v>2025</v>
      </c>
      <c r="B7511" t="s">
        <v>14953</v>
      </c>
      <c r="C7511" s="1">
        <v>45897</v>
      </c>
      <c r="D7511" t="s">
        <v>14954</v>
      </c>
      <c r="E7511" s="2">
        <v>2086.5</v>
      </c>
      <c r="G7511" s="3">
        <f>MONTH(Tabela1[[#This Row],[Último pagto ano]])</f>
        <v>8</v>
      </c>
      <c r="H7511" t="str">
        <f>TEXT(Tabela1[[#This Row],[Coluna2]]*29,"mmmm")</f>
        <v>agosto</v>
      </c>
      <c r="I7511" t="str">
        <f>TEXT(MONTH(Tabela1[[#This Row],[Último pagto ano]])*29,"mmmm")</f>
        <v>agosto</v>
      </c>
    </row>
    <row r="7512" spans="1:9" x14ac:dyDescent="0.25">
      <c r="A7512">
        <v>2025</v>
      </c>
      <c r="B7512" t="s">
        <v>14955</v>
      </c>
      <c r="C7512" s="1">
        <v>45989</v>
      </c>
      <c r="D7512" t="s">
        <v>14956</v>
      </c>
      <c r="E7512" s="2">
        <v>8879.2999999999993</v>
      </c>
      <c r="G7512" s="3">
        <f>MONTH(Tabela1[[#This Row],[Último pagto ano]])</f>
        <v>11</v>
      </c>
      <c r="H7512" t="str">
        <f>TEXT(Tabela1[[#This Row],[Coluna2]]*29,"mmmm")</f>
        <v>novembro</v>
      </c>
      <c r="I7512" t="str">
        <f>TEXT(MONTH(Tabela1[[#This Row],[Último pagto ano]])*29,"mmmm")</f>
        <v>novembro</v>
      </c>
    </row>
    <row r="7513" spans="1:9" x14ac:dyDescent="0.25">
      <c r="A7513">
        <v>2025</v>
      </c>
      <c r="B7513" t="s">
        <v>14957</v>
      </c>
      <c r="C7513" s="1">
        <v>45838</v>
      </c>
      <c r="D7513" t="s">
        <v>14958</v>
      </c>
      <c r="E7513">
        <v>476.98</v>
      </c>
      <c r="G7513" s="3">
        <f>MONTH(Tabela1[[#This Row],[Último pagto ano]])</f>
        <v>6</v>
      </c>
      <c r="H7513" t="str">
        <f>TEXT(Tabela1[[#This Row],[Coluna2]]*29,"mmmm")</f>
        <v>junho</v>
      </c>
      <c r="I7513" t="str">
        <f>TEXT(MONTH(Tabela1[[#This Row],[Último pagto ano]])*29,"mmmm")</f>
        <v>junho</v>
      </c>
    </row>
    <row r="7514" spans="1:9" x14ac:dyDescent="0.25">
      <c r="A7514">
        <v>2025</v>
      </c>
      <c r="B7514" t="s">
        <v>14959</v>
      </c>
      <c r="C7514" s="1">
        <v>46013</v>
      </c>
      <c r="D7514" t="s">
        <v>14960</v>
      </c>
      <c r="E7514" s="2">
        <v>3434.4</v>
      </c>
      <c r="G7514" s="3">
        <f>MONTH(Tabela1[[#This Row],[Último pagto ano]])</f>
        <v>12</v>
      </c>
      <c r="H7514" t="str">
        <f>TEXT(Tabela1[[#This Row],[Coluna2]]*29,"mmmm")</f>
        <v>dezembro</v>
      </c>
      <c r="I7514" t="str">
        <f>TEXT(MONTH(Tabela1[[#This Row],[Último pagto ano]])*29,"mmmm")</f>
        <v>dezembro</v>
      </c>
    </row>
    <row r="7515" spans="1:9" x14ac:dyDescent="0.25">
      <c r="A7515">
        <v>2025</v>
      </c>
      <c r="B7515" t="s">
        <v>14961</v>
      </c>
      <c r="C7515" s="1">
        <v>45995</v>
      </c>
      <c r="D7515" t="s">
        <v>14962</v>
      </c>
      <c r="E7515">
        <v>66</v>
      </c>
      <c r="G7515" s="3">
        <f>MONTH(Tabela1[[#This Row],[Último pagto ano]])</f>
        <v>12</v>
      </c>
      <c r="H7515" t="str">
        <f>TEXT(Tabela1[[#This Row],[Coluna2]]*29,"mmmm")</f>
        <v>dezembro</v>
      </c>
      <c r="I7515" t="str">
        <f>TEXT(MONTH(Tabela1[[#This Row],[Último pagto ano]])*29,"mmmm")</f>
        <v>dezembro</v>
      </c>
    </row>
    <row r="7516" spans="1:9" x14ac:dyDescent="0.25">
      <c r="A7516">
        <v>2025</v>
      </c>
      <c r="B7516" t="s">
        <v>14963</v>
      </c>
      <c r="C7516" s="1">
        <v>45733</v>
      </c>
      <c r="D7516" t="s">
        <v>14964</v>
      </c>
      <c r="E7516" s="2">
        <v>1467.52</v>
      </c>
      <c r="G7516" s="3">
        <f>MONTH(Tabela1[[#This Row],[Último pagto ano]])</f>
        <v>3</v>
      </c>
      <c r="H7516" t="str">
        <f>TEXT(Tabela1[[#This Row],[Coluna2]]*29,"mmmm")</f>
        <v>março</v>
      </c>
      <c r="I7516" t="str">
        <f>TEXT(MONTH(Tabela1[[#This Row],[Último pagto ano]])*29,"mmmm")</f>
        <v>março</v>
      </c>
    </row>
    <row r="7517" spans="1:9" x14ac:dyDescent="0.25">
      <c r="A7517">
        <v>2025</v>
      </c>
      <c r="B7517" t="s">
        <v>14965</v>
      </c>
      <c r="C7517" s="1">
        <v>45929</v>
      </c>
      <c r="D7517" t="s">
        <v>14966</v>
      </c>
      <c r="E7517" s="2">
        <v>2340</v>
      </c>
      <c r="G7517" s="3">
        <f>MONTH(Tabela1[[#This Row],[Último pagto ano]])</f>
        <v>9</v>
      </c>
      <c r="H7517" t="str">
        <f>TEXT(Tabela1[[#This Row],[Coluna2]]*29,"mmmm")</f>
        <v>setembro</v>
      </c>
      <c r="I7517" t="str">
        <f>TEXT(MONTH(Tabela1[[#This Row],[Último pagto ano]])*29,"mmmm")</f>
        <v>setembro</v>
      </c>
    </row>
    <row r="7518" spans="1:9" x14ac:dyDescent="0.25">
      <c r="A7518">
        <v>2025</v>
      </c>
      <c r="B7518" t="s">
        <v>14967</v>
      </c>
      <c r="C7518" s="1">
        <v>46021</v>
      </c>
      <c r="D7518" t="s">
        <v>14968</v>
      </c>
      <c r="E7518" s="2">
        <v>10341.15</v>
      </c>
      <c r="G7518" s="3">
        <f>MONTH(Tabela1[[#This Row],[Último pagto ano]])</f>
        <v>12</v>
      </c>
      <c r="H7518" t="str">
        <f>TEXT(Tabela1[[#This Row],[Coluna2]]*29,"mmmm")</f>
        <v>dezembro</v>
      </c>
      <c r="I7518" t="str">
        <f>TEXT(MONTH(Tabela1[[#This Row],[Último pagto ano]])*29,"mmmm")</f>
        <v>dezembro</v>
      </c>
    </row>
    <row r="7519" spans="1:9" x14ac:dyDescent="0.25">
      <c r="A7519">
        <v>2025</v>
      </c>
      <c r="B7519" t="s">
        <v>14969</v>
      </c>
      <c r="C7519" s="1">
        <v>46010</v>
      </c>
      <c r="D7519" t="s">
        <v>14970</v>
      </c>
      <c r="E7519" s="2">
        <v>12000</v>
      </c>
      <c r="G7519" s="3">
        <f>MONTH(Tabela1[[#This Row],[Último pagto ano]])</f>
        <v>12</v>
      </c>
      <c r="H7519" t="str">
        <f>TEXT(Tabela1[[#This Row],[Coluna2]]*29,"mmmm")</f>
        <v>dezembro</v>
      </c>
      <c r="I7519" t="str">
        <f>TEXT(MONTH(Tabela1[[#This Row],[Último pagto ano]])*29,"mmmm")</f>
        <v>dezembro</v>
      </c>
    </row>
    <row r="7520" spans="1:9" x14ac:dyDescent="0.25">
      <c r="A7520">
        <v>2025</v>
      </c>
      <c r="B7520" t="s">
        <v>14971</v>
      </c>
      <c r="C7520" s="1">
        <v>46014</v>
      </c>
      <c r="D7520" t="s">
        <v>14972</v>
      </c>
      <c r="E7520">
        <v>44</v>
      </c>
      <c r="G7520" s="3">
        <f>MONTH(Tabela1[[#This Row],[Último pagto ano]])</f>
        <v>12</v>
      </c>
      <c r="H7520" t="str">
        <f>TEXT(Tabela1[[#This Row],[Coluna2]]*29,"mmmm")</f>
        <v>dezembro</v>
      </c>
      <c r="I7520" t="str">
        <f>TEXT(MONTH(Tabela1[[#This Row],[Último pagto ano]])*29,"mmmm")</f>
        <v>dezembro</v>
      </c>
    </row>
    <row r="7521" spans="1:9" x14ac:dyDescent="0.25">
      <c r="A7521">
        <v>2025</v>
      </c>
      <c r="B7521" t="s">
        <v>14973</v>
      </c>
      <c r="C7521" s="1">
        <v>45996</v>
      </c>
      <c r="D7521" t="s">
        <v>14974</v>
      </c>
      <c r="E7521" s="2">
        <v>3000</v>
      </c>
      <c r="G7521" s="3">
        <f>MONTH(Tabela1[[#This Row],[Último pagto ano]])</f>
        <v>12</v>
      </c>
      <c r="H7521" t="str">
        <f>TEXT(Tabela1[[#This Row],[Coluna2]]*29,"mmmm")</f>
        <v>dezembro</v>
      </c>
      <c r="I7521" t="str">
        <f>TEXT(MONTH(Tabela1[[#This Row],[Último pagto ano]])*29,"mmmm")</f>
        <v>dezembro</v>
      </c>
    </row>
    <row r="7522" spans="1:9" x14ac:dyDescent="0.25">
      <c r="A7522">
        <v>2025</v>
      </c>
      <c r="B7522" t="s">
        <v>14975</v>
      </c>
      <c r="C7522" s="1">
        <v>45876</v>
      </c>
      <c r="D7522" t="s">
        <v>14976</v>
      </c>
      <c r="E7522" s="2">
        <v>4500</v>
      </c>
      <c r="G7522" s="3">
        <f>MONTH(Tabela1[[#This Row],[Último pagto ano]])</f>
        <v>8</v>
      </c>
      <c r="H7522" t="str">
        <f>TEXT(Tabela1[[#This Row],[Coluna2]]*29,"mmmm")</f>
        <v>agosto</v>
      </c>
      <c r="I7522" t="str">
        <f>TEXT(MONTH(Tabela1[[#This Row],[Último pagto ano]])*29,"mmmm")</f>
        <v>agosto</v>
      </c>
    </row>
    <row r="7523" spans="1:9" x14ac:dyDescent="0.25">
      <c r="A7523">
        <v>2025</v>
      </c>
      <c r="B7523" t="s">
        <v>14977</v>
      </c>
      <c r="C7523" s="1">
        <v>45901</v>
      </c>
      <c r="D7523" t="s">
        <v>14978</v>
      </c>
      <c r="E7523">
        <v>44</v>
      </c>
      <c r="G7523" s="3">
        <f>MONTH(Tabela1[[#This Row],[Último pagto ano]])</f>
        <v>9</v>
      </c>
      <c r="H7523" t="str">
        <f>TEXT(Tabela1[[#This Row],[Coluna2]]*29,"mmmm")</f>
        <v>setembro</v>
      </c>
      <c r="I7523" t="str">
        <f>TEXT(MONTH(Tabela1[[#This Row],[Último pagto ano]])*29,"mmmm")</f>
        <v>setembro</v>
      </c>
    </row>
    <row r="7524" spans="1:9" x14ac:dyDescent="0.25">
      <c r="A7524">
        <v>2025</v>
      </c>
      <c r="B7524" t="s">
        <v>14979</v>
      </c>
      <c r="C7524" s="1">
        <v>45835</v>
      </c>
      <c r="D7524" t="s">
        <v>14980</v>
      </c>
      <c r="E7524">
        <v>22</v>
      </c>
      <c r="G7524" s="3">
        <f>MONTH(Tabela1[[#This Row],[Último pagto ano]])</f>
        <v>6</v>
      </c>
      <c r="H7524" t="str">
        <f>TEXT(Tabela1[[#This Row],[Coluna2]]*29,"mmmm")</f>
        <v>junho</v>
      </c>
      <c r="I7524" t="str">
        <f>TEXT(MONTH(Tabela1[[#This Row],[Último pagto ano]])*29,"mmmm")</f>
        <v>junho</v>
      </c>
    </row>
    <row r="7525" spans="1:9" x14ac:dyDescent="0.25">
      <c r="A7525">
        <v>2025</v>
      </c>
      <c r="B7525" t="s">
        <v>14981</v>
      </c>
      <c r="C7525" s="1">
        <v>45702</v>
      </c>
      <c r="D7525" t="s">
        <v>14982</v>
      </c>
      <c r="E7525">
        <v>270.19</v>
      </c>
      <c r="G7525" s="3">
        <f>MONTH(Tabela1[[#This Row],[Último pagto ano]])</f>
        <v>2</v>
      </c>
      <c r="H7525" t="str">
        <f>TEXT(Tabela1[[#This Row],[Coluna2]]*29,"mmmm")</f>
        <v>fevereiro</v>
      </c>
      <c r="I7525" t="str">
        <f>TEXT(MONTH(Tabela1[[#This Row],[Último pagto ano]])*29,"mmmm")</f>
        <v>fevereiro</v>
      </c>
    </row>
    <row r="7526" spans="1:9" x14ac:dyDescent="0.25">
      <c r="A7526">
        <v>2025</v>
      </c>
      <c r="B7526" t="s">
        <v>14983</v>
      </c>
      <c r="C7526" s="1">
        <v>45796</v>
      </c>
      <c r="D7526" t="s">
        <v>14984</v>
      </c>
      <c r="E7526">
        <v>982.8</v>
      </c>
      <c r="G7526" s="3">
        <f>MONTH(Tabela1[[#This Row],[Último pagto ano]])</f>
        <v>5</v>
      </c>
      <c r="H7526" t="str">
        <f>TEXT(Tabela1[[#This Row],[Coluna2]]*29,"mmmm")</f>
        <v>maio</v>
      </c>
      <c r="I7526" t="str">
        <f>TEXT(MONTH(Tabela1[[#This Row],[Último pagto ano]])*29,"mmmm")</f>
        <v>maio</v>
      </c>
    </row>
    <row r="7527" spans="1:9" x14ac:dyDescent="0.25">
      <c r="A7527">
        <v>2025</v>
      </c>
      <c r="B7527" t="s">
        <v>14985</v>
      </c>
      <c r="C7527" s="1">
        <v>45763</v>
      </c>
      <c r="D7527" t="s">
        <v>14986</v>
      </c>
      <c r="E7527" s="2">
        <v>23904</v>
      </c>
      <c r="G7527" s="3">
        <f>MONTH(Tabela1[[#This Row],[Último pagto ano]])</f>
        <v>4</v>
      </c>
      <c r="H7527" t="str">
        <f>TEXT(Tabela1[[#This Row],[Coluna2]]*29,"mmmm")</f>
        <v>abril</v>
      </c>
      <c r="I7527" t="str">
        <f>TEXT(MONTH(Tabela1[[#This Row],[Último pagto ano]])*29,"mmmm")</f>
        <v>abril</v>
      </c>
    </row>
    <row r="7528" spans="1:9" x14ac:dyDescent="0.25">
      <c r="A7528">
        <v>2025</v>
      </c>
      <c r="B7528" t="s">
        <v>14987</v>
      </c>
      <c r="C7528" s="1">
        <v>45831</v>
      </c>
      <c r="D7528" t="s">
        <v>14988</v>
      </c>
      <c r="E7528" s="2">
        <v>4243.8999999999996</v>
      </c>
      <c r="G7528" s="3">
        <f>MONTH(Tabela1[[#This Row],[Último pagto ano]])</f>
        <v>6</v>
      </c>
      <c r="H7528" t="str">
        <f>TEXT(Tabela1[[#This Row],[Coluna2]]*29,"mmmm")</f>
        <v>junho</v>
      </c>
      <c r="I7528" t="str">
        <f>TEXT(MONTH(Tabela1[[#This Row],[Último pagto ano]])*29,"mmmm")</f>
        <v>junho</v>
      </c>
    </row>
    <row r="7529" spans="1:9" x14ac:dyDescent="0.25">
      <c r="A7529">
        <v>2025</v>
      </c>
      <c r="B7529" t="s">
        <v>14989</v>
      </c>
      <c r="C7529" s="1">
        <v>46006</v>
      </c>
      <c r="D7529" t="s">
        <v>14990</v>
      </c>
      <c r="E7529" s="2">
        <v>71464.77</v>
      </c>
      <c r="G7529" s="3">
        <f>MONTH(Tabela1[[#This Row],[Último pagto ano]])</f>
        <v>12</v>
      </c>
      <c r="H7529" t="str">
        <f>TEXT(Tabela1[[#This Row],[Coluna2]]*29,"mmmm")</f>
        <v>dezembro</v>
      </c>
      <c r="I7529" t="str">
        <f>TEXT(MONTH(Tabela1[[#This Row],[Último pagto ano]])*29,"mmmm")</f>
        <v>dezembro</v>
      </c>
    </row>
    <row r="7530" spans="1:9" x14ac:dyDescent="0.25">
      <c r="A7530">
        <v>2025</v>
      </c>
      <c r="B7530" t="s">
        <v>14991</v>
      </c>
      <c r="C7530" s="1">
        <v>45901</v>
      </c>
      <c r="D7530" t="s">
        <v>14992</v>
      </c>
      <c r="E7530" s="2">
        <v>428000</v>
      </c>
      <c r="G7530" s="3">
        <f>MONTH(Tabela1[[#This Row],[Último pagto ano]])</f>
        <v>9</v>
      </c>
      <c r="H7530" t="str">
        <f>TEXT(Tabela1[[#This Row],[Coluna2]]*29,"mmmm")</f>
        <v>setembro</v>
      </c>
      <c r="I7530" t="str">
        <f>TEXT(MONTH(Tabela1[[#This Row],[Último pagto ano]])*29,"mmmm")</f>
        <v>setembro</v>
      </c>
    </row>
    <row r="7531" spans="1:9" x14ac:dyDescent="0.25">
      <c r="A7531">
        <v>2025</v>
      </c>
      <c r="B7531" t="s">
        <v>14993</v>
      </c>
      <c r="C7531" s="1">
        <v>45852</v>
      </c>
      <c r="D7531" t="s">
        <v>14994</v>
      </c>
      <c r="E7531" s="2">
        <v>28500</v>
      </c>
      <c r="G7531" s="3">
        <f>MONTH(Tabela1[[#This Row],[Último pagto ano]])</f>
        <v>7</v>
      </c>
      <c r="H7531" t="str">
        <f>TEXT(Tabela1[[#This Row],[Coluna2]]*29,"mmmm")</f>
        <v>julho</v>
      </c>
      <c r="I7531" t="str">
        <f>TEXT(MONTH(Tabela1[[#This Row],[Último pagto ano]])*29,"mmmm")</f>
        <v>julho</v>
      </c>
    </row>
    <row r="7532" spans="1:9" x14ac:dyDescent="0.25">
      <c r="A7532">
        <v>2025</v>
      </c>
      <c r="B7532" t="s">
        <v>14995</v>
      </c>
      <c r="C7532" s="1">
        <v>45894</v>
      </c>
      <c r="D7532" t="s">
        <v>14996</v>
      </c>
      <c r="E7532" s="2">
        <v>6940</v>
      </c>
      <c r="G7532" s="3">
        <f>MONTH(Tabela1[[#This Row],[Último pagto ano]])</f>
        <v>8</v>
      </c>
      <c r="H7532" t="str">
        <f>TEXT(Tabela1[[#This Row],[Coluna2]]*29,"mmmm")</f>
        <v>agosto</v>
      </c>
      <c r="I7532" t="str">
        <f>TEXT(MONTH(Tabela1[[#This Row],[Último pagto ano]])*29,"mmmm")</f>
        <v>agosto</v>
      </c>
    </row>
    <row r="7533" spans="1:9" x14ac:dyDescent="0.25">
      <c r="A7533">
        <v>2025</v>
      </c>
      <c r="B7533" t="s">
        <v>14997</v>
      </c>
      <c r="C7533" s="1">
        <v>45702</v>
      </c>
      <c r="D7533" t="s">
        <v>14998</v>
      </c>
      <c r="E7533">
        <v>853.67</v>
      </c>
      <c r="G7533" s="3">
        <f>MONTH(Tabela1[[#This Row],[Último pagto ano]])</f>
        <v>2</v>
      </c>
      <c r="H7533" t="str">
        <f>TEXT(Tabela1[[#This Row],[Coluna2]]*29,"mmmm")</f>
        <v>fevereiro</v>
      </c>
      <c r="I7533" t="str">
        <f>TEXT(MONTH(Tabela1[[#This Row],[Último pagto ano]])*29,"mmmm")</f>
        <v>fevereiro</v>
      </c>
    </row>
    <row r="7534" spans="1:9" x14ac:dyDescent="0.25">
      <c r="A7534">
        <v>2025</v>
      </c>
      <c r="B7534" t="s">
        <v>14999</v>
      </c>
      <c r="C7534" s="1">
        <v>46021</v>
      </c>
      <c r="D7534" t="s">
        <v>15000</v>
      </c>
      <c r="E7534" s="2">
        <v>7497.39</v>
      </c>
      <c r="G7534" s="3">
        <f>MONTH(Tabela1[[#This Row],[Último pagto ano]])</f>
        <v>12</v>
      </c>
      <c r="H7534" t="str">
        <f>TEXT(Tabela1[[#This Row],[Coluna2]]*29,"mmmm")</f>
        <v>dezembro</v>
      </c>
      <c r="I7534" t="str">
        <f>TEXT(MONTH(Tabela1[[#This Row],[Último pagto ano]])*29,"mmmm")</f>
        <v>dezembro</v>
      </c>
    </row>
    <row r="7535" spans="1:9" x14ac:dyDescent="0.25">
      <c r="A7535">
        <v>2025</v>
      </c>
      <c r="B7535" t="s">
        <v>15001</v>
      </c>
      <c r="C7535" s="1">
        <v>45999</v>
      </c>
      <c r="D7535" t="s">
        <v>15002</v>
      </c>
      <c r="E7535">
        <v>143</v>
      </c>
      <c r="G7535" s="3">
        <f>MONTH(Tabela1[[#This Row],[Último pagto ano]])</f>
        <v>12</v>
      </c>
      <c r="H7535" t="str">
        <f>TEXT(Tabela1[[#This Row],[Coluna2]]*29,"mmmm")</f>
        <v>dezembro</v>
      </c>
      <c r="I7535" t="str">
        <f>TEXT(MONTH(Tabela1[[#This Row],[Último pagto ano]])*29,"mmmm")</f>
        <v>dezembro</v>
      </c>
    </row>
    <row r="7536" spans="1:9" x14ac:dyDescent="0.25">
      <c r="A7536">
        <v>2025</v>
      </c>
      <c r="B7536" t="s">
        <v>15003</v>
      </c>
      <c r="C7536" s="1">
        <v>46003</v>
      </c>
      <c r="D7536" t="s">
        <v>15004</v>
      </c>
      <c r="E7536" s="2">
        <v>58472.78</v>
      </c>
      <c r="G7536" s="3">
        <f>MONTH(Tabela1[[#This Row],[Último pagto ano]])</f>
        <v>12</v>
      </c>
      <c r="H7536" t="str">
        <f>TEXT(Tabela1[[#This Row],[Coluna2]]*29,"mmmm")</f>
        <v>dezembro</v>
      </c>
      <c r="I7536" t="str">
        <f>TEXT(MONTH(Tabela1[[#This Row],[Último pagto ano]])*29,"mmmm")</f>
        <v>dezembro</v>
      </c>
    </row>
    <row r="7537" spans="1:9" x14ac:dyDescent="0.25">
      <c r="A7537">
        <v>2025</v>
      </c>
      <c r="B7537" t="s">
        <v>15005</v>
      </c>
      <c r="C7537" s="1">
        <v>46010</v>
      </c>
      <c r="D7537" t="s">
        <v>15006</v>
      </c>
      <c r="E7537" s="2">
        <v>8400</v>
      </c>
      <c r="G7537" s="3">
        <f>MONTH(Tabela1[[#This Row],[Último pagto ano]])</f>
        <v>12</v>
      </c>
      <c r="H7537" t="str">
        <f>TEXT(Tabela1[[#This Row],[Coluna2]]*29,"mmmm")</f>
        <v>dezembro</v>
      </c>
      <c r="I7537" t="str">
        <f>TEXT(MONTH(Tabela1[[#This Row],[Último pagto ano]])*29,"mmmm")</f>
        <v>dezembro</v>
      </c>
    </row>
    <row r="7538" spans="1:9" x14ac:dyDescent="0.25">
      <c r="A7538">
        <v>2025</v>
      </c>
      <c r="B7538" t="s">
        <v>15007</v>
      </c>
      <c r="C7538" s="1">
        <v>45989</v>
      </c>
      <c r="D7538" t="s">
        <v>15008</v>
      </c>
      <c r="E7538" s="2">
        <v>11429.34</v>
      </c>
      <c r="G7538" s="3">
        <f>MONTH(Tabela1[[#This Row],[Último pagto ano]])</f>
        <v>11</v>
      </c>
      <c r="H7538" t="str">
        <f>TEXT(Tabela1[[#This Row],[Coluna2]]*29,"mmmm")</f>
        <v>novembro</v>
      </c>
      <c r="I7538" t="str">
        <f>TEXT(MONTH(Tabela1[[#This Row],[Último pagto ano]])*29,"mmmm")</f>
        <v>novembro</v>
      </c>
    </row>
    <row r="7539" spans="1:9" x14ac:dyDescent="0.25">
      <c r="A7539">
        <v>2025</v>
      </c>
      <c r="B7539" t="s">
        <v>15009</v>
      </c>
      <c r="C7539" s="1">
        <v>45702</v>
      </c>
      <c r="D7539" t="s">
        <v>15010</v>
      </c>
      <c r="E7539">
        <v>21.64</v>
      </c>
      <c r="G7539" s="3">
        <f>MONTH(Tabela1[[#This Row],[Último pagto ano]])</f>
        <v>2</v>
      </c>
      <c r="H7539" t="str">
        <f>TEXT(Tabela1[[#This Row],[Coluna2]]*29,"mmmm")</f>
        <v>fevereiro</v>
      </c>
      <c r="I7539" t="str">
        <f>TEXT(MONTH(Tabela1[[#This Row],[Último pagto ano]])*29,"mmmm")</f>
        <v>fevereiro</v>
      </c>
    </row>
    <row r="7540" spans="1:9" x14ac:dyDescent="0.25">
      <c r="A7540">
        <v>2025</v>
      </c>
      <c r="B7540" t="s">
        <v>15011</v>
      </c>
      <c r="C7540" s="1">
        <v>45968</v>
      </c>
      <c r="D7540" t="s">
        <v>15012</v>
      </c>
      <c r="E7540" s="2">
        <v>24000</v>
      </c>
      <c r="G7540" s="3">
        <f>MONTH(Tabela1[[#This Row],[Último pagto ano]])</f>
        <v>11</v>
      </c>
      <c r="H7540" t="str">
        <f>TEXT(Tabela1[[#This Row],[Coluna2]]*29,"mmmm")</f>
        <v>novembro</v>
      </c>
      <c r="I7540" t="str">
        <f>TEXT(MONTH(Tabela1[[#This Row],[Último pagto ano]])*29,"mmmm")</f>
        <v>novembro</v>
      </c>
    </row>
    <row r="7541" spans="1:9" x14ac:dyDescent="0.25">
      <c r="A7541">
        <v>2025</v>
      </c>
      <c r="B7541" t="s">
        <v>15013</v>
      </c>
      <c r="C7541" s="1">
        <v>45716</v>
      </c>
      <c r="D7541" t="s">
        <v>15014</v>
      </c>
      <c r="E7541">
        <v>797.8</v>
      </c>
      <c r="G7541" s="3">
        <f>MONTH(Tabela1[[#This Row],[Último pagto ano]])</f>
        <v>2</v>
      </c>
      <c r="H7541" t="str">
        <f>TEXT(Tabela1[[#This Row],[Coluna2]]*29,"mmmm")</f>
        <v>fevereiro</v>
      </c>
      <c r="I7541" t="str">
        <f>TEXT(MONTH(Tabela1[[#This Row],[Último pagto ano]])*29,"mmmm")</f>
        <v>fevereiro</v>
      </c>
    </row>
    <row r="7542" spans="1:9" x14ac:dyDescent="0.25">
      <c r="A7542">
        <v>2025</v>
      </c>
      <c r="B7542" t="s">
        <v>15015</v>
      </c>
      <c r="C7542" s="1">
        <v>45989</v>
      </c>
      <c r="D7542" t="s">
        <v>15016</v>
      </c>
      <c r="E7542" s="2">
        <v>3880.8</v>
      </c>
      <c r="G7542" s="3">
        <f>MONTH(Tabela1[[#This Row],[Último pagto ano]])</f>
        <v>11</v>
      </c>
      <c r="H7542" t="str">
        <f>TEXT(Tabela1[[#This Row],[Coluna2]]*29,"mmmm")</f>
        <v>novembro</v>
      </c>
      <c r="I7542" t="str">
        <f>TEXT(MONTH(Tabela1[[#This Row],[Último pagto ano]])*29,"mmmm")</f>
        <v>novembro</v>
      </c>
    </row>
    <row r="7543" spans="1:9" x14ac:dyDescent="0.25">
      <c r="A7543">
        <v>2025</v>
      </c>
      <c r="B7543" t="s">
        <v>15017</v>
      </c>
      <c r="C7543" s="1">
        <v>45702</v>
      </c>
      <c r="D7543" t="s">
        <v>15018</v>
      </c>
      <c r="E7543">
        <v>895.16</v>
      </c>
      <c r="G7543" s="3">
        <f>MONTH(Tabela1[[#This Row],[Último pagto ano]])</f>
        <v>2</v>
      </c>
      <c r="H7543" t="str">
        <f>TEXT(Tabela1[[#This Row],[Coluna2]]*29,"mmmm")</f>
        <v>fevereiro</v>
      </c>
      <c r="I7543" t="str">
        <f>TEXT(MONTH(Tabela1[[#This Row],[Último pagto ano]])*29,"mmmm")</f>
        <v>fevereiro</v>
      </c>
    </row>
    <row r="7544" spans="1:9" x14ac:dyDescent="0.25">
      <c r="A7544">
        <v>2025</v>
      </c>
      <c r="B7544" t="s">
        <v>15019</v>
      </c>
      <c r="C7544" s="1">
        <v>45702</v>
      </c>
      <c r="D7544" t="s">
        <v>15020</v>
      </c>
      <c r="E7544">
        <v>115.07</v>
      </c>
      <c r="G7544" s="3">
        <f>MONTH(Tabela1[[#This Row],[Último pagto ano]])</f>
        <v>2</v>
      </c>
      <c r="H7544" t="str">
        <f>TEXT(Tabela1[[#This Row],[Coluna2]]*29,"mmmm")</f>
        <v>fevereiro</v>
      </c>
      <c r="I7544" t="str">
        <f>TEXT(MONTH(Tabela1[[#This Row],[Último pagto ano]])*29,"mmmm")</f>
        <v>fevereiro</v>
      </c>
    </row>
    <row r="7545" spans="1:9" x14ac:dyDescent="0.25">
      <c r="A7545">
        <v>2025</v>
      </c>
      <c r="B7545" t="s">
        <v>15021</v>
      </c>
      <c r="C7545" s="1">
        <v>46021</v>
      </c>
      <c r="D7545" t="s">
        <v>15022</v>
      </c>
      <c r="E7545" s="2">
        <v>7395.86</v>
      </c>
      <c r="G7545" s="3">
        <f>MONTH(Tabela1[[#This Row],[Último pagto ano]])</f>
        <v>12</v>
      </c>
      <c r="H7545" t="str">
        <f>TEXT(Tabela1[[#This Row],[Coluna2]]*29,"mmmm")</f>
        <v>dezembro</v>
      </c>
      <c r="I7545" t="str">
        <f>TEXT(MONTH(Tabela1[[#This Row],[Último pagto ano]])*29,"mmmm")</f>
        <v>dezembro</v>
      </c>
    </row>
    <row r="7546" spans="1:9" x14ac:dyDescent="0.25">
      <c r="A7546">
        <v>2025</v>
      </c>
      <c r="B7546" t="s">
        <v>15023</v>
      </c>
      <c r="C7546" s="1">
        <v>45996</v>
      </c>
      <c r="D7546" t="s">
        <v>15024</v>
      </c>
      <c r="E7546" s="2">
        <v>10000</v>
      </c>
      <c r="G7546" s="3">
        <f>MONTH(Tabela1[[#This Row],[Último pagto ano]])</f>
        <v>12</v>
      </c>
      <c r="H7546" t="str">
        <f>TEXT(Tabela1[[#This Row],[Coluna2]]*29,"mmmm")</f>
        <v>dezembro</v>
      </c>
      <c r="I7546" t="str">
        <f>TEXT(MONTH(Tabela1[[#This Row],[Último pagto ano]])*29,"mmmm")</f>
        <v>dezembro</v>
      </c>
    </row>
    <row r="7547" spans="1:9" x14ac:dyDescent="0.25">
      <c r="A7547">
        <v>2025</v>
      </c>
      <c r="B7547" t="s">
        <v>15025</v>
      </c>
      <c r="C7547" s="1">
        <v>45968</v>
      </c>
      <c r="D7547" t="s">
        <v>15026</v>
      </c>
      <c r="E7547" s="2">
        <v>9000</v>
      </c>
      <c r="G7547" s="3">
        <f>MONTH(Tabela1[[#This Row],[Último pagto ano]])</f>
        <v>11</v>
      </c>
      <c r="H7547" t="str">
        <f>TEXT(Tabela1[[#This Row],[Coluna2]]*29,"mmmm")</f>
        <v>novembro</v>
      </c>
      <c r="I7547" t="str">
        <f>TEXT(MONTH(Tabela1[[#This Row],[Último pagto ano]])*29,"mmmm")</f>
        <v>novembro</v>
      </c>
    </row>
    <row r="7548" spans="1:9" x14ac:dyDescent="0.25">
      <c r="A7548">
        <v>2025</v>
      </c>
      <c r="B7548" t="s">
        <v>15027</v>
      </c>
      <c r="C7548" s="1">
        <v>45853</v>
      </c>
      <c r="D7548" t="s">
        <v>15028</v>
      </c>
      <c r="E7548" s="2">
        <v>8400</v>
      </c>
      <c r="G7548" s="3">
        <f>MONTH(Tabela1[[#This Row],[Último pagto ano]])</f>
        <v>7</v>
      </c>
      <c r="H7548" t="str">
        <f>TEXT(Tabela1[[#This Row],[Coluna2]]*29,"mmmm")</f>
        <v>julho</v>
      </c>
      <c r="I7548" t="str">
        <f>TEXT(MONTH(Tabela1[[#This Row],[Último pagto ano]])*29,"mmmm")</f>
        <v>julho</v>
      </c>
    </row>
    <row r="7549" spans="1:9" x14ac:dyDescent="0.25">
      <c r="A7549">
        <v>2025</v>
      </c>
      <c r="B7549" t="s">
        <v>15029</v>
      </c>
      <c r="C7549" s="1">
        <v>45964</v>
      </c>
      <c r="D7549" t="s">
        <v>15030</v>
      </c>
      <c r="E7549" s="2">
        <v>5886.4</v>
      </c>
      <c r="G7549" s="3">
        <f>MONTH(Tabela1[[#This Row],[Último pagto ano]])</f>
        <v>11</v>
      </c>
      <c r="H7549" t="str">
        <f>TEXT(Tabela1[[#This Row],[Coluna2]]*29,"mmmm")</f>
        <v>novembro</v>
      </c>
      <c r="I7549" t="str">
        <f>TEXT(MONTH(Tabela1[[#This Row],[Último pagto ano]])*29,"mmmm")</f>
        <v>novembro</v>
      </c>
    </row>
    <row r="7550" spans="1:9" x14ac:dyDescent="0.25">
      <c r="A7550">
        <v>2025</v>
      </c>
      <c r="B7550" t="s">
        <v>15031</v>
      </c>
      <c r="C7550" s="1">
        <v>45810</v>
      </c>
      <c r="D7550" t="s">
        <v>15032</v>
      </c>
      <c r="E7550" s="2">
        <v>1900</v>
      </c>
      <c r="G7550" s="3">
        <f>MONTH(Tabela1[[#This Row],[Último pagto ano]])</f>
        <v>6</v>
      </c>
      <c r="H7550" t="str">
        <f>TEXT(Tabela1[[#This Row],[Coluna2]]*29,"mmmm")</f>
        <v>junho</v>
      </c>
      <c r="I7550" t="str">
        <f>TEXT(MONTH(Tabela1[[#This Row],[Último pagto ano]])*29,"mmmm")</f>
        <v>junho</v>
      </c>
    </row>
    <row r="7551" spans="1:9" x14ac:dyDescent="0.25">
      <c r="A7551">
        <v>2025</v>
      </c>
      <c r="B7551" t="s">
        <v>15033</v>
      </c>
      <c r="C7551" s="1">
        <v>45817</v>
      </c>
      <c r="D7551" t="s">
        <v>15034</v>
      </c>
      <c r="E7551">
        <v>1.51</v>
      </c>
      <c r="G7551" s="3">
        <f>MONTH(Tabela1[[#This Row],[Último pagto ano]])</f>
        <v>6</v>
      </c>
      <c r="H7551" t="str">
        <f>TEXT(Tabela1[[#This Row],[Coluna2]]*29,"mmmm")</f>
        <v>junho</v>
      </c>
      <c r="I7551" t="str">
        <f>TEXT(MONTH(Tabela1[[#This Row],[Último pagto ano]])*29,"mmmm")</f>
        <v>junho</v>
      </c>
    </row>
    <row r="7552" spans="1:9" x14ac:dyDescent="0.25">
      <c r="A7552">
        <v>2025</v>
      </c>
      <c r="B7552" t="s">
        <v>15035</v>
      </c>
      <c r="C7552" s="1">
        <v>45800</v>
      </c>
      <c r="D7552" t="s">
        <v>15036</v>
      </c>
      <c r="E7552" s="2">
        <v>10205</v>
      </c>
      <c r="G7552" s="3">
        <f>MONTH(Tabela1[[#This Row],[Último pagto ano]])</f>
        <v>5</v>
      </c>
      <c r="H7552" t="str">
        <f>TEXT(Tabela1[[#This Row],[Coluna2]]*29,"mmmm")</f>
        <v>maio</v>
      </c>
      <c r="I7552" t="str">
        <f>TEXT(MONTH(Tabela1[[#This Row],[Último pagto ano]])*29,"mmmm")</f>
        <v>maio</v>
      </c>
    </row>
    <row r="7553" spans="1:9" x14ac:dyDescent="0.25">
      <c r="A7553">
        <v>2025</v>
      </c>
      <c r="B7553" t="s">
        <v>15037</v>
      </c>
      <c r="C7553" s="1">
        <v>45663</v>
      </c>
      <c r="D7553" t="s">
        <v>15038</v>
      </c>
      <c r="E7553" s="2">
        <v>2430</v>
      </c>
      <c r="G7553" s="3">
        <f>MONTH(Tabela1[[#This Row],[Último pagto ano]])</f>
        <v>1</v>
      </c>
      <c r="H7553" t="str">
        <f>TEXT(Tabela1[[#This Row],[Coluna2]]*29,"mmmm")</f>
        <v>janeiro</v>
      </c>
      <c r="I7553" t="str">
        <f>TEXT(MONTH(Tabela1[[#This Row],[Último pagto ano]])*29,"mmmm")</f>
        <v>janeiro</v>
      </c>
    </row>
    <row r="7554" spans="1:9" x14ac:dyDescent="0.25">
      <c r="A7554">
        <v>2025</v>
      </c>
      <c r="B7554" t="s">
        <v>15039</v>
      </c>
      <c r="C7554" s="1">
        <v>46007</v>
      </c>
      <c r="D7554" t="s">
        <v>15040</v>
      </c>
      <c r="E7554" s="2">
        <v>33117.11</v>
      </c>
      <c r="G7554" s="3">
        <f>MONTH(Tabela1[[#This Row],[Último pagto ano]])</f>
        <v>12</v>
      </c>
      <c r="H7554" t="str">
        <f>TEXT(Tabela1[[#This Row],[Coluna2]]*29,"mmmm")</f>
        <v>dezembro</v>
      </c>
      <c r="I7554" t="str">
        <f>TEXT(MONTH(Tabela1[[#This Row],[Último pagto ano]])*29,"mmmm")</f>
        <v>dezembro</v>
      </c>
    </row>
    <row r="7555" spans="1:9" x14ac:dyDescent="0.25">
      <c r="A7555">
        <v>2025</v>
      </c>
      <c r="B7555" t="s">
        <v>15041</v>
      </c>
      <c r="C7555" s="1">
        <v>45947</v>
      </c>
      <c r="D7555" t="s">
        <v>15042</v>
      </c>
      <c r="E7555" s="2">
        <v>4644</v>
      </c>
      <c r="G7555" s="3">
        <f>MONTH(Tabela1[[#This Row],[Último pagto ano]])</f>
        <v>10</v>
      </c>
      <c r="H7555" t="str">
        <f>TEXT(Tabela1[[#This Row],[Coluna2]]*29,"mmmm")</f>
        <v>outubro</v>
      </c>
      <c r="I7555" t="str">
        <f>TEXT(MONTH(Tabela1[[#This Row],[Último pagto ano]])*29,"mmmm")</f>
        <v>outubro</v>
      </c>
    </row>
    <row r="7556" spans="1:9" x14ac:dyDescent="0.25">
      <c r="A7556">
        <v>2025</v>
      </c>
      <c r="B7556" t="s">
        <v>15043</v>
      </c>
      <c r="C7556" s="1">
        <v>45702</v>
      </c>
      <c r="D7556" t="s">
        <v>15044</v>
      </c>
      <c r="E7556">
        <v>122.01</v>
      </c>
      <c r="G7556" s="3">
        <f>MONTH(Tabela1[[#This Row],[Último pagto ano]])</f>
        <v>2</v>
      </c>
      <c r="H7556" t="str">
        <f>TEXT(Tabela1[[#This Row],[Coluna2]]*29,"mmmm")</f>
        <v>fevereiro</v>
      </c>
      <c r="I7556" t="str">
        <f>TEXT(MONTH(Tabela1[[#This Row],[Último pagto ano]])*29,"mmmm")</f>
        <v>fevereiro</v>
      </c>
    </row>
    <row r="7557" spans="1:9" x14ac:dyDescent="0.25">
      <c r="A7557">
        <v>2025</v>
      </c>
      <c r="B7557" t="s">
        <v>15045</v>
      </c>
      <c r="C7557" s="1">
        <v>46014</v>
      </c>
      <c r="D7557" t="s">
        <v>15046</v>
      </c>
      <c r="E7557" s="2">
        <v>78384</v>
      </c>
      <c r="G7557" s="3">
        <f>MONTH(Tabela1[[#This Row],[Último pagto ano]])</f>
        <v>12</v>
      </c>
      <c r="H7557" t="str">
        <f>TEXT(Tabela1[[#This Row],[Coluna2]]*29,"mmmm")</f>
        <v>dezembro</v>
      </c>
      <c r="I7557" t="str">
        <f>TEXT(MONTH(Tabela1[[#This Row],[Último pagto ano]])*29,"mmmm")</f>
        <v>dezembro</v>
      </c>
    </row>
    <row r="7558" spans="1:9" x14ac:dyDescent="0.25">
      <c r="A7558">
        <v>2025</v>
      </c>
      <c r="B7558" t="s">
        <v>15047</v>
      </c>
      <c r="C7558" s="1">
        <v>46010</v>
      </c>
      <c r="D7558" t="s">
        <v>15048</v>
      </c>
      <c r="E7558" s="2">
        <v>494163.66</v>
      </c>
      <c r="G7558" s="3">
        <f>MONTH(Tabela1[[#This Row],[Último pagto ano]])</f>
        <v>12</v>
      </c>
      <c r="H7558" t="str">
        <f>TEXT(Tabela1[[#This Row],[Coluna2]]*29,"mmmm")</f>
        <v>dezembro</v>
      </c>
      <c r="I7558" t="str">
        <f>TEXT(MONTH(Tabela1[[#This Row],[Último pagto ano]])*29,"mmmm")</f>
        <v>dezembro</v>
      </c>
    </row>
    <row r="7559" spans="1:9" x14ac:dyDescent="0.25">
      <c r="A7559">
        <v>2025</v>
      </c>
      <c r="B7559" t="s">
        <v>15049</v>
      </c>
      <c r="C7559" s="1">
        <v>45824</v>
      </c>
      <c r="D7559" t="s">
        <v>15050</v>
      </c>
      <c r="E7559" s="2">
        <v>2505.02</v>
      </c>
      <c r="G7559" s="3">
        <f>MONTH(Tabela1[[#This Row],[Último pagto ano]])</f>
        <v>6</v>
      </c>
      <c r="H7559" t="str">
        <f>TEXT(Tabela1[[#This Row],[Coluna2]]*29,"mmmm")</f>
        <v>junho</v>
      </c>
      <c r="I7559" t="str">
        <f>TEXT(MONTH(Tabela1[[#This Row],[Último pagto ano]])*29,"mmmm")</f>
        <v>junho</v>
      </c>
    </row>
    <row r="7560" spans="1:9" x14ac:dyDescent="0.25">
      <c r="A7560">
        <v>2025</v>
      </c>
      <c r="B7560" t="s">
        <v>15051</v>
      </c>
      <c r="C7560" s="1">
        <v>45894</v>
      </c>
      <c r="D7560" t="s">
        <v>15052</v>
      </c>
      <c r="E7560" s="2">
        <v>4900</v>
      </c>
      <c r="G7560" s="3">
        <f>MONTH(Tabela1[[#This Row],[Último pagto ano]])</f>
        <v>8</v>
      </c>
      <c r="H7560" t="str">
        <f>TEXT(Tabela1[[#This Row],[Coluna2]]*29,"mmmm")</f>
        <v>agosto</v>
      </c>
      <c r="I7560" t="str">
        <f>TEXT(MONTH(Tabela1[[#This Row],[Último pagto ano]])*29,"mmmm")</f>
        <v>agosto</v>
      </c>
    </row>
    <row r="7561" spans="1:9" x14ac:dyDescent="0.25">
      <c r="A7561">
        <v>2025</v>
      </c>
      <c r="B7561" t="s">
        <v>15053</v>
      </c>
      <c r="C7561" s="1">
        <v>45937</v>
      </c>
      <c r="D7561" t="s">
        <v>15054</v>
      </c>
      <c r="E7561">
        <v>58</v>
      </c>
      <c r="G7561" s="3">
        <f>MONTH(Tabela1[[#This Row],[Último pagto ano]])</f>
        <v>10</v>
      </c>
      <c r="H7561" t="str">
        <f>TEXT(Tabela1[[#This Row],[Coluna2]]*29,"mmmm")</f>
        <v>outubro</v>
      </c>
      <c r="I7561" t="str">
        <f>TEXT(MONTH(Tabela1[[#This Row],[Último pagto ano]])*29,"mmmm")</f>
        <v>outubro</v>
      </c>
    </row>
    <row r="7562" spans="1:9" x14ac:dyDescent="0.25">
      <c r="A7562">
        <v>2025</v>
      </c>
      <c r="B7562" t="s">
        <v>15055</v>
      </c>
      <c r="C7562" s="1">
        <v>45782</v>
      </c>
      <c r="D7562" t="s">
        <v>15056</v>
      </c>
      <c r="E7562">
        <v>42.8</v>
      </c>
      <c r="G7562" s="3">
        <f>MONTH(Tabela1[[#This Row],[Último pagto ano]])</f>
        <v>5</v>
      </c>
      <c r="H7562" t="str">
        <f>TEXT(Tabela1[[#This Row],[Coluna2]]*29,"mmmm")</f>
        <v>maio</v>
      </c>
      <c r="I7562" t="str">
        <f>TEXT(MONTH(Tabela1[[#This Row],[Último pagto ano]])*29,"mmmm")</f>
        <v>maio</v>
      </c>
    </row>
    <row r="7563" spans="1:9" x14ac:dyDescent="0.25">
      <c r="A7563">
        <v>2025</v>
      </c>
      <c r="B7563" t="s">
        <v>15057</v>
      </c>
      <c r="C7563" s="1">
        <v>45989</v>
      </c>
      <c r="D7563" t="s">
        <v>15058</v>
      </c>
      <c r="E7563" s="2">
        <v>7722.82</v>
      </c>
      <c r="G7563" s="3">
        <f>MONTH(Tabela1[[#This Row],[Último pagto ano]])</f>
        <v>11</v>
      </c>
      <c r="H7563" t="str">
        <f>TEXT(Tabela1[[#This Row],[Coluna2]]*29,"mmmm")</f>
        <v>novembro</v>
      </c>
      <c r="I7563" t="str">
        <f>TEXT(MONTH(Tabela1[[#This Row],[Último pagto ano]])*29,"mmmm")</f>
        <v>novembro</v>
      </c>
    </row>
    <row r="7564" spans="1:9" x14ac:dyDescent="0.25">
      <c r="A7564">
        <v>2025</v>
      </c>
      <c r="B7564" t="s">
        <v>15059</v>
      </c>
      <c r="C7564" s="1">
        <v>46021</v>
      </c>
      <c r="D7564" t="s">
        <v>15060</v>
      </c>
      <c r="E7564" s="2">
        <v>12755.88</v>
      </c>
      <c r="G7564" s="3">
        <f>MONTH(Tabela1[[#This Row],[Último pagto ano]])</f>
        <v>12</v>
      </c>
      <c r="H7564" t="str">
        <f>TEXT(Tabela1[[#This Row],[Coluna2]]*29,"mmmm")</f>
        <v>dezembro</v>
      </c>
      <c r="I7564" t="str">
        <f>TEXT(MONTH(Tabela1[[#This Row],[Último pagto ano]])*29,"mmmm")</f>
        <v>dezembro</v>
      </c>
    </row>
    <row r="7565" spans="1:9" x14ac:dyDescent="0.25">
      <c r="A7565">
        <v>2025</v>
      </c>
      <c r="B7565" t="s">
        <v>15061</v>
      </c>
      <c r="C7565" s="1">
        <v>46010</v>
      </c>
      <c r="D7565" t="s">
        <v>15062</v>
      </c>
      <c r="E7565" s="2">
        <v>7700</v>
      </c>
      <c r="G7565" s="3">
        <f>MONTH(Tabela1[[#This Row],[Último pagto ano]])</f>
        <v>12</v>
      </c>
      <c r="H7565" t="str">
        <f>TEXT(Tabela1[[#This Row],[Coluna2]]*29,"mmmm")</f>
        <v>dezembro</v>
      </c>
      <c r="I7565" t="str">
        <f>TEXT(MONTH(Tabela1[[#This Row],[Último pagto ano]])*29,"mmmm")</f>
        <v>dezembro</v>
      </c>
    </row>
    <row r="7566" spans="1:9" x14ac:dyDescent="0.25">
      <c r="A7566">
        <v>2025</v>
      </c>
      <c r="B7566" t="s">
        <v>15063</v>
      </c>
      <c r="C7566" s="1">
        <v>45751</v>
      </c>
      <c r="D7566" t="s">
        <v>15064</v>
      </c>
      <c r="E7566" s="2">
        <v>2455.71</v>
      </c>
      <c r="G7566" s="3">
        <f>MONTH(Tabela1[[#This Row],[Último pagto ano]])</f>
        <v>4</v>
      </c>
      <c r="H7566" t="str">
        <f>TEXT(Tabela1[[#This Row],[Coluna2]]*29,"mmmm")</f>
        <v>abril</v>
      </c>
      <c r="I7566" t="str">
        <f>TEXT(MONTH(Tabela1[[#This Row],[Último pagto ano]])*29,"mmmm")</f>
        <v>abril</v>
      </c>
    </row>
    <row r="7567" spans="1:9" x14ac:dyDescent="0.25">
      <c r="A7567">
        <v>2025</v>
      </c>
      <c r="B7567" t="s">
        <v>15065</v>
      </c>
      <c r="C7567" s="1">
        <v>45702</v>
      </c>
      <c r="D7567" t="s">
        <v>15066</v>
      </c>
      <c r="E7567">
        <v>750</v>
      </c>
      <c r="G7567" s="3">
        <f>MONTH(Tabela1[[#This Row],[Último pagto ano]])</f>
        <v>2</v>
      </c>
      <c r="H7567" t="str">
        <f>TEXT(Tabela1[[#This Row],[Coluna2]]*29,"mmmm")</f>
        <v>fevereiro</v>
      </c>
      <c r="I7567" t="str">
        <f>TEXT(MONTH(Tabela1[[#This Row],[Último pagto ano]])*29,"mmmm")</f>
        <v>fevereiro</v>
      </c>
    </row>
    <row r="7568" spans="1:9" x14ac:dyDescent="0.25">
      <c r="A7568">
        <v>2025</v>
      </c>
      <c r="B7568" t="s">
        <v>15067</v>
      </c>
      <c r="C7568" s="1">
        <v>45954</v>
      </c>
      <c r="D7568" t="s">
        <v>15068</v>
      </c>
      <c r="E7568" s="2">
        <v>1970.1</v>
      </c>
      <c r="G7568" s="3">
        <f>MONTH(Tabela1[[#This Row],[Último pagto ano]])</f>
        <v>10</v>
      </c>
      <c r="H7568" t="str">
        <f>TEXT(Tabela1[[#This Row],[Coluna2]]*29,"mmmm")</f>
        <v>outubro</v>
      </c>
      <c r="I7568" t="str">
        <f>TEXT(MONTH(Tabela1[[#This Row],[Último pagto ano]])*29,"mmmm")</f>
        <v>outubro</v>
      </c>
    </row>
    <row r="7569" spans="1:9" x14ac:dyDescent="0.25">
      <c r="A7569">
        <v>2025</v>
      </c>
      <c r="B7569" t="s">
        <v>15069</v>
      </c>
      <c r="C7569" s="1">
        <v>46021</v>
      </c>
      <c r="D7569" t="s">
        <v>15070</v>
      </c>
      <c r="E7569" s="2">
        <v>4323.59</v>
      </c>
      <c r="G7569" s="3">
        <f>MONTH(Tabela1[[#This Row],[Último pagto ano]])</f>
        <v>12</v>
      </c>
      <c r="H7569" t="str">
        <f>TEXT(Tabela1[[#This Row],[Coluna2]]*29,"mmmm")</f>
        <v>dezembro</v>
      </c>
      <c r="I7569" t="str">
        <f>TEXT(MONTH(Tabela1[[#This Row],[Último pagto ano]])*29,"mmmm")</f>
        <v>dezembro</v>
      </c>
    </row>
    <row r="7570" spans="1:9" x14ac:dyDescent="0.25">
      <c r="A7570">
        <v>2025</v>
      </c>
      <c r="B7570" t="s">
        <v>15071</v>
      </c>
      <c r="C7570" s="1">
        <v>45922</v>
      </c>
      <c r="D7570" t="s">
        <v>15072</v>
      </c>
      <c r="E7570">
        <v>374</v>
      </c>
      <c r="G7570" s="3">
        <f>MONTH(Tabela1[[#This Row],[Último pagto ano]])</f>
        <v>9</v>
      </c>
      <c r="H7570" t="str">
        <f>TEXT(Tabela1[[#This Row],[Coluna2]]*29,"mmmm")</f>
        <v>setembro</v>
      </c>
      <c r="I7570" t="str">
        <f>TEXT(MONTH(Tabela1[[#This Row],[Último pagto ano]])*29,"mmmm")</f>
        <v>setembro</v>
      </c>
    </row>
    <row r="7571" spans="1:9" x14ac:dyDescent="0.25">
      <c r="A7571">
        <v>2025</v>
      </c>
      <c r="B7571" t="s">
        <v>15073</v>
      </c>
      <c r="C7571" s="1">
        <v>45702</v>
      </c>
      <c r="D7571" t="s">
        <v>15074</v>
      </c>
      <c r="E7571">
        <v>88</v>
      </c>
      <c r="G7571" s="3">
        <f>MONTH(Tabela1[[#This Row],[Último pagto ano]])</f>
        <v>2</v>
      </c>
      <c r="H7571" t="str">
        <f>TEXT(Tabela1[[#This Row],[Coluna2]]*29,"mmmm")</f>
        <v>fevereiro</v>
      </c>
      <c r="I7571" t="str">
        <f>TEXT(MONTH(Tabela1[[#This Row],[Último pagto ano]])*29,"mmmm")</f>
        <v>fevereiro</v>
      </c>
    </row>
    <row r="7572" spans="1:9" x14ac:dyDescent="0.25">
      <c r="A7572">
        <v>2025</v>
      </c>
      <c r="B7572" t="s">
        <v>15075</v>
      </c>
      <c r="C7572" s="1">
        <v>46013</v>
      </c>
      <c r="D7572" t="s">
        <v>15076</v>
      </c>
      <c r="E7572" s="2">
        <v>2585.6999999999998</v>
      </c>
      <c r="G7572" s="3">
        <f>MONTH(Tabela1[[#This Row],[Último pagto ano]])</f>
        <v>12</v>
      </c>
      <c r="H7572" t="str">
        <f>TEXT(Tabela1[[#This Row],[Coluna2]]*29,"mmmm")</f>
        <v>dezembro</v>
      </c>
      <c r="I7572" t="str">
        <f>TEXT(MONTH(Tabela1[[#This Row],[Último pagto ano]])*29,"mmmm")</f>
        <v>dezembro</v>
      </c>
    </row>
    <row r="7573" spans="1:9" x14ac:dyDescent="0.25">
      <c r="A7573">
        <v>2025</v>
      </c>
      <c r="B7573" t="s">
        <v>15077</v>
      </c>
      <c r="C7573" s="1">
        <v>45702</v>
      </c>
      <c r="D7573" t="s">
        <v>15078</v>
      </c>
      <c r="E7573">
        <v>858.19</v>
      </c>
      <c r="G7573" s="3">
        <f>MONTH(Tabela1[[#This Row],[Último pagto ano]])</f>
        <v>2</v>
      </c>
      <c r="H7573" t="str">
        <f>TEXT(Tabela1[[#This Row],[Coluna2]]*29,"mmmm")</f>
        <v>fevereiro</v>
      </c>
      <c r="I7573" t="str">
        <f>TEXT(MONTH(Tabela1[[#This Row],[Último pagto ano]])*29,"mmmm")</f>
        <v>fevereiro</v>
      </c>
    </row>
    <row r="7574" spans="1:9" x14ac:dyDescent="0.25">
      <c r="A7574">
        <v>2025</v>
      </c>
      <c r="B7574" t="s">
        <v>15079</v>
      </c>
      <c r="C7574" s="1">
        <v>45929</v>
      </c>
      <c r="D7574" t="s">
        <v>15080</v>
      </c>
      <c r="E7574" s="2">
        <v>16450</v>
      </c>
      <c r="G7574" s="3">
        <f>MONTH(Tabela1[[#This Row],[Último pagto ano]])</f>
        <v>9</v>
      </c>
      <c r="H7574" t="str">
        <f>TEXT(Tabela1[[#This Row],[Coluna2]]*29,"mmmm")</f>
        <v>setembro</v>
      </c>
      <c r="I7574" t="str">
        <f>TEXT(MONTH(Tabela1[[#This Row],[Último pagto ano]])*29,"mmmm")</f>
        <v>setembro</v>
      </c>
    </row>
    <row r="7575" spans="1:9" x14ac:dyDescent="0.25">
      <c r="A7575">
        <v>2025</v>
      </c>
      <c r="B7575" t="s">
        <v>15081</v>
      </c>
      <c r="C7575" s="1">
        <v>45915</v>
      </c>
      <c r="D7575" t="s">
        <v>15082</v>
      </c>
      <c r="E7575" s="2">
        <v>5896.64</v>
      </c>
      <c r="G7575" s="3">
        <f>MONTH(Tabela1[[#This Row],[Último pagto ano]])</f>
        <v>9</v>
      </c>
      <c r="H7575" t="str">
        <f>TEXT(Tabela1[[#This Row],[Coluna2]]*29,"mmmm")</f>
        <v>setembro</v>
      </c>
      <c r="I7575" t="str">
        <f>TEXT(MONTH(Tabela1[[#This Row],[Último pagto ano]])*29,"mmmm")</f>
        <v>setembro</v>
      </c>
    </row>
    <row r="7576" spans="1:9" x14ac:dyDescent="0.25">
      <c r="A7576">
        <v>2025</v>
      </c>
      <c r="B7576" t="s">
        <v>15083</v>
      </c>
      <c r="C7576" s="1">
        <v>45733</v>
      </c>
      <c r="D7576" t="s">
        <v>15084</v>
      </c>
      <c r="E7576" s="2">
        <v>1750.4</v>
      </c>
      <c r="G7576" s="3">
        <f>MONTH(Tabela1[[#This Row],[Último pagto ano]])</f>
        <v>3</v>
      </c>
      <c r="H7576" t="str">
        <f>TEXT(Tabela1[[#This Row],[Coluna2]]*29,"mmmm")</f>
        <v>março</v>
      </c>
      <c r="I7576" t="str">
        <f>TEXT(MONTH(Tabela1[[#This Row],[Último pagto ano]])*29,"mmmm")</f>
        <v>março</v>
      </c>
    </row>
    <row r="7577" spans="1:9" x14ac:dyDescent="0.25">
      <c r="A7577">
        <v>2025</v>
      </c>
      <c r="B7577" t="s">
        <v>15085</v>
      </c>
      <c r="C7577" s="1">
        <v>45716</v>
      </c>
      <c r="D7577" t="s">
        <v>15086</v>
      </c>
      <c r="E7577" s="2">
        <v>13779.02</v>
      </c>
      <c r="G7577" s="3">
        <f>MONTH(Tabela1[[#This Row],[Último pagto ano]])</f>
        <v>2</v>
      </c>
      <c r="H7577" t="str">
        <f>TEXT(Tabela1[[#This Row],[Coluna2]]*29,"mmmm")</f>
        <v>fevereiro</v>
      </c>
      <c r="I7577" t="str">
        <f>TEXT(MONTH(Tabela1[[#This Row],[Último pagto ano]])*29,"mmmm")</f>
        <v>fevereiro</v>
      </c>
    </row>
    <row r="7578" spans="1:9" x14ac:dyDescent="0.25">
      <c r="A7578">
        <v>2025</v>
      </c>
      <c r="B7578" t="s">
        <v>15087</v>
      </c>
      <c r="C7578" s="1">
        <v>46006</v>
      </c>
      <c r="D7578" t="s">
        <v>15088</v>
      </c>
      <c r="E7578" s="2">
        <v>12653.14</v>
      </c>
      <c r="G7578" s="3">
        <f>MONTH(Tabela1[[#This Row],[Último pagto ano]])</f>
        <v>12</v>
      </c>
      <c r="H7578" t="str">
        <f>TEXT(Tabela1[[#This Row],[Coluna2]]*29,"mmmm")</f>
        <v>dezembro</v>
      </c>
      <c r="I7578" t="str">
        <f>TEXT(MONTH(Tabela1[[#This Row],[Último pagto ano]])*29,"mmmm")</f>
        <v>dezembro</v>
      </c>
    </row>
    <row r="7579" spans="1:9" x14ac:dyDescent="0.25">
      <c r="A7579">
        <v>2025</v>
      </c>
      <c r="B7579" t="s">
        <v>15089</v>
      </c>
      <c r="C7579" s="1">
        <v>46006</v>
      </c>
      <c r="D7579" t="s">
        <v>15090</v>
      </c>
      <c r="E7579" s="2">
        <v>4994.88</v>
      </c>
      <c r="G7579" s="3">
        <f>MONTH(Tabela1[[#This Row],[Último pagto ano]])</f>
        <v>12</v>
      </c>
      <c r="H7579" t="str">
        <f>TEXT(Tabela1[[#This Row],[Coluna2]]*29,"mmmm")</f>
        <v>dezembro</v>
      </c>
      <c r="I7579" t="str">
        <f>TEXT(MONTH(Tabela1[[#This Row],[Último pagto ano]])*29,"mmmm")</f>
        <v>dezembro</v>
      </c>
    </row>
    <row r="7580" spans="1:9" x14ac:dyDescent="0.25">
      <c r="A7580">
        <v>2025</v>
      </c>
      <c r="B7580" t="s">
        <v>15091</v>
      </c>
      <c r="C7580" s="1">
        <v>45988</v>
      </c>
      <c r="D7580" t="s">
        <v>15092</v>
      </c>
      <c r="E7580" s="2">
        <v>4775.3999999999996</v>
      </c>
      <c r="G7580" s="3">
        <f>MONTH(Tabela1[[#This Row],[Último pagto ano]])</f>
        <v>11</v>
      </c>
      <c r="H7580" t="str">
        <f>TEXT(Tabela1[[#This Row],[Coluna2]]*29,"mmmm")</f>
        <v>novembro</v>
      </c>
      <c r="I7580" t="str">
        <f>TEXT(MONTH(Tabela1[[#This Row],[Último pagto ano]])*29,"mmmm")</f>
        <v>novembro</v>
      </c>
    </row>
    <row r="7581" spans="1:9" x14ac:dyDescent="0.25">
      <c r="A7581">
        <v>2025</v>
      </c>
      <c r="B7581" t="s">
        <v>15093</v>
      </c>
      <c r="C7581" s="1">
        <v>46006</v>
      </c>
      <c r="D7581" t="s">
        <v>15094</v>
      </c>
      <c r="E7581" s="2">
        <v>2665.44</v>
      </c>
      <c r="G7581" s="3">
        <f>MONTH(Tabela1[[#This Row],[Último pagto ano]])</f>
        <v>12</v>
      </c>
      <c r="H7581" t="str">
        <f>TEXT(Tabela1[[#This Row],[Coluna2]]*29,"mmmm")</f>
        <v>dezembro</v>
      </c>
      <c r="I7581" t="str">
        <f>TEXT(MONTH(Tabela1[[#This Row],[Último pagto ano]])*29,"mmmm")</f>
        <v>dezembro</v>
      </c>
    </row>
    <row r="7582" spans="1:9" x14ac:dyDescent="0.25">
      <c r="A7582">
        <v>2025</v>
      </c>
      <c r="B7582" t="s">
        <v>15095</v>
      </c>
      <c r="C7582" s="1">
        <v>45950</v>
      </c>
      <c r="D7582" t="s">
        <v>15096</v>
      </c>
      <c r="E7582">
        <v>44</v>
      </c>
      <c r="G7582" s="3">
        <f>MONTH(Tabela1[[#This Row],[Último pagto ano]])</f>
        <v>10</v>
      </c>
      <c r="H7582" t="str">
        <f>TEXT(Tabela1[[#This Row],[Coluna2]]*29,"mmmm")</f>
        <v>outubro</v>
      </c>
      <c r="I7582" t="str">
        <f>TEXT(MONTH(Tabela1[[#This Row],[Último pagto ano]])*29,"mmmm")</f>
        <v>outubro</v>
      </c>
    </row>
    <row r="7583" spans="1:9" x14ac:dyDescent="0.25">
      <c r="A7583">
        <v>2025</v>
      </c>
      <c r="B7583" t="s">
        <v>15097</v>
      </c>
      <c r="C7583" s="1">
        <v>45996</v>
      </c>
      <c r="D7583" t="s">
        <v>15098</v>
      </c>
      <c r="E7583" s="2">
        <v>24022.5</v>
      </c>
      <c r="G7583" s="3">
        <f>MONTH(Tabela1[[#This Row],[Último pagto ano]])</f>
        <v>12</v>
      </c>
      <c r="H7583" t="str">
        <f>TEXT(Tabela1[[#This Row],[Coluna2]]*29,"mmmm")</f>
        <v>dezembro</v>
      </c>
      <c r="I7583" t="str">
        <f>TEXT(MONTH(Tabela1[[#This Row],[Último pagto ano]])*29,"mmmm")</f>
        <v>dezembro</v>
      </c>
    </row>
    <row r="7584" spans="1:9" x14ac:dyDescent="0.25">
      <c r="A7584">
        <v>2025</v>
      </c>
      <c r="B7584" t="s">
        <v>15099</v>
      </c>
      <c r="C7584" s="1">
        <v>45838</v>
      </c>
      <c r="D7584" t="s">
        <v>15100</v>
      </c>
      <c r="E7584">
        <v>33</v>
      </c>
      <c r="G7584" s="3">
        <f>MONTH(Tabela1[[#This Row],[Último pagto ano]])</f>
        <v>6</v>
      </c>
      <c r="H7584" t="str">
        <f>TEXT(Tabela1[[#This Row],[Coluna2]]*29,"mmmm")</f>
        <v>junho</v>
      </c>
      <c r="I7584" t="str">
        <f>TEXT(MONTH(Tabela1[[#This Row],[Último pagto ano]])*29,"mmmm")</f>
        <v>junho</v>
      </c>
    </row>
    <row r="7585" spans="1:9" x14ac:dyDescent="0.25">
      <c r="A7585">
        <v>2025</v>
      </c>
      <c r="B7585" t="s">
        <v>15101</v>
      </c>
      <c r="C7585" s="1">
        <v>46006</v>
      </c>
      <c r="D7585" t="s">
        <v>15102</v>
      </c>
      <c r="E7585">
        <v>33</v>
      </c>
      <c r="G7585" s="3">
        <f>MONTH(Tabela1[[#This Row],[Último pagto ano]])</f>
        <v>12</v>
      </c>
      <c r="H7585" t="str">
        <f>TEXT(Tabela1[[#This Row],[Coluna2]]*29,"mmmm")</f>
        <v>dezembro</v>
      </c>
      <c r="I7585" t="str">
        <f>TEXT(MONTH(Tabela1[[#This Row],[Último pagto ano]])*29,"mmmm")</f>
        <v>dezembro</v>
      </c>
    </row>
    <row r="7586" spans="1:9" x14ac:dyDescent="0.25">
      <c r="A7586">
        <v>2025</v>
      </c>
      <c r="B7586" t="s">
        <v>15103</v>
      </c>
      <c r="C7586" s="1">
        <v>45964</v>
      </c>
      <c r="D7586" t="s">
        <v>15104</v>
      </c>
      <c r="E7586">
        <v>209</v>
      </c>
      <c r="G7586" s="3">
        <f>MONTH(Tabela1[[#This Row],[Último pagto ano]])</f>
        <v>11</v>
      </c>
      <c r="H7586" t="str">
        <f>TEXT(Tabela1[[#This Row],[Coluna2]]*29,"mmmm")</f>
        <v>novembro</v>
      </c>
      <c r="I7586" t="str">
        <f>TEXT(MONTH(Tabela1[[#This Row],[Último pagto ano]])*29,"mmmm")</f>
        <v>novembro</v>
      </c>
    </row>
    <row r="7587" spans="1:9" x14ac:dyDescent="0.25">
      <c r="A7587">
        <v>2025</v>
      </c>
      <c r="B7587" t="s">
        <v>15105</v>
      </c>
      <c r="C7587" s="1">
        <v>45702</v>
      </c>
      <c r="D7587" t="s">
        <v>15106</v>
      </c>
      <c r="E7587">
        <v>205.01</v>
      </c>
      <c r="G7587" s="3">
        <f>MONTH(Tabela1[[#This Row],[Último pagto ano]])</f>
        <v>2</v>
      </c>
      <c r="H7587" t="str">
        <f>TEXT(Tabela1[[#This Row],[Coluna2]]*29,"mmmm")</f>
        <v>fevereiro</v>
      </c>
      <c r="I7587" t="str">
        <f>TEXT(MONTH(Tabela1[[#This Row],[Último pagto ano]])*29,"mmmm")</f>
        <v>fevereiro</v>
      </c>
    </row>
    <row r="7588" spans="1:9" x14ac:dyDescent="0.25">
      <c r="A7588">
        <v>2025</v>
      </c>
      <c r="B7588" t="s">
        <v>15107</v>
      </c>
      <c r="C7588" s="1">
        <v>45842</v>
      </c>
      <c r="D7588" t="s">
        <v>15108</v>
      </c>
      <c r="E7588">
        <v>2.36</v>
      </c>
      <c r="G7588" s="3">
        <f>MONTH(Tabela1[[#This Row],[Último pagto ano]])</f>
        <v>7</v>
      </c>
      <c r="H7588" t="str">
        <f>TEXT(Tabela1[[#This Row],[Coluna2]]*29,"mmmm")</f>
        <v>julho</v>
      </c>
      <c r="I7588" t="str">
        <f>TEXT(MONTH(Tabela1[[#This Row],[Último pagto ano]])*29,"mmmm")</f>
        <v>julho</v>
      </c>
    </row>
    <row r="7589" spans="1:9" x14ac:dyDescent="0.25">
      <c r="A7589">
        <v>2025</v>
      </c>
      <c r="B7589" t="s">
        <v>15109</v>
      </c>
      <c r="C7589" s="1">
        <v>46010</v>
      </c>
      <c r="D7589" t="s">
        <v>15110</v>
      </c>
      <c r="E7589" s="2">
        <v>3500</v>
      </c>
      <c r="G7589" s="3">
        <f>MONTH(Tabela1[[#This Row],[Último pagto ano]])</f>
        <v>12</v>
      </c>
      <c r="H7589" t="str">
        <f>TEXT(Tabela1[[#This Row],[Coluna2]]*29,"mmmm")</f>
        <v>dezembro</v>
      </c>
      <c r="I7589" t="str">
        <f>TEXT(MONTH(Tabela1[[#This Row],[Último pagto ano]])*29,"mmmm")</f>
        <v>dezembro</v>
      </c>
    </row>
    <row r="7590" spans="1:9" x14ac:dyDescent="0.25">
      <c r="A7590">
        <v>2025</v>
      </c>
      <c r="B7590" t="s">
        <v>15111</v>
      </c>
      <c r="C7590" s="1">
        <v>45771</v>
      </c>
      <c r="D7590" t="s">
        <v>15112</v>
      </c>
      <c r="E7590" s="2">
        <v>2800</v>
      </c>
      <c r="G7590" s="3">
        <f>MONTH(Tabela1[[#This Row],[Último pagto ano]])</f>
        <v>4</v>
      </c>
      <c r="H7590" t="str">
        <f>TEXT(Tabela1[[#This Row],[Coluna2]]*29,"mmmm")</f>
        <v>abril</v>
      </c>
      <c r="I7590" t="str">
        <f>TEXT(MONTH(Tabela1[[#This Row],[Último pagto ano]])*29,"mmmm")</f>
        <v>abril</v>
      </c>
    </row>
    <row r="7591" spans="1:9" x14ac:dyDescent="0.25">
      <c r="A7591">
        <v>2025</v>
      </c>
      <c r="B7591" t="s">
        <v>15113</v>
      </c>
      <c r="C7591" s="1">
        <v>45996</v>
      </c>
      <c r="D7591" t="s">
        <v>15114</v>
      </c>
      <c r="E7591" s="2">
        <v>2120</v>
      </c>
      <c r="G7591" s="3">
        <f>MONTH(Tabela1[[#This Row],[Último pagto ano]])</f>
        <v>12</v>
      </c>
      <c r="H7591" t="str">
        <f>TEXT(Tabela1[[#This Row],[Coluna2]]*29,"mmmm")</f>
        <v>dezembro</v>
      </c>
      <c r="I7591" t="str">
        <f>TEXT(MONTH(Tabela1[[#This Row],[Último pagto ano]])*29,"mmmm")</f>
        <v>dezembro</v>
      </c>
    </row>
    <row r="7592" spans="1:9" x14ac:dyDescent="0.25">
      <c r="A7592">
        <v>2025</v>
      </c>
      <c r="B7592" t="s">
        <v>15115</v>
      </c>
      <c r="C7592" s="1">
        <v>45933</v>
      </c>
      <c r="D7592" t="s">
        <v>15116</v>
      </c>
      <c r="E7592" s="2">
        <v>37565</v>
      </c>
      <c r="G7592" s="3">
        <f>MONTH(Tabela1[[#This Row],[Último pagto ano]])</f>
        <v>10</v>
      </c>
      <c r="H7592" t="str">
        <f>TEXT(Tabela1[[#This Row],[Coluna2]]*29,"mmmm")</f>
        <v>outubro</v>
      </c>
      <c r="I7592" t="str">
        <f>TEXT(MONTH(Tabela1[[#This Row],[Último pagto ano]])*29,"mmmm")</f>
        <v>outubro</v>
      </c>
    </row>
    <row r="7593" spans="1:9" x14ac:dyDescent="0.25">
      <c r="A7593">
        <v>2025</v>
      </c>
      <c r="B7593" t="s">
        <v>15117</v>
      </c>
      <c r="C7593" s="1">
        <v>45996</v>
      </c>
      <c r="D7593" t="s">
        <v>15118</v>
      </c>
      <c r="E7593" s="2">
        <v>1799.98</v>
      </c>
      <c r="G7593" s="3">
        <f>MONTH(Tabela1[[#This Row],[Último pagto ano]])</f>
        <v>12</v>
      </c>
      <c r="H7593" t="str">
        <f>TEXT(Tabela1[[#This Row],[Coluna2]]*29,"mmmm")</f>
        <v>dezembro</v>
      </c>
      <c r="I7593" t="str">
        <f>TEXT(MONTH(Tabela1[[#This Row],[Último pagto ano]])*29,"mmmm")</f>
        <v>dezembro</v>
      </c>
    </row>
    <row r="7594" spans="1:9" x14ac:dyDescent="0.25">
      <c r="A7594">
        <v>2025</v>
      </c>
      <c r="B7594" t="s">
        <v>15119</v>
      </c>
      <c r="C7594" s="1">
        <v>45996</v>
      </c>
      <c r="D7594" t="s">
        <v>15120</v>
      </c>
      <c r="E7594" s="2">
        <v>11800</v>
      </c>
      <c r="G7594" s="3">
        <f>MONTH(Tabela1[[#This Row],[Último pagto ano]])</f>
        <v>12</v>
      </c>
      <c r="H7594" t="str">
        <f>TEXT(Tabela1[[#This Row],[Coluna2]]*29,"mmmm")</f>
        <v>dezembro</v>
      </c>
      <c r="I7594" t="str">
        <f>TEXT(MONTH(Tabela1[[#This Row],[Último pagto ano]])*29,"mmmm")</f>
        <v>dezembro</v>
      </c>
    </row>
    <row r="7595" spans="1:9" x14ac:dyDescent="0.25">
      <c r="A7595">
        <v>2025</v>
      </c>
      <c r="B7595" t="s">
        <v>15121</v>
      </c>
      <c r="C7595" s="1">
        <v>45863</v>
      </c>
      <c r="D7595" t="s">
        <v>15122</v>
      </c>
      <c r="E7595" s="2">
        <v>4900</v>
      </c>
      <c r="G7595" s="3">
        <f>MONTH(Tabela1[[#This Row],[Último pagto ano]])</f>
        <v>7</v>
      </c>
      <c r="H7595" t="str">
        <f>TEXT(Tabela1[[#This Row],[Coluna2]]*29,"mmmm")</f>
        <v>julho</v>
      </c>
      <c r="I7595" t="str">
        <f>TEXT(MONTH(Tabela1[[#This Row],[Último pagto ano]])*29,"mmmm")</f>
        <v>julho</v>
      </c>
    </row>
    <row r="7596" spans="1:9" x14ac:dyDescent="0.25">
      <c r="A7596">
        <v>2025</v>
      </c>
      <c r="B7596" t="s">
        <v>15123</v>
      </c>
      <c r="C7596" s="1">
        <v>45810</v>
      </c>
      <c r="D7596" t="s">
        <v>15124</v>
      </c>
      <c r="E7596">
        <v>22</v>
      </c>
      <c r="G7596" s="3">
        <f>MONTH(Tabela1[[#This Row],[Último pagto ano]])</f>
        <v>6</v>
      </c>
      <c r="H7596" t="str">
        <f>TEXT(Tabela1[[#This Row],[Coluna2]]*29,"mmmm")</f>
        <v>junho</v>
      </c>
      <c r="I7596" t="str">
        <f>TEXT(MONTH(Tabela1[[#This Row],[Último pagto ano]])*29,"mmmm")</f>
        <v>junho</v>
      </c>
    </row>
    <row r="7597" spans="1:9" x14ac:dyDescent="0.25">
      <c r="A7597">
        <v>2025</v>
      </c>
      <c r="B7597" t="s">
        <v>15125</v>
      </c>
      <c r="C7597" s="1">
        <v>45849</v>
      </c>
      <c r="D7597" t="s">
        <v>15126</v>
      </c>
      <c r="E7597" s="2">
        <v>1068.05</v>
      </c>
      <c r="G7597" s="3">
        <f>MONTH(Tabela1[[#This Row],[Último pagto ano]])</f>
        <v>7</v>
      </c>
      <c r="H7597" t="str">
        <f>TEXT(Tabela1[[#This Row],[Coluna2]]*29,"mmmm")</f>
        <v>julho</v>
      </c>
      <c r="I7597" t="str">
        <f>TEXT(MONTH(Tabela1[[#This Row],[Último pagto ano]])*29,"mmmm")</f>
        <v>julho</v>
      </c>
    </row>
    <row r="7598" spans="1:9" x14ac:dyDescent="0.25">
      <c r="A7598">
        <v>2025</v>
      </c>
      <c r="B7598" t="s">
        <v>15127</v>
      </c>
      <c r="C7598" s="1">
        <v>46010</v>
      </c>
      <c r="D7598" t="s">
        <v>15128</v>
      </c>
      <c r="E7598" s="2">
        <v>24000</v>
      </c>
      <c r="G7598" s="3">
        <f>MONTH(Tabela1[[#This Row],[Último pagto ano]])</f>
        <v>12</v>
      </c>
      <c r="H7598" t="str">
        <f>TEXT(Tabela1[[#This Row],[Coluna2]]*29,"mmmm")</f>
        <v>dezembro</v>
      </c>
      <c r="I7598" t="str">
        <f>TEXT(MONTH(Tabela1[[#This Row],[Último pagto ano]])*29,"mmmm")</f>
        <v>dezembro</v>
      </c>
    </row>
    <row r="7599" spans="1:9" x14ac:dyDescent="0.25">
      <c r="A7599">
        <v>2025</v>
      </c>
      <c r="B7599" t="s">
        <v>15129</v>
      </c>
      <c r="C7599" s="1">
        <v>46010</v>
      </c>
      <c r="D7599" t="s">
        <v>15130</v>
      </c>
      <c r="E7599" s="2">
        <v>8400</v>
      </c>
      <c r="G7599" s="3">
        <f>MONTH(Tabela1[[#This Row],[Último pagto ano]])</f>
        <v>12</v>
      </c>
      <c r="H7599" t="str">
        <f>TEXT(Tabela1[[#This Row],[Coluna2]]*29,"mmmm")</f>
        <v>dezembro</v>
      </c>
      <c r="I7599" t="str">
        <f>TEXT(MONTH(Tabela1[[#This Row],[Último pagto ano]])*29,"mmmm")</f>
        <v>dezembro</v>
      </c>
    </row>
    <row r="7600" spans="1:9" x14ac:dyDescent="0.25">
      <c r="A7600">
        <v>2025</v>
      </c>
      <c r="B7600" t="s">
        <v>15131</v>
      </c>
      <c r="C7600" s="1">
        <v>45996</v>
      </c>
      <c r="D7600" t="s">
        <v>15132</v>
      </c>
      <c r="E7600" s="2">
        <v>3800</v>
      </c>
      <c r="G7600" s="3">
        <f>MONTH(Tabela1[[#This Row],[Último pagto ano]])</f>
        <v>12</v>
      </c>
      <c r="H7600" t="str">
        <f>TEXT(Tabela1[[#This Row],[Coluna2]]*29,"mmmm")</f>
        <v>dezembro</v>
      </c>
      <c r="I7600" t="str">
        <f>TEXT(MONTH(Tabela1[[#This Row],[Último pagto ano]])*29,"mmmm")</f>
        <v>dezembro</v>
      </c>
    </row>
    <row r="7601" spans="1:9" x14ac:dyDescent="0.25">
      <c r="A7601">
        <v>2025</v>
      </c>
      <c r="B7601" t="s">
        <v>15133</v>
      </c>
      <c r="C7601" s="1">
        <v>45876</v>
      </c>
      <c r="D7601" t="s">
        <v>15134</v>
      </c>
      <c r="E7601" s="2">
        <v>6670.31</v>
      </c>
      <c r="G7601" s="3">
        <f>MONTH(Tabela1[[#This Row],[Último pagto ano]])</f>
        <v>8</v>
      </c>
      <c r="H7601" t="str">
        <f>TEXT(Tabela1[[#This Row],[Coluna2]]*29,"mmmm")</f>
        <v>agosto</v>
      </c>
      <c r="I7601" t="str">
        <f>TEXT(MONTH(Tabela1[[#This Row],[Último pagto ano]])*29,"mmmm")</f>
        <v>agosto</v>
      </c>
    </row>
    <row r="7602" spans="1:9" x14ac:dyDescent="0.25">
      <c r="A7602">
        <v>2025</v>
      </c>
      <c r="B7602" t="s">
        <v>15135</v>
      </c>
      <c r="C7602" s="1">
        <v>45943</v>
      </c>
      <c r="D7602" t="s">
        <v>15136</v>
      </c>
      <c r="E7602">
        <v>33</v>
      </c>
      <c r="G7602" s="3">
        <f>MONTH(Tabela1[[#This Row],[Último pagto ano]])</f>
        <v>10</v>
      </c>
      <c r="H7602" t="str">
        <f>TEXT(Tabela1[[#This Row],[Coluna2]]*29,"mmmm")</f>
        <v>outubro</v>
      </c>
      <c r="I7602" t="str">
        <f>TEXT(MONTH(Tabela1[[#This Row],[Último pagto ano]])*29,"mmmm")</f>
        <v>outubro</v>
      </c>
    </row>
    <row r="7603" spans="1:9" x14ac:dyDescent="0.25">
      <c r="A7603">
        <v>2025</v>
      </c>
      <c r="B7603" t="s">
        <v>15137</v>
      </c>
      <c r="C7603" s="1">
        <v>45702</v>
      </c>
      <c r="D7603" t="s">
        <v>15138</v>
      </c>
      <c r="E7603">
        <v>108.73</v>
      </c>
      <c r="G7603" s="3">
        <f>MONTH(Tabela1[[#This Row],[Último pagto ano]])</f>
        <v>2</v>
      </c>
      <c r="H7603" t="str">
        <f>TEXT(Tabela1[[#This Row],[Coluna2]]*29,"mmmm")</f>
        <v>fevereiro</v>
      </c>
      <c r="I7603" t="str">
        <f>TEXT(MONTH(Tabela1[[#This Row],[Último pagto ano]])*29,"mmmm")</f>
        <v>fevereiro</v>
      </c>
    </row>
    <row r="7604" spans="1:9" x14ac:dyDescent="0.25">
      <c r="A7604">
        <v>2025</v>
      </c>
      <c r="B7604" t="s">
        <v>15139</v>
      </c>
      <c r="C7604" s="1">
        <v>45691</v>
      </c>
      <c r="D7604" t="s">
        <v>15140</v>
      </c>
      <c r="E7604">
        <v>22</v>
      </c>
      <c r="G7604" s="3">
        <f>MONTH(Tabela1[[#This Row],[Último pagto ano]])</f>
        <v>2</v>
      </c>
      <c r="H7604" t="str">
        <f>TEXT(Tabela1[[#This Row],[Coluna2]]*29,"mmmm")</f>
        <v>fevereiro</v>
      </c>
      <c r="I7604" t="str">
        <f>TEXT(MONTH(Tabela1[[#This Row],[Último pagto ano]])*29,"mmmm")</f>
        <v>fevereiro</v>
      </c>
    </row>
    <row r="7605" spans="1:9" x14ac:dyDescent="0.25">
      <c r="A7605">
        <v>2025</v>
      </c>
      <c r="B7605" t="s">
        <v>15141</v>
      </c>
      <c r="C7605" s="1">
        <v>45989</v>
      </c>
      <c r="D7605" t="s">
        <v>15142</v>
      </c>
      <c r="E7605" s="2">
        <v>11454.69</v>
      </c>
      <c r="G7605" s="3">
        <f>MONTH(Tabela1[[#This Row],[Último pagto ano]])</f>
        <v>11</v>
      </c>
      <c r="H7605" t="str">
        <f>TEXT(Tabela1[[#This Row],[Coluna2]]*29,"mmmm")</f>
        <v>novembro</v>
      </c>
      <c r="I7605" t="str">
        <f>TEXT(MONTH(Tabela1[[#This Row],[Último pagto ano]])*29,"mmmm")</f>
        <v>novembro</v>
      </c>
    </row>
    <row r="7606" spans="1:9" x14ac:dyDescent="0.25">
      <c r="A7606">
        <v>2025</v>
      </c>
      <c r="B7606" t="s">
        <v>15143</v>
      </c>
      <c r="C7606" s="1">
        <v>45750</v>
      </c>
      <c r="D7606" t="s">
        <v>15144</v>
      </c>
      <c r="E7606">
        <v>112.92</v>
      </c>
      <c r="G7606" s="3">
        <f>MONTH(Tabela1[[#This Row],[Último pagto ano]])</f>
        <v>4</v>
      </c>
      <c r="H7606" t="str">
        <f>TEXT(Tabela1[[#This Row],[Coluna2]]*29,"mmmm")</f>
        <v>abril</v>
      </c>
      <c r="I7606" t="str">
        <f>TEXT(MONTH(Tabela1[[#This Row],[Último pagto ano]])*29,"mmmm")</f>
        <v>abril</v>
      </c>
    </row>
    <row r="7607" spans="1:9" x14ac:dyDescent="0.25">
      <c r="A7607">
        <v>2025</v>
      </c>
      <c r="B7607" t="s">
        <v>15145</v>
      </c>
      <c r="C7607" s="1">
        <v>45838</v>
      </c>
      <c r="D7607" t="s">
        <v>15146</v>
      </c>
      <c r="E7607">
        <v>27.58</v>
      </c>
      <c r="G7607" s="3">
        <f>MONTH(Tabela1[[#This Row],[Último pagto ano]])</f>
        <v>6</v>
      </c>
      <c r="H7607" t="str">
        <f>TEXT(Tabela1[[#This Row],[Coluna2]]*29,"mmmm")</f>
        <v>junho</v>
      </c>
      <c r="I7607" t="str">
        <f>TEXT(MONTH(Tabela1[[#This Row],[Último pagto ano]])*29,"mmmm")</f>
        <v>junho</v>
      </c>
    </row>
    <row r="7608" spans="1:9" x14ac:dyDescent="0.25">
      <c r="A7608">
        <v>2025</v>
      </c>
      <c r="B7608" t="s">
        <v>15147</v>
      </c>
      <c r="C7608" s="1">
        <v>46007</v>
      </c>
      <c r="D7608" t="s">
        <v>15148</v>
      </c>
      <c r="E7608" s="2">
        <v>73170.2</v>
      </c>
      <c r="G7608" s="3">
        <f>MONTH(Tabela1[[#This Row],[Último pagto ano]])</f>
        <v>12</v>
      </c>
      <c r="H7608" t="str">
        <f>TEXT(Tabela1[[#This Row],[Coluna2]]*29,"mmmm")</f>
        <v>dezembro</v>
      </c>
      <c r="I7608" t="str">
        <f>TEXT(MONTH(Tabela1[[#This Row],[Último pagto ano]])*29,"mmmm")</f>
        <v>dezembro</v>
      </c>
    </row>
    <row r="7609" spans="1:9" x14ac:dyDescent="0.25">
      <c r="A7609">
        <v>2025</v>
      </c>
      <c r="B7609" t="s">
        <v>15149</v>
      </c>
      <c r="C7609" s="1">
        <v>45964</v>
      </c>
      <c r="D7609" t="s">
        <v>15150</v>
      </c>
      <c r="E7609">
        <v>418</v>
      </c>
      <c r="G7609" s="3">
        <f>MONTH(Tabela1[[#This Row],[Último pagto ano]])</f>
        <v>11</v>
      </c>
      <c r="H7609" t="str">
        <f>TEXT(Tabela1[[#This Row],[Coluna2]]*29,"mmmm")</f>
        <v>novembro</v>
      </c>
      <c r="I7609" t="str">
        <f>TEXT(MONTH(Tabela1[[#This Row],[Último pagto ano]])*29,"mmmm")</f>
        <v>novembro</v>
      </c>
    </row>
    <row r="7610" spans="1:9" x14ac:dyDescent="0.25">
      <c r="A7610">
        <v>2025</v>
      </c>
      <c r="B7610" t="s">
        <v>15151</v>
      </c>
      <c r="C7610" s="1">
        <v>46014</v>
      </c>
      <c r="D7610" t="s">
        <v>15152</v>
      </c>
      <c r="E7610">
        <v>183.4</v>
      </c>
      <c r="G7610" s="3">
        <f>MONTH(Tabela1[[#This Row],[Último pagto ano]])</f>
        <v>12</v>
      </c>
      <c r="H7610" t="str">
        <f>TEXT(Tabela1[[#This Row],[Coluna2]]*29,"mmmm")</f>
        <v>dezembro</v>
      </c>
      <c r="I7610" t="str">
        <f>TEXT(MONTH(Tabela1[[#This Row],[Último pagto ano]])*29,"mmmm")</f>
        <v>dezembro</v>
      </c>
    </row>
    <row r="7611" spans="1:9" x14ac:dyDescent="0.25">
      <c r="A7611">
        <v>2025</v>
      </c>
      <c r="B7611" t="s">
        <v>15153</v>
      </c>
      <c r="C7611" s="1">
        <v>45852</v>
      </c>
      <c r="D7611" t="s">
        <v>15154</v>
      </c>
      <c r="E7611" s="2">
        <v>3765.92</v>
      </c>
      <c r="G7611" s="3">
        <f>MONTH(Tabela1[[#This Row],[Último pagto ano]])</f>
        <v>7</v>
      </c>
      <c r="H7611" t="str">
        <f>TEXT(Tabela1[[#This Row],[Coluna2]]*29,"mmmm")</f>
        <v>julho</v>
      </c>
      <c r="I7611" t="str">
        <f>TEXT(MONTH(Tabela1[[#This Row],[Último pagto ano]])*29,"mmmm")</f>
        <v>julho</v>
      </c>
    </row>
    <row r="7612" spans="1:9" x14ac:dyDescent="0.25">
      <c r="A7612">
        <v>2025</v>
      </c>
      <c r="B7612" t="s">
        <v>15155</v>
      </c>
      <c r="C7612" s="1">
        <v>45761</v>
      </c>
      <c r="D7612" t="s">
        <v>15156</v>
      </c>
      <c r="E7612">
        <v>201.76</v>
      </c>
      <c r="G7612" s="3">
        <f>MONTH(Tabela1[[#This Row],[Último pagto ano]])</f>
        <v>4</v>
      </c>
      <c r="H7612" t="str">
        <f>TEXT(Tabela1[[#This Row],[Coluna2]]*29,"mmmm")</f>
        <v>abril</v>
      </c>
      <c r="I7612" t="str">
        <f>TEXT(MONTH(Tabela1[[#This Row],[Último pagto ano]])*29,"mmmm")</f>
        <v>abril</v>
      </c>
    </row>
    <row r="7613" spans="1:9" x14ac:dyDescent="0.25">
      <c r="A7613">
        <v>2025</v>
      </c>
      <c r="B7613" t="s">
        <v>15157</v>
      </c>
      <c r="C7613" s="1">
        <v>45701</v>
      </c>
      <c r="D7613" t="s">
        <v>15158</v>
      </c>
      <c r="E7613" s="2">
        <v>3176.77</v>
      </c>
      <c r="G7613" s="3">
        <f>MONTH(Tabela1[[#This Row],[Último pagto ano]])</f>
        <v>2</v>
      </c>
      <c r="H7613" t="str">
        <f>TEXT(Tabela1[[#This Row],[Coluna2]]*29,"mmmm")</f>
        <v>fevereiro</v>
      </c>
      <c r="I7613" t="str">
        <f>TEXT(MONTH(Tabela1[[#This Row],[Último pagto ano]])*29,"mmmm")</f>
        <v>fevereiro</v>
      </c>
    </row>
    <row r="7614" spans="1:9" x14ac:dyDescent="0.25">
      <c r="A7614">
        <v>2025</v>
      </c>
      <c r="B7614" t="s">
        <v>15159</v>
      </c>
      <c r="C7614" s="1">
        <v>45852</v>
      </c>
      <c r="D7614" t="s">
        <v>15160</v>
      </c>
      <c r="E7614">
        <v>132</v>
      </c>
      <c r="G7614" s="3">
        <f>MONTH(Tabela1[[#This Row],[Último pagto ano]])</f>
        <v>7</v>
      </c>
      <c r="H7614" t="str">
        <f>TEXT(Tabela1[[#This Row],[Coluna2]]*29,"mmmm")</f>
        <v>julho</v>
      </c>
      <c r="I7614" t="str">
        <f>TEXT(MONTH(Tabela1[[#This Row],[Último pagto ano]])*29,"mmmm")</f>
        <v>julho</v>
      </c>
    </row>
    <row r="7615" spans="1:9" x14ac:dyDescent="0.25">
      <c r="A7615">
        <v>2025</v>
      </c>
      <c r="B7615" t="s">
        <v>15161</v>
      </c>
      <c r="C7615" s="1">
        <v>45863</v>
      </c>
      <c r="D7615" t="s">
        <v>15162</v>
      </c>
      <c r="E7615" s="2">
        <v>4900</v>
      </c>
      <c r="G7615" s="3">
        <f>MONTH(Tabela1[[#This Row],[Último pagto ano]])</f>
        <v>7</v>
      </c>
      <c r="H7615" t="str">
        <f>TEXT(Tabela1[[#This Row],[Coluna2]]*29,"mmmm")</f>
        <v>julho</v>
      </c>
      <c r="I7615" t="str">
        <f>TEXT(MONTH(Tabela1[[#This Row],[Último pagto ano]])*29,"mmmm")</f>
        <v>julho</v>
      </c>
    </row>
    <row r="7616" spans="1:9" x14ac:dyDescent="0.25">
      <c r="A7616">
        <v>2025</v>
      </c>
      <c r="B7616" t="s">
        <v>15163</v>
      </c>
      <c r="C7616" s="1">
        <v>46013</v>
      </c>
      <c r="D7616" t="s">
        <v>15164</v>
      </c>
      <c r="E7616">
        <v>788.4</v>
      </c>
      <c r="G7616" s="3">
        <f>MONTH(Tabela1[[#This Row],[Último pagto ano]])</f>
        <v>12</v>
      </c>
      <c r="H7616" t="str">
        <f>TEXT(Tabela1[[#This Row],[Coluna2]]*29,"mmmm")</f>
        <v>dezembro</v>
      </c>
      <c r="I7616" t="str">
        <f>TEXT(MONTH(Tabela1[[#This Row],[Último pagto ano]])*29,"mmmm")</f>
        <v>dezembro</v>
      </c>
    </row>
    <row r="7617" spans="1:9" x14ac:dyDescent="0.25">
      <c r="A7617">
        <v>2025</v>
      </c>
      <c r="B7617" t="s">
        <v>15165</v>
      </c>
      <c r="C7617" s="1">
        <v>45975</v>
      </c>
      <c r="D7617" t="s">
        <v>15166</v>
      </c>
      <c r="E7617" s="2">
        <v>12668.48</v>
      </c>
      <c r="G7617" s="3">
        <f>MONTH(Tabela1[[#This Row],[Último pagto ano]])</f>
        <v>11</v>
      </c>
      <c r="H7617" t="str">
        <f>TEXT(Tabela1[[#This Row],[Coluna2]]*29,"mmmm")</f>
        <v>novembro</v>
      </c>
      <c r="I7617" t="str">
        <f>TEXT(MONTH(Tabela1[[#This Row],[Último pagto ano]])*29,"mmmm")</f>
        <v>novembro</v>
      </c>
    </row>
    <row r="7618" spans="1:9" x14ac:dyDescent="0.25">
      <c r="A7618">
        <v>2025</v>
      </c>
      <c r="B7618" t="s">
        <v>15167</v>
      </c>
      <c r="C7618" s="1">
        <v>45996</v>
      </c>
      <c r="D7618" t="s">
        <v>15168</v>
      </c>
      <c r="E7618" s="2">
        <v>37700</v>
      </c>
      <c r="G7618" s="3">
        <f>MONTH(Tabela1[[#This Row],[Último pagto ano]])</f>
        <v>12</v>
      </c>
      <c r="H7618" t="str">
        <f>TEXT(Tabela1[[#This Row],[Coluna2]]*29,"mmmm")</f>
        <v>dezembro</v>
      </c>
      <c r="I7618" t="str">
        <f>TEXT(MONTH(Tabela1[[#This Row],[Último pagto ano]])*29,"mmmm")</f>
        <v>dezembro</v>
      </c>
    </row>
    <row r="7619" spans="1:9" x14ac:dyDescent="0.25">
      <c r="A7619">
        <v>2025</v>
      </c>
      <c r="B7619" t="s">
        <v>15169</v>
      </c>
      <c r="C7619" s="1">
        <v>45838</v>
      </c>
      <c r="D7619" t="s">
        <v>15170</v>
      </c>
      <c r="E7619" s="2">
        <v>4372.7700000000004</v>
      </c>
      <c r="G7619" s="3">
        <f>MONTH(Tabela1[[#This Row],[Último pagto ano]])</f>
        <v>6</v>
      </c>
      <c r="H7619" t="str">
        <f>TEXT(Tabela1[[#This Row],[Coluna2]]*29,"mmmm")</f>
        <v>junho</v>
      </c>
      <c r="I7619" t="str">
        <f>TEXT(MONTH(Tabela1[[#This Row],[Último pagto ano]])*29,"mmmm")</f>
        <v>junho</v>
      </c>
    </row>
    <row r="7620" spans="1:9" x14ac:dyDescent="0.25">
      <c r="A7620">
        <v>2025</v>
      </c>
      <c r="B7620" t="s">
        <v>15171</v>
      </c>
      <c r="C7620" s="1">
        <v>46014</v>
      </c>
      <c r="D7620" t="s">
        <v>15172</v>
      </c>
      <c r="E7620" s="2">
        <v>36400</v>
      </c>
      <c r="G7620" s="3">
        <f>MONTH(Tabela1[[#This Row],[Último pagto ano]])</f>
        <v>12</v>
      </c>
      <c r="H7620" t="str">
        <f>TEXT(Tabela1[[#This Row],[Coluna2]]*29,"mmmm")</f>
        <v>dezembro</v>
      </c>
      <c r="I7620" t="str">
        <f>TEXT(MONTH(Tabela1[[#This Row],[Último pagto ano]])*29,"mmmm")</f>
        <v>dezembro</v>
      </c>
    </row>
    <row r="7621" spans="1:9" x14ac:dyDescent="0.25">
      <c r="A7621">
        <v>2025</v>
      </c>
      <c r="B7621" t="s">
        <v>15173</v>
      </c>
      <c r="C7621" s="1">
        <v>46010</v>
      </c>
      <c r="D7621" t="s">
        <v>15174</v>
      </c>
      <c r="E7621" s="2">
        <v>3500</v>
      </c>
      <c r="G7621" s="3">
        <f>MONTH(Tabela1[[#This Row],[Último pagto ano]])</f>
        <v>12</v>
      </c>
      <c r="H7621" t="str">
        <f>TEXT(Tabela1[[#This Row],[Coluna2]]*29,"mmmm")</f>
        <v>dezembro</v>
      </c>
      <c r="I7621" t="str">
        <f>TEXT(MONTH(Tabela1[[#This Row],[Último pagto ano]])*29,"mmmm")</f>
        <v>dezembro</v>
      </c>
    </row>
    <row r="7622" spans="1:9" x14ac:dyDescent="0.25">
      <c r="A7622">
        <v>2025</v>
      </c>
      <c r="B7622" t="s">
        <v>15175</v>
      </c>
      <c r="C7622" s="1">
        <v>45740</v>
      </c>
      <c r="D7622" t="s">
        <v>15176</v>
      </c>
      <c r="E7622" s="2">
        <v>2100</v>
      </c>
      <c r="G7622" s="3">
        <f>MONTH(Tabela1[[#This Row],[Último pagto ano]])</f>
        <v>3</v>
      </c>
      <c r="H7622" t="str">
        <f>TEXT(Tabela1[[#This Row],[Coluna2]]*29,"mmmm")</f>
        <v>março</v>
      </c>
      <c r="I7622" t="str">
        <f>TEXT(MONTH(Tabela1[[#This Row],[Último pagto ano]])*29,"mmmm")</f>
        <v>março</v>
      </c>
    </row>
    <row r="7623" spans="1:9" x14ac:dyDescent="0.25">
      <c r="A7623">
        <v>2025</v>
      </c>
      <c r="B7623" t="s">
        <v>15177</v>
      </c>
      <c r="C7623" s="1">
        <v>46006</v>
      </c>
      <c r="D7623" t="s">
        <v>15178</v>
      </c>
      <c r="E7623" s="2">
        <v>7404</v>
      </c>
      <c r="G7623" s="3">
        <f>MONTH(Tabela1[[#This Row],[Último pagto ano]])</f>
        <v>12</v>
      </c>
      <c r="H7623" t="str">
        <f>TEXT(Tabela1[[#This Row],[Coluna2]]*29,"mmmm")</f>
        <v>dezembro</v>
      </c>
      <c r="I7623" t="str">
        <f>TEXT(MONTH(Tabela1[[#This Row],[Último pagto ano]])*29,"mmmm")</f>
        <v>dezembro</v>
      </c>
    </row>
    <row r="7624" spans="1:9" x14ac:dyDescent="0.25">
      <c r="A7624">
        <v>2025</v>
      </c>
      <c r="B7624" t="s">
        <v>15179</v>
      </c>
      <c r="C7624" s="1">
        <v>45771</v>
      </c>
      <c r="D7624" t="s">
        <v>15180</v>
      </c>
      <c r="E7624" s="2">
        <v>1400</v>
      </c>
      <c r="G7624" s="3">
        <f>MONTH(Tabela1[[#This Row],[Último pagto ano]])</f>
        <v>4</v>
      </c>
      <c r="H7624" t="str">
        <f>TEXT(Tabela1[[#This Row],[Coluna2]]*29,"mmmm")</f>
        <v>abril</v>
      </c>
      <c r="I7624" t="str">
        <f>TEXT(MONTH(Tabela1[[#This Row],[Último pagto ano]])*29,"mmmm")</f>
        <v>abril</v>
      </c>
    </row>
    <row r="7625" spans="1:9" x14ac:dyDescent="0.25">
      <c r="A7625">
        <v>2025</v>
      </c>
      <c r="B7625" t="s">
        <v>15181</v>
      </c>
      <c r="C7625" s="1">
        <v>45691</v>
      </c>
      <c r="D7625" t="s">
        <v>15182</v>
      </c>
      <c r="E7625" s="2">
        <v>1596</v>
      </c>
      <c r="G7625" s="3">
        <f>MONTH(Tabela1[[#This Row],[Último pagto ano]])</f>
        <v>2</v>
      </c>
      <c r="H7625" t="str">
        <f>TEXT(Tabela1[[#This Row],[Coluna2]]*29,"mmmm")</f>
        <v>fevereiro</v>
      </c>
      <c r="I7625" t="str">
        <f>TEXT(MONTH(Tabela1[[#This Row],[Último pagto ano]])*29,"mmmm")</f>
        <v>fevereiro</v>
      </c>
    </row>
    <row r="7626" spans="1:9" x14ac:dyDescent="0.25">
      <c r="A7626">
        <v>2025</v>
      </c>
      <c r="B7626" t="s">
        <v>15183</v>
      </c>
      <c r="C7626" s="1">
        <v>45985</v>
      </c>
      <c r="D7626" t="s">
        <v>15184</v>
      </c>
      <c r="E7626" s="2">
        <v>3932.4</v>
      </c>
      <c r="G7626" s="3">
        <f>MONTH(Tabela1[[#This Row],[Último pagto ano]])</f>
        <v>11</v>
      </c>
      <c r="H7626" t="str">
        <f>TEXT(Tabela1[[#This Row],[Coluna2]]*29,"mmmm")</f>
        <v>novembro</v>
      </c>
      <c r="I7626" t="str">
        <f>TEXT(MONTH(Tabela1[[#This Row],[Último pagto ano]])*29,"mmmm")</f>
        <v>novembro</v>
      </c>
    </row>
    <row r="7627" spans="1:9" x14ac:dyDescent="0.25">
      <c r="A7627">
        <v>2025</v>
      </c>
      <c r="B7627" t="s">
        <v>15185</v>
      </c>
      <c r="C7627" s="1">
        <v>45896</v>
      </c>
      <c r="D7627" t="s">
        <v>15186</v>
      </c>
      <c r="E7627" s="2">
        <v>32830.04</v>
      </c>
      <c r="G7627" s="3">
        <f>MONTH(Tabela1[[#This Row],[Último pagto ano]])</f>
        <v>8</v>
      </c>
      <c r="H7627" t="str">
        <f>TEXT(Tabela1[[#This Row],[Coluna2]]*29,"mmmm")</f>
        <v>agosto</v>
      </c>
      <c r="I7627" t="str">
        <f>TEXT(MONTH(Tabela1[[#This Row],[Último pagto ano]])*29,"mmmm")</f>
        <v>agosto</v>
      </c>
    </row>
    <row r="7628" spans="1:9" x14ac:dyDescent="0.25">
      <c r="A7628">
        <v>2025</v>
      </c>
      <c r="B7628" t="s">
        <v>15187</v>
      </c>
      <c r="C7628" s="1">
        <v>46006</v>
      </c>
      <c r="D7628" t="s">
        <v>15188</v>
      </c>
      <c r="E7628" s="2">
        <v>2299.1</v>
      </c>
      <c r="G7628" s="3">
        <f>MONTH(Tabela1[[#This Row],[Último pagto ano]])</f>
        <v>12</v>
      </c>
      <c r="H7628" t="str">
        <f>TEXT(Tabela1[[#This Row],[Coluna2]]*29,"mmmm")</f>
        <v>dezembro</v>
      </c>
      <c r="I7628" t="str">
        <f>TEXT(MONTH(Tabela1[[#This Row],[Último pagto ano]])*29,"mmmm")</f>
        <v>dezembro</v>
      </c>
    </row>
    <row r="7629" spans="1:9" x14ac:dyDescent="0.25">
      <c r="A7629">
        <v>2025</v>
      </c>
      <c r="B7629" t="s">
        <v>15189</v>
      </c>
      <c r="C7629" s="1">
        <v>45842</v>
      </c>
      <c r="D7629" t="s">
        <v>15190</v>
      </c>
      <c r="E7629" s="2">
        <v>22680</v>
      </c>
      <c r="G7629" s="3">
        <f>MONTH(Tabela1[[#This Row],[Último pagto ano]])</f>
        <v>7</v>
      </c>
      <c r="H7629" t="str">
        <f>TEXT(Tabela1[[#This Row],[Coluna2]]*29,"mmmm")</f>
        <v>julho</v>
      </c>
      <c r="I7629" t="str">
        <f>TEXT(MONTH(Tabela1[[#This Row],[Último pagto ano]])*29,"mmmm")</f>
        <v>julho</v>
      </c>
    </row>
    <row r="7630" spans="1:9" x14ac:dyDescent="0.25">
      <c r="A7630">
        <v>2025</v>
      </c>
      <c r="B7630" t="s">
        <v>15191</v>
      </c>
      <c r="C7630" s="1">
        <v>45884</v>
      </c>
      <c r="D7630" t="s">
        <v>15192</v>
      </c>
      <c r="E7630" s="2">
        <v>649453.71</v>
      </c>
      <c r="G7630" s="3">
        <f>MONTH(Tabela1[[#This Row],[Último pagto ano]])</f>
        <v>8</v>
      </c>
      <c r="H7630" t="str">
        <f>TEXT(Tabela1[[#This Row],[Coluna2]]*29,"mmmm")</f>
        <v>agosto</v>
      </c>
      <c r="I7630" t="str">
        <f>TEXT(MONTH(Tabela1[[#This Row],[Último pagto ano]])*29,"mmmm")</f>
        <v>agosto</v>
      </c>
    </row>
    <row r="7631" spans="1:9" x14ac:dyDescent="0.25">
      <c r="A7631">
        <v>2025</v>
      </c>
      <c r="B7631" t="s">
        <v>15193</v>
      </c>
      <c r="C7631" s="1">
        <v>46021</v>
      </c>
      <c r="D7631" t="s">
        <v>15194</v>
      </c>
      <c r="E7631" s="2">
        <v>20580.650000000001</v>
      </c>
      <c r="G7631" s="3">
        <f>MONTH(Tabela1[[#This Row],[Último pagto ano]])</f>
        <v>12</v>
      </c>
      <c r="H7631" t="str">
        <f>TEXT(Tabela1[[#This Row],[Coluna2]]*29,"mmmm")</f>
        <v>dezembro</v>
      </c>
      <c r="I7631" t="str">
        <f>TEXT(MONTH(Tabela1[[#This Row],[Último pagto ano]])*29,"mmmm")</f>
        <v>dezembro</v>
      </c>
    </row>
    <row r="7632" spans="1:9" x14ac:dyDescent="0.25">
      <c r="A7632">
        <v>2025</v>
      </c>
      <c r="B7632" t="s">
        <v>15195</v>
      </c>
      <c r="C7632" s="1">
        <v>46006</v>
      </c>
      <c r="D7632" t="s">
        <v>15196</v>
      </c>
      <c r="E7632" s="2">
        <v>5416561.3700000001</v>
      </c>
      <c r="G7632" s="3">
        <f>MONTH(Tabela1[[#This Row],[Último pagto ano]])</f>
        <v>12</v>
      </c>
      <c r="H7632" t="str">
        <f>TEXT(Tabela1[[#This Row],[Coluna2]]*29,"mmmm")</f>
        <v>dezembro</v>
      </c>
      <c r="I7632" t="str">
        <f>TEXT(MONTH(Tabela1[[#This Row],[Último pagto ano]])*29,"mmmm")</f>
        <v>dezembro</v>
      </c>
    </row>
    <row r="7633" spans="1:9" x14ac:dyDescent="0.25">
      <c r="A7633">
        <v>2025</v>
      </c>
      <c r="B7633" t="s">
        <v>15197</v>
      </c>
      <c r="C7633" s="1">
        <v>45938</v>
      </c>
      <c r="D7633" t="s">
        <v>15198</v>
      </c>
      <c r="E7633" s="2">
        <v>440628.73</v>
      </c>
      <c r="G7633" s="3">
        <f>MONTH(Tabela1[[#This Row],[Último pagto ano]])</f>
        <v>10</v>
      </c>
      <c r="H7633" t="str">
        <f>TEXT(Tabela1[[#This Row],[Coluna2]]*29,"mmmm")</f>
        <v>outubro</v>
      </c>
      <c r="I7633" t="str">
        <f>TEXT(MONTH(Tabela1[[#This Row],[Último pagto ano]])*29,"mmmm")</f>
        <v>outubro</v>
      </c>
    </row>
    <row r="7634" spans="1:9" x14ac:dyDescent="0.25">
      <c r="A7634">
        <v>2025</v>
      </c>
      <c r="B7634" t="s">
        <v>15199</v>
      </c>
      <c r="C7634" s="1">
        <v>46014</v>
      </c>
      <c r="D7634" t="s">
        <v>15200</v>
      </c>
      <c r="E7634" s="2">
        <v>2717842.47</v>
      </c>
      <c r="G7634" s="3">
        <f>MONTH(Tabela1[[#This Row],[Último pagto ano]])</f>
        <v>12</v>
      </c>
      <c r="H7634" t="str">
        <f>TEXT(Tabela1[[#This Row],[Coluna2]]*29,"mmmm")</f>
        <v>dezembro</v>
      </c>
      <c r="I7634" t="str">
        <f>TEXT(MONTH(Tabela1[[#This Row],[Último pagto ano]])*29,"mmmm")</f>
        <v>dezembro</v>
      </c>
    </row>
    <row r="7635" spans="1:9" x14ac:dyDescent="0.25">
      <c r="A7635">
        <v>2025</v>
      </c>
      <c r="B7635" t="s">
        <v>15201</v>
      </c>
      <c r="C7635" s="1">
        <v>46009</v>
      </c>
      <c r="D7635" t="s">
        <v>15202</v>
      </c>
      <c r="E7635" s="2">
        <v>8485233.8100000005</v>
      </c>
      <c r="G7635" s="3">
        <f>MONTH(Tabela1[[#This Row],[Último pagto ano]])</f>
        <v>12</v>
      </c>
      <c r="H7635" t="str">
        <f>TEXT(Tabela1[[#This Row],[Coluna2]]*29,"mmmm")</f>
        <v>dezembro</v>
      </c>
      <c r="I7635" t="str">
        <f>TEXT(MONTH(Tabela1[[#This Row],[Último pagto ano]])*29,"mmmm")</f>
        <v>dezembro</v>
      </c>
    </row>
    <row r="7636" spans="1:9" x14ac:dyDescent="0.25">
      <c r="A7636">
        <v>2025</v>
      </c>
      <c r="B7636" t="s">
        <v>15203</v>
      </c>
      <c r="C7636" s="1">
        <v>45761</v>
      </c>
      <c r="D7636" t="s">
        <v>15204</v>
      </c>
      <c r="E7636" s="2">
        <v>23947.5</v>
      </c>
      <c r="G7636" s="3">
        <f>MONTH(Tabela1[[#This Row],[Último pagto ano]])</f>
        <v>4</v>
      </c>
      <c r="H7636" t="str">
        <f>TEXT(Tabela1[[#This Row],[Coluna2]]*29,"mmmm")</f>
        <v>abril</v>
      </c>
      <c r="I7636" t="str">
        <f>TEXT(MONTH(Tabela1[[#This Row],[Último pagto ano]])*29,"mmmm")</f>
        <v>abril</v>
      </c>
    </row>
    <row r="7637" spans="1:9" x14ac:dyDescent="0.25">
      <c r="A7637">
        <v>2025</v>
      </c>
      <c r="B7637" t="s">
        <v>15205</v>
      </c>
      <c r="C7637" s="1">
        <v>46010</v>
      </c>
      <c r="D7637" t="s">
        <v>15206</v>
      </c>
      <c r="E7637" s="2">
        <v>8400</v>
      </c>
      <c r="G7637" s="3">
        <f>MONTH(Tabela1[[#This Row],[Último pagto ano]])</f>
        <v>12</v>
      </c>
      <c r="H7637" t="str">
        <f>TEXT(Tabela1[[#This Row],[Coluna2]]*29,"mmmm")</f>
        <v>dezembro</v>
      </c>
      <c r="I7637" t="str">
        <f>TEXT(MONTH(Tabela1[[#This Row],[Último pagto ano]])*29,"mmmm")</f>
        <v>dezembro</v>
      </c>
    </row>
    <row r="7638" spans="1:9" x14ac:dyDescent="0.25">
      <c r="A7638">
        <v>2025</v>
      </c>
      <c r="B7638" t="s">
        <v>15207</v>
      </c>
      <c r="C7638" s="1">
        <v>45996</v>
      </c>
      <c r="D7638" t="s">
        <v>15208</v>
      </c>
      <c r="E7638" s="2">
        <v>53800.02</v>
      </c>
      <c r="G7638" s="3">
        <f>MONTH(Tabela1[[#This Row],[Último pagto ano]])</f>
        <v>12</v>
      </c>
      <c r="H7638" t="str">
        <f>TEXT(Tabela1[[#This Row],[Coluna2]]*29,"mmmm")</f>
        <v>dezembro</v>
      </c>
      <c r="I7638" t="str">
        <f>TEXT(MONTH(Tabela1[[#This Row],[Último pagto ano]])*29,"mmmm")</f>
        <v>dezembro</v>
      </c>
    </row>
    <row r="7639" spans="1:9" x14ac:dyDescent="0.25">
      <c r="A7639">
        <v>2025</v>
      </c>
      <c r="B7639" t="s">
        <v>15209</v>
      </c>
      <c r="C7639" s="1">
        <v>45831</v>
      </c>
      <c r="D7639" t="s">
        <v>15210</v>
      </c>
      <c r="E7639" s="2">
        <v>1080</v>
      </c>
      <c r="G7639" s="3">
        <f>MONTH(Tabela1[[#This Row],[Último pagto ano]])</f>
        <v>6</v>
      </c>
      <c r="H7639" t="str">
        <f>TEXT(Tabela1[[#This Row],[Coluna2]]*29,"mmmm")</f>
        <v>junho</v>
      </c>
      <c r="I7639" t="str">
        <f>TEXT(MONTH(Tabela1[[#This Row],[Último pagto ano]])*29,"mmmm")</f>
        <v>junho</v>
      </c>
    </row>
    <row r="7640" spans="1:9" x14ac:dyDescent="0.25">
      <c r="A7640">
        <v>2025</v>
      </c>
      <c r="B7640" t="s">
        <v>15211</v>
      </c>
      <c r="C7640" s="1">
        <v>46010</v>
      </c>
      <c r="D7640" t="s">
        <v>15212</v>
      </c>
      <c r="E7640" s="2">
        <v>1400</v>
      </c>
      <c r="G7640" s="3">
        <f>MONTH(Tabela1[[#This Row],[Último pagto ano]])</f>
        <v>12</v>
      </c>
      <c r="H7640" t="str">
        <f>TEXT(Tabela1[[#This Row],[Coluna2]]*29,"mmmm")</f>
        <v>dezembro</v>
      </c>
      <c r="I7640" t="str">
        <f>TEXT(MONTH(Tabela1[[#This Row],[Último pagto ano]])*29,"mmmm")</f>
        <v>dezembro</v>
      </c>
    </row>
    <row r="7641" spans="1:9" x14ac:dyDescent="0.25">
      <c r="A7641">
        <v>2025</v>
      </c>
      <c r="B7641" t="s">
        <v>15213</v>
      </c>
      <c r="C7641" s="1">
        <v>46006</v>
      </c>
      <c r="D7641" t="s">
        <v>15214</v>
      </c>
      <c r="E7641" s="2">
        <v>1000</v>
      </c>
      <c r="G7641" s="3">
        <f>MONTH(Tabela1[[#This Row],[Último pagto ano]])</f>
        <v>12</v>
      </c>
      <c r="H7641" t="str">
        <f>TEXT(Tabela1[[#This Row],[Coluna2]]*29,"mmmm")</f>
        <v>dezembro</v>
      </c>
      <c r="I7641" t="str">
        <f>TEXT(MONTH(Tabela1[[#This Row],[Último pagto ano]])*29,"mmmm")</f>
        <v>dezembro</v>
      </c>
    </row>
    <row r="7642" spans="1:9" x14ac:dyDescent="0.25">
      <c r="A7642">
        <v>2025</v>
      </c>
      <c r="B7642" t="s">
        <v>15215</v>
      </c>
      <c r="C7642" s="1">
        <v>45999</v>
      </c>
      <c r="D7642" t="s">
        <v>15216</v>
      </c>
      <c r="E7642">
        <v>44</v>
      </c>
      <c r="G7642" s="3">
        <f>MONTH(Tabela1[[#This Row],[Último pagto ano]])</f>
        <v>12</v>
      </c>
      <c r="H7642" t="str">
        <f>TEXT(Tabela1[[#This Row],[Coluna2]]*29,"mmmm")</f>
        <v>dezembro</v>
      </c>
      <c r="I7642" t="str">
        <f>TEXT(MONTH(Tabela1[[#This Row],[Último pagto ano]])*29,"mmmm")</f>
        <v>dezembro</v>
      </c>
    </row>
    <row r="7643" spans="1:9" x14ac:dyDescent="0.25">
      <c r="A7643">
        <v>2025</v>
      </c>
      <c r="B7643" t="s">
        <v>15217</v>
      </c>
      <c r="C7643" s="1">
        <v>46010</v>
      </c>
      <c r="D7643" t="s">
        <v>15218</v>
      </c>
      <c r="E7643" s="2">
        <v>8000</v>
      </c>
      <c r="G7643" s="3">
        <f>MONTH(Tabela1[[#This Row],[Último pagto ano]])</f>
        <v>12</v>
      </c>
      <c r="H7643" t="str">
        <f>TEXT(Tabela1[[#This Row],[Coluna2]]*29,"mmmm")</f>
        <v>dezembro</v>
      </c>
      <c r="I7643" t="str">
        <f>TEXT(MONTH(Tabela1[[#This Row],[Último pagto ano]])*29,"mmmm")</f>
        <v>dezembro</v>
      </c>
    </row>
    <row r="7644" spans="1:9" x14ac:dyDescent="0.25">
      <c r="A7644">
        <v>2025</v>
      </c>
      <c r="B7644" t="s">
        <v>15219</v>
      </c>
      <c r="C7644" s="1">
        <v>45989</v>
      </c>
      <c r="D7644" t="s">
        <v>15220</v>
      </c>
      <c r="E7644" s="2">
        <v>2164.27</v>
      </c>
      <c r="G7644" s="3">
        <f>MONTH(Tabela1[[#This Row],[Último pagto ano]])</f>
        <v>11</v>
      </c>
      <c r="H7644" t="str">
        <f>TEXT(Tabela1[[#This Row],[Coluna2]]*29,"mmmm")</f>
        <v>novembro</v>
      </c>
      <c r="I7644" t="str">
        <f>TEXT(MONTH(Tabela1[[#This Row],[Último pagto ano]])*29,"mmmm")</f>
        <v>novembro</v>
      </c>
    </row>
    <row r="7645" spans="1:9" x14ac:dyDescent="0.25">
      <c r="A7645">
        <v>2025</v>
      </c>
      <c r="B7645" t="s">
        <v>15221</v>
      </c>
      <c r="C7645" s="1">
        <v>45996</v>
      </c>
      <c r="D7645" t="s">
        <v>15222</v>
      </c>
      <c r="E7645" s="2">
        <v>64714.27</v>
      </c>
      <c r="G7645" s="3">
        <f>MONTH(Tabela1[[#This Row],[Último pagto ano]])</f>
        <v>12</v>
      </c>
      <c r="H7645" t="str">
        <f>TEXT(Tabela1[[#This Row],[Coluna2]]*29,"mmmm")</f>
        <v>dezembro</v>
      </c>
      <c r="I7645" t="str">
        <f>TEXT(MONTH(Tabela1[[#This Row],[Último pagto ano]])*29,"mmmm")</f>
        <v>dezembro</v>
      </c>
    </row>
    <row r="7646" spans="1:9" x14ac:dyDescent="0.25">
      <c r="A7646">
        <v>2025</v>
      </c>
      <c r="B7646" t="s">
        <v>15223</v>
      </c>
      <c r="C7646" s="1">
        <v>45989</v>
      </c>
      <c r="D7646" t="s">
        <v>15224</v>
      </c>
      <c r="E7646" s="2">
        <v>11665.06</v>
      </c>
      <c r="G7646" s="3">
        <f>MONTH(Tabela1[[#This Row],[Último pagto ano]])</f>
        <v>11</v>
      </c>
      <c r="H7646" t="str">
        <f>TEXT(Tabela1[[#This Row],[Coluna2]]*29,"mmmm")</f>
        <v>novembro</v>
      </c>
      <c r="I7646" t="str">
        <f>TEXT(MONTH(Tabela1[[#This Row],[Último pagto ano]])*29,"mmmm")</f>
        <v>novembro</v>
      </c>
    </row>
    <row r="7647" spans="1:9" x14ac:dyDescent="0.25">
      <c r="A7647">
        <v>2025</v>
      </c>
      <c r="B7647" t="s">
        <v>15225</v>
      </c>
      <c r="C7647" s="1">
        <v>45996</v>
      </c>
      <c r="D7647" t="s">
        <v>15226</v>
      </c>
      <c r="E7647" s="2">
        <v>4950</v>
      </c>
      <c r="G7647" s="3">
        <f>MONTH(Tabela1[[#This Row],[Último pagto ano]])</f>
        <v>12</v>
      </c>
      <c r="H7647" t="str">
        <f>TEXT(Tabela1[[#This Row],[Coluna2]]*29,"mmmm")</f>
        <v>dezembro</v>
      </c>
      <c r="I7647" t="str">
        <f>TEXT(MONTH(Tabela1[[#This Row],[Último pagto ano]])*29,"mmmm")</f>
        <v>dezembro</v>
      </c>
    </row>
    <row r="7648" spans="1:9" x14ac:dyDescent="0.25">
      <c r="A7648">
        <v>2025</v>
      </c>
      <c r="B7648" t="s">
        <v>15227</v>
      </c>
      <c r="C7648" s="1">
        <v>45702</v>
      </c>
      <c r="D7648" t="s">
        <v>15228</v>
      </c>
      <c r="E7648">
        <v>140.5</v>
      </c>
      <c r="G7648" s="3">
        <f>MONTH(Tabela1[[#This Row],[Último pagto ano]])</f>
        <v>2</v>
      </c>
      <c r="H7648" t="str">
        <f>TEXT(Tabela1[[#This Row],[Coluna2]]*29,"mmmm")</f>
        <v>fevereiro</v>
      </c>
      <c r="I7648" t="str">
        <f>TEXT(MONTH(Tabela1[[#This Row],[Último pagto ano]])*29,"mmmm")</f>
        <v>fevereiro</v>
      </c>
    </row>
    <row r="7649" spans="1:9" x14ac:dyDescent="0.25">
      <c r="A7649">
        <v>2025</v>
      </c>
      <c r="B7649" t="s">
        <v>15229</v>
      </c>
      <c r="C7649" s="1">
        <v>45744</v>
      </c>
      <c r="D7649" t="s">
        <v>15230</v>
      </c>
      <c r="E7649" s="2">
        <v>54817.760000000002</v>
      </c>
      <c r="G7649" s="3">
        <f>MONTH(Tabela1[[#This Row],[Último pagto ano]])</f>
        <v>3</v>
      </c>
      <c r="H7649" t="str">
        <f>TEXT(Tabela1[[#This Row],[Coluna2]]*29,"mmmm")</f>
        <v>março</v>
      </c>
      <c r="I7649" t="str">
        <f>TEXT(MONTH(Tabela1[[#This Row],[Último pagto ano]])*29,"mmmm")</f>
        <v>março</v>
      </c>
    </row>
    <row r="7650" spans="1:9" x14ac:dyDescent="0.25">
      <c r="A7650">
        <v>2025</v>
      </c>
      <c r="B7650" t="s">
        <v>15231</v>
      </c>
      <c r="C7650" s="1">
        <v>46006</v>
      </c>
      <c r="D7650" t="s">
        <v>15232</v>
      </c>
      <c r="E7650">
        <v>506</v>
      </c>
      <c r="G7650" s="3">
        <f>MONTH(Tabela1[[#This Row],[Último pagto ano]])</f>
        <v>12</v>
      </c>
      <c r="H7650" t="str">
        <f>TEXT(Tabela1[[#This Row],[Coluna2]]*29,"mmmm")</f>
        <v>dezembro</v>
      </c>
      <c r="I7650" t="str">
        <f>TEXT(MONTH(Tabela1[[#This Row],[Último pagto ano]])*29,"mmmm")</f>
        <v>dezembro</v>
      </c>
    </row>
    <row r="7651" spans="1:9" x14ac:dyDescent="0.25">
      <c r="A7651">
        <v>2025</v>
      </c>
      <c r="B7651" t="s">
        <v>15233</v>
      </c>
      <c r="C7651" s="1">
        <v>45866</v>
      </c>
      <c r="D7651" t="s">
        <v>15234</v>
      </c>
      <c r="E7651">
        <v>132</v>
      </c>
      <c r="G7651" s="3">
        <f>MONTH(Tabela1[[#This Row],[Último pagto ano]])</f>
        <v>7</v>
      </c>
      <c r="H7651" t="str">
        <f>TEXT(Tabela1[[#This Row],[Coluna2]]*29,"mmmm")</f>
        <v>julho</v>
      </c>
      <c r="I7651" t="str">
        <f>TEXT(MONTH(Tabela1[[#This Row],[Último pagto ano]])*29,"mmmm")</f>
        <v>julho</v>
      </c>
    </row>
    <row r="7652" spans="1:9" x14ac:dyDescent="0.25">
      <c r="A7652">
        <v>2025</v>
      </c>
      <c r="B7652" t="s">
        <v>15235</v>
      </c>
      <c r="C7652" s="1">
        <v>45744</v>
      </c>
      <c r="D7652" t="s">
        <v>15236</v>
      </c>
      <c r="E7652" s="2">
        <v>3071.53</v>
      </c>
      <c r="G7652" s="3">
        <f>MONTH(Tabela1[[#This Row],[Último pagto ano]])</f>
        <v>3</v>
      </c>
      <c r="H7652" t="str">
        <f>TEXT(Tabela1[[#This Row],[Coluna2]]*29,"mmmm")</f>
        <v>março</v>
      </c>
      <c r="I7652" t="str">
        <f>TEXT(MONTH(Tabela1[[#This Row],[Último pagto ano]])*29,"mmmm")</f>
        <v>março</v>
      </c>
    </row>
    <row r="7653" spans="1:9" x14ac:dyDescent="0.25">
      <c r="A7653">
        <v>2025</v>
      </c>
      <c r="B7653" t="s">
        <v>15237</v>
      </c>
      <c r="C7653" s="1">
        <v>45783</v>
      </c>
      <c r="D7653" t="s">
        <v>15238</v>
      </c>
      <c r="E7653" s="2">
        <v>1273.73</v>
      </c>
      <c r="G7653" s="3">
        <f>MONTH(Tabela1[[#This Row],[Último pagto ano]])</f>
        <v>5</v>
      </c>
      <c r="H7653" t="str">
        <f>TEXT(Tabela1[[#This Row],[Coluna2]]*29,"mmmm")</f>
        <v>maio</v>
      </c>
      <c r="I7653" t="str">
        <f>TEXT(MONTH(Tabela1[[#This Row],[Último pagto ano]])*29,"mmmm")</f>
        <v>maio</v>
      </c>
    </row>
    <row r="7654" spans="1:9" x14ac:dyDescent="0.25">
      <c r="A7654">
        <v>2025</v>
      </c>
      <c r="B7654" t="s">
        <v>15239</v>
      </c>
      <c r="C7654" s="1">
        <v>46021</v>
      </c>
      <c r="D7654" t="s">
        <v>15240</v>
      </c>
      <c r="E7654" s="2">
        <v>10553.27</v>
      </c>
      <c r="G7654" s="3">
        <f>MONTH(Tabela1[[#This Row],[Último pagto ano]])</f>
        <v>12</v>
      </c>
      <c r="H7654" t="str">
        <f>TEXT(Tabela1[[#This Row],[Coluna2]]*29,"mmmm")</f>
        <v>dezembro</v>
      </c>
      <c r="I7654" t="str">
        <f>TEXT(MONTH(Tabela1[[#This Row],[Último pagto ano]])*29,"mmmm")</f>
        <v>dezembro</v>
      </c>
    </row>
    <row r="7655" spans="1:9" x14ac:dyDescent="0.25">
      <c r="A7655">
        <v>2025</v>
      </c>
      <c r="B7655" t="s">
        <v>15241</v>
      </c>
      <c r="C7655" s="1">
        <v>46013</v>
      </c>
      <c r="D7655" t="s">
        <v>15242</v>
      </c>
      <c r="E7655" s="2">
        <v>4656.6000000000004</v>
      </c>
      <c r="G7655" s="3">
        <f>MONTH(Tabela1[[#This Row],[Último pagto ano]])</f>
        <v>12</v>
      </c>
      <c r="H7655" t="str">
        <f>TEXT(Tabela1[[#This Row],[Coluna2]]*29,"mmmm")</f>
        <v>dezembro</v>
      </c>
      <c r="I7655" t="str">
        <f>TEXT(MONTH(Tabela1[[#This Row],[Último pagto ano]])*29,"mmmm")</f>
        <v>dezembro</v>
      </c>
    </row>
    <row r="7656" spans="1:9" x14ac:dyDescent="0.25">
      <c r="A7656">
        <v>2025</v>
      </c>
      <c r="B7656" t="s">
        <v>15243</v>
      </c>
      <c r="C7656" s="1">
        <v>45856</v>
      </c>
      <c r="D7656" t="s">
        <v>15244</v>
      </c>
      <c r="E7656" s="2">
        <v>6295.88</v>
      </c>
      <c r="G7656" s="3">
        <f>MONTH(Tabela1[[#This Row],[Último pagto ano]])</f>
        <v>7</v>
      </c>
      <c r="H7656" t="str">
        <f>TEXT(Tabela1[[#This Row],[Coluna2]]*29,"mmmm")</f>
        <v>julho</v>
      </c>
      <c r="I7656" t="str">
        <f>TEXT(MONTH(Tabela1[[#This Row],[Último pagto ano]])*29,"mmmm")</f>
        <v>julho</v>
      </c>
    </row>
    <row r="7657" spans="1:9" x14ac:dyDescent="0.25">
      <c r="A7657">
        <v>2025</v>
      </c>
      <c r="B7657" t="s">
        <v>15245</v>
      </c>
      <c r="C7657" s="1">
        <v>45996</v>
      </c>
      <c r="D7657" t="s">
        <v>15246</v>
      </c>
      <c r="E7657" s="2">
        <v>6030</v>
      </c>
      <c r="G7657" s="3">
        <f>MONTH(Tabela1[[#This Row],[Último pagto ano]])</f>
        <v>12</v>
      </c>
      <c r="H7657" t="str">
        <f>TEXT(Tabela1[[#This Row],[Coluna2]]*29,"mmmm")</f>
        <v>dezembro</v>
      </c>
      <c r="I7657" t="str">
        <f>TEXT(MONTH(Tabela1[[#This Row],[Último pagto ano]])*29,"mmmm")</f>
        <v>dezembro</v>
      </c>
    </row>
    <row r="7658" spans="1:9" x14ac:dyDescent="0.25">
      <c r="A7658">
        <v>2025</v>
      </c>
      <c r="B7658" t="s">
        <v>15247</v>
      </c>
      <c r="C7658" s="1">
        <v>45796</v>
      </c>
      <c r="D7658" t="s">
        <v>15248</v>
      </c>
      <c r="E7658">
        <v>22</v>
      </c>
      <c r="G7658" s="3">
        <f>MONTH(Tabela1[[#This Row],[Último pagto ano]])</f>
        <v>5</v>
      </c>
      <c r="H7658" t="str">
        <f>TEXT(Tabela1[[#This Row],[Coluna2]]*29,"mmmm")</f>
        <v>maio</v>
      </c>
      <c r="I7658" t="str">
        <f>TEXT(MONTH(Tabela1[[#This Row],[Último pagto ano]])*29,"mmmm")</f>
        <v>maio</v>
      </c>
    </row>
    <row r="7659" spans="1:9" x14ac:dyDescent="0.25">
      <c r="A7659">
        <v>2025</v>
      </c>
      <c r="B7659" t="s">
        <v>15249</v>
      </c>
      <c r="C7659" s="1">
        <v>45799</v>
      </c>
      <c r="D7659" t="s">
        <v>15250</v>
      </c>
      <c r="E7659" s="2">
        <v>44979</v>
      </c>
      <c r="G7659" s="3">
        <f>MONTH(Tabela1[[#This Row],[Último pagto ano]])</f>
        <v>5</v>
      </c>
      <c r="H7659" t="str">
        <f>TEXT(Tabela1[[#This Row],[Coluna2]]*29,"mmmm")</f>
        <v>maio</v>
      </c>
      <c r="I7659" t="str">
        <f>TEXT(MONTH(Tabela1[[#This Row],[Último pagto ano]])*29,"mmmm")</f>
        <v>maio</v>
      </c>
    </row>
    <row r="7660" spans="1:9" x14ac:dyDescent="0.25">
      <c r="A7660">
        <v>2025</v>
      </c>
      <c r="B7660" t="s">
        <v>15251</v>
      </c>
      <c r="C7660" s="1">
        <v>46010</v>
      </c>
      <c r="D7660" t="s">
        <v>15252</v>
      </c>
      <c r="E7660">
        <v>2.09</v>
      </c>
      <c r="G7660" s="3">
        <f>MONTH(Tabela1[[#This Row],[Último pagto ano]])</f>
        <v>12</v>
      </c>
      <c r="H7660" t="str">
        <f>TEXT(Tabela1[[#This Row],[Coluna2]]*29,"mmmm")</f>
        <v>dezembro</v>
      </c>
      <c r="I7660" t="str">
        <f>TEXT(MONTH(Tabela1[[#This Row],[Último pagto ano]])*29,"mmmm")</f>
        <v>dezembro</v>
      </c>
    </row>
    <row r="7661" spans="1:9" x14ac:dyDescent="0.25">
      <c r="A7661">
        <v>2025</v>
      </c>
      <c r="B7661" t="s">
        <v>15253</v>
      </c>
      <c r="C7661" s="1">
        <v>45702</v>
      </c>
      <c r="D7661" t="s">
        <v>15254</v>
      </c>
      <c r="E7661">
        <v>27.2</v>
      </c>
      <c r="G7661" s="3">
        <f>MONTH(Tabela1[[#This Row],[Último pagto ano]])</f>
        <v>2</v>
      </c>
      <c r="H7661" t="str">
        <f>TEXT(Tabela1[[#This Row],[Coluna2]]*29,"mmmm")</f>
        <v>fevereiro</v>
      </c>
      <c r="I7661" t="str">
        <f>TEXT(MONTH(Tabela1[[#This Row],[Último pagto ano]])*29,"mmmm")</f>
        <v>fevereiro</v>
      </c>
    </row>
    <row r="7662" spans="1:9" x14ac:dyDescent="0.25">
      <c r="A7662">
        <v>2025</v>
      </c>
      <c r="B7662" t="s">
        <v>15255</v>
      </c>
      <c r="C7662" s="1">
        <v>46006</v>
      </c>
      <c r="D7662" t="s">
        <v>15256</v>
      </c>
      <c r="E7662" s="2">
        <v>10608.64</v>
      </c>
      <c r="G7662" s="3">
        <f>MONTH(Tabela1[[#This Row],[Último pagto ano]])</f>
        <v>12</v>
      </c>
      <c r="H7662" t="str">
        <f>TEXT(Tabela1[[#This Row],[Coluna2]]*29,"mmmm")</f>
        <v>dezembro</v>
      </c>
      <c r="I7662" t="str">
        <f>TEXT(MONTH(Tabela1[[#This Row],[Último pagto ano]])*29,"mmmm")</f>
        <v>dezembro</v>
      </c>
    </row>
    <row r="7663" spans="1:9" x14ac:dyDescent="0.25">
      <c r="A7663">
        <v>2025</v>
      </c>
      <c r="B7663" t="s">
        <v>15257</v>
      </c>
      <c r="C7663" s="1">
        <v>45996</v>
      </c>
      <c r="D7663" t="s">
        <v>15258</v>
      </c>
      <c r="E7663" s="2">
        <v>54043</v>
      </c>
      <c r="G7663" s="3">
        <f>MONTH(Tabela1[[#This Row],[Último pagto ano]])</f>
        <v>12</v>
      </c>
      <c r="H7663" t="str">
        <f>TEXT(Tabela1[[#This Row],[Coluna2]]*29,"mmmm")</f>
        <v>dezembro</v>
      </c>
      <c r="I7663" t="str">
        <f>TEXT(MONTH(Tabela1[[#This Row],[Último pagto ano]])*29,"mmmm")</f>
        <v>dezembro</v>
      </c>
    </row>
    <row r="7664" spans="1:9" x14ac:dyDescent="0.25">
      <c r="A7664">
        <v>2025</v>
      </c>
      <c r="B7664" t="s">
        <v>15259</v>
      </c>
      <c r="C7664" s="1">
        <v>45663</v>
      </c>
      <c r="D7664" t="s">
        <v>15260</v>
      </c>
      <c r="E7664" s="2">
        <v>35080.050000000003</v>
      </c>
      <c r="G7664" s="3">
        <f>MONTH(Tabela1[[#This Row],[Último pagto ano]])</f>
        <v>1</v>
      </c>
      <c r="H7664" t="str">
        <f>TEXT(Tabela1[[#This Row],[Coluna2]]*29,"mmmm")</f>
        <v>janeiro</v>
      </c>
      <c r="I7664" t="str">
        <f>TEXT(MONTH(Tabela1[[#This Row],[Último pagto ano]])*29,"mmmm")</f>
        <v>janeiro</v>
      </c>
    </row>
    <row r="7665" spans="1:9" x14ac:dyDescent="0.25">
      <c r="A7665">
        <v>2025</v>
      </c>
      <c r="B7665" t="s">
        <v>15261</v>
      </c>
      <c r="C7665" s="1">
        <v>46013</v>
      </c>
      <c r="D7665" t="s">
        <v>15262</v>
      </c>
      <c r="E7665" s="2">
        <v>249743.65</v>
      </c>
      <c r="G7665" s="3">
        <f>MONTH(Tabela1[[#This Row],[Último pagto ano]])</f>
        <v>12</v>
      </c>
      <c r="H7665" t="str">
        <f>TEXT(Tabela1[[#This Row],[Coluna2]]*29,"mmmm")</f>
        <v>dezembro</v>
      </c>
      <c r="I7665" t="str">
        <f>TEXT(MONTH(Tabela1[[#This Row],[Último pagto ano]])*29,"mmmm")</f>
        <v>dezembro</v>
      </c>
    </row>
    <row r="7666" spans="1:9" x14ac:dyDescent="0.25">
      <c r="A7666">
        <v>2025</v>
      </c>
      <c r="B7666" t="s">
        <v>15263</v>
      </c>
      <c r="C7666" s="1">
        <v>45995</v>
      </c>
      <c r="D7666" t="s">
        <v>15264</v>
      </c>
      <c r="E7666" s="2">
        <v>222918</v>
      </c>
      <c r="G7666" s="3">
        <f>MONTH(Tabela1[[#This Row],[Último pagto ano]])</f>
        <v>12</v>
      </c>
      <c r="H7666" t="str">
        <f>TEXT(Tabela1[[#This Row],[Coluna2]]*29,"mmmm")</f>
        <v>dezembro</v>
      </c>
      <c r="I7666" t="str">
        <f>TEXT(MONTH(Tabela1[[#This Row],[Último pagto ano]])*29,"mmmm")</f>
        <v>dezembro</v>
      </c>
    </row>
    <row r="7667" spans="1:9" x14ac:dyDescent="0.25">
      <c r="A7667">
        <v>2025</v>
      </c>
      <c r="B7667" t="s">
        <v>15265</v>
      </c>
      <c r="C7667" s="1">
        <v>45800</v>
      </c>
      <c r="D7667" t="s">
        <v>15266</v>
      </c>
      <c r="E7667">
        <v>299.94</v>
      </c>
      <c r="G7667" s="3">
        <f>MONTH(Tabela1[[#This Row],[Último pagto ano]])</f>
        <v>5</v>
      </c>
      <c r="H7667" t="str">
        <f>TEXT(Tabela1[[#This Row],[Coluna2]]*29,"mmmm")</f>
        <v>maio</v>
      </c>
      <c r="I7667" t="str">
        <f>TEXT(MONTH(Tabela1[[#This Row],[Último pagto ano]])*29,"mmmm")</f>
        <v>maio</v>
      </c>
    </row>
    <row r="7668" spans="1:9" x14ac:dyDescent="0.25">
      <c r="A7668">
        <v>2025</v>
      </c>
      <c r="B7668" t="s">
        <v>15267</v>
      </c>
      <c r="C7668" s="1">
        <v>46021</v>
      </c>
      <c r="D7668" t="s">
        <v>15268</v>
      </c>
      <c r="E7668" s="2">
        <v>1876988.59</v>
      </c>
      <c r="G7668" s="3">
        <f>MONTH(Tabela1[[#This Row],[Último pagto ano]])</f>
        <v>12</v>
      </c>
      <c r="H7668" t="str">
        <f>TEXT(Tabela1[[#This Row],[Coluna2]]*29,"mmmm")</f>
        <v>dezembro</v>
      </c>
      <c r="I7668" t="str">
        <f>TEXT(MONTH(Tabela1[[#This Row],[Último pagto ano]])*29,"mmmm")</f>
        <v>dezembro</v>
      </c>
    </row>
    <row r="7669" spans="1:9" x14ac:dyDescent="0.25">
      <c r="A7669">
        <v>2025</v>
      </c>
      <c r="B7669" t="s">
        <v>15269</v>
      </c>
      <c r="C7669" s="1">
        <v>45992</v>
      </c>
      <c r="D7669" t="s">
        <v>15270</v>
      </c>
      <c r="E7669" s="2">
        <v>527472.03</v>
      </c>
      <c r="G7669" s="3">
        <f>MONTH(Tabela1[[#This Row],[Último pagto ano]])</f>
        <v>12</v>
      </c>
      <c r="H7669" t="str">
        <f>TEXT(Tabela1[[#This Row],[Coluna2]]*29,"mmmm")</f>
        <v>dezembro</v>
      </c>
      <c r="I7669" t="str">
        <f>TEXT(MONTH(Tabela1[[#This Row],[Último pagto ano]])*29,"mmmm")</f>
        <v>dezembro</v>
      </c>
    </row>
    <row r="7670" spans="1:9" x14ac:dyDescent="0.25">
      <c r="A7670">
        <v>2025</v>
      </c>
      <c r="B7670" t="s">
        <v>15271</v>
      </c>
      <c r="C7670" s="1">
        <v>45744</v>
      </c>
      <c r="D7670" t="s">
        <v>15272</v>
      </c>
      <c r="E7670" s="2">
        <v>46630.28</v>
      </c>
      <c r="G7670" s="3">
        <f>MONTH(Tabela1[[#This Row],[Último pagto ano]])</f>
        <v>3</v>
      </c>
      <c r="H7670" t="str">
        <f>TEXT(Tabela1[[#This Row],[Coluna2]]*29,"mmmm")</f>
        <v>março</v>
      </c>
      <c r="I7670" t="str">
        <f>TEXT(MONTH(Tabela1[[#This Row],[Último pagto ano]])*29,"mmmm")</f>
        <v>março</v>
      </c>
    </row>
    <row r="7671" spans="1:9" x14ac:dyDescent="0.25">
      <c r="A7671">
        <v>2025</v>
      </c>
      <c r="B7671" t="s">
        <v>15273</v>
      </c>
      <c r="C7671" s="1">
        <v>46006</v>
      </c>
      <c r="D7671" t="s">
        <v>15274</v>
      </c>
      <c r="E7671">
        <v>141.19999999999999</v>
      </c>
      <c r="G7671" s="3">
        <f>MONTH(Tabela1[[#This Row],[Último pagto ano]])</f>
        <v>12</v>
      </c>
      <c r="H7671" t="str">
        <f>TEXT(Tabela1[[#This Row],[Coluna2]]*29,"mmmm")</f>
        <v>dezembro</v>
      </c>
      <c r="I7671" t="str">
        <f>TEXT(MONTH(Tabela1[[#This Row],[Último pagto ano]])*29,"mmmm")</f>
        <v>dezembro</v>
      </c>
    </row>
    <row r="7672" spans="1:9" x14ac:dyDescent="0.25">
      <c r="A7672">
        <v>2025</v>
      </c>
      <c r="B7672" t="s">
        <v>15275</v>
      </c>
      <c r="C7672" s="1">
        <v>45748</v>
      </c>
      <c r="D7672" t="s">
        <v>15276</v>
      </c>
      <c r="E7672" s="2">
        <v>20226.48</v>
      </c>
      <c r="G7672" s="3">
        <f>MONTH(Tabela1[[#This Row],[Último pagto ano]])</f>
        <v>4</v>
      </c>
      <c r="H7672" t="str">
        <f>TEXT(Tabela1[[#This Row],[Coluna2]]*29,"mmmm")</f>
        <v>abril</v>
      </c>
      <c r="I7672" t="str">
        <f>TEXT(MONTH(Tabela1[[#This Row],[Último pagto ano]])*29,"mmmm")</f>
        <v>abril</v>
      </c>
    </row>
    <row r="7673" spans="1:9" x14ac:dyDescent="0.25">
      <c r="A7673">
        <v>2025</v>
      </c>
      <c r="B7673" t="s">
        <v>15277</v>
      </c>
      <c r="C7673" s="1">
        <v>46006</v>
      </c>
      <c r="D7673" t="s">
        <v>15278</v>
      </c>
      <c r="E7673">
        <v>33</v>
      </c>
      <c r="G7673" s="3">
        <f>MONTH(Tabela1[[#This Row],[Último pagto ano]])</f>
        <v>12</v>
      </c>
      <c r="H7673" t="str">
        <f>TEXT(Tabela1[[#This Row],[Coluna2]]*29,"mmmm")</f>
        <v>dezembro</v>
      </c>
      <c r="I7673" t="str">
        <f>TEXT(MONTH(Tabela1[[#This Row],[Último pagto ano]])*29,"mmmm")</f>
        <v>dezembro</v>
      </c>
    </row>
    <row r="7674" spans="1:9" x14ac:dyDescent="0.25">
      <c r="A7674">
        <v>2025</v>
      </c>
      <c r="B7674" t="s">
        <v>15279</v>
      </c>
      <c r="C7674" s="1">
        <v>45929</v>
      </c>
      <c r="D7674" t="s">
        <v>15280</v>
      </c>
      <c r="E7674">
        <v>18.54</v>
      </c>
      <c r="G7674" s="3">
        <f>MONTH(Tabela1[[#This Row],[Último pagto ano]])</f>
        <v>9</v>
      </c>
      <c r="H7674" t="str">
        <f>TEXT(Tabela1[[#This Row],[Coluna2]]*29,"mmmm")</f>
        <v>setembro</v>
      </c>
      <c r="I7674" t="str">
        <f>TEXT(MONTH(Tabela1[[#This Row],[Último pagto ano]])*29,"mmmm")</f>
        <v>setembro</v>
      </c>
    </row>
    <row r="7675" spans="1:9" x14ac:dyDescent="0.25">
      <c r="A7675">
        <v>2025</v>
      </c>
      <c r="B7675" t="s">
        <v>15281</v>
      </c>
      <c r="C7675" s="1">
        <v>46013</v>
      </c>
      <c r="D7675" t="s">
        <v>15282</v>
      </c>
      <c r="E7675" s="2">
        <v>2145</v>
      </c>
      <c r="G7675" s="3">
        <f>MONTH(Tabela1[[#This Row],[Último pagto ano]])</f>
        <v>12</v>
      </c>
      <c r="H7675" t="str">
        <f>TEXT(Tabela1[[#This Row],[Coluna2]]*29,"mmmm")</f>
        <v>dezembro</v>
      </c>
      <c r="I7675" t="str">
        <f>TEXT(MONTH(Tabela1[[#This Row],[Último pagto ano]])*29,"mmmm")</f>
        <v>dezembro</v>
      </c>
    </row>
    <row r="7676" spans="1:9" x14ac:dyDescent="0.25">
      <c r="A7676">
        <v>2025</v>
      </c>
      <c r="B7676" t="s">
        <v>15283</v>
      </c>
      <c r="C7676" s="1">
        <v>46010</v>
      </c>
      <c r="D7676" t="s">
        <v>15284</v>
      </c>
      <c r="E7676" s="2">
        <v>12000</v>
      </c>
      <c r="G7676" s="3">
        <f>MONTH(Tabela1[[#This Row],[Último pagto ano]])</f>
        <v>12</v>
      </c>
      <c r="H7676" t="str">
        <f>TEXT(Tabela1[[#This Row],[Coluna2]]*29,"mmmm")</f>
        <v>dezembro</v>
      </c>
      <c r="I7676" t="str">
        <f>TEXT(MONTH(Tabela1[[#This Row],[Último pagto ano]])*29,"mmmm")</f>
        <v>dezembro</v>
      </c>
    </row>
    <row r="7677" spans="1:9" x14ac:dyDescent="0.25">
      <c r="A7677">
        <v>2025</v>
      </c>
      <c r="B7677" t="s">
        <v>15285</v>
      </c>
      <c r="C7677" s="1">
        <v>46010</v>
      </c>
      <c r="D7677" t="s">
        <v>15286</v>
      </c>
      <c r="E7677" s="2">
        <v>2800</v>
      </c>
      <c r="G7677" s="3">
        <f>MONTH(Tabela1[[#This Row],[Último pagto ano]])</f>
        <v>12</v>
      </c>
      <c r="H7677" t="str">
        <f>TEXT(Tabela1[[#This Row],[Coluna2]]*29,"mmmm")</f>
        <v>dezembro</v>
      </c>
      <c r="I7677" t="str">
        <f>TEXT(MONTH(Tabela1[[#This Row],[Último pagto ano]])*29,"mmmm")</f>
        <v>dezembro</v>
      </c>
    </row>
    <row r="7678" spans="1:9" x14ac:dyDescent="0.25">
      <c r="A7678">
        <v>2025</v>
      </c>
      <c r="B7678" t="s">
        <v>15287</v>
      </c>
      <c r="C7678" s="1">
        <v>46009</v>
      </c>
      <c r="D7678" t="s">
        <v>15288</v>
      </c>
      <c r="E7678" s="2">
        <v>85014.3</v>
      </c>
      <c r="G7678" s="3">
        <f>MONTH(Tabela1[[#This Row],[Último pagto ano]])</f>
        <v>12</v>
      </c>
      <c r="H7678" t="str">
        <f>TEXT(Tabela1[[#This Row],[Coluna2]]*29,"mmmm")</f>
        <v>dezembro</v>
      </c>
      <c r="I7678" t="str">
        <f>TEXT(MONTH(Tabela1[[#This Row],[Último pagto ano]])*29,"mmmm")</f>
        <v>dezembro</v>
      </c>
    </row>
    <row r="7679" spans="1:9" x14ac:dyDescent="0.25">
      <c r="A7679">
        <v>2025</v>
      </c>
      <c r="B7679" t="s">
        <v>15289</v>
      </c>
      <c r="C7679" s="1">
        <v>45995</v>
      </c>
      <c r="D7679" t="s">
        <v>15290</v>
      </c>
      <c r="E7679">
        <v>418</v>
      </c>
      <c r="G7679" s="3">
        <f>MONTH(Tabela1[[#This Row],[Último pagto ano]])</f>
        <v>12</v>
      </c>
      <c r="H7679" t="str">
        <f>TEXT(Tabela1[[#This Row],[Coluna2]]*29,"mmmm")</f>
        <v>dezembro</v>
      </c>
      <c r="I7679" t="str">
        <f>TEXT(MONTH(Tabela1[[#This Row],[Último pagto ano]])*29,"mmmm")</f>
        <v>dezembro</v>
      </c>
    </row>
    <row r="7680" spans="1:9" x14ac:dyDescent="0.25">
      <c r="A7680">
        <v>2025</v>
      </c>
      <c r="B7680" t="s">
        <v>15291</v>
      </c>
      <c r="C7680" s="1">
        <v>45698</v>
      </c>
      <c r="D7680" t="s">
        <v>15292</v>
      </c>
      <c r="E7680">
        <v>185.1</v>
      </c>
      <c r="G7680" s="3">
        <f>MONTH(Tabela1[[#This Row],[Último pagto ano]])</f>
        <v>2</v>
      </c>
      <c r="H7680" t="str">
        <f>TEXT(Tabela1[[#This Row],[Coluna2]]*29,"mmmm")</f>
        <v>fevereiro</v>
      </c>
      <c r="I7680" t="str">
        <f>TEXT(MONTH(Tabela1[[#This Row],[Último pagto ano]])*29,"mmmm")</f>
        <v>fevereiro</v>
      </c>
    </row>
    <row r="7681" spans="1:9" x14ac:dyDescent="0.25">
      <c r="A7681">
        <v>2025</v>
      </c>
      <c r="B7681" t="s">
        <v>15293</v>
      </c>
      <c r="C7681" s="1">
        <v>45695</v>
      </c>
      <c r="D7681" t="s">
        <v>15294</v>
      </c>
      <c r="E7681" s="2">
        <v>200000</v>
      </c>
      <c r="G7681" s="3">
        <f>MONTH(Tabela1[[#This Row],[Último pagto ano]])</f>
        <v>2</v>
      </c>
      <c r="H7681" t="str">
        <f>TEXT(Tabela1[[#This Row],[Coluna2]]*29,"mmmm")</f>
        <v>fevereiro</v>
      </c>
      <c r="I7681" t="str">
        <f>TEXT(MONTH(Tabela1[[#This Row],[Último pagto ano]])*29,"mmmm")</f>
        <v>fevereiro</v>
      </c>
    </row>
    <row r="7682" spans="1:9" x14ac:dyDescent="0.25">
      <c r="A7682">
        <v>2025</v>
      </c>
      <c r="B7682" t="s">
        <v>15295</v>
      </c>
      <c r="C7682" s="1">
        <v>45693</v>
      </c>
      <c r="D7682" t="s">
        <v>15296</v>
      </c>
      <c r="E7682" s="2">
        <v>4500</v>
      </c>
      <c r="G7682" s="3">
        <f>MONTH(Tabela1[[#This Row],[Último pagto ano]])</f>
        <v>2</v>
      </c>
      <c r="H7682" t="str">
        <f>TEXT(Tabela1[[#This Row],[Coluna2]]*29,"mmmm")</f>
        <v>fevereiro</v>
      </c>
      <c r="I7682" t="str">
        <f>TEXT(MONTH(Tabela1[[#This Row],[Último pagto ano]])*29,"mmmm")</f>
        <v>fevereiro</v>
      </c>
    </row>
    <row r="7683" spans="1:9" x14ac:dyDescent="0.25">
      <c r="A7683">
        <v>2025</v>
      </c>
      <c r="B7683" t="s">
        <v>15297</v>
      </c>
      <c r="C7683" s="1">
        <v>46014</v>
      </c>
      <c r="D7683" t="s">
        <v>15298</v>
      </c>
      <c r="E7683" s="2">
        <v>91678.58</v>
      </c>
      <c r="G7683" s="3">
        <f>MONTH(Tabela1[[#This Row],[Último pagto ano]])</f>
        <v>12</v>
      </c>
      <c r="H7683" t="str">
        <f>TEXT(Tabela1[[#This Row],[Coluna2]]*29,"mmmm")</f>
        <v>dezembro</v>
      </c>
      <c r="I7683" t="str">
        <f>TEXT(MONTH(Tabela1[[#This Row],[Último pagto ano]])*29,"mmmm")</f>
        <v>dezembro</v>
      </c>
    </row>
    <row r="7684" spans="1:9" x14ac:dyDescent="0.25">
      <c r="A7684">
        <v>2025</v>
      </c>
      <c r="B7684" t="s">
        <v>15299</v>
      </c>
      <c r="C7684" s="1">
        <v>46009</v>
      </c>
      <c r="D7684" t="s">
        <v>15300</v>
      </c>
      <c r="E7684">
        <v>32.57</v>
      </c>
      <c r="G7684" s="3">
        <f>MONTH(Tabela1[[#This Row],[Último pagto ano]])</f>
        <v>12</v>
      </c>
      <c r="H7684" t="str">
        <f>TEXT(Tabela1[[#This Row],[Coluna2]]*29,"mmmm")</f>
        <v>dezembro</v>
      </c>
      <c r="I7684" t="str">
        <f>TEXT(MONTH(Tabela1[[#This Row],[Último pagto ano]])*29,"mmmm")</f>
        <v>dezembro</v>
      </c>
    </row>
    <row r="7685" spans="1:9" x14ac:dyDescent="0.25">
      <c r="A7685">
        <v>2025</v>
      </c>
      <c r="B7685" t="s">
        <v>15301</v>
      </c>
      <c r="C7685" s="1">
        <v>45985</v>
      </c>
      <c r="D7685" t="s">
        <v>15302</v>
      </c>
      <c r="E7685">
        <v>20.21</v>
      </c>
      <c r="G7685" s="3">
        <f>MONTH(Tabela1[[#This Row],[Último pagto ano]])</f>
        <v>11</v>
      </c>
      <c r="H7685" t="str">
        <f>TEXT(Tabela1[[#This Row],[Coluna2]]*29,"mmmm")</f>
        <v>novembro</v>
      </c>
      <c r="I7685" t="str">
        <f>TEXT(MONTH(Tabela1[[#This Row],[Último pagto ano]])*29,"mmmm")</f>
        <v>novembro</v>
      </c>
    </row>
    <row r="7686" spans="1:9" x14ac:dyDescent="0.25">
      <c r="A7686">
        <v>2025</v>
      </c>
      <c r="B7686" t="s">
        <v>15303</v>
      </c>
      <c r="C7686" s="1">
        <v>46014</v>
      </c>
      <c r="D7686" t="s">
        <v>15304</v>
      </c>
      <c r="E7686" s="2">
        <v>27333.119999999999</v>
      </c>
      <c r="G7686" s="3">
        <f>MONTH(Tabela1[[#This Row],[Último pagto ano]])</f>
        <v>12</v>
      </c>
      <c r="H7686" t="str">
        <f>TEXT(Tabela1[[#This Row],[Coluna2]]*29,"mmmm")</f>
        <v>dezembro</v>
      </c>
      <c r="I7686" t="str">
        <f>TEXT(MONTH(Tabela1[[#This Row],[Último pagto ano]])*29,"mmmm")</f>
        <v>dezembro</v>
      </c>
    </row>
    <row r="7687" spans="1:9" x14ac:dyDescent="0.25">
      <c r="A7687">
        <v>2025</v>
      </c>
      <c r="B7687" t="s">
        <v>15305</v>
      </c>
      <c r="C7687" s="1">
        <v>45882</v>
      </c>
      <c r="D7687" t="s">
        <v>15306</v>
      </c>
      <c r="E7687" s="2">
        <v>127800</v>
      </c>
      <c r="G7687" s="3">
        <f>MONTH(Tabela1[[#This Row],[Último pagto ano]])</f>
        <v>8</v>
      </c>
      <c r="H7687" t="str">
        <f>TEXT(Tabela1[[#This Row],[Coluna2]]*29,"mmmm")</f>
        <v>agosto</v>
      </c>
      <c r="I7687" t="str">
        <f>TEXT(MONTH(Tabela1[[#This Row],[Último pagto ano]])*29,"mmmm")</f>
        <v>agosto</v>
      </c>
    </row>
    <row r="7688" spans="1:9" x14ac:dyDescent="0.25">
      <c r="A7688">
        <v>2025</v>
      </c>
      <c r="B7688" t="s">
        <v>15307</v>
      </c>
      <c r="C7688" s="1">
        <v>45702</v>
      </c>
      <c r="D7688" t="s">
        <v>15308</v>
      </c>
      <c r="E7688">
        <v>97.74</v>
      </c>
      <c r="G7688" s="3">
        <f>MONTH(Tabela1[[#This Row],[Último pagto ano]])</f>
        <v>2</v>
      </c>
      <c r="H7688" t="str">
        <f>TEXT(Tabela1[[#This Row],[Coluna2]]*29,"mmmm")</f>
        <v>fevereiro</v>
      </c>
      <c r="I7688" t="str">
        <f>TEXT(MONTH(Tabela1[[#This Row],[Último pagto ano]])*29,"mmmm")</f>
        <v>fevereiro</v>
      </c>
    </row>
    <row r="7689" spans="1:9" x14ac:dyDescent="0.25">
      <c r="A7689">
        <v>2025</v>
      </c>
      <c r="B7689" t="s">
        <v>15309</v>
      </c>
      <c r="C7689" s="1">
        <v>45873</v>
      </c>
      <c r="D7689" t="s">
        <v>15310</v>
      </c>
      <c r="E7689">
        <v>50.39</v>
      </c>
      <c r="G7689" s="3">
        <f>MONTH(Tabela1[[#This Row],[Último pagto ano]])</f>
        <v>8</v>
      </c>
      <c r="H7689" t="str">
        <f>TEXT(Tabela1[[#This Row],[Coluna2]]*29,"mmmm")</f>
        <v>agosto</v>
      </c>
      <c r="I7689" t="str">
        <f>TEXT(MONTH(Tabela1[[#This Row],[Último pagto ano]])*29,"mmmm")</f>
        <v>agosto</v>
      </c>
    </row>
    <row r="7690" spans="1:9" x14ac:dyDescent="0.25">
      <c r="A7690">
        <v>2025</v>
      </c>
      <c r="B7690" t="s">
        <v>15311</v>
      </c>
      <c r="C7690" s="1">
        <v>45782</v>
      </c>
      <c r="D7690" t="s">
        <v>15312</v>
      </c>
      <c r="E7690" s="2">
        <v>5000</v>
      </c>
      <c r="G7690" s="3">
        <f>MONTH(Tabela1[[#This Row],[Último pagto ano]])</f>
        <v>5</v>
      </c>
      <c r="H7690" t="str">
        <f>TEXT(Tabela1[[#This Row],[Coluna2]]*29,"mmmm")</f>
        <v>maio</v>
      </c>
      <c r="I7690" t="str">
        <f>TEXT(MONTH(Tabela1[[#This Row],[Último pagto ano]])*29,"mmmm")</f>
        <v>maio</v>
      </c>
    </row>
    <row r="7691" spans="1:9" x14ac:dyDescent="0.25">
      <c r="A7691">
        <v>2025</v>
      </c>
      <c r="B7691" t="s">
        <v>15313</v>
      </c>
      <c r="C7691" s="1">
        <v>46014</v>
      </c>
      <c r="D7691" t="s">
        <v>15314</v>
      </c>
      <c r="E7691" s="2">
        <v>6324257.46</v>
      </c>
      <c r="G7691" s="3">
        <f>MONTH(Tabela1[[#This Row],[Último pagto ano]])</f>
        <v>12</v>
      </c>
      <c r="H7691" t="str">
        <f>TEXT(Tabela1[[#This Row],[Coluna2]]*29,"mmmm")</f>
        <v>dezembro</v>
      </c>
      <c r="I7691" t="str">
        <f>TEXT(MONTH(Tabela1[[#This Row],[Último pagto ano]])*29,"mmmm")</f>
        <v>dezembro</v>
      </c>
    </row>
    <row r="7692" spans="1:9" x14ac:dyDescent="0.25">
      <c r="A7692">
        <v>2025</v>
      </c>
      <c r="B7692" t="s">
        <v>15315</v>
      </c>
      <c r="C7692" s="1">
        <v>45853</v>
      </c>
      <c r="D7692" t="s">
        <v>15316</v>
      </c>
      <c r="E7692" s="2">
        <v>5822.6</v>
      </c>
      <c r="G7692" s="3">
        <f>MONTH(Tabela1[[#This Row],[Último pagto ano]])</f>
        <v>7</v>
      </c>
      <c r="H7692" t="str">
        <f>TEXT(Tabela1[[#This Row],[Coluna2]]*29,"mmmm")</f>
        <v>julho</v>
      </c>
      <c r="I7692" t="str">
        <f>TEXT(MONTH(Tabela1[[#This Row],[Último pagto ano]])*29,"mmmm")</f>
        <v>julho</v>
      </c>
    </row>
    <row r="7693" spans="1:9" x14ac:dyDescent="0.25">
      <c r="A7693">
        <v>2025</v>
      </c>
      <c r="B7693" t="s">
        <v>15317</v>
      </c>
      <c r="C7693" s="1">
        <v>45807</v>
      </c>
      <c r="D7693" t="s">
        <v>15318</v>
      </c>
      <c r="E7693" s="2">
        <v>2103</v>
      </c>
      <c r="G7693" s="3">
        <f>MONTH(Tabela1[[#This Row],[Último pagto ano]])</f>
        <v>5</v>
      </c>
      <c r="H7693" t="str">
        <f>TEXT(Tabela1[[#This Row],[Coluna2]]*29,"mmmm")</f>
        <v>maio</v>
      </c>
      <c r="I7693" t="str">
        <f>TEXT(MONTH(Tabela1[[#This Row],[Último pagto ano]])*29,"mmmm")</f>
        <v>maio</v>
      </c>
    </row>
    <row r="7694" spans="1:9" x14ac:dyDescent="0.25">
      <c r="A7694">
        <v>2025</v>
      </c>
      <c r="B7694" t="s">
        <v>15319</v>
      </c>
      <c r="C7694" s="1">
        <v>45670</v>
      </c>
      <c r="D7694" t="s">
        <v>15320</v>
      </c>
      <c r="E7694">
        <v>53.49</v>
      </c>
      <c r="G7694" s="3">
        <f>MONTH(Tabela1[[#This Row],[Último pagto ano]])</f>
        <v>1</v>
      </c>
      <c r="H7694" t="str">
        <f>TEXT(Tabela1[[#This Row],[Coluna2]]*29,"mmmm")</f>
        <v>janeiro</v>
      </c>
      <c r="I7694" t="str">
        <f>TEXT(MONTH(Tabela1[[#This Row],[Último pagto ano]])*29,"mmmm")</f>
        <v>janeiro</v>
      </c>
    </row>
    <row r="7695" spans="1:9" x14ac:dyDescent="0.25">
      <c r="A7695">
        <v>2025</v>
      </c>
      <c r="B7695" t="s">
        <v>15321</v>
      </c>
      <c r="C7695" s="1">
        <v>45754</v>
      </c>
      <c r="D7695" t="s">
        <v>15322</v>
      </c>
      <c r="E7695" s="2">
        <v>11340</v>
      </c>
      <c r="G7695" s="3">
        <f>MONTH(Tabela1[[#This Row],[Último pagto ano]])</f>
        <v>4</v>
      </c>
      <c r="H7695" t="str">
        <f>TEXT(Tabela1[[#This Row],[Coluna2]]*29,"mmmm")</f>
        <v>abril</v>
      </c>
      <c r="I7695" t="str">
        <f>TEXT(MONTH(Tabela1[[#This Row],[Último pagto ano]])*29,"mmmm")</f>
        <v>abril</v>
      </c>
    </row>
    <row r="7696" spans="1:9" x14ac:dyDescent="0.25">
      <c r="A7696">
        <v>2025</v>
      </c>
      <c r="B7696" t="s">
        <v>15323</v>
      </c>
      <c r="C7696" s="1">
        <v>45853</v>
      </c>
      <c r="D7696" t="s">
        <v>15324</v>
      </c>
      <c r="E7696">
        <v>592.32000000000005</v>
      </c>
      <c r="G7696" s="3">
        <f>MONTH(Tabela1[[#This Row],[Último pagto ano]])</f>
        <v>7</v>
      </c>
      <c r="H7696" t="str">
        <f>TEXT(Tabela1[[#This Row],[Coluna2]]*29,"mmmm")</f>
        <v>julho</v>
      </c>
      <c r="I7696" t="str">
        <f>TEXT(MONTH(Tabela1[[#This Row],[Último pagto ano]])*29,"mmmm")</f>
        <v>julho</v>
      </c>
    </row>
    <row r="7697" spans="1:9" x14ac:dyDescent="0.25">
      <c r="A7697">
        <v>2025</v>
      </c>
      <c r="B7697" t="s">
        <v>15325</v>
      </c>
      <c r="C7697" s="1">
        <v>45832</v>
      </c>
      <c r="D7697" t="s">
        <v>15326</v>
      </c>
      <c r="E7697" s="2">
        <v>4200</v>
      </c>
      <c r="G7697" s="3">
        <f>MONTH(Tabela1[[#This Row],[Último pagto ano]])</f>
        <v>6</v>
      </c>
      <c r="H7697" t="str">
        <f>TEXT(Tabela1[[#This Row],[Coluna2]]*29,"mmmm")</f>
        <v>junho</v>
      </c>
      <c r="I7697" t="str">
        <f>TEXT(MONTH(Tabela1[[#This Row],[Último pagto ano]])*29,"mmmm")</f>
        <v>junho</v>
      </c>
    </row>
    <row r="7698" spans="1:9" x14ac:dyDescent="0.25">
      <c r="A7698">
        <v>2025</v>
      </c>
      <c r="B7698" t="s">
        <v>15327</v>
      </c>
      <c r="C7698" s="1">
        <v>45777</v>
      </c>
      <c r="D7698" t="s">
        <v>15328</v>
      </c>
      <c r="E7698" s="2">
        <v>2786.62</v>
      </c>
      <c r="G7698" s="3">
        <f>MONTH(Tabela1[[#This Row],[Último pagto ano]])</f>
        <v>4</v>
      </c>
      <c r="H7698" t="str">
        <f>TEXT(Tabela1[[#This Row],[Coluna2]]*29,"mmmm")</f>
        <v>abril</v>
      </c>
      <c r="I7698" t="str">
        <f>TEXT(MONTH(Tabela1[[#This Row],[Último pagto ano]])*29,"mmmm")</f>
        <v>abril</v>
      </c>
    </row>
    <row r="7699" spans="1:9" x14ac:dyDescent="0.25">
      <c r="A7699">
        <v>2025</v>
      </c>
      <c r="B7699" t="s">
        <v>15329</v>
      </c>
      <c r="C7699" s="1">
        <v>46014</v>
      </c>
      <c r="D7699" t="s">
        <v>15330</v>
      </c>
      <c r="E7699" s="2">
        <v>85403.82</v>
      </c>
      <c r="G7699" s="3">
        <f>MONTH(Tabela1[[#This Row],[Último pagto ano]])</f>
        <v>12</v>
      </c>
      <c r="H7699" t="str">
        <f>TEXT(Tabela1[[#This Row],[Coluna2]]*29,"mmmm")</f>
        <v>dezembro</v>
      </c>
      <c r="I7699" t="str">
        <f>TEXT(MONTH(Tabela1[[#This Row],[Último pagto ano]])*29,"mmmm")</f>
        <v>dezembro</v>
      </c>
    </row>
    <row r="7700" spans="1:9" x14ac:dyDescent="0.25">
      <c r="A7700">
        <v>2025</v>
      </c>
      <c r="B7700" t="s">
        <v>15331</v>
      </c>
      <c r="C7700" s="1">
        <v>45782</v>
      </c>
      <c r="D7700" t="s">
        <v>15332</v>
      </c>
      <c r="E7700">
        <v>21.92</v>
      </c>
      <c r="G7700" s="3">
        <f>MONTH(Tabela1[[#This Row],[Último pagto ano]])</f>
        <v>5</v>
      </c>
      <c r="H7700" t="str">
        <f>TEXT(Tabela1[[#This Row],[Coluna2]]*29,"mmmm")</f>
        <v>maio</v>
      </c>
      <c r="I7700" t="str">
        <f>TEXT(MONTH(Tabela1[[#This Row],[Último pagto ano]])*29,"mmmm")</f>
        <v>maio</v>
      </c>
    </row>
    <row r="7701" spans="1:9" x14ac:dyDescent="0.25">
      <c r="A7701">
        <v>2025</v>
      </c>
      <c r="B7701" t="s">
        <v>15333</v>
      </c>
      <c r="C7701" s="1">
        <v>45985</v>
      </c>
      <c r="D7701" t="s">
        <v>15334</v>
      </c>
      <c r="E7701">
        <v>131.4</v>
      </c>
      <c r="G7701" s="3">
        <f>MONTH(Tabela1[[#This Row],[Último pagto ano]])</f>
        <v>11</v>
      </c>
      <c r="H7701" t="str">
        <f>TEXT(Tabela1[[#This Row],[Coluna2]]*29,"mmmm")</f>
        <v>novembro</v>
      </c>
      <c r="I7701" t="str">
        <f>TEXT(MONTH(Tabela1[[#This Row],[Último pagto ano]])*29,"mmmm")</f>
        <v>novembro</v>
      </c>
    </row>
    <row r="7702" spans="1:9" x14ac:dyDescent="0.25">
      <c r="A7702">
        <v>2025</v>
      </c>
      <c r="B7702" t="s">
        <v>15335</v>
      </c>
      <c r="C7702" s="1">
        <v>45996</v>
      </c>
      <c r="D7702" t="s">
        <v>15336</v>
      </c>
      <c r="E7702" s="2">
        <v>4800</v>
      </c>
      <c r="G7702" s="3">
        <f>MONTH(Tabela1[[#This Row],[Último pagto ano]])</f>
        <v>12</v>
      </c>
      <c r="H7702" t="str">
        <f>TEXT(Tabela1[[#This Row],[Coluna2]]*29,"mmmm")</f>
        <v>dezembro</v>
      </c>
      <c r="I7702" t="str">
        <f>TEXT(MONTH(Tabela1[[#This Row],[Último pagto ano]])*29,"mmmm")</f>
        <v>dezembro</v>
      </c>
    </row>
    <row r="7703" spans="1:9" x14ac:dyDescent="0.25">
      <c r="A7703">
        <v>2025</v>
      </c>
      <c r="B7703" t="s">
        <v>15337</v>
      </c>
      <c r="C7703" s="1">
        <v>46014</v>
      </c>
      <c r="D7703" t="s">
        <v>15338</v>
      </c>
      <c r="E7703" s="2">
        <v>6030</v>
      </c>
      <c r="G7703" s="3">
        <f>MONTH(Tabela1[[#This Row],[Último pagto ano]])</f>
        <v>12</v>
      </c>
      <c r="H7703" t="str">
        <f>TEXT(Tabela1[[#This Row],[Coluna2]]*29,"mmmm")</f>
        <v>dezembro</v>
      </c>
      <c r="I7703" t="str">
        <f>TEXT(MONTH(Tabela1[[#This Row],[Último pagto ano]])*29,"mmmm")</f>
        <v>dezembro</v>
      </c>
    </row>
    <row r="7704" spans="1:9" x14ac:dyDescent="0.25">
      <c r="A7704">
        <v>2025</v>
      </c>
      <c r="B7704" t="s">
        <v>15339</v>
      </c>
      <c r="C7704" s="1">
        <v>45856</v>
      </c>
      <c r="D7704" t="s">
        <v>15340</v>
      </c>
      <c r="E7704">
        <v>34.93</v>
      </c>
      <c r="G7704" s="3">
        <f>MONTH(Tabela1[[#This Row],[Último pagto ano]])</f>
        <v>7</v>
      </c>
      <c r="H7704" t="str">
        <f>TEXT(Tabela1[[#This Row],[Coluna2]]*29,"mmmm")</f>
        <v>julho</v>
      </c>
      <c r="I7704" t="str">
        <f>TEXT(MONTH(Tabela1[[#This Row],[Último pagto ano]])*29,"mmmm")</f>
        <v>julho</v>
      </c>
    </row>
    <row r="7705" spans="1:9" x14ac:dyDescent="0.25">
      <c r="A7705">
        <v>2025</v>
      </c>
      <c r="B7705" t="s">
        <v>15341</v>
      </c>
      <c r="C7705" s="1">
        <v>45996</v>
      </c>
      <c r="D7705" t="s">
        <v>15342</v>
      </c>
      <c r="E7705" s="2">
        <v>64800</v>
      </c>
      <c r="G7705" s="3">
        <f>MONTH(Tabela1[[#This Row],[Último pagto ano]])</f>
        <v>12</v>
      </c>
      <c r="H7705" t="str">
        <f>TEXT(Tabela1[[#This Row],[Coluna2]]*29,"mmmm")</f>
        <v>dezembro</v>
      </c>
      <c r="I7705" t="str">
        <f>TEXT(MONTH(Tabela1[[#This Row],[Último pagto ano]])*29,"mmmm")</f>
        <v>dezembro</v>
      </c>
    </row>
    <row r="7706" spans="1:9" x14ac:dyDescent="0.25">
      <c r="A7706">
        <v>2025</v>
      </c>
      <c r="B7706" t="s">
        <v>15343</v>
      </c>
      <c r="C7706" s="1">
        <v>45933</v>
      </c>
      <c r="D7706" t="s">
        <v>15344</v>
      </c>
      <c r="E7706">
        <v>289.35000000000002</v>
      </c>
      <c r="G7706" s="3">
        <f>MONTH(Tabela1[[#This Row],[Último pagto ano]])</f>
        <v>10</v>
      </c>
      <c r="H7706" t="str">
        <f>TEXT(Tabela1[[#This Row],[Coluna2]]*29,"mmmm")</f>
        <v>outubro</v>
      </c>
      <c r="I7706" t="str">
        <f>TEXT(MONTH(Tabela1[[#This Row],[Último pagto ano]])*29,"mmmm")</f>
        <v>outubro</v>
      </c>
    </row>
    <row r="7707" spans="1:9" x14ac:dyDescent="0.25">
      <c r="A7707">
        <v>2025</v>
      </c>
      <c r="B7707" t="s">
        <v>15345</v>
      </c>
      <c r="C7707" s="1">
        <v>46008</v>
      </c>
      <c r="D7707" t="s">
        <v>15346</v>
      </c>
      <c r="E7707" s="2">
        <v>104744.76</v>
      </c>
      <c r="G7707" s="3">
        <f>MONTH(Tabela1[[#This Row],[Último pagto ano]])</f>
        <v>12</v>
      </c>
      <c r="H7707" t="str">
        <f>TEXT(Tabela1[[#This Row],[Coluna2]]*29,"mmmm")</f>
        <v>dezembro</v>
      </c>
      <c r="I7707" t="str">
        <f>TEXT(MONTH(Tabela1[[#This Row],[Último pagto ano]])*29,"mmmm")</f>
        <v>dezembro</v>
      </c>
    </row>
    <row r="7708" spans="1:9" x14ac:dyDescent="0.25">
      <c r="A7708">
        <v>2025</v>
      </c>
      <c r="B7708" t="s">
        <v>15347</v>
      </c>
      <c r="C7708" s="1">
        <v>45967</v>
      </c>
      <c r="D7708" t="s">
        <v>15348</v>
      </c>
      <c r="E7708" s="2">
        <v>3473910</v>
      </c>
      <c r="G7708" s="3">
        <f>MONTH(Tabela1[[#This Row],[Último pagto ano]])</f>
        <v>11</v>
      </c>
      <c r="H7708" t="str">
        <f>TEXT(Tabela1[[#This Row],[Coluna2]]*29,"mmmm")</f>
        <v>novembro</v>
      </c>
      <c r="I7708" t="str">
        <f>TEXT(MONTH(Tabela1[[#This Row],[Último pagto ano]])*29,"mmmm")</f>
        <v>novembro</v>
      </c>
    </row>
    <row r="7709" spans="1:9" x14ac:dyDescent="0.25">
      <c r="A7709">
        <v>2025</v>
      </c>
      <c r="B7709" t="s">
        <v>15347</v>
      </c>
      <c r="C7709" s="1">
        <v>46002</v>
      </c>
      <c r="D7709" t="s">
        <v>15349</v>
      </c>
      <c r="E7709" s="2">
        <v>371250</v>
      </c>
      <c r="G7709" s="3">
        <f>MONTH(Tabela1[[#This Row],[Último pagto ano]])</f>
        <v>12</v>
      </c>
      <c r="H7709" t="str">
        <f>TEXT(Tabela1[[#This Row],[Coluna2]]*29,"mmmm")</f>
        <v>dezembro</v>
      </c>
      <c r="I7709" t="str">
        <f>TEXT(MONTH(Tabela1[[#This Row],[Último pagto ano]])*29,"mmmm")</f>
        <v>dezembro</v>
      </c>
    </row>
    <row r="7710" spans="1:9" x14ac:dyDescent="0.25">
      <c r="A7710">
        <v>2025</v>
      </c>
      <c r="B7710" t="s">
        <v>15350</v>
      </c>
      <c r="C7710" s="1">
        <v>46014</v>
      </c>
      <c r="D7710" t="s">
        <v>15351</v>
      </c>
      <c r="E7710" s="2">
        <v>5676000</v>
      </c>
      <c r="G7710" s="3">
        <f>MONTH(Tabela1[[#This Row],[Último pagto ano]])</f>
        <v>12</v>
      </c>
      <c r="H7710" t="str">
        <f>TEXT(Tabela1[[#This Row],[Coluna2]]*29,"mmmm")</f>
        <v>dezembro</v>
      </c>
      <c r="I7710" t="str">
        <f>TEXT(MONTH(Tabela1[[#This Row],[Último pagto ano]])*29,"mmmm")</f>
        <v>dezembro</v>
      </c>
    </row>
    <row r="7711" spans="1:9" x14ac:dyDescent="0.25">
      <c r="A7711">
        <v>2025</v>
      </c>
      <c r="B7711" t="s">
        <v>15352</v>
      </c>
      <c r="C7711" s="1">
        <v>45908</v>
      </c>
      <c r="D7711" t="s">
        <v>15353</v>
      </c>
      <c r="E7711">
        <v>0.59</v>
      </c>
      <c r="G7711" s="3">
        <f>MONTH(Tabela1[[#This Row],[Último pagto ano]])</f>
        <v>9</v>
      </c>
      <c r="H7711" t="str">
        <f>TEXT(Tabela1[[#This Row],[Coluna2]]*29,"mmmm")</f>
        <v>setembro</v>
      </c>
      <c r="I7711" t="str">
        <f>TEXT(MONTH(Tabela1[[#This Row],[Último pagto ano]])*29,"mmmm")</f>
        <v>setembro</v>
      </c>
    </row>
    <row r="7712" spans="1:9" x14ac:dyDescent="0.25">
      <c r="A7712">
        <v>2025</v>
      </c>
      <c r="B7712" t="s">
        <v>15354</v>
      </c>
      <c r="C7712" s="1">
        <v>46014</v>
      </c>
      <c r="D7712" t="s">
        <v>15355</v>
      </c>
      <c r="E7712" s="2">
        <v>11386.19</v>
      </c>
      <c r="G7712" s="3">
        <f>MONTH(Tabela1[[#This Row],[Último pagto ano]])</f>
        <v>12</v>
      </c>
      <c r="H7712" t="str">
        <f>TEXT(Tabela1[[#This Row],[Coluna2]]*29,"mmmm")</f>
        <v>dezembro</v>
      </c>
      <c r="I7712" t="str">
        <f>TEXT(MONTH(Tabela1[[#This Row],[Último pagto ano]])*29,"mmmm")</f>
        <v>dezembro</v>
      </c>
    </row>
    <row r="7713" spans="1:9" x14ac:dyDescent="0.25">
      <c r="A7713">
        <v>2025</v>
      </c>
      <c r="B7713" t="s">
        <v>15356</v>
      </c>
      <c r="C7713" s="1">
        <v>46014</v>
      </c>
      <c r="D7713" t="s">
        <v>15357</v>
      </c>
      <c r="E7713" s="2">
        <v>2597450.84</v>
      </c>
      <c r="G7713" s="3">
        <f>MONTH(Tabela1[[#This Row],[Último pagto ano]])</f>
        <v>12</v>
      </c>
      <c r="H7713" t="str">
        <f>TEXT(Tabela1[[#This Row],[Coluna2]]*29,"mmmm")</f>
        <v>dezembro</v>
      </c>
      <c r="I7713" t="str">
        <f>TEXT(MONTH(Tabela1[[#This Row],[Último pagto ano]])*29,"mmmm")</f>
        <v>dezembro</v>
      </c>
    </row>
    <row r="7714" spans="1:9" x14ac:dyDescent="0.25">
      <c r="A7714">
        <v>2025</v>
      </c>
      <c r="B7714" t="s">
        <v>15358</v>
      </c>
      <c r="C7714" s="1">
        <v>46002</v>
      </c>
      <c r="D7714" t="s">
        <v>15359</v>
      </c>
      <c r="E7714" s="2">
        <v>385010</v>
      </c>
      <c r="G7714" s="3">
        <f>MONTH(Tabela1[[#This Row],[Último pagto ano]])</f>
        <v>12</v>
      </c>
      <c r="H7714" t="str">
        <f>TEXT(Tabela1[[#This Row],[Coluna2]]*29,"mmmm")</f>
        <v>dezembro</v>
      </c>
      <c r="I7714" t="str">
        <f>TEXT(MONTH(Tabela1[[#This Row],[Último pagto ano]])*29,"mmmm")</f>
        <v>dezembro</v>
      </c>
    </row>
    <row r="7715" spans="1:9" x14ac:dyDescent="0.25">
      <c r="A7715">
        <v>2025</v>
      </c>
      <c r="B7715" t="s">
        <v>15360</v>
      </c>
      <c r="C7715" s="1">
        <v>45994</v>
      </c>
      <c r="D7715" t="s">
        <v>15361</v>
      </c>
      <c r="E7715" s="2">
        <v>137898</v>
      </c>
      <c r="G7715" s="3">
        <f>MONTH(Tabela1[[#This Row],[Último pagto ano]])</f>
        <v>12</v>
      </c>
      <c r="H7715" t="str">
        <f>TEXT(Tabela1[[#This Row],[Coluna2]]*29,"mmmm")</f>
        <v>dezembro</v>
      </c>
      <c r="I7715" t="str">
        <f>TEXT(MONTH(Tabela1[[#This Row],[Último pagto ano]])*29,"mmmm")</f>
        <v>dezembro</v>
      </c>
    </row>
    <row r="7716" spans="1:9" x14ac:dyDescent="0.25">
      <c r="A7716">
        <v>2025</v>
      </c>
      <c r="B7716" t="s">
        <v>15362</v>
      </c>
      <c r="C7716" s="1">
        <v>46014</v>
      </c>
      <c r="D7716" t="s">
        <v>15363</v>
      </c>
      <c r="E7716">
        <v>544.08000000000004</v>
      </c>
      <c r="G7716" s="3">
        <f>MONTH(Tabela1[[#This Row],[Último pagto ano]])</f>
        <v>12</v>
      </c>
      <c r="H7716" t="str">
        <f>TEXT(Tabela1[[#This Row],[Coluna2]]*29,"mmmm")</f>
        <v>dezembro</v>
      </c>
      <c r="I7716" t="str">
        <f>TEXT(MONTH(Tabela1[[#This Row],[Último pagto ano]])*29,"mmmm")</f>
        <v>dezembro</v>
      </c>
    </row>
    <row r="7717" spans="1:9" x14ac:dyDescent="0.25">
      <c r="A7717">
        <v>2025</v>
      </c>
      <c r="B7717" t="s">
        <v>15364</v>
      </c>
      <c r="C7717" s="1">
        <v>45824</v>
      </c>
      <c r="D7717" t="s">
        <v>15365</v>
      </c>
      <c r="E7717">
        <v>262.61</v>
      </c>
      <c r="G7717" s="3">
        <f>MONTH(Tabela1[[#This Row],[Último pagto ano]])</f>
        <v>6</v>
      </c>
      <c r="H7717" t="str">
        <f>TEXT(Tabela1[[#This Row],[Coluna2]]*29,"mmmm")</f>
        <v>junho</v>
      </c>
      <c r="I7717" t="str">
        <f>TEXT(MONTH(Tabela1[[#This Row],[Último pagto ano]])*29,"mmmm")</f>
        <v>junho</v>
      </c>
    </row>
    <row r="7718" spans="1:9" x14ac:dyDescent="0.25">
      <c r="A7718">
        <v>2025</v>
      </c>
      <c r="B7718" t="s">
        <v>15366</v>
      </c>
      <c r="C7718" s="1">
        <v>45873</v>
      </c>
      <c r="D7718" t="s">
        <v>15367</v>
      </c>
      <c r="E7718">
        <v>953.34</v>
      </c>
      <c r="G7718" s="3">
        <f>MONTH(Tabela1[[#This Row],[Último pagto ano]])</f>
        <v>8</v>
      </c>
      <c r="H7718" t="str">
        <f>TEXT(Tabela1[[#This Row],[Coluna2]]*29,"mmmm")</f>
        <v>agosto</v>
      </c>
      <c r="I7718" t="str">
        <f>TEXT(MONTH(Tabela1[[#This Row],[Último pagto ano]])*29,"mmmm")</f>
        <v>agosto</v>
      </c>
    </row>
    <row r="7719" spans="1:9" x14ac:dyDescent="0.25">
      <c r="A7719">
        <v>2025</v>
      </c>
      <c r="B7719" t="s">
        <v>15368</v>
      </c>
      <c r="C7719" s="1">
        <v>46008</v>
      </c>
      <c r="D7719" t="s">
        <v>15369</v>
      </c>
      <c r="E7719" s="2">
        <v>54522</v>
      </c>
      <c r="G7719" s="3">
        <f>MONTH(Tabela1[[#This Row],[Último pagto ano]])</f>
        <v>12</v>
      </c>
      <c r="H7719" t="str">
        <f>TEXT(Tabela1[[#This Row],[Coluna2]]*29,"mmmm")</f>
        <v>dezembro</v>
      </c>
      <c r="I7719" t="str">
        <f>TEXT(MONTH(Tabela1[[#This Row],[Último pagto ano]])*29,"mmmm")</f>
        <v>dezembro</v>
      </c>
    </row>
    <row r="7720" spans="1:9" x14ac:dyDescent="0.25">
      <c r="A7720">
        <v>2025</v>
      </c>
      <c r="B7720" t="s">
        <v>15370</v>
      </c>
      <c r="C7720" s="1">
        <v>45985</v>
      </c>
      <c r="D7720" t="s">
        <v>15371</v>
      </c>
      <c r="E7720" s="2">
        <v>14077.26</v>
      </c>
      <c r="G7720" s="3">
        <f>MONTH(Tabela1[[#This Row],[Último pagto ano]])</f>
        <v>11</v>
      </c>
      <c r="H7720" t="str">
        <f>TEXT(Tabela1[[#This Row],[Coluna2]]*29,"mmmm")</f>
        <v>novembro</v>
      </c>
      <c r="I7720" t="str">
        <f>TEXT(MONTH(Tabela1[[#This Row],[Último pagto ano]])*29,"mmmm")</f>
        <v>novembro</v>
      </c>
    </row>
    <row r="7721" spans="1:9" x14ac:dyDescent="0.25">
      <c r="A7721">
        <v>2025</v>
      </c>
      <c r="B7721" t="s">
        <v>15372</v>
      </c>
      <c r="C7721" s="1">
        <v>45980</v>
      </c>
      <c r="D7721" t="s">
        <v>15373</v>
      </c>
      <c r="E7721" s="2">
        <v>5220</v>
      </c>
      <c r="G7721" s="3">
        <f>MONTH(Tabela1[[#This Row],[Último pagto ano]])</f>
        <v>11</v>
      </c>
      <c r="H7721" t="str">
        <f>TEXT(Tabela1[[#This Row],[Coluna2]]*29,"mmmm")</f>
        <v>novembro</v>
      </c>
      <c r="I7721" t="str">
        <f>TEXT(MONTH(Tabela1[[#This Row],[Último pagto ano]])*29,"mmmm")</f>
        <v>novembro</v>
      </c>
    </row>
    <row r="7722" spans="1:9" x14ac:dyDescent="0.25">
      <c r="A7722">
        <v>2025</v>
      </c>
      <c r="B7722" t="s">
        <v>15374</v>
      </c>
      <c r="C7722" s="1">
        <v>45845</v>
      </c>
      <c r="D7722" t="s">
        <v>15375</v>
      </c>
      <c r="E7722">
        <v>200</v>
      </c>
      <c r="G7722" s="3">
        <f>MONTH(Tabela1[[#This Row],[Último pagto ano]])</f>
        <v>7</v>
      </c>
      <c r="H7722" t="str">
        <f>TEXT(Tabela1[[#This Row],[Coluna2]]*29,"mmmm")</f>
        <v>julho</v>
      </c>
      <c r="I7722" t="str">
        <f>TEXT(MONTH(Tabela1[[#This Row],[Último pagto ano]])*29,"mmmm")</f>
        <v>julho</v>
      </c>
    </row>
    <row r="7723" spans="1:9" x14ac:dyDescent="0.25">
      <c r="A7723">
        <v>2025</v>
      </c>
      <c r="B7723" t="s">
        <v>15376</v>
      </c>
      <c r="C7723" s="1">
        <v>45922</v>
      </c>
      <c r="D7723" t="s">
        <v>15377</v>
      </c>
      <c r="E7723">
        <v>110</v>
      </c>
      <c r="G7723" s="3">
        <f>MONTH(Tabela1[[#This Row],[Último pagto ano]])</f>
        <v>9</v>
      </c>
      <c r="H7723" t="str">
        <f>TEXT(Tabela1[[#This Row],[Coluna2]]*29,"mmmm")</f>
        <v>setembro</v>
      </c>
      <c r="I7723" t="str">
        <f>TEXT(MONTH(Tabela1[[#This Row],[Último pagto ano]])*29,"mmmm")</f>
        <v>setembro</v>
      </c>
    </row>
    <row r="7724" spans="1:9" x14ac:dyDescent="0.25">
      <c r="A7724">
        <v>2025</v>
      </c>
      <c r="B7724" t="s">
        <v>15378</v>
      </c>
      <c r="C7724" s="1">
        <v>45863</v>
      </c>
      <c r="D7724" t="s">
        <v>15379</v>
      </c>
      <c r="E7724" s="2">
        <v>4900</v>
      </c>
      <c r="G7724" s="3">
        <f>MONTH(Tabela1[[#This Row],[Último pagto ano]])</f>
        <v>7</v>
      </c>
      <c r="H7724" t="str">
        <f>TEXT(Tabela1[[#This Row],[Coluna2]]*29,"mmmm")</f>
        <v>julho</v>
      </c>
      <c r="I7724" t="str">
        <f>TEXT(MONTH(Tabela1[[#This Row],[Último pagto ano]])*29,"mmmm")</f>
        <v>julho</v>
      </c>
    </row>
    <row r="7725" spans="1:9" x14ac:dyDescent="0.25">
      <c r="A7725">
        <v>2025</v>
      </c>
      <c r="B7725" t="s">
        <v>15380</v>
      </c>
      <c r="C7725" s="1">
        <v>46014</v>
      </c>
      <c r="D7725" t="s">
        <v>15381</v>
      </c>
      <c r="E7725" s="2">
        <v>5256771.1399999997</v>
      </c>
      <c r="G7725" s="3">
        <f>MONTH(Tabela1[[#This Row],[Último pagto ano]])</f>
        <v>12</v>
      </c>
      <c r="H7725" t="str">
        <f>TEXT(Tabela1[[#This Row],[Coluna2]]*29,"mmmm")</f>
        <v>dezembro</v>
      </c>
      <c r="I7725" t="str">
        <f>TEXT(MONTH(Tabela1[[#This Row],[Último pagto ano]])*29,"mmmm")</f>
        <v>dezembro</v>
      </c>
    </row>
    <row r="7726" spans="1:9" x14ac:dyDescent="0.25">
      <c r="A7726">
        <v>2025</v>
      </c>
      <c r="B7726" t="s">
        <v>15382</v>
      </c>
      <c r="C7726" s="1">
        <v>45992</v>
      </c>
      <c r="D7726" t="s">
        <v>15383</v>
      </c>
      <c r="E7726" s="2">
        <v>86756741.439999998</v>
      </c>
      <c r="G7726" s="3">
        <f>MONTH(Tabela1[[#This Row],[Último pagto ano]])</f>
        <v>12</v>
      </c>
      <c r="H7726" t="str">
        <f>TEXT(Tabela1[[#This Row],[Coluna2]]*29,"mmmm")</f>
        <v>dezembro</v>
      </c>
      <c r="I7726" t="str">
        <f>TEXT(MONTH(Tabela1[[#This Row],[Último pagto ano]])*29,"mmmm")</f>
        <v>dezembro</v>
      </c>
    </row>
    <row r="7727" spans="1:9" x14ac:dyDescent="0.25">
      <c r="A7727">
        <v>2025</v>
      </c>
      <c r="B7727" t="s">
        <v>15384</v>
      </c>
      <c r="C7727" s="1">
        <v>45989</v>
      </c>
      <c r="D7727" t="s">
        <v>15385</v>
      </c>
      <c r="E7727" s="2">
        <v>11451.26</v>
      </c>
      <c r="G7727" s="3">
        <f>MONTH(Tabela1[[#This Row],[Último pagto ano]])</f>
        <v>11</v>
      </c>
      <c r="H7727" t="str">
        <f>TEXT(Tabela1[[#This Row],[Coluna2]]*29,"mmmm")</f>
        <v>novembro</v>
      </c>
      <c r="I7727" t="str">
        <f>TEXT(MONTH(Tabela1[[#This Row],[Último pagto ano]])*29,"mmmm")</f>
        <v>novembro</v>
      </c>
    </row>
    <row r="7728" spans="1:9" x14ac:dyDescent="0.25">
      <c r="A7728">
        <v>2025</v>
      </c>
      <c r="B7728" t="s">
        <v>15386</v>
      </c>
      <c r="C7728" s="1">
        <v>45709</v>
      </c>
      <c r="D7728" t="s">
        <v>15387</v>
      </c>
      <c r="E7728" s="2">
        <v>1539.09</v>
      </c>
      <c r="G7728" s="3">
        <f>MONTH(Tabela1[[#This Row],[Último pagto ano]])</f>
        <v>2</v>
      </c>
      <c r="H7728" t="str">
        <f>TEXT(Tabela1[[#This Row],[Coluna2]]*29,"mmmm")</f>
        <v>fevereiro</v>
      </c>
      <c r="I7728" t="str">
        <f>TEXT(MONTH(Tabela1[[#This Row],[Último pagto ano]])*29,"mmmm")</f>
        <v>fevereiro</v>
      </c>
    </row>
    <row r="7729" spans="1:9" x14ac:dyDescent="0.25">
      <c r="A7729">
        <v>2025</v>
      </c>
      <c r="B7729" t="s">
        <v>15388</v>
      </c>
      <c r="C7729" s="1">
        <v>45702</v>
      </c>
      <c r="D7729" t="s">
        <v>15389</v>
      </c>
      <c r="E7729" s="2">
        <v>1289.03</v>
      </c>
      <c r="G7729" s="3">
        <f>MONTH(Tabela1[[#This Row],[Último pagto ano]])</f>
        <v>2</v>
      </c>
      <c r="H7729" t="str">
        <f>TEXT(Tabela1[[#This Row],[Coluna2]]*29,"mmmm")</f>
        <v>fevereiro</v>
      </c>
      <c r="I7729" t="str">
        <f>TEXT(MONTH(Tabela1[[#This Row],[Último pagto ano]])*29,"mmmm")</f>
        <v>fevereiro</v>
      </c>
    </row>
    <row r="7730" spans="1:9" x14ac:dyDescent="0.25">
      <c r="A7730">
        <v>2025</v>
      </c>
      <c r="B7730" t="s">
        <v>15390</v>
      </c>
      <c r="C7730" s="1">
        <v>45978</v>
      </c>
      <c r="D7730" t="s">
        <v>15391</v>
      </c>
      <c r="E7730">
        <v>324</v>
      </c>
      <c r="G7730" s="3">
        <f>MONTH(Tabela1[[#This Row],[Último pagto ano]])</f>
        <v>11</v>
      </c>
      <c r="H7730" t="str">
        <f>TEXT(Tabela1[[#This Row],[Coluna2]]*29,"mmmm")</f>
        <v>novembro</v>
      </c>
      <c r="I7730" t="str">
        <f>TEXT(MONTH(Tabela1[[#This Row],[Último pagto ano]])*29,"mmmm")</f>
        <v>novembro</v>
      </c>
    </row>
    <row r="7731" spans="1:9" x14ac:dyDescent="0.25">
      <c r="A7731">
        <v>2025</v>
      </c>
      <c r="B7731" t="s">
        <v>15392</v>
      </c>
      <c r="C7731" s="1">
        <v>45761</v>
      </c>
      <c r="D7731" t="s">
        <v>15393</v>
      </c>
      <c r="E7731" s="2">
        <v>25281.15</v>
      </c>
      <c r="G7731" s="3">
        <f>MONTH(Tabela1[[#This Row],[Último pagto ano]])</f>
        <v>4</v>
      </c>
      <c r="H7731" t="str">
        <f>TEXT(Tabela1[[#This Row],[Coluna2]]*29,"mmmm")</f>
        <v>abril</v>
      </c>
      <c r="I7731" t="str">
        <f>TEXT(MONTH(Tabela1[[#This Row],[Último pagto ano]])*29,"mmmm")</f>
        <v>abril</v>
      </c>
    </row>
    <row r="7732" spans="1:9" x14ac:dyDescent="0.25">
      <c r="A7732">
        <v>2025</v>
      </c>
      <c r="B7732" t="s">
        <v>15394</v>
      </c>
      <c r="C7732" s="1">
        <v>46006</v>
      </c>
      <c r="D7732" t="s">
        <v>15395</v>
      </c>
      <c r="E7732" s="2">
        <v>1400</v>
      </c>
      <c r="G7732" s="3">
        <f>MONTH(Tabela1[[#This Row],[Último pagto ano]])</f>
        <v>12</v>
      </c>
      <c r="H7732" t="str">
        <f>TEXT(Tabela1[[#This Row],[Coluna2]]*29,"mmmm")</f>
        <v>dezembro</v>
      </c>
      <c r="I7732" t="str">
        <f>TEXT(MONTH(Tabela1[[#This Row],[Último pagto ano]])*29,"mmmm")</f>
        <v>dezembro</v>
      </c>
    </row>
    <row r="7733" spans="1:9" x14ac:dyDescent="0.25">
      <c r="A7733">
        <v>2025</v>
      </c>
      <c r="B7733" t="s">
        <v>15396</v>
      </c>
      <c r="C7733" s="1">
        <v>46010</v>
      </c>
      <c r="D7733" t="s">
        <v>15397</v>
      </c>
      <c r="E7733" s="2">
        <v>12000</v>
      </c>
      <c r="G7733" s="3">
        <f>MONTH(Tabela1[[#This Row],[Último pagto ano]])</f>
        <v>12</v>
      </c>
      <c r="H7733" t="str">
        <f>TEXT(Tabela1[[#This Row],[Coluna2]]*29,"mmmm")</f>
        <v>dezembro</v>
      </c>
      <c r="I7733" t="str">
        <f>TEXT(MONTH(Tabela1[[#This Row],[Último pagto ano]])*29,"mmmm")</f>
        <v>dezembro</v>
      </c>
    </row>
    <row r="7734" spans="1:9" x14ac:dyDescent="0.25">
      <c r="A7734">
        <v>2025</v>
      </c>
      <c r="B7734" t="s">
        <v>15398</v>
      </c>
      <c r="C7734" s="1">
        <v>46006</v>
      </c>
      <c r="D7734" t="s">
        <v>15399</v>
      </c>
      <c r="E7734">
        <v>66</v>
      </c>
      <c r="G7734" s="3">
        <f>MONTH(Tabela1[[#This Row],[Último pagto ano]])</f>
        <v>12</v>
      </c>
      <c r="H7734" t="str">
        <f>TEXT(Tabela1[[#This Row],[Coluna2]]*29,"mmmm")</f>
        <v>dezembro</v>
      </c>
      <c r="I7734" t="str">
        <f>TEXT(MONTH(Tabela1[[#This Row],[Último pagto ano]])*29,"mmmm")</f>
        <v>dezembro</v>
      </c>
    </row>
    <row r="7735" spans="1:9" x14ac:dyDescent="0.25">
      <c r="A7735">
        <v>2025</v>
      </c>
      <c r="B7735" t="s">
        <v>15400</v>
      </c>
      <c r="C7735" s="1">
        <v>45769</v>
      </c>
      <c r="D7735" t="s">
        <v>15401</v>
      </c>
      <c r="E7735">
        <v>22</v>
      </c>
      <c r="G7735" s="3">
        <f>MONTH(Tabela1[[#This Row],[Último pagto ano]])</f>
        <v>4</v>
      </c>
      <c r="H7735" t="str">
        <f>TEXT(Tabela1[[#This Row],[Coluna2]]*29,"mmmm")</f>
        <v>abril</v>
      </c>
      <c r="I7735" t="str">
        <f>TEXT(MONTH(Tabela1[[#This Row],[Último pagto ano]])*29,"mmmm")</f>
        <v>abril</v>
      </c>
    </row>
    <row r="7736" spans="1:9" x14ac:dyDescent="0.25">
      <c r="A7736">
        <v>2025</v>
      </c>
      <c r="B7736" t="s">
        <v>15402</v>
      </c>
      <c r="C7736" s="1">
        <v>45989</v>
      </c>
      <c r="D7736" t="s">
        <v>15403</v>
      </c>
      <c r="E7736" s="2">
        <v>53080</v>
      </c>
      <c r="G7736" s="3">
        <f>MONTH(Tabela1[[#This Row],[Último pagto ano]])</f>
        <v>11</v>
      </c>
      <c r="H7736" t="str">
        <f>TEXT(Tabela1[[#This Row],[Coluna2]]*29,"mmmm")</f>
        <v>novembro</v>
      </c>
      <c r="I7736" t="str">
        <f>TEXT(MONTH(Tabela1[[#This Row],[Último pagto ano]])*29,"mmmm")</f>
        <v>novembro</v>
      </c>
    </row>
    <row r="7737" spans="1:9" x14ac:dyDescent="0.25">
      <c r="A7737">
        <v>2025</v>
      </c>
      <c r="B7737" t="s">
        <v>15404</v>
      </c>
      <c r="C7737" s="1">
        <v>45812</v>
      </c>
      <c r="D7737" t="s">
        <v>15405</v>
      </c>
      <c r="E7737" s="2">
        <v>13580</v>
      </c>
      <c r="G7737" s="3">
        <f>MONTH(Tabela1[[#This Row],[Último pagto ano]])</f>
        <v>6</v>
      </c>
      <c r="H7737" t="str">
        <f>TEXT(Tabela1[[#This Row],[Coluna2]]*29,"mmmm")</f>
        <v>junho</v>
      </c>
      <c r="I7737" t="str">
        <f>TEXT(MONTH(Tabela1[[#This Row],[Último pagto ano]])*29,"mmmm")</f>
        <v>junho</v>
      </c>
    </row>
    <row r="7738" spans="1:9" x14ac:dyDescent="0.25">
      <c r="A7738">
        <v>2025</v>
      </c>
      <c r="B7738" t="s">
        <v>15406</v>
      </c>
      <c r="C7738" s="1">
        <v>46003</v>
      </c>
      <c r="D7738" t="s">
        <v>15407</v>
      </c>
      <c r="E7738" s="2">
        <v>157500</v>
      </c>
      <c r="G7738" s="3">
        <f>MONTH(Tabela1[[#This Row],[Último pagto ano]])</f>
        <v>12</v>
      </c>
      <c r="H7738" t="str">
        <f>TEXT(Tabela1[[#This Row],[Coluna2]]*29,"mmmm")</f>
        <v>dezembro</v>
      </c>
      <c r="I7738" t="str">
        <f>TEXT(MONTH(Tabela1[[#This Row],[Último pagto ano]])*29,"mmmm")</f>
        <v>dezembro</v>
      </c>
    </row>
    <row r="7739" spans="1:9" x14ac:dyDescent="0.25">
      <c r="A7739">
        <v>2025</v>
      </c>
      <c r="B7739" t="s">
        <v>15408</v>
      </c>
      <c r="C7739" s="1">
        <v>45978</v>
      </c>
      <c r="D7739" t="s">
        <v>15409</v>
      </c>
      <c r="E7739">
        <v>202.72</v>
      </c>
      <c r="G7739" s="3">
        <f>MONTH(Tabela1[[#This Row],[Último pagto ano]])</f>
        <v>11</v>
      </c>
      <c r="H7739" t="str">
        <f>TEXT(Tabela1[[#This Row],[Coluna2]]*29,"mmmm")</f>
        <v>novembro</v>
      </c>
      <c r="I7739" t="str">
        <f>TEXT(MONTH(Tabela1[[#This Row],[Último pagto ano]])*29,"mmmm")</f>
        <v>novembro</v>
      </c>
    </row>
    <row r="7740" spans="1:9" x14ac:dyDescent="0.25">
      <c r="A7740">
        <v>2025</v>
      </c>
      <c r="B7740" t="s">
        <v>15410</v>
      </c>
      <c r="C7740" s="1">
        <v>46007</v>
      </c>
      <c r="D7740" t="s">
        <v>15411</v>
      </c>
      <c r="E7740" s="2">
        <v>88244.64</v>
      </c>
      <c r="G7740" s="3">
        <f>MONTH(Tabela1[[#This Row],[Último pagto ano]])</f>
        <v>12</v>
      </c>
      <c r="H7740" t="str">
        <f>TEXT(Tabela1[[#This Row],[Coluna2]]*29,"mmmm")</f>
        <v>dezembro</v>
      </c>
      <c r="I7740" t="str">
        <f>TEXT(MONTH(Tabela1[[#This Row],[Último pagto ano]])*29,"mmmm")</f>
        <v>dezembro</v>
      </c>
    </row>
    <row r="7741" spans="1:9" x14ac:dyDescent="0.25">
      <c r="A7741">
        <v>2025</v>
      </c>
      <c r="B7741" t="s">
        <v>15412</v>
      </c>
      <c r="C7741" s="1">
        <v>45769</v>
      </c>
      <c r="D7741" t="s">
        <v>15413</v>
      </c>
      <c r="E7741">
        <v>1.97</v>
      </c>
      <c r="G7741" s="3">
        <f>MONTH(Tabela1[[#This Row],[Último pagto ano]])</f>
        <v>4</v>
      </c>
      <c r="H7741" t="str">
        <f>TEXT(Tabela1[[#This Row],[Coluna2]]*29,"mmmm")</f>
        <v>abril</v>
      </c>
      <c r="I7741" t="str">
        <f>TEXT(MONTH(Tabela1[[#This Row],[Último pagto ano]])*29,"mmmm")</f>
        <v>abril</v>
      </c>
    </row>
    <row r="7742" spans="1:9" x14ac:dyDescent="0.25">
      <c r="A7742">
        <v>2025</v>
      </c>
      <c r="B7742" t="s">
        <v>15414</v>
      </c>
      <c r="C7742" s="1">
        <v>45945</v>
      </c>
      <c r="D7742" t="s">
        <v>15415</v>
      </c>
      <c r="E7742" s="2">
        <v>4441.92</v>
      </c>
      <c r="G7742" s="3">
        <f>MONTH(Tabela1[[#This Row],[Último pagto ano]])</f>
        <v>10</v>
      </c>
      <c r="H7742" t="str">
        <f>TEXT(Tabela1[[#This Row],[Coluna2]]*29,"mmmm")</f>
        <v>outubro</v>
      </c>
      <c r="I7742" t="str">
        <f>TEXT(MONTH(Tabela1[[#This Row],[Último pagto ano]])*29,"mmmm")</f>
        <v>outubro</v>
      </c>
    </row>
    <row r="7743" spans="1:9" x14ac:dyDescent="0.25">
      <c r="A7743">
        <v>2025</v>
      </c>
      <c r="B7743" t="s">
        <v>15416</v>
      </c>
      <c r="C7743" s="1">
        <v>46010</v>
      </c>
      <c r="D7743" t="s">
        <v>15417</v>
      </c>
      <c r="E7743" s="2">
        <v>12000</v>
      </c>
      <c r="G7743" s="3">
        <f>MONTH(Tabela1[[#This Row],[Último pagto ano]])</f>
        <v>12</v>
      </c>
      <c r="H7743" t="str">
        <f>TEXT(Tabela1[[#This Row],[Coluna2]]*29,"mmmm")</f>
        <v>dezembro</v>
      </c>
      <c r="I7743" t="str">
        <f>TEXT(MONTH(Tabela1[[#This Row],[Último pagto ano]])*29,"mmmm")</f>
        <v>dezembro</v>
      </c>
    </row>
    <row r="7744" spans="1:9" x14ac:dyDescent="0.25">
      <c r="A7744">
        <v>2025</v>
      </c>
      <c r="B7744" t="s">
        <v>15418</v>
      </c>
      <c r="C7744" s="1">
        <v>46006</v>
      </c>
      <c r="D7744" t="s">
        <v>15419</v>
      </c>
      <c r="E7744" s="2">
        <v>8044.16</v>
      </c>
      <c r="G7744" s="3">
        <f>MONTH(Tabela1[[#This Row],[Último pagto ano]])</f>
        <v>12</v>
      </c>
      <c r="H7744" t="str">
        <f>TEXT(Tabela1[[#This Row],[Coluna2]]*29,"mmmm")</f>
        <v>dezembro</v>
      </c>
      <c r="I7744" t="str">
        <f>TEXT(MONTH(Tabela1[[#This Row],[Último pagto ano]])*29,"mmmm")</f>
        <v>dezembro</v>
      </c>
    </row>
    <row r="7745" spans="1:9" x14ac:dyDescent="0.25">
      <c r="A7745">
        <v>2025</v>
      </c>
      <c r="B7745" t="s">
        <v>15420</v>
      </c>
      <c r="C7745" s="1">
        <v>46014</v>
      </c>
      <c r="D7745" t="s">
        <v>15421</v>
      </c>
      <c r="E7745" s="2">
        <v>1023</v>
      </c>
      <c r="G7745" s="3">
        <f>MONTH(Tabela1[[#This Row],[Último pagto ano]])</f>
        <v>12</v>
      </c>
      <c r="H7745" t="str">
        <f>TEXT(Tabela1[[#This Row],[Coluna2]]*29,"mmmm")</f>
        <v>dezembro</v>
      </c>
      <c r="I7745" t="str">
        <f>TEXT(MONTH(Tabela1[[#This Row],[Último pagto ano]])*29,"mmmm")</f>
        <v>dezembro</v>
      </c>
    </row>
    <row r="7746" spans="1:9" x14ac:dyDescent="0.25">
      <c r="A7746">
        <v>2025</v>
      </c>
      <c r="B7746" t="s">
        <v>15422</v>
      </c>
      <c r="C7746" s="1">
        <v>45754</v>
      </c>
      <c r="D7746" t="s">
        <v>15423</v>
      </c>
      <c r="E7746" s="2">
        <v>20000</v>
      </c>
      <c r="G7746" s="3">
        <f>MONTH(Tabela1[[#This Row],[Último pagto ano]])</f>
        <v>4</v>
      </c>
      <c r="H7746" t="str">
        <f>TEXT(Tabela1[[#This Row],[Coluna2]]*29,"mmmm")</f>
        <v>abril</v>
      </c>
      <c r="I7746" t="str">
        <f>TEXT(MONTH(Tabela1[[#This Row],[Último pagto ano]])*29,"mmmm")</f>
        <v>abril</v>
      </c>
    </row>
    <row r="7747" spans="1:9" x14ac:dyDescent="0.25">
      <c r="A7747">
        <v>2025</v>
      </c>
      <c r="B7747" t="s">
        <v>15424</v>
      </c>
      <c r="C7747" s="1">
        <v>45985</v>
      </c>
      <c r="D7747" t="s">
        <v>15425</v>
      </c>
      <c r="E7747">
        <v>132</v>
      </c>
      <c r="G7747" s="3">
        <f>MONTH(Tabela1[[#This Row],[Último pagto ano]])</f>
        <v>11</v>
      </c>
      <c r="H7747" t="str">
        <f>TEXT(Tabela1[[#This Row],[Coluna2]]*29,"mmmm")</f>
        <v>novembro</v>
      </c>
      <c r="I7747" t="str">
        <f>TEXT(MONTH(Tabela1[[#This Row],[Último pagto ano]])*29,"mmmm")</f>
        <v>novembro</v>
      </c>
    </row>
    <row r="7748" spans="1:9" x14ac:dyDescent="0.25">
      <c r="A7748">
        <v>2025</v>
      </c>
      <c r="B7748" t="s">
        <v>15426</v>
      </c>
      <c r="C7748" s="1">
        <v>45762</v>
      </c>
      <c r="D7748" t="s">
        <v>15427</v>
      </c>
      <c r="E7748" s="2">
        <v>3796.96</v>
      </c>
      <c r="G7748" s="3">
        <f>MONTH(Tabela1[[#This Row],[Último pagto ano]])</f>
        <v>4</v>
      </c>
      <c r="H7748" t="str">
        <f>TEXT(Tabela1[[#This Row],[Coluna2]]*29,"mmmm")</f>
        <v>abril</v>
      </c>
      <c r="I7748" t="str">
        <f>TEXT(MONTH(Tabela1[[#This Row],[Último pagto ano]])*29,"mmmm")</f>
        <v>abril</v>
      </c>
    </row>
    <row r="7749" spans="1:9" x14ac:dyDescent="0.25">
      <c r="A7749">
        <v>2025</v>
      </c>
      <c r="B7749" t="s">
        <v>15428</v>
      </c>
      <c r="C7749" s="1">
        <v>45702</v>
      </c>
      <c r="D7749" t="s">
        <v>15429</v>
      </c>
      <c r="E7749">
        <v>185.48</v>
      </c>
      <c r="G7749" s="3">
        <f>MONTH(Tabela1[[#This Row],[Último pagto ano]])</f>
        <v>2</v>
      </c>
      <c r="H7749" t="str">
        <f>TEXT(Tabela1[[#This Row],[Coluna2]]*29,"mmmm")</f>
        <v>fevereiro</v>
      </c>
      <c r="I7749" t="str">
        <f>TEXT(MONTH(Tabela1[[#This Row],[Último pagto ano]])*29,"mmmm")</f>
        <v>fevereiro</v>
      </c>
    </row>
    <row r="7750" spans="1:9" x14ac:dyDescent="0.25">
      <c r="A7750">
        <v>2025</v>
      </c>
      <c r="B7750" t="s">
        <v>15430</v>
      </c>
      <c r="C7750" s="1">
        <v>45978</v>
      </c>
      <c r="D7750" t="s">
        <v>15431</v>
      </c>
      <c r="E7750" s="2">
        <v>21753.58</v>
      </c>
      <c r="G7750" s="3">
        <f>MONTH(Tabela1[[#This Row],[Último pagto ano]])</f>
        <v>11</v>
      </c>
      <c r="H7750" t="str">
        <f>TEXT(Tabela1[[#This Row],[Coluna2]]*29,"mmmm")</f>
        <v>novembro</v>
      </c>
      <c r="I7750" t="str">
        <f>TEXT(MONTH(Tabela1[[#This Row],[Último pagto ano]])*29,"mmmm")</f>
        <v>novembro</v>
      </c>
    </row>
    <row r="7751" spans="1:9" x14ac:dyDescent="0.25">
      <c r="A7751">
        <v>2025</v>
      </c>
      <c r="B7751" t="s">
        <v>15432</v>
      </c>
      <c r="C7751" s="1">
        <v>45702</v>
      </c>
      <c r="D7751" t="s">
        <v>15433</v>
      </c>
      <c r="E7751">
        <v>174.37</v>
      </c>
      <c r="G7751" s="3">
        <f>MONTH(Tabela1[[#This Row],[Último pagto ano]])</f>
        <v>2</v>
      </c>
      <c r="H7751" t="str">
        <f>TEXT(Tabela1[[#This Row],[Coluna2]]*29,"mmmm")</f>
        <v>fevereiro</v>
      </c>
      <c r="I7751" t="str">
        <f>TEXT(MONTH(Tabela1[[#This Row],[Último pagto ano]])*29,"mmmm")</f>
        <v>fevereiro</v>
      </c>
    </row>
    <row r="7752" spans="1:9" x14ac:dyDescent="0.25">
      <c r="A7752">
        <v>2025</v>
      </c>
      <c r="B7752" t="s">
        <v>15434</v>
      </c>
      <c r="C7752" s="1">
        <v>45996</v>
      </c>
      <c r="D7752" t="s">
        <v>15435</v>
      </c>
      <c r="E7752" s="2">
        <v>42352.5</v>
      </c>
      <c r="G7752" s="3">
        <f>MONTH(Tabela1[[#This Row],[Último pagto ano]])</f>
        <v>12</v>
      </c>
      <c r="H7752" t="str">
        <f>TEXT(Tabela1[[#This Row],[Coluna2]]*29,"mmmm")</f>
        <v>dezembro</v>
      </c>
      <c r="I7752" t="str">
        <f>TEXT(MONTH(Tabela1[[#This Row],[Último pagto ano]])*29,"mmmm")</f>
        <v>dezembro</v>
      </c>
    </row>
    <row r="7753" spans="1:9" x14ac:dyDescent="0.25">
      <c r="A7753">
        <v>2025</v>
      </c>
      <c r="B7753" t="s">
        <v>15436</v>
      </c>
      <c r="C7753" s="1">
        <v>45838</v>
      </c>
      <c r="D7753" t="s">
        <v>15437</v>
      </c>
      <c r="E7753">
        <v>44</v>
      </c>
      <c r="G7753" s="3">
        <f>MONTH(Tabela1[[#This Row],[Último pagto ano]])</f>
        <v>6</v>
      </c>
      <c r="H7753" t="str">
        <f>TEXT(Tabela1[[#This Row],[Coluna2]]*29,"mmmm")</f>
        <v>junho</v>
      </c>
      <c r="I7753" t="str">
        <f>TEXT(MONTH(Tabela1[[#This Row],[Último pagto ano]])*29,"mmmm")</f>
        <v>junho</v>
      </c>
    </row>
    <row r="7754" spans="1:9" x14ac:dyDescent="0.25">
      <c r="A7754">
        <v>2025</v>
      </c>
      <c r="B7754" t="s">
        <v>15438</v>
      </c>
      <c r="C7754" s="1">
        <v>45908</v>
      </c>
      <c r="D7754" t="s">
        <v>15439</v>
      </c>
      <c r="E7754" s="2">
        <v>13500</v>
      </c>
      <c r="G7754" s="3">
        <f>MONTH(Tabela1[[#This Row],[Último pagto ano]])</f>
        <v>9</v>
      </c>
      <c r="H7754" t="str">
        <f>TEXT(Tabela1[[#This Row],[Coluna2]]*29,"mmmm")</f>
        <v>setembro</v>
      </c>
      <c r="I7754" t="str">
        <f>TEXT(MONTH(Tabela1[[#This Row],[Último pagto ano]])*29,"mmmm")</f>
        <v>setembro</v>
      </c>
    </row>
    <row r="7755" spans="1:9" x14ac:dyDescent="0.25">
      <c r="A7755">
        <v>2025</v>
      </c>
      <c r="B7755" t="s">
        <v>15440</v>
      </c>
      <c r="C7755" s="1">
        <v>45992</v>
      </c>
      <c r="D7755" t="s">
        <v>15441</v>
      </c>
      <c r="E7755" s="2">
        <v>332335</v>
      </c>
      <c r="G7755" s="3">
        <f>MONTH(Tabela1[[#This Row],[Último pagto ano]])</f>
        <v>12</v>
      </c>
      <c r="H7755" t="str">
        <f>TEXT(Tabela1[[#This Row],[Coluna2]]*29,"mmmm")</f>
        <v>dezembro</v>
      </c>
      <c r="I7755" t="str">
        <f>TEXT(MONTH(Tabela1[[#This Row],[Último pagto ano]])*29,"mmmm")</f>
        <v>dezembro</v>
      </c>
    </row>
    <row r="7756" spans="1:9" x14ac:dyDescent="0.25">
      <c r="A7756">
        <v>2025</v>
      </c>
      <c r="B7756" t="s">
        <v>15442</v>
      </c>
      <c r="C7756" s="1">
        <v>45845</v>
      </c>
      <c r="D7756" t="s">
        <v>15443</v>
      </c>
      <c r="E7756" s="2">
        <v>1703.21</v>
      </c>
      <c r="G7756" s="3">
        <f>MONTH(Tabela1[[#This Row],[Último pagto ano]])</f>
        <v>7</v>
      </c>
      <c r="H7756" t="str">
        <f>TEXT(Tabela1[[#This Row],[Coluna2]]*29,"mmmm")</f>
        <v>julho</v>
      </c>
      <c r="I7756" t="str">
        <f>TEXT(MONTH(Tabela1[[#This Row],[Último pagto ano]])*29,"mmmm")</f>
        <v>julho</v>
      </c>
    </row>
    <row r="7757" spans="1:9" x14ac:dyDescent="0.25">
      <c r="A7757">
        <v>2025</v>
      </c>
      <c r="B7757" t="s">
        <v>15444</v>
      </c>
      <c r="C7757" s="1">
        <v>46006</v>
      </c>
      <c r="D7757" t="s">
        <v>15445</v>
      </c>
      <c r="E7757" s="2">
        <v>1480.8</v>
      </c>
      <c r="G7757" s="3">
        <f>MONTH(Tabela1[[#This Row],[Último pagto ano]])</f>
        <v>12</v>
      </c>
      <c r="H7757" t="str">
        <f>TEXT(Tabela1[[#This Row],[Coluna2]]*29,"mmmm")</f>
        <v>dezembro</v>
      </c>
      <c r="I7757" t="str">
        <f>TEXT(MONTH(Tabela1[[#This Row],[Último pagto ano]])*29,"mmmm")</f>
        <v>dezembro</v>
      </c>
    </row>
    <row r="7758" spans="1:9" x14ac:dyDescent="0.25">
      <c r="A7758">
        <v>2025</v>
      </c>
      <c r="B7758" t="s">
        <v>15446</v>
      </c>
      <c r="C7758" s="1">
        <v>46007</v>
      </c>
      <c r="D7758" t="s">
        <v>15447</v>
      </c>
      <c r="E7758" s="2">
        <v>87038.76</v>
      </c>
      <c r="G7758" s="3">
        <f>MONTH(Tabela1[[#This Row],[Último pagto ano]])</f>
        <v>12</v>
      </c>
      <c r="H7758" t="str">
        <f>TEXT(Tabela1[[#This Row],[Coluna2]]*29,"mmmm")</f>
        <v>dezembro</v>
      </c>
      <c r="I7758" t="str">
        <f>TEXT(MONTH(Tabela1[[#This Row],[Último pagto ano]])*29,"mmmm")</f>
        <v>dezembro</v>
      </c>
    </row>
    <row r="7759" spans="1:9" x14ac:dyDescent="0.25">
      <c r="A7759">
        <v>2025</v>
      </c>
      <c r="B7759" t="s">
        <v>15448</v>
      </c>
      <c r="C7759" s="1">
        <v>45898</v>
      </c>
      <c r="D7759" t="s">
        <v>15449</v>
      </c>
      <c r="E7759" s="2">
        <v>8280.42</v>
      </c>
      <c r="G7759" s="3">
        <f>MONTH(Tabela1[[#This Row],[Último pagto ano]])</f>
        <v>8</v>
      </c>
      <c r="H7759" t="str">
        <f>TEXT(Tabela1[[#This Row],[Coluna2]]*29,"mmmm")</f>
        <v>agosto</v>
      </c>
      <c r="I7759" t="str">
        <f>TEXT(MONTH(Tabela1[[#This Row],[Último pagto ano]])*29,"mmmm")</f>
        <v>agosto</v>
      </c>
    </row>
    <row r="7760" spans="1:9" x14ac:dyDescent="0.25">
      <c r="A7760">
        <v>2025</v>
      </c>
      <c r="B7760" t="s">
        <v>15450</v>
      </c>
      <c r="C7760" s="1">
        <v>45736</v>
      </c>
      <c r="D7760" t="s">
        <v>15451</v>
      </c>
      <c r="E7760">
        <v>44</v>
      </c>
      <c r="G7760" s="3">
        <f>MONTH(Tabela1[[#This Row],[Último pagto ano]])</f>
        <v>3</v>
      </c>
      <c r="H7760" t="str">
        <f>TEXT(Tabela1[[#This Row],[Coluna2]]*29,"mmmm")</f>
        <v>março</v>
      </c>
      <c r="I7760" t="str">
        <f>TEXT(MONTH(Tabela1[[#This Row],[Último pagto ano]])*29,"mmmm")</f>
        <v>março</v>
      </c>
    </row>
    <row r="7761" spans="1:9" x14ac:dyDescent="0.25">
      <c r="A7761">
        <v>2025</v>
      </c>
      <c r="B7761" t="s">
        <v>15452</v>
      </c>
      <c r="C7761" s="1">
        <v>46010</v>
      </c>
      <c r="D7761" t="s">
        <v>15453</v>
      </c>
      <c r="E7761" s="2">
        <v>12000</v>
      </c>
      <c r="G7761" s="3">
        <f>MONTH(Tabela1[[#This Row],[Último pagto ano]])</f>
        <v>12</v>
      </c>
      <c r="H7761" t="str">
        <f>TEXT(Tabela1[[#This Row],[Coluna2]]*29,"mmmm")</f>
        <v>dezembro</v>
      </c>
      <c r="I7761" t="str">
        <f>TEXT(MONTH(Tabela1[[#This Row],[Último pagto ano]])*29,"mmmm")</f>
        <v>dezembro</v>
      </c>
    </row>
    <row r="7762" spans="1:9" x14ac:dyDescent="0.25">
      <c r="A7762">
        <v>2025</v>
      </c>
      <c r="B7762" t="s">
        <v>15454</v>
      </c>
      <c r="C7762" s="1">
        <v>45702</v>
      </c>
      <c r="D7762" t="s">
        <v>15455</v>
      </c>
      <c r="E7762">
        <v>103.97</v>
      </c>
      <c r="G7762" s="3">
        <f>MONTH(Tabela1[[#This Row],[Último pagto ano]])</f>
        <v>2</v>
      </c>
      <c r="H7762" t="str">
        <f>TEXT(Tabela1[[#This Row],[Coluna2]]*29,"mmmm")</f>
        <v>fevereiro</v>
      </c>
      <c r="I7762" t="str">
        <f>TEXT(MONTH(Tabela1[[#This Row],[Último pagto ano]])*29,"mmmm")</f>
        <v>fevereiro</v>
      </c>
    </row>
    <row r="7763" spans="1:9" x14ac:dyDescent="0.25">
      <c r="A7763">
        <v>2025</v>
      </c>
      <c r="B7763" t="s">
        <v>15456</v>
      </c>
      <c r="C7763" s="1">
        <v>45999</v>
      </c>
      <c r="D7763" t="s">
        <v>15457</v>
      </c>
      <c r="E7763">
        <v>194.4</v>
      </c>
      <c r="G7763" s="3">
        <f>MONTH(Tabela1[[#This Row],[Último pagto ano]])</f>
        <v>12</v>
      </c>
      <c r="H7763" t="str">
        <f>TEXT(Tabela1[[#This Row],[Coluna2]]*29,"mmmm")</f>
        <v>dezembro</v>
      </c>
      <c r="I7763" t="str">
        <f>TEXT(MONTH(Tabela1[[#This Row],[Último pagto ano]])*29,"mmmm")</f>
        <v>dezembro</v>
      </c>
    </row>
    <row r="7764" spans="1:9" x14ac:dyDescent="0.25">
      <c r="A7764">
        <v>2025</v>
      </c>
      <c r="B7764" t="s">
        <v>15458</v>
      </c>
      <c r="C7764" s="1">
        <v>46021</v>
      </c>
      <c r="D7764" t="s">
        <v>15459</v>
      </c>
      <c r="E7764" s="2">
        <v>25601.14</v>
      </c>
      <c r="G7764" s="3">
        <f>MONTH(Tabela1[[#This Row],[Último pagto ano]])</f>
        <v>12</v>
      </c>
      <c r="H7764" t="str">
        <f>TEXT(Tabela1[[#This Row],[Coluna2]]*29,"mmmm")</f>
        <v>dezembro</v>
      </c>
      <c r="I7764" t="str">
        <f>TEXT(MONTH(Tabela1[[#This Row],[Último pagto ano]])*29,"mmmm")</f>
        <v>dezembro</v>
      </c>
    </row>
    <row r="7765" spans="1:9" x14ac:dyDescent="0.25">
      <c r="A7765">
        <v>2025</v>
      </c>
      <c r="B7765" t="s">
        <v>15460</v>
      </c>
      <c r="C7765" s="1">
        <v>46002</v>
      </c>
      <c r="D7765" t="s">
        <v>15461</v>
      </c>
      <c r="E7765" s="2">
        <v>8167.77</v>
      </c>
      <c r="G7765" s="3">
        <f>MONTH(Tabela1[[#This Row],[Último pagto ano]])</f>
        <v>12</v>
      </c>
      <c r="H7765" t="str">
        <f>TEXT(Tabela1[[#This Row],[Coluna2]]*29,"mmmm")</f>
        <v>dezembro</v>
      </c>
      <c r="I7765" t="str">
        <f>TEXT(MONTH(Tabela1[[#This Row],[Último pagto ano]])*29,"mmmm")</f>
        <v>dezembro</v>
      </c>
    </row>
    <row r="7766" spans="1:9" x14ac:dyDescent="0.25">
      <c r="A7766">
        <v>2025</v>
      </c>
      <c r="B7766" t="s">
        <v>15462</v>
      </c>
      <c r="C7766" s="1">
        <v>45744</v>
      </c>
      <c r="D7766" t="s">
        <v>15463</v>
      </c>
      <c r="E7766" s="2">
        <v>64583.03</v>
      </c>
      <c r="G7766" s="3">
        <f>MONTH(Tabela1[[#This Row],[Último pagto ano]])</f>
        <v>3</v>
      </c>
      <c r="H7766" t="str">
        <f>TEXT(Tabela1[[#This Row],[Coluna2]]*29,"mmmm")</f>
        <v>março</v>
      </c>
      <c r="I7766" t="str">
        <f>TEXT(MONTH(Tabela1[[#This Row],[Último pagto ano]])*29,"mmmm")</f>
        <v>março</v>
      </c>
    </row>
    <row r="7767" spans="1:9" x14ac:dyDescent="0.25">
      <c r="A7767">
        <v>2025</v>
      </c>
      <c r="B7767" t="s">
        <v>15464</v>
      </c>
      <c r="C7767" s="1">
        <v>46014</v>
      </c>
      <c r="D7767" t="s">
        <v>15465</v>
      </c>
      <c r="E7767" s="2">
        <v>3200</v>
      </c>
      <c r="G7767" s="3">
        <f>MONTH(Tabela1[[#This Row],[Último pagto ano]])</f>
        <v>12</v>
      </c>
      <c r="H7767" t="str">
        <f>TEXT(Tabela1[[#This Row],[Coluna2]]*29,"mmmm")</f>
        <v>dezembro</v>
      </c>
      <c r="I7767" t="str">
        <f>TEXT(MONTH(Tabela1[[#This Row],[Último pagto ano]])*29,"mmmm")</f>
        <v>dezembro</v>
      </c>
    </row>
    <row r="7768" spans="1:9" x14ac:dyDescent="0.25">
      <c r="A7768">
        <v>2025</v>
      </c>
      <c r="B7768" t="s">
        <v>15466</v>
      </c>
      <c r="C7768" s="1">
        <v>45702</v>
      </c>
      <c r="D7768" t="s">
        <v>15467</v>
      </c>
      <c r="E7768" s="2">
        <v>1263.8499999999999</v>
      </c>
      <c r="G7768" s="3">
        <f>MONTH(Tabela1[[#This Row],[Último pagto ano]])</f>
        <v>2</v>
      </c>
      <c r="H7768" t="str">
        <f>TEXT(Tabela1[[#This Row],[Coluna2]]*29,"mmmm")</f>
        <v>fevereiro</v>
      </c>
      <c r="I7768" t="str">
        <f>TEXT(MONTH(Tabela1[[#This Row],[Último pagto ano]])*29,"mmmm")</f>
        <v>fevereiro</v>
      </c>
    </row>
    <row r="7769" spans="1:9" x14ac:dyDescent="0.25">
      <c r="A7769">
        <v>2025</v>
      </c>
      <c r="B7769" t="s">
        <v>15468</v>
      </c>
      <c r="C7769" s="1">
        <v>45831</v>
      </c>
      <c r="D7769" t="s">
        <v>15469</v>
      </c>
      <c r="E7769" s="2">
        <v>7347.6</v>
      </c>
      <c r="G7769" s="3">
        <f>MONTH(Tabela1[[#This Row],[Último pagto ano]])</f>
        <v>6</v>
      </c>
      <c r="H7769" t="str">
        <f>TEXT(Tabela1[[#This Row],[Coluna2]]*29,"mmmm")</f>
        <v>junho</v>
      </c>
      <c r="I7769" t="str">
        <f>TEXT(MONTH(Tabela1[[#This Row],[Último pagto ano]])*29,"mmmm")</f>
        <v>junho</v>
      </c>
    </row>
    <row r="7770" spans="1:9" x14ac:dyDescent="0.25">
      <c r="A7770">
        <v>2025</v>
      </c>
      <c r="B7770" t="s">
        <v>15470</v>
      </c>
      <c r="C7770" s="1">
        <v>45870</v>
      </c>
      <c r="D7770" t="s">
        <v>15471</v>
      </c>
      <c r="E7770" s="2">
        <v>2404.71</v>
      </c>
      <c r="G7770" s="3">
        <f>MONTH(Tabela1[[#This Row],[Último pagto ano]])</f>
        <v>8</v>
      </c>
      <c r="H7770" t="str">
        <f>TEXT(Tabela1[[#This Row],[Coluna2]]*29,"mmmm")</f>
        <v>agosto</v>
      </c>
      <c r="I7770" t="str">
        <f>TEXT(MONTH(Tabela1[[#This Row],[Último pagto ano]])*29,"mmmm")</f>
        <v>agosto</v>
      </c>
    </row>
    <row r="7771" spans="1:9" x14ac:dyDescent="0.25">
      <c r="A7771">
        <v>2025</v>
      </c>
      <c r="B7771" t="s">
        <v>15472</v>
      </c>
      <c r="C7771" s="1">
        <v>45702</v>
      </c>
      <c r="D7771" t="s">
        <v>15473</v>
      </c>
      <c r="E7771">
        <v>270.33999999999997</v>
      </c>
      <c r="G7771" s="3">
        <f>MONTH(Tabela1[[#This Row],[Último pagto ano]])</f>
        <v>2</v>
      </c>
      <c r="H7771" t="str">
        <f>TEXT(Tabela1[[#This Row],[Coluna2]]*29,"mmmm")</f>
        <v>fevereiro</v>
      </c>
      <c r="I7771" t="str">
        <f>TEXT(MONTH(Tabela1[[#This Row],[Último pagto ano]])*29,"mmmm")</f>
        <v>fevereiro</v>
      </c>
    </row>
    <row r="7772" spans="1:9" x14ac:dyDescent="0.25">
      <c r="A7772">
        <v>2025</v>
      </c>
      <c r="B7772" t="s">
        <v>15474</v>
      </c>
      <c r="C7772" s="1">
        <v>46010</v>
      </c>
      <c r="D7772" t="s">
        <v>15475</v>
      </c>
      <c r="E7772" s="2">
        <v>12000</v>
      </c>
      <c r="G7772" s="3">
        <f>MONTH(Tabela1[[#This Row],[Último pagto ano]])</f>
        <v>12</v>
      </c>
      <c r="H7772" t="str">
        <f>TEXT(Tabela1[[#This Row],[Coluna2]]*29,"mmmm")</f>
        <v>dezembro</v>
      </c>
      <c r="I7772" t="str">
        <f>TEXT(MONTH(Tabela1[[#This Row],[Último pagto ano]])*29,"mmmm")</f>
        <v>dezembro</v>
      </c>
    </row>
    <row r="7773" spans="1:9" x14ac:dyDescent="0.25">
      <c r="A7773">
        <v>2025</v>
      </c>
      <c r="B7773" t="s">
        <v>15476</v>
      </c>
      <c r="C7773" s="1">
        <v>45663</v>
      </c>
      <c r="D7773" t="s">
        <v>15477</v>
      </c>
      <c r="E7773">
        <v>22</v>
      </c>
      <c r="G7773" s="3">
        <f>MONTH(Tabela1[[#This Row],[Último pagto ano]])</f>
        <v>1</v>
      </c>
      <c r="H7773" t="str">
        <f>TEXT(Tabela1[[#This Row],[Coluna2]]*29,"mmmm")</f>
        <v>janeiro</v>
      </c>
      <c r="I7773" t="str">
        <f>TEXT(MONTH(Tabela1[[#This Row],[Último pagto ano]])*29,"mmmm")</f>
        <v>janeiro</v>
      </c>
    </row>
    <row r="7774" spans="1:9" x14ac:dyDescent="0.25">
      <c r="A7774">
        <v>2025</v>
      </c>
      <c r="B7774" t="s">
        <v>15478</v>
      </c>
      <c r="C7774" s="1">
        <v>45849</v>
      </c>
      <c r="D7774" t="s">
        <v>15479</v>
      </c>
      <c r="E7774" s="2">
        <v>1945.33</v>
      </c>
      <c r="G7774" s="3">
        <f>MONTH(Tabela1[[#This Row],[Último pagto ano]])</f>
        <v>7</v>
      </c>
      <c r="H7774" t="str">
        <f>TEXT(Tabela1[[#This Row],[Coluna2]]*29,"mmmm")</f>
        <v>julho</v>
      </c>
      <c r="I7774" t="str">
        <f>TEXT(MONTH(Tabela1[[#This Row],[Último pagto ano]])*29,"mmmm")</f>
        <v>julho</v>
      </c>
    </row>
    <row r="7775" spans="1:9" x14ac:dyDescent="0.25">
      <c r="A7775">
        <v>2025</v>
      </c>
      <c r="B7775" t="s">
        <v>15480</v>
      </c>
      <c r="C7775" s="1">
        <v>45702</v>
      </c>
      <c r="D7775" t="s">
        <v>15481</v>
      </c>
      <c r="E7775" s="2">
        <v>1125.68</v>
      </c>
      <c r="G7775" s="3">
        <f>MONTH(Tabela1[[#This Row],[Último pagto ano]])</f>
        <v>2</v>
      </c>
      <c r="H7775" t="str">
        <f>TEXT(Tabela1[[#This Row],[Coluna2]]*29,"mmmm")</f>
        <v>fevereiro</v>
      </c>
      <c r="I7775" t="str">
        <f>TEXT(MONTH(Tabela1[[#This Row],[Último pagto ano]])*29,"mmmm")</f>
        <v>fevereiro</v>
      </c>
    </row>
    <row r="7776" spans="1:9" x14ac:dyDescent="0.25">
      <c r="A7776">
        <v>2025</v>
      </c>
      <c r="B7776" t="s">
        <v>15482</v>
      </c>
      <c r="C7776" s="1">
        <v>45726</v>
      </c>
      <c r="D7776" t="s">
        <v>15483</v>
      </c>
      <c r="E7776">
        <v>2.66</v>
      </c>
      <c r="G7776" s="3">
        <f>MONTH(Tabela1[[#This Row],[Último pagto ano]])</f>
        <v>3</v>
      </c>
      <c r="H7776" t="str">
        <f>TEXT(Tabela1[[#This Row],[Coluna2]]*29,"mmmm")</f>
        <v>março</v>
      </c>
      <c r="I7776" t="str">
        <f>TEXT(MONTH(Tabela1[[#This Row],[Último pagto ano]])*29,"mmmm")</f>
        <v>março</v>
      </c>
    </row>
    <row r="7777" spans="1:9" x14ac:dyDescent="0.25">
      <c r="A7777">
        <v>2025</v>
      </c>
      <c r="B7777" t="s">
        <v>15484</v>
      </c>
      <c r="C7777" s="1">
        <v>45989</v>
      </c>
      <c r="D7777" t="s">
        <v>15485</v>
      </c>
      <c r="E7777" s="2">
        <v>2988.54</v>
      </c>
      <c r="G7777" s="3">
        <f>MONTH(Tabela1[[#This Row],[Último pagto ano]])</f>
        <v>11</v>
      </c>
      <c r="H7777" t="str">
        <f>TEXT(Tabela1[[#This Row],[Coluna2]]*29,"mmmm")</f>
        <v>novembro</v>
      </c>
      <c r="I7777" t="str">
        <f>TEXT(MONTH(Tabela1[[#This Row],[Último pagto ano]])*29,"mmmm")</f>
        <v>novembro</v>
      </c>
    </row>
    <row r="7778" spans="1:9" x14ac:dyDescent="0.25">
      <c r="A7778">
        <v>2025</v>
      </c>
      <c r="B7778" t="s">
        <v>15486</v>
      </c>
      <c r="C7778" s="1">
        <v>45712</v>
      </c>
      <c r="D7778" t="s">
        <v>15487</v>
      </c>
      <c r="E7778" s="2">
        <v>1400</v>
      </c>
      <c r="G7778" s="3">
        <f>MONTH(Tabela1[[#This Row],[Último pagto ano]])</f>
        <v>2</v>
      </c>
      <c r="H7778" t="str">
        <f>TEXT(Tabela1[[#This Row],[Coluna2]]*29,"mmmm")</f>
        <v>fevereiro</v>
      </c>
      <c r="I7778" t="str">
        <f>TEXT(MONTH(Tabela1[[#This Row],[Último pagto ano]])*29,"mmmm")</f>
        <v>fevereiro</v>
      </c>
    </row>
    <row r="7779" spans="1:9" x14ac:dyDescent="0.25">
      <c r="A7779">
        <v>2025</v>
      </c>
      <c r="B7779" t="s">
        <v>15488</v>
      </c>
      <c r="C7779" s="1">
        <v>46006</v>
      </c>
      <c r="D7779" t="s">
        <v>15489</v>
      </c>
      <c r="E7779">
        <v>22</v>
      </c>
      <c r="G7779" s="3">
        <f>MONTH(Tabela1[[#This Row],[Último pagto ano]])</f>
        <v>12</v>
      </c>
      <c r="H7779" t="str">
        <f>TEXT(Tabela1[[#This Row],[Coluna2]]*29,"mmmm")</f>
        <v>dezembro</v>
      </c>
      <c r="I7779" t="str">
        <f>TEXT(MONTH(Tabela1[[#This Row],[Último pagto ano]])*29,"mmmm")</f>
        <v>dezembro</v>
      </c>
    </row>
    <row r="7780" spans="1:9" x14ac:dyDescent="0.25">
      <c r="A7780">
        <v>2025</v>
      </c>
      <c r="B7780" t="s">
        <v>15490</v>
      </c>
      <c r="C7780" s="1">
        <v>45705</v>
      </c>
      <c r="D7780" t="s">
        <v>15491</v>
      </c>
      <c r="E7780" s="2">
        <v>1888.52</v>
      </c>
      <c r="G7780" s="3">
        <f>MONTH(Tabela1[[#This Row],[Último pagto ano]])</f>
        <v>2</v>
      </c>
      <c r="H7780" t="str">
        <f>TEXT(Tabela1[[#This Row],[Coluna2]]*29,"mmmm")</f>
        <v>fevereiro</v>
      </c>
      <c r="I7780" t="str">
        <f>TEXT(MONTH(Tabela1[[#This Row],[Último pagto ano]])*29,"mmmm")</f>
        <v>fevereiro</v>
      </c>
    </row>
    <row r="7781" spans="1:9" x14ac:dyDescent="0.25">
      <c r="A7781">
        <v>2025</v>
      </c>
      <c r="B7781" t="s">
        <v>15492</v>
      </c>
      <c r="C7781" s="1">
        <v>46010</v>
      </c>
      <c r="D7781" t="s">
        <v>15493</v>
      </c>
      <c r="E7781">
        <v>700</v>
      </c>
      <c r="G7781" s="3">
        <f>MONTH(Tabela1[[#This Row],[Último pagto ano]])</f>
        <v>12</v>
      </c>
      <c r="H7781" t="str">
        <f>TEXT(Tabela1[[#This Row],[Coluna2]]*29,"mmmm")</f>
        <v>dezembro</v>
      </c>
      <c r="I7781" t="str">
        <f>TEXT(MONTH(Tabela1[[#This Row],[Último pagto ano]])*29,"mmmm")</f>
        <v>dezembro</v>
      </c>
    </row>
    <row r="7782" spans="1:9" x14ac:dyDescent="0.25">
      <c r="A7782">
        <v>2025</v>
      </c>
      <c r="B7782" t="s">
        <v>15494</v>
      </c>
      <c r="C7782" s="1">
        <v>46010</v>
      </c>
      <c r="D7782" t="s">
        <v>15495</v>
      </c>
      <c r="E7782">
        <v>700</v>
      </c>
      <c r="G7782" s="3">
        <f>MONTH(Tabela1[[#This Row],[Último pagto ano]])</f>
        <v>12</v>
      </c>
      <c r="H7782" t="str">
        <f>TEXT(Tabela1[[#This Row],[Coluna2]]*29,"mmmm")</f>
        <v>dezembro</v>
      </c>
      <c r="I7782" t="str">
        <f>TEXT(MONTH(Tabela1[[#This Row],[Último pagto ano]])*29,"mmmm")</f>
        <v>dezembro</v>
      </c>
    </row>
    <row r="7783" spans="1:9" x14ac:dyDescent="0.25">
      <c r="A7783">
        <v>2025</v>
      </c>
      <c r="B7783" t="s">
        <v>15496</v>
      </c>
      <c r="C7783" s="1">
        <v>46006</v>
      </c>
      <c r="D7783" t="s">
        <v>15497</v>
      </c>
      <c r="E7783" s="2">
        <v>19778.72</v>
      </c>
      <c r="G7783" s="3">
        <f>MONTH(Tabela1[[#This Row],[Último pagto ano]])</f>
        <v>12</v>
      </c>
      <c r="H7783" t="str">
        <f>TEXT(Tabela1[[#This Row],[Coluna2]]*29,"mmmm")</f>
        <v>dezembro</v>
      </c>
      <c r="I7783" t="str">
        <f>TEXT(MONTH(Tabela1[[#This Row],[Último pagto ano]])*29,"mmmm")</f>
        <v>dezembro</v>
      </c>
    </row>
    <row r="7784" spans="1:9" x14ac:dyDescent="0.25">
      <c r="A7784">
        <v>2025</v>
      </c>
      <c r="B7784" t="s">
        <v>15498</v>
      </c>
      <c r="C7784" s="1">
        <v>45792</v>
      </c>
      <c r="D7784" t="s">
        <v>15499</v>
      </c>
      <c r="E7784">
        <v>700</v>
      </c>
      <c r="G7784" s="3">
        <f>MONTH(Tabela1[[#This Row],[Último pagto ano]])</f>
        <v>5</v>
      </c>
      <c r="H7784" t="str">
        <f>TEXT(Tabela1[[#This Row],[Coluna2]]*29,"mmmm")</f>
        <v>maio</v>
      </c>
      <c r="I7784" t="str">
        <f>TEXT(MONTH(Tabela1[[#This Row],[Último pagto ano]])*29,"mmmm")</f>
        <v>maio</v>
      </c>
    </row>
    <row r="7785" spans="1:9" x14ac:dyDescent="0.25">
      <c r="A7785">
        <v>2025</v>
      </c>
      <c r="B7785" t="s">
        <v>15500</v>
      </c>
      <c r="C7785" s="1">
        <v>46006</v>
      </c>
      <c r="D7785" t="s">
        <v>15501</v>
      </c>
      <c r="E7785" s="2">
        <v>21032.880000000001</v>
      </c>
      <c r="G7785" s="3">
        <f>MONTH(Tabela1[[#This Row],[Último pagto ano]])</f>
        <v>12</v>
      </c>
      <c r="H7785" t="str">
        <f>TEXT(Tabela1[[#This Row],[Coluna2]]*29,"mmmm")</f>
        <v>dezembro</v>
      </c>
      <c r="I7785" t="str">
        <f>TEXT(MONTH(Tabela1[[#This Row],[Último pagto ano]])*29,"mmmm")</f>
        <v>dezembro</v>
      </c>
    </row>
    <row r="7786" spans="1:9" x14ac:dyDescent="0.25">
      <c r="A7786">
        <v>2025</v>
      </c>
      <c r="B7786" t="s">
        <v>15502</v>
      </c>
      <c r="C7786" s="1">
        <v>45673</v>
      </c>
      <c r="D7786" t="s">
        <v>15503</v>
      </c>
      <c r="E7786" s="2">
        <v>6110.1</v>
      </c>
      <c r="G7786" s="3">
        <f>MONTH(Tabela1[[#This Row],[Último pagto ano]])</f>
        <v>1</v>
      </c>
      <c r="H7786" t="str">
        <f>TEXT(Tabela1[[#This Row],[Coluna2]]*29,"mmmm")</f>
        <v>janeiro</v>
      </c>
      <c r="I7786" t="str">
        <f>TEXT(MONTH(Tabela1[[#This Row],[Último pagto ano]])*29,"mmmm")</f>
        <v>janeiro</v>
      </c>
    </row>
    <row r="7787" spans="1:9" x14ac:dyDescent="0.25">
      <c r="A7787">
        <v>2025</v>
      </c>
      <c r="B7787" t="s">
        <v>15504</v>
      </c>
      <c r="C7787" s="1">
        <v>46014</v>
      </c>
      <c r="D7787" t="s">
        <v>15505</v>
      </c>
      <c r="E7787" s="2">
        <v>17019</v>
      </c>
      <c r="G7787" s="3">
        <f>MONTH(Tabela1[[#This Row],[Último pagto ano]])</f>
        <v>12</v>
      </c>
      <c r="H7787" t="str">
        <f>TEXT(Tabela1[[#This Row],[Coluna2]]*29,"mmmm")</f>
        <v>dezembro</v>
      </c>
      <c r="I7787" t="str">
        <f>TEXT(MONTH(Tabela1[[#This Row],[Último pagto ano]])*29,"mmmm")</f>
        <v>dezembro</v>
      </c>
    </row>
    <row r="7788" spans="1:9" x14ac:dyDescent="0.25">
      <c r="A7788">
        <v>2025</v>
      </c>
      <c r="B7788" t="s">
        <v>15506</v>
      </c>
      <c r="C7788" s="1">
        <v>46006</v>
      </c>
      <c r="D7788" t="s">
        <v>15507</v>
      </c>
      <c r="E7788" s="2">
        <v>32500</v>
      </c>
      <c r="G7788" s="3">
        <f>MONTH(Tabela1[[#This Row],[Último pagto ano]])</f>
        <v>12</v>
      </c>
      <c r="H7788" t="str">
        <f>TEXT(Tabela1[[#This Row],[Coluna2]]*29,"mmmm")</f>
        <v>dezembro</v>
      </c>
      <c r="I7788" t="str">
        <f>TEXT(MONTH(Tabela1[[#This Row],[Último pagto ano]])*29,"mmmm")</f>
        <v>dezembro</v>
      </c>
    </row>
    <row r="7789" spans="1:9" x14ac:dyDescent="0.25">
      <c r="A7789">
        <v>2025</v>
      </c>
      <c r="B7789" t="s">
        <v>15508</v>
      </c>
      <c r="C7789" s="1">
        <v>46006</v>
      </c>
      <c r="D7789" t="s">
        <v>15509</v>
      </c>
      <c r="E7789" s="2">
        <v>6391.68</v>
      </c>
      <c r="G7789" s="3">
        <f>MONTH(Tabela1[[#This Row],[Último pagto ano]])</f>
        <v>12</v>
      </c>
      <c r="H7789" t="str">
        <f>TEXT(Tabela1[[#This Row],[Coluna2]]*29,"mmmm")</f>
        <v>dezembro</v>
      </c>
      <c r="I7789" t="str">
        <f>TEXT(MONTH(Tabela1[[#This Row],[Último pagto ano]])*29,"mmmm")</f>
        <v>dezembro</v>
      </c>
    </row>
    <row r="7790" spans="1:9" x14ac:dyDescent="0.25">
      <c r="A7790">
        <v>2025</v>
      </c>
      <c r="B7790" t="s">
        <v>15510</v>
      </c>
      <c r="C7790" s="1">
        <v>45702</v>
      </c>
      <c r="D7790" t="s">
        <v>15511</v>
      </c>
      <c r="E7790">
        <v>113.6</v>
      </c>
      <c r="G7790" s="3">
        <f>MONTH(Tabela1[[#This Row],[Último pagto ano]])</f>
        <v>2</v>
      </c>
      <c r="H7790" t="str">
        <f>TEXT(Tabela1[[#This Row],[Coluna2]]*29,"mmmm")</f>
        <v>fevereiro</v>
      </c>
      <c r="I7790" t="str">
        <f>TEXT(MONTH(Tabela1[[#This Row],[Último pagto ano]])*29,"mmmm")</f>
        <v>fevereiro</v>
      </c>
    </row>
    <row r="7791" spans="1:9" x14ac:dyDescent="0.25">
      <c r="A7791">
        <v>2025</v>
      </c>
      <c r="B7791" t="s">
        <v>15512</v>
      </c>
      <c r="C7791" s="1">
        <v>45985</v>
      </c>
      <c r="D7791" t="s">
        <v>15513</v>
      </c>
      <c r="E7791">
        <v>132</v>
      </c>
      <c r="G7791" s="3">
        <f>MONTH(Tabela1[[#This Row],[Último pagto ano]])</f>
        <v>11</v>
      </c>
      <c r="H7791" t="str">
        <f>TEXT(Tabela1[[#This Row],[Coluna2]]*29,"mmmm")</f>
        <v>novembro</v>
      </c>
      <c r="I7791" t="str">
        <f>TEXT(MONTH(Tabela1[[#This Row],[Último pagto ano]])*29,"mmmm")</f>
        <v>novembro</v>
      </c>
    </row>
    <row r="7792" spans="1:9" x14ac:dyDescent="0.25">
      <c r="A7792">
        <v>2025</v>
      </c>
      <c r="B7792" t="s">
        <v>15514</v>
      </c>
      <c r="C7792" s="1">
        <v>45964</v>
      </c>
      <c r="D7792" t="s">
        <v>15515</v>
      </c>
      <c r="E7792">
        <v>327</v>
      </c>
      <c r="G7792" s="3">
        <f>MONTH(Tabela1[[#This Row],[Último pagto ano]])</f>
        <v>11</v>
      </c>
      <c r="H7792" t="str">
        <f>TEXT(Tabela1[[#This Row],[Coluna2]]*29,"mmmm")</f>
        <v>novembro</v>
      </c>
      <c r="I7792" t="str">
        <f>TEXT(MONTH(Tabela1[[#This Row],[Último pagto ano]])*29,"mmmm")</f>
        <v>novembro</v>
      </c>
    </row>
    <row r="7793" spans="1:9" x14ac:dyDescent="0.25">
      <c r="A7793">
        <v>2025</v>
      </c>
      <c r="B7793" t="s">
        <v>15516</v>
      </c>
      <c r="C7793" s="1">
        <v>46013</v>
      </c>
      <c r="D7793" t="s">
        <v>15517</v>
      </c>
      <c r="E7793" s="2">
        <v>5421</v>
      </c>
      <c r="G7793" s="3">
        <f>MONTH(Tabela1[[#This Row],[Último pagto ano]])</f>
        <v>12</v>
      </c>
      <c r="H7793" t="str">
        <f>TEXT(Tabela1[[#This Row],[Coluna2]]*29,"mmmm")</f>
        <v>dezembro</v>
      </c>
      <c r="I7793" t="str">
        <f>TEXT(MONTH(Tabela1[[#This Row],[Último pagto ano]])*29,"mmmm")</f>
        <v>dezembro</v>
      </c>
    </row>
    <row r="7794" spans="1:9" x14ac:dyDescent="0.25">
      <c r="A7794">
        <v>2025</v>
      </c>
      <c r="B7794" t="s">
        <v>15516</v>
      </c>
      <c r="C7794" s="1">
        <v>46014</v>
      </c>
      <c r="D7794" t="s">
        <v>15518</v>
      </c>
      <c r="E7794" s="2">
        <v>2680</v>
      </c>
      <c r="G7794" s="3">
        <f>MONTH(Tabela1[[#This Row],[Último pagto ano]])</f>
        <v>12</v>
      </c>
      <c r="H7794" t="str">
        <f>TEXT(Tabela1[[#This Row],[Coluna2]]*29,"mmmm")</f>
        <v>dezembro</v>
      </c>
      <c r="I7794" t="str">
        <f>TEXT(MONTH(Tabela1[[#This Row],[Último pagto ano]])*29,"mmmm")</f>
        <v>dezembro</v>
      </c>
    </row>
    <row r="7795" spans="1:9" x14ac:dyDescent="0.25">
      <c r="A7795">
        <v>2025</v>
      </c>
      <c r="B7795" t="s">
        <v>15519</v>
      </c>
      <c r="C7795" s="1">
        <v>45894</v>
      </c>
      <c r="D7795" t="s">
        <v>15520</v>
      </c>
      <c r="E7795">
        <v>44</v>
      </c>
      <c r="G7795" s="3">
        <f>MONTH(Tabela1[[#This Row],[Último pagto ano]])</f>
        <v>8</v>
      </c>
      <c r="H7795" t="str">
        <f>TEXT(Tabela1[[#This Row],[Coluna2]]*29,"mmmm")</f>
        <v>agosto</v>
      </c>
      <c r="I7795" t="str">
        <f>TEXT(MONTH(Tabela1[[#This Row],[Último pagto ano]])*29,"mmmm")</f>
        <v>agosto</v>
      </c>
    </row>
    <row r="7796" spans="1:9" x14ac:dyDescent="0.25">
      <c r="A7796">
        <v>2025</v>
      </c>
      <c r="B7796" t="s">
        <v>15521</v>
      </c>
      <c r="C7796" s="1">
        <v>45995</v>
      </c>
      <c r="D7796" t="s">
        <v>15522</v>
      </c>
      <c r="E7796">
        <v>341</v>
      </c>
      <c r="G7796" s="3">
        <f>MONTH(Tabela1[[#This Row],[Último pagto ano]])</f>
        <v>12</v>
      </c>
      <c r="H7796" t="str">
        <f>TEXT(Tabela1[[#This Row],[Coluna2]]*29,"mmmm")</f>
        <v>dezembro</v>
      </c>
      <c r="I7796" t="str">
        <f>TEXT(MONTH(Tabela1[[#This Row],[Último pagto ano]])*29,"mmmm")</f>
        <v>dezembro</v>
      </c>
    </row>
    <row r="7797" spans="1:9" x14ac:dyDescent="0.25">
      <c r="A7797">
        <v>2025</v>
      </c>
      <c r="B7797" t="s">
        <v>15523</v>
      </c>
      <c r="C7797" s="1">
        <v>45954</v>
      </c>
      <c r="D7797" t="s">
        <v>15524</v>
      </c>
      <c r="E7797" s="2">
        <v>7432.28</v>
      </c>
      <c r="G7797" s="3">
        <f>MONTH(Tabela1[[#This Row],[Último pagto ano]])</f>
        <v>10</v>
      </c>
      <c r="H7797" t="str">
        <f>TEXT(Tabela1[[#This Row],[Coluna2]]*29,"mmmm")</f>
        <v>outubro</v>
      </c>
      <c r="I7797" t="str">
        <f>TEXT(MONTH(Tabela1[[#This Row],[Último pagto ano]])*29,"mmmm")</f>
        <v>outubro</v>
      </c>
    </row>
    <row r="7798" spans="1:9" x14ac:dyDescent="0.25">
      <c r="A7798">
        <v>2025</v>
      </c>
      <c r="B7798" t="s">
        <v>15525</v>
      </c>
      <c r="C7798" s="1">
        <v>45960</v>
      </c>
      <c r="D7798" t="s">
        <v>15526</v>
      </c>
      <c r="E7798" s="2">
        <v>9716.0499999999993</v>
      </c>
      <c r="G7798" s="3">
        <f>MONTH(Tabela1[[#This Row],[Último pagto ano]])</f>
        <v>10</v>
      </c>
      <c r="H7798" t="str">
        <f>TEXT(Tabela1[[#This Row],[Coluna2]]*29,"mmmm")</f>
        <v>outubro</v>
      </c>
      <c r="I7798" t="str">
        <f>TEXT(MONTH(Tabela1[[#This Row],[Último pagto ano]])*29,"mmmm")</f>
        <v>outubro</v>
      </c>
    </row>
    <row r="7799" spans="1:9" x14ac:dyDescent="0.25">
      <c r="A7799">
        <v>2025</v>
      </c>
      <c r="B7799" t="s">
        <v>15527</v>
      </c>
      <c r="C7799" s="1">
        <v>46010</v>
      </c>
      <c r="D7799" t="s">
        <v>15528</v>
      </c>
      <c r="E7799" s="2">
        <v>12000</v>
      </c>
      <c r="G7799" s="3">
        <f>MONTH(Tabela1[[#This Row],[Último pagto ano]])</f>
        <v>12</v>
      </c>
      <c r="H7799" t="str">
        <f>TEXT(Tabela1[[#This Row],[Coluna2]]*29,"mmmm")</f>
        <v>dezembro</v>
      </c>
      <c r="I7799" t="str">
        <f>TEXT(MONTH(Tabela1[[#This Row],[Último pagto ano]])*29,"mmmm")</f>
        <v>dezembro</v>
      </c>
    </row>
    <row r="7800" spans="1:9" x14ac:dyDescent="0.25">
      <c r="A7800">
        <v>2025</v>
      </c>
      <c r="B7800" t="s">
        <v>15529</v>
      </c>
      <c r="C7800" s="1">
        <v>45908</v>
      </c>
      <c r="D7800" t="s">
        <v>15530</v>
      </c>
      <c r="E7800">
        <v>66</v>
      </c>
      <c r="G7800" s="3">
        <f>MONTH(Tabela1[[#This Row],[Último pagto ano]])</f>
        <v>9</v>
      </c>
      <c r="H7800" t="str">
        <f>TEXT(Tabela1[[#This Row],[Coluna2]]*29,"mmmm")</f>
        <v>setembro</v>
      </c>
      <c r="I7800" t="str">
        <f>TEXT(MONTH(Tabela1[[#This Row],[Último pagto ano]])*29,"mmmm")</f>
        <v>setembro</v>
      </c>
    </row>
    <row r="7801" spans="1:9" x14ac:dyDescent="0.25">
      <c r="A7801">
        <v>2025</v>
      </c>
      <c r="B7801" t="s">
        <v>15531</v>
      </c>
      <c r="C7801" s="1">
        <v>45782</v>
      </c>
      <c r="D7801" t="s">
        <v>15532</v>
      </c>
      <c r="E7801">
        <v>22</v>
      </c>
      <c r="G7801" s="3">
        <f>MONTH(Tabela1[[#This Row],[Último pagto ano]])</f>
        <v>5</v>
      </c>
      <c r="H7801" t="str">
        <f>TEXT(Tabela1[[#This Row],[Coluna2]]*29,"mmmm")</f>
        <v>maio</v>
      </c>
      <c r="I7801" t="str">
        <f>TEXT(MONTH(Tabela1[[#This Row],[Último pagto ano]])*29,"mmmm")</f>
        <v>maio</v>
      </c>
    </row>
    <row r="7802" spans="1:9" x14ac:dyDescent="0.25">
      <c r="A7802">
        <v>2025</v>
      </c>
      <c r="B7802" t="s">
        <v>15533</v>
      </c>
      <c r="C7802" s="1">
        <v>45996</v>
      </c>
      <c r="D7802" t="s">
        <v>15534</v>
      </c>
      <c r="E7802" s="2">
        <v>18216</v>
      </c>
      <c r="G7802" s="3">
        <f>MONTH(Tabela1[[#This Row],[Último pagto ano]])</f>
        <v>12</v>
      </c>
      <c r="H7802" t="str">
        <f>TEXT(Tabela1[[#This Row],[Coluna2]]*29,"mmmm")</f>
        <v>dezembro</v>
      </c>
      <c r="I7802" t="str">
        <f>TEXT(MONTH(Tabela1[[#This Row],[Último pagto ano]])*29,"mmmm")</f>
        <v>dezembro</v>
      </c>
    </row>
    <row r="7803" spans="1:9" x14ac:dyDescent="0.25">
      <c r="A7803">
        <v>2025</v>
      </c>
      <c r="B7803" t="s">
        <v>15535</v>
      </c>
      <c r="C7803" s="1">
        <v>45712</v>
      </c>
      <c r="D7803" t="s">
        <v>15536</v>
      </c>
      <c r="E7803">
        <v>971.1</v>
      </c>
      <c r="G7803" s="3">
        <f>MONTH(Tabela1[[#This Row],[Último pagto ano]])</f>
        <v>2</v>
      </c>
      <c r="H7803" t="str">
        <f>TEXT(Tabela1[[#This Row],[Coluna2]]*29,"mmmm")</f>
        <v>fevereiro</v>
      </c>
      <c r="I7803" t="str">
        <f>TEXT(MONTH(Tabela1[[#This Row],[Último pagto ano]])*29,"mmmm")</f>
        <v>fevereiro</v>
      </c>
    </row>
    <row r="7804" spans="1:9" x14ac:dyDescent="0.25">
      <c r="A7804">
        <v>2025</v>
      </c>
      <c r="B7804" t="s">
        <v>15537</v>
      </c>
      <c r="C7804" s="1">
        <v>46014</v>
      </c>
      <c r="D7804" t="s">
        <v>15538</v>
      </c>
      <c r="E7804" s="2">
        <v>1743998.68</v>
      </c>
      <c r="G7804" s="3">
        <f>MONTH(Tabela1[[#This Row],[Último pagto ano]])</f>
        <v>12</v>
      </c>
      <c r="H7804" t="str">
        <f>TEXT(Tabela1[[#This Row],[Coluna2]]*29,"mmmm")</f>
        <v>dezembro</v>
      </c>
      <c r="I7804" t="str">
        <f>TEXT(MONTH(Tabela1[[#This Row],[Último pagto ano]])*29,"mmmm")</f>
        <v>dezembro</v>
      </c>
    </row>
    <row r="7805" spans="1:9" x14ac:dyDescent="0.25">
      <c r="A7805">
        <v>2025</v>
      </c>
      <c r="B7805" t="s">
        <v>15539</v>
      </c>
      <c r="C7805" s="1">
        <v>46014</v>
      </c>
      <c r="D7805" t="s">
        <v>15540</v>
      </c>
      <c r="E7805" s="2">
        <v>285223.32</v>
      </c>
      <c r="G7805" s="3">
        <f>MONTH(Tabela1[[#This Row],[Último pagto ano]])</f>
        <v>12</v>
      </c>
      <c r="H7805" t="str">
        <f>TEXT(Tabela1[[#This Row],[Coluna2]]*29,"mmmm")</f>
        <v>dezembro</v>
      </c>
      <c r="I7805" t="str">
        <f>TEXT(MONTH(Tabela1[[#This Row],[Último pagto ano]])*29,"mmmm")</f>
        <v>dezembro</v>
      </c>
    </row>
    <row r="7806" spans="1:9" x14ac:dyDescent="0.25">
      <c r="A7806">
        <v>2025</v>
      </c>
      <c r="B7806" t="s">
        <v>15541</v>
      </c>
      <c r="C7806" s="1">
        <v>46009</v>
      </c>
      <c r="D7806" t="s">
        <v>15542</v>
      </c>
      <c r="E7806" s="2">
        <v>3673.96</v>
      </c>
      <c r="G7806" s="3">
        <f>MONTH(Tabela1[[#This Row],[Último pagto ano]])</f>
        <v>12</v>
      </c>
      <c r="H7806" t="str">
        <f>TEXT(Tabela1[[#This Row],[Coluna2]]*29,"mmmm")</f>
        <v>dezembro</v>
      </c>
      <c r="I7806" t="str">
        <f>TEXT(MONTH(Tabela1[[#This Row],[Último pagto ano]])*29,"mmmm")</f>
        <v>dezembro</v>
      </c>
    </row>
    <row r="7807" spans="1:9" x14ac:dyDescent="0.25">
      <c r="A7807">
        <v>2025</v>
      </c>
      <c r="B7807" t="s">
        <v>15543</v>
      </c>
      <c r="C7807" s="1">
        <v>45939</v>
      </c>
      <c r="D7807" t="s">
        <v>15544</v>
      </c>
      <c r="E7807" s="2">
        <v>10476.51</v>
      </c>
      <c r="G7807" s="3">
        <f>MONTH(Tabela1[[#This Row],[Último pagto ano]])</f>
        <v>10</v>
      </c>
      <c r="H7807" t="str">
        <f>TEXT(Tabela1[[#This Row],[Coluna2]]*29,"mmmm")</f>
        <v>outubro</v>
      </c>
      <c r="I7807" t="str">
        <f>TEXT(MONTH(Tabela1[[#This Row],[Último pagto ano]])*29,"mmmm")</f>
        <v>outubro</v>
      </c>
    </row>
    <row r="7808" spans="1:9" x14ac:dyDescent="0.25">
      <c r="A7808">
        <v>2025</v>
      </c>
      <c r="B7808" t="s">
        <v>15545</v>
      </c>
      <c r="C7808" s="1">
        <v>46013</v>
      </c>
      <c r="D7808" t="s">
        <v>15546</v>
      </c>
      <c r="E7808" s="2">
        <v>153275.5</v>
      </c>
      <c r="G7808" s="3">
        <f>MONTH(Tabela1[[#This Row],[Último pagto ano]])</f>
        <v>12</v>
      </c>
      <c r="H7808" t="str">
        <f>TEXT(Tabela1[[#This Row],[Coluna2]]*29,"mmmm")</f>
        <v>dezembro</v>
      </c>
      <c r="I7808" t="str">
        <f>TEXT(MONTH(Tabela1[[#This Row],[Último pagto ano]])*29,"mmmm")</f>
        <v>dezembro</v>
      </c>
    </row>
    <row r="7809" spans="1:9" x14ac:dyDescent="0.25">
      <c r="A7809">
        <v>2025</v>
      </c>
      <c r="B7809" t="s">
        <v>15547</v>
      </c>
      <c r="C7809" s="1">
        <v>46009</v>
      </c>
      <c r="D7809" t="s">
        <v>15548</v>
      </c>
      <c r="E7809" s="2">
        <v>643561.80000000005</v>
      </c>
      <c r="G7809" s="3">
        <f>MONTH(Tabela1[[#This Row],[Último pagto ano]])</f>
        <v>12</v>
      </c>
      <c r="H7809" t="str">
        <f>TEXT(Tabela1[[#This Row],[Coluna2]]*29,"mmmm")</f>
        <v>dezembro</v>
      </c>
      <c r="I7809" t="str">
        <f>TEXT(MONTH(Tabela1[[#This Row],[Último pagto ano]])*29,"mmmm")</f>
        <v>dezembro</v>
      </c>
    </row>
    <row r="7810" spans="1:9" x14ac:dyDescent="0.25">
      <c r="A7810">
        <v>2025</v>
      </c>
      <c r="B7810" t="s">
        <v>15549</v>
      </c>
      <c r="C7810" s="1">
        <v>45999</v>
      </c>
      <c r="D7810" t="s">
        <v>15550</v>
      </c>
      <c r="E7810" s="2">
        <v>2112</v>
      </c>
      <c r="G7810" s="3">
        <f>MONTH(Tabela1[[#This Row],[Último pagto ano]])</f>
        <v>12</v>
      </c>
      <c r="H7810" t="str">
        <f>TEXT(Tabela1[[#This Row],[Coluna2]]*29,"mmmm")</f>
        <v>dezembro</v>
      </c>
      <c r="I7810" t="str">
        <f>TEXT(MONTH(Tabela1[[#This Row],[Último pagto ano]])*29,"mmmm")</f>
        <v>dezembro</v>
      </c>
    </row>
    <row r="7811" spans="1:9" x14ac:dyDescent="0.25">
      <c r="A7811">
        <v>2025</v>
      </c>
      <c r="B7811" t="s">
        <v>15551</v>
      </c>
      <c r="C7811" s="1">
        <v>45959</v>
      </c>
      <c r="D7811" t="s">
        <v>15552</v>
      </c>
      <c r="E7811" s="2">
        <v>94901.4</v>
      </c>
      <c r="G7811" s="3">
        <f>MONTH(Tabela1[[#This Row],[Último pagto ano]])</f>
        <v>10</v>
      </c>
      <c r="H7811" t="str">
        <f>TEXT(Tabela1[[#This Row],[Coluna2]]*29,"mmmm")</f>
        <v>outubro</v>
      </c>
      <c r="I7811" t="str">
        <f>TEXT(MONTH(Tabela1[[#This Row],[Último pagto ano]])*29,"mmmm")</f>
        <v>outubro</v>
      </c>
    </row>
    <row r="7812" spans="1:9" x14ac:dyDescent="0.25">
      <c r="A7812">
        <v>2025</v>
      </c>
      <c r="B7812" t="s">
        <v>15553</v>
      </c>
      <c r="C7812" s="1">
        <v>45912</v>
      </c>
      <c r="D7812" t="s">
        <v>15554</v>
      </c>
      <c r="E7812" s="2">
        <v>3456.27</v>
      </c>
      <c r="G7812" s="3">
        <f>MONTH(Tabela1[[#This Row],[Último pagto ano]])</f>
        <v>9</v>
      </c>
      <c r="H7812" t="str">
        <f>TEXT(Tabela1[[#This Row],[Coluna2]]*29,"mmmm")</f>
        <v>setembro</v>
      </c>
      <c r="I7812" t="str">
        <f>TEXT(MONTH(Tabela1[[#This Row],[Último pagto ano]])*29,"mmmm")</f>
        <v>setembro</v>
      </c>
    </row>
    <row r="7813" spans="1:9" x14ac:dyDescent="0.25">
      <c r="A7813">
        <v>2025</v>
      </c>
      <c r="B7813" t="s">
        <v>15555</v>
      </c>
      <c r="C7813" s="1">
        <v>45960</v>
      </c>
      <c r="D7813" t="s">
        <v>15556</v>
      </c>
      <c r="E7813">
        <v>305.5</v>
      </c>
      <c r="G7813" s="3">
        <f>MONTH(Tabela1[[#This Row],[Último pagto ano]])</f>
        <v>10</v>
      </c>
      <c r="H7813" t="str">
        <f>TEXT(Tabela1[[#This Row],[Coluna2]]*29,"mmmm")</f>
        <v>outubro</v>
      </c>
      <c r="I7813" t="str">
        <f>TEXT(MONTH(Tabela1[[#This Row],[Último pagto ano]])*29,"mmmm")</f>
        <v>outubro</v>
      </c>
    </row>
    <row r="7814" spans="1:9" x14ac:dyDescent="0.25">
      <c r="A7814">
        <v>2025</v>
      </c>
      <c r="B7814" t="s">
        <v>15557</v>
      </c>
      <c r="C7814" s="1">
        <v>45868</v>
      </c>
      <c r="D7814" t="s">
        <v>15558</v>
      </c>
      <c r="E7814" s="2">
        <v>5832.22</v>
      </c>
      <c r="G7814" s="3">
        <f>MONTH(Tabela1[[#This Row],[Último pagto ano]])</f>
        <v>7</v>
      </c>
      <c r="H7814" t="str">
        <f>TEXT(Tabela1[[#This Row],[Coluna2]]*29,"mmmm")</f>
        <v>julho</v>
      </c>
      <c r="I7814" t="str">
        <f>TEXT(MONTH(Tabela1[[#This Row],[Último pagto ano]])*29,"mmmm")</f>
        <v>julho</v>
      </c>
    </row>
    <row r="7815" spans="1:9" x14ac:dyDescent="0.25">
      <c r="A7815">
        <v>2025</v>
      </c>
      <c r="B7815" t="s">
        <v>15559</v>
      </c>
      <c r="C7815" s="1">
        <v>45852</v>
      </c>
      <c r="D7815" t="s">
        <v>15560</v>
      </c>
      <c r="E7815" s="2">
        <v>10000</v>
      </c>
      <c r="G7815" s="3">
        <f>MONTH(Tabela1[[#This Row],[Último pagto ano]])</f>
        <v>7</v>
      </c>
      <c r="H7815" t="str">
        <f>TEXT(Tabela1[[#This Row],[Coluna2]]*29,"mmmm")</f>
        <v>julho</v>
      </c>
      <c r="I7815" t="str">
        <f>TEXT(MONTH(Tabela1[[#This Row],[Último pagto ano]])*29,"mmmm")</f>
        <v>julho</v>
      </c>
    </row>
    <row r="7816" spans="1:9" x14ac:dyDescent="0.25">
      <c r="A7816">
        <v>2025</v>
      </c>
      <c r="B7816" t="s">
        <v>15561</v>
      </c>
      <c r="C7816" s="1">
        <v>46003</v>
      </c>
      <c r="D7816" t="s">
        <v>15562</v>
      </c>
      <c r="E7816" s="2">
        <v>6083076</v>
      </c>
      <c r="G7816" s="3">
        <f>MONTH(Tabela1[[#This Row],[Último pagto ano]])</f>
        <v>12</v>
      </c>
      <c r="H7816" t="str">
        <f>TEXT(Tabela1[[#This Row],[Coluna2]]*29,"mmmm")</f>
        <v>dezembro</v>
      </c>
      <c r="I7816" t="str">
        <f>TEXT(MONTH(Tabela1[[#This Row],[Último pagto ano]])*29,"mmmm")</f>
        <v>dezembro</v>
      </c>
    </row>
    <row r="7817" spans="1:9" x14ac:dyDescent="0.25">
      <c r="A7817">
        <v>2025</v>
      </c>
      <c r="B7817" t="s">
        <v>15563</v>
      </c>
      <c r="C7817" s="1">
        <v>45897</v>
      </c>
      <c r="D7817" t="s">
        <v>15564</v>
      </c>
      <c r="E7817" s="2">
        <v>264000</v>
      </c>
      <c r="G7817" s="3">
        <f>MONTH(Tabela1[[#This Row],[Último pagto ano]])</f>
        <v>8</v>
      </c>
      <c r="H7817" t="str">
        <f>TEXT(Tabela1[[#This Row],[Coluna2]]*29,"mmmm")</f>
        <v>agosto</v>
      </c>
      <c r="I7817" t="str">
        <f>TEXT(MONTH(Tabela1[[#This Row],[Último pagto ano]])*29,"mmmm")</f>
        <v>agosto</v>
      </c>
    </row>
    <row r="7818" spans="1:9" x14ac:dyDescent="0.25">
      <c r="A7818">
        <v>2025</v>
      </c>
      <c r="B7818" t="s">
        <v>15565</v>
      </c>
      <c r="C7818" s="1">
        <v>45730</v>
      </c>
      <c r="D7818" t="s">
        <v>15566</v>
      </c>
      <c r="E7818" s="2">
        <v>171925</v>
      </c>
      <c r="G7818" s="3">
        <f>MONTH(Tabela1[[#This Row],[Último pagto ano]])</f>
        <v>3</v>
      </c>
      <c r="H7818" t="str">
        <f>TEXT(Tabela1[[#This Row],[Coluna2]]*29,"mmmm")</f>
        <v>março</v>
      </c>
      <c r="I7818" t="str">
        <f>TEXT(MONTH(Tabela1[[#This Row],[Último pagto ano]])*29,"mmmm")</f>
        <v>março</v>
      </c>
    </row>
    <row r="7819" spans="1:9" x14ac:dyDescent="0.25">
      <c r="A7819">
        <v>2025</v>
      </c>
      <c r="B7819" t="s">
        <v>15567</v>
      </c>
      <c r="C7819" s="1">
        <v>46014</v>
      </c>
      <c r="D7819" t="s">
        <v>15568</v>
      </c>
      <c r="E7819" s="2">
        <v>234072</v>
      </c>
      <c r="G7819" s="3">
        <f>MONTH(Tabela1[[#This Row],[Último pagto ano]])</f>
        <v>12</v>
      </c>
      <c r="H7819" t="str">
        <f>TEXT(Tabela1[[#This Row],[Coluna2]]*29,"mmmm")</f>
        <v>dezembro</v>
      </c>
      <c r="I7819" t="str">
        <f>TEXT(MONTH(Tabela1[[#This Row],[Último pagto ano]])*29,"mmmm")</f>
        <v>dezembro</v>
      </c>
    </row>
    <row r="7820" spans="1:9" x14ac:dyDescent="0.25">
      <c r="A7820">
        <v>2025</v>
      </c>
      <c r="B7820" t="s">
        <v>15569</v>
      </c>
      <c r="C7820" s="1">
        <v>45994</v>
      </c>
      <c r="D7820" t="s">
        <v>15570</v>
      </c>
      <c r="E7820" s="2">
        <v>204893.76</v>
      </c>
      <c r="G7820" s="3">
        <f>MONTH(Tabela1[[#This Row],[Último pagto ano]])</f>
        <v>12</v>
      </c>
      <c r="H7820" t="str">
        <f>TEXT(Tabela1[[#This Row],[Coluna2]]*29,"mmmm")</f>
        <v>dezembro</v>
      </c>
      <c r="I7820" t="str">
        <f>TEXT(MONTH(Tabela1[[#This Row],[Último pagto ano]])*29,"mmmm")</f>
        <v>dezembro</v>
      </c>
    </row>
    <row r="7821" spans="1:9" x14ac:dyDescent="0.25">
      <c r="A7821">
        <v>2025</v>
      </c>
      <c r="B7821" t="s">
        <v>15571</v>
      </c>
      <c r="C7821" s="1">
        <v>45992</v>
      </c>
      <c r="D7821" t="s">
        <v>15572</v>
      </c>
      <c r="E7821" s="2">
        <v>1758420</v>
      </c>
      <c r="G7821" s="3">
        <f>MONTH(Tabela1[[#This Row],[Último pagto ano]])</f>
        <v>12</v>
      </c>
      <c r="H7821" t="str">
        <f>TEXT(Tabela1[[#This Row],[Coluna2]]*29,"mmmm")</f>
        <v>dezembro</v>
      </c>
      <c r="I7821" t="str">
        <f>TEXT(MONTH(Tabela1[[#This Row],[Último pagto ano]])*29,"mmmm")</f>
        <v>dezembro</v>
      </c>
    </row>
    <row r="7822" spans="1:9" x14ac:dyDescent="0.25">
      <c r="A7822">
        <v>2025</v>
      </c>
      <c r="B7822" t="s">
        <v>15573</v>
      </c>
      <c r="C7822" s="1">
        <v>45992</v>
      </c>
      <c r="D7822" t="s">
        <v>15574</v>
      </c>
      <c r="E7822" s="2">
        <v>7133311.6799999997</v>
      </c>
      <c r="G7822" s="3">
        <f>MONTH(Tabela1[[#This Row],[Último pagto ano]])</f>
        <v>12</v>
      </c>
      <c r="H7822" t="str">
        <f>TEXT(Tabela1[[#This Row],[Coluna2]]*29,"mmmm")</f>
        <v>dezembro</v>
      </c>
      <c r="I7822" t="str">
        <f>TEXT(MONTH(Tabela1[[#This Row],[Último pagto ano]])*29,"mmmm")</f>
        <v>dezembro</v>
      </c>
    </row>
    <row r="7823" spans="1:9" x14ac:dyDescent="0.25">
      <c r="A7823">
        <v>2025</v>
      </c>
      <c r="B7823" t="s">
        <v>15575</v>
      </c>
      <c r="C7823" s="1">
        <v>45932</v>
      </c>
      <c r="D7823" t="s">
        <v>15576</v>
      </c>
      <c r="E7823" s="2">
        <v>219000</v>
      </c>
      <c r="G7823" s="3">
        <f>MONTH(Tabela1[[#This Row],[Último pagto ano]])</f>
        <v>10</v>
      </c>
      <c r="H7823" t="str">
        <f>TEXT(Tabela1[[#This Row],[Coluna2]]*29,"mmmm")</f>
        <v>outubro</v>
      </c>
      <c r="I7823" t="str">
        <f>TEXT(MONTH(Tabela1[[#This Row],[Último pagto ano]])*29,"mmmm")</f>
        <v>outubro</v>
      </c>
    </row>
    <row r="7824" spans="1:9" x14ac:dyDescent="0.25">
      <c r="A7824">
        <v>2025</v>
      </c>
      <c r="B7824" t="s">
        <v>15577</v>
      </c>
      <c r="C7824" s="1">
        <v>46002</v>
      </c>
      <c r="D7824" t="s">
        <v>15578</v>
      </c>
      <c r="E7824" s="2">
        <v>544926.54</v>
      </c>
      <c r="G7824" s="3">
        <f>MONTH(Tabela1[[#This Row],[Último pagto ano]])</f>
        <v>12</v>
      </c>
      <c r="H7824" t="str">
        <f>TEXT(Tabela1[[#This Row],[Coluna2]]*29,"mmmm")</f>
        <v>dezembro</v>
      </c>
      <c r="I7824" t="str">
        <f>TEXT(MONTH(Tabela1[[#This Row],[Último pagto ano]])*29,"mmmm")</f>
        <v>dezembro</v>
      </c>
    </row>
    <row r="7825" spans="1:9" x14ac:dyDescent="0.25">
      <c r="A7825">
        <v>2025</v>
      </c>
      <c r="B7825" t="s">
        <v>15579</v>
      </c>
      <c r="C7825" s="1">
        <v>45702</v>
      </c>
      <c r="D7825" t="s">
        <v>15580</v>
      </c>
      <c r="E7825">
        <v>8</v>
      </c>
      <c r="G7825" s="3">
        <f>MONTH(Tabela1[[#This Row],[Último pagto ano]])</f>
        <v>2</v>
      </c>
      <c r="H7825" t="str">
        <f>TEXT(Tabela1[[#This Row],[Coluna2]]*29,"mmmm")</f>
        <v>fevereiro</v>
      </c>
      <c r="I7825" t="str">
        <f>TEXT(MONTH(Tabela1[[#This Row],[Último pagto ano]])*29,"mmmm")</f>
        <v>fevereiro</v>
      </c>
    </row>
    <row r="7826" spans="1:9" x14ac:dyDescent="0.25">
      <c r="A7826">
        <v>2025</v>
      </c>
      <c r="B7826" t="s">
        <v>15581</v>
      </c>
      <c r="C7826" s="1">
        <v>45702</v>
      </c>
      <c r="D7826" t="s">
        <v>15582</v>
      </c>
      <c r="E7826">
        <v>80.459999999999994</v>
      </c>
      <c r="G7826" s="3">
        <f>MONTH(Tabela1[[#This Row],[Último pagto ano]])</f>
        <v>2</v>
      </c>
      <c r="H7826" t="str">
        <f>TEXT(Tabela1[[#This Row],[Coluna2]]*29,"mmmm")</f>
        <v>fevereiro</v>
      </c>
      <c r="I7826" t="str">
        <f>TEXT(MONTH(Tabela1[[#This Row],[Último pagto ano]])*29,"mmmm")</f>
        <v>fevereiro</v>
      </c>
    </row>
    <row r="7827" spans="1:9" x14ac:dyDescent="0.25">
      <c r="A7827">
        <v>2025</v>
      </c>
      <c r="B7827" t="s">
        <v>15583</v>
      </c>
      <c r="C7827" s="1">
        <v>45898</v>
      </c>
      <c r="D7827" t="s">
        <v>15584</v>
      </c>
      <c r="E7827" s="2">
        <v>3788.61</v>
      </c>
      <c r="G7827" s="3">
        <f>MONTH(Tabela1[[#This Row],[Último pagto ano]])</f>
        <v>8</v>
      </c>
      <c r="H7827" t="str">
        <f>TEXT(Tabela1[[#This Row],[Coluna2]]*29,"mmmm")</f>
        <v>agosto</v>
      </c>
      <c r="I7827" t="str">
        <f>TEXT(MONTH(Tabela1[[#This Row],[Último pagto ano]])*29,"mmmm")</f>
        <v>agosto</v>
      </c>
    </row>
    <row r="7828" spans="1:9" x14ac:dyDescent="0.25">
      <c r="A7828">
        <v>2025</v>
      </c>
      <c r="B7828" t="s">
        <v>15585</v>
      </c>
      <c r="C7828" s="1">
        <v>45989</v>
      </c>
      <c r="D7828" t="s">
        <v>15586</v>
      </c>
      <c r="E7828" s="2">
        <v>11748.5</v>
      </c>
      <c r="G7828" s="3">
        <f>MONTH(Tabela1[[#This Row],[Último pagto ano]])</f>
        <v>11</v>
      </c>
      <c r="H7828" t="str">
        <f>TEXT(Tabela1[[#This Row],[Coluna2]]*29,"mmmm")</f>
        <v>novembro</v>
      </c>
      <c r="I7828" t="str">
        <f>TEXT(MONTH(Tabela1[[#This Row],[Último pagto ano]])*29,"mmmm")</f>
        <v>novembro</v>
      </c>
    </row>
    <row r="7829" spans="1:9" x14ac:dyDescent="0.25">
      <c r="A7829">
        <v>2025</v>
      </c>
      <c r="B7829" t="s">
        <v>15587</v>
      </c>
      <c r="C7829" s="1">
        <v>45989</v>
      </c>
      <c r="D7829" t="s">
        <v>15588</v>
      </c>
      <c r="E7829" s="2">
        <v>7516.12</v>
      </c>
      <c r="G7829" s="3">
        <f>MONTH(Tabela1[[#This Row],[Último pagto ano]])</f>
        <v>11</v>
      </c>
      <c r="H7829" t="str">
        <f>TEXT(Tabela1[[#This Row],[Coluna2]]*29,"mmmm")</f>
        <v>novembro</v>
      </c>
      <c r="I7829" t="str">
        <f>TEXT(MONTH(Tabela1[[#This Row],[Último pagto ano]])*29,"mmmm")</f>
        <v>novembro</v>
      </c>
    </row>
    <row r="7830" spans="1:9" x14ac:dyDescent="0.25">
      <c r="A7830">
        <v>2025</v>
      </c>
      <c r="B7830" t="s">
        <v>15589</v>
      </c>
      <c r="C7830" s="1">
        <v>45964</v>
      </c>
      <c r="D7830" t="s">
        <v>15590</v>
      </c>
      <c r="E7830">
        <v>165</v>
      </c>
      <c r="G7830" s="3">
        <f>MONTH(Tabela1[[#This Row],[Último pagto ano]])</f>
        <v>11</v>
      </c>
      <c r="H7830" t="str">
        <f>TEXT(Tabela1[[#This Row],[Coluna2]]*29,"mmmm")</f>
        <v>novembro</v>
      </c>
      <c r="I7830" t="str">
        <f>TEXT(MONTH(Tabela1[[#This Row],[Último pagto ano]])*29,"mmmm")</f>
        <v>novembro</v>
      </c>
    </row>
    <row r="7831" spans="1:9" x14ac:dyDescent="0.25">
      <c r="A7831">
        <v>2025</v>
      </c>
      <c r="B7831" t="s">
        <v>15591</v>
      </c>
      <c r="C7831" s="1">
        <v>45999</v>
      </c>
      <c r="D7831" t="s">
        <v>15592</v>
      </c>
      <c r="E7831" s="2">
        <v>221100</v>
      </c>
      <c r="G7831" s="3">
        <f>MONTH(Tabela1[[#This Row],[Último pagto ano]])</f>
        <v>12</v>
      </c>
      <c r="H7831" t="str">
        <f>TEXT(Tabela1[[#This Row],[Coluna2]]*29,"mmmm")</f>
        <v>dezembro</v>
      </c>
      <c r="I7831" t="str">
        <f>TEXT(MONTH(Tabela1[[#This Row],[Último pagto ano]])*29,"mmmm")</f>
        <v>dezembro</v>
      </c>
    </row>
    <row r="7832" spans="1:9" x14ac:dyDescent="0.25">
      <c r="A7832">
        <v>2025</v>
      </c>
      <c r="B7832" t="s">
        <v>15593</v>
      </c>
      <c r="C7832" s="1">
        <v>46010</v>
      </c>
      <c r="D7832" t="s">
        <v>15594</v>
      </c>
      <c r="E7832">
        <v>700</v>
      </c>
      <c r="G7832" s="3">
        <f>MONTH(Tabela1[[#This Row],[Último pagto ano]])</f>
        <v>12</v>
      </c>
      <c r="H7832" t="str">
        <f>TEXT(Tabela1[[#This Row],[Coluna2]]*29,"mmmm")</f>
        <v>dezembro</v>
      </c>
      <c r="I7832" t="str">
        <f>TEXT(MONTH(Tabela1[[#This Row],[Último pagto ano]])*29,"mmmm")</f>
        <v>dezembro</v>
      </c>
    </row>
    <row r="7833" spans="1:9" x14ac:dyDescent="0.25">
      <c r="A7833">
        <v>2025</v>
      </c>
      <c r="B7833" t="s">
        <v>15595</v>
      </c>
      <c r="C7833" s="1">
        <v>45968</v>
      </c>
      <c r="D7833" t="s">
        <v>15596</v>
      </c>
      <c r="E7833" s="2">
        <v>4691.83</v>
      </c>
      <c r="G7833" s="3">
        <f>MONTH(Tabela1[[#This Row],[Último pagto ano]])</f>
        <v>11</v>
      </c>
      <c r="H7833" t="str">
        <f>TEXT(Tabela1[[#This Row],[Coluna2]]*29,"mmmm")</f>
        <v>novembro</v>
      </c>
      <c r="I7833" t="str">
        <f>TEXT(MONTH(Tabela1[[#This Row],[Último pagto ano]])*29,"mmmm")</f>
        <v>novembro</v>
      </c>
    </row>
    <row r="7834" spans="1:9" x14ac:dyDescent="0.25">
      <c r="A7834">
        <v>2025</v>
      </c>
      <c r="B7834" t="s">
        <v>15597</v>
      </c>
      <c r="C7834" s="1">
        <v>46013</v>
      </c>
      <c r="D7834" t="s">
        <v>15598</v>
      </c>
      <c r="E7834" s="2">
        <v>19330</v>
      </c>
      <c r="G7834" s="3">
        <f>MONTH(Tabela1[[#This Row],[Último pagto ano]])</f>
        <v>12</v>
      </c>
      <c r="H7834" t="str">
        <f>TEXT(Tabela1[[#This Row],[Coluna2]]*29,"mmmm")</f>
        <v>dezembro</v>
      </c>
      <c r="I7834" t="str">
        <f>TEXT(MONTH(Tabela1[[#This Row],[Último pagto ano]])*29,"mmmm")</f>
        <v>dezembro</v>
      </c>
    </row>
    <row r="7835" spans="1:9" x14ac:dyDescent="0.25">
      <c r="A7835">
        <v>2025</v>
      </c>
      <c r="B7835" t="s">
        <v>15599</v>
      </c>
      <c r="C7835" s="1">
        <v>45950</v>
      </c>
      <c r="D7835" t="s">
        <v>15600</v>
      </c>
      <c r="E7835">
        <v>66</v>
      </c>
      <c r="G7835" s="3">
        <f>MONTH(Tabela1[[#This Row],[Último pagto ano]])</f>
        <v>10</v>
      </c>
      <c r="H7835" t="str">
        <f>TEXT(Tabela1[[#This Row],[Coluna2]]*29,"mmmm")</f>
        <v>outubro</v>
      </c>
      <c r="I7835" t="str">
        <f>TEXT(MONTH(Tabela1[[#This Row],[Último pagto ano]])*29,"mmmm")</f>
        <v>outubro</v>
      </c>
    </row>
    <row r="7836" spans="1:9" x14ac:dyDescent="0.25">
      <c r="A7836">
        <v>2025</v>
      </c>
      <c r="B7836" t="s">
        <v>15601</v>
      </c>
      <c r="C7836" s="1">
        <v>45988</v>
      </c>
      <c r="D7836" t="s">
        <v>15602</v>
      </c>
      <c r="E7836" s="2">
        <v>1560</v>
      </c>
      <c r="G7836" s="3">
        <f>MONTH(Tabela1[[#This Row],[Último pagto ano]])</f>
        <v>11</v>
      </c>
      <c r="H7836" t="str">
        <f>TEXT(Tabela1[[#This Row],[Coluna2]]*29,"mmmm")</f>
        <v>novembro</v>
      </c>
      <c r="I7836" t="str">
        <f>TEXT(MONTH(Tabela1[[#This Row],[Último pagto ano]])*29,"mmmm")</f>
        <v>novembro</v>
      </c>
    </row>
    <row r="7837" spans="1:9" x14ac:dyDescent="0.25">
      <c r="A7837">
        <v>2025</v>
      </c>
      <c r="B7837" t="s">
        <v>15603</v>
      </c>
      <c r="C7837" s="1">
        <v>45782</v>
      </c>
      <c r="D7837" t="s">
        <v>15604</v>
      </c>
      <c r="E7837">
        <v>0.68</v>
      </c>
      <c r="G7837" s="3">
        <f>MONTH(Tabela1[[#This Row],[Último pagto ano]])</f>
        <v>5</v>
      </c>
      <c r="H7837" t="str">
        <f>TEXT(Tabela1[[#This Row],[Coluna2]]*29,"mmmm")</f>
        <v>maio</v>
      </c>
      <c r="I7837" t="str">
        <f>TEXT(MONTH(Tabela1[[#This Row],[Último pagto ano]])*29,"mmmm")</f>
        <v>maio</v>
      </c>
    </row>
    <row r="7838" spans="1:9" x14ac:dyDescent="0.25">
      <c r="A7838">
        <v>2025</v>
      </c>
      <c r="B7838" t="s">
        <v>15605</v>
      </c>
      <c r="C7838" s="1">
        <v>46013</v>
      </c>
      <c r="D7838" t="s">
        <v>15606</v>
      </c>
      <c r="E7838" s="2">
        <v>3814507.7</v>
      </c>
      <c r="G7838" s="3">
        <f>MONTH(Tabela1[[#This Row],[Último pagto ano]])</f>
        <v>12</v>
      </c>
      <c r="H7838" t="str">
        <f>TEXT(Tabela1[[#This Row],[Coluna2]]*29,"mmmm")</f>
        <v>dezembro</v>
      </c>
      <c r="I7838" t="str">
        <f>TEXT(MONTH(Tabela1[[#This Row],[Último pagto ano]])*29,"mmmm")</f>
        <v>dezembro</v>
      </c>
    </row>
    <row r="7839" spans="1:9" x14ac:dyDescent="0.25">
      <c r="A7839">
        <v>2025</v>
      </c>
      <c r="B7839" t="s">
        <v>15607</v>
      </c>
      <c r="C7839" s="1">
        <v>46010</v>
      </c>
      <c r="D7839" t="s">
        <v>15608</v>
      </c>
      <c r="E7839" s="2">
        <v>466666.56</v>
      </c>
      <c r="G7839" s="3">
        <f>MONTH(Tabela1[[#This Row],[Último pagto ano]])</f>
        <v>12</v>
      </c>
      <c r="H7839" t="str">
        <f>TEXT(Tabela1[[#This Row],[Coluna2]]*29,"mmmm")</f>
        <v>dezembro</v>
      </c>
      <c r="I7839" t="str">
        <f>TEXT(MONTH(Tabela1[[#This Row],[Último pagto ano]])*29,"mmmm")</f>
        <v>dezembro</v>
      </c>
    </row>
    <row r="7840" spans="1:9" x14ac:dyDescent="0.25">
      <c r="A7840">
        <v>2025</v>
      </c>
      <c r="B7840" t="s">
        <v>15609</v>
      </c>
      <c r="C7840" s="1">
        <v>46014</v>
      </c>
      <c r="D7840" t="s">
        <v>15610</v>
      </c>
      <c r="E7840" s="2">
        <v>1555199.34</v>
      </c>
      <c r="G7840" s="3">
        <f>MONTH(Tabela1[[#This Row],[Último pagto ano]])</f>
        <v>12</v>
      </c>
      <c r="H7840" t="str">
        <f>TEXT(Tabela1[[#This Row],[Coluna2]]*29,"mmmm")</f>
        <v>dezembro</v>
      </c>
      <c r="I7840" t="str">
        <f>TEXT(MONTH(Tabela1[[#This Row],[Último pagto ano]])*29,"mmmm")</f>
        <v>dezembro</v>
      </c>
    </row>
    <row r="7841" spans="1:9" x14ac:dyDescent="0.25">
      <c r="A7841">
        <v>2025</v>
      </c>
      <c r="B7841" t="s">
        <v>15611</v>
      </c>
      <c r="C7841" s="1">
        <v>45702</v>
      </c>
      <c r="D7841" t="s">
        <v>15612</v>
      </c>
      <c r="E7841">
        <v>123.68</v>
      </c>
      <c r="G7841" s="3">
        <f>MONTH(Tabela1[[#This Row],[Último pagto ano]])</f>
        <v>2</v>
      </c>
      <c r="H7841" t="str">
        <f>TEXT(Tabela1[[#This Row],[Coluna2]]*29,"mmmm")</f>
        <v>fevereiro</v>
      </c>
      <c r="I7841" t="str">
        <f>TEXT(MONTH(Tabela1[[#This Row],[Último pagto ano]])*29,"mmmm")</f>
        <v>fevereiro</v>
      </c>
    </row>
    <row r="7842" spans="1:9" x14ac:dyDescent="0.25">
      <c r="A7842">
        <v>2025</v>
      </c>
      <c r="B7842" t="s">
        <v>15613</v>
      </c>
      <c r="C7842" s="1">
        <v>45894</v>
      </c>
      <c r="D7842" t="s">
        <v>15614</v>
      </c>
      <c r="E7842" s="2">
        <v>3500</v>
      </c>
      <c r="G7842" s="3">
        <f>MONTH(Tabela1[[#This Row],[Último pagto ano]])</f>
        <v>8</v>
      </c>
      <c r="H7842" t="str">
        <f>TEXT(Tabela1[[#This Row],[Coluna2]]*29,"mmmm")</f>
        <v>agosto</v>
      </c>
      <c r="I7842" t="str">
        <f>TEXT(MONTH(Tabela1[[#This Row],[Último pagto ano]])*29,"mmmm")</f>
        <v>agosto</v>
      </c>
    </row>
    <row r="7843" spans="1:9" x14ac:dyDescent="0.25">
      <c r="A7843">
        <v>2025</v>
      </c>
      <c r="B7843" t="s">
        <v>15615</v>
      </c>
      <c r="C7843" s="1">
        <v>46014</v>
      </c>
      <c r="D7843" t="s">
        <v>15616</v>
      </c>
      <c r="E7843">
        <v>22</v>
      </c>
      <c r="G7843" s="3">
        <f>MONTH(Tabela1[[#This Row],[Último pagto ano]])</f>
        <v>12</v>
      </c>
      <c r="H7843" t="str">
        <f>TEXT(Tabela1[[#This Row],[Coluna2]]*29,"mmmm")</f>
        <v>dezembro</v>
      </c>
      <c r="I7843" t="str">
        <f>TEXT(MONTH(Tabela1[[#This Row],[Último pagto ano]])*29,"mmmm")</f>
        <v>dezembro</v>
      </c>
    </row>
    <row r="7844" spans="1:9" x14ac:dyDescent="0.25">
      <c r="A7844">
        <v>2025</v>
      </c>
      <c r="B7844" t="s">
        <v>15617</v>
      </c>
      <c r="C7844" s="1">
        <v>45849</v>
      </c>
      <c r="D7844" t="s">
        <v>15618</v>
      </c>
      <c r="E7844" s="2">
        <v>6133.43</v>
      </c>
      <c r="G7844" s="3">
        <f>MONTH(Tabela1[[#This Row],[Último pagto ano]])</f>
        <v>7</v>
      </c>
      <c r="H7844" t="str">
        <f>TEXT(Tabela1[[#This Row],[Coluna2]]*29,"mmmm")</f>
        <v>julho</v>
      </c>
      <c r="I7844" t="str">
        <f>TEXT(MONTH(Tabela1[[#This Row],[Último pagto ano]])*29,"mmmm")</f>
        <v>julho</v>
      </c>
    </row>
    <row r="7845" spans="1:9" x14ac:dyDescent="0.25">
      <c r="A7845">
        <v>2025</v>
      </c>
      <c r="B7845" t="s">
        <v>15619</v>
      </c>
      <c r="C7845" s="1">
        <v>45873</v>
      </c>
      <c r="D7845" t="s">
        <v>15620</v>
      </c>
      <c r="E7845">
        <v>66.739999999999995</v>
      </c>
      <c r="G7845" s="3">
        <f>MONTH(Tabela1[[#This Row],[Último pagto ano]])</f>
        <v>8</v>
      </c>
      <c r="H7845" t="str">
        <f>TEXT(Tabela1[[#This Row],[Coluna2]]*29,"mmmm")</f>
        <v>agosto</v>
      </c>
      <c r="I7845" t="str">
        <f>TEXT(MONTH(Tabela1[[#This Row],[Último pagto ano]])*29,"mmmm")</f>
        <v>agosto</v>
      </c>
    </row>
    <row r="7846" spans="1:9" x14ac:dyDescent="0.25">
      <c r="A7846">
        <v>2025</v>
      </c>
      <c r="B7846" t="s">
        <v>15621</v>
      </c>
      <c r="C7846" s="1">
        <v>45922</v>
      </c>
      <c r="D7846" t="s">
        <v>15622</v>
      </c>
      <c r="E7846" s="2">
        <v>4257.7</v>
      </c>
      <c r="G7846" s="3">
        <f>MONTH(Tabela1[[#This Row],[Último pagto ano]])</f>
        <v>9</v>
      </c>
      <c r="H7846" t="str">
        <f>TEXT(Tabela1[[#This Row],[Coluna2]]*29,"mmmm")</f>
        <v>setembro</v>
      </c>
      <c r="I7846" t="str">
        <f>TEXT(MONTH(Tabela1[[#This Row],[Último pagto ano]])*29,"mmmm")</f>
        <v>setembro</v>
      </c>
    </row>
    <row r="7847" spans="1:9" x14ac:dyDescent="0.25">
      <c r="A7847">
        <v>2025</v>
      </c>
      <c r="B7847" t="s">
        <v>15623</v>
      </c>
      <c r="C7847" s="1">
        <v>45959</v>
      </c>
      <c r="D7847" t="s">
        <v>15624</v>
      </c>
      <c r="E7847">
        <v>12.27</v>
      </c>
      <c r="G7847" s="3">
        <f>MONTH(Tabela1[[#This Row],[Último pagto ano]])</f>
        <v>10</v>
      </c>
      <c r="H7847" t="str">
        <f>TEXT(Tabela1[[#This Row],[Coluna2]]*29,"mmmm")</f>
        <v>outubro</v>
      </c>
      <c r="I7847" t="str">
        <f>TEXT(MONTH(Tabela1[[#This Row],[Último pagto ano]])*29,"mmmm")</f>
        <v>outubro</v>
      </c>
    </row>
    <row r="7848" spans="1:9" x14ac:dyDescent="0.25">
      <c r="A7848">
        <v>2025</v>
      </c>
      <c r="B7848" t="s">
        <v>15625</v>
      </c>
      <c r="C7848" s="1">
        <v>45769</v>
      </c>
      <c r="D7848" t="s">
        <v>15626</v>
      </c>
      <c r="E7848" s="2">
        <v>3238.32</v>
      </c>
      <c r="G7848" s="3">
        <f>MONTH(Tabela1[[#This Row],[Último pagto ano]])</f>
        <v>4</v>
      </c>
      <c r="H7848" t="str">
        <f>TEXT(Tabela1[[#This Row],[Coluna2]]*29,"mmmm")</f>
        <v>abril</v>
      </c>
      <c r="I7848" t="str">
        <f>TEXT(MONTH(Tabela1[[#This Row],[Último pagto ano]])*29,"mmmm")</f>
        <v>abril</v>
      </c>
    </row>
    <row r="7849" spans="1:9" x14ac:dyDescent="0.25">
      <c r="A7849">
        <v>2025</v>
      </c>
      <c r="B7849" t="s">
        <v>15627</v>
      </c>
      <c r="C7849" s="1">
        <v>45999</v>
      </c>
      <c r="D7849" t="s">
        <v>15628</v>
      </c>
      <c r="E7849">
        <v>66</v>
      </c>
      <c r="G7849" s="3">
        <f>MONTH(Tabela1[[#This Row],[Último pagto ano]])</f>
        <v>12</v>
      </c>
      <c r="H7849" t="str">
        <f>TEXT(Tabela1[[#This Row],[Coluna2]]*29,"mmmm")</f>
        <v>dezembro</v>
      </c>
      <c r="I7849" t="str">
        <f>TEXT(MONTH(Tabela1[[#This Row],[Último pagto ano]])*29,"mmmm")</f>
        <v>dezembro</v>
      </c>
    </row>
    <row r="7850" spans="1:9" x14ac:dyDescent="0.25">
      <c r="A7850">
        <v>2025</v>
      </c>
      <c r="B7850" t="s">
        <v>15629</v>
      </c>
      <c r="C7850" s="1">
        <v>45744</v>
      </c>
      <c r="D7850" t="s">
        <v>15630</v>
      </c>
      <c r="E7850" s="2">
        <v>59718.07</v>
      </c>
      <c r="G7850" s="3">
        <f>MONTH(Tabela1[[#This Row],[Último pagto ano]])</f>
        <v>3</v>
      </c>
      <c r="H7850" t="str">
        <f>TEXT(Tabela1[[#This Row],[Coluna2]]*29,"mmmm")</f>
        <v>março</v>
      </c>
      <c r="I7850" t="str">
        <f>TEXT(MONTH(Tabela1[[#This Row],[Último pagto ano]])*29,"mmmm")</f>
        <v>março</v>
      </c>
    </row>
    <row r="7851" spans="1:9" x14ac:dyDescent="0.25">
      <c r="A7851">
        <v>2025</v>
      </c>
      <c r="B7851" t="s">
        <v>15631</v>
      </c>
      <c r="C7851" s="1">
        <v>46006</v>
      </c>
      <c r="D7851" t="s">
        <v>15632</v>
      </c>
      <c r="E7851" s="2">
        <v>17600</v>
      </c>
      <c r="G7851" s="3">
        <f>MONTH(Tabela1[[#This Row],[Último pagto ano]])</f>
        <v>12</v>
      </c>
      <c r="H7851" t="str">
        <f>TEXT(Tabela1[[#This Row],[Coluna2]]*29,"mmmm")</f>
        <v>dezembro</v>
      </c>
      <c r="I7851" t="str">
        <f>TEXT(MONTH(Tabela1[[#This Row],[Último pagto ano]])*29,"mmmm")</f>
        <v>dezembro</v>
      </c>
    </row>
    <row r="7852" spans="1:9" x14ac:dyDescent="0.25">
      <c r="A7852">
        <v>2025</v>
      </c>
      <c r="B7852" t="s">
        <v>15633</v>
      </c>
      <c r="C7852" s="1">
        <v>45901</v>
      </c>
      <c r="D7852" t="s">
        <v>15634</v>
      </c>
      <c r="E7852">
        <v>66</v>
      </c>
      <c r="G7852" s="3">
        <f>MONTH(Tabela1[[#This Row],[Último pagto ano]])</f>
        <v>9</v>
      </c>
      <c r="H7852" t="str">
        <f>TEXT(Tabela1[[#This Row],[Coluna2]]*29,"mmmm")</f>
        <v>setembro</v>
      </c>
      <c r="I7852" t="str">
        <f>TEXT(MONTH(Tabela1[[#This Row],[Último pagto ano]])*29,"mmmm")</f>
        <v>setembro</v>
      </c>
    </row>
    <row r="7853" spans="1:9" x14ac:dyDescent="0.25">
      <c r="A7853">
        <v>2025</v>
      </c>
      <c r="B7853" t="s">
        <v>15635</v>
      </c>
      <c r="C7853" s="1">
        <v>45684</v>
      </c>
      <c r="D7853" t="s">
        <v>15636</v>
      </c>
      <c r="E7853">
        <v>110</v>
      </c>
      <c r="G7853" s="3">
        <f>MONTH(Tabela1[[#This Row],[Último pagto ano]])</f>
        <v>1</v>
      </c>
      <c r="H7853" t="str">
        <f>TEXT(Tabela1[[#This Row],[Coluna2]]*29,"mmmm")</f>
        <v>janeiro</v>
      </c>
      <c r="I7853" t="str">
        <f>TEXT(MONTH(Tabela1[[#This Row],[Último pagto ano]])*29,"mmmm")</f>
        <v>janeiro</v>
      </c>
    </row>
    <row r="7854" spans="1:9" x14ac:dyDescent="0.25">
      <c r="A7854">
        <v>2025</v>
      </c>
      <c r="B7854" t="s">
        <v>15637</v>
      </c>
      <c r="C7854" s="1">
        <v>45799</v>
      </c>
      <c r="D7854" t="s">
        <v>15638</v>
      </c>
      <c r="E7854" s="2">
        <v>1800</v>
      </c>
      <c r="G7854" s="3">
        <f>MONTH(Tabela1[[#This Row],[Último pagto ano]])</f>
        <v>5</v>
      </c>
      <c r="H7854" t="str">
        <f>TEXT(Tabela1[[#This Row],[Coluna2]]*29,"mmmm")</f>
        <v>maio</v>
      </c>
      <c r="I7854" t="str">
        <f>TEXT(MONTH(Tabela1[[#This Row],[Último pagto ano]])*29,"mmmm")</f>
        <v>maio</v>
      </c>
    </row>
    <row r="7855" spans="1:9" x14ac:dyDescent="0.25">
      <c r="A7855">
        <v>2025</v>
      </c>
      <c r="B7855" t="s">
        <v>15639</v>
      </c>
      <c r="C7855" s="1">
        <v>45929</v>
      </c>
      <c r="D7855" t="s">
        <v>15640</v>
      </c>
      <c r="E7855">
        <v>22</v>
      </c>
      <c r="G7855" s="3">
        <f>MONTH(Tabela1[[#This Row],[Último pagto ano]])</f>
        <v>9</v>
      </c>
      <c r="H7855" t="str">
        <f>TEXT(Tabela1[[#This Row],[Coluna2]]*29,"mmmm")</f>
        <v>setembro</v>
      </c>
      <c r="I7855" t="str">
        <f>TEXT(MONTH(Tabela1[[#This Row],[Último pagto ano]])*29,"mmmm")</f>
        <v>setembro</v>
      </c>
    </row>
    <row r="7856" spans="1:9" x14ac:dyDescent="0.25">
      <c r="A7856">
        <v>2025</v>
      </c>
      <c r="B7856" t="s">
        <v>15641</v>
      </c>
      <c r="C7856" s="1">
        <v>46021</v>
      </c>
      <c r="D7856" t="s">
        <v>15642</v>
      </c>
      <c r="E7856" s="2">
        <v>12124.07</v>
      </c>
      <c r="G7856" s="3">
        <f>MONTH(Tabela1[[#This Row],[Último pagto ano]])</f>
        <v>12</v>
      </c>
      <c r="H7856" t="str">
        <f>TEXT(Tabela1[[#This Row],[Coluna2]]*29,"mmmm")</f>
        <v>dezembro</v>
      </c>
      <c r="I7856" t="str">
        <f>TEXT(MONTH(Tabela1[[#This Row],[Último pagto ano]])*29,"mmmm")</f>
        <v>dezembro</v>
      </c>
    </row>
    <row r="7857" spans="1:9" x14ac:dyDescent="0.25">
      <c r="A7857">
        <v>2025</v>
      </c>
      <c r="B7857" t="s">
        <v>15643</v>
      </c>
      <c r="C7857" s="1">
        <v>45754</v>
      </c>
      <c r="D7857" t="s">
        <v>15644</v>
      </c>
      <c r="E7857">
        <v>198</v>
      </c>
      <c r="G7857" s="3">
        <f>MONTH(Tabela1[[#This Row],[Último pagto ano]])</f>
        <v>4</v>
      </c>
      <c r="H7857" t="str">
        <f>TEXT(Tabela1[[#This Row],[Coluna2]]*29,"mmmm")</f>
        <v>abril</v>
      </c>
      <c r="I7857" t="str">
        <f>TEXT(MONTH(Tabela1[[#This Row],[Último pagto ano]])*29,"mmmm")</f>
        <v>abril</v>
      </c>
    </row>
    <row r="7858" spans="1:9" x14ac:dyDescent="0.25">
      <c r="A7858">
        <v>2025</v>
      </c>
      <c r="B7858" t="s">
        <v>15645</v>
      </c>
      <c r="C7858" s="1">
        <v>45996</v>
      </c>
      <c r="D7858" t="s">
        <v>15646</v>
      </c>
      <c r="E7858" s="2">
        <v>924339.78</v>
      </c>
      <c r="G7858" s="3">
        <f>MONTH(Tabela1[[#This Row],[Último pagto ano]])</f>
        <v>12</v>
      </c>
      <c r="H7858" t="str">
        <f>TEXT(Tabela1[[#This Row],[Coluna2]]*29,"mmmm")</f>
        <v>dezembro</v>
      </c>
      <c r="I7858" t="str">
        <f>TEXT(MONTH(Tabela1[[#This Row],[Último pagto ano]])*29,"mmmm")</f>
        <v>dezembro</v>
      </c>
    </row>
    <row r="7859" spans="1:9" x14ac:dyDescent="0.25">
      <c r="A7859">
        <v>2025</v>
      </c>
      <c r="B7859" t="s">
        <v>15647</v>
      </c>
      <c r="C7859" s="1">
        <v>45968</v>
      </c>
      <c r="D7859" t="s">
        <v>15648</v>
      </c>
      <c r="E7859" s="2">
        <v>5600</v>
      </c>
      <c r="G7859" s="3">
        <f>MONTH(Tabela1[[#This Row],[Último pagto ano]])</f>
        <v>11</v>
      </c>
      <c r="H7859" t="str">
        <f>TEXT(Tabela1[[#This Row],[Coluna2]]*29,"mmmm")</f>
        <v>novembro</v>
      </c>
      <c r="I7859" t="str">
        <f>TEXT(MONTH(Tabela1[[#This Row],[Último pagto ano]])*29,"mmmm")</f>
        <v>novembro</v>
      </c>
    </row>
    <row r="7860" spans="1:9" x14ac:dyDescent="0.25">
      <c r="A7860">
        <v>2025</v>
      </c>
      <c r="B7860" t="s">
        <v>15649</v>
      </c>
      <c r="C7860" s="1">
        <v>46014</v>
      </c>
      <c r="D7860" t="s">
        <v>15650</v>
      </c>
      <c r="E7860">
        <v>42.5</v>
      </c>
      <c r="G7860" s="3">
        <f>MONTH(Tabela1[[#This Row],[Último pagto ano]])</f>
        <v>12</v>
      </c>
      <c r="H7860" t="str">
        <f>TEXT(Tabela1[[#This Row],[Coluna2]]*29,"mmmm")</f>
        <v>dezembro</v>
      </c>
      <c r="I7860" t="str">
        <f>TEXT(MONTH(Tabela1[[#This Row],[Último pagto ano]])*29,"mmmm")</f>
        <v>dezembro</v>
      </c>
    </row>
    <row r="7861" spans="1:9" x14ac:dyDescent="0.25">
      <c r="A7861">
        <v>2025</v>
      </c>
      <c r="B7861" t="s">
        <v>15651</v>
      </c>
      <c r="C7861" s="1">
        <v>45880</v>
      </c>
      <c r="D7861" t="s">
        <v>15652</v>
      </c>
      <c r="E7861" s="2">
        <v>55020.6</v>
      </c>
      <c r="G7861" s="3">
        <f>MONTH(Tabela1[[#This Row],[Último pagto ano]])</f>
        <v>8</v>
      </c>
      <c r="H7861" t="str">
        <f>TEXT(Tabela1[[#This Row],[Coluna2]]*29,"mmmm")</f>
        <v>agosto</v>
      </c>
      <c r="I7861" t="str">
        <f>TEXT(MONTH(Tabela1[[#This Row],[Último pagto ano]])*29,"mmmm")</f>
        <v>agosto</v>
      </c>
    </row>
    <row r="7862" spans="1:9" x14ac:dyDescent="0.25">
      <c r="A7862">
        <v>2025</v>
      </c>
      <c r="B7862" t="s">
        <v>15653</v>
      </c>
      <c r="C7862" s="1">
        <v>46008</v>
      </c>
      <c r="D7862" t="s">
        <v>15654</v>
      </c>
      <c r="E7862" s="2">
        <v>320790.52</v>
      </c>
      <c r="G7862" s="3">
        <f>MONTH(Tabela1[[#This Row],[Último pagto ano]])</f>
        <v>12</v>
      </c>
      <c r="H7862" t="str">
        <f>TEXT(Tabela1[[#This Row],[Coluna2]]*29,"mmmm")</f>
        <v>dezembro</v>
      </c>
      <c r="I7862" t="str">
        <f>TEXT(MONTH(Tabela1[[#This Row],[Último pagto ano]])*29,"mmmm")</f>
        <v>dezembro</v>
      </c>
    </row>
    <row r="7863" spans="1:9" x14ac:dyDescent="0.25">
      <c r="A7863">
        <v>2025</v>
      </c>
      <c r="B7863" t="s">
        <v>15655</v>
      </c>
      <c r="C7863" s="1">
        <v>46002</v>
      </c>
      <c r="D7863" t="s">
        <v>15656</v>
      </c>
      <c r="E7863">
        <v>756</v>
      </c>
      <c r="G7863" s="3">
        <f>MONTH(Tabela1[[#This Row],[Último pagto ano]])</f>
        <v>12</v>
      </c>
      <c r="H7863" t="str">
        <f>TEXT(Tabela1[[#This Row],[Coluna2]]*29,"mmmm")</f>
        <v>dezembro</v>
      </c>
      <c r="I7863" t="str">
        <f>TEXT(MONTH(Tabela1[[#This Row],[Último pagto ano]])*29,"mmmm")</f>
        <v>dezembro</v>
      </c>
    </row>
    <row r="7864" spans="1:9" x14ac:dyDescent="0.25">
      <c r="A7864">
        <v>2025</v>
      </c>
      <c r="B7864" t="s">
        <v>15657</v>
      </c>
      <c r="C7864" s="1">
        <v>46007</v>
      </c>
      <c r="D7864" t="s">
        <v>15658</v>
      </c>
      <c r="E7864" s="2">
        <v>209051.46</v>
      </c>
      <c r="G7864" s="3">
        <f>MONTH(Tabela1[[#This Row],[Último pagto ano]])</f>
        <v>12</v>
      </c>
      <c r="H7864" t="str">
        <f>TEXT(Tabela1[[#This Row],[Coluna2]]*29,"mmmm")</f>
        <v>dezembro</v>
      </c>
      <c r="I7864" t="str">
        <f>TEXT(MONTH(Tabela1[[#This Row],[Último pagto ano]])*29,"mmmm")</f>
        <v>dezembro</v>
      </c>
    </row>
    <row r="7865" spans="1:9" x14ac:dyDescent="0.25">
      <c r="A7865">
        <v>2025</v>
      </c>
      <c r="B7865" t="s">
        <v>15659</v>
      </c>
      <c r="C7865" s="1">
        <v>45950</v>
      </c>
      <c r="D7865" t="s">
        <v>15660</v>
      </c>
      <c r="E7865" s="2">
        <v>4183.83</v>
      </c>
      <c r="G7865" s="3">
        <f>MONTH(Tabela1[[#This Row],[Último pagto ano]])</f>
        <v>10</v>
      </c>
      <c r="H7865" t="str">
        <f>TEXT(Tabela1[[#This Row],[Coluna2]]*29,"mmmm")</f>
        <v>outubro</v>
      </c>
      <c r="I7865" t="str">
        <f>TEXT(MONTH(Tabela1[[#This Row],[Último pagto ano]])*29,"mmmm")</f>
        <v>outubro</v>
      </c>
    </row>
    <row r="7866" spans="1:9" x14ac:dyDescent="0.25">
      <c r="A7866">
        <v>2025</v>
      </c>
      <c r="B7866" t="s">
        <v>15661</v>
      </c>
      <c r="C7866" s="1">
        <v>45744</v>
      </c>
      <c r="D7866" t="s">
        <v>15662</v>
      </c>
      <c r="E7866">
        <v>350</v>
      </c>
      <c r="G7866" s="3">
        <f>MONTH(Tabela1[[#This Row],[Último pagto ano]])</f>
        <v>3</v>
      </c>
      <c r="H7866" t="str">
        <f>TEXT(Tabela1[[#This Row],[Coluna2]]*29,"mmmm")</f>
        <v>março</v>
      </c>
      <c r="I7866" t="str">
        <f>TEXT(MONTH(Tabela1[[#This Row],[Último pagto ano]])*29,"mmmm")</f>
        <v>março</v>
      </c>
    </row>
    <row r="7867" spans="1:9" x14ac:dyDescent="0.25">
      <c r="A7867">
        <v>2025</v>
      </c>
      <c r="B7867" t="s">
        <v>15663</v>
      </c>
      <c r="C7867" s="1">
        <v>45831</v>
      </c>
      <c r="D7867" t="s">
        <v>15664</v>
      </c>
      <c r="E7867" s="2">
        <v>89163.7</v>
      </c>
      <c r="G7867" s="3">
        <f>MONTH(Tabela1[[#This Row],[Último pagto ano]])</f>
        <v>6</v>
      </c>
      <c r="H7867" t="str">
        <f>TEXT(Tabela1[[#This Row],[Coluna2]]*29,"mmmm")</f>
        <v>junho</v>
      </c>
      <c r="I7867" t="str">
        <f>TEXT(MONTH(Tabela1[[#This Row],[Último pagto ano]])*29,"mmmm")</f>
        <v>junho</v>
      </c>
    </row>
    <row r="7868" spans="1:9" x14ac:dyDescent="0.25">
      <c r="A7868">
        <v>2025</v>
      </c>
      <c r="B7868" t="s">
        <v>15665</v>
      </c>
      <c r="C7868" s="1">
        <v>46010</v>
      </c>
      <c r="D7868" t="s">
        <v>15666</v>
      </c>
      <c r="E7868" s="2">
        <v>308100193.38999999</v>
      </c>
      <c r="G7868" s="3">
        <f>MONTH(Tabela1[[#This Row],[Último pagto ano]])</f>
        <v>12</v>
      </c>
      <c r="H7868" t="str">
        <f>TEXT(Tabela1[[#This Row],[Coluna2]]*29,"mmmm")</f>
        <v>dezembro</v>
      </c>
      <c r="I7868" t="str">
        <f>TEXT(MONTH(Tabela1[[#This Row],[Último pagto ano]])*29,"mmmm")</f>
        <v>dezembro</v>
      </c>
    </row>
    <row r="7869" spans="1:9" x14ac:dyDescent="0.25">
      <c r="A7869">
        <v>2025</v>
      </c>
      <c r="B7869" t="s">
        <v>15667</v>
      </c>
      <c r="C7869" s="1">
        <v>45736</v>
      </c>
      <c r="D7869" t="s">
        <v>15668</v>
      </c>
      <c r="E7869">
        <v>80.97</v>
      </c>
      <c r="G7869" s="3">
        <f>MONTH(Tabela1[[#This Row],[Último pagto ano]])</f>
        <v>3</v>
      </c>
      <c r="H7869" t="str">
        <f>TEXT(Tabela1[[#This Row],[Coluna2]]*29,"mmmm")</f>
        <v>março</v>
      </c>
      <c r="I7869" t="str">
        <f>TEXT(MONTH(Tabela1[[#This Row],[Último pagto ano]])*29,"mmmm")</f>
        <v>março</v>
      </c>
    </row>
    <row r="7870" spans="1:9" x14ac:dyDescent="0.25">
      <c r="A7870">
        <v>2025</v>
      </c>
      <c r="B7870" t="s">
        <v>15669</v>
      </c>
      <c r="C7870" s="1">
        <v>46021</v>
      </c>
      <c r="D7870" t="s">
        <v>15670</v>
      </c>
      <c r="E7870" s="2">
        <v>337196.4</v>
      </c>
      <c r="G7870" s="3">
        <f>MONTH(Tabela1[[#This Row],[Último pagto ano]])</f>
        <v>12</v>
      </c>
      <c r="H7870" t="str">
        <f>TEXT(Tabela1[[#This Row],[Coluna2]]*29,"mmmm")</f>
        <v>dezembro</v>
      </c>
      <c r="I7870" t="str">
        <f>TEXT(MONTH(Tabela1[[#This Row],[Último pagto ano]])*29,"mmmm")</f>
        <v>dezembro</v>
      </c>
    </row>
    <row r="7871" spans="1:9" x14ac:dyDescent="0.25">
      <c r="A7871">
        <v>2025</v>
      </c>
      <c r="B7871" t="s">
        <v>15671</v>
      </c>
      <c r="C7871" s="1">
        <v>45838</v>
      </c>
      <c r="D7871" t="s">
        <v>15672</v>
      </c>
      <c r="E7871" s="2">
        <v>20000</v>
      </c>
      <c r="G7871" s="3">
        <f>MONTH(Tabela1[[#This Row],[Último pagto ano]])</f>
        <v>6</v>
      </c>
      <c r="H7871" t="str">
        <f>TEXT(Tabela1[[#This Row],[Coluna2]]*29,"mmmm")</f>
        <v>junho</v>
      </c>
      <c r="I7871" t="str">
        <f>TEXT(MONTH(Tabela1[[#This Row],[Último pagto ano]])*29,"mmmm")</f>
        <v>junho</v>
      </c>
    </row>
    <row r="7872" spans="1:9" x14ac:dyDescent="0.25">
      <c r="A7872">
        <v>2025</v>
      </c>
      <c r="B7872" t="s">
        <v>15673</v>
      </c>
      <c r="C7872" s="1">
        <v>45971</v>
      </c>
      <c r="D7872" t="s">
        <v>15674</v>
      </c>
      <c r="E7872">
        <v>63.93</v>
      </c>
      <c r="G7872" s="3">
        <f>MONTH(Tabela1[[#This Row],[Último pagto ano]])</f>
        <v>11</v>
      </c>
      <c r="H7872" t="str">
        <f>TEXT(Tabela1[[#This Row],[Coluna2]]*29,"mmmm")</f>
        <v>novembro</v>
      </c>
      <c r="I7872" t="str">
        <f>TEXT(MONTH(Tabela1[[#This Row],[Último pagto ano]])*29,"mmmm")</f>
        <v>novembro</v>
      </c>
    </row>
    <row r="7873" spans="1:9" x14ac:dyDescent="0.25">
      <c r="A7873">
        <v>2025</v>
      </c>
      <c r="B7873" t="s">
        <v>15675</v>
      </c>
      <c r="C7873" s="1">
        <v>46006</v>
      </c>
      <c r="D7873" t="s">
        <v>15676</v>
      </c>
      <c r="E7873" s="2">
        <v>18940</v>
      </c>
      <c r="G7873" s="3">
        <f>MONTH(Tabela1[[#This Row],[Último pagto ano]])</f>
        <v>12</v>
      </c>
      <c r="H7873" t="str">
        <f>TEXT(Tabela1[[#This Row],[Coluna2]]*29,"mmmm")</f>
        <v>dezembro</v>
      </c>
      <c r="I7873" t="str">
        <f>TEXT(MONTH(Tabela1[[#This Row],[Último pagto ano]])*29,"mmmm")</f>
        <v>dezembro</v>
      </c>
    </row>
    <row r="7874" spans="1:9" x14ac:dyDescent="0.25">
      <c r="A7874">
        <v>2025</v>
      </c>
      <c r="B7874" t="s">
        <v>15677</v>
      </c>
      <c r="C7874" s="1">
        <v>45733</v>
      </c>
      <c r="D7874" t="s">
        <v>15678</v>
      </c>
      <c r="E7874">
        <v>280</v>
      </c>
      <c r="G7874" s="3">
        <f>MONTH(Tabela1[[#This Row],[Último pagto ano]])</f>
        <v>3</v>
      </c>
      <c r="H7874" t="str">
        <f>TEXT(Tabela1[[#This Row],[Coluna2]]*29,"mmmm")</f>
        <v>março</v>
      </c>
      <c r="I7874" t="str">
        <f>TEXT(MONTH(Tabela1[[#This Row],[Último pagto ano]])*29,"mmmm")</f>
        <v>março</v>
      </c>
    </row>
    <row r="7875" spans="1:9" x14ac:dyDescent="0.25">
      <c r="A7875">
        <v>2025</v>
      </c>
      <c r="B7875" t="s">
        <v>15679</v>
      </c>
      <c r="C7875" s="1">
        <v>45959</v>
      </c>
      <c r="D7875" t="s">
        <v>15680</v>
      </c>
      <c r="E7875" s="2">
        <v>33700</v>
      </c>
      <c r="G7875" s="3">
        <f>MONTH(Tabela1[[#This Row],[Último pagto ano]])</f>
        <v>10</v>
      </c>
      <c r="H7875" t="str">
        <f>TEXT(Tabela1[[#This Row],[Coluna2]]*29,"mmmm")</f>
        <v>outubro</v>
      </c>
      <c r="I7875" t="str">
        <f>TEXT(MONTH(Tabela1[[#This Row],[Último pagto ano]])*29,"mmmm")</f>
        <v>outubro</v>
      </c>
    </row>
    <row r="7876" spans="1:9" x14ac:dyDescent="0.25">
      <c r="A7876">
        <v>2025</v>
      </c>
      <c r="B7876" t="s">
        <v>15681</v>
      </c>
      <c r="C7876" s="1">
        <v>45796</v>
      </c>
      <c r="D7876" t="s">
        <v>15682</v>
      </c>
      <c r="E7876">
        <v>876.68</v>
      </c>
      <c r="G7876" s="3">
        <f>MONTH(Tabela1[[#This Row],[Último pagto ano]])</f>
        <v>5</v>
      </c>
      <c r="H7876" t="str">
        <f>TEXT(Tabela1[[#This Row],[Coluna2]]*29,"mmmm")</f>
        <v>maio</v>
      </c>
      <c r="I7876" t="str">
        <f>TEXT(MONTH(Tabela1[[#This Row],[Último pagto ano]])*29,"mmmm")</f>
        <v>maio</v>
      </c>
    </row>
    <row r="7877" spans="1:9" x14ac:dyDescent="0.25">
      <c r="A7877">
        <v>2025</v>
      </c>
      <c r="B7877" t="s">
        <v>15683</v>
      </c>
      <c r="C7877" s="1">
        <v>46014</v>
      </c>
      <c r="D7877" t="s">
        <v>15684</v>
      </c>
      <c r="E7877" s="2">
        <v>1024553.16</v>
      </c>
      <c r="G7877" s="3">
        <f>MONTH(Tabela1[[#This Row],[Último pagto ano]])</f>
        <v>12</v>
      </c>
      <c r="H7877" t="str">
        <f>TEXT(Tabela1[[#This Row],[Coluna2]]*29,"mmmm")</f>
        <v>dezembro</v>
      </c>
      <c r="I7877" t="str">
        <f>TEXT(MONTH(Tabela1[[#This Row],[Último pagto ano]])*29,"mmmm")</f>
        <v>dezembro</v>
      </c>
    </row>
    <row r="7878" spans="1:9" x14ac:dyDescent="0.25">
      <c r="A7878">
        <v>2025</v>
      </c>
      <c r="B7878" t="s">
        <v>15685</v>
      </c>
      <c r="C7878" s="1">
        <v>45876</v>
      </c>
      <c r="D7878" t="s">
        <v>15686</v>
      </c>
      <c r="E7878" s="2">
        <v>2288</v>
      </c>
      <c r="G7878" s="3">
        <f>MONTH(Tabela1[[#This Row],[Último pagto ano]])</f>
        <v>8</v>
      </c>
      <c r="H7878" t="str">
        <f>TEXT(Tabela1[[#This Row],[Coluna2]]*29,"mmmm")</f>
        <v>agosto</v>
      </c>
      <c r="I7878" t="str">
        <f>TEXT(MONTH(Tabela1[[#This Row],[Último pagto ano]])*29,"mmmm")</f>
        <v>agosto</v>
      </c>
    </row>
    <row r="7879" spans="1:9" x14ac:dyDescent="0.25">
      <c r="A7879">
        <v>2025</v>
      </c>
      <c r="B7879" t="s">
        <v>15687</v>
      </c>
      <c r="C7879" s="1">
        <v>45702</v>
      </c>
      <c r="D7879" t="s">
        <v>15688</v>
      </c>
      <c r="E7879">
        <v>15.99</v>
      </c>
      <c r="G7879" s="3">
        <f>MONTH(Tabela1[[#This Row],[Último pagto ano]])</f>
        <v>2</v>
      </c>
      <c r="H7879" t="str">
        <f>TEXT(Tabela1[[#This Row],[Coluna2]]*29,"mmmm")</f>
        <v>fevereiro</v>
      </c>
      <c r="I7879" t="str">
        <f>TEXT(MONTH(Tabela1[[#This Row],[Último pagto ano]])*29,"mmmm")</f>
        <v>fevereiro</v>
      </c>
    </row>
    <row r="7880" spans="1:9" x14ac:dyDescent="0.25">
      <c r="A7880">
        <v>2025</v>
      </c>
      <c r="B7880" t="s">
        <v>15689</v>
      </c>
      <c r="C7880" s="1">
        <v>45996</v>
      </c>
      <c r="D7880" t="s">
        <v>15690</v>
      </c>
      <c r="E7880" s="2">
        <v>9000</v>
      </c>
      <c r="G7880" s="3">
        <f>MONTH(Tabela1[[#This Row],[Último pagto ano]])</f>
        <v>12</v>
      </c>
      <c r="H7880" t="str">
        <f>TEXT(Tabela1[[#This Row],[Coluna2]]*29,"mmmm")</f>
        <v>dezembro</v>
      </c>
      <c r="I7880" t="str">
        <f>TEXT(MONTH(Tabela1[[#This Row],[Último pagto ano]])*29,"mmmm")</f>
        <v>dezembro</v>
      </c>
    </row>
    <row r="7881" spans="1:9" x14ac:dyDescent="0.25">
      <c r="A7881">
        <v>2025</v>
      </c>
      <c r="B7881" t="s">
        <v>15691</v>
      </c>
      <c r="C7881" s="1">
        <v>45677</v>
      </c>
      <c r="D7881" t="s">
        <v>15692</v>
      </c>
      <c r="E7881" s="2">
        <v>12500</v>
      </c>
      <c r="G7881" s="3">
        <f>MONTH(Tabela1[[#This Row],[Último pagto ano]])</f>
        <v>1</v>
      </c>
      <c r="H7881" t="str">
        <f>TEXT(Tabela1[[#This Row],[Coluna2]]*29,"mmmm")</f>
        <v>janeiro</v>
      </c>
      <c r="I7881" t="str">
        <f>TEXT(MONTH(Tabela1[[#This Row],[Último pagto ano]])*29,"mmmm")</f>
        <v>janeiro</v>
      </c>
    </row>
    <row r="7882" spans="1:9" x14ac:dyDescent="0.25">
      <c r="A7882">
        <v>2025</v>
      </c>
      <c r="B7882" t="s">
        <v>15693</v>
      </c>
      <c r="C7882" s="1">
        <v>46002</v>
      </c>
      <c r="D7882" t="s">
        <v>15694</v>
      </c>
      <c r="E7882" s="2">
        <v>144194.96</v>
      </c>
      <c r="G7882" s="3">
        <f>MONTH(Tabela1[[#This Row],[Último pagto ano]])</f>
        <v>12</v>
      </c>
      <c r="H7882" t="str">
        <f>TEXT(Tabela1[[#This Row],[Coluna2]]*29,"mmmm")</f>
        <v>dezembro</v>
      </c>
      <c r="I7882" t="str">
        <f>TEXT(MONTH(Tabela1[[#This Row],[Último pagto ano]])*29,"mmmm")</f>
        <v>dezembro</v>
      </c>
    </row>
    <row r="7883" spans="1:9" x14ac:dyDescent="0.25">
      <c r="A7883">
        <v>2025</v>
      </c>
      <c r="B7883" t="s">
        <v>15695</v>
      </c>
      <c r="C7883" s="1">
        <v>46021</v>
      </c>
      <c r="D7883" t="s">
        <v>15696</v>
      </c>
      <c r="E7883" s="2">
        <v>11134.5</v>
      </c>
      <c r="G7883" s="3">
        <f>MONTH(Tabela1[[#This Row],[Último pagto ano]])</f>
        <v>12</v>
      </c>
      <c r="H7883" t="str">
        <f>TEXT(Tabela1[[#This Row],[Coluna2]]*29,"mmmm")</f>
        <v>dezembro</v>
      </c>
      <c r="I7883" t="str">
        <f>TEXT(MONTH(Tabela1[[#This Row],[Último pagto ano]])*29,"mmmm")</f>
        <v>dezembro</v>
      </c>
    </row>
    <row r="7884" spans="1:9" x14ac:dyDescent="0.25">
      <c r="A7884">
        <v>2025</v>
      </c>
      <c r="B7884" t="s">
        <v>15697</v>
      </c>
      <c r="C7884" s="1">
        <v>45673</v>
      </c>
      <c r="D7884" t="s">
        <v>15698</v>
      </c>
      <c r="E7884">
        <v>449</v>
      </c>
      <c r="G7884" s="3">
        <f>MONTH(Tabela1[[#This Row],[Último pagto ano]])</f>
        <v>1</v>
      </c>
      <c r="H7884" t="str">
        <f>TEXT(Tabela1[[#This Row],[Coluna2]]*29,"mmmm")</f>
        <v>janeiro</v>
      </c>
      <c r="I7884" t="str">
        <f>TEXT(MONTH(Tabela1[[#This Row],[Último pagto ano]])*29,"mmmm")</f>
        <v>janeiro</v>
      </c>
    </row>
    <row r="7885" spans="1:9" x14ac:dyDescent="0.25">
      <c r="A7885">
        <v>2025</v>
      </c>
      <c r="B7885" t="s">
        <v>15699</v>
      </c>
      <c r="C7885" s="1">
        <v>45744</v>
      </c>
      <c r="D7885" t="s">
        <v>15700</v>
      </c>
      <c r="E7885" s="2">
        <v>2212.65</v>
      </c>
      <c r="G7885" s="3">
        <f>MONTH(Tabela1[[#This Row],[Último pagto ano]])</f>
        <v>3</v>
      </c>
      <c r="H7885" t="str">
        <f>TEXT(Tabela1[[#This Row],[Coluna2]]*29,"mmmm")</f>
        <v>março</v>
      </c>
      <c r="I7885" t="str">
        <f>TEXT(MONTH(Tabela1[[#This Row],[Último pagto ano]])*29,"mmmm")</f>
        <v>março</v>
      </c>
    </row>
    <row r="7886" spans="1:9" x14ac:dyDescent="0.25">
      <c r="A7886">
        <v>2025</v>
      </c>
      <c r="B7886" t="s">
        <v>15701</v>
      </c>
      <c r="C7886" s="1">
        <v>45845</v>
      </c>
      <c r="D7886" t="s">
        <v>15702</v>
      </c>
      <c r="E7886" s="2">
        <v>14000</v>
      </c>
      <c r="G7886" s="3">
        <f>MONTH(Tabela1[[#This Row],[Último pagto ano]])</f>
        <v>7</v>
      </c>
      <c r="H7886" t="str">
        <f>TEXT(Tabela1[[#This Row],[Coluna2]]*29,"mmmm")</f>
        <v>julho</v>
      </c>
      <c r="I7886" t="str">
        <f>TEXT(MONTH(Tabela1[[#This Row],[Último pagto ano]])*29,"mmmm")</f>
        <v>julho</v>
      </c>
    </row>
    <row r="7887" spans="1:9" x14ac:dyDescent="0.25">
      <c r="A7887">
        <v>2025</v>
      </c>
      <c r="B7887" t="s">
        <v>15703</v>
      </c>
      <c r="C7887" s="1">
        <v>45989</v>
      </c>
      <c r="D7887" t="s">
        <v>15704</v>
      </c>
      <c r="E7887" s="2">
        <v>10669.77</v>
      </c>
      <c r="G7887" s="3">
        <f>MONTH(Tabela1[[#This Row],[Último pagto ano]])</f>
        <v>11</v>
      </c>
      <c r="H7887" t="str">
        <f>TEXT(Tabela1[[#This Row],[Coluna2]]*29,"mmmm")</f>
        <v>novembro</v>
      </c>
      <c r="I7887" t="str">
        <f>TEXT(MONTH(Tabela1[[#This Row],[Último pagto ano]])*29,"mmmm")</f>
        <v>novembro</v>
      </c>
    </row>
    <row r="7888" spans="1:9" x14ac:dyDescent="0.25">
      <c r="A7888">
        <v>2025</v>
      </c>
      <c r="B7888" t="s">
        <v>15705</v>
      </c>
      <c r="C7888" s="1">
        <v>46006</v>
      </c>
      <c r="D7888" t="s">
        <v>15706</v>
      </c>
      <c r="E7888">
        <v>888.48</v>
      </c>
      <c r="G7888" s="3">
        <f>MONTH(Tabela1[[#This Row],[Último pagto ano]])</f>
        <v>12</v>
      </c>
      <c r="H7888" t="str">
        <f>TEXT(Tabela1[[#This Row],[Coluna2]]*29,"mmmm")</f>
        <v>dezembro</v>
      </c>
      <c r="I7888" t="str">
        <f>TEXT(MONTH(Tabela1[[#This Row],[Último pagto ano]])*29,"mmmm")</f>
        <v>dezembro</v>
      </c>
    </row>
    <row r="7889" spans="1:9" x14ac:dyDescent="0.25">
      <c r="A7889">
        <v>2025</v>
      </c>
      <c r="B7889" t="s">
        <v>15707</v>
      </c>
      <c r="C7889" s="1">
        <v>46021</v>
      </c>
      <c r="D7889" t="s">
        <v>15708</v>
      </c>
      <c r="E7889" s="2">
        <v>4866.53</v>
      </c>
      <c r="G7889" s="3">
        <f>MONTH(Tabela1[[#This Row],[Último pagto ano]])</f>
        <v>12</v>
      </c>
      <c r="H7889" t="str">
        <f>TEXT(Tabela1[[#This Row],[Coluna2]]*29,"mmmm")</f>
        <v>dezembro</v>
      </c>
      <c r="I7889" t="str">
        <f>TEXT(MONTH(Tabela1[[#This Row],[Último pagto ano]])*29,"mmmm")</f>
        <v>dezembro</v>
      </c>
    </row>
    <row r="7890" spans="1:9" x14ac:dyDescent="0.25">
      <c r="A7890">
        <v>2025</v>
      </c>
      <c r="B7890" t="s">
        <v>15709</v>
      </c>
      <c r="C7890" s="1">
        <v>46006</v>
      </c>
      <c r="D7890" t="s">
        <v>15710</v>
      </c>
      <c r="E7890" s="2">
        <v>28987.3</v>
      </c>
      <c r="G7890" s="3">
        <f>MONTH(Tabela1[[#This Row],[Último pagto ano]])</f>
        <v>12</v>
      </c>
      <c r="H7890" t="str">
        <f>TEXT(Tabela1[[#This Row],[Coluna2]]*29,"mmmm")</f>
        <v>dezembro</v>
      </c>
      <c r="I7890" t="str">
        <f>TEXT(MONTH(Tabela1[[#This Row],[Último pagto ano]])*29,"mmmm")</f>
        <v>dezembro</v>
      </c>
    </row>
    <row r="7891" spans="1:9" x14ac:dyDescent="0.25">
      <c r="A7891">
        <v>2025</v>
      </c>
      <c r="B7891" t="s">
        <v>15711</v>
      </c>
      <c r="C7891" s="1">
        <v>46021</v>
      </c>
      <c r="D7891" t="s">
        <v>15712</v>
      </c>
      <c r="E7891" s="2">
        <v>15510</v>
      </c>
      <c r="G7891" s="3">
        <f>MONTH(Tabela1[[#This Row],[Último pagto ano]])</f>
        <v>12</v>
      </c>
      <c r="H7891" t="str">
        <f>TEXT(Tabela1[[#This Row],[Coluna2]]*29,"mmmm")</f>
        <v>dezembro</v>
      </c>
      <c r="I7891" t="str">
        <f>TEXT(MONTH(Tabela1[[#This Row],[Último pagto ano]])*29,"mmmm")</f>
        <v>dezembro</v>
      </c>
    </row>
    <row r="7892" spans="1:9" x14ac:dyDescent="0.25">
      <c r="A7892">
        <v>2025</v>
      </c>
      <c r="B7892" t="s">
        <v>15713</v>
      </c>
      <c r="C7892" s="1">
        <v>46007</v>
      </c>
      <c r="D7892" t="s">
        <v>15714</v>
      </c>
      <c r="E7892" s="2">
        <v>13720</v>
      </c>
      <c r="G7892" s="3">
        <f>MONTH(Tabela1[[#This Row],[Último pagto ano]])</f>
        <v>12</v>
      </c>
      <c r="H7892" t="str">
        <f>TEXT(Tabela1[[#This Row],[Coluna2]]*29,"mmmm")</f>
        <v>dezembro</v>
      </c>
      <c r="I7892" t="str">
        <f>TEXT(MONTH(Tabela1[[#This Row],[Último pagto ano]])*29,"mmmm")</f>
        <v>dezembro</v>
      </c>
    </row>
    <row r="7893" spans="1:9" x14ac:dyDescent="0.25">
      <c r="A7893">
        <v>2025</v>
      </c>
      <c r="B7893" t="s">
        <v>15715</v>
      </c>
      <c r="C7893" s="1">
        <v>46010</v>
      </c>
      <c r="D7893" t="s">
        <v>15716</v>
      </c>
      <c r="E7893" s="2">
        <v>24000</v>
      </c>
      <c r="G7893" s="3">
        <f>MONTH(Tabela1[[#This Row],[Último pagto ano]])</f>
        <v>12</v>
      </c>
      <c r="H7893" t="str">
        <f>TEXT(Tabela1[[#This Row],[Coluna2]]*29,"mmmm")</f>
        <v>dezembro</v>
      </c>
      <c r="I7893" t="str">
        <f>TEXT(MONTH(Tabela1[[#This Row],[Último pagto ano]])*29,"mmmm")</f>
        <v>dezembro</v>
      </c>
    </row>
    <row r="7894" spans="1:9" x14ac:dyDescent="0.25">
      <c r="A7894">
        <v>2025</v>
      </c>
      <c r="B7894" t="s">
        <v>15717</v>
      </c>
      <c r="C7894" s="1">
        <v>45999</v>
      </c>
      <c r="D7894" t="s">
        <v>15718</v>
      </c>
      <c r="E7894">
        <v>132</v>
      </c>
      <c r="G7894" s="3">
        <f>MONTH(Tabela1[[#This Row],[Último pagto ano]])</f>
        <v>12</v>
      </c>
      <c r="H7894" t="str">
        <f>TEXT(Tabela1[[#This Row],[Coluna2]]*29,"mmmm")</f>
        <v>dezembro</v>
      </c>
      <c r="I7894" t="str">
        <f>TEXT(MONTH(Tabela1[[#This Row],[Último pagto ano]])*29,"mmmm")</f>
        <v>dezembro</v>
      </c>
    </row>
    <row r="7895" spans="1:9" x14ac:dyDescent="0.25">
      <c r="A7895">
        <v>2025</v>
      </c>
      <c r="B7895" t="s">
        <v>15719</v>
      </c>
      <c r="C7895" s="1">
        <v>45901</v>
      </c>
      <c r="D7895" t="s">
        <v>15720</v>
      </c>
      <c r="E7895">
        <v>88</v>
      </c>
      <c r="G7895" s="3">
        <f>MONTH(Tabela1[[#This Row],[Último pagto ano]])</f>
        <v>9</v>
      </c>
      <c r="H7895" t="str">
        <f>TEXT(Tabela1[[#This Row],[Coluna2]]*29,"mmmm")</f>
        <v>setembro</v>
      </c>
      <c r="I7895" t="str">
        <f>TEXT(MONTH(Tabela1[[#This Row],[Último pagto ano]])*29,"mmmm")</f>
        <v>setembro</v>
      </c>
    </row>
    <row r="7896" spans="1:9" x14ac:dyDescent="0.25">
      <c r="A7896">
        <v>2025</v>
      </c>
      <c r="B7896" t="s">
        <v>15721</v>
      </c>
      <c r="C7896" s="1">
        <v>45915</v>
      </c>
      <c r="D7896" t="s">
        <v>15722</v>
      </c>
      <c r="E7896" s="2">
        <v>1184.6400000000001</v>
      </c>
      <c r="G7896" s="3">
        <f>MONTH(Tabela1[[#This Row],[Último pagto ano]])</f>
        <v>9</v>
      </c>
      <c r="H7896" t="str">
        <f>TEXT(Tabela1[[#This Row],[Coluna2]]*29,"mmmm")</f>
        <v>setembro</v>
      </c>
      <c r="I7896" t="str">
        <f>TEXT(MONTH(Tabela1[[#This Row],[Último pagto ano]])*29,"mmmm")</f>
        <v>setembro</v>
      </c>
    </row>
    <row r="7897" spans="1:9" x14ac:dyDescent="0.25">
      <c r="A7897">
        <v>2025</v>
      </c>
      <c r="B7897" t="s">
        <v>15723</v>
      </c>
      <c r="C7897" s="1">
        <v>45999</v>
      </c>
      <c r="D7897" t="s">
        <v>15724</v>
      </c>
      <c r="E7897">
        <v>44</v>
      </c>
      <c r="G7897" s="3">
        <f>MONTH(Tabela1[[#This Row],[Último pagto ano]])</f>
        <v>12</v>
      </c>
      <c r="H7897" t="str">
        <f>TEXT(Tabela1[[#This Row],[Coluna2]]*29,"mmmm")</f>
        <v>dezembro</v>
      </c>
      <c r="I7897" t="str">
        <f>TEXT(MONTH(Tabela1[[#This Row],[Último pagto ano]])*29,"mmmm")</f>
        <v>dezembro</v>
      </c>
    </row>
    <row r="7898" spans="1:9" x14ac:dyDescent="0.25">
      <c r="A7898">
        <v>2025</v>
      </c>
      <c r="B7898" t="s">
        <v>15725</v>
      </c>
      <c r="C7898" s="1">
        <v>45996</v>
      </c>
      <c r="D7898" t="s">
        <v>15726</v>
      </c>
      <c r="E7898" s="2">
        <v>9400</v>
      </c>
      <c r="G7898" s="3">
        <f>MONTH(Tabela1[[#This Row],[Último pagto ano]])</f>
        <v>12</v>
      </c>
      <c r="H7898" t="str">
        <f>TEXT(Tabela1[[#This Row],[Coluna2]]*29,"mmmm")</f>
        <v>dezembro</v>
      </c>
      <c r="I7898" t="str">
        <f>TEXT(MONTH(Tabela1[[#This Row],[Último pagto ano]])*29,"mmmm")</f>
        <v>dezembro</v>
      </c>
    </row>
    <row r="7899" spans="1:9" x14ac:dyDescent="0.25">
      <c r="A7899">
        <v>2025</v>
      </c>
      <c r="B7899" t="s">
        <v>15727</v>
      </c>
      <c r="C7899" s="1">
        <v>45702</v>
      </c>
      <c r="D7899" t="s">
        <v>15728</v>
      </c>
      <c r="E7899">
        <v>1.6</v>
      </c>
      <c r="G7899" s="3">
        <f>MONTH(Tabela1[[#This Row],[Último pagto ano]])</f>
        <v>2</v>
      </c>
      <c r="H7899" t="str">
        <f>TEXT(Tabela1[[#This Row],[Coluna2]]*29,"mmmm")</f>
        <v>fevereiro</v>
      </c>
      <c r="I7899" t="str">
        <f>TEXT(MONTH(Tabela1[[#This Row],[Último pagto ano]])*29,"mmmm")</f>
        <v>fevereiro</v>
      </c>
    </row>
    <row r="7900" spans="1:9" x14ac:dyDescent="0.25">
      <c r="A7900">
        <v>2025</v>
      </c>
      <c r="B7900" t="s">
        <v>15729</v>
      </c>
      <c r="C7900" s="1">
        <v>46013</v>
      </c>
      <c r="D7900" t="s">
        <v>15730</v>
      </c>
      <c r="E7900" s="2">
        <v>5217</v>
      </c>
      <c r="G7900" s="3">
        <f>MONTH(Tabela1[[#This Row],[Último pagto ano]])</f>
        <v>12</v>
      </c>
      <c r="H7900" t="str">
        <f>TEXT(Tabela1[[#This Row],[Coluna2]]*29,"mmmm")</f>
        <v>dezembro</v>
      </c>
      <c r="I7900" t="str">
        <f>TEXT(MONTH(Tabela1[[#This Row],[Último pagto ano]])*29,"mmmm")</f>
        <v>dezembro</v>
      </c>
    </row>
    <row r="7901" spans="1:9" x14ac:dyDescent="0.25">
      <c r="A7901">
        <v>2025</v>
      </c>
      <c r="B7901" t="s">
        <v>15731</v>
      </c>
      <c r="C7901" s="1">
        <v>45989</v>
      </c>
      <c r="D7901" t="s">
        <v>15732</v>
      </c>
      <c r="E7901" s="2">
        <v>7587.03</v>
      </c>
      <c r="G7901" s="3">
        <f>MONTH(Tabela1[[#This Row],[Último pagto ano]])</f>
        <v>11</v>
      </c>
      <c r="H7901" t="str">
        <f>TEXT(Tabela1[[#This Row],[Coluna2]]*29,"mmmm")</f>
        <v>novembro</v>
      </c>
      <c r="I7901" t="str">
        <f>TEXT(MONTH(Tabela1[[#This Row],[Último pagto ano]])*29,"mmmm")</f>
        <v>novembro</v>
      </c>
    </row>
    <row r="7902" spans="1:9" x14ac:dyDescent="0.25">
      <c r="A7902">
        <v>2025</v>
      </c>
      <c r="B7902" t="s">
        <v>15733</v>
      </c>
      <c r="C7902" s="1">
        <v>45985</v>
      </c>
      <c r="D7902" t="s">
        <v>15734</v>
      </c>
      <c r="E7902">
        <v>211.6</v>
      </c>
      <c r="G7902" s="3">
        <f>MONTH(Tabela1[[#This Row],[Último pagto ano]])</f>
        <v>11</v>
      </c>
      <c r="H7902" t="str">
        <f>TEXT(Tabela1[[#This Row],[Coluna2]]*29,"mmmm")</f>
        <v>novembro</v>
      </c>
      <c r="I7902" t="str">
        <f>TEXT(MONTH(Tabela1[[#This Row],[Último pagto ano]])*29,"mmmm")</f>
        <v>novembro</v>
      </c>
    </row>
    <row r="7903" spans="1:9" x14ac:dyDescent="0.25">
      <c r="A7903">
        <v>2025</v>
      </c>
      <c r="B7903" t="s">
        <v>15735</v>
      </c>
      <c r="C7903" s="1">
        <v>45989</v>
      </c>
      <c r="D7903" t="s">
        <v>15736</v>
      </c>
      <c r="E7903" s="2">
        <v>11689.18</v>
      </c>
      <c r="G7903" s="3">
        <f>MONTH(Tabela1[[#This Row],[Último pagto ano]])</f>
        <v>11</v>
      </c>
      <c r="H7903" t="str">
        <f>TEXT(Tabela1[[#This Row],[Coluna2]]*29,"mmmm")</f>
        <v>novembro</v>
      </c>
      <c r="I7903" t="str">
        <f>TEXT(MONTH(Tabela1[[#This Row],[Último pagto ano]])*29,"mmmm")</f>
        <v>novembro</v>
      </c>
    </row>
    <row r="7904" spans="1:9" x14ac:dyDescent="0.25">
      <c r="A7904">
        <v>2025</v>
      </c>
      <c r="B7904" t="s">
        <v>15737</v>
      </c>
      <c r="C7904" s="1">
        <v>45817</v>
      </c>
      <c r="D7904" t="s">
        <v>15738</v>
      </c>
      <c r="E7904">
        <v>44</v>
      </c>
      <c r="G7904" s="3">
        <f>MONTH(Tabela1[[#This Row],[Último pagto ano]])</f>
        <v>6</v>
      </c>
      <c r="H7904" t="str">
        <f>TEXT(Tabela1[[#This Row],[Coluna2]]*29,"mmmm")</f>
        <v>junho</v>
      </c>
      <c r="I7904" t="str">
        <f>TEXT(MONTH(Tabela1[[#This Row],[Último pagto ano]])*29,"mmmm")</f>
        <v>junho</v>
      </c>
    </row>
    <row r="7905" spans="1:9" x14ac:dyDescent="0.25">
      <c r="A7905">
        <v>2025</v>
      </c>
      <c r="B7905" t="s">
        <v>15739</v>
      </c>
      <c r="C7905" s="1">
        <v>45771</v>
      </c>
      <c r="D7905" t="s">
        <v>15740</v>
      </c>
      <c r="E7905" s="2">
        <v>22039.200000000001</v>
      </c>
      <c r="G7905" s="3">
        <f>MONTH(Tabela1[[#This Row],[Último pagto ano]])</f>
        <v>4</v>
      </c>
      <c r="H7905" t="str">
        <f>TEXT(Tabela1[[#This Row],[Coluna2]]*29,"mmmm")</f>
        <v>abril</v>
      </c>
      <c r="I7905" t="str">
        <f>TEXT(MONTH(Tabela1[[#This Row],[Último pagto ano]])*29,"mmmm")</f>
        <v>abril</v>
      </c>
    </row>
    <row r="7906" spans="1:9" x14ac:dyDescent="0.25">
      <c r="A7906">
        <v>2025</v>
      </c>
      <c r="B7906" t="s">
        <v>15741</v>
      </c>
      <c r="C7906" s="1">
        <v>46014</v>
      </c>
      <c r="D7906" t="s">
        <v>15742</v>
      </c>
      <c r="E7906">
        <v>22</v>
      </c>
      <c r="G7906" s="3">
        <f>MONTH(Tabela1[[#This Row],[Último pagto ano]])</f>
        <v>12</v>
      </c>
      <c r="H7906" t="str">
        <f>TEXT(Tabela1[[#This Row],[Coluna2]]*29,"mmmm")</f>
        <v>dezembro</v>
      </c>
      <c r="I7906" t="str">
        <f>TEXT(MONTH(Tabela1[[#This Row],[Último pagto ano]])*29,"mmmm")</f>
        <v>dezembro</v>
      </c>
    </row>
    <row r="7907" spans="1:9" x14ac:dyDescent="0.25">
      <c r="A7907">
        <v>2025</v>
      </c>
      <c r="B7907" t="s">
        <v>15743</v>
      </c>
      <c r="C7907" s="1">
        <v>45841</v>
      </c>
      <c r="D7907" t="s">
        <v>15744</v>
      </c>
      <c r="E7907">
        <v>3.91</v>
      </c>
      <c r="G7907" s="3">
        <f>MONTH(Tabela1[[#This Row],[Último pagto ano]])</f>
        <v>7</v>
      </c>
      <c r="H7907" t="str">
        <f>TEXT(Tabela1[[#This Row],[Coluna2]]*29,"mmmm")</f>
        <v>julho</v>
      </c>
      <c r="I7907" t="str">
        <f>TEXT(MONTH(Tabela1[[#This Row],[Último pagto ano]])*29,"mmmm")</f>
        <v>julho</v>
      </c>
    </row>
    <row r="7908" spans="1:9" x14ac:dyDescent="0.25">
      <c r="A7908">
        <v>2025</v>
      </c>
      <c r="B7908" t="s">
        <v>15745</v>
      </c>
      <c r="C7908" s="1">
        <v>46008</v>
      </c>
      <c r="D7908" t="s">
        <v>15746</v>
      </c>
      <c r="E7908" s="2">
        <v>11352</v>
      </c>
      <c r="G7908" s="3">
        <f>MONTH(Tabela1[[#This Row],[Último pagto ano]])</f>
        <v>12</v>
      </c>
      <c r="H7908" t="str">
        <f>TEXT(Tabela1[[#This Row],[Coluna2]]*29,"mmmm")</f>
        <v>dezembro</v>
      </c>
      <c r="I7908" t="str">
        <f>TEXT(MONTH(Tabela1[[#This Row],[Último pagto ano]])*29,"mmmm")</f>
        <v>dezembro</v>
      </c>
    </row>
    <row r="7909" spans="1:9" x14ac:dyDescent="0.25">
      <c r="A7909">
        <v>2025</v>
      </c>
      <c r="B7909" t="s">
        <v>15747</v>
      </c>
      <c r="C7909" s="1">
        <v>45849</v>
      </c>
      <c r="D7909" t="s">
        <v>15748</v>
      </c>
      <c r="E7909" s="2">
        <v>1500</v>
      </c>
      <c r="G7909" s="3">
        <f>MONTH(Tabela1[[#This Row],[Último pagto ano]])</f>
        <v>7</v>
      </c>
      <c r="H7909" t="str">
        <f>TEXT(Tabela1[[#This Row],[Coluna2]]*29,"mmmm")</f>
        <v>julho</v>
      </c>
      <c r="I7909" t="str">
        <f>TEXT(MONTH(Tabela1[[#This Row],[Último pagto ano]])*29,"mmmm")</f>
        <v>julho</v>
      </c>
    </row>
    <row r="7910" spans="1:9" x14ac:dyDescent="0.25">
      <c r="A7910">
        <v>2025</v>
      </c>
      <c r="B7910" t="s">
        <v>15749</v>
      </c>
      <c r="C7910" s="1">
        <v>45923</v>
      </c>
      <c r="D7910" t="s">
        <v>15750</v>
      </c>
      <c r="E7910" s="2">
        <v>5091.03</v>
      </c>
      <c r="G7910" s="3">
        <f>MONTH(Tabela1[[#This Row],[Último pagto ano]])</f>
        <v>9</v>
      </c>
      <c r="H7910" t="str">
        <f>TEXT(Tabela1[[#This Row],[Coluna2]]*29,"mmmm")</f>
        <v>setembro</v>
      </c>
      <c r="I7910" t="str">
        <f>TEXT(MONTH(Tabela1[[#This Row],[Último pagto ano]])*29,"mmmm")</f>
        <v>setembro</v>
      </c>
    </row>
    <row r="7911" spans="1:9" x14ac:dyDescent="0.25">
      <c r="A7911">
        <v>2025</v>
      </c>
      <c r="B7911" t="s">
        <v>15751</v>
      </c>
      <c r="C7911" s="1">
        <v>45908</v>
      </c>
      <c r="D7911" t="s">
        <v>15752</v>
      </c>
      <c r="E7911">
        <v>154</v>
      </c>
      <c r="G7911" s="3">
        <f>MONTH(Tabela1[[#This Row],[Último pagto ano]])</f>
        <v>9</v>
      </c>
      <c r="H7911" t="str">
        <f>TEXT(Tabela1[[#This Row],[Coluna2]]*29,"mmmm")</f>
        <v>setembro</v>
      </c>
      <c r="I7911" t="str">
        <f>TEXT(MONTH(Tabela1[[#This Row],[Último pagto ano]])*29,"mmmm")</f>
        <v>setembro</v>
      </c>
    </row>
    <row r="7912" spans="1:9" x14ac:dyDescent="0.25">
      <c r="A7912">
        <v>2025</v>
      </c>
      <c r="B7912" t="s">
        <v>15753</v>
      </c>
      <c r="C7912" s="1">
        <v>45898</v>
      </c>
      <c r="D7912" t="s">
        <v>15754</v>
      </c>
      <c r="E7912" s="2">
        <v>7722.28</v>
      </c>
      <c r="G7912" s="3">
        <f>MONTH(Tabela1[[#This Row],[Último pagto ano]])</f>
        <v>8</v>
      </c>
      <c r="H7912" t="str">
        <f>TEXT(Tabela1[[#This Row],[Coluna2]]*29,"mmmm")</f>
        <v>agosto</v>
      </c>
      <c r="I7912" t="str">
        <f>TEXT(MONTH(Tabela1[[#This Row],[Último pagto ano]])*29,"mmmm")</f>
        <v>agosto</v>
      </c>
    </row>
    <row r="7913" spans="1:9" x14ac:dyDescent="0.25">
      <c r="A7913">
        <v>2025</v>
      </c>
      <c r="B7913" t="s">
        <v>15755</v>
      </c>
      <c r="C7913" s="1">
        <v>46010</v>
      </c>
      <c r="D7913" t="s">
        <v>15756</v>
      </c>
      <c r="E7913" s="2">
        <v>12000</v>
      </c>
      <c r="G7913" s="3">
        <f>MONTH(Tabela1[[#This Row],[Último pagto ano]])</f>
        <v>12</v>
      </c>
      <c r="H7913" t="str">
        <f>TEXT(Tabela1[[#This Row],[Coluna2]]*29,"mmmm")</f>
        <v>dezembro</v>
      </c>
      <c r="I7913" t="str">
        <f>TEXT(MONTH(Tabela1[[#This Row],[Último pagto ano]])*29,"mmmm")</f>
        <v>dezembro</v>
      </c>
    </row>
    <row r="7914" spans="1:9" x14ac:dyDescent="0.25">
      <c r="A7914">
        <v>2025</v>
      </c>
      <c r="B7914" t="s">
        <v>15757</v>
      </c>
      <c r="C7914" s="1">
        <v>46014</v>
      </c>
      <c r="D7914" t="s">
        <v>15758</v>
      </c>
      <c r="E7914">
        <v>66</v>
      </c>
      <c r="G7914" s="3">
        <f>MONTH(Tabela1[[#This Row],[Último pagto ano]])</f>
        <v>12</v>
      </c>
      <c r="H7914" t="str">
        <f>TEXT(Tabela1[[#This Row],[Coluna2]]*29,"mmmm")</f>
        <v>dezembro</v>
      </c>
      <c r="I7914" t="str">
        <f>TEXT(MONTH(Tabela1[[#This Row],[Último pagto ano]])*29,"mmmm")</f>
        <v>dezembro</v>
      </c>
    </row>
    <row r="7915" spans="1:9" x14ac:dyDescent="0.25">
      <c r="A7915">
        <v>2025</v>
      </c>
      <c r="B7915" t="s">
        <v>15759</v>
      </c>
      <c r="C7915" s="1">
        <v>46021</v>
      </c>
      <c r="D7915" t="s">
        <v>15760</v>
      </c>
      <c r="E7915" s="2">
        <v>11080.28</v>
      </c>
      <c r="G7915" s="3">
        <f>MONTH(Tabela1[[#This Row],[Último pagto ano]])</f>
        <v>12</v>
      </c>
      <c r="H7915" t="str">
        <f>TEXT(Tabela1[[#This Row],[Coluna2]]*29,"mmmm")</f>
        <v>dezembro</v>
      </c>
      <c r="I7915" t="str">
        <f>TEXT(MONTH(Tabela1[[#This Row],[Último pagto ano]])*29,"mmmm")</f>
        <v>dezembro</v>
      </c>
    </row>
    <row r="7916" spans="1:9" x14ac:dyDescent="0.25">
      <c r="A7916">
        <v>2025</v>
      </c>
      <c r="B7916" t="s">
        <v>15761</v>
      </c>
      <c r="C7916" s="1">
        <v>45824</v>
      </c>
      <c r="D7916" t="s">
        <v>15762</v>
      </c>
      <c r="E7916">
        <v>22</v>
      </c>
      <c r="G7916" s="3">
        <f>MONTH(Tabela1[[#This Row],[Último pagto ano]])</f>
        <v>6</v>
      </c>
      <c r="H7916" t="str">
        <f>TEXT(Tabela1[[#This Row],[Coluna2]]*29,"mmmm")</f>
        <v>junho</v>
      </c>
      <c r="I7916" t="str">
        <f>TEXT(MONTH(Tabela1[[#This Row],[Último pagto ano]])*29,"mmmm")</f>
        <v>junho</v>
      </c>
    </row>
    <row r="7917" spans="1:9" x14ac:dyDescent="0.25">
      <c r="A7917">
        <v>2025</v>
      </c>
      <c r="B7917" t="s">
        <v>15763</v>
      </c>
      <c r="C7917" s="1">
        <v>46010</v>
      </c>
      <c r="D7917" t="s">
        <v>15764</v>
      </c>
      <c r="E7917" s="2">
        <v>12000</v>
      </c>
      <c r="G7917" s="3">
        <f>MONTH(Tabela1[[#This Row],[Último pagto ano]])</f>
        <v>12</v>
      </c>
      <c r="H7917" t="str">
        <f>TEXT(Tabela1[[#This Row],[Coluna2]]*29,"mmmm")</f>
        <v>dezembro</v>
      </c>
      <c r="I7917" t="str">
        <f>TEXT(MONTH(Tabela1[[#This Row],[Último pagto ano]])*29,"mmmm")</f>
        <v>dezembro</v>
      </c>
    </row>
    <row r="7918" spans="1:9" x14ac:dyDescent="0.25">
      <c r="A7918">
        <v>2025</v>
      </c>
      <c r="B7918" t="s">
        <v>15765</v>
      </c>
      <c r="C7918" s="1">
        <v>46014</v>
      </c>
      <c r="D7918" t="s">
        <v>15766</v>
      </c>
      <c r="E7918" s="2">
        <v>81654.899999999994</v>
      </c>
      <c r="G7918" s="3">
        <f>MONTH(Tabela1[[#This Row],[Último pagto ano]])</f>
        <v>12</v>
      </c>
      <c r="H7918" t="str">
        <f>TEXT(Tabela1[[#This Row],[Coluna2]]*29,"mmmm")</f>
        <v>dezembro</v>
      </c>
      <c r="I7918" t="str">
        <f>TEXT(MONTH(Tabela1[[#This Row],[Último pagto ano]])*29,"mmmm")</f>
        <v>dezembro</v>
      </c>
    </row>
    <row r="7919" spans="1:9" x14ac:dyDescent="0.25">
      <c r="A7919">
        <v>2025</v>
      </c>
      <c r="B7919" t="s">
        <v>15767</v>
      </c>
      <c r="C7919" s="1">
        <v>46010</v>
      </c>
      <c r="D7919" t="s">
        <v>15768</v>
      </c>
      <c r="E7919" s="2">
        <v>8400</v>
      </c>
      <c r="G7919" s="3">
        <f>MONTH(Tabela1[[#This Row],[Último pagto ano]])</f>
        <v>12</v>
      </c>
      <c r="H7919" t="str">
        <f>TEXT(Tabela1[[#This Row],[Coluna2]]*29,"mmmm")</f>
        <v>dezembro</v>
      </c>
      <c r="I7919" t="str">
        <f>TEXT(MONTH(Tabela1[[#This Row],[Último pagto ano]])*29,"mmmm")</f>
        <v>dezembro</v>
      </c>
    </row>
    <row r="7920" spans="1:9" x14ac:dyDescent="0.25">
      <c r="A7920">
        <v>2025</v>
      </c>
      <c r="B7920" t="s">
        <v>15769</v>
      </c>
      <c r="C7920" s="1">
        <v>45992</v>
      </c>
      <c r="D7920" t="s">
        <v>15770</v>
      </c>
      <c r="E7920" s="2">
        <v>7840.7</v>
      </c>
      <c r="G7920" s="3">
        <f>MONTH(Tabela1[[#This Row],[Último pagto ano]])</f>
        <v>12</v>
      </c>
      <c r="H7920" t="str">
        <f>TEXT(Tabela1[[#This Row],[Coluna2]]*29,"mmmm")</f>
        <v>dezembro</v>
      </c>
      <c r="I7920" t="str">
        <f>TEXT(MONTH(Tabela1[[#This Row],[Último pagto ano]])*29,"mmmm")</f>
        <v>dezembro</v>
      </c>
    </row>
    <row r="7921" spans="1:9" x14ac:dyDescent="0.25">
      <c r="A7921">
        <v>2025</v>
      </c>
      <c r="B7921" t="s">
        <v>15771</v>
      </c>
      <c r="C7921" s="1">
        <v>46014</v>
      </c>
      <c r="D7921" t="s">
        <v>15772</v>
      </c>
      <c r="E7921" s="2">
        <v>483244.77</v>
      </c>
      <c r="G7921" s="3">
        <f>MONTH(Tabela1[[#This Row],[Último pagto ano]])</f>
        <v>12</v>
      </c>
      <c r="H7921" t="str">
        <f>TEXT(Tabela1[[#This Row],[Coluna2]]*29,"mmmm")</f>
        <v>dezembro</v>
      </c>
      <c r="I7921" t="str">
        <f>TEXT(MONTH(Tabela1[[#This Row],[Último pagto ano]])*29,"mmmm")</f>
        <v>dezembro</v>
      </c>
    </row>
    <row r="7922" spans="1:9" x14ac:dyDescent="0.25">
      <c r="A7922">
        <v>2025</v>
      </c>
      <c r="B7922" t="s">
        <v>15773</v>
      </c>
      <c r="C7922" s="1">
        <v>45911</v>
      </c>
      <c r="D7922" t="s">
        <v>15774</v>
      </c>
      <c r="E7922" s="2">
        <v>21078.75</v>
      </c>
      <c r="G7922" s="3">
        <f>MONTH(Tabela1[[#This Row],[Último pagto ano]])</f>
        <v>9</v>
      </c>
      <c r="H7922" t="str">
        <f>TEXT(Tabela1[[#This Row],[Coluna2]]*29,"mmmm")</f>
        <v>setembro</v>
      </c>
      <c r="I7922" t="str">
        <f>TEXT(MONTH(Tabela1[[#This Row],[Último pagto ano]])*29,"mmmm")</f>
        <v>setembro</v>
      </c>
    </row>
    <row r="7923" spans="1:9" x14ac:dyDescent="0.25">
      <c r="A7923">
        <v>2025</v>
      </c>
      <c r="B7923" t="s">
        <v>15775</v>
      </c>
      <c r="C7923" s="1">
        <v>45966</v>
      </c>
      <c r="D7923" t="s">
        <v>15776</v>
      </c>
      <c r="E7923" s="2">
        <v>81200</v>
      </c>
      <c r="G7923" s="3">
        <f>MONTH(Tabela1[[#This Row],[Último pagto ano]])</f>
        <v>11</v>
      </c>
      <c r="H7923" t="str">
        <f>TEXT(Tabela1[[#This Row],[Coluna2]]*29,"mmmm")</f>
        <v>novembro</v>
      </c>
      <c r="I7923" t="str">
        <f>TEXT(MONTH(Tabela1[[#This Row],[Último pagto ano]])*29,"mmmm")</f>
        <v>novembro</v>
      </c>
    </row>
    <row r="7924" spans="1:9" x14ac:dyDescent="0.25">
      <c r="A7924">
        <v>2025</v>
      </c>
      <c r="B7924" t="s">
        <v>15777</v>
      </c>
      <c r="C7924" s="1">
        <v>45769</v>
      </c>
      <c r="D7924" t="s">
        <v>15778</v>
      </c>
      <c r="E7924" s="2">
        <v>10466.16</v>
      </c>
      <c r="G7924" s="3">
        <f>MONTH(Tabela1[[#This Row],[Último pagto ano]])</f>
        <v>4</v>
      </c>
      <c r="H7924" t="str">
        <f>TEXT(Tabela1[[#This Row],[Coluna2]]*29,"mmmm")</f>
        <v>abril</v>
      </c>
      <c r="I7924" t="str">
        <f>TEXT(MONTH(Tabela1[[#This Row],[Último pagto ano]])*29,"mmmm")</f>
        <v>abril</v>
      </c>
    </row>
    <row r="7925" spans="1:9" x14ac:dyDescent="0.25">
      <c r="A7925">
        <v>2025</v>
      </c>
      <c r="B7925" t="s">
        <v>15779</v>
      </c>
      <c r="C7925" s="1">
        <v>46010</v>
      </c>
      <c r="D7925" t="s">
        <v>15780</v>
      </c>
      <c r="E7925" s="2">
        <v>222385</v>
      </c>
      <c r="G7925" s="3">
        <f>MONTH(Tabela1[[#This Row],[Último pagto ano]])</f>
        <v>12</v>
      </c>
      <c r="H7925" t="str">
        <f>TEXT(Tabela1[[#This Row],[Coluna2]]*29,"mmmm")</f>
        <v>dezembro</v>
      </c>
      <c r="I7925" t="str">
        <f>TEXT(MONTH(Tabela1[[#This Row],[Último pagto ano]])*29,"mmmm")</f>
        <v>dezembro</v>
      </c>
    </row>
    <row r="7926" spans="1:9" x14ac:dyDescent="0.25">
      <c r="A7926">
        <v>2025</v>
      </c>
      <c r="B7926" t="s">
        <v>15781</v>
      </c>
      <c r="C7926" s="1">
        <v>46014</v>
      </c>
      <c r="D7926" t="s">
        <v>15782</v>
      </c>
      <c r="E7926" s="2">
        <v>35004.720000000001</v>
      </c>
      <c r="G7926" s="3">
        <f>MONTH(Tabela1[[#This Row],[Último pagto ano]])</f>
        <v>12</v>
      </c>
      <c r="H7926" t="str">
        <f>TEXT(Tabela1[[#This Row],[Coluna2]]*29,"mmmm")</f>
        <v>dezembro</v>
      </c>
      <c r="I7926" t="str">
        <f>TEXT(MONTH(Tabela1[[#This Row],[Último pagto ano]])*29,"mmmm")</f>
        <v>dezembro</v>
      </c>
    </row>
    <row r="7927" spans="1:9" x14ac:dyDescent="0.25">
      <c r="A7927">
        <v>2025</v>
      </c>
      <c r="B7927" t="s">
        <v>15783</v>
      </c>
      <c r="C7927" s="1">
        <v>45790</v>
      </c>
      <c r="D7927" t="s">
        <v>15784</v>
      </c>
      <c r="E7927" s="2">
        <v>11485</v>
      </c>
      <c r="G7927" s="3">
        <f>MONTH(Tabela1[[#This Row],[Último pagto ano]])</f>
        <v>5</v>
      </c>
      <c r="H7927" t="str">
        <f>TEXT(Tabela1[[#This Row],[Coluna2]]*29,"mmmm")</f>
        <v>maio</v>
      </c>
      <c r="I7927" t="str">
        <f>TEXT(MONTH(Tabela1[[#This Row],[Último pagto ano]])*29,"mmmm")</f>
        <v>maio</v>
      </c>
    </row>
    <row r="7928" spans="1:9" x14ac:dyDescent="0.25">
      <c r="A7928">
        <v>2025</v>
      </c>
      <c r="B7928" t="s">
        <v>15785</v>
      </c>
      <c r="C7928" s="1">
        <v>45985</v>
      </c>
      <c r="D7928" t="s">
        <v>15786</v>
      </c>
      <c r="E7928" s="2">
        <v>42829.68</v>
      </c>
      <c r="G7928" s="3">
        <f>MONTH(Tabela1[[#This Row],[Último pagto ano]])</f>
        <v>11</v>
      </c>
      <c r="H7928" t="str">
        <f>TEXT(Tabela1[[#This Row],[Coluna2]]*29,"mmmm")</f>
        <v>novembro</v>
      </c>
      <c r="I7928" t="str">
        <f>TEXT(MONTH(Tabela1[[#This Row],[Último pagto ano]])*29,"mmmm")</f>
        <v>novembro</v>
      </c>
    </row>
    <row r="7929" spans="1:9" x14ac:dyDescent="0.25">
      <c r="A7929">
        <v>2025</v>
      </c>
      <c r="B7929" t="s">
        <v>15787</v>
      </c>
      <c r="C7929" s="1">
        <v>45972</v>
      </c>
      <c r="D7929" t="s">
        <v>15788</v>
      </c>
      <c r="E7929" s="2">
        <v>33265.1</v>
      </c>
      <c r="G7929" s="3">
        <f>MONTH(Tabela1[[#This Row],[Último pagto ano]])</f>
        <v>11</v>
      </c>
      <c r="H7929" t="str">
        <f>TEXT(Tabela1[[#This Row],[Coluna2]]*29,"mmmm")</f>
        <v>novembro</v>
      </c>
      <c r="I7929" t="str">
        <f>TEXT(MONTH(Tabela1[[#This Row],[Último pagto ano]])*29,"mmmm")</f>
        <v>novembro</v>
      </c>
    </row>
    <row r="7930" spans="1:9" x14ac:dyDescent="0.25">
      <c r="A7930">
        <v>2025</v>
      </c>
      <c r="B7930" t="s">
        <v>15789</v>
      </c>
      <c r="C7930" s="1">
        <v>45964</v>
      </c>
      <c r="D7930" t="s">
        <v>15790</v>
      </c>
      <c r="E7930" s="2">
        <v>104241.55</v>
      </c>
      <c r="G7930" s="3">
        <f>MONTH(Tabela1[[#This Row],[Último pagto ano]])</f>
        <v>11</v>
      </c>
      <c r="H7930" t="str">
        <f>TEXT(Tabela1[[#This Row],[Coluna2]]*29,"mmmm")</f>
        <v>novembro</v>
      </c>
      <c r="I7930" t="str">
        <f>TEXT(MONTH(Tabela1[[#This Row],[Último pagto ano]])*29,"mmmm")</f>
        <v>novembro</v>
      </c>
    </row>
    <row r="7931" spans="1:9" x14ac:dyDescent="0.25">
      <c r="A7931">
        <v>2025</v>
      </c>
      <c r="B7931" t="s">
        <v>15791</v>
      </c>
      <c r="C7931" s="1">
        <v>45978</v>
      </c>
      <c r="D7931" t="s">
        <v>15792</v>
      </c>
      <c r="E7931" s="2">
        <v>9235.6</v>
      </c>
      <c r="G7931" s="3">
        <f>MONTH(Tabela1[[#This Row],[Último pagto ano]])</f>
        <v>11</v>
      </c>
      <c r="H7931" t="str">
        <f>TEXT(Tabela1[[#This Row],[Coluna2]]*29,"mmmm")</f>
        <v>novembro</v>
      </c>
      <c r="I7931" t="str">
        <f>TEXT(MONTH(Tabela1[[#This Row],[Último pagto ano]])*29,"mmmm")</f>
        <v>novembro</v>
      </c>
    </row>
    <row r="7932" spans="1:9" x14ac:dyDescent="0.25">
      <c r="A7932">
        <v>2025</v>
      </c>
      <c r="B7932" t="s">
        <v>15793</v>
      </c>
      <c r="C7932" s="1">
        <v>45999</v>
      </c>
      <c r="D7932" t="s">
        <v>15794</v>
      </c>
      <c r="E7932">
        <v>242</v>
      </c>
      <c r="G7932" s="3">
        <f>MONTH(Tabela1[[#This Row],[Último pagto ano]])</f>
        <v>12</v>
      </c>
      <c r="H7932" t="str">
        <f>TEXT(Tabela1[[#This Row],[Coluna2]]*29,"mmmm")</f>
        <v>dezembro</v>
      </c>
      <c r="I7932" t="str">
        <f>TEXT(MONTH(Tabela1[[#This Row],[Último pagto ano]])*29,"mmmm")</f>
        <v>dezembro</v>
      </c>
    </row>
    <row r="7933" spans="1:9" x14ac:dyDescent="0.25">
      <c r="A7933">
        <v>2025</v>
      </c>
      <c r="B7933" t="s">
        <v>15795</v>
      </c>
      <c r="C7933" s="1">
        <v>45673</v>
      </c>
      <c r="D7933" t="s">
        <v>15796</v>
      </c>
      <c r="E7933" s="2">
        <v>1920</v>
      </c>
      <c r="G7933" s="3">
        <f>MONTH(Tabela1[[#This Row],[Último pagto ano]])</f>
        <v>1</v>
      </c>
      <c r="H7933" t="str">
        <f>TEXT(Tabela1[[#This Row],[Coluna2]]*29,"mmmm")</f>
        <v>janeiro</v>
      </c>
      <c r="I7933" t="str">
        <f>TEXT(MONTH(Tabela1[[#This Row],[Último pagto ano]])*29,"mmmm")</f>
        <v>janeiro</v>
      </c>
    </row>
    <row r="7934" spans="1:9" x14ac:dyDescent="0.25">
      <c r="A7934">
        <v>2025</v>
      </c>
      <c r="B7934" t="s">
        <v>15797</v>
      </c>
      <c r="C7934" s="1">
        <v>45673</v>
      </c>
      <c r="D7934" t="s">
        <v>15798</v>
      </c>
      <c r="E7934" s="2">
        <v>3000</v>
      </c>
      <c r="G7934" s="3">
        <f>MONTH(Tabela1[[#This Row],[Último pagto ano]])</f>
        <v>1</v>
      </c>
      <c r="H7934" t="str">
        <f>TEXT(Tabela1[[#This Row],[Coluna2]]*29,"mmmm")</f>
        <v>janeiro</v>
      </c>
      <c r="I7934" t="str">
        <f>TEXT(MONTH(Tabela1[[#This Row],[Último pagto ano]])*29,"mmmm")</f>
        <v>janeiro</v>
      </c>
    </row>
    <row r="7935" spans="1:9" x14ac:dyDescent="0.25">
      <c r="A7935">
        <v>2025</v>
      </c>
      <c r="B7935" t="s">
        <v>15799</v>
      </c>
      <c r="C7935" s="1">
        <v>45917</v>
      </c>
      <c r="D7935" t="s">
        <v>15800</v>
      </c>
      <c r="E7935" s="2">
        <v>2727.54</v>
      </c>
      <c r="G7935" s="3">
        <f>MONTH(Tabela1[[#This Row],[Último pagto ano]])</f>
        <v>9</v>
      </c>
      <c r="H7935" t="str">
        <f>TEXT(Tabela1[[#This Row],[Coluna2]]*29,"mmmm")</f>
        <v>setembro</v>
      </c>
      <c r="I7935" t="str">
        <f>TEXT(MONTH(Tabela1[[#This Row],[Último pagto ano]])*29,"mmmm")</f>
        <v>setembro</v>
      </c>
    </row>
    <row r="7936" spans="1:9" x14ac:dyDescent="0.25">
      <c r="A7936">
        <v>2025</v>
      </c>
      <c r="B7936" t="s">
        <v>15801</v>
      </c>
      <c r="C7936" s="1">
        <v>46014</v>
      </c>
      <c r="D7936" t="s">
        <v>15802</v>
      </c>
      <c r="E7936" s="2">
        <v>23520</v>
      </c>
      <c r="G7936" s="3">
        <f>MONTH(Tabela1[[#This Row],[Último pagto ano]])</f>
        <v>12</v>
      </c>
      <c r="H7936" t="str">
        <f>TEXT(Tabela1[[#This Row],[Coluna2]]*29,"mmmm")</f>
        <v>dezembro</v>
      </c>
      <c r="I7936" t="str">
        <f>TEXT(MONTH(Tabela1[[#This Row],[Último pagto ano]])*29,"mmmm")</f>
        <v>dezembro</v>
      </c>
    </row>
    <row r="7937" spans="1:9" x14ac:dyDescent="0.25">
      <c r="A7937">
        <v>2025</v>
      </c>
      <c r="B7937" t="s">
        <v>15803</v>
      </c>
      <c r="C7937" s="1">
        <v>45943</v>
      </c>
      <c r="D7937" t="s">
        <v>15804</v>
      </c>
      <c r="E7937">
        <v>22</v>
      </c>
      <c r="G7937" s="3">
        <f>MONTH(Tabela1[[#This Row],[Último pagto ano]])</f>
        <v>10</v>
      </c>
      <c r="H7937" t="str">
        <f>TEXT(Tabela1[[#This Row],[Coluna2]]*29,"mmmm")</f>
        <v>outubro</v>
      </c>
      <c r="I7937" t="str">
        <f>TEXT(MONTH(Tabela1[[#This Row],[Último pagto ano]])*29,"mmmm")</f>
        <v>outubro</v>
      </c>
    </row>
    <row r="7938" spans="1:9" x14ac:dyDescent="0.25">
      <c r="A7938">
        <v>2025</v>
      </c>
      <c r="B7938" t="s">
        <v>15805</v>
      </c>
      <c r="C7938" s="1">
        <v>45868</v>
      </c>
      <c r="D7938" t="s">
        <v>15806</v>
      </c>
      <c r="E7938" s="2">
        <v>3030.16</v>
      </c>
      <c r="G7938" s="3">
        <f>MONTH(Tabela1[[#This Row],[Último pagto ano]])</f>
        <v>7</v>
      </c>
      <c r="H7938" t="str">
        <f>TEXT(Tabela1[[#This Row],[Coluna2]]*29,"mmmm")</f>
        <v>julho</v>
      </c>
      <c r="I7938" t="str">
        <f>TEXT(MONTH(Tabela1[[#This Row],[Último pagto ano]])*29,"mmmm")</f>
        <v>julho</v>
      </c>
    </row>
    <row r="7939" spans="1:9" x14ac:dyDescent="0.25">
      <c r="A7939">
        <v>2025</v>
      </c>
      <c r="B7939" t="s">
        <v>15807</v>
      </c>
      <c r="C7939" s="1">
        <v>45702</v>
      </c>
      <c r="D7939" t="s">
        <v>15808</v>
      </c>
      <c r="E7939">
        <v>859.51</v>
      </c>
      <c r="G7939" s="3">
        <f>MONTH(Tabela1[[#This Row],[Último pagto ano]])</f>
        <v>2</v>
      </c>
      <c r="H7939" t="str">
        <f>TEXT(Tabela1[[#This Row],[Coluna2]]*29,"mmmm")</f>
        <v>fevereiro</v>
      </c>
      <c r="I7939" t="str">
        <f>TEXT(MONTH(Tabela1[[#This Row],[Último pagto ano]])*29,"mmmm")</f>
        <v>fevereiro</v>
      </c>
    </row>
    <row r="7940" spans="1:9" x14ac:dyDescent="0.25">
      <c r="A7940">
        <v>2025</v>
      </c>
      <c r="B7940" t="s">
        <v>15809</v>
      </c>
      <c r="C7940" s="1">
        <v>46013</v>
      </c>
      <c r="D7940" t="s">
        <v>15810</v>
      </c>
      <c r="E7940" s="2">
        <v>1357.2</v>
      </c>
      <c r="G7940" s="3">
        <f>MONTH(Tabela1[[#This Row],[Último pagto ano]])</f>
        <v>12</v>
      </c>
      <c r="H7940" t="str">
        <f>TEXT(Tabela1[[#This Row],[Coluna2]]*29,"mmmm")</f>
        <v>dezembro</v>
      </c>
      <c r="I7940" t="str">
        <f>TEXT(MONTH(Tabela1[[#This Row],[Último pagto ano]])*29,"mmmm")</f>
        <v>dezembro</v>
      </c>
    </row>
    <row r="7941" spans="1:9" x14ac:dyDescent="0.25">
      <c r="A7941">
        <v>2025</v>
      </c>
      <c r="B7941" t="s">
        <v>15811</v>
      </c>
      <c r="C7941" s="1">
        <v>45807</v>
      </c>
      <c r="D7941" t="s">
        <v>15812</v>
      </c>
      <c r="E7941" s="2">
        <v>5267.08</v>
      </c>
      <c r="G7941" s="3">
        <f>MONTH(Tabela1[[#This Row],[Último pagto ano]])</f>
        <v>5</v>
      </c>
      <c r="H7941" t="str">
        <f>TEXT(Tabela1[[#This Row],[Coluna2]]*29,"mmmm")</f>
        <v>maio</v>
      </c>
      <c r="I7941" t="str">
        <f>TEXT(MONTH(Tabela1[[#This Row],[Último pagto ano]])*29,"mmmm")</f>
        <v>maio</v>
      </c>
    </row>
    <row r="7942" spans="1:9" x14ac:dyDescent="0.25">
      <c r="A7942">
        <v>2025</v>
      </c>
      <c r="B7942" t="s">
        <v>15813</v>
      </c>
      <c r="C7942" s="1">
        <v>45663</v>
      </c>
      <c r="D7942" t="s">
        <v>15814</v>
      </c>
      <c r="E7942">
        <v>222.6</v>
      </c>
      <c r="G7942" s="3">
        <f>MONTH(Tabela1[[#This Row],[Último pagto ano]])</f>
        <v>1</v>
      </c>
      <c r="H7942" t="str">
        <f>TEXT(Tabela1[[#This Row],[Coluna2]]*29,"mmmm")</f>
        <v>janeiro</v>
      </c>
      <c r="I7942" t="str">
        <f>TEXT(MONTH(Tabela1[[#This Row],[Último pagto ano]])*29,"mmmm")</f>
        <v>janeiro</v>
      </c>
    </row>
    <row r="7943" spans="1:9" x14ac:dyDescent="0.25">
      <c r="A7943">
        <v>2025</v>
      </c>
      <c r="B7943" t="s">
        <v>15815</v>
      </c>
      <c r="C7943" s="1">
        <v>45880</v>
      </c>
      <c r="D7943" t="s">
        <v>15816</v>
      </c>
      <c r="E7943" s="2">
        <v>69929.86</v>
      </c>
      <c r="G7943" s="3">
        <f>MONTH(Tabela1[[#This Row],[Último pagto ano]])</f>
        <v>8</v>
      </c>
      <c r="H7943" t="str">
        <f>TEXT(Tabela1[[#This Row],[Coluna2]]*29,"mmmm")</f>
        <v>agosto</v>
      </c>
      <c r="I7943" t="str">
        <f>TEXT(MONTH(Tabela1[[#This Row],[Último pagto ano]])*29,"mmmm")</f>
        <v>agosto</v>
      </c>
    </row>
    <row r="7944" spans="1:9" x14ac:dyDescent="0.25">
      <c r="A7944">
        <v>2025</v>
      </c>
      <c r="B7944" t="s">
        <v>15817</v>
      </c>
      <c r="C7944" s="1">
        <v>45978</v>
      </c>
      <c r="D7944" t="s">
        <v>15818</v>
      </c>
      <c r="E7944">
        <v>96.6</v>
      </c>
      <c r="G7944" s="3">
        <f>MONTH(Tabela1[[#This Row],[Último pagto ano]])</f>
        <v>11</v>
      </c>
      <c r="H7944" t="str">
        <f>TEXT(Tabela1[[#This Row],[Coluna2]]*29,"mmmm")</f>
        <v>novembro</v>
      </c>
      <c r="I7944" t="str">
        <f>TEXT(MONTH(Tabela1[[#This Row],[Último pagto ano]])*29,"mmmm")</f>
        <v>novembro</v>
      </c>
    </row>
    <row r="7945" spans="1:9" x14ac:dyDescent="0.25">
      <c r="A7945">
        <v>2025</v>
      </c>
      <c r="B7945" t="s">
        <v>15819</v>
      </c>
      <c r="C7945" s="1">
        <v>46013</v>
      </c>
      <c r="D7945" t="s">
        <v>15820</v>
      </c>
      <c r="E7945" s="2">
        <v>1099.48</v>
      </c>
      <c r="G7945" s="3">
        <f>MONTH(Tabela1[[#This Row],[Último pagto ano]])</f>
        <v>12</v>
      </c>
      <c r="H7945" t="str">
        <f>TEXT(Tabela1[[#This Row],[Coluna2]]*29,"mmmm")</f>
        <v>dezembro</v>
      </c>
      <c r="I7945" t="str">
        <f>TEXT(MONTH(Tabela1[[#This Row],[Último pagto ano]])*29,"mmmm")</f>
        <v>dezembro</v>
      </c>
    </row>
    <row r="7946" spans="1:9" x14ac:dyDescent="0.25">
      <c r="A7946">
        <v>2025</v>
      </c>
      <c r="B7946" t="s">
        <v>15821</v>
      </c>
      <c r="C7946" s="1">
        <v>45988</v>
      </c>
      <c r="D7946" t="s">
        <v>15822</v>
      </c>
      <c r="E7946" s="2">
        <v>6000</v>
      </c>
      <c r="G7946" s="3">
        <f>MONTH(Tabela1[[#This Row],[Último pagto ano]])</f>
        <v>11</v>
      </c>
      <c r="H7946" t="str">
        <f>TEXT(Tabela1[[#This Row],[Coluna2]]*29,"mmmm")</f>
        <v>novembro</v>
      </c>
      <c r="I7946" t="str">
        <f>TEXT(MONTH(Tabela1[[#This Row],[Último pagto ano]])*29,"mmmm")</f>
        <v>novembro</v>
      </c>
    </row>
    <row r="7947" spans="1:9" x14ac:dyDescent="0.25">
      <c r="A7947">
        <v>2025</v>
      </c>
      <c r="B7947" t="s">
        <v>15823</v>
      </c>
      <c r="C7947" s="1">
        <v>46014</v>
      </c>
      <c r="D7947" t="s">
        <v>15824</v>
      </c>
      <c r="E7947" s="2">
        <v>24684.28</v>
      </c>
      <c r="G7947" s="3">
        <f>MONTH(Tabela1[[#This Row],[Último pagto ano]])</f>
        <v>12</v>
      </c>
      <c r="H7947" t="str">
        <f>TEXT(Tabela1[[#This Row],[Coluna2]]*29,"mmmm")</f>
        <v>dezembro</v>
      </c>
      <c r="I7947" t="str">
        <f>TEXT(MONTH(Tabela1[[#This Row],[Último pagto ano]])*29,"mmmm")</f>
        <v>dezembro</v>
      </c>
    </row>
    <row r="7948" spans="1:9" x14ac:dyDescent="0.25">
      <c r="A7948">
        <v>2025</v>
      </c>
      <c r="B7948" t="s">
        <v>15825</v>
      </c>
      <c r="C7948" s="1">
        <v>45985</v>
      </c>
      <c r="D7948" t="s">
        <v>15826</v>
      </c>
      <c r="E7948" s="2">
        <v>1200</v>
      </c>
      <c r="G7948" s="3">
        <f>MONTH(Tabela1[[#This Row],[Último pagto ano]])</f>
        <v>11</v>
      </c>
      <c r="H7948" t="str">
        <f>TEXT(Tabela1[[#This Row],[Coluna2]]*29,"mmmm")</f>
        <v>novembro</v>
      </c>
      <c r="I7948" t="str">
        <f>TEXT(MONTH(Tabela1[[#This Row],[Último pagto ano]])*29,"mmmm")</f>
        <v>novembro</v>
      </c>
    </row>
    <row r="7949" spans="1:9" x14ac:dyDescent="0.25">
      <c r="A7949">
        <v>2025</v>
      </c>
      <c r="B7949" t="s">
        <v>15827</v>
      </c>
      <c r="C7949" s="1">
        <v>46021</v>
      </c>
      <c r="D7949" t="s">
        <v>15828</v>
      </c>
      <c r="E7949" s="2">
        <v>12572.8</v>
      </c>
      <c r="G7949" s="3">
        <f>MONTH(Tabela1[[#This Row],[Último pagto ano]])</f>
        <v>12</v>
      </c>
      <c r="H7949" t="str">
        <f>TEXT(Tabela1[[#This Row],[Coluna2]]*29,"mmmm")</f>
        <v>dezembro</v>
      </c>
      <c r="I7949" t="str">
        <f>TEXT(MONTH(Tabela1[[#This Row],[Último pagto ano]])*29,"mmmm")</f>
        <v>dezembro</v>
      </c>
    </row>
    <row r="7950" spans="1:9" x14ac:dyDescent="0.25">
      <c r="A7950">
        <v>2025</v>
      </c>
      <c r="B7950" t="s">
        <v>15829</v>
      </c>
      <c r="C7950" s="1">
        <v>45762</v>
      </c>
      <c r="D7950" t="s">
        <v>15830</v>
      </c>
      <c r="E7950" s="2">
        <v>3783.68</v>
      </c>
      <c r="G7950" s="3">
        <f>MONTH(Tabela1[[#This Row],[Último pagto ano]])</f>
        <v>4</v>
      </c>
      <c r="H7950" t="str">
        <f>TEXT(Tabela1[[#This Row],[Coluna2]]*29,"mmmm")</f>
        <v>abril</v>
      </c>
      <c r="I7950" t="str">
        <f>TEXT(MONTH(Tabela1[[#This Row],[Último pagto ano]])*29,"mmmm")</f>
        <v>abril</v>
      </c>
    </row>
    <row r="7951" spans="1:9" x14ac:dyDescent="0.25">
      <c r="A7951">
        <v>2025</v>
      </c>
      <c r="B7951" t="s">
        <v>15831</v>
      </c>
      <c r="C7951" s="1">
        <v>45702</v>
      </c>
      <c r="D7951" t="s">
        <v>15832</v>
      </c>
      <c r="E7951">
        <v>177.88</v>
      </c>
      <c r="G7951" s="3">
        <f>MONTH(Tabela1[[#This Row],[Último pagto ano]])</f>
        <v>2</v>
      </c>
      <c r="H7951" t="str">
        <f>TEXT(Tabela1[[#This Row],[Coluna2]]*29,"mmmm")</f>
        <v>fevereiro</v>
      </c>
      <c r="I7951" t="str">
        <f>TEXT(MONTH(Tabela1[[#This Row],[Último pagto ano]])*29,"mmmm")</f>
        <v>fevereiro</v>
      </c>
    </row>
    <row r="7952" spans="1:9" x14ac:dyDescent="0.25">
      <c r="A7952">
        <v>2025</v>
      </c>
      <c r="B7952" t="s">
        <v>15833</v>
      </c>
      <c r="C7952" s="1">
        <v>45978</v>
      </c>
      <c r="D7952" t="s">
        <v>15834</v>
      </c>
      <c r="E7952">
        <v>33</v>
      </c>
      <c r="G7952" s="3">
        <f>MONTH(Tabela1[[#This Row],[Último pagto ano]])</f>
        <v>11</v>
      </c>
      <c r="H7952" t="str">
        <f>TEXT(Tabela1[[#This Row],[Coluna2]]*29,"mmmm")</f>
        <v>novembro</v>
      </c>
      <c r="I7952" t="str">
        <f>TEXT(MONTH(Tabela1[[#This Row],[Último pagto ano]])*29,"mmmm")</f>
        <v>novembro</v>
      </c>
    </row>
    <row r="7953" spans="1:9" x14ac:dyDescent="0.25">
      <c r="A7953">
        <v>2025</v>
      </c>
      <c r="B7953" t="s">
        <v>15835</v>
      </c>
      <c r="C7953" s="1">
        <v>46010</v>
      </c>
      <c r="D7953" t="s">
        <v>15836</v>
      </c>
      <c r="E7953" s="2">
        <v>11000</v>
      </c>
      <c r="G7953" s="3">
        <f>MONTH(Tabela1[[#This Row],[Último pagto ano]])</f>
        <v>12</v>
      </c>
      <c r="H7953" t="str">
        <f>TEXT(Tabela1[[#This Row],[Coluna2]]*29,"mmmm")</f>
        <v>dezembro</v>
      </c>
      <c r="I7953" t="str">
        <f>TEXT(MONTH(Tabela1[[#This Row],[Último pagto ano]])*29,"mmmm")</f>
        <v>dezembro</v>
      </c>
    </row>
    <row r="7954" spans="1:9" x14ac:dyDescent="0.25">
      <c r="A7954">
        <v>2025</v>
      </c>
      <c r="B7954" t="s">
        <v>15837</v>
      </c>
      <c r="C7954" s="1">
        <v>46021</v>
      </c>
      <c r="D7954" t="s">
        <v>15838</v>
      </c>
      <c r="E7954" s="2">
        <v>60676.800000000003</v>
      </c>
      <c r="G7954" s="3">
        <f>MONTH(Tabela1[[#This Row],[Último pagto ano]])</f>
        <v>12</v>
      </c>
      <c r="H7954" t="str">
        <f>TEXT(Tabela1[[#This Row],[Coluna2]]*29,"mmmm")</f>
        <v>dezembro</v>
      </c>
      <c r="I7954" t="str">
        <f>TEXT(MONTH(Tabela1[[#This Row],[Último pagto ano]])*29,"mmmm")</f>
        <v>dezembro</v>
      </c>
    </row>
    <row r="7955" spans="1:9" x14ac:dyDescent="0.25">
      <c r="A7955">
        <v>2025</v>
      </c>
      <c r="B7955" t="s">
        <v>15839</v>
      </c>
      <c r="C7955" s="1">
        <v>45989</v>
      </c>
      <c r="D7955" t="s">
        <v>15840</v>
      </c>
      <c r="E7955" s="2">
        <v>3522.5</v>
      </c>
      <c r="G7955" s="3">
        <f>MONTH(Tabela1[[#This Row],[Último pagto ano]])</f>
        <v>11</v>
      </c>
      <c r="H7955" t="str">
        <f>TEXT(Tabela1[[#This Row],[Coluna2]]*29,"mmmm")</f>
        <v>novembro</v>
      </c>
      <c r="I7955" t="str">
        <f>TEXT(MONTH(Tabela1[[#This Row],[Último pagto ano]])*29,"mmmm")</f>
        <v>novembro</v>
      </c>
    </row>
    <row r="7956" spans="1:9" x14ac:dyDescent="0.25">
      <c r="A7956">
        <v>2025</v>
      </c>
      <c r="B7956" t="s">
        <v>15841</v>
      </c>
      <c r="C7956" s="1">
        <v>45989</v>
      </c>
      <c r="D7956" t="s">
        <v>15842</v>
      </c>
      <c r="E7956" s="2">
        <v>3023.9</v>
      </c>
      <c r="G7956" s="3">
        <f>MONTH(Tabela1[[#This Row],[Último pagto ano]])</f>
        <v>11</v>
      </c>
      <c r="H7956" t="str">
        <f>TEXT(Tabela1[[#This Row],[Coluna2]]*29,"mmmm")</f>
        <v>novembro</v>
      </c>
      <c r="I7956" t="str">
        <f>TEXT(MONTH(Tabela1[[#This Row],[Último pagto ano]])*29,"mmmm")</f>
        <v>novembro</v>
      </c>
    </row>
    <row r="7957" spans="1:9" x14ac:dyDescent="0.25">
      <c r="A7957">
        <v>2025</v>
      </c>
      <c r="B7957" t="s">
        <v>15843</v>
      </c>
      <c r="C7957" s="1">
        <v>46021</v>
      </c>
      <c r="D7957" t="s">
        <v>15844</v>
      </c>
      <c r="E7957" s="2">
        <v>4867.26</v>
      </c>
      <c r="G7957" s="3">
        <f>MONTH(Tabela1[[#This Row],[Último pagto ano]])</f>
        <v>12</v>
      </c>
      <c r="H7957" t="str">
        <f>TEXT(Tabela1[[#This Row],[Coluna2]]*29,"mmmm")</f>
        <v>dezembro</v>
      </c>
      <c r="I7957" t="str">
        <f>TEXT(MONTH(Tabela1[[#This Row],[Último pagto ano]])*29,"mmmm")</f>
        <v>dezembro</v>
      </c>
    </row>
    <row r="7958" spans="1:9" x14ac:dyDescent="0.25">
      <c r="A7958">
        <v>2025</v>
      </c>
      <c r="B7958" t="s">
        <v>15845</v>
      </c>
      <c r="C7958" s="1">
        <v>45954</v>
      </c>
      <c r="D7958" t="s">
        <v>15846</v>
      </c>
      <c r="E7958" s="2">
        <v>10476.58</v>
      </c>
      <c r="G7958" s="3">
        <f>MONTH(Tabela1[[#This Row],[Último pagto ano]])</f>
        <v>10</v>
      </c>
      <c r="H7958" t="str">
        <f>TEXT(Tabela1[[#This Row],[Coluna2]]*29,"mmmm")</f>
        <v>outubro</v>
      </c>
      <c r="I7958" t="str">
        <f>TEXT(MONTH(Tabela1[[#This Row],[Último pagto ano]])*29,"mmmm")</f>
        <v>outubro</v>
      </c>
    </row>
    <row r="7959" spans="1:9" x14ac:dyDescent="0.25">
      <c r="A7959">
        <v>2025</v>
      </c>
      <c r="B7959" t="s">
        <v>15847</v>
      </c>
      <c r="C7959" s="1">
        <v>45868</v>
      </c>
      <c r="D7959" t="s">
        <v>15848</v>
      </c>
      <c r="E7959" s="2">
        <v>4611.34</v>
      </c>
      <c r="G7959" s="3">
        <f>MONTH(Tabela1[[#This Row],[Último pagto ano]])</f>
        <v>7</v>
      </c>
      <c r="H7959" t="str">
        <f>TEXT(Tabela1[[#This Row],[Coluna2]]*29,"mmmm")</f>
        <v>julho</v>
      </c>
      <c r="I7959" t="str">
        <f>TEXT(MONTH(Tabela1[[#This Row],[Último pagto ano]])*29,"mmmm")</f>
        <v>julho</v>
      </c>
    </row>
    <row r="7960" spans="1:9" x14ac:dyDescent="0.25">
      <c r="A7960">
        <v>2025</v>
      </c>
      <c r="B7960" t="s">
        <v>15849</v>
      </c>
      <c r="C7960" s="1">
        <v>46013</v>
      </c>
      <c r="D7960" t="s">
        <v>15850</v>
      </c>
      <c r="E7960" s="2">
        <v>1760</v>
      </c>
      <c r="G7960" s="3">
        <f>MONTH(Tabela1[[#This Row],[Último pagto ano]])</f>
        <v>12</v>
      </c>
      <c r="H7960" t="str">
        <f>TEXT(Tabela1[[#This Row],[Coluna2]]*29,"mmmm")</f>
        <v>dezembro</v>
      </c>
      <c r="I7960" t="str">
        <f>TEXT(MONTH(Tabela1[[#This Row],[Último pagto ano]])*29,"mmmm")</f>
        <v>dezembro</v>
      </c>
    </row>
    <row r="7961" spans="1:9" x14ac:dyDescent="0.25">
      <c r="A7961">
        <v>2025</v>
      </c>
      <c r="B7961" t="s">
        <v>15851</v>
      </c>
      <c r="C7961" s="1">
        <v>45807</v>
      </c>
      <c r="D7961" t="s">
        <v>15852</v>
      </c>
      <c r="E7961" s="2">
        <v>3833.64</v>
      </c>
      <c r="G7961" s="3">
        <f>MONTH(Tabela1[[#This Row],[Último pagto ano]])</f>
        <v>5</v>
      </c>
      <c r="H7961" t="str">
        <f>TEXT(Tabela1[[#This Row],[Coluna2]]*29,"mmmm")</f>
        <v>maio</v>
      </c>
      <c r="I7961" t="str">
        <f>TEXT(MONTH(Tabela1[[#This Row],[Último pagto ano]])*29,"mmmm")</f>
        <v>maio</v>
      </c>
    </row>
    <row r="7962" spans="1:9" x14ac:dyDescent="0.25">
      <c r="A7962">
        <v>2025</v>
      </c>
      <c r="B7962" t="s">
        <v>15853</v>
      </c>
      <c r="C7962" s="1">
        <v>46010</v>
      </c>
      <c r="D7962" t="s">
        <v>15854</v>
      </c>
      <c r="E7962" s="2">
        <v>6000</v>
      </c>
      <c r="G7962" s="3">
        <f>MONTH(Tabela1[[#This Row],[Último pagto ano]])</f>
        <v>12</v>
      </c>
      <c r="H7962" t="str">
        <f>TEXT(Tabela1[[#This Row],[Coluna2]]*29,"mmmm")</f>
        <v>dezembro</v>
      </c>
      <c r="I7962" t="str">
        <f>TEXT(MONTH(Tabela1[[#This Row],[Último pagto ano]])*29,"mmmm")</f>
        <v>dezembro</v>
      </c>
    </row>
    <row r="7963" spans="1:9" x14ac:dyDescent="0.25">
      <c r="A7963">
        <v>2025</v>
      </c>
      <c r="B7963" t="s">
        <v>15855</v>
      </c>
      <c r="C7963" s="1">
        <v>45968</v>
      </c>
      <c r="D7963" t="s">
        <v>15856</v>
      </c>
      <c r="E7963" s="2">
        <v>9317.17</v>
      </c>
      <c r="G7963" s="3">
        <f>MONTH(Tabela1[[#This Row],[Último pagto ano]])</f>
        <v>11</v>
      </c>
      <c r="H7963" t="str">
        <f>TEXT(Tabela1[[#This Row],[Coluna2]]*29,"mmmm")</f>
        <v>novembro</v>
      </c>
      <c r="I7963" t="str">
        <f>TEXT(MONTH(Tabela1[[#This Row],[Último pagto ano]])*29,"mmmm")</f>
        <v>novembro</v>
      </c>
    </row>
    <row r="7964" spans="1:9" x14ac:dyDescent="0.25">
      <c r="A7964">
        <v>2025</v>
      </c>
      <c r="B7964" t="s">
        <v>15857</v>
      </c>
      <c r="C7964" s="1">
        <v>45898</v>
      </c>
      <c r="D7964" t="s">
        <v>15858</v>
      </c>
      <c r="E7964" s="2">
        <v>7236.02</v>
      </c>
      <c r="G7964" s="3">
        <f>MONTH(Tabela1[[#This Row],[Último pagto ano]])</f>
        <v>8</v>
      </c>
      <c r="H7964" t="str">
        <f>TEXT(Tabela1[[#This Row],[Coluna2]]*29,"mmmm")</f>
        <v>agosto</v>
      </c>
      <c r="I7964" t="str">
        <f>TEXT(MONTH(Tabela1[[#This Row],[Último pagto ano]])*29,"mmmm")</f>
        <v>agosto</v>
      </c>
    </row>
    <row r="7965" spans="1:9" x14ac:dyDescent="0.25">
      <c r="A7965">
        <v>2025</v>
      </c>
      <c r="B7965" t="s">
        <v>15859</v>
      </c>
      <c r="C7965" s="1">
        <v>45810</v>
      </c>
      <c r="D7965" t="s">
        <v>15860</v>
      </c>
      <c r="E7965">
        <v>108.8</v>
      </c>
      <c r="G7965" s="3">
        <f>MONTH(Tabela1[[#This Row],[Último pagto ano]])</f>
        <v>6</v>
      </c>
      <c r="H7965" t="str">
        <f>TEXT(Tabela1[[#This Row],[Coluna2]]*29,"mmmm")</f>
        <v>junho</v>
      </c>
      <c r="I7965" t="str">
        <f>TEXT(MONTH(Tabela1[[#This Row],[Último pagto ano]])*29,"mmmm")</f>
        <v>junho</v>
      </c>
    </row>
    <row r="7966" spans="1:9" x14ac:dyDescent="0.25">
      <c r="A7966">
        <v>2025</v>
      </c>
      <c r="B7966" t="s">
        <v>15861</v>
      </c>
      <c r="C7966" s="1">
        <v>46014</v>
      </c>
      <c r="D7966" t="s">
        <v>15862</v>
      </c>
      <c r="E7966">
        <v>88</v>
      </c>
      <c r="G7966" s="3">
        <f>MONTH(Tabela1[[#This Row],[Último pagto ano]])</f>
        <v>12</v>
      </c>
      <c r="H7966" t="str">
        <f>TEXT(Tabela1[[#This Row],[Coluna2]]*29,"mmmm")</f>
        <v>dezembro</v>
      </c>
      <c r="I7966" t="str">
        <f>TEXT(MONTH(Tabela1[[#This Row],[Último pagto ano]])*29,"mmmm")</f>
        <v>dezembro</v>
      </c>
    </row>
    <row r="7967" spans="1:9" x14ac:dyDescent="0.25">
      <c r="A7967">
        <v>2025</v>
      </c>
      <c r="B7967" t="s">
        <v>15863</v>
      </c>
      <c r="C7967" s="1">
        <v>45716</v>
      </c>
      <c r="D7967" t="s">
        <v>15864</v>
      </c>
      <c r="E7967" s="2">
        <v>1284.8</v>
      </c>
      <c r="G7967" s="3">
        <f>MONTH(Tabela1[[#This Row],[Último pagto ano]])</f>
        <v>2</v>
      </c>
      <c r="H7967" t="str">
        <f>TEXT(Tabela1[[#This Row],[Coluna2]]*29,"mmmm")</f>
        <v>fevereiro</v>
      </c>
      <c r="I7967" t="str">
        <f>TEXT(MONTH(Tabela1[[#This Row],[Último pagto ano]])*29,"mmmm")</f>
        <v>fevereiro</v>
      </c>
    </row>
    <row r="7968" spans="1:9" x14ac:dyDescent="0.25">
      <c r="A7968">
        <v>2025</v>
      </c>
      <c r="B7968" t="s">
        <v>15865</v>
      </c>
      <c r="C7968" s="1">
        <v>46021</v>
      </c>
      <c r="D7968" t="s">
        <v>15866</v>
      </c>
      <c r="E7968" s="2">
        <v>10186.24</v>
      </c>
      <c r="G7968" s="3">
        <f>MONTH(Tabela1[[#This Row],[Último pagto ano]])</f>
        <v>12</v>
      </c>
      <c r="H7968" t="str">
        <f>TEXT(Tabela1[[#This Row],[Coluna2]]*29,"mmmm")</f>
        <v>dezembro</v>
      </c>
      <c r="I7968" t="str">
        <f>TEXT(MONTH(Tabela1[[#This Row],[Último pagto ano]])*29,"mmmm")</f>
        <v>dezembro</v>
      </c>
    </row>
    <row r="7969" spans="1:9" x14ac:dyDescent="0.25">
      <c r="A7969">
        <v>2025</v>
      </c>
      <c r="B7969" t="s">
        <v>15867</v>
      </c>
      <c r="C7969" s="1">
        <v>46014</v>
      </c>
      <c r="D7969" t="s">
        <v>15868</v>
      </c>
      <c r="E7969">
        <v>550</v>
      </c>
      <c r="G7969" s="3">
        <f>MONTH(Tabela1[[#This Row],[Último pagto ano]])</f>
        <v>12</v>
      </c>
      <c r="H7969" t="str">
        <f>TEXT(Tabela1[[#This Row],[Coluna2]]*29,"mmmm")</f>
        <v>dezembro</v>
      </c>
      <c r="I7969" t="str">
        <f>TEXT(MONTH(Tabela1[[#This Row],[Último pagto ano]])*29,"mmmm")</f>
        <v>dezembro</v>
      </c>
    </row>
    <row r="7970" spans="1:9" x14ac:dyDescent="0.25">
      <c r="A7970">
        <v>2025</v>
      </c>
      <c r="B7970" t="s">
        <v>15869</v>
      </c>
      <c r="C7970" s="1">
        <v>45687</v>
      </c>
      <c r="D7970" t="s">
        <v>15870</v>
      </c>
      <c r="E7970">
        <v>991.49</v>
      </c>
      <c r="G7970" s="3">
        <f>MONTH(Tabela1[[#This Row],[Último pagto ano]])</f>
        <v>1</v>
      </c>
      <c r="H7970" t="str">
        <f>TEXT(Tabela1[[#This Row],[Coluna2]]*29,"mmmm")</f>
        <v>janeiro</v>
      </c>
      <c r="I7970" t="str">
        <f>TEXT(MONTH(Tabela1[[#This Row],[Último pagto ano]])*29,"mmmm")</f>
        <v>janeiro</v>
      </c>
    </row>
    <row r="7971" spans="1:9" x14ac:dyDescent="0.25">
      <c r="A7971">
        <v>2025</v>
      </c>
      <c r="B7971" t="s">
        <v>15871</v>
      </c>
      <c r="C7971" s="1">
        <v>46003</v>
      </c>
      <c r="D7971" t="s">
        <v>15872</v>
      </c>
      <c r="E7971" s="2">
        <v>20124.560000000001</v>
      </c>
      <c r="G7971" s="3">
        <f>MONTH(Tabela1[[#This Row],[Último pagto ano]])</f>
        <v>12</v>
      </c>
      <c r="H7971" t="str">
        <f>TEXT(Tabela1[[#This Row],[Coluna2]]*29,"mmmm")</f>
        <v>dezembro</v>
      </c>
      <c r="I7971" t="str">
        <f>TEXT(MONTH(Tabela1[[#This Row],[Último pagto ano]])*29,"mmmm")</f>
        <v>dezembro</v>
      </c>
    </row>
    <row r="7972" spans="1:9" x14ac:dyDescent="0.25">
      <c r="A7972">
        <v>2025</v>
      </c>
      <c r="B7972" t="s">
        <v>15873</v>
      </c>
      <c r="C7972" s="1">
        <v>46014</v>
      </c>
      <c r="D7972" t="s">
        <v>15874</v>
      </c>
      <c r="E7972" s="2">
        <v>2315</v>
      </c>
      <c r="G7972" s="3">
        <f>MONTH(Tabela1[[#This Row],[Último pagto ano]])</f>
        <v>12</v>
      </c>
      <c r="H7972" t="str">
        <f>TEXT(Tabela1[[#This Row],[Coluna2]]*29,"mmmm")</f>
        <v>dezembro</v>
      </c>
      <c r="I7972" t="str">
        <f>TEXT(MONTH(Tabela1[[#This Row],[Último pagto ano]])*29,"mmmm")</f>
        <v>dezembro</v>
      </c>
    </row>
    <row r="7973" spans="1:9" x14ac:dyDescent="0.25">
      <c r="A7973">
        <v>2025</v>
      </c>
      <c r="B7973" t="s">
        <v>15875</v>
      </c>
      <c r="C7973" s="1">
        <v>45986</v>
      </c>
      <c r="D7973" t="s">
        <v>15876</v>
      </c>
      <c r="E7973" s="2">
        <v>10892.71</v>
      </c>
      <c r="G7973" s="3">
        <f>MONTH(Tabela1[[#This Row],[Último pagto ano]])</f>
        <v>11</v>
      </c>
      <c r="H7973" t="str">
        <f>TEXT(Tabela1[[#This Row],[Coluna2]]*29,"mmmm")</f>
        <v>novembro</v>
      </c>
      <c r="I7973" t="str">
        <f>TEXT(MONTH(Tabela1[[#This Row],[Último pagto ano]])*29,"mmmm")</f>
        <v>novembro</v>
      </c>
    </row>
    <row r="7974" spans="1:9" x14ac:dyDescent="0.25">
      <c r="A7974">
        <v>2025</v>
      </c>
      <c r="B7974" t="s">
        <v>15877</v>
      </c>
      <c r="C7974" s="1">
        <v>45866</v>
      </c>
      <c r="D7974" t="s">
        <v>15878</v>
      </c>
      <c r="E7974">
        <v>220</v>
      </c>
      <c r="G7974" s="3">
        <f>MONTH(Tabela1[[#This Row],[Último pagto ano]])</f>
        <v>7</v>
      </c>
      <c r="H7974" t="str">
        <f>TEXT(Tabela1[[#This Row],[Coluna2]]*29,"mmmm")</f>
        <v>julho</v>
      </c>
      <c r="I7974" t="str">
        <f>TEXT(MONTH(Tabela1[[#This Row],[Último pagto ano]])*29,"mmmm")</f>
        <v>julho</v>
      </c>
    </row>
    <row r="7975" spans="1:9" x14ac:dyDescent="0.25">
      <c r="A7975">
        <v>2025</v>
      </c>
      <c r="B7975" t="s">
        <v>15879</v>
      </c>
      <c r="C7975" s="1">
        <v>46013</v>
      </c>
      <c r="D7975" t="s">
        <v>15880</v>
      </c>
      <c r="E7975" s="2">
        <v>11953.5</v>
      </c>
      <c r="G7975" s="3">
        <f>MONTH(Tabela1[[#This Row],[Último pagto ano]])</f>
        <v>12</v>
      </c>
      <c r="H7975" t="str">
        <f>TEXT(Tabela1[[#This Row],[Coluna2]]*29,"mmmm")</f>
        <v>dezembro</v>
      </c>
      <c r="I7975" t="str">
        <f>TEXT(MONTH(Tabela1[[#This Row],[Último pagto ano]])*29,"mmmm")</f>
        <v>dezembro</v>
      </c>
    </row>
    <row r="7976" spans="1:9" x14ac:dyDescent="0.25">
      <c r="A7976">
        <v>2025</v>
      </c>
      <c r="B7976" t="s">
        <v>15881</v>
      </c>
      <c r="C7976" s="1">
        <v>45702</v>
      </c>
      <c r="D7976" t="s">
        <v>15882</v>
      </c>
      <c r="E7976">
        <v>895.04</v>
      </c>
      <c r="G7976" s="3">
        <f>MONTH(Tabela1[[#This Row],[Último pagto ano]])</f>
        <v>2</v>
      </c>
      <c r="H7976" t="str">
        <f>TEXT(Tabela1[[#This Row],[Coluna2]]*29,"mmmm")</f>
        <v>fevereiro</v>
      </c>
      <c r="I7976" t="str">
        <f>TEXT(MONTH(Tabela1[[#This Row],[Último pagto ano]])*29,"mmmm")</f>
        <v>fevereiro</v>
      </c>
    </row>
    <row r="7977" spans="1:9" x14ac:dyDescent="0.25">
      <c r="A7977">
        <v>2025</v>
      </c>
      <c r="B7977" t="s">
        <v>15883</v>
      </c>
      <c r="C7977" s="1">
        <v>45712</v>
      </c>
      <c r="D7977" t="s">
        <v>15884</v>
      </c>
      <c r="E7977">
        <v>368.63</v>
      </c>
      <c r="G7977" s="3">
        <f>MONTH(Tabela1[[#This Row],[Último pagto ano]])</f>
        <v>2</v>
      </c>
      <c r="H7977" t="str">
        <f>TEXT(Tabela1[[#This Row],[Coluna2]]*29,"mmmm")</f>
        <v>fevereiro</v>
      </c>
      <c r="I7977" t="str">
        <f>TEXT(MONTH(Tabela1[[#This Row],[Último pagto ano]])*29,"mmmm")</f>
        <v>fevereiro</v>
      </c>
    </row>
    <row r="7978" spans="1:9" x14ac:dyDescent="0.25">
      <c r="A7978">
        <v>2025</v>
      </c>
      <c r="B7978" t="s">
        <v>15885</v>
      </c>
      <c r="C7978" s="1">
        <v>45985</v>
      </c>
      <c r="D7978" t="s">
        <v>15886</v>
      </c>
      <c r="E7978">
        <v>6.8</v>
      </c>
      <c r="G7978" s="3">
        <f>MONTH(Tabela1[[#This Row],[Último pagto ano]])</f>
        <v>11</v>
      </c>
      <c r="H7978" t="str">
        <f>TEXT(Tabela1[[#This Row],[Coluna2]]*29,"mmmm")</f>
        <v>novembro</v>
      </c>
      <c r="I7978" t="str">
        <f>TEXT(MONTH(Tabela1[[#This Row],[Último pagto ano]])*29,"mmmm")</f>
        <v>novembro</v>
      </c>
    </row>
    <row r="7979" spans="1:9" x14ac:dyDescent="0.25">
      <c r="A7979">
        <v>2025</v>
      </c>
      <c r="B7979" t="s">
        <v>15887</v>
      </c>
      <c r="C7979" s="1">
        <v>45702</v>
      </c>
      <c r="D7979" t="s">
        <v>15888</v>
      </c>
      <c r="E7979">
        <v>68.56</v>
      </c>
      <c r="G7979" s="3">
        <f>MONTH(Tabela1[[#This Row],[Último pagto ano]])</f>
        <v>2</v>
      </c>
      <c r="H7979" t="str">
        <f>TEXT(Tabela1[[#This Row],[Coluna2]]*29,"mmmm")</f>
        <v>fevereiro</v>
      </c>
      <c r="I7979" t="str">
        <f>TEXT(MONTH(Tabela1[[#This Row],[Último pagto ano]])*29,"mmmm")</f>
        <v>fevereiro</v>
      </c>
    </row>
    <row r="7980" spans="1:9" x14ac:dyDescent="0.25">
      <c r="A7980">
        <v>2025</v>
      </c>
      <c r="B7980" t="s">
        <v>15889</v>
      </c>
      <c r="C7980" s="1">
        <v>45932</v>
      </c>
      <c r="D7980" t="s">
        <v>15890</v>
      </c>
      <c r="E7980" s="2">
        <v>9146.73</v>
      </c>
      <c r="G7980" s="3">
        <f>MONTH(Tabela1[[#This Row],[Último pagto ano]])</f>
        <v>10</v>
      </c>
      <c r="H7980" t="str">
        <f>TEXT(Tabela1[[#This Row],[Coluna2]]*29,"mmmm")</f>
        <v>outubro</v>
      </c>
      <c r="I7980" t="str">
        <f>TEXT(MONTH(Tabela1[[#This Row],[Último pagto ano]])*29,"mmmm")</f>
        <v>outubro</v>
      </c>
    </row>
    <row r="7981" spans="1:9" x14ac:dyDescent="0.25">
      <c r="A7981">
        <v>2025</v>
      </c>
      <c r="B7981" t="s">
        <v>15891</v>
      </c>
      <c r="C7981" s="1">
        <v>45852</v>
      </c>
      <c r="D7981" t="s">
        <v>15892</v>
      </c>
      <c r="E7981" s="2">
        <v>3700.89</v>
      </c>
      <c r="G7981" s="3">
        <f>MONTH(Tabela1[[#This Row],[Último pagto ano]])</f>
        <v>7</v>
      </c>
      <c r="H7981" t="str">
        <f>TEXT(Tabela1[[#This Row],[Coluna2]]*29,"mmmm")</f>
        <v>julho</v>
      </c>
      <c r="I7981" t="str">
        <f>TEXT(MONTH(Tabela1[[#This Row],[Último pagto ano]])*29,"mmmm")</f>
        <v>julho</v>
      </c>
    </row>
    <row r="7982" spans="1:9" x14ac:dyDescent="0.25">
      <c r="A7982">
        <v>2025</v>
      </c>
      <c r="B7982" t="s">
        <v>15893</v>
      </c>
      <c r="C7982" s="1">
        <v>45863</v>
      </c>
      <c r="D7982" t="s">
        <v>15894</v>
      </c>
      <c r="E7982" s="2">
        <v>6718.72</v>
      </c>
      <c r="G7982" s="3">
        <f>MONTH(Tabela1[[#This Row],[Último pagto ano]])</f>
        <v>7</v>
      </c>
      <c r="H7982" t="str">
        <f>TEXT(Tabela1[[#This Row],[Coluna2]]*29,"mmmm")</f>
        <v>julho</v>
      </c>
      <c r="I7982" t="str">
        <f>TEXT(MONTH(Tabela1[[#This Row],[Último pagto ano]])*29,"mmmm")</f>
        <v>julho</v>
      </c>
    </row>
    <row r="7983" spans="1:9" x14ac:dyDescent="0.25">
      <c r="A7983">
        <v>2025</v>
      </c>
      <c r="B7983" t="s">
        <v>15895</v>
      </c>
      <c r="C7983" s="1">
        <v>45989</v>
      </c>
      <c r="D7983" t="s">
        <v>15896</v>
      </c>
      <c r="E7983" s="2">
        <v>10968.29</v>
      </c>
      <c r="G7983" s="3">
        <f>MONTH(Tabela1[[#This Row],[Último pagto ano]])</f>
        <v>11</v>
      </c>
      <c r="H7983" t="str">
        <f>TEXT(Tabela1[[#This Row],[Coluna2]]*29,"mmmm")</f>
        <v>novembro</v>
      </c>
      <c r="I7983" t="str">
        <f>TEXT(MONTH(Tabela1[[#This Row],[Último pagto ano]])*29,"mmmm")</f>
        <v>novembro</v>
      </c>
    </row>
    <row r="7984" spans="1:9" x14ac:dyDescent="0.25">
      <c r="A7984">
        <v>2025</v>
      </c>
      <c r="B7984" t="s">
        <v>15897</v>
      </c>
      <c r="C7984" s="1">
        <v>45776</v>
      </c>
      <c r="D7984" t="s">
        <v>15898</v>
      </c>
      <c r="E7984">
        <v>96.88</v>
      </c>
      <c r="G7984" s="3">
        <f>MONTH(Tabela1[[#This Row],[Último pagto ano]])</f>
        <v>4</v>
      </c>
      <c r="H7984" t="str">
        <f>TEXT(Tabela1[[#This Row],[Coluna2]]*29,"mmmm")</f>
        <v>abril</v>
      </c>
      <c r="I7984" t="str">
        <f>TEXT(MONTH(Tabela1[[#This Row],[Último pagto ano]])*29,"mmmm")</f>
        <v>abril</v>
      </c>
    </row>
    <row r="7985" spans="1:9" x14ac:dyDescent="0.25">
      <c r="A7985">
        <v>2025</v>
      </c>
      <c r="B7985" t="s">
        <v>15899</v>
      </c>
      <c r="C7985" s="1">
        <v>46006</v>
      </c>
      <c r="D7985" t="s">
        <v>15900</v>
      </c>
      <c r="E7985" s="2">
        <v>7000</v>
      </c>
      <c r="G7985" s="3">
        <f>MONTH(Tabela1[[#This Row],[Último pagto ano]])</f>
        <v>12</v>
      </c>
      <c r="H7985" t="str">
        <f>TEXT(Tabela1[[#This Row],[Coluna2]]*29,"mmmm")</f>
        <v>dezembro</v>
      </c>
      <c r="I7985" t="str">
        <f>TEXT(MONTH(Tabela1[[#This Row],[Último pagto ano]])*29,"mmmm")</f>
        <v>dezembro</v>
      </c>
    </row>
    <row r="7986" spans="1:9" x14ac:dyDescent="0.25">
      <c r="A7986">
        <v>2025</v>
      </c>
      <c r="B7986" t="s">
        <v>15901</v>
      </c>
      <c r="C7986" s="1">
        <v>45792</v>
      </c>
      <c r="D7986" t="s">
        <v>15902</v>
      </c>
      <c r="E7986">
        <v>33</v>
      </c>
      <c r="G7986" s="3">
        <f>MONTH(Tabela1[[#This Row],[Último pagto ano]])</f>
        <v>5</v>
      </c>
      <c r="H7986" t="str">
        <f>TEXT(Tabela1[[#This Row],[Coluna2]]*29,"mmmm")</f>
        <v>maio</v>
      </c>
      <c r="I7986" t="str">
        <f>TEXT(MONTH(Tabela1[[#This Row],[Último pagto ano]])*29,"mmmm")</f>
        <v>maio</v>
      </c>
    </row>
    <row r="7987" spans="1:9" x14ac:dyDescent="0.25">
      <c r="A7987">
        <v>2025</v>
      </c>
      <c r="B7987" t="s">
        <v>15903</v>
      </c>
      <c r="C7987" s="1">
        <v>45996</v>
      </c>
      <c r="D7987" t="s">
        <v>15904</v>
      </c>
      <c r="E7987" s="2">
        <v>20900</v>
      </c>
      <c r="G7987" s="3">
        <f>MONTH(Tabela1[[#This Row],[Último pagto ano]])</f>
        <v>12</v>
      </c>
      <c r="H7987" t="str">
        <f>TEXT(Tabela1[[#This Row],[Coluna2]]*29,"mmmm")</f>
        <v>dezembro</v>
      </c>
      <c r="I7987" t="str">
        <f>TEXT(MONTH(Tabela1[[#This Row],[Último pagto ano]])*29,"mmmm")</f>
        <v>dezembro</v>
      </c>
    </row>
    <row r="7988" spans="1:9" x14ac:dyDescent="0.25">
      <c r="A7988">
        <v>2025</v>
      </c>
      <c r="B7988" t="s">
        <v>15905</v>
      </c>
      <c r="C7988" s="1">
        <v>46010</v>
      </c>
      <c r="D7988" t="s">
        <v>15906</v>
      </c>
      <c r="E7988" s="2">
        <v>1400</v>
      </c>
      <c r="G7988" s="3">
        <f>MONTH(Tabela1[[#This Row],[Último pagto ano]])</f>
        <v>12</v>
      </c>
      <c r="H7988" t="str">
        <f>TEXT(Tabela1[[#This Row],[Coluna2]]*29,"mmmm")</f>
        <v>dezembro</v>
      </c>
      <c r="I7988" t="str">
        <f>TEXT(MONTH(Tabela1[[#This Row],[Último pagto ano]])*29,"mmmm")</f>
        <v>dezembro</v>
      </c>
    </row>
    <row r="7989" spans="1:9" x14ac:dyDescent="0.25">
      <c r="A7989">
        <v>2025</v>
      </c>
      <c r="B7989" t="s">
        <v>15907</v>
      </c>
      <c r="C7989" s="1">
        <v>45716</v>
      </c>
      <c r="D7989" t="s">
        <v>15908</v>
      </c>
      <c r="E7989" s="2">
        <v>1686.74</v>
      </c>
      <c r="G7989" s="3">
        <f>MONTH(Tabela1[[#This Row],[Último pagto ano]])</f>
        <v>2</v>
      </c>
      <c r="H7989" t="str">
        <f>TEXT(Tabela1[[#This Row],[Coluna2]]*29,"mmmm")</f>
        <v>fevereiro</v>
      </c>
      <c r="I7989" t="str">
        <f>TEXT(MONTH(Tabela1[[#This Row],[Último pagto ano]])*29,"mmmm")</f>
        <v>fevereiro</v>
      </c>
    </row>
    <row r="7990" spans="1:9" x14ac:dyDescent="0.25">
      <c r="A7990">
        <v>2025</v>
      </c>
      <c r="B7990" t="s">
        <v>15909</v>
      </c>
      <c r="C7990" s="1">
        <v>45677</v>
      </c>
      <c r="D7990" t="s">
        <v>15910</v>
      </c>
      <c r="E7990">
        <v>330</v>
      </c>
      <c r="G7990" s="3">
        <f>MONTH(Tabela1[[#This Row],[Último pagto ano]])</f>
        <v>1</v>
      </c>
      <c r="H7990" t="str">
        <f>TEXT(Tabela1[[#This Row],[Coluna2]]*29,"mmmm")</f>
        <v>janeiro</v>
      </c>
      <c r="I7990" t="str">
        <f>TEXT(MONTH(Tabela1[[#This Row],[Último pagto ano]])*29,"mmmm")</f>
        <v>janeiro</v>
      </c>
    </row>
    <row r="7991" spans="1:9" x14ac:dyDescent="0.25">
      <c r="A7991">
        <v>2025</v>
      </c>
      <c r="B7991" t="s">
        <v>15911</v>
      </c>
      <c r="C7991" s="1">
        <v>46006</v>
      </c>
      <c r="D7991" t="s">
        <v>15912</v>
      </c>
      <c r="E7991" s="2">
        <v>8400</v>
      </c>
      <c r="G7991" s="3">
        <f>MONTH(Tabela1[[#This Row],[Último pagto ano]])</f>
        <v>12</v>
      </c>
      <c r="H7991" t="str">
        <f>TEXT(Tabela1[[#This Row],[Coluna2]]*29,"mmmm")</f>
        <v>dezembro</v>
      </c>
      <c r="I7991" t="str">
        <f>TEXT(MONTH(Tabela1[[#This Row],[Último pagto ano]])*29,"mmmm")</f>
        <v>dezembro</v>
      </c>
    </row>
    <row r="7992" spans="1:9" x14ac:dyDescent="0.25">
      <c r="A7992">
        <v>2025</v>
      </c>
      <c r="B7992" t="s">
        <v>15913</v>
      </c>
      <c r="C7992" s="1">
        <v>45989</v>
      </c>
      <c r="D7992" t="s">
        <v>15914</v>
      </c>
      <c r="E7992" s="2">
        <v>4018.35</v>
      </c>
      <c r="G7992" s="3">
        <f>MONTH(Tabela1[[#This Row],[Último pagto ano]])</f>
        <v>11</v>
      </c>
      <c r="H7992" t="str">
        <f>TEXT(Tabela1[[#This Row],[Coluna2]]*29,"mmmm")</f>
        <v>novembro</v>
      </c>
      <c r="I7992" t="str">
        <f>TEXT(MONTH(Tabela1[[#This Row],[Último pagto ano]])*29,"mmmm")</f>
        <v>novembro</v>
      </c>
    </row>
    <row r="7993" spans="1:9" x14ac:dyDescent="0.25">
      <c r="A7993">
        <v>2025</v>
      </c>
      <c r="B7993" t="s">
        <v>15915</v>
      </c>
      <c r="C7993" s="1">
        <v>45852</v>
      </c>
      <c r="D7993" t="s">
        <v>15916</v>
      </c>
      <c r="E7993">
        <v>86.8</v>
      </c>
      <c r="G7993" s="3">
        <f>MONTH(Tabela1[[#This Row],[Último pagto ano]])</f>
        <v>7</v>
      </c>
      <c r="H7993" t="str">
        <f>TEXT(Tabela1[[#This Row],[Coluna2]]*29,"mmmm")</f>
        <v>julho</v>
      </c>
      <c r="I7993" t="str">
        <f>TEXT(MONTH(Tabela1[[#This Row],[Último pagto ano]])*29,"mmmm")</f>
        <v>julho</v>
      </c>
    </row>
    <row r="7994" spans="1:9" x14ac:dyDescent="0.25">
      <c r="A7994">
        <v>2025</v>
      </c>
      <c r="B7994" t="s">
        <v>15917</v>
      </c>
      <c r="C7994" s="1">
        <v>46021</v>
      </c>
      <c r="D7994" t="s">
        <v>15918</v>
      </c>
      <c r="E7994" s="2">
        <v>8422.8799999999992</v>
      </c>
      <c r="G7994" s="3">
        <f>MONTH(Tabela1[[#This Row],[Último pagto ano]])</f>
        <v>12</v>
      </c>
      <c r="H7994" t="str">
        <f>TEXT(Tabela1[[#This Row],[Coluna2]]*29,"mmmm")</f>
        <v>dezembro</v>
      </c>
      <c r="I7994" t="str">
        <f>TEXT(MONTH(Tabela1[[#This Row],[Último pagto ano]])*29,"mmmm")</f>
        <v>dezembro</v>
      </c>
    </row>
    <row r="7995" spans="1:9" x14ac:dyDescent="0.25">
      <c r="A7995">
        <v>2025</v>
      </c>
      <c r="B7995" t="s">
        <v>15919</v>
      </c>
      <c r="C7995" s="1">
        <v>46006</v>
      </c>
      <c r="D7995" t="s">
        <v>15920</v>
      </c>
      <c r="E7995" s="2">
        <v>9000</v>
      </c>
      <c r="G7995" s="3">
        <f>MONTH(Tabela1[[#This Row],[Último pagto ano]])</f>
        <v>12</v>
      </c>
      <c r="H7995" t="str">
        <f>TEXT(Tabela1[[#This Row],[Coluna2]]*29,"mmmm")</f>
        <v>dezembro</v>
      </c>
      <c r="I7995" t="str">
        <f>TEXT(MONTH(Tabela1[[#This Row],[Último pagto ano]])*29,"mmmm")</f>
        <v>dezembro</v>
      </c>
    </row>
    <row r="7996" spans="1:9" x14ac:dyDescent="0.25">
      <c r="A7996">
        <v>2025</v>
      </c>
      <c r="B7996" t="s">
        <v>15921</v>
      </c>
      <c r="C7996" s="1">
        <v>45705</v>
      </c>
      <c r="D7996" t="s">
        <v>15922</v>
      </c>
      <c r="E7996">
        <v>11</v>
      </c>
      <c r="G7996" s="3">
        <f>MONTH(Tabela1[[#This Row],[Último pagto ano]])</f>
        <v>2</v>
      </c>
      <c r="H7996" t="str">
        <f>TEXT(Tabela1[[#This Row],[Coluna2]]*29,"mmmm")</f>
        <v>fevereiro</v>
      </c>
      <c r="I7996" t="str">
        <f>TEXT(MONTH(Tabela1[[#This Row],[Último pagto ano]])*29,"mmmm")</f>
        <v>fevereiro</v>
      </c>
    </row>
    <row r="7997" spans="1:9" x14ac:dyDescent="0.25">
      <c r="A7997">
        <v>2025</v>
      </c>
      <c r="B7997" t="s">
        <v>15923</v>
      </c>
      <c r="C7997" s="1">
        <v>45856</v>
      </c>
      <c r="D7997" t="s">
        <v>15924</v>
      </c>
      <c r="E7997" s="2">
        <v>6217.78</v>
      </c>
      <c r="G7997" s="3">
        <f>MONTH(Tabela1[[#This Row],[Último pagto ano]])</f>
        <v>7</v>
      </c>
      <c r="H7997" t="str">
        <f>TEXT(Tabela1[[#This Row],[Coluna2]]*29,"mmmm")</f>
        <v>julho</v>
      </c>
      <c r="I7997" t="str">
        <f>TEXT(MONTH(Tabela1[[#This Row],[Último pagto ano]])*29,"mmmm")</f>
        <v>julho</v>
      </c>
    </row>
    <row r="7998" spans="1:9" x14ac:dyDescent="0.25">
      <c r="A7998">
        <v>2025</v>
      </c>
      <c r="B7998" t="s">
        <v>15925</v>
      </c>
      <c r="C7998" s="1">
        <v>45989</v>
      </c>
      <c r="D7998" t="s">
        <v>15926</v>
      </c>
      <c r="E7998" s="2">
        <v>7856.56</v>
      </c>
      <c r="G7998" s="3">
        <f>MONTH(Tabela1[[#This Row],[Último pagto ano]])</f>
        <v>11</v>
      </c>
      <c r="H7998" t="str">
        <f>TEXT(Tabela1[[#This Row],[Coluna2]]*29,"mmmm")</f>
        <v>novembro</v>
      </c>
      <c r="I7998" t="str">
        <f>TEXT(MONTH(Tabela1[[#This Row],[Último pagto ano]])*29,"mmmm")</f>
        <v>novembro</v>
      </c>
    </row>
    <row r="7999" spans="1:9" x14ac:dyDescent="0.25">
      <c r="A7999">
        <v>2025</v>
      </c>
      <c r="B7999" t="s">
        <v>15927</v>
      </c>
      <c r="C7999" s="1">
        <v>45702</v>
      </c>
      <c r="D7999" t="s">
        <v>15928</v>
      </c>
      <c r="E7999">
        <v>223.57</v>
      </c>
      <c r="G7999" s="3">
        <f>MONTH(Tabela1[[#This Row],[Último pagto ano]])</f>
        <v>2</v>
      </c>
      <c r="H7999" t="str">
        <f>TEXT(Tabela1[[#This Row],[Coluna2]]*29,"mmmm")</f>
        <v>fevereiro</v>
      </c>
      <c r="I7999" t="str">
        <f>TEXT(MONTH(Tabela1[[#This Row],[Último pagto ano]])*29,"mmmm")</f>
        <v>fevereiro</v>
      </c>
    </row>
    <row r="8000" spans="1:9" x14ac:dyDescent="0.25">
      <c r="A8000">
        <v>2025</v>
      </c>
      <c r="B8000" t="s">
        <v>15929</v>
      </c>
      <c r="C8000" s="1">
        <v>45702</v>
      </c>
      <c r="D8000" t="s">
        <v>15930</v>
      </c>
      <c r="E8000" s="2">
        <v>1171.4100000000001</v>
      </c>
      <c r="G8000" s="3">
        <f>MONTH(Tabela1[[#This Row],[Último pagto ano]])</f>
        <v>2</v>
      </c>
      <c r="H8000" t="str">
        <f>TEXT(Tabela1[[#This Row],[Coluna2]]*29,"mmmm")</f>
        <v>fevereiro</v>
      </c>
      <c r="I8000" t="str">
        <f>TEXT(MONTH(Tabela1[[#This Row],[Último pagto ano]])*29,"mmmm")</f>
        <v>fevereiro</v>
      </c>
    </row>
    <row r="8001" spans="1:9" x14ac:dyDescent="0.25">
      <c r="A8001">
        <v>2025</v>
      </c>
      <c r="B8001" t="s">
        <v>15931</v>
      </c>
      <c r="C8001" s="1">
        <v>46006</v>
      </c>
      <c r="D8001" t="s">
        <v>15932</v>
      </c>
      <c r="E8001" s="2">
        <v>1467.52</v>
      </c>
      <c r="G8001" s="3">
        <f>MONTH(Tabela1[[#This Row],[Último pagto ano]])</f>
        <v>12</v>
      </c>
      <c r="H8001" t="str">
        <f>TEXT(Tabela1[[#This Row],[Coluna2]]*29,"mmmm")</f>
        <v>dezembro</v>
      </c>
      <c r="I8001" t="str">
        <f>TEXT(MONTH(Tabela1[[#This Row],[Último pagto ano]])*29,"mmmm")</f>
        <v>dezembro</v>
      </c>
    </row>
    <row r="8002" spans="1:9" x14ac:dyDescent="0.25">
      <c r="A8002">
        <v>2025</v>
      </c>
      <c r="B8002" t="s">
        <v>15933</v>
      </c>
      <c r="C8002" s="1">
        <v>45791</v>
      </c>
      <c r="D8002" t="s">
        <v>15934</v>
      </c>
      <c r="E8002" s="2">
        <v>2743.78</v>
      </c>
      <c r="G8002" s="3">
        <f>MONTH(Tabela1[[#This Row],[Último pagto ano]])</f>
        <v>5</v>
      </c>
      <c r="H8002" t="str">
        <f>TEXT(Tabela1[[#This Row],[Coluna2]]*29,"mmmm")</f>
        <v>maio</v>
      </c>
      <c r="I8002" t="str">
        <f>TEXT(MONTH(Tabela1[[#This Row],[Último pagto ano]])*29,"mmmm")</f>
        <v>maio</v>
      </c>
    </row>
    <row r="8003" spans="1:9" x14ac:dyDescent="0.25">
      <c r="A8003">
        <v>2025</v>
      </c>
      <c r="B8003" t="s">
        <v>15935</v>
      </c>
      <c r="C8003" s="1">
        <v>45995</v>
      </c>
      <c r="D8003" t="s">
        <v>15936</v>
      </c>
      <c r="E8003">
        <v>22</v>
      </c>
      <c r="G8003" s="3">
        <f>MONTH(Tabela1[[#This Row],[Último pagto ano]])</f>
        <v>12</v>
      </c>
      <c r="H8003" t="str">
        <f>TEXT(Tabela1[[#This Row],[Coluna2]]*29,"mmmm")</f>
        <v>dezembro</v>
      </c>
      <c r="I8003" t="str">
        <f>TEXT(MONTH(Tabela1[[#This Row],[Último pagto ano]])*29,"mmmm")</f>
        <v>dezembro</v>
      </c>
    </row>
    <row r="8004" spans="1:9" x14ac:dyDescent="0.25">
      <c r="A8004">
        <v>2025</v>
      </c>
      <c r="B8004" t="s">
        <v>15937</v>
      </c>
      <c r="C8004" s="1">
        <v>45989</v>
      </c>
      <c r="D8004" t="s">
        <v>15938</v>
      </c>
      <c r="E8004" s="2">
        <v>11664.05</v>
      </c>
      <c r="G8004" s="3">
        <f>MONTH(Tabela1[[#This Row],[Último pagto ano]])</f>
        <v>11</v>
      </c>
      <c r="H8004" t="str">
        <f>TEXT(Tabela1[[#This Row],[Coluna2]]*29,"mmmm")</f>
        <v>novembro</v>
      </c>
      <c r="I8004" t="str">
        <f>TEXT(MONTH(Tabela1[[#This Row],[Último pagto ano]])*29,"mmmm")</f>
        <v>novembro</v>
      </c>
    </row>
    <row r="8005" spans="1:9" x14ac:dyDescent="0.25">
      <c r="A8005">
        <v>2025</v>
      </c>
      <c r="B8005" t="s">
        <v>15939</v>
      </c>
      <c r="C8005" s="1">
        <v>45996</v>
      </c>
      <c r="D8005" t="s">
        <v>15940</v>
      </c>
      <c r="E8005" s="2">
        <v>60132.88</v>
      </c>
      <c r="G8005" s="3">
        <f>MONTH(Tabela1[[#This Row],[Último pagto ano]])</f>
        <v>12</v>
      </c>
      <c r="H8005" t="str">
        <f>TEXT(Tabela1[[#This Row],[Coluna2]]*29,"mmmm")</f>
        <v>dezembro</v>
      </c>
      <c r="I8005" t="str">
        <f>TEXT(MONTH(Tabela1[[#This Row],[Último pagto ano]])*29,"mmmm")</f>
        <v>dezembro</v>
      </c>
    </row>
    <row r="8006" spans="1:9" x14ac:dyDescent="0.25">
      <c r="A8006">
        <v>2025</v>
      </c>
      <c r="B8006" t="s">
        <v>15941</v>
      </c>
      <c r="C8006" s="1">
        <v>45702</v>
      </c>
      <c r="D8006" t="s">
        <v>15942</v>
      </c>
      <c r="E8006">
        <v>859.51</v>
      </c>
      <c r="G8006" s="3">
        <f>MONTH(Tabela1[[#This Row],[Último pagto ano]])</f>
        <v>2</v>
      </c>
      <c r="H8006" t="str">
        <f>TEXT(Tabela1[[#This Row],[Coluna2]]*29,"mmmm")</f>
        <v>fevereiro</v>
      </c>
      <c r="I8006" t="str">
        <f>TEXT(MONTH(Tabela1[[#This Row],[Último pagto ano]])*29,"mmmm")</f>
        <v>fevereiro</v>
      </c>
    </row>
    <row r="8007" spans="1:9" x14ac:dyDescent="0.25">
      <c r="A8007">
        <v>2025</v>
      </c>
      <c r="B8007" t="s">
        <v>15943</v>
      </c>
      <c r="C8007" s="1">
        <v>46010</v>
      </c>
      <c r="D8007" t="s">
        <v>15944</v>
      </c>
      <c r="E8007" s="2">
        <v>12000</v>
      </c>
      <c r="G8007" s="3">
        <f>MONTH(Tabela1[[#This Row],[Último pagto ano]])</f>
        <v>12</v>
      </c>
      <c r="H8007" t="str">
        <f>TEXT(Tabela1[[#This Row],[Coluna2]]*29,"mmmm")</f>
        <v>dezembro</v>
      </c>
      <c r="I8007" t="str">
        <f>TEXT(MONTH(Tabela1[[#This Row],[Último pagto ano]])*29,"mmmm")</f>
        <v>dezembro</v>
      </c>
    </row>
    <row r="8008" spans="1:9" x14ac:dyDescent="0.25">
      <c r="A8008">
        <v>2025</v>
      </c>
      <c r="B8008" t="s">
        <v>15945</v>
      </c>
      <c r="C8008" s="1">
        <v>46021</v>
      </c>
      <c r="D8008" t="s">
        <v>15946</v>
      </c>
      <c r="E8008" s="2">
        <v>12744.89</v>
      </c>
      <c r="G8008" s="3">
        <f>MONTH(Tabela1[[#This Row],[Último pagto ano]])</f>
        <v>12</v>
      </c>
      <c r="H8008" t="str">
        <f>TEXT(Tabela1[[#This Row],[Coluna2]]*29,"mmmm")</f>
        <v>dezembro</v>
      </c>
      <c r="I8008" t="str">
        <f>TEXT(MONTH(Tabela1[[#This Row],[Último pagto ano]])*29,"mmmm")</f>
        <v>dezembro</v>
      </c>
    </row>
    <row r="8009" spans="1:9" x14ac:dyDescent="0.25">
      <c r="A8009">
        <v>2025</v>
      </c>
      <c r="B8009" t="s">
        <v>15947</v>
      </c>
      <c r="C8009" s="1">
        <v>45817</v>
      </c>
      <c r="D8009" t="s">
        <v>15948</v>
      </c>
      <c r="E8009">
        <v>21.49</v>
      </c>
      <c r="G8009" s="3">
        <f>MONTH(Tabela1[[#This Row],[Último pagto ano]])</f>
        <v>6</v>
      </c>
      <c r="H8009" t="str">
        <f>TEXT(Tabela1[[#This Row],[Coluna2]]*29,"mmmm")</f>
        <v>junho</v>
      </c>
      <c r="I8009" t="str">
        <f>TEXT(MONTH(Tabela1[[#This Row],[Último pagto ano]])*29,"mmmm")</f>
        <v>junho</v>
      </c>
    </row>
    <row r="8010" spans="1:9" x14ac:dyDescent="0.25">
      <c r="A8010">
        <v>2025</v>
      </c>
      <c r="B8010" t="s">
        <v>15949</v>
      </c>
      <c r="C8010" s="1">
        <v>45989</v>
      </c>
      <c r="D8010" t="s">
        <v>15950</v>
      </c>
      <c r="E8010">
        <v>617.76</v>
      </c>
      <c r="G8010" s="3">
        <f>MONTH(Tabela1[[#This Row],[Último pagto ano]])</f>
        <v>11</v>
      </c>
      <c r="H8010" t="str">
        <f>TEXT(Tabela1[[#This Row],[Coluna2]]*29,"mmmm")</f>
        <v>novembro</v>
      </c>
      <c r="I8010" t="str">
        <f>TEXT(MONTH(Tabela1[[#This Row],[Último pagto ano]])*29,"mmmm")</f>
        <v>novembro</v>
      </c>
    </row>
    <row r="8011" spans="1:9" x14ac:dyDescent="0.25">
      <c r="A8011">
        <v>2025</v>
      </c>
      <c r="B8011" t="s">
        <v>15951</v>
      </c>
      <c r="C8011" s="1">
        <v>46006</v>
      </c>
      <c r="D8011" t="s">
        <v>15952</v>
      </c>
      <c r="E8011" s="2">
        <v>12000</v>
      </c>
      <c r="G8011" s="3">
        <f>MONTH(Tabela1[[#This Row],[Último pagto ano]])</f>
        <v>12</v>
      </c>
      <c r="H8011" t="str">
        <f>TEXT(Tabela1[[#This Row],[Coluna2]]*29,"mmmm")</f>
        <v>dezembro</v>
      </c>
      <c r="I8011" t="str">
        <f>TEXT(MONTH(Tabela1[[#This Row],[Último pagto ano]])*29,"mmmm")</f>
        <v>dezembro</v>
      </c>
    </row>
    <row r="8012" spans="1:9" x14ac:dyDescent="0.25">
      <c r="A8012">
        <v>2025</v>
      </c>
      <c r="B8012" t="s">
        <v>15953</v>
      </c>
      <c r="C8012" s="1">
        <v>46013</v>
      </c>
      <c r="D8012" t="s">
        <v>15954</v>
      </c>
      <c r="E8012" s="2">
        <v>4006.8</v>
      </c>
      <c r="G8012" s="3">
        <f>MONTH(Tabela1[[#This Row],[Último pagto ano]])</f>
        <v>12</v>
      </c>
      <c r="H8012" t="str">
        <f>TEXT(Tabela1[[#This Row],[Coluna2]]*29,"mmmm")</f>
        <v>dezembro</v>
      </c>
      <c r="I8012" t="str">
        <f>TEXT(MONTH(Tabela1[[#This Row],[Último pagto ano]])*29,"mmmm")</f>
        <v>dezembro</v>
      </c>
    </row>
    <row r="8013" spans="1:9" x14ac:dyDescent="0.25">
      <c r="A8013">
        <v>2025</v>
      </c>
      <c r="B8013" t="s">
        <v>15955</v>
      </c>
      <c r="C8013" s="1">
        <v>45989</v>
      </c>
      <c r="D8013" t="s">
        <v>15956</v>
      </c>
      <c r="E8013" s="2">
        <v>2413.44</v>
      </c>
      <c r="G8013" s="3">
        <f>MONTH(Tabela1[[#This Row],[Último pagto ano]])</f>
        <v>11</v>
      </c>
      <c r="H8013" t="str">
        <f>TEXT(Tabela1[[#This Row],[Coluna2]]*29,"mmmm")</f>
        <v>novembro</v>
      </c>
      <c r="I8013" t="str">
        <f>TEXT(MONTH(Tabela1[[#This Row],[Último pagto ano]])*29,"mmmm")</f>
        <v>novembro</v>
      </c>
    </row>
    <row r="8014" spans="1:9" x14ac:dyDescent="0.25">
      <c r="A8014">
        <v>2025</v>
      </c>
      <c r="B8014" t="s">
        <v>15957</v>
      </c>
      <c r="C8014" s="1">
        <v>45929</v>
      </c>
      <c r="D8014" t="s">
        <v>15958</v>
      </c>
      <c r="E8014">
        <v>44</v>
      </c>
      <c r="G8014" s="3">
        <f>MONTH(Tabela1[[#This Row],[Último pagto ano]])</f>
        <v>9</v>
      </c>
      <c r="H8014" t="str">
        <f>TEXT(Tabela1[[#This Row],[Coluna2]]*29,"mmmm")</f>
        <v>setembro</v>
      </c>
      <c r="I8014" t="str">
        <f>TEXT(MONTH(Tabela1[[#This Row],[Último pagto ano]])*29,"mmmm")</f>
        <v>setembro</v>
      </c>
    </row>
    <row r="8015" spans="1:9" x14ac:dyDescent="0.25">
      <c r="A8015">
        <v>2025</v>
      </c>
      <c r="B8015" t="s">
        <v>15959</v>
      </c>
      <c r="C8015" s="1">
        <v>45777</v>
      </c>
      <c r="D8015" t="s">
        <v>15960</v>
      </c>
      <c r="E8015" s="2">
        <v>4165.07</v>
      </c>
      <c r="G8015" s="3">
        <f>MONTH(Tabela1[[#This Row],[Último pagto ano]])</f>
        <v>4</v>
      </c>
      <c r="H8015" t="str">
        <f>TEXT(Tabela1[[#This Row],[Coluna2]]*29,"mmmm")</f>
        <v>abril</v>
      </c>
      <c r="I8015" t="str">
        <f>TEXT(MONTH(Tabela1[[#This Row],[Último pagto ano]])*29,"mmmm")</f>
        <v>abril</v>
      </c>
    </row>
    <row r="8016" spans="1:9" x14ac:dyDescent="0.25">
      <c r="A8016">
        <v>2025</v>
      </c>
      <c r="B8016" t="s">
        <v>15961</v>
      </c>
      <c r="C8016" s="1">
        <v>45996</v>
      </c>
      <c r="D8016" t="s">
        <v>15962</v>
      </c>
      <c r="E8016" s="2">
        <v>26000</v>
      </c>
      <c r="G8016" s="3">
        <f>MONTH(Tabela1[[#This Row],[Último pagto ano]])</f>
        <v>12</v>
      </c>
      <c r="H8016" t="str">
        <f>TEXT(Tabela1[[#This Row],[Coluna2]]*29,"mmmm")</f>
        <v>dezembro</v>
      </c>
      <c r="I8016" t="str">
        <f>TEXT(MONTH(Tabela1[[#This Row],[Último pagto ano]])*29,"mmmm")</f>
        <v>dezembro</v>
      </c>
    </row>
    <row r="8017" spans="1:9" x14ac:dyDescent="0.25">
      <c r="A8017">
        <v>2025</v>
      </c>
      <c r="B8017" t="s">
        <v>15963</v>
      </c>
      <c r="C8017" s="1">
        <v>45810</v>
      </c>
      <c r="D8017" t="s">
        <v>15964</v>
      </c>
      <c r="E8017">
        <v>42.4</v>
      </c>
      <c r="G8017" s="3">
        <f>MONTH(Tabela1[[#This Row],[Último pagto ano]])</f>
        <v>6</v>
      </c>
      <c r="H8017" t="str">
        <f>TEXT(Tabela1[[#This Row],[Coluna2]]*29,"mmmm")</f>
        <v>junho</v>
      </c>
      <c r="I8017" t="str">
        <f>TEXT(MONTH(Tabela1[[#This Row],[Último pagto ano]])*29,"mmmm")</f>
        <v>junho</v>
      </c>
    </row>
    <row r="8018" spans="1:9" x14ac:dyDescent="0.25">
      <c r="A8018">
        <v>2025</v>
      </c>
      <c r="B8018" t="s">
        <v>15965</v>
      </c>
      <c r="C8018" s="1">
        <v>45908</v>
      </c>
      <c r="D8018" t="s">
        <v>15966</v>
      </c>
      <c r="E8018">
        <v>77</v>
      </c>
      <c r="G8018" s="3">
        <f>MONTH(Tabela1[[#This Row],[Último pagto ano]])</f>
        <v>9</v>
      </c>
      <c r="H8018" t="str">
        <f>TEXT(Tabela1[[#This Row],[Coluna2]]*29,"mmmm")</f>
        <v>setembro</v>
      </c>
      <c r="I8018" t="str">
        <f>TEXT(MONTH(Tabela1[[#This Row],[Último pagto ano]])*29,"mmmm")</f>
        <v>setembro</v>
      </c>
    </row>
    <row r="8019" spans="1:9" x14ac:dyDescent="0.25">
      <c r="A8019">
        <v>2025</v>
      </c>
      <c r="B8019" t="s">
        <v>15967</v>
      </c>
      <c r="C8019" s="1">
        <v>45810</v>
      </c>
      <c r="D8019" t="s">
        <v>15968</v>
      </c>
      <c r="E8019" s="2">
        <v>3738</v>
      </c>
      <c r="G8019" s="3">
        <f>MONTH(Tabela1[[#This Row],[Último pagto ano]])</f>
        <v>6</v>
      </c>
      <c r="H8019" t="str">
        <f>TEXT(Tabela1[[#This Row],[Coluna2]]*29,"mmmm")</f>
        <v>junho</v>
      </c>
      <c r="I8019" t="str">
        <f>TEXT(MONTH(Tabela1[[#This Row],[Último pagto ano]])*29,"mmmm")</f>
        <v>junho</v>
      </c>
    </row>
    <row r="8020" spans="1:9" x14ac:dyDescent="0.25">
      <c r="A8020">
        <v>2025</v>
      </c>
      <c r="B8020" t="s">
        <v>15969</v>
      </c>
      <c r="C8020" s="1">
        <v>45912</v>
      </c>
      <c r="D8020" t="s">
        <v>15970</v>
      </c>
      <c r="E8020">
        <v>786.17</v>
      </c>
      <c r="G8020" s="3">
        <f>MONTH(Tabela1[[#This Row],[Último pagto ano]])</f>
        <v>9</v>
      </c>
      <c r="H8020" t="str">
        <f>TEXT(Tabela1[[#This Row],[Coluna2]]*29,"mmmm")</f>
        <v>setembro</v>
      </c>
      <c r="I8020" t="str">
        <f>TEXT(MONTH(Tabela1[[#This Row],[Último pagto ano]])*29,"mmmm")</f>
        <v>setembro</v>
      </c>
    </row>
    <row r="8021" spans="1:9" x14ac:dyDescent="0.25">
      <c r="A8021">
        <v>2025</v>
      </c>
      <c r="B8021" t="s">
        <v>15971</v>
      </c>
      <c r="C8021" s="1">
        <v>46010</v>
      </c>
      <c r="D8021" t="s">
        <v>15972</v>
      </c>
      <c r="E8021" s="2">
        <v>8400</v>
      </c>
      <c r="G8021" s="3">
        <f>MONTH(Tabela1[[#This Row],[Último pagto ano]])</f>
        <v>12</v>
      </c>
      <c r="H8021" t="str">
        <f>TEXT(Tabela1[[#This Row],[Coluna2]]*29,"mmmm")</f>
        <v>dezembro</v>
      </c>
      <c r="I8021" t="str">
        <f>TEXT(MONTH(Tabela1[[#This Row],[Último pagto ano]])*29,"mmmm")</f>
        <v>dezembro</v>
      </c>
    </row>
    <row r="8022" spans="1:9" x14ac:dyDescent="0.25">
      <c r="A8022">
        <v>2025</v>
      </c>
      <c r="B8022" t="s">
        <v>15973</v>
      </c>
      <c r="C8022" s="1">
        <v>45971</v>
      </c>
      <c r="D8022" t="s">
        <v>15974</v>
      </c>
      <c r="E8022" s="2">
        <v>1200</v>
      </c>
      <c r="G8022" s="3">
        <f>MONTH(Tabela1[[#This Row],[Último pagto ano]])</f>
        <v>11</v>
      </c>
      <c r="H8022" t="str">
        <f>TEXT(Tabela1[[#This Row],[Coluna2]]*29,"mmmm")</f>
        <v>novembro</v>
      </c>
      <c r="I8022" t="str">
        <f>TEXT(MONTH(Tabela1[[#This Row],[Último pagto ano]])*29,"mmmm")</f>
        <v>novembro</v>
      </c>
    </row>
    <row r="8023" spans="1:9" x14ac:dyDescent="0.25">
      <c r="A8023">
        <v>2025</v>
      </c>
      <c r="B8023" t="s">
        <v>15975</v>
      </c>
      <c r="C8023" s="1">
        <v>45890</v>
      </c>
      <c r="D8023" t="s">
        <v>15976</v>
      </c>
      <c r="E8023" s="2">
        <v>4174.59</v>
      </c>
      <c r="G8023" s="3">
        <f>MONTH(Tabela1[[#This Row],[Último pagto ano]])</f>
        <v>8</v>
      </c>
      <c r="H8023" t="str">
        <f>TEXT(Tabela1[[#This Row],[Coluna2]]*29,"mmmm")</f>
        <v>agosto</v>
      </c>
      <c r="I8023" t="str">
        <f>TEXT(MONTH(Tabela1[[#This Row],[Último pagto ano]])*29,"mmmm")</f>
        <v>agosto</v>
      </c>
    </row>
    <row r="8024" spans="1:9" x14ac:dyDescent="0.25">
      <c r="A8024">
        <v>2025</v>
      </c>
      <c r="B8024" t="s">
        <v>15977</v>
      </c>
      <c r="C8024" s="1">
        <v>45702</v>
      </c>
      <c r="D8024" t="s">
        <v>15978</v>
      </c>
      <c r="E8024">
        <v>266.87</v>
      </c>
      <c r="G8024" s="3">
        <f>MONTH(Tabela1[[#This Row],[Último pagto ano]])</f>
        <v>2</v>
      </c>
      <c r="H8024" t="str">
        <f>TEXT(Tabela1[[#This Row],[Coluna2]]*29,"mmmm")</f>
        <v>fevereiro</v>
      </c>
      <c r="I8024" t="str">
        <f>TEXT(MONTH(Tabela1[[#This Row],[Último pagto ano]])*29,"mmmm")</f>
        <v>fevereiro</v>
      </c>
    </row>
    <row r="8025" spans="1:9" x14ac:dyDescent="0.25">
      <c r="A8025">
        <v>2025</v>
      </c>
      <c r="B8025" t="s">
        <v>15979</v>
      </c>
      <c r="C8025" s="1">
        <v>45996</v>
      </c>
      <c r="D8025" t="s">
        <v>15980</v>
      </c>
      <c r="E8025" s="2">
        <v>12000</v>
      </c>
      <c r="G8025" s="3">
        <f>MONTH(Tabela1[[#This Row],[Último pagto ano]])</f>
        <v>12</v>
      </c>
      <c r="H8025" t="str">
        <f>TEXT(Tabela1[[#This Row],[Coluna2]]*29,"mmmm")</f>
        <v>dezembro</v>
      </c>
      <c r="I8025" t="str">
        <f>TEXT(MONTH(Tabela1[[#This Row],[Último pagto ano]])*29,"mmmm")</f>
        <v>dezembro</v>
      </c>
    </row>
    <row r="8026" spans="1:9" x14ac:dyDescent="0.25">
      <c r="A8026">
        <v>2025</v>
      </c>
      <c r="B8026" t="s">
        <v>15981</v>
      </c>
      <c r="C8026" s="1">
        <v>45989</v>
      </c>
      <c r="D8026" t="s">
        <v>15982</v>
      </c>
      <c r="E8026" s="2">
        <v>11504.17</v>
      </c>
      <c r="G8026" s="3">
        <f>MONTH(Tabela1[[#This Row],[Último pagto ano]])</f>
        <v>11</v>
      </c>
      <c r="H8026" t="str">
        <f>TEXT(Tabela1[[#This Row],[Coluna2]]*29,"mmmm")</f>
        <v>novembro</v>
      </c>
      <c r="I8026" t="str">
        <f>TEXT(MONTH(Tabela1[[#This Row],[Último pagto ano]])*29,"mmmm")</f>
        <v>novembro</v>
      </c>
    </row>
    <row r="8027" spans="1:9" x14ac:dyDescent="0.25">
      <c r="A8027">
        <v>2025</v>
      </c>
      <c r="B8027" t="s">
        <v>15983</v>
      </c>
      <c r="C8027" s="1">
        <v>45744</v>
      </c>
      <c r="D8027" t="s">
        <v>15984</v>
      </c>
      <c r="E8027" s="2">
        <v>1227.25</v>
      </c>
      <c r="G8027" s="3">
        <f>MONTH(Tabela1[[#This Row],[Último pagto ano]])</f>
        <v>3</v>
      </c>
      <c r="H8027" t="str">
        <f>TEXT(Tabela1[[#This Row],[Coluna2]]*29,"mmmm")</f>
        <v>março</v>
      </c>
      <c r="I8027" t="str">
        <f>TEXT(MONTH(Tabela1[[#This Row],[Último pagto ano]])*29,"mmmm")</f>
        <v>março</v>
      </c>
    </row>
    <row r="8028" spans="1:9" x14ac:dyDescent="0.25">
      <c r="A8028">
        <v>2025</v>
      </c>
      <c r="B8028" t="s">
        <v>15985</v>
      </c>
      <c r="C8028" s="1">
        <v>45980</v>
      </c>
      <c r="D8028" t="s">
        <v>15986</v>
      </c>
      <c r="E8028">
        <v>495.29</v>
      </c>
      <c r="G8028" s="3">
        <f>MONTH(Tabela1[[#This Row],[Último pagto ano]])</f>
        <v>11</v>
      </c>
      <c r="H8028" t="str">
        <f>TEXT(Tabela1[[#This Row],[Coluna2]]*29,"mmmm")</f>
        <v>novembro</v>
      </c>
      <c r="I8028" t="str">
        <f>TEXT(MONTH(Tabela1[[#This Row],[Último pagto ano]])*29,"mmmm")</f>
        <v>novembro</v>
      </c>
    </row>
    <row r="8029" spans="1:9" x14ac:dyDescent="0.25">
      <c r="A8029">
        <v>2025</v>
      </c>
      <c r="B8029" t="s">
        <v>15987</v>
      </c>
      <c r="C8029" s="1">
        <v>45915</v>
      </c>
      <c r="D8029" t="s">
        <v>15988</v>
      </c>
      <c r="E8029">
        <v>173.6</v>
      </c>
      <c r="G8029" s="3">
        <f>MONTH(Tabela1[[#This Row],[Último pagto ano]])</f>
        <v>9</v>
      </c>
      <c r="H8029" t="str">
        <f>TEXT(Tabela1[[#This Row],[Coluna2]]*29,"mmmm")</f>
        <v>setembro</v>
      </c>
      <c r="I8029" t="str">
        <f>TEXT(MONTH(Tabela1[[#This Row],[Último pagto ano]])*29,"mmmm")</f>
        <v>setembro</v>
      </c>
    </row>
    <row r="8030" spans="1:9" x14ac:dyDescent="0.25">
      <c r="A8030">
        <v>2025</v>
      </c>
      <c r="B8030" t="s">
        <v>15989</v>
      </c>
      <c r="C8030" s="1">
        <v>46013</v>
      </c>
      <c r="D8030" t="s">
        <v>15990</v>
      </c>
      <c r="E8030" s="2">
        <v>13295.25</v>
      </c>
      <c r="G8030" s="3">
        <f>MONTH(Tabela1[[#This Row],[Último pagto ano]])</f>
        <v>12</v>
      </c>
      <c r="H8030" t="str">
        <f>TEXT(Tabela1[[#This Row],[Coluna2]]*29,"mmmm")</f>
        <v>dezembro</v>
      </c>
      <c r="I8030" t="str">
        <f>TEXT(MONTH(Tabela1[[#This Row],[Último pagto ano]])*29,"mmmm")</f>
        <v>dezembro</v>
      </c>
    </row>
    <row r="8031" spans="1:9" x14ac:dyDescent="0.25">
      <c r="A8031">
        <v>2025</v>
      </c>
      <c r="B8031" t="s">
        <v>15989</v>
      </c>
      <c r="C8031" s="1">
        <v>45702</v>
      </c>
      <c r="D8031" t="s">
        <v>15990</v>
      </c>
      <c r="E8031">
        <v>46.92</v>
      </c>
      <c r="G8031" s="3">
        <f>MONTH(Tabela1[[#This Row],[Último pagto ano]])</f>
        <v>2</v>
      </c>
      <c r="H8031" t="str">
        <f>TEXT(Tabela1[[#This Row],[Coluna2]]*29,"mmmm")</f>
        <v>fevereiro</v>
      </c>
      <c r="I8031" t="str">
        <f>TEXT(MONTH(Tabela1[[#This Row],[Último pagto ano]])*29,"mmmm")</f>
        <v>fevereiro</v>
      </c>
    </row>
    <row r="8032" spans="1:9" x14ac:dyDescent="0.25">
      <c r="A8032">
        <v>2025</v>
      </c>
      <c r="B8032" t="s">
        <v>15991</v>
      </c>
      <c r="C8032" s="1">
        <v>45995</v>
      </c>
      <c r="D8032" t="s">
        <v>15992</v>
      </c>
      <c r="E8032">
        <v>130.80000000000001</v>
      </c>
      <c r="G8032" s="3">
        <f>MONTH(Tabela1[[#This Row],[Último pagto ano]])</f>
        <v>12</v>
      </c>
      <c r="H8032" t="str">
        <f>TEXT(Tabela1[[#This Row],[Coluna2]]*29,"mmmm")</f>
        <v>dezembro</v>
      </c>
      <c r="I8032" t="str">
        <f>TEXT(MONTH(Tabela1[[#This Row],[Último pagto ano]])*29,"mmmm")</f>
        <v>dezembro</v>
      </c>
    </row>
    <row r="8033" spans="1:9" x14ac:dyDescent="0.25">
      <c r="A8033">
        <v>2025</v>
      </c>
      <c r="B8033" t="s">
        <v>15993</v>
      </c>
      <c r="C8033" s="1">
        <v>45884</v>
      </c>
      <c r="D8033" t="s">
        <v>15994</v>
      </c>
      <c r="E8033" s="2">
        <v>14969.2</v>
      </c>
      <c r="G8033" s="3">
        <f>MONTH(Tabela1[[#This Row],[Último pagto ano]])</f>
        <v>8</v>
      </c>
      <c r="H8033" t="str">
        <f>TEXT(Tabela1[[#This Row],[Coluna2]]*29,"mmmm")</f>
        <v>agosto</v>
      </c>
      <c r="I8033" t="str">
        <f>TEXT(MONTH(Tabela1[[#This Row],[Último pagto ano]])*29,"mmmm")</f>
        <v>agosto</v>
      </c>
    </row>
    <row r="8034" spans="1:9" x14ac:dyDescent="0.25">
      <c r="A8034">
        <v>2025</v>
      </c>
      <c r="B8034" t="s">
        <v>15995</v>
      </c>
      <c r="C8034" s="1">
        <v>45803</v>
      </c>
      <c r="D8034" t="s">
        <v>15996</v>
      </c>
      <c r="E8034" s="2">
        <v>1400</v>
      </c>
      <c r="G8034" s="3">
        <f>MONTH(Tabela1[[#This Row],[Último pagto ano]])</f>
        <v>5</v>
      </c>
      <c r="H8034" t="str">
        <f>TEXT(Tabela1[[#This Row],[Coluna2]]*29,"mmmm")</f>
        <v>maio</v>
      </c>
      <c r="I8034" t="str">
        <f>TEXT(MONTH(Tabela1[[#This Row],[Último pagto ano]])*29,"mmmm")</f>
        <v>maio</v>
      </c>
    </row>
    <row r="8035" spans="1:9" x14ac:dyDescent="0.25">
      <c r="A8035">
        <v>2025</v>
      </c>
      <c r="B8035" t="s">
        <v>15997</v>
      </c>
      <c r="C8035" s="1">
        <v>46006</v>
      </c>
      <c r="D8035" t="s">
        <v>15998</v>
      </c>
      <c r="E8035">
        <v>405.2</v>
      </c>
      <c r="G8035" s="3">
        <f>MONTH(Tabela1[[#This Row],[Último pagto ano]])</f>
        <v>12</v>
      </c>
      <c r="H8035" t="str">
        <f>TEXT(Tabela1[[#This Row],[Coluna2]]*29,"mmmm")</f>
        <v>dezembro</v>
      </c>
      <c r="I8035" t="str">
        <f>TEXT(MONTH(Tabela1[[#This Row],[Último pagto ano]])*29,"mmmm")</f>
        <v>dezembro</v>
      </c>
    </row>
    <row r="8036" spans="1:9" x14ac:dyDescent="0.25">
      <c r="A8036">
        <v>2025</v>
      </c>
      <c r="B8036" t="s">
        <v>15999</v>
      </c>
      <c r="C8036" s="1">
        <v>45730</v>
      </c>
      <c r="D8036" t="s">
        <v>16000</v>
      </c>
      <c r="E8036" s="2">
        <v>1841.16</v>
      </c>
      <c r="G8036" s="3">
        <f>MONTH(Tabela1[[#This Row],[Último pagto ano]])</f>
        <v>3</v>
      </c>
      <c r="H8036" t="str">
        <f>TEXT(Tabela1[[#This Row],[Coluna2]]*29,"mmmm")</f>
        <v>março</v>
      </c>
      <c r="I8036" t="str">
        <f>TEXT(MONTH(Tabela1[[#This Row],[Último pagto ano]])*29,"mmmm")</f>
        <v>março</v>
      </c>
    </row>
    <row r="8037" spans="1:9" x14ac:dyDescent="0.25">
      <c r="A8037">
        <v>2025</v>
      </c>
      <c r="B8037" t="s">
        <v>16001</v>
      </c>
      <c r="C8037" s="1">
        <v>45702</v>
      </c>
      <c r="D8037" t="s">
        <v>16002</v>
      </c>
      <c r="E8037" s="2">
        <v>1190.99</v>
      </c>
      <c r="G8037" s="3">
        <f>MONTH(Tabela1[[#This Row],[Último pagto ano]])</f>
        <v>2</v>
      </c>
      <c r="H8037" t="str">
        <f>TEXT(Tabela1[[#This Row],[Coluna2]]*29,"mmmm")</f>
        <v>fevereiro</v>
      </c>
      <c r="I8037" t="str">
        <f>TEXT(MONTH(Tabela1[[#This Row],[Último pagto ano]])*29,"mmmm")</f>
        <v>fevereiro</v>
      </c>
    </row>
    <row r="8038" spans="1:9" x14ac:dyDescent="0.25">
      <c r="A8038">
        <v>2025</v>
      </c>
      <c r="B8038" t="s">
        <v>16003</v>
      </c>
      <c r="C8038" s="1">
        <v>45989</v>
      </c>
      <c r="D8038" t="s">
        <v>16004</v>
      </c>
      <c r="E8038" s="2">
        <v>9124.1</v>
      </c>
      <c r="G8038" s="3">
        <f>MONTH(Tabela1[[#This Row],[Último pagto ano]])</f>
        <v>11</v>
      </c>
      <c r="H8038" t="str">
        <f>TEXT(Tabela1[[#This Row],[Coluna2]]*29,"mmmm")</f>
        <v>novembro</v>
      </c>
      <c r="I8038" t="str">
        <f>TEXT(MONTH(Tabela1[[#This Row],[Último pagto ano]])*29,"mmmm")</f>
        <v>novembro</v>
      </c>
    </row>
    <row r="8039" spans="1:9" x14ac:dyDescent="0.25">
      <c r="A8039">
        <v>2025</v>
      </c>
      <c r="B8039" t="s">
        <v>16005</v>
      </c>
      <c r="C8039" s="1">
        <v>45803</v>
      </c>
      <c r="D8039" t="s">
        <v>16006</v>
      </c>
      <c r="E8039" s="2">
        <v>1500</v>
      </c>
      <c r="G8039" s="3">
        <f>MONTH(Tabela1[[#This Row],[Último pagto ano]])</f>
        <v>5</v>
      </c>
      <c r="H8039" t="str">
        <f>TEXT(Tabela1[[#This Row],[Coluna2]]*29,"mmmm")</f>
        <v>maio</v>
      </c>
      <c r="I8039" t="str">
        <f>TEXT(MONTH(Tabela1[[#This Row],[Último pagto ano]])*29,"mmmm")</f>
        <v>maio</v>
      </c>
    </row>
    <row r="8040" spans="1:9" x14ac:dyDescent="0.25">
      <c r="A8040">
        <v>2025</v>
      </c>
      <c r="B8040" t="s">
        <v>16007</v>
      </c>
      <c r="C8040" s="1">
        <v>45930</v>
      </c>
      <c r="D8040" t="s">
        <v>16008</v>
      </c>
      <c r="E8040" s="2">
        <v>1340.26</v>
      </c>
      <c r="G8040" s="3">
        <f>MONTH(Tabela1[[#This Row],[Último pagto ano]])</f>
        <v>9</v>
      </c>
      <c r="H8040" t="str">
        <f>TEXT(Tabela1[[#This Row],[Coluna2]]*29,"mmmm")</f>
        <v>setembro</v>
      </c>
      <c r="I8040" t="str">
        <f>TEXT(MONTH(Tabela1[[#This Row],[Último pagto ano]])*29,"mmmm")</f>
        <v>setembro</v>
      </c>
    </row>
    <row r="8041" spans="1:9" x14ac:dyDescent="0.25">
      <c r="A8041">
        <v>2025</v>
      </c>
      <c r="B8041" t="s">
        <v>16009</v>
      </c>
      <c r="C8041" s="1">
        <v>46021</v>
      </c>
      <c r="D8041" t="s">
        <v>16010</v>
      </c>
      <c r="E8041" s="2">
        <v>1093.3699999999999</v>
      </c>
      <c r="G8041" s="3">
        <f>MONTH(Tabela1[[#This Row],[Último pagto ano]])</f>
        <v>12</v>
      </c>
      <c r="H8041" t="str">
        <f>TEXT(Tabela1[[#This Row],[Coluna2]]*29,"mmmm")</f>
        <v>dezembro</v>
      </c>
      <c r="I8041" t="str">
        <f>TEXT(MONTH(Tabela1[[#This Row],[Último pagto ano]])*29,"mmmm")</f>
        <v>dezembro</v>
      </c>
    </row>
    <row r="8042" spans="1:9" x14ac:dyDescent="0.25">
      <c r="A8042">
        <v>2025</v>
      </c>
      <c r="B8042" t="s">
        <v>16011</v>
      </c>
      <c r="C8042" s="1">
        <v>45996</v>
      </c>
      <c r="D8042" t="s">
        <v>16012</v>
      </c>
      <c r="E8042" s="2">
        <v>8400</v>
      </c>
      <c r="G8042" s="3">
        <f>MONTH(Tabela1[[#This Row],[Último pagto ano]])</f>
        <v>12</v>
      </c>
      <c r="H8042" t="str">
        <f>TEXT(Tabela1[[#This Row],[Coluna2]]*29,"mmmm")</f>
        <v>dezembro</v>
      </c>
      <c r="I8042" t="str">
        <f>TEXT(MONTH(Tabela1[[#This Row],[Último pagto ano]])*29,"mmmm")</f>
        <v>dezembro</v>
      </c>
    </row>
    <row r="8043" spans="1:9" x14ac:dyDescent="0.25">
      <c r="A8043">
        <v>2025</v>
      </c>
      <c r="B8043" t="s">
        <v>16013</v>
      </c>
      <c r="C8043" s="1">
        <v>45841</v>
      </c>
      <c r="D8043" t="s">
        <v>16014</v>
      </c>
      <c r="E8043" s="2">
        <v>5199.3100000000004</v>
      </c>
      <c r="G8043" s="3">
        <f>MONTH(Tabela1[[#This Row],[Último pagto ano]])</f>
        <v>7</v>
      </c>
      <c r="H8043" t="str">
        <f>TEXT(Tabela1[[#This Row],[Coluna2]]*29,"mmmm")</f>
        <v>julho</v>
      </c>
      <c r="I8043" t="str">
        <f>TEXT(MONTH(Tabela1[[#This Row],[Último pagto ano]])*29,"mmmm")</f>
        <v>julho</v>
      </c>
    </row>
    <row r="8044" spans="1:9" x14ac:dyDescent="0.25">
      <c r="A8044">
        <v>2025</v>
      </c>
      <c r="B8044" t="s">
        <v>16015</v>
      </c>
      <c r="C8044" s="1">
        <v>45663</v>
      </c>
      <c r="D8044" t="s">
        <v>16016</v>
      </c>
      <c r="E8044">
        <v>10</v>
      </c>
      <c r="G8044" s="3">
        <f>MONTH(Tabela1[[#This Row],[Último pagto ano]])</f>
        <v>1</v>
      </c>
      <c r="H8044" t="str">
        <f>TEXT(Tabela1[[#This Row],[Coluna2]]*29,"mmmm")</f>
        <v>janeiro</v>
      </c>
      <c r="I8044" t="str">
        <f>TEXT(MONTH(Tabela1[[#This Row],[Último pagto ano]])*29,"mmmm")</f>
        <v>janeiro</v>
      </c>
    </row>
    <row r="8045" spans="1:9" x14ac:dyDescent="0.25">
      <c r="A8045">
        <v>2025</v>
      </c>
      <c r="B8045" t="s">
        <v>16017</v>
      </c>
      <c r="C8045" s="1">
        <v>45999</v>
      </c>
      <c r="D8045" t="s">
        <v>16018</v>
      </c>
      <c r="E8045">
        <v>462</v>
      </c>
      <c r="G8045" s="3">
        <f>MONTH(Tabela1[[#This Row],[Último pagto ano]])</f>
        <v>12</v>
      </c>
      <c r="H8045" t="str">
        <f>TEXT(Tabela1[[#This Row],[Coluna2]]*29,"mmmm")</f>
        <v>dezembro</v>
      </c>
      <c r="I8045" t="str">
        <f>TEXT(MONTH(Tabela1[[#This Row],[Último pagto ano]])*29,"mmmm")</f>
        <v>dezembro</v>
      </c>
    </row>
    <row r="8046" spans="1:9" x14ac:dyDescent="0.25">
      <c r="A8046">
        <v>2025</v>
      </c>
      <c r="B8046" t="s">
        <v>16019</v>
      </c>
      <c r="C8046" s="1">
        <v>45702</v>
      </c>
      <c r="D8046" t="s">
        <v>16020</v>
      </c>
      <c r="E8046">
        <v>848.08</v>
      </c>
      <c r="G8046" s="3">
        <f>MONTH(Tabela1[[#This Row],[Último pagto ano]])</f>
        <v>2</v>
      </c>
      <c r="H8046" t="str">
        <f>TEXT(Tabela1[[#This Row],[Coluna2]]*29,"mmmm")</f>
        <v>fevereiro</v>
      </c>
      <c r="I8046" t="str">
        <f>TEXT(MONTH(Tabela1[[#This Row],[Último pagto ano]])*29,"mmmm")</f>
        <v>fevereiro</v>
      </c>
    </row>
    <row r="8047" spans="1:9" x14ac:dyDescent="0.25">
      <c r="A8047">
        <v>2025</v>
      </c>
      <c r="B8047" t="s">
        <v>16021</v>
      </c>
      <c r="C8047" s="1">
        <v>45988</v>
      </c>
      <c r="D8047" t="s">
        <v>16022</v>
      </c>
      <c r="E8047" s="2">
        <v>4239.3</v>
      </c>
      <c r="G8047" s="3">
        <f>MONTH(Tabela1[[#This Row],[Último pagto ano]])</f>
        <v>11</v>
      </c>
      <c r="H8047" t="str">
        <f>TEXT(Tabela1[[#This Row],[Coluna2]]*29,"mmmm")</f>
        <v>novembro</v>
      </c>
      <c r="I8047" t="str">
        <f>TEXT(MONTH(Tabela1[[#This Row],[Último pagto ano]])*29,"mmmm")</f>
        <v>novembro</v>
      </c>
    </row>
    <row r="8048" spans="1:9" x14ac:dyDescent="0.25">
      <c r="A8048">
        <v>2025</v>
      </c>
      <c r="B8048" t="s">
        <v>16023</v>
      </c>
      <c r="C8048" s="1">
        <v>46006</v>
      </c>
      <c r="D8048" t="s">
        <v>16024</v>
      </c>
      <c r="E8048" s="2">
        <v>8400</v>
      </c>
      <c r="G8048" s="3">
        <f>MONTH(Tabela1[[#This Row],[Último pagto ano]])</f>
        <v>12</v>
      </c>
      <c r="H8048" t="str">
        <f>TEXT(Tabela1[[#This Row],[Coluna2]]*29,"mmmm")</f>
        <v>dezembro</v>
      </c>
      <c r="I8048" t="str">
        <f>TEXT(MONTH(Tabela1[[#This Row],[Último pagto ano]])*29,"mmmm")</f>
        <v>dezembro</v>
      </c>
    </row>
    <row r="8049" spans="1:9" x14ac:dyDescent="0.25">
      <c r="A8049">
        <v>2025</v>
      </c>
      <c r="B8049" t="s">
        <v>16025</v>
      </c>
      <c r="C8049" s="1">
        <v>46010</v>
      </c>
      <c r="D8049" t="s">
        <v>16026</v>
      </c>
      <c r="E8049" s="2">
        <v>8485.6</v>
      </c>
      <c r="G8049" s="3">
        <f>MONTH(Tabela1[[#This Row],[Último pagto ano]])</f>
        <v>12</v>
      </c>
      <c r="H8049" t="str">
        <f>TEXT(Tabela1[[#This Row],[Coluna2]]*29,"mmmm")</f>
        <v>dezembro</v>
      </c>
      <c r="I8049" t="str">
        <f>TEXT(MONTH(Tabela1[[#This Row],[Último pagto ano]])*29,"mmmm")</f>
        <v>dezembro</v>
      </c>
    </row>
    <row r="8050" spans="1:9" x14ac:dyDescent="0.25">
      <c r="A8050">
        <v>2025</v>
      </c>
      <c r="B8050" t="s">
        <v>16027</v>
      </c>
      <c r="C8050" s="1">
        <v>45744</v>
      </c>
      <c r="D8050" t="s">
        <v>16028</v>
      </c>
      <c r="E8050" s="2">
        <v>3074.31</v>
      </c>
      <c r="G8050" s="3">
        <f>MONTH(Tabela1[[#This Row],[Último pagto ano]])</f>
        <v>3</v>
      </c>
      <c r="H8050" t="str">
        <f>TEXT(Tabela1[[#This Row],[Coluna2]]*29,"mmmm")</f>
        <v>março</v>
      </c>
      <c r="I8050" t="str">
        <f>TEXT(MONTH(Tabela1[[#This Row],[Último pagto ano]])*29,"mmmm")</f>
        <v>março</v>
      </c>
    </row>
    <row r="8051" spans="1:9" x14ac:dyDescent="0.25">
      <c r="A8051">
        <v>2025</v>
      </c>
      <c r="B8051" t="s">
        <v>16029</v>
      </c>
      <c r="C8051" s="1">
        <v>45996</v>
      </c>
      <c r="D8051" t="s">
        <v>16030</v>
      </c>
      <c r="E8051" s="2">
        <v>4800</v>
      </c>
      <c r="G8051" s="3">
        <f>MONTH(Tabela1[[#This Row],[Último pagto ano]])</f>
        <v>12</v>
      </c>
      <c r="H8051" t="str">
        <f>TEXT(Tabela1[[#This Row],[Coluna2]]*29,"mmmm")</f>
        <v>dezembro</v>
      </c>
      <c r="I8051" t="str">
        <f>TEXT(MONTH(Tabela1[[#This Row],[Último pagto ano]])*29,"mmmm")</f>
        <v>dezembro</v>
      </c>
    </row>
    <row r="8052" spans="1:9" x14ac:dyDescent="0.25">
      <c r="A8052">
        <v>2025</v>
      </c>
      <c r="B8052" t="s">
        <v>16031</v>
      </c>
      <c r="C8052" s="1">
        <v>46021</v>
      </c>
      <c r="D8052" t="s">
        <v>16032</v>
      </c>
      <c r="E8052" s="2">
        <v>8237.18</v>
      </c>
      <c r="G8052" s="3">
        <f>MONTH(Tabela1[[#This Row],[Último pagto ano]])</f>
        <v>12</v>
      </c>
      <c r="H8052" t="str">
        <f>TEXT(Tabela1[[#This Row],[Coluna2]]*29,"mmmm")</f>
        <v>dezembro</v>
      </c>
      <c r="I8052" t="str">
        <f>TEXT(MONTH(Tabela1[[#This Row],[Último pagto ano]])*29,"mmmm")</f>
        <v>dezembro</v>
      </c>
    </row>
    <row r="8053" spans="1:9" x14ac:dyDescent="0.25">
      <c r="A8053">
        <v>2025</v>
      </c>
      <c r="B8053" t="s">
        <v>16033</v>
      </c>
      <c r="C8053" s="1">
        <v>45996</v>
      </c>
      <c r="D8053" t="s">
        <v>16034</v>
      </c>
      <c r="E8053" s="2">
        <v>10000</v>
      </c>
      <c r="G8053" s="3">
        <f>MONTH(Tabela1[[#This Row],[Último pagto ano]])</f>
        <v>12</v>
      </c>
      <c r="H8053" t="str">
        <f>TEXT(Tabela1[[#This Row],[Coluna2]]*29,"mmmm")</f>
        <v>dezembro</v>
      </c>
      <c r="I8053" t="str">
        <f>TEXT(MONTH(Tabela1[[#This Row],[Último pagto ano]])*29,"mmmm")</f>
        <v>dezembro</v>
      </c>
    </row>
    <row r="8054" spans="1:9" x14ac:dyDescent="0.25">
      <c r="A8054">
        <v>2025</v>
      </c>
      <c r="B8054" t="s">
        <v>16035</v>
      </c>
      <c r="C8054" s="1">
        <v>46007</v>
      </c>
      <c r="D8054" t="s">
        <v>16036</v>
      </c>
      <c r="E8054" s="2">
        <v>5908.8</v>
      </c>
      <c r="G8054" s="3">
        <f>MONTH(Tabela1[[#This Row],[Último pagto ano]])</f>
        <v>12</v>
      </c>
      <c r="H8054" t="str">
        <f>TEXT(Tabela1[[#This Row],[Coluna2]]*29,"mmmm")</f>
        <v>dezembro</v>
      </c>
      <c r="I8054" t="str">
        <f>TEXT(MONTH(Tabela1[[#This Row],[Último pagto ano]])*29,"mmmm")</f>
        <v>dezembro</v>
      </c>
    </row>
    <row r="8055" spans="1:9" x14ac:dyDescent="0.25">
      <c r="A8055">
        <v>2025</v>
      </c>
      <c r="B8055" t="s">
        <v>16037</v>
      </c>
      <c r="C8055" s="1">
        <v>45989</v>
      </c>
      <c r="D8055" t="s">
        <v>16038</v>
      </c>
      <c r="E8055" s="2">
        <v>7925.92</v>
      </c>
      <c r="G8055" s="3">
        <f>MONTH(Tabela1[[#This Row],[Último pagto ano]])</f>
        <v>11</v>
      </c>
      <c r="H8055" t="str">
        <f>TEXT(Tabela1[[#This Row],[Coluna2]]*29,"mmmm")</f>
        <v>novembro</v>
      </c>
      <c r="I8055" t="str">
        <f>TEXT(MONTH(Tabela1[[#This Row],[Último pagto ano]])*29,"mmmm")</f>
        <v>novembro</v>
      </c>
    </row>
    <row r="8056" spans="1:9" x14ac:dyDescent="0.25">
      <c r="A8056">
        <v>2025</v>
      </c>
      <c r="B8056" t="s">
        <v>16039</v>
      </c>
      <c r="C8056" s="1">
        <v>45989</v>
      </c>
      <c r="D8056" t="s">
        <v>16040</v>
      </c>
      <c r="E8056" s="2">
        <v>11074.19</v>
      </c>
      <c r="G8056" s="3">
        <f>MONTH(Tabela1[[#This Row],[Último pagto ano]])</f>
        <v>11</v>
      </c>
      <c r="H8056" t="str">
        <f>TEXT(Tabela1[[#This Row],[Coluna2]]*29,"mmmm")</f>
        <v>novembro</v>
      </c>
      <c r="I8056" t="str">
        <f>TEXT(MONTH(Tabela1[[#This Row],[Último pagto ano]])*29,"mmmm")</f>
        <v>novembro</v>
      </c>
    </row>
    <row r="8057" spans="1:9" x14ac:dyDescent="0.25">
      <c r="A8057">
        <v>2025</v>
      </c>
      <c r="B8057" t="s">
        <v>16041</v>
      </c>
      <c r="C8057" s="1">
        <v>45989</v>
      </c>
      <c r="D8057" t="s">
        <v>16042</v>
      </c>
      <c r="E8057" s="2">
        <v>65106.64</v>
      </c>
      <c r="G8057" s="3">
        <f>MONTH(Tabela1[[#This Row],[Último pagto ano]])</f>
        <v>11</v>
      </c>
      <c r="H8057" t="str">
        <f>TEXT(Tabela1[[#This Row],[Coluna2]]*29,"mmmm")</f>
        <v>novembro</v>
      </c>
      <c r="I8057" t="str">
        <f>TEXT(MONTH(Tabela1[[#This Row],[Último pagto ano]])*29,"mmmm")</f>
        <v>novembro</v>
      </c>
    </row>
    <row r="8058" spans="1:9" x14ac:dyDescent="0.25">
      <c r="A8058">
        <v>2025</v>
      </c>
      <c r="B8058" t="s">
        <v>16043</v>
      </c>
      <c r="C8058" s="1">
        <v>46021</v>
      </c>
      <c r="D8058" t="s">
        <v>16044</v>
      </c>
      <c r="E8058" s="2">
        <v>444000</v>
      </c>
      <c r="G8058" s="3">
        <f>MONTH(Tabela1[[#This Row],[Último pagto ano]])</f>
        <v>12</v>
      </c>
      <c r="H8058" t="str">
        <f>TEXT(Tabela1[[#This Row],[Coluna2]]*29,"mmmm")</f>
        <v>dezembro</v>
      </c>
      <c r="I8058" t="str">
        <f>TEXT(MONTH(Tabela1[[#This Row],[Último pagto ano]])*29,"mmmm")</f>
        <v>dezembro</v>
      </c>
    </row>
    <row r="8059" spans="1:9" x14ac:dyDescent="0.25">
      <c r="A8059">
        <v>2025</v>
      </c>
      <c r="B8059" t="s">
        <v>16045</v>
      </c>
      <c r="C8059" s="1">
        <v>45953</v>
      </c>
      <c r="D8059" t="s">
        <v>16046</v>
      </c>
      <c r="E8059" s="2">
        <v>634030.16</v>
      </c>
      <c r="G8059" s="3">
        <f>MONTH(Tabela1[[#This Row],[Último pagto ano]])</f>
        <v>10</v>
      </c>
      <c r="H8059" t="str">
        <f>TEXT(Tabela1[[#This Row],[Coluna2]]*29,"mmmm")</f>
        <v>outubro</v>
      </c>
      <c r="I8059" t="str">
        <f>TEXT(MONTH(Tabela1[[#This Row],[Último pagto ano]])*29,"mmmm")</f>
        <v>outubro</v>
      </c>
    </row>
    <row r="8060" spans="1:9" x14ac:dyDescent="0.25">
      <c r="A8060">
        <v>2025</v>
      </c>
      <c r="B8060" t="s">
        <v>16047</v>
      </c>
      <c r="C8060" s="1">
        <v>45975</v>
      </c>
      <c r="D8060" t="s">
        <v>16048</v>
      </c>
      <c r="E8060" s="2">
        <v>6126.35</v>
      </c>
      <c r="G8060" s="3">
        <f>MONTH(Tabela1[[#This Row],[Último pagto ano]])</f>
        <v>11</v>
      </c>
      <c r="H8060" t="str">
        <f>TEXT(Tabela1[[#This Row],[Coluna2]]*29,"mmmm")</f>
        <v>novembro</v>
      </c>
      <c r="I8060" t="str">
        <f>TEXT(MONTH(Tabela1[[#This Row],[Último pagto ano]])*29,"mmmm")</f>
        <v>novembro</v>
      </c>
    </row>
    <row r="8061" spans="1:9" x14ac:dyDescent="0.25">
      <c r="A8061">
        <v>2025</v>
      </c>
      <c r="B8061" t="s">
        <v>16049</v>
      </c>
      <c r="C8061" s="1">
        <v>45744</v>
      </c>
      <c r="D8061" t="s">
        <v>16050</v>
      </c>
      <c r="E8061" s="2">
        <v>3840</v>
      </c>
      <c r="G8061" s="3">
        <f>MONTH(Tabela1[[#This Row],[Último pagto ano]])</f>
        <v>3</v>
      </c>
      <c r="H8061" t="str">
        <f>TEXT(Tabela1[[#This Row],[Coluna2]]*29,"mmmm")</f>
        <v>março</v>
      </c>
      <c r="I8061" t="str">
        <f>TEXT(MONTH(Tabela1[[#This Row],[Último pagto ano]])*29,"mmmm")</f>
        <v>março</v>
      </c>
    </row>
    <row r="8062" spans="1:9" x14ac:dyDescent="0.25">
      <c r="A8062">
        <v>2025</v>
      </c>
      <c r="B8062" t="s">
        <v>16051</v>
      </c>
      <c r="C8062" s="1">
        <v>45716</v>
      </c>
      <c r="D8062" t="s">
        <v>16052</v>
      </c>
      <c r="E8062" s="2">
        <v>1715.5</v>
      </c>
      <c r="G8062" s="3">
        <f>MONTH(Tabela1[[#This Row],[Último pagto ano]])</f>
        <v>2</v>
      </c>
      <c r="H8062" t="str">
        <f>TEXT(Tabela1[[#This Row],[Coluna2]]*29,"mmmm")</f>
        <v>fevereiro</v>
      </c>
      <c r="I8062" t="str">
        <f>TEXT(MONTH(Tabela1[[#This Row],[Último pagto ano]])*29,"mmmm")</f>
        <v>fevereiro</v>
      </c>
    </row>
    <row r="8063" spans="1:9" x14ac:dyDescent="0.25">
      <c r="A8063">
        <v>2025</v>
      </c>
      <c r="B8063" t="s">
        <v>16053</v>
      </c>
      <c r="C8063" s="1">
        <v>45996</v>
      </c>
      <c r="D8063" t="s">
        <v>16054</v>
      </c>
      <c r="E8063" s="2">
        <v>47290.8</v>
      </c>
      <c r="G8063" s="3">
        <f>MONTH(Tabela1[[#This Row],[Último pagto ano]])</f>
        <v>12</v>
      </c>
      <c r="H8063" t="str">
        <f>TEXT(Tabela1[[#This Row],[Coluna2]]*29,"mmmm")</f>
        <v>dezembro</v>
      </c>
      <c r="I8063" t="str">
        <f>TEXT(MONTH(Tabela1[[#This Row],[Último pagto ano]])*29,"mmmm")</f>
        <v>dezembro</v>
      </c>
    </row>
    <row r="8064" spans="1:9" x14ac:dyDescent="0.25">
      <c r="A8064">
        <v>2025</v>
      </c>
      <c r="B8064" t="s">
        <v>16055</v>
      </c>
      <c r="C8064" s="1">
        <v>46009</v>
      </c>
      <c r="D8064" t="s">
        <v>16056</v>
      </c>
      <c r="E8064" s="2">
        <v>137579.9</v>
      </c>
      <c r="G8064" s="3">
        <f>MONTH(Tabela1[[#This Row],[Último pagto ano]])</f>
        <v>12</v>
      </c>
      <c r="H8064" t="str">
        <f>TEXT(Tabela1[[#This Row],[Coluna2]]*29,"mmmm")</f>
        <v>dezembro</v>
      </c>
      <c r="I8064" t="str">
        <f>TEXT(MONTH(Tabela1[[#This Row],[Último pagto ano]])*29,"mmmm")</f>
        <v>dezembro</v>
      </c>
    </row>
    <row r="8065" spans="1:9" x14ac:dyDescent="0.25">
      <c r="A8065">
        <v>2025</v>
      </c>
      <c r="B8065" t="s">
        <v>16057</v>
      </c>
      <c r="C8065" s="1">
        <v>45784</v>
      </c>
      <c r="D8065" t="s">
        <v>16058</v>
      </c>
      <c r="E8065" s="2">
        <v>7448</v>
      </c>
      <c r="G8065" s="3">
        <f>MONTH(Tabela1[[#This Row],[Último pagto ano]])</f>
        <v>5</v>
      </c>
      <c r="H8065" t="str">
        <f>TEXT(Tabela1[[#This Row],[Coluna2]]*29,"mmmm")</f>
        <v>maio</v>
      </c>
      <c r="I8065" t="str">
        <f>TEXT(MONTH(Tabela1[[#This Row],[Último pagto ano]])*29,"mmmm")</f>
        <v>maio</v>
      </c>
    </row>
    <row r="8066" spans="1:9" x14ac:dyDescent="0.25">
      <c r="A8066">
        <v>2025</v>
      </c>
      <c r="B8066" t="s">
        <v>16059</v>
      </c>
      <c r="C8066" s="1">
        <v>46021</v>
      </c>
      <c r="D8066" t="s">
        <v>16060</v>
      </c>
      <c r="E8066" s="2">
        <v>2764718.07</v>
      </c>
      <c r="G8066" s="3">
        <f>MONTH(Tabela1[[#This Row],[Último pagto ano]])</f>
        <v>12</v>
      </c>
      <c r="H8066" t="str">
        <f>TEXT(Tabela1[[#This Row],[Coluna2]]*29,"mmmm")</f>
        <v>dezembro</v>
      </c>
      <c r="I8066" t="str">
        <f>TEXT(MONTH(Tabela1[[#This Row],[Último pagto ano]])*29,"mmmm")</f>
        <v>dezembro</v>
      </c>
    </row>
    <row r="8067" spans="1:9" x14ac:dyDescent="0.25">
      <c r="A8067">
        <v>2025</v>
      </c>
      <c r="B8067" t="s">
        <v>16061</v>
      </c>
      <c r="C8067" s="1">
        <v>45702</v>
      </c>
      <c r="D8067" t="s">
        <v>16062</v>
      </c>
      <c r="E8067">
        <v>150.22</v>
      </c>
      <c r="G8067" s="3">
        <f>MONTH(Tabela1[[#This Row],[Último pagto ano]])</f>
        <v>2</v>
      </c>
      <c r="H8067" t="str">
        <f>TEXT(Tabela1[[#This Row],[Coluna2]]*29,"mmmm")</f>
        <v>fevereiro</v>
      </c>
      <c r="I8067" t="str">
        <f>TEXT(MONTH(Tabela1[[#This Row],[Último pagto ano]])*29,"mmmm")</f>
        <v>fevereiro</v>
      </c>
    </row>
    <row r="8068" spans="1:9" x14ac:dyDescent="0.25">
      <c r="A8068">
        <v>2025</v>
      </c>
      <c r="B8068" t="s">
        <v>16063</v>
      </c>
      <c r="C8068" s="1">
        <v>45894</v>
      </c>
      <c r="D8068" t="s">
        <v>16064</v>
      </c>
      <c r="E8068" s="2">
        <v>5600</v>
      </c>
      <c r="G8068" s="3">
        <f>MONTH(Tabela1[[#This Row],[Último pagto ano]])</f>
        <v>8</v>
      </c>
      <c r="H8068" t="str">
        <f>TEXT(Tabela1[[#This Row],[Coluna2]]*29,"mmmm")</f>
        <v>agosto</v>
      </c>
      <c r="I8068" t="str">
        <f>TEXT(MONTH(Tabela1[[#This Row],[Último pagto ano]])*29,"mmmm")</f>
        <v>agosto</v>
      </c>
    </row>
    <row r="8069" spans="1:9" x14ac:dyDescent="0.25">
      <c r="A8069">
        <v>2025</v>
      </c>
      <c r="B8069" t="s">
        <v>16065</v>
      </c>
      <c r="C8069" s="1">
        <v>46013</v>
      </c>
      <c r="D8069" t="s">
        <v>16066</v>
      </c>
      <c r="E8069" s="2">
        <v>40450.239999999998</v>
      </c>
      <c r="G8069" s="3">
        <f>MONTH(Tabela1[[#This Row],[Último pagto ano]])</f>
        <v>12</v>
      </c>
      <c r="H8069" t="str">
        <f>TEXT(Tabela1[[#This Row],[Coluna2]]*29,"mmmm")</f>
        <v>dezembro</v>
      </c>
      <c r="I8069" t="str">
        <f>TEXT(MONTH(Tabela1[[#This Row],[Último pagto ano]])*29,"mmmm")</f>
        <v>dezembro</v>
      </c>
    </row>
    <row r="8070" spans="1:9" x14ac:dyDescent="0.25">
      <c r="A8070">
        <v>2025</v>
      </c>
      <c r="B8070" t="s">
        <v>16067</v>
      </c>
      <c r="C8070" s="1">
        <v>45799</v>
      </c>
      <c r="D8070" t="s">
        <v>16068</v>
      </c>
      <c r="E8070" s="2">
        <v>1050</v>
      </c>
      <c r="G8070" s="3">
        <f>MONTH(Tabela1[[#This Row],[Último pagto ano]])</f>
        <v>5</v>
      </c>
      <c r="H8070" t="str">
        <f>TEXT(Tabela1[[#This Row],[Coluna2]]*29,"mmmm")</f>
        <v>maio</v>
      </c>
      <c r="I8070" t="str">
        <f>TEXT(MONTH(Tabela1[[#This Row],[Último pagto ano]])*29,"mmmm")</f>
        <v>maio</v>
      </c>
    </row>
    <row r="8071" spans="1:9" x14ac:dyDescent="0.25">
      <c r="A8071">
        <v>2025</v>
      </c>
      <c r="B8071" t="s">
        <v>16069</v>
      </c>
      <c r="C8071" s="1">
        <v>46008</v>
      </c>
      <c r="D8071" t="s">
        <v>16070</v>
      </c>
      <c r="E8071" s="2">
        <v>506461.21</v>
      </c>
      <c r="G8071" s="3">
        <f>MONTH(Tabela1[[#This Row],[Último pagto ano]])</f>
        <v>12</v>
      </c>
      <c r="H8071" t="str">
        <f>TEXT(Tabela1[[#This Row],[Coluna2]]*29,"mmmm")</f>
        <v>dezembro</v>
      </c>
      <c r="I8071" t="str">
        <f>TEXT(MONTH(Tabela1[[#This Row],[Último pagto ano]])*29,"mmmm")</f>
        <v>dezembro</v>
      </c>
    </row>
    <row r="8072" spans="1:9" x14ac:dyDescent="0.25">
      <c r="A8072">
        <v>2025</v>
      </c>
      <c r="B8072" t="s">
        <v>16071</v>
      </c>
      <c r="C8072" s="1">
        <v>45747</v>
      </c>
      <c r="D8072" t="s">
        <v>16072</v>
      </c>
      <c r="E8072" s="2">
        <v>18914</v>
      </c>
      <c r="G8072" s="3">
        <f>MONTH(Tabela1[[#This Row],[Último pagto ano]])</f>
        <v>3</v>
      </c>
      <c r="H8072" t="str">
        <f>TEXT(Tabela1[[#This Row],[Coluna2]]*29,"mmmm")</f>
        <v>março</v>
      </c>
      <c r="I8072" t="str">
        <f>TEXT(MONTH(Tabela1[[#This Row],[Último pagto ano]])*29,"mmmm")</f>
        <v>março</v>
      </c>
    </row>
    <row r="8073" spans="1:9" x14ac:dyDescent="0.25">
      <c r="A8073">
        <v>2025</v>
      </c>
      <c r="B8073" t="s">
        <v>16073</v>
      </c>
      <c r="C8073" s="1">
        <v>45842</v>
      </c>
      <c r="D8073" t="s">
        <v>16074</v>
      </c>
      <c r="E8073">
        <v>2.6</v>
      </c>
      <c r="G8073" s="3">
        <f>MONTH(Tabela1[[#This Row],[Último pagto ano]])</f>
        <v>7</v>
      </c>
      <c r="H8073" t="str">
        <f>TEXT(Tabela1[[#This Row],[Coluna2]]*29,"mmmm")</f>
        <v>julho</v>
      </c>
      <c r="I8073" t="str">
        <f>TEXT(MONTH(Tabela1[[#This Row],[Último pagto ano]])*29,"mmmm")</f>
        <v>julho</v>
      </c>
    </row>
    <row r="8074" spans="1:9" x14ac:dyDescent="0.25">
      <c r="A8074">
        <v>2025</v>
      </c>
      <c r="B8074" t="s">
        <v>16075</v>
      </c>
      <c r="C8074" s="1">
        <v>45978</v>
      </c>
      <c r="D8074" t="s">
        <v>16076</v>
      </c>
      <c r="E8074">
        <v>150</v>
      </c>
      <c r="G8074" s="3">
        <f>MONTH(Tabela1[[#This Row],[Último pagto ano]])</f>
        <v>11</v>
      </c>
      <c r="H8074" t="str">
        <f>TEXT(Tabela1[[#This Row],[Coluna2]]*29,"mmmm")</f>
        <v>novembro</v>
      </c>
      <c r="I8074" t="str">
        <f>TEXT(MONTH(Tabela1[[#This Row],[Último pagto ano]])*29,"mmmm")</f>
        <v>novembro</v>
      </c>
    </row>
    <row r="8075" spans="1:9" x14ac:dyDescent="0.25">
      <c r="A8075">
        <v>2025</v>
      </c>
      <c r="B8075" t="s">
        <v>16077</v>
      </c>
      <c r="C8075" s="1">
        <v>46014</v>
      </c>
      <c r="D8075" t="s">
        <v>16078</v>
      </c>
      <c r="E8075" s="2">
        <v>21067.77</v>
      </c>
      <c r="G8075" s="3">
        <f>MONTH(Tabela1[[#This Row],[Último pagto ano]])</f>
        <v>12</v>
      </c>
      <c r="H8075" t="str">
        <f>TEXT(Tabela1[[#This Row],[Coluna2]]*29,"mmmm")</f>
        <v>dezembro</v>
      </c>
      <c r="I8075" t="str">
        <f>TEXT(MONTH(Tabela1[[#This Row],[Último pagto ano]])*29,"mmmm")</f>
        <v>dezembro</v>
      </c>
    </row>
    <row r="8076" spans="1:9" x14ac:dyDescent="0.25">
      <c r="A8076">
        <v>2025</v>
      </c>
      <c r="B8076" t="s">
        <v>16079</v>
      </c>
      <c r="C8076" s="1">
        <v>45754</v>
      </c>
      <c r="D8076" t="s">
        <v>16080</v>
      </c>
      <c r="E8076">
        <v>22</v>
      </c>
      <c r="G8076" s="3">
        <f>MONTH(Tabela1[[#This Row],[Último pagto ano]])</f>
        <v>4</v>
      </c>
      <c r="H8076" t="str">
        <f>TEXT(Tabela1[[#This Row],[Coluna2]]*29,"mmmm")</f>
        <v>abril</v>
      </c>
      <c r="I8076" t="str">
        <f>TEXT(MONTH(Tabela1[[#This Row],[Último pagto ano]])*29,"mmmm")</f>
        <v>abril</v>
      </c>
    </row>
    <row r="8077" spans="1:9" x14ac:dyDescent="0.25">
      <c r="A8077">
        <v>2025</v>
      </c>
      <c r="B8077" t="s">
        <v>16081</v>
      </c>
      <c r="C8077" s="1">
        <v>45849</v>
      </c>
      <c r="D8077" t="s">
        <v>16082</v>
      </c>
      <c r="E8077">
        <v>44</v>
      </c>
      <c r="G8077" s="3">
        <f>MONTH(Tabela1[[#This Row],[Último pagto ano]])</f>
        <v>7</v>
      </c>
      <c r="H8077" t="str">
        <f>TEXT(Tabela1[[#This Row],[Coluna2]]*29,"mmmm")</f>
        <v>julho</v>
      </c>
      <c r="I8077" t="str">
        <f>TEXT(MONTH(Tabela1[[#This Row],[Último pagto ano]])*29,"mmmm")</f>
        <v>julho</v>
      </c>
    </row>
    <row r="8078" spans="1:9" x14ac:dyDescent="0.25">
      <c r="A8078">
        <v>2025</v>
      </c>
      <c r="B8078" t="s">
        <v>16083</v>
      </c>
      <c r="C8078" s="1">
        <v>45743</v>
      </c>
      <c r="D8078" t="s">
        <v>16084</v>
      </c>
      <c r="E8078">
        <v>81.150000000000006</v>
      </c>
      <c r="G8078" s="3">
        <f>MONTH(Tabela1[[#This Row],[Último pagto ano]])</f>
        <v>3</v>
      </c>
      <c r="H8078" t="str">
        <f>TEXT(Tabela1[[#This Row],[Coluna2]]*29,"mmmm")</f>
        <v>março</v>
      </c>
      <c r="I8078" t="str">
        <f>TEXT(MONTH(Tabela1[[#This Row],[Último pagto ano]])*29,"mmmm")</f>
        <v>março</v>
      </c>
    </row>
    <row r="8079" spans="1:9" x14ac:dyDescent="0.25">
      <c r="A8079">
        <v>2025</v>
      </c>
      <c r="B8079" t="s">
        <v>16085</v>
      </c>
      <c r="C8079" s="1">
        <v>45754</v>
      </c>
      <c r="D8079" t="s">
        <v>16086</v>
      </c>
      <c r="E8079">
        <v>66</v>
      </c>
      <c r="G8079" s="3">
        <f>MONTH(Tabela1[[#This Row],[Último pagto ano]])</f>
        <v>4</v>
      </c>
      <c r="H8079" t="str">
        <f>TEXT(Tabela1[[#This Row],[Coluna2]]*29,"mmmm")</f>
        <v>abril</v>
      </c>
      <c r="I8079" t="str">
        <f>TEXT(MONTH(Tabela1[[#This Row],[Último pagto ano]])*29,"mmmm")</f>
        <v>abril</v>
      </c>
    </row>
    <row r="8080" spans="1:9" x14ac:dyDescent="0.25">
      <c r="A8080">
        <v>2025</v>
      </c>
      <c r="B8080" t="s">
        <v>16087</v>
      </c>
      <c r="C8080" s="1">
        <v>45999</v>
      </c>
      <c r="D8080" t="s">
        <v>16088</v>
      </c>
      <c r="E8080">
        <v>154</v>
      </c>
      <c r="G8080" s="3">
        <f>MONTH(Tabela1[[#This Row],[Último pagto ano]])</f>
        <v>12</v>
      </c>
      <c r="H8080" t="str">
        <f>TEXT(Tabela1[[#This Row],[Coluna2]]*29,"mmmm")</f>
        <v>dezembro</v>
      </c>
      <c r="I8080" t="str">
        <f>TEXT(MONTH(Tabela1[[#This Row],[Último pagto ano]])*29,"mmmm")</f>
        <v>dezembro</v>
      </c>
    </row>
    <row r="8081" spans="1:9" x14ac:dyDescent="0.25">
      <c r="A8081">
        <v>2025</v>
      </c>
      <c r="B8081" t="s">
        <v>16089</v>
      </c>
      <c r="C8081" s="1">
        <v>45831</v>
      </c>
      <c r="D8081" t="s">
        <v>16090</v>
      </c>
      <c r="E8081" s="2">
        <v>4126.3999999999996</v>
      </c>
      <c r="G8081" s="3">
        <f>MONTH(Tabela1[[#This Row],[Último pagto ano]])</f>
        <v>6</v>
      </c>
      <c r="H8081" t="str">
        <f>TEXT(Tabela1[[#This Row],[Coluna2]]*29,"mmmm")</f>
        <v>junho</v>
      </c>
      <c r="I8081" t="str">
        <f>TEXT(MONTH(Tabela1[[#This Row],[Último pagto ano]])*29,"mmmm")</f>
        <v>junho</v>
      </c>
    </row>
    <row r="8082" spans="1:9" x14ac:dyDescent="0.25">
      <c r="A8082">
        <v>2025</v>
      </c>
      <c r="B8082" t="s">
        <v>16091</v>
      </c>
      <c r="C8082" s="1">
        <v>45910</v>
      </c>
      <c r="D8082" t="s">
        <v>16092</v>
      </c>
      <c r="E8082" s="2">
        <v>1320</v>
      </c>
      <c r="G8082" s="3">
        <f>MONTH(Tabela1[[#This Row],[Último pagto ano]])</f>
        <v>9</v>
      </c>
      <c r="H8082" t="str">
        <f>TEXT(Tabela1[[#This Row],[Coluna2]]*29,"mmmm")</f>
        <v>setembro</v>
      </c>
      <c r="I8082" t="str">
        <f>TEXT(MONTH(Tabela1[[#This Row],[Último pagto ano]])*29,"mmmm")</f>
        <v>setembro</v>
      </c>
    </row>
    <row r="8083" spans="1:9" x14ac:dyDescent="0.25">
      <c r="A8083">
        <v>2025</v>
      </c>
      <c r="B8083" t="s">
        <v>16093</v>
      </c>
      <c r="C8083" s="1">
        <v>45999</v>
      </c>
      <c r="D8083" t="s">
        <v>16094</v>
      </c>
      <c r="E8083">
        <v>297</v>
      </c>
      <c r="G8083" s="3">
        <f>MONTH(Tabela1[[#This Row],[Último pagto ano]])</f>
        <v>12</v>
      </c>
      <c r="H8083" t="str">
        <f>TEXT(Tabela1[[#This Row],[Coluna2]]*29,"mmmm")</f>
        <v>dezembro</v>
      </c>
      <c r="I8083" t="str">
        <f>TEXT(MONTH(Tabela1[[#This Row],[Último pagto ano]])*29,"mmmm")</f>
        <v>dezembro</v>
      </c>
    </row>
    <row r="8084" spans="1:9" x14ac:dyDescent="0.25">
      <c r="A8084">
        <v>2025</v>
      </c>
      <c r="B8084" t="s">
        <v>16095</v>
      </c>
      <c r="C8084" s="1">
        <v>45744</v>
      </c>
      <c r="D8084" t="s">
        <v>16096</v>
      </c>
      <c r="E8084" s="2">
        <v>48342.05</v>
      </c>
      <c r="G8084" s="3">
        <f>MONTH(Tabela1[[#This Row],[Último pagto ano]])</f>
        <v>3</v>
      </c>
      <c r="H8084" t="str">
        <f>TEXT(Tabela1[[#This Row],[Coluna2]]*29,"mmmm")</f>
        <v>março</v>
      </c>
      <c r="I8084" t="str">
        <f>TEXT(MONTH(Tabela1[[#This Row],[Último pagto ano]])*29,"mmmm")</f>
        <v>março</v>
      </c>
    </row>
    <row r="8085" spans="1:9" x14ac:dyDescent="0.25">
      <c r="A8085">
        <v>2025</v>
      </c>
      <c r="B8085" t="s">
        <v>16097</v>
      </c>
      <c r="C8085" s="1">
        <v>45803</v>
      </c>
      <c r="D8085" t="s">
        <v>16098</v>
      </c>
      <c r="E8085" s="2">
        <v>3500</v>
      </c>
      <c r="G8085" s="3">
        <f>MONTH(Tabela1[[#This Row],[Último pagto ano]])</f>
        <v>5</v>
      </c>
      <c r="H8085" t="str">
        <f>TEXT(Tabela1[[#This Row],[Coluna2]]*29,"mmmm")</f>
        <v>maio</v>
      </c>
      <c r="I8085" t="str">
        <f>TEXT(MONTH(Tabela1[[#This Row],[Último pagto ano]])*29,"mmmm")</f>
        <v>maio</v>
      </c>
    </row>
    <row r="8086" spans="1:9" x14ac:dyDescent="0.25">
      <c r="A8086">
        <v>2025</v>
      </c>
      <c r="B8086" t="s">
        <v>16099</v>
      </c>
      <c r="C8086" s="1">
        <v>46010</v>
      </c>
      <c r="D8086" t="s">
        <v>16100</v>
      </c>
      <c r="E8086" s="2">
        <v>3500</v>
      </c>
      <c r="G8086" s="3">
        <f>MONTH(Tabela1[[#This Row],[Último pagto ano]])</f>
        <v>12</v>
      </c>
      <c r="H8086" t="str">
        <f>TEXT(Tabela1[[#This Row],[Coluna2]]*29,"mmmm")</f>
        <v>dezembro</v>
      </c>
      <c r="I8086" t="str">
        <f>TEXT(MONTH(Tabela1[[#This Row],[Último pagto ano]])*29,"mmmm")</f>
        <v>dezembro</v>
      </c>
    </row>
    <row r="8087" spans="1:9" x14ac:dyDescent="0.25">
      <c r="A8087">
        <v>2025</v>
      </c>
      <c r="B8087" t="s">
        <v>16101</v>
      </c>
      <c r="C8087" s="1">
        <v>45796</v>
      </c>
      <c r="D8087" t="s">
        <v>16102</v>
      </c>
      <c r="E8087" s="2">
        <v>4929.2700000000004</v>
      </c>
      <c r="G8087" s="3">
        <f>MONTH(Tabela1[[#This Row],[Último pagto ano]])</f>
        <v>5</v>
      </c>
      <c r="H8087" t="str">
        <f>TEXT(Tabela1[[#This Row],[Coluna2]]*29,"mmmm")</f>
        <v>maio</v>
      </c>
      <c r="I8087" t="str">
        <f>TEXT(MONTH(Tabela1[[#This Row],[Último pagto ano]])*29,"mmmm")</f>
        <v>maio</v>
      </c>
    </row>
    <row r="8088" spans="1:9" x14ac:dyDescent="0.25">
      <c r="A8088">
        <v>2025</v>
      </c>
      <c r="B8088" t="s">
        <v>16103</v>
      </c>
      <c r="C8088" s="1">
        <v>45681</v>
      </c>
      <c r="D8088" t="s">
        <v>16104</v>
      </c>
      <c r="E8088">
        <v>700</v>
      </c>
      <c r="G8088" s="3">
        <f>MONTH(Tabela1[[#This Row],[Último pagto ano]])</f>
        <v>1</v>
      </c>
      <c r="H8088" t="str">
        <f>TEXT(Tabela1[[#This Row],[Coluna2]]*29,"mmmm")</f>
        <v>janeiro</v>
      </c>
      <c r="I8088" t="str">
        <f>TEXT(MONTH(Tabela1[[#This Row],[Último pagto ano]])*29,"mmmm")</f>
        <v>janeiro</v>
      </c>
    </row>
    <row r="8089" spans="1:9" x14ac:dyDescent="0.25">
      <c r="A8089">
        <v>2025</v>
      </c>
      <c r="B8089" t="s">
        <v>16105</v>
      </c>
      <c r="C8089" s="1">
        <v>46006</v>
      </c>
      <c r="D8089" t="s">
        <v>16106</v>
      </c>
      <c r="E8089" s="2">
        <v>3553.92</v>
      </c>
      <c r="G8089" s="3">
        <f>MONTH(Tabela1[[#This Row],[Último pagto ano]])</f>
        <v>12</v>
      </c>
      <c r="H8089" t="str">
        <f>TEXT(Tabela1[[#This Row],[Coluna2]]*29,"mmmm")</f>
        <v>dezembro</v>
      </c>
      <c r="I8089" t="str">
        <f>TEXT(MONTH(Tabela1[[#This Row],[Último pagto ano]])*29,"mmmm")</f>
        <v>dezembro</v>
      </c>
    </row>
    <row r="8090" spans="1:9" x14ac:dyDescent="0.25">
      <c r="A8090">
        <v>2025</v>
      </c>
      <c r="B8090" t="s">
        <v>16107</v>
      </c>
      <c r="C8090" s="1">
        <v>46006</v>
      </c>
      <c r="D8090" t="s">
        <v>16108</v>
      </c>
      <c r="E8090">
        <v>198</v>
      </c>
      <c r="G8090" s="3">
        <f>MONTH(Tabela1[[#This Row],[Último pagto ano]])</f>
        <v>12</v>
      </c>
      <c r="H8090" t="str">
        <f>TEXT(Tabela1[[#This Row],[Coluna2]]*29,"mmmm")</f>
        <v>dezembro</v>
      </c>
      <c r="I8090" t="str">
        <f>TEXT(MONTH(Tabela1[[#This Row],[Último pagto ano]])*29,"mmmm")</f>
        <v>dezembro</v>
      </c>
    </row>
    <row r="8091" spans="1:9" x14ac:dyDescent="0.25">
      <c r="A8091">
        <v>2025</v>
      </c>
      <c r="B8091" t="s">
        <v>16109</v>
      </c>
      <c r="C8091" s="1">
        <v>46014</v>
      </c>
      <c r="D8091" t="s">
        <v>16110</v>
      </c>
      <c r="E8091">
        <v>44</v>
      </c>
      <c r="G8091" s="3">
        <f>MONTH(Tabela1[[#This Row],[Último pagto ano]])</f>
        <v>12</v>
      </c>
      <c r="H8091" t="str">
        <f>TEXT(Tabela1[[#This Row],[Coluna2]]*29,"mmmm")</f>
        <v>dezembro</v>
      </c>
      <c r="I8091" t="str">
        <f>TEXT(MONTH(Tabela1[[#This Row],[Último pagto ano]])*29,"mmmm")</f>
        <v>dezembro</v>
      </c>
    </row>
    <row r="8092" spans="1:9" x14ac:dyDescent="0.25">
      <c r="A8092">
        <v>2025</v>
      </c>
      <c r="B8092" t="s">
        <v>16111</v>
      </c>
      <c r="C8092" s="1">
        <v>45989</v>
      </c>
      <c r="D8092" t="s">
        <v>16112</v>
      </c>
      <c r="E8092" s="2">
        <v>349000</v>
      </c>
      <c r="G8092" s="3">
        <f>MONTH(Tabela1[[#This Row],[Último pagto ano]])</f>
        <v>11</v>
      </c>
      <c r="H8092" t="str">
        <f>TEXT(Tabela1[[#This Row],[Coluna2]]*29,"mmmm")</f>
        <v>novembro</v>
      </c>
      <c r="I8092" t="str">
        <f>TEXT(MONTH(Tabela1[[#This Row],[Último pagto ano]])*29,"mmmm")</f>
        <v>novembro</v>
      </c>
    </row>
    <row r="8093" spans="1:9" x14ac:dyDescent="0.25">
      <c r="A8093">
        <v>2025</v>
      </c>
      <c r="B8093" t="s">
        <v>16113</v>
      </c>
      <c r="C8093" s="1">
        <v>45813</v>
      </c>
      <c r="D8093" t="s">
        <v>16114</v>
      </c>
      <c r="E8093" s="2">
        <v>17920.990000000002</v>
      </c>
      <c r="G8093" s="3">
        <f>MONTH(Tabela1[[#This Row],[Último pagto ano]])</f>
        <v>6</v>
      </c>
      <c r="H8093" t="str">
        <f>TEXT(Tabela1[[#This Row],[Coluna2]]*29,"mmmm")</f>
        <v>junho</v>
      </c>
      <c r="I8093" t="str">
        <f>TEXT(MONTH(Tabela1[[#This Row],[Último pagto ano]])*29,"mmmm")</f>
        <v>junho</v>
      </c>
    </row>
    <row r="8094" spans="1:9" x14ac:dyDescent="0.25">
      <c r="A8094">
        <v>2025</v>
      </c>
      <c r="B8094" t="s">
        <v>16115</v>
      </c>
      <c r="C8094" s="1">
        <v>45786</v>
      </c>
      <c r="D8094" t="s">
        <v>16116</v>
      </c>
      <c r="E8094" s="2">
        <v>16998.3</v>
      </c>
      <c r="G8094" s="3">
        <f>MONTH(Tabela1[[#This Row],[Último pagto ano]])</f>
        <v>5</v>
      </c>
      <c r="H8094" t="str">
        <f>TEXT(Tabela1[[#This Row],[Coluna2]]*29,"mmmm")</f>
        <v>maio</v>
      </c>
      <c r="I8094" t="str">
        <f>TEXT(MONTH(Tabela1[[#This Row],[Último pagto ano]])*29,"mmmm")</f>
        <v>maio</v>
      </c>
    </row>
    <row r="8095" spans="1:9" x14ac:dyDescent="0.25">
      <c r="A8095">
        <v>2025</v>
      </c>
      <c r="B8095" t="s">
        <v>16117</v>
      </c>
      <c r="C8095" s="1">
        <v>46000</v>
      </c>
      <c r="D8095" t="s">
        <v>16118</v>
      </c>
      <c r="E8095" s="2">
        <v>5021681.49</v>
      </c>
      <c r="G8095" s="3">
        <f>MONTH(Tabela1[[#This Row],[Último pagto ano]])</f>
        <v>12</v>
      </c>
      <c r="H8095" t="str">
        <f>TEXT(Tabela1[[#This Row],[Coluna2]]*29,"mmmm")</f>
        <v>dezembro</v>
      </c>
      <c r="I8095" t="str">
        <f>TEXT(MONTH(Tabela1[[#This Row],[Último pagto ano]])*29,"mmmm")</f>
        <v>dezembro</v>
      </c>
    </row>
    <row r="8096" spans="1:9" x14ac:dyDescent="0.25">
      <c r="A8096">
        <v>2025</v>
      </c>
      <c r="B8096" t="s">
        <v>16119</v>
      </c>
      <c r="C8096" s="1">
        <v>46010</v>
      </c>
      <c r="D8096" t="s">
        <v>16120</v>
      </c>
      <c r="E8096" s="2">
        <v>407130.24</v>
      </c>
      <c r="G8096" s="3">
        <f>MONTH(Tabela1[[#This Row],[Último pagto ano]])</f>
        <v>12</v>
      </c>
      <c r="H8096" t="str">
        <f>TEXT(Tabela1[[#This Row],[Coluna2]]*29,"mmmm")</f>
        <v>dezembro</v>
      </c>
      <c r="I8096" t="str">
        <f>TEXT(MONTH(Tabela1[[#This Row],[Último pagto ano]])*29,"mmmm")</f>
        <v>dezembro</v>
      </c>
    </row>
    <row r="8097" spans="1:9" x14ac:dyDescent="0.25">
      <c r="A8097">
        <v>2025</v>
      </c>
      <c r="B8097" t="s">
        <v>16121</v>
      </c>
      <c r="C8097" s="1">
        <v>45985</v>
      </c>
      <c r="D8097" t="s">
        <v>16122</v>
      </c>
      <c r="E8097">
        <v>451</v>
      </c>
      <c r="G8097" s="3">
        <f>MONTH(Tabela1[[#This Row],[Último pagto ano]])</f>
        <v>11</v>
      </c>
      <c r="H8097" t="str">
        <f>TEXT(Tabela1[[#This Row],[Coluna2]]*29,"mmmm")</f>
        <v>novembro</v>
      </c>
      <c r="I8097" t="str">
        <f>TEXT(MONTH(Tabela1[[#This Row],[Último pagto ano]])*29,"mmmm")</f>
        <v>novembro</v>
      </c>
    </row>
    <row r="8098" spans="1:9" x14ac:dyDescent="0.25">
      <c r="A8098">
        <v>2025</v>
      </c>
      <c r="B8098" t="s">
        <v>16123</v>
      </c>
      <c r="C8098" s="1">
        <v>46021</v>
      </c>
      <c r="D8098" t="s">
        <v>16124</v>
      </c>
      <c r="E8098" s="2">
        <v>113964.03</v>
      </c>
      <c r="G8098" s="3">
        <f>MONTH(Tabela1[[#This Row],[Último pagto ano]])</f>
        <v>12</v>
      </c>
      <c r="H8098" t="str">
        <f>TEXT(Tabela1[[#This Row],[Coluna2]]*29,"mmmm")</f>
        <v>dezembro</v>
      </c>
      <c r="I8098" t="str">
        <f>TEXT(MONTH(Tabela1[[#This Row],[Último pagto ano]])*29,"mmmm")</f>
        <v>dezembro</v>
      </c>
    </row>
    <row r="8099" spans="1:9" x14ac:dyDescent="0.25">
      <c r="A8099">
        <v>2025</v>
      </c>
      <c r="B8099" t="s">
        <v>16125</v>
      </c>
      <c r="C8099" s="1">
        <v>45953</v>
      </c>
      <c r="D8099" t="s">
        <v>16126</v>
      </c>
      <c r="E8099" s="2">
        <v>54000</v>
      </c>
      <c r="G8099" s="3">
        <f>MONTH(Tabela1[[#This Row],[Último pagto ano]])</f>
        <v>10</v>
      </c>
      <c r="H8099" t="str">
        <f>TEXT(Tabela1[[#This Row],[Coluna2]]*29,"mmmm")</f>
        <v>outubro</v>
      </c>
      <c r="I8099" t="str">
        <f>TEXT(MONTH(Tabela1[[#This Row],[Último pagto ano]])*29,"mmmm")</f>
        <v>outubro</v>
      </c>
    </row>
    <row r="8100" spans="1:9" x14ac:dyDescent="0.25">
      <c r="A8100">
        <v>2025</v>
      </c>
      <c r="B8100" t="s">
        <v>16127</v>
      </c>
      <c r="C8100" s="1">
        <v>46013</v>
      </c>
      <c r="D8100" t="s">
        <v>16128</v>
      </c>
      <c r="E8100" s="2">
        <v>1058.4000000000001</v>
      </c>
      <c r="G8100" s="3">
        <f>MONTH(Tabela1[[#This Row],[Último pagto ano]])</f>
        <v>12</v>
      </c>
      <c r="H8100" t="str">
        <f>TEXT(Tabela1[[#This Row],[Coluna2]]*29,"mmmm")</f>
        <v>dezembro</v>
      </c>
      <c r="I8100" t="str">
        <f>TEXT(MONTH(Tabela1[[#This Row],[Último pagto ano]])*29,"mmmm")</f>
        <v>dezembro</v>
      </c>
    </row>
    <row r="8101" spans="1:9" x14ac:dyDescent="0.25">
      <c r="A8101">
        <v>2025</v>
      </c>
      <c r="B8101" t="s">
        <v>16129</v>
      </c>
      <c r="C8101" s="1">
        <v>45716</v>
      </c>
      <c r="D8101" t="s">
        <v>16130</v>
      </c>
      <c r="E8101">
        <v>985.71</v>
      </c>
      <c r="G8101" s="3">
        <f>MONTH(Tabela1[[#This Row],[Último pagto ano]])</f>
        <v>2</v>
      </c>
      <c r="H8101" t="str">
        <f>TEXT(Tabela1[[#This Row],[Coluna2]]*29,"mmmm")</f>
        <v>fevereiro</v>
      </c>
      <c r="I8101" t="str">
        <f>TEXT(MONTH(Tabela1[[#This Row],[Último pagto ano]])*29,"mmmm")</f>
        <v>fevereiro</v>
      </c>
    </row>
    <row r="8102" spans="1:9" x14ac:dyDescent="0.25">
      <c r="A8102">
        <v>2025</v>
      </c>
      <c r="B8102" t="s">
        <v>16131</v>
      </c>
      <c r="C8102" s="1">
        <v>45999</v>
      </c>
      <c r="D8102" t="s">
        <v>16132</v>
      </c>
      <c r="E8102">
        <v>836</v>
      </c>
      <c r="G8102" s="3">
        <f>MONTH(Tabela1[[#This Row],[Último pagto ano]])</f>
        <v>12</v>
      </c>
      <c r="H8102" t="str">
        <f>TEXT(Tabela1[[#This Row],[Coluna2]]*29,"mmmm")</f>
        <v>dezembro</v>
      </c>
      <c r="I8102" t="str">
        <f>TEXT(MONTH(Tabela1[[#This Row],[Último pagto ano]])*29,"mmmm")</f>
        <v>dezembro</v>
      </c>
    </row>
    <row r="8103" spans="1:9" x14ac:dyDescent="0.25">
      <c r="A8103">
        <v>2025</v>
      </c>
      <c r="B8103" t="s">
        <v>16133</v>
      </c>
      <c r="C8103" s="1">
        <v>45989</v>
      </c>
      <c r="D8103" t="s">
        <v>16134</v>
      </c>
      <c r="E8103" s="2">
        <v>11712.53</v>
      </c>
      <c r="G8103" s="3">
        <f>MONTH(Tabela1[[#This Row],[Último pagto ano]])</f>
        <v>11</v>
      </c>
      <c r="H8103" t="str">
        <f>TEXT(Tabela1[[#This Row],[Coluna2]]*29,"mmmm")</f>
        <v>novembro</v>
      </c>
      <c r="I8103" t="str">
        <f>TEXT(MONTH(Tabela1[[#This Row],[Último pagto ano]])*29,"mmmm")</f>
        <v>novembro</v>
      </c>
    </row>
    <row r="8104" spans="1:9" x14ac:dyDescent="0.25">
      <c r="A8104">
        <v>2025</v>
      </c>
      <c r="B8104" t="s">
        <v>16133</v>
      </c>
      <c r="C8104" s="1">
        <v>45999</v>
      </c>
      <c r="D8104" t="s">
        <v>16134</v>
      </c>
      <c r="E8104">
        <v>22</v>
      </c>
      <c r="G8104" s="3">
        <f>MONTH(Tabela1[[#This Row],[Último pagto ano]])</f>
        <v>12</v>
      </c>
      <c r="H8104" t="str">
        <f>TEXT(Tabela1[[#This Row],[Coluna2]]*29,"mmmm")</f>
        <v>dezembro</v>
      </c>
      <c r="I8104" t="str">
        <f>TEXT(MONTH(Tabela1[[#This Row],[Último pagto ano]])*29,"mmmm")</f>
        <v>dezembro</v>
      </c>
    </row>
    <row r="8105" spans="1:9" x14ac:dyDescent="0.25">
      <c r="A8105">
        <v>2025</v>
      </c>
      <c r="B8105" t="s">
        <v>16135</v>
      </c>
      <c r="C8105" s="1">
        <v>45989</v>
      </c>
      <c r="D8105" t="s">
        <v>16136</v>
      </c>
      <c r="E8105" s="2">
        <v>11308.09</v>
      </c>
      <c r="G8105" s="3">
        <f>MONTH(Tabela1[[#This Row],[Último pagto ano]])</f>
        <v>11</v>
      </c>
      <c r="H8105" t="str">
        <f>TEXT(Tabela1[[#This Row],[Coluna2]]*29,"mmmm")</f>
        <v>novembro</v>
      </c>
      <c r="I8105" t="str">
        <f>TEXT(MONTH(Tabela1[[#This Row],[Último pagto ano]])*29,"mmmm")</f>
        <v>novembro</v>
      </c>
    </row>
    <row r="8106" spans="1:9" x14ac:dyDescent="0.25">
      <c r="A8106">
        <v>2025</v>
      </c>
      <c r="B8106" t="s">
        <v>16137</v>
      </c>
      <c r="C8106" s="1">
        <v>45702</v>
      </c>
      <c r="D8106" t="s">
        <v>16138</v>
      </c>
      <c r="E8106" s="2">
        <v>1177.26</v>
      </c>
      <c r="G8106" s="3">
        <f>MONTH(Tabela1[[#This Row],[Último pagto ano]])</f>
        <v>2</v>
      </c>
      <c r="H8106" t="str">
        <f>TEXT(Tabela1[[#This Row],[Coluna2]]*29,"mmmm")</f>
        <v>fevereiro</v>
      </c>
      <c r="I8106" t="str">
        <f>TEXT(MONTH(Tabela1[[#This Row],[Último pagto ano]])*29,"mmmm")</f>
        <v>fevereiro</v>
      </c>
    </row>
    <row r="8107" spans="1:9" x14ac:dyDescent="0.25">
      <c r="A8107">
        <v>2025</v>
      </c>
      <c r="B8107" t="s">
        <v>16139</v>
      </c>
      <c r="C8107" s="1">
        <v>45964</v>
      </c>
      <c r="D8107" t="s">
        <v>16140</v>
      </c>
      <c r="E8107">
        <v>154</v>
      </c>
      <c r="G8107" s="3">
        <f>MONTH(Tabela1[[#This Row],[Último pagto ano]])</f>
        <v>11</v>
      </c>
      <c r="H8107" t="str">
        <f>TEXT(Tabela1[[#This Row],[Coluna2]]*29,"mmmm")</f>
        <v>novembro</v>
      </c>
      <c r="I8107" t="str">
        <f>TEXT(MONTH(Tabela1[[#This Row],[Último pagto ano]])*29,"mmmm")</f>
        <v>novembro</v>
      </c>
    </row>
    <row r="8108" spans="1:9" x14ac:dyDescent="0.25">
      <c r="A8108">
        <v>2025</v>
      </c>
      <c r="B8108" t="s">
        <v>16141</v>
      </c>
      <c r="C8108" s="1">
        <v>45876</v>
      </c>
      <c r="D8108" t="s">
        <v>16142</v>
      </c>
      <c r="E8108" s="2">
        <v>5100</v>
      </c>
      <c r="G8108" s="3">
        <f>MONTH(Tabela1[[#This Row],[Último pagto ano]])</f>
        <v>8</v>
      </c>
      <c r="H8108" t="str">
        <f>TEXT(Tabela1[[#This Row],[Coluna2]]*29,"mmmm")</f>
        <v>agosto</v>
      </c>
      <c r="I8108" t="str">
        <f>TEXT(MONTH(Tabela1[[#This Row],[Último pagto ano]])*29,"mmmm")</f>
        <v>agosto</v>
      </c>
    </row>
    <row r="8109" spans="1:9" x14ac:dyDescent="0.25">
      <c r="A8109">
        <v>2025</v>
      </c>
      <c r="B8109" t="s">
        <v>16143</v>
      </c>
      <c r="C8109" s="1">
        <v>45930</v>
      </c>
      <c r="D8109" t="s">
        <v>16144</v>
      </c>
      <c r="E8109" s="2">
        <v>1337.34</v>
      </c>
      <c r="G8109" s="3">
        <f>MONTH(Tabela1[[#This Row],[Último pagto ano]])</f>
        <v>9</v>
      </c>
      <c r="H8109" t="str">
        <f>TEXT(Tabela1[[#This Row],[Coluna2]]*29,"mmmm")</f>
        <v>setembro</v>
      </c>
      <c r="I8109" t="str">
        <f>TEXT(MONTH(Tabela1[[#This Row],[Último pagto ano]])*29,"mmmm")</f>
        <v>setembro</v>
      </c>
    </row>
    <row r="8110" spans="1:9" x14ac:dyDescent="0.25">
      <c r="A8110">
        <v>2025</v>
      </c>
      <c r="B8110" t="s">
        <v>16145</v>
      </c>
      <c r="C8110" s="1">
        <v>46010</v>
      </c>
      <c r="D8110" t="s">
        <v>16146</v>
      </c>
      <c r="E8110" s="2">
        <v>12000</v>
      </c>
      <c r="G8110" s="3">
        <f>MONTH(Tabela1[[#This Row],[Último pagto ano]])</f>
        <v>12</v>
      </c>
      <c r="H8110" t="str">
        <f>TEXT(Tabela1[[#This Row],[Coluna2]]*29,"mmmm")</f>
        <v>dezembro</v>
      </c>
      <c r="I8110" t="str">
        <f>TEXT(MONTH(Tabela1[[#This Row],[Último pagto ano]])*29,"mmmm")</f>
        <v>dezembro</v>
      </c>
    </row>
    <row r="8111" spans="1:9" x14ac:dyDescent="0.25">
      <c r="A8111">
        <v>2025</v>
      </c>
      <c r="B8111" t="s">
        <v>16147</v>
      </c>
      <c r="C8111" s="1">
        <v>45702</v>
      </c>
      <c r="D8111" t="s">
        <v>16148</v>
      </c>
      <c r="E8111">
        <v>435.98</v>
      </c>
      <c r="G8111" s="3">
        <f>MONTH(Tabela1[[#This Row],[Último pagto ano]])</f>
        <v>2</v>
      </c>
      <c r="H8111" t="str">
        <f>TEXT(Tabela1[[#This Row],[Coluna2]]*29,"mmmm")</f>
        <v>fevereiro</v>
      </c>
      <c r="I8111" t="str">
        <f>TEXT(MONTH(Tabela1[[#This Row],[Último pagto ano]])*29,"mmmm")</f>
        <v>fevereiro</v>
      </c>
    </row>
    <row r="8112" spans="1:9" x14ac:dyDescent="0.25">
      <c r="A8112">
        <v>2025</v>
      </c>
      <c r="B8112" t="s">
        <v>16149</v>
      </c>
      <c r="C8112" s="1">
        <v>45803</v>
      </c>
      <c r="D8112" t="s">
        <v>16150</v>
      </c>
      <c r="E8112" s="2">
        <v>1500</v>
      </c>
      <c r="G8112" s="3">
        <f>MONTH(Tabela1[[#This Row],[Último pagto ano]])</f>
        <v>5</v>
      </c>
      <c r="H8112" t="str">
        <f>TEXT(Tabela1[[#This Row],[Coluna2]]*29,"mmmm")</f>
        <v>maio</v>
      </c>
      <c r="I8112" t="str">
        <f>TEXT(MONTH(Tabela1[[#This Row],[Último pagto ano]])*29,"mmmm")</f>
        <v>maio</v>
      </c>
    </row>
    <row r="8113" spans="1:9" x14ac:dyDescent="0.25">
      <c r="A8113">
        <v>2025</v>
      </c>
      <c r="B8113" t="s">
        <v>16151</v>
      </c>
      <c r="C8113" s="1">
        <v>46010</v>
      </c>
      <c r="D8113" t="s">
        <v>16152</v>
      </c>
      <c r="E8113" s="2">
        <v>12000</v>
      </c>
      <c r="G8113" s="3">
        <f>MONTH(Tabela1[[#This Row],[Último pagto ano]])</f>
        <v>12</v>
      </c>
      <c r="H8113" t="str">
        <f>TEXT(Tabela1[[#This Row],[Coluna2]]*29,"mmmm")</f>
        <v>dezembro</v>
      </c>
      <c r="I8113" t="str">
        <f>TEXT(MONTH(Tabela1[[#This Row],[Último pagto ano]])*29,"mmmm")</f>
        <v>dezembro</v>
      </c>
    </row>
    <row r="8114" spans="1:9" x14ac:dyDescent="0.25">
      <c r="A8114">
        <v>2025</v>
      </c>
      <c r="B8114" t="s">
        <v>16153</v>
      </c>
      <c r="C8114" s="1">
        <v>46010</v>
      </c>
      <c r="D8114" t="s">
        <v>16154</v>
      </c>
      <c r="E8114" s="2">
        <v>8400</v>
      </c>
      <c r="G8114" s="3">
        <f>MONTH(Tabela1[[#This Row],[Último pagto ano]])</f>
        <v>12</v>
      </c>
      <c r="H8114" t="str">
        <f>TEXT(Tabela1[[#This Row],[Coluna2]]*29,"mmmm")</f>
        <v>dezembro</v>
      </c>
      <c r="I8114" t="str">
        <f>TEXT(MONTH(Tabela1[[#This Row],[Último pagto ano]])*29,"mmmm")</f>
        <v>dezembro</v>
      </c>
    </row>
    <row r="8115" spans="1:9" x14ac:dyDescent="0.25">
      <c r="A8115">
        <v>2025</v>
      </c>
      <c r="B8115" t="s">
        <v>16155</v>
      </c>
      <c r="C8115" s="1">
        <v>45989</v>
      </c>
      <c r="D8115" t="s">
        <v>16156</v>
      </c>
      <c r="E8115" s="2">
        <v>3974.39</v>
      </c>
      <c r="G8115" s="3">
        <f>MONTH(Tabela1[[#This Row],[Último pagto ano]])</f>
        <v>11</v>
      </c>
      <c r="H8115" t="str">
        <f>TEXT(Tabela1[[#This Row],[Coluna2]]*29,"mmmm")</f>
        <v>novembro</v>
      </c>
      <c r="I8115" t="str">
        <f>TEXT(MONTH(Tabela1[[#This Row],[Último pagto ano]])*29,"mmmm")</f>
        <v>novembro</v>
      </c>
    </row>
    <row r="8116" spans="1:9" x14ac:dyDescent="0.25">
      <c r="A8116">
        <v>2025</v>
      </c>
      <c r="B8116" t="s">
        <v>16157</v>
      </c>
      <c r="C8116" s="1">
        <v>45769</v>
      </c>
      <c r="D8116" t="s">
        <v>16158</v>
      </c>
      <c r="E8116">
        <v>33</v>
      </c>
      <c r="G8116" s="3">
        <f>MONTH(Tabela1[[#This Row],[Último pagto ano]])</f>
        <v>4</v>
      </c>
      <c r="H8116" t="str">
        <f>TEXT(Tabela1[[#This Row],[Coluna2]]*29,"mmmm")</f>
        <v>abril</v>
      </c>
      <c r="I8116" t="str">
        <f>TEXT(MONTH(Tabela1[[#This Row],[Último pagto ano]])*29,"mmmm")</f>
        <v>abril</v>
      </c>
    </row>
    <row r="8117" spans="1:9" x14ac:dyDescent="0.25">
      <c r="A8117">
        <v>2025</v>
      </c>
      <c r="B8117" t="s">
        <v>16159</v>
      </c>
      <c r="C8117" s="1">
        <v>45702</v>
      </c>
      <c r="D8117" t="s">
        <v>16160</v>
      </c>
      <c r="E8117">
        <v>136.85</v>
      </c>
      <c r="G8117" s="3">
        <f>MONTH(Tabela1[[#This Row],[Último pagto ano]])</f>
        <v>2</v>
      </c>
      <c r="H8117" t="str">
        <f>TEXT(Tabela1[[#This Row],[Coluna2]]*29,"mmmm")</f>
        <v>fevereiro</v>
      </c>
      <c r="I8117" t="str">
        <f>TEXT(MONTH(Tabela1[[#This Row],[Último pagto ano]])*29,"mmmm")</f>
        <v>fevereiro</v>
      </c>
    </row>
    <row r="8118" spans="1:9" x14ac:dyDescent="0.25">
      <c r="A8118">
        <v>2025</v>
      </c>
      <c r="B8118" t="s">
        <v>16161</v>
      </c>
      <c r="C8118" s="1">
        <v>45894</v>
      </c>
      <c r="D8118" t="s">
        <v>16162</v>
      </c>
      <c r="E8118" s="2">
        <v>4200</v>
      </c>
      <c r="G8118" s="3">
        <f>MONTH(Tabela1[[#This Row],[Último pagto ano]])</f>
        <v>8</v>
      </c>
      <c r="H8118" t="str">
        <f>TEXT(Tabela1[[#This Row],[Coluna2]]*29,"mmmm")</f>
        <v>agosto</v>
      </c>
      <c r="I8118" t="str">
        <f>TEXT(MONTH(Tabela1[[#This Row],[Último pagto ano]])*29,"mmmm")</f>
        <v>agosto</v>
      </c>
    </row>
    <row r="8119" spans="1:9" x14ac:dyDescent="0.25">
      <c r="A8119">
        <v>2025</v>
      </c>
      <c r="B8119" t="s">
        <v>16163</v>
      </c>
      <c r="C8119" s="1">
        <v>45748</v>
      </c>
      <c r="D8119" t="s">
        <v>16164</v>
      </c>
      <c r="E8119" s="2">
        <v>2129.14</v>
      </c>
      <c r="G8119" s="3">
        <f>MONTH(Tabela1[[#This Row],[Último pagto ano]])</f>
        <v>4</v>
      </c>
      <c r="H8119" t="str">
        <f>TEXT(Tabela1[[#This Row],[Coluna2]]*29,"mmmm")</f>
        <v>abril</v>
      </c>
      <c r="I8119" t="str">
        <f>TEXT(MONTH(Tabela1[[#This Row],[Último pagto ano]])*29,"mmmm")</f>
        <v>abril</v>
      </c>
    </row>
    <row r="8120" spans="1:9" x14ac:dyDescent="0.25">
      <c r="A8120">
        <v>2025</v>
      </c>
      <c r="B8120" t="s">
        <v>16165</v>
      </c>
      <c r="C8120" s="1">
        <v>45988</v>
      </c>
      <c r="D8120" t="s">
        <v>16166</v>
      </c>
      <c r="E8120" s="2">
        <v>5400</v>
      </c>
      <c r="G8120" s="3">
        <f>MONTH(Tabela1[[#This Row],[Último pagto ano]])</f>
        <v>11</v>
      </c>
      <c r="H8120" t="str">
        <f>TEXT(Tabela1[[#This Row],[Coluna2]]*29,"mmmm")</f>
        <v>novembro</v>
      </c>
      <c r="I8120" t="str">
        <f>TEXT(MONTH(Tabela1[[#This Row],[Último pagto ano]])*29,"mmmm")</f>
        <v>novembro</v>
      </c>
    </row>
    <row r="8121" spans="1:9" x14ac:dyDescent="0.25">
      <c r="A8121">
        <v>2025</v>
      </c>
      <c r="B8121" t="s">
        <v>16167</v>
      </c>
      <c r="C8121" s="1">
        <v>45702</v>
      </c>
      <c r="D8121" t="s">
        <v>16168</v>
      </c>
      <c r="E8121" s="2">
        <v>1228.5899999999999</v>
      </c>
      <c r="G8121" s="3">
        <f>MONTH(Tabela1[[#This Row],[Último pagto ano]])</f>
        <v>2</v>
      </c>
      <c r="H8121" t="str">
        <f>TEXT(Tabela1[[#This Row],[Coluna2]]*29,"mmmm")</f>
        <v>fevereiro</v>
      </c>
      <c r="I8121" t="str">
        <f>TEXT(MONTH(Tabela1[[#This Row],[Último pagto ano]])*29,"mmmm")</f>
        <v>fevereiro</v>
      </c>
    </row>
    <row r="8122" spans="1:9" x14ac:dyDescent="0.25">
      <c r="A8122">
        <v>2025</v>
      </c>
      <c r="B8122" t="s">
        <v>16169</v>
      </c>
      <c r="C8122" s="1">
        <v>45876</v>
      </c>
      <c r="D8122" t="s">
        <v>16170</v>
      </c>
      <c r="E8122" s="2">
        <v>15500</v>
      </c>
      <c r="G8122" s="3">
        <f>MONTH(Tabela1[[#This Row],[Último pagto ano]])</f>
        <v>8</v>
      </c>
      <c r="H8122" t="str">
        <f>TEXT(Tabela1[[#This Row],[Coluna2]]*29,"mmmm")</f>
        <v>agosto</v>
      </c>
      <c r="I8122" t="str">
        <f>TEXT(MONTH(Tabela1[[#This Row],[Último pagto ano]])*29,"mmmm")</f>
        <v>agosto</v>
      </c>
    </row>
    <row r="8123" spans="1:9" x14ac:dyDescent="0.25">
      <c r="A8123">
        <v>2025</v>
      </c>
      <c r="B8123" t="s">
        <v>16171</v>
      </c>
      <c r="C8123" s="1">
        <v>45702</v>
      </c>
      <c r="D8123" t="s">
        <v>16172</v>
      </c>
      <c r="E8123">
        <v>25.57</v>
      </c>
      <c r="G8123" s="3">
        <f>MONTH(Tabela1[[#This Row],[Último pagto ano]])</f>
        <v>2</v>
      </c>
      <c r="H8123" t="str">
        <f>TEXT(Tabela1[[#This Row],[Coluna2]]*29,"mmmm")</f>
        <v>fevereiro</v>
      </c>
      <c r="I8123" t="str">
        <f>TEXT(MONTH(Tabela1[[#This Row],[Último pagto ano]])*29,"mmmm")</f>
        <v>fevereiro</v>
      </c>
    </row>
    <row r="8124" spans="1:9" x14ac:dyDescent="0.25">
      <c r="A8124">
        <v>2025</v>
      </c>
      <c r="B8124" t="s">
        <v>16173</v>
      </c>
      <c r="C8124" s="1">
        <v>45868</v>
      </c>
      <c r="D8124" t="s">
        <v>16174</v>
      </c>
      <c r="E8124" s="2">
        <v>4286.5200000000004</v>
      </c>
      <c r="G8124" s="3">
        <f>MONTH(Tabela1[[#This Row],[Último pagto ano]])</f>
        <v>7</v>
      </c>
      <c r="H8124" t="str">
        <f>TEXT(Tabela1[[#This Row],[Coluna2]]*29,"mmmm")</f>
        <v>julho</v>
      </c>
      <c r="I8124" t="str">
        <f>TEXT(MONTH(Tabela1[[#This Row],[Último pagto ano]])*29,"mmmm")</f>
        <v>julho</v>
      </c>
    </row>
    <row r="8125" spans="1:9" x14ac:dyDescent="0.25">
      <c r="A8125">
        <v>2025</v>
      </c>
      <c r="B8125" t="s">
        <v>16175</v>
      </c>
      <c r="C8125" s="1">
        <v>45702</v>
      </c>
      <c r="D8125" t="s">
        <v>16176</v>
      </c>
      <c r="E8125">
        <v>724.55</v>
      </c>
      <c r="G8125" s="3">
        <f>MONTH(Tabela1[[#This Row],[Último pagto ano]])</f>
        <v>2</v>
      </c>
      <c r="H8125" t="str">
        <f>TEXT(Tabela1[[#This Row],[Coluna2]]*29,"mmmm")</f>
        <v>fevereiro</v>
      </c>
      <c r="I8125" t="str">
        <f>TEXT(MONTH(Tabela1[[#This Row],[Último pagto ano]])*29,"mmmm")</f>
        <v>fevereiro</v>
      </c>
    </row>
    <row r="8126" spans="1:9" x14ac:dyDescent="0.25">
      <c r="A8126">
        <v>2025</v>
      </c>
      <c r="B8126" t="s">
        <v>16177</v>
      </c>
      <c r="C8126" s="1">
        <v>45985</v>
      </c>
      <c r="D8126" t="s">
        <v>16178</v>
      </c>
      <c r="E8126" s="2">
        <v>3920</v>
      </c>
      <c r="G8126" s="3">
        <f>MONTH(Tabela1[[#This Row],[Último pagto ano]])</f>
        <v>11</v>
      </c>
      <c r="H8126" t="str">
        <f>TEXT(Tabela1[[#This Row],[Coluna2]]*29,"mmmm")</f>
        <v>novembro</v>
      </c>
      <c r="I8126" t="str">
        <f>TEXT(MONTH(Tabela1[[#This Row],[Último pagto ano]])*29,"mmmm")</f>
        <v>novembro</v>
      </c>
    </row>
    <row r="8127" spans="1:9" x14ac:dyDescent="0.25">
      <c r="A8127">
        <v>2025</v>
      </c>
      <c r="B8127" t="s">
        <v>16177</v>
      </c>
      <c r="C8127" s="1">
        <v>45702</v>
      </c>
      <c r="D8127" t="s">
        <v>16178</v>
      </c>
      <c r="E8127" s="2">
        <v>1147.81</v>
      </c>
      <c r="G8127" s="3">
        <f>MONTH(Tabela1[[#This Row],[Último pagto ano]])</f>
        <v>2</v>
      </c>
      <c r="H8127" t="str">
        <f>TEXT(Tabela1[[#This Row],[Coluna2]]*29,"mmmm")</f>
        <v>fevereiro</v>
      </c>
      <c r="I8127" t="str">
        <f>TEXT(MONTH(Tabela1[[#This Row],[Último pagto ano]])*29,"mmmm")</f>
        <v>fevereiro</v>
      </c>
    </row>
    <row r="8128" spans="1:9" x14ac:dyDescent="0.25">
      <c r="A8128">
        <v>2025</v>
      </c>
      <c r="B8128" t="s">
        <v>16179</v>
      </c>
      <c r="C8128" s="1">
        <v>45702</v>
      </c>
      <c r="D8128" t="s">
        <v>16180</v>
      </c>
      <c r="E8128">
        <v>208.35</v>
      </c>
      <c r="G8128" s="3">
        <f>MONTH(Tabela1[[#This Row],[Último pagto ano]])</f>
        <v>2</v>
      </c>
      <c r="H8128" t="str">
        <f>TEXT(Tabela1[[#This Row],[Coluna2]]*29,"mmmm")</f>
        <v>fevereiro</v>
      </c>
      <c r="I8128" t="str">
        <f>TEXT(MONTH(Tabela1[[#This Row],[Último pagto ano]])*29,"mmmm")</f>
        <v>fevereiro</v>
      </c>
    </row>
    <row r="8129" spans="1:9" x14ac:dyDescent="0.25">
      <c r="A8129">
        <v>2025</v>
      </c>
      <c r="B8129" t="s">
        <v>16181</v>
      </c>
      <c r="C8129" s="1">
        <v>45996</v>
      </c>
      <c r="D8129" t="s">
        <v>16182</v>
      </c>
      <c r="E8129" s="2">
        <v>2100</v>
      </c>
      <c r="G8129" s="3">
        <f>MONTH(Tabela1[[#This Row],[Último pagto ano]])</f>
        <v>12</v>
      </c>
      <c r="H8129" t="str">
        <f>TEXT(Tabela1[[#This Row],[Coluna2]]*29,"mmmm")</f>
        <v>dezembro</v>
      </c>
      <c r="I8129" t="str">
        <f>TEXT(MONTH(Tabela1[[#This Row],[Último pagto ano]])*29,"mmmm")</f>
        <v>dezembro</v>
      </c>
    </row>
    <row r="8130" spans="1:9" x14ac:dyDescent="0.25">
      <c r="A8130">
        <v>2025</v>
      </c>
      <c r="B8130" t="s">
        <v>16183</v>
      </c>
      <c r="C8130" s="1">
        <v>45740</v>
      </c>
      <c r="D8130" t="s">
        <v>16184</v>
      </c>
      <c r="E8130" s="2">
        <v>2100</v>
      </c>
      <c r="G8130" s="3">
        <f>MONTH(Tabela1[[#This Row],[Último pagto ano]])</f>
        <v>3</v>
      </c>
      <c r="H8130" t="str">
        <f>TEXT(Tabela1[[#This Row],[Coluna2]]*29,"mmmm")</f>
        <v>março</v>
      </c>
      <c r="I8130" t="str">
        <f>TEXT(MONTH(Tabela1[[#This Row],[Último pagto ano]])*29,"mmmm")</f>
        <v>março</v>
      </c>
    </row>
    <row r="8131" spans="1:9" x14ac:dyDescent="0.25">
      <c r="A8131">
        <v>2025</v>
      </c>
      <c r="B8131" t="s">
        <v>16185</v>
      </c>
      <c r="C8131" s="1">
        <v>45989</v>
      </c>
      <c r="D8131" t="s">
        <v>16186</v>
      </c>
      <c r="E8131" s="2">
        <v>11422.02</v>
      </c>
      <c r="G8131" s="3">
        <f>MONTH(Tabela1[[#This Row],[Último pagto ano]])</f>
        <v>11</v>
      </c>
      <c r="H8131" t="str">
        <f>TEXT(Tabela1[[#This Row],[Coluna2]]*29,"mmmm")</f>
        <v>novembro</v>
      </c>
      <c r="I8131" t="str">
        <f>TEXT(MONTH(Tabela1[[#This Row],[Último pagto ano]])*29,"mmmm")</f>
        <v>novembro</v>
      </c>
    </row>
    <row r="8132" spans="1:9" x14ac:dyDescent="0.25">
      <c r="A8132">
        <v>2025</v>
      </c>
      <c r="B8132" t="s">
        <v>16187</v>
      </c>
      <c r="C8132" s="1">
        <v>45915</v>
      </c>
      <c r="D8132" t="s">
        <v>16188</v>
      </c>
      <c r="E8132">
        <v>150.6</v>
      </c>
      <c r="G8132" s="3">
        <f>MONTH(Tabela1[[#This Row],[Último pagto ano]])</f>
        <v>9</v>
      </c>
      <c r="H8132" t="str">
        <f>TEXT(Tabela1[[#This Row],[Coluna2]]*29,"mmmm")</f>
        <v>setembro</v>
      </c>
      <c r="I8132" t="str">
        <f>TEXT(MONTH(Tabela1[[#This Row],[Último pagto ano]])*29,"mmmm")</f>
        <v>setembro</v>
      </c>
    </row>
    <row r="8133" spans="1:9" x14ac:dyDescent="0.25">
      <c r="A8133">
        <v>2025</v>
      </c>
      <c r="B8133" t="s">
        <v>16189</v>
      </c>
      <c r="C8133" s="1">
        <v>46013</v>
      </c>
      <c r="D8133" t="s">
        <v>16190</v>
      </c>
      <c r="E8133" s="2">
        <v>7938.9</v>
      </c>
      <c r="G8133" s="3">
        <f>MONTH(Tabela1[[#This Row],[Último pagto ano]])</f>
        <v>12</v>
      </c>
      <c r="H8133" t="str">
        <f>TEXT(Tabela1[[#This Row],[Coluna2]]*29,"mmmm")</f>
        <v>dezembro</v>
      </c>
      <c r="I8133" t="str">
        <f>TEXT(MONTH(Tabela1[[#This Row],[Último pagto ano]])*29,"mmmm")</f>
        <v>dezembro</v>
      </c>
    </row>
    <row r="8134" spans="1:9" x14ac:dyDescent="0.25">
      <c r="A8134">
        <v>2025</v>
      </c>
      <c r="B8134" t="s">
        <v>16191</v>
      </c>
      <c r="C8134" s="1">
        <v>46010</v>
      </c>
      <c r="D8134" t="s">
        <v>16192</v>
      </c>
      <c r="E8134" s="2">
        <v>12000</v>
      </c>
      <c r="G8134" s="3">
        <f>MONTH(Tabela1[[#This Row],[Último pagto ano]])</f>
        <v>12</v>
      </c>
      <c r="H8134" t="str">
        <f>TEXT(Tabela1[[#This Row],[Coluna2]]*29,"mmmm")</f>
        <v>dezembro</v>
      </c>
      <c r="I8134" t="str">
        <f>TEXT(MONTH(Tabela1[[#This Row],[Último pagto ano]])*29,"mmmm")</f>
        <v>dezembro</v>
      </c>
    </row>
    <row r="8135" spans="1:9" x14ac:dyDescent="0.25">
      <c r="A8135">
        <v>2025</v>
      </c>
      <c r="B8135" t="s">
        <v>16193</v>
      </c>
      <c r="C8135" s="1">
        <v>45897</v>
      </c>
      <c r="D8135" t="s">
        <v>16194</v>
      </c>
      <c r="E8135">
        <v>152.1</v>
      </c>
      <c r="G8135" s="3">
        <f>MONTH(Tabela1[[#This Row],[Último pagto ano]])</f>
        <v>8</v>
      </c>
      <c r="H8135" t="str">
        <f>TEXT(Tabela1[[#This Row],[Coluna2]]*29,"mmmm")</f>
        <v>agosto</v>
      </c>
      <c r="I8135" t="str">
        <f>TEXT(MONTH(Tabela1[[#This Row],[Último pagto ano]])*29,"mmmm")</f>
        <v>agosto</v>
      </c>
    </row>
    <row r="8136" spans="1:9" x14ac:dyDescent="0.25">
      <c r="A8136">
        <v>2025</v>
      </c>
      <c r="B8136" t="s">
        <v>16195</v>
      </c>
      <c r="C8136" s="1">
        <v>45702</v>
      </c>
      <c r="D8136" t="s">
        <v>16196</v>
      </c>
      <c r="E8136" s="2">
        <v>1293.25</v>
      </c>
      <c r="G8136" s="3">
        <f>MONTH(Tabela1[[#This Row],[Último pagto ano]])</f>
        <v>2</v>
      </c>
      <c r="H8136" t="str">
        <f>TEXT(Tabela1[[#This Row],[Coluna2]]*29,"mmmm")</f>
        <v>fevereiro</v>
      </c>
      <c r="I8136" t="str">
        <f>TEXT(MONTH(Tabela1[[#This Row],[Último pagto ano]])*29,"mmmm")</f>
        <v>fevereiro</v>
      </c>
    </row>
    <row r="8137" spans="1:9" x14ac:dyDescent="0.25">
      <c r="A8137">
        <v>2025</v>
      </c>
      <c r="B8137" t="s">
        <v>16197</v>
      </c>
      <c r="C8137" s="1">
        <v>45740</v>
      </c>
      <c r="D8137" t="s">
        <v>16198</v>
      </c>
      <c r="E8137" s="2">
        <v>2100</v>
      </c>
      <c r="G8137" s="3">
        <f>MONTH(Tabela1[[#This Row],[Último pagto ano]])</f>
        <v>3</v>
      </c>
      <c r="H8137" t="str">
        <f>TEXT(Tabela1[[#This Row],[Coluna2]]*29,"mmmm")</f>
        <v>março</v>
      </c>
      <c r="I8137" t="str">
        <f>TEXT(MONTH(Tabela1[[#This Row],[Último pagto ano]])*29,"mmmm")</f>
        <v>março</v>
      </c>
    </row>
    <row r="8138" spans="1:9" x14ac:dyDescent="0.25">
      <c r="A8138">
        <v>2025</v>
      </c>
      <c r="B8138" t="s">
        <v>16199</v>
      </c>
      <c r="C8138" s="1">
        <v>46014</v>
      </c>
      <c r="D8138" t="s">
        <v>16200</v>
      </c>
      <c r="E8138" s="2">
        <v>1397</v>
      </c>
      <c r="G8138" s="3">
        <f>MONTH(Tabela1[[#This Row],[Último pagto ano]])</f>
        <v>12</v>
      </c>
      <c r="H8138" t="str">
        <f>TEXT(Tabela1[[#This Row],[Coluna2]]*29,"mmmm")</f>
        <v>dezembro</v>
      </c>
      <c r="I8138" t="str">
        <f>TEXT(MONTH(Tabela1[[#This Row],[Último pagto ano]])*29,"mmmm")</f>
        <v>dezembro</v>
      </c>
    </row>
    <row r="8139" spans="1:9" x14ac:dyDescent="0.25">
      <c r="A8139">
        <v>2025</v>
      </c>
      <c r="B8139" t="s">
        <v>16201</v>
      </c>
      <c r="C8139" s="1">
        <v>45996</v>
      </c>
      <c r="D8139" t="s">
        <v>16202</v>
      </c>
      <c r="E8139" s="2">
        <v>32130</v>
      </c>
      <c r="G8139" s="3">
        <f>MONTH(Tabela1[[#This Row],[Último pagto ano]])</f>
        <v>12</v>
      </c>
      <c r="H8139" t="str">
        <f>TEXT(Tabela1[[#This Row],[Coluna2]]*29,"mmmm")</f>
        <v>dezembro</v>
      </c>
      <c r="I8139" t="str">
        <f>TEXT(MONTH(Tabela1[[#This Row],[Último pagto ano]])*29,"mmmm")</f>
        <v>dezembro</v>
      </c>
    </row>
    <row r="8140" spans="1:9" x14ac:dyDescent="0.25">
      <c r="A8140">
        <v>2025</v>
      </c>
      <c r="B8140" t="s">
        <v>16203</v>
      </c>
      <c r="C8140" s="1">
        <v>45996</v>
      </c>
      <c r="D8140" t="s">
        <v>16204</v>
      </c>
      <c r="E8140" s="2">
        <v>13200</v>
      </c>
      <c r="G8140" s="3">
        <f>MONTH(Tabela1[[#This Row],[Último pagto ano]])</f>
        <v>12</v>
      </c>
      <c r="H8140" t="str">
        <f>TEXT(Tabela1[[#This Row],[Coluna2]]*29,"mmmm")</f>
        <v>dezembro</v>
      </c>
      <c r="I8140" t="str">
        <f>TEXT(MONTH(Tabela1[[#This Row],[Último pagto ano]])*29,"mmmm")</f>
        <v>dezembro</v>
      </c>
    </row>
    <row r="8141" spans="1:9" x14ac:dyDescent="0.25">
      <c r="A8141">
        <v>2025</v>
      </c>
      <c r="B8141" t="s">
        <v>16205</v>
      </c>
      <c r="C8141" s="1">
        <v>45730</v>
      </c>
      <c r="D8141" t="s">
        <v>16206</v>
      </c>
      <c r="E8141" s="2">
        <v>1145.23</v>
      </c>
      <c r="G8141" s="3">
        <f>MONTH(Tabela1[[#This Row],[Último pagto ano]])</f>
        <v>3</v>
      </c>
      <c r="H8141" t="str">
        <f>TEXT(Tabela1[[#This Row],[Coluna2]]*29,"mmmm")</f>
        <v>março</v>
      </c>
      <c r="I8141" t="str">
        <f>TEXT(MONTH(Tabela1[[#This Row],[Último pagto ano]])*29,"mmmm")</f>
        <v>março</v>
      </c>
    </row>
    <row r="8142" spans="1:9" x14ac:dyDescent="0.25">
      <c r="A8142">
        <v>2025</v>
      </c>
      <c r="B8142" t="s">
        <v>16207</v>
      </c>
      <c r="C8142" s="1">
        <v>45968</v>
      </c>
      <c r="D8142" t="s">
        <v>16208</v>
      </c>
      <c r="E8142" s="2">
        <v>1500</v>
      </c>
      <c r="G8142" s="3">
        <f>MONTH(Tabela1[[#This Row],[Último pagto ano]])</f>
        <v>11</v>
      </c>
      <c r="H8142" t="str">
        <f>TEXT(Tabela1[[#This Row],[Coluna2]]*29,"mmmm")</f>
        <v>novembro</v>
      </c>
      <c r="I8142" t="str">
        <f>TEXT(MONTH(Tabela1[[#This Row],[Último pagto ano]])*29,"mmmm")</f>
        <v>novembro</v>
      </c>
    </row>
    <row r="8143" spans="1:9" x14ac:dyDescent="0.25">
      <c r="A8143">
        <v>2025</v>
      </c>
      <c r="B8143" t="s">
        <v>16209</v>
      </c>
      <c r="C8143" s="1">
        <v>45978</v>
      </c>
      <c r="D8143" t="s">
        <v>16210</v>
      </c>
      <c r="E8143">
        <v>11</v>
      </c>
      <c r="G8143" s="3">
        <f>MONTH(Tabela1[[#This Row],[Último pagto ano]])</f>
        <v>11</v>
      </c>
      <c r="H8143" t="str">
        <f>TEXT(Tabela1[[#This Row],[Coluna2]]*29,"mmmm")</f>
        <v>novembro</v>
      </c>
      <c r="I8143" t="str">
        <f>TEXT(MONTH(Tabela1[[#This Row],[Último pagto ano]])*29,"mmmm")</f>
        <v>novembro</v>
      </c>
    </row>
    <row r="8144" spans="1:9" x14ac:dyDescent="0.25">
      <c r="A8144">
        <v>2025</v>
      </c>
      <c r="B8144" t="s">
        <v>16211</v>
      </c>
      <c r="C8144" s="1">
        <v>45989</v>
      </c>
      <c r="D8144" t="s">
        <v>16212</v>
      </c>
      <c r="E8144" s="2">
        <v>3108.25</v>
      </c>
      <c r="G8144" s="3">
        <f>MONTH(Tabela1[[#This Row],[Último pagto ano]])</f>
        <v>11</v>
      </c>
      <c r="H8144" t="str">
        <f>TEXT(Tabela1[[#This Row],[Coluna2]]*29,"mmmm")</f>
        <v>novembro</v>
      </c>
      <c r="I8144" t="str">
        <f>TEXT(MONTH(Tabela1[[#This Row],[Último pagto ano]])*29,"mmmm")</f>
        <v>novembro</v>
      </c>
    </row>
    <row r="8145" spans="1:9" x14ac:dyDescent="0.25">
      <c r="A8145">
        <v>2025</v>
      </c>
      <c r="B8145" t="s">
        <v>16213</v>
      </c>
      <c r="C8145" s="1">
        <v>45996</v>
      </c>
      <c r="D8145" t="s">
        <v>16214</v>
      </c>
      <c r="E8145" s="2">
        <v>30000</v>
      </c>
      <c r="G8145" s="3">
        <f>MONTH(Tabela1[[#This Row],[Último pagto ano]])</f>
        <v>12</v>
      </c>
      <c r="H8145" t="str">
        <f>TEXT(Tabela1[[#This Row],[Coluna2]]*29,"mmmm")</f>
        <v>dezembro</v>
      </c>
      <c r="I8145" t="str">
        <f>TEXT(MONTH(Tabela1[[#This Row],[Último pagto ano]])*29,"mmmm")</f>
        <v>dezembro</v>
      </c>
    </row>
    <row r="8146" spans="1:9" x14ac:dyDescent="0.25">
      <c r="A8146">
        <v>2025</v>
      </c>
      <c r="B8146" t="s">
        <v>16215</v>
      </c>
      <c r="C8146" s="1">
        <v>45810</v>
      </c>
      <c r="D8146" t="s">
        <v>16216</v>
      </c>
      <c r="E8146">
        <v>174.8</v>
      </c>
      <c r="G8146" s="3">
        <f>MONTH(Tabela1[[#This Row],[Último pagto ano]])</f>
        <v>6</v>
      </c>
      <c r="H8146" t="str">
        <f>TEXT(Tabela1[[#This Row],[Coluna2]]*29,"mmmm")</f>
        <v>junho</v>
      </c>
      <c r="I8146" t="str">
        <f>TEXT(MONTH(Tabela1[[#This Row],[Último pagto ano]])*29,"mmmm")</f>
        <v>junho</v>
      </c>
    </row>
    <row r="8147" spans="1:9" x14ac:dyDescent="0.25">
      <c r="A8147">
        <v>2025</v>
      </c>
      <c r="B8147" t="s">
        <v>16217</v>
      </c>
      <c r="C8147" s="1">
        <v>45761</v>
      </c>
      <c r="D8147" t="s">
        <v>16218</v>
      </c>
      <c r="E8147">
        <v>160</v>
      </c>
      <c r="G8147" s="3">
        <f>MONTH(Tabela1[[#This Row],[Último pagto ano]])</f>
        <v>4</v>
      </c>
      <c r="H8147" t="str">
        <f>TEXT(Tabela1[[#This Row],[Coluna2]]*29,"mmmm")</f>
        <v>abril</v>
      </c>
      <c r="I8147" t="str">
        <f>TEXT(MONTH(Tabela1[[#This Row],[Último pagto ano]])*29,"mmmm")</f>
        <v>abril</v>
      </c>
    </row>
    <row r="8148" spans="1:9" x14ac:dyDescent="0.25">
      <c r="A8148">
        <v>2025</v>
      </c>
      <c r="B8148" t="s">
        <v>16219</v>
      </c>
      <c r="C8148" s="1">
        <v>45702</v>
      </c>
      <c r="D8148" t="s">
        <v>16220</v>
      </c>
      <c r="E8148" s="2">
        <v>1185.51</v>
      </c>
      <c r="G8148" s="3">
        <f>MONTH(Tabela1[[#This Row],[Último pagto ano]])</f>
        <v>2</v>
      </c>
      <c r="H8148" t="str">
        <f>TEXT(Tabela1[[#This Row],[Coluna2]]*29,"mmmm")</f>
        <v>fevereiro</v>
      </c>
      <c r="I8148" t="str">
        <f>TEXT(MONTH(Tabela1[[#This Row],[Último pagto ano]])*29,"mmmm")</f>
        <v>fevereiro</v>
      </c>
    </row>
    <row r="8149" spans="1:9" x14ac:dyDescent="0.25">
      <c r="A8149">
        <v>2025</v>
      </c>
      <c r="B8149" t="s">
        <v>16221</v>
      </c>
      <c r="C8149" s="1">
        <v>46013</v>
      </c>
      <c r="D8149" t="s">
        <v>16222</v>
      </c>
      <c r="E8149" s="2">
        <v>5042.7</v>
      </c>
      <c r="G8149" s="3">
        <f>MONTH(Tabela1[[#This Row],[Último pagto ano]])</f>
        <v>12</v>
      </c>
      <c r="H8149" t="str">
        <f>TEXT(Tabela1[[#This Row],[Coluna2]]*29,"mmmm")</f>
        <v>dezembro</v>
      </c>
      <c r="I8149" t="str">
        <f>TEXT(MONTH(Tabela1[[#This Row],[Último pagto ano]])*29,"mmmm")</f>
        <v>dezembro</v>
      </c>
    </row>
    <row r="8150" spans="1:9" x14ac:dyDescent="0.25">
      <c r="A8150">
        <v>2025</v>
      </c>
      <c r="B8150" t="s">
        <v>16223</v>
      </c>
      <c r="C8150" s="1">
        <v>46021</v>
      </c>
      <c r="D8150" t="s">
        <v>16224</v>
      </c>
      <c r="E8150" s="2">
        <v>3435.36</v>
      </c>
      <c r="G8150" s="3">
        <f>MONTH(Tabela1[[#This Row],[Último pagto ano]])</f>
        <v>12</v>
      </c>
      <c r="H8150" t="str">
        <f>TEXT(Tabela1[[#This Row],[Coluna2]]*29,"mmmm")</f>
        <v>dezembro</v>
      </c>
      <c r="I8150" t="str">
        <f>TEXT(MONTH(Tabela1[[#This Row],[Último pagto ano]])*29,"mmmm")</f>
        <v>dezembro</v>
      </c>
    </row>
    <row r="8151" spans="1:9" x14ac:dyDescent="0.25">
      <c r="A8151">
        <v>2025</v>
      </c>
      <c r="B8151" t="s">
        <v>16225</v>
      </c>
      <c r="C8151" s="1">
        <v>45866</v>
      </c>
      <c r="D8151" t="s">
        <v>16226</v>
      </c>
      <c r="E8151">
        <v>29.04</v>
      </c>
      <c r="G8151" s="3">
        <f>MONTH(Tabela1[[#This Row],[Último pagto ano]])</f>
        <v>7</v>
      </c>
      <c r="H8151" t="str">
        <f>TEXT(Tabela1[[#This Row],[Coluna2]]*29,"mmmm")</f>
        <v>julho</v>
      </c>
      <c r="I8151" t="str">
        <f>TEXT(MONTH(Tabela1[[#This Row],[Último pagto ano]])*29,"mmmm")</f>
        <v>julho</v>
      </c>
    </row>
    <row r="8152" spans="1:9" x14ac:dyDescent="0.25">
      <c r="A8152">
        <v>2025</v>
      </c>
      <c r="B8152" t="s">
        <v>16227</v>
      </c>
      <c r="C8152" s="1">
        <v>45989</v>
      </c>
      <c r="D8152" t="s">
        <v>16228</v>
      </c>
      <c r="E8152" s="2">
        <v>11776.43</v>
      </c>
      <c r="G8152" s="3">
        <f>MONTH(Tabela1[[#This Row],[Último pagto ano]])</f>
        <v>11</v>
      </c>
      <c r="H8152" t="str">
        <f>TEXT(Tabela1[[#This Row],[Coluna2]]*29,"mmmm")</f>
        <v>novembro</v>
      </c>
      <c r="I8152" t="str">
        <f>TEXT(MONTH(Tabela1[[#This Row],[Último pagto ano]])*29,"mmmm")</f>
        <v>novembro</v>
      </c>
    </row>
    <row r="8153" spans="1:9" x14ac:dyDescent="0.25">
      <c r="A8153">
        <v>2025</v>
      </c>
      <c r="B8153" t="s">
        <v>16229</v>
      </c>
      <c r="C8153" s="1">
        <v>45852</v>
      </c>
      <c r="D8153" t="s">
        <v>16230</v>
      </c>
      <c r="E8153">
        <v>48.35</v>
      </c>
      <c r="G8153" s="3">
        <f>MONTH(Tabela1[[#This Row],[Último pagto ano]])</f>
        <v>7</v>
      </c>
      <c r="H8153" t="str">
        <f>TEXT(Tabela1[[#This Row],[Coluna2]]*29,"mmmm")</f>
        <v>julho</v>
      </c>
      <c r="I8153" t="str">
        <f>TEXT(MONTH(Tabela1[[#This Row],[Último pagto ano]])*29,"mmmm")</f>
        <v>julho</v>
      </c>
    </row>
    <row r="8154" spans="1:9" x14ac:dyDescent="0.25">
      <c r="A8154">
        <v>2025</v>
      </c>
      <c r="B8154" t="s">
        <v>16231</v>
      </c>
      <c r="C8154" s="1">
        <v>45996</v>
      </c>
      <c r="D8154" t="s">
        <v>16232</v>
      </c>
      <c r="E8154" s="2">
        <v>4500</v>
      </c>
      <c r="G8154" s="3">
        <f>MONTH(Tabela1[[#This Row],[Último pagto ano]])</f>
        <v>12</v>
      </c>
      <c r="H8154" t="str">
        <f>TEXT(Tabela1[[#This Row],[Coluna2]]*29,"mmmm")</f>
        <v>dezembro</v>
      </c>
      <c r="I8154" t="str">
        <f>TEXT(MONTH(Tabela1[[#This Row],[Último pagto ano]])*29,"mmmm")</f>
        <v>dezembro</v>
      </c>
    </row>
    <row r="8155" spans="1:9" x14ac:dyDescent="0.25">
      <c r="A8155">
        <v>2025</v>
      </c>
      <c r="B8155" t="s">
        <v>16233</v>
      </c>
      <c r="C8155" s="1">
        <v>45876</v>
      </c>
      <c r="D8155" t="s">
        <v>16234</v>
      </c>
      <c r="E8155" s="2">
        <v>4568</v>
      </c>
      <c r="G8155" s="3">
        <f>MONTH(Tabela1[[#This Row],[Último pagto ano]])</f>
        <v>8</v>
      </c>
      <c r="H8155" t="str">
        <f>TEXT(Tabela1[[#This Row],[Coluna2]]*29,"mmmm")</f>
        <v>agosto</v>
      </c>
      <c r="I8155" t="str">
        <f>TEXT(MONTH(Tabela1[[#This Row],[Último pagto ano]])*29,"mmmm")</f>
        <v>agosto</v>
      </c>
    </row>
    <row r="8156" spans="1:9" x14ac:dyDescent="0.25">
      <c r="A8156">
        <v>2025</v>
      </c>
      <c r="B8156" t="s">
        <v>16235</v>
      </c>
      <c r="C8156" s="1">
        <v>45945</v>
      </c>
      <c r="D8156" t="s">
        <v>16236</v>
      </c>
      <c r="E8156">
        <v>296.16000000000003</v>
      </c>
      <c r="G8156" s="3">
        <f>MONTH(Tabela1[[#This Row],[Último pagto ano]])</f>
        <v>10</v>
      </c>
      <c r="H8156" t="str">
        <f>TEXT(Tabela1[[#This Row],[Coluna2]]*29,"mmmm")</f>
        <v>outubro</v>
      </c>
      <c r="I8156" t="str">
        <f>TEXT(MONTH(Tabela1[[#This Row],[Último pagto ano]])*29,"mmmm")</f>
        <v>outubro</v>
      </c>
    </row>
    <row r="8157" spans="1:9" x14ac:dyDescent="0.25">
      <c r="A8157">
        <v>2025</v>
      </c>
      <c r="B8157" t="s">
        <v>16237</v>
      </c>
      <c r="C8157" s="1">
        <v>46010</v>
      </c>
      <c r="D8157" t="s">
        <v>16238</v>
      </c>
      <c r="E8157" s="2">
        <v>3500</v>
      </c>
      <c r="G8157" s="3">
        <f>MONTH(Tabela1[[#This Row],[Último pagto ano]])</f>
        <v>12</v>
      </c>
      <c r="H8157" t="str">
        <f>TEXT(Tabela1[[#This Row],[Coluna2]]*29,"mmmm")</f>
        <v>dezembro</v>
      </c>
      <c r="I8157" t="str">
        <f>TEXT(MONTH(Tabela1[[#This Row],[Último pagto ano]])*29,"mmmm")</f>
        <v>dezembro</v>
      </c>
    </row>
    <row r="8158" spans="1:9" x14ac:dyDescent="0.25">
      <c r="A8158">
        <v>2025</v>
      </c>
      <c r="B8158" t="s">
        <v>16239</v>
      </c>
      <c r="C8158" s="1">
        <v>45968</v>
      </c>
      <c r="D8158" t="s">
        <v>16240</v>
      </c>
      <c r="E8158" s="2">
        <v>7000</v>
      </c>
      <c r="G8158" s="3">
        <f>MONTH(Tabela1[[#This Row],[Último pagto ano]])</f>
        <v>11</v>
      </c>
      <c r="H8158" t="str">
        <f>TEXT(Tabela1[[#This Row],[Coluna2]]*29,"mmmm")</f>
        <v>novembro</v>
      </c>
      <c r="I8158" t="str">
        <f>TEXT(MONTH(Tabela1[[#This Row],[Último pagto ano]])*29,"mmmm")</f>
        <v>novembro</v>
      </c>
    </row>
    <row r="8159" spans="1:9" x14ac:dyDescent="0.25">
      <c r="A8159">
        <v>2025</v>
      </c>
      <c r="B8159" t="s">
        <v>16241</v>
      </c>
      <c r="C8159" s="1">
        <v>45968</v>
      </c>
      <c r="D8159" t="s">
        <v>16242</v>
      </c>
      <c r="E8159" s="2">
        <v>8600</v>
      </c>
      <c r="G8159" s="3">
        <f>MONTH(Tabela1[[#This Row],[Último pagto ano]])</f>
        <v>11</v>
      </c>
      <c r="H8159" t="str">
        <f>TEXT(Tabela1[[#This Row],[Coluna2]]*29,"mmmm")</f>
        <v>novembro</v>
      </c>
      <c r="I8159" t="str">
        <f>TEXT(MONTH(Tabela1[[#This Row],[Último pagto ano]])*29,"mmmm")</f>
        <v>novembro</v>
      </c>
    </row>
    <row r="8160" spans="1:9" x14ac:dyDescent="0.25">
      <c r="A8160">
        <v>2025</v>
      </c>
      <c r="B8160" t="s">
        <v>16243</v>
      </c>
      <c r="C8160" s="1">
        <v>45853</v>
      </c>
      <c r="D8160" t="s">
        <v>16244</v>
      </c>
      <c r="E8160">
        <v>83.17</v>
      </c>
      <c r="G8160" s="3">
        <f>MONTH(Tabela1[[#This Row],[Último pagto ano]])</f>
        <v>7</v>
      </c>
      <c r="H8160" t="str">
        <f>TEXT(Tabela1[[#This Row],[Coluna2]]*29,"mmmm")</f>
        <v>julho</v>
      </c>
      <c r="I8160" t="str">
        <f>TEXT(MONTH(Tabela1[[#This Row],[Último pagto ano]])*29,"mmmm")</f>
        <v>julho</v>
      </c>
    </row>
    <row r="8161" spans="1:9" x14ac:dyDescent="0.25">
      <c r="A8161">
        <v>2025</v>
      </c>
      <c r="B8161" t="s">
        <v>16245</v>
      </c>
      <c r="C8161" s="1">
        <v>45989</v>
      </c>
      <c r="D8161" t="s">
        <v>16246</v>
      </c>
      <c r="E8161" s="2">
        <v>11323.24</v>
      </c>
      <c r="G8161" s="3">
        <f>MONTH(Tabela1[[#This Row],[Último pagto ano]])</f>
        <v>11</v>
      </c>
      <c r="H8161" t="str">
        <f>TEXT(Tabela1[[#This Row],[Coluna2]]*29,"mmmm")</f>
        <v>novembro</v>
      </c>
      <c r="I8161" t="str">
        <f>TEXT(MONTH(Tabela1[[#This Row],[Último pagto ano]])*29,"mmmm")</f>
        <v>novembro</v>
      </c>
    </row>
    <row r="8162" spans="1:9" x14ac:dyDescent="0.25">
      <c r="A8162">
        <v>2025</v>
      </c>
      <c r="B8162" t="s">
        <v>16247</v>
      </c>
      <c r="C8162" s="1">
        <v>46021</v>
      </c>
      <c r="D8162" t="s">
        <v>16248</v>
      </c>
      <c r="E8162" s="2">
        <v>1888.85</v>
      </c>
      <c r="G8162" s="3">
        <f>MONTH(Tabela1[[#This Row],[Último pagto ano]])</f>
        <v>12</v>
      </c>
      <c r="H8162" t="str">
        <f>TEXT(Tabela1[[#This Row],[Coluna2]]*29,"mmmm")</f>
        <v>dezembro</v>
      </c>
      <c r="I8162" t="str">
        <f>TEXT(MONTH(Tabela1[[#This Row],[Último pagto ano]])*29,"mmmm")</f>
        <v>dezembro</v>
      </c>
    </row>
    <row r="8163" spans="1:9" x14ac:dyDescent="0.25">
      <c r="A8163">
        <v>2025</v>
      </c>
      <c r="B8163" t="s">
        <v>16249</v>
      </c>
      <c r="C8163" s="1">
        <v>45702</v>
      </c>
      <c r="D8163" t="s">
        <v>16250</v>
      </c>
      <c r="E8163">
        <v>816.16</v>
      </c>
      <c r="G8163" s="3">
        <f>MONTH(Tabela1[[#This Row],[Último pagto ano]])</f>
        <v>2</v>
      </c>
      <c r="H8163" t="str">
        <f>TEXT(Tabela1[[#This Row],[Coluna2]]*29,"mmmm")</f>
        <v>fevereiro</v>
      </c>
      <c r="I8163" t="str">
        <f>TEXT(MONTH(Tabela1[[#This Row],[Último pagto ano]])*29,"mmmm")</f>
        <v>fevereiro</v>
      </c>
    </row>
    <row r="8164" spans="1:9" x14ac:dyDescent="0.25">
      <c r="A8164">
        <v>2025</v>
      </c>
      <c r="B8164" t="s">
        <v>16251</v>
      </c>
      <c r="C8164" s="1">
        <v>45800</v>
      </c>
      <c r="D8164" t="s">
        <v>16252</v>
      </c>
      <c r="E8164">
        <v>5.59</v>
      </c>
      <c r="G8164" s="3">
        <f>MONTH(Tabela1[[#This Row],[Último pagto ano]])</f>
        <v>5</v>
      </c>
      <c r="H8164" t="str">
        <f>TEXT(Tabela1[[#This Row],[Coluna2]]*29,"mmmm")</f>
        <v>maio</v>
      </c>
      <c r="I8164" t="str">
        <f>TEXT(MONTH(Tabela1[[#This Row],[Último pagto ano]])*29,"mmmm")</f>
        <v>maio</v>
      </c>
    </row>
    <row r="8165" spans="1:9" x14ac:dyDescent="0.25">
      <c r="A8165">
        <v>2025</v>
      </c>
      <c r="B8165" t="s">
        <v>16253</v>
      </c>
      <c r="C8165" s="1">
        <v>45996</v>
      </c>
      <c r="D8165" t="s">
        <v>16254</v>
      </c>
      <c r="E8165" s="2">
        <v>18600</v>
      </c>
      <c r="G8165" s="3">
        <f>MONTH(Tabela1[[#This Row],[Último pagto ano]])</f>
        <v>12</v>
      </c>
      <c r="H8165" t="str">
        <f>TEXT(Tabela1[[#This Row],[Coluna2]]*29,"mmmm")</f>
        <v>dezembro</v>
      </c>
      <c r="I8165" t="str">
        <f>TEXT(MONTH(Tabela1[[#This Row],[Último pagto ano]])*29,"mmmm")</f>
        <v>dezembro</v>
      </c>
    </row>
    <row r="8166" spans="1:9" x14ac:dyDescent="0.25">
      <c r="A8166">
        <v>2025</v>
      </c>
      <c r="B8166" t="s">
        <v>16255</v>
      </c>
      <c r="C8166" s="1">
        <v>45996</v>
      </c>
      <c r="D8166" t="s">
        <v>16256</v>
      </c>
      <c r="E8166" s="2">
        <v>30165</v>
      </c>
      <c r="G8166" s="3">
        <f>MONTH(Tabela1[[#This Row],[Último pagto ano]])</f>
        <v>12</v>
      </c>
      <c r="H8166" t="str">
        <f>TEXT(Tabela1[[#This Row],[Coluna2]]*29,"mmmm")</f>
        <v>dezembro</v>
      </c>
      <c r="I8166" t="str">
        <f>TEXT(MONTH(Tabela1[[#This Row],[Último pagto ano]])*29,"mmmm")</f>
        <v>dezembro</v>
      </c>
    </row>
    <row r="8167" spans="1:9" x14ac:dyDescent="0.25">
      <c r="A8167">
        <v>2025</v>
      </c>
      <c r="B8167" t="s">
        <v>16257</v>
      </c>
      <c r="C8167" s="1">
        <v>45824</v>
      </c>
      <c r="D8167" t="s">
        <v>16258</v>
      </c>
      <c r="E8167" s="2">
        <v>1480.8</v>
      </c>
      <c r="G8167" s="3">
        <f>MONTH(Tabela1[[#This Row],[Último pagto ano]])</f>
        <v>6</v>
      </c>
      <c r="H8167" t="str">
        <f>TEXT(Tabela1[[#This Row],[Coluna2]]*29,"mmmm")</f>
        <v>junho</v>
      </c>
      <c r="I8167" t="str">
        <f>TEXT(MONTH(Tabela1[[#This Row],[Último pagto ano]])*29,"mmmm")</f>
        <v>junho</v>
      </c>
    </row>
    <row r="8168" spans="1:9" x14ac:dyDescent="0.25">
      <c r="A8168">
        <v>2025</v>
      </c>
      <c r="B8168" t="s">
        <v>16259</v>
      </c>
      <c r="C8168" s="1">
        <v>45695</v>
      </c>
      <c r="D8168" t="s">
        <v>16260</v>
      </c>
      <c r="E8168" s="2">
        <v>2200</v>
      </c>
      <c r="G8168" s="3">
        <f>MONTH(Tabela1[[#This Row],[Último pagto ano]])</f>
        <v>2</v>
      </c>
      <c r="H8168" t="str">
        <f>TEXT(Tabela1[[#This Row],[Coluna2]]*29,"mmmm")</f>
        <v>fevereiro</v>
      </c>
      <c r="I8168" t="str">
        <f>TEXT(MONTH(Tabela1[[#This Row],[Último pagto ano]])*29,"mmmm")</f>
        <v>fevereiro</v>
      </c>
    </row>
    <row r="8169" spans="1:9" x14ac:dyDescent="0.25">
      <c r="A8169">
        <v>2025</v>
      </c>
      <c r="B8169" t="s">
        <v>16261</v>
      </c>
      <c r="C8169" s="1">
        <v>45672</v>
      </c>
      <c r="D8169" t="s">
        <v>16262</v>
      </c>
      <c r="E8169">
        <v>565.76</v>
      </c>
      <c r="G8169" s="3">
        <f>MONTH(Tabela1[[#This Row],[Último pagto ano]])</f>
        <v>1</v>
      </c>
      <c r="H8169" t="str">
        <f>TEXT(Tabela1[[#This Row],[Coluna2]]*29,"mmmm")</f>
        <v>janeiro</v>
      </c>
      <c r="I8169" t="str">
        <f>TEXT(MONTH(Tabela1[[#This Row],[Último pagto ano]])*29,"mmmm")</f>
        <v>janeiro</v>
      </c>
    </row>
    <row r="8170" spans="1:9" x14ac:dyDescent="0.25">
      <c r="A8170">
        <v>2025</v>
      </c>
      <c r="B8170" t="s">
        <v>16263</v>
      </c>
      <c r="C8170" s="1">
        <v>45792</v>
      </c>
      <c r="D8170" t="s">
        <v>16264</v>
      </c>
      <c r="E8170">
        <v>296.16000000000003</v>
      </c>
      <c r="G8170" s="3">
        <f>MONTH(Tabela1[[#This Row],[Último pagto ano]])</f>
        <v>5</v>
      </c>
      <c r="H8170" t="str">
        <f>TEXT(Tabela1[[#This Row],[Coluna2]]*29,"mmmm")</f>
        <v>maio</v>
      </c>
      <c r="I8170" t="str">
        <f>TEXT(MONTH(Tabela1[[#This Row],[Último pagto ano]])*29,"mmmm")</f>
        <v>maio</v>
      </c>
    </row>
    <row r="8171" spans="1:9" x14ac:dyDescent="0.25">
      <c r="A8171">
        <v>2025</v>
      </c>
      <c r="B8171" t="s">
        <v>16265</v>
      </c>
      <c r="C8171" s="1">
        <v>46006</v>
      </c>
      <c r="D8171" t="s">
        <v>16266</v>
      </c>
      <c r="E8171" s="2">
        <v>15110.32</v>
      </c>
      <c r="G8171" s="3">
        <f>MONTH(Tabela1[[#This Row],[Último pagto ano]])</f>
        <v>12</v>
      </c>
      <c r="H8171" t="str">
        <f>TEXT(Tabela1[[#This Row],[Coluna2]]*29,"mmmm")</f>
        <v>dezembro</v>
      </c>
      <c r="I8171" t="str">
        <f>TEXT(MONTH(Tabela1[[#This Row],[Último pagto ano]])*29,"mmmm")</f>
        <v>dezembro</v>
      </c>
    </row>
    <row r="8172" spans="1:9" x14ac:dyDescent="0.25">
      <c r="A8172">
        <v>2025</v>
      </c>
      <c r="B8172" t="s">
        <v>16267</v>
      </c>
      <c r="C8172" s="1">
        <v>45989</v>
      </c>
      <c r="D8172" t="s">
        <v>16268</v>
      </c>
      <c r="E8172" s="2">
        <v>1123.2</v>
      </c>
      <c r="G8172" s="3">
        <f>MONTH(Tabela1[[#This Row],[Último pagto ano]])</f>
        <v>11</v>
      </c>
      <c r="H8172" t="str">
        <f>TEXT(Tabela1[[#This Row],[Coluna2]]*29,"mmmm")</f>
        <v>novembro</v>
      </c>
      <c r="I8172" t="str">
        <f>TEXT(MONTH(Tabela1[[#This Row],[Último pagto ano]])*29,"mmmm")</f>
        <v>novembro</v>
      </c>
    </row>
    <row r="8173" spans="1:9" x14ac:dyDescent="0.25">
      <c r="A8173">
        <v>2025</v>
      </c>
      <c r="B8173" t="s">
        <v>16269</v>
      </c>
      <c r="C8173" s="1">
        <v>46013</v>
      </c>
      <c r="D8173" t="s">
        <v>16270</v>
      </c>
      <c r="E8173" s="2">
        <v>1560</v>
      </c>
      <c r="G8173" s="3">
        <f>MONTH(Tabela1[[#This Row],[Último pagto ano]])</f>
        <v>12</v>
      </c>
      <c r="H8173" t="str">
        <f>TEXT(Tabela1[[#This Row],[Coluna2]]*29,"mmmm")</f>
        <v>dezembro</v>
      </c>
      <c r="I8173" t="str">
        <f>TEXT(MONTH(Tabela1[[#This Row],[Último pagto ano]])*29,"mmmm")</f>
        <v>dezembro</v>
      </c>
    </row>
    <row r="8174" spans="1:9" x14ac:dyDescent="0.25">
      <c r="A8174">
        <v>2025</v>
      </c>
      <c r="B8174" t="s">
        <v>16271</v>
      </c>
      <c r="C8174" s="1">
        <v>45705</v>
      </c>
      <c r="D8174" t="s">
        <v>16272</v>
      </c>
      <c r="E8174" s="2">
        <v>2605.6799999999998</v>
      </c>
      <c r="G8174" s="3">
        <f>MONTH(Tabela1[[#This Row],[Último pagto ano]])</f>
        <v>2</v>
      </c>
      <c r="H8174" t="str">
        <f>TEXT(Tabela1[[#This Row],[Coluna2]]*29,"mmmm")</f>
        <v>fevereiro</v>
      </c>
      <c r="I8174" t="str">
        <f>TEXT(MONTH(Tabela1[[#This Row],[Último pagto ano]])*29,"mmmm")</f>
        <v>fevereiro</v>
      </c>
    </row>
    <row r="8175" spans="1:9" x14ac:dyDescent="0.25">
      <c r="A8175">
        <v>2025</v>
      </c>
      <c r="B8175" t="s">
        <v>16273</v>
      </c>
      <c r="C8175" s="1">
        <v>45915</v>
      </c>
      <c r="D8175" t="s">
        <v>16274</v>
      </c>
      <c r="E8175" s="2">
        <v>6488.96</v>
      </c>
      <c r="G8175" s="3">
        <f>MONTH(Tabela1[[#This Row],[Último pagto ano]])</f>
        <v>9</v>
      </c>
      <c r="H8175" t="str">
        <f>TEXT(Tabela1[[#This Row],[Coluna2]]*29,"mmmm")</f>
        <v>setembro</v>
      </c>
      <c r="I8175" t="str">
        <f>TEXT(MONTH(Tabela1[[#This Row],[Último pagto ano]])*29,"mmmm")</f>
        <v>setembro</v>
      </c>
    </row>
    <row r="8176" spans="1:9" x14ac:dyDescent="0.25">
      <c r="A8176">
        <v>2025</v>
      </c>
      <c r="B8176" t="s">
        <v>16275</v>
      </c>
      <c r="C8176" s="1">
        <v>45792</v>
      </c>
      <c r="D8176" t="s">
        <v>16276</v>
      </c>
      <c r="E8176" s="2">
        <v>3500.8</v>
      </c>
      <c r="G8176" s="3">
        <f>MONTH(Tabela1[[#This Row],[Último pagto ano]])</f>
        <v>5</v>
      </c>
      <c r="H8176" t="str">
        <f>TEXT(Tabela1[[#This Row],[Coluna2]]*29,"mmmm")</f>
        <v>maio</v>
      </c>
      <c r="I8176" t="str">
        <f>TEXT(MONTH(Tabela1[[#This Row],[Último pagto ano]])*29,"mmmm")</f>
        <v>maio</v>
      </c>
    </row>
    <row r="8177" spans="1:9" x14ac:dyDescent="0.25">
      <c r="A8177">
        <v>2025</v>
      </c>
      <c r="B8177" t="s">
        <v>16277</v>
      </c>
      <c r="C8177" s="1">
        <v>45996</v>
      </c>
      <c r="D8177" t="s">
        <v>16278</v>
      </c>
      <c r="E8177" s="2">
        <v>10900</v>
      </c>
      <c r="G8177" s="3">
        <f>MONTH(Tabela1[[#This Row],[Último pagto ano]])</f>
        <v>12</v>
      </c>
      <c r="H8177" t="str">
        <f>TEXT(Tabela1[[#This Row],[Coluna2]]*29,"mmmm")</f>
        <v>dezembro</v>
      </c>
      <c r="I8177" t="str">
        <f>TEXT(MONTH(Tabela1[[#This Row],[Último pagto ano]])*29,"mmmm")</f>
        <v>dezembro</v>
      </c>
    </row>
    <row r="8178" spans="1:9" x14ac:dyDescent="0.25">
      <c r="A8178">
        <v>2025</v>
      </c>
      <c r="B8178" t="s">
        <v>16279</v>
      </c>
      <c r="C8178" s="1">
        <v>45975</v>
      </c>
      <c r="D8178" t="s">
        <v>16280</v>
      </c>
      <c r="E8178" s="2">
        <v>10602</v>
      </c>
      <c r="G8178" s="3">
        <f>MONTH(Tabela1[[#This Row],[Último pagto ano]])</f>
        <v>11</v>
      </c>
      <c r="H8178" t="str">
        <f>TEXT(Tabela1[[#This Row],[Coluna2]]*29,"mmmm")</f>
        <v>novembro</v>
      </c>
      <c r="I8178" t="str">
        <f>TEXT(MONTH(Tabela1[[#This Row],[Último pagto ano]])*29,"mmmm")</f>
        <v>novembro</v>
      </c>
    </row>
    <row r="8179" spans="1:9" x14ac:dyDescent="0.25">
      <c r="A8179">
        <v>2025</v>
      </c>
      <c r="B8179" t="s">
        <v>16281</v>
      </c>
      <c r="C8179" s="1">
        <v>45989</v>
      </c>
      <c r="D8179" t="s">
        <v>16282</v>
      </c>
      <c r="E8179" s="2">
        <v>6414.35</v>
      </c>
      <c r="G8179" s="3">
        <f>MONTH(Tabela1[[#This Row],[Último pagto ano]])</f>
        <v>11</v>
      </c>
      <c r="H8179" t="str">
        <f>TEXT(Tabela1[[#This Row],[Coluna2]]*29,"mmmm")</f>
        <v>novembro</v>
      </c>
      <c r="I8179" t="str">
        <f>TEXT(MONTH(Tabela1[[#This Row],[Último pagto ano]])*29,"mmmm")</f>
        <v>novembro</v>
      </c>
    </row>
    <row r="8180" spans="1:9" x14ac:dyDescent="0.25">
      <c r="A8180">
        <v>2025</v>
      </c>
      <c r="B8180" t="s">
        <v>16283</v>
      </c>
      <c r="C8180" s="1">
        <v>46006</v>
      </c>
      <c r="D8180" t="s">
        <v>16284</v>
      </c>
      <c r="E8180" s="2">
        <v>25242</v>
      </c>
      <c r="G8180" s="3">
        <f>MONTH(Tabela1[[#This Row],[Último pagto ano]])</f>
        <v>12</v>
      </c>
      <c r="H8180" t="str">
        <f>TEXT(Tabela1[[#This Row],[Coluna2]]*29,"mmmm")</f>
        <v>dezembro</v>
      </c>
      <c r="I8180" t="str">
        <f>TEXT(MONTH(Tabela1[[#This Row],[Último pagto ano]])*29,"mmmm")</f>
        <v>dezembro</v>
      </c>
    </row>
    <row r="8181" spans="1:9" x14ac:dyDescent="0.25">
      <c r="A8181">
        <v>2025</v>
      </c>
      <c r="B8181" t="s">
        <v>16285</v>
      </c>
      <c r="C8181" s="1">
        <v>45996</v>
      </c>
      <c r="D8181" t="s">
        <v>16286</v>
      </c>
      <c r="E8181" s="2">
        <v>41730</v>
      </c>
      <c r="G8181" s="3">
        <f>MONTH(Tabela1[[#This Row],[Último pagto ano]])</f>
        <v>12</v>
      </c>
      <c r="H8181" t="str">
        <f>TEXT(Tabela1[[#This Row],[Coluna2]]*29,"mmmm")</f>
        <v>dezembro</v>
      </c>
      <c r="I8181" t="str">
        <f>TEXT(MONTH(Tabela1[[#This Row],[Último pagto ano]])*29,"mmmm")</f>
        <v>dezembro</v>
      </c>
    </row>
    <row r="8182" spans="1:9" x14ac:dyDescent="0.25">
      <c r="A8182">
        <v>2025</v>
      </c>
      <c r="B8182" t="s">
        <v>16287</v>
      </c>
      <c r="C8182" s="1">
        <v>45915</v>
      </c>
      <c r="D8182" t="s">
        <v>16288</v>
      </c>
      <c r="E8182" s="2">
        <v>4725.28</v>
      </c>
      <c r="G8182" s="3">
        <f>MONTH(Tabela1[[#This Row],[Último pagto ano]])</f>
        <v>9</v>
      </c>
      <c r="H8182" t="str">
        <f>TEXT(Tabela1[[#This Row],[Coluna2]]*29,"mmmm")</f>
        <v>setembro</v>
      </c>
      <c r="I8182" t="str">
        <f>TEXT(MONTH(Tabela1[[#This Row],[Último pagto ano]])*29,"mmmm")</f>
        <v>setembro</v>
      </c>
    </row>
    <row r="8183" spans="1:9" x14ac:dyDescent="0.25">
      <c r="A8183">
        <v>2025</v>
      </c>
      <c r="B8183" t="s">
        <v>16289</v>
      </c>
      <c r="C8183" s="1">
        <v>46006</v>
      </c>
      <c r="D8183" t="s">
        <v>16290</v>
      </c>
      <c r="E8183" s="2">
        <v>2369.2800000000002</v>
      </c>
      <c r="G8183" s="3">
        <f>MONTH(Tabela1[[#This Row],[Último pagto ano]])</f>
        <v>12</v>
      </c>
      <c r="H8183" t="str">
        <f>TEXT(Tabela1[[#This Row],[Coluna2]]*29,"mmmm")</f>
        <v>dezembro</v>
      </c>
      <c r="I8183" t="str">
        <f>TEXT(MONTH(Tabela1[[#This Row],[Último pagto ano]])*29,"mmmm")</f>
        <v>dezembro</v>
      </c>
    </row>
    <row r="8184" spans="1:9" x14ac:dyDescent="0.25">
      <c r="A8184">
        <v>2025</v>
      </c>
      <c r="B8184" t="s">
        <v>16291</v>
      </c>
      <c r="C8184" s="1">
        <v>46006</v>
      </c>
      <c r="D8184" t="s">
        <v>16292</v>
      </c>
      <c r="E8184" s="2">
        <v>9329.0400000000009</v>
      </c>
      <c r="G8184" s="3">
        <f>MONTH(Tabela1[[#This Row],[Último pagto ano]])</f>
        <v>12</v>
      </c>
      <c r="H8184" t="str">
        <f>TEXT(Tabela1[[#This Row],[Coluna2]]*29,"mmmm")</f>
        <v>dezembro</v>
      </c>
      <c r="I8184" t="str">
        <f>TEXT(MONTH(Tabela1[[#This Row],[Último pagto ano]])*29,"mmmm")</f>
        <v>dezembro</v>
      </c>
    </row>
    <row r="8185" spans="1:9" x14ac:dyDescent="0.25">
      <c r="A8185">
        <v>2025</v>
      </c>
      <c r="B8185" t="s">
        <v>16293</v>
      </c>
      <c r="C8185" s="1">
        <v>46006</v>
      </c>
      <c r="D8185" t="s">
        <v>16294</v>
      </c>
      <c r="E8185" s="2">
        <v>7996.32</v>
      </c>
      <c r="G8185" s="3">
        <f>MONTH(Tabela1[[#This Row],[Último pagto ano]])</f>
        <v>12</v>
      </c>
      <c r="H8185" t="str">
        <f>TEXT(Tabela1[[#This Row],[Coluna2]]*29,"mmmm")</f>
        <v>dezembro</v>
      </c>
      <c r="I8185" t="str">
        <f>TEXT(MONTH(Tabela1[[#This Row],[Último pagto ano]])*29,"mmmm")</f>
        <v>dezembro</v>
      </c>
    </row>
    <row r="8186" spans="1:9" x14ac:dyDescent="0.25">
      <c r="A8186">
        <v>2025</v>
      </c>
      <c r="B8186" t="s">
        <v>16295</v>
      </c>
      <c r="C8186" s="1">
        <v>46006</v>
      </c>
      <c r="D8186" t="s">
        <v>16296</v>
      </c>
      <c r="E8186" s="2">
        <v>9269.2800000000007</v>
      </c>
      <c r="G8186" s="3">
        <f>MONTH(Tabela1[[#This Row],[Último pagto ano]])</f>
        <v>12</v>
      </c>
      <c r="H8186" t="str">
        <f>TEXT(Tabela1[[#This Row],[Coluna2]]*29,"mmmm")</f>
        <v>dezembro</v>
      </c>
      <c r="I8186" t="str">
        <f>TEXT(MONTH(Tabela1[[#This Row],[Último pagto ano]])*29,"mmmm")</f>
        <v>dezembro</v>
      </c>
    </row>
    <row r="8187" spans="1:9" x14ac:dyDescent="0.25">
      <c r="A8187">
        <v>2025</v>
      </c>
      <c r="B8187" t="s">
        <v>16297</v>
      </c>
      <c r="C8187" s="1">
        <v>45964</v>
      </c>
      <c r="D8187" t="s">
        <v>16298</v>
      </c>
      <c r="E8187">
        <v>132</v>
      </c>
      <c r="G8187" s="3">
        <f>MONTH(Tabela1[[#This Row],[Último pagto ano]])</f>
        <v>11</v>
      </c>
      <c r="H8187" t="str">
        <f>TEXT(Tabela1[[#This Row],[Coluna2]]*29,"mmmm")</f>
        <v>novembro</v>
      </c>
      <c r="I8187" t="str">
        <f>TEXT(MONTH(Tabela1[[#This Row],[Último pagto ano]])*29,"mmmm")</f>
        <v>novembro</v>
      </c>
    </row>
    <row r="8188" spans="1:9" x14ac:dyDescent="0.25">
      <c r="A8188">
        <v>2025</v>
      </c>
      <c r="B8188" t="s">
        <v>16299</v>
      </c>
      <c r="C8188" s="1">
        <v>45747</v>
      </c>
      <c r="D8188" t="s">
        <v>16300</v>
      </c>
      <c r="E8188">
        <v>75.680000000000007</v>
      </c>
      <c r="G8188" s="3">
        <f>MONTH(Tabela1[[#This Row],[Último pagto ano]])</f>
        <v>3</v>
      </c>
      <c r="H8188" t="str">
        <f>TEXT(Tabela1[[#This Row],[Coluna2]]*29,"mmmm")</f>
        <v>março</v>
      </c>
      <c r="I8188" t="str">
        <f>TEXT(MONTH(Tabela1[[#This Row],[Último pagto ano]])*29,"mmmm")</f>
        <v>março</v>
      </c>
    </row>
    <row r="8189" spans="1:9" x14ac:dyDescent="0.25">
      <c r="A8189">
        <v>2025</v>
      </c>
      <c r="B8189" t="s">
        <v>16301</v>
      </c>
      <c r="C8189" s="1">
        <v>46006</v>
      </c>
      <c r="D8189" t="s">
        <v>16302</v>
      </c>
      <c r="E8189" s="2">
        <v>9760</v>
      </c>
      <c r="G8189" s="3">
        <f>MONTH(Tabela1[[#This Row],[Último pagto ano]])</f>
        <v>12</v>
      </c>
      <c r="H8189" t="str">
        <f>TEXT(Tabela1[[#This Row],[Coluna2]]*29,"mmmm")</f>
        <v>dezembro</v>
      </c>
      <c r="I8189" t="str">
        <f>TEXT(MONTH(Tabela1[[#This Row],[Último pagto ano]])*29,"mmmm")</f>
        <v>dezembro</v>
      </c>
    </row>
    <row r="8190" spans="1:9" x14ac:dyDescent="0.25">
      <c r="A8190">
        <v>2025</v>
      </c>
      <c r="B8190" t="s">
        <v>16303</v>
      </c>
      <c r="C8190" s="1">
        <v>45673</v>
      </c>
      <c r="D8190" t="s">
        <v>16304</v>
      </c>
      <c r="E8190" s="2">
        <v>5400</v>
      </c>
      <c r="G8190" s="3">
        <f>MONTH(Tabela1[[#This Row],[Último pagto ano]])</f>
        <v>1</v>
      </c>
      <c r="H8190" t="str">
        <f>TEXT(Tabela1[[#This Row],[Coluna2]]*29,"mmmm")</f>
        <v>janeiro</v>
      </c>
      <c r="I8190" t="str">
        <f>TEXT(MONTH(Tabela1[[#This Row],[Último pagto ano]])*29,"mmmm")</f>
        <v>janeiro</v>
      </c>
    </row>
    <row r="8191" spans="1:9" x14ac:dyDescent="0.25">
      <c r="A8191">
        <v>2025</v>
      </c>
      <c r="B8191" t="s">
        <v>16305</v>
      </c>
      <c r="C8191" s="1">
        <v>45832</v>
      </c>
      <c r="D8191" t="s">
        <v>16306</v>
      </c>
      <c r="E8191" s="2">
        <v>4200</v>
      </c>
      <c r="G8191" s="3">
        <f>MONTH(Tabela1[[#This Row],[Último pagto ano]])</f>
        <v>6</v>
      </c>
      <c r="H8191" t="str">
        <f>TEXT(Tabela1[[#This Row],[Coluna2]]*29,"mmmm")</f>
        <v>junho</v>
      </c>
      <c r="I8191" t="str">
        <f>TEXT(MONTH(Tabela1[[#This Row],[Último pagto ano]])*29,"mmmm")</f>
        <v>junho</v>
      </c>
    </row>
    <row r="8192" spans="1:9" x14ac:dyDescent="0.25">
      <c r="A8192">
        <v>2025</v>
      </c>
      <c r="B8192" t="s">
        <v>16307</v>
      </c>
      <c r="C8192" s="1">
        <v>46006</v>
      </c>
      <c r="D8192" t="s">
        <v>16308</v>
      </c>
      <c r="E8192" s="2">
        <v>10042.879999999999</v>
      </c>
      <c r="G8192" s="3">
        <f>MONTH(Tabela1[[#This Row],[Último pagto ano]])</f>
        <v>12</v>
      </c>
      <c r="H8192" t="str">
        <f>TEXT(Tabela1[[#This Row],[Coluna2]]*29,"mmmm")</f>
        <v>dezembro</v>
      </c>
      <c r="I8192" t="str">
        <f>TEXT(MONTH(Tabela1[[#This Row],[Último pagto ano]])*29,"mmmm")</f>
        <v>dezembro</v>
      </c>
    </row>
    <row r="8193" spans="1:9" x14ac:dyDescent="0.25">
      <c r="A8193">
        <v>2025</v>
      </c>
      <c r="B8193" t="s">
        <v>16309</v>
      </c>
      <c r="C8193" s="1">
        <v>45996</v>
      </c>
      <c r="D8193" t="s">
        <v>16310</v>
      </c>
      <c r="E8193" s="2">
        <v>3100</v>
      </c>
      <c r="G8193" s="3">
        <f>MONTH(Tabela1[[#This Row],[Último pagto ano]])</f>
        <v>12</v>
      </c>
      <c r="H8193" t="str">
        <f>TEXT(Tabela1[[#This Row],[Coluna2]]*29,"mmmm")</f>
        <v>dezembro</v>
      </c>
      <c r="I8193" t="str">
        <f>TEXT(MONTH(Tabela1[[#This Row],[Último pagto ano]])*29,"mmmm")</f>
        <v>dezembro</v>
      </c>
    </row>
    <row r="8194" spans="1:9" x14ac:dyDescent="0.25">
      <c r="A8194">
        <v>2025</v>
      </c>
      <c r="B8194" t="s">
        <v>16311</v>
      </c>
      <c r="C8194" s="1">
        <v>46006</v>
      </c>
      <c r="D8194" t="s">
        <v>16312</v>
      </c>
      <c r="E8194" s="2">
        <v>11812</v>
      </c>
      <c r="G8194" s="3">
        <f>MONTH(Tabela1[[#This Row],[Último pagto ano]])</f>
        <v>12</v>
      </c>
      <c r="H8194" t="str">
        <f>TEXT(Tabela1[[#This Row],[Coluna2]]*29,"mmmm")</f>
        <v>dezembro</v>
      </c>
      <c r="I8194" t="str">
        <f>TEXT(MONTH(Tabela1[[#This Row],[Último pagto ano]])*29,"mmmm")</f>
        <v>dezembro</v>
      </c>
    </row>
    <row r="8195" spans="1:9" x14ac:dyDescent="0.25">
      <c r="A8195">
        <v>2025</v>
      </c>
      <c r="B8195" t="s">
        <v>16313</v>
      </c>
      <c r="C8195" s="1">
        <v>45853</v>
      </c>
      <c r="D8195" t="s">
        <v>16314</v>
      </c>
      <c r="E8195" s="2">
        <v>5883.36</v>
      </c>
      <c r="G8195" s="3">
        <f>MONTH(Tabela1[[#This Row],[Último pagto ano]])</f>
        <v>7</v>
      </c>
      <c r="H8195" t="str">
        <f>TEXT(Tabela1[[#This Row],[Coluna2]]*29,"mmmm")</f>
        <v>julho</v>
      </c>
      <c r="I8195" t="str">
        <f>TEXT(MONTH(Tabela1[[#This Row],[Último pagto ano]])*29,"mmmm")</f>
        <v>julho</v>
      </c>
    </row>
    <row r="8196" spans="1:9" x14ac:dyDescent="0.25">
      <c r="A8196">
        <v>2025</v>
      </c>
      <c r="B8196" t="s">
        <v>16315</v>
      </c>
      <c r="C8196" s="1">
        <v>45996</v>
      </c>
      <c r="D8196" t="s">
        <v>16316</v>
      </c>
      <c r="E8196" s="2">
        <v>10450</v>
      </c>
      <c r="G8196" s="3">
        <f>MONTH(Tabela1[[#This Row],[Último pagto ano]])</f>
        <v>12</v>
      </c>
      <c r="H8196" t="str">
        <f>TEXT(Tabela1[[#This Row],[Coluna2]]*29,"mmmm")</f>
        <v>dezembro</v>
      </c>
      <c r="I8196" t="str">
        <f>TEXT(MONTH(Tabela1[[#This Row],[Último pagto ano]])*29,"mmmm")</f>
        <v>dezembro</v>
      </c>
    </row>
    <row r="8197" spans="1:9" x14ac:dyDescent="0.25">
      <c r="A8197">
        <v>2025</v>
      </c>
      <c r="B8197" t="s">
        <v>16317</v>
      </c>
      <c r="C8197" s="1">
        <v>45762</v>
      </c>
      <c r="D8197" t="s">
        <v>16318</v>
      </c>
      <c r="E8197" s="2">
        <v>1776.96</v>
      </c>
      <c r="G8197" s="3">
        <f>MONTH(Tabela1[[#This Row],[Último pagto ano]])</f>
        <v>4</v>
      </c>
      <c r="H8197" t="str">
        <f>TEXT(Tabela1[[#This Row],[Coluna2]]*29,"mmmm")</f>
        <v>abril</v>
      </c>
      <c r="I8197" t="str">
        <f>TEXT(MONTH(Tabela1[[#This Row],[Último pagto ano]])*29,"mmmm")</f>
        <v>abril</v>
      </c>
    </row>
    <row r="8198" spans="1:9" x14ac:dyDescent="0.25">
      <c r="A8198">
        <v>2025</v>
      </c>
      <c r="B8198" t="s">
        <v>16319</v>
      </c>
      <c r="C8198" s="1">
        <v>45783</v>
      </c>
      <c r="D8198" t="s">
        <v>16320</v>
      </c>
      <c r="E8198" s="2">
        <v>3594.27</v>
      </c>
      <c r="G8198" s="3">
        <f>MONTH(Tabela1[[#This Row],[Último pagto ano]])</f>
        <v>5</v>
      </c>
      <c r="H8198" t="str">
        <f>TEXT(Tabela1[[#This Row],[Coluna2]]*29,"mmmm")</f>
        <v>maio</v>
      </c>
      <c r="I8198" t="str">
        <f>TEXT(MONTH(Tabela1[[#This Row],[Último pagto ano]])*29,"mmmm")</f>
        <v>maio</v>
      </c>
    </row>
    <row r="8199" spans="1:9" x14ac:dyDescent="0.25">
      <c r="A8199">
        <v>2025</v>
      </c>
      <c r="B8199" t="s">
        <v>16321</v>
      </c>
      <c r="C8199" s="1">
        <v>46006</v>
      </c>
      <c r="D8199" t="s">
        <v>16322</v>
      </c>
      <c r="E8199" s="2">
        <v>1757.04</v>
      </c>
      <c r="G8199" s="3">
        <f>MONTH(Tabela1[[#This Row],[Último pagto ano]])</f>
        <v>12</v>
      </c>
      <c r="H8199" t="str">
        <f>TEXT(Tabela1[[#This Row],[Coluna2]]*29,"mmmm")</f>
        <v>dezembro</v>
      </c>
      <c r="I8199" t="str">
        <f>TEXT(MONTH(Tabela1[[#This Row],[Último pagto ano]])*29,"mmmm")</f>
        <v>dezembro</v>
      </c>
    </row>
    <row r="8200" spans="1:9" x14ac:dyDescent="0.25">
      <c r="A8200">
        <v>2025</v>
      </c>
      <c r="B8200" t="s">
        <v>16323</v>
      </c>
      <c r="C8200" s="1">
        <v>46021</v>
      </c>
      <c r="D8200" t="s">
        <v>16324</v>
      </c>
      <c r="E8200" s="2">
        <v>10134.33</v>
      </c>
      <c r="G8200" s="3">
        <f>MONTH(Tabela1[[#This Row],[Último pagto ano]])</f>
        <v>12</v>
      </c>
      <c r="H8200" t="str">
        <f>TEXT(Tabela1[[#This Row],[Coluna2]]*29,"mmmm")</f>
        <v>dezembro</v>
      </c>
      <c r="I8200" t="str">
        <f>TEXT(MONTH(Tabela1[[#This Row],[Último pagto ano]])*29,"mmmm")</f>
        <v>dezembro</v>
      </c>
    </row>
    <row r="8201" spans="1:9" x14ac:dyDescent="0.25">
      <c r="A8201">
        <v>2025</v>
      </c>
      <c r="B8201" t="s">
        <v>16325</v>
      </c>
      <c r="C8201" s="1">
        <v>45873</v>
      </c>
      <c r="D8201" t="s">
        <v>16326</v>
      </c>
      <c r="E8201">
        <v>10.09</v>
      </c>
      <c r="G8201" s="3">
        <f>MONTH(Tabela1[[#This Row],[Último pagto ano]])</f>
        <v>8</v>
      </c>
      <c r="H8201" t="str">
        <f>TEXT(Tabela1[[#This Row],[Coluna2]]*29,"mmmm")</f>
        <v>agosto</v>
      </c>
      <c r="I8201" t="str">
        <f>TEXT(MONTH(Tabela1[[#This Row],[Último pagto ano]])*29,"mmmm")</f>
        <v>agosto</v>
      </c>
    </row>
    <row r="8202" spans="1:9" x14ac:dyDescent="0.25">
      <c r="A8202">
        <v>2025</v>
      </c>
      <c r="B8202" t="s">
        <v>16327</v>
      </c>
      <c r="C8202" s="1">
        <v>45705</v>
      </c>
      <c r="D8202" t="s">
        <v>16328</v>
      </c>
      <c r="E8202" s="2">
        <v>1080</v>
      </c>
      <c r="G8202" s="3">
        <f>MONTH(Tabela1[[#This Row],[Último pagto ano]])</f>
        <v>2</v>
      </c>
      <c r="H8202" t="str">
        <f>TEXT(Tabela1[[#This Row],[Coluna2]]*29,"mmmm")</f>
        <v>fevereiro</v>
      </c>
      <c r="I8202" t="str">
        <f>TEXT(MONTH(Tabela1[[#This Row],[Último pagto ano]])*29,"mmmm")</f>
        <v>fevereiro</v>
      </c>
    </row>
    <row r="8203" spans="1:9" x14ac:dyDescent="0.25">
      <c r="A8203">
        <v>2025</v>
      </c>
      <c r="B8203" t="s">
        <v>16329</v>
      </c>
      <c r="C8203" s="1">
        <v>45989</v>
      </c>
      <c r="D8203" t="s">
        <v>16330</v>
      </c>
      <c r="E8203" s="2">
        <v>10391.1</v>
      </c>
      <c r="G8203" s="3">
        <f>MONTH(Tabela1[[#This Row],[Último pagto ano]])</f>
        <v>11</v>
      </c>
      <c r="H8203" t="str">
        <f>TEXT(Tabela1[[#This Row],[Coluna2]]*29,"mmmm")</f>
        <v>novembro</v>
      </c>
      <c r="I8203" t="str">
        <f>TEXT(MONTH(Tabela1[[#This Row],[Último pagto ano]])*29,"mmmm")</f>
        <v>novembro</v>
      </c>
    </row>
    <row r="8204" spans="1:9" x14ac:dyDescent="0.25">
      <c r="A8204">
        <v>2025</v>
      </c>
      <c r="B8204" t="s">
        <v>16331</v>
      </c>
      <c r="C8204" s="1">
        <v>45702</v>
      </c>
      <c r="D8204" t="s">
        <v>16332</v>
      </c>
      <c r="E8204" s="2">
        <v>1039.17</v>
      </c>
      <c r="G8204" s="3">
        <f>MONTH(Tabela1[[#This Row],[Último pagto ano]])</f>
        <v>2</v>
      </c>
      <c r="H8204" t="str">
        <f>TEXT(Tabela1[[#This Row],[Coluna2]]*29,"mmmm")</f>
        <v>fevereiro</v>
      </c>
      <c r="I8204" t="str">
        <f>TEXT(MONTH(Tabela1[[#This Row],[Último pagto ano]])*29,"mmmm")</f>
        <v>fevereiro</v>
      </c>
    </row>
    <row r="8205" spans="1:9" x14ac:dyDescent="0.25">
      <c r="A8205">
        <v>2025</v>
      </c>
      <c r="B8205" t="s">
        <v>16333</v>
      </c>
      <c r="C8205" s="1">
        <v>45996</v>
      </c>
      <c r="D8205" t="s">
        <v>16334</v>
      </c>
      <c r="E8205" s="2">
        <v>40064.17</v>
      </c>
      <c r="G8205" s="3">
        <f>MONTH(Tabela1[[#This Row],[Último pagto ano]])</f>
        <v>12</v>
      </c>
      <c r="H8205" t="str">
        <f>TEXT(Tabela1[[#This Row],[Coluna2]]*29,"mmmm")</f>
        <v>dezembro</v>
      </c>
      <c r="I8205" t="str">
        <f>TEXT(MONTH(Tabela1[[#This Row],[Último pagto ano]])*29,"mmmm")</f>
        <v>dezembro</v>
      </c>
    </row>
    <row r="8206" spans="1:9" x14ac:dyDescent="0.25">
      <c r="A8206">
        <v>2025</v>
      </c>
      <c r="B8206" t="s">
        <v>16335</v>
      </c>
      <c r="C8206" s="1">
        <v>45673</v>
      </c>
      <c r="D8206" t="s">
        <v>16336</v>
      </c>
      <c r="E8206">
        <v>500</v>
      </c>
      <c r="G8206" s="3">
        <f>MONTH(Tabela1[[#This Row],[Último pagto ano]])</f>
        <v>1</v>
      </c>
      <c r="H8206" t="str">
        <f>TEXT(Tabela1[[#This Row],[Coluna2]]*29,"mmmm")</f>
        <v>janeiro</v>
      </c>
      <c r="I8206" t="str">
        <f>TEXT(MONTH(Tabela1[[#This Row],[Último pagto ano]])*29,"mmmm")</f>
        <v>janeiro</v>
      </c>
    </row>
    <row r="8207" spans="1:9" x14ac:dyDescent="0.25">
      <c r="A8207">
        <v>2025</v>
      </c>
      <c r="B8207" t="s">
        <v>16337</v>
      </c>
      <c r="C8207" s="1">
        <v>46003</v>
      </c>
      <c r="D8207" t="s">
        <v>16338</v>
      </c>
      <c r="E8207" s="2">
        <v>19708.169999999998</v>
      </c>
      <c r="G8207" s="3">
        <f>MONTH(Tabela1[[#This Row],[Último pagto ano]])</f>
        <v>12</v>
      </c>
      <c r="H8207" t="str">
        <f>TEXT(Tabela1[[#This Row],[Coluna2]]*29,"mmmm")</f>
        <v>dezembro</v>
      </c>
      <c r="I8207" t="str">
        <f>TEXT(MONTH(Tabela1[[#This Row],[Último pagto ano]])*29,"mmmm")</f>
        <v>dezembro</v>
      </c>
    </row>
    <row r="8208" spans="1:9" x14ac:dyDescent="0.25">
      <c r="A8208">
        <v>2025</v>
      </c>
      <c r="B8208" t="s">
        <v>16339</v>
      </c>
      <c r="C8208" s="1">
        <v>45960</v>
      </c>
      <c r="D8208" t="s">
        <v>16340</v>
      </c>
      <c r="E8208" s="2">
        <v>6630.5</v>
      </c>
      <c r="G8208" s="3">
        <f>MONTH(Tabela1[[#This Row],[Último pagto ano]])</f>
        <v>10</v>
      </c>
      <c r="H8208" t="str">
        <f>TEXT(Tabela1[[#This Row],[Coluna2]]*29,"mmmm")</f>
        <v>outubro</v>
      </c>
      <c r="I8208" t="str">
        <f>TEXT(MONTH(Tabela1[[#This Row],[Último pagto ano]])*29,"mmmm")</f>
        <v>outubro</v>
      </c>
    </row>
    <row r="8209" spans="1:9" x14ac:dyDescent="0.25">
      <c r="A8209">
        <v>2025</v>
      </c>
      <c r="B8209" t="s">
        <v>16341</v>
      </c>
      <c r="C8209" s="1">
        <v>45733</v>
      </c>
      <c r="D8209" t="s">
        <v>16342</v>
      </c>
      <c r="E8209" s="2">
        <v>4336.16</v>
      </c>
      <c r="G8209" s="3">
        <f>MONTH(Tabela1[[#This Row],[Último pagto ano]])</f>
        <v>3</v>
      </c>
      <c r="H8209" t="str">
        <f>TEXT(Tabela1[[#This Row],[Coluna2]]*29,"mmmm")</f>
        <v>março</v>
      </c>
      <c r="I8209" t="str">
        <f>TEXT(MONTH(Tabela1[[#This Row],[Último pagto ano]])*29,"mmmm")</f>
        <v>março</v>
      </c>
    </row>
    <row r="8210" spans="1:9" x14ac:dyDescent="0.25">
      <c r="A8210">
        <v>2025</v>
      </c>
      <c r="B8210" t="s">
        <v>16343</v>
      </c>
      <c r="C8210" s="1">
        <v>45996</v>
      </c>
      <c r="D8210" t="s">
        <v>16344</v>
      </c>
      <c r="E8210" s="2">
        <v>32400</v>
      </c>
      <c r="G8210" s="3">
        <f>MONTH(Tabela1[[#This Row],[Último pagto ano]])</f>
        <v>12</v>
      </c>
      <c r="H8210" t="str">
        <f>TEXT(Tabela1[[#This Row],[Coluna2]]*29,"mmmm")</f>
        <v>dezembro</v>
      </c>
      <c r="I8210" t="str">
        <f>TEXT(MONTH(Tabela1[[#This Row],[Último pagto ano]])*29,"mmmm")</f>
        <v>dezembro</v>
      </c>
    </row>
    <row r="8211" spans="1:9" x14ac:dyDescent="0.25">
      <c r="A8211">
        <v>2025</v>
      </c>
      <c r="B8211" t="s">
        <v>16345</v>
      </c>
      <c r="C8211" s="1">
        <v>45832</v>
      </c>
      <c r="D8211" t="s">
        <v>16346</v>
      </c>
      <c r="E8211" s="2">
        <v>4200</v>
      </c>
      <c r="G8211" s="3">
        <f>MONTH(Tabela1[[#This Row],[Último pagto ano]])</f>
        <v>6</v>
      </c>
      <c r="H8211" t="str">
        <f>TEXT(Tabela1[[#This Row],[Coluna2]]*29,"mmmm")</f>
        <v>junho</v>
      </c>
      <c r="I8211" t="str">
        <f>TEXT(MONTH(Tabela1[[#This Row],[Último pagto ano]])*29,"mmmm")</f>
        <v>junho</v>
      </c>
    </row>
    <row r="8212" spans="1:9" x14ac:dyDescent="0.25">
      <c r="A8212">
        <v>2025</v>
      </c>
      <c r="B8212" t="s">
        <v>16347</v>
      </c>
      <c r="C8212" s="1">
        <v>45824</v>
      </c>
      <c r="D8212" t="s">
        <v>16348</v>
      </c>
      <c r="E8212" s="2">
        <v>5277.76</v>
      </c>
      <c r="G8212" s="3">
        <f>MONTH(Tabela1[[#This Row],[Último pagto ano]])</f>
        <v>6</v>
      </c>
      <c r="H8212" t="str">
        <f>TEXT(Tabela1[[#This Row],[Coluna2]]*29,"mmmm")</f>
        <v>junho</v>
      </c>
      <c r="I8212" t="str">
        <f>TEXT(MONTH(Tabela1[[#This Row],[Último pagto ano]])*29,"mmmm")</f>
        <v>junho</v>
      </c>
    </row>
    <row r="8213" spans="1:9" x14ac:dyDescent="0.25">
      <c r="A8213">
        <v>2025</v>
      </c>
      <c r="B8213" t="s">
        <v>16349</v>
      </c>
      <c r="C8213" s="1">
        <v>45792</v>
      </c>
      <c r="D8213" t="s">
        <v>16350</v>
      </c>
      <c r="E8213" s="2">
        <v>2564.84</v>
      </c>
      <c r="G8213" s="3">
        <f>MONTH(Tabela1[[#This Row],[Último pagto ano]])</f>
        <v>5</v>
      </c>
      <c r="H8213" t="str">
        <f>TEXT(Tabela1[[#This Row],[Coluna2]]*29,"mmmm")</f>
        <v>maio</v>
      </c>
      <c r="I8213" t="str">
        <f>TEXT(MONTH(Tabela1[[#This Row],[Último pagto ano]])*29,"mmmm")</f>
        <v>maio</v>
      </c>
    </row>
    <row r="8214" spans="1:9" x14ac:dyDescent="0.25">
      <c r="A8214">
        <v>2025</v>
      </c>
      <c r="B8214" t="s">
        <v>16351</v>
      </c>
      <c r="C8214" s="1">
        <v>46006</v>
      </c>
      <c r="D8214" t="s">
        <v>16352</v>
      </c>
      <c r="E8214" s="2">
        <v>8588.64</v>
      </c>
      <c r="G8214" s="3">
        <f>MONTH(Tabela1[[#This Row],[Último pagto ano]])</f>
        <v>12</v>
      </c>
      <c r="H8214" t="str">
        <f>TEXT(Tabela1[[#This Row],[Coluna2]]*29,"mmmm")</f>
        <v>dezembro</v>
      </c>
      <c r="I8214" t="str">
        <f>TEXT(MONTH(Tabela1[[#This Row],[Último pagto ano]])*29,"mmmm")</f>
        <v>dezembro</v>
      </c>
    </row>
    <row r="8215" spans="1:9" x14ac:dyDescent="0.25">
      <c r="A8215">
        <v>2025</v>
      </c>
      <c r="B8215" t="s">
        <v>16353</v>
      </c>
      <c r="C8215" s="1">
        <v>46006</v>
      </c>
      <c r="D8215" t="s">
        <v>16354</v>
      </c>
      <c r="E8215" s="2">
        <v>14756.72</v>
      </c>
      <c r="G8215" s="3">
        <f>MONTH(Tabela1[[#This Row],[Último pagto ano]])</f>
        <v>12</v>
      </c>
      <c r="H8215" t="str">
        <f>TEXT(Tabela1[[#This Row],[Coluna2]]*29,"mmmm")</f>
        <v>dezembro</v>
      </c>
      <c r="I8215" t="str">
        <f>TEXT(MONTH(Tabela1[[#This Row],[Último pagto ano]])*29,"mmmm")</f>
        <v>dezembro</v>
      </c>
    </row>
    <row r="8216" spans="1:9" x14ac:dyDescent="0.25">
      <c r="A8216">
        <v>2025</v>
      </c>
      <c r="B8216" t="s">
        <v>16355</v>
      </c>
      <c r="C8216" s="1">
        <v>45996</v>
      </c>
      <c r="D8216" t="s">
        <v>16356</v>
      </c>
      <c r="E8216" s="2">
        <v>18900</v>
      </c>
      <c r="G8216" s="3">
        <f>MONTH(Tabela1[[#This Row],[Último pagto ano]])</f>
        <v>12</v>
      </c>
      <c r="H8216" t="str">
        <f>TEXT(Tabela1[[#This Row],[Coluna2]]*29,"mmmm")</f>
        <v>dezembro</v>
      </c>
      <c r="I8216" t="str">
        <f>TEXT(MONTH(Tabela1[[#This Row],[Último pagto ano]])*29,"mmmm")</f>
        <v>dezembro</v>
      </c>
    </row>
    <row r="8217" spans="1:9" x14ac:dyDescent="0.25">
      <c r="A8217">
        <v>2025</v>
      </c>
      <c r="B8217" t="s">
        <v>16357</v>
      </c>
      <c r="C8217" s="1">
        <v>46010</v>
      </c>
      <c r="D8217" t="s">
        <v>16358</v>
      </c>
      <c r="E8217" s="2">
        <v>24000</v>
      </c>
      <c r="G8217" s="3">
        <f>MONTH(Tabela1[[#This Row],[Último pagto ano]])</f>
        <v>12</v>
      </c>
      <c r="H8217" t="str">
        <f>TEXT(Tabela1[[#This Row],[Coluna2]]*29,"mmmm")</f>
        <v>dezembro</v>
      </c>
      <c r="I8217" t="str">
        <f>TEXT(MONTH(Tabela1[[#This Row],[Último pagto ano]])*29,"mmmm")</f>
        <v>dezembro</v>
      </c>
    </row>
    <row r="8218" spans="1:9" x14ac:dyDescent="0.25">
      <c r="A8218">
        <v>2025</v>
      </c>
      <c r="B8218" t="s">
        <v>16359</v>
      </c>
      <c r="C8218" s="1">
        <v>45996</v>
      </c>
      <c r="D8218" t="s">
        <v>16360</v>
      </c>
      <c r="E8218" s="2">
        <v>5200</v>
      </c>
      <c r="G8218" s="3">
        <f>MONTH(Tabela1[[#This Row],[Último pagto ano]])</f>
        <v>12</v>
      </c>
      <c r="H8218" t="str">
        <f>TEXT(Tabela1[[#This Row],[Coluna2]]*29,"mmmm")</f>
        <v>dezembro</v>
      </c>
      <c r="I8218" t="str">
        <f>TEXT(MONTH(Tabela1[[#This Row],[Último pagto ano]])*29,"mmmm")</f>
        <v>dezembro</v>
      </c>
    </row>
    <row r="8219" spans="1:9" x14ac:dyDescent="0.25">
      <c r="A8219">
        <v>2025</v>
      </c>
      <c r="B8219" t="s">
        <v>16361</v>
      </c>
      <c r="C8219" s="1">
        <v>46006</v>
      </c>
      <c r="D8219" t="s">
        <v>16362</v>
      </c>
      <c r="E8219">
        <v>592.32000000000005</v>
      </c>
      <c r="G8219" s="3">
        <f>MONTH(Tabela1[[#This Row],[Último pagto ano]])</f>
        <v>12</v>
      </c>
      <c r="H8219" t="str">
        <f>TEXT(Tabela1[[#This Row],[Coluna2]]*29,"mmmm")</f>
        <v>dezembro</v>
      </c>
      <c r="I8219" t="str">
        <f>TEXT(MONTH(Tabela1[[#This Row],[Último pagto ano]])*29,"mmmm")</f>
        <v>dezembro</v>
      </c>
    </row>
    <row r="8220" spans="1:9" x14ac:dyDescent="0.25">
      <c r="A8220">
        <v>2025</v>
      </c>
      <c r="B8220" t="s">
        <v>16363</v>
      </c>
      <c r="C8220" s="1">
        <v>45996</v>
      </c>
      <c r="D8220" t="s">
        <v>16364</v>
      </c>
      <c r="E8220" s="2">
        <v>33485</v>
      </c>
      <c r="G8220" s="3">
        <f>MONTH(Tabela1[[#This Row],[Último pagto ano]])</f>
        <v>12</v>
      </c>
      <c r="H8220" t="str">
        <f>TEXT(Tabela1[[#This Row],[Coluna2]]*29,"mmmm")</f>
        <v>dezembro</v>
      </c>
      <c r="I8220" t="str">
        <f>TEXT(MONTH(Tabela1[[#This Row],[Último pagto ano]])*29,"mmmm")</f>
        <v>dezembro</v>
      </c>
    </row>
    <row r="8221" spans="1:9" x14ac:dyDescent="0.25">
      <c r="A8221">
        <v>2025</v>
      </c>
      <c r="B8221" t="s">
        <v>16365</v>
      </c>
      <c r="C8221" s="1">
        <v>45915</v>
      </c>
      <c r="D8221" t="s">
        <v>16366</v>
      </c>
      <c r="E8221" s="2">
        <v>4071.76</v>
      </c>
      <c r="G8221" s="3">
        <f>MONTH(Tabela1[[#This Row],[Último pagto ano]])</f>
        <v>9</v>
      </c>
      <c r="H8221" t="str">
        <f>TEXT(Tabela1[[#This Row],[Coluna2]]*29,"mmmm")</f>
        <v>setembro</v>
      </c>
      <c r="I8221" t="str">
        <f>TEXT(MONTH(Tabela1[[#This Row],[Último pagto ano]])*29,"mmmm")</f>
        <v>setembro</v>
      </c>
    </row>
    <row r="8222" spans="1:9" x14ac:dyDescent="0.25">
      <c r="A8222">
        <v>2025</v>
      </c>
      <c r="B8222" t="s">
        <v>16367</v>
      </c>
      <c r="C8222" s="1">
        <v>45695</v>
      </c>
      <c r="D8222" t="s">
        <v>16368</v>
      </c>
      <c r="E8222" s="2">
        <v>5184</v>
      </c>
      <c r="G8222" s="3">
        <f>MONTH(Tabela1[[#This Row],[Último pagto ano]])</f>
        <v>2</v>
      </c>
      <c r="H8222" t="str">
        <f>TEXT(Tabela1[[#This Row],[Coluna2]]*29,"mmmm")</f>
        <v>fevereiro</v>
      </c>
      <c r="I8222" t="str">
        <f>TEXT(MONTH(Tabela1[[#This Row],[Último pagto ano]])*29,"mmmm")</f>
        <v>fevereiro</v>
      </c>
    </row>
    <row r="8223" spans="1:9" x14ac:dyDescent="0.25">
      <c r="A8223">
        <v>2025</v>
      </c>
      <c r="B8223" t="s">
        <v>16369</v>
      </c>
      <c r="C8223" s="1">
        <v>45975</v>
      </c>
      <c r="D8223" t="s">
        <v>16370</v>
      </c>
      <c r="E8223" s="2">
        <v>5923.2</v>
      </c>
      <c r="G8223" s="3">
        <f>MONTH(Tabela1[[#This Row],[Último pagto ano]])</f>
        <v>11</v>
      </c>
      <c r="H8223" t="str">
        <f>TEXT(Tabela1[[#This Row],[Coluna2]]*29,"mmmm")</f>
        <v>novembro</v>
      </c>
      <c r="I8223" t="str">
        <f>TEXT(MONTH(Tabela1[[#This Row],[Último pagto ano]])*29,"mmmm")</f>
        <v>novembro</v>
      </c>
    </row>
    <row r="8224" spans="1:9" x14ac:dyDescent="0.25">
      <c r="A8224">
        <v>2025</v>
      </c>
      <c r="B8224" t="s">
        <v>16371</v>
      </c>
      <c r="C8224" s="1">
        <v>46006</v>
      </c>
      <c r="D8224" t="s">
        <v>16372</v>
      </c>
      <c r="E8224" s="2">
        <v>4442.3999999999996</v>
      </c>
      <c r="G8224" s="3">
        <f>MONTH(Tabela1[[#This Row],[Último pagto ano]])</f>
        <v>12</v>
      </c>
      <c r="H8224" t="str">
        <f>TEXT(Tabela1[[#This Row],[Coluna2]]*29,"mmmm")</f>
        <v>dezembro</v>
      </c>
      <c r="I8224" t="str">
        <f>TEXT(MONTH(Tabela1[[#This Row],[Último pagto ano]])*29,"mmmm")</f>
        <v>dezembro</v>
      </c>
    </row>
    <row r="8225" spans="1:9" x14ac:dyDescent="0.25">
      <c r="A8225">
        <v>2025</v>
      </c>
      <c r="B8225" t="s">
        <v>16373</v>
      </c>
      <c r="C8225" s="1">
        <v>45866</v>
      </c>
      <c r="D8225" t="s">
        <v>16374</v>
      </c>
      <c r="E8225" s="2">
        <v>13526.13</v>
      </c>
      <c r="G8225" s="3">
        <f>MONTH(Tabela1[[#This Row],[Último pagto ano]])</f>
        <v>7</v>
      </c>
      <c r="H8225" t="str">
        <f>TEXT(Tabela1[[#This Row],[Coluna2]]*29,"mmmm")</f>
        <v>julho</v>
      </c>
      <c r="I8225" t="str">
        <f>TEXT(MONTH(Tabela1[[#This Row],[Último pagto ano]])*29,"mmmm")</f>
        <v>julho</v>
      </c>
    </row>
    <row r="8226" spans="1:9" x14ac:dyDescent="0.25">
      <c r="A8226">
        <v>2025</v>
      </c>
      <c r="B8226" t="s">
        <v>16375</v>
      </c>
      <c r="C8226" s="1">
        <v>45884</v>
      </c>
      <c r="D8226" t="s">
        <v>16376</v>
      </c>
      <c r="E8226" s="2">
        <v>3685.04</v>
      </c>
      <c r="G8226" s="3">
        <f>MONTH(Tabela1[[#This Row],[Último pagto ano]])</f>
        <v>8</v>
      </c>
      <c r="H8226" t="str">
        <f>TEXT(Tabela1[[#This Row],[Coluna2]]*29,"mmmm")</f>
        <v>agosto</v>
      </c>
      <c r="I8226" t="str">
        <f>TEXT(MONTH(Tabela1[[#This Row],[Último pagto ano]])*29,"mmmm")</f>
        <v>agosto</v>
      </c>
    </row>
    <row r="8227" spans="1:9" x14ac:dyDescent="0.25">
      <c r="A8227">
        <v>2025</v>
      </c>
      <c r="B8227" t="s">
        <v>16377</v>
      </c>
      <c r="C8227" s="1">
        <v>46003</v>
      </c>
      <c r="D8227" t="s">
        <v>16378</v>
      </c>
      <c r="E8227" s="2">
        <v>14400</v>
      </c>
      <c r="G8227" s="3">
        <f>MONTH(Tabela1[[#This Row],[Último pagto ano]])</f>
        <v>12</v>
      </c>
      <c r="H8227" t="str">
        <f>TEXT(Tabela1[[#This Row],[Coluna2]]*29,"mmmm")</f>
        <v>dezembro</v>
      </c>
      <c r="I8227" t="str">
        <f>TEXT(MONTH(Tabela1[[#This Row],[Último pagto ano]])*29,"mmmm")</f>
        <v>dezembro</v>
      </c>
    </row>
    <row r="8228" spans="1:9" x14ac:dyDescent="0.25">
      <c r="A8228">
        <v>2025</v>
      </c>
      <c r="B8228" t="s">
        <v>16379</v>
      </c>
      <c r="C8228" s="1">
        <v>45761</v>
      </c>
      <c r="D8228" t="s">
        <v>16380</v>
      </c>
      <c r="E8228" s="2">
        <v>14800</v>
      </c>
      <c r="G8228" s="3">
        <f>MONTH(Tabela1[[#This Row],[Último pagto ano]])</f>
        <v>4</v>
      </c>
      <c r="H8228" t="str">
        <f>TEXT(Tabela1[[#This Row],[Coluna2]]*29,"mmmm")</f>
        <v>abril</v>
      </c>
      <c r="I8228" t="str">
        <f>TEXT(MONTH(Tabela1[[#This Row],[Último pagto ano]])*29,"mmmm")</f>
        <v>abril</v>
      </c>
    </row>
    <row r="8229" spans="1:9" x14ac:dyDescent="0.25">
      <c r="A8229">
        <v>2025</v>
      </c>
      <c r="B8229" t="s">
        <v>16381</v>
      </c>
      <c r="C8229" s="1">
        <v>45673</v>
      </c>
      <c r="D8229" t="s">
        <v>16382</v>
      </c>
      <c r="E8229" s="2">
        <v>2362.5</v>
      </c>
      <c r="G8229" s="3">
        <f>MONTH(Tabela1[[#This Row],[Último pagto ano]])</f>
        <v>1</v>
      </c>
      <c r="H8229" t="str">
        <f>TEXT(Tabela1[[#This Row],[Coluna2]]*29,"mmmm")</f>
        <v>janeiro</v>
      </c>
      <c r="I8229" t="str">
        <f>TEXT(MONTH(Tabela1[[#This Row],[Último pagto ano]])*29,"mmmm")</f>
        <v>janeiro</v>
      </c>
    </row>
    <row r="8230" spans="1:9" x14ac:dyDescent="0.25">
      <c r="A8230">
        <v>2025</v>
      </c>
      <c r="B8230" t="s">
        <v>16383</v>
      </c>
      <c r="C8230" s="1">
        <v>45985</v>
      </c>
      <c r="D8230" t="s">
        <v>16384</v>
      </c>
      <c r="E8230">
        <v>308</v>
      </c>
      <c r="G8230" s="3">
        <f>MONTH(Tabela1[[#This Row],[Último pagto ano]])</f>
        <v>11</v>
      </c>
      <c r="H8230" t="str">
        <f>TEXT(Tabela1[[#This Row],[Coluna2]]*29,"mmmm")</f>
        <v>novembro</v>
      </c>
      <c r="I8230" t="str">
        <f>TEXT(MONTH(Tabela1[[#This Row],[Último pagto ano]])*29,"mmmm")</f>
        <v>novembro</v>
      </c>
    </row>
    <row r="8231" spans="1:9" x14ac:dyDescent="0.25">
      <c r="A8231">
        <v>2025</v>
      </c>
      <c r="B8231" t="s">
        <v>16385</v>
      </c>
      <c r="C8231" s="1">
        <v>45702</v>
      </c>
      <c r="D8231" t="s">
        <v>16386</v>
      </c>
      <c r="E8231">
        <v>239.68</v>
      </c>
      <c r="G8231" s="3">
        <f>MONTH(Tabela1[[#This Row],[Último pagto ano]])</f>
        <v>2</v>
      </c>
      <c r="H8231" t="str">
        <f>TEXT(Tabela1[[#This Row],[Coluna2]]*29,"mmmm")</f>
        <v>fevereiro</v>
      </c>
      <c r="I8231" t="str">
        <f>TEXT(MONTH(Tabela1[[#This Row],[Último pagto ano]])*29,"mmmm")</f>
        <v>fevereiro</v>
      </c>
    </row>
    <row r="8232" spans="1:9" x14ac:dyDescent="0.25">
      <c r="A8232">
        <v>2025</v>
      </c>
      <c r="B8232" t="s">
        <v>16387</v>
      </c>
      <c r="C8232" s="1">
        <v>45848</v>
      </c>
      <c r="D8232" t="s">
        <v>16388</v>
      </c>
      <c r="E8232" s="2">
        <v>1500</v>
      </c>
      <c r="G8232" s="3">
        <f>MONTH(Tabela1[[#This Row],[Último pagto ano]])</f>
        <v>7</v>
      </c>
      <c r="H8232" t="str">
        <f>TEXT(Tabela1[[#This Row],[Coluna2]]*29,"mmmm")</f>
        <v>julho</v>
      </c>
      <c r="I8232" t="str">
        <f>TEXT(MONTH(Tabela1[[#This Row],[Último pagto ano]])*29,"mmmm")</f>
        <v>julho</v>
      </c>
    </row>
    <row r="8233" spans="1:9" x14ac:dyDescent="0.25">
      <c r="A8233">
        <v>2025</v>
      </c>
      <c r="B8233" t="s">
        <v>16389</v>
      </c>
      <c r="C8233" s="1">
        <v>45716</v>
      </c>
      <c r="D8233" t="s">
        <v>16390</v>
      </c>
      <c r="E8233" s="2">
        <v>1991.36</v>
      </c>
      <c r="G8233" s="3">
        <f>MONTH(Tabela1[[#This Row],[Último pagto ano]])</f>
        <v>2</v>
      </c>
      <c r="H8233" t="str">
        <f>TEXT(Tabela1[[#This Row],[Coluna2]]*29,"mmmm")</f>
        <v>fevereiro</v>
      </c>
      <c r="I8233" t="str">
        <f>TEXT(MONTH(Tabela1[[#This Row],[Último pagto ano]])*29,"mmmm")</f>
        <v>fevereiro</v>
      </c>
    </row>
    <row r="8234" spans="1:9" x14ac:dyDescent="0.25">
      <c r="A8234">
        <v>2025</v>
      </c>
      <c r="B8234" t="s">
        <v>16391</v>
      </c>
      <c r="C8234" s="1">
        <v>45897</v>
      </c>
      <c r="D8234" t="s">
        <v>16392</v>
      </c>
      <c r="E8234">
        <v>770</v>
      </c>
      <c r="G8234" s="3">
        <f>MONTH(Tabela1[[#This Row],[Último pagto ano]])</f>
        <v>8</v>
      </c>
      <c r="H8234" t="str">
        <f>TEXT(Tabela1[[#This Row],[Coluna2]]*29,"mmmm")</f>
        <v>agosto</v>
      </c>
      <c r="I8234" t="str">
        <f>TEXT(MONTH(Tabela1[[#This Row],[Último pagto ano]])*29,"mmmm")</f>
        <v>agosto</v>
      </c>
    </row>
    <row r="8235" spans="1:9" x14ac:dyDescent="0.25">
      <c r="A8235">
        <v>2025</v>
      </c>
      <c r="B8235" t="s">
        <v>16393</v>
      </c>
      <c r="C8235" s="1">
        <v>46010</v>
      </c>
      <c r="D8235" t="s">
        <v>16394</v>
      </c>
      <c r="E8235" s="2">
        <v>786170.18</v>
      </c>
      <c r="G8235" s="3">
        <f>MONTH(Tabela1[[#This Row],[Último pagto ano]])</f>
        <v>12</v>
      </c>
      <c r="H8235" t="str">
        <f>TEXT(Tabela1[[#This Row],[Coluna2]]*29,"mmmm")</f>
        <v>dezembro</v>
      </c>
      <c r="I8235" t="str">
        <f>TEXT(MONTH(Tabela1[[#This Row],[Último pagto ano]])*29,"mmmm")</f>
        <v>dezembro</v>
      </c>
    </row>
    <row r="8236" spans="1:9" x14ac:dyDescent="0.25">
      <c r="A8236">
        <v>2025</v>
      </c>
      <c r="B8236" t="s">
        <v>16395</v>
      </c>
      <c r="C8236" s="1">
        <v>45968</v>
      </c>
      <c r="D8236" t="s">
        <v>16396</v>
      </c>
      <c r="E8236" s="2">
        <v>20000</v>
      </c>
      <c r="G8236" s="3">
        <f>MONTH(Tabela1[[#This Row],[Último pagto ano]])</f>
        <v>11</v>
      </c>
      <c r="H8236" t="str">
        <f>TEXT(Tabela1[[#This Row],[Coluna2]]*29,"mmmm")</f>
        <v>novembro</v>
      </c>
      <c r="I8236" t="str">
        <f>TEXT(MONTH(Tabela1[[#This Row],[Último pagto ano]])*29,"mmmm")</f>
        <v>novembro</v>
      </c>
    </row>
    <row r="8237" spans="1:9" x14ac:dyDescent="0.25">
      <c r="A8237">
        <v>2025</v>
      </c>
      <c r="B8237" t="s">
        <v>16397</v>
      </c>
      <c r="C8237" s="1">
        <v>45838</v>
      </c>
      <c r="D8237" t="s">
        <v>16398</v>
      </c>
      <c r="E8237">
        <v>186</v>
      </c>
      <c r="G8237" s="3">
        <f>MONTH(Tabela1[[#This Row],[Último pagto ano]])</f>
        <v>6</v>
      </c>
      <c r="H8237" t="str">
        <f>TEXT(Tabela1[[#This Row],[Coluna2]]*29,"mmmm")</f>
        <v>junho</v>
      </c>
      <c r="I8237" t="str">
        <f>TEXT(MONTH(Tabela1[[#This Row],[Último pagto ano]])*29,"mmmm")</f>
        <v>junho</v>
      </c>
    </row>
    <row r="8238" spans="1:9" x14ac:dyDescent="0.25">
      <c r="A8238">
        <v>2025</v>
      </c>
      <c r="B8238" t="s">
        <v>16399</v>
      </c>
      <c r="C8238" s="1">
        <v>45919</v>
      </c>
      <c r="D8238" t="s">
        <v>16400</v>
      </c>
      <c r="E8238" s="2">
        <v>27040.61</v>
      </c>
      <c r="G8238" s="3">
        <f>MONTH(Tabela1[[#This Row],[Último pagto ano]])</f>
        <v>9</v>
      </c>
      <c r="H8238" t="str">
        <f>TEXT(Tabela1[[#This Row],[Coluna2]]*29,"mmmm")</f>
        <v>setembro</v>
      </c>
      <c r="I8238" t="str">
        <f>TEXT(MONTH(Tabela1[[#This Row],[Último pagto ano]])*29,"mmmm")</f>
        <v>setembro</v>
      </c>
    </row>
    <row r="8239" spans="1:9" x14ac:dyDescent="0.25">
      <c r="A8239">
        <v>2025</v>
      </c>
      <c r="B8239" t="s">
        <v>16401</v>
      </c>
      <c r="C8239" s="1">
        <v>45882</v>
      </c>
      <c r="D8239" t="s">
        <v>16402</v>
      </c>
      <c r="E8239" s="2">
        <v>41456</v>
      </c>
      <c r="G8239" s="3">
        <f>MONTH(Tabela1[[#This Row],[Último pagto ano]])</f>
        <v>8</v>
      </c>
      <c r="H8239" t="str">
        <f>TEXT(Tabela1[[#This Row],[Coluna2]]*29,"mmmm")</f>
        <v>agosto</v>
      </c>
      <c r="I8239" t="str">
        <f>TEXT(MONTH(Tabela1[[#This Row],[Último pagto ano]])*29,"mmmm")</f>
        <v>agosto</v>
      </c>
    </row>
    <row r="8240" spans="1:9" x14ac:dyDescent="0.25">
      <c r="A8240">
        <v>2025</v>
      </c>
      <c r="B8240" t="s">
        <v>16403</v>
      </c>
      <c r="C8240" s="1">
        <v>46021</v>
      </c>
      <c r="D8240" t="s">
        <v>16404</v>
      </c>
      <c r="E8240" s="2">
        <v>11220</v>
      </c>
      <c r="G8240" s="3">
        <f>MONTH(Tabela1[[#This Row],[Último pagto ano]])</f>
        <v>12</v>
      </c>
      <c r="H8240" t="str">
        <f>TEXT(Tabela1[[#This Row],[Coluna2]]*29,"mmmm")</f>
        <v>dezembro</v>
      </c>
      <c r="I8240" t="str">
        <f>TEXT(MONTH(Tabela1[[#This Row],[Último pagto ano]])*29,"mmmm")</f>
        <v>dezembro</v>
      </c>
    </row>
    <row r="8241" spans="1:9" x14ac:dyDescent="0.25">
      <c r="A8241">
        <v>2025</v>
      </c>
      <c r="B8241" t="s">
        <v>16405</v>
      </c>
      <c r="C8241" s="1">
        <v>46014</v>
      </c>
      <c r="D8241" t="s">
        <v>16406</v>
      </c>
      <c r="E8241" s="2">
        <v>457500</v>
      </c>
      <c r="G8241" s="3">
        <f>MONTH(Tabela1[[#This Row],[Último pagto ano]])</f>
        <v>12</v>
      </c>
      <c r="H8241" t="str">
        <f>TEXT(Tabela1[[#This Row],[Coluna2]]*29,"mmmm")</f>
        <v>dezembro</v>
      </c>
      <c r="I8241" t="str">
        <f>TEXT(MONTH(Tabela1[[#This Row],[Último pagto ano]])*29,"mmmm")</f>
        <v>dezembro</v>
      </c>
    </row>
    <row r="8242" spans="1:9" x14ac:dyDescent="0.25">
      <c r="A8242">
        <v>2025</v>
      </c>
      <c r="B8242" t="s">
        <v>16407</v>
      </c>
      <c r="C8242" s="1">
        <v>45679</v>
      </c>
      <c r="D8242" t="s">
        <v>16408</v>
      </c>
      <c r="E8242" s="2">
        <v>3956964</v>
      </c>
      <c r="G8242" s="3">
        <f>MONTH(Tabela1[[#This Row],[Último pagto ano]])</f>
        <v>1</v>
      </c>
      <c r="H8242" t="str">
        <f>TEXT(Tabela1[[#This Row],[Coluna2]]*29,"mmmm")</f>
        <v>janeiro</v>
      </c>
      <c r="I8242" t="str">
        <f>TEXT(MONTH(Tabela1[[#This Row],[Último pagto ano]])*29,"mmmm")</f>
        <v>janeiro</v>
      </c>
    </row>
    <row r="8243" spans="1:9" x14ac:dyDescent="0.25">
      <c r="A8243">
        <v>2025</v>
      </c>
      <c r="B8243" t="s">
        <v>16409</v>
      </c>
      <c r="C8243" s="1">
        <v>45992</v>
      </c>
      <c r="D8243" t="s">
        <v>16410</v>
      </c>
      <c r="E8243" s="2">
        <v>54312.62</v>
      </c>
      <c r="G8243" s="3">
        <f>MONTH(Tabela1[[#This Row],[Último pagto ano]])</f>
        <v>12</v>
      </c>
      <c r="H8243" t="str">
        <f>TEXT(Tabela1[[#This Row],[Coluna2]]*29,"mmmm")</f>
        <v>dezembro</v>
      </c>
      <c r="I8243" t="str">
        <f>TEXT(MONTH(Tabela1[[#This Row],[Último pagto ano]])*29,"mmmm")</f>
        <v>dezembro</v>
      </c>
    </row>
    <row r="8244" spans="1:9" x14ac:dyDescent="0.25">
      <c r="A8244">
        <v>2025</v>
      </c>
      <c r="B8244" t="s">
        <v>16411</v>
      </c>
      <c r="C8244" s="1">
        <v>45751</v>
      </c>
      <c r="D8244" t="s">
        <v>16412</v>
      </c>
      <c r="E8244" s="2">
        <v>14510</v>
      </c>
      <c r="G8244" s="3">
        <f>MONTH(Tabela1[[#This Row],[Último pagto ano]])</f>
        <v>4</v>
      </c>
      <c r="H8244" t="str">
        <f>TEXT(Tabela1[[#This Row],[Coluna2]]*29,"mmmm")</f>
        <v>abril</v>
      </c>
      <c r="I8244" t="str">
        <f>TEXT(MONTH(Tabela1[[#This Row],[Último pagto ano]])*29,"mmmm")</f>
        <v>abril</v>
      </c>
    </row>
    <row r="8245" spans="1:9" x14ac:dyDescent="0.25">
      <c r="A8245">
        <v>2025</v>
      </c>
      <c r="B8245" t="s">
        <v>16413</v>
      </c>
      <c r="C8245" s="1">
        <v>46006</v>
      </c>
      <c r="D8245" t="s">
        <v>16414</v>
      </c>
      <c r="E8245" s="2">
        <v>2800</v>
      </c>
      <c r="G8245" s="3">
        <f>MONTH(Tabela1[[#This Row],[Último pagto ano]])</f>
        <v>12</v>
      </c>
      <c r="H8245" t="str">
        <f>TEXT(Tabela1[[#This Row],[Coluna2]]*29,"mmmm")</f>
        <v>dezembro</v>
      </c>
      <c r="I8245" t="str">
        <f>TEXT(MONTH(Tabela1[[#This Row],[Último pagto ano]])*29,"mmmm")</f>
        <v>dezembro</v>
      </c>
    </row>
    <row r="8246" spans="1:9" x14ac:dyDescent="0.25">
      <c r="A8246">
        <v>2025</v>
      </c>
      <c r="B8246" t="s">
        <v>16415</v>
      </c>
      <c r="C8246" s="1">
        <v>46002</v>
      </c>
      <c r="D8246" t="s">
        <v>16416</v>
      </c>
      <c r="E8246" s="2">
        <v>1231876.5</v>
      </c>
      <c r="G8246" s="3">
        <f>MONTH(Tabela1[[#This Row],[Último pagto ano]])</f>
        <v>12</v>
      </c>
      <c r="H8246" t="str">
        <f>TEXT(Tabela1[[#This Row],[Coluna2]]*29,"mmmm")</f>
        <v>dezembro</v>
      </c>
      <c r="I8246" t="str">
        <f>TEXT(MONTH(Tabela1[[#This Row],[Último pagto ano]])*29,"mmmm")</f>
        <v>dezembro</v>
      </c>
    </row>
    <row r="8247" spans="1:9" x14ac:dyDescent="0.25">
      <c r="A8247">
        <v>2025</v>
      </c>
      <c r="B8247" t="s">
        <v>16417</v>
      </c>
      <c r="C8247" s="1">
        <v>45937</v>
      </c>
      <c r="D8247" t="s">
        <v>16418</v>
      </c>
      <c r="E8247" s="2">
        <v>116630</v>
      </c>
      <c r="G8247" s="3">
        <f>MONTH(Tabela1[[#This Row],[Último pagto ano]])</f>
        <v>10</v>
      </c>
      <c r="H8247" t="str">
        <f>TEXT(Tabela1[[#This Row],[Coluna2]]*29,"mmmm")</f>
        <v>outubro</v>
      </c>
      <c r="I8247" t="str">
        <f>TEXT(MONTH(Tabela1[[#This Row],[Último pagto ano]])*29,"mmmm")</f>
        <v>outubro</v>
      </c>
    </row>
    <row r="8248" spans="1:9" x14ac:dyDescent="0.25">
      <c r="A8248">
        <v>2025</v>
      </c>
      <c r="B8248" t="s">
        <v>16419</v>
      </c>
      <c r="C8248" s="1">
        <v>46013</v>
      </c>
      <c r="D8248" t="s">
        <v>16420</v>
      </c>
      <c r="E8248" s="2">
        <v>398813.41</v>
      </c>
      <c r="G8248" s="3">
        <f>MONTH(Tabela1[[#This Row],[Último pagto ano]])</f>
        <v>12</v>
      </c>
      <c r="H8248" t="str">
        <f>TEXT(Tabela1[[#This Row],[Coluna2]]*29,"mmmm")</f>
        <v>dezembro</v>
      </c>
      <c r="I8248" t="str">
        <f>TEXT(MONTH(Tabela1[[#This Row],[Último pagto ano]])*29,"mmmm")</f>
        <v>dezembro</v>
      </c>
    </row>
    <row r="8249" spans="1:9" x14ac:dyDescent="0.25">
      <c r="A8249">
        <v>2025</v>
      </c>
      <c r="B8249" t="s">
        <v>16421</v>
      </c>
      <c r="C8249" s="1">
        <v>45937</v>
      </c>
      <c r="D8249" t="s">
        <v>16422</v>
      </c>
      <c r="E8249" s="2">
        <v>6000</v>
      </c>
      <c r="G8249" s="3">
        <f>MONTH(Tabela1[[#This Row],[Último pagto ano]])</f>
        <v>10</v>
      </c>
      <c r="H8249" t="str">
        <f>TEXT(Tabela1[[#This Row],[Coluna2]]*29,"mmmm")</f>
        <v>outubro</v>
      </c>
      <c r="I8249" t="str">
        <f>TEXT(MONTH(Tabela1[[#This Row],[Último pagto ano]])*29,"mmmm")</f>
        <v>outubro</v>
      </c>
    </row>
    <row r="8250" spans="1:9" x14ac:dyDescent="0.25">
      <c r="A8250">
        <v>2025</v>
      </c>
      <c r="B8250" t="s">
        <v>16423</v>
      </c>
      <c r="C8250" s="1">
        <v>45996</v>
      </c>
      <c r="D8250" t="s">
        <v>16424</v>
      </c>
      <c r="E8250" s="2">
        <v>115086.3</v>
      </c>
      <c r="G8250" s="3">
        <f>MONTH(Tabela1[[#This Row],[Último pagto ano]])</f>
        <v>12</v>
      </c>
      <c r="H8250" t="str">
        <f>TEXT(Tabela1[[#This Row],[Coluna2]]*29,"mmmm")</f>
        <v>dezembro</v>
      </c>
      <c r="I8250" t="str">
        <f>TEXT(MONTH(Tabela1[[#This Row],[Último pagto ano]])*29,"mmmm")</f>
        <v>dezembro</v>
      </c>
    </row>
    <row r="8251" spans="1:9" x14ac:dyDescent="0.25">
      <c r="A8251">
        <v>2025</v>
      </c>
      <c r="B8251" t="s">
        <v>16425</v>
      </c>
      <c r="C8251" s="1">
        <v>45978</v>
      </c>
      <c r="D8251" t="s">
        <v>16426</v>
      </c>
      <c r="E8251" s="2">
        <v>132435.12</v>
      </c>
      <c r="G8251" s="3">
        <f>MONTH(Tabela1[[#This Row],[Último pagto ano]])</f>
        <v>11</v>
      </c>
      <c r="H8251" t="str">
        <f>TEXT(Tabela1[[#This Row],[Coluna2]]*29,"mmmm")</f>
        <v>novembro</v>
      </c>
      <c r="I8251" t="str">
        <f>TEXT(MONTH(Tabela1[[#This Row],[Último pagto ano]])*29,"mmmm")</f>
        <v>novembro</v>
      </c>
    </row>
    <row r="8252" spans="1:9" x14ac:dyDescent="0.25">
      <c r="A8252">
        <v>2025</v>
      </c>
      <c r="B8252" t="s">
        <v>16427</v>
      </c>
      <c r="C8252" s="1">
        <v>45723</v>
      </c>
      <c r="D8252" t="s">
        <v>16428</v>
      </c>
      <c r="E8252" s="2">
        <v>1200</v>
      </c>
      <c r="G8252" s="3">
        <f>MONTH(Tabela1[[#This Row],[Último pagto ano]])</f>
        <v>3</v>
      </c>
      <c r="H8252" t="str">
        <f>TEXT(Tabela1[[#This Row],[Coluna2]]*29,"mmmm")</f>
        <v>março</v>
      </c>
      <c r="I8252" t="str">
        <f>TEXT(MONTH(Tabela1[[#This Row],[Último pagto ano]])*29,"mmmm")</f>
        <v>março</v>
      </c>
    </row>
    <row r="8253" spans="1:9" x14ac:dyDescent="0.25">
      <c r="A8253">
        <v>2025</v>
      </c>
      <c r="B8253" t="s">
        <v>16429</v>
      </c>
      <c r="C8253" s="1">
        <v>46014</v>
      </c>
      <c r="D8253" t="s">
        <v>16430</v>
      </c>
      <c r="E8253" s="2">
        <v>133710</v>
      </c>
      <c r="G8253" s="3">
        <f>MONTH(Tabela1[[#This Row],[Último pagto ano]])</f>
        <v>12</v>
      </c>
      <c r="H8253" t="str">
        <f>TEXT(Tabela1[[#This Row],[Coluna2]]*29,"mmmm")</f>
        <v>dezembro</v>
      </c>
      <c r="I8253" t="str">
        <f>TEXT(MONTH(Tabela1[[#This Row],[Último pagto ano]])*29,"mmmm")</f>
        <v>dezembro</v>
      </c>
    </row>
    <row r="8254" spans="1:9" x14ac:dyDescent="0.25">
      <c r="A8254">
        <v>2025</v>
      </c>
      <c r="B8254" t="s">
        <v>16431</v>
      </c>
      <c r="C8254" s="1">
        <v>45925</v>
      </c>
      <c r="D8254" t="s">
        <v>16432</v>
      </c>
      <c r="E8254" s="2">
        <v>2587.6</v>
      </c>
      <c r="G8254" s="3">
        <f>MONTH(Tabela1[[#This Row],[Último pagto ano]])</f>
        <v>9</v>
      </c>
      <c r="H8254" t="str">
        <f>TEXT(Tabela1[[#This Row],[Coluna2]]*29,"mmmm")</f>
        <v>setembro</v>
      </c>
      <c r="I8254" t="str">
        <f>TEXT(MONTH(Tabela1[[#This Row],[Último pagto ano]])*29,"mmmm")</f>
        <v>setembro</v>
      </c>
    </row>
    <row r="8255" spans="1:9" x14ac:dyDescent="0.25">
      <c r="A8255">
        <v>2025</v>
      </c>
      <c r="B8255" t="s">
        <v>16433</v>
      </c>
      <c r="C8255" s="1">
        <v>45995</v>
      </c>
      <c r="D8255" t="s">
        <v>16434</v>
      </c>
      <c r="E8255" s="2">
        <v>91567.12</v>
      </c>
      <c r="G8255" s="3">
        <f>MONTH(Tabela1[[#This Row],[Último pagto ano]])</f>
        <v>12</v>
      </c>
      <c r="H8255" t="str">
        <f>TEXT(Tabela1[[#This Row],[Coluna2]]*29,"mmmm")</f>
        <v>dezembro</v>
      </c>
      <c r="I8255" t="str">
        <f>TEXT(MONTH(Tabela1[[#This Row],[Último pagto ano]])*29,"mmmm")</f>
        <v>dezembro</v>
      </c>
    </row>
    <row r="8256" spans="1:9" x14ac:dyDescent="0.25">
      <c r="A8256">
        <v>2025</v>
      </c>
      <c r="B8256" t="s">
        <v>16435</v>
      </c>
      <c r="C8256" s="1">
        <v>45803</v>
      </c>
      <c r="D8256" t="s">
        <v>16436</v>
      </c>
      <c r="E8256" s="2">
        <v>4185383.41</v>
      </c>
      <c r="G8256" s="3">
        <f>MONTH(Tabela1[[#This Row],[Último pagto ano]])</f>
        <v>5</v>
      </c>
      <c r="H8256" t="str">
        <f>TEXT(Tabela1[[#This Row],[Coluna2]]*29,"mmmm")</f>
        <v>maio</v>
      </c>
      <c r="I8256" t="str">
        <f>TEXT(MONTH(Tabela1[[#This Row],[Último pagto ano]])*29,"mmmm")</f>
        <v>maio</v>
      </c>
    </row>
    <row r="8257" spans="1:9" x14ac:dyDescent="0.25">
      <c r="A8257">
        <v>2025</v>
      </c>
      <c r="B8257" t="s">
        <v>16437</v>
      </c>
      <c r="C8257" s="1">
        <v>45785</v>
      </c>
      <c r="D8257" t="s">
        <v>16438</v>
      </c>
      <c r="E8257" s="2">
        <v>4050</v>
      </c>
      <c r="G8257" s="3">
        <f>MONTH(Tabela1[[#This Row],[Último pagto ano]])</f>
        <v>5</v>
      </c>
      <c r="H8257" t="str">
        <f>TEXT(Tabela1[[#This Row],[Coluna2]]*29,"mmmm")</f>
        <v>maio</v>
      </c>
      <c r="I8257" t="str">
        <f>TEXT(MONTH(Tabela1[[#This Row],[Último pagto ano]])*29,"mmmm")</f>
        <v>maio</v>
      </c>
    </row>
    <row r="8258" spans="1:9" x14ac:dyDescent="0.25">
      <c r="A8258">
        <v>2025</v>
      </c>
      <c r="B8258" t="s">
        <v>16439</v>
      </c>
      <c r="C8258" s="1">
        <v>45888</v>
      </c>
      <c r="D8258" t="s">
        <v>16440</v>
      </c>
      <c r="E8258" s="2">
        <v>4781.8599999999997</v>
      </c>
      <c r="G8258" s="3">
        <f>MONTH(Tabela1[[#This Row],[Último pagto ano]])</f>
        <v>8</v>
      </c>
      <c r="H8258" t="str">
        <f>TEXT(Tabela1[[#This Row],[Coluna2]]*29,"mmmm")</f>
        <v>agosto</v>
      </c>
      <c r="I8258" t="str">
        <f>TEXT(MONTH(Tabela1[[#This Row],[Último pagto ano]])*29,"mmmm")</f>
        <v>agosto</v>
      </c>
    </row>
    <row r="8259" spans="1:9" x14ac:dyDescent="0.25">
      <c r="A8259">
        <v>2025</v>
      </c>
      <c r="B8259" t="s">
        <v>16441</v>
      </c>
      <c r="C8259" s="1">
        <v>45996</v>
      </c>
      <c r="D8259" t="s">
        <v>16442</v>
      </c>
      <c r="E8259" s="2">
        <v>497499.96</v>
      </c>
      <c r="G8259" s="3">
        <f>MONTH(Tabela1[[#This Row],[Último pagto ano]])</f>
        <v>12</v>
      </c>
      <c r="H8259" t="str">
        <f>TEXT(Tabela1[[#This Row],[Coluna2]]*29,"mmmm")</f>
        <v>dezembro</v>
      </c>
      <c r="I8259" t="str">
        <f>TEXT(MONTH(Tabela1[[#This Row],[Último pagto ano]])*29,"mmmm")</f>
        <v>dezembro</v>
      </c>
    </row>
    <row r="8260" spans="1:9" x14ac:dyDescent="0.25">
      <c r="A8260">
        <v>2025</v>
      </c>
      <c r="B8260" t="s">
        <v>16443</v>
      </c>
      <c r="C8260" s="1">
        <v>45691</v>
      </c>
      <c r="D8260" t="s">
        <v>16444</v>
      </c>
      <c r="E8260">
        <v>8.49</v>
      </c>
      <c r="G8260" s="3">
        <f>MONTH(Tabela1[[#This Row],[Último pagto ano]])</f>
        <v>2</v>
      </c>
      <c r="H8260" t="str">
        <f>TEXT(Tabela1[[#This Row],[Coluna2]]*29,"mmmm")</f>
        <v>fevereiro</v>
      </c>
      <c r="I8260" t="str">
        <f>TEXT(MONTH(Tabela1[[#This Row],[Último pagto ano]])*29,"mmmm")</f>
        <v>fevereiro</v>
      </c>
    </row>
    <row r="8261" spans="1:9" x14ac:dyDescent="0.25">
      <c r="A8261">
        <v>2025</v>
      </c>
      <c r="B8261" t="s">
        <v>16445</v>
      </c>
      <c r="C8261" s="1">
        <v>45931</v>
      </c>
      <c r="D8261" t="s">
        <v>16446</v>
      </c>
      <c r="E8261" s="2">
        <v>341029.12</v>
      </c>
      <c r="G8261" s="3">
        <f>MONTH(Tabela1[[#This Row],[Último pagto ano]])</f>
        <v>10</v>
      </c>
      <c r="H8261" t="str">
        <f>TEXT(Tabela1[[#This Row],[Coluna2]]*29,"mmmm")</f>
        <v>outubro</v>
      </c>
      <c r="I8261" t="str">
        <f>TEXT(MONTH(Tabela1[[#This Row],[Último pagto ano]])*29,"mmmm")</f>
        <v>outubro</v>
      </c>
    </row>
    <row r="8262" spans="1:9" x14ac:dyDescent="0.25">
      <c r="A8262">
        <v>2025</v>
      </c>
      <c r="B8262" t="s">
        <v>16447</v>
      </c>
      <c r="C8262" s="1">
        <v>45784</v>
      </c>
      <c r="D8262" t="s">
        <v>16448</v>
      </c>
      <c r="E8262" s="2">
        <v>31655.040000000001</v>
      </c>
      <c r="G8262" s="3">
        <f>MONTH(Tabela1[[#This Row],[Último pagto ano]])</f>
        <v>5</v>
      </c>
      <c r="H8262" t="str">
        <f>TEXT(Tabela1[[#This Row],[Coluna2]]*29,"mmmm")</f>
        <v>maio</v>
      </c>
      <c r="I8262" t="str">
        <f>TEXT(MONTH(Tabela1[[#This Row],[Último pagto ano]])*29,"mmmm")</f>
        <v>maio</v>
      </c>
    </row>
    <row r="8263" spans="1:9" x14ac:dyDescent="0.25">
      <c r="A8263">
        <v>2025</v>
      </c>
      <c r="B8263" t="s">
        <v>16449</v>
      </c>
      <c r="C8263" s="1">
        <v>46021</v>
      </c>
      <c r="D8263" t="s">
        <v>16450</v>
      </c>
      <c r="E8263" s="2">
        <v>3724321.33</v>
      </c>
      <c r="G8263" s="3">
        <f>MONTH(Tabela1[[#This Row],[Último pagto ano]])</f>
        <v>12</v>
      </c>
      <c r="H8263" t="str">
        <f>TEXT(Tabela1[[#This Row],[Coluna2]]*29,"mmmm")</f>
        <v>dezembro</v>
      </c>
      <c r="I8263" t="str">
        <f>TEXT(MONTH(Tabela1[[#This Row],[Último pagto ano]])*29,"mmmm")</f>
        <v>dezembro</v>
      </c>
    </row>
    <row r="8264" spans="1:9" x14ac:dyDescent="0.25">
      <c r="A8264">
        <v>2025</v>
      </c>
      <c r="B8264" t="s">
        <v>16451</v>
      </c>
      <c r="C8264" s="1">
        <v>45908</v>
      </c>
      <c r="D8264" t="s">
        <v>16452</v>
      </c>
      <c r="E8264">
        <v>785.49</v>
      </c>
      <c r="G8264" s="3">
        <f>MONTH(Tabela1[[#This Row],[Último pagto ano]])</f>
        <v>9</v>
      </c>
      <c r="H8264" t="str">
        <f>TEXT(Tabela1[[#This Row],[Coluna2]]*29,"mmmm")</f>
        <v>setembro</v>
      </c>
      <c r="I8264" t="str">
        <f>TEXT(MONTH(Tabela1[[#This Row],[Último pagto ano]])*29,"mmmm")</f>
        <v>setembro</v>
      </c>
    </row>
    <row r="8265" spans="1:9" x14ac:dyDescent="0.25">
      <c r="A8265">
        <v>2025</v>
      </c>
      <c r="B8265" t="s">
        <v>16453</v>
      </c>
      <c r="C8265" s="1">
        <v>46014</v>
      </c>
      <c r="D8265" t="s">
        <v>16454</v>
      </c>
      <c r="E8265" s="2">
        <v>1242646.8</v>
      </c>
      <c r="G8265" s="3">
        <f>MONTH(Tabela1[[#This Row],[Último pagto ano]])</f>
        <v>12</v>
      </c>
      <c r="H8265" t="str">
        <f>TEXT(Tabela1[[#This Row],[Coluna2]]*29,"mmmm")</f>
        <v>dezembro</v>
      </c>
      <c r="I8265" t="str">
        <f>TEXT(MONTH(Tabela1[[#This Row],[Último pagto ano]])*29,"mmmm")</f>
        <v>dezembro</v>
      </c>
    </row>
    <row r="8266" spans="1:9" x14ac:dyDescent="0.25">
      <c r="A8266">
        <v>2025</v>
      </c>
      <c r="B8266" t="s">
        <v>16455</v>
      </c>
      <c r="C8266" s="1">
        <v>46007</v>
      </c>
      <c r="D8266" t="s">
        <v>16456</v>
      </c>
      <c r="E8266" s="2">
        <v>6048</v>
      </c>
      <c r="G8266" s="3">
        <f>MONTH(Tabela1[[#This Row],[Último pagto ano]])</f>
        <v>12</v>
      </c>
      <c r="H8266" t="str">
        <f>TEXT(Tabela1[[#This Row],[Coluna2]]*29,"mmmm")</f>
        <v>dezembro</v>
      </c>
      <c r="I8266" t="str">
        <f>TEXT(MONTH(Tabela1[[#This Row],[Último pagto ano]])*29,"mmmm")</f>
        <v>dezembro</v>
      </c>
    </row>
    <row r="8267" spans="1:9" x14ac:dyDescent="0.25">
      <c r="A8267">
        <v>2025</v>
      </c>
      <c r="B8267" t="s">
        <v>16457</v>
      </c>
      <c r="C8267" s="1">
        <v>45936</v>
      </c>
      <c r="D8267" t="s">
        <v>16458</v>
      </c>
      <c r="E8267" s="2">
        <v>3245</v>
      </c>
      <c r="G8267" s="3">
        <f>MONTH(Tabela1[[#This Row],[Último pagto ano]])</f>
        <v>10</v>
      </c>
      <c r="H8267" t="str">
        <f>TEXT(Tabela1[[#This Row],[Coluna2]]*29,"mmmm")</f>
        <v>outubro</v>
      </c>
      <c r="I8267" t="str">
        <f>TEXT(MONTH(Tabela1[[#This Row],[Último pagto ano]])*29,"mmmm")</f>
        <v>outubro</v>
      </c>
    </row>
    <row r="8268" spans="1:9" x14ac:dyDescent="0.25">
      <c r="A8268">
        <v>2025</v>
      </c>
      <c r="B8268" t="s">
        <v>16459</v>
      </c>
      <c r="C8268" s="1">
        <v>45769</v>
      </c>
      <c r="D8268" t="s">
        <v>16460</v>
      </c>
      <c r="E8268" s="2">
        <v>93871.37</v>
      </c>
      <c r="G8268" s="3">
        <f>MONTH(Tabela1[[#This Row],[Último pagto ano]])</f>
        <v>4</v>
      </c>
      <c r="H8268" t="str">
        <f>TEXT(Tabela1[[#This Row],[Coluna2]]*29,"mmmm")</f>
        <v>abril</v>
      </c>
      <c r="I8268" t="str">
        <f>TEXT(MONTH(Tabela1[[#This Row],[Último pagto ano]])*29,"mmmm")</f>
        <v>abril</v>
      </c>
    </row>
    <row r="8269" spans="1:9" x14ac:dyDescent="0.25">
      <c r="A8269">
        <v>2025</v>
      </c>
      <c r="B8269" t="s">
        <v>16461</v>
      </c>
      <c r="C8269" s="1">
        <v>45964</v>
      </c>
      <c r="D8269" t="s">
        <v>16462</v>
      </c>
      <c r="E8269">
        <v>294</v>
      </c>
      <c r="G8269" s="3">
        <f>MONTH(Tabela1[[#This Row],[Último pagto ano]])</f>
        <v>11</v>
      </c>
      <c r="H8269" t="str">
        <f>TEXT(Tabela1[[#This Row],[Coluna2]]*29,"mmmm")</f>
        <v>novembro</v>
      </c>
      <c r="I8269" t="str">
        <f>TEXT(MONTH(Tabela1[[#This Row],[Último pagto ano]])*29,"mmmm")</f>
        <v>novembro</v>
      </c>
    </row>
    <row r="8270" spans="1:9" x14ac:dyDescent="0.25">
      <c r="A8270">
        <v>2025</v>
      </c>
      <c r="B8270" t="s">
        <v>16463</v>
      </c>
      <c r="C8270" s="1">
        <v>45988</v>
      </c>
      <c r="D8270" t="s">
        <v>16464</v>
      </c>
      <c r="E8270" s="2">
        <v>784275.18</v>
      </c>
      <c r="G8270" s="3">
        <f>MONTH(Tabela1[[#This Row],[Último pagto ano]])</f>
        <v>11</v>
      </c>
      <c r="H8270" t="str">
        <f>TEXT(Tabela1[[#This Row],[Coluna2]]*29,"mmmm")</f>
        <v>novembro</v>
      </c>
      <c r="I8270" t="str">
        <f>TEXT(MONTH(Tabela1[[#This Row],[Último pagto ano]])*29,"mmmm")</f>
        <v>novembro</v>
      </c>
    </row>
    <row r="8271" spans="1:9" x14ac:dyDescent="0.25">
      <c r="A8271">
        <v>2025</v>
      </c>
      <c r="B8271" t="s">
        <v>16465</v>
      </c>
      <c r="C8271" s="1">
        <v>45947</v>
      </c>
      <c r="D8271" t="s">
        <v>16466</v>
      </c>
      <c r="E8271" s="2">
        <v>30544.31</v>
      </c>
      <c r="G8271" s="3">
        <f>MONTH(Tabela1[[#This Row],[Último pagto ano]])</f>
        <v>10</v>
      </c>
      <c r="H8271" t="str">
        <f>TEXT(Tabela1[[#This Row],[Coluna2]]*29,"mmmm")</f>
        <v>outubro</v>
      </c>
      <c r="I8271" t="str">
        <f>TEXT(MONTH(Tabela1[[#This Row],[Último pagto ano]])*29,"mmmm")</f>
        <v>outubro</v>
      </c>
    </row>
    <row r="8272" spans="1:9" x14ac:dyDescent="0.25">
      <c r="A8272">
        <v>2025</v>
      </c>
      <c r="B8272" t="s">
        <v>16467</v>
      </c>
      <c r="C8272" s="1">
        <v>45859</v>
      </c>
      <c r="D8272" t="s">
        <v>16468</v>
      </c>
      <c r="E8272" s="2">
        <v>3332.74</v>
      </c>
      <c r="G8272" s="3">
        <f>MONTH(Tabela1[[#This Row],[Último pagto ano]])</f>
        <v>7</v>
      </c>
      <c r="H8272" t="str">
        <f>TEXT(Tabela1[[#This Row],[Coluna2]]*29,"mmmm")</f>
        <v>julho</v>
      </c>
      <c r="I8272" t="str">
        <f>TEXT(MONTH(Tabela1[[#This Row],[Último pagto ano]])*29,"mmmm")</f>
        <v>julho</v>
      </c>
    </row>
    <row r="8273" spans="1:9" x14ac:dyDescent="0.25">
      <c r="A8273">
        <v>2025</v>
      </c>
      <c r="B8273" t="s">
        <v>16469</v>
      </c>
      <c r="C8273" s="1">
        <v>45980</v>
      </c>
      <c r="D8273" t="s">
        <v>16470</v>
      </c>
      <c r="E8273" s="2">
        <v>7590</v>
      </c>
      <c r="G8273" s="3">
        <f>MONTH(Tabela1[[#This Row],[Último pagto ano]])</f>
        <v>11</v>
      </c>
      <c r="H8273" t="str">
        <f>TEXT(Tabela1[[#This Row],[Coluna2]]*29,"mmmm")</f>
        <v>novembro</v>
      </c>
      <c r="I8273" t="str">
        <f>TEXT(MONTH(Tabela1[[#This Row],[Último pagto ano]])*29,"mmmm")</f>
        <v>novembro</v>
      </c>
    </row>
    <row r="8274" spans="1:9" x14ac:dyDescent="0.25">
      <c r="A8274">
        <v>2025</v>
      </c>
      <c r="B8274" t="s">
        <v>16471</v>
      </c>
      <c r="C8274" s="1">
        <v>45975</v>
      </c>
      <c r="D8274" t="s">
        <v>16472</v>
      </c>
      <c r="E8274" s="2">
        <v>3325</v>
      </c>
      <c r="G8274" s="3">
        <f>MONTH(Tabela1[[#This Row],[Último pagto ano]])</f>
        <v>11</v>
      </c>
      <c r="H8274" t="str">
        <f>TEXT(Tabela1[[#This Row],[Coluna2]]*29,"mmmm")</f>
        <v>novembro</v>
      </c>
      <c r="I8274" t="str">
        <f>TEXT(MONTH(Tabela1[[#This Row],[Último pagto ano]])*29,"mmmm")</f>
        <v>novembro</v>
      </c>
    </row>
    <row r="8275" spans="1:9" x14ac:dyDescent="0.25">
      <c r="A8275">
        <v>2025</v>
      </c>
      <c r="B8275" t="s">
        <v>16473</v>
      </c>
      <c r="C8275" s="1">
        <v>45803</v>
      </c>
      <c r="D8275" t="s">
        <v>16474</v>
      </c>
      <c r="E8275">
        <v>77.41</v>
      </c>
      <c r="G8275" s="3">
        <f>MONTH(Tabela1[[#This Row],[Último pagto ano]])</f>
        <v>5</v>
      </c>
      <c r="H8275" t="str">
        <f>TEXT(Tabela1[[#This Row],[Coluna2]]*29,"mmmm")</f>
        <v>maio</v>
      </c>
      <c r="I8275" t="str">
        <f>TEXT(MONTH(Tabela1[[#This Row],[Último pagto ano]])*29,"mmmm")</f>
        <v>maio</v>
      </c>
    </row>
    <row r="8276" spans="1:9" x14ac:dyDescent="0.25">
      <c r="A8276">
        <v>2025</v>
      </c>
      <c r="B8276" t="s">
        <v>16475</v>
      </c>
      <c r="C8276" s="1">
        <v>45763</v>
      </c>
      <c r="D8276" t="s">
        <v>16476</v>
      </c>
      <c r="E8276" s="2">
        <v>131100</v>
      </c>
      <c r="G8276" s="3">
        <f>MONTH(Tabela1[[#This Row],[Último pagto ano]])</f>
        <v>4</v>
      </c>
      <c r="H8276" t="str">
        <f>TEXT(Tabela1[[#This Row],[Coluna2]]*29,"mmmm")</f>
        <v>abril</v>
      </c>
      <c r="I8276" t="str">
        <f>TEXT(MONTH(Tabela1[[#This Row],[Último pagto ano]])*29,"mmmm")</f>
        <v>abril</v>
      </c>
    </row>
    <row r="8277" spans="1:9" x14ac:dyDescent="0.25">
      <c r="A8277">
        <v>2025</v>
      </c>
      <c r="B8277" t="s">
        <v>16477</v>
      </c>
      <c r="C8277" s="1">
        <v>46014</v>
      </c>
      <c r="D8277" t="s">
        <v>16478</v>
      </c>
      <c r="E8277" s="2">
        <v>5020</v>
      </c>
      <c r="G8277" s="3">
        <f>MONTH(Tabela1[[#This Row],[Último pagto ano]])</f>
        <v>12</v>
      </c>
      <c r="H8277" t="str">
        <f>TEXT(Tabela1[[#This Row],[Coluna2]]*29,"mmmm")</f>
        <v>dezembro</v>
      </c>
      <c r="I8277" t="str">
        <f>TEXT(MONTH(Tabela1[[#This Row],[Último pagto ano]])*29,"mmmm")</f>
        <v>dezembro</v>
      </c>
    </row>
    <row r="8278" spans="1:9" x14ac:dyDescent="0.25">
      <c r="A8278">
        <v>2025</v>
      </c>
      <c r="B8278" t="s">
        <v>16479</v>
      </c>
      <c r="C8278" s="1">
        <v>46002</v>
      </c>
      <c r="D8278" t="s">
        <v>16480</v>
      </c>
      <c r="E8278" s="2">
        <v>10080</v>
      </c>
      <c r="G8278" s="3">
        <f>MONTH(Tabela1[[#This Row],[Último pagto ano]])</f>
        <v>12</v>
      </c>
      <c r="H8278" t="str">
        <f>TEXT(Tabela1[[#This Row],[Coluna2]]*29,"mmmm")</f>
        <v>dezembro</v>
      </c>
      <c r="I8278" t="str">
        <f>TEXT(MONTH(Tabela1[[#This Row],[Último pagto ano]])*29,"mmmm")</f>
        <v>dezembro</v>
      </c>
    </row>
    <row r="8279" spans="1:9" x14ac:dyDescent="0.25">
      <c r="A8279">
        <v>2025</v>
      </c>
      <c r="B8279" t="s">
        <v>16481</v>
      </c>
      <c r="C8279" s="1">
        <v>46014</v>
      </c>
      <c r="D8279" t="s">
        <v>16482</v>
      </c>
      <c r="E8279">
        <v>76.400000000000006</v>
      </c>
      <c r="G8279" s="3">
        <f>MONTH(Tabela1[[#This Row],[Último pagto ano]])</f>
        <v>12</v>
      </c>
      <c r="H8279" t="str">
        <f>TEXT(Tabela1[[#This Row],[Coluna2]]*29,"mmmm")</f>
        <v>dezembro</v>
      </c>
      <c r="I8279" t="str">
        <f>TEXT(MONTH(Tabela1[[#This Row],[Último pagto ano]])*29,"mmmm")</f>
        <v>dezembro</v>
      </c>
    </row>
    <row r="8280" spans="1:9" x14ac:dyDescent="0.25">
      <c r="A8280">
        <v>2025</v>
      </c>
      <c r="B8280" t="s">
        <v>16483</v>
      </c>
      <c r="C8280" s="1">
        <v>45959</v>
      </c>
      <c r="D8280" t="s">
        <v>16484</v>
      </c>
      <c r="E8280" s="2">
        <v>810346.42</v>
      </c>
      <c r="G8280" s="3">
        <f>MONTH(Tabela1[[#This Row],[Último pagto ano]])</f>
        <v>10</v>
      </c>
      <c r="H8280" t="str">
        <f>TEXT(Tabela1[[#This Row],[Coluna2]]*29,"mmmm")</f>
        <v>outubro</v>
      </c>
      <c r="I8280" t="str">
        <f>TEXT(MONTH(Tabela1[[#This Row],[Último pagto ano]])*29,"mmmm")</f>
        <v>outubro</v>
      </c>
    </row>
    <row r="8281" spans="1:9" x14ac:dyDescent="0.25">
      <c r="A8281">
        <v>2025</v>
      </c>
      <c r="B8281" t="s">
        <v>16485</v>
      </c>
      <c r="C8281" s="1">
        <v>45880</v>
      </c>
      <c r="D8281" t="s">
        <v>16486</v>
      </c>
      <c r="E8281">
        <v>66</v>
      </c>
      <c r="G8281" s="3">
        <f>MONTH(Tabela1[[#This Row],[Último pagto ano]])</f>
        <v>8</v>
      </c>
      <c r="H8281" t="str">
        <f>TEXT(Tabela1[[#This Row],[Coluna2]]*29,"mmmm")</f>
        <v>agosto</v>
      </c>
      <c r="I8281" t="str">
        <f>TEXT(MONTH(Tabela1[[#This Row],[Último pagto ano]])*29,"mmmm")</f>
        <v>agosto</v>
      </c>
    </row>
    <row r="8282" spans="1:9" x14ac:dyDescent="0.25">
      <c r="A8282">
        <v>2025</v>
      </c>
      <c r="B8282" t="s">
        <v>16487</v>
      </c>
      <c r="C8282" s="1">
        <v>46010</v>
      </c>
      <c r="D8282" t="s">
        <v>16488</v>
      </c>
      <c r="E8282" s="2">
        <v>8400</v>
      </c>
      <c r="G8282" s="3">
        <f>MONTH(Tabela1[[#This Row],[Último pagto ano]])</f>
        <v>12</v>
      </c>
      <c r="H8282" t="str">
        <f>TEXT(Tabela1[[#This Row],[Coluna2]]*29,"mmmm")</f>
        <v>dezembro</v>
      </c>
      <c r="I8282" t="str">
        <f>TEXT(MONTH(Tabela1[[#This Row],[Último pagto ano]])*29,"mmmm")</f>
        <v>dezembro</v>
      </c>
    </row>
    <row r="8283" spans="1:9" x14ac:dyDescent="0.25">
      <c r="A8283">
        <v>2025</v>
      </c>
      <c r="B8283" t="s">
        <v>16489</v>
      </c>
      <c r="C8283" s="1">
        <v>45975</v>
      </c>
      <c r="D8283" t="s">
        <v>16490</v>
      </c>
      <c r="E8283" s="2">
        <v>19911.12</v>
      </c>
      <c r="G8283" s="3">
        <f>MONTH(Tabela1[[#This Row],[Último pagto ano]])</f>
        <v>11</v>
      </c>
      <c r="H8283" t="str">
        <f>TEXT(Tabela1[[#This Row],[Coluna2]]*29,"mmmm")</f>
        <v>novembro</v>
      </c>
      <c r="I8283" t="str">
        <f>TEXT(MONTH(Tabela1[[#This Row],[Último pagto ano]])*29,"mmmm")</f>
        <v>novembro</v>
      </c>
    </row>
    <row r="8284" spans="1:9" x14ac:dyDescent="0.25">
      <c r="A8284">
        <v>2025</v>
      </c>
      <c r="B8284" t="s">
        <v>16491</v>
      </c>
      <c r="C8284" s="1">
        <v>46014</v>
      </c>
      <c r="D8284" t="s">
        <v>16492</v>
      </c>
      <c r="E8284">
        <v>5.94</v>
      </c>
      <c r="G8284" s="3">
        <f>MONTH(Tabela1[[#This Row],[Último pagto ano]])</f>
        <v>12</v>
      </c>
      <c r="H8284" t="str">
        <f>TEXT(Tabela1[[#This Row],[Coluna2]]*29,"mmmm")</f>
        <v>dezembro</v>
      </c>
      <c r="I8284" t="str">
        <f>TEXT(MONTH(Tabela1[[#This Row],[Último pagto ano]])*29,"mmmm")</f>
        <v>dezembro</v>
      </c>
    </row>
    <row r="8285" spans="1:9" x14ac:dyDescent="0.25">
      <c r="A8285">
        <v>2025</v>
      </c>
      <c r="B8285" t="s">
        <v>16493</v>
      </c>
      <c r="C8285" s="1">
        <v>45796</v>
      </c>
      <c r="D8285" t="s">
        <v>16494</v>
      </c>
      <c r="E8285" s="2">
        <v>1910</v>
      </c>
      <c r="G8285" s="3">
        <f>MONTH(Tabela1[[#This Row],[Último pagto ano]])</f>
        <v>5</v>
      </c>
      <c r="H8285" t="str">
        <f>TEXT(Tabela1[[#This Row],[Coluna2]]*29,"mmmm")</f>
        <v>maio</v>
      </c>
      <c r="I8285" t="str">
        <f>TEXT(MONTH(Tabela1[[#This Row],[Último pagto ano]])*29,"mmmm")</f>
        <v>maio</v>
      </c>
    </row>
    <row r="8286" spans="1:9" x14ac:dyDescent="0.25">
      <c r="A8286">
        <v>2025</v>
      </c>
      <c r="B8286" t="s">
        <v>16495</v>
      </c>
      <c r="C8286" s="1">
        <v>45915</v>
      </c>
      <c r="D8286" t="s">
        <v>16496</v>
      </c>
      <c r="E8286" s="2">
        <v>4712</v>
      </c>
      <c r="G8286" s="3">
        <f>MONTH(Tabela1[[#This Row],[Último pagto ano]])</f>
        <v>9</v>
      </c>
      <c r="H8286" t="str">
        <f>TEXT(Tabela1[[#This Row],[Coluna2]]*29,"mmmm")</f>
        <v>setembro</v>
      </c>
      <c r="I8286" t="str">
        <f>TEXT(MONTH(Tabela1[[#This Row],[Último pagto ano]])*29,"mmmm")</f>
        <v>setembro</v>
      </c>
    </row>
    <row r="8287" spans="1:9" x14ac:dyDescent="0.25">
      <c r="A8287">
        <v>2025</v>
      </c>
      <c r="B8287" t="s">
        <v>16497</v>
      </c>
      <c r="C8287" s="1">
        <v>45996</v>
      </c>
      <c r="D8287" t="s">
        <v>16498</v>
      </c>
      <c r="E8287" s="2">
        <v>31000</v>
      </c>
      <c r="G8287" s="3">
        <f>MONTH(Tabela1[[#This Row],[Último pagto ano]])</f>
        <v>12</v>
      </c>
      <c r="H8287" t="str">
        <f>TEXT(Tabela1[[#This Row],[Coluna2]]*29,"mmmm")</f>
        <v>dezembro</v>
      </c>
      <c r="I8287" t="str">
        <f>TEXT(MONTH(Tabela1[[#This Row],[Último pagto ano]])*29,"mmmm")</f>
        <v>dezembro</v>
      </c>
    </row>
    <row r="8288" spans="1:9" x14ac:dyDescent="0.25">
      <c r="A8288">
        <v>2025</v>
      </c>
      <c r="B8288" t="s">
        <v>16499</v>
      </c>
      <c r="C8288" s="1">
        <v>46014</v>
      </c>
      <c r="D8288" t="s">
        <v>16500</v>
      </c>
      <c r="E8288">
        <v>22</v>
      </c>
      <c r="G8288" s="3">
        <f>MONTH(Tabela1[[#This Row],[Último pagto ano]])</f>
        <v>12</v>
      </c>
      <c r="H8288" t="str">
        <f>TEXT(Tabela1[[#This Row],[Coluna2]]*29,"mmmm")</f>
        <v>dezembro</v>
      </c>
      <c r="I8288" t="str">
        <f>TEXT(MONTH(Tabela1[[#This Row],[Último pagto ano]])*29,"mmmm")</f>
        <v>dezembro</v>
      </c>
    </row>
    <row r="8289" spans="1:9" x14ac:dyDescent="0.25">
      <c r="A8289">
        <v>2025</v>
      </c>
      <c r="B8289" t="s">
        <v>16501</v>
      </c>
      <c r="C8289" s="1">
        <v>45716</v>
      </c>
      <c r="D8289" t="s">
        <v>16502</v>
      </c>
      <c r="E8289" s="2">
        <v>2164.2399999999998</v>
      </c>
      <c r="G8289" s="3">
        <f>MONTH(Tabela1[[#This Row],[Último pagto ano]])</f>
        <v>2</v>
      </c>
      <c r="H8289" t="str">
        <f>TEXT(Tabela1[[#This Row],[Coluna2]]*29,"mmmm")</f>
        <v>fevereiro</v>
      </c>
      <c r="I8289" t="str">
        <f>TEXT(MONTH(Tabela1[[#This Row],[Último pagto ano]])*29,"mmmm")</f>
        <v>fevereiro</v>
      </c>
    </row>
    <row r="8290" spans="1:9" x14ac:dyDescent="0.25">
      <c r="A8290">
        <v>2025</v>
      </c>
      <c r="B8290" t="s">
        <v>16503</v>
      </c>
      <c r="C8290" s="1">
        <v>46007</v>
      </c>
      <c r="D8290" t="s">
        <v>16504</v>
      </c>
      <c r="E8290" s="2">
        <v>6808.1</v>
      </c>
      <c r="G8290" s="3">
        <f>MONTH(Tabela1[[#This Row],[Último pagto ano]])</f>
        <v>12</v>
      </c>
      <c r="H8290" t="str">
        <f>TEXT(Tabela1[[#This Row],[Coluna2]]*29,"mmmm")</f>
        <v>dezembro</v>
      </c>
      <c r="I8290" t="str">
        <f>TEXT(MONTH(Tabela1[[#This Row],[Último pagto ano]])*29,"mmmm")</f>
        <v>dezembro</v>
      </c>
    </row>
    <row r="8291" spans="1:9" x14ac:dyDescent="0.25">
      <c r="A8291">
        <v>2025</v>
      </c>
      <c r="B8291" t="s">
        <v>16505</v>
      </c>
      <c r="C8291" s="1">
        <v>45929</v>
      </c>
      <c r="D8291" t="s">
        <v>16506</v>
      </c>
      <c r="E8291">
        <v>99</v>
      </c>
      <c r="G8291" s="3">
        <f>MONTH(Tabela1[[#This Row],[Último pagto ano]])</f>
        <v>9</v>
      </c>
      <c r="H8291" t="str">
        <f>TEXT(Tabela1[[#This Row],[Coluna2]]*29,"mmmm")</f>
        <v>setembro</v>
      </c>
      <c r="I8291" t="str">
        <f>TEXT(MONTH(Tabela1[[#This Row],[Último pagto ano]])*29,"mmmm")</f>
        <v>setembro</v>
      </c>
    </row>
    <row r="8292" spans="1:9" x14ac:dyDescent="0.25">
      <c r="A8292">
        <v>2025</v>
      </c>
      <c r="B8292" t="s">
        <v>16507</v>
      </c>
      <c r="C8292" s="1">
        <v>45726</v>
      </c>
      <c r="D8292" t="s">
        <v>16508</v>
      </c>
      <c r="E8292" s="2">
        <v>10518</v>
      </c>
      <c r="G8292" s="3">
        <f>MONTH(Tabela1[[#This Row],[Último pagto ano]])</f>
        <v>3</v>
      </c>
      <c r="H8292" t="str">
        <f>TEXT(Tabela1[[#This Row],[Coluna2]]*29,"mmmm")</f>
        <v>março</v>
      </c>
      <c r="I8292" t="str">
        <f>TEXT(MONTH(Tabela1[[#This Row],[Último pagto ano]])*29,"mmmm")</f>
        <v>março</v>
      </c>
    </row>
    <row r="8293" spans="1:9" x14ac:dyDescent="0.25">
      <c r="A8293">
        <v>2025</v>
      </c>
      <c r="B8293" t="s">
        <v>16509</v>
      </c>
      <c r="C8293" s="1">
        <v>45880</v>
      </c>
      <c r="D8293" t="s">
        <v>16510</v>
      </c>
      <c r="E8293" s="2">
        <v>39600</v>
      </c>
      <c r="G8293" s="3">
        <f>MONTH(Tabela1[[#This Row],[Último pagto ano]])</f>
        <v>8</v>
      </c>
      <c r="H8293" t="str">
        <f>TEXT(Tabela1[[#This Row],[Coluna2]]*29,"mmmm")</f>
        <v>agosto</v>
      </c>
      <c r="I8293" t="str">
        <f>TEXT(MONTH(Tabela1[[#This Row],[Último pagto ano]])*29,"mmmm")</f>
        <v>agosto</v>
      </c>
    </row>
    <row r="8294" spans="1:9" x14ac:dyDescent="0.25">
      <c r="A8294">
        <v>2025</v>
      </c>
      <c r="B8294" t="s">
        <v>16511</v>
      </c>
      <c r="C8294" s="1">
        <v>45989</v>
      </c>
      <c r="D8294" t="s">
        <v>16512</v>
      </c>
      <c r="E8294" s="2">
        <v>200330.04</v>
      </c>
      <c r="G8294" s="3">
        <f>MONTH(Tabela1[[#This Row],[Último pagto ano]])</f>
        <v>11</v>
      </c>
      <c r="H8294" t="str">
        <f>TEXT(Tabela1[[#This Row],[Coluna2]]*29,"mmmm")</f>
        <v>novembro</v>
      </c>
      <c r="I8294" t="str">
        <f>TEXT(MONTH(Tabela1[[#This Row],[Último pagto ano]])*29,"mmmm")</f>
        <v>novembro</v>
      </c>
    </row>
    <row r="8295" spans="1:9" x14ac:dyDescent="0.25">
      <c r="A8295">
        <v>2025</v>
      </c>
      <c r="B8295" t="s">
        <v>16513</v>
      </c>
      <c r="C8295" s="1">
        <v>45996</v>
      </c>
      <c r="D8295" t="s">
        <v>16514</v>
      </c>
      <c r="E8295" s="2">
        <v>1789610</v>
      </c>
      <c r="G8295" s="3">
        <f>MONTH(Tabela1[[#This Row],[Último pagto ano]])</f>
        <v>12</v>
      </c>
      <c r="H8295" t="str">
        <f>TEXT(Tabela1[[#This Row],[Coluna2]]*29,"mmmm")</f>
        <v>dezembro</v>
      </c>
      <c r="I8295" t="str">
        <f>TEXT(MONTH(Tabela1[[#This Row],[Último pagto ano]])*29,"mmmm")</f>
        <v>dezembro</v>
      </c>
    </row>
    <row r="8296" spans="1:9" x14ac:dyDescent="0.25">
      <c r="A8296">
        <v>2025</v>
      </c>
      <c r="B8296" t="s">
        <v>16515</v>
      </c>
      <c r="C8296" s="1">
        <v>46006</v>
      </c>
      <c r="D8296" t="s">
        <v>16516</v>
      </c>
      <c r="E8296" s="2">
        <v>1018</v>
      </c>
      <c r="G8296" s="3">
        <f>MONTH(Tabela1[[#This Row],[Último pagto ano]])</f>
        <v>12</v>
      </c>
      <c r="H8296" t="str">
        <f>TEXT(Tabela1[[#This Row],[Coluna2]]*29,"mmmm")</f>
        <v>dezembro</v>
      </c>
      <c r="I8296" t="str">
        <f>TEXT(MONTH(Tabela1[[#This Row],[Último pagto ano]])*29,"mmmm")</f>
        <v>dezembro</v>
      </c>
    </row>
    <row r="8297" spans="1:9" x14ac:dyDescent="0.25">
      <c r="A8297">
        <v>2025</v>
      </c>
      <c r="B8297" t="s">
        <v>16517</v>
      </c>
      <c r="C8297" s="1">
        <v>46010</v>
      </c>
      <c r="D8297" t="s">
        <v>16518</v>
      </c>
      <c r="E8297" s="2">
        <v>2256000.88</v>
      </c>
      <c r="G8297" s="3">
        <f>MONTH(Tabela1[[#This Row],[Último pagto ano]])</f>
        <v>12</v>
      </c>
      <c r="H8297" t="str">
        <f>TEXT(Tabela1[[#This Row],[Coluna2]]*29,"mmmm")</f>
        <v>dezembro</v>
      </c>
      <c r="I8297" t="str">
        <f>TEXT(MONTH(Tabela1[[#This Row],[Último pagto ano]])*29,"mmmm")</f>
        <v>dezembro</v>
      </c>
    </row>
    <row r="8298" spans="1:9" x14ac:dyDescent="0.25">
      <c r="A8298">
        <v>2025</v>
      </c>
      <c r="B8298" t="s">
        <v>16519</v>
      </c>
      <c r="C8298" s="1">
        <v>45848</v>
      </c>
      <c r="D8298" t="s">
        <v>16520</v>
      </c>
      <c r="E8298" s="2">
        <v>187800</v>
      </c>
      <c r="G8298" s="3">
        <f>MONTH(Tabela1[[#This Row],[Último pagto ano]])</f>
        <v>7</v>
      </c>
      <c r="H8298" t="str">
        <f>TEXT(Tabela1[[#This Row],[Coluna2]]*29,"mmmm")</f>
        <v>julho</v>
      </c>
      <c r="I8298" t="str">
        <f>TEXT(MONTH(Tabela1[[#This Row],[Último pagto ano]])*29,"mmmm")</f>
        <v>julho</v>
      </c>
    </row>
    <row r="8299" spans="1:9" x14ac:dyDescent="0.25">
      <c r="A8299">
        <v>2025</v>
      </c>
      <c r="B8299" t="s">
        <v>16521</v>
      </c>
      <c r="C8299" s="1">
        <v>45999</v>
      </c>
      <c r="D8299" t="s">
        <v>16522</v>
      </c>
      <c r="E8299" s="2">
        <v>86400</v>
      </c>
      <c r="G8299" s="3">
        <f>MONTH(Tabela1[[#This Row],[Último pagto ano]])</f>
        <v>12</v>
      </c>
      <c r="H8299" t="str">
        <f>TEXT(Tabela1[[#This Row],[Coluna2]]*29,"mmmm")</f>
        <v>dezembro</v>
      </c>
      <c r="I8299" t="str">
        <f>TEXT(MONTH(Tabela1[[#This Row],[Último pagto ano]])*29,"mmmm")</f>
        <v>dezembro</v>
      </c>
    </row>
    <row r="8300" spans="1:9" x14ac:dyDescent="0.25">
      <c r="A8300">
        <v>2025</v>
      </c>
      <c r="B8300" t="s">
        <v>16523</v>
      </c>
      <c r="C8300" s="1">
        <v>45924</v>
      </c>
      <c r="D8300" t="s">
        <v>16524</v>
      </c>
      <c r="E8300" s="2">
        <v>6093.36</v>
      </c>
      <c r="G8300" s="3">
        <f>MONTH(Tabela1[[#This Row],[Último pagto ano]])</f>
        <v>9</v>
      </c>
      <c r="H8300" t="str">
        <f>TEXT(Tabela1[[#This Row],[Coluna2]]*29,"mmmm")</f>
        <v>setembro</v>
      </c>
      <c r="I8300" t="str">
        <f>TEXT(MONTH(Tabela1[[#This Row],[Último pagto ano]])*29,"mmmm")</f>
        <v>setembro</v>
      </c>
    </row>
    <row r="8301" spans="1:9" x14ac:dyDescent="0.25">
      <c r="A8301">
        <v>2025</v>
      </c>
      <c r="B8301" t="s">
        <v>16525</v>
      </c>
      <c r="C8301" s="1">
        <v>46021</v>
      </c>
      <c r="D8301" t="s">
        <v>16526</v>
      </c>
      <c r="E8301" s="2">
        <v>345126473.60000002</v>
      </c>
      <c r="G8301" s="3">
        <f>MONTH(Tabela1[[#This Row],[Último pagto ano]])</f>
        <v>12</v>
      </c>
      <c r="H8301" t="str">
        <f>TEXT(Tabela1[[#This Row],[Coluna2]]*29,"mmmm")</f>
        <v>dezembro</v>
      </c>
      <c r="I8301" t="str">
        <f>TEXT(MONTH(Tabela1[[#This Row],[Último pagto ano]])*29,"mmmm")</f>
        <v>dezembro</v>
      </c>
    </row>
    <row r="8302" spans="1:9" x14ac:dyDescent="0.25">
      <c r="A8302">
        <v>2025</v>
      </c>
      <c r="B8302" t="s">
        <v>16527</v>
      </c>
      <c r="C8302" s="1">
        <v>46013</v>
      </c>
      <c r="D8302" t="s">
        <v>16528</v>
      </c>
      <c r="E8302" s="2">
        <v>95129332.379999995</v>
      </c>
      <c r="G8302" s="3">
        <f>MONTH(Tabela1[[#This Row],[Último pagto ano]])</f>
        <v>12</v>
      </c>
      <c r="H8302" t="str">
        <f>TEXT(Tabela1[[#This Row],[Coluna2]]*29,"mmmm")</f>
        <v>dezembro</v>
      </c>
      <c r="I8302" t="str">
        <f>TEXT(MONTH(Tabela1[[#This Row],[Último pagto ano]])*29,"mmmm")</f>
        <v>dezembro</v>
      </c>
    </row>
    <row r="8303" spans="1:9" x14ac:dyDescent="0.25">
      <c r="A8303">
        <v>2025</v>
      </c>
      <c r="B8303" t="s">
        <v>16529</v>
      </c>
      <c r="C8303" s="1">
        <v>45996</v>
      </c>
      <c r="D8303" t="s">
        <v>16530</v>
      </c>
      <c r="E8303" s="2">
        <v>335930</v>
      </c>
      <c r="G8303" s="3">
        <f>MONTH(Tabela1[[#This Row],[Último pagto ano]])</f>
        <v>12</v>
      </c>
      <c r="H8303" t="str">
        <f>TEXT(Tabela1[[#This Row],[Coluna2]]*29,"mmmm")</f>
        <v>dezembro</v>
      </c>
      <c r="I8303" t="str">
        <f>TEXT(MONTH(Tabela1[[#This Row],[Último pagto ano]])*29,"mmmm")</f>
        <v>dezembro</v>
      </c>
    </row>
    <row r="8304" spans="1:9" x14ac:dyDescent="0.25">
      <c r="A8304">
        <v>2025</v>
      </c>
      <c r="B8304" t="s">
        <v>16531</v>
      </c>
      <c r="C8304" s="1">
        <v>45943</v>
      </c>
      <c r="D8304" t="s">
        <v>16532</v>
      </c>
      <c r="E8304" s="2">
        <v>47725.599999999999</v>
      </c>
      <c r="G8304" s="3">
        <f>MONTH(Tabela1[[#This Row],[Último pagto ano]])</f>
        <v>10</v>
      </c>
      <c r="H8304" t="str">
        <f>TEXT(Tabela1[[#This Row],[Coluna2]]*29,"mmmm")</f>
        <v>outubro</v>
      </c>
      <c r="I8304" t="str">
        <f>TEXT(MONTH(Tabela1[[#This Row],[Último pagto ano]])*29,"mmmm")</f>
        <v>outubro</v>
      </c>
    </row>
    <row r="8305" spans="1:9" x14ac:dyDescent="0.25">
      <c r="A8305">
        <v>2025</v>
      </c>
      <c r="B8305" t="s">
        <v>16533</v>
      </c>
      <c r="C8305" s="1">
        <v>45740</v>
      </c>
      <c r="D8305" t="s">
        <v>16534</v>
      </c>
      <c r="E8305" s="2">
        <v>1160</v>
      </c>
      <c r="G8305" s="3">
        <f>MONTH(Tabela1[[#This Row],[Último pagto ano]])</f>
        <v>3</v>
      </c>
      <c r="H8305" t="str">
        <f>TEXT(Tabela1[[#This Row],[Coluna2]]*29,"mmmm")</f>
        <v>março</v>
      </c>
      <c r="I8305" t="str">
        <f>TEXT(MONTH(Tabela1[[#This Row],[Último pagto ano]])*29,"mmmm")</f>
        <v>março</v>
      </c>
    </row>
    <row r="8306" spans="1:9" x14ac:dyDescent="0.25">
      <c r="A8306">
        <v>2025</v>
      </c>
      <c r="B8306" t="s">
        <v>16535</v>
      </c>
      <c r="C8306" s="1">
        <v>45775</v>
      </c>
      <c r="D8306" t="s">
        <v>16536</v>
      </c>
      <c r="E8306" s="2">
        <v>4318.3900000000003</v>
      </c>
      <c r="G8306" s="3">
        <f>MONTH(Tabela1[[#This Row],[Último pagto ano]])</f>
        <v>4</v>
      </c>
      <c r="H8306" t="str">
        <f>TEXT(Tabela1[[#This Row],[Coluna2]]*29,"mmmm")</f>
        <v>abril</v>
      </c>
      <c r="I8306" t="str">
        <f>TEXT(MONTH(Tabela1[[#This Row],[Último pagto ano]])*29,"mmmm")</f>
        <v>abril</v>
      </c>
    </row>
    <row r="8307" spans="1:9" x14ac:dyDescent="0.25">
      <c r="A8307">
        <v>2025</v>
      </c>
      <c r="B8307" t="s">
        <v>16537</v>
      </c>
      <c r="C8307" s="1">
        <v>46014</v>
      </c>
      <c r="D8307" t="s">
        <v>16538</v>
      </c>
      <c r="E8307" s="2">
        <v>4602</v>
      </c>
      <c r="G8307" s="3">
        <f>MONTH(Tabela1[[#This Row],[Último pagto ano]])</f>
        <v>12</v>
      </c>
      <c r="H8307" t="str">
        <f>TEXT(Tabela1[[#This Row],[Coluna2]]*29,"mmmm")</f>
        <v>dezembro</v>
      </c>
      <c r="I8307" t="str">
        <f>TEXT(MONTH(Tabela1[[#This Row],[Último pagto ano]])*29,"mmmm")</f>
        <v>dezembro</v>
      </c>
    </row>
    <row r="8308" spans="1:9" x14ac:dyDescent="0.25">
      <c r="A8308">
        <v>2025</v>
      </c>
      <c r="B8308" t="s">
        <v>16539</v>
      </c>
      <c r="C8308" s="1">
        <v>45670</v>
      </c>
      <c r="D8308" t="s">
        <v>16540</v>
      </c>
      <c r="E8308">
        <v>284.02</v>
      </c>
      <c r="G8308" s="3">
        <f>MONTH(Tabela1[[#This Row],[Último pagto ano]])</f>
        <v>1</v>
      </c>
      <c r="H8308" t="str">
        <f>TEXT(Tabela1[[#This Row],[Coluna2]]*29,"mmmm")</f>
        <v>janeiro</v>
      </c>
      <c r="I8308" t="str">
        <f>TEXT(MONTH(Tabela1[[#This Row],[Último pagto ano]])*29,"mmmm")</f>
        <v>janeiro</v>
      </c>
    </row>
    <row r="8309" spans="1:9" x14ac:dyDescent="0.25">
      <c r="A8309">
        <v>2025</v>
      </c>
      <c r="B8309" t="s">
        <v>16541</v>
      </c>
      <c r="C8309" s="1">
        <v>46006</v>
      </c>
      <c r="D8309" t="s">
        <v>16542</v>
      </c>
      <c r="E8309" s="2">
        <v>24233.06</v>
      </c>
      <c r="G8309" s="3">
        <f>MONTH(Tabela1[[#This Row],[Último pagto ano]])</f>
        <v>12</v>
      </c>
      <c r="H8309" t="str">
        <f>TEXT(Tabela1[[#This Row],[Coluna2]]*29,"mmmm")</f>
        <v>dezembro</v>
      </c>
      <c r="I8309" t="str">
        <f>TEXT(MONTH(Tabela1[[#This Row],[Último pagto ano]])*29,"mmmm")</f>
        <v>dezembro</v>
      </c>
    </row>
    <row r="8310" spans="1:9" x14ac:dyDescent="0.25">
      <c r="A8310">
        <v>2025</v>
      </c>
      <c r="B8310" t="s">
        <v>16543</v>
      </c>
      <c r="C8310" s="1">
        <v>46006</v>
      </c>
      <c r="D8310" t="s">
        <v>16544</v>
      </c>
      <c r="E8310" s="2">
        <v>10551.2</v>
      </c>
      <c r="G8310" s="3">
        <f>MONTH(Tabela1[[#This Row],[Último pagto ano]])</f>
        <v>12</v>
      </c>
      <c r="H8310" t="str">
        <f>TEXT(Tabela1[[#This Row],[Coluna2]]*29,"mmmm")</f>
        <v>dezembro</v>
      </c>
      <c r="I8310" t="str">
        <f>TEXT(MONTH(Tabela1[[#This Row],[Último pagto ano]])*29,"mmmm")</f>
        <v>dezembro</v>
      </c>
    </row>
    <row r="8311" spans="1:9" x14ac:dyDescent="0.25">
      <c r="A8311">
        <v>2025</v>
      </c>
      <c r="B8311" t="s">
        <v>16545</v>
      </c>
      <c r="C8311" s="1">
        <v>46006</v>
      </c>
      <c r="D8311" t="s">
        <v>16546</v>
      </c>
      <c r="E8311" s="2">
        <v>1776.96</v>
      </c>
      <c r="G8311" s="3">
        <f>MONTH(Tabela1[[#This Row],[Último pagto ano]])</f>
        <v>12</v>
      </c>
      <c r="H8311" t="str">
        <f>TEXT(Tabela1[[#This Row],[Coluna2]]*29,"mmmm")</f>
        <v>dezembro</v>
      </c>
      <c r="I8311" t="str">
        <f>TEXT(MONTH(Tabela1[[#This Row],[Último pagto ano]])*29,"mmmm")</f>
        <v>dezembro</v>
      </c>
    </row>
    <row r="8312" spans="1:9" x14ac:dyDescent="0.25">
      <c r="A8312">
        <v>2025</v>
      </c>
      <c r="B8312" t="s">
        <v>16547</v>
      </c>
      <c r="C8312" s="1">
        <v>45975</v>
      </c>
      <c r="D8312" t="s">
        <v>16548</v>
      </c>
      <c r="E8312">
        <v>888.48</v>
      </c>
      <c r="G8312" s="3">
        <f>MONTH(Tabela1[[#This Row],[Último pagto ano]])</f>
        <v>11</v>
      </c>
      <c r="H8312" t="str">
        <f>TEXT(Tabela1[[#This Row],[Coluna2]]*29,"mmmm")</f>
        <v>novembro</v>
      </c>
      <c r="I8312" t="str">
        <f>TEXT(MONTH(Tabela1[[#This Row],[Último pagto ano]])*29,"mmmm")</f>
        <v>novembro</v>
      </c>
    </row>
    <row r="8313" spans="1:9" x14ac:dyDescent="0.25">
      <c r="A8313">
        <v>2025</v>
      </c>
      <c r="B8313" t="s">
        <v>16549</v>
      </c>
      <c r="C8313" s="1">
        <v>45964</v>
      </c>
      <c r="D8313" t="s">
        <v>16550</v>
      </c>
      <c r="E8313">
        <v>198</v>
      </c>
      <c r="G8313" s="3">
        <f>MONTH(Tabela1[[#This Row],[Último pagto ano]])</f>
        <v>11</v>
      </c>
      <c r="H8313" t="str">
        <f>TEXT(Tabela1[[#This Row],[Coluna2]]*29,"mmmm")</f>
        <v>novembro</v>
      </c>
      <c r="I8313" t="str">
        <f>TEXT(MONTH(Tabela1[[#This Row],[Último pagto ano]])*29,"mmmm")</f>
        <v>novembro</v>
      </c>
    </row>
    <row r="8314" spans="1:9" x14ac:dyDescent="0.25">
      <c r="A8314">
        <v>2025</v>
      </c>
      <c r="B8314" t="s">
        <v>16551</v>
      </c>
      <c r="C8314" s="1">
        <v>46010</v>
      </c>
      <c r="D8314" t="s">
        <v>16552</v>
      </c>
      <c r="E8314" s="2">
        <v>7000</v>
      </c>
      <c r="G8314" s="3">
        <f>MONTH(Tabela1[[#This Row],[Último pagto ano]])</f>
        <v>12</v>
      </c>
      <c r="H8314" t="str">
        <f>TEXT(Tabela1[[#This Row],[Coluna2]]*29,"mmmm")</f>
        <v>dezembro</v>
      </c>
      <c r="I8314" t="str">
        <f>TEXT(MONTH(Tabela1[[#This Row],[Último pagto ano]])*29,"mmmm")</f>
        <v>dezembro</v>
      </c>
    </row>
    <row r="8315" spans="1:9" x14ac:dyDescent="0.25">
      <c r="A8315">
        <v>2025</v>
      </c>
      <c r="B8315" t="s">
        <v>16553</v>
      </c>
      <c r="C8315" s="1">
        <v>45971</v>
      </c>
      <c r="D8315" t="s">
        <v>16554</v>
      </c>
      <c r="E8315">
        <v>22</v>
      </c>
      <c r="G8315" s="3">
        <f>MONTH(Tabela1[[#This Row],[Último pagto ano]])</f>
        <v>11</v>
      </c>
      <c r="H8315" t="str">
        <f>TEXT(Tabela1[[#This Row],[Coluna2]]*29,"mmmm")</f>
        <v>novembro</v>
      </c>
      <c r="I8315" t="str">
        <f>TEXT(MONTH(Tabela1[[#This Row],[Último pagto ano]])*29,"mmmm")</f>
        <v>novembro</v>
      </c>
    </row>
    <row r="8316" spans="1:9" x14ac:dyDescent="0.25">
      <c r="A8316">
        <v>2025</v>
      </c>
      <c r="B8316" t="s">
        <v>16555</v>
      </c>
      <c r="C8316" s="1">
        <v>46006</v>
      </c>
      <c r="D8316" t="s">
        <v>16556</v>
      </c>
      <c r="E8316" s="2">
        <v>23422.36</v>
      </c>
      <c r="G8316" s="3">
        <f>MONTH(Tabela1[[#This Row],[Último pagto ano]])</f>
        <v>12</v>
      </c>
      <c r="H8316" t="str">
        <f>TEXT(Tabela1[[#This Row],[Coluna2]]*29,"mmmm")</f>
        <v>dezembro</v>
      </c>
      <c r="I8316" t="str">
        <f>TEXT(MONTH(Tabela1[[#This Row],[Último pagto ano]])*29,"mmmm")</f>
        <v>dezembro</v>
      </c>
    </row>
    <row r="8317" spans="1:9" x14ac:dyDescent="0.25">
      <c r="A8317">
        <v>2025</v>
      </c>
      <c r="B8317" t="s">
        <v>16557</v>
      </c>
      <c r="C8317" s="1">
        <v>45796</v>
      </c>
      <c r="D8317" t="s">
        <v>16558</v>
      </c>
      <c r="E8317">
        <v>44</v>
      </c>
      <c r="G8317" s="3">
        <f>MONTH(Tabela1[[#This Row],[Último pagto ano]])</f>
        <v>5</v>
      </c>
      <c r="H8317" t="str">
        <f>TEXT(Tabela1[[#This Row],[Coluna2]]*29,"mmmm")</f>
        <v>maio</v>
      </c>
      <c r="I8317" t="str">
        <f>TEXT(MONTH(Tabela1[[#This Row],[Último pagto ano]])*29,"mmmm")</f>
        <v>maio</v>
      </c>
    </row>
    <row r="8318" spans="1:9" x14ac:dyDescent="0.25">
      <c r="A8318">
        <v>2025</v>
      </c>
      <c r="B8318" t="s">
        <v>16559</v>
      </c>
      <c r="C8318" s="1">
        <v>45985</v>
      </c>
      <c r="D8318" t="s">
        <v>16560</v>
      </c>
      <c r="E8318">
        <v>65.400000000000006</v>
      </c>
      <c r="G8318" s="3">
        <f>MONTH(Tabela1[[#This Row],[Último pagto ano]])</f>
        <v>11</v>
      </c>
      <c r="H8318" t="str">
        <f>TEXT(Tabela1[[#This Row],[Coluna2]]*29,"mmmm")</f>
        <v>novembro</v>
      </c>
      <c r="I8318" t="str">
        <f>TEXT(MONTH(Tabela1[[#This Row],[Último pagto ano]])*29,"mmmm")</f>
        <v>novembro</v>
      </c>
    </row>
    <row r="8319" spans="1:9" x14ac:dyDescent="0.25">
      <c r="A8319">
        <v>2025</v>
      </c>
      <c r="B8319" t="s">
        <v>16561</v>
      </c>
      <c r="C8319" s="1">
        <v>46010</v>
      </c>
      <c r="D8319" t="s">
        <v>16562</v>
      </c>
      <c r="E8319" s="2">
        <v>12000</v>
      </c>
      <c r="G8319" s="3">
        <f>MONTH(Tabela1[[#This Row],[Último pagto ano]])</f>
        <v>12</v>
      </c>
      <c r="H8319" t="str">
        <f>TEXT(Tabela1[[#This Row],[Coluna2]]*29,"mmmm")</f>
        <v>dezembro</v>
      </c>
      <c r="I8319" t="str">
        <f>TEXT(MONTH(Tabela1[[#This Row],[Último pagto ano]])*29,"mmmm")</f>
        <v>dezembro</v>
      </c>
    </row>
    <row r="8320" spans="1:9" x14ac:dyDescent="0.25">
      <c r="A8320">
        <v>2025</v>
      </c>
      <c r="B8320" t="s">
        <v>16563</v>
      </c>
      <c r="C8320" s="1">
        <v>45989</v>
      </c>
      <c r="D8320" t="s">
        <v>16564</v>
      </c>
      <c r="E8320" s="2">
        <v>11688.6</v>
      </c>
      <c r="G8320" s="3">
        <f>MONTH(Tabela1[[#This Row],[Último pagto ano]])</f>
        <v>11</v>
      </c>
      <c r="H8320" t="str">
        <f>TEXT(Tabela1[[#This Row],[Coluna2]]*29,"mmmm")</f>
        <v>novembro</v>
      </c>
      <c r="I8320" t="str">
        <f>TEXT(MONTH(Tabela1[[#This Row],[Último pagto ano]])*29,"mmmm")</f>
        <v>novembro</v>
      </c>
    </row>
    <row r="8321" spans="1:9" x14ac:dyDescent="0.25">
      <c r="A8321">
        <v>2025</v>
      </c>
      <c r="B8321" t="s">
        <v>16565</v>
      </c>
      <c r="C8321" s="1">
        <v>45978</v>
      </c>
      <c r="D8321" t="s">
        <v>16566</v>
      </c>
      <c r="E8321">
        <v>88</v>
      </c>
      <c r="G8321" s="3">
        <f>MONTH(Tabela1[[#This Row],[Último pagto ano]])</f>
        <v>11</v>
      </c>
      <c r="H8321" t="str">
        <f>TEXT(Tabela1[[#This Row],[Coluna2]]*29,"mmmm")</f>
        <v>novembro</v>
      </c>
      <c r="I8321" t="str">
        <f>TEXT(MONTH(Tabela1[[#This Row],[Último pagto ano]])*29,"mmmm")</f>
        <v>novembro</v>
      </c>
    </row>
    <row r="8322" spans="1:9" x14ac:dyDescent="0.25">
      <c r="A8322">
        <v>2025</v>
      </c>
      <c r="B8322" t="s">
        <v>16567</v>
      </c>
      <c r="C8322" s="1">
        <v>45740</v>
      </c>
      <c r="D8322" t="s">
        <v>16568</v>
      </c>
      <c r="E8322">
        <v>0.87</v>
      </c>
      <c r="G8322" s="3">
        <f>MONTH(Tabela1[[#This Row],[Último pagto ano]])</f>
        <v>3</v>
      </c>
      <c r="H8322" t="str">
        <f>TEXT(Tabela1[[#This Row],[Coluna2]]*29,"mmmm")</f>
        <v>março</v>
      </c>
      <c r="I8322" t="str">
        <f>TEXT(MONTH(Tabela1[[#This Row],[Último pagto ano]])*29,"mmmm")</f>
        <v>março</v>
      </c>
    </row>
    <row r="8323" spans="1:9" x14ac:dyDescent="0.25">
      <c r="A8323">
        <v>2025</v>
      </c>
      <c r="B8323" t="s">
        <v>16569</v>
      </c>
      <c r="C8323" s="1">
        <v>45996</v>
      </c>
      <c r="D8323" t="s">
        <v>16570</v>
      </c>
      <c r="E8323" s="2">
        <v>63828.4</v>
      </c>
      <c r="G8323" s="3">
        <f>MONTH(Tabela1[[#This Row],[Último pagto ano]])</f>
        <v>12</v>
      </c>
      <c r="H8323" t="str">
        <f>TEXT(Tabela1[[#This Row],[Coluna2]]*29,"mmmm")</f>
        <v>dezembro</v>
      </c>
      <c r="I8323" t="str">
        <f>TEXT(MONTH(Tabela1[[#This Row],[Último pagto ano]])*29,"mmmm")</f>
        <v>dezembro</v>
      </c>
    </row>
    <row r="8324" spans="1:9" x14ac:dyDescent="0.25">
      <c r="A8324">
        <v>2025</v>
      </c>
      <c r="B8324" t="s">
        <v>16571</v>
      </c>
      <c r="C8324" s="1">
        <v>45740</v>
      </c>
      <c r="D8324" t="s">
        <v>16572</v>
      </c>
      <c r="E8324">
        <v>1.71</v>
      </c>
      <c r="G8324" s="3">
        <f>MONTH(Tabela1[[#This Row],[Último pagto ano]])</f>
        <v>3</v>
      </c>
      <c r="H8324" t="str">
        <f>TEXT(Tabela1[[#This Row],[Coluna2]]*29,"mmmm")</f>
        <v>março</v>
      </c>
      <c r="I8324" t="str">
        <f>TEXT(MONTH(Tabela1[[#This Row],[Último pagto ano]])*29,"mmmm")</f>
        <v>março</v>
      </c>
    </row>
    <row r="8325" spans="1:9" x14ac:dyDescent="0.25">
      <c r="A8325">
        <v>2025</v>
      </c>
      <c r="B8325" t="s">
        <v>16573</v>
      </c>
      <c r="C8325" s="1">
        <v>45978</v>
      </c>
      <c r="D8325" t="s">
        <v>16574</v>
      </c>
      <c r="E8325">
        <v>44</v>
      </c>
      <c r="G8325" s="3">
        <f>MONTH(Tabela1[[#This Row],[Último pagto ano]])</f>
        <v>11</v>
      </c>
      <c r="H8325" t="str">
        <f>TEXT(Tabela1[[#This Row],[Coluna2]]*29,"mmmm")</f>
        <v>novembro</v>
      </c>
      <c r="I8325" t="str">
        <f>TEXT(MONTH(Tabela1[[#This Row],[Último pagto ano]])*29,"mmmm")</f>
        <v>novembro</v>
      </c>
    </row>
    <row r="8326" spans="1:9" x14ac:dyDescent="0.25">
      <c r="A8326">
        <v>2025</v>
      </c>
      <c r="B8326" t="s">
        <v>16575</v>
      </c>
      <c r="C8326" s="1">
        <v>46007</v>
      </c>
      <c r="D8326" t="s">
        <v>16576</v>
      </c>
      <c r="E8326" s="2">
        <v>110016.72</v>
      </c>
      <c r="G8326" s="3">
        <f>MONTH(Tabela1[[#This Row],[Último pagto ano]])</f>
        <v>12</v>
      </c>
      <c r="H8326" t="str">
        <f>TEXT(Tabela1[[#This Row],[Coluna2]]*29,"mmmm")</f>
        <v>dezembro</v>
      </c>
      <c r="I8326" t="str">
        <f>TEXT(MONTH(Tabela1[[#This Row],[Último pagto ano]])*29,"mmmm")</f>
        <v>dezembro</v>
      </c>
    </row>
    <row r="8327" spans="1:9" x14ac:dyDescent="0.25">
      <c r="A8327">
        <v>2025</v>
      </c>
      <c r="B8327" t="s">
        <v>16577</v>
      </c>
      <c r="C8327" s="1">
        <v>45832</v>
      </c>
      <c r="D8327" t="s">
        <v>16578</v>
      </c>
      <c r="E8327" s="2">
        <v>4200</v>
      </c>
      <c r="G8327" s="3">
        <f>MONTH(Tabela1[[#This Row],[Último pagto ano]])</f>
        <v>6</v>
      </c>
      <c r="H8327" t="str">
        <f>TEXT(Tabela1[[#This Row],[Coluna2]]*29,"mmmm")</f>
        <v>junho</v>
      </c>
      <c r="I8327" t="str">
        <f>TEXT(MONTH(Tabela1[[#This Row],[Último pagto ano]])*29,"mmmm")</f>
        <v>junho</v>
      </c>
    </row>
    <row r="8328" spans="1:9" x14ac:dyDescent="0.25">
      <c r="A8328">
        <v>2025</v>
      </c>
      <c r="B8328" t="s">
        <v>16579</v>
      </c>
      <c r="C8328" s="1">
        <v>45733</v>
      </c>
      <c r="D8328" t="s">
        <v>16580</v>
      </c>
      <c r="E8328">
        <v>370.16</v>
      </c>
      <c r="G8328" s="3">
        <f>MONTH(Tabela1[[#This Row],[Último pagto ano]])</f>
        <v>3</v>
      </c>
      <c r="H8328" t="str">
        <f>TEXT(Tabela1[[#This Row],[Coluna2]]*29,"mmmm")</f>
        <v>março</v>
      </c>
      <c r="I8328" t="str">
        <f>TEXT(MONTH(Tabela1[[#This Row],[Último pagto ano]])*29,"mmmm")</f>
        <v>março</v>
      </c>
    </row>
    <row r="8329" spans="1:9" x14ac:dyDescent="0.25">
      <c r="A8329">
        <v>2025</v>
      </c>
      <c r="B8329" t="s">
        <v>16581</v>
      </c>
      <c r="C8329" s="1">
        <v>46014</v>
      </c>
      <c r="D8329" t="s">
        <v>16582</v>
      </c>
      <c r="E8329" s="2">
        <v>6320</v>
      </c>
      <c r="G8329" s="3">
        <f>MONTH(Tabela1[[#This Row],[Último pagto ano]])</f>
        <v>12</v>
      </c>
      <c r="H8329" t="str">
        <f>TEXT(Tabela1[[#This Row],[Coluna2]]*29,"mmmm")</f>
        <v>dezembro</v>
      </c>
      <c r="I8329" t="str">
        <f>TEXT(MONTH(Tabela1[[#This Row],[Último pagto ano]])*29,"mmmm")</f>
        <v>dezembro</v>
      </c>
    </row>
    <row r="8330" spans="1:9" x14ac:dyDescent="0.25">
      <c r="A8330">
        <v>2025</v>
      </c>
      <c r="B8330" t="s">
        <v>16583</v>
      </c>
      <c r="C8330" s="1">
        <v>46002</v>
      </c>
      <c r="D8330" t="s">
        <v>16584</v>
      </c>
      <c r="E8330" s="2">
        <v>3998.76</v>
      </c>
      <c r="G8330" s="3">
        <f>MONTH(Tabela1[[#This Row],[Último pagto ano]])</f>
        <v>12</v>
      </c>
      <c r="H8330" t="str">
        <f>TEXT(Tabela1[[#This Row],[Coluna2]]*29,"mmmm")</f>
        <v>dezembro</v>
      </c>
      <c r="I8330" t="str">
        <f>TEXT(MONTH(Tabela1[[#This Row],[Último pagto ano]])*29,"mmmm")</f>
        <v>dezembro</v>
      </c>
    </row>
    <row r="8331" spans="1:9" x14ac:dyDescent="0.25">
      <c r="A8331">
        <v>2025</v>
      </c>
      <c r="B8331" t="s">
        <v>16585</v>
      </c>
      <c r="C8331" s="1">
        <v>45989</v>
      </c>
      <c r="D8331" t="s">
        <v>16586</v>
      </c>
      <c r="E8331" s="2">
        <v>11665.32</v>
      </c>
      <c r="G8331" s="3">
        <f>MONTH(Tabela1[[#This Row],[Último pagto ano]])</f>
        <v>11</v>
      </c>
      <c r="H8331" t="str">
        <f>TEXT(Tabela1[[#This Row],[Coluna2]]*29,"mmmm")</f>
        <v>novembro</v>
      </c>
      <c r="I8331" t="str">
        <f>TEXT(MONTH(Tabela1[[#This Row],[Último pagto ano]])*29,"mmmm")</f>
        <v>novembro</v>
      </c>
    </row>
    <row r="8332" spans="1:9" x14ac:dyDescent="0.25">
      <c r="A8332">
        <v>2025</v>
      </c>
      <c r="B8332" t="s">
        <v>16587</v>
      </c>
      <c r="C8332" s="1">
        <v>46010</v>
      </c>
      <c r="D8332" t="s">
        <v>16588</v>
      </c>
      <c r="E8332">
        <v>700</v>
      </c>
      <c r="G8332" s="3">
        <f>MONTH(Tabela1[[#This Row],[Último pagto ano]])</f>
        <v>12</v>
      </c>
      <c r="H8332" t="str">
        <f>TEXT(Tabela1[[#This Row],[Coluna2]]*29,"mmmm")</f>
        <v>dezembro</v>
      </c>
      <c r="I8332" t="str">
        <f>TEXT(MONTH(Tabela1[[#This Row],[Último pagto ano]])*29,"mmmm")</f>
        <v>dezembro</v>
      </c>
    </row>
    <row r="8333" spans="1:9" x14ac:dyDescent="0.25">
      <c r="A8333">
        <v>2025</v>
      </c>
      <c r="B8333" t="s">
        <v>16589</v>
      </c>
      <c r="C8333" s="1">
        <v>46010</v>
      </c>
      <c r="D8333" t="s">
        <v>16590</v>
      </c>
      <c r="E8333" s="2">
        <v>3500</v>
      </c>
      <c r="G8333" s="3">
        <f>MONTH(Tabela1[[#This Row],[Último pagto ano]])</f>
        <v>12</v>
      </c>
      <c r="H8333" t="str">
        <f>TEXT(Tabela1[[#This Row],[Coluna2]]*29,"mmmm")</f>
        <v>dezembro</v>
      </c>
      <c r="I8333" t="str">
        <f>TEXT(MONTH(Tabela1[[#This Row],[Último pagto ano]])*29,"mmmm")</f>
        <v>dezembro</v>
      </c>
    </row>
    <row r="8334" spans="1:9" x14ac:dyDescent="0.25">
      <c r="A8334">
        <v>2025</v>
      </c>
      <c r="B8334" t="s">
        <v>16591</v>
      </c>
      <c r="C8334" s="1">
        <v>45728</v>
      </c>
      <c r="D8334" t="s">
        <v>16592</v>
      </c>
      <c r="E8334">
        <v>66</v>
      </c>
      <c r="G8334" s="3">
        <f>MONTH(Tabela1[[#This Row],[Último pagto ano]])</f>
        <v>3</v>
      </c>
      <c r="H8334" t="str">
        <f>TEXT(Tabela1[[#This Row],[Coluna2]]*29,"mmmm")</f>
        <v>março</v>
      </c>
      <c r="I8334" t="str">
        <f>TEXT(MONTH(Tabela1[[#This Row],[Último pagto ano]])*29,"mmmm")</f>
        <v>março</v>
      </c>
    </row>
    <row r="8335" spans="1:9" x14ac:dyDescent="0.25">
      <c r="A8335">
        <v>2025</v>
      </c>
      <c r="B8335" t="s">
        <v>16593</v>
      </c>
      <c r="C8335" s="1">
        <v>46006</v>
      </c>
      <c r="D8335" t="s">
        <v>16594</v>
      </c>
      <c r="E8335" s="2">
        <v>9733.44</v>
      </c>
      <c r="G8335" s="3">
        <f>MONTH(Tabela1[[#This Row],[Último pagto ano]])</f>
        <v>12</v>
      </c>
      <c r="H8335" t="str">
        <f>TEXT(Tabela1[[#This Row],[Coluna2]]*29,"mmmm")</f>
        <v>dezembro</v>
      </c>
      <c r="I8335" t="str">
        <f>TEXT(MONTH(Tabela1[[#This Row],[Último pagto ano]])*29,"mmmm")</f>
        <v>dezembro</v>
      </c>
    </row>
    <row r="8336" spans="1:9" x14ac:dyDescent="0.25">
      <c r="A8336">
        <v>2025</v>
      </c>
      <c r="B8336" t="s">
        <v>16595</v>
      </c>
      <c r="C8336" s="1">
        <v>45749</v>
      </c>
      <c r="D8336" t="s">
        <v>16596</v>
      </c>
      <c r="E8336" s="2">
        <v>18285.12</v>
      </c>
      <c r="G8336" s="3">
        <f>MONTH(Tabela1[[#This Row],[Último pagto ano]])</f>
        <v>4</v>
      </c>
      <c r="H8336" t="str">
        <f>TEXT(Tabela1[[#This Row],[Coluna2]]*29,"mmmm")</f>
        <v>abril</v>
      </c>
      <c r="I8336" t="str">
        <f>TEXT(MONTH(Tabela1[[#This Row],[Último pagto ano]])*29,"mmmm")</f>
        <v>abril</v>
      </c>
    </row>
    <row r="8337" spans="1:9" x14ac:dyDescent="0.25">
      <c r="A8337">
        <v>2025</v>
      </c>
      <c r="B8337" t="s">
        <v>16597</v>
      </c>
      <c r="C8337" s="1">
        <v>45894</v>
      </c>
      <c r="D8337" t="s">
        <v>16598</v>
      </c>
      <c r="E8337" s="2">
        <v>1400</v>
      </c>
      <c r="G8337" s="3">
        <f>MONTH(Tabela1[[#This Row],[Último pagto ano]])</f>
        <v>8</v>
      </c>
      <c r="H8337" t="str">
        <f>TEXT(Tabela1[[#This Row],[Coluna2]]*29,"mmmm")</f>
        <v>agosto</v>
      </c>
      <c r="I8337" t="str">
        <f>TEXT(MONTH(Tabela1[[#This Row],[Último pagto ano]])*29,"mmmm")</f>
        <v>agosto</v>
      </c>
    </row>
    <row r="8338" spans="1:9" x14ac:dyDescent="0.25">
      <c r="A8338">
        <v>2025</v>
      </c>
      <c r="B8338" t="s">
        <v>16599</v>
      </c>
      <c r="C8338" s="1">
        <v>45926</v>
      </c>
      <c r="D8338" t="s">
        <v>16600</v>
      </c>
      <c r="E8338" s="2">
        <v>3455.04</v>
      </c>
      <c r="G8338" s="3">
        <f>MONTH(Tabela1[[#This Row],[Último pagto ano]])</f>
        <v>9</v>
      </c>
      <c r="H8338" t="str">
        <f>TEXT(Tabela1[[#This Row],[Coluna2]]*29,"mmmm")</f>
        <v>setembro</v>
      </c>
      <c r="I8338" t="str">
        <f>TEXT(MONTH(Tabela1[[#This Row],[Último pagto ano]])*29,"mmmm")</f>
        <v>setembro</v>
      </c>
    </row>
    <row r="8339" spans="1:9" x14ac:dyDescent="0.25">
      <c r="A8339">
        <v>2025</v>
      </c>
      <c r="B8339" t="s">
        <v>16601</v>
      </c>
      <c r="C8339" s="1">
        <v>45740</v>
      </c>
      <c r="D8339" t="s">
        <v>16602</v>
      </c>
      <c r="E8339">
        <v>0.23</v>
      </c>
      <c r="G8339" s="3">
        <f>MONTH(Tabela1[[#This Row],[Último pagto ano]])</f>
        <v>3</v>
      </c>
      <c r="H8339" t="str">
        <f>TEXT(Tabela1[[#This Row],[Coluna2]]*29,"mmmm")</f>
        <v>março</v>
      </c>
      <c r="I8339" t="str">
        <f>TEXT(MONTH(Tabela1[[#This Row],[Último pagto ano]])*29,"mmmm")</f>
        <v>março</v>
      </c>
    </row>
    <row r="8340" spans="1:9" x14ac:dyDescent="0.25">
      <c r="A8340">
        <v>2025</v>
      </c>
      <c r="B8340" t="s">
        <v>16603</v>
      </c>
      <c r="C8340" s="1">
        <v>45705</v>
      </c>
      <c r="D8340" t="s">
        <v>16604</v>
      </c>
      <c r="E8340">
        <v>132</v>
      </c>
      <c r="G8340" s="3">
        <f>MONTH(Tabela1[[#This Row],[Último pagto ano]])</f>
        <v>2</v>
      </c>
      <c r="H8340" t="str">
        <f>TEXT(Tabela1[[#This Row],[Coluna2]]*29,"mmmm")</f>
        <v>fevereiro</v>
      </c>
      <c r="I8340" t="str">
        <f>TEXT(MONTH(Tabela1[[#This Row],[Último pagto ano]])*29,"mmmm")</f>
        <v>fevereiro</v>
      </c>
    </row>
    <row r="8341" spans="1:9" x14ac:dyDescent="0.25">
      <c r="A8341">
        <v>2025</v>
      </c>
      <c r="B8341" t="s">
        <v>16605</v>
      </c>
      <c r="C8341" s="1">
        <v>45964</v>
      </c>
      <c r="D8341" t="s">
        <v>16606</v>
      </c>
      <c r="E8341">
        <v>77</v>
      </c>
      <c r="G8341" s="3">
        <f>MONTH(Tabela1[[#This Row],[Último pagto ano]])</f>
        <v>11</v>
      </c>
      <c r="H8341" t="str">
        <f>TEXT(Tabela1[[#This Row],[Coluna2]]*29,"mmmm")</f>
        <v>novembro</v>
      </c>
      <c r="I8341" t="str">
        <f>TEXT(MONTH(Tabela1[[#This Row],[Último pagto ano]])*29,"mmmm")</f>
        <v>novembro</v>
      </c>
    </row>
    <row r="8342" spans="1:9" x14ac:dyDescent="0.25">
      <c r="A8342">
        <v>2025</v>
      </c>
      <c r="B8342" t="s">
        <v>16607</v>
      </c>
      <c r="C8342" s="1">
        <v>45996</v>
      </c>
      <c r="D8342" t="s">
        <v>16608</v>
      </c>
      <c r="E8342" s="2">
        <v>11038</v>
      </c>
      <c r="G8342" s="3">
        <f>MONTH(Tabela1[[#This Row],[Último pagto ano]])</f>
        <v>12</v>
      </c>
      <c r="H8342" t="str">
        <f>TEXT(Tabela1[[#This Row],[Coluna2]]*29,"mmmm")</f>
        <v>dezembro</v>
      </c>
      <c r="I8342" t="str">
        <f>TEXT(MONTH(Tabela1[[#This Row],[Último pagto ano]])*29,"mmmm")</f>
        <v>dezembro</v>
      </c>
    </row>
    <row r="8343" spans="1:9" x14ac:dyDescent="0.25">
      <c r="A8343">
        <v>2025</v>
      </c>
      <c r="B8343" t="s">
        <v>16609</v>
      </c>
      <c r="C8343" s="1">
        <v>45922</v>
      </c>
      <c r="D8343" t="s">
        <v>16610</v>
      </c>
      <c r="E8343">
        <v>575</v>
      </c>
      <c r="G8343" s="3">
        <f>MONTH(Tabela1[[#This Row],[Último pagto ano]])</f>
        <v>9</v>
      </c>
      <c r="H8343" t="str">
        <f>TEXT(Tabela1[[#This Row],[Coluna2]]*29,"mmmm")</f>
        <v>setembro</v>
      </c>
      <c r="I8343" t="str">
        <f>TEXT(MONTH(Tabela1[[#This Row],[Último pagto ano]])*29,"mmmm")</f>
        <v>setembro</v>
      </c>
    </row>
    <row r="8344" spans="1:9" x14ac:dyDescent="0.25">
      <c r="A8344">
        <v>2025</v>
      </c>
      <c r="B8344" t="s">
        <v>16611</v>
      </c>
      <c r="C8344" s="1">
        <v>46014</v>
      </c>
      <c r="D8344" t="s">
        <v>16612</v>
      </c>
      <c r="E8344" s="2">
        <v>48036.72</v>
      </c>
      <c r="G8344" s="3">
        <f>MONTH(Tabela1[[#This Row],[Último pagto ano]])</f>
        <v>12</v>
      </c>
      <c r="H8344" t="str">
        <f>TEXT(Tabela1[[#This Row],[Coluna2]]*29,"mmmm")</f>
        <v>dezembro</v>
      </c>
      <c r="I8344" t="str">
        <f>TEXT(MONTH(Tabela1[[#This Row],[Último pagto ano]])*29,"mmmm")</f>
        <v>dezembro</v>
      </c>
    </row>
    <row r="8345" spans="1:9" x14ac:dyDescent="0.25">
      <c r="A8345">
        <v>2025</v>
      </c>
      <c r="B8345" t="s">
        <v>16613</v>
      </c>
      <c r="C8345" s="1">
        <v>46006</v>
      </c>
      <c r="D8345" t="s">
        <v>16614</v>
      </c>
      <c r="E8345" s="2">
        <v>44434.13</v>
      </c>
      <c r="G8345" s="3">
        <f>MONTH(Tabela1[[#This Row],[Último pagto ano]])</f>
        <v>12</v>
      </c>
      <c r="H8345" t="str">
        <f>TEXT(Tabela1[[#This Row],[Coluna2]]*29,"mmmm")</f>
        <v>dezembro</v>
      </c>
      <c r="I8345" t="str">
        <f>TEXT(MONTH(Tabela1[[#This Row],[Último pagto ano]])*29,"mmmm")</f>
        <v>dezembro</v>
      </c>
    </row>
    <row r="8346" spans="1:9" x14ac:dyDescent="0.25">
      <c r="A8346">
        <v>2025</v>
      </c>
      <c r="B8346" t="s">
        <v>16615</v>
      </c>
      <c r="C8346" s="1">
        <v>45702</v>
      </c>
      <c r="D8346" t="s">
        <v>16616</v>
      </c>
      <c r="E8346" s="2">
        <v>3888</v>
      </c>
      <c r="G8346" s="3">
        <f>MONTH(Tabela1[[#This Row],[Último pagto ano]])</f>
        <v>2</v>
      </c>
      <c r="H8346" t="str">
        <f>TEXT(Tabela1[[#This Row],[Coluna2]]*29,"mmmm")</f>
        <v>fevereiro</v>
      </c>
      <c r="I8346" t="str">
        <f>TEXT(MONTH(Tabela1[[#This Row],[Último pagto ano]])*29,"mmmm")</f>
        <v>fevereiro</v>
      </c>
    </row>
    <row r="8347" spans="1:9" x14ac:dyDescent="0.25">
      <c r="A8347">
        <v>2025</v>
      </c>
      <c r="B8347" t="s">
        <v>16617</v>
      </c>
      <c r="C8347" s="1">
        <v>45896</v>
      </c>
      <c r="D8347" t="s">
        <v>16618</v>
      </c>
      <c r="E8347" s="2">
        <v>4750</v>
      </c>
      <c r="G8347" s="3">
        <f>MONTH(Tabela1[[#This Row],[Último pagto ano]])</f>
        <v>8</v>
      </c>
      <c r="H8347" t="str">
        <f>TEXT(Tabela1[[#This Row],[Coluna2]]*29,"mmmm")</f>
        <v>agosto</v>
      </c>
      <c r="I8347" t="str">
        <f>TEXT(MONTH(Tabela1[[#This Row],[Último pagto ano]])*29,"mmmm")</f>
        <v>agosto</v>
      </c>
    </row>
    <row r="8348" spans="1:9" x14ac:dyDescent="0.25">
      <c r="A8348">
        <v>2025</v>
      </c>
      <c r="B8348" t="s">
        <v>16619</v>
      </c>
      <c r="C8348" s="1">
        <v>46014</v>
      </c>
      <c r="D8348" t="s">
        <v>16620</v>
      </c>
      <c r="E8348" s="2">
        <v>93793.15</v>
      </c>
      <c r="G8348" s="3">
        <f>MONTH(Tabela1[[#This Row],[Último pagto ano]])</f>
        <v>12</v>
      </c>
      <c r="H8348" t="str">
        <f>TEXT(Tabela1[[#This Row],[Coluna2]]*29,"mmmm")</f>
        <v>dezembro</v>
      </c>
      <c r="I8348" t="str">
        <f>TEXT(MONTH(Tabela1[[#This Row],[Último pagto ano]])*29,"mmmm")</f>
        <v>dezembro</v>
      </c>
    </row>
    <row r="8349" spans="1:9" x14ac:dyDescent="0.25">
      <c r="A8349">
        <v>2025</v>
      </c>
      <c r="B8349" t="s">
        <v>16621</v>
      </c>
      <c r="C8349" s="1">
        <v>45999</v>
      </c>
      <c r="D8349" t="s">
        <v>16622</v>
      </c>
      <c r="E8349" s="2">
        <v>1975.7</v>
      </c>
      <c r="G8349" s="3">
        <f>MONTH(Tabela1[[#This Row],[Último pagto ano]])</f>
        <v>12</v>
      </c>
      <c r="H8349" t="str">
        <f>TEXT(Tabela1[[#This Row],[Coluna2]]*29,"mmmm")</f>
        <v>dezembro</v>
      </c>
      <c r="I8349" t="str">
        <f>TEXT(MONTH(Tabela1[[#This Row],[Último pagto ano]])*29,"mmmm")</f>
        <v>dezembro</v>
      </c>
    </row>
    <row r="8350" spans="1:9" x14ac:dyDescent="0.25">
      <c r="A8350">
        <v>2025</v>
      </c>
      <c r="B8350" t="s">
        <v>16623</v>
      </c>
      <c r="C8350" s="1">
        <v>45929</v>
      </c>
      <c r="D8350" t="s">
        <v>16624</v>
      </c>
      <c r="E8350" s="2">
        <v>13851.56</v>
      </c>
      <c r="G8350" s="3">
        <f>MONTH(Tabela1[[#This Row],[Último pagto ano]])</f>
        <v>9</v>
      </c>
      <c r="H8350" t="str">
        <f>TEXT(Tabela1[[#This Row],[Coluna2]]*29,"mmmm")</f>
        <v>setembro</v>
      </c>
      <c r="I8350" t="str">
        <f>TEXT(MONTH(Tabela1[[#This Row],[Último pagto ano]])*29,"mmmm")</f>
        <v>setembro</v>
      </c>
    </row>
    <row r="8351" spans="1:9" x14ac:dyDescent="0.25">
      <c r="A8351">
        <v>2025</v>
      </c>
      <c r="B8351" t="s">
        <v>16625</v>
      </c>
      <c r="C8351" s="1">
        <v>46014</v>
      </c>
      <c r="D8351" t="s">
        <v>16626</v>
      </c>
      <c r="E8351" s="2">
        <v>86343.31</v>
      </c>
      <c r="G8351" s="3">
        <f>MONTH(Tabela1[[#This Row],[Último pagto ano]])</f>
        <v>12</v>
      </c>
      <c r="H8351" t="str">
        <f>TEXT(Tabela1[[#This Row],[Coluna2]]*29,"mmmm")</f>
        <v>dezembro</v>
      </c>
      <c r="I8351" t="str">
        <f>TEXT(MONTH(Tabela1[[#This Row],[Último pagto ano]])*29,"mmmm")</f>
        <v>dezembro</v>
      </c>
    </row>
    <row r="8352" spans="1:9" x14ac:dyDescent="0.25">
      <c r="A8352">
        <v>2025</v>
      </c>
      <c r="B8352" t="s">
        <v>16627</v>
      </c>
      <c r="C8352" s="1">
        <v>45887</v>
      </c>
      <c r="D8352" t="s">
        <v>16628</v>
      </c>
      <c r="E8352">
        <v>262.8</v>
      </c>
      <c r="G8352" s="3">
        <f>MONTH(Tabela1[[#This Row],[Último pagto ano]])</f>
        <v>8</v>
      </c>
      <c r="H8352" t="str">
        <f>TEXT(Tabela1[[#This Row],[Coluna2]]*29,"mmmm")</f>
        <v>agosto</v>
      </c>
      <c r="I8352" t="str">
        <f>TEXT(MONTH(Tabela1[[#This Row],[Último pagto ano]])*29,"mmmm")</f>
        <v>agosto</v>
      </c>
    </row>
    <row r="8353" spans="1:9" x14ac:dyDescent="0.25">
      <c r="A8353">
        <v>2025</v>
      </c>
      <c r="B8353" t="s">
        <v>16629</v>
      </c>
      <c r="C8353" s="1">
        <v>46014</v>
      </c>
      <c r="D8353" t="s">
        <v>16630</v>
      </c>
      <c r="E8353" s="2">
        <v>1003196.96</v>
      </c>
      <c r="G8353" s="3">
        <f>MONTH(Tabela1[[#This Row],[Último pagto ano]])</f>
        <v>12</v>
      </c>
      <c r="H8353" t="str">
        <f>TEXT(Tabela1[[#This Row],[Coluna2]]*29,"mmmm")</f>
        <v>dezembro</v>
      </c>
      <c r="I8353" t="str">
        <f>TEXT(MONTH(Tabela1[[#This Row],[Último pagto ano]])*29,"mmmm")</f>
        <v>dezembro</v>
      </c>
    </row>
    <row r="8354" spans="1:9" x14ac:dyDescent="0.25">
      <c r="A8354">
        <v>2025</v>
      </c>
      <c r="B8354" t="s">
        <v>16631</v>
      </c>
      <c r="C8354" s="1">
        <v>45901</v>
      </c>
      <c r="D8354" t="s">
        <v>16632</v>
      </c>
      <c r="E8354">
        <v>66</v>
      </c>
      <c r="G8354" s="3">
        <f>MONTH(Tabela1[[#This Row],[Último pagto ano]])</f>
        <v>9</v>
      </c>
      <c r="H8354" t="str">
        <f>TEXT(Tabela1[[#This Row],[Coluna2]]*29,"mmmm")</f>
        <v>setembro</v>
      </c>
      <c r="I8354" t="str">
        <f>TEXT(MONTH(Tabela1[[#This Row],[Último pagto ano]])*29,"mmmm")</f>
        <v>setembro</v>
      </c>
    </row>
    <row r="8355" spans="1:9" x14ac:dyDescent="0.25">
      <c r="A8355">
        <v>2025</v>
      </c>
      <c r="B8355" t="s">
        <v>16633</v>
      </c>
      <c r="C8355" s="1">
        <v>45702</v>
      </c>
      <c r="D8355" t="s">
        <v>16634</v>
      </c>
      <c r="E8355">
        <v>27.2</v>
      </c>
      <c r="G8355" s="3">
        <f>MONTH(Tabela1[[#This Row],[Último pagto ano]])</f>
        <v>2</v>
      </c>
      <c r="H8355" t="str">
        <f>TEXT(Tabela1[[#This Row],[Coluna2]]*29,"mmmm")</f>
        <v>fevereiro</v>
      </c>
      <c r="I8355" t="str">
        <f>TEXT(MONTH(Tabela1[[#This Row],[Último pagto ano]])*29,"mmmm")</f>
        <v>fevereiro</v>
      </c>
    </row>
    <row r="8356" spans="1:9" x14ac:dyDescent="0.25">
      <c r="A8356">
        <v>2025</v>
      </c>
      <c r="B8356" t="s">
        <v>16635</v>
      </c>
      <c r="C8356" s="1">
        <v>45989</v>
      </c>
      <c r="D8356" t="s">
        <v>16636</v>
      </c>
      <c r="E8356" s="2">
        <v>11615.36</v>
      </c>
      <c r="G8356" s="3">
        <f>MONTH(Tabela1[[#This Row],[Último pagto ano]])</f>
        <v>11</v>
      </c>
      <c r="H8356" t="str">
        <f>TEXT(Tabela1[[#This Row],[Coluna2]]*29,"mmmm")</f>
        <v>novembro</v>
      </c>
      <c r="I8356" t="str">
        <f>TEXT(MONTH(Tabela1[[#This Row],[Último pagto ano]])*29,"mmmm")</f>
        <v>novembro</v>
      </c>
    </row>
    <row r="8357" spans="1:9" x14ac:dyDescent="0.25">
      <c r="A8357">
        <v>2025</v>
      </c>
      <c r="B8357" t="s">
        <v>16637</v>
      </c>
      <c r="C8357" s="1">
        <v>45996</v>
      </c>
      <c r="D8357" t="s">
        <v>16638</v>
      </c>
      <c r="E8357" s="2">
        <v>24000</v>
      </c>
      <c r="G8357" s="3">
        <f>MONTH(Tabela1[[#This Row],[Último pagto ano]])</f>
        <v>12</v>
      </c>
      <c r="H8357" t="str">
        <f>TEXT(Tabela1[[#This Row],[Coluna2]]*29,"mmmm")</f>
        <v>dezembro</v>
      </c>
      <c r="I8357" t="str">
        <f>TEXT(MONTH(Tabela1[[#This Row],[Último pagto ano]])*29,"mmmm")</f>
        <v>dezembro</v>
      </c>
    </row>
    <row r="8358" spans="1:9" x14ac:dyDescent="0.25">
      <c r="A8358">
        <v>2025</v>
      </c>
      <c r="B8358" t="s">
        <v>16639</v>
      </c>
      <c r="C8358" s="1">
        <v>45985</v>
      </c>
      <c r="D8358" t="s">
        <v>16640</v>
      </c>
      <c r="E8358">
        <v>200</v>
      </c>
      <c r="G8358" s="3">
        <f>MONTH(Tabela1[[#This Row],[Último pagto ano]])</f>
        <v>11</v>
      </c>
      <c r="H8358" t="str">
        <f>TEXT(Tabela1[[#This Row],[Coluna2]]*29,"mmmm")</f>
        <v>novembro</v>
      </c>
      <c r="I8358" t="str">
        <f>TEXT(MONTH(Tabela1[[#This Row],[Último pagto ano]])*29,"mmmm")</f>
        <v>novembro</v>
      </c>
    </row>
    <row r="8359" spans="1:9" x14ac:dyDescent="0.25">
      <c r="A8359">
        <v>2025</v>
      </c>
      <c r="B8359" t="s">
        <v>16641</v>
      </c>
      <c r="C8359" s="1">
        <v>45856</v>
      </c>
      <c r="D8359" t="s">
        <v>16642</v>
      </c>
      <c r="E8359">
        <v>185.13</v>
      </c>
      <c r="G8359" s="3">
        <f>MONTH(Tabela1[[#This Row],[Último pagto ano]])</f>
        <v>7</v>
      </c>
      <c r="H8359" t="str">
        <f>TEXT(Tabela1[[#This Row],[Coluna2]]*29,"mmmm")</f>
        <v>julho</v>
      </c>
      <c r="I8359" t="str">
        <f>TEXT(MONTH(Tabela1[[#This Row],[Último pagto ano]])*29,"mmmm")</f>
        <v>julho</v>
      </c>
    </row>
    <row r="8360" spans="1:9" x14ac:dyDescent="0.25">
      <c r="A8360">
        <v>2025</v>
      </c>
      <c r="B8360" t="s">
        <v>16643</v>
      </c>
      <c r="C8360" s="1">
        <v>46003</v>
      </c>
      <c r="D8360" t="s">
        <v>16644</v>
      </c>
      <c r="E8360" s="2">
        <v>37618.800000000003</v>
      </c>
      <c r="G8360" s="3">
        <f>MONTH(Tabela1[[#This Row],[Último pagto ano]])</f>
        <v>12</v>
      </c>
      <c r="H8360" t="str">
        <f>TEXT(Tabela1[[#This Row],[Coluna2]]*29,"mmmm")</f>
        <v>dezembro</v>
      </c>
      <c r="I8360" t="str">
        <f>TEXT(MONTH(Tabela1[[#This Row],[Último pagto ano]])*29,"mmmm")</f>
        <v>dezembro</v>
      </c>
    </row>
    <row r="8361" spans="1:9" x14ac:dyDescent="0.25">
      <c r="A8361">
        <v>2025</v>
      </c>
      <c r="B8361" t="s">
        <v>16645</v>
      </c>
      <c r="C8361" s="1">
        <v>45799</v>
      </c>
      <c r="D8361" t="s">
        <v>16646</v>
      </c>
      <c r="E8361">
        <v>4.1900000000000004</v>
      </c>
      <c r="G8361" s="3">
        <f>MONTH(Tabela1[[#This Row],[Último pagto ano]])</f>
        <v>5</v>
      </c>
      <c r="H8361" t="str">
        <f>TEXT(Tabela1[[#This Row],[Coluna2]]*29,"mmmm")</f>
        <v>maio</v>
      </c>
      <c r="I8361" t="str">
        <f>TEXT(MONTH(Tabela1[[#This Row],[Último pagto ano]])*29,"mmmm")</f>
        <v>maio</v>
      </c>
    </row>
    <row r="8362" spans="1:9" x14ac:dyDescent="0.25">
      <c r="A8362">
        <v>2025</v>
      </c>
      <c r="B8362" t="s">
        <v>16647</v>
      </c>
      <c r="C8362" s="1">
        <v>45954</v>
      </c>
      <c r="D8362" t="s">
        <v>16648</v>
      </c>
      <c r="E8362" s="2">
        <v>96416.320000000007</v>
      </c>
      <c r="G8362" s="3">
        <f>MONTH(Tabela1[[#This Row],[Último pagto ano]])</f>
        <v>10</v>
      </c>
      <c r="H8362" t="str">
        <f>TEXT(Tabela1[[#This Row],[Coluna2]]*29,"mmmm")</f>
        <v>outubro</v>
      </c>
      <c r="I8362" t="str">
        <f>TEXT(MONTH(Tabela1[[#This Row],[Último pagto ano]])*29,"mmmm")</f>
        <v>outubro</v>
      </c>
    </row>
    <row r="8363" spans="1:9" x14ac:dyDescent="0.25">
      <c r="A8363">
        <v>2025</v>
      </c>
      <c r="B8363" t="s">
        <v>16649</v>
      </c>
      <c r="C8363" s="1">
        <v>45873</v>
      </c>
      <c r="D8363" t="s">
        <v>16650</v>
      </c>
      <c r="E8363" s="2">
        <v>2800</v>
      </c>
      <c r="G8363" s="3">
        <f>MONTH(Tabela1[[#This Row],[Último pagto ano]])</f>
        <v>8</v>
      </c>
      <c r="H8363" t="str">
        <f>TEXT(Tabela1[[#This Row],[Coluna2]]*29,"mmmm")</f>
        <v>agosto</v>
      </c>
      <c r="I8363" t="str">
        <f>TEXT(MONTH(Tabela1[[#This Row],[Último pagto ano]])*29,"mmmm")</f>
        <v>agosto</v>
      </c>
    </row>
    <row r="8364" spans="1:9" x14ac:dyDescent="0.25">
      <c r="A8364">
        <v>2025</v>
      </c>
      <c r="B8364" t="s">
        <v>16651</v>
      </c>
      <c r="C8364" s="1">
        <v>46014</v>
      </c>
      <c r="D8364" t="s">
        <v>16652</v>
      </c>
      <c r="E8364" s="2">
        <v>12909834.48</v>
      </c>
      <c r="G8364" s="3">
        <f>MONTH(Tabela1[[#This Row],[Último pagto ano]])</f>
        <v>12</v>
      </c>
      <c r="H8364" t="str">
        <f>TEXT(Tabela1[[#This Row],[Coluna2]]*29,"mmmm")</f>
        <v>dezembro</v>
      </c>
      <c r="I8364" t="str">
        <f>TEXT(MONTH(Tabela1[[#This Row],[Último pagto ano]])*29,"mmmm")</f>
        <v>dezembro</v>
      </c>
    </row>
    <row r="8365" spans="1:9" x14ac:dyDescent="0.25">
      <c r="A8365">
        <v>2025</v>
      </c>
      <c r="B8365" t="s">
        <v>16653</v>
      </c>
      <c r="C8365" s="1">
        <v>46014</v>
      </c>
      <c r="D8365" t="s">
        <v>16654</v>
      </c>
      <c r="E8365" s="2">
        <v>51722.400000000001</v>
      </c>
      <c r="G8365" s="3">
        <f>MONTH(Tabela1[[#This Row],[Último pagto ano]])</f>
        <v>12</v>
      </c>
      <c r="H8365" t="str">
        <f>TEXT(Tabela1[[#This Row],[Coluna2]]*29,"mmmm")</f>
        <v>dezembro</v>
      </c>
      <c r="I8365" t="str">
        <f>TEXT(MONTH(Tabela1[[#This Row],[Último pagto ano]])*29,"mmmm")</f>
        <v>dezembro</v>
      </c>
    </row>
    <row r="8366" spans="1:9" x14ac:dyDescent="0.25">
      <c r="A8366">
        <v>2025</v>
      </c>
      <c r="B8366" t="s">
        <v>16655</v>
      </c>
      <c r="C8366" s="1">
        <v>46006</v>
      </c>
      <c r="D8366" t="s">
        <v>16656</v>
      </c>
      <c r="E8366" s="2">
        <v>15720</v>
      </c>
      <c r="G8366" s="3">
        <f>MONTH(Tabela1[[#This Row],[Último pagto ano]])</f>
        <v>12</v>
      </c>
      <c r="H8366" t="str">
        <f>TEXT(Tabela1[[#This Row],[Coluna2]]*29,"mmmm")</f>
        <v>dezembro</v>
      </c>
      <c r="I8366" t="str">
        <f>TEXT(MONTH(Tabela1[[#This Row],[Último pagto ano]])*29,"mmmm")</f>
        <v>dezembro</v>
      </c>
    </row>
    <row r="8367" spans="1:9" x14ac:dyDescent="0.25">
      <c r="A8367">
        <v>2025</v>
      </c>
      <c r="B8367" t="s">
        <v>16657</v>
      </c>
      <c r="C8367" s="1">
        <v>46006</v>
      </c>
      <c r="D8367" t="s">
        <v>16658</v>
      </c>
      <c r="E8367" s="2">
        <v>21024.6</v>
      </c>
      <c r="G8367" s="3">
        <f>MONTH(Tabela1[[#This Row],[Último pagto ano]])</f>
        <v>12</v>
      </c>
      <c r="H8367" t="str">
        <f>TEXT(Tabela1[[#This Row],[Coluna2]]*29,"mmmm")</f>
        <v>dezembro</v>
      </c>
      <c r="I8367" t="str">
        <f>TEXT(MONTH(Tabela1[[#This Row],[Último pagto ano]])*29,"mmmm")</f>
        <v>dezembro</v>
      </c>
    </row>
    <row r="8368" spans="1:9" x14ac:dyDescent="0.25">
      <c r="A8368">
        <v>2025</v>
      </c>
      <c r="B8368" t="s">
        <v>16659</v>
      </c>
      <c r="C8368" s="1">
        <v>45744</v>
      </c>
      <c r="D8368" t="s">
        <v>16660</v>
      </c>
      <c r="E8368" s="2">
        <v>65004.32</v>
      </c>
      <c r="G8368" s="3">
        <f>MONTH(Tabela1[[#This Row],[Último pagto ano]])</f>
        <v>3</v>
      </c>
      <c r="H8368" t="str">
        <f>TEXT(Tabela1[[#This Row],[Coluna2]]*29,"mmmm")</f>
        <v>março</v>
      </c>
      <c r="I8368" t="str">
        <f>TEXT(MONTH(Tabela1[[#This Row],[Último pagto ano]])*29,"mmmm")</f>
        <v>março</v>
      </c>
    </row>
    <row r="8369" spans="1:9" x14ac:dyDescent="0.25">
      <c r="A8369">
        <v>2025</v>
      </c>
      <c r="B8369" t="s">
        <v>16661</v>
      </c>
      <c r="C8369" s="1">
        <v>45975</v>
      </c>
      <c r="D8369" t="s">
        <v>16662</v>
      </c>
      <c r="E8369" s="2">
        <v>5552.4</v>
      </c>
      <c r="G8369" s="3">
        <f>MONTH(Tabela1[[#This Row],[Último pagto ano]])</f>
        <v>11</v>
      </c>
      <c r="H8369" t="str">
        <f>TEXT(Tabela1[[#This Row],[Coluna2]]*29,"mmmm")</f>
        <v>novembro</v>
      </c>
      <c r="I8369" t="str">
        <f>TEXT(MONTH(Tabela1[[#This Row],[Último pagto ano]])*29,"mmmm")</f>
        <v>novembro</v>
      </c>
    </row>
    <row r="8370" spans="1:9" x14ac:dyDescent="0.25">
      <c r="A8370">
        <v>2025</v>
      </c>
      <c r="B8370" t="s">
        <v>16663</v>
      </c>
      <c r="C8370" s="1">
        <v>45796</v>
      </c>
      <c r="D8370" t="s">
        <v>16664</v>
      </c>
      <c r="E8370">
        <v>44</v>
      </c>
      <c r="G8370" s="3">
        <f>MONTH(Tabela1[[#This Row],[Último pagto ano]])</f>
        <v>5</v>
      </c>
      <c r="H8370" t="str">
        <f>TEXT(Tabela1[[#This Row],[Coluna2]]*29,"mmmm")</f>
        <v>maio</v>
      </c>
      <c r="I8370" t="str">
        <f>TEXT(MONTH(Tabela1[[#This Row],[Último pagto ano]])*29,"mmmm")</f>
        <v>maio</v>
      </c>
    </row>
    <row r="8371" spans="1:9" x14ac:dyDescent="0.25">
      <c r="A8371">
        <v>2025</v>
      </c>
      <c r="B8371" t="s">
        <v>16665</v>
      </c>
      <c r="C8371" s="1">
        <v>46010</v>
      </c>
      <c r="D8371" t="s">
        <v>16666</v>
      </c>
      <c r="E8371" s="2">
        <v>7700</v>
      </c>
      <c r="G8371" s="3">
        <f>MONTH(Tabela1[[#This Row],[Último pagto ano]])</f>
        <v>12</v>
      </c>
      <c r="H8371" t="str">
        <f>TEXT(Tabela1[[#This Row],[Coluna2]]*29,"mmmm")</f>
        <v>dezembro</v>
      </c>
      <c r="I8371" t="str">
        <f>TEXT(MONTH(Tabela1[[#This Row],[Último pagto ano]])*29,"mmmm")</f>
        <v>dezembro</v>
      </c>
    </row>
    <row r="8372" spans="1:9" x14ac:dyDescent="0.25">
      <c r="A8372">
        <v>2025</v>
      </c>
      <c r="B8372" t="s">
        <v>16667</v>
      </c>
      <c r="C8372" s="1">
        <v>45936</v>
      </c>
      <c r="D8372" t="s">
        <v>16668</v>
      </c>
      <c r="E8372">
        <v>242</v>
      </c>
      <c r="G8372" s="3">
        <f>MONTH(Tabela1[[#This Row],[Último pagto ano]])</f>
        <v>10</v>
      </c>
      <c r="H8372" t="str">
        <f>TEXT(Tabela1[[#This Row],[Coluna2]]*29,"mmmm")</f>
        <v>outubro</v>
      </c>
      <c r="I8372" t="str">
        <f>TEXT(MONTH(Tabela1[[#This Row],[Último pagto ano]])*29,"mmmm")</f>
        <v>outubro</v>
      </c>
    </row>
    <row r="8373" spans="1:9" x14ac:dyDescent="0.25">
      <c r="A8373">
        <v>2025</v>
      </c>
      <c r="B8373" t="s">
        <v>16669</v>
      </c>
      <c r="C8373" s="1">
        <v>45996</v>
      </c>
      <c r="D8373" t="s">
        <v>16670</v>
      </c>
      <c r="E8373" s="2">
        <v>8290</v>
      </c>
      <c r="G8373" s="3">
        <f>MONTH(Tabela1[[#This Row],[Último pagto ano]])</f>
        <v>12</v>
      </c>
      <c r="H8373" t="str">
        <f>TEXT(Tabela1[[#This Row],[Coluna2]]*29,"mmmm")</f>
        <v>dezembro</v>
      </c>
      <c r="I8373" t="str">
        <f>TEXT(MONTH(Tabela1[[#This Row],[Último pagto ano]])*29,"mmmm")</f>
        <v>dezembro</v>
      </c>
    </row>
    <row r="8374" spans="1:9" x14ac:dyDescent="0.25">
      <c r="A8374">
        <v>2025</v>
      </c>
      <c r="B8374" t="s">
        <v>16671</v>
      </c>
      <c r="C8374" s="1">
        <v>46006</v>
      </c>
      <c r="D8374" t="s">
        <v>16672</v>
      </c>
      <c r="E8374">
        <v>231</v>
      </c>
      <c r="G8374" s="3">
        <f>MONTH(Tabela1[[#This Row],[Último pagto ano]])</f>
        <v>12</v>
      </c>
      <c r="H8374" t="str">
        <f>TEXT(Tabela1[[#This Row],[Coluna2]]*29,"mmmm")</f>
        <v>dezembro</v>
      </c>
      <c r="I8374" t="str">
        <f>TEXT(MONTH(Tabela1[[#This Row],[Último pagto ano]])*29,"mmmm")</f>
        <v>dezembro</v>
      </c>
    </row>
    <row r="8375" spans="1:9" x14ac:dyDescent="0.25">
      <c r="A8375">
        <v>2025</v>
      </c>
      <c r="B8375" t="s">
        <v>16673</v>
      </c>
      <c r="C8375" s="1">
        <v>46006</v>
      </c>
      <c r="D8375" t="s">
        <v>16674</v>
      </c>
      <c r="E8375" s="2">
        <v>11510.4</v>
      </c>
      <c r="G8375" s="3">
        <f>MONTH(Tabela1[[#This Row],[Último pagto ano]])</f>
        <v>12</v>
      </c>
      <c r="H8375" t="str">
        <f>TEXT(Tabela1[[#This Row],[Coluna2]]*29,"mmmm")</f>
        <v>dezembro</v>
      </c>
      <c r="I8375" t="str">
        <f>TEXT(MONTH(Tabela1[[#This Row],[Último pagto ano]])*29,"mmmm")</f>
        <v>dezembro</v>
      </c>
    </row>
    <row r="8376" spans="1:9" x14ac:dyDescent="0.25">
      <c r="A8376">
        <v>2025</v>
      </c>
      <c r="B8376" t="s">
        <v>16675</v>
      </c>
      <c r="C8376" s="1">
        <v>46014</v>
      </c>
      <c r="D8376" t="s">
        <v>16676</v>
      </c>
      <c r="E8376" s="2">
        <v>11820</v>
      </c>
      <c r="G8376" s="3">
        <f>MONTH(Tabela1[[#This Row],[Último pagto ano]])</f>
        <v>12</v>
      </c>
      <c r="H8376" t="str">
        <f>TEXT(Tabela1[[#This Row],[Coluna2]]*29,"mmmm")</f>
        <v>dezembro</v>
      </c>
      <c r="I8376" t="str">
        <f>TEXT(MONTH(Tabela1[[#This Row],[Último pagto ano]])*29,"mmmm")</f>
        <v>dezembro</v>
      </c>
    </row>
    <row r="8377" spans="1:9" x14ac:dyDescent="0.25">
      <c r="A8377">
        <v>2025</v>
      </c>
      <c r="B8377" t="s">
        <v>16677</v>
      </c>
      <c r="C8377" s="1">
        <v>45945</v>
      </c>
      <c r="D8377" t="s">
        <v>16678</v>
      </c>
      <c r="E8377" s="2">
        <v>5796.04</v>
      </c>
      <c r="G8377" s="3">
        <f>MONTH(Tabela1[[#This Row],[Último pagto ano]])</f>
        <v>10</v>
      </c>
      <c r="H8377" t="str">
        <f>TEXT(Tabela1[[#This Row],[Coluna2]]*29,"mmmm")</f>
        <v>outubro</v>
      </c>
      <c r="I8377" t="str">
        <f>TEXT(MONTH(Tabela1[[#This Row],[Último pagto ano]])*29,"mmmm")</f>
        <v>outubro</v>
      </c>
    </row>
    <row r="8378" spans="1:9" x14ac:dyDescent="0.25">
      <c r="A8378">
        <v>2025</v>
      </c>
      <c r="B8378" t="s">
        <v>16679</v>
      </c>
      <c r="C8378" s="1">
        <v>45736</v>
      </c>
      <c r="D8378" t="s">
        <v>16680</v>
      </c>
      <c r="E8378" s="2">
        <v>6409.36</v>
      </c>
      <c r="G8378" s="3">
        <f>MONTH(Tabela1[[#This Row],[Último pagto ano]])</f>
        <v>3</v>
      </c>
      <c r="H8378" t="str">
        <f>TEXT(Tabela1[[#This Row],[Coluna2]]*29,"mmmm")</f>
        <v>março</v>
      </c>
      <c r="I8378" t="str">
        <f>TEXT(MONTH(Tabela1[[#This Row],[Último pagto ano]])*29,"mmmm")</f>
        <v>março</v>
      </c>
    </row>
    <row r="8379" spans="1:9" x14ac:dyDescent="0.25">
      <c r="A8379">
        <v>2025</v>
      </c>
      <c r="B8379" t="s">
        <v>16681</v>
      </c>
      <c r="C8379" s="1">
        <v>45873</v>
      </c>
      <c r="D8379" t="s">
        <v>16682</v>
      </c>
      <c r="E8379">
        <v>66</v>
      </c>
      <c r="G8379" s="3">
        <f>MONTH(Tabela1[[#This Row],[Último pagto ano]])</f>
        <v>8</v>
      </c>
      <c r="H8379" t="str">
        <f>TEXT(Tabela1[[#This Row],[Coluna2]]*29,"mmmm")</f>
        <v>agosto</v>
      </c>
      <c r="I8379" t="str">
        <f>TEXT(MONTH(Tabela1[[#This Row],[Último pagto ano]])*29,"mmmm")</f>
        <v>agosto</v>
      </c>
    </row>
    <row r="8380" spans="1:9" x14ac:dyDescent="0.25">
      <c r="A8380">
        <v>2025</v>
      </c>
      <c r="B8380" t="s">
        <v>16683</v>
      </c>
      <c r="C8380" s="1">
        <v>45821</v>
      </c>
      <c r="D8380" t="s">
        <v>16684</v>
      </c>
      <c r="E8380">
        <v>2.42</v>
      </c>
      <c r="G8380" s="3">
        <f>MONTH(Tabela1[[#This Row],[Último pagto ano]])</f>
        <v>6</v>
      </c>
      <c r="H8380" t="str">
        <f>TEXT(Tabela1[[#This Row],[Coluna2]]*29,"mmmm")</f>
        <v>junho</v>
      </c>
      <c r="I8380" t="str">
        <f>TEXT(MONTH(Tabela1[[#This Row],[Último pagto ano]])*29,"mmmm")</f>
        <v>junho</v>
      </c>
    </row>
    <row r="8381" spans="1:9" x14ac:dyDescent="0.25">
      <c r="A8381">
        <v>2025</v>
      </c>
      <c r="B8381" t="s">
        <v>16685</v>
      </c>
      <c r="C8381" s="1">
        <v>45771</v>
      </c>
      <c r="D8381" t="s">
        <v>16686</v>
      </c>
      <c r="E8381" s="2">
        <v>2800</v>
      </c>
      <c r="G8381" s="3">
        <f>MONTH(Tabela1[[#This Row],[Último pagto ano]])</f>
        <v>4</v>
      </c>
      <c r="H8381" t="str">
        <f>TEXT(Tabela1[[#This Row],[Coluna2]]*29,"mmmm")</f>
        <v>abril</v>
      </c>
      <c r="I8381" t="str">
        <f>TEXT(MONTH(Tabela1[[#This Row],[Último pagto ano]])*29,"mmmm")</f>
        <v>abril</v>
      </c>
    </row>
    <row r="8382" spans="1:9" x14ac:dyDescent="0.25">
      <c r="A8382">
        <v>2025</v>
      </c>
      <c r="B8382" t="s">
        <v>16687</v>
      </c>
      <c r="C8382" s="1">
        <v>46010</v>
      </c>
      <c r="D8382" t="s">
        <v>16688</v>
      </c>
      <c r="E8382" s="2">
        <v>8400</v>
      </c>
      <c r="G8382" s="3">
        <f>MONTH(Tabela1[[#This Row],[Último pagto ano]])</f>
        <v>12</v>
      </c>
      <c r="H8382" t="str">
        <f>TEXT(Tabela1[[#This Row],[Coluna2]]*29,"mmmm")</f>
        <v>dezembro</v>
      </c>
      <c r="I8382" t="str">
        <f>TEXT(MONTH(Tabela1[[#This Row],[Último pagto ano]])*29,"mmmm")</f>
        <v>dezembro</v>
      </c>
    </row>
    <row r="8383" spans="1:9" x14ac:dyDescent="0.25">
      <c r="A8383">
        <v>2025</v>
      </c>
      <c r="B8383" t="s">
        <v>16689</v>
      </c>
      <c r="C8383" s="1">
        <v>45964</v>
      </c>
      <c r="D8383" t="s">
        <v>16690</v>
      </c>
      <c r="E8383">
        <v>217.6</v>
      </c>
      <c r="G8383" s="3">
        <f>MONTH(Tabela1[[#This Row],[Último pagto ano]])</f>
        <v>11</v>
      </c>
      <c r="H8383" t="str">
        <f>TEXT(Tabela1[[#This Row],[Coluna2]]*29,"mmmm")</f>
        <v>novembro</v>
      </c>
      <c r="I8383" t="str">
        <f>TEXT(MONTH(Tabela1[[#This Row],[Último pagto ano]])*29,"mmmm")</f>
        <v>novembro</v>
      </c>
    </row>
    <row r="8384" spans="1:9" x14ac:dyDescent="0.25">
      <c r="A8384">
        <v>2025</v>
      </c>
      <c r="B8384" t="s">
        <v>16691</v>
      </c>
      <c r="C8384" s="1">
        <v>45903</v>
      </c>
      <c r="D8384" t="s">
        <v>16692</v>
      </c>
      <c r="E8384" s="2">
        <v>6075.89</v>
      </c>
      <c r="G8384" s="3">
        <f>MONTH(Tabela1[[#This Row],[Último pagto ano]])</f>
        <v>9</v>
      </c>
      <c r="H8384" t="str">
        <f>TEXT(Tabela1[[#This Row],[Coluna2]]*29,"mmmm")</f>
        <v>setembro</v>
      </c>
      <c r="I8384" t="str">
        <f>TEXT(MONTH(Tabela1[[#This Row],[Último pagto ano]])*29,"mmmm")</f>
        <v>setembro</v>
      </c>
    </row>
    <row r="8385" spans="1:9" x14ac:dyDescent="0.25">
      <c r="A8385">
        <v>2025</v>
      </c>
      <c r="B8385" t="s">
        <v>16693</v>
      </c>
      <c r="C8385" s="1">
        <v>45996</v>
      </c>
      <c r="D8385" t="s">
        <v>16694</v>
      </c>
      <c r="E8385" s="2">
        <v>34500</v>
      </c>
      <c r="G8385" s="3">
        <f>MONTH(Tabela1[[#This Row],[Último pagto ano]])</f>
        <v>12</v>
      </c>
      <c r="H8385" t="str">
        <f>TEXT(Tabela1[[#This Row],[Coluna2]]*29,"mmmm")</f>
        <v>dezembro</v>
      </c>
      <c r="I8385" t="str">
        <f>TEXT(MONTH(Tabela1[[#This Row],[Último pagto ano]])*29,"mmmm")</f>
        <v>dezembro</v>
      </c>
    </row>
    <row r="8386" spans="1:9" x14ac:dyDescent="0.25">
      <c r="A8386">
        <v>2025</v>
      </c>
      <c r="B8386" t="s">
        <v>16695</v>
      </c>
      <c r="C8386" s="1">
        <v>45985</v>
      </c>
      <c r="D8386" t="s">
        <v>16696</v>
      </c>
      <c r="E8386" s="2">
        <v>11000</v>
      </c>
      <c r="G8386" s="3">
        <f>MONTH(Tabela1[[#This Row],[Último pagto ano]])</f>
        <v>11</v>
      </c>
      <c r="H8386" t="str">
        <f>TEXT(Tabela1[[#This Row],[Coluna2]]*29,"mmmm")</f>
        <v>novembro</v>
      </c>
      <c r="I8386" t="str">
        <f>TEXT(MONTH(Tabela1[[#This Row],[Último pagto ano]])*29,"mmmm")</f>
        <v>novembro</v>
      </c>
    </row>
    <row r="8387" spans="1:9" x14ac:dyDescent="0.25">
      <c r="A8387">
        <v>2025</v>
      </c>
      <c r="B8387" t="s">
        <v>16697</v>
      </c>
      <c r="C8387" s="1">
        <v>46010</v>
      </c>
      <c r="D8387" t="s">
        <v>16698</v>
      </c>
      <c r="E8387">
        <v>700</v>
      </c>
      <c r="G8387" s="3">
        <f>MONTH(Tabela1[[#This Row],[Último pagto ano]])</f>
        <v>12</v>
      </c>
      <c r="H8387" t="str">
        <f>TEXT(Tabela1[[#This Row],[Coluna2]]*29,"mmmm")</f>
        <v>dezembro</v>
      </c>
      <c r="I8387" t="str">
        <f>TEXT(MONTH(Tabela1[[#This Row],[Último pagto ano]])*29,"mmmm")</f>
        <v>dezembro</v>
      </c>
    </row>
    <row r="8388" spans="1:9" x14ac:dyDescent="0.25">
      <c r="A8388">
        <v>2025</v>
      </c>
      <c r="B8388" t="s">
        <v>16699</v>
      </c>
      <c r="C8388" s="1">
        <v>45989</v>
      </c>
      <c r="D8388" t="s">
        <v>16700</v>
      </c>
      <c r="E8388" s="2">
        <v>10991.78</v>
      </c>
      <c r="G8388" s="3">
        <f>MONTH(Tabela1[[#This Row],[Último pagto ano]])</f>
        <v>11</v>
      </c>
      <c r="H8388" t="str">
        <f>TEXT(Tabela1[[#This Row],[Coluna2]]*29,"mmmm")</f>
        <v>novembro</v>
      </c>
      <c r="I8388" t="str">
        <f>TEXT(MONTH(Tabela1[[#This Row],[Último pagto ano]])*29,"mmmm")</f>
        <v>novembro</v>
      </c>
    </row>
    <row r="8389" spans="1:9" x14ac:dyDescent="0.25">
      <c r="A8389">
        <v>2025</v>
      </c>
      <c r="B8389" t="s">
        <v>16701</v>
      </c>
      <c r="C8389" s="1">
        <v>45807</v>
      </c>
      <c r="D8389" t="s">
        <v>16702</v>
      </c>
      <c r="E8389" s="2">
        <v>3697.84</v>
      </c>
      <c r="G8389" s="3">
        <f>MONTH(Tabela1[[#This Row],[Último pagto ano]])</f>
        <v>5</v>
      </c>
      <c r="H8389" t="str">
        <f>TEXT(Tabela1[[#This Row],[Coluna2]]*29,"mmmm")</f>
        <v>maio</v>
      </c>
      <c r="I8389" t="str">
        <f>TEXT(MONTH(Tabela1[[#This Row],[Último pagto ano]])*29,"mmmm")</f>
        <v>maio</v>
      </c>
    </row>
    <row r="8390" spans="1:9" x14ac:dyDescent="0.25">
      <c r="A8390">
        <v>2025</v>
      </c>
      <c r="B8390" t="s">
        <v>16703</v>
      </c>
      <c r="C8390" s="1">
        <v>45985</v>
      </c>
      <c r="D8390" t="s">
        <v>16704</v>
      </c>
      <c r="E8390">
        <v>154</v>
      </c>
      <c r="G8390" s="3">
        <f>MONTH(Tabela1[[#This Row],[Último pagto ano]])</f>
        <v>11</v>
      </c>
      <c r="H8390" t="str">
        <f>TEXT(Tabela1[[#This Row],[Coluna2]]*29,"mmmm")</f>
        <v>novembro</v>
      </c>
      <c r="I8390" t="str">
        <f>TEXT(MONTH(Tabela1[[#This Row],[Último pagto ano]])*29,"mmmm")</f>
        <v>novembro</v>
      </c>
    </row>
    <row r="8391" spans="1:9" x14ac:dyDescent="0.25">
      <c r="A8391">
        <v>2025</v>
      </c>
      <c r="B8391" t="s">
        <v>16705</v>
      </c>
      <c r="C8391" s="1">
        <v>45702</v>
      </c>
      <c r="D8391" t="s">
        <v>16706</v>
      </c>
      <c r="E8391">
        <v>760.74</v>
      </c>
      <c r="G8391" s="3">
        <f>MONTH(Tabela1[[#This Row],[Último pagto ano]])</f>
        <v>2</v>
      </c>
      <c r="H8391" t="str">
        <f>TEXT(Tabela1[[#This Row],[Coluna2]]*29,"mmmm")</f>
        <v>fevereiro</v>
      </c>
      <c r="I8391" t="str">
        <f>TEXT(MONTH(Tabela1[[#This Row],[Último pagto ano]])*29,"mmmm")</f>
        <v>fevereiro</v>
      </c>
    </row>
    <row r="8392" spans="1:9" x14ac:dyDescent="0.25">
      <c r="A8392">
        <v>2025</v>
      </c>
      <c r="B8392" t="s">
        <v>16707</v>
      </c>
      <c r="C8392" s="1">
        <v>45784</v>
      </c>
      <c r="D8392" t="s">
        <v>16708</v>
      </c>
      <c r="E8392" s="2">
        <v>2600.48</v>
      </c>
      <c r="G8392" s="3">
        <f>MONTH(Tabela1[[#This Row],[Último pagto ano]])</f>
        <v>5</v>
      </c>
      <c r="H8392" t="str">
        <f>TEXT(Tabela1[[#This Row],[Coluna2]]*29,"mmmm")</f>
        <v>maio</v>
      </c>
      <c r="I8392" t="str">
        <f>TEXT(MONTH(Tabela1[[#This Row],[Último pagto ano]])*29,"mmmm")</f>
        <v>maio</v>
      </c>
    </row>
    <row r="8393" spans="1:9" x14ac:dyDescent="0.25">
      <c r="A8393">
        <v>2025</v>
      </c>
      <c r="B8393" t="s">
        <v>16709</v>
      </c>
      <c r="C8393" s="1">
        <v>45702</v>
      </c>
      <c r="D8393" t="s">
        <v>16710</v>
      </c>
      <c r="E8393">
        <v>121.51</v>
      </c>
      <c r="G8393" s="3">
        <f>MONTH(Tabela1[[#This Row],[Último pagto ano]])</f>
        <v>2</v>
      </c>
      <c r="H8393" t="str">
        <f>TEXT(Tabela1[[#This Row],[Coluna2]]*29,"mmmm")</f>
        <v>fevereiro</v>
      </c>
      <c r="I8393" t="str">
        <f>TEXT(MONTH(Tabela1[[#This Row],[Último pagto ano]])*29,"mmmm")</f>
        <v>fevereiro</v>
      </c>
    </row>
    <row r="8394" spans="1:9" x14ac:dyDescent="0.25">
      <c r="A8394">
        <v>2025</v>
      </c>
      <c r="B8394" t="s">
        <v>16711</v>
      </c>
      <c r="C8394" s="1">
        <v>46010</v>
      </c>
      <c r="D8394" t="s">
        <v>16712</v>
      </c>
      <c r="E8394" s="2">
        <v>6300</v>
      </c>
      <c r="G8394" s="3">
        <f>MONTH(Tabela1[[#This Row],[Último pagto ano]])</f>
        <v>12</v>
      </c>
      <c r="H8394" t="str">
        <f>TEXT(Tabela1[[#This Row],[Coluna2]]*29,"mmmm")</f>
        <v>dezembro</v>
      </c>
      <c r="I8394" t="str">
        <f>TEXT(MONTH(Tabela1[[#This Row],[Último pagto ano]])*29,"mmmm")</f>
        <v>dezembro</v>
      </c>
    </row>
    <row r="8395" spans="1:9" x14ac:dyDescent="0.25">
      <c r="A8395">
        <v>2025</v>
      </c>
      <c r="B8395" t="s">
        <v>16713</v>
      </c>
      <c r="C8395" s="1">
        <v>45989</v>
      </c>
      <c r="D8395" t="s">
        <v>16714</v>
      </c>
      <c r="E8395" s="2">
        <v>3525.79</v>
      </c>
      <c r="G8395" s="3">
        <f>MONTH(Tabela1[[#This Row],[Último pagto ano]])</f>
        <v>11</v>
      </c>
      <c r="H8395" t="str">
        <f>TEXT(Tabela1[[#This Row],[Coluna2]]*29,"mmmm")</f>
        <v>novembro</v>
      </c>
      <c r="I8395" t="str">
        <f>TEXT(MONTH(Tabela1[[#This Row],[Último pagto ano]])*29,"mmmm")</f>
        <v>novembro</v>
      </c>
    </row>
    <row r="8396" spans="1:9" x14ac:dyDescent="0.25">
      <c r="A8396">
        <v>2025</v>
      </c>
      <c r="B8396" t="s">
        <v>16715</v>
      </c>
      <c r="C8396" s="1">
        <v>45978</v>
      </c>
      <c r="D8396" t="s">
        <v>16716</v>
      </c>
      <c r="E8396">
        <v>11</v>
      </c>
      <c r="G8396" s="3">
        <f>MONTH(Tabela1[[#This Row],[Último pagto ano]])</f>
        <v>11</v>
      </c>
      <c r="H8396" t="str">
        <f>TEXT(Tabela1[[#This Row],[Coluna2]]*29,"mmmm")</f>
        <v>novembro</v>
      </c>
      <c r="I8396" t="str">
        <f>TEXT(MONTH(Tabela1[[#This Row],[Último pagto ano]])*29,"mmmm")</f>
        <v>novembro</v>
      </c>
    </row>
    <row r="8397" spans="1:9" x14ac:dyDescent="0.25">
      <c r="A8397">
        <v>2025</v>
      </c>
      <c r="B8397" t="s">
        <v>16717</v>
      </c>
      <c r="C8397" s="1">
        <v>45989</v>
      </c>
      <c r="D8397" t="s">
        <v>16718</v>
      </c>
      <c r="E8397" s="2">
        <v>11469.07</v>
      </c>
      <c r="G8397" s="3">
        <f>MONTH(Tabela1[[#This Row],[Último pagto ano]])</f>
        <v>11</v>
      </c>
      <c r="H8397" t="str">
        <f>TEXT(Tabela1[[#This Row],[Coluna2]]*29,"mmmm")</f>
        <v>novembro</v>
      </c>
      <c r="I8397" t="str">
        <f>TEXT(MONTH(Tabela1[[#This Row],[Último pagto ano]])*29,"mmmm")</f>
        <v>novembro</v>
      </c>
    </row>
    <row r="8398" spans="1:9" x14ac:dyDescent="0.25">
      <c r="A8398">
        <v>2025</v>
      </c>
      <c r="B8398" t="s">
        <v>16719</v>
      </c>
      <c r="C8398" s="1">
        <v>45937</v>
      </c>
      <c r="D8398" t="s">
        <v>16720</v>
      </c>
      <c r="E8398" s="2">
        <v>3000</v>
      </c>
      <c r="G8398" s="3">
        <f>MONTH(Tabela1[[#This Row],[Último pagto ano]])</f>
        <v>10</v>
      </c>
      <c r="H8398" t="str">
        <f>TEXT(Tabela1[[#This Row],[Coluna2]]*29,"mmmm")</f>
        <v>outubro</v>
      </c>
      <c r="I8398" t="str">
        <f>TEXT(MONTH(Tabela1[[#This Row],[Último pagto ano]])*29,"mmmm")</f>
        <v>outubro</v>
      </c>
    </row>
    <row r="8399" spans="1:9" x14ac:dyDescent="0.25">
      <c r="A8399">
        <v>2025</v>
      </c>
      <c r="B8399" t="s">
        <v>16721</v>
      </c>
      <c r="C8399" s="1">
        <v>45989</v>
      </c>
      <c r="D8399" t="s">
        <v>16722</v>
      </c>
      <c r="E8399" s="2">
        <v>11528.48</v>
      </c>
      <c r="G8399" s="3">
        <f>MONTH(Tabela1[[#This Row],[Último pagto ano]])</f>
        <v>11</v>
      </c>
      <c r="H8399" t="str">
        <f>TEXT(Tabela1[[#This Row],[Coluna2]]*29,"mmmm")</f>
        <v>novembro</v>
      </c>
      <c r="I8399" t="str">
        <f>TEXT(MONTH(Tabela1[[#This Row],[Último pagto ano]])*29,"mmmm")</f>
        <v>novembro</v>
      </c>
    </row>
    <row r="8400" spans="1:9" x14ac:dyDescent="0.25">
      <c r="A8400">
        <v>2025</v>
      </c>
      <c r="B8400" t="s">
        <v>16723</v>
      </c>
      <c r="C8400" s="1">
        <v>45880</v>
      </c>
      <c r="D8400" t="s">
        <v>16724</v>
      </c>
      <c r="E8400">
        <v>66</v>
      </c>
      <c r="G8400" s="3">
        <f>MONTH(Tabela1[[#This Row],[Último pagto ano]])</f>
        <v>8</v>
      </c>
      <c r="H8400" t="str">
        <f>TEXT(Tabela1[[#This Row],[Coluna2]]*29,"mmmm")</f>
        <v>agosto</v>
      </c>
      <c r="I8400" t="str">
        <f>TEXT(MONTH(Tabela1[[#This Row],[Último pagto ano]])*29,"mmmm")</f>
        <v>agosto</v>
      </c>
    </row>
    <row r="8401" spans="1:9" x14ac:dyDescent="0.25">
      <c r="A8401">
        <v>2025</v>
      </c>
      <c r="B8401" t="s">
        <v>16725</v>
      </c>
      <c r="C8401" s="1">
        <v>45989</v>
      </c>
      <c r="D8401" t="s">
        <v>16726</v>
      </c>
      <c r="E8401" s="2">
        <v>9604.6299999999992</v>
      </c>
      <c r="G8401" s="3">
        <f>MONTH(Tabela1[[#This Row],[Último pagto ano]])</f>
        <v>11</v>
      </c>
      <c r="H8401" t="str">
        <f>TEXT(Tabela1[[#This Row],[Coluna2]]*29,"mmmm")</f>
        <v>novembro</v>
      </c>
      <c r="I8401" t="str">
        <f>TEXT(MONTH(Tabela1[[#This Row],[Último pagto ano]])*29,"mmmm")</f>
        <v>novembro</v>
      </c>
    </row>
    <row r="8402" spans="1:9" x14ac:dyDescent="0.25">
      <c r="A8402">
        <v>2025</v>
      </c>
      <c r="B8402" t="s">
        <v>16727</v>
      </c>
      <c r="C8402" s="1">
        <v>46021</v>
      </c>
      <c r="D8402" t="s">
        <v>16728</v>
      </c>
      <c r="E8402" s="2">
        <v>12754.38</v>
      </c>
      <c r="G8402" s="3">
        <f>MONTH(Tabela1[[#This Row],[Último pagto ano]])</f>
        <v>12</v>
      </c>
      <c r="H8402" t="str">
        <f>TEXT(Tabela1[[#This Row],[Coluna2]]*29,"mmmm")</f>
        <v>dezembro</v>
      </c>
      <c r="I8402" t="str">
        <f>TEXT(MONTH(Tabela1[[#This Row],[Último pagto ano]])*29,"mmmm")</f>
        <v>dezembro</v>
      </c>
    </row>
    <row r="8403" spans="1:9" x14ac:dyDescent="0.25">
      <c r="A8403">
        <v>2025</v>
      </c>
      <c r="B8403" t="s">
        <v>16729</v>
      </c>
      <c r="C8403" s="1">
        <v>45915</v>
      </c>
      <c r="D8403" t="s">
        <v>16730</v>
      </c>
      <c r="E8403" s="2">
        <v>5330.88</v>
      </c>
      <c r="G8403" s="3">
        <f>MONTH(Tabela1[[#This Row],[Último pagto ano]])</f>
        <v>9</v>
      </c>
      <c r="H8403" t="str">
        <f>TEXT(Tabela1[[#This Row],[Coluna2]]*29,"mmmm")</f>
        <v>setembro</v>
      </c>
      <c r="I8403" t="str">
        <f>TEXT(MONTH(Tabela1[[#This Row],[Último pagto ano]])*29,"mmmm")</f>
        <v>setembro</v>
      </c>
    </row>
    <row r="8404" spans="1:9" x14ac:dyDescent="0.25">
      <c r="A8404">
        <v>2025</v>
      </c>
      <c r="B8404" t="s">
        <v>16731</v>
      </c>
      <c r="C8404" s="1">
        <v>45796</v>
      </c>
      <c r="D8404" t="s">
        <v>16732</v>
      </c>
      <c r="E8404" s="2">
        <v>1145.2</v>
      </c>
      <c r="G8404" s="3">
        <f>MONTH(Tabela1[[#This Row],[Último pagto ano]])</f>
        <v>5</v>
      </c>
      <c r="H8404" t="str">
        <f>TEXT(Tabela1[[#This Row],[Coluna2]]*29,"mmmm")</f>
        <v>maio</v>
      </c>
      <c r="I8404" t="str">
        <f>TEXT(MONTH(Tabela1[[#This Row],[Último pagto ano]])*29,"mmmm")</f>
        <v>maio</v>
      </c>
    </row>
    <row r="8405" spans="1:9" x14ac:dyDescent="0.25">
      <c r="A8405">
        <v>2025</v>
      </c>
      <c r="B8405" t="s">
        <v>16733</v>
      </c>
      <c r="C8405" s="1">
        <v>45989</v>
      </c>
      <c r="D8405" t="s">
        <v>16734</v>
      </c>
      <c r="E8405" s="2">
        <v>3773.89</v>
      </c>
      <c r="G8405" s="3">
        <f>MONTH(Tabela1[[#This Row],[Último pagto ano]])</f>
        <v>11</v>
      </c>
      <c r="H8405" t="str">
        <f>TEXT(Tabela1[[#This Row],[Coluna2]]*29,"mmmm")</f>
        <v>novembro</v>
      </c>
      <c r="I8405" t="str">
        <f>TEXT(MONTH(Tabela1[[#This Row],[Último pagto ano]])*29,"mmmm")</f>
        <v>novembro</v>
      </c>
    </row>
    <row r="8406" spans="1:9" x14ac:dyDescent="0.25">
      <c r="A8406">
        <v>2025</v>
      </c>
      <c r="B8406" t="s">
        <v>16735</v>
      </c>
      <c r="C8406" s="1">
        <v>45702</v>
      </c>
      <c r="D8406" t="s">
        <v>16736</v>
      </c>
      <c r="E8406">
        <v>52.79</v>
      </c>
      <c r="G8406" s="3">
        <f>MONTH(Tabela1[[#This Row],[Último pagto ano]])</f>
        <v>2</v>
      </c>
      <c r="H8406" t="str">
        <f>TEXT(Tabela1[[#This Row],[Coluna2]]*29,"mmmm")</f>
        <v>fevereiro</v>
      </c>
      <c r="I8406" t="str">
        <f>TEXT(MONTH(Tabela1[[#This Row],[Último pagto ano]])*29,"mmmm")</f>
        <v>fevereiro</v>
      </c>
    </row>
    <row r="8407" spans="1:9" x14ac:dyDescent="0.25">
      <c r="A8407">
        <v>2025</v>
      </c>
      <c r="B8407" t="s">
        <v>16737</v>
      </c>
      <c r="C8407" s="1">
        <v>45989</v>
      </c>
      <c r="D8407" t="s">
        <v>16738</v>
      </c>
      <c r="E8407" s="2">
        <v>11481.7</v>
      </c>
      <c r="G8407" s="3">
        <f>MONTH(Tabela1[[#This Row],[Último pagto ano]])</f>
        <v>11</v>
      </c>
      <c r="H8407" t="str">
        <f>TEXT(Tabela1[[#This Row],[Coluna2]]*29,"mmmm")</f>
        <v>novembro</v>
      </c>
      <c r="I8407" t="str">
        <f>TEXT(MONTH(Tabela1[[#This Row],[Último pagto ano]])*29,"mmmm")</f>
        <v>novembro</v>
      </c>
    </row>
    <row r="8408" spans="1:9" x14ac:dyDescent="0.25">
      <c r="A8408">
        <v>2025</v>
      </c>
      <c r="B8408" t="s">
        <v>16739</v>
      </c>
      <c r="C8408" s="1">
        <v>45876</v>
      </c>
      <c r="D8408" t="s">
        <v>16740</v>
      </c>
      <c r="E8408" s="2">
        <v>4000</v>
      </c>
      <c r="G8408" s="3">
        <f>MONTH(Tabela1[[#This Row],[Último pagto ano]])</f>
        <v>8</v>
      </c>
      <c r="H8408" t="str">
        <f>TEXT(Tabela1[[#This Row],[Coluna2]]*29,"mmmm")</f>
        <v>agosto</v>
      </c>
      <c r="I8408" t="str">
        <f>TEXT(MONTH(Tabela1[[#This Row],[Último pagto ano]])*29,"mmmm")</f>
        <v>agosto</v>
      </c>
    </row>
    <row r="8409" spans="1:9" x14ac:dyDescent="0.25">
      <c r="A8409">
        <v>2025</v>
      </c>
      <c r="B8409" t="s">
        <v>16741</v>
      </c>
      <c r="C8409" s="1">
        <v>46014</v>
      </c>
      <c r="D8409" t="s">
        <v>16742</v>
      </c>
      <c r="E8409">
        <v>176</v>
      </c>
      <c r="G8409" s="3">
        <f>MONTH(Tabela1[[#This Row],[Último pagto ano]])</f>
        <v>12</v>
      </c>
      <c r="H8409" t="str">
        <f>TEXT(Tabela1[[#This Row],[Coluna2]]*29,"mmmm")</f>
        <v>dezembro</v>
      </c>
      <c r="I8409" t="str">
        <f>TEXT(MONTH(Tabela1[[#This Row],[Último pagto ano]])*29,"mmmm")</f>
        <v>dezembro</v>
      </c>
    </row>
    <row r="8410" spans="1:9" x14ac:dyDescent="0.25">
      <c r="A8410">
        <v>2025</v>
      </c>
      <c r="B8410" t="s">
        <v>16743</v>
      </c>
      <c r="C8410" s="1">
        <v>45747</v>
      </c>
      <c r="D8410" t="s">
        <v>16744</v>
      </c>
      <c r="E8410">
        <v>11</v>
      </c>
      <c r="G8410" s="3">
        <f>MONTH(Tabela1[[#This Row],[Último pagto ano]])</f>
        <v>3</v>
      </c>
      <c r="H8410" t="str">
        <f>TEXT(Tabela1[[#This Row],[Coluna2]]*29,"mmmm")</f>
        <v>março</v>
      </c>
      <c r="I8410" t="str">
        <f>TEXT(MONTH(Tabela1[[#This Row],[Último pagto ano]])*29,"mmmm")</f>
        <v>março</v>
      </c>
    </row>
    <row r="8411" spans="1:9" x14ac:dyDescent="0.25">
      <c r="A8411">
        <v>2025</v>
      </c>
      <c r="B8411" t="s">
        <v>16745</v>
      </c>
      <c r="C8411" s="1">
        <v>45715</v>
      </c>
      <c r="D8411" t="s">
        <v>16746</v>
      </c>
      <c r="E8411">
        <v>22</v>
      </c>
      <c r="G8411" s="3">
        <f>MONTH(Tabela1[[#This Row],[Último pagto ano]])</f>
        <v>2</v>
      </c>
      <c r="H8411" t="str">
        <f>TEXT(Tabela1[[#This Row],[Coluna2]]*29,"mmmm")</f>
        <v>fevereiro</v>
      </c>
      <c r="I8411" t="str">
        <f>TEXT(MONTH(Tabela1[[#This Row],[Último pagto ano]])*29,"mmmm")</f>
        <v>fevereiro</v>
      </c>
    </row>
    <row r="8412" spans="1:9" x14ac:dyDescent="0.25">
      <c r="A8412">
        <v>2025</v>
      </c>
      <c r="B8412" t="s">
        <v>16747</v>
      </c>
      <c r="C8412" s="1">
        <v>46014</v>
      </c>
      <c r="D8412" t="s">
        <v>16748</v>
      </c>
      <c r="E8412">
        <v>638</v>
      </c>
      <c r="G8412" s="3">
        <f>MONTH(Tabela1[[#This Row],[Último pagto ano]])</f>
        <v>12</v>
      </c>
      <c r="H8412" t="str">
        <f>TEXT(Tabela1[[#This Row],[Coluna2]]*29,"mmmm")</f>
        <v>dezembro</v>
      </c>
      <c r="I8412" t="str">
        <f>TEXT(MONTH(Tabela1[[#This Row],[Último pagto ano]])*29,"mmmm")</f>
        <v>dezembro</v>
      </c>
    </row>
    <row r="8413" spans="1:9" x14ac:dyDescent="0.25">
      <c r="A8413">
        <v>2025</v>
      </c>
      <c r="B8413" t="s">
        <v>16749</v>
      </c>
      <c r="C8413" s="1">
        <v>45978</v>
      </c>
      <c r="D8413" t="s">
        <v>16750</v>
      </c>
      <c r="E8413">
        <v>55</v>
      </c>
      <c r="G8413" s="3">
        <f>MONTH(Tabela1[[#This Row],[Último pagto ano]])</f>
        <v>11</v>
      </c>
      <c r="H8413" t="str">
        <f>TEXT(Tabela1[[#This Row],[Coluna2]]*29,"mmmm")</f>
        <v>novembro</v>
      </c>
      <c r="I8413" t="str">
        <f>TEXT(MONTH(Tabela1[[#This Row],[Último pagto ano]])*29,"mmmm")</f>
        <v>novembro</v>
      </c>
    </row>
    <row r="8414" spans="1:9" x14ac:dyDescent="0.25">
      <c r="A8414">
        <v>2025</v>
      </c>
      <c r="B8414" t="s">
        <v>16751</v>
      </c>
      <c r="C8414" s="1">
        <v>45960</v>
      </c>
      <c r="D8414" t="s">
        <v>16752</v>
      </c>
      <c r="E8414" s="2">
        <v>105181.44</v>
      </c>
      <c r="G8414" s="3">
        <f>MONTH(Tabela1[[#This Row],[Último pagto ano]])</f>
        <v>10</v>
      </c>
      <c r="H8414" t="str">
        <f>TEXT(Tabela1[[#This Row],[Coluna2]]*29,"mmmm")</f>
        <v>outubro</v>
      </c>
      <c r="I8414" t="str">
        <f>TEXT(MONTH(Tabela1[[#This Row],[Último pagto ano]])*29,"mmmm")</f>
        <v>outubro</v>
      </c>
    </row>
    <row r="8415" spans="1:9" x14ac:dyDescent="0.25">
      <c r="A8415">
        <v>2025</v>
      </c>
      <c r="B8415" t="s">
        <v>16753</v>
      </c>
      <c r="C8415" s="1">
        <v>45992</v>
      </c>
      <c r="D8415" t="s">
        <v>16754</v>
      </c>
      <c r="E8415">
        <v>1.28</v>
      </c>
      <c r="G8415" s="3">
        <f>MONTH(Tabela1[[#This Row],[Último pagto ano]])</f>
        <v>12</v>
      </c>
      <c r="H8415" t="str">
        <f>TEXT(Tabela1[[#This Row],[Coluna2]]*29,"mmmm")</f>
        <v>dezembro</v>
      </c>
      <c r="I8415" t="str">
        <f>TEXT(MONTH(Tabela1[[#This Row],[Último pagto ano]])*29,"mmmm")</f>
        <v>dezembro</v>
      </c>
    </row>
    <row r="8416" spans="1:9" x14ac:dyDescent="0.25">
      <c r="A8416">
        <v>2025</v>
      </c>
      <c r="B8416" t="s">
        <v>16755</v>
      </c>
      <c r="C8416" s="1">
        <v>45989</v>
      </c>
      <c r="D8416" t="s">
        <v>16756</v>
      </c>
      <c r="E8416" s="2">
        <v>7838.01</v>
      </c>
      <c r="G8416" s="3">
        <f>MONTH(Tabela1[[#This Row],[Último pagto ano]])</f>
        <v>11</v>
      </c>
      <c r="H8416" t="str">
        <f>TEXT(Tabela1[[#This Row],[Coluna2]]*29,"mmmm")</f>
        <v>novembro</v>
      </c>
      <c r="I8416" t="str">
        <f>TEXT(MONTH(Tabela1[[#This Row],[Último pagto ano]])*29,"mmmm")</f>
        <v>novembro</v>
      </c>
    </row>
    <row r="8417" spans="1:9" x14ac:dyDescent="0.25">
      <c r="A8417">
        <v>2025</v>
      </c>
      <c r="B8417" t="s">
        <v>16757</v>
      </c>
      <c r="C8417" s="1">
        <v>45880</v>
      </c>
      <c r="D8417" t="s">
        <v>16758</v>
      </c>
      <c r="E8417" s="2">
        <v>74800</v>
      </c>
      <c r="G8417" s="3">
        <f>MONTH(Tabela1[[#This Row],[Último pagto ano]])</f>
        <v>8</v>
      </c>
      <c r="H8417" t="str">
        <f>TEXT(Tabela1[[#This Row],[Coluna2]]*29,"mmmm")</f>
        <v>agosto</v>
      </c>
      <c r="I8417" t="str">
        <f>TEXT(MONTH(Tabela1[[#This Row],[Último pagto ano]])*29,"mmmm")</f>
        <v>agosto</v>
      </c>
    </row>
    <row r="8418" spans="1:9" x14ac:dyDescent="0.25">
      <c r="A8418">
        <v>2025</v>
      </c>
      <c r="B8418" t="s">
        <v>16759</v>
      </c>
      <c r="C8418" s="1">
        <v>45964</v>
      </c>
      <c r="D8418" t="s">
        <v>16760</v>
      </c>
      <c r="E8418">
        <v>44</v>
      </c>
      <c r="G8418" s="3">
        <f>MONTH(Tabela1[[#This Row],[Último pagto ano]])</f>
        <v>11</v>
      </c>
      <c r="H8418" t="str">
        <f>TEXT(Tabela1[[#This Row],[Coluna2]]*29,"mmmm")</f>
        <v>novembro</v>
      </c>
      <c r="I8418" t="str">
        <f>TEXT(MONTH(Tabela1[[#This Row],[Último pagto ano]])*29,"mmmm")</f>
        <v>novembro</v>
      </c>
    </row>
    <row r="8419" spans="1:9" x14ac:dyDescent="0.25">
      <c r="A8419">
        <v>2025</v>
      </c>
      <c r="B8419" t="s">
        <v>16761</v>
      </c>
      <c r="C8419" s="1">
        <v>45681</v>
      </c>
      <c r="D8419" t="s">
        <v>16762</v>
      </c>
      <c r="E8419">
        <v>700</v>
      </c>
      <c r="G8419" s="3">
        <f>MONTH(Tabela1[[#This Row],[Último pagto ano]])</f>
        <v>1</v>
      </c>
      <c r="H8419" t="str">
        <f>TEXT(Tabela1[[#This Row],[Coluna2]]*29,"mmmm")</f>
        <v>janeiro</v>
      </c>
      <c r="I8419" t="str">
        <f>TEXT(MONTH(Tabela1[[#This Row],[Último pagto ano]])*29,"mmmm")</f>
        <v>janeiro</v>
      </c>
    </row>
    <row r="8420" spans="1:9" x14ac:dyDescent="0.25">
      <c r="A8420">
        <v>2025</v>
      </c>
      <c r="B8420" t="s">
        <v>16763</v>
      </c>
      <c r="C8420" s="1">
        <v>45924</v>
      </c>
      <c r="D8420" t="s">
        <v>16764</v>
      </c>
      <c r="E8420" s="2">
        <v>6300</v>
      </c>
      <c r="G8420" s="3">
        <f>MONTH(Tabela1[[#This Row],[Último pagto ano]])</f>
        <v>9</v>
      </c>
      <c r="H8420" t="str">
        <f>TEXT(Tabela1[[#This Row],[Coluna2]]*29,"mmmm")</f>
        <v>setembro</v>
      </c>
      <c r="I8420" t="str">
        <f>TEXT(MONTH(Tabela1[[#This Row],[Último pagto ano]])*29,"mmmm")</f>
        <v>setembro</v>
      </c>
    </row>
    <row r="8421" spans="1:9" x14ac:dyDescent="0.25">
      <c r="A8421">
        <v>2025</v>
      </c>
      <c r="B8421" t="s">
        <v>16765</v>
      </c>
      <c r="C8421" s="1">
        <v>45867</v>
      </c>
      <c r="D8421" t="s">
        <v>16766</v>
      </c>
      <c r="E8421">
        <v>236</v>
      </c>
      <c r="G8421" s="3">
        <f>MONTH(Tabela1[[#This Row],[Último pagto ano]])</f>
        <v>7</v>
      </c>
      <c r="H8421" t="str">
        <f>TEXT(Tabela1[[#This Row],[Coluna2]]*29,"mmmm")</f>
        <v>julho</v>
      </c>
      <c r="I8421" t="str">
        <f>TEXT(MONTH(Tabela1[[#This Row],[Último pagto ano]])*29,"mmmm")</f>
        <v>julho</v>
      </c>
    </row>
    <row r="8422" spans="1:9" x14ac:dyDescent="0.25">
      <c r="A8422">
        <v>2025</v>
      </c>
      <c r="B8422" t="s">
        <v>16767</v>
      </c>
      <c r="C8422" s="1">
        <v>45964</v>
      </c>
      <c r="D8422" t="s">
        <v>16768</v>
      </c>
      <c r="E8422">
        <v>34.69</v>
      </c>
      <c r="G8422" s="3">
        <f>MONTH(Tabela1[[#This Row],[Último pagto ano]])</f>
        <v>11</v>
      </c>
      <c r="H8422" t="str">
        <f>TEXT(Tabela1[[#This Row],[Coluna2]]*29,"mmmm")</f>
        <v>novembro</v>
      </c>
      <c r="I8422" t="str">
        <f>TEXT(MONTH(Tabela1[[#This Row],[Último pagto ano]])*29,"mmmm")</f>
        <v>novembro</v>
      </c>
    </row>
    <row r="8423" spans="1:9" x14ac:dyDescent="0.25">
      <c r="A8423">
        <v>2025</v>
      </c>
      <c r="B8423" t="s">
        <v>16769</v>
      </c>
      <c r="C8423" s="1">
        <v>45673</v>
      </c>
      <c r="D8423" t="s">
        <v>16770</v>
      </c>
      <c r="E8423" s="2">
        <v>1100</v>
      </c>
      <c r="G8423" s="3">
        <f>MONTH(Tabela1[[#This Row],[Último pagto ano]])</f>
        <v>1</v>
      </c>
      <c r="H8423" t="str">
        <f>TEXT(Tabela1[[#This Row],[Coluna2]]*29,"mmmm")</f>
        <v>janeiro</v>
      </c>
      <c r="I8423" t="str">
        <f>TEXT(MONTH(Tabela1[[#This Row],[Último pagto ano]])*29,"mmmm")</f>
        <v>janeiro</v>
      </c>
    </row>
    <row r="8424" spans="1:9" x14ac:dyDescent="0.25">
      <c r="A8424">
        <v>2025</v>
      </c>
      <c r="B8424" t="s">
        <v>16771</v>
      </c>
      <c r="C8424" s="1">
        <v>45908</v>
      </c>
      <c r="D8424" t="s">
        <v>16772</v>
      </c>
      <c r="E8424">
        <v>42.02</v>
      </c>
      <c r="G8424" s="3">
        <f>MONTH(Tabela1[[#This Row],[Último pagto ano]])</f>
        <v>9</v>
      </c>
      <c r="H8424" t="str">
        <f>TEXT(Tabela1[[#This Row],[Coluna2]]*29,"mmmm")</f>
        <v>setembro</v>
      </c>
      <c r="I8424" t="str">
        <f>TEXT(MONTH(Tabela1[[#This Row],[Último pagto ano]])*29,"mmmm")</f>
        <v>setembro</v>
      </c>
    </row>
    <row r="8425" spans="1:9" x14ac:dyDescent="0.25">
      <c r="A8425">
        <v>2025</v>
      </c>
      <c r="B8425" t="s">
        <v>16773</v>
      </c>
      <c r="C8425" s="1">
        <v>45702</v>
      </c>
      <c r="D8425" t="s">
        <v>16774</v>
      </c>
      <c r="E8425">
        <v>38.39</v>
      </c>
      <c r="G8425" s="3">
        <f>MONTH(Tabela1[[#This Row],[Último pagto ano]])</f>
        <v>2</v>
      </c>
      <c r="H8425" t="str">
        <f>TEXT(Tabela1[[#This Row],[Coluna2]]*29,"mmmm")</f>
        <v>fevereiro</v>
      </c>
      <c r="I8425" t="str">
        <f>TEXT(MONTH(Tabela1[[#This Row],[Último pagto ano]])*29,"mmmm")</f>
        <v>fevereiro</v>
      </c>
    </row>
    <row r="8426" spans="1:9" x14ac:dyDescent="0.25">
      <c r="A8426">
        <v>2025</v>
      </c>
      <c r="B8426" t="s">
        <v>16775</v>
      </c>
      <c r="C8426" s="1">
        <v>45985</v>
      </c>
      <c r="D8426" t="s">
        <v>16776</v>
      </c>
      <c r="E8426" s="2">
        <v>4300</v>
      </c>
      <c r="G8426" s="3">
        <f>MONTH(Tabela1[[#This Row],[Último pagto ano]])</f>
        <v>11</v>
      </c>
      <c r="H8426" t="str">
        <f>TEXT(Tabela1[[#This Row],[Coluna2]]*29,"mmmm")</f>
        <v>novembro</v>
      </c>
      <c r="I8426" t="str">
        <f>TEXT(MONTH(Tabela1[[#This Row],[Último pagto ano]])*29,"mmmm")</f>
        <v>novembro</v>
      </c>
    </row>
    <row r="8427" spans="1:9" x14ac:dyDescent="0.25">
      <c r="A8427">
        <v>2025</v>
      </c>
      <c r="B8427" t="s">
        <v>16777</v>
      </c>
      <c r="C8427" s="1">
        <v>45807</v>
      </c>
      <c r="D8427" t="s">
        <v>16778</v>
      </c>
      <c r="E8427" s="2">
        <v>5288.14</v>
      </c>
      <c r="G8427" s="3">
        <f>MONTH(Tabela1[[#This Row],[Último pagto ano]])</f>
        <v>5</v>
      </c>
      <c r="H8427" t="str">
        <f>TEXT(Tabela1[[#This Row],[Coluna2]]*29,"mmmm")</f>
        <v>maio</v>
      </c>
      <c r="I8427" t="str">
        <f>TEXT(MONTH(Tabela1[[#This Row],[Último pagto ano]])*29,"mmmm")</f>
        <v>maio</v>
      </c>
    </row>
    <row r="8428" spans="1:9" x14ac:dyDescent="0.25">
      <c r="A8428">
        <v>2025</v>
      </c>
      <c r="B8428" t="s">
        <v>16779</v>
      </c>
      <c r="C8428" s="1">
        <v>46013</v>
      </c>
      <c r="D8428" t="s">
        <v>16780</v>
      </c>
      <c r="E8428" s="2">
        <v>38506.26</v>
      </c>
      <c r="G8428" s="3">
        <f>MONTH(Tabela1[[#This Row],[Último pagto ano]])</f>
        <v>12</v>
      </c>
      <c r="H8428" t="str">
        <f>TEXT(Tabela1[[#This Row],[Coluna2]]*29,"mmmm")</f>
        <v>dezembro</v>
      </c>
      <c r="I8428" t="str">
        <f>TEXT(MONTH(Tabela1[[#This Row],[Último pagto ano]])*29,"mmmm")</f>
        <v>dezembro</v>
      </c>
    </row>
    <row r="8429" spans="1:9" x14ac:dyDescent="0.25">
      <c r="A8429">
        <v>2025</v>
      </c>
      <c r="B8429" t="s">
        <v>16781</v>
      </c>
      <c r="C8429" s="1">
        <v>45740</v>
      </c>
      <c r="D8429" t="s">
        <v>16782</v>
      </c>
      <c r="E8429">
        <v>14.25</v>
      </c>
      <c r="G8429" s="3">
        <f>MONTH(Tabela1[[#This Row],[Último pagto ano]])</f>
        <v>3</v>
      </c>
      <c r="H8429" t="str">
        <f>TEXT(Tabela1[[#This Row],[Coluna2]]*29,"mmmm")</f>
        <v>março</v>
      </c>
      <c r="I8429" t="str">
        <f>TEXT(MONTH(Tabela1[[#This Row],[Último pagto ano]])*29,"mmmm")</f>
        <v>março</v>
      </c>
    </row>
    <row r="8430" spans="1:9" x14ac:dyDescent="0.25">
      <c r="A8430">
        <v>2025</v>
      </c>
      <c r="B8430" t="s">
        <v>16783</v>
      </c>
      <c r="C8430" s="1">
        <v>45894</v>
      </c>
      <c r="D8430" t="s">
        <v>16784</v>
      </c>
      <c r="E8430">
        <v>66</v>
      </c>
      <c r="G8430" s="3">
        <f>MONTH(Tabela1[[#This Row],[Último pagto ano]])</f>
        <v>8</v>
      </c>
      <c r="H8430" t="str">
        <f>TEXT(Tabela1[[#This Row],[Coluna2]]*29,"mmmm")</f>
        <v>agosto</v>
      </c>
      <c r="I8430" t="str">
        <f>TEXT(MONTH(Tabela1[[#This Row],[Último pagto ano]])*29,"mmmm")</f>
        <v>agosto</v>
      </c>
    </row>
    <row r="8431" spans="1:9" x14ac:dyDescent="0.25">
      <c r="A8431">
        <v>2025</v>
      </c>
      <c r="B8431" t="s">
        <v>16785</v>
      </c>
      <c r="C8431" s="1">
        <v>45936</v>
      </c>
      <c r="D8431" t="s">
        <v>16786</v>
      </c>
      <c r="E8431">
        <v>53.2</v>
      </c>
      <c r="G8431" s="3">
        <f>MONTH(Tabela1[[#This Row],[Último pagto ano]])</f>
        <v>10</v>
      </c>
      <c r="H8431" t="str">
        <f>TEXT(Tabela1[[#This Row],[Coluna2]]*29,"mmmm")</f>
        <v>outubro</v>
      </c>
      <c r="I8431" t="str">
        <f>TEXT(MONTH(Tabela1[[#This Row],[Último pagto ano]])*29,"mmmm")</f>
        <v>outubro</v>
      </c>
    </row>
    <row r="8432" spans="1:9" x14ac:dyDescent="0.25">
      <c r="A8432">
        <v>2025</v>
      </c>
      <c r="B8432" t="s">
        <v>16787</v>
      </c>
      <c r="C8432" s="1">
        <v>46010</v>
      </c>
      <c r="D8432" t="s">
        <v>16788</v>
      </c>
      <c r="E8432" s="2">
        <v>8300</v>
      </c>
      <c r="G8432" s="3">
        <f>MONTH(Tabela1[[#This Row],[Último pagto ano]])</f>
        <v>12</v>
      </c>
      <c r="H8432" t="str">
        <f>TEXT(Tabela1[[#This Row],[Coluna2]]*29,"mmmm")</f>
        <v>dezembro</v>
      </c>
      <c r="I8432" t="str">
        <f>TEXT(MONTH(Tabela1[[#This Row],[Último pagto ano]])*29,"mmmm")</f>
        <v>dezembro</v>
      </c>
    </row>
    <row r="8433" spans="1:9" x14ac:dyDescent="0.25">
      <c r="A8433">
        <v>2025</v>
      </c>
      <c r="B8433" t="s">
        <v>16789</v>
      </c>
      <c r="C8433" s="1">
        <v>46010</v>
      </c>
      <c r="D8433" t="s">
        <v>16790</v>
      </c>
      <c r="E8433" s="2">
        <v>18216</v>
      </c>
      <c r="G8433" s="3">
        <f>MONTH(Tabela1[[#This Row],[Último pagto ano]])</f>
        <v>12</v>
      </c>
      <c r="H8433" t="str">
        <f>TEXT(Tabela1[[#This Row],[Coluna2]]*29,"mmmm")</f>
        <v>dezembro</v>
      </c>
      <c r="I8433" t="str">
        <f>TEXT(MONTH(Tabela1[[#This Row],[Último pagto ano]])*29,"mmmm")</f>
        <v>dezembro</v>
      </c>
    </row>
    <row r="8434" spans="1:9" x14ac:dyDescent="0.25">
      <c r="A8434">
        <v>2025</v>
      </c>
      <c r="B8434" t="s">
        <v>16791</v>
      </c>
      <c r="C8434" s="1">
        <v>45754</v>
      </c>
      <c r="D8434" t="s">
        <v>16792</v>
      </c>
      <c r="E8434">
        <v>22</v>
      </c>
      <c r="G8434" s="3">
        <f>MONTH(Tabela1[[#This Row],[Último pagto ano]])</f>
        <v>4</v>
      </c>
      <c r="H8434" t="str">
        <f>TEXT(Tabela1[[#This Row],[Coluna2]]*29,"mmmm")</f>
        <v>abril</v>
      </c>
      <c r="I8434" t="str">
        <f>TEXT(MONTH(Tabela1[[#This Row],[Último pagto ano]])*29,"mmmm")</f>
        <v>abril</v>
      </c>
    </row>
    <row r="8435" spans="1:9" x14ac:dyDescent="0.25">
      <c r="A8435">
        <v>2025</v>
      </c>
      <c r="B8435" t="s">
        <v>16793</v>
      </c>
      <c r="C8435" s="1">
        <v>45769</v>
      </c>
      <c r="D8435" t="s">
        <v>16794</v>
      </c>
      <c r="E8435">
        <v>22</v>
      </c>
      <c r="G8435" s="3">
        <f>MONTH(Tabela1[[#This Row],[Último pagto ano]])</f>
        <v>4</v>
      </c>
      <c r="H8435" t="str">
        <f>TEXT(Tabela1[[#This Row],[Coluna2]]*29,"mmmm")</f>
        <v>abril</v>
      </c>
      <c r="I8435" t="str">
        <f>TEXT(MONTH(Tabela1[[#This Row],[Último pagto ano]])*29,"mmmm")</f>
        <v>abril</v>
      </c>
    </row>
    <row r="8436" spans="1:9" x14ac:dyDescent="0.25">
      <c r="A8436">
        <v>2025</v>
      </c>
      <c r="B8436" t="s">
        <v>16795</v>
      </c>
      <c r="C8436" s="1">
        <v>45831</v>
      </c>
      <c r="D8436" t="s">
        <v>16796</v>
      </c>
      <c r="E8436">
        <v>129.6</v>
      </c>
      <c r="G8436" s="3">
        <f>MONTH(Tabela1[[#This Row],[Último pagto ano]])</f>
        <v>6</v>
      </c>
      <c r="H8436" t="str">
        <f>TEXT(Tabela1[[#This Row],[Coluna2]]*29,"mmmm")</f>
        <v>junho</v>
      </c>
      <c r="I8436" t="str">
        <f>TEXT(MONTH(Tabela1[[#This Row],[Último pagto ano]])*29,"mmmm")</f>
        <v>junho</v>
      </c>
    </row>
    <row r="8437" spans="1:9" x14ac:dyDescent="0.25">
      <c r="A8437">
        <v>2025</v>
      </c>
      <c r="B8437" t="s">
        <v>16797</v>
      </c>
      <c r="C8437" s="1">
        <v>46021</v>
      </c>
      <c r="D8437" t="s">
        <v>16798</v>
      </c>
      <c r="E8437" s="2">
        <v>15923.86</v>
      </c>
      <c r="G8437" s="3">
        <f>MONTH(Tabela1[[#This Row],[Último pagto ano]])</f>
        <v>12</v>
      </c>
      <c r="H8437" t="str">
        <f>TEXT(Tabela1[[#This Row],[Coluna2]]*29,"mmmm")</f>
        <v>dezembro</v>
      </c>
      <c r="I8437" t="str">
        <f>TEXT(MONTH(Tabela1[[#This Row],[Último pagto ano]])*29,"mmmm")</f>
        <v>dezembro</v>
      </c>
    </row>
    <row r="8438" spans="1:9" x14ac:dyDescent="0.25">
      <c r="A8438">
        <v>2025</v>
      </c>
      <c r="B8438" t="s">
        <v>16799</v>
      </c>
      <c r="C8438" s="1">
        <v>45702</v>
      </c>
      <c r="D8438" t="s">
        <v>16800</v>
      </c>
      <c r="E8438" s="2">
        <v>1211.1600000000001</v>
      </c>
      <c r="G8438" s="3">
        <f>MONTH(Tabela1[[#This Row],[Último pagto ano]])</f>
        <v>2</v>
      </c>
      <c r="H8438" t="str">
        <f>TEXT(Tabela1[[#This Row],[Coluna2]]*29,"mmmm")</f>
        <v>fevereiro</v>
      </c>
      <c r="I8438" t="str">
        <f>TEXT(MONTH(Tabela1[[#This Row],[Último pagto ano]])*29,"mmmm")</f>
        <v>fevereiro</v>
      </c>
    </row>
    <row r="8439" spans="1:9" x14ac:dyDescent="0.25">
      <c r="A8439">
        <v>2025</v>
      </c>
      <c r="B8439" t="s">
        <v>16801</v>
      </c>
      <c r="C8439" s="1">
        <v>45954</v>
      </c>
      <c r="D8439" t="s">
        <v>16802</v>
      </c>
      <c r="E8439" s="2">
        <v>4950</v>
      </c>
      <c r="G8439" s="3">
        <f>MONTH(Tabela1[[#This Row],[Último pagto ano]])</f>
        <v>10</v>
      </c>
      <c r="H8439" t="str">
        <f>TEXT(Tabela1[[#This Row],[Coluna2]]*29,"mmmm")</f>
        <v>outubro</v>
      </c>
      <c r="I8439" t="str">
        <f>TEXT(MONTH(Tabela1[[#This Row],[Último pagto ano]])*29,"mmmm")</f>
        <v>outubro</v>
      </c>
    </row>
    <row r="8440" spans="1:9" x14ac:dyDescent="0.25">
      <c r="A8440">
        <v>2025</v>
      </c>
      <c r="B8440" t="s">
        <v>16803</v>
      </c>
      <c r="C8440" s="1">
        <v>46014</v>
      </c>
      <c r="D8440" t="s">
        <v>16804</v>
      </c>
      <c r="E8440" s="2">
        <v>117501.72</v>
      </c>
      <c r="G8440" s="3">
        <f>MONTH(Tabela1[[#This Row],[Último pagto ano]])</f>
        <v>12</v>
      </c>
      <c r="H8440" t="str">
        <f>TEXT(Tabela1[[#This Row],[Coluna2]]*29,"mmmm")</f>
        <v>dezembro</v>
      </c>
      <c r="I8440" t="str">
        <f>TEXT(MONTH(Tabela1[[#This Row],[Último pagto ano]])*29,"mmmm")</f>
        <v>dezembro</v>
      </c>
    </row>
    <row r="8441" spans="1:9" x14ac:dyDescent="0.25">
      <c r="A8441">
        <v>2025</v>
      </c>
      <c r="B8441" t="s">
        <v>16805</v>
      </c>
      <c r="C8441" s="1">
        <v>46021</v>
      </c>
      <c r="D8441" t="s">
        <v>16806</v>
      </c>
      <c r="E8441" s="2">
        <v>1032905.42</v>
      </c>
      <c r="G8441" s="3">
        <f>MONTH(Tabela1[[#This Row],[Último pagto ano]])</f>
        <v>12</v>
      </c>
      <c r="H8441" t="str">
        <f>TEXT(Tabela1[[#This Row],[Coluna2]]*29,"mmmm")</f>
        <v>dezembro</v>
      </c>
      <c r="I8441" t="str">
        <f>TEXT(MONTH(Tabela1[[#This Row],[Último pagto ano]])*29,"mmmm")</f>
        <v>dezembro</v>
      </c>
    </row>
    <row r="8442" spans="1:9" x14ac:dyDescent="0.25">
      <c r="A8442">
        <v>2025</v>
      </c>
      <c r="B8442" t="s">
        <v>16807</v>
      </c>
      <c r="C8442" s="1">
        <v>46021</v>
      </c>
      <c r="D8442" t="s">
        <v>16808</v>
      </c>
      <c r="E8442" s="2">
        <v>12744952.76</v>
      </c>
      <c r="G8442" s="3">
        <f>MONTH(Tabela1[[#This Row],[Último pagto ano]])</f>
        <v>12</v>
      </c>
      <c r="H8442" t="str">
        <f>TEXT(Tabela1[[#This Row],[Coluna2]]*29,"mmmm")</f>
        <v>dezembro</v>
      </c>
      <c r="I8442" t="str">
        <f>TEXT(MONTH(Tabela1[[#This Row],[Último pagto ano]])*29,"mmmm")</f>
        <v>dezembro</v>
      </c>
    </row>
    <row r="8443" spans="1:9" x14ac:dyDescent="0.25">
      <c r="A8443">
        <v>2025</v>
      </c>
      <c r="B8443" t="s">
        <v>16809</v>
      </c>
      <c r="C8443" s="1">
        <v>45705</v>
      </c>
      <c r="D8443" t="s">
        <v>16810</v>
      </c>
      <c r="E8443">
        <v>55</v>
      </c>
      <c r="G8443" s="3">
        <f>MONTH(Tabela1[[#This Row],[Último pagto ano]])</f>
        <v>2</v>
      </c>
      <c r="H8443" t="str">
        <f>TEXT(Tabela1[[#This Row],[Coluna2]]*29,"mmmm")</f>
        <v>fevereiro</v>
      </c>
      <c r="I8443" t="str">
        <f>TEXT(MONTH(Tabela1[[#This Row],[Último pagto ano]])*29,"mmmm")</f>
        <v>fevereiro</v>
      </c>
    </row>
    <row r="8444" spans="1:9" x14ac:dyDescent="0.25">
      <c r="A8444">
        <v>2025</v>
      </c>
      <c r="B8444" t="s">
        <v>16811</v>
      </c>
      <c r="C8444" s="1">
        <v>46013</v>
      </c>
      <c r="D8444" t="s">
        <v>16812</v>
      </c>
      <c r="E8444" s="2">
        <v>2854.8</v>
      </c>
      <c r="G8444" s="3">
        <f>MONTH(Tabela1[[#This Row],[Último pagto ano]])</f>
        <v>12</v>
      </c>
      <c r="H8444" t="str">
        <f>TEXT(Tabela1[[#This Row],[Coluna2]]*29,"mmmm")</f>
        <v>dezembro</v>
      </c>
      <c r="I8444" t="str">
        <f>TEXT(MONTH(Tabela1[[#This Row],[Último pagto ano]])*29,"mmmm")</f>
        <v>dezembro</v>
      </c>
    </row>
    <row r="8445" spans="1:9" x14ac:dyDescent="0.25">
      <c r="A8445">
        <v>2025</v>
      </c>
      <c r="B8445" t="s">
        <v>16813</v>
      </c>
      <c r="C8445" s="1">
        <v>46013</v>
      </c>
      <c r="D8445" t="s">
        <v>16814</v>
      </c>
      <c r="E8445">
        <v>820.8</v>
      </c>
      <c r="G8445" s="3">
        <f>MONTH(Tabela1[[#This Row],[Último pagto ano]])</f>
        <v>12</v>
      </c>
      <c r="H8445" t="str">
        <f>TEXT(Tabela1[[#This Row],[Coluna2]]*29,"mmmm")</f>
        <v>dezembro</v>
      </c>
      <c r="I8445" t="str">
        <f>TEXT(MONTH(Tabela1[[#This Row],[Último pagto ano]])*29,"mmmm")</f>
        <v>dezembro</v>
      </c>
    </row>
    <row r="8446" spans="1:9" x14ac:dyDescent="0.25">
      <c r="A8446">
        <v>2025</v>
      </c>
      <c r="B8446" t="s">
        <v>16815</v>
      </c>
      <c r="C8446" s="1">
        <v>45799</v>
      </c>
      <c r="D8446" t="s">
        <v>16816</v>
      </c>
      <c r="E8446" s="2">
        <v>2432.37</v>
      </c>
      <c r="G8446" s="3">
        <f>MONTH(Tabela1[[#This Row],[Último pagto ano]])</f>
        <v>5</v>
      </c>
      <c r="H8446" t="str">
        <f>TEXT(Tabela1[[#This Row],[Coluna2]]*29,"mmmm")</f>
        <v>maio</v>
      </c>
      <c r="I8446" t="str">
        <f>TEXT(MONTH(Tabela1[[#This Row],[Último pagto ano]])*29,"mmmm")</f>
        <v>maio</v>
      </c>
    </row>
    <row r="8447" spans="1:9" x14ac:dyDescent="0.25">
      <c r="A8447">
        <v>2025</v>
      </c>
      <c r="B8447" t="s">
        <v>16817</v>
      </c>
      <c r="C8447" s="1">
        <v>46013</v>
      </c>
      <c r="D8447" t="s">
        <v>16818</v>
      </c>
      <c r="E8447" s="2">
        <v>4360.2</v>
      </c>
      <c r="G8447" s="3">
        <f>MONTH(Tabela1[[#This Row],[Último pagto ano]])</f>
        <v>12</v>
      </c>
      <c r="H8447" t="str">
        <f>TEXT(Tabela1[[#This Row],[Coluna2]]*29,"mmmm")</f>
        <v>dezembro</v>
      </c>
      <c r="I8447" t="str">
        <f>TEXT(MONTH(Tabela1[[#This Row],[Último pagto ano]])*29,"mmmm")</f>
        <v>dezembro</v>
      </c>
    </row>
    <row r="8448" spans="1:9" x14ac:dyDescent="0.25">
      <c r="A8448">
        <v>2025</v>
      </c>
      <c r="B8448" t="s">
        <v>16819</v>
      </c>
      <c r="C8448" s="1">
        <v>46007</v>
      </c>
      <c r="D8448" t="s">
        <v>16820</v>
      </c>
      <c r="E8448" s="2">
        <v>315896.88</v>
      </c>
      <c r="G8448" s="3">
        <f>MONTH(Tabela1[[#This Row],[Último pagto ano]])</f>
        <v>12</v>
      </c>
      <c r="H8448" t="str">
        <f>TEXT(Tabela1[[#This Row],[Coluna2]]*29,"mmmm")</f>
        <v>dezembro</v>
      </c>
      <c r="I8448" t="str">
        <f>TEXT(MONTH(Tabela1[[#This Row],[Último pagto ano]])*29,"mmmm")</f>
        <v>dezembro</v>
      </c>
    </row>
    <row r="8449" spans="1:9" x14ac:dyDescent="0.25">
      <c r="A8449">
        <v>2025</v>
      </c>
      <c r="B8449" t="s">
        <v>16821</v>
      </c>
      <c r="C8449" s="1">
        <v>46013</v>
      </c>
      <c r="D8449" t="s">
        <v>16822</v>
      </c>
      <c r="E8449">
        <v>529.20000000000005</v>
      </c>
      <c r="G8449" s="3">
        <f>MONTH(Tabela1[[#This Row],[Último pagto ano]])</f>
        <v>12</v>
      </c>
      <c r="H8449" t="str">
        <f>TEXT(Tabela1[[#This Row],[Coluna2]]*29,"mmmm")</f>
        <v>dezembro</v>
      </c>
      <c r="I8449" t="str">
        <f>TEXT(MONTH(Tabela1[[#This Row],[Último pagto ano]])*29,"mmmm")</f>
        <v>dezembro</v>
      </c>
    </row>
    <row r="8450" spans="1:9" x14ac:dyDescent="0.25">
      <c r="A8450">
        <v>2025</v>
      </c>
      <c r="B8450" t="s">
        <v>16823</v>
      </c>
      <c r="C8450" s="1">
        <v>46013</v>
      </c>
      <c r="D8450" t="s">
        <v>16824</v>
      </c>
      <c r="E8450">
        <v>756</v>
      </c>
      <c r="G8450" s="3">
        <f>MONTH(Tabela1[[#This Row],[Último pagto ano]])</f>
        <v>12</v>
      </c>
      <c r="H8450" t="str">
        <f>TEXT(Tabela1[[#This Row],[Coluna2]]*29,"mmmm")</f>
        <v>dezembro</v>
      </c>
      <c r="I8450" t="str">
        <f>TEXT(MONTH(Tabela1[[#This Row],[Último pagto ano]])*29,"mmmm")</f>
        <v>dezembro</v>
      </c>
    </row>
    <row r="8451" spans="1:9" x14ac:dyDescent="0.25">
      <c r="A8451">
        <v>2025</v>
      </c>
      <c r="B8451" t="s">
        <v>16825</v>
      </c>
      <c r="C8451" s="1">
        <v>45903</v>
      </c>
      <c r="D8451" t="s">
        <v>16826</v>
      </c>
      <c r="E8451" s="2">
        <v>284159.78000000003</v>
      </c>
      <c r="G8451" s="3">
        <f>MONTH(Tabela1[[#This Row],[Último pagto ano]])</f>
        <v>9</v>
      </c>
      <c r="H8451" t="str">
        <f>TEXT(Tabela1[[#This Row],[Coluna2]]*29,"mmmm")</f>
        <v>setembro</v>
      </c>
      <c r="I8451" t="str">
        <f>TEXT(MONTH(Tabela1[[#This Row],[Último pagto ano]])*29,"mmmm")</f>
        <v>setembro</v>
      </c>
    </row>
    <row r="8452" spans="1:9" x14ac:dyDescent="0.25">
      <c r="A8452">
        <v>2025</v>
      </c>
      <c r="B8452" t="s">
        <v>16827</v>
      </c>
      <c r="C8452" s="1">
        <v>45995</v>
      </c>
      <c r="D8452" t="s">
        <v>16828</v>
      </c>
      <c r="E8452" s="2">
        <v>8633211.4900000002</v>
      </c>
      <c r="G8452" s="3">
        <f>MONTH(Tabela1[[#This Row],[Último pagto ano]])</f>
        <v>12</v>
      </c>
      <c r="H8452" t="str">
        <f>TEXT(Tabela1[[#This Row],[Coluna2]]*29,"mmmm")</f>
        <v>dezembro</v>
      </c>
      <c r="I8452" t="str">
        <f>TEXT(MONTH(Tabela1[[#This Row],[Último pagto ano]])*29,"mmmm")</f>
        <v>dezembro</v>
      </c>
    </row>
    <row r="8453" spans="1:9" x14ac:dyDescent="0.25">
      <c r="A8453">
        <v>2025</v>
      </c>
      <c r="B8453" t="s">
        <v>16829</v>
      </c>
      <c r="C8453" s="1">
        <v>45910</v>
      </c>
      <c r="D8453" t="s">
        <v>16830</v>
      </c>
      <c r="E8453">
        <v>727.2</v>
      </c>
      <c r="G8453" s="3">
        <f>MONTH(Tabela1[[#This Row],[Último pagto ano]])</f>
        <v>9</v>
      </c>
      <c r="H8453" t="str">
        <f>TEXT(Tabela1[[#This Row],[Coluna2]]*29,"mmmm")</f>
        <v>setembro</v>
      </c>
      <c r="I8453" t="str">
        <f>TEXT(MONTH(Tabela1[[#This Row],[Último pagto ano]])*29,"mmmm")</f>
        <v>setembro</v>
      </c>
    </row>
    <row r="8454" spans="1:9" x14ac:dyDescent="0.25">
      <c r="A8454">
        <v>2025</v>
      </c>
      <c r="B8454" t="s">
        <v>16831</v>
      </c>
      <c r="C8454" s="1">
        <v>45722</v>
      </c>
      <c r="D8454" t="s">
        <v>16832</v>
      </c>
      <c r="E8454" s="2">
        <v>74573.58</v>
      </c>
      <c r="G8454" s="3">
        <f>MONTH(Tabela1[[#This Row],[Último pagto ano]])</f>
        <v>3</v>
      </c>
      <c r="H8454" t="str">
        <f>TEXT(Tabela1[[#This Row],[Coluna2]]*29,"mmmm")</f>
        <v>março</v>
      </c>
      <c r="I8454" t="str">
        <f>TEXT(MONTH(Tabela1[[#This Row],[Último pagto ano]])*29,"mmmm")</f>
        <v>março</v>
      </c>
    </row>
    <row r="8455" spans="1:9" x14ac:dyDescent="0.25">
      <c r="A8455">
        <v>2025</v>
      </c>
      <c r="B8455" t="s">
        <v>16833</v>
      </c>
      <c r="C8455" s="1">
        <v>46021</v>
      </c>
      <c r="D8455" t="s">
        <v>16834</v>
      </c>
      <c r="E8455" s="2">
        <v>203792.2</v>
      </c>
      <c r="G8455" s="3">
        <f>MONTH(Tabela1[[#This Row],[Último pagto ano]])</f>
        <v>12</v>
      </c>
      <c r="H8455" t="str">
        <f>TEXT(Tabela1[[#This Row],[Coluna2]]*29,"mmmm")</f>
        <v>dezembro</v>
      </c>
      <c r="I8455" t="str">
        <f>TEXT(MONTH(Tabela1[[#This Row],[Último pagto ano]])*29,"mmmm")</f>
        <v>dezembro</v>
      </c>
    </row>
    <row r="8456" spans="1:9" x14ac:dyDescent="0.25">
      <c r="A8456">
        <v>2025</v>
      </c>
      <c r="B8456" t="s">
        <v>16835</v>
      </c>
      <c r="C8456" s="1">
        <v>45995</v>
      </c>
      <c r="D8456" t="s">
        <v>16836</v>
      </c>
      <c r="E8456" s="2">
        <v>143065</v>
      </c>
      <c r="G8456" s="3">
        <f>MONTH(Tabela1[[#This Row],[Último pagto ano]])</f>
        <v>12</v>
      </c>
      <c r="H8456" t="str">
        <f>TEXT(Tabela1[[#This Row],[Coluna2]]*29,"mmmm")</f>
        <v>dezembro</v>
      </c>
      <c r="I8456" t="str">
        <f>TEXT(MONTH(Tabela1[[#This Row],[Último pagto ano]])*29,"mmmm")</f>
        <v>dezembro</v>
      </c>
    </row>
    <row r="8457" spans="1:9" x14ac:dyDescent="0.25">
      <c r="A8457">
        <v>2025</v>
      </c>
      <c r="B8457" t="s">
        <v>16837</v>
      </c>
      <c r="C8457" s="1">
        <v>46014</v>
      </c>
      <c r="D8457" t="s">
        <v>16838</v>
      </c>
      <c r="E8457" s="2">
        <v>48285693.090000004</v>
      </c>
      <c r="G8457" s="3">
        <f>MONTH(Tabela1[[#This Row],[Último pagto ano]])</f>
        <v>12</v>
      </c>
      <c r="H8457" t="str">
        <f>TEXT(Tabela1[[#This Row],[Coluna2]]*29,"mmmm")</f>
        <v>dezembro</v>
      </c>
      <c r="I8457" t="str">
        <f>TEXT(MONTH(Tabela1[[#This Row],[Último pagto ano]])*29,"mmmm")</f>
        <v>dezembro</v>
      </c>
    </row>
    <row r="8458" spans="1:9" x14ac:dyDescent="0.25">
      <c r="A8458">
        <v>2025</v>
      </c>
      <c r="B8458" t="s">
        <v>16839</v>
      </c>
      <c r="C8458" s="1">
        <v>45996</v>
      </c>
      <c r="D8458" t="s">
        <v>16840</v>
      </c>
      <c r="E8458" s="2">
        <v>29500</v>
      </c>
      <c r="G8458" s="3">
        <f>MONTH(Tabela1[[#This Row],[Último pagto ano]])</f>
        <v>12</v>
      </c>
      <c r="H8458" t="str">
        <f>TEXT(Tabela1[[#This Row],[Coluna2]]*29,"mmmm")</f>
        <v>dezembro</v>
      </c>
      <c r="I8458" t="str">
        <f>TEXT(MONTH(Tabela1[[#This Row],[Último pagto ano]])*29,"mmmm")</f>
        <v>dezembro</v>
      </c>
    </row>
    <row r="8459" spans="1:9" x14ac:dyDescent="0.25">
      <c r="A8459">
        <v>2025</v>
      </c>
      <c r="B8459" t="s">
        <v>16841</v>
      </c>
      <c r="C8459" s="1">
        <v>46009</v>
      </c>
      <c r="D8459" t="s">
        <v>16842</v>
      </c>
      <c r="E8459" s="2">
        <v>21210</v>
      </c>
      <c r="G8459" s="3">
        <f>MONTH(Tabela1[[#This Row],[Último pagto ano]])</f>
        <v>12</v>
      </c>
      <c r="H8459" t="str">
        <f>TEXT(Tabela1[[#This Row],[Coluna2]]*29,"mmmm")</f>
        <v>dezembro</v>
      </c>
      <c r="I8459" t="str">
        <f>TEXT(MONTH(Tabela1[[#This Row],[Último pagto ano]])*29,"mmmm")</f>
        <v>dezembro</v>
      </c>
    </row>
    <row r="8460" spans="1:9" x14ac:dyDescent="0.25">
      <c r="A8460">
        <v>2025</v>
      </c>
      <c r="B8460" t="s">
        <v>16843</v>
      </c>
      <c r="C8460" s="1">
        <v>46014</v>
      </c>
      <c r="D8460" t="s">
        <v>16844</v>
      </c>
      <c r="E8460" s="2">
        <v>10335</v>
      </c>
      <c r="G8460" s="3">
        <f>MONTH(Tabela1[[#This Row],[Último pagto ano]])</f>
        <v>12</v>
      </c>
      <c r="H8460" t="str">
        <f>TEXT(Tabela1[[#This Row],[Coluna2]]*29,"mmmm")</f>
        <v>dezembro</v>
      </c>
      <c r="I8460" t="str">
        <f>TEXT(MONTH(Tabela1[[#This Row],[Último pagto ano]])*29,"mmmm")</f>
        <v>dezembro</v>
      </c>
    </row>
    <row r="8461" spans="1:9" x14ac:dyDescent="0.25">
      <c r="A8461">
        <v>2025</v>
      </c>
      <c r="B8461" t="s">
        <v>16845</v>
      </c>
      <c r="C8461" s="1">
        <v>45996</v>
      </c>
      <c r="D8461" t="s">
        <v>16846</v>
      </c>
      <c r="E8461" s="2">
        <v>32400</v>
      </c>
      <c r="G8461" s="3">
        <f>MONTH(Tabela1[[#This Row],[Último pagto ano]])</f>
        <v>12</v>
      </c>
      <c r="H8461" t="str">
        <f>TEXT(Tabela1[[#This Row],[Coluna2]]*29,"mmmm")</f>
        <v>dezembro</v>
      </c>
      <c r="I8461" t="str">
        <f>TEXT(MONTH(Tabela1[[#This Row],[Último pagto ano]])*29,"mmmm")</f>
        <v>dezembro</v>
      </c>
    </row>
    <row r="8462" spans="1:9" x14ac:dyDescent="0.25">
      <c r="A8462">
        <v>2025</v>
      </c>
      <c r="B8462" t="s">
        <v>16847</v>
      </c>
      <c r="C8462" s="1">
        <v>46010</v>
      </c>
      <c r="D8462" t="s">
        <v>16848</v>
      </c>
      <c r="E8462" s="2">
        <v>24000</v>
      </c>
      <c r="G8462" s="3">
        <f>MONTH(Tabela1[[#This Row],[Último pagto ano]])</f>
        <v>12</v>
      </c>
      <c r="H8462" t="str">
        <f>TEXT(Tabela1[[#This Row],[Coluna2]]*29,"mmmm")</f>
        <v>dezembro</v>
      </c>
      <c r="I8462" t="str">
        <f>TEXT(MONTH(Tabela1[[#This Row],[Último pagto ano]])*29,"mmmm")</f>
        <v>dezembro</v>
      </c>
    </row>
    <row r="8463" spans="1:9" x14ac:dyDescent="0.25">
      <c r="A8463">
        <v>2025</v>
      </c>
      <c r="B8463" t="s">
        <v>16849</v>
      </c>
      <c r="C8463" s="1">
        <v>45975</v>
      </c>
      <c r="D8463" t="s">
        <v>16850</v>
      </c>
      <c r="E8463" s="2">
        <v>13580.7</v>
      </c>
      <c r="G8463" s="3">
        <f>MONTH(Tabela1[[#This Row],[Último pagto ano]])</f>
        <v>11</v>
      </c>
      <c r="H8463" t="str">
        <f>TEXT(Tabela1[[#This Row],[Coluna2]]*29,"mmmm")</f>
        <v>novembro</v>
      </c>
      <c r="I8463" t="str">
        <f>TEXT(MONTH(Tabela1[[#This Row],[Último pagto ano]])*29,"mmmm")</f>
        <v>novembro</v>
      </c>
    </row>
    <row r="8464" spans="1:9" x14ac:dyDescent="0.25">
      <c r="A8464">
        <v>2025</v>
      </c>
      <c r="B8464" t="s">
        <v>16851</v>
      </c>
      <c r="C8464" s="1">
        <v>45996</v>
      </c>
      <c r="D8464" t="s">
        <v>16852</v>
      </c>
      <c r="E8464" s="2">
        <v>5300</v>
      </c>
      <c r="G8464" s="3">
        <f>MONTH(Tabela1[[#This Row],[Último pagto ano]])</f>
        <v>12</v>
      </c>
      <c r="H8464" t="str">
        <f>TEXT(Tabela1[[#This Row],[Coluna2]]*29,"mmmm")</f>
        <v>dezembro</v>
      </c>
      <c r="I8464" t="str">
        <f>TEXT(MONTH(Tabela1[[#This Row],[Último pagto ano]])*29,"mmmm")</f>
        <v>dezembro</v>
      </c>
    </row>
    <row r="8465" spans="1:9" x14ac:dyDescent="0.25">
      <c r="A8465">
        <v>2025</v>
      </c>
      <c r="B8465" t="s">
        <v>16853</v>
      </c>
      <c r="C8465" s="1">
        <v>46021</v>
      </c>
      <c r="D8465" t="s">
        <v>16854</v>
      </c>
      <c r="E8465" s="2">
        <v>6524.95</v>
      </c>
      <c r="G8465" s="3">
        <f>MONTH(Tabela1[[#This Row],[Último pagto ano]])</f>
        <v>12</v>
      </c>
      <c r="H8465" t="str">
        <f>TEXT(Tabela1[[#This Row],[Coluna2]]*29,"mmmm")</f>
        <v>dezembro</v>
      </c>
      <c r="I8465" t="str">
        <f>TEXT(MONTH(Tabela1[[#This Row],[Último pagto ano]])*29,"mmmm")</f>
        <v>dezembro</v>
      </c>
    </row>
    <row r="8466" spans="1:9" x14ac:dyDescent="0.25">
      <c r="A8466">
        <v>2025</v>
      </c>
      <c r="B8466" t="s">
        <v>16855</v>
      </c>
      <c r="C8466" s="1">
        <v>45807</v>
      </c>
      <c r="D8466" t="s">
        <v>16856</v>
      </c>
      <c r="E8466" s="2">
        <v>5146.2</v>
      </c>
      <c r="G8466" s="3">
        <f>MONTH(Tabela1[[#This Row],[Último pagto ano]])</f>
        <v>5</v>
      </c>
      <c r="H8466" t="str">
        <f>TEXT(Tabela1[[#This Row],[Coluna2]]*29,"mmmm")</f>
        <v>maio</v>
      </c>
      <c r="I8466" t="str">
        <f>TEXT(MONTH(Tabela1[[#This Row],[Último pagto ano]])*29,"mmmm")</f>
        <v>maio</v>
      </c>
    </row>
    <row r="8467" spans="1:9" x14ac:dyDescent="0.25">
      <c r="A8467">
        <v>2025</v>
      </c>
      <c r="B8467" t="s">
        <v>16857</v>
      </c>
      <c r="C8467" s="1">
        <v>45733</v>
      </c>
      <c r="D8467" t="s">
        <v>16858</v>
      </c>
      <c r="E8467" s="2">
        <v>2625.6</v>
      </c>
      <c r="G8467" s="3">
        <f>MONTH(Tabela1[[#This Row],[Último pagto ano]])</f>
        <v>3</v>
      </c>
      <c r="H8467" t="str">
        <f>TEXT(Tabela1[[#This Row],[Coluna2]]*29,"mmmm")</f>
        <v>março</v>
      </c>
      <c r="I8467" t="str">
        <f>TEXT(MONTH(Tabela1[[#This Row],[Último pagto ano]])*29,"mmmm")</f>
        <v>março</v>
      </c>
    </row>
    <row r="8468" spans="1:9" x14ac:dyDescent="0.25">
      <c r="A8468">
        <v>2025</v>
      </c>
      <c r="B8468" t="s">
        <v>16859</v>
      </c>
      <c r="C8468" s="1">
        <v>45968</v>
      </c>
      <c r="D8468" t="s">
        <v>16860</v>
      </c>
      <c r="E8468" s="2">
        <v>8500</v>
      </c>
      <c r="G8468" s="3">
        <f>MONTH(Tabela1[[#This Row],[Último pagto ano]])</f>
        <v>11</v>
      </c>
      <c r="H8468" t="str">
        <f>TEXT(Tabela1[[#This Row],[Coluna2]]*29,"mmmm")</f>
        <v>novembro</v>
      </c>
      <c r="I8468" t="str">
        <f>TEXT(MONTH(Tabela1[[#This Row],[Último pagto ano]])*29,"mmmm")</f>
        <v>novembro</v>
      </c>
    </row>
    <row r="8469" spans="1:9" x14ac:dyDescent="0.25">
      <c r="A8469">
        <v>2025</v>
      </c>
      <c r="B8469" t="s">
        <v>16861</v>
      </c>
      <c r="C8469" s="1">
        <v>46010</v>
      </c>
      <c r="D8469" t="s">
        <v>16862</v>
      </c>
      <c r="E8469" s="2">
        <v>10000</v>
      </c>
      <c r="G8469" s="3">
        <f>MONTH(Tabela1[[#This Row],[Último pagto ano]])</f>
        <v>12</v>
      </c>
      <c r="H8469" t="str">
        <f>TEXT(Tabela1[[#This Row],[Coluna2]]*29,"mmmm")</f>
        <v>dezembro</v>
      </c>
      <c r="I8469" t="str">
        <f>TEXT(MONTH(Tabela1[[#This Row],[Último pagto ano]])*29,"mmmm")</f>
        <v>dezembro</v>
      </c>
    </row>
    <row r="8470" spans="1:9" x14ac:dyDescent="0.25">
      <c r="A8470">
        <v>2025</v>
      </c>
      <c r="B8470" t="s">
        <v>16863</v>
      </c>
      <c r="C8470" s="1">
        <v>45702</v>
      </c>
      <c r="D8470" t="s">
        <v>16864</v>
      </c>
      <c r="E8470">
        <v>130.59</v>
      </c>
      <c r="G8470" s="3">
        <f>MONTH(Tabela1[[#This Row],[Último pagto ano]])</f>
        <v>2</v>
      </c>
      <c r="H8470" t="str">
        <f>TEXT(Tabela1[[#This Row],[Coluna2]]*29,"mmmm")</f>
        <v>fevereiro</v>
      </c>
      <c r="I8470" t="str">
        <f>TEXT(MONTH(Tabela1[[#This Row],[Último pagto ano]])*29,"mmmm")</f>
        <v>fevereiro</v>
      </c>
    </row>
    <row r="8471" spans="1:9" x14ac:dyDescent="0.25">
      <c r="A8471">
        <v>2025</v>
      </c>
      <c r="B8471" t="s">
        <v>16865</v>
      </c>
      <c r="C8471" s="1">
        <v>45814</v>
      </c>
      <c r="D8471" t="s">
        <v>16866</v>
      </c>
      <c r="E8471" s="2">
        <v>32400</v>
      </c>
      <c r="G8471" s="3">
        <f>MONTH(Tabela1[[#This Row],[Último pagto ano]])</f>
        <v>6</v>
      </c>
      <c r="H8471" t="str">
        <f>TEXT(Tabela1[[#This Row],[Coluna2]]*29,"mmmm")</f>
        <v>junho</v>
      </c>
      <c r="I8471" t="str">
        <f>TEXT(MONTH(Tabela1[[#This Row],[Último pagto ano]])*29,"mmmm")</f>
        <v>junho</v>
      </c>
    </row>
    <row r="8472" spans="1:9" x14ac:dyDescent="0.25">
      <c r="A8472">
        <v>2025</v>
      </c>
      <c r="B8472" t="s">
        <v>16867</v>
      </c>
      <c r="C8472" s="1">
        <v>46021</v>
      </c>
      <c r="D8472" t="s">
        <v>16868</v>
      </c>
      <c r="E8472" s="2">
        <v>12658.32</v>
      </c>
      <c r="G8472" s="3">
        <f>MONTH(Tabela1[[#This Row],[Último pagto ano]])</f>
        <v>12</v>
      </c>
      <c r="H8472" t="str">
        <f>TEXT(Tabela1[[#This Row],[Coluna2]]*29,"mmmm")</f>
        <v>dezembro</v>
      </c>
      <c r="I8472" t="str">
        <f>TEXT(MONTH(Tabela1[[#This Row],[Último pagto ano]])*29,"mmmm")</f>
        <v>dezembro</v>
      </c>
    </row>
    <row r="8473" spans="1:9" x14ac:dyDescent="0.25">
      <c r="A8473">
        <v>2025</v>
      </c>
      <c r="B8473" t="s">
        <v>16869</v>
      </c>
      <c r="C8473" s="1">
        <v>45996</v>
      </c>
      <c r="D8473" t="s">
        <v>16870</v>
      </c>
      <c r="E8473" s="2">
        <v>7100</v>
      </c>
      <c r="G8473" s="3">
        <f>MONTH(Tabela1[[#This Row],[Último pagto ano]])</f>
        <v>12</v>
      </c>
      <c r="H8473" t="str">
        <f>TEXT(Tabela1[[#This Row],[Coluna2]]*29,"mmmm")</f>
        <v>dezembro</v>
      </c>
      <c r="I8473" t="str">
        <f>TEXT(MONTH(Tabela1[[#This Row],[Último pagto ano]])*29,"mmmm")</f>
        <v>dezembro</v>
      </c>
    </row>
    <row r="8474" spans="1:9" x14ac:dyDescent="0.25">
      <c r="A8474">
        <v>2025</v>
      </c>
      <c r="B8474" t="s">
        <v>16871</v>
      </c>
      <c r="C8474" s="1">
        <v>45996</v>
      </c>
      <c r="D8474" t="s">
        <v>16872</v>
      </c>
      <c r="E8474" s="2">
        <v>12000</v>
      </c>
      <c r="G8474" s="3">
        <f>MONTH(Tabela1[[#This Row],[Último pagto ano]])</f>
        <v>12</v>
      </c>
      <c r="H8474" t="str">
        <f>TEXT(Tabela1[[#This Row],[Coluna2]]*29,"mmmm")</f>
        <v>dezembro</v>
      </c>
      <c r="I8474" t="str">
        <f>TEXT(MONTH(Tabela1[[#This Row],[Último pagto ano]])*29,"mmmm")</f>
        <v>dezembro</v>
      </c>
    </row>
    <row r="8475" spans="1:9" x14ac:dyDescent="0.25">
      <c r="A8475">
        <v>2025</v>
      </c>
      <c r="B8475" t="s">
        <v>16873</v>
      </c>
      <c r="C8475" s="1">
        <v>45876</v>
      </c>
      <c r="D8475" t="s">
        <v>16874</v>
      </c>
      <c r="E8475" s="2">
        <v>15750</v>
      </c>
      <c r="G8475" s="3">
        <f>MONTH(Tabela1[[#This Row],[Último pagto ano]])</f>
        <v>8</v>
      </c>
      <c r="H8475" t="str">
        <f>TEXT(Tabela1[[#This Row],[Coluna2]]*29,"mmmm")</f>
        <v>agosto</v>
      </c>
      <c r="I8475" t="str">
        <f>TEXT(MONTH(Tabela1[[#This Row],[Último pagto ano]])*29,"mmmm")</f>
        <v>agosto</v>
      </c>
    </row>
    <row r="8476" spans="1:9" x14ac:dyDescent="0.25">
      <c r="A8476">
        <v>2025</v>
      </c>
      <c r="B8476" t="s">
        <v>16875</v>
      </c>
      <c r="C8476" s="1">
        <v>45952</v>
      </c>
      <c r="D8476" t="s">
        <v>16876</v>
      </c>
      <c r="E8476" s="2">
        <v>1904.16</v>
      </c>
      <c r="G8476" s="3">
        <f>MONTH(Tabela1[[#This Row],[Último pagto ano]])</f>
        <v>10</v>
      </c>
      <c r="H8476" t="str">
        <f>TEXT(Tabela1[[#This Row],[Coluna2]]*29,"mmmm")</f>
        <v>outubro</v>
      </c>
      <c r="I8476" t="str">
        <f>TEXT(MONTH(Tabela1[[#This Row],[Último pagto ano]])*29,"mmmm")</f>
        <v>outubro</v>
      </c>
    </row>
    <row r="8477" spans="1:9" x14ac:dyDescent="0.25">
      <c r="A8477">
        <v>2025</v>
      </c>
      <c r="B8477" t="s">
        <v>16877</v>
      </c>
      <c r="C8477" s="1">
        <v>46006</v>
      </c>
      <c r="D8477" t="s">
        <v>16878</v>
      </c>
      <c r="E8477" s="2">
        <v>19182.080000000002</v>
      </c>
      <c r="G8477" s="3">
        <f>MONTH(Tabela1[[#This Row],[Último pagto ano]])</f>
        <v>12</v>
      </c>
      <c r="H8477" t="str">
        <f>TEXT(Tabela1[[#This Row],[Coluna2]]*29,"mmmm")</f>
        <v>dezembro</v>
      </c>
      <c r="I8477" t="str">
        <f>TEXT(MONTH(Tabela1[[#This Row],[Último pagto ano]])*29,"mmmm")</f>
        <v>dezembro</v>
      </c>
    </row>
    <row r="8478" spans="1:9" x14ac:dyDescent="0.25">
      <c r="A8478">
        <v>2025</v>
      </c>
      <c r="B8478" t="s">
        <v>16879</v>
      </c>
      <c r="C8478" s="1">
        <v>45996</v>
      </c>
      <c r="D8478" t="s">
        <v>16880</v>
      </c>
      <c r="E8478" s="2">
        <v>34800</v>
      </c>
      <c r="G8478" s="3">
        <f>MONTH(Tabela1[[#This Row],[Último pagto ano]])</f>
        <v>12</v>
      </c>
      <c r="H8478" t="str">
        <f>TEXT(Tabela1[[#This Row],[Coluna2]]*29,"mmmm")</f>
        <v>dezembro</v>
      </c>
      <c r="I8478" t="str">
        <f>TEXT(MONTH(Tabela1[[#This Row],[Último pagto ano]])*29,"mmmm")</f>
        <v>dezembro</v>
      </c>
    </row>
    <row r="8479" spans="1:9" x14ac:dyDescent="0.25">
      <c r="A8479">
        <v>2025</v>
      </c>
      <c r="B8479" t="s">
        <v>16881</v>
      </c>
      <c r="C8479" s="1">
        <v>45996</v>
      </c>
      <c r="D8479" t="s">
        <v>16882</v>
      </c>
      <c r="E8479" s="2">
        <v>1250</v>
      </c>
      <c r="G8479" s="3">
        <f>MONTH(Tabela1[[#This Row],[Último pagto ano]])</f>
        <v>12</v>
      </c>
      <c r="H8479" t="str">
        <f>TEXT(Tabela1[[#This Row],[Coluna2]]*29,"mmmm")</f>
        <v>dezembro</v>
      </c>
      <c r="I8479" t="str">
        <f>TEXT(MONTH(Tabela1[[#This Row],[Último pagto ano]])*29,"mmmm")</f>
        <v>dezembro</v>
      </c>
    </row>
    <row r="8480" spans="1:9" x14ac:dyDescent="0.25">
      <c r="A8480">
        <v>2025</v>
      </c>
      <c r="B8480" t="s">
        <v>16883</v>
      </c>
      <c r="C8480" s="1">
        <v>45673</v>
      </c>
      <c r="D8480" t="s">
        <v>16884</v>
      </c>
      <c r="E8480">
        <v>800</v>
      </c>
      <c r="G8480" s="3">
        <f>MONTH(Tabela1[[#This Row],[Último pagto ano]])</f>
        <v>1</v>
      </c>
      <c r="H8480" t="str">
        <f>TEXT(Tabela1[[#This Row],[Coluna2]]*29,"mmmm")</f>
        <v>janeiro</v>
      </c>
      <c r="I8480" t="str">
        <f>TEXT(MONTH(Tabela1[[#This Row],[Último pagto ano]])*29,"mmmm")</f>
        <v>janeiro</v>
      </c>
    </row>
    <row r="8481" spans="1:9" x14ac:dyDescent="0.25">
      <c r="A8481">
        <v>2025</v>
      </c>
      <c r="B8481" t="s">
        <v>16885</v>
      </c>
      <c r="C8481" s="1">
        <v>45989</v>
      </c>
      <c r="D8481" t="s">
        <v>16886</v>
      </c>
      <c r="E8481" s="2">
        <v>3864.14</v>
      </c>
      <c r="G8481" s="3">
        <f>MONTH(Tabela1[[#This Row],[Último pagto ano]])</f>
        <v>11</v>
      </c>
      <c r="H8481" t="str">
        <f>TEXT(Tabela1[[#This Row],[Coluna2]]*29,"mmmm")</f>
        <v>novembro</v>
      </c>
      <c r="I8481" t="str">
        <f>TEXT(MONTH(Tabela1[[#This Row],[Último pagto ano]])*29,"mmmm")</f>
        <v>novembro</v>
      </c>
    </row>
    <row r="8482" spans="1:9" x14ac:dyDescent="0.25">
      <c r="A8482">
        <v>2025</v>
      </c>
      <c r="B8482" t="s">
        <v>16887</v>
      </c>
      <c r="C8482" s="1">
        <v>45996</v>
      </c>
      <c r="D8482" t="s">
        <v>16888</v>
      </c>
      <c r="E8482" s="2">
        <v>22680</v>
      </c>
      <c r="G8482" s="3">
        <f>MONTH(Tabela1[[#This Row],[Último pagto ano]])</f>
        <v>12</v>
      </c>
      <c r="H8482" t="str">
        <f>TEXT(Tabela1[[#This Row],[Coluna2]]*29,"mmmm")</f>
        <v>dezembro</v>
      </c>
      <c r="I8482" t="str">
        <f>TEXT(MONTH(Tabela1[[#This Row],[Último pagto ano]])*29,"mmmm")</f>
        <v>dezembro</v>
      </c>
    </row>
    <row r="8483" spans="1:9" x14ac:dyDescent="0.25">
      <c r="A8483">
        <v>2025</v>
      </c>
      <c r="B8483" t="s">
        <v>16889</v>
      </c>
      <c r="C8483" s="1">
        <v>45905</v>
      </c>
      <c r="D8483" t="s">
        <v>16890</v>
      </c>
      <c r="E8483" s="2">
        <v>3000</v>
      </c>
      <c r="G8483" s="3">
        <f>MONTH(Tabela1[[#This Row],[Último pagto ano]])</f>
        <v>9</v>
      </c>
      <c r="H8483" t="str">
        <f>TEXT(Tabela1[[#This Row],[Coluna2]]*29,"mmmm")</f>
        <v>setembro</v>
      </c>
      <c r="I8483" t="str">
        <f>TEXT(MONTH(Tabela1[[#This Row],[Último pagto ano]])*29,"mmmm")</f>
        <v>setembro</v>
      </c>
    </row>
    <row r="8484" spans="1:9" x14ac:dyDescent="0.25">
      <c r="A8484">
        <v>2025</v>
      </c>
      <c r="B8484" t="s">
        <v>16891</v>
      </c>
      <c r="C8484" s="1">
        <v>45989</v>
      </c>
      <c r="D8484" t="s">
        <v>16892</v>
      </c>
      <c r="E8484" s="2">
        <v>11664.94</v>
      </c>
      <c r="G8484" s="3">
        <f>MONTH(Tabela1[[#This Row],[Último pagto ano]])</f>
        <v>11</v>
      </c>
      <c r="H8484" t="str">
        <f>TEXT(Tabela1[[#This Row],[Coluna2]]*29,"mmmm")</f>
        <v>novembro</v>
      </c>
      <c r="I8484" t="str">
        <f>TEXT(MONTH(Tabela1[[#This Row],[Último pagto ano]])*29,"mmmm")</f>
        <v>novembro</v>
      </c>
    </row>
    <row r="8485" spans="1:9" x14ac:dyDescent="0.25">
      <c r="A8485">
        <v>2025</v>
      </c>
      <c r="B8485" t="s">
        <v>16893</v>
      </c>
      <c r="C8485" s="1">
        <v>45992</v>
      </c>
      <c r="D8485" t="s">
        <v>16894</v>
      </c>
      <c r="E8485" s="2">
        <v>46405</v>
      </c>
      <c r="G8485" s="3">
        <f>MONTH(Tabela1[[#This Row],[Último pagto ano]])</f>
        <v>12</v>
      </c>
      <c r="H8485" t="str">
        <f>TEXT(Tabela1[[#This Row],[Coluna2]]*29,"mmmm")</f>
        <v>dezembro</v>
      </c>
      <c r="I8485" t="str">
        <f>TEXT(MONTH(Tabela1[[#This Row],[Último pagto ano]])*29,"mmmm")</f>
        <v>dezembro</v>
      </c>
    </row>
    <row r="8486" spans="1:9" x14ac:dyDescent="0.25">
      <c r="A8486">
        <v>2025</v>
      </c>
      <c r="B8486" t="s">
        <v>16895</v>
      </c>
      <c r="C8486" s="1">
        <v>45812</v>
      </c>
      <c r="D8486" t="s">
        <v>16896</v>
      </c>
      <c r="E8486" s="2">
        <v>1520.4</v>
      </c>
      <c r="G8486" s="3">
        <f>MONTH(Tabela1[[#This Row],[Último pagto ano]])</f>
        <v>6</v>
      </c>
      <c r="H8486" t="str">
        <f>TEXT(Tabela1[[#This Row],[Coluna2]]*29,"mmmm")</f>
        <v>junho</v>
      </c>
      <c r="I8486" t="str">
        <f>TEXT(MONTH(Tabela1[[#This Row],[Último pagto ano]])*29,"mmmm")</f>
        <v>junho</v>
      </c>
    </row>
    <row r="8487" spans="1:9" x14ac:dyDescent="0.25">
      <c r="A8487">
        <v>2025</v>
      </c>
      <c r="B8487" t="s">
        <v>16897</v>
      </c>
      <c r="C8487" s="1">
        <v>46014</v>
      </c>
      <c r="D8487" t="s">
        <v>16898</v>
      </c>
      <c r="E8487" s="2">
        <v>16449335.529999999</v>
      </c>
      <c r="G8487" s="3">
        <f>MONTH(Tabela1[[#This Row],[Último pagto ano]])</f>
        <v>12</v>
      </c>
      <c r="H8487" t="str">
        <f>TEXT(Tabela1[[#This Row],[Coluna2]]*29,"mmmm")</f>
        <v>dezembro</v>
      </c>
      <c r="I8487" t="str">
        <f>TEXT(MONTH(Tabela1[[#This Row],[Último pagto ano]])*29,"mmmm")</f>
        <v>dezembro</v>
      </c>
    </row>
    <row r="8488" spans="1:9" x14ac:dyDescent="0.25">
      <c r="A8488">
        <v>2025</v>
      </c>
      <c r="B8488" t="s">
        <v>16899</v>
      </c>
      <c r="C8488" s="1">
        <v>45674</v>
      </c>
      <c r="D8488" t="s">
        <v>16900</v>
      </c>
      <c r="E8488">
        <v>543.69000000000005</v>
      </c>
      <c r="G8488" s="3">
        <f>MONTH(Tabela1[[#This Row],[Último pagto ano]])</f>
        <v>1</v>
      </c>
      <c r="H8488" t="str">
        <f>TEXT(Tabela1[[#This Row],[Coluna2]]*29,"mmmm")</f>
        <v>janeiro</v>
      </c>
      <c r="I8488" t="str">
        <f>TEXT(MONTH(Tabela1[[#This Row],[Último pagto ano]])*29,"mmmm")</f>
        <v>janeiro</v>
      </c>
    </row>
    <row r="8489" spans="1:9" x14ac:dyDescent="0.25">
      <c r="A8489">
        <v>2025</v>
      </c>
      <c r="B8489" t="s">
        <v>16901</v>
      </c>
      <c r="C8489" s="1">
        <v>45988</v>
      </c>
      <c r="D8489" t="s">
        <v>16902</v>
      </c>
      <c r="E8489" s="2">
        <v>10662.6</v>
      </c>
      <c r="G8489" s="3">
        <f>MONTH(Tabela1[[#This Row],[Último pagto ano]])</f>
        <v>11</v>
      </c>
      <c r="H8489" t="str">
        <f>TEXT(Tabela1[[#This Row],[Coluna2]]*29,"mmmm")</f>
        <v>novembro</v>
      </c>
      <c r="I8489" t="str">
        <f>TEXT(MONTH(Tabela1[[#This Row],[Último pagto ano]])*29,"mmmm")</f>
        <v>novembro</v>
      </c>
    </row>
    <row r="8490" spans="1:9" x14ac:dyDescent="0.25">
      <c r="A8490">
        <v>2025</v>
      </c>
      <c r="B8490" t="s">
        <v>16903</v>
      </c>
      <c r="C8490" s="1">
        <v>46010</v>
      </c>
      <c r="D8490" t="s">
        <v>16904</v>
      </c>
      <c r="E8490" s="2">
        <v>67975.66</v>
      </c>
      <c r="G8490" s="3">
        <f>MONTH(Tabela1[[#This Row],[Último pagto ano]])</f>
        <v>12</v>
      </c>
      <c r="H8490" t="str">
        <f>TEXT(Tabela1[[#This Row],[Coluna2]]*29,"mmmm")</f>
        <v>dezembro</v>
      </c>
      <c r="I8490" t="str">
        <f>TEXT(MONTH(Tabela1[[#This Row],[Último pagto ano]])*29,"mmmm")</f>
        <v>dezembro</v>
      </c>
    </row>
    <row r="8491" spans="1:9" x14ac:dyDescent="0.25">
      <c r="A8491">
        <v>2025</v>
      </c>
      <c r="B8491" t="s">
        <v>16905</v>
      </c>
      <c r="C8491" s="1">
        <v>46010</v>
      </c>
      <c r="D8491" t="s">
        <v>16906</v>
      </c>
      <c r="E8491" s="2">
        <v>12000</v>
      </c>
      <c r="G8491" s="3">
        <f>MONTH(Tabela1[[#This Row],[Último pagto ano]])</f>
        <v>12</v>
      </c>
      <c r="H8491" t="str">
        <f>TEXT(Tabela1[[#This Row],[Coluna2]]*29,"mmmm")</f>
        <v>dezembro</v>
      </c>
      <c r="I8491" t="str">
        <f>TEXT(MONTH(Tabela1[[#This Row],[Último pagto ano]])*29,"mmmm")</f>
        <v>dezembro</v>
      </c>
    </row>
    <row r="8492" spans="1:9" x14ac:dyDescent="0.25">
      <c r="A8492">
        <v>2025</v>
      </c>
      <c r="B8492" t="s">
        <v>16907</v>
      </c>
      <c r="C8492" s="1">
        <v>46006</v>
      </c>
      <c r="D8492" t="s">
        <v>16908</v>
      </c>
      <c r="E8492" s="2">
        <v>16590.96</v>
      </c>
      <c r="G8492" s="3">
        <f>MONTH(Tabela1[[#This Row],[Último pagto ano]])</f>
        <v>12</v>
      </c>
      <c r="H8492" t="str">
        <f>TEXT(Tabela1[[#This Row],[Coluna2]]*29,"mmmm")</f>
        <v>dezembro</v>
      </c>
      <c r="I8492" t="str">
        <f>TEXT(MONTH(Tabela1[[#This Row],[Último pagto ano]])*29,"mmmm")</f>
        <v>dezembro</v>
      </c>
    </row>
    <row r="8493" spans="1:9" x14ac:dyDescent="0.25">
      <c r="A8493">
        <v>2025</v>
      </c>
      <c r="B8493" t="s">
        <v>16909</v>
      </c>
      <c r="C8493" s="1">
        <v>45673</v>
      </c>
      <c r="D8493" t="s">
        <v>16910</v>
      </c>
      <c r="E8493">
        <v>500</v>
      </c>
      <c r="G8493" s="3">
        <f>MONTH(Tabela1[[#This Row],[Último pagto ano]])</f>
        <v>1</v>
      </c>
      <c r="H8493" t="str">
        <f>TEXT(Tabela1[[#This Row],[Coluna2]]*29,"mmmm")</f>
        <v>janeiro</v>
      </c>
      <c r="I8493" t="str">
        <f>TEXT(MONTH(Tabela1[[#This Row],[Último pagto ano]])*29,"mmmm")</f>
        <v>janeiro</v>
      </c>
    </row>
    <row r="8494" spans="1:9" x14ac:dyDescent="0.25">
      <c r="A8494">
        <v>2025</v>
      </c>
      <c r="B8494" t="s">
        <v>16911</v>
      </c>
      <c r="C8494" s="1">
        <v>45803</v>
      </c>
      <c r="D8494" t="s">
        <v>16912</v>
      </c>
      <c r="E8494" s="2">
        <v>15000</v>
      </c>
      <c r="G8494" s="3">
        <f>MONTH(Tabela1[[#This Row],[Último pagto ano]])</f>
        <v>5</v>
      </c>
      <c r="H8494" t="str">
        <f>TEXT(Tabela1[[#This Row],[Coluna2]]*29,"mmmm")</f>
        <v>maio</v>
      </c>
      <c r="I8494" t="str">
        <f>TEXT(MONTH(Tabela1[[#This Row],[Último pagto ano]])*29,"mmmm")</f>
        <v>maio</v>
      </c>
    </row>
    <row r="8495" spans="1:9" x14ac:dyDescent="0.25">
      <c r="A8495">
        <v>2025</v>
      </c>
      <c r="B8495" t="s">
        <v>16913</v>
      </c>
      <c r="C8495" s="1">
        <v>46010</v>
      </c>
      <c r="D8495" t="s">
        <v>16914</v>
      </c>
      <c r="E8495" s="2">
        <v>8300</v>
      </c>
      <c r="G8495" s="3">
        <f>MONTH(Tabela1[[#This Row],[Último pagto ano]])</f>
        <v>12</v>
      </c>
      <c r="H8495" t="str">
        <f>TEXT(Tabela1[[#This Row],[Coluna2]]*29,"mmmm")</f>
        <v>dezembro</v>
      </c>
      <c r="I8495" t="str">
        <f>TEXT(MONTH(Tabela1[[#This Row],[Último pagto ano]])*29,"mmmm")</f>
        <v>dezembro</v>
      </c>
    </row>
    <row r="8496" spans="1:9" x14ac:dyDescent="0.25">
      <c r="A8496">
        <v>2025</v>
      </c>
      <c r="B8496" t="s">
        <v>16915</v>
      </c>
      <c r="C8496" s="1">
        <v>46013</v>
      </c>
      <c r="D8496" t="s">
        <v>16916</v>
      </c>
      <c r="E8496" s="2">
        <v>7385.4</v>
      </c>
      <c r="G8496" s="3">
        <f>MONTH(Tabela1[[#This Row],[Último pagto ano]])</f>
        <v>12</v>
      </c>
      <c r="H8496" t="str">
        <f>TEXT(Tabela1[[#This Row],[Coluna2]]*29,"mmmm")</f>
        <v>dezembro</v>
      </c>
      <c r="I8496" t="str">
        <f>TEXT(MONTH(Tabela1[[#This Row],[Último pagto ano]])*29,"mmmm")</f>
        <v>dezembro</v>
      </c>
    </row>
    <row r="8497" spans="1:9" x14ac:dyDescent="0.25">
      <c r="A8497">
        <v>2025</v>
      </c>
      <c r="B8497" t="s">
        <v>16917</v>
      </c>
      <c r="C8497" s="1">
        <v>46014</v>
      </c>
      <c r="D8497" t="s">
        <v>16918</v>
      </c>
      <c r="E8497" s="2">
        <v>7970</v>
      </c>
      <c r="G8497" s="3">
        <f>MONTH(Tabela1[[#This Row],[Último pagto ano]])</f>
        <v>12</v>
      </c>
      <c r="H8497" t="str">
        <f>TEXT(Tabela1[[#This Row],[Coluna2]]*29,"mmmm")</f>
        <v>dezembro</v>
      </c>
      <c r="I8497" t="str">
        <f>TEXT(MONTH(Tabela1[[#This Row],[Último pagto ano]])*29,"mmmm")</f>
        <v>dezembro</v>
      </c>
    </row>
    <row r="8498" spans="1:9" x14ac:dyDescent="0.25">
      <c r="A8498">
        <v>2025</v>
      </c>
      <c r="B8498" t="s">
        <v>16919</v>
      </c>
      <c r="C8498" s="1">
        <v>45996</v>
      </c>
      <c r="D8498" t="s">
        <v>16920</v>
      </c>
      <c r="E8498" s="2">
        <v>2000</v>
      </c>
      <c r="G8498" s="3">
        <f>MONTH(Tabela1[[#This Row],[Último pagto ano]])</f>
        <v>12</v>
      </c>
      <c r="H8498" t="str">
        <f>TEXT(Tabela1[[#This Row],[Coluna2]]*29,"mmmm")</f>
        <v>dezembro</v>
      </c>
      <c r="I8498" t="str">
        <f>TEXT(MONTH(Tabela1[[#This Row],[Último pagto ano]])*29,"mmmm")</f>
        <v>dezembro</v>
      </c>
    </row>
    <row r="8499" spans="1:9" x14ac:dyDescent="0.25">
      <c r="A8499">
        <v>2025</v>
      </c>
      <c r="B8499" t="s">
        <v>16921</v>
      </c>
      <c r="C8499" s="1">
        <v>45964</v>
      </c>
      <c r="D8499" t="s">
        <v>16922</v>
      </c>
      <c r="E8499">
        <v>198</v>
      </c>
      <c r="G8499" s="3">
        <f>MONTH(Tabela1[[#This Row],[Último pagto ano]])</f>
        <v>11</v>
      </c>
      <c r="H8499" t="str">
        <f>TEXT(Tabela1[[#This Row],[Coluna2]]*29,"mmmm")</f>
        <v>novembro</v>
      </c>
      <c r="I8499" t="str">
        <f>TEXT(MONTH(Tabela1[[#This Row],[Último pagto ano]])*29,"mmmm")</f>
        <v>novembro</v>
      </c>
    </row>
    <row r="8500" spans="1:9" x14ac:dyDescent="0.25">
      <c r="A8500">
        <v>2025</v>
      </c>
      <c r="B8500" t="s">
        <v>16923</v>
      </c>
      <c r="C8500" s="1">
        <v>45786</v>
      </c>
      <c r="D8500" t="s">
        <v>16924</v>
      </c>
      <c r="E8500">
        <v>210.6</v>
      </c>
      <c r="G8500" s="3">
        <f>MONTH(Tabela1[[#This Row],[Último pagto ano]])</f>
        <v>5</v>
      </c>
      <c r="H8500" t="str">
        <f>TEXT(Tabela1[[#This Row],[Coluna2]]*29,"mmmm")</f>
        <v>maio</v>
      </c>
      <c r="I8500" t="str">
        <f>TEXT(MONTH(Tabela1[[#This Row],[Último pagto ano]])*29,"mmmm")</f>
        <v>maio</v>
      </c>
    </row>
    <row r="8501" spans="1:9" x14ac:dyDescent="0.25">
      <c r="A8501">
        <v>2025</v>
      </c>
      <c r="B8501" t="s">
        <v>16925</v>
      </c>
      <c r="C8501" s="1">
        <v>45702</v>
      </c>
      <c r="D8501" t="s">
        <v>16926</v>
      </c>
      <c r="E8501">
        <v>846.78</v>
      </c>
      <c r="G8501" s="3">
        <f>MONTH(Tabela1[[#This Row],[Último pagto ano]])</f>
        <v>2</v>
      </c>
      <c r="H8501" t="str">
        <f>TEXT(Tabela1[[#This Row],[Coluna2]]*29,"mmmm")</f>
        <v>fevereiro</v>
      </c>
      <c r="I8501" t="str">
        <f>TEXT(MONTH(Tabela1[[#This Row],[Último pagto ano]])*29,"mmmm")</f>
        <v>fevereiro</v>
      </c>
    </row>
    <row r="8502" spans="1:9" x14ac:dyDescent="0.25">
      <c r="A8502">
        <v>2025</v>
      </c>
      <c r="B8502" t="s">
        <v>16927</v>
      </c>
      <c r="C8502" s="1">
        <v>45672</v>
      </c>
      <c r="D8502" t="s">
        <v>16928</v>
      </c>
      <c r="E8502">
        <v>353.6</v>
      </c>
      <c r="G8502" s="3">
        <f>MONTH(Tabela1[[#This Row],[Último pagto ano]])</f>
        <v>1</v>
      </c>
      <c r="H8502" t="str">
        <f>TEXT(Tabela1[[#This Row],[Coluna2]]*29,"mmmm")</f>
        <v>janeiro</v>
      </c>
      <c r="I8502" t="str">
        <f>TEXT(MONTH(Tabela1[[#This Row],[Último pagto ano]])*29,"mmmm")</f>
        <v>janeiro</v>
      </c>
    </row>
    <row r="8503" spans="1:9" x14ac:dyDescent="0.25">
      <c r="A8503">
        <v>2025</v>
      </c>
      <c r="B8503" t="s">
        <v>16929</v>
      </c>
      <c r="C8503" s="1">
        <v>46014</v>
      </c>
      <c r="D8503" t="s">
        <v>16930</v>
      </c>
      <c r="E8503">
        <v>11.1</v>
      </c>
      <c r="G8503" s="3">
        <f>MONTH(Tabela1[[#This Row],[Último pagto ano]])</f>
        <v>12</v>
      </c>
      <c r="H8503" t="str">
        <f>TEXT(Tabela1[[#This Row],[Coluna2]]*29,"mmmm")</f>
        <v>dezembro</v>
      </c>
      <c r="I8503" t="str">
        <f>TEXT(MONTH(Tabela1[[#This Row],[Último pagto ano]])*29,"mmmm")</f>
        <v>dezembro</v>
      </c>
    </row>
    <row r="8504" spans="1:9" x14ac:dyDescent="0.25">
      <c r="A8504">
        <v>2025</v>
      </c>
      <c r="B8504" t="s">
        <v>16931</v>
      </c>
      <c r="C8504" s="1">
        <v>45985</v>
      </c>
      <c r="D8504" t="s">
        <v>16932</v>
      </c>
      <c r="E8504" s="2">
        <v>3720</v>
      </c>
      <c r="G8504" s="3">
        <f>MONTH(Tabela1[[#This Row],[Último pagto ano]])</f>
        <v>11</v>
      </c>
      <c r="H8504" t="str">
        <f>TEXT(Tabela1[[#This Row],[Coluna2]]*29,"mmmm")</f>
        <v>novembro</v>
      </c>
      <c r="I8504" t="str">
        <f>TEXT(MONTH(Tabela1[[#This Row],[Último pagto ano]])*29,"mmmm")</f>
        <v>novembro</v>
      </c>
    </row>
    <row r="8505" spans="1:9" x14ac:dyDescent="0.25">
      <c r="A8505">
        <v>2025</v>
      </c>
      <c r="B8505" t="s">
        <v>16933</v>
      </c>
      <c r="C8505" s="1">
        <v>45919</v>
      </c>
      <c r="D8505" t="s">
        <v>16934</v>
      </c>
      <c r="E8505" s="2">
        <v>2640.64</v>
      </c>
      <c r="G8505" s="3">
        <f>MONTH(Tabela1[[#This Row],[Último pagto ano]])</f>
        <v>9</v>
      </c>
      <c r="H8505" t="str">
        <f>TEXT(Tabela1[[#This Row],[Coluna2]]*29,"mmmm")</f>
        <v>setembro</v>
      </c>
      <c r="I8505" t="str">
        <f>TEXT(MONTH(Tabela1[[#This Row],[Último pagto ano]])*29,"mmmm")</f>
        <v>setembro</v>
      </c>
    </row>
    <row r="8506" spans="1:9" x14ac:dyDescent="0.25">
      <c r="A8506">
        <v>2025</v>
      </c>
      <c r="B8506" t="s">
        <v>16935</v>
      </c>
      <c r="C8506" s="1">
        <v>45702</v>
      </c>
      <c r="D8506" t="s">
        <v>16936</v>
      </c>
      <c r="E8506">
        <v>309.79000000000002</v>
      </c>
      <c r="G8506" s="3">
        <f>MONTH(Tabela1[[#This Row],[Último pagto ano]])</f>
        <v>2</v>
      </c>
      <c r="H8506" t="str">
        <f>TEXT(Tabela1[[#This Row],[Coluna2]]*29,"mmmm")</f>
        <v>fevereiro</v>
      </c>
      <c r="I8506" t="str">
        <f>TEXT(MONTH(Tabela1[[#This Row],[Último pagto ano]])*29,"mmmm")</f>
        <v>fevereiro</v>
      </c>
    </row>
    <row r="8507" spans="1:9" x14ac:dyDescent="0.25">
      <c r="A8507">
        <v>2025</v>
      </c>
      <c r="B8507" t="s">
        <v>16937</v>
      </c>
      <c r="C8507" s="1">
        <v>45846</v>
      </c>
      <c r="D8507" t="s">
        <v>16938</v>
      </c>
      <c r="E8507" s="2">
        <v>6158.54</v>
      </c>
      <c r="G8507" s="3">
        <f>MONTH(Tabela1[[#This Row],[Último pagto ano]])</f>
        <v>7</v>
      </c>
      <c r="H8507" t="str">
        <f>TEXT(Tabela1[[#This Row],[Coluna2]]*29,"mmmm")</f>
        <v>julho</v>
      </c>
      <c r="I8507" t="str">
        <f>TEXT(MONTH(Tabela1[[#This Row],[Último pagto ano]])*29,"mmmm")</f>
        <v>julho</v>
      </c>
    </row>
    <row r="8508" spans="1:9" x14ac:dyDescent="0.25">
      <c r="A8508">
        <v>2025</v>
      </c>
      <c r="B8508" t="s">
        <v>16939</v>
      </c>
      <c r="C8508" s="1">
        <v>45996</v>
      </c>
      <c r="D8508" t="s">
        <v>16940</v>
      </c>
      <c r="E8508" s="2">
        <v>14000</v>
      </c>
      <c r="G8508" s="3">
        <f>MONTH(Tabela1[[#This Row],[Último pagto ano]])</f>
        <v>12</v>
      </c>
      <c r="H8508" t="str">
        <f>TEXT(Tabela1[[#This Row],[Coluna2]]*29,"mmmm")</f>
        <v>dezembro</v>
      </c>
      <c r="I8508" t="str">
        <f>TEXT(MONTH(Tabela1[[#This Row],[Último pagto ano]])*29,"mmmm")</f>
        <v>dezembro</v>
      </c>
    </row>
    <row r="8509" spans="1:9" x14ac:dyDescent="0.25">
      <c r="A8509">
        <v>2025</v>
      </c>
      <c r="B8509" t="s">
        <v>16941</v>
      </c>
      <c r="C8509" s="1">
        <v>45824</v>
      </c>
      <c r="D8509" t="s">
        <v>16942</v>
      </c>
      <c r="E8509" s="2">
        <v>7498.15</v>
      </c>
      <c r="G8509" s="3">
        <f>MONTH(Tabela1[[#This Row],[Último pagto ano]])</f>
        <v>6</v>
      </c>
      <c r="H8509" t="str">
        <f>TEXT(Tabela1[[#This Row],[Coluna2]]*29,"mmmm")</f>
        <v>junho</v>
      </c>
      <c r="I8509" t="str">
        <f>TEXT(MONTH(Tabela1[[#This Row],[Último pagto ano]])*29,"mmmm")</f>
        <v>junho</v>
      </c>
    </row>
    <row r="8510" spans="1:9" x14ac:dyDescent="0.25">
      <c r="A8510">
        <v>2025</v>
      </c>
      <c r="B8510" t="s">
        <v>16943</v>
      </c>
      <c r="C8510" s="1">
        <v>45996</v>
      </c>
      <c r="D8510" t="s">
        <v>16944</v>
      </c>
      <c r="E8510">
        <v>93.31</v>
      </c>
      <c r="G8510" s="3">
        <f>MONTH(Tabela1[[#This Row],[Último pagto ano]])</f>
        <v>12</v>
      </c>
      <c r="H8510" t="str">
        <f>TEXT(Tabela1[[#This Row],[Coluna2]]*29,"mmmm")</f>
        <v>dezembro</v>
      </c>
      <c r="I8510" t="str">
        <f>TEXT(MONTH(Tabela1[[#This Row],[Último pagto ano]])*29,"mmmm")</f>
        <v>dezembro</v>
      </c>
    </row>
    <row r="8511" spans="1:9" x14ac:dyDescent="0.25">
      <c r="A8511">
        <v>2025</v>
      </c>
      <c r="B8511" t="s">
        <v>16945</v>
      </c>
      <c r="C8511" s="1">
        <v>45702</v>
      </c>
      <c r="D8511" t="s">
        <v>16946</v>
      </c>
      <c r="E8511">
        <v>752.8</v>
      </c>
      <c r="G8511" s="3">
        <f>MONTH(Tabela1[[#This Row],[Último pagto ano]])</f>
        <v>2</v>
      </c>
      <c r="H8511" t="str">
        <f>TEXT(Tabela1[[#This Row],[Coluna2]]*29,"mmmm")</f>
        <v>fevereiro</v>
      </c>
      <c r="I8511" t="str">
        <f>TEXT(MONTH(Tabela1[[#This Row],[Último pagto ano]])*29,"mmmm")</f>
        <v>fevereiro</v>
      </c>
    </row>
    <row r="8512" spans="1:9" x14ac:dyDescent="0.25">
      <c r="A8512">
        <v>2025</v>
      </c>
      <c r="B8512" t="s">
        <v>16947</v>
      </c>
      <c r="C8512" s="1">
        <v>45905</v>
      </c>
      <c r="D8512" t="s">
        <v>16948</v>
      </c>
      <c r="E8512" s="2">
        <v>5950</v>
      </c>
      <c r="G8512" s="3">
        <f>MONTH(Tabela1[[#This Row],[Último pagto ano]])</f>
        <v>9</v>
      </c>
      <c r="H8512" t="str">
        <f>TEXT(Tabela1[[#This Row],[Coluna2]]*29,"mmmm")</f>
        <v>setembro</v>
      </c>
      <c r="I8512" t="str">
        <f>TEXT(MONTH(Tabela1[[#This Row],[Último pagto ano]])*29,"mmmm")</f>
        <v>setembro</v>
      </c>
    </row>
    <row r="8513" spans="1:9" x14ac:dyDescent="0.25">
      <c r="A8513">
        <v>2025</v>
      </c>
      <c r="B8513" t="s">
        <v>16949</v>
      </c>
      <c r="C8513" s="1">
        <v>46010</v>
      </c>
      <c r="D8513" t="s">
        <v>16950</v>
      </c>
      <c r="E8513" s="2">
        <v>24000</v>
      </c>
      <c r="G8513" s="3">
        <f>MONTH(Tabela1[[#This Row],[Último pagto ano]])</f>
        <v>12</v>
      </c>
      <c r="H8513" t="str">
        <f>TEXT(Tabela1[[#This Row],[Coluna2]]*29,"mmmm")</f>
        <v>dezembro</v>
      </c>
      <c r="I8513" t="str">
        <f>TEXT(MONTH(Tabela1[[#This Row],[Último pagto ano]])*29,"mmmm")</f>
        <v>dezembro</v>
      </c>
    </row>
    <row r="8514" spans="1:9" x14ac:dyDescent="0.25">
      <c r="A8514">
        <v>2025</v>
      </c>
      <c r="B8514" t="s">
        <v>16951</v>
      </c>
      <c r="C8514" s="1">
        <v>45996</v>
      </c>
      <c r="D8514" t="s">
        <v>16952</v>
      </c>
      <c r="E8514" s="2">
        <v>16150</v>
      </c>
      <c r="G8514" s="3">
        <f>MONTH(Tabela1[[#This Row],[Último pagto ano]])</f>
        <v>12</v>
      </c>
      <c r="H8514" t="str">
        <f>TEXT(Tabela1[[#This Row],[Coluna2]]*29,"mmmm")</f>
        <v>dezembro</v>
      </c>
      <c r="I8514" t="str">
        <f>TEXT(MONTH(Tabela1[[#This Row],[Último pagto ano]])*29,"mmmm")</f>
        <v>dezembro</v>
      </c>
    </row>
    <row r="8515" spans="1:9" x14ac:dyDescent="0.25">
      <c r="A8515">
        <v>2025</v>
      </c>
      <c r="B8515" t="s">
        <v>16953</v>
      </c>
      <c r="C8515" s="1">
        <v>45996</v>
      </c>
      <c r="D8515" t="s">
        <v>16954</v>
      </c>
      <c r="E8515" s="2">
        <v>115086.3</v>
      </c>
      <c r="G8515" s="3">
        <f>MONTH(Tabela1[[#This Row],[Último pagto ano]])</f>
        <v>12</v>
      </c>
      <c r="H8515" t="str">
        <f>TEXT(Tabela1[[#This Row],[Coluna2]]*29,"mmmm")</f>
        <v>dezembro</v>
      </c>
      <c r="I8515" t="str">
        <f>TEXT(MONTH(Tabela1[[#This Row],[Último pagto ano]])*29,"mmmm")</f>
        <v>dezembro</v>
      </c>
    </row>
    <row r="8516" spans="1:9" x14ac:dyDescent="0.25">
      <c r="A8516">
        <v>2025</v>
      </c>
      <c r="B8516" t="s">
        <v>16955</v>
      </c>
      <c r="C8516" s="1">
        <v>45996</v>
      </c>
      <c r="D8516" t="s">
        <v>16956</v>
      </c>
      <c r="E8516" s="2">
        <v>17200</v>
      </c>
      <c r="G8516" s="3">
        <f>MONTH(Tabela1[[#This Row],[Último pagto ano]])</f>
        <v>12</v>
      </c>
      <c r="H8516" t="str">
        <f>TEXT(Tabela1[[#This Row],[Coluna2]]*29,"mmmm")</f>
        <v>dezembro</v>
      </c>
      <c r="I8516" t="str">
        <f>TEXT(MONTH(Tabela1[[#This Row],[Último pagto ano]])*29,"mmmm")</f>
        <v>dezembro</v>
      </c>
    </row>
    <row r="8517" spans="1:9" x14ac:dyDescent="0.25">
      <c r="A8517">
        <v>2025</v>
      </c>
      <c r="B8517" t="s">
        <v>16957</v>
      </c>
      <c r="C8517" s="1">
        <v>45994</v>
      </c>
      <c r="D8517" t="s">
        <v>16958</v>
      </c>
      <c r="E8517" s="2">
        <v>10754.73</v>
      </c>
      <c r="G8517" s="3">
        <f>MONTH(Tabela1[[#This Row],[Último pagto ano]])</f>
        <v>12</v>
      </c>
      <c r="H8517" t="str">
        <f>TEXT(Tabela1[[#This Row],[Coluna2]]*29,"mmmm")</f>
        <v>dezembro</v>
      </c>
      <c r="I8517" t="str">
        <f>TEXT(MONTH(Tabela1[[#This Row],[Último pagto ano]])*29,"mmmm")</f>
        <v>dezembro</v>
      </c>
    </row>
    <row r="8518" spans="1:9" x14ac:dyDescent="0.25">
      <c r="A8518">
        <v>2025</v>
      </c>
      <c r="B8518" t="s">
        <v>16959</v>
      </c>
      <c r="C8518" s="1">
        <v>46006</v>
      </c>
      <c r="D8518" t="s">
        <v>16960</v>
      </c>
      <c r="E8518" s="2">
        <v>6219.36</v>
      </c>
      <c r="G8518" s="3">
        <f>MONTH(Tabela1[[#This Row],[Último pagto ano]])</f>
        <v>12</v>
      </c>
      <c r="H8518" t="str">
        <f>TEXT(Tabela1[[#This Row],[Coluna2]]*29,"mmmm")</f>
        <v>dezembro</v>
      </c>
      <c r="I8518" t="str">
        <f>TEXT(MONTH(Tabela1[[#This Row],[Último pagto ano]])*29,"mmmm")</f>
        <v>dezembro</v>
      </c>
    </row>
    <row r="8519" spans="1:9" x14ac:dyDescent="0.25">
      <c r="A8519">
        <v>2025</v>
      </c>
      <c r="B8519" t="s">
        <v>16961</v>
      </c>
      <c r="C8519" s="1">
        <v>45853</v>
      </c>
      <c r="D8519" t="s">
        <v>16962</v>
      </c>
      <c r="E8519" s="2">
        <v>6928.08</v>
      </c>
      <c r="G8519" s="3">
        <f>MONTH(Tabela1[[#This Row],[Último pagto ano]])</f>
        <v>7</v>
      </c>
      <c r="H8519" t="str">
        <f>TEXT(Tabela1[[#This Row],[Coluna2]]*29,"mmmm")</f>
        <v>julho</v>
      </c>
      <c r="I8519" t="str">
        <f>TEXT(MONTH(Tabela1[[#This Row],[Último pagto ano]])*29,"mmmm")</f>
        <v>julho</v>
      </c>
    </row>
    <row r="8520" spans="1:9" x14ac:dyDescent="0.25">
      <c r="A8520">
        <v>2025</v>
      </c>
      <c r="B8520" t="s">
        <v>16963</v>
      </c>
      <c r="C8520" s="1">
        <v>45996</v>
      </c>
      <c r="D8520" t="s">
        <v>16964</v>
      </c>
      <c r="E8520" s="2">
        <v>10008</v>
      </c>
      <c r="G8520" s="3">
        <f>MONTH(Tabela1[[#This Row],[Último pagto ano]])</f>
        <v>12</v>
      </c>
      <c r="H8520" t="str">
        <f>TEXT(Tabela1[[#This Row],[Coluna2]]*29,"mmmm")</f>
        <v>dezembro</v>
      </c>
      <c r="I8520" t="str">
        <f>TEXT(MONTH(Tabela1[[#This Row],[Último pagto ano]])*29,"mmmm")</f>
        <v>dezembro</v>
      </c>
    </row>
    <row r="8521" spans="1:9" x14ac:dyDescent="0.25">
      <c r="A8521">
        <v>2025</v>
      </c>
      <c r="B8521" t="s">
        <v>16965</v>
      </c>
      <c r="C8521" s="1">
        <v>46006</v>
      </c>
      <c r="D8521" t="s">
        <v>16966</v>
      </c>
      <c r="E8521" s="2">
        <v>2342.7199999999998</v>
      </c>
      <c r="G8521" s="3">
        <f>MONTH(Tabela1[[#This Row],[Último pagto ano]])</f>
        <v>12</v>
      </c>
      <c r="H8521" t="str">
        <f>TEXT(Tabela1[[#This Row],[Coluna2]]*29,"mmmm")</f>
        <v>dezembro</v>
      </c>
      <c r="I8521" t="str">
        <f>TEXT(MONTH(Tabela1[[#This Row],[Último pagto ano]])*29,"mmmm")</f>
        <v>dezembro</v>
      </c>
    </row>
    <row r="8522" spans="1:9" x14ac:dyDescent="0.25">
      <c r="A8522">
        <v>2025</v>
      </c>
      <c r="B8522" t="s">
        <v>16967</v>
      </c>
      <c r="C8522" s="1">
        <v>46010</v>
      </c>
      <c r="D8522" t="s">
        <v>16968</v>
      </c>
      <c r="E8522" s="2">
        <v>4200</v>
      </c>
      <c r="G8522" s="3">
        <f>MONTH(Tabela1[[#This Row],[Último pagto ano]])</f>
        <v>12</v>
      </c>
      <c r="H8522" t="str">
        <f>TEXT(Tabela1[[#This Row],[Coluna2]]*29,"mmmm")</f>
        <v>dezembro</v>
      </c>
      <c r="I8522" t="str">
        <f>TEXT(MONTH(Tabela1[[#This Row],[Último pagto ano]])*29,"mmmm")</f>
        <v>dezembro</v>
      </c>
    </row>
    <row r="8523" spans="1:9" x14ac:dyDescent="0.25">
      <c r="A8523">
        <v>2025</v>
      </c>
      <c r="B8523" t="s">
        <v>16969</v>
      </c>
      <c r="C8523" s="1">
        <v>45996</v>
      </c>
      <c r="D8523" t="s">
        <v>16970</v>
      </c>
      <c r="E8523" s="2">
        <v>35100</v>
      </c>
      <c r="G8523" s="3">
        <f>MONTH(Tabela1[[#This Row],[Último pagto ano]])</f>
        <v>12</v>
      </c>
      <c r="H8523" t="str">
        <f>TEXT(Tabela1[[#This Row],[Coluna2]]*29,"mmmm")</f>
        <v>dezembro</v>
      </c>
      <c r="I8523" t="str">
        <f>TEXT(MONTH(Tabela1[[#This Row],[Último pagto ano]])*29,"mmmm")</f>
        <v>dezembro</v>
      </c>
    </row>
    <row r="8524" spans="1:9" x14ac:dyDescent="0.25">
      <c r="A8524">
        <v>2025</v>
      </c>
      <c r="B8524" t="s">
        <v>16971</v>
      </c>
      <c r="C8524" s="1">
        <v>46021</v>
      </c>
      <c r="D8524" t="s">
        <v>16972</v>
      </c>
      <c r="E8524" s="2">
        <v>12631.4</v>
      </c>
      <c r="G8524" s="3">
        <f>MONTH(Tabela1[[#This Row],[Último pagto ano]])</f>
        <v>12</v>
      </c>
      <c r="H8524" t="str">
        <f>TEXT(Tabela1[[#This Row],[Coluna2]]*29,"mmmm")</f>
        <v>dezembro</v>
      </c>
      <c r="I8524" t="str">
        <f>TEXT(MONTH(Tabela1[[#This Row],[Último pagto ano]])*29,"mmmm")</f>
        <v>dezembro</v>
      </c>
    </row>
    <row r="8525" spans="1:9" x14ac:dyDescent="0.25">
      <c r="A8525">
        <v>2025</v>
      </c>
      <c r="B8525" t="s">
        <v>16973</v>
      </c>
      <c r="C8525" s="1">
        <v>45943</v>
      </c>
      <c r="D8525" t="s">
        <v>16974</v>
      </c>
      <c r="E8525">
        <v>66</v>
      </c>
      <c r="G8525" s="3">
        <f>MONTH(Tabela1[[#This Row],[Último pagto ano]])</f>
        <v>10</v>
      </c>
      <c r="H8525" t="str">
        <f>TEXT(Tabela1[[#This Row],[Coluna2]]*29,"mmmm")</f>
        <v>outubro</v>
      </c>
      <c r="I8525" t="str">
        <f>TEXT(MONTH(Tabela1[[#This Row],[Último pagto ano]])*29,"mmmm")</f>
        <v>outubro</v>
      </c>
    </row>
    <row r="8526" spans="1:9" x14ac:dyDescent="0.25">
      <c r="A8526">
        <v>2025</v>
      </c>
      <c r="B8526" t="s">
        <v>16975</v>
      </c>
      <c r="C8526" s="1">
        <v>45992</v>
      </c>
      <c r="D8526" t="s">
        <v>16976</v>
      </c>
      <c r="E8526" s="2">
        <v>1193115.77</v>
      </c>
      <c r="G8526" s="3">
        <f>MONTH(Tabela1[[#This Row],[Último pagto ano]])</f>
        <v>12</v>
      </c>
      <c r="H8526" t="str">
        <f>TEXT(Tabela1[[#This Row],[Coluna2]]*29,"mmmm")</f>
        <v>dezembro</v>
      </c>
      <c r="I8526" t="str">
        <f>TEXT(MONTH(Tabela1[[#This Row],[Último pagto ano]])*29,"mmmm")</f>
        <v>dezembro</v>
      </c>
    </row>
    <row r="8527" spans="1:9" x14ac:dyDescent="0.25">
      <c r="A8527">
        <v>2025</v>
      </c>
      <c r="B8527" t="s">
        <v>16977</v>
      </c>
      <c r="C8527" s="1">
        <v>45734</v>
      </c>
      <c r="D8527" t="s">
        <v>16978</v>
      </c>
      <c r="E8527">
        <v>60</v>
      </c>
      <c r="G8527" s="3">
        <f>MONTH(Tabela1[[#This Row],[Último pagto ano]])</f>
        <v>3</v>
      </c>
      <c r="H8527" t="str">
        <f>TEXT(Tabela1[[#This Row],[Coluna2]]*29,"mmmm")</f>
        <v>março</v>
      </c>
      <c r="I8527" t="str">
        <f>TEXT(MONTH(Tabela1[[#This Row],[Último pagto ano]])*29,"mmmm")</f>
        <v>março</v>
      </c>
    </row>
    <row r="8528" spans="1:9" x14ac:dyDescent="0.25">
      <c r="A8528">
        <v>2025</v>
      </c>
      <c r="B8528" t="s">
        <v>16979</v>
      </c>
      <c r="C8528" s="1">
        <v>45999</v>
      </c>
      <c r="D8528" t="s">
        <v>16980</v>
      </c>
      <c r="E8528" s="2">
        <v>4943</v>
      </c>
      <c r="G8528" s="3">
        <f>MONTH(Tabela1[[#This Row],[Último pagto ano]])</f>
        <v>12</v>
      </c>
      <c r="H8528" t="str">
        <f>TEXT(Tabela1[[#This Row],[Coluna2]]*29,"mmmm")</f>
        <v>dezembro</v>
      </c>
      <c r="I8528" t="str">
        <f>TEXT(MONTH(Tabela1[[#This Row],[Último pagto ano]])*29,"mmmm")</f>
        <v>dezembro</v>
      </c>
    </row>
    <row r="8529" spans="1:9" x14ac:dyDescent="0.25">
      <c r="A8529">
        <v>2025</v>
      </c>
      <c r="B8529" t="s">
        <v>16981</v>
      </c>
      <c r="C8529" s="1">
        <v>46013</v>
      </c>
      <c r="D8529" t="s">
        <v>16982</v>
      </c>
      <c r="E8529" s="2">
        <v>387484.6</v>
      </c>
      <c r="G8529" s="3">
        <f>MONTH(Tabela1[[#This Row],[Último pagto ano]])</f>
        <v>12</v>
      </c>
      <c r="H8529" t="str">
        <f>TEXT(Tabela1[[#This Row],[Coluna2]]*29,"mmmm")</f>
        <v>dezembro</v>
      </c>
      <c r="I8529" t="str">
        <f>TEXT(MONTH(Tabela1[[#This Row],[Último pagto ano]])*29,"mmmm")</f>
        <v>dezembro</v>
      </c>
    </row>
    <row r="8530" spans="1:9" x14ac:dyDescent="0.25">
      <c r="A8530">
        <v>2025</v>
      </c>
      <c r="B8530" t="s">
        <v>16983</v>
      </c>
      <c r="C8530" s="1">
        <v>45992</v>
      </c>
      <c r="D8530" t="s">
        <v>16984</v>
      </c>
      <c r="E8530" s="2">
        <v>308960</v>
      </c>
      <c r="G8530" s="3">
        <f>MONTH(Tabela1[[#This Row],[Último pagto ano]])</f>
        <v>12</v>
      </c>
      <c r="H8530" t="str">
        <f>TEXT(Tabela1[[#This Row],[Coluna2]]*29,"mmmm")</f>
        <v>dezembro</v>
      </c>
      <c r="I8530" t="str">
        <f>TEXT(MONTH(Tabela1[[#This Row],[Último pagto ano]])*29,"mmmm")</f>
        <v>dezembro</v>
      </c>
    </row>
    <row r="8531" spans="1:9" x14ac:dyDescent="0.25">
      <c r="A8531">
        <v>2025</v>
      </c>
      <c r="B8531" t="s">
        <v>16985</v>
      </c>
      <c r="C8531" s="1">
        <v>45995</v>
      </c>
      <c r="D8531" t="s">
        <v>16986</v>
      </c>
      <c r="E8531" s="2">
        <v>198700</v>
      </c>
      <c r="G8531" s="3">
        <f>MONTH(Tabela1[[#This Row],[Último pagto ano]])</f>
        <v>12</v>
      </c>
      <c r="H8531" t="str">
        <f>TEXT(Tabela1[[#This Row],[Coluna2]]*29,"mmmm")</f>
        <v>dezembro</v>
      </c>
      <c r="I8531" t="str">
        <f>TEXT(MONTH(Tabela1[[#This Row],[Último pagto ano]])*29,"mmmm")</f>
        <v>dezembro</v>
      </c>
    </row>
    <row r="8532" spans="1:9" x14ac:dyDescent="0.25">
      <c r="A8532">
        <v>2025</v>
      </c>
      <c r="B8532" t="s">
        <v>16987</v>
      </c>
      <c r="C8532" s="1">
        <v>45915</v>
      </c>
      <c r="D8532" t="s">
        <v>16988</v>
      </c>
      <c r="E8532" s="2">
        <v>5613.76</v>
      </c>
      <c r="G8532" s="3">
        <f>MONTH(Tabela1[[#This Row],[Último pagto ano]])</f>
        <v>9</v>
      </c>
      <c r="H8532" t="str">
        <f>TEXT(Tabela1[[#This Row],[Coluna2]]*29,"mmmm")</f>
        <v>setembro</v>
      </c>
      <c r="I8532" t="str">
        <f>TEXT(MONTH(Tabela1[[#This Row],[Último pagto ano]])*29,"mmmm")</f>
        <v>setembro</v>
      </c>
    </row>
    <row r="8533" spans="1:9" x14ac:dyDescent="0.25">
      <c r="A8533">
        <v>2025</v>
      </c>
      <c r="B8533" t="s">
        <v>16989</v>
      </c>
      <c r="C8533" s="1">
        <v>45996</v>
      </c>
      <c r="D8533" t="s">
        <v>16990</v>
      </c>
      <c r="E8533" s="2">
        <v>12000</v>
      </c>
      <c r="G8533" s="3">
        <f>MONTH(Tabela1[[#This Row],[Último pagto ano]])</f>
        <v>12</v>
      </c>
      <c r="H8533" t="str">
        <f>TEXT(Tabela1[[#This Row],[Coluna2]]*29,"mmmm")</f>
        <v>dezembro</v>
      </c>
      <c r="I8533" t="str">
        <f>TEXT(MONTH(Tabela1[[#This Row],[Último pagto ano]])*29,"mmmm")</f>
        <v>dezembro</v>
      </c>
    </row>
    <row r="8534" spans="1:9" x14ac:dyDescent="0.25">
      <c r="A8534">
        <v>2025</v>
      </c>
      <c r="B8534" t="s">
        <v>16991</v>
      </c>
      <c r="C8534" s="1">
        <v>46021</v>
      </c>
      <c r="D8534" t="s">
        <v>16992</v>
      </c>
      <c r="E8534" s="2">
        <v>8439.83</v>
      </c>
      <c r="G8534" s="3">
        <f>MONTH(Tabela1[[#This Row],[Último pagto ano]])</f>
        <v>12</v>
      </c>
      <c r="H8534" t="str">
        <f>TEXT(Tabela1[[#This Row],[Coluna2]]*29,"mmmm")</f>
        <v>dezembro</v>
      </c>
      <c r="I8534" t="str">
        <f>TEXT(MONTH(Tabela1[[#This Row],[Último pagto ano]])*29,"mmmm")</f>
        <v>dezembro</v>
      </c>
    </row>
    <row r="8535" spans="1:9" x14ac:dyDescent="0.25">
      <c r="A8535">
        <v>2025</v>
      </c>
      <c r="B8535" t="s">
        <v>16993</v>
      </c>
      <c r="C8535" s="1">
        <v>46003</v>
      </c>
      <c r="D8535" t="s">
        <v>16994</v>
      </c>
      <c r="E8535" s="2">
        <v>23974.45</v>
      </c>
      <c r="G8535" s="3">
        <f>MONTH(Tabela1[[#This Row],[Último pagto ano]])</f>
        <v>12</v>
      </c>
      <c r="H8535" t="str">
        <f>TEXT(Tabela1[[#This Row],[Coluna2]]*29,"mmmm")</f>
        <v>dezembro</v>
      </c>
      <c r="I8535" t="str">
        <f>TEXT(MONTH(Tabela1[[#This Row],[Último pagto ano]])*29,"mmmm")</f>
        <v>dezembro</v>
      </c>
    </row>
    <row r="8536" spans="1:9" x14ac:dyDescent="0.25">
      <c r="A8536">
        <v>2025</v>
      </c>
      <c r="B8536" t="s">
        <v>16995</v>
      </c>
      <c r="C8536" s="1">
        <v>45996</v>
      </c>
      <c r="D8536" t="s">
        <v>16996</v>
      </c>
      <c r="E8536" s="2">
        <v>4500</v>
      </c>
      <c r="G8536" s="3">
        <f>MONTH(Tabela1[[#This Row],[Último pagto ano]])</f>
        <v>12</v>
      </c>
      <c r="H8536" t="str">
        <f>TEXT(Tabela1[[#This Row],[Coluna2]]*29,"mmmm")</f>
        <v>dezembro</v>
      </c>
      <c r="I8536" t="str">
        <f>TEXT(MONTH(Tabela1[[#This Row],[Último pagto ano]])*29,"mmmm")</f>
        <v>dezembro</v>
      </c>
    </row>
    <row r="8537" spans="1:9" x14ac:dyDescent="0.25">
      <c r="A8537">
        <v>2025</v>
      </c>
      <c r="B8537" t="s">
        <v>16997</v>
      </c>
      <c r="C8537" s="1">
        <v>45996</v>
      </c>
      <c r="D8537" t="s">
        <v>16998</v>
      </c>
      <c r="E8537" s="2">
        <v>4500</v>
      </c>
      <c r="G8537" s="3">
        <f>MONTH(Tabela1[[#This Row],[Último pagto ano]])</f>
        <v>12</v>
      </c>
      <c r="H8537" t="str">
        <f>TEXT(Tabela1[[#This Row],[Coluna2]]*29,"mmmm")</f>
        <v>dezembro</v>
      </c>
      <c r="I8537" t="str">
        <f>TEXT(MONTH(Tabela1[[#This Row],[Último pagto ano]])*29,"mmmm")</f>
        <v>dezembro</v>
      </c>
    </row>
    <row r="8538" spans="1:9" x14ac:dyDescent="0.25">
      <c r="A8538">
        <v>2025</v>
      </c>
      <c r="B8538" t="s">
        <v>16999</v>
      </c>
      <c r="C8538" s="1">
        <v>46021</v>
      </c>
      <c r="D8538" t="s">
        <v>17000</v>
      </c>
      <c r="E8538" s="2">
        <v>12758.43</v>
      </c>
      <c r="G8538" s="3">
        <f>MONTH(Tabela1[[#This Row],[Último pagto ano]])</f>
        <v>12</v>
      </c>
      <c r="H8538" t="str">
        <f>TEXT(Tabela1[[#This Row],[Coluna2]]*29,"mmmm")</f>
        <v>dezembro</v>
      </c>
      <c r="I8538" t="str">
        <f>TEXT(MONTH(Tabela1[[#This Row],[Último pagto ano]])*29,"mmmm")</f>
        <v>dezembro</v>
      </c>
    </row>
    <row r="8539" spans="1:9" x14ac:dyDescent="0.25">
      <c r="A8539">
        <v>2025</v>
      </c>
      <c r="B8539" t="s">
        <v>17001</v>
      </c>
      <c r="C8539" s="1">
        <v>45996</v>
      </c>
      <c r="D8539" t="s">
        <v>17002</v>
      </c>
      <c r="E8539" s="2">
        <v>2800</v>
      </c>
      <c r="G8539" s="3">
        <f>MONTH(Tabela1[[#This Row],[Último pagto ano]])</f>
        <v>12</v>
      </c>
      <c r="H8539" t="str">
        <f>TEXT(Tabela1[[#This Row],[Coluna2]]*29,"mmmm")</f>
        <v>dezembro</v>
      </c>
      <c r="I8539" t="str">
        <f>TEXT(MONTH(Tabela1[[#This Row],[Último pagto ano]])*29,"mmmm")</f>
        <v>dezembro</v>
      </c>
    </row>
    <row r="8540" spans="1:9" x14ac:dyDescent="0.25">
      <c r="A8540">
        <v>2025</v>
      </c>
      <c r="B8540" t="s">
        <v>17003</v>
      </c>
      <c r="C8540" s="1">
        <v>45880</v>
      </c>
      <c r="D8540" t="s">
        <v>17004</v>
      </c>
      <c r="E8540" s="2">
        <v>4289.75</v>
      </c>
      <c r="G8540" s="3">
        <f>MONTH(Tabela1[[#This Row],[Último pagto ano]])</f>
        <v>8</v>
      </c>
      <c r="H8540" t="str">
        <f>TEXT(Tabela1[[#This Row],[Coluna2]]*29,"mmmm")</f>
        <v>agosto</v>
      </c>
      <c r="I8540" t="str">
        <f>TEXT(MONTH(Tabela1[[#This Row],[Último pagto ano]])*29,"mmmm")</f>
        <v>agosto</v>
      </c>
    </row>
    <row r="8541" spans="1:9" x14ac:dyDescent="0.25">
      <c r="A8541">
        <v>2025</v>
      </c>
      <c r="B8541" t="s">
        <v>17005</v>
      </c>
      <c r="C8541" s="1">
        <v>45996</v>
      </c>
      <c r="D8541" t="s">
        <v>17006</v>
      </c>
      <c r="E8541" s="2">
        <v>5200</v>
      </c>
      <c r="G8541" s="3">
        <f>MONTH(Tabela1[[#This Row],[Último pagto ano]])</f>
        <v>12</v>
      </c>
      <c r="H8541" t="str">
        <f>TEXT(Tabela1[[#This Row],[Coluna2]]*29,"mmmm")</f>
        <v>dezembro</v>
      </c>
      <c r="I8541" t="str">
        <f>TEXT(MONTH(Tabela1[[#This Row],[Último pagto ano]])*29,"mmmm")</f>
        <v>dezembro</v>
      </c>
    </row>
    <row r="8542" spans="1:9" x14ac:dyDescent="0.25">
      <c r="A8542">
        <v>2025</v>
      </c>
      <c r="B8542" t="s">
        <v>17007</v>
      </c>
      <c r="C8542" s="1">
        <v>45702</v>
      </c>
      <c r="D8542" t="s">
        <v>17008</v>
      </c>
      <c r="E8542">
        <v>245.86</v>
      </c>
      <c r="G8542" s="3">
        <f>MONTH(Tabela1[[#This Row],[Último pagto ano]])</f>
        <v>2</v>
      </c>
      <c r="H8542" t="str">
        <f>TEXT(Tabela1[[#This Row],[Coluna2]]*29,"mmmm")</f>
        <v>fevereiro</v>
      </c>
      <c r="I8542" t="str">
        <f>TEXT(MONTH(Tabela1[[#This Row],[Último pagto ano]])*29,"mmmm")</f>
        <v>fevereiro</v>
      </c>
    </row>
    <row r="8543" spans="1:9" x14ac:dyDescent="0.25">
      <c r="A8543">
        <v>2025</v>
      </c>
      <c r="B8543" t="s">
        <v>17009</v>
      </c>
      <c r="C8543" s="1">
        <v>45996</v>
      </c>
      <c r="D8543" t="s">
        <v>17010</v>
      </c>
      <c r="E8543" s="2">
        <v>10000</v>
      </c>
      <c r="G8543" s="3">
        <f>MONTH(Tabela1[[#This Row],[Último pagto ano]])</f>
        <v>12</v>
      </c>
      <c r="H8543" t="str">
        <f>TEXT(Tabela1[[#This Row],[Coluna2]]*29,"mmmm")</f>
        <v>dezembro</v>
      </c>
      <c r="I8543" t="str">
        <f>TEXT(MONTH(Tabela1[[#This Row],[Último pagto ano]])*29,"mmmm")</f>
        <v>dezembro</v>
      </c>
    </row>
    <row r="8544" spans="1:9" x14ac:dyDescent="0.25">
      <c r="A8544">
        <v>2025</v>
      </c>
      <c r="B8544" t="s">
        <v>17011</v>
      </c>
      <c r="C8544" s="1">
        <v>45985</v>
      </c>
      <c r="D8544" t="s">
        <v>17012</v>
      </c>
      <c r="E8544">
        <v>253</v>
      </c>
      <c r="G8544" s="3">
        <f>MONTH(Tabela1[[#This Row],[Último pagto ano]])</f>
        <v>11</v>
      </c>
      <c r="H8544" t="str">
        <f>TEXT(Tabela1[[#This Row],[Coluna2]]*29,"mmmm")</f>
        <v>novembro</v>
      </c>
      <c r="I8544" t="str">
        <f>TEXT(MONTH(Tabela1[[#This Row],[Último pagto ano]])*29,"mmmm")</f>
        <v>novembro</v>
      </c>
    </row>
    <row r="8545" spans="1:9" x14ac:dyDescent="0.25">
      <c r="A8545">
        <v>2025</v>
      </c>
      <c r="B8545" t="s">
        <v>17013</v>
      </c>
      <c r="C8545" s="1">
        <v>46006</v>
      </c>
      <c r="D8545" t="s">
        <v>17014</v>
      </c>
      <c r="E8545" s="2">
        <v>19197.28</v>
      </c>
      <c r="G8545" s="3">
        <f>MONTH(Tabela1[[#This Row],[Último pagto ano]])</f>
        <v>12</v>
      </c>
      <c r="H8545" t="str">
        <f>TEXT(Tabela1[[#This Row],[Coluna2]]*29,"mmmm")</f>
        <v>dezembro</v>
      </c>
      <c r="I8545" t="str">
        <f>TEXT(MONTH(Tabela1[[#This Row],[Último pagto ano]])*29,"mmmm")</f>
        <v>dezembro</v>
      </c>
    </row>
    <row r="8546" spans="1:9" x14ac:dyDescent="0.25">
      <c r="A8546">
        <v>2025</v>
      </c>
      <c r="B8546" t="s">
        <v>17015</v>
      </c>
      <c r="C8546" s="1">
        <v>46021</v>
      </c>
      <c r="D8546" t="s">
        <v>17016</v>
      </c>
      <c r="E8546" s="2">
        <v>6237.66</v>
      </c>
      <c r="G8546" s="3">
        <f>MONTH(Tabela1[[#This Row],[Último pagto ano]])</f>
        <v>12</v>
      </c>
      <c r="H8546" t="str">
        <f>TEXT(Tabela1[[#This Row],[Coluna2]]*29,"mmmm")</f>
        <v>dezembro</v>
      </c>
      <c r="I8546" t="str">
        <f>TEXT(MONTH(Tabela1[[#This Row],[Último pagto ano]])*29,"mmmm")</f>
        <v>dezembro</v>
      </c>
    </row>
    <row r="8547" spans="1:9" x14ac:dyDescent="0.25">
      <c r="A8547">
        <v>2025</v>
      </c>
      <c r="B8547" t="s">
        <v>17017</v>
      </c>
      <c r="C8547" s="1">
        <v>45996</v>
      </c>
      <c r="D8547" t="s">
        <v>17018</v>
      </c>
      <c r="E8547" s="2">
        <v>5500</v>
      </c>
      <c r="G8547" s="3">
        <f>MONTH(Tabela1[[#This Row],[Último pagto ano]])</f>
        <v>12</v>
      </c>
      <c r="H8547" t="str">
        <f>TEXT(Tabela1[[#This Row],[Coluna2]]*29,"mmmm")</f>
        <v>dezembro</v>
      </c>
      <c r="I8547" t="str">
        <f>TEXT(MONTH(Tabela1[[#This Row],[Último pagto ano]])*29,"mmmm")</f>
        <v>dezembro</v>
      </c>
    </row>
    <row r="8548" spans="1:9" x14ac:dyDescent="0.25">
      <c r="A8548">
        <v>2025</v>
      </c>
      <c r="B8548" t="s">
        <v>17019</v>
      </c>
      <c r="C8548" s="1">
        <v>45845</v>
      </c>
      <c r="D8548" t="s">
        <v>17020</v>
      </c>
      <c r="E8548" s="2">
        <v>32400</v>
      </c>
      <c r="G8548" s="3">
        <f>MONTH(Tabela1[[#This Row],[Último pagto ano]])</f>
        <v>7</v>
      </c>
      <c r="H8548" t="str">
        <f>TEXT(Tabela1[[#This Row],[Coluna2]]*29,"mmmm")</f>
        <v>julho</v>
      </c>
      <c r="I8548" t="str">
        <f>TEXT(MONTH(Tabela1[[#This Row],[Último pagto ano]])*29,"mmmm")</f>
        <v>julho</v>
      </c>
    </row>
    <row r="8549" spans="1:9" x14ac:dyDescent="0.25">
      <c r="A8549">
        <v>2025</v>
      </c>
      <c r="B8549" t="s">
        <v>17021</v>
      </c>
      <c r="C8549" s="1">
        <v>45702</v>
      </c>
      <c r="D8549" t="s">
        <v>17022</v>
      </c>
      <c r="E8549">
        <v>44.41</v>
      </c>
      <c r="G8549" s="3">
        <f>MONTH(Tabela1[[#This Row],[Último pagto ano]])</f>
        <v>2</v>
      </c>
      <c r="H8549" t="str">
        <f>TEXT(Tabela1[[#This Row],[Coluna2]]*29,"mmmm")</f>
        <v>fevereiro</v>
      </c>
      <c r="I8549" t="str">
        <f>TEXT(MONTH(Tabela1[[#This Row],[Último pagto ano]])*29,"mmmm")</f>
        <v>fevereiro</v>
      </c>
    </row>
    <row r="8550" spans="1:9" x14ac:dyDescent="0.25">
      <c r="A8550">
        <v>2025</v>
      </c>
      <c r="B8550" t="s">
        <v>17023</v>
      </c>
      <c r="C8550" s="1">
        <v>45996</v>
      </c>
      <c r="D8550" t="s">
        <v>17024</v>
      </c>
      <c r="E8550" s="2">
        <v>9000</v>
      </c>
      <c r="G8550" s="3">
        <f>MONTH(Tabela1[[#This Row],[Último pagto ano]])</f>
        <v>12</v>
      </c>
      <c r="H8550" t="str">
        <f>TEXT(Tabela1[[#This Row],[Coluna2]]*29,"mmmm")</f>
        <v>dezembro</v>
      </c>
      <c r="I8550" t="str">
        <f>TEXT(MONTH(Tabela1[[#This Row],[Último pagto ano]])*29,"mmmm")</f>
        <v>dezembro</v>
      </c>
    </row>
    <row r="8551" spans="1:9" x14ac:dyDescent="0.25">
      <c r="A8551">
        <v>2025</v>
      </c>
      <c r="B8551" t="s">
        <v>17025</v>
      </c>
      <c r="C8551" s="1">
        <v>45702</v>
      </c>
      <c r="D8551" t="s">
        <v>17026</v>
      </c>
      <c r="E8551">
        <v>140.18</v>
      </c>
      <c r="G8551" s="3">
        <f>MONTH(Tabela1[[#This Row],[Último pagto ano]])</f>
        <v>2</v>
      </c>
      <c r="H8551" t="str">
        <f>TEXT(Tabela1[[#This Row],[Coluna2]]*29,"mmmm")</f>
        <v>fevereiro</v>
      </c>
      <c r="I8551" t="str">
        <f>TEXT(MONTH(Tabela1[[#This Row],[Último pagto ano]])*29,"mmmm")</f>
        <v>fevereiro</v>
      </c>
    </row>
    <row r="8552" spans="1:9" x14ac:dyDescent="0.25">
      <c r="A8552">
        <v>2025</v>
      </c>
      <c r="B8552" t="s">
        <v>17027</v>
      </c>
      <c r="C8552" s="1">
        <v>45838</v>
      </c>
      <c r="D8552" t="s">
        <v>17028</v>
      </c>
      <c r="E8552" s="2">
        <v>3688.11</v>
      </c>
      <c r="G8552" s="3">
        <f>MONTH(Tabela1[[#This Row],[Último pagto ano]])</f>
        <v>6</v>
      </c>
      <c r="H8552" t="str">
        <f>TEXT(Tabela1[[#This Row],[Coluna2]]*29,"mmmm")</f>
        <v>junho</v>
      </c>
      <c r="I8552" t="str">
        <f>TEXT(MONTH(Tabela1[[#This Row],[Último pagto ano]])*29,"mmmm")</f>
        <v>junho</v>
      </c>
    </row>
    <row r="8553" spans="1:9" x14ac:dyDescent="0.25">
      <c r="A8553">
        <v>2025</v>
      </c>
      <c r="B8553" t="s">
        <v>17029</v>
      </c>
      <c r="C8553" s="1">
        <v>45670</v>
      </c>
      <c r="D8553" t="s">
        <v>17030</v>
      </c>
      <c r="E8553">
        <v>66.64</v>
      </c>
      <c r="G8553" s="3">
        <f>MONTH(Tabela1[[#This Row],[Último pagto ano]])</f>
        <v>1</v>
      </c>
      <c r="H8553" t="str">
        <f>TEXT(Tabela1[[#This Row],[Coluna2]]*29,"mmmm")</f>
        <v>janeiro</v>
      </c>
      <c r="I8553" t="str">
        <f>TEXT(MONTH(Tabela1[[#This Row],[Último pagto ano]])*29,"mmmm")</f>
        <v>janeiro</v>
      </c>
    </row>
    <row r="8554" spans="1:9" x14ac:dyDescent="0.25">
      <c r="A8554">
        <v>2025</v>
      </c>
      <c r="B8554" t="s">
        <v>17031</v>
      </c>
      <c r="C8554" s="1">
        <v>45989</v>
      </c>
      <c r="D8554" t="s">
        <v>17032</v>
      </c>
      <c r="E8554" s="2">
        <v>11534.42</v>
      </c>
      <c r="G8554" s="3">
        <f>MONTH(Tabela1[[#This Row],[Último pagto ano]])</f>
        <v>11</v>
      </c>
      <c r="H8554" t="str">
        <f>TEXT(Tabela1[[#This Row],[Coluna2]]*29,"mmmm")</f>
        <v>novembro</v>
      </c>
      <c r="I8554" t="str">
        <f>TEXT(MONTH(Tabela1[[#This Row],[Último pagto ano]])*29,"mmmm")</f>
        <v>novembro</v>
      </c>
    </row>
    <row r="8555" spans="1:9" x14ac:dyDescent="0.25">
      <c r="A8555">
        <v>2025</v>
      </c>
      <c r="B8555" t="s">
        <v>17033</v>
      </c>
      <c r="C8555" s="1">
        <v>46010</v>
      </c>
      <c r="D8555" t="s">
        <v>17034</v>
      </c>
      <c r="E8555" s="2">
        <v>8400</v>
      </c>
      <c r="G8555" s="3">
        <f>MONTH(Tabela1[[#This Row],[Último pagto ano]])</f>
        <v>12</v>
      </c>
      <c r="H8555" t="str">
        <f>TEXT(Tabela1[[#This Row],[Coluna2]]*29,"mmmm")</f>
        <v>dezembro</v>
      </c>
      <c r="I8555" t="str">
        <f>TEXT(MONTH(Tabela1[[#This Row],[Último pagto ano]])*29,"mmmm")</f>
        <v>dezembro</v>
      </c>
    </row>
    <row r="8556" spans="1:9" x14ac:dyDescent="0.25">
      <c r="A8556">
        <v>2025</v>
      </c>
      <c r="B8556" t="s">
        <v>17035</v>
      </c>
      <c r="C8556" s="1">
        <v>46010</v>
      </c>
      <c r="D8556" t="s">
        <v>17036</v>
      </c>
      <c r="E8556" s="2">
        <v>12000</v>
      </c>
      <c r="G8556" s="3">
        <f>MONTH(Tabela1[[#This Row],[Último pagto ano]])</f>
        <v>12</v>
      </c>
      <c r="H8556" t="str">
        <f>TEXT(Tabela1[[#This Row],[Coluna2]]*29,"mmmm")</f>
        <v>dezembro</v>
      </c>
      <c r="I8556" t="str">
        <f>TEXT(MONTH(Tabela1[[#This Row],[Último pagto ano]])*29,"mmmm")</f>
        <v>dezembro</v>
      </c>
    </row>
    <row r="8557" spans="1:9" x14ac:dyDescent="0.25">
      <c r="A8557">
        <v>2025</v>
      </c>
      <c r="B8557" t="s">
        <v>17037</v>
      </c>
      <c r="C8557" s="1">
        <v>45744</v>
      </c>
      <c r="D8557" t="s">
        <v>17038</v>
      </c>
      <c r="E8557" s="2">
        <v>2134.61</v>
      </c>
      <c r="G8557" s="3">
        <f>MONTH(Tabela1[[#This Row],[Último pagto ano]])</f>
        <v>3</v>
      </c>
      <c r="H8557" t="str">
        <f>TEXT(Tabela1[[#This Row],[Coluna2]]*29,"mmmm")</f>
        <v>março</v>
      </c>
      <c r="I8557" t="str">
        <f>TEXT(MONTH(Tabela1[[#This Row],[Último pagto ano]])*29,"mmmm")</f>
        <v>março</v>
      </c>
    </row>
    <row r="8558" spans="1:9" x14ac:dyDescent="0.25">
      <c r="A8558">
        <v>2025</v>
      </c>
      <c r="B8558" t="s">
        <v>17039</v>
      </c>
      <c r="C8558" s="1">
        <v>45996</v>
      </c>
      <c r="D8558" t="s">
        <v>17040</v>
      </c>
      <c r="E8558" s="2">
        <v>5500</v>
      </c>
      <c r="G8558" s="3">
        <f>MONTH(Tabela1[[#This Row],[Último pagto ano]])</f>
        <v>12</v>
      </c>
      <c r="H8558" t="str">
        <f>TEXT(Tabela1[[#This Row],[Coluna2]]*29,"mmmm")</f>
        <v>dezembro</v>
      </c>
      <c r="I8558" t="str">
        <f>TEXT(MONTH(Tabela1[[#This Row],[Último pagto ano]])*29,"mmmm")</f>
        <v>dezembro</v>
      </c>
    </row>
    <row r="8559" spans="1:9" x14ac:dyDescent="0.25">
      <c r="A8559">
        <v>2025</v>
      </c>
      <c r="B8559" t="s">
        <v>17041</v>
      </c>
      <c r="C8559" s="1">
        <v>45937</v>
      </c>
      <c r="D8559" t="s">
        <v>17042</v>
      </c>
      <c r="E8559" s="2">
        <v>6800</v>
      </c>
      <c r="G8559" s="3">
        <f>MONTH(Tabela1[[#This Row],[Último pagto ano]])</f>
        <v>10</v>
      </c>
      <c r="H8559" t="str">
        <f>TEXT(Tabela1[[#This Row],[Coluna2]]*29,"mmmm")</f>
        <v>outubro</v>
      </c>
      <c r="I8559" t="str">
        <f>TEXT(MONTH(Tabela1[[#This Row],[Último pagto ano]])*29,"mmmm")</f>
        <v>outubro</v>
      </c>
    </row>
    <row r="8560" spans="1:9" x14ac:dyDescent="0.25">
      <c r="A8560">
        <v>2025</v>
      </c>
      <c r="B8560" t="s">
        <v>17043</v>
      </c>
      <c r="C8560" s="1">
        <v>45702</v>
      </c>
      <c r="D8560" t="s">
        <v>17044</v>
      </c>
      <c r="E8560">
        <v>86.17</v>
      </c>
      <c r="G8560" s="3">
        <f>MONTH(Tabela1[[#This Row],[Último pagto ano]])</f>
        <v>2</v>
      </c>
      <c r="H8560" t="str">
        <f>TEXT(Tabela1[[#This Row],[Coluna2]]*29,"mmmm")</f>
        <v>fevereiro</v>
      </c>
      <c r="I8560" t="str">
        <f>TEXT(MONTH(Tabela1[[#This Row],[Último pagto ano]])*29,"mmmm")</f>
        <v>fevereiro</v>
      </c>
    </row>
    <row r="8561" spans="1:9" x14ac:dyDescent="0.25">
      <c r="A8561">
        <v>2025</v>
      </c>
      <c r="B8561" t="s">
        <v>17045</v>
      </c>
      <c r="C8561" s="1">
        <v>45989</v>
      </c>
      <c r="D8561" t="s">
        <v>17046</v>
      </c>
      <c r="E8561" s="2">
        <v>2312.4499999999998</v>
      </c>
      <c r="G8561" s="3">
        <f>MONTH(Tabela1[[#This Row],[Último pagto ano]])</f>
        <v>11</v>
      </c>
      <c r="H8561" t="str">
        <f>TEXT(Tabela1[[#This Row],[Coluna2]]*29,"mmmm")</f>
        <v>novembro</v>
      </c>
      <c r="I8561" t="str">
        <f>TEXT(MONTH(Tabela1[[#This Row],[Último pagto ano]])*29,"mmmm")</f>
        <v>novembro</v>
      </c>
    </row>
    <row r="8562" spans="1:9" x14ac:dyDescent="0.25">
      <c r="A8562">
        <v>2025</v>
      </c>
      <c r="B8562" t="s">
        <v>17047</v>
      </c>
      <c r="C8562" s="1">
        <v>45853</v>
      </c>
      <c r="D8562" t="s">
        <v>17048</v>
      </c>
      <c r="E8562" s="2">
        <v>6192.35</v>
      </c>
      <c r="G8562" s="3">
        <f>MONTH(Tabela1[[#This Row],[Último pagto ano]])</f>
        <v>7</v>
      </c>
      <c r="H8562" t="str">
        <f>TEXT(Tabela1[[#This Row],[Coluna2]]*29,"mmmm")</f>
        <v>julho</v>
      </c>
      <c r="I8562" t="str">
        <f>TEXT(MONTH(Tabela1[[#This Row],[Último pagto ano]])*29,"mmmm")</f>
        <v>julho</v>
      </c>
    </row>
    <row r="8563" spans="1:9" x14ac:dyDescent="0.25">
      <c r="A8563">
        <v>2025</v>
      </c>
      <c r="B8563" t="s">
        <v>17049</v>
      </c>
      <c r="C8563" s="1">
        <v>45740</v>
      </c>
      <c r="D8563" t="s">
        <v>17050</v>
      </c>
      <c r="E8563" s="2">
        <v>3112.2</v>
      </c>
      <c r="G8563" s="3">
        <f>MONTH(Tabela1[[#This Row],[Último pagto ano]])</f>
        <v>3</v>
      </c>
      <c r="H8563" t="str">
        <f>TEXT(Tabela1[[#This Row],[Coluna2]]*29,"mmmm")</f>
        <v>março</v>
      </c>
      <c r="I8563" t="str">
        <f>TEXT(MONTH(Tabela1[[#This Row],[Último pagto ano]])*29,"mmmm")</f>
        <v>março</v>
      </c>
    </row>
    <row r="8564" spans="1:9" x14ac:dyDescent="0.25">
      <c r="A8564">
        <v>2025</v>
      </c>
      <c r="B8564" t="s">
        <v>17051</v>
      </c>
      <c r="C8564" s="1">
        <v>46021</v>
      </c>
      <c r="D8564" t="s">
        <v>17052</v>
      </c>
      <c r="E8564" s="2">
        <v>4620.37</v>
      </c>
      <c r="G8564" s="3">
        <f>MONTH(Tabela1[[#This Row],[Último pagto ano]])</f>
        <v>12</v>
      </c>
      <c r="H8564" t="str">
        <f>TEXT(Tabela1[[#This Row],[Coluna2]]*29,"mmmm")</f>
        <v>dezembro</v>
      </c>
      <c r="I8564" t="str">
        <f>TEXT(MONTH(Tabela1[[#This Row],[Último pagto ano]])*29,"mmmm")</f>
        <v>dezembro</v>
      </c>
    </row>
    <row r="8565" spans="1:9" x14ac:dyDescent="0.25">
      <c r="A8565">
        <v>2025</v>
      </c>
      <c r="B8565" t="s">
        <v>17053</v>
      </c>
      <c r="C8565" s="1">
        <v>45789</v>
      </c>
      <c r="D8565" t="s">
        <v>17054</v>
      </c>
      <c r="E8565">
        <v>9.1999999999999993</v>
      </c>
      <c r="G8565" s="3">
        <f>MONTH(Tabela1[[#This Row],[Último pagto ano]])</f>
        <v>5</v>
      </c>
      <c r="H8565" t="str">
        <f>TEXT(Tabela1[[#This Row],[Coluna2]]*29,"mmmm")</f>
        <v>maio</v>
      </c>
      <c r="I8565" t="str">
        <f>TEXT(MONTH(Tabela1[[#This Row],[Último pagto ano]])*29,"mmmm")</f>
        <v>maio</v>
      </c>
    </row>
    <row r="8566" spans="1:9" x14ac:dyDescent="0.25">
      <c r="A8566">
        <v>2025</v>
      </c>
      <c r="B8566" t="s">
        <v>17055</v>
      </c>
      <c r="C8566" s="1">
        <v>45964</v>
      </c>
      <c r="D8566" t="s">
        <v>17056</v>
      </c>
      <c r="E8566">
        <v>55</v>
      </c>
      <c r="G8566" s="3">
        <f>MONTH(Tabela1[[#This Row],[Último pagto ano]])</f>
        <v>11</v>
      </c>
      <c r="H8566" t="str">
        <f>TEXT(Tabela1[[#This Row],[Coluna2]]*29,"mmmm")</f>
        <v>novembro</v>
      </c>
      <c r="I8566" t="str">
        <f>TEXT(MONTH(Tabela1[[#This Row],[Último pagto ano]])*29,"mmmm")</f>
        <v>novembro</v>
      </c>
    </row>
    <row r="8567" spans="1:9" x14ac:dyDescent="0.25">
      <c r="A8567">
        <v>2025</v>
      </c>
      <c r="B8567" t="s">
        <v>17057</v>
      </c>
      <c r="C8567" s="1">
        <v>45824</v>
      </c>
      <c r="D8567" t="s">
        <v>17058</v>
      </c>
      <c r="E8567" s="2">
        <v>3456.03</v>
      </c>
      <c r="G8567" s="3">
        <f>MONTH(Tabela1[[#This Row],[Último pagto ano]])</f>
        <v>6</v>
      </c>
      <c r="H8567" t="str">
        <f>TEXT(Tabela1[[#This Row],[Coluna2]]*29,"mmmm")</f>
        <v>junho</v>
      </c>
      <c r="I8567" t="str">
        <f>TEXT(MONTH(Tabela1[[#This Row],[Último pagto ano]])*29,"mmmm")</f>
        <v>junho</v>
      </c>
    </row>
    <row r="8568" spans="1:9" x14ac:dyDescent="0.25">
      <c r="A8568">
        <v>2025</v>
      </c>
      <c r="B8568" t="s">
        <v>17059</v>
      </c>
      <c r="C8568" s="1">
        <v>45709</v>
      </c>
      <c r="D8568" t="s">
        <v>17060</v>
      </c>
      <c r="E8568">
        <v>71.709999999999994</v>
      </c>
      <c r="G8568" s="3">
        <f>MONTH(Tabela1[[#This Row],[Último pagto ano]])</f>
        <v>2</v>
      </c>
      <c r="H8568" t="str">
        <f>TEXT(Tabela1[[#This Row],[Coluna2]]*29,"mmmm")</f>
        <v>fevereiro</v>
      </c>
      <c r="I8568" t="str">
        <f>TEXT(MONTH(Tabela1[[#This Row],[Último pagto ano]])*29,"mmmm")</f>
        <v>fevereiro</v>
      </c>
    </row>
    <row r="8569" spans="1:9" x14ac:dyDescent="0.25">
      <c r="A8569">
        <v>2025</v>
      </c>
      <c r="B8569" t="s">
        <v>17061</v>
      </c>
      <c r="C8569" s="1">
        <v>45702</v>
      </c>
      <c r="D8569" t="s">
        <v>17062</v>
      </c>
      <c r="E8569">
        <v>22.27</v>
      </c>
      <c r="G8569" s="3">
        <f>MONTH(Tabela1[[#This Row],[Último pagto ano]])</f>
        <v>2</v>
      </c>
      <c r="H8569" t="str">
        <f>TEXT(Tabela1[[#This Row],[Coluna2]]*29,"mmmm")</f>
        <v>fevereiro</v>
      </c>
      <c r="I8569" t="str">
        <f>TEXT(MONTH(Tabela1[[#This Row],[Último pagto ano]])*29,"mmmm")</f>
        <v>fevereiro</v>
      </c>
    </row>
    <row r="8570" spans="1:9" x14ac:dyDescent="0.25">
      <c r="A8570">
        <v>2025</v>
      </c>
      <c r="B8570" t="s">
        <v>17063</v>
      </c>
      <c r="C8570" s="1">
        <v>45996</v>
      </c>
      <c r="D8570" t="s">
        <v>17064</v>
      </c>
      <c r="E8570" s="2">
        <v>2550</v>
      </c>
      <c r="G8570" s="3">
        <f>MONTH(Tabela1[[#This Row],[Último pagto ano]])</f>
        <v>12</v>
      </c>
      <c r="H8570" t="str">
        <f>TEXT(Tabela1[[#This Row],[Coluna2]]*29,"mmmm")</f>
        <v>dezembro</v>
      </c>
      <c r="I8570" t="str">
        <f>TEXT(MONTH(Tabela1[[#This Row],[Último pagto ano]])*29,"mmmm")</f>
        <v>dezembro</v>
      </c>
    </row>
    <row r="8571" spans="1:9" x14ac:dyDescent="0.25">
      <c r="A8571">
        <v>2025</v>
      </c>
      <c r="B8571" t="s">
        <v>17065</v>
      </c>
      <c r="C8571" s="1">
        <v>45989</v>
      </c>
      <c r="D8571" t="s">
        <v>17066</v>
      </c>
      <c r="E8571" s="2">
        <v>4020.78</v>
      </c>
      <c r="G8571" s="3">
        <f>MONTH(Tabela1[[#This Row],[Último pagto ano]])</f>
        <v>11</v>
      </c>
      <c r="H8571" t="str">
        <f>TEXT(Tabela1[[#This Row],[Coluna2]]*29,"mmmm")</f>
        <v>novembro</v>
      </c>
      <c r="I8571" t="str">
        <f>TEXT(MONTH(Tabela1[[#This Row],[Último pagto ano]])*29,"mmmm")</f>
        <v>novembro</v>
      </c>
    </row>
    <row r="8572" spans="1:9" x14ac:dyDescent="0.25">
      <c r="A8572">
        <v>2025</v>
      </c>
      <c r="B8572" t="s">
        <v>17067</v>
      </c>
      <c r="C8572" s="1">
        <v>45841</v>
      </c>
      <c r="D8572" t="s">
        <v>17068</v>
      </c>
      <c r="E8572" s="2">
        <v>3324.41</v>
      </c>
      <c r="G8572" s="3">
        <f>MONTH(Tabela1[[#This Row],[Último pagto ano]])</f>
        <v>7</v>
      </c>
      <c r="H8572" t="str">
        <f>TEXT(Tabela1[[#This Row],[Coluna2]]*29,"mmmm")</f>
        <v>julho</v>
      </c>
      <c r="I8572" t="str">
        <f>TEXT(MONTH(Tabela1[[#This Row],[Último pagto ano]])*29,"mmmm")</f>
        <v>julho</v>
      </c>
    </row>
    <row r="8573" spans="1:9" x14ac:dyDescent="0.25">
      <c r="A8573">
        <v>2025</v>
      </c>
      <c r="B8573" t="s">
        <v>17069</v>
      </c>
      <c r="C8573" s="1">
        <v>45748</v>
      </c>
      <c r="D8573" t="s">
        <v>17070</v>
      </c>
      <c r="E8573" s="2">
        <v>2182.3000000000002</v>
      </c>
      <c r="G8573" s="3">
        <f>MONTH(Tabela1[[#This Row],[Último pagto ano]])</f>
        <v>4</v>
      </c>
      <c r="H8573" t="str">
        <f>TEXT(Tabela1[[#This Row],[Coluna2]]*29,"mmmm")</f>
        <v>abril</v>
      </c>
      <c r="I8573" t="str">
        <f>TEXT(MONTH(Tabela1[[#This Row],[Último pagto ano]])*29,"mmmm")</f>
        <v>abril</v>
      </c>
    </row>
    <row r="8574" spans="1:9" x14ac:dyDescent="0.25">
      <c r="A8574">
        <v>2025</v>
      </c>
      <c r="B8574" t="s">
        <v>17071</v>
      </c>
      <c r="C8574" s="1">
        <v>45702</v>
      </c>
      <c r="D8574" t="s">
        <v>17072</v>
      </c>
      <c r="E8574">
        <v>57.56</v>
      </c>
      <c r="G8574" s="3">
        <f>MONTH(Tabela1[[#This Row],[Último pagto ano]])</f>
        <v>2</v>
      </c>
      <c r="H8574" t="str">
        <f>TEXT(Tabela1[[#This Row],[Coluna2]]*29,"mmmm")</f>
        <v>fevereiro</v>
      </c>
      <c r="I8574" t="str">
        <f>TEXT(MONTH(Tabela1[[#This Row],[Último pagto ano]])*29,"mmmm")</f>
        <v>fevereiro</v>
      </c>
    </row>
    <row r="8575" spans="1:9" x14ac:dyDescent="0.25">
      <c r="A8575">
        <v>2025</v>
      </c>
      <c r="B8575" t="s">
        <v>17073</v>
      </c>
      <c r="C8575" s="1">
        <v>45702</v>
      </c>
      <c r="D8575" t="s">
        <v>17074</v>
      </c>
      <c r="E8575" s="2">
        <v>1126.9100000000001</v>
      </c>
      <c r="G8575" s="3">
        <f>MONTH(Tabela1[[#This Row],[Último pagto ano]])</f>
        <v>2</v>
      </c>
      <c r="H8575" t="str">
        <f>TEXT(Tabela1[[#This Row],[Coluna2]]*29,"mmmm")</f>
        <v>fevereiro</v>
      </c>
      <c r="I8575" t="str">
        <f>TEXT(MONTH(Tabela1[[#This Row],[Último pagto ano]])*29,"mmmm")</f>
        <v>fevereiro</v>
      </c>
    </row>
    <row r="8576" spans="1:9" x14ac:dyDescent="0.25">
      <c r="A8576">
        <v>2025</v>
      </c>
      <c r="B8576" t="s">
        <v>17075</v>
      </c>
      <c r="C8576" s="1">
        <v>46021</v>
      </c>
      <c r="D8576" t="s">
        <v>17076</v>
      </c>
      <c r="E8576" s="2">
        <v>12757.36</v>
      </c>
      <c r="G8576" s="3">
        <f>MONTH(Tabela1[[#This Row],[Último pagto ano]])</f>
        <v>12</v>
      </c>
      <c r="H8576" t="str">
        <f>TEXT(Tabela1[[#This Row],[Coluna2]]*29,"mmmm")</f>
        <v>dezembro</v>
      </c>
      <c r="I8576" t="str">
        <f>TEXT(MONTH(Tabela1[[#This Row],[Último pagto ano]])*29,"mmmm")</f>
        <v>dezembro</v>
      </c>
    </row>
    <row r="8577" spans="1:9" x14ac:dyDescent="0.25">
      <c r="A8577">
        <v>2025</v>
      </c>
      <c r="B8577" t="s">
        <v>17077</v>
      </c>
      <c r="C8577" s="1">
        <v>45985</v>
      </c>
      <c r="D8577" t="s">
        <v>17078</v>
      </c>
      <c r="E8577" s="2">
        <v>7700</v>
      </c>
      <c r="G8577" s="3">
        <f>MONTH(Tabela1[[#This Row],[Último pagto ano]])</f>
        <v>11</v>
      </c>
      <c r="H8577" t="str">
        <f>TEXT(Tabela1[[#This Row],[Coluna2]]*29,"mmmm")</f>
        <v>novembro</v>
      </c>
      <c r="I8577" t="str">
        <f>TEXT(MONTH(Tabela1[[#This Row],[Último pagto ano]])*29,"mmmm")</f>
        <v>novembro</v>
      </c>
    </row>
    <row r="8578" spans="1:9" x14ac:dyDescent="0.25">
      <c r="A8578">
        <v>2025</v>
      </c>
      <c r="B8578" t="s">
        <v>17079</v>
      </c>
      <c r="C8578" s="1">
        <v>46006</v>
      </c>
      <c r="D8578" t="s">
        <v>17080</v>
      </c>
      <c r="E8578" s="2">
        <v>8400</v>
      </c>
      <c r="G8578" s="3">
        <f>MONTH(Tabela1[[#This Row],[Último pagto ano]])</f>
        <v>12</v>
      </c>
      <c r="H8578" t="str">
        <f>TEXT(Tabela1[[#This Row],[Coluna2]]*29,"mmmm")</f>
        <v>dezembro</v>
      </c>
      <c r="I8578" t="str">
        <f>TEXT(MONTH(Tabela1[[#This Row],[Último pagto ano]])*29,"mmmm")</f>
        <v>dezembro</v>
      </c>
    </row>
    <row r="8579" spans="1:9" x14ac:dyDescent="0.25">
      <c r="A8579">
        <v>2025</v>
      </c>
      <c r="B8579" t="s">
        <v>17081</v>
      </c>
      <c r="C8579" s="1">
        <v>46014</v>
      </c>
      <c r="D8579" t="s">
        <v>17082</v>
      </c>
      <c r="E8579">
        <v>88</v>
      </c>
      <c r="G8579" s="3">
        <f>MONTH(Tabela1[[#This Row],[Último pagto ano]])</f>
        <v>12</v>
      </c>
      <c r="H8579" t="str">
        <f>TEXT(Tabela1[[#This Row],[Coluna2]]*29,"mmmm")</f>
        <v>dezembro</v>
      </c>
      <c r="I8579" t="str">
        <f>TEXT(MONTH(Tabela1[[#This Row],[Último pagto ano]])*29,"mmmm")</f>
        <v>dezembro</v>
      </c>
    </row>
    <row r="8580" spans="1:9" x14ac:dyDescent="0.25">
      <c r="A8580">
        <v>2025</v>
      </c>
      <c r="B8580" t="s">
        <v>17083</v>
      </c>
      <c r="C8580" s="1">
        <v>45964</v>
      </c>
      <c r="D8580" t="s">
        <v>17084</v>
      </c>
      <c r="E8580">
        <v>44</v>
      </c>
      <c r="G8580" s="3">
        <f>MONTH(Tabela1[[#This Row],[Último pagto ano]])</f>
        <v>11</v>
      </c>
      <c r="H8580" t="str">
        <f>TEXT(Tabela1[[#This Row],[Coluna2]]*29,"mmmm")</f>
        <v>novembro</v>
      </c>
      <c r="I8580" t="str">
        <f>TEXT(MONTH(Tabela1[[#This Row],[Último pagto ano]])*29,"mmmm")</f>
        <v>novembro</v>
      </c>
    </row>
    <row r="8581" spans="1:9" x14ac:dyDescent="0.25">
      <c r="A8581">
        <v>2025</v>
      </c>
      <c r="B8581" t="s">
        <v>17085</v>
      </c>
      <c r="C8581" s="1">
        <v>45975</v>
      </c>
      <c r="D8581" t="s">
        <v>17086</v>
      </c>
      <c r="E8581" s="2">
        <v>2961.6</v>
      </c>
      <c r="G8581" s="3">
        <f>MONTH(Tabela1[[#This Row],[Último pagto ano]])</f>
        <v>11</v>
      </c>
      <c r="H8581" t="str">
        <f>TEXT(Tabela1[[#This Row],[Coluna2]]*29,"mmmm")</f>
        <v>novembro</v>
      </c>
      <c r="I8581" t="str">
        <f>TEXT(MONTH(Tabela1[[#This Row],[Último pagto ano]])*29,"mmmm")</f>
        <v>novembro</v>
      </c>
    </row>
    <row r="8582" spans="1:9" x14ac:dyDescent="0.25">
      <c r="A8582">
        <v>2025</v>
      </c>
      <c r="B8582" t="s">
        <v>17087</v>
      </c>
      <c r="C8582" s="1">
        <v>45782</v>
      </c>
      <c r="D8582" t="s">
        <v>17088</v>
      </c>
      <c r="E8582">
        <v>197.18</v>
      </c>
      <c r="G8582" s="3">
        <f>MONTH(Tabela1[[#This Row],[Último pagto ano]])</f>
        <v>5</v>
      </c>
      <c r="H8582" t="str">
        <f>TEXT(Tabela1[[#This Row],[Coluna2]]*29,"mmmm")</f>
        <v>maio</v>
      </c>
      <c r="I8582" t="str">
        <f>TEXT(MONTH(Tabela1[[#This Row],[Último pagto ano]])*29,"mmmm")</f>
        <v>maio</v>
      </c>
    </row>
    <row r="8583" spans="1:9" x14ac:dyDescent="0.25">
      <c r="A8583">
        <v>2025</v>
      </c>
      <c r="B8583" t="s">
        <v>17089</v>
      </c>
      <c r="C8583" s="1">
        <v>45989</v>
      </c>
      <c r="D8583" t="s">
        <v>17090</v>
      </c>
      <c r="E8583" s="2">
        <v>10352.799999999999</v>
      </c>
      <c r="G8583" s="3">
        <f>MONTH(Tabela1[[#This Row],[Último pagto ano]])</f>
        <v>11</v>
      </c>
      <c r="H8583" t="str">
        <f>TEXT(Tabela1[[#This Row],[Coluna2]]*29,"mmmm")</f>
        <v>novembro</v>
      </c>
      <c r="I8583" t="str">
        <f>TEXT(MONTH(Tabela1[[#This Row],[Último pagto ano]])*29,"mmmm")</f>
        <v>novembro</v>
      </c>
    </row>
    <row r="8584" spans="1:9" x14ac:dyDescent="0.25">
      <c r="A8584">
        <v>2025</v>
      </c>
      <c r="B8584" t="s">
        <v>17091</v>
      </c>
      <c r="C8584" s="1">
        <v>45989</v>
      </c>
      <c r="D8584" t="s">
        <v>17092</v>
      </c>
      <c r="E8584" s="2">
        <v>2113.5100000000002</v>
      </c>
      <c r="G8584" s="3">
        <f>MONTH(Tabela1[[#This Row],[Último pagto ano]])</f>
        <v>11</v>
      </c>
      <c r="H8584" t="str">
        <f>TEXT(Tabela1[[#This Row],[Coluna2]]*29,"mmmm")</f>
        <v>novembro</v>
      </c>
      <c r="I8584" t="str">
        <f>TEXT(MONTH(Tabela1[[#This Row],[Último pagto ano]])*29,"mmmm")</f>
        <v>novembro</v>
      </c>
    </row>
    <row r="8585" spans="1:9" x14ac:dyDescent="0.25">
      <c r="A8585">
        <v>2025</v>
      </c>
      <c r="B8585" t="s">
        <v>17093</v>
      </c>
      <c r="C8585" s="1">
        <v>46021</v>
      </c>
      <c r="D8585" t="s">
        <v>17094</v>
      </c>
      <c r="E8585" s="2">
        <v>3863.24</v>
      </c>
      <c r="G8585" s="3">
        <f>MONTH(Tabela1[[#This Row],[Último pagto ano]])</f>
        <v>12</v>
      </c>
      <c r="H8585" t="str">
        <f>TEXT(Tabela1[[#This Row],[Coluna2]]*29,"mmmm")</f>
        <v>dezembro</v>
      </c>
      <c r="I8585" t="str">
        <f>TEXT(MONTH(Tabela1[[#This Row],[Último pagto ano]])*29,"mmmm")</f>
        <v>dezembro</v>
      </c>
    </row>
    <row r="8586" spans="1:9" x14ac:dyDescent="0.25">
      <c r="A8586">
        <v>2025</v>
      </c>
      <c r="B8586" t="s">
        <v>17095</v>
      </c>
      <c r="C8586" s="1">
        <v>45999</v>
      </c>
      <c r="D8586" t="s">
        <v>17096</v>
      </c>
      <c r="E8586" s="2">
        <v>107731.92</v>
      </c>
      <c r="G8586" s="3">
        <f>MONTH(Tabela1[[#This Row],[Último pagto ano]])</f>
        <v>12</v>
      </c>
      <c r="H8586" t="str">
        <f>TEXT(Tabela1[[#This Row],[Coluna2]]*29,"mmmm")</f>
        <v>dezembro</v>
      </c>
      <c r="I8586" t="str">
        <f>TEXT(MONTH(Tabela1[[#This Row],[Último pagto ano]])*29,"mmmm")</f>
        <v>dezembro</v>
      </c>
    </row>
    <row r="8587" spans="1:9" x14ac:dyDescent="0.25">
      <c r="A8587">
        <v>2025</v>
      </c>
      <c r="B8587" t="s">
        <v>17097</v>
      </c>
      <c r="C8587" s="1">
        <v>45945</v>
      </c>
      <c r="D8587" t="s">
        <v>17098</v>
      </c>
      <c r="E8587" s="2">
        <v>5896.64</v>
      </c>
      <c r="G8587" s="3">
        <f>MONTH(Tabela1[[#This Row],[Último pagto ano]])</f>
        <v>10</v>
      </c>
      <c r="H8587" t="str">
        <f>TEXT(Tabela1[[#This Row],[Coluna2]]*29,"mmmm")</f>
        <v>outubro</v>
      </c>
      <c r="I8587" t="str">
        <f>TEXT(MONTH(Tabela1[[#This Row],[Último pagto ano]])*29,"mmmm")</f>
        <v>outubro</v>
      </c>
    </row>
    <row r="8588" spans="1:9" x14ac:dyDescent="0.25">
      <c r="A8588">
        <v>2025</v>
      </c>
      <c r="B8588" t="s">
        <v>17099</v>
      </c>
      <c r="C8588" s="1">
        <v>45945</v>
      </c>
      <c r="D8588" t="s">
        <v>17100</v>
      </c>
      <c r="E8588" s="2">
        <v>5896.64</v>
      </c>
      <c r="G8588" s="3">
        <f>MONTH(Tabela1[[#This Row],[Último pagto ano]])</f>
        <v>10</v>
      </c>
      <c r="H8588" t="str">
        <f>TEXT(Tabela1[[#This Row],[Coluna2]]*29,"mmmm")</f>
        <v>outubro</v>
      </c>
      <c r="I8588" t="str">
        <f>TEXT(MONTH(Tabela1[[#This Row],[Último pagto ano]])*29,"mmmm")</f>
        <v>outubro</v>
      </c>
    </row>
    <row r="8589" spans="1:9" x14ac:dyDescent="0.25">
      <c r="A8589">
        <v>2025</v>
      </c>
      <c r="B8589" t="s">
        <v>17101</v>
      </c>
      <c r="C8589" s="1">
        <v>46007</v>
      </c>
      <c r="D8589" t="s">
        <v>17102</v>
      </c>
      <c r="E8589" s="2">
        <v>96156.08</v>
      </c>
      <c r="G8589" s="3">
        <f>MONTH(Tabela1[[#This Row],[Último pagto ano]])</f>
        <v>12</v>
      </c>
      <c r="H8589" t="str">
        <f>TEXT(Tabela1[[#This Row],[Coluna2]]*29,"mmmm")</f>
        <v>dezembro</v>
      </c>
      <c r="I8589" t="str">
        <f>TEXT(MONTH(Tabela1[[#This Row],[Último pagto ano]])*29,"mmmm")</f>
        <v>dezembro</v>
      </c>
    </row>
    <row r="8590" spans="1:9" x14ac:dyDescent="0.25">
      <c r="A8590">
        <v>2025</v>
      </c>
      <c r="B8590" t="s">
        <v>17103</v>
      </c>
      <c r="C8590" s="1">
        <v>45896</v>
      </c>
      <c r="D8590" t="s">
        <v>17104</v>
      </c>
      <c r="E8590" s="2">
        <v>15000</v>
      </c>
      <c r="G8590" s="3">
        <f>MONTH(Tabela1[[#This Row],[Último pagto ano]])</f>
        <v>8</v>
      </c>
      <c r="H8590" t="str">
        <f>TEXT(Tabela1[[#This Row],[Coluna2]]*29,"mmmm")</f>
        <v>agosto</v>
      </c>
      <c r="I8590" t="str">
        <f>TEXT(MONTH(Tabela1[[#This Row],[Último pagto ano]])*29,"mmmm")</f>
        <v>agosto</v>
      </c>
    </row>
    <row r="8591" spans="1:9" x14ac:dyDescent="0.25">
      <c r="A8591">
        <v>2025</v>
      </c>
      <c r="B8591" t="s">
        <v>17105</v>
      </c>
      <c r="C8591" s="1">
        <v>45992</v>
      </c>
      <c r="D8591" t="s">
        <v>17106</v>
      </c>
      <c r="E8591" s="2">
        <v>90400</v>
      </c>
      <c r="G8591" s="3">
        <f>MONTH(Tabela1[[#This Row],[Último pagto ano]])</f>
        <v>12</v>
      </c>
      <c r="H8591" t="str">
        <f>TEXT(Tabela1[[#This Row],[Coluna2]]*29,"mmmm")</f>
        <v>dezembro</v>
      </c>
      <c r="I8591" t="str">
        <f>TEXT(MONTH(Tabela1[[#This Row],[Último pagto ano]])*29,"mmmm")</f>
        <v>dezembro</v>
      </c>
    </row>
    <row r="8592" spans="1:9" x14ac:dyDescent="0.25">
      <c r="A8592">
        <v>2025</v>
      </c>
      <c r="B8592" t="s">
        <v>17107</v>
      </c>
      <c r="C8592" s="1">
        <v>45908</v>
      </c>
      <c r="D8592" t="s">
        <v>17108</v>
      </c>
      <c r="E8592" s="2">
        <v>51727.1</v>
      </c>
      <c r="G8592" s="3">
        <f>MONTH(Tabela1[[#This Row],[Último pagto ano]])</f>
        <v>9</v>
      </c>
      <c r="H8592" t="str">
        <f>TEXT(Tabela1[[#This Row],[Coluna2]]*29,"mmmm")</f>
        <v>setembro</v>
      </c>
      <c r="I8592" t="str">
        <f>TEXT(MONTH(Tabela1[[#This Row],[Último pagto ano]])*29,"mmmm")</f>
        <v>setembro</v>
      </c>
    </row>
    <row r="8593" spans="1:9" x14ac:dyDescent="0.25">
      <c r="A8593">
        <v>2025</v>
      </c>
      <c r="B8593" t="s">
        <v>17109</v>
      </c>
      <c r="C8593" s="1">
        <v>45789</v>
      </c>
      <c r="D8593" t="s">
        <v>17110</v>
      </c>
      <c r="E8593" s="2">
        <v>1891463.22</v>
      </c>
      <c r="G8593" s="3">
        <f>MONTH(Tabela1[[#This Row],[Último pagto ano]])</f>
        <v>5</v>
      </c>
      <c r="H8593" t="str">
        <f>TEXT(Tabela1[[#This Row],[Coluna2]]*29,"mmmm")</f>
        <v>maio</v>
      </c>
      <c r="I8593" t="str">
        <f>TEXT(MONTH(Tabela1[[#This Row],[Último pagto ano]])*29,"mmmm")</f>
        <v>maio</v>
      </c>
    </row>
    <row r="8594" spans="1:9" x14ac:dyDescent="0.25">
      <c r="A8594">
        <v>2025</v>
      </c>
      <c r="B8594" t="s">
        <v>17111</v>
      </c>
      <c r="C8594" s="1">
        <v>46007</v>
      </c>
      <c r="D8594" t="s">
        <v>17112</v>
      </c>
      <c r="E8594" s="2">
        <v>12868.02</v>
      </c>
      <c r="G8594" s="3">
        <f>MONTH(Tabela1[[#This Row],[Último pagto ano]])</f>
        <v>12</v>
      </c>
      <c r="H8594" t="str">
        <f>TEXT(Tabela1[[#This Row],[Coluna2]]*29,"mmmm")</f>
        <v>dezembro</v>
      </c>
      <c r="I8594" t="str">
        <f>TEXT(MONTH(Tabela1[[#This Row],[Último pagto ano]])*29,"mmmm")</f>
        <v>dezembro</v>
      </c>
    </row>
    <row r="8595" spans="1:9" x14ac:dyDescent="0.25">
      <c r="A8595">
        <v>2025</v>
      </c>
      <c r="B8595" t="s">
        <v>17113</v>
      </c>
      <c r="C8595" s="1">
        <v>46014</v>
      </c>
      <c r="D8595" t="s">
        <v>17114</v>
      </c>
      <c r="E8595" s="2">
        <v>116019.08</v>
      </c>
      <c r="G8595" s="3">
        <f>MONTH(Tabela1[[#This Row],[Último pagto ano]])</f>
        <v>12</v>
      </c>
      <c r="H8595" t="str">
        <f>TEXT(Tabela1[[#This Row],[Coluna2]]*29,"mmmm")</f>
        <v>dezembro</v>
      </c>
      <c r="I8595" t="str">
        <f>TEXT(MONTH(Tabela1[[#This Row],[Último pagto ano]])*29,"mmmm")</f>
        <v>dezembro</v>
      </c>
    </row>
    <row r="8596" spans="1:9" x14ac:dyDescent="0.25">
      <c r="A8596">
        <v>2025</v>
      </c>
      <c r="B8596" t="s">
        <v>17115</v>
      </c>
      <c r="C8596" s="1">
        <v>46021</v>
      </c>
      <c r="D8596" t="s">
        <v>17116</v>
      </c>
      <c r="E8596" s="2">
        <v>2648716.4500000002</v>
      </c>
      <c r="G8596" s="3">
        <f>MONTH(Tabela1[[#This Row],[Último pagto ano]])</f>
        <v>12</v>
      </c>
      <c r="H8596" t="str">
        <f>TEXT(Tabela1[[#This Row],[Coluna2]]*29,"mmmm")</f>
        <v>dezembro</v>
      </c>
      <c r="I8596" t="str">
        <f>TEXT(MONTH(Tabela1[[#This Row],[Último pagto ano]])*29,"mmmm")</f>
        <v>dezembro</v>
      </c>
    </row>
    <row r="8597" spans="1:9" x14ac:dyDescent="0.25">
      <c r="A8597">
        <v>2025</v>
      </c>
      <c r="B8597" t="s">
        <v>17117</v>
      </c>
      <c r="C8597" s="1">
        <v>45975</v>
      </c>
      <c r="D8597" t="s">
        <v>17118</v>
      </c>
      <c r="E8597" s="2">
        <v>5775.12</v>
      </c>
      <c r="G8597" s="3">
        <f>MONTH(Tabela1[[#This Row],[Último pagto ano]])</f>
        <v>11</v>
      </c>
      <c r="H8597" t="str">
        <f>TEXT(Tabela1[[#This Row],[Coluna2]]*29,"mmmm")</f>
        <v>novembro</v>
      </c>
      <c r="I8597" t="str">
        <f>TEXT(MONTH(Tabela1[[#This Row],[Último pagto ano]])*29,"mmmm")</f>
        <v>novembro</v>
      </c>
    </row>
    <row r="8598" spans="1:9" x14ac:dyDescent="0.25">
      <c r="A8598">
        <v>2025</v>
      </c>
      <c r="B8598" t="s">
        <v>17119</v>
      </c>
      <c r="C8598" s="1">
        <v>45996</v>
      </c>
      <c r="D8598" t="s">
        <v>17120</v>
      </c>
      <c r="E8598" s="2">
        <v>2000</v>
      </c>
      <c r="G8598" s="3">
        <f>MONTH(Tabela1[[#This Row],[Último pagto ano]])</f>
        <v>12</v>
      </c>
      <c r="H8598" t="str">
        <f>TEXT(Tabela1[[#This Row],[Coluna2]]*29,"mmmm")</f>
        <v>dezembro</v>
      </c>
      <c r="I8598" t="str">
        <f>TEXT(MONTH(Tabela1[[#This Row],[Último pagto ano]])*29,"mmmm")</f>
        <v>dezembro</v>
      </c>
    </row>
    <row r="8599" spans="1:9" x14ac:dyDescent="0.25">
      <c r="A8599">
        <v>2025</v>
      </c>
      <c r="B8599" t="s">
        <v>17121</v>
      </c>
      <c r="C8599" s="1">
        <v>45915</v>
      </c>
      <c r="D8599" t="s">
        <v>17122</v>
      </c>
      <c r="E8599" s="2">
        <v>4812.08</v>
      </c>
      <c r="G8599" s="3">
        <f>MONTH(Tabela1[[#This Row],[Último pagto ano]])</f>
        <v>9</v>
      </c>
      <c r="H8599" t="str">
        <f>TEXT(Tabela1[[#This Row],[Coluna2]]*29,"mmmm")</f>
        <v>setembro</v>
      </c>
      <c r="I8599" t="str">
        <f>TEXT(MONTH(Tabela1[[#This Row],[Último pagto ano]])*29,"mmmm")</f>
        <v>setembro</v>
      </c>
    </row>
    <row r="8600" spans="1:9" x14ac:dyDescent="0.25">
      <c r="A8600">
        <v>2025</v>
      </c>
      <c r="B8600" t="s">
        <v>17123</v>
      </c>
      <c r="C8600" s="1">
        <v>45733</v>
      </c>
      <c r="D8600" t="s">
        <v>17124</v>
      </c>
      <c r="E8600" s="2">
        <v>1454.24</v>
      </c>
      <c r="G8600" s="3">
        <f>MONTH(Tabela1[[#This Row],[Último pagto ano]])</f>
        <v>3</v>
      </c>
      <c r="H8600" t="str">
        <f>TEXT(Tabela1[[#This Row],[Coluna2]]*29,"mmmm")</f>
        <v>março</v>
      </c>
      <c r="I8600" t="str">
        <f>TEXT(MONTH(Tabela1[[#This Row],[Último pagto ano]])*29,"mmmm")</f>
        <v>março</v>
      </c>
    </row>
    <row r="8601" spans="1:9" x14ac:dyDescent="0.25">
      <c r="A8601">
        <v>2025</v>
      </c>
      <c r="B8601" t="s">
        <v>17125</v>
      </c>
      <c r="C8601" s="1">
        <v>45996</v>
      </c>
      <c r="D8601" t="s">
        <v>17126</v>
      </c>
      <c r="E8601" s="2">
        <v>5000</v>
      </c>
      <c r="G8601" s="3">
        <f>MONTH(Tabela1[[#This Row],[Último pagto ano]])</f>
        <v>12</v>
      </c>
      <c r="H8601" t="str">
        <f>TEXT(Tabela1[[#This Row],[Coluna2]]*29,"mmmm")</f>
        <v>dezembro</v>
      </c>
      <c r="I8601" t="str">
        <f>TEXT(MONTH(Tabela1[[#This Row],[Último pagto ano]])*29,"mmmm")</f>
        <v>dezembro</v>
      </c>
    </row>
    <row r="8602" spans="1:9" x14ac:dyDescent="0.25">
      <c r="A8602">
        <v>2025</v>
      </c>
      <c r="B8602" t="s">
        <v>17127</v>
      </c>
      <c r="C8602" s="1">
        <v>46003</v>
      </c>
      <c r="D8602" t="s">
        <v>17128</v>
      </c>
      <c r="E8602" s="2">
        <v>8400</v>
      </c>
      <c r="G8602" s="3">
        <f>MONTH(Tabela1[[#This Row],[Último pagto ano]])</f>
        <v>12</v>
      </c>
      <c r="H8602" t="str">
        <f>TEXT(Tabela1[[#This Row],[Coluna2]]*29,"mmmm")</f>
        <v>dezembro</v>
      </c>
      <c r="I8602" t="str">
        <f>TEXT(MONTH(Tabela1[[#This Row],[Último pagto ano]])*29,"mmmm")</f>
        <v>dezembro</v>
      </c>
    </row>
    <row r="8603" spans="1:9" x14ac:dyDescent="0.25">
      <c r="A8603">
        <v>2025</v>
      </c>
      <c r="B8603" t="s">
        <v>17129</v>
      </c>
      <c r="C8603" s="1">
        <v>45866</v>
      </c>
      <c r="D8603" t="s">
        <v>17130</v>
      </c>
      <c r="E8603">
        <v>44</v>
      </c>
      <c r="G8603" s="3">
        <f>MONTH(Tabela1[[#This Row],[Último pagto ano]])</f>
        <v>7</v>
      </c>
      <c r="H8603" t="str">
        <f>TEXT(Tabela1[[#This Row],[Coluna2]]*29,"mmmm")</f>
        <v>julho</v>
      </c>
      <c r="I8603" t="str">
        <f>TEXT(MONTH(Tabela1[[#This Row],[Último pagto ano]])*29,"mmmm")</f>
        <v>julho</v>
      </c>
    </row>
    <row r="8604" spans="1:9" x14ac:dyDescent="0.25">
      <c r="A8604">
        <v>2025</v>
      </c>
      <c r="B8604" t="s">
        <v>17131</v>
      </c>
      <c r="C8604" s="1">
        <v>45910</v>
      </c>
      <c r="D8604" t="s">
        <v>17132</v>
      </c>
      <c r="E8604" s="2">
        <v>2640</v>
      </c>
      <c r="G8604" s="3">
        <f>MONTH(Tabela1[[#This Row],[Último pagto ano]])</f>
        <v>9</v>
      </c>
      <c r="H8604" t="str">
        <f>TEXT(Tabela1[[#This Row],[Coluna2]]*29,"mmmm")</f>
        <v>setembro</v>
      </c>
      <c r="I8604" t="str">
        <f>TEXT(MONTH(Tabela1[[#This Row],[Último pagto ano]])*29,"mmmm")</f>
        <v>setembro</v>
      </c>
    </row>
    <row r="8605" spans="1:9" x14ac:dyDescent="0.25">
      <c r="A8605">
        <v>2025</v>
      </c>
      <c r="B8605" t="s">
        <v>17133</v>
      </c>
      <c r="C8605" s="1">
        <v>45996</v>
      </c>
      <c r="D8605" t="s">
        <v>17134</v>
      </c>
      <c r="E8605" s="2">
        <v>36400</v>
      </c>
      <c r="G8605" s="3">
        <f>MONTH(Tabela1[[#This Row],[Último pagto ano]])</f>
        <v>12</v>
      </c>
      <c r="H8605" t="str">
        <f>TEXT(Tabela1[[#This Row],[Coluna2]]*29,"mmmm")</f>
        <v>dezembro</v>
      </c>
      <c r="I8605" t="str">
        <f>TEXT(MONTH(Tabela1[[#This Row],[Último pagto ano]])*29,"mmmm")</f>
        <v>dezembro</v>
      </c>
    </row>
    <row r="8606" spans="1:9" x14ac:dyDescent="0.25">
      <c r="A8606">
        <v>2025</v>
      </c>
      <c r="B8606" t="s">
        <v>17135</v>
      </c>
      <c r="C8606" s="1">
        <v>45908</v>
      </c>
      <c r="D8606" t="s">
        <v>17136</v>
      </c>
      <c r="E8606">
        <v>94.93</v>
      </c>
      <c r="G8606" s="3">
        <f>MONTH(Tabela1[[#This Row],[Último pagto ano]])</f>
        <v>9</v>
      </c>
      <c r="H8606" t="str">
        <f>TEXT(Tabela1[[#This Row],[Coluna2]]*29,"mmmm")</f>
        <v>setembro</v>
      </c>
      <c r="I8606" t="str">
        <f>TEXT(MONTH(Tabela1[[#This Row],[Último pagto ano]])*29,"mmmm")</f>
        <v>setembro</v>
      </c>
    </row>
    <row r="8607" spans="1:9" x14ac:dyDescent="0.25">
      <c r="A8607">
        <v>2025</v>
      </c>
      <c r="B8607" t="s">
        <v>17137</v>
      </c>
      <c r="C8607" s="1">
        <v>46010</v>
      </c>
      <c r="D8607" t="s">
        <v>17138</v>
      </c>
      <c r="E8607" s="2">
        <v>8400</v>
      </c>
      <c r="G8607" s="3">
        <f>MONTH(Tabela1[[#This Row],[Último pagto ano]])</f>
        <v>12</v>
      </c>
      <c r="H8607" t="str">
        <f>TEXT(Tabela1[[#This Row],[Coluna2]]*29,"mmmm")</f>
        <v>dezembro</v>
      </c>
      <c r="I8607" t="str">
        <f>TEXT(MONTH(Tabela1[[#This Row],[Último pagto ano]])*29,"mmmm")</f>
        <v>dezembro</v>
      </c>
    </row>
    <row r="8608" spans="1:9" x14ac:dyDescent="0.25">
      <c r="A8608">
        <v>2025</v>
      </c>
      <c r="B8608" t="s">
        <v>17139</v>
      </c>
      <c r="C8608" s="1">
        <v>45945</v>
      </c>
      <c r="D8608" t="s">
        <v>17140</v>
      </c>
      <c r="E8608" s="2">
        <v>3823.52</v>
      </c>
      <c r="G8608" s="3">
        <f>MONTH(Tabela1[[#This Row],[Último pagto ano]])</f>
        <v>10</v>
      </c>
      <c r="H8608" t="str">
        <f>TEXT(Tabela1[[#This Row],[Coluna2]]*29,"mmmm")</f>
        <v>outubro</v>
      </c>
      <c r="I8608" t="str">
        <f>TEXT(MONTH(Tabela1[[#This Row],[Último pagto ano]])*29,"mmmm")</f>
        <v>outubro</v>
      </c>
    </row>
    <row r="8609" spans="1:9" x14ac:dyDescent="0.25">
      <c r="A8609">
        <v>2025</v>
      </c>
      <c r="B8609" t="s">
        <v>17141</v>
      </c>
      <c r="C8609" s="1">
        <v>45915</v>
      </c>
      <c r="D8609" t="s">
        <v>17142</v>
      </c>
      <c r="E8609" s="2">
        <v>5923.2</v>
      </c>
      <c r="G8609" s="3">
        <f>MONTH(Tabela1[[#This Row],[Último pagto ano]])</f>
        <v>9</v>
      </c>
      <c r="H8609" t="str">
        <f>TEXT(Tabela1[[#This Row],[Coluna2]]*29,"mmmm")</f>
        <v>setembro</v>
      </c>
      <c r="I8609" t="str">
        <f>TEXT(MONTH(Tabela1[[#This Row],[Último pagto ano]])*29,"mmmm")</f>
        <v>setembro</v>
      </c>
    </row>
    <row r="8610" spans="1:9" x14ac:dyDescent="0.25">
      <c r="A8610">
        <v>2025</v>
      </c>
      <c r="B8610" t="s">
        <v>17143</v>
      </c>
      <c r="C8610" s="1">
        <v>46010</v>
      </c>
      <c r="D8610" t="s">
        <v>17144</v>
      </c>
      <c r="E8610" s="2">
        <v>2100</v>
      </c>
      <c r="G8610" s="3">
        <f>MONTH(Tabela1[[#This Row],[Último pagto ano]])</f>
        <v>12</v>
      </c>
      <c r="H8610" t="str">
        <f>TEXT(Tabela1[[#This Row],[Coluna2]]*29,"mmmm")</f>
        <v>dezembro</v>
      </c>
      <c r="I8610" t="str">
        <f>TEXT(MONTH(Tabela1[[#This Row],[Último pagto ano]])*29,"mmmm")</f>
        <v>dezembro</v>
      </c>
    </row>
    <row r="8611" spans="1:9" x14ac:dyDescent="0.25">
      <c r="A8611">
        <v>2025</v>
      </c>
      <c r="B8611" t="s">
        <v>17145</v>
      </c>
      <c r="C8611" s="1">
        <v>45930</v>
      </c>
      <c r="D8611" t="s">
        <v>17146</v>
      </c>
      <c r="E8611" s="2">
        <v>9370.7800000000007</v>
      </c>
      <c r="G8611" s="3">
        <f>MONTH(Tabela1[[#This Row],[Último pagto ano]])</f>
        <v>9</v>
      </c>
      <c r="H8611" t="str">
        <f>TEXT(Tabela1[[#This Row],[Coluna2]]*29,"mmmm")</f>
        <v>setembro</v>
      </c>
      <c r="I8611" t="str">
        <f>TEXT(MONTH(Tabela1[[#This Row],[Último pagto ano]])*29,"mmmm")</f>
        <v>setembro</v>
      </c>
    </row>
    <row r="8612" spans="1:9" x14ac:dyDescent="0.25">
      <c r="A8612">
        <v>2025</v>
      </c>
      <c r="B8612" t="s">
        <v>17147</v>
      </c>
      <c r="C8612" s="1">
        <v>46007</v>
      </c>
      <c r="D8612" t="s">
        <v>17148</v>
      </c>
      <c r="E8612" s="2">
        <v>123071.37</v>
      </c>
      <c r="G8612" s="3">
        <f>MONTH(Tabela1[[#This Row],[Último pagto ano]])</f>
        <v>12</v>
      </c>
      <c r="H8612" t="str">
        <f>TEXT(Tabela1[[#This Row],[Coluna2]]*29,"mmmm")</f>
        <v>dezembro</v>
      </c>
      <c r="I8612" t="str">
        <f>TEXT(MONTH(Tabela1[[#This Row],[Último pagto ano]])*29,"mmmm")</f>
        <v>dezembro</v>
      </c>
    </row>
    <row r="8613" spans="1:9" x14ac:dyDescent="0.25">
      <c r="A8613">
        <v>2025</v>
      </c>
      <c r="B8613" t="s">
        <v>17149</v>
      </c>
      <c r="C8613" s="1">
        <v>46014</v>
      </c>
      <c r="D8613" t="s">
        <v>17150</v>
      </c>
      <c r="E8613" s="2">
        <v>43843.6</v>
      </c>
      <c r="G8613" s="3">
        <f>MONTH(Tabela1[[#This Row],[Último pagto ano]])</f>
        <v>12</v>
      </c>
      <c r="H8613" t="str">
        <f>TEXT(Tabela1[[#This Row],[Coluna2]]*29,"mmmm")</f>
        <v>dezembro</v>
      </c>
      <c r="I8613" t="str">
        <f>TEXT(MONTH(Tabela1[[#This Row],[Último pagto ano]])*29,"mmmm")</f>
        <v>dezembro</v>
      </c>
    </row>
    <row r="8614" spans="1:9" x14ac:dyDescent="0.25">
      <c r="A8614">
        <v>2025</v>
      </c>
      <c r="B8614" t="s">
        <v>17151</v>
      </c>
      <c r="C8614" s="1">
        <v>45945</v>
      </c>
      <c r="D8614" t="s">
        <v>17152</v>
      </c>
      <c r="E8614">
        <v>592.32000000000005</v>
      </c>
      <c r="G8614" s="3">
        <f>MONTH(Tabela1[[#This Row],[Último pagto ano]])</f>
        <v>10</v>
      </c>
      <c r="H8614" t="str">
        <f>TEXT(Tabela1[[#This Row],[Coluna2]]*29,"mmmm")</f>
        <v>outubro</v>
      </c>
      <c r="I8614" t="str">
        <f>TEXT(MONTH(Tabela1[[#This Row],[Último pagto ano]])*29,"mmmm")</f>
        <v>outubro</v>
      </c>
    </row>
    <row r="8615" spans="1:9" x14ac:dyDescent="0.25">
      <c r="A8615">
        <v>2025</v>
      </c>
      <c r="B8615" t="s">
        <v>17153</v>
      </c>
      <c r="C8615" s="1">
        <v>45950</v>
      </c>
      <c r="D8615" t="s">
        <v>17154</v>
      </c>
      <c r="E8615">
        <v>360</v>
      </c>
      <c r="G8615" s="3">
        <f>MONTH(Tabela1[[#This Row],[Último pagto ano]])</f>
        <v>10</v>
      </c>
      <c r="H8615" t="str">
        <f>TEXT(Tabela1[[#This Row],[Coluna2]]*29,"mmmm")</f>
        <v>outubro</v>
      </c>
      <c r="I8615" t="str">
        <f>TEXT(MONTH(Tabela1[[#This Row],[Último pagto ano]])*29,"mmmm")</f>
        <v>outubro</v>
      </c>
    </row>
    <row r="8616" spans="1:9" x14ac:dyDescent="0.25">
      <c r="A8616">
        <v>2025</v>
      </c>
      <c r="B8616" t="s">
        <v>17155</v>
      </c>
      <c r="C8616" s="1">
        <v>46006</v>
      </c>
      <c r="D8616" t="s">
        <v>17156</v>
      </c>
      <c r="E8616" s="2">
        <v>4099.76</v>
      </c>
      <c r="G8616" s="3">
        <f>MONTH(Tabela1[[#This Row],[Último pagto ano]])</f>
        <v>12</v>
      </c>
      <c r="H8616" t="str">
        <f>TEXT(Tabela1[[#This Row],[Coluna2]]*29,"mmmm")</f>
        <v>dezembro</v>
      </c>
      <c r="I8616" t="str">
        <f>TEXT(MONTH(Tabela1[[#This Row],[Último pagto ano]])*29,"mmmm")</f>
        <v>dezembro</v>
      </c>
    </row>
    <row r="8617" spans="1:9" x14ac:dyDescent="0.25">
      <c r="A8617">
        <v>2025</v>
      </c>
      <c r="B8617" t="s">
        <v>17157</v>
      </c>
      <c r="C8617" s="1">
        <v>45894</v>
      </c>
      <c r="D8617" t="s">
        <v>17158</v>
      </c>
      <c r="E8617" s="2">
        <v>4867.57</v>
      </c>
      <c r="G8617" s="3">
        <f>MONTH(Tabela1[[#This Row],[Último pagto ano]])</f>
        <v>8</v>
      </c>
      <c r="H8617" t="str">
        <f>TEXT(Tabela1[[#This Row],[Coluna2]]*29,"mmmm")</f>
        <v>agosto</v>
      </c>
      <c r="I8617" t="str">
        <f>TEXT(MONTH(Tabela1[[#This Row],[Último pagto ano]])*29,"mmmm")</f>
        <v>agosto</v>
      </c>
    </row>
    <row r="8618" spans="1:9" x14ac:dyDescent="0.25">
      <c r="A8618">
        <v>2025</v>
      </c>
      <c r="B8618" t="s">
        <v>17159</v>
      </c>
      <c r="C8618" s="1">
        <v>45971</v>
      </c>
      <c r="D8618" t="s">
        <v>17160</v>
      </c>
      <c r="E8618" s="2">
        <v>1123.2</v>
      </c>
      <c r="G8618" s="3">
        <f>MONTH(Tabela1[[#This Row],[Último pagto ano]])</f>
        <v>11</v>
      </c>
      <c r="H8618" t="str">
        <f>TEXT(Tabela1[[#This Row],[Coluna2]]*29,"mmmm")</f>
        <v>novembro</v>
      </c>
      <c r="I8618" t="str">
        <f>TEXT(MONTH(Tabela1[[#This Row],[Último pagto ano]])*29,"mmmm")</f>
        <v>novembro</v>
      </c>
    </row>
    <row r="8619" spans="1:9" x14ac:dyDescent="0.25">
      <c r="A8619">
        <v>2025</v>
      </c>
      <c r="B8619" t="s">
        <v>17161</v>
      </c>
      <c r="C8619" s="1">
        <v>45831</v>
      </c>
      <c r="D8619" t="s">
        <v>17162</v>
      </c>
      <c r="E8619" s="2">
        <v>2996.85</v>
      </c>
      <c r="G8619" s="3">
        <f>MONTH(Tabela1[[#This Row],[Último pagto ano]])</f>
        <v>6</v>
      </c>
      <c r="H8619" t="str">
        <f>TEXT(Tabela1[[#This Row],[Coluna2]]*29,"mmmm")</f>
        <v>junho</v>
      </c>
      <c r="I8619" t="str">
        <f>TEXT(MONTH(Tabela1[[#This Row],[Último pagto ano]])*29,"mmmm")</f>
        <v>junho</v>
      </c>
    </row>
    <row r="8620" spans="1:9" x14ac:dyDescent="0.25">
      <c r="A8620">
        <v>2025</v>
      </c>
      <c r="B8620" t="s">
        <v>17163</v>
      </c>
      <c r="C8620" s="1">
        <v>46014</v>
      </c>
      <c r="D8620" t="s">
        <v>17164</v>
      </c>
      <c r="E8620">
        <v>182.6</v>
      </c>
      <c r="G8620" s="3">
        <f>MONTH(Tabela1[[#This Row],[Último pagto ano]])</f>
        <v>12</v>
      </c>
      <c r="H8620" t="str">
        <f>TEXT(Tabela1[[#This Row],[Coluna2]]*29,"mmmm")</f>
        <v>dezembro</v>
      </c>
      <c r="I8620" t="str">
        <f>TEXT(MONTH(Tabela1[[#This Row],[Último pagto ano]])*29,"mmmm")</f>
        <v>dezembro</v>
      </c>
    </row>
    <row r="8621" spans="1:9" x14ac:dyDescent="0.25">
      <c r="A8621">
        <v>2025</v>
      </c>
      <c r="B8621" t="s">
        <v>17165</v>
      </c>
      <c r="C8621" s="1">
        <v>46010</v>
      </c>
      <c r="D8621" t="s">
        <v>17166</v>
      </c>
      <c r="E8621" s="2">
        <v>5600</v>
      </c>
      <c r="G8621" s="3">
        <f>MONTH(Tabela1[[#This Row],[Último pagto ano]])</f>
        <v>12</v>
      </c>
      <c r="H8621" t="str">
        <f>TEXT(Tabela1[[#This Row],[Coluna2]]*29,"mmmm")</f>
        <v>dezembro</v>
      </c>
      <c r="I8621" t="str">
        <f>TEXT(MONTH(Tabela1[[#This Row],[Último pagto ano]])*29,"mmmm")</f>
        <v>dezembro</v>
      </c>
    </row>
    <row r="8622" spans="1:9" x14ac:dyDescent="0.25">
      <c r="A8622">
        <v>2025</v>
      </c>
      <c r="B8622" t="s">
        <v>17167</v>
      </c>
      <c r="C8622" s="1">
        <v>45786</v>
      </c>
      <c r="D8622" t="s">
        <v>17168</v>
      </c>
      <c r="E8622" s="2">
        <v>4263.05</v>
      </c>
      <c r="G8622" s="3">
        <f>MONTH(Tabela1[[#This Row],[Último pagto ano]])</f>
        <v>5</v>
      </c>
      <c r="H8622" t="str">
        <f>TEXT(Tabela1[[#This Row],[Coluna2]]*29,"mmmm")</f>
        <v>maio</v>
      </c>
      <c r="I8622" t="str">
        <f>TEXT(MONTH(Tabela1[[#This Row],[Último pagto ano]])*29,"mmmm")</f>
        <v>maio</v>
      </c>
    </row>
    <row r="8623" spans="1:9" x14ac:dyDescent="0.25">
      <c r="A8623">
        <v>2025</v>
      </c>
      <c r="B8623" t="s">
        <v>17169</v>
      </c>
      <c r="C8623" s="1">
        <v>46010</v>
      </c>
      <c r="D8623" t="s">
        <v>17170</v>
      </c>
      <c r="E8623" s="2">
        <v>8400</v>
      </c>
      <c r="G8623" s="3">
        <f>MONTH(Tabela1[[#This Row],[Último pagto ano]])</f>
        <v>12</v>
      </c>
      <c r="H8623" t="str">
        <f>TEXT(Tabela1[[#This Row],[Coluna2]]*29,"mmmm")</f>
        <v>dezembro</v>
      </c>
      <c r="I8623" t="str">
        <f>TEXT(MONTH(Tabela1[[#This Row],[Último pagto ano]])*29,"mmmm")</f>
        <v>dezembro</v>
      </c>
    </row>
    <row r="8624" spans="1:9" x14ac:dyDescent="0.25">
      <c r="A8624">
        <v>2025</v>
      </c>
      <c r="B8624" t="s">
        <v>17171</v>
      </c>
      <c r="C8624" s="1">
        <v>45922</v>
      </c>
      <c r="D8624" t="s">
        <v>17172</v>
      </c>
      <c r="E8624" s="2">
        <v>6395.4</v>
      </c>
      <c r="G8624" s="3">
        <f>MONTH(Tabela1[[#This Row],[Último pagto ano]])</f>
        <v>9</v>
      </c>
      <c r="H8624" t="str">
        <f>TEXT(Tabela1[[#This Row],[Coluna2]]*29,"mmmm")</f>
        <v>setembro</v>
      </c>
      <c r="I8624" t="str">
        <f>TEXT(MONTH(Tabela1[[#This Row],[Último pagto ano]])*29,"mmmm")</f>
        <v>setembro</v>
      </c>
    </row>
    <row r="8625" spans="1:9" x14ac:dyDescent="0.25">
      <c r="A8625">
        <v>2025</v>
      </c>
      <c r="B8625" t="s">
        <v>17173</v>
      </c>
      <c r="C8625" s="1">
        <v>45866</v>
      </c>
      <c r="D8625" t="s">
        <v>17174</v>
      </c>
      <c r="E8625">
        <v>32.4</v>
      </c>
      <c r="G8625" s="3">
        <f>MONTH(Tabela1[[#This Row],[Último pagto ano]])</f>
        <v>7</v>
      </c>
      <c r="H8625" t="str">
        <f>TEXT(Tabela1[[#This Row],[Coluna2]]*29,"mmmm")</f>
        <v>julho</v>
      </c>
      <c r="I8625" t="str">
        <f>TEXT(MONTH(Tabela1[[#This Row],[Último pagto ano]])*29,"mmmm")</f>
        <v>julho</v>
      </c>
    </row>
    <row r="8626" spans="1:9" x14ac:dyDescent="0.25">
      <c r="A8626">
        <v>2025</v>
      </c>
      <c r="B8626" t="s">
        <v>17175</v>
      </c>
      <c r="C8626" s="1">
        <v>45996</v>
      </c>
      <c r="D8626" t="s">
        <v>17176</v>
      </c>
      <c r="E8626" s="2">
        <v>49889.52</v>
      </c>
      <c r="G8626" s="3">
        <f>MONTH(Tabela1[[#This Row],[Último pagto ano]])</f>
        <v>12</v>
      </c>
      <c r="H8626" t="str">
        <f>TEXT(Tabela1[[#This Row],[Coluna2]]*29,"mmmm")</f>
        <v>dezembro</v>
      </c>
      <c r="I8626" t="str">
        <f>TEXT(MONTH(Tabela1[[#This Row],[Último pagto ano]])*29,"mmmm")</f>
        <v>dezembro</v>
      </c>
    </row>
    <row r="8627" spans="1:9" x14ac:dyDescent="0.25">
      <c r="A8627">
        <v>2025</v>
      </c>
      <c r="B8627" t="s">
        <v>17177</v>
      </c>
      <c r="C8627" s="1">
        <v>46014</v>
      </c>
      <c r="D8627" t="s">
        <v>17178</v>
      </c>
      <c r="E8627" s="2">
        <v>17500</v>
      </c>
      <c r="G8627" s="3">
        <f>MONTH(Tabela1[[#This Row],[Último pagto ano]])</f>
        <v>12</v>
      </c>
      <c r="H8627" t="str">
        <f>TEXT(Tabela1[[#This Row],[Coluna2]]*29,"mmmm")</f>
        <v>dezembro</v>
      </c>
      <c r="I8627" t="str">
        <f>TEXT(MONTH(Tabela1[[#This Row],[Último pagto ano]])*29,"mmmm")</f>
        <v>dezembro</v>
      </c>
    </row>
    <row r="8628" spans="1:9" x14ac:dyDescent="0.25">
      <c r="A8628">
        <v>2025</v>
      </c>
      <c r="B8628" t="s">
        <v>17179</v>
      </c>
      <c r="C8628" s="1">
        <v>46006</v>
      </c>
      <c r="D8628" t="s">
        <v>17180</v>
      </c>
      <c r="E8628" s="2">
        <v>14659.92</v>
      </c>
      <c r="G8628" s="3">
        <f>MONTH(Tabela1[[#This Row],[Último pagto ano]])</f>
        <v>12</v>
      </c>
      <c r="H8628" t="str">
        <f>TEXT(Tabela1[[#This Row],[Coluna2]]*29,"mmmm")</f>
        <v>dezembro</v>
      </c>
      <c r="I8628" t="str">
        <f>TEXT(MONTH(Tabela1[[#This Row],[Último pagto ano]])*29,"mmmm")</f>
        <v>dezembro</v>
      </c>
    </row>
    <row r="8629" spans="1:9" x14ac:dyDescent="0.25">
      <c r="A8629">
        <v>2025</v>
      </c>
      <c r="B8629" t="s">
        <v>17181</v>
      </c>
      <c r="C8629" s="1">
        <v>45743</v>
      </c>
      <c r="D8629" t="s">
        <v>17182</v>
      </c>
      <c r="E8629" s="2">
        <v>1500</v>
      </c>
      <c r="G8629" s="3">
        <f>MONTH(Tabela1[[#This Row],[Último pagto ano]])</f>
        <v>3</v>
      </c>
      <c r="H8629" t="str">
        <f>TEXT(Tabela1[[#This Row],[Coluna2]]*29,"mmmm")</f>
        <v>março</v>
      </c>
      <c r="I8629" t="str">
        <f>TEXT(MONTH(Tabela1[[#This Row],[Último pagto ano]])*29,"mmmm")</f>
        <v>março</v>
      </c>
    </row>
    <row r="8630" spans="1:9" x14ac:dyDescent="0.25">
      <c r="A8630">
        <v>2025</v>
      </c>
      <c r="B8630" t="s">
        <v>17183</v>
      </c>
      <c r="C8630" s="1">
        <v>45887</v>
      </c>
      <c r="D8630" t="s">
        <v>17184</v>
      </c>
      <c r="E8630" s="2">
        <v>2460</v>
      </c>
      <c r="G8630" s="3">
        <f>MONTH(Tabela1[[#This Row],[Último pagto ano]])</f>
        <v>8</v>
      </c>
      <c r="H8630" t="str">
        <f>TEXT(Tabela1[[#This Row],[Coluna2]]*29,"mmmm")</f>
        <v>agosto</v>
      </c>
      <c r="I8630" t="str">
        <f>TEXT(MONTH(Tabela1[[#This Row],[Último pagto ano]])*29,"mmmm")</f>
        <v>agosto</v>
      </c>
    </row>
    <row r="8631" spans="1:9" x14ac:dyDescent="0.25">
      <c r="A8631">
        <v>2025</v>
      </c>
      <c r="B8631" t="s">
        <v>17185</v>
      </c>
      <c r="C8631" s="1">
        <v>46010</v>
      </c>
      <c r="D8631" t="s">
        <v>17186</v>
      </c>
      <c r="E8631" s="2">
        <v>5600</v>
      </c>
      <c r="G8631" s="3">
        <f>MONTH(Tabela1[[#This Row],[Último pagto ano]])</f>
        <v>12</v>
      </c>
      <c r="H8631" t="str">
        <f>TEXT(Tabela1[[#This Row],[Coluna2]]*29,"mmmm")</f>
        <v>dezembro</v>
      </c>
      <c r="I8631" t="str">
        <f>TEXT(MONTH(Tabela1[[#This Row],[Último pagto ano]])*29,"mmmm")</f>
        <v>dezembro</v>
      </c>
    </row>
    <row r="8632" spans="1:9" x14ac:dyDescent="0.25">
      <c r="A8632">
        <v>2025</v>
      </c>
      <c r="B8632" t="s">
        <v>17187</v>
      </c>
      <c r="C8632" s="1">
        <v>45817</v>
      </c>
      <c r="D8632" t="s">
        <v>17188</v>
      </c>
      <c r="E8632">
        <v>77</v>
      </c>
      <c r="G8632" s="3">
        <f>MONTH(Tabela1[[#This Row],[Último pagto ano]])</f>
        <v>6</v>
      </c>
      <c r="H8632" t="str">
        <f>TEXT(Tabela1[[#This Row],[Coluna2]]*29,"mmmm")</f>
        <v>junho</v>
      </c>
      <c r="I8632" t="str">
        <f>TEXT(MONTH(Tabela1[[#This Row],[Último pagto ano]])*29,"mmmm")</f>
        <v>junho</v>
      </c>
    </row>
    <row r="8633" spans="1:9" x14ac:dyDescent="0.25">
      <c r="A8633">
        <v>2025</v>
      </c>
      <c r="B8633" t="s">
        <v>17189</v>
      </c>
      <c r="C8633" s="1">
        <v>45807</v>
      </c>
      <c r="D8633" t="s">
        <v>17190</v>
      </c>
      <c r="E8633" s="2">
        <v>5102.93</v>
      </c>
      <c r="G8633" s="3">
        <f>MONTH(Tabela1[[#This Row],[Último pagto ano]])</f>
        <v>5</v>
      </c>
      <c r="H8633" t="str">
        <f>TEXT(Tabela1[[#This Row],[Coluna2]]*29,"mmmm")</f>
        <v>maio</v>
      </c>
      <c r="I8633" t="str">
        <f>TEXT(MONTH(Tabela1[[#This Row],[Último pagto ano]])*29,"mmmm")</f>
        <v>maio</v>
      </c>
    </row>
    <row r="8634" spans="1:9" x14ac:dyDescent="0.25">
      <c r="A8634">
        <v>2025</v>
      </c>
      <c r="B8634" t="s">
        <v>17191</v>
      </c>
      <c r="C8634" s="1">
        <v>45989</v>
      </c>
      <c r="D8634" t="s">
        <v>17192</v>
      </c>
      <c r="E8634" s="2">
        <v>7330.16</v>
      </c>
      <c r="G8634" s="3">
        <f>MONTH(Tabela1[[#This Row],[Último pagto ano]])</f>
        <v>11</v>
      </c>
      <c r="H8634" t="str">
        <f>TEXT(Tabela1[[#This Row],[Coluna2]]*29,"mmmm")</f>
        <v>novembro</v>
      </c>
      <c r="I8634" t="str">
        <f>TEXT(MONTH(Tabela1[[#This Row],[Último pagto ano]])*29,"mmmm")</f>
        <v>novembro</v>
      </c>
    </row>
    <row r="8635" spans="1:9" x14ac:dyDescent="0.25">
      <c r="A8635">
        <v>2025</v>
      </c>
      <c r="B8635" t="s">
        <v>17193</v>
      </c>
      <c r="C8635" s="1">
        <v>45996</v>
      </c>
      <c r="D8635" t="s">
        <v>17194</v>
      </c>
      <c r="E8635" s="2">
        <v>41580</v>
      </c>
      <c r="G8635" s="3">
        <f>MONTH(Tabela1[[#This Row],[Último pagto ano]])</f>
        <v>12</v>
      </c>
      <c r="H8635" t="str">
        <f>TEXT(Tabela1[[#This Row],[Coluna2]]*29,"mmmm")</f>
        <v>dezembro</v>
      </c>
      <c r="I8635" t="str">
        <f>TEXT(MONTH(Tabela1[[#This Row],[Último pagto ano]])*29,"mmmm")</f>
        <v>dezembro</v>
      </c>
    </row>
    <row r="8636" spans="1:9" x14ac:dyDescent="0.25">
      <c r="A8636">
        <v>2025</v>
      </c>
      <c r="B8636" t="s">
        <v>17195</v>
      </c>
      <c r="C8636" s="1">
        <v>45762</v>
      </c>
      <c r="D8636" t="s">
        <v>17196</v>
      </c>
      <c r="E8636" s="2">
        <v>2369.2800000000002</v>
      </c>
      <c r="G8636" s="3">
        <f>MONTH(Tabela1[[#This Row],[Último pagto ano]])</f>
        <v>4</v>
      </c>
      <c r="H8636" t="str">
        <f>TEXT(Tabela1[[#This Row],[Coluna2]]*29,"mmmm")</f>
        <v>abril</v>
      </c>
      <c r="I8636" t="str">
        <f>TEXT(MONTH(Tabela1[[#This Row],[Último pagto ano]])*29,"mmmm")</f>
        <v>abril</v>
      </c>
    </row>
    <row r="8637" spans="1:9" x14ac:dyDescent="0.25">
      <c r="A8637">
        <v>2025</v>
      </c>
      <c r="B8637" t="s">
        <v>17197</v>
      </c>
      <c r="C8637" s="1">
        <v>46010</v>
      </c>
      <c r="D8637" t="s">
        <v>17198</v>
      </c>
      <c r="E8637" s="2">
        <v>4900</v>
      </c>
      <c r="G8637" s="3">
        <f>MONTH(Tabela1[[#This Row],[Último pagto ano]])</f>
        <v>12</v>
      </c>
      <c r="H8637" t="str">
        <f>TEXT(Tabela1[[#This Row],[Coluna2]]*29,"mmmm")</f>
        <v>dezembro</v>
      </c>
      <c r="I8637" t="str">
        <f>TEXT(MONTH(Tabela1[[#This Row],[Último pagto ano]])*29,"mmmm")</f>
        <v>dezembro</v>
      </c>
    </row>
    <row r="8638" spans="1:9" x14ac:dyDescent="0.25">
      <c r="A8638">
        <v>2025</v>
      </c>
      <c r="B8638" t="s">
        <v>17199</v>
      </c>
      <c r="C8638" s="1">
        <v>45908</v>
      </c>
      <c r="D8638" t="s">
        <v>17200</v>
      </c>
      <c r="E8638">
        <v>128</v>
      </c>
      <c r="G8638" s="3">
        <f>MONTH(Tabela1[[#This Row],[Último pagto ano]])</f>
        <v>9</v>
      </c>
      <c r="H8638" t="str">
        <f>TEXT(Tabela1[[#This Row],[Coluna2]]*29,"mmmm")</f>
        <v>setembro</v>
      </c>
      <c r="I8638" t="str">
        <f>TEXT(MONTH(Tabela1[[#This Row],[Último pagto ano]])*29,"mmmm")</f>
        <v>setembro</v>
      </c>
    </row>
    <row r="8639" spans="1:9" x14ac:dyDescent="0.25">
      <c r="A8639">
        <v>2025</v>
      </c>
      <c r="B8639" t="s">
        <v>17201</v>
      </c>
      <c r="C8639" s="1">
        <v>45796</v>
      </c>
      <c r="D8639" t="s">
        <v>17202</v>
      </c>
      <c r="E8639">
        <v>143</v>
      </c>
      <c r="G8639" s="3">
        <f>MONTH(Tabela1[[#This Row],[Último pagto ano]])</f>
        <v>5</v>
      </c>
      <c r="H8639" t="str">
        <f>TEXT(Tabela1[[#This Row],[Coluna2]]*29,"mmmm")</f>
        <v>maio</v>
      </c>
      <c r="I8639" t="str">
        <f>TEXT(MONTH(Tabela1[[#This Row],[Último pagto ano]])*29,"mmmm")</f>
        <v>maio</v>
      </c>
    </row>
    <row r="8640" spans="1:9" x14ac:dyDescent="0.25">
      <c r="A8640">
        <v>2025</v>
      </c>
      <c r="B8640" t="s">
        <v>17203</v>
      </c>
      <c r="C8640" s="1">
        <v>46008</v>
      </c>
      <c r="D8640" t="s">
        <v>17204</v>
      </c>
      <c r="E8640" s="2">
        <v>35978.1</v>
      </c>
      <c r="G8640" s="3">
        <f>MONTH(Tabela1[[#This Row],[Último pagto ano]])</f>
        <v>12</v>
      </c>
      <c r="H8640" t="str">
        <f>TEXT(Tabela1[[#This Row],[Coluna2]]*29,"mmmm")</f>
        <v>dezembro</v>
      </c>
      <c r="I8640" t="str">
        <f>TEXT(MONTH(Tabela1[[#This Row],[Último pagto ano]])*29,"mmmm")</f>
        <v>dezembro</v>
      </c>
    </row>
    <row r="8641" spans="1:9" x14ac:dyDescent="0.25">
      <c r="A8641">
        <v>2025</v>
      </c>
      <c r="B8641" t="s">
        <v>17205</v>
      </c>
      <c r="C8641" s="1">
        <v>45681</v>
      </c>
      <c r="D8641" t="s">
        <v>17206</v>
      </c>
      <c r="E8641">
        <v>700</v>
      </c>
      <c r="G8641" s="3">
        <f>MONTH(Tabela1[[#This Row],[Último pagto ano]])</f>
        <v>1</v>
      </c>
      <c r="H8641" t="str">
        <f>TEXT(Tabela1[[#This Row],[Coluna2]]*29,"mmmm")</f>
        <v>janeiro</v>
      </c>
      <c r="I8641" t="str">
        <f>TEXT(MONTH(Tabela1[[#This Row],[Último pagto ano]])*29,"mmmm")</f>
        <v>janeiro</v>
      </c>
    </row>
    <row r="8642" spans="1:9" x14ac:dyDescent="0.25">
      <c r="A8642">
        <v>2025</v>
      </c>
      <c r="B8642" t="s">
        <v>17207</v>
      </c>
      <c r="C8642" s="1">
        <v>45785</v>
      </c>
      <c r="D8642" t="s">
        <v>17208</v>
      </c>
      <c r="E8642">
        <v>520</v>
      </c>
      <c r="G8642" s="3">
        <f>MONTH(Tabela1[[#This Row],[Último pagto ano]])</f>
        <v>5</v>
      </c>
      <c r="H8642" t="str">
        <f>TEXT(Tabela1[[#This Row],[Coluna2]]*29,"mmmm")</f>
        <v>maio</v>
      </c>
      <c r="I8642" t="str">
        <f>TEXT(MONTH(Tabela1[[#This Row],[Último pagto ano]])*29,"mmmm")</f>
        <v>maio</v>
      </c>
    </row>
    <row r="8643" spans="1:9" x14ac:dyDescent="0.25">
      <c r="A8643">
        <v>2025</v>
      </c>
      <c r="B8643" t="s">
        <v>17209</v>
      </c>
      <c r="C8643" s="1">
        <v>46021</v>
      </c>
      <c r="D8643" t="s">
        <v>17210</v>
      </c>
      <c r="E8643" s="2">
        <v>6131.73</v>
      </c>
      <c r="G8643" s="3">
        <f>MONTH(Tabela1[[#This Row],[Último pagto ano]])</f>
        <v>12</v>
      </c>
      <c r="H8643" t="str">
        <f>TEXT(Tabela1[[#This Row],[Coluna2]]*29,"mmmm")</f>
        <v>dezembro</v>
      </c>
      <c r="I8643" t="str">
        <f>TEXT(MONTH(Tabela1[[#This Row],[Último pagto ano]])*29,"mmmm")</f>
        <v>dezembro</v>
      </c>
    </row>
    <row r="8644" spans="1:9" x14ac:dyDescent="0.25">
      <c r="A8644">
        <v>2025</v>
      </c>
      <c r="B8644" t="s">
        <v>17211</v>
      </c>
      <c r="C8644" s="1">
        <v>45681</v>
      </c>
      <c r="D8644" t="s">
        <v>17212</v>
      </c>
      <c r="E8644">
        <v>700</v>
      </c>
      <c r="G8644" s="3">
        <f>MONTH(Tabela1[[#This Row],[Último pagto ano]])</f>
        <v>1</v>
      </c>
      <c r="H8644" t="str">
        <f>TEXT(Tabela1[[#This Row],[Coluna2]]*29,"mmmm")</f>
        <v>janeiro</v>
      </c>
      <c r="I8644" t="str">
        <f>TEXT(MONTH(Tabela1[[#This Row],[Último pagto ano]])*29,"mmmm")</f>
        <v>janeiro</v>
      </c>
    </row>
    <row r="8645" spans="1:9" x14ac:dyDescent="0.25">
      <c r="A8645">
        <v>2025</v>
      </c>
      <c r="B8645" t="s">
        <v>17213</v>
      </c>
      <c r="C8645" s="1">
        <v>46010</v>
      </c>
      <c r="D8645" t="s">
        <v>17214</v>
      </c>
      <c r="E8645" s="2">
        <v>5600</v>
      </c>
      <c r="G8645" s="3">
        <f>MONTH(Tabela1[[#This Row],[Último pagto ano]])</f>
        <v>12</v>
      </c>
      <c r="H8645" t="str">
        <f>TEXT(Tabela1[[#This Row],[Coluna2]]*29,"mmmm")</f>
        <v>dezembro</v>
      </c>
      <c r="I8645" t="str">
        <f>TEXT(MONTH(Tabela1[[#This Row],[Último pagto ano]])*29,"mmmm")</f>
        <v>dezembro</v>
      </c>
    </row>
    <row r="8646" spans="1:9" x14ac:dyDescent="0.25">
      <c r="A8646">
        <v>2025</v>
      </c>
      <c r="B8646" t="s">
        <v>17215</v>
      </c>
      <c r="C8646" s="1">
        <v>46010</v>
      </c>
      <c r="D8646" t="s">
        <v>17216</v>
      </c>
      <c r="E8646" s="2">
        <v>2800</v>
      </c>
      <c r="G8646" s="3">
        <f>MONTH(Tabela1[[#This Row],[Último pagto ano]])</f>
        <v>12</v>
      </c>
      <c r="H8646" t="str">
        <f>TEXT(Tabela1[[#This Row],[Coluna2]]*29,"mmmm")</f>
        <v>dezembro</v>
      </c>
      <c r="I8646" t="str">
        <f>TEXT(MONTH(Tabela1[[#This Row],[Último pagto ano]])*29,"mmmm")</f>
        <v>dezembro</v>
      </c>
    </row>
    <row r="8647" spans="1:9" x14ac:dyDescent="0.25">
      <c r="A8647">
        <v>2025</v>
      </c>
      <c r="B8647" t="s">
        <v>17217</v>
      </c>
      <c r="C8647" s="1">
        <v>45996</v>
      </c>
      <c r="D8647" t="s">
        <v>17218</v>
      </c>
      <c r="E8647" s="2">
        <v>2000</v>
      </c>
      <c r="G8647" s="3">
        <f>MONTH(Tabela1[[#This Row],[Último pagto ano]])</f>
        <v>12</v>
      </c>
      <c r="H8647" t="str">
        <f>TEXT(Tabela1[[#This Row],[Coluna2]]*29,"mmmm")</f>
        <v>dezembro</v>
      </c>
      <c r="I8647" t="str">
        <f>TEXT(MONTH(Tabela1[[#This Row],[Último pagto ano]])*29,"mmmm")</f>
        <v>dezembro</v>
      </c>
    </row>
    <row r="8648" spans="1:9" x14ac:dyDescent="0.25">
      <c r="A8648">
        <v>2025</v>
      </c>
      <c r="B8648" t="s">
        <v>17219</v>
      </c>
      <c r="C8648" s="1">
        <v>45996</v>
      </c>
      <c r="D8648" t="s">
        <v>17220</v>
      </c>
      <c r="E8648" s="2">
        <v>4500</v>
      </c>
      <c r="G8648" s="3">
        <f>MONTH(Tabela1[[#This Row],[Último pagto ano]])</f>
        <v>12</v>
      </c>
      <c r="H8648" t="str">
        <f>TEXT(Tabela1[[#This Row],[Coluna2]]*29,"mmmm")</f>
        <v>dezembro</v>
      </c>
      <c r="I8648" t="str">
        <f>TEXT(MONTH(Tabela1[[#This Row],[Último pagto ano]])*29,"mmmm")</f>
        <v>dezembro</v>
      </c>
    </row>
    <row r="8649" spans="1:9" x14ac:dyDescent="0.25">
      <c r="A8649">
        <v>2025</v>
      </c>
      <c r="B8649" t="s">
        <v>17221</v>
      </c>
      <c r="C8649" s="1">
        <v>46006</v>
      </c>
      <c r="D8649" t="s">
        <v>17222</v>
      </c>
      <c r="E8649" s="2">
        <v>25726.12</v>
      </c>
      <c r="G8649" s="3">
        <f>MONTH(Tabela1[[#This Row],[Último pagto ano]])</f>
        <v>12</v>
      </c>
      <c r="H8649" t="str">
        <f>TEXT(Tabela1[[#This Row],[Coluna2]]*29,"mmmm")</f>
        <v>dezembro</v>
      </c>
      <c r="I8649" t="str">
        <f>TEXT(MONTH(Tabela1[[#This Row],[Último pagto ano]])*29,"mmmm")</f>
        <v>dezembro</v>
      </c>
    </row>
    <row r="8650" spans="1:9" x14ac:dyDescent="0.25">
      <c r="A8650">
        <v>2025</v>
      </c>
      <c r="B8650" t="s">
        <v>17223</v>
      </c>
      <c r="C8650" s="1">
        <v>45733</v>
      </c>
      <c r="D8650" t="s">
        <v>17224</v>
      </c>
      <c r="E8650" s="2">
        <v>2033.28</v>
      </c>
      <c r="G8650" s="3">
        <f>MONTH(Tabela1[[#This Row],[Último pagto ano]])</f>
        <v>3</v>
      </c>
      <c r="H8650" t="str">
        <f>TEXT(Tabela1[[#This Row],[Coluna2]]*29,"mmmm")</f>
        <v>março</v>
      </c>
      <c r="I8650" t="str">
        <f>TEXT(MONTH(Tabela1[[#This Row],[Último pagto ano]])*29,"mmmm")</f>
        <v>março</v>
      </c>
    </row>
    <row r="8651" spans="1:9" x14ac:dyDescent="0.25">
      <c r="A8651">
        <v>2025</v>
      </c>
      <c r="B8651" t="s">
        <v>17225</v>
      </c>
      <c r="C8651" s="1">
        <v>46010</v>
      </c>
      <c r="D8651" t="s">
        <v>17226</v>
      </c>
      <c r="E8651" s="2">
        <v>4900</v>
      </c>
      <c r="G8651" s="3">
        <f>MONTH(Tabela1[[#This Row],[Último pagto ano]])</f>
        <v>12</v>
      </c>
      <c r="H8651" t="str">
        <f>TEXT(Tabela1[[#This Row],[Coluna2]]*29,"mmmm")</f>
        <v>dezembro</v>
      </c>
      <c r="I8651" t="str">
        <f>TEXT(MONTH(Tabela1[[#This Row],[Último pagto ano]])*29,"mmmm")</f>
        <v>dezembro</v>
      </c>
    </row>
    <row r="8652" spans="1:9" x14ac:dyDescent="0.25">
      <c r="A8652">
        <v>2025</v>
      </c>
      <c r="B8652" t="s">
        <v>17227</v>
      </c>
      <c r="C8652" s="1">
        <v>45672</v>
      </c>
      <c r="D8652" t="s">
        <v>17228</v>
      </c>
      <c r="E8652">
        <v>282.88</v>
      </c>
      <c r="G8652" s="3">
        <f>MONTH(Tabela1[[#This Row],[Último pagto ano]])</f>
        <v>1</v>
      </c>
      <c r="H8652" t="str">
        <f>TEXT(Tabela1[[#This Row],[Coluna2]]*29,"mmmm")</f>
        <v>janeiro</v>
      </c>
      <c r="I8652" t="str">
        <f>TEXT(MONTH(Tabela1[[#This Row],[Último pagto ano]])*29,"mmmm")</f>
        <v>janeiro</v>
      </c>
    </row>
    <row r="8653" spans="1:9" x14ac:dyDescent="0.25">
      <c r="A8653">
        <v>2025</v>
      </c>
      <c r="B8653" t="s">
        <v>17229</v>
      </c>
      <c r="C8653" s="1">
        <v>45950</v>
      </c>
      <c r="D8653" t="s">
        <v>17230</v>
      </c>
      <c r="E8653">
        <v>81.319999999999993</v>
      </c>
      <c r="G8653" s="3">
        <f>MONTH(Tabela1[[#This Row],[Último pagto ano]])</f>
        <v>10</v>
      </c>
      <c r="H8653" t="str">
        <f>TEXT(Tabela1[[#This Row],[Coluna2]]*29,"mmmm")</f>
        <v>outubro</v>
      </c>
      <c r="I8653" t="str">
        <f>TEXT(MONTH(Tabela1[[#This Row],[Último pagto ano]])*29,"mmmm")</f>
        <v>outubro</v>
      </c>
    </row>
    <row r="8654" spans="1:9" x14ac:dyDescent="0.25">
      <c r="A8654">
        <v>2025</v>
      </c>
      <c r="B8654" t="s">
        <v>17231</v>
      </c>
      <c r="C8654" s="1">
        <v>45853</v>
      </c>
      <c r="D8654" t="s">
        <v>17232</v>
      </c>
      <c r="E8654" s="2">
        <v>2220.96</v>
      </c>
      <c r="G8654" s="3">
        <f>MONTH(Tabela1[[#This Row],[Último pagto ano]])</f>
        <v>7</v>
      </c>
      <c r="H8654" t="str">
        <f>TEXT(Tabela1[[#This Row],[Coluna2]]*29,"mmmm")</f>
        <v>julho</v>
      </c>
      <c r="I8654" t="str">
        <f>TEXT(MONTH(Tabela1[[#This Row],[Último pagto ano]])*29,"mmmm")</f>
        <v>julho</v>
      </c>
    </row>
    <row r="8655" spans="1:9" x14ac:dyDescent="0.25">
      <c r="A8655">
        <v>2025</v>
      </c>
      <c r="B8655" t="s">
        <v>17233</v>
      </c>
      <c r="C8655" s="1">
        <v>45702</v>
      </c>
      <c r="D8655" t="s">
        <v>17234</v>
      </c>
      <c r="E8655">
        <v>128.93</v>
      </c>
      <c r="G8655" s="3">
        <f>MONTH(Tabela1[[#This Row],[Último pagto ano]])</f>
        <v>2</v>
      </c>
      <c r="H8655" t="str">
        <f>TEXT(Tabela1[[#This Row],[Coluna2]]*29,"mmmm")</f>
        <v>fevereiro</v>
      </c>
      <c r="I8655" t="str">
        <f>TEXT(MONTH(Tabela1[[#This Row],[Último pagto ano]])*29,"mmmm")</f>
        <v>fevereiro</v>
      </c>
    </row>
    <row r="8656" spans="1:9" x14ac:dyDescent="0.25">
      <c r="A8656">
        <v>2025</v>
      </c>
      <c r="B8656" t="s">
        <v>17235</v>
      </c>
      <c r="C8656" s="1">
        <v>46006</v>
      </c>
      <c r="D8656" t="s">
        <v>17236</v>
      </c>
      <c r="E8656" s="2">
        <v>19568.8</v>
      </c>
      <c r="G8656" s="3">
        <f>MONTH(Tabela1[[#This Row],[Último pagto ano]])</f>
        <v>12</v>
      </c>
      <c r="H8656" t="str">
        <f>TEXT(Tabela1[[#This Row],[Coluna2]]*29,"mmmm")</f>
        <v>dezembro</v>
      </c>
      <c r="I8656" t="str">
        <f>TEXT(MONTH(Tabela1[[#This Row],[Último pagto ano]])*29,"mmmm")</f>
        <v>dezembro</v>
      </c>
    </row>
    <row r="8657" spans="1:9" x14ac:dyDescent="0.25">
      <c r="A8657">
        <v>2025</v>
      </c>
      <c r="B8657" t="s">
        <v>17237</v>
      </c>
      <c r="C8657" s="1">
        <v>45945</v>
      </c>
      <c r="D8657" t="s">
        <v>17238</v>
      </c>
      <c r="E8657" s="2">
        <v>2665.44</v>
      </c>
      <c r="G8657" s="3">
        <f>MONTH(Tabela1[[#This Row],[Último pagto ano]])</f>
        <v>10</v>
      </c>
      <c r="H8657" t="str">
        <f>TEXT(Tabela1[[#This Row],[Coluna2]]*29,"mmmm")</f>
        <v>outubro</v>
      </c>
      <c r="I8657" t="str">
        <f>TEXT(MONTH(Tabela1[[#This Row],[Último pagto ano]])*29,"mmmm")</f>
        <v>outubro</v>
      </c>
    </row>
    <row r="8658" spans="1:9" x14ac:dyDescent="0.25">
      <c r="A8658">
        <v>2025</v>
      </c>
      <c r="B8658" t="s">
        <v>17239</v>
      </c>
      <c r="C8658" s="1">
        <v>45876</v>
      </c>
      <c r="D8658" t="s">
        <v>17240</v>
      </c>
      <c r="E8658" s="2">
        <v>2750</v>
      </c>
      <c r="G8658" s="3">
        <f>MONTH(Tabela1[[#This Row],[Último pagto ano]])</f>
        <v>8</v>
      </c>
      <c r="H8658" t="str">
        <f>TEXT(Tabela1[[#This Row],[Coluna2]]*29,"mmmm")</f>
        <v>agosto</v>
      </c>
      <c r="I8658" t="str">
        <f>TEXT(MONTH(Tabela1[[#This Row],[Último pagto ano]])*29,"mmmm")</f>
        <v>agosto</v>
      </c>
    </row>
    <row r="8659" spans="1:9" x14ac:dyDescent="0.25">
      <c r="A8659">
        <v>2025</v>
      </c>
      <c r="B8659" t="s">
        <v>17241</v>
      </c>
      <c r="C8659" s="1">
        <v>45876</v>
      </c>
      <c r="D8659" t="s">
        <v>17242</v>
      </c>
      <c r="E8659" s="2">
        <v>2700</v>
      </c>
      <c r="G8659" s="3">
        <f>MONTH(Tabela1[[#This Row],[Último pagto ano]])</f>
        <v>8</v>
      </c>
      <c r="H8659" t="str">
        <f>TEXT(Tabela1[[#This Row],[Coluna2]]*29,"mmmm")</f>
        <v>agosto</v>
      </c>
      <c r="I8659" t="str">
        <f>TEXT(MONTH(Tabela1[[#This Row],[Último pagto ano]])*29,"mmmm")</f>
        <v>agosto</v>
      </c>
    </row>
    <row r="8660" spans="1:9" x14ac:dyDescent="0.25">
      <c r="A8660">
        <v>2025</v>
      </c>
      <c r="B8660" t="s">
        <v>17243</v>
      </c>
      <c r="C8660" s="1">
        <v>45968</v>
      </c>
      <c r="D8660" t="s">
        <v>17244</v>
      </c>
      <c r="E8660" s="2">
        <v>3300</v>
      </c>
      <c r="G8660" s="3">
        <f>MONTH(Tabela1[[#This Row],[Último pagto ano]])</f>
        <v>11</v>
      </c>
      <c r="H8660" t="str">
        <f>TEXT(Tabela1[[#This Row],[Coluna2]]*29,"mmmm")</f>
        <v>novembro</v>
      </c>
      <c r="I8660" t="str">
        <f>TEXT(MONTH(Tabela1[[#This Row],[Último pagto ano]])*29,"mmmm")</f>
        <v>novembro</v>
      </c>
    </row>
    <row r="8661" spans="1:9" x14ac:dyDescent="0.25">
      <c r="A8661">
        <v>2025</v>
      </c>
      <c r="B8661" t="s">
        <v>17245</v>
      </c>
      <c r="C8661" s="1">
        <v>45968</v>
      </c>
      <c r="D8661" t="s">
        <v>17246</v>
      </c>
      <c r="E8661" s="2">
        <v>6000</v>
      </c>
      <c r="G8661" s="3">
        <f>MONTH(Tabela1[[#This Row],[Último pagto ano]])</f>
        <v>11</v>
      </c>
      <c r="H8661" t="str">
        <f>TEXT(Tabela1[[#This Row],[Coluna2]]*29,"mmmm")</f>
        <v>novembro</v>
      </c>
      <c r="I8661" t="str">
        <f>TEXT(MONTH(Tabela1[[#This Row],[Último pagto ano]])*29,"mmmm")</f>
        <v>novembro</v>
      </c>
    </row>
    <row r="8662" spans="1:9" x14ac:dyDescent="0.25">
      <c r="A8662">
        <v>2025</v>
      </c>
      <c r="B8662" t="s">
        <v>17247</v>
      </c>
      <c r="C8662" s="1">
        <v>45985</v>
      </c>
      <c r="D8662" t="s">
        <v>17248</v>
      </c>
      <c r="E8662" s="2">
        <v>7700</v>
      </c>
      <c r="G8662" s="3">
        <f>MONTH(Tabela1[[#This Row],[Último pagto ano]])</f>
        <v>11</v>
      </c>
      <c r="H8662" t="str">
        <f>TEXT(Tabela1[[#This Row],[Coluna2]]*29,"mmmm")</f>
        <v>novembro</v>
      </c>
      <c r="I8662" t="str">
        <f>TEXT(MONTH(Tabela1[[#This Row],[Último pagto ano]])*29,"mmmm")</f>
        <v>novembro</v>
      </c>
    </row>
    <row r="8663" spans="1:9" x14ac:dyDescent="0.25">
      <c r="A8663">
        <v>2025</v>
      </c>
      <c r="B8663" t="s">
        <v>17249</v>
      </c>
      <c r="C8663" s="1">
        <v>45989</v>
      </c>
      <c r="D8663" t="s">
        <v>17250</v>
      </c>
      <c r="E8663" s="2">
        <v>11570.39</v>
      </c>
      <c r="G8663" s="3">
        <f>MONTH(Tabela1[[#This Row],[Último pagto ano]])</f>
        <v>11</v>
      </c>
      <c r="H8663" t="str">
        <f>TEXT(Tabela1[[#This Row],[Coluna2]]*29,"mmmm")</f>
        <v>novembro</v>
      </c>
      <c r="I8663" t="str">
        <f>TEXT(MONTH(Tabela1[[#This Row],[Último pagto ano]])*29,"mmmm")</f>
        <v>novembro</v>
      </c>
    </row>
    <row r="8664" spans="1:9" x14ac:dyDescent="0.25">
      <c r="A8664">
        <v>2025</v>
      </c>
      <c r="B8664" t="s">
        <v>17251</v>
      </c>
      <c r="C8664" s="1">
        <v>46010</v>
      </c>
      <c r="D8664" t="s">
        <v>17252</v>
      </c>
      <c r="E8664" s="2">
        <v>4200</v>
      </c>
      <c r="G8664" s="3">
        <f>MONTH(Tabela1[[#This Row],[Último pagto ano]])</f>
        <v>12</v>
      </c>
      <c r="H8664" t="str">
        <f>TEXT(Tabela1[[#This Row],[Coluna2]]*29,"mmmm")</f>
        <v>dezembro</v>
      </c>
      <c r="I8664" t="str">
        <f>TEXT(MONTH(Tabela1[[#This Row],[Último pagto ano]])*29,"mmmm")</f>
        <v>dezembro</v>
      </c>
    </row>
    <row r="8665" spans="1:9" x14ac:dyDescent="0.25">
      <c r="A8665">
        <v>2025</v>
      </c>
      <c r="B8665" t="s">
        <v>17253</v>
      </c>
      <c r="C8665" s="1">
        <v>46006</v>
      </c>
      <c r="D8665" t="s">
        <v>17254</v>
      </c>
      <c r="E8665" s="2">
        <v>1184.6400000000001</v>
      </c>
      <c r="G8665" s="3">
        <f>MONTH(Tabela1[[#This Row],[Último pagto ano]])</f>
        <v>12</v>
      </c>
      <c r="H8665" t="str">
        <f>TEXT(Tabela1[[#This Row],[Coluna2]]*29,"mmmm")</f>
        <v>dezembro</v>
      </c>
      <c r="I8665" t="str">
        <f>TEXT(MONTH(Tabela1[[#This Row],[Último pagto ano]])*29,"mmmm")</f>
        <v>dezembro</v>
      </c>
    </row>
    <row r="8666" spans="1:9" x14ac:dyDescent="0.25">
      <c r="A8666">
        <v>2025</v>
      </c>
      <c r="B8666" t="s">
        <v>17255</v>
      </c>
      <c r="C8666" s="1">
        <v>45853</v>
      </c>
      <c r="D8666" t="s">
        <v>17256</v>
      </c>
      <c r="E8666" s="2">
        <v>1332.72</v>
      </c>
      <c r="G8666" s="3">
        <f>MONTH(Tabela1[[#This Row],[Último pagto ano]])</f>
        <v>7</v>
      </c>
      <c r="H8666" t="str">
        <f>TEXT(Tabela1[[#This Row],[Coluna2]]*29,"mmmm")</f>
        <v>julho</v>
      </c>
      <c r="I8666" t="str">
        <f>TEXT(MONTH(Tabela1[[#This Row],[Último pagto ano]])*29,"mmmm")</f>
        <v>julho</v>
      </c>
    </row>
    <row r="8667" spans="1:9" x14ac:dyDescent="0.25">
      <c r="A8667">
        <v>2025</v>
      </c>
      <c r="B8667" t="s">
        <v>17257</v>
      </c>
      <c r="C8667" s="1">
        <v>45975</v>
      </c>
      <c r="D8667" t="s">
        <v>17258</v>
      </c>
      <c r="E8667" s="2">
        <v>1184.6400000000001</v>
      </c>
      <c r="G8667" s="3">
        <f>MONTH(Tabela1[[#This Row],[Último pagto ano]])</f>
        <v>11</v>
      </c>
      <c r="H8667" t="str">
        <f>TEXT(Tabela1[[#This Row],[Coluna2]]*29,"mmmm")</f>
        <v>novembro</v>
      </c>
      <c r="I8667" t="str">
        <f>TEXT(MONTH(Tabela1[[#This Row],[Último pagto ano]])*29,"mmmm")</f>
        <v>novembro</v>
      </c>
    </row>
    <row r="8668" spans="1:9" x14ac:dyDescent="0.25">
      <c r="A8668">
        <v>2025</v>
      </c>
      <c r="B8668" t="s">
        <v>17259</v>
      </c>
      <c r="C8668" s="1">
        <v>45995</v>
      </c>
      <c r="D8668" t="s">
        <v>17260</v>
      </c>
      <c r="E8668">
        <v>22</v>
      </c>
      <c r="G8668" s="3">
        <f>MONTH(Tabela1[[#This Row],[Último pagto ano]])</f>
        <v>12</v>
      </c>
      <c r="H8668" t="str">
        <f>TEXT(Tabela1[[#This Row],[Coluna2]]*29,"mmmm")</f>
        <v>dezembro</v>
      </c>
      <c r="I8668" t="str">
        <f>TEXT(MONTH(Tabela1[[#This Row],[Último pagto ano]])*29,"mmmm")</f>
        <v>dezembro</v>
      </c>
    </row>
    <row r="8669" spans="1:9" x14ac:dyDescent="0.25">
      <c r="A8669">
        <v>2025</v>
      </c>
      <c r="B8669" t="s">
        <v>17261</v>
      </c>
      <c r="C8669" s="1">
        <v>45762</v>
      </c>
      <c r="D8669" t="s">
        <v>17262</v>
      </c>
      <c r="E8669" s="2">
        <v>2763.72</v>
      </c>
      <c r="G8669" s="3">
        <f>MONTH(Tabela1[[#This Row],[Último pagto ano]])</f>
        <v>4</v>
      </c>
      <c r="H8669" t="str">
        <f>TEXT(Tabela1[[#This Row],[Coluna2]]*29,"mmmm")</f>
        <v>abril</v>
      </c>
      <c r="I8669" t="str">
        <f>TEXT(MONTH(Tabela1[[#This Row],[Último pagto ano]])*29,"mmmm")</f>
        <v>abril</v>
      </c>
    </row>
    <row r="8670" spans="1:9" x14ac:dyDescent="0.25">
      <c r="A8670">
        <v>2025</v>
      </c>
      <c r="B8670" t="s">
        <v>17263</v>
      </c>
      <c r="C8670" s="1">
        <v>45950</v>
      </c>
      <c r="D8670" t="s">
        <v>17264</v>
      </c>
      <c r="E8670" s="2">
        <v>5780</v>
      </c>
      <c r="G8670" s="3">
        <f>MONTH(Tabela1[[#This Row],[Último pagto ano]])</f>
        <v>10</v>
      </c>
      <c r="H8670" t="str">
        <f>TEXT(Tabela1[[#This Row],[Coluna2]]*29,"mmmm")</f>
        <v>outubro</v>
      </c>
      <c r="I8670" t="str">
        <f>TEXT(MONTH(Tabela1[[#This Row],[Último pagto ano]])*29,"mmmm")</f>
        <v>outubro</v>
      </c>
    </row>
    <row r="8671" spans="1:9" x14ac:dyDescent="0.25">
      <c r="A8671">
        <v>2025</v>
      </c>
      <c r="B8671" t="s">
        <v>17265</v>
      </c>
      <c r="C8671" s="1">
        <v>46010</v>
      </c>
      <c r="D8671" t="s">
        <v>17266</v>
      </c>
      <c r="E8671" s="2">
        <v>2100</v>
      </c>
      <c r="G8671" s="3">
        <f>MONTH(Tabela1[[#This Row],[Último pagto ano]])</f>
        <v>12</v>
      </c>
      <c r="H8671" t="str">
        <f>TEXT(Tabela1[[#This Row],[Coluna2]]*29,"mmmm")</f>
        <v>dezembro</v>
      </c>
      <c r="I8671" t="str">
        <f>TEXT(MONTH(Tabela1[[#This Row],[Último pagto ano]])*29,"mmmm")</f>
        <v>dezembro</v>
      </c>
    </row>
    <row r="8672" spans="1:9" x14ac:dyDescent="0.25">
      <c r="A8672">
        <v>2025</v>
      </c>
      <c r="B8672" t="s">
        <v>17267</v>
      </c>
      <c r="C8672" s="1">
        <v>46013</v>
      </c>
      <c r="D8672" t="s">
        <v>17268</v>
      </c>
      <c r="E8672" s="2">
        <v>6577.2</v>
      </c>
      <c r="G8672" s="3">
        <f>MONTH(Tabela1[[#This Row],[Último pagto ano]])</f>
        <v>12</v>
      </c>
      <c r="H8672" t="str">
        <f>TEXT(Tabela1[[#This Row],[Coluna2]]*29,"mmmm")</f>
        <v>dezembro</v>
      </c>
      <c r="I8672" t="str">
        <f>TEXT(MONTH(Tabela1[[#This Row],[Último pagto ano]])*29,"mmmm")</f>
        <v>dezembro</v>
      </c>
    </row>
    <row r="8673" spans="1:9" x14ac:dyDescent="0.25">
      <c r="A8673">
        <v>2025</v>
      </c>
      <c r="B8673" t="s">
        <v>17269</v>
      </c>
      <c r="C8673" s="1">
        <v>45853</v>
      </c>
      <c r="D8673" t="s">
        <v>17270</v>
      </c>
      <c r="E8673" s="2">
        <v>5735.28</v>
      </c>
      <c r="G8673" s="3">
        <f>MONTH(Tabela1[[#This Row],[Último pagto ano]])</f>
        <v>7</v>
      </c>
      <c r="H8673" t="str">
        <f>TEXT(Tabela1[[#This Row],[Coluna2]]*29,"mmmm")</f>
        <v>julho</v>
      </c>
      <c r="I8673" t="str">
        <f>TEXT(MONTH(Tabela1[[#This Row],[Último pagto ano]])*29,"mmmm")</f>
        <v>julho</v>
      </c>
    </row>
    <row r="8674" spans="1:9" x14ac:dyDescent="0.25">
      <c r="A8674">
        <v>2025</v>
      </c>
      <c r="B8674" t="s">
        <v>17271</v>
      </c>
      <c r="C8674" s="1">
        <v>45863</v>
      </c>
      <c r="D8674" t="s">
        <v>17272</v>
      </c>
      <c r="E8674" s="2">
        <v>1400</v>
      </c>
      <c r="G8674" s="3">
        <f>MONTH(Tabela1[[#This Row],[Último pagto ano]])</f>
        <v>7</v>
      </c>
      <c r="H8674" t="str">
        <f>TEXT(Tabela1[[#This Row],[Coluna2]]*29,"mmmm")</f>
        <v>julho</v>
      </c>
      <c r="I8674" t="str">
        <f>TEXT(MONTH(Tabela1[[#This Row],[Último pagto ano]])*29,"mmmm")</f>
        <v>julho</v>
      </c>
    </row>
    <row r="8675" spans="1:9" x14ac:dyDescent="0.25">
      <c r="A8675">
        <v>2025</v>
      </c>
      <c r="B8675" t="s">
        <v>17273</v>
      </c>
      <c r="C8675" s="1">
        <v>45985</v>
      </c>
      <c r="D8675" t="s">
        <v>17274</v>
      </c>
      <c r="E8675">
        <v>187</v>
      </c>
      <c r="G8675" s="3">
        <f>MONTH(Tabela1[[#This Row],[Último pagto ano]])</f>
        <v>11</v>
      </c>
      <c r="H8675" t="str">
        <f>TEXT(Tabela1[[#This Row],[Coluna2]]*29,"mmmm")</f>
        <v>novembro</v>
      </c>
      <c r="I8675" t="str">
        <f>TEXT(MONTH(Tabela1[[#This Row],[Último pagto ano]])*29,"mmmm")</f>
        <v>novembro</v>
      </c>
    </row>
    <row r="8676" spans="1:9" x14ac:dyDescent="0.25">
      <c r="A8676">
        <v>2025</v>
      </c>
      <c r="B8676" t="s">
        <v>17275</v>
      </c>
      <c r="C8676" s="1">
        <v>46006</v>
      </c>
      <c r="D8676" t="s">
        <v>17276</v>
      </c>
      <c r="E8676">
        <v>592.32000000000005</v>
      </c>
      <c r="G8676" s="3">
        <f>MONTH(Tabela1[[#This Row],[Último pagto ano]])</f>
        <v>12</v>
      </c>
      <c r="H8676" t="str">
        <f>TEXT(Tabela1[[#This Row],[Coluna2]]*29,"mmmm")</f>
        <v>dezembro</v>
      </c>
      <c r="I8676" t="str">
        <f>TEXT(MONTH(Tabela1[[#This Row],[Último pagto ano]])*29,"mmmm")</f>
        <v>dezembro</v>
      </c>
    </row>
    <row r="8677" spans="1:9" x14ac:dyDescent="0.25">
      <c r="A8677">
        <v>2025</v>
      </c>
      <c r="B8677" t="s">
        <v>17277</v>
      </c>
      <c r="C8677" s="1">
        <v>45979</v>
      </c>
      <c r="D8677" t="s">
        <v>17278</v>
      </c>
      <c r="E8677" s="2">
        <v>69393.759999999995</v>
      </c>
      <c r="G8677" s="3">
        <f>MONTH(Tabela1[[#This Row],[Último pagto ano]])</f>
        <v>11</v>
      </c>
      <c r="H8677" t="str">
        <f>TEXT(Tabela1[[#This Row],[Coluna2]]*29,"mmmm")</f>
        <v>novembro</v>
      </c>
      <c r="I8677" t="str">
        <f>TEXT(MONTH(Tabela1[[#This Row],[Último pagto ano]])*29,"mmmm")</f>
        <v>novembro</v>
      </c>
    </row>
    <row r="8678" spans="1:9" x14ac:dyDescent="0.25">
      <c r="A8678">
        <v>2025</v>
      </c>
      <c r="B8678" t="s">
        <v>17279</v>
      </c>
      <c r="C8678" s="1">
        <v>45996</v>
      </c>
      <c r="D8678" t="s">
        <v>17280</v>
      </c>
      <c r="E8678" s="2">
        <v>43500</v>
      </c>
      <c r="G8678" s="3">
        <f>MONTH(Tabela1[[#This Row],[Último pagto ano]])</f>
        <v>12</v>
      </c>
      <c r="H8678" t="str">
        <f>TEXT(Tabela1[[#This Row],[Coluna2]]*29,"mmmm")</f>
        <v>dezembro</v>
      </c>
      <c r="I8678" t="str">
        <f>TEXT(MONTH(Tabela1[[#This Row],[Último pagto ano]])*29,"mmmm")</f>
        <v>dezembro</v>
      </c>
    </row>
    <row r="8679" spans="1:9" x14ac:dyDescent="0.25">
      <c r="A8679">
        <v>2025</v>
      </c>
      <c r="B8679" t="s">
        <v>17281</v>
      </c>
      <c r="C8679" s="1">
        <v>46010</v>
      </c>
      <c r="D8679" t="s">
        <v>17282</v>
      </c>
      <c r="E8679" s="2">
        <v>12000</v>
      </c>
      <c r="G8679" s="3">
        <f>MONTH(Tabela1[[#This Row],[Último pagto ano]])</f>
        <v>12</v>
      </c>
      <c r="H8679" t="str">
        <f>TEXT(Tabela1[[#This Row],[Coluna2]]*29,"mmmm")</f>
        <v>dezembro</v>
      </c>
      <c r="I8679" t="str">
        <f>TEXT(MONTH(Tabela1[[#This Row],[Último pagto ano]])*29,"mmmm")</f>
        <v>dezembro</v>
      </c>
    </row>
    <row r="8680" spans="1:9" x14ac:dyDescent="0.25">
      <c r="A8680">
        <v>2025</v>
      </c>
      <c r="B8680" t="s">
        <v>17283</v>
      </c>
      <c r="C8680" s="1">
        <v>46010</v>
      </c>
      <c r="D8680" t="s">
        <v>17284</v>
      </c>
      <c r="E8680" s="2">
        <v>24000</v>
      </c>
      <c r="G8680" s="3">
        <f>MONTH(Tabela1[[#This Row],[Último pagto ano]])</f>
        <v>12</v>
      </c>
      <c r="H8680" t="str">
        <f>TEXT(Tabela1[[#This Row],[Coluna2]]*29,"mmmm")</f>
        <v>dezembro</v>
      </c>
      <c r="I8680" t="str">
        <f>TEXT(MONTH(Tabela1[[#This Row],[Último pagto ano]])*29,"mmmm")</f>
        <v>dezembro</v>
      </c>
    </row>
    <row r="8681" spans="1:9" x14ac:dyDescent="0.25">
      <c r="A8681">
        <v>2025</v>
      </c>
      <c r="B8681" t="s">
        <v>17285</v>
      </c>
      <c r="C8681" s="1">
        <v>45740</v>
      </c>
      <c r="D8681" t="s">
        <v>17286</v>
      </c>
      <c r="E8681" s="2">
        <v>1400</v>
      </c>
      <c r="G8681" s="3">
        <f>MONTH(Tabela1[[#This Row],[Último pagto ano]])</f>
        <v>3</v>
      </c>
      <c r="H8681" t="str">
        <f>TEXT(Tabela1[[#This Row],[Coluna2]]*29,"mmmm")</f>
        <v>março</v>
      </c>
      <c r="I8681" t="str">
        <f>TEXT(MONTH(Tabela1[[#This Row],[Último pagto ano]])*29,"mmmm")</f>
        <v>março</v>
      </c>
    </row>
    <row r="8682" spans="1:9" x14ac:dyDescent="0.25">
      <c r="A8682">
        <v>2025</v>
      </c>
      <c r="B8682" t="s">
        <v>17287</v>
      </c>
      <c r="C8682" s="1">
        <v>45996</v>
      </c>
      <c r="D8682" t="s">
        <v>17288</v>
      </c>
      <c r="E8682" s="2">
        <v>6350</v>
      </c>
      <c r="G8682" s="3">
        <f>MONTH(Tabela1[[#This Row],[Último pagto ano]])</f>
        <v>12</v>
      </c>
      <c r="H8682" t="str">
        <f>TEXT(Tabela1[[#This Row],[Coluna2]]*29,"mmmm")</f>
        <v>dezembro</v>
      </c>
      <c r="I8682" t="str">
        <f>TEXT(MONTH(Tabela1[[#This Row],[Último pagto ano]])*29,"mmmm")</f>
        <v>dezembro</v>
      </c>
    </row>
    <row r="8683" spans="1:9" x14ac:dyDescent="0.25">
      <c r="A8683">
        <v>2025</v>
      </c>
      <c r="B8683" t="s">
        <v>17289</v>
      </c>
      <c r="C8683" s="1">
        <v>46006</v>
      </c>
      <c r="D8683" t="s">
        <v>17290</v>
      </c>
      <c r="E8683" s="2">
        <v>1560</v>
      </c>
      <c r="G8683" s="3">
        <f>MONTH(Tabela1[[#This Row],[Último pagto ano]])</f>
        <v>12</v>
      </c>
      <c r="H8683" t="str">
        <f>TEXT(Tabela1[[#This Row],[Coluna2]]*29,"mmmm")</f>
        <v>dezembro</v>
      </c>
      <c r="I8683" t="str">
        <f>TEXT(MONTH(Tabela1[[#This Row],[Último pagto ano]])*29,"mmmm")</f>
        <v>dezembro</v>
      </c>
    </row>
    <row r="8684" spans="1:9" x14ac:dyDescent="0.25">
      <c r="A8684">
        <v>2025</v>
      </c>
      <c r="B8684" t="s">
        <v>17291</v>
      </c>
      <c r="C8684" s="1">
        <v>46007</v>
      </c>
      <c r="D8684" t="s">
        <v>17292</v>
      </c>
      <c r="E8684" s="2">
        <v>1253602.6399999999</v>
      </c>
      <c r="G8684" s="3">
        <f>MONTH(Tabela1[[#This Row],[Último pagto ano]])</f>
        <v>12</v>
      </c>
      <c r="H8684" t="str">
        <f>TEXT(Tabela1[[#This Row],[Coluna2]]*29,"mmmm")</f>
        <v>dezembro</v>
      </c>
      <c r="I8684" t="str">
        <f>TEXT(MONTH(Tabela1[[#This Row],[Último pagto ano]])*29,"mmmm")</f>
        <v>dezembro</v>
      </c>
    </row>
    <row r="8685" spans="1:9" x14ac:dyDescent="0.25">
      <c r="A8685">
        <v>2025</v>
      </c>
      <c r="B8685" t="s">
        <v>17293</v>
      </c>
      <c r="C8685" s="1">
        <v>46014</v>
      </c>
      <c r="D8685" t="s">
        <v>17294</v>
      </c>
      <c r="E8685" s="2">
        <v>5670</v>
      </c>
      <c r="G8685" s="3">
        <f>MONTH(Tabela1[[#This Row],[Último pagto ano]])</f>
        <v>12</v>
      </c>
      <c r="H8685" t="str">
        <f>TEXT(Tabela1[[#This Row],[Coluna2]]*29,"mmmm")</f>
        <v>dezembro</v>
      </c>
      <c r="I8685" t="str">
        <f>TEXT(MONTH(Tabela1[[#This Row],[Último pagto ano]])*29,"mmmm")</f>
        <v>dezembro</v>
      </c>
    </row>
    <row r="8686" spans="1:9" x14ac:dyDescent="0.25">
      <c r="A8686">
        <v>2025</v>
      </c>
      <c r="B8686" t="s">
        <v>17295</v>
      </c>
      <c r="C8686" s="1">
        <v>46006</v>
      </c>
      <c r="D8686" t="s">
        <v>17296</v>
      </c>
      <c r="E8686" s="2">
        <v>2564.84</v>
      </c>
      <c r="G8686" s="3">
        <f>MONTH(Tabela1[[#This Row],[Último pagto ano]])</f>
        <v>12</v>
      </c>
      <c r="H8686" t="str">
        <f>TEXT(Tabela1[[#This Row],[Coluna2]]*29,"mmmm")</f>
        <v>dezembro</v>
      </c>
      <c r="I8686" t="str">
        <f>TEXT(MONTH(Tabela1[[#This Row],[Último pagto ano]])*29,"mmmm")</f>
        <v>dezembro</v>
      </c>
    </row>
    <row r="8687" spans="1:9" x14ac:dyDescent="0.25">
      <c r="A8687">
        <v>2025</v>
      </c>
      <c r="B8687" t="s">
        <v>17297</v>
      </c>
      <c r="C8687" s="1">
        <v>45702</v>
      </c>
      <c r="D8687" t="s">
        <v>17298</v>
      </c>
      <c r="E8687">
        <v>38.840000000000003</v>
      </c>
      <c r="G8687" s="3">
        <f>MONTH(Tabela1[[#This Row],[Último pagto ano]])</f>
        <v>2</v>
      </c>
      <c r="H8687" t="str">
        <f>TEXT(Tabela1[[#This Row],[Coluna2]]*29,"mmmm")</f>
        <v>fevereiro</v>
      </c>
      <c r="I8687" t="str">
        <f>TEXT(MONTH(Tabela1[[#This Row],[Último pagto ano]])*29,"mmmm")</f>
        <v>fevereiro</v>
      </c>
    </row>
    <row r="8688" spans="1:9" x14ac:dyDescent="0.25">
      <c r="A8688">
        <v>2025</v>
      </c>
      <c r="B8688" t="s">
        <v>17299</v>
      </c>
      <c r="C8688" s="1">
        <v>46006</v>
      </c>
      <c r="D8688" t="s">
        <v>17300</v>
      </c>
      <c r="E8688" s="2">
        <v>30088.799999999999</v>
      </c>
      <c r="G8688" s="3">
        <f>MONTH(Tabela1[[#This Row],[Último pagto ano]])</f>
        <v>12</v>
      </c>
      <c r="H8688" t="str">
        <f>TEXT(Tabela1[[#This Row],[Coluna2]]*29,"mmmm")</f>
        <v>dezembro</v>
      </c>
      <c r="I8688" t="str">
        <f>TEXT(MONTH(Tabela1[[#This Row],[Último pagto ano]])*29,"mmmm")</f>
        <v>dezembro</v>
      </c>
    </row>
    <row r="8689" spans="1:9" x14ac:dyDescent="0.25">
      <c r="A8689">
        <v>2025</v>
      </c>
      <c r="B8689" t="s">
        <v>17301</v>
      </c>
      <c r="C8689" s="1">
        <v>45883</v>
      </c>
      <c r="D8689" t="s">
        <v>17302</v>
      </c>
      <c r="E8689">
        <v>600</v>
      </c>
      <c r="G8689" s="3">
        <f>MONTH(Tabela1[[#This Row],[Último pagto ano]])</f>
        <v>8</v>
      </c>
      <c r="H8689" t="str">
        <f>TEXT(Tabela1[[#This Row],[Coluna2]]*29,"mmmm")</f>
        <v>agosto</v>
      </c>
      <c r="I8689" t="str">
        <f>TEXT(MONTH(Tabela1[[#This Row],[Último pagto ano]])*29,"mmmm")</f>
        <v>agosto</v>
      </c>
    </row>
    <row r="8690" spans="1:9" x14ac:dyDescent="0.25">
      <c r="A8690">
        <v>2025</v>
      </c>
      <c r="B8690" t="s">
        <v>17303</v>
      </c>
      <c r="C8690" s="1">
        <v>45996</v>
      </c>
      <c r="D8690" t="s">
        <v>17304</v>
      </c>
      <c r="E8690" s="2">
        <v>18675</v>
      </c>
      <c r="G8690" s="3">
        <f>MONTH(Tabela1[[#This Row],[Último pagto ano]])</f>
        <v>12</v>
      </c>
      <c r="H8690" t="str">
        <f>TEXT(Tabela1[[#This Row],[Coluna2]]*29,"mmmm")</f>
        <v>dezembro</v>
      </c>
      <c r="I8690" t="str">
        <f>TEXT(MONTH(Tabela1[[#This Row],[Último pagto ano]])*29,"mmmm")</f>
        <v>dezembro</v>
      </c>
    </row>
    <row r="8691" spans="1:9" x14ac:dyDescent="0.25">
      <c r="A8691">
        <v>2025</v>
      </c>
      <c r="B8691" t="s">
        <v>17305</v>
      </c>
      <c r="C8691" s="1">
        <v>46014</v>
      </c>
      <c r="D8691" t="s">
        <v>17306</v>
      </c>
      <c r="E8691" s="2">
        <v>26268.5</v>
      </c>
      <c r="G8691" s="3">
        <f>MONTH(Tabela1[[#This Row],[Último pagto ano]])</f>
        <v>12</v>
      </c>
      <c r="H8691" t="str">
        <f>TEXT(Tabela1[[#This Row],[Coluna2]]*29,"mmmm")</f>
        <v>dezembro</v>
      </c>
      <c r="I8691" t="str">
        <f>TEXT(MONTH(Tabela1[[#This Row],[Último pagto ano]])*29,"mmmm")</f>
        <v>dezembro</v>
      </c>
    </row>
    <row r="8692" spans="1:9" x14ac:dyDescent="0.25">
      <c r="A8692">
        <v>2025</v>
      </c>
      <c r="B8692" t="s">
        <v>17307</v>
      </c>
      <c r="C8692" s="1">
        <v>46006</v>
      </c>
      <c r="D8692" t="s">
        <v>17308</v>
      </c>
      <c r="E8692" s="2">
        <v>9868.24</v>
      </c>
      <c r="G8692" s="3">
        <f>MONTH(Tabela1[[#This Row],[Último pagto ano]])</f>
        <v>12</v>
      </c>
      <c r="H8692" t="str">
        <f>TEXT(Tabela1[[#This Row],[Coluna2]]*29,"mmmm")</f>
        <v>dezembro</v>
      </c>
      <c r="I8692" t="str">
        <f>TEXT(MONTH(Tabela1[[#This Row],[Último pagto ano]])*29,"mmmm")</f>
        <v>dezembro</v>
      </c>
    </row>
    <row r="8693" spans="1:9" x14ac:dyDescent="0.25">
      <c r="A8693">
        <v>2025</v>
      </c>
      <c r="B8693" t="s">
        <v>17309</v>
      </c>
      <c r="C8693" s="1">
        <v>45988</v>
      </c>
      <c r="D8693" t="s">
        <v>17310</v>
      </c>
      <c r="E8693" s="2">
        <v>3568.5</v>
      </c>
      <c r="G8693" s="3">
        <f>MONTH(Tabela1[[#This Row],[Último pagto ano]])</f>
        <v>11</v>
      </c>
      <c r="H8693" t="str">
        <f>TEXT(Tabela1[[#This Row],[Coluna2]]*29,"mmmm")</f>
        <v>novembro</v>
      </c>
      <c r="I8693" t="str">
        <f>TEXT(MONTH(Tabela1[[#This Row],[Último pagto ano]])*29,"mmmm")</f>
        <v>novembro</v>
      </c>
    </row>
    <row r="8694" spans="1:9" x14ac:dyDescent="0.25">
      <c r="A8694">
        <v>2025</v>
      </c>
      <c r="B8694" t="s">
        <v>17311</v>
      </c>
      <c r="C8694" s="1">
        <v>45702</v>
      </c>
      <c r="D8694" t="s">
        <v>17312</v>
      </c>
      <c r="E8694">
        <v>43.33</v>
      </c>
      <c r="G8694" s="3">
        <f>MONTH(Tabela1[[#This Row],[Último pagto ano]])</f>
        <v>2</v>
      </c>
      <c r="H8694" t="str">
        <f>TEXT(Tabela1[[#This Row],[Coluna2]]*29,"mmmm")</f>
        <v>fevereiro</v>
      </c>
      <c r="I8694" t="str">
        <f>TEXT(MONTH(Tabela1[[#This Row],[Último pagto ano]])*29,"mmmm")</f>
        <v>fevereiro</v>
      </c>
    </row>
    <row r="8695" spans="1:9" x14ac:dyDescent="0.25">
      <c r="A8695">
        <v>2025</v>
      </c>
      <c r="B8695" t="s">
        <v>17313</v>
      </c>
      <c r="C8695" s="1">
        <v>46006</v>
      </c>
      <c r="D8695" t="s">
        <v>17314</v>
      </c>
      <c r="E8695" s="2">
        <v>21243.84</v>
      </c>
      <c r="G8695" s="3">
        <f>MONTH(Tabela1[[#This Row],[Último pagto ano]])</f>
        <v>12</v>
      </c>
      <c r="H8695" t="str">
        <f>TEXT(Tabela1[[#This Row],[Coluna2]]*29,"mmmm")</f>
        <v>dezembro</v>
      </c>
      <c r="I8695" t="str">
        <f>TEXT(MONTH(Tabela1[[#This Row],[Último pagto ano]])*29,"mmmm")</f>
        <v>dezembro</v>
      </c>
    </row>
    <row r="8696" spans="1:9" x14ac:dyDescent="0.25">
      <c r="A8696">
        <v>2025</v>
      </c>
      <c r="B8696" t="s">
        <v>17315</v>
      </c>
      <c r="C8696" s="1">
        <v>45945</v>
      </c>
      <c r="D8696" t="s">
        <v>17316</v>
      </c>
      <c r="E8696">
        <v>592.32000000000005</v>
      </c>
      <c r="G8696" s="3">
        <f>MONTH(Tabela1[[#This Row],[Último pagto ano]])</f>
        <v>10</v>
      </c>
      <c r="H8696" t="str">
        <f>TEXT(Tabela1[[#This Row],[Coluna2]]*29,"mmmm")</f>
        <v>outubro</v>
      </c>
      <c r="I8696" t="str">
        <f>TEXT(MONTH(Tabela1[[#This Row],[Último pagto ano]])*29,"mmmm")</f>
        <v>outubro</v>
      </c>
    </row>
    <row r="8697" spans="1:9" x14ac:dyDescent="0.25">
      <c r="A8697">
        <v>2025</v>
      </c>
      <c r="B8697" t="s">
        <v>17317</v>
      </c>
      <c r="C8697" s="1">
        <v>45832</v>
      </c>
      <c r="D8697" t="s">
        <v>17318</v>
      </c>
      <c r="E8697" s="2">
        <v>2800</v>
      </c>
      <c r="G8697" s="3">
        <f>MONTH(Tabela1[[#This Row],[Último pagto ano]])</f>
        <v>6</v>
      </c>
      <c r="H8697" t="str">
        <f>TEXT(Tabela1[[#This Row],[Coluna2]]*29,"mmmm")</f>
        <v>junho</v>
      </c>
      <c r="I8697" t="str">
        <f>TEXT(MONTH(Tabela1[[#This Row],[Último pagto ano]])*29,"mmmm")</f>
        <v>junho</v>
      </c>
    </row>
    <row r="8698" spans="1:9" x14ac:dyDescent="0.25">
      <c r="A8698">
        <v>2025</v>
      </c>
      <c r="B8698" t="s">
        <v>17319</v>
      </c>
      <c r="C8698" s="1">
        <v>45996</v>
      </c>
      <c r="D8698" t="s">
        <v>17320</v>
      </c>
      <c r="E8698" s="2">
        <v>35625</v>
      </c>
      <c r="G8698" s="3">
        <f>MONTH(Tabela1[[#This Row],[Último pagto ano]])</f>
        <v>12</v>
      </c>
      <c r="H8698" t="str">
        <f>TEXT(Tabela1[[#This Row],[Coluna2]]*29,"mmmm")</f>
        <v>dezembro</v>
      </c>
      <c r="I8698" t="str">
        <f>TEXT(MONTH(Tabela1[[#This Row],[Último pagto ano]])*29,"mmmm")</f>
        <v>dezembro</v>
      </c>
    </row>
    <row r="8699" spans="1:9" x14ac:dyDescent="0.25">
      <c r="A8699">
        <v>2025</v>
      </c>
      <c r="B8699" t="s">
        <v>17321</v>
      </c>
      <c r="C8699" s="1">
        <v>45975</v>
      </c>
      <c r="D8699" t="s">
        <v>17322</v>
      </c>
      <c r="E8699" s="2">
        <v>20338.259999999998</v>
      </c>
      <c r="G8699" s="3">
        <f>MONTH(Tabela1[[#This Row],[Último pagto ano]])</f>
        <v>11</v>
      </c>
      <c r="H8699" t="str">
        <f>TEXT(Tabela1[[#This Row],[Coluna2]]*29,"mmmm")</f>
        <v>novembro</v>
      </c>
      <c r="I8699" t="str">
        <f>TEXT(MONTH(Tabela1[[#This Row],[Último pagto ano]])*29,"mmmm")</f>
        <v>novembro</v>
      </c>
    </row>
    <row r="8700" spans="1:9" x14ac:dyDescent="0.25">
      <c r="A8700">
        <v>2025</v>
      </c>
      <c r="B8700" t="s">
        <v>17323</v>
      </c>
      <c r="C8700" s="1">
        <v>45695</v>
      </c>
      <c r="D8700" t="s">
        <v>17324</v>
      </c>
      <c r="E8700" s="2">
        <v>6537.4</v>
      </c>
      <c r="G8700" s="3">
        <f>MONTH(Tabela1[[#This Row],[Último pagto ano]])</f>
        <v>2</v>
      </c>
      <c r="H8700" t="str">
        <f>TEXT(Tabela1[[#This Row],[Coluna2]]*29,"mmmm")</f>
        <v>fevereiro</v>
      </c>
      <c r="I8700" t="str">
        <f>TEXT(MONTH(Tabela1[[#This Row],[Último pagto ano]])*29,"mmmm")</f>
        <v>fevereiro</v>
      </c>
    </row>
    <row r="8701" spans="1:9" x14ac:dyDescent="0.25">
      <c r="A8701">
        <v>2025</v>
      </c>
      <c r="B8701" t="s">
        <v>17325</v>
      </c>
      <c r="C8701" s="1">
        <v>46006</v>
      </c>
      <c r="D8701" t="s">
        <v>17326</v>
      </c>
      <c r="E8701" s="2">
        <v>8858.24</v>
      </c>
      <c r="G8701" s="3">
        <f>MONTH(Tabela1[[#This Row],[Último pagto ano]])</f>
        <v>12</v>
      </c>
      <c r="H8701" t="str">
        <f>TEXT(Tabela1[[#This Row],[Coluna2]]*29,"mmmm")</f>
        <v>dezembro</v>
      </c>
      <c r="I8701" t="str">
        <f>TEXT(MONTH(Tabela1[[#This Row],[Último pagto ano]])*29,"mmmm")</f>
        <v>dezembro</v>
      </c>
    </row>
    <row r="8702" spans="1:9" x14ac:dyDescent="0.25">
      <c r="A8702">
        <v>2025</v>
      </c>
      <c r="B8702" t="s">
        <v>17327</v>
      </c>
      <c r="C8702" s="1">
        <v>45964</v>
      </c>
      <c r="D8702" t="s">
        <v>17328</v>
      </c>
      <c r="E8702">
        <v>66</v>
      </c>
      <c r="G8702" s="3">
        <f>MONTH(Tabela1[[#This Row],[Último pagto ano]])</f>
        <v>11</v>
      </c>
      <c r="H8702" t="str">
        <f>TEXT(Tabela1[[#This Row],[Coluna2]]*29,"mmmm")</f>
        <v>novembro</v>
      </c>
      <c r="I8702" t="str">
        <f>TEXT(MONTH(Tabela1[[#This Row],[Último pagto ano]])*29,"mmmm")</f>
        <v>novembro</v>
      </c>
    </row>
    <row r="8703" spans="1:9" x14ac:dyDescent="0.25">
      <c r="A8703">
        <v>2025</v>
      </c>
      <c r="B8703" t="s">
        <v>17329</v>
      </c>
      <c r="C8703" s="1">
        <v>46006</v>
      </c>
      <c r="D8703" t="s">
        <v>17330</v>
      </c>
      <c r="E8703" s="2">
        <v>9770</v>
      </c>
      <c r="G8703" s="3">
        <f>MONTH(Tabela1[[#This Row],[Último pagto ano]])</f>
        <v>12</v>
      </c>
      <c r="H8703" t="str">
        <f>TEXT(Tabela1[[#This Row],[Coluna2]]*29,"mmmm")</f>
        <v>dezembro</v>
      </c>
      <c r="I8703" t="str">
        <f>TEXT(MONTH(Tabela1[[#This Row],[Último pagto ano]])*29,"mmmm")</f>
        <v>dezembro</v>
      </c>
    </row>
    <row r="8704" spans="1:9" x14ac:dyDescent="0.25">
      <c r="A8704">
        <v>2025</v>
      </c>
      <c r="B8704" t="s">
        <v>17331</v>
      </c>
      <c r="C8704" s="1">
        <v>45996</v>
      </c>
      <c r="D8704" t="s">
        <v>17332</v>
      </c>
      <c r="E8704" s="2">
        <v>35910</v>
      </c>
      <c r="G8704" s="3">
        <f>MONTH(Tabela1[[#This Row],[Último pagto ano]])</f>
        <v>12</v>
      </c>
      <c r="H8704" t="str">
        <f>TEXT(Tabela1[[#This Row],[Coluna2]]*29,"mmmm")</f>
        <v>dezembro</v>
      </c>
      <c r="I8704" t="str">
        <f>TEXT(MONTH(Tabela1[[#This Row],[Último pagto ano]])*29,"mmmm")</f>
        <v>dezembro</v>
      </c>
    </row>
    <row r="8705" spans="1:9" x14ac:dyDescent="0.25">
      <c r="A8705">
        <v>2025</v>
      </c>
      <c r="B8705" t="s">
        <v>17333</v>
      </c>
      <c r="C8705" s="1">
        <v>46006</v>
      </c>
      <c r="D8705" t="s">
        <v>17334</v>
      </c>
      <c r="E8705" s="2">
        <v>8403.5400000000009</v>
      </c>
      <c r="G8705" s="3">
        <f>MONTH(Tabela1[[#This Row],[Último pagto ano]])</f>
        <v>12</v>
      </c>
      <c r="H8705" t="str">
        <f>TEXT(Tabela1[[#This Row],[Coluna2]]*29,"mmmm")</f>
        <v>dezembro</v>
      </c>
      <c r="I8705" t="str">
        <f>TEXT(MONTH(Tabela1[[#This Row],[Último pagto ano]])*29,"mmmm")</f>
        <v>dezembro</v>
      </c>
    </row>
    <row r="8706" spans="1:9" x14ac:dyDescent="0.25">
      <c r="A8706">
        <v>2025</v>
      </c>
      <c r="B8706" t="s">
        <v>17335</v>
      </c>
      <c r="C8706" s="1">
        <v>45975</v>
      </c>
      <c r="D8706" t="s">
        <v>17336</v>
      </c>
      <c r="E8706" s="2">
        <v>2073.12</v>
      </c>
      <c r="G8706" s="3">
        <f>MONTH(Tabela1[[#This Row],[Último pagto ano]])</f>
        <v>11</v>
      </c>
      <c r="H8706" t="str">
        <f>TEXT(Tabela1[[#This Row],[Coluna2]]*29,"mmmm")</f>
        <v>novembro</v>
      </c>
      <c r="I8706" t="str">
        <f>TEXT(MONTH(Tabela1[[#This Row],[Último pagto ano]])*29,"mmmm")</f>
        <v>novembro</v>
      </c>
    </row>
    <row r="8707" spans="1:9" x14ac:dyDescent="0.25">
      <c r="A8707">
        <v>2025</v>
      </c>
      <c r="B8707" t="s">
        <v>17337</v>
      </c>
      <c r="C8707" s="1">
        <v>45792</v>
      </c>
      <c r="D8707" t="s">
        <v>17338</v>
      </c>
      <c r="E8707" s="2">
        <v>3810.24</v>
      </c>
      <c r="G8707" s="3">
        <f>MONTH(Tabela1[[#This Row],[Último pagto ano]])</f>
        <v>5</v>
      </c>
      <c r="H8707" t="str">
        <f>TEXT(Tabela1[[#This Row],[Coluna2]]*29,"mmmm")</f>
        <v>maio</v>
      </c>
      <c r="I8707" t="str">
        <f>TEXT(MONTH(Tabela1[[#This Row],[Último pagto ano]])*29,"mmmm")</f>
        <v>maio</v>
      </c>
    </row>
    <row r="8708" spans="1:9" x14ac:dyDescent="0.25">
      <c r="A8708">
        <v>2025</v>
      </c>
      <c r="B8708" t="s">
        <v>17339</v>
      </c>
      <c r="C8708" s="1">
        <v>45988</v>
      </c>
      <c r="D8708" t="s">
        <v>17340</v>
      </c>
      <c r="E8708" s="2">
        <v>9324</v>
      </c>
      <c r="G8708" s="3">
        <f>MONTH(Tabela1[[#This Row],[Último pagto ano]])</f>
        <v>11</v>
      </c>
      <c r="H8708" t="str">
        <f>TEXT(Tabela1[[#This Row],[Coluna2]]*29,"mmmm")</f>
        <v>novembro</v>
      </c>
      <c r="I8708" t="str">
        <f>TEXT(MONTH(Tabela1[[#This Row],[Último pagto ano]])*29,"mmmm")</f>
        <v>novembro</v>
      </c>
    </row>
    <row r="8709" spans="1:9" x14ac:dyDescent="0.25">
      <c r="A8709">
        <v>2025</v>
      </c>
      <c r="B8709" t="s">
        <v>17341</v>
      </c>
      <c r="C8709" s="1">
        <v>46010</v>
      </c>
      <c r="D8709" t="s">
        <v>17342</v>
      </c>
      <c r="E8709" s="2">
        <v>8400</v>
      </c>
      <c r="G8709" s="3">
        <f>MONTH(Tabela1[[#This Row],[Último pagto ano]])</f>
        <v>12</v>
      </c>
      <c r="H8709" t="str">
        <f>TEXT(Tabela1[[#This Row],[Coluna2]]*29,"mmmm")</f>
        <v>dezembro</v>
      </c>
      <c r="I8709" t="str">
        <f>TEXT(MONTH(Tabela1[[#This Row],[Último pagto ano]])*29,"mmmm")</f>
        <v>dezembro</v>
      </c>
    </row>
    <row r="8710" spans="1:9" x14ac:dyDescent="0.25">
      <c r="A8710">
        <v>2025</v>
      </c>
      <c r="B8710" t="s">
        <v>17343</v>
      </c>
      <c r="C8710" s="1">
        <v>45996</v>
      </c>
      <c r="D8710" t="s">
        <v>17344</v>
      </c>
      <c r="E8710" s="2">
        <v>32858.29</v>
      </c>
      <c r="G8710" s="3">
        <f>MONTH(Tabela1[[#This Row],[Último pagto ano]])</f>
        <v>12</v>
      </c>
      <c r="H8710" t="str">
        <f>TEXT(Tabela1[[#This Row],[Coluna2]]*29,"mmmm")</f>
        <v>dezembro</v>
      </c>
      <c r="I8710" t="str">
        <f>TEXT(MONTH(Tabela1[[#This Row],[Último pagto ano]])*29,"mmmm")</f>
        <v>dezembro</v>
      </c>
    </row>
    <row r="8711" spans="1:9" x14ac:dyDescent="0.25">
      <c r="A8711">
        <v>2025</v>
      </c>
      <c r="B8711" t="s">
        <v>17345</v>
      </c>
      <c r="C8711" s="1">
        <v>45845</v>
      </c>
      <c r="D8711" t="s">
        <v>17346</v>
      </c>
      <c r="E8711" s="2">
        <v>3000</v>
      </c>
      <c r="G8711" s="3">
        <f>MONTH(Tabela1[[#This Row],[Último pagto ano]])</f>
        <v>7</v>
      </c>
      <c r="H8711" t="str">
        <f>TEXT(Tabela1[[#This Row],[Coluna2]]*29,"mmmm")</f>
        <v>julho</v>
      </c>
      <c r="I8711" t="str">
        <f>TEXT(MONTH(Tabela1[[#This Row],[Último pagto ano]])*29,"mmmm")</f>
        <v>julho</v>
      </c>
    </row>
    <row r="8712" spans="1:9" x14ac:dyDescent="0.25">
      <c r="A8712">
        <v>2025</v>
      </c>
      <c r="B8712" t="s">
        <v>17347</v>
      </c>
      <c r="C8712" s="1">
        <v>46021</v>
      </c>
      <c r="D8712" t="s">
        <v>17348</v>
      </c>
      <c r="E8712" s="2">
        <v>12713.01</v>
      </c>
      <c r="G8712" s="3">
        <f>MONTH(Tabela1[[#This Row],[Último pagto ano]])</f>
        <v>12</v>
      </c>
      <c r="H8712" t="str">
        <f>TEXT(Tabela1[[#This Row],[Coluna2]]*29,"mmmm")</f>
        <v>dezembro</v>
      </c>
      <c r="I8712" t="str">
        <f>TEXT(MONTH(Tabela1[[#This Row],[Último pagto ano]])*29,"mmmm")</f>
        <v>dezembro</v>
      </c>
    </row>
    <row r="8713" spans="1:9" x14ac:dyDescent="0.25">
      <c r="A8713">
        <v>2025</v>
      </c>
      <c r="B8713" t="s">
        <v>17349</v>
      </c>
      <c r="C8713" s="1">
        <v>46010</v>
      </c>
      <c r="D8713" t="s">
        <v>17350</v>
      </c>
      <c r="E8713" s="2">
        <v>4900</v>
      </c>
      <c r="G8713" s="3">
        <f>MONTH(Tabela1[[#This Row],[Último pagto ano]])</f>
        <v>12</v>
      </c>
      <c r="H8713" t="str">
        <f>TEXT(Tabela1[[#This Row],[Coluna2]]*29,"mmmm")</f>
        <v>dezembro</v>
      </c>
      <c r="I8713" t="str">
        <f>TEXT(MONTH(Tabela1[[#This Row],[Último pagto ano]])*29,"mmmm")</f>
        <v>dezembro</v>
      </c>
    </row>
    <row r="8714" spans="1:9" x14ac:dyDescent="0.25">
      <c r="A8714">
        <v>2025</v>
      </c>
      <c r="B8714" t="s">
        <v>17351</v>
      </c>
      <c r="C8714" s="1">
        <v>45786</v>
      </c>
      <c r="D8714" t="s">
        <v>17352</v>
      </c>
      <c r="E8714" s="2">
        <v>27000</v>
      </c>
      <c r="G8714" s="3">
        <f>MONTH(Tabela1[[#This Row],[Último pagto ano]])</f>
        <v>5</v>
      </c>
      <c r="H8714" t="str">
        <f>TEXT(Tabela1[[#This Row],[Coluna2]]*29,"mmmm")</f>
        <v>maio</v>
      </c>
      <c r="I8714" t="str">
        <f>TEXT(MONTH(Tabela1[[#This Row],[Último pagto ano]])*29,"mmmm")</f>
        <v>maio</v>
      </c>
    </row>
    <row r="8715" spans="1:9" x14ac:dyDescent="0.25">
      <c r="A8715">
        <v>2025</v>
      </c>
      <c r="B8715" t="s">
        <v>17353</v>
      </c>
      <c r="C8715" s="1">
        <v>45959</v>
      </c>
      <c r="D8715" t="s">
        <v>17354</v>
      </c>
      <c r="E8715" s="2">
        <v>116057.7</v>
      </c>
      <c r="G8715" s="3">
        <f>MONTH(Tabela1[[#This Row],[Último pagto ano]])</f>
        <v>10</v>
      </c>
      <c r="H8715" t="str">
        <f>TEXT(Tabela1[[#This Row],[Coluna2]]*29,"mmmm")</f>
        <v>outubro</v>
      </c>
      <c r="I8715" t="str">
        <f>TEXT(MONTH(Tabela1[[#This Row],[Último pagto ano]])*29,"mmmm")</f>
        <v>outubro</v>
      </c>
    </row>
    <row r="8716" spans="1:9" x14ac:dyDescent="0.25">
      <c r="A8716">
        <v>2025</v>
      </c>
      <c r="B8716" t="s">
        <v>17355</v>
      </c>
      <c r="C8716" s="1">
        <v>45705</v>
      </c>
      <c r="D8716" t="s">
        <v>17356</v>
      </c>
      <c r="E8716">
        <v>22</v>
      </c>
      <c r="G8716" s="3">
        <f>MONTH(Tabela1[[#This Row],[Último pagto ano]])</f>
        <v>2</v>
      </c>
      <c r="H8716" t="str">
        <f>TEXT(Tabela1[[#This Row],[Coluna2]]*29,"mmmm")</f>
        <v>fevereiro</v>
      </c>
      <c r="I8716" t="str">
        <f>TEXT(MONTH(Tabela1[[#This Row],[Último pagto ano]])*29,"mmmm")</f>
        <v>fevereiro</v>
      </c>
    </row>
    <row r="8717" spans="1:9" x14ac:dyDescent="0.25">
      <c r="A8717">
        <v>2025</v>
      </c>
      <c r="B8717" t="s">
        <v>17357</v>
      </c>
      <c r="C8717" s="1">
        <v>45954</v>
      </c>
      <c r="D8717" t="s">
        <v>17358</v>
      </c>
      <c r="E8717" s="2">
        <v>100544.32000000001</v>
      </c>
      <c r="G8717" s="3">
        <f>MONTH(Tabela1[[#This Row],[Último pagto ano]])</f>
        <v>10</v>
      </c>
      <c r="H8717" t="str">
        <f>TEXT(Tabela1[[#This Row],[Coluna2]]*29,"mmmm")</f>
        <v>outubro</v>
      </c>
      <c r="I8717" t="str">
        <f>TEXT(MONTH(Tabela1[[#This Row],[Último pagto ano]])*29,"mmmm")</f>
        <v>outubro</v>
      </c>
    </row>
    <row r="8718" spans="1:9" x14ac:dyDescent="0.25">
      <c r="A8718">
        <v>2025</v>
      </c>
      <c r="B8718" t="s">
        <v>17359</v>
      </c>
      <c r="C8718" s="1">
        <v>45807</v>
      </c>
      <c r="D8718" t="s">
        <v>17360</v>
      </c>
      <c r="E8718" s="2">
        <v>5118.88</v>
      </c>
      <c r="G8718" s="3">
        <f>MONTH(Tabela1[[#This Row],[Último pagto ano]])</f>
        <v>5</v>
      </c>
      <c r="H8718" t="str">
        <f>TEXT(Tabela1[[#This Row],[Coluna2]]*29,"mmmm")</f>
        <v>maio</v>
      </c>
      <c r="I8718" t="str">
        <f>TEXT(MONTH(Tabela1[[#This Row],[Último pagto ano]])*29,"mmmm")</f>
        <v>maio</v>
      </c>
    </row>
    <row r="8719" spans="1:9" x14ac:dyDescent="0.25">
      <c r="A8719">
        <v>2025</v>
      </c>
      <c r="B8719" t="s">
        <v>17361</v>
      </c>
      <c r="C8719" s="1">
        <v>45951</v>
      </c>
      <c r="D8719" t="s">
        <v>17362</v>
      </c>
      <c r="E8719" s="2">
        <v>3291.66</v>
      </c>
      <c r="G8719" s="3">
        <f>MONTH(Tabela1[[#This Row],[Último pagto ano]])</f>
        <v>10</v>
      </c>
      <c r="H8719" t="str">
        <f>TEXT(Tabela1[[#This Row],[Coluna2]]*29,"mmmm")</f>
        <v>outubro</v>
      </c>
      <c r="I8719" t="str">
        <f>TEXT(MONTH(Tabela1[[#This Row],[Último pagto ano]])*29,"mmmm")</f>
        <v>outubro</v>
      </c>
    </row>
    <row r="8720" spans="1:9" x14ac:dyDescent="0.25">
      <c r="A8720">
        <v>2025</v>
      </c>
      <c r="B8720" t="s">
        <v>17363</v>
      </c>
      <c r="C8720" s="1">
        <v>46021</v>
      </c>
      <c r="D8720" t="s">
        <v>17364</v>
      </c>
      <c r="E8720" s="2">
        <v>5026.68</v>
      </c>
      <c r="G8720" s="3">
        <f>MONTH(Tabela1[[#This Row],[Último pagto ano]])</f>
        <v>12</v>
      </c>
      <c r="H8720" t="str">
        <f>TEXT(Tabela1[[#This Row],[Coluna2]]*29,"mmmm")</f>
        <v>dezembro</v>
      </c>
      <c r="I8720" t="str">
        <f>TEXT(MONTH(Tabela1[[#This Row],[Último pagto ano]])*29,"mmmm")</f>
        <v>dezembro</v>
      </c>
    </row>
    <row r="8721" spans="1:9" x14ac:dyDescent="0.25">
      <c r="A8721">
        <v>2025</v>
      </c>
      <c r="B8721" t="s">
        <v>17365</v>
      </c>
      <c r="C8721" s="1">
        <v>45736</v>
      </c>
      <c r="D8721" t="s">
        <v>17366</v>
      </c>
      <c r="E8721">
        <v>722.65</v>
      </c>
      <c r="G8721" s="3">
        <f>MONTH(Tabela1[[#This Row],[Último pagto ano]])</f>
        <v>3</v>
      </c>
      <c r="H8721" t="str">
        <f>TEXT(Tabela1[[#This Row],[Coluna2]]*29,"mmmm")</f>
        <v>março</v>
      </c>
      <c r="I8721" t="str">
        <f>TEXT(MONTH(Tabela1[[#This Row],[Último pagto ano]])*29,"mmmm")</f>
        <v>março</v>
      </c>
    </row>
    <row r="8722" spans="1:9" x14ac:dyDescent="0.25">
      <c r="A8722">
        <v>2025</v>
      </c>
      <c r="B8722" t="s">
        <v>17367</v>
      </c>
      <c r="C8722" s="1">
        <v>46010</v>
      </c>
      <c r="D8722" t="s">
        <v>17368</v>
      </c>
      <c r="E8722" s="2">
        <v>757477.57</v>
      </c>
      <c r="G8722" s="3">
        <f>MONTH(Tabela1[[#This Row],[Último pagto ano]])</f>
        <v>12</v>
      </c>
      <c r="H8722" t="str">
        <f>TEXT(Tabela1[[#This Row],[Coluna2]]*29,"mmmm")</f>
        <v>dezembro</v>
      </c>
      <c r="I8722" t="str">
        <f>TEXT(MONTH(Tabela1[[#This Row],[Último pagto ano]])*29,"mmmm")</f>
        <v>dezembro</v>
      </c>
    </row>
    <row r="8723" spans="1:9" x14ac:dyDescent="0.25">
      <c r="A8723">
        <v>2025</v>
      </c>
      <c r="B8723" t="s">
        <v>17369</v>
      </c>
      <c r="C8723" s="1">
        <v>45744</v>
      </c>
      <c r="D8723" t="s">
        <v>17370</v>
      </c>
      <c r="E8723" s="2">
        <v>6300</v>
      </c>
      <c r="G8723" s="3">
        <f>MONTH(Tabela1[[#This Row],[Último pagto ano]])</f>
        <v>3</v>
      </c>
      <c r="H8723" t="str">
        <f>TEXT(Tabela1[[#This Row],[Coluna2]]*29,"mmmm")</f>
        <v>março</v>
      </c>
      <c r="I8723" t="str">
        <f>TEXT(MONTH(Tabela1[[#This Row],[Último pagto ano]])*29,"mmmm")</f>
        <v>março</v>
      </c>
    </row>
    <row r="8724" spans="1:9" x14ac:dyDescent="0.25">
      <c r="A8724">
        <v>2025</v>
      </c>
      <c r="B8724" t="s">
        <v>17371</v>
      </c>
      <c r="C8724" s="1">
        <v>46014</v>
      </c>
      <c r="D8724" t="s">
        <v>17372</v>
      </c>
      <c r="E8724" s="2">
        <v>2897584.04</v>
      </c>
      <c r="G8724" s="3">
        <f>MONTH(Tabela1[[#This Row],[Último pagto ano]])</f>
        <v>12</v>
      </c>
      <c r="H8724" t="str">
        <f>TEXT(Tabela1[[#This Row],[Coluna2]]*29,"mmmm")</f>
        <v>dezembro</v>
      </c>
      <c r="I8724" t="str">
        <f>TEXT(MONTH(Tabela1[[#This Row],[Último pagto ano]])*29,"mmmm")</f>
        <v>dezembro</v>
      </c>
    </row>
    <row r="8725" spans="1:9" x14ac:dyDescent="0.25">
      <c r="A8725">
        <v>2025</v>
      </c>
      <c r="B8725" t="s">
        <v>17373</v>
      </c>
      <c r="C8725" s="1">
        <v>46006</v>
      </c>
      <c r="D8725" t="s">
        <v>17374</v>
      </c>
      <c r="E8725" s="2">
        <v>8040</v>
      </c>
      <c r="G8725" s="3">
        <f>MONTH(Tabela1[[#This Row],[Último pagto ano]])</f>
        <v>12</v>
      </c>
      <c r="H8725" t="str">
        <f>TEXT(Tabela1[[#This Row],[Coluna2]]*29,"mmmm")</f>
        <v>dezembro</v>
      </c>
      <c r="I8725" t="str">
        <f>TEXT(MONTH(Tabela1[[#This Row],[Último pagto ano]])*29,"mmmm")</f>
        <v>dezembro</v>
      </c>
    </row>
    <row r="8726" spans="1:9" x14ac:dyDescent="0.25">
      <c r="A8726">
        <v>2025</v>
      </c>
      <c r="B8726" t="s">
        <v>17375</v>
      </c>
      <c r="C8726" s="1">
        <v>45912</v>
      </c>
      <c r="D8726" t="s">
        <v>17376</v>
      </c>
      <c r="E8726" s="2">
        <v>9751</v>
      </c>
      <c r="G8726" s="3">
        <f>MONTH(Tabela1[[#This Row],[Último pagto ano]])</f>
        <v>9</v>
      </c>
      <c r="H8726" t="str">
        <f>TEXT(Tabela1[[#This Row],[Coluna2]]*29,"mmmm")</f>
        <v>setembro</v>
      </c>
      <c r="I8726" t="str">
        <f>TEXT(MONTH(Tabela1[[#This Row],[Último pagto ano]])*29,"mmmm")</f>
        <v>setembro</v>
      </c>
    </row>
    <row r="8727" spans="1:9" x14ac:dyDescent="0.25">
      <c r="A8727">
        <v>2025</v>
      </c>
      <c r="B8727" t="s">
        <v>17377</v>
      </c>
      <c r="C8727" s="1">
        <v>46003</v>
      </c>
      <c r="D8727" t="s">
        <v>17378</v>
      </c>
      <c r="E8727" s="2">
        <v>9807.09</v>
      </c>
      <c r="G8727" s="3">
        <f>MONTH(Tabela1[[#This Row],[Último pagto ano]])</f>
        <v>12</v>
      </c>
      <c r="H8727" t="str">
        <f>TEXT(Tabela1[[#This Row],[Coluna2]]*29,"mmmm")</f>
        <v>dezembro</v>
      </c>
      <c r="I8727" t="str">
        <f>TEXT(MONTH(Tabela1[[#This Row],[Último pagto ano]])*29,"mmmm")</f>
        <v>dezembro</v>
      </c>
    </row>
    <row r="8728" spans="1:9" x14ac:dyDescent="0.25">
      <c r="A8728">
        <v>2025</v>
      </c>
      <c r="B8728" t="s">
        <v>17379</v>
      </c>
      <c r="C8728" s="1">
        <v>45673</v>
      </c>
      <c r="D8728" t="s">
        <v>17380</v>
      </c>
      <c r="E8728" s="2">
        <v>5400</v>
      </c>
      <c r="G8728" s="3">
        <f>MONTH(Tabela1[[#This Row],[Último pagto ano]])</f>
        <v>1</v>
      </c>
      <c r="H8728" t="str">
        <f>TEXT(Tabela1[[#This Row],[Coluna2]]*29,"mmmm")</f>
        <v>janeiro</v>
      </c>
      <c r="I8728" t="str">
        <f>TEXT(MONTH(Tabela1[[#This Row],[Último pagto ano]])*29,"mmmm")</f>
        <v>janeiro</v>
      </c>
    </row>
    <row r="8729" spans="1:9" x14ac:dyDescent="0.25">
      <c r="A8729">
        <v>2025</v>
      </c>
      <c r="B8729" t="s">
        <v>17381</v>
      </c>
      <c r="C8729" s="1">
        <v>46010</v>
      </c>
      <c r="D8729" t="s">
        <v>17382</v>
      </c>
      <c r="E8729" s="2">
        <v>8400</v>
      </c>
      <c r="G8729" s="3">
        <f>MONTH(Tabela1[[#This Row],[Último pagto ano]])</f>
        <v>12</v>
      </c>
      <c r="H8729" t="str">
        <f>TEXT(Tabela1[[#This Row],[Coluna2]]*29,"mmmm")</f>
        <v>dezembro</v>
      </c>
      <c r="I8729" t="str">
        <f>TEXT(MONTH(Tabela1[[#This Row],[Último pagto ano]])*29,"mmmm")</f>
        <v>dezembro</v>
      </c>
    </row>
    <row r="8730" spans="1:9" x14ac:dyDescent="0.25">
      <c r="A8730">
        <v>2025</v>
      </c>
      <c r="B8730" t="s">
        <v>17383</v>
      </c>
      <c r="C8730" s="1">
        <v>45968</v>
      </c>
      <c r="D8730" t="s">
        <v>17384</v>
      </c>
      <c r="E8730" s="2">
        <v>4998</v>
      </c>
      <c r="G8730" s="3">
        <f>MONTH(Tabela1[[#This Row],[Último pagto ano]])</f>
        <v>11</v>
      </c>
      <c r="H8730" t="str">
        <f>TEXT(Tabela1[[#This Row],[Coluna2]]*29,"mmmm")</f>
        <v>novembro</v>
      </c>
      <c r="I8730" t="str">
        <f>TEXT(MONTH(Tabela1[[#This Row],[Último pagto ano]])*29,"mmmm")</f>
        <v>novembro</v>
      </c>
    </row>
    <row r="8731" spans="1:9" x14ac:dyDescent="0.25">
      <c r="A8731">
        <v>2025</v>
      </c>
      <c r="B8731" t="s">
        <v>17385</v>
      </c>
      <c r="C8731" s="1">
        <v>45832</v>
      </c>
      <c r="D8731" t="s">
        <v>17386</v>
      </c>
      <c r="E8731" s="2">
        <v>4200</v>
      </c>
      <c r="G8731" s="3">
        <f>MONTH(Tabela1[[#This Row],[Último pagto ano]])</f>
        <v>6</v>
      </c>
      <c r="H8731" t="str">
        <f>TEXT(Tabela1[[#This Row],[Coluna2]]*29,"mmmm")</f>
        <v>junho</v>
      </c>
      <c r="I8731" t="str">
        <f>TEXT(MONTH(Tabela1[[#This Row],[Último pagto ano]])*29,"mmmm")</f>
        <v>junho</v>
      </c>
    </row>
    <row r="8732" spans="1:9" x14ac:dyDescent="0.25">
      <c r="A8732">
        <v>2025</v>
      </c>
      <c r="B8732" t="s">
        <v>17387</v>
      </c>
      <c r="C8732" s="1">
        <v>45814</v>
      </c>
      <c r="D8732" t="s">
        <v>17388</v>
      </c>
      <c r="E8732" s="2">
        <v>3200</v>
      </c>
      <c r="G8732" s="3">
        <f>MONTH(Tabela1[[#This Row],[Último pagto ano]])</f>
        <v>6</v>
      </c>
      <c r="H8732" t="str">
        <f>TEXT(Tabela1[[#This Row],[Coluna2]]*29,"mmmm")</f>
        <v>junho</v>
      </c>
      <c r="I8732" t="str">
        <f>TEXT(MONTH(Tabela1[[#This Row],[Último pagto ano]])*29,"mmmm")</f>
        <v>junho</v>
      </c>
    </row>
    <row r="8733" spans="1:9" x14ac:dyDescent="0.25">
      <c r="A8733">
        <v>2025</v>
      </c>
      <c r="B8733" t="s">
        <v>17389</v>
      </c>
      <c r="C8733" s="1">
        <v>45800</v>
      </c>
      <c r="D8733" t="s">
        <v>17390</v>
      </c>
      <c r="E8733" s="2">
        <v>8410.7000000000007</v>
      </c>
      <c r="G8733" s="3">
        <f>MONTH(Tabela1[[#This Row],[Último pagto ano]])</f>
        <v>5</v>
      </c>
      <c r="H8733" t="str">
        <f>TEXT(Tabela1[[#This Row],[Coluna2]]*29,"mmmm")</f>
        <v>maio</v>
      </c>
      <c r="I8733" t="str">
        <f>TEXT(MONTH(Tabela1[[#This Row],[Último pagto ano]])*29,"mmmm")</f>
        <v>maio</v>
      </c>
    </row>
    <row r="8734" spans="1:9" x14ac:dyDescent="0.25">
      <c r="A8734">
        <v>2025</v>
      </c>
      <c r="B8734" t="s">
        <v>17391</v>
      </c>
      <c r="C8734" s="1">
        <v>45888</v>
      </c>
      <c r="D8734" t="s">
        <v>17392</v>
      </c>
      <c r="E8734" s="2">
        <v>6706</v>
      </c>
      <c r="G8734" s="3">
        <f>MONTH(Tabela1[[#This Row],[Último pagto ano]])</f>
        <v>8</v>
      </c>
      <c r="H8734" t="str">
        <f>TEXT(Tabela1[[#This Row],[Coluna2]]*29,"mmmm")</f>
        <v>agosto</v>
      </c>
      <c r="I8734" t="str">
        <f>TEXT(MONTH(Tabela1[[#This Row],[Último pagto ano]])*29,"mmmm")</f>
        <v>agosto</v>
      </c>
    </row>
    <row r="8735" spans="1:9" x14ac:dyDescent="0.25">
      <c r="A8735">
        <v>2025</v>
      </c>
      <c r="B8735" t="s">
        <v>17393</v>
      </c>
      <c r="C8735" s="1">
        <v>45894</v>
      </c>
      <c r="D8735" t="s">
        <v>17394</v>
      </c>
      <c r="E8735">
        <v>55</v>
      </c>
      <c r="G8735" s="3">
        <f>MONTH(Tabela1[[#This Row],[Último pagto ano]])</f>
        <v>8</v>
      </c>
      <c r="H8735" t="str">
        <f>TEXT(Tabela1[[#This Row],[Coluna2]]*29,"mmmm")</f>
        <v>agosto</v>
      </c>
      <c r="I8735" t="str">
        <f>TEXT(MONTH(Tabela1[[#This Row],[Último pagto ano]])*29,"mmmm")</f>
        <v>agosto</v>
      </c>
    </row>
    <row r="8736" spans="1:9" x14ac:dyDescent="0.25">
      <c r="A8736">
        <v>2025</v>
      </c>
      <c r="B8736" t="s">
        <v>17395</v>
      </c>
      <c r="C8736" s="1">
        <v>45996</v>
      </c>
      <c r="D8736" t="s">
        <v>17396</v>
      </c>
      <c r="E8736" s="2">
        <v>4900</v>
      </c>
      <c r="G8736" s="3">
        <f>MONTH(Tabela1[[#This Row],[Último pagto ano]])</f>
        <v>12</v>
      </c>
      <c r="H8736" t="str">
        <f>TEXT(Tabela1[[#This Row],[Coluna2]]*29,"mmmm")</f>
        <v>dezembro</v>
      </c>
      <c r="I8736" t="str">
        <f>TEXT(MONTH(Tabela1[[#This Row],[Último pagto ano]])*29,"mmmm")</f>
        <v>dezembro</v>
      </c>
    </row>
    <row r="8737" spans="1:9" x14ac:dyDescent="0.25">
      <c r="A8737">
        <v>2025</v>
      </c>
      <c r="B8737" t="s">
        <v>17397</v>
      </c>
      <c r="C8737" s="1">
        <v>45996</v>
      </c>
      <c r="D8737" t="s">
        <v>17398</v>
      </c>
      <c r="E8737" s="2">
        <v>40900</v>
      </c>
      <c r="G8737" s="3">
        <f>MONTH(Tabela1[[#This Row],[Último pagto ano]])</f>
        <v>12</v>
      </c>
      <c r="H8737" t="str">
        <f>TEXT(Tabela1[[#This Row],[Coluna2]]*29,"mmmm")</f>
        <v>dezembro</v>
      </c>
      <c r="I8737" t="str">
        <f>TEXT(MONTH(Tabela1[[#This Row],[Último pagto ano]])*29,"mmmm")</f>
        <v>dezembro</v>
      </c>
    </row>
    <row r="8738" spans="1:9" x14ac:dyDescent="0.25">
      <c r="A8738">
        <v>2025</v>
      </c>
      <c r="B8738" t="s">
        <v>17399</v>
      </c>
      <c r="C8738" s="1">
        <v>46010</v>
      </c>
      <c r="D8738" t="s">
        <v>17400</v>
      </c>
      <c r="E8738" s="2">
        <v>24000</v>
      </c>
      <c r="G8738" s="3">
        <f>MONTH(Tabela1[[#This Row],[Último pagto ano]])</f>
        <v>12</v>
      </c>
      <c r="H8738" t="str">
        <f>TEXT(Tabela1[[#This Row],[Coluna2]]*29,"mmmm")</f>
        <v>dezembro</v>
      </c>
      <c r="I8738" t="str">
        <f>TEXT(MONTH(Tabela1[[#This Row],[Último pagto ano]])*29,"mmmm")</f>
        <v>dezembro</v>
      </c>
    </row>
    <row r="8739" spans="1:9" x14ac:dyDescent="0.25">
      <c r="A8739">
        <v>2025</v>
      </c>
      <c r="B8739" t="s">
        <v>17401</v>
      </c>
      <c r="C8739" s="1">
        <v>45989</v>
      </c>
      <c r="D8739" t="s">
        <v>17402</v>
      </c>
      <c r="E8739" s="2">
        <v>9866.42</v>
      </c>
      <c r="G8739" s="3">
        <f>MONTH(Tabela1[[#This Row],[Último pagto ano]])</f>
        <v>11</v>
      </c>
      <c r="H8739" t="str">
        <f>TEXT(Tabela1[[#This Row],[Coluna2]]*29,"mmmm")</f>
        <v>novembro</v>
      </c>
      <c r="I8739" t="str">
        <f>TEXT(MONTH(Tabela1[[#This Row],[Último pagto ano]])*29,"mmmm")</f>
        <v>novembro</v>
      </c>
    </row>
    <row r="8740" spans="1:9" x14ac:dyDescent="0.25">
      <c r="A8740">
        <v>2025</v>
      </c>
      <c r="B8740" t="s">
        <v>17403</v>
      </c>
      <c r="C8740" s="1">
        <v>45702</v>
      </c>
      <c r="D8740" t="s">
        <v>17404</v>
      </c>
      <c r="E8740">
        <v>97.58</v>
      </c>
      <c r="G8740" s="3">
        <f>MONTH(Tabela1[[#This Row],[Último pagto ano]])</f>
        <v>2</v>
      </c>
      <c r="H8740" t="str">
        <f>TEXT(Tabela1[[#This Row],[Coluna2]]*29,"mmmm")</f>
        <v>fevereiro</v>
      </c>
      <c r="I8740" t="str">
        <f>TEXT(MONTH(Tabela1[[#This Row],[Último pagto ano]])*29,"mmmm")</f>
        <v>fevereiro</v>
      </c>
    </row>
    <row r="8741" spans="1:9" x14ac:dyDescent="0.25">
      <c r="A8741">
        <v>2025</v>
      </c>
      <c r="B8741" t="s">
        <v>17405</v>
      </c>
      <c r="C8741" s="1">
        <v>45824</v>
      </c>
      <c r="D8741" t="s">
        <v>17406</v>
      </c>
      <c r="E8741" s="2">
        <v>2830.1</v>
      </c>
      <c r="G8741" s="3">
        <f>MONTH(Tabela1[[#This Row],[Último pagto ano]])</f>
        <v>6</v>
      </c>
      <c r="H8741" t="str">
        <f>TEXT(Tabela1[[#This Row],[Coluna2]]*29,"mmmm")</f>
        <v>junho</v>
      </c>
      <c r="I8741" t="str">
        <f>TEXT(MONTH(Tabela1[[#This Row],[Último pagto ano]])*29,"mmmm")</f>
        <v>junho</v>
      </c>
    </row>
    <row r="8742" spans="1:9" x14ac:dyDescent="0.25">
      <c r="A8742">
        <v>2025</v>
      </c>
      <c r="B8742" t="s">
        <v>17407</v>
      </c>
      <c r="C8742" s="1">
        <v>46010</v>
      </c>
      <c r="D8742" t="s">
        <v>17408</v>
      </c>
      <c r="E8742" s="2">
        <v>7700</v>
      </c>
      <c r="G8742" s="3">
        <f>MONTH(Tabela1[[#This Row],[Último pagto ano]])</f>
        <v>12</v>
      </c>
      <c r="H8742" t="str">
        <f>TEXT(Tabela1[[#This Row],[Coluna2]]*29,"mmmm")</f>
        <v>dezembro</v>
      </c>
      <c r="I8742" t="str">
        <f>TEXT(MONTH(Tabela1[[#This Row],[Último pagto ano]])*29,"mmmm")</f>
        <v>dezembro</v>
      </c>
    </row>
    <row r="8743" spans="1:9" x14ac:dyDescent="0.25">
      <c r="A8743">
        <v>2025</v>
      </c>
      <c r="B8743" t="s">
        <v>17409</v>
      </c>
      <c r="C8743" s="1">
        <v>45702</v>
      </c>
      <c r="D8743" t="s">
        <v>17410</v>
      </c>
      <c r="E8743">
        <v>108.77</v>
      </c>
      <c r="G8743" s="3">
        <f>MONTH(Tabela1[[#This Row],[Último pagto ano]])</f>
        <v>2</v>
      </c>
      <c r="H8743" t="str">
        <f>TEXT(Tabela1[[#This Row],[Coluna2]]*29,"mmmm")</f>
        <v>fevereiro</v>
      </c>
      <c r="I8743" t="str">
        <f>TEXT(MONTH(Tabela1[[#This Row],[Último pagto ano]])*29,"mmmm")</f>
        <v>fevereiro</v>
      </c>
    </row>
    <row r="8744" spans="1:9" x14ac:dyDescent="0.25">
      <c r="A8744">
        <v>2025</v>
      </c>
      <c r="B8744" t="s">
        <v>17411</v>
      </c>
      <c r="C8744" s="1">
        <v>45775</v>
      </c>
      <c r="D8744" t="s">
        <v>17412</v>
      </c>
      <c r="E8744" s="2">
        <v>3556.8</v>
      </c>
      <c r="G8744" s="3">
        <f>MONTH(Tabela1[[#This Row],[Último pagto ano]])</f>
        <v>4</v>
      </c>
      <c r="H8744" t="str">
        <f>TEXT(Tabela1[[#This Row],[Coluna2]]*29,"mmmm")</f>
        <v>abril</v>
      </c>
      <c r="I8744" t="str">
        <f>TEXT(MONTH(Tabela1[[#This Row],[Último pagto ano]])*29,"mmmm")</f>
        <v>abril</v>
      </c>
    </row>
    <row r="8745" spans="1:9" x14ac:dyDescent="0.25">
      <c r="A8745">
        <v>2025</v>
      </c>
      <c r="B8745" t="s">
        <v>17413</v>
      </c>
      <c r="C8745" s="1">
        <v>46021</v>
      </c>
      <c r="D8745" t="s">
        <v>17414</v>
      </c>
      <c r="E8745" s="2">
        <v>9075.08</v>
      </c>
      <c r="G8745" s="3">
        <f>MONTH(Tabela1[[#This Row],[Último pagto ano]])</f>
        <v>12</v>
      </c>
      <c r="H8745" t="str">
        <f>TEXT(Tabela1[[#This Row],[Coluna2]]*29,"mmmm")</f>
        <v>dezembro</v>
      </c>
      <c r="I8745" t="str">
        <f>TEXT(MONTH(Tabela1[[#This Row],[Último pagto ano]])*29,"mmmm")</f>
        <v>dezembro</v>
      </c>
    </row>
    <row r="8746" spans="1:9" x14ac:dyDescent="0.25">
      <c r="A8746">
        <v>2025</v>
      </c>
      <c r="B8746" t="s">
        <v>17415</v>
      </c>
      <c r="C8746" s="1">
        <v>45989</v>
      </c>
      <c r="D8746" t="s">
        <v>17416</v>
      </c>
      <c r="E8746" s="2">
        <v>4288.25</v>
      </c>
      <c r="G8746" s="3">
        <f>MONTH(Tabela1[[#This Row],[Último pagto ano]])</f>
        <v>11</v>
      </c>
      <c r="H8746" t="str">
        <f>TEXT(Tabela1[[#This Row],[Coluna2]]*29,"mmmm")</f>
        <v>novembro</v>
      </c>
      <c r="I8746" t="str">
        <f>TEXT(MONTH(Tabela1[[#This Row],[Último pagto ano]])*29,"mmmm")</f>
        <v>novembro</v>
      </c>
    </row>
    <row r="8747" spans="1:9" x14ac:dyDescent="0.25">
      <c r="A8747">
        <v>2025</v>
      </c>
      <c r="B8747" t="s">
        <v>17417</v>
      </c>
      <c r="C8747" s="1">
        <v>45996</v>
      </c>
      <c r="D8747" t="s">
        <v>17418</v>
      </c>
      <c r="E8747" s="2">
        <v>9150</v>
      </c>
      <c r="G8747" s="3">
        <f>MONTH(Tabela1[[#This Row],[Último pagto ano]])</f>
        <v>12</v>
      </c>
      <c r="H8747" t="str">
        <f>TEXT(Tabela1[[#This Row],[Coluna2]]*29,"mmmm")</f>
        <v>dezembro</v>
      </c>
      <c r="I8747" t="str">
        <f>TEXT(MONTH(Tabela1[[#This Row],[Último pagto ano]])*29,"mmmm")</f>
        <v>dezembro</v>
      </c>
    </row>
    <row r="8748" spans="1:9" x14ac:dyDescent="0.25">
      <c r="A8748">
        <v>2025</v>
      </c>
      <c r="B8748" t="s">
        <v>17419</v>
      </c>
      <c r="C8748" s="1">
        <v>45996</v>
      </c>
      <c r="D8748" t="s">
        <v>17420</v>
      </c>
      <c r="E8748" s="2">
        <v>10500</v>
      </c>
      <c r="G8748" s="3">
        <f>MONTH(Tabela1[[#This Row],[Último pagto ano]])</f>
        <v>12</v>
      </c>
      <c r="H8748" t="str">
        <f>TEXT(Tabela1[[#This Row],[Coluna2]]*29,"mmmm")</f>
        <v>dezembro</v>
      </c>
      <c r="I8748" t="str">
        <f>TEXT(MONTH(Tabela1[[#This Row],[Último pagto ano]])*29,"mmmm")</f>
        <v>dezembro</v>
      </c>
    </row>
    <row r="8749" spans="1:9" x14ac:dyDescent="0.25">
      <c r="A8749">
        <v>2025</v>
      </c>
      <c r="B8749" t="s">
        <v>17421</v>
      </c>
      <c r="C8749" s="1">
        <v>46021</v>
      </c>
      <c r="D8749" t="s">
        <v>17422</v>
      </c>
      <c r="E8749">
        <v>978.63</v>
      </c>
      <c r="G8749" s="3">
        <f>MONTH(Tabela1[[#This Row],[Último pagto ano]])</f>
        <v>12</v>
      </c>
      <c r="H8749" t="str">
        <f>TEXT(Tabela1[[#This Row],[Coluna2]]*29,"mmmm")</f>
        <v>dezembro</v>
      </c>
      <c r="I8749" t="str">
        <f>TEXT(MONTH(Tabela1[[#This Row],[Último pagto ano]])*29,"mmmm")</f>
        <v>dezembro</v>
      </c>
    </row>
    <row r="8750" spans="1:9" x14ac:dyDescent="0.25">
      <c r="A8750">
        <v>2025</v>
      </c>
      <c r="B8750" t="s">
        <v>17423</v>
      </c>
      <c r="C8750" s="1">
        <v>45673</v>
      </c>
      <c r="D8750" t="s">
        <v>17424</v>
      </c>
      <c r="E8750">
        <v>800</v>
      </c>
      <c r="G8750" s="3">
        <f>MONTH(Tabela1[[#This Row],[Último pagto ano]])</f>
        <v>1</v>
      </c>
      <c r="H8750" t="str">
        <f>TEXT(Tabela1[[#This Row],[Coluna2]]*29,"mmmm")</f>
        <v>janeiro</v>
      </c>
      <c r="I8750" t="str">
        <f>TEXT(MONTH(Tabela1[[#This Row],[Último pagto ano]])*29,"mmmm")</f>
        <v>janeiro</v>
      </c>
    </row>
    <row r="8751" spans="1:9" x14ac:dyDescent="0.25">
      <c r="A8751">
        <v>2025</v>
      </c>
      <c r="B8751" t="s">
        <v>17425</v>
      </c>
      <c r="C8751" s="1">
        <v>46021</v>
      </c>
      <c r="D8751" t="s">
        <v>17426</v>
      </c>
      <c r="E8751" s="2">
        <v>4780.9799999999996</v>
      </c>
      <c r="G8751" s="3">
        <f>MONTH(Tabela1[[#This Row],[Último pagto ano]])</f>
        <v>12</v>
      </c>
      <c r="H8751" t="str">
        <f>TEXT(Tabela1[[#This Row],[Coluna2]]*29,"mmmm")</f>
        <v>dezembro</v>
      </c>
      <c r="I8751" t="str">
        <f>TEXT(MONTH(Tabela1[[#This Row],[Último pagto ano]])*29,"mmmm")</f>
        <v>dezembro</v>
      </c>
    </row>
    <row r="8752" spans="1:9" x14ac:dyDescent="0.25">
      <c r="A8752">
        <v>2025</v>
      </c>
      <c r="B8752" t="s">
        <v>17427</v>
      </c>
      <c r="C8752" s="1">
        <v>45989</v>
      </c>
      <c r="D8752" t="s">
        <v>17428</v>
      </c>
      <c r="E8752" s="2">
        <v>3665.72</v>
      </c>
      <c r="G8752" s="3">
        <f>MONTH(Tabela1[[#This Row],[Último pagto ano]])</f>
        <v>11</v>
      </c>
      <c r="H8752" t="str">
        <f>TEXT(Tabela1[[#This Row],[Coluna2]]*29,"mmmm")</f>
        <v>novembro</v>
      </c>
      <c r="I8752" t="str">
        <f>TEXT(MONTH(Tabela1[[#This Row],[Último pagto ano]])*29,"mmmm")</f>
        <v>novembro</v>
      </c>
    </row>
    <row r="8753" spans="1:9" x14ac:dyDescent="0.25">
      <c r="A8753">
        <v>2025</v>
      </c>
      <c r="B8753" t="s">
        <v>17429</v>
      </c>
      <c r="C8753" s="1">
        <v>45744</v>
      </c>
      <c r="D8753" t="s">
        <v>17430</v>
      </c>
      <c r="E8753" s="2">
        <v>2041.07</v>
      </c>
      <c r="G8753" s="3">
        <f>MONTH(Tabela1[[#This Row],[Último pagto ano]])</f>
        <v>3</v>
      </c>
      <c r="H8753" t="str">
        <f>TEXT(Tabela1[[#This Row],[Coluna2]]*29,"mmmm")</f>
        <v>março</v>
      </c>
      <c r="I8753" t="str">
        <f>TEXT(MONTH(Tabela1[[#This Row],[Último pagto ano]])*29,"mmmm")</f>
        <v>março</v>
      </c>
    </row>
    <row r="8754" spans="1:9" x14ac:dyDescent="0.25">
      <c r="A8754">
        <v>2025</v>
      </c>
      <c r="B8754" t="s">
        <v>17431</v>
      </c>
      <c r="C8754" s="1">
        <v>46006</v>
      </c>
      <c r="D8754" t="s">
        <v>17432</v>
      </c>
      <c r="E8754" s="2">
        <v>2665.44</v>
      </c>
      <c r="G8754" s="3">
        <f>MONTH(Tabela1[[#This Row],[Último pagto ano]])</f>
        <v>12</v>
      </c>
      <c r="H8754" t="str">
        <f>TEXT(Tabela1[[#This Row],[Coluna2]]*29,"mmmm")</f>
        <v>dezembro</v>
      </c>
      <c r="I8754" t="str">
        <f>TEXT(MONTH(Tabela1[[#This Row],[Último pagto ano]])*29,"mmmm")</f>
        <v>dezembro</v>
      </c>
    </row>
    <row r="8755" spans="1:9" x14ac:dyDescent="0.25">
      <c r="A8755">
        <v>2025</v>
      </c>
      <c r="B8755" t="s">
        <v>17433</v>
      </c>
      <c r="C8755" s="1">
        <v>45748</v>
      </c>
      <c r="D8755" t="s">
        <v>17434</v>
      </c>
      <c r="E8755" s="2">
        <v>1572.44</v>
      </c>
      <c r="G8755" s="3">
        <f>MONTH(Tabela1[[#This Row],[Último pagto ano]])</f>
        <v>4</v>
      </c>
      <c r="H8755" t="str">
        <f>TEXT(Tabela1[[#This Row],[Coluna2]]*29,"mmmm")</f>
        <v>abril</v>
      </c>
      <c r="I8755" t="str">
        <f>TEXT(MONTH(Tabela1[[#This Row],[Último pagto ano]])*29,"mmmm")</f>
        <v>abril</v>
      </c>
    </row>
    <row r="8756" spans="1:9" x14ac:dyDescent="0.25">
      <c r="A8756">
        <v>2025</v>
      </c>
      <c r="B8756" t="s">
        <v>17435</v>
      </c>
      <c r="C8756" s="1">
        <v>45996</v>
      </c>
      <c r="D8756" t="s">
        <v>17436</v>
      </c>
      <c r="E8756" s="2">
        <v>10000</v>
      </c>
      <c r="G8756" s="3">
        <f>MONTH(Tabela1[[#This Row],[Último pagto ano]])</f>
        <v>12</v>
      </c>
      <c r="H8756" t="str">
        <f>TEXT(Tabela1[[#This Row],[Coluna2]]*29,"mmmm")</f>
        <v>dezembro</v>
      </c>
      <c r="I8756" t="str">
        <f>TEXT(MONTH(Tabela1[[#This Row],[Último pagto ano]])*29,"mmmm")</f>
        <v>dezembro</v>
      </c>
    </row>
    <row r="8757" spans="1:9" x14ac:dyDescent="0.25">
      <c r="A8757">
        <v>2025</v>
      </c>
      <c r="B8757" t="s">
        <v>17437</v>
      </c>
      <c r="C8757" s="1">
        <v>46021</v>
      </c>
      <c r="D8757" t="s">
        <v>17438</v>
      </c>
      <c r="E8757" s="2">
        <v>4117.38</v>
      </c>
      <c r="G8757" s="3">
        <f>MONTH(Tabela1[[#This Row],[Último pagto ano]])</f>
        <v>12</v>
      </c>
      <c r="H8757" t="str">
        <f>TEXT(Tabela1[[#This Row],[Coluna2]]*29,"mmmm")</f>
        <v>dezembro</v>
      </c>
      <c r="I8757" t="str">
        <f>TEXT(MONTH(Tabela1[[#This Row],[Último pagto ano]])*29,"mmmm")</f>
        <v>dezembro</v>
      </c>
    </row>
    <row r="8758" spans="1:9" x14ac:dyDescent="0.25">
      <c r="A8758">
        <v>2025</v>
      </c>
      <c r="B8758" t="s">
        <v>17439</v>
      </c>
      <c r="C8758" s="1">
        <v>45989</v>
      </c>
      <c r="D8758" t="s">
        <v>17440</v>
      </c>
      <c r="E8758" s="2">
        <v>8071.15</v>
      </c>
      <c r="G8758" s="3">
        <f>MONTH(Tabela1[[#This Row],[Último pagto ano]])</f>
        <v>11</v>
      </c>
      <c r="H8758" t="str">
        <f>TEXT(Tabela1[[#This Row],[Coluna2]]*29,"mmmm")</f>
        <v>novembro</v>
      </c>
      <c r="I8758" t="str">
        <f>TEXT(MONTH(Tabela1[[#This Row],[Último pagto ano]])*29,"mmmm")</f>
        <v>novembro</v>
      </c>
    </row>
    <row r="8759" spans="1:9" x14ac:dyDescent="0.25">
      <c r="A8759">
        <v>2025</v>
      </c>
      <c r="B8759" t="s">
        <v>17441</v>
      </c>
      <c r="C8759" s="1">
        <v>46021</v>
      </c>
      <c r="D8759" t="s">
        <v>17442</v>
      </c>
      <c r="E8759" s="2">
        <v>10828.62</v>
      </c>
      <c r="G8759" s="3">
        <f>MONTH(Tabela1[[#This Row],[Último pagto ano]])</f>
        <v>12</v>
      </c>
      <c r="H8759" t="str">
        <f>TEXT(Tabela1[[#This Row],[Coluna2]]*29,"mmmm")</f>
        <v>dezembro</v>
      </c>
      <c r="I8759" t="str">
        <f>TEXT(MONTH(Tabela1[[#This Row],[Último pagto ano]])*29,"mmmm")</f>
        <v>dezembro</v>
      </c>
    </row>
    <row r="8760" spans="1:9" x14ac:dyDescent="0.25">
      <c r="A8760">
        <v>2025</v>
      </c>
      <c r="B8760" t="s">
        <v>17443</v>
      </c>
      <c r="C8760" s="1">
        <v>45771</v>
      </c>
      <c r="D8760" t="s">
        <v>17444</v>
      </c>
      <c r="E8760" s="2">
        <v>2800</v>
      </c>
      <c r="G8760" s="3">
        <f>MONTH(Tabela1[[#This Row],[Último pagto ano]])</f>
        <v>4</v>
      </c>
      <c r="H8760" t="str">
        <f>TEXT(Tabela1[[#This Row],[Coluna2]]*29,"mmmm")</f>
        <v>abril</v>
      </c>
      <c r="I8760" t="str">
        <f>TEXT(MONTH(Tabela1[[#This Row],[Último pagto ano]])*29,"mmmm")</f>
        <v>abril</v>
      </c>
    </row>
    <row r="8761" spans="1:9" x14ac:dyDescent="0.25">
      <c r="A8761">
        <v>2025</v>
      </c>
      <c r="B8761" t="s">
        <v>17445</v>
      </c>
      <c r="C8761" s="1">
        <v>45996</v>
      </c>
      <c r="D8761" t="s">
        <v>17446</v>
      </c>
      <c r="E8761" s="2">
        <v>11000</v>
      </c>
      <c r="G8761" s="3">
        <f>MONTH(Tabela1[[#This Row],[Último pagto ano]])</f>
        <v>12</v>
      </c>
      <c r="H8761" t="str">
        <f>TEXT(Tabela1[[#This Row],[Coluna2]]*29,"mmmm")</f>
        <v>dezembro</v>
      </c>
      <c r="I8761" t="str">
        <f>TEXT(MONTH(Tabela1[[#This Row],[Último pagto ano]])*29,"mmmm")</f>
        <v>dezembro</v>
      </c>
    </row>
    <row r="8762" spans="1:9" x14ac:dyDescent="0.25">
      <c r="A8762">
        <v>2025</v>
      </c>
      <c r="B8762" t="s">
        <v>17447</v>
      </c>
      <c r="C8762" s="1">
        <v>45684</v>
      </c>
      <c r="D8762" t="s">
        <v>17448</v>
      </c>
      <c r="E8762">
        <v>44</v>
      </c>
      <c r="G8762" s="3">
        <f>MONTH(Tabela1[[#This Row],[Último pagto ano]])</f>
        <v>1</v>
      </c>
      <c r="H8762" t="str">
        <f>TEXT(Tabela1[[#This Row],[Coluna2]]*29,"mmmm")</f>
        <v>janeiro</v>
      </c>
      <c r="I8762" t="str">
        <f>TEXT(MONTH(Tabela1[[#This Row],[Último pagto ano]])*29,"mmmm")</f>
        <v>janeiro</v>
      </c>
    </row>
    <row r="8763" spans="1:9" x14ac:dyDescent="0.25">
      <c r="A8763">
        <v>2025</v>
      </c>
      <c r="B8763" t="s">
        <v>17449</v>
      </c>
      <c r="C8763" s="1">
        <v>45980</v>
      </c>
      <c r="D8763" t="s">
        <v>17450</v>
      </c>
      <c r="E8763" s="2">
        <v>6196.5</v>
      </c>
      <c r="G8763" s="3">
        <f>MONTH(Tabela1[[#This Row],[Último pagto ano]])</f>
        <v>11</v>
      </c>
      <c r="H8763" t="str">
        <f>TEXT(Tabela1[[#This Row],[Coluna2]]*29,"mmmm")</f>
        <v>novembro</v>
      </c>
      <c r="I8763" t="str">
        <f>TEXT(MONTH(Tabela1[[#This Row],[Último pagto ano]])*29,"mmmm")</f>
        <v>novembro</v>
      </c>
    </row>
    <row r="8764" spans="1:9" x14ac:dyDescent="0.25">
      <c r="A8764">
        <v>2025</v>
      </c>
      <c r="B8764" t="s">
        <v>17451</v>
      </c>
      <c r="C8764" s="1">
        <v>45672</v>
      </c>
      <c r="D8764" t="s">
        <v>17452</v>
      </c>
      <c r="E8764">
        <v>990.08</v>
      </c>
      <c r="G8764" s="3">
        <f>MONTH(Tabela1[[#This Row],[Último pagto ano]])</f>
        <v>1</v>
      </c>
      <c r="H8764" t="str">
        <f>TEXT(Tabela1[[#This Row],[Coluna2]]*29,"mmmm")</f>
        <v>janeiro</v>
      </c>
      <c r="I8764" t="str">
        <f>TEXT(MONTH(Tabela1[[#This Row],[Último pagto ano]])*29,"mmmm")</f>
        <v>janeiro</v>
      </c>
    </row>
    <row r="8765" spans="1:9" x14ac:dyDescent="0.25">
      <c r="A8765">
        <v>2025</v>
      </c>
      <c r="B8765" t="s">
        <v>17453</v>
      </c>
      <c r="C8765" s="1">
        <v>46007</v>
      </c>
      <c r="D8765" t="s">
        <v>17454</v>
      </c>
      <c r="E8765" s="2">
        <v>32310.06</v>
      </c>
      <c r="G8765" s="3">
        <f>MONTH(Tabela1[[#This Row],[Último pagto ano]])</f>
        <v>12</v>
      </c>
      <c r="H8765" t="str">
        <f>TEXT(Tabela1[[#This Row],[Coluna2]]*29,"mmmm")</f>
        <v>dezembro</v>
      </c>
      <c r="I8765" t="str">
        <f>TEXT(MONTH(Tabela1[[#This Row],[Último pagto ano]])*29,"mmmm")</f>
        <v>dezembro</v>
      </c>
    </row>
    <row r="8766" spans="1:9" x14ac:dyDescent="0.25">
      <c r="A8766">
        <v>2025</v>
      </c>
      <c r="B8766" t="s">
        <v>17455</v>
      </c>
      <c r="C8766" s="1">
        <v>45880</v>
      </c>
      <c r="D8766" t="s">
        <v>17456</v>
      </c>
      <c r="E8766">
        <v>734.4</v>
      </c>
      <c r="G8766" s="3">
        <f>MONTH(Tabela1[[#This Row],[Último pagto ano]])</f>
        <v>8</v>
      </c>
      <c r="H8766" t="str">
        <f>TEXT(Tabela1[[#This Row],[Coluna2]]*29,"mmmm")</f>
        <v>agosto</v>
      </c>
      <c r="I8766" t="str">
        <f>TEXT(MONTH(Tabela1[[#This Row],[Último pagto ano]])*29,"mmmm")</f>
        <v>agosto</v>
      </c>
    </row>
    <row r="8767" spans="1:9" x14ac:dyDescent="0.25">
      <c r="A8767">
        <v>2025</v>
      </c>
      <c r="B8767" t="s">
        <v>17457</v>
      </c>
      <c r="C8767" s="1">
        <v>45891</v>
      </c>
      <c r="D8767" t="s">
        <v>17458</v>
      </c>
      <c r="E8767" s="2">
        <v>5033.38</v>
      </c>
      <c r="G8767" s="3">
        <f>MONTH(Tabela1[[#This Row],[Último pagto ano]])</f>
        <v>8</v>
      </c>
      <c r="H8767" t="str">
        <f>TEXT(Tabela1[[#This Row],[Coluna2]]*29,"mmmm")</f>
        <v>agosto</v>
      </c>
      <c r="I8767" t="str">
        <f>TEXT(MONTH(Tabela1[[#This Row],[Último pagto ano]])*29,"mmmm")</f>
        <v>agosto</v>
      </c>
    </row>
    <row r="8768" spans="1:9" x14ac:dyDescent="0.25">
      <c r="A8768">
        <v>2025</v>
      </c>
      <c r="B8768" t="s">
        <v>17459</v>
      </c>
      <c r="C8768" s="1">
        <v>45687</v>
      </c>
      <c r="D8768" t="s">
        <v>17460</v>
      </c>
      <c r="E8768">
        <v>140.4</v>
      </c>
      <c r="G8768" s="3">
        <f>MONTH(Tabela1[[#This Row],[Último pagto ano]])</f>
        <v>1</v>
      </c>
      <c r="H8768" t="str">
        <f>TEXT(Tabela1[[#This Row],[Coluna2]]*29,"mmmm")</f>
        <v>janeiro</v>
      </c>
      <c r="I8768" t="str">
        <f>TEXT(MONTH(Tabela1[[#This Row],[Último pagto ano]])*29,"mmmm")</f>
        <v>janeiro</v>
      </c>
    </row>
    <row r="8769" spans="1:9" x14ac:dyDescent="0.25">
      <c r="A8769">
        <v>2025</v>
      </c>
      <c r="B8769" t="s">
        <v>17459</v>
      </c>
      <c r="C8769" s="1">
        <v>45702</v>
      </c>
      <c r="D8769" t="s">
        <v>17460</v>
      </c>
      <c r="E8769">
        <v>162.91999999999999</v>
      </c>
      <c r="G8769" s="3">
        <f>MONTH(Tabela1[[#This Row],[Último pagto ano]])</f>
        <v>2</v>
      </c>
      <c r="H8769" t="str">
        <f>TEXT(Tabela1[[#This Row],[Coluna2]]*29,"mmmm")</f>
        <v>fevereiro</v>
      </c>
      <c r="I8769" t="str">
        <f>TEXT(MONTH(Tabela1[[#This Row],[Último pagto ano]])*29,"mmmm")</f>
        <v>fevereiro</v>
      </c>
    </row>
    <row r="8770" spans="1:9" x14ac:dyDescent="0.25">
      <c r="A8770">
        <v>2025</v>
      </c>
      <c r="B8770" t="s">
        <v>17461</v>
      </c>
      <c r="C8770" s="1">
        <v>45996</v>
      </c>
      <c r="D8770" t="s">
        <v>17462</v>
      </c>
      <c r="E8770" s="2">
        <v>10000</v>
      </c>
      <c r="G8770" s="3">
        <f>MONTH(Tabela1[[#This Row],[Último pagto ano]])</f>
        <v>12</v>
      </c>
      <c r="H8770" t="str">
        <f>TEXT(Tabela1[[#This Row],[Coluna2]]*29,"mmmm")</f>
        <v>dezembro</v>
      </c>
      <c r="I8770" t="str">
        <f>TEXT(MONTH(Tabela1[[#This Row],[Último pagto ano]])*29,"mmmm")</f>
        <v>dezembro</v>
      </c>
    </row>
    <row r="8771" spans="1:9" x14ac:dyDescent="0.25">
      <c r="A8771">
        <v>2025</v>
      </c>
      <c r="B8771" t="s">
        <v>17463</v>
      </c>
      <c r="C8771" s="1">
        <v>45684</v>
      </c>
      <c r="D8771" t="s">
        <v>17464</v>
      </c>
      <c r="E8771">
        <v>44</v>
      </c>
      <c r="G8771" s="3">
        <f>MONTH(Tabela1[[#This Row],[Último pagto ano]])</f>
        <v>1</v>
      </c>
      <c r="H8771" t="str">
        <f>TEXT(Tabela1[[#This Row],[Coluna2]]*29,"mmmm")</f>
        <v>janeiro</v>
      </c>
      <c r="I8771" t="str">
        <f>TEXT(MONTH(Tabela1[[#This Row],[Último pagto ano]])*29,"mmmm")</f>
        <v>janeiro</v>
      </c>
    </row>
    <row r="8772" spans="1:9" x14ac:dyDescent="0.25">
      <c r="A8772">
        <v>2025</v>
      </c>
      <c r="B8772" t="s">
        <v>17465</v>
      </c>
      <c r="C8772" s="1">
        <v>45852</v>
      </c>
      <c r="D8772" t="s">
        <v>17466</v>
      </c>
      <c r="E8772">
        <v>50.12</v>
      </c>
      <c r="G8772" s="3">
        <f>MONTH(Tabela1[[#This Row],[Último pagto ano]])</f>
        <v>7</v>
      </c>
      <c r="H8772" t="str">
        <f>TEXT(Tabela1[[#This Row],[Coluna2]]*29,"mmmm")</f>
        <v>julho</v>
      </c>
      <c r="I8772" t="str">
        <f>TEXT(MONTH(Tabela1[[#This Row],[Último pagto ano]])*29,"mmmm")</f>
        <v>julho</v>
      </c>
    </row>
    <row r="8773" spans="1:9" x14ac:dyDescent="0.25">
      <c r="A8773">
        <v>2025</v>
      </c>
      <c r="B8773" t="s">
        <v>17467</v>
      </c>
      <c r="C8773" s="1">
        <v>45989</v>
      </c>
      <c r="D8773" t="s">
        <v>17468</v>
      </c>
      <c r="E8773" s="2">
        <v>17833.64</v>
      </c>
      <c r="G8773" s="3">
        <f>MONTH(Tabela1[[#This Row],[Último pagto ano]])</f>
        <v>11</v>
      </c>
      <c r="H8773" t="str">
        <f>TEXT(Tabela1[[#This Row],[Coluna2]]*29,"mmmm")</f>
        <v>novembro</v>
      </c>
      <c r="I8773" t="str">
        <f>TEXT(MONTH(Tabela1[[#This Row],[Último pagto ano]])*29,"mmmm")</f>
        <v>novembro</v>
      </c>
    </row>
    <row r="8774" spans="1:9" x14ac:dyDescent="0.25">
      <c r="A8774">
        <v>2025</v>
      </c>
      <c r="B8774" t="s">
        <v>17469</v>
      </c>
      <c r="C8774" s="1">
        <v>45910</v>
      </c>
      <c r="D8774" t="s">
        <v>17470</v>
      </c>
      <c r="E8774">
        <v>360</v>
      </c>
      <c r="G8774" s="3">
        <f>MONTH(Tabela1[[#This Row],[Último pagto ano]])</f>
        <v>9</v>
      </c>
      <c r="H8774" t="str">
        <f>TEXT(Tabela1[[#This Row],[Coluna2]]*29,"mmmm")</f>
        <v>setembro</v>
      </c>
      <c r="I8774" t="str">
        <f>TEXT(MONTH(Tabela1[[#This Row],[Último pagto ano]])*29,"mmmm")</f>
        <v>setembro</v>
      </c>
    </row>
    <row r="8775" spans="1:9" x14ac:dyDescent="0.25">
      <c r="A8775">
        <v>2025</v>
      </c>
      <c r="B8775" t="s">
        <v>17471</v>
      </c>
      <c r="C8775" s="1">
        <v>46010</v>
      </c>
      <c r="D8775" t="s">
        <v>17472</v>
      </c>
      <c r="E8775" s="2">
        <v>8400</v>
      </c>
      <c r="G8775" s="3">
        <f>MONTH(Tabela1[[#This Row],[Último pagto ano]])</f>
        <v>12</v>
      </c>
      <c r="H8775" t="str">
        <f>TEXT(Tabela1[[#This Row],[Coluna2]]*29,"mmmm")</f>
        <v>dezembro</v>
      </c>
      <c r="I8775" t="str">
        <f>TEXT(MONTH(Tabela1[[#This Row],[Último pagto ano]])*29,"mmmm")</f>
        <v>dezembro</v>
      </c>
    </row>
    <row r="8776" spans="1:9" x14ac:dyDescent="0.25">
      <c r="A8776">
        <v>2025</v>
      </c>
      <c r="B8776" t="s">
        <v>17473</v>
      </c>
      <c r="C8776" s="1">
        <v>45989</v>
      </c>
      <c r="D8776" t="s">
        <v>17474</v>
      </c>
      <c r="E8776" s="2">
        <v>5375.54</v>
      </c>
      <c r="G8776" s="3">
        <f>MONTH(Tabela1[[#This Row],[Último pagto ano]])</f>
        <v>11</v>
      </c>
      <c r="H8776" t="str">
        <f>TEXT(Tabela1[[#This Row],[Coluna2]]*29,"mmmm")</f>
        <v>novembro</v>
      </c>
      <c r="I8776" t="str">
        <f>TEXT(MONTH(Tabela1[[#This Row],[Último pagto ano]])*29,"mmmm")</f>
        <v>novembro</v>
      </c>
    </row>
    <row r="8777" spans="1:9" x14ac:dyDescent="0.25">
      <c r="A8777">
        <v>2025</v>
      </c>
      <c r="B8777" t="s">
        <v>17475</v>
      </c>
      <c r="C8777" s="1">
        <v>46014</v>
      </c>
      <c r="D8777" t="s">
        <v>17476</v>
      </c>
      <c r="E8777" s="2">
        <v>43260</v>
      </c>
      <c r="G8777" s="3">
        <f>MONTH(Tabela1[[#This Row],[Último pagto ano]])</f>
        <v>12</v>
      </c>
      <c r="H8777" t="str">
        <f>TEXT(Tabela1[[#This Row],[Coluna2]]*29,"mmmm")</f>
        <v>dezembro</v>
      </c>
      <c r="I8777" t="str">
        <f>TEXT(MONTH(Tabela1[[#This Row],[Último pagto ano]])*29,"mmmm")</f>
        <v>dezembro</v>
      </c>
    </row>
    <row r="8778" spans="1:9" x14ac:dyDescent="0.25">
      <c r="A8778">
        <v>2025</v>
      </c>
      <c r="B8778" t="s">
        <v>17477</v>
      </c>
      <c r="C8778" s="1">
        <v>45821</v>
      </c>
      <c r="D8778" t="s">
        <v>17478</v>
      </c>
      <c r="E8778" s="2">
        <v>1741.79</v>
      </c>
      <c r="G8778" s="3">
        <f>MONTH(Tabela1[[#This Row],[Último pagto ano]])</f>
        <v>6</v>
      </c>
      <c r="H8778" t="str">
        <f>TEXT(Tabela1[[#This Row],[Coluna2]]*29,"mmmm")</f>
        <v>junho</v>
      </c>
      <c r="I8778" t="str">
        <f>TEXT(MONTH(Tabela1[[#This Row],[Último pagto ano]])*29,"mmmm")</f>
        <v>junho</v>
      </c>
    </row>
    <row r="8779" spans="1:9" x14ac:dyDescent="0.25">
      <c r="A8779">
        <v>2025</v>
      </c>
      <c r="B8779" t="s">
        <v>17479</v>
      </c>
      <c r="C8779" s="1">
        <v>46013</v>
      </c>
      <c r="D8779" t="s">
        <v>17480</v>
      </c>
      <c r="E8779" s="2">
        <v>5440.5</v>
      </c>
      <c r="G8779" s="3">
        <f>MONTH(Tabela1[[#This Row],[Último pagto ano]])</f>
        <v>12</v>
      </c>
      <c r="H8779" t="str">
        <f>TEXT(Tabela1[[#This Row],[Coluna2]]*29,"mmmm")</f>
        <v>dezembro</v>
      </c>
      <c r="I8779" t="str">
        <f>TEXT(MONTH(Tabela1[[#This Row],[Último pagto ano]])*29,"mmmm")</f>
        <v>dezembro</v>
      </c>
    </row>
    <row r="8780" spans="1:9" x14ac:dyDescent="0.25">
      <c r="A8780">
        <v>2025</v>
      </c>
      <c r="B8780" t="s">
        <v>17481</v>
      </c>
      <c r="C8780" s="1">
        <v>46006</v>
      </c>
      <c r="D8780" t="s">
        <v>17482</v>
      </c>
      <c r="E8780" s="2">
        <v>1515149.39</v>
      </c>
      <c r="G8780" s="3">
        <f>MONTH(Tabela1[[#This Row],[Último pagto ano]])</f>
        <v>12</v>
      </c>
      <c r="H8780" t="str">
        <f>TEXT(Tabela1[[#This Row],[Coluna2]]*29,"mmmm")</f>
        <v>dezembro</v>
      </c>
      <c r="I8780" t="str">
        <f>TEXT(MONTH(Tabela1[[#This Row],[Último pagto ano]])*29,"mmmm")</f>
        <v>dezembro</v>
      </c>
    </row>
    <row r="8781" spans="1:9" x14ac:dyDescent="0.25">
      <c r="A8781">
        <v>2025</v>
      </c>
      <c r="B8781" t="s">
        <v>17483</v>
      </c>
      <c r="C8781" s="1">
        <v>45702</v>
      </c>
      <c r="D8781" t="s">
        <v>17484</v>
      </c>
      <c r="E8781" s="2">
        <v>1183.06</v>
      </c>
      <c r="G8781" s="3">
        <f>MONTH(Tabela1[[#This Row],[Último pagto ano]])</f>
        <v>2</v>
      </c>
      <c r="H8781" t="str">
        <f>TEXT(Tabela1[[#This Row],[Coluna2]]*29,"mmmm")</f>
        <v>fevereiro</v>
      </c>
      <c r="I8781" t="str">
        <f>TEXT(MONTH(Tabela1[[#This Row],[Último pagto ano]])*29,"mmmm")</f>
        <v>fevereiro</v>
      </c>
    </row>
    <row r="8782" spans="1:9" x14ac:dyDescent="0.25">
      <c r="A8782">
        <v>2025</v>
      </c>
      <c r="B8782" t="s">
        <v>17485</v>
      </c>
      <c r="C8782" s="1">
        <v>45807</v>
      </c>
      <c r="D8782" t="s">
        <v>17486</v>
      </c>
      <c r="E8782">
        <v>871.23</v>
      </c>
      <c r="G8782" s="3">
        <f>MONTH(Tabela1[[#This Row],[Último pagto ano]])</f>
        <v>5</v>
      </c>
      <c r="H8782" t="str">
        <f>TEXT(Tabela1[[#This Row],[Coluna2]]*29,"mmmm")</f>
        <v>maio</v>
      </c>
      <c r="I8782" t="str">
        <f>TEXT(MONTH(Tabela1[[#This Row],[Último pagto ano]])*29,"mmmm")</f>
        <v>maio</v>
      </c>
    </row>
    <row r="8783" spans="1:9" x14ac:dyDescent="0.25">
      <c r="A8783">
        <v>2025</v>
      </c>
      <c r="B8783" t="s">
        <v>17487</v>
      </c>
      <c r="C8783" s="1">
        <v>45995</v>
      </c>
      <c r="D8783" t="s">
        <v>17488</v>
      </c>
      <c r="E8783">
        <v>165</v>
      </c>
      <c r="G8783" s="3">
        <f>MONTH(Tabela1[[#This Row],[Último pagto ano]])</f>
        <v>12</v>
      </c>
      <c r="H8783" t="str">
        <f>TEXT(Tabela1[[#This Row],[Coluna2]]*29,"mmmm")</f>
        <v>dezembro</v>
      </c>
      <c r="I8783" t="str">
        <f>TEXT(MONTH(Tabela1[[#This Row],[Último pagto ano]])*29,"mmmm")</f>
        <v>dezembro</v>
      </c>
    </row>
    <row r="8784" spans="1:9" x14ac:dyDescent="0.25">
      <c r="A8784">
        <v>2025</v>
      </c>
      <c r="B8784" t="s">
        <v>17489</v>
      </c>
      <c r="C8784" s="1">
        <v>45989</v>
      </c>
      <c r="D8784" t="s">
        <v>17490</v>
      </c>
      <c r="E8784" s="2">
        <v>5124.6000000000004</v>
      </c>
      <c r="G8784" s="3">
        <f>MONTH(Tabela1[[#This Row],[Último pagto ano]])</f>
        <v>11</v>
      </c>
      <c r="H8784" t="str">
        <f>TEXT(Tabela1[[#This Row],[Coluna2]]*29,"mmmm")</f>
        <v>novembro</v>
      </c>
      <c r="I8784" t="str">
        <f>TEXT(MONTH(Tabela1[[#This Row],[Último pagto ano]])*29,"mmmm")</f>
        <v>novembro</v>
      </c>
    </row>
    <row r="8785" spans="1:9" x14ac:dyDescent="0.25">
      <c r="A8785">
        <v>2025</v>
      </c>
      <c r="B8785" t="s">
        <v>17491</v>
      </c>
      <c r="C8785" s="1">
        <v>45880</v>
      </c>
      <c r="D8785" t="s">
        <v>17492</v>
      </c>
      <c r="E8785" s="2">
        <v>184080</v>
      </c>
      <c r="G8785" s="3">
        <f>MONTH(Tabela1[[#This Row],[Último pagto ano]])</f>
        <v>8</v>
      </c>
      <c r="H8785" t="str">
        <f>TEXT(Tabela1[[#This Row],[Coluna2]]*29,"mmmm")</f>
        <v>agosto</v>
      </c>
      <c r="I8785" t="str">
        <f>TEXT(MONTH(Tabela1[[#This Row],[Último pagto ano]])*29,"mmmm")</f>
        <v>agosto</v>
      </c>
    </row>
    <row r="8786" spans="1:9" x14ac:dyDescent="0.25">
      <c r="A8786">
        <v>2025</v>
      </c>
      <c r="B8786" t="s">
        <v>17493</v>
      </c>
      <c r="C8786" s="1">
        <v>45974</v>
      </c>
      <c r="D8786" t="s">
        <v>17494</v>
      </c>
      <c r="E8786" s="2">
        <v>56189.14</v>
      </c>
      <c r="G8786" s="3">
        <f>MONTH(Tabela1[[#This Row],[Último pagto ano]])</f>
        <v>11</v>
      </c>
      <c r="H8786" t="str">
        <f>TEXT(Tabela1[[#This Row],[Coluna2]]*29,"mmmm")</f>
        <v>novembro</v>
      </c>
      <c r="I8786" t="str">
        <f>TEXT(MONTH(Tabela1[[#This Row],[Último pagto ano]])*29,"mmmm")</f>
        <v>novembro</v>
      </c>
    </row>
    <row r="8787" spans="1:9" x14ac:dyDescent="0.25">
      <c r="A8787">
        <v>2025</v>
      </c>
      <c r="B8787" t="s">
        <v>17495</v>
      </c>
      <c r="C8787" s="1">
        <v>45989</v>
      </c>
      <c r="D8787" t="s">
        <v>17496</v>
      </c>
      <c r="E8787" s="2">
        <v>11808.25</v>
      </c>
      <c r="G8787" s="3">
        <f>MONTH(Tabela1[[#This Row],[Último pagto ano]])</f>
        <v>11</v>
      </c>
      <c r="H8787" t="str">
        <f>TEXT(Tabela1[[#This Row],[Coluna2]]*29,"mmmm")</f>
        <v>novembro</v>
      </c>
      <c r="I8787" t="str">
        <f>TEXT(MONTH(Tabela1[[#This Row],[Último pagto ano]])*29,"mmmm")</f>
        <v>novembro</v>
      </c>
    </row>
    <row r="8788" spans="1:9" x14ac:dyDescent="0.25">
      <c r="A8788">
        <v>2025</v>
      </c>
      <c r="B8788" t="s">
        <v>17497</v>
      </c>
      <c r="C8788" s="1">
        <v>45813</v>
      </c>
      <c r="D8788" t="s">
        <v>17498</v>
      </c>
      <c r="E8788">
        <v>58.05</v>
      </c>
      <c r="G8788" s="3">
        <f>MONTH(Tabela1[[#This Row],[Último pagto ano]])</f>
        <v>6</v>
      </c>
      <c r="H8788" t="str">
        <f>TEXT(Tabela1[[#This Row],[Coluna2]]*29,"mmmm")</f>
        <v>junho</v>
      </c>
      <c r="I8788" t="str">
        <f>TEXT(MONTH(Tabela1[[#This Row],[Último pagto ano]])*29,"mmmm")</f>
        <v>junho</v>
      </c>
    </row>
    <row r="8789" spans="1:9" x14ac:dyDescent="0.25">
      <c r="A8789">
        <v>2025</v>
      </c>
      <c r="B8789" t="s">
        <v>17499</v>
      </c>
      <c r="C8789" s="1">
        <v>46002</v>
      </c>
      <c r="D8789" t="s">
        <v>17500</v>
      </c>
      <c r="E8789" s="2">
        <v>17245</v>
      </c>
      <c r="G8789" s="3">
        <f>MONTH(Tabela1[[#This Row],[Último pagto ano]])</f>
        <v>12</v>
      </c>
      <c r="H8789" t="str">
        <f>TEXT(Tabela1[[#This Row],[Coluna2]]*29,"mmmm")</f>
        <v>dezembro</v>
      </c>
      <c r="I8789" t="str">
        <f>TEXT(MONTH(Tabela1[[#This Row],[Último pagto ano]])*29,"mmmm")</f>
        <v>dezembro</v>
      </c>
    </row>
    <row r="8790" spans="1:9" x14ac:dyDescent="0.25">
      <c r="A8790">
        <v>2025</v>
      </c>
      <c r="B8790" t="s">
        <v>17501</v>
      </c>
      <c r="C8790" s="1">
        <v>45908</v>
      </c>
      <c r="D8790" t="s">
        <v>17502</v>
      </c>
      <c r="E8790" s="2">
        <v>1004.9</v>
      </c>
      <c r="G8790" s="3">
        <f>MONTH(Tabela1[[#This Row],[Último pagto ano]])</f>
        <v>9</v>
      </c>
      <c r="H8790" t="str">
        <f>TEXT(Tabela1[[#This Row],[Coluna2]]*29,"mmmm")</f>
        <v>setembro</v>
      </c>
      <c r="I8790" t="str">
        <f>TEXT(MONTH(Tabela1[[#This Row],[Último pagto ano]])*29,"mmmm")</f>
        <v>setembro</v>
      </c>
    </row>
    <row r="8791" spans="1:9" x14ac:dyDescent="0.25">
      <c r="A8791">
        <v>2025</v>
      </c>
      <c r="B8791" t="s">
        <v>17503</v>
      </c>
      <c r="C8791" s="1">
        <v>45960</v>
      </c>
      <c r="D8791" t="s">
        <v>17504</v>
      </c>
      <c r="E8791" s="2">
        <v>43324.38</v>
      </c>
      <c r="G8791" s="3">
        <f>MONTH(Tabela1[[#This Row],[Último pagto ano]])</f>
        <v>10</v>
      </c>
      <c r="H8791" t="str">
        <f>TEXT(Tabela1[[#This Row],[Coluna2]]*29,"mmmm")</f>
        <v>outubro</v>
      </c>
      <c r="I8791" t="str">
        <f>TEXT(MONTH(Tabela1[[#This Row],[Último pagto ano]])*29,"mmmm")</f>
        <v>outubro</v>
      </c>
    </row>
    <row r="8792" spans="1:9" x14ac:dyDescent="0.25">
      <c r="A8792">
        <v>2025</v>
      </c>
      <c r="B8792" t="s">
        <v>17505</v>
      </c>
      <c r="C8792" s="1">
        <v>46009</v>
      </c>
      <c r="D8792" t="s">
        <v>17506</v>
      </c>
      <c r="E8792" s="2">
        <v>91996.66</v>
      </c>
      <c r="G8792" s="3">
        <f>MONTH(Tabela1[[#This Row],[Último pagto ano]])</f>
        <v>12</v>
      </c>
      <c r="H8792" t="str">
        <f>TEXT(Tabela1[[#This Row],[Coluna2]]*29,"mmmm")</f>
        <v>dezembro</v>
      </c>
      <c r="I8792" t="str">
        <f>TEXT(MONTH(Tabela1[[#This Row],[Último pagto ano]])*29,"mmmm")</f>
        <v>dezembro</v>
      </c>
    </row>
    <row r="8793" spans="1:9" x14ac:dyDescent="0.25">
      <c r="A8793">
        <v>2025</v>
      </c>
      <c r="B8793" t="s">
        <v>17507</v>
      </c>
      <c r="C8793" s="1">
        <v>46014</v>
      </c>
      <c r="D8793" t="s">
        <v>17508</v>
      </c>
      <c r="E8793" s="2">
        <v>107923.08</v>
      </c>
      <c r="G8793" s="3">
        <f>MONTH(Tabela1[[#This Row],[Último pagto ano]])</f>
        <v>12</v>
      </c>
      <c r="H8793" t="str">
        <f>TEXT(Tabela1[[#This Row],[Coluna2]]*29,"mmmm")</f>
        <v>dezembro</v>
      </c>
      <c r="I8793" t="str">
        <f>TEXT(MONTH(Tabela1[[#This Row],[Último pagto ano]])*29,"mmmm")</f>
        <v>dezembro</v>
      </c>
    </row>
    <row r="8794" spans="1:9" x14ac:dyDescent="0.25">
      <c r="A8794">
        <v>2025</v>
      </c>
      <c r="B8794" t="s">
        <v>17509</v>
      </c>
      <c r="C8794" s="1">
        <v>45757</v>
      </c>
      <c r="D8794" t="s">
        <v>17510</v>
      </c>
      <c r="E8794" s="2">
        <v>2000</v>
      </c>
      <c r="G8794" s="3">
        <f>MONTH(Tabela1[[#This Row],[Último pagto ano]])</f>
        <v>4</v>
      </c>
      <c r="H8794" t="str">
        <f>TEXT(Tabela1[[#This Row],[Coluna2]]*29,"mmmm")</f>
        <v>abril</v>
      </c>
      <c r="I8794" t="str">
        <f>TEXT(MONTH(Tabela1[[#This Row],[Último pagto ano]])*29,"mmmm")</f>
        <v>abril</v>
      </c>
    </row>
    <row r="8795" spans="1:9" x14ac:dyDescent="0.25">
      <c r="A8795">
        <v>2025</v>
      </c>
      <c r="B8795" t="s">
        <v>17511</v>
      </c>
      <c r="C8795" s="1">
        <v>45663</v>
      </c>
      <c r="D8795" t="s">
        <v>17512</v>
      </c>
      <c r="E8795" s="2">
        <v>4690</v>
      </c>
      <c r="G8795" s="3">
        <f>MONTH(Tabela1[[#This Row],[Último pagto ano]])</f>
        <v>1</v>
      </c>
      <c r="H8795" t="str">
        <f>TEXT(Tabela1[[#This Row],[Coluna2]]*29,"mmmm")</f>
        <v>janeiro</v>
      </c>
      <c r="I8795" t="str">
        <f>TEXT(MONTH(Tabela1[[#This Row],[Último pagto ano]])*29,"mmmm")</f>
        <v>janeiro</v>
      </c>
    </row>
    <row r="8796" spans="1:9" x14ac:dyDescent="0.25">
      <c r="A8796">
        <v>2025</v>
      </c>
      <c r="B8796" t="s">
        <v>17513</v>
      </c>
      <c r="C8796" s="1">
        <v>46021</v>
      </c>
      <c r="D8796" t="s">
        <v>17514</v>
      </c>
      <c r="E8796" s="2">
        <v>21240</v>
      </c>
      <c r="G8796" s="3">
        <f>MONTH(Tabela1[[#This Row],[Último pagto ano]])</f>
        <v>12</v>
      </c>
      <c r="H8796" t="str">
        <f>TEXT(Tabela1[[#This Row],[Coluna2]]*29,"mmmm")</f>
        <v>dezembro</v>
      </c>
      <c r="I8796" t="str">
        <f>TEXT(MONTH(Tabela1[[#This Row],[Último pagto ano]])*29,"mmmm")</f>
        <v>dezembro</v>
      </c>
    </row>
    <row r="8797" spans="1:9" x14ac:dyDescent="0.25">
      <c r="A8797">
        <v>2025</v>
      </c>
      <c r="B8797" t="s">
        <v>17515</v>
      </c>
      <c r="C8797" s="1">
        <v>45887</v>
      </c>
      <c r="D8797" t="s">
        <v>17516</v>
      </c>
      <c r="E8797" s="2">
        <v>31084.799999999999</v>
      </c>
      <c r="G8797" s="3">
        <f>MONTH(Tabela1[[#This Row],[Último pagto ano]])</f>
        <v>8</v>
      </c>
      <c r="H8797" t="str">
        <f>TEXT(Tabela1[[#This Row],[Coluna2]]*29,"mmmm")</f>
        <v>agosto</v>
      </c>
      <c r="I8797" t="str">
        <f>TEXT(MONTH(Tabela1[[#This Row],[Último pagto ano]])*29,"mmmm")</f>
        <v>agosto</v>
      </c>
    </row>
    <row r="8798" spans="1:9" x14ac:dyDescent="0.25">
      <c r="A8798">
        <v>2025</v>
      </c>
      <c r="B8798" t="s">
        <v>17517</v>
      </c>
      <c r="C8798" s="1">
        <v>45726</v>
      </c>
      <c r="D8798" t="s">
        <v>17518</v>
      </c>
      <c r="E8798" s="2">
        <v>4500</v>
      </c>
      <c r="G8798" s="3">
        <f>MONTH(Tabela1[[#This Row],[Último pagto ano]])</f>
        <v>3</v>
      </c>
      <c r="H8798" t="str">
        <f>TEXT(Tabela1[[#This Row],[Coluna2]]*29,"mmmm")</f>
        <v>março</v>
      </c>
      <c r="I8798" t="str">
        <f>TEXT(MONTH(Tabela1[[#This Row],[Último pagto ano]])*29,"mmmm")</f>
        <v>março</v>
      </c>
    </row>
    <row r="8799" spans="1:9" x14ac:dyDescent="0.25">
      <c r="A8799">
        <v>2025</v>
      </c>
      <c r="B8799" t="s">
        <v>17519</v>
      </c>
      <c r="C8799" s="1">
        <v>46010</v>
      </c>
      <c r="D8799" t="s">
        <v>17520</v>
      </c>
      <c r="E8799" s="2">
        <v>15732</v>
      </c>
      <c r="G8799" s="3">
        <f>MONTH(Tabela1[[#This Row],[Último pagto ano]])</f>
        <v>12</v>
      </c>
      <c r="H8799" t="str">
        <f>TEXT(Tabela1[[#This Row],[Coluna2]]*29,"mmmm")</f>
        <v>dezembro</v>
      </c>
      <c r="I8799" t="str">
        <f>TEXT(MONTH(Tabela1[[#This Row],[Último pagto ano]])*29,"mmmm")</f>
        <v>dezembro</v>
      </c>
    </row>
    <row r="8800" spans="1:9" x14ac:dyDescent="0.25">
      <c r="A8800">
        <v>2025</v>
      </c>
      <c r="B8800" t="s">
        <v>17521</v>
      </c>
      <c r="C8800" s="1">
        <v>46014</v>
      </c>
      <c r="D8800" t="s">
        <v>17522</v>
      </c>
      <c r="E8800" s="2">
        <v>94286</v>
      </c>
      <c r="G8800" s="3">
        <f>MONTH(Tabela1[[#This Row],[Último pagto ano]])</f>
        <v>12</v>
      </c>
      <c r="H8800" t="str">
        <f>TEXT(Tabela1[[#This Row],[Coluna2]]*29,"mmmm")</f>
        <v>dezembro</v>
      </c>
      <c r="I8800" t="str">
        <f>TEXT(MONTH(Tabela1[[#This Row],[Último pagto ano]])*29,"mmmm")</f>
        <v>dezembro</v>
      </c>
    </row>
    <row r="8801" spans="1:9" x14ac:dyDescent="0.25">
      <c r="A8801">
        <v>2025</v>
      </c>
      <c r="B8801" t="s">
        <v>17523</v>
      </c>
      <c r="C8801" s="1">
        <v>46021</v>
      </c>
      <c r="D8801" t="s">
        <v>17524</v>
      </c>
      <c r="E8801" s="2">
        <v>11204.98</v>
      </c>
      <c r="G8801" s="3">
        <f>MONTH(Tabela1[[#This Row],[Último pagto ano]])</f>
        <v>12</v>
      </c>
      <c r="H8801" t="str">
        <f>TEXT(Tabela1[[#This Row],[Coluna2]]*29,"mmmm")</f>
        <v>dezembro</v>
      </c>
      <c r="I8801" t="str">
        <f>TEXT(MONTH(Tabela1[[#This Row],[Último pagto ano]])*29,"mmmm")</f>
        <v>dezembro</v>
      </c>
    </row>
    <row r="8802" spans="1:9" x14ac:dyDescent="0.25">
      <c r="A8802">
        <v>2025</v>
      </c>
      <c r="B8802" t="s">
        <v>17525</v>
      </c>
      <c r="C8802" s="1">
        <v>46001</v>
      </c>
      <c r="D8802" t="s">
        <v>17526</v>
      </c>
      <c r="E8802" s="2">
        <v>15281403.439999999</v>
      </c>
      <c r="G8802" s="3">
        <f>MONTH(Tabela1[[#This Row],[Último pagto ano]])</f>
        <v>12</v>
      </c>
      <c r="H8802" t="str">
        <f>TEXT(Tabela1[[#This Row],[Coluna2]]*29,"mmmm")</f>
        <v>dezembro</v>
      </c>
      <c r="I8802" t="str">
        <f>TEXT(MONTH(Tabela1[[#This Row],[Último pagto ano]])*29,"mmmm")</f>
        <v>dezembro</v>
      </c>
    </row>
    <row r="8803" spans="1:9" x14ac:dyDescent="0.25">
      <c r="A8803">
        <v>2025</v>
      </c>
      <c r="B8803" t="s">
        <v>17527</v>
      </c>
      <c r="C8803" s="1">
        <v>45859</v>
      </c>
      <c r="D8803" t="s">
        <v>17528</v>
      </c>
      <c r="E8803">
        <v>36.92</v>
      </c>
      <c r="G8803" s="3">
        <f>MONTH(Tabela1[[#This Row],[Último pagto ano]])</f>
        <v>7</v>
      </c>
      <c r="H8803" t="str">
        <f>TEXT(Tabela1[[#This Row],[Coluna2]]*29,"mmmm")</f>
        <v>julho</v>
      </c>
      <c r="I8803" t="str">
        <f>TEXT(MONTH(Tabela1[[#This Row],[Último pagto ano]])*29,"mmmm")</f>
        <v>julho</v>
      </c>
    </row>
    <row r="8804" spans="1:9" x14ac:dyDescent="0.25">
      <c r="A8804">
        <v>2025</v>
      </c>
      <c r="B8804" t="s">
        <v>17529</v>
      </c>
      <c r="C8804" s="1">
        <v>45999</v>
      </c>
      <c r="D8804" t="s">
        <v>17530</v>
      </c>
      <c r="E8804" s="2">
        <v>17310</v>
      </c>
      <c r="G8804" s="3">
        <f>MONTH(Tabela1[[#This Row],[Último pagto ano]])</f>
        <v>12</v>
      </c>
      <c r="H8804" t="str">
        <f>TEXT(Tabela1[[#This Row],[Coluna2]]*29,"mmmm")</f>
        <v>dezembro</v>
      </c>
      <c r="I8804" t="str">
        <f>TEXT(MONTH(Tabela1[[#This Row],[Último pagto ano]])*29,"mmmm")</f>
        <v>dezembro</v>
      </c>
    </row>
    <row r="8805" spans="1:9" x14ac:dyDescent="0.25">
      <c r="A8805">
        <v>2025</v>
      </c>
      <c r="B8805" t="s">
        <v>17531</v>
      </c>
      <c r="C8805" s="1">
        <v>46021</v>
      </c>
      <c r="D8805" t="s">
        <v>17532</v>
      </c>
      <c r="E8805" s="2">
        <v>60806.54</v>
      </c>
      <c r="G8805" s="3">
        <f>MONTH(Tabela1[[#This Row],[Último pagto ano]])</f>
        <v>12</v>
      </c>
      <c r="H8805" t="str">
        <f>TEXT(Tabela1[[#This Row],[Coluna2]]*29,"mmmm")</f>
        <v>dezembro</v>
      </c>
      <c r="I8805" t="str">
        <f>TEXT(MONTH(Tabela1[[#This Row],[Último pagto ano]])*29,"mmmm")</f>
        <v>dezembro</v>
      </c>
    </row>
    <row r="8806" spans="1:9" x14ac:dyDescent="0.25">
      <c r="A8806">
        <v>2025</v>
      </c>
      <c r="B8806" t="s">
        <v>17533</v>
      </c>
      <c r="C8806" s="1">
        <v>45931</v>
      </c>
      <c r="D8806" t="s">
        <v>17534</v>
      </c>
      <c r="E8806" s="2">
        <v>7200</v>
      </c>
      <c r="G8806" s="3">
        <f>MONTH(Tabela1[[#This Row],[Último pagto ano]])</f>
        <v>10</v>
      </c>
      <c r="H8806" t="str">
        <f>TEXT(Tabela1[[#This Row],[Coluna2]]*29,"mmmm")</f>
        <v>outubro</v>
      </c>
      <c r="I8806" t="str">
        <f>TEXT(MONTH(Tabela1[[#This Row],[Último pagto ano]])*29,"mmmm")</f>
        <v>outubro</v>
      </c>
    </row>
    <row r="8807" spans="1:9" x14ac:dyDescent="0.25">
      <c r="A8807">
        <v>2025</v>
      </c>
      <c r="B8807" t="s">
        <v>17535</v>
      </c>
      <c r="C8807" s="1">
        <v>45904</v>
      </c>
      <c r="D8807" t="s">
        <v>17536</v>
      </c>
      <c r="E8807" s="2">
        <v>3000</v>
      </c>
      <c r="G8807" s="3">
        <f>MONTH(Tabela1[[#This Row],[Último pagto ano]])</f>
        <v>9</v>
      </c>
      <c r="H8807" t="str">
        <f>TEXT(Tabela1[[#This Row],[Coluna2]]*29,"mmmm")</f>
        <v>setembro</v>
      </c>
      <c r="I8807" t="str">
        <f>TEXT(MONTH(Tabela1[[#This Row],[Último pagto ano]])*29,"mmmm")</f>
        <v>setembro</v>
      </c>
    </row>
    <row r="8808" spans="1:9" x14ac:dyDescent="0.25">
      <c r="A8808">
        <v>2025</v>
      </c>
      <c r="B8808" t="s">
        <v>17537</v>
      </c>
      <c r="C8808" s="1">
        <v>46006</v>
      </c>
      <c r="D8808" t="s">
        <v>17538</v>
      </c>
      <c r="E8808" s="2">
        <v>1270</v>
      </c>
      <c r="G8808" s="3">
        <f>MONTH(Tabela1[[#This Row],[Último pagto ano]])</f>
        <v>12</v>
      </c>
      <c r="H8808" t="str">
        <f>TEXT(Tabela1[[#This Row],[Coluna2]]*29,"mmmm")</f>
        <v>dezembro</v>
      </c>
      <c r="I8808" t="str">
        <f>TEXT(MONTH(Tabela1[[#This Row],[Último pagto ano]])*29,"mmmm")</f>
        <v>dezembro</v>
      </c>
    </row>
    <row r="8809" spans="1:9" x14ac:dyDescent="0.25">
      <c r="A8809">
        <v>2025</v>
      </c>
      <c r="B8809" t="s">
        <v>17539</v>
      </c>
      <c r="C8809" s="1">
        <v>45853</v>
      </c>
      <c r="D8809" t="s">
        <v>17540</v>
      </c>
      <c r="E8809" s="2">
        <v>20400</v>
      </c>
      <c r="G8809" s="3">
        <f>MONTH(Tabela1[[#This Row],[Último pagto ano]])</f>
        <v>7</v>
      </c>
      <c r="H8809" t="str">
        <f>TEXT(Tabela1[[#This Row],[Coluna2]]*29,"mmmm")</f>
        <v>julho</v>
      </c>
      <c r="I8809" t="str">
        <f>TEXT(MONTH(Tabela1[[#This Row],[Último pagto ano]])*29,"mmmm")</f>
        <v>julho</v>
      </c>
    </row>
    <row r="8810" spans="1:9" x14ac:dyDescent="0.25">
      <c r="A8810">
        <v>2025</v>
      </c>
      <c r="B8810" t="s">
        <v>17541</v>
      </c>
      <c r="C8810" s="1">
        <v>46006</v>
      </c>
      <c r="D8810" t="s">
        <v>17542</v>
      </c>
      <c r="E8810" s="2">
        <v>98107.199999999997</v>
      </c>
      <c r="G8810" s="3">
        <f>MONTH(Tabela1[[#This Row],[Último pagto ano]])</f>
        <v>12</v>
      </c>
      <c r="H8810" t="str">
        <f>TEXT(Tabela1[[#This Row],[Coluna2]]*29,"mmmm")</f>
        <v>dezembro</v>
      </c>
      <c r="I8810" t="str">
        <f>TEXT(MONTH(Tabela1[[#This Row],[Último pagto ano]])*29,"mmmm")</f>
        <v>dezembro</v>
      </c>
    </row>
    <row r="8811" spans="1:9" x14ac:dyDescent="0.25">
      <c r="A8811">
        <v>2025</v>
      </c>
      <c r="B8811" t="s">
        <v>17543</v>
      </c>
      <c r="C8811" s="1">
        <v>45980</v>
      </c>
      <c r="D8811" t="s">
        <v>17544</v>
      </c>
      <c r="E8811" s="2">
        <v>34252.5</v>
      </c>
      <c r="G8811" s="3">
        <f>MONTH(Tabela1[[#This Row],[Último pagto ano]])</f>
        <v>11</v>
      </c>
      <c r="H8811" t="str">
        <f>TEXT(Tabela1[[#This Row],[Coluna2]]*29,"mmmm")</f>
        <v>novembro</v>
      </c>
      <c r="I8811" t="str">
        <f>TEXT(MONTH(Tabela1[[#This Row],[Último pagto ano]])*29,"mmmm")</f>
        <v>novembro</v>
      </c>
    </row>
    <row r="8812" spans="1:9" x14ac:dyDescent="0.25">
      <c r="A8812">
        <v>2025</v>
      </c>
      <c r="B8812" t="s">
        <v>17545</v>
      </c>
      <c r="C8812" s="1">
        <v>45685</v>
      </c>
      <c r="D8812" t="s">
        <v>17546</v>
      </c>
      <c r="E8812" s="2">
        <v>3990</v>
      </c>
      <c r="G8812" s="3">
        <f>MONTH(Tabela1[[#This Row],[Último pagto ano]])</f>
        <v>1</v>
      </c>
      <c r="H8812" t="str">
        <f>TEXT(Tabela1[[#This Row],[Coluna2]]*29,"mmmm")</f>
        <v>janeiro</v>
      </c>
      <c r="I8812" t="str">
        <f>TEXT(MONTH(Tabela1[[#This Row],[Último pagto ano]])*29,"mmmm")</f>
        <v>janeiro</v>
      </c>
    </row>
    <row r="8813" spans="1:9" x14ac:dyDescent="0.25">
      <c r="A8813">
        <v>2025</v>
      </c>
      <c r="B8813" t="s">
        <v>17547</v>
      </c>
      <c r="C8813" s="1">
        <v>45954</v>
      </c>
      <c r="D8813" t="s">
        <v>17548</v>
      </c>
      <c r="E8813" s="2">
        <v>6696.9</v>
      </c>
      <c r="G8813" s="3">
        <f>MONTH(Tabela1[[#This Row],[Último pagto ano]])</f>
        <v>10</v>
      </c>
      <c r="H8813" t="str">
        <f>TEXT(Tabela1[[#This Row],[Coluna2]]*29,"mmmm")</f>
        <v>outubro</v>
      </c>
      <c r="I8813" t="str">
        <f>TEXT(MONTH(Tabela1[[#This Row],[Último pagto ano]])*29,"mmmm")</f>
        <v>outubro</v>
      </c>
    </row>
    <row r="8814" spans="1:9" x14ac:dyDescent="0.25">
      <c r="A8814">
        <v>2025</v>
      </c>
      <c r="B8814" t="s">
        <v>17549</v>
      </c>
      <c r="C8814" s="1">
        <v>45915</v>
      </c>
      <c r="D8814" t="s">
        <v>17550</v>
      </c>
      <c r="E8814" s="2">
        <v>18653.509999999998</v>
      </c>
      <c r="G8814" s="3">
        <f>MONTH(Tabela1[[#This Row],[Último pagto ano]])</f>
        <v>9</v>
      </c>
      <c r="H8814" t="str">
        <f>TEXT(Tabela1[[#This Row],[Coluna2]]*29,"mmmm")</f>
        <v>setembro</v>
      </c>
      <c r="I8814" t="str">
        <f>TEXT(MONTH(Tabela1[[#This Row],[Último pagto ano]])*29,"mmmm")</f>
        <v>setembro</v>
      </c>
    </row>
    <row r="8815" spans="1:9" x14ac:dyDescent="0.25">
      <c r="A8815">
        <v>2025</v>
      </c>
      <c r="B8815" t="s">
        <v>17551</v>
      </c>
      <c r="C8815" s="1">
        <v>45894</v>
      </c>
      <c r="D8815" t="s">
        <v>17552</v>
      </c>
      <c r="E8815" s="2">
        <v>2730</v>
      </c>
      <c r="G8815" s="3">
        <f>MONTH(Tabela1[[#This Row],[Último pagto ano]])</f>
        <v>8</v>
      </c>
      <c r="H8815" t="str">
        <f>TEXT(Tabela1[[#This Row],[Coluna2]]*29,"mmmm")</f>
        <v>agosto</v>
      </c>
      <c r="I8815" t="str">
        <f>TEXT(MONTH(Tabela1[[#This Row],[Último pagto ano]])*29,"mmmm")</f>
        <v>agosto</v>
      </c>
    </row>
    <row r="8816" spans="1:9" x14ac:dyDescent="0.25">
      <c r="A8816">
        <v>2025</v>
      </c>
      <c r="B8816" t="s">
        <v>17553</v>
      </c>
      <c r="C8816" s="1">
        <v>45744</v>
      </c>
      <c r="D8816" t="s">
        <v>17554</v>
      </c>
      <c r="E8816" s="2">
        <v>7099.77</v>
      </c>
      <c r="G8816" s="3">
        <f>MONTH(Tabela1[[#This Row],[Último pagto ano]])</f>
        <v>3</v>
      </c>
      <c r="H8816" t="str">
        <f>TEXT(Tabela1[[#This Row],[Coluna2]]*29,"mmmm")</f>
        <v>março</v>
      </c>
      <c r="I8816" t="str">
        <f>TEXT(MONTH(Tabela1[[#This Row],[Último pagto ano]])*29,"mmmm")</f>
        <v>março</v>
      </c>
    </row>
    <row r="8817" spans="1:9" x14ac:dyDescent="0.25">
      <c r="A8817">
        <v>2025</v>
      </c>
      <c r="B8817" t="s">
        <v>17555</v>
      </c>
      <c r="C8817" s="1">
        <v>46013</v>
      </c>
      <c r="D8817" t="s">
        <v>17556</v>
      </c>
      <c r="E8817" s="2">
        <v>11813</v>
      </c>
      <c r="G8817" s="3">
        <f>MONTH(Tabela1[[#This Row],[Último pagto ano]])</f>
        <v>12</v>
      </c>
      <c r="H8817" t="str">
        <f>TEXT(Tabela1[[#This Row],[Coluna2]]*29,"mmmm")</f>
        <v>dezembro</v>
      </c>
      <c r="I8817" t="str">
        <f>TEXT(MONTH(Tabela1[[#This Row],[Último pagto ano]])*29,"mmmm")</f>
        <v>dezembro</v>
      </c>
    </row>
    <row r="8818" spans="1:9" x14ac:dyDescent="0.25">
      <c r="A8818">
        <v>2025</v>
      </c>
      <c r="B8818" t="s">
        <v>17557</v>
      </c>
      <c r="C8818" s="1">
        <v>46014</v>
      </c>
      <c r="D8818" t="s">
        <v>17558</v>
      </c>
      <c r="E8818" s="2">
        <v>5742</v>
      </c>
      <c r="G8818" s="3">
        <f>MONTH(Tabela1[[#This Row],[Último pagto ano]])</f>
        <v>12</v>
      </c>
      <c r="H8818" t="str">
        <f>TEXT(Tabela1[[#This Row],[Coluna2]]*29,"mmmm")</f>
        <v>dezembro</v>
      </c>
      <c r="I8818" t="str">
        <f>TEXT(MONTH(Tabela1[[#This Row],[Último pagto ano]])*29,"mmmm")</f>
        <v>dezembro</v>
      </c>
    </row>
    <row r="8819" spans="1:9" x14ac:dyDescent="0.25">
      <c r="A8819">
        <v>2025</v>
      </c>
      <c r="B8819" t="s">
        <v>17559</v>
      </c>
      <c r="C8819" s="1">
        <v>46014</v>
      </c>
      <c r="D8819" t="s">
        <v>17560</v>
      </c>
      <c r="E8819" s="2">
        <v>70114.600000000006</v>
      </c>
      <c r="G8819" s="3">
        <f>MONTH(Tabela1[[#This Row],[Último pagto ano]])</f>
        <v>12</v>
      </c>
      <c r="H8819" t="str">
        <f>TEXT(Tabela1[[#This Row],[Coluna2]]*29,"mmmm")</f>
        <v>dezembro</v>
      </c>
      <c r="I8819" t="str">
        <f>TEXT(MONTH(Tabela1[[#This Row],[Último pagto ano]])*29,"mmmm")</f>
        <v>dezembro</v>
      </c>
    </row>
    <row r="8820" spans="1:9" x14ac:dyDescent="0.25">
      <c r="A8820">
        <v>2025</v>
      </c>
      <c r="B8820" t="s">
        <v>17561</v>
      </c>
      <c r="C8820" s="1">
        <v>46014</v>
      </c>
      <c r="D8820" t="s">
        <v>17562</v>
      </c>
      <c r="E8820" s="2">
        <v>40000</v>
      </c>
      <c r="G8820" s="3">
        <f>MONTH(Tabela1[[#This Row],[Último pagto ano]])</f>
        <v>12</v>
      </c>
      <c r="H8820" t="str">
        <f>TEXT(Tabela1[[#This Row],[Coluna2]]*29,"mmmm")</f>
        <v>dezembro</v>
      </c>
      <c r="I8820" t="str">
        <f>TEXT(MONTH(Tabela1[[#This Row],[Último pagto ano]])*29,"mmmm")</f>
        <v>dezembro</v>
      </c>
    </row>
    <row r="8821" spans="1:9" x14ac:dyDescent="0.25">
      <c r="A8821">
        <v>2025</v>
      </c>
      <c r="B8821" t="s">
        <v>17563</v>
      </c>
      <c r="C8821" s="1">
        <v>45985</v>
      </c>
      <c r="D8821" t="s">
        <v>17564</v>
      </c>
      <c r="E8821">
        <v>600</v>
      </c>
      <c r="G8821" s="3">
        <f>MONTH(Tabela1[[#This Row],[Último pagto ano]])</f>
        <v>11</v>
      </c>
      <c r="H8821" t="str">
        <f>TEXT(Tabela1[[#This Row],[Coluna2]]*29,"mmmm")</f>
        <v>novembro</v>
      </c>
      <c r="I8821" t="str">
        <f>TEXT(MONTH(Tabela1[[#This Row],[Último pagto ano]])*29,"mmmm")</f>
        <v>novembro</v>
      </c>
    </row>
    <row r="8822" spans="1:9" x14ac:dyDescent="0.25">
      <c r="A8822">
        <v>2025</v>
      </c>
      <c r="B8822" t="s">
        <v>17565</v>
      </c>
      <c r="C8822" s="1">
        <v>46007</v>
      </c>
      <c r="D8822" t="s">
        <v>17566</v>
      </c>
      <c r="E8822" s="2">
        <v>13440</v>
      </c>
      <c r="G8822" s="3">
        <f>MONTH(Tabela1[[#This Row],[Último pagto ano]])</f>
        <v>12</v>
      </c>
      <c r="H8822" t="str">
        <f>TEXT(Tabela1[[#This Row],[Coluna2]]*29,"mmmm")</f>
        <v>dezembro</v>
      </c>
      <c r="I8822" t="str">
        <f>TEXT(MONTH(Tabela1[[#This Row],[Último pagto ano]])*29,"mmmm")</f>
        <v>dezembro</v>
      </c>
    </row>
    <row r="8823" spans="1:9" x14ac:dyDescent="0.25">
      <c r="A8823">
        <v>2025</v>
      </c>
      <c r="B8823" t="s">
        <v>17567</v>
      </c>
      <c r="C8823" s="1">
        <v>46007</v>
      </c>
      <c r="D8823" t="s">
        <v>17568</v>
      </c>
      <c r="E8823" s="2">
        <v>92480.12</v>
      </c>
      <c r="G8823" s="3">
        <f>MONTH(Tabela1[[#This Row],[Último pagto ano]])</f>
        <v>12</v>
      </c>
      <c r="H8823" t="str">
        <f>TEXT(Tabela1[[#This Row],[Coluna2]]*29,"mmmm")</f>
        <v>dezembro</v>
      </c>
      <c r="I8823" t="str">
        <f>TEXT(MONTH(Tabela1[[#This Row],[Último pagto ano]])*29,"mmmm")</f>
        <v>dezembro</v>
      </c>
    </row>
    <row r="8824" spans="1:9" x14ac:dyDescent="0.25">
      <c r="A8824">
        <v>2025</v>
      </c>
      <c r="B8824" t="s">
        <v>17569</v>
      </c>
      <c r="C8824" s="1">
        <v>46014</v>
      </c>
      <c r="D8824" t="s">
        <v>17570</v>
      </c>
      <c r="E8824" s="2">
        <v>35267.5</v>
      </c>
      <c r="G8824" s="3">
        <f>MONTH(Tabela1[[#This Row],[Último pagto ano]])</f>
        <v>12</v>
      </c>
      <c r="H8824" t="str">
        <f>TEXT(Tabela1[[#This Row],[Coluna2]]*29,"mmmm")</f>
        <v>dezembro</v>
      </c>
      <c r="I8824" t="str">
        <f>TEXT(MONTH(Tabela1[[#This Row],[Último pagto ano]])*29,"mmmm")</f>
        <v>dezembro</v>
      </c>
    </row>
    <row r="8825" spans="1:9" x14ac:dyDescent="0.25">
      <c r="A8825">
        <v>2025</v>
      </c>
      <c r="B8825" t="s">
        <v>17571</v>
      </c>
      <c r="C8825" s="1">
        <v>45995</v>
      </c>
      <c r="D8825" t="s">
        <v>17572</v>
      </c>
      <c r="E8825" s="2">
        <v>129752.84</v>
      </c>
      <c r="G8825" s="3">
        <f>MONTH(Tabela1[[#This Row],[Último pagto ano]])</f>
        <v>12</v>
      </c>
      <c r="H8825" t="str">
        <f>TEXT(Tabela1[[#This Row],[Coluna2]]*29,"mmmm")</f>
        <v>dezembro</v>
      </c>
      <c r="I8825" t="str">
        <f>TEXT(MONTH(Tabela1[[#This Row],[Último pagto ano]])*29,"mmmm")</f>
        <v>dezembro</v>
      </c>
    </row>
    <row r="8826" spans="1:9" x14ac:dyDescent="0.25">
      <c r="A8826">
        <v>2025</v>
      </c>
      <c r="B8826" t="s">
        <v>17573</v>
      </c>
      <c r="C8826" s="1">
        <v>46014</v>
      </c>
      <c r="D8826" t="s">
        <v>17574</v>
      </c>
      <c r="E8826" s="2">
        <v>1838</v>
      </c>
      <c r="G8826" s="3">
        <f>MONTH(Tabela1[[#This Row],[Último pagto ano]])</f>
        <v>12</v>
      </c>
      <c r="H8826" t="str">
        <f>TEXT(Tabela1[[#This Row],[Coluna2]]*29,"mmmm")</f>
        <v>dezembro</v>
      </c>
      <c r="I8826" t="str">
        <f>TEXT(MONTH(Tabela1[[#This Row],[Último pagto ano]])*29,"mmmm")</f>
        <v>dezembro</v>
      </c>
    </row>
    <row r="8827" spans="1:9" x14ac:dyDescent="0.25">
      <c r="A8827">
        <v>2025</v>
      </c>
      <c r="B8827" t="s">
        <v>17575</v>
      </c>
      <c r="C8827" s="1">
        <v>45834</v>
      </c>
      <c r="D8827" t="s">
        <v>17576</v>
      </c>
      <c r="E8827">
        <v>900</v>
      </c>
      <c r="G8827" s="3">
        <f>MONTH(Tabela1[[#This Row],[Último pagto ano]])</f>
        <v>6</v>
      </c>
      <c r="H8827" t="str">
        <f>TEXT(Tabela1[[#This Row],[Coluna2]]*29,"mmmm")</f>
        <v>junho</v>
      </c>
      <c r="I8827" t="str">
        <f>TEXT(MONTH(Tabela1[[#This Row],[Último pagto ano]])*29,"mmmm")</f>
        <v>junho</v>
      </c>
    </row>
    <row r="8828" spans="1:9" x14ac:dyDescent="0.25">
      <c r="A8828">
        <v>2025</v>
      </c>
      <c r="B8828" t="s">
        <v>17577</v>
      </c>
      <c r="C8828" s="1">
        <v>45922</v>
      </c>
      <c r="D8828" t="s">
        <v>17578</v>
      </c>
      <c r="E8828" s="2">
        <v>1000</v>
      </c>
      <c r="G8828" s="3">
        <f>MONTH(Tabela1[[#This Row],[Último pagto ano]])</f>
        <v>9</v>
      </c>
      <c r="H8828" t="str">
        <f>TEXT(Tabela1[[#This Row],[Coluna2]]*29,"mmmm")</f>
        <v>setembro</v>
      </c>
      <c r="I8828" t="str">
        <f>TEXT(MONTH(Tabela1[[#This Row],[Último pagto ano]])*29,"mmmm")</f>
        <v>setembro</v>
      </c>
    </row>
    <row r="8829" spans="1:9" x14ac:dyDescent="0.25">
      <c r="A8829">
        <v>2025</v>
      </c>
      <c r="B8829" t="s">
        <v>17579</v>
      </c>
      <c r="C8829" s="1">
        <v>46000</v>
      </c>
      <c r="D8829" t="s">
        <v>17580</v>
      </c>
      <c r="E8829" s="2">
        <v>18855</v>
      </c>
      <c r="G8829" s="3">
        <f>MONTH(Tabela1[[#This Row],[Último pagto ano]])</f>
        <v>12</v>
      </c>
      <c r="H8829" t="str">
        <f>TEXT(Tabela1[[#This Row],[Coluna2]]*29,"mmmm")</f>
        <v>dezembro</v>
      </c>
      <c r="I8829" t="str">
        <f>TEXT(MONTH(Tabela1[[#This Row],[Último pagto ano]])*29,"mmmm")</f>
        <v>dezembro</v>
      </c>
    </row>
    <row r="8830" spans="1:9" x14ac:dyDescent="0.25">
      <c r="A8830">
        <v>2025</v>
      </c>
      <c r="B8830" t="s">
        <v>17581</v>
      </c>
      <c r="C8830" s="1">
        <v>45995</v>
      </c>
      <c r="D8830" t="s">
        <v>17582</v>
      </c>
      <c r="E8830" s="2">
        <v>42087.91</v>
      </c>
      <c r="G8830" s="3">
        <f>MONTH(Tabela1[[#This Row],[Último pagto ano]])</f>
        <v>12</v>
      </c>
      <c r="H8830" t="str">
        <f>TEXT(Tabela1[[#This Row],[Coluna2]]*29,"mmmm")</f>
        <v>dezembro</v>
      </c>
      <c r="I8830" t="str">
        <f>TEXT(MONTH(Tabela1[[#This Row],[Último pagto ano]])*29,"mmmm")</f>
        <v>dezembro</v>
      </c>
    </row>
    <row r="8831" spans="1:9" x14ac:dyDescent="0.25">
      <c r="A8831">
        <v>2025</v>
      </c>
      <c r="B8831" t="s">
        <v>17583</v>
      </c>
      <c r="C8831" s="1">
        <v>46014</v>
      </c>
      <c r="D8831" t="s">
        <v>17584</v>
      </c>
      <c r="E8831" s="2">
        <v>139200</v>
      </c>
      <c r="G8831" s="3">
        <f>MONTH(Tabela1[[#This Row],[Último pagto ano]])</f>
        <v>12</v>
      </c>
      <c r="H8831" t="str">
        <f>TEXT(Tabela1[[#This Row],[Coluna2]]*29,"mmmm")</f>
        <v>dezembro</v>
      </c>
      <c r="I8831" t="str">
        <f>TEXT(MONTH(Tabela1[[#This Row],[Último pagto ano]])*29,"mmmm")</f>
        <v>dezembro</v>
      </c>
    </row>
    <row r="8832" spans="1:9" x14ac:dyDescent="0.25">
      <c r="A8832">
        <v>2025</v>
      </c>
      <c r="B8832" t="s">
        <v>17585</v>
      </c>
      <c r="C8832" s="1">
        <v>45854</v>
      </c>
      <c r="D8832" t="s">
        <v>17586</v>
      </c>
      <c r="E8832" s="2">
        <v>9990</v>
      </c>
      <c r="G8832" s="3">
        <f>MONTH(Tabela1[[#This Row],[Último pagto ano]])</f>
        <v>7</v>
      </c>
      <c r="H8832" t="str">
        <f>TEXT(Tabela1[[#This Row],[Coluna2]]*29,"mmmm")</f>
        <v>julho</v>
      </c>
      <c r="I8832" t="str">
        <f>TEXT(MONTH(Tabela1[[#This Row],[Último pagto ano]])*29,"mmmm")</f>
        <v>julho</v>
      </c>
    </row>
    <row r="8833" spans="1:9" x14ac:dyDescent="0.25">
      <c r="A8833">
        <v>2025</v>
      </c>
      <c r="B8833" t="s">
        <v>17587</v>
      </c>
      <c r="C8833" s="1">
        <v>45688</v>
      </c>
      <c r="D8833" t="s">
        <v>17588</v>
      </c>
      <c r="E8833" s="2">
        <v>44583</v>
      </c>
      <c r="G8833" s="3">
        <f>MONTH(Tabela1[[#This Row],[Último pagto ano]])</f>
        <v>1</v>
      </c>
      <c r="H8833" t="str">
        <f>TEXT(Tabela1[[#This Row],[Coluna2]]*29,"mmmm")</f>
        <v>janeiro</v>
      </c>
      <c r="I8833" t="str">
        <f>TEXT(MONTH(Tabela1[[#This Row],[Último pagto ano]])*29,"mmmm")</f>
        <v>janeiro</v>
      </c>
    </row>
    <row r="8834" spans="1:9" x14ac:dyDescent="0.25">
      <c r="A8834">
        <v>2025</v>
      </c>
      <c r="B8834" t="s">
        <v>17589</v>
      </c>
      <c r="C8834" s="1">
        <v>45733</v>
      </c>
      <c r="D8834" t="s">
        <v>17590</v>
      </c>
      <c r="E8834" s="2">
        <v>2130</v>
      </c>
      <c r="G8834" s="3">
        <f>MONTH(Tabela1[[#This Row],[Último pagto ano]])</f>
        <v>3</v>
      </c>
      <c r="H8834" t="str">
        <f>TEXT(Tabela1[[#This Row],[Coluna2]]*29,"mmmm")</f>
        <v>março</v>
      </c>
      <c r="I8834" t="str">
        <f>TEXT(MONTH(Tabela1[[#This Row],[Último pagto ano]])*29,"mmmm")</f>
        <v>março</v>
      </c>
    </row>
    <row r="8835" spans="1:9" x14ac:dyDescent="0.25">
      <c r="A8835">
        <v>2025</v>
      </c>
      <c r="B8835" t="s">
        <v>17591</v>
      </c>
      <c r="C8835" s="1">
        <v>45748</v>
      </c>
      <c r="D8835" t="s">
        <v>17592</v>
      </c>
      <c r="E8835" s="2">
        <v>1200</v>
      </c>
      <c r="G8835" s="3">
        <f>MONTH(Tabela1[[#This Row],[Último pagto ano]])</f>
        <v>4</v>
      </c>
      <c r="H8835" t="str">
        <f>TEXT(Tabela1[[#This Row],[Coluna2]]*29,"mmmm")</f>
        <v>abril</v>
      </c>
      <c r="I8835" t="str">
        <f>TEXT(MONTH(Tabela1[[#This Row],[Último pagto ano]])*29,"mmmm")</f>
        <v>abril</v>
      </c>
    </row>
    <row r="8836" spans="1:9" x14ac:dyDescent="0.25">
      <c r="A8836">
        <v>2025</v>
      </c>
      <c r="B8836" t="s">
        <v>17593</v>
      </c>
      <c r="C8836" s="1">
        <v>45966</v>
      </c>
      <c r="D8836" t="s">
        <v>17594</v>
      </c>
      <c r="E8836" s="2">
        <v>15000</v>
      </c>
      <c r="G8836" s="3">
        <f>MONTH(Tabela1[[#This Row],[Último pagto ano]])</f>
        <v>11</v>
      </c>
      <c r="H8836" t="str">
        <f>TEXT(Tabela1[[#This Row],[Coluna2]]*29,"mmmm")</f>
        <v>novembro</v>
      </c>
      <c r="I8836" t="str">
        <f>TEXT(MONTH(Tabela1[[#This Row],[Último pagto ano]])*29,"mmmm")</f>
        <v>novembro</v>
      </c>
    </row>
    <row r="8837" spans="1:9" x14ac:dyDescent="0.25">
      <c r="A8837">
        <v>2025</v>
      </c>
      <c r="B8837" t="s">
        <v>17595</v>
      </c>
      <c r="C8837" s="1">
        <v>46021</v>
      </c>
      <c r="D8837" t="s">
        <v>17596</v>
      </c>
      <c r="E8837" s="2">
        <v>30190</v>
      </c>
      <c r="G8837" s="3">
        <f>MONTH(Tabela1[[#This Row],[Último pagto ano]])</f>
        <v>12</v>
      </c>
      <c r="H8837" t="str">
        <f>TEXT(Tabela1[[#This Row],[Coluna2]]*29,"mmmm")</f>
        <v>dezembro</v>
      </c>
      <c r="I8837" t="str">
        <f>TEXT(MONTH(Tabela1[[#This Row],[Último pagto ano]])*29,"mmmm")</f>
        <v>dezembro</v>
      </c>
    </row>
    <row r="8838" spans="1:9" x14ac:dyDescent="0.25">
      <c r="A8838">
        <v>2025</v>
      </c>
      <c r="B8838" t="s">
        <v>17597</v>
      </c>
      <c r="C8838" s="1">
        <v>46007</v>
      </c>
      <c r="D8838" t="s">
        <v>17598</v>
      </c>
      <c r="E8838" s="2">
        <v>2005.5</v>
      </c>
      <c r="G8838" s="3">
        <f>MONTH(Tabela1[[#This Row],[Último pagto ano]])</f>
        <v>12</v>
      </c>
      <c r="H8838" t="str">
        <f>TEXT(Tabela1[[#This Row],[Coluna2]]*29,"mmmm")</f>
        <v>dezembro</v>
      </c>
      <c r="I8838" t="str">
        <f>TEXT(MONTH(Tabela1[[#This Row],[Último pagto ano]])*29,"mmmm")</f>
        <v>dezembro</v>
      </c>
    </row>
    <row r="8839" spans="1:9" x14ac:dyDescent="0.25">
      <c r="A8839">
        <v>2025</v>
      </c>
      <c r="B8839" t="s">
        <v>17599</v>
      </c>
      <c r="C8839" s="1">
        <v>45672</v>
      </c>
      <c r="D8839" t="s">
        <v>17600</v>
      </c>
      <c r="E8839" s="2">
        <v>3390</v>
      </c>
      <c r="G8839" s="3">
        <f>MONTH(Tabela1[[#This Row],[Último pagto ano]])</f>
        <v>1</v>
      </c>
      <c r="H8839" t="str">
        <f>TEXT(Tabela1[[#This Row],[Coluna2]]*29,"mmmm")</f>
        <v>janeiro</v>
      </c>
      <c r="I8839" t="str">
        <f>TEXT(MONTH(Tabela1[[#This Row],[Último pagto ano]])*29,"mmmm")</f>
        <v>janeiro</v>
      </c>
    </row>
    <row r="8840" spans="1:9" x14ac:dyDescent="0.25">
      <c r="A8840">
        <v>2025</v>
      </c>
      <c r="B8840" t="s">
        <v>17601</v>
      </c>
      <c r="C8840" s="1">
        <v>45820</v>
      </c>
      <c r="D8840" t="s">
        <v>17602</v>
      </c>
      <c r="E8840">
        <v>383</v>
      </c>
      <c r="G8840" s="3">
        <f>MONTH(Tabela1[[#This Row],[Último pagto ano]])</f>
        <v>6</v>
      </c>
      <c r="H8840" t="str">
        <f>TEXT(Tabela1[[#This Row],[Coluna2]]*29,"mmmm")</f>
        <v>junho</v>
      </c>
      <c r="I8840" t="str">
        <f>TEXT(MONTH(Tabela1[[#This Row],[Último pagto ano]])*29,"mmmm")</f>
        <v>junho</v>
      </c>
    </row>
    <row r="8841" spans="1:9" x14ac:dyDescent="0.25">
      <c r="A8841">
        <v>2025</v>
      </c>
      <c r="B8841" t="s">
        <v>17603</v>
      </c>
      <c r="C8841" s="1">
        <v>45853</v>
      </c>
      <c r="D8841" t="s">
        <v>17604</v>
      </c>
      <c r="E8841" s="2">
        <v>46489.52</v>
      </c>
      <c r="G8841" s="3">
        <f>MONTH(Tabela1[[#This Row],[Último pagto ano]])</f>
        <v>7</v>
      </c>
      <c r="H8841" t="str">
        <f>TEXT(Tabela1[[#This Row],[Coluna2]]*29,"mmmm")</f>
        <v>julho</v>
      </c>
      <c r="I8841" t="str">
        <f>TEXT(MONTH(Tabela1[[#This Row],[Último pagto ano]])*29,"mmmm")</f>
        <v>julho</v>
      </c>
    </row>
    <row r="8842" spans="1:9" x14ac:dyDescent="0.25">
      <c r="A8842">
        <v>2025</v>
      </c>
      <c r="B8842" t="s">
        <v>17605</v>
      </c>
      <c r="C8842" s="1">
        <v>46008</v>
      </c>
      <c r="D8842" t="s">
        <v>17606</v>
      </c>
      <c r="E8842" s="2">
        <v>101413.68</v>
      </c>
      <c r="G8842" s="3">
        <f>MONTH(Tabela1[[#This Row],[Último pagto ano]])</f>
        <v>12</v>
      </c>
      <c r="H8842" t="str">
        <f>TEXT(Tabela1[[#This Row],[Coluna2]]*29,"mmmm")</f>
        <v>dezembro</v>
      </c>
      <c r="I8842" t="str">
        <f>TEXT(MONTH(Tabela1[[#This Row],[Último pagto ano]])*29,"mmmm")</f>
        <v>dezembro</v>
      </c>
    </row>
    <row r="8843" spans="1:9" x14ac:dyDescent="0.25">
      <c r="A8843">
        <v>2025</v>
      </c>
      <c r="B8843" t="s">
        <v>17607</v>
      </c>
      <c r="C8843" s="1">
        <v>45988</v>
      </c>
      <c r="D8843" t="s">
        <v>17608</v>
      </c>
      <c r="E8843" s="2">
        <v>6469.2</v>
      </c>
      <c r="G8843" s="3">
        <f>MONTH(Tabela1[[#This Row],[Último pagto ano]])</f>
        <v>11</v>
      </c>
      <c r="H8843" t="str">
        <f>TEXT(Tabela1[[#This Row],[Coluna2]]*29,"mmmm")</f>
        <v>novembro</v>
      </c>
      <c r="I8843" t="str">
        <f>TEXT(MONTH(Tabela1[[#This Row],[Último pagto ano]])*29,"mmmm")</f>
        <v>novembro</v>
      </c>
    </row>
    <row r="8844" spans="1:9" x14ac:dyDescent="0.25">
      <c r="A8844">
        <v>2025</v>
      </c>
      <c r="B8844" t="s">
        <v>17609</v>
      </c>
      <c r="C8844" s="1">
        <v>45882</v>
      </c>
      <c r="D8844" t="s">
        <v>17610</v>
      </c>
      <c r="E8844">
        <v>252.3</v>
      </c>
      <c r="G8844" s="3">
        <f>MONTH(Tabela1[[#This Row],[Último pagto ano]])</f>
        <v>8</v>
      </c>
      <c r="H8844" t="str">
        <f>TEXT(Tabela1[[#This Row],[Coluna2]]*29,"mmmm")</f>
        <v>agosto</v>
      </c>
      <c r="I8844" t="str">
        <f>TEXT(MONTH(Tabela1[[#This Row],[Último pagto ano]])*29,"mmmm")</f>
        <v>agosto</v>
      </c>
    </row>
    <row r="8845" spans="1:9" x14ac:dyDescent="0.25">
      <c r="A8845">
        <v>2025</v>
      </c>
      <c r="B8845" t="s">
        <v>17611</v>
      </c>
      <c r="C8845" s="1">
        <v>45996</v>
      </c>
      <c r="D8845" t="s">
        <v>17612</v>
      </c>
      <c r="E8845" s="2">
        <v>322742.38</v>
      </c>
      <c r="G8845" s="3">
        <f>MONTH(Tabela1[[#This Row],[Último pagto ano]])</f>
        <v>12</v>
      </c>
      <c r="H8845" t="str">
        <f>TEXT(Tabela1[[#This Row],[Coluna2]]*29,"mmmm")</f>
        <v>dezembro</v>
      </c>
      <c r="I8845" t="str">
        <f>TEXT(MONTH(Tabela1[[#This Row],[Último pagto ano]])*29,"mmmm")</f>
        <v>dezembro</v>
      </c>
    </row>
    <row r="8846" spans="1:9" x14ac:dyDescent="0.25">
      <c r="A8846">
        <v>2025</v>
      </c>
      <c r="B8846" t="s">
        <v>17613</v>
      </c>
      <c r="C8846" s="1">
        <v>45883</v>
      </c>
      <c r="D8846" t="s">
        <v>17614</v>
      </c>
      <c r="E8846" s="2">
        <v>5000</v>
      </c>
      <c r="G8846" s="3">
        <f>MONTH(Tabela1[[#This Row],[Último pagto ano]])</f>
        <v>8</v>
      </c>
      <c r="H8846" t="str">
        <f>TEXT(Tabela1[[#This Row],[Coluna2]]*29,"mmmm")</f>
        <v>agosto</v>
      </c>
      <c r="I8846" t="str">
        <f>TEXT(MONTH(Tabela1[[#This Row],[Último pagto ano]])*29,"mmmm")</f>
        <v>agosto</v>
      </c>
    </row>
    <row r="8847" spans="1:9" x14ac:dyDescent="0.25">
      <c r="A8847">
        <v>2025</v>
      </c>
      <c r="B8847" t="s">
        <v>17615</v>
      </c>
      <c r="C8847" s="1">
        <v>45930</v>
      </c>
      <c r="D8847" t="s">
        <v>17616</v>
      </c>
      <c r="E8847" s="2">
        <v>4124</v>
      </c>
      <c r="G8847" s="3">
        <f>MONTH(Tabela1[[#This Row],[Último pagto ano]])</f>
        <v>9</v>
      </c>
      <c r="H8847" t="str">
        <f>TEXT(Tabela1[[#This Row],[Coluna2]]*29,"mmmm")</f>
        <v>setembro</v>
      </c>
      <c r="I8847" t="str">
        <f>TEXT(MONTH(Tabela1[[#This Row],[Último pagto ano]])*29,"mmmm")</f>
        <v>setembro</v>
      </c>
    </row>
    <row r="8848" spans="1:9" x14ac:dyDescent="0.25">
      <c r="A8848">
        <v>2025</v>
      </c>
      <c r="B8848" t="s">
        <v>17617</v>
      </c>
      <c r="C8848" s="1">
        <v>46009</v>
      </c>
      <c r="D8848" t="s">
        <v>17618</v>
      </c>
      <c r="E8848" s="2">
        <v>15776</v>
      </c>
      <c r="G8848" s="3">
        <f>MONTH(Tabela1[[#This Row],[Último pagto ano]])</f>
        <v>12</v>
      </c>
      <c r="H8848" t="str">
        <f>TEXT(Tabela1[[#This Row],[Coluna2]]*29,"mmmm")</f>
        <v>dezembro</v>
      </c>
      <c r="I8848" t="str">
        <f>TEXT(MONTH(Tabela1[[#This Row],[Último pagto ano]])*29,"mmmm")</f>
        <v>dezembro</v>
      </c>
    </row>
    <row r="8849" spans="1:9" x14ac:dyDescent="0.25">
      <c r="A8849">
        <v>2025</v>
      </c>
      <c r="B8849" t="s">
        <v>17619</v>
      </c>
      <c r="C8849" s="1">
        <v>46010</v>
      </c>
      <c r="D8849" t="s">
        <v>17620</v>
      </c>
      <c r="E8849" s="2">
        <v>14256</v>
      </c>
      <c r="G8849" s="3">
        <f>MONTH(Tabela1[[#This Row],[Último pagto ano]])</f>
        <v>12</v>
      </c>
      <c r="H8849" t="str">
        <f>TEXT(Tabela1[[#This Row],[Coluna2]]*29,"mmmm")</f>
        <v>dezembro</v>
      </c>
      <c r="I8849" t="str">
        <f>TEXT(MONTH(Tabela1[[#This Row],[Último pagto ano]])*29,"mmmm")</f>
        <v>dezembro</v>
      </c>
    </row>
    <row r="8850" spans="1:9" x14ac:dyDescent="0.25">
      <c r="A8850">
        <v>2025</v>
      </c>
      <c r="B8850" t="s">
        <v>17621</v>
      </c>
      <c r="C8850" s="1">
        <v>46014</v>
      </c>
      <c r="D8850" t="s">
        <v>17622</v>
      </c>
      <c r="E8850" s="2">
        <v>12000</v>
      </c>
      <c r="G8850" s="3">
        <f>MONTH(Tabela1[[#This Row],[Último pagto ano]])</f>
        <v>12</v>
      </c>
      <c r="H8850" t="str">
        <f>TEXT(Tabela1[[#This Row],[Coluna2]]*29,"mmmm")</f>
        <v>dezembro</v>
      </c>
      <c r="I8850" t="str">
        <f>TEXT(MONTH(Tabela1[[#This Row],[Último pagto ano]])*29,"mmmm")</f>
        <v>dezembro</v>
      </c>
    </row>
    <row r="8851" spans="1:9" x14ac:dyDescent="0.25">
      <c r="A8851">
        <v>2025</v>
      </c>
      <c r="B8851" t="s">
        <v>17623</v>
      </c>
      <c r="C8851" s="1">
        <v>46007</v>
      </c>
      <c r="D8851" t="s">
        <v>17624</v>
      </c>
      <c r="E8851" s="2">
        <v>102219.64</v>
      </c>
      <c r="G8851" s="3">
        <f>MONTH(Tabela1[[#This Row],[Último pagto ano]])</f>
        <v>12</v>
      </c>
      <c r="H8851" t="str">
        <f>TEXT(Tabela1[[#This Row],[Coluna2]]*29,"mmmm")</f>
        <v>dezembro</v>
      </c>
      <c r="I8851" t="str">
        <f>TEXT(MONTH(Tabela1[[#This Row],[Último pagto ano]])*29,"mmmm")</f>
        <v>dezembro</v>
      </c>
    </row>
    <row r="8852" spans="1:9" x14ac:dyDescent="0.25">
      <c r="A8852">
        <v>2025</v>
      </c>
      <c r="B8852" t="s">
        <v>17625</v>
      </c>
      <c r="C8852" s="1">
        <v>46006</v>
      </c>
      <c r="D8852" t="s">
        <v>17626</v>
      </c>
      <c r="E8852" s="2">
        <v>10679.2</v>
      </c>
      <c r="G8852" s="3">
        <f>MONTH(Tabela1[[#This Row],[Último pagto ano]])</f>
        <v>12</v>
      </c>
      <c r="H8852" t="str">
        <f>TEXT(Tabela1[[#This Row],[Coluna2]]*29,"mmmm")</f>
        <v>dezembro</v>
      </c>
      <c r="I8852" t="str">
        <f>TEXT(MONTH(Tabela1[[#This Row],[Último pagto ano]])*29,"mmmm")</f>
        <v>dezembro</v>
      </c>
    </row>
    <row r="8853" spans="1:9" x14ac:dyDescent="0.25">
      <c r="A8853">
        <v>2025</v>
      </c>
      <c r="B8853" t="s">
        <v>17627</v>
      </c>
      <c r="C8853" s="1">
        <v>45887</v>
      </c>
      <c r="D8853" t="s">
        <v>17628</v>
      </c>
      <c r="E8853" s="2">
        <v>60200</v>
      </c>
      <c r="G8853" s="3">
        <f>MONTH(Tabela1[[#This Row],[Último pagto ano]])</f>
        <v>8</v>
      </c>
      <c r="H8853" t="str">
        <f>TEXT(Tabela1[[#This Row],[Coluna2]]*29,"mmmm")</f>
        <v>agosto</v>
      </c>
      <c r="I8853" t="str">
        <f>TEXT(MONTH(Tabela1[[#This Row],[Último pagto ano]])*29,"mmmm")</f>
        <v>agosto</v>
      </c>
    </row>
    <row r="8854" spans="1:9" x14ac:dyDescent="0.25">
      <c r="A8854">
        <v>2025</v>
      </c>
      <c r="B8854" t="s">
        <v>17629</v>
      </c>
      <c r="C8854" s="1">
        <v>46013</v>
      </c>
      <c r="D8854" t="s">
        <v>17630</v>
      </c>
      <c r="E8854" s="2">
        <v>20184</v>
      </c>
      <c r="G8854" s="3">
        <f>MONTH(Tabela1[[#This Row],[Último pagto ano]])</f>
        <v>12</v>
      </c>
      <c r="H8854" t="str">
        <f>TEXT(Tabela1[[#This Row],[Coluna2]]*29,"mmmm")</f>
        <v>dezembro</v>
      </c>
      <c r="I8854" t="str">
        <f>TEXT(MONTH(Tabela1[[#This Row],[Último pagto ano]])*29,"mmmm")</f>
        <v>dezembro</v>
      </c>
    </row>
    <row r="8855" spans="1:9" x14ac:dyDescent="0.25">
      <c r="A8855">
        <v>2025</v>
      </c>
      <c r="B8855" t="s">
        <v>17631</v>
      </c>
      <c r="C8855" s="1">
        <v>45951</v>
      </c>
      <c r="D8855" t="s">
        <v>17632</v>
      </c>
      <c r="E8855">
        <v>599.70000000000005</v>
      </c>
      <c r="G8855" s="3">
        <f>MONTH(Tabela1[[#This Row],[Último pagto ano]])</f>
        <v>10</v>
      </c>
      <c r="H8855" t="str">
        <f>TEXT(Tabela1[[#This Row],[Coluna2]]*29,"mmmm")</f>
        <v>outubro</v>
      </c>
      <c r="I8855" t="str">
        <f>TEXT(MONTH(Tabela1[[#This Row],[Último pagto ano]])*29,"mmmm")</f>
        <v>outubro</v>
      </c>
    </row>
    <row r="8856" spans="1:9" x14ac:dyDescent="0.25">
      <c r="A8856">
        <v>2025</v>
      </c>
      <c r="B8856" t="s">
        <v>17633</v>
      </c>
      <c r="C8856" s="1">
        <v>46014</v>
      </c>
      <c r="D8856" t="s">
        <v>17634</v>
      </c>
      <c r="E8856" s="2">
        <v>40597.5</v>
      </c>
      <c r="G8856" s="3">
        <f>MONTH(Tabela1[[#This Row],[Último pagto ano]])</f>
        <v>12</v>
      </c>
      <c r="H8856" t="str">
        <f>TEXT(Tabela1[[#This Row],[Coluna2]]*29,"mmmm")</f>
        <v>dezembro</v>
      </c>
      <c r="I8856" t="str">
        <f>TEXT(MONTH(Tabela1[[#This Row],[Último pagto ano]])*29,"mmmm")</f>
        <v>dezembro</v>
      </c>
    </row>
    <row r="8857" spans="1:9" x14ac:dyDescent="0.25">
      <c r="A8857">
        <v>2025</v>
      </c>
      <c r="B8857" t="s">
        <v>17635</v>
      </c>
      <c r="C8857" s="1">
        <v>45908</v>
      </c>
      <c r="D8857" t="s">
        <v>17636</v>
      </c>
      <c r="E8857" s="2">
        <v>2160</v>
      </c>
      <c r="G8857" s="3">
        <f>MONTH(Tabela1[[#This Row],[Último pagto ano]])</f>
        <v>9</v>
      </c>
      <c r="H8857" t="str">
        <f>TEXT(Tabela1[[#This Row],[Coluna2]]*29,"mmmm")</f>
        <v>setembro</v>
      </c>
      <c r="I8857" t="str">
        <f>TEXT(MONTH(Tabela1[[#This Row],[Último pagto ano]])*29,"mmmm")</f>
        <v>setembro</v>
      </c>
    </row>
    <row r="8858" spans="1:9" x14ac:dyDescent="0.25">
      <c r="A8858">
        <v>2025</v>
      </c>
      <c r="B8858" t="s">
        <v>17637</v>
      </c>
      <c r="C8858" s="1">
        <v>46021</v>
      </c>
      <c r="D8858" t="s">
        <v>17638</v>
      </c>
      <c r="E8858" s="2">
        <v>7679.55</v>
      </c>
      <c r="G8858" s="3">
        <f>MONTH(Tabela1[[#This Row],[Último pagto ano]])</f>
        <v>12</v>
      </c>
      <c r="H8858" t="str">
        <f>TEXT(Tabela1[[#This Row],[Coluna2]]*29,"mmmm")</f>
        <v>dezembro</v>
      </c>
      <c r="I8858" t="str">
        <f>TEXT(MONTH(Tabela1[[#This Row],[Último pagto ano]])*29,"mmmm")</f>
        <v>dezembro</v>
      </c>
    </row>
    <row r="8859" spans="1:9" x14ac:dyDescent="0.25">
      <c r="A8859">
        <v>2025</v>
      </c>
      <c r="B8859" t="s">
        <v>17639</v>
      </c>
      <c r="C8859" s="1">
        <v>45994</v>
      </c>
      <c r="D8859" t="s">
        <v>17640</v>
      </c>
      <c r="E8859" s="2">
        <v>14488.78</v>
      </c>
      <c r="G8859" s="3">
        <f>MONTH(Tabela1[[#This Row],[Último pagto ano]])</f>
        <v>12</v>
      </c>
      <c r="H8859" t="str">
        <f>TEXT(Tabela1[[#This Row],[Coluna2]]*29,"mmmm")</f>
        <v>dezembro</v>
      </c>
      <c r="I8859" t="str">
        <f>TEXT(MONTH(Tabela1[[#This Row],[Último pagto ano]])*29,"mmmm")</f>
        <v>dezembro</v>
      </c>
    </row>
    <row r="8860" spans="1:9" x14ac:dyDescent="0.25">
      <c r="A8860">
        <v>2025</v>
      </c>
      <c r="B8860" t="s">
        <v>17641</v>
      </c>
      <c r="C8860" s="1">
        <v>46006</v>
      </c>
      <c r="D8860" t="s">
        <v>17642</v>
      </c>
      <c r="E8860" s="2">
        <v>38958.879999999997</v>
      </c>
      <c r="G8860" s="3">
        <f>MONTH(Tabela1[[#This Row],[Último pagto ano]])</f>
        <v>12</v>
      </c>
      <c r="H8860" t="str">
        <f>TEXT(Tabela1[[#This Row],[Coluna2]]*29,"mmmm")</f>
        <v>dezembro</v>
      </c>
      <c r="I8860" t="str">
        <f>TEXT(MONTH(Tabela1[[#This Row],[Último pagto ano]])*29,"mmmm")</f>
        <v>dezembro</v>
      </c>
    </row>
    <row r="8861" spans="1:9" x14ac:dyDescent="0.25">
      <c r="A8861">
        <v>2025</v>
      </c>
      <c r="B8861" t="s">
        <v>17643</v>
      </c>
      <c r="C8861" s="1">
        <v>45978</v>
      </c>
      <c r="D8861" t="s">
        <v>17644</v>
      </c>
      <c r="E8861" s="2">
        <v>5625</v>
      </c>
      <c r="G8861" s="3">
        <f>MONTH(Tabela1[[#This Row],[Último pagto ano]])</f>
        <v>11</v>
      </c>
      <c r="H8861" t="str">
        <f>TEXT(Tabela1[[#This Row],[Coluna2]]*29,"mmmm")</f>
        <v>novembro</v>
      </c>
      <c r="I8861" t="str">
        <f>TEXT(MONTH(Tabela1[[#This Row],[Último pagto ano]])*29,"mmmm")</f>
        <v>novembro</v>
      </c>
    </row>
    <row r="8862" spans="1:9" x14ac:dyDescent="0.25">
      <c r="A8862">
        <v>2025</v>
      </c>
      <c r="B8862" t="s">
        <v>17645</v>
      </c>
      <c r="C8862" s="1">
        <v>46010</v>
      </c>
      <c r="D8862" t="s">
        <v>17646</v>
      </c>
      <c r="E8862" s="2">
        <v>14889.96</v>
      </c>
      <c r="G8862" s="3">
        <f>MONTH(Tabela1[[#This Row],[Último pagto ano]])</f>
        <v>12</v>
      </c>
      <c r="H8862" t="str">
        <f>TEXT(Tabela1[[#This Row],[Coluna2]]*29,"mmmm")</f>
        <v>dezembro</v>
      </c>
      <c r="I8862" t="str">
        <f>TEXT(MONTH(Tabela1[[#This Row],[Último pagto ano]])*29,"mmmm")</f>
        <v>dezembro</v>
      </c>
    </row>
    <row r="8863" spans="1:9" x14ac:dyDescent="0.25">
      <c r="A8863">
        <v>2025</v>
      </c>
      <c r="B8863" t="s">
        <v>17647</v>
      </c>
      <c r="C8863" s="1">
        <v>46014</v>
      </c>
      <c r="D8863" t="s">
        <v>17648</v>
      </c>
      <c r="E8863" s="2">
        <v>37411.18</v>
      </c>
      <c r="G8863" s="3">
        <f>MONTH(Tabela1[[#This Row],[Último pagto ano]])</f>
        <v>12</v>
      </c>
      <c r="H8863" t="str">
        <f>TEXT(Tabela1[[#This Row],[Coluna2]]*29,"mmmm")</f>
        <v>dezembro</v>
      </c>
      <c r="I8863" t="str">
        <f>TEXT(MONTH(Tabela1[[#This Row],[Último pagto ano]])*29,"mmmm")</f>
        <v>dezembro</v>
      </c>
    </row>
    <row r="8864" spans="1:9" x14ac:dyDescent="0.25">
      <c r="A8864">
        <v>2025</v>
      </c>
      <c r="B8864" t="s">
        <v>17649</v>
      </c>
      <c r="C8864" s="1">
        <v>46007</v>
      </c>
      <c r="D8864" t="s">
        <v>17650</v>
      </c>
      <c r="E8864" s="2">
        <v>103088.64</v>
      </c>
      <c r="G8864" s="3">
        <f>MONTH(Tabela1[[#This Row],[Último pagto ano]])</f>
        <v>12</v>
      </c>
      <c r="H8864" t="str">
        <f>TEXT(Tabela1[[#This Row],[Coluna2]]*29,"mmmm")</f>
        <v>dezembro</v>
      </c>
      <c r="I8864" t="str">
        <f>TEXT(MONTH(Tabela1[[#This Row],[Último pagto ano]])*29,"mmmm")</f>
        <v>dezembro</v>
      </c>
    </row>
    <row r="8865" spans="1:9" x14ac:dyDescent="0.25">
      <c r="A8865">
        <v>2025</v>
      </c>
      <c r="B8865" t="s">
        <v>17651</v>
      </c>
      <c r="C8865" s="1">
        <v>46008</v>
      </c>
      <c r="D8865" t="s">
        <v>17652</v>
      </c>
      <c r="E8865" s="2">
        <v>83032</v>
      </c>
      <c r="G8865" s="3">
        <f>MONTH(Tabela1[[#This Row],[Último pagto ano]])</f>
        <v>12</v>
      </c>
      <c r="H8865" t="str">
        <f>TEXT(Tabela1[[#This Row],[Coluna2]]*29,"mmmm")</f>
        <v>dezembro</v>
      </c>
      <c r="I8865" t="str">
        <f>TEXT(MONTH(Tabela1[[#This Row],[Último pagto ano]])*29,"mmmm")</f>
        <v>dezembro</v>
      </c>
    </row>
    <row r="8866" spans="1:9" x14ac:dyDescent="0.25">
      <c r="A8866">
        <v>2025</v>
      </c>
      <c r="B8866" t="s">
        <v>17653</v>
      </c>
      <c r="C8866" s="1">
        <v>46007</v>
      </c>
      <c r="D8866" t="s">
        <v>17654</v>
      </c>
      <c r="E8866" s="2">
        <v>76648.56</v>
      </c>
      <c r="G8866" s="3">
        <f>MONTH(Tabela1[[#This Row],[Último pagto ano]])</f>
        <v>12</v>
      </c>
      <c r="H8866" t="str">
        <f>TEXT(Tabela1[[#This Row],[Coluna2]]*29,"mmmm")</f>
        <v>dezembro</v>
      </c>
      <c r="I8866" t="str">
        <f>TEXT(MONTH(Tabela1[[#This Row],[Último pagto ano]])*29,"mmmm")</f>
        <v>dezembro</v>
      </c>
    </row>
    <row r="8867" spans="1:9" x14ac:dyDescent="0.25">
      <c r="A8867">
        <v>2025</v>
      </c>
      <c r="B8867" t="s">
        <v>17655</v>
      </c>
      <c r="C8867" s="1">
        <v>45820</v>
      </c>
      <c r="D8867" t="s">
        <v>17656</v>
      </c>
      <c r="E8867" s="2">
        <v>62800</v>
      </c>
      <c r="G8867" s="3">
        <f>MONTH(Tabela1[[#This Row],[Último pagto ano]])</f>
        <v>6</v>
      </c>
      <c r="H8867" t="str">
        <f>TEXT(Tabela1[[#This Row],[Coluna2]]*29,"mmmm")</f>
        <v>junho</v>
      </c>
      <c r="I8867" t="str">
        <f>TEXT(MONTH(Tabela1[[#This Row],[Último pagto ano]])*29,"mmmm")</f>
        <v>junho</v>
      </c>
    </row>
    <row r="8868" spans="1:9" x14ac:dyDescent="0.25">
      <c r="A8868">
        <v>2025</v>
      </c>
      <c r="B8868" t="s">
        <v>17657</v>
      </c>
      <c r="C8868" s="1">
        <v>45996</v>
      </c>
      <c r="D8868" t="s">
        <v>17658</v>
      </c>
      <c r="E8868" s="2">
        <v>28100</v>
      </c>
      <c r="G8868" s="3">
        <f>MONTH(Tabela1[[#This Row],[Último pagto ano]])</f>
        <v>12</v>
      </c>
      <c r="H8868" t="str">
        <f>TEXT(Tabela1[[#This Row],[Coluna2]]*29,"mmmm")</f>
        <v>dezembro</v>
      </c>
      <c r="I8868" t="str">
        <f>TEXT(MONTH(Tabela1[[#This Row],[Último pagto ano]])*29,"mmmm")</f>
        <v>dezembro</v>
      </c>
    </row>
    <row r="8869" spans="1:9" x14ac:dyDescent="0.25">
      <c r="A8869">
        <v>2025</v>
      </c>
      <c r="B8869" t="s">
        <v>17659</v>
      </c>
      <c r="C8869" s="1">
        <v>46007</v>
      </c>
      <c r="D8869" t="s">
        <v>17660</v>
      </c>
      <c r="E8869" s="2">
        <v>12276</v>
      </c>
      <c r="G8869" s="3">
        <f>MONTH(Tabela1[[#This Row],[Último pagto ano]])</f>
        <v>12</v>
      </c>
      <c r="H8869" t="str">
        <f>TEXT(Tabela1[[#This Row],[Coluna2]]*29,"mmmm")</f>
        <v>dezembro</v>
      </c>
      <c r="I8869" t="str">
        <f>TEXT(MONTH(Tabela1[[#This Row],[Último pagto ano]])*29,"mmmm")</f>
        <v>dezembro</v>
      </c>
    </row>
    <row r="8870" spans="1:9" x14ac:dyDescent="0.25">
      <c r="A8870">
        <v>2025</v>
      </c>
      <c r="B8870" t="s">
        <v>17661</v>
      </c>
      <c r="C8870" s="1">
        <v>45884</v>
      </c>
      <c r="D8870" t="s">
        <v>17662</v>
      </c>
      <c r="E8870" s="2">
        <v>5000</v>
      </c>
      <c r="G8870" s="3">
        <f>MONTH(Tabela1[[#This Row],[Último pagto ano]])</f>
        <v>8</v>
      </c>
      <c r="H8870" t="str">
        <f>TEXT(Tabela1[[#This Row],[Coluna2]]*29,"mmmm")</f>
        <v>agosto</v>
      </c>
      <c r="I8870" t="str">
        <f>TEXT(MONTH(Tabela1[[#This Row],[Último pagto ano]])*29,"mmmm")</f>
        <v>agosto</v>
      </c>
    </row>
    <row r="8871" spans="1:9" x14ac:dyDescent="0.25">
      <c r="A8871">
        <v>2025</v>
      </c>
      <c r="B8871" t="s">
        <v>17663</v>
      </c>
      <c r="C8871" s="1">
        <v>46014</v>
      </c>
      <c r="D8871" t="s">
        <v>17664</v>
      </c>
      <c r="E8871" s="2">
        <v>94843.9</v>
      </c>
      <c r="G8871" s="3">
        <f>MONTH(Tabela1[[#This Row],[Último pagto ano]])</f>
        <v>12</v>
      </c>
      <c r="H8871" t="str">
        <f>TEXT(Tabela1[[#This Row],[Coluna2]]*29,"mmmm")</f>
        <v>dezembro</v>
      </c>
      <c r="I8871" t="str">
        <f>TEXT(MONTH(Tabela1[[#This Row],[Último pagto ano]])*29,"mmmm")</f>
        <v>dezembro</v>
      </c>
    </row>
    <row r="8872" spans="1:9" x14ac:dyDescent="0.25">
      <c r="A8872">
        <v>2025</v>
      </c>
      <c r="B8872" t="s">
        <v>17665</v>
      </c>
      <c r="C8872" s="1">
        <v>46009</v>
      </c>
      <c r="D8872" t="s">
        <v>17666</v>
      </c>
      <c r="E8872" s="2">
        <v>39634.92</v>
      </c>
      <c r="G8872" s="3">
        <f>MONTH(Tabela1[[#This Row],[Último pagto ano]])</f>
        <v>12</v>
      </c>
      <c r="H8872" t="str">
        <f>TEXT(Tabela1[[#This Row],[Coluna2]]*29,"mmmm")</f>
        <v>dezembro</v>
      </c>
      <c r="I8872" t="str">
        <f>TEXT(MONTH(Tabela1[[#This Row],[Último pagto ano]])*29,"mmmm")</f>
        <v>dezembro</v>
      </c>
    </row>
    <row r="8873" spans="1:9" x14ac:dyDescent="0.25">
      <c r="A8873">
        <v>2025</v>
      </c>
      <c r="B8873" t="s">
        <v>17667</v>
      </c>
      <c r="C8873" s="1">
        <v>45999</v>
      </c>
      <c r="D8873" t="s">
        <v>17668</v>
      </c>
      <c r="E8873" s="2">
        <v>27018.720000000001</v>
      </c>
      <c r="G8873" s="3">
        <f>MONTH(Tabela1[[#This Row],[Último pagto ano]])</f>
        <v>12</v>
      </c>
      <c r="H8873" t="str">
        <f>TEXT(Tabela1[[#This Row],[Coluna2]]*29,"mmmm")</f>
        <v>dezembro</v>
      </c>
      <c r="I8873" t="str">
        <f>TEXT(MONTH(Tabela1[[#This Row],[Último pagto ano]])*29,"mmmm")</f>
        <v>dezembro</v>
      </c>
    </row>
    <row r="8874" spans="1:9" x14ac:dyDescent="0.25">
      <c r="A8874">
        <v>2025</v>
      </c>
      <c r="B8874" t="s">
        <v>17669</v>
      </c>
      <c r="C8874" s="1">
        <v>46013</v>
      </c>
      <c r="D8874" t="s">
        <v>17670</v>
      </c>
      <c r="E8874" s="2">
        <v>100581</v>
      </c>
      <c r="G8874" s="3">
        <f>MONTH(Tabela1[[#This Row],[Último pagto ano]])</f>
        <v>12</v>
      </c>
      <c r="H8874" t="str">
        <f>TEXT(Tabela1[[#This Row],[Coluna2]]*29,"mmmm")</f>
        <v>dezembro</v>
      </c>
      <c r="I8874" t="str">
        <f>TEXT(MONTH(Tabela1[[#This Row],[Último pagto ano]])*29,"mmmm")</f>
        <v>dezembro</v>
      </c>
    </row>
    <row r="8875" spans="1:9" x14ac:dyDescent="0.25">
      <c r="A8875">
        <v>2025</v>
      </c>
      <c r="B8875" t="s">
        <v>17671</v>
      </c>
      <c r="C8875" s="1">
        <v>46009</v>
      </c>
      <c r="D8875" t="s">
        <v>17672</v>
      </c>
      <c r="E8875" s="2">
        <v>14960</v>
      </c>
      <c r="G8875" s="3">
        <f>MONTH(Tabela1[[#This Row],[Último pagto ano]])</f>
        <v>12</v>
      </c>
      <c r="H8875" t="str">
        <f>TEXT(Tabela1[[#This Row],[Coluna2]]*29,"mmmm")</f>
        <v>dezembro</v>
      </c>
      <c r="I8875" t="str">
        <f>TEXT(MONTH(Tabela1[[#This Row],[Último pagto ano]])*29,"mmmm")</f>
        <v>dezembro</v>
      </c>
    </row>
    <row r="8876" spans="1:9" x14ac:dyDescent="0.25">
      <c r="A8876">
        <v>2025</v>
      </c>
      <c r="B8876" t="s">
        <v>17673</v>
      </c>
      <c r="C8876" s="1">
        <v>46008</v>
      </c>
      <c r="D8876" t="s">
        <v>17674</v>
      </c>
      <c r="E8876" s="2">
        <v>7992</v>
      </c>
      <c r="G8876" s="3">
        <f>MONTH(Tabela1[[#This Row],[Último pagto ano]])</f>
        <v>12</v>
      </c>
      <c r="H8876" t="str">
        <f>TEXT(Tabela1[[#This Row],[Coluna2]]*29,"mmmm")</f>
        <v>dezembro</v>
      </c>
      <c r="I8876" t="str">
        <f>TEXT(MONTH(Tabela1[[#This Row],[Último pagto ano]])*29,"mmmm")</f>
        <v>dezembro</v>
      </c>
    </row>
    <row r="8877" spans="1:9" x14ac:dyDescent="0.25">
      <c r="A8877">
        <v>2025</v>
      </c>
      <c r="B8877" t="s">
        <v>17675</v>
      </c>
      <c r="C8877" s="1">
        <v>46008</v>
      </c>
      <c r="D8877" t="s">
        <v>17676</v>
      </c>
      <c r="E8877" s="2">
        <v>18400</v>
      </c>
      <c r="G8877" s="3">
        <f>MONTH(Tabela1[[#This Row],[Último pagto ano]])</f>
        <v>12</v>
      </c>
      <c r="H8877" t="str">
        <f>TEXT(Tabela1[[#This Row],[Coluna2]]*29,"mmmm")</f>
        <v>dezembro</v>
      </c>
      <c r="I8877" t="str">
        <f>TEXT(MONTH(Tabela1[[#This Row],[Último pagto ano]])*29,"mmmm")</f>
        <v>dezembro</v>
      </c>
    </row>
    <row r="8878" spans="1:9" x14ac:dyDescent="0.25">
      <c r="A8878">
        <v>2025</v>
      </c>
      <c r="B8878" t="s">
        <v>17677</v>
      </c>
      <c r="C8878" s="1">
        <v>46007</v>
      </c>
      <c r="D8878" t="s">
        <v>17678</v>
      </c>
      <c r="E8878" s="2">
        <v>17544</v>
      </c>
      <c r="G8878" s="3">
        <f>MONTH(Tabela1[[#This Row],[Último pagto ano]])</f>
        <v>12</v>
      </c>
      <c r="H8878" t="str">
        <f>TEXT(Tabela1[[#This Row],[Coluna2]]*29,"mmmm")</f>
        <v>dezembro</v>
      </c>
      <c r="I8878" t="str">
        <f>TEXT(MONTH(Tabela1[[#This Row],[Último pagto ano]])*29,"mmmm")</f>
        <v>dezembro</v>
      </c>
    </row>
    <row r="8879" spans="1:9" x14ac:dyDescent="0.25">
      <c r="A8879">
        <v>2025</v>
      </c>
      <c r="B8879" t="s">
        <v>17679</v>
      </c>
      <c r="C8879" s="1">
        <v>46010</v>
      </c>
      <c r="D8879" t="s">
        <v>17680</v>
      </c>
      <c r="E8879" s="2">
        <v>16445</v>
      </c>
      <c r="G8879" s="3">
        <f>MONTH(Tabela1[[#This Row],[Último pagto ano]])</f>
        <v>12</v>
      </c>
      <c r="H8879" t="str">
        <f>TEXT(Tabela1[[#This Row],[Coluna2]]*29,"mmmm")</f>
        <v>dezembro</v>
      </c>
      <c r="I8879" t="str">
        <f>TEXT(MONTH(Tabela1[[#This Row],[Último pagto ano]])*29,"mmmm")</f>
        <v>dezembro</v>
      </c>
    </row>
    <row r="8880" spans="1:9" x14ac:dyDescent="0.25">
      <c r="A8880">
        <v>2025</v>
      </c>
      <c r="B8880" t="s">
        <v>17681</v>
      </c>
      <c r="C8880" s="1">
        <v>46007</v>
      </c>
      <c r="D8880" t="s">
        <v>17682</v>
      </c>
      <c r="E8880" s="2">
        <v>7290</v>
      </c>
      <c r="G8880" s="3">
        <f>MONTH(Tabela1[[#This Row],[Último pagto ano]])</f>
        <v>12</v>
      </c>
      <c r="H8880" t="str">
        <f>TEXT(Tabela1[[#This Row],[Coluna2]]*29,"mmmm")</f>
        <v>dezembro</v>
      </c>
      <c r="I8880" t="str">
        <f>TEXT(MONTH(Tabela1[[#This Row],[Último pagto ano]])*29,"mmmm")</f>
        <v>dezembro</v>
      </c>
    </row>
    <row r="8881" spans="1:9" x14ac:dyDescent="0.25">
      <c r="A8881">
        <v>2025</v>
      </c>
      <c r="B8881" t="s">
        <v>17683</v>
      </c>
      <c r="C8881" s="1">
        <v>46007</v>
      </c>
      <c r="D8881" t="s">
        <v>17684</v>
      </c>
      <c r="E8881" s="2">
        <v>19380</v>
      </c>
      <c r="G8881" s="3">
        <f>MONTH(Tabela1[[#This Row],[Último pagto ano]])</f>
        <v>12</v>
      </c>
      <c r="H8881" t="str">
        <f>TEXT(Tabela1[[#This Row],[Coluna2]]*29,"mmmm")</f>
        <v>dezembro</v>
      </c>
      <c r="I8881" t="str">
        <f>TEXT(MONTH(Tabela1[[#This Row],[Último pagto ano]])*29,"mmmm")</f>
        <v>dezembro</v>
      </c>
    </row>
    <row r="8882" spans="1:9" x14ac:dyDescent="0.25">
      <c r="A8882">
        <v>2025</v>
      </c>
      <c r="B8882" t="s">
        <v>17685</v>
      </c>
      <c r="C8882" s="1">
        <v>46009</v>
      </c>
      <c r="D8882" t="s">
        <v>17686</v>
      </c>
      <c r="E8882" s="2">
        <v>14454</v>
      </c>
      <c r="G8882" s="3">
        <f>MONTH(Tabela1[[#This Row],[Último pagto ano]])</f>
        <v>12</v>
      </c>
      <c r="H8882" t="str">
        <f>TEXT(Tabela1[[#This Row],[Coluna2]]*29,"mmmm")</f>
        <v>dezembro</v>
      </c>
      <c r="I8882" t="str">
        <f>TEXT(MONTH(Tabela1[[#This Row],[Último pagto ano]])*29,"mmmm")</f>
        <v>dezembro</v>
      </c>
    </row>
    <row r="8883" spans="1:9" x14ac:dyDescent="0.25">
      <c r="A8883">
        <v>2025</v>
      </c>
      <c r="B8883" t="s">
        <v>17687</v>
      </c>
      <c r="C8883" s="1">
        <v>46008</v>
      </c>
      <c r="D8883" t="s">
        <v>17688</v>
      </c>
      <c r="E8883" s="2">
        <v>16932</v>
      </c>
      <c r="G8883" s="3">
        <f>MONTH(Tabela1[[#This Row],[Último pagto ano]])</f>
        <v>12</v>
      </c>
      <c r="H8883" t="str">
        <f>TEXT(Tabela1[[#This Row],[Coluna2]]*29,"mmmm")</f>
        <v>dezembro</v>
      </c>
      <c r="I8883" t="str">
        <f>TEXT(MONTH(Tabela1[[#This Row],[Último pagto ano]])*29,"mmmm")</f>
        <v>dezembro</v>
      </c>
    </row>
    <row r="8884" spans="1:9" x14ac:dyDescent="0.25">
      <c r="A8884">
        <v>2025</v>
      </c>
      <c r="B8884" t="s">
        <v>17689</v>
      </c>
      <c r="C8884" s="1">
        <v>46006</v>
      </c>
      <c r="D8884" t="s">
        <v>17690</v>
      </c>
      <c r="E8884" s="2">
        <v>10050</v>
      </c>
      <c r="G8884" s="3">
        <f>MONTH(Tabela1[[#This Row],[Último pagto ano]])</f>
        <v>12</v>
      </c>
      <c r="H8884" t="str">
        <f>TEXT(Tabela1[[#This Row],[Coluna2]]*29,"mmmm")</f>
        <v>dezembro</v>
      </c>
      <c r="I8884" t="str">
        <f>TEXT(MONTH(Tabela1[[#This Row],[Último pagto ano]])*29,"mmmm")</f>
        <v>dezembro</v>
      </c>
    </row>
    <row r="8885" spans="1:9" x14ac:dyDescent="0.25">
      <c r="A8885">
        <v>2025</v>
      </c>
      <c r="B8885" t="s">
        <v>17691</v>
      </c>
      <c r="C8885" s="1">
        <v>46008</v>
      </c>
      <c r="D8885" t="s">
        <v>17692</v>
      </c>
      <c r="E8885" s="2">
        <v>15300</v>
      </c>
      <c r="G8885" s="3">
        <f>MONTH(Tabela1[[#This Row],[Último pagto ano]])</f>
        <v>12</v>
      </c>
      <c r="H8885" t="str">
        <f>TEXT(Tabela1[[#This Row],[Coluna2]]*29,"mmmm")</f>
        <v>dezembro</v>
      </c>
      <c r="I8885" t="str">
        <f>TEXT(MONTH(Tabela1[[#This Row],[Último pagto ano]])*29,"mmmm")</f>
        <v>dezembro</v>
      </c>
    </row>
    <row r="8886" spans="1:9" x14ac:dyDescent="0.25">
      <c r="A8886">
        <v>2025</v>
      </c>
      <c r="B8886" t="s">
        <v>17693</v>
      </c>
      <c r="C8886" s="1">
        <v>46007</v>
      </c>
      <c r="D8886" t="s">
        <v>17694</v>
      </c>
      <c r="E8886" s="2">
        <v>19788</v>
      </c>
      <c r="G8886" s="3">
        <f>MONTH(Tabela1[[#This Row],[Último pagto ano]])</f>
        <v>12</v>
      </c>
      <c r="H8886" t="str">
        <f>TEXT(Tabela1[[#This Row],[Coluna2]]*29,"mmmm")</f>
        <v>dezembro</v>
      </c>
      <c r="I8886" t="str">
        <f>TEXT(MONTH(Tabela1[[#This Row],[Último pagto ano]])*29,"mmmm")</f>
        <v>dezembro</v>
      </c>
    </row>
    <row r="8887" spans="1:9" x14ac:dyDescent="0.25">
      <c r="A8887">
        <v>2025</v>
      </c>
      <c r="B8887" t="s">
        <v>17695</v>
      </c>
      <c r="C8887" s="1">
        <v>46007</v>
      </c>
      <c r="D8887" t="s">
        <v>17696</v>
      </c>
      <c r="E8887" s="2">
        <v>13600</v>
      </c>
      <c r="G8887" s="3">
        <f>MONTH(Tabela1[[#This Row],[Último pagto ano]])</f>
        <v>12</v>
      </c>
      <c r="H8887" t="str">
        <f>TEXT(Tabela1[[#This Row],[Coluna2]]*29,"mmmm")</f>
        <v>dezembro</v>
      </c>
      <c r="I8887" t="str">
        <f>TEXT(MONTH(Tabela1[[#This Row],[Último pagto ano]])*29,"mmmm")</f>
        <v>dezembro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86DB-D183-4C5B-8994-8FE6B24A0D18}">
  <dimension ref="A2:B17"/>
  <sheetViews>
    <sheetView tabSelected="1" zoomScale="70" zoomScaleNormal="70" workbookViewId="0">
      <selection activeCell="V29" sqref="V29"/>
    </sheetView>
  </sheetViews>
  <sheetFormatPr defaultRowHeight="15" x14ac:dyDescent="0.25"/>
  <cols>
    <col min="1" max="1" width="24" bestFit="1" customWidth="1"/>
    <col min="2" max="2" width="37.42578125" bestFit="1" customWidth="1"/>
    <col min="3" max="3" width="22.5703125" bestFit="1" customWidth="1"/>
    <col min="4" max="6" width="15.85546875" bestFit="1" customWidth="1"/>
    <col min="7" max="12" width="16.85546875" bestFit="1" customWidth="1"/>
    <col min="13" max="13" width="19.5703125" bestFit="1" customWidth="1"/>
    <col min="14" max="14" width="12.140625" bestFit="1" customWidth="1"/>
  </cols>
  <sheetData>
    <row r="2" spans="1:2" x14ac:dyDescent="0.25">
      <c r="A2" s="5" t="s">
        <v>34076</v>
      </c>
      <c r="B2" t="s">
        <v>34091</v>
      </c>
    </row>
    <row r="4" spans="1:2" x14ac:dyDescent="0.25">
      <c r="A4" s="5" t="s">
        <v>34092</v>
      </c>
      <c r="B4" t="s">
        <v>34094</v>
      </c>
    </row>
    <row r="5" spans="1:2" x14ac:dyDescent="0.25">
      <c r="A5" s="6">
        <v>2582259.1700000013</v>
      </c>
      <c r="B5" s="7">
        <v>281</v>
      </c>
    </row>
    <row r="6" spans="1:2" x14ac:dyDescent="0.25">
      <c r="A6" s="6">
        <v>4763690.9699999988</v>
      </c>
      <c r="B6" s="7">
        <v>428</v>
      </c>
    </row>
    <row r="7" spans="1:2" x14ac:dyDescent="0.25">
      <c r="A7" s="6">
        <v>4885960.929999995</v>
      </c>
      <c r="B7" s="7">
        <v>680</v>
      </c>
    </row>
    <row r="8" spans="1:2" x14ac:dyDescent="0.25">
      <c r="A8" s="6">
        <v>6453787.7500000037</v>
      </c>
      <c r="B8" s="7">
        <v>386</v>
      </c>
    </row>
    <row r="9" spans="1:2" x14ac:dyDescent="0.25">
      <c r="A9" s="6">
        <v>6839808.1699999962</v>
      </c>
      <c r="B9" s="7">
        <v>405</v>
      </c>
    </row>
    <row r="10" spans="1:2" x14ac:dyDescent="0.25">
      <c r="A10" s="6">
        <v>11224909.819999997</v>
      </c>
      <c r="B10" s="7">
        <v>352</v>
      </c>
    </row>
    <row r="11" spans="1:2" x14ac:dyDescent="0.25">
      <c r="A11" s="6">
        <v>14138911.700000007</v>
      </c>
      <c r="B11" s="7">
        <v>345</v>
      </c>
    </row>
    <row r="12" spans="1:2" x14ac:dyDescent="0.25">
      <c r="A12" s="6">
        <v>18233016.870000005</v>
      </c>
      <c r="B12" s="7">
        <v>496</v>
      </c>
    </row>
    <row r="13" spans="1:2" x14ac:dyDescent="0.25">
      <c r="A13" s="6">
        <v>20352123.379999999</v>
      </c>
      <c r="B13" s="7">
        <v>291</v>
      </c>
    </row>
    <row r="14" spans="1:2" x14ac:dyDescent="0.25">
      <c r="A14" s="6">
        <v>63208007.909999952</v>
      </c>
      <c r="B14" s="7">
        <v>1127</v>
      </c>
    </row>
    <row r="15" spans="1:2" x14ac:dyDescent="0.25">
      <c r="A15" s="6">
        <v>83590695.099999949</v>
      </c>
      <c r="B15" s="7">
        <v>415</v>
      </c>
    </row>
    <row r="16" spans="1:2" x14ac:dyDescent="0.25">
      <c r="A16" s="6">
        <v>2923718664.2200007</v>
      </c>
      <c r="B16" s="7">
        <v>3680</v>
      </c>
    </row>
    <row r="17" spans="1:2" x14ac:dyDescent="0.25">
      <c r="A17" s="6" t="s">
        <v>34093</v>
      </c>
      <c r="B17" s="7">
        <v>8886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7" sqref="B7"/>
    </sheetView>
  </sheetViews>
  <sheetFormatPr defaultRowHeight="15" x14ac:dyDescent="0.25"/>
  <cols>
    <col min="1" max="1" width="11.85546875" customWidth="1"/>
    <col min="2" max="2" width="22" customWidth="1"/>
    <col min="3" max="3" width="20.85546875" customWidth="1"/>
    <col min="4" max="4" width="19.85546875" bestFit="1" customWidth="1"/>
  </cols>
  <sheetData>
    <row r="1" spans="1:3" x14ac:dyDescent="0.25">
      <c r="A1" t="s">
        <v>34076</v>
      </c>
      <c r="B1" t="s">
        <v>34077</v>
      </c>
      <c r="C1" t="s">
        <v>34078</v>
      </c>
    </row>
    <row r="2" spans="1:3" x14ac:dyDescent="0.25">
      <c r="A2" t="s">
        <v>34079</v>
      </c>
      <c r="B2" s="4">
        <f>SUMIF(Tabela1[[#All],[Coluna3]],Planilha1!A2,Tabela1[[#All],[Valor Pago]])</f>
        <v>20352123.379999999</v>
      </c>
      <c r="C2">
        <f>COUNTIF(Tabela1[[#All],[Coluna3]],Planilha1!A2)</f>
        <v>291</v>
      </c>
    </row>
    <row r="3" spans="1:3" x14ac:dyDescent="0.25">
      <c r="A3" t="s">
        <v>34080</v>
      </c>
      <c r="B3" s="4">
        <f>SUMIF(Tabela1[[#All],[Coluna3]],Planilha1!A3,Tabela1[[#All],[Valor Pago]])</f>
        <v>4885960.929999995</v>
      </c>
      <c r="C3">
        <f>COUNTIF(Tabela1[[#All],[Coluna3]],Planilha1!A3)</f>
        <v>680</v>
      </c>
    </row>
    <row r="4" spans="1:3" x14ac:dyDescent="0.25">
      <c r="A4" t="s">
        <v>34081</v>
      </c>
      <c r="B4" s="4">
        <f>SUMIF(Tabela1[[#All],[Coluna3]],Planilha1!A4,Tabela1[[#All],[Valor Pago]])</f>
        <v>14138911.700000007</v>
      </c>
      <c r="C4">
        <f>COUNTIF(Tabela1[[#All],[Coluna3]],Planilha1!A4)</f>
        <v>345</v>
      </c>
    </row>
    <row r="5" spans="1:3" x14ac:dyDescent="0.25">
      <c r="A5" t="s">
        <v>34082</v>
      </c>
      <c r="B5" s="4">
        <f>SUMIF(Tabela1[[#All],[Coluna3]],Planilha1!A5,Tabela1[[#All],[Valor Pago]])</f>
        <v>2582259.1700000013</v>
      </c>
      <c r="C5">
        <f>COUNTIF(Tabela1[[#All],[Coluna3]],Planilha1!A5)</f>
        <v>281</v>
      </c>
    </row>
    <row r="6" spans="1:3" x14ac:dyDescent="0.25">
      <c r="A6" t="s">
        <v>34083</v>
      </c>
      <c r="B6" s="4">
        <f>SUMIF(Tabela1[[#All],[Coluna3]],Planilha1!A6,Tabela1[[#All],[Valor Pago]])</f>
        <v>11224909.819999997</v>
      </c>
      <c r="C6">
        <f>COUNTIF(Tabela1[[#All],[Coluna3]],Planilha1!A6)</f>
        <v>352</v>
      </c>
    </row>
    <row r="7" spans="1:3" x14ac:dyDescent="0.25">
      <c r="A7" t="s">
        <v>34084</v>
      </c>
      <c r="B7" s="4">
        <f>SUMIF(Tabela1[[#All],[Coluna3]],Planilha1!A7,Tabela1[[#All],[Valor Pago]])</f>
        <v>6453787.7500000037</v>
      </c>
      <c r="C7">
        <f>COUNTIF(Tabela1[[#All],[Coluna3]],Planilha1!A7)</f>
        <v>386</v>
      </c>
    </row>
    <row r="8" spans="1:3" x14ac:dyDescent="0.25">
      <c r="A8" t="s">
        <v>34085</v>
      </c>
      <c r="B8" s="4">
        <f>SUMIF(Tabela1[[#All],[Coluna3]],Planilha1!A8,Tabela1[[#All],[Valor Pago]])</f>
        <v>6839808.1699999962</v>
      </c>
      <c r="C8">
        <f>COUNTIF(Tabela1[[#All],[Coluna3]],Planilha1!A8)</f>
        <v>405</v>
      </c>
    </row>
    <row r="9" spans="1:3" x14ac:dyDescent="0.25">
      <c r="A9" t="s">
        <v>34086</v>
      </c>
      <c r="B9" s="4">
        <f>SUMIF(Tabela1[[#All],[Coluna3]],Planilha1!A9,Tabela1[[#All],[Valor Pago]])</f>
        <v>83590695.099999949</v>
      </c>
      <c r="C9">
        <f>COUNTIF(Tabela1[[#All],[Coluna3]],Planilha1!A9)</f>
        <v>415</v>
      </c>
    </row>
    <row r="10" spans="1:3" x14ac:dyDescent="0.25">
      <c r="A10" t="s">
        <v>34087</v>
      </c>
      <c r="B10" s="4">
        <f>SUMIF(Tabela1[[#All],[Coluna3]],Planilha1!A10,Tabela1[[#All],[Valor Pago]])</f>
        <v>4763690.9699999988</v>
      </c>
      <c r="C10">
        <f>COUNTIF(Tabela1[[#All],[Coluna3]],Planilha1!A10)</f>
        <v>428</v>
      </c>
    </row>
    <row r="11" spans="1:3" x14ac:dyDescent="0.25">
      <c r="A11" t="s">
        <v>34088</v>
      </c>
      <c r="B11" s="4">
        <f>SUMIF(Tabela1[[#All],[Coluna3]],Planilha1!A11,Tabela1[[#All],[Valor Pago]])</f>
        <v>18233016.870000005</v>
      </c>
      <c r="C11">
        <f>COUNTIF(Tabela1[[#All],[Coluna3]],Planilha1!A11)</f>
        <v>496</v>
      </c>
    </row>
    <row r="12" spans="1:3" x14ac:dyDescent="0.25">
      <c r="A12" t="s">
        <v>34089</v>
      </c>
      <c r="B12" s="4">
        <f>SUMIF(Tabela1[[#All],[Coluna3]],Planilha1!A12,Tabela1[[#All],[Valor Pago]])</f>
        <v>63208007.909999952</v>
      </c>
      <c r="C12">
        <f>COUNTIF(Tabela1[[#All],[Coluna3]],Planilha1!A12)</f>
        <v>1127</v>
      </c>
    </row>
    <row r="13" spans="1:3" x14ac:dyDescent="0.25">
      <c r="A13" t="s">
        <v>34090</v>
      </c>
      <c r="B13" s="4">
        <f>SUMIF(Tabela1[[#All],[Coluna3]],Planilha1!A13,Tabela1[[#All],[Valor Pago]])</f>
        <v>2923718664.2200007</v>
      </c>
      <c r="C13">
        <f>COUNTIF(Tabela1[[#All],[Coluna3]],Planilha1!A13)</f>
        <v>3680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fornecedores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2026-03-13T22:22:26Z</dcterms:created>
  <dcterms:modified xsi:type="dcterms:W3CDTF">2026-03-13T23:23:47Z</dcterms:modified>
</cp:coreProperties>
</file>